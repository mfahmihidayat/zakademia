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onasi" sheetId="2" state="visible" r:id="rId2"/>
    <sheet xmlns:r="http://schemas.openxmlformats.org/officeDocument/2006/relationships" name="Segmen" sheetId="3" state="visible" r:id="rId3"/>
    <sheet xmlns:r="http://schemas.openxmlformats.org/officeDocument/2006/relationships" name="Rekap segmen" sheetId="4" state="visible" r:id="rId4"/>
    <sheet xmlns:r="http://schemas.openxmlformats.org/officeDocument/2006/relationships" name="Pirami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4A6355"/>
    </font>
    <font>
      <b val="1"/>
      <color rgb="00FFFFF0"/>
    </font>
  </fonts>
  <fills count="3">
    <fill>
      <patternFill/>
    </fill>
    <fill>
      <patternFill patternType="gray125"/>
    </fill>
    <fill>
      <patternFill patternType="solid">
        <fgColor rgb="000B4D33"/>
      </patternFill>
    </fill>
  </fills>
  <borders count="2">
    <border>
      <left/>
      <right/>
      <top/>
      <bottom/>
      <diagonal/>
    </border>
    <border>
      <left style="thin">
        <color rgb="00DCE5D7"/>
      </left>
      <right style="thin">
        <color rgb="00DCE5D7"/>
      </right>
      <top style="thin">
        <color rgb="00DCE5D7"/>
      </top>
      <bottom style="thin">
        <color rgb="00DCE5D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RFM dan Piramida Donatur · Zakademia</t>
        </is>
      </c>
    </row>
    <row r="2">
      <c r="A2" s="2" t="inlineStr">
        <is>
          <t>Tempel lembar Donasi (tanggal, ID, nominal) untuk 2 sampai 3 tahun terakhir. Isi tanggal acuan di Segmen!B1 (biasanya hari ini).</t>
        </is>
      </c>
    </row>
    <row r="3">
      <c r="A3" s="2" t="inlineStr">
        <is>
          <t>Lembar Segmen menghitung Recency (hari sejak donasi terakhir), Frequency, Monetary, skor 1–5 per kuintil, dan label segmen.</t>
        </is>
      </c>
    </row>
    <row r="4">
      <c r="A4" s="2" t="inlineStr">
        <is>
          <t>Lembar Piramida: urutkan kolom Total dari besar ke kecil (Data &gt; Sort) lalu baca konsentrasi 1%, 10%, 50% teratas.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3" t="inlineStr">
        <is>
          <t>Tanggal</t>
        </is>
      </c>
      <c r="B1" s="3" t="inlineStr">
        <is>
          <t>ID donatur</t>
        </is>
      </c>
      <c r="C1" s="3" t="inlineStr">
        <is>
          <t>Nominal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</cols>
  <sheetData>
    <row r="1">
      <c r="A1" s="4" t="inlineStr">
        <is>
          <t>Tanggal acuan</t>
        </is>
      </c>
      <c r="B1">
        <f>TODAY()</f>
        <v/>
      </c>
    </row>
    <row r="2">
      <c r="A2" s="3" t="inlineStr">
        <is>
          <t>ID donatur</t>
        </is>
      </c>
      <c r="B2" s="3" t="inlineStr">
        <is>
          <t>Hari sejak terakhir (R)</t>
        </is>
      </c>
      <c r="C2" s="3" t="inlineStr">
        <is>
          <t>Jumlah donasi (F)</t>
        </is>
      </c>
      <c r="D2" s="3" t="inlineStr">
        <is>
          <t>Total (M)</t>
        </is>
      </c>
      <c r="E2" s="3" t="inlineStr">
        <is>
          <t>Skor R</t>
        </is>
      </c>
      <c r="F2" s="3" t="inlineStr">
        <is>
          <t>Skor F</t>
        </is>
      </c>
      <c r="G2" s="3" t="inlineStr">
        <is>
          <t>Skor M</t>
        </is>
      </c>
      <c r="H2" s="3" t="inlineStr">
        <is>
          <t>RFM</t>
        </is>
      </c>
      <c r="I2" s="3" t="inlineStr">
        <is>
          <t>Segmen</t>
        </is>
      </c>
    </row>
    <row r="3">
      <c r="A3">
        <f>IFERROR(INDEX(UNIQUE(FILTER(Donasi!B2:B20000,Donasi!B2:B20000&lt;&gt;"")),ROW()-2),"")</f>
        <v/>
      </c>
      <c r="B3">
        <f>IF(A3="","",$B$1-MAXIFS(Donasi!$A$2:$A$20000,Donasi!$B$2:$B$20000,A3))</f>
        <v/>
      </c>
      <c r="C3">
        <f>IF(A3="","",COUNTIF(Donasi!$B$2:$B$20000,A3))</f>
        <v/>
      </c>
      <c r="D3">
        <f>IF(A3="","",SUMIF(Donasi!$B$2:$B$20000,A3,Donasi!$C$2:$C$20000))</f>
        <v/>
      </c>
      <c r="E3">
        <f>IF(A3="","",6-CEILING(PERCENTRANK.INC($B$3:$B$6000,B3,4)*5+0.000001,1))</f>
        <v/>
      </c>
      <c r="F3">
        <f>IF(A3="","",MAX(1,CEILING(PERCENTRANK.INC($C$3:$C$6000,C3,4)*5+0.000001,1)))</f>
        <v/>
      </c>
      <c r="G3">
        <f>IF(A3="","",MAX(1,CEILING(PERCENTRANK.INC($D$3:$D$6000,D3,4)*5+0.000001,1)))</f>
        <v/>
      </c>
      <c r="H3">
        <f>IF(A3="","",E3&amp;F3&amp;G3)</f>
        <v/>
      </c>
      <c r="I3">
        <f>IF(A3="","",IF(AND(E3&gt;=4,F3&gt;=4,G3&gt;=4),"Juara",IF(AND(F3&gt;=4,E3&gt;=3),"Setia",IF(AND(E3=5,F3&lt;=2,G3&gt;=3),"Berpotensi",IF(AND(E3&lt;=3,E3&gt;=2,F3&gt;=3),"Rawan",IF(AND(E3&lt;=2,F3&lt;=2),"Tidur","Umum"))))))</f>
        <v/>
      </c>
    </row>
    <row r="4">
      <c r="B4">
        <f>IF(A4="","",$B$1-MAXIFS(Donasi!$A$2:$A$20000,Donasi!$B$2:$B$20000,A4))</f>
        <v/>
      </c>
      <c r="C4">
        <f>IF(A4="","",COUNTIF(Donasi!$B$2:$B$20000,A4))</f>
        <v/>
      </c>
      <c r="D4">
        <f>IF(A4="","",SUMIF(Donasi!$B$2:$B$20000,A4,Donasi!$C$2:$C$20000))</f>
        <v/>
      </c>
      <c r="E4">
        <f>IF(A4="","",6-CEILING(PERCENTRANK.INC($B$3:$B$6000,B4,4)*5+0.000001,1))</f>
        <v/>
      </c>
      <c r="F4">
        <f>IF(A4="","",MAX(1,CEILING(PERCENTRANK.INC($C$3:$C$6000,C4,4)*5+0.000001,1)))</f>
        <v/>
      </c>
      <c r="G4">
        <f>IF(A4="","",MAX(1,CEILING(PERCENTRANK.INC($D$3:$D$6000,D4,4)*5+0.000001,1)))</f>
        <v/>
      </c>
      <c r="H4">
        <f>IF(A4="","",E4&amp;F4&amp;G4)</f>
        <v/>
      </c>
      <c r="I4">
        <f>IF(A4="","",IF(AND(E4&gt;=4,F4&gt;=4,G4&gt;=4),"Juara",IF(AND(F4&gt;=4,E4&gt;=3),"Setia",IF(AND(E4=5,F4&lt;=2,G4&gt;=3),"Berpotensi",IF(AND(E4&lt;=3,E4&gt;=2,F4&gt;=3),"Rawan",IF(AND(E4&lt;=2,F4&lt;=2),"Tidur","Umum"))))))</f>
        <v/>
      </c>
    </row>
    <row r="5">
      <c r="B5">
        <f>IF(A5="","",$B$1-MAXIFS(Donasi!$A$2:$A$20000,Donasi!$B$2:$B$20000,A5))</f>
        <v/>
      </c>
      <c r="C5">
        <f>IF(A5="","",COUNTIF(Donasi!$B$2:$B$20000,A5))</f>
        <v/>
      </c>
      <c r="D5">
        <f>IF(A5="","",SUMIF(Donasi!$B$2:$B$20000,A5,Donasi!$C$2:$C$20000))</f>
        <v/>
      </c>
      <c r="E5">
        <f>IF(A5="","",6-CEILING(PERCENTRANK.INC($B$3:$B$6000,B5,4)*5+0.000001,1))</f>
        <v/>
      </c>
      <c r="F5">
        <f>IF(A5="","",MAX(1,CEILING(PERCENTRANK.INC($C$3:$C$6000,C5,4)*5+0.000001,1)))</f>
        <v/>
      </c>
      <c r="G5">
        <f>IF(A5="","",MAX(1,CEILING(PERCENTRANK.INC($D$3:$D$6000,D5,4)*5+0.000001,1)))</f>
        <v/>
      </c>
      <c r="H5">
        <f>IF(A5="","",E5&amp;F5&amp;G5)</f>
        <v/>
      </c>
      <c r="I5">
        <f>IF(A5="","",IF(AND(E5&gt;=4,F5&gt;=4,G5&gt;=4),"Juara",IF(AND(F5&gt;=4,E5&gt;=3),"Setia",IF(AND(E5=5,F5&lt;=2,G5&gt;=3),"Berpotensi",IF(AND(E5&lt;=3,E5&gt;=2,F5&gt;=3),"Rawan",IF(AND(E5&lt;=2,F5&lt;=2),"Tidur","Umum"))))))</f>
        <v/>
      </c>
    </row>
    <row r="6">
      <c r="B6">
        <f>IF(A6="","",$B$1-MAXIFS(Donasi!$A$2:$A$20000,Donasi!$B$2:$B$20000,A6))</f>
        <v/>
      </c>
      <c r="C6">
        <f>IF(A6="","",COUNTIF(Donasi!$B$2:$B$20000,A6))</f>
        <v/>
      </c>
      <c r="D6">
        <f>IF(A6="","",SUMIF(Donasi!$B$2:$B$20000,A6,Donasi!$C$2:$C$20000))</f>
        <v/>
      </c>
      <c r="E6">
        <f>IF(A6="","",6-CEILING(PERCENTRANK.INC($B$3:$B$6000,B6,4)*5+0.000001,1))</f>
        <v/>
      </c>
      <c r="F6">
        <f>IF(A6="","",MAX(1,CEILING(PERCENTRANK.INC($C$3:$C$6000,C6,4)*5+0.000001,1)))</f>
        <v/>
      </c>
      <c r="G6">
        <f>IF(A6="","",MAX(1,CEILING(PERCENTRANK.INC($D$3:$D$6000,D6,4)*5+0.000001,1)))</f>
        <v/>
      </c>
      <c r="H6">
        <f>IF(A6="","",E6&amp;F6&amp;G6)</f>
        <v/>
      </c>
      <c r="I6">
        <f>IF(A6="","",IF(AND(E6&gt;=4,F6&gt;=4,G6&gt;=4),"Juara",IF(AND(F6&gt;=4,E6&gt;=3),"Setia",IF(AND(E6=5,F6&lt;=2,G6&gt;=3),"Berpotensi",IF(AND(E6&lt;=3,E6&gt;=2,F6&gt;=3),"Rawan",IF(AND(E6&lt;=2,F6&lt;=2),"Tidur","Umum"))))))</f>
        <v/>
      </c>
    </row>
    <row r="7">
      <c r="B7">
        <f>IF(A7="","",$B$1-MAXIFS(Donasi!$A$2:$A$20000,Donasi!$B$2:$B$20000,A7))</f>
        <v/>
      </c>
      <c r="C7">
        <f>IF(A7="","",COUNTIF(Donasi!$B$2:$B$20000,A7))</f>
        <v/>
      </c>
      <c r="D7">
        <f>IF(A7="","",SUMIF(Donasi!$B$2:$B$20000,A7,Donasi!$C$2:$C$20000))</f>
        <v/>
      </c>
      <c r="E7">
        <f>IF(A7="","",6-CEILING(PERCENTRANK.INC($B$3:$B$6000,B7,4)*5+0.000001,1))</f>
        <v/>
      </c>
      <c r="F7">
        <f>IF(A7="","",MAX(1,CEILING(PERCENTRANK.INC($C$3:$C$6000,C7,4)*5+0.000001,1)))</f>
        <v/>
      </c>
      <c r="G7">
        <f>IF(A7="","",MAX(1,CEILING(PERCENTRANK.INC($D$3:$D$6000,D7,4)*5+0.000001,1)))</f>
        <v/>
      </c>
      <c r="H7">
        <f>IF(A7="","",E7&amp;F7&amp;G7)</f>
        <v/>
      </c>
      <c r="I7">
        <f>IF(A7="","",IF(AND(E7&gt;=4,F7&gt;=4,G7&gt;=4),"Juara",IF(AND(F7&gt;=4,E7&gt;=3),"Setia",IF(AND(E7=5,F7&lt;=2,G7&gt;=3),"Berpotensi",IF(AND(E7&lt;=3,E7&gt;=2,F7&gt;=3),"Rawan",IF(AND(E7&lt;=2,F7&lt;=2),"Tidur","Umum"))))))</f>
        <v/>
      </c>
    </row>
    <row r="8">
      <c r="B8">
        <f>IF(A8="","",$B$1-MAXIFS(Donasi!$A$2:$A$20000,Donasi!$B$2:$B$20000,A8))</f>
        <v/>
      </c>
      <c r="C8">
        <f>IF(A8="","",COUNTIF(Donasi!$B$2:$B$20000,A8))</f>
        <v/>
      </c>
      <c r="D8">
        <f>IF(A8="","",SUMIF(Donasi!$B$2:$B$20000,A8,Donasi!$C$2:$C$20000))</f>
        <v/>
      </c>
      <c r="E8">
        <f>IF(A8="","",6-CEILING(PERCENTRANK.INC($B$3:$B$6000,B8,4)*5+0.000001,1))</f>
        <v/>
      </c>
      <c r="F8">
        <f>IF(A8="","",MAX(1,CEILING(PERCENTRANK.INC($C$3:$C$6000,C8,4)*5+0.000001,1)))</f>
        <v/>
      </c>
      <c r="G8">
        <f>IF(A8="","",MAX(1,CEILING(PERCENTRANK.INC($D$3:$D$6000,D8,4)*5+0.000001,1)))</f>
        <v/>
      </c>
      <c r="H8">
        <f>IF(A8="","",E8&amp;F8&amp;G8)</f>
        <v/>
      </c>
      <c r="I8">
        <f>IF(A8="","",IF(AND(E8&gt;=4,F8&gt;=4,G8&gt;=4),"Juara",IF(AND(F8&gt;=4,E8&gt;=3),"Setia",IF(AND(E8=5,F8&lt;=2,G8&gt;=3),"Berpotensi",IF(AND(E8&lt;=3,E8&gt;=2,F8&gt;=3),"Rawan",IF(AND(E8&lt;=2,F8&lt;=2),"Tidur","Umum"))))))</f>
        <v/>
      </c>
    </row>
    <row r="9">
      <c r="B9">
        <f>IF(A9="","",$B$1-MAXIFS(Donasi!$A$2:$A$20000,Donasi!$B$2:$B$20000,A9))</f>
        <v/>
      </c>
      <c r="C9">
        <f>IF(A9="","",COUNTIF(Donasi!$B$2:$B$20000,A9))</f>
        <v/>
      </c>
      <c r="D9">
        <f>IF(A9="","",SUMIF(Donasi!$B$2:$B$20000,A9,Donasi!$C$2:$C$20000))</f>
        <v/>
      </c>
      <c r="E9">
        <f>IF(A9="","",6-CEILING(PERCENTRANK.INC($B$3:$B$6000,B9,4)*5+0.000001,1))</f>
        <v/>
      </c>
      <c r="F9">
        <f>IF(A9="","",MAX(1,CEILING(PERCENTRANK.INC($C$3:$C$6000,C9,4)*5+0.000001,1)))</f>
        <v/>
      </c>
      <c r="G9">
        <f>IF(A9="","",MAX(1,CEILING(PERCENTRANK.INC($D$3:$D$6000,D9,4)*5+0.000001,1)))</f>
        <v/>
      </c>
      <c r="H9">
        <f>IF(A9="","",E9&amp;F9&amp;G9)</f>
        <v/>
      </c>
      <c r="I9">
        <f>IF(A9="","",IF(AND(E9&gt;=4,F9&gt;=4,G9&gt;=4),"Juara",IF(AND(F9&gt;=4,E9&gt;=3),"Setia",IF(AND(E9=5,F9&lt;=2,G9&gt;=3),"Berpotensi",IF(AND(E9&lt;=3,E9&gt;=2,F9&gt;=3),"Rawan",IF(AND(E9&lt;=2,F9&lt;=2),"Tidur","Umum"))))))</f>
        <v/>
      </c>
    </row>
    <row r="10">
      <c r="B10">
        <f>IF(A10="","",$B$1-MAXIFS(Donasi!$A$2:$A$20000,Donasi!$B$2:$B$20000,A10))</f>
        <v/>
      </c>
      <c r="C10">
        <f>IF(A10="","",COUNTIF(Donasi!$B$2:$B$20000,A10))</f>
        <v/>
      </c>
      <c r="D10">
        <f>IF(A10="","",SUMIF(Donasi!$B$2:$B$20000,A10,Donasi!$C$2:$C$20000))</f>
        <v/>
      </c>
      <c r="E10">
        <f>IF(A10="","",6-CEILING(PERCENTRANK.INC($B$3:$B$6000,B10,4)*5+0.000001,1))</f>
        <v/>
      </c>
      <c r="F10">
        <f>IF(A10="","",MAX(1,CEILING(PERCENTRANK.INC($C$3:$C$6000,C10,4)*5+0.000001,1)))</f>
        <v/>
      </c>
      <c r="G10">
        <f>IF(A10="","",MAX(1,CEILING(PERCENTRANK.INC($D$3:$D$6000,D10,4)*5+0.000001,1)))</f>
        <v/>
      </c>
      <c r="H10">
        <f>IF(A10="","",E10&amp;F10&amp;G10)</f>
        <v/>
      </c>
      <c r="I10">
        <f>IF(A10="","",IF(AND(E10&gt;=4,F10&gt;=4,G10&gt;=4),"Juara",IF(AND(F10&gt;=4,E10&gt;=3),"Setia",IF(AND(E10=5,F10&lt;=2,G10&gt;=3),"Berpotensi",IF(AND(E10&lt;=3,E10&gt;=2,F10&gt;=3),"Rawan",IF(AND(E10&lt;=2,F10&lt;=2),"Tidur","Umum"))))))</f>
        <v/>
      </c>
    </row>
    <row r="11">
      <c r="B11">
        <f>IF(A11="","",$B$1-MAXIFS(Donasi!$A$2:$A$20000,Donasi!$B$2:$B$20000,A11))</f>
        <v/>
      </c>
      <c r="C11">
        <f>IF(A11="","",COUNTIF(Donasi!$B$2:$B$20000,A11))</f>
        <v/>
      </c>
      <c r="D11">
        <f>IF(A11="","",SUMIF(Donasi!$B$2:$B$20000,A11,Donasi!$C$2:$C$20000))</f>
        <v/>
      </c>
      <c r="E11">
        <f>IF(A11="","",6-CEILING(PERCENTRANK.INC($B$3:$B$6000,B11,4)*5+0.000001,1))</f>
        <v/>
      </c>
      <c r="F11">
        <f>IF(A11="","",MAX(1,CEILING(PERCENTRANK.INC($C$3:$C$6000,C11,4)*5+0.000001,1)))</f>
        <v/>
      </c>
      <c r="G11">
        <f>IF(A11="","",MAX(1,CEILING(PERCENTRANK.INC($D$3:$D$6000,D11,4)*5+0.000001,1)))</f>
        <v/>
      </c>
      <c r="H11">
        <f>IF(A11="","",E11&amp;F11&amp;G11)</f>
        <v/>
      </c>
      <c r="I11">
        <f>IF(A11="","",IF(AND(E11&gt;=4,F11&gt;=4,G11&gt;=4),"Juara",IF(AND(F11&gt;=4,E11&gt;=3),"Setia",IF(AND(E11=5,F11&lt;=2,G11&gt;=3),"Berpotensi",IF(AND(E11&lt;=3,E11&gt;=2,F11&gt;=3),"Rawan",IF(AND(E11&lt;=2,F11&lt;=2),"Tidur","Umum"))))))</f>
        <v/>
      </c>
    </row>
    <row r="12">
      <c r="B12">
        <f>IF(A12="","",$B$1-MAXIFS(Donasi!$A$2:$A$20000,Donasi!$B$2:$B$20000,A12))</f>
        <v/>
      </c>
      <c r="C12">
        <f>IF(A12="","",COUNTIF(Donasi!$B$2:$B$20000,A12))</f>
        <v/>
      </c>
      <c r="D12">
        <f>IF(A12="","",SUMIF(Donasi!$B$2:$B$20000,A12,Donasi!$C$2:$C$20000))</f>
        <v/>
      </c>
      <c r="E12">
        <f>IF(A12="","",6-CEILING(PERCENTRANK.INC($B$3:$B$6000,B12,4)*5+0.000001,1))</f>
        <v/>
      </c>
      <c r="F12">
        <f>IF(A12="","",MAX(1,CEILING(PERCENTRANK.INC($C$3:$C$6000,C12,4)*5+0.000001,1)))</f>
        <v/>
      </c>
      <c r="G12">
        <f>IF(A12="","",MAX(1,CEILING(PERCENTRANK.INC($D$3:$D$6000,D12,4)*5+0.000001,1)))</f>
        <v/>
      </c>
      <c r="H12">
        <f>IF(A12="","",E12&amp;F12&amp;G12)</f>
        <v/>
      </c>
      <c r="I12">
        <f>IF(A12="","",IF(AND(E12&gt;=4,F12&gt;=4,G12&gt;=4),"Juara",IF(AND(F12&gt;=4,E12&gt;=3),"Setia",IF(AND(E12=5,F12&lt;=2,G12&gt;=3),"Berpotensi",IF(AND(E12&lt;=3,E12&gt;=2,F12&gt;=3),"Rawan",IF(AND(E12&lt;=2,F12&lt;=2),"Tidur","Umum"))))))</f>
        <v/>
      </c>
    </row>
    <row r="13">
      <c r="B13">
        <f>IF(A13="","",$B$1-MAXIFS(Donasi!$A$2:$A$20000,Donasi!$B$2:$B$20000,A13))</f>
        <v/>
      </c>
      <c r="C13">
        <f>IF(A13="","",COUNTIF(Donasi!$B$2:$B$20000,A13))</f>
        <v/>
      </c>
      <c r="D13">
        <f>IF(A13="","",SUMIF(Donasi!$B$2:$B$20000,A13,Donasi!$C$2:$C$20000))</f>
        <v/>
      </c>
      <c r="E13">
        <f>IF(A13="","",6-CEILING(PERCENTRANK.INC($B$3:$B$6000,B13,4)*5+0.000001,1))</f>
        <v/>
      </c>
      <c r="F13">
        <f>IF(A13="","",MAX(1,CEILING(PERCENTRANK.INC($C$3:$C$6000,C13,4)*5+0.000001,1)))</f>
        <v/>
      </c>
      <c r="G13">
        <f>IF(A13="","",MAX(1,CEILING(PERCENTRANK.INC($D$3:$D$6000,D13,4)*5+0.000001,1)))</f>
        <v/>
      </c>
      <c r="H13">
        <f>IF(A13="","",E13&amp;F13&amp;G13)</f>
        <v/>
      </c>
      <c r="I13">
        <f>IF(A13="","",IF(AND(E13&gt;=4,F13&gt;=4,G13&gt;=4),"Juara",IF(AND(F13&gt;=4,E13&gt;=3),"Setia",IF(AND(E13=5,F13&lt;=2,G13&gt;=3),"Berpotensi",IF(AND(E13&lt;=3,E13&gt;=2,F13&gt;=3),"Rawan",IF(AND(E13&lt;=2,F13&lt;=2),"Tidur","Umum"))))))</f>
        <v/>
      </c>
    </row>
    <row r="14">
      <c r="B14">
        <f>IF(A14="","",$B$1-MAXIFS(Donasi!$A$2:$A$20000,Donasi!$B$2:$B$20000,A14))</f>
        <v/>
      </c>
      <c r="C14">
        <f>IF(A14="","",COUNTIF(Donasi!$B$2:$B$20000,A14))</f>
        <v/>
      </c>
      <c r="D14">
        <f>IF(A14="","",SUMIF(Donasi!$B$2:$B$20000,A14,Donasi!$C$2:$C$20000))</f>
        <v/>
      </c>
      <c r="E14">
        <f>IF(A14="","",6-CEILING(PERCENTRANK.INC($B$3:$B$6000,B14,4)*5+0.000001,1))</f>
        <v/>
      </c>
      <c r="F14">
        <f>IF(A14="","",MAX(1,CEILING(PERCENTRANK.INC($C$3:$C$6000,C14,4)*5+0.000001,1)))</f>
        <v/>
      </c>
      <c r="G14">
        <f>IF(A14="","",MAX(1,CEILING(PERCENTRANK.INC($D$3:$D$6000,D14,4)*5+0.000001,1)))</f>
        <v/>
      </c>
      <c r="H14">
        <f>IF(A14="","",E14&amp;F14&amp;G14)</f>
        <v/>
      </c>
      <c r="I14">
        <f>IF(A14="","",IF(AND(E14&gt;=4,F14&gt;=4,G14&gt;=4),"Juara",IF(AND(F14&gt;=4,E14&gt;=3),"Setia",IF(AND(E14=5,F14&lt;=2,G14&gt;=3),"Berpotensi",IF(AND(E14&lt;=3,E14&gt;=2,F14&gt;=3),"Rawan",IF(AND(E14&lt;=2,F14&lt;=2),"Tidur","Umum"))))))</f>
        <v/>
      </c>
    </row>
    <row r="15">
      <c r="B15">
        <f>IF(A15="","",$B$1-MAXIFS(Donasi!$A$2:$A$20000,Donasi!$B$2:$B$20000,A15))</f>
        <v/>
      </c>
      <c r="C15">
        <f>IF(A15="","",COUNTIF(Donasi!$B$2:$B$20000,A15))</f>
        <v/>
      </c>
      <c r="D15">
        <f>IF(A15="","",SUMIF(Donasi!$B$2:$B$20000,A15,Donasi!$C$2:$C$20000))</f>
        <v/>
      </c>
      <c r="E15">
        <f>IF(A15="","",6-CEILING(PERCENTRANK.INC($B$3:$B$6000,B15,4)*5+0.000001,1))</f>
        <v/>
      </c>
      <c r="F15">
        <f>IF(A15="","",MAX(1,CEILING(PERCENTRANK.INC($C$3:$C$6000,C15,4)*5+0.000001,1)))</f>
        <v/>
      </c>
      <c r="G15">
        <f>IF(A15="","",MAX(1,CEILING(PERCENTRANK.INC($D$3:$D$6000,D15,4)*5+0.000001,1)))</f>
        <v/>
      </c>
      <c r="H15">
        <f>IF(A15="","",E15&amp;F15&amp;G15)</f>
        <v/>
      </c>
      <c r="I15">
        <f>IF(A15="","",IF(AND(E15&gt;=4,F15&gt;=4,G15&gt;=4),"Juara",IF(AND(F15&gt;=4,E15&gt;=3),"Setia",IF(AND(E15=5,F15&lt;=2,G15&gt;=3),"Berpotensi",IF(AND(E15&lt;=3,E15&gt;=2,F15&gt;=3),"Rawan",IF(AND(E15&lt;=2,F15&lt;=2),"Tidur","Umum"))))))</f>
        <v/>
      </c>
    </row>
    <row r="16">
      <c r="B16">
        <f>IF(A16="","",$B$1-MAXIFS(Donasi!$A$2:$A$20000,Donasi!$B$2:$B$20000,A16))</f>
        <v/>
      </c>
      <c r="C16">
        <f>IF(A16="","",COUNTIF(Donasi!$B$2:$B$20000,A16))</f>
        <v/>
      </c>
      <c r="D16">
        <f>IF(A16="","",SUMIF(Donasi!$B$2:$B$20000,A16,Donasi!$C$2:$C$20000))</f>
        <v/>
      </c>
      <c r="E16">
        <f>IF(A16="","",6-CEILING(PERCENTRANK.INC($B$3:$B$6000,B16,4)*5+0.000001,1))</f>
        <v/>
      </c>
      <c r="F16">
        <f>IF(A16="","",MAX(1,CEILING(PERCENTRANK.INC($C$3:$C$6000,C16,4)*5+0.000001,1)))</f>
        <v/>
      </c>
      <c r="G16">
        <f>IF(A16="","",MAX(1,CEILING(PERCENTRANK.INC($D$3:$D$6000,D16,4)*5+0.000001,1)))</f>
        <v/>
      </c>
      <c r="H16">
        <f>IF(A16="","",E16&amp;F16&amp;G16)</f>
        <v/>
      </c>
      <c r="I16">
        <f>IF(A16="","",IF(AND(E16&gt;=4,F16&gt;=4,G16&gt;=4),"Juara",IF(AND(F16&gt;=4,E16&gt;=3),"Setia",IF(AND(E16=5,F16&lt;=2,G16&gt;=3),"Berpotensi",IF(AND(E16&lt;=3,E16&gt;=2,F16&gt;=3),"Rawan",IF(AND(E16&lt;=2,F16&lt;=2),"Tidur","Umum"))))))</f>
        <v/>
      </c>
    </row>
    <row r="17">
      <c r="B17">
        <f>IF(A17="","",$B$1-MAXIFS(Donasi!$A$2:$A$20000,Donasi!$B$2:$B$20000,A17))</f>
        <v/>
      </c>
      <c r="C17">
        <f>IF(A17="","",COUNTIF(Donasi!$B$2:$B$20000,A17))</f>
        <v/>
      </c>
      <c r="D17">
        <f>IF(A17="","",SUMIF(Donasi!$B$2:$B$20000,A17,Donasi!$C$2:$C$20000))</f>
        <v/>
      </c>
      <c r="E17">
        <f>IF(A17="","",6-CEILING(PERCENTRANK.INC($B$3:$B$6000,B17,4)*5+0.000001,1))</f>
        <v/>
      </c>
      <c r="F17">
        <f>IF(A17="","",MAX(1,CEILING(PERCENTRANK.INC($C$3:$C$6000,C17,4)*5+0.000001,1)))</f>
        <v/>
      </c>
      <c r="G17">
        <f>IF(A17="","",MAX(1,CEILING(PERCENTRANK.INC($D$3:$D$6000,D17,4)*5+0.000001,1)))</f>
        <v/>
      </c>
      <c r="H17">
        <f>IF(A17="","",E17&amp;F17&amp;G17)</f>
        <v/>
      </c>
      <c r="I17">
        <f>IF(A17="","",IF(AND(E17&gt;=4,F17&gt;=4,G17&gt;=4),"Juara",IF(AND(F17&gt;=4,E17&gt;=3),"Setia",IF(AND(E17=5,F17&lt;=2,G17&gt;=3),"Berpotensi",IF(AND(E17&lt;=3,E17&gt;=2,F17&gt;=3),"Rawan",IF(AND(E17&lt;=2,F17&lt;=2),"Tidur","Umum"))))))</f>
        <v/>
      </c>
    </row>
    <row r="18">
      <c r="B18">
        <f>IF(A18="","",$B$1-MAXIFS(Donasi!$A$2:$A$20000,Donasi!$B$2:$B$20000,A18))</f>
        <v/>
      </c>
      <c r="C18">
        <f>IF(A18="","",COUNTIF(Donasi!$B$2:$B$20000,A18))</f>
        <v/>
      </c>
      <c r="D18">
        <f>IF(A18="","",SUMIF(Donasi!$B$2:$B$20000,A18,Donasi!$C$2:$C$20000))</f>
        <v/>
      </c>
      <c r="E18">
        <f>IF(A18="","",6-CEILING(PERCENTRANK.INC($B$3:$B$6000,B18,4)*5+0.000001,1))</f>
        <v/>
      </c>
      <c r="F18">
        <f>IF(A18="","",MAX(1,CEILING(PERCENTRANK.INC($C$3:$C$6000,C18,4)*5+0.000001,1)))</f>
        <v/>
      </c>
      <c r="G18">
        <f>IF(A18="","",MAX(1,CEILING(PERCENTRANK.INC($D$3:$D$6000,D18,4)*5+0.000001,1)))</f>
        <v/>
      </c>
      <c r="H18">
        <f>IF(A18="","",E18&amp;F18&amp;G18)</f>
        <v/>
      </c>
      <c r="I18">
        <f>IF(A18="","",IF(AND(E18&gt;=4,F18&gt;=4,G18&gt;=4),"Juara",IF(AND(F18&gt;=4,E18&gt;=3),"Setia",IF(AND(E18=5,F18&lt;=2,G18&gt;=3),"Berpotensi",IF(AND(E18&lt;=3,E18&gt;=2,F18&gt;=3),"Rawan",IF(AND(E18&lt;=2,F18&lt;=2),"Tidur","Umum"))))))</f>
        <v/>
      </c>
    </row>
    <row r="19">
      <c r="B19">
        <f>IF(A19="","",$B$1-MAXIFS(Donasi!$A$2:$A$20000,Donasi!$B$2:$B$20000,A19))</f>
        <v/>
      </c>
      <c r="C19">
        <f>IF(A19="","",COUNTIF(Donasi!$B$2:$B$20000,A19))</f>
        <v/>
      </c>
      <c r="D19">
        <f>IF(A19="","",SUMIF(Donasi!$B$2:$B$20000,A19,Donasi!$C$2:$C$20000))</f>
        <v/>
      </c>
      <c r="E19">
        <f>IF(A19="","",6-CEILING(PERCENTRANK.INC($B$3:$B$6000,B19,4)*5+0.000001,1))</f>
        <v/>
      </c>
      <c r="F19">
        <f>IF(A19="","",MAX(1,CEILING(PERCENTRANK.INC($C$3:$C$6000,C19,4)*5+0.000001,1)))</f>
        <v/>
      </c>
      <c r="G19">
        <f>IF(A19="","",MAX(1,CEILING(PERCENTRANK.INC($D$3:$D$6000,D19,4)*5+0.000001,1)))</f>
        <v/>
      </c>
      <c r="H19">
        <f>IF(A19="","",E19&amp;F19&amp;G19)</f>
        <v/>
      </c>
      <c r="I19">
        <f>IF(A19="","",IF(AND(E19&gt;=4,F19&gt;=4,G19&gt;=4),"Juara",IF(AND(F19&gt;=4,E19&gt;=3),"Setia",IF(AND(E19=5,F19&lt;=2,G19&gt;=3),"Berpotensi",IF(AND(E19&lt;=3,E19&gt;=2,F19&gt;=3),"Rawan",IF(AND(E19&lt;=2,F19&lt;=2),"Tidur","Umum"))))))</f>
        <v/>
      </c>
    </row>
    <row r="20">
      <c r="B20">
        <f>IF(A20="","",$B$1-MAXIFS(Donasi!$A$2:$A$20000,Donasi!$B$2:$B$20000,A20))</f>
        <v/>
      </c>
      <c r="C20">
        <f>IF(A20="","",COUNTIF(Donasi!$B$2:$B$20000,A20))</f>
        <v/>
      </c>
      <c r="D20">
        <f>IF(A20="","",SUMIF(Donasi!$B$2:$B$20000,A20,Donasi!$C$2:$C$20000))</f>
        <v/>
      </c>
      <c r="E20">
        <f>IF(A20="","",6-CEILING(PERCENTRANK.INC($B$3:$B$6000,B20,4)*5+0.000001,1))</f>
        <v/>
      </c>
      <c r="F20">
        <f>IF(A20="","",MAX(1,CEILING(PERCENTRANK.INC($C$3:$C$6000,C20,4)*5+0.000001,1)))</f>
        <v/>
      </c>
      <c r="G20">
        <f>IF(A20="","",MAX(1,CEILING(PERCENTRANK.INC($D$3:$D$6000,D20,4)*5+0.000001,1)))</f>
        <v/>
      </c>
      <c r="H20">
        <f>IF(A20="","",E20&amp;F20&amp;G20)</f>
        <v/>
      </c>
      <c r="I20">
        <f>IF(A20="","",IF(AND(E20&gt;=4,F20&gt;=4,G20&gt;=4),"Juara",IF(AND(F20&gt;=4,E20&gt;=3),"Setia",IF(AND(E20=5,F20&lt;=2,G20&gt;=3),"Berpotensi",IF(AND(E20&lt;=3,E20&gt;=2,F20&gt;=3),"Rawan",IF(AND(E20&lt;=2,F20&lt;=2),"Tidur","Umum"))))))</f>
        <v/>
      </c>
    </row>
    <row r="21">
      <c r="B21">
        <f>IF(A21="","",$B$1-MAXIFS(Donasi!$A$2:$A$20000,Donasi!$B$2:$B$20000,A21))</f>
        <v/>
      </c>
      <c r="C21">
        <f>IF(A21="","",COUNTIF(Donasi!$B$2:$B$20000,A21))</f>
        <v/>
      </c>
      <c r="D21">
        <f>IF(A21="","",SUMIF(Donasi!$B$2:$B$20000,A21,Donasi!$C$2:$C$20000))</f>
        <v/>
      </c>
      <c r="E21">
        <f>IF(A21="","",6-CEILING(PERCENTRANK.INC($B$3:$B$6000,B21,4)*5+0.000001,1))</f>
        <v/>
      </c>
      <c r="F21">
        <f>IF(A21="","",MAX(1,CEILING(PERCENTRANK.INC($C$3:$C$6000,C21,4)*5+0.000001,1)))</f>
        <v/>
      </c>
      <c r="G21">
        <f>IF(A21="","",MAX(1,CEILING(PERCENTRANK.INC($D$3:$D$6000,D21,4)*5+0.000001,1)))</f>
        <v/>
      </c>
      <c r="H21">
        <f>IF(A21="","",E21&amp;F21&amp;G21)</f>
        <v/>
      </c>
      <c r="I21">
        <f>IF(A21="","",IF(AND(E21&gt;=4,F21&gt;=4,G21&gt;=4),"Juara",IF(AND(F21&gt;=4,E21&gt;=3),"Setia",IF(AND(E21=5,F21&lt;=2,G21&gt;=3),"Berpotensi",IF(AND(E21&lt;=3,E21&gt;=2,F21&gt;=3),"Rawan",IF(AND(E21&lt;=2,F21&lt;=2),"Tidur","Umum"))))))</f>
        <v/>
      </c>
    </row>
    <row r="22">
      <c r="B22">
        <f>IF(A22="","",$B$1-MAXIFS(Donasi!$A$2:$A$20000,Donasi!$B$2:$B$20000,A22))</f>
        <v/>
      </c>
      <c r="C22">
        <f>IF(A22="","",COUNTIF(Donasi!$B$2:$B$20000,A22))</f>
        <v/>
      </c>
      <c r="D22">
        <f>IF(A22="","",SUMIF(Donasi!$B$2:$B$20000,A22,Donasi!$C$2:$C$20000))</f>
        <v/>
      </c>
      <c r="E22">
        <f>IF(A22="","",6-CEILING(PERCENTRANK.INC($B$3:$B$6000,B22,4)*5+0.000001,1))</f>
        <v/>
      </c>
      <c r="F22">
        <f>IF(A22="","",MAX(1,CEILING(PERCENTRANK.INC($C$3:$C$6000,C22,4)*5+0.000001,1)))</f>
        <v/>
      </c>
      <c r="G22">
        <f>IF(A22="","",MAX(1,CEILING(PERCENTRANK.INC($D$3:$D$6000,D22,4)*5+0.000001,1)))</f>
        <v/>
      </c>
      <c r="H22">
        <f>IF(A22="","",E22&amp;F22&amp;G22)</f>
        <v/>
      </c>
      <c r="I22">
        <f>IF(A22="","",IF(AND(E22&gt;=4,F22&gt;=4,G22&gt;=4),"Juara",IF(AND(F22&gt;=4,E22&gt;=3),"Setia",IF(AND(E22=5,F22&lt;=2,G22&gt;=3),"Berpotensi",IF(AND(E22&lt;=3,E22&gt;=2,F22&gt;=3),"Rawan",IF(AND(E22&lt;=2,F22&lt;=2),"Tidur","Umum"))))))</f>
        <v/>
      </c>
    </row>
    <row r="23">
      <c r="B23">
        <f>IF(A23="","",$B$1-MAXIFS(Donasi!$A$2:$A$20000,Donasi!$B$2:$B$20000,A23))</f>
        <v/>
      </c>
      <c r="C23">
        <f>IF(A23="","",COUNTIF(Donasi!$B$2:$B$20000,A23))</f>
        <v/>
      </c>
      <c r="D23">
        <f>IF(A23="","",SUMIF(Donasi!$B$2:$B$20000,A23,Donasi!$C$2:$C$20000))</f>
        <v/>
      </c>
      <c r="E23">
        <f>IF(A23="","",6-CEILING(PERCENTRANK.INC($B$3:$B$6000,B23,4)*5+0.000001,1))</f>
        <v/>
      </c>
      <c r="F23">
        <f>IF(A23="","",MAX(1,CEILING(PERCENTRANK.INC($C$3:$C$6000,C23,4)*5+0.000001,1)))</f>
        <v/>
      </c>
      <c r="G23">
        <f>IF(A23="","",MAX(1,CEILING(PERCENTRANK.INC($D$3:$D$6000,D23,4)*5+0.000001,1)))</f>
        <v/>
      </c>
      <c r="H23">
        <f>IF(A23="","",E23&amp;F23&amp;G23)</f>
        <v/>
      </c>
      <c r="I23">
        <f>IF(A23="","",IF(AND(E23&gt;=4,F23&gt;=4,G23&gt;=4),"Juara",IF(AND(F23&gt;=4,E23&gt;=3),"Setia",IF(AND(E23=5,F23&lt;=2,G23&gt;=3),"Berpotensi",IF(AND(E23&lt;=3,E23&gt;=2,F23&gt;=3),"Rawan",IF(AND(E23&lt;=2,F23&lt;=2),"Tidur","Umum"))))))</f>
        <v/>
      </c>
    </row>
    <row r="24">
      <c r="B24">
        <f>IF(A24="","",$B$1-MAXIFS(Donasi!$A$2:$A$20000,Donasi!$B$2:$B$20000,A24))</f>
        <v/>
      </c>
      <c r="C24">
        <f>IF(A24="","",COUNTIF(Donasi!$B$2:$B$20000,A24))</f>
        <v/>
      </c>
      <c r="D24">
        <f>IF(A24="","",SUMIF(Donasi!$B$2:$B$20000,A24,Donasi!$C$2:$C$20000))</f>
        <v/>
      </c>
      <c r="E24">
        <f>IF(A24="","",6-CEILING(PERCENTRANK.INC($B$3:$B$6000,B24,4)*5+0.000001,1))</f>
        <v/>
      </c>
      <c r="F24">
        <f>IF(A24="","",MAX(1,CEILING(PERCENTRANK.INC($C$3:$C$6000,C24,4)*5+0.000001,1)))</f>
        <v/>
      </c>
      <c r="G24">
        <f>IF(A24="","",MAX(1,CEILING(PERCENTRANK.INC($D$3:$D$6000,D24,4)*5+0.000001,1)))</f>
        <v/>
      </c>
      <c r="H24">
        <f>IF(A24="","",E24&amp;F24&amp;G24)</f>
        <v/>
      </c>
      <c r="I24">
        <f>IF(A24="","",IF(AND(E24&gt;=4,F24&gt;=4,G24&gt;=4),"Juara",IF(AND(F24&gt;=4,E24&gt;=3),"Setia",IF(AND(E24=5,F24&lt;=2,G24&gt;=3),"Berpotensi",IF(AND(E24&lt;=3,E24&gt;=2,F24&gt;=3),"Rawan",IF(AND(E24&lt;=2,F24&lt;=2),"Tidur","Umum"))))))</f>
        <v/>
      </c>
    </row>
    <row r="25">
      <c r="B25">
        <f>IF(A25="","",$B$1-MAXIFS(Donasi!$A$2:$A$20000,Donasi!$B$2:$B$20000,A25))</f>
        <v/>
      </c>
      <c r="C25">
        <f>IF(A25="","",COUNTIF(Donasi!$B$2:$B$20000,A25))</f>
        <v/>
      </c>
      <c r="D25">
        <f>IF(A25="","",SUMIF(Donasi!$B$2:$B$20000,A25,Donasi!$C$2:$C$20000))</f>
        <v/>
      </c>
      <c r="E25">
        <f>IF(A25="","",6-CEILING(PERCENTRANK.INC($B$3:$B$6000,B25,4)*5+0.000001,1))</f>
        <v/>
      </c>
      <c r="F25">
        <f>IF(A25="","",MAX(1,CEILING(PERCENTRANK.INC($C$3:$C$6000,C25,4)*5+0.000001,1)))</f>
        <v/>
      </c>
      <c r="G25">
        <f>IF(A25="","",MAX(1,CEILING(PERCENTRANK.INC($D$3:$D$6000,D25,4)*5+0.000001,1)))</f>
        <v/>
      </c>
      <c r="H25">
        <f>IF(A25="","",E25&amp;F25&amp;G25)</f>
        <v/>
      </c>
      <c r="I25">
        <f>IF(A25="","",IF(AND(E25&gt;=4,F25&gt;=4,G25&gt;=4),"Juara",IF(AND(F25&gt;=4,E25&gt;=3),"Setia",IF(AND(E25=5,F25&lt;=2,G25&gt;=3),"Berpotensi",IF(AND(E25&lt;=3,E25&gt;=2,F25&gt;=3),"Rawan",IF(AND(E25&lt;=2,F25&lt;=2),"Tidur","Umum"))))))</f>
        <v/>
      </c>
    </row>
    <row r="26">
      <c r="B26">
        <f>IF(A26="","",$B$1-MAXIFS(Donasi!$A$2:$A$20000,Donasi!$B$2:$B$20000,A26))</f>
        <v/>
      </c>
      <c r="C26">
        <f>IF(A26="","",COUNTIF(Donasi!$B$2:$B$20000,A26))</f>
        <v/>
      </c>
      <c r="D26">
        <f>IF(A26="","",SUMIF(Donasi!$B$2:$B$20000,A26,Donasi!$C$2:$C$20000))</f>
        <v/>
      </c>
      <c r="E26">
        <f>IF(A26="","",6-CEILING(PERCENTRANK.INC($B$3:$B$6000,B26,4)*5+0.000001,1))</f>
        <v/>
      </c>
      <c r="F26">
        <f>IF(A26="","",MAX(1,CEILING(PERCENTRANK.INC($C$3:$C$6000,C26,4)*5+0.000001,1)))</f>
        <v/>
      </c>
      <c r="G26">
        <f>IF(A26="","",MAX(1,CEILING(PERCENTRANK.INC($D$3:$D$6000,D26,4)*5+0.000001,1)))</f>
        <v/>
      </c>
      <c r="H26">
        <f>IF(A26="","",E26&amp;F26&amp;G26)</f>
        <v/>
      </c>
      <c r="I26">
        <f>IF(A26="","",IF(AND(E26&gt;=4,F26&gt;=4,G26&gt;=4),"Juara",IF(AND(F26&gt;=4,E26&gt;=3),"Setia",IF(AND(E26=5,F26&lt;=2,G26&gt;=3),"Berpotensi",IF(AND(E26&lt;=3,E26&gt;=2,F26&gt;=3),"Rawan",IF(AND(E26&lt;=2,F26&lt;=2),"Tidur","Umum"))))))</f>
        <v/>
      </c>
    </row>
    <row r="27">
      <c r="B27">
        <f>IF(A27="","",$B$1-MAXIFS(Donasi!$A$2:$A$20000,Donasi!$B$2:$B$20000,A27))</f>
        <v/>
      </c>
      <c r="C27">
        <f>IF(A27="","",COUNTIF(Donasi!$B$2:$B$20000,A27))</f>
        <v/>
      </c>
      <c r="D27">
        <f>IF(A27="","",SUMIF(Donasi!$B$2:$B$20000,A27,Donasi!$C$2:$C$20000))</f>
        <v/>
      </c>
      <c r="E27">
        <f>IF(A27="","",6-CEILING(PERCENTRANK.INC($B$3:$B$6000,B27,4)*5+0.000001,1))</f>
        <v/>
      </c>
      <c r="F27">
        <f>IF(A27="","",MAX(1,CEILING(PERCENTRANK.INC($C$3:$C$6000,C27,4)*5+0.000001,1)))</f>
        <v/>
      </c>
      <c r="G27">
        <f>IF(A27="","",MAX(1,CEILING(PERCENTRANK.INC($D$3:$D$6000,D27,4)*5+0.000001,1)))</f>
        <v/>
      </c>
      <c r="H27">
        <f>IF(A27="","",E27&amp;F27&amp;G27)</f>
        <v/>
      </c>
      <c r="I27">
        <f>IF(A27="","",IF(AND(E27&gt;=4,F27&gt;=4,G27&gt;=4),"Juara",IF(AND(F27&gt;=4,E27&gt;=3),"Setia",IF(AND(E27=5,F27&lt;=2,G27&gt;=3),"Berpotensi",IF(AND(E27&lt;=3,E27&gt;=2,F27&gt;=3),"Rawan",IF(AND(E27&lt;=2,F27&lt;=2),"Tidur","Umum"))))))</f>
        <v/>
      </c>
    </row>
    <row r="28">
      <c r="B28">
        <f>IF(A28="","",$B$1-MAXIFS(Donasi!$A$2:$A$20000,Donasi!$B$2:$B$20000,A28))</f>
        <v/>
      </c>
      <c r="C28">
        <f>IF(A28="","",COUNTIF(Donasi!$B$2:$B$20000,A28))</f>
        <v/>
      </c>
      <c r="D28">
        <f>IF(A28="","",SUMIF(Donasi!$B$2:$B$20000,A28,Donasi!$C$2:$C$20000))</f>
        <v/>
      </c>
      <c r="E28">
        <f>IF(A28="","",6-CEILING(PERCENTRANK.INC($B$3:$B$6000,B28,4)*5+0.000001,1))</f>
        <v/>
      </c>
      <c r="F28">
        <f>IF(A28="","",MAX(1,CEILING(PERCENTRANK.INC($C$3:$C$6000,C28,4)*5+0.000001,1)))</f>
        <v/>
      </c>
      <c r="G28">
        <f>IF(A28="","",MAX(1,CEILING(PERCENTRANK.INC($D$3:$D$6000,D28,4)*5+0.000001,1)))</f>
        <v/>
      </c>
      <c r="H28">
        <f>IF(A28="","",E28&amp;F28&amp;G28)</f>
        <v/>
      </c>
      <c r="I28">
        <f>IF(A28="","",IF(AND(E28&gt;=4,F28&gt;=4,G28&gt;=4),"Juara",IF(AND(F28&gt;=4,E28&gt;=3),"Setia",IF(AND(E28=5,F28&lt;=2,G28&gt;=3),"Berpotensi",IF(AND(E28&lt;=3,E28&gt;=2,F28&gt;=3),"Rawan",IF(AND(E28&lt;=2,F28&lt;=2),"Tidur","Umum"))))))</f>
        <v/>
      </c>
    </row>
    <row r="29">
      <c r="B29">
        <f>IF(A29="","",$B$1-MAXIFS(Donasi!$A$2:$A$20000,Donasi!$B$2:$B$20000,A29))</f>
        <v/>
      </c>
      <c r="C29">
        <f>IF(A29="","",COUNTIF(Donasi!$B$2:$B$20000,A29))</f>
        <v/>
      </c>
      <c r="D29">
        <f>IF(A29="","",SUMIF(Donasi!$B$2:$B$20000,A29,Donasi!$C$2:$C$20000))</f>
        <v/>
      </c>
      <c r="E29">
        <f>IF(A29="","",6-CEILING(PERCENTRANK.INC($B$3:$B$6000,B29,4)*5+0.000001,1))</f>
        <v/>
      </c>
      <c r="F29">
        <f>IF(A29="","",MAX(1,CEILING(PERCENTRANK.INC($C$3:$C$6000,C29,4)*5+0.000001,1)))</f>
        <v/>
      </c>
      <c r="G29">
        <f>IF(A29="","",MAX(1,CEILING(PERCENTRANK.INC($D$3:$D$6000,D29,4)*5+0.000001,1)))</f>
        <v/>
      </c>
      <c r="H29">
        <f>IF(A29="","",E29&amp;F29&amp;G29)</f>
        <v/>
      </c>
      <c r="I29">
        <f>IF(A29="","",IF(AND(E29&gt;=4,F29&gt;=4,G29&gt;=4),"Juara",IF(AND(F29&gt;=4,E29&gt;=3),"Setia",IF(AND(E29=5,F29&lt;=2,G29&gt;=3),"Berpotensi",IF(AND(E29&lt;=3,E29&gt;=2,F29&gt;=3),"Rawan",IF(AND(E29&lt;=2,F29&lt;=2),"Tidur","Umum"))))))</f>
        <v/>
      </c>
    </row>
    <row r="30">
      <c r="B30">
        <f>IF(A30="","",$B$1-MAXIFS(Donasi!$A$2:$A$20000,Donasi!$B$2:$B$20000,A30))</f>
        <v/>
      </c>
      <c r="C30">
        <f>IF(A30="","",COUNTIF(Donasi!$B$2:$B$20000,A30))</f>
        <v/>
      </c>
      <c r="D30">
        <f>IF(A30="","",SUMIF(Donasi!$B$2:$B$20000,A30,Donasi!$C$2:$C$20000))</f>
        <v/>
      </c>
      <c r="E30">
        <f>IF(A30="","",6-CEILING(PERCENTRANK.INC($B$3:$B$6000,B30,4)*5+0.000001,1))</f>
        <v/>
      </c>
      <c r="F30">
        <f>IF(A30="","",MAX(1,CEILING(PERCENTRANK.INC($C$3:$C$6000,C30,4)*5+0.000001,1)))</f>
        <v/>
      </c>
      <c r="G30">
        <f>IF(A30="","",MAX(1,CEILING(PERCENTRANK.INC($D$3:$D$6000,D30,4)*5+0.000001,1)))</f>
        <v/>
      </c>
      <c r="H30">
        <f>IF(A30="","",E30&amp;F30&amp;G30)</f>
        <v/>
      </c>
      <c r="I30">
        <f>IF(A30="","",IF(AND(E30&gt;=4,F30&gt;=4,G30&gt;=4),"Juara",IF(AND(F30&gt;=4,E30&gt;=3),"Setia",IF(AND(E30=5,F30&lt;=2,G30&gt;=3),"Berpotensi",IF(AND(E30&lt;=3,E30&gt;=2,F30&gt;=3),"Rawan",IF(AND(E30&lt;=2,F30&lt;=2),"Tidur","Umum"))))))</f>
        <v/>
      </c>
    </row>
    <row r="31">
      <c r="B31">
        <f>IF(A31="","",$B$1-MAXIFS(Donasi!$A$2:$A$20000,Donasi!$B$2:$B$20000,A31))</f>
        <v/>
      </c>
      <c r="C31">
        <f>IF(A31="","",COUNTIF(Donasi!$B$2:$B$20000,A31))</f>
        <v/>
      </c>
      <c r="D31">
        <f>IF(A31="","",SUMIF(Donasi!$B$2:$B$20000,A31,Donasi!$C$2:$C$20000))</f>
        <v/>
      </c>
      <c r="E31">
        <f>IF(A31="","",6-CEILING(PERCENTRANK.INC($B$3:$B$6000,B31,4)*5+0.000001,1))</f>
        <v/>
      </c>
      <c r="F31">
        <f>IF(A31="","",MAX(1,CEILING(PERCENTRANK.INC($C$3:$C$6000,C31,4)*5+0.000001,1)))</f>
        <v/>
      </c>
      <c r="G31">
        <f>IF(A31="","",MAX(1,CEILING(PERCENTRANK.INC($D$3:$D$6000,D31,4)*5+0.000001,1)))</f>
        <v/>
      </c>
      <c r="H31">
        <f>IF(A31="","",E31&amp;F31&amp;G31)</f>
        <v/>
      </c>
      <c r="I31">
        <f>IF(A31="","",IF(AND(E31&gt;=4,F31&gt;=4,G31&gt;=4),"Juara",IF(AND(F31&gt;=4,E31&gt;=3),"Setia",IF(AND(E31=5,F31&lt;=2,G31&gt;=3),"Berpotensi",IF(AND(E31&lt;=3,E31&gt;=2,F31&gt;=3),"Rawan",IF(AND(E31&lt;=2,F31&lt;=2),"Tidur","Umum"))))))</f>
        <v/>
      </c>
    </row>
    <row r="32">
      <c r="B32">
        <f>IF(A32="","",$B$1-MAXIFS(Donasi!$A$2:$A$20000,Donasi!$B$2:$B$20000,A32))</f>
        <v/>
      </c>
      <c r="C32">
        <f>IF(A32="","",COUNTIF(Donasi!$B$2:$B$20000,A32))</f>
        <v/>
      </c>
      <c r="D32">
        <f>IF(A32="","",SUMIF(Donasi!$B$2:$B$20000,A32,Donasi!$C$2:$C$20000))</f>
        <v/>
      </c>
      <c r="E32">
        <f>IF(A32="","",6-CEILING(PERCENTRANK.INC($B$3:$B$6000,B32,4)*5+0.000001,1))</f>
        <v/>
      </c>
      <c r="F32">
        <f>IF(A32="","",MAX(1,CEILING(PERCENTRANK.INC($C$3:$C$6000,C32,4)*5+0.000001,1)))</f>
        <v/>
      </c>
      <c r="G32">
        <f>IF(A32="","",MAX(1,CEILING(PERCENTRANK.INC($D$3:$D$6000,D32,4)*5+0.000001,1)))</f>
        <v/>
      </c>
      <c r="H32">
        <f>IF(A32="","",E32&amp;F32&amp;G32)</f>
        <v/>
      </c>
      <c r="I32">
        <f>IF(A32="","",IF(AND(E32&gt;=4,F32&gt;=4,G32&gt;=4),"Juara",IF(AND(F32&gt;=4,E32&gt;=3),"Setia",IF(AND(E32=5,F32&lt;=2,G32&gt;=3),"Berpotensi",IF(AND(E32&lt;=3,E32&gt;=2,F32&gt;=3),"Rawan",IF(AND(E32&lt;=2,F32&lt;=2),"Tidur","Umum"))))))</f>
        <v/>
      </c>
    </row>
    <row r="33">
      <c r="B33">
        <f>IF(A33="","",$B$1-MAXIFS(Donasi!$A$2:$A$20000,Donasi!$B$2:$B$20000,A33))</f>
        <v/>
      </c>
      <c r="C33">
        <f>IF(A33="","",COUNTIF(Donasi!$B$2:$B$20000,A33))</f>
        <v/>
      </c>
      <c r="D33">
        <f>IF(A33="","",SUMIF(Donasi!$B$2:$B$20000,A33,Donasi!$C$2:$C$20000))</f>
        <v/>
      </c>
      <c r="E33">
        <f>IF(A33="","",6-CEILING(PERCENTRANK.INC($B$3:$B$6000,B33,4)*5+0.000001,1))</f>
        <v/>
      </c>
      <c r="F33">
        <f>IF(A33="","",MAX(1,CEILING(PERCENTRANK.INC($C$3:$C$6000,C33,4)*5+0.000001,1)))</f>
        <v/>
      </c>
      <c r="G33">
        <f>IF(A33="","",MAX(1,CEILING(PERCENTRANK.INC($D$3:$D$6000,D33,4)*5+0.000001,1)))</f>
        <v/>
      </c>
      <c r="H33">
        <f>IF(A33="","",E33&amp;F33&amp;G33)</f>
        <v/>
      </c>
      <c r="I33">
        <f>IF(A33="","",IF(AND(E33&gt;=4,F33&gt;=4,G33&gt;=4),"Juara",IF(AND(F33&gt;=4,E33&gt;=3),"Setia",IF(AND(E33=5,F33&lt;=2,G33&gt;=3),"Berpotensi",IF(AND(E33&lt;=3,E33&gt;=2,F33&gt;=3),"Rawan",IF(AND(E33&lt;=2,F33&lt;=2),"Tidur","Umum"))))))</f>
        <v/>
      </c>
    </row>
    <row r="34">
      <c r="B34">
        <f>IF(A34="","",$B$1-MAXIFS(Donasi!$A$2:$A$20000,Donasi!$B$2:$B$20000,A34))</f>
        <v/>
      </c>
      <c r="C34">
        <f>IF(A34="","",COUNTIF(Donasi!$B$2:$B$20000,A34))</f>
        <v/>
      </c>
      <c r="D34">
        <f>IF(A34="","",SUMIF(Donasi!$B$2:$B$20000,A34,Donasi!$C$2:$C$20000))</f>
        <v/>
      </c>
      <c r="E34">
        <f>IF(A34="","",6-CEILING(PERCENTRANK.INC($B$3:$B$6000,B34,4)*5+0.000001,1))</f>
        <v/>
      </c>
      <c r="F34">
        <f>IF(A34="","",MAX(1,CEILING(PERCENTRANK.INC($C$3:$C$6000,C34,4)*5+0.000001,1)))</f>
        <v/>
      </c>
      <c r="G34">
        <f>IF(A34="","",MAX(1,CEILING(PERCENTRANK.INC($D$3:$D$6000,D34,4)*5+0.000001,1)))</f>
        <v/>
      </c>
      <c r="H34">
        <f>IF(A34="","",E34&amp;F34&amp;G34)</f>
        <v/>
      </c>
      <c r="I34">
        <f>IF(A34="","",IF(AND(E34&gt;=4,F34&gt;=4,G34&gt;=4),"Juara",IF(AND(F34&gt;=4,E34&gt;=3),"Setia",IF(AND(E34=5,F34&lt;=2,G34&gt;=3),"Berpotensi",IF(AND(E34&lt;=3,E34&gt;=2,F34&gt;=3),"Rawan",IF(AND(E34&lt;=2,F34&lt;=2),"Tidur","Umum"))))))</f>
        <v/>
      </c>
    </row>
    <row r="35">
      <c r="B35">
        <f>IF(A35="","",$B$1-MAXIFS(Donasi!$A$2:$A$20000,Donasi!$B$2:$B$20000,A35))</f>
        <v/>
      </c>
      <c r="C35">
        <f>IF(A35="","",COUNTIF(Donasi!$B$2:$B$20000,A35))</f>
        <v/>
      </c>
      <c r="D35">
        <f>IF(A35="","",SUMIF(Donasi!$B$2:$B$20000,A35,Donasi!$C$2:$C$20000))</f>
        <v/>
      </c>
      <c r="E35">
        <f>IF(A35="","",6-CEILING(PERCENTRANK.INC($B$3:$B$6000,B35,4)*5+0.000001,1))</f>
        <v/>
      </c>
      <c r="F35">
        <f>IF(A35="","",MAX(1,CEILING(PERCENTRANK.INC($C$3:$C$6000,C35,4)*5+0.000001,1)))</f>
        <v/>
      </c>
      <c r="G35">
        <f>IF(A35="","",MAX(1,CEILING(PERCENTRANK.INC($D$3:$D$6000,D35,4)*5+0.000001,1)))</f>
        <v/>
      </c>
      <c r="H35">
        <f>IF(A35="","",E35&amp;F35&amp;G35)</f>
        <v/>
      </c>
      <c r="I35">
        <f>IF(A35="","",IF(AND(E35&gt;=4,F35&gt;=4,G35&gt;=4),"Juara",IF(AND(F35&gt;=4,E35&gt;=3),"Setia",IF(AND(E35=5,F35&lt;=2,G35&gt;=3),"Berpotensi",IF(AND(E35&lt;=3,E35&gt;=2,F35&gt;=3),"Rawan",IF(AND(E35&lt;=2,F35&lt;=2),"Tidur","Umum"))))))</f>
        <v/>
      </c>
    </row>
    <row r="36">
      <c r="B36">
        <f>IF(A36="","",$B$1-MAXIFS(Donasi!$A$2:$A$20000,Donasi!$B$2:$B$20000,A36))</f>
        <v/>
      </c>
      <c r="C36">
        <f>IF(A36="","",COUNTIF(Donasi!$B$2:$B$20000,A36))</f>
        <v/>
      </c>
      <c r="D36">
        <f>IF(A36="","",SUMIF(Donasi!$B$2:$B$20000,A36,Donasi!$C$2:$C$20000))</f>
        <v/>
      </c>
      <c r="E36">
        <f>IF(A36="","",6-CEILING(PERCENTRANK.INC($B$3:$B$6000,B36,4)*5+0.000001,1))</f>
        <v/>
      </c>
      <c r="F36">
        <f>IF(A36="","",MAX(1,CEILING(PERCENTRANK.INC($C$3:$C$6000,C36,4)*5+0.000001,1)))</f>
        <v/>
      </c>
      <c r="G36">
        <f>IF(A36="","",MAX(1,CEILING(PERCENTRANK.INC($D$3:$D$6000,D36,4)*5+0.000001,1)))</f>
        <v/>
      </c>
      <c r="H36">
        <f>IF(A36="","",E36&amp;F36&amp;G36)</f>
        <v/>
      </c>
      <c r="I36">
        <f>IF(A36="","",IF(AND(E36&gt;=4,F36&gt;=4,G36&gt;=4),"Juara",IF(AND(F36&gt;=4,E36&gt;=3),"Setia",IF(AND(E36=5,F36&lt;=2,G36&gt;=3),"Berpotensi",IF(AND(E36&lt;=3,E36&gt;=2,F36&gt;=3),"Rawan",IF(AND(E36&lt;=2,F36&lt;=2),"Tidur","Umum"))))))</f>
        <v/>
      </c>
    </row>
    <row r="37">
      <c r="B37">
        <f>IF(A37="","",$B$1-MAXIFS(Donasi!$A$2:$A$20000,Donasi!$B$2:$B$20000,A37))</f>
        <v/>
      </c>
      <c r="C37">
        <f>IF(A37="","",COUNTIF(Donasi!$B$2:$B$20000,A37))</f>
        <v/>
      </c>
      <c r="D37">
        <f>IF(A37="","",SUMIF(Donasi!$B$2:$B$20000,A37,Donasi!$C$2:$C$20000))</f>
        <v/>
      </c>
      <c r="E37">
        <f>IF(A37="","",6-CEILING(PERCENTRANK.INC($B$3:$B$6000,B37,4)*5+0.000001,1))</f>
        <v/>
      </c>
      <c r="F37">
        <f>IF(A37="","",MAX(1,CEILING(PERCENTRANK.INC($C$3:$C$6000,C37,4)*5+0.000001,1)))</f>
        <v/>
      </c>
      <c r="G37">
        <f>IF(A37="","",MAX(1,CEILING(PERCENTRANK.INC($D$3:$D$6000,D37,4)*5+0.000001,1)))</f>
        <v/>
      </c>
      <c r="H37">
        <f>IF(A37="","",E37&amp;F37&amp;G37)</f>
        <v/>
      </c>
      <c r="I37">
        <f>IF(A37="","",IF(AND(E37&gt;=4,F37&gt;=4,G37&gt;=4),"Juara",IF(AND(F37&gt;=4,E37&gt;=3),"Setia",IF(AND(E37=5,F37&lt;=2,G37&gt;=3),"Berpotensi",IF(AND(E37&lt;=3,E37&gt;=2,F37&gt;=3),"Rawan",IF(AND(E37&lt;=2,F37&lt;=2),"Tidur","Umum"))))))</f>
        <v/>
      </c>
    </row>
    <row r="38">
      <c r="B38">
        <f>IF(A38="","",$B$1-MAXIFS(Donasi!$A$2:$A$20000,Donasi!$B$2:$B$20000,A38))</f>
        <v/>
      </c>
      <c r="C38">
        <f>IF(A38="","",COUNTIF(Donasi!$B$2:$B$20000,A38))</f>
        <v/>
      </c>
      <c r="D38">
        <f>IF(A38="","",SUMIF(Donasi!$B$2:$B$20000,A38,Donasi!$C$2:$C$20000))</f>
        <v/>
      </c>
      <c r="E38">
        <f>IF(A38="","",6-CEILING(PERCENTRANK.INC($B$3:$B$6000,B38,4)*5+0.000001,1))</f>
        <v/>
      </c>
      <c r="F38">
        <f>IF(A38="","",MAX(1,CEILING(PERCENTRANK.INC($C$3:$C$6000,C38,4)*5+0.000001,1)))</f>
        <v/>
      </c>
      <c r="G38">
        <f>IF(A38="","",MAX(1,CEILING(PERCENTRANK.INC($D$3:$D$6000,D38,4)*5+0.000001,1)))</f>
        <v/>
      </c>
      <c r="H38">
        <f>IF(A38="","",E38&amp;F38&amp;G38)</f>
        <v/>
      </c>
      <c r="I38">
        <f>IF(A38="","",IF(AND(E38&gt;=4,F38&gt;=4,G38&gt;=4),"Juara",IF(AND(F38&gt;=4,E38&gt;=3),"Setia",IF(AND(E38=5,F38&lt;=2,G38&gt;=3),"Berpotensi",IF(AND(E38&lt;=3,E38&gt;=2,F38&gt;=3),"Rawan",IF(AND(E38&lt;=2,F38&lt;=2),"Tidur","Umum"))))))</f>
        <v/>
      </c>
    </row>
    <row r="39">
      <c r="B39">
        <f>IF(A39="","",$B$1-MAXIFS(Donasi!$A$2:$A$20000,Donasi!$B$2:$B$20000,A39))</f>
        <v/>
      </c>
      <c r="C39">
        <f>IF(A39="","",COUNTIF(Donasi!$B$2:$B$20000,A39))</f>
        <v/>
      </c>
      <c r="D39">
        <f>IF(A39="","",SUMIF(Donasi!$B$2:$B$20000,A39,Donasi!$C$2:$C$20000))</f>
        <v/>
      </c>
      <c r="E39">
        <f>IF(A39="","",6-CEILING(PERCENTRANK.INC($B$3:$B$6000,B39,4)*5+0.000001,1))</f>
        <v/>
      </c>
      <c r="F39">
        <f>IF(A39="","",MAX(1,CEILING(PERCENTRANK.INC($C$3:$C$6000,C39,4)*5+0.000001,1)))</f>
        <v/>
      </c>
      <c r="G39">
        <f>IF(A39="","",MAX(1,CEILING(PERCENTRANK.INC($D$3:$D$6000,D39,4)*5+0.000001,1)))</f>
        <v/>
      </c>
      <c r="H39">
        <f>IF(A39="","",E39&amp;F39&amp;G39)</f>
        <v/>
      </c>
      <c r="I39">
        <f>IF(A39="","",IF(AND(E39&gt;=4,F39&gt;=4,G39&gt;=4),"Juara",IF(AND(F39&gt;=4,E39&gt;=3),"Setia",IF(AND(E39=5,F39&lt;=2,G39&gt;=3),"Berpotensi",IF(AND(E39&lt;=3,E39&gt;=2,F39&gt;=3),"Rawan",IF(AND(E39&lt;=2,F39&lt;=2),"Tidur","Umum"))))))</f>
        <v/>
      </c>
    </row>
    <row r="40">
      <c r="B40">
        <f>IF(A40="","",$B$1-MAXIFS(Donasi!$A$2:$A$20000,Donasi!$B$2:$B$20000,A40))</f>
        <v/>
      </c>
      <c r="C40">
        <f>IF(A40="","",COUNTIF(Donasi!$B$2:$B$20000,A40))</f>
        <v/>
      </c>
      <c r="D40">
        <f>IF(A40="","",SUMIF(Donasi!$B$2:$B$20000,A40,Donasi!$C$2:$C$20000))</f>
        <v/>
      </c>
      <c r="E40">
        <f>IF(A40="","",6-CEILING(PERCENTRANK.INC($B$3:$B$6000,B40,4)*5+0.000001,1))</f>
        <v/>
      </c>
      <c r="F40">
        <f>IF(A40="","",MAX(1,CEILING(PERCENTRANK.INC($C$3:$C$6000,C40,4)*5+0.000001,1)))</f>
        <v/>
      </c>
      <c r="G40">
        <f>IF(A40="","",MAX(1,CEILING(PERCENTRANK.INC($D$3:$D$6000,D40,4)*5+0.000001,1)))</f>
        <v/>
      </c>
      <c r="H40">
        <f>IF(A40="","",E40&amp;F40&amp;G40)</f>
        <v/>
      </c>
      <c r="I40">
        <f>IF(A40="","",IF(AND(E40&gt;=4,F40&gt;=4,G40&gt;=4),"Juara",IF(AND(F40&gt;=4,E40&gt;=3),"Setia",IF(AND(E40=5,F40&lt;=2,G40&gt;=3),"Berpotensi",IF(AND(E40&lt;=3,E40&gt;=2,F40&gt;=3),"Rawan",IF(AND(E40&lt;=2,F40&lt;=2),"Tidur","Umum"))))))</f>
        <v/>
      </c>
    </row>
    <row r="41">
      <c r="B41">
        <f>IF(A41="","",$B$1-MAXIFS(Donasi!$A$2:$A$20000,Donasi!$B$2:$B$20000,A41))</f>
        <v/>
      </c>
      <c r="C41">
        <f>IF(A41="","",COUNTIF(Donasi!$B$2:$B$20000,A41))</f>
        <v/>
      </c>
      <c r="D41">
        <f>IF(A41="","",SUMIF(Donasi!$B$2:$B$20000,A41,Donasi!$C$2:$C$20000))</f>
        <v/>
      </c>
      <c r="E41">
        <f>IF(A41="","",6-CEILING(PERCENTRANK.INC($B$3:$B$6000,B41,4)*5+0.000001,1))</f>
        <v/>
      </c>
      <c r="F41">
        <f>IF(A41="","",MAX(1,CEILING(PERCENTRANK.INC($C$3:$C$6000,C41,4)*5+0.000001,1)))</f>
        <v/>
      </c>
      <c r="G41">
        <f>IF(A41="","",MAX(1,CEILING(PERCENTRANK.INC($D$3:$D$6000,D41,4)*5+0.000001,1)))</f>
        <v/>
      </c>
      <c r="H41">
        <f>IF(A41="","",E41&amp;F41&amp;G41)</f>
        <v/>
      </c>
      <c r="I41">
        <f>IF(A41="","",IF(AND(E41&gt;=4,F41&gt;=4,G41&gt;=4),"Juara",IF(AND(F41&gt;=4,E41&gt;=3),"Setia",IF(AND(E41=5,F41&lt;=2,G41&gt;=3),"Berpotensi",IF(AND(E41&lt;=3,E41&gt;=2,F41&gt;=3),"Rawan",IF(AND(E41&lt;=2,F41&lt;=2),"Tidur","Umum"))))))</f>
        <v/>
      </c>
    </row>
    <row r="42">
      <c r="B42">
        <f>IF(A42="","",$B$1-MAXIFS(Donasi!$A$2:$A$20000,Donasi!$B$2:$B$20000,A42))</f>
        <v/>
      </c>
      <c r="C42">
        <f>IF(A42="","",COUNTIF(Donasi!$B$2:$B$20000,A42))</f>
        <v/>
      </c>
      <c r="D42">
        <f>IF(A42="","",SUMIF(Donasi!$B$2:$B$20000,A42,Donasi!$C$2:$C$20000))</f>
        <v/>
      </c>
      <c r="E42">
        <f>IF(A42="","",6-CEILING(PERCENTRANK.INC($B$3:$B$6000,B42,4)*5+0.000001,1))</f>
        <v/>
      </c>
      <c r="F42">
        <f>IF(A42="","",MAX(1,CEILING(PERCENTRANK.INC($C$3:$C$6000,C42,4)*5+0.000001,1)))</f>
        <v/>
      </c>
      <c r="G42">
        <f>IF(A42="","",MAX(1,CEILING(PERCENTRANK.INC($D$3:$D$6000,D42,4)*5+0.000001,1)))</f>
        <v/>
      </c>
      <c r="H42">
        <f>IF(A42="","",E42&amp;F42&amp;G42)</f>
        <v/>
      </c>
      <c r="I42">
        <f>IF(A42="","",IF(AND(E42&gt;=4,F42&gt;=4,G42&gt;=4),"Juara",IF(AND(F42&gt;=4,E42&gt;=3),"Setia",IF(AND(E42=5,F42&lt;=2,G42&gt;=3),"Berpotensi",IF(AND(E42&lt;=3,E42&gt;=2,F42&gt;=3),"Rawan",IF(AND(E42&lt;=2,F42&lt;=2),"Tidur","Umum"))))))</f>
        <v/>
      </c>
    </row>
    <row r="43">
      <c r="B43">
        <f>IF(A43="","",$B$1-MAXIFS(Donasi!$A$2:$A$20000,Donasi!$B$2:$B$20000,A43))</f>
        <v/>
      </c>
      <c r="C43">
        <f>IF(A43="","",COUNTIF(Donasi!$B$2:$B$20000,A43))</f>
        <v/>
      </c>
      <c r="D43">
        <f>IF(A43="","",SUMIF(Donasi!$B$2:$B$20000,A43,Donasi!$C$2:$C$20000))</f>
        <v/>
      </c>
      <c r="E43">
        <f>IF(A43="","",6-CEILING(PERCENTRANK.INC($B$3:$B$6000,B43,4)*5+0.000001,1))</f>
        <v/>
      </c>
      <c r="F43">
        <f>IF(A43="","",MAX(1,CEILING(PERCENTRANK.INC($C$3:$C$6000,C43,4)*5+0.000001,1)))</f>
        <v/>
      </c>
      <c r="G43">
        <f>IF(A43="","",MAX(1,CEILING(PERCENTRANK.INC($D$3:$D$6000,D43,4)*5+0.000001,1)))</f>
        <v/>
      </c>
      <c r="H43">
        <f>IF(A43="","",E43&amp;F43&amp;G43)</f>
        <v/>
      </c>
      <c r="I43">
        <f>IF(A43="","",IF(AND(E43&gt;=4,F43&gt;=4,G43&gt;=4),"Juara",IF(AND(F43&gt;=4,E43&gt;=3),"Setia",IF(AND(E43=5,F43&lt;=2,G43&gt;=3),"Berpotensi",IF(AND(E43&lt;=3,E43&gt;=2,F43&gt;=3),"Rawan",IF(AND(E43&lt;=2,F43&lt;=2),"Tidur","Umum"))))))</f>
        <v/>
      </c>
    </row>
    <row r="44">
      <c r="B44">
        <f>IF(A44="","",$B$1-MAXIFS(Donasi!$A$2:$A$20000,Donasi!$B$2:$B$20000,A44))</f>
        <v/>
      </c>
      <c r="C44">
        <f>IF(A44="","",COUNTIF(Donasi!$B$2:$B$20000,A44))</f>
        <v/>
      </c>
      <c r="D44">
        <f>IF(A44="","",SUMIF(Donasi!$B$2:$B$20000,A44,Donasi!$C$2:$C$20000))</f>
        <v/>
      </c>
      <c r="E44">
        <f>IF(A44="","",6-CEILING(PERCENTRANK.INC($B$3:$B$6000,B44,4)*5+0.000001,1))</f>
        <v/>
      </c>
      <c r="F44">
        <f>IF(A44="","",MAX(1,CEILING(PERCENTRANK.INC($C$3:$C$6000,C44,4)*5+0.000001,1)))</f>
        <v/>
      </c>
      <c r="G44">
        <f>IF(A44="","",MAX(1,CEILING(PERCENTRANK.INC($D$3:$D$6000,D44,4)*5+0.000001,1)))</f>
        <v/>
      </c>
      <c r="H44">
        <f>IF(A44="","",E44&amp;F44&amp;G44)</f>
        <v/>
      </c>
      <c r="I44">
        <f>IF(A44="","",IF(AND(E44&gt;=4,F44&gt;=4,G44&gt;=4),"Juara",IF(AND(F44&gt;=4,E44&gt;=3),"Setia",IF(AND(E44=5,F44&lt;=2,G44&gt;=3),"Berpotensi",IF(AND(E44&lt;=3,E44&gt;=2,F44&gt;=3),"Rawan",IF(AND(E44&lt;=2,F44&lt;=2),"Tidur","Umum"))))))</f>
        <v/>
      </c>
    </row>
    <row r="45">
      <c r="B45">
        <f>IF(A45="","",$B$1-MAXIFS(Donasi!$A$2:$A$20000,Donasi!$B$2:$B$20000,A45))</f>
        <v/>
      </c>
      <c r="C45">
        <f>IF(A45="","",COUNTIF(Donasi!$B$2:$B$20000,A45))</f>
        <v/>
      </c>
      <c r="D45">
        <f>IF(A45="","",SUMIF(Donasi!$B$2:$B$20000,A45,Donasi!$C$2:$C$20000))</f>
        <v/>
      </c>
      <c r="E45">
        <f>IF(A45="","",6-CEILING(PERCENTRANK.INC($B$3:$B$6000,B45,4)*5+0.000001,1))</f>
        <v/>
      </c>
      <c r="F45">
        <f>IF(A45="","",MAX(1,CEILING(PERCENTRANK.INC($C$3:$C$6000,C45,4)*5+0.000001,1)))</f>
        <v/>
      </c>
      <c r="G45">
        <f>IF(A45="","",MAX(1,CEILING(PERCENTRANK.INC($D$3:$D$6000,D45,4)*5+0.000001,1)))</f>
        <v/>
      </c>
      <c r="H45">
        <f>IF(A45="","",E45&amp;F45&amp;G45)</f>
        <v/>
      </c>
      <c r="I45">
        <f>IF(A45="","",IF(AND(E45&gt;=4,F45&gt;=4,G45&gt;=4),"Juara",IF(AND(F45&gt;=4,E45&gt;=3),"Setia",IF(AND(E45=5,F45&lt;=2,G45&gt;=3),"Berpotensi",IF(AND(E45&lt;=3,E45&gt;=2,F45&gt;=3),"Rawan",IF(AND(E45&lt;=2,F45&lt;=2),"Tidur","Umum"))))))</f>
        <v/>
      </c>
    </row>
    <row r="46">
      <c r="B46">
        <f>IF(A46="","",$B$1-MAXIFS(Donasi!$A$2:$A$20000,Donasi!$B$2:$B$20000,A46))</f>
        <v/>
      </c>
      <c r="C46">
        <f>IF(A46="","",COUNTIF(Donasi!$B$2:$B$20000,A46))</f>
        <v/>
      </c>
      <c r="D46">
        <f>IF(A46="","",SUMIF(Donasi!$B$2:$B$20000,A46,Donasi!$C$2:$C$20000))</f>
        <v/>
      </c>
      <c r="E46">
        <f>IF(A46="","",6-CEILING(PERCENTRANK.INC($B$3:$B$6000,B46,4)*5+0.000001,1))</f>
        <v/>
      </c>
      <c r="F46">
        <f>IF(A46="","",MAX(1,CEILING(PERCENTRANK.INC($C$3:$C$6000,C46,4)*5+0.000001,1)))</f>
        <v/>
      </c>
      <c r="G46">
        <f>IF(A46="","",MAX(1,CEILING(PERCENTRANK.INC($D$3:$D$6000,D46,4)*5+0.000001,1)))</f>
        <v/>
      </c>
      <c r="H46">
        <f>IF(A46="","",E46&amp;F46&amp;G46)</f>
        <v/>
      </c>
      <c r="I46">
        <f>IF(A46="","",IF(AND(E46&gt;=4,F46&gt;=4,G46&gt;=4),"Juara",IF(AND(F46&gt;=4,E46&gt;=3),"Setia",IF(AND(E46=5,F46&lt;=2,G46&gt;=3),"Berpotensi",IF(AND(E46&lt;=3,E46&gt;=2,F46&gt;=3),"Rawan",IF(AND(E46&lt;=2,F46&lt;=2),"Tidur","Umum"))))))</f>
        <v/>
      </c>
    </row>
    <row r="47">
      <c r="B47">
        <f>IF(A47="","",$B$1-MAXIFS(Donasi!$A$2:$A$20000,Donasi!$B$2:$B$20000,A47))</f>
        <v/>
      </c>
      <c r="C47">
        <f>IF(A47="","",COUNTIF(Donasi!$B$2:$B$20000,A47))</f>
        <v/>
      </c>
      <c r="D47">
        <f>IF(A47="","",SUMIF(Donasi!$B$2:$B$20000,A47,Donasi!$C$2:$C$20000))</f>
        <v/>
      </c>
      <c r="E47">
        <f>IF(A47="","",6-CEILING(PERCENTRANK.INC($B$3:$B$6000,B47,4)*5+0.000001,1))</f>
        <v/>
      </c>
      <c r="F47">
        <f>IF(A47="","",MAX(1,CEILING(PERCENTRANK.INC($C$3:$C$6000,C47,4)*5+0.000001,1)))</f>
        <v/>
      </c>
      <c r="G47">
        <f>IF(A47="","",MAX(1,CEILING(PERCENTRANK.INC($D$3:$D$6000,D47,4)*5+0.000001,1)))</f>
        <v/>
      </c>
      <c r="H47">
        <f>IF(A47="","",E47&amp;F47&amp;G47)</f>
        <v/>
      </c>
      <c r="I47">
        <f>IF(A47="","",IF(AND(E47&gt;=4,F47&gt;=4,G47&gt;=4),"Juara",IF(AND(F47&gt;=4,E47&gt;=3),"Setia",IF(AND(E47=5,F47&lt;=2,G47&gt;=3),"Berpotensi",IF(AND(E47&lt;=3,E47&gt;=2,F47&gt;=3),"Rawan",IF(AND(E47&lt;=2,F47&lt;=2),"Tidur","Umum"))))))</f>
        <v/>
      </c>
    </row>
    <row r="48">
      <c r="B48">
        <f>IF(A48="","",$B$1-MAXIFS(Donasi!$A$2:$A$20000,Donasi!$B$2:$B$20000,A48))</f>
        <v/>
      </c>
      <c r="C48">
        <f>IF(A48="","",COUNTIF(Donasi!$B$2:$B$20000,A48))</f>
        <v/>
      </c>
      <c r="D48">
        <f>IF(A48="","",SUMIF(Donasi!$B$2:$B$20000,A48,Donasi!$C$2:$C$20000))</f>
        <v/>
      </c>
      <c r="E48">
        <f>IF(A48="","",6-CEILING(PERCENTRANK.INC($B$3:$B$6000,B48,4)*5+0.000001,1))</f>
        <v/>
      </c>
      <c r="F48">
        <f>IF(A48="","",MAX(1,CEILING(PERCENTRANK.INC($C$3:$C$6000,C48,4)*5+0.000001,1)))</f>
        <v/>
      </c>
      <c r="G48">
        <f>IF(A48="","",MAX(1,CEILING(PERCENTRANK.INC($D$3:$D$6000,D48,4)*5+0.000001,1)))</f>
        <v/>
      </c>
      <c r="H48">
        <f>IF(A48="","",E48&amp;F48&amp;G48)</f>
        <v/>
      </c>
      <c r="I48">
        <f>IF(A48="","",IF(AND(E48&gt;=4,F48&gt;=4,G48&gt;=4),"Juara",IF(AND(F48&gt;=4,E48&gt;=3),"Setia",IF(AND(E48=5,F48&lt;=2,G48&gt;=3),"Berpotensi",IF(AND(E48&lt;=3,E48&gt;=2,F48&gt;=3),"Rawan",IF(AND(E48&lt;=2,F48&lt;=2),"Tidur","Umum"))))))</f>
        <v/>
      </c>
    </row>
    <row r="49">
      <c r="B49">
        <f>IF(A49="","",$B$1-MAXIFS(Donasi!$A$2:$A$20000,Donasi!$B$2:$B$20000,A49))</f>
        <v/>
      </c>
      <c r="C49">
        <f>IF(A49="","",COUNTIF(Donasi!$B$2:$B$20000,A49))</f>
        <v/>
      </c>
      <c r="D49">
        <f>IF(A49="","",SUMIF(Donasi!$B$2:$B$20000,A49,Donasi!$C$2:$C$20000))</f>
        <v/>
      </c>
      <c r="E49">
        <f>IF(A49="","",6-CEILING(PERCENTRANK.INC($B$3:$B$6000,B49,4)*5+0.000001,1))</f>
        <v/>
      </c>
      <c r="F49">
        <f>IF(A49="","",MAX(1,CEILING(PERCENTRANK.INC($C$3:$C$6000,C49,4)*5+0.000001,1)))</f>
        <v/>
      </c>
      <c r="G49">
        <f>IF(A49="","",MAX(1,CEILING(PERCENTRANK.INC($D$3:$D$6000,D49,4)*5+0.000001,1)))</f>
        <v/>
      </c>
      <c r="H49">
        <f>IF(A49="","",E49&amp;F49&amp;G49)</f>
        <v/>
      </c>
      <c r="I49">
        <f>IF(A49="","",IF(AND(E49&gt;=4,F49&gt;=4,G49&gt;=4),"Juara",IF(AND(F49&gt;=4,E49&gt;=3),"Setia",IF(AND(E49=5,F49&lt;=2,G49&gt;=3),"Berpotensi",IF(AND(E49&lt;=3,E49&gt;=2,F49&gt;=3),"Rawan",IF(AND(E49&lt;=2,F49&lt;=2),"Tidur","Umum"))))))</f>
        <v/>
      </c>
    </row>
    <row r="50">
      <c r="B50">
        <f>IF(A50="","",$B$1-MAXIFS(Donasi!$A$2:$A$20000,Donasi!$B$2:$B$20000,A50))</f>
        <v/>
      </c>
      <c r="C50">
        <f>IF(A50="","",COUNTIF(Donasi!$B$2:$B$20000,A50))</f>
        <v/>
      </c>
      <c r="D50">
        <f>IF(A50="","",SUMIF(Donasi!$B$2:$B$20000,A50,Donasi!$C$2:$C$20000))</f>
        <v/>
      </c>
      <c r="E50">
        <f>IF(A50="","",6-CEILING(PERCENTRANK.INC($B$3:$B$6000,B50,4)*5+0.000001,1))</f>
        <v/>
      </c>
      <c r="F50">
        <f>IF(A50="","",MAX(1,CEILING(PERCENTRANK.INC($C$3:$C$6000,C50,4)*5+0.000001,1)))</f>
        <v/>
      </c>
      <c r="G50">
        <f>IF(A50="","",MAX(1,CEILING(PERCENTRANK.INC($D$3:$D$6000,D50,4)*5+0.000001,1)))</f>
        <v/>
      </c>
      <c r="H50">
        <f>IF(A50="","",E50&amp;F50&amp;G50)</f>
        <v/>
      </c>
      <c r="I50">
        <f>IF(A50="","",IF(AND(E50&gt;=4,F50&gt;=4,G50&gt;=4),"Juara",IF(AND(F50&gt;=4,E50&gt;=3),"Setia",IF(AND(E50=5,F50&lt;=2,G50&gt;=3),"Berpotensi",IF(AND(E50&lt;=3,E50&gt;=2,F50&gt;=3),"Rawan",IF(AND(E50&lt;=2,F50&lt;=2),"Tidur","Umum"))))))</f>
        <v/>
      </c>
    </row>
    <row r="51">
      <c r="B51">
        <f>IF(A51="","",$B$1-MAXIFS(Donasi!$A$2:$A$20000,Donasi!$B$2:$B$20000,A51))</f>
        <v/>
      </c>
      <c r="C51">
        <f>IF(A51="","",COUNTIF(Donasi!$B$2:$B$20000,A51))</f>
        <v/>
      </c>
      <c r="D51">
        <f>IF(A51="","",SUMIF(Donasi!$B$2:$B$20000,A51,Donasi!$C$2:$C$20000))</f>
        <v/>
      </c>
      <c r="E51">
        <f>IF(A51="","",6-CEILING(PERCENTRANK.INC($B$3:$B$6000,B51,4)*5+0.000001,1))</f>
        <v/>
      </c>
      <c r="F51">
        <f>IF(A51="","",MAX(1,CEILING(PERCENTRANK.INC($C$3:$C$6000,C51,4)*5+0.000001,1)))</f>
        <v/>
      </c>
      <c r="G51">
        <f>IF(A51="","",MAX(1,CEILING(PERCENTRANK.INC($D$3:$D$6000,D51,4)*5+0.000001,1)))</f>
        <v/>
      </c>
      <c r="H51">
        <f>IF(A51="","",E51&amp;F51&amp;G51)</f>
        <v/>
      </c>
      <c r="I51">
        <f>IF(A51="","",IF(AND(E51&gt;=4,F51&gt;=4,G51&gt;=4),"Juara",IF(AND(F51&gt;=4,E51&gt;=3),"Setia",IF(AND(E51=5,F51&lt;=2,G51&gt;=3),"Berpotensi",IF(AND(E51&lt;=3,E51&gt;=2,F51&gt;=3),"Rawan",IF(AND(E51&lt;=2,F51&lt;=2),"Tidur","Umum"))))))</f>
        <v/>
      </c>
    </row>
    <row r="52">
      <c r="B52">
        <f>IF(A52="","",$B$1-MAXIFS(Donasi!$A$2:$A$20000,Donasi!$B$2:$B$20000,A52))</f>
        <v/>
      </c>
      <c r="C52">
        <f>IF(A52="","",COUNTIF(Donasi!$B$2:$B$20000,A52))</f>
        <v/>
      </c>
      <c r="D52">
        <f>IF(A52="","",SUMIF(Donasi!$B$2:$B$20000,A52,Donasi!$C$2:$C$20000))</f>
        <v/>
      </c>
      <c r="E52">
        <f>IF(A52="","",6-CEILING(PERCENTRANK.INC($B$3:$B$6000,B52,4)*5+0.000001,1))</f>
        <v/>
      </c>
      <c r="F52">
        <f>IF(A52="","",MAX(1,CEILING(PERCENTRANK.INC($C$3:$C$6000,C52,4)*5+0.000001,1)))</f>
        <v/>
      </c>
      <c r="G52">
        <f>IF(A52="","",MAX(1,CEILING(PERCENTRANK.INC($D$3:$D$6000,D52,4)*5+0.000001,1)))</f>
        <v/>
      </c>
      <c r="H52">
        <f>IF(A52="","",E52&amp;F52&amp;G52)</f>
        <v/>
      </c>
      <c r="I52">
        <f>IF(A52="","",IF(AND(E52&gt;=4,F52&gt;=4,G52&gt;=4),"Juara",IF(AND(F52&gt;=4,E52&gt;=3),"Setia",IF(AND(E52=5,F52&lt;=2,G52&gt;=3),"Berpotensi",IF(AND(E52&lt;=3,E52&gt;=2,F52&gt;=3),"Rawan",IF(AND(E52&lt;=2,F52&lt;=2),"Tidur","Umum"))))))</f>
        <v/>
      </c>
    </row>
    <row r="53">
      <c r="B53">
        <f>IF(A53="","",$B$1-MAXIFS(Donasi!$A$2:$A$20000,Donasi!$B$2:$B$20000,A53))</f>
        <v/>
      </c>
      <c r="C53">
        <f>IF(A53="","",COUNTIF(Donasi!$B$2:$B$20000,A53))</f>
        <v/>
      </c>
      <c r="D53">
        <f>IF(A53="","",SUMIF(Donasi!$B$2:$B$20000,A53,Donasi!$C$2:$C$20000))</f>
        <v/>
      </c>
      <c r="E53">
        <f>IF(A53="","",6-CEILING(PERCENTRANK.INC($B$3:$B$6000,B53,4)*5+0.000001,1))</f>
        <v/>
      </c>
      <c r="F53">
        <f>IF(A53="","",MAX(1,CEILING(PERCENTRANK.INC($C$3:$C$6000,C53,4)*5+0.000001,1)))</f>
        <v/>
      </c>
      <c r="G53">
        <f>IF(A53="","",MAX(1,CEILING(PERCENTRANK.INC($D$3:$D$6000,D53,4)*5+0.000001,1)))</f>
        <v/>
      </c>
      <c r="H53">
        <f>IF(A53="","",E53&amp;F53&amp;G53)</f>
        <v/>
      </c>
      <c r="I53">
        <f>IF(A53="","",IF(AND(E53&gt;=4,F53&gt;=4,G53&gt;=4),"Juara",IF(AND(F53&gt;=4,E53&gt;=3),"Setia",IF(AND(E53=5,F53&lt;=2,G53&gt;=3),"Berpotensi",IF(AND(E53&lt;=3,E53&gt;=2,F53&gt;=3),"Rawan",IF(AND(E53&lt;=2,F53&lt;=2),"Tidur","Umum"))))))</f>
        <v/>
      </c>
    </row>
    <row r="54">
      <c r="B54">
        <f>IF(A54="","",$B$1-MAXIFS(Donasi!$A$2:$A$20000,Donasi!$B$2:$B$20000,A54))</f>
        <v/>
      </c>
      <c r="C54">
        <f>IF(A54="","",COUNTIF(Donasi!$B$2:$B$20000,A54))</f>
        <v/>
      </c>
      <c r="D54">
        <f>IF(A54="","",SUMIF(Donasi!$B$2:$B$20000,A54,Donasi!$C$2:$C$20000))</f>
        <v/>
      </c>
      <c r="E54">
        <f>IF(A54="","",6-CEILING(PERCENTRANK.INC($B$3:$B$6000,B54,4)*5+0.000001,1))</f>
        <v/>
      </c>
      <c r="F54">
        <f>IF(A54="","",MAX(1,CEILING(PERCENTRANK.INC($C$3:$C$6000,C54,4)*5+0.000001,1)))</f>
        <v/>
      </c>
      <c r="G54">
        <f>IF(A54="","",MAX(1,CEILING(PERCENTRANK.INC($D$3:$D$6000,D54,4)*5+0.000001,1)))</f>
        <v/>
      </c>
      <c r="H54">
        <f>IF(A54="","",E54&amp;F54&amp;G54)</f>
        <v/>
      </c>
      <c r="I54">
        <f>IF(A54="","",IF(AND(E54&gt;=4,F54&gt;=4,G54&gt;=4),"Juara",IF(AND(F54&gt;=4,E54&gt;=3),"Setia",IF(AND(E54=5,F54&lt;=2,G54&gt;=3),"Berpotensi",IF(AND(E54&lt;=3,E54&gt;=2,F54&gt;=3),"Rawan",IF(AND(E54&lt;=2,F54&lt;=2),"Tidur","Umum"))))))</f>
        <v/>
      </c>
    </row>
    <row r="55">
      <c r="B55">
        <f>IF(A55="","",$B$1-MAXIFS(Donasi!$A$2:$A$20000,Donasi!$B$2:$B$20000,A55))</f>
        <v/>
      </c>
      <c r="C55">
        <f>IF(A55="","",COUNTIF(Donasi!$B$2:$B$20000,A55))</f>
        <v/>
      </c>
      <c r="D55">
        <f>IF(A55="","",SUMIF(Donasi!$B$2:$B$20000,A55,Donasi!$C$2:$C$20000))</f>
        <v/>
      </c>
      <c r="E55">
        <f>IF(A55="","",6-CEILING(PERCENTRANK.INC($B$3:$B$6000,B55,4)*5+0.000001,1))</f>
        <v/>
      </c>
      <c r="F55">
        <f>IF(A55="","",MAX(1,CEILING(PERCENTRANK.INC($C$3:$C$6000,C55,4)*5+0.000001,1)))</f>
        <v/>
      </c>
      <c r="G55">
        <f>IF(A55="","",MAX(1,CEILING(PERCENTRANK.INC($D$3:$D$6000,D55,4)*5+0.000001,1)))</f>
        <v/>
      </c>
      <c r="H55">
        <f>IF(A55="","",E55&amp;F55&amp;G55)</f>
        <v/>
      </c>
      <c r="I55">
        <f>IF(A55="","",IF(AND(E55&gt;=4,F55&gt;=4,G55&gt;=4),"Juara",IF(AND(F55&gt;=4,E55&gt;=3),"Setia",IF(AND(E55=5,F55&lt;=2,G55&gt;=3),"Berpotensi",IF(AND(E55&lt;=3,E55&gt;=2,F55&gt;=3),"Rawan",IF(AND(E55&lt;=2,F55&lt;=2),"Tidur","Umum"))))))</f>
        <v/>
      </c>
    </row>
    <row r="56">
      <c r="B56">
        <f>IF(A56="","",$B$1-MAXIFS(Donasi!$A$2:$A$20000,Donasi!$B$2:$B$20000,A56))</f>
        <v/>
      </c>
      <c r="C56">
        <f>IF(A56="","",COUNTIF(Donasi!$B$2:$B$20000,A56))</f>
        <v/>
      </c>
      <c r="D56">
        <f>IF(A56="","",SUMIF(Donasi!$B$2:$B$20000,A56,Donasi!$C$2:$C$20000))</f>
        <v/>
      </c>
      <c r="E56">
        <f>IF(A56="","",6-CEILING(PERCENTRANK.INC($B$3:$B$6000,B56,4)*5+0.000001,1))</f>
        <v/>
      </c>
      <c r="F56">
        <f>IF(A56="","",MAX(1,CEILING(PERCENTRANK.INC($C$3:$C$6000,C56,4)*5+0.000001,1)))</f>
        <v/>
      </c>
      <c r="G56">
        <f>IF(A56="","",MAX(1,CEILING(PERCENTRANK.INC($D$3:$D$6000,D56,4)*5+0.000001,1)))</f>
        <v/>
      </c>
      <c r="H56">
        <f>IF(A56="","",E56&amp;F56&amp;G56)</f>
        <v/>
      </c>
      <c r="I56">
        <f>IF(A56="","",IF(AND(E56&gt;=4,F56&gt;=4,G56&gt;=4),"Juara",IF(AND(F56&gt;=4,E56&gt;=3),"Setia",IF(AND(E56=5,F56&lt;=2,G56&gt;=3),"Berpotensi",IF(AND(E56&lt;=3,E56&gt;=2,F56&gt;=3),"Rawan",IF(AND(E56&lt;=2,F56&lt;=2),"Tidur","Umum"))))))</f>
        <v/>
      </c>
    </row>
    <row r="57">
      <c r="B57">
        <f>IF(A57="","",$B$1-MAXIFS(Donasi!$A$2:$A$20000,Donasi!$B$2:$B$20000,A57))</f>
        <v/>
      </c>
      <c r="C57">
        <f>IF(A57="","",COUNTIF(Donasi!$B$2:$B$20000,A57))</f>
        <v/>
      </c>
      <c r="D57">
        <f>IF(A57="","",SUMIF(Donasi!$B$2:$B$20000,A57,Donasi!$C$2:$C$20000))</f>
        <v/>
      </c>
      <c r="E57">
        <f>IF(A57="","",6-CEILING(PERCENTRANK.INC($B$3:$B$6000,B57,4)*5+0.000001,1))</f>
        <v/>
      </c>
      <c r="F57">
        <f>IF(A57="","",MAX(1,CEILING(PERCENTRANK.INC($C$3:$C$6000,C57,4)*5+0.000001,1)))</f>
        <v/>
      </c>
      <c r="G57">
        <f>IF(A57="","",MAX(1,CEILING(PERCENTRANK.INC($D$3:$D$6000,D57,4)*5+0.000001,1)))</f>
        <v/>
      </c>
      <c r="H57">
        <f>IF(A57="","",E57&amp;F57&amp;G57)</f>
        <v/>
      </c>
      <c r="I57">
        <f>IF(A57="","",IF(AND(E57&gt;=4,F57&gt;=4,G57&gt;=4),"Juara",IF(AND(F57&gt;=4,E57&gt;=3),"Setia",IF(AND(E57=5,F57&lt;=2,G57&gt;=3),"Berpotensi",IF(AND(E57&lt;=3,E57&gt;=2,F57&gt;=3),"Rawan",IF(AND(E57&lt;=2,F57&lt;=2),"Tidur","Umum"))))))</f>
        <v/>
      </c>
    </row>
    <row r="58">
      <c r="B58">
        <f>IF(A58="","",$B$1-MAXIFS(Donasi!$A$2:$A$20000,Donasi!$B$2:$B$20000,A58))</f>
        <v/>
      </c>
      <c r="C58">
        <f>IF(A58="","",COUNTIF(Donasi!$B$2:$B$20000,A58))</f>
        <v/>
      </c>
      <c r="D58">
        <f>IF(A58="","",SUMIF(Donasi!$B$2:$B$20000,A58,Donasi!$C$2:$C$20000))</f>
        <v/>
      </c>
      <c r="E58">
        <f>IF(A58="","",6-CEILING(PERCENTRANK.INC($B$3:$B$6000,B58,4)*5+0.000001,1))</f>
        <v/>
      </c>
      <c r="F58">
        <f>IF(A58="","",MAX(1,CEILING(PERCENTRANK.INC($C$3:$C$6000,C58,4)*5+0.000001,1)))</f>
        <v/>
      </c>
      <c r="G58">
        <f>IF(A58="","",MAX(1,CEILING(PERCENTRANK.INC($D$3:$D$6000,D58,4)*5+0.000001,1)))</f>
        <v/>
      </c>
      <c r="H58">
        <f>IF(A58="","",E58&amp;F58&amp;G58)</f>
        <v/>
      </c>
      <c r="I58">
        <f>IF(A58="","",IF(AND(E58&gt;=4,F58&gt;=4,G58&gt;=4),"Juara",IF(AND(F58&gt;=4,E58&gt;=3),"Setia",IF(AND(E58=5,F58&lt;=2,G58&gt;=3),"Berpotensi",IF(AND(E58&lt;=3,E58&gt;=2,F58&gt;=3),"Rawan",IF(AND(E58&lt;=2,F58&lt;=2),"Tidur","Umum"))))))</f>
        <v/>
      </c>
    </row>
    <row r="59">
      <c r="B59">
        <f>IF(A59="","",$B$1-MAXIFS(Donasi!$A$2:$A$20000,Donasi!$B$2:$B$20000,A59))</f>
        <v/>
      </c>
      <c r="C59">
        <f>IF(A59="","",COUNTIF(Donasi!$B$2:$B$20000,A59))</f>
        <v/>
      </c>
      <c r="D59">
        <f>IF(A59="","",SUMIF(Donasi!$B$2:$B$20000,A59,Donasi!$C$2:$C$20000))</f>
        <v/>
      </c>
      <c r="E59">
        <f>IF(A59="","",6-CEILING(PERCENTRANK.INC($B$3:$B$6000,B59,4)*5+0.000001,1))</f>
        <v/>
      </c>
      <c r="F59">
        <f>IF(A59="","",MAX(1,CEILING(PERCENTRANK.INC($C$3:$C$6000,C59,4)*5+0.000001,1)))</f>
        <v/>
      </c>
      <c r="G59">
        <f>IF(A59="","",MAX(1,CEILING(PERCENTRANK.INC($D$3:$D$6000,D59,4)*5+0.000001,1)))</f>
        <v/>
      </c>
      <c r="H59">
        <f>IF(A59="","",E59&amp;F59&amp;G59)</f>
        <v/>
      </c>
      <c r="I59">
        <f>IF(A59="","",IF(AND(E59&gt;=4,F59&gt;=4,G59&gt;=4),"Juara",IF(AND(F59&gt;=4,E59&gt;=3),"Setia",IF(AND(E59=5,F59&lt;=2,G59&gt;=3),"Berpotensi",IF(AND(E59&lt;=3,E59&gt;=2,F59&gt;=3),"Rawan",IF(AND(E59&lt;=2,F59&lt;=2),"Tidur","Umum"))))))</f>
        <v/>
      </c>
    </row>
    <row r="60">
      <c r="B60">
        <f>IF(A60="","",$B$1-MAXIFS(Donasi!$A$2:$A$20000,Donasi!$B$2:$B$20000,A60))</f>
        <v/>
      </c>
      <c r="C60">
        <f>IF(A60="","",COUNTIF(Donasi!$B$2:$B$20000,A60))</f>
        <v/>
      </c>
      <c r="D60">
        <f>IF(A60="","",SUMIF(Donasi!$B$2:$B$20000,A60,Donasi!$C$2:$C$20000))</f>
        <v/>
      </c>
      <c r="E60">
        <f>IF(A60="","",6-CEILING(PERCENTRANK.INC($B$3:$B$6000,B60,4)*5+0.000001,1))</f>
        <v/>
      </c>
      <c r="F60">
        <f>IF(A60="","",MAX(1,CEILING(PERCENTRANK.INC($C$3:$C$6000,C60,4)*5+0.000001,1)))</f>
        <v/>
      </c>
      <c r="G60">
        <f>IF(A60="","",MAX(1,CEILING(PERCENTRANK.INC($D$3:$D$6000,D60,4)*5+0.000001,1)))</f>
        <v/>
      </c>
      <c r="H60">
        <f>IF(A60="","",E60&amp;F60&amp;G60)</f>
        <v/>
      </c>
      <c r="I60">
        <f>IF(A60="","",IF(AND(E60&gt;=4,F60&gt;=4,G60&gt;=4),"Juara",IF(AND(F60&gt;=4,E60&gt;=3),"Setia",IF(AND(E60=5,F60&lt;=2,G60&gt;=3),"Berpotensi",IF(AND(E60&lt;=3,E60&gt;=2,F60&gt;=3),"Rawan",IF(AND(E60&lt;=2,F60&lt;=2),"Tidur","Umum"))))))</f>
        <v/>
      </c>
    </row>
    <row r="61">
      <c r="B61">
        <f>IF(A61="","",$B$1-MAXIFS(Donasi!$A$2:$A$20000,Donasi!$B$2:$B$20000,A61))</f>
        <v/>
      </c>
      <c r="C61">
        <f>IF(A61="","",COUNTIF(Donasi!$B$2:$B$20000,A61))</f>
        <v/>
      </c>
      <c r="D61">
        <f>IF(A61="","",SUMIF(Donasi!$B$2:$B$20000,A61,Donasi!$C$2:$C$20000))</f>
        <v/>
      </c>
      <c r="E61">
        <f>IF(A61="","",6-CEILING(PERCENTRANK.INC($B$3:$B$6000,B61,4)*5+0.000001,1))</f>
        <v/>
      </c>
      <c r="F61">
        <f>IF(A61="","",MAX(1,CEILING(PERCENTRANK.INC($C$3:$C$6000,C61,4)*5+0.000001,1)))</f>
        <v/>
      </c>
      <c r="G61">
        <f>IF(A61="","",MAX(1,CEILING(PERCENTRANK.INC($D$3:$D$6000,D61,4)*5+0.000001,1)))</f>
        <v/>
      </c>
      <c r="H61">
        <f>IF(A61="","",E61&amp;F61&amp;G61)</f>
        <v/>
      </c>
      <c r="I61">
        <f>IF(A61="","",IF(AND(E61&gt;=4,F61&gt;=4,G61&gt;=4),"Juara",IF(AND(F61&gt;=4,E61&gt;=3),"Setia",IF(AND(E61=5,F61&lt;=2,G61&gt;=3),"Berpotensi",IF(AND(E61&lt;=3,E61&gt;=2,F61&gt;=3),"Rawan",IF(AND(E61&lt;=2,F61&lt;=2),"Tidur","Umum"))))))</f>
        <v/>
      </c>
    </row>
    <row r="62">
      <c r="B62">
        <f>IF(A62="","",$B$1-MAXIFS(Donasi!$A$2:$A$20000,Donasi!$B$2:$B$20000,A62))</f>
        <v/>
      </c>
      <c r="C62">
        <f>IF(A62="","",COUNTIF(Donasi!$B$2:$B$20000,A62))</f>
        <v/>
      </c>
      <c r="D62">
        <f>IF(A62="","",SUMIF(Donasi!$B$2:$B$20000,A62,Donasi!$C$2:$C$20000))</f>
        <v/>
      </c>
      <c r="E62">
        <f>IF(A62="","",6-CEILING(PERCENTRANK.INC($B$3:$B$6000,B62,4)*5+0.000001,1))</f>
        <v/>
      </c>
      <c r="F62">
        <f>IF(A62="","",MAX(1,CEILING(PERCENTRANK.INC($C$3:$C$6000,C62,4)*5+0.000001,1)))</f>
        <v/>
      </c>
      <c r="G62">
        <f>IF(A62="","",MAX(1,CEILING(PERCENTRANK.INC($D$3:$D$6000,D62,4)*5+0.000001,1)))</f>
        <v/>
      </c>
      <c r="H62">
        <f>IF(A62="","",E62&amp;F62&amp;G62)</f>
        <v/>
      </c>
      <c r="I62">
        <f>IF(A62="","",IF(AND(E62&gt;=4,F62&gt;=4,G62&gt;=4),"Juara",IF(AND(F62&gt;=4,E62&gt;=3),"Setia",IF(AND(E62=5,F62&lt;=2,G62&gt;=3),"Berpotensi",IF(AND(E62&lt;=3,E62&gt;=2,F62&gt;=3),"Rawan",IF(AND(E62&lt;=2,F62&lt;=2),"Tidur","Umum"))))))</f>
        <v/>
      </c>
    </row>
    <row r="63">
      <c r="B63">
        <f>IF(A63="","",$B$1-MAXIFS(Donasi!$A$2:$A$20000,Donasi!$B$2:$B$20000,A63))</f>
        <v/>
      </c>
      <c r="C63">
        <f>IF(A63="","",COUNTIF(Donasi!$B$2:$B$20000,A63))</f>
        <v/>
      </c>
      <c r="D63">
        <f>IF(A63="","",SUMIF(Donasi!$B$2:$B$20000,A63,Donasi!$C$2:$C$20000))</f>
        <v/>
      </c>
      <c r="E63">
        <f>IF(A63="","",6-CEILING(PERCENTRANK.INC($B$3:$B$6000,B63,4)*5+0.000001,1))</f>
        <v/>
      </c>
      <c r="F63">
        <f>IF(A63="","",MAX(1,CEILING(PERCENTRANK.INC($C$3:$C$6000,C63,4)*5+0.000001,1)))</f>
        <v/>
      </c>
      <c r="G63">
        <f>IF(A63="","",MAX(1,CEILING(PERCENTRANK.INC($D$3:$D$6000,D63,4)*5+0.000001,1)))</f>
        <v/>
      </c>
      <c r="H63">
        <f>IF(A63="","",E63&amp;F63&amp;G63)</f>
        <v/>
      </c>
      <c r="I63">
        <f>IF(A63="","",IF(AND(E63&gt;=4,F63&gt;=4,G63&gt;=4),"Juara",IF(AND(F63&gt;=4,E63&gt;=3),"Setia",IF(AND(E63=5,F63&lt;=2,G63&gt;=3),"Berpotensi",IF(AND(E63&lt;=3,E63&gt;=2,F63&gt;=3),"Rawan",IF(AND(E63&lt;=2,F63&lt;=2),"Tidur","Umum"))))))</f>
        <v/>
      </c>
    </row>
    <row r="64">
      <c r="B64">
        <f>IF(A64="","",$B$1-MAXIFS(Donasi!$A$2:$A$20000,Donasi!$B$2:$B$20000,A64))</f>
        <v/>
      </c>
      <c r="C64">
        <f>IF(A64="","",COUNTIF(Donasi!$B$2:$B$20000,A64))</f>
        <v/>
      </c>
      <c r="D64">
        <f>IF(A64="","",SUMIF(Donasi!$B$2:$B$20000,A64,Donasi!$C$2:$C$20000))</f>
        <v/>
      </c>
      <c r="E64">
        <f>IF(A64="","",6-CEILING(PERCENTRANK.INC($B$3:$B$6000,B64,4)*5+0.000001,1))</f>
        <v/>
      </c>
      <c r="F64">
        <f>IF(A64="","",MAX(1,CEILING(PERCENTRANK.INC($C$3:$C$6000,C64,4)*5+0.000001,1)))</f>
        <v/>
      </c>
      <c r="G64">
        <f>IF(A64="","",MAX(1,CEILING(PERCENTRANK.INC($D$3:$D$6000,D64,4)*5+0.000001,1)))</f>
        <v/>
      </c>
      <c r="H64">
        <f>IF(A64="","",E64&amp;F64&amp;G64)</f>
        <v/>
      </c>
      <c r="I64">
        <f>IF(A64="","",IF(AND(E64&gt;=4,F64&gt;=4,G64&gt;=4),"Juara",IF(AND(F64&gt;=4,E64&gt;=3),"Setia",IF(AND(E64=5,F64&lt;=2,G64&gt;=3),"Berpotensi",IF(AND(E64&lt;=3,E64&gt;=2,F64&gt;=3),"Rawan",IF(AND(E64&lt;=2,F64&lt;=2),"Tidur","Umum"))))))</f>
        <v/>
      </c>
    </row>
    <row r="65">
      <c r="B65">
        <f>IF(A65="","",$B$1-MAXIFS(Donasi!$A$2:$A$20000,Donasi!$B$2:$B$20000,A65))</f>
        <v/>
      </c>
      <c r="C65">
        <f>IF(A65="","",COUNTIF(Donasi!$B$2:$B$20000,A65))</f>
        <v/>
      </c>
      <c r="D65">
        <f>IF(A65="","",SUMIF(Donasi!$B$2:$B$20000,A65,Donasi!$C$2:$C$20000))</f>
        <v/>
      </c>
      <c r="E65">
        <f>IF(A65="","",6-CEILING(PERCENTRANK.INC($B$3:$B$6000,B65,4)*5+0.000001,1))</f>
        <v/>
      </c>
      <c r="F65">
        <f>IF(A65="","",MAX(1,CEILING(PERCENTRANK.INC($C$3:$C$6000,C65,4)*5+0.000001,1)))</f>
        <v/>
      </c>
      <c r="G65">
        <f>IF(A65="","",MAX(1,CEILING(PERCENTRANK.INC($D$3:$D$6000,D65,4)*5+0.000001,1)))</f>
        <v/>
      </c>
      <c r="H65">
        <f>IF(A65="","",E65&amp;F65&amp;G65)</f>
        <v/>
      </c>
      <c r="I65">
        <f>IF(A65="","",IF(AND(E65&gt;=4,F65&gt;=4,G65&gt;=4),"Juara",IF(AND(F65&gt;=4,E65&gt;=3),"Setia",IF(AND(E65=5,F65&lt;=2,G65&gt;=3),"Berpotensi",IF(AND(E65&lt;=3,E65&gt;=2,F65&gt;=3),"Rawan",IF(AND(E65&lt;=2,F65&lt;=2),"Tidur","Umum"))))))</f>
        <v/>
      </c>
    </row>
    <row r="66">
      <c r="B66">
        <f>IF(A66="","",$B$1-MAXIFS(Donasi!$A$2:$A$20000,Donasi!$B$2:$B$20000,A66))</f>
        <v/>
      </c>
      <c r="C66">
        <f>IF(A66="","",COUNTIF(Donasi!$B$2:$B$20000,A66))</f>
        <v/>
      </c>
      <c r="D66">
        <f>IF(A66="","",SUMIF(Donasi!$B$2:$B$20000,A66,Donasi!$C$2:$C$20000))</f>
        <v/>
      </c>
      <c r="E66">
        <f>IF(A66="","",6-CEILING(PERCENTRANK.INC($B$3:$B$6000,B66,4)*5+0.000001,1))</f>
        <v/>
      </c>
      <c r="F66">
        <f>IF(A66="","",MAX(1,CEILING(PERCENTRANK.INC($C$3:$C$6000,C66,4)*5+0.000001,1)))</f>
        <v/>
      </c>
      <c r="G66">
        <f>IF(A66="","",MAX(1,CEILING(PERCENTRANK.INC($D$3:$D$6000,D66,4)*5+0.000001,1)))</f>
        <v/>
      </c>
      <c r="H66">
        <f>IF(A66="","",E66&amp;F66&amp;G66)</f>
        <v/>
      </c>
      <c r="I66">
        <f>IF(A66="","",IF(AND(E66&gt;=4,F66&gt;=4,G66&gt;=4),"Juara",IF(AND(F66&gt;=4,E66&gt;=3),"Setia",IF(AND(E66=5,F66&lt;=2,G66&gt;=3),"Berpotensi",IF(AND(E66&lt;=3,E66&gt;=2,F66&gt;=3),"Rawan",IF(AND(E66&lt;=2,F66&lt;=2),"Tidur","Umum"))))))</f>
        <v/>
      </c>
    </row>
    <row r="67">
      <c r="B67">
        <f>IF(A67="","",$B$1-MAXIFS(Donasi!$A$2:$A$20000,Donasi!$B$2:$B$20000,A67))</f>
        <v/>
      </c>
      <c r="C67">
        <f>IF(A67="","",COUNTIF(Donasi!$B$2:$B$20000,A67))</f>
        <v/>
      </c>
      <c r="D67">
        <f>IF(A67="","",SUMIF(Donasi!$B$2:$B$20000,A67,Donasi!$C$2:$C$20000))</f>
        <v/>
      </c>
      <c r="E67">
        <f>IF(A67="","",6-CEILING(PERCENTRANK.INC($B$3:$B$6000,B67,4)*5+0.000001,1))</f>
        <v/>
      </c>
      <c r="F67">
        <f>IF(A67="","",MAX(1,CEILING(PERCENTRANK.INC($C$3:$C$6000,C67,4)*5+0.000001,1)))</f>
        <v/>
      </c>
      <c r="G67">
        <f>IF(A67="","",MAX(1,CEILING(PERCENTRANK.INC($D$3:$D$6000,D67,4)*5+0.000001,1)))</f>
        <v/>
      </c>
      <c r="H67">
        <f>IF(A67="","",E67&amp;F67&amp;G67)</f>
        <v/>
      </c>
      <c r="I67">
        <f>IF(A67="","",IF(AND(E67&gt;=4,F67&gt;=4,G67&gt;=4),"Juara",IF(AND(F67&gt;=4,E67&gt;=3),"Setia",IF(AND(E67=5,F67&lt;=2,G67&gt;=3),"Berpotensi",IF(AND(E67&lt;=3,E67&gt;=2,F67&gt;=3),"Rawan",IF(AND(E67&lt;=2,F67&lt;=2),"Tidur","Umum"))))))</f>
        <v/>
      </c>
    </row>
    <row r="68">
      <c r="B68">
        <f>IF(A68="","",$B$1-MAXIFS(Donasi!$A$2:$A$20000,Donasi!$B$2:$B$20000,A68))</f>
        <v/>
      </c>
      <c r="C68">
        <f>IF(A68="","",COUNTIF(Donasi!$B$2:$B$20000,A68))</f>
        <v/>
      </c>
      <c r="D68">
        <f>IF(A68="","",SUMIF(Donasi!$B$2:$B$20000,A68,Donasi!$C$2:$C$20000))</f>
        <v/>
      </c>
      <c r="E68">
        <f>IF(A68="","",6-CEILING(PERCENTRANK.INC($B$3:$B$6000,B68,4)*5+0.000001,1))</f>
        <v/>
      </c>
      <c r="F68">
        <f>IF(A68="","",MAX(1,CEILING(PERCENTRANK.INC($C$3:$C$6000,C68,4)*5+0.000001,1)))</f>
        <v/>
      </c>
      <c r="G68">
        <f>IF(A68="","",MAX(1,CEILING(PERCENTRANK.INC($D$3:$D$6000,D68,4)*5+0.000001,1)))</f>
        <v/>
      </c>
      <c r="H68">
        <f>IF(A68="","",E68&amp;F68&amp;G68)</f>
        <v/>
      </c>
      <c r="I68">
        <f>IF(A68="","",IF(AND(E68&gt;=4,F68&gt;=4,G68&gt;=4),"Juara",IF(AND(F68&gt;=4,E68&gt;=3),"Setia",IF(AND(E68=5,F68&lt;=2,G68&gt;=3),"Berpotensi",IF(AND(E68&lt;=3,E68&gt;=2,F68&gt;=3),"Rawan",IF(AND(E68&lt;=2,F68&lt;=2),"Tidur","Umum"))))))</f>
        <v/>
      </c>
    </row>
    <row r="69">
      <c r="B69">
        <f>IF(A69="","",$B$1-MAXIFS(Donasi!$A$2:$A$20000,Donasi!$B$2:$B$20000,A69))</f>
        <v/>
      </c>
      <c r="C69">
        <f>IF(A69="","",COUNTIF(Donasi!$B$2:$B$20000,A69))</f>
        <v/>
      </c>
      <c r="D69">
        <f>IF(A69="","",SUMIF(Donasi!$B$2:$B$20000,A69,Donasi!$C$2:$C$20000))</f>
        <v/>
      </c>
      <c r="E69">
        <f>IF(A69="","",6-CEILING(PERCENTRANK.INC($B$3:$B$6000,B69,4)*5+0.000001,1))</f>
        <v/>
      </c>
      <c r="F69">
        <f>IF(A69="","",MAX(1,CEILING(PERCENTRANK.INC($C$3:$C$6000,C69,4)*5+0.000001,1)))</f>
        <v/>
      </c>
      <c r="G69">
        <f>IF(A69="","",MAX(1,CEILING(PERCENTRANK.INC($D$3:$D$6000,D69,4)*5+0.000001,1)))</f>
        <v/>
      </c>
      <c r="H69">
        <f>IF(A69="","",E69&amp;F69&amp;G69)</f>
        <v/>
      </c>
      <c r="I69">
        <f>IF(A69="","",IF(AND(E69&gt;=4,F69&gt;=4,G69&gt;=4),"Juara",IF(AND(F69&gt;=4,E69&gt;=3),"Setia",IF(AND(E69=5,F69&lt;=2,G69&gt;=3),"Berpotensi",IF(AND(E69&lt;=3,E69&gt;=2,F69&gt;=3),"Rawan",IF(AND(E69&lt;=2,F69&lt;=2),"Tidur","Umum"))))))</f>
        <v/>
      </c>
    </row>
    <row r="70">
      <c r="B70">
        <f>IF(A70="","",$B$1-MAXIFS(Donasi!$A$2:$A$20000,Donasi!$B$2:$B$20000,A70))</f>
        <v/>
      </c>
      <c r="C70">
        <f>IF(A70="","",COUNTIF(Donasi!$B$2:$B$20000,A70))</f>
        <v/>
      </c>
      <c r="D70">
        <f>IF(A70="","",SUMIF(Donasi!$B$2:$B$20000,A70,Donasi!$C$2:$C$20000))</f>
        <v/>
      </c>
      <c r="E70">
        <f>IF(A70="","",6-CEILING(PERCENTRANK.INC($B$3:$B$6000,B70,4)*5+0.000001,1))</f>
        <v/>
      </c>
      <c r="F70">
        <f>IF(A70="","",MAX(1,CEILING(PERCENTRANK.INC($C$3:$C$6000,C70,4)*5+0.000001,1)))</f>
        <v/>
      </c>
      <c r="G70">
        <f>IF(A70="","",MAX(1,CEILING(PERCENTRANK.INC($D$3:$D$6000,D70,4)*5+0.000001,1)))</f>
        <v/>
      </c>
      <c r="H70">
        <f>IF(A70="","",E70&amp;F70&amp;G70)</f>
        <v/>
      </c>
      <c r="I70">
        <f>IF(A70="","",IF(AND(E70&gt;=4,F70&gt;=4,G70&gt;=4),"Juara",IF(AND(F70&gt;=4,E70&gt;=3),"Setia",IF(AND(E70=5,F70&lt;=2,G70&gt;=3),"Berpotensi",IF(AND(E70&lt;=3,E70&gt;=2,F70&gt;=3),"Rawan",IF(AND(E70&lt;=2,F70&lt;=2),"Tidur","Umum"))))))</f>
        <v/>
      </c>
    </row>
    <row r="71">
      <c r="B71">
        <f>IF(A71="","",$B$1-MAXIFS(Donasi!$A$2:$A$20000,Donasi!$B$2:$B$20000,A71))</f>
        <v/>
      </c>
      <c r="C71">
        <f>IF(A71="","",COUNTIF(Donasi!$B$2:$B$20000,A71))</f>
        <v/>
      </c>
      <c r="D71">
        <f>IF(A71="","",SUMIF(Donasi!$B$2:$B$20000,A71,Donasi!$C$2:$C$20000))</f>
        <v/>
      </c>
      <c r="E71">
        <f>IF(A71="","",6-CEILING(PERCENTRANK.INC($B$3:$B$6000,B71,4)*5+0.000001,1))</f>
        <v/>
      </c>
      <c r="F71">
        <f>IF(A71="","",MAX(1,CEILING(PERCENTRANK.INC($C$3:$C$6000,C71,4)*5+0.000001,1)))</f>
        <v/>
      </c>
      <c r="G71">
        <f>IF(A71="","",MAX(1,CEILING(PERCENTRANK.INC($D$3:$D$6000,D71,4)*5+0.000001,1)))</f>
        <v/>
      </c>
      <c r="H71">
        <f>IF(A71="","",E71&amp;F71&amp;G71)</f>
        <v/>
      </c>
      <c r="I71">
        <f>IF(A71="","",IF(AND(E71&gt;=4,F71&gt;=4,G71&gt;=4),"Juara",IF(AND(F71&gt;=4,E71&gt;=3),"Setia",IF(AND(E71=5,F71&lt;=2,G71&gt;=3),"Berpotensi",IF(AND(E71&lt;=3,E71&gt;=2,F71&gt;=3),"Rawan",IF(AND(E71&lt;=2,F71&lt;=2),"Tidur","Umum"))))))</f>
        <v/>
      </c>
    </row>
    <row r="72">
      <c r="B72">
        <f>IF(A72="","",$B$1-MAXIFS(Donasi!$A$2:$A$20000,Donasi!$B$2:$B$20000,A72))</f>
        <v/>
      </c>
      <c r="C72">
        <f>IF(A72="","",COUNTIF(Donasi!$B$2:$B$20000,A72))</f>
        <v/>
      </c>
      <c r="D72">
        <f>IF(A72="","",SUMIF(Donasi!$B$2:$B$20000,A72,Donasi!$C$2:$C$20000))</f>
        <v/>
      </c>
      <c r="E72">
        <f>IF(A72="","",6-CEILING(PERCENTRANK.INC($B$3:$B$6000,B72,4)*5+0.000001,1))</f>
        <v/>
      </c>
      <c r="F72">
        <f>IF(A72="","",MAX(1,CEILING(PERCENTRANK.INC($C$3:$C$6000,C72,4)*5+0.000001,1)))</f>
        <v/>
      </c>
      <c r="G72">
        <f>IF(A72="","",MAX(1,CEILING(PERCENTRANK.INC($D$3:$D$6000,D72,4)*5+0.000001,1)))</f>
        <v/>
      </c>
      <c r="H72">
        <f>IF(A72="","",E72&amp;F72&amp;G72)</f>
        <v/>
      </c>
      <c r="I72">
        <f>IF(A72="","",IF(AND(E72&gt;=4,F72&gt;=4,G72&gt;=4),"Juara",IF(AND(F72&gt;=4,E72&gt;=3),"Setia",IF(AND(E72=5,F72&lt;=2,G72&gt;=3),"Berpotensi",IF(AND(E72&lt;=3,E72&gt;=2,F72&gt;=3),"Rawan",IF(AND(E72&lt;=2,F72&lt;=2),"Tidur","Umum"))))))</f>
        <v/>
      </c>
    </row>
    <row r="73">
      <c r="B73">
        <f>IF(A73="","",$B$1-MAXIFS(Donasi!$A$2:$A$20000,Donasi!$B$2:$B$20000,A73))</f>
        <v/>
      </c>
      <c r="C73">
        <f>IF(A73="","",COUNTIF(Donasi!$B$2:$B$20000,A73))</f>
        <v/>
      </c>
      <c r="D73">
        <f>IF(A73="","",SUMIF(Donasi!$B$2:$B$20000,A73,Donasi!$C$2:$C$20000))</f>
        <v/>
      </c>
      <c r="E73">
        <f>IF(A73="","",6-CEILING(PERCENTRANK.INC($B$3:$B$6000,B73,4)*5+0.000001,1))</f>
        <v/>
      </c>
      <c r="F73">
        <f>IF(A73="","",MAX(1,CEILING(PERCENTRANK.INC($C$3:$C$6000,C73,4)*5+0.000001,1)))</f>
        <v/>
      </c>
      <c r="G73">
        <f>IF(A73="","",MAX(1,CEILING(PERCENTRANK.INC($D$3:$D$6000,D73,4)*5+0.000001,1)))</f>
        <v/>
      </c>
      <c r="H73">
        <f>IF(A73="","",E73&amp;F73&amp;G73)</f>
        <v/>
      </c>
      <c r="I73">
        <f>IF(A73="","",IF(AND(E73&gt;=4,F73&gt;=4,G73&gt;=4),"Juara",IF(AND(F73&gt;=4,E73&gt;=3),"Setia",IF(AND(E73=5,F73&lt;=2,G73&gt;=3),"Berpotensi",IF(AND(E73&lt;=3,E73&gt;=2,F73&gt;=3),"Rawan",IF(AND(E73&lt;=2,F73&lt;=2),"Tidur","Umum"))))))</f>
        <v/>
      </c>
    </row>
    <row r="74">
      <c r="B74">
        <f>IF(A74="","",$B$1-MAXIFS(Donasi!$A$2:$A$20000,Donasi!$B$2:$B$20000,A74))</f>
        <v/>
      </c>
      <c r="C74">
        <f>IF(A74="","",COUNTIF(Donasi!$B$2:$B$20000,A74))</f>
        <v/>
      </c>
      <c r="D74">
        <f>IF(A74="","",SUMIF(Donasi!$B$2:$B$20000,A74,Donasi!$C$2:$C$20000))</f>
        <v/>
      </c>
      <c r="E74">
        <f>IF(A74="","",6-CEILING(PERCENTRANK.INC($B$3:$B$6000,B74,4)*5+0.000001,1))</f>
        <v/>
      </c>
      <c r="F74">
        <f>IF(A74="","",MAX(1,CEILING(PERCENTRANK.INC($C$3:$C$6000,C74,4)*5+0.000001,1)))</f>
        <v/>
      </c>
      <c r="G74">
        <f>IF(A74="","",MAX(1,CEILING(PERCENTRANK.INC($D$3:$D$6000,D74,4)*5+0.000001,1)))</f>
        <v/>
      </c>
      <c r="H74">
        <f>IF(A74="","",E74&amp;F74&amp;G74)</f>
        <v/>
      </c>
      <c r="I74">
        <f>IF(A74="","",IF(AND(E74&gt;=4,F74&gt;=4,G74&gt;=4),"Juara",IF(AND(F74&gt;=4,E74&gt;=3),"Setia",IF(AND(E74=5,F74&lt;=2,G74&gt;=3),"Berpotensi",IF(AND(E74&lt;=3,E74&gt;=2,F74&gt;=3),"Rawan",IF(AND(E74&lt;=2,F74&lt;=2),"Tidur","Umum"))))))</f>
        <v/>
      </c>
    </row>
    <row r="75">
      <c r="B75">
        <f>IF(A75="","",$B$1-MAXIFS(Donasi!$A$2:$A$20000,Donasi!$B$2:$B$20000,A75))</f>
        <v/>
      </c>
      <c r="C75">
        <f>IF(A75="","",COUNTIF(Donasi!$B$2:$B$20000,A75))</f>
        <v/>
      </c>
      <c r="D75">
        <f>IF(A75="","",SUMIF(Donasi!$B$2:$B$20000,A75,Donasi!$C$2:$C$20000))</f>
        <v/>
      </c>
      <c r="E75">
        <f>IF(A75="","",6-CEILING(PERCENTRANK.INC($B$3:$B$6000,B75,4)*5+0.000001,1))</f>
        <v/>
      </c>
      <c r="F75">
        <f>IF(A75="","",MAX(1,CEILING(PERCENTRANK.INC($C$3:$C$6000,C75,4)*5+0.000001,1)))</f>
        <v/>
      </c>
      <c r="G75">
        <f>IF(A75="","",MAX(1,CEILING(PERCENTRANK.INC($D$3:$D$6000,D75,4)*5+0.000001,1)))</f>
        <v/>
      </c>
      <c r="H75">
        <f>IF(A75="","",E75&amp;F75&amp;G75)</f>
        <v/>
      </c>
      <c r="I75">
        <f>IF(A75="","",IF(AND(E75&gt;=4,F75&gt;=4,G75&gt;=4),"Juara",IF(AND(F75&gt;=4,E75&gt;=3),"Setia",IF(AND(E75=5,F75&lt;=2,G75&gt;=3),"Berpotensi",IF(AND(E75&lt;=3,E75&gt;=2,F75&gt;=3),"Rawan",IF(AND(E75&lt;=2,F75&lt;=2),"Tidur","Umum"))))))</f>
        <v/>
      </c>
    </row>
    <row r="76">
      <c r="B76">
        <f>IF(A76="","",$B$1-MAXIFS(Donasi!$A$2:$A$20000,Donasi!$B$2:$B$20000,A76))</f>
        <v/>
      </c>
      <c r="C76">
        <f>IF(A76="","",COUNTIF(Donasi!$B$2:$B$20000,A76))</f>
        <v/>
      </c>
      <c r="D76">
        <f>IF(A76="","",SUMIF(Donasi!$B$2:$B$20000,A76,Donasi!$C$2:$C$20000))</f>
        <v/>
      </c>
      <c r="E76">
        <f>IF(A76="","",6-CEILING(PERCENTRANK.INC($B$3:$B$6000,B76,4)*5+0.000001,1))</f>
        <v/>
      </c>
      <c r="F76">
        <f>IF(A76="","",MAX(1,CEILING(PERCENTRANK.INC($C$3:$C$6000,C76,4)*5+0.000001,1)))</f>
        <v/>
      </c>
      <c r="G76">
        <f>IF(A76="","",MAX(1,CEILING(PERCENTRANK.INC($D$3:$D$6000,D76,4)*5+0.000001,1)))</f>
        <v/>
      </c>
      <c r="H76">
        <f>IF(A76="","",E76&amp;F76&amp;G76)</f>
        <v/>
      </c>
      <c r="I76">
        <f>IF(A76="","",IF(AND(E76&gt;=4,F76&gt;=4,G76&gt;=4),"Juara",IF(AND(F76&gt;=4,E76&gt;=3),"Setia",IF(AND(E76=5,F76&lt;=2,G76&gt;=3),"Berpotensi",IF(AND(E76&lt;=3,E76&gt;=2,F76&gt;=3),"Rawan",IF(AND(E76&lt;=2,F76&lt;=2),"Tidur","Umum"))))))</f>
        <v/>
      </c>
    </row>
    <row r="77">
      <c r="B77">
        <f>IF(A77="","",$B$1-MAXIFS(Donasi!$A$2:$A$20000,Donasi!$B$2:$B$20000,A77))</f>
        <v/>
      </c>
      <c r="C77">
        <f>IF(A77="","",COUNTIF(Donasi!$B$2:$B$20000,A77))</f>
        <v/>
      </c>
      <c r="D77">
        <f>IF(A77="","",SUMIF(Donasi!$B$2:$B$20000,A77,Donasi!$C$2:$C$20000))</f>
        <v/>
      </c>
      <c r="E77">
        <f>IF(A77="","",6-CEILING(PERCENTRANK.INC($B$3:$B$6000,B77,4)*5+0.000001,1))</f>
        <v/>
      </c>
      <c r="F77">
        <f>IF(A77="","",MAX(1,CEILING(PERCENTRANK.INC($C$3:$C$6000,C77,4)*5+0.000001,1)))</f>
        <v/>
      </c>
      <c r="G77">
        <f>IF(A77="","",MAX(1,CEILING(PERCENTRANK.INC($D$3:$D$6000,D77,4)*5+0.000001,1)))</f>
        <v/>
      </c>
      <c r="H77">
        <f>IF(A77="","",E77&amp;F77&amp;G77)</f>
        <v/>
      </c>
      <c r="I77">
        <f>IF(A77="","",IF(AND(E77&gt;=4,F77&gt;=4,G77&gt;=4),"Juara",IF(AND(F77&gt;=4,E77&gt;=3),"Setia",IF(AND(E77=5,F77&lt;=2,G77&gt;=3),"Berpotensi",IF(AND(E77&lt;=3,E77&gt;=2,F77&gt;=3),"Rawan",IF(AND(E77&lt;=2,F77&lt;=2),"Tidur","Umum"))))))</f>
        <v/>
      </c>
    </row>
    <row r="78">
      <c r="B78">
        <f>IF(A78="","",$B$1-MAXIFS(Donasi!$A$2:$A$20000,Donasi!$B$2:$B$20000,A78))</f>
        <v/>
      </c>
      <c r="C78">
        <f>IF(A78="","",COUNTIF(Donasi!$B$2:$B$20000,A78))</f>
        <v/>
      </c>
      <c r="D78">
        <f>IF(A78="","",SUMIF(Donasi!$B$2:$B$20000,A78,Donasi!$C$2:$C$20000))</f>
        <v/>
      </c>
      <c r="E78">
        <f>IF(A78="","",6-CEILING(PERCENTRANK.INC($B$3:$B$6000,B78,4)*5+0.000001,1))</f>
        <v/>
      </c>
      <c r="F78">
        <f>IF(A78="","",MAX(1,CEILING(PERCENTRANK.INC($C$3:$C$6000,C78,4)*5+0.000001,1)))</f>
        <v/>
      </c>
      <c r="G78">
        <f>IF(A78="","",MAX(1,CEILING(PERCENTRANK.INC($D$3:$D$6000,D78,4)*5+0.000001,1)))</f>
        <v/>
      </c>
      <c r="H78">
        <f>IF(A78="","",E78&amp;F78&amp;G78)</f>
        <v/>
      </c>
      <c r="I78">
        <f>IF(A78="","",IF(AND(E78&gt;=4,F78&gt;=4,G78&gt;=4),"Juara",IF(AND(F78&gt;=4,E78&gt;=3),"Setia",IF(AND(E78=5,F78&lt;=2,G78&gt;=3),"Berpotensi",IF(AND(E78&lt;=3,E78&gt;=2,F78&gt;=3),"Rawan",IF(AND(E78&lt;=2,F78&lt;=2),"Tidur","Umum"))))))</f>
        <v/>
      </c>
    </row>
    <row r="79">
      <c r="B79">
        <f>IF(A79="","",$B$1-MAXIFS(Donasi!$A$2:$A$20000,Donasi!$B$2:$B$20000,A79))</f>
        <v/>
      </c>
      <c r="C79">
        <f>IF(A79="","",COUNTIF(Donasi!$B$2:$B$20000,A79))</f>
        <v/>
      </c>
      <c r="D79">
        <f>IF(A79="","",SUMIF(Donasi!$B$2:$B$20000,A79,Donasi!$C$2:$C$20000))</f>
        <v/>
      </c>
      <c r="E79">
        <f>IF(A79="","",6-CEILING(PERCENTRANK.INC($B$3:$B$6000,B79,4)*5+0.000001,1))</f>
        <v/>
      </c>
      <c r="F79">
        <f>IF(A79="","",MAX(1,CEILING(PERCENTRANK.INC($C$3:$C$6000,C79,4)*5+0.000001,1)))</f>
        <v/>
      </c>
      <c r="G79">
        <f>IF(A79="","",MAX(1,CEILING(PERCENTRANK.INC($D$3:$D$6000,D79,4)*5+0.000001,1)))</f>
        <v/>
      </c>
      <c r="H79">
        <f>IF(A79="","",E79&amp;F79&amp;G79)</f>
        <v/>
      </c>
      <c r="I79">
        <f>IF(A79="","",IF(AND(E79&gt;=4,F79&gt;=4,G79&gt;=4),"Juara",IF(AND(F79&gt;=4,E79&gt;=3),"Setia",IF(AND(E79=5,F79&lt;=2,G79&gt;=3),"Berpotensi",IF(AND(E79&lt;=3,E79&gt;=2,F79&gt;=3),"Rawan",IF(AND(E79&lt;=2,F79&lt;=2),"Tidur","Umum"))))))</f>
        <v/>
      </c>
    </row>
    <row r="80">
      <c r="B80">
        <f>IF(A80="","",$B$1-MAXIFS(Donasi!$A$2:$A$20000,Donasi!$B$2:$B$20000,A80))</f>
        <v/>
      </c>
      <c r="C80">
        <f>IF(A80="","",COUNTIF(Donasi!$B$2:$B$20000,A80))</f>
        <v/>
      </c>
      <c r="D80">
        <f>IF(A80="","",SUMIF(Donasi!$B$2:$B$20000,A80,Donasi!$C$2:$C$20000))</f>
        <v/>
      </c>
      <c r="E80">
        <f>IF(A80="","",6-CEILING(PERCENTRANK.INC($B$3:$B$6000,B80,4)*5+0.000001,1))</f>
        <v/>
      </c>
      <c r="F80">
        <f>IF(A80="","",MAX(1,CEILING(PERCENTRANK.INC($C$3:$C$6000,C80,4)*5+0.000001,1)))</f>
        <v/>
      </c>
      <c r="G80">
        <f>IF(A80="","",MAX(1,CEILING(PERCENTRANK.INC($D$3:$D$6000,D80,4)*5+0.000001,1)))</f>
        <v/>
      </c>
      <c r="H80">
        <f>IF(A80="","",E80&amp;F80&amp;G80)</f>
        <v/>
      </c>
      <c r="I80">
        <f>IF(A80="","",IF(AND(E80&gt;=4,F80&gt;=4,G80&gt;=4),"Juara",IF(AND(F80&gt;=4,E80&gt;=3),"Setia",IF(AND(E80=5,F80&lt;=2,G80&gt;=3),"Berpotensi",IF(AND(E80&lt;=3,E80&gt;=2,F80&gt;=3),"Rawan",IF(AND(E80&lt;=2,F80&lt;=2),"Tidur","Umum"))))))</f>
        <v/>
      </c>
    </row>
    <row r="81">
      <c r="B81">
        <f>IF(A81="","",$B$1-MAXIFS(Donasi!$A$2:$A$20000,Donasi!$B$2:$B$20000,A81))</f>
        <v/>
      </c>
      <c r="C81">
        <f>IF(A81="","",COUNTIF(Donasi!$B$2:$B$20000,A81))</f>
        <v/>
      </c>
      <c r="D81">
        <f>IF(A81="","",SUMIF(Donasi!$B$2:$B$20000,A81,Donasi!$C$2:$C$20000))</f>
        <v/>
      </c>
      <c r="E81">
        <f>IF(A81="","",6-CEILING(PERCENTRANK.INC($B$3:$B$6000,B81,4)*5+0.000001,1))</f>
        <v/>
      </c>
      <c r="F81">
        <f>IF(A81="","",MAX(1,CEILING(PERCENTRANK.INC($C$3:$C$6000,C81,4)*5+0.000001,1)))</f>
        <v/>
      </c>
      <c r="G81">
        <f>IF(A81="","",MAX(1,CEILING(PERCENTRANK.INC($D$3:$D$6000,D81,4)*5+0.000001,1)))</f>
        <v/>
      </c>
      <c r="H81">
        <f>IF(A81="","",E81&amp;F81&amp;G81)</f>
        <v/>
      </c>
      <c r="I81">
        <f>IF(A81="","",IF(AND(E81&gt;=4,F81&gt;=4,G81&gt;=4),"Juara",IF(AND(F81&gt;=4,E81&gt;=3),"Setia",IF(AND(E81=5,F81&lt;=2,G81&gt;=3),"Berpotensi",IF(AND(E81&lt;=3,E81&gt;=2,F81&gt;=3),"Rawan",IF(AND(E81&lt;=2,F81&lt;=2),"Tidur","Umum"))))))</f>
        <v/>
      </c>
    </row>
    <row r="82">
      <c r="B82">
        <f>IF(A82="","",$B$1-MAXIFS(Donasi!$A$2:$A$20000,Donasi!$B$2:$B$20000,A82))</f>
        <v/>
      </c>
      <c r="C82">
        <f>IF(A82="","",COUNTIF(Donasi!$B$2:$B$20000,A82))</f>
        <v/>
      </c>
      <c r="D82">
        <f>IF(A82="","",SUMIF(Donasi!$B$2:$B$20000,A82,Donasi!$C$2:$C$20000))</f>
        <v/>
      </c>
      <c r="E82">
        <f>IF(A82="","",6-CEILING(PERCENTRANK.INC($B$3:$B$6000,B82,4)*5+0.000001,1))</f>
        <v/>
      </c>
      <c r="F82">
        <f>IF(A82="","",MAX(1,CEILING(PERCENTRANK.INC($C$3:$C$6000,C82,4)*5+0.000001,1)))</f>
        <v/>
      </c>
      <c r="G82">
        <f>IF(A82="","",MAX(1,CEILING(PERCENTRANK.INC($D$3:$D$6000,D82,4)*5+0.000001,1)))</f>
        <v/>
      </c>
      <c r="H82">
        <f>IF(A82="","",E82&amp;F82&amp;G82)</f>
        <v/>
      </c>
      <c r="I82">
        <f>IF(A82="","",IF(AND(E82&gt;=4,F82&gt;=4,G82&gt;=4),"Juara",IF(AND(F82&gt;=4,E82&gt;=3),"Setia",IF(AND(E82=5,F82&lt;=2,G82&gt;=3),"Berpotensi",IF(AND(E82&lt;=3,E82&gt;=2,F82&gt;=3),"Rawan",IF(AND(E82&lt;=2,F82&lt;=2),"Tidur","Umum"))))))</f>
        <v/>
      </c>
    </row>
    <row r="83">
      <c r="B83">
        <f>IF(A83="","",$B$1-MAXIFS(Donasi!$A$2:$A$20000,Donasi!$B$2:$B$20000,A83))</f>
        <v/>
      </c>
      <c r="C83">
        <f>IF(A83="","",COUNTIF(Donasi!$B$2:$B$20000,A83))</f>
        <v/>
      </c>
      <c r="D83">
        <f>IF(A83="","",SUMIF(Donasi!$B$2:$B$20000,A83,Donasi!$C$2:$C$20000))</f>
        <v/>
      </c>
      <c r="E83">
        <f>IF(A83="","",6-CEILING(PERCENTRANK.INC($B$3:$B$6000,B83,4)*5+0.000001,1))</f>
        <v/>
      </c>
      <c r="F83">
        <f>IF(A83="","",MAX(1,CEILING(PERCENTRANK.INC($C$3:$C$6000,C83,4)*5+0.000001,1)))</f>
        <v/>
      </c>
      <c r="G83">
        <f>IF(A83="","",MAX(1,CEILING(PERCENTRANK.INC($D$3:$D$6000,D83,4)*5+0.000001,1)))</f>
        <v/>
      </c>
      <c r="H83">
        <f>IF(A83="","",E83&amp;F83&amp;G83)</f>
        <v/>
      </c>
      <c r="I83">
        <f>IF(A83="","",IF(AND(E83&gt;=4,F83&gt;=4,G83&gt;=4),"Juara",IF(AND(F83&gt;=4,E83&gt;=3),"Setia",IF(AND(E83=5,F83&lt;=2,G83&gt;=3),"Berpotensi",IF(AND(E83&lt;=3,E83&gt;=2,F83&gt;=3),"Rawan",IF(AND(E83&lt;=2,F83&lt;=2),"Tidur","Umum"))))))</f>
        <v/>
      </c>
    </row>
    <row r="84">
      <c r="B84">
        <f>IF(A84="","",$B$1-MAXIFS(Donasi!$A$2:$A$20000,Donasi!$B$2:$B$20000,A84))</f>
        <v/>
      </c>
      <c r="C84">
        <f>IF(A84="","",COUNTIF(Donasi!$B$2:$B$20000,A84))</f>
        <v/>
      </c>
      <c r="D84">
        <f>IF(A84="","",SUMIF(Donasi!$B$2:$B$20000,A84,Donasi!$C$2:$C$20000))</f>
        <v/>
      </c>
      <c r="E84">
        <f>IF(A84="","",6-CEILING(PERCENTRANK.INC($B$3:$B$6000,B84,4)*5+0.000001,1))</f>
        <v/>
      </c>
      <c r="F84">
        <f>IF(A84="","",MAX(1,CEILING(PERCENTRANK.INC($C$3:$C$6000,C84,4)*5+0.000001,1)))</f>
        <v/>
      </c>
      <c r="G84">
        <f>IF(A84="","",MAX(1,CEILING(PERCENTRANK.INC($D$3:$D$6000,D84,4)*5+0.000001,1)))</f>
        <v/>
      </c>
      <c r="H84">
        <f>IF(A84="","",E84&amp;F84&amp;G84)</f>
        <v/>
      </c>
      <c r="I84">
        <f>IF(A84="","",IF(AND(E84&gt;=4,F84&gt;=4,G84&gt;=4),"Juara",IF(AND(F84&gt;=4,E84&gt;=3),"Setia",IF(AND(E84=5,F84&lt;=2,G84&gt;=3),"Berpotensi",IF(AND(E84&lt;=3,E84&gt;=2,F84&gt;=3),"Rawan",IF(AND(E84&lt;=2,F84&lt;=2),"Tidur","Umum"))))))</f>
        <v/>
      </c>
    </row>
    <row r="85">
      <c r="B85">
        <f>IF(A85="","",$B$1-MAXIFS(Donasi!$A$2:$A$20000,Donasi!$B$2:$B$20000,A85))</f>
        <v/>
      </c>
      <c r="C85">
        <f>IF(A85="","",COUNTIF(Donasi!$B$2:$B$20000,A85))</f>
        <v/>
      </c>
      <c r="D85">
        <f>IF(A85="","",SUMIF(Donasi!$B$2:$B$20000,A85,Donasi!$C$2:$C$20000))</f>
        <v/>
      </c>
      <c r="E85">
        <f>IF(A85="","",6-CEILING(PERCENTRANK.INC($B$3:$B$6000,B85,4)*5+0.000001,1))</f>
        <v/>
      </c>
      <c r="F85">
        <f>IF(A85="","",MAX(1,CEILING(PERCENTRANK.INC($C$3:$C$6000,C85,4)*5+0.000001,1)))</f>
        <v/>
      </c>
      <c r="G85">
        <f>IF(A85="","",MAX(1,CEILING(PERCENTRANK.INC($D$3:$D$6000,D85,4)*5+0.000001,1)))</f>
        <v/>
      </c>
      <c r="H85">
        <f>IF(A85="","",E85&amp;F85&amp;G85)</f>
        <v/>
      </c>
      <c r="I85">
        <f>IF(A85="","",IF(AND(E85&gt;=4,F85&gt;=4,G85&gt;=4),"Juara",IF(AND(F85&gt;=4,E85&gt;=3),"Setia",IF(AND(E85=5,F85&lt;=2,G85&gt;=3),"Berpotensi",IF(AND(E85&lt;=3,E85&gt;=2,F85&gt;=3),"Rawan",IF(AND(E85&lt;=2,F85&lt;=2),"Tidur","Umum"))))))</f>
        <v/>
      </c>
    </row>
    <row r="86">
      <c r="B86">
        <f>IF(A86="","",$B$1-MAXIFS(Donasi!$A$2:$A$20000,Donasi!$B$2:$B$20000,A86))</f>
        <v/>
      </c>
      <c r="C86">
        <f>IF(A86="","",COUNTIF(Donasi!$B$2:$B$20000,A86))</f>
        <v/>
      </c>
      <c r="D86">
        <f>IF(A86="","",SUMIF(Donasi!$B$2:$B$20000,A86,Donasi!$C$2:$C$20000))</f>
        <v/>
      </c>
      <c r="E86">
        <f>IF(A86="","",6-CEILING(PERCENTRANK.INC($B$3:$B$6000,B86,4)*5+0.000001,1))</f>
        <v/>
      </c>
      <c r="F86">
        <f>IF(A86="","",MAX(1,CEILING(PERCENTRANK.INC($C$3:$C$6000,C86,4)*5+0.000001,1)))</f>
        <v/>
      </c>
      <c r="G86">
        <f>IF(A86="","",MAX(1,CEILING(PERCENTRANK.INC($D$3:$D$6000,D86,4)*5+0.000001,1)))</f>
        <v/>
      </c>
      <c r="H86">
        <f>IF(A86="","",E86&amp;F86&amp;G86)</f>
        <v/>
      </c>
      <c r="I86">
        <f>IF(A86="","",IF(AND(E86&gt;=4,F86&gt;=4,G86&gt;=4),"Juara",IF(AND(F86&gt;=4,E86&gt;=3),"Setia",IF(AND(E86=5,F86&lt;=2,G86&gt;=3),"Berpotensi",IF(AND(E86&lt;=3,E86&gt;=2,F86&gt;=3),"Rawan",IF(AND(E86&lt;=2,F86&lt;=2),"Tidur","Umum"))))))</f>
        <v/>
      </c>
    </row>
    <row r="87">
      <c r="B87">
        <f>IF(A87="","",$B$1-MAXIFS(Donasi!$A$2:$A$20000,Donasi!$B$2:$B$20000,A87))</f>
        <v/>
      </c>
      <c r="C87">
        <f>IF(A87="","",COUNTIF(Donasi!$B$2:$B$20000,A87))</f>
        <v/>
      </c>
      <c r="D87">
        <f>IF(A87="","",SUMIF(Donasi!$B$2:$B$20000,A87,Donasi!$C$2:$C$20000))</f>
        <v/>
      </c>
      <c r="E87">
        <f>IF(A87="","",6-CEILING(PERCENTRANK.INC($B$3:$B$6000,B87,4)*5+0.000001,1))</f>
        <v/>
      </c>
      <c r="F87">
        <f>IF(A87="","",MAX(1,CEILING(PERCENTRANK.INC($C$3:$C$6000,C87,4)*5+0.000001,1)))</f>
        <v/>
      </c>
      <c r="G87">
        <f>IF(A87="","",MAX(1,CEILING(PERCENTRANK.INC($D$3:$D$6000,D87,4)*5+0.000001,1)))</f>
        <v/>
      </c>
      <c r="H87">
        <f>IF(A87="","",E87&amp;F87&amp;G87)</f>
        <v/>
      </c>
      <c r="I87">
        <f>IF(A87="","",IF(AND(E87&gt;=4,F87&gt;=4,G87&gt;=4),"Juara",IF(AND(F87&gt;=4,E87&gt;=3),"Setia",IF(AND(E87=5,F87&lt;=2,G87&gt;=3),"Berpotensi",IF(AND(E87&lt;=3,E87&gt;=2,F87&gt;=3),"Rawan",IF(AND(E87&lt;=2,F87&lt;=2),"Tidur","Umum"))))))</f>
        <v/>
      </c>
    </row>
    <row r="88">
      <c r="B88">
        <f>IF(A88="","",$B$1-MAXIFS(Donasi!$A$2:$A$20000,Donasi!$B$2:$B$20000,A88))</f>
        <v/>
      </c>
      <c r="C88">
        <f>IF(A88="","",COUNTIF(Donasi!$B$2:$B$20000,A88))</f>
        <v/>
      </c>
      <c r="D88">
        <f>IF(A88="","",SUMIF(Donasi!$B$2:$B$20000,A88,Donasi!$C$2:$C$20000))</f>
        <v/>
      </c>
      <c r="E88">
        <f>IF(A88="","",6-CEILING(PERCENTRANK.INC($B$3:$B$6000,B88,4)*5+0.000001,1))</f>
        <v/>
      </c>
      <c r="F88">
        <f>IF(A88="","",MAX(1,CEILING(PERCENTRANK.INC($C$3:$C$6000,C88,4)*5+0.000001,1)))</f>
        <v/>
      </c>
      <c r="G88">
        <f>IF(A88="","",MAX(1,CEILING(PERCENTRANK.INC($D$3:$D$6000,D88,4)*5+0.000001,1)))</f>
        <v/>
      </c>
      <c r="H88">
        <f>IF(A88="","",E88&amp;F88&amp;G88)</f>
        <v/>
      </c>
      <c r="I88">
        <f>IF(A88="","",IF(AND(E88&gt;=4,F88&gt;=4,G88&gt;=4),"Juara",IF(AND(F88&gt;=4,E88&gt;=3),"Setia",IF(AND(E88=5,F88&lt;=2,G88&gt;=3),"Berpotensi",IF(AND(E88&lt;=3,E88&gt;=2,F88&gt;=3),"Rawan",IF(AND(E88&lt;=2,F88&lt;=2),"Tidur","Umum"))))))</f>
        <v/>
      </c>
    </row>
    <row r="89">
      <c r="B89">
        <f>IF(A89="","",$B$1-MAXIFS(Donasi!$A$2:$A$20000,Donasi!$B$2:$B$20000,A89))</f>
        <v/>
      </c>
      <c r="C89">
        <f>IF(A89="","",COUNTIF(Donasi!$B$2:$B$20000,A89))</f>
        <v/>
      </c>
      <c r="D89">
        <f>IF(A89="","",SUMIF(Donasi!$B$2:$B$20000,A89,Donasi!$C$2:$C$20000))</f>
        <v/>
      </c>
      <c r="E89">
        <f>IF(A89="","",6-CEILING(PERCENTRANK.INC($B$3:$B$6000,B89,4)*5+0.000001,1))</f>
        <v/>
      </c>
      <c r="F89">
        <f>IF(A89="","",MAX(1,CEILING(PERCENTRANK.INC($C$3:$C$6000,C89,4)*5+0.000001,1)))</f>
        <v/>
      </c>
      <c r="G89">
        <f>IF(A89="","",MAX(1,CEILING(PERCENTRANK.INC($D$3:$D$6000,D89,4)*5+0.000001,1)))</f>
        <v/>
      </c>
      <c r="H89">
        <f>IF(A89="","",E89&amp;F89&amp;G89)</f>
        <v/>
      </c>
      <c r="I89">
        <f>IF(A89="","",IF(AND(E89&gt;=4,F89&gt;=4,G89&gt;=4),"Juara",IF(AND(F89&gt;=4,E89&gt;=3),"Setia",IF(AND(E89=5,F89&lt;=2,G89&gt;=3),"Berpotensi",IF(AND(E89&lt;=3,E89&gt;=2,F89&gt;=3),"Rawan",IF(AND(E89&lt;=2,F89&lt;=2),"Tidur","Umum"))))))</f>
        <v/>
      </c>
    </row>
    <row r="90">
      <c r="B90">
        <f>IF(A90="","",$B$1-MAXIFS(Donasi!$A$2:$A$20000,Donasi!$B$2:$B$20000,A90))</f>
        <v/>
      </c>
      <c r="C90">
        <f>IF(A90="","",COUNTIF(Donasi!$B$2:$B$20000,A90))</f>
        <v/>
      </c>
      <c r="D90">
        <f>IF(A90="","",SUMIF(Donasi!$B$2:$B$20000,A90,Donasi!$C$2:$C$20000))</f>
        <v/>
      </c>
      <c r="E90">
        <f>IF(A90="","",6-CEILING(PERCENTRANK.INC($B$3:$B$6000,B90,4)*5+0.000001,1))</f>
        <v/>
      </c>
      <c r="F90">
        <f>IF(A90="","",MAX(1,CEILING(PERCENTRANK.INC($C$3:$C$6000,C90,4)*5+0.000001,1)))</f>
        <v/>
      </c>
      <c r="G90">
        <f>IF(A90="","",MAX(1,CEILING(PERCENTRANK.INC($D$3:$D$6000,D90,4)*5+0.000001,1)))</f>
        <v/>
      </c>
      <c r="H90">
        <f>IF(A90="","",E90&amp;F90&amp;G90)</f>
        <v/>
      </c>
      <c r="I90">
        <f>IF(A90="","",IF(AND(E90&gt;=4,F90&gt;=4,G90&gt;=4),"Juara",IF(AND(F90&gt;=4,E90&gt;=3),"Setia",IF(AND(E90=5,F90&lt;=2,G90&gt;=3),"Berpotensi",IF(AND(E90&lt;=3,E90&gt;=2,F90&gt;=3),"Rawan",IF(AND(E90&lt;=2,F90&lt;=2),"Tidur","Umum"))))))</f>
        <v/>
      </c>
    </row>
    <row r="91">
      <c r="B91">
        <f>IF(A91="","",$B$1-MAXIFS(Donasi!$A$2:$A$20000,Donasi!$B$2:$B$20000,A91))</f>
        <v/>
      </c>
      <c r="C91">
        <f>IF(A91="","",COUNTIF(Donasi!$B$2:$B$20000,A91))</f>
        <v/>
      </c>
      <c r="D91">
        <f>IF(A91="","",SUMIF(Donasi!$B$2:$B$20000,A91,Donasi!$C$2:$C$20000))</f>
        <v/>
      </c>
      <c r="E91">
        <f>IF(A91="","",6-CEILING(PERCENTRANK.INC($B$3:$B$6000,B91,4)*5+0.000001,1))</f>
        <v/>
      </c>
      <c r="F91">
        <f>IF(A91="","",MAX(1,CEILING(PERCENTRANK.INC($C$3:$C$6000,C91,4)*5+0.000001,1)))</f>
        <v/>
      </c>
      <c r="G91">
        <f>IF(A91="","",MAX(1,CEILING(PERCENTRANK.INC($D$3:$D$6000,D91,4)*5+0.000001,1)))</f>
        <v/>
      </c>
      <c r="H91">
        <f>IF(A91="","",E91&amp;F91&amp;G91)</f>
        <v/>
      </c>
      <c r="I91">
        <f>IF(A91="","",IF(AND(E91&gt;=4,F91&gt;=4,G91&gt;=4),"Juara",IF(AND(F91&gt;=4,E91&gt;=3),"Setia",IF(AND(E91=5,F91&lt;=2,G91&gt;=3),"Berpotensi",IF(AND(E91&lt;=3,E91&gt;=2,F91&gt;=3),"Rawan",IF(AND(E91&lt;=2,F91&lt;=2),"Tidur","Umum"))))))</f>
        <v/>
      </c>
    </row>
    <row r="92">
      <c r="B92">
        <f>IF(A92="","",$B$1-MAXIFS(Donasi!$A$2:$A$20000,Donasi!$B$2:$B$20000,A92))</f>
        <v/>
      </c>
      <c r="C92">
        <f>IF(A92="","",COUNTIF(Donasi!$B$2:$B$20000,A92))</f>
        <v/>
      </c>
      <c r="D92">
        <f>IF(A92="","",SUMIF(Donasi!$B$2:$B$20000,A92,Donasi!$C$2:$C$20000))</f>
        <v/>
      </c>
      <c r="E92">
        <f>IF(A92="","",6-CEILING(PERCENTRANK.INC($B$3:$B$6000,B92,4)*5+0.000001,1))</f>
        <v/>
      </c>
      <c r="F92">
        <f>IF(A92="","",MAX(1,CEILING(PERCENTRANK.INC($C$3:$C$6000,C92,4)*5+0.000001,1)))</f>
        <v/>
      </c>
      <c r="G92">
        <f>IF(A92="","",MAX(1,CEILING(PERCENTRANK.INC($D$3:$D$6000,D92,4)*5+0.000001,1)))</f>
        <v/>
      </c>
      <c r="H92">
        <f>IF(A92="","",E92&amp;F92&amp;G92)</f>
        <v/>
      </c>
      <c r="I92">
        <f>IF(A92="","",IF(AND(E92&gt;=4,F92&gt;=4,G92&gt;=4),"Juara",IF(AND(F92&gt;=4,E92&gt;=3),"Setia",IF(AND(E92=5,F92&lt;=2,G92&gt;=3),"Berpotensi",IF(AND(E92&lt;=3,E92&gt;=2,F92&gt;=3),"Rawan",IF(AND(E92&lt;=2,F92&lt;=2),"Tidur","Umum"))))))</f>
        <v/>
      </c>
    </row>
    <row r="93">
      <c r="B93">
        <f>IF(A93="","",$B$1-MAXIFS(Donasi!$A$2:$A$20000,Donasi!$B$2:$B$20000,A93))</f>
        <v/>
      </c>
      <c r="C93">
        <f>IF(A93="","",COUNTIF(Donasi!$B$2:$B$20000,A93))</f>
        <v/>
      </c>
      <c r="D93">
        <f>IF(A93="","",SUMIF(Donasi!$B$2:$B$20000,A93,Donasi!$C$2:$C$20000))</f>
        <v/>
      </c>
      <c r="E93">
        <f>IF(A93="","",6-CEILING(PERCENTRANK.INC($B$3:$B$6000,B93,4)*5+0.000001,1))</f>
        <v/>
      </c>
      <c r="F93">
        <f>IF(A93="","",MAX(1,CEILING(PERCENTRANK.INC($C$3:$C$6000,C93,4)*5+0.000001,1)))</f>
        <v/>
      </c>
      <c r="G93">
        <f>IF(A93="","",MAX(1,CEILING(PERCENTRANK.INC($D$3:$D$6000,D93,4)*5+0.000001,1)))</f>
        <v/>
      </c>
      <c r="H93">
        <f>IF(A93="","",E93&amp;F93&amp;G93)</f>
        <v/>
      </c>
      <c r="I93">
        <f>IF(A93="","",IF(AND(E93&gt;=4,F93&gt;=4,G93&gt;=4),"Juara",IF(AND(F93&gt;=4,E93&gt;=3),"Setia",IF(AND(E93=5,F93&lt;=2,G93&gt;=3),"Berpotensi",IF(AND(E93&lt;=3,E93&gt;=2,F93&gt;=3),"Rawan",IF(AND(E93&lt;=2,F93&lt;=2),"Tidur","Umum"))))))</f>
        <v/>
      </c>
    </row>
    <row r="94">
      <c r="B94">
        <f>IF(A94="","",$B$1-MAXIFS(Donasi!$A$2:$A$20000,Donasi!$B$2:$B$20000,A94))</f>
        <v/>
      </c>
      <c r="C94">
        <f>IF(A94="","",COUNTIF(Donasi!$B$2:$B$20000,A94))</f>
        <v/>
      </c>
      <c r="D94">
        <f>IF(A94="","",SUMIF(Donasi!$B$2:$B$20000,A94,Donasi!$C$2:$C$20000))</f>
        <v/>
      </c>
      <c r="E94">
        <f>IF(A94="","",6-CEILING(PERCENTRANK.INC($B$3:$B$6000,B94,4)*5+0.000001,1))</f>
        <v/>
      </c>
      <c r="F94">
        <f>IF(A94="","",MAX(1,CEILING(PERCENTRANK.INC($C$3:$C$6000,C94,4)*5+0.000001,1)))</f>
        <v/>
      </c>
      <c r="G94">
        <f>IF(A94="","",MAX(1,CEILING(PERCENTRANK.INC($D$3:$D$6000,D94,4)*5+0.000001,1)))</f>
        <v/>
      </c>
      <c r="H94">
        <f>IF(A94="","",E94&amp;F94&amp;G94)</f>
        <v/>
      </c>
      <c r="I94">
        <f>IF(A94="","",IF(AND(E94&gt;=4,F94&gt;=4,G94&gt;=4),"Juara",IF(AND(F94&gt;=4,E94&gt;=3),"Setia",IF(AND(E94=5,F94&lt;=2,G94&gt;=3),"Berpotensi",IF(AND(E94&lt;=3,E94&gt;=2,F94&gt;=3),"Rawan",IF(AND(E94&lt;=2,F94&lt;=2),"Tidur","Umum"))))))</f>
        <v/>
      </c>
    </row>
    <row r="95">
      <c r="B95">
        <f>IF(A95="","",$B$1-MAXIFS(Donasi!$A$2:$A$20000,Donasi!$B$2:$B$20000,A95))</f>
        <v/>
      </c>
      <c r="C95">
        <f>IF(A95="","",COUNTIF(Donasi!$B$2:$B$20000,A95))</f>
        <v/>
      </c>
      <c r="D95">
        <f>IF(A95="","",SUMIF(Donasi!$B$2:$B$20000,A95,Donasi!$C$2:$C$20000))</f>
        <v/>
      </c>
      <c r="E95">
        <f>IF(A95="","",6-CEILING(PERCENTRANK.INC($B$3:$B$6000,B95,4)*5+0.000001,1))</f>
        <v/>
      </c>
      <c r="F95">
        <f>IF(A95="","",MAX(1,CEILING(PERCENTRANK.INC($C$3:$C$6000,C95,4)*5+0.000001,1)))</f>
        <v/>
      </c>
      <c r="G95">
        <f>IF(A95="","",MAX(1,CEILING(PERCENTRANK.INC($D$3:$D$6000,D95,4)*5+0.000001,1)))</f>
        <v/>
      </c>
      <c r="H95">
        <f>IF(A95="","",E95&amp;F95&amp;G95)</f>
        <v/>
      </c>
      <c r="I95">
        <f>IF(A95="","",IF(AND(E95&gt;=4,F95&gt;=4,G95&gt;=4),"Juara",IF(AND(F95&gt;=4,E95&gt;=3),"Setia",IF(AND(E95=5,F95&lt;=2,G95&gt;=3),"Berpotensi",IF(AND(E95&lt;=3,E95&gt;=2,F95&gt;=3),"Rawan",IF(AND(E95&lt;=2,F95&lt;=2),"Tidur","Umum"))))))</f>
        <v/>
      </c>
    </row>
    <row r="96">
      <c r="B96">
        <f>IF(A96="","",$B$1-MAXIFS(Donasi!$A$2:$A$20000,Donasi!$B$2:$B$20000,A96))</f>
        <v/>
      </c>
      <c r="C96">
        <f>IF(A96="","",COUNTIF(Donasi!$B$2:$B$20000,A96))</f>
        <v/>
      </c>
      <c r="D96">
        <f>IF(A96="","",SUMIF(Donasi!$B$2:$B$20000,A96,Donasi!$C$2:$C$20000))</f>
        <v/>
      </c>
      <c r="E96">
        <f>IF(A96="","",6-CEILING(PERCENTRANK.INC($B$3:$B$6000,B96,4)*5+0.000001,1))</f>
        <v/>
      </c>
      <c r="F96">
        <f>IF(A96="","",MAX(1,CEILING(PERCENTRANK.INC($C$3:$C$6000,C96,4)*5+0.000001,1)))</f>
        <v/>
      </c>
      <c r="G96">
        <f>IF(A96="","",MAX(1,CEILING(PERCENTRANK.INC($D$3:$D$6000,D96,4)*5+0.000001,1)))</f>
        <v/>
      </c>
      <c r="H96">
        <f>IF(A96="","",E96&amp;F96&amp;G96)</f>
        <v/>
      </c>
      <c r="I96">
        <f>IF(A96="","",IF(AND(E96&gt;=4,F96&gt;=4,G96&gt;=4),"Juara",IF(AND(F96&gt;=4,E96&gt;=3),"Setia",IF(AND(E96=5,F96&lt;=2,G96&gt;=3),"Berpotensi",IF(AND(E96&lt;=3,E96&gt;=2,F96&gt;=3),"Rawan",IF(AND(E96&lt;=2,F96&lt;=2),"Tidur","Umum"))))))</f>
        <v/>
      </c>
    </row>
    <row r="97">
      <c r="B97">
        <f>IF(A97="","",$B$1-MAXIFS(Donasi!$A$2:$A$20000,Donasi!$B$2:$B$20000,A97))</f>
        <v/>
      </c>
      <c r="C97">
        <f>IF(A97="","",COUNTIF(Donasi!$B$2:$B$20000,A97))</f>
        <v/>
      </c>
      <c r="D97">
        <f>IF(A97="","",SUMIF(Donasi!$B$2:$B$20000,A97,Donasi!$C$2:$C$20000))</f>
        <v/>
      </c>
      <c r="E97">
        <f>IF(A97="","",6-CEILING(PERCENTRANK.INC($B$3:$B$6000,B97,4)*5+0.000001,1))</f>
        <v/>
      </c>
      <c r="F97">
        <f>IF(A97="","",MAX(1,CEILING(PERCENTRANK.INC($C$3:$C$6000,C97,4)*5+0.000001,1)))</f>
        <v/>
      </c>
      <c r="G97">
        <f>IF(A97="","",MAX(1,CEILING(PERCENTRANK.INC($D$3:$D$6000,D97,4)*5+0.000001,1)))</f>
        <v/>
      </c>
      <c r="H97">
        <f>IF(A97="","",E97&amp;F97&amp;G97)</f>
        <v/>
      </c>
      <c r="I97">
        <f>IF(A97="","",IF(AND(E97&gt;=4,F97&gt;=4,G97&gt;=4),"Juara",IF(AND(F97&gt;=4,E97&gt;=3),"Setia",IF(AND(E97=5,F97&lt;=2,G97&gt;=3),"Berpotensi",IF(AND(E97&lt;=3,E97&gt;=2,F97&gt;=3),"Rawan",IF(AND(E97&lt;=2,F97&lt;=2),"Tidur","Umum"))))))</f>
        <v/>
      </c>
    </row>
    <row r="98">
      <c r="B98">
        <f>IF(A98="","",$B$1-MAXIFS(Donasi!$A$2:$A$20000,Donasi!$B$2:$B$20000,A98))</f>
        <v/>
      </c>
      <c r="C98">
        <f>IF(A98="","",COUNTIF(Donasi!$B$2:$B$20000,A98))</f>
        <v/>
      </c>
      <c r="D98">
        <f>IF(A98="","",SUMIF(Donasi!$B$2:$B$20000,A98,Donasi!$C$2:$C$20000))</f>
        <v/>
      </c>
      <c r="E98">
        <f>IF(A98="","",6-CEILING(PERCENTRANK.INC($B$3:$B$6000,B98,4)*5+0.000001,1))</f>
        <v/>
      </c>
      <c r="F98">
        <f>IF(A98="","",MAX(1,CEILING(PERCENTRANK.INC($C$3:$C$6000,C98,4)*5+0.000001,1)))</f>
        <v/>
      </c>
      <c r="G98">
        <f>IF(A98="","",MAX(1,CEILING(PERCENTRANK.INC($D$3:$D$6000,D98,4)*5+0.000001,1)))</f>
        <v/>
      </c>
      <c r="H98">
        <f>IF(A98="","",E98&amp;F98&amp;G98)</f>
        <v/>
      </c>
      <c r="I98">
        <f>IF(A98="","",IF(AND(E98&gt;=4,F98&gt;=4,G98&gt;=4),"Juara",IF(AND(F98&gt;=4,E98&gt;=3),"Setia",IF(AND(E98=5,F98&lt;=2,G98&gt;=3),"Berpotensi",IF(AND(E98&lt;=3,E98&gt;=2,F98&gt;=3),"Rawan",IF(AND(E98&lt;=2,F98&lt;=2),"Tidur","Umum"))))))</f>
        <v/>
      </c>
    </row>
    <row r="99">
      <c r="B99">
        <f>IF(A99="","",$B$1-MAXIFS(Donasi!$A$2:$A$20000,Donasi!$B$2:$B$20000,A99))</f>
        <v/>
      </c>
      <c r="C99">
        <f>IF(A99="","",COUNTIF(Donasi!$B$2:$B$20000,A99))</f>
        <v/>
      </c>
      <c r="D99">
        <f>IF(A99="","",SUMIF(Donasi!$B$2:$B$20000,A99,Donasi!$C$2:$C$20000))</f>
        <v/>
      </c>
      <c r="E99">
        <f>IF(A99="","",6-CEILING(PERCENTRANK.INC($B$3:$B$6000,B99,4)*5+0.000001,1))</f>
        <v/>
      </c>
      <c r="F99">
        <f>IF(A99="","",MAX(1,CEILING(PERCENTRANK.INC($C$3:$C$6000,C99,4)*5+0.000001,1)))</f>
        <v/>
      </c>
      <c r="G99">
        <f>IF(A99="","",MAX(1,CEILING(PERCENTRANK.INC($D$3:$D$6000,D99,4)*5+0.000001,1)))</f>
        <v/>
      </c>
      <c r="H99">
        <f>IF(A99="","",E99&amp;F99&amp;G99)</f>
        <v/>
      </c>
      <c r="I99">
        <f>IF(A99="","",IF(AND(E99&gt;=4,F99&gt;=4,G99&gt;=4),"Juara",IF(AND(F99&gt;=4,E99&gt;=3),"Setia",IF(AND(E99=5,F99&lt;=2,G99&gt;=3),"Berpotensi",IF(AND(E99&lt;=3,E99&gt;=2,F99&gt;=3),"Rawan",IF(AND(E99&lt;=2,F99&lt;=2),"Tidur","Umum"))))))</f>
        <v/>
      </c>
    </row>
    <row r="100">
      <c r="B100">
        <f>IF(A100="","",$B$1-MAXIFS(Donasi!$A$2:$A$20000,Donasi!$B$2:$B$20000,A100))</f>
        <v/>
      </c>
      <c r="C100">
        <f>IF(A100="","",COUNTIF(Donasi!$B$2:$B$20000,A100))</f>
        <v/>
      </c>
      <c r="D100">
        <f>IF(A100="","",SUMIF(Donasi!$B$2:$B$20000,A100,Donasi!$C$2:$C$20000))</f>
        <v/>
      </c>
      <c r="E100">
        <f>IF(A100="","",6-CEILING(PERCENTRANK.INC($B$3:$B$6000,B100,4)*5+0.000001,1))</f>
        <v/>
      </c>
      <c r="F100">
        <f>IF(A100="","",MAX(1,CEILING(PERCENTRANK.INC($C$3:$C$6000,C100,4)*5+0.000001,1)))</f>
        <v/>
      </c>
      <c r="G100">
        <f>IF(A100="","",MAX(1,CEILING(PERCENTRANK.INC($D$3:$D$6000,D100,4)*5+0.000001,1)))</f>
        <v/>
      </c>
      <c r="H100">
        <f>IF(A100="","",E100&amp;F100&amp;G100)</f>
        <v/>
      </c>
      <c r="I100">
        <f>IF(A100="","",IF(AND(E100&gt;=4,F100&gt;=4,G100&gt;=4),"Juara",IF(AND(F100&gt;=4,E100&gt;=3),"Setia",IF(AND(E100=5,F100&lt;=2,G100&gt;=3),"Berpotensi",IF(AND(E100&lt;=3,E100&gt;=2,F100&gt;=3),"Rawan",IF(AND(E100&lt;=2,F100&lt;=2),"Tidur","Umum"))))))</f>
        <v/>
      </c>
    </row>
    <row r="101">
      <c r="B101">
        <f>IF(A101="","",$B$1-MAXIFS(Donasi!$A$2:$A$20000,Donasi!$B$2:$B$20000,A101))</f>
        <v/>
      </c>
      <c r="C101">
        <f>IF(A101="","",COUNTIF(Donasi!$B$2:$B$20000,A101))</f>
        <v/>
      </c>
      <c r="D101">
        <f>IF(A101="","",SUMIF(Donasi!$B$2:$B$20000,A101,Donasi!$C$2:$C$20000))</f>
        <v/>
      </c>
      <c r="E101">
        <f>IF(A101="","",6-CEILING(PERCENTRANK.INC($B$3:$B$6000,B101,4)*5+0.000001,1))</f>
        <v/>
      </c>
      <c r="F101">
        <f>IF(A101="","",MAX(1,CEILING(PERCENTRANK.INC($C$3:$C$6000,C101,4)*5+0.000001,1)))</f>
        <v/>
      </c>
      <c r="G101">
        <f>IF(A101="","",MAX(1,CEILING(PERCENTRANK.INC($D$3:$D$6000,D101,4)*5+0.000001,1)))</f>
        <v/>
      </c>
      <c r="H101">
        <f>IF(A101="","",E101&amp;F101&amp;G101)</f>
        <v/>
      </c>
      <c r="I101">
        <f>IF(A101="","",IF(AND(E101&gt;=4,F101&gt;=4,G101&gt;=4),"Juara",IF(AND(F101&gt;=4,E101&gt;=3),"Setia",IF(AND(E101=5,F101&lt;=2,G101&gt;=3),"Berpotensi",IF(AND(E101&lt;=3,E101&gt;=2,F101&gt;=3),"Rawan",IF(AND(E101&lt;=2,F101&lt;=2),"Tidur","Umum"))))))</f>
        <v/>
      </c>
    </row>
    <row r="102">
      <c r="B102">
        <f>IF(A102="","",$B$1-MAXIFS(Donasi!$A$2:$A$20000,Donasi!$B$2:$B$20000,A102))</f>
        <v/>
      </c>
      <c r="C102">
        <f>IF(A102="","",COUNTIF(Donasi!$B$2:$B$20000,A102))</f>
        <v/>
      </c>
      <c r="D102">
        <f>IF(A102="","",SUMIF(Donasi!$B$2:$B$20000,A102,Donasi!$C$2:$C$20000))</f>
        <v/>
      </c>
      <c r="E102">
        <f>IF(A102="","",6-CEILING(PERCENTRANK.INC($B$3:$B$6000,B102,4)*5+0.000001,1))</f>
        <v/>
      </c>
      <c r="F102">
        <f>IF(A102="","",MAX(1,CEILING(PERCENTRANK.INC($C$3:$C$6000,C102,4)*5+0.000001,1)))</f>
        <v/>
      </c>
      <c r="G102">
        <f>IF(A102="","",MAX(1,CEILING(PERCENTRANK.INC($D$3:$D$6000,D102,4)*5+0.000001,1)))</f>
        <v/>
      </c>
      <c r="H102">
        <f>IF(A102="","",E102&amp;F102&amp;G102)</f>
        <v/>
      </c>
      <c r="I102">
        <f>IF(A102="","",IF(AND(E102&gt;=4,F102&gt;=4,G102&gt;=4),"Juara",IF(AND(F102&gt;=4,E102&gt;=3),"Setia",IF(AND(E102=5,F102&lt;=2,G102&gt;=3),"Berpotensi",IF(AND(E102&lt;=3,E102&gt;=2,F102&gt;=3),"Rawan",IF(AND(E102&lt;=2,F102&lt;=2),"Tidur","Umum"))))))</f>
        <v/>
      </c>
    </row>
    <row r="103">
      <c r="B103">
        <f>IF(A103="","",$B$1-MAXIFS(Donasi!$A$2:$A$20000,Donasi!$B$2:$B$20000,A103))</f>
        <v/>
      </c>
      <c r="C103">
        <f>IF(A103="","",COUNTIF(Donasi!$B$2:$B$20000,A103))</f>
        <v/>
      </c>
      <c r="D103">
        <f>IF(A103="","",SUMIF(Donasi!$B$2:$B$20000,A103,Donasi!$C$2:$C$20000))</f>
        <v/>
      </c>
      <c r="E103">
        <f>IF(A103="","",6-CEILING(PERCENTRANK.INC($B$3:$B$6000,B103,4)*5+0.000001,1))</f>
        <v/>
      </c>
      <c r="F103">
        <f>IF(A103="","",MAX(1,CEILING(PERCENTRANK.INC($C$3:$C$6000,C103,4)*5+0.000001,1)))</f>
        <v/>
      </c>
      <c r="G103">
        <f>IF(A103="","",MAX(1,CEILING(PERCENTRANK.INC($D$3:$D$6000,D103,4)*5+0.000001,1)))</f>
        <v/>
      </c>
      <c r="H103">
        <f>IF(A103="","",E103&amp;F103&amp;G103)</f>
        <v/>
      </c>
      <c r="I103">
        <f>IF(A103="","",IF(AND(E103&gt;=4,F103&gt;=4,G103&gt;=4),"Juara",IF(AND(F103&gt;=4,E103&gt;=3),"Setia",IF(AND(E103=5,F103&lt;=2,G103&gt;=3),"Berpotensi",IF(AND(E103&lt;=3,E103&gt;=2,F103&gt;=3),"Rawan",IF(AND(E103&lt;=2,F103&lt;=2),"Tidur","Umum"))))))</f>
        <v/>
      </c>
    </row>
    <row r="104">
      <c r="B104">
        <f>IF(A104="","",$B$1-MAXIFS(Donasi!$A$2:$A$20000,Donasi!$B$2:$B$20000,A104))</f>
        <v/>
      </c>
      <c r="C104">
        <f>IF(A104="","",COUNTIF(Donasi!$B$2:$B$20000,A104))</f>
        <v/>
      </c>
      <c r="D104">
        <f>IF(A104="","",SUMIF(Donasi!$B$2:$B$20000,A104,Donasi!$C$2:$C$20000))</f>
        <v/>
      </c>
      <c r="E104">
        <f>IF(A104="","",6-CEILING(PERCENTRANK.INC($B$3:$B$6000,B104,4)*5+0.000001,1))</f>
        <v/>
      </c>
      <c r="F104">
        <f>IF(A104="","",MAX(1,CEILING(PERCENTRANK.INC($C$3:$C$6000,C104,4)*5+0.000001,1)))</f>
        <v/>
      </c>
      <c r="G104">
        <f>IF(A104="","",MAX(1,CEILING(PERCENTRANK.INC($D$3:$D$6000,D104,4)*5+0.000001,1)))</f>
        <v/>
      </c>
      <c r="H104">
        <f>IF(A104="","",E104&amp;F104&amp;G104)</f>
        <v/>
      </c>
      <c r="I104">
        <f>IF(A104="","",IF(AND(E104&gt;=4,F104&gt;=4,G104&gt;=4),"Juara",IF(AND(F104&gt;=4,E104&gt;=3),"Setia",IF(AND(E104=5,F104&lt;=2,G104&gt;=3),"Berpotensi",IF(AND(E104&lt;=3,E104&gt;=2,F104&gt;=3),"Rawan",IF(AND(E104&lt;=2,F104&lt;=2),"Tidur","Umum"))))))</f>
        <v/>
      </c>
    </row>
    <row r="105">
      <c r="B105">
        <f>IF(A105="","",$B$1-MAXIFS(Donasi!$A$2:$A$20000,Donasi!$B$2:$B$20000,A105))</f>
        <v/>
      </c>
      <c r="C105">
        <f>IF(A105="","",COUNTIF(Donasi!$B$2:$B$20000,A105))</f>
        <v/>
      </c>
      <c r="D105">
        <f>IF(A105="","",SUMIF(Donasi!$B$2:$B$20000,A105,Donasi!$C$2:$C$20000))</f>
        <v/>
      </c>
      <c r="E105">
        <f>IF(A105="","",6-CEILING(PERCENTRANK.INC($B$3:$B$6000,B105,4)*5+0.000001,1))</f>
        <v/>
      </c>
      <c r="F105">
        <f>IF(A105="","",MAX(1,CEILING(PERCENTRANK.INC($C$3:$C$6000,C105,4)*5+0.000001,1)))</f>
        <v/>
      </c>
      <c r="G105">
        <f>IF(A105="","",MAX(1,CEILING(PERCENTRANK.INC($D$3:$D$6000,D105,4)*5+0.000001,1)))</f>
        <v/>
      </c>
      <c r="H105">
        <f>IF(A105="","",E105&amp;F105&amp;G105)</f>
        <v/>
      </c>
      <c r="I105">
        <f>IF(A105="","",IF(AND(E105&gt;=4,F105&gt;=4,G105&gt;=4),"Juara",IF(AND(F105&gt;=4,E105&gt;=3),"Setia",IF(AND(E105=5,F105&lt;=2,G105&gt;=3),"Berpotensi",IF(AND(E105&lt;=3,E105&gt;=2,F105&gt;=3),"Rawan",IF(AND(E105&lt;=2,F105&lt;=2),"Tidur","Umum"))))))</f>
        <v/>
      </c>
    </row>
    <row r="106">
      <c r="B106">
        <f>IF(A106="","",$B$1-MAXIFS(Donasi!$A$2:$A$20000,Donasi!$B$2:$B$20000,A106))</f>
        <v/>
      </c>
      <c r="C106">
        <f>IF(A106="","",COUNTIF(Donasi!$B$2:$B$20000,A106))</f>
        <v/>
      </c>
      <c r="D106">
        <f>IF(A106="","",SUMIF(Donasi!$B$2:$B$20000,A106,Donasi!$C$2:$C$20000))</f>
        <v/>
      </c>
      <c r="E106">
        <f>IF(A106="","",6-CEILING(PERCENTRANK.INC($B$3:$B$6000,B106,4)*5+0.000001,1))</f>
        <v/>
      </c>
      <c r="F106">
        <f>IF(A106="","",MAX(1,CEILING(PERCENTRANK.INC($C$3:$C$6000,C106,4)*5+0.000001,1)))</f>
        <v/>
      </c>
      <c r="G106">
        <f>IF(A106="","",MAX(1,CEILING(PERCENTRANK.INC($D$3:$D$6000,D106,4)*5+0.000001,1)))</f>
        <v/>
      </c>
      <c r="H106">
        <f>IF(A106="","",E106&amp;F106&amp;G106)</f>
        <v/>
      </c>
      <c r="I106">
        <f>IF(A106="","",IF(AND(E106&gt;=4,F106&gt;=4,G106&gt;=4),"Juara",IF(AND(F106&gt;=4,E106&gt;=3),"Setia",IF(AND(E106=5,F106&lt;=2,G106&gt;=3),"Berpotensi",IF(AND(E106&lt;=3,E106&gt;=2,F106&gt;=3),"Rawan",IF(AND(E106&lt;=2,F106&lt;=2),"Tidur","Umum"))))))</f>
        <v/>
      </c>
    </row>
    <row r="107">
      <c r="B107">
        <f>IF(A107="","",$B$1-MAXIFS(Donasi!$A$2:$A$20000,Donasi!$B$2:$B$20000,A107))</f>
        <v/>
      </c>
      <c r="C107">
        <f>IF(A107="","",COUNTIF(Donasi!$B$2:$B$20000,A107))</f>
        <v/>
      </c>
      <c r="D107">
        <f>IF(A107="","",SUMIF(Donasi!$B$2:$B$20000,A107,Donasi!$C$2:$C$20000))</f>
        <v/>
      </c>
      <c r="E107">
        <f>IF(A107="","",6-CEILING(PERCENTRANK.INC($B$3:$B$6000,B107,4)*5+0.000001,1))</f>
        <v/>
      </c>
      <c r="F107">
        <f>IF(A107="","",MAX(1,CEILING(PERCENTRANK.INC($C$3:$C$6000,C107,4)*5+0.000001,1)))</f>
        <v/>
      </c>
      <c r="G107">
        <f>IF(A107="","",MAX(1,CEILING(PERCENTRANK.INC($D$3:$D$6000,D107,4)*5+0.000001,1)))</f>
        <v/>
      </c>
      <c r="H107">
        <f>IF(A107="","",E107&amp;F107&amp;G107)</f>
        <v/>
      </c>
      <c r="I107">
        <f>IF(A107="","",IF(AND(E107&gt;=4,F107&gt;=4,G107&gt;=4),"Juara",IF(AND(F107&gt;=4,E107&gt;=3),"Setia",IF(AND(E107=5,F107&lt;=2,G107&gt;=3),"Berpotensi",IF(AND(E107&lt;=3,E107&gt;=2,F107&gt;=3),"Rawan",IF(AND(E107&lt;=2,F107&lt;=2),"Tidur","Umum"))))))</f>
        <v/>
      </c>
    </row>
    <row r="108">
      <c r="B108">
        <f>IF(A108="","",$B$1-MAXIFS(Donasi!$A$2:$A$20000,Donasi!$B$2:$B$20000,A108))</f>
        <v/>
      </c>
      <c r="C108">
        <f>IF(A108="","",COUNTIF(Donasi!$B$2:$B$20000,A108))</f>
        <v/>
      </c>
      <c r="D108">
        <f>IF(A108="","",SUMIF(Donasi!$B$2:$B$20000,A108,Donasi!$C$2:$C$20000))</f>
        <v/>
      </c>
      <c r="E108">
        <f>IF(A108="","",6-CEILING(PERCENTRANK.INC($B$3:$B$6000,B108,4)*5+0.000001,1))</f>
        <v/>
      </c>
      <c r="F108">
        <f>IF(A108="","",MAX(1,CEILING(PERCENTRANK.INC($C$3:$C$6000,C108,4)*5+0.000001,1)))</f>
        <v/>
      </c>
      <c r="G108">
        <f>IF(A108="","",MAX(1,CEILING(PERCENTRANK.INC($D$3:$D$6000,D108,4)*5+0.000001,1)))</f>
        <v/>
      </c>
      <c r="H108">
        <f>IF(A108="","",E108&amp;F108&amp;G108)</f>
        <v/>
      </c>
      <c r="I108">
        <f>IF(A108="","",IF(AND(E108&gt;=4,F108&gt;=4,G108&gt;=4),"Juara",IF(AND(F108&gt;=4,E108&gt;=3),"Setia",IF(AND(E108=5,F108&lt;=2,G108&gt;=3),"Berpotensi",IF(AND(E108&lt;=3,E108&gt;=2,F108&gt;=3),"Rawan",IF(AND(E108&lt;=2,F108&lt;=2),"Tidur","Umum"))))))</f>
        <v/>
      </c>
    </row>
    <row r="109">
      <c r="B109">
        <f>IF(A109="","",$B$1-MAXIFS(Donasi!$A$2:$A$20000,Donasi!$B$2:$B$20000,A109))</f>
        <v/>
      </c>
      <c r="C109">
        <f>IF(A109="","",COUNTIF(Donasi!$B$2:$B$20000,A109))</f>
        <v/>
      </c>
      <c r="D109">
        <f>IF(A109="","",SUMIF(Donasi!$B$2:$B$20000,A109,Donasi!$C$2:$C$20000))</f>
        <v/>
      </c>
      <c r="E109">
        <f>IF(A109="","",6-CEILING(PERCENTRANK.INC($B$3:$B$6000,B109,4)*5+0.000001,1))</f>
        <v/>
      </c>
      <c r="F109">
        <f>IF(A109="","",MAX(1,CEILING(PERCENTRANK.INC($C$3:$C$6000,C109,4)*5+0.000001,1)))</f>
        <v/>
      </c>
      <c r="G109">
        <f>IF(A109="","",MAX(1,CEILING(PERCENTRANK.INC($D$3:$D$6000,D109,4)*5+0.000001,1)))</f>
        <v/>
      </c>
      <c r="H109">
        <f>IF(A109="","",E109&amp;F109&amp;G109)</f>
        <v/>
      </c>
      <c r="I109">
        <f>IF(A109="","",IF(AND(E109&gt;=4,F109&gt;=4,G109&gt;=4),"Juara",IF(AND(F109&gt;=4,E109&gt;=3),"Setia",IF(AND(E109=5,F109&lt;=2,G109&gt;=3),"Berpotensi",IF(AND(E109&lt;=3,E109&gt;=2,F109&gt;=3),"Rawan",IF(AND(E109&lt;=2,F109&lt;=2),"Tidur","Umum"))))))</f>
        <v/>
      </c>
    </row>
    <row r="110">
      <c r="B110">
        <f>IF(A110="","",$B$1-MAXIFS(Donasi!$A$2:$A$20000,Donasi!$B$2:$B$20000,A110))</f>
        <v/>
      </c>
      <c r="C110">
        <f>IF(A110="","",COUNTIF(Donasi!$B$2:$B$20000,A110))</f>
        <v/>
      </c>
      <c r="D110">
        <f>IF(A110="","",SUMIF(Donasi!$B$2:$B$20000,A110,Donasi!$C$2:$C$20000))</f>
        <v/>
      </c>
      <c r="E110">
        <f>IF(A110="","",6-CEILING(PERCENTRANK.INC($B$3:$B$6000,B110,4)*5+0.000001,1))</f>
        <v/>
      </c>
      <c r="F110">
        <f>IF(A110="","",MAX(1,CEILING(PERCENTRANK.INC($C$3:$C$6000,C110,4)*5+0.000001,1)))</f>
        <v/>
      </c>
      <c r="G110">
        <f>IF(A110="","",MAX(1,CEILING(PERCENTRANK.INC($D$3:$D$6000,D110,4)*5+0.000001,1)))</f>
        <v/>
      </c>
      <c r="H110">
        <f>IF(A110="","",E110&amp;F110&amp;G110)</f>
        <v/>
      </c>
      <c r="I110">
        <f>IF(A110="","",IF(AND(E110&gt;=4,F110&gt;=4,G110&gt;=4),"Juara",IF(AND(F110&gt;=4,E110&gt;=3),"Setia",IF(AND(E110=5,F110&lt;=2,G110&gt;=3),"Berpotensi",IF(AND(E110&lt;=3,E110&gt;=2,F110&gt;=3),"Rawan",IF(AND(E110&lt;=2,F110&lt;=2),"Tidur","Umum"))))))</f>
        <v/>
      </c>
    </row>
    <row r="111">
      <c r="B111">
        <f>IF(A111="","",$B$1-MAXIFS(Donasi!$A$2:$A$20000,Donasi!$B$2:$B$20000,A111))</f>
        <v/>
      </c>
      <c r="C111">
        <f>IF(A111="","",COUNTIF(Donasi!$B$2:$B$20000,A111))</f>
        <v/>
      </c>
      <c r="D111">
        <f>IF(A111="","",SUMIF(Donasi!$B$2:$B$20000,A111,Donasi!$C$2:$C$20000))</f>
        <v/>
      </c>
      <c r="E111">
        <f>IF(A111="","",6-CEILING(PERCENTRANK.INC($B$3:$B$6000,B111,4)*5+0.000001,1))</f>
        <v/>
      </c>
      <c r="F111">
        <f>IF(A111="","",MAX(1,CEILING(PERCENTRANK.INC($C$3:$C$6000,C111,4)*5+0.000001,1)))</f>
        <v/>
      </c>
      <c r="G111">
        <f>IF(A111="","",MAX(1,CEILING(PERCENTRANK.INC($D$3:$D$6000,D111,4)*5+0.000001,1)))</f>
        <v/>
      </c>
      <c r="H111">
        <f>IF(A111="","",E111&amp;F111&amp;G111)</f>
        <v/>
      </c>
      <c r="I111">
        <f>IF(A111="","",IF(AND(E111&gt;=4,F111&gt;=4,G111&gt;=4),"Juara",IF(AND(F111&gt;=4,E111&gt;=3),"Setia",IF(AND(E111=5,F111&lt;=2,G111&gt;=3),"Berpotensi",IF(AND(E111&lt;=3,E111&gt;=2,F111&gt;=3),"Rawan",IF(AND(E111&lt;=2,F111&lt;=2),"Tidur","Umum"))))))</f>
        <v/>
      </c>
    </row>
    <row r="112">
      <c r="B112">
        <f>IF(A112="","",$B$1-MAXIFS(Donasi!$A$2:$A$20000,Donasi!$B$2:$B$20000,A112))</f>
        <v/>
      </c>
      <c r="C112">
        <f>IF(A112="","",COUNTIF(Donasi!$B$2:$B$20000,A112))</f>
        <v/>
      </c>
      <c r="D112">
        <f>IF(A112="","",SUMIF(Donasi!$B$2:$B$20000,A112,Donasi!$C$2:$C$20000))</f>
        <v/>
      </c>
      <c r="E112">
        <f>IF(A112="","",6-CEILING(PERCENTRANK.INC($B$3:$B$6000,B112,4)*5+0.000001,1))</f>
        <v/>
      </c>
      <c r="F112">
        <f>IF(A112="","",MAX(1,CEILING(PERCENTRANK.INC($C$3:$C$6000,C112,4)*5+0.000001,1)))</f>
        <v/>
      </c>
      <c r="G112">
        <f>IF(A112="","",MAX(1,CEILING(PERCENTRANK.INC($D$3:$D$6000,D112,4)*5+0.000001,1)))</f>
        <v/>
      </c>
      <c r="H112">
        <f>IF(A112="","",E112&amp;F112&amp;G112)</f>
        <v/>
      </c>
      <c r="I112">
        <f>IF(A112="","",IF(AND(E112&gt;=4,F112&gt;=4,G112&gt;=4),"Juara",IF(AND(F112&gt;=4,E112&gt;=3),"Setia",IF(AND(E112=5,F112&lt;=2,G112&gt;=3),"Berpotensi",IF(AND(E112&lt;=3,E112&gt;=2,F112&gt;=3),"Rawan",IF(AND(E112&lt;=2,F112&lt;=2),"Tidur","Umum"))))))</f>
        <v/>
      </c>
    </row>
    <row r="113">
      <c r="B113">
        <f>IF(A113="","",$B$1-MAXIFS(Donasi!$A$2:$A$20000,Donasi!$B$2:$B$20000,A113))</f>
        <v/>
      </c>
      <c r="C113">
        <f>IF(A113="","",COUNTIF(Donasi!$B$2:$B$20000,A113))</f>
        <v/>
      </c>
      <c r="D113">
        <f>IF(A113="","",SUMIF(Donasi!$B$2:$B$20000,A113,Donasi!$C$2:$C$20000))</f>
        <v/>
      </c>
      <c r="E113">
        <f>IF(A113="","",6-CEILING(PERCENTRANK.INC($B$3:$B$6000,B113,4)*5+0.000001,1))</f>
        <v/>
      </c>
      <c r="F113">
        <f>IF(A113="","",MAX(1,CEILING(PERCENTRANK.INC($C$3:$C$6000,C113,4)*5+0.000001,1)))</f>
        <v/>
      </c>
      <c r="G113">
        <f>IF(A113="","",MAX(1,CEILING(PERCENTRANK.INC($D$3:$D$6000,D113,4)*5+0.000001,1)))</f>
        <v/>
      </c>
      <c r="H113">
        <f>IF(A113="","",E113&amp;F113&amp;G113)</f>
        <v/>
      </c>
      <c r="I113">
        <f>IF(A113="","",IF(AND(E113&gt;=4,F113&gt;=4,G113&gt;=4),"Juara",IF(AND(F113&gt;=4,E113&gt;=3),"Setia",IF(AND(E113=5,F113&lt;=2,G113&gt;=3),"Berpotensi",IF(AND(E113&lt;=3,E113&gt;=2,F113&gt;=3),"Rawan",IF(AND(E113&lt;=2,F113&lt;=2),"Tidur","Umum"))))))</f>
        <v/>
      </c>
    </row>
    <row r="114">
      <c r="B114">
        <f>IF(A114="","",$B$1-MAXIFS(Donasi!$A$2:$A$20000,Donasi!$B$2:$B$20000,A114))</f>
        <v/>
      </c>
      <c r="C114">
        <f>IF(A114="","",COUNTIF(Donasi!$B$2:$B$20000,A114))</f>
        <v/>
      </c>
      <c r="D114">
        <f>IF(A114="","",SUMIF(Donasi!$B$2:$B$20000,A114,Donasi!$C$2:$C$20000))</f>
        <v/>
      </c>
      <c r="E114">
        <f>IF(A114="","",6-CEILING(PERCENTRANK.INC($B$3:$B$6000,B114,4)*5+0.000001,1))</f>
        <v/>
      </c>
      <c r="F114">
        <f>IF(A114="","",MAX(1,CEILING(PERCENTRANK.INC($C$3:$C$6000,C114,4)*5+0.000001,1)))</f>
        <v/>
      </c>
      <c r="G114">
        <f>IF(A114="","",MAX(1,CEILING(PERCENTRANK.INC($D$3:$D$6000,D114,4)*5+0.000001,1)))</f>
        <v/>
      </c>
      <c r="H114">
        <f>IF(A114="","",E114&amp;F114&amp;G114)</f>
        <v/>
      </c>
      <c r="I114">
        <f>IF(A114="","",IF(AND(E114&gt;=4,F114&gt;=4,G114&gt;=4),"Juara",IF(AND(F114&gt;=4,E114&gt;=3),"Setia",IF(AND(E114=5,F114&lt;=2,G114&gt;=3),"Berpotensi",IF(AND(E114&lt;=3,E114&gt;=2,F114&gt;=3),"Rawan",IF(AND(E114&lt;=2,F114&lt;=2),"Tidur","Umum"))))))</f>
        <v/>
      </c>
    </row>
    <row r="115">
      <c r="B115">
        <f>IF(A115="","",$B$1-MAXIFS(Donasi!$A$2:$A$20000,Donasi!$B$2:$B$20000,A115))</f>
        <v/>
      </c>
      <c r="C115">
        <f>IF(A115="","",COUNTIF(Donasi!$B$2:$B$20000,A115))</f>
        <v/>
      </c>
      <c r="D115">
        <f>IF(A115="","",SUMIF(Donasi!$B$2:$B$20000,A115,Donasi!$C$2:$C$20000))</f>
        <v/>
      </c>
      <c r="E115">
        <f>IF(A115="","",6-CEILING(PERCENTRANK.INC($B$3:$B$6000,B115,4)*5+0.000001,1))</f>
        <v/>
      </c>
      <c r="F115">
        <f>IF(A115="","",MAX(1,CEILING(PERCENTRANK.INC($C$3:$C$6000,C115,4)*5+0.000001,1)))</f>
        <v/>
      </c>
      <c r="G115">
        <f>IF(A115="","",MAX(1,CEILING(PERCENTRANK.INC($D$3:$D$6000,D115,4)*5+0.000001,1)))</f>
        <v/>
      </c>
      <c r="H115">
        <f>IF(A115="","",E115&amp;F115&amp;G115)</f>
        <v/>
      </c>
      <c r="I115">
        <f>IF(A115="","",IF(AND(E115&gt;=4,F115&gt;=4,G115&gt;=4),"Juara",IF(AND(F115&gt;=4,E115&gt;=3),"Setia",IF(AND(E115=5,F115&lt;=2,G115&gt;=3),"Berpotensi",IF(AND(E115&lt;=3,E115&gt;=2,F115&gt;=3),"Rawan",IF(AND(E115&lt;=2,F115&lt;=2),"Tidur","Umum"))))))</f>
        <v/>
      </c>
    </row>
    <row r="116">
      <c r="B116">
        <f>IF(A116="","",$B$1-MAXIFS(Donasi!$A$2:$A$20000,Donasi!$B$2:$B$20000,A116))</f>
        <v/>
      </c>
      <c r="C116">
        <f>IF(A116="","",COUNTIF(Donasi!$B$2:$B$20000,A116))</f>
        <v/>
      </c>
      <c r="D116">
        <f>IF(A116="","",SUMIF(Donasi!$B$2:$B$20000,A116,Donasi!$C$2:$C$20000))</f>
        <v/>
      </c>
      <c r="E116">
        <f>IF(A116="","",6-CEILING(PERCENTRANK.INC($B$3:$B$6000,B116,4)*5+0.000001,1))</f>
        <v/>
      </c>
      <c r="F116">
        <f>IF(A116="","",MAX(1,CEILING(PERCENTRANK.INC($C$3:$C$6000,C116,4)*5+0.000001,1)))</f>
        <v/>
      </c>
      <c r="G116">
        <f>IF(A116="","",MAX(1,CEILING(PERCENTRANK.INC($D$3:$D$6000,D116,4)*5+0.000001,1)))</f>
        <v/>
      </c>
      <c r="H116">
        <f>IF(A116="","",E116&amp;F116&amp;G116)</f>
        <v/>
      </c>
      <c r="I116">
        <f>IF(A116="","",IF(AND(E116&gt;=4,F116&gt;=4,G116&gt;=4),"Juara",IF(AND(F116&gt;=4,E116&gt;=3),"Setia",IF(AND(E116=5,F116&lt;=2,G116&gt;=3),"Berpotensi",IF(AND(E116&lt;=3,E116&gt;=2,F116&gt;=3),"Rawan",IF(AND(E116&lt;=2,F116&lt;=2),"Tidur","Umum"))))))</f>
        <v/>
      </c>
    </row>
    <row r="117">
      <c r="B117">
        <f>IF(A117="","",$B$1-MAXIFS(Donasi!$A$2:$A$20000,Donasi!$B$2:$B$20000,A117))</f>
        <v/>
      </c>
      <c r="C117">
        <f>IF(A117="","",COUNTIF(Donasi!$B$2:$B$20000,A117))</f>
        <v/>
      </c>
      <c r="D117">
        <f>IF(A117="","",SUMIF(Donasi!$B$2:$B$20000,A117,Donasi!$C$2:$C$20000))</f>
        <v/>
      </c>
      <c r="E117">
        <f>IF(A117="","",6-CEILING(PERCENTRANK.INC($B$3:$B$6000,B117,4)*5+0.000001,1))</f>
        <v/>
      </c>
      <c r="F117">
        <f>IF(A117="","",MAX(1,CEILING(PERCENTRANK.INC($C$3:$C$6000,C117,4)*5+0.000001,1)))</f>
        <v/>
      </c>
      <c r="G117">
        <f>IF(A117="","",MAX(1,CEILING(PERCENTRANK.INC($D$3:$D$6000,D117,4)*5+0.000001,1)))</f>
        <v/>
      </c>
      <c r="H117">
        <f>IF(A117="","",E117&amp;F117&amp;G117)</f>
        <v/>
      </c>
      <c r="I117">
        <f>IF(A117="","",IF(AND(E117&gt;=4,F117&gt;=4,G117&gt;=4),"Juara",IF(AND(F117&gt;=4,E117&gt;=3),"Setia",IF(AND(E117=5,F117&lt;=2,G117&gt;=3),"Berpotensi",IF(AND(E117&lt;=3,E117&gt;=2,F117&gt;=3),"Rawan",IF(AND(E117&lt;=2,F117&lt;=2),"Tidur","Umum"))))))</f>
        <v/>
      </c>
    </row>
    <row r="118">
      <c r="B118">
        <f>IF(A118="","",$B$1-MAXIFS(Donasi!$A$2:$A$20000,Donasi!$B$2:$B$20000,A118))</f>
        <v/>
      </c>
      <c r="C118">
        <f>IF(A118="","",COUNTIF(Donasi!$B$2:$B$20000,A118))</f>
        <v/>
      </c>
      <c r="D118">
        <f>IF(A118="","",SUMIF(Donasi!$B$2:$B$20000,A118,Donasi!$C$2:$C$20000))</f>
        <v/>
      </c>
      <c r="E118">
        <f>IF(A118="","",6-CEILING(PERCENTRANK.INC($B$3:$B$6000,B118,4)*5+0.000001,1))</f>
        <v/>
      </c>
      <c r="F118">
        <f>IF(A118="","",MAX(1,CEILING(PERCENTRANK.INC($C$3:$C$6000,C118,4)*5+0.000001,1)))</f>
        <v/>
      </c>
      <c r="G118">
        <f>IF(A118="","",MAX(1,CEILING(PERCENTRANK.INC($D$3:$D$6000,D118,4)*5+0.000001,1)))</f>
        <v/>
      </c>
      <c r="H118">
        <f>IF(A118="","",E118&amp;F118&amp;G118)</f>
        <v/>
      </c>
      <c r="I118">
        <f>IF(A118="","",IF(AND(E118&gt;=4,F118&gt;=4,G118&gt;=4),"Juara",IF(AND(F118&gt;=4,E118&gt;=3),"Setia",IF(AND(E118=5,F118&lt;=2,G118&gt;=3),"Berpotensi",IF(AND(E118&lt;=3,E118&gt;=2,F118&gt;=3),"Rawan",IF(AND(E118&lt;=2,F118&lt;=2),"Tidur","Umum"))))))</f>
        <v/>
      </c>
    </row>
    <row r="119">
      <c r="B119">
        <f>IF(A119="","",$B$1-MAXIFS(Donasi!$A$2:$A$20000,Donasi!$B$2:$B$20000,A119))</f>
        <v/>
      </c>
      <c r="C119">
        <f>IF(A119="","",COUNTIF(Donasi!$B$2:$B$20000,A119))</f>
        <v/>
      </c>
      <c r="D119">
        <f>IF(A119="","",SUMIF(Donasi!$B$2:$B$20000,A119,Donasi!$C$2:$C$20000))</f>
        <v/>
      </c>
      <c r="E119">
        <f>IF(A119="","",6-CEILING(PERCENTRANK.INC($B$3:$B$6000,B119,4)*5+0.000001,1))</f>
        <v/>
      </c>
      <c r="F119">
        <f>IF(A119="","",MAX(1,CEILING(PERCENTRANK.INC($C$3:$C$6000,C119,4)*5+0.000001,1)))</f>
        <v/>
      </c>
      <c r="G119">
        <f>IF(A119="","",MAX(1,CEILING(PERCENTRANK.INC($D$3:$D$6000,D119,4)*5+0.000001,1)))</f>
        <v/>
      </c>
      <c r="H119">
        <f>IF(A119="","",E119&amp;F119&amp;G119)</f>
        <v/>
      </c>
      <c r="I119">
        <f>IF(A119="","",IF(AND(E119&gt;=4,F119&gt;=4,G119&gt;=4),"Juara",IF(AND(F119&gt;=4,E119&gt;=3),"Setia",IF(AND(E119=5,F119&lt;=2,G119&gt;=3),"Berpotensi",IF(AND(E119&lt;=3,E119&gt;=2,F119&gt;=3),"Rawan",IF(AND(E119&lt;=2,F119&lt;=2),"Tidur","Umum"))))))</f>
        <v/>
      </c>
    </row>
    <row r="120">
      <c r="B120">
        <f>IF(A120="","",$B$1-MAXIFS(Donasi!$A$2:$A$20000,Donasi!$B$2:$B$20000,A120))</f>
        <v/>
      </c>
      <c r="C120">
        <f>IF(A120="","",COUNTIF(Donasi!$B$2:$B$20000,A120))</f>
        <v/>
      </c>
      <c r="D120">
        <f>IF(A120="","",SUMIF(Donasi!$B$2:$B$20000,A120,Donasi!$C$2:$C$20000))</f>
        <v/>
      </c>
      <c r="E120">
        <f>IF(A120="","",6-CEILING(PERCENTRANK.INC($B$3:$B$6000,B120,4)*5+0.000001,1))</f>
        <v/>
      </c>
      <c r="F120">
        <f>IF(A120="","",MAX(1,CEILING(PERCENTRANK.INC($C$3:$C$6000,C120,4)*5+0.000001,1)))</f>
        <v/>
      </c>
      <c r="G120">
        <f>IF(A120="","",MAX(1,CEILING(PERCENTRANK.INC($D$3:$D$6000,D120,4)*5+0.000001,1)))</f>
        <v/>
      </c>
      <c r="H120">
        <f>IF(A120="","",E120&amp;F120&amp;G120)</f>
        <v/>
      </c>
      <c r="I120">
        <f>IF(A120="","",IF(AND(E120&gt;=4,F120&gt;=4,G120&gt;=4),"Juara",IF(AND(F120&gt;=4,E120&gt;=3),"Setia",IF(AND(E120=5,F120&lt;=2,G120&gt;=3),"Berpotensi",IF(AND(E120&lt;=3,E120&gt;=2,F120&gt;=3),"Rawan",IF(AND(E120&lt;=2,F120&lt;=2),"Tidur","Umum"))))))</f>
        <v/>
      </c>
    </row>
    <row r="121">
      <c r="B121">
        <f>IF(A121="","",$B$1-MAXIFS(Donasi!$A$2:$A$20000,Donasi!$B$2:$B$20000,A121))</f>
        <v/>
      </c>
      <c r="C121">
        <f>IF(A121="","",COUNTIF(Donasi!$B$2:$B$20000,A121))</f>
        <v/>
      </c>
      <c r="D121">
        <f>IF(A121="","",SUMIF(Donasi!$B$2:$B$20000,A121,Donasi!$C$2:$C$20000))</f>
        <v/>
      </c>
      <c r="E121">
        <f>IF(A121="","",6-CEILING(PERCENTRANK.INC($B$3:$B$6000,B121,4)*5+0.000001,1))</f>
        <v/>
      </c>
      <c r="F121">
        <f>IF(A121="","",MAX(1,CEILING(PERCENTRANK.INC($C$3:$C$6000,C121,4)*5+0.000001,1)))</f>
        <v/>
      </c>
      <c r="G121">
        <f>IF(A121="","",MAX(1,CEILING(PERCENTRANK.INC($D$3:$D$6000,D121,4)*5+0.000001,1)))</f>
        <v/>
      </c>
      <c r="H121">
        <f>IF(A121="","",E121&amp;F121&amp;G121)</f>
        <v/>
      </c>
      <c r="I121">
        <f>IF(A121="","",IF(AND(E121&gt;=4,F121&gt;=4,G121&gt;=4),"Juara",IF(AND(F121&gt;=4,E121&gt;=3),"Setia",IF(AND(E121=5,F121&lt;=2,G121&gt;=3),"Berpotensi",IF(AND(E121&lt;=3,E121&gt;=2,F121&gt;=3),"Rawan",IF(AND(E121&lt;=2,F121&lt;=2),"Tidur","Umum"))))))</f>
        <v/>
      </c>
    </row>
    <row r="122">
      <c r="B122">
        <f>IF(A122="","",$B$1-MAXIFS(Donasi!$A$2:$A$20000,Donasi!$B$2:$B$20000,A122))</f>
        <v/>
      </c>
      <c r="C122">
        <f>IF(A122="","",COUNTIF(Donasi!$B$2:$B$20000,A122))</f>
        <v/>
      </c>
      <c r="D122">
        <f>IF(A122="","",SUMIF(Donasi!$B$2:$B$20000,A122,Donasi!$C$2:$C$20000))</f>
        <v/>
      </c>
      <c r="E122">
        <f>IF(A122="","",6-CEILING(PERCENTRANK.INC($B$3:$B$6000,B122,4)*5+0.000001,1))</f>
        <v/>
      </c>
      <c r="F122">
        <f>IF(A122="","",MAX(1,CEILING(PERCENTRANK.INC($C$3:$C$6000,C122,4)*5+0.000001,1)))</f>
        <v/>
      </c>
      <c r="G122">
        <f>IF(A122="","",MAX(1,CEILING(PERCENTRANK.INC($D$3:$D$6000,D122,4)*5+0.000001,1)))</f>
        <v/>
      </c>
      <c r="H122">
        <f>IF(A122="","",E122&amp;F122&amp;G122)</f>
        <v/>
      </c>
      <c r="I122">
        <f>IF(A122="","",IF(AND(E122&gt;=4,F122&gt;=4,G122&gt;=4),"Juara",IF(AND(F122&gt;=4,E122&gt;=3),"Setia",IF(AND(E122=5,F122&lt;=2,G122&gt;=3),"Berpotensi",IF(AND(E122&lt;=3,E122&gt;=2,F122&gt;=3),"Rawan",IF(AND(E122&lt;=2,F122&lt;=2),"Tidur","Umum"))))))</f>
        <v/>
      </c>
    </row>
    <row r="123">
      <c r="B123">
        <f>IF(A123="","",$B$1-MAXIFS(Donasi!$A$2:$A$20000,Donasi!$B$2:$B$20000,A123))</f>
        <v/>
      </c>
      <c r="C123">
        <f>IF(A123="","",COUNTIF(Donasi!$B$2:$B$20000,A123))</f>
        <v/>
      </c>
      <c r="D123">
        <f>IF(A123="","",SUMIF(Donasi!$B$2:$B$20000,A123,Donasi!$C$2:$C$20000))</f>
        <v/>
      </c>
      <c r="E123">
        <f>IF(A123="","",6-CEILING(PERCENTRANK.INC($B$3:$B$6000,B123,4)*5+0.000001,1))</f>
        <v/>
      </c>
      <c r="F123">
        <f>IF(A123="","",MAX(1,CEILING(PERCENTRANK.INC($C$3:$C$6000,C123,4)*5+0.000001,1)))</f>
        <v/>
      </c>
      <c r="G123">
        <f>IF(A123="","",MAX(1,CEILING(PERCENTRANK.INC($D$3:$D$6000,D123,4)*5+0.000001,1)))</f>
        <v/>
      </c>
      <c r="H123">
        <f>IF(A123="","",E123&amp;F123&amp;G123)</f>
        <v/>
      </c>
      <c r="I123">
        <f>IF(A123="","",IF(AND(E123&gt;=4,F123&gt;=4,G123&gt;=4),"Juara",IF(AND(F123&gt;=4,E123&gt;=3),"Setia",IF(AND(E123=5,F123&lt;=2,G123&gt;=3),"Berpotensi",IF(AND(E123&lt;=3,E123&gt;=2,F123&gt;=3),"Rawan",IF(AND(E123&lt;=2,F123&lt;=2),"Tidur","Umum"))))))</f>
        <v/>
      </c>
    </row>
    <row r="124">
      <c r="B124">
        <f>IF(A124="","",$B$1-MAXIFS(Donasi!$A$2:$A$20000,Donasi!$B$2:$B$20000,A124))</f>
        <v/>
      </c>
      <c r="C124">
        <f>IF(A124="","",COUNTIF(Donasi!$B$2:$B$20000,A124))</f>
        <v/>
      </c>
      <c r="D124">
        <f>IF(A124="","",SUMIF(Donasi!$B$2:$B$20000,A124,Donasi!$C$2:$C$20000))</f>
        <v/>
      </c>
      <c r="E124">
        <f>IF(A124="","",6-CEILING(PERCENTRANK.INC($B$3:$B$6000,B124,4)*5+0.000001,1))</f>
        <v/>
      </c>
      <c r="F124">
        <f>IF(A124="","",MAX(1,CEILING(PERCENTRANK.INC($C$3:$C$6000,C124,4)*5+0.000001,1)))</f>
        <v/>
      </c>
      <c r="G124">
        <f>IF(A124="","",MAX(1,CEILING(PERCENTRANK.INC($D$3:$D$6000,D124,4)*5+0.000001,1)))</f>
        <v/>
      </c>
      <c r="H124">
        <f>IF(A124="","",E124&amp;F124&amp;G124)</f>
        <v/>
      </c>
      <c r="I124">
        <f>IF(A124="","",IF(AND(E124&gt;=4,F124&gt;=4,G124&gt;=4),"Juara",IF(AND(F124&gt;=4,E124&gt;=3),"Setia",IF(AND(E124=5,F124&lt;=2,G124&gt;=3),"Berpotensi",IF(AND(E124&lt;=3,E124&gt;=2,F124&gt;=3),"Rawan",IF(AND(E124&lt;=2,F124&lt;=2),"Tidur","Umum"))))))</f>
        <v/>
      </c>
    </row>
    <row r="125">
      <c r="B125">
        <f>IF(A125="","",$B$1-MAXIFS(Donasi!$A$2:$A$20000,Donasi!$B$2:$B$20000,A125))</f>
        <v/>
      </c>
      <c r="C125">
        <f>IF(A125="","",COUNTIF(Donasi!$B$2:$B$20000,A125))</f>
        <v/>
      </c>
      <c r="D125">
        <f>IF(A125="","",SUMIF(Donasi!$B$2:$B$20000,A125,Donasi!$C$2:$C$20000))</f>
        <v/>
      </c>
      <c r="E125">
        <f>IF(A125="","",6-CEILING(PERCENTRANK.INC($B$3:$B$6000,B125,4)*5+0.000001,1))</f>
        <v/>
      </c>
      <c r="F125">
        <f>IF(A125="","",MAX(1,CEILING(PERCENTRANK.INC($C$3:$C$6000,C125,4)*5+0.000001,1)))</f>
        <v/>
      </c>
      <c r="G125">
        <f>IF(A125="","",MAX(1,CEILING(PERCENTRANK.INC($D$3:$D$6000,D125,4)*5+0.000001,1)))</f>
        <v/>
      </c>
      <c r="H125">
        <f>IF(A125="","",E125&amp;F125&amp;G125)</f>
        <v/>
      </c>
      <c r="I125">
        <f>IF(A125="","",IF(AND(E125&gt;=4,F125&gt;=4,G125&gt;=4),"Juara",IF(AND(F125&gt;=4,E125&gt;=3),"Setia",IF(AND(E125=5,F125&lt;=2,G125&gt;=3),"Berpotensi",IF(AND(E125&lt;=3,E125&gt;=2,F125&gt;=3),"Rawan",IF(AND(E125&lt;=2,F125&lt;=2),"Tidur","Umum"))))))</f>
        <v/>
      </c>
    </row>
    <row r="126">
      <c r="B126">
        <f>IF(A126="","",$B$1-MAXIFS(Donasi!$A$2:$A$20000,Donasi!$B$2:$B$20000,A126))</f>
        <v/>
      </c>
      <c r="C126">
        <f>IF(A126="","",COUNTIF(Donasi!$B$2:$B$20000,A126))</f>
        <v/>
      </c>
      <c r="D126">
        <f>IF(A126="","",SUMIF(Donasi!$B$2:$B$20000,A126,Donasi!$C$2:$C$20000))</f>
        <v/>
      </c>
      <c r="E126">
        <f>IF(A126="","",6-CEILING(PERCENTRANK.INC($B$3:$B$6000,B126,4)*5+0.000001,1))</f>
        <v/>
      </c>
      <c r="F126">
        <f>IF(A126="","",MAX(1,CEILING(PERCENTRANK.INC($C$3:$C$6000,C126,4)*5+0.000001,1)))</f>
        <v/>
      </c>
      <c r="G126">
        <f>IF(A126="","",MAX(1,CEILING(PERCENTRANK.INC($D$3:$D$6000,D126,4)*5+0.000001,1)))</f>
        <v/>
      </c>
      <c r="H126">
        <f>IF(A126="","",E126&amp;F126&amp;G126)</f>
        <v/>
      </c>
      <c r="I126">
        <f>IF(A126="","",IF(AND(E126&gt;=4,F126&gt;=4,G126&gt;=4),"Juara",IF(AND(F126&gt;=4,E126&gt;=3),"Setia",IF(AND(E126=5,F126&lt;=2,G126&gt;=3),"Berpotensi",IF(AND(E126&lt;=3,E126&gt;=2,F126&gt;=3),"Rawan",IF(AND(E126&lt;=2,F126&lt;=2),"Tidur","Umum"))))))</f>
        <v/>
      </c>
    </row>
    <row r="127">
      <c r="B127">
        <f>IF(A127="","",$B$1-MAXIFS(Donasi!$A$2:$A$20000,Donasi!$B$2:$B$20000,A127))</f>
        <v/>
      </c>
      <c r="C127">
        <f>IF(A127="","",COUNTIF(Donasi!$B$2:$B$20000,A127))</f>
        <v/>
      </c>
      <c r="D127">
        <f>IF(A127="","",SUMIF(Donasi!$B$2:$B$20000,A127,Donasi!$C$2:$C$20000))</f>
        <v/>
      </c>
      <c r="E127">
        <f>IF(A127="","",6-CEILING(PERCENTRANK.INC($B$3:$B$6000,B127,4)*5+0.000001,1))</f>
        <v/>
      </c>
      <c r="F127">
        <f>IF(A127="","",MAX(1,CEILING(PERCENTRANK.INC($C$3:$C$6000,C127,4)*5+0.000001,1)))</f>
        <v/>
      </c>
      <c r="G127">
        <f>IF(A127="","",MAX(1,CEILING(PERCENTRANK.INC($D$3:$D$6000,D127,4)*5+0.000001,1)))</f>
        <v/>
      </c>
      <c r="H127">
        <f>IF(A127="","",E127&amp;F127&amp;G127)</f>
        <v/>
      </c>
      <c r="I127">
        <f>IF(A127="","",IF(AND(E127&gt;=4,F127&gt;=4,G127&gt;=4),"Juara",IF(AND(F127&gt;=4,E127&gt;=3),"Setia",IF(AND(E127=5,F127&lt;=2,G127&gt;=3),"Berpotensi",IF(AND(E127&lt;=3,E127&gt;=2,F127&gt;=3),"Rawan",IF(AND(E127&lt;=2,F127&lt;=2),"Tidur","Umum"))))))</f>
        <v/>
      </c>
    </row>
    <row r="128">
      <c r="B128">
        <f>IF(A128="","",$B$1-MAXIFS(Donasi!$A$2:$A$20000,Donasi!$B$2:$B$20000,A128))</f>
        <v/>
      </c>
      <c r="C128">
        <f>IF(A128="","",COUNTIF(Donasi!$B$2:$B$20000,A128))</f>
        <v/>
      </c>
      <c r="D128">
        <f>IF(A128="","",SUMIF(Donasi!$B$2:$B$20000,A128,Donasi!$C$2:$C$20000))</f>
        <v/>
      </c>
      <c r="E128">
        <f>IF(A128="","",6-CEILING(PERCENTRANK.INC($B$3:$B$6000,B128,4)*5+0.000001,1))</f>
        <v/>
      </c>
      <c r="F128">
        <f>IF(A128="","",MAX(1,CEILING(PERCENTRANK.INC($C$3:$C$6000,C128,4)*5+0.000001,1)))</f>
        <v/>
      </c>
      <c r="G128">
        <f>IF(A128="","",MAX(1,CEILING(PERCENTRANK.INC($D$3:$D$6000,D128,4)*5+0.000001,1)))</f>
        <v/>
      </c>
      <c r="H128">
        <f>IF(A128="","",E128&amp;F128&amp;G128)</f>
        <v/>
      </c>
      <c r="I128">
        <f>IF(A128="","",IF(AND(E128&gt;=4,F128&gt;=4,G128&gt;=4),"Juara",IF(AND(F128&gt;=4,E128&gt;=3),"Setia",IF(AND(E128=5,F128&lt;=2,G128&gt;=3),"Berpotensi",IF(AND(E128&lt;=3,E128&gt;=2,F128&gt;=3),"Rawan",IF(AND(E128&lt;=2,F128&lt;=2),"Tidur","Umum"))))))</f>
        <v/>
      </c>
    </row>
    <row r="129">
      <c r="B129">
        <f>IF(A129="","",$B$1-MAXIFS(Donasi!$A$2:$A$20000,Donasi!$B$2:$B$20000,A129))</f>
        <v/>
      </c>
      <c r="C129">
        <f>IF(A129="","",COUNTIF(Donasi!$B$2:$B$20000,A129))</f>
        <v/>
      </c>
      <c r="D129">
        <f>IF(A129="","",SUMIF(Donasi!$B$2:$B$20000,A129,Donasi!$C$2:$C$20000))</f>
        <v/>
      </c>
      <c r="E129">
        <f>IF(A129="","",6-CEILING(PERCENTRANK.INC($B$3:$B$6000,B129,4)*5+0.000001,1))</f>
        <v/>
      </c>
      <c r="F129">
        <f>IF(A129="","",MAX(1,CEILING(PERCENTRANK.INC($C$3:$C$6000,C129,4)*5+0.000001,1)))</f>
        <v/>
      </c>
      <c r="G129">
        <f>IF(A129="","",MAX(1,CEILING(PERCENTRANK.INC($D$3:$D$6000,D129,4)*5+0.000001,1)))</f>
        <v/>
      </c>
      <c r="H129">
        <f>IF(A129="","",E129&amp;F129&amp;G129)</f>
        <v/>
      </c>
      <c r="I129">
        <f>IF(A129="","",IF(AND(E129&gt;=4,F129&gt;=4,G129&gt;=4),"Juara",IF(AND(F129&gt;=4,E129&gt;=3),"Setia",IF(AND(E129=5,F129&lt;=2,G129&gt;=3),"Berpotensi",IF(AND(E129&lt;=3,E129&gt;=2,F129&gt;=3),"Rawan",IF(AND(E129&lt;=2,F129&lt;=2),"Tidur","Umum"))))))</f>
        <v/>
      </c>
    </row>
    <row r="130">
      <c r="B130">
        <f>IF(A130="","",$B$1-MAXIFS(Donasi!$A$2:$A$20000,Donasi!$B$2:$B$20000,A130))</f>
        <v/>
      </c>
      <c r="C130">
        <f>IF(A130="","",COUNTIF(Donasi!$B$2:$B$20000,A130))</f>
        <v/>
      </c>
      <c r="D130">
        <f>IF(A130="","",SUMIF(Donasi!$B$2:$B$20000,A130,Donasi!$C$2:$C$20000))</f>
        <v/>
      </c>
      <c r="E130">
        <f>IF(A130="","",6-CEILING(PERCENTRANK.INC($B$3:$B$6000,B130,4)*5+0.000001,1))</f>
        <v/>
      </c>
      <c r="F130">
        <f>IF(A130="","",MAX(1,CEILING(PERCENTRANK.INC($C$3:$C$6000,C130,4)*5+0.000001,1)))</f>
        <v/>
      </c>
      <c r="G130">
        <f>IF(A130="","",MAX(1,CEILING(PERCENTRANK.INC($D$3:$D$6000,D130,4)*5+0.000001,1)))</f>
        <v/>
      </c>
      <c r="H130">
        <f>IF(A130="","",E130&amp;F130&amp;G130)</f>
        <v/>
      </c>
      <c r="I130">
        <f>IF(A130="","",IF(AND(E130&gt;=4,F130&gt;=4,G130&gt;=4),"Juara",IF(AND(F130&gt;=4,E130&gt;=3),"Setia",IF(AND(E130=5,F130&lt;=2,G130&gt;=3),"Berpotensi",IF(AND(E130&lt;=3,E130&gt;=2,F130&gt;=3),"Rawan",IF(AND(E130&lt;=2,F130&lt;=2),"Tidur","Umum"))))))</f>
        <v/>
      </c>
    </row>
    <row r="131">
      <c r="B131">
        <f>IF(A131="","",$B$1-MAXIFS(Donasi!$A$2:$A$20000,Donasi!$B$2:$B$20000,A131))</f>
        <v/>
      </c>
      <c r="C131">
        <f>IF(A131="","",COUNTIF(Donasi!$B$2:$B$20000,A131))</f>
        <v/>
      </c>
      <c r="D131">
        <f>IF(A131="","",SUMIF(Donasi!$B$2:$B$20000,A131,Donasi!$C$2:$C$20000))</f>
        <v/>
      </c>
      <c r="E131">
        <f>IF(A131="","",6-CEILING(PERCENTRANK.INC($B$3:$B$6000,B131,4)*5+0.000001,1))</f>
        <v/>
      </c>
      <c r="F131">
        <f>IF(A131="","",MAX(1,CEILING(PERCENTRANK.INC($C$3:$C$6000,C131,4)*5+0.000001,1)))</f>
        <v/>
      </c>
      <c r="G131">
        <f>IF(A131="","",MAX(1,CEILING(PERCENTRANK.INC($D$3:$D$6000,D131,4)*5+0.000001,1)))</f>
        <v/>
      </c>
      <c r="H131">
        <f>IF(A131="","",E131&amp;F131&amp;G131)</f>
        <v/>
      </c>
      <c r="I131">
        <f>IF(A131="","",IF(AND(E131&gt;=4,F131&gt;=4,G131&gt;=4),"Juara",IF(AND(F131&gt;=4,E131&gt;=3),"Setia",IF(AND(E131=5,F131&lt;=2,G131&gt;=3),"Berpotensi",IF(AND(E131&lt;=3,E131&gt;=2,F131&gt;=3),"Rawan",IF(AND(E131&lt;=2,F131&lt;=2),"Tidur","Umum"))))))</f>
        <v/>
      </c>
    </row>
    <row r="132">
      <c r="B132">
        <f>IF(A132="","",$B$1-MAXIFS(Donasi!$A$2:$A$20000,Donasi!$B$2:$B$20000,A132))</f>
        <v/>
      </c>
      <c r="C132">
        <f>IF(A132="","",COUNTIF(Donasi!$B$2:$B$20000,A132))</f>
        <v/>
      </c>
      <c r="D132">
        <f>IF(A132="","",SUMIF(Donasi!$B$2:$B$20000,A132,Donasi!$C$2:$C$20000))</f>
        <v/>
      </c>
      <c r="E132">
        <f>IF(A132="","",6-CEILING(PERCENTRANK.INC($B$3:$B$6000,B132,4)*5+0.000001,1))</f>
        <v/>
      </c>
      <c r="F132">
        <f>IF(A132="","",MAX(1,CEILING(PERCENTRANK.INC($C$3:$C$6000,C132,4)*5+0.000001,1)))</f>
        <v/>
      </c>
      <c r="G132">
        <f>IF(A132="","",MAX(1,CEILING(PERCENTRANK.INC($D$3:$D$6000,D132,4)*5+0.000001,1)))</f>
        <v/>
      </c>
      <c r="H132">
        <f>IF(A132="","",E132&amp;F132&amp;G132)</f>
        <v/>
      </c>
      <c r="I132">
        <f>IF(A132="","",IF(AND(E132&gt;=4,F132&gt;=4,G132&gt;=4),"Juara",IF(AND(F132&gt;=4,E132&gt;=3),"Setia",IF(AND(E132=5,F132&lt;=2,G132&gt;=3),"Berpotensi",IF(AND(E132&lt;=3,E132&gt;=2,F132&gt;=3),"Rawan",IF(AND(E132&lt;=2,F132&lt;=2),"Tidur","Umum"))))))</f>
        <v/>
      </c>
    </row>
    <row r="133">
      <c r="B133">
        <f>IF(A133="","",$B$1-MAXIFS(Donasi!$A$2:$A$20000,Donasi!$B$2:$B$20000,A133))</f>
        <v/>
      </c>
      <c r="C133">
        <f>IF(A133="","",COUNTIF(Donasi!$B$2:$B$20000,A133))</f>
        <v/>
      </c>
      <c r="D133">
        <f>IF(A133="","",SUMIF(Donasi!$B$2:$B$20000,A133,Donasi!$C$2:$C$20000))</f>
        <v/>
      </c>
      <c r="E133">
        <f>IF(A133="","",6-CEILING(PERCENTRANK.INC($B$3:$B$6000,B133,4)*5+0.000001,1))</f>
        <v/>
      </c>
      <c r="F133">
        <f>IF(A133="","",MAX(1,CEILING(PERCENTRANK.INC($C$3:$C$6000,C133,4)*5+0.000001,1)))</f>
        <v/>
      </c>
      <c r="G133">
        <f>IF(A133="","",MAX(1,CEILING(PERCENTRANK.INC($D$3:$D$6000,D133,4)*5+0.000001,1)))</f>
        <v/>
      </c>
      <c r="H133">
        <f>IF(A133="","",E133&amp;F133&amp;G133)</f>
        <v/>
      </c>
      <c r="I133">
        <f>IF(A133="","",IF(AND(E133&gt;=4,F133&gt;=4,G133&gt;=4),"Juara",IF(AND(F133&gt;=4,E133&gt;=3),"Setia",IF(AND(E133=5,F133&lt;=2,G133&gt;=3),"Berpotensi",IF(AND(E133&lt;=3,E133&gt;=2,F133&gt;=3),"Rawan",IF(AND(E133&lt;=2,F133&lt;=2),"Tidur","Umum"))))))</f>
        <v/>
      </c>
    </row>
    <row r="134">
      <c r="B134">
        <f>IF(A134="","",$B$1-MAXIFS(Donasi!$A$2:$A$20000,Donasi!$B$2:$B$20000,A134))</f>
        <v/>
      </c>
      <c r="C134">
        <f>IF(A134="","",COUNTIF(Donasi!$B$2:$B$20000,A134))</f>
        <v/>
      </c>
      <c r="D134">
        <f>IF(A134="","",SUMIF(Donasi!$B$2:$B$20000,A134,Donasi!$C$2:$C$20000))</f>
        <v/>
      </c>
      <c r="E134">
        <f>IF(A134="","",6-CEILING(PERCENTRANK.INC($B$3:$B$6000,B134,4)*5+0.000001,1))</f>
        <v/>
      </c>
      <c r="F134">
        <f>IF(A134="","",MAX(1,CEILING(PERCENTRANK.INC($C$3:$C$6000,C134,4)*5+0.000001,1)))</f>
        <v/>
      </c>
      <c r="G134">
        <f>IF(A134="","",MAX(1,CEILING(PERCENTRANK.INC($D$3:$D$6000,D134,4)*5+0.000001,1)))</f>
        <v/>
      </c>
      <c r="H134">
        <f>IF(A134="","",E134&amp;F134&amp;G134)</f>
        <v/>
      </c>
      <c r="I134">
        <f>IF(A134="","",IF(AND(E134&gt;=4,F134&gt;=4,G134&gt;=4),"Juara",IF(AND(F134&gt;=4,E134&gt;=3),"Setia",IF(AND(E134=5,F134&lt;=2,G134&gt;=3),"Berpotensi",IF(AND(E134&lt;=3,E134&gt;=2,F134&gt;=3),"Rawan",IF(AND(E134&lt;=2,F134&lt;=2),"Tidur","Umum"))))))</f>
        <v/>
      </c>
    </row>
    <row r="135">
      <c r="B135">
        <f>IF(A135="","",$B$1-MAXIFS(Donasi!$A$2:$A$20000,Donasi!$B$2:$B$20000,A135))</f>
        <v/>
      </c>
      <c r="C135">
        <f>IF(A135="","",COUNTIF(Donasi!$B$2:$B$20000,A135))</f>
        <v/>
      </c>
      <c r="D135">
        <f>IF(A135="","",SUMIF(Donasi!$B$2:$B$20000,A135,Donasi!$C$2:$C$20000))</f>
        <v/>
      </c>
      <c r="E135">
        <f>IF(A135="","",6-CEILING(PERCENTRANK.INC($B$3:$B$6000,B135,4)*5+0.000001,1))</f>
        <v/>
      </c>
      <c r="F135">
        <f>IF(A135="","",MAX(1,CEILING(PERCENTRANK.INC($C$3:$C$6000,C135,4)*5+0.000001,1)))</f>
        <v/>
      </c>
      <c r="G135">
        <f>IF(A135="","",MAX(1,CEILING(PERCENTRANK.INC($D$3:$D$6000,D135,4)*5+0.000001,1)))</f>
        <v/>
      </c>
      <c r="H135">
        <f>IF(A135="","",E135&amp;F135&amp;G135)</f>
        <v/>
      </c>
      <c r="I135">
        <f>IF(A135="","",IF(AND(E135&gt;=4,F135&gt;=4,G135&gt;=4),"Juara",IF(AND(F135&gt;=4,E135&gt;=3),"Setia",IF(AND(E135=5,F135&lt;=2,G135&gt;=3),"Berpotensi",IF(AND(E135&lt;=3,E135&gt;=2,F135&gt;=3),"Rawan",IF(AND(E135&lt;=2,F135&lt;=2),"Tidur","Umum"))))))</f>
        <v/>
      </c>
    </row>
    <row r="136">
      <c r="B136">
        <f>IF(A136="","",$B$1-MAXIFS(Donasi!$A$2:$A$20000,Donasi!$B$2:$B$20000,A136))</f>
        <v/>
      </c>
      <c r="C136">
        <f>IF(A136="","",COUNTIF(Donasi!$B$2:$B$20000,A136))</f>
        <v/>
      </c>
      <c r="D136">
        <f>IF(A136="","",SUMIF(Donasi!$B$2:$B$20000,A136,Donasi!$C$2:$C$20000))</f>
        <v/>
      </c>
      <c r="E136">
        <f>IF(A136="","",6-CEILING(PERCENTRANK.INC($B$3:$B$6000,B136,4)*5+0.000001,1))</f>
        <v/>
      </c>
      <c r="F136">
        <f>IF(A136="","",MAX(1,CEILING(PERCENTRANK.INC($C$3:$C$6000,C136,4)*5+0.000001,1)))</f>
        <v/>
      </c>
      <c r="G136">
        <f>IF(A136="","",MAX(1,CEILING(PERCENTRANK.INC($D$3:$D$6000,D136,4)*5+0.000001,1)))</f>
        <v/>
      </c>
      <c r="H136">
        <f>IF(A136="","",E136&amp;F136&amp;G136)</f>
        <v/>
      </c>
      <c r="I136">
        <f>IF(A136="","",IF(AND(E136&gt;=4,F136&gt;=4,G136&gt;=4),"Juara",IF(AND(F136&gt;=4,E136&gt;=3),"Setia",IF(AND(E136=5,F136&lt;=2,G136&gt;=3),"Berpotensi",IF(AND(E136&lt;=3,E136&gt;=2,F136&gt;=3),"Rawan",IF(AND(E136&lt;=2,F136&lt;=2),"Tidur","Umum"))))))</f>
        <v/>
      </c>
    </row>
    <row r="137">
      <c r="B137">
        <f>IF(A137="","",$B$1-MAXIFS(Donasi!$A$2:$A$20000,Donasi!$B$2:$B$20000,A137))</f>
        <v/>
      </c>
      <c r="C137">
        <f>IF(A137="","",COUNTIF(Donasi!$B$2:$B$20000,A137))</f>
        <v/>
      </c>
      <c r="D137">
        <f>IF(A137="","",SUMIF(Donasi!$B$2:$B$20000,A137,Donasi!$C$2:$C$20000))</f>
        <v/>
      </c>
      <c r="E137">
        <f>IF(A137="","",6-CEILING(PERCENTRANK.INC($B$3:$B$6000,B137,4)*5+0.000001,1))</f>
        <v/>
      </c>
      <c r="F137">
        <f>IF(A137="","",MAX(1,CEILING(PERCENTRANK.INC($C$3:$C$6000,C137,4)*5+0.000001,1)))</f>
        <v/>
      </c>
      <c r="G137">
        <f>IF(A137="","",MAX(1,CEILING(PERCENTRANK.INC($D$3:$D$6000,D137,4)*5+0.000001,1)))</f>
        <v/>
      </c>
      <c r="H137">
        <f>IF(A137="","",E137&amp;F137&amp;G137)</f>
        <v/>
      </c>
      <c r="I137">
        <f>IF(A137="","",IF(AND(E137&gt;=4,F137&gt;=4,G137&gt;=4),"Juara",IF(AND(F137&gt;=4,E137&gt;=3),"Setia",IF(AND(E137=5,F137&lt;=2,G137&gt;=3),"Berpotensi",IF(AND(E137&lt;=3,E137&gt;=2,F137&gt;=3),"Rawan",IF(AND(E137&lt;=2,F137&lt;=2),"Tidur","Umum"))))))</f>
        <v/>
      </c>
    </row>
    <row r="138">
      <c r="B138">
        <f>IF(A138="","",$B$1-MAXIFS(Donasi!$A$2:$A$20000,Donasi!$B$2:$B$20000,A138))</f>
        <v/>
      </c>
      <c r="C138">
        <f>IF(A138="","",COUNTIF(Donasi!$B$2:$B$20000,A138))</f>
        <v/>
      </c>
      <c r="D138">
        <f>IF(A138="","",SUMIF(Donasi!$B$2:$B$20000,A138,Donasi!$C$2:$C$20000))</f>
        <v/>
      </c>
      <c r="E138">
        <f>IF(A138="","",6-CEILING(PERCENTRANK.INC($B$3:$B$6000,B138,4)*5+0.000001,1))</f>
        <v/>
      </c>
      <c r="F138">
        <f>IF(A138="","",MAX(1,CEILING(PERCENTRANK.INC($C$3:$C$6000,C138,4)*5+0.000001,1)))</f>
        <v/>
      </c>
      <c r="G138">
        <f>IF(A138="","",MAX(1,CEILING(PERCENTRANK.INC($D$3:$D$6000,D138,4)*5+0.000001,1)))</f>
        <v/>
      </c>
      <c r="H138">
        <f>IF(A138="","",E138&amp;F138&amp;G138)</f>
        <v/>
      </c>
      <c r="I138">
        <f>IF(A138="","",IF(AND(E138&gt;=4,F138&gt;=4,G138&gt;=4),"Juara",IF(AND(F138&gt;=4,E138&gt;=3),"Setia",IF(AND(E138=5,F138&lt;=2,G138&gt;=3),"Berpotensi",IF(AND(E138&lt;=3,E138&gt;=2,F138&gt;=3),"Rawan",IF(AND(E138&lt;=2,F138&lt;=2),"Tidur","Umum"))))))</f>
        <v/>
      </c>
    </row>
    <row r="139">
      <c r="B139">
        <f>IF(A139="","",$B$1-MAXIFS(Donasi!$A$2:$A$20000,Donasi!$B$2:$B$20000,A139))</f>
        <v/>
      </c>
      <c r="C139">
        <f>IF(A139="","",COUNTIF(Donasi!$B$2:$B$20000,A139))</f>
        <v/>
      </c>
      <c r="D139">
        <f>IF(A139="","",SUMIF(Donasi!$B$2:$B$20000,A139,Donasi!$C$2:$C$20000))</f>
        <v/>
      </c>
      <c r="E139">
        <f>IF(A139="","",6-CEILING(PERCENTRANK.INC($B$3:$B$6000,B139,4)*5+0.000001,1))</f>
        <v/>
      </c>
      <c r="F139">
        <f>IF(A139="","",MAX(1,CEILING(PERCENTRANK.INC($C$3:$C$6000,C139,4)*5+0.000001,1)))</f>
        <v/>
      </c>
      <c r="G139">
        <f>IF(A139="","",MAX(1,CEILING(PERCENTRANK.INC($D$3:$D$6000,D139,4)*5+0.000001,1)))</f>
        <v/>
      </c>
      <c r="H139">
        <f>IF(A139="","",E139&amp;F139&amp;G139)</f>
        <v/>
      </c>
      <c r="I139">
        <f>IF(A139="","",IF(AND(E139&gt;=4,F139&gt;=4,G139&gt;=4),"Juara",IF(AND(F139&gt;=4,E139&gt;=3),"Setia",IF(AND(E139=5,F139&lt;=2,G139&gt;=3),"Berpotensi",IF(AND(E139&lt;=3,E139&gt;=2,F139&gt;=3),"Rawan",IF(AND(E139&lt;=2,F139&lt;=2),"Tidur","Umum"))))))</f>
        <v/>
      </c>
    </row>
    <row r="140">
      <c r="B140">
        <f>IF(A140="","",$B$1-MAXIFS(Donasi!$A$2:$A$20000,Donasi!$B$2:$B$20000,A140))</f>
        <v/>
      </c>
      <c r="C140">
        <f>IF(A140="","",COUNTIF(Donasi!$B$2:$B$20000,A140))</f>
        <v/>
      </c>
      <c r="D140">
        <f>IF(A140="","",SUMIF(Donasi!$B$2:$B$20000,A140,Donasi!$C$2:$C$20000))</f>
        <v/>
      </c>
      <c r="E140">
        <f>IF(A140="","",6-CEILING(PERCENTRANK.INC($B$3:$B$6000,B140,4)*5+0.000001,1))</f>
        <v/>
      </c>
      <c r="F140">
        <f>IF(A140="","",MAX(1,CEILING(PERCENTRANK.INC($C$3:$C$6000,C140,4)*5+0.000001,1)))</f>
        <v/>
      </c>
      <c r="G140">
        <f>IF(A140="","",MAX(1,CEILING(PERCENTRANK.INC($D$3:$D$6000,D140,4)*5+0.000001,1)))</f>
        <v/>
      </c>
      <c r="H140">
        <f>IF(A140="","",E140&amp;F140&amp;G140)</f>
        <v/>
      </c>
      <c r="I140">
        <f>IF(A140="","",IF(AND(E140&gt;=4,F140&gt;=4,G140&gt;=4),"Juara",IF(AND(F140&gt;=4,E140&gt;=3),"Setia",IF(AND(E140=5,F140&lt;=2,G140&gt;=3),"Berpotensi",IF(AND(E140&lt;=3,E140&gt;=2,F140&gt;=3),"Rawan",IF(AND(E140&lt;=2,F140&lt;=2),"Tidur","Umum"))))))</f>
        <v/>
      </c>
    </row>
    <row r="141">
      <c r="B141">
        <f>IF(A141="","",$B$1-MAXIFS(Donasi!$A$2:$A$20000,Donasi!$B$2:$B$20000,A141))</f>
        <v/>
      </c>
      <c r="C141">
        <f>IF(A141="","",COUNTIF(Donasi!$B$2:$B$20000,A141))</f>
        <v/>
      </c>
      <c r="D141">
        <f>IF(A141="","",SUMIF(Donasi!$B$2:$B$20000,A141,Donasi!$C$2:$C$20000))</f>
        <v/>
      </c>
      <c r="E141">
        <f>IF(A141="","",6-CEILING(PERCENTRANK.INC($B$3:$B$6000,B141,4)*5+0.000001,1))</f>
        <v/>
      </c>
      <c r="F141">
        <f>IF(A141="","",MAX(1,CEILING(PERCENTRANK.INC($C$3:$C$6000,C141,4)*5+0.000001,1)))</f>
        <v/>
      </c>
      <c r="G141">
        <f>IF(A141="","",MAX(1,CEILING(PERCENTRANK.INC($D$3:$D$6000,D141,4)*5+0.000001,1)))</f>
        <v/>
      </c>
      <c r="H141">
        <f>IF(A141="","",E141&amp;F141&amp;G141)</f>
        <v/>
      </c>
      <c r="I141">
        <f>IF(A141="","",IF(AND(E141&gt;=4,F141&gt;=4,G141&gt;=4),"Juara",IF(AND(F141&gt;=4,E141&gt;=3),"Setia",IF(AND(E141=5,F141&lt;=2,G141&gt;=3),"Berpotensi",IF(AND(E141&lt;=3,E141&gt;=2,F141&gt;=3),"Rawan",IF(AND(E141&lt;=2,F141&lt;=2),"Tidur","Umum"))))))</f>
        <v/>
      </c>
    </row>
    <row r="142">
      <c r="B142">
        <f>IF(A142="","",$B$1-MAXIFS(Donasi!$A$2:$A$20000,Donasi!$B$2:$B$20000,A142))</f>
        <v/>
      </c>
      <c r="C142">
        <f>IF(A142="","",COUNTIF(Donasi!$B$2:$B$20000,A142))</f>
        <v/>
      </c>
      <c r="D142">
        <f>IF(A142="","",SUMIF(Donasi!$B$2:$B$20000,A142,Donasi!$C$2:$C$20000))</f>
        <v/>
      </c>
      <c r="E142">
        <f>IF(A142="","",6-CEILING(PERCENTRANK.INC($B$3:$B$6000,B142,4)*5+0.000001,1))</f>
        <v/>
      </c>
      <c r="F142">
        <f>IF(A142="","",MAX(1,CEILING(PERCENTRANK.INC($C$3:$C$6000,C142,4)*5+0.000001,1)))</f>
        <v/>
      </c>
      <c r="G142">
        <f>IF(A142="","",MAX(1,CEILING(PERCENTRANK.INC($D$3:$D$6000,D142,4)*5+0.000001,1)))</f>
        <v/>
      </c>
      <c r="H142">
        <f>IF(A142="","",E142&amp;F142&amp;G142)</f>
        <v/>
      </c>
      <c r="I142">
        <f>IF(A142="","",IF(AND(E142&gt;=4,F142&gt;=4,G142&gt;=4),"Juara",IF(AND(F142&gt;=4,E142&gt;=3),"Setia",IF(AND(E142=5,F142&lt;=2,G142&gt;=3),"Berpotensi",IF(AND(E142&lt;=3,E142&gt;=2,F142&gt;=3),"Rawan",IF(AND(E142&lt;=2,F142&lt;=2),"Tidur","Umum"))))))</f>
        <v/>
      </c>
    </row>
    <row r="143">
      <c r="B143">
        <f>IF(A143="","",$B$1-MAXIFS(Donasi!$A$2:$A$20000,Donasi!$B$2:$B$20000,A143))</f>
        <v/>
      </c>
      <c r="C143">
        <f>IF(A143="","",COUNTIF(Donasi!$B$2:$B$20000,A143))</f>
        <v/>
      </c>
      <c r="D143">
        <f>IF(A143="","",SUMIF(Donasi!$B$2:$B$20000,A143,Donasi!$C$2:$C$20000))</f>
        <v/>
      </c>
      <c r="E143">
        <f>IF(A143="","",6-CEILING(PERCENTRANK.INC($B$3:$B$6000,B143,4)*5+0.000001,1))</f>
        <v/>
      </c>
      <c r="F143">
        <f>IF(A143="","",MAX(1,CEILING(PERCENTRANK.INC($C$3:$C$6000,C143,4)*5+0.000001,1)))</f>
        <v/>
      </c>
      <c r="G143">
        <f>IF(A143="","",MAX(1,CEILING(PERCENTRANK.INC($D$3:$D$6000,D143,4)*5+0.000001,1)))</f>
        <v/>
      </c>
      <c r="H143">
        <f>IF(A143="","",E143&amp;F143&amp;G143)</f>
        <v/>
      </c>
      <c r="I143">
        <f>IF(A143="","",IF(AND(E143&gt;=4,F143&gt;=4,G143&gt;=4),"Juara",IF(AND(F143&gt;=4,E143&gt;=3),"Setia",IF(AND(E143=5,F143&lt;=2,G143&gt;=3),"Berpotensi",IF(AND(E143&lt;=3,E143&gt;=2,F143&gt;=3),"Rawan",IF(AND(E143&lt;=2,F143&lt;=2),"Tidur","Umum"))))))</f>
        <v/>
      </c>
    </row>
    <row r="144">
      <c r="B144">
        <f>IF(A144="","",$B$1-MAXIFS(Donasi!$A$2:$A$20000,Donasi!$B$2:$B$20000,A144))</f>
        <v/>
      </c>
      <c r="C144">
        <f>IF(A144="","",COUNTIF(Donasi!$B$2:$B$20000,A144))</f>
        <v/>
      </c>
      <c r="D144">
        <f>IF(A144="","",SUMIF(Donasi!$B$2:$B$20000,A144,Donasi!$C$2:$C$20000))</f>
        <v/>
      </c>
      <c r="E144">
        <f>IF(A144="","",6-CEILING(PERCENTRANK.INC($B$3:$B$6000,B144,4)*5+0.000001,1))</f>
        <v/>
      </c>
      <c r="F144">
        <f>IF(A144="","",MAX(1,CEILING(PERCENTRANK.INC($C$3:$C$6000,C144,4)*5+0.000001,1)))</f>
        <v/>
      </c>
      <c r="G144">
        <f>IF(A144="","",MAX(1,CEILING(PERCENTRANK.INC($D$3:$D$6000,D144,4)*5+0.000001,1)))</f>
        <v/>
      </c>
      <c r="H144">
        <f>IF(A144="","",E144&amp;F144&amp;G144)</f>
        <v/>
      </c>
      <c r="I144">
        <f>IF(A144="","",IF(AND(E144&gt;=4,F144&gt;=4,G144&gt;=4),"Juara",IF(AND(F144&gt;=4,E144&gt;=3),"Setia",IF(AND(E144=5,F144&lt;=2,G144&gt;=3),"Berpotensi",IF(AND(E144&lt;=3,E144&gt;=2,F144&gt;=3),"Rawan",IF(AND(E144&lt;=2,F144&lt;=2),"Tidur","Umum"))))))</f>
        <v/>
      </c>
    </row>
    <row r="145">
      <c r="B145">
        <f>IF(A145="","",$B$1-MAXIFS(Donasi!$A$2:$A$20000,Donasi!$B$2:$B$20000,A145))</f>
        <v/>
      </c>
      <c r="C145">
        <f>IF(A145="","",COUNTIF(Donasi!$B$2:$B$20000,A145))</f>
        <v/>
      </c>
      <c r="D145">
        <f>IF(A145="","",SUMIF(Donasi!$B$2:$B$20000,A145,Donasi!$C$2:$C$20000))</f>
        <v/>
      </c>
      <c r="E145">
        <f>IF(A145="","",6-CEILING(PERCENTRANK.INC($B$3:$B$6000,B145,4)*5+0.000001,1))</f>
        <v/>
      </c>
      <c r="F145">
        <f>IF(A145="","",MAX(1,CEILING(PERCENTRANK.INC($C$3:$C$6000,C145,4)*5+0.000001,1)))</f>
        <v/>
      </c>
      <c r="G145">
        <f>IF(A145="","",MAX(1,CEILING(PERCENTRANK.INC($D$3:$D$6000,D145,4)*5+0.000001,1)))</f>
        <v/>
      </c>
      <c r="H145">
        <f>IF(A145="","",E145&amp;F145&amp;G145)</f>
        <v/>
      </c>
      <c r="I145">
        <f>IF(A145="","",IF(AND(E145&gt;=4,F145&gt;=4,G145&gt;=4),"Juara",IF(AND(F145&gt;=4,E145&gt;=3),"Setia",IF(AND(E145=5,F145&lt;=2,G145&gt;=3),"Berpotensi",IF(AND(E145&lt;=3,E145&gt;=2,F145&gt;=3),"Rawan",IF(AND(E145&lt;=2,F145&lt;=2),"Tidur","Umum"))))))</f>
        <v/>
      </c>
    </row>
    <row r="146">
      <c r="B146">
        <f>IF(A146="","",$B$1-MAXIFS(Donasi!$A$2:$A$20000,Donasi!$B$2:$B$20000,A146))</f>
        <v/>
      </c>
      <c r="C146">
        <f>IF(A146="","",COUNTIF(Donasi!$B$2:$B$20000,A146))</f>
        <v/>
      </c>
      <c r="D146">
        <f>IF(A146="","",SUMIF(Donasi!$B$2:$B$20000,A146,Donasi!$C$2:$C$20000))</f>
        <v/>
      </c>
      <c r="E146">
        <f>IF(A146="","",6-CEILING(PERCENTRANK.INC($B$3:$B$6000,B146,4)*5+0.000001,1))</f>
        <v/>
      </c>
      <c r="F146">
        <f>IF(A146="","",MAX(1,CEILING(PERCENTRANK.INC($C$3:$C$6000,C146,4)*5+0.000001,1)))</f>
        <v/>
      </c>
      <c r="G146">
        <f>IF(A146="","",MAX(1,CEILING(PERCENTRANK.INC($D$3:$D$6000,D146,4)*5+0.000001,1)))</f>
        <v/>
      </c>
      <c r="H146">
        <f>IF(A146="","",E146&amp;F146&amp;G146)</f>
        <v/>
      </c>
      <c r="I146">
        <f>IF(A146="","",IF(AND(E146&gt;=4,F146&gt;=4,G146&gt;=4),"Juara",IF(AND(F146&gt;=4,E146&gt;=3),"Setia",IF(AND(E146=5,F146&lt;=2,G146&gt;=3),"Berpotensi",IF(AND(E146&lt;=3,E146&gt;=2,F146&gt;=3),"Rawan",IF(AND(E146&lt;=2,F146&lt;=2),"Tidur","Umum"))))))</f>
        <v/>
      </c>
    </row>
    <row r="147">
      <c r="B147">
        <f>IF(A147="","",$B$1-MAXIFS(Donasi!$A$2:$A$20000,Donasi!$B$2:$B$20000,A147))</f>
        <v/>
      </c>
      <c r="C147">
        <f>IF(A147="","",COUNTIF(Donasi!$B$2:$B$20000,A147))</f>
        <v/>
      </c>
      <c r="D147">
        <f>IF(A147="","",SUMIF(Donasi!$B$2:$B$20000,A147,Donasi!$C$2:$C$20000))</f>
        <v/>
      </c>
      <c r="E147">
        <f>IF(A147="","",6-CEILING(PERCENTRANK.INC($B$3:$B$6000,B147,4)*5+0.000001,1))</f>
        <v/>
      </c>
      <c r="F147">
        <f>IF(A147="","",MAX(1,CEILING(PERCENTRANK.INC($C$3:$C$6000,C147,4)*5+0.000001,1)))</f>
        <v/>
      </c>
      <c r="G147">
        <f>IF(A147="","",MAX(1,CEILING(PERCENTRANK.INC($D$3:$D$6000,D147,4)*5+0.000001,1)))</f>
        <v/>
      </c>
      <c r="H147">
        <f>IF(A147="","",E147&amp;F147&amp;G147)</f>
        <v/>
      </c>
      <c r="I147">
        <f>IF(A147="","",IF(AND(E147&gt;=4,F147&gt;=4,G147&gt;=4),"Juara",IF(AND(F147&gt;=4,E147&gt;=3),"Setia",IF(AND(E147=5,F147&lt;=2,G147&gt;=3),"Berpotensi",IF(AND(E147&lt;=3,E147&gt;=2,F147&gt;=3),"Rawan",IF(AND(E147&lt;=2,F147&lt;=2),"Tidur","Umum"))))))</f>
        <v/>
      </c>
    </row>
    <row r="148">
      <c r="B148">
        <f>IF(A148="","",$B$1-MAXIFS(Donasi!$A$2:$A$20000,Donasi!$B$2:$B$20000,A148))</f>
        <v/>
      </c>
      <c r="C148">
        <f>IF(A148="","",COUNTIF(Donasi!$B$2:$B$20000,A148))</f>
        <v/>
      </c>
      <c r="D148">
        <f>IF(A148="","",SUMIF(Donasi!$B$2:$B$20000,A148,Donasi!$C$2:$C$20000))</f>
        <v/>
      </c>
      <c r="E148">
        <f>IF(A148="","",6-CEILING(PERCENTRANK.INC($B$3:$B$6000,B148,4)*5+0.000001,1))</f>
        <v/>
      </c>
      <c r="F148">
        <f>IF(A148="","",MAX(1,CEILING(PERCENTRANK.INC($C$3:$C$6000,C148,4)*5+0.000001,1)))</f>
        <v/>
      </c>
      <c r="G148">
        <f>IF(A148="","",MAX(1,CEILING(PERCENTRANK.INC($D$3:$D$6000,D148,4)*5+0.000001,1)))</f>
        <v/>
      </c>
      <c r="H148">
        <f>IF(A148="","",E148&amp;F148&amp;G148)</f>
        <v/>
      </c>
      <c r="I148">
        <f>IF(A148="","",IF(AND(E148&gt;=4,F148&gt;=4,G148&gt;=4),"Juara",IF(AND(F148&gt;=4,E148&gt;=3),"Setia",IF(AND(E148=5,F148&lt;=2,G148&gt;=3),"Berpotensi",IF(AND(E148&lt;=3,E148&gt;=2,F148&gt;=3),"Rawan",IF(AND(E148&lt;=2,F148&lt;=2),"Tidur","Umum"))))))</f>
        <v/>
      </c>
    </row>
    <row r="149">
      <c r="B149">
        <f>IF(A149="","",$B$1-MAXIFS(Donasi!$A$2:$A$20000,Donasi!$B$2:$B$20000,A149))</f>
        <v/>
      </c>
      <c r="C149">
        <f>IF(A149="","",COUNTIF(Donasi!$B$2:$B$20000,A149))</f>
        <v/>
      </c>
      <c r="D149">
        <f>IF(A149="","",SUMIF(Donasi!$B$2:$B$20000,A149,Donasi!$C$2:$C$20000))</f>
        <v/>
      </c>
      <c r="E149">
        <f>IF(A149="","",6-CEILING(PERCENTRANK.INC($B$3:$B$6000,B149,4)*5+0.000001,1))</f>
        <v/>
      </c>
      <c r="F149">
        <f>IF(A149="","",MAX(1,CEILING(PERCENTRANK.INC($C$3:$C$6000,C149,4)*5+0.000001,1)))</f>
        <v/>
      </c>
      <c r="G149">
        <f>IF(A149="","",MAX(1,CEILING(PERCENTRANK.INC($D$3:$D$6000,D149,4)*5+0.000001,1)))</f>
        <v/>
      </c>
      <c r="H149">
        <f>IF(A149="","",E149&amp;F149&amp;G149)</f>
        <v/>
      </c>
      <c r="I149">
        <f>IF(A149="","",IF(AND(E149&gt;=4,F149&gt;=4,G149&gt;=4),"Juara",IF(AND(F149&gt;=4,E149&gt;=3),"Setia",IF(AND(E149=5,F149&lt;=2,G149&gt;=3),"Berpotensi",IF(AND(E149&lt;=3,E149&gt;=2,F149&gt;=3),"Rawan",IF(AND(E149&lt;=2,F149&lt;=2),"Tidur","Umum"))))))</f>
        <v/>
      </c>
    </row>
    <row r="150">
      <c r="B150">
        <f>IF(A150="","",$B$1-MAXIFS(Donasi!$A$2:$A$20000,Donasi!$B$2:$B$20000,A150))</f>
        <v/>
      </c>
      <c r="C150">
        <f>IF(A150="","",COUNTIF(Donasi!$B$2:$B$20000,A150))</f>
        <v/>
      </c>
      <c r="D150">
        <f>IF(A150="","",SUMIF(Donasi!$B$2:$B$20000,A150,Donasi!$C$2:$C$20000))</f>
        <v/>
      </c>
      <c r="E150">
        <f>IF(A150="","",6-CEILING(PERCENTRANK.INC($B$3:$B$6000,B150,4)*5+0.000001,1))</f>
        <v/>
      </c>
      <c r="F150">
        <f>IF(A150="","",MAX(1,CEILING(PERCENTRANK.INC($C$3:$C$6000,C150,4)*5+0.000001,1)))</f>
        <v/>
      </c>
      <c r="G150">
        <f>IF(A150="","",MAX(1,CEILING(PERCENTRANK.INC($D$3:$D$6000,D150,4)*5+0.000001,1)))</f>
        <v/>
      </c>
      <c r="H150">
        <f>IF(A150="","",E150&amp;F150&amp;G150)</f>
        <v/>
      </c>
      <c r="I150">
        <f>IF(A150="","",IF(AND(E150&gt;=4,F150&gt;=4,G150&gt;=4),"Juara",IF(AND(F150&gt;=4,E150&gt;=3),"Setia",IF(AND(E150=5,F150&lt;=2,G150&gt;=3),"Berpotensi",IF(AND(E150&lt;=3,E150&gt;=2,F150&gt;=3),"Rawan",IF(AND(E150&lt;=2,F150&lt;=2),"Tidur","Umum"))))))</f>
        <v/>
      </c>
    </row>
    <row r="151">
      <c r="B151">
        <f>IF(A151="","",$B$1-MAXIFS(Donasi!$A$2:$A$20000,Donasi!$B$2:$B$20000,A151))</f>
        <v/>
      </c>
      <c r="C151">
        <f>IF(A151="","",COUNTIF(Donasi!$B$2:$B$20000,A151))</f>
        <v/>
      </c>
      <c r="D151">
        <f>IF(A151="","",SUMIF(Donasi!$B$2:$B$20000,A151,Donasi!$C$2:$C$20000))</f>
        <v/>
      </c>
      <c r="E151">
        <f>IF(A151="","",6-CEILING(PERCENTRANK.INC($B$3:$B$6000,B151,4)*5+0.000001,1))</f>
        <v/>
      </c>
      <c r="F151">
        <f>IF(A151="","",MAX(1,CEILING(PERCENTRANK.INC($C$3:$C$6000,C151,4)*5+0.000001,1)))</f>
        <v/>
      </c>
      <c r="G151">
        <f>IF(A151="","",MAX(1,CEILING(PERCENTRANK.INC($D$3:$D$6000,D151,4)*5+0.000001,1)))</f>
        <v/>
      </c>
      <c r="H151">
        <f>IF(A151="","",E151&amp;F151&amp;G151)</f>
        <v/>
      </c>
      <c r="I151">
        <f>IF(A151="","",IF(AND(E151&gt;=4,F151&gt;=4,G151&gt;=4),"Juara",IF(AND(F151&gt;=4,E151&gt;=3),"Setia",IF(AND(E151=5,F151&lt;=2,G151&gt;=3),"Berpotensi",IF(AND(E151&lt;=3,E151&gt;=2,F151&gt;=3),"Rawan",IF(AND(E151&lt;=2,F151&lt;=2),"Tidur","Umum"))))))</f>
        <v/>
      </c>
    </row>
    <row r="152">
      <c r="B152">
        <f>IF(A152="","",$B$1-MAXIFS(Donasi!$A$2:$A$20000,Donasi!$B$2:$B$20000,A152))</f>
        <v/>
      </c>
      <c r="C152">
        <f>IF(A152="","",COUNTIF(Donasi!$B$2:$B$20000,A152))</f>
        <v/>
      </c>
      <c r="D152">
        <f>IF(A152="","",SUMIF(Donasi!$B$2:$B$20000,A152,Donasi!$C$2:$C$20000))</f>
        <v/>
      </c>
      <c r="E152">
        <f>IF(A152="","",6-CEILING(PERCENTRANK.INC($B$3:$B$6000,B152,4)*5+0.000001,1))</f>
        <v/>
      </c>
      <c r="F152">
        <f>IF(A152="","",MAX(1,CEILING(PERCENTRANK.INC($C$3:$C$6000,C152,4)*5+0.000001,1)))</f>
        <v/>
      </c>
      <c r="G152">
        <f>IF(A152="","",MAX(1,CEILING(PERCENTRANK.INC($D$3:$D$6000,D152,4)*5+0.000001,1)))</f>
        <v/>
      </c>
      <c r="H152">
        <f>IF(A152="","",E152&amp;F152&amp;G152)</f>
        <v/>
      </c>
      <c r="I152">
        <f>IF(A152="","",IF(AND(E152&gt;=4,F152&gt;=4,G152&gt;=4),"Juara",IF(AND(F152&gt;=4,E152&gt;=3),"Setia",IF(AND(E152=5,F152&lt;=2,G152&gt;=3),"Berpotensi",IF(AND(E152&lt;=3,E152&gt;=2,F152&gt;=3),"Rawan",IF(AND(E152&lt;=2,F152&lt;=2),"Tidur","Umum"))))))</f>
        <v/>
      </c>
    </row>
    <row r="153">
      <c r="B153">
        <f>IF(A153="","",$B$1-MAXIFS(Donasi!$A$2:$A$20000,Donasi!$B$2:$B$20000,A153))</f>
        <v/>
      </c>
      <c r="C153">
        <f>IF(A153="","",COUNTIF(Donasi!$B$2:$B$20000,A153))</f>
        <v/>
      </c>
      <c r="D153">
        <f>IF(A153="","",SUMIF(Donasi!$B$2:$B$20000,A153,Donasi!$C$2:$C$20000))</f>
        <v/>
      </c>
      <c r="E153">
        <f>IF(A153="","",6-CEILING(PERCENTRANK.INC($B$3:$B$6000,B153,4)*5+0.000001,1))</f>
        <v/>
      </c>
      <c r="F153">
        <f>IF(A153="","",MAX(1,CEILING(PERCENTRANK.INC($C$3:$C$6000,C153,4)*5+0.000001,1)))</f>
        <v/>
      </c>
      <c r="G153">
        <f>IF(A153="","",MAX(1,CEILING(PERCENTRANK.INC($D$3:$D$6000,D153,4)*5+0.000001,1)))</f>
        <v/>
      </c>
      <c r="H153">
        <f>IF(A153="","",E153&amp;F153&amp;G153)</f>
        <v/>
      </c>
      <c r="I153">
        <f>IF(A153="","",IF(AND(E153&gt;=4,F153&gt;=4,G153&gt;=4),"Juara",IF(AND(F153&gt;=4,E153&gt;=3),"Setia",IF(AND(E153=5,F153&lt;=2,G153&gt;=3),"Berpotensi",IF(AND(E153&lt;=3,E153&gt;=2,F153&gt;=3),"Rawan",IF(AND(E153&lt;=2,F153&lt;=2),"Tidur","Umum"))))))</f>
        <v/>
      </c>
    </row>
    <row r="154">
      <c r="B154">
        <f>IF(A154="","",$B$1-MAXIFS(Donasi!$A$2:$A$20000,Donasi!$B$2:$B$20000,A154))</f>
        <v/>
      </c>
      <c r="C154">
        <f>IF(A154="","",COUNTIF(Donasi!$B$2:$B$20000,A154))</f>
        <v/>
      </c>
      <c r="D154">
        <f>IF(A154="","",SUMIF(Donasi!$B$2:$B$20000,A154,Donasi!$C$2:$C$20000))</f>
        <v/>
      </c>
      <c r="E154">
        <f>IF(A154="","",6-CEILING(PERCENTRANK.INC($B$3:$B$6000,B154,4)*5+0.000001,1))</f>
        <v/>
      </c>
      <c r="F154">
        <f>IF(A154="","",MAX(1,CEILING(PERCENTRANK.INC($C$3:$C$6000,C154,4)*5+0.000001,1)))</f>
        <v/>
      </c>
      <c r="G154">
        <f>IF(A154="","",MAX(1,CEILING(PERCENTRANK.INC($D$3:$D$6000,D154,4)*5+0.000001,1)))</f>
        <v/>
      </c>
      <c r="H154">
        <f>IF(A154="","",E154&amp;F154&amp;G154)</f>
        <v/>
      </c>
      <c r="I154">
        <f>IF(A154="","",IF(AND(E154&gt;=4,F154&gt;=4,G154&gt;=4),"Juara",IF(AND(F154&gt;=4,E154&gt;=3),"Setia",IF(AND(E154=5,F154&lt;=2,G154&gt;=3),"Berpotensi",IF(AND(E154&lt;=3,E154&gt;=2,F154&gt;=3),"Rawan",IF(AND(E154&lt;=2,F154&lt;=2),"Tidur","Umum"))))))</f>
        <v/>
      </c>
    </row>
    <row r="155">
      <c r="B155">
        <f>IF(A155="","",$B$1-MAXIFS(Donasi!$A$2:$A$20000,Donasi!$B$2:$B$20000,A155))</f>
        <v/>
      </c>
      <c r="C155">
        <f>IF(A155="","",COUNTIF(Donasi!$B$2:$B$20000,A155))</f>
        <v/>
      </c>
      <c r="D155">
        <f>IF(A155="","",SUMIF(Donasi!$B$2:$B$20000,A155,Donasi!$C$2:$C$20000))</f>
        <v/>
      </c>
      <c r="E155">
        <f>IF(A155="","",6-CEILING(PERCENTRANK.INC($B$3:$B$6000,B155,4)*5+0.000001,1))</f>
        <v/>
      </c>
      <c r="F155">
        <f>IF(A155="","",MAX(1,CEILING(PERCENTRANK.INC($C$3:$C$6000,C155,4)*5+0.000001,1)))</f>
        <v/>
      </c>
      <c r="G155">
        <f>IF(A155="","",MAX(1,CEILING(PERCENTRANK.INC($D$3:$D$6000,D155,4)*5+0.000001,1)))</f>
        <v/>
      </c>
      <c r="H155">
        <f>IF(A155="","",E155&amp;F155&amp;G155)</f>
        <v/>
      </c>
      <c r="I155">
        <f>IF(A155="","",IF(AND(E155&gt;=4,F155&gt;=4,G155&gt;=4),"Juara",IF(AND(F155&gt;=4,E155&gt;=3),"Setia",IF(AND(E155=5,F155&lt;=2,G155&gt;=3),"Berpotensi",IF(AND(E155&lt;=3,E155&gt;=2,F155&gt;=3),"Rawan",IF(AND(E155&lt;=2,F155&lt;=2),"Tidur","Umum"))))))</f>
        <v/>
      </c>
    </row>
    <row r="156">
      <c r="B156">
        <f>IF(A156="","",$B$1-MAXIFS(Donasi!$A$2:$A$20000,Donasi!$B$2:$B$20000,A156))</f>
        <v/>
      </c>
      <c r="C156">
        <f>IF(A156="","",COUNTIF(Donasi!$B$2:$B$20000,A156))</f>
        <v/>
      </c>
      <c r="D156">
        <f>IF(A156="","",SUMIF(Donasi!$B$2:$B$20000,A156,Donasi!$C$2:$C$20000))</f>
        <v/>
      </c>
      <c r="E156">
        <f>IF(A156="","",6-CEILING(PERCENTRANK.INC($B$3:$B$6000,B156,4)*5+0.000001,1))</f>
        <v/>
      </c>
      <c r="F156">
        <f>IF(A156="","",MAX(1,CEILING(PERCENTRANK.INC($C$3:$C$6000,C156,4)*5+0.000001,1)))</f>
        <v/>
      </c>
      <c r="G156">
        <f>IF(A156="","",MAX(1,CEILING(PERCENTRANK.INC($D$3:$D$6000,D156,4)*5+0.000001,1)))</f>
        <v/>
      </c>
      <c r="H156">
        <f>IF(A156="","",E156&amp;F156&amp;G156)</f>
        <v/>
      </c>
      <c r="I156">
        <f>IF(A156="","",IF(AND(E156&gt;=4,F156&gt;=4,G156&gt;=4),"Juara",IF(AND(F156&gt;=4,E156&gt;=3),"Setia",IF(AND(E156=5,F156&lt;=2,G156&gt;=3),"Berpotensi",IF(AND(E156&lt;=3,E156&gt;=2,F156&gt;=3),"Rawan",IF(AND(E156&lt;=2,F156&lt;=2),"Tidur","Umum"))))))</f>
        <v/>
      </c>
    </row>
    <row r="157">
      <c r="B157">
        <f>IF(A157="","",$B$1-MAXIFS(Donasi!$A$2:$A$20000,Donasi!$B$2:$B$20000,A157))</f>
        <v/>
      </c>
      <c r="C157">
        <f>IF(A157="","",COUNTIF(Donasi!$B$2:$B$20000,A157))</f>
        <v/>
      </c>
      <c r="D157">
        <f>IF(A157="","",SUMIF(Donasi!$B$2:$B$20000,A157,Donasi!$C$2:$C$20000))</f>
        <v/>
      </c>
      <c r="E157">
        <f>IF(A157="","",6-CEILING(PERCENTRANK.INC($B$3:$B$6000,B157,4)*5+0.000001,1))</f>
        <v/>
      </c>
      <c r="F157">
        <f>IF(A157="","",MAX(1,CEILING(PERCENTRANK.INC($C$3:$C$6000,C157,4)*5+0.000001,1)))</f>
        <v/>
      </c>
      <c r="G157">
        <f>IF(A157="","",MAX(1,CEILING(PERCENTRANK.INC($D$3:$D$6000,D157,4)*5+0.000001,1)))</f>
        <v/>
      </c>
      <c r="H157">
        <f>IF(A157="","",E157&amp;F157&amp;G157)</f>
        <v/>
      </c>
      <c r="I157">
        <f>IF(A157="","",IF(AND(E157&gt;=4,F157&gt;=4,G157&gt;=4),"Juara",IF(AND(F157&gt;=4,E157&gt;=3),"Setia",IF(AND(E157=5,F157&lt;=2,G157&gt;=3),"Berpotensi",IF(AND(E157&lt;=3,E157&gt;=2,F157&gt;=3),"Rawan",IF(AND(E157&lt;=2,F157&lt;=2),"Tidur","Umum"))))))</f>
        <v/>
      </c>
    </row>
    <row r="158">
      <c r="B158">
        <f>IF(A158="","",$B$1-MAXIFS(Donasi!$A$2:$A$20000,Donasi!$B$2:$B$20000,A158))</f>
        <v/>
      </c>
      <c r="C158">
        <f>IF(A158="","",COUNTIF(Donasi!$B$2:$B$20000,A158))</f>
        <v/>
      </c>
      <c r="D158">
        <f>IF(A158="","",SUMIF(Donasi!$B$2:$B$20000,A158,Donasi!$C$2:$C$20000))</f>
        <v/>
      </c>
      <c r="E158">
        <f>IF(A158="","",6-CEILING(PERCENTRANK.INC($B$3:$B$6000,B158,4)*5+0.000001,1))</f>
        <v/>
      </c>
      <c r="F158">
        <f>IF(A158="","",MAX(1,CEILING(PERCENTRANK.INC($C$3:$C$6000,C158,4)*5+0.000001,1)))</f>
        <v/>
      </c>
      <c r="G158">
        <f>IF(A158="","",MAX(1,CEILING(PERCENTRANK.INC($D$3:$D$6000,D158,4)*5+0.000001,1)))</f>
        <v/>
      </c>
      <c r="H158">
        <f>IF(A158="","",E158&amp;F158&amp;G158)</f>
        <v/>
      </c>
      <c r="I158">
        <f>IF(A158="","",IF(AND(E158&gt;=4,F158&gt;=4,G158&gt;=4),"Juara",IF(AND(F158&gt;=4,E158&gt;=3),"Setia",IF(AND(E158=5,F158&lt;=2,G158&gt;=3),"Berpotensi",IF(AND(E158&lt;=3,E158&gt;=2,F158&gt;=3),"Rawan",IF(AND(E158&lt;=2,F158&lt;=2),"Tidur","Umum"))))))</f>
        <v/>
      </c>
    </row>
    <row r="159">
      <c r="B159">
        <f>IF(A159="","",$B$1-MAXIFS(Donasi!$A$2:$A$20000,Donasi!$B$2:$B$20000,A159))</f>
        <v/>
      </c>
      <c r="C159">
        <f>IF(A159="","",COUNTIF(Donasi!$B$2:$B$20000,A159))</f>
        <v/>
      </c>
      <c r="D159">
        <f>IF(A159="","",SUMIF(Donasi!$B$2:$B$20000,A159,Donasi!$C$2:$C$20000))</f>
        <v/>
      </c>
      <c r="E159">
        <f>IF(A159="","",6-CEILING(PERCENTRANK.INC($B$3:$B$6000,B159,4)*5+0.000001,1))</f>
        <v/>
      </c>
      <c r="F159">
        <f>IF(A159="","",MAX(1,CEILING(PERCENTRANK.INC($C$3:$C$6000,C159,4)*5+0.000001,1)))</f>
        <v/>
      </c>
      <c r="G159">
        <f>IF(A159="","",MAX(1,CEILING(PERCENTRANK.INC($D$3:$D$6000,D159,4)*5+0.000001,1)))</f>
        <v/>
      </c>
      <c r="H159">
        <f>IF(A159="","",E159&amp;F159&amp;G159)</f>
        <v/>
      </c>
      <c r="I159">
        <f>IF(A159="","",IF(AND(E159&gt;=4,F159&gt;=4,G159&gt;=4),"Juara",IF(AND(F159&gt;=4,E159&gt;=3),"Setia",IF(AND(E159=5,F159&lt;=2,G159&gt;=3),"Berpotensi",IF(AND(E159&lt;=3,E159&gt;=2,F159&gt;=3),"Rawan",IF(AND(E159&lt;=2,F159&lt;=2),"Tidur","Umum"))))))</f>
        <v/>
      </c>
    </row>
    <row r="160">
      <c r="B160">
        <f>IF(A160="","",$B$1-MAXIFS(Donasi!$A$2:$A$20000,Donasi!$B$2:$B$20000,A160))</f>
        <v/>
      </c>
      <c r="C160">
        <f>IF(A160="","",COUNTIF(Donasi!$B$2:$B$20000,A160))</f>
        <v/>
      </c>
      <c r="D160">
        <f>IF(A160="","",SUMIF(Donasi!$B$2:$B$20000,A160,Donasi!$C$2:$C$20000))</f>
        <v/>
      </c>
      <c r="E160">
        <f>IF(A160="","",6-CEILING(PERCENTRANK.INC($B$3:$B$6000,B160,4)*5+0.000001,1))</f>
        <v/>
      </c>
      <c r="F160">
        <f>IF(A160="","",MAX(1,CEILING(PERCENTRANK.INC($C$3:$C$6000,C160,4)*5+0.000001,1)))</f>
        <v/>
      </c>
      <c r="G160">
        <f>IF(A160="","",MAX(1,CEILING(PERCENTRANK.INC($D$3:$D$6000,D160,4)*5+0.000001,1)))</f>
        <v/>
      </c>
      <c r="H160">
        <f>IF(A160="","",E160&amp;F160&amp;G160)</f>
        <v/>
      </c>
      <c r="I160">
        <f>IF(A160="","",IF(AND(E160&gt;=4,F160&gt;=4,G160&gt;=4),"Juara",IF(AND(F160&gt;=4,E160&gt;=3),"Setia",IF(AND(E160=5,F160&lt;=2,G160&gt;=3),"Berpotensi",IF(AND(E160&lt;=3,E160&gt;=2,F160&gt;=3),"Rawan",IF(AND(E160&lt;=2,F160&lt;=2),"Tidur","Umum"))))))</f>
        <v/>
      </c>
    </row>
    <row r="161">
      <c r="B161">
        <f>IF(A161="","",$B$1-MAXIFS(Donasi!$A$2:$A$20000,Donasi!$B$2:$B$20000,A161))</f>
        <v/>
      </c>
      <c r="C161">
        <f>IF(A161="","",COUNTIF(Donasi!$B$2:$B$20000,A161))</f>
        <v/>
      </c>
      <c r="D161">
        <f>IF(A161="","",SUMIF(Donasi!$B$2:$B$20000,A161,Donasi!$C$2:$C$20000))</f>
        <v/>
      </c>
      <c r="E161">
        <f>IF(A161="","",6-CEILING(PERCENTRANK.INC($B$3:$B$6000,B161,4)*5+0.000001,1))</f>
        <v/>
      </c>
      <c r="F161">
        <f>IF(A161="","",MAX(1,CEILING(PERCENTRANK.INC($C$3:$C$6000,C161,4)*5+0.000001,1)))</f>
        <v/>
      </c>
      <c r="G161">
        <f>IF(A161="","",MAX(1,CEILING(PERCENTRANK.INC($D$3:$D$6000,D161,4)*5+0.000001,1)))</f>
        <v/>
      </c>
      <c r="H161">
        <f>IF(A161="","",E161&amp;F161&amp;G161)</f>
        <v/>
      </c>
      <c r="I161">
        <f>IF(A161="","",IF(AND(E161&gt;=4,F161&gt;=4,G161&gt;=4),"Juara",IF(AND(F161&gt;=4,E161&gt;=3),"Setia",IF(AND(E161=5,F161&lt;=2,G161&gt;=3),"Berpotensi",IF(AND(E161&lt;=3,E161&gt;=2,F161&gt;=3),"Rawan",IF(AND(E161&lt;=2,F161&lt;=2),"Tidur","Umum"))))))</f>
        <v/>
      </c>
    </row>
    <row r="162">
      <c r="B162">
        <f>IF(A162="","",$B$1-MAXIFS(Donasi!$A$2:$A$20000,Donasi!$B$2:$B$20000,A162))</f>
        <v/>
      </c>
      <c r="C162">
        <f>IF(A162="","",COUNTIF(Donasi!$B$2:$B$20000,A162))</f>
        <v/>
      </c>
      <c r="D162">
        <f>IF(A162="","",SUMIF(Donasi!$B$2:$B$20000,A162,Donasi!$C$2:$C$20000))</f>
        <v/>
      </c>
      <c r="E162">
        <f>IF(A162="","",6-CEILING(PERCENTRANK.INC($B$3:$B$6000,B162,4)*5+0.000001,1))</f>
        <v/>
      </c>
      <c r="F162">
        <f>IF(A162="","",MAX(1,CEILING(PERCENTRANK.INC($C$3:$C$6000,C162,4)*5+0.000001,1)))</f>
        <v/>
      </c>
      <c r="G162">
        <f>IF(A162="","",MAX(1,CEILING(PERCENTRANK.INC($D$3:$D$6000,D162,4)*5+0.000001,1)))</f>
        <v/>
      </c>
      <c r="H162">
        <f>IF(A162="","",E162&amp;F162&amp;G162)</f>
        <v/>
      </c>
      <c r="I162">
        <f>IF(A162="","",IF(AND(E162&gt;=4,F162&gt;=4,G162&gt;=4),"Juara",IF(AND(F162&gt;=4,E162&gt;=3),"Setia",IF(AND(E162=5,F162&lt;=2,G162&gt;=3),"Berpotensi",IF(AND(E162&lt;=3,E162&gt;=2,F162&gt;=3),"Rawan",IF(AND(E162&lt;=2,F162&lt;=2),"Tidur","Umum"))))))</f>
        <v/>
      </c>
    </row>
    <row r="163">
      <c r="B163">
        <f>IF(A163="","",$B$1-MAXIFS(Donasi!$A$2:$A$20000,Donasi!$B$2:$B$20000,A163))</f>
        <v/>
      </c>
      <c r="C163">
        <f>IF(A163="","",COUNTIF(Donasi!$B$2:$B$20000,A163))</f>
        <v/>
      </c>
      <c r="D163">
        <f>IF(A163="","",SUMIF(Donasi!$B$2:$B$20000,A163,Donasi!$C$2:$C$20000))</f>
        <v/>
      </c>
      <c r="E163">
        <f>IF(A163="","",6-CEILING(PERCENTRANK.INC($B$3:$B$6000,B163,4)*5+0.000001,1))</f>
        <v/>
      </c>
      <c r="F163">
        <f>IF(A163="","",MAX(1,CEILING(PERCENTRANK.INC($C$3:$C$6000,C163,4)*5+0.000001,1)))</f>
        <v/>
      </c>
      <c r="G163">
        <f>IF(A163="","",MAX(1,CEILING(PERCENTRANK.INC($D$3:$D$6000,D163,4)*5+0.000001,1)))</f>
        <v/>
      </c>
      <c r="H163">
        <f>IF(A163="","",E163&amp;F163&amp;G163)</f>
        <v/>
      </c>
      <c r="I163">
        <f>IF(A163="","",IF(AND(E163&gt;=4,F163&gt;=4,G163&gt;=4),"Juara",IF(AND(F163&gt;=4,E163&gt;=3),"Setia",IF(AND(E163=5,F163&lt;=2,G163&gt;=3),"Berpotensi",IF(AND(E163&lt;=3,E163&gt;=2,F163&gt;=3),"Rawan",IF(AND(E163&lt;=2,F163&lt;=2),"Tidur","Umum"))))))</f>
        <v/>
      </c>
    </row>
    <row r="164">
      <c r="B164">
        <f>IF(A164="","",$B$1-MAXIFS(Donasi!$A$2:$A$20000,Donasi!$B$2:$B$20000,A164))</f>
        <v/>
      </c>
      <c r="C164">
        <f>IF(A164="","",COUNTIF(Donasi!$B$2:$B$20000,A164))</f>
        <v/>
      </c>
      <c r="D164">
        <f>IF(A164="","",SUMIF(Donasi!$B$2:$B$20000,A164,Donasi!$C$2:$C$20000))</f>
        <v/>
      </c>
      <c r="E164">
        <f>IF(A164="","",6-CEILING(PERCENTRANK.INC($B$3:$B$6000,B164,4)*5+0.000001,1))</f>
        <v/>
      </c>
      <c r="F164">
        <f>IF(A164="","",MAX(1,CEILING(PERCENTRANK.INC($C$3:$C$6000,C164,4)*5+0.000001,1)))</f>
        <v/>
      </c>
      <c r="G164">
        <f>IF(A164="","",MAX(1,CEILING(PERCENTRANK.INC($D$3:$D$6000,D164,4)*5+0.000001,1)))</f>
        <v/>
      </c>
      <c r="H164">
        <f>IF(A164="","",E164&amp;F164&amp;G164)</f>
        <v/>
      </c>
      <c r="I164">
        <f>IF(A164="","",IF(AND(E164&gt;=4,F164&gt;=4,G164&gt;=4),"Juara",IF(AND(F164&gt;=4,E164&gt;=3),"Setia",IF(AND(E164=5,F164&lt;=2,G164&gt;=3),"Berpotensi",IF(AND(E164&lt;=3,E164&gt;=2,F164&gt;=3),"Rawan",IF(AND(E164&lt;=2,F164&lt;=2),"Tidur","Umum"))))))</f>
        <v/>
      </c>
    </row>
    <row r="165">
      <c r="B165">
        <f>IF(A165="","",$B$1-MAXIFS(Donasi!$A$2:$A$20000,Donasi!$B$2:$B$20000,A165))</f>
        <v/>
      </c>
      <c r="C165">
        <f>IF(A165="","",COUNTIF(Donasi!$B$2:$B$20000,A165))</f>
        <v/>
      </c>
      <c r="D165">
        <f>IF(A165="","",SUMIF(Donasi!$B$2:$B$20000,A165,Donasi!$C$2:$C$20000))</f>
        <v/>
      </c>
      <c r="E165">
        <f>IF(A165="","",6-CEILING(PERCENTRANK.INC($B$3:$B$6000,B165,4)*5+0.000001,1))</f>
        <v/>
      </c>
      <c r="F165">
        <f>IF(A165="","",MAX(1,CEILING(PERCENTRANK.INC($C$3:$C$6000,C165,4)*5+0.000001,1)))</f>
        <v/>
      </c>
      <c r="G165">
        <f>IF(A165="","",MAX(1,CEILING(PERCENTRANK.INC($D$3:$D$6000,D165,4)*5+0.000001,1)))</f>
        <v/>
      </c>
      <c r="H165">
        <f>IF(A165="","",E165&amp;F165&amp;G165)</f>
        <v/>
      </c>
      <c r="I165">
        <f>IF(A165="","",IF(AND(E165&gt;=4,F165&gt;=4,G165&gt;=4),"Juara",IF(AND(F165&gt;=4,E165&gt;=3),"Setia",IF(AND(E165=5,F165&lt;=2,G165&gt;=3),"Berpotensi",IF(AND(E165&lt;=3,E165&gt;=2,F165&gt;=3),"Rawan",IF(AND(E165&lt;=2,F165&lt;=2),"Tidur","Umum"))))))</f>
        <v/>
      </c>
    </row>
    <row r="166">
      <c r="B166">
        <f>IF(A166="","",$B$1-MAXIFS(Donasi!$A$2:$A$20000,Donasi!$B$2:$B$20000,A166))</f>
        <v/>
      </c>
      <c r="C166">
        <f>IF(A166="","",COUNTIF(Donasi!$B$2:$B$20000,A166))</f>
        <v/>
      </c>
      <c r="D166">
        <f>IF(A166="","",SUMIF(Donasi!$B$2:$B$20000,A166,Donasi!$C$2:$C$20000))</f>
        <v/>
      </c>
      <c r="E166">
        <f>IF(A166="","",6-CEILING(PERCENTRANK.INC($B$3:$B$6000,B166,4)*5+0.000001,1))</f>
        <v/>
      </c>
      <c r="F166">
        <f>IF(A166="","",MAX(1,CEILING(PERCENTRANK.INC($C$3:$C$6000,C166,4)*5+0.000001,1)))</f>
        <v/>
      </c>
      <c r="G166">
        <f>IF(A166="","",MAX(1,CEILING(PERCENTRANK.INC($D$3:$D$6000,D166,4)*5+0.000001,1)))</f>
        <v/>
      </c>
      <c r="H166">
        <f>IF(A166="","",E166&amp;F166&amp;G166)</f>
        <v/>
      </c>
      <c r="I166">
        <f>IF(A166="","",IF(AND(E166&gt;=4,F166&gt;=4,G166&gt;=4),"Juara",IF(AND(F166&gt;=4,E166&gt;=3),"Setia",IF(AND(E166=5,F166&lt;=2,G166&gt;=3),"Berpotensi",IF(AND(E166&lt;=3,E166&gt;=2,F166&gt;=3),"Rawan",IF(AND(E166&lt;=2,F166&lt;=2),"Tidur","Umum"))))))</f>
        <v/>
      </c>
    </row>
    <row r="167">
      <c r="B167">
        <f>IF(A167="","",$B$1-MAXIFS(Donasi!$A$2:$A$20000,Donasi!$B$2:$B$20000,A167))</f>
        <v/>
      </c>
      <c r="C167">
        <f>IF(A167="","",COUNTIF(Donasi!$B$2:$B$20000,A167))</f>
        <v/>
      </c>
      <c r="D167">
        <f>IF(A167="","",SUMIF(Donasi!$B$2:$B$20000,A167,Donasi!$C$2:$C$20000))</f>
        <v/>
      </c>
      <c r="E167">
        <f>IF(A167="","",6-CEILING(PERCENTRANK.INC($B$3:$B$6000,B167,4)*5+0.000001,1))</f>
        <v/>
      </c>
      <c r="F167">
        <f>IF(A167="","",MAX(1,CEILING(PERCENTRANK.INC($C$3:$C$6000,C167,4)*5+0.000001,1)))</f>
        <v/>
      </c>
      <c r="G167">
        <f>IF(A167="","",MAX(1,CEILING(PERCENTRANK.INC($D$3:$D$6000,D167,4)*5+0.000001,1)))</f>
        <v/>
      </c>
      <c r="H167">
        <f>IF(A167="","",E167&amp;F167&amp;G167)</f>
        <v/>
      </c>
      <c r="I167">
        <f>IF(A167="","",IF(AND(E167&gt;=4,F167&gt;=4,G167&gt;=4),"Juara",IF(AND(F167&gt;=4,E167&gt;=3),"Setia",IF(AND(E167=5,F167&lt;=2,G167&gt;=3),"Berpotensi",IF(AND(E167&lt;=3,E167&gt;=2,F167&gt;=3),"Rawan",IF(AND(E167&lt;=2,F167&lt;=2),"Tidur","Umum"))))))</f>
        <v/>
      </c>
    </row>
    <row r="168">
      <c r="B168">
        <f>IF(A168="","",$B$1-MAXIFS(Donasi!$A$2:$A$20000,Donasi!$B$2:$B$20000,A168))</f>
        <v/>
      </c>
      <c r="C168">
        <f>IF(A168="","",COUNTIF(Donasi!$B$2:$B$20000,A168))</f>
        <v/>
      </c>
      <c r="D168">
        <f>IF(A168="","",SUMIF(Donasi!$B$2:$B$20000,A168,Donasi!$C$2:$C$20000))</f>
        <v/>
      </c>
      <c r="E168">
        <f>IF(A168="","",6-CEILING(PERCENTRANK.INC($B$3:$B$6000,B168,4)*5+0.000001,1))</f>
        <v/>
      </c>
      <c r="F168">
        <f>IF(A168="","",MAX(1,CEILING(PERCENTRANK.INC($C$3:$C$6000,C168,4)*5+0.000001,1)))</f>
        <v/>
      </c>
      <c r="G168">
        <f>IF(A168="","",MAX(1,CEILING(PERCENTRANK.INC($D$3:$D$6000,D168,4)*5+0.000001,1)))</f>
        <v/>
      </c>
      <c r="H168">
        <f>IF(A168="","",E168&amp;F168&amp;G168)</f>
        <v/>
      </c>
      <c r="I168">
        <f>IF(A168="","",IF(AND(E168&gt;=4,F168&gt;=4,G168&gt;=4),"Juara",IF(AND(F168&gt;=4,E168&gt;=3),"Setia",IF(AND(E168=5,F168&lt;=2,G168&gt;=3),"Berpotensi",IF(AND(E168&lt;=3,E168&gt;=2,F168&gt;=3),"Rawan",IF(AND(E168&lt;=2,F168&lt;=2),"Tidur","Umum"))))))</f>
        <v/>
      </c>
    </row>
    <row r="169">
      <c r="B169">
        <f>IF(A169="","",$B$1-MAXIFS(Donasi!$A$2:$A$20000,Donasi!$B$2:$B$20000,A169))</f>
        <v/>
      </c>
      <c r="C169">
        <f>IF(A169="","",COUNTIF(Donasi!$B$2:$B$20000,A169))</f>
        <v/>
      </c>
      <c r="D169">
        <f>IF(A169="","",SUMIF(Donasi!$B$2:$B$20000,A169,Donasi!$C$2:$C$20000))</f>
        <v/>
      </c>
      <c r="E169">
        <f>IF(A169="","",6-CEILING(PERCENTRANK.INC($B$3:$B$6000,B169,4)*5+0.000001,1))</f>
        <v/>
      </c>
      <c r="F169">
        <f>IF(A169="","",MAX(1,CEILING(PERCENTRANK.INC($C$3:$C$6000,C169,4)*5+0.000001,1)))</f>
        <v/>
      </c>
      <c r="G169">
        <f>IF(A169="","",MAX(1,CEILING(PERCENTRANK.INC($D$3:$D$6000,D169,4)*5+0.000001,1)))</f>
        <v/>
      </c>
      <c r="H169">
        <f>IF(A169="","",E169&amp;F169&amp;G169)</f>
        <v/>
      </c>
      <c r="I169">
        <f>IF(A169="","",IF(AND(E169&gt;=4,F169&gt;=4,G169&gt;=4),"Juara",IF(AND(F169&gt;=4,E169&gt;=3),"Setia",IF(AND(E169=5,F169&lt;=2,G169&gt;=3),"Berpotensi",IF(AND(E169&lt;=3,E169&gt;=2,F169&gt;=3),"Rawan",IF(AND(E169&lt;=2,F169&lt;=2),"Tidur","Umum"))))))</f>
        <v/>
      </c>
    </row>
    <row r="170">
      <c r="B170">
        <f>IF(A170="","",$B$1-MAXIFS(Donasi!$A$2:$A$20000,Donasi!$B$2:$B$20000,A170))</f>
        <v/>
      </c>
      <c r="C170">
        <f>IF(A170="","",COUNTIF(Donasi!$B$2:$B$20000,A170))</f>
        <v/>
      </c>
      <c r="D170">
        <f>IF(A170="","",SUMIF(Donasi!$B$2:$B$20000,A170,Donasi!$C$2:$C$20000))</f>
        <v/>
      </c>
      <c r="E170">
        <f>IF(A170="","",6-CEILING(PERCENTRANK.INC($B$3:$B$6000,B170,4)*5+0.000001,1))</f>
        <v/>
      </c>
      <c r="F170">
        <f>IF(A170="","",MAX(1,CEILING(PERCENTRANK.INC($C$3:$C$6000,C170,4)*5+0.000001,1)))</f>
        <v/>
      </c>
      <c r="G170">
        <f>IF(A170="","",MAX(1,CEILING(PERCENTRANK.INC($D$3:$D$6000,D170,4)*5+0.000001,1)))</f>
        <v/>
      </c>
      <c r="H170">
        <f>IF(A170="","",E170&amp;F170&amp;G170)</f>
        <v/>
      </c>
      <c r="I170">
        <f>IF(A170="","",IF(AND(E170&gt;=4,F170&gt;=4,G170&gt;=4),"Juara",IF(AND(F170&gt;=4,E170&gt;=3),"Setia",IF(AND(E170=5,F170&lt;=2,G170&gt;=3),"Berpotensi",IF(AND(E170&lt;=3,E170&gt;=2,F170&gt;=3),"Rawan",IF(AND(E170&lt;=2,F170&lt;=2),"Tidur","Umum"))))))</f>
        <v/>
      </c>
    </row>
    <row r="171">
      <c r="B171">
        <f>IF(A171="","",$B$1-MAXIFS(Donasi!$A$2:$A$20000,Donasi!$B$2:$B$20000,A171))</f>
        <v/>
      </c>
      <c r="C171">
        <f>IF(A171="","",COUNTIF(Donasi!$B$2:$B$20000,A171))</f>
        <v/>
      </c>
      <c r="D171">
        <f>IF(A171="","",SUMIF(Donasi!$B$2:$B$20000,A171,Donasi!$C$2:$C$20000))</f>
        <v/>
      </c>
      <c r="E171">
        <f>IF(A171="","",6-CEILING(PERCENTRANK.INC($B$3:$B$6000,B171,4)*5+0.000001,1))</f>
        <v/>
      </c>
      <c r="F171">
        <f>IF(A171="","",MAX(1,CEILING(PERCENTRANK.INC($C$3:$C$6000,C171,4)*5+0.000001,1)))</f>
        <v/>
      </c>
      <c r="G171">
        <f>IF(A171="","",MAX(1,CEILING(PERCENTRANK.INC($D$3:$D$6000,D171,4)*5+0.000001,1)))</f>
        <v/>
      </c>
      <c r="H171">
        <f>IF(A171="","",E171&amp;F171&amp;G171)</f>
        <v/>
      </c>
      <c r="I171">
        <f>IF(A171="","",IF(AND(E171&gt;=4,F171&gt;=4,G171&gt;=4),"Juara",IF(AND(F171&gt;=4,E171&gt;=3),"Setia",IF(AND(E171=5,F171&lt;=2,G171&gt;=3),"Berpotensi",IF(AND(E171&lt;=3,E171&gt;=2,F171&gt;=3),"Rawan",IF(AND(E171&lt;=2,F171&lt;=2),"Tidur","Umum"))))))</f>
        <v/>
      </c>
    </row>
    <row r="172">
      <c r="B172">
        <f>IF(A172="","",$B$1-MAXIFS(Donasi!$A$2:$A$20000,Donasi!$B$2:$B$20000,A172))</f>
        <v/>
      </c>
      <c r="C172">
        <f>IF(A172="","",COUNTIF(Donasi!$B$2:$B$20000,A172))</f>
        <v/>
      </c>
      <c r="D172">
        <f>IF(A172="","",SUMIF(Donasi!$B$2:$B$20000,A172,Donasi!$C$2:$C$20000))</f>
        <v/>
      </c>
      <c r="E172">
        <f>IF(A172="","",6-CEILING(PERCENTRANK.INC($B$3:$B$6000,B172,4)*5+0.000001,1))</f>
        <v/>
      </c>
      <c r="F172">
        <f>IF(A172="","",MAX(1,CEILING(PERCENTRANK.INC($C$3:$C$6000,C172,4)*5+0.000001,1)))</f>
        <v/>
      </c>
      <c r="G172">
        <f>IF(A172="","",MAX(1,CEILING(PERCENTRANK.INC($D$3:$D$6000,D172,4)*5+0.000001,1)))</f>
        <v/>
      </c>
      <c r="H172">
        <f>IF(A172="","",E172&amp;F172&amp;G172)</f>
        <v/>
      </c>
      <c r="I172">
        <f>IF(A172="","",IF(AND(E172&gt;=4,F172&gt;=4,G172&gt;=4),"Juara",IF(AND(F172&gt;=4,E172&gt;=3),"Setia",IF(AND(E172=5,F172&lt;=2,G172&gt;=3),"Berpotensi",IF(AND(E172&lt;=3,E172&gt;=2,F172&gt;=3),"Rawan",IF(AND(E172&lt;=2,F172&lt;=2),"Tidur","Umum"))))))</f>
        <v/>
      </c>
    </row>
    <row r="173">
      <c r="B173">
        <f>IF(A173="","",$B$1-MAXIFS(Donasi!$A$2:$A$20000,Donasi!$B$2:$B$20000,A173))</f>
        <v/>
      </c>
      <c r="C173">
        <f>IF(A173="","",COUNTIF(Donasi!$B$2:$B$20000,A173))</f>
        <v/>
      </c>
      <c r="D173">
        <f>IF(A173="","",SUMIF(Donasi!$B$2:$B$20000,A173,Donasi!$C$2:$C$20000))</f>
        <v/>
      </c>
      <c r="E173">
        <f>IF(A173="","",6-CEILING(PERCENTRANK.INC($B$3:$B$6000,B173,4)*5+0.000001,1))</f>
        <v/>
      </c>
      <c r="F173">
        <f>IF(A173="","",MAX(1,CEILING(PERCENTRANK.INC($C$3:$C$6000,C173,4)*5+0.000001,1)))</f>
        <v/>
      </c>
      <c r="G173">
        <f>IF(A173="","",MAX(1,CEILING(PERCENTRANK.INC($D$3:$D$6000,D173,4)*5+0.000001,1)))</f>
        <v/>
      </c>
      <c r="H173">
        <f>IF(A173="","",E173&amp;F173&amp;G173)</f>
        <v/>
      </c>
      <c r="I173">
        <f>IF(A173="","",IF(AND(E173&gt;=4,F173&gt;=4,G173&gt;=4),"Juara",IF(AND(F173&gt;=4,E173&gt;=3),"Setia",IF(AND(E173=5,F173&lt;=2,G173&gt;=3),"Berpotensi",IF(AND(E173&lt;=3,E173&gt;=2,F173&gt;=3),"Rawan",IF(AND(E173&lt;=2,F173&lt;=2),"Tidur","Umum"))))))</f>
        <v/>
      </c>
    </row>
    <row r="174">
      <c r="B174">
        <f>IF(A174="","",$B$1-MAXIFS(Donasi!$A$2:$A$20000,Donasi!$B$2:$B$20000,A174))</f>
        <v/>
      </c>
      <c r="C174">
        <f>IF(A174="","",COUNTIF(Donasi!$B$2:$B$20000,A174))</f>
        <v/>
      </c>
      <c r="D174">
        <f>IF(A174="","",SUMIF(Donasi!$B$2:$B$20000,A174,Donasi!$C$2:$C$20000))</f>
        <v/>
      </c>
      <c r="E174">
        <f>IF(A174="","",6-CEILING(PERCENTRANK.INC($B$3:$B$6000,B174,4)*5+0.000001,1))</f>
        <v/>
      </c>
      <c r="F174">
        <f>IF(A174="","",MAX(1,CEILING(PERCENTRANK.INC($C$3:$C$6000,C174,4)*5+0.000001,1)))</f>
        <v/>
      </c>
      <c r="G174">
        <f>IF(A174="","",MAX(1,CEILING(PERCENTRANK.INC($D$3:$D$6000,D174,4)*5+0.000001,1)))</f>
        <v/>
      </c>
      <c r="H174">
        <f>IF(A174="","",E174&amp;F174&amp;G174)</f>
        <v/>
      </c>
      <c r="I174">
        <f>IF(A174="","",IF(AND(E174&gt;=4,F174&gt;=4,G174&gt;=4),"Juara",IF(AND(F174&gt;=4,E174&gt;=3),"Setia",IF(AND(E174=5,F174&lt;=2,G174&gt;=3),"Berpotensi",IF(AND(E174&lt;=3,E174&gt;=2,F174&gt;=3),"Rawan",IF(AND(E174&lt;=2,F174&lt;=2),"Tidur","Umum"))))))</f>
        <v/>
      </c>
    </row>
    <row r="175">
      <c r="B175">
        <f>IF(A175="","",$B$1-MAXIFS(Donasi!$A$2:$A$20000,Donasi!$B$2:$B$20000,A175))</f>
        <v/>
      </c>
      <c r="C175">
        <f>IF(A175="","",COUNTIF(Donasi!$B$2:$B$20000,A175))</f>
        <v/>
      </c>
      <c r="D175">
        <f>IF(A175="","",SUMIF(Donasi!$B$2:$B$20000,A175,Donasi!$C$2:$C$20000))</f>
        <v/>
      </c>
      <c r="E175">
        <f>IF(A175="","",6-CEILING(PERCENTRANK.INC($B$3:$B$6000,B175,4)*5+0.000001,1))</f>
        <v/>
      </c>
      <c r="F175">
        <f>IF(A175="","",MAX(1,CEILING(PERCENTRANK.INC($C$3:$C$6000,C175,4)*5+0.000001,1)))</f>
        <v/>
      </c>
      <c r="G175">
        <f>IF(A175="","",MAX(1,CEILING(PERCENTRANK.INC($D$3:$D$6000,D175,4)*5+0.000001,1)))</f>
        <v/>
      </c>
      <c r="H175">
        <f>IF(A175="","",E175&amp;F175&amp;G175)</f>
        <v/>
      </c>
      <c r="I175">
        <f>IF(A175="","",IF(AND(E175&gt;=4,F175&gt;=4,G175&gt;=4),"Juara",IF(AND(F175&gt;=4,E175&gt;=3),"Setia",IF(AND(E175=5,F175&lt;=2,G175&gt;=3),"Berpotensi",IF(AND(E175&lt;=3,E175&gt;=2,F175&gt;=3),"Rawan",IF(AND(E175&lt;=2,F175&lt;=2),"Tidur","Umum"))))))</f>
        <v/>
      </c>
    </row>
    <row r="176">
      <c r="B176">
        <f>IF(A176="","",$B$1-MAXIFS(Donasi!$A$2:$A$20000,Donasi!$B$2:$B$20000,A176))</f>
        <v/>
      </c>
      <c r="C176">
        <f>IF(A176="","",COUNTIF(Donasi!$B$2:$B$20000,A176))</f>
        <v/>
      </c>
      <c r="D176">
        <f>IF(A176="","",SUMIF(Donasi!$B$2:$B$20000,A176,Donasi!$C$2:$C$20000))</f>
        <v/>
      </c>
      <c r="E176">
        <f>IF(A176="","",6-CEILING(PERCENTRANK.INC($B$3:$B$6000,B176,4)*5+0.000001,1))</f>
        <v/>
      </c>
      <c r="F176">
        <f>IF(A176="","",MAX(1,CEILING(PERCENTRANK.INC($C$3:$C$6000,C176,4)*5+0.000001,1)))</f>
        <v/>
      </c>
      <c r="G176">
        <f>IF(A176="","",MAX(1,CEILING(PERCENTRANK.INC($D$3:$D$6000,D176,4)*5+0.000001,1)))</f>
        <v/>
      </c>
      <c r="H176">
        <f>IF(A176="","",E176&amp;F176&amp;G176)</f>
        <v/>
      </c>
      <c r="I176">
        <f>IF(A176="","",IF(AND(E176&gt;=4,F176&gt;=4,G176&gt;=4),"Juara",IF(AND(F176&gt;=4,E176&gt;=3),"Setia",IF(AND(E176=5,F176&lt;=2,G176&gt;=3),"Berpotensi",IF(AND(E176&lt;=3,E176&gt;=2,F176&gt;=3),"Rawan",IF(AND(E176&lt;=2,F176&lt;=2),"Tidur","Umum"))))))</f>
        <v/>
      </c>
    </row>
    <row r="177">
      <c r="B177">
        <f>IF(A177="","",$B$1-MAXIFS(Donasi!$A$2:$A$20000,Donasi!$B$2:$B$20000,A177))</f>
        <v/>
      </c>
      <c r="C177">
        <f>IF(A177="","",COUNTIF(Donasi!$B$2:$B$20000,A177))</f>
        <v/>
      </c>
      <c r="D177">
        <f>IF(A177="","",SUMIF(Donasi!$B$2:$B$20000,A177,Donasi!$C$2:$C$20000))</f>
        <v/>
      </c>
      <c r="E177">
        <f>IF(A177="","",6-CEILING(PERCENTRANK.INC($B$3:$B$6000,B177,4)*5+0.000001,1))</f>
        <v/>
      </c>
      <c r="F177">
        <f>IF(A177="","",MAX(1,CEILING(PERCENTRANK.INC($C$3:$C$6000,C177,4)*5+0.000001,1)))</f>
        <v/>
      </c>
      <c r="G177">
        <f>IF(A177="","",MAX(1,CEILING(PERCENTRANK.INC($D$3:$D$6000,D177,4)*5+0.000001,1)))</f>
        <v/>
      </c>
      <c r="H177">
        <f>IF(A177="","",E177&amp;F177&amp;G177)</f>
        <v/>
      </c>
      <c r="I177">
        <f>IF(A177="","",IF(AND(E177&gt;=4,F177&gt;=4,G177&gt;=4),"Juara",IF(AND(F177&gt;=4,E177&gt;=3),"Setia",IF(AND(E177=5,F177&lt;=2,G177&gt;=3),"Berpotensi",IF(AND(E177&lt;=3,E177&gt;=2,F177&gt;=3),"Rawan",IF(AND(E177&lt;=2,F177&lt;=2),"Tidur","Umum"))))))</f>
        <v/>
      </c>
    </row>
    <row r="178">
      <c r="B178">
        <f>IF(A178="","",$B$1-MAXIFS(Donasi!$A$2:$A$20000,Donasi!$B$2:$B$20000,A178))</f>
        <v/>
      </c>
      <c r="C178">
        <f>IF(A178="","",COUNTIF(Donasi!$B$2:$B$20000,A178))</f>
        <v/>
      </c>
      <c r="D178">
        <f>IF(A178="","",SUMIF(Donasi!$B$2:$B$20000,A178,Donasi!$C$2:$C$20000))</f>
        <v/>
      </c>
      <c r="E178">
        <f>IF(A178="","",6-CEILING(PERCENTRANK.INC($B$3:$B$6000,B178,4)*5+0.000001,1))</f>
        <v/>
      </c>
      <c r="F178">
        <f>IF(A178="","",MAX(1,CEILING(PERCENTRANK.INC($C$3:$C$6000,C178,4)*5+0.000001,1)))</f>
        <v/>
      </c>
      <c r="G178">
        <f>IF(A178="","",MAX(1,CEILING(PERCENTRANK.INC($D$3:$D$6000,D178,4)*5+0.000001,1)))</f>
        <v/>
      </c>
      <c r="H178">
        <f>IF(A178="","",E178&amp;F178&amp;G178)</f>
        <v/>
      </c>
      <c r="I178">
        <f>IF(A178="","",IF(AND(E178&gt;=4,F178&gt;=4,G178&gt;=4),"Juara",IF(AND(F178&gt;=4,E178&gt;=3),"Setia",IF(AND(E178=5,F178&lt;=2,G178&gt;=3),"Berpotensi",IF(AND(E178&lt;=3,E178&gt;=2,F178&gt;=3),"Rawan",IF(AND(E178&lt;=2,F178&lt;=2),"Tidur","Umum"))))))</f>
        <v/>
      </c>
    </row>
    <row r="179">
      <c r="B179">
        <f>IF(A179="","",$B$1-MAXIFS(Donasi!$A$2:$A$20000,Donasi!$B$2:$B$20000,A179))</f>
        <v/>
      </c>
      <c r="C179">
        <f>IF(A179="","",COUNTIF(Donasi!$B$2:$B$20000,A179))</f>
        <v/>
      </c>
      <c r="D179">
        <f>IF(A179="","",SUMIF(Donasi!$B$2:$B$20000,A179,Donasi!$C$2:$C$20000))</f>
        <v/>
      </c>
      <c r="E179">
        <f>IF(A179="","",6-CEILING(PERCENTRANK.INC($B$3:$B$6000,B179,4)*5+0.000001,1))</f>
        <v/>
      </c>
      <c r="F179">
        <f>IF(A179="","",MAX(1,CEILING(PERCENTRANK.INC($C$3:$C$6000,C179,4)*5+0.000001,1)))</f>
        <v/>
      </c>
      <c r="G179">
        <f>IF(A179="","",MAX(1,CEILING(PERCENTRANK.INC($D$3:$D$6000,D179,4)*5+0.000001,1)))</f>
        <v/>
      </c>
      <c r="H179">
        <f>IF(A179="","",E179&amp;F179&amp;G179)</f>
        <v/>
      </c>
      <c r="I179">
        <f>IF(A179="","",IF(AND(E179&gt;=4,F179&gt;=4,G179&gt;=4),"Juara",IF(AND(F179&gt;=4,E179&gt;=3),"Setia",IF(AND(E179=5,F179&lt;=2,G179&gt;=3),"Berpotensi",IF(AND(E179&lt;=3,E179&gt;=2,F179&gt;=3),"Rawan",IF(AND(E179&lt;=2,F179&lt;=2),"Tidur","Umum"))))))</f>
        <v/>
      </c>
    </row>
    <row r="180">
      <c r="B180">
        <f>IF(A180="","",$B$1-MAXIFS(Donasi!$A$2:$A$20000,Donasi!$B$2:$B$20000,A180))</f>
        <v/>
      </c>
      <c r="C180">
        <f>IF(A180="","",COUNTIF(Donasi!$B$2:$B$20000,A180))</f>
        <v/>
      </c>
      <c r="D180">
        <f>IF(A180="","",SUMIF(Donasi!$B$2:$B$20000,A180,Donasi!$C$2:$C$20000))</f>
        <v/>
      </c>
      <c r="E180">
        <f>IF(A180="","",6-CEILING(PERCENTRANK.INC($B$3:$B$6000,B180,4)*5+0.000001,1))</f>
        <v/>
      </c>
      <c r="F180">
        <f>IF(A180="","",MAX(1,CEILING(PERCENTRANK.INC($C$3:$C$6000,C180,4)*5+0.000001,1)))</f>
        <v/>
      </c>
      <c r="G180">
        <f>IF(A180="","",MAX(1,CEILING(PERCENTRANK.INC($D$3:$D$6000,D180,4)*5+0.000001,1)))</f>
        <v/>
      </c>
      <c r="H180">
        <f>IF(A180="","",E180&amp;F180&amp;G180)</f>
        <v/>
      </c>
      <c r="I180">
        <f>IF(A180="","",IF(AND(E180&gt;=4,F180&gt;=4,G180&gt;=4),"Juara",IF(AND(F180&gt;=4,E180&gt;=3),"Setia",IF(AND(E180=5,F180&lt;=2,G180&gt;=3),"Berpotensi",IF(AND(E180&lt;=3,E180&gt;=2,F180&gt;=3),"Rawan",IF(AND(E180&lt;=2,F180&lt;=2),"Tidur","Umum"))))))</f>
        <v/>
      </c>
    </row>
    <row r="181">
      <c r="B181">
        <f>IF(A181="","",$B$1-MAXIFS(Donasi!$A$2:$A$20000,Donasi!$B$2:$B$20000,A181))</f>
        <v/>
      </c>
      <c r="C181">
        <f>IF(A181="","",COUNTIF(Donasi!$B$2:$B$20000,A181))</f>
        <v/>
      </c>
      <c r="D181">
        <f>IF(A181="","",SUMIF(Donasi!$B$2:$B$20000,A181,Donasi!$C$2:$C$20000))</f>
        <v/>
      </c>
      <c r="E181">
        <f>IF(A181="","",6-CEILING(PERCENTRANK.INC($B$3:$B$6000,B181,4)*5+0.000001,1))</f>
        <v/>
      </c>
      <c r="F181">
        <f>IF(A181="","",MAX(1,CEILING(PERCENTRANK.INC($C$3:$C$6000,C181,4)*5+0.000001,1)))</f>
        <v/>
      </c>
      <c r="G181">
        <f>IF(A181="","",MAX(1,CEILING(PERCENTRANK.INC($D$3:$D$6000,D181,4)*5+0.000001,1)))</f>
        <v/>
      </c>
      <c r="H181">
        <f>IF(A181="","",E181&amp;F181&amp;G181)</f>
        <v/>
      </c>
      <c r="I181">
        <f>IF(A181="","",IF(AND(E181&gt;=4,F181&gt;=4,G181&gt;=4),"Juara",IF(AND(F181&gt;=4,E181&gt;=3),"Setia",IF(AND(E181=5,F181&lt;=2,G181&gt;=3),"Berpotensi",IF(AND(E181&lt;=3,E181&gt;=2,F181&gt;=3),"Rawan",IF(AND(E181&lt;=2,F181&lt;=2),"Tidur","Umum"))))))</f>
        <v/>
      </c>
    </row>
    <row r="182">
      <c r="B182">
        <f>IF(A182="","",$B$1-MAXIFS(Donasi!$A$2:$A$20000,Donasi!$B$2:$B$20000,A182))</f>
        <v/>
      </c>
      <c r="C182">
        <f>IF(A182="","",COUNTIF(Donasi!$B$2:$B$20000,A182))</f>
        <v/>
      </c>
      <c r="D182">
        <f>IF(A182="","",SUMIF(Donasi!$B$2:$B$20000,A182,Donasi!$C$2:$C$20000))</f>
        <v/>
      </c>
      <c r="E182">
        <f>IF(A182="","",6-CEILING(PERCENTRANK.INC($B$3:$B$6000,B182,4)*5+0.000001,1))</f>
        <v/>
      </c>
      <c r="F182">
        <f>IF(A182="","",MAX(1,CEILING(PERCENTRANK.INC($C$3:$C$6000,C182,4)*5+0.000001,1)))</f>
        <v/>
      </c>
      <c r="G182">
        <f>IF(A182="","",MAX(1,CEILING(PERCENTRANK.INC($D$3:$D$6000,D182,4)*5+0.000001,1)))</f>
        <v/>
      </c>
      <c r="H182">
        <f>IF(A182="","",E182&amp;F182&amp;G182)</f>
        <v/>
      </c>
      <c r="I182">
        <f>IF(A182="","",IF(AND(E182&gt;=4,F182&gt;=4,G182&gt;=4),"Juara",IF(AND(F182&gt;=4,E182&gt;=3),"Setia",IF(AND(E182=5,F182&lt;=2,G182&gt;=3),"Berpotensi",IF(AND(E182&lt;=3,E182&gt;=2,F182&gt;=3),"Rawan",IF(AND(E182&lt;=2,F182&lt;=2),"Tidur","Umum"))))))</f>
        <v/>
      </c>
    </row>
    <row r="183">
      <c r="B183">
        <f>IF(A183="","",$B$1-MAXIFS(Donasi!$A$2:$A$20000,Donasi!$B$2:$B$20000,A183))</f>
        <v/>
      </c>
      <c r="C183">
        <f>IF(A183="","",COUNTIF(Donasi!$B$2:$B$20000,A183))</f>
        <v/>
      </c>
      <c r="D183">
        <f>IF(A183="","",SUMIF(Donasi!$B$2:$B$20000,A183,Donasi!$C$2:$C$20000))</f>
        <v/>
      </c>
      <c r="E183">
        <f>IF(A183="","",6-CEILING(PERCENTRANK.INC($B$3:$B$6000,B183,4)*5+0.000001,1))</f>
        <v/>
      </c>
      <c r="F183">
        <f>IF(A183="","",MAX(1,CEILING(PERCENTRANK.INC($C$3:$C$6000,C183,4)*5+0.000001,1)))</f>
        <v/>
      </c>
      <c r="G183">
        <f>IF(A183="","",MAX(1,CEILING(PERCENTRANK.INC($D$3:$D$6000,D183,4)*5+0.000001,1)))</f>
        <v/>
      </c>
      <c r="H183">
        <f>IF(A183="","",E183&amp;F183&amp;G183)</f>
        <v/>
      </c>
      <c r="I183">
        <f>IF(A183="","",IF(AND(E183&gt;=4,F183&gt;=4,G183&gt;=4),"Juara",IF(AND(F183&gt;=4,E183&gt;=3),"Setia",IF(AND(E183=5,F183&lt;=2,G183&gt;=3),"Berpotensi",IF(AND(E183&lt;=3,E183&gt;=2,F183&gt;=3),"Rawan",IF(AND(E183&lt;=2,F183&lt;=2),"Tidur","Umum"))))))</f>
        <v/>
      </c>
    </row>
    <row r="184">
      <c r="B184">
        <f>IF(A184="","",$B$1-MAXIFS(Donasi!$A$2:$A$20000,Donasi!$B$2:$B$20000,A184))</f>
        <v/>
      </c>
      <c r="C184">
        <f>IF(A184="","",COUNTIF(Donasi!$B$2:$B$20000,A184))</f>
        <v/>
      </c>
      <c r="D184">
        <f>IF(A184="","",SUMIF(Donasi!$B$2:$B$20000,A184,Donasi!$C$2:$C$20000))</f>
        <v/>
      </c>
      <c r="E184">
        <f>IF(A184="","",6-CEILING(PERCENTRANK.INC($B$3:$B$6000,B184,4)*5+0.000001,1))</f>
        <v/>
      </c>
      <c r="F184">
        <f>IF(A184="","",MAX(1,CEILING(PERCENTRANK.INC($C$3:$C$6000,C184,4)*5+0.000001,1)))</f>
        <v/>
      </c>
      <c r="G184">
        <f>IF(A184="","",MAX(1,CEILING(PERCENTRANK.INC($D$3:$D$6000,D184,4)*5+0.000001,1)))</f>
        <v/>
      </c>
      <c r="H184">
        <f>IF(A184="","",E184&amp;F184&amp;G184)</f>
        <v/>
      </c>
      <c r="I184">
        <f>IF(A184="","",IF(AND(E184&gt;=4,F184&gt;=4,G184&gt;=4),"Juara",IF(AND(F184&gt;=4,E184&gt;=3),"Setia",IF(AND(E184=5,F184&lt;=2,G184&gt;=3),"Berpotensi",IF(AND(E184&lt;=3,E184&gt;=2,F184&gt;=3),"Rawan",IF(AND(E184&lt;=2,F184&lt;=2),"Tidur","Umum"))))))</f>
        <v/>
      </c>
    </row>
    <row r="185">
      <c r="B185">
        <f>IF(A185="","",$B$1-MAXIFS(Donasi!$A$2:$A$20000,Donasi!$B$2:$B$20000,A185))</f>
        <v/>
      </c>
      <c r="C185">
        <f>IF(A185="","",COUNTIF(Donasi!$B$2:$B$20000,A185))</f>
        <v/>
      </c>
      <c r="D185">
        <f>IF(A185="","",SUMIF(Donasi!$B$2:$B$20000,A185,Donasi!$C$2:$C$20000))</f>
        <v/>
      </c>
      <c r="E185">
        <f>IF(A185="","",6-CEILING(PERCENTRANK.INC($B$3:$B$6000,B185,4)*5+0.000001,1))</f>
        <v/>
      </c>
      <c r="F185">
        <f>IF(A185="","",MAX(1,CEILING(PERCENTRANK.INC($C$3:$C$6000,C185,4)*5+0.000001,1)))</f>
        <v/>
      </c>
      <c r="G185">
        <f>IF(A185="","",MAX(1,CEILING(PERCENTRANK.INC($D$3:$D$6000,D185,4)*5+0.000001,1)))</f>
        <v/>
      </c>
      <c r="H185">
        <f>IF(A185="","",E185&amp;F185&amp;G185)</f>
        <v/>
      </c>
      <c r="I185">
        <f>IF(A185="","",IF(AND(E185&gt;=4,F185&gt;=4,G185&gt;=4),"Juara",IF(AND(F185&gt;=4,E185&gt;=3),"Setia",IF(AND(E185=5,F185&lt;=2,G185&gt;=3),"Berpotensi",IF(AND(E185&lt;=3,E185&gt;=2,F185&gt;=3),"Rawan",IF(AND(E185&lt;=2,F185&lt;=2),"Tidur","Umum"))))))</f>
        <v/>
      </c>
    </row>
    <row r="186">
      <c r="B186">
        <f>IF(A186="","",$B$1-MAXIFS(Donasi!$A$2:$A$20000,Donasi!$B$2:$B$20000,A186))</f>
        <v/>
      </c>
      <c r="C186">
        <f>IF(A186="","",COUNTIF(Donasi!$B$2:$B$20000,A186))</f>
        <v/>
      </c>
      <c r="D186">
        <f>IF(A186="","",SUMIF(Donasi!$B$2:$B$20000,A186,Donasi!$C$2:$C$20000))</f>
        <v/>
      </c>
      <c r="E186">
        <f>IF(A186="","",6-CEILING(PERCENTRANK.INC($B$3:$B$6000,B186,4)*5+0.000001,1))</f>
        <v/>
      </c>
      <c r="F186">
        <f>IF(A186="","",MAX(1,CEILING(PERCENTRANK.INC($C$3:$C$6000,C186,4)*5+0.000001,1)))</f>
        <v/>
      </c>
      <c r="G186">
        <f>IF(A186="","",MAX(1,CEILING(PERCENTRANK.INC($D$3:$D$6000,D186,4)*5+0.000001,1)))</f>
        <v/>
      </c>
      <c r="H186">
        <f>IF(A186="","",E186&amp;F186&amp;G186)</f>
        <v/>
      </c>
      <c r="I186">
        <f>IF(A186="","",IF(AND(E186&gt;=4,F186&gt;=4,G186&gt;=4),"Juara",IF(AND(F186&gt;=4,E186&gt;=3),"Setia",IF(AND(E186=5,F186&lt;=2,G186&gt;=3),"Berpotensi",IF(AND(E186&lt;=3,E186&gt;=2,F186&gt;=3),"Rawan",IF(AND(E186&lt;=2,F186&lt;=2),"Tidur","Umum"))))))</f>
        <v/>
      </c>
    </row>
    <row r="187">
      <c r="B187">
        <f>IF(A187="","",$B$1-MAXIFS(Donasi!$A$2:$A$20000,Donasi!$B$2:$B$20000,A187))</f>
        <v/>
      </c>
      <c r="C187">
        <f>IF(A187="","",COUNTIF(Donasi!$B$2:$B$20000,A187))</f>
        <v/>
      </c>
      <c r="D187">
        <f>IF(A187="","",SUMIF(Donasi!$B$2:$B$20000,A187,Donasi!$C$2:$C$20000))</f>
        <v/>
      </c>
      <c r="E187">
        <f>IF(A187="","",6-CEILING(PERCENTRANK.INC($B$3:$B$6000,B187,4)*5+0.000001,1))</f>
        <v/>
      </c>
      <c r="F187">
        <f>IF(A187="","",MAX(1,CEILING(PERCENTRANK.INC($C$3:$C$6000,C187,4)*5+0.000001,1)))</f>
        <v/>
      </c>
      <c r="G187">
        <f>IF(A187="","",MAX(1,CEILING(PERCENTRANK.INC($D$3:$D$6000,D187,4)*5+0.000001,1)))</f>
        <v/>
      </c>
      <c r="H187">
        <f>IF(A187="","",E187&amp;F187&amp;G187)</f>
        <v/>
      </c>
      <c r="I187">
        <f>IF(A187="","",IF(AND(E187&gt;=4,F187&gt;=4,G187&gt;=4),"Juara",IF(AND(F187&gt;=4,E187&gt;=3),"Setia",IF(AND(E187=5,F187&lt;=2,G187&gt;=3),"Berpotensi",IF(AND(E187&lt;=3,E187&gt;=2,F187&gt;=3),"Rawan",IF(AND(E187&lt;=2,F187&lt;=2),"Tidur","Umum"))))))</f>
        <v/>
      </c>
    </row>
    <row r="188">
      <c r="B188">
        <f>IF(A188="","",$B$1-MAXIFS(Donasi!$A$2:$A$20000,Donasi!$B$2:$B$20000,A188))</f>
        <v/>
      </c>
      <c r="C188">
        <f>IF(A188="","",COUNTIF(Donasi!$B$2:$B$20000,A188))</f>
        <v/>
      </c>
      <c r="D188">
        <f>IF(A188="","",SUMIF(Donasi!$B$2:$B$20000,A188,Donasi!$C$2:$C$20000))</f>
        <v/>
      </c>
      <c r="E188">
        <f>IF(A188="","",6-CEILING(PERCENTRANK.INC($B$3:$B$6000,B188,4)*5+0.000001,1))</f>
        <v/>
      </c>
      <c r="F188">
        <f>IF(A188="","",MAX(1,CEILING(PERCENTRANK.INC($C$3:$C$6000,C188,4)*5+0.000001,1)))</f>
        <v/>
      </c>
      <c r="G188">
        <f>IF(A188="","",MAX(1,CEILING(PERCENTRANK.INC($D$3:$D$6000,D188,4)*5+0.000001,1)))</f>
        <v/>
      </c>
      <c r="H188">
        <f>IF(A188="","",E188&amp;F188&amp;G188)</f>
        <v/>
      </c>
      <c r="I188">
        <f>IF(A188="","",IF(AND(E188&gt;=4,F188&gt;=4,G188&gt;=4),"Juara",IF(AND(F188&gt;=4,E188&gt;=3),"Setia",IF(AND(E188=5,F188&lt;=2,G188&gt;=3),"Berpotensi",IF(AND(E188&lt;=3,E188&gt;=2,F188&gt;=3),"Rawan",IF(AND(E188&lt;=2,F188&lt;=2),"Tidur","Umum"))))))</f>
        <v/>
      </c>
    </row>
    <row r="189">
      <c r="B189">
        <f>IF(A189="","",$B$1-MAXIFS(Donasi!$A$2:$A$20000,Donasi!$B$2:$B$20000,A189))</f>
        <v/>
      </c>
      <c r="C189">
        <f>IF(A189="","",COUNTIF(Donasi!$B$2:$B$20000,A189))</f>
        <v/>
      </c>
      <c r="D189">
        <f>IF(A189="","",SUMIF(Donasi!$B$2:$B$20000,A189,Donasi!$C$2:$C$20000))</f>
        <v/>
      </c>
      <c r="E189">
        <f>IF(A189="","",6-CEILING(PERCENTRANK.INC($B$3:$B$6000,B189,4)*5+0.000001,1))</f>
        <v/>
      </c>
      <c r="F189">
        <f>IF(A189="","",MAX(1,CEILING(PERCENTRANK.INC($C$3:$C$6000,C189,4)*5+0.000001,1)))</f>
        <v/>
      </c>
      <c r="G189">
        <f>IF(A189="","",MAX(1,CEILING(PERCENTRANK.INC($D$3:$D$6000,D189,4)*5+0.000001,1)))</f>
        <v/>
      </c>
      <c r="H189">
        <f>IF(A189="","",E189&amp;F189&amp;G189)</f>
        <v/>
      </c>
      <c r="I189">
        <f>IF(A189="","",IF(AND(E189&gt;=4,F189&gt;=4,G189&gt;=4),"Juara",IF(AND(F189&gt;=4,E189&gt;=3),"Setia",IF(AND(E189=5,F189&lt;=2,G189&gt;=3),"Berpotensi",IF(AND(E189&lt;=3,E189&gt;=2,F189&gt;=3),"Rawan",IF(AND(E189&lt;=2,F189&lt;=2),"Tidur","Umum"))))))</f>
        <v/>
      </c>
    </row>
    <row r="190">
      <c r="B190">
        <f>IF(A190="","",$B$1-MAXIFS(Donasi!$A$2:$A$20000,Donasi!$B$2:$B$20000,A190))</f>
        <v/>
      </c>
      <c r="C190">
        <f>IF(A190="","",COUNTIF(Donasi!$B$2:$B$20000,A190))</f>
        <v/>
      </c>
      <c r="D190">
        <f>IF(A190="","",SUMIF(Donasi!$B$2:$B$20000,A190,Donasi!$C$2:$C$20000))</f>
        <v/>
      </c>
      <c r="E190">
        <f>IF(A190="","",6-CEILING(PERCENTRANK.INC($B$3:$B$6000,B190,4)*5+0.000001,1))</f>
        <v/>
      </c>
      <c r="F190">
        <f>IF(A190="","",MAX(1,CEILING(PERCENTRANK.INC($C$3:$C$6000,C190,4)*5+0.000001,1)))</f>
        <v/>
      </c>
      <c r="G190">
        <f>IF(A190="","",MAX(1,CEILING(PERCENTRANK.INC($D$3:$D$6000,D190,4)*5+0.000001,1)))</f>
        <v/>
      </c>
      <c r="H190">
        <f>IF(A190="","",E190&amp;F190&amp;G190)</f>
        <v/>
      </c>
      <c r="I190">
        <f>IF(A190="","",IF(AND(E190&gt;=4,F190&gt;=4,G190&gt;=4),"Juara",IF(AND(F190&gt;=4,E190&gt;=3),"Setia",IF(AND(E190=5,F190&lt;=2,G190&gt;=3),"Berpotensi",IF(AND(E190&lt;=3,E190&gt;=2,F190&gt;=3),"Rawan",IF(AND(E190&lt;=2,F190&lt;=2),"Tidur","Umum"))))))</f>
        <v/>
      </c>
    </row>
    <row r="191">
      <c r="B191">
        <f>IF(A191="","",$B$1-MAXIFS(Donasi!$A$2:$A$20000,Donasi!$B$2:$B$20000,A191))</f>
        <v/>
      </c>
      <c r="C191">
        <f>IF(A191="","",COUNTIF(Donasi!$B$2:$B$20000,A191))</f>
        <v/>
      </c>
      <c r="D191">
        <f>IF(A191="","",SUMIF(Donasi!$B$2:$B$20000,A191,Donasi!$C$2:$C$20000))</f>
        <v/>
      </c>
      <c r="E191">
        <f>IF(A191="","",6-CEILING(PERCENTRANK.INC($B$3:$B$6000,B191,4)*5+0.000001,1))</f>
        <v/>
      </c>
      <c r="F191">
        <f>IF(A191="","",MAX(1,CEILING(PERCENTRANK.INC($C$3:$C$6000,C191,4)*5+0.000001,1)))</f>
        <v/>
      </c>
      <c r="G191">
        <f>IF(A191="","",MAX(1,CEILING(PERCENTRANK.INC($D$3:$D$6000,D191,4)*5+0.000001,1)))</f>
        <v/>
      </c>
      <c r="H191">
        <f>IF(A191="","",E191&amp;F191&amp;G191)</f>
        <v/>
      </c>
      <c r="I191">
        <f>IF(A191="","",IF(AND(E191&gt;=4,F191&gt;=4,G191&gt;=4),"Juara",IF(AND(F191&gt;=4,E191&gt;=3),"Setia",IF(AND(E191=5,F191&lt;=2,G191&gt;=3),"Berpotensi",IF(AND(E191&lt;=3,E191&gt;=2,F191&gt;=3),"Rawan",IF(AND(E191&lt;=2,F191&lt;=2),"Tidur","Umum"))))))</f>
        <v/>
      </c>
    </row>
    <row r="192">
      <c r="B192">
        <f>IF(A192="","",$B$1-MAXIFS(Donasi!$A$2:$A$20000,Donasi!$B$2:$B$20000,A192))</f>
        <v/>
      </c>
      <c r="C192">
        <f>IF(A192="","",COUNTIF(Donasi!$B$2:$B$20000,A192))</f>
        <v/>
      </c>
      <c r="D192">
        <f>IF(A192="","",SUMIF(Donasi!$B$2:$B$20000,A192,Donasi!$C$2:$C$20000))</f>
        <v/>
      </c>
      <c r="E192">
        <f>IF(A192="","",6-CEILING(PERCENTRANK.INC($B$3:$B$6000,B192,4)*5+0.000001,1))</f>
        <v/>
      </c>
      <c r="F192">
        <f>IF(A192="","",MAX(1,CEILING(PERCENTRANK.INC($C$3:$C$6000,C192,4)*5+0.000001,1)))</f>
        <v/>
      </c>
      <c r="G192">
        <f>IF(A192="","",MAX(1,CEILING(PERCENTRANK.INC($D$3:$D$6000,D192,4)*5+0.000001,1)))</f>
        <v/>
      </c>
      <c r="H192">
        <f>IF(A192="","",E192&amp;F192&amp;G192)</f>
        <v/>
      </c>
      <c r="I192">
        <f>IF(A192="","",IF(AND(E192&gt;=4,F192&gt;=4,G192&gt;=4),"Juara",IF(AND(F192&gt;=4,E192&gt;=3),"Setia",IF(AND(E192=5,F192&lt;=2,G192&gt;=3),"Berpotensi",IF(AND(E192&lt;=3,E192&gt;=2,F192&gt;=3),"Rawan",IF(AND(E192&lt;=2,F192&lt;=2),"Tidur","Umum"))))))</f>
        <v/>
      </c>
    </row>
    <row r="193">
      <c r="B193">
        <f>IF(A193="","",$B$1-MAXIFS(Donasi!$A$2:$A$20000,Donasi!$B$2:$B$20000,A193))</f>
        <v/>
      </c>
      <c r="C193">
        <f>IF(A193="","",COUNTIF(Donasi!$B$2:$B$20000,A193))</f>
        <v/>
      </c>
      <c r="D193">
        <f>IF(A193="","",SUMIF(Donasi!$B$2:$B$20000,A193,Donasi!$C$2:$C$20000))</f>
        <v/>
      </c>
      <c r="E193">
        <f>IF(A193="","",6-CEILING(PERCENTRANK.INC($B$3:$B$6000,B193,4)*5+0.000001,1))</f>
        <v/>
      </c>
      <c r="F193">
        <f>IF(A193="","",MAX(1,CEILING(PERCENTRANK.INC($C$3:$C$6000,C193,4)*5+0.000001,1)))</f>
        <v/>
      </c>
      <c r="G193">
        <f>IF(A193="","",MAX(1,CEILING(PERCENTRANK.INC($D$3:$D$6000,D193,4)*5+0.000001,1)))</f>
        <v/>
      </c>
      <c r="H193">
        <f>IF(A193="","",E193&amp;F193&amp;G193)</f>
        <v/>
      </c>
      <c r="I193">
        <f>IF(A193="","",IF(AND(E193&gt;=4,F193&gt;=4,G193&gt;=4),"Juara",IF(AND(F193&gt;=4,E193&gt;=3),"Setia",IF(AND(E193=5,F193&lt;=2,G193&gt;=3),"Berpotensi",IF(AND(E193&lt;=3,E193&gt;=2,F193&gt;=3),"Rawan",IF(AND(E193&lt;=2,F193&lt;=2),"Tidur","Umum"))))))</f>
        <v/>
      </c>
    </row>
    <row r="194">
      <c r="B194">
        <f>IF(A194="","",$B$1-MAXIFS(Donasi!$A$2:$A$20000,Donasi!$B$2:$B$20000,A194))</f>
        <v/>
      </c>
      <c r="C194">
        <f>IF(A194="","",COUNTIF(Donasi!$B$2:$B$20000,A194))</f>
        <v/>
      </c>
      <c r="D194">
        <f>IF(A194="","",SUMIF(Donasi!$B$2:$B$20000,A194,Donasi!$C$2:$C$20000))</f>
        <v/>
      </c>
      <c r="E194">
        <f>IF(A194="","",6-CEILING(PERCENTRANK.INC($B$3:$B$6000,B194,4)*5+0.000001,1))</f>
        <v/>
      </c>
      <c r="F194">
        <f>IF(A194="","",MAX(1,CEILING(PERCENTRANK.INC($C$3:$C$6000,C194,4)*5+0.000001,1)))</f>
        <v/>
      </c>
      <c r="G194">
        <f>IF(A194="","",MAX(1,CEILING(PERCENTRANK.INC($D$3:$D$6000,D194,4)*5+0.000001,1)))</f>
        <v/>
      </c>
      <c r="H194">
        <f>IF(A194="","",E194&amp;F194&amp;G194)</f>
        <v/>
      </c>
      <c r="I194">
        <f>IF(A194="","",IF(AND(E194&gt;=4,F194&gt;=4,G194&gt;=4),"Juara",IF(AND(F194&gt;=4,E194&gt;=3),"Setia",IF(AND(E194=5,F194&lt;=2,G194&gt;=3),"Berpotensi",IF(AND(E194&lt;=3,E194&gt;=2,F194&gt;=3),"Rawan",IF(AND(E194&lt;=2,F194&lt;=2),"Tidur","Umum"))))))</f>
        <v/>
      </c>
    </row>
    <row r="195">
      <c r="B195">
        <f>IF(A195="","",$B$1-MAXIFS(Donasi!$A$2:$A$20000,Donasi!$B$2:$B$20000,A195))</f>
        <v/>
      </c>
      <c r="C195">
        <f>IF(A195="","",COUNTIF(Donasi!$B$2:$B$20000,A195))</f>
        <v/>
      </c>
      <c r="D195">
        <f>IF(A195="","",SUMIF(Donasi!$B$2:$B$20000,A195,Donasi!$C$2:$C$20000))</f>
        <v/>
      </c>
      <c r="E195">
        <f>IF(A195="","",6-CEILING(PERCENTRANK.INC($B$3:$B$6000,B195,4)*5+0.000001,1))</f>
        <v/>
      </c>
      <c r="F195">
        <f>IF(A195="","",MAX(1,CEILING(PERCENTRANK.INC($C$3:$C$6000,C195,4)*5+0.000001,1)))</f>
        <v/>
      </c>
      <c r="G195">
        <f>IF(A195="","",MAX(1,CEILING(PERCENTRANK.INC($D$3:$D$6000,D195,4)*5+0.000001,1)))</f>
        <v/>
      </c>
      <c r="H195">
        <f>IF(A195="","",E195&amp;F195&amp;G195)</f>
        <v/>
      </c>
      <c r="I195">
        <f>IF(A195="","",IF(AND(E195&gt;=4,F195&gt;=4,G195&gt;=4),"Juara",IF(AND(F195&gt;=4,E195&gt;=3),"Setia",IF(AND(E195=5,F195&lt;=2,G195&gt;=3),"Berpotensi",IF(AND(E195&lt;=3,E195&gt;=2,F195&gt;=3),"Rawan",IF(AND(E195&lt;=2,F195&lt;=2),"Tidur","Umum"))))))</f>
        <v/>
      </c>
    </row>
    <row r="196">
      <c r="B196">
        <f>IF(A196="","",$B$1-MAXIFS(Donasi!$A$2:$A$20000,Donasi!$B$2:$B$20000,A196))</f>
        <v/>
      </c>
      <c r="C196">
        <f>IF(A196="","",COUNTIF(Donasi!$B$2:$B$20000,A196))</f>
        <v/>
      </c>
      <c r="D196">
        <f>IF(A196="","",SUMIF(Donasi!$B$2:$B$20000,A196,Donasi!$C$2:$C$20000))</f>
        <v/>
      </c>
      <c r="E196">
        <f>IF(A196="","",6-CEILING(PERCENTRANK.INC($B$3:$B$6000,B196,4)*5+0.000001,1))</f>
        <v/>
      </c>
      <c r="F196">
        <f>IF(A196="","",MAX(1,CEILING(PERCENTRANK.INC($C$3:$C$6000,C196,4)*5+0.000001,1)))</f>
        <v/>
      </c>
      <c r="G196">
        <f>IF(A196="","",MAX(1,CEILING(PERCENTRANK.INC($D$3:$D$6000,D196,4)*5+0.000001,1)))</f>
        <v/>
      </c>
      <c r="H196">
        <f>IF(A196="","",E196&amp;F196&amp;G196)</f>
        <v/>
      </c>
      <c r="I196">
        <f>IF(A196="","",IF(AND(E196&gt;=4,F196&gt;=4,G196&gt;=4),"Juara",IF(AND(F196&gt;=4,E196&gt;=3),"Setia",IF(AND(E196=5,F196&lt;=2,G196&gt;=3),"Berpotensi",IF(AND(E196&lt;=3,E196&gt;=2,F196&gt;=3),"Rawan",IF(AND(E196&lt;=2,F196&lt;=2),"Tidur","Umum"))))))</f>
        <v/>
      </c>
    </row>
    <row r="197">
      <c r="B197">
        <f>IF(A197="","",$B$1-MAXIFS(Donasi!$A$2:$A$20000,Donasi!$B$2:$B$20000,A197))</f>
        <v/>
      </c>
      <c r="C197">
        <f>IF(A197="","",COUNTIF(Donasi!$B$2:$B$20000,A197))</f>
        <v/>
      </c>
      <c r="D197">
        <f>IF(A197="","",SUMIF(Donasi!$B$2:$B$20000,A197,Donasi!$C$2:$C$20000))</f>
        <v/>
      </c>
      <c r="E197">
        <f>IF(A197="","",6-CEILING(PERCENTRANK.INC($B$3:$B$6000,B197,4)*5+0.000001,1))</f>
        <v/>
      </c>
      <c r="F197">
        <f>IF(A197="","",MAX(1,CEILING(PERCENTRANK.INC($C$3:$C$6000,C197,4)*5+0.000001,1)))</f>
        <v/>
      </c>
      <c r="G197">
        <f>IF(A197="","",MAX(1,CEILING(PERCENTRANK.INC($D$3:$D$6000,D197,4)*5+0.000001,1)))</f>
        <v/>
      </c>
      <c r="H197">
        <f>IF(A197="","",E197&amp;F197&amp;G197)</f>
        <v/>
      </c>
      <c r="I197">
        <f>IF(A197="","",IF(AND(E197&gt;=4,F197&gt;=4,G197&gt;=4),"Juara",IF(AND(F197&gt;=4,E197&gt;=3),"Setia",IF(AND(E197=5,F197&lt;=2,G197&gt;=3),"Berpotensi",IF(AND(E197&lt;=3,E197&gt;=2,F197&gt;=3),"Rawan",IF(AND(E197&lt;=2,F197&lt;=2),"Tidur","Umum"))))))</f>
        <v/>
      </c>
    </row>
    <row r="198">
      <c r="B198">
        <f>IF(A198="","",$B$1-MAXIFS(Donasi!$A$2:$A$20000,Donasi!$B$2:$B$20000,A198))</f>
        <v/>
      </c>
      <c r="C198">
        <f>IF(A198="","",COUNTIF(Donasi!$B$2:$B$20000,A198))</f>
        <v/>
      </c>
      <c r="D198">
        <f>IF(A198="","",SUMIF(Donasi!$B$2:$B$20000,A198,Donasi!$C$2:$C$20000))</f>
        <v/>
      </c>
      <c r="E198">
        <f>IF(A198="","",6-CEILING(PERCENTRANK.INC($B$3:$B$6000,B198,4)*5+0.000001,1))</f>
        <v/>
      </c>
      <c r="F198">
        <f>IF(A198="","",MAX(1,CEILING(PERCENTRANK.INC($C$3:$C$6000,C198,4)*5+0.000001,1)))</f>
        <v/>
      </c>
      <c r="G198">
        <f>IF(A198="","",MAX(1,CEILING(PERCENTRANK.INC($D$3:$D$6000,D198,4)*5+0.000001,1)))</f>
        <v/>
      </c>
      <c r="H198">
        <f>IF(A198="","",E198&amp;F198&amp;G198)</f>
        <v/>
      </c>
      <c r="I198">
        <f>IF(A198="","",IF(AND(E198&gt;=4,F198&gt;=4,G198&gt;=4),"Juara",IF(AND(F198&gt;=4,E198&gt;=3),"Setia",IF(AND(E198=5,F198&lt;=2,G198&gt;=3),"Berpotensi",IF(AND(E198&lt;=3,E198&gt;=2,F198&gt;=3),"Rawan",IF(AND(E198&lt;=2,F198&lt;=2),"Tidur","Umum"))))))</f>
        <v/>
      </c>
    </row>
    <row r="199">
      <c r="B199">
        <f>IF(A199="","",$B$1-MAXIFS(Donasi!$A$2:$A$20000,Donasi!$B$2:$B$20000,A199))</f>
        <v/>
      </c>
      <c r="C199">
        <f>IF(A199="","",COUNTIF(Donasi!$B$2:$B$20000,A199))</f>
        <v/>
      </c>
      <c r="D199">
        <f>IF(A199="","",SUMIF(Donasi!$B$2:$B$20000,A199,Donasi!$C$2:$C$20000))</f>
        <v/>
      </c>
      <c r="E199">
        <f>IF(A199="","",6-CEILING(PERCENTRANK.INC($B$3:$B$6000,B199,4)*5+0.000001,1))</f>
        <v/>
      </c>
      <c r="F199">
        <f>IF(A199="","",MAX(1,CEILING(PERCENTRANK.INC($C$3:$C$6000,C199,4)*5+0.000001,1)))</f>
        <v/>
      </c>
      <c r="G199">
        <f>IF(A199="","",MAX(1,CEILING(PERCENTRANK.INC($D$3:$D$6000,D199,4)*5+0.000001,1)))</f>
        <v/>
      </c>
      <c r="H199">
        <f>IF(A199="","",E199&amp;F199&amp;G199)</f>
        <v/>
      </c>
      <c r="I199">
        <f>IF(A199="","",IF(AND(E199&gt;=4,F199&gt;=4,G199&gt;=4),"Juara",IF(AND(F199&gt;=4,E199&gt;=3),"Setia",IF(AND(E199=5,F199&lt;=2,G199&gt;=3),"Berpotensi",IF(AND(E199&lt;=3,E199&gt;=2,F199&gt;=3),"Rawan",IF(AND(E199&lt;=2,F199&lt;=2),"Tidur","Umum"))))))</f>
        <v/>
      </c>
    </row>
    <row r="200">
      <c r="B200">
        <f>IF(A200="","",$B$1-MAXIFS(Donasi!$A$2:$A$20000,Donasi!$B$2:$B$20000,A200))</f>
        <v/>
      </c>
      <c r="C200">
        <f>IF(A200="","",COUNTIF(Donasi!$B$2:$B$20000,A200))</f>
        <v/>
      </c>
      <c r="D200">
        <f>IF(A200="","",SUMIF(Donasi!$B$2:$B$20000,A200,Donasi!$C$2:$C$20000))</f>
        <v/>
      </c>
      <c r="E200">
        <f>IF(A200="","",6-CEILING(PERCENTRANK.INC($B$3:$B$6000,B200,4)*5+0.000001,1))</f>
        <v/>
      </c>
      <c r="F200">
        <f>IF(A200="","",MAX(1,CEILING(PERCENTRANK.INC($C$3:$C$6000,C200,4)*5+0.000001,1)))</f>
        <v/>
      </c>
      <c r="G200">
        <f>IF(A200="","",MAX(1,CEILING(PERCENTRANK.INC($D$3:$D$6000,D200,4)*5+0.000001,1)))</f>
        <v/>
      </c>
      <c r="H200">
        <f>IF(A200="","",E200&amp;F200&amp;G200)</f>
        <v/>
      </c>
      <c r="I200">
        <f>IF(A200="","",IF(AND(E200&gt;=4,F200&gt;=4,G200&gt;=4),"Juara",IF(AND(F200&gt;=4,E200&gt;=3),"Setia",IF(AND(E200=5,F200&lt;=2,G200&gt;=3),"Berpotensi",IF(AND(E200&lt;=3,E200&gt;=2,F200&gt;=3),"Rawan",IF(AND(E200&lt;=2,F200&lt;=2),"Tidur","Umum"))))))</f>
        <v/>
      </c>
    </row>
    <row r="201">
      <c r="B201">
        <f>IF(A201="","",$B$1-MAXIFS(Donasi!$A$2:$A$20000,Donasi!$B$2:$B$20000,A201))</f>
        <v/>
      </c>
      <c r="C201">
        <f>IF(A201="","",COUNTIF(Donasi!$B$2:$B$20000,A201))</f>
        <v/>
      </c>
      <c r="D201">
        <f>IF(A201="","",SUMIF(Donasi!$B$2:$B$20000,A201,Donasi!$C$2:$C$20000))</f>
        <v/>
      </c>
      <c r="E201">
        <f>IF(A201="","",6-CEILING(PERCENTRANK.INC($B$3:$B$6000,B201,4)*5+0.000001,1))</f>
        <v/>
      </c>
      <c r="F201">
        <f>IF(A201="","",MAX(1,CEILING(PERCENTRANK.INC($C$3:$C$6000,C201,4)*5+0.000001,1)))</f>
        <v/>
      </c>
      <c r="G201">
        <f>IF(A201="","",MAX(1,CEILING(PERCENTRANK.INC($D$3:$D$6000,D201,4)*5+0.000001,1)))</f>
        <v/>
      </c>
      <c r="H201">
        <f>IF(A201="","",E201&amp;F201&amp;G201)</f>
        <v/>
      </c>
      <c r="I201">
        <f>IF(A201="","",IF(AND(E201&gt;=4,F201&gt;=4,G201&gt;=4),"Juara",IF(AND(F201&gt;=4,E201&gt;=3),"Setia",IF(AND(E201=5,F201&lt;=2,G201&gt;=3),"Berpotensi",IF(AND(E201&lt;=3,E201&gt;=2,F201&gt;=3),"Rawan",IF(AND(E201&lt;=2,F201&lt;=2),"Tidur","Umum"))))))</f>
        <v/>
      </c>
    </row>
    <row r="202">
      <c r="B202">
        <f>IF(A202="","",$B$1-MAXIFS(Donasi!$A$2:$A$20000,Donasi!$B$2:$B$20000,A202))</f>
        <v/>
      </c>
      <c r="C202">
        <f>IF(A202="","",COUNTIF(Donasi!$B$2:$B$20000,A202))</f>
        <v/>
      </c>
      <c r="D202">
        <f>IF(A202="","",SUMIF(Donasi!$B$2:$B$20000,A202,Donasi!$C$2:$C$20000))</f>
        <v/>
      </c>
      <c r="E202">
        <f>IF(A202="","",6-CEILING(PERCENTRANK.INC($B$3:$B$6000,B202,4)*5+0.000001,1))</f>
        <v/>
      </c>
      <c r="F202">
        <f>IF(A202="","",MAX(1,CEILING(PERCENTRANK.INC($C$3:$C$6000,C202,4)*5+0.000001,1)))</f>
        <v/>
      </c>
      <c r="G202">
        <f>IF(A202="","",MAX(1,CEILING(PERCENTRANK.INC($D$3:$D$6000,D202,4)*5+0.000001,1)))</f>
        <v/>
      </c>
      <c r="H202">
        <f>IF(A202="","",E202&amp;F202&amp;G202)</f>
        <v/>
      </c>
      <c r="I202">
        <f>IF(A202="","",IF(AND(E202&gt;=4,F202&gt;=4,G202&gt;=4),"Juara",IF(AND(F202&gt;=4,E202&gt;=3),"Setia",IF(AND(E202=5,F202&lt;=2,G202&gt;=3),"Berpotensi",IF(AND(E202&lt;=3,E202&gt;=2,F202&gt;=3),"Rawan",IF(AND(E202&lt;=2,F202&lt;=2),"Tidur","Umum"))))))</f>
        <v/>
      </c>
    </row>
    <row r="203">
      <c r="B203">
        <f>IF(A203="","",$B$1-MAXIFS(Donasi!$A$2:$A$20000,Donasi!$B$2:$B$20000,A203))</f>
        <v/>
      </c>
      <c r="C203">
        <f>IF(A203="","",COUNTIF(Donasi!$B$2:$B$20000,A203))</f>
        <v/>
      </c>
      <c r="D203">
        <f>IF(A203="","",SUMIF(Donasi!$B$2:$B$20000,A203,Donasi!$C$2:$C$20000))</f>
        <v/>
      </c>
      <c r="E203">
        <f>IF(A203="","",6-CEILING(PERCENTRANK.INC($B$3:$B$6000,B203,4)*5+0.000001,1))</f>
        <v/>
      </c>
      <c r="F203">
        <f>IF(A203="","",MAX(1,CEILING(PERCENTRANK.INC($C$3:$C$6000,C203,4)*5+0.000001,1)))</f>
        <v/>
      </c>
      <c r="G203">
        <f>IF(A203="","",MAX(1,CEILING(PERCENTRANK.INC($D$3:$D$6000,D203,4)*5+0.000001,1)))</f>
        <v/>
      </c>
      <c r="H203">
        <f>IF(A203="","",E203&amp;F203&amp;G203)</f>
        <v/>
      </c>
      <c r="I203">
        <f>IF(A203="","",IF(AND(E203&gt;=4,F203&gt;=4,G203&gt;=4),"Juara",IF(AND(F203&gt;=4,E203&gt;=3),"Setia",IF(AND(E203=5,F203&lt;=2,G203&gt;=3),"Berpotensi",IF(AND(E203&lt;=3,E203&gt;=2,F203&gt;=3),"Rawan",IF(AND(E203&lt;=2,F203&lt;=2),"Tidur","Umum"))))))</f>
        <v/>
      </c>
    </row>
    <row r="204">
      <c r="B204">
        <f>IF(A204="","",$B$1-MAXIFS(Donasi!$A$2:$A$20000,Donasi!$B$2:$B$20000,A204))</f>
        <v/>
      </c>
      <c r="C204">
        <f>IF(A204="","",COUNTIF(Donasi!$B$2:$B$20000,A204))</f>
        <v/>
      </c>
      <c r="D204">
        <f>IF(A204="","",SUMIF(Donasi!$B$2:$B$20000,A204,Donasi!$C$2:$C$20000))</f>
        <v/>
      </c>
      <c r="E204">
        <f>IF(A204="","",6-CEILING(PERCENTRANK.INC($B$3:$B$6000,B204,4)*5+0.000001,1))</f>
        <v/>
      </c>
      <c r="F204">
        <f>IF(A204="","",MAX(1,CEILING(PERCENTRANK.INC($C$3:$C$6000,C204,4)*5+0.000001,1)))</f>
        <v/>
      </c>
      <c r="G204">
        <f>IF(A204="","",MAX(1,CEILING(PERCENTRANK.INC($D$3:$D$6000,D204,4)*5+0.000001,1)))</f>
        <v/>
      </c>
      <c r="H204">
        <f>IF(A204="","",E204&amp;F204&amp;G204)</f>
        <v/>
      </c>
      <c r="I204">
        <f>IF(A204="","",IF(AND(E204&gt;=4,F204&gt;=4,G204&gt;=4),"Juara",IF(AND(F204&gt;=4,E204&gt;=3),"Setia",IF(AND(E204=5,F204&lt;=2,G204&gt;=3),"Berpotensi",IF(AND(E204&lt;=3,E204&gt;=2,F204&gt;=3),"Rawan",IF(AND(E204&lt;=2,F204&lt;=2),"Tidur","Umum"))))))</f>
        <v/>
      </c>
    </row>
    <row r="205">
      <c r="B205">
        <f>IF(A205="","",$B$1-MAXIFS(Donasi!$A$2:$A$20000,Donasi!$B$2:$B$20000,A205))</f>
        <v/>
      </c>
      <c r="C205">
        <f>IF(A205="","",COUNTIF(Donasi!$B$2:$B$20000,A205))</f>
        <v/>
      </c>
      <c r="D205">
        <f>IF(A205="","",SUMIF(Donasi!$B$2:$B$20000,A205,Donasi!$C$2:$C$20000))</f>
        <v/>
      </c>
      <c r="E205">
        <f>IF(A205="","",6-CEILING(PERCENTRANK.INC($B$3:$B$6000,B205,4)*5+0.000001,1))</f>
        <v/>
      </c>
      <c r="F205">
        <f>IF(A205="","",MAX(1,CEILING(PERCENTRANK.INC($C$3:$C$6000,C205,4)*5+0.000001,1)))</f>
        <v/>
      </c>
      <c r="G205">
        <f>IF(A205="","",MAX(1,CEILING(PERCENTRANK.INC($D$3:$D$6000,D205,4)*5+0.000001,1)))</f>
        <v/>
      </c>
      <c r="H205">
        <f>IF(A205="","",E205&amp;F205&amp;G205)</f>
        <v/>
      </c>
      <c r="I205">
        <f>IF(A205="","",IF(AND(E205&gt;=4,F205&gt;=4,G205&gt;=4),"Juara",IF(AND(F205&gt;=4,E205&gt;=3),"Setia",IF(AND(E205=5,F205&lt;=2,G205&gt;=3),"Berpotensi",IF(AND(E205&lt;=3,E205&gt;=2,F205&gt;=3),"Rawan",IF(AND(E205&lt;=2,F205&lt;=2),"Tidur","Umum"))))))</f>
        <v/>
      </c>
    </row>
    <row r="206">
      <c r="B206">
        <f>IF(A206="","",$B$1-MAXIFS(Donasi!$A$2:$A$20000,Donasi!$B$2:$B$20000,A206))</f>
        <v/>
      </c>
      <c r="C206">
        <f>IF(A206="","",COUNTIF(Donasi!$B$2:$B$20000,A206))</f>
        <v/>
      </c>
      <c r="D206">
        <f>IF(A206="","",SUMIF(Donasi!$B$2:$B$20000,A206,Donasi!$C$2:$C$20000))</f>
        <v/>
      </c>
      <c r="E206">
        <f>IF(A206="","",6-CEILING(PERCENTRANK.INC($B$3:$B$6000,B206,4)*5+0.000001,1))</f>
        <v/>
      </c>
      <c r="F206">
        <f>IF(A206="","",MAX(1,CEILING(PERCENTRANK.INC($C$3:$C$6000,C206,4)*5+0.000001,1)))</f>
        <v/>
      </c>
      <c r="G206">
        <f>IF(A206="","",MAX(1,CEILING(PERCENTRANK.INC($D$3:$D$6000,D206,4)*5+0.000001,1)))</f>
        <v/>
      </c>
      <c r="H206">
        <f>IF(A206="","",E206&amp;F206&amp;G206)</f>
        <v/>
      </c>
      <c r="I206">
        <f>IF(A206="","",IF(AND(E206&gt;=4,F206&gt;=4,G206&gt;=4),"Juara",IF(AND(F206&gt;=4,E206&gt;=3),"Setia",IF(AND(E206=5,F206&lt;=2,G206&gt;=3),"Berpotensi",IF(AND(E206&lt;=3,E206&gt;=2,F206&gt;=3),"Rawan",IF(AND(E206&lt;=2,F206&lt;=2),"Tidur","Umum"))))))</f>
        <v/>
      </c>
    </row>
    <row r="207">
      <c r="B207">
        <f>IF(A207="","",$B$1-MAXIFS(Donasi!$A$2:$A$20000,Donasi!$B$2:$B$20000,A207))</f>
        <v/>
      </c>
      <c r="C207">
        <f>IF(A207="","",COUNTIF(Donasi!$B$2:$B$20000,A207))</f>
        <v/>
      </c>
      <c r="D207">
        <f>IF(A207="","",SUMIF(Donasi!$B$2:$B$20000,A207,Donasi!$C$2:$C$20000))</f>
        <v/>
      </c>
      <c r="E207">
        <f>IF(A207="","",6-CEILING(PERCENTRANK.INC($B$3:$B$6000,B207,4)*5+0.000001,1))</f>
        <v/>
      </c>
      <c r="F207">
        <f>IF(A207="","",MAX(1,CEILING(PERCENTRANK.INC($C$3:$C$6000,C207,4)*5+0.000001,1)))</f>
        <v/>
      </c>
      <c r="G207">
        <f>IF(A207="","",MAX(1,CEILING(PERCENTRANK.INC($D$3:$D$6000,D207,4)*5+0.000001,1)))</f>
        <v/>
      </c>
      <c r="H207">
        <f>IF(A207="","",E207&amp;F207&amp;G207)</f>
        <v/>
      </c>
      <c r="I207">
        <f>IF(A207="","",IF(AND(E207&gt;=4,F207&gt;=4,G207&gt;=4),"Juara",IF(AND(F207&gt;=4,E207&gt;=3),"Setia",IF(AND(E207=5,F207&lt;=2,G207&gt;=3),"Berpotensi",IF(AND(E207&lt;=3,E207&gt;=2,F207&gt;=3),"Rawan",IF(AND(E207&lt;=2,F207&lt;=2),"Tidur","Umum"))))))</f>
        <v/>
      </c>
    </row>
    <row r="208">
      <c r="B208">
        <f>IF(A208="","",$B$1-MAXIFS(Donasi!$A$2:$A$20000,Donasi!$B$2:$B$20000,A208))</f>
        <v/>
      </c>
      <c r="C208">
        <f>IF(A208="","",COUNTIF(Donasi!$B$2:$B$20000,A208))</f>
        <v/>
      </c>
      <c r="D208">
        <f>IF(A208="","",SUMIF(Donasi!$B$2:$B$20000,A208,Donasi!$C$2:$C$20000))</f>
        <v/>
      </c>
      <c r="E208">
        <f>IF(A208="","",6-CEILING(PERCENTRANK.INC($B$3:$B$6000,B208,4)*5+0.000001,1))</f>
        <v/>
      </c>
      <c r="F208">
        <f>IF(A208="","",MAX(1,CEILING(PERCENTRANK.INC($C$3:$C$6000,C208,4)*5+0.000001,1)))</f>
        <v/>
      </c>
      <c r="G208">
        <f>IF(A208="","",MAX(1,CEILING(PERCENTRANK.INC($D$3:$D$6000,D208,4)*5+0.000001,1)))</f>
        <v/>
      </c>
      <c r="H208">
        <f>IF(A208="","",E208&amp;F208&amp;G208)</f>
        <v/>
      </c>
      <c r="I208">
        <f>IF(A208="","",IF(AND(E208&gt;=4,F208&gt;=4,G208&gt;=4),"Juara",IF(AND(F208&gt;=4,E208&gt;=3),"Setia",IF(AND(E208=5,F208&lt;=2,G208&gt;=3),"Berpotensi",IF(AND(E208&lt;=3,E208&gt;=2,F208&gt;=3),"Rawan",IF(AND(E208&lt;=2,F208&lt;=2),"Tidur","Umum"))))))</f>
        <v/>
      </c>
    </row>
    <row r="209">
      <c r="B209">
        <f>IF(A209="","",$B$1-MAXIFS(Donasi!$A$2:$A$20000,Donasi!$B$2:$B$20000,A209))</f>
        <v/>
      </c>
      <c r="C209">
        <f>IF(A209="","",COUNTIF(Donasi!$B$2:$B$20000,A209))</f>
        <v/>
      </c>
      <c r="D209">
        <f>IF(A209="","",SUMIF(Donasi!$B$2:$B$20000,A209,Donasi!$C$2:$C$20000))</f>
        <v/>
      </c>
      <c r="E209">
        <f>IF(A209="","",6-CEILING(PERCENTRANK.INC($B$3:$B$6000,B209,4)*5+0.000001,1))</f>
        <v/>
      </c>
      <c r="F209">
        <f>IF(A209="","",MAX(1,CEILING(PERCENTRANK.INC($C$3:$C$6000,C209,4)*5+0.000001,1)))</f>
        <v/>
      </c>
      <c r="G209">
        <f>IF(A209="","",MAX(1,CEILING(PERCENTRANK.INC($D$3:$D$6000,D209,4)*5+0.000001,1)))</f>
        <v/>
      </c>
      <c r="H209">
        <f>IF(A209="","",E209&amp;F209&amp;G209)</f>
        <v/>
      </c>
      <c r="I209">
        <f>IF(A209="","",IF(AND(E209&gt;=4,F209&gt;=4,G209&gt;=4),"Juara",IF(AND(F209&gt;=4,E209&gt;=3),"Setia",IF(AND(E209=5,F209&lt;=2,G209&gt;=3),"Berpotensi",IF(AND(E209&lt;=3,E209&gt;=2,F209&gt;=3),"Rawan",IF(AND(E209&lt;=2,F209&lt;=2),"Tidur","Umum"))))))</f>
        <v/>
      </c>
    </row>
    <row r="210">
      <c r="B210">
        <f>IF(A210="","",$B$1-MAXIFS(Donasi!$A$2:$A$20000,Donasi!$B$2:$B$20000,A210))</f>
        <v/>
      </c>
      <c r="C210">
        <f>IF(A210="","",COUNTIF(Donasi!$B$2:$B$20000,A210))</f>
        <v/>
      </c>
      <c r="D210">
        <f>IF(A210="","",SUMIF(Donasi!$B$2:$B$20000,A210,Donasi!$C$2:$C$20000))</f>
        <v/>
      </c>
      <c r="E210">
        <f>IF(A210="","",6-CEILING(PERCENTRANK.INC($B$3:$B$6000,B210,4)*5+0.000001,1))</f>
        <v/>
      </c>
      <c r="F210">
        <f>IF(A210="","",MAX(1,CEILING(PERCENTRANK.INC($C$3:$C$6000,C210,4)*5+0.000001,1)))</f>
        <v/>
      </c>
      <c r="G210">
        <f>IF(A210="","",MAX(1,CEILING(PERCENTRANK.INC($D$3:$D$6000,D210,4)*5+0.000001,1)))</f>
        <v/>
      </c>
      <c r="H210">
        <f>IF(A210="","",E210&amp;F210&amp;G210)</f>
        <v/>
      </c>
      <c r="I210">
        <f>IF(A210="","",IF(AND(E210&gt;=4,F210&gt;=4,G210&gt;=4),"Juara",IF(AND(F210&gt;=4,E210&gt;=3),"Setia",IF(AND(E210=5,F210&lt;=2,G210&gt;=3),"Berpotensi",IF(AND(E210&lt;=3,E210&gt;=2,F210&gt;=3),"Rawan",IF(AND(E210&lt;=2,F210&lt;=2),"Tidur","Umum"))))))</f>
        <v/>
      </c>
    </row>
    <row r="211">
      <c r="B211">
        <f>IF(A211="","",$B$1-MAXIFS(Donasi!$A$2:$A$20000,Donasi!$B$2:$B$20000,A211))</f>
        <v/>
      </c>
      <c r="C211">
        <f>IF(A211="","",COUNTIF(Donasi!$B$2:$B$20000,A211))</f>
        <v/>
      </c>
      <c r="D211">
        <f>IF(A211="","",SUMIF(Donasi!$B$2:$B$20000,A211,Donasi!$C$2:$C$20000))</f>
        <v/>
      </c>
      <c r="E211">
        <f>IF(A211="","",6-CEILING(PERCENTRANK.INC($B$3:$B$6000,B211,4)*5+0.000001,1))</f>
        <v/>
      </c>
      <c r="F211">
        <f>IF(A211="","",MAX(1,CEILING(PERCENTRANK.INC($C$3:$C$6000,C211,4)*5+0.000001,1)))</f>
        <v/>
      </c>
      <c r="G211">
        <f>IF(A211="","",MAX(1,CEILING(PERCENTRANK.INC($D$3:$D$6000,D211,4)*5+0.000001,1)))</f>
        <v/>
      </c>
      <c r="H211">
        <f>IF(A211="","",E211&amp;F211&amp;G211)</f>
        <v/>
      </c>
      <c r="I211">
        <f>IF(A211="","",IF(AND(E211&gt;=4,F211&gt;=4,G211&gt;=4),"Juara",IF(AND(F211&gt;=4,E211&gt;=3),"Setia",IF(AND(E211=5,F211&lt;=2,G211&gt;=3),"Berpotensi",IF(AND(E211&lt;=3,E211&gt;=2,F211&gt;=3),"Rawan",IF(AND(E211&lt;=2,F211&lt;=2),"Tidur","Umum"))))))</f>
        <v/>
      </c>
    </row>
    <row r="212">
      <c r="B212">
        <f>IF(A212="","",$B$1-MAXIFS(Donasi!$A$2:$A$20000,Donasi!$B$2:$B$20000,A212))</f>
        <v/>
      </c>
      <c r="C212">
        <f>IF(A212="","",COUNTIF(Donasi!$B$2:$B$20000,A212))</f>
        <v/>
      </c>
      <c r="D212">
        <f>IF(A212="","",SUMIF(Donasi!$B$2:$B$20000,A212,Donasi!$C$2:$C$20000))</f>
        <v/>
      </c>
      <c r="E212">
        <f>IF(A212="","",6-CEILING(PERCENTRANK.INC($B$3:$B$6000,B212,4)*5+0.000001,1))</f>
        <v/>
      </c>
      <c r="F212">
        <f>IF(A212="","",MAX(1,CEILING(PERCENTRANK.INC($C$3:$C$6000,C212,4)*5+0.000001,1)))</f>
        <v/>
      </c>
      <c r="G212">
        <f>IF(A212="","",MAX(1,CEILING(PERCENTRANK.INC($D$3:$D$6000,D212,4)*5+0.000001,1)))</f>
        <v/>
      </c>
      <c r="H212">
        <f>IF(A212="","",E212&amp;F212&amp;G212)</f>
        <v/>
      </c>
      <c r="I212">
        <f>IF(A212="","",IF(AND(E212&gt;=4,F212&gt;=4,G212&gt;=4),"Juara",IF(AND(F212&gt;=4,E212&gt;=3),"Setia",IF(AND(E212=5,F212&lt;=2,G212&gt;=3),"Berpotensi",IF(AND(E212&lt;=3,E212&gt;=2,F212&gt;=3),"Rawan",IF(AND(E212&lt;=2,F212&lt;=2),"Tidur","Umum"))))))</f>
        <v/>
      </c>
    </row>
    <row r="213">
      <c r="B213">
        <f>IF(A213="","",$B$1-MAXIFS(Donasi!$A$2:$A$20000,Donasi!$B$2:$B$20000,A213))</f>
        <v/>
      </c>
      <c r="C213">
        <f>IF(A213="","",COUNTIF(Donasi!$B$2:$B$20000,A213))</f>
        <v/>
      </c>
      <c r="D213">
        <f>IF(A213="","",SUMIF(Donasi!$B$2:$B$20000,A213,Donasi!$C$2:$C$20000))</f>
        <v/>
      </c>
      <c r="E213">
        <f>IF(A213="","",6-CEILING(PERCENTRANK.INC($B$3:$B$6000,B213,4)*5+0.000001,1))</f>
        <v/>
      </c>
      <c r="F213">
        <f>IF(A213="","",MAX(1,CEILING(PERCENTRANK.INC($C$3:$C$6000,C213,4)*5+0.000001,1)))</f>
        <v/>
      </c>
      <c r="G213">
        <f>IF(A213="","",MAX(1,CEILING(PERCENTRANK.INC($D$3:$D$6000,D213,4)*5+0.000001,1)))</f>
        <v/>
      </c>
      <c r="H213">
        <f>IF(A213="","",E213&amp;F213&amp;G213)</f>
        <v/>
      </c>
      <c r="I213">
        <f>IF(A213="","",IF(AND(E213&gt;=4,F213&gt;=4,G213&gt;=4),"Juara",IF(AND(F213&gt;=4,E213&gt;=3),"Setia",IF(AND(E213=5,F213&lt;=2,G213&gt;=3),"Berpotensi",IF(AND(E213&lt;=3,E213&gt;=2,F213&gt;=3),"Rawan",IF(AND(E213&lt;=2,F213&lt;=2),"Tidur","Umum"))))))</f>
        <v/>
      </c>
    </row>
    <row r="214">
      <c r="B214">
        <f>IF(A214="","",$B$1-MAXIFS(Donasi!$A$2:$A$20000,Donasi!$B$2:$B$20000,A214))</f>
        <v/>
      </c>
      <c r="C214">
        <f>IF(A214="","",COUNTIF(Donasi!$B$2:$B$20000,A214))</f>
        <v/>
      </c>
      <c r="D214">
        <f>IF(A214="","",SUMIF(Donasi!$B$2:$B$20000,A214,Donasi!$C$2:$C$20000))</f>
        <v/>
      </c>
      <c r="E214">
        <f>IF(A214="","",6-CEILING(PERCENTRANK.INC($B$3:$B$6000,B214,4)*5+0.000001,1))</f>
        <v/>
      </c>
      <c r="F214">
        <f>IF(A214="","",MAX(1,CEILING(PERCENTRANK.INC($C$3:$C$6000,C214,4)*5+0.000001,1)))</f>
        <v/>
      </c>
      <c r="G214">
        <f>IF(A214="","",MAX(1,CEILING(PERCENTRANK.INC($D$3:$D$6000,D214,4)*5+0.000001,1)))</f>
        <v/>
      </c>
      <c r="H214">
        <f>IF(A214="","",E214&amp;F214&amp;G214)</f>
        <v/>
      </c>
      <c r="I214">
        <f>IF(A214="","",IF(AND(E214&gt;=4,F214&gt;=4,G214&gt;=4),"Juara",IF(AND(F214&gt;=4,E214&gt;=3),"Setia",IF(AND(E214=5,F214&lt;=2,G214&gt;=3),"Berpotensi",IF(AND(E214&lt;=3,E214&gt;=2,F214&gt;=3),"Rawan",IF(AND(E214&lt;=2,F214&lt;=2),"Tidur","Umum"))))))</f>
        <v/>
      </c>
    </row>
    <row r="215">
      <c r="B215">
        <f>IF(A215="","",$B$1-MAXIFS(Donasi!$A$2:$A$20000,Donasi!$B$2:$B$20000,A215))</f>
        <v/>
      </c>
      <c r="C215">
        <f>IF(A215="","",COUNTIF(Donasi!$B$2:$B$20000,A215))</f>
        <v/>
      </c>
      <c r="D215">
        <f>IF(A215="","",SUMIF(Donasi!$B$2:$B$20000,A215,Donasi!$C$2:$C$20000))</f>
        <v/>
      </c>
      <c r="E215">
        <f>IF(A215="","",6-CEILING(PERCENTRANK.INC($B$3:$B$6000,B215,4)*5+0.000001,1))</f>
        <v/>
      </c>
      <c r="F215">
        <f>IF(A215="","",MAX(1,CEILING(PERCENTRANK.INC($C$3:$C$6000,C215,4)*5+0.000001,1)))</f>
        <v/>
      </c>
      <c r="G215">
        <f>IF(A215="","",MAX(1,CEILING(PERCENTRANK.INC($D$3:$D$6000,D215,4)*5+0.000001,1)))</f>
        <v/>
      </c>
      <c r="H215">
        <f>IF(A215="","",E215&amp;F215&amp;G215)</f>
        <v/>
      </c>
      <c r="I215">
        <f>IF(A215="","",IF(AND(E215&gt;=4,F215&gt;=4,G215&gt;=4),"Juara",IF(AND(F215&gt;=4,E215&gt;=3),"Setia",IF(AND(E215=5,F215&lt;=2,G215&gt;=3),"Berpotensi",IF(AND(E215&lt;=3,E215&gt;=2,F215&gt;=3),"Rawan",IF(AND(E215&lt;=2,F215&lt;=2),"Tidur","Umum"))))))</f>
        <v/>
      </c>
    </row>
    <row r="216">
      <c r="B216">
        <f>IF(A216="","",$B$1-MAXIFS(Donasi!$A$2:$A$20000,Donasi!$B$2:$B$20000,A216))</f>
        <v/>
      </c>
      <c r="C216">
        <f>IF(A216="","",COUNTIF(Donasi!$B$2:$B$20000,A216))</f>
        <v/>
      </c>
      <c r="D216">
        <f>IF(A216="","",SUMIF(Donasi!$B$2:$B$20000,A216,Donasi!$C$2:$C$20000))</f>
        <v/>
      </c>
      <c r="E216">
        <f>IF(A216="","",6-CEILING(PERCENTRANK.INC($B$3:$B$6000,B216,4)*5+0.000001,1))</f>
        <v/>
      </c>
      <c r="F216">
        <f>IF(A216="","",MAX(1,CEILING(PERCENTRANK.INC($C$3:$C$6000,C216,4)*5+0.000001,1)))</f>
        <v/>
      </c>
      <c r="G216">
        <f>IF(A216="","",MAX(1,CEILING(PERCENTRANK.INC($D$3:$D$6000,D216,4)*5+0.000001,1)))</f>
        <v/>
      </c>
      <c r="H216">
        <f>IF(A216="","",E216&amp;F216&amp;G216)</f>
        <v/>
      </c>
      <c r="I216">
        <f>IF(A216="","",IF(AND(E216&gt;=4,F216&gt;=4,G216&gt;=4),"Juara",IF(AND(F216&gt;=4,E216&gt;=3),"Setia",IF(AND(E216=5,F216&lt;=2,G216&gt;=3),"Berpotensi",IF(AND(E216&lt;=3,E216&gt;=2,F216&gt;=3),"Rawan",IF(AND(E216&lt;=2,F216&lt;=2),"Tidur","Umum"))))))</f>
        <v/>
      </c>
    </row>
    <row r="217">
      <c r="B217">
        <f>IF(A217="","",$B$1-MAXIFS(Donasi!$A$2:$A$20000,Donasi!$B$2:$B$20000,A217))</f>
        <v/>
      </c>
      <c r="C217">
        <f>IF(A217="","",COUNTIF(Donasi!$B$2:$B$20000,A217))</f>
        <v/>
      </c>
      <c r="D217">
        <f>IF(A217="","",SUMIF(Donasi!$B$2:$B$20000,A217,Donasi!$C$2:$C$20000))</f>
        <v/>
      </c>
      <c r="E217">
        <f>IF(A217="","",6-CEILING(PERCENTRANK.INC($B$3:$B$6000,B217,4)*5+0.000001,1))</f>
        <v/>
      </c>
      <c r="F217">
        <f>IF(A217="","",MAX(1,CEILING(PERCENTRANK.INC($C$3:$C$6000,C217,4)*5+0.000001,1)))</f>
        <v/>
      </c>
      <c r="G217">
        <f>IF(A217="","",MAX(1,CEILING(PERCENTRANK.INC($D$3:$D$6000,D217,4)*5+0.000001,1)))</f>
        <v/>
      </c>
      <c r="H217">
        <f>IF(A217="","",E217&amp;F217&amp;G217)</f>
        <v/>
      </c>
      <c r="I217">
        <f>IF(A217="","",IF(AND(E217&gt;=4,F217&gt;=4,G217&gt;=4),"Juara",IF(AND(F217&gt;=4,E217&gt;=3),"Setia",IF(AND(E217=5,F217&lt;=2,G217&gt;=3),"Berpotensi",IF(AND(E217&lt;=3,E217&gt;=2,F217&gt;=3),"Rawan",IF(AND(E217&lt;=2,F217&lt;=2),"Tidur","Umum"))))))</f>
        <v/>
      </c>
    </row>
    <row r="218">
      <c r="B218">
        <f>IF(A218="","",$B$1-MAXIFS(Donasi!$A$2:$A$20000,Donasi!$B$2:$B$20000,A218))</f>
        <v/>
      </c>
      <c r="C218">
        <f>IF(A218="","",COUNTIF(Donasi!$B$2:$B$20000,A218))</f>
        <v/>
      </c>
      <c r="D218">
        <f>IF(A218="","",SUMIF(Donasi!$B$2:$B$20000,A218,Donasi!$C$2:$C$20000))</f>
        <v/>
      </c>
      <c r="E218">
        <f>IF(A218="","",6-CEILING(PERCENTRANK.INC($B$3:$B$6000,B218,4)*5+0.000001,1))</f>
        <v/>
      </c>
      <c r="F218">
        <f>IF(A218="","",MAX(1,CEILING(PERCENTRANK.INC($C$3:$C$6000,C218,4)*5+0.000001,1)))</f>
        <v/>
      </c>
      <c r="G218">
        <f>IF(A218="","",MAX(1,CEILING(PERCENTRANK.INC($D$3:$D$6000,D218,4)*5+0.000001,1)))</f>
        <v/>
      </c>
      <c r="H218">
        <f>IF(A218="","",E218&amp;F218&amp;G218)</f>
        <v/>
      </c>
      <c r="I218">
        <f>IF(A218="","",IF(AND(E218&gt;=4,F218&gt;=4,G218&gt;=4),"Juara",IF(AND(F218&gt;=4,E218&gt;=3),"Setia",IF(AND(E218=5,F218&lt;=2,G218&gt;=3),"Berpotensi",IF(AND(E218&lt;=3,E218&gt;=2,F218&gt;=3),"Rawan",IF(AND(E218&lt;=2,F218&lt;=2),"Tidur","Umum"))))))</f>
        <v/>
      </c>
    </row>
    <row r="219">
      <c r="B219">
        <f>IF(A219="","",$B$1-MAXIFS(Donasi!$A$2:$A$20000,Donasi!$B$2:$B$20000,A219))</f>
        <v/>
      </c>
      <c r="C219">
        <f>IF(A219="","",COUNTIF(Donasi!$B$2:$B$20000,A219))</f>
        <v/>
      </c>
      <c r="D219">
        <f>IF(A219="","",SUMIF(Donasi!$B$2:$B$20000,A219,Donasi!$C$2:$C$20000))</f>
        <v/>
      </c>
      <c r="E219">
        <f>IF(A219="","",6-CEILING(PERCENTRANK.INC($B$3:$B$6000,B219,4)*5+0.000001,1))</f>
        <v/>
      </c>
      <c r="F219">
        <f>IF(A219="","",MAX(1,CEILING(PERCENTRANK.INC($C$3:$C$6000,C219,4)*5+0.000001,1)))</f>
        <v/>
      </c>
      <c r="G219">
        <f>IF(A219="","",MAX(1,CEILING(PERCENTRANK.INC($D$3:$D$6000,D219,4)*5+0.000001,1)))</f>
        <v/>
      </c>
      <c r="H219">
        <f>IF(A219="","",E219&amp;F219&amp;G219)</f>
        <v/>
      </c>
      <c r="I219">
        <f>IF(A219="","",IF(AND(E219&gt;=4,F219&gt;=4,G219&gt;=4),"Juara",IF(AND(F219&gt;=4,E219&gt;=3),"Setia",IF(AND(E219=5,F219&lt;=2,G219&gt;=3),"Berpotensi",IF(AND(E219&lt;=3,E219&gt;=2,F219&gt;=3),"Rawan",IF(AND(E219&lt;=2,F219&lt;=2),"Tidur","Umum"))))))</f>
        <v/>
      </c>
    </row>
    <row r="220">
      <c r="B220">
        <f>IF(A220="","",$B$1-MAXIFS(Donasi!$A$2:$A$20000,Donasi!$B$2:$B$20000,A220))</f>
        <v/>
      </c>
      <c r="C220">
        <f>IF(A220="","",COUNTIF(Donasi!$B$2:$B$20000,A220))</f>
        <v/>
      </c>
      <c r="D220">
        <f>IF(A220="","",SUMIF(Donasi!$B$2:$B$20000,A220,Donasi!$C$2:$C$20000))</f>
        <v/>
      </c>
      <c r="E220">
        <f>IF(A220="","",6-CEILING(PERCENTRANK.INC($B$3:$B$6000,B220,4)*5+0.000001,1))</f>
        <v/>
      </c>
      <c r="F220">
        <f>IF(A220="","",MAX(1,CEILING(PERCENTRANK.INC($C$3:$C$6000,C220,4)*5+0.000001,1)))</f>
        <v/>
      </c>
      <c r="G220">
        <f>IF(A220="","",MAX(1,CEILING(PERCENTRANK.INC($D$3:$D$6000,D220,4)*5+0.000001,1)))</f>
        <v/>
      </c>
      <c r="H220">
        <f>IF(A220="","",E220&amp;F220&amp;G220)</f>
        <v/>
      </c>
      <c r="I220">
        <f>IF(A220="","",IF(AND(E220&gt;=4,F220&gt;=4,G220&gt;=4),"Juara",IF(AND(F220&gt;=4,E220&gt;=3),"Setia",IF(AND(E220=5,F220&lt;=2,G220&gt;=3),"Berpotensi",IF(AND(E220&lt;=3,E220&gt;=2,F220&gt;=3),"Rawan",IF(AND(E220&lt;=2,F220&lt;=2),"Tidur","Umum"))))))</f>
        <v/>
      </c>
    </row>
    <row r="221">
      <c r="B221">
        <f>IF(A221="","",$B$1-MAXIFS(Donasi!$A$2:$A$20000,Donasi!$B$2:$B$20000,A221))</f>
        <v/>
      </c>
      <c r="C221">
        <f>IF(A221="","",COUNTIF(Donasi!$B$2:$B$20000,A221))</f>
        <v/>
      </c>
      <c r="D221">
        <f>IF(A221="","",SUMIF(Donasi!$B$2:$B$20000,A221,Donasi!$C$2:$C$20000))</f>
        <v/>
      </c>
      <c r="E221">
        <f>IF(A221="","",6-CEILING(PERCENTRANK.INC($B$3:$B$6000,B221,4)*5+0.000001,1))</f>
        <v/>
      </c>
      <c r="F221">
        <f>IF(A221="","",MAX(1,CEILING(PERCENTRANK.INC($C$3:$C$6000,C221,4)*5+0.000001,1)))</f>
        <v/>
      </c>
      <c r="G221">
        <f>IF(A221="","",MAX(1,CEILING(PERCENTRANK.INC($D$3:$D$6000,D221,4)*5+0.000001,1)))</f>
        <v/>
      </c>
      <c r="H221">
        <f>IF(A221="","",E221&amp;F221&amp;G221)</f>
        <v/>
      </c>
      <c r="I221">
        <f>IF(A221="","",IF(AND(E221&gt;=4,F221&gt;=4,G221&gt;=4),"Juara",IF(AND(F221&gt;=4,E221&gt;=3),"Setia",IF(AND(E221=5,F221&lt;=2,G221&gt;=3),"Berpotensi",IF(AND(E221&lt;=3,E221&gt;=2,F221&gt;=3),"Rawan",IF(AND(E221&lt;=2,F221&lt;=2),"Tidur","Umum"))))))</f>
        <v/>
      </c>
    </row>
    <row r="222">
      <c r="B222">
        <f>IF(A222="","",$B$1-MAXIFS(Donasi!$A$2:$A$20000,Donasi!$B$2:$B$20000,A222))</f>
        <v/>
      </c>
      <c r="C222">
        <f>IF(A222="","",COUNTIF(Donasi!$B$2:$B$20000,A222))</f>
        <v/>
      </c>
      <c r="D222">
        <f>IF(A222="","",SUMIF(Donasi!$B$2:$B$20000,A222,Donasi!$C$2:$C$20000))</f>
        <v/>
      </c>
      <c r="E222">
        <f>IF(A222="","",6-CEILING(PERCENTRANK.INC($B$3:$B$6000,B222,4)*5+0.000001,1))</f>
        <v/>
      </c>
      <c r="F222">
        <f>IF(A222="","",MAX(1,CEILING(PERCENTRANK.INC($C$3:$C$6000,C222,4)*5+0.000001,1)))</f>
        <v/>
      </c>
      <c r="G222">
        <f>IF(A222="","",MAX(1,CEILING(PERCENTRANK.INC($D$3:$D$6000,D222,4)*5+0.000001,1)))</f>
        <v/>
      </c>
      <c r="H222">
        <f>IF(A222="","",E222&amp;F222&amp;G222)</f>
        <v/>
      </c>
      <c r="I222">
        <f>IF(A222="","",IF(AND(E222&gt;=4,F222&gt;=4,G222&gt;=4),"Juara",IF(AND(F222&gt;=4,E222&gt;=3),"Setia",IF(AND(E222=5,F222&lt;=2,G222&gt;=3),"Berpotensi",IF(AND(E222&lt;=3,E222&gt;=2,F222&gt;=3),"Rawan",IF(AND(E222&lt;=2,F222&lt;=2),"Tidur","Umum"))))))</f>
        <v/>
      </c>
    </row>
    <row r="223">
      <c r="B223">
        <f>IF(A223="","",$B$1-MAXIFS(Donasi!$A$2:$A$20000,Donasi!$B$2:$B$20000,A223))</f>
        <v/>
      </c>
      <c r="C223">
        <f>IF(A223="","",COUNTIF(Donasi!$B$2:$B$20000,A223))</f>
        <v/>
      </c>
      <c r="D223">
        <f>IF(A223="","",SUMIF(Donasi!$B$2:$B$20000,A223,Donasi!$C$2:$C$20000))</f>
        <v/>
      </c>
      <c r="E223">
        <f>IF(A223="","",6-CEILING(PERCENTRANK.INC($B$3:$B$6000,B223,4)*5+0.000001,1))</f>
        <v/>
      </c>
      <c r="F223">
        <f>IF(A223="","",MAX(1,CEILING(PERCENTRANK.INC($C$3:$C$6000,C223,4)*5+0.000001,1)))</f>
        <v/>
      </c>
      <c r="G223">
        <f>IF(A223="","",MAX(1,CEILING(PERCENTRANK.INC($D$3:$D$6000,D223,4)*5+0.000001,1)))</f>
        <v/>
      </c>
      <c r="H223">
        <f>IF(A223="","",E223&amp;F223&amp;G223)</f>
        <v/>
      </c>
      <c r="I223">
        <f>IF(A223="","",IF(AND(E223&gt;=4,F223&gt;=4,G223&gt;=4),"Juara",IF(AND(F223&gt;=4,E223&gt;=3),"Setia",IF(AND(E223=5,F223&lt;=2,G223&gt;=3),"Berpotensi",IF(AND(E223&lt;=3,E223&gt;=2,F223&gt;=3),"Rawan",IF(AND(E223&lt;=2,F223&lt;=2),"Tidur","Umum"))))))</f>
        <v/>
      </c>
    </row>
    <row r="224">
      <c r="B224">
        <f>IF(A224="","",$B$1-MAXIFS(Donasi!$A$2:$A$20000,Donasi!$B$2:$B$20000,A224))</f>
        <v/>
      </c>
      <c r="C224">
        <f>IF(A224="","",COUNTIF(Donasi!$B$2:$B$20000,A224))</f>
        <v/>
      </c>
      <c r="D224">
        <f>IF(A224="","",SUMIF(Donasi!$B$2:$B$20000,A224,Donasi!$C$2:$C$20000))</f>
        <v/>
      </c>
      <c r="E224">
        <f>IF(A224="","",6-CEILING(PERCENTRANK.INC($B$3:$B$6000,B224,4)*5+0.000001,1))</f>
        <v/>
      </c>
      <c r="F224">
        <f>IF(A224="","",MAX(1,CEILING(PERCENTRANK.INC($C$3:$C$6000,C224,4)*5+0.000001,1)))</f>
        <v/>
      </c>
      <c r="G224">
        <f>IF(A224="","",MAX(1,CEILING(PERCENTRANK.INC($D$3:$D$6000,D224,4)*5+0.000001,1)))</f>
        <v/>
      </c>
      <c r="H224">
        <f>IF(A224="","",E224&amp;F224&amp;G224)</f>
        <v/>
      </c>
      <c r="I224">
        <f>IF(A224="","",IF(AND(E224&gt;=4,F224&gt;=4,G224&gt;=4),"Juara",IF(AND(F224&gt;=4,E224&gt;=3),"Setia",IF(AND(E224=5,F224&lt;=2,G224&gt;=3),"Berpotensi",IF(AND(E224&lt;=3,E224&gt;=2,F224&gt;=3),"Rawan",IF(AND(E224&lt;=2,F224&lt;=2),"Tidur","Umum"))))))</f>
        <v/>
      </c>
    </row>
    <row r="225">
      <c r="B225">
        <f>IF(A225="","",$B$1-MAXIFS(Donasi!$A$2:$A$20000,Donasi!$B$2:$B$20000,A225))</f>
        <v/>
      </c>
      <c r="C225">
        <f>IF(A225="","",COUNTIF(Donasi!$B$2:$B$20000,A225))</f>
        <v/>
      </c>
      <c r="D225">
        <f>IF(A225="","",SUMIF(Donasi!$B$2:$B$20000,A225,Donasi!$C$2:$C$20000))</f>
        <v/>
      </c>
      <c r="E225">
        <f>IF(A225="","",6-CEILING(PERCENTRANK.INC($B$3:$B$6000,B225,4)*5+0.000001,1))</f>
        <v/>
      </c>
      <c r="F225">
        <f>IF(A225="","",MAX(1,CEILING(PERCENTRANK.INC($C$3:$C$6000,C225,4)*5+0.000001,1)))</f>
        <v/>
      </c>
      <c r="G225">
        <f>IF(A225="","",MAX(1,CEILING(PERCENTRANK.INC($D$3:$D$6000,D225,4)*5+0.000001,1)))</f>
        <v/>
      </c>
      <c r="H225">
        <f>IF(A225="","",E225&amp;F225&amp;G225)</f>
        <v/>
      </c>
      <c r="I225">
        <f>IF(A225="","",IF(AND(E225&gt;=4,F225&gt;=4,G225&gt;=4),"Juara",IF(AND(F225&gt;=4,E225&gt;=3),"Setia",IF(AND(E225=5,F225&lt;=2,G225&gt;=3),"Berpotensi",IF(AND(E225&lt;=3,E225&gt;=2,F225&gt;=3),"Rawan",IF(AND(E225&lt;=2,F225&lt;=2),"Tidur","Umum"))))))</f>
        <v/>
      </c>
    </row>
    <row r="226">
      <c r="B226">
        <f>IF(A226="","",$B$1-MAXIFS(Donasi!$A$2:$A$20000,Donasi!$B$2:$B$20000,A226))</f>
        <v/>
      </c>
      <c r="C226">
        <f>IF(A226="","",COUNTIF(Donasi!$B$2:$B$20000,A226))</f>
        <v/>
      </c>
      <c r="D226">
        <f>IF(A226="","",SUMIF(Donasi!$B$2:$B$20000,A226,Donasi!$C$2:$C$20000))</f>
        <v/>
      </c>
      <c r="E226">
        <f>IF(A226="","",6-CEILING(PERCENTRANK.INC($B$3:$B$6000,B226,4)*5+0.000001,1))</f>
        <v/>
      </c>
      <c r="F226">
        <f>IF(A226="","",MAX(1,CEILING(PERCENTRANK.INC($C$3:$C$6000,C226,4)*5+0.000001,1)))</f>
        <v/>
      </c>
      <c r="G226">
        <f>IF(A226="","",MAX(1,CEILING(PERCENTRANK.INC($D$3:$D$6000,D226,4)*5+0.000001,1)))</f>
        <v/>
      </c>
      <c r="H226">
        <f>IF(A226="","",E226&amp;F226&amp;G226)</f>
        <v/>
      </c>
      <c r="I226">
        <f>IF(A226="","",IF(AND(E226&gt;=4,F226&gt;=4,G226&gt;=4),"Juara",IF(AND(F226&gt;=4,E226&gt;=3),"Setia",IF(AND(E226=5,F226&lt;=2,G226&gt;=3),"Berpotensi",IF(AND(E226&lt;=3,E226&gt;=2,F226&gt;=3),"Rawan",IF(AND(E226&lt;=2,F226&lt;=2),"Tidur","Umum"))))))</f>
        <v/>
      </c>
    </row>
    <row r="227">
      <c r="B227">
        <f>IF(A227="","",$B$1-MAXIFS(Donasi!$A$2:$A$20000,Donasi!$B$2:$B$20000,A227))</f>
        <v/>
      </c>
      <c r="C227">
        <f>IF(A227="","",COUNTIF(Donasi!$B$2:$B$20000,A227))</f>
        <v/>
      </c>
      <c r="D227">
        <f>IF(A227="","",SUMIF(Donasi!$B$2:$B$20000,A227,Donasi!$C$2:$C$20000))</f>
        <v/>
      </c>
      <c r="E227">
        <f>IF(A227="","",6-CEILING(PERCENTRANK.INC($B$3:$B$6000,B227,4)*5+0.000001,1))</f>
        <v/>
      </c>
      <c r="F227">
        <f>IF(A227="","",MAX(1,CEILING(PERCENTRANK.INC($C$3:$C$6000,C227,4)*5+0.000001,1)))</f>
        <v/>
      </c>
      <c r="G227">
        <f>IF(A227="","",MAX(1,CEILING(PERCENTRANK.INC($D$3:$D$6000,D227,4)*5+0.000001,1)))</f>
        <v/>
      </c>
      <c r="H227">
        <f>IF(A227="","",E227&amp;F227&amp;G227)</f>
        <v/>
      </c>
      <c r="I227">
        <f>IF(A227="","",IF(AND(E227&gt;=4,F227&gt;=4,G227&gt;=4),"Juara",IF(AND(F227&gt;=4,E227&gt;=3),"Setia",IF(AND(E227=5,F227&lt;=2,G227&gt;=3),"Berpotensi",IF(AND(E227&lt;=3,E227&gt;=2,F227&gt;=3),"Rawan",IF(AND(E227&lt;=2,F227&lt;=2),"Tidur","Umum"))))))</f>
        <v/>
      </c>
    </row>
    <row r="228">
      <c r="B228">
        <f>IF(A228="","",$B$1-MAXIFS(Donasi!$A$2:$A$20000,Donasi!$B$2:$B$20000,A228))</f>
        <v/>
      </c>
      <c r="C228">
        <f>IF(A228="","",COUNTIF(Donasi!$B$2:$B$20000,A228))</f>
        <v/>
      </c>
      <c r="D228">
        <f>IF(A228="","",SUMIF(Donasi!$B$2:$B$20000,A228,Donasi!$C$2:$C$20000))</f>
        <v/>
      </c>
      <c r="E228">
        <f>IF(A228="","",6-CEILING(PERCENTRANK.INC($B$3:$B$6000,B228,4)*5+0.000001,1))</f>
        <v/>
      </c>
      <c r="F228">
        <f>IF(A228="","",MAX(1,CEILING(PERCENTRANK.INC($C$3:$C$6000,C228,4)*5+0.000001,1)))</f>
        <v/>
      </c>
      <c r="G228">
        <f>IF(A228="","",MAX(1,CEILING(PERCENTRANK.INC($D$3:$D$6000,D228,4)*5+0.000001,1)))</f>
        <v/>
      </c>
      <c r="H228">
        <f>IF(A228="","",E228&amp;F228&amp;G228)</f>
        <v/>
      </c>
      <c r="I228">
        <f>IF(A228="","",IF(AND(E228&gt;=4,F228&gt;=4,G228&gt;=4),"Juara",IF(AND(F228&gt;=4,E228&gt;=3),"Setia",IF(AND(E228=5,F228&lt;=2,G228&gt;=3),"Berpotensi",IF(AND(E228&lt;=3,E228&gt;=2,F228&gt;=3),"Rawan",IF(AND(E228&lt;=2,F228&lt;=2),"Tidur","Umum"))))))</f>
        <v/>
      </c>
    </row>
    <row r="229">
      <c r="B229">
        <f>IF(A229="","",$B$1-MAXIFS(Donasi!$A$2:$A$20000,Donasi!$B$2:$B$20000,A229))</f>
        <v/>
      </c>
      <c r="C229">
        <f>IF(A229="","",COUNTIF(Donasi!$B$2:$B$20000,A229))</f>
        <v/>
      </c>
      <c r="D229">
        <f>IF(A229="","",SUMIF(Donasi!$B$2:$B$20000,A229,Donasi!$C$2:$C$20000))</f>
        <v/>
      </c>
      <c r="E229">
        <f>IF(A229="","",6-CEILING(PERCENTRANK.INC($B$3:$B$6000,B229,4)*5+0.000001,1))</f>
        <v/>
      </c>
      <c r="F229">
        <f>IF(A229="","",MAX(1,CEILING(PERCENTRANK.INC($C$3:$C$6000,C229,4)*5+0.000001,1)))</f>
        <v/>
      </c>
      <c r="G229">
        <f>IF(A229="","",MAX(1,CEILING(PERCENTRANK.INC($D$3:$D$6000,D229,4)*5+0.000001,1)))</f>
        <v/>
      </c>
      <c r="H229">
        <f>IF(A229="","",E229&amp;F229&amp;G229)</f>
        <v/>
      </c>
      <c r="I229">
        <f>IF(A229="","",IF(AND(E229&gt;=4,F229&gt;=4,G229&gt;=4),"Juara",IF(AND(F229&gt;=4,E229&gt;=3),"Setia",IF(AND(E229=5,F229&lt;=2,G229&gt;=3),"Berpotensi",IF(AND(E229&lt;=3,E229&gt;=2,F229&gt;=3),"Rawan",IF(AND(E229&lt;=2,F229&lt;=2),"Tidur","Umum"))))))</f>
        <v/>
      </c>
    </row>
    <row r="230">
      <c r="B230">
        <f>IF(A230="","",$B$1-MAXIFS(Donasi!$A$2:$A$20000,Donasi!$B$2:$B$20000,A230))</f>
        <v/>
      </c>
      <c r="C230">
        <f>IF(A230="","",COUNTIF(Donasi!$B$2:$B$20000,A230))</f>
        <v/>
      </c>
      <c r="D230">
        <f>IF(A230="","",SUMIF(Donasi!$B$2:$B$20000,A230,Donasi!$C$2:$C$20000))</f>
        <v/>
      </c>
      <c r="E230">
        <f>IF(A230="","",6-CEILING(PERCENTRANK.INC($B$3:$B$6000,B230,4)*5+0.000001,1))</f>
        <v/>
      </c>
      <c r="F230">
        <f>IF(A230="","",MAX(1,CEILING(PERCENTRANK.INC($C$3:$C$6000,C230,4)*5+0.000001,1)))</f>
        <v/>
      </c>
      <c r="G230">
        <f>IF(A230="","",MAX(1,CEILING(PERCENTRANK.INC($D$3:$D$6000,D230,4)*5+0.000001,1)))</f>
        <v/>
      </c>
      <c r="H230">
        <f>IF(A230="","",E230&amp;F230&amp;G230)</f>
        <v/>
      </c>
      <c r="I230">
        <f>IF(A230="","",IF(AND(E230&gt;=4,F230&gt;=4,G230&gt;=4),"Juara",IF(AND(F230&gt;=4,E230&gt;=3),"Setia",IF(AND(E230=5,F230&lt;=2,G230&gt;=3),"Berpotensi",IF(AND(E230&lt;=3,E230&gt;=2,F230&gt;=3),"Rawan",IF(AND(E230&lt;=2,F230&lt;=2),"Tidur","Umum"))))))</f>
        <v/>
      </c>
    </row>
    <row r="231">
      <c r="B231">
        <f>IF(A231="","",$B$1-MAXIFS(Donasi!$A$2:$A$20000,Donasi!$B$2:$B$20000,A231))</f>
        <v/>
      </c>
      <c r="C231">
        <f>IF(A231="","",COUNTIF(Donasi!$B$2:$B$20000,A231))</f>
        <v/>
      </c>
      <c r="D231">
        <f>IF(A231="","",SUMIF(Donasi!$B$2:$B$20000,A231,Donasi!$C$2:$C$20000))</f>
        <v/>
      </c>
      <c r="E231">
        <f>IF(A231="","",6-CEILING(PERCENTRANK.INC($B$3:$B$6000,B231,4)*5+0.000001,1))</f>
        <v/>
      </c>
      <c r="F231">
        <f>IF(A231="","",MAX(1,CEILING(PERCENTRANK.INC($C$3:$C$6000,C231,4)*5+0.000001,1)))</f>
        <v/>
      </c>
      <c r="G231">
        <f>IF(A231="","",MAX(1,CEILING(PERCENTRANK.INC($D$3:$D$6000,D231,4)*5+0.000001,1)))</f>
        <v/>
      </c>
      <c r="H231">
        <f>IF(A231="","",E231&amp;F231&amp;G231)</f>
        <v/>
      </c>
      <c r="I231">
        <f>IF(A231="","",IF(AND(E231&gt;=4,F231&gt;=4,G231&gt;=4),"Juara",IF(AND(F231&gt;=4,E231&gt;=3),"Setia",IF(AND(E231=5,F231&lt;=2,G231&gt;=3),"Berpotensi",IF(AND(E231&lt;=3,E231&gt;=2,F231&gt;=3),"Rawan",IF(AND(E231&lt;=2,F231&lt;=2),"Tidur","Umum"))))))</f>
        <v/>
      </c>
    </row>
    <row r="232">
      <c r="B232">
        <f>IF(A232="","",$B$1-MAXIFS(Donasi!$A$2:$A$20000,Donasi!$B$2:$B$20000,A232))</f>
        <v/>
      </c>
      <c r="C232">
        <f>IF(A232="","",COUNTIF(Donasi!$B$2:$B$20000,A232))</f>
        <v/>
      </c>
      <c r="D232">
        <f>IF(A232="","",SUMIF(Donasi!$B$2:$B$20000,A232,Donasi!$C$2:$C$20000))</f>
        <v/>
      </c>
      <c r="E232">
        <f>IF(A232="","",6-CEILING(PERCENTRANK.INC($B$3:$B$6000,B232,4)*5+0.000001,1))</f>
        <v/>
      </c>
      <c r="F232">
        <f>IF(A232="","",MAX(1,CEILING(PERCENTRANK.INC($C$3:$C$6000,C232,4)*5+0.000001,1)))</f>
        <v/>
      </c>
      <c r="G232">
        <f>IF(A232="","",MAX(1,CEILING(PERCENTRANK.INC($D$3:$D$6000,D232,4)*5+0.000001,1)))</f>
        <v/>
      </c>
      <c r="H232">
        <f>IF(A232="","",E232&amp;F232&amp;G232)</f>
        <v/>
      </c>
      <c r="I232">
        <f>IF(A232="","",IF(AND(E232&gt;=4,F232&gt;=4,G232&gt;=4),"Juara",IF(AND(F232&gt;=4,E232&gt;=3),"Setia",IF(AND(E232=5,F232&lt;=2,G232&gt;=3),"Berpotensi",IF(AND(E232&lt;=3,E232&gt;=2,F232&gt;=3),"Rawan",IF(AND(E232&lt;=2,F232&lt;=2),"Tidur","Umum"))))))</f>
        <v/>
      </c>
    </row>
    <row r="233">
      <c r="B233">
        <f>IF(A233="","",$B$1-MAXIFS(Donasi!$A$2:$A$20000,Donasi!$B$2:$B$20000,A233))</f>
        <v/>
      </c>
      <c r="C233">
        <f>IF(A233="","",COUNTIF(Donasi!$B$2:$B$20000,A233))</f>
        <v/>
      </c>
      <c r="D233">
        <f>IF(A233="","",SUMIF(Donasi!$B$2:$B$20000,A233,Donasi!$C$2:$C$20000))</f>
        <v/>
      </c>
      <c r="E233">
        <f>IF(A233="","",6-CEILING(PERCENTRANK.INC($B$3:$B$6000,B233,4)*5+0.000001,1))</f>
        <v/>
      </c>
      <c r="F233">
        <f>IF(A233="","",MAX(1,CEILING(PERCENTRANK.INC($C$3:$C$6000,C233,4)*5+0.000001,1)))</f>
        <v/>
      </c>
      <c r="G233">
        <f>IF(A233="","",MAX(1,CEILING(PERCENTRANK.INC($D$3:$D$6000,D233,4)*5+0.000001,1)))</f>
        <v/>
      </c>
      <c r="H233">
        <f>IF(A233="","",E233&amp;F233&amp;G233)</f>
        <v/>
      </c>
      <c r="I233">
        <f>IF(A233="","",IF(AND(E233&gt;=4,F233&gt;=4,G233&gt;=4),"Juara",IF(AND(F233&gt;=4,E233&gt;=3),"Setia",IF(AND(E233=5,F233&lt;=2,G233&gt;=3),"Berpotensi",IF(AND(E233&lt;=3,E233&gt;=2,F233&gt;=3),"Rawan",IF(AND(E233&lt;=2,F233&lt;=2),"Tidur","Umum"))))))</f>
        <v/>
      </c>
    </row>
    <row r="234">
      <c r="B234">
        <f>IF(A234="","",$B$1-MAXIFS(Donasi!$A$2:$A$20000,Donasi!$B$2:$B$20000,A234))</f>
        <v/>
      </c>
      <c r="C234">
        <f>IF(A234="","",COUNTIF(Donasi!$B$2:$B$20000,A234))</f>
        <v/>
      </c>
      <c r="D234">
        <f>IF(A234="","",SUMIF(Donasi!$B$2:$B$20000,A234,Donasi!$C$2:$C$20000))</f>
        <v/>
      </c>
      <c r="E234">
        <f>IF(A234="","",6-CEILING(PERCENTRANK.INC($B$3:$B$6000,B234,4)*5+0.000001,1))</f>
        <v/>
      </c>
      <c r="F234">
        <f>IF(A234="","",MAX(1,CEILING(PERCENTRANK.INC($C$3:$C$6000,C234,4)*5+0.000001,1)))</f>
        <v/>
      </c>
      <c r="G234">
        <f>IF(A234="","",MAX(1,CEILING(PERCENTRANK.INC($D$3:$D$6000,D234,4)*5+0.000001,1)))</f>
        <v/>
      </c>
      <c r="H234">
        <f>IF(A234="","",E234&amp;F234&amp;G234)</f>
        <v/>
      </c>
      <c r="I234">
        <f>IF(A234="","",IF(AND(E234&gt;=4,F234&gt;=4,G234&gt;=4),"Juara",IF(AND(F234&gt;=4,E234&gt;=3),"Setia",IF(AND(E234=5,F234&lt;=2,G234&gt;=3),"Berpotensi",IF(AND(E234&lt;=3,E234&gt;=2,F234&gt;=3),"Rawan",IF(AND(E234&lt;=2,F234&lt;=2),"Tidur","Umum"))))))</f>
        <v/>
      </c>
    </row>
    <row r="235">
      <c r="B235">
        <f>IF(A235="","",$B$1-MAXIFS(Donasi!$A$2:$A$20000,Donasi!$B$2:$B$20000,A235))</f>
        <v/>
      </c>
      <c r="C235">
        <f>IF(A235="","",COUNTIF(Donasi!$B$2:$B$20000,A235))</f>
        <v/>
      </c>
      <c r="D235">
        <f>IF(A235="","",SUMIF(Donasi!$B$2:$B$20000,A235,Donasi!$C$2:$C$20000))</f>
        <v/>
      </c>
      <c r="E235">
        <f>IF(A235="","",6-CEILING(PERCENTRANK.INC($B$3:$B$6000,B235,4)*5+0.000001,1))</f>
        <v/>
      </c>
      <c r="F235">
        <f>IF(A235="","",MAX(1,CEILING(PERCENTRANK.INC($C$3:$C$6000,C235,4)*5+0.000001,1)))</f>
        <v/>
      </c>
      <c r="G235">
        <f>IF(A235="","",MAX(1,CEILING(PERCENTRANK.INC($D$3:$D$6000,D235,4)*5+0.000001,1)))</f>
        <v/>
      </c>
      <c r="H235">
        <f>IF(A235="","",E235&amp;F235&amp;G235)</f>
        <v/>
      </c>
      <c r="I235">
        <f>IF(A235="","",IF(AND(E235&gt;=4,F235&gt;=4,G235&gt;=4),"Juara",IF(AND(F235&gt;=4,E235&gt;=3),"Setia",IF(AND(E235=5,F235&lt;=2,G235&gt;=3),"Berpotensi",IF(AND(E235&lt;=3,E235&gt;=2,F235&gt;=3),"Rawan",IF(AND(E235&lt;=2,F235&lt;=2),"Tidur","Umum"))))))</f>
        <v/>
      </c>
    </row>
    <row r="236">
      <c r="B236">
        <f>IF(A236="","",$B$1-MAXIFS(Donasi!$A$2:$A$20000,Donasi!$B$2:$B$20000,A236))</f>
        <v/>
      </c>
      <c r="C236">
        <f>IF(A236="","",COUNTIF(Donasi!$B$2:$B$20000,A236))</f>
        <v/>
      </c>
      <c r="D236">
        <f>IF(A236="","",SUMIF(Donasi!$B$2:$B$20000,A236,Donasi!$C$2:$C$20000))</f>
        <v/>
      </c>
      <c r="E236">
        <f>IF(A236="","",6-CEILING(PERCENTRANK.INC($B$3:$B$6000,B236,4)*5+0.000001,1))</f>
        <v/>
      </c>
      <c r="F236">
        <f>IF(A236="","",MAX(1,CEILING(PERCENTRANK.INC($C$3:$C$6000,C236,4)*5+0.000001,1)))</f>
        <v/>
      </c>
      <c r="G236">
        <f>IF(A236="","",MAX(1,CEILING(PERCENTRANK.INC($D$3:$D$6000,D236,4)*5+0.000001,1)))</f>
        <v/>
      </c>
      <c r="H236">
        <f>IF(A236="","",E236&amp;F236&amp;G236)</f>
        <v/>
      </c>
      <c r="I236">
        <f>IF(A236="","",IF(AND(E236&gt;=4,F236&gt;=4,G236&gt;=4),"Juara",IF(AND(F236&gt;=4,E236&gt;=3),"Setia",IF(AND(E236=5,F236&lt;=2,G236&gt;=3),"Berpotensi",IF(AND(E236&lt;=3,E236&gt;=2,F236&gt;=3),"Rawan",IF(AND(E236&lt;=2,F236&lt;=2),"Tidur","Umum"))))))</f>
        <v/>
      </c>
    </row>
    <row r="237">
      <c r="B237">
        <f>IF(A237="","",$B$1-MAXIFS(Donasi!$A$2:$A$20000,Donasi!$B$2:$B$20000,A237))</f>
        <v/>
      </c>
      <c r="C237">
        <f>IF(A237="","",COUNTIF(Donasi!$B$2:$B$20000,A237))</f>
        <v/>
      </c>
      <c r="D237">
        <f>IF(A237="","",SUMIF(Donasi!$B$2:$B$20000,A237,Donasi!$C$2:$C$20000))</f>
        <v/>
      </c>
      <c r="E237">
        <f>IF(A237="","",6-CEILING(PERCENTRANK.INC($B$3:$B$6000,B237,4)*5+0.000001,1))</f>
        <v/>
      </c>
      <c r="F237">
        <f>IF(A237="","",MAX(1,CEILING(PERCENTRANK.INC($C$3:$C$6000,C237,4)*5+0.000001,1)))</f>
        <v/>
      </c>
      <c r="G237">
        <f>IF(A237="","",MAX(1,CEILING(PERCENTRANK.INC($D$3:$D$6000,D237,4)*5+0.000001,1)))</f>
        <v/>
      </c>
      <c r="H237">
        <f>IF(A237="","",E237&amp;F237&amp;G237)</f>
        <v/>
      </c>
      <c r="I237">
        <f>IF(A237="","",IF(AND(E237&gt;=4,F237&gt;=4,G237&gt;=4),"Juara",IF(AND(F237&gt;=4,E237&gt;=3),"Setia",IF(AND(E237=5,F237&lt;=2,G237&gt;=3),"Berpotensi",IF(AND(E237&lt;=3,E237&gt;=2,F237&gt;=3),"Rawan",IF(AND(E237&lt;=2,F237&lt;=2),"Tidur","Umum"))))))</f>
        <v/>
      </c>
    </row>
    <row r="238">
      <c r="B238">
        <f>IF(A238="","",$B$1-MAXIFS(Donasi!$A$2:$A$20000,Donasi!$B$2:$B$20000,A238))</f>
        <v/>
      </c>
      <c r="C238">
        <f>IF(A238="","",COUNTIF(Donasi!$B$2:$B$20000,A238))</f>
        <v/>
      </c>
      <c r="D238">
        <f>IF(A238="","",SUMIF(Donasi!$B$2:$B$20000,A238,Donasi!$C$2:$C$20000))</f>
        <v/>
      </c>
      <c r="E238">
        <f>IF(A238="","",6-CEILING(PERCENTRANK.INC($B$3:$B$6000,B238,4)*5+0.000001,1))</f>
        <v/>
      </c>
      <c r="F238">
        <f>IF(A238="","",MAX(1,CEILING(PERCENTRANK.INC($C$3:$C$6000,C238,4)*5+0.000001,1)))</f>
        <v/>
      </c>
      <c r="G238">
        <f>IF(A238="","",MAX(1,CEILING(PERCENTRANK.INC($D$3:$D$6000,D238,4)*5+0.000001,1)))</f>
        <v/>
      </c>
      <c r="H238">
        <f>IF(A238="","",E238&amp;F238&amp;G238)</f>
        <v/>
      </c>
      <c r="I238">
        <f>IF(A238="","",IF(AND(E238&gt;=4,F238&gt;=4,G238&gt;=4),"Juara",IF(AND(F238&gt;=4,E238&gt;=3),"Setia",IF(AND(E238=5,F238&lt;=2,G238&gt;=3),"Berpotensi",IF(AND(E238&lt;=3,E238&gt;=2,F238&gt;=3),"Rawan",IF(AND(E238&lt;=2,F238&lt;=2),"Tidur","Umum"))))))</f>
        <v/>
      </c>
    </row>
    <row r="239">
      <c r="B239">
        <f>IF(A239="","",$B$1-MAXIFS(Donasi!$A$2:$A$20000,Donasi!$B$2:$B$20000,A239))</f>
        <v/>
      </c>
      <c r="C239">
        <f>IF(A239="","",COUNTIF(Donasi!$B$2:$B$20000,A239))</f>
        <v/>
      </c>
      <c r="D239">
        <f>IF(A239="","",SUMIF(Donasi!$B$2:$B$20000,A239,Donasi!$C$2:$C$20000))</f>
        <v/>
      </c>
      <c r="E239">
        <f>IF(A239="","",6-CEILING(PERCENTRANK.INC($B$3:$B$6000,B239,4)*5+0.000001,1))</f>
        <v/>
      </c>
      <c r="F239">
        <f>IF(A239="","",MAX(1,CEILING(PERCENTRANK.INC($C$3:$C$6000,C239,4)*5+0.000001,1)))</f>
        <v/>
      </c>
      <c r="G239">
        <f>IF(A239="","",MAX(1,CEILING(PERCENTRANK.INC($D$3:$D$6000,D239,4)*5+0.000001,1)))</f>
        <v/>
      </c>
      <c r="H239">
        <f>IF(A239="","",E239&amp;F239&amp;G239)</f>
        <v/>
      </c>
      <c r="I239">
        <f>IF(A239="","",IF(AND(E239&gt;=4,F239&gt;=4,G239&gt;=4),"Juara",IF(AND(F239&gt;=4,E239&gt;=3),"Setia",IF(AND(E239=5,F239&lt;=2,G239&gt;=3),"Berpotensi",IF(AND(E239&lt;=3,E239&gt;=2,F239&gt;=3),"Rawan",IF(AND(E239&lt;=2,F239&lt;=2),"Tidur","Umum"))))))</f>
        <v/>
      </c>
    </row>
    <row r="240">
      <c r="B240">
        <f>IF(A240="","",$B$1-MAXIFS(Donasi!$A$2:$A$20000,Donasi!$B$2:$B$20000,A240))</f>
        <v/>
      </c>
      <c r="C240">
        <f>IF(A240="","",COUNTIF(Donasi!$B$2:$B$20000,A240))</f>
        <v/>
      </c>
      <c r="D240">
        <f>IF(A240="","",SUMIF(Donasi!$B$2:$B$20000,A240,Donasi!$C$2:$C$20000))</f>
        <v/>
      </c>
      <c r="E240">
        <f>IF(A240="","",6-CEILING(PERCENTRANK.INC($B$3:$B$6000,B240,4)*5+0.000001,1))</f>
        <v/>
      </c>
      <c r="F240">
        <f>IF(A240="","",MAX(1,CEILING(PERCENTRANK.INC($C$3:$C$6000,C240,4)*5+0.000001,1)))</f>
        <v/>
      </c>
      <c r="G240">
        <f>IF(A240="","",MAX(1,CEILING(PERCENTRANK.INC($D$3:$D$6000,D240,4)*5+0.000001,1)))</f>
        <v/>
      </c>
      <c r="H240">
        <f>IF(A240="","",E240&amp;F240&amp;G240)</f>
        <v/>
      </c>
      <c r="I240">
        <f>IF(A240="","",IF(AND(E240&gt;=4,F240&gt;=4,G240&gt;=4),"Juara",IF(AND(F240&gt;=4,E240&gt;=3),"Setia",IF(AND(E240=5,F240&lt;=2,G240&gt;=3),"Berpotensi",IF(AND(E240&lt;=3,E240&gt;=2,F240&gt;=3),"Rawan",IF(AND(E240&lt;=2,F240&lt;=2),"Tidur","Umum"))))))</f>
        <v/>
      </c>
    </row>
    <row r="241">
      <c r="B241">
        <f>IF(A241="","",$B$1-MAXIFS(Donasi!$A$2:$A$20000,Donasi!$B$2:$B$20000,A241))</f>
        <v/>
      </c>
      <c r="C241">
        <f>IF(A241="","",COUNTIF(Donasi!$B$2:$B$20000,A241))</f>
        <v/>
      </c>
      <c r="D241">
        <f>IF(A241="","",SUMIF(Donasi!$B$2:$B$20000,A241,Donasi!$C$2:$C$20000))</f>
        <v/>
      </c>
      <c r="E241">
        <f>IF(A241="","",6-CEILING(PERCENTRANK.INC($B$3:$B$6000,B241,4)*5+0.000001,1))</f>
        <v/>
      </c>
      <c r="F241">
        <f>IF(A241="","",MAX(1,CEILING(PERCENTRANK.INC($C$3:$C$6000,C241,4)*5+0.000001,1)))</f>
        <v/>
      </c>
      <c r="G241">
        <f>IF(A241="","",MAX(1,CEILING(PERCENTRANK.INC($D$3:$D$6000,D241,4)*5+0.000001,1)))</f>
        <v/>
      </c>
      <c r="H241">
        <f>IF(A241="","",E241&amp;F241&amp;G241)</f>
        <v/>
      </c>
      <c r="I241">
        <f>IF(A241="","",IF(AND(E241&gt;=4,F241&gt;=4,G241&gt;=4),"Juara",IF(AND(F241&gt;=4,E241&gt;=3),"Setia",IF(AND(E241=5,F241&lt;=2,G241&gt;=3),"Berpotensi",IF(AND(E241&lt;=3,E241&gt;=2,F241&gt;=3),"Rawan",IF(AND(E241&lt;=2,F241&lt;=2),"Tidur","Umum"))))))</f>
        <v/>
      </c>
    </row>
    <row r="242">
      <c r="B242">
        <f>IF(A242="","",$B$1-MAXIFS(Donasi!$A$2:$A$20000,Donasi!$B$2:$B$20000,A242))</f>
        <v/>
      </c>
      <c r="C242">
        <f>IF(A242="","",COUNTIF(Donasi!$B$2:$B$20000,A242))</f>
        <v/>
      </c>
      <c r="D242">
        <f>IF(A242="","",SUMIF(Donasi!$B$2:$B$20000,A242,Donasi!$C$2:$C$20000))</f>
        <v/>
      </c>
      <c r="E242">
        <f>IF(A242="","",6-CEILING(PERCENTRANK.INC($B$3:$B$6000,B242,4)*5+0.000001,1))</f>
        <v/>
      </c>
      <c r="F242">
        <f>IF(A242="","",MAX(1,CEILING(PERCENTRANK.INC($C$3:$C$6000,C242,4)*5+0.000001,1)))</f>
        <v/>
      </c>
      <c r="G242">
        <f>IF(A242="","",MAX(1,CEILING(PERCENTRANK.INC($D$3:$D$6000,D242,4)*5+0.000001,1)))</f>
        <v/>
      </c>
      <c r="H242">
        <f>IF(A242="","",E242&amp;F242&amp;G242)</f>
        <v/>
      </c>
      <c r="I242">
        <f>IF(A242="","",IF(AND(E242&gt;=4,F242&gt;=4,G242&gt;=4),"Juara",IF(AND(F242&gt;=4,E242&gt;=3),"Setia",IF(AND(E242=5,F242&lt;=2,G242&gt;=3),"Berpotensi",IF(AND(E242&lt;=3,E242&gt;=2,F242&gt;=3),"Rawan",IF(AND(E242&lt;=2,F242&lt;=2),"Tidur","Umum"))))))</f>
        <v/>
      </c>
    </row>
    <row r="243">
      <c r="B243">
        <f>IF(A243="","",$B$1-MAXIFS(Donasi!$A$2:$A$20000,Donasi!$B$2:$B$20000,A243))</f>
        <v/>
      </c>
      <c r="C243">
        <f>IF(A243="","",COUNTIF(Donasi!$B$2:$B$20000,A243))</f>
        <v/>
      </c>
      <c r="D243">
        <f>IF(A243="","",SUMIF(Donasi!$B$2:$B$20000,A243,Donasi!$C$2:$C$20000))</f>
        <v/>
      </c>
      <c r="E243">
        <f>IF(A243="","",6-CEILING(PERCENTRANK.INC($B$3:$B$6000,B243,4)*5+0.000001,1))</f>
        <v/>
      </c>
      <c r="F243">
        <f>IF(A243="","",MAX(1,CEILING(PERCENTRANK.INC($C$3:$C$6000,C243,4)*5+0.000001,1)))</f>
        <v/>
      </c>
      <c r="G243">
        <f>IF(A243="","",MAX(1,CEILING(PERCENTRANK.INC($D$3:$D$6000,D243,4)*5+0.000001,1)))</f>
        <v/>
      </c>
      <c r="H243">
        <f>IF(A243="","",E243&amp;F243&amp;G243)</f>
        <v/>
      </c>
      <c r="I243">
        <f>IF(A243="","",IF(AND(E243&gt;=4,F243&gt;=4,G243&gt;=4),"Juara",IF(AND(F243&gt;=4,E243&gt;=3),"Setia",IF(AND(E243=5,F243&lt;=2,G243&gt;=3),"Berpotensi",IF(AND(E243&lt;=3,E243&gt;=2,F243&gt;=3),"Rawan",IF(AND(E243&lt;=2,F243&lt;=2),"Tidur","Umum"))))))</f>
        <v/>
      </c>
    </row>
    <row r="244">
      <c r="B244">
        <f>IF(A244="","",$B$1-MAXIFS(Donasi!$A$2:$A$20000,Donasi!$B$2:$B$20000,A244))</f>
        <v/>
      </c>
      <c r="C244">
        <f>IF(A244="","",COUNTIF(Donasi!$B$2:$B$20000,A244))</f>
        <v/>
      </c>
      <c r="D244">
        <f>IF(A244="","",SUMIF(Donasi!$B$2:$B$20000,A244,Donasi!$C$2:$C$20000))</f>
        <v/>
      </c>
      <c r="E244">
        <f>IF(A244="","",6-CEILING(PERCENTRANK.INC($B$3:$B$6000,B244,4)*5+0.000001,1))</f>
        <v/>
      </c>
      <c r="F244">
        <f>IF(A244="","",MAX(1,CEILING(PERCENTRANK.INC($C$3:$C$6000,C244,4)*5+0.000001,1)))</f>
        <v/>
      </c>
      <c r="G244">
        <f>IF(A244="","",MAX(1,CEILING(PERCENTRANK.INC($D$3:$D$6000,D244,4)*5+0.000001,1)))</f>
        <v/>
      </c>
      <c r="H244">
        <f>IF(A244="","",E244&amp;F244&amp;G244)</f>
        <v/>
      </c>
      <c r="I244">
        <f>IF(A244="","",IF(AND(E244&gt;=4,F244&gt;=4,G244&gt;=4),"Juara",IF(AND(F244&gt;=4,E244&gt;=3),"Setia",IF(AND(E244=5,F244&lt;=2,G244&gt;=3),"Berpotensi",IF(AND(E244&lt;=3,E244&gt;=2,F244&gt;=3),"Rawan",IF(AND(E244&lt;=2,F244&lt;=2),"Tidur","Umum"))))))</f>
        <v/>
      </c>
    </row>
    <row r="245">
      <c r="B245">
        <f>IF(A245="","",$B$1-MAXIFS(Donasi!$A$2:$A$20000,Donasi!$B$2:$B$20000,A245))</f>
        <v/>
      </c>
      <c r="C245">
        <f>IF(A245="","",COUNTIF(Donasi!$B$2:$B$20000,A245))</f>
        <v/>
      </c>
      <c r="D245">
        <f>IF(A245="","",SUMIF(Donasi!$B$2:$B$20000,A245,Donasi!$C$2:$C$20000))</f>
        <v/>
      </c>
      <c r="E245">
        <f>IF(A245="","",6-CEILING(PERCENTRANK.INC($B$3:$B$6000,B245,4)*5+0.000001,1))</f>
        <v/>
      </c>
      <c r="F245">
        <f>IF(A245="","",MAX(1,CEILING(PERCENTRANK.INC($C$3:$C$6000,C245,4)*5+0.000001,1)))</f>
        <v/>
      </c>
      <c r="G245">
        <f>IF(A245="","",MAX(1,CEILING(PERCENTRANK.INC($D$3:$D$6000,D245,4)*5+0.000001,1)))</f>
        <v/>
      </c>
      <c r="H245">
        <f>IF(A245="","",E245&amp;F245&amp;G245)</f>
        <v/>
      </c>
      <c r="I245">
        <f>IF(A245="","",IF(AND(E245&gt;=4,F245&gt;=4,G245&gt;=4),"Juara",IF(AND(F245&gt;=4,E245&gt;=3),"Setia",IF(AND(E245=5,F245&lt;=2,G245&gt;=3),"Berpotensi",IF(AND(E245&lt;=3,E245&gt;=2,F245&gt;=3),"Rawan",IF(AND(E245&lt;=2,F245&lt;=2),"Tidur","Umum"))))))</f>
        <v/>
      </c>
    </row>
    <row r="246">
      <c r="B246">
        <f>IF(A246="","",$B$1-MAXIFS(Donasi!$A$2:$A$20000,Donasi!$B$2:$B$20000,A246))</f>
        <v/>
      </c>
      <c r="C246">
        <f>IF(A246="","",COUNTIF(Donasi!$B$2:$B$20000,A246))</f>
        <v/>
      </c>
      <c r="D246">
        <f>IF(A246="","",SUMIF(Donasi!$B$2:$B$20000,A246,Donasi!$C$2:$C$20000))</f>
        <v/>
      </c>
      <c r="E246">
        <f>IF(A246="","",6-CEILING(PERCENTRANK.INC($B$3:$B$6000,B246,4)*5+0.000001,1))</f>
        <v/>
      </c>
      <c r="F246">
        <f>IF(A246="","",MAX(1,CEILING(PERCENTRANK.INC($C$3:$C$6000,C246,4)*5+0.000001,1)))</f>
        <v/>
      </c>
      <c r="G246">
        <f>IF(A246="","",MAX(1,CEILING(PERCENTRANK.INC($D$3:$D$6000,D246,4)*5+0.000001,1)))</f>
        <v/>
      </c>
      <c r="H246">
        <f>IF(A246="","",E246&amp;F246&amp;G246)</f>
        <v/>
      </c>
      <c r="I246">
        <f>IF(A246="","",IF(AND(E246&gt;=4,F246&gt;=4,G246&gt;=4),"Juara",IF(AND(F246&gt;=4,E246&gt;=3),"Setia",IF(AND(E246=5,F246&lt;=2,G246&gt;=3),"Berpotensi",IF(AND(E246&lt;=3,E246&gt;=2,F246&gt;=3),"Rawan",IF(AND(E246&lt;=2,F246&lt;=2),"Tidur","Umum"))))))</f>
        <v/>
      </c>
    </row>
    <row r="247">
      <c r="B247">
        <f>IF(A247="","",$B$1-MAXIFS(Donasi!$A$2:$A$20000,Donasi!$B$2:$B$20000,A247))</f>
        <v/>
      </c>
      <c r="C247">
        <f>IF(A247="","",COUNTIF(Donasi!$B$2:$B$20000,A247))</f>
        <v/>
      </c>
      <c r="D247">
        <f>IF(A247="","",SUMIF(Donasi!$B$2:$B$20000,A247,Donasi!$C$2:$C$20000))</f>
        <v/>
      </c>
      <c r="E247">
        <f>IF(A247="","",6-CEILING(PERCENTRANK.INC($B$3:$B$6000,B247,4)*5+0.000001,1))</f>
        <v/>
      </c>
      <c r="F247">
        <f>IF(A247="","",MAX(1,CEILING(PERCENTRANK.INC($C$3:$C$6000,C247,4)*5+0.000001,1)))</f>
        <v/>
      </c>
      <c r="G247">
        <f>IF(A247="","",MAX(1,CEILING(PERCENTRANK.INC($D$3:$D$6000,D247,4)*5+0.000001,1)))</f>
        <v/>
      </c>
      <c r="H247">
        <f>IF(A247="","",E247&amp;F247&amp;G247)</f>
        <v/>
      </c>
      <c r="I247">
        <f>IF(A247="","",IF(AND(E247&gt;=4,F247&gt;=4,G247&gt;=4),"Juara",IF(AND(F247&gt;=4,E247&gt;=3),"Setia",IF(AND(E247=5,F247&lt;=2,G247&gt;=3),"Berpotensi",IF(AND(E247&lt;=3,E247&gt;=2,F247&gt;=3),"Rawan",IF(AND(E247&lt;=2,F247&lt;=2),"Tidur","Umum"))))))</f>
        <v/>
      </c>
    </row>
    <row r="248">
      <c r="B248">
        <f>IF(A248="","",$B$1-MAXIFS(Donasi!$A$2:$A$20000,Donasi!$B$2:$B$20000,A248))</f>
        <v/>
      </c>
      <c r="C248">
        <f>IF(A248="","",COUNTIF(Donasi!$B$2:$B$20000,A248))</f>
        <v/>
      </c>
      <c r="D248">
        <f>IF(A248="","",SUMIF(Donasi!$B$2:$B$20000,A248,Donasi!$C$2:$C$20000))</f>
        <v/>
      </c>
      <c r="E248">
        <f>IF(A248="","",6-CEILING(PERCENTRANK.INC($B$3:$B$6000,B248,4)*5+0.000001,1))</f>
        <v/>
      </c>
      <c r="F248">
        <f>IF(A248="","",MAX(1,CEILING(PERCENTRANK.INC($C$3:$C$6000,C248,4)*5+0.000001,1)))</f>
        <v/>
      </c>
      <c r="G248">
        <f>IF(A248="","",MAX(1,CEILING(PERCENTRANK.INC($D$3:$D$6000,D248,4)*5+0.000001,1)))</f>
        <v/>
      </c>
      <c r="H248">
        <f>IF(A248="","",E248&amp;F248&amp;G248)</f>
        <v/>
      </c>
      <c r="I248">
        <f>IF(A248="","",IF(AND(E248&gt;=4,F248&gt;=4,G248&gt;=4),"Juara",IF(AND(F248&gt;=4,E248&gt;=3),"Setia",IF(AND(E248=5,F248&lt;=2,G248&gt;=3),"Berpotensi",IF(AND(E248&lt;=3,E248&gt;=2,F248&gt;=3),"Rawan",IF(AND(E248&lt;=2,F248&lt;=2),"Tidur","Umum"))))))</f>
        <v/>
      </c>
    </row>
    <row r="249">
      <c r="B249">
        <f>IF(A249="","",$B$1-MAXIFS(Donasi!$A$2:$A$20000,Donasi!$B$2:$B$20000,A249))</f>
        <v/>
      </c>
      <c r="C249">
        <f>IF(A249="","",COUNTIF(Donasi!$B$2:$B$20000,A249))</f>
        <v/>
      </c>
      <c r="D249">
        <f>IF(A249="","",SUMIF(Donasi!$B$2:$B$20000,A249,Donasi!$C$2:$C$20000))</f>
        <v/>
      </c>
      <c r="E249">
        <f>IF(A249="","",6-CEILING(PERCENTRANK.INC($B$3:$B$6000,B249,4)*5+0.000001,1))</f>
        <v/>
      </c>
      <c r="F249">
        <f>IF(A249="","",MAX(1,CEILING(PERCENTRANK.INC($C$3:$C$6000,C249,4)*5+0.000001,1)))</f>
        <v/>
      </c>
      <c r="G249">
        <f>IF(A249="","",MAX(1,CEILING(PERCENTRANK.INC($D$3:$D$6000,D249,4)*5+0.000001,1)))</f>
        <v/>
      </c>
      <c r="H249">
        <f>IF(A249="","",E249&amp;F249&amp;G249)</f>
        <v/>
      </c>
      <c r="I249">
        <f>IF(A249="","",IF(AND(E249&gt;=4,F249&gt;=4,G249&gt;=4),"Juara",IF(AND(F249&gt;=4,E249&gt;=3),"Setia",IF(AND(E249=5,F249&lt;=2,G249&gt;=3),"Berpotensi",IF(AND(E249&lt;=3,E249&gt;=2,F249&gt;=3),"Rawan",IF(AND(E249&lt;=2,F249&lt;=2),"Tidur","Umum"))))))</f>
        <v/>
      </c>
    </row>
    <row r="250">
      <c r="B250">
        <f>IF(A250="","",$B$1-MAXIFS(Donasi!$A$2:$A$20000,Donasi!$B$2:$B$20000,A250))</f>
        <v/>
      </c>
      <c r="C250">
        <f>IF(A250="","",COUNTIF(Donasi!$B$2:$B$20000,A250))</f>
        <v/>
      </c>
      <c r="D250">
        <f>IF(A250="","",SUMIF(Donasi!$B$2:$B$20000,A250,Donasi!$C$2:$C$20000))</f>
        <v/>
      </c>
      <c r="E250">
        <f>IF(A250="","",6-CEILING(PERCENTRANK.INC($B$3:$B$6000,B250,4)*5+0.000001,1))</f>
        <v/>
      </c>
      <c r="F250">
        <f>IF(A250="","",MAX(1,CEILING(PERCENTRANK.INC($C$3:$C$6000,C250,4)*5+0.000001,1)))</f>
        <v/>
      </c>
      <c r="G250">
        <f>IF(A250="","",MAX(1,CEILING(PERCENTRANK.INC($D$3:$D$6000,D250,4)*5+0.000001,1)))</f>
        <v/>
      </c>
      <c r="H250">
        <f>IF(A250="","",E250&amp;F250&amp;G250)</f>
        <v/>
      </c>
      <c r="I250">
        <f>IF(A250="","",IF(AND(E250&gt;=4,F250&gt;=4,G250&gt;=4),"Juara",IF(AND(F250&gt;=4,E250&gt;=3),"Setia",IF(AND(E250=5,F250&lt;=2,G250&gt;=3),"Berpotensi",IF(AND(E250&lt;=3,E250&gt;=2,F250&gt;=3),"Rawan",IF(AND(E250&lt;=2,F250&lt;=2),"Tidur","Umum"))))))</f>
        <v/>
      </c>
    </row>
    <row r="251">
      <c r="B251">
        <f>IF(A251="","",$B$1-MAXIFS(Donasi!$A$2:$A$20000,Donasi!$B$2:$B$20000,A251))</f>
        <v/>
      </c>
      <c r="C251">
        <f>IF(A251="","",COUNTIF(Donasi!$B$2:$B$20000,A251))</f>
        <v/>
      </c>
      <c r="D251">
        <f>IF(A251="","",SUMIF(Donasi!$B$2:$B$20000,A251,Donasi!$C$2:$C$20000))</f>
        <v/>
      </c>
      <c r="E251">
        <f>IF(A251="","",6-CEILING(PERCENTRANK.INC($B$3:$B$6000,B251,4)*5+0.000001,1))</f>
        <v/>
      </c>
      <c r="F251">
        <f>IF(A251="","",MAX(1,CEILING(PERCENTRANK.INC($C$3:$C$6000,C251,4)*5+0.000001,1)))</f>
        <v/>
      </c>
      <c r="G251">
        <f>IF(A251="","",MAX(1,CEILING(PERCENTRANK.INC($D$3:$D$6000,D251,4)*5+0.000001,1)))</f>
        <v/>
      </c>
      <c r="H251">
        <f>IF(A251="","",E251&amp;F251&amp;G251)</f>
        <v/>
      </c>
      <c r="I251">
        <f>IF(A251="","",IF(AND(E251&gt;=4,F251&gt;=4,G251&gt;=4),"Juara",IF(AND(F251&gt;=4,E251&gt;=3),"Setia",IF(AND(E251=5,F251&lt;=2,G251&gt;=3),"Berpotensi",IF(AND(E251&lt;=3,E251&gt;=2,F251&gt;=3),"Rawan",IF(AND(E251&lt;=2,F251&lt;=2),"Tidur","Umum"))))))</f>
        <v/>
      </c>
    </row>
    <row r="252">
      <c r="B252">
        <f>IF(A252="","",$B$1-MAXIFS(Donasi!$A$2:$A$20000,Donasi!$B$2:$B$20000,A252))</f>
        <v/>
      </c>
      <c r="C252">
        <f>IF(A252="","",COUNTIF(Donasi!$B$2:$B$20000,A252))</f>
        <v/>
      </c>
      <c r="D252">
        <f>IF(A252="","",SUMIF(Donasi!$B$2:$B$20000,A252,Donasi!$C$2:$C$20000))</f>
        <v/>
      </c>
      <c r="E252">
        <f>IF(A252="","",6-CEILING(PERCENTRANK.INC($B$3:$B$6000,B252,4)*5+0.000001,1))</f>
        <v/>
      </c>
      <c r="F252">
        <f>IF(A252="","",MAX(1,CEILING(PERCENTRANK.INC($C$3:$C$6000,C252,4)*5+0.000001,1)))</f>
        <v/>
      </c>
      <c r="G252">
        <f>IF(A252="","",MAX(1,CEILING(PERCENTRANK.INC($D$3:$D$6000,D252,4)*5+0.000001,1)))</f>
        <v/>
      </c>
      <c r="H252">
        <f>IF(A252="","",E252&amp;F252&amp;G252)</f>
        <v/>
      </c>
      <c r="I252">
        <f>IF(A252="","",IF(AND(E252&gt;=4,F252&gt;=4,G252&gt;=4),"Juara",IF(AND(F252&gt;=4,E252&gt;=3),"Setia",IF(AND(E252=5,F252&lt;=2,G252&gt;=3),"Berpotensi",IF(AND(E252&lt;=3,E252&gt;=2,F252&gt;=3),"Rawan",IF(AND(E252&lt;=2,F252&lt;=2),"Tidur","Umum"))))))</f>
        <v/>
      </c>
    </row>
    <row r="253">
      <c r="B253">
        <f>IF(A253="","",$B$1-MAXIFS(Donasi!$A$2:$A$20000,Donasi!$B$2:$B$20000,A253))</f>
        <v/>
      </c>
      <c r="C253">
        <f>IF(A253="","",COUNTIF(Donasi!$B$2:$B$20000,A253))</f>
        <v/>
      </c>
      <c r="D253">
        <f>IF(A253="","",SUMIF(Donasi!$B$2:$B$20000,A253,Donasi!$C$2:$C$20000))</f>
        <v/>
      </c>
      <c r="E253">
        <f>IF(A253="","",6-CEILING(PERCENTRANK.INC($B$3:$B$6000,B253,4)*5+0.000001,1))</f>
        <v/>
      </c>
      <c r="F253">
        <f>IF(A253="","",MAX(1,CEILING(PERCENTRANK.INC($C$3:$C$6000,C253,4)*5+0.000001,1)))</f>
        <v/>
      </c>
      <c r="G253">
        <f>IF(A253="","",MAX(1,CEILING(PERCENTRANK.INC($D$3:$D$6000,D253,4)*5+0.000001,1)))</f>
        <v/>
      </c>
      <c r="H253">
        <f>IF(A253="","",E253&amp;F253&amp;G253)</f>
        <v/>
      </c>
      <c r="I253">
        <f>IF(A253="","",IF(AND(E253&gt;=4,F253&gt;=4,G253&gt;=4),"Juara",IF(AND(F253&gt;=4,E253&gt;=3),"Setia",IF(AND(E253=5,F253&lt;=2,G253&gt;=3),"Berpotensi",IF(AND(E253&lt;=3,E253&gt;=2,F253&gt;=3),"Rawan",IF(AND(E253&lt;=2,F253&lt;=2),"Tidur","Umum"))))))</f>
        <v/>
      </c>
    </row>
    <row r="254">
      <c r="B254">
        <f>IF(A254="","",$B$1-MAXIFS(Donasi!$A$2:$A$20000,Donasi!$B$2:$B$20000,A254))</f>
        <v/>
      </c>
      <c r="C254">
        <f>IF(A254="","",COUNTIF(Donasi!$B$2:$B$20000,A254))</f>
        <v/>
      </c>
      <c r="D254">
        <f>IF(A254="","",SUMIF(Donasi!$B$2:$B$20000,A254,Donasi!$C$2:$C$20000))</f>
        <v/>
      </c>
      <c r="E254">
        <f>IF(A254="","",6-CEILING(PERCENTRANK.INC($B$3:$B$6000,B254,4)*5+0.000001,1))</f>
        <v/>
      </c>
      <c r="F254">
        <f>IF(A254="","",MAX(1,CEILING(PERCENTRANK.INC($C$3:$C$6000,C254,4)*5+0.000001,1)))</f>
        <v/>
      </c>
      <c r="G254">
        <f>IF(A254="","",MAX(1,CEILING(PERCENTRANK.INC($D$3:$D$6000,D254,4)*5+0.000001,1)))</f>
        <v/>
      </c>
      <c r="H254">
        <f>IF(A254="","",E254&amp;F254&amp;G254)</f>
        <v/>
      </c>
      <c r="I254">
        <f>IF(A254="","",IF(AND(E254&gt;=4,F254&gt;=4,G254&gt;=4),"Juara",IF(AND(F254&gt;=4,E254&gt;=3),"Setia",IF(AND(E254=5,F254&lt;=2,G254&gt;=3),"Berpotensi",IF(AND(E254&lt;=3,E254&gt;=2,F254&gt;=3),"Rawan",IF(AND(E254&lt;=2,F254&lt;=2),"Tidur","Umum"))))))</f>
        <v/>
      </c>
    </row>
    <row r="255">
      <c r="B255">
        <f>IF(A255="","",$B$1-MAXIFS(Donasi!$A$2:$A$20000,Donasi!$B$2:$B$20000,A255))</f>
        <v/>
      </c>
      <c r="C255">
        <f>IF(A255="","",COUNTIF(Donasi!$B$2:$B$20000,A255))</f>
        <v/>
      </c>
      <c r="D255">
        <f>IF(A255="","",SUMIF(Donasi!$B$2:$B$20000,A255,Donasi!$C$2:$C$20000))</f>
        <v/>
      </c>
      <c r="E255">
        <f>IF(A255="","",6-CEILING(PERCENTRANK.INC($B$3:$B$6000,B255,4)*5+0.000001,1))</f>
        <v/>
      </c>
      <c r="F255">
        <f>IF(A255="","",MAX(1,CEILING(PERCENTRANK.INC($C$3:$C$6000,C255,4)*5+0.000001,1)))</f>
        <v/>
      </c>
      <c r="G255">
        <f>IF(A255="","",MAX(1,CEILING(PERCENTRANK.INC($D$3:$D$6000,D255,4)*5+0.000001,1)))</f>
        <v/>
      </c>
      <c r="H255">
        <f>IF(A255="","",E255&amp;F255&amp;G255)</f>
        <v/>
      </c>
      <c r="I255">
        <f>IF(A255="","",IF(AND(E255&gt;=4,F255&gt;=4,G255&gt;=4),"Juara",IF(AND(F255&gt;=4,E255&gt;=3),"Setia",IF(AND(E255=5,F255&lt;=2,G255&gt;=3),"Berpotensi",IF(AND(E255&lt;=3,E255&gt;=2,F255&gt;=3),"Rawan",IF(AND(E255&lt;=2,F255&lt;=2),"Tidur","Umum"))))))</f>
        <v/>
      </c>
    </row>
    <row r="256">
      <c r="B256">
        <f>IF(A256="","",$B$1-MAXIFS(Donasi!$A$2:$A$20000,Donasi!$B$2:$B$20000,A256))</f>
        <v/>
      </c>
      <c r="C256">
        <f>IF(A256="","",COUNTIF(Donasi!$B$2:$B$20000,A256))</f>
        <v/>
      </c>
      <c r="D256">
        <f>IF(A256="","",SUMIF(Donasi!$B$2:$B$20000,A256,Donasi!$C$2:$C$20000))</f>
        <v/>
      </c>
      <c r="E256">
        <f>IF(A256="","",6-CEILING(PERCENTRANK.INC($B$3:$B$6000,B256,4)*5+0.000001,1))</f>
        <v/>
      </c>
      <c r="F256">
        <f>IF(A256="","",MAX(1,CEILING(PERCENTRANK.INC($C$3:$C$6000,C256,4)*5+0.000001,1)))</f>
        <v/>
      </c>
      <c r="G256">
        <f>IF(A256="","",MAX(1,CEILING(PERCENTRANK.INC($D$3:$D$6000,D256,4)*5+0.000001,1)))</f>
        <v/>
      </c>
      <c r="H256">
        <f>IF(A256="","",E256&amp;F256&amp;G256)</f>
        <v/>
      </c>
      <c r="I256">
        <f>IF(A256="","",IF(AND(E256&gt;=4,F256&gt;=4,G256&gt;=4),"Juara",IF(AND(F256&gt;=4,E256&gt;=3),"Setia",IF(AND(E256=5,F256&lt;=2,G256&gt;=3),"Berpotensi",IF(AND(E256&lt;=3,E256&gt;=2,F256&gt;=3),"Rawan",IF(AND(E256&lt;=2,F256&lt;=2),"Tidur","Umum"))))))</f>
        <v/>
      </c>
    </row>
    <row r="257">
      <c r="B257">
        <f>IF(A257="","",$B$1-MAXIFS(Donasi!$A$2:$A$20000,Donasi!$B$2:$B$20000,A257))</f>
        <v/>
      </c>
      <c r="C257">
        <f>IF(A257="","",COUNTIF(Donasi!$B$2:$B$20000,A257))</f>
        <v/>
      </c>
      <c r="D257">
        <f>IF(A257="","",SUMIF(Donasi!$B$2:$B$20000,A257,Donasi!$C$2:$C$20000))</f>
        <v/>
      </c>
      <c r="E257">
        <f>IF(A257="","",6-CEILING(PERCENTRANK.INC($B$3:$B$6000,B257,4)*5+0.000001,1))</f>
        <v/>
      </c>
      <c r="F257">
        <f>IF(A257="","",MAX(1,CEILING(PERCENTRANK.INC($C$3:$C$6000,C257,4)*5+0.000001,1)))</f>
        <v/>
      </c>
      <c r="G257">
        <f>IF(A257="","",MAX(1,CEILING(PERCENTRANK.INC($D$3:$D$6000,D257,4)*5+0.000001,1)))</f>
        <v/>
      </c>
      <c r="H257">
        <f>IF(A257="","",E257&amp;F257&amp;G257)</f>
        <v/>
      </c>
      <c r="I257">
        <f>IF(A257="","",IF(AND(E257&gt;=4,F257&gt;=4,G257&gt;=4),"Juara",IF(AND(F257&gt;=4,E257&gt;=3),"Setia",IF(AND(E257=5,F257&lt;=2,G257&gt;=3),"Berpotensi",IF(AND(E257&lt;=3,E257&gt;=2,F257&gt;=3),"Rawan",IF(AND(E257&lt;=2,F257&lt;=2),"Tidur","Umum"))))))</f>
        <v/>
      </c>
    </row>
    <row r="258">
      <c r="B258">
        <f>IF(A258="","",$B$1-MAXIFS(Donasi!$A$2:$A$20000,Donasi!$B$2:$B$20000,A258))</f>
        <v/>
      </c>
      <c r="C258">
        <f>IF(A258="","",COUNTIF(Donasi!$B$2:$B$20000,A258))</f>
        <v/>
      </c>
      <c r="D258">
        <f>IF(A258="","",SUMIF(Donasi!$B$2:$B$20000,A258,Donasi!$C$2:$C$20000))</f>
        <v/>
      </c>
      <c r="E258">
        <f>IF(A258="","",6-CEILING(PERCENTRANK.INC($B$3:$B$6000,B258,4)*5+0.000001,1))</f>
        <v/>
      </c>
      <c r="F258">
        <f>IF(A258="","",MAX(1,CEILING(PERCENTRANK.INC($C$3:$C$6000,C258,4)*5+0.000001,1)))</f>
        <v/>
      </c>
      <c r="G258">
        <f>IF(A258="","",MAX(1,CEILING(PERCENTRANK.INC($D$3:$D$6000,D258,4)*5+0.000001,1)))</f>
        <v/>
      </c>
      <c r="H258">
        <f>IF(A258="","",E258&amp;F258&amp;G258)</f>
        <v/>
      </c>
      <c r="I258">
        <f>IF(A258="","",IF(AND(E258&gt;=4,F258&gt;=4,G258&gt;=4),"Juara",IF(AND(F258&gt;=4,E258&gt;=3),"Setia",IF(AND(E258=5,F258&lt;=2,G258&gt;=3),"Berpotensi",IF(AND(E258&lt;=3,E258&gt;=2,F258&gt;=3),"Rawan",IF(AND(E258&lt;=2,F258&lt;=2),"Tidur","Umum"))))))</f>
        <v/>
      </c>
    </row>
    <row r="259">
      <c r="B259">
        <f>IF(A259="","",$B$1-MAXIFS(Donasi!$A$2:$A$20000,Donasi!$B$2:$B$20000,A259))</f>
        <v/>
      </c>
      <c r="C259">
        <f>IF(A259="","",COUNTIF(Donasi!$B$2:$B$20000,A259))</f>
        <v/>
      </c>
      <c r="D259">
        <f>IF(A259="","",SUMIF(Donasi!$B$2:$B$20000,A259,Donasi!$C$2:$C$20000))</f>
        <v/>
      </c>
      <c r="E259">
        <f>IF(A259="","",6-CEILING(PERCENTRANK.INC($B$3:$B$6000,B259,4)*5+0.000001,1))</f>
        <v/>
      </c>
      <c r="F259">
        <f>IF(A259="","",MAX(1,CEILING(PERCENTRANK.INC($C$3:$C$6000,C259,4)*5+0.000001,1)))</f>
        <v/>
      </c>
      <c r="G259">
        <f>IF(A259="","",MAX(1,CEILING(PERCENTRANK.INC($D$3:$D$6000,D259,4)*5+0.000001,1)))</f>
        <v/>
      </c>
      <c r="H259">
        <f>IF(A259="","",E259&amp;F259&amp;G259)</f>
        <v/>
      </c>
      <c r="I259">
        <f>IF(A259="","",IF(AND(E259&gt;=4,F259&gt;=4,G259&gt;=4),"Juara",IF(AND(F259&gt;=4,E259&gt;=3),"Setia",IF(AND(E259=5,F259&lt;=2,G259&gt;=3),"Berpotensi",IF(AND(E259&lt;=3,E259&gt;=2,F259&gt;=3),"Rawan",IF(AND(E259&lt;=2,F259&lt;=2),"Tidur","Umum"))))))</f>
        <v/>
      </c>
    </row>
    <row r="260">
      <c r="B260">
        <f>IF(A260="","",$B$1-MAXIFS(Donasi!$A$2:$A$20000,Donasi!$B$2:$B$20000,A260))</f>
        <v/>
      </c>
      <c r="C260">
        <f>IF(A260="","",COUNTIF(Donasi!$B$2:$B$20000,A260))</f>
        <v/>
      </c>
      <c r="D260">
        <f>IF(A260="","",SUMIF(Donasi!$B$2:$B$20000,A260,Donasi!$C$2:$C$20000))</f>
        <v/>
      </c>
      <c r="E260">
        <f>IF(A260="","",6-CEILING(PERCENTRANK.INC($B$3:$B$6000,B260,4)*5+0.000001,1))</f>
        <v/>
      </c>
      <c r="F260">
        <f>IF(A260="","",MAX(1,CEILING(PERCENTRANK.INC($C$3:$C$6000,C260,4)*5+0.000001,1)))</f>
        <v/>
      </c>
      <c r="G260">
        <f>IF(A260="","",MAX(1,CEILING(PERCENTRANK.INC($D$3:$D$6000,D260,4)*5+0.000001,1)))</f>
        <v/>
      </c>
      <c r="H260">
        <f>IF(A260="","",E260&amp;F260&amp;G260)</f>
        <v/>
      </c>
      <c r="I260">
        <f>IF(A260="","",IF(AND(E260&gt;=4,F260&gt;=4,G260&gt;=4),"Juara",IF(AND(F260&gt;=4,E260&gt;=3),"Setia",IF(AND(E260=5,F260&lt;=2,G260&gt;=3),"Berpotensi",IF(AND(E260&lt;=3,E260&gt;=2,F260&gt;=3),"Rawan",IF(AND(E260&lt;=2,F260&lt;=2),"Tidur","Umum"))))))</f>
        <v/>
      </c>
    </row>
    <row r="261">
      <c r="B261">
        <f>IF(A261="","",$B$1-MAXIFS(Donasi!$A$2:$A$20000,Donasi!$B$2:$B$20000,A261))</f>
        <v/>
      </c>
      <c r="C261">
        <f>IF(A261="","",COUNTIF(Donasi!$B$2:$B$20000,A261))</f>
        <v/>
      </c>
      <c r="D261">
        <f>IF(A261="","",SUMIF(Donasi!$B$2:$B$20000,A261,Donasi!$C$2:$C$20000))</f>
        <v/>
      </c>
      <c r="E261">
        <f>IF(A261="","",6-CEILING(PERCENTRANK.INC($B$3:$B$6000,B261,4)*5+0.000001,1))</f>
        <v/>
      </c>
      <c r="F261">
        <f>IF(A261="","",MAX(1,CEILING(PERCENTRANK.INC($C$3:$C$6000,C261,4)*5+0.000001,1)))</f>
        <v/>
      </c>
      <c r="G261">
        <f>IF(A261="","",MAX(1,CEILING(PERCENTRANK.INC($D$3:$D$6000,D261,4)*5+0.000001,1)))</f>
        <v/>
      </c>
      <c r="H261">
        <f>IF(A261="","",E261&amp;F261&amp;G261)</f>
        <v/>
      </c>
      <c r="I261">
        <f>IF(A261="","",IF(AND(E261&gt;=4,F261&gt;=4,G261&gt;=4),"Juara",IF(AND(F261&gt;=4,E261&gt;=3),"Setia",IF(AND(E261=5,F261&lt;=2,G261&gt;=3),"Berpotensi",IF(AND(E261&lt;=3,E261&gt;=2,F261&gt;=3),"Rawan",IF(AND(E261&lt;=2,F261&lt;=2),"Tidur","Umum"))))))</f>
        <v/>
      </c>
    </row>
    <row r="262">
      <c r="B262">
        <f>IF(A262="","",$B$1-MAXIFS(Donasi!$A$2:$A$20000,Donasi!$B$2:$B$20000,A262))</f>
        <v/>
      </c>
      <c r="C262">
        <f>IF(A262="","",COUNTIF(Donasi!$B$2:$B$20000,A262))</f>
        <v/>
      </c>
      <c r="D262">
        <f>IF(A262="","",SUMIF(Donasi!$B$2:$B$20000,A262,Donasi!$C$2:$C$20000))</f>
        <v/>
      </c>
      <c r="E262">
        <f>IF(A262="","",6-CEILING(PERCENTRANK.INC($B$3:$B$6000,B262,4)*5+0.000001,1))</f>
        <v/>
      </c>
      <c r="F262">
        <f>IF(A262="","",MAX(1,CEILING(PERCENTRANK.INC($C$3:$C$6000,C262,4)*5+0.000001,1)))</f>
        <v/>
      </c>
      <c r="G262">
        <f>IF(A262="","",MAX(1,CEILING(PERCENTRANK.INC($D$3:$D$6000,D262,4)*5+0.000001,1)))</f>
        <v/>
      </c>
      <c r="H262">
        <f>IF(A262="","",E262&amp;F262&amp;G262)</f>
        <v/>
      </c>
      <c r="I262">
        <f>IF(A262="","",IF(AND(E262&gt;=4,F262&gt;=4,G262&gt;=4),"Juara",IF(AND(F262&gt;=4,E262&gt;=3),"Setia",IF(AND(E262=5,F262&lt;=2,G262&gt;=3),"Berpotensi",IF(AND(E262&lt;=3,E262&gt;=2,F262&gt;=3),"Rawan",IF(AND(E262&lt;=2,F262&lt;=2),"Tidur","Umum"))))))</f>
        <v/>
      </c>
    </row>
    <row r="263">
      <c r="B263">
        <f>IF(A263="","",$B$1-MAXIFS(Donasi!$A$2:$A$20000,Donasi!$B$2:$B$20000,A263))</f>
        <v/>
      </c>
      <c r="C263">
        <f>IF(A263="","",COUNTIF(Donasi!$B$2:$B$20000,A263))</f>
        <v/>
      </c>
      <c r="D263">
        <f>IF(A263="","",SUMIF(Donasi!$B$2:$B$20000,A263,Donasi!$C$2:$C$20000))</f>
        <v/>
      </c>
      <c r="E263">
        <f>IF(A263="","",6-CEILING(PERCENTRANK.INC($B$3:$B$6000,B263,4)*5+0.000001,1))</f>
        <v/>
      </c>
      <c r="F263">
        <f>IF(A263="","",MAX(1,CEILING(PERCENTRANK.INC($C$3:$C$6000,C263,4)*5+0.000001,1)))</f>
        <v/>
      </c>
      <c r="G263">
        <f>IF(A263="","",MAX(1,CEILING(PERCENTRANK.INC($D$3:$D$6000,D263,4)*5+0.000001,1)))</f>
        <v/>
      </c>
      <c r="H263">
        <f>IF(A263="","",E263&amp;F263&amp;G263)</f>
        <v/>
      </c>
      <c r="I263">
        <f>IF(A263="","",IF(AND(E263&gt;=4,F263&gt;=4,G263&gt;=4),"Juara",IF(AND(F263&gt;=4,E263&gt;=3),"Setia",IF(AND(E263=5,F263&lt;=2,G263&gt;=3),"Berpotensi",IF(AND(E263&lt;=3,E263&gt;=2,F263&gt;=3),"Rawan",IF(AND(E263&lt;=2,F263&lt;=2),"Tidur","Umum"))))))</f>
        <v/>
      </c>
    </row>
    <row r="264">
      <c r="B264">
        <f>IF(A264="","",$B$1-MAXIFS(Donasi!$A$2:$A$20000,Donasi!$B$2:$B$20000,A264))</f>
        <v/>
      </c>
      <c r="C264">
        <f>IF(A264="","",COUNTIF(Donasi!$B$2:$B$20000,A264))</f>
        <v/>
      </c>
      <c r="D264">
        <f>IF(A264="","",SUMIF(Donasi!$B$2:$B$20000,A264,Donasi!$C$2:$C$20000))</f>
        <v/>
      </c>
      <c r="E264">
        <f>IF(A264="","",6-CEILING(PERCENTRANK.INC($B$3:$B$6000,B264,4)*5+0.000001,1))</f>
        <v/>
      </c>
      <c r="F264">
        <f>IF(A264="","",MAX(1,CEILING(PERCENTRANK.INC($C$3:$C$6000,C264,4)*5+0.000001,1)))</f>
        <v/>
      </c>
      <c r="G264">
        <f>IF(A264="","",MAX(1,CEILING(PERCENTRANK.INC($D$3:$D$6000,D264,4)*5+0.000001,1)))</f>
        <v/>
      </c>
      <c r="H264">
        <f>IF(A264="","",E264&amp;F264&amp;G264)</f>
        <v/>
      </c>
      <c r="I264">
        <f>IF(A264="","",IF(AND(E264&gt;=4,F264&gt;=4,G264&gt;=4),"Juara",IF(AND(F264&gt;=4,E264&gt;=3),"Setia",IF(AND(E264=5,F264&lt;=2,G264&gt;=3),"Berpotensi",IF(AND(E264&lt;=3,E264&gt;=2,F264&gt;=3),"Rawan",IF(AND(E264&lt;=2,F264&lt;=2),"Tidur","Umum"))))))</f>
        <v/>
      </c>
    </row>
    <row r="265">
      <c r="B265">
        <f>IF(A265="","",$B$1-MAXIFS(Donasi!$A$2:$A$20000,Donasi!$B$2:$B$20000,A265))</f>
        <v/>
      </c>
      <c r="C265">
        <f>IF(A265="","",COUNTIF(Donasi!$B$2:$B$20000,A265))</f>
        <v/>
      </c>
      <c r="D265">
        <f>IF(A265="","",SUMIF(Donasi!$B$2:$B$20000,A265,Donasi!$C$2:$C$20000))</f>
        <v/>
      </c>
      <c r="E265">
        <f>IF(A265="","",6-CEILING(PERCENTRANK.INC($B$3:$B$6000,B265,4)*5+0.000001,1))</f>
        <v/>
      </c>
      <c r="F265">
        <f>IF(A265="","",MAX(1,CEILING(PERCENTRANK.INC($C$3:$C$6000,C265,4)*5+0.000001,1)))</f>
        <v/>
      </c>
      <c r="G265">
        <f>IF(A265="","",MAX(1,CEILING(PERCENTRANK.INC($D$3:$D$6000,D265,4)*5+0.000001,1)))</f>
        <v/>
      </c>
      <c r="H265">
        <f>IF(A265="","",E265&amp;F265&amp;G265)</f>
        <v/>
      </c>
      <c r="I265">
        <f>IF(A265="","",IF(AND(E265&gt;=4,F265&gt;=4,G265&gt;=4),"Juara",IF(AND(F265&gt;=4,E265&gt;=3),"Setia",IF(AND(E265=5,F265&lt;=2,G265&gt;=3),"Berpotensi",IF(AND(E265&lt;=3,E265&gt;=2,F265&gt;=3),"Rawan",IF(AND(E265&lt;=2,F265&lt;=2),"Tidur","Umum"))))))</f>
        <v/>
      </c>
    </row>
    <row r="266">
      <c r="B266">
        <f>IF(A266="","",$B$1-MAXIFS(Donasi!$A$2:$A$20000,Donasi!$B$2:$B$20000,A266))</f>
        <v/>
      </c>
      <c r="C266">
        <f>IF(A266="","",COUNTIF(Donasi!$B$2:$B$20000,A266))</f>
        <v/>
      </c>
      <c r="D266">
        <f>IF(A266="","",SUMIF(Donasi!$B$2:$B$20000,A266,Donasi!$C$2:$C$20000))</f>
        <v/>
      </c>
      <c r="E266">
        <f>IF(A266="","",6-CEILING(PERCENTRANK.INC($B$3:$B$6000,B266,4)*5+0.000001,1))</f>
        <v/>
      </c>
      <c r="F266">
        <f>IF(A266="","",MAX(1,CEILING(PERCENTRANK.INC($C$3:$C$6000,C266,4)*5+0.000001,1)))</f>
        <v/>
      </c>
      <c r="G266">
        <f>IF(A266="","",MAX(1,CEILING(PERCENTRANK.INC($D$3:$D$6000,D266,4)*5+0.000001,1)))</f>
        <v/>
      </c>
      <c r="H266">
        <f>IF(A266="","",E266&amp;F266&amp;G266)</f>
        <v/>
      </c>
      <c r="I266">
        <f>IF(A266="","",IF(AND(E266&gt;=4,F266&gt;=4,G266&gt;=4),"Juara",IF(AND(F266&gt;=4,E266&gt;=3),"Setia",IF(AND(E266=5,F266&lt;=2,G266&gt;=3),"Berpotensi",IF(AND(E266&lt;=3,E266&gt;=2,F266&gt;=3),"Rawan",IF(AND(E266&lt;=2,F266&lt;=2),"Tidur","Umum"))))))</f>
        <v/>
      </c>
    </row>
    <row r="267">
      <c r="B267">
        <f>IF(A267="","",$B$1-MAXIFS(Donasi!$A$2:$A$20000,Donasi!$B$2:$B$20000,A267))</f>
        <v/>
      </c>
      <c r="C267">
        <f>IF(A267="","",COUNTIF(Donasi!$B$2:$B$20000,A267))</f>
        <v/>
      </c>
      <c r="D267">
        <f>IF(A267="","",SUMIF(Donasi!$B$2:$B$20000,A267,Donasi!$C$2:$C$20000))</f>
        <v/>
      </c>
      <c r="E267">
        <f>IF(A267="","",6-CEILING(PERCENTRANK.INC($B$3:$B$6000,B267,4)*5+0.000001,1))</f>
        <v/>
      </c>
      <c r="F267">
        <f>IF(A267="","",MAX(1,CEILING(PERCENTRANK.INC($C$3:$C$6000,C267,4)*5+0.000001,1)))</f>
        <v/>
      </c>
      <c r="G267">
        <f>IF(A267="","",MAX(1,CEILING(PERCENTRANK.INC($D$3:$D$6000,D267,4)*5+0.000001,1)))</f>
        <v/>
      </c>
      <c r="H267">
        <f>IF(A267="","",E267&amp;F267&amp;G267)</f>
        <v/>
      </c>
      <c r="I267">
        <f>IF(A267="","",IF(AND(E267&gt;=4,F267&gt;=4,G267&gt;=4),"Juara",IF(AND(F267&gt;=4,E267&gt;=3),"Setia",IF(AND(E267=5,F267&lt;=2,G267&gt;=3),"Berpotensi",IF(AND(E267&lt;=3,E267&gt;=2,F267&gt;=3),"Rawan",IF(AND(E267&lt;=2,F267&lt;=2),"Tidur","Umum"))))))</f>
        <v/>
      </c>
    </row>
    <row r="268">
      <c r="B268">
        <f>IF(A268="","",$B$1-MAXIFS(Donasi!$A$2:$A$20000,Donasi!$B$2:$B$20000,A268))</f>
        <v/>
      </c>
      <c r="C268">
        <f>IF(A268="","",COUNTIF(Donasi!$B$2:$B$20000,A268))</f>
        <v/>
      </c>
      <c r="D268">
        <f>IF(A268="","",SUMIF(Donasi!$B$2:$B$20000,A268,Donasi!$C$2:$C$20000))</f>
        <v/>
      </c>
      <c r="E268">
        <f>IF(A268="","",6-CEILING(PERCENTRANK.INC($B$3:$B$6000,B268,4)*5+0.000001,1))</f>
        <v/>
      </c>
      <c r="F268">
        <f>IF(A268="","",MAX(1,CEILING(PERCENTRANK.INC($C$3:$C$6000,C268,4)*5+0.000001,1)))</f>
        <v/>
      </c>
      <c r="G268">
        <f>IF(A268="","",MAX(1,CEILING(PERCENTRANK.INC($D$3:$D$6000,D268,4)*5+0.000001,1)))</f>
        <v/>
      </c>
      <c r="H268">
        <f>IF(A268="","",E268&amp;F268&amp;G268)</f>
        <v/>
      </c>
      <c r="I268">
        <f>IF(A268="","",IF(AND(E268&gt;=4,F268&gt;=4,G268&gt;=4),"Juara",IF(AND(F268&gt;=4,E268&gt;=3),"Setia",IF(AND(E268=5,F268&lt;=2,G268&gt;=3),"Berpotensi",IF(AND(E268&lt;=3,E268&gt;=2,F268&gt;=3),"Rawan",IF(AND(E268&lt;=2,F268&lt;=2),"Tidur","Umum"))))))</f>
        <v/>
      </c>
    </row>
    <row r="269">
      <c r="B269">
        <f>IF(A269="","",$B$1-MAXIFS(Donasi!$A$2:$A$20000,Donasi!$B$2:$B$20000,A269))</f>
        <v/>
      </c>
      <c r="C269">
        <f>IF(A269="","",COUNTIF(Donasi!$B$2:$B$20000,A269))</f>
        <v/>
      </c>
      <c r="D269">
        <f>IF(A269="","",SUMIF(Donasi!$B$2:$B$20000,A269,Donasi!$C$2:$C$20000))</f>
        <v/>
      </c>
      <c r="E269">
        <f>IF(A269="","",6-CEILING(PERCENTRANK.INC($B$3:$B$6000,B269,4)*5+0.000001,1))</f>
        <v/>
      </c>
      <c r="F269">
        <f>IF(A269="","",MAX(1,CEILING(PERCENTRANK.INC($C$3:$C$6000,C269,4)*5+0.000001,1)))</f>
        <v/>
      </c>
      <c r="G269">
        <f>IF(A269="","",MAX(1,CEILING(PERCENTRANK.INC($D$3:$D$6000,D269,4)*5+0.000001,1)))</f>
        <v/>
      </c>
      <c r="H269">
        <f>IF(A269="","",E269&amp;F269&amp;G269)</f>
        <v/>
      </c>
      <c r="I269">
        <f>IF(A269="","",IF(AND(E269&gt;=4,F269&gt;=4,G269&gt;=4),"Juara",IF(AND(F269&gt;=4,E269&gt;=3),"Setia",IF(AND(E269=5,F269&lt;=2,G269&gt;=3),"Berpotensi",IF(AND(E269&lt;=3,E269&gt;=2,F269&gt;=3),"Rawan",IF(AND(E269&lt;=2,F269&lt;=2),"Tidur","Umum"))))))</f>
        <v/>
      </c>
    </row>
    <row r="270">
      <c r="B270">
        <f>IF(A270="","",$B$1-MAXIFS(Donasi!$A$2:$A$20000,Donasi!$B$2:$B$20000,A270))</f>
        <v/>
      </c>
      <c r="C270">
        <f>IF(A270="","",COUNTIF(Donasi!$B$2:$B$20000,A270))</f>
        <v/>
      </c>
      <c r="D270">
        <f>IF(A270="","",SUMIF(Donasi!$B$2:$B$20000,A270,Donasi!$C$2:$C$20000))</f>
        <v/>
      </c>
      <c r="E270">
        <f>IF(A270="","",6-CEILING(PERCENTRANK.INC($B$3:$B$6000,B270,4)*5+0.000001,1))</f>
        <v/>
      </c>
      <c r="F270">
        <f>IF(A270="","",MAX(1,CEILING(PERCENTRANK.INC($C$3:$C$6000,C270,4)*5+0.000001,1)))</f>
        <v/>
      </c>
      <c r="G270">
        <f>IF(A270="","",MAX(1,CEILING(PERCENTRANK.INC($D$3:$D$6000,D270,4)*5+0.000001,1)))</f>
        <v/>
      </c>
      <c r="H270">
        <f>IF(A270="","",E270&amp;F270&amp;G270)</f>
        <v/>
      </c>
      <c r="I270">
        <f>IF(A270="","",IF(AND(E270&gt;=4,F270&gt;=4,G270&gt;=4),"Juara",IF(AND(F270&gt;=4,E270&gt;=3),"Setia",IF(AND(E270=5,F270&lt;=2,G270&gt;=3),"Berpotensi",IF(AND(E270&lt;=3,E270&gt;=2,F270&gt;=3),"Rawan",IF(AND(E270&lt;=2,F270&lt;=2),"Tidur","Umum"))))))</f>
        <v/>
      </c>
    </row>
    <row r="271">
      <c r="B271">
        <f>IF(A271="","",$B$1-MAXIFS(Donasi!$A$2:$A$20000,Donasi!$B$2:$B$20000,A271))</f>
        <v/>
      </c>
      <c r="C271">
        <f>IF(A271="","",COUNTIF(Donasi!$B$2:$B$20000,A271))</f>
        <v/>
      </c>
      <c r="D271">
        <f>IF(A271="","",SUMIF(Donasi!$B$2:$B$20000,A271,Donasi!$C$2:$C$20000))</f>
        <v/>
      </c>
      <c r="E271">
        <f>IF(A271="","",6-CEILING(PERCENTRANK.INC($B$3:$B$6000,B271,4)*5+0.000001,1))</f>
        <v/>
      </c>
      <c r="F271">
        <f>IF(A271="","",MAX(1,CEILING(PERCENTRANK.INC($C$3:$C$6000,C271,4)*5+0.000001,1)))</f>
        <v/>
      </c>
      <c r="G271">
        <f>IF(A271="","",MAX(1,CEILING(PERCENTRANK.INC($D$3:$D$6000,D271,4)*5+0.000001,1)))</f>
        <v/>
      </c>
      <c r="H271">
        <f>IF(A271="","",E271&amp;F271&amp;G271)</f>
        <v/>
      </c>
      <c r="I271">
        <f>IF(A271="","",IF(AND(E271&gt;=4,F271&gt;=4,G271&gt;=4),"Juara",IF(AND(F271&gt;=4,E271&gt;=3),"Setia",IF(AND(E271=5,F271&lt;=2,G271&gt;=3),"Berpotensi",IF(AND(E271&lt;=3,E271&gt;=2,F271&gt;=3),"Rawan",IF(AND(E271&lt;=2,F271&lt;=2),"Tidur","Umum"))))))</f>
        <v/>
      </c>
    </row>
    <row r="272">
      <c r="B272">
        <f>IF(A272="","",$B$1-MAXIFS(Donasi!$A$2:$A$20000,Donasi!$B$2:$B$20000,A272))</f>
        <v/>
      </c>
      <c r="C272">
        <f>IF(A272="","",COUNTIF(Donasi!$B$2:$B$20000,A272))</f>
        <v/>
      </c>
      <c r="D272">
        <f>IF(A272="","",SUMIF(Donasi!$B$2:$B$20000,A272,Donasi!$C$2:$C$20000))</f>
        <v/>
      </c>
      <c r="E272">
        <f>IF(A272="","",6-CEILING(PERCENTRANK.INC($B$3:$B$6000,B272,4)*5+0.000001,1))</f>
        <v/>
      </c>
      <c r="F272">
        <f>IF(A272="","",MAX(1,CEILING(PERCENTRANK.INC($C$3:$C$6000,C272,4)*5+0.000001,1)))</f>
        <v/>
      </c>
      <c r="G272">
        <f>IF(A272="","",MAX(1,CEILING(PERCENTRANK.INC($D$3:$D$6000,D272,4)*5+0.000001,1)))</f>
        <v/>
      </c>
      <c r="H272">
        <f>IF(A272="","",E272&amp;F272&amp;G272)</f>
        <v/>
      </c>
      <c r="I272">
        <f>IF(A272="","",IF(AND(E272&gt;=4,F272&gt;=4,G272&gt;=4),"Juara",IF(AND(F272&gt;=4,E272&gt;=3),"Setia",IF(AND(E272=5,F272&lt;=2,G272&gt;=3),"Berpotensi",IF(AND(E272&lt;=3,E272&gt;=2,F272&gt;=3),"Rawan",IF(AND(E272&lt;=2,F272&lt;=2),"Tidur","Umum"))))))</f>
        <v/>
      </c>
    </row>
    <row r="273">
      <c r="B273">
        <f>IF(A273="","",$B$1-MAXIFS(Donasi!$A$2:$A$20000,Donasi!$B$2:$B$20000,A273))</f>
        <v/>
      </c>
      <c r="C273">
        <f>IF(A273="","",COUNTIF(Donasi!$B$2:$B$20000,A273))</f>
        <v/>
      </c>
      <c r="D273">
        <f>IF(A273="","",SUMIF(Donasi!$B$2:$B$20000,A273,Donasi!$C$2:$C$20000))</f>
        <v/>
      </c>
      <c r="E273">
        <f>IF(A273="","",6-CEILING(PERCENTRANK.INC($B$3:$B$6000,B273,4)*5+0.000001,1))</f>
        <v/>
      </c>
      <c r="F273">
        <f>IF(A273="","",MAX(1,CEILING(PERCENTRANK.INC($C$3:$C$6000,C273,4)*5+0.000001,1)))</f>
        <v/>
      </c>
      <c r="G273">
        <f>IF(A273="","",MAX(1,CEILING(PERCENTRANK.INC($D$3:$D$6000,D273,4)*5+0.000001,1)))</f>
        <v/>
      </c>
      <c r="H273">
        <f>IF(A273="","",E273&amp;F273&amp;G273)</f>
        <v/>
      </c>
      <c r="I273">
        <f>IF(A273="","",IF(AND(E273&gt;=4,F273&gt;=4,G273&gt;=4),"Juara",IF(AND(F273&gt;=4,E273&gt;=3),"Setia",IF(AND(E273=5,F273&lt;=2,G273&gt;=3),"Berpotensi",IF(AND(E273&lt;=3,E273&gt;=2,F273&gt;=3),"Rawan",IF(AND(E273&lt;=2,F273&lt;=2),"Tidur","Umum"))))))</f>
        <v/>
      </c>
    </row>
    <row r="274">
      <c r="B274">
        <f>IF(A274="","",$B$1-MAXIFS(Donasi!$A$2:$A$20000,Donasi!$B$2:$B$20000,A274))</f>
        <v/>
      </c>
      <c r="C274">
        <f>IF(A274="","",COUNTIF(Donasi!$B$2:$B$20000,A274))</f>
        <v/>
      </c>
      <c r="D274">
        <f>IF(A274="","",SUMIF(Donasi!$B$2:$B$20000,A274,Donasi!$C$2:$C$20000))</f>
        <v/>
      </c>
      <c r="E274">
        <f>IF(A274="","",6-CEILING(PERCENTRANK.INC($B$3:$B$6000,B274,4)*5+0.000001,1))</f>
        <v/>
      </c>
      <c r="F274">
        <f>IF(A274="","",MAX(1,CEILING(PERCENTRANK.INC($C$3:$C$6000,C274,4)*5+0.000001,1)))</f>
        <v/>
      </c>
      <c r="G274">
        <f>IF(A274="","",MAX(1,CEILING(PERCENTRANK.INC($D$3:$D$6000,D274,4)*5+0.000001,1)))</f>
        <v/>
      </c>
      <c r="H274">
        <f>IF(A274="","",E274&amp;F274&amp;G274)</f>
        <v/>
      </c>
      <c r="I274">
        <f>IF(A274="","",IF(AND(E274&gt;=4,F274&gt;=4,G274&gt;=4),"Juara",IF(AND(F274&gt;=4,E274&gt;=3),"Setia",IF(AND(E274=5,F274&lt;=2,G274&gt;=3),"Berpotensi",IF(AND(E274&lt;=3,E274&gt;=2,F274&gt;=3),"Rawan",IF(AND(E274&lt;=2,F274&lt;=2),"Tidur","Umum"))))))</f>
        <v/>
      </c>
    </row>
    <row r="275">
      <c r="B275">
        <f>IF(A275="","",$B$1-MAXIFS(Donasi!$A$2:$A$20000,Donasi!$B$2:$B$20000,A275))</f>
        <v/>
      </c>
      <c r="C275">
        <f>IF(A275="","",COUNTIF(Donasi!$B$2:$B$20000,A275))</f>
        <v/>
      </c>
      <c r="D275">
        <f>IF(A275="","",SUMIF(Donasi!$B$2:$B$20000,A275,Donasi!$C$2:$C$20000))</f>
        <v/>
      </c>
      <c r="E275">
        <f>IF(A275="","",6-CEILING(PERCENTRANK.INC($B$3:$B$6000,B275,4)*5+0.000001,1))</f>
        <v/>
      </c>
      <c r="F275">
        <f>IF(A275="","",MAX(1,CEILING(PERCENTRANK.INC($C$3:$C$6000,C275,4)*5+0.000001,1)))</f>
        <v/>
      </c>
      <c r="G275">
        <f>IF(A275="","",MAX(1,CEILING(PERCENTRANK.INC($D$3:$D$6000,D275,4)*5+0.000001,1)))</f>
        <v/>
      </c>
      <c r="H275">
        <f>IF(A275="","",E275&amp;F275&amp;G275)</f>
        <v/>
      </c>
      <c r="I275">
        <f>IF(A275="","",IF(AND(E275&gt;=4,F275&gt;=4,G275&gt;=4),"Juara",IF(AND(F275&gt;=4,E275&gt;=3),"Setia",IF(AND(E275=5,F275&lt;=2,G275&gt;=3),"Berpotensi",IF(AND(E275&lt;=3,E275&gt;=2,F275&gt;=3),"Rawan",IF(AND(E275&lt;=2,F275&lt;=2),"Tidur","Umum"))))))</f>
        <v/>
      </c>
    </row>
    <row r="276">
      <c r="B276">
        <f>IF(A276="","",$B$1-MAXIFS(Donasi!$A$2:$A$20000,Donasi!$B$2:$B$20000,A276))</f>
        <v/>
      </c>
      <c r="C276">
        <f>IF(A276="","",COUNTIF(Donasi!$B$2:$B$20000,A276))</f>
        <v/>
      </c>
      <c r="D276">
        <f>IF(A276="","",SUMIF(Donasi!$B$2:$B$20000,A276,Donasi!$C$2:$C$20000))</f>
        <v/>
      </c>
      <c r="E276">
        <f>IF(A276="","",6-CEILING(PERCENTRANK.INC($B$3:$B$6000,B276,4)*5+0.000001,1))</f>
        <v/>
      </c>
      <c r="F276">
        <f>IF(A276="","",MAX(1,CEILING(PERCENTRANK.INC($C$3:$C$6000,C276,4)*5+0.000001,1)))</f>
        <v/>
      </c>
      <c r="G276">
        <f>IF(A276="","",MAX(1,CEILING(PERCENTRANK.INC($D$3:$D$6000,D276,4)*5+0.000001,1)))</f>
        <v/>
      </c>
      <c r="H276">
        <f>IF(A276="","",E276&amp;F276&amp;G276)</f>
        <v/>
      </c>
      <c r="I276">
        <f>IF(A276="","",IF(AND(E276&gt;=4,F276&gt;=4,G276&gt;=4),"Juara",IF(AND(F276&gt;=4,E276&gt;=3),"Setia",IF(AND(E276=5,F276&lt;=2,G276&gt;=3),"Berpotensi",IF(AND(E276&lt;=3,E276&gt;=2,F276&gt;=3),"Rawan",IF(AND(E276&lt;=2,F276&lt;=2),"Tidur","Umum"))))))</f>
        <v/>
      </c>
    </row>
    <row r="277">
      <c r="B277">
        <f>IF(A277="","",$B$1-MAXIFS(Donasi!$A$2:$A$20000,Donasi!$B$2:$B$20000,A277))</f>
        <v/>
      </c>
      <c r="C277">
        <f>IF(A277="","",COUNTIF(Donasi!$B$2:$B$20000,A277))</f>
        <v/>
      </c>
      <c r="D277">
        <f>IF(A277="","",SUMIF(Donasi!$B$2:$B$20000,A277,Donasi!$C$2:$C$20000))</f>
        <v/>
      </c>
      <c r="E277">
        <f>IF(A277="","",6-CEILING(PERCENTRANK.INC($B$3:$B$6000,B277,4)*5+0.000001,1))</f>
        <v/>
      </c>
      <c r="F277">
        <f>IF(A277="","",MAX(1,CEILING(PERCENTRANK.INC($C$3:$C$6000,C277,4)*5+0.000001,1)))</f>
        <v/>
      </c>
      <c r="G277">
        <f>IF(A277="","",MAX(1,CEILING(PERCENTRANK.INC($D$3:$D$6000,D277,4)*5+0.000001,1)))</f>
        <v/>
      </c>
      <c r="H277">
        <f>IF(A277="","",E277&amp;F277&amp;G277)</f>
        <v/>
      </c>
      <c r="I277">
        <f>IF(A277="","",IF(AND(E277&gt;=4,F277&gt;=4,G277&gt;=4),"Juara",IF(AND(F277&gt;=4,E277&gt;=3),"Setia",IF(AND(E277=5,F277&lt;=2,G277&gt;=3),"Berpotensi",IF(AND(E277&lt;=3,E277&gt;=2,F277&gt;=3),"Rawan",IF(AND(E277&lt;=2,F277&lt;=2),"Tidur","Umum"))))))</f>
        <v/>
      </c>
    </row>
    <row r="278">
      <c r="B278">
        <f>IF(A278="","",$B$1-MAXIFS(Donasi!$A$2:$A$20000,Donasi!$B$2:$B$20000,A278))</f>
        <v/>
      </c>
      <c r="C278">
        <f>IF(A278="","",COUNTIF(Donasi!$B$2:$B$20000,A278))</f>
        <v/>
      </c>
      <c r="D278">
        <f>IF(A278="","",SUMIF(Donasi!$B$2:$B$20000,A278,Donasi!$C$2:$C$20000))</f>
        <v/>
      </c>
      <c r="E278">
        <f>IF(A278="","",6-CEILING(PERCENTRANK.INC($B$3:$B$6000,B278,4)*5+0.000001,1))</f>
        <v/>
      </c>
      <c r="F278">
        <f>IF(A278="","",MAX(1,CEILING(PERCENTRANK.INC($C$3:$C$6000,C278,4)*5+0.000001,1)))</f>
        <v/>
      </c>
      <c r="G278">
        <f>IF(A278="","",MAX(1,CEILING(PERCENTRANK.INC($D$3:$D$6000,D278,4)*5+0.000001,1)))</f>
        <v/>
      </c>
      <c r="H278">
        <f>IF(A278="","",E278&amp;F278&amp;G278)</f>
        <v/>
      </c>
      <c r="I278">
        <f>IF(A278="","",IF(AND(E278&gt;=4,F278&gt;=4,G278&gt;=4),"Juara",IF(AND(F278&gt;=4,E278&gt;=3),"Setia",IF(AND(E278=5,F278&lt;=2,G278&gt;=3),"Berpotensi",IF(AND(E278&lt;=3,E278&gt;=2,F278&gt;=3),"Rawan",IF(AND(E278&lt;=2,F278&lt;=2),"Tidur","Umum"))))))</f>
        <v/>
      </c>
    </row>
    <row r="279">
      <c r="B279">
        <f>IF(A279="","",$B$1-MAXIFS(Donasi!$A$2:$A$20000,Donasi!$B$2:$B$20000,A279))</f>
        <v/>
      </c>
      <c r="C279">
        <f>IF(A279="","",COUNTIF(Donasi!$B$2:$B$20000,A279))</f>
        <v/>
      </c>
      <c r="D279">
        <f>IF(A279="","",SUMIF(Donasi!$B$2:$B$20000,A279,Donasi!$C$2:$C$20000))</f>
        <v/>
      </c>
      <c r="E279">
        <f>IF(A279="","",6-CEILING(PERCENTRANK.INC($B$3:$B$6000,B279,4)*5+0.000001,1))</f>
        <v/>
      </c>
      <c r="F279">
        <f>IF(A279="","",MAX(1,CEILING(PERCENTRANK.INC($C$3:$C$6000,C279,4)*5+0.000001,1)))</f>
        <v/>
      </c>
      <c r="G279">
        <f>IF(A279="","",MAX(1,CEILING(PERCENTRANK.INC($D$3:$D$6000,D279,4)*5+0.000001,1)))</f>
        <v/>
      </c>
      <c r="H279">
        <f>IF(A279="","",E279&amp;F279&amp;G279)</f>
        <v/>
      </c>
      <c r="I279">
        <f>IF(A279="","",IF(AND(E279&gt;=4,F279&gt;=4,G279&gt;=4),"Juara",IF(AND(F279&gt;=4,E279&gt;=3),"Setia",IF(AND(E279=5,F279&lt;=2,G279&gt;=3),"Berpotensi",IF(AND(E279&lt;=3,E279&gt;=2,F279&gt;=3),"Rawan",IF(AND(E279&lt;=2,F279&lt;=2),"Tidur","Umum"))))))</f>
        <v/>
      </c>
    </row>
    <row r="280">
      <c r="B280">
        <f>IF(A280="","",$B$1-MAXIFS(Donasi!$A$2:$A$20000,Donasi!$B$2:$B$20000,A280))</f>
        <v/>
      </c>
      <c r="C280">
        <f>IF(A280="","",COUNTIF(Donasi!$B$2:$B$20000,A280))</f>
        <v/>
      </c>
      <c r="D280">
        <f>IF(A280="","",SUMIF(Donasi!$B$2:$B$20000,A280,Donasi!$C$2:$C$20000))</f>
        <v/>
      </c>
      <c r="E280">
        <f>IF(A280="","",6-CEILING(PERCENTRANK.INC($B$3:$B$6000,B280,4)*5+0.000001,1))</f>
        <v/>
      </c>
      <c r="F280">
        <f>IF(A280="","",MAX(1,CEILING(PERCENTRANK.INC($C$3:$C$6000,C280,4)*5+0.000001,1)))</f>
        <v/>
      </c>
      <c r="G280">
        <f>IF(A280="","",MAX(1,CEILING(PERCENTRANK.INC($D$3:$D$6000,D280,4)*5+0.000001,1)))</f>
        <v/>
      </c>
      <c r="H280">
        <f>IF(A280="","",E280&amp;F280&amp;G280)</f>
        <v/>
      </c>
      <c r="I280">
        <f>IF(A280="","",IF(AND(E280&gt;=4,F280&gt;=4,G280&gt;=4),"Juara",IF(AND(F280&gt;=4,E280&gt;=3),"Setia",IF(AND(E280=5,F280&lt;=2,G280&gt;=3),"Berpotensi",IF(AND(E280&lt;=3,E280&gt;=2,F280&gt;=3),"Rawan",IF(AND(E280&lt;=2,F280&lt;=2),"Tidur","Umum"))))))</f>
        <v/>
      </c>
    </row>
    <row r="281">
      <c r="B281">
        <f>IF(A281="","",$B$1-MAXIFS(Donasi!$A$2:$A$20000,Donasi!$B$2:$B$20000,A281))</f>
        <v/>
      </c>
      <c r="C281">
        <f>IF(A281="","",COUNTIF(Donasi!$B$2:$B$20000,A281))</f>
        <v/>
      </c>
      <c r="D281">
        <f>IF(A281="","",SUMIF(Donasi!$B$2:$B$20000,A281,Donasi!$C$2:$C$20000))</f>
        <v/>
      </c>
      <c r="E281">
        <f>IF(A281="","",6-CEILING(PERCENTRANK.INC($B$3:$B$6000,B281,4)*5+0.000001,1))</f>
        <v/>
      </c>
      <c r="F281">
        <f>IF(A281="","",MAX(1,CEILING(PERCENTRANK.INC($C$3:$C$6000,C281,4)*5+0.000001,1)))</f>
        <v/>
      </c>
      <c r="G281">
        <f>IF(A281="","",MAX(1,CEILING(PERCENTRANK.INC($D$3:$D$6000,D281,4)*5+0.000001,1)))</f>
        <v/>
      </c>
      <c r="H281">
        <f>IF(A281="","",E281&amp;F281&amp;G281)</f>
        <v/>
      </c>
      <c r="I281">
        <f>IF(A281="","",IF(AND(E281&gt;=4,F281&gt;=4,G281&gt;=4),"Juara",IF(AND(F281&gt;=4,E281&gt;=3),"Setia",IF(AND(E281=5,F281&lt;=2,G281&gt;=3),"Berpotensi",IF(AND(E281&lt;=3,E281&gt;=2,F281&gt;=3),"Rawan",IF(AND(E281&lt;=2,F281&lt;=2),"Tidur","Umum"))))))</f>
        <v/>
      </c>
    </row>
    <row r="282">
      <c r="B282">
        <f>IF(A282="","",$B$1-MAXIFS(Donasi!$A$2:$A$20000,Donasi!$B$2:$B$20000,A282))</f>
        <v/>
      </c>
      <c r="C282">
        <f>IF(A282="","",COUNTIF(Donasi!$B$2:$B$20000,A282))</f>
        <v/>
      </c>
      <c r="D282">
        <f>IF(A282="","",SUMIF(Donasi!$B$2:$B$20000,A282,Donasi!$C$2:$C$20000))</f>
        <v/>
      </c>
      <c r="E282">
        <f>IF(A282="","",6-CEILING(PERCENTRANK.INC($B$3:$B$6000,B282,4)*5+0.000001,1))</f>
        <v/>
      </c>
      <c r="F282">
        <f>IF(A282="","",MAX(1,CEILING(PERCENTRANK.INC($C$3:$C$6000,C282,4)*5+0.000001,1)))</f>
        <v/>
      </c>
      <c r="G282">
        <f>IF(A282="","",MAX(1,CEILING(PERCENTRANK.INC($D$3:$D$6000,D282,4)*5+0.000001,1)))</f>
        <v/>
      </c>
      <c r="H282">
        <f>IF(A282="","",E282&amp;F282&amp;G282)</f>
        <v/>
      </c>
      <c r="I282">
        <f>IF(A282="","",IF(AND(E282&gt;=4,F282&gt;=4,G282&gt;=4),"Juara",IF(AND(F282&gt;=4,E282&gt;=3),"Setia",IF(AND(E282=5,F282&lt;=2,G282&gt;=3),"Berpotensi",IF(AND(E282&lt;=3,E282&gt;=2,F282&gt;=3),"Rawan",IF(AND(E282&lt;=2,F282&lt;=2),"Tidur","Umum"))))))</f>
        <v/>
      </c>
    </row>
    <row r="283">
      <c r="B283">
        <f>IF(A283="","",$B$1-MAXIFS(Donasi!$A$2:$A$20000,Donasi!$B$2:$B$20000,A283))</f>
        <v/>
      </c>
      <c r="C283">
        <f>IF(A283="","",COUNTIF(Donasi!$B$2:$B$20000,A283))</f>
        <v/>
      </c>
      <c r="D283">
        <f>IF(A283="","",SUMIF(Donasi!$B$2:$B$20000,A283,Donasi!$C$2:$C$20000))</f>
        <v/>
      </c>
      <c r="E283">
        <f>IF(A283="","",6-CEILING(PERCENTRANK.INC($B$3:$B$6000,B283,4)*5+0.000001,1))</f>
        <v/>
      </c>
      <c r="F283">
        <f>IF(A283="","",MAX(1,CEILING(PERCENTRANK.INC($C$3:$C$6000,C283,4)*5+0.000001,1)))</f>
        <v/>
      </c>
      <c r="G283">
        <f>IF(A283="","",MAX(1,CEILING(PERCENTRANK.INC($D$3:$D$6000,D283,4)*5+0.000001,1)))</f>
        <v/>
      </c>
      <c r="H283">
        <f>IF(A283="","",E283&amp;F283&amp;G283)</f>
        <v/>
      </c>
      <c r="I283">
        <f>IF(A283="","",IF(AND(E283&gt;=4,F283&gt;=4,G283&gt;=4),"Juara",IF(AND(F283&gt;=4,E283&gt;=3),"Setia",IF(AND(E283=5,F283&lt;=2,G283&gt;=3),"Berpotensi",IF(AND(E283&lt;=3,E283&gt;=2,F283&gt;=3),"Rawan",IF(AND(E283&lt;=2,F283&lt;=2),"Tidur","Umum"))))))</f>
        <v/>
      </c>
    </row>
    <row r="284">
      <c r="B284">
        <f>IF(A284="","",$B$1-MAXIFS(Donasi!$A$2:$A$20000,Donasi!$B$2:$B$20000,A284))</f>
        <v/>
      </c>
      <c r="C284">
        <f>IF(A284="","",COUNTIF(Donasi!$B$2:$B$20000,A284))</f>
        <v/>
      </c>
      <c r="D284">
        <f>IF(A284="","",SUMIF(Donasi!$B$2:$B$20000,A284,Donasi!$C$2:$C$20000))</f>
        <v/>
      </c>
      <c r="E284">
        <f>IF(A284="","",6-CEILING(PERCENTRANK.INC($B$3:$B$6000,B284,4)*5+0.000001,1))</f>
        <v/>
      </c>
      <c r="F284">
        <f>IF(A284="","",MAX(1,CEILING(PERCENTRANK.INC($C$3:$C$6000,C284,4)*5+0.000001,1)))</f>
        <v/>
      </c>
      <c r="G284">
        <f>IF(A284="","",MAX(1,CEILING(PERCENTRANK.INC($D$3:$D$6000,D284,4)*5+0.000001,1)))</f>
        <v/>
      </c>
      <c r="H284">
        <f>IF(A284="","",E284&amp;F284&amp;G284)</f>
        <v/>
      </c>
      <c r="I284">
        <f>IF(A284="","",IF(AND(E284&gt;=4,F284&gt;=4,G284&gt;=4),"Juara",IF(AND(F284&gt;=4,E284&gt;=3),"Setia",IF(AND(E284=5,F284&lt;=2,G284&gt;=3),"Berpotensi",IF(AND(E284&lt;=3,E284&gt;=2,F284&gt;=3),"Rawan",IF(AND(E284&lt;=2,F284&lt;=2),"Tidur","Umum"))))))</f>
        <v/>
      </c>
    </row>
    <row r="285">
      <c r="B285">
        <f>IF(A285="","",$B$1-MAXIFS(Donasi!$A$2:$A$20000,Donasi!$B$2:$B$20000,A285))</f>
        <v/>
      </c>
      <c r="C285">
        <f>IF(A285="","",COUNTIF(Donasi!$B$2:$B$20000,A285))</f>
        <v/>
      </c>
      <c r="D285">
        <f>IF(A285="","",SUMIF(Donasi!$B$2:$B$20000,A285,Donasi!$C$2:$C$20000))</f>
        <v/>
      </c>
      <c r="E285">
        <f>IF(A285="","",6-CEILING(PERCENTRANK.INC($B$3:$B$6000,B285,4)*5+0.000001,1))</f>
        <v/>
      </c>
      <c r="F285">
        <f>IF(A285="","",MAX(1,CEILING(PERCENTRANK.INC($C$3:$C$6000,C285,4)*5+0.000001,1)))</f>
        <v/>
      </c>
      <c r="G285">
        <f>IF(A285="","",MAX(1,CEILING(PERCENTRANK.INC($D$3:$D$6000,D285,4)*5+0.000001,1)))</f>
        <v/>
      </c>
      <c r="H285">
        <f>IF(A285="","",E285&amp;F285&amp;G285)</f>
        <v/>
      </c>
      <c r="I285">
        <f>IF(A285="","",IF(AND(E285&gt;=4,F285&gt;=4,G285&gt;=4),"Juara",IF(AND(F285&gt;=4,E285&gt;=3),"Setia",IF(AND(E285=5,F285&lt;=2,G285&gt;=3),"Berpotensi",IF(AND(E285&lt;=3,E285&gt;=2,F285&gt;=3),"Rawan",IF(AND(E285&lt;=2,F285&lt;=2),"Tidur","Umum"))))))</f>
        <v/>
      </c>
    </row>
    <row r="286">
      <c r="B286">
        <f>IF(A286="","",$B$1-MAXIFS(Donasi!$A$2:$A$20000,Donasi!$B$2:$B$20000,A286))</f>
        <v/>
      </c>
      <c r="C286">
        <f>IF(A286="","",COUNTIF(Donasi!$B$2:$B$20000,A286))</f>
        <v/>
      </c>
      <c r="D286">
        <f>IF(A286="","",SUMIF(Donasi!$B$2:$B$20000,A286,Donasi!$C$2:$C$20000))</f>
        <v/>
      </c>
      <c r="E286">
        <f>IF(A286="","",6-CEILING(PERCENTRANK.INC($B$3:$B$6000,B286,4)*5+0.000001,1))</f>
        <v/>
      </c>
      <c r="F286">
        <f>IF(A286="","",MAX(1,CEILING(PERCENTRANK.INC($C$3:$C$6000,C286,4)*5+0.000001,1)))</f>
        <v/>
      </c>
      <c r="G286">
        <f>IF(A286="","",MAX(1,CEILING(PERCENTRANK.INC($D$3:$D$6000,D286,4)*5+0.000001,1)))</f>
        <v/>
      </c>
      <c r="H286">
        <f>IF(A286="","",E286&amp;F286&amp;G286)</f>
        <v/>
      </c>
      <c r="I286">
        <f>IF(A286="","",IF(AND(E286&gt;=4,F286&gt;=4,G286&gt;=4),"Juara",IF(AND(F286&gt;=4,E286&gt;=3),"Setia",IF(AND(E286=5,F286&lt;=2,G286&gt;=3),"Berpotensi",IF(AND(E286&lt;=3,E286&gt;=2,F286&gt;=3),"Rawan",IF(AND(E286&lt;=2,F286&lt;=2),"Tidur","Umum"))))))</f>
        <v/>
      </c>
    </row>
    <row r="287">
      <c r="B287">
        <f>IF(A287="","",$B$1-MAXIFS(Donasi!$A$2:$A$20000,Donasi!$B$2:$B$20000,A287))</f>
        <v/>
      </c>
      <c r="C287">
        <f>IF(A287="","",COUNTIF(Donasi!$B$2:$B$20000,A287))</f>
        <v/>
      </c>
      <c r="D287">
        <f>IF(A287="","",SUMIF(Donasi!$B$2:$B$20000,A287,Donasi!$C$2:$C$20000))</f>
        <v/>
      </c>
      <c r="E287">
        <f>IF(A287="","",6-CEILING(PERCENTRANK.INC($B$3:$B$6000,B287,4)*5+0.000001,1))</f>
        <v/>
      </c>
      <c r="F287">
        <f>IF(A287="","",MAX(1,CEILING(PERCENTRANK.INC($C$3:$C$6000,C287,4)*5+0.000001,1)))</f>
        <v/>
      </c>
      <c r="G287">
        <f>IF(A287="","",MAX(1,CEILING(PERCENTRANK.INC($D$3:$D$6000,D287,4)*5+0.000001,1)))</f>
        <v/>
      </c>
      <c r="H287">
        <f>IF(A287="","",E287&amp;F287&amp;G287)</f>
        <v/>
      </c>
      <c r="I287">
        <f>IF(A287="","",IF(AND(E287&gt;=4,F287&gt;=4,G287&gt;=4),"Juara",IF(AND(F287&gt;=4,E287&gt;=3),"Setia",IF(AND(E287=5,F287&lt;=2,G287&gt;=3),"Berpotensi",IF(AND(E287&lt;=3,E287&gt;=2,F287&gt;=3),"Rawan",IF(AND(E287&lt;=2,F287&lt;=2),"Tidur","Umum"))))))</f>
        <v/>
      </c>
    </row>
    <row r="288">
      <c r="B288">
        <f>IF(A288="","",$B$1-MAXIFS(Donasi!$A$2:$A$20000,Donasi!$B$2:$B$20000,A288))</f>
        <v/>
      </c>
      <c r="C288">
        <f>IF(A288="","",COUNTIF(Donasi!$B$2:$B$20000,A288))</f>
        <v/>
      </c>
      <c r="D288">
        <f>IF(A288="","",SUMIF(Donasi!$B$2:$B$20000,A288,Donasi!$C$2:$C$20000))</f>
        <v/>
      </c>
      <c r="E288">
        <f>IF(A288="","",6-CEILING(PERCENTRANK.INC($B$3:$B$6000,B288,4)*5+0.000001,1))</f>
        <v/>
      </c>
      <c r="F288">
        <f>IF(A288="","",MAX(1,CEILING(PERCENTRANK.INC($C$3:$C$6000,C288,4)*5+0.000001,1)))</f>
        <v/>
      </c>
      <c r="G288">
        <f>IF(A288="","",MAX(1,CEILING(PERCENTRANK.INC($D$3:$D$6000,D288,4)*5+0.000001,1)))</f>
        <v/>
      </c>
      <c r="H288">
        <f>IF(A288="","",E288&amp;F288&amp;G288)</f>
        <v/>
      </c>
      <c r="I288">
        <f>IF(A288="","",IF(AND(E288&gt;=4,F288&gt;=4,G288&gt;=4),"Juara",IF(AND(F288&gt;=4,E288&gt;=3),"Setia",IF(AND(E288=5,F288&lt;=2,G288&gt;=3),"Berpotensi",IF(AND(E288&lt;=3,E288&gt;=2,F288&gt;=3),"Rawan",IF(AND(E288&lt;=2,F288&lt;=2),"Tidur","Umum"))))))</f>
        <v/>
      </c>
    </row>
    <row r="289">
      <c r="B289">
        <f>IF(A289="","",$B$1-MAXIFS(Donasi!$A$2:$A$20000,Donasi!$B$2:$B$20000,A289))</f>
        <v/>
      </c>
      <c r="C289">
        <f>IF(A289="","",COUNTIF(Donasi!$B$2:$B$20000,A289))</f>
        <v/>
      </c>
      <c r="D289">
        <f>IF(A289="","",SUMIF(Donasi!$B$2:$B$20000,A289,Donasi!$C$2:$C$20000))</f>
        <v/>
      </c>
      <c r="E289">
        <f>IF(A289="","",6-CEILING(PERCENTRANK.INC($B$3:$B$6000,B289,4)*5+0.000001,1))</f>
        <v/>
      </c>
      <c r="F289">
        <f>IF(A289="","",MAX(1,CEILING(PERCENTRANK.INC($C$3:$C$6000,C289,4)*5+0.000001,1)))</f>
        <v/>
      </c>
      <c r="G289">
        <f>IF(A289="","",MAX(1,CEILING(PERCENTRANK.INC($D$3:$D$6000,D289,4)*5+0.000001,1)))</f>
        <v/>
      </c>
      <c r="H289">
        <f>IF(A289="","",E289&amp;F289&amp;G289)</f>
        <v/>
      </c>
      <c r="I289">
        <f>IF(A289="","",IF(AND(E289&gt;=4,F289&gt;=4,G289&gt;=4),"Juara",IF(AND(F289&gt;=4,E289&gt;=3),"Setia",IF(AND(E289=5,F289&lt;=2,G289&gt;=3),"Berpotensi",IF(AND(E289&lt;=3,E289&gt;=2,F289&gt;=3),"Rawan",IF(AND(E289&lt;=2,F289&lt;=2),"Tidur","Umum"))))))</f>
        <v/>
      </c>
    </row>
    <row r="290">
      <c r="B290">
        <f>IF(A290="","",$B$1-MAXIFS(Donasi!$A$2:$A$20000,Donasi!$B$2:$B$20000,A290))</f>
        <v/>
      </c>
      <c r="C290">
        <f>IF(A290="","",COUNTIF(Donasi!$B$2:$B$20000,A290))</f>
        <v/>
      </c>
      <c r="D290">
        <f>IF(A290="","",SUMIF(Donasi!$B$2:$B$20000,A290,Donasi!$C$2:$C$20000))</f>
        <v/>
      </c>
      <c r="E290">
        <f>IF(A290="","",6-CEILING(PERCENTRANK.INC($B$3:$B$6000,B290,4)*5+0.000001,1))</f>
        <v/>
      </c>
      <c r="F290">
        <f>IF(A290="","",MAX(1,CEILING(PERCENTRANK.INC($C$3:$C$6000,C290,4)*5+0.000001,1)))</f>
        <v/>
      </c>
      <c r="G290">
        <f>IF(A290="","",MAX(1,CEILING(PERCENTRANK.INC($D$3:$D$6000,D290,4)*5+0.000001,1)))</f>
        <v/>
      </c>
      <c r="H290">
        <f>IF(A290="","",E290&amp;F290&amp;G290)</f>
        <v/>
      </c>
      <c r="I290">
        <f>IF(A290="","",IF(AND(E290&gt;=4,F290&gt;=4,G290&gt;=4),"Juara",IF(AND(F290&gt;=4,E290&gt;=3),"Setia",IF(AND(E290=5,F290&lt;=2,G290&gt;=3),"Berpotensi",IF(AND(E290&lt;=3,E290&gt;=2,F290&gt;=3),"Rawan",IF(AND(E290&lt;=2,F290&lt;=2),"Tidur","Umum"))))))</f>
        <v/>
      </c>
    </row>
    <row r="291">
      <c r="B291">
        <f>IF(A291="","",$B$1-MAXIFS(Donasi!$A$2:$A$20000,Donasi!$B$2:$B$20000,A291))</f>
        <v/>
      </c>
      <c r="C291">
        <f>IF(A291="","",COUNTIF(Donasi!$B$2:$B$20000,A291))</f>
        <v/>
      </c>
      <c r="D291">
        <f>IF(A291="","",SUMIF(Donasi!$B$2:$B$20000,A291,Donasi!$C$2:$C$20000))</f>
        <v/>
      </c>
      <c r="E291">
        <f>IF(A291="","",6-CEILING(PERCENTRANK.INC($B$3:$B$6000,B291,4)*5+0.000001,1))</f>
        <v/>
      </c>
      <c r="F291">
        <f>IF(A291="","",MAX(1,CEILING(PERCENTRANK.INC($C$3:$C$6000,C291,4)*5+0.000001,1)))</f>
        <v/>
      </c>
      <c r="G291">
        <f>IF(A291="","",MAX(1,CEILING(PERCENTRANK.INC($D$3:$D$6000,D291,4)*5+0.000001,1)))</f>
        <v/>
      </c>
      <c r="H291">
        <f>IF(A291="","",E291&amp;F291&amp;G291)</f>
        <v/>
      </c>
      <c r="I291">
        <f>IF(A291="","",IF(AND(E291&gt;=4,F291&gt;=4,G291&gt;=4),"Juara",IF(AND(F291&gt;=4,E291&gt;=3),"Setia",IF(AND(E291=5,F291&lt;=2,G291&gt;=3),"Berpotensi",IF(AND(E291&lt;=3,E291&gt;=2,F291&gt;=3),"Rawan",IF(AND(E291&lt;=2,F291&lt;=2),"Tidur","Umum"))))))</f>
        <v/>
      </c>
    </row>
    <row r="292">
      <c r="B292">
        <f>IF(A292="","",$B$1-MAXIFS(Donasi!$A$2:$A$20000,Donasi!$B$2:$B$20000,A292))</f>
        <v/>
      </c>
      <c r="C292">
        <f>IF(A292="","",COUNTIF(Donasi!$B$2:$B$20000,A292))</f>
        <v/>
      </c>
      <c r="D292">
        <f>IF(A292="","",SUMIF(Donasi!$B$2:$B$20000,A292,Donasi!$C$2:$C$20000))</f>
        <v/>
      </c>
      <c r="E292">
        <f>IF(A292="","",6-CEILING(PERCENTRANK.INC($B$3:$B$6000,B292,4)*5+0.000001,1))</f>
        <v/>
      </c>
      <c r="F292">
        <f>IF(A292="","",MAX(1,CEILING(PERCENTRANK.INC($C$3:$C$6000,C292,4)*5+0.000001,1)))</f>
        <v/>
      </c>
      <c r="G292">
        <f>IF(A292="","",MAX(1,CEILING(PERCENTRANK.INC($D$3:$D$6000,D292,4)*5+0.000001,1)))</f>
        <v/>
      </c>
      <c r="H292">
        <f>IF(A292="","",E292&amp;F292&amp;G292)</f>
        <v/>
      </c>
      <c r="I292">
        <f>IF(A292="","",IF(AND(E292&gt;=4,F292&gt;=4,G292&gt;=4),"Juara",IF(AND(F292&gt;=4,E292&gt;=3),"Setia",IF(AND(E292=5,F292&lt;=2,G292&gt;=3),"Berpotensi",IF(AND(E292&lt;=3,E292&gt;=2,F292&gt;=3),"Rawan",IF(AND(E292&lt;=2,F292&lt;=2),"Tidur","Umum"))))))</f>
        <v/>
      </c>
    </row>
    <row r="293">
      <c r="B293">
        <f>IF(A293="","",$B$1-MAXIFS(Donasi!$A$2:$A$20000,Donasi!$B$2:$B$20000,A293))</f>
        <v/>
      </c>
      <c r="C293">
        <f>IF(A293="","",COUNTIF(Donasi!$B$2:$B$20000,A293))</f>
        <v/>
      </c>
      <c r="D293">
        <f>IF(A293="","",SUMIF(Donasi!$B$2:$B$20000,A293,Donasi!$C$2:$C$20000))</f>
        <v/>
      </c>
      <c r="E293">
        <f>IF(A293="","",6-CEILING(PERCENTRANK.INC($B$3:$B$6000,B293,4)*5+0.000001,1))</f>
        <v/>
      </c>
      <c r="F293">
        <f>IF(A293="","",MAX(1,CEILING(PERCENTRANK.INC($C$3:$C$6000,C293,4)*5+0.000001,1)))</f>
        <v/>
      </c>
      <c r="G293">
        <f>IF(A293="","",MAX(1,CEILING(PERCENTRANK.INC($D$3:$D$6000,D293,4)*5+0.000001,1)))</f>
        <v/>
      </c>
      <c r="H293">
        <f>IF(A293="","",E293&amp;F293&amp;G293)</f>
        <v/>
      </c>
      <c r="I293">
        <f>IF(A293="","",IF(AND(E293&gt;=4,F293&gt;=4,G293&gt;=4),"Juara",IF(AND(F293&gt;=4,E293&gt;=3),"Setia",IF(AND(E293=5,F293&lt;=2,G293&gt;=3),"Berpotensi",IF(AND(E293&lt;=3,E293&gt;=2,F293&gt;=3),"Rawan",IF(AND(E293&lt;=2,F293&lt;=2),"Tidur","Umum"))))))</f>
        <v/>
      </c>
    </row>
    <row r="294">
      <c r="B294">
        <f>IF(A294="","",$B$1-MAXIFS(Donasi!$A$2:$A$20000,Donasi!$B$2:$B$20000,A294))</f>
        <v/>
      </c>
      <c r="C294">
        <f>IF(A294="","",COUNTIF(Donasi!$B$2:$B$20000,A294))</f>
        <v/>
      </c>
      <c r="D294">
        <f>IF(A294="","",SUMIF(Donasi!$B$2:$B$20000,A294,Donasi!$C$2:$C$20000))</f>
        <v/>
      </c>
      <c r="E294">
        <f>IF(A294="","",6-CEILING(PERCENTRANK.INC($B$3:$B$6000,B294,4)*5+0.000001,1))</f>
        <v/>
      </c>
      <c r="F294">
        <f>IF(A294="","",MAX(1,CEILING(PERCENTRANK.INC($C$3:$C$6000,C294,4)*5+0.000001,1)))</f>
        <v/>
      </c>
      <c r="G294">
        <f>IF(A294="","",MAX(1,CEILING(PERCENTRANK.INC($D$3:$D$6000,D294,4)*5+0.000001,1)))</f>
        <v/>
      </c>
      <c r="H294">
        <f>IF(A294="","",E294&amp;F294&amp;G294)</f>
        <v/>
      </c>
      <c r="I294">
        <f>IF(A294="","",IF(AND(E294&gt;=4,F294&gt;=4,G294&gt;=4),"Juara",IF(AND(F294&gt;=4,E294&gt;=3),"Setia",IF(AND(E294=5,F294&lt;=2,G294&gt;=3),"Berpotensi",IF(AND(E294&lt;=3,E294&gt;=2,F294&gt;=3),"Rawan",IF(AND(E294&lt;=2,F294&lt;=2),"Tidur","Umum"))))))</f>
        <v/>
      </c>
    </row>
    <row r="295">
      <c r="B295">
        <f>IF(A295="","",$B$1-MAXIFS(Donasi!$A$2:$A$20000,Donasi!$B$2:$B$20000,A295))</f>
        <v/>
      </c>
      <c r="C295">
        <f>IF(A295="","",COUNTIF(Donasi!$B$2:$B$20000,A295))</f>
        <v/>
      </c>
      <c r="D295">
        <f>IF(A295="","",SUMIF(Donasi!$B$2:$B$20000,A295,Donasi!$C$2:$C$20000))</f>
        <v/>
      </c>
      <c r="E295">
        <f>IF(A295="","",6-CEILING(PERCENTRANK.INC($B$3:$B$6000,B295,4)*5+0.000001,1))</f>
        <v/>
      </c>
      <c r="F295">
        <f>IF(A295="","",MAX(1,CEILING(PERCENTRANK.INC($C$3:$C$6000,C295,4)*5+0.000001,1)))</f>
        <v/>
      </c>
      <c r="G295">
        <f>IF(A295="","",MAX(1,CEILING(PERCENTRANK.INC($D$3:$D$6000,D295,4)*5+0.000001,1)))</f>
        <v/>
      </c>
      <c r="H295">
        <f>IF(A295="","",E295&amp;F295&amp;G295)</f>
        <v/>
      </c>
      <c r="I295">
        <f>IF(A295="","",IF(AND(E295&gt;=4,F295&gt;=4,G295&gt;=4),"Juara",IF(AND(F295&gt;=4,E295&gt;=3),"Setia",IF(AND(E295=5,F295&lt;=2,G295&gt;=3),"Berpotensi",IF(AND(E295&lt;=3,E295&gt;=2,F295&gt;=3),"Rawan",IF(AND(E295&lt;=2,F295&lt;=2),"Tidur","Umum"))))))</f>
        <v/>
      </c>
    </row>
    <row r="296">
      <c r="B296">
        <f>IF(A296="","",$B$1-MAXIFS(Donasi!$A$2:$A$20000,Donasi!$B$2:$B$20000,A296))</f>
        <v/>
      </c>
      <c r="C296">
        <f>IF(A296="","",COUNTIF(Donasi!$B$2:$B$20000,A296))</f>
        <v/>
      </c>
      <c r="D296">
        <f>IF(A296="","",SUMIF(Donasi!$B$2:$B$20000,A296,Donasi!$C$2:$C$20000))</f>
        <v/>
      </c>
      <c r="E296">
        <f>IF(A296="","",6-CEILING(PERCENTRANK.INC($B$3:$B$6000,B296,4)*5+0.000001,1))</f>
        <v/>
      </c>
      <c r="F296">
        <f>IF(A296="","",MAX(1,CEILING(PERCENTRANK.INC($C$3:$C$6000,C296,4)*5+0.000001,1)))</f>
        <v/>
      </c>
      <c r="G296">
        <f>IF(A296="","",MAX(1,CEILING(PERCENTRANK.INC($D$3:$D$6000,D296,4)*5+0.000001,1)))</f>
        <v/>
      </c>
      <c r="H296">
        <f>IF(A296="","",E296&amp;F296&amp;G296)</f>
        <v/>
      </c>
      <c r="I296">
        <f>IF(A296="","",IF(AND(E296&gt;=4,F296&gt;=4,G296&gt;=4),"Juara",IF(AND(F296&gt;=4,E296&gt;=3),"Setia",IF(AND(E296=5,F296&lt;=2,G296&gt;=3),"Berpotensi",IF(AND(E296&lt;=3,E296&gt;=2,F296&gt;=3),"Rawan",IF(AND(E296&lt;=2,F296&lt;=2),"Tidur","Umum"))))))</f>
        <v/>
      </c>
    </row>
    <row r="297">
      <c r="B297">
        <f>IF(A297="","",$B$1-MAXIFS(Donasi!$A$2:$A$20000,Donasi!$B$2:$B$20000,A297))</f>
        <v/>
      </c>
      <c r="C297">
        <f>IF(A297="","",COUNTIF(Donasi!$B$2:$B$20000,A297))</f>
        <v/>
      </c>
      <c r="D297">
        <f>IF(A297="","",SUMIF(Donasi!$B$2:$B$20000,A297,Donasi!$C$2:$C$20000))</f>
        <v/>
      </c>
      <c r="E297">
        <f>IF(A297="","",6-CEILING(PERCENTRANK.INC($B$3:$B$6000,B297,4)*5+0.000001,1))</f>
        <v/>
      </c>
      <c r="F297">
        <f>IF(A297="","",MAX(1,CEILING(PERCENTRANK.INC($C$3:$C$6000,C297,4)*5+0.000001,1)))</f>
        <v/>
      </c>
      <c r="G297">
        <f>IF(A297="","",MAX(1,CEILING(PERCENTRANK.INC($D$3:$D$6000,D297,4)*5+0.000001,1)))</f>
        <v/>
      </c>
      <c r="H297">
        <f>IF(A297="","",E297&amp;F297&amp;G297)</f>
        <v/>
      </c>
      <c r="I297">
        <f>IF(A297="","",IF(AND(E297&gt;=4,F297&gt;=4,G297&gt;=4),"Juara",IF(AND(F297&gt;=4,E297&gt;=3),"Setia",IF(AND(E297=5,F297&lt;=2,G297&gt;=3),"Berpotensi",IF(AND(E297&lt;=3,E297&gt;=2,F297&gt;=3),"Rawan",IF(AND(E297&lt;=2,F297&lt;=2),"Tidur","Umum"))))))</f>
        <v/>
      </c>
    </row>
    <row r="298">
      <c r="B298">
        <f>IF(A298="","",$B$1-MAXIFS(Donasi!$A$2:$A$20000,Donasi!$B$2:$B$20000,A298))</f>
        <v/>
      </c>
      <c r="C298">
        <f>IF(A298="","",COUNTIF(Donasi!$B$2:$B$20000,A298))</f>
        <v/>
      </c>
      <c r="D298">
        <f>IF(A298="","",SUMIF(Donasi!$B$2:$B$20000,A298,Donasi!$C$2:$C$20000))</f>
        <v/>
      </c>
      <c r="E298">
        <f>IF(A298="","",6-CEILING(PERCENTRANK.INC($B$3:$B$6000,B298,4)*5+0.000001,1))</f>
        <v/>
      </c>
      <c r="F298">
        <f>IF(A298="","",MAX(1,CEILING(PERCENTRANK.INC($C$3:$C$6000,C298,4)*5+0.000001,1)))</f>
        <v/>
      </c>
      <c r="G298">
        <f>IF(A298="","",MAX(1,CEILING(PERCENTRANK.INC($D$3:$D$6000,D298,4)*5+0.000001,1)))</f>
        <v/>
      </c>
      <c r="H298">
        <f>IF(A298="","",E298&amp;F298&amp;G298)</f>
        <v/>
      </c>
      <c r="I298">
        <f>IF(A298="","",IF(AND(E298&gt;=4,F298&gt;=4,G298&gt;=4),"Juara",IF(AND(F298&gt;=4,E298&gt;=3),"Setia",IF(AND(E298=5,F298&lt;=2,G298&gt;=3),"Berpotensi",IF(AND(E298&lt;=3,E298&gt;=2,F298&gt;=3),"Rawan",IF(AND(E298&lt;=2,F298&lt;=2),"Tidur","Umum"))))))</f>
        <v/>
      </c>
    </row>
    <row r="299">
      <c r="B299">
        <f>IF(A299="","",$B$1-MAXIFS(Donasi!$A$2:$A$20000,Donasi!$B$2:$B$20000,A299))</f>
        <v/>
      </c>
      <c r="C299">
        <f>IF(A299="","",COUNTIF(Donasi!$B$2:$B$20000,A299))</f>
        <v/>
      </c>
      <c r="D299">
        <f>IF(A299="","",SUMIF(Donasi!$B$2:$B$20000,A299,Donasi!$C$2:$C$20000))</f>
        <v/>
      </c>
      <c r="E299">
        <f>IF(A299="","",6-CEILING(PERCENTRANK.INC($B$3:$B$6000,B299,4)*5+0.000001,1))</f>
        <v/>
      </c>
      <c r="F299">
        <f>IF(A299="","",MAX(1,CEILING(PERCENTRANK.INC($C$3:$C$6000,C299,4)*5+0.000001,1)))</f>
        <v/>
      </c>
      <c r="G299">
        <f>IF(A299="","",MAX(1,CEILING(PERCENTRANK.INC($D$3:$D$6000,D299,4)*5+0.000001,1)))</f>
        <v/>
      </c>
      <c r="H299">
        <f>IF(A299="","",E299&amp;F299&amp;G299)</f>
        <v/>
      </c>
      <c r="I299">
        <f>IF(A299="","",IF(AND(E299&gt;=4,F299&gt;=4,G299&gt;=4),"Juara",IF(AND(F299&gt;=4,E299&gt;=3),"Setia",IF(AND(E299=5,F299&lt;=2,G299&gt;=3),"Berpotensi",IF(AND(E299&lt;=3,E299&gt;=2,F299&gt;=3),"Rawan",IF(AND(E299&lt;=2,F299&lt;=2),"Tidur","Umum"))))))</f>
        <v/>
      </c>
    </row>
    <row r="300">
      <c r="B300">
        <f>IF(A300="","",$B$1-MAXIFS(Donasi!$A$2:$A$20000,Donasi!$B$2:$B$20000,A300))</f>
        <v/>
      </c>
      <c r="C300">
        <f>IF(A300="","",COUNTIF(Donasi!$B$2:$B$20000,A300))</f>
        <v/>
      </c>
      <c r="D300">
        <f>IF(A300="","",SUMIF(Donasi!$B$2:$B$20000,A300,Donasi!$C$2:$C$20000))</f>
        <v/>
      </c>
      <c r="E300">
        <f>IF(A300="","",6-CEILING(PERCENTRANK.INC($B$3:$B$6000,B300,4)*5+0.000001,1))</f>
        <v/>
      </c>
      <c r="F300">
        <f>IF(A300="","",MAX(1,CEILING(PERCENTRANK.INC($C$3:$C$6000,C300,4)*5+0.000001,1)))</f>
        <v/>
      </c>
      <c r="G300">
        <f>IF(A300="","",MAX(1,CEILING(PERCENTRANK.INC($D$3:$D$6000,D300,4)*5+0.000001,1)))</f>
        <v/>
      </c>
      <c r="H300">
        <f>IF(A300="","",E300&amp;F300&amp;G300)</f>
        <v/>
      </c>
      <c r="I300">
        <f>IF(A300="","",IF(AND(E300&gt;=4,F300&gt;=4,G300&gt;=4),"Juara",IF(AND(F300&gt;=4,E300&gt;=3),"Setia",IF(AND(E300=5,F300&lt;=2,G300&gt;=3),"Berpotensi",IF(AND(E300&lt;=3,E300&gt;=2,F300&gt;=3),"Rawan",IF(AND(E300&lt;=2,F300&lt;=2),"Tidur","Umum"))))))</f>
        <v/>
      </c>
    </row>
    <row r="301">
      <c r="B301">
        <f>IF(A301="","",$B$1-MAXIFS(Donasi!$A$2:$A$20000,Donasi!$B$2:$B$20000,A301))</f>
        <v/>
      </c>
      <c r="C301">
        <f>IF(A301="","",COUNTIF(Donasi!$B$2:$B$20000,A301))</f>
        <v/>
      </c>
      <c r="D301">
        <f>IF(A301="","",SUMIF(Donasi!$B$2:$B$20000,A301,Donasi!$C$2:$C$20000))</f>
        <v/>
      </c>
      <c r="E301">
        <f>IF(A301="","",6-CEILING(PERCENTRANK.INC($B$3:$B$6000,B301,4)*5+0.000001,1))</f>
        <v/>
      </c>
      <c r="F301">
        <f>IF(A301="","",MAX(1,CEILING(PERCENTRANK.INC($C$3:$C$6000,C301,4)*5+0.000001,1)))</f>
        <v/>
      </c>
      <c r="G301">
        <f>IF(A301="","",MAX(1,CEILING(PERCENTRANK.INC($D$3:$D$6000,D301,4)*5+0.000001,1)))</f>
        <v/>
      </c>
      <c r="H301">
        <f>IF(A301="","",E301&amp;F301&amp;G301)</f>
        <v/>
      </c>
      <c r="I301">
        <f>IF(A301="","",IF(AND(E301&gt;=4,F301&gt;=4,G301&gt;=4),"Juara",IF(AND(F301&gt;=4,E301&gt;=3),"Setia",IF(AND(E301=5,F301&lt;=2,G301&gt;=3),"Berpotensi",IF(AND(E301&lt;=3,E301&gt;=2,F301&gt;=3),"Rawan",IF(AND(E301&lt;=2,F301&lt;=2),"Tidur","Umum"))))))</f>
        <v/>
      </c>
    </row>
    <row r="302">
      <c r="B302">
        <f>IF(A302="","",$B$1-MAXIFS(Donasi!$A$2:$A$20000,Donasi!$B$2:$B$20000,A302))</f>
        <v/>
      </c>
      <c r="C302">
        <f>IF(A302="","",COUNTIF(Donasi!$B$2:$B$20000,A302))</f>
        <v/>
      </c>
      <c r="D302">
        <f>IF(A302="","",SUMIF(Donasi!$B$2:$B$20000,A302,Donasi!$C$2:$C$20000))</f>
        <v/>
      </c>
      <c r="E302">
        <f>IF(A302="","",6-CEILING(PERCENTRANK.INC($B$3:$B$6000,B302,4)*5+0.000001,1))</f>
        <v/>
      </c>
      <c r="F302">
        <f>IF(A302="","",MAX(1,CEILING(PERCENTRANK.INC($C$3:$C$6000,C302,4)*5+0.000001,1)))</f>
        <v/>
      </c>
      <c r="G302">
        <f>IF(A302="","",MAX(1,CEILING(PERCENTRANK.INC($D$3:$D$6000,D302,4)*5+0.000001,1)))</f>
        <v/>
      </c>
      <c r="H302">
        <f>IF(A302="","",E302&amp;F302&amp;G302)</f>
        <v/>
      </c>
      <c r="I302">
        <f>IF(A302="","",IF(AND(E302&gt;=4,F302&gt;=4,G302&gt;=4),"Juara",IF(AND(F302&gt;=4,E302&gt;=3),"Setia",IF(AND(E302=5,F302&lt;=2,G302&gt;=3),"Berpotensi",IF(AND(E302&lt;=3,E302&gt;=2,F302&gt;=3),"Rawan",IF(AND(E302&lt;=2,F302&lt;=2),"Tidur","Umum"))))))</f>
        <v/>
      </c>
    </row>
    <row r="303">
      <c r="B303">
        <f>IF(A303="","",$B$1-MAXIFS(Donasi!$A$2:$A$20000,Donasi!$B$2:$B$20000,A303))</f>
        <v/>
      </c>
      <c r="C303">
        <f>IF(A303="","",COUNTIF(Donasi!$B$2:$B$20000,A303))</f>
        <v/>
      </c>
      <c r="D303">
        <f>IF(A303="","",SUMIF(Donasi!$B$2:$B$20000,A303,Donasi!$C$2:$C$20000))</f>
        <v/>
      </c>
      <c r="E303">
        <f>IF(A303="","",6-CEILING(PERCENTRANK.INC($B$3:$B$6000,B303,4)*5+0.000001,1))</f>
        <v/>
      </c>
      <c r="F303">
        <f>IF(A303="","",MAX(1,CEILING(PERCENTRANK.INC($C$3:$C$6000,C303,4)*5+0.000001,1)))</f>
        <v/>
      </c>
      <c r="G303">
        <f>IF(A303="","",MAX(1,CEILING(PERCENTRANK.INC($D$3:$D$6000,D303,4)*5+0.000001,1)))</f>
        <v/>
      </c>
      <c r="H303">
        <f>IF(A303="","",E303&amp;F303&amp;G303)</f>
        <v/>
      </c>
      <c r="I303">
        <f>IF(A303="","",IF(AND(E303&gt;=4,F303&gt;=4,G303&gt;=4),"Juara",IF(AND(F303&gt;=4,E303&gt;=3),"Setia",IF(AND(E303=5,F303&lt;=2,G303&gt;=3),"Berpotensi",IF(AND(E303&lt;=3,E303&gt;=2,F303&gt;=3),"Rawan",IF(AND(E303&lt;=2,F303&lt;=2),"Tidur","Umum"))))))</f>
        <v/>
      </c>
    </row>
    <row r="304">
      <c r="B304">
        <f>IF(A304="","",$B$1-MAXIFS(Donasi!$A$2:$A$20000,Donasi!$B$2:$B$20000,A304))</f>
        <v/>
      </c>
      <c r="C304">
        <f>IF(A304="","",COUNTIF(Donasi!$B$2:$B$20000,A304))</f>
        <v/>
      </c>
      <c r="D304">
        <f>IF(A304="","",SUMIF(Donasi!$B$2:$B$20000,A304,Donasi!$C$2:$C$20000))</f>
        <v/>
      </c>
      <c r="E304">
        <f>IF(A304="","",6-CEILING(PERCENTRANK.INC($B$3:$B$6000,B304,4)*5+0.000001,1))</f>
        <v/>
      </c>
      <c r="F304">
        <f>IF(A304="","",MAX(1,CEILING(PERCENTRANK.INC($C$3:$C$6000,C304,4)*5+0.000001,1)))</f>
        <v/>
      </c>
      <c r="G304">
        <f>IF(A304="","",MAX(1,CEILING(PERCENTRANK.INC($D$3:$D$6000,D304,4)*5+0.000001,1)))</f>
        <v/>
      </c>
      <c r="H304">
        <f>IF(A304="","",E304&amp;F304&amp;G304)</f>
        <v/>
      </c>
      <c r="I304">
        <f>IF(A304="","",IF(AND(E304&gt;=4,F304&gt;=4,G304&gt;=4),"Juara",IF(AND(F304&gt;=4,E304&gt;=3),"Setia",IF(AND(E304=5,F304&lt;=2,G304&gt;=3),"Berpotensi",IF(AND(E304&lt;=3,E304&gt;=2,F304&gt;=3),"Rawan",IF(AND(E304&lt;=2,F304&lt;=2),"Tidur","Umum"))))))</f>
        <v/>
      </c>
    </row>
    <row r="305">
      <c r="B305">
        <f>IF(A305="","",$B$1-MAXIFS(Donasi!$A$2:$A$20000,Donasi!$B$2:$B$20000,A305))</f>
        <v/>
      </c>
      <c r="C305">
        <f>IF(A305="","",COUNTIF(Donasi!$B$2:$B$20000,A305))</f>
        <v/>
      </c>
      <c r="D305">
        <f>IF(A305="","",SUMIF(Donasi!$B$2:$B$20000,A305,Donasi!$C$2:$C$20000))</f>
        <v/>
      </c>
      <c r="E305">
        <f>IF(A305="","",6-CEILING(PERCENTRANK.INC($B$3:$B$6000,B305,4)*5+0.000001,1))</f>
        <v/>
      </c>
      <c r="F305">
        <f>IF(A305="","",MAX(1,CEILING(PERCENTRANK.INC($C$3:$C$6000,C305,4)*5+0.000001,1)))</f>
        <v/>
      </c>
      <c r="G305">
        <f>IF(A305="","",MAX(1,CEILING(PERCENTRANK.INC($D$3:$D$6000,D305,4)*5+0.000001,1)))</f>
        <v/>
      </c>
      <c r="H305">
        <f>IF(A305="","",E305&amp;F305&amp;G305)</f>
        <v/>
      </c>
      <c r="I305">
        <f>IF(A305="","",IF(AND(E305&gt;=4,F305&gt;=4,G305&gt;=4),"Juara",IF(AND(F305&gt;=4,E305&gt;=3),"Setia",IF(AND(E305=5,F305&lt;=2,G305&gt;=3),"Berpotensi",IF(AND(E305&lt;=3,E305&gt;=2,F305&gt;=3),"Rawan",IF(AND(E305&lt;=2,F305&lt;=2),"Tidur","Umum"))))))</f>
        <v/>
      </c>
    </row>
    <row r="306">
      <c r="B306">
        <f>IF(A306="","",$B$1-MAXIFS(Donasi!$A$2:$A$20000,Donasi!$B$2:$B$20000,A306))</f>
        <v/>
      </c>
      <c r="C306">
        <f>IF(A306="","",COUNTIF(Donasi!$B$2:$B$20000,A306))</f>
        <v/>
      </c>
      <c r="D306">
        <f>IF(A306="","",SUMIF(Donasi!$B$2:$B$20000,A306,Donasi!$C$2:$C$20000))</f>
        <v/>
      </c>
      <c r="E306">
        <f>IF(A306="","",6-CEILING(PERCENTRANK.INC($B$3:$B$6000,B306,4)*5+0.000001,1))</f>
        <v/>
      </c>
      <c r="F306">
        <f>IF(A306="","",MAX(1,CEILING(PERCENTRANK.INC($C$3:$C$6000,C306,4)*5+0.000001,1)))</f>
        <v/>
      </c>
      <c r="G306">
        <f>IF(A306="","",MAX(1,CEILING(PERCENTRANK.INC($D$3:$D$6000,D306,4)*5+0.000001,1)))</f>
        <v/>
      </c>
      <c r="H306">
        <f>IF(A306="","",E306&amp;F306&amp;G306)</f>
        <v/>
      </c>
      <c r="I306">
        <f>IF(A306="","",IF(AND(E306&gt;=4,F306&gt;=4,G306&gt;=4),"Juara",IF(AND(F306&gt;=4,E306&gt;=3),"Setia",IF(AND(E306=5,F306&lt;=2,G306&gt;=3),"Berpotensi",IF(AND(E306&lt;=3,E306&gt;=2,F306&gt;=3),"Rawan",IF(AND(E306&lt;=2,F306&lt;=2),"Tidur","Umum"))))))</f>
        <v/>
      </c>
    </row>
    <row r="307">
      <c r="B307">
        <f>IF(A307="","",$B$1-MAXIFS(Donasi!$A$2:$A$20000,Donasi!$B$2:$B$20000,A307))</f>
        <v/>
      </c>
      <c r="C307">
        <f>IF(A307="","",COUNTIF(Donasi!$B$2:$B$20000,A307))</f>
        <v/>
      </c>
      <c r="D307">
        <f>IF(A307="","",SUMIF(Donasi!$B$2:$B$20000,A307,Donasi!$C$2:$C$20000))</f>
        <v/>
      </c>
      <c r="E307">
        <f>IF(A307="","",6-CEILING(PERCENTRANK.INC($B$3:$B$6000,B307,4)*5+0.000001,1))</f>
        <v/>
      </c>
      <c r="F307">
        <f>IF(A307="","",MAX(1,CEILING(PERCENTRANK.INC($C$3:$C$6000,C307,4)*5+0.000001,1)))</f>
        <v/>
      </c>
      <c r="G307">
        <f>IF(A307="","",MAX(1,CEILING(PERCENTRANK.INC($D$3:$D$6000,D307,4)*5+0.000001,1)))</f>
        <v/>
      </c>
      <c r="H307">
        <f>IF(A307="","",E307&amp;F307&amp;G307)</f>
        <v/>
      </c>
      <c r="I307">
        <f>IF(A307="","",IF(AND(E307&gt;=4,F307&gt;=4,G307&gt;=4),"Juara",IF(AND(F307&gt;=4,E307&gt;=3),"Setia",IF(AND(E307=5,F307&lt;=2,G307&gt;=3),"Berpotensi",IF(AND(E307&lt;=3,E307&gt;=2,F307&gt;=3),"Rawan",IF(AND(E307&lt;=2,F307&lt;=2),"Tidur","Umum"))))))</f>
        <v/>
      </c>
    </row>
    <row r="308">
      <c r="B308">
        <f>IF(A308="","",$B$1-MAXIFS(Donasi!$A$2:$A$20000,Donasi!$B$2:$B$20000,A308))</f>
        <v/>
      </c>
      <c r="C308">
        <f>IF(A308="","",COUNTIF(Donasi!$B$2:$B$20000,A308))</f>
        <v/>
      </c>
      <c r="D308">
        <f>IF(A308="","",SUMIF(Donasi!$B$2:$B$20000,A308,Donasi!$C$2:$C$20000))</f>
        <v/>
      </c>
      <c r="E308">
        <f>IF(A308="","",6-CEILING(PERCENTRANK.INC($B$3:$B$6000,B308,4)*5+0.000001,1))</f>
        <v/>
      </c>
      <c r="F308">
        <f>IF(A308="","",MAX(1,CEILING(PERCENTRANK.INC($C$3:$C$6000,C308,4)*5+0.000001,1)))</f>
        <v/>
      </c>
      <c r="G308">
        <f>IF(A308="","",MAX(1,CEILING(PERCENTRANK.INC($D$3:$D$6000,D308,4)*5+0.000001,1)))</f>
        <v/>
      </c>
      <c r="H308">
        <f>IF(A308="","",E308&amp;F308&amp;G308)</f>
        <v/>
      </c>
      <c r="I308">
        <f>IF(A308="","",IF(AND(E308&gt;=4,F308&gt;=4,G308&gt;=4),"Juara",IF(AND(F308&gt;=4,E308&gt;=3),"Setia",IF(AND(E308=5,F308&lt;=2,G308&gt;=3),"Berpotensi",IF(AND(E308&lt;=3,E308&gt;=2,F308&gt;=3),"Rawan",IF(AND(E308&lt;=2,F308&lt;=2),"Tidur","Umum"))))))</f>
        <v/>
      </c>
    </row>
    <row r="309">
      <c r="B309">
        <f>IF(A309="","",$B$1-MAXIFS(Donasi!$A$2:$A$20000,Donasi!$B$2:$B$20000,A309))</f>
        <v/>
      </c>
      <c r="C309">
        <f>IF(A309="","",COUNTIF(Donasi!$B$2:$B$20000,A309))</f>
        <v/>
      </c>
      <c r="D309">
        <f>IF(A309="","",SUMIF(Donasi!$B$2:$B$20000,A309,Donasi!$C$2:$C$20000))</f>
        <v/>
      </c>
      <c r="E309">
        <f>IF(A309="","",6-CEILING(PERCENTRANK.INC($B$3:$B$6000,B309,4)*5+0.000001,1))</f>
        <v/>
      </c>
      <c r="F309">
        <f>IF(A309="","",MAX(1,CEILING(PERCENTRANK.INC($C$3:$C$6000,C309,4)*5+0.000001,1)))</f>
        <v/>
      </c>
      <c r="G309">
        <f>IF(A309="","",MAX(1,CEILING(PERCENTRANK.INC($D$3:$D$6000,D309,4)*5+0.000001,1)))</f>
        <v/>
      </c>
      <c r="H309">
        <f>IF(A309="","",E309&amp;F309&amp;G309)</f>
        <v/>
      </c>
      <c r="I309">
        <f>IF(A309="","",IF(AND(E309&gt;=4,F309&gt;=4,G309&gt;=4),"Juara",IF(AND(F309&gt;=4,E309&gt;=3),"Setia",IF(AND(E309=5,F309&lt;=2,G309&gt;=3),"Berpotensi",IF(AND(E309&lt;=3,E309&gt;=2,F309&gt;=3),"Rawan",IF(AND(E309&lt;=2,F309&lt;=2),"Tidur","Umum"))))))</f>
        <v/>
      </c>
    </row>
    <row r="310">
      <c r="B310">
        <f>IF(A310="","",$B$1-MAXIFS(Donasi!$A$2:$A$20000,Donasi!$B$2:$B$20000,A310))</f>
        <v/>
      </c>
      <c r="C310">
        <f>IF(A310="","",COUNTIF(Donasi!$B$2:$B$20000,A310))</f>
        <v/>
      </c>
      <c r="D310">
        <f>IF(A310="","",SUMIF(Donasi!$B$2:$B$20000,A310,Donasi!$C$2:$C$20000))</f>
        <v/>
      </c>
      <c r="E310">
        <f>IF(A310="","",6-CEILING(PERCENTRANK.INC($B$3:$B$6000,B310,4)*5+0.000001,1))</f>
        <v/>
      </c>
      <c r="F310">
        <f>IF(A310="","",MAX(1,CEILING(PERCENTRANK.INC($C$3:$C$6000,C310,4)*5+0.000001,1)))</f>
        <v/>
      </c>
      <c r="G310">
        <f>IF(A310="","",MAX(1,CEILING(PERCENTRANK.INC($D$3:$D$6000,D310,4)*5+0.000001,1)))</f>
        <v/>
      </c>
      <c r="H310">
        <f>IF(A310="","",E310&amp;F310&amp;G310)</f>
        <v/>
      </c>
      <c r="I310">
        <f>IF(A310="","",IF(AND(E310&gt;=4,F310&gt;=4,G310&gt;=4),"Juara",IF(AND(F310&gt;=4,E310&gt;=3),"Setia",IF(AND(E310=5,F310&lt;=2,G310&gt;=3),"Berpotensi",IF(AND(E310&lt;=3,E310&gt;=2,F310&gt;=3),"Rawan",IF(AND(E310&lt;=2,F310&lt;=2),"Tidur","Umum"))))))</f>
        <v/>
      </c>
    </row>
    <row r="311">
      <c r="B311">
        <f>IF(A311="","",$B$1-MAXIFS(Donasi!$A$2:$A$20000,Donasi!$B$2:$B$20000,A311))</f>
        <v/>
      </c>
      <c r="C311">
        <f>IF(A311="","",COUNTIF(Donasi!$B$2:$B$20000,A311))</f>
        <v/>
      </c>
      <c r="D311">
        <f>IF(A311="","",SUMIF(Donasi!$B$2:$B$20000,A311,Donasi!$C$2:$C$20000))</f>
        <v/>
      </c>
      <c r="E311">
        <f>IF(A311="","",6-CEILING(PERCENTRANK.INC($B$3:$B$6000,B311,4)*5+0.000001,1))</f>
        <v/>
      </c>
      <c r="F311">
        <f>IF(A311="","",MAX(1,CEILING(PERCENTRANK.INC($C$3:$C$6000,C311,4)*5+0.000001,1)))</f>
        <v/>
      </c>
      <c r="G311">
        <f>IF(A311="","",MAX(1,CEILING(PERCENTRANK.INC($D$3:$D$6000,D311,4)*5+0.000001,1)))</f>
        <v/>
      </c>
      <c r="H311">
        <f>IF(A311="","",E311&amp;F311&amp;G311)</f>
        <v/>
      </c>
      <c r="I311">
        <f>IF(A311="","",IF(AND(E311&gt;=4,F311&gt;=4,G311&gt;=4),"Juara",IF(AND(F311&gt;=4,E311&gt;=3),"Setia",IF(AND(E311=5,F311&lt;=2,G311&gt;=3),"Berpotensi",IF(AND(E311&lt;=3,E311&gt;=2,F311&gt;=3),"Rawan",IF(AND(E311&lt;=2,F311&lt;=2),"Tidur","Umum"))))))</f>
        <v/>
      </c>
    </row>
    <row r="312">
      <c r="B312">
        <f>IF(A312="","",$B$1-MAXIFS(Donasi!$A$2:$A$20000,Donasi!$B$2:$B$20000,A312))</f>
        <v/>
      </c>
      <c r="C312">
        <f>IF(A312="","",COUNTIF(Donasi!$B$2:$B$20000,A312))</f>
        <v/>
      </c>
      <c r="D312">
        <f>IF(A312="","",SUMIF(Donasi!$B$2:$B$20000,A312,Donasi!$C$2:$C$20000))</f>
        <v/>
      </c>
      <c r="E312">
        <f>IF(A312="","",6-CEILING(PERCENTRANK.INC($B$3:$B$6000,B312,4)*5+0.000001,1))</f>
        <v/>
      </c>
      <c r="F312">
        <f>IF(A312="","",MAX(1,CEILING(PERCENTRANK.INC($C$3:$C$6000,C312,4)*5+0.000001,1)))</f>
        <v/>
      </c>
      <c r="G312">
        <f>IF(A312="","",MAX(1,CEILING(PERCENTRANK.INC($D$3:$D$6000,D312,4)*5+0.000001,1)))</f>
        <v/>
      </c>
      <c r="H312">
        <f>IF(A312="","",E312&amp;F312&amp;G312)</f>
        <v/>
      </c>
      <c r="I312">
        <f>IF(A312="","",IF(AND(E312&gt;=4,F312&gt;=4,G312&gt;=4),"Juara",IF(AND(F312&gt;=4,E312&gt;=3),"Setia",IF(AND(E312=5,F312&lt;=2,G312&gt;=3),"Berpotensi",IF(AND(E312&lt;=3,E312&gt;=2,F312&gt;=3),"Rawan",IF(AND(E312&lt;=2,F312&lt;=2),"Tidur","Umum"))))))</f>
        <v/>
      </c>
    </row>
    <row r="313">
      <c r="B313">
        <f>IF(A313="","",$B$1-MAXIFS(Donasi!$A$2:$A$20000,Donasi!$B$2:$B$20000,A313))</f>
        <v/>
      </c>
      <c r="C313">
        <f>IF(A313="","",COUNTIF(Donasi!$B$2:$B$20000,A313))</f>
        <v/>
      </c>
      <c r="D313">
        <f>IF(A313="","",SUMIF(Donasi!$B$2:$B$20000,A313,Donasi!$C$2:$C$20000))</f>
        <v/>
      </c>
      <c r="E313">
        <f>IF(A313="","",6-CEILING(PERCENTRANK.INC($B$3:$B$6000,B313,4)*5+0.000001,1))</f>
        <v/>
      </c>
      <c r="F313">
        <f>IF(A313="","",MAX(1,CEILING(PERCENTRANK.INC($C$3:$C$6000,C313,4)*5+0.000001,1)))</f>
        <v/>
      </c>
      <c r="G313">
        <f>IF(A313="","",MAX(1,CEILING(PERCENTRANK.INC($D$3:$D$6000,D313,4)*5+0.000001,1)))</f>
        <v/>
      </c>
      <c r="H313">
        <f>IF(A313="","",E313&amp;F313&amp;G313)</f>
        <v/>
      </c>
      <c r="I313">
        <f>IF(A313="","",IF(AND(E313&gt;=4,F313&gt;=4,G313&gt;=4),"Juara",IF(AND(F313&gt;=4,E313&gt;=3),"Setia",IF(AND(E313=5,F313&lt;=2,G313&gt;=3),"Berpotensi",IF(AND(E313&lt;=3,E313&gt;=2,F313&gt;=3),"Rawan",IF(AND(E313&lt;=2,F313&lt;=2),"Tidur","Umum"))))))</f>
        <v/>
      </c>
    </row>
    <row r="314">
      <c r="B314">
        <f>IF(A314="","",$B$1-MAXIFS(Donasi!$A$2:$A$20000,Donasi!$B$2:$B$20000,A314))</f>
        <v/>
      </c>
      <c r="C314">
        <f>IF(A314="","",COUNTIF(Donasi!$B$2:$B$20000,A314))</f>
        <v/>
      </c>
      <c r="D314">
        <f>IF(A314="","",SUMIF(Donasi!$B$2:$B$20000,A314,Donasi!$C$2:$C$20000))</f>
        <v/>
      </c>
      <c r="E314">
        <f>IF(A314="","",6-CEILING(PERCENTRANK.INC($B$3:$B$6000,B314,4)*5+0.000001,1))</f>
        <v/>
      </c>
      <c r="F314">
        <f>IF(A314="","",MAX(1,CEILING(PERCENTRANK.INC($C$3:$C$6000,C314,4)*5+0.000001,1)))</f>
        <v/>
      </c>
      <c r="G314">
        <f>IF(A314="","",MAX(1,CEILING(PERCENTRANK.INC($D$3:$D$6000,D314,4)*5+0.000001,1)))</f>
        <v/>
      </c>
      <c r="H314">
        <f>IF(A314="","",E314&amp;F314&amp;G314)</f>
        <v/>
      </c>
      <c r="I314">
        <f>IF(A314="","",IF(AND(E314&gt;=4,F314&gt;=4,G314&gt;=4),"Juara",IF(AND(F314&gt;=4,E314&gt;=3),"Setia",IF(AND(E314=5,F314&lt;=2,G314&gt;=3),"Berpotensi",IF(AND(E314&lt;=3,E314&gt;=2,F314&gt;=3),"Rawan",IF(AND(E314&lt;=2,F314&lt;=2),"Tidur","Umum"))))))</f>
        <v/>
      </c>
    </row>
    <row r="315">
      <c r="B315">
        <f>IF(A315="","",$B$1-MAXIFS(Donasi!$A$2:$A$20000,Donasi!$B$2:$B$20000,A315))</f>
        <v/>
      </c>
      <c r="C315">
        <f>IF(A315="","",COUNTIF(Donasi!$B$2:$B$20000,A315))</f>
        <v/>
      </c>
      <c r="D315">
        <f>IF(A315="","",SUMIF(Donasi!$B$2:$B$20000,A315,Donasi!$C$2:$C$20000))</f>
        <v/>
      </c>
      <c r="E315">
        <f>IF(A315="","",6-CEILING(PERCENTRANK.INC($B$3:$B$6000,B315,4)*5+0.000001,1))</f>
        <v/>
      </c>
      <c r="F315">
        <f>IF(A315="","",MAX(1,CEILING(PERCENTRANK.INC($C$3:$C$6000,C315,4)*5+0.000001,1)))</f>
        <v/>
      </c>
      <c r="G315">
        <f>IF(A315="","",MAX(1,CEILING(PERCENTRANK.INC($D$3:$D$6000,D315,4)*5+0.000001,1)))</f>
        <v/>
      </c>
      <c r="H315">
        <f>IF(A315="","",E315&amp;F315&amp;G315)</f>
        <v/>
      </c>
      <c r="I315">
        <f>IF(A315="","",IF(AND(E315&gt;=4,F315&gt;=4,G315&gt;=4),"Juara",IF(AND(F315&gt;=4,E315&gt;=3),"Setia",IF(AND(E315=5,F315&lt;=2,G315&gt;=3),"Berpotensi",IF(AND(E315&lt;=3,E315&gt;=2,F315&gt;=3),"Rawan",IF(AND(E315&lt;=2,F315&lt;=2),"Tidur","Umum"))))))</f>
        <v/>
      </c>
    </row>
    <row r="316">
      <c r="B316">
        <f>IF(A316="","",$B$1-MAXIFS(Donasi!$A$2:$A$20000,Donasi!$B$2:$B$20000,A316))</f>
        <v/>
      </c>
      <c r="C316">
        <f>IF(A316="","",COUNTIF(Donasi!$B$2:$B$20000,A316))</f>
        <v/>
      </c>
      <c r="D316">
        <f>IF(A316="","",SUMIF(Donasi!$B$2:$B$20000,A316,Donasi!$C$2:$C$20000))</f>
        <v/>
      </c>
      <c r="E316">
        <f>IF(A316="","",6-CEILING(PERCENTRANK.INC($B$3:$B$6000,B316,4)*5+0.000001,1))</f>
        <v/>
      </c>
      <c r="F316">
        <f>IF(A316="","",MAX(1,CEILING(PERCENTRANK.INC($C$3:$C$6000,C316,4)*5+0.000001,1)))</f>
        <v/>
      </c>
      <c r="G316">
        <f>IF(A316="","",MAX(1,CEILING(PERCENTRANK.INC($D$3:$D$6000,D316,4)*5+0.000001,1)))</f>
        <v/>
      </c>
      <c r="H316">
        <f>IF(A316="","",E316&amp;F316&amp;G316)</f>
        <v/>
      </c>
      <c r="I316">
        <f>IF(A316="","",IF(AND(E316&gt;=4,F316&gt;=4,G316&gt;=4),"Juara",IF(AND(F316&gt;=4,E316&gt;=3),"Setia",IF(AND(E316=5,F316&lt;=2,G316&gt;=3),"Berpotensi",IF(AND(E316&lt;=3,E316&gt;=2,F316&gt;=3),"Rawan",IF(AND(E316&lt;=2,F316&lt;=2),"Tidur","Umum"))))))</f>
        <v/>
      </c>
    </row>
    <row r="317">
      <c r="B317">
        <f>IF(A317="","",$B$1-MAXIFS(Donasi!$A$2:$A$20000,Donasi!$B$2:$B$20000,A317))</f>
        <v/>
      </c>
      <c r="C317">
        <f>IF(A317="","",COUNTIF(Donasi!$B$2:$B$20000,A317))</f>
        <v/>
      </c>
      <c r="D317">
        <f>IF(A317="","",SUMIF(Donasi!$B$2:$B$20000,A317,Donasi!$C$2:$C$20000))</f>
        <v/>
      </c>
      <c r="E317">
        <f>IF(A317="","",6-CEILING(PERCENTRANK.INC($B$3:$B$6000,B317,4)*5+0.000001,1))</f>
        <v/>
      </c>
      <c r="F317">
        <f>IF(A317="","",MAX(1,CEILING(PERCENTRANK.INC($C$3:$C$6000,C317,4)*5+0.000001,1)))</f>
        <v/>
      </c>
      <c r="G317">
        <f>IF(A317="","",MAX(1,CEILING(PERCENTRANK.INC($D$3:$D$6000,D317,4)*5+0.000001,1)))</f>
        <v/>
      </c>
      <c r="H317">
        <f>IF(A317="","",E317&amp;F317&amp;G317)</f>
        <v/>
      </c>
      <c r="I317">
        <f>IF(A317="","",IF(AND(E317&gt;=4,F317&gt;=4,G317&gt;=4),"Juara",IF(AND(F317&gt;=4,E317&gt;=3),"Setia",IF(AND(E317=5,F317&lt;=2,G317&gt;=3),"Berpotensi",IF(AND(E317&lt;=3,E317&gt;=2,F317&gt;=3),"Rawan",IF(AND(E317&lt;=2,F317&lt;=2),"Tidur","Umum"))))))</f>
        <v/>
      </c>
    </row>
    <row r="318">
      <c r="B318">
        <f>IF(A318="","",$B$1-MAXIFS(Donasi!$A$2:$A$20000,Donasi!$B$2:$B$20000,A318))</f>
        <v/>
      </c>
      <c r="C318">
        <f>IF(A318="","",COUNTIF(Donasi!$B$2:$B$20000,A318))</f>
        <v/>
      </c>
      <c r="D318">
        <f>IF(A318="","",SUMIF(Donasi!$B$2:$B$20000,A318,Donasi!$C$2:$C$20000))</f>
        <v/>
      </c>
      <c r="E318">
        <f>IF(A318="","",6-CEILING(PERCENTRANK.INC($B$3:$B$6000,B318,4)*5+0.000001,1))</f>
        <v/>
      </c>
      <c r="F318">
        <f>IF(A318="","",MAX(1,CEILING(PERCENTRANK.INC($C$3:$C$6000,C318,4)*5+0.000001,1)))</f>
        <v/>
      </c>
      <c r="G318">
        <f>IF(A318="","",MAX(1,CEILING(PERCENTRANK.INC($D$3:$D$6000,D318,4)*5+0.000001,1)))</f>
        <v/>
      </c>
      <c r="H318">
        <f>IF(A318="","",E318&amp;F318&amp;G318)</f>
        <v/>
      </c>
      <c r="I318">
        <f>IF(A318="","",IF(AND(E318&gt;=4,F318&gt;=4,G318&gt;=4),"Juara",IF(AND(F318&gt;=4,E318&gt;=3),"Setia",IF(AND(E318=5,F318&lt;=2,G318&gt;=3),"Berpotensi",IF(AND(E318&lt;=3,E318&gt;=2,F318&gt;=3),"Rawan",IF(AND(E318&lt;=2,F318&lt;=2),"Tidur","Umum"))))))</f>
        <v/>
      </c>
    </row>
    <row r="319">
      <c r="B319">
        <f>IF(A319="","",$B$1-MAXIFS(Donasi!$A$2:$A$20000,Donasi!$B$2:$B$20000,A319))</f>
        <v/>
      </c>
      <c r="C319">
        <f>IF(A319="","",COUNTIF(Donasi!$B$2:$B$20000,A319))</f>
        <v/>
      </c>
      <c r="D319">
        <f>IF(A319="","",SUMIF(Donasi!$B$2:$B$20000,A319,Donasi!$C$2:$C$20000))</f>
        <v/>
      </c>
      <c r="E319">
        <f>IF(A319="","",6-CEILING(PERCENTRANK.INC($B$3:$B$6000,B319,4)*5+0.000001,1))</f>
        <v/>
      </c>
      <c r="F319">
        <f>IF(A319="","",MAX(1,CEILING(PERCENTRANK.INC($C$3:$C$6000,C319,4)*5+0.000001,1)))</f>
        <v/>
      </c>
      <c r="G319">
        <f>IF(A319="","",MAX(1,CEILING(PERCENTRANK.INC($D$3:$D$6000,D319,4)*5+0.000001,1)))</f>
        <v/>
      </c>
      <c r="H319">
        <f>IF(A319="","",E319&amp;F319&amp;G319)</f>
        <v/>
      </c>
      <c r="I319">
        <f>IF(A319="","",IF(AND(E319&gt;=4,F319&gt;=4,G319&gt;=4),"Juara",IF(AND(F319&gt;=4,E319&gt;=3),"Setia",IF(AND(E319=5,F319&lt;=2,G319&gt;=3),"Berpotensi",IF(AND(E319&lt;=3,E319&gt;=2,F319&gt;=3),"Rawan",IF(AND(E319&lt;=2,F319&lt;=2),"Tidur","Umum"))))))</f>
        <v/>
      </c>
    </row>
    <row r="320">
      <c r="B320">
        <f>IF(A320="","",$B$1-MAXIFS(Donasi!$A$2:$A$20000,Donasi!$B$2:$B$20000,A320))</f>
        <v/>
      </c>
      <c r="C320">
        <f>IF(A320="","",COUNTIF(Donasi!$B$2:$B$20000,A320))</f>
        <v/>
      </c>
      <c r="D320">
        <f>IF(A320="","",SUMIF(Donasi!$B$2:$B$20000,A320,Donasi!$C$2:$C$20000))</f>
        <v/>
      </c>
      <c r="E320">
        <f>IF(A320="","",6-CEILING(PERCENTRANK.INC($B$3:$B$6000,B320,4)*5+0.000001,1))</f>
        <v/>
      </c>
      <c r="F320">
        <f>IF(A320="","",MAX(1,CEILING(PERCENTRANK.INC($C$3:$C$6000,C320,4)*5+0.000001,1)))</f>
        <v/>
      </c>
      <c r="G320">
        <f>IF(A320="","",MAX(1,CEILING(PERCENTRANK.INC($D$3:$D$6000,D320,4)*5+0.000001,1)))</f>
        <v/>
      </c>
      <c r="H320">
        <f>IF(A320="","",E320&amp;F320&amp;G320)</f>
        <v/>
      </c>
      <c r="I320">
        <f>IF(A320="","",IF(AND(E320&gt;=4,F320&gt;=4,G320&gt;=4),"Juara",IF(AND(F320&gt;=4,E320&gt;=3),"Setia",IF(AND(E320=5,F320&lt;=2,G320&gt;=3),"Berpotensi",IF(AND(E320&lt;=3,E320&gt;=2,F320&gt;=3),"Rawan",IF(AND(E320&lt;=2,F320&lt;=2),"Tidur","Umum"))))))</f>
        <v/>
      </c>
    </row>
    <row r="321">
      <c r="B321">
        <f>IF(A321="","",$B$1-MAXIFS(Donasi!$A$2:$A$20000,Donasi!$B$2:$B$20000,A321))</f>
        <v/>
      </c>
      <c r="C321">
        <f>IF(A321="","",COUNTIF(Donasi!$B$2:$B$20000,A321))</f>
        <v/>
      </c>
      <c r="D321">
        <f>IF(A321="","",SUMIF(Donasi!$B$2:$B$20000,A321,Donasi!$C$2:$C$20000))</f>
        <v/>
      </c>
      <c r="E321">
        <f>IF(A321="","",6-CEILING(PERCENTRANK.INC($B$3:$B$6000,B321,4)*5+0.000001,1))</f>
        <v/>
      </c>
      <c r="F321">
        <f>IF(A321="","",MAX(1,CEILING(PERCENTRANK.INC($C$3:$C$6000,C321,4)*5+0.000001,1)))</f>
        <v/>
      </c>
      <c r="G321">
        <f>IF(A321="","",MAX(1,CEILING(PERCENTRANK.INC($D$3:$D$6000,D321,4)*5+0.000001,1)))</f>
        <v/>
      </c>
      <c r="H321">
        <f>IF(A321="","",E321&amp;F321&amp;G321)</f>
        <v/>
      </c>
      <c r="I321">
        <f>IF(A321="","",IF(AND(E321&gt;=4,F321&gt;=4,G321&gt;=4),"Juara",IF(AND(F321&gt;=4,E321&gt;=3),"Setia",IF(AND(E321=5,F321&lt;=2,G321&gt;=3),"Berpotensi",IF(AND(E321&lt;=3,E321&gt;=2,F321&gt;=3),"Rawan",IF(AND(E321&lt;=2,F321&lt;=2),"Tidur","Umum"))))))</f>
        <v/>
      </c>
    </row>
    <row r="322">
      <c r="B322">
        <f>IF(A322="","",$B$1-MAXIFS(Donasi!$A$2:$A$20000,Donasi!$B$2:$B$20000,A322))</f>
        <v/>
      </c>
      <c r="C322">
        <f>IF(A322="","",COUNTIF(Donasi!$B$2:$B$20000,A322))</f>
        <v/>
      </c>
      <c r="D322">
        <f>IF(A322="","",SUMIF(Donasi!$B$2:$B$20000,A322,Donasi!$C$2:$C$20000))</f>
        <v/>
      </c>
      <c r="E322">
        <f>IF(A322="","",6-CEILING(PERCENTRANK.INC($B$3:$B$6000,B322,4)*5+0.000001,1))</f>
        <v/>
      </c>
      <c r="F322">
        <f>IF(A322="","",MAX(1,CEILING(PERCENTRANK.INC($C$3:$C$6000,C322,4)*5+0.000001,1)))</f>
        <v/>
      </c>
      <c r="G322">
        <f>IF(A322="","",MAX(1,CEILING(PERCENTRANK.INC($D$3:$D$6000,D322,4)*5+0.000001,1)))</f>
        <v/>
      </c>
      <c r="H322">
        <f>IF(A322="","",E322&amp;F322&amp;G322)</f>
        <v/>
      </c>
      <c r="I322">
        <f>IF(A322="","",IF(AND(E322&gt;=4,F322&gt;=4,G322&gt;=4),"Juara",IF(AND(F322&gt;=4,E322&gt;=3),"Setia",IF(AND(E322=5,F322&lt;=2,G322&gt;=3),"Berpotensi",IF(AND(E322&lt;=3,E322&gt;=2,F322&gt;=3),"Rawan",IF(AND(E322&lt;=2,F322&lt;=2),"Tidur","Umum"))))))</f>
        <v/>
      </c>
    </row>
    <row r="323">
      <c r="B323">
        <f>IF(A323="","",$B$1-MAXIFS(Donasi!$A$2:$A$20000,Donasi!$B$2:$B$20000,A323))</f>
        <v/>
      </c>
      <c r="C323">
        <f>IF(A323="","",COUNTIF(Donasi!$B$2:$B$20000,A323))</f>
        <v/>
      </c>
      <c r="D323">
        <f>IF(A323="","",SUMIF(Donasi!$B$2:$B$20000,A323,Donasi!$C$2:$C$20000))</f>
        <v/>
      </c>
      <c r="E323">
        <f>IF(A323="","",6-CEILING(PERCENTRANK.INC($B$3:$B$6000,B323,4)*5+0.000001,1))</f>
        <v/>
      </c>
      <c r="F323">
        <f>IF(A323="","",MAX(1,CEILING(PERCENTRANK.INC($C$3:$C$6000,C323,4)*5+0.000001,1)))</f>
        <v/>
      </c>
      <c r="G323">
        <f>IF(A323="","",MAX(1,CEILING(PERCENTRANK.INC($D$3:$D$6000,D323,4)*5+0.000001,1)))</f>
        <v/>
      </c>
      <c r="H323">
        <f>IF(A323="","",E323&amp;F323&amp;G323)</f>
        <v/>
      </c>
      <c r="I323">
        <f>IF(A323="","",IF(AND(E323&gt;=4,F323&gt;=4,G323&gt;=4),"Juara",IF(AND(F323&gt;=4,E323&gt;=3),"Setia",IF(AND(E323=5,F323&lt;=2,G323&gt;=3),"Berpotensi",IF(AND(E323&lt;=3,E323&gt;=2,F323&gt;=3),"Rawan",IF(AND(E323&lt;=2,F323&lt;=2),"Tidur","Umum"))))))</f>
        <v/>
      </c>
    </row>
    <row r="324">
      <c r="B324">
        <f>IF(A324="","",$B$1-MAXIFS(Donasi!$A$2:$A$20000,Donasi!$B$2:$B$20000,A324))</f>
        <v/>
      </c>
      <c r="C324">
        <f>IF(A324="","",COUNTIF(Donasi!$B$2:$B$20000,A324))</f>
        <v/>
      </c>
      <c r="D324">
        <f>IF(A324="","",SUMIF(Donasi!$B$2:$B$20000,A324,Donasi!$C$2:$C$20000))</f>
        <v/>
      </c>
      <c r="E324">
        <f>IF(A324="","",6-CEILING(PERCENTRANK.INC($B$3:$B$6000,B324,4)*5+0.000001,1))</f>
        <v/>
      </c>
      <c r="F324">
        <f>IF(A324="","",MAX(1,CEILING(PERCENTRANK.INC($C$3:$C$6000,C324,4)*5+0.000001,1)))</f>
        <v/>
      </c>
      <c r="G324">
        <f>IF(A324="","",MAX(1,CEILING(PERCENTRANK.INC($D$3:$D$6000,D324,4)*5+0.000001,1)))</f>
        <v/>
      </c>
      <c r="H324">
        <f>IF(A324="","",E324&amp;F324&amp;G324)</f>
        <v/>
      </c>
      <c r="I324">
        <f>IF(A324="","",IF(AND(E324&gt;=4,F324&gt;=4,G324&gt;=4),"Juara",IF(AND(F324&gt;=4,E324&gt;=3),"Setia",IF(AND(E324=5,F324&lt;=2,G324&gt;=3),"Berpotensi",IF(AND(E324&lt;=3,E324&gt;=2,F324&gt;=3),"Rawan",IF(AND(E324&lt;=2,F324&lt;=2),"Tidur","Umum"))))))</f>
        <v/>
      </c>
    </row>
    <row r="325">
      <c r="B325">
        <f>IF(A325="","",$B$1-MAXIFS(Donasi!$A$2:$A$20000,Donasi!$B$2:$B$20000,A325))</f>
        <v/>
      </c>
      <c r="C325">
        <f>IF(A325="","",COUNTIF(Donasi!$B$2:$B$20000,A325))</f>
        <v/>
      </c>
      <c r="D325">
        <f>IF(A325="","",SUMIF(Donasi!$B$2:$B$20000,A325,Donasi!$C$2:$C$20000))</f>
        <v/>
      </c>
      <c r="E325">
        <f>IF(A325="","",6-CEILING(PERCENTRANK.INC($B$3:$B$6000,B325,4)*5+0.000001,1))</f>
        <v/>
      </c>
      <c r="F325">
        <f>IF(A325="","",MAX(1,CEILING(PERCENTRANK.INC($C$3:$C$6000,C325,4)*5+0.000001,1)))</f>
        <v/>
      </c>
      <c r="G325">
        <f>IF(A325="","",MAX(1,CEILING(PERCENTRANK.INC($D$3:$D$6000,D325,4)*5+0.000001,1)))</f>
        <v/>
      </c>
      <c r="H325">
        <f>IF(A325="","",E325&amp;F325&amp;G325)</f>
        <v/>
      </c>
      <c r="I325">
        <f>IF(A325="","",IF(AND(E325&gt;=4,F325&gt;=4,G325&gt;=4),"Juara",IF(AND(F325&gt;=4,E325&gt;=3),"Setia",IF(AND(E325=5,F325&lt;=2,G325&gt;=3),"Berpotensi",IF(AND(E325&lt;=3,E325&gt;=2,F325&gt;=3),"Rawan",IF(AND(E325&lt;=2,F325&lt;=2),"Tidur","Umum"))))))</f>
        <v/>
      </c>
    </row>
    <row r="326">
      <c r="B326">
        <f>IF(A326="","",$B$1-MAXIFS(Donasi!$A$2:$A$20000,Donasi!$B$2:$B$20000,A326))</f>
        <v/>
      </c>
      <c r="C326">
        <f>IF(A326="","",COUNTIF(Donasi!$B$2:$B$20000,A326))</f>
        <v/>
      </c>
      <c r="D326">
        <f>IF(A326="","",SUMIF(Donasi!$B$2:$B$20000,A326,Donasi!$C$2:$C$20000))</f>
        <v/>
      </c>
      <c r="E326">
        <f>IF(A326="","",6-CEILING(PERCENTRANK.INC($B$3:$B$6000,B326,4)*5+0.000001,1))</f>
        <v/>
      </c>
      <c r="F326">
        <f>IF(A326="","",MAX(1,CEILING(PERCENTRANK.INC($C$3:$C$6000,C326,4)*5+0.000001,1)))</f>
        <v/>
      </c>
      <c r="G326">
        <f>IF(A326="","",MAX(1,CEILING(PERCENTRANK.INC($D$3:$D$6000,D326,4)*5+0.000001,1)))</f>
        <v/>
      </c>
      <c r="H326">
        <f>IF(A326="","",E326&amp;F326&amp;G326)</f>
        <v/>
      </c>
      <c r="I326">
        <f>IF(A326="","",IF(AND(E326&gt;=4,F326&gt;=4,G326&gt;=4),"Juara",IF(AND(F326&gt;=4,E326&gt;=3),"Setia",IF(AND(E326=5,F326&lt;=2,G326&gt;=3),"Berpotensi",IF(AND(E326&lt;=3,E326&gt;=2,F326&gt;=3),"Rawan",IF(AND(E326&lt;=2,F326&lt;=2),"Tidur","Umum"))))))</f>
        <v/>
      </c>
    </row>
    <row r="327">
      <c r="B327">
        <f>IF(A327="","",$B$1-MAXIFS(Donasi!$A$2:$A$20000,Donasi!$B$2:$B$20000,A327))</f>
        <v/>
      </c>
      <c r="C327">
        <f>IF(A327="","",COUNTIF(Donasi!$B$2:$B$20000,A327))</f>
        <v/>
      </c>
      <c r="D327">
        <f>IF(A327="","",SUMIF(Donasi!$B$2:$B$20000,A327,Donasi!$C$2:$C$20000))</f>
        <v/>
      </c>
      <c r="E327">
        <f>IF(A327="","",6-CEILING(PERCENTRANK.INC($B$3:$B$6000,B327,4)*5+0.000001,1))</f>
        <v/>
      </c>
      <c r="F327">
        <f>IF(A327="","",MAX(1,CEILING(PERCENTRANK.INC($C$3:$C$6000,C327,4)*5+0.000001,1)))</f>
        <v/>
      </c>
      <c r="G327">
        <f>IF(A327="","",MAX(1,CEILING(PERCENTRANK.INC($D$3:$D$6000,D327,4)*5+0.000001,1)))</f>
        <v/>
      </c>
      <c r="H327">
        <f>IF(A327="","",E327&amp;F327&amp;G327)</f>
        <v/>
      </c>
      <c r="I327">
        <f>IF(A327="","",IF(AND(E327&gt;=4,F327&gt;=4,G327&gt;=4),"Juara",IF(AND(F327&gt;=4,E327&gt;=3),"Setia",IF(AND(E327=5,F327&lt;=2,G327&gt;=3),"Berpotensi",IF(AND(E327&lt;=3,E327&gt;=2,F327&gt;=3),"Rawan",IF(AND(E327&lt;=2,F327&lt;=2),"Tidur","Umum"))))))</f>
        <v/>
      </c>
    </row>
    <row r="328">
      <c r="B328">
        <f>IF(A328="","",$B$1-MAXIFS(Donasi!$A$2:$A$20000,Donasi!$B$2:$B$20000,A328))</f>
        <v/>
      </c>
      <c r="C328">
        <f>IF(A328="","",COUNTIF(Donasi!$B$2:$B$20000,A328))</f>
        <v/>
      </c>
      <c r="D328">
        <f>IF(A328="","",SUMIF(Donasi!$B$2:$B$20000,A328,Donasi!$C$2:$C$20000))</f>
        <v/>
      </c>
      <c r="E328">
        <f>IF(A328="","",6-CEILING(PERCENTRANK.INC($B$3:$B$6000,B328,4)*5+0.000001,1))</f>
        <v/>
      </c>
      <c r="F328">
        <f>IF(A328="","",MAX(1,CEILING(PERCENTRANK.INC($C$3:$C$6000,C328,4)*5+0.000001,1)))</f>
        <v/>
      </c>
      <c r="G328">
        <f>IF(A328="","",MAX(1,CEILING(PERCENTRANK.INC($D$3:$D$6000,D328,4)*5+0.000001,1)))</f>
        <v/>
      </c>
      <c r="H328">
        <f>IF(A328="","",E328&amp;F328&amp;G328)</f>
        <v/>
      </c>
      <c r="I328">
        <f>IF(A328="","",IF(AND(E328&gt;=4,F328&gt;=4,G328&gt;=4),"Juara",IF(AND(F328&gt;=4,E328&gt;=3),"Setia",IF(AND(E328=5,F328&lt;=2,G328&gt;=3),"Berpotensi",IF(AND(E328&lt;=3,E328&gt;=2,F328&gt;=3),"Rawan",IF(AND(E328&lt;=2,F328&lt;=2),"Tidur","Umum"))))))</f>
        <v/>
      </c>
    </row>
    <row r="329">
      <c r="B329">
        <f>IF(A329="","",$B$1-MAXIFS(Donasi!$A$2:$A$20000,Donasi!$B$2:$B$20000,A329))</f>
        <v/>
      </c>
      <c r="C329">
        <f>IF(A329="","",COUNTIF(Donasi!$B$2:$B$20000,A329))</f>
        <v/>
      </c>
      <c r="D329">
        <f>IF(A329="","",SUMIF(Donasi!$B$2:$B$20000,A329,Donasi!$C$2:$C$20000))</f>
        <v/>
      </c>
      <c r="E329">
        <f>IF(A329="","",6-CEILING(PERCENTRANK.INC($B$3:$B$6000,B329,4)*5+0.000001,1))</f>
        <v/>
      </c>
      <c r="F329">
        <f>IF(A329="","",MAX(1,CEILING(PERCENTRANK.INC($C$3:$C$6000,C329,4)*5+0.000001,1)))</f>
        <v/>
      </c>
      <c r="G329">
        <f>IF(A329="","",MAX(1,CEILING(PERCENTRANK.INC($D$3:$D$6000,D329,4)*5+0.000001,1)))</f>
        <v/>
      </c>
      <c r="H329">
        <f>IF(A329="","",E329&amp;F329&amp;G329)</f>
        <v/>
      </c>
      <c r="I329">
        <f>IF(A329="","",IF(AND(E329&gt;=4,F329&gt;=4,G329&gt;=4),"Juara",IF(AND(F329&gt;=4,E329&gt;=3),"Setia",IF(AND(E329=5,F329&lt;=2,G329&gt;=3),"Berpotensi",IF(AND(E329&lt;=3,E329&gt;=2,F329&gt;=3),"Rawan",IF(AND(E329&lt;=2,F329&lt;=2),"Tidur","Umum"))))))</f>
        <v/>
      </c>
    </row>
    <row r="330">
      <c r="B330">
        <f>IF(A330="","",$B$1-MAXIFS(Donasi!$A$2:$A$20000,Donasi!$B$2:$B$20000,A330))</f>
        <v/>
      </c>
      <c r="C330">
        <f>IF(A330="","",COUNTIF(Donasi!$B$2:$B$20000,A330))</f>
        <v/>
      </c>
      <c r="D330">
        <f>IF(A330="","",SUMIF(Donasi!$B$2:$B$20000,A330,Donasi!$C$2:$C$20000))</f>
        <v/>
      </c>
      <c r="E330">
        <f>IF(A330="","",6-CEILING(PERCENTRANK.INC($B$3:$B$6000,B330,4)*5+0.000001,1))</f>
        <v/>
      </c>
      <c r="F330">
        <f>IF(A330="","",MAX(1,CEILING(PERCENTRANK.INC($C$3:$C$6000,C330,4)*5+0.000001,1)))</f>
        <v/>
      </c>
      <c r="G330">
        <f>IF(A330="","",MAX(1,CEILING(PERCENTRANK.INC($D$3:$D$6000,D330,4)*5+0.000001,1)))</f>
        <v/>
      </c>
      <c r="H330">
        <f>IF(A330="","",E330&amp;F330&amp;G330)</f>
        <v/>
      </c>
      <c r="I330">
        <f>IF(A330="","",IF(AND(E330&gt;=4,F330&gt;=4,G330&gt;=4),"Juara",IF(AND(F330&gt;=4,E330&gt;=3),"Setia",IF(AND(E330=5,F330&lt;=2,G330&gt;=3),"Berpotensi",IF(AND(E330&lt;=3,E330&gt;=2,F330&gt;=3),"Rawan",IF(AND(E330&lt;=2,F330&lt;=2),"Tidur","Umum"))))))</f>
        <v/>
      </c>
    </row>
    <row r="331">
      <c r="B331">
        <f>IF(A331="","",$B$1-MAXIFS(Donasi!$A$2:$A$20000,Donasi!$B$2:$B$20000,A331))</f>
        <v/>
      </c>
      <c r="C331">
        <f>IF(A331="","",COUNTIF(Donasi!$B$2:$B$20000,A331))</f>
        <v/>
      </c>
      <c r="D331">
        <f>IF(A331="","",SUMIF(Donasi!$B$2:$B$20000,A331,Donasi!$C$2:$C$20000))</f>
        <v/>
      </c>
      <c r="E331">
        <f>IF(A331="","",6-CEILING(PERCENTRANK.INC($B$3:$B$6000,B331,4)*5+0.000001,1))</f>
        <v/>
      </c>
      <c r="F331">
        <f>IF(A331="","",MAX(1,CEILING(PERCENTRANK.INC($C$3:$C$6000,C331,4)*5+0.000001,1)))</f>
        <v/>
      </c>
      <c r="G331">
        <f>IF(A331="","",MAX(1,CEILING(PERCENTRANK.INC($D$3:$D$6000,D331,4)*5+0.000001,1)))</f>
        <v/>
      </c>
      <c r="H331">
        <f>IF(A331="","",E331&amp;F331&amp;G331)</f>
        <v/>
      </c>
      <c r="I331">
        <f>IF(A331="","",IF(AND(E331&gt;=4,F331&gt;=4,G331&gt;=4),"Juara",IF(AND(F331&gt;=4,E331&gt;=3),"Setia",IF(AND(E331=5,F331&lt;=2,G331&gt;=3),"Berpotensi",IF(AND(E331&lt;=3,E331&gt;=2,F331&gt;=3),"Rawan",IF(AND(E331&lt;=2,F331&lt;=2),"Tidur","Umum"))))))</f>
        <v/>
      </c>
    </row>
    <row r="332">
      <c r="B332">
        <f>IF(A332="","",$B$1-MAXIFS(Donasi!$A$2:$A$20000,Donasi!$B$2:$B$20000,A332))</f>
        <v/>
      </c>
      <c r="C332">
        <f>IF(A332="","",COUNTIF(Donasi!$B$2:$B$20000,A332))</f>
        <v/>
      </c>
      <c r="D332">
        <f>IF(A332="","",SUMIF(Donasi!$B$2:$B$20000,A332,Donasi!$C$2:$C$20000))</f>
        <v/>
      </c>
      <c r="E332">
        <f>IF(A332="","",6-CEILING(PERCENTRANK.INC($B$3:$B$6000,B332,4)*5+0.000001,1))</f>
        <v/>
      </c>
      <c r="F332">
        <f>IF(A332="","",MAX(1,CEILING(PERCENTRANK.INC($C$3:$C$6000,C332,4)*5+0.000001,1)))</f>
        <v/>
      </c>
      <c r="G332">
        <f>IF(A332="","",MAX(1,CEILING(PERCENTRANK.INC($D$3:$D$6000,D332,4)*5+0.000001,1)))</f>
        <v/>
      </c>
      <c r="H332">
        <f>IF(A332="","",E332&amp;F332&amp;G332)</f>
        <v/>
      </c>
      <c r="I332">
        <f>IF(A332="","",IF(AND(E332&gt;=4,F332&gt;=4,G332&gt;=4),"Juara",IF(AND(F332&gt;=4,E332&gt;=3),"Setia",IF(AND(E332=5,F332&lt;=2,G332&gt;=3),"Berpotensi",IF(AND(E332&lt;=3,E332&gt;=2,F332&gt;=3),"Rawan",IF(AND(E332&lt;=2,F332&lt;=2),"Tidur","Umum"))))))</f>
        <v/>
      </c>
    </row>
    <row r="333">
      <c r="B333">
        <f>IF(A333="","",$B$1-MAXIFS(Donasi!$A$2:$A$20000,Donasi!$B$2:$B$20000,A333))</f>
        <v/>
      </c>
      <c r="C333">
        <f>IF(A333="","",COUNTIF(Donasi!$B$2:$B$20000,A333))</f>
        <v/>
      </c>
      <c r="D333">
        <f>IF(A333="","",SUMIF(Donasi!$B$2:$B$20000,A333,Donasi!$C$2:$C$20000))</f>
        <v/>
      </c>
      <c r="E333">
        <f>IF(A333="","",6-CEILING(PERCENTRANK.INC($B$3:$B$6000,B333,4)*5+0.000001,1))</f>
        <v/>
      </c>
      <c r="F333">
        <f>IF(A333="","",MAX(1,CEILING(PERCENTRANK.INC($C$3:$C$6000,C333,4)*5+0.000001,1)))</f>
        <v/>
      </c>
      <c r="G333">
        <f>IF(A333="","",MAX(1,CEILING(PERCENTRANK.INC($D$3:$D$6000,D333,4)*5+0.000001,1)))</f>
        <v/>
      </c>
      <c r="H333">
        <f>IF(A333="","",E333&amp;F333&amp;G333)</f>
        <v/>
      </c>
      <c r="I333">
        <f>IF(A333="","",IF(AND(E333&gt;=4,F333&gt;=4,G333&gt;=4),"Juara",IF(AND(F333&gt;=4,E333&gt;=3),"Setia",IF(AND(E333=5,F333&lt;=2,G333&gt;=3),"Berpotensi",IF(AND(E333&lt;=3,E333&gt;=2,F333&gt;=3),"Rawan",IF(AND(E333&lt;=2,F333&lt;=2),"Tidur","Umum"))))))</f>
        <v/>
      </c>
    </row>
    <row r="334">
      <c r="B334">
        <f>IF(A334="","",$B$1-MAXIFS(Donasi!$A$2:$A$20000,Donasi!$B$2:$B$20000,A334))</f>
        <v/>
      </c>
      <c r="C334">
        <f>IF(A334="","",COUNTIF(Donasi!$B$2:$B$20000,A334))</f>
        <v/>
      </c>
      <c r="D334">
        <f>IF(A334="","",SUMIF(Donasi!$B$2:$B$20000,A334,Donasi!$C$2:$C$20000))</f>
        <v/>
      </c>
      <c r="E334">
        <f>IF(A334="","",6-CEILING(PERCENTRANK.INC($B$3:$B$6000,B334,4)*5+0.000001,1))</f>
        <v/>
      </c>
      <c r="F334">
        <f>IF(A334="","",MAX(1,CEILING(PERCENTRANK.INC($C$3:$C$6000,C334,4)*5+0.000001,1)))</f>
        <v/>
      </c>
      <c r="G334">
        <f>IF(A334="","",MAX(1,CEILING(PERCENTRANK.INC($D$3:$D$6000,D334,4)*5+0.000001,1)))</f>
        <v/>
      </c>
      <c r="H334">
        <f>IF(A334="","",E334&amp;F334&amp;G334)</f>
        <v/>
      </c>
      <c r="I334">
        <f>IF(A334="","",IF(AND(E334&gt;=4,F334&gt;=4,G334&gt;=4),"Juara",IF(AND(F334&gt;=4,E334&gt;=3),"Setia",IF(AND(E334=5,F334&lt;=2,G334&gt;=3),"Berpotensi",IF(AND(E334&lt;=3,E334&gt;=2,F334&gt;=3),"Rawan",IF(AND(E334&lt;=2,F334&lt;=2),"Tidur","Umum"))))))</f>
        <v/>
      </c>
    </row>
    <row r="335">
      <c r="B335">
        <f>IF(A335="","",$B$1-MAXIFS(Donasi!$A$2:$A$20000,Donasi!$B$2:$B$20000,A335))</f>
        <v/>
      </c>
      <c r="C335">
        <f>IF(A335="","",COUNTIF(Donasi!$B$2:$B$20000,A335))</f>
        <v/>
      </c>
      <c r="D335">
        <f>IF(A335="","",SUMIF(Donasi!$B$2:$B$20000,A335,Donasi!$C$2:$C$20000))</f>
        <v/>
      </c>
      <c r="E335">
        <f>IF(A335="","",6-CEILING(PERCENTRANK.INC($B$3:$B$6000,B335,4)*5+0.000001,1))</f>
        <v/>
      </c>
      <c r="F335">
        <f>IF(A335="","",MAX(1,CEILING(PERCENTRANK.INC($C$3:$C$6000,C335,4)*5+0.000001,1)))</f>
        <v/>
      </c>
      <c r="G335">
        <f>IF(A335="","",MAX(1,CEILING(PERCENTRANK.INC($D$3:$D$6000,D335,4)*5+0.000001,1)))</f>
        <v/>
      </c>
      <c r="H335">
        <f>IF(A335="","",E335&amp;F335&amp;G335)</f>
        <v/>
      </c>
      <c r="I335">
        <f>IF(A335="","",IF(AND(E335&gt;=4,F335&gt;=4,G335&gt;=4),"Juara",IF(AND(F335&gt;=4,E335&gt;=3),"Setia",IF(AND(E335=5,F335&lt;=2,G335&gt;=3),"Berpotensi",IF(AND(E335&lt;=3,E335&gt;=2,F335&gt;=3),"Rawan",IF(AND(E335&lt;=2,F335&lt;=2),"Tidur","Umum"))))))</f>
        <v/>
      </c>
    </row>
    <row r="336">
      <c r="B336">
        <f>IF(A336="","",$B$1-MAXIFS(Donasi!$A$2:$A$20000,Donasi!$B$2:$B$20000,A336))</f>
        <v/>
      </c>
      <c r="C336">
        <f>IF(A336="","",COUNTIF(Donasi!$B$2:$B$20000,A336))</f>
        <v/>
      </c>
      <c r="D336">
        <f>IF(A336="","",SUMIF(Donasi!$B$2:$B$20000,A336,Donasi!$C$2:$C$20000))</f>
        <v/>
      </c>
      <c r="E336">
        <f>IF(A336="","",6-CEILING(PERCENTRANK.INC($B$3:$B$6000,B336,4)*5+0.000001,1))</f>
        <v/>
      </c>
      <c r="F336">
        <f>IF(A336="","",MAX(1,CEILING(PERCENTRANK.INC($C$3:$C$6000,C336,4)*5+0.000001,1)))</f>
        <v/>
      </c>
      <c r="G336">
        <f>IF(A336="","",MAX(1,CEILING(PERCENTRANK.INC($D$3:$D$6000,D336,4)*5+0.000001,1)))</f>
        <v/>
      </c>
      <c r="H336">
        <f>IF(A336="","",E336&amp;F336&amp;G336)</f>
        <v/>
      </c>
      <c r="I336">
        <f>IF(A336="","",IF(AND(E336&gt;=4,F336&gt;=4,G336&gt;=4),"Juara",IF(AND(F336&gt;=4,E336&gt;=3),"Setia",IF(AND(E336=5,F336&lt;=2,G336&gt;=3),"Berpotensi",IF(AND(E336&lt;=3,E336&gt;=2,F336&gt;=3),"Rawan",IF(AND(E336&lt;=2,F336&lt;=2),"Tidur","Umum"))))))</f>
        <v/>
      </c>
    </row>
    <row r="337">
      <c r="B337">
        <f>IF(A337="","",$B$1-MAXIFS(Donasi!$A$2:$A$20000,Donasi!$B$2:$B$20000,A337))</f>
        <v/>
      </c>
      <c r="C337">
        <f>IF(A337="","",COUNTIF(Donasi!$B$2:$B$20000,A337))</f>
        <v/>
      </c>
      <c r="D337">
        <f>IF(A337="","",SUMIF(Donasi!$B$2:$B$20000,A337,Donasi!$C$2:$C$20000))</f>
        <v/>
      </c>
      <c r="E337">
        <f>IF(A337="","",6-CEILING(PERCENTRANK.INC($B$3:$B$6000,B337,4)*5+0.000001,1))</f>
        <v/>
      </c>
      <c r="F337">
        <f>IF(A337="","",MAX(1,CEILING(PERCENTRANK.INC($C$3:$C$6000,C337,4)*5+0.000001,1)))</f>
        <v/>
      </c>
      <c r="G337">
        <f>IF(A337="","",MAX(1,CEILING(PERCENTRANK.INC($D$3:$D$6000,D337,4)*5+0.000001,1)))</f>
        <v/>
      </c>
      <c r="H337">
        <f>IF(A337="","",E337&amp;F337&amp;G337)</f>
        <v/>
      </c>
      <c r="I337">
        <f>IF(A337="","",IF(AND(E337&gt;=4,F337&gt;=4,G337&gt;=4),"Juara",IF(AND(F337&gt;=4,E337&gt;=3),"Setia",IF(AND(E337=5,F337&lt;=2,G337&gt;=3),"Berpotensi",IF(AND(E337&lt;=3,E337&gt;=2,F337&gt;=3),"Rawan",IF(AND(E337&lt;=2,F337&lt;=2),"Tidur","Umum"))))))</f>
        <v/>
      </c>
    </row>
    <row r="338">
      <c r="B338">
        <f>IF(A338="","",$B$1-MAXIFS(Donasi!$A$2:$A$20000,Donasi!$B$2:$B$20000,A338))</f>
        <v/>
      </c>
      <c r="C338">
        <f>IF(A338="","",COUNTIF(Donasi!$B$2:$B$20000,A338))</f>
        <v/>
      </c>
      <c r="D338">
        <f>IF(A338="","",SUMIF(Donasi!$B$2:$B$20000,A338,Donasi!$C$2:$C$20000))</f>
        <v/>
      </c>
      <c r="E338">
        <f>IF(A338="","",6-CEILING(PERCENTRANK.INC($B$3:$B$6000,B338,4)*5+0.000001,1))</f>
        <v/>
      </c>
      <c r="F338">
        <f>IF(A338="","",MAX(1,CEILING(PERCENTRANK.INC($C$3:$C$6000,C338,4)*5+0.000001,1)))</f>
        <v/>
      </c>
      <c r="G338">
        <f>IF(A338="","",MAX(1,CEILING(PERCENTRANK.INC($D$3:$D$6000,D338,4)*5+0.000001,1)))</f>
        <v/>
      </c>
      <c r="H338">
        <f>IF(A338="","",E338&amp;F338&amp;G338)</f>
        <v/>
      </c>
      <c r="I338">
        <f>IF(A338="","",IF(AND(E338&gt;=4,F338&gt;=4,G338&gt;=4),"Juara",IF(AND(F338&gt;=4,E338&gt;=3),"Setia",IF(AND(E338=5,F338&lt;=2,G338&gt;=3),"Berpotensi",IF(AND(E338&lt;=3,E338&gt;=2,F338&gt;=3),"Rawan",IF(AND(E338&lt;=2,F338&lt;=2),"Tidur","Umum"))))))</f>
        <v/>
      </c>
    </row>
    <row r="339">
      <c r="B339">
        <f>IF(A339="","",$B$1-MAXIFS(Donasi!$A$2:$A$20000,Donasi!$B$2:$B$20000,A339))</f>
        <v/>
      </c>
      <c r="C339">
        <f>IF(A339="","",COUNTIF(Donasi!$B$2:$B$20000,A339))</f>
        <v/>
      </c>
      <c r="D339">
        <f>IF(A339="","",SUMIF(Donasi!$B$2:$B$20000,A339,Donasi!$C$2:$C$20000))</f>
        <v/>
      </c>
      <c r="E339">
        <f>IF(A339="","",6-CEILING(PERCENTRANK.INC($B$3:$B$6000,B339,4)*5+0.000001,1))</f>
        <v/>
      </c>
      <c r="F339">
        <f>IF(A339="","",MAX(1,CEILING(PERCENTRANK.INC($C$3:$C$6000,C339,4)*5+0.000001,1)))</f>
        <v/>
      </c>
      <c r="G339">
        <f>IF(A339="","",MAX(1,CEILING(PERCENTRANK.INC($D$3:$D$6000,D339,4)*5+0.000001,1)))</f>
        <v/>
      </c>
      <c r="H339">
        <f>IF(A339="","",E339&amp;F339&amp;G339)</f>
        <v/>
      </c>
      <c r="I339">
        <f>IF(A339="","",IF(AND(E339&gt;=4,F339&gt;=4,G339&gt;=4),"Juara",IF(AND(F339&gt;=4,E339&gt;=3),"Setia",IF(AND(E339=5,F339&lt;=2,G339&gt;=3),"Berpotensi",IF(AND(E339&lt;=3,E339&gt;=2,F339&gt;=3),"Rawan",IF(AND(E339&lt;=2,F339&lt;=2),"Tidur","Umum"))))))</f>
        <v/>
      </c>
    </row>
    <row r="340">
      <c r="B340">
        <f>IF(A340="","",$B$1-MAXIFS(Donasi!$A$2:$A$20000,Donasi!$B$2:$B$20000,A340))</f>
        <v/>
      </c>
      <c r="C340">
        <f>IF(A340="","",COUNTIF(Donasi!$B$2:$B$20000,A340))</f>
        <v/>
      </c>
      <c r="D340">
        <f>IF(A340="","",SUMIF(Donasi!$B$2:$B$20000,A340,Donasi!$C$2:$C$20000))</f>
        <v/>
      </c>
      <c r="E340">
        <f>IF(A340="","",6-CEILING(PERCENTRANK.INC($B$3:$B$6000,B340,4)*5+0.000001,1))</f>
        <v/>
      </c>
      <c r="F340">
        <f>IF(A340="","",MAX(1,CEILING(PERCENTRANK.INC($C$3:$C$6000,C340,4)*5+0.000001,1)))</f>
        <v/>
      </c>
      <c r="G340">
        <f>IF(A340="","",MAX(1,CEILING(PERCENTRANK.INC($D$3:$D$6000,D340,4)*5+0.000001,1)))</f>
        <v/>
      </c>
      <c r="H340">
        <f>IF(A340="","",E340&amp;F340&amp;G340)</f>
        <v/>
      </c>
      <c r="I340">
        <f>IF(A340="","",IF(AND(E340&gt;=4,F340&gt;=4,G340&gt;=4),"Juara",IF(AND(F340&gt;=4,E340&gt;=3),"Setia",IF(AND(E340=5,F340&lt;=2,G340&gt;=3),"Berpotensi",IF(AND(E340&lt;=3,E340&gt;=2,F340&gt;=3),"Rawan",IF(AND(E340&lt;=2,F340&lt;=2),"Tidur","Umum"))))))</f>
        <v/>
      </c>
    </row>
    <row r="341">
      <c r="B341">
        <f>IF(A341="","",$B$1-MAXIFS(Donasi!$A$2:$A$20000,Donasi!$B$2:$B$20000,A341))</f>
        <v/>
      </c>
      <c r="C341">
        <f>IF(A341="","",COUNTIF(Donasi!$B$2:$B$20000,A341))</f>
        <v/>
      </c>
      <c r="D341">
        <f>IF(A341="","",SUMIF(Donasi!$B$2:$B$20000,A341,Donasi!$C$2:$C$20000))</f>
        <v/>
      </c>
      <c r="E341">
        <f>IF(A341="","",6-CEILING(PERCENTRANK.INC($B$3:$B$6000,B341,4)*5+0.000001,1))</f>
        <v/>
      </c>
      <c r="F341">
        <f>IF(A341="","",MAX(1,CEILING(PERCENTRANK.INC($C$3:$C$6000,C341,4)*5+0.000001,1)))</f>
        <v/>
      </c>
      <c r="G341">
        <f>IF(A341="","",MAX(1,CEILING(PERCENTRANK.INC($D$3:$D$6000,D341,4)*5+0.000001,1)))</f>
        <v/>
      </c>
      <c r="H341">
        <f>IF(A341="","",E341&amp;F341&amp;G341)</f>
        <v/>
      </c>
      <c r="I341">
        <f>IF(A341="","",IF(AND(E341&gt;=4,F341&gt;=4,G341&gt;=4),"Juara",IF(AND(F341&gt;=4,E341&gt;=3),"Setia",IF(AND(E341=5,F341&lt;=2,G341&gt;=3),"Berpotensi",IF(AND(E341&lt;=3,E341&gt;=2,F341&gt;=3),"Rawan",IF(AND(E341&lt;=2,F341&lt;=2),"Tidur","Umum"))))))</f>
        <v/>
      </c>
    </row>
    <row r="342">
      <c r="B342">
        <f>IF(A342="","",$B$1-MAXIFS(Donasi!$A$2:$A$20000,Donasi!$B$2:$B$20000,A342))</f>
        <v/>
      </c>
      <c r="C342">
        <f>IF(A342="","",COUNTIF(Donasi!$B$2:$B$20000,A342))</f>
        <v/>
      </c>
      <c r="D342">
        <f>IF(A342="","",SUMIF(Donasi!$B$2:$B$20000,A342,Donasi!$C$2:$C$20000))</f>
        <v/>
      </c>
      <c r="E342">
        <f>IF(A342="","",6-CEILING(PERCENTRANK.INC($B$3:$B$6000,B342,4)*5+0.000001,1))</f>
        <v/>
      </c>
      <c r="F342">
        <f>IF(A342="","",MAX(1,CEILING(PERCENTRANK.INC($C$3:$C$6000,C342,4)*5+0.000001,1)))</f>
        <v/>
      </c>
      <c r="G342">
        <f>IF(A342="","",MAX(1,CEILING(PERCENTRANK.INC($D$3:$D$6000,D342,4)*5+0.000001,1)))</f>
        <v/>
      </c>
      <c r="H342">
        <f>IF(A342="","",E342&amp;F342&amp;G342)</f>
        <v/>
      </c>
      <c r="I342">
        <f>IF(A342="","",IF(AND(E342&gt;=4,F342&gt;=4,G342&gt;=4),"Juara",IF(AND(F342&gt;=4,E342&gt;=3),"Setia",IF(AND(E342=5,F342&lt;=2,G342&gt;=3),"Berpotensi",IF(AND(E342&lt;=3,E342&gt;=2,F342&gt;=3),"Rawan",IF(AND(E342&lt;=2,F342&lt;=2),"Tidur","Umum"))))))</f>
        <v/>
      </c>
    </row>
    <row r="343">
      <c r="B343">
        <f>IF(A343="","",$B$1-MAXIFS(Donasi!$A$2:$A$20000,Donasi!$B$2:$B$20000,A343))</f>
        <v/>
      </c>
      <c r="C343">
        <f>IF(A343="","",COUNTIF(Donasi!$B$2:$B$20000,A343))</f>
        <v/>
      </c>
      <c r="D343">
        <f>IF(A343="","",SUMIF(Donasi!$B$2:$B$20000,A343,Donasi!$C$2:$C$20000))</f>
        <v/>
      </c>
      <c r="E343">
        <f>IF(A343="","",6-CEILING(PERCENTRANK.INC($B$3:$B$6000,B343,4)*5+0.000001,1))</f>
        <v/>
      </c>
      <c r="F343">
        <f>IF(A343="","",MAX(1,CEILING(PERCENTRANK.INC($C$3:$C$6000,C343,4)*5+0.000001,1)))</f>
        <v/>
      </c>
      <c r="G343">
        <f>IF(A343="","",MAX(1,CEILING(PERCENTRANK.INC($D$3:$D$6000,D343,4)*5+0.000001,1)))</f>
        <v/>
      </c>
      <c r="H343">
        <f>IF(A343="","",E343&amp;F343&amp;G343)</f>
        <v/>
      </c>
      <c r="I343">
        <f>IF(A343="","",IF(AND(E343&gt;=4,F343&gt;=4,G343&gt;=4),"Juara",IF(AND(F343&gt;=4,E343&gt;=3),"Setia",IF(AND(E343=5,F343&lt;=2,G343&gt;=3),"Berpotensi",IF(AND(E343&lt;=3,E343&gt;=2,F343&gt;=3),"Rawan",IF(AND(E343&lt;=2,F343&lt;=2),"Tidur","Umum"))))))</f>
        <v/>
      </c>
    </row>
    <row r="344">
      <c r="B344">
        <f>IF(A344="","",$B$1-MAXIFS(Donasi!$A$2:$A$20000,Donasi!$B$2:$B$20000,A344))</f>
        <v/>
      </c>
      <c r="C344">
        <f>IF(A344="","",COUNTIF(Donasi!$B$2:$B$20000,A344))</f>
        <v/>
      </c>
      <c r="D344">
        <f>IF(A344="","",SUMIF(Donasi!$B$2:$B$20000,A344,Donasi!$C$2:$C$20000))</f>
        <v/>
      </c>
      <c r="E344">
        <f>IF(A344="","",6-CEILING(PERCENTRANK.INC($B$3:$B$6000,B344,4)*5+0.000001,1))</f>
        <v/>
      </c>
      <c r="F344">
        <f>IF(A344="","",MAX(1,CEILING(PERCENTRANK.INC($C$3:$C$6000,C344,4)*5+0.000001,1)))</f>
        <v/>
      </c>
      <c r="G344">
        <f>IF(A344="","",MAX(1,CEILING(PERCENTRANK.INC($D$3:$D$6000,D344,4)*5+0.000001,1)))</f>
        <v/>
      </c>
      <c r="H344">
        <f>IF(A344="","",E344&amp;F344&amp;G344)</f>
        <v/>
      </c>
      <c r="I344">
        <f>IF(A344="","",IF(AND(E344&gt;=4,F344&gt;=4,G344&gt;=4),"Juara",IF(AND(F344&gt;=4,E344&gt;=3),"Setia",IF(AND(E344=5,F344&lt;=2,G344&gt;=3),"Berpotensi",IF(AND(E344&lt;=3,E344&gt;=2,F344&gt;=3),"Rawan",IF(AND(E344&lt;=2,F344&lt;=2),"Tidur","Umum"))))))</f>
        <v/>
      </c>
    </row>
    <row r="345">
      <c r="B345">
        <f>IF(A345="","",$B$1-MAXIFS(Donasi!$A$2:$A$20000,Donasi!$B$2:$B$20000,A345))</f>
        <v/>
      </c>
      <c r="C345">
        <f>IF(A345="","",COUNTIF(Donasi!$B$2:$B$20000,A345))</f>
        <v/>
      </c>
      <c r="D345">
        <f>IF(A345="","",SUMIF(Donasi!$B$2:$B$20000,A345,Donasi!$C$2:$C$20000))</f>
        <v/>
      </c>
      <c r="E345">
        <f>IF(A345="","",6-CEILING(PERCENTRANK.INC($B$3:$B$6000,B345,4)*5+0.000001,1))</f>
        <v/>
      </c>
      <c r="F345">
        <f>IF(A345="","",MAX(1,CEILING(PERCENTRANK.INC($C$3:$C$6000,C345,4)*5+0.000001,1)))</f>
        <v/>
      </c>
      <c r="G345">
        <f>IF(A345="","",MAX(1,CEILING(PERCENTRANK.INC($D$3:$D$6000,D345,4)*5+0.000001,1)))</f>
        <v/>
      </c>
      <c r="H345">
        <f>IF(A345="","",E345&amp;F345&amp;G345)</f>
        <v/>
      </c>
      <c r="I345">
        <f>IF(A345="","",IF(AND(E345&gt;=4,F345&gt;=4,G345&gt;=4),"Juara",IF(AND(F345&gt;=4,E345&gt;=3),"Setia",IF(AND(E345=5,F345&lt;=2,G345&gt;=3),"Berpotensi",IF(AND(E345&lt;=3,E345&gt;=2,F345&gt;=3),"Rawan",IF(AND(E345&lt;=2,F345&lt;=2),"Tidur","Umum"))))))</f>
        <v/>
      </c>
    </row>
    <row r="346">
      <c r="B346">
        <f>IF(A346="","",$B$1-MAXIFS(Donasi!$A$2:$A$20000,Donasi!$B$2:$B$20000,A346))</f>
        <v/>
      </c>
      <c r="C346">
        <f>IF(A346="","",COUNTIF(Donasi!$B$2:$B$20000,A346))</f>
        <v/>
      </c>
      <c r="D346">
        <f>IF(A346="","",SUMIF(Donasi!$B$2:$B$20000,A346,Donasi!$C$2:$C$20000))</f>
        <v/>
      </c>
      <c r="E346">
        <f>IF(A346="","",6-CEILING(PERCENTRANK.INC($B$3:$B$6000,B346,4)*5+0.000001,1))</f>
        <v/>
      </c>
      <c r="F346">
        <f>IF(A346="","",MAX(1,CEILING(PERCENTRANK.INC($C$3:$C$6000,C346,4)*5+0.000001,1)))</f>
        <v/>
      </c>
      <c r="G346">
        <f>IF(A346="","",MAX(1,CEILING(PERCENTRANK.INC($D$3:$D$6000,D346,4)*5+0.000001,1)))</f>
        <v/>
      </c>
      <c r="H346">
        <f>IF(A346="","",E346&amp;F346&amp;G346)</f>
        <v/>
      </c>
      <c r="I346">
        <f>IF(A346="","",IF(AND(E346&gt;=4,F346&gt;=4,G346&gt;=4),"Juara",IF(AND(F346&gt;=4,E346&gt;=3),"Setia",IF(AND(E346=5,F346&lt;=2,G346&gt;=3),"Berpotensi",IF(AND(E346&lt;=3,E346&gt;=2,F346&gt;=3),"Rawan",IF(AND(E346&lt;=2,F346&lt;=2),"Tidur","Umum"))))))</f>
        <v/>
      </c>
    </row>
    <row r="347">
      <c r="B347">
        <f>IF(A347="","",$B$1-MAXIFS(Donasi!$A$2:$A$20000,Donasi!$B$2:$B$20000,A347))</f>
        <v/>
      </c>
      <c r="C347">
        <f>IF(A347="","",COUNTIF(Donasi!$B$2:$B$20000,A347))</f>
        <v/>
      </c>
      <c r="D347">
        <f>IF(A347="","",SUMIF(Donasi!$B$2:$B$20000,A347,Donasi!$C$2:$C$20000))</f>
        <v/>
      </c>
      <c r="E347">
        <f>IF(A347="","",6-CEILING(PERCENTRANK.INC($B$3:$B$6000,B347,4)*5+0.000001,1))</f>
        <v/>
      </c>
      <c r="F347">
        <f>IF(A347="","",MAX(1,CEILING(PERCENTRANK.INC($C$3:$C$6000,C347,4)*5+0.000001,1)))</f>
        <v/>
      </c>
      <c r="G347">
        <f>IF(A347="","",MAX(1,CEILING(PERCENTRANK.INC($D$3:$D$6000,D347,4)*5+0.000001,1)))</f>
        <v/>
      </c>
      <c r="H347">
        <f>IF(A347="","",E347&amp;F347&amp;G347)</f>
        <v/>
      </c>
      <c r="I347">
        <f>IF(A347="","",IF(AND(E347&gt;=4,F347&gt;=4,G347&gt;=4),"Juara",IF(AND(F347&gt;=4,E347&gt;=3),"Setia",IF(AND(E347=5,F347&lt;=2,G347&gt;=3),"Berpotensi",IF(AND(E347&lt;=3,E347&gt;=2,F347&gt;=3),"Rawan",IF(AND(E347&lt;=2,F347&lt;=2),"Tidur","Umum"))))))</f>
        <v/>
      </c>
    </row>
    <row r="348">
      <c r="B348">
        <f>IF(A348="","",$B$1-MAXIFS(Donasi!$A$2:$A$20000,Donasi!$B$2:$B$20000,A348))</f>
        <v/>
      </c>
      <c r="C348">
        <f>IF(A348="","",COUNTIF(Donasi!$B$2:$B$20000,A348))</f>
        <v/>
      </c>
      <c r="D348">
        <f>IF(A348="","",SUMIF(Donasi!$B$2:$B$20000,A348,Donasi!$C$2:$C$20000))</f>
        <v/>
      </c>
      <c r="E348">
        <f>IF(A348="","",6-CEILING(PERCENTRANK.INC($B$3:$B$6000,B348,4)*5+0.000001,1))</f>
        <v/>
      </c>
      <c r="F348">
        <f>IF(A348="","",MAX(1,CEILING(PERCENTRANK.INC($C$3:$C$6000,C348,4)*5+0.000001,1)))</f>
        <v/>
      </c>
      <c r="G348">
        <f>IF(A348="","",MAX(1,CEILING(PERCENTRANK.INC($D$3:$D$6000,D348,4)*5+0.000001,1)))</f>
        <v/>
      </c>
      <c r="H348">
        <f>IF(A348="","",E348&amp;F348&amp;G348)</f>
        <v/>
      </c>
      <c r="I348">
        <f>IF(A348="","",IF(AND(E348&gt;=4,F348&gt;=4,G348&gt;=4),"Juara",IF(AND(F348&gt;=4,E348&gt;=3),"Setia",IF(AND(E348=5,F348&lt;=2,G348&gt;=3),"Berpotensi",IF(AND(E348&lt;=3,E348&gt;=2,F348&gt;=3),"Rawan",IF(AND(E348&lt;=2,F348&lt;=2),"Tidur","Umum"))))))</f>
        <v/>
      </c>
    </row>
    <row r="349">
      <c r="B349">
        <f>IF(A349="","",$B$1-MAXIFS(Donasi!$A$2:$A$20000,Donasi!$B$2:$B$20000,A349))</f>
        <v/>
      </c>
      <c r="C349">
        <f>IF(A349="","",COUNTIF(Donasi!$B$2:$B$20000,A349))</f>
        <v/>
      </c>
      <c r="D349">
        <f>IF(A349="","",SUMIF(Donasi!$B$2:$B$20000,A349,Donasi!$C$2:$C$20000))</f>
        <v/>
      </c>
      <c r="E349">
        <f>IF(A349="","",6-CEILING(PERCENTRANK.INC($B$3:$B$6000,B349,4)*5+0.000001,1))</f>
        <v/>
      </c>
      <c r="F349">
        <f>IF(A349="","",MAX(1,CEILING(PERCENTRANK.INC($C$3:$C$6000,C349,4)*5+0.000001,1)))</f>
        <v/>
      </c>
      <c r="G349">
        <f>IF(A349="","",MAX(1,CEILING(PERCENTRANK.INC($D$3:$D$6000,D349,4)*5+0.000001,1)))</f>
        <v/>
      </c>
      <c r="H349">
        <f>IF(A349="","",E349&amp;F349&amp;G349)</f>
        <v/>
      </c>
      <c r="I349">
        <f>IF(A349="","",IF(AND(E349&gt;=4,F349&gt;=4,G349&gt;=4),"Juara",IF(AND(F349&gt;=4,E349&gt;=3),"Setia",IF(AND(E349=5,F349&lt;=2,G349&gt;=3),"Berpotensi",IF(AND(E349&lt;=3,E349&gt;=2,F349&gt;=3),"Rawan",IF(AND(E349&lt;=2,F349&lt;=2),"Tidur","Umum"))))))</f>
        <v/>
      </c>
    </row>
    <row r="350">
      <c r="B350">
        <f>IF(A350="","",$B$1-MAXIFS(Donasi!$A$2:$A$20000,Donasi!$B$2:$B$20000,A350))</f>
        <v/>
      </c>
      <c r="C350">
        <f>IF(A350="","",COUNTIF(Donasi!$B$2:$B$20000,A350))</f>
        <v/>
      </c>
      <c r="D350">
        <f>IF(A350="","",SUMIF(Donasi!$B$2:$B$20000,A350,Donasi!$C$2:$C$20000))</f>
        <v/>
      </c>
      <c r="E350">
        <f>IF(A350="","",6-CEILING(PERCENTRANK.INC($B$3:$B$6000,B350,4)*5+0.000001,1))</f>
        <v/>
      </c>
      <c r="F350">
        <f>IF(A350="","",MAX(1,CEILING(PERCENTRANK.INC($C$3:$C$6000,C350,4)*5+0.000001,1)))</f>
        <v/>
      </c>
      <c r="G350">
        <f>IF(A350="","",MAX(1,CEILING(PERCENTRANK.INC($D$3:$D$6000,D350,4)*5+0.000001,1)))</f>
        <v/>
      </c>
      <c r="H350">
        <f>IF(A350="","",E350&amp;F350&amp;G350)</f>
        <v/>
      </c>
      <c r="I350">
        <f>IF(A350="","",IF(AND(E350&gt;=4,F350&gt;=4,G350&gt;=4),"Juara",IF(AND(F350&gt;=4,E350&gt;=3),"Setia",IF(AND(E350=5,F350&lt;=2,G350&gt;=3),"Berpotensi",IF(AND(E350&lt;=3,E350&gt;=2,F350&gt;=3),"Rawan",IF(AND(E350&lt;=2,F350&lt;=2),"Tidur","Umum"))))))</f>
        <v/>
      </c>
    </row>
    <row r="351">
      <c r="B351">
        <f>IF(A351="","",$B$1-MAXIFS(Donasi!$A$2:$A$20000,Donasi!$B$2:$B$20000,A351))</f>
        <v/>
      </c>
      <c r="C351">
        <f>IF(A351="","",COUNTIF(Donasi!$B$2:$B$20000,A351))</f>
        <v/>
      </c>
      <c r="D351">
        <f>IF(A351="","",SUMIF(Donasi!$B$2:$B$20000,A351,Donasi!$C$2:$C$20000))</f>
        <v/>
      </c>
      <c r="E351">
        <f>IF(A351="","",6-CEILING(PERCENTRANK.INC($B$3:$B$6000,B351,4)*5+0.000001,1))</f>
        <v/>
      </c>
      <c r="F351">
        <f>IF(A351="","",MAX(1,CEILING(PERCENTRANK.INC($C$3:$C$6000,C351,4)*5+0.000001,1)))</f>
        <v/>
      </c>
      <c r="G351">
        <f>IF(A351="","",MAX(1,CEILING(PERCENTRANK.INC($D$3:$D$6000,D351,4)*5+0.000001,1)))</f>
        <v/>
      </c>
      <c r="H351">
        <f>IF(A351="","",E351&amp;F351&amp;G351)</f>
        <v/>
      </c>
      <c r="I351">
        <f>IF(A351="","",IF(AND(E351&gt;=4,F351&gt;=4,G351&gt;=4),"Juara",IF(AND(F351&gt;=4,E351&gt;=3),"Setia",IF(AND(E351=5,F351&lt;=2,G351&gt;=3),"Berpotensi",IF(AND(E351&lt;=3,E351&gt;=2,F351&gt;=3),"Rawan",IF(AND(E351&lt;=2,F351&lt;=2),"Tidur","Umum"))))))</f>
        <v/>
      </c>
    </row>
    <row r="352">
      <c r="B352">
        <f>IF(A352="","",$B$1-MAXIFS(Donasi!$A$2:$A$20000,Donasi!$B$2:$B$20000,A352))</f>
        <v/>
      </c>
      <c r="C352">
        <f>IF(A352="","",COUNTIF(Donasi!$B$2:$B$20000,A352))</f>
        <v/>
      </c>
      <c r="D352">
        <f>IF(A352="","",SUMIF(Donasi!$B$2:$B$20000,A352,Donasi!$C$2:$C$20000))</f>
        <v/>
      </c>
      <c r="E352">
        <f>IF(A352="","",6-CEILING(PERCENTRANK.INC($B$3:$B$6000,B352,4)*5+0.000001,1))</f>
        <v/>
      </c>
      <c r="F352">
        <f>IF(A352="","",MAX(1,CEILING(PERCENTRANK.INC($C$3:$C$6000,C352,4)*5+0.000001,1)))</f>
        <v/>
      </c>
      <c r="G352">
        <f>IF(A352="","",MAX(1,CEILING(PERCENTRANK.INC($D$3:$D$6000,D352,4)*5+0.000001,1)))</f>
        <v/>
      </c>
      <c r="H352">
        <f>IF(A352="","",E352&amp;F352&amp;G352)</f>
        <v/>
      </c>
      <c r="I352">
        <f>IF(A352="","",IF(AND(E352&gt;=4,F352&gt;=4,G352&gt;=4),"Juara",IF(AND(F352&gt;=4,E352&gt;=3),"Setia",IF(AND(E352=5,F352&lt;=2,G352&gt;=3),"Berpotensi",IF(AND(E352&lt;=3,E352&gt;=2,F352&gt;=3),"Rawan",IF(AND(E352&lt;=2,F352&lt;=2),"Tidur","Umum"))))))</f>
        <v/>
      </c>
    </row>
    <row r="353">
      <c r="B353">
        <f>IF(A353="","",$B$1-MAXIFS(Donasi!$A$2:$A$20000,Donasi!$B$2:$B$20000,A353))</f>
        <v/>
      </c>
      <c r="C353">
        <f>IF(A353="","",COUNTIF(Donasi!$B$2:$B$20000,A353))</f>
        <v/>
      </c>
      <c r="D353">
        <f>IF(A353="","",SUMIF(Donasi!$B$2:$B$20000,A353,Donasi!$C$2:$C$20000))</f>
        <v/>
      </c>
      <c r="E353">
        <f>IF(A353="","",6-CEILING(PERCENTRANK.INC($B$3:$B$6000,B353,4)*5+0.000001,1))</f>
        <v/>
      </c>
      <c r="F353">
        <f>IF(A353="","",MAX(1,CEILING(PERCENTRANK.INC($C$3:$C$6000,C353,4)*5+0.000001,1)))</f>
        <v/>
      </c>
      <c r="G353">
        <f>IF(A353="","",MAX(1,CEILING(PERCENTRANK.INC($D$3:$D$6000,D353,4)*5+0.000001,1)))</f>
        <v/>
      </c>
      <c r="H353">
        <f>IF(A353="","",E353&amp;F353&amp;G353)</f>
        <v/>
      </c>
      <c r="I353">
        <f>IF(A353="","",IF(AND(E353&gt;=4,F353&gt;=4,G353&gt;=4),"Juara",IF(AND(F353&gt;=4,E353&gt;=3),"Setia",IF(AND(E353=5,F353&lt;=2,G353&gt;=3),"Berpotensi",IF(AND(E353&lt;=3,E353&gt;=2,F353&gt;=3),"Rawan",IF(AND(E353&lt;=2,F353&lt;=2),"Tidur","Umum"))))))</f>
        <v/>
      </c>
    </row>
    <row r="354">
      <c r="B354">
        <f>IF(A354="","",$B$1-MAXIFS(Donasi!$A$2:$A$20000,Donasi!$B$2:$B$20000,A354))</f>
        <v/>
      </c>
      <c r="C354">
        <f>IF(A354="","",COUNTIF(Donasi!$B$2:$B$20000,A354))</f>
        <v/>
      </c>
      <c r="D354">
        <f>IF(A354="","",SUMIF(Donasi!$B$2:$B$20000,A354,Donasi!$C$2:$C$20000))</f>
        <v/>
      </c>
      <c r="E354">
        <f>IF(A354="","",6-CEILING(PERCENTRANK.INC($B$3:$B$6000,B354,4)*5+0.000001,1))</f>
        <v/>
      </c>
      <c r="F354">
        <f>IF(A354="","",MAX(1,CEILING(PERCENTRANK.INC($C$3:$C$6000,C354,4)*5+0.000001,1)))</f>
        <v/>
      </c>
      <c r="G354">
        <f>IF(A354="","",MAX(1,CEILING(PERCENTRANK.INC($D$3:$D$6000,D354,4)*5+0.000001,1)))</f>
        <v/>
      </c>
      <c r="H354">
        <f>IF(A354="","",E354&amp;F354&amp;G354)</f>
        <v/>
      </c>
      <c r="I354">
        <f>IF(A354="","",IF(AND(E354&gt;=4,F354&gt;=4,G354&gt;=4),"Juara",IF(AND(F354&gt;=4,E354&gt;=3),"Setia",IF(AND(E354=5,F354&lt;=2,G354&gt;=3),"Berpotensi",IF(AND(E354&lt;=3,E354&gt;=2,F354&gt;=3),"Rawan",IF(AND(E354&lt;=2,F354&lt;=2),"Tidur","Umum"))))))</f>
        <v/>
      </c>
    </row>
    <row r="355">
      <c r="B355">
        <f>IF(A355="","",$B$1-MAXIFS(Donasi!$A$2:$A$20000,Donasi!$B$2:$B$20000,A355))</f>
        <v/>
      </c>
      <c r="C355">
        <f>IF(A355="","",COUNTIF(Donasi!$B$2:$B$20000,A355))</f>
        <v/>
      </c>
      <c r="D355">
        <f>IF(A355="","",SUMIF(Donasi!$B$2:$B$20000,A355,Donasi!$C$2:$C$20000))</f>
        <v/>
      </c>
      <c r="E355">
        <f>IF(A355="","",6-CEILING(PERCENTRANK.INC($B$3:$B$6000,B355,4)*5+0.000001,1))</f>
        <v/>
      </c>
      <c r="F355">
        <f>IF(A355="","",MAX(1,CEILING(PERCENTRANK.INC($C$3:$C$6000,C355,4)*5+0.000001,1)))</f>
        <v/>
      </c>
      <c r="G355">
        <f>IF(A355="","",MAX(1,CEILING(PERCENTRANK.INC($D$3:$D$6000,D355,4)*5+0.000001,1)))</f>
        <v/>
      </c>
      <c r="H355">
        <f>IF(A355="","",E355&amp;F355&amp;G355)</f>
        <v/>
      </c>
      <c r="I355">
        <f>IF(A355="","",IF(AND(E355&gt;=4,F355&gt;=4,G355&gt;=4),"Juara",IF(AND(F355&gt;=4,E355&gt;=3),"Setia",IF(AND(E355=5,F355&lt;=2,G355&gt;=3),"Berpotensi",IF(AND(E355&lt;=3,E355&gt;=2,F355&gt;=3),"Rawan",IF(AND(E355&lt;=2,F355&lt;=2),"Tidur","Umum"))))))</f>
        <v/>
      </c>
    </row>
    <row r="356">
      <c r="B356">
        <f>IF(A356="","",$B$1-MAXIFS(Donasi!$A$2:$A$20000,Donasi!$B$2:$B$20000,A356))</f>
        <v/>
      </c>
      <c r="C356">
        <f>IF(A356="","",COUNTIF(Donasi!$B$2:$B$20000,A356))</f>
        <v/>
      </c>
      <c r="D356">
        <f>IF(A356="","",SUMIF(Donasi!$B$2:$B$20000,A356,Donasi!$C$2:$C$20000))</f>
        <v/>
      </c>
      <c r="E356">
        <f>IF(A356="","",6-CEILING(PERCENTRANK.INC($B$3:$B$6000,B356,4)*5+0.000001,1))</f>
        <v/>
      </c>
      <c r="F356">
        <f>IF(A356="","",MAX(1,CEILING(PERCENTRANK.INC($C$3:$C$6000,C356,4)*5+0.000001,1)))</f>
        <v/>
      </c>
      <c r="G356">
        <f>IF(A356="","",MAX(1,CEILING(PERCENTRANK.INC($D$3:$D$6000,D356,4)*5+0.000001,1)))</f>
        <v/>
      </c>
      <c r="H356">
        <f>IF(A356="","",E356&amp;F356&amp;G356)</f>
        <v/>
      </c>
      <c r="I356">
        <f>IF(A356="","",IF(AND(E356&gt;=4,F356&gt;=4,G356&gt;=4),"Juara",IF(AND(F356&gt;=4,E356&gt;=3),"Setia",IF(AND(E356=5,F356&lt;=2,G356&gt;=3),"Berpotensi",IF(AND(E356&lt;=3,E356&gt;=2,F356&gt;=3),"Rawan",IF(AND(E356&lt;=2,F356&lt;=2),"Tidur","Umum"))))))</f>
        <v/>
      </c>
    </row>
    <row r="357">
      <c r="B357">
        <f>IF(A357="","",$B$1-MAXIFS(Donasi!$A$2:$A$20000,Donasi!$B$2:$B$20000,A357))</f>
        <v/>
      </c>
      <c r="C357">
        <f>IF(A357="","",COUNTIF(Donasi!$B$2:$B$20000,A357))</f>
        <v/>
      </c>
      <c r="D357">
        <f>IF(A357="","",SUMIF(Donasi!$B$2:$B$20000,A357,Donasi!$C$2:$C$20000))</f>
        <v/>
      </c>
      <c r="E357">
        <f>IF(A357="","",6-CEILING(PERCENTRANK.INC($B$3:$B$6000,B357,4)*5+0.000001,1))</f>
        <v/>
      </c>
      <c r="F357">
        <f>IF(A357="","",MAX(1,CEILING(PERCENTRANK.INC($C$3:$C$6000,C357,4)*5+0.000001,1)))</f>
        <v/>
      </c>
      <c r="G357">
        <f>IF(A357="","",MAX(1,CEILING(PERCENTRANK.INC($D$3:$D$6000,D357,4)*5+0.000001,1)))</f>
        <v/>
      </c>
      <c r="H357">
        <f>IF(A357="","",E357&amp;F357&amp;G357)</f>
        <v/>
      </c>
      <c r="I357">
        <f>IF(A357="","",IF(AND(E357&gt;=4,F357&gt;=4,G357&gt;=4),"Juara",IF(AND(F357&gt;=4,E357&gt;=3),"Setia",IF(AND(E357=5,F357&lt;=2,G357&gt;=3),"Berpotensi",IF(AND(E357&lt;=3,E357&gt;=2,F357&gt;=3),"Rawan",IF(AND(E357&lt;=2,F357&lt;=2),"Tidur","Umum"))))))</f>
        <v/>
      </c>
    </row>
    <row r="358">
      <c r="B358">
        <f>IF(A358="","",$B$1-MAXIFS(Donasi!$A$2:$A$20000,Donasi!$B$2:$B$20000,A358))</f>
        <v/>
      </c>
      <c r="C358">
        <f>IF(A358="","",COUNTIF(Donasi!$B$2:$B$20000,A358))</f>
        <v/>
      </c>
      <c r="D358">
        <f>IF(A358="","",SUMIF(Donasi!$B$2:$B$20000,A358,Donasi!$C$2:$C$20000))</f>
        <v/>
      </c>
      <c r="E358">
        <f>IF(A358="","",6-CEILING(PERCENTRANK.INC($B$3:$B$6000,B358,4)*5+0.000001,1))</f>
        <v/>
      </c>
      <c r="F358">
        <f>IF(A358="","",MAX(1,CEILING(PERCENTRANK.INC($C$3:$C$6000,C358,4)*5+0.000001,1)))</f>
        <v/>
      </c>
      <c r="G358">
        <f>IF(A358="","",MAX(1,CEILING(PERCENTRANK.INC($D$3:$D$6000,D358,4)*5+0.000001,1)))</f>
        <v/>
      </c>
      <c r="H358">
        <f>IF(A358="","",E358&amp;F358&amp;G358)</f>
        <v/>
      </c>
      <c r="I358">
        <f>IF(A358="","",IF(AND(E358&gt;=4,F358&gt;=4,G358&gt;=4),"Juara",IF(AND(F358&gt;=4,E358&gt;=3),"Setia",IF(AND(E358=5,F358&lt;=2,G358&gt;=3),"Berpotensi",IF(AND(E358&lt;=3,E358&gt;=2,F358&gt;=3),"Rawan",IF(AND(E358&lt;=2,F358&lt;=2),"Tidur","Umum"))))))</f>
        <v/>
      </c>
    </row>
    <row r="359">
      <c r="B359">
        <f>IF(A359="","",$B$1-MAXIFS(Donasi!$A$2:$A$20000,Donasi!$B$2:$B$20000,A359))</f>
        <v/>
      </c>
      <c r="C359">
        <f>IF(A359="","",COUNTIF(Donasi!$B$2:$B$20000,A359))</f>
        <v/>
      </c>
      <c r="D359">
        <f>IF(A359="","",SUMIF(Donasi!$B$2:$B$20000,A359,Donasi!$C$2:$C$20000))</f>
        <v/>
      </c>
      <c r="E359">
        <f>IF(A359="","",6-CEILING(PERCENTRANK.INC($B$3:$B$6000,B359,4)*5+0.000001,1))</f>
        <v/>
      </c>
      <c r="F359">
        <f>IF(A359="","",MAX(1,CEILING(PERCENTRANK.INC($C$3:$C$6000,C359,4)*5+0.000001,1)))</f>
        <v/>
      </c>
      <c r="G359">
        <f>IF(A359="","",MAX(1,CEILING(PERCENTRANK.INC($D$3:$D$6000,D359,4)*5+0.000001,1)))</f>
        <v/>
      </c>
      <c r="H359">
        <f>IF(A359="","",E359&amp;F359&amp;G359)</f>
        <v/>
      </c>
      <c r="I359">
        <f>IF(A359="","",IF(AND(E359&gt;=4,F359&gt;=4,G359&gt;=4),"Juara",IF(AND(F359&gt;=4,E359&gt;=3),"Setia",IF(AND(E359=5,F359&lt;=2,G359&gt;=3),"Berpotensi",IF(AND(E359&lt;=3,E359&gt;=2,F359&gt;=3),"Rawan",IF(AND(E359&lt;=2,F359&lt;=2),"Tidur","Umum"))))))</f>
        <v/>
      </c>
    </row>
    <row r="360">
      <c r="B360">
        <f>IF(A360="","",$B$1-MAXIFS(Donasi!$A$2:$A$20000,Donasi!$B$2:$B$20000,A360))</f>
        <v/>
      </c>
      <c r="C360">
        <f>IF(A360="","",COUNTIF(Donasi!$B$2:$B$20000,A360))</f>
        <v/>
      </c>
      <c r="D360">
        <f>IF(A360="","",SUMIF(Donasi!$B$2:$B$20000,A360,Donasi!$C$2:$C$20000))</f>
        <v/>
      </c>
      <c r="E360">
        <f>IF(A360="","",6-CEILING(PERCENTRANK.INC($B$3:$B$6000,B360,4)*5+0.000001,1))</f>
        <v/>
      </c>
      <c r="F360">
        <f>IF(A360="","",MAX(1,CEILING(PERCENTRANK.INC($C$3:$C$6000,C360,4)*5+0.000001,1)))</f>
        <v/>
      </c>
      <c r="G360">
        <f>IF(A360="","",MAX(1,CEILING(PERCENTRANK.INC($D$3:$D$6000,D360,4)*5+0.000001,1)))</f>
        <v/>
      </c>
      <c r="H360">
        <f>IF(A360="","",E360&amp;F360&amp;G360)</f>
        <v/>
      </c>
      <c r="I360">
        <f>IF(A360="","",IF(AND(E360&gt;=4,F360&gt;=4,G360&gt;=4),"Juara",IF(AND(F360&gt;=4,E360&gt;=3),"Setia",IF(AND(E360=5,F360&lt;=2,G360&gt;=3),"Berpotensi",IF(AND(E360&lt;=3,E360&gt;=2,F360&gt;=3),"Rawan",IF(AND(E360&lt;=2,F360&lt;=2),"Tidur","Umum"))))))</f>
        <v/>
      </c>
    </row>
    <row r="361">
      <c r="B361">
        <f>IF(A361="","",$B$1-MAXIFS(Donasi!$A$2:$A$20000,Donasi!$B$2:$B$20000,A361))</f>
        <v/>
      </c>
      <c r="C361">
        <f>IF(A361="","",COUNTIF(Donasi!$B$2:$B$20000,A361))</f>
        <v/>
      </c>
      <c r="D361">
        <f>IF(A361="","",SUMIF(Donasi!$B$2:$B$20000,A361,Donasi!$C$2:$C$20000))</f>
        <v/>
      </c>
      <c r="E361">
        <f>IF(A361="","",6-CEILING(PERCENTRANK.INC($B$3:$B$6000,B361,4)*5+0.000001,1))</f>
        <v/>
      </c>
      <c r="F361">
        <f>IF(A361="","",MAX(1,CEILING(PERCENTRANK.INC($C$3:$C$6000,C361,4)*5+0.000001,1)))</f>
        <v/>
      </c>
      <c r="G361">
        <f>IF(A361="","",MAX(1,CEILING(PERCENTRANK.INC($D$3:$D$6000,D361,4)*5+0.000001,1)))</f>
        <v/>
      </c>
      <c r="H361">
        <f>IF(A361="","",E361&amp;F361&amp;G361)</f>
        <v/>
      </c>
      <c r="I361">
        <f>IF(A361="","",IF(AND(E361&gt;=4,F361&gt;=4,G361&gt;=4),"Juara",IF(AND(F361&gt;=4,E361&gt;=3),"Setia",IF(AND(E361=5,F361&lt;=2,G361&gt;=3),"Berpotensi",IF(AND(E361&lt;=3,E361&gt;=2,F361&gt;=3),"Rawan",IF(AND(E361&lt;=2,F361&lt;=2),"Tidur","Umum"))))))</f>
        <v/>
      </c>
    </row>
    <row r="362">
      <c r="B362">
        <f>IF(A362="","",$B$1-MAXIFS(Donasi!$A$2:$A$20000,Donasi!$B$2:$B$20000,A362))</f>
        <v/>
      </c>
      <c r="C362">
        <f>IF(A362="","",COUNTIF(Donasi!$B$2:$B$20000,A362))</f>
        <v/>
      </c>
      <c r="D362">
        <f>IF(A362="","",SUMIF(Donasi!$B$2:$B$20000,A362,Donasi!$C$2:$C$20000))</f>
        <v/>
      </c>
      <c r="E362">
        <f>IF(A362="","",6-CEILING(PERCENTRANK.INC($B$3:$B$6000,B362,4)*5+0.000001,1))</f>
        <v/>
      </c>
      <c r="F362">
        <f>IF(A362="","",MAX(1,CEILING(PERCENTRANK.INC($C$3:$C$6000,C362,4)*5+0.000001,1)))</f>
        <v/>
      </c>
      <c r="G362">
        <f>IF(A362="","",MAX(1,CEILING(PERCENTRANK.INC($D$3:$D$6000,D362,4)*5+0.000001,1)))</f>
        <v/>
      </c>
      <c r="H362">
        <f>IF(A362="","",E362&amp;F362&amp;G362)</f>
        <v/>
      </c>
      <c r="I362">
        <f>IF(A362="","",IF(AND(E362&gt;=4,F362&gt;=4,G362&gt;=4),"Juara",IF(AND(F362&gt;=4,E362&gt;=3),"Setia",IF(AND(E362=5,F362&lt;=2,G362&gt;=3),"Berpotensi",IF(AND(E362&lt;=3,E362&gt;=2,F362&gt;=3),"Rawan",IF(AND(E362&lt;=2,F362&lt;=2),"Tidur","Umum"))))))</f>
        <v/>
      </c>
    </row>
    <row r="363">
      <c r="B363">
        <f>IF(A363="","",$B$1-MAXIFS(Donasi!$A$2:$A$20000,Donasi!$B$2:$B$20000,A363))</f>
        <v/>
      </c>
      <c r="C363">
        <f>IF(A363="","",COUNTIF(Donasi!$B$2:$B$20000,A363))</f>
        <v/>
      </c>
      <c r="D363">
        <f>IF(A363="","",SUMIF(Donasi!$B$2:$B$20000,A363,Donasi!$C$2:$C$20000))</f>
        <v/>
      </c>
      <c r="E363">
        <f>IF(A363="","",6-CEILING(PERCENTRANK.INC($B$3:$B$6000,B363,4)*5+0.000001,1))</f>
        <v/>
      </c>
      <c r="F363">
        <f>IF(A363="","",MAX(1,CEILING(PERCENTRANK.INC($C$3:$C$6000,C363,4)*5+0.000001,1)))</f>
        <v/>
      </c>
      <c r="G363">
        <f>IF(A363="","",MAX(1,CEILING(PERCENTRANK.INC($D$3:$D$6000,D363,4)*5+0.000001,1)))</f>
        <v/>
      </c>
      <c r="H363">
        <f>IF(A363="","",E363&amp;F363&amp;G363)</f>
        <v/>
      </c>
      <c r="I363">
        <f>IF(A363="","",IF(AND(E363&gt;=4,F363&gt;=4,G363&gt;=4),"Juara",IF(AND(F363&gt;=4,E363&gt;=3),"Setia",IF(AND(E363=5,F363&lt;=2,G363&gt;=3),"Berpotensi",IF(AND(E363&lt;=3,E363&gt;=2,F363&gt;=3),"Rawan",IF(AND(E363&lt;=2,F363&lt;=2),"Tidur","Umum"))))))</f>
        <v/>
      </c>
    </row>
    <row r="364">
      <c r="B364">
        <f>IF(A364="","",$B$1-MAXIFS(Donasi!$A$2:$A$20000,Donasi!$B$2:$B$20000,A364))</f>
        <v/>
      </c>
      <c r="C364">
        <f>IF(A364="","",COUNTIF(Donasi!$B$2:$B$20000,A364))</f>
        <v/>
      </c>
      <c r="D364">
        <f>IF(A364="","",SUMIF(Donasi!$B$2:$B$20000,A364,Donasi!$C$2:$C$20000))</f>
        <v/>
      </c>
      <c r="E364">
        <f>IF(A364="","",6-CEILING(PERCENTRANK.INC($B$3:$B$6000,B364,4)*5+0.000001,1))</f>
        <v/>
      </c>
      <c r="F364">
        <f>IF(A364="","",MAX(1,CEILING(PERCENTRANK.INC($C$3:$C$6000,C364,4)*5+0.000001,1)))</f>
        <v/>
      </c>
      <c r="G364">
        <f>IF(A364="","",MAX(1,CEILING(PERCENTRANK.INC($D$3:$D$6000,D364,4)*5+0.000001,1)))</f>
        <v/>
      </c>
      <c r="H364">
        <f>IF(A364="","",E364&amp;F364&amp;G364)</f>
        <v/>
      </c>
      <c r="I364">
        <f>IF(A364="","",IF(AND(E364&gt;=4,F364&gt;=4,G364&gt;=4),"Juara",IF(AND(F364&gt;=4,E364&gt;=3),"Setia",IF(AND(E364=5,F364&lt;=2,G364&gt;=3),"Berpotensi",IF(AND(E364&lt;=3,E364&gt;=2,F364&gt;=3),"Rawan",IF(AND(E364&lt;=2,F364&lt;=2),"Tidur","Umum"))))))</f>
        <v/>
      </c>
    </row>
    <row r="365">
      <c r="B365">
        <f>IF(A365="","",$B$1-MAXIFS(Donasi!$A$2:$A$20000,Donasi!$B$2:$B$20000,A365))</f>
        <v/>
      </c>
      <c r="C365">
        <f>IF(A365="","",COUNTIF(Donasi!$B$2:$B$20000,A365))</f>
        <v/>
      </c>
      <c r="D365">
        <f>IF(A365="","",SUMIF(Donasi!$B$2:$B$20000,A365,Donasi!$C$2:$C$20000))</f>
        <v/>
      </c>
      <c r="E365">
        <f>IF(A365="","",6-CEILING(PERCENTRANK.INC($B$3:$B$6000,B365,4)*5+0.000001,1))</f>
        <v/>
      </c>
      <c r="F365">
        <f>IF(A365="","",MAX(1,CEILING(PERCENTRANK.INC($C$3:$C$6000,C365,4)*5+0.000001,1)))</f>
        <v/>
      </c>
      <c r="G365">
        <f>IF(A365="","",MAX(1,CEILING(PERCENTRANK.INC($D$3:$D$6000,D365,4)*5+0.000001,1)))</f>
        <v/>
      </c>
      <c r="H365">
        <f>IF(A365="","",E365&amp;F365&amp;G365)</f>
        <v/>
      </c>
      <c r="I365">
        <f>IF(A365="","",IF(AND(E365&gt;=4,F365&gt;=4,G365&gt;=4),"Juara",IF(AND(F365&gt;=4,E365&gt;=3),"Setia",IF(AND(E365=5,F365&lt;=2,G365&gt;=3),"Berpotensi",IF(AND(E365&lt;=3,E365&gt;=2,F365&gt;=3),"Rawan",IF(AND(E365&lt;=2,F365&lt;=2),"Tidur","Umum"))))))</f>
        <v/>
      </c>
    </row>
    <row r="366">
      <c r="B366">
        <f>IF(A366="","",$B$1-MAXIFS(Donasi!$A$2:$A$20000,Donasi!$B$2:$B$20000,A366))</f>
        <v/>
      </c>
      <c r="C366">
        <f>IF(A366="","",COUNTIF(Donasi!$B$2:$B$20000,A366))</f>
        <v/>
      </c>
      <c r="D366">
        <f>IF(A366="","",SUMIF(Donasi!$B$2:$B$20000,A366,Donasi!$C$2:$C$20000))</f>
        <v/>
      </c>
      <c r="E366">
        <f>IF(A366="","",6-CEILING(PERCENTRANK.INC($B$3:$B$6000,B366,4)*5+0.000001,1))</f>
        <v/>
      </c>
      <c r="F366">
        <f>IF(A366="","",MAX(1,CEILING(PERCENTRANK.INC($C$3:$C$6000,C366,4)*5+0.000001,1)))</f>
        <v/>
      </c>
      <c r="G366">
        <f>IF(A366="","",MAX(1,CEILING(PERCENTRANK.INC($D$3:$D$6000,D366,4)*5+0.000001,1)))</f>
        <v/>
      </c>
      <c r="H366">
        <f>IF(A366="","",E366&amp;F366&amp;G366)</f>
        <v/>
      </c>
      <c r="I366">
        <f>IF(A366="","",IF(AND(E366&gt;=4,F366&gt;=4,G366&gt;=4),"Juara",IF(AND(F366&gt;=4,E366&gt;=3),"Setia",IF(AND(E366=5,F366&lt;=2,G366&gt;=3),"Berpotensi",IF(AND(E366&lt;=3,E366&gt;=2,F366&gt;=3),"Rawan",IF(AND(E366&lt;=2,F366&lt;=2),"Tidur","Umum"))))))</f>
        <v/>
      </c>
    </row>
    <row r="367">
      <c r="B367">
        <f>IF(A367="","",$B$1-MAXIFS(Donasi!$A$2:$A$20000,Donasi!$B$2:$B$20000,A367))</f>
        <v/>
      </c>
      <c r="C367">
        <f>IF(A367="","",COUNTIF(Donasi!$B$2:$B$20000,A367))</f>
        <v/>
      </c>
      <c r="D367">
        <f>IF(A367="","",SUMIF(Donasi!$B$2:$B$20000,A367,Donasi!$C$2:$C$20000))</f>
        <v/>
      </c>
      <c r="E367">
        <f>IF(A367="","",6-CEILING(PERCENTRANK.INC($B$3:$B$6000,B367,4)*5+0.000001,1))</f>
        <v/>
      </c>
      <c r="F367">
        <f>IF(A367="","",MAX(1,CEILING(PERCENTRANK.INC($C$3:$C$6000,C367,4)*5+0.000001,1)))</f>
        <v/>
      </c>
      <c r="G367">
        <f>IF(A367="","",MAX(1,CEILING(PERCENTRANK.INC($D$3:$D$6000,D367,4)*5+0.000001,1)))</f>
        <v/>
      </c>
      <c r="H367">
        <f>IF(A367="","",E367&amp;F367&amp;G367)</f>
        <v/>
      </c>
      <c r="I367">
        <f>IF(A367="","",IF(AND(E367&gt;=4,F367&gt;=4,G367&gt;=4),"Juara",IF(AND(F367&gt;=4,E367&gt;=3),"Setia",IF(AND(E367=5,F367&lt;=2,G367&gt;=3),"Berpotensi",IF(AND(E367&lt;=3,E367&gt;=2,F367&gt;=3),"Rawan",IF(AND(E367&lt;=2,F367&lt;=2),"Tidur","Umum"))))))</f>
        <v/>
      </c>
    </row>
    <row r="368">
      <c r="B368">
        <f>IF(A368="","",$B$1-MAXIFS(Donasi!$A$2:$A$20000,Donasi!$B$2:$B$20000,A368))</f>
        <v/>
      </c>
      <c r="C368">
        <f>IF(A368="","",COUNTIF(Donasi!$B$2:$B$20000,A368))</f>
        <v/>
      </c>
      <c r="D368">
        <f>IF(A368="","",SUMIF(Donasi!$B$2:$B$20000,A368,Donasi!$C$2:$C$20000))</f>
        <v/>
      </c>
      <c r="E368">
        <f>IF(A368="","",6-CEILING(PERCENTRANK.INC($B$3:$B$6000,B368,4)*5+0.000001,1))</f>
        <v/>
      </c>
      <c r="F368">
        <f>IF(A368="","",MAX(1,CEILING(PERCENTRANK.INC($C$3:$C$6000,C368,4)*5+0.000001,1)))</f>
        <v/>
      </c>
      <c r="G368">
        <f>IF(A368="","",MAX(1,CEILING(PERCENTRANK.INC($D$3:$D$6000,D368,4)*5+0.000001,1)))</f>
        <v/>
      </c>
      <c r="H368">
        <f>IF(A368="","",E368&amp;F368&amp;G368)</f>
        <v/>
      </c>
      <c r="I368">
        <f>IF(A368="","",IF(AND(E368&gt;=4,F368&gt;=4,G368&gt;=4),"Juara",IF(AND(F368&gt;=4,E368&gt;=3),"Setia",IF(AND(E368=5,F368&lt;=2,G368&gt;=3),"Berpotensi",IF(AND(E368&lt;=3,E368&gt;=2,F368&gt;=3),"Rawan",IF(AND(E368&lt;=2,F368&lt;=2),"Tidur","Umum"))))))</f>
        <v/>
      </c>
    </row>
    <row r="369">
      <c r="B369">
        <f>IF(A369="","",$B$1-MAXIFS(Donasi!$A$2:$A$20000,Donasi!$B$2:$B$20000,A369))</f>
        <v/>
      </c>
      <c r="C369">
        <f>IF(A369="","",COUNTIF(Donasi!$B$2:$B$20000,A369))</f>
        <v/>
      </c>
      <c r="D369">
        <f>IF(A369="","",SUMIF(Donasi!$B$2:$B$20000,A369,Donasi!$C$2:$C$20000))</f>
        <v/>
      </c>
      <c r="E369">
        <f>IF(A369="","",6-CEILING(PERCENTRANK.INC($B$3:$B$6000,B369,4)*5+0.000001,1))</f>
        <v/>
      </c>
      <c r="F369">
        <f>IF(A369="","",MAX(1,CEILING(PERCENTRANK.INC($C$3:$C$6000,C369,4)*5+0.000001,1)))</f>
        <v/>
      </c>
      <c r="G369">
        <f>IF(A369="","",MAX(1,CEILING(PERCENTRANK.INC($D$3:$D$6000,D369,4)*5+0.000001,1)))</f>
        <v/>
      </c>
      <c r="H369">
        <f>IF(A369="","",E369&amp;F369&amp;G369)</f>
        <v/>
      </c>
      <c r="I369">
        <f>IF(A369="","",IF(AND(E369&gt;=4,F369&gt;=4,G369&gt;=4),"Juara",IF(AND(F369&gt;=4,E369&gt;=3),"Setia",IF(AND(E369=5,F369&lt;=2,G369&gt;=3),"Berpotensi",IF(AND(E369&lt;=3,E369&gt;=2,F369&gt;=3),"Rawan",IF(AND(E369&lt;=2,F369&lt;=2),"Tidur","Umum"))))))</f>
        <v/>
      </c>
    </row>
    <row r="370">
      <c r="B370">
        <f>IF(A370="","",$B$1-MAXIFS(Donasi!$A$2:$A$20000,Donasi!$B$2:$B$20000,A370))</f>
        <v/>
      </c>
      <c r="C370">
        <f>IF(A370="","",COUNTIF(Donasi!$B$2:$B$20000,A370))</f>
        <v/>
      </c>
      <c r="D370">
        <f>IF(A370="","",SUMIF(Donasi!$B$2:$B$20000,A370,Donasi!$C$2:$C$20000))</f>
        <v/>
      </c>
      <c r="E370">
        <f>IF(A370="","",6-CEILING(PERCENTRANK.INC($B$3:$B$6000,B370,4)*5+0.000001,1))</f>
        <v/>
      </c>
      <c r="F370">
        <f>IF(A370="","",MAX(1,CEILING(PERCENTRANK.INC($C$3:$C$6000,C370,4)*5+0.000001,1)))</f>
        <v/>
      </c>
      <c r="G370">
        <f>IF(A370="","",MAX(1,CEILING(PERCENTRANK.INC($D$3:$D$6000,D370,4)*5+0.000001,1)))</f>
        <v/>
      </c>
      <c r="H370">
        <f>IF(A370="","",E370&amp;F370&amp;G370)</f>
        <v/>
      </c>
      <c r="I370">
        <f>IF(A370="","",IF(AND(E370&gt;=4,F370&gt;=4,G370&gt;=4),"Juara",IF(AND(F370&gt;=4,E370&gt;=3),"Setia",IF(AND(E370=5,F370&lt;=2,G370&gt;=3),"Berpotensi",IF(AND(E370&lt;=3,E370&gt;=2,F370&gt;=3),"Rawan",IF(AND(E370&lt;=2,F370&lt;=2),"Tidur","Umum"))))))</f>
        <v/>
      </c>
    </row>
    <row r="371">
      <c r="B371">
        <f>IF(A371="","",$B$1-MAXIFS(Donasi!$A$2:$A$20000,Donasi!$B$2:$B$20000,A371))</f>
        <v/>
      </c>
      <c r="C371">
        <f>IF(A371="","",COUNTIF(Donasi!$B$2:$B$20000,A371))</f>
        <v/>
      </c>
      <c r="D371">
        <f>IF(A371="","",SUMIF(Donasi!$B$2:$B$20000,A371,Donasi!$C$2:$C$20000))</f>
        <v/>
      </c>
      <c r="E371">
        <f>IF(A371="","",6-CEILING(PERCENTRANK.INC($B$3:$B$6000,B371,4)*5+0.000001,1))</f>
        <v/>
      </c>
      <c r="F371">
        <f>IF(A371="","",MAX(1,CEILING(PERCENTRANK.INC($C$3:$C$6000,C371,4)*5+0.000001,1)))</f>
        <v/>
      </c>
      <c r="G371">
        <f>IF(A371="","",MAX(1,CEILING(PERCENTRANK.INC($D$3:$D$6000,D371,4)*5+0.000001,1)))</f>
        <v/>
      </c>
      <c r="H371">
        <f>IF(A371="","",E371&amp;F371&amp;G371)</f>
        <v/>
      </c>
      <c r="I371">
        <f>IF(A371="","",IF(AND(E371&gt;=4,F371&gt;=4,G371&gt;=4),"Juara",IF(AND(F371&gt;=4,E371&gt;=3),"Setia",IF(AND(E371=5,F371&lt;=2,G371&gt;=3),"Berpotensi",IF(AND(E371&lt;=3,E371&gt;=2,F371&gt;=3),"Rawan",IF(AND(E371&lt;=2,F371&lt;=2),"Tidur","Umum"))))))</f>
        <v/>
      </c>
    </row>
    <row r="372">
      <c r="B372">
        <f>IF(A372="","",$B$1-MAXIFS(Donasi!$A$2:$A$20000,Donasi!$B$2:$B$20000,A372))</f>
        <v/>
      </c>
      <c r="C372">
        <f>IF(A372="","",COUNTIF(Donasi!$B$2:$B$20000,A372))</f>
        <v/>
      </c>
      <c r="D372">
        <f>IF(A372="","",SUMIF(Donasi!$B$2:$B$20000,A372,Donasi!$C$2:$C$20000))</f>
        <v/>
      </c>
      <c r="E372">
        <f>IF(A372="","",6-CEILING(PERCENTRANK.INC($B$3:$B$6000,B372,4)*5+0.000001,1))</f>
        <v/>
      </c>
      <c r="F372">
        <f>IF(A372="","",MAX(1,CEILING(PERCENTRANK.INC($C$3:$C$6000,C372,4)*5+0.000001,1)))</f>
        <v/>
      </c>
      <c r="G372">
        <f>IF(A372="","",MAX(1,CEILING(PERCENTRANK.INC($D$3:$D$6000,D372,4)*5+0.000001,1)))</f>
        <v/>
      </c>
      <c r="H372">
        <f>IF(A372="","",E372&amp;F372&amp;G372)</f>
        <v/>
      </c>
      <c r="I372">
        <f>IF(A372="","",IF(AND(E372&gt;=4,F372&gt;=4,G372&gt;=4),"Juara",IF(AND(F372&gt;=4,E372&gt;=3),"Setia",IF(AND(E372=5,F372&lt;=2,G372&gt;=3),"Berpotensi",IF(AND(E372&lt;=3,E372&gt;=2,F372&gt;=3),"Rawan",IF(AND(E372&lt;=2,F372&lt;=2),"Tidur","Umum"))))))</f>
        <v/>
      </c>
    </row>
    <row r="373">
      <c r="B373">
        <f>IF(A373="","",$B$1-MAXIFS(Donasi!$A$2:$A$20000,Donasi!$B$2:$B$20000,A373))</f>
        <v/>
      </c>
      <c r="C373">
        <f>IF(A373="","",COUNTIF(Donasi!$B$2:$B$20000,A373))</f>
        <v/>
      </c>
      <c r="D373">
        <f>IF(A373="","",SUMIF(Donasi!$B$2:$B$20000,A373,Donasi!$C$2:$C$20000))</f>
        <v/>
      </c>
      <c r="E373">
        <f>IF(A373="","",6-CEILING(PERCENTRANK.INC($B$3:$B$6000,B373,4)*5+0.000001,1))</f>
        <v/>
      </c>
      <c r="F373">
        <f>IF(A373="","",MAX(1,CEILING(PERCENTRANK.INC($C$3:$C$6000,C373,4)*5+0.000001,1)))</f>
        <v/>
      </c>
      <c r="G373">
        <f>IF(A373="","",MAX(1,CEILING(PERCENTRANK.INC($D$3:$D$6000,D373,4)*5+0.000001,1)))</f>
        <v/>
      </c>
      <c r="H373">
        <f>IF(A373="","",E373&amp;F373&amp;G373)</f>
        <v/>
      </c>
      <c r="I373">
        <f>IF(A373="","",IF(AND(E373&gt;=4,F373&gt;=4,G373&gt;=4),"Juara",IF(AND(F373&gt;=4,E373&gt;=3),"Setia",IF(AND(E373=5,F373&lt;=2,G373&gt;=3),"Berpotensi",IF(AND(E373&lt;=3,E373&gt;=2,F373&gt;=3),"Rawan",IF(AND(E373&lt;=2,F373&lt;=2),"Tidur","Umum"))))))</f>
        <v/>
      </c>
    </row>
    <row r="374">
      <c r="B374">
        <f>IF(A374="","",$B$1-MAXIFS(Donasi!$A$2:$A$20000,Donasi!$B$2:$B$20000,A374))</f>
        <v/>
      </c>
      <c r="C374">
        <f>IF(A374="","",COUNTIF(Donasi!$B$2:$B$20000,A374))</f>
        <v/>
      </c>
      <c r="D374">
        <f>IF(A374="","",SUMIF(Donasi!$B$2:$B$20000,A374,Donasi!$C$2:$C$20000))</f>
        <v/>
      </c>
      <c r="E374">
        <f>IF(A374="","",6-CEILING(PERCENTRANK.INC($B$3:$B$6000,B374,4)*5+0.000001,1))</f>
        <v/>
      </c>
      <c r="F374">
        <f>IF(A374="","",MAX(1,CEILING(PERCENTRANK.INC($C$3:$C$6000,C374,4)*5+0.000001,1)))</f>
        <v/>
      </c>
      <c r="G374">
        <f>IF(A374="","",MAX(1,CEILING(PERCENTRANK.INC($D$3:$D$6000,D374,4)*5+0.000001,1)))</f>
        <v/>
      </c>
      <c r="H374">
        <f>IF(A374="","",E374&amp;F374&amp;G374)</f>
        <v/>
      </c>
      <c r="I374">
        <f>IF(A374="","",IF(AND(E374&gt;=4,F374&gt;=4,G374&gt;=4),"Juara",IF(AND(F374&gt;=4,E374&gt;=3),"Setia",IF(AND(E374=5,F374&lt;=2,G374&gt;=3),"Berpotensi",IF(AND(E374&lt;=3,E374&gt;=2,F374&gt;=3),"Rawan",IF(AND(E374&lt;=2,F374&lt;=2),"Tidur","Umum"))))))</f>
        <v/>
      </c>
    </row>
    <row r="375">
      <c r="B375">
        <f>IF(A375="","",$B$1-MAXIFS(Donasi!$A$2:$A$20000,Donasi!$B$2:$B$20000,A375))</f>
        <v/>
      </c>
      <c r="C375">
        <f>IF(A375="","",COUNTIF(Donasi!$B$2:$B$20000,A375))</f>
        <v/>
      </c>
      <c r="D375">
        <f>IF(A375="","",SUMIF(Donasi!$B$2:$B$20000,A375,Donasi!$C$2:$C$20000))</f>
        <v/>
      </c>
      <c r="E375">
        <f>IF(A375="","",6-CEILING(PERCENTRANK.INC($B$3:$B$6000,B375,4)*5+0.000001,1))</f>
        <v/>
      </c>
      <c r="F375">
        <f>IF(A375="","",MAX(1,CEILING(PERCENTRANK.INC($C$3:$C$6000,C375,4)*5+0.000001,1)))</f>
        <v/>
      </c>
      <c r="G375">
        <f>IF(A375="","",MAX(1,CEILING(PERCENTRANK.INC($D$3:$D$6000,D375,4)*5+0.000001,1)))</f>
        <v/>
      </c>
      <c r="H375">
        <f>IF(A375="","",E375&amp;F375&amp;G375)</f>
        <v/>
      </c>
      <c r="I375">
        <f>IF(A375="","",IF(AND(E375&gt;=4,F375&gt;=4,G375&gt;=4),"Juara",IF(AND(F375&gt;=4,E375&gt;=3),"Setia",IF(AND(E375=5,F375&lt;=2,G375&gt;=3),"Berpotensi",IF(AND(E375&lt;=3,E375&gt;=2,F375&gt;=3),"Rawan",IF(AND(E375&lt;=2,F375&lt;=2),"Tidur","Umum"))))))</f>
        <v/>
      </c>
    </row>
    <row r="376">
      <c r="B376">
        <f>IF(A376="","",$B$1-MAXIFS(Donasi!$A$2:$A$20000,Donasi!$B$2:$B$20000,A376))</f>
        <v/>
      </c>
      <c r="C376">
        <f>IF(A376="","",COUNTIF(Donasi!$B$2:$B$20000,A376))</f>
        <v/>
      </c>
      <c r="D376">
        <f>IF(A376="","",SUMIF(Donasi!$B$2:$B$20000,A376,Donasi!$C$2:$C$20000))</f>
        <v/>
      </c>
      <c r="E376">
        <f>IF(A376="","",6-CEILING(PERCENTRANK.INC($B$3:$B$6000,B376,4)*5+0.000001,1))</f>
        <v/>
      </c>
      <c r="F376">
        <f>IF(A376="","",MAX(1,CEILING(PERCENTRANK.INC($C$3:$C$6000,C376,4)*5+0.000001,1)))</f>
        <v/>
      </c>
      <c r="G376">
        <f>IF(A376="","",MAX(1,CEILING(PERCENTRANK.INC($D$3:$D$6000,D376,4)*5+0.000001,1)))</f>
        <v/>
      </c>
      <c r="H376">
        <f>IF(A376="","",E376&amp;F376&amp;G376)</f>
        <v/>
      </c>
      <c r="I376">
        <f>IF(A376="","",IF(AND(E376&gt;=4,F376&gt;=4,G376&gt;=4),"Juara",IF(AND(F376&gt;=4,E376&gt;=3),"Setia",IF(AND(E376=5,F376&lt;=2,G376&gt;=3),"Berpotensi",IF(AND(E376&lt;=3,E376&gt;=2,F376&gt;=3),"Rawan",IF(AND(E376&lt;=2,F376&lt;=2),"Tidur","Umum"))))))</f>
        <v/>
      </c>
    </row>
    <row r="377">
      <c r="B377">
        <f>IF(A377="","",$B$1-MAXIFS(Donasi!$A$2:$A$20000,Donasi!$B$2:$B$20000,A377))</f>
        <v/>
      </c>
      <c r="C377">
        <f>IF(A377="","",COUNTIF(Donasi!$B$2:$B$20000,A377))</f>
        <v/>
      </c>
      <c r="D377">
        <f>IF(A377="","",SUMIF(Donasi!$B$2:$B$20000,A377,Donasi!$C$2:$C$20000))</f>
        <v/>
      </c>
      <c r="E377">
        <f>IF(A377="","",6-CEILING(PERCENTRANK.INC($B$3:$B$6000,B377,4)*5+0.000001,1))</f>
        <v/>
      </c>
      <c r="F377">
        <f>IF(A377="","",MAX(1,CEILING(PERCENTRANK.INC($C$3:$C$6000,C377,4)*5+0.000001,1)))</f>
        <v/>
      </c>
      <c r="G377">
        <f>IF(A377="","",MAX(1,CEILING(PERCENTRANK.INC($D$3:$D$6000,D377,4)*5+0.000001,1)))</f>
        <v/>
      </c>
      <c r="H377">
        <f>IF(A377="","",E377&amp;F377&amp;G377)</f>
        <v/>
      </c>
      <c r="I377">
        <f>IF(A377="","",IF(AND(E377&gt;=4,F377&gt;=4,G377&gt;=4),"Juara",IF(AND(F377&gt;=4,E377&gt;=3),"Setia",IF(AND(E377=5,F377&lt;=2,G377&gt;=3),"Berpotensi",IF(AND(E377&lt;=3,E377&gt;=2,F377&gt;=3),"Rawan",IF(AND(E377&lt;=2,F377&lt;=2),"Tidur","Umum"))))))</f>
        <v/>
      </c>
    </row>
    <row r="378">
      <c r="B378">
        <f>IF(A378="","",$B$1-MAXIFS(Donasi!$A$2:$A$20000,Donasi!$B$2:$B$20000,A378))</f>
        <v/>
      </c>
      <c r="C378">
        <f>IF(A378="","",COUNTIF(Donasi!$B$2:$B$20000,A378))</f>
        <v/>
      </c>
      <c r="D378">
        <f>IF(A378="","",SUMIF(Donasi!$B$2:$B$20000,A378,Donasi!$C$2:$C$20000))</f>
        <v/>
      </c>
      <c r="E378">
        <f>IF(A378="","",6-CEILING(PERCENTRANK.INC($B$3:$B$6000,B378,4)*5+0.000001,1))</f>
        <v/>
      </c>
      <c r="F378">
        <f>IF(A378="","",MAX(1,CEILING(PERCENTRANK.INC($C$3:$C$6000,C378,4)*5+0.000001,1)))</f>
        <v/>
      </c>
      <c r="G378">
        <f>IF(A378="","",MAX(1,CEILING(PERCENTRANK.INC($D$3:$D$6000,D378,4)*5+0.000001,1)))</f>
        <v/>
      </c>
      <c r="H378">
        <f>IF(A378="","",E378&amp;F378&amp;G378)</f>
        <v/>
      </c>
      <c r="I378">
        <f>IF(A378="","",IF(AND(E378&gt;=4,F378&gt;=4,G378&gt;=4),"Juara",IF(AND(F378&gt;=4,E378&gt;=3),"Setia",IF(AND(E378=5,F378&lt;=2,G378&gt;=3),"Berpotensi",IF(AND(E378&lt;=3,E378&gt;=2,F378&gt;=3),"Rawan",IF(AND(E378&lt;=2,F378&lt;=2),"Tidur","Umum"))))))</f>
        <v/>
      </c>
    </row>
    <row r="379">
      <c r="B379">
        <f>IF(A379="","",$B$1-MAXIFS(Donasi!$A$2:$A$20000,Donasi!$B$2:$B$20000,A379))</f>
        <v/>
      </c>
      <c r="C379">
        <f>IF(A379="","",COUNTIF(Donasi!$B$2:$B$20000,A379))</f>
        <v/>
      </c>
      <c r="D379">
        <f>IF(A379="","",SUMIF(Donasi!$B$2:$B$20000,A379,Donasi!$C$2:$C$20000))</f>
        <v/>
      </c>
      <c r="E379">
        <f>IF(A379="","",6-CEILING(PERCENTRANK.INC($B$3:$B$6000,B379,4)*5+0.000001,1))</f>
        <v/>
      </c>
      <c r="F379">
        <f>IF(A379="","",MAX(1,CEILING(PERCENTRANK.INC($C$3:$C$6000,C379,4)*5+0.000001,1)))</f>
        <v/>
      </c>
      <c r="G379">
        <f>IF(A379="","",MAX(1,CEILING(PERCENTRANK.INC($D$3:$D$6000,D379,4)*5+0.000001,1)))</f>
        <v/>
      </c>
      <c r="H379">
        <f>IF(A379="","",E379&amp;F379&amp;G379)</f>
        <v/>
      </c>
      <c r="I379">
        <f>IF(A379="","",IF(AND(E379&gt;=4,F379&gt;=4,G379&gt;=4),"Juara",IF(AND(F379&gt;=4,E379&gt;=3),"Setia",IF(AND(E379=5,F379&lt;=2,G379&gt;=3),"Berpotensi",IF(AND(E379&lt;=3,E379&gt;=2,F379&gt;=3),"Rawan",IF(AND(E379&lt;=2,F379&lt;=2),"Tidur","Umum"))))))</f>
        <v/>
      </c>
    </row>
    <row r="380">
      <c r="B380">
        <f>IF(A380="","",$B$1-MAXIFS(Donasi!$A$2:$A$20000,Donasi!$B$2:$B$20000,A380))</f>
        <v/>
      </c>
      <c r="C380">
        <f>IF(A380="","",COUNTIF(Donasi!$B$2:$B$20000,A380))</f>
        <v/>
      </c>
      <c r="D380">
        <f>IF(A380="","",SUMIF(Donasi!$B$2:$B$20000,A380,Donasi!$C$2:$C$20000))</f>
        <v/>
      </c>
      <c r="E380">
        <f>IF(A380="","",6-CEILING(PERCENTRANK.INC($B$3:$B$6000,B380,4)*5+0.000001,1))</f>
        <v/>
      </c>
      <c r="F380">
        <f>IF(A380="","",MAX(1,CEILING(PERCENTRANK.INC($C$3:$C$6000,C380,4)*5+0.000001,1)))</f>
        <v/>
      </c>
      <c r="G380">
        <f>IF(A380="","",MAX(1,CEILING(PERCENTRANK.INC($D$3:$D$6000,D380,4)*5+0.000001,1)))</f>
        <v/>
      </c>
      <c r="H380">
        <f>IF(A380="","",E380&amp;F380&amp;G380)</f>
        <v/>
      </c>
      <c r="I380">
        <f>IF(A380="","",IF(AND(E380&gt;=4,F380&gt;=4,G380&gt;=4),"Juara",IF(AND(F380&gt;=4,E380&gt;=3),"Setia",IF(AND(E380=5,F380&lt;=2,G380&gt;=3),"Berpotensi",IF(AND(E380&lt;=3,E380&gt;=2,F380&gt;=3),"Rawan",IF(AND(E380&lt;=2,F380&lt;=2),"Tidur","Umum"))))))</f>
        <v/>
      </c>
    </row>
    <row r="381">
      <c r="B381">
        <f>IF(A381="","",$B$1-MAXIFS(Donasi!$A$2:$A$20000,Donasi!$B$2:$B$20000,A381))</f>
        <v/>
      </c>
      <c r="C381">
        <f>IF(A381="","",COUNTIF(Donasi!$B$2:$B$20000,A381))</f>
        <v/>
      </c>
      <c r="D381">
        <f>IF(A381="","",SUMIF(Donasi!$B$2:$B$20000,A381,Donasi!$C$2:$C$20000))</f>
        <v/>
      </c>
      <c r="E381">
        <f>IF(A381="","",6-CEILING(PERCENTRANK.INC($B$3:$B$6000,B381,4)*5+0.000001,1))</f>
        <v/>
      </c>
      <c r="F381">
        <f>IF(A381="","",MAX(1,CEILING(PERCENTRANK.INC($C$3:$C$6000,C381,4)*5+0.000001,1)))</f>
        <v/>
      </c>
      <c r="G381">
        <f>IF(A381="","",MAX(1,CEILING(PERCENTRANK.INC($D$3:$D$6000,D381,4)*5+0.000001,1)))</f>
        <v/>
      </c>
      <c r="H381">
        <f>IF(A381="","",E381&amp;F381&amp;G381)</f>
        <v/>
      </c>
      <c r="I381">
        <f>IF(A381="","",IF(AND(E381&gt;=4,F381&gt;=4,G381&gt;=4),"Juara",IF(AND(F381&gt;=4,E381&gt;=3),"Setia",IF(AND(E381=5,F381&lt;=2,G381&gt;=3),"Berpotensi",IF(AND(E381&lt;=3,E381&gt;=2,F381&gt;=3),"Rawan",IF(AND(E381&lt;=2,F381&lt;=2),"Tidur","Umum"))))))</f>
        <v/>
      </c>
    </row>
    <row r="382">
      <c r="B382">
        <f>IF(A382="","",$B$1-MAXIFS(Donasi!$A$2:$A$20000,Donasi!$B$2:$B$20000,A382))</f>
        <v/>
      </c>
      <c r="C382">
        <f>IF(A382="","",COUNTIF(Donasi!$B$2:$B$20000,A382))</f>
        <v/>
      </c>
      <c r="D382">
        <f>IF(A382="","",SUMIF(Donasi!$B$2:$B$20000,A382,Donasi!$C$2:$C$20000))</f>
        <v/>
      </c>
      <c r="E382">
        <f>IF(A382="","",6-CEILING(PERCENTRANK.INC($B$3:$B$6000,B382,4)*5+0.000001,1))</f>
        <v/>
      </c>
      <c r="F382">
        <f>IF(A382="","",MAX(1,CEILING(PERCENTRANK.INC($C$3:$C$6000,C382,4)*5+0.000001,1)))</f>
        <v/>
      </c>
      <c r="G382">
        <f>IF(A382="","",MAX(1,CEILING(PERCENTRANK.INC($D$3:$D$6000,D382,4)*5+0.000001,1)))</f>
        <v/>
      </c>
      <c r="H382">
        <f>IF(A382="","",E382&amp;F382&amp;G382)</f>
        <v/>
      </c>
      <c r="I382">
        <f>IF(A382="","",IF(AND(E382&gt;=4,F382&gt;=4,G382&gt;=4),"Juara",IF(AND(F382&gt;=4,E382&gt;=3),"Setia",IF(AND(E382=5,F382&lt;=2,G382&gt;=3),"Berpotensi",IF(AND(E382&lt;=3,E382&gt;=2,F382&gt;=3),"Rawan",IF(AND(E382&lt;=2,F382&lt;=2),"Tidur","Umum"))))))</f>
        <v/>
      </c>
    </row>
    <row r="383">
      <c r="B383">
        <f>IF(A383="","",$B$1-MAXIFS(Donasi!$A$2:$A$20000,Donasi!$B$2:$B$20000,A383))</f>
        <v/>
      </c>
      <c r="C383">
        <f>IF(A383="","",COUNTIF(Donasi!$B$2:$B$20000,A383))</f>
        <v/>
      </c>
      <c r="D383">
        <f>IF(A383="","",SUMIF(Donasi!$B$2:$B$20000,A383,Donasi!$C$2:$C$20000))</f>
        <v/>
      </c>
      <c r="E383">
        <f>IF(A383="","",6-CEILING(PERCENTRANK.INC($B$3:$B$6000,B383,4)*5+0.000001,1))</f>
        <v/>
      </c>
      <c r="F383">
        <f>IF(A383="","",MAX(1,CEILING(PERCENTRANK.INC($C$3:$C$6000,C383,4)*5+0.000001,1)))</f>
        <v/>
      </c>
      <c r="G383">
        <f>IF(A383="","",MAX(1,CEILING(PERCENTRANK.INC($D$3:$D$6000,D383,4)*5+0.000001,1)))</f>
        <v/>
      </c>
      <c r="H383">
        <f>IF(A383="","",E383&amp;F383&amp;G383)</f>
        <v/>
      </c>
      <c r="I383">
        <f>IF(A383="","",IF(AND(E383&gt;=4,F383&gt;=4,G383&gt;=4),"Juara",IF(AND(F383&gt;=4,E383&gt;=3),"Setia",IF(AND(E383=5,F383&lt;=2,G383&gt;=3),"Berpotensi",IF(AND(E383&lt;=3,E383&gt;=2,F383&gt;=3),"Rawan",IF(AND(E383&lt;=2,F383&lt;=2),"Tidur","Umum"))))))</f>
        <v/>
      </c>
    </row>
    <row r="384">
      <c r="B384">
        <f>IF(A384="","",$B$1-MAXIFS(Donasi!$A$2:$A$20000,Donasi!$B$2:$B$20000,A384))</f>
        <v/>
      </c>
      <c r="C384">
        <f>IF(A384="","",COUNTIF(Donasi!$B$2:$B$20000,A384))</f>
        <v/>
      </c>
      <c r="D384">
        <f>IF(A384="","",SUMIF(Donasi!$B$2:$B$20000,A384,Donasi!$C$2:$C$20000))</f>
        <v/>
      </c>
      <c r="E384">
        <f>IF(A384="","",6-CEILING(PERCENTRANK.INC($B$3:$B$6000,B384,4)*5+0.000001,1))</f>
        <v/>
      </c>
      <c r="F384">
        <f>IF(A384="","",MAX(1,CEILING(PERCENTRANK.INC($C$3:$C$6000,C384,4)*5+0.000001,1)))</f>
        <v/>
      </c>
      <c r="G384">
        <f>IF(A384="","",MAX(1,CEILING(PERCENTRANK.INC($D$3:$D$6000,D384,4)*5+0.000001,1)))</f>
        <v/>
      </c>
      <c r="H384">
        <f>IF(A384="","",E384&amp;F384&amp;G384)</f>
        <v/>
      </c>
      <c r="I384">
        <f>IF(A384="","",IF(AND(E384&gt;=4,F384&gt;=4,G384&gt;=4),"Juara",IF(AND(F384&gt;=4,E384&gt;=3),"Setia",IF(AND(E384=5,F384&lt;=2,G384&gt;=3),"Berpotensi",IF(AND(E384&lt;=3,E384&gt;=2,F384&gt;=3),"Rawan",IF(AND(E384&lt;=2,F384&lt;=2),"Tidur","Umum"))))))</f>
        <v/>
      </c>
    </row>
    <row r="385">
      <c r="B385">
        <f>IF(A385="","",$B$1-MAXIFS(Donasi!$A$2:$A$20000,Donasi!$B$2:$B$20000,A385))</f>
        <v/>
      </c>
      <c r="C385">
        <f>IF(A385="","",COUNTIF(Donasi!$B$2:$B$20000,A385))</f>
        <v/>
      </c>
      <c r="D385">
        <f>IF(A385="","",SUMIF(Donasi!$B$2:$B$20000,A385,Donasi!$C$2:$C$20000))</f>
        <v/>
      </c>
      <c r="E385">
        <f>IF(A385="","",6-CEILING(PERCENTRANK.INC($B$3:$B$6000,B385,4)*5+0.000001,1))</f>
        <v/>
      </c>
      <c r="F385">
        <f>IF(A385="","",MAX(1,CEILING(PERCENTRANK.INC($C$3:$C$6000,C385,4)*5+0.000001,1)))</f>
        <v/>
      </c>
      <c r="G385">
        <f>IF(A385="","",MAX(1,CEILING(PERCENTRANK.INC($D$3:$D$6000,D385,4)*5+0.000001,1)))</f>
        <v/>
      </c>
      <c r="H385">
        <f>IF(A385="","",E385&amp;F385&amp;G385)</f>
        <v/>
      </c>
      <c r="I385">
        <f>IF(A385="","",IF(AND(E385&gt;=4,F385&gt;=4,G385&gt;=4),"Juara",IF(AND(F385&gt;=4,E385&gt;=3),"Setia",IF(AND(E385=5,F385&lt;=2,G385&gt;=3),"Berpotensi",IF(AND(E385&lt;=3,E385&gt;=2,F385&gt;=3),"Rawan",IF(AND(E385&lt;=2,F385&lt;=2),"Tidur","Umum"))))))</f>
        <v/>
      </c>
    </row>
    <row r="386">
      <c r="B386">
        <f>IF(A386="","",$B$1-MAXIFS(Donasi!$A$2:$A$20000,Donasi!$B$2:$B$20000,A386))</f>
        <v/>
      </c>
      <c r="C386">
        <f>IF(A386="","",COUNTIF(Donasi!$B$2:$B$20000,A386))</f>
        <v/>
      </c>
      <c r="D386">
        <f>IF(A386="","",SUMIF(Donasi!$B$2:$B$20000,A386,Donasi!$C$2:$C$20000))</f>
        <v/>
      </c>
      <c r="E386">
        <f>IF(A386="","",6-CEILING(PERCENTRANK.INC($B$3:$B$6000,B386,4)*5+0.000001,1))</f>
        <v/>
      </c>
      <c r="F386">
        <f>IF(A386="","",MAX(1,CEILING(PERCENTRANK.INC($C$3:$C$6000,C386,4)*5+0.000001,1)))</f>
        <v/>
      </c>
      <c r="G386">
        <f>IF(A386="","",MAX(1,CEILING(PERCENTRANK.INC($D$3:$D$6000,D386,4)*5+0.000001,1)))</f>
        <v/>
      </c>
      <c r="H386">
        <f>IF(A386="","",E386&amp;F386&amp;G386)</f>
        <v/>
      </c>
      <c r="I386">
        <f>IF(A386="","",IF(AND(E386&gt;=4,F386&gt;=4,G386&gt;=4),"Juara",IF(AND(F386&gt;=4,E386&gt;=3),"Setia",IF(AND(E386=5,F386&lt;=2,G386&gt;=3),"Berpotensi",IF(AND(E386&lt;=3,E386&gt;=2,F386&gt;=3),"Rawan",IF(AND(E386&lt;=2,F386&lt;=2),"Tidur","Umum"))))))</f>
        <v/>
      </c>
    </row>
    <row r="387">
      <c r="B387">
        <f>IF(A387="","",$B$1-MAXIFS(Donasi!$A$2:$A$20000,Donasi!$B$2:$B$20000,A387))</f>
        <v/>
      </c>
      <c r="C387">
        <f>IF(A387="","",COUNTIF(Donasi!$B$2:$B$20000,A387))</f>
        <v/>
      </c>
      <c r="D387">
        <f>IF(A387="","",SUMIF(Donasi!$B$2:$B$20000,A387,Donasi!$C$2:$C$20000))</f>
        <v/>
      </c>
      <c r="E387">
        <f>IF(A387="","",6-CEILING(PERCENTRANK.INC($B$3:$B$6000,B387,4)*5+0.000001,1))</f>
        <v/>
      </c>
      <c r="F387">
        <f>IF(A387="","",MAX(1,CEILING(PERCENTRANK.INC($C$3:$C$6000,C387,4)*5+0.000001,1)))</f>
        <v/>
      </c>
      <c r="G387">
        <f>IF(A387="","",MAX(1,CEILING(PERCENTRANK.INC($D$3:$D$6000,D387,4)*5+0.000001,1)))</f>
        <v/>
      </c>
      <c r="H387">
        <f>IF(A387="","",E387&amp;F387&amp;G387)</f>
        <v/>
      </c>
      <c r="I387">
        <f>IF(A387="","",IF(AND(E387&gt;=4,F387&gt;=4,G387&gt;=4),"Juara",IF(AND(F387&gt;=4,E387&gt;=3),"Setia",IF(AND(E387=5,F387&lt;=2,G387&gt;=3),"Berpotensi",IF(AND(E387&lt;=3,E387&gt;=2,F387&gt;=3),"Rawan",IF(AND(E387&lt;=2,F387&lt;=2),"Tidur","Umum"))))))</f>
        <v/>
      </c>
    </row>
    <row r="388">
      <c r="B388">
        <f>IF(A388="","",$B$1-MAXIFS(Donasi!$A$2:$A$20000,Donasi!$B$2:$B$20000,A388))</f>
        <v/>
      </c>
      <c r="C388">
        <f>IF(A388="","",COUNTIF(Donasi!$B$2:$B$20000,A388))</f>
        <v/>
      </c>
      <c r="D388">
        <f>IF(A388="","",SUMIF(Donasi!$B$2:$B$20000,A388,Donasi!$C$2:$C$20000))</f>
        <v/>
      </c>
      <c r="E388">
        <f>IF(A388="","",6-CEILING(PERCENTRANK.INC($B$3:$B$6000,B388,4)*5+0.000001,1))</f>
        <v/>
      </c>
      <c r="F388">
        <f>IF(A388="","",MAX(1,CEILING(PERCENTRANK.INC($C$3:$C$6000,C388,4)*5+0.000001,1)))</f>
        <v/>
      </c>
      <c r="G388">
        <f>IF(A388="","",MAX(1,CEILING(PERCENTRANK.INC($D$3:$D$6000,D388,4)*5+0.000001,1)))</f>
        <v/>
      </c>
      <c r="H388">
        <f>IF(A388="","",E388&amp;F388&amp;G388)</f>
        <v/>
      </c>
      <c r="I388">
        <f>IF(A388="","",IF(AND(E388&gt;=4,F388&gt;=4,G388&gt;=4),"Juara",IF(AND(F388&gt;=4,E388&gt;=3),"Setia",IF(AND(E388=5,F388&lt;=2,G388&gt;=3),"Berpotensi",IF(AND(E388&lt;=3,E388&gt;=2,F388&gt;=3),"Rawan",IF(AND(E388&lt;=2,F388&lt;=2),"Tidur","Umum"))))))</f>
        <v/>
      </c>
    </row>
    <row r="389">
      <c r="B389">
        <f>IF(A389="","",$B$1-MAXIFS(Donasi!$A$2:$A$20000,Donasi!$B$2:$B$20000,A389))</f>
        <v/>
      </c>
      <c r="C389">
        <f>IF(A389="","",COUNTIF(Donasi!$B$2:$B$20000,A389))</f>
        <v/>
      </c>
      <c r="D389">
        <f>IF(A389="","",SUMIF(Donasi!$B$2:$B$20000,A389,Donasi!$C$2:$C$20000))</f>
        <v/>
      </c>
      <c r="E389">
        <f>IF(A389="","",6-CEILING(PERCENTRANK.INC($B$3:$B$6000,B389,4)*5+0.000001,1))</f>
        <v/>
      </c>
      <c r="F389">
        <f>IF(A389="","",MAX(1,CEILING(PERCENTRANK.INC($C$3:$C$6000,C389,4)*5+0.000001,1)))</f>
        <v/>
      </c>
      <c r="G389">
        <f>IF(A389="","",MAX(1,CEILING(PERCENTRANK.INC($D$3:$D$6000,D389,4)*5+0.000001,1)))</f>
        <v/>
      </c>
      <c r="H389">
        <f>IF(A389="","",E389&amp;F389&amp;G389)</f>
        <v/>
      </c>
      <c r="I389">
        <f>IF(A389="","",IF(AND(E389&gt;=4,F389&gt;=4,G389&gt;=4),"Juara",IF(AND(F389&gt;=4,E389&gt;=3),"Setia",IF(AND(E389=5,F389&lt;=2,G389&gt;=3),"Berpotensi",IF(AND(E389&lt;=3,E389&gt;=2,F389&gt;=3),"Rawan",IF(AND(E389&lt;=2,F389&lt;=2),"Tidur","Umum"))))))</f>
        <v/>
      </c>
    </row>
    <row r="390">
      <c r="B390">
        <f>IF(A390="","",$B$1-MAXIFS(Donasi!$A$2:$A$20000,Donasi!$B$2:$B$20000,A390))</f>
        <v/>
      </c>
      <c r="C390">
        <f>IF(A390="","",COUNTIF(Donasi!$B$2:$B$20000,A390))</f>
        <v/>
      </c>
      <c r="D390">
        <f>IF(A390="","",SUMIF(Donasi!$B$2:$B$20000,A390,Donasi!$C$2:$C$20000))</f>
        <v/>
      </c>
      <c r="E390">
        <f>IF(A390="","",6-CEILING(PERCENTRANK.INC($B$3:$B$6000,B390,4)*5+0.000001,1))</f>
        <v/>
      </c>
      <c r="F390">
        <f>IF(A390="","",MAX(1,CEILING(PERCENTRANK.INC($C$3:$C$6000,C390,4)*5+0.000001,1)))</f>
        <v/>
      </c>
      <c r="G390">
        <f>IF(A390="","",MAX(1,CEILING(PERCENTRANK.INC($D$3:$D$6000,D390,4)*5+0.000001,1)))</f>
        <v/>
      </c>
      <c r="H390">
        <f>IF(A390="","",E390&amp;F390&amp;G390)</f>
        <v/>
      </c>
      <c r="I390">
        <f>IF(A390="","",IF(AND(E390&gt;=4,F390&gt;=4,G390&gt;=4),"Juara",IF(AND(F390&gt;=4,E390&gt;=3),"Setia",IF(AND(E390=5,F390&lt;=2,G390&gt;=3),"Berpotensi",IF(AND(E390&lt;=3,E390&gt;=2,F390&gt;=3),"Rawan",IF(AND(E390&lt;=2,F390&lt;=2),"Tidur","Umum"))))))</f>
        <v/>
      </c>
    </row>
    <row r="391">
      <c r="B391">
        <f>IF(A391="","",$B$1-MAXIFS(Donasi!$A$2:$A$20000,Donasi!$B$2:$B$20000,A391))</f>
        <v/>
      </c>
      <c r="C391">
        <f>IF(A391="","",COUNTIF(Donasi!$B$2:$B$20000,A391))</f>
        <v/>
      </c>
      <c r="D391">
        <f>IF(A391="","",SUMIF(Donasi!$B$2:$B$20000,A391,Donasi!$C$2:$C$20000))</f>
        <v/>
      </c>
      <c r="E391">
        <f>IF(A391="","",6-CEILING(PERCENTRANK.INC($B$3:$B$6000,B391,4)*5+0.000001,1))</f>
        <v/>
      </c>
      <c r="F391">
        <f>IF(A391="","",MAX(1,CEILING(PERCENTRANK.INC($C$3:$C$6000,C391,4)*5+0.000001,1)))</f>
        <v/>
      </c>
      <c r="G391">
        <f>IF(A391="","",MAX(1,CEILING(PERCENTRANK.INC($D$3:$D$6000,D391,4)*5+0.000001,1)))</f>
        <v/>
      </c>
      <c r="H391">
        <f>IF(A391="","",E391&amp;F391&amp;G391)</f>
        <v/>
      </c>
      <c r="I391">
        <f>IF(A391="","",IF(AND(E391&gt;=4,F391&gt;=4,G391&gt;=4),"Juara",IF(AND(F391&gt;=4,E391&gt;=3),"Setia",IF(AND(E391=5,F391&lt;=2,G391&gt;=3),"Berpotensi",IF(AND(E391&lt;=3,E391&gt;=2,F391&gt;=3),"Rawan",IF(AND(E391&lt;=2,F391&lt;=2),"Tidur","Umum"))))))</f>
        <v/>
      </c>
    </row>
    <row r="392">
      <c r="B392">
        <f>IF(A392="","",$B$1-MAXIFS(Donasi!$A$2:$A$20000,Donasi!$B$2:$B$20000,A392))</f>
        <v/>
      </c>
      <c r="C392">
        <f>IF(A392="","",COUNTIF(Donasi!$B$2:$B$20000,A392))</f>
        <v/>
      </c>
      <c r="D392">
        <f>IF(A392="","",SUMIF(Donasi!$B$2:$B$20000,A392,Donasi!$C$2:$C$20000))</f>
        <v/>
      </c>
      <c r="E392">
        <f>IF(A392="","",6-CEILING(PERCENTRANK.INC($B$3:$B$6000,B392,4)*5+0.000001,1))</f>
        <v/>
      </c>
      <c r="F392">
        <f>IF(A392="","",MAX(1,CEILING(PERCENTRANK.INC($C$3:$C$6000,C392,4)*5+0.000001,1)))</f>
        <v/>
      </c>
      <c r="G392">
        <f>IF(A392="","",MAX(1,CEILING(PERCENTRANK.INC($D$3:$D$6000,D392,4)*5+0.000001,1)))</f>
        <v/>
      </c>
      <c r="H392">
        <f>IF(A392="","",E392&amp;F392&amp;G392)</f>
        <v/>
      </c>
      <c r="I392">
        <f>IF(A392="","",IF(AND(E392&gt;=4,F392&gt;=4,G392&gt;=4),"Juara",IF(AND(F392&gt;=4,E392&gt;=3),"Setia",IF(AND(E392=5,F392&lt;=2,G392&gt;=3),"Berpotensi",IF(AND(E392&lt;=3,E392&gt;=2,F392&gt;=3),"Rawan",IF(AND(E392&lt;=2,F392&lt;=2),"Tidur","Umum"))))))</f>
        <v/>
      </c>
    </row>
    <row r="393">
      <c r="B393">
        <f>IF(A393="","",$B$1-MAXIFS(Donasi!$A$2:$A$20000,Donasi!$B$2:$B$20000,A393))</f>
        <v/>
      </c>
      <c r="C393">
        <f>IF(A393="","",COUNTIF(Donasi!$B$2:$B$20000,A393))</f>
        <v/>
      </c>
      <c r="D393">
        <f>IF(A393="","",SUMIF(Donasi!$B$2:$B$20000,A393,Donasi!$C$2:$C$20000))</f>
        <v/>
      </c>
      <c r="E393">
        <f>IF(A393="","",6-CEILING(PERCENTRANK.INC($B$3:$B$6000,B393,4)*5+0.000001,1))</f>
        <v/>
      </c>
      <c r="F393">
        <f>IF(A393="","",MAX(1,CEILING(PERCENTRANK.INC($C$3:$C$6000,C393,4)*5+0.000001,1)))</f>
        <v/>
      </c>
      <c r="G393">
        <f>IF(A393="","",MAX(1,CEILING(PERCENTRANK.INC($D$3:$D$6000,D393,4)*5+0.000001,1)))</f>
        <v/>
      </c>
      <c r="H393">
        <f>IF(A393="","",E393&amp;F393&amp;G393)</f>
        <v/>
      </c>
      <c r="I393">
        <f>IF(A393="","",IF(AND(E393&gt;=4,F393&gt;=4,G393&gt;=4),"Juara",IF(AND(F393&gt;=4,E393&gt;=3),"Setia",IF(AND(E393=5,F393&lt;=2,G393&gt;=3),"Berpotensi",IF(AND(E393&lt;=3,E393&gt;=2,F393&gt;=3),"Rawan",IF(AND(E393&lt;=2,F393&lt;=2),"Tidur","Umum"))))))</f>
        <v/>
      </c>
    </row>
    <row r="394">
      <c r="B394">
        <f>IF(A394="","",$B$1-MAXIFS(Donasi!$A$2:$A$20000,Donasi!$B$2:$B$20000,A394))</f>
        <v/>
      </c>
      <c r="C394">
        <f>IF(A394="","",COUNTIF(Donasi!$B$2:$B$20000,A394))</f>
        <v/>
      </c>
      <c r="D394">
        <f>IF(A394="","",SUMIF(Donasi!$B$2:$B$20000,A394,Donasi!$C$2:$C$20000))</f>
        <v/>
      </c>
      <c r="E394">
        <f>IF(A394="","",6-CEILING(PERCENTRANK.INC($B$3:$B$6000,B394,4)*5+0.000001,1))</f>
        <v/>
      </c>
      <c r="F394">
        <f>IF(A394="","",MAX(1,CEILING(PERCENTRANK.INC($C$3:$C$6000,C394,4)*5+0.000001,1)))</f>
        <v/>
      </c>
      <c r="G394">
        <f>IF(A394="","",MAX(1,CEILING(PERCENTRANK.INC($D$3:$D$6000,D394,4)*5+0.000001,1)))</f>
        <v/>
      </c>
      <c r="H394">
        <f>IF(A394="","",E394&amp;F394&amp;G394)</f>
        <v/>
      </c>
      <c r="I394">
        <f>IF(A394="","",IF(AND(E394&gt;=4,F394&gt;=4,G394&gt;=4),"Juara",IF(AND(F394&gt;=4,E394&gt;=3),"Setia",IF(AND(E394=5,F394&lt;=2,G394&gt;=3),"Berpotensi",IF(AND(E394&lt;=3,E394&gt;=2,F394&gt;=3),"Rawan",IF(AND(E394&lt;=2,F394&lt;=2),"Tidur","Umum"))))))</f>
        <v/>
      </c>
    </row>
    <row r="395">
      <c r="B395">
        <f>IF(A395="","",$B$1-MAXIFS(Donasi!$A$2:$A$20000,Donasi!$B$2:$B$20000,A395))</f>
        <v/>
      </c>
      <c r="C395">
        <f>IF(A395="","",COUNTIF(Donasi!$B$2:$B$20000,A395))</f>
        <v/>
      </c>
      <c r="D395">
        <f>IF(A395="","",SUMIF(Donasi!$B$2:$B$20000,A395,Donasi!$C$2:$C$20000))</f>
        <v/>
      </c>
      <c r="E395">
        <f>IF(A395="","",6-CEILING(PERCENTRANK.INC($B$3:$B$6000,B395,4)*5+0.000001,1))</f>
        <v/>
      </c>
      <c r="F395">
        <f>IF(A395="","",MAX(1,CEILING(PERCENTRANK.INC($C$3:$C$6000,C395,4)*5+0.000001,1)))</f>
        <v/>
      </c>
      <c r="G395">
        <f>IF(A395="","",MAX(1,CEILING(PERCENTRANK.INC($D$3:$D$6000,D395,4)*5+0.000001,1)))</f>
        <v/>
      </c>
      <c r="H395">
        <f>IF(A395="","",E395&amp;F395&amp;G395)</f>
        <v/>
      </c>
      <c r="I395">
        <f>IF(A395="","",IF(AND(E395&gt;=4,F395&gt;=4,G395&gt;=4),"Juara",IF(AND(F395&gt;=4,E395&gt;=3),"Setia",IF(AND(E395=5,F395&lt;=2,G395&gt;=3),"Berpotensi",IF(AND(E395&lt;=3,E395&gt;=2,F395&gt;=3),"Rawan",IF(AND(E395&lt;=2,F395&lt;=2),"Tidur","Umum"))))))</f>
        <v/>
      </c>
    </row>
    <row r="396">
      <c r="B396">
        <f>IF(A396="","",$B$1-MAXIFS(Donasi!$A$2:$A$20000,Donasi!$B$2:$B$20000,A396))</f>
        <v/>
      </c>
      <c r="C396">
        <f>IF(A396="","",COUNTIF(Donasi!$B$2:$B$20000,A396))</f>
        <v/>
      </c>
      <c r="D396">
        <f>IF(A396="","",SUMIF(Donasi!$B$2:$B$20000,A396,Donasi!$C$2:$C$20000))</f>
        <v/>
      </c>
      <c r="E396">
        <f>IF(A396="","",6-CEILING(PERCENTRANK.INC($B$3:$B$6000,B396,4)*5+0.000001,1))</f>
        <v/>
      </c>
      <c r="F396">
        <f>IF(A396="","",MAX(1,CEILING(PERCENTRANK.INC($C$3:$C$6000,C396,4)*5+0.000001,1)))</f>
        <v/>
      </c>
      <c r="G396">
        <f>IF(A396="","",MAX(1,CEILING(PERCENTRANK.INC($D$3:$D$6000,D396,4)*5+0.000001,1)))</f>
        <v/>
      </c>
      <c r="H396">
        <f>IF(A396="","",E396&amp;F396&amp;G396)</f>
        <v/>
      </c>
      <c r="I396">
        <f>IF(A396="","",IF(AND(E396&gt;=4,F396&gt;=4,G396&gt;=4),"Juara",IF(AND(F396&gt;=4,E396&gt;=3),"Setia",IF(AND(E396=5,F396&lt;=2,G396&gt;=3),"Berpotensi",IF(AND(E396&lt;=3,E396&gt;=2,F396&gt;=3),"Rawan",IF(AND(E396&lt;=2,F396&lt;=2),"Tidur","Umum"))))))</f>
        <v/>
      </c>
    </row>
    <row r="397">
      <c r="B397">
        <f>IF(A397="","",$B$1-MAXIFS(Donasi!$A$2:$A$20000,Donasi!$B$2:$B$20000,A397))</f>
        <v/>
      </c>
      <c r="C397">
        <f>IF(A397="","",COUNTIF(Donasi!$B$2:$B$20000,A397))</f>
        <v/>
      </c>
      <c r="D397">
        <f>IF(A397="","",SUMIF(Donasi!$B$2:$B$20000,A397,Donasi!$C$2:$C$20000))</f>
        <v/>
      </c>
      <c r="E397">
        <f>IF(A397="","",6-CEILING(PERCENTRANK.INC($B$3:$B$6000,B397,4)*5+0.000001,1))</f>
        <v/>
      </c>
      <c r="F397">
        <f>IF(A397="","",MAX(1,CEILING(PERCENTRANK.INC($C$3:$C$6000,C397,4)*5+0.000001,1)))</f>
        <v/>
      </c>
      <c r="G397">
        <f>IF(A397="","",MAX(1,CEILING(PERCENTRANK.INC($D$3:$D$6000,D397,4)*5+0.000001,1)))</f>
        <v/>
      </c>
      <c r="H397">
        <f>IF(A397="","",E397&amp;F397&amp;G397)</f>
        <v/>
      </c>
      <c r="I397">
        <f>IF(A397="","",IF(AND(E397&gt;=4,F397&gt;=4,G397&gt;=4),"Juara",IF(AND(F397&gt;=4,E397&gt;=3),"Setia",IF(AND(E397=5,F397&lt;=2,G397&gt;=3),"Berpotensi",IF(AND(E397&lt;=3,E397&gt;=2,F397&gt;=3),"Rawan",IF(AND(E397&lt;=2,F397&lt;=2),"Tidur","Umum"))))))</f>
        <v/>
      </c>
    </row>
    <row r="398">
      <c r="B398">
        <f>IF(A398="","",$B$1-MAXIFS(Donasi!$A$2:$A$20000,Donasi!$B$2:$B$20000,A398))</f>
        <v/>
      </c>
      <c r="C398">
        <f>IF(A398="","",COUNTIF(Donasi!$B$2:$B$20000,A398))</f>
        <v/>
      </c>
      <c r="D398">
        <f>IF(A398="","",SUMIF(Donasi!$B$2:$B$20000,A398,Donasi!$C$2:$C$20000))</f>
        <v/>
      </c>
      <c r="E398">
        <f>IF(A398="","",6-CEILING(PERCENTRANK.INC($B$3:$B$6000,B398,4)*5+0.000001,1))</f>
        <v/>
      </c>
      <c r="F398">
        <f>IF(A398="","",MAX(1,CEILING(PERCENTRANK.INC($C$3:$C$6000,C398,4)*5+0.000001,1)))</f>
        <v/>
      </c>
      <c r="G398">
        <f>IF(A398="","",MAX(1,CEILING(PERCENTRANK.INC($D$3:$D$6000,D398,4)*5+0.000001,1)))</f>
        <v/>
      </c>
      <c r="H398">
        <f>IF(A398="","",E398&amp;F398&amp;G398)</f>
        <v/>
      </c>
      <c r="I398">
        <f>IF(A398="","",IF(AND(E398&gt;=4,F398&gt;=4,G398&gt;=4),"Juara",IF(AND(F398&gt;=4,E398&gt;=3),"Setia",IF(AND(E398=5,F398&lt;=2,G398&gt;=3),"Berpotensi",IF(AND(E398&lt;=3,E398&gt;=2,F398&gt;=3),"Rawan",IF(AND(E398&lt;=2,F398&lt;=2),"Tidur","Umum"))))))</f>
        <v/>
      </c>
    </row>
    <row r="399">
      <c r="B399">
        <f>IF(A399="","",$B$1-MAXIFS(Donasi!$A$2:$A$20000,Donasi!$B$2:$B$20000,A399))</f>
        <v/>
      </c>
      <c r="C399">
        <f>IF(A399="","",COUNTIF(Donasi!$B$2:$B$20000,A399))</f>
        <v/>
      </c>
      <c r="D399">
        <f>IF(A399="","",SUMIF(Donasi!$B$2:$B$20000,A399,Donasi!$C$2:$C$20000))</f>
        <v/>
      </c>
      <c r="E399">
        <f>IF(A399="","",6-CEILING(PERCENTRANK.INC($B$3:$B$6000,B399,4)*5+0.000001,1))</f>
        <v/>
      </c>
      <c r="F399">
        <f>IF(A399="","",MAX(1,CEILING(PERCENTRANK.INC($C$3:$C$6000,C399,4)*5+0.000001,1)))</f>
        <v/>
      </c>
      <c r="G399">
        <f>IF(A399="","",MAX(1,CEILING(PERCENTRANK.INC($D$3:$D$6000,D399,4)*5+0.000001,1)))</f>
        <v/>
      </c>
      <c r="H399">
        <f>IF(A399="","",E399&amp;F399&amp;G399)</f>
        <v/>
      </c>
      <c r="I399">
        <f>IF(A399="","",IF(AND(E399&gt;=4,F399&gt;=4,G399&gt;=4),"Juara",IF(AND(F399&gt;=4,E399&gt;=3),"Setia",IF(AND(E399=5,F399&lt;=2,G399&gt;=3),"Berpotensi",IF(AND(E399&lt;=3,E399&gt;=2,F399&gt;=3),"Rawan",IF(AND(E399&lt;=2,F399&lt;=2),"Tidur","Umum"))))))</f>
        <v/>
      </c>
    </row>
    <row r="400">
      <c r="B400">
        <f>IF(A400="","",$B$1-MAXIFS(Donasi!$A$2:$A$20000,Donasi!$B$2:$B$20000,A400))</f>
        <v/>
      </c>
      <c r="C400">
        <f>IF(A400="","",COUNTIF(Donasi!$B$2:$B$20000,A400))</f>
        <v/>
      </c>
      <c r="D400">
        <f>IF(A400="","",SUMIF(Donasi!$B$2:$B$20000,A400,Donasi!$C$2:$C$20000))</f>
        <v/>
      </c>
      <c r="E400">
        <f>IF(A400="","",6-CEILING(PERCENTRANK.INC($B$3:$B$6000,B400,4)*5+0.000001,1))</f>
        <v/>
      </c>
      <c r="F400">
        <f>IF(A400="","",MAX(1,CEILING(PERCENTRANK.INC($C$3:$C$6000,C400,4)*5+0.000001,1)))</f>
        <v/>
      </c>
      <c r="G400">
        <f>IF(A400="","",MAX(1,CEILING(PERCENTRANK.INC($D$3:$D$6000,D400,4)*5+0.000001,1)))</f>
        <v/>
      </c>
      <c r="H400">
        <f>IF(A400="","",E400&amp;F400&amp;G400)</f>
        <v/>
      </c>
      <c r="I400">
        <f>IF(A400="","",IF(AND(E400&gt;=4,F400&gt;=4,G400&gt;=4),"Juara",IF(AND(F400&gt;=4,E400&gt;=3),"Setia",IF(AND(E400=5,F400&lt;=2,G400&gt;=3),"Berpotensi",IF(AND(E400&lt;=3,E400&gt;=2,F400&gt;=3),"Rawan",IF(AND(E400&lt;=2,F400&lt;=2),"Tidur","Umum"))))))</f>
        <v/>
      </c>
    </row>
    <row r="401">
      <c r="B401">
        <f>IF(A401="","",$B$1-MAXIFS(Donasi!$A$2:$A$20000,Donasi!$B$2:$B$20000,A401))</f>
        <v/>
      </c>
      <c r="C401">
        <f>IF(A401="","",COUNTIF(Donasi!$B$2:$B$20000,A401))</f>
        <v/>
      </c>
      <c r="D401">
        <f>IF(A401="","",SUMIF(Donasi!$B$2:$B$20000,A401,Donasi!$C$2:$C$20000))</f>
        <v/>
      </c>
      <c r="E401">
        <f>IF(A401="","",6-CEILING(PERCENTRANK.INC($B$3:$B$6000,B401,4)*5+0.000001,1))</f>
        <v/>
      </c>
      <c r="F401">
        <f>IF(A401="","",MAX(1,CEILING(PERCENTRANK.INC($C$3:$C$6000,C401,4)*5+0.000001,1)))</f>
        <v/>
      </c>
      <c r="G401">
        <f>IF(A401="","",MAX(1,CEILING(PERCENTRANK.INC($D$3:$D$6000,D401,4)*5+0.000001,1)))</f>
        <v/>
      </c>
      <c r="H401">
        <f>IF(A401="","",E401&amp;F401&amp;G401)</f>
        <v/>
      </c>
      <c r="I401">
        <f>IF(A401="","",IF(AND(E401&gt;=4,F401&gt;=4,G401&gt;=4),"Juara",IF(AND(F401&gt;=4,E401&gt;=3),"Setia",IF(AND(E401=5,F401&lt;=2,G401&gt;=3),"Berpotensi",IF(AND(E401&lt;=3,E401&gt;=2,F401&gt;=3),"Rawan",IF(AND(E401&lt;=2,F401&lt;=2),"Tidur","Umum"))))))</f>
        <v/>
      </c>
    </row>
    <row r="402">
      <c r="B402">
        <f>IF(A402="","",$B$1-MAXIFS(Donasi!$A$2:$A$20000,Donasi!$B$2:$B$20000,A402))</f>
        <v/>
      </c>
      <c r="C402">
        <f>IF(A402="","",COUNTIF(Donasi!$B$2:$B$20000,A402))</f>
        <v/>
      </c>
      <c r="D402">
        <f>IF(A402="","",SUMIF(Donasi!$B$2:$B$20000,A402,Donasi!$C$2:$C$20000))</f>
        <v/>
      </c>
      <c r="E402">
        <f>IF(A402="","",6-CEILING(PERCENTRANK.INC($B$3:$B$6000,B402,4)*5+0.000001,1))</f>
        <v/>
      </c>
      <c r="F402">
        <f>IF(A402="","",MAX(1,CEILING(PERCENTRANK.INC($C$3:$C$6000,C402,4)*5+0.000001,1)))</f>
        <v/>
      </c>
      <c r="G402">
        <f>IF(A402="","",MAX(1,CEILING(PERCENTRANK.INC($D$3:$D$6000,D402,4)*5+0.000001,1)))</f>
        <v/>
      </c>
      <c r="H402">
        <f>IF(A402="","",E402&amp;F402&amp;G402)</f>
        <v/>
      </c>
      <c r="I402">
        <f>IF(A402="","",IF(AND(E402&gt;=4,F402&gt;=4,G402&gt;=4),"Juara",IF(AND(F402&gt;=4,E402&gt;=3),"Setia",IF(AND(E402=5,F402&lt;=2,G402&gt;=3),"Berpotensi",IF(AND(E402&lt;=3,E402&gt;=2,F402&gt;=3),"Rawan",IF(AND(E402&lt;=2,F402&lt;=2),"Tidur","Umum"))))))</f>
        <v/>
      </c>
    </row>
    <row r="403">
      <c r="B403">
        <f>IF(A403="","",$B$1-MAXIFS(Donasi!$A$2:$A$20000,Donasi!$B$2:$B$20000,A403))</f>
        <v/>
      </c>
      <c r="C403">
        <f>IF(A403="","",COUNTIF(Donasi!$B$2:$B$20000,A403))</f>
        <v/>
      </c>
      <c r="D403">
        <f>IF(A403="","",SUMIF(Donasi!$B$2:$B$20000,A403,Donasi!$C$2:$C$20000))</f>
        <v/>
      </c>
      <c r="E403">
        <f>IF(A403="","",6-CEILING(PERCENTRANK.INC($B$3:$B$6000,B403,4)*5+0.000001,1))</f>
        <v/>
      </c>
      <c r="F403">
        <f>IF(A403="","",MAX(1,CEILING(PERCENTRANK.INC($C$3:$C$6000,C403,4)*5+0.000001,1)))</f>
        <v/>
      </c>
      <c r="G403">
        <f>IF(A403="","",MAX(1,CEILING(PERCENTRANK.INC($D$3:$D$6000,D403,4)*5+0.000001,1)))</f>
        <v/>
      </c>
      <c r="H403">
        <f>IF(A403="","",E403&amp;F403&amp;G403)</f>
        <v/>
      </c>
      <c r="I403">
        <f>IF(A403="","",IF(AND(E403&gt;=4,F403&gt;=4,G403&gt;=4),"Juara",IF(AND(F403&gt;=4,E403&gt;=3),"Setia",IF(AND(E403=5,F403&lt;=2,G403&gt;=3),"Berpotensi",IF(AND(E403&lt;=3,E403&gt;=2,F403&gt;=3),"Rawan",IF(AND(E403&lt;=2,F403&lt;=2),"Tidur","Umum"))))))</f>
        <v/>
      </c>
    </row>
    <row r="404">
      <c r="B404">
        <f>IF(A404="","",$B$1-MAXIFS(Donasi!$A$2:$A$20000,Donasi!$B$2:$B$20000,A404))</f>
        <v/>
      </c>
      <c r="C404">
        <f>IF(A404="","",COUNTIF(Donasi!$B$2:$B$20000,A404))</f>
        <v/>
      </c>
      <c r="D404">
        <f>IF(A404="","",SUMIF(Donasi!$B$2:$B$20000,A404,Donasi!$C$2:$C$20000))</f>
        <v/>
      </c>
      <c r="E404">
        <f>IF(A404="","",6-CEILING(PERCENTRANK.INC($B$3:$B$6000,B404,4)*5+0.000001,1))</f>
        <v/>
      </c>
      <c r="F404">
        <f>IF(A404="","",MAX(1,CEILING(PERCENTRANK.INC($C$3:$C$6000,C404,4)*5+0.000001,1)))</f>
        <v/>
      </c>
      <c r="G404">
        <f>IF(A404="","",MAX(1,CEILING(PERCENTRANK.INC($D$3:$D$6000,D404,4)*5+0.000001,1)))</f>
        <v/>
      </c>
      <c r="H404">
        <f>IF(A404="","",E404&amp;F404&amp;G404)</f>
        <v/>
      </c>
      <c r="I404">
        <f>IF(A404="","",IF(AND(E404&gt;=4,F404&gt;=4,G404&gt;=4),"Juara",IF(AND(F404&gt;=4,E404&gt;=3),"Setia",IF(AND(E404=5,F404&lt;=2,G404&gt;=3),"Berpotensi",IF(AND(E404&lt;=3,E404&gt;=2,F404&gt;=3),"Rawan",IF(AND(E404&lt;=2,F404&lt;=2),"Tidur","Umum"))))))</f>
        <v/>
      </c>
    </row>
    <row r="405">
      <c r="B405">
        <f>IF(A405="","",$B$1-MAXIFS(Donasi!$A$2:$A$20000,Donasi!$B$2:$B$20000,A405))</f>
        <v/>
      </c>
      <c r="C405">
        <f>IF(A405="","",COUNTIF(Donasi!$B$2:$B$20000,A405))</f>
        <v/>
      </c>
      <c r="D405">
        <f>IF(A405="","",SUMIF(Donasi!$B$2:$B$20000,A405,Donasi!$C$2:$C$20000))</f>
        <v/>
      </c>
      <c r="E405">
        <f>IF(A405="","",6-CEILING(PERCENTRANK.INC($B$3:$B$6000,B405,4)*5+0.000001,1))</f>
        <v/>
      </c>
      <c r="F405">
        <f>IF(A405="","",MAX(1,CEILING(PERCENTRANK.INC($C$3:$C$6000,C405,4)*5+0.000001,1)))</f>
        <v/>
      </c>
      <c r="G405">
        <f>IF(A405="","",MAX(1,CEILING(PERCENTRANK.INC($D$3:$D$6000,D405,4)*5+0.000001,1)))</f>
        <v/>
      </c>
      <c r="H405">
        <f>IF(A405="","",E405&amp;F405&amp;G405)</f>
        <v/>
      </c>
      <c r="I405">
        <f>IF(A405="","",IF(AND(E405&gt;=4,F405&gt;=4,G405&gt;=4),"Juara",IF(AND(F405&gt;=4,E405&gt;=3),"Setia",IF(AND(E405=5,F405&lt;=2,G405&gt;=3),"Berpotensi",IF(AND(E405&lt;=3,E405&gt;=2,F405&gt;=3),"Rawan",IF(AND(E405&lt;=2,F405&lt;=2),"Tidur","Umum"))))))</f>
        <v/>
      </c>
    </row>
    <row r="406">
      <c r="B406">
        <f>IF(A406="","",$B$1-MAXIFS(Donasi!$A$2:$A$20000,Donasi!$B$2:$B$20000,A406))</f>
        <v/>
      </c>
      <c r="C406">
        <f>IF(A406="","",COUNTIF(Donasi!$B$2:$B$20000,A406))</f>
        <v/>
      </c>
      <c r="D406">
        <f>IF(A406="","",SUMIF(Donasi!$B$2:$B$20000,A406,Donasi!$C$2:$C$20000))</f>
        <v/>
      </c>
      <c r="E406">
        <f>IF(A406="","",6-CEILING(PERCENTRANK.INC($B$3:$B$6000,B406,4)*5+0.000001,1))</f>
        <v/>
      </c>
      <c r="F406">
        <f>IF(A406="","",MAX(1,CEILING(PERCENTRANK.INC($C$3:$C$6000,C406,4)*5+0.000001,1)))</f>
        <v/>
      </c>
      <c r="G406">
        <f>IF(A406="","",MAX(1,CEILING(PERCENTRANK.INC($D$3:$D$6000,D406,4)*5+0.000001,1)))</f>
        <v/>
      </c>
      <c r="H406">
        <f>IF(A406="","",E406&amp;F406&amp;G406)</f>
        <v/>
      </c>
      <c r="I406">
        <f>IF(A406="","",IF(AND(E406&gt;=4,F406&gt;=4,G406&gt;=4),"Juara",IF(AND(F406&gt;=4,E406&gt;=3),"Setia",IF(AND(E406=5,F406&lt;=2,G406&gt;=3),"Berpotensi",IF(AND(E406&lt;=3,E406&gt;=2,F406&gt;=3),"Rawan",IF(AND(E406&lt;=2,F406&lt;=2),"Tidur","Umum"))))))</f>
        <v/>
      </c>
    </row>
    <row r="407">
      <c r="B407">
        <f>IF(A407="","",$B$1-MAXIFS(Donasi!$A$2:$A$20000,Donasi!$B$2:$B$20000,A407))</f>
        <v/>
      </c>
      <c r="C407">
        <f>IF(A407="","",COUNTIF(Donasi!$B$2:$B$20000,A407))</f>
        <v/>
      </c>
      <c r="D407">
        <f>IF(A407="","",SUMIF(Donasi!$B$2:$B$20000,A407,Donasi!$C$2:$C$20000))</f>
        <v/>
      </c>
      <c r="E407">
        <f>IF(A407="","",6-CEILING(PERCENTRANK.INC($B$3:$B$6000,B407,4)*5+0.000001,1))</f>
        <v/>
      </c>
      <c r="F407">
        <f>IF(A407="","",MAX(1,CEILING(PERCENTRANK.INC($C$3:$C$6000,C407,4)*5+0.000001,1)))</f>
        <v/>
      </c>
      <c r="G407">
        <f>IF(A407="","",MAX(1,CEILING(PERCENTRANK.INC($D$3:$D$6000,D407,4)*5+0.000001,1)))</f>
        <v/>
      </c>
      <c r="H407">
        <f>IF(A407="","",E407&amp;F407&amp;G407)</f>
        <v/>
      </c>
      <c r="I407">
        <f>IF(A407="","",IF(AND(E407&gt;=4,F407&gt;=4,G407&gt;=4),"Juara",IF(AND(F407&gt;=4,E407&gt;=3),"Setia",IF(AND(E407=5,F407&lt;=2,G407&gt;=3),"Berpotensi",IF(AND(E407&lt;=3,E407&gt;=2,F407&gt;=3),"Rawan",IF(AND(E407&lt;=2,F407&lt;=2),"Tidur","Umum"))))))</f>
        <v/>
      </c>
    </row>
    <row r="408">
      <c r="B408">
        <f>IF(A408="","",$B$1-MAXIFS(Donasi!$A$2:$A$20000,Donasi!$B$2:$B$20000,A408))</f>
        <v/>
      </c>
      <c r="C408">
        <f>IF(A408="","",COUNTIF(Donasi!$B$2:$B$20000,A408))</f>
        <v/>
      </c>
      <c r="D408">
        <f>IF(A408="","",SUMIF(Donasi!$B$2:$B$20000,A408,Donasi!$C$2:$C$20000))</f>
        <v/>
      </c>
      <c r="E408">
        <f>IF(A408="","",6-CEILING(PERCENTRANK.INC($B$3:$B$6000,B408,4)*5+0.000001,1))</f>
        <v/>
      </c>
      <c r="F408">
        <f>IF(A408="","",MAX(1,CEILING(PERCENTRANK.INC($C$3:$C$6000,C408,4)*5+0.000001,1)))</f>
        <v/>
      </c>
      <c r="G408">
        <f>IF(A408="","",MAX(1,CEILING(PERCENTRANK.INC($D$3:$D$6000,D408,4)*5+0.000001,1)))</f>
        <v/>
      </c>
      <c r="H408">
        <f>IF(A408="","",E408&amp;F408&amp;G408)</f>
        <v/>
      </c>
      <c r="I408">
        <f>IF(A408="","",IF(AND(E408&gt;=4,F408&gt;=4,G408&gt;=4),"Juara",IF(AND(F408&gt;=4,E408&gt;=3),"Setia",IF(AND(E408=5,F408&lt;=2,G408&gt;=3),"Berpotensi",IF(AND(E408&lt;=3,E408&gt;=2,F408&gt;=3),"Rawan",IF(AND(E408&lt;=2,F408&lt;=2),"Tidur","Umum"))))))</f>
        <v/>
      </c>
    </row>
    <row r="409">
      <c r="B409">
        <f>IF(A409="","",$B$1-MAXIFS(Donasi!$A$2:$A$20000,Donasi!$B$2:$B$20000,A409))</f>
        <v/>
      </c>
      <c r="C409">
        <f>IF(A409="","",COUNTIF(Donasi!$B$2:$B$20000,A409))</f>
        <v/>
      </c>
      <c r="D409">
        <f>IF(A409="","",SUMIF(Donasi!$B$2:$B$20000,A409,Donasi!$C$2:$C$20000))</f>
        <v/>
      </c>
      <c r="E409">
        <f>IF(A409="","",6-CEILING(PERCENTRANK.INC($B$3:$B$6000,B409,4)*5+0.000001,1))</f>
        <v/>
      </c>
      <c r="F409">
        <f>IF(A409="","",MAX(1,CEILING(PERCENTRANK.INC($C$3:$C$6000,C409,4)*5+0.000001,1)))</f>
        <v/>
      </c>
      <c r="G409">
        <f>IF(A409="","",MAX(1,CEILING(PERCENTRANK.INC($D$3:$D$6000,D409,4)*5+0.000001,1)))</f>
        <v/>
      </c>
      <c r="H409">
        <f>IF(A409="","",E409&amp;F409&amp;G409)</f>
        <v/>
      </c>
      <c r="I409">
        <f>IF(A409="","",IF(AND(E409&gt;=4,F409&gt;=4,G409&gt;=4),"Juara",IF(AND(F409&gt;=4,E409&gt;=3),"Setia",IF(AND(E409=5,F409&lt;=2,G409&gt;=3),"Berpotensi",IF(AND(E409&lt;=3,E409&gt;=2,F409&gt;=3),"Rawan",IF(AND(E409&lt;=2,F409&lt;=2),"Tidur","Umum"))))))</f>
        <v/>
      </c>
    </row>
    <row r="410">
      <c r="B410">
        <f>IF(A410="","",$B$1-MAXIFS(Donasi!$A$2:$A$20000,Donasi!$B$2:$B$20000,A410))</f>
        <v/>
      </c>
      <c r="C410">
        <f>IF(A410="","",COUNTIF(Donasi!$B$2:$B$20000,A410))</f>
        <v/>
      </c>
      <c r="D410">
        <f>IF(A410="","",SUMIF(Donasi!$B$2:$B$20000,A410,Donasi!$C$2:$C$20000))</f>
        <v/>
      </c>
      <c r="E410">
        <f>IF(A410="","",6-CEILING(PERCENTRANK.INC($B$3:$B$6000,B410,4)*5+0.000001,1))</f>
        <v/>
      </c>
      <c r="F410">
        <f>IF(A410="","",MAX(1,CEILING(PERCENTRANK.INC($C$3:$C$6000,C410,4)*5+0.000001,1)))</f>
        <v/>
      </c>
      <c r="G410">
        <f>IF(A410="","",MAX(1,CEILING(PERCENTRANK.INC($D$3:$D$6000,D410,4)*5+0.000001,1)))</f>
        <v/>
      </c>
      <c r="H410">
        <f>IF(A410="","",E410&amp;F410&amp;G410)</f>
        <v/>
      </c>
      <c r="I410">
        <f>IF(A410="","",IF(AND(E410&gt;=4,F410&gt;=4,G410&gt;=4),"Juara",IF(AND(F410&gt;=4,E410&gt;=3),"Setia",IF(AND(E410=5,F410&lt;=2,G410&gt;=3),"Berpotensi",IF(AND(E410&lt;=3,E410&gt;=2,F410&gt;=3),"Rawan",IF(AND(E410&lt;=2,F410&lt;=2),"Tidur","Umum"))))))</f>
        <v/>
      </c>
    </row>
    <row r="411">
      <c r="B411">
        <f>IF(A411="","",$B$1-MAXIFS(Donasi!$A$2:$A$20000,Donasi!$B$2:$B$20000,A411))</f>
        <v/>
      </c>
      <c r="C411">
        <f>IF(A411="","",COUNTIF(Donasi!$B$2:$B$20000,A411))</f>
        <v/>
      </c>
      <c r="D411">
        <f>IF(A411="","",SUMIF(Donasi!$B$2:$B$20000,A411,Donasi!$C$2:$C$20000))</f>
        <v/>
      </c>
      <c r="E411">
        <f>IF(A411="","",6-CEILING(PERCENTRANK.INC($B$3:$B$6000,B411,4)*5+0.000001,1))</f>
        <v/>
      </c>
      <c r="F411">
        <f>IF(A411="","",MAX(1,CEILING(PERCENTRANK.INC($C$3:$C$6000,C411,4)*5+0.000001,1)))</f>
        <v/>
      </c>
      <c r="G411">
        <f>IF(A411="","",MAX(1,CEILING(PERCENTRANK.INC($D$3:$D$6000,D411,4)*5+0.000001,1)))</f>
        <v/>
      </c>
      <c r="H411">
        <f>IF(A411="","",E411&amp;F411&amp;G411)</f>
        <v/>
      </c>
      <c r="I411">
        <f>IF(A411="","",IF(AND(E411&gt;=4,F411&gt;=4,G411&gt;=4),"Juara",IF(AND(F411&gt;=4,E411&gt;=3),"Setia",IF(AND(E411=5,F411&lt;=2,G411&gt;=3),"Berpotensi",IF(AND(E411&lt;=3,E411&gt;=2,F411&gt;=3),"Rawan",IF(AND(E411&lt;=2,F411&lt;=2),"Tidur","Umum"))))))</f>
        <v/>
      </c>
    </row>
    <row r="412">
      <c r="B412">
        <f>IF(A412="","",$B$1-MAXIFS(Donasi!$A$2:$A$20000,Donasi!$B$2:$B$20000,A412))</f>
        <v/>
      </c>
      <c r="C412">
        <f>IF(A412="","",COUNTIF(Donasi!$B$2:$B$20000,A412))</f>
        <v/>
      </c>
      <c r="D412">
        <f>IF(A412="","",SUMIF(Donasi!$B$2:$B$20000,A412,Donasi!$C$2:$C$20000))</f>
        <v/>
      </c>
      <c r="E412">
        <f>IF(A412="","",6-CEILING(PERCENTRANK.INC($B$3:$B$6000,B412,4)*5+0.000001,1))</f>
        <v/>
      </c>
      <c r="F412">
        <f>IF(A412="","",MAX(1,CEILING(PERCENTRANK.INC($C$3:$C$6000,C412,4)*5+0.000001,1)))</f>
        <v/>
      </c>
      <c r="G412">
        <f>IF(A412="","",MAX(1,CEILING(PERCENTRANK.INC($D$3:$D$6000,D412,4)*5+0.000001,1)))</f>
        <v/>
      </c>
      <c r="H412">
        <f>IF(A412="","",E412&amp;F412&amp;G412)</f>
        <v/>
      </c>
      <c r="I412">
        <f>IF(A412="","",IF(AND(E412&gt;=4,F412&gt;=4,G412&gt;=4),"Juara",IF(AND(F412&gt;=4,E412&gt;=3),"Setia",IF(AND(E412=5,F412&lt;=2,G412&gt;=3),"Berpotensi",IF(AND(E412&lt;=3,E412&gt;=2,F412&gt;=3),"Rawan",IF(AND(E412&lt;=2,F412&lt;=2),"Tidur","Umum"))))))</f>
        <v/>
      </c>
    </row>
    <row r="413">
      <c r="B413">
        <f>IF(A413="","",$B$1-MAXIFS(Donasi!$A$2:$A$20000,Donasi!$B$2:$B$20000,A413))</f>
        <v/>
      </c>
      <c r="C413">
        <f>IF(A413="","",COUNTIF(Donasi!$B$2:$B$20000,A413))</f>
        <v/>
      </c>
      <c r="D413">
        <f>IF(A413="","",SUMIF(Donasi!$B$2:$B$20000,A413,Donasi!$C$2:$C$20000))</f>
        <v/>
      </c>
      <c r="E413">
        <f>IF(A413="","",6-CEILING(PERCENTRANK.INC($B$3:$B$6000,B413,4)*5+0.000001,1))</f>
        <v/>
      </c>
      <c r="F413">
        <f>IF(A413="","",MAX(1,CEILING(PERCENTRANK.INC($C$3:$C$6000,C413,4)*5+0.000001,1)))</f>
        <v/>
      </c>
      <c r="G413">
        <f>IF(A413="","",MAX(1,CEILING(PERCENTRANK.INC($D$3:$D$6000,D413,4)*5+0.000001,1)))</f>
        <v/>
      </c>
      <c r="H413">
        <f>IF(A413="","",E413&amp;F413&amp;G413)</f>
        <v/>
      </c>
      <c r="I413">
        <f>IF(A413="","",IF(AND(E413&gt;=4,F413&gt;=4,G413&gt;=4),"Juara",IF(AND(F413&gt;=4,E413&gt;=3),"Setia",IF(AND(E413=5,F413&lt;=2,G413&gt;=3),"Berpotensi",IF(AND(E413&lt;=3,E413&gt;=2,F413&gt;=3),"Rawan",IF(AND(E413&lt;=2,F413&lt;=2),"Tidur","Umum"))))))</f>
        <v/>
      </c>
    </row>
    <row r="414">
      <c r="B414">
        <f>IF(A414="","",$B$1-MAXIFS(Donasi!$A$2:$A$20000,Donasi!$B$2:$B$20000,A414))</f>
        <v/>
      </c>
      <c r="C414">
        <f>IF(A414="","",COUNTIF(Donasi!$B$2:$B$20000,A414))</f>
        <v/>
      </c>
      <c r="D414">
        <f>IF(A414="","",SUMIF(Donasi!$B$2:$B$20000,A414,Donasi!$C$2:$C$20000))</f>
        <v/>
      </c>
      <c r="E414">
        <f>IF(A414="","",6-CEILING(PERCENTRANK.INC($B$3:$B$6000,B414,4)*5+0.000001,1))</f>
        <v/>
      </c>
      <c r="F414">
        <f>IF(A414="","",MAX(1,CEILING(PERCENTRANK.INC($C$3:$C$6000,C414,4)*5+0.000001,1)))</f>
        <v/>
      </c>
      <c r="G414">
        <f>IF(A414="","",MAX(1,CEILING(PERCENTRANK.INC($D$3:$D$6000,D414,4)*5+0.000001,1)))</f>
        <v/>
      </c>
      <c r="H414">
        <f>IF(A414="","",E414&amp;F414&amp;G414)</f>
        <v/>
      </c>
      <c r="I414">
        <f>IF(A414="","",IF(AND(E414&gt;=4,F414&gt;=4,G414&gt;=4),"Juara",IF(AND(F414&gt;=4,E414&gt;=3),"Setia",IF(AND(E414=5,F414&lt;=2,G414&gt;=3),"Berpotensi",IF(AND(E414&lt;=3,E414&gt;=2,F414&gt;=3),"Rawan",IF(AND(E414&lt;=2,F414&lt;=2),"Tidur","Umum"))))))</f>
        <v/>
      </c>
    </row>
    <row r="415">
      <c r="B415">
        <f>IF(A415="","",$B$1-MAXIFS(Donasi!$A$2:$A$20000,Donasi!$B$2:$B$20000,A415))</f>
        <v/>
      </c>
      <c r="C415">
        <f>IF(A415="","",COUNTIF(Donasi!$B$2:$B$20000,A415))</f>
        <v/>
      </c>
      <c r="D415">
        <f>IF(A415="","",SUMIF(Donasi!$B$2:$B$20000,A415,Donasi!$C$2:$C$20000))</f>
        <v/>
      </c>
      <c r="E415">
        <f>IF(A415="","",6-CEILING(PERCENTRANK.INC($B$3:$B$6000,B415,4)*5+0.000001,1))</f>
        <v/>
      </c>
      <c r="F415">
        <f>IF(A415="","",MAX(1,CEILING(PERCENTRANK.INC($C$3:$C$6000,C415,4)*5+0.000001,1)))</f>
        <v/>
      </c>
      <c r="G415">
        <f>IF(A415="","",MAX(1,CEILING(PERCENTRANK.INC($D$3:$D$6000,D415,4)*5+0.000001,1)))</f>
        <v/>
      </c>
      <c r="H415">
        <f>IF(A415="","",E415&amp;F415&amp;G415)</f>
        <v/>
      </c>
      <c r="I415">
        <f>IF(A415="","",IF(AND(E415&gt;=4,F415&gt;=4,G415&gt;=4),"Juara",IF(AND(F415&gt;=4,E415&gt;=3),"Setia",IF(AND(E415=5,F415&lt;=2,G415&gt;=3),"Berpotensi",IF(AND(E415&lt;=3,E415&gt;=2,F415&gt;=3),"Rawan",IF(AND(E415&lt;=2,F415&lt;=2),"Tidur","Umum"))))))</f>
        <v/>
      </c>
    </row>
    <row r="416">
      <c r="B416">
        <f>IF(A416="","",$B$1-MAXIFS(Donasi!$A$2:$A$20000,Donasi!$B$2:$B$20000,A416))</f>
        <v/>
      </c>
      <c r="C416">
        <f>IF(A416="","",COUNTIF(Donasi!$B$2:$B$20000,A416))</f>
        <v/>
      </c>
      <c r="D416">
        <f>IF(A416="","",SUMIF(Donasi!$B$2:$B$20000,A416,Donasi!$C$2:$C$20000))</f>
        <v/>
      </c>
      <c r="E416">
        <f>IF(A416="","",6-CEILING(PERCENTRANK.INC($B$3:$B$6000,B416,4)*5+0.000001,1))</f>
        <v/>
      </c>
      <c r="F416">
        <f>IF(A416="","",MAX(1,CEILING(PERCENTRANK.INC($C$3:$C$6000,C416,4)*5+0.000001,1)))</f>
        <v/>
      </c>
      <c r="G416">
        <f>IF(A416="","",MAX(1,CEILING(PERCENTRANK.INC($D$3:$D$6000,D416,4)*5+0.000001,1)))</f>
        <v/>
      </c>
      <c r="H416">
        <f>IF(A416="","",E416&amp;F416&amp;G416)</f>
        <v/>
      </c>
      <c r="I416">
        <f>IF(A416="","",IF(AND(E416&gt;=4,F416&gt;=4,G416&gt;=4),"Juara",IF(AND(F416&gt;=4,E416&gt;=3),"Setia",IF(AND(E416=5,F416&lt;=2,G416&gt;=3),"Berpotensi",IF(AND(E416&lt;=3,E416&gt;=2,F416&gt;=3),"Rawan",IF(AND(E416&lt;=2,F416&lt;=2),"Tidur","Umum"))))))</f>
        <v/>
      </c>
    </row>
    <row r="417">
      <c r="B417">
        <f>IF(A417="","",$B$1-MAXIFS(Donasi!$A$2:$A$20000,Donasi!$B$2:$B$20000,A417))</f>
        <v/>
      </c>
      <c r="C417">
        <f>IF(A417="","",COUNTIF(Donasi!$B$2:$B$20000,A417))</f>
        <v/>
      </c>
      <c r="D417">
        <f>IF(A417="","",SUMIF(Donasi!$B$2:$B$20000,A417,Donasi!$C$2:$C$20000))</f>
        <v/>
      </c>
      <c r="E417">
        <f>IF(A417="","",6-CEILING(PERCENTRANK.INC($B$3:$B$6000,B417,4)*5+0.000001,1))</f>
        <v/>
      </c>
      <c r="F417">
        <f>IF(A417="","",MAX(1,CEILING(PERCENTRANK.INC($C$3:$C$6000,C417,4)*5+0.000001,1)))</f>
        <v/>
      </c>
      <c r="G417">
        <f>IF(A417="","",MAX(1,CEILING(PERCENTRANK.INC($D$3:$D$6000,D417,4)*5+0.000001,1)))</f>
        <v/>
      </c>
      <c r="H417">
        <f>IF(A417="","",E417&amp;F417&amp;G417)</f>
        <v/>
      </c>
      <c r="I417">
        <f>IF(A417="","",IF(AND(E417&gt;=4,F417&gt;=4,G417&gt;=4),"Juara",IF(AND(F417&gt;=4,E417&gt;=3),"Setia",IF(AND(E417=5,F417&lt;=2,G417&gt;=3),"Berpotensi",IF(AND(E417&lt;=3,E417&gt;=2,F417&gt;=3),"Rawan",IF(AND(E417&lt;=2,F417&lt;=2),"Tidur","Umum"))))))</f>
        <v/>
      </c>
    </row>
    <row r="418">
      <c r="B418">
        <f>IF(A418="","",$B$1-MAXIFS(Donasi!$A$2:$A$20000,Donasi!$B$2:$B$20000,A418))</f>
        <v/>
      </c>
      <c r="C418">
        <f>IF(A418="","",COUNTIF(Donasi!$B$2:$B$20000,A418))</f>
        <v/>
      </c>
      <c r="D418">
        <f>IF(A418="","",SUMIF(Donasi!$B$2:$B$20000,A418,Donasi!$C$2:$C$20000))</f>
        <v/>
      </c>
      <c r="E418">
        <f>IF(A418="","",6-CEILING(PERCENTRANK.INC($B$3:$B$6000,B418,4)*5+0.000001,1))</f>
        <v/>
      </c>
      <c r="F418">
        <f>IF(A418="","",MAX(1,CEILING(PERCENTRANK.INC($C$3:$C$6000,C418,4)*5+0.000001,1)))</f>
        <v/>
      </c>
      <c r="G418">
        <f>IF(A418="","",MAX(1,CEILING(PERCENTRANK.INC($D$3:$D$6000,D418,4)*5+0.000001,1)))</f>
        <v/>
      </c>
      <c r="H418">
        <f>IF(A418="","",E418&amp;F418&amp;G418)</f>
        <v/>
      </c>
      <c r="I418">
        <f>IF(A418="","",IF(AND(E418&gt;=4,F418&gt;=4,G418&gt;=4),"Juara",IF(AND(F418&gt;=4,E418&gt;=3),"Setia",IF(AND(E418=5,F418&lt;=2,G418&gt;=3),"Berpotensi",IF(AND(E418&lt;=3,E418&gt;=2,F418&gt;=3),"Rawan",IF(AND(E418&lt;=2,F418&lt;=2),"Tidur","Umum"))))))</f>
        <v/>
      </c>
    </row>
    <row r="419">
      <c r="B419">
        <f>IF(A419="","",$B$1-MAXIFS(Donasi!$A$2:$A$20000,Donasi!$B$2:$B$20000,A419))</f>
        <v/>
      </c>
      <c r="C419">
        <f>IF(A419="","",COUNTIF(Donasi!$B$2:$B$20000,A419))</f>
        <v/>
      </c>
      <c r="D419">
        <f>IF(A419="","",SUMIF(Donasi!$B$2:$B$20000,A419,Donasi!$C$2:$C$20000))</f>
        <v/>
      </c>
      <c r="E419">
        <f>IF(A419="","",6-CEILING(PERCENTRANK.INC($B$3:$B$6000,B419,4)*5+0.000001,1))</f>
        <v/>
      </c>
      <c r="F419">
        <f>IF(A419="","",MAX(1,CEILING(PERCENTRANK.INC($C$3:$C$6000,C419,4)*5+0.000001,1)))</f>
        <v/>
      </c>
      <c r="G419">
        <f>IF(A419="","",MAX(1,CEILING(PERCENTRANK.INC($D$3:$D$6000,D419,4)*5+0.000001,1)))</f>
        <v/>
      </c>
      <c r="H419">
        <f>IF(A419="","",E419&amp;F419&amp;G419)</f>
        <v/>
      </c>
      <c r="I419">
        <f>IF(A419="","",IF(AND(E419&gt;=4,F419&gt;=4,G419&gt;=4),"Juara",IF(AND(F419&gt;=4,E419&gt;=3),"Setia",IF(AND(E419=5,F419&lt;=2,G419&gt;=3),"Berpotensi",IF(AND(E419&lt;=3,E419&gt;=2,F419&gt;=3),"Rawan",IF(AND(E419&lt;=2,F419&lt;=2),"Tidur","Umum"))))))</f>
        <v/>
      </c>
    </row>
    <row r="420">
      <c r="B420">
        <f>IF(A420="","",$B$1-MAXIFS(Donasi!$A$2:$A$20000,Donasi!$B$2:$B$20000,A420))</f>
        <v/>
      </c>
      <c r="C420">
        <f>IF(A420="","",COUNTIF(Donasi!$B$2:$B$20000,A420))</f>
        <v/>
      </c>
      <c r="D420">
        <f>IF(A420="","",SUMIF(Donasi!$B$2:$B$20000,A420,Donasi!$C$2:$C$20000))</f>
        <v/>
      </c>
      <c r="E420">
        <f>IF(A420="","",6-CEILING(PERCENTRANK.INC($B$3:$B$6000,B420,4)*5+0.000001,1))</f>
        <v/>
      </c>
      <c r="F420">
        <f>IF(A420="","",MAX(1,CEILING(PERCENTRANK.INC($C$3:$C$6000,C420,4)*5+0.000001,1)))</f>
        <v/>
      </c>
      <c r="G420">
        <f>IF(A420="","",MAX(1,CEILING(PERCENTRANK.INC($D$3:$D$6000,D420,4)*5+0.000001,1)))</f>
        <v/>
      </c>
      <c r="H420">
        <f>IF(A420="","",E420&amp;F420&amp;G420)</f>
        <v/>
      </c>
      <c r="I420">
        <f>IF(A420="","",IF(AND(E420&gt;=4,F420&gt;=4,G420&gt;=4),"Juara",IF(AND(F420&gt;=4,E420&gt;=3),"Setia",IF(AND(E420=5,F420&lt;=2,G420&gt;=3),"Berpotensi",IF(AND(E420&lt;=3,E420&gt;=2,F420&gt;=3),"Rawan",IF(AND(E420&lt;=2,F420&lt;=2),"Tidur","Umum"))))))</f>
        <v/>
      </c>
    </row>
    <row r="421">
      <c r="B421">
        <f>IF(A421="","",$B$1-MAXIFS(Donasi!$A$2:$A$20000,Donasi!$B$2:$B$20000,A421))</f>
        <v/>
      </c>
      <c r="C421">
        <f>IF(A421="","",COUNTIF(Donasi!$B$2:$B$20000,A421))</f>
        <v/>
      </c>
      <c r="D421">
        <f>IF(A421="","",SUMIF(Donasi!$B$2:$B$20000,A421,Donasi!$C$2:$C$20000))</f>
        <v/>
      </c>
      <c r="E421">
        <f>IF(A421="","",6-CEILING(PERCENTRANK.INC($B$3:$B$6000,B421,4)*5+0.000001,1))</f>
        <v/>
      </c>
      <c r="F421">
        <f>IF(A421="","",MAX(1,CEILING(PERCENTRANK.INC($C$3:$C$6000,C421,4)*5+0.000001,1)))</f>
        <v/>
      </c>
      <c r="G421">
        <f>IF(A421="","",MAX(1,CEILING(PERCENTRANK.INC($D$3:$D$6000,D421,4)*5+0.000001,1)))</f>
        <v/>
      </c>
      <c r="H421">
        <f>IF(A421="","",E421&amp;F421&amp;G421)</f>
        <v/>
      </c>
      <c r="I421">
        <f>IF(A421="","",IF(AND(E421&gt;=4,F421&gt;=4,G421&gt;=4),"Juara",IF(AND(F421&gt;=4,E421&gt;=3),"Setia",IF(AND(E421=5,F421&lt;=2,G421&gt;=3),"Berpotensi",IF(AND(E421&lt;=3,E421&gt;=2,F421&gt;=3),"Rawan",IF(AND(E421&lt;=2,F421&lt;=2),"Tidur","Umum"))))))</f>
        <v/>
      </c>
    </row>
    <row r="422">
      <c r="B422">
        <f>IF(A422="","",$B$1-MAXIFS(Donasi!$A$2:$A$20000,Donasi!$B$2:$B$20000,A422))</f>
        <v/>
      </c>
      <c r="C422">
        <f>IF(A422="","",COUNTIF(Donasi!$B$2:$B$20000,A422))</f>
        <v/>
      </c>
      <c r="D422">
        <f>IF(A422="","",SUMIF(Donasi!$B$2:$B$20000,A422,Donasi!$C$2:$C$20000))</f>
        <v/>
      </c>
      <c r="E422">
        <f>IF(A422="","",6-CEILING(PERCENTRANK.INC($B$3:$B$6000,B422,4)*5+0.000001,1))</f>
        <v/>
      </c>
      <c r="F422">
        <f>IF(A422="","",MAX(1,CEILING(PERCENTRANK.INC($C$3:$C$6000,C422,4)*5+0.000001,1)))</f>
        <v/>
      </c>
      <c r="G422">
        <f>IF(A422="","",MAX(1,CEILING(PERCENTRANK.INC($D$3:$D$6000,D422,4)*5+0.000001,1)))</f>
        <v/>
      </c>
      <c r="H422">
        <f>IF(A422="","",E422&amp;F422&amp;G422)</f>
        <v/>
      </c>
      <c r="I422">
        <f>IF(A422="","",IF(AND(E422&gt;=4,F422&gt;=4,G422&gt;=4),"Juara",IF(AND(F422&gt;=4,E422&gt;=3),"Setia",IF(AND(E422=5,F422&lt;=2,G422&gt;=3),"Berpotensi",IF(AND(E422&lt;=3,E422&gt;=2,F422&gt;=3),"Rawan",IF(AND(E422&lt;=2,F422&lt;=2),"Tidur","Umum"))))))</f>
        <v/>
      </c>
    </row>
    <row r="423">
      <c r="B423">
        <f>IF(A423="","",$B$1-MAXIFS(Donasi!$A$2:$A$20000,Donasi!$B$2:$B$20000,A423))</f>
        <v/>
      </c>
      <c r="C423">
        <f>IF(A423="","",COUNTIF(Donasi!$B$2:$B$20000,A423))</f>
        <v/>
      </c>
      <c r="D423">
        <f>IF(A423="","",SUMIF(Donasi!$B$2:$B$20000,A423,Donasi!$C$2:$C$20000))</f>
        <v/>
      </c>
      <c r="E423">
        <f>IF(A423="","",6-CEILING(PERCENTRANK.INC($B$3:$B$6000,B423,4)*5+0.000001,1))</f>
        <v/>
      </c>
      <c r="F423">
        <f>IF(A423="","",MAX(1,CEILING(PERCENTRANK.INC($C$3:$C$6000,C423,4)*5+0.000001,1)))</f>
        <v/>
      </c>
      <c r="G423">
        <f>IF(A423="","",MAX(1,CEILING(PERCENTRANK.INC($D$3:$D$6000,D423,4)*5+0.000001,1)))</f>
        <v/>
      </c>
      <c r="H423">
        <f>IF(A423="","",E423&amp;F423&amp;G423)</f>
        <v/>
      </c>
      <c r="I423">
        <f>IF(A423="","",IF(AND(E423&gt;=4,F423&gt;=4,G423&gt;=4),"Juara",IF(AND(F423&gt;=4,E423&gt;=3),"Setia",IF(AND(E423=5,F423&lt;=2,G423&gt;=3),"Berpotensi",IF(AND(E423&lt;=3,E423&gt;=2,F423&gt;=3),"Rawan",IF(AND(E423&lt;=2,F423&lt;=2),"Tidur","Umum"))))))</f>
        <v/>
      </c>
    </row>
    <row r="424">
      <c r="B424">
        <f>IF(A424="","",$B$1-MAXIFS(Donasi!$A$2:$A$20000,Donasi!$B$2:$B$20000,A424))</f>
        <v/>
      </c>
      <c r="C424">
        <f>IF(A424="","",COUNTIF(Donasi!$B$2:$B$20000,A424))</f>
        <v/>
      </c>
      <c r="D424">
        <f>IF(A424="","",SUMIF(Donasi!$B$2:$B$20000,A424,Donasi!$C$2:$C$20000))</f>
        <v/>
      </c>
      <c r="E424">
        <f>IF(A424="","",6-CEILING(PERCENTRANK.INC($B$3:$B$6000,B424,4)*5+0.000001,1))</f>
        <v/>
      </c>
      <c r="F424">
        <f>IF(A424="","",MAX(1,CEILING(PERCENTRANK.INC($C$3:$C$6000,C424,4)*5+0.000001,1)))</f>
        <v/>
      </c>
      <c r="G424">
        <f>IF(A424="","",MAX(1,CEILING(PERCENTRANK.INC($D$3:$D$6000,D424,4)*5+0.000001,1)))</f>
        <v/>
      </c>
      <c r="H424">
        <f>IF(A424="","",E424&amp;F424&amp;G424)</f>
        <v/>
      </c>
      <c r="I424">
        <f>IF(A424="","",IF(AND(E424&gt;=4,F424&gt;=4,G424&gt;=4),"Juara",IF(AND(F424&gt;=4,E424&gt;=3),"Setia",IF(AND(E424=5,F424&lt;=2,G424&gt;=3),"Berpotensi",IF(AND(E424&lt;=3,E424&gt;=2,F424&gt;=3),"Rawan",IF(AND(E424&lt;=2,F424&lt;=2),"Tidur","Umum"))))))</f>
        <v/>
      </c>
    </row>
    <row r="425">
      <c r="B425">
        <f>IF(A425="","",$B$1-MAXIFS(Donasi!$A$2:$A$20000,Donasi!$B$2:$B$20000,A425))</f>
        <v/>
      </c>
      <c r="C425">
        <f>IF(A425="","",COUNTIF(Donasi!$B$2:$B$20000,A425))</f>
        <v/>
      </c>
      <c r="D425">
        <f>IF(A425="","",SUMIF(Donasi!$B$2:$B$20000,A425,Donasi!$C$2:$C$20000))</f>
        <v/>
      </c>
      <c r="E425">
        <f>IF(A425="","",6-CEILING(PERCENTRANK.INC($B$3:$B$6000,B425,4)*5+0.000001,1))</f>
        <v/>
      </c>
      <c r="F425">
        <f>IF(A425="","",MAX(1,CEILING(PERCENTRANK.INC($C$3:$C$6000,C425,4)*5+0.000001,1)))</f>
        <v/>
      </c>
      <c r="G425">
        <f>IF(A425="","",MAX(1,CEILING(PERCENTRANK.INC($D$3:$D$6000,D425,4)*5+0.000001,1)))</f>
        <v/>
      </c>
      <c r="H425">
        <f>IF(A425="","",E425&amp;F425&amp;G425)</f>
        <v/>
      </c>
      <c r="I425">
        <f>IF(A425="","",IF(AND(E425&gt;=4,F425&gt;=4,G425&gt;=4),"Juara",IF(AND(F425&gt;=4,E425&gt;=3),"Setia",IF(AND(E425=5,F425&lt;=2,G425&gt;=3),"Berpotensi",IF(AND(E425&lt;=3,E425&gt;=2,F425&gt;=3),"Rawan",IF(AND(E425&lt;=2,F425&lt;=2),"Tidur","Umum"))))))</f>
        <v/>
      </c>
    </row>
    <row r="426">
      <c r="B426">
        <f>IF(A426="","",$B$1-MAXIFS(Donasi!$A$2:$A$20000,Donasi!$B$2:$B$20000,A426))</f>
        <v/>
      </c>
      <c r="C426">
        <f>IF(A426="","",COUNTIF(Donasi!$B$2:$B$20000,A426))</f>
        <v/>
      </c>
      <c r="D426">
        <f>IF(A426="","",SUMIF(Donasi!$B$2:$B$20000,A426,Donasi!$C$2:$C$20000))</f>
        <v/>
      </c>
      <c r="E426">
        <f>IF(A426="","",6-CEILING(PERCENTRANK.INC($B$3:$B$6000,B426,4)*5+0.000001,1))</f>
        <v/>
      </c>
      <c r="F426">
        <f>IF(A426="","",MAX(1,CEILING(PERCENTRANK.INC($C$3:$C$6000,C426,4)*5+0.000001,1)))</f>
        <v/>
      </c>
      <c r="G426">
        <f>IF(A426="","",MAX(1,CEILING(PERCENTRANK.INC($D$3:$D$6000,D426,4)*5+0.000001,1)))</f>
        <v/>
      </c>
      <c r="H426">
        <f>IF(A426="","",E426&amp;F426&amp;G426)</f>
        <v/>
      </c>
      <c r="I426">
        <f>IF(A426="","",IF(AND(E426&gt;=4,F426&gt;=4,G426&gt;=4),"Juara",IF(AND(F426&gt;=4,E426&gt;=3),"Setia",IF(AND(E426=5,F426&lt;=2,G426&gt;=3),"Berpotensi",IF(AND(E426&lt;=3,E426&gt;=2,F426&gt;=3),"Rawan",IF(AND(E426&lt;=2,F426&lt;=2),"Tidur","Umum"))))))</f>
        <v/>
      </c>
    </row>
    <row r="427">
      <c r="B427">
        <f>IF(A427="","",$B$1-MAXIFS(Donasi!$A$2:$A$20000,Donasi!$B$2:$B$20000,A427))</f>
        <v/>
      </c>
      <c r="C427">
        <f>IF(A427="","",COUNTIF(Donasi!$B$2:$B$20000,A427))</f>
        <v/>
      </c>
      <c r="D427">
        <f>IF(A427="","",SUMIF(Donasi!$B$2:$B$20000,A427,Donasi!$C$2:$C$20000))</f>
        <v/>
      </c>
      <c r="E427">
        <f>IF(A427="","",6-CEILING(PERCENTRANK.INC($B$3:$B$6000,B427,4)*5+0.000001,1))</f>
        <v/>
      </c>
      <c r="F427">
        <f>IF(A427="","",MAX(1,CEILING(PERCENTRANK.INC($C$3:$C$6000,C427,4)*5+0.000001,1)))</f>
        <v/>
      </c>
      <c r="G427">
        <f>IF(A427="","",MAX(1,CEILING(PERCENTRANK.INC($D$3:$D$6000,D427,4)*5+0.000001,1)))</f>
        <v/>
      </c>
      <c r="H427">
        <f>IF(A427="","",E427&amp;F427&amp;G427)</f>
        <v/>
      </c>
      <c r="I427">
        <f>IF(A427="","",IF(AND(E427&gt;=4,F427&gt;=4,G427&gt;=4),"Juara",IF(AND(F427&gt;=4,E427&gt;=3),"Setia",IF(AND(E427=5,F427&lt;=2,G427&gt;=3),"Berpotensi",IF(AND(E427&lt;=3,E427&gt;=2,F427&gt;=3),"Rawan",IF(AND(E427&lt;=2,F427&lt;=2),"Tidur","Umum"))))))</f>
        <v/>
      </c>
    </row>
    <row r="428">
      <c r="B428">
        <f>IF(A428="","",$B$1-MAXIFS(Donasi!$A$2:$A$20000,Donasi!$B$2:$B$20000,A428))</f>
        <v/>
      </c>
      <c r="C428">
        <f>IF(A428="","",COUNTIF(Donasi!$B$2:$B$20000,A428))</f>
        <v/>
      </c>
      <c r="D428">
        <f>IF(A428="","",SUMIF(Donasi!$B$2:$B$20000,A428,Donasi!$C$2:$C$20000))</f>
        <v/>
      </c>
      <c r="E428">
        <f>IF(A428="","",6-CEILING(PERCENTRANK.INC($B$3:$B$6000,B428,4)*5+0.000001,1))</f>
        <v/>
      </c>
      <c r="F428">
        <f>IF(A428="","",MAX(1,CEILING(PERCENTRANK.INC($C$3:$C$6000,C428,4)*5+0.000001,1)))</f>
        <v/>
      </c>
      <c r="G428">
        <f>IF(A428="","",MAX(1,CEILING(PERCENTRANK.INC($D$3:$D$6000,D428,4)*5+0.000001,1)))</f>
        <v/>
      </c>
      <c r="H428">
        <f>IF(A428="","",E428&amp;F428&amp;G428)</f>
        <v/>
      </c>
      <c r="I428">
        <f>IF(A428="","",IF(AND(E428&gt;=4,F428&gt;=4,G428&gt;=4),"Juara",IF(AND(F428&gt;=4,E428&gt;=3),"Setia",IF(AND(E428=5,F428&lt;=2,G428&gt;=3),"Berpotensi",IF(AND(E428&lt;=3,E428&gt;=2,F428&gt;=3),"Rawan",IF(AND(E428&lt;=2,F428&lt;=2),"Tidur","Umum"))))))</f>
        <v/>
      </c>
    </row>
    <row r="429">
      <c r="B429">
        <f>IF(A429="","",$B$1-MAXIFS(Donasi!$A$2:$A$20000,Donasi!$B$2:$B$20000,A429))</f>
        <v/>
      </c>
      <c r="C429">
        <f>IF(A429="","",COUNTIF(Donasi!$B$2:$B$20000,A429))</f>
        <v/>
      </c>
      <c r="D429">
        <f>IF(A429="","",SUMIF(Donasi!$B$2:$B$20000,A429,Donasi!$C$2:$C$20000))</f>
        <v/>
      </c>
      <c r="E429">
        <f>IF(A429="","",6-CEILING(PERCENTRANK.INC($B$3:$B$6000,B429,4)*5+0.000001,1))</f>
        <v/>
      </c>
      <c r="F429">
        <f>IF(A429="","",MAX(1,CEILING(PERCENTRANK.INC($C$3:$C$6000,C429,4)*5+0.000001,1)))</f>
        <v/>
      </c>
      <c r="G429">
        <f>IF(A429="","",MAX(1,CEILING(PERCENTRANK.INC($D$3:$D$6000,D429,4)*5+0.000001,1)))</f>
        <v/>
      </c>
      <c r="H429">
        <f>IF(A429="","",E429&amp;F429&amp;G429)</f>
        <v/>
      </c>
      <c r="I429">
        <f>IF(A429="","",IF(AND(E429&gt;=4,F429&gt;=4,G429&gt;=4),"Juara",IF(AND(F429&gt;=4,E429&gt;=3),"Setia",IF(AND(E429=5,F429&lt;=2,G429&gt;=3),"Berpotensi",IF(AND(E429&lt;=3,E429&gt;=2,F429&gt;=3),"Rawan",IF(AND(E429&lt;=2,F429&lt;=2),"Tidur","Umum"))))))</f>
        <v/>
      </c>
    </row>
    <row r="430">
      <c r="B430">
        <f>IF(A430="","",$B$1-MAXIFS(Donasi!$A$2:$A$20000,Donasi!$B$2:$B$20000,A430))</f>
        <v/>
      </c>
      <c r="C430">
        <f>IF(A430="","",COUNTIF(Donasi!$B$2:$B$20000,A430))</f>
        <v/>
      </c>
      <c r="D430">
        <f>IF(A430="","",SUMIF(Donasi!$B$2:$B$20000,A430,Donasi!$C$2:$C$20000))</f>
        <v/>
      </c>
      <c r="E430">
        <f>IF(A430="","",6-CEILING(PERCENTRANK.INC($B$3:$B$6000,B430,4)*5+0.000001,1))</f>
        <v/>
      </c>
      <c r="F430">
        <f>IF(A430="","",MAX(1,CEILING(PERCENTRANK.INC($C$3:$C$6000,C430,4)*5+0.000001,1)))</f>
        <v/>
      </c>
      <c r="G430">
        <f>IF(A430="","",MAX(1,CEILING(PERCENTRANK.INC($D$3:$D$6000,D430,4)*5+0.000001,1)))</f>
        <v/>
      </c>
      <c r="H430">
        <f>IF(A430="","",E430&amp;F430&amp;G430)</f>
        <v/>
      </c>
      <c r="I430">
        <f>IF(A430="","",IF(AND(E430&gt;=4,F430&gt;=4,G430&gt;=4),"Juara",IF(AND(F430&gt;=4,E430&gt;=3),"Setia",IF(AND(E430=5,F430&lt;=2,G430&gt;=3),"Berpotensi",IF(AND(E430&lt;=3,E430&gt;=2,F430&gt;=3),"Rawan",IF(AND(E430&lt;=2,F430&lt;=2),"Tidur","Umum"))))))</f>
        <v/>
      </c>
    </row>
    <row r="431">
      <c r="B431">
        <f>IF(A431="","",$B$1-MAXIFS(Donasi!$A$2:$A$20000,Donasi!$B$2:$B$20000,A431))</f>
        <v/>
      </c>
      <c r="C431">
        <f>IF(A431="","",COUNTIF(Donasi!$B$2:$B$20000,A431))</f>
        <v/>
      </c>
      <c r="D431">
        <f>IF(A431="","",SUMIF(Donasi!$B$2:$B$20000,A431,Donasi!$C$2:$C$20000))</f>
        <v/>
      </c>
      <c r="E431">
        <f>IF(A431="","",6-CEILING(PERCENTRANK.INC($B$3:$B$6000,B431,4)*5+0.000001,1))</f>
        <v/>
      </c>
      <c r="F431">
        <f>IF(A431="","",MAX(1,CEILING(PERCENTRANK.INC($C$3:$C$6000,C431,4)*5+0.000001,1)))</f>
        <v/>
      </c>
      <c r="G431">
        <f>IF(A431="","",MAX(1,CEILING(PERCENTRANK.INC($D$3:$D$6000,D431,4)*5+0.000001,1)))</f>
        <v/>
      </c>
      <c r="H431">
        <f>IF(A431="","",E431&amp;F431&amp;G431)</f>
        <v/>
      </c>
      <c r="I431">
        <f>IF(A431="","",IF(AND(E431&gt;=4,F431&gt;=4,G431&gt;=4),"Juara",IF(AND(F431&gt;=4,E431&gt;=3),"Setia",IF(AND(E431=5,F431&lt;=2,G431&gt;=3),"Berpotensi",IF(AND(E431&lt;=3,E431&gt;=2,F431&gt;=3),"Rawan",IF(AND(E431&lt;=2,F431&lt;=2),"Tidur","Umum"))))))</f>
        <v/>
      </c>
    </row>
    <row r="432">
      <c r="B432">
        <f>IF(A432="","",$B$1-MAXIFS(Donasi!$A$2:$A$20000,Donasi!$B$2:$B$20000,A432))</f>
        <v/>
      </c>
      <c r="C432">
        <f>IF(A432="","",COUNTIF(Donasi!$B$2:$B$20000,A432))</f>
        <v/>
      </c>
      <c r="D432">
        <f>IF(A432="","",SUMIF(Donasi!$B$2:$B$20000,A432,Donasi!$C$2:$C$20000))</f>
        <v/>
      </c>
      <c r="E432">
        <f>IF(A432="","",6-CEILING(PERCENTRANK.INC($B$3:$B$6000,B432,4)*5+0.000001,1))</f>
        <v/>
      </c>
      <c r="F432">
        <f>IF(A432="","",MAX(1,CEILING(PERCENTRANK.INC($C$3:$C$6000,C432,4)*5+0.000001,1)))</f>
        <v/>
      </c>
      <c r="G432">
        <f>IF(A432="","",MAX(1,CEILING(PERCENTRANK.INC($D$3:$D$6000,D432,4)*5+0.000001,1)))</f>
        <v/>
      </c>
      <c r="H432">
        <f>IF(A432="","",E432&amp;F432&amp;G432)</f>
        <v/>
      </c>
      <c r="I432">
        <f>IF(A432="","",IF(AND(E432&gt;=4,F432&gt;=4,G432&gt;=4),"Juara",IF(AND(F432&gt;=4,E432&gt;=3),"Setia",IF(AND(E432=5,F432&lt;=2,G432&gt;=3),"Berpotensi",IF(AND(E432&lt;=3,E432&gt;=2,F432&gt;=3),"Rawan",IF(AND(E432&lt;=2,F432&lt;=2),"Tidur","Umum"))))))</f>
        <v/>
      </c>
    </row>
    <row r="433">
      <c r="B433">
        <f>IF(A433="","",$B$1-MAXIFS(Donasi!$A$2:$A$20000,Donasi!$B$2:$B$20000,A433))</f>
        <v/>
      </c>
      <c r="C433">
        <f>IF(A433="","",COUNTIF(Donasi!$B$2:$B$20000,A433))</f>
        <v/>
      </c>
      <c r="D433">
        <f>IF(A433="","",SUMIF(Donasi!$B$2:$B$20000,A433,Donasi!$C$2:$C$20000))</f>
        <v/>
      </c>
      <c r="E433">
        <f>IF(A433="","",6-CEILING(PERCENTRANK.INC($B$3:$B$6000,B433,4)*5+0.000001,1))</f>
        <v/>
      </c>
      <c r="F433">
        <f>IF(A433="","",MAX(1,CEILING(PERCENTRANK.INC($C$3:$C$6000,C433,4)*5+0.000001,1)))</f>
        <v/>
      </c>
      <c r="G433">
        <f>IF(A433="","",MAX(1,CEILING(PERCENTRANK.INC($D$3:$D$6000,D433,4)*5+0.000001,1)))</f>
        <v/>
      </c>
      <c r="H433">
        <f>IF(A433="","",E433&amp;F433&amp;G433)</f>
        <v/>
      </c>
      <c r="I433">
        <f>IF(A433="","",IF(AND(E433&gt;=4,F433&gt;=4,G433&gt;=4),"Juara",IF(AND(F433&gt;=4,E433&gt;=3),"Setia",IF(AND(E433=5,F433&lt;=2,G433&gt;=3),"Berpotensi",IF(AND(E433&lt;=3,E433&gt;=2,F433&gt;=3),"Rawan",IF(AND(E433&lt;=2,F433&lt;=2),"Tidur","Umum"))))))</f>
        <v/>
      </c>
    </row>
    <row r="434">
      <c r="B434">
        <f>IF(A434="","",$B$1-MAXIFS(Donasi!$A$2:$A$20000,Donasi!$B$2:$B$20000,A434))</f>
        <v/>
      </c>
      <c r="C434">
        <f>IF(A434="","",COUNTIF(Donasi!$B$2:$B$20000,A434))</f>
        <v/>
      </c>
      <c r="D434">
        <f>IF(A434="","",SUMIF(Donasi!$B$2:$B$20000,A434,Donasi!$C$2:$C$20000))</f>
        <v/>
      </c>
      <c r="E434">
        <f>IF(A434="","",6-CEILING(PERCENTRANK.INC($B$3:$B$6000,B434,4)*5+0.000001,1))</f>
        <v/>
      </c>
      <c r="F434">
        <f>IF(A434="","",MAX(1,CEILING(PERCENTRANK.INC($C$3:$C$6000,C434,4)*5+0.000001,1)))</f>
        <v/>
      </c>
      <c r="G434">
        <f>IF(A434="","",MAX(1,CEILING(PERCENTRANK.INC($D$3:$D$6000,D434,4)*5+0.000001,1)))</f>
        <v/>
      </c>
      <c r="H434">
        <f>IF(A434="","",E434&amp;F434&amp;G434)</f>
        <v/>
      </c>
      <c r="I434">
        <f>IF(A434="","",IF(AND(E434&gt;=4,F434&gt;=4,G434&gt;=4),"Juara",IF(AND(F434&gt;=4,E434&gt;=3),"Setia",IF(AND(E434=5,F434&lt;=2,G434&gt;=3),"Berpotensi",IF(AND(E434&lt;=3,E434&gt;=2,F434&gt;=3),"Rawan",IF(AND(E434&lt;=2,F434&lt;=2),"Tidur","Umum"))))))</f>
        <v/>
      </c>
    </row>
    <row r="435">
      <c r="B435">
        <f>IF(A435="","",$B$1-MAXIFS(Donasi!$A$2:$A$20000,Donasi!$B$2:$B$20000,A435))</f>
        <v/>
      </c>
      <c r="C435">
        <f>IF(A435="","",COUNTIF(Donasi!$B$2:$B$20000,A435))</f>
        <v/>
      </c>
      <c r="D435">
        <f>IF(A435="","",SUMIF(Donasi!$B$2:$B$20000,A435,Donasi!$C$2:$C$20000))</f>
        <v/>
      </c>
      <c r="E435">
        <f>IF(A435="","",6-CEILING(PERCENTRANK.INC($B$3:$B$6000,B435,4)*5+0.000001,1))</f>
        <v/>
      </c>
      <c r="F435">
        <f>IF(A435="","",MAX(1,CEILING(PERCENTRANK.INC($C$3:$C$6000,C435,4)*5+0.000001,1)))</f>
        <v/>
      </c>
      <c r="G435">
        <f>IF(A435="","",MAX(1,CEILING(PERCENTRANK.INC($D$3:$D$6000,D435,4)*5+0.000001,1)))</f>
        <v/>
      </c>
      <c r="H435">
        <f>IF(A435="","",E435&amp;F435&amp;G435)</f>
        <v/>
      </c>
      <c r="I435">
        <f>IF(A435="","",IF(AND(E435&gt;=4,F435&gt;=4,G435&gt;=4),"Juara",IF(AND(F435&gt;=4,E435&gt;=3),"Setia",IF(AND(E435=5,F435&lt;=2,G435&gt;=3),"Berpotensi",IF(AND(E435&lt;=3,E435&gt;=2,F435&gt;=3),"Rawan",IF(AND(E435&lt;=2,F435&lt;=2),"Tidur","Umum"))))))</f>
        <v/>
      </c>
    </row>
    <row r="436">
      <c r="B436">
        <f>IF(A436="","",$B$1-MAXIFS(Donasi!$A$2:$A$20000,Donasi!$B$2:$B$20000,A436))</f>
        <v/>
      </c>
      <c r="C436">
        <f>IF(A436="","",COUNTIF(Donasi!$B$2:$B$20000,A436))</f>
        <v/>
      </c>
      <c r="D436">
        <f>IF(A436="","",SUMIF(Donasi!$B$2:$B$20000,A436,Donasi!$C$2:$C$20000))</f>
        <v/>
      </c>
      <c r="E436">
        <f>IF(A436="","",6-CEILING(PERCENTRANK.INC($B$3:$B$6000,B436,4)*5+0.000001,1))</f>
        <v/>
      </c>
      <c r="F436">
        <f>IF(A436="","",MAX(1,CEILING(PERCENTRANK.INC($C$3:$C$6000,C436,4)*5+0.000001,1)))</f>
        <v/>
      </c>
      <c r="G436">
        <f>IF(A436="","",MAX(1,CEILING(PERCENTRANK.INC($D$3:$D$6000,D436,4)*5+0.000001,1)))</f>
        <v/>
      </c>
      <c r="H436">
        <f>IF(A436="","",E436&amp;F436&amp;G436)</f>
        <v/>
      </c>
      <c r="I436">
        <f>IF(A436="","",IF(AND(E436&gt;=4,F436&gt;=4,G436&gt;=4),"Juara",IF(AND(F436&gt;=4,E436&gt;=3),"Setia",IF(AND(E436=5,F436&lt;=2,G436&gt;=3),"Berpotensi",IF(AND(E436&lt;=3,E436&gt;=2,F436&gt;=3),"Rawan",IF(AND(E436&lt;=2,F436&lt;=2),"Tidur","Umum"))))))</f>
        <v/>
      </c>
    </row>
    <row r="437">
      <c r="B437">
        <f>IF(A437="","",$B$1-MAXIFS(Donasi!$A$2:$A$20000,Donasi!$B$2:$B$20000,A437))</f>
        <v/>
      </c>
      <c r="C437">
        <f>IF(A437="","",COUNTIF(Donasi!$B$2:$B$20000,A437))</f>
        <v/>
      </c>
      <c r="D437">
        <f>IF(A437="","",SUMIF(Donasi!$B$2:$B$20000,A437,Donasi!$C$2:$C$20000))</f>
        <v/>
      </c>
      <c r="E437">
        <f>IF(A437="","",6-CEILING(PERCENTRANK.INC($B$3:$B$6000,B437,4)*5+0.000001,1))</f>
        <v/>
      </c>
      <c r="F437">
        <f>IF(A437="","",MAX(1,CEILING(PERCENTRANK.INC($C$3:$C$6000,C437,4)*5+0.000001,1)))</f>
        <v/>
      </c>
      <c r="G437">
        <f>IF(A437="","",MAX(1,CEILING(PERCENTRANK.INC($D$3:$D$6000,D437,4)*5+0.000001,1)))</f>
        <v/>
      </c>
      <c r="H437">
        <f>IF(A437="","",E437&amp;F437&amp;G437)</f>
        <v/>
      </c>
      <c r="I437">
        <f>IF(A437="","",IF(AND(E437&gt;=4,F437&gt;=4,G437&gt;=4),"Juara",IF(AND(F437&gt;=4,E437&gt;=3),"Setia",IF(AND(E437=5,F437&lt;=2,G437&gt;=3),"Berpotensi",IF(AND(E437&lt;=3,E437&gt;=2,F437&gt;=3),"Rawan",IF(AND(E437&lt;=2,F437&lt;=2),"Tidur","Umum"))))))</f>
        <v/>
      </c>
    </row>
    <row r="438">
      <c r="B438">
        <f>IF(A438="","",$B$1-MAXIFS(Donasi!$A$2:$A$20000,Donasi!$B$2:$B$20000,A438))</f>
        <v/>
      </c>
      <c r="C438">
        <f>IF(A438="","",COUNTIF(Donasi!$B$2:$B$20000,A438))</f>
        <v/>
      </c>
      <c r="D438">
        <f>IF(A438="","",SUMIF(Donasi!$B$2:$B$20000,A438,Donasi!$C$2:$C$20000))</f>
        <v/>
      </c>
      <c r="E438">
        <f>IF(A438="","",6-CEILING(PERCENTRANK.INC($B$3:$B$6000,B438,4)*5+0.000001,1))</f>
        <v/>
      </c>
      <c r="F438">
        <f>IF(A438="","",MAX(1,CEILING(PERCENTRANK.INC($C$3:$C$6000,C438,4)*5+0.000001,1)))</f>
        <v/>
      </c>
      <c r="G438">
        <f>IF(A438="","",MAX(1,CEILING(PERCENTRANK.INC($D$3:$D$6000,D438,4)*5+0.000001,1)))</f>
        <v/>
      </c>
      <c r="H438">
        <f>IF(A438="","",E438&amp;F438&amp;G438)</f>
        <v/>
      </c>
      <c r="I438">
        <f>IF(A438="","",IF(AND(E438&gt;=4,F438&gt;=4,G438&gt;=4),"Juara",IF(AND(F438&gt;=4,E438&gt;=3),"Setia",IF(AND(E438=5,F438&lt;=2,G438&gt;=3),"Berpotensi",IF(AND(E438&lt;=3,E438&gt;=2,F438&gt;=3),"Rawan",IF(AND(E438&lt;=2,F438&lt;=2),"Tidur","Umum"))))))</f>
        <v/>
      </c>
    </row>
    <row r="439">
      <c r="B439">
        <f>IF(A439="","",$B$1-MAXIFS(Donasi!$A$2:$A$20000,Donasi!$B$2:$B$20000,A439))</f>
        <v/>
      </c>
      <c r="C439">
        <f>IF(A439="","",COUNTIF(Donasi!$B$2:$B$20000,A439))</f>
        <v/>
      </c>
      <c r="D439">
        <f>IF(A439="","",SUMIF(Donasi!$B$2:$B$20000,A439,Donasi!$C$2:$C$20000))</f>
        <v/>
      </c>
      <c r="E439">
        <f>IF(A439="","",6-CEILING(PERCENTRANK.INC($B$3:$B$6000,B439,4)*5+0.000001,1))</f>
        <v/>
      </c>
      <c r="F439">
        <f>IF(A439="","",MAX(1,CEILING(PERCENTRANK.INC($C$3:$C$6000,C439,4)*5+0.000001,1)))</f>
        <v/>
      </c>
      <c r="G439">
        <f>IF(A439="","",MAX(1,CEILING(PERCENTRANK.INC($D$3:$D$6000,D439,4)*5+0.000001,1)))</f>
        <v/>
      </c>
      <c r="H439">
        <f>IF(A439="","",E439&amp;F439&amp;G439)</f>
        <v/>
      </c>
      <c r="I439">
        <f>IF(A439="","",IF(AND(E439&gt;=4,F439&gt;=4,G439&gt;=4),"Juara",IF(AND(F439&gt;=4,E439&gt;=3),"Setia",IF(AND(E439=5,F439&lt;=2,G439&gt;=3),"Berpotensi",IF(AND(E439&lt;=3,E439&gt;=2,F439&gt;=3),"Rawan",IF(AND(E439&lt;=2,F439&lt;=2),"Tidur","Umum"))))))</f>
        <v/>
      </c>
    </row>
    <row r="440">
      <c r="B440">
        <f>IF(A440="","",$B$1-MAXIFS(Donasi!$A$2:$A$20000,Donasi!$B$2:$B$20000,A440))</f>
        <v/>
      </c>
      <c r="C440">
        <f>IF(A440="","",COUNTIF(Donasi!$B$2:$B$20000,A440))</f>
        <v/>
      </c>
      <c r="D440">
        <f>IF(A440="","",SUMIF(Donasi!$B$2:$B$20000,A440,Donasi!$C$2:$C$20000))</f>
        <v/>
      </c>
      <c r="E440">
        <f>IF(A440="","",6-CEILING(PERCENTRANK.INC($B$3:$B$6000,B440,4)*5+0.000001,1))</f>
        <v/>
      </c>
      <c r="F440">
        <f>IF(A440="","",MAX(1,CEILING(PERCENTRANK.INC($C$3:$C$6000,C440,4)*5+0.000001,1)))</f>
        <v/>
      </c>
      <c r="G440">
        <f>IF(A440="","",MAX(1,CEILING(PERCENTRANK.INC($D$3:$D$6000,D440,4)*5+0.000001,1)))</f>
        <v/>
      </c>
      <c r="H440">
        <f>IF(A440="","",E440&amp;F440&amp;G440)</f>
        <v/>
      </c>
      <c r="I440">
        <f>IF(A440="","",IF(AND(E440&gt;=4,F440&gt;=4,G440&gt;=4),"Juara",IF(AND(F440&gt;=4,E440&gt;=3),"Setia",IF(AND(E440=5,F440&lt;=2,G440&gt;=3),"Berpotensi",IF(AND(E440&lt;=3,E440&gt;=2,F440&gt;=3),"Rawan",IF(AND(E440&lt;=2,F440&lt;=2),"Tidur","Umum"))))))</f>
        <v/>
      </c>
    </row>
    <row r="441">
      <c r="B441">
        <f>IF(A441="","",$B$1-MAXIFS(Donasi!$A$2:$A$20000,Donasi!$B$2:$B$20000,A441))</f>
        <v/>
      </c>
      <c r="C441">
        <f>IF(A441="","",COUNTIF(Donasi!$B$2:$B$20000,A441))</f>
        <v/>
      </c>
      <c r="D441">
        <f>IF(A441="","",SUMIF(Donasi!$B$2:$B$20000,A441,Donasi!$C$2:$C$20000))</f>
        <v/>
      </c>
      <c r="E441">
        <f>IF(A441="","",6-CEILING(PERCENTRANK.INC($B$3:$B$6000,B441,4)*5+0.000001,1))</f>
        <v/>
      </c>
      <c r="F441">
        <f>IF(A441="","",MAX(1,CEILING(PERCENTRANK.INC($C$3:$C$6000,C441,4)*5+0.000001,1)))</f>
        <v/>
      </c>
      <c r="G441">
        <f>IF(A441="","",MAX(1,CEILING(PERCENTRANK.INC($D$3:$D$6000,D441,4)*5+0.000001,1)))</f>
        <v/>
      </c>
      <c r="H441">
        <f>IF(A441="","",E441&amp;F441&amp;G441)</f>
        <v/>
      </c>
      <c r="I441">
        <f>IF(A441="","",IF(AND(E441&gt;=4,F441&gt;=4,G441&gt;=4),"Juara",IF(AND(F441&gt;=4,E441&gt;=3),"Setia",IF(AND(E441=5,F441&lt;=2,G441&gt;=3),"Berpotensi",IF(AND(E441&lt;=3,E441&gt;=2,F441&gt;=3),"Rawan",IF(AND(E441&lt;=2,F441&lt;=2),"Tidur","Umum"))))))</f>
        <v/>
      </c>
    </row>
    <row r="442">
      <c r="B442">
        <f>IF(A442="","",$B$1-MAXIFS(Donasi!$A$2:$A$20000,Donasi!$B$2:$B$20000,A442))</f>
        <v/>
      </c>
      <c r="C442">
        <f>IF(A442="","",COUNTIF(Donasi!$B$2:$B$20000,A442))</f>
        <v/>
      </c>
      <c r="D442">
        <f>IF(A442="","",SUMIF(Donasi!$B$2:$B$20000,A442,Donasi!$C$2:$C$20000))</f>
        <v/>
      </c>
      <c r="E442">
        <f>IF(A442="","",6-CEILING(PERCENTRANK.INC($B$3:$B$6000,B442,4)*5+0.000001,1))</f>
        <v/>
      </c>
      <c r="F442">
        <f>IF(A442="","",MAX(1,CEILING(PERCENTRANK.INC($C$3:$C$6000,C442,4)*5+0.000001,1)))</f>
        <v/>
      </c>
      <c r="G442">
        <f>IF(A442="","",MAX(1,CEILING(PERCENTRANK.INC($D$3:$D$6000,D442,4)*5+0.000001,1)))</f>
        <v/>
      </c>
      <c r="H442">
        <f>IF(A442="","",E442&amp;F442&amp;G442)</f>
        <v/>
      </c>
      <c r="I442">
        <f>IF(A442="","",IF(AND(E442&gt;=4,F442&gt;=4,G442&gt;=4),"Juara",IF(AND(F442&gt;=4,E442&gt;=3),"Setia",IF(AND(E442=5,F442&lt;=2,G442&gt;=3),"Berpotensi",IF(AND(E442&lt;=3,E442&gt;=2,F442&gt;=3),"Rawan",IF(AND(E442&lt;=2,F442&lt;=2),"Tidur","Umum"))))))</f>
        <v/>
      </c>
    </row>
    <row r="443">
      <c r="B443">
        <f>IF(A443="","",$B$1-MAXIFS(Donasi!$A$2:$A$20000,Donasi!$B$2:$B$20000,A443))</f>
        <v/>
      </c>
      <c r="C443">
        <f>IF(A443="","",COUNTIF(Donasi!$B$2:$B$20000,A443))</f>
        <v/>
      </c>
      <c r="D443">
        <f>IF(A443="","",SUMIF(Donasi!$B$2:$B$20000,A443,Donasi!$C$2:$C$20000))</f>
        <v/>
      </c>
      <c r="E443">
        <f>IF(A443="","",6-CEILING(PERCENTRANK.INC($B$3:$B$6000,B443,4)*5+0.000001,1))</f>
        <v/>
      </c>
      <c r="F443">
        <f>IF(A443="","",MAX(1,CEILING(PERCENTRANK.INC($C$3:$C$6000,C443,4)*5+0.000001,1)))</f>
        <v/>
      </c>
      <c r="G443">
        <f>IF(A443="","",MAX(1,CEILING(PERCENTRANK.INC($D$3:$D$6000,D443,4)*5+0.000001,1)))</f>
        <v/>
      </c>
      <c r="H443">
        <f>IF(A443="","",E443&amp;F443&amp;G443)</f>
        <v/>
      </c>
      <c r="I443">
        <f>IF(A443="","",IF(AND(E443&gt;=4,F443&gt;=4,G443&gt;=4),"Juara",IF(AND(F443&gt;=4,E443&gt;=3),"Setia",IF(AND(E443=5,F443&lt;=2,G443&gt;=3),"Berpotensi",IF(AND(E443&lt;=3,E443&gt;=2,F443&gt;=3),"Rawan",IF(AND(E443&lt;=2,F443&lt;=2),"Tidur","Umum"))))))</f>
        <v/>
      </c>
    </row>
    <row r="444">
      <c r="B444">
        <f>IF(A444="","",$B$1-MAXIFS(Donasi!$A$2:$A$20000,Donasi!$B$2:$B$20000,A444))</f>
        <v/>
      </c>
      <c r="C444">
        <f>IF(A444="","",COUNTIF(Donasi!$B$2:$B$20000,A444))</f>
        <v/>
      </c>
      <c r="D444">
        <f>IF(A444="","",SUMIF(Donasi!$B$2:$B$20000,A444,Donasi!$C$2:$C$20000))</f>
        <v/>
      </c>
      <c r="E444">
        <f>IF(A444="","",6-CEILING(PERCENTRANK.INC($B$3:$B$6000,B444,4)*5+0.000001,1))</f>
        <v/>
      </c>
      <c r="F444">
        <f>IF(A444="","",MAX(1,CEILING(PERCENTRANK.INC($C$3:$C$6000,C444,4)*5+0.000001,1)))</f>
        <v/>
      </c>
      <c r="G444">
        <f>IF(A444="","",MAX(1,CEILING(PERCENTRANK.INC($D$3:$D$6000,D444,4)*5+0.000001,1)))</f>
        <v/>
      </c>
      <c r="H444">
        <f>IF(A444="","",E444&amp;F444&amp;G444)</f>
        <v/>
      </c>
      <c r="I444">
        <f>IF(A444="","",IF(AND(E444&gt;=4,F444&gt;=4,G444&gt;=4),"Juara",IF(AND(F444&gt;=4,E444&gt;=3),"Setia",IF(AND(E444=5,F444&lt;=2,G444&gt;=3),"Berpotensi",IF(AND(E444&lt;=3,E444&gt;=2,F444&gt;=3),"Rawan",IF(AND(E444&lt;=2,F444&lt;=2),"Tidur","Umum"))))))</f>
        <v/>
      </c>
    </row>
    <row r="445">
      <c r="B445">
        <f>IF(A445="","",$B$1-MAXIFS(Donasi!$A$2:$A$20000,Donasi!$B$2:$B$20000,A445))</f>
        <v/>
      </c>
      <c r="C445">
        <f>IF(A445="","",COUNTIF(Donasi!$B$2:$B$20000,A445))</f>
        <v/>
      </c>
      <c r="D445">
        <f>IF(A445="","",SUMIF(Donasi!$B$2:$B$20000,A445,Donasi!$C$2:$C$20000))</f>
        <v/>
      </c>
      <c r="E445">
        <f>IF(A445="","",6-CEILING(PERCENTRANK.INC($B$3:$B$6000,B445,4)*5+0.000001,1))</f>
        <v/>
      </c>
      <c r="F445">
        <f>IF(A445="","",MAX(1,CEILING(PERCENTRANK.INC($C$3:$C$6000,C445,4)*5+0.000001,1)))</f>
        <v/>
      </c>
      <c r="G445">
        <f>IF(A445="","",MAX(1,CEILING(PERCENTRANK.INC($D$3:$D$6000,D445,4)*5+0.000001,1)))</f>
        <v/>
      </c>
      <c r="H445">
        <f>IF(A445="","",E445&amp;F445&amp;G445)</f>
        <v/>
      </c>
      <c r="I445">
        <f>IF(A445="","",IF(AND(E445&gt;=4,F445&gt;=4,G445&gt;=4),"Juara",IF(AND(F445&gt;=4,E445&gt;=3),"Setia",IF(AND(E445=5,F445&lt;=2,G445&gt;=3),"Berpotensi",IF(AND(E445&lt;=3,E445&gt;=2,F445&gt;=3),"Rawan",IF(AND(E445&lt;=2,F445&lt;=2),"Tidur","Umum"))))))</f>
        <v/>
      </c>
    </row>
    <row r="446">
      <c r="B446">
        <f>IF(A446="","",$B$1-MAXIFS(Donasi!$A$2:$A$20000,Donasi!$B$2:$B$20000,A446))</f>
        <v/>
      </c>
      <c r="C446">
        <f>IF(A446="","",COUNTIF(Donasi!$B$2:$B$20000,A446))</f>
        <v/>
      </c>
      <c r="D446">
        <f>IF(A446="","",SUMIF(Donasi!$B$2:$B$20000,A446,Donasi!$C$2:$C$20000))</f>
        <v/>
      </c>
      <c r="E446">
        <f>IF(A446="","",6-CEILING(PERCENTRANK.INC($B$3:$B$6000,B446,4)*5+0.000001,1))</f>
        <v/>
      </c>
      <c r="F446">
        <f>IF(A446="","",MAX(1,CEILING(PERCENTRANK.INC($C$3:$C$6000,C446,4)*5+0.000001,1)))</f>
        <v/>
      </c>
      <c r="G446">
        <f>IF(A446="","",MAX(1,CEILING(PERCENTRANK.INC($D$3:$D$6000,D446,4)*5+0.000001,1)))</f>
        <v/>
      </c>
      <c r="H446">
        <f>IF(A446="","",E446&amp;F446&amp;G446)</f>
        <v/>
      </c>
      <c r="I446">
        <f>IF(A446="","",IF(AND(E446&gt;=4,F446&gt;=4,G446&gt;=4),"Juara",IF(AND(F446&gt;=4,E446&gt;=3),"Setia",IF(AND(E446=5,F446&lt;=2,G446&gt;=3),"Berpotensi",IF(AND(E446&lt;=3,E446&gt;=2,F446&gt;=3),"Rawan",IF(AND(E446&lt;=2,F446&lt;=2),"Tidur","Umum"))))))</f>
        <v/>
      </c>
    </row>
    <row r="447">
      <c r="B447">
        <f>IF(A447="","",$B$1-MAXIFS(Donasi!$A$2:$A$20000,Donasi!$B$2:$B$20000,A447))</f>
        <v/>
      </c>
      <c r="C447">
        <f>IF(A447="","",COUNTIF(Donasi!$B$2:$B$20000,A447))</f>
        <v/>
      </c>
      <c r="D447">
        <f>IF(A447="","",SUMIF(Donasi!$B$2:$B$20000,A447,Donasi!$C$2:$C$20000))</f>
        <v/>
      </c>
      <c r="E447">
        <f>IF(A447="","",6-CEILING(PERCENTRANK.INC($B$3:$B$6000,B447,4)*5+0.000001,1))</f>
        <v/>
      </c>
      <c r="F447">
        <f>IF(A447="","",MAX(1,CEILING(PERCENTRANK.INC($C$3:$C$6000,C447,4)*5+0.000001,1)))</f>
        <v/>
      </c>
      <c r="G447">
        <f>IF(A447="","",MAX(1,CEILING(PERCENTRANK.INC($D$3:$D$6000,D447,4)*5+0.000001,1)))</f>
        <v/>
      </c>
      <c r="H447">
        <f>IF(A447="","",E447&amp;F447&amp;G447)</f>
        <v/>
      </c>
      <c r="I447">
        <f>IF(A447="","",IF(AND(E447&gt;=4,F447&gt;=4,G447&gt;=4),"Juara",IF(AND(F447&gt;=4,E447&gt;=3),"Setia",IF(AND(E447=5,F447&lt;=2,G447&gt;=3),"Berpotensi",IF(AND(E447&lt;=3,E447&gt;=2,F447&gt;=3),"Rawan",IF(AND(E447&lt;=2,F447&lt;=2),"Tidur","Umum"))))))</f>
        <v/>
      </c>
    </row>
    <row r="448">
      <c r="B448">
        <f>IF(A448="","",$B$1-MAXIFS(Donasi!$A$2:$A$20000,Donasi!$B$2:$B$20000,A448))</f>
        <v/>
      </c>
      <c r="C448">
        <f>IF(A448="","",COUNTIF(Donasi!$B$2:$B$20000,A448))</f>
        <v/>
      </c>
      <c r="D448">
        <f>IF(A448="","",SUMIF(Donasi!$B$2:$B$20000,A448,Donasi!$C$2:$C$20000))</f>
        <v/>
      </c>
      <c r="E448">
        <f>IF(A448="","",6-CEILING(PERCENTRANK.INC($B$3:$B$6000,B448,4)*5+0.000001,1))</f>
        <v/>
      </c>
      <c r="F448">
        <f>IF(A448="","",MAX(1,CEILING(PERCENTRANK.INC($C$3:$C$6000,C448,4)*5+0.000001,1)))</f>
        <v/>
      </c>
      <c r="G448">
        <f>IF(A448="","",MAX(1,CEILING(PERCENTRANK.INC($D$3:$D$6000,D448,4)*5+0.000001,1)))</f>
        <v/>
      </c>
      <c r="H448">
        <f>IF(A448="","",E448&amp;F448&amp;G448)</f>
        <v/>
      </c>
      <c r="I448">
        <f>IF(A448="","",IF(AND(E448&gt;=4,F448&gt;=4,G448&gt;=4),"Juara",IF(AND(F448&gt;=4,E448&gt;=3),"Setia",IF(AND(E448=5,F448&lt;=2,G448&gt;=3),"Berpotensi",IF(AND(E448&lt;=3,E448&gt;=2,F448&gt;=3),"Rawan",IF(AND(E448&lt;=2,F448&lt;=2),"Tidur","Umum"))))))</f>
        <v/>
      </c>
    </row>
    <row r="449">
      <c r="B449">
        <f>IF(A449="","",$B$1-MAXIFS(Donasi!$A$2:$A$20000,Donasi!$B$2:$B$20000,A449))</f>
        <v/>
      </c>
      <c r="C449">
        <f>IF(A449="","",COUNTIF(Donasi!$B$2:$B$20000,A449))</f>
        <v/>
      </c>
      <c r="D449">
        <f>IF(A449="","",SUMIF(Donasi!$B$2:$B$20000,A449,Donasi!$C$2:$C$20000))</f>
        <v/>
      </c>
      <c r="E449">
        <f>IF(A449="","",6-CEILING(PERCENTRANK.INC($B$3:$B$6000,B449,4)*5+0.000001,1))</f>
        <v/>
      </c>
      <c r="F449">
        <f>IF(A449="","",MAX(1,CEILING(PERCENTRANK.INC($C$3:$C$6000,C449,4)*5+0.000001,1)))</f>
        <v/>
      </c>
      <c r="G449">
        <f>IF(A449="","",MAX(1,CEILING(PERCENTRANK.INC($D$3:$D$6000,D449,4)*5+0.000001,1)))</f>
        <v/>
      </c>
      <c r="H449">
        <f>IF(A449="","",E449&amp;F449&amp;G449)</f>
        <v/>
      </c>
      <c r="I449">
        <f>IF(A449="","",IF(AND(E449&gt;=4,F449&gt;=4,G449&gt;=4),"Juara",IF(AND(F449&gt;=4,E449&gt;=3),"Setia",IF(AND(E449=5,F449&lt;=2,G449&gt;=3),"Berpotensi",IF(AND(E449&lt;=3,E449&gt;=2,F449&gt;=3),"Rawan",IF(AND(E449&lt;=2,F449&lt;=2),"Tidur","Umum"))))))</f>
        <v/>
      </c>
    </row>
    <row r="450">
      <c r="B450">
        <f>IF(A450="","",$B$1-MAXIFS(Donasi!$A$2:$A$20000,Donasi!$B$2:$B$20000,A450))</f>
        <v/>
      </c>
      <c r="C450">
        <f>IF(A450="","",COUNTIF(Donasi!$B$2:$B$20000,A450))</f>
        <v/>
      </c>
      <c r="D450">
        <f>IF(A450="","",SUMIF(Donasi!$B$2:$B$20000,A450,Donasi!$C$2:$C$20000))</f>
        <v/>
      </c>
      <c r="E450">
        <f>IF(A450="","",6-CEILING(PERCENTRANK.INC($B$3:$B$6000,B450,4)*5+0.000001,1))</f>
        <v/>
      </c>
      <c r="F450">
        <f>IF(A450="","",MAX(1,CEILING(PERCENTRANK.INC($C$3:$C$6000,C450,4)*5+0.000001,1)))</f>
        <v/>
      </c>
      <c r="G450">
        <f>IF(A450="","",MAX(1,CEILING(PERCENTRANK.INC($D$3:$D$6000,D450,4)*5+0.000001,1)))</f>
        <v/>
      </c>
      <c r="H450">
        <f>IF(A450="","",E450&amp;F450&amp;G450)</f>
        <v/>
      </c>
      <c r="I450">
        <f>IF(A450="","",IF(AND(E450&gt;=4,F450&gt;=4,G450&gt;=4),"Juara",IF(AND(F450&gt;=4,E450&gt;=3),"Setia",IF(AND(E450=5,F450&lt;=2,G450&gt;=3),"Berpotensi",IF(AND(E450&lt;=3,E450&gt;=2,F450&gt;=3),"Rawan",IF(AND(E450&lt;=2,F450&lt;=2),"Tidur","Umum"))))))</f>
        <v/>
      </c>
    </row>
    <row r="451">
      <c r="B451">
        <f>IF(A451="","",$B$1-MAXIFS(Donasi!$A$2:$A$20000,Donasi!$B$2:$B$20000,A451))</f>
        <v/>
      </c>
      <c r="C451">
        <f>IF(A451="","",COUNTIF(Donasi!$B$2:$B$20000,A451))</f>
        <v/>
      </c>
      <c r="D451">
        <f>IF(A451="","",SUMIF(Donasi!$B$2:$B$20000,A451,Donasi!$C$2:$C$20000))</f>
        <v/>
      </c>
      <c r="E451">
        <f>IF(A451="","",6-CEILING(PERCENTRANK.INC($B$3:$B$6000,B451,4)*5+0.000001,1))</f>
        <v/>
      </c>
      <c r="F451">
        <f>IF(A451="","",MAX(1,CEILING(PERCENTRANK.INC($C$3:$C$6000,C451,4)*5+0.000001,1)))</f>
        <v/>
      </c>
      <c r="G451">
        <f>IF(A451="","",MAX(1,CEILING(PERCENTRANK.INC($D$3:$D$6000,D451,4)*5+0.000001,1)))</f>
        <v/>
      </c>
      <c r="H451">
        <f>IF(A451="","",E451&amp;F451&amp;G451)</f>
        <v/>
      </c>
      <c r="I451">
        <f>IF(A451="","",IF(AND(E451&gt;=4,F451&gt;=4,G451&gt;=4),"Juara",IF(AND(F451&gt;=4,E451&gt;=3),"Setia",IF(AND(E451=5,F451&lt;=2,G451&gt;=3),"Berpotensi",IF(AND(E451&lt;=3,E451&gt;=2,F451&gt;=3),"Rawan",IF(AND(E451&lt;=2,F451&lt;=2),"Tidur","Umum"))))))</f>
        <v/>
      </c>
    </row>
    <row r="452">
      <c r="B452">
        <f>IF(A452="","",$B$1-MAXIFS(Donasi!$A$2:$A$20000,Donasi!$B$2:$B$20000,A452))</f>
        <v/>
      </c>
      <c r="C452">
        <f>IF(A452="","",COUNTIF(Donasi!$B$2:$B$20000,A452))</f>
        <v/>
      </c>
      <c r="D452">
        <f>IF(A452="","",SUMIF(Donasi!$B$2:$B$20000,A452,Donasi!$C$2:$C$20000))</f>
        <v/>
      </c>
      <c r="E452">
        <f>IF(A452="","",6-CEILING(PERCENTRANK.INC($B$3:$B$6000,B452,4)*5+0.000001,1))</f>
        <v/>
      </c>
      <c r="F452">
        <f>IF(A452="","",MAX(1,CEILING(PERCENTRANK.INC($C$3:$C$6000,C452,4)*5+0.000001,1)))</f>
        <v/>
      </c>
      <c r="G452">
        <f>IF(A452="","",MAX(1,CEILING(PERCENTRANK.INC($D$3:$D$6000,D452,4)*5+0.000001,1)))</f>
        <v/>
      </c>
      <c r="H452">
        <f>IF(A452="","",E452&amp;F452&amp;G452)</f>
        <v/>
      </c>
      <c r="I452">
        <f>IF(A452="","",IF(AND(E452&gt;=4,F452&gt;=4,G452&gt;=4),"Juara",IF(AND(F452&gt;=4,E452&gt;=3),"Setia",IF(AND(E452=5,F452&lt;=2,G452&gt;=3),"Berpotensi",IF(AND(E452&lt;=3,E452&gt;=2,F452&gt;=3),"Rawan",IF(AND(E452&lt;=2,F452&lt;=2),"Tidur","Umum"))))))</f>
        <v/>
      </c>
    </row>
    <row r="453">
      <c r="B453">
        <f>IF(A453="","",$B$1-MAXIFS(Donasi!$A$2:$A$20000,Donasi!$B$2:$B$20000,A453))</f>
        <v/>
      </c>
      <c r="C453">
        <f>IF(A453="","",COUNTIF(Donasi!$B$2:$B$20000,A453))</f>
        <v/>
      </c>
      <c r="D453">
        <f>IF(A453="","",SUMIF(Donasi!$B$2:$B$20000,A453,Donasi!$C$2:$C$20000))</f>
        <v/>
      </c>
      <c r="E453">
        <f>IF(A453="","",6-CEILING(PERCENTRANK.INC($B$3:$B$6000,B453,4)*5+0.000001,1))</f>
        <v/>
      </c>
      <c r="F453">
        <f>IF(A453="","",MAX(1,CEILING(PERCENTRANK.INC($C$3:$C$6000,C453,4)*5+0.000001,1)))</f>
        <v/>
      </c>
      <c r="G453">
        <f>IF(A453="","",MAX(1,CEILING(PERCENTRANK.INC($D$3:$D$6000,D453,4)*5+0.000001,1)))</f>
        <v/>
      </c>
      <c r="H453">
        <f>IF(A453="","",E453&amp;F453&amp;G453)</f>
        <v/>
      </c>
      <c r="I453">
        <f>IF(A453="","",IF(AND(E453&gt;=4,F453&gt;=4,G453&gt;=4),"Juara",IF(AND(F453&gt;=4,E453&gt;=3),"Setia",IF(AND(E453=5,F453&lt;=2,G453&gt;=3),"Berpotensi",IF(AND(E453&lt;=3,E453&gt;=2,F453&gt;=3),"Rawan",IF(AND(E453&lt;=2,F453&lt;=2),"Tidur","Umum"))))))</f>
        <v/>
      </c>
    </row>
    <row r="454">
      <c r="B454">
        <f>IF(A454="","",$B$1-MAXIFS(Donasi!$A$2:$A$20000,Donasi!$B$2:$B$20000,A454))</f>
        <v/>
      </c>
      <c r="C454">
        <f>IF(A454="","",COUNTIF(Donasi!$B$2:$B$20000,A454))</f>
        <v/>
      </c>
      <c r="D454">
        <f>IF(A454="","",SUMIF(Donasi!$B$2:$B$20000,A454,Donasi!$C$2:$C$20000))</f>
        <v/>
      </c>
      <c r="E454">
        <f>IF(A454="","",6-CEILING(PERCENTRANK.INC($B$3:$B$6000,B454,4)*5+0.000001,1))</f>
        <v/>
      </c>
      <c r="F454">
        <f>IF(A454="","",MAX(1,CEILING(PERCENTRANK.INC($C$3:$C$6000,C454,4)*5+0.000001,1)))</f>
        <v/>
      </c>
      <c r="G454">
        <f>IF(A454="","",MAX(1,CEILING(PERCENTRANK.INC($D$3:$D$6000,D454,4)*5+0.000001,1)))</f>
        <v/>
      </c>
      <c r="H454">
        <f>IF(A454="","",E454&amp;F454&amp;G454)</f>
        <v/>
      </c>
      <c r="I454">
        <f>IF(A454="","",IF(AND(E454&gt;=4,F454&gt;=4,G454&gt;=4),"Juara",IF(AND(F454&gt;=4,E454&gt;=3),"Setia",IF(AND(E454=5,F454&lt;=2,G454&gt;=3),"Berpotensi",IF(AND(E454&lt;=3,E454&gt;=2,F454&gt;=3),"Rawan",IF(AND(E454&lt;=2,F454&lt;=2),"Tidur","Umum"))))))</f>
        <v/>
      </c>
    </row>
    <row r="455">
      <c r="B455">
        <f>IF(A455="","",$B$1-MAXIFS(Donasi!$A$2:$A$20000,Donasi!$B$2:$B$20000,A455))</f>
        <v/>
      </c>
      <c r="C455">
        <f>IF(A455="","",COUNTIF(Donasi!$B$2:$B$20000,A455))</f>
        <v/>
      </c>
      <c r="D455">
        <f>IF(A455="","",SUMIF(Donasi!$B$2:$B$20000,A455,Donasi!$C$2:$C$20000))</f>
        <v/>
      </c>
      <c r="E455">
        <f>IF(A455="","",6-CEILING(PERCENTRANK.INC($B$3:$B$6000,B455,4)*5+0.000001,1))</f>
        <v/>
      </c>
      <c r="F455">
        <f>IF(A455="","",MAX(1,CEILING(PERCENTRANK.INC($C$3:$C$6000,C455,4)*5+0.000001,1)))</f>
        <v/>
      </c>
      <c r="G455">
        <f>IF(A455="","",MAX(1,CEILING(PERCENTRANK.INC($D$3:$D$6000,D455,4)*5+0.000001,1)))</f>
        <v/>
      </c>
      <c r="H455">
        <f>IF(A455="","",E455&amp;F455&amp;G455)</f>
        <v/>
      </c>
      <c r="I455">
        <f>IF(A455="","",IF(AND(E455&gt;=4,F455&gt;=4,G455&gt;=4),"Juara",IF(AND(F455&gt;=4,E455&gt;=3),"Setia",IF(AND(E455=5,F455&lt;=2,G455&gt;=3),"Berpotensi",IF(AND(E455&lt;=3,E455&gt;=2,F455&gt;=3),"Rawan",IF(AND(E455&lt;=2,F455&lt;=2),"Tidur","Umum"))))))</f>
        <v/>
      </c>
    </row>
    <row r="456">
      <c r="B456">
        <f>IF(A456="","",$B$1-MAXIFS(Donasi!$A$2:$A$20000,Donasi!$B$2:$B$20000,A456))</f>
        <v/>
      </c>
      <c r="C456">
        <f>IF(A456="","",COUNTIF(Donasi!$B$2:$B$20000,A456))</f>
        <v/>
      </c>
      <c r="D456">
        <f>IF(A456="","",SUMIF(Donasi!$B$2:$B$20000,A456,Donasi!$C$2:$C$20000))</f>
        <v/>
      </c>
      <c r="E456">
        <f>IF(A456="","",6-CEILING(PERCENTRANK.INC($B$3:$B$6000,B456,4)*5+0.000001,1))</f>
        <v/>
      </c>
      <c r="F456">
        <f>IF(A456="","",MAX(1,CEILING(PERCENTRANK.INC($C$3:$C$6000,C456,4)*5+0.000001,1)))</f>
        <v/>
      </c>
      <c r="G456">
        <f>IF(A456="","",MAX(1,CEILING(PERCENTRANK.INC($D$3:$D$6000,D456,4)*5+0.000001,1)))</f>
        <v/>
      </c>
      <c r="H456">
        <f>IF(A456="","",E456&amp;F456&amp;G456)</f>
        <v/>
      </c>
      <c r="I456">
        <f>IF(A456="","",IF(AND(E456&gt;=4,F456&gt;=4,G456&gt;=4),"Juara",IF(AND(F456&gt;=4,E456&gt;=3),"Setia",IF(AND(E456=5,F456&lt;=2,G456&gt;=3),"Berpotensi",IF(AND(E456&lt;=3,E456&gt;=2,F456&gt;=3),"Rawan",IF(AND(E456&lt;=2,F456&lt;=2),"Tidur","Umum"))))))</f>
        <v/>
      </c>
    </row>
    <row r="457">
      <c r="B457">
        <f>IF(A457="","",$B$1-MAXIFS(Donasi!$A$2:$A$20000,Donasi!$B$2:$B$20000,A457))</f>
        <v/>
      </c>
      <c r="C457">
        <f>IF(A457="","",COUNTIF(Donasi!$B$2:$B$20000,A457))</f>
        <v/>
      </c>
      <c r="D457">
        <f>IF(A457="","",SUMIF(Donasi!$B$2:$B$20000,A457,Donasi!$C$2:$C$20000))</f>
        <v/>
      </c>
      <c r="E457">
        <f>IF(A457="","",6-CEILING(PERCENTRANK.INC($B$3:$B$6000,B457,4)*5+0.000001,1))</f>
        <v/>
      </c>
      <c r="F457">
        <f>IF(A457="","",MAX(1,CEILING(PERCENTRANK.INC($C$3:$C$6000,C457,4)*5+0.000001,1)))</f>
        <v/>
      </c>
      <c r="G457">
        <f>IF(A457="","",MAX(1,CEILING(PERCENTRANK.INC($D$3:$D$6000,D457,4)*5+0.000001,1)))</f>
        <v/>
      </c>
      <c r="H457">
        <f>IF(A457="","",E457&amp;F457&amp;G457)</f>
        <v/>
      </c>
      <c r="I457">
        <f>IF(A457="","",IF(AND(E457&gt;=4,F457&gt;=4,G457&gt;=4),"Juara",IF(AND(F457&gt;=4,E457&gt;=3),"Setia",IF(AND(E457=5,F457&lt;=2,G457&gt;=3),"Berpotensi",IF(AND(E457&lt;=3,E457&gt;=2,F457&gt;=3),"Rawan",IF(AND(E457&lt;=2,F457&lt;=2),"Tidur","Umum"))))))</f>
        <v/>
      </c>
    </row>
    <row r="458">
      <c r="B458">
        <f>IF(A458="","",$B$1-MAXIFS(Donasi!$A$2:$A$20000,Donasi!$B$2:$B$20000,A458))</f>
        <v/>
      </c>
      <c r="C458">
        <f>IF(A458="","",COUNTIF(Donasi!$B$2:$B$20000,A458))</f>
        <v/>
      </c>
      <c r="D458">
        <f>IF(A458="","",SUMIF(Donasi!$B$2:$B$20000,A458,Donasi!$C$2:$C$20000))</f>
        <v/>
      </c>
      <c r="E458">
        <f>IF(A458="","",6-CEILING(PERCENTRANK.INC($B$3:$B$6000,B458,4)*5+0.000001,1))</f>
        <v/>
      </c>
      <c r="F458">
        <f>IF(A458="","",MAX(1,CEILING(PERCENTRANK.INC($C$3:$C$6000,C458,4)*5+0.000001,1)))</f>
        <v/>
      </c>
      <c r="G458">
        <f>IF(A458="","",MAX(1,CEILING(PERCENTRANK.INC($D$3:$D$6000,D458,4)*5+0.000001,1)))</f>
        <v/>
      </c>
      <c r="H458">
        <f>IF(A458="","",E458&amp;F458&amp;G458)</f>
        <v/>
      </c>
      <c r="I458">
        <f>IF(A458="","",IF(AND(E458&gt;=4,F458&gt;=4,G458&gt;=4),"Juara",IF(AND(F458&gt;=4,E458&gt;=3),"Setia",IF(AND(E458=5,F458&lt;=2,G458&gt;=3),"Berpotensi",IF(AND(E458&lt;=3,E458&gt;=2,F458&gt;=3),"Rawan",IF(AND(E458&lt;=2,F458&lt;=2),"Tidur","Umum"))))))</f>
        <v/>
      </c>
    </row>
    <row r="459">
      <c r="B459">
        <f>IF(A459="","",$B$1-MAXIFS(Donasi!$A$2:$A$20000,Donasi!$B$2:$B$20000,A459))</f>
        <v/>
      </c>
      <c r="C459">
        <f>IF(A459="","",COUNTIF(Donasi!$B$2:$B$20000,A459))</f>
        <v/>
      </c>
      <c r="D459">
        <f>IF(A459="","",SUMIF(Donasi!$B$2:$B$20000,A459,Donasi!$C$2:$C$20000))</f>
        <v/>
      </c>
      <c r="E459">
        <f>IF(A459="","",6-CEILING(PERCENTRANK.INC($B$3:$B$6000,B459,4)*5+0.000001,1))</f>
        <v/>
      </c>
      <c r="F459">
        <f>IF(A459="","",MAX(1,CEILING(PERCENTRANK.INC($C$3:$C$6000,C459,4)*5+0.000001,1)))</f>
        <v/>
      </c>
      <c r="G459">
        <f>IF(A459="","",MAX(1,CEILING(PERCENTRANK.INC($D$3:$D$6000,D459,4)*5+0.000001,1)))</f>
        <v/>
      </c>
      <c r="H459">
        <f>IF(A459="","",E459&amp;F459&amp;G459)</f>
        <v/>
      </c>
      <c r="I459">
        <f>IF(A459="","",IF(AND(E459&gt;=4,F459&gt;=4,G459&gt;=4),"Juara",IF(AND(F459&gt;=4,E459&gt;=3),"Setia",IF(AND(E459=5,F459&lt;=2,G459&gt;=3),"Berpotensi",IF(AND(E459&lt;=3,E459&gt;=2,F459&gt;=3),"Rawan",IF(AND(E459&lt;=2,F459&lt;=2),"Tidur","Umum"))))))</f>
        <v/>
      </c>
    </row>
    <row r="460">
      <c r="B460">
        <f>IF(A460="","",$B$1-MAXIFS(Donasi!$A$2:$A$20000,Donasi!$B$2:$B$20000,A460))</f>
        <v/>
      </c>
      <c r="C460">
        <f>IF(A460="","",COUNTIF(Donasi!$B$2:$B$20000,A460))</f>
        <v/>
      </c>
      <c r="D460">
        <f>IF(A460="","",SUMIF(Donasi!$B$2:$B$20000,A460,Donasi!$C$2:$C$20000))</f>
        <v/>
      </c>
      <c r="E460">
        <f>IF(A460="","",6-CEILING(PERCENTRANK.INC($B$3:$B$6000,B460,4)*5+0.000001,1))</f>
        <v/>
      </c>
      <c r="F460">
        <f>IF(A460="","",MAX(1,CEILING(PERCENTRANK.INC($C$3:$C$6000,C460,4)*5+0.000001,1)))</f>
        <v/>
      </c>
      <c r="G460">
        <f>IF(A460="","",MAX(1,CEILING(PERCENTRANK.INC($D$3:$D$6000,D460,4)*5+0.000001,1)))</f>
        <v/>
      </c>
      <c r="H460">
        <f>IF(A460="","",E460&amp;F460&amp;G460)</f>
        <v/>
      </c>
      <c r="I460">
        <f>IF(A460="","",IF(AND(E460&gt;=4,F460&gt;=4,G460&gt;=4),"Juara",IF(AND(F460&gt;=4,E460&gt;=3),"Setia",IF(AND(E460=5,F460&lt;=2,G460&gt;=3),"Berpotensi",IF(AND(E460&lt;=3,E460&gt;=2,F460&gt;=3),"Rawan",IF(AND(E460&lt;=2,F460&lt;=2),"Tidur","Umum"))))))</f>
        <v/>
      </c>
    </row>
    <row r="461">
      <c r="B461">
        <f>IF(A461="","",$B$1-MAXIFS(Donasi!$A$2:$A$20000,Donasi!$B$2:$B$20000,A461))</f>
        <v/>
      </c>
      <c r="C461">
        <f>IF(A461="","",COUNTIF(Donasi!$B$2:$B$20000,A461))</f>
        <v/>
      </c>
      <c r="D461">
        <f>IF(A461="","",SUMIF(Donasi!$B$2:$B$20000,A461,Donasi!$C$2:$C$20000))</f>
        <v/>
      </c>
      <c r="E461">
        <f>IF(A461="","",6-CEILING(PERCENTRANK.INC($B$3:$B$6000,B461,4)*5+0.000001,1))</f>
        <v/>
      </c>
      <c r="F461">
        <f>IF(A461="","",MAX(1,CEILING(PERCENTRANK.INC($C$3:$C$6000,C461,4)*5+0.000001,1)))</f>
        <v/>
      </c>
      <c r="G461">
        <f>IF(A461="","",MAX(1,CEILING(PERCENTRANK.INC($D$3:$D$6000,D461,4)*5+0.000001,1)))</f>
        <v/>
      </c>
      <c r="H461">
        <f>IF(A461="","",E461&amp;F461&amp;G461)</f>
        <v/>
      </c>
      <c r="I461">
        <f>IF(A461="","",IF(AND(E461&gt;=4,F461&gt;=4,G461&gt;=4),"Juara",IF(AND(F461&gt;=4,E461&gt;=3),"Setia",IF(AND(E461=5,F461&lt;=2,G461&gt;=3),"Berpotensi",IF(AND(E461&lt;=3,E461&gt;=2,F461&gt;=3),"Rawan",IF(AND(E461&lt;=2,F461&lt;=2),"Tidur","Umum"))))))</f>
        <v/>
      </c>
    </row>
    <row r="462">
      <c r="B462">
        <f>IF(A462="","",$B$1-MAXIFS(Donasi!$A$2:$A$20000,Donasi!$B$2:$B$20000,A462))</f>
        <v/>
      </c>
      <c r="C462">
        <f>IF(A462="","",COUNTIF(Donasi!$B$2:$B$20000,A462))</f>
        <v/>
      </c>
      <c r="D462">
        <f>IF(A462="","",SUMIF(Donasi!$B$2:$B$20000,A462,Donasi!$C$2:$C$20000))</f>
        <v/>
      </c>
      <c r="E462">
        <f>IF(A462="","",6-CEILING(PERCENTRANK.INC($B$3:$B$6000,B462,4)*5+0.000001,1))</f>
        <v/>
      </c>
      <c r="F462">
        <f>IF(A462="","",MAX(1,CEILING(PERCENTRANK.INC($C$3:$C$6000,C462,4)*5+0.000001,1)))</f>
        <v/>
      </c>
      <c r="G462">
        <f>IF(A462="","",MAX(1,CEILING(PERCENTRANK.INC($D$3:$D$6000,D462,4)*5+0.000001,1)))</f>
        <v/>
      </c>
      <c r="H462">
        <f>IF(A462="","",E462&amp;F462&amp;G462)</f>
        <v/>
      </c>
      <c r="I462">
        <f>IF(A462="","",IF(AND(E462&gt;=4,F462&gt;=4,G462&gt;=4),"Juara",IF(AND(F462&gt;=4,E462&gt;=3),"Setia",IF(AND(E462=5,F462&lt;=2,G462&gt;=3),"Berpotensi",IF(AND(E462&lt;=3,E462&gt;=2,F462&gt;=3),"Rawan",IF(AND(E462&lt;=2,F462&lt;=2),"Tidur","Umum"))))))</f>
        <v/>
      </c>
    </row>
    <row r="463">
      <c r="B463">
        <f>IF(A463="","",$B$1-MAXIFS(Donasi!$A$2:$A$20000,Donasi!$B$2:$B$20000,A463))</f>
        <v/>
      </c>
      <c r="C463">
        <f>IF(A463="","",COUNTIF(Donasi!$B$2:$B$20000,A463))</f>
        <v/>
      </c>
      <c r="D463">
        <f>IF(A463="","",SUMIF(Donasi!$B$2:$B$20000,A463,Donasi!$C$2:$C$20000))</f>
        <v/>
      </c>
      <c r="E463">
        <f>IF(A463="","",6-CEILING(PERCENTRANK.INC($B$3:$B$6000,B463,4)*5+0.000001,1))</f>
        <v/>
      </c>
      <c r="F463">
        <f>IF(A463="","",MAX(1,CEILING(PERCENTRANK.INC($C$3:$C$6000,C463,4)*5+0.000001,1)))</f>
        <v/>
      </c>
      <c r="G463">
        <f>IF(A463="","",MAX(1,CEILING(PERCENTRANK.INC($D$3:$D$6000,D463,4)*5+0.000001,1)))</f>
        <v/>
      </c>
      <c r="H463">
        <f>IF(A463="","",E463&amp;F463&amp;G463)</f>
        <v/>
      </c>
      <c r="I463">
        <f>IF(A463="","",IF(AND(E463&gt;=4,F463&gt;=4,G463&gt;=4),"Juara",IF(AND(F463&gt;=4,E463&gt;=3),"Setia",IF(AND(E463=5,F463&lt;=2,G463&gt;=3),"Berpotensi",IF(AND(E463&lt;=3,E463&gt;=2,F463&gt;=3),"Rawan",IF(AND(E463&lt;=2,F463&lt;=2),"Tidur","Umum"))))))</f>
        <v/>
      </c>
    </row>
    <row r="464">
      <c r="B464">
        <f>IF(A464="","",$B$1-MAXIFS(Donasi!$A$2:$A$20000,Donasi!$B$2:$B$20000,A464))</f>
        <v/>
      </c>
      <c r="C464">
        <f>IF(A464="","",COUNTIF(Donasi!$B$2:$B$20000,A464))</f>
        <v/>
      </c>
      <c r="D464">
        <f>IF(A464="","",SUMIF(Donasi!$B$2:$B$20000,A464,Donasi!$C$2:$C$20000))</f>
        <v/>
      </c>
      <c r="E464">
        <f>IF(A464="","",6-CEILING(PERCENTRANK.INC($B$3:$B$6000,B464,4)*5+0.000001,1))</f>
        <v/>
      </c>
      <c r="F464">
        <f>IF(A464="","",MAX(1,CEILING(PERCENTRANK.INC($C$3:$C$6000,C464,4)*5+0.000001,1)))</f>
        <v/>
      </c>
      <c r="G464">
        <f>IF(A464="","",MAX(1,CEILING(PERCENTRANK.INC($D$3:$D$6000,D464,4)*5+0.000001,1)))</f>
        <v/>
      </c>
      <c r="H464">
        <f>IF(A464="","",E464&amp;F464&amp;G464)</f>
        <v/>
      </c>
      <c r="I464">
        <f>IF(A464="","",IF(AND(E464&gt;=4,F464&gt;=4,G464&gt;=4),"Juara",IF(AND(F464&gt;=4,E464&gt;=3),"Setia",IF(AND(E464=5,F464&lt;=2,G464&gt;=3),"Berpotensi",IF(AND(E464&lt;=3,E464&gt;=2,F464&gt;=3),"Rawan",IF(AND(E464&lt;=2,F464&lt;=2),"Tidur","Umum"))))))</f>
        <v/>
      </c>
    </row>
    <row r="465">
      <c r="B465">
        <f>IF(A465="","",$B$1-MAXIFS(Donasi!$A$2:$A$20000,Donasi!$B$2:$B$20000,A465))</f>
        <v/>
      </c>
      <c r="C465">
        <f>IF(A465="","",COUNTIF(Donasi!$B$2:$B$20000,A465))</f>
        <v/>
      </c>
      <c r="D465">
        <f>IF(A465="","",SUMIF(Donasi!$B$2:$B$20000,A465,Donasi!$C$2:$C$20000))</f>
        <v/>
      </c>
      <c r="E465">
        <f>IF(A465="","",6-CEILING(PERCENTRANK.INC($B$3:$B$6000,B465,4)*5+0.000001,1))</f>
        <v/>
      </c>
      <c r="F465">
        <f>IF(A465="","",MAX(1,CEILING(PERCENTRANK.INC($C$3:$C$6000,C465,4)*5+0.000001,1)))</f>
        <v/>
      </c>
      <c r="G465">
        <f>IF(A465="","",MAX(1,CEILING(PERCENTRANK.INC($D$3:$D$6000,D465,4)*5+0.000001,1)))</f>
        <v/>
      </c>
      <c r="H465">
        <f>IF(A465="","",E465&amp;F465&amp;G465)</f>
        <v/>
      </c>
      <c r="I465">
        <f>IF(A465="","",IF(AND(E465&gt;=4,F465&gt;=4,G465&gt;=4),"Juara",IF(AND(F465&gt;=4,E465&gt;=3),"Setia",IF(AND(E465=5,F465&lt;=2,G465&gt;=3),"Berpotensi",IF(AND(E465&lt;=3,E465&gt;=2,F465&gt;=3),"Rawan",IF(AND(E465&lt;=2,F465&lt;=2),"Tidur","Umum"))))))</f>
        <v/>
      </c>
    </row>
    <row r="466">
      <c r="B466">
        <f>IF(A466="","",$B$1-MAXIFS(Donasi!$A$2:$A$20000,Donasi!$B$2:$B$20000,A466))</f>
        <v/>
      </c>
      <c r="C466">
        <f>IF(A466="","",COUNTIF(Donasi!$B$2:$B$20000,A466))</f>
        <v/>
      </c>
      <c r="D466">
        <f>IF(A466="","",SUMIF(Donasi!$B$2:$B$20000,A466,Donasi!$C$2:$C$20000))</f>
        <v/>
      </c>
      <c r="E466">
        <f>IF(A466="","",6-CEILING(PERCENTRANK.INC($B$3:$B$6000,B466,4)*5+0.000001,1))</f>
        <v/>
      </c>
      <c r="F466">
        <f>IF(A466="","",MAX(1,CEILING(PERCENTRANK.INC($C$3:$C$6000,C466,4)*5+0.000001,1)))</f>
        <v/>
      </c>
      <c r="G466">
        <f>IF(A466="","",MAX(1,CEILING(PERCENTRANK.INC($D$3:$D$6000,D466,4)*5+0.000001,1)))</f>
        <v/>
      </c>
      <c r="H466">
        <f>IF(A466="","",E466&amp;F466&amp;G466)</f>
        <v/>
      </c>
      <c r="I466">
        <f>IF(A466="","",IF(AND(E466&gt;=4,F466&gt;=4,G466&gt;=4),"Juara",IF(AND(F466&gt;=4,E466&gt;=3),"Setia",IF(AND(E466=5,F466&lt;=2,G466&gt;=3),"Berpotensi",IF(AND(E466&lt;=3,E466&gt;=2,F466&gt;=3),"Rawan",IF(AND(E466&lt;=2,F466&lt;=2),"Tidur","Umum"))))))</f>
        <v/>
      </c>
    </row>
    <row r="467">
      <c r="B467">
        <f>IF(A467="","",$B$1-MAXIFS(Donasi!$A$2:$A$20000,Donasi!$B$2:$B$20000,A467))</f>
        <v/>
      </c>
      <c r="C467">
        <f>IF(A467="","",COUNTIF(Donasi!$B$2:$B$20000,A467))</f>
        <v/>
      </c>
      <c r="D467">
        <f>IF(A467="","",SUMIF(Donasi!$B$2:$B$20000,A467,Donasi!$C$2:$C$20000))</f>
        <v/>
      </c>
      <c r="E467">
        <f>IF(A467="","",6-CEILING(PERCENTRANK.INC($B$3:$B$6000,B467,4)*5+0.000001,1))</f>
        <v/>
      </c>
      <c r="F467">
        <f>IF(A467="","",MAX(1,CEILING(PERCENTRANK.INC($C$3:$C$6000,C467,4)*5+0.000001,1)))</f>
        <v/>
      </c>
      <c r="G467">
        <f>IF(A467="","",MAX(1,CEILING(PERCENTRANK.INC($D$3:$D$6000,D467,4)*5+0.000001,1)))</f>
        <v/>
      </c>
      <c r="H467">
        <f>IF(A467="","",E467&amp;F467&amp;G467)</f>
        <v/>
      </c>
      <c r="I467">
        <f>IF(A467="","",IF(AND(E467&gt;=4,F467&gt;=4,G467&gt;=4),"Juara",IF(AND(F467&gt;=4,E467&gt;=3),"Setia",IF(AND(E467=5,F467&lt;=2,G467&gt;=3),"Berpotensi",IF(AND(E467&lt;=3,E467&gt;=2,F467&gt;=3),"Rawan",IF(AND(E467&lt;=2,F467&lt;=2),"Tidur","Umum"))))))</f>
        <v/>
      </c>
    </row>
    <row r="468">
      <c r="B468">
        <f>IF(A468="","",$B$1-MAXIFS(Donasi!$A$2:$A$20000,Donasi!$B$2:$B$20000,A468))</f>
        <v/>
      </c>
      <c r="C468">
        <f>IF(A468="","",COUNTIF(Donasi!$B$2:$B$20000,A468))</f>
        <v/>
      </c>
      <c r="D468">
        <f>IF(A468="","",SUMIF(Donasi!$B$2:$B$20000,A468,Donasi!$C$2:$C$20000))</f>
        <v/>
      </c>
      <c r="E468">
        <f>IF(A468="","",6-CEILING(PERCENTRANK.INC($B$3:$B$6000,B468,4)*5+0.000001,1))</f>
        <v/>
      </c>
      <c r="F468">
        <f>IF(A468="","",MAX(1,CEILING(PERCENTRANK.INC($C$3:$C$6000,C468,4)*5+0.000001,1)))</f>
        <v/>
      </c>
      <c r="G468">
        <f>IF(A468="","",MAX(1,CEILING(PERCENTRANK.INC($D$3:$D$6000,D468,4)*5+0.000001,1)))</f>
        <v/>
      </c>
      <c r="H468">
        <f>IF(A468="","",E468&amp;F468&amp;G468)</f>
        <v/>
      </c>
      <c r="I468">
        <f>IF(A468="","",IF(AND(E468&gt;=4,F468&gt;=4,G468&gt;=4),"Juara",IF(AND(F468&gt;=4,E468&gt;=3),"Setia",IF(AND(E468=5,F468&lt;=2,G468&gt;=3),"Berpotensi",IF(AND(E468&lt;=3,E468&gt;=2,F468&gt;=3),"Rawan",IF(AND(E468&lt;=2,F468&lt;=2),"Tidur","Umum"))))))</f>
        <v/>
      </c>
    </row>
    <row r="469">
      <c r="B469">
        <f>IF(A469="","",$B$1-MAXIFS(Donasi!$A$2:$A$20000,Donasi!$B$2:$B$20000,A469))</f>
        <v/>
      </c>
      <c r="C469">
        <f>IF(A469="","",COUNTIF(Donasi!$B$2:$B$20000,A469))</f>
        <v/>
      </c>
      <c r="D469">
        <f>IF(A469="","",SUMIF(Donasi!$B$2:$B$20000,A469,Donasi!$C$2:$C$20000))</f>
        <v/>
      </c>
      <c r="E469">
        <f>IF(A469="","",6-CEILING(PERCENTRANK.INC($B$3:$B$6000,B469,4)*5+0.000001,1))</f>
        <v/>
      </c>
      <c r="F469">
        <f>IF(A469="","",MAX(1,CEILING(PERCENTRANK.INC($C$3:$C$6000,C469,4)*5+0.000001,1)))</f>
        <v/>
      </c>
      <c r="G469">
        <f>IF(A469="","",MAX(1,CEILING(PERCENTRANK.INC($D$3:$D$6000,D469,4)*5+0.000001,1)))</f>
        <v/>
      </c>
      <c r="H469">
        <f>IF(A469="","",E469&amp;F469&amp;G469)</f>
        <v/>
      </c>
      <c r="I469">
        <f>IF(A469="","",IF(AND(E469&gt;=4,F469&gt;=4,G469&gt;=4),"Juara",IF(AND(F469&gt;=4,E469&gt;=3),"Setia",IF(AND(E469=5,F469&lt;=2,G469&gt;=3),"Berpotensi",IF(AND(E469&lt;=3,E469&gt;=2,F469&gt;=3),"Rawan",IF(AND(E469&lt;=2,F469&lt;=2),"Tidur","Umum"))))))</f>
        <v/>
      </c>
    </row>
    <row r="470">
      <c r="B470">
        <f>IF(A470="","",$B$1-MAXIFS(Donasi!$A$2:$A$20000,Donasi!$B$2:$B$20000,A470))</f>
        <v/>
      </c>
      <c r="C470">
        <f>IF(A470="","",COUNTIF(Donasi!$B$2:$B$20000,A470))</f>
        <v/>
      </c>
      <c r="D470">
        <f>IF(A470="","",SUMIF(Donasi!$B$2:$B$20000,A470,Donasi!$C$2:$C$20000))</f>
        <v/>
      </c>
      <c r="E470">
        <f>IF(A470="","",6-CEILING(PERCENTRANK.INC($B$3:$B$6000,B470,4)*5+0.000001,1))</f>
        <v/>
      </c>
      <c r="F470">
        <f>IF(A470="","",MAX(1,CEILING(PERCENTRANK.INC($C$3:$C$6000,C470,4)*5+0.000001,1)))</f>
        <v/>
      </c>
      <c r="G470">
        <f>IF(A470="","",MAX(1,CEILING(PERCENTRANK.INC($D$3:$D$6000,D470,4)*5+0.000001,1)))</f>
        <v/>
      </c>
      <c r="H470">
        <f>IF(A470="","",E470&amp;F470&amp;G470)</f>
        <v/>
      </c>
      <c r="I470">
        <f>IF(A470="","",IF(AND(E470&gt;=4,F470&gt;=4,G470&gt;=4),"Juara",IF(AND(F470&gt;=4,E470&gt;=3),"Setia",IF(AND(E470=5,F470&lt;=2,G470&gt;=3),"Berpotensi",IF(AND(E470&lt;=3,E470&gt;=2,F470&gt;=3),"Rawan",IF(AND(E470&lt;=2,F470&lt;=2),"Tidur","Umum"))))))</f>
        <v/>
      </c>
    </row>
    <row r="471">
      <c r="B471">
        <f>IF(A471="","",$B$1-MAXIFS(Donasi!$A$2:$A$20000,Donasi!$B$2:$B$20000,A471))</f>
        <v/>
      </c>
      <c r="C471">
        <f>IF(A471="","",COUNTIF(Donasi!$B$2:$B$20000,A471))</f>
        <v/>
      </c>
      <c r="D471">
        <f>IF(A471="","",SUMIF(Donasi!$B$2:$B$20000,A471,Donasi!$C$2:$C$20000))</f>
        <v/>
      </c>
      <c r="E471">
        <f>IF(A471="","",6-CEILING(PERCENTRANK.INC($B$3:$B$6000,B471,4)*5+0.000001,1))</f>
        <v/>
      </c>
      <c r="F471">
        <f>IF(A471="","",MAX(1,CEILING(PERCENTRANK.INC($C$3:$C$6000,C471,4)*5+0.000001,1)))</f>
        <v/>
      </c>
      <c r="G471">
        <f>IF(A471="","",MAX(1,CEILING(PERCENTRANK.INC($D$3:$D$6000,D471,4)*5+0.000001,1)))</f>
        <v/>
      </c>
      <c r="H471">
        <f>IF(A471="","",E471&amp;F471&amp;G471)</f>
        <v/>
      </c>
      <c r="I471">
        <f>IF(A471="","",IF(AND(E471&gt;=4,F471&gt;=4,G471&gt;=4),"Juara",IF(AND(F471&gt;=4,E471&gt;=3),"Setia",IF(AND(E471=5,F471&lt;=2,G471&gt;=3),"Berpotensi",IF(AND(E471&lt;=3,E471&gt;=2,F471&gt;=3),"Rawan",IF(AND(E471&lt;=2,F471&lt;=2),"Tidur","Umum"))))))</f>
        <v/>
      </c>
    </row>
    <row r="472">
      <c r="B472">
        <f>IF(A472="","",$B$1-MAXIFS(Donasi!$A$2:$A$20000,Donasi!$B$2:$B$20000,A472))</f>
        <v/>
      </c>
      <c r="C472">
        <f>IF(A472="","",COUNTIF(Donasi!$B$2:$B$20000,A472))</f>
        <v/>
      </c>
      <c r="D472">
        <f>IF(A472="","",SUMIF(Donasi!$B$2:$B$20000,A472,Donasi!$C$2:$C$20000))</f>
        <v/>
      </c>
      <c r="E472">
        <f>IF(A472="","",6-CEILING(PERCENTRANK.INC($B$3:$B$6000,B472,4)*5+0.000001,1))</f>
        <v/>
      </c>
      <c r="F472">
        <f>IF(A472="","",MAX(1,CEILING(PERCENTRANK.INC($C$3:$C$6000,C472,4)*5+0.000001,1)))</f>
        <v/>
      </c>
      <c r="G472">
        <f>IF(A472="","",MAX(1,CEILING(PERCENTRANK.INC($D$3:$D$6000,D472,4)*5+0.000001,1)))</f>
        <v/>
      </c>
      <c r="H472">
        <f>IF(A472="","",E472&amp;F472&amp;G472)</f>
        <v/>
      </c>
      <c r="I472">
        <f>IF(A472="","",IF(AND(E472&gt;=4,F472&gt;=4,G472&gt;=4),"Juara",IF(AND(F472&gt;=4,E472&gt;=3),"Setia",IF(AND(E472=5,F472&lt;=2,G472&gt;=3),"Berpotensi",IF(AND(E472&lt;=3,E472&gt;=2,F472&gt;=3),"Rawan",IF(AND(E472&lt;=2,F472&lt;=2),"Tidur","Umum"))))))</f>
        <v/>
      </c>
    </row>
    <row r="473">
      <c r="B473">
        <f>IF(A473="","",$B$1-MAXIFS(Donasi!$A$2:$A$20000,Donasi!$B$2:$B$20000,A473))</f>
        <v/>
      </c>
      <c r="C473">
        <f>IF(A473="","",COUNTIF(Donasi!$B$2:$B$20000,A473))</f>
        <v/>
      </c>
      <c r="D473">
        <f>IF(A473="","",SUMIF(Donasi!$B$2:$B$20000,A473,Donasi!$C$2:$C$20000))</f>
        <v/>
      </c>
      <c r="E473">
        <f>IF(A473="","",6-CEILING(PERCENTRANK.INC($B$3:$B$6000,B473,4)*5+0.000001,1))</f>
        <v/>
      </c>
      <c r="F473">
        <f>IF(A473="","",MAX(1,CEILING(PERCENTRANK.INC($C$3:$C$6000,C473,4)*5+0.000001,1)))</f>
        <v/>
      </c>
      <c r="G473">
        <f>IF(A473="","",MAX(1,CEILING(PERCENTRANK.INC($D$3:$D$6000,D473,4)*5+0.000001,1)))</f>
        <v/>
      </c>
      <c r="H473">
        <f>IF(A473="","",E473&amp;F473&amp;G473)</f>
        <v/>
      </c>
      <c r="I473">
        <f>IF(A473="","",IF(AND(E473&gt;=4,F473&gt;=4,G473&gt;=4),"Juara",IF(AND(F473&gt;=4,E473&gt;=3),"Setia",IF(AND(E473=5,F473&lt;=2,G473&gt;=3),"Berpotensi",IF(AND(E473&lt;=3,E473&gt;=2,F473&gt;=3),"Rawan",IF(AND(E473&lt;=2,F473&lt;=2),"Tidur","Umum"))))))</f>
        <v/>
      </c>
    </row>
    <row r="474">
      <c r="B474">
        <f>IF(A474="","",$B$1-MAXIFS(Donasi!$A$2:$A$20000,Donasi!$B$2:$B$20000,A474))</f>
        <v/>
      </c>
      <c r="C474">
        <f>IF(A474="","",COUNTIF(Donasi!$B$2:$B$20000,A474))</f>
        <v/>
      </c>
      <c r="D474">
        <f>IF(A474="","",SUMIF(Donasi!$B$2:$B$20000,A474,Donasi!$C$2:$C$20000))</f>
        <v/>
      </c>
      <c r="E474">
        <f>IF(A474="","",6-CEILING(PERCENTRANK.INC($B$3:$B$6000,B474,4)*5+0.000001,1))</f>
        <v/>
      </c>
      <c r="F474">
        <f>IF(A474="","",MAX(1,CEILING(PERCENTRANK.INC($C$3:$C$6000,C474,4)*5+0.000001,1)))</f>
        <v/>
      </c>
      <c r="G474">
        <f>IF(A474="","",MAX(1,CEILING(PERCENTRANK.INC($D$3:$D$6000,D474,4)*5+0.000001,1)))</f>
        <v/>
      </c>
      <c r="H474">
        <f>IF(A474="","",E474&amp;F474&amp;G474)</f>
        <v/>
      </c>
      <c r="I474">
        <f>IF(A474="","",IF(AND(E474&gt;=4,F474&gt;=4,G474&gt;=4),"Juara",IF(AND(F474&gt;=4,E474&gt;=3),"Setia",IF(AND(E474=5,F474&lt;=2,G474&gt;=3),"Berpotensi",IF(AND(E474&lt;=3,E474&gt;=2,F474&gt;=3),"Rawan",IF(AND(E474&lt;=2,F474&lt;=2),"Tidur","Umum"))))))</f>
        <v/>
      </c>
    </row>
    <row r="475">
      <c r="B475">
        <f>IF(A475="","",$B$1-MAXIFS(Donasi!$A$2:$A$20000,Donasi!$B$2:$B$20000,A475))</f>
        <v/>
      </c>
      <c r="C475">
        <f>IF(A475="","",COUNTIF(Donasi!$B$2:$B$20000,A475))</f>
        <v/>
      </c>
      <c r="D475">
        <f>IF(A475="","",SUMIF(Donasi!$B$2:$B$20000,A475,Donasi!$C$2:$C$20000))</f>
        <v/>
      </c>
      <c r="E475">
        <f>IF(A475="","",6-CEILING(PERCENTRANK.INC($B$3:$B$6000,B475,4)*5+0.000001,1))</f>
        <v/>
      </c>
      <c r="F475">
        <f>IF(A475="","",MAX(1,CEILING(PERCENTRANK.INC($C$3:$C$6000,C475,4)*5+0.000001,1)))</f>
        <v/>
      </c>
      <c r="G475">
        <f>IF(A475="","",MAX(1,CEILING(PERCENTRANK.INC($D$3:$D$6000,D475,4)*5+0.000001,1)))</f>
        <v/>
      </c>
      <c r="H475">
        <f>IF(A475="","",E475&amp;F475&amp;G475)</f>
        <v/>
      </c>
      <c r="I475">
        <f>IF(A475="","",IF(AND(E475&gt;=4,F475&gt;=4,G475&gt;=4),"Juara",IF(AND(F475&gt;=4,E475&gt;=3),"Setia",IF(AND(E475=5,F475&lt;=2,G475&gt;=3),"Berpotensi",IF(AND(E475&lt;=3,E475&gt;=2,F475&gt;=3),"Rawan",IF(AND(E475&lt;=2,F475&lt;=2),"Tidur","Umum"))))))</f>
        <v/>
      </c>
    </row>
    <row r="476">
      <c r="B476">
        <f>IF(A476="","",$B$1-MAXIFS(Donasi!$A$2:$A$20000,Donasi!$B$2:$B$20000,A476))</f>
        <v/>
      </c>
      <c r="C476">
        <f>IF(A476="","",COUNTIF(Donasi!$B$2:$B$20000,A476))</f>
        <v/>
      </c>
      <c r="D476">
        <f>IF(A476="","",SUMIF(Donasi!$B$2:$B$20000,A476,Donasi!$C$2:$C$20000))</f>
        <v/>
      </c>
      <c r="E476">
        <f>IF(A476="","",6-CEILING(PERCENTRANK.INC($B$3:$B$6000,B476,4)*5+0.000001,1))</f>
        <v/>
      </c>
      <c r="F476">
        <f>IF(A476="","",MAX(1,CEILING(PERCENTRANK.INC($C$3:$C$6000,C476,4)*5+0.000001,1)))</f>
        <v/>
      </c>
      <c r="G476">
        <f>IF(A476="","",MAX(1,CEILING(PERCENTRANK.INC($D$3:$D$6000,D476,4)*5+0.000001,1)))</f>
        <v/>
      </c>
      <c r="H476">
        <f>IF(A476="","",E476&amp;F476&amp;G476)</f>
        <v/>
      </c>
      <c r="I476">
        <f>IF(A476="","",IF(AND(E476&gt;=4,F476&gt;=4,G476&gt;=4),"Juara",IF(AND(F476&gt;=4,E476&gt;=3),"Setia",IF(AND(E476=5,F476&lt;=2,G476&gt;=3),"Berpotensi",IF(AND(E476&lt;=3,E476&gt;=2,F476&gt;=3),"Rawan",IF(AND(E476&lt;=2,F476&lt;=2),"Tidur","Umum"))))))</f>
        <v/>
      </c>
    </row>
    <row r="477">
      <c r="B477">
        <f>IF(A477="","",$B$1-MAXIFS(Donasi!$A$2:$A$20000,Donasi!$B$2:$B$20000,A477))</f>
        <v/>
      </c>
      <c r="C477">
        <f>IF(A477="","",COUNTIF(Donasi!$B$2:$B$20000,A477))</f>
        <v/>
      </c>
      <c r="D477">
        <f>IF(A477="","",SUMIF(Donasi!$B$2:$B$20000,A477,Donasi!$C$2:$C$20000))</f>
        <v/>
      </c>
      <c r="E477">
        <f>IF(A477="","",6-CEILING(PERCENTRANK.INC($B$3:$B$6000,B477,4)*5+0.000001,1))</f>
        <v/>
      </c>
      <c r="F477">
        <f>IF(A477="","",MAX(1,CEILING(PERCENTRANK.INC($C$3:$C$6000,C477,4)*5+0.000001,1)))</f>
        <v/>
      </c>
      <c r="G477">
        <f>IF(A477="","",MAX(1,CEILING(PERCENTRANK.INC($D$3:$D$6000,D477,4)*5+0.000001,1)))</f>
        <v/>
      </c>
      <c r="H477">
        <f>IF(A477="","",E477&amp;F477&amp;G477)</f>
        <v/>
      </c>
      <c r="I477">
        <f>IF(A477="","",IF(AND(E477&gt;=4,F477&gt;=4,G477&gt;=4),"Juara",IF(AND(F477&gt;=4,E477&gt;=3),"Setia",IF(AND(E477=5,F477&lt;=2,G477&gt;=3),"Berpotensi",IF(AND(E477&lt;=3,E477&gt;=2,F477&gt;=3),"Rawan",IF(AND(E477&lt;=2,F477&lt;=2),"Tidur","Umum"))))))</f>
        <v/>
      </c>
    </row>
    <row r="478">
      <c r="B478">
        <f>IF(A478="","",$B$1-MAXIFS(Donasi!$A$2:$A$20000,Donasi!$B$2:$B$20000,A478))</f>
        <v/>
      </c>
      <c r="C478">
        <f>IF(A478="","",COUNTIF(Donasi!$B$2:$B$20000,A478))</f>
        <v/>
      </c>
      <c r="D478">
        <f>IF(A478="","",SUMIF(Donasi!$B$2:$B$20000,A478,Donasi!$C$2:$C$20000))</f>
        <v/>
      </c>
      <c r="E478">
        <f>IF(A478="","",6-CEILING(PERCENTRANK.INC($B$3:$B$6000,B478,4)*5+0.000001,1))</f>
        <v/>
      </c>
      <c r="F478">
        <f>IF(A478="","",MAX(1,CEILING(PERCENTRANK.INC($C$3:$C$6000,C478,4)*5+0.000001,1)))</f>
        <v/>
      </c>
      <c r="G478">
        <f>IF(A478="","",MAX(1,CEILING(PERCENTRANK.INC($D$3:$D$6000,D478,4)*5+0.000001,1)))</f>
        <v/>
      </c>
      <c r="H478">
        <f>IF(A478="","",E478&amp;F478&amp;G478)</f>
        <v/>
      </c>
      <c r="I478">
        <f>IF(A478="","",IF(AND(E478&gt;=4,F478&gt;=4,G478&gt;=4),"Juara",IF(AND(F478&gt;=4,E478&gt;=3),"Setia",IF(AND(E478=5,F478&lt;=2,G478&gt;=3),"Berpotensi",IF(AND(E478&lt;=3,E478&gt;=2,F478&gt;=3),"Rawan",IF(AND(E478&lt;=2,F478&lt;=2),"Tidur","Umum"))))))</f>
        <v/>
      </c>
    </row>
    <row r="479">
      <c r="B479">
        <f>IF(A479="","",$B$1-MAXIFS(Donasi!$A$2:$A$20000,Donasi!$B$2:$B$20000,A479))</f>
        <v/>
      </c>
      <c r="C479">
        <f>IF(A479="","",COUNTIF(Donasi!$B$2:$B$20000,A479))</f>
        <v/>
      </c>
      <c r="D479">
        <f>IF(A479="","",SUMIF(Donasi!$B$2:$B$20000,A479,Donasi!$C$2:$C$20000))</f>
        <v/>
      </c>
      <c r="E479">
        <f>IF(A479="","",6-CEILING(PERCENTRANK.INC($B$3:$B$6000,B479,4)*5+0.000001,1))</f>
        <v/>
      </c>
      <c r="F479">
        <f>IF(A479="","",MAX(1,CEILING(PERCENTRANK.INC($C$3:$C$6000,C479,4)*5+0.000001,1)))</f>
        <v/>
      </c>
      <c r="G479">
        <f>IF(A479="","",MAX(1,CEILING(PERCENTRANK.INC($D$3:$D$6000,D479,4)*5+0.000001,1)))</f>
        <v/>
      </c>
      <c r="H479">
        <f>IF(A479="","",E479&amp;F479&amp;G479)</f>
        <v/>
      </c>
      <c r="I479">
        <f>IF(A479="","",IF(AND(E479&gt;=4,F479&gt;=4,G479&gt;=4),"Juara",IF(AND(F479&gt;=4,E479&gt;=3),"Setia",IF(AND(E479=5,F479&lt;=2,G479&gt;=3),"Berpotensi",IF(AND(E479&lt;=3,E479&gt;=2,F479&gt;=3),"Rawan",IF(AND(E479&lt;=2,F479&lt;=2),"Tidur","Umum"))))))</f>
        <v/>
      </c>
    </row>
    <row r="480">
      <c r="B480">
        <f>IF(A480="","",$B$1-MAXIFS(Donasi!$A$2:$A$20000,Donasi!$B$2:$B$20000,A480))</f>
        <v/>
      </c>
      <c r="C480">
        <f>IF(A480="","",COUNTIF(Donasi!$B$2:$B$20000,A480))</f>
        <v/>
      </c>
      <c r="D480">
        <f>IF(A480="","",SUMIF(Donasi!$B$2:$B$20000,A480,Donasi!$C$2:$C$20000))</f>
        <v/>
      </c>
      <c r="E480">
        <f>IF(A480="","",6-CEILING(PERCENTRANK.INC($B$3:$B$6000,B480,4)*5+0.000001,1))</f>
        <v/>
      </c>
      <c r="F480">
        <f>IF(A480="","",MAX(1,CEILING(PERCENTRANK.INC($C$3:$C$6000,C480,4)*5+0.000001,1)))</f>
        <v/>
      </c>
      <c r="G480">
        <f>IF(A480="","",MAX(1,CEILING(PERCENTRANK.INC($D$3:$D$6000,D480,4)*5+0.000001,1)))</f>
        <v/>
      </c>
      <c r="H480">
        <f>IF(A480="","",E480&amp;F480&amp;G480)</f>
        <v/>
      </c>
      <c r="I480">
        <f>IF(A480="","",IF(AND(E480&gt;=4,F480&gt;=4,G480&gt;=4),"Juara",IF(AND(F480&gt;=4,E480&gt;=3),"Setia",IF(AND(E480=5,F480&lt;=2,G480&gt;=3),"Berpotensi",IF(AND(E480&lt;=3,E480&gt;=2,F480&gt;=3),"Rawan",IF(AND(E480&lt;=2,F480&lt;=2),"Tidur","Umum"))))))</f>
        <v/>
      </c>
    </row>
    <row r="481">
      <c r="B481">
        <f>IF(A481="","",$B$1-MAXIFS(Donasi!$A$2:$A$20000,Donasi!$B$2:$B$20000,A481))</f>
        <v/>
      </c>
      <c r="C481">
        <f>IF(A481="","",COUNTIF(Donasi!$B$2:$B$20000,A481))</f>
        <v/>
      </c>
      <c r="D481">
        <f>IF(A481="","",SUMIF(Donasi!$B$2:$B$20000,A481,Donasi!$C$2:$C$20000))</f>
        <v/>
      </c>
      <c r="E481">
        <f>IF(A481="","",6-CEILING(PERCENTRANK.INC($B$3:$B$6000,B481,4)*5+0.000001,1))</f>
        <v/>
      </c>
      <c r="F481">
        <f>IF(A481="","",MAX(1,CEILING(PERCENTRANK.INC($C$3:$C$6000,C481,4)*5+0.000001,1)))</f>
        <v/>
      </c>
      <c r="G481">
        <f>IF(A481="","",MAX(1,CEILING(PERCENTRANK.INC($D$3:$D$6000,D481,4)*5+0.000001,1)))</f>
        <v/>
      </c>
      <c r="H481">
        <f>IF(A481="","",E481&amp;F481&amp;G481)</f>
        <v/>
      </c>
      <c r="I481">
        <f>IF(A481="","",IF(AND(E481&gt;=4,F481&gt;=4,G481&gt;=4),"Juara",IF(AND(F481&gt;=4,E481&gt;=3),"Setia",IF(AND(E481=5,F481&lt;=2,G481&gt;=3),"Berpotensi",IF(AND(E481&lt;=3,E481&gt;=2,F481&gt;=3),"Rawan",IF(AND(E481&lt;=2,F481&lt;=2),"Tidur","Umum"))))))</f>
        <v/>
      </c>
    </row>
    <row r="482">
      <c r="B482">
        <f>IF(A482="","",$B$1-MAXIFS(Donasi!$A$2:$A$20000,Donasi!$B$2:$B$20000,A482))</f>
        <v/>
      </c>
      <c r="C482">
        <f>IF(A482="","",COUNTIF(Donasi!$B$2:$B$20000,A482))</f>
        <v/>
      </c>
      <c r="D482">
        <f>IF(A482="","",SUMIF(Donasi!$B$2:$B$20000,A482,Donasi!$C$2:$C$20000))</f>
        <v/>
      </c>
      <c r="E482">
        <f>IF(A482="","",6-CEILING(PERCENTRANK.INC($B$3:$B$6000,B482,4)*5+0.000001,1))</f>
        <v/>
      </c>
      <c r="F482">
        <f>IF(A482="","",MAX(1,CEILING(PERCENTRANK.INC($C$3:$C$6000,C482,4)*5+0.000001,1)))</f>
        <v/>
      </c>
      <c r="G482">
        <f>IF(A482="","",MAX(1,CEILING(PERCENTRANK.INC($D$3:$D$6000,D482,4)*5+0.000001,1)))</f>
        <v/>
      </c>
      <c r="H482">
        <f>IF(A482="","",E482&amp;F482&amp;G482)</f>
        <v/>
      </c>
      <c r="I482">
        <f>IF(A482="","",IF(AND(E482&gt;=4,F482&gt;=4,G482&gt;=4),"Juara",IF(AND(F482&gt;=4,E482&gt;=3),"Setia",IF(AND(E482=5,F482&lt;=2,G482&gt;=3),"Berpotensi",IF(AND(E482&lt;=3,E482&gt;=2,F482&gt;=3),"Rawan",IF(AND(E482&lt;=2,F482&lt;=2),"Tidur","Umum"))))))</f>
        <v/>
      </c>
    </row>
    <row r="483">
      <c r="B483">
        <f>IF(A483="","",$B$1-MAXIFS(Donasi!$A$2:$A$20000,Donasi!$B$2:$B$20000,A483))</f>
        <v/>
      </c>
      <c r="C483">
        <f>IF(A483="","",COUNTIF(Donasi!$B$2:$B$20000,A483))</f>
        <v/>
      </c>
      <c r="D483">
        <f>IF(A483="","",SUMIF(Donasi!$B$2:$B$20000,A483,Donasi!$C$2:$C$20000))</f>
        <v/>
      </c>
      <c r="E483">
        <f>IF(A483="","",6-CEILING(PERCENTRANK.INC($B$3:$B$6000,B483,4)*5+0.000001,1))</f>
        <v/>
      </c>
      <c r="F483">
        <f>IF(A483="","",MAX(1,CEILING(PERCENTRANK.INC($C$3:$C$6000,C483,4)*5+0.000001,1)))</f>
        <v/>
      </c>
      <c r="G483">
        <f>IF(A483="","",MAX(1,CEILING(PERCENTRANK.INC($D$3:$D$6000,D483,4)*5+0.000001,1)))</f>
        <v/>
      </c>
      <c r="H483">
        <f>IF(A483="","",E483&amp;F483&amp;G483)</f>
        <v/>
      </c>
      <c r="I483">
        <f>IF(A483="","",IF(AND(E483&gt;=4,F483&gt;=4,G483&gt;=4),"Juara",IF(AND(F483&gt;=4,E483&gt;=3),"Setia",IF(AND(E483=5,F483&lt;=2,G483&gt;=3),"Berpotensi",IF(AND(E483&lt;=3,E483&gt;=2,F483&gt;=3),"Rawan",IF(AND(E483&lt;=2,F483&lt;=2),"Tidur","Umum"))))))</f>
        <v/>
      </c>
    </row>
    <row r="484">
      <c r="B484">
        <f>IF(A484="","",$B$1-MAXIFS(Donasi!$A$2:$A$20000,Donasi!$B$2:$B$20000,A484))</f>
        <v/>
      </c>
      <c r="C484">
        <f>IF(A484="","",COUNTIF(Donasi!$B$2:$B$20000,A484))</f>
        <v/>
      </c>
      <c r="D484">
        <f>IF(A484="","",SUMIF(Donasi!$B$2:$B$20000,A484,Donasi!$C$2:$C$20000))</f>
        <v/>
      </c>
      <c r="E484">
        <f>IF(A484="","",6-CEILING(PERCENTRANK.INC($B$3:$B$6000,B484,4)*5+0.000001,1))</f>
        <v/>
      </c>
      <c r="F484">
        <f>IF(A484="","",MAX(1,CEILING(PERCENTRANK.INC($C$3:$C$6000,C484,4)*5+0.000001,1)))</f>
        <v/>
      </c>
      <c r="G484">
        <f>IF(A484="","",MAX(1,CEILING(PERCENTRANK.INC($D$3:$D$6000,D484,4)*5+0.000001,1)))</f>
        <v/>
      </c>
      <c r="H484">
        <f>IF(A484="","",E484&amp;F484&amp;G484)</f>
        <v/>
      </c>
      <c r="I484">
        <f>IF(A484="","",IF(AND(E484&gt;=4,F484&gt;=4,G484&gt;=4),"Juara",IF(AND(F484&gt;=4,E484&gt;=3),"Setia",IF(AND(E484=5,F484&lt;=2,G484&gt;=3),"Berpotensi",IF(AND(E484&lt;=3,E484&gt;=2,F484&gt;=3),"Rawan",IF(AND(E484&lt;=2,F484&lt;=2),"Tidur","Umum"))))))</f>
        <v/>
      </c>
    </row>
    <row r="485">
      <c r="B485">
        <f>IF(A485="","",$B$1-MAXIFS(Donasi!$A$2:$A$20000,Donasi!$B$2:$B$20000,A485))</f>
        <v/>
      </c>
      <c r="C485">
        <f>IF(A485="","",COUNTIF(Donasi!$B$2:$B$20000,A485))</f>
        <v/>
      </c>
      <c r="D485">
        <f>IF(A485="","",SUMIF(Donasi!$B$2:$B$20000,A485,Donasi!$C$2:$C$20000))</f>
        <v/>
      </c>
      <c r="E485">
        <f>IF(A485="","",6-CEILING(PERCENTRANK.INC($B$3:$B$6000,B485,4)*5+0.000001,1))</f>
        <v/>
      </c>
      <c r="F485">
        <f>IF(A485="","",MAX(1,CEILING(PERCENTRANK.INC($C$3:$C$6000,C485,4)*5+0.000001,1)))</f>
        <v/>
      </c>
      <c r="G485">
        <f>IF(A485="","",MAX(1,CEILING(PERCENTRANK.INC($D$3:$D$6000,D485,4)*5+0.000001,1)))</f>
        <v/>
      </c>
      <c r="H485">
        <f>IF(A485="","",E485&amp;F485&amp;G485)</f>
        <v/>
      </c>
      <c r="I485">
        <f>IF(A485="","",IF(AND(E485&gt;=4,F485&gt;=4,G485&gt;=4),"Juara",IF(AND(F485&gt;=4,E485&gt;=3),"Setia",IF(AND(E485=5,F485&lt;=2,G485&gt;=3),"Berpotensi",IF(AND(E485&lt;=3,E485&gt;=2,F485&gt;=3),"Rawan",IF(AND(E485&lt;=2,F485&lt;=2),"Tidur","Umum"))))))</f>
        <v/>
      </c>
    </row>
    <row r="486">
      <c r="B486">
        <f>IF(A486="","",$B$1-MAXIFS(Donasi!$A$2:$A$20000,Donasi!$B$2:$B$20000,A486))</f>
        <v/>
      </c>
      <c r="C486">
        <f>IF(A486="","",COUNTIF(Donasi!$B$2:$B$20000,A486))</f>
        <v/>
      </c>
      <c r="D486">
        <f>IF(A486="","",SUMIF(Donasi!$B$2:$B$20000,A486,Donasi!$C$2:$C$20000))</f>
        <v/>
      </c>
      <c r="E486">
        <f>IF(A486="","",6-CEILING(PERCENTRANK.INC($B$3:$B$6000,B486,4)*5+0.000001,1))</f>
        <v/>
      </c>
      <c r="F486">
        <f>IF(A486="","",MAX(1,CEILING(PERCENTRANK.INC($C$3:$C$6000,C486,4)*5+0.000001,1)))</f>
        <v/>
      </c>
      <c r="G486">
        <f>IF(A486="","",MAX(1,CEILING(PERCENTRANK.INC($D$3:$D$6000,D486,4)*5+0.000001,1)))</f>
        <v/>
      </c>
      <c r="H486">
        <f>IF(A486="","",E486&amp;F486&amp;G486)</f>
        <v/>
      </c>
      <c r="I486">
        <f>IF(A486="","",IF(AND(E486&gt;=4,F486&gt;=4,G486&gt;=4),"Juara",IF(AND(F486&gt;=4,E486&gt;=3),"Setia",IF(AND(E486=5,F486&lt;=2,G486&gt;=3),"Berpotensi",IF(AND(E486&lt;=3,E486&gt;=2,F486&gt;=3),"Rawan",IF(AND(E486&lt;=2,F486&lt;=2),"Tidur","Umum"))))))</f>
        <v/>
      </c>
    </row>
    <row r="487">
      <c r="B487">
        <f>IF(A487="","",$B$1-MAXIFS(Donasi!$A$2:$A$20000,Donasi!$B$2:$B$20000,A487))</f>
        <v/>
      </c>
      <c r="C487">
        <f>IF(A487="","",COUNTIF(Donasi!$B$2:$B$20000,A487))</f>
        <v/>
      </c>
      <c r="D487">
        <f>IF(A487="","",SUMIF(Donasi!$B$2:$B$20000,A487,Donasi!$C$2:$C$20000))</f>
        <v/>
      </c>
      <c r="E487">
        <f>IF(A487="","",6-CEILING(PERCENTRANK.INC($B$3:$B$6000,B487,4)*5+0.000001,1))</f>
        <v/>
      </c>
      <c r="F487">
        <f>IF(A487="","",MAX(1,CEILING(PERCENTRANK.INC($C$3:$C$6000,C487,4)*5+0.000001,1)))</f>
        <v/>
      </c>
      <c r="G487">
        <f>IF(A487="","",MAX(1,CEILING(PERCENTRANK.INC($D$3:$D$6000,D487,4)*5+0.000001,1)))</f>
        <v/>
      </c>
      <c r="H487">
        <f>IF(A487="","",E487&amp;F487&amp;G487)</f>
        <v/>
      </c>
      <c r="I487">
        <f>IF(A487="","",IF(AND(E487&gt;=4,F487&gt;=4,G487&gt;=4),"Juara",IF(AND(F487&gt;=4,E487&gt;=3),"Setia",IF(AND(E487=5,F487&lt;=2,G487&gt;=3),"Berpotensi",IF(AND(E487&lt;=3,E487&gt;=2,F487&gt;=3),"Rawan",IF(AND(E487&lt;=2,F487&lt;=2),"Tidur","Umum"))))))</f>
        <v/>
      </c>
    </row>
    <row r="488">
      <c r="B488">
        <f>IF(A488="","",$B$1-MAXIFS(Donasi!$A$2:$A$20000,Donasi!$B$2:$B$20000,A488))</f>
        <v/>
      </c>
      <c r="C488">
        <f>IF(A488="","",COUNTIF(Donasi!$B$2:$B$20000,A488))</f>
        <v/>
      </c>
      <c r="D488">
        <f>IF(A488="","",SUMIF(Donasi!$B$2:$B$20000,A488,Donasi!$C$2:$C$20000))</f>
        <v/>
      </c>
      <c r="E488">
        <f>IF(A488="","",6-CEILING(PERCENTRANK.INC($B$3:$B$6000,B488,4)*5+0.000001,1))</f>
        <v/>
      </c>
      <c r="F488">
        <f>IF(A488="","",MAX(1,CEILING(PERCENTRANK.INC($C$3:$C$6000,C488,4)*5+0.000001,1)))</f>
        <v/>
      </c>
      <c r="G488">
        <f>IF(A488="","",MAX(1,CEILING(PERCENTRANK.INC($D$3:$D$6000,D488,4)*5+0.000001,1)))</f>
        <v/>
      </c>
      <c r="H488">
        <f>IF(A488="","",E488&amp;F488&amp;G488)</f>
        <v/>
      </c>
      <c r="I488">
        <f>IF(A488="","",IF(AND(E488&gt;=4,F488&gt;=4,G488&gt;=4),"Juara",IF(AND(F488&gt;=4,E488&gt;=3),"Setia",IF(AND(E488=5,F488&lt;=2,G488&gt;=3),"Berpotensi",IF(AND(E488&lt;=3,E488&gt;=2,F488&gt;=3),"Rawan",IF(AND(E488&lt;=2,F488&lt;=2),"Tidur","Umum"))))))</f>
        <v/>
      </c>
    </row>
    <row r="489">
      <c r="B489">
        <f>IF(A489="","",$B$1-MAXIFS(Donasi!$A$2:$A$20000,Donasi!$B$2:$B$20000,A489))</f>
        <v/>
      </c>
      <c r="C489">
        <f>IF(A489="","",COUNTIF(Donasi!$B$2:$B$20000,A489))</f>
        <v/>
      </c>
      <c r="D489">
        <f>IF(A489="","",SUMIF(Donasi!$B$2:$B$20000,A489,Donasi!$C$2:$C$20000))</f>
        <v/>
      </c>
      <c r="E489">
        <f>IF(A489="","",6-CEILING(PERCENTRANK.INC($B$3:$B$6000,B489,4)*5+0.000001,1))</f>
        <v/>
      </c>
      <c r="F489">
        <f>IF(A489="","",MAX(1,CEILING(PERCENTRANK.INC($C$3:$C$6000,C489,4)*5+0.000001,1)))</f>
        <v/>
      </c>
      <c r="G489">
        <f>IF(A489="","",MAX(1,CEILING(PERCENTRANK.INC($D$3:$D$6000,D489,4)*5+0.000001,1)))</f>
        <v/>
      </c>
      <c r="H489">
        <f>IF(A489="","",E489&amp;F489&amp;G489)</f>
        <v/>
      </c>
      <c r="I489">
        <f>IF(A489="","",IF(AND(E489&gt;=4,F489&gt;=4,G489&gt;=4),"Juara",IF(AND(F489&gt;=4,E489&gt;=3),"Setia",IF(AND(E489=5,F489&lt;=2,G489&gt;=3),"Berpotensi",IF(AND(E489&lt;=3,E489&gt;=2,F489&gt;=3),"Rawan",IF(AND(E489&lt;=2,F489&lt;=2),"Tidur","Umum"))))))</f>
        <v/>
      </c>
    </row>
    <row r="490">
      <c r="B490">
        <f>IF(A490="","",$B$1-MAXIFS(Donasi!$A$2:$A$20000,Donasi!$B$2:$B$20000,A490))</f>
        <v/>
      </c>
      <c r="C490">
        <f>IF(A490="","",COUNTIF(Donasi!$B$2:$B$20000,A490))</f>
        <v/>
      </c>
      <c r="D490">
        <f>IF(A490="","",SUMIF(Donasi!$B$2:$B$20000,A490,Donasi!$C$2:$C$20000))</f>
        <v/>
      </c>
      <c r="E490">
        <f>IF(A490="","",6-CEILING(PERCENTRANK.INC($B$3:$B$6000,B490,4)*5+0.000001,1))</f>
        <v/>
      </c>
      <c r="F490">
        <f>IF(A490="","",MAX(1,CEILING(PERCENTRANK.INC($C$3:$C$6000,C490,4)*5+0.000001,1)))</f>
        <v/>
      </c>
      <c r="G490">
        <f>IF(A490="","",MAX(1,CEILING(PERCENTRANK.INC($D$3:$D$6000,D490,4)*5+0.000001,1)))</f>
        <v/>
      </c>
      <c r="H490">
        <f>IF(A490="","",E490&amp;F490&amp;G490)</f>
        <v/>
      </c>
      <c r="I490">
        <f>IF(A490="","",IF(AND(E490&gt;=4,F490&gt;=4,G490&gt;=4),"Juara",IF(AND(F490&gt;=4,E490&gt;=3),"Setia",IF(AND(E490=5,F490&lt;=2,G490&gt;=3),"Berpotensi",IF(AND(E490&lt;=3,E490&gt;=2,F490&gt;=3),"Rawan",IF(AND(E490&lt;=2,F490&lt;=2),"Tidur","Umum"))))))</f>
        <v/>
      </c>
    </row>
    <row r="491">
      <c r="B491">
        <f>IF(A491="","",$B$1-MAXIFS(Donasi!$A$2:$A$20000,Donasi!$B$2:$B$20000,A491))</f>
        <v/>
      </c>
      <c r="C491">
        <f>IF(A491="","",COUNTIF(Donasi!$B$2:$B$20000,A491))</f>
        <v/>
      </c>
      <c r="D491">
        <f>IF(A491="","",SUMIF(Donasi!$B$2:$B$20000,A491,Donasi!$C$2:$C$20000))</f>
        <v/>
      </c>
      <c r="E491">
        <f>IF(A491="","",6-CEILING(PERCENTRANK.INC($B$3:$B$6000,B491,4)*5+0.000001,1))</f>
        <v/>
      </c>
      <c r="F491">
        <f>IF(A491="","",MAX(1,CEILING(PERCENTRANK.INC($C$3:$C$6000,C491,4)*5+0.000001,1)))</f>
        <v/>
      </c>
      <c r="G491">
        <f>IF(A491="","",MAX(1,CEILING(PERCENTRANK.INC($D$3:$D$6000,D491,4)*5+0.000001,1)))</f>
        <v/>
      </c>
      <c r="H491">
        <f>IF(A491="","",E491&amp;F491&amp;G491)</f>
        <v/>
      </c>
      <c r="I491">
        <f>IF(A491="","",IF(AND(E491&gt;=4,F491&gt;=4,G491&gt;=4),"Juara",IF(AND(F491&gt;=4,E491&gt;=3),"Setia",IF(AND(E491=5,F491&lt;=2,G491&gt;=3),"Berpotensi",IF(AND(E491&lt;=3,E491&gt;=2,F491&gt;=3),"Rawan",IF(AND(E491&lt;=2,F491&lt;=2),"Tidur","Umum"))))))</f>
        <v/>
      </c>
    </row>
    <row r="492">
      <c r="B492">
        <f>IF(A492="","",$B$1-MAXIFS(Donasi!$A$2:$A$20000,Donasi!$B$2:$B$20000,A492))</f>
        <v/>
      </c>
      <c r="C492">
        <f>IF(A492="","",COUNTIF(Donasi!$B$2:$B$20000,A492))</f>
        <v/>
      </c>
      <c r="D492">
        <f>IF(A492="","",SUMIF(Donasi!$B$2:$B$20000,A492,Donasi!$C$2:$C$20000))</f>
        <v/>
      </c>
      <c r="E492">
        <f>IF(A492="","",6-CEILING(PERCENTRANK.INC($B$3:$B$6000,B492,4)*5+0.000001,1))</f>
        <v/>
      </c>
      <c r="F492">
        <f>IF(A492="","",MAX(1,CEILING(PERCENTRANK.INC($C$3:$C$6000,C492,4)*5+0.000001,1)))</f>
        <v/>
      </c>
      <c r="G492">
        <f>IF(A492="","",MAX(1,CEILING(PERCENTRANK.INC($D$3:$D$6000,D492,4)*5+0.000001,1)))</f>
        <v/>
      </c>
      <c r="H492">
        <f>IF(A492="","",E492&amp;F492&amp;G492)</f>
        <v/>
      </c>
      <c r="I492">
        <f>IF(A492="","",IF(AND(E492&gt;=4,F492&gt;=4,G492&gt;=4),"Juara",IF(AND(F492&gt;=4,E492&gt;=3),"Setia",IF(AND(E492=5,F492&lt;=2,G492&gt;=3),"Berpotensi",IF(AND(E492&lt;=3,E492&gt;=2,F492&gt;=3),"Rawan",IF(AND(E492&lt;=2,F492&lt;=2),"Tidur","Umum"))))))</f>
        <v/>
      </c>
    </row>
    <row r="493">
      <c r="B493">
        <f>IF(A493="","",$B$1-MAXIFS(Donasi!$A$2:$A$20000,Donasi!$B$2:$B$20000,A493))</f>
        <v/>
      </c>
      <c r="C493">
        <f>IF(A493="","",COUNTIF(Donasi!$B$2:$B$20000,A493))</f>
        <v/>
      </c>
      <c r="D493">
        <f>IF(A493="","",SUMIF(Donasi!$B$2:$B$20000,A493,Donasi!$C$2:$C$20000))</f>
        <v/>
      </c>
      <c r="E493">
        <f>IF(A493="","",6-CEILING(PERCENTRANK.INC($B$3:$B$6000,B493,4)*5+0.000001,1))</f>
        <v/>
      </c>
      <c r="F493">
        <f>IF(A493="","",MAX(1,CEILING(PERCENTRANK.INC($C$3:$C$6000,C493,4)*5+0.000001,1)))</f>
        <v/>
      </c>
      <c r="G493">
        <f>IF(A493="","",MAX(1,CEILING(PERCENTRANK.INC($D$3:$D$6000,D493,4)*5+0.000001,1)))</f>
        <v/>
      </c>
      <c r="H493">
        <f>IF(A493="","",E493&amp;F493&amp;G493)</f>
        <v/>
      </c>
      <c r="I493">
        <f>IF(A493="","",IF(AND(E493&gt;=4,F493&gt;=4,G493&gt;=4),"Juara",IF(AND(F493&gt;=4,E493&gt;=3),"Setia",IF(AND(E493=5,F493&lt;=2,G493&gt;=3),"Berpotensi",IF(AND(E493&lt;=3,E493&gt;=2,F493&gt;=3),"Rawan",IF(AND(E493&lt;=2,F493&lt;=2),"Tidur","Umum"))))))</f>
        <v/>
      </c>
    </row>
    <row r="494">
      <c r="B494">
        <f>IF(A494="","",$B$1-MAXIFS(Donasi!$A$2:$A$20000,Donasi!$B$2:$B$20000,A494))</f>
        <v/>
      </c>
      <c r="C494">
        <f>IF(A494="","",COUNTIF(Donasi!$B$2:$B$20000,A494))</f>
        <v/>
      </c>
      <c r="D494">
        <f>IF(A494="","",SUMIF(Donasi!$B$2:$B$20000,A494,Donasi!$C$2:$C$20000))</f>
        <v/>
      </c>
      <c r="E494">
        <f>IF(A494="","",6-CEILING(PERCENTRANK.INC($B$3:$B$6000,B494,4)*5+0.000001,1))</f>
        <v/>
      </c>
      <c r="F494">
        <f>IF(A494="","",MAX(1,CEILING(PERCENTRANK.INC($C$3:$C$6000,C494,4)*5+0.000001,1)))</f>
        <v/>
      </c>
      <c r="G494">
        <f>IF(A494="","",MAX(1,CEILING(PERCENTRANK.INC($D$3:$D$6000,D494,4)*5+0.000001,1)))</f>
        <v/>
      </c>
      <c r="H494">
        <f>IF(A494="","",E494&amp;F494&amp;G494)</f>
        <v/>
      </c>
      <c r="I494">
        <f>IF(A494="","",IF(AND(E494&gt;=4,F494&gt;=4,G494&gt;=4),"Juara",IF(AND(F494&gt;=4,E494&gt;=3),"Setia",IF(AND(E494=5,F494&lt;=2,G494&gt;=3),"Berpotensi",IF(AND(E494&lt;=3,E494&gt;=2,F494&gt;=3),"Rawan",IF(AND(E494&lt;=2,F494&lt;=2),"Tidur","Umum"))))))</f>
        <v/>
      </c>
    </row>
    <row r="495">
      <c r="B495">
        <f>IF(A495="","",$B$1-MAXIFS(Donasi!$A$2:$A$20000,Donasi!$B$2:$B$20000,A495))</f>
        <v/>
      </c>
      <c r="C495">
        <f>IF(A495="","",COUNTIF(Donasi!$B$2:$B$20000,A495))</f>
        <v/>
      </c>
      <c r="D495">
        <f>IF(A495="","",SUMIF(Donasi!$B$2:$B$20000,A495,Donasi!$C$2:$C$20000))</f>
        <v/>
      </c>
      <c r="E495">
        <f>IF(A495="","",6-CEILING(PERCENTRANK.INC($B$3:$B$6000,B495,4)*5+0.000001,1))</f>
        <v/>
      </c>
      <c r="F495">
        <f>IF(A495="","",MAX(1,CEILING(PERCENTRANK.INC($C$3:$C$6000,C495,4)*5+0.000001,1)))</f>
        <v/>
      </c>
      <c r="G495">
        <f>IF(A495="","",MAX(1,CEILING(PERCENTRANK.INC($D$3:$D$6000,D495,4)*5+0.000001,1)))</f>
        <v/>
      </c>
      <c r="H495">
        <f>IF(A495="","",E495&amp;F495&amp;G495)</f>
        <v/>
      </c>
      <c r="I495">
        <f>IF(A495="","",IF(AND(E495&gt;=4,F495&gt;=4,G495&gt;=4),"Juara",IF(AND(F495&gt;=4,E495&gt;=3),"Setia",IF(AND(E495=5,F495&lt;=2,G495&gt;=3),"Berpotensi",IF(AND(E495&lt;=3,E495&gt;=2,F495&gt;=3),"Rawan",IF(AND(E495&lt;=2,F495&lt;=2),"Tidur","Umum"))))))</f>
        <v/>
      </c>
    </row>
    <row r="496">
      <c r="B496">
        <f>IF(A496="","",$B$1-MAXIFS(Donasi!$A$2:$A$20000,Donasi!$B$2:$B$20000,A496))</f>
        <v/>
      </c>
      <c r="C496">
        <f>IF(A496="","",COUNTIF(Donasi!$B$2:$B$20000,A496))</f>
        <v/>
      </c>
      <c r="D496">
        <f>IF(A496="","",SUMIF(Donasi!$B$2:$B$20000,A496,Donasi!$C$2:$C$20000))</f>
        <v/>
      </c>
      <c r="E496">
        <f>IF(A496="","",6-CEILING(PERCENTRANK.INC($B$3:$B$6000,B496,4)*5+0.000001,1))</f>
        <v/>
      </c>
      <c r="F496">
        <f>IF(A496="","",MAX(1,CEILING(PERCENTRANK.INC($C$3:$C$6000,C496,4)*5+0.000001,1)))</f>
        <v/>
      </c>
      <c r="G496">
        <f>IF(A496="","",MAX(1,CEILING(PERCENTRANK.INC($D$3:$D$6000,D496,4)*5+0.000001,1)))</f>
        <v/>
      </c>
      <c r="H496">
        <f>IF(A496="","",E496&amp;F496&amp;G496)</f>
        <v/>
      </c>
      <c r="I496">
        <f>IF(A496="","",IF(AND(E496&gt;=4,F496&gt;=4,G496&gt;=4),"Juara",IF(AND(F496&gt;=4,E496&gt;=3),"Setia",IF(AND(E496=5,F496&lt;=2,G496&gt;=3),"Berpotensi",IF(AND(E496&lt;=3,E496&gt;=2,F496&gt;=3),"Rawan",IF(AND(E496&lt;=2,F496&lt;=2),"Tidur","Umum"))))))</f>
        <v/>
      </c>
    </row>
    <row r="497">
      <c r="B497">
        <f>IF(A497="","",$B$1-MAXIFS(Donasi!$A$2:$A$20000,Donasi!$B$2:$B$20000,A497))</f>
        <v/>
      </c>
      <c r="C497">
        <f>IF(A497="","",COUNTIF(Donasi!$B$2:$B$20000,A497))</f>
        <v/>
      </c>
      <c r="D497">
        <f>IF(A497="","",SUMIF(Donasi!$B$2:$B$20000,A497,Donasi!$C$2:$C$20000))</f>
        <v/>
      </c>
      <c r="E497">
        <f>IF(A497="","",6-CEILING(PERCENTRANK.INC($B$3:$B$6000,B497,4)*5+0.000001,1))</f>
        <v/>
      </c>
      <c r="F497">
        <f>IF(A497="","",MAX(1,CEILING(PERCENTRANK.INC($C$3:$C$6000,C497,4)*5+0.000001,1)))</f>
        <v/>
      </c>
      <c r="G497">
        <f>IF(A497="","",MAX(1,CEILING(PERCENTRANK.INC($D$3:$D$6000,D497,4)*5+0.000001,1)))</f>
        <v/>
      </c>
      <c r="H497">
        <f>IF(A497="","",E497&amp;F497&amp;G497)</f>
        <v/>
      </c>
      <c r="I497">
        <f>IF(A497="","",IF(AND(E497&gt;=4,F497&gt;=4,G497&gt;=4),"Juara",IF(AND(F497&gt;=4,E497&gt;=3),"Setia",IF(AND(E497=5,F497&lt;=2,G497&gt;=3),"Berpotensi",IF(AND(E497&lt;=3,E497&gt;=2,F497&gt;=3),"Rawan",IF(AND(E497&lt;=2,F497&lt;=2),"Tidur","Umum"))))))</f>
        <v/>
      </c>
    </row>
    <row r="498">
      <c r="B498">
        <f>IF(A498="","",$B$1-MAXIFS(Donasi!$A$2:$A$20000,Donasi!$B$2:$B$20000,A498))</f>
        <v/>
      </c>
      <c r="C498">
        <f>IF(A498="","",COUNTIF(Donasi!$B$2:$B$20000,A498))</f>
        <v/>
      </c>
      <c r="D498">
        <f>IF(A498="","",SUMIF(Donasi!$B$2:$B$20000,A498,Donasi!$C$2:$C$20000))</f>
        <v/>
      </c>
      <c r="E498">
        <f>IF(A498="","",6-CEILING(PERCENTRANK.INC($B$3:$B$6000,B498,4)*5+0.000001,1))</f>
        <v/>
      </c>
      <c r="F498">
        <f>IF(A498="","",MAX(1,CEILING(PERCENTRANK.INC($C$3:$C$6000,C498,4)*5+0.000001,1)))</f>
        <v/>
      </c>
      <c r="G498">
        <f>IF(A498="","",MAX(1,CEILING(PERCENTRANK.INC($D$3:$D$6000,D498,4)*5+0.000001,1)))</f>
        <v/>
      </c>
      <c r="H498">
        <f>IF(A498="","",E498&amp;F498&amp;G498)</f>
        <v/>
      </c>
      <c r="I498">
        <f>IF(A498="","",IF(AND(E498&gt;=4,F498&gt;=4,G498&gt;=4),"Juara",IF(AND(F498&gt;=4,E498&gt;=3),"Setia",IF(AND(E498=5,F498&lt;=2,G498&gt;=3),"Berpotensi",IF(AND(E498&lt;=3,E498&gt;=2,F498&gt;=3),"Rawan",IF(AND(E498&lt;=2,F498&lt;=2),"Tidur","Umum"))))))</f>
        <v/>
      </c>
    </row>
    <row r="499">
      <c r="B499">
        <f>IF(A499="","",$B$1-MAXIFS(Donasi!$A$2:$A$20000,Donasi!$B$2:$B$20000,A499))</f>
        <v/>
      </c>
      <c r="C499">
        <f>IF(A499="","",COUNTIF(Donasi!$B$2:$B$20000,A499))</f>
        <v/>
      </c>
      <c r="D499">
        <f>IF(A499="","",SUMIF(Donasi!$B$2:$B$20000,A499,Donasi!$C$2:$C$20000))</f>
        <v/>
      </c>
      <c r="E499">
        <f>IF(A499="","",6-CEILING(PERCENTRANK.INC($B$3:$B$6000,B499,4)*5+0.000001,1))</f>
        <v/>
      </c>
      <c r="F499">
        <f>IF(A499="","",MAX(1,CEILING(PERCENTRANK.INC($C$3:$C$6000,C499,4)*5+0.000001,1)))</f>
        <v/>
      </c>
      <c r="G499">
        <f>IF(A499="","",MAX(1,CEILING(PERCENTRANK.INC($D$3:$D$6000,D499,4)*5+0.000001,1)))</f>
        <v/>
      </c>
      <c r="H499">
        <f>IF(A499="","",E499&amp;F499&amp;G499)</f>
        <v/>
      </c>
      <c r="I499">
        <f>IF(A499="","",IF(AND(E499&gt;=4,F499&gt;=4,G499&gt;=4),"Juara",IF(AND(F499&gt;=4,E499&gt;=3),"Setia",IF(AND(E499=5,F499&lt;=2,G499&gt;=3),"Berpotensi",IF(AND(E499&lt;=3,E499&gt;=2,F499&gt;=3),"Rawan",IF(AND(E499&lt;=2,F499&lt;=2),"Tidur","Umum"))))))</f>
        <v/>
      </c>
    </row>
    <row r="500">
      <c r="B500">
        <f>IF(A500="","",$B$1-MAXIFS(Donasi!$A$2:$A$20000,Donasi!$B$2:$B$20000,A500))</f>
        <v/>
      </c>
      <c r="C500">
        <f>IF(A500="","",COUNTIF(Donasi!$B$2:$B$20000,A500))</f>
        <v/>
      </c>
      <c r="D500">
        <f>IF(A500="","",SUMIF(Donasi!$B$2:$B$20000,A500,Donasi!$C$2:$C$20000))</f>
        <v/>
      </c>
      <c r="E500">
        <f>IF(A500="","",6-CEILING(PERCENTRANK.INC($B$3:$B$6000,B500,4)*5+0.000001,1))</f>
        <v/>
      </c>
      <c r="F500">
        <f>IF(A500="","",MAX(1,CEILING(PERCENTRANK.INC($C$3:$C$6000,C500,4)*5+0.000001,1)))</f>
        <v/>
      </c>
      <c r="G500">
        <f>IF(A500="","",MAX(1,CEILING(PERCENTRANK.INC($D$3:$D$6000,D500,4)*5+0.000001,1)))</f>
        <v/>
      </c>
      <c r="H500">
        <f>IF(A500="","",E500&amp;F500&amp;G500)</f>
        <v/>
      </c>
      <c r="I500">
        <f>IF(A500="","",IF(AND(E500&gt;=4,F500&gt;=4,G500&gt;=4),"Juara",IF(AND(F500&gt;=4,E500&gt;=3),"Setia",IF(AND(E500=5,F500&lt;=2,G500&gt;=3),"Berpotensi",IF(AND(E500&lt;=3,E500&gt;=2,F500&gt;=3),"Rawan",IF(AND(E500&lt;=2,F500&lt;=2),"Tidur","Umum"))))))</f>
        <v/>
      </c>
    </row>
    <row r="501">
      <c r="B501">
        <f>IF(A501="","",$B$1-MAXIFS(Donasi!$A$2:$A$20000,Donasi!$B$2:$B$20000,A501))</f>
        <v/>
      </c>
      <c r="C501">
        <f>IF(A501="","",COUNTIF(Donasi!$B$2:$B$20000,A501))</f>
        <v/>
      </c>
      <c r="D501">
        <f>IF(A501="","",SUMIF(Donasi!$B$2:$B$20000,A501,Donasi!$C$2:$C$20000))</f>
        <v/>
      </c>
      <c r="E501">
        <f>IF(A501="","",6-CEILING(PERCENTRANK.INC($B$3:$B$6000,B501,4)*5+0.000001,1))</f>
        <v/>
      </c>
      <c r="F501">
        <f>IF(A501="","",MAX(1,CEILING(PERCENTRANK.INC($C$3:$C$6000,C501,4)*5+0.000001,1)))</f>
        <v/>
      </c>
      <c r="G501">
        <f>IF(A501="","",MAX(1,CEILING(PERCENTRANK.INC($D$3:$D$6000,D501,4)*5+0.000001,1)))</f>
        <v/>
      </c>
      <c r="H501">
        <f>IF(A501="","",E501&amp;F501&amp;G501)</f>
        <v/>
      </c>
      <c r="I501">
        <f>IF(A501="","",IF(AND(E501&gt;=4,F501&gt;=4,G501&gt;=4),"Juara",IF(AND(F501&gt;=4,E501&gt;=3),"Setia",IF(AND(E501=5,F501&lt;=2,G501&gt;=3),"Berpotensi",IF(AND(E501&lt;=3,E501&gt;=2,F501&gt;=3),"Rawan",IF(AND(E501&lt;=2,F501&lt;=2),"Tidur","Umum"))))))</f>
        <v/>
      </c>
    </row>
    <row r="502">
      <c r="B502">
        <f>IF(A502="","",$B$1-MAXIFS(Donasi!$A$2:$A$20000,Donasi!$B$2:$B$20000,A502))</f>
        <v/>
      </c>
      <c r="C502">
        <f>IF(A502="","",COUNTIF(Donasi!$B$2:$B$20000,A502))</f>
        <v/>
      </c>
      <c r="D502">
        <f>IF(A502="","",SUMIF(Donasi!$B$2:$B$20000,A502,Donasi!$C$2:$C$20000))</f>
        <v/>
      </c>
      <c r="E502">
        <f>IF(A502="","",6-CEILING(PERCENTRANK.INC($B$3:$B$6000,B502,4)*5+0.000001,1))</f>
        <v/>
      </c>
      <c r="F502">
        <f>IF(A502="","",MAX(1,CEILING(PERCENTRANK.INC($C$3:$C$6000,C502,4)*5+0.000001,1)))</f>
        <v/>
      </c>
      <c r="G502">
        <f>IF(A502="","",MAX(1,CEILING(PERCENTRANK.INC($D$3:$D$6000,D502,4)*5+0.000001,1)))</f>
        <v/>
      </c>
      <c r="H502">
        <f>IF(A502="","",E502&amp;F502&amp;G502)</f>
        <v/>
      </c>
      <c r="I502">
        <f>IF(A502="","",IF(AND(E502&gt;=4,F502&gt;=4,G502&gt;=4),"Juara",IF(AND(F502&gt;=4,E502&gt;=3),"Setia",IF(AND(E502=5,F502&lt;=2,G502&gt;=3),"Berpotensi",IF(AND(E502&lt;=3,E502&gt;=2,F502&gt;=3),"Rawan",IF(AND(E502&lt;=2,F502&lt;=2),"Tidur","Umum"))))))</f>
        <v/>
      </c>
    </row>
    <row r="503">
      <c r="B503">
        <f>IF(A503="","",$B$1-MAXIFS(Donasi!$A$2:$A$20000,Donasi!$B$2:$B$20000,A503))</f>
        <v/>
      </c>
      <c r="C503">
        <f>IF(A503="","",COUNTIF(Donasi!$B$2:$B$20000,A503))</f>
        <v/>
      </c>
      <c r="D503">
        <f>IF(A503="","",SUMIF(Donasi!$B$2:$B$20000,A503,Donasi!$C$2:$C$20000))</f>
        <v/>
      </c>
      <c r="E503">
        <f>IF(A503="","",6-CEILING(PERCENTRANK.INC($B$3:$B$6000,B503,4)*5+0.000001,1))</f>
        <v/>
      </c>
      <c r="F503">
        <f>IF(A503="","",MAX(1,CEILING(PERCENTRANK.INC($C$3:$C$6000,C503,4)*5+0.000001,1)))</f>
        <v/>
      </c>
      <c r="G503">
        <f>IF(A503="","",MAX(1,CEILING(PERCENTRANK.INC($D$3:$D$6000,D503,4)*5+0.000001,1)))</f>
        <v/>
      </c>
      <c r="H503">
        <f>IF(A503="","",E503&amp;F503&amp;G503)</f>
        <v/>
      </c>
      <c r="I503">
        <f>IF(A503="","",IF(AND(E503&gt;=4,F503&gt;=4,G503&gt;=4),"Juara",IF(AND(F503&gt;=4,E503&gt;=3),"Setia",IF(AND(E503=5,F503&lt;=2,G503&gt;=3),"Berpotensi",IF(AND(E503&lt;=3,E503&gt;=2,F503&gt;=3),"Rawan",IF(AND(E503&lt;=2,F503&lt;=2),"Tidur","Umum"))))))</f>
        <v/>
      </c>
    </row>
    <row r="504">
      <c r="B504">
        <f>IF(A504="","",$B$1-MAXIFS(Donasi!$A$2:$A$20000,Donasi!$B$2:$B$20000,A504))</f>
        <v/>
      </c>
      <c r="C504">
        <f>IF(A504="","",COUNTIF(Donasi!$B$2:$B$20000,A504))</f>
        <v/>
      </c>
      <c r="D504">
        <f>IF(A504="","",SUMIF(Donasi!$B$2:$B$20000,A504,Donasi!$C$2:$C$20000))</f>
        <v/>
      </c>
      <c r="E504">
        <f>IF(A504="","",6-CEILING(PERCENTRANK.INC($B$3:$B$6000,B504,4)*5+0.000001,1))</f>
        <v/>
      </c>
      <c r="F504">
        <f>IF(A504="","",MAX(1,CEILING(PERCENTRANK.INC($C$3:$C$6000,C504,4)*5+0.000001,1)))</f>
        <v/>
      </c>
      <c r="G504">
        <f>IF(A504="","",MAX(1,CEILING(PERCENTRANK.INC($D$3:$D$6000,D504,4)*5+0.000001,1)))</f>
        <v/>
      </c>
      <c r="H504">
        <f>IF(A504="","",E504&amp;F504&amp;G504)</f>
        <v/>
      </c>
      <c r="I504">
        <f>IF(A504="","",IF(AND(E504&gt;=4,F504&gt;=4,G504&gt;=4),"Juara",IF(AND(F504&gt;=4,E504&gt;=3),"Setia",IF(AND(E504=5,F504&lt;=2,G504&gt;=3),"Berpotensi",IF(AND(E504&lt;=3,E504&gt;=2,F504&gt;=3),"Rawan",IF(AND(E504&lt;=2,F504&lt;=2),"Tidur","Umum"))))))</f>
        <v/>
      </c>
    </row>
    <row r="505">
      <c r="B505">
        <f>IF(A505="","",$B$1-MAXIFS(Donasi!$A$2:$A$20000,Donasi!$B$2:$B$20000,A505))</f>
        <v/>
      </c>
      <c r="C505">
        <f>IF(A505="","",COUNTIF(Donasi!$B$2:$B$20000,A505))</f>
        <v/>
      </c>
      <c r="D505">
        <f>IF(A505="","",SUMIF(Donasi!$B$2:$B$20000,A505,Donasi!$C$2:$C$20000))</f>
        <v/>
      </c>
      <c r="E505">
        <f>IF(A505="","",6-CEILING(PERCENTRANK.INC($B$3:$B$6000,B505,4)*5+0.000001,1))</f>
        <v/>
      </c>
      <c r="F505">
        <f>IF(A505="","",MAX(1,CEILING(PERCENTRANK.INC($C$3:$C$6000,C505,4)*5+0.000001,1)))</f>
        <v/>
      </c>
      <c r="G505">
        <f>IF(A505="","",MAX(1,CEILING(PERCENTRANK.INC($D$3:$D$6000,D505,4)*5+0.000001,1)))</f>
        <v/>
      </c>
      <c r="H505">
        <f>IF(A505="","",E505&amp;F505&amp;G505)</f>
        <v/>
      </c>
      <c r="I505">
        <f>IF(A505="","",IF(AND(E505&gt;=4,F505&gt;=4,G505&gt;=4),"Juara",IF(AND(F505&gt;=4,E505&gt;=3),"Setia",IF(AND(E505=5,F505&lt;=2,G505&gt;=3),"Berpotensi",IF(AND(E505&lt;=3,E505&gt;=2,F505&gt;=3),"Rawan",IF(AND(E505&lt;=2,F505&lt;=2),"Tidur","Umum"))))))</f>
        <v/>
      </c>
    </row>
    <row r="506">
      <c r="B506">
        <f>IF(A506="","",$B$1-MAXIFS(Donasi!$A$2:$A$20000,Donasi!$B$2:$B$20000,A506))</f>
        <v/>
      </c>
      <c r="C506">
        <f>IF(A506="","",COUNTIF(Donasi!$B$2:$B$20000,A506))</f>
        <v/>
      </c>
      <c r="D506">
        <f>IF(A506="","",SUMIF(Donasi!$B$2:$B$20000,A506,Donasi!$C$2:$C$20000))</f>
        <v/>
      </c>
      <c r="E506">
        <f>IF(A506="","",6-CEILING(PERCENTRANK.INC($B$3:$B$6000,B506,4)*5+0.000001,1))</f>
        <v/>
      </c>
      <c r="F506">
        <f>IF(A506="","",MAX(1,CEILING(PERCENTRANK.INC($C$3:$C$6000,C506,4)*5+0.000001,1)))</f>
        <v/>
      </c>
      <c r="G506">
        <f>IF(A506="","",MAX(1,CEILING(PERCENTRANK.INC($D$3:$D$6000,D506,4)*5+0.000001,1)))</f>
        <v/>
      </c>
      <c r="H506">
        <f>IF(A506="","",E506&amp;F506&amp;G506)</f>
        <v/>
      </c>
      <c r="I506">
        <f>IF(A506="","",IF(AND(E506&gt;=4,F506&gt;=4,G506&gt;=4),"Juara",IF(AND(F506&gt;=4,E506&gt;=3),"Setia",IF(AND(E506=5,F506&lt;=2,G506&gt;=3),"Berpotensi",IF(AND(E506&lt;=3,E506&gt;=2,F506&gt;=3),"Rawan",IF(AND(E506&lt;=2,F506&lt;=2),"Tidur","Umum"))))))</f>
        <v/>
      </c>
    </row>
    <row r="507">
      <c r="B507">
        <f>IF(A507="","",$B$1-MAXIFS(Donasi!$A$2:$A$20000,Donasi!$B$2:$B$20000,A507))</f>
        <v/>
      </c>
      <c r="C507">
        <f>IF(A507="","",COUNTIF(Donasi!$B$2:$B$20000,A507))</f>
        <v/>
      </c>
      <c r="D507">
        <f>IF(A507="","",SUMIF(Donasi!$B$2:$B$20000,A507,Donasi!$C$2:$C$20000))</f>
        <v/>
      </c>
      <c r="E507">
        <f>IF(A507="","",6-CEILING(PERCENTRANK.INC($B$3:$B$6000,B507,4)*5+0.000001,1))</f>
        <v/>
      </c>
      <c r="F507">
        <f>IF(A507="","",MAX(1,CEILING(PERCENTRANK.INC($C$3:$C$6000,C507,4)*5+0.000001,1)))</f>
        <v/>
      </c>
      <c r="G507">
        <f>IF(A507="","",MAX(1,CEILING(PERCENTRANK.INC($D$3:$D$6000,D507,4)*5+0.000001,1)))</f>
        <v/>
      </c>
      <c r="H507">
        <f>IF(A507="","",E507&amp;F507&amp;G507)</f>
        <v/>
      </c>
      <c r="I507">
        <f>IF(A507="","",IF(AND(E507&gt;=4,F507&gt;=4,G507&gt;=4),"Juara",IF(AND(F507&gt;=4,E507&gt;=3),"Setia",IF(AND(E507=5,F507&lt;=2,G507&gt;=3),"Berpotensi",IF(AND(E507&lt;=3,E507&gt;=2,F507&gt;=3),"Rawan",IF(AND(E507&lt;=2,F507&lt;=2),"Tidur","Umum"))))))</f>
        <v/>
      </c>
    </row>
    <row r="508">
      <c r="B508">
        <f>IF(A508="","",$B$1-MAXIFS(Donasi!$A$2:$A$20000,Donasi!$B$2:$B$20000,A508))</f>
        <v/>
      </c>
      <c r="C508">
        <f>IF(A508="","",COUNTIF(Donasi!$B$2:$B$20000,A508))</f>
        <v/>
      </c>
      <c r="D508">
        <f>IF(A508="","",SUMIF(Donasi!$B$2:$B$20000,A508,Donasi!$C$2:$C$20000))</f>
        <v/>
      </c>
      <c r="E508">
        <f>IF(A508="","",6-CEILING(PERCENTRANK.INC($B$3:$B$6000,B508,4)*5+0.000001,1))</f>
        <v/>
      </c>
      <c r="F508">
        <f>IF(A508="","",MAX(1,CEILING(PERCENTRANK.INC($C$3:$C$6000,C508,4)*5+0.000001,1)))</f>
        <v/>
      </c>
      <c r="G508">
        <f>IF(A508="","",MAX(1,CEILING(PERCENTRANK.INC($D$3:$D$6000,D508,4)*5+0.000001,1)))</f>
        <v/>
      </c>
      <c r="H508">
        <f>IF(A508="","",E508&amp;F508&amp;G508)</f>
        <v/>
      </c>
      <c r="I508">
        <f>IF(A508="","",IF(AND(E508&gt;=4,F508&gt;=4,G508&gt;=4),"Juara",IF(AND(F508&gt;=4,E508&gt;=3),"Setia",IF(AND(E508=5,F508&lt;=2,G508&gt;=3),"Berpotensi",IF(AND(E508&lt;=3,E508&gt;=2,F508&gt;=3),"Rawan",IF(AND(E508&lt;=2,F508&lt;=2),"Tidur","Umum"))))))</f>
        <v/>
      </c>
    </row>
    <row r="509">
      <c r="B509">
        <f>IF(A509="","",$B$1-MAXIFS(Donasi!$A$2:$A$20000,Donasi!$B$2:$B$20000,A509))</f>
        <v/>
      </c>
      <c r="C509">
        <f>IF(A509="","",COUNTIF(Donasi!$B$2:$B$20000,A509))</f>
        <v/>
      </c>
      <c r="D509">
        <f>IF(A509="","",SUMIF(Donasi!$B$2:$B$20000,A509,Donasi!$C$2:$C$20000))</f>
        <v/>
      </c>
      <c r="E509">
        <f>IF(A509="","",6-CEILING(PERCENTRANK.INC($B$3:$B$6000,B509,4)*5+0.000001,1))</f>
        <v/>
      </c>
      <c r="F509">
        <f>IF(A509="","",MAX(1,CEILING(PERCENTRANK.INC($C$3:$C$6000,C509,4)*5+0.000001,1)))</f>
        <v/>
      </c>
      <c r="G509">
        <f>IF(A509="","",MAX(1,CEILING(PERCENTRANK.INC($D$3:$D$6000,D509,4)*5+0.000001,1)))</f>
        <v/>
      </c>
      <c r="H509">
        <f>IF(A509="","",E509&amp;F509&amp;G509)</f>
        <v/>
      </c>
      <c r="I509">
        <f>IF(A509="","",IF(AND(E509&gt;=4,F509&gt;=4,G509&gt;=4),"Juara",IF(AND(F509&gt;=4,E509&gt;=3),"Setia",IF(AND(E509=5,F509&lt;=2,G509&gt;=3),"Berpotensi",IF(AND(E509&lt;=3,E509&gt;=2,F509&gt;=3),"Rawan",IF(AND(E509&lt;=2,F509&lt;=2),"Tidur","Umum"))))))</f>
        <v/>
      </c>
    </row>
    <row r="510">
      <c r="B510">
        <f>IF(A510="","",$B$1-MAXIFS(Donasi!$A$2:$A$20000,Donasi!$B$2:$B$20000,A510))</f>
        <v/>
      </c>
      <c r="C510">
        <f>IF(A510="","",COUNTIF(Donasi!$B$2:$B$20000,A510))</f>
        <v/>
      </c>
      <c r="D510">
        <f>IF(A510="","",SUMIF(Donasi!$B$2:$B$20000,A510,Donasi!$C$2:$C$20000))</f>
        <v/>
      </c>
      <c r="E510">
        <f>IF(A510="","",6-CEILING(PERCENTRANK.INC($B$3:$B$6000,B510,4)*5+0.000001,1))</f>
        <v/>
      </c>
      <c r="F510">
        <f>IF(A510="","",MAX(1,CEILING(PERCENTRANK.INC($C$3:$C$6000,C510,4)*5+0.000001,1)))</f>
        <v/>
      </c>
      <c r="G510">
        <f>IF(A510="","",MAX(1,CEILING(PERCENTRANK.INC($D$3:$D$6000,D510,4)*5+0.000001,1)))</f>
        <v/>
      </c>
      <c r="H510">
        <f>IF(A510="","",E510&amp;F510&amp;G510)</f>
        <v/>
      </c>
      <c r="I510">
        <f>IF(A510="","",IF(AND(E510&gt;=4,F510&gt;=4,G510&gt;=4),"Juara",IF(AND(F510&gt;=4,E510&gt;=3),"Setia",IF(AND(E510=5,F510&lt;=2,G510&gt;=3),"Berpotensi",IF(AND(E510&lt;=3,E510&gt;=2,F510&gt;=3),"Rawan",IF(AND(E510&lt;=2,F510&lt;=2),"Tidur","Umum"))))))</f>
        <v/>
      </c>
    </row>
    <row r="511">
      <c r="B511">
        <f>IF(A511="","",$B$1-MAXIFS(Donasi!$A$2:$A$20000,Donasi!$B$2:$B$20000,A511))</f>
        <v/>
      </c>
      <c r="C511">
        <f>IF(A511="","",COUNTIF(Donasi!$B$2:$B$20000,A511))</f>
        <v/>
      </c>
      <c r="D511">
        <f>IF(A511="","",SUMIF(Donasi!$B$2:$B$20000,A511,Donasi!$C$2:$C$20000))</f>
        <v/>
      </c>
      <c r="E511">
        <f>IF(A511="","",6-CEILING(PERCENTRANK.INC($B$3:$B$6000,B511,4)*5+0.000001,1))</f>
        <v/>
      </c>
      <c r="F511">
        <f>IF(A511="","",MAX(1,CEILING(PERCENTRANK.INC($C$3:$C$6000,C511,4)*5+0.000001,1)))</f>
        <v/>
      </c>
      <c r="G511">
        <f>IF(A511="","",MAX(1,CEILING(PERCENTRANK.INC($D$3:$D$6000,D511,4)*5+0.000001,1)))</f>
        <v/>
      </c>
      <c r="H511">
        <f>IF(A511="","",E511&amp;F511&amp;G511)</f>
        <v/>
      </c>
      <c r="I511">
        <f>IF(A511="","",IF(AND(E511&gt;=4,F511&gt;=4,G511&gt;=4),"Juara",IF(AND(F511&gt;=4,E511&gt;=3),"Setia",IF(AND(E511=5,F511&lt;=2,G511&gt;=3),"Berpotensi",IF(AND(E511&lt;=3,E511&gt;=2,F511&gt;=3),"Rawan",IF(AND(E511&lt;=2,F511&lt;=2),"Tidur","Umum"))))))</f>
        <v/>
      </c>
    </row>
    <row r="512">
      <c r="B512">
        <f>IF(A512="","",$B$1-MAXIFS(Donasi!$A$2:$A$20000,Donasi!$B$2:$B$20000,A512))</f>
        <v/>
      </c>
      <c r="C512">
        <f>IF(A512="","",COUNTIF(Donasi!$B$2:$B$20000,A512))</f>
        <v/>
      </c>
      <c r="D512">
        <f>IF(A512="","",SUMIF(Donasi!$B$2:$B$20000,A512,Donasi!$C$2:$C$20000))</f>
        <v/>
      </c>
      <c r="E512">
        <f>IF(A512="","",6-CEILING(PERCENTRANK.INC($B$3:$B$6000,B512,4)*5+0.000001,1))</f>
        <v/>
      </c>
      <c r="F512">
        <f>IF(A512="","",MAX(1,CEILING(PERCENTRANK.INC($C$3:$C$6000,C512,4)*5+0.000001,1)))</f>
        <v/>
      </c>
      <c r="G512">
        <f>IF(A512="","",MAX(1,CEILING(PERCENTRANK.INC($D$3:$D$6000,D512,4)*5+0.000001,1)))</f>
        <v/>
      </c>
      <c r="H512">
        <f>IF(A512="","",E512&amp;F512&amp;G512)</f>
        <v/>
      </c>
      <c r="I512">
        <f>IF(A512="","",IF(AND(E512&gt;=4,F512&gt;=4,G512&gt;=4),"Juara",IF(AND(F512&gt;=4,E512&gt;=3),"Setia",IF(AND(E512=5,F512&lt;=2,G512&gt;=3),"Berpotensi",IF(AND(E512&lt;=3,E512&gt;=2,F512&gt;=3),"Rawan",IF(AND(E512&lt;=2,F512&lt;=2),"Tidur","Umum"))))))</f>
        <v/>
      </c>
    </row>
    <row r="513">
      <c r="B513">
        <f>IF(A513="","",$B$1-MAXIFS(Donasi!$A$2:$A$20000,Donasi!$B$2:$B$20000,A513))</f>
        <v/>
      </c>
      <c r="C513">
        <f>IF(A513="","",COUNTIF(Donasi!$B$2:$B$20000,A513))</f>
        <v/>
      </c>
      <c r="D513">
        <f>IF(A513="","",SUMIF(Donasi!$B$2:$B$20000,A513,Donasi!$C$2:$C$20000))</f>
        <v/>
      </c>
      <c r="E513">
        <f>IF(A513="","",6-CEILING(PERCENTRANK.INC($B$3:$B$6000,B513,4)*5+0.000001,1))</f>
        <v/>
      </c>
      <c r="F513">
        <f>IF(A513="","",MAX(1,CEILING(PERCENTRANK.INC($C$3:$C$6000,C513,4)*5+0.000001,1)))</f>
        <v/>
      </c>
      <c r="G513">
        <f>IF(A513="","",MAX(1,CEILING(PERCENTRANK.INC($D$3:$D$6000,D513,4)*5+0.000001,1)))</f>
        <v/>
      </c>
      <c r="H513">
        <f>IF(A513="","",E513&amp;F513&amp;G513)</f>
        <v/>
      </c>
      <c r="I513">
        <f>IF(A513="","",IF(AND(E513&gt;=4,F513&gt;=4,G513&gt;=4),"Juara",IF(AND(F513&gt;=4,E513&gt;=3),"Setia",IF(AND(E513=5,F513&lt;=2,G513&gt;=3),"Berpotensi",IF(AND(E513&lt;=3,E513&gt;=2,F513&gt;=3),"Rawan",IF(AND(E513&lt;=2,F513&lt;=2),"Tidur","Umum"))))))</f>
        <v/>
      </c>
    </row>
    <row r="514">
      <c r="B514">
        <f>IF(A514="","",$B$1-MAXIFS(Donasi!$A$2:$A$20000,Donasi!$B$2:$B$20000,A514))</f>
        <v/>
      </c>
      <c r="C514">
        <f>IF(A514="","",COUNTIF(Donasi!$B$2:$B$20000,A514))</f>
        <v/>
      </c>
      <c r="D514">
        <f>IF(A514="","",SUMIF(Donasi!$B$2:$B$20000,A514,Donasi!$C$2:$C$20000))</f>
        <v/>
      </c>
      <c r="E514">
        <f>IF(A514="","",6-CEILING(PERCENTRANK.INC($B$3:$B$6000,B514,4)*5+0.000001,1))</f>
        <v/>
      </c>
      <c r="F514">
        <f>IF(A514="","",MAX(1,CEILING(PERCENTRANK.INC($C$3:$C$6000,C514,4)*5+0.000001,1)))</f>
        <v/>
      </c>
      <c r="G514">
        <f>IF(A514="","",MAX(1,CEILING(PERCENTRANK.INC($D$3:$D$6000,D514,4)*5+0.000001,1)))</f>
        <v/>
      </c>
      <c r="H514">
        <f>IF(A514="","",E514&amp;F514&amp;G514)</f>
        <v/>
      </c>
      <c r="I514">
        <f>IF(A514="","",IF(AND(E514&gt;=4,F514&gt;=4,G514&gt;=4),"Juara",IF(AND(F514&gt;=4,E514&gt;=3),"Setia",IF(AND(E514=5,F514&lt;=2,G514&gt;=3),"Berpotensi",IF(AND(E514&lt;=3,E514&gt;=2,F514&gt;=3),"Rawan",IF(AND(E514&lt;=2,F514&lt;=2),"Tidur","Umum"))))))</f>
        <v/>
      </c>
    </row>
    <row r="515">
      <c r="B515">
        <f>IF(A515="","",$B$1-MAXIFS(Donasi!$A$2:$A$20000,Donasi!$B$2:$B$20000,A515))</f>
        <v/>
      </c>
      <c r="C515">
        <f>IF(A515="","",COUNTIF(Donasi!$B$2:$B$20000,A515))</f>
        <v/>
      </c>
      <c r="D515">
        <f>IF(A515="","",SUMIF(Donasi!$B$2:$B$20000,A515,Donasi!$C$2:$C$20000))</f>
        <v/>
      </c>
      <c r="E515">
        <f>IF(A515="","",6-CEILING(PERCENTRANK.INC($B$3:$B$6000,B515,4)*5+0.000001,1))</f>
        <v/>
      </c>
      <c r="F515">
        <f>IF(A515="","",MAX(1,CEILING(PERCENTRANK.INC($C$3:$C$6000,C515,4)*5+0.000001,1)))</f>
        <v/>
      </c>
      <c r="G515">
        <f>IF(A515="","",MAX(1,CEILING(PERCENTRANK.INC($D$3:$D$6000,D515,4)*5+0.000001,1)))</f>
        <v/>
      </c>
      <c r="H515">
        <f>IF(A515="","",E515&amp;F515&amp;G515)</f>
        <v/>
      </c>
      <c r="I515">
        <f>IF(A515="","",IF(AND(E515&gt;=4,F515&gt;=4,G515&gt;=4),"Juara",IF(AND(F515&gt;=4,E515&gt;=3),"Setia",IF(AND(E515=5,F515&lt;=2,G515&gt;=3),"Berpotensi",IF(AND(E515&lt;=3,E515&gt;=2,F515&gt;=3),"Rawan",IF(AND(E515&lt;=2,F515&lt;=2),"Tidur","Umum"))))))</f>
        <v/>
      </c>
    </row>
    <row r="516">
      <c r="B516">
        <f>IF(A516="","",$B$1-MAXIFS(Donasi!$A$2:$A$20000,Donasi!$B$2:$B$20000,A516))</f>
        <v/>
      </c>
      <c r="C516">
        <f>IF(A516="","",COUNTIF(Donasi!$B$2:$B$20000,A516))</f>
        <v/>
      </c>
      <c r="D516">
        <f>IF(A516="","",SUMIF(Donasi!$B$2:$B$20000,A516,Donasi!$C$2:$C$20000))</f>
        <v/>
      </c>
      <c r="E516">
        <f>IF(A516="","",6-CEILING(PERCENTRANK.INC($B$3:$B$6000,B516,4)*5+0.000001,1))</f>
        <v/>
      </c>
      <c r="F516">
        <f>IF(A516="","",MAX(1,CEILING(PERCENTRANK.INC($C$3:$C$6000,C516,4)*5+0.000001,1)))</f>
        <v/>
      </c>
      <c r="G516">
        <f>IF(A516="","",MAX(1,CEILING(PERCENTRANK.INC($D$3:$D$6000,D516,4)*5+0.000001,1)))</f>
        <v/>
      </c>
      <c r="H516">
        <f>IF(A516="","",E516&amp;F516&amp;G516)</f>
        <v/>
      </c>
      <c r="I516">
        <f>IF(A516="","",IF(AND(E516&gt;=4,F516&gt;=4,G516&gt;=4),"Juara",IF(AND(F516&gt;=4,E516&gt;=3),"Setia",IF(AND(E516=5,F516&lt;=2,G516&gt;=3),"Berpotensi",IF(AND(E516&lt;=3,E516&gt;=2,F516&gt;=3),"Rawan",IF(AND(E516&lt;=2,F516&lt;=2),"Tidur","Umum"))))))</f>
        <v/>
      </c>
    </row>
    <row r="517">
      <c r="B517">
        <f>IF(A517="","",$B$1-MAXIFS(Donasi!$A$2:$A$20000,Donasi!$B$2:$B$20000,A517))</f>
        <v/>
      </c>
      <c r="C517">
        <f>IF(A517="","",COUNTIF(Donasi!$B$2:$B$20000,A517))</f>
        <v/>
      </c>
      <c r="D517">
        <f>IF(A517="","",SUMIF(Donasi!$B$2:$B$20000,A517,Donasi!$C$2:$C$20000))</f>
        <v/>
      </c>
      <c r="E517">
        <f>IF(A517="","",6-CEILING(PERCENTRANK.INC($B$3:$B$6000,B517,4)*5+0.000001,1))</f>
        <v/>
      </c>
      <c r="F517">
        <f>IF(A517="","",MAX(1,CEILING(PERCENTRANK.INC($C$3:$C$6000,C517,4)*5+0.000001,1)))</f>
        <v/>
      </c>
      <c r="G517">
        <f>IF(A517="","",MAX(1,CEILING(PERCENTRANK.INC($D$3:$D$6000,D517,4)*5+0.000001,1)))</f>
        <v/>
      </c>
      <c r="H517">
        <f>IF(A517="","",E517&amp;F517&amp;G517)</f>
        <v/>
      </c>
      <c r="I517">
        <f>IF(A517="","",IF(AND(E517&gt;=4,F517&gt;=4,G517&gt;=4),"Juara",IF(AND(F517&gt;=4,E517&gt;=3),"Setia",IF(AND(E517=5,F517&lt;=2,G517&gt;=3),"Berpotensi",IF(AND(E517&lt;=3,E517&gt;=2,F517&gt;=3),"Rawan",IF(AND(E517&lt;=2,F517&lt;=2),"Tidur","Umum"))))))</f>
        <v/>
      </c>
    </row>
    <row r="518">
      <c r="B518">
        <f>IF(A518="","",$B$1-MAXIFS(Donasi!$A$2:$A$20000,Donasi!$B$2:$B$20000,A518))</f>
        <v/>
      </c>
      <c r="C518">
        <f>IF(A518="","",COUNTIF(Donasi!$B$2:$B$20000,A518))</f>
        <v/>
      </c>
      <c r="D518">
        <f>IF(A518="","",SUMIF(Donasi!$B$2:$B$20000,A518,Donasi!$C$2:$C$20000))</f>
        <v/>
      </c>
      <c r="E518">
        <f>IF(A518="","",6-CEILING(PERCENTRANK.INC($B$3:$B$6000,B518,4)*5+0.000001,1))</f>
        <v/>
      </c>
      <c r="F518">
        <f>IF(A518="","",MAX(1,CEILING(PERCENTRANK.INC($C$3:$C$6000,C518,4)*5+0.000001,1)))</f>
        <v/>
      </c>
      <c r="G518">
        <f>IF(A518="","",MAX(1,CEILING(PERCENTRANK.INC($D$3:$D$6000,D518,4)*5+0.000001,1)))</f>
        <v/>
      </c>
      <c r="H518">
        <f>IF(A518="","",E518&amp;F518&amp;G518)</f>
        <v/>
      </c>
      <c r="I518">
        <f>IF(A518="","",IF(AND(E518&gt;=4,F518&gt;=4,G518&gt;=4),"Juara",IF(AND(F518&gt;=4,E518&gt;=3),"Setia",IF(AND(E518=5,F518&lt;=2,G518&gt;=3),"Berpotensi",IF(AND(E518&lt;=3,E518&gt;=2,F518&gt;=3),"Rawan",IF(AND(E518&lt;=2,F518&lt;=2),"Tidur","Umum"))))))</f>
        <v/>
      </c>
    </row>
    <row r="519">
      <c r="B519">
        <f>IF(A519="","",$B$1-MAXIFS(Donasi!$A$2:$A$20000,Donasi!$B$2:$B$20000,A519))</f>
        <v/>
      </c>
      <c r="C519">
        <f>IF(A519="","",COUNTIF(Donasi!$B$2:$B$20000,A519))</f>
        <v/>
      </c>
      <c r="D519">
        <f>IF(A519="","",SUMIF(Donasi!$B$2:$B$20000,A519,Donasi!$C$2:$C$20000))</f>
        <v/>
      </c>
      <c r="E519">
        <f>IF(A519="","",6-CEILING(PERCENTRANK.INC($B$3:$B$6000,B519,4)*5+0.000001,1))</f>
        <v/>
      </c>
      <c r="F519">
        <f>IF(A519="","",MAX(1,CEILING(PERCENTRANK.INC($C$3:$C$6000,C519,4)*5+0.000001,1)))</f>
        <v/>
      </c>
      <c r="G519">
        <f>IF(A519="","",MAX(1,CEILING(PERCENTRANK.INC($D$3:$D$6000,D519,4)*5+0.000001,1)))</f>
        <v/>
      </c>
      <c r="H519">
        <f>IF(A519="","",E519&amp;F519&amp;G519)</f>
        <v/>
      </c>
      <c r="I519">
        <f>IF(A519="","",IF(AND(E519&gt;=4,F519&gt;=4,G519&gt;=4),"Juara",IF(AND(F519&gt;=4,E519&gt;=3),"Setia",IF(AND(E519=5,F519&lt;=2,G519&gt;=3),"Berpotensi",IF(AND(E519&lt;=3,E519&gt;=2,F519&gt;=3),"Rawan",IF(AND(E519&lt;=2,F519&lt;=2),"Tidur","Umum"))))))</f>
        <v/>
      </c>
    </row>
    <row r="520">
      <c r="B520">
        <f>IF(A520="","",$B$1-MAXIFS(Donasi!$A$2:$A$20000,Donasi!$B$2:$B$20000,A520))</f>
        <v/>
      </c>
      <c r="C520">
        <f>IF(A520="","",COUNTIF(Donasi!$B$2:$B$20000,A520))</f>
        <v/>
      </c>
      <c r="D520">
        <f>IF(A520="","",SUMIF(Donasi!$B$2:$B$20000,A520,Donasi!$C$2:$C$20000))</f>
        <v/>
      </c>
      <c r="E520">
        <f>IF(A520="","",6-CEILING(PERCENTRANK.INC($B$3:$B$6000,B520,4)*5+0.000001,1))</f>
        <v/>
      </c>
      <c r="F520">
        <f>IF(A520="","",MAX(1,CEILING(PERCENTRANK.INC($C$3:$C$6000,C520,4)*5+0.000001,1)))</f>
        <v/>
      </c>
      <c r="G520">
        <f>IF(A520="","",MAX(1,CEILING(PERCENTRANK.INC($D$3:$D$6000,D520,4)*5+0.000001,1)))</f>
        <v/>
      </c>
      <c r="H520">
        <f>IF(A520="","",E520&amp;F520&amp;G520)</f>
        <v/>
      </c>
      <c r="I520">
        <f>IF(A520="","",IF(AND(E520&gt;=4,F520&gt;=4,G520&gt;=4),"Juara",IF(AND(F520&gt;=4,E520&gt;=3),"Setia",IF(AND(E520=5,F520&lt;=2,G520&gt;=3),"Berpotensi",IF(AND(E520&lt;=3,E520&gt;=2,F520&gt;=3),"Rawan",IF(AND(E520&lt;=2,F520&lt;=2),"Tidur","Umum"))))))</f>
        <v/>
      </c>
    </row>
    <row r="521">
      <c r="B521">
        <f>IF(A521="","",$B$1-MAXIFS(Donasi!$A$2:$A$20000,Donasi!$B$2:$B$20000,A521))</f>
        <v/>
      </c>
      <c r="C521">
        <f>IF(A521="","",COUNTIF(Donasi!$B$2:$B$20000,A521))</f>
        <v/>
      </c>
      <c r="D521">
        <f>IF(A521="","",SUMIF(Donasi!$B$2:$B$20000,A521,Donasi!$C$2:$C$20000))</f>
        <v/>
      </c>
      <c r="E521">
        <f>IF(A521="","",6-CEILING(PERCENTRANK.INC($B$3:$B$6000,B521,4)*5+0.000001,1))</f>
        <v/>
      </c>
      <c r="F521">
        <f>IF(A521="","",MAX(1,CEILING(PERCENTRANK.INC($C$3:$C$6000,C521,4)*5+0.000001,1)))</f>
        <v/>
      </c>
      <c r="G521">
        <f>IF(A521="","",MAX(1,CEILING(PERCENTRANK.INC($D$3:$D$6000,D521,4)*5+0.000001,1)))</f>
        <v/>
      </c>
      <c r="H521">
        <f>IF(A521="","",E521&amp;F521&amp;G521)</f>
        <v/>
      </c>
      <c r="I521">
        <f>IF(A521="","",IF(AND(E521&gt;=4,F521&gt;=4,G521&gt;=4),"Juara",IF(AND(F521&gt;=4,E521&gt;=3),"Setia",IF(AND(E521=5,F521&lt;=2,G521&gt;=3),"Berpotensi",IF(AND(E521&lt;=3,E521&gt;=2,F521&gt;=3),"Rawan",IF(AND(E521&lt;=2,F521&lt;=2),"Tidur","Umum"))))))</f>
        <v/>
      </c>
    </row>
    <row r="522">
      <c r="B522">
        <f>IF(A522="","",$B$1-MAXIFS(Donasi!$A$2:$A$20000,Donasi!$B$2:$B$20000,A522))</f>
        <v/>
      </c>
      <c r="C522">
        <f>IF(A522="","",COUNTIF(Donasi!$B$2:$B$20000,A522))</f>
        <v/>
      </c>
      <c r="D522">
        <f>IF(A522="","",SUMIF(Donasi!$B$2:$B$20000,A522,Donasi!$C$2:$C$20000))</f>
        <v/>
      </c>
      <c r="E522">
        <f>IF(A522="","",6-CEILING(PERCENTRANK.INC($B$3:$B$6000,B522,4)*5+0.000001,1))</f>
        <v/>
      </c>
      <c r="F522">
        <f>IF(A522="","",MAX(1,CEILING(PERCENTRANK.INC($C$3:$C$6000,C522,4)*5+0.000001,1)))</f>
        <v/>
      </c>
      <c r="G522">
        <f>IF(A522="","",MAX(1,CEILING(PERCENTRANK.INC($D$3:$D$6000,D522,4)*5+0.000001,1)))</f>
        <v/>
      </c>
      <c r="H522">
        <f>IF(A522="","",E522&amp;F522&amp;G522)</f>
        <v/>
      </c>
      <c r="I522">
        <f>IF(A522="","",IF(AND(E522&gt;=4,F522&gt;=4,G522&gt;=4),"Juara",IF(AND(F522&gt;=4,E522&gt;=3),"Setia",IF(AND(E522=5,F522&lt;=2,G522&gt;=3),"Berpotensi",IF(AND(E522&lt;=3,E522&gt;=2,F522&gt;=3),"Rawan",IF(AND(E522&lt;=2,F522&lt;=2),"Tidur","Umum"))))))</f>
        <v/>
      </c>
    </row>
    <row r="523">
      <c r="B523">
        <f>IF(A523="","",$B$1-MAXIFS(Donasi!$A$2:$A$20000,Donasi!$B$2:$B$20000,A523))</f>
        <v/>
      </c>
      <c r="C523">
        <f>IF(A523="","",COUNTIF(Donasi!$B$2:$B$20000,A523))</f>
        <v/>
      </c>
      <c r="D523">
        <f>IF(A523="","",SUMIF(Donasi!$B$2:$B$20000,A523,Donasi!$C$2:$C$20000))</f>
        <v/>
      </c>
      <c r="E523">
        <f>IF(A523="","",6-CEILING(PERCENTRANK.INC($B$3:$B$6000,B523,4)*5+0.000001,1))</f>
        <v/>
      </c>
      <c r="F523">
        <f>IF(A523="","",MAX(1,CEILING(PERCENTRANK.INC($C$3:$C$6000,C523,4)*5+0.000001,1)))</f>
        <v/>
      </c>
      <c r="G523">
        <f>IF(A523="","",MAX(1,CEILING(PERCENTRANK.INC($D$3:$D$6000,D523,4)*5+0.000001,1)))</f>
        <v/>
      </c>
      <c r="H523">
        <f>IF(A523="","",E523&amp;F523&amp;G523)</f>
        <v/>
      </c>
      <c r="I523">
        <f>IF(A523="","",IF(AND(E523&gt;=4,F523&gt;=4,G523&gt;=4),"Juara",IF(AND(F523&gt;=4,E523&gt;=3),"Setia",IF(AND(E523=5,F523&lt;=2,G523&gt;=3),"Berpotensi",IF(AND(E523&lt;=3,E523&gt;=2,F523&gt;=3),"Rawan",IF(AND(E523&lt;=2,F523&lt;=2),"Tidur","Umum"))))))</f>
        <v/>
      </c>
    </row>
    <row r="524">
      <c r="B524">
        <f>IF(A524="","",$B$1-MAXIFS(Donasi!$A$2:$A$20000,Donasi!$B$2:$B$20000,A524))</f>
        <v/>
      </c>
      <c r="C524">
        <f>IF(A524="","",COUNTIF(Donasi!$B$2:$B$20000,A524))</f>
        <v/>
      </c>
      <c r="D524">
        <f>IF(A524="","",SUMIF(Donasi!$B$2:$B$20000,A524,Donasi!$C$2:$C$20000))</f>
        <v/>
      </c>
      <c r="E524">
        <f>IF(A524="","",6-CEILING(PERCENTRANK.INC($B$3:$B$6000,B524,4)*5+0.000001,1))</f>
        <v/>
      </c>
      <c r="F524">
        <f>IF(A524="","",MAX(1,CEILING(PERCENTRANK.INC($C$3:$C$6000,C524,4)*5+0.000001,1)))</f>
        <v/>
      </c>
      <c r="G524">
        <f>IF(A524="","",MAX(1,CEILING(PERCENTRANK.INC($D$3:$D$6000,D524,4)*5+0.000001,1)))</f>
        <v/>
      </c>
      <c r="H524">
        <f>IF(A524="","",E524&amp;F524&amp;G524)</f>
        <v/>
      </c>
      <c r="I524">
        <f>IF(A524="","",IF(AND(E524&gt;=4,F524&gt;=4,G524&gt;=4),"Juara",IF(AND(F524&gt;=4,E524&gt;=3),"Setia",IF(AND(E524=5,F524&lt;=2,G524&gt;=3),"Berpotensi",IF(AND(E524&lt;=3,E524&gt;=2,F524&gt;=3),"Rawan",IF(AND(E524&lt;=2,F524&lt;=2),"Tidur","Umum"))))))</f>
        <v/>
      </c>
    </row>
    <row r="525">
      <c r="B525">
        <f>IF(A525="","",$B$1-MAXIFS(Donasi!$A$2:$A$20000,Donasi!$B$2:$B$20000,A525))</f>
        <v/>
      </c>
      <c r="C525">
        <f>IF(A525="","",COUNTIF(Donasi!$B$2:$B$20000,A525))</f>
        <v/>
      </c>
      <c r="D525">
        <f>IF(A525="","",SUMIF(Donasi!$B$2:$B$20000,A525,Donasi!$C$2:$C$20000))</f>
        <v/>
      </c>
      <c r="E525">
        <f>IF(A525="","",6-CEILING(PERCENTRANK.INC($B$3:$B$6000,B525,4)*5+0.000001,1))</f>
        <v/>
      </c>
      <c r="F525">
        <f>IF(A525="","",MAX(1,CEILING(PERCENTRANK.INC($C$3:$C$6000,C525,4)*5+0.000001,1)))</f>
        <v/>
      </c>
      <c r="G525">
        <f>IF(A525="","",MAX(1,CEILING(PERCENTRANK.INC($D$3:$D$6000,D525,4)*5+0.000001,1)))</f>
        <v/>
      </c>
      <c r="H525">
        <f>IF(A525="","",E525&amp;F525&amp;G525)</f>
        <v/>
      </c>
      <c r="I525">
        <f>IF(A525="","",IF(AND(E525&gt;=4,F525&gt;=4,G525&gt;=4),"Juara",IF(AND(F525&gt;=4,E525&gt;=3),"Setia",IF(AND(E525=5,F525&lt;=2,G525&gt;=3),"Berpotensi",IF(AND(E525&lt;=3,E525&gt;=2,F525&gt;=3),"Rawan",IF(AND(E525&lt;=2,F525&lt;=2),"Tidur","Umum"))))))</f>
        <v/>
      </c>
    </row>
    <row r="526">
      <c r="B526">
        <f>IF(A526="","",$B$1-MAXIFS(Donasi!$A$2:$A$20000,Donasi!$B$2:$B$20000,A526))</f>
        <v/>
      </c>
      <c r="C526">
        <f>IF(A526="","",COUNTIF(Donasi!$B$2:$B$20000,A526))</f>
        <v/>
      </c>
      <c r="D526">
        <f>IF(A526="","",SUMIF(Donasi!$B$2:$B$20000,A526,Donasi!$C$2:$C$20000))</f>
        <v/>
      </c>
      <c r="E526">
        <f>IF(A526="","",6-CEILING(PERCENTRANK.INC($B$3:$B$6000,B526,4)*5+0.000001,1))</f>
        <v/>
      </c>
      <c r="F526">
        <f>IF(A526="","",MAX(1,CEILING(PERCENTRANK.INC($C$3:$C$6000,C526,4)*5+0.000001,1)))</f>
        <v/>
      </c>
      <c r="G526">
        <f>IF(A526="","",MAX(1,CEILING(PERCENTRANK.INC($D$3:$D$6000,D526,4)*5+0.000001,1)))</f>
        <v/>
      </c>
      <c r="H526">
        <f>IF(A526="","",E526&amp;F526&amp;G526)</f>
        <v/>
      </c>
      <c r="I526">
        <f>IF(A526="","",IF(AND(E526&gt;=4,F526&gt;=4,G526&gt;=4),"Juara",IF(AND(F526&gt;=4,E526&gt;=3),"Setia",IF(AND(E526=5,F526&lt;=2,G526&gt;=3),"Berpotensi",IF(AND(E526&lt;=3,E526&gt;=2,F526&gt;=3),"Rawan",IF(AND(E526&lt;=2,F526&lt;=2),"Tidur","Umum"))))))</f>
        <v/>
      </c>
    </row>
    <row r="527">
      <c r="B527">
        <f>IF(A527="","",$B$1-MAXIFS(Donasi!$A$2:$A$20000,Donasi!$B$2:$B$20000,A527))</f>
        <v/>
      </c>
      <c r="C527">
        <f>IF(A527="","",COUNTIF(Donasi!$B$2:$B$20000,A527))</f>
        <v/>
      </c>
      <c r="D527">
        <f>IF(A527="","",SUMIF(Donasi!$B$2:$B$20000,A527,Donasi!$C$2:$C$20000))</f>
        <v/>
      </c>
      <c r="E527">
        <f>IF(A527="","",6-CEILING(PERCENTRANK.INC($B$3:$B$6000,B527,4)*5+0.000001,1))</f>
        <v/>
      </c>
      <c r="F527">
        <f>IF(A527="","",MAX(1,CEILING(PERCENTRANK.INC($C$3:$C$6000,C527,4)*5+0.000001,1)))</f>
        <v/>
      </c>
      <c r="G527">
        <f>IF(A527="","",MAX(1,CEILING(PERCENTRANK.INC($D$3:$D$6000,D527,4)*5+0.000001,1)))</f>
        <v/>
      </c>
      <c r="H527">
        <f>IF(A527="","",E527&amp;F527&amp;G527)</f>
        <v/>
      </c>
      <c r="I527">
        <f>IF(A527="","",IF(AND(E527&gt;=4,F527&gt;=4,G527&gt;=4),"Juara",IF(AND(F527&gt;=4,E527&gt;=3),"Setia",IF(AND(E527=5,F527&lt;=2,G527&gt;=3),"Berpotensi",IF(AND(E527&lt;=3,E527&gt;=2,F527&gt;=3),"Rawan",IF(AND(E527&lt;=2,F527&lt;=2),"Tidur","Umum"))))))</f>
        <v/>
      </c>
    </row>
    <row r="528">
      <c r="B528">
        <f>IF(A528="","",$B$1-MAXIFS(Donasi!$A$2:$A$20000,Donasi!$B$2:$B$20000,A528))</f>
        <v/>
      </c>
      <c r="C528">
        <f>IF(A528="","",COUNTIF(Donasi!$B$2:$B$20000,A528))</f>
        <v/>
      </c>
      <c r="D528">
        <f>IF(A528="","",SUMIF(Donasi!$B$2:$B$20000,A528,Donasi!$C$2:$C$20000))</f>
        <v/>
      </c>
      <c r="E528">
        <f>IF(A528="","",6-CEILING(PERCENTRANK.INC($B$3:$B$6000,B528,4)*5+0.000001,1))</f>
        <v/>
      </c>
      <c r="F528">
        <f>IF(A528="","",MAX(1,CEILING(PERCENTRANK.INC($C$3:$C$6000,C528,4)*5+0.000001,1)))</f>
        <v/>
      </c>
      <c r="G528">
        <f>IF(A528="","",MAX(1,CEILING(PERCENTRANK.INC($D$3:$D$6000,D528,4)*5+0.000001,1)))</f>
        <v/>
      </c>
      <c r="H528">
        <f>IF(A528="","",E528&amp;F528&amp;G528)</f>
        <v/>
      </c>
      <c r="I528">
        <f>IF(A528="","",IF(AND(E528&gt;=4,F528&gt;=4,G528&gt;=4),"Juara",IF(AND(F528&gt;=4,E528&gt;=3),"Setia",IF(AND(E528=5,F528&lt;=2,G528&gt;=3),"Berpotensi",IF(AND(E528&lt;=3,E528&gt;=2,F528&gt;=3),"Rawan",IF(AND(E528&lt;=2,F528&lt;=2),"Tidur","Umum"))))))</f>
        <v/>
      </c>
    </row>
    <row r="529">
      <c r="B529">
        <f>IF(A529="","",$B$1-MAXIFS(Donasi!$A$2:$A$20000,Donasi!$B$2:$B$20000,A529))</f>
        <v/>
      </c>
      <c r="C529">
        <f>IF(A529="","",COUNTIF(Donasi!$B$2:$B$20000,A529))</f>
        <v/>
      </c>
      <c r="D529">
        <f>IF(A529="","",SUMIF(Donasi!$B$2:$B$20000,A529,Donasi!$C$2:$C$20000))</f>
        <v/>
      </c>
      <c r="E529">
        <f>IF(A529="","",6-CEILING(PERCENTRANK.INC($B$3:$B$6000,B529,4)*5+0.000001,1))</f>
        <v/>
      </c>
      <c r="F529">
        <f>IF(A529="","",MAX(1,CEILING(PERCENTRANK.INC($C$3:$C$6000,C529,4)*5+0.000001,1)))</f>
        <v/>
      </c>
      <c r="G529">
        <f>IF(A529="","",MAX(1,CEILING(PERCENTRANK.INC($D$3:$D$6000,D529,4)*5+0.000001,1)))</f>
        <v/>
      </c>
      <c r="H529">
        <f>IF(A529="","",E529&amp;F529&amp;G529)</f>
        <v/>
      </c>
      <c r="I529">
        <f>IF(A529="","",IF(AND(E529&gt;=4,F529&gt;=4,G529&gt;=4),"Juara",IF(AND(F529&gt;=4,E529&gt;=3),"Setia",IF(AND(E529=5,F529&lt;=2,G529&gt;=3),"Berpotensi",IF(AND(E529&lt;=3,E529&gt;=2,F529&gt;=3),"Rawan",IF(AND(E529&lt;=2,F529&lt;=2),"Tidur","Umum"))))))</f>
        <v/>
      </c>
    </row>
    <row r="530">
      <c r="B530">
        <f>IF(A530="","",$B$1-MAXIFS(Donasi!$A$2:$A$20000,Donasi!$B$2:$B$20000,A530))</f>
        <v/>
      </c>
      <c r="C530">
        <f>IF(A530="","",COUNTIF(Donasi!$B$2:$B$20000,A530))</f>
        <v/>
      </c>
      <c r="D530">
        <f>IF(A530="","",SUMIF(Donasi!$B$2:$B$20000,A530,Donasi!$C$2:$C$20000))</f>
        <v/>
      </c>
      <c r="E530">
        <f>IF(A530="","",6-CEILING(PERCENTRANK.INC($B$3:$B$6000,B530,4)*5+0.000001,1))</f>
        <v/>
      </c>
      <c r="F530">
        <f>IF(A530="","",MAX(1,CEILING(PERCENTRANK.INC($C$3:$C$6000,C530,4)*5+0.000001,1)))</f>
        <v/>
      </c>
      <c r="G530">
        <f>IF(A530="","",MAX(1,CEILING(PERCENTRANK.INC($D$3:$D$6000,D530,4)*5+0.000001,1)))</f>
        <v/>
      </c>
      <c r="H530">
        <f>IF(A530="","",E530&amp;F530&amp;G530)</f>
        <v/>
      </c>
      <c r="I530">
        <f>IF(A530="","",IF(AND(E530&gt;=4,F530&gt;=4,G530&gt;=4),"Juara",IF(AND(F530&gt;=4,E530&gt;=3),"Setia",IF(AND(E530=5,F530&lt;=2,G530&gt;=3),"Berpotensi",IF(AND(E530&lt;=3,E530&gt;=2,F530&gt;=3),"Rawan",IF(AND(E530&lt;=2,F530&lt;=2),"Tidur","Umum"))))))</f>
        <v/>
      </c>
    </row>
    <row r="531">
      <c r="B531">
        <f>IF(A531="","",$B$1-MAXIFS(Donasi!$A$2:$A$20000,Donasi!$B$2:$B$20000,A531))</f>
        <v/>
      </c>
      <c r="C531">
        <f>IF(A531="","",COUNTIF(Donasi!$B$2:$B$20000,A531))</f>
        <v/>
      </c>
      <c r="D531">
        <f>IF(A531="","",SUMIF(Donasi!$B$2:$B$20000,A531,Donasi!$C$2:$C$20000))</f>
        <v/>
      </c>
      <c r="E531">
        <f>IF(A531="","",6-CEILING(PERCENTRANK.INC($B$3:$B$6000,B531,4)*5+0.000001,1))</f>
        <v/>
      </c>
      <c r="F531">
        <f>IF(A531="","",MAX(1,CEILING(PERCENTRANK.INC($C$3:$C$6000,C531,4)*5+0.000001,1)))</f>
        <v/>
      </c>
      <c r="G531">
        <f>IF(A531="","",MAX(1,CEILING(PERCENTRANK.INC($D$3:$D$6000,D531,4)*5+0.000001,1)))</f>
        <v/>
      </c>
      <c r="H531">
        <f>IF(A531="","",E531&amp;F531&amp;G531)</f>
        <v/>
      </c>
      <c r="I531">
        <f>IF(A531="","",IF(AND(E531&gt;=4,F531&gt;=4,G531&gt;=4),"Juara",IF(AND(F531&gt;=4,E531&gt;=3),"Setia",IF(AND(E531=5,F531&lt;=2,G531&gt;=3),"Berpotensi",IF(AND(E531&lt;=3,E531&gt;=2,F531&gt;=3),"Rawan",IF(AND(E531&lt;=2,F531&lt;=2),"Tidur","Umum"))))))</f>
        <v/>
      </c>
    </row>
    <row r="532">
      <c r="B532">
        <f>IF(A532="","",$B$1-MAXIFS(Donasi!$A$2:$A$20000,Donasi!$B$2:$B$20000,A532))</f>
        <v/>
      </c>
      <c r="C532">
        <f>IF(A532="","",COUNTIF(Donasi!$B$2:$B$20000,A532))</f>
        <v/>
      </c>
      <c r="D532">
        <f>IF(A532="","",SUMIF(Donasi!$B$2:$B$20000,A532,Donasi!$C$2:$C$20000))</f>
        <v/>
      </c>
      <c r="E532">
        <f>IF(A532="","",6-CEILING(PERCENTRANK.INC($B$3:$B$6000,B532,4)*5+0.000001,1))</f>
        <v/>
      </c>
      <c r="F532">
        <f>IF(A532="","",MAX(1,CEILING(PERCENTRANK.INC($C$3:$C$6000,C532,4)*5+0.000001,1)))</f>
        <v/>
      </c>
      <c r="G532">
        <f>IF(A532="","",MAX(1,CEILING(PERCENTRANK.INC($D$3:$D$6000,D532,4)*5+0.000001,1)))</f>
        <v/>
      </c>
      <c r="H532">
        <f>IF(A532="","",E532&amp;F532&amp;G532)</f>
        <v/>
      </c>
      <c r="I532">
        <f>IF(A532="","",IF(AND(E532&gt;=4,F532&gt;=4,G532&gt;=4),"Juara",IF(AND(F532&gt;=4,E532&gt;=3),"Setia",IF(AND(E532=5,F532&lt;=2,G532&gt;=3),"Berpotensi",IF(AND(E532&lt;=3,E532&gt;=2,F532&gt;=3),"Rawan",IF(AND(E532&lt;=2,F532&lt;=2),"Tidur","Umum"))))))</f>
        <v/>
      </c>
    </row>
    <row r="533">
      <c r="B533">
        <f>IF(A533="","",$B$1-MAXIFS(Donasi!$A$2:$A$20000,Donasi!$B$2:$B$20000,A533))</f>
        <v/>
      </c>
      <c r="C533">
        <f>IF(A533="","",COUNTIF(Donasi!$B$2:$B$20000,A533))</f>
        <v/>
      </c>
      <c r="D533">
        <f>IF(A533="","",SUMIF(Donasi!$B$2:$B$20000,A533,Donasi!$C$2:$C$20000))</f>
        <v/>
      </c>
      <c r="E533">
        <f>IF(A533="","",6-CEILING(PERCENTRANK.INC($B$3:$B$6000,B533,4)*5+0.000001,1))</f>
        <v/>
      </c>
      <c r="F533">
        <f>IF(A533="","",MAX(1,CEILING(PERCENTRANK.INC($C$3:$C$6000,C533,4)*5+0.000001,1)))</f>
        <v/>
      </c>
      <c r="G533">
        <f>IF(A533="","",MAX(1,CEILING(PERCENTRANK.INC($D$3:$D$6000,D533,4)*5+0.000001,1)))</f>
        <v/>
      </c>
      <c r="H533">
        <f>IF(A533="","",E533&amp;F533&amp;G533)</f>
        <v/>
      </c>
      <c r="I533">
        <f>IF(A533="","",IF(AND(E533&gt;=4,F533&gt;=4,G533&gt;=4),"Juara",IF(AND(F533&gt;=4,E533&gt;=3),"Setia",IF(AND(E533=5,F533&lt;=2,G533&gt;=3),"Berpotensi",IF(AND(E533&lt;=3,E533&gt;=2,F533&gt;=3),"Rawan",IF(AND(E533&lt;=2,F533&lt;=2),"Tidur","Umum"))))))</f>
        <v/>
      </c>
    </row>
    <row r="534">
      <c r="B534">
        <f>IF(A534="","",$B$1-MAXIFS(Donasi!$A$2:$A$20000,Donasi!$B$2:$B$20000,A534))</f>
        <v/>
      </c>
      <c r="C534">
        <f>IF(A534="","",COUNTIF(Donasi!$B$2:$B$20000,A534))</f>
        <v/>
      </c>
      <c r="D534">
        <f>IF(A534="","",SUMIF(Donasi!$B$2:$B$20000,A534,Donasi!$C$2:$C$20000))</f>
        <v/>
      </c>
      <c r="E534">
        <f>IF(A534="","",6-CEILING(PERCENTRANK.INC($B$3:$B$6000,B534,4)*5+0.000001,1))</f>
        <v/>
      </c>
      <c r="F534">
        <f>IF(A534="","",MAX(1,CEILING(PERCENTRANK.INC($C$3:$C$6000,C534,4)*5+0.000001,1)))</f>
        <v/>
      </c>
      <c r="G534">
        <f>IF(A534="","",MAX(1,CEILING(PERCENTRANK.INC($D$3:$D$6000,D534,4)*5+0.000001,1)))</f>
        <v/>
      </c>
      <c r="H534">
        <f>IF(A534="","",E534&amp;F534&amp;G534)</f>
        <v/>
      </c>
      <c r="I534">
        <f>IF(A534="","",IF(AND(E534&gt;=4,F534&gt;=4,G534&gt;=4),"Juara",IF(AND(F534&gt;=4,E534&gt;=3),"Setia",IF(AND(E534=5,F534&lt;=2,G534&gt;=3),"Berpotensi",IF(AND(E534&lt;=3,E534&gt;=2,F534&gt;=3),"Rawan",IF(AND(E534&lt;=2,F534&lt;=2),"Tidur","Umum"))))))</f>
        <v/>
      </c>
    </row>
    <row r="535">
      <c r="B535">
        <f>IF(A535="","",$B$1-MAXIFS(Donasi!$A$2:$A$20000,Donasi!$B$2:$B$20000,A535))</f>
        <v/>
      </c>
      <c r="C535">
        <f>IF(A535="","",COUNTIF(Donasi!$B$2:$B$20000,A535))</f>
        <v/>
      </c>
      <c r="D535">
        <f>IF(A535="","",SUMIF(Donasi!$B$2:$B$20000,A535,Donasi!$C$2:$C$20000))</f>
        <v/>
      </c>
      <c r="E535">
        <f>IF(A535="","",6-CEILING(PERCENTRANK.INC($B$3:$B$6000,B535,4)*5+0.000001,1))</f>
        <v/>
      </c>
      <c r="F535">
        <f>IF(A535="","",MAX(1,CEILING(PERCENTRANK.INC($C$3:$C$6000,C535,4)*5+0.000001,1)))</f>
        <v/>
      </c>
      <c r="G535">
        <f>IF(A535="","",MAX(1,CEILING(PERCENTRANK.INC($D$3:$D$6000,D535,4)*5+0.000001,1)))</f>
        <v/>
      </c>
      <c r="H535">
        <f>IF(A535="","",E535&amp;F535&amp;G535)</f>
        <v/>
      </c>
      <c r="I535">
        <f>IF(A535="","",IF(AND(E535&gt;=4,F535&gt;=4,G535&gt;=4),"Juara",IF(AND(F535&gt;=4,E535&gt;=3),"Setia",IF(AND(E535=5,F535&lt;=2,G535&gt;=3),"Berpotensi",IF(AND(E535&lt;=3,E535&gt;=2,F535&gt;=3),"Rawan",IF(AND(E535&lt;=2,F535&lt;=2),"Tidur","Umum"))))))</f>
        <v/>
      </c>
    </row>
    <row r="536">
      <c r="B536">
        <f>IF(A536="","",$B$1-MAXIFS(Donasi!$A$2:$A$20000,Donasi!$B$2:$B$20000,A536))</f>
        <v/>
      </c>
      <c r="C536">
        <f>IF(A536="","",COUNTIF(Donasi!$B$2:$B$20000,A536))</f>
        <v/>
      </c>
      <c r="D536">
        <f>IF(A536="","",SUMIF(Donasi!$B$2:$B$20000,A536,Donasi!$C$2:$C$20000))</f>
        <v/>
      </c>
      <c r="E536">
        <f>IF(A536="","",6-CEILING(PERCENTRANK.INC($B$3:$B$6000,B536,4)*5+0.000001,1))</f>
        <v/>
      </c>
      <c r="F536">
        <f>IF(A536="","",MAX(1,CEILING(PERCENTRANK.INC($C$3:$C$6000,C536,4)*5+0.000001,1)))</f>
        <v/>
      </c>
      <c r="G536">
        <f>IF(A536="","",MAX(1,CEILING(PERCENTRANK.INC($D$3:$D$6000,D536,4)*5+0.000001,1)))</f>
        <v/>
      </c>
      <c r="H536">
        <f>IF(A536="","",E536&amp;F536&amp;G536)</f>
        <v/>
      </c>
      <c r="I536">
        <f>IF(A536="","",IF(AND(E536&gt;=4,F536&gt;=4,G536&gt;=4),"Juara",IF(AND(F536&gt;=4,E536&gt;=3),"Setia",IF(AND(E536=5,F536&lt;=2,G536&gt;=3),"Berpotensi",IF(AND(E536&lt;=3,E536&gt;=2,F536&gt;=3),"Rawan",IF(AND(E536&lt;=2,F536&lt;=2),"Tidur","Umum"))))))</f>
        <v/>
      </c>
    </row>
    <row r="537">
      <c r="B537">
        <f>IF(A537="","",$B$1-MAXIFS(Donasi!$A$2:$A$20000,Donasi!$B$2:$B$20000,A537))</f>
        <v/>
      </c>
      <c r="C537">
        <f>IF(A537="","",COUNTIF(Donasi!$B$2:$B$20000,A537))</f>
        <v/>
      </c>
      <c r="D537">
        <f>IF(A537="","",SUMIF(Donasi!$B$2:$B$20000,A537,Donasi!$C$2:$C$20000))</f>
        <v/>
      </c>
      <c r="E537">
        <f>IF(A537="","",6-CEILING(PERCENTRANK.INC($B$3:$B$6000,B537,4)*5+0.000001,1))</f>
        <v/>
      </c>
      <c r="F537">
        <f>IF(A537="","",MAX(1,CEILING(PERCENTRANK.INC($C$3:$C$6000,C537,4)*5+0.000001,1)))</f>
        <v/>
      </c>
      <c r="G537">
        <f>IF(A537="","",MAX(1,CEILING(PERCENTRANK.INC($D$3:$D$6000,D537,4)*5+0.000001,1)))</f>
        <v/>
      </c>
      <c r="H537">
        <f>IF(A537="","",E537&amp;F537&amp;G537)</f>
        <v/>
      </c>
      <c r="I537">
        <f>IF(A537="","",IF(AND(E537&gt;=4,F537&gt;=4,G537&gt;=4),"Juara",IF(AND(F537&gt;=4,E537&gt;=3),"Setia",IF(AND(E537=5,F537&lt;=2,G537&gt;=3),"Berpotensi",IF(AND(E537&lt;=3,E537&gt;=2,F537&gt;=3),"Rawan",IF(AND(E537&lt;=2,F537&lt;=2),"Tidur","Umum"))))))</f>
        <v/>
      </c>
    </row>
    <row r="538">
      <c r="B538">
        <f>IF(A538="","",$B$1-MAXIFS(Donasi!$A$2:$A$20000,Donasi!$B$2:$B$20000,A538))</f>
        <v/>
      </c>
      <c r="C538">
        <f>IF(A538="","",COUNTIF(Donasi!$B$2:$B$20000,A538))</f>
        <v/>
      </c>
      <c r="D538">
        <f>IF(A538="","",SUMIF(Donasi!$B$2:$B$20000,A538,Donasi!$C$2:$C$20000))</f>
        <v/>
      </c>
      <c r="E538">
        <f>IF(A538="","",6-CEILING(PERCENTRANK.INC($B$3:$B$6000,B538,4)*5+0.000001,1))</f>
        <v/>
      </c>
      <c r="F538">
        <f>IF(A538="","",MAX(1,CEILING(PERCENTRANK.INC($C$3:$C$6000,C538,4)*5+0.000001,1)))</f>
        <v/>
      </c>
      <c r="G538">
        <f>IF(A538="","",MAX(1,CEILING(PERCENTRANK.INC($D$3:$D$6000,D538,4)*5+0.000001,1)))</f>
        <v/>
      </c>
      <c r="H538">
        <f>IF(A538="","",E538&amp;F538&amp;G538)</f>
        <v/>
      </c>
      <c r="I538">
        <f>IF(A538="","",IF(AND(E538&gt;=4,F538&gt;=4,G538&gt;=4),"Juara",IF(AND(F538&gt;=4,E538&gt;=3),"Setia",IF(AND(E538=5,F538&lt;=2,G538&gt;=3),"Berpotensi",IF(AND(E538&lt;=3,E538&gt;=2,F538&gt;=3),"Rawan",IF(AND(E538&lt;=2,F538&lt;=2),"Tidur","Umum"))))))</f>
        <v/>
      </c>
    </row>
    <row r="539">
      <c r="B539">
        <f>IF(A539="","",$B$1-MAXIFS(Donasi!$A$2:$A$20000,Donasi!$B$2:$B$20000,A539))</f>
        <v/>
      </c>
      <c r="C539">
        <f>IF(A539="","",COUNTIF(Donasi!$B$2:$B$20000,A539))</f>
        <v/>
      </c>
      <c r="D539">
        <f>IF(A539="","",SUMIF(Donasi!$B$2:$B$20000,A539,Donasi!$C$2:$C$20000))</f>
        <v/>
      </c>
      <c r="E539">
        <f>IF(A539="","",6-CEILING(PERCENTRANK.INC($B$3:$B$6000,B539,4)*5+0.000001,1))</f>
        <v/>
      </c>
      <c r="F539">
        <f>IF(A539="","",MAX(1,CEILING(PERCENTRANK.INC($C$3:$C$6000,C539,4)*5+0.000001,1)))</f>
        <v/>
      </c>
      <c r="G539">
        <f>IF(A539="","",MAX(1,CEILING(PERCENTRANK.INC($D$3:$D$6000,D539,4)*5+0.000001,1)))</f>
        <v/>
      </c>
      <c r="H539">
        <f>IF(A539="","",E539&amp;F539&amp;G539)</f>
        <v/>
      </c>
      <c r="I539">
        <f>IF(A539="","",IF(AND(E539&gt;=4,F539&gt;=4,G539&gt;=4),"Juara",IF(AND(F539&gt;=4,E539&gt;=3),"Setia",IF(AND(E539=5,F539&lt;=2,G539&gt;=3),"Berpotensi",IF(AND(E539&lt;=3,E539&gt;=2,F539&gt;=3),"Rawan",IF(AND(E539&lt;=2,F539&lt;=2),"Tidur","Umum"))))))</f>
        <v/>
      </c>
    </row>
    <row r="540">
      <c r="B540">
        <f>IF(A540="","",$B$1-MAXIFS(Donasi!$A$2:$A$20000,Donasi!$B$2:$B$20000,A540))</f>
        <v/>
      </c>
      <c r="C540">
        <f>IF(A540="","",COUNTIF(Donasi!$B$2:$B$20000,A540))</f>
        <v/>
      </c>
      <c r="D540">
        <f>IF(A540="","",SUMIF(Donasi!$B$2:$B$20000,A540,Donasi!$C$2:$C$20000))</f>
        <v/>
      </c>
      <c r="E540">
        <f>IF(A540="","",6-CEILING(PERCENTRANK.INC($B$3:$B$6000,B540,4)*5+0.000001,1))</f>
        <v/>
      </c>
      <c r="F540">
        <f>IF(A540="","",MAX(1,CEILING(PERCENTRANK.INC($C$3:$C$6000,C540,4)*5+0.000001,1)))</f>
        <v/>
      </c>
      <c r="G540">
        <f>IF(A540="","",MAX(1,CEILING(PERCENTRANK.INC($D$3:$D$6000,D540,4)*5+0.000001,1)))</f>
        <v/>
      </c>
      <c r="H540">
        <f>IF(A540="","",E540&amp;F540&amp;G540)</f>
        <v/>
      </c>
      <c r="I540">
        <f>IF(A540="","",IF(AND(E540&gt;=4,F540&gt;=4,G540&gt;=4),"Juara",IF(AND(F540&gt;=4,E540&gt;=3),"Setia",IF(AND(E540=5,F540&lt;=2,G540&gt;=3),"Berpotensi",IF(AND(E540&lt;=3,E540&gt;=2,F540&gt;=3),"Rawan",IF(AND(E540&lt;=2,F540&lt;=2),"Tidur","Umum"))))))</f>
        <v/>
      </c>
    </row>
    <row r="541">
      <c r="B541">
        <f>IF(A541="","",$B$1-MAXIFS(Donasi!$A$2:$A$20000,Donasi!$B$2:$B$20000,A541))</f>
        <v/>
      </c>
      <c r="C541">
        <f>IF(A541="","",COUNTIF(Donasi!$B$2:$B$20000,A541))</f>
        <v/>
      </c>
      <c r="D541">
        <f>IF(A541="","",SUMIF(Donasi!$B$2:$B$20000,A541,Donasi!$C$2:$C$20000))</f>
        <v/>
      </c>
      <c r="E541">
        <f>IF(A541="","",6-CEILING(PERCENTRANK.INC($B$3:$B$6000,B541,4)*5+0.000001,1))</f>
        <v/>
      </c>
      <c r="F541">
        <f>IF(A541="","",MAX(1,CEILING(PERCENTRANK.INC($C$3:$C$6000,C541,4)*5+0.000001,1)))</f>
        <v/>
      </c>
      <c r="G541">
        <f>IF(A541="","",MAX(1,CEILING(PERCENTRANK.INC($D$3:$D$6000,D541,4)*5+0.000001,1)))</f>
        <v/>
      </c>
      <c r="H541">
        <f>IF(A541="","",E541&amp;F541&amp;G541)</f>
        <v/>
      </c>
      <c r="I541">
        <f>IF(A541="","",IF(AND(E541&gt;=4,F541&gt;=4,G541&gt;=4),"Juara",IF(AND(F541&gt;=4,E541&gt;=3),"Setia",IF(AND(E541=5,F541&lt;=2,G541&gt;=3),"Berpotensi",IF(AND(E541&lt;=3,E541&gt;=2,F541&gt;=3),"Rawan",IF(AND(E541&lt;=2,F541&lt;=2),"Tidur","Umum"))))))</f>
        <v/>
      </c>
    </row>
    <row r="542">
      <c r="B542">
        <f>IF(A542="","",$B$1-MAXIFS(Donasi!$A$2:$A$20000,Donasi!$B$2:$B$20000,A542))</f>
        <v/>
      </c>
      <c r="C542">
        <f>IF(A542="","",COUNTIF(Donasi!$B$2:$B$20000,A542))</f>
        <v/>
      </c>
      <c r="D542">
        <f>IF(A542="","",SUMIF(Donasi!$B$2:$B$20000,A542,Donasi!$C$2:$C$20000))</f>
        <v/>
      </c>
      <c r="E542">
        <f>IF(A542="","",6-CEILING(PERCENTRANK.INC($B$3:$B$6000,B542,4)*5+0.000001,1))</f>
        <v/>
      </c>
      <c r="F542">
        <f>IF(A542="","",MAX(1,CEILING(PERCENTRANK.INC($C$3:$C$6000,C542,4)*5+0.000001,1)))</f>
        <v/>
      </c>
      <c r="G542">
        <f>IF(A542="","",MAX(1,CEILING(PERCENTRANK.INC($D$3:$D$6000,D542,4)*5+0.000001,1)))</f>
        <v/>
      </c>
      <c r="H542">
        <f>IF(A542="","",E542&amp;F542&amp;G542)</f>
        <v/>
      </c>
      <c r="I542">
        <f>IF(A542="","",IF(AND(E542&gt;=4,F542&gt;=4,G542&gt;=4),"Juara",IF(AND(F542&gt;=4,E542&gt;=3),"Setia",IF(AND(E542=5,F542&lt;=2,G542&gt;=3),"Berpotensi",IF(AND(E542&lt;=3,E542&gt;=2,F542&gt;=3),"Rawan",IF(AND(E542&lt;=2,F542&lt;=2),"Tidur","Umum"))))))</f>
        <v/>
      </c>
    </row>
    <row r="543">
      <c r="B543">
        <f>IF(A543="","",$B$1-MAXIFS(Donasi!$A$2:$A$20000,Donasi!$B$2:$B$20000,A543))</f>
        <v/>
      </c>
      <c r="C543">
        <f>IF(A543="","",COUNTIF(Donasi!$B$2:$B$20000,A543))</f>
        <v/>
      </c>
      <c r="D543">
        <f>IF(A543="","",SUMIF(Donasi!$B$2:$B$20000,A543,Donasi!$C$2:$C$20000))</f>
        <v/>
      </c>
      <c r="E543">
        <f>IF(A543="","",6-CEILING(PERCENTRANK.INC($B$3:$B$6000,B543,4)*5+0.000001,1))</f>
        <v/>
      </c>
      <c r="F543">
        <f>IF(A543="","",MAX(1,CEILING(PERCENTRANK.INC($C$3:$C$6000,C543,4)*5+0.000001,1)))</f>
        <v/>
      </c>
      <c r="G543">
        <f>IF(A543="","",MAX(1,CEILING(PERCENTRANK.INC($D$3:$D$6000,D543,4)*5+0.000001,1)))</f>
        <v/>
      </c>
      <c r="H543">
        <f>IF(A543="","",E543&amp;F543&amp;G543)</f>
        <v/>
      </c>
      <c r="I543">
        <f>IF(A543="","",IF(AND(E543&gt;=4,F543&gt;=4,G543&gt;=4),"Juara",IF(AND(F543&gt;=4,E543&gt;=3),"Setia",IF(AND(E543=5,F543&lt;=2,G543&gt;=3),"Berpotensi",IF(AND(E543&lt;=3,E543&gt;=2,F543&gt;=3),"Rawan",IF(AND(E543&lt;=2,F543&lt;=2),"Tidur","Umum"))))))</f>
        <v/>
      </c>
    </row>
    <row r="544">
      <c r="B544">
        <f>IF(A544="","",$B$1-MAXIFS(Donasi!$A$2:$A$20000,Donasi!$B$2:$B$20000,A544))</f>
        <v/>
      </c>
      <c r="C544">
        <f>IF(A544="","",COUNTIF(Donasi!$B$2:$B$20000,A544))</f>
        <v/>
      </c>
      <c r="D544">
        <f>IF(A544="","",SUMIF(Donasi!$B$2:$B$20000,A544,Donasi!$C$2:$C$20000))</f>
        <v/>
      </c>
      <c r="E544">
        <f>IF(A544="","",6-CEILING(PERCENTRANK.INC($B$3:$B$6000,B544,4)*5+0.000001,1))</f>
        <v/>
      </c>
      <c r="F544">
        <f>IF(A544="","",MAX(1,CEILING(PERCENTRANK.INC($C$3:$C$6000,C544,4)*5+0.000001,1)))</f>
        <v/>
      </c>
      <c r="G544">
        <f>IF(A544="","",MAX(1,CEILING(PERCENTRANK.INC($D$3:$D$6000,D544,4)*5+0.000001,1)))</f>
        <v/>
      </c>
      <c r="H544">
        <f>IF(A544="","",E544&amp;F544&amp;G544)</f>
        <v/>
      </c>
      <c r="I544">
        <f>IF(A544="","",IF(AND(E544&gt;=4,F544&gt;=4,G544&gt;=4),"Juara",IF(AND(F544&gt;=4,E544&gt;=3),"Setia",IF(AND(E544=5,F544&lt;=2,G544&gt;=3),"Berpotensi",IF(AND(E544&lt;=3,E544&gt;=2,F544&gt;=3),"Rawan",IF(AND(E544&lt;=2,F544&lt;=2),"Tidur","Umum"))))))</f>
        <v/>
      </c>
    </row>
    <row r="545">
      <c r="B545">
        <f>IF(A545="","",$B$1-MAXIFS(Donasi!$A$2:$A$20000,Donasi!$B$2:$B$20000,A545))</f>
        <v/>
      </c>
      <c r="C545">
        <f>IF(A545="","",COUNTIF(Donasi!$B$2:$B$20000,A545))</f>
        <v/>
      </c>
      <c r="D545">
        <f>IF(A545="","",SUMIF(Donasi!$B$2:$B$20000,A545,Donasi!$C$2:$C$20000))</f>
        <v/>
      </c>
      <c r="E545">
        <f>IF(A545="","",6-CEILING(PERCENTRANK.INC($B$3:$B$6000,B545,4)*5+0.000001,1))</f>
        <v/>
      </c>
      <c r="F545">
        <f>IF(A545="","",MAX(1,CEILING(PERCENTRANK.INC($C$3:$C$6000,C545,4)*5+0.000001,1)))</f>
        <v/>
      </c>
      <c r="G545">
        <f>IF(A545="","",MAX(1,CEILING(PERCENTRANK.INC($D$3:$D$6000,D545,4)*5+0.000001,1)))</f>
        <v/>
      </c>
      <c r="H545">
        <f>IF(A545="","",E545&amp;F545&amp;G545)</f>
        <v/>
      </c>
      <c r="I545">
        <f>IF(A545="","",IF(AND(E545&gt;=4,F545&gt;=4,G545&gt;=4),"Juara",IF(AND(F545&gt;=4,E545&gt;=3),"Setia",IF(AND(E545=5,F545&lt;=2,G545&gt;=3),"Berpotensi",IF(AND(E545&lt;=3,E545&gt;=2,F545&gt;=3),"Rawan",IF(AND(E545&lt;=2,F545&lt;=2),"Tidur","Umum"))))))</f>
        <v/>
      </c>
    </row>
    <row r="546">
      <c r="B546">
        <f>IF(A546="","",$B$1-MAXIFS(Donasi!$A$2:$A$20000,Donasi!$B$2:$B$20000,A546))</f>
        <v/>
      </c>
      <c r="C546">
        <f>IF(A546="","",COUNTIF(Donasi!$B$2:$B$20000,A546))</f>
        <v/>
      </c>
      <c r="D546">
        <f>IF(A546="","",SUMIF(Donasi!$B$2:$B$20000,A546,Donasi!$C$2:$C$20000))</f>
        <v/>
      </c>
      <c r="E546">
        <f>IF(A546="","",6-CEILING(PERCENTRANK.INC($B$3:$B$6000,B546,4)*5+0.000001,1))</f>
        <v/>
      </c>
      <c r="F546">
        <f>IF(A546="","",MAX(1,CEILING(PERCENTRANK.INC($C$3:$C$6000,C546,4)*5+0.000001,1)))</f>
        <v/>
      </c>
      <c r="G546">
        <f>IF(A546="","",MAX(1,CEILING(PERCENTRANK.INC($D$3:$D$6000,D546,4)*5+0.000001,1)))</f>
        <v/>
      </c>
      <c r="H546">
        <f>IF(A546="","",E546&amp;F546&amp;G546)</f>
        <v/>
      </c>
      <c r="I546">
        <f>IF(A546="","",IF(AND(E546&gt;=4,F546&gt;=4,G546&gt;=4),"Juara",IF(AND(F546&gt;=4,E546&gt;=3),"Setia",IF(AND(E546=5,F546&lt;=2,G546&gt;=3),"Berpotensi",IF(AND(E546&lt;=3,E546&gt;=2,F546&gt;=3),"Rawan",IF(AND(E546&lt;=2,F546&lt;=2),"Tidur","Umum"))))))</f>
        <v/>
      </c>
    </row>
    <row r="547">
      <c r="B547">
        <f>IF(A547="","",$B$1-MAXIFS(Donasi!$A$2:$A$20000,Donasi!$B$2:$B$20000,A547))</f>
        <v/>
      </c>
      <c r="C547">
        <f>IF(A547="","",COUNTIF(Donasi!$B$2:$B$20000,A547))</f>
        <v/>
      </c>
      <c r="D547">
        <f>IF(A547="","",SUMIF(Donasi!$B$2:$B$20000,A547,Donasi!$C$2:$C$20000))</f>
        <v/>
      </c>
      <c r="E547">
        <f>IF(A547="","",6-CEILING(PERCENTRANK.INC($B$3:$B$6000,B547,4)*5+0.000001,1))</f>
        <v/>
      </c>
      <c r="F547">
        <f>IF(A547="","",MAX(1,CEILING(PERCENTRANK.INC($C$3:$C$6000,C547,4)*5+0.000001,1)))</f>
        <v/>
      </c>
      <c r="G547">
        <f>IF(A547="","",MAX(1,CEILING(PERCENTRANK.INC($D$3:$D$6000,D547,4)*5+0.000001,1)))</f>
        <v/>
      </c>
      <c r="H547">
        <f>IF(A547="","",E547&amp;F547&amp;G547)</f>
        <v/>
      </c>
      <c r="I547">
        <f>IF(A547="","",IF(AND(E547&gt;=4,F547&gt;=4,G547&gt;=4),"Juara",IF(AND(F547&gt;=4,E547&gt;=3),"Setia",IF(AND(E547=5,F547&lt;=2,G547&gt;=3),"Berpotensi",IF(AND(E547&lt;=3,E547&gt;=2,F547&gt;=3),"Rawan",IF(AND(E547&lt;=2,F547&lt;=2),"Tidur","Umum"))))))</f>
        <v/>
      </c>
    </row>
    <row r="548">
      <c r="B548">
        <f>IF(A548="","",$B$1-MAXIFS(Donasi!$A$2:$A$20000,Donasi!$B$2:$B$20000,A548))</f>
        <v/>
      </c>
      <c r="C548">
        <f>IF(A548="","",COUNTIF(Donasi!$B$2:$B$20000,A548))</f>
        <v/>
      </c>
      <c r="D548">
        <f>IF(A548="","",SUMIF(Donasi!$B$2:$B$20000,A548,Donasi!$C$2:$C$20000))</f>
        <v/>
      </c>
      <c r="E548">
        <f>IF(A548="","",6-CEILING(PERCENTRANK.INC($B$3:$B$6000,B548,4)*5+0.000001,1))</f>
        <v/>
      </c>
      <c r="F548">
        <f>IF(A548="","",MAX(1,CEILING(PERCENTRANK.INC($C$3:$C$6000,C548,4)*5+0.000001,1)))</f>
        <v/>
      </c>
      <c r="G548">
        <f>IF(A548="","",MAX(1,CEILING(PERCENTRANK.INC($D$3:$D$6000,D548,4)*5+0.000001,1)))</f>
        <v/>
      </c>
      <c r="H548">
        <f>IF(A548="","",E548&amp;F548&amp;G548)</f>
        <v/>
      </c>
      <c r="I548">
        <f>IF(A548="","",IF(AND(E548&gt;=4,F548&gt;=4,G548&gt;=4),"Juara",IF(AND(F548&gt;=4,E548&gt;=3),"Setia",IF(AND(E548=5,F548&lt;=2,G548&gt;=3),"Berpotensi",IF(AND(E548&lt;=3,E548&gt;=2,F548&gt;=3),"Rawan",IF(AND(E548&lt;=2,F548&lt;=2),"Tidur","Umum"))))))</f>
        <v/>
      </c>
    </row>
    <row r="549">
      <c r="B549">
        <f>IF(A549="","",$B$1-MAXIFS(Donasi!$A$2:$A$20000,Donasi!$B$2:$B$20000,A549))</f>
        <v/>
      </c>
      <c r="C549">
        <f>IF(A549="","",COUNTIF(Donasi!$B$2:$B$20000,A549))</f>
        <v/>
      </c>
      <c r="D549">
        <f>IF(A549="","",SUMIF(Donasi!$B$2:$B$20000,A549,Donasi!$C$2:$C$20000))</f>
        <v/>
      </c>
      <c r="E549">
        <f>IF(A549="","",6-CEILING(PERCENTRANK.INC($B$3:$B$6000,B549,4)*5+0.000001,1))</f>
        <v/>
      </c>
      <c r="F549">
        <f>IF(A549="","",MAX(1,CEILING(PERCENTRANK.INC($C$3:$C$6000,C549,4)*5+0.000001,1)))</f>
        <v/>
      </c>
      <c r="G549">
        <f>IF(A549="","",MAX(1,CEILING(PERCENTRANK.INC($D$3:$D$6000,D549,4)*5+0.000001,1)))</f>
        <v/>
      </c>
      <c r="H549">
        <f>IF(A549="","",E549&amp;F549&amp;G549)</f>
        <v/>
      </c>
      <c r="I549">
        <f>IF(A549="","",IF(AND(E549&gt;=4,F549&gt;=4,G549&gt;=4),"Juara",IF(AND(F549&gt;=4,E549&gt;=3),"Setia",IF(AND(E549=5,F549&lt;=2,G549&gt;=3),"Berpotensi",IF(AND(E549&lt;=3,E549&gt;=2,F549&gt;=3),"Rawan",IF(AND(E549&lt;=2,F549&lt;=2),"Tidur","Umum"))))))</f>
        <v/>
      </c>
    </row>
    <row r="550">
      <c r="B550">
        <f>IF(A550="","",$B$1-MAXIFS(Donasi!$A$2:$A$20000,Donasi!$B$2:$B$20000,A550))</f>
        <v/>
      </c>
      <c r="C550">
        <f>IF(A550="","",COUNTIF(Donasi!$B$2:$B$20000,A550))</f>
        <v/>
      </c>
      <c r="D550">
        <f>IF(A550="","",SUMIF(Donasi!$B$2:$B$20000,A550,Donasi!$C$2:$C$20000))</f>
        <v/>
      </c>
      <c r="E550">
        <f>IF(A550="","",6-CEILING(PERCENTRANK.INC($B$3:$B$6000,B550,4)*5+0.000001,1))</f>
        <v/>
      </c>
      <c r="F550">
        <f>IF(A550="","",MAX(1,CEILING(PERCENTRANK.INC($C$3:$C$6000,C550,4)*5+0.000001,1)))</f>
        <v/>
      </c>
      <c r="G550">
        <f>IF(A550="","",MAX(1,CEILING(PERCENTRANK.INC($D$3:$D$6000,D550,4)*5+0.000001,1)))</f>
        <v/>
      </c>
      <c r="H550">
        <f>IF(A550="","",E550&amp;F550&amp;G550)</f>
        <v/>
      </c>
      <c r="I550">
        <f>IF(A550="","",IF(AND(E550&gt;=4,F550&gt;=4,G550&gt;=4),"Juara",IF(AND(F550&gt;=4,E550&gt;=3),"Setia",IF(AND(E550=5,F550&lt;=2,G550&gt;=3),"Berpotensi",IF(AND(E550&lt;=3,E550&gt;=2,F550&gt;=3),"Rawan",IF(AND(E550&lt;=2,F550&lt;=2),"Tidur","Umum"))))))</f>
        <v/>
      </c>
    </row>
    <row r="551">
      <c r="B551">
        <f>IF(A551="","",$B$1-MAXIFS(Donasi!$A$2:$A$20000,Donasi!$B$2:$B$20000,A551))</f>
        <v/>
      </c>
      <c r="C551">
        <f>IF(A551="","",COUNTIF(Donasi!$B$2:$B$20000,A551))</f>
        <v/>
      </c>
      <c r="D551">
        <f>IF(A551="","",SUMIF(Donasi!$B$2:$B$20000,A551,Donasi!$C$2:$C$20000))</f>
        <v/>
      </c>
      <c r="E551">
        <f>IF(A551="","",6-CEILING(PERCENTRANK.INC($B$3:$B$6000,B551,4)*5+0.000001,1))</f>
        <v/>
      </c>
      <c r="F551">
        <f>IF(A551="","",MAX(1,CEILING(PERCENTRANK.INC($C$3:$C$6000,C551,4)*5+0.000001,1)))</f>
        <v/>
      </c>
      <c r="G551">
        <f>IF(A551="","",MAX(1,CEILING(PERCENTRANK.INC($D$3:$D$6000,D551,4)*5+0.000001,1)))</f>
        <v/>
      </c>
      <c r="H551">
        <f>IF(A551="","",E551&amp;F551&amp;G551)</f>
        <v/>
      </c>
      <c r="I551">
        <f>IF(A551="","",IF(AND(E551&gt;=4,F551&gt;=4,G551&gt;=4),"Juara",IF(AND(F551&gt;=4,E551&gt;=3),"Setia",IF(AND(E551=5,F551&lt;=2,G551&gt;=3),"Berpotensi",IF(AND(E551&lt;=3,E551&gt;=2,F551&gt;=3),"Rawan",IF(AND(E551&lt;=2,F551&lt;=2),"Tidur","Umum"))))))</f>
        <v/>
      </c>
    </row>
    <row r="552">
      <c r="B552">
        <f>IF(A552="","",$B$1-MAXIFS(Donasi!$A$2:$A$20000,Donasi!$B$2:$B$20000,A552))</f>
        <v/>
      </c>
      <c r="C552">
        <f>IF(A552="","",COUNTIF(Donasi!$B$2:$B$20000,A552))</f>
        <v/>
      </c>
      <c r="D552">
        <f>IF(A552="","",SUMIF(Donasi!$B$2:$B$20000,A552,Donasi!$C$2:$C$20000))</f>
        <v/>
      </c>
      <c r="E552">
        <f>IF(A552="","",6-CEILING(PERCENTRANK.INC($B$3:$B$6000,B552,4)*5+0.000001,1))</f>
        <v/>
      </c>
      <c r="F552">
        <f>IF(A552="","",MAX(1,CEILING(PERCENTRANK.INC($C$3:$C$6000,C552,4)*5+0.000001,1)))</f>
        <v/>
      </c>
      <c r="G552">
        <f>IF(A552="","",MAX(1,CEILING(PERCENTRANK.INC($D$3:$D$6000,D552,4)*5+0.000001,1)))</f>
        <v/>
      </c>
      <c r="H552">
        <f>IF(A552="","",E552&amp;F552&amp;G552)</f>
        <v/>
      </c>
      <c r="I552">
        <f>IF(A552="","",IF(AND(E552&gt;=4,F552&gt;=4,G552&gt;=4),"Juara",IF(AND(F552&gt;=4,E552&gt;=3),"Setia",IF(AND(E552=5,F552&lt;=2,G552&gt;=3),"Berpotensi",IF(AND(E552&lt;=3,E552&gt;=2,F552&gt;=3),"Rawan",IF(AND(E552&lt;=2,F552&lt;=2),"Tidur","Umum"))))))</f>
        <v/>
      </c>
    </row>
    <row r="553">
      <c r="B553">
        <f>IF(A553="","",$B$1-MAXIFS(Donasi!$A$2:$A$20000,Donasi!$B$2:$B$20000,A553))</f>
        <v/>
      </c>
      <c r="C553">
        <f>IF(A553="","",COUNTIF(Donasi!$B$2:$B$20000,A553))</f>
        <v/>
      </c>
      <c r="D553">
        <f>IF(A553="","",SUMIF(Donasi!$B$2:$B$20000,A553,Donasi!$C$2:$C$20000))</f>
        <v/>
      </c>
      <c r="E553">
        <f>IF(A553="","",6-CEILING(PERCENTRANK.INC($B$3:$B$6000,B553,4)*5+0.000001,1))</f>
        <v/>
      </c>
      <c r="F553">
        <f>IF(A553="","",MAX(1,CEILING(PERCENTRANK.INC($C$3:$C$6000,C553,4)*5+0.000001,1)))</f>
        <v/>
      </c>
      <c r="G553">
        <f>IF(A553="","",MAX(1,CEILING(PERCENTRANK.INC($D$3:$D$6000,D553,4)*5+0.000001,1)))</f>
        <v/>
      </c>
      <c r="H553">
        <f>IF(A553="","",E553&amp;F553&amp;G553)</f>
        <v/>
      </c>
      <c r="I553">
        <f>IF(A553="","",IF(AND(E553&gt;=4,F553&gt;=4,G553&gt;=4),"Juara",IF(AND(F553&gt;=4,E553&gt;=3),"Setia",IF(AND(E553=5,F553&lt;=2,G553&gt;=3),"Berpotensi",IF(AND(E553&lt;=3,E553&gt;=2,F553&gt;=3),"Rawan",IF(AND(E553&lt;=2,F553&lt;=2),"Tidur","Umum"))))))</f>
        <v/>
      </c>
    </row>
    <row r="554">
      <c r="B554">
        <f>IF(A554="","",$B$1-MAXIFS(Donasi!$A$2:$A$20000,Donasi!$B$2:$B$20000,A554))</f>
        <v/>
      </c>
      <c r="C554">
        <f>IF(A554="","",COUNTIF(Donasi!$B$2:$B$20000,A554))</f>
        <v/>
      </c>
      <c r="D554">
        <f>IF(A554="","",SUMIF(Donasi!$B$2:$B$20000,A554,Donasi!$C$2:$C$20000))</f>
        <v/>
      </c>
      <c r="E554">
        <f>IF(A554="","",6-CEILING(PERCENTRANK.INC($B$3:$B$6000,B554,4)*5+0.000001,1))</f>
        <v/>
      </c>
      <c r="F554">
        <f>IF(A554="","",MAX(1,CEILING(PERCENTRANK.INC($C$3:$C$6000,C554,4)*5+0.000001,1)))</f>
        <v/>
      </c>
      <c r="G554">
        <f>IF(A554="","",MAX(1,CEILING(PERCENTRANK.INC($D$3:$D$6000,D554,4)*5+0.000001,1)))</f>
        <v/>
      </c>
      <c r="H554">
        <f>IF(A554="","",E554&amp;F554&amp;G554)</f>
        <v/>
      </c>
      <c r="I554">
        <f>IF(A554="","",IF(AND(E554&gt;=4,F554&gt;=4,G554&gt;=4),"Juara",IF(AND(F554&gt;=4,E554&gt;=3),"Setia",IF(AND(E554=5,F554&lt;=2,G554&gt;=3),"Berpotensi",IF(AND(E554&lt;=3,E554&gt;=2,F554&gt;=3),"Rawan",IF(AND(E554&lt;=2,F554&lt;=2),"Tidur","Umum"))))))</f>
        <v/>
      </c>
    </row>
    <row r="555">
      <c r="B555">
        <f>IF(A555="","",$B$1-MAXIFS(Donasi!$A$2:$A$20000,Donasi!$B$2:$B$20000,A555))</f>
        <v/>
      </c>
      <c r="C555">
        <f>IF(A555="","",COUNTIF(Donasi!$B$2:$B$20000,A555))</f>
        <v/>
      </c>
      <c r="D555">
        <f>IF(A555="","",SUMIF(Donasi!$B$2:$B$20000,A555,Donasi!$C$2:$C$20000))</f>
        <v/>
      </c>
      <c r="E555">
        <f>IF(A555="","",6-CEILING(PERCENTRANK.INC($B$3:$B$6000,B555,4)*5+0.000001,1))</f>
        <v/>
      </c>
      <c r="F555">
        <f>IF(A555="","",MAX(1,CEILING(PERCENTRANK.INC($C$3:$C$6000,C555,4)*5+0.000001,1)))</f>
        <v/>
      </c>
      <c r="G555">
        <f>IF(A555="","",MAX(1,CEILING(PERCENTRANK.INC($D$3:$D$6000,D555,4)*5+0.000001,1)))</f>
        <v/>
      </c>
      <c r="H555">
        <f>IF(A555="","",E555&amp;F555&amp;G555)</f>
        <v/>
      </c>
      <c r="I555">
        <f>IF(A555="","",IF(AND(E555&gt;=4,F555&gt;=4,G555&gt;=4),"Juara",IF(AND(F555&gt;=4,E555&gt;=3),"Setia",IF(AND(E555=5,F555&lt;=2,G555&gt;=3),"Berpotensi",IF(AND(E555&lt;=3,E555&gt;=2,F555&gt;=3),"Rawan",IF(AND(E555&lt;=2,F555&lt;=2),"Tidur","Umum"))))))</f>
        <v/>
      </c>
    </row>
    <row r="556">
      <c r="B556">
        <f>IF(A556="","",$B$1-MAXIFS(Donasi!$A$2:$A$20000,Donasi!$B$2:$B$20000,A556))</f>
        <v/>
      </c>
      <c r="C556">
        <f>IF(A556="","",COUNTIF(Donasi!$B$2:$B$20000,A556))</f>
        <v/>
      </c>
      <c r="D556">
        <f>IF(A556="","",SUMIF(Donasi!$B$2:$B$20000,A556,Donasi!$C$2:$C$20000))</f>
        <v/>
      </c>
      <c r="E556">
        <f>IF(A556="","",6-CEILING(PERCENTRANK.INC($B$3:$B$6000,B556,4)*5+0.000001,1))</f>
        <v/>
      </c>
      <c r="F556">
        <f>IF(A556="","",MAX(1,CEILING(PERCENTRANK.INC($C$3:$C$6000,C556,4)*5+0.000001,1)))</f>
        <v/>
      </c>
      <c r="G556">
        <f>IF(A556="","",MAX(1,CEILING(PERCENTRANK.INC($D$3:$D$6000,D556,4)*5+0.000001,1)))</f>
        <v/>
      </c>
      <c r="H556">
        <f>IF(A556="","",E556&amp;F556&amp;G556)</f>
        <v/>
      </c>
      <c r="I556">
        <f>IF(A556="","",IF(AND(E556&gt;=4,F556&gt;=4,G556&gt;=4),"Juara",IF(AND(F556&gt;=4,E556&gt;=3),"Setia",IF(AND(E556=5,F556&lt;=2,G556&gt;=3),"Berpotensi",IF(AND(E556&lt;=3,E556&gt;=2,F556&gt;=3),"Rawan",IF(AND(E556&lt;=2,F556&lt;=2),"Tidur","Umum"))))))</f>
        <v/>
      </c>
    </row>
    <row r="557">
      <c r="B557">
        <f>IF(A557="","",$B$1-MAXIFS(Donasi!$A$2:$A$20000,Donasi!$B$2:$B$20000,A557))</f>
        <v/>
      </c>
      <c r="C557">
        <f>IF(A557="","",COUNTIF(Donasi!$B$2:$B$20000,A557))</f>
        <v/>
      </c>
      <c r="D557">
        <f>IF(A557="","",SUMIF(Donasi!$B$2:$B$20000,A557,Donasi!$C$2:$C$20000))</f>
        <v/>
      </c>
      <c r="E557">
        <f>IF(A557="","",6-CEILING(PERCENTRANK.INC($B$3:$B$6000,B557,4)*5+0.000001,1))</f>
        <v/>
      </c>
      <c r="F557">
        <f>IF(A557="","",MAX(1,CEILING(PERCENTRANK.INC($C$3:$C$6000,C557,4)*5+0.000001,1)))</f>
        <v/>
      </c>
      <c r="G557">
        <f>IF(A557="","",MAX(1,CEILING(PERCENTRANK.INC($D$3:$D$6000,D557,4)*5+0.000001,1)))</f>
        <v/>
      </c>
      <c r="H557">
        <f>IF(A557="","",E557&amp;F557&amp;G557)</f>
        <v/>
      </c>
      <c r="I557">
        <f>IF(A557="","",IF(AND(E557&gt;=4,F557&gt;=4,G557&gt;=4),"Juara",IF(AND(F557&gt;=4,E557&gt;=3),"Setia",IF(AND(E557=5,F557&lt;=2,G557&gt;=3),"Berpotensi",IF(AND(E557&lt;=3,E557&gt;=2,F557&gt;=3),"Rawan",IF(AND(E557&lt;=2,F557&lt;=2),"Tidur","Umum"))))))</f>
        <v/>
      </c>
    </row>
    <row r="558">
      <c r="B558">
        <f>IF(A558="","",$B$1-MAXIFS(Donasi!$A$2:$A$20000,Donasi!$B$2:$B$20000,A558))</f>
        <v/>
      </c>
      <c r="C558">
        <f>IF(A558="","",COUNTIF(Donasi!$B$2:$B$20000,A558))</f>
        <v/>
      </c>
      <c r="D558">
        <f>IF(A558="","",SUMIF(Donasi!$B$2:$B$20000,A558,Donasi!$C$2:$C$20000))</f>
        <v/>
      </c>
      <c r="E558">
        <f>IF(A558="","",6-CEILING(PERCENTRANK.INC($B$3:$B$6000,B558,4)*5+0.000001,1))</f>
        <v/>
      </c>
      <c r="F558">
        <f>IF(A558="","",MAX(1,CEILING(PERCENTRANK.INC($C$3:$C$6000,C558,4)*5+0.000001,1)))</f>
        <v/>
      </c>
      <c r="G558">
        <f>IF(A558="","",MAX(1,CEILING(PERCENTRANK.INC($D$3:$D$6000,D558,4)*5+0.000001,1)))</f>
        <v/>
      </c>
      <c r="H558">
        <f>IF(A558="","",E558&amp;F558&amp;G558)</f>
        <v/>
      </c>
      <c r="I558">
        <f>IF(A558="","",IF(AND(E558&gt;=4,F558&gt;=4,G558&gt;=4),"Juara",IF(AND(F558&gt;=4,E558&gt;=3),"Setia",IF(AND(E558=5,F558&lt;=2,G558&gt;=3),"Berpotensi",IF(AND(E558&lt;=3,E558&gt;=2,F558&gt;=3),"Rawan",IF(AND(E558&lt;=2,F558&lt;=2),"Tidur","Umum"))))))</f>
        <v/>
      </c>
    </row>
    <row r="559">
      <c r="B559">
        <f>IF(A559="","",$B$1-MAXIFS(Donasi!$A$2:$A$20000,Donasi!$B$2:$B$20000,A559))</f>
        <v/>
      </c>
      <c r="C559">
        <f>IF(A559="","",COUNTIF(Donasi!$B$2:$B$20000,A559))</f>
        <v/>
      </c>
      <c r="D559">
        <f>IF(A559="","",SUMIF(Donasi!$B$2:$B$20000,A559,Donasi!$C$2:$C$20000))</f>
        <v/>
      </c>
      <c r="E559">
        <f>IF(A559="","",6-CEILING(PERCENTRANK.INC($B$3:$B$6000,B559,4)*5+0.000001,1))</f>
        <v/>
      </c>
      <c r="F559">
        <f>IF(A559="","",MAX(1,CEILING(PERCENTRANK.INC($C$3:$C$6000,C559,4)*5+0.000001,1)))</f>
        <v/>
      </c>
      <c r="G559">
        <f>IF(A559="","",MAX(1,CEILING(PERCENTRANK.INC($D$3:$D$6000,D559,4)*5+0.000001,1)))</f>
        <v/>
      </c>
      <c r="H559">
        <f>IF(A559="","",E559&amp;F559&amp;G559)</f>
        <v/>
      </c>
      <c r="I559">
        <f>IF(A559="","",IF(AND(E559&gt;=4,F559&gt;=4,G559&gt;=4),"Juara",IF(AND(F559&gt;=4,E559&gt;=3),"Setia",IF(AND(E559=5,F559&lt;=2,G559&gt;=3),"Berpotensi",IF(AND(E559&lt;=3,E559&gt;=2,F559&gt;=3),"Rawan",IF(AND(E559&lt;=2,F559&lt;=2),"Tidur","Umum"))))))</f>
        <v/>
      </c>
    </row>
    <row r="560">
      <c r="B560">
        <f>IF(A560="","",$B$1-MAXIFS(Donasi!$A$2:$A$20000,Donasi!$B$2:$B$20000,A560))</f>
        <v/>
      </c>
      <c r="C560">
        <f>IF(A560="","",COUNTIF(Donasi!$B$2:$B$20000,A560))</f>
        <v/>
      </c>
      <c r="D560">
        <f>IF(A560="","",SUMIF(Donasi!$B$2:$B$20000,A560,Donasi!$C$2:$C$20000))</f>
        <v/>
      </c>
      <c r="E560">
        <f>IF(A560="","",6-CEILING(PERCENTRANK.INC($B$3:$B$6000,B560,4)*5+0.000001,1))</f>
        <v/>
      </c>
      <c r="F560">
        <f>IF(A560="","",MAX(1,CEILING(PERCENTRANK.INC($C$3:$C$6000,C560,4)*5+0.000001,1)))</f>
        <v/>
      </c>
      <c r="G560">
        <f>IF(A560="","",MAX(1,CEILING(PERCENTRANK.INC($D$3:$D$6000,D560,4)*5+0.000001,1)))</f>
        <v/>
      </c>
      <c r="H560">
        <f>IF(A560="","",E560&amp;F560&amp;G560)</f>
        <v/>
      </c>
      <c r="I560">
        <f>IF(A560="","",IF(AND(E560&gt;=4,F560&gt;=4,G560&gt;=4),"Juara",IF(AND(F560&gt;=4,E560&gt;=3),"Setia",IF(AND(E560=5,F560&lt;=2,G560&gt;=3),"Berpotensi",IF(AND(E560&lt;=3,E560&gt;=2,F560&gt;=3),"Rawan",IF(AND(E560&lt;=2,F560&lt;=2),"Tidur","Umum"))))))</f>
        <v/>
      </c>
    </row>
    <row r="561">
      <c r="B561">
        <f>IF(A561="","",$B$1-MAXIFS(Donasi!$A$2:$A$20000,Donasi!$B$2:$B$20000,A561))</f>
        <v/>
      </c>
      <c r="C561">
        <f>IF(A561="","",COUNTIF(Donasi!$B$2:$B$20000,A561))</f>
        <v/>
      </c>
      <c r="D561">
        <f>IF(A561="","",SUMIF(Donasi!$B$2:$B$20000,A561,Donasi!$C$2:$C$20000))</f>
        <v/>
      </c>
      <c r="E561">
        <f>IF(A561="","",6-CEILING(PERCENTRANK.INC($B$3:$B$6000,B561,4)*5+0.000001,1))</f>
        <v/>
      </c>
      <c r="F561">
        <f>IF(A561="","",MAX(1,CEILING(PERCENTRANK.INC($C$3:$C$6000,C561,4)*5+0.000001,1)))</f>
        <v/>
      </c>
      <c r="G561">
        <f>IF(A561="","",MAX(1,CEILING(PERCENTRANK.INC($D$3:$D$6000,D561,4)*5+0.000001,1)))</f>
        <v/>
      </c>
      <c r="H561">
        <f>IF(A561="","",E561&amp;F561&amp;G561)</f>
        <v/>
      </c>
      <c r="I561">
        <f>IF(A561="","",IF(AND(E561&gt;=4,F561&gt;=4,G561&gt;=4),"Juara",IF(AND(F561&gt;=4,E561&gt;=3),"Setia",IF(AND(E561=5,F561&lt;=2,G561&gt;=3),"Berpotensi",IF(AND(E561&lt;=3,E561&gt;=2,F561&gt;=3),"Rawan",IF(AND(E561&lt;=2,F561&lt;=2),"Tidur","Umum"))))))</f>
        <v/>
      </c>
    </row>
    <row r="562">
      <c r="B562">
        <f>IF(A562="","",$B$1-MAXIFS(Donasi!$A$2:$A$20000,Donasi!$B$2:$B$20000,A562))</f>
        <v/>
      </c>
      <c r="C562">
        <f>IF(A562="","",COUNTIF(Donasi!$B$2:$B$20000,A562))</f>
        <v/>
      </c>
      <c r="D562">
        <f>IF(A562="","",SUMIF(Donasi!$B$2:$B$20000,A562,Donasi!$C$2:$C$20000))</f>
        <v/>
      </c>
      <c r="E562">
        <f>IF(A562="","",6-CEILING(PERCENTRANK.INC($B$3:$B$6000,B562,4)*5+0.000001,1))</f>
        <v/>
      </c>
      <c r="F562">
        <f>IF(A562="","",MAX(1,CEILING(PERCENTRANK.INC($C$3:$C$6000,C562,4)*5+0.000001,1)))</f>
        <v/>
      </c>
      <c r="G562">
        <f>IF(A562="","",MAX(1,CEILING(PERCENTRANK.INC($D$3:$D$6000,D562,4)*5+0.000001,1)))</f>
        <v/>
      </c>
      <c r="H562">
        <f>IF(A562="","",E562&amp;F562&amp;G562)</f>
        <v/>
      </c>
      <c r="I562">
        <f>IF(A562="","",IF(AND(E562&gt;=4,F562&gt;=4,G562&gt;=4),"Juara",IF(AND(F562&gt;=4,E562&gt;=3),"Setia",IF(AND(E562=5,F562&lt;=2,G562&gt;=3),"Berpotensi",IF(AND(E562&lt;=3,E562&gt;=2,F562&gt;=3),"Rawan",IF(AND(E562&lt;=2,F562&lt;=2),"Tidur","Umum"))))))</f>
        <v/>
      </c>
    </row>
    <row r="563">
      <c r="B563">
        <f>IF(A563="","",$B$1-MAXIFS(Donasi!$A$2:$A$20000,Donasi!$B$2:$B$20000,A563))</f>
        <v/>
      </c>
      <c r="C563">
        <f>IF(A563="","",COUNTIF(Donasi!$B$2:$B$20000,A563))</f>
        <v/>
      </c>
      <c r="D563">
        <f>IF(A563="","",SUMIF(Donasi!$B$2:$B$20000,A563,Donasi!$C$2:$C$20000))</f>
        <v/>
      </c>
      <c r="E563">
        <f>IF(A563="","",6-CEILING(PERCENTRANK.INC($B$3:$B$6000,B563,4)*5+0.000001,1))</f>
        <v/>
      </c>
      <c r="F563">
        <f>IF(A563="","",MAX(1,CEILING(PERCENTRANK.INC($C$3:$C$6000,C563,4)*5+0.000001,1)))</f>
        <v/>
      </c>
      <c r="G563">
        <f>IF(A563="","",MAX(1,CEILING(PERCENTRANK.INC($D$3:$D$6000,D563,4)*5+0.000001,1)))</f>
        <v/>
      </c>
      <c r="H563">
        <f>IF(A563="","",E563&amp;F563&amp;G563)</f>
        <v/>
      </c>
      <c r="I563">
        <f>IF(A563="","",IF(AND(E563&gt;=4,F563&gt;=4,G563&gt;=4),"Juara",IF(AND(F563&gt;=4,E563&gt;=3),"Setia",IF(AND(E563=5,F563&lt;=2,G563&gt;=3),"Berpotensi",IF(AND(E563&lt;=3,E563&gt;=2,F563&gt;=3),"Rawan",IF(AND(E563&lt;=2,F563&lt;=2),"Tidur","Umum"))))))</f>
        <v/>
      </c>
    </row>
    <row r="564">
      <c r="B564">
        <f>IF(A564="","",$B$1-MAXIFS(Donasi!$A$2:$A$20000,Donasi!$B$2:$B$20000,A564))</f>
        <v/>
      </c>
      <c r="C564">
        <f>IF(A564="","",COUNTIF(Donasi!$B$2:$B$20000,A564))</f>
        <v/>
      </c>
      <c r="D564">
        <f>IF(A564="","",SUMIF(Donasi!$B$2:$B$20000,A564,Donasi!$C$2:$C$20000))</f>
        <v/>
      </c>
      <c r="E564">
        <f>IF(A564="","",6-CEILING(PERCENTRANK.INC($B$3:$B$6000,B564,4)*5+0.000001,1))</f>
        <v/>
      </c>
      <c r="F564">
        <f>IF(A564="","",MAX(1,CEILING(PERCENTRANK.INC($C$3:$C$6000,C564,4)*5+0.000001,1)))</f>
        <v/>
      </c>
      <c r="G564">
        <f>IF(A564="","",MAX(1,CEILING(PERCENTRANK.INC($D$3:$D$6000,D564,4)*5+0.000001,1)))</f>
        <v/>
      </c>
      <c r="H564">
        <f>IF(A564="","",E564&amp;F564&amp;G564)</f>
        <v/>
      </c>
      <c r="I564">
        <f>IF(A564="","",IF(AND(E564&gt;=4,F564&gt;=4,G564&gt;=4),"Juara",IF(AND(F564&gt;=4,E564&gt;=3),"Setia",IF(AND(E564=5,F564&lt;=2,G564&gt;=3),"Berpotensi",IF(AND(E564&lt;=3,E564&gt;=2,F564&gt;=3),"Rawan",IF(AND(E564&lt;=2,F564&lt;=2),"Tidur","Umum"))))))</f>
        <v/>
      </c>
    </row>
    <row r="565">
      <c r="B565">
        <f>IF(A565="","",$B$1-MAXIFS(Donasi!$A$2:$A$20000,Donasi!$B$2:$B$20000,A565))</f>
        <v/>
      </c>
      <c r="C565">
        <f>IF(A565="","",COUNTIF(Donasi!$B$2:$B$20000,A565))</f>
        <v/>
      </c>
      <c r="D565">
        <f>IF(A565="","",SUMIF(Donasi!$B$2:$B$20000,A565,Donasi!$C$2:$C$20000))</f>
        <v/>
      </c>
      <c r="E565">
        <f>IF(A565="","",6-CEILING(PERCENTRANK.INC($B$3:$B$6000,B565,4)*5+0.000001,1))</f>
        <v/>
      </c>
      <c r="F565">
        <f>IF(A565="","",MAX(1,CEILING(PERCENTRANK.INC($C$3:$C$6000,C565,4)*5+0.000001,1)))</f>
        <v/>
      </c>
      <c r="G565">
        <f>IF(A565="","",MAX(1,CEILING(PERCENTRANK.INC($D$3:$D$6000,D565,4)*5+0.000001,1)))</f>
        <v/>
      </c>
      <c r="H565">
        <f>IF(A565="","",E565&amp;F565&amp;G565)</f>
        <v/>
      </c>
      <c r="I565">
        <f>IF(A565="","",IF(AND(E565&gt;=4,F565&gt;=4,G565&gt;=4),"Juara",IF(AND(F565&gt;=4,E565&gt;=3),"Setia",IF(AND(E565=5,F565&lt;=2,G565&gt;=3),"Berpotensi",IF(AND(E565&lt;=3,E565&gt;=2,F565&gt;=3),"Rawan",IF(AND(E565&lt;=2,F565&lt;=2),"Tidur","Umum"))))))</f>
        <v/>
      </c>
    </row>
    <row r="566">
      <c r="B566">
        <f>IF(A566="","",$B$1-MAXIFS(Donasi!$A$2:$A$20000,Donasi!$B$2:$B$20000,A566))</f>
        <v/>
      </c>
      <c r="C566">
        <f>IF(A566="","",COUNTIF(Donasi!$B$2:$B$20000,A566))</f>
        <v/>
      </c>
      <c r="D566">
        <f>IF(A566="","",SUMIF(Donasi!$B$2:$B$20000,A566,Donasi!$C$2:$C$20000))</f>
        <v/>
      </c>
      <c r="E566">
        <f>IF(A566="","",6-CEILING(PERCENTRANK.INC($B$3:$B$6000,B566,4)*5+0.000001,1))</f>
        <v/>
      </c>
      <c r="F566">
        <f>IF(A566="","",MAX(1,CEILING(PERCENTRANK.INC($C$3:$C$6000,C566,4)*5+0.000001,1)))</f>
        <v/>
      </c>
      <c r="G566">
        <f>IF(A566="","",MAX(1,CEILING(PERCENTRANK.INC($D$3:$D$6000,D566,4)*5+0.000001,1)))</f>
        <v/>
      </c>
      <c r="H566">
        <f>IF(A566="","",E566&amp;F566&amp;G566)</f>
        <v/>
      </c>
      <c r="I566">
        <f>IF(A566="","",IF(AND(E566&gt;=4,F566&gt;=4,G566&gt;=4),"Juara",IF(AND(F566&gt;=4,E566&gt;=3),"Setia",IF(AND(E566=5,F566&lt;=2,G566&gt;=3),"Berpotensi",IF(AND(E566&lt;=3,E566&gt;=2,F566&gt;=3),"Rawan",IF(AND(E566&lt;=2,F566&lt;=2),"Tidur","Umum"))))))</f>
        <v/>
      </c>
    </row>
    <row r="567">
      <c r="B567">
        <f>IF(A567="","",$B$1-MAXIFS(Donasi!$A$2:$A$20000,Donasi!$B$2:$B$20000,A567))</f>
        <v/>
      </c>
      <c r="C567">
        <f>IF(A567="","",COUNTIF(Donasi!$B$2:$B$20000,A567))</f>
        <v/>
      </c>
      <c r="D567">
        <f>IF(A567="","",SUMIF(Donasi!$B$2:$B$20000,A567,Donasi!$C$2:$C$20000))</f>
        <v/>
      </c>
      <c r="E567">
        <f>IF(A567="","",6-CEILING(PERCENTRANK.INC($B$3:$B$6000,B567,4)*5+0.000001,1))</f>
        <v/>
      </c>
      <c r="F567">
        <f>IF(A567="","",MAX(1,CEILING(PERCENTRANK.INC($C$3:$C$6000,C567,4)*5+0.000001,1)))</f>
        <v/>
      </c>
      <c r="G567">
        <f>IF(A567="","",MAX(1,CEILING(PERCENTRANK.INC($D$3:$D$6000,D567,4)*5+0.000001,1)))</f>
        <v/>
      </c>
      <c r="H567">
        <f>IF(A567="","",E567&amp;F567&amp;G567)</f>
        <v/>
      </c>
      <c r="I567">
        <f>IF(A567="","",IF(AND(E567&gt;=4,F567&gt;=4,G567&gt;=4),"Juara",IF(AND(F567&gt;=4,E567&gt;=3),"Setia",IF(AND(E567=5,F567&lt;=2,G567&gt;=3),"Berpotensi",IF(AND(E567&lt;=3,E567&gt;=2,F567&gt;=3),"Rawan",IF(AND(E567&lt;=2,F567&lt;=2),"Tidur","Umum"))))))</f>
        <v/>
      </c>
    </row>
    <row r="568">
      <c r="B568">
        <f>IF(A568="","",$B$1-MAXIFS(Donasi!$A$2:$A$20000,Donasi!$B$2:$B$20000,A568))</f>
        <v/>
      </c>
      <c r="C568">
        <f>IF(A568="","",COUNTIF(Donasi!$B$2:$B$20000,A568))</f>
        <v/>
      </c>
      <c r="D568">
        <f>IF(A568="","",SUMIF(Donasi!$B$2:$B$20000,A568,Donasi!$C$2:$C$20000))</f>
        <v/>
      </c>
      <c r="E568">
        <f>IF(A568="","",6-CEILING(PERCENTRANK.INC($B$3:$B$6000,B568,4)*5+0.000001,1))</f>
        <v/>
      </c>
      <c r="F568">
        <f>IF(A568="","",MAX(1,CEILING(PERCENTRANK.INC($C$3:$C$6000,C568,4)*5+0.000001,1)))</f>
        <v/>
      </c>
      <c r="G568">
        <f>IF(A568="","",MAX(1,CEILING(PERCENTRANK.INC($D$3:$D$6000,D568,4)*5+0.000001,1)))</f>
        <v/>
      </c>
      <c r="H568">
        <f>IF(A568="","",E568&amp;F568&amp;G568)</f>
        <v/>
      </c>
      <c r="I568">
        <f>IF(A568="","",IF(AND(E568&gt;=4,F568&gt;=4,G568&gt;=4),"Juara",IF(AND(F568&gt;=4,E568&gt;=3),"Setia",IF(AND(E568=5,F568&lt;=2,G568&gt;=3),"Berpotensi",IF(AND(E568&lt;=3,E568&gt;=2,F568&gt;=3),"Rawan",IF(AND(E568&lt;=2,F568&lt;=2),"Tidur","Umum"))))))</f>
        <v/>
      </c>
    </row>
    <row r="569">
      <c r="B569">
        <f>IF(A569="","",$B$1-MAXIFS(Donasi!$A$2:$A$20000,Donasi!$B$2:$B$20000,A569))</f>
        <v/>
      </c>
      <c r="C569">
        <f>IF(A569="","",COUNTIF(Donasi!$B$2:$B$20000,A569))</f>
        <v/>
      </c>
      <c r="D569">
        <f>IF(A569="","",SUMIF(Donasi!$B$2:$B$20000,A569,Donasi!$C$2:$C$20000))</f>
        <v/>
      </c>
      <c r="E569">
        <f>IF(A569="","",6-CEILING(PERCENTRANK.INC($B$3:$B$6000,B569,4)*5+0.000001,1))</f>
        <v/>
      </c>
      <c r="F569">
        <f>IF(A569="","",MAX(1,CEILING(PERCENTRANK.INC($C$3:$C$6000,C569,4)*5+0.000001,1)))</f>
        <v/>
      </c>
      <c r="G569">
        <f>IF(A569="","",MAX(1,CEILING(PERCENTRANK.INC($D$3:$D$6000,D569,4)*5+0.000001,1)))</f>
        <v/>
      </c>
      <c r="H569">
        <f>IF(A569="","",E569&amp;F569&amp;G569)</f>
        <v/>
      </c>
      <c r="I569">
        <f>IF(A569="","",IF(AND(E569&gt;=4,F569&gt;=4,G569&gt;=4),"Juara",IF(AND(F569&gt;=4,E569&gt;=3),"Setia",IF(AND(E569=5,F569&lt;=2,G569&gt;=3),"Berpotensi",IF(AND(E569&lt;=3,E569&gt;=2,F569&gt;=3),"Rawan",IF(AND(E569&lt;=2,F569&lt;=2),"Tidur","Umum"))))))</f>
        <v/>
      </c>
    </row>
    <row r="570">
      <c r="B570">
        <f>IF(A570="","",$B$1-MAXIFS(Donasi!$A$2:$A$20000,Donasi!$B$2:$B$20000,A570))</f>
        <v/>
      </c>
      <c r="C570">
        <f>IF(A570="","",COUNTIF(Donasi!$B$2:$B$20000,A570))</f>
        <v/>
      </c>
      <c r="D570">
        <f>IF(A570="","",SUMIF(Donasi!$B$2:$B$20000,A570,Donasi!$C$2:$C$20000))</f>
        <v/>
      </c>
      <c r="E570">
        <f>IF(A570="","",6-CEILING(PERCENTRANK.INC($B$3:$B$6000,B570,4)*5+0.000001,1))</f>
        <v/>
      </c>
      <c r="F570">
        <f>IF(A570="","",MAX(1,CEILING(PERCENTRANK.INC($C$3:$C$6000,C570,4)*5+0.000001,1)))</f>
        <v/>
      </c>
      <c r="G570">
        <f>IF(A570="","",MAX(1,CEILING(PERCENTRANK.INC($D$3:$D$6000,D570,4)*5+0.000001,1)))</f>
        <v/>
      </c>
      <c r="H570">
        <f>IF(A570="","",E570&amp;F570&amp;G570)</f>
        <v/>
      </c>
      <c r="I570">
        <f>IF(A570="","",IF(AND(E570&gt;=4,F570&gt;=4,G570&gt;=4),"Juara",IF(AND(F570&gt;=4,E570&gt;=3),"Setia",IF(AND(E570=5,F570&lt;=2,G570&gt;=3),"Berpotensi",IF(AND(E570&lt;=3,E570&gt;=2,F570&gt;=3),"Rawan",IF(AND(E570&lt;=2,F570&lt;=2),"Tidur","Umum"))))))</f>
        <v/>
      </c>
    </row>
    <row r="571">
      <c r="B571">
        <f>IF(A571="","",$B$1-MAXIFS(Donasi!$A$2:$A$20000,Donasi!$B$2:$B$20000,A571))</f>
        <v/>
      </c>
      <c r="C571">
        <f>IF(A571="","",COUNTIF(Donasi!$B$2:$B$20000,A571))</f>
        <v/>
      </c>
      <c r="D571">
        <f>IF(A571="","",SUMIF(Donasi!$B$2:$B$20000,A571,Donasi!$C$2:$C$20000))</f>
        <v/>
      </c>
      <c r="E571">
        <f>IF(A571="","",6-CEILING(PERCENTRANK.INC($B$3:$B$6000,B571,4)*5+0.000001,1))</f>
        <v/>
      </c>
      <c r="F571">
        <f>IF(A571="","",MAX(1,CEILING(PERCENTRANK.INC($C$3:$C$6000,C571,4)*5+0.000001,1)))</f>
        <v/>
      </c>
      <c r="G571">
        <f>IF(A571="","",MAX(1,CEILING(PERCENTRANK.INC($D$3:$D$6000,D571,4)*5+0.000001,1)))</f>
        <v/>
      </c>
      <c r="H571">
        <f>IF(A571="","",E571&amp;F571&amp;G571)</f>
        <v/>
      </c>
      <c r="I571">
        <f>IF(A571="","",IF(AND(E571&gt;=4,F571&gt;=4,G571&gt;=4),"Juara",IF(AND(F571&gt;=4,E571&gt;=3),"Setia",IF(AND(E571=5,F571&lt;=2,G571&gt;=3),"Berpotensi",IF(AND(E571&lt;=3,E571&gt;=2,F571&gt;=3),"Rawan",IF(AND(E571&lt;=2,F571&lt;=2),"Tidur","Umum"))))))</f>
        <v/>
      </c>
    </row>
    <row r="572">
      <c r="B572">
        <f>IF(A572="","",$B$1-MAXIFS(Donasi!$A$2:$A$20000,Donasi!$B$2:$B$20000,A572))</f>
        <v/>
      </c>
      <c r="C572">
        <f>IF(A572="","",COUNTIF(Donasi!$B$2:$B$20000,A572))</f>
        <v/>
      </c>
      <c r="D572">
        <f>IF(A572="","",SUMIF(Donasi!$B$2:$B$20000,A572,Donasi!$C$2:$C$20000))</f>
        <v/>
      </c>
      <c r="E572">
        <f>IF(A572="","",6-CEILING(PERCENTRANK.INC($B$3:$B$6000,B572,4)*5+0.000001,1))</f>
        <v/>
      </c>
      <c r="F572">
        <f>IF(A572="","",MAX(1,CEILING(PERCENTRANK.INC($C$3:$C$6000,C572,4)*5+0.000001,1)))</f>
        <v/>
      </c>
      <c r="G572">
        <f>IF(A572="","",MAX(1,CEILING(PERCENTRANK.INC($D$3:$D$6000,D572,4)*5+0.000001,1)))</f>
        <v/>
      </c>
      <c r="H572">
        <f>IF(A572="","",E572&amp;F572&amp;G572)</f>
        <v/>
      </c>
      <c r="I572">
        <f>IF(A572="","",IF(AND(E572&gt;=4,F572&gt;=4,G572&gt;=4),"Juara",IF(AND(F572&gt;=4,E572&gt;=3),"Setia",IF(AND(E572=5,F572&lt;=2,G572&gt;=3),"Berpotensi",IF(AND(E572&lt;=3,E572&gt;=2,F572&gt;=3),"Rawan",IF(AND(E572&lt;=2,F572&lt;=2),"Tidur","Umum"))))))</f>
        <v/>
      </c>
    </row>
    <row r="573">
      <c r="B573">
        <f>IF(A573="","",$B$1-MAXIFS(Donasi!$A$2:$A$20000,Donasi!$B$2:$B$20000,A573))</f>
        <v/>
      </c>
      <c r="C573">
        <f>IF(A573="","",COUNTIF(Donasi!$B$2:$B$20000,A573))</f>
        <v/>
      </c>
      <c r="D573">
        <f>IF(A573="","",SUMIF(Donasi!$B$2:$B$20000,A573,Donasi!$C$2:$C$20000))</f>
        <v/>
      </c>
      <c r="E573">
        <f>IF(A573="","",6-CEILING(PERCENTRANK.INC($B$3:$B$6000,B573,4)*5+0.000001,1))</f>
        <v/>
      </c>
      <c r="F573">
        <f>IF(A573="","",MAX(1,CEILING(PERCENTRANK.INC($C$3:$C$6000,C573,4)*5+0.000001,1)))</f>
        <v/>
      </c>
      <c r="G573">
        <f>IF(A573="","",MAX(1,CEILING(PERCENTRANK.INC($D$3:$D$6000,D573,4)*5+0.000001,1)))</f>
        <v/>
      </c>
      <c r="H573">
        <f>IF(A573="","",E573&amp;F573&amp;G573)</f>
        <v/>
      </c>
      <c r="I573">
        <f>IF(A573="","",IF(AND(E573&gt;=4,F573&gt;=4,G573&gt;=4),"Juara",IF(AND(F573&gt;=4,E573&gt;=3),"Setia",IF(AND(E573=5,F573&lt;=2,G573&gt;=3),"Berpotensi",IF(AND(E573&lt;=3,E573&gt;=2,F573&gt;=3),"Rawan",IF(AND(E573&lt;=2,F573&lt;=2),"Tidur","Umum"))))))</f>
        <v/>
      </c>
    </row>
    <row r="574">
      <c r="B574">
        <f>IF(A574="","",$B$1-MAXIFS(Donasi!$A$2:$A$20000,Donasi!$B$2:$B$20000,A574))</f>
        <v/>
      </c>
      <c r="C574">
        <f>IF(A574="","",COUNTIF(Donasi!$B$2:$B$20000,A574))</f>
        <v/>
      </c>
      <c r="D574">
        <f>IF(A574="","",SUMIF(Donasi!$B$2:$B$20000,A574,Donasi!$C$2:$C$20000))</f>
        <v/>
      </c>
      <c r="E574">
        <f>IF(A574="","",6-CEILING(PERCENTRANK.INC($B$3:$B$6000,B574,4)*5+0.000001,1))</f>
        <v/>
      </c>
      <c r="F574">
        <f>IF(A574="","",MAX(1,CEILING(PERCENTRANK.INC($C$3:$C$6000,C574,4)*5+0.000001,1)))</f>
        <v/>
      </c>
      <c r="G574">
        <f>IF(A574="","",MAX(1,CEILING(PERCENTRANK.INC($D$3:$D$6000,D574,4)*5+0.000001,1)))</f>
        <v/>
      </c>
      <c r="H574">
        <f>IF(A574="","",E574&amp;F574&amp;G574)</f>
        <v/>
      </c>
      <c r="I574">
        <f>IF(A574="","",IF(AND(E574&gt;=4,F574&gt;=4,G574&gt;=4),"Juara",IF(AND(F574&gt;=4,E574&gt;=3),"Setia",IF(AND(E574=5,F574&lt;=2,G574&gt;=3),"Berpotensi",IF(AND(E574&lt;=3,E574&gt;=2,F574&gt;=3),"Rawan",IF(AND(E574&lt;=2,F574&lt;=2),"Tidur","Umum"))))))</f>
        <v/>
      </c>
    </row>
    <row r="575">
      <c r="B575">
        <f>IF(A575="","",$B$1-MAXIFS(Donasi!$A$2:$A$20000,Donasi!$B$2:$B$20000,A575))</f>
        <v/>
      </c>
      <c r="C575">
        <f>IF(A575="","",COUNTIF(Donasi!$B$2:$B$20000,A575))</f>
        <v/>
      </c>
      <c r="D575">
        <f>IF(A575="","",SUMIF(Donasi!$B$2:$B$20000,A575,Donasi!$C$2:$C$20000))</f>
        <v/>
      </c>
      <c r="E575">
        <f>IF(A575="","",6-CEILING(PERCENTRANK.INC($B$3:$B$6000,B575,4)*5+0.000001,1))</f>
        <v/>
      </c>
      <c r="F575">
        <f>IF(A575="","",MAX(1,CEILING(PERCENTRANK.INC($C$3:$C$6000,C575,4)*5+0.000001,1)))</f>
        <v/>
      </c>
      <c r="G575">
        <f>IF(A575="","",MAX(1,CEILING(PERCENTRANK.INC($D$3:$D$6000,D575,4)*5+0.000001,1)))</f>
        <v/>
      </c>
      <c r="H575">
        <f>IF(A575="","",E575&amp;F575&amp;G575)</f>
        <v/>
      </c>
      <c r="I575">
        <f>IF(A575="","",IF(AND(E575&gt;=4,F575&gt;=4,G575&gt;=4),"Juara",IF(AND(F575&gt;=4,E575&gt;=3),"Setia",IF(AND(E575=5,F575&lt;=2,G575&gt;=3),"Berpotensi",IF(AND(E575&lt;=3,E575&gt;=2,F575&gt;=3),"Rawan",IF(AND(E575&lt;=2,F575&lt;=2),"Tidur","Umum"))))))</f>
        <v/>
      </c>
    </row>
    <row r="576">
      <c r="B576">
        <f>IF(A576="","",$B$1-MAXIFS(Donasi!$A$2:$A$20000,Donasi!$B$2:$B$20000,A576))</f>
        <v/>
      </c>
      <c r="C576">
        <f>IF(A576="","",COUNTIF(Donasi!$B$2:$B$20000,A576))</f>
        <v/>
      </c>
      <c r="D576">
        <f>IF(A576="","",SUMIF(Donasi!$B$2:$B$20000,A576,Donasi!$C$2:$C$20000))</f>
        <v/>
      </c>
      <c r="E576">
        <f>IF(A576="","",6-CEILING(PERCENTRANK.INC($B$3:$B$6000,B576,4)*5+0.000001,1))</f>
        <v/>
      </c>
      <c r="F576">
        <f>IF(A576="","",MAX(1,CEILING(PERCENTRANK.INC($C$3:$C$6000,C576,4)*5+0.000001,1)))</f>
        <v/>
      </c>
      <c r="G576">
        <f>IF(A576="","",MAX(1,CEILING(PERCENTRANK.INC($D$3:$D$6000,D576,4)*5+0.000001,1)))</f>
        <v/>
      </c>
      <c r="H576">
        <f>IF(A576="","",E576&amp;F576&amp;G576)</f>
        <v/>
      </c>
      <c r="I576">
        <f>IF(A576="","",IF(AND(E576&gt;=4,F576&gt;=4,G576&gt;=4),"Juara",IF(AND(F576&gt;=4,E576&gt;=3),"Setia",IF(AND(E576=5,F576&lt;=2,G576&gt;=3),"Berpotensi",IF(AND(E576&lt;=3,E576&gt;=2,F576&gt;=3),"Rawan",IF(AND(E576&lt;=2,F576&lt;=2),"Tidur","Umum"))))))</f>
        <v/>
      </c>
    </row>
    <row r="577">
      <c r="B577">
        <f>IF(A577="","",$B$1-MAXIFS(Donasi!$A$2:$A$20000,Donasi!$B$2:$B$20000,A577))</f>
        <v/>
      </c>
      <c r="C577">
        <f>IF(A577="","",COUNTIF(Donasi!$B$2:$B$20000,A577))</f>
        <v/>
      </c>
      <c r="D577">
        <f>IF(A577="","",SUMIF(Donasi!$B$2:$B$20000,A577,Donasi!$C$2:$C$20000))</f>
        <v/>
      </c>
      <c r="E577">
        <f>IF(A577="","",6-CEILING(PERCENTRANK.INC($B$3:$B$6000,B577,4)*5+0.000001,1))</f>
        <v/>
      </c>
      <c r="F577">
        <f>IF(A577="","",MAX(1,CEILING(PERCENTRANK.INC($C$3:$C$6000,C577,4)*5+0.000001,1)))</f>
        <v/>
      </c>
      <c r="G577">
        <f>IF(A577="","",MAX(1,CEILING(PERCENTRANK.INC($D$3:$D$6000,D577,4)*5+0.000001,1)))</f>
        <v/>
      </c>
      <c r="H577">
        <f>IF(A577="","",E577&amp;F577&amp;G577)</f>
        <v/>
      </c>
      <c r="I577">
        <f>IF(A577="","",IF(AND(E577&gt;=4,F577&gt;=4,G577&gt;=4),"Juara",IF(AND(F577&gt;=4,E577&gt;=3),"Setia",IF(AND(E577=5,F577&lt;=2,G577&gt;=3),"Berpotensi",IF(AND(E577&lt;=3,E577&gt;=2,F577&gt;=3),"Rawan",IF(AND(E577&lt;=2,F577&lt;=2),"Tidur","Umum"))))))</f>
        <v/>
      </c>
    </row>
    <row r="578">
      <c r="B578">
        <f>IF(A578="","",$B$1-MAXIFS(Donasi!$A$2:$A$20000,Donasi!$B$2:$B$20000,A578))</f>
        <v/>
      </c>
      <c r="C578">
        <f>IF(A578="","",COUNTIF(Donasi!$B$2:$B$20000,A578))</f>
        <v/>
      </c>
      <c r="D578">
        <f>IF(A578="","",SUMIF(Donasi!$B$2:$B$20000,A578,Donasi!$C$2:$C$20000))</f>
        <v/>
      </c>
      <c r="E578">
        <f>IF(A578="","",6-CEILING(PERCENTRANK.INC($B$3:$B$6000,B578,4)*5+0.000001,1))</f>
        <v/>
      </c>
      <c r="F578">
        <f>IF(A578="","",MAX(1,CEILING(PERCENTRANK.INC($C$3:$C$6000,C578,4)*5+0.000001,1)))</f>
        <v/>
      </c>
      <c r="G578">
        <f>IF(A578="","",MAX(1,CEILING(PERCENTRANK.INC($D$3:$D$6000,D578,4)*5+0.000001,1)))</f>
        <v/>
      </c>
      <c r="H578">
        <f>IF(A578="","",E578&amp;F578&amp;G578)</f>
        <v/>
      </c>
      <c r="I578">
        <f>IF(A578="","",IF(AND(E578&gt;=4,F578&gt;=4,G578&gt;=4),"Juara",IF(AND(F578&gt;=4,E578&gt;=3),"Setia",IF(AND(E578=5,F578&lt;=2,G578&gt;=3),"Berpotensi",IF(AND(E578&lt;=3,E578&gt;=2,F578&gt;=3),"Rawan",IF(AND(E578&lt;=2,F578&lt;=2),"Tidur","Umum"))))))</f>
        <v/>
      </c>
    </row>
    <row r="579">
      <c r="B579">
        <f>IF(A579="","",$B$1-MAXIFS(Donasi!$A$2:$A$20000,Donasi!$B$2:$B$20000,A579))</f>
        <v/>
      </c>
      <c r="C579">
        <f>IF(A579="","",COUNTIF(Donasi!$B$2:$B$20000,A579))</f>
        <v/>
      </c>
      <c r="D579">
        <f>IF(A579="","",SUMIF(Donasi!$B$2:$B$20000,A579,Donasi!$C$2:$C$20000))</f>
        <v/>
      </c>
      <c r="E579">
        <f>IF(A579="","",6-CEILING(PERCENTRANK.INC($B$3:$B$6000,B579,4)*5+0.000001,1))</f>
        <v/>
      </c>
      <c r="F579">
        <f>IF(A579="","",MAX(1,CEILING(PERCENTRANK.INC($C$3:$C$6000,C579,4)*5+0.000001,1)))</f>
        <v/>
      </c>
      <c r="G579">
        <f>IF(A579="","",MAX(1,CEILING(PERCENTRANK.INC($D$3:$D$6000,D579,4)*5+0.000001,1)))</f>
        <v/>
      </c>
      <c r="H579">
        <f>IF(A579="","",E579&amp;F579&amp;G579)</f>
        <v/>
      </c>
      <c r="I579">
        <f>IF(A579="","",IF(AND(E579&gt;=4,F579&gt;=4,G579&gt;=4),"Juara",IF(AND(F579&gt;=4,E579&gt;=3),"Setia",IF(AND(E579=5,F579&lt;=2,G579&gt;=3),"Berpotensi",IF(AND(E579&lt;=3,E579&gt;=2,F579&gt;=3),"Rawan",IF(AND(E579&lt;=2,F579&lt;=2),"Tidur","Umum"))))))</f>
        <v/>
      </c>
    </row>
    <row r="580">
      <c r="B580">
        <f>IF(A580="","",$B$1-MAXIFS(Donasi!$A$2:$A$20000,Donasi!$B$2:$B$20000,A580))</f>
        <v/>
      </c>
      <c r="C580">
        <f>IF(A580="","",COUNTIF(Donasi!$B$2:$B$20000,A580))</f>
        <v/>
      </c>
      <c r="D580">
        <f>IF(A580="","",SUMIF(Donasi!$B$2:$B$20000,A580,Donasi!$C$2:$C$20000))</f>
        <v/>
      </c>
      <c r="E580">
        <f>IF(A580="","",6-CEILING(PERCENTRANK.INC($B$3:$B$6000,B580,4)*5+0.000001,1))</f>
        <v/>
      </c>
      <c r="F580">
        <f>IF(A580="","",MAX(1,CEILING(PERCENTRANK.INC($C$3:$C$6000,C580,4)*5+0.000001,1)))</f>
        <v/>
      </c>
      <c r="G580">
        <f>IF(A580="","",MAX(1,CEILING(PERCENTRANK.INC($D$3:$D$6000,D580,4)*5+0.000001,1)))</f>
        <v/>
      </c>
      <c r="H580">
        <f>IF(A580="","",E580&amp;F580&amp;G580)</f>
        <v/>
      </c>
      <c r="I580">
        <f>IF(A580="","",IF(AND(E580&gt;=4,F580&gt;=4,G580&gt;=4),"Juara",IF(AND(F580&gt;=4,E580&gt;=3),"Setia",IF(AND(E580=5,F580&lt;=2,G580&gt;=3),"Berpotensi",IF(AND(E580&lt;=3,E580&gt;=2,F580&gt;=3),"Rawan",IF(AND(E580&lt;=2,F580&lt;=2),"Tidur","Umum"))))))</f>
        <v/>
      </c>
    </row>
    <row r="581">
      <c r="B581">
        <f>IF(A581="","",$B$1-MAXIFS(Donasi!$A$2:$A$20000,Donasi!$B$2:$B$20000,A581))</f>
        <v/>
      </c>
      <c r="C581">
        <f>IF(A581="","",COUNTIF(Donasi!$B$2:$B$20000,A581))</f>
        <v/>
      </c>
      <c r="D581">
        <f>IF(A581="","",SUMIF(Donasi!$B$2:$B$20000,A581,Donasi!$C$2:$C$20000))</f>
        <v/>
      </c>
      <c r="E581">
        <f>IF(A581="","",6-CEILING(PERCENTRANK.INC($B$3:$B$6000,B581,4)*5+0.000001,1))</f>
        <v/>
      </c>
      <c r="F581">
        <f>IF(A581="","",MAX(1,CEILING(PERCENTRANK.INC($C$3:$C$6000,C581,4)*5+0.000001,1)))</f>
        <v/>
      </c>
      <c r="G581">
        <f>IF(A581="","",MAX(1,CEILING(PERCENTRANK.INC($D$3:$D$6000,D581,4)*5+0.000001,1)))</f>
        <v/>
      </c>
      <c r="H581">
        <f>IF(A581="","",E581&amp;F581&amp;G581)</f>
        <v/>
      </c>
      <c r="I581">
        <f>IF(A581="","",IF(AND(E581&gt;=4,F581&gt;=4,G581&gt;=4),"Juara",IF(AND(F581&gt;=4,E581&gt;=3),"Setia",IF(AND(E581=5,F581&lt;=2,G581&gt;=3),"Berpotensi",IF(AND(E581&lt;=3,E581&gt;=2,F581&gt;=3),"Rawan",IF(AND(E581&lt;=2,F581&lt;=2),"Tidur","Umum"))))))</f>
        <v/>
      </c>
    </row>
    <row r="582">
      <c r="B582">
        <f>IF(A582="","",$B$1-MAXIFS(Donasi!$A$2:$A$20000,Donasi!$B$2:$B$20000,A582))</f>
        <v/>
      </c>
      <c r="C582">
        <f>IF(A582="","",COUNTIF(Donasi!$B$2:$B$20000,A582))</f>
        <v/>
      </c>
      <c r="D582">
        <f>IF(A582="","",SUMIF(Donasi!$B$2:$B$20000,A582,Donasi!$C$2:$C$20000))</f>
        <v/>
      </c>
      <c r="E582">
        <f>IF(A582="","",6-CEILING(PERCENTRANK.INC($B$3:$B$6000,B582,4)*5+0.000001,1))</f>
        <v/>
      </c>
      <c r="F582">
        <f>IF(A582="","",MAX(1,CEILING(PERCENTRANK.INC($C$3:$C$6000,C582,4)*5+0.000001,1)))</f>
        <v/>
      </c>
      <c r="G582">
        <f>IF(A582="","",MAX(1,CEILING(PERCENTRANK.INC($D$3:$D$6000,D582,4)*5+0.000001,1)))</f>
        <v/>
      </c>
      <c r="H582">
        <f>IF(A582="","",E582&amp;F582&amp;G582)</f>
        <v/>
      </c>
      <c r="I582">
        <f>IF(A582="","",IF(AND(E582&gt;=4,F582&gt;=4,G582&gt;=4),"Juara",IF(AND(F582&gt;=4,E582&gt;=3),"Setia",IF(AND(E582=5,F582&lt;=2,G582&gt;=3),"Berpotensi",IF(AND(E582&lt;=3,E582&gt;=2,F582&gt;=3),"Rawan",IF(AND(E582&lt;=2,F582&lt;=2),"Tidur","Umum"))))))</f>
        <v/>
      </c>
    </row>
    <row r="583">
      <c r="B583">
        <f>IF(A583="","",$B$1-MAXIFS(Donasi!$A$2:$A$20000,Donasi!$B$2:$B$20000,A583))</f>
        <v/>
      </c>
      <c r="C583">
        <f>IF(A583="","",COUNTIF(Donasi!$B$2:$B$20000,A583))</f>
        <v/>
      </c>
      <c r="D583">
        <f>IF(A583="","",SUMIF(Donasi!$B$2:$B$20000,A583,Donasi!$C$2:$C$20000))</f>
        <v/>
      </c>
      <c r="E583">
        <f>IF(A583="","",6-CEILING(PERCENTRANK.INC($B$3:$B$6000,B583,4)*5+0.000001,1))</f>
        <v/>
      </c>
      <c r="F583">
        <f>IF(A583="","",MAX(1,CEILING(PERCENTRANK.INC($C$3:$C$6000,C583,4)*5+0.000001,1)))</f>
        <v/>
      </c>
      <c r="G583">
        <f>IF(A583="","",MAX(1,CEILING(PERCENTRANK.INC($D$3:$D$6000,D583,4)*5+0.000001,1)))</f>
        <v/>
      </c>
      <c r="H583">
        <f>IF(A583="","",E583&amp;F583&amp;G583)</f>
        <v/>
      </c>
      <c r="I583">
        <f>IF(A583="","",IF(AND(E583&gt;=4,F583&gt;=4,G583&gt;=4),"Juara",IF(AND(F583&gt;=4,E583&gt;=3),"Setia",IF(AND(E583=5,F583&lt;=2,G583&gt;=3),"Berpotensi",IF(AND(E583&lt;=3,E583&gt;=2,F583&gt;=3),"Rawan",IF(AND(E583&lt;=2,F583&lt;=2),"Tidur","Umum"))))))</f>
        <v/>
      </c>
    </row>
    <row r="584">
      <c r="B584">
        <f>IF(A584="","",$B$1-MAXIFS(Donasi!$A$2:$A$20000,Donasi!$B$2:$B$20000,A584))</f>
        <v/>
      </c>
      <c r="C584">
        <f>IF(A584="","",COUNTIF(Donasi!$B$2:$B$20000,A584))</f>
        <v/>
      </c>
      <c r="D584">
        <f>IF(A584="","",SUMIF(Donasi!$B$2:$B$20000,A584,Donasi!$C$2:$C$20000))</f>
        <v/>
      </c>
      <c r="E584">
        <f>IF(A584="","",6-CEILING(PERCENTRANK.INC($B$3:$B$6000,B584,4)*5+0.000001,1))</f>
        <v/>
      </c>
      <c r="F584">
        <f>IF(A584="","",MAX(1,CEILING(PERCENTRANK.INC($C$3:$C$6000,C584,4)*5+0.000001,1)))</f>
        <v/>
      </c>
      <c r="G584">
        <f>IF(A584="","",MAX(1,CEILING(PERCENTRANK.INC($D$3:$D$6000,D584,4)*5+0.000001,1)))</f>
        <v/>
      </c>
      <c r="H584">
        <f>IF(A584="","",E584&amp;F584&amp;G584)</f>
        <v/>
      </c>
      <c r="I584">
        <f>IF(A584="","",IF(AND(E584&gt;=4,F584&gt;=4,G584&gt;=4),"Juara",IF(AND(F584&gt;=4,E584&gt;=3),"Setia",IF(AND(E584=5,F584&lt;=2,G584&gt;=3),"Berpotensi",IF(AND(E584&lt;=3,E584&gt;=2,F584&gt;=3),"Rawan",IF(AND(E584&lt;=2,F584&lt;=2),"Tidur","Umum"))))))</f>
        <v/>
      </c>
    </row>
    <row r="585">
      <c r="B585">
        <f>IF(A585="","",$B$1-MAXIFS(Donasi!$A$2:$A$20000,Donasi!$B$2:$B$20000,A585))</f>
        <v/>
      </c>
      <c r="C585">
        <f>IF(A585="","",COUNTIF(Donasi!$B$2:$B$20000,A585))</f>
        <v/>
      </c>
      <c r="D585">
        <f>IF(A585="","",SUMIF(Donasi!$B$2:$B$20000,A585,Donasi!$C$2:$C$20000))</f>
        <v/>
      </c>
      <c r="E585">
        <f>IF(A585="","",6-CEILING(PERCENTRANK.INC($B$3:$B$6000,B585,4)*5+0.000001,1))</f>
        <v/>
      </c>
      <c r="F585">
        <f>IF(A585="","",MAX(1,CEILING(PERCENTRANK.INC($C$3:$C$6000,C585,4)*5+0.000001,1)))</f>
        <v/>
      </c>
      <c r="G585">
        <f>IF(A585="","",MAX(1,CEILING(PERCENTRANK.INC($D$3:$D$6000,D585,4)*5+0.000001,1)))</f>
        <v/>
      </c>
      <c r="H585">
        <f>IF(A585="","",E585&amp;F585&amp;G585)</f>
        <v/>
      </c>
      <c r="I585">
        <f>IF(A585="","",IF(AND(E585&gt;=4,F585&gt;=4,G585&gt;=4),"Juara",IF(AND(F585&gt;=4,E585&gt;=3),"Setia",IF(AND(E585=5,F585&lt;=2,G585&gt;=3),"Berpotensi",IF(AND(E585&lt;=3,E585&gt;=2,F585&gt;=3),"Rawan",IF(AND(E585&lt;=2,F585&lt;=2),"Tidur","Umum"))))))</f>
        <v/>
      </c>
    </row>
    <row r="586">
      <c r="B586">
        <f>IF(A586="","",$B$1-MAXIFS(Donasi!$A$2:$A$20000,Donasi!$B$2:$B$20000,A586))</f>
        <v/>
      </c>
      <c r="C586">
        <f>IF(A586="","",COUNTIF(Donasi!$B$2:$B$20000,A586))</f>
        <v/>
      </c>
      <c r="D586">
        <f>IF(A586="","",SUMIF(Donasi!$B$2:$B$20000,A586,Donasi!$C$2:$C$20000))</f>
        <v/>
      </c>
      <c r="E586">
        <f>IF(A586="","",6-CEILING(PERCENTRANK.INC($B$3:$B$6000,B586,4)*5+0.000001,1))</f>
        <v/>
      </c>
      <c r="F586">
        <f>IF(A586="","",MAX(1,CEILING(PERCENTRANK.INC($C$3:$C$6000,C586,4)*5+0.000001,1)))</f>
        <v/>
      </c>
      <c r="G586">
        <f>IF(A586="","",MAX(1,CEILING(PERCENTRANK.INC($D$3:$D$6000,D586,4)*5+0.000001,1)))</f>
        <v/>
      </c>
      <c r="H586">
        <f>IF(A586="","",E586&amp;F586&amp;G586)</f>
        <v/>
      </c>
      <c r="I586">
        <f>IF(A586="","",IF(AND(E586&gt;=4,F586&gt;=4,G586&gt;=4),"Juara",IF(AND(F586&gt;=4,E586&gt;=3),"Setia",IF(AND(E586=5,F586&lt;=2,G586&gt;=3),"Berpotensi",IF(AND(E586&lt;=3,E586&gt;=2,F586&gt;=3),"Rawan",IF(AND(E586&lt;=2,F586&lt;=2),"Tidur","Umum"))))))</f>
        <v/>
      </c>
    </row>
    <row r="587">
      <c r="B587">
        <f>IF(A587="","",$B$1-MAXIFS(Donasi!$A$2:$A$20000,Donasi!$B$2:$B$20000,A587))</f>
        <v/>
      </c>
      <c r="C587">
        <f>IF(A587="","",COUNTIF(Donasi!$B$2:$B$20000,A587))</f>
        <v/>
      </c>
      <c r="D587">
        <f>IF(A587="","",SUMIF(Donasi!$B$2:$B$20000,A587,Donasi!$C$2:$C$20000))</f>
        <v/>
      </c>
      <c r="E587">
        <f>IF(A587="","",6-CEILING(PERCENTRANK.INC($B$3:$B$6000,B587,4)*5+0.000001,1))</f>
        <v/>
      </c>
      <c r="F587">
        <f>IF(A587="","",MAX(1,CEILING(PERCENTRANK.INC($C$3:$C$6000,C587,4)*5+0.000001,1)))</f>
        <v/>
      </c>
      <c r="G587">
        <f>IF(A587="","",MAX(1,CEILING(PERCENTRANK.INC($D$3:$D$6000,D587,4)*5+0.000001,1)))</f>
        <v/>
      </c>
      <c r="H587">
        <f>IF(A587="","",E587&amp;F587&amp;G587)</f>
        <v/>
      </c>
      <c r="I587">
        <f>IF(A587="","",IF(AND(E587&gt;=4,F587&gt;=4,G587&gt;=4),"Juara",IF(AND(F587&gt;=4,E587&gt;=3),"Setia",IF(AND(E587=5,F587&lt;=2,G587&gt;=3),"Berpotensi",IF(AND(E587&lt;=3,E587&gt;=2,F587&gt;=3),"Rawan",IF(AND(E587&lt;=2,F587&lt;=2),"Tidur","Umum"))))))</f>
        <v/>
      </c>
    </row>
    <row r="588">
      <c r="B588">
        <f>IF(A588="","",$B$1-MAXIFS(Donasi!$A$2:$A$20000,Donasi!$B$2:$B$20000,A588))</f>
        <v/>
      </c>
      <c r="C588">
        <f>IF(A588="","",COUNTIF(Donasi!$B$2:$B$20000,A588))</f>
        <v/>
      </c>
      <c r="D588">
        <f>IF(A588="","",SUMIF(Donasi!$B$2:$B$20000,A588,Donasi!$C$2:$C$20000))</f>
        <v/>
      </c>
      <c r="E588">
        <f>IF(A588="","",6-CEILING(PERCENTRANK.INC($B$3:$B$6000,B588,4)*5+0.000001,1))</f>
        <v/>
      </c>
      <c r="F588">
        <f>IF(A588="","",MAX(1,CEILING(PERCENTRANK.INC($C$3:$C$6000,C588,4)*5+0.000001,1)))</f>
        <v/>
      </c>
      <c r="G588">
        <f>IF(A588="","",MAX(1,CEILING(PERCENTRANK.INC($D$3:$D$6000,D588,4)*5+0.000001,1)))</f>
        <v/>
      </c>
      <c r="H588">
        <f>IF(A588="","",E588&amp;F588&amp;G588)</f>
        <v/>
      </c>
      <c r="I588">
        <f>IF(A588="","",IF(AND(E588&gt;=4,F588&gt;=4,G588&gt;=4),"Juara",IF(AND(F588&gt;=4,E588&gt;=3),"Setia",IF(AND(E588=5,F588&lt;=2,G588&gt;=3),"Berpotensi",IF(AND(E588&lt;=3,E588&gt;=2,F588&gt;=3),"Rawan",IF(AND(E588&lt;=2,F588&lt;=2),"Tidur","Umum"))))))</f>
        <v/>
      </c>
    </row>
    <row r="589">
      <c r="B589">
        <f>IF(A589="","",$B$1-MAXIFS(Donasi!$A$2:$A$20000,Donasi!$B$2:$B$20000,A589))</f>
        <v/>
      </c>
      <c r="C589">
        <f>IF(A589="","",COUNTIF(Donasi!$B$2:$B$20000,A589))</f>
        <v/>
      </c>
      <c r="D589">
        <f>IF(A589="","",SUMIF(Donasi!$B$2:$B$20000,A589,Donasi!$C$2:$C$20000))</f>
        <v/>
      </c>
      <c r="E589">
        <f>IF(A589="","",6-CEILING(PERCENTRANK.INC($B$3:$B$6000,B589,4)*5+0.000001,1))</f>
        <v/>
      </c>
      <c r="F589">
        <f>IF(A589="","",MAX(1,CEILING(PERCENTRANK.INC($C$3:$C$6000,C589,4)*5+0.000001,1)))</f>
        <v/>
      </c>
      <c r="G589">
        <f>IF(A589="","",MAX(1,CEILING(PERCENTRANK.INC($D$3:$D$6000,D589,4)*5+0.000001,1)))</f>
        <v/>
      </c>
      <c r="H589">
        <f>IF(A589="","",E589&amp;F589&amp;G589)</f>
        <v/>
      </c>
      <c r="I589">
        <f>IF(A589="","",IF(AND(E589&gt;=4,F589&gt;=4,G589&gt;=4),"Juara",IF(AND(F589&gt;=4,E589&gt;=3),"Setia",IF(AND(E589=5,F589&lt;=2,G589&gt;=3),"Berpotensi",IF(AND(E589&lt;=3,E589&gt;=2,F589&gt;=3),"Rawan",IF(AND(E589&lt;=2,F589&lt;=2),"Tidur","Umum"))))))</f>
        <v/>
      </c>
    </row>
    <row r="590">
      <c r="B590">
        <f>IF(A590="","",$B$1-MAXIFS(Donasi!$A$2:$A$20000,Donasi!$B$2:$B$20000,A590))</f>
        <v/>
      </c>
      <c r="C590">
        <f>IF(A590="","",COUNTIF(Donasi!$B$2:$B$20000,A590))</f>
        <v/>
      </c>
      <c r="D590">
        <f>IF(A590="","",SUMIF(Donasi!$B$2:$B$20000,A590,Donasi!$C$2:$C$20000))</f>
        <v/>
      </c>
      <c r="E590">
        <f>IF(A590="","",6-CEILING(PERCENTRANK.INC($B$3:$B$6000,B590,4)*5+0.000001,1))</f>
        <v/>
      </c>
      <c r="F590">
        <f>IF(A590="","",MAX(1,CEILING(PERCENTRANK.INC($C$3:$C$6000,C590,4)*5+0.000001,1)))</f>
        <v/>
      </c>
      <c r="G590">
        <f>IF(A590="","",MAX(1,CEILING(PERCENTRANK.INC($D$3:$D$6000,D590,4)*5+0.000001,1)))</f>
        <v/>
      </c>
      <c r="H590">
        <f>IF(A590="","",E590&amp;F590&amp;G590)</f>
        <v/>
      </c>
      <c r="I590">
        <f>IF(A590="","",IF(AND(E590&gt;=4,F590&gt;=4,G590&gt;=4),"Juara",IF(AND(F590&gt;=4,E590&gt;=3),"Setia",IF(AND(E590=5,F590&lt;=2,G590&gt;=3),"Berpotensi",IF(AND(E590&lt;=3,E590&gt;=2,F590&gt;=3),"Rawan",IF(AND(E590&lt;=2,F590&lt;=2),"Tidur","Umum"))))))</f>
        <v/>
      </c>
    </row>
    <row r="591">
      <c r="B591">
        <f>IF(A591="","",$B$1-MAXIFS(Donasi!$A$2:$A$20000,Donasi!$B$2:$B$20000,A591))</f>
        <v/>
      </c>
      <c r="C591">
        <f>IF(A591="","",COUNTIF(Donasi!$B$2:$B$20000,A591))</f>
        <v/>
      </c>
      <c r="D591">
        <f>IF(A591="","",SUMIF(Donasi!$B$2:$B$20000,A591,Donasi!$C$2:$C$20000))</f>
        <v/>
      </c>
      <c r="E591">
        <f>IF(A591="","",6-CEILING(PERCENTRANK.INC($B$3:$B$6000,B591,4)*5+0.000001,1))</f>
        <v/>
      </c>
      <c r="F591">
        <f>IF(A591="","",MAX(1,CEILING(PERCENTRANK.INC($C$3:$C$6000,C591,4)*5+0.000001,1)))</f>
        <v/>
      </c>
      <c r="G591">
        <f>IF(A591="","",MAX(1,CEILING(PERCENTRANK.INC($D$3:$D$6000,D591,4)*5+0.000001,1)))</f>
        <v/>
      </c>
      <c r="H591">
        <f>IF(A591="","",E591&amp;F591&amp;G591)</f>
        <v/>
      </c>
      <c r="I591">
        <f>IF(A591="","",IF(AND(E591&gt;=4,F591&gt;=4,G591&gt;=4),"Juara",IF(AND(F591&gt;=4,E591&gt;=3),"Setia",IF(AND(E591=5,F591&lt;=2,G591&gt;=3),"Berpotensi",IF(AND(E591&lt;=3,E591&gt;=2,F591&gt;=3),"Rawan",IF(AND(E591&lt;=2,F591&lt;=2),"Tidur","Umum"))))))</f>
        <v/>
      </c>
    </row>
    <row r="592">
      <c r="B592">
        <f>IF(A592="","",$B$1-MAXIFS(Donasi!$A$2:$A$20000,Donasi!$B$2:$B$20000,A592))</f>
        <v/>
      </c>
      <c r="C592">
        <f>IF(A592="","",COUNTIF(Donasi!$B$2:$B$20000,A592))</f>
        <v/>
      </c>
      <c r="D592">
        <f>IF(A592="","",SUMIF(Donasi!$B$2:$B$20000,A592,Donasi!$C$2:$C$20000))</f>
        <v/>
      </c>
      <c r="E592">
        <f>IF(A592="","",6-CEILING(PERCENTRANK.INC($B$3:$B$6000,B592,4)*5+0.000001,1))</f>
        <v/>
      </c>
      <c r="F592">
        <f>IF(A592="","",MAX(1,CEILING(PERCENTRANK.INC($C$3:$C$6000,C592,4)*5+0.000001,1)))</f>
        <v/>
      </c>
      <c r="G592">
        <f>IF(A592="","",MAX(1,CEILING(PERCENTRANK.INC($D$3:$D$6000,D592,4)*5+0.000001,1)))</f>
        <v/>
      </c>
      <c r="H592">
        <f>IF(A592="","",E592&amp;F592&amp;G592)</f>
        <v/>
      </c>
      <c r="I592">
        <f>IF(A592="","",IF(AND(E592&gt;=4,F592&gt;=4,G592&gt;=4),"Juara",IF(AND(F592&gt;=4,E592&gt;=3),"Setia",IF(AND(E592=5,F592&lt;=2,G592&gt;=3),"Berpotensi",IF(AND(E592&lt;=3,E592&gt;=2,F592&gt;=3),"Rawan",IF(AND(E592&lt;=2,F592&lt;=2),"Tidur","Umum"))))))</f>
        <v/>
      </c>
    </row>
    <row r="593">
      <c r="B593">
        <f>IF(A593="","",$B$1-MAXIFS(Donasi!$A$2:$A$20000,Donasi!$B$2:$B$20000,A593))</f>
        <v/>
      </c>
      <c r="C593">
        <f>IF(A593="","",COUNTIF(Donasi!$B$2:$B$20000,A593))</f>
        <v/>
      </c>
      <c r="D593">
        <f>IF(A593="","",SUMIF(Donasi!$B$2:$B$20000,A593,Donasi!$C$2:$C$20000))</f>
        <v/>
      </c>
      <c r="E593">
        <f>IF(A593="","",6-CEILING(PERCENTRANK.INC($B$3:$B$6000,B593,4)*5+0.000001,1))</f>
        <v/>
      </c>
      <c r="F593">
        <f>IF(A593="","",MAX(1,CEILING(PERCENTRANK.INC($C$3:$C$6000,C593,4)*5+0.000001,1)))</f>
        <v/>
      </c>
      <c r="G593">
        <f>IF(A593="","",MAX(1,CEILING(PERCENTRANK.INC($D$3:$D$6000,D593,4)*5+0.000001,1)))</f>
        <v/>
      </c>
      <c r="H593">
        <f>IF(A593="","",E593&amp;F593&amp;G593)</f>
        <v/>
      </c>
      <c r="I593">
        <f>IF(A593="","",IF(AND(E593&gt;=4,F593&gt;=4,G593&gt;=4),"Juara",IF(AND(F593&gt;=4,E593&gt;=3),"Setia",IF(AND(E593=5,F593&lt;=2,G593&gt;=3),"Berpotensi",IF(AND(E593&lt;=3,E593&gt;=2,F593&gt;=3),"Rawan",IF(AND(E593&lt;=2,F593&lt;=2),"Tidur","Umum"))))))</f>
        <v/>
      </c>
    </row>
    <row r="594">
      <c r="B594">
        <f>IF(A594="","",$B$1-MAXIFS(Donasi!$A$2:$A$20000,Donasi!$B$2:$B$20000,A594))</f>
        <v/>
      </c>
      <c r="C594">
        <f>IF(A594="","",COUNTIF(Donasi!$B$2:$B$20000,A594))</f>
        <v/>
      </c>
      <c r="D594">
        <f>IF(A594="","",SUMIF(Donasi!$B$2:$B$20000,A594,Donasi!$C$2:$C$20000))</f>
        <v/>
      </c>
      <c r="E594">
        <f>IF(A594="","",6-CEILING(PERCENTRANK.INC($B$3:$B$6000,B594,4)*5+0.000001,1))</f>
        <v/>
      </c>
      <c r="F594">
        <f>IF(A594="","",MAX(1,CEILING(PERCENTRANK.INC($C$3:$C$6000,C594,4)*5+0.000001,1)))</f>
        <v/>
      </c>
      <c r="G594">
        <f>IF(A594="","",MAX(1,CEILING(PERCENTRANK.INC($D$3:$D$6000,D594,4)*5+0.000001,1)))</f>
        <v/>
      </c>
      <c r="H594">
        <f>IF(A594="","",E594&amp;F594&amp;G594)</f>
        <v/>
      </c>
      <c r="I594">
        <f>IF(A594="","",IF(AND(E594&gt;=4,F594&gt;=4,G594&gt;=4),"Juara",IF(AND(F594&gt;=4,E594&gt;=3),"Setia",IF(AND(E594=5,F594&lt;=2,G594&gt;=3),"Berpotensi",IF(AND(E594&lt;=3,E594&gt;=2,F594&gt;=3),"Rawan",IF(AND(E594&lt;=2,F594&lt;=2),"Tidur","Umum"))))))</f>
        <v/>
      </c>
    </row>
    <row r="595">
      <c r="B595">
        <f>IF(A595="","",$B$1-MAXIFS(Donasi!$A$2:$A$20000,Donasi!$B$2:$B$20000,A595))</f>
        <v/>
      </c>
      <c r="C595">
        <f>IF(A595="","",COUNTIF(Donasi!$B$2:$B$20000,A595))</f>
        <v/>
      </c>
      <c r="D595">
        <f>IF(A595="","",SUMIF(Donasi!$B$2:$B$20000,A595,Donasi!$C$2:$C$20000))</f>
        <v/>
      </c>
      <c r="E595">
        <f>IF(A595="","",6-CEILING(PERCENTRANK.INC($B$3:$B$6000,B595,4)*5+0.000001,1))</f>
        <v/>
      </c>
      <c r="F595">
        <f>IF(A595="","",MAX(1,CEILING(PERCENTRANK.INC($C$3:$C$6000,C595,4)*5+0.000001,1)))</f>
        <v/>
      </c>
      <c r="G595">
        <f>IF(A595="","",MAX(1,CEILING(PERCENTRANK.INC($D$3:$D$6000,D595,4)*5+0.000001,1)))</f>
        <v/>
      </c>
      <c r="H595">
        <f>IF(A595="","",E595&amp;F595&amp;G595)</f>
        <v/>
      </c>
      <c r="I595">
        <f>IF(A595="","",IF(AND(E595&gt;=4,F595&gt;=4,G595&gt;=4),"Juara",IF(AND(F595&gt;=4,E595&gt;=3),"Setia",IF(AND(E595=5,F595&lt;=2,G595&gt;=3),"Berpotensi",IF(AND(E595&lt;=3,E595&gt;=2,F595&gt;=3),"Rawan",IF(AND(E595&lt;=2,F595&lt;=2),"Tidur","Umum"))))))</f>
        <v/>
      </c>
    </row>
    <row r="596">
      <c r="B596">
        <f>IF(A596="","",$B$1-MAXIFS(Donasi!$A$2:$A$20000,Donasi!$B$2:$B$20000,A596))</f>
        <v/>
      </c>
      <c r="C596">
        <f>IF(A596="","",COUNTIF(Donasi!$B$2:$B$20000,A596))</f>
        <v/>
      </c>
      <c r="D596">
        <f>IF(A596="","",SUMIF(Donasi!$B$2:$B$20000,A596,Donasi!$C$2:$C$20000))</f>
        <v/>
      </c>
      <c r="E596">
        <f>IF(A596="","",6-CEILING(PERCENTRANK.INC($B$3:$B$6000,B596,4)*5+0.000001,1))</f>
        <v/>
      </c>
      <c r="F596">
        <f>IF(A596="","",MAX(1,CEILING(PERCENTRANK.INC($C$3:$C$6000,C596,4)*5+0.000001,1)))</f>
        <v/>
      </c>
      <c r="G596">
        <f>IF(A596="","",MAX(1,CEILING(PERCENTRANK.INC($D$3:$D$6000,D596,4)*5+0.000001,1)))</f>
        <v/>
      </c>
      <c r="H596">
        <f>IF(A596="","",E596&amp;F596&amp;G596)</f>
        <v/>
      </c>
      <c r="I596">
        <f>IF(A596="","",IF(AND(E596&gt;=4,F596&gt;=4,G596&gt;=4),"Juara",IF(AND(F596&gt;=4,E596&gt;=3),"Setia",IF(AND(E596=5,F596&lt;=2,G596&gt;=3),"Berpotensi",IF(AND(E596&lt;=3,E596&gt;=2,F596&gt;=3),"Rawan",IF(AND(E596&lt;=2,F596&lt;=2),"Tidur","Umum"))))))</f>
        <v/>
      </c>
    </row>
    <row r="597">
      <c r="B597">
        <f>IF(A597="","",$B$1-MAXIFS(Donasi!$A$2:$A$20000,Donasi!$B$2:$B$20000,A597))</f>
        <v/>
      </c>
      <c r="C597">
        <f>IF(A597="","",COUNTIF(Donasi!$B$2:$B$20000,A597))</f>
        <v/>
      </c>
      <c r="D597">
        <f>IF(A597="","",SUMIF(Donasi!$B$2:$B$20000,A597,Donasi!$C$2:$C$20000))</f>
        <v/>
      </c>
      <c r="E597">
        <f>IF(A597="","",6-CEILING(PERCENTRANK.INC($B$3:$B$6000,B597,4)*5+0.000001,1))</f>
        <v/>
      </c>
      <c r="F597">
        <f>IF(A597="","",MAX(1,CEILING(PERCENTRANK.INC($C$3:$C$6000,C597,4)*5+0.000001,1)))</f>
        <v/>
      </c>
      <c r="G597">
        <f>IF(A597="","",MAX(1,CEILING(PERCENTRANK.INC($D$3:$D$6000,D597,4)*5+0.000001,1)))</f>
        <v/>
      </c>
      <c r="H597">
        <f>IF(A597="","",E597&amp;F597&amp;G597)</f>
        <v/>
      </c>
      <c r="I597">
        <f>IF(A597="","",IF(AND(E597&gt;=4,F597&gt;=4,G597&gt;=4),"Juara",IF(AND(F597&gt;=4,E597&gt;=3),"Setia",IF(AND(E597=5,F597&lt;=2,G597&gt;=3),"Berpotensi",IF(AND(E597&lt;=3,E597&gt;=2,F597&gt;=3),"Rawan",IF(AND(E597&lt;=2,F597&lt;=2),"Tidur","Umum"))))))</f>
        <v/>
      </c>
    </row>
    <row r="598">
      <c r="B598">
        <f>IF(A598="","",$B$1-MAXIFS(Donasi!$A$2:$A$20000,Donasi!$B$2:$B$20000,A598))</f>
        <v/>
      </c>
      <c r="C598">
        <f>IF(A598="","",COUNTIF(Donasi!$B$2:$B$20000,A598))</f>
        <v/>
      </c>
      <c r="D598">
        <f>IF(A598="","",SUMIF(Donasi!$B$2:$B$20000,A598,Donasi!$C$2:$C$20000))</f>
        <v/>
      </c>
      <c r="E598">
        <f>IF(A598="","",6-CEILING(PERCENTRANK.INC($B$3:$B$6000,B598,4)*5+0.000001,1))</f>
        <v/>
      </c>
      <c r="F598">
        <f>IF(A598="","",MAX(1,CEILING(PERCENTRANK.INC($C$3:$C$6000,C598,4)*5+0.000001,1)))</f>
        <v/>
      </c>
      <c r="G598">
        <f>IF(A598="","",MAX(1,CEILING(PERCENTRANK.INC($D$3:$D$6000,D598,4)*5+0.000001,1)))</f>
        <v/>
      </c>
      <c r="H598">
        <f>IF(A598="","",E598&amp;F598&amp;G598)</f>
        <v/>
      </c>
      <c r="I598">
        <f>IF(A598="","",IF(AND(E598&gt;=4,F598&gt;=4,G598&gt;=4),"Juara",IF(AND(F598&gt;=4,E598&gt;=3),"Setia",IF(AND(E598=5,F598&lt;=2,G598&gt;=3),"Berpotensi",IF(AND(E598&lt;=3,E598&gt;=2,F598&gt;=3),"Rawan",IF(AND(E598&lt;=2,F598&lt;=2),"Tidur","Umum"))))))</f>
        <v/>
      </c>
    </row>
    <row r="599">
      <c r="B599">
        <f>IF(A599="","",$B$1-MAXIFS(Donasi!$A$2:$A$20000,Donasi!$B$2:$B$20000,A599))</f>
        <v/>
      </c>
      <c r="C599">
        <f>IF(A599="","",COUNTIF(Donasi!$B$2:$B$20000,A599))</f>
        <v/>
      </c>
      <c r="D599">
        <f>IF(A599="","",SUMIF(Donasi!$B$2:$B$20000,A599,Donasi!$C$2:$C$20000))</f>
        <v/>
      </c>
      <c r="E599">
        <f>IF(A599="","",6-CEILING(PERCENTRANK.INC($B$3:$B$6000,B599,4)*5+0.000001,1))</f>
        <v/>
      </c>
      <c r="F599">
        <f>IF(A599="","",MAX(1,CEILING(PERCENTRANK.INC($C$3:$C$6000,C599,4)*5+0.000001,1)))</f>
        <v/>
      </c>
      <c r="G599">
        <f>IF(A599="","",MAX(1,CEILING(PERCENTRANK.INC($D$3:$D$6000,D599,4)*5+0.000001,1)))</f>
        <v/>
      </c>
      <c r="H599">
        <f>IF(A599="","",E599&amp;F599&amp;G599)</f>
        <v/>
      </c>
      <c r="I599">
        <f>IF(A599="","",IF(AND(E599&gt;=4,F599&gt;=4,G599&gt;=4),"Juara",IF(AND(F599&gt;=4,E599&gt;=3),"Setia",IF(AND(E599=5,F599&lt;=2,G599&gt;=3),"Berpotensi",IF(AND(E599&lt;=3,E599&gt;=2,F599&gt;=3),"Rawan",IF(AND(E599&lt;=2,F599&lt;=2),"Tidur","Umum"))))))</f>
        <v/>
      </c>
    </row>
    <row r="600">
      <c r="B600">
        <f>IF(A600="","",$B$1-MAXIFS(Donasi!$A$2:$A$20000,Donasi!$B$2:$B$20000,A600))</f>
        <v/>
      </c>
      <c r="C600">
        <f>IF(A600="","",COUNTIF(Donasi!$B$2:$B$20000,A600))</f>
        <v/>
      </c>
      <c r="D600">
        <f>IF(A600="","",SUMIF(Donasi!$B$2:$B$20000,A600,Donasi!$C$2:$C$20000))</f>
        <v/>
      </c>
      <c r="E600">
        <f>IF(A600="","",6-CEILING(PERCENTRANK.INC($B$3:$B$6000,B600,4)*5+0.000001,1))</f>
        <v/>
      </c>
      <c r="F600">
        <f>IF(A600="","",MAX(1,CEILING(PERCENTRANK.INC($C$3:$C$6000,C600,4)*5+0.000001,1)))</f>
        <v/>
      </c>
      <c r="G600">
        <f>IF(A600="","",MAX(1,CEILING(PERCENTRANK.INC($D$3:$D$6000,D600,4)*5+0.000001,1)))</f>
        <v/>
      </c>
      <c r="H600">
        <f>IF(A600="","",E600&amp;F600&amp;G600)</f>
        <v/>
      </c>
      <c r="I600">
        <f>IF(A600="","",IF(AND(E600&gt;=4,F600&gt;=4,G600&gt;=4),"Juara",IF(AND(F600&gt;=4,E600&gt;=3),"Setia",IF(AND(E600=5,F600&lt;=2,G600&gt;=3),"Berpotensi",IF(AND(E600&lt;=3,E600&gt;=2,F600&gt;=3),"Rawan",IF(AND(E600&lt;=2,F600&lt;=2),"Tidur","Umum"))))))</f>
        <v/>
      </c>
    </row>
    <row r="601">
      <c r="B601">
        <f>IF(A601="","",$B$1-MAXIFS(Donasi!$A$2:$A$20000,Donasi!$B$2:$B$20000,A601))</f>
        <v/>
      </c>
      <c r="C601">
        <f>IF(A601="","",COUNTIF(Donasi!$B$2:$B$20000,A601))</f>
        <v/>
      </c>
      <c r="D601">
        <f>IF(A601="","",SUMIF(Donasi!$B$2:$B$20000,A601,Donasi!$C$2:$C$20000))</f>
        <v/>
      </c>
      <c r="E601">
        <f>IF(A601="","",6-CEILING(PERCENTRANK.INC($B$3:$B$6000,B601,4)*5+0.000001,1))</f>
        <v/>
      </c>
      <c r="F601">
        <f>IF(A601="","",MAX(1,CEILING(PERCENTRANK.INC($C$3:$C$6000,C601,4)*5+0.000001,1)))</f>
        <v/>
      </c>
      <c r="G601">
        <f>IF(A601="","",MAX(1,CEILING(PERCENTRANK.INC($D$3:$D$6000,D601,4)*5+0.000001,1)))</f>
        <v/>
      </c>
      <c r="H601">
        <f>IF(A601="","",E601&amp;F601&amp;G601)</f>
        <v/>
      </c>
      <c r="I601">
        <f>IF(A601="","",IF(AND(E601&gt;=4,F601&gt;=4,G601&gt;=4),"Juara",IF(AND(F601&gt;=4,E601&gt;=3),"Setia",IF(AND(E601=5,F601&lt;=2,G601&gt;=3),"Berpotensi",IF(AND(E601&lt;=3,E601&gt;=2,F601&gt;=3),"Rawan",IF(AND(E601&lt;=2,F601&lt;=2),"Tidur","Umum"))))))</f>
        <v/>
      </c>
    </row>
    <row r="602">
      <c r="B602">
        <f>IF(A602="","",$B$1-MAXIFS(Donasi!$A$2:$A$20000,Donasi!$B$2:$B$20000,A602))</f>
        <v/>
      </c>
      <c r="C602">
        <f>IF(A602="","",COUNTIF(Donasi!$B$2:$B$20000,A602))</f>
        <v/>
      </c>
      <c r="D602">
        <f>IF(A602="","",SUMIF(Donasi!$B$2:$B$20000,A602,Donasi!$C$2:$C$20000))</f>
        <v/>
      </c>
      <c r="E602">
        <f>IF(A602="","",6-CEILING(PERCENTRANK.INC($B$3:$B$6000,B602,4)*5+0.000001,1))</f>
        <v/>
      </c>
      <c r="F602">
        <f>IF(A602="","",MAX(1,CEILING(PERCENTRANK.INC($C$3:$C$6000,C602,4)*5+0.000001,1)))</f>
        <v/>
      </c>
      <c r="G602">
        <f>IF(A602="","",MAX(1,CEILING(PERCENTRANK.INC($D$3:$D$6000,D602,4)*5+0.000001,1)))</f>
        <v/>
      </c>
      <c r="H602">
        <f>IF(A602="","",E602&amp;F602&amp;G602)</f>
        <v/>
      </c>
      <c r="I602">
        <f>IF(A602="","",IF(AND(E602&gt;=4,F602&gt;=4,G602&gt;=4),"Juara",IF(AND(F602&gt;=4,E602&gt;=3),"Setia",IF(AND(E602=5,F602&lt;=2,G602&gt;=3),"Berpotensi",IF(AND(E602&lt;=3,E602&gt;=2,F602&gt;=3),"Rawan",IF(AND(E602&lt;=2,F602&lt;=2),"Tidur","Umum"))))))</f>
        <v/>
      </c>
    </row>
    <row r="603">
      <c r="B603">
        <f>IF(A603="","",$B$1-MAXIFS(Donasi!$A$2:$A$20000,Donasi!$B$2:$B$20000,A603))</f>
        <v/>
      </c>
      <c r="C603">
        <f>IF(A603="","",COUNTIF(Donasi!$B$2:$B$20000,A603))</f>
        <v/>
      </c>
      <c r="D603">
        <f>IF(A603="","",SUMIF(Donasi!$B$2:$B$20000,A603,Donasi!$C$2:$C$20000))</f>
        <v/>
      </c>
      <c r="E603">
        <f>IF(A603="","",6-CEILING(PERCENTRANK.INC($B$3:$B$6000,B603,4)*5+0.000001,1))</f>
        <v/>
      </c>
      <c r="F603">
        <f>IF(A603="","",MAX(1,CEILING(PERCENTRANK.INC($C$3:$C$6000,C603,4)*5+0.000001,1)))</f>
        <v/>
      </c>
      <c r="G603">
        <f>IF(A603="","",MAX(1,CEILING(PERCENTRANK.INC($D$3:$D$6000,D603,4)*5+0.000001,1)))</f>
        <v/>
      </c>
      <c r="H603">
        <f>IF(A603="","",E603&amp;F603&amp;G603)</f>
        <v/>
      </c>
      <c r="I603">
        <f>IF(A603="","",IF(AND(E603&gt;=4,F603&gt;=4,G603&gt;=4),"Juara",IF(AND(F603&gt;=4,E603&gt;=3),"Setia",IF(AND(E603=5,F603&lt;=2,G603&gt;=3),"Berpotensi",IF(AND(E603&lt;=3,E603&gt;=2,F603&gt;=3),"Rawan",IF(AND(E603&lt;=2,F603&lt;=2),"Tidur","Umum"))))))</f>
        <v/>
      </c>
    </row>
    <row r="604">
      <c r="B604">
        <f>IF(A604="","",$B$1-MAXIFS(Donasi!$A$2:$A$20000,Donasi!$B$2:$B$20000,A604))</f>
        <v/>
      </c>
      <c r="C604">
        <f>IF(A604="","",COUNTIF(Donasi!$B$2:$B$20000,A604))</f>
        <v/>
      </c>
      <c r="D604">
        <f>IF(A604="","",SUMIF(Donasi!$B$2:$B$20000,A604,Donasi!$C$2:$C$20000))</f>
        <v/>
      </c>
      <c r="E604">
        <f>IF(A604="","",6-CEILING(PERCENTRANK.INC($B$3:$B$6000,B604,4)*5+0.000001,1))</f>
        <v/>
      </c>
      <c r="F604">
        <f>IF(A604="","",MAX(1,CEILING(PERCENTRANK.INC($C$3:$C$6000,C604,4)*5+0.000001,1)))</f>
        <v/>
      </c>
      <c r="G604">
        <f>IF(A604="","",MAX(1,CEILING(PERCENTRANK.INC($D$3:$D$6000,D604,4)*5+0.000001,1)))</f>
        <v/>
      </c>
      <c r="H604">
        <f>IF(A604="","",E604&amp;F604&amp;G604)</f>
        <v/>
      </c>
      <c r="I604">
        <f>IF(A604="","",IF(AND(E604&gt;=4,F604&gt;=4,G604&gt;=4),"Juara",IF(AND(F604&gt;=4,E604&gt;=3),"Setia",IF(AND(E604=5,F604&lt;=2,G604&gt;=3),"Berpotensi",IF(AND(E604&lt;=3,E604&gt;=2,F604&gt;=3),"Rawan",IF(AND(E604&lt;=2,F604&lt;=2),"Tidur","Umum"))))))</f>
        <v/>
      </c>
    </row>
    <row r="605">
      <c r="B605">
        <f>IF(A605="","",$B$1-MAXIFS(Donasi!$A$2:$A$20000,Donasi!$B$2:$B$20000,A605))</f>
        <v/>
      </c>
      <c r="C605">
        <f>IF(A605="","",COUNTIF(Donasi!$B$2:$B$20000,A605))</f>
        <v/>
      </c>
      <c r="D605">
        <f>IF(A605="","",SUMIF(Donasi!$B$2:$B$20000,A605,Donasi!$C$2:$C$20000))</f>
        <v/>
      </c>
      <c r="E605">
        <f>IF(A605="","",6-CEILING(PERCENTRANK.INC($B$3:$B$6000,B605,4)*5+0.000001,1))</f>
        <v/>
      </c>
      <c r="F605">
        <f>IF(A605="","",MAX(1,CEILING(PERCENTRANK.INC($C$3:$C$6000,C605,4)*5+0.000001,1)))</f>
        <v/>
      </c>
      <c r="G605">
        <f>IF(A605="","",MAX(1,CEILING(PERCENTRANK.INC($D$3:$D$6000,D605,4)*5+0.000001,1)))</f>
        <v/>
      </c>
      <c r="H605">
        <f>IF(A605="","",E605&amp;F605&amp;G605)</f>
        <v/>
      </c>
      <c r="I605">
        <f>IF(A605="","",IF(AND(E605&gt;=4,F605&gt;=4,G605&gt;=4),"Juara",IF(AND(F605&gt;=4,E605&gt;=3),"Setia",IF(AND(E605=5,F605&lt;=2,G605&gt;=3),"Berpotensi",IF(AND(E605&lt;=3,E605&gt;=2,F605&gt;=3),"Rawan",IF(AND(E605&lt;=2,F605&lt;=2),"Tidur","Umum"))))))</f>
        <v/>
      </c>
    </row>
    <row r="606">
      <c r="B606">
        <f>IF(A606="","",$B$1-MAXIFS(Donasi!$A$2:$A$20000,Donasi!$B$2:$B$20000,A606))</f>
        <v/>
      </c>
      <c r="C606">
        <f>IF(A606="","",COUNTIF(Donasi!$B$2:$B$20000,A606))</f>
        <v/>
      </c>
      <c r="D606">
        <f>IF(A606="","",SUMIF(Donasi!$B$2:$B$20000,A606,Donasi!$C$2:$C$20000))</f>
        <v/>
      </c>
      <c r="E606">
        <f>IF(A606="","",6-CEILING(PERCENTRANK.INC($B$3:$B$6000,B606,4)*5+0.000001,1))</f>
        <v/>
      </c>
      <c r="F606">
        <f>IF(A606="","",MAX(1,CEILING(PERCENTRANK.INC($C$3:$C$6000,C606,4)*5+0.000001,1)))</f>
        <v/>
      </c>
      <c r="G606">
        <f>IF(A606="","",MAX(1,CEILING(PERCENTRANK.INC($D$3:$D$6000,D606,4)*5+0.000001,1)))</f>
        <v/>
      </c>
      <c r="H606">
        <f>IF(A606="","",E606&amp;F606&amp;G606)</f>
        <v/>
      </c>
      <c r="I606">
        <f>IF(A606="","",IF(AND(E606&gt;=4,F606&gt;=4,G606&gt;=4),"Juara",IF(AND(F606&gt;=4,E606&gt;=3),"Setia",IF(AND(E606=5,F606&lt;=2,G606&gt;=3),"Berpotensi",IF(AND(E606&lt;=3,E606&gt;=2,F606&gt;=3),"Rawan",IF(AND(E606&lt;=2,F606&lt;=2),"Tidur","Umum"))))))</f>
        <v/>
      </c>
    </row>
    <row r="607">
      <c r="B607">
        <f>IF(A607="","",$B$1-MAXIFS(Donasi!$A$2:$A$20000,Donasi!$B$2:$B$20000,A607))</f>
        <v/>
      </c>
      <c r="C607">
        <f>IF(A607="","",COUNTIF(Donasi!$B$2:$B$20000,A607))</f>
        <v/>
      </c>
      <c r="D607">
        <f>IF(A607="","",SUMIF(Donasi!$B$2:$B$20000,A607,Donasi!$C$2:$C$20000))</f>
        <v/>
      </c>
      <c r="E607">
        <f>IF(A607="","",6-CEILING(PERCENTRANK.INC($B$3:$B$6000,B607,4)*5+0.000001,1))</f>
        <v/>
      </c>
      <c r="F607">
        <f>IF(A607="","",MAX(1,CEILING(PERCENTRANK.INC($C$3:$C$6000,C607,4)*5+0.000001,1)))</f>
        <v/>
      </c>
      <c r="G607">
        <f>IF(A607="","",MAX(1,CEILING(PERCENTRANK.INC($D$3:$D$6000,D607,4)*5+0.000001,1)))</f>
        <v/>
      </c>
      <c r="H607">
        <f>IF(A607="","",E607&amp;F607&amp;G607)</f>
        <v/>
      </c>
      <c r="I607">
        <f>IF(A607="","",IF(AND(E607&gt;=4,F607&gt;=4,G607&gt;=4),"Juara",IF(AND(F607&gt;=4,E607&gt;=3),"Setia",IF(AND(E607=5,F607&lt;=2,G607&gt;=3),"Berpotensi",IF(AND(E607&lt;=3,E607&gt;=2,F607&gt;=3),"Rawan",IF(AND(E607&lt;=2,F607&lt;=2),"Tidur","Umum"))))))</f>
        <v/>
      </c>
    </row>
    <row r="608">
      <c r="B608">
        <f>IF(A608="","",$B$1-MAXIFS(Donasi!$A$2:$A$20000,Donasi!$B$2:$B$20000,A608))</f>
        <v/>
      </c>
      <c r="C608">
        <f>IF(A608="","",COUNTIF(Donasi!$B$2:$B$20000,A608))</f>
        <v/>
      </c>
      <c r="D608">
        <f>IF(A608="","",SUMIF(Donasi!$B$2:$B$20000,A608,Donasi!$C$2:$C$20000))</f>
        <v/>
      </c>
      <c r="E608">
        <f>IF(A608="","",6-CEILING(PERCENTRANK.INC($B$3:$B$6000,B608,4)*5+0.000001,1))</f>
        <v/>
      </c>
      <c r="F608">
        <f>IF(A608="","",MAX(1,CEILING(PERCENTRANK.INC($C$3:$C$6000,C608,4)*5+0.000001,1)))</f>
        <v/>
      </c>
      <c r="G608">
        <f>IF(A608="","",MAX(1,CEILING(PERCENTRANK.INC($D$3:$D$6000,D608,4)*5+0.000001,1)))</f>
        <v/>
      </c>
      <c r="H608">
        <f>IF(A608="","",E608&amp;F608&amp;G608)</f>
        <v/>
      </c>
      <c r="I608">
        <f>IF(A608="","",IF(AND(E608&gt;=4,F608&gt;=4,G608&gt;=4),"Juara",IF(AND(F608&gt;=4,E608&gt;=3),"Setia",IF(AND(E608=5,F608&lt;=2,G608&gt;=3),"Berpotensi",IF(AND(E608&lt;=3,E608&gt;=2,F608&gt;=3),"Rawan",IF(AND(E608&lt;=2,F608&lt;=2),"Tidur","Umum"))))))</f>
        <v/>
      </c>
    </row>
    <row r="609">
      <c r="B609">
        <f>IF(A609="","",$B$1-MAXIFS(Donasi!$A$2:$A$20000,Donasi!$B$2:$B$20000,A609))</f>
        <v/>
      </c>
      <c r="C609">
        <f>IF(A609="","",COUNTIF(Donasi!$B$2:$B$20000,A609))</f>
        <v/>
      </c>
      <c r="D609">
        <f>IF(A609="","",SUMIF(Donasi!$B$2:$B$20000,A609,Donasi!$C$2:$C$20000))</f>
        <v/>
      </c>
      <c r="E609">
        <f>IF(A609="","",6-CEILING(PERCENTRANK.INC($B$3:$B$6000,B609,4)*5+0.000001,1))</f>
        <v/>
      </c>
      <c r="F609">
        <f>IF(A609="","",MAX(1,CEILING(PERCENTRANK.INC($C$3:$C$6000,C609,4)*5+0.000001,1)))</f>
        <v/>
      </c>
      <c r="G609">
        <f>IF(A609="","",MAX(1,CEILING(PERCENTRANK.INC($D$3:$D$6000,D609,4)*5+0.000001,1)))</f>
        <v/>
      </c>
      <c r="H609">
        <f>IF(A609="","",E609&amp;F609&amp;G609)</f>
        <v/>
      </c>
      <c r="I609">
        <f>IF(A609="","",IF(AND(E609&gt;=4,F609&gt;=4,G609&gt;=4),"Juara",IF(AND(F609&gt;=4,E609&gt;=3),"Setia",IF(AND(E609=5,F609&lt;=2,G609&gt;=3),"Berpotensi",IF(AND(E609&lt;=3,E609&gt;=2,F609&gt;=3),"Rawan",IF(AND(E609&lt;=2,F609&lt;=2),"Tidur","Umum"))))))</f>
        <v/>
      </c>
    </row>
    <row r="610">
      <c r="B610">
        <f>IF(A610="","",$B$1-MAXIFS(Donasi!$A$2:$A$20000,Donasi!$B$2:$B$20000,A610))</f>
        <v/>
      </c>
      <c r="C610">
        <f>IF(A610="","",COUNTIF(Donasi!$B$2:$B$20000,A610))</f>
        <v/>
      </c>
      <c r="D610">
        <f>IF(A610="","",SUMIF(Donasi!$B$2:$B$20000,A610,Donasi!$C$2:$C$20000))</f>
        <v/>
      </c>
      <c r="E610">
        <f>IF(A610="","",6-CEILING(PERCENTRANK.INC($B$3:$B$6000,B610,4)*5+0.000001,1))</f>
        <v/>
      </c>
      <c r="F610">
        <f>IF(A610="","",MAX(1,CEILING(PERCENTRANK.INC($C$3:$C$6000,C610,4)*5+0.000001,1)))</f>
        <v/>
      </c>
      <c r="G610">
        <f>IF(A610="","",MAX(1,CEILING(PERCENTRANK.INC($D$3:$D$6000,D610,4)*5+0.000001,1)))</f>
        <v/>
      </c>
      <c r="H610">
        <f>IF(A610="","",E610&amp;F610&amp;G610)</f>
        <v/>
      </c>
      <c r="I610">
        <f>IF(A610="","",IF(AND(E610&gt;=4,F610&gt;=4,G610&gt;=4),"Juara",IF(AND(F610&gt;=4,E610&gt;=3),"Setia",IF(AND(E610=5,F610&lt;=2,G610&gt;=3),"Berpotensi",IF(AND(E610&lt;=3,E610&gt;=2,F610&gt;=3),"Rawan",IF(AND(E610&lt;=2,F610&lt;=2),"Tidur","Umum"))))))</f>
        <v/>
      </c>
    </row>
    <row r="611">
      <c r="B611">
        <f>IF(A611="","",$B$1-MAXIFS(Donasi!$A$2:$A$20000,Donasi!$B$2:$B$20000,A611))</f>
        <v/>
      </c>
      <c r="C611">
        <f>IF(A611="","",COUNTIF(Donasi!$B$2:$B$20000,A611))</f>
        <v/>
      </c>
      <c r="D611">
        <f>IF(A611="","",SUMIF(Donasi!$B$2:$B$20000,A611,Donasi!$C$2:$C$20000))</f>
        <v/>
      </c>
      <c r="E611">
        <f>IF(A611="","",6-CEILING(PERCENTRANK.INC($B$3:$B$6000,B611,4)*5+0.000001,1))</f>
        <v/>
      </c>
      <c r="F611">
        <f>IF(A611="","",MAX(1,CEILING(PERCENTRANK.INC($C$3:$C$6000,C611,4)*5+0.000001,1)))</f>
        <v/>
      </c>
      <c r="G611">
        <f>IF(A611="","",MAX(1,CEILING(PERCENTRANK.INC($D$3:$D$6000,D611,4)*5+0.000001,1)))</f>
        <v/>
      </c>
      <c r="H611">
        <f>IF(A611="","",E611&amp;F611&amp;G611)</f>
        <v/>
      </c>
      <c r="I611">
        <f>IF(A611="","",IF(AND(E611&gt;=4,F611&gt;=4,G611&gt;=4),"Juara",IF(AND(F611&gt;=4,E611&gt;=3),"Setia",IF(AND(E611=5,F611&lt;=2,G611&gt;=3),"Berpotensi",IF(AND(E611&lt;=3,E611&gt;=2,F611&gt;=3),"Rawan",IF(AND(E611&lt;=2,F611&lt;=2),"Tidur","Umum"))))))</f>
        <v/>
      </c>
    </row>
    <row r="612">
      <c r="B612">
        <f>IF(A612="","",$B$1-MAXIFS(Donasi!$A$2:$A$20000,Donasi!$B$2:$B$20000,A612))</f>
        <v/>
      </c>
      <c r="C612">
        <f>IF(A612="","",COUNTIF(Donasi!$B$2:$B$20000,A612))</f>
        <v/>
      </c>
      <c r="D612">
        <f>IF(A612="","",SUMIF(Donasi!$B$2:$B$20000,A612,Donasi!$C$2:$C$20000))</f>
        <v/>
      </c>
      <c r="E612">
        <f>IF(A612="","",6-CEILING(PERCENTRANK.INC($B$3:$B$6000,B612,4)*5+0.000001,1))</f>
        <v/>
      </c>
      <c r="F612">
        <f>IF(A612="","",MAX(1,CEILING(PERCENTRANK.INC($C$3:$C$6000,C612,4)*5+0.000001,1)))</f>
        <v/>
      </c>
      <c r="G612">
        <f>IF(A612="","",MAX(1,CEILING(PERCENTRANK.INC($D$3:$D$6000,D612,4)*5+0.000001,1)))</f>
        <v/>
      </c>
      <c r="H612">
        <f>IF(A612="","",E612&amp;F612&amp;G612)</f>
        <v/>
      </c>
      <c r="I612">
        <f>IF(A612="","",IF(AND(E612&gt;=4,F612&gt;=4,G612&gt;=4),"Juara",IF(AND(F612&gt;=4,E612&gt;=3),"Setia",IF(AND(E612=5,F612&lt;=2,G612&gt;=3),"Berpotensi",IF(AND(E612&lt;=3,E612&gt;=2,F612&gt;=3),"Rawan",IF(AND(E612&lt;=2,F612&lt;=2),"Tidur","Umum"))))))</f>
        <v/>
      </c>
    </row>
    <row r="613">
      <c r="B613">
        <f>IF(A613="","",$B$1-MAXIFS(Donasi!$A$2:$A$20000,Donasi!$B$2:$B$20000,A613))</f>
        <v/>
      </c>
      <c r="C613">
        <f>IF(A613="","",COUNTIF(Donasi!$B$2:$B$20000,A613))</f>
        <v/>
      </c>
      <c r="D613">
        <f>IF(A613="","",SUMIF(Donasi!$B$2:$B$20000,A613,Donasi!$C$2:$C$20000))</f>
        <v/>
      </c>
      <c r="E613">
        <f>IF(A613="","",6-CEILING(PERCENTRANK.INC($B$3:$B$6000,B613,4)*5+0.000001,1))</f>
        <v/>
      </c>
      <c r="F613">
        <f>IF(A613="","",MAX(1,CEILING(PERCENTRANK.INC($C$3:$C$6000,C613,4)*5+0.000001,1)))</f>
        <v/>
      </c>
      <c r="G613">
        <f>IF(A613="","",MAX(1,CEILING(PERCENTRANK.INC($D$3:$D$6000,D613,4)*5+0.000001,1)))</f>
        <v/>
      </c>
      <c r="H613">
        <f>IF(A613="","",E613&amp;F613&amp;G613)</f>
        <v/>
      </c>
      <c r="I613">
        <f>IF(A613="","",IF(AND(E613&gt;=4,F613&gt;=4,G613&gt;=4),"Juara",IF(AND(F613&gt;=4,E613&gt;=3),"Setia",IF(AND(E613=5,F613&lt;=2,G613&gt;=3),"Berpotensi",IF(AND(E613&lt;=3,E613&gt;=2,F613&gt;=3),"Rawan",IF(AND(E613&lt;=2,F613&lt;=2),"Tidur","Umum"))))))</f>
        <v/>
      </c>
    </row>
    <row r="614">
      <c r="B614">
        <f>IF(A614="","",$B$1-MAXIFS(Donasi!$A$2:$A$20000,Donasi!$B$2:$B$20000,A614))</f>
        <v/>
      </c>
      <c r="C614">
        <f>IF(A614="","",COUNTIF(Donasi!$B$2:$B$20000,A614))</f>
        <v/>
      </c>
      <c r="D614">
        <f>IF(A614="","",SUMIF(Donasi!$B$2:$B$20000,A614,Donasi!$C$2:$C$20000))</f>
        <v/>
      </c>
      <c r="E614">
        <f>IF(A614="","",6-CEILING(PERCENTRANK.INC($B$3:$B$6000,B614,4)*5+0.000001,1))</f>
        <v/>
      </c>
      <c r="F614">
        <f>IF(A614="","",MAX(1,CEILING(PERCENTRANK.INC($C$3:$C$6000,C614,4)*5+0.000001,1)))</f>
        <v/>
      </c>
      <c r="G614">
        <f>IF(A614="","",MAX(1,CEILING(PERCENTRANK.INC($D$3:$D$6000,D614,4)*5+0.000001,1)))</f>
        <v/>
      </c>
      <c r="H614">
        <f>IF(A614="","",E614&amp;F614&amp;G614)</f>
        <v/>
      </c>
      <c r="I614">
        <f>IF(A614="","",IF(AND(E614&gt;=4,F614&gt;=4,G614&gt;=4),"Juara",IF(AND(F614&gt;=4,E614&gt;=3),"Setia",IF(AND(E614=5,F614&lt;=2,G614&gt;=3),"Berpotensi",IF(AND(E614&lt;=3,E614&gt;=2,F614&gt;=3),"Rawan",IF(AND(E614&lt;=2,F614&lt;=2),"Tidur","Umum"))))))</f>
        <v/>
      </c>
    </row>
    <row r="615">
      <c r="B615">
        <f>IF(A615="","",$B$1-MAXIFS(Donasi!$A$2:$A$20000,Donasi!$B$2:$B$20000,A615))</f>
        <v/>
      </c>
      <c r="C615">
        <f>IF(A615="","",COUNTIF(Donasi!$B$2:$B$20000,A615))</f>
        <v/>
      </c>
      <c r="D615">
        <f>IF(A615="","",SUMIF(Donasi!$B$2:$B$20000,A615,Donasi!$C$2:$C$20000))</f>
        <v/>
      </c>
      <c r="E615">
        <f>IF(A615="","",6-CEILING(PERCENTRANK.INC($B$3:$B$6000,B615,4)*5+0.000001,1))</f>
        <v/>
      </c>
      <c r="F615">
        <f>IF(A615="","",MAX(1,CEILING(PERCENTRANK.INC($C$3:$C$6000,C615,4)*5+0.000001,1)))</f>
        <v/>
      </c>
      <c r="G615">
        <f>IF(A615="","",MAX(1,CEILING(PERCENTRANK.INC($D$3:$D$6000,D615,4)*5+0.000001,1)))</f>
        <v/>
      </c>
      <c r="H615">
        <f>IF(A615="","",E615&amp;F615&amp;G615)</f>
        <v/>
      </c>
      <c r="I615">
        <f>IF(A615="","",IF(AND(E615&gt;=4,F615&gt;=4,G615&gt;=4),"Juara",IF(AND(F615&gt;=4,E615&gt;=3),"Setia",IF(AND(E615=5,F615&lt;=2,G615&gt;=3),"Berpotensi",IF(AND(E615&lt;=3,E615&gt;=2,F615&gt;=3),"Rawan",IF(AND(E615&lt;=2,F615&lt;=2),"Tidur","Umum"))))))</f>
        <v/>
      </c>
    </row>
    <row r="616">
      <c r="B616">
        <f>IF(A616="","",$B$1-MAXIFS(Donasi!$A$2:$A$20000,Donasi!$B$2:$B$20000,A616))</f>
        <v/>
      </c>
      <c r="C616">
        <f>IF(A616="","",COUNTIF(Donasi!$B$2:$B$20000,A616))</f>
        <v/>
      </c>
      <c r="D616">
        <f>IF(A616="","",SUMIF(Donasi!$B$2:$B$20000,A616,Donasi!$C$2:$C$20000))</f>
        <v/>
      </c>
      <c r="E616">
        <f>IF(A616="","",6-CEILING(PERCENTRANK.INC($B$3:$B$6000,B616,4)*5+0.000001,1))</f>
        <v/>
      </c>
      <c r="F616">
        <f>IF(A616="","",MAX(1,CEILING(PERCENTRANK.INC($C$3:$C$6000,C616,4)*5+0.000001,1)))</f>
        <v/>
      </c>
      <c r="G616">
        <f>IF(A616="","",MAX(1,CEILING(PERCENTRANK.INC($D$3:$D$6000,D616,4)*5+0.000001,1)))</f>
        <v/>
      </c>
      <c r="H616">
        <f>IF(A616="","",E616&amp;F616&amp;G616)</f>
        <v/>
      </c>
      <c r="I616">
        <f>IF(A616="","",IF(AND(E616&gt;=4,F616&gt;=4,G616&gt;=4),"Juara",IF(AND(F616&gt;=4,E616&gt;=3),"Setia",IF(AND(E616=5,F616&lt;=2,G616&gt;=3),"Berpotensi",IF(AND(E616&lt;=3,E616&gt;=2,F616&gt;=3),"Rawan",IF(AND(E616&lt;=2,F616&lt;=2),"Tidur","Umum"))))))</f>
        <v/>
      </c>
    </row>
    <row r="617">
      <c r="B617">
        <f>IF(A617="","",$B$1-MAXIFS(Donasi!$A$2:$A$20000,Donasi!$B$2:$B$20000,A617))</f>
        <v/>
      </c>
      <c r="C617">
        <f>IF(A617="","",COUNTIF(Donasi!$B$2:$B$20000,A617))</f>
        <v/>
      </c>
      <c r="D617">
        <f>IF(A617="","",SUMIF(Donasi!$B$2:$B$20000,A617,Donasi!$C$2:$C$20000))</f>
        <v/>
      </c>
      <c r="E617">
        <f>IF(A617="","",6-CEILING(PERCENTRANK.INC($B$3:$B$6000,B617,4)*5+0.000001,1))</f>
        <v/>
      </c>
      <c r="F617">
        <f>IF(A617="","",MAX(1,CEILING(PERCENTRANK.INC($C$3:$C$6000,C617,4)*5+0.000001,1)))</f>
        <v/>
      </c>
      <c r="G617">
        <f>IF(A617="","",MAX(1,CEILING(PERCENTRANK.INC($D$3:$D$6000,D617,4)*5+0.000001,1)))</f>
        <v/>
      </c>
      <c r="H617">
        <f>IF(A617="","",E617&amp;F617&amp;G617)</f>
        <v/>
      </c>
      <c r="I617">
        <f>IF(A617="","",IF(AND(E617&gt;=4,F617&gt;=4,G617&gt;=4),"Juara",IF(AND(F617&gt;=4,E617&gt;=3),"Setia",IF(AND(E617=5,F617&lt;=2,G617&gt;=3),"Berpotensi",IF(AND(E617&lt;=3,E617&gt;=2,F617&gt;=3),"Rawan",IF(AND(E617&lt;=2,F617&lt;=2),"Tidur","Umum"))))))</f>
        <v/>
      </c>
    </row>
    <row r="618">
      <c r="B618">
        <f>IF(A618="","",$B$1-MAXIFS(Donasi!$A$2:$A$20000,Donasi!$B$2:$B$20000,A618))</f>
        <v/>
      </c>
      <c r="C618">
        <f>IF(A618="","",COUNTIF(Donasi!$B$2:$B$20000,A618))</f>
        <v/>
      </c>
      <c r="D618">
        <f>IF(A618="","",SUMIF(Donasi!$B$2:$B$20000,A618,Donasi!$C$2:$C$20000))</f>
        <v/>
      </c>
      <c r="E618">
        <f>IF(A618="","",6-CEILING(PERCENTRANK.INC($B$3:$B$6000,B618,4)*5+0.000001,1))</f>
        <v/>
      </c>
      <c r="F618">
        <f>IF(A618="","",MAX(1,CEILING(PERCENTRANK.INC($C$3:$C$6000,C618,4)*5+0.000001,1)))</f>
        <v/>
      </c>
      <c r="G618">
        <f>IF(A618="","",MAX(1,CEILING(PERCENTRANK.INC($D$3:$D$6000,D618,4)*5+0.000001,1)))</f>
        <v/>
      </c>
      <c r="H618">
        <f>IF(A618="","",E618&amp;F618&amp;G618)</f>
        <v/>
      </c>
      <c r="I618">
        <f>IF(A618="","",IF(AND(E618&gt;=4,F618&gt;=4,G618&gt;=4),"Juara",IF(AND(F618&gt;=4,E618&gt;=3),"Setia",IF(AND(E618=5,F618&lt;=2,G618&gt;=3),"Berpotensi",IF(AND(E618&lt;=3,E618&gt;=2,F618&gt;=3),"Rawan",IF(AND(E618&lt;=2,F618&lt;=2),"Tidur","Umum"))))))</f>
        <v/>
      </c>
    </row>
    <row r="619">
      <c r="B619">
        <f>IF(A619="","",$B$1-MAXIFS(Donasi!$A$2:$A$20000,Donasi!$B$2:$B$20000,A619))</f>
        <v/>
      </c>
      <c r="C619">
        <f>IF(A619="","",COUNTIF(Donasi!$B$2:$B$20000,A619))</f>
        <v/>
      </c>
      <c r="D619">
        <f>IF(A619="","",SUMIF(Donasi!$B$2:$B$20000,A619,Donasi!$C$2:$C$20000))</f>
        <v/>
      </c>
      <c r="E619">
        <f>IF(A619="","",6-CEILING(PERCENTRANK.INC($B$3:$B$6000,B619,4)*5+0.000001,1))</f>
        <v/>
      </c>
      <c r="F619">
        <f>IF(A619="","",MAX(1,CEILING(PERCENTRANK.INC($C$3:$C$6000,C619,4)*5+0.000001,1)))</f>
        <v/>
      </c>
      <c r="G619">
        <f>IF(A619="","",MAX(1,CEILING(PERCENTRANK.INC($D$3:$D$6000,D619,4)*5+0.000001,1)))</f>
        <v/>
      </c>
      <c r="H619">
        <f>IF(A619="","",E619&amp;F619&amp;G619)</f>
        <v/>
      </c>
      <c r="I619">
        <f>IF(A619="","",IF(AND(E619&gt;=4,F619&gt;=4,G619&gt;=4),"Juara",IF(AND(F619&gt;=4,E619&gt;=3),"Setia",IF(AND(E619=5,F619&lt;=2,G619&gt;=3),"Berpotensi",IF(AND(E619&lt;=3,E619&gt;=2,F619&gt;=3),"Rawan",IF(AND(E619&lt;=2,F619&lt;=2),"Tidur","Umum"))))))</f>
        <v/>
      </c>
    </row>
    <row r="620">
      <c r="B620">
        <f>IF(A620="","",$B$1-MAXIFS(Donasi!$A$2:$A$20000,Donasi!$B$2:$B$20000,A620))</f>
        <v/>
      </c>
      <c r="C620">
        <f>IF(A620="","",COUNTIF(Donasi!$B$2:$B$20000,A620))</f>
        <v/>
      </c>
      <c r="D620">
        <f>IF(A620="","",SUMIF(Donasi!$B$2:$B$20000,A620,Donasi!$C$2:$C$20000))</f>
        <v/>
      </c>
      <c r="E620">
        <f>IF(A620="","",6-CEILING(PERCENTRANK.INC($B$3:$B$6000,B620,4)*5+0.000001,1))</f>
        <v/>
      </c>
      <c r="F620">
        <f>IF(A620="","",MAX(1,CEILING(PERCENTRANK.INC($C$3:$C$6000,C620,4)*5+0.000001,1)))</f>
        <v/>
      </c>
      <c r="G620">
        <f>IF(A620="","",MAX(1,CEILING(PERCENTRANK.INC($D$3:$D$6000,D620,4)*5+0.000001,1)))</f>
        <v/>
      </c>
      <c r="H620">
        <f>IF(A620="","",E620&amp;F620&amp;G620)</f>
        <v/>
      </c>
      <c r="I620">
        <f>IF(A620="","",IF(AND(E620&gt;=4,F620&gt;=4,G620&gt;=4),"Juara",IF(AND(F620&gt;=4,E620&gt;=3),"Setia",IF(AND(E620=5,F620&lt;=2,G620&gt;=3),"Berpotensi",IF(AND(E620&lt;=3,E620&gt;=2,F620&gt;=3),"Rawan",IF(AND(E620&lt;=2,F620&lt;=2),"Tidur","Umum"))))))</f>
        <v/>
      </c>
    </row>
    <row r="621">
      <c r="B621">
        <f>IF(A621="","",$B$1-MAXIFS(Donasi!$A$2:$A$20000,Donasi!$B$2:$B$20000,A621))</f>
        <v/>
      </c>
      <c r="C621">
        <f>IF(A621="","",COUNTIF(Donasi!$B$2:$B$20000,A621))</f>
        <v/>
      </c>
      <c r="D621">
        <f>IF(A621="","",SUMIF(Donasi!$B$2:$B$20000,A621,Donasi!$C$2:$C$20000))</f>
        <v/>
      </c>
      <c r="E621">
        <f>IF(A621="","",6-CEILING(PERCENTRANK.INC($B$3:$B$6000,B621,4)*5+0.000001,1))</f>
        <v/>
      </c>
      <c r="F621">
        <f>IF(A621="","",MAX(1,CEILING(PERCENTRANK.INC($C$3:$C$6000,C621,4)*5+0.000001,1)))</f>
        <v/>
      </c>
      <c r="G621">
        <f>IF(A621="","",MAX(1,CEILING(PERCENTRANK.INC($D$3:$D$6000,D621,4)*5+0.000001,1)))</f>
        <v/>
      </c>
      <c r="H621">
        <f>IF(A621="","",E621&amp;F621&amp;G621)</f>
        <v/>
      </c>
      <c r="I621">
        <f>IF(A621="","",IF(AND(E621&gt;=4,F621&gt;=4,G621&gt;=4),"Juara",IF(AND(F621&gt;=4,E621&gt;=3),"Setia",IF(AND(E621=5,F621&lt;=2,G621&gt;=3),"Berpotensi",IF(AND(E621&lt;=3,E621&gt;=2,F621&gt;=3),"Rawan",IF(AND(E621&lt;=2,F621&lt;=2),"Tidur","Umum"))))))</f>
        <v/>
      </c>
    </row>
    <row r="622">
      <c r="B622">
        <f>IF(A622="","",$B$1-MAXIFS(Donasi!$A$2:$A$20000,Donasi!$B$2:$B$20000,A622))</f>
        <v/>
      </c>
      <c r="C622">
        <f>IF(A622="","",COUNTIF(Donasi!$B$2:$B$20000,A622))</f>
        <v/>
      </c>
      <c r="D622">
        <f>IF(A622="","",SUMIF(Donasi!$B$2:$B$20000,A622,Donasi!$C$2:$C$20000))</f>
        <v/>
      </c>
      <c r="E622">
        <f>IF(A622="","",6-CEILING(PERCENTRANK.INC($B$3:$B$6000,B622,4)*5+0.000001,1))</f>
        <v/>
      </c>
      <c r="F622">
        <f>IF(A622="","",MAX(1,CEILING(PERCENTRANK.INC($C$3:$C$6000,C622,4)*5+0.000001,1)))</f>
        <v/>
      </c>
      <c r="G622">
        <f>IF(A622="","",MAX(1,CEILING(PERCENTRANK.INC($D$3:$D$6000,D622,4)*5+0.000001,1)))</f>
        <v/>
      </c>
      <c r="H622">
        <f>IF(A622="","",E622&amp;F622&amp;G622)</f>
        <v/>
      </c>
      <c r="I622">
        <f>IF(A622="","",IF(AND(E622&gt;=4,F622&gt;=4,G622&gt;=4),"Juara",IF(AND(F622&gt;=4,E622&gt;=3),"Setia",IF(AND(E622=5,F622&lt;=2,G622&gt;=3),"Berpotensi",IF(AND(E622&lt;=3,E622&gt;=2,F622&gt;=3),"Rawan",IF(AND(E622&lt;=2,F622&lt;=2),"Tidur","Umum"))))))</f>
        <v/>
      </c>
    </row>
    <row r="623">
      <c r="B623">
        <f>IF(A623="","",$B$1-MAXIFS(Donasi!$A$2:$A$20000,Donasi!$B$2:$B$20000,A623))</f>
        <v/>
      </c>
      <c r="C623">
        <f>IF(A623="","",COUNTIF(Donasi!$B$2:$B$20000,A623))</f>
        <v/>
      </c>
      <c r="D623">
        <f>IF(A623="","",SUMIF(Donasi!$B$2:$B$20000,A623,Donasi!$C$2:$C$20000))</f>
        <v/>
      </c>
      <c r="E623">
        <f>IF(A623="","",6-CEILING(PERCENTRANK.INC($B$3:$B$6000,B623,4)*5+0.000001,1))</f>
        <v/>
      </c>
      <c r="F623">
        <f>IF(A623="","",MAX(1,CEILING(PERCENTRANK.INC($C$3:$C$6000,C623,4)*5+0.000001,1)))</f>
        <v/>
      </c>
      <c r="G623">
        <f>IF(A623="","",MAX(1,CEILING(PERCENTRANK.INC($D$3:$D$6000,D623,4)*5+0.000001,1)))</f>
        <v/>
      </c>
      <c r="H623">
        <f>IF(A623="","",E623&amp;F623&amp;G623)</f>
        <v/>
      </c>
      <c r="I623">
        <f>IF(A623="","",IF(AND(E623&gt;=4,F623&gt;=4,G623&gt;=4),"Juara",IF(AND(F623&gt;=4,E623&gt;=3),"Setia",IF(AND(E623=5,F623&lt;=2,G623&gt;=3),"Berpotensi",IF(AND(E623&lt;=3,E623&gt;=2,F623&gt;=3),"Rawan",IF(AND(E623&lt;=2,F623&lt;=2),"Tidur","Umum"))))))</f>
        <v/>
      </c>
    </row>
    <row r="624">
      <c r="B624">
        <f>IF(A624="","",$B$1-MAXIFS(Donasi!$A$2:$A$20000,Donasi!$B$2:$B$20000,A624))</f>
        <v/>
      </c>
      <c r="C624">
        <f>IF(A624="","",COUNTIF(Donasi!$B$2:$B$20000,A624))</f>
        <v/>
      </c>
      <c r="D624">
        <f>IF(A624="","",SUMIF(Donasi!$B$2:$B$20000,A624,Donasi!$C$2:$C$20000))</f>
        <v/>
      </c>
      <c r="E624">
        <f>IF(A624="","",6-CEILING(PERCENTRANK.INC($B$3:$B$6000,B624,4)*5+0.000001,1))</f>
        <v/>
      </c>
      <c r="F624">
        <f>IF(A624="","",MAX(1,CEILING(PERCENTRANK.INC($C$3:$C$6000,C624,4)*5+0.000001,1)))</f>
        <v/>
      </c>
      <c r="G624">
        <f>IF(A624="","",MAX(1,CEILING(PERCENTRANK.INC($D$3:$D$6000,D624,4)*5+0.000001,1)))</f>
        <v/>
      </c>
      <c r="H624">
        <f>IF(A624="","",E624&amp;F624&amp;G624)</f>
        <v/>
      </c>
      <c r="I624">
        <f>IF(A624="","",IF(AND(E624&gt;=4,F624&gt;=4,G624&gt;=4),"Juara",IF(AND(F624&gt;=4,E624&gt;=3),"Setia",IF(AND(E624=5,F624&lt;=2,G624&gt;=3),"Berpotensi",IF(AND(E624&lt;=3,E624&gt;=2,F624&gt;=3),"Rawan",IF(AND(E624&lt;=2,F624&lt;=2),"Tidur","Umum"))))))</f>
        <v/>
      </c>
    </row>
    <row r="625">
      <c r="B625">
        <f>IF(A625="","",$B$1-MAXIFS(Donasi!$A$2:$A$20000,Donasi!$B$2:$B$20000,A625))</f>
        <v/>
      </c>
      <c r="C625">
        <f>IF(A625="","",COUNTIF(Donasi!$B$2:$B$20000,A625))</f>
        <v/>
      </c>
      <c r="D625">
        <f>IF(A625="","",SUMIF(Donasi!$B$2:$B$20000,A625,Donasi!$C$2:$C$20000))</f>
        <v/>
      </c>
      <c r="E625">
        <f>IF(A625="","",6-CEILING(PERCENTRANK.INC($B$3:$B$6000,B625,4)*5+0.000001,1))</f>
        <v/>
      </c>
      <c r="F625">
        <f>IF(A625="","",MAX(1,CEILING(PERCENTRANK.INC($C$3:$C$6000,C625,4)*5+0.000001,1)))</f>
        <v/>
      </c>
      <c r="G625">
        <f>IF(A625="","",MAX(1,CEILING(PERCENTRANK.INC($D$3:$D$6000,D625,4)*5+0.000001,1)))</f>
        <v/>
      </c>
      <c r="H625">
        <f>IF(A625="","",E625&amp;F625&amp;G625)</f>
        <v/>
      </c>
      <c r="I625">
        <f>IF(A625="","",IF(AND(E625&gt;=4,F625&gt;=4,G625&gt;=4),"Juara",IF(AND(F625&gt;=4,E625&gt;=3),"Setia",IF(AND(E625=5,F625&lt;=2,G625&gt;=3),"Berpotensi",IF(AND(E625&lt;=3,E625&gt;=2,F625&gt;=3),"Rawan",IF(AND(E625&lt;=2,F625&lt;=2),"Tidur","Umum"))))))</f>
        <v/>
      </c>
    </row>
    <row r="626">
      <c r="B626">
        <f>IF(A626="","",$B$1-MAXIFS(Donasi!$A$2:$A$20000,Donasi!$B$2:$B$20000,A626))</f>
        <v/>
      </c>
      <c r="C626">
        <f>IF(A626="","",COUNTIF(Donasi!$B$2:$B$20000,A626))</f>
        <v/>
      </c>
      <c r="D626">
        <f>IF(A626="","",SUMIF(Donasi!$B$2:$B$20000,A626,Donasi!$C$2:$C$20000))</f>
        <v/>
      </c>
      <c r="E626">
        <f>IF(A626="","",6-CEILING(PERCENTRANK.INC($B$3:$B$6000,B626,4)*5+0.000001,1))</f>
        <v/>
      </c>
      <c r="F626">
        <f>IF(A626="","",MAX(1,CEILING(PERCENTRANK.INC($C$3:$C$6000,C626,4)*5+0.000001,1)))</f>
        <v/>
      </c>
      <c r="G626">
        <f>IF(A626="","",MAX(1,CEILING(PERCENTRANK.INC($D$3:$D$6000,D626,4)*5+0.000001,1)))</f>
        <v/>
      </c>
      <c r="H626">
        <f>IF(A626="","",E626&amp;F626&amp;G626)</f>
        <v/>
      </c>
      <c r="I626">
        <f>IF(A626="","",IF(AND(E626&gt;=4,F626&gt;=4,G626&gt;=4),"Juara",IF(AND(F626&gt;=4,E626&gt;=3),"Setia",IF(AND(E626=5,F626&lt;=2,G626&gt;=3),"Berpotensi",IF(AND(E626&lt;=3,E626&gt;=2,F626&gt;=3),"Rawan",IF(AND(E626&lt;=2,F626&lt;=2),"Tidur","Umum"))))))</f>
        <v/>
      </c>
    </row>
    <row r="627">
      <c r="B627">
        <f>IF(A627="","",$B$1-MAXIFS(Donasi!$A$2:$A$20000,Donasi!$B$2:$B$20000,A627))</f>
        <v/>
      </c>
      <c r="C627">
        <f>IF(A627="","",COUNTIF(Donasi!$B$2:$B$20000,A627))</f>
        <v/>
      </c>
      <c r="D627">
        <f>IF(A627="","",SUMIF(Donasi!$B$2:$B$20000,A627,Donasi!$C$2:$C$20000))</f>
        <v/>
      </c>
      <c r="E627">
        <f>IF(A627="","",6-CEILING(PERCENTRANK.INC($B$3:$B$6000,B627,4)*5+0.000001,1))</f>
        <v/>
      </c>
      <c r="F627">
        <f>IF(A627="","",MAX(1,CEILING(PERCENTRANK.INC($C$3:$C$6000,C627,4)*5+0.000001,1)))</f>
        <v/>
      </c>
      <c r="G627">
        <f>IF(A627="","",MAX(1,CEILING(PERCENTRANK.INC($D$3:$D$6000,D627,4)*5+0.000001,1)))</f>
        <v/>
      </c>
      <c r="H627">
        <f>IF(A627="","",E627&amp;F627&amp;G627)</f>
        <v/>
      </c>
      <c r="I627">
        <f>IF(A627="","",IF(AND(E627&gt;=4,F627&gt;=4,G627&gt;=4),"Juara",IF(AND(F627&gt;=4,E627&gt;=3),"Setia",IF(AND(E627=5,F627&lt;=2,G627&gt;=3),"Berpotensi",IF(AND(E627&lt;=3,E627&gt;=2,F627&gt;=3),"Rawan",IF(AND(E627&lt;=2,F627&lt;=2),"Tidur","Umum"))))))</f>
        <v/>
      </c>
    </row>
    <row r="628">
      <c r="B628">
        <f>IF(A628="","",$B$1-MAXIFS(Donasi!$A$2:$A$20000,Donasi!$B$2:$B$20000,A628))</f>
        <v/>
      </c>
      <c r="C628">
        <f>IF(A628="","",COUNTIF(Donasi!$B$2:$B$20000,A628))</f>
        <v/>
      </c>
      <c r="D628">
        <f>IF(A628="","",SUMIF(Donasi!$B$2:$B$20000,A628,Donasi!$C$2:$C$20000))</f>
        <v/>
      </c>
      <c r="E628">
        <f>IF(A628="","",6-CEILING(PERCENTRANK.INC($B$3:$B$6000,B628,4)*5+0.000001,1))</f>
        <v/>
      </c>
      <c r="F628">
        <f>IF(A628="","",MAX(1,CEILING(PERCENTRANK.INC($C$3:$C$6000,C628,4)*5+0.000001,1)))</f>
        <v/>
      </c>
      <c r="G628">
        <f>IF(A628="","",MAX(1,CEILING(PERCENTRANK.INC($D$3:$D$6000,D628,4)*5+0.000001,1)))</f>
        <v/>
      </c>
      <c r="H628">
        <f>IF(A628="","",E628&amp;F628&amp;G628)</f>
        <v/>
      </c>
      <c r="I628">
        <f>IF(A628="","",IF(AND(E628&gt;=4,F628&gt;=4,G628&gt;=4),"Juara",IF(AND(F628&gt;=4,E628&gt;=3),"Setia",IF(AND(E628=5,F628&lt;=2,G628&gt;=3),"Berpotensi",IF(AND(E628&lt;=3,E628&gt;=2,F628&gt;=3),"Rawan",IF(AND(E628&lt;=2,F628&lt;=2),"Tidur","Umum"))))))</f>
        <v/>
      </c>
    </row>
    <row r="629">
      <c r="B629">
        <f>IF(A629="","",$B$1-MAXIFS(Donasi!$A$2:$A$20000,Donasi!$B$2:$B$20000,A629))</f>
        <v/>
      </c>
      <c r="C629">
        <f>IF(A629="","",COUNTIF(Donasi!$B$2:$B$20000,A629))</f>
        <v/>
      </c>
      <c r="D629">
        <f>IF(A629="","",SUMIF(Donasi!$B$2:$B$20000,A629,Donasi!$C$2:$C$20000))</f>
        <v/>
      </c>
      <c r="E629">
        <f>IF(A629="","",6-CEILING(PERCENTRANK.INC($B$3:$B$6000,B629,4)*5+0.000001,1))</f>
        <v/>
      </c>
      <c r="F629">
        <f>IF(A629="","",MAX(1,CEILING(PERCENTRANK.INC($C$3:$C$6000,C629,4)*5+0.000001,1)))</f>
        <v/>
      </c>
      <c r="G629">
        <f>IF(A629="","",MAX(1,CEILING(PERCENTRANK.INC($D$3:$D$6000,D629,4)*5+0.000001,1)))</f>
        <v/>
      </c>
      <c r="H629">
        <f>IF(A629="","",E629&amp;F629&amp;G629)</f>
        <v/>
      </c>
      <c r="I629">
        <f>IF(A629="","",IF(AND(E629&gt;=4,F629&gt;=4,G629&gt;=4),"Juara",IF(AND(F629&gt;=4,E629&gt;=3),"Setia",IF(AND(E629=5,F629&lt;=2,G629&gt;=3),"Berpotensi",IF(AND(E629&lt;=3,E629&gt;=2,F629&gt;=3),"Rawan",IF(AND(E629&lt;=2,F629&lt;=2),"Tidur","Umum"))))))</f>
        <v/>
      </c>
    </row>
    <row r="630">
      <c r="B630">
        <f>IF(A630="","",$B$1-MAXIFS(Donasi!$A$2:$A$20000,Donasi!$B$2:$B$20000,A630))</f>
        <v/>
      </c>
      <c r="C630">
        <f>IF(A630="","",COUNTIF(Donasi!$B$2:$B$20000,A630))</f>
        <v/>
      </c>
      <c r="D630">
        <f>IF(A630="","",SUMIF(Donasi!$B$2:$B$20000,A630,Donasi!$C$2:$C$20000))</f>
        <v/>
      </c>
      <c r="E630">
        <f>IF(A630="","",6-CEILING(PERCENTRANK.INC($B$3:$B$6000,B630,4)*5+0.000001,1))</f>
        <v/>
      </c>
      <c r="F630">
        <f>IF(A630="","",MAX(1,CEILING(PERCENTRANK.INC($C$3:$C$6000,C630,4)*5+0.000001,1)))</f>
        <v/>
      </c>
      <c r="G630">
        <f>IF(A630="","",MAX(1,CEILING(PERCENTRANK.INC($D$3:$D$6000,D630,4)*5+0.000001,1)))</f>
        <v/>
      </c>
      <c r="H630">
        <f>IF(A630="","",E630&amp;F630&amp;G630)</f>
        <v/>
      </c>
      <c r="I630">
        <f>IF(A630="","",IF(AND(E630&gt;=4,F630&gt;=4,G630&gt;=4),"Juara",IF(AND(F630&gt;=4,E630&gt;=3),"Setia",IF(AND(E630=5,F630&lt;=2,G630&gt;=3),"Berpotensi",IF(AND(E630&lt;=3,E630&gt;=2,F630&gt;=3),"Rawan",IF(AND(E630&lt;=2,F630&lt;=2),"Tidur","Umum"))))))</f>
        <v/>
      </c>
    </row>
    <row r="631">
      <c r="B631">
        <f>IF(A631="","",$B$1-MAXIFS(Donasi!$A$2:$A$20000,Donasi!$B$2:$B$20000,A631))</f>
        <v/>
      </c>
      <c r="C631">
        <f>IF(A631="","",COUNTIF(Donasi!$B$2:$B$20000,A631))</f>
        <v/>
      </c>
      <c r="D631">
        <f>IF(A631="","",SUMIF(Donasi!$B$2:$B$20000,A631,Donasi!$C$2:$C$20000))</f>
        <v/>
      </c>
      <c r="E631">
        <f>IF(A631="","",6-CEILING(PERCENTRANK.INC($B$3:$B$6000,B631,4)*5+0.000001,1))</f>
        <v/>
      </c>
      <c r="F631">
        <f>IF(A631="","",MAX(1,CEILING(PERCENTRANK.INC($C$3:$C$6000,C631,4)*5+0.000001,1)))</f>
        <v/>
      </c>
      <c r="G631">
        <f>IF(A631="","",MAX(1,CEILING(PERCENTRANK.INC($D$3:$D$6000,D631,4)*5+0.000001,1)))</f>
        <v/>
      </c>
      <c r="H631">
        <f>IF(A631="","",E631&amp;F631&amp;G631)</f>
        <v/>
      </c>
      <c r="I631">
        <f>IF(A631="","",IF(AND(E631&gt;=4,F631&gt;=4,G631&gt;=4),"Juara",IF(AND(F631&gt;=4,E631&gt;=3),"Setia",IF(AND(E631=5,F631&lt;=2,G631&gt;=3),"Berpotensi",IF(AND(E631&lt;=3,E631&gt;=2,F631&gt;=3),"Rawan",IF(AND(E631&lt;=2,F631&lt;=2),"Tidur","Umum"))))))</f>
        <v/>
      </c>
    </row>
    <row r="632">
      <c r="B632">
        <f>IF(A632="","",$B$1-MAXIFS(Donasi!$A$2:$A$20000,Donasi!$B$2:$B$20000,A632))</f>
        <v/>
      </c>
      <c r="C632">
        <f>IF(A632="","",COUNTIF(Donasi!$B$2:$B$20000,A632))</f>
        <v/>
      </c>
      <c r="D632">
        <f>IF(A632="","",SUMIF(Donasi!$B$2:$B$20000,A632,Donasi!$C$2:$C$20000))</f>
        <v/>
      </c>
      <c r="E632">
        <f>IF(A632="","",6-CEILING(PERCENTRANK.INC($B$3:$B$6000,B632,4)*5+0.000001,1))</f>
        <v/>
      </c>
      <c r="F632">
        <f>IF(A632="","",MAX(1,CEILING(PERCENTRANK.INC($C$3:$C$6000,C632,4)*5+0.000001,1)))</f>
        <v/>
      </c>
      <c r="G632">
        <f>IF(A632="","",MAX(1,CEILING(PERCENTRANK.INC($D$3:$D$6000,D632,4)*5+0.000001,1)))</f>
        <v/>
      </c>
      <c r="H632">
        <f>IF(A632="","",E632&amp;F632&amp;G632)</f>
        <v/>
      </c>
      <c r="I632">
        <f>IF(A632="","",IF(AND(E632&gt;=4,F632&gt;=4,G632&gt;=4),"Juara",IF(AND(F632&gt;=4,E632&gt;=3),"Setia",IF(AND(E632=5,F632&lt;=2,G632&gt;=3),"Berpotensi",IF(AND(E632&lt;=3,E632&gt;=2,F632&gt;=3),"Rawan",IF(AND(E632&lt;=2,F632&lt;=2),"Tidur","Umum"))))))</f>
        <v/>
      </c>
    </row>
    <row r="633">
      <c r="B633">
        <f>IF(A633="","",$B$1-MAXIFS(Donasi!$A$2:$A$20000,Donasi!$B$2:$B$20000,A633))</f>
        <v/>
      </c>
      <c r="C633">
        <f>IF(A633="","",COUNTIF(Donasi!$B$2:$B$20000,A633))</f>
        <v/>
      </c>
      <c r="D633">
        <f>IF(A633="","",SUMIF(Donasi!$B$2:$B$20000,A633,Donasi!$C$2:$C$20000))</f>
        <v/>
      </c>
      <c r="E633">
        <f>IF(A633="","",6-CEILING(PERCENTRANK.INC($B$3:$B$6000,B633,4)*5+0.000001,1))</f>
        <v/>
      </c>
      <c r="F633">
        <f>IF(A633="","",MAX(1,CEILING(PERCENTRANK.INC($C$3:$C$6000,C633,4)*5+0.000001,1)))</f>
        <v/>
      </c>
      <c r="G633">
        <f>IF(A633="","",MAX(1,CEILING(PERCENTRANK.INC($D$3:$D$6000,D633,4)*5+0.000001,1)))</f>
        <v/>
      </c>
      <c r="H633">
        <f>IF(A633="","",E633&amp;F633&amp;G633)</f>
        <v/>
      </c>
      <c r="I633">
        <f>IF(A633="","",IF(AND(E633&gt;=4,F633&gt;=4,G633&gt;=4),"Juara",IF(AND(F633&gt;=4,E633&gt;=3),"Setia",IF(AND(E633=5,F633&lt;=2,G633&gt;=3),"Berpotensi",IF(AND(E633&lt;=3,E633&gt;=2,F633&gt;=3),"Rawan",IF(AND(E633&lt;=2,F633&lt;=2),"Tidur","Umum"))))))</f>
        <v/>
      </c>
    </row>
    <row r="634">
      <c r="B634">
        <f>IF(A634="","",$B$1-MAXIFS(Donasi!$A$2:$A$20000,Donasi!$B$2:$B$20000,A634))</f>
        <v/>
      </c>
      <c r="C634">
        <f>IF(A634="","",COUNTIF(Donasi!$B$2:$B$20000,A634))</f>
        <v/>
      </c>
      <c r="D634">
        <f>IF(A634="","",SUMIF(Donasi!$B$2:$B$20000,A634,Donasi!$C$2:$C$20000))</f>
        <v/>
      </c>
      <c r="E634">
        <f>IF(A634="","",6-CEILING(PERCENTRANK.INC($B$3:$B$6000,B634,4)*5+0.000001,1))</f>
        <v/>
      </c>
      <c r="F634">
        <f>IF(A634="","",MAX(1,CEILING(PERCENTRANK.INC($C$3:$C$6000,C634,4)*5+0.000001,1)))</f>
        <v/>
      </c>
      <c r="G634">
        <f>IF(A634="","",MAX(1,CEILING(PERCENTRANK.INC($D$3:$D$6000,D634,4)*5+0.000001,1)))</f>
        <v/>
      </c>
      <c r="H634">
        <f>IF(A634="","",E634&amp;F634&amp;G634)</f>
        <v/>
      </c>
      <c r="I634">
        <f>IF(A634="","",IF(AND(E634&gt;=4,F634&gt;=4,G634&gt;=4),"Juara",IF(AND(F634&gt;=4,E634&gt;=3),"Setia",IF(AND(E634=5,F634&lt;=2,G634&gt;=3),"Berpotensi",IF(AND(E634&lt;=3,E634&gt;=2,F634&gt;=3),"Rawan",IF(AND(E634&lt;=2,F634&lt;=2),"Tidur","Umum"))))))</f>
        <v/>
      </c>
    </row>
    <row r="635">
      <c r="B635">
        <f>IF(A635="","",$B$1-MAXIFS(Donasi!$A$2:$A$20000,Donasi!$B$2:$B$20000,A635))</f>
        <v/>
      </c>
      <c r="C635">
        <f>IF(A635="","",COUNTIF(Donasi!$B$2:$B$20000,A635))</f>
        <v/>
      </c>
      <c r="D635">
        <f>IF(A635="","",SUMIF(Donasi!$B$2:$B$20000,A635,Donasi!$C$2:$C$20000))</f>
        <v/>
      </c>
      <c r="E635">
        <f>IF(A635="","",6-CEILING(PERCENTRANK.INC($B$3:$B$6000,B635,4)*5+0.000001,1))</f>
        <v/>
      </c>
      <c r="F635">
        <f>IF(A635="","",MAX(1,CEILING(PERCENTRANK.INC($C$3:$C$6000,C635,4)*5+0.000001,1)))</f>
        <v/>
      </c>
      <c r="G635">
        <f>IF(A635="","",MAX(1,CEILING(PERCENTRANK.INC($D$3:$D$6000,D635,4)*5+0.000001,1)))</f>
        <v/>
      </c>
      <c r="H635">
        <f>IF(A635="","",E635&amp;F635&amp;G635)</f>
        <v/>
      </c>
      <c r="I635">
        <f>IF(A635="","",IF(AND(E635&gt;=4,F635&gt;=4,G635&gt;=4),"Juara",IF(AND(F635&gt;=4,E635&gt;=3),"Setia",IF(AND(E635=5,F635&lt;=2,G635&gt;=3),"Berpotensi",IF(AND(E635&lt;=3,E635&gt;=2,F635&gt;=3),"Rawan",IF(AND(E635&lt;=2,F635&lt;=2),"Tidur","Umum"))))))</f>
        <v/>
      </c>
    </row>
    <row r="636">
      <c r="B636">
        <f>IF(A636="","",$B$1-MAXIFS(Donasi!$A$2:$A$20000,Donasi!$B$2:$B$20000,A636))</f>
        <v/>
      </c>
      <c r="C636">
        <f>IF(A636="","",COUNTIF(Donasi!$B$2:$B$20000,A636))</f>
        <v/>
      </c>
      <c r="D636">
        <f>IF(A636="","",SUMIF(Donasi!$B$2:$B$20000,A636,Donasi!$C$2:$C$20000))</f>
        <v/>
      </c>
      <c r="E636">
        <f>IF(A636="","",6-CEILING(PERCENTRANK.INC($B$3:$B$6000,B636,4)*5+0.000001,1))</f>
        <v/>
      </c>
      <c r="F636">
        <f>IF(A636="","",MAX(1,CEILING(PERCENTRANK.INC($C$3:$C$6000,C636,4)*5+0.000001,1)))</f>
        <v/>
      </c>
      <c r="G636">
        <f>IF(A636="","",MAX(1,CEILING(PERCENTRANK.INC($D$3:$D$6000,D636,4)*5+0.000001,1)))</f>
        <v/>
      </c>
      <c r="H636">
        <f>IF(A636="","",E636&amp;F636&amp;G636)</f>
        <v/>
      </c>
      <c r="I636">
        <f>IF(A636="","",IF(AND(E636&gt;=4,F636&gt;=4,G636&gt;=4),"Juara",IF(AND(F636&gt;=4,E636&gt;=3),"Setia",IF(AND(E636=5,F636&lt;=2,G636&gt;=3),"Berpotensi",IF(AND(E636&lt;=3,E636&gt;=2,F636&gt;=3),"Rawan",IF(AND(E636&lt;=2,F636&lt;=2),"Tidur","Umum"))))))</f>
        <v/>
      </c>
    </row>
    <row r="637">
      <c r="B637">
        <f>IF(A637="","",$B$1-MAXIFS(Donasi!$A$2:$A$20000,Donasi!$B$2:$B$20000,A637))</f>
        <v/>
      </c>
      <c r="C637">
        <f>IF(A637="","",COUNTIF(Donasi!$B$2:$B$20000,A637))</f>
        <v/>
      </c>
      <c r="D637">
        <f>IF(A637="","",SUMIF(Donasi!$B$2:$B$20000,A637,Donasi!$C$2:$C$20000))</f>
        <v/>
      </c>
      <c r="E637">
        <f>IF(A637="","",6-CEILING(PERCENTRANK.INC($B$3:$B$6000,B637,4)*5+0.000001,1))</f>
        <v/>
      </c>
      <c r="F637">
        <f>IF(A637="","",MAX(1,CEILING(PERCENTRANK.INC($C$3:$C$6000,C637,4)*5+0.000001,1)))</f>
        <v/>
      </c>
      <c r="G637">
        <f>IF(A637="","",MAX(1,CEILING(PERCENTRANK.INC($D$3:$D$6000,D637,4)*5+0.000001,1)))</f>
        <v/>
      </c>
      <c r="H637">
        <f>IF(A637="","",E637&amp;F637&amp;G637)</f>
        <v/>
      </c>
      <c r="I637">
        <f>IF(A637="","",IF(AND(E637&gt;=4,F637&gt;=4,G637&gt;=4),"Juara",IF(AND(F637&gt;=4,E637&gt;=3),"Setia",IF(AND(E637=5,F637&lt;=2,G637&gt;=3),"Berpotensi",IF(AND(E637&lt;=3,E637&gt;=2,F637&gt;=3),"Rawan",IF(AND(E637&lt;=2,F637&lt;=2),"Tidur","Umum"))))))</f>
        <v/>
      </c>
    </row>
    <row r="638">
      <c r="B638">
        <f>IF(A638="","",$B$1-MAXIFS(Donasi!$A$2:$A$20000,Donasi!$B$2:$B$20000,A638))</f>
        <v/>
      </c>
      <c r="C638">
        <f>IF(A638="","",COUNTIF(Donasi!$B$2:$B$20000,A638))</f>
        <v/>
      </c>
      <c r="D638">
        <f>IF(A638="","",SUMIF(Donasi!$B$2:$B$20000,A638,Donasi!$C$2:$C$20000))</f>
        <v/>
      </c>
      <c r="E638">
        <f>IF(A638="","",6-CEILING(PERCENTRANK.INC($B$3:$B$6000,B638,4)*5+0.000001,1))</f>
        <v/>
      </c>
      <c r="F638">
        <f>IF(A638="","",MAX(1,CEILING(PERCENTRANK.INC($C$3:$C$6000,C638,4)*5+0.000001,1)))</f>
        <v/>
      </c>
      <c r="G638">
        <f>IF(A638="","",MAX(1,CEILING(PERCENTRANK.INC($D$3:$D$6000,D638,4)*5+0.000001,1)))</f>
        <v/>
      </c>
      <c r="H638">
        <f>IF(A638="","",E638&amp;F638&amp;G638)</f>
        <v/>
      </c>
      <c r="I638">
        <f>IF(A638="","",IF(AND(E638&gt;=4,F638&gt;=4,G638&gt;=4),"Juara",IF(AND(F638&gt;=4,E638&gt;=3),"Setia",IF(AND(E638=5,F638&lt;=2,G638&gt;=3),"Berpotensi",IF(AND(E638&lt;=3,E638&gt;=2,F638&gt;=3),"Rawan",IF(AND(E638&lt;=2,F638&lt;=2),"Tidur","Umum"))))))</f>
        <v/>
      </c>
    </row>
    <row r="639">
      <c r="B639">
        <f>IF(A639="","",$B$1-MAXIFS(Donasi!$A$2:$A$20000,Donasi!$B$2:$B$20000,A639))</f>
        <v/>
      </c>
      <c r="C639">
        <f>IF(A639="","",COUNTIF(Donasi!$B$2:$B$20000,A639))</f>
        <v/>
      </c>
      <c r="D639">
        <f>IF(A639="","",SUMIF(Donasi!$B$2:$B$20000,A639,Donasi!$C$2:$C$20000))</f>
        <v/>
      </c>
      <c r="E639">
        <f>IF(A639="","",6-CEILING(PERCENTRANK.INC($B$3:$B$6000,B639,4)*5+0.000001,1))</f>
        <v/>
      </c>
      <c r="F639">
        <f>IF(A639="","",MAX(1,CEILING(PERCENTRANK.INC($C$3:$C$6000,C639,4)*5+0.000001,1)))</f>
        <v/>
      </c>
      <c r="G639">
        <f>IF(A639="","",MAX(1,CEILING(PERCENTRANK.INC($D$3:$D$6000,D639,4)*5+0.000001,1)))</f>
        <v/>
      </c>
      <c r="H639">
        <f>IF(A639="","",E639&amp;F639&amp;G639)</f>
        <v/>
      </c>
      <c r="I639">
        <f>IF(A639="","",IF(AND(E639&gt;=4,F639&gt;=4,G639&gt;=4),"Juara",IF(AND(F639&gt;=4,E639&gt;=3),"Setia",IF(AND(E639=5,F639&lt;=2,G639&gt;=3),"Berpotensi",IF(AND(E639&lt;=3,E639&gt;=2,F639&gt;=3),"Rawan",IF(AND(E639&lt;=2,F639&lt;=2),"Tidur","Umum"))))))</f>
        <v/>
      </c>
    </row>
    <row r="640">
      <c r="B640">
        <f>IF(A640="","",$B$1-MAXIFS(Donasi!$A$2:$A$20000,Donasi!$B$2:$B$20000,A640))</f>
        <v/>
      </c>
      <c r="C640">
        <f>IF(A640="","",COUNTIF(Donasi!$B$2:$B$20000,A640))</f>
        <v/>
      </c>
      <c r="D640">
        <f>IF(A640="","",SUMIF(Donasi!$B$2:$B$20000,A640,Donasi!$C$2:$C$20000))</f>
        <v/>
      </c>
      <c r="E640">
        <f>IF(A640="","",6-CEILING(PERCENTRANK.INC($B$3:$B$6000,B640,4)*5+0.000001,1))</f>
        <v/>
      </c>
      <c r="F640">
        <f>IF(A640="","",MAX(1,CEILING(PERCENTRANK.INC($C$3:$C$6000,C640,4)*5+0.000001,1)))</f>
        <v/>
      </c>
      <c r="G640">
        <f>IF(A640="","",MAX(1,CEILING(PERCENTRANK.INC($D$3:$D$6000,D640,4)*5+0.000001,1)))</f>
        <v/>
      </c>
      <c r="H640">
        <f>IF(A640="","",E640&amp;F640&amp;G640)</f>
        <v/>
      </c>
      <c r="I640">
        <f>IF(A640="","",IF(AND(E640&gt;=4,F640&gt;=4,G640&gt;=4),"Juara",IF(AND(F640&gt;=4,E640&gt;=3),"Setia",IF(AND(E640=5,F640&lt;=2,G640&gt;=3),"Berpotensi",IF(AND(E640&lt;=3,E640&gt;=2,F640&gt;=3),"Rawan",IF(AND(E640&lt;=2,F640&lt;=2),"Tidur","Umum"))))))</f>
        <v/>
      </c>
    </row>
    <row r="641">
      <c r="B641">
        <f>IF(A641="","",$B$1-MAXIFS(Donasi!$A$2:$A$20000,Donasi!$B$2:$B$20000,A641))</f>
        <v/>
      </c>
      <c r="C641">
        <f>IF(A641="","",COUNTIF(Donasi!$B$2:$B$20000,A641))</f>
        <v/>
      </c>
      <c r="D641">
        <f>IF(A641="","",SUMIF(Donasi!$B$2:$B$20000,A641,Donasi!$C$2:$C$20000))</f>
        <v/>
      </c>
      <c r="E641">
        <f>IF(A641="","",6-CEILING(PERCENTRANK.INC($B$3:$B$6000,B641,4)*5+0.000001,1))</f>
        <v/>
      </c>
      <c r="F641">
        <f>IF(A641="","",MAX(1,CEILING(PERCENTRANK.INC($C$3:$C$6000,C641,4)*5+0.000001,1)))</f>
        <v/>
      </c>
      <c r="G641">
        <f>IF(A641="","",MAX(1,CEILING(PERCENTRANK.INC($D$3:$D$6000,D641,4)*5+0.000001,1)))</f>
        <v/>
      </c>
      <c r="H641">
        <f>IF(A641="","",E641&amp;F641&amp;G641)</f>
        <v/>
      </c>
      <c r="I641">
        <f>IF(A641="","",IF(AND(E641&gt;=4,F641&gt;=4,G641&gt;=4),"Juara",IF(AND(F641&gt;=4,E641&gt;=3),"Setia",IF(AND(E641=5,F641&lt;=2,G641&gt;=3),"Berpotensi",IF(AND(E641&lt;=3,E641&gt;=2,F641&gt;=3),"Rawan",IF(AND(E641&lt;=2,F641&lt;=2),"Tidur","Umum"))))))</f>
        <v/>
      </c>
    </row>
    <row r="642">
      <c r="B642">
        <f>IF(A642="","",$B$1-MAXIFS(Donasi!$A$2:$A$20000,Donasi!$B$2:$B$20000,A642))</f>
        <v/>
      </c>
      <c r="C642">
        <f>IF(A642="","",COUNTIF(Donasi!$B$2:$B$20000,A642))</f>
        <v/>
      </c>
      <c r="D642">
        <f>IF(A642="","",SUMIF(Donasi!$B$2:$B$20000,A642,Donasi!$C$2:$C$20000))</f>
        <v/>
      </c>
      <c r="E642">
        <f>IF(A642="","",6-CEILING(PERCENTRANK.INC($B$3:$B$6000,B642,4)*5+0.000001,1))</f>
        <v/>
      </c>
      <c r="F642">
        <f>IF(A642="","",MAX(1,CEILING(PERCENTRANK.INC($C$3:$C$6000,C642,4)*5+0.000001,1)))</f>
        <v/>
      </c>
      <c r="G642">
        <f>IF(A642="","",MAX(1,CEILING(PERCENTRANK.INC($D$3:$D$6000,D642,4)*5+0.000001,1)))</f>
        <v/>
      </c>
      <c r="H642">
        <f>IF(A642="","",E642&amp;F642&amp;G642)</f>
        <v/>
      </c>
      <c r="I642">
        <f>IF(A642="","",IF(AND(E642&gt;=4,F642&gt;=4,G642&gt;=4),"Juara",IF(AND(F642&gt;=4,E642&gt;=3),"Setia",IF(AND(E642=5,F642&lt;=2,G642&gt;=3),"Berpotensi",IF(AND(E642&lt;=3,E642&gt;=2,F642&gt;=3),"Rawan",IF(AND(E642&lt;=2,F642&lt;=2),"Tidur","Umum"))))))</f>
        <v/>
      </c>
    </row>
    <row r="643">
      <c r="B643">
        <f>IF(A643="","",$B$1-MAXIFS(Donasi!$A$2:$A$20000,Donasi!$B$2:$B$20000,A643))</f>
        <v/>
      </c>
      <c r="C643">
        <f>IF(A643="","",COUNTIF(Donasi!$B$2:$B$20000,A643))</f>
        <v/>
      </c>
      <c r="D643">
        <f>IF(A643="","",SUMIF(Donasi!$B$2:$B$20000,A643,Donasi!$C$2:$C$20000))</f>
        <v/>
      </c>
      <c r="E643">
        <f>IF(A643="","",6-CEILING(PERCENTRANK.INC($B$3:$B$6000,B643,4)*5+0.000001,1))</f>
        <v/>
      </c>
      <c r="F643">
        <f>IF(A643="","",MAX(1,CEILING(PERCENTRANK.INC($C$3:$C$6000,C643,4)*5+0.000001,1)))</f>
        <v/>
      </c>
      <c r="G643">
        <f>IF(A643="","",MAX(1,CEILING(PERCENTRANK.INC($D$3:$D$6000,D643,4)*5+0.000001,1)))</f>
        <v/>
      </c>
      <c r="H643">
        <f>IF(A643="","",E643&amp;F643&amp;G643)</f>
        <v/>
      </c>
      <c r="I643">
        <f>IF(A643="","",IF(AND(E643&gt;=4,F643&gt;=4,G643&gt;=4),"Juara",IF(AND(F643&gt;=4,E643&gt;=3),"Setia",IF(AND(E643=5,F643&lt;=2,G643&gt;=3),"Berpotensi",IF(AND(E643&lt;=3,E643&gt;=2,F643&gt;=3),"Rawan",IF(AND(E643&lt;=2,F643&lt;=2),"Tidur","Umum"))))))</f>
        <v/>
      </c>
    </row>
    <row r="644">
      <c r="B644">
        <f>IF(A644="","",$B$1-MAXIFS(Donasi!$A$2:$A$20000,Donasi!$B$2:$B$20000,A644))</f>
        <v/>
      </c>
      <c r="C644">
        <f>IF(A644="","",COUNTIF(Donasi!$B$2:$B$20000,A644))</f>
        <v/>
      </c>
      <c r="D644">
        <f>IF(A644="","",SUMIF(Donasi!$B$2:$B$20000,A644,Donasi!$C$2:$C$20000))</f>
        <v/>
      </c>
      <c r="E644">
        <f>IF(A644="","",6-CEILING(PERCENTRANK.INC($B$3:$B$6000,B644,4)*5+0.000001,1))</f>
        <v/>
      </c>
      <c r="F644">
        <f>IF(A644="","",MAX(1,CEILING(PERCENTRANK.INC($C$3:$C$6000,C644,4)*5+0.000001,1)))</f>
        <v/>
      </c>
      <c r="G644">
        <f>IF(A644="","",MAX(1,CEILING(PERCENTRANK.INC($D$3:$D$6000,D644,4)*5+0.000001,1)))</f>
        <v/>
      </c>
      <c r="H644">
        <f>IF(A644="","",E644&amp;F644&amp;G644)</f>
        <v/>
      </c>
      <c r="I644">
        <f>IF(A644="","",IF(AND(E644&gt;=4,F644&gt;=4,G644&gt;=4),"Juara",IF(AND(F644&gt;=4,E644&gt;=3),"Setia",IF(AND(E644=5,F644&lt;=2,G644&gt;=3),"Berpotensi",IF(AND(E644&lt;=3,E644&gt;=2,F644&gt;=3),"Rawan",IF(AND(E644&lt;=2,F644&lt;=2),"Tidur","Umum"))))))</f>
        <v/>
      </c>
    </row>
    <row r="645">
      <c r="B645">
        <f>IF(A645="","",$B$1-MAXIFS(Donasi!$A$2:$A$20000,Donasi!$B$2:$B$20000,A645))</f>
        <v/>
      </c>
      <c r="C645">
        <f>IF(A645="","",COUNTIF(Donasi!$B$2:$B$20000,A645))</f>
        <v/>
      </c>
      <c r="D645">
        <f>IF(A645="","",SUMIF(Donasi!$B$2:$B$20000,A645,Donasi!$C$2:$C$20000))</f>
        <v/>
      </c>
      <c r="E645">
        <f>IF(A645="","",6-CEILING(PERCENTRANK.INC($B$3:$B$6000,B645,4)*5+0.000001,1))</f>
        <v/>
      </c>
      <c r="F645">
        <f>IF(A645="","",MAX(1,CEILING(PERCENTRANK.INC($C$3:$C$6000,C645,4)*5+0.000001,1)))</f>
        <v/>
      </c>
      <c r="G645">
        <f>IF(A645="","",MAX(1,CEILING(PERCENTRANK.INC($D$3:$D$6000,D645,4)*5+0.000001,1)))</f>
        <v/>
      </c>
      <c r="H645">
        <f>IF(A645="","",E645&amp;F645&amp;G645)</f>
        <v/>
      </c>
      <c r="I645">
        <f>IF(A645="","",IF(AND(E645&gt;=4,F645&gt;=4,G645&gt;=4),"Juara",IF(AND(F645&gt;=4,E645&gt;=3),"Setia",IF(AND(E645=5,F645&lt;=2,G645&gt;=3),"Berpotensi",IF(AND(E645&lt;=3,E645&gt;=2,F645&gt;=3),"Rawan",IF(AND(E645&lt;=2,F645&lt;=2),"Tidur","Umum"))))))</f>
        <v/>
      </c>
    </row>
    <row r="646">
      <c r="B646">
        <f>IF(A646="","",$B$1-MAXIFS(Donasi!$A$2:$A$20000,Donasi!$B$2:$B$20000,A646))</f>
        <v/>
      </c>
      <c r="C646">
        <f>IF(A646="","",COUNTIF(Donasi!$B$2:$B$20000,A646))</f>
        <v/>
      </c>
      <c r="D646">
        <f>IF(A646="","",SUMIF(Donasi!$B$2:$B$20000,A646,Donasi!$C$2:$C$20000))</f>
        <v/>
      </c>
      <c r="E646">
        <f>IF(A646="","",6-CEILING(PERCENTRANK.INC($B$3:$B$6000,B646,4)*5+0.000001,1))</f>
        <v/>
      </c>
      <c r="F646">
        <f>IF(A646="","",MAX(1,CEILING(PERCENTRANK.INC($C$3:$C$6000,C646,4)*5+0.000001,1)))</f>
        <v/>
      </c>
      <c r="G646">
        <f>IF(A646="","",MAX(1,CEILING(PERCENTRANK.INC($D$3:$D$6000,D646,4)*5+0.000001,1)))</f>
        <v/>
      </c>
      <c r="H646">
        <f>IF(A646="","",E646&amp;F646&amp;G646)</f>
        <v/>
      </c>
      <c r="I646">
        <f>IF(A646="","",IF(AND(E646&gt;=4,F646&gt;=4,G646&gt;=4),"Juara",IF(AND(F646&gt;=4,E646&gt;=3),"Setia",IF(AND(E646=5,F646&lt;=2,G646&gt;=3),"Berpotensi",IF(AND(E646&lt;=3,E646&gt;=2,F646&gt;=3),"Rawan",IF(AND(E646&lt;=2,F646&lt;=2),"Tidur","Umum"))))))</f>
        <v/>
      </c>
    </row>
    <row r="647">
      <c r="B647">
        <f>IF(A647="","",$B$1-MAXIFS(Donasi!$A$2:$A$20000,Donasi!$B$2:$B$20000,A647))</f>
        <v/>
      </c>
      <c r="C647">
        <f>IF(A647="","",COUNTIF(Donasi!$B$2:$B$20000,A647))</f>
        <v/>
      </c>
      <c r="D647">
        <f>IF(A647="","",SUMIF(Donasi!$B$2:$B$20000,A647,Donasi!$C$2:$C$20000))</f>
        <v/>
      </c>
      <c r="E647">
        <f>IF(A647="","",6-CEILING(PERCENTRANK.INC($B$3:$B$6000,B647,4)*5+0.000001,1))</f>
        <v/>
      </c>
      <c r="F647">
        <f>IF(A647="","",MAX(1,CEILING(PERCENTRANK.INC($C$3:$C$6000,C647,4)*5+0.000001,1)))</f>
        <v/>
      </c>
      <c r="G647">
        <f>IF(A647="","",MAX(1,CEILING(PERCENTRANK.INC($D$3:$D$6000,D647,4)*5+0.000001,1)))</f>
        <v/>
      </c>
      <c r="H647">
        <f>IF(A647="","",E647&amp;F647&amp;G647)</f>
        <v/>
      </c>
      <c r="I647">
        <f>IF(A647="","",IF(AND(E647&gt;=4,F647&gt;=4,G647&gt;=4),"Juara",IF(AND(F647&gt;=4,E647&gt;=3),"Setia",IF(AND(E647=5,F647&lt;=2,G647&gt;=3),"Berpotensi",IF(AND(E647&lt;=3,E647&gt;=2,F647&gt;=3),"Rawan",IF(AND(E647&lt;=2,F647&lt;=2),"Tidur","Umum"))))))</f>
        <v/>
      </c>
    </row>
    <row r="648">
      <c r="B648">
        <f>IF(A648="","",$B$1-MAXIFS(Donasi!$A$2:$A$20000,Donasi!$B$2:$B$20000,A648))</f>
        <v/>
      </c>
      <c r="C648">
        <f>IF(A648="","",COUNTIF(Donasi!$B$2:$B$20000,A648))</f>
        <v/>
      </c>
      <c r="D648">
        <f>IF(A648="","",SUMIF(Donasi!$B$2:$B$20000,A648,Donasi!$C$2:$C$20000))</f>
        <v/>
      </c>
      <c r="E648">
        <f>IF(A648="","",6-CEILING(PERCENTRANK.INC($B$3:$B$6000,B648,4)*5+0.000001,1))</f>
        <v/>
      </c>
      <c r="F648">
        <f>IF(A648="","",MAX(1,CEILING(PERCENTRANK.INC($C$3:$C$6000,C648,4)*5+0.000001,1)))</f>
        <v/>
      </c>
      <c r="G648">
        <f>IF(A648="","",MAX(1,CEILING(PERCENTRANK.INC($D$3:$D$6000,D648,4)*5+0.000001,1)))</f>
        <v/>
      </c>
      <c r="H648">
        <f>IF(A648="","",E648&amp;F648&amp;G648)</f>
        <v/>
      </c>
      <c r="I648">
        <f>IF(A648="","",IF(AND(E648&gt;=4,F648&gt;=4,G648&gt;=4),"Juara",IF(AND(F648&gt;=4,E648&gt;=3),"Setia",IF(AND(E648=5,F648&lt;=2,G648&gt;=3),"Berpotensi",IF(AND(E648&lt;=3,E648&gt;=2,F648&gt;=3),"Rawan",IF(AND(E648&lt;=2,F648&lt;=2),"Tidur","Umum"))))))</f>
        <v/>
      </c>
    </row>
    <row r="649">
      <c r="B649">
        <f>IF(A649="","",$B$1-MAXIFS(Donasi!$A$2:$A$20000,Donasi!$B$2:$B$20000,A649))</f>
        <v/>
      </c>
      <c r="C649">
        <f>IF(A649="","",COUNTIF(Donasi!$B$2:$B$20000,A649))</f>
        <v/>
      </c>
      <c r="D649">
        <f>IF(A649="","",SUMIF(Donasi!$B$2:$B$20000,A649,Donasi!$C$2:$C$20000))</f>
        <v/>
      </c>
      <c r="E649">
        <f>IF(A649="","",6-CEILING(PERCENTRANK.INC($B$3:$B$6000,B649,4)*5+0.000001,1))</f>
        <v/>
      </c>
      <c r="F649">
        <f>IF(A649="","",MAX(1,CEILING(PERCENTRANK.INC($C$3:$C$6000,C649,4)*5+0.000001,1)))</f>
        <v/>
      </c>
      <c r="G649">
        <f>IF(A649="","",MAX(1,CEILING(PERCENTRANK.INC($D$3:$D$6000,D649,4)*5+0.000001,1)))</f>
        <v/>
      </c>
      <c r="H649">
        <f>IF(A649="","",E649&amp;F649&amp;G649)</f>
        <v/>
      </c>
      <c r="I649">
        <f>IF(A649="","",IF(AND(E649&gt;=4,F649&gt;=4,G649&gt;=4),"Juara",IF(AND(F649&gt;=4,E649&gt;=3),"Setia",IF(AND(E649=5,F649&lt;=2,G649&gt;=3),"Berpotensi",IF(AND(E649&lt;=3,E649&gt;=2,F649&gt;=3),"Rawan",IF(AND(E649&lt;=2,F649&lt;=2),"Tidur","Umum"))))))</f>
        <v/>
      </c>
    </row>
    <row r="650">
      <c r="B650">
        <f>IF(A650="","",$B$1-MAXIFS(Donasi!$A$2:$A$20000,Donasi!$B$2:$B$20000,A650))</f>
        <v/>
      </c>
      <c r="C650">
        <f>IF(A650="","",COUNTIF(Donasi!$B$2:$B$20000,A650))</f>
        <v/>
      </c>
      <c r="D650">
        <f>IF(A650="","",SUMIF(Donasi!$B$2:$B$20000,A650,Donasi!$C$2:$C$20000))</f>
        <v/>
      </c>
      <c r="E650">
        <f>IF(A650="","",6-CEILING(PERCENTRANK.INC($B$3:$B$6000,B650,4)*5+0.000001,1))</f>
        <v/>
      </c>
      <c r="F650">
        <f>IF(A650="","",MAX(1,CEILING(PERCENTRANK.INC($C$3:$C$6000,C650,4)*5+0.000001,1)))</f>
        <v/>
      </c>
      <c r="G650">
        <f>IF(A650="","",MAX(1,CEILING(PERCENTRANK.INC($D$3:$D$6000,D650,4)*5+0.000001,1)))</f>
        <v/>
      </c>
      <c r="H650">
        <f>IF(A650="","",E650&amp;F650&amp;G650)</f>
        <v/>
      </c>
      <c r="I650">
        <f>IF(A650="","",IF(AND(E650&gt;=4,F650&gt;=4,G650&gt;=4),"Juara",IF(AND(F650&gt;=4,E650&gt;=3),"Setia",IF(AND(E650=5,F650&lt;=2,G650&gt;=3),"Berpotensi",IF(AND(E650&lt;=3,E650&gt;=2,F650&gt;=3),"Rawan",IF(AND(E650&lt;=2,F650&lt;=2),"Tidur","Umum"))))))</f>
        <v/>
      </c>
    </row>
    <row r="651">
      <c r="B651">
        <f>IF(A651="","",$B$1-MAXIFS(Donasi!$A$2:$A$20000,Donasi!$B$2:$B$20000,A651))</f>
        <v/>
      </c>
      <c r="C651">
        <f>IF(A651="","",COUNTIF(Donasi!$B$2:$B$20000,A651))</f>
        <v/>
      </c>
      <c r="D651">
        <f>IF(A651="","",SUMIF(Donasi!$B$2:$B$20000,A651,Donasi!$C$2:$C$20000))</f>
        <v/>
      </c>
      <c r="E651">
        <f>IF(A651="","",6-CEILING(PERCENTRANK.INC($B$3:$B$6000,B651,4)*5+0.000001,1))</f>
        <v/>
      </c>
      <c r="F651">
        <f>IF(A651="","",MAX(1,CEILING(PERCENTRANK.INC($C$3:$C$6000,C651,4)*5+0.000001,1)))</f>
        <v/>
      </c>
      <c r="G651">
        <f>IF(A651="","",MAX(1,CEILING(PERCENTRANK.INC($D$3:$D$6000,D651,4)*5+0.000001,1)))</f>
        <v/>
      </c>
      <c r="H651">
        <f>IF(A651="","",E651&amp;F651&amp;G651)</f>
        <v/>
      </c>
      <c r="I651">
        <f>IF(A651="","",IF(AND(E651&gt;=4,F651&gt;=4,G651&gt;=4),"Juara",IF(AND(F651&gt;=4,E651&gt;=3),"Setia",IF(AND(E651=5,F651&lt;=2,G651&gt;=3),"Berpotensi",IF(AND(E651&lt;=3,E651&gt;=2,F651&gt;=3),"Rawan",IF(AND(E651&lt;=2,F651&lt;=2),"Tidur","Umum"))))))</f>
        <v/>
      </c>
    </row>
    <row r="652">
      <c r="B652">
        <f>IF(A652="","",$B$1-MAXIFS(Donasi!$A$2:$A$20000,Donasi!$B$2:$B$20000,A652))</f>
        <v/>
      </c>
      <c r="C652">
        <f>IF(A652="","",COUNTIF(Donasi!$B$2:$B$20000,A652))</f>
        <v/>
      </c>
      <c r="D652">
        <f>IF(A652="","",SUMIF(Donasi!$B$2:$B$20000,A652,Donasi!$C$2:$C$20000))</f>
        <v/>
      </c>
      <c r="E652">
        <f>IF(A652="","",6-CEILING(PERCENTRANK.INC($B$3:$B$6000,B652,4)*5+0.000001,1))</f>
        <v/>
      </c>
      <c r="F652">
        <f>IF(A652="","",MAX(1,CEILING(PERCENTRANK.INC($C$3:$C$6000,C652,4)*5+0.000001,1)))</f>
        <v/>
      </c>
      <c r="G652">
        <f>IF(A652="","",MAX(1,CEILING(PERCENTRANK.INC($D$3:$D$6000,D652,4)*5+0.000001,1)))</f>
        <v/>
      </c>
      <c r="H652">
        <f>IF(A652="","",E652&amp;F652&amp;G652)</f>
        <v/>
      </c>
      <c r="I652">
        <f>IF(A652="","",IF(AND(E652&gt;=4,F652&gt;=4,G652&gt;=4),"Juara",IF(AND(F652&gt;=4,E652&gt;=3),"Setia",IF(AND(E652=5,F652&lt;=2,G652&gt;=3),"Berpotensi",IF(AND(E652&lt;=3,E652&gt;=2,F652&gt;=3),"Rawan",IF(AND(E652&lt;=2,F652&lt;=2),"Tidur","Umum"))))))</f>
        <v/>
      </c>
    </row>
    <row r="653">
      <c r="B653">
        <f>IF(A653="","",$B$1-MAXIFS(Donasi!$A$2:$A$20000,Donasi!$B$2:$B$20000,A653))</f>
        <v/>
      </c>
      <c r="C653">
        <f>IF(A653="","",COUNTIF(Donasi!$B$2:$B$20000,A653))</f>
        <v/>
      </c>
      <c r="D653">
        <f>IF(A653="","",SUMIF(Donasi!$B$2:$B$20000,A653,Donasi!$C$2:$C$20000))</f>
        <v/>
      </c>
      <c r="E653">
        <f>IF(A653="","",6-CEILING(PERCENTRANK.INC($B$3:$B$6000,B653,4)*5+0.000001,1))</f>
        <v/>
      </c>
      <c r="F653">
        <f>IF(A653="","",MAX(1,CEILING(PERCENTRANK.INC($C$3:$C$6000,C653,4)*5+0.000001,1)))</f>
        <v/>
      </c>
      <c r="G653">
        <f>IF(A653="","",MAX(1,CEILING(PERCENTRANK.INC($D$3:$D$6000,D653,4)*5+0.000001,1)))</f>
        <v/>
      </c>
      <c r="H653">
        <f>IF(A653="","",E653&amp;F653&amp;G653)</f>
        <v/>
      </c>
      <c r="I653">
        <f>IF(A653="","",IF(AND(E653&gt;=4,F653&gt;=4,G653&gt;=4),"Juara",IF(AND(F653&gt;=4,E653&gt;=3),"Setia",IF(AND(E653=5,F653&lt;=2,G653&gt;=3),"Berpotensi",IF(AND(E653&lt;=3,E653&gt;=2,F653&gt;=3),"Rawan",IF(AND(E653&lt;=2,F653&lt;=2),"Tidur","Umum"))))))</f>
        <v/>
      </c>
    </row>
    <row r="654">
      <c r="B654">
        <f>IF(A654="","",$B$1-MAXIFS(Donasi!$A$2:$A$20000,Donasi!$B$2:$B$20000,A654))</f>
        <v/>
      </c>
      <c r="C654">
        <f>IF(A654="","",COUNTIF(Donasi!$B$2:$B$20000,A654))</f>
        <v/>
      </c>
      <c r="D654">
        <f>IF(A654="","",SUMIF(Donasi!$B$2:$B$20000,A654,Donasi!$C$2:$C$20000))</f>
        <v/>
      </c>
      <c r="E654">
        <f>IF(A654="","",6-CEILING(PERCENTRANK.INC($B$3:$B$6000,B654,4)*5+0.000001,1))</f>
        <v/>
      </c>
      <c r="F654">
        <f>IF(A654="","",MAX(1,CEILING(PERCENTRANK.INC($C$3:$C$6000,C654,4)*5+0.000001,1)))</f>
        <v/>
      </c>
      <c r="G654">
        <f>IF(A654="","",MAX(1,CEILING(PERCENTRANK.INC($D$3:$D$6000,D654,4)*5+0.000001,1)))</f>
        <v/>
      </c>
      <c r="H654">
        <f>IF(A654="","",E654&amp;F654&amp;G654)</f>
        <v/>
      </c>
      <c r="I654">
        <f>IF(A654="","",IF(AND(E654&gt;=4,F654&gt;=4,G654&gt;=4),"Juara",IF(AND(F654&gt;=4,E654&gt;=3),"Setia",IF(AND(E654=5,F654&lt;=2,G654&gt;=3),"Berpotensi",IF(AND(E654&lt;=3,E654&gt;=2,F654&gt;=3),"Rawan",IF(AND(E654&lt;=2,F654&lt;=2),"Tidur","Umum"))))))</f>
        <v/>
      </c>
    </row>
    <row r="655">
      <c r="B655">
        <f>IF(A655="","",$B$1-MAXIFS(Donasi!$A$2:$A$20000,Donasi!$B$2:$B$20000,A655))</f>
        <v/>
      </c>
      <c r="C655">
        <f>IF(A655="","",COUNTIF(Donasi!$B$2:$B$20000,A655))</f>
        <v/>
      </c>
      <c r="D655">
        <f>IF(A655="","",SUMIF(Donasi!$B$2:$B$20000,A655,Donasi!$C$2:$C$20000))</f>
        <v/>
      </c>
      <c r="E655">
        <f>IF(A655="","",6-CEILING(PERCENTRANK.INC($B$3:$B$6000,B655,4)*5+0.000001,1))</f>
        <v/>
      </c>
      <c r="F655">
        <f>IF(A655="","",MAX(1,CEILING(PERCENTRANK.INC($C$3:$C$6000,C655,4)*5+0.000001,1)))</f>
        <v/>
      </c>
      <c r="G655">
        <f>IF(A655="","",MAX(1,CEILING(PERCENTRANK.INC($D$3:$D$6000,D655,4)*5+0.000001,1)))</f>
        <v/>
      </c>
      <c r="H655">
        <f>IF(A655="","",E655&amp;F655&amp;G655)</f>
        <v/>
      </c>
      <c r="I655">
        <f>IF(A655="","",IF(AND(E655&gt;=4,F655&gt;=4,G655&gt;=4),"Juara",IF(AND(F655&gt;=4,E655&gt;=3),"Setia",IF(AND(E655=5,F655&lt;=2,G655&gt;=3),"Berpotensi",IF(AND(E655&lt;=3,E655&gt;=2,F655&gt;=3),"Rawan",IF(AND(E655&lt;=2,F655&lt;=2),"Tidur","Umum"))))))</f>
        <v/>
      </c>
    </row>
    <row r="656">
      <c r="B656">
        <f>IF(A656="","",$B$1-MAXIFS(Donasi!$A$2:$A$20000,Donasi!$B$2:$B$20000,A656))</f>
        <v/>
      </c>
      <c r="C656">
        <f>IF(A656="","",COUNTIF(Donasi!$B$2:$B$20000,A656))</f>
        <v/>
      </c>
      <c r="D656">
        <f>IF(A656="","",SUMIF(Donasi!$B$2:$B$20000,A656,Donasi!$C$2:$C$20000))</f>
        <v/>
      </c>
      <c r="E656">
        <f>IF(A656="","",6-CEILING(PERCENTRANK.INC($B$3:$B$6000,B656,4)*5+0.000001,1))</f>
        <v/>
      </c>
      <c r="F656">
        <f>IF(A656="","",MAX(1,CEILING(PERCENTRANK.INC($C$3:$C$6000,C656,4)*5+0.000001,1)))</f>
        <v/>
      </c>
      <c r="G656">
        <f>IF(A656="","",MAX(1,CEILING(PERCENTRANK.INC($D$3:$D$6000,D656,4)*5+0.000001,1)))</f>
        <v/>
      </c>
      <c r="H656">
        <f>IF(A656="","",E656&amp;F656&amp;G656)</f>
        <v/>
      </c>
      <c r="I656">
        <f>IF(A656="","",IF(AND(E656&gt;=4,F656&gt;=4,G656&gt;=4),"Juara",IF(AND(F656&gt;=4,E656&gt;=3),"Setia",IF(AND(E656=5,F656&lt;=2,G656&gt;=3),"Berpotensi",IF(AND(E656&lt;=3,E656&gt;=2,F656&gt;=3),"Rawan",IF(AND(E656&lt;=2,F656&lt;=2),"Tidur","Umum"))))))</f>
        <v/>
      </c>
    </row>
    <row r="657">
      <c r="B657">
        <f>IF(A657="","",$B$1-MAXIFS(Donasi!$A$2:$A$20000,Donasi!$B$2:$B$20000,A657))</f>
        <v/>
      </c>
      <c r="C657">
        <f>IF(A657="","",COUNTIF(Donasi!$B$2:$B$20000,A657))</f>
        <v/>
      </c>
      <c r="D657">
        <f>IF(A657="","",SUMIF(Donasi!$B$2:$B$20000,A657,Donasi!$C$2:$C$20000))</f>
        <v/>
      </c>
      <c r="E657">
        <f>IF(A657="","",6-CEILING(PERCENTRANK.INC($B$3:$B$6000,B657,4)*5+0.000001,1))</f>
        <v/>
      </c>
      <c r="F657">
        <f>IF(A657="","",MAX(1,CEILING(PERCENTRANK.INC($C$3:$C$6000,C657,4)*5+0.000001,1)))</f>
        <v/>
      </c>
      <c r="G657">
        <f>IF(A657="","",MAX(1,CEILING(PERCENTRANK.INC($D$3:$D$6000,D657,4)*5+0.000001,1)))</f>
        <v/>
      </c>
      <c r="H657">
        <f>IF(A657="","",E657&amp;F657&amp;G657)</f>
        <v/>
      </c>
      <c r="I657">
        <f>IF(A657="","",IF(AND(E657&gt;=4,F657&gt;=4,G657&gt;=4),"Juara",IF(AND(F657&gt;=4,E657&gt;=3),"Setia",IF(AND(E657=5,F657&lt;=2,G657&gt;=3),"Berpotensi",IF(AND(E657&lt;=3,E657&gt;=2,F657&gt;=3),"Rawan",IF(AND(E657&lt;=2,F657&lt;=2),"Tidur","Umum"))))))</f>
        <v/>
      </c>
    </row>
    <row r="658">
      <c r="B658">
        <f>IF(A658="","",$B$1-MAXIFS(Donasi!$A$2:$A$20000,Donasi!$B$2:$B$20000,A658))</f>
        <v/>
      </c>
      <c r="C658">
        <f>IF(A658="","",COUNTIF(Donasi!$B$2:$B$20000,A658))</f>
        <v/>
      </c>
      <c r="D658">
        <f>IF(A658="","",SUMIF(Donasi!$B$2:$B$20000,A658,Donasi!$C$2:$C$20000))</f>
        <v/>
      </c>
      <c r="E658">
        <f>IF(A658="","",6-CEILING(PERCENTRANK.INC($B$3:$B$6000,B658,4)*5+0.000001,1))</f>
        <v/>
      </c>
      <c r="F658">
        <f>IF(A658="","",MAX(1,CEILING(PERCENTRANK.INC($C$3:$C$6000,C658,4)*5+0.000001,1)))</f>
        <v/>
      </c>
      <c r="G658">
        <f>IF(A658="","",MAX(1,CEILING(PERCENTRANK.INC($D$3:$D$6000,D658,4)*5+0.000001,1)))</f>
        <v/>
      </c>
      <c r="H658">
        <f>IF(A658="","",E658&amp;F658&amp;G658)</f>
        <v/>
      </c>
      <c r="I658">
        <f>IF(A658="","",IF(AND(E658&gt;=4,F658&gt;=4,G658&gt;=4),"Juara",IF(AND(F658&gt;=4,E658&gt;=3),"Setia",IF(AND(E658=5,F658&lt;=2,G658&gt;=3),"Berpotensi",IF(AND(E658&lt;=3,E658&gt;=2,F658&gt;=3),"Rawan",IF(AND(E658&lt;=2,F658&lt;=2),"Tidur","Umum"))))))</f>
        <v/>
      </c>
    </row>
    <row r="659">
      <c r="B659">
        <f>IF(A659="","",$B$1-MAXIFS(Donasi!$A$2:$A$20000,Donasi!$B$2:$B$20000,A659))</f>
        <v/>
      </c>
      <c r="C659">
        <f>IF(A659="","",COUNTIF(Donasi!$B$2:$B$20000,A659))</f>
        <v/>
      </c>
      <c r="D659">
        <f>IF(A659="","",SUMIF(Donasi!$B$2:$B$20000,A659,Donasi!$C$2:$C$20000))</f>
        <v/>
      </c>
      <c r="E659">
        <f>IF(A659="","",6-CEILING(PERCENTRANK.INC($B$3:$B$6000,B659,4)*5+0.000001,1))</f>
        <v/>
      </c>
      <c r="F659">
        <f>IF(A659="","",MAX(1,CEILING(PERCENTRANK.INC($C$3:$C$6000,C659,4)*5+0.000001,1)))</f>
        <v/>
      </c>
      <c r="G659">
        <f>IF(A659="","",MAX(1,CEILING(PERCENTRANK.INC($D$3:$D$6000,D659,4)*5+0.000001,1)))</f>
        <v/>
      </c>
      <c r="H659">
        <f>IF(A659="","",E659&amp;F659&amp;G659)</f>
        <v/>
      </c>
      <c r="I659">
        <f>IF(A659="","",IF(AND(E659&gt;=4,F659&gt;=4,G659&gt;=4),"Juara",IF(AND(F659&gt;=4,E659&gt;=3),"Setia",IF(AND(E659=5,F659&lt;=2,G659&gt;=3),"Berpotensi",IF(AND(E659&lt;=3,E659&gt;=2,F659&gt;=3),"Rawan",IF(AND(E659&lt;=2,F659&lt;=2),"Tidur","Umum"))))))</f>
        <v/>
      </c>
    </row>
    <row r="660">
      <c r="B660">
        <f>IF(A660="","",$B$1-MAXIFS(Donasi!$A$2:$A$20000,Donasi!$B$2:$B$20000,A660))</f>
        <v/>
      </c>
      <c r="C660">
        <f>IF(A660="","",COUNTIF(Donasi!$B$2:$B$20000,A660))</f>
        <v/>
      </c>
      <c r="D660">
        <f>IF(A660="","",SUMIF(Donasi!$B$2:$B$20000,A660,Donasi!$C$2:$C$20000))</f>
        <v/>
      </c>
      <c r="E660">
        <f>IF(A660="","",6-CEILING(PERCENTRANK.INC($B$3:$B$6000,B660,4)*5+0.000001,1))</f>
        <v/>
      </c>
      <c r="F660">
        <f>IF(A660="","",MAX(1,CEILING(PERCENTRANK.INC($C$3:$C$6000,C660,4)*5+0.000001,1)))</f>
        <v/>
      </c>
      <c r="G660">
        <f>IF(A660="","",MAX(1,CEILING(PERCENTRANK.INC($D$3:$D$6000,D660,4)*5+0.000001,1)))</f>
        <v/>
      </c>
      <c r="H660">
        <f>IF(A660="","",E660&amp;F660&amp;G660)</f>
        <v/>
      </c>
      <c r="I660">
        <f>IF(A660="","",IF(AND(E660&gt;=4,F660&gt;=4,G660&gt;=4),"Juara",IF(AND(F660&gt;=4,E660&gt;=3),"Setia",IF(AND(E660=5,F660&lt;=2,G660&gt;=3),"Berpotensi",IF(AND(E660&lt;=3,E660&gt;=2,F660&gt;=3),"Rawan",IF(AND(E660&lt;=2,F660&lt;=2),"Tidur","Umum"))))))</f>
        <v/>
      </c>
    </row>
    <row r="661">
      <c r="B661">
        <f>IF(A661="","",$B$1-MAXIFS(Donasi!$A$2:$A$20000,Donasi!$B$2:$B$20000,A661))</f>
        <v/>
      </c>
      <c r="C661">
        <f>IF(A661="","",COUNTIF(Donasi!$B$2:$B$20000,A661))</f>
        <v/>
      </c>
      <c r="D661">
        <f>IF(A661="","",SUMIF(Donasi!$B$2:$B$20000,A661,Donasi!$C$2:$C$20000))</f>
        <v/>
      </c>
      <c r="E661">
        <f>IF(A661="","",6-CEILING(PERCENTRANK.INC($B$3:$B$6000,B661,4)*5+0.000001,1))</f>
        <v/>
      </c>
      <c r="F661">
        <f>IF(A661="","",MAX(1,CEILING(PERCENTRANK.INC($C$3:$C$6000,C661,4)*5+0.000001,1)))</f>
        <v/>
      </c>
      <c r="G661">
        <f>IF(A661="","",MAX(1,CEILING(PERCENTRANK.INC($D$3:$D$6000,D661,4)*5+0.000001,1)))</f>
        <v/>
      </c>
      <c r="H661">
        <f>IF(A661="","",E661&amp;F661&amp;G661)</f>
        <v/>
      </c>
      <c r="I661">
        <f>IF(A661="","",IF(AND(E661&gt;=4,F661&gt;=4,G661&gt;=4),"Juara",IF(AND(F661&gt;=4,E661&gt;=3),"Setia",IF(AND(E661=5,F661&lt;=2,G661&gt;=3),"Berpotensi",IF(AND(E661&lt;=3,E661&gt;=2,F661&gt;=3),"Rawan",IF(AND(E661&lt;=2,F661&lt;=2),"Tidur","Umum"))))))</f>
        <v/>
      </c>
    </row>
    <row r="662">
      <c r="B662">
        <f>IF(A662="","",$B$1-MAXIFS(Donasi!$A$2:$A$20000,Donasi!$B$2:$B$20000,A662))</f>
        <v/>
      </c>
      <c r="C662">
        <f>IF(A662="","",COUNTIF(Donasi!$B$2:$B$20000,A662))</f>
        <v/>
      </c>
      <c r="D662">
        <f>IF(A662="","",SUMIF(Donasi!$B$2:$B$20000,A662,Donasi!$C$2:$C$20000))</f>
        <v/>
      </c>
      <c r="E662">
        <f>IF(A662="","",6-CEILING(PERCENTRANK.INC($B$3:$B$6000,B662,4)*5+0.000001,1))</f>
        <v/>
      </c>
      <c r="F662">
        <f>IF(A662="","",MAX(1,CEILING(PERCENTRANK.INC($C$3:$C$6000,C662,4)*5+0.000001,1)))</f>
        <v/>
      </c>
      <c r="G662">
        <f>IF(A662="","",MAX(1,CEILING(PERCENTRANK.INC($D$3:$D$6000,D662,4)*5+0.000001,1)))</f>
        <v/>
      </c>
      <c r="H662">
        <f>IF(A662="","",E662&amp;F662&amp;G662)</f>
        <v/>
      </c>
      <c r="I662">
        <f>IF(A662="","",IF(AND(E662&gt;=4,F662&gt;=4,G662&gt;=4),"Juara",IF(AND(F662&gt;=4,E662&gt;=3),"Setia",IF(AND(E662=5,F662&lt;=2,G662&gt;=3),"Berpotensi",IF(AND(E662&lt;=3,E662&gt;=2,F662&gt;=3),"Rawan",IF(AND(E662&lt;=2,F662&lt;=2),"Tidur","Umum"))))))</f>
        <v/>
      </c>
    </row>
    <row r="663">
      <c r="B663">
        <f>IF(A663="","",$B$1-MAXIFS(Donasi!$A$2:$A$20000,Donasi!$B$2:$B$20000,A663))</f>
        <v/>
      </c>
      <c r="C663">
        <f>IF(A663="","",COUNTIF(Donasi!$B$2:$B$20000,A663))</f>
        <v/>
      </c>
      <c r="D663">
        <f>IF(A663="","",SUMIF(Donasi!$B$2:$B$20000,A663,Donasi!$C$2:$C$20000))</f>
        <v/>
      </c>
      <c r="E663">
        <f>IF(A663="","",6-CEILING(PERCENTRANK.INC($B$3:$B$6000,B663,4)*5+0.000001,1))</f>
        <v/>
      </c>
      <c r="F663">
        <f>IF(A663="","",MAX(1,CEILING(PERCENTRANK.INC($C$3:$C$6000,C663,4)*5+0.000001,1)))</f>
        <v/>
      </c>
      <c r="G663">
        <f>IF(A663="","",MAX(1,CEILING(PERCENTRANK.INC($D$3:$D$6000,D663,4)*5+0.000001,1)))</f>
        <v/>
      </c>
      <c r="H663">
        <f>IF(A663="","",E663&amp;F663&amp;G663)</f>
        <v/>
      </c>
      <c r="I663">
        <f>IF(A663="","",IF(AND(E663&gt;=4,F663&gt;=4,G663&gt;=4),"Juara",IF(AND(F663&gt;=4,E663&gt;=3),"Setia",IF(AND(E663=5,F663&lt;=2,G663&gt;=3),"Berpotensi",IF(AND(E663&lt;=3,E663&gt;=2,F663&gt;=3),"Rawan",IF(AND(E663&lt;=2,F663&lt;=2),"Tidur","Umum"))))))</f>
        <v/>
      </c>
    </row>
    <row r="664">
      <c r="B664">
        <f>IF(A664="","",$B$1-MAXIFS(Donasi!$A$2:$A$20000,Donasi!$B$2:$B$20000,A664))</f>
        <v/>
      </c>
      <c r="C664">
        <f>IF(A664="","",COUNTIF(Donasi!$B$2:$B$20000,A664))</f>
        <v/>
      </c>
      <c r="D664">
        <f>IF(A664="","",SUMIF(Donasi!$B$2:$B$20000,A664,Donasi!$C$2:$C$20000))</f>
        <v/>
      </c>
      <c r="E664">
        <f>IF(A664="","",6-CEILING(PERCENTRANK.INC($B$3:$B$6000,B664,4)*5+0.000001,1))</f>
        <v/>
      </c>
      <c r="F664">
        <f>IF(A664="","",MAX(1,CEILING(PERCENTRANK.INC($C$3:$C$6000,C664,4)*5+0.000001,1)))</f>
        <v/>
      </c>
      <c r="G664">
        <f>IF(A664="","",MAX(1,CEILING(PERCENTRANK.INC($D$3:$D$6000,D664,4)*5+0.000001,1)))</f>
        <v/>
      </c>
      <c r="H664">
        <f>IF(A664="","",E664&amp;F664&amp;G664)</f>
        <v/>
      </c>
      <c r="I664">
        <f>IF(A664="","",IF(AND(E664&gt;=4,F664&gt;=4,G664&gt;=4),"Juara",IF(AND(F664&gt;=4,E664&gt;=3),"Setia",IF(AND(E664=5,F664&lt;=2,G664&gt;=3),"Berpotensi",IF(AND(E664&lt;=3,E664&gt;=2,F664&gt;=3),"Rawan",IF(AND(E664&lt;=2,F664&lt;=2),"Tidur","Umum"))))))</f>
        <v/>
      </c>
    </row>
    <row r="665">
      <c r="B665">
        <f>IF(A665="","",$B$1-MAXIFS(Donasi!$A$2:$A$20000,Donasi!$B$2:$B$20000,A665))</f>
        <v/>
      </c>
      <c r="C665">
        <f>IF(A665="","",COUNTIF(Donasi!$B$2:$B$20000,A665))</f>
        <v/>
      </c>
      <c r="D665">
        <f>IF(A665="","",SUMIF(Donasi!$B$2:$B$20000,A665,Donasi!$C$2:$C$20000))</f>
        <v/>
      </c>
      <c r="E665">
        <f>IF(A665="","",6-CEILING(PERCENTRANK.INC($B$3:$B$6000,B665,4)*5+0.000001,1))</f>
        <v/>
      </c>
      <c r="F665">
        <f>IF(A665="","",MAX(1,CEILING(PERCENTRANK.INC($C$3:$C$6000,C665,4)*5+0.000001,1)))</f>
        <v/>
      </c>
      <c r="G665">
        <f>IF(A665="","",MAX(1,CEILING(PERCENTRANK.INC($D$3:$D$6000,D665,4)*5+0.000001,1)))</f>
        <v/>
      </c>
      <c r="H665">
        <f>IF(A665="","",E665&amp;F665&amp;G665)</f>
        <v/>
      </c>
      <c r="I665">
        <f>IF(A665="","",IF(AND(E665&gt;=4,F665&gt;=4,G665&gt;=4),"Juara",IF(AND(F665&gt;=4,E665&gt;=3),"Setia",IF(AND(E665=5,F665&lt;=2,G665&gt;=3),"Berpotensi",IF(AND(E665&lt;=3,E665&gt;=2,F665&gt;=3),"Rawan",IF(AND(E665&lt;=2,F665&lt;=2),"Tidur","Umum"))))))</f>
        <v/>
      </c>
    </row>
    <row r="666">
      <c r="B666">
        <f>IF(A666="","",$B$1-MAXIFS(Donasi!$A$2:$A$20000,Donasi!$B$2:$B$20000,A666))</f>
        <v/>
      </c>
      <c r="C666">
        <f>IF(A666="","",COUNTIF(Donasi!$B$2:$B$20000,A666))</f>
        <v/>
      </c>
      <c r="D666">
        <f>IF(A666="","",SUMIF(Donasi!$B$2:$B$20000,A666,Donasi!$C$2:$C$20000))</f>
        <v/>
      </c>
      <c r="E666">
        <f>IF(A666="","",6-CEILING(PERCENTRANK.INC($B$3:$B$6000,B666,4)*5+0.000001,1))</f>
        <v/>
      </c>
      <c r="F666">
        <f>IF(A666="","",MAX(1,CEILING(PERCENTRANK.INC($C$3:$C$6000,C666,4)*5+0.000001,1)))</f>
        <v/>
      </c>
      <c r="G666">
        <f>IF(A666="","",MAX(1,CEILING(PERCENTRANK.INC($D$3:$D$6000,D666,4)*5+0.000001,1)))</f>
        <v/>
      </c>
      <c r="H666">
        <f>IF(A666="","",E666&amp;F666&amp;G666)</f>
        <v/>
      </c>
      <c r="I666">
        <f>IF(A666="","",IF(AND(E666&gt;=4,F666&gt;=4,G666&gt;=4),"Juara",IF(AND(F666&gt;=4,E666&gt;=3),"Setia",IF(AND(E666=5,F666&lt;=2,G666&gt;=3),"Berpotensi",IF(AND(E666&lt;=3,E666&gt;=2,F666&gt;=3),"Rawan",IF(AND(E666&lt;=2,F666&lt;=2),"Tidur","Umum"))))))</f>
        <v/>
      </c>
    </row>
    <row r="667">
      <c r="B667">
        <f>IF(A667="","",$B$1-MAXIFS(Donasi!$A$2:$A$20000,Donasi!$B$2:$B$20000,A667))</f>
        <v/>
      </c>
      <c r="C667">
        <f>IF(A667="","",COUNTIF(Donasi!$B$2:$B$20000,A667))</f>
        <v/>
      </c>
      <c r="D667">
        <f>IF(A667="","",SUMIF(Donasi!$B$2:$B$20000,A667,Donasi!$C$2:$C$20000))</f>
        <v/>
      </c>
      <c r="E667">
        <f>IF(A667="","",6-CEILING(PERCENTRANK.INC($B$3:$B$6000,B667,4)*5+0.000001,1))</f>
        <v/>
      </c>
      <c r="F667">
        <f>IF(A667="","",MAX(1,CEILING(PERCENTRANK.INC($C$3:$C$6000,C667,4)*5+0.000001,1)))</f>
        <v/>
      </c>
      <c r="G667">
        <f>IF(A667="","",MAX(1,CEILING(PERCENTRANK.INC($D$3:$D$6000,D667,4)*5+0.000001,1)))</f>
        <v/>
      </c>
      <c r="H667">
        <f>IF(A667="","",E667&amp;F667&amp;G667)</f>
        <v/>
      </c>
      <c r="I667">
        <f>IF(A667="","",IF(AND(E667&gt;=4,F667&gt;=4,G667&gt;=4),"Juara",IF(AND(F667&gt;=4,E667&gt;=3),"Setia",IF(AND(E667=5,F667&lt;=2,G667&gt;=3),"Berpotensi",IF(AND(E667&lt;=3,E667&gt;=2,F667&gt;=3),"Rawan",IF(AND(E667&lt;=2,F667&lt;=2),"Tidur","Umum"))))))</f>
        <v/>
      </c>
    </row>
    <row r="668">
      <c r="B668">
        <f>IF(A668="","",$B$1-MAXIFS(Donasi!$A$2:$A$20000,Donasi!$B$2:$B$20000,A668))</f>
        <v/>
      </c>
      <c r="C668">
        <f>IF(A668="","",COUNTIF(Donasi!$B$2:$B$20000,A668))</f>
        <v/>
      </c>
      <c r="D668">
        <f>IF(A668="","",SUMIF(Donasi!$B$2:$B$20000,A668,Donasi!$C$2:$C$20000))</f>
        <v/>
      </c>
      <c r="E668">
        <f>IF(A668="","",6-CEILING(PERCENTRANK.INC($B$3:$B$6000,B668,4)*5+0.000001,1))</f>
        <v/>
      </c>
      <c r="F668">
        <f>IF(A668="","",MAX(1,CEILING(PERCENTRANK.INC($C$3:$C$6000,C668,4)*5+0.000001,1)))</f>
        <v/>
      </c>
      <c r="G668">
        <f>IF(A668="","",MAX(1,CEILING(PERCENTRANK.INC($D$3:$D$6000,D668,4)*5+0.000001,1)))</f>
        <v/>
      </c>
      <c r="H668">
        <f>IF(A668="","",E668&amp;F668&amp;G668)</f>
        <v/>
      </c>
      <c r="I668">
        <f>IF(A668="","",IF(AND(E668&gt;=4,F668&gt;=4,G668&gt;=4),"Juara",IF(AND(F668&gt;=4,E668&gt;=3),"Setia",IF(AND(E668=5,F668&lt;=2,G668&gt;=3),"Berpotensi",IF(AND(E668&lt;=3,E668&gt;=2,F668&gt;=3),"Rawan",IF(AND(E668&lt;=2,F668&lt;=2),"Tidur","Umum"))))))</f>
        <v/>
      </c>
    </row>
    <row r="669">
      <c r="B669">
        <f>IF(A669="","",$B$1-MAXIFS(Donasi!$A$2:$A$20000,Donasi!$B$2:$B$20000,A669))</f>
        <v/>
      </c>
      <c r="C669">
        <f>IF(A669="","",COUNTIF(Donasi!$B$2:$B$20000,A669))</f>
        <v/>
      </c>
      <c r="D669">
        <f>IF(A669="","",SUMIF(Donasi!$B$2:$B$20000,A669,Donasi!$C$2:$C$20000))</f>
        <v/>
      </c>
      <c r="E669">
        <f>IF(A669="","",6-CEILING(PERCENTRANK.INC($B$3:$B$6000,B669,4)*5+0.000001,1))</f>
        <v/>
      </c>
      <c r="F669">
        <f>IF(A669="","",MAX(1,CEILING(PERCENTRANK.INC($C$3:$C$6000,C669,4)*5+0.000001,1)))</f>
        <v/>
      </c>
      <c r="G669">
        <f>IF(A669="","",MAX(1,CEILING(PERCENTRANK.INC($D$3:$D$6000,D669,4)*5+0.000001,1)))</f>
        <v/>
      </c>
      <c r="H669">
        <f>IF(A669="","",E669&amp;F669&amp;G669)</f>
        <v/>
      </c>
      <c r="I669">
        <f>IF(A669="","",IF(AND(E669&gt;=4,F669&gt;=4,G669&gt;=4),"Juara",IF(AND(F669&gt;=4,E669&gt;=3),"Setia",IF(AND(E669=5,F669&lt;=2,G669&gt;=3),"Berpotensi",IF(AND(E669&lt;=3,E669&gt;=2,F669&gt;=3),"Rawan",IF(AND(E669&lt;=2,F669&lt;=2),"Tidur","Umum"))))))</f>
        <v/>
      </c>
    </row>
    <row r="670">
      <c r="B670">
        <f>IF(A670="","",$B$1-MAXIFS(Donasi!$A$2:$A$20000,Donasi!$B$2:$B$20000,A670))</f>
        <v/>
      </c>
      <c r="C670">
        <f>IF(A670="","",COUNTIF(Donasi!$B$2:$B$20000,A670))</f>
        <v/>
      </c>
      <c r="D670">
        <f>IF(A670="","",SUMIF(Donasi!$B$2:$B$20000,A670,Donasi!$C$2:$C$20000))</f>
        <v/>
      </c>
      <c r="E670">
        <f>IF(A670="","",6-CEILING(PERCENTRANK.INC($B$3:$B$6000,B670,4)*5+0.000001,1))</f>
        <v/>
      </c>
      <c r="F670">
        <f>IF(A670="","",MAX(1,CEILING(PERCENTRANK.INC($C$3:$C$6000,C670,4)*5+0.000001,1)))</f>
        <v/>
      </c>
      <c r="G670">
        <f>IF(A670="","",MAX(1,CEILING(PERCENTRANK.INC($D$3:$D$6000,D670,4)*5+0.000001,1)))</f>
        <v/>
      </c>
      <c r="H670">
        <f>IF(A670="","",E670&amp;F670&amp;G670)</f>
        <v/>
      </c>
      <c r="I670">
        <f>IF(A670="","",IF(AND(E670&gt;=4,F670&gt;=4,G670&gt;=4),"Juara",IF(AND(F670&gt;=4,E670&gt;=3),"Setia",IF(AND(E670=5,F670&lt;=2,G670&gt;=3),"Berpotensi",IF(AND(E670&lt;=3,E670&gt;=2,F670&gt;=3),"Rawan",IF(AND(E670&lt;=2,F670&lt;=2),"Tidur","Umum"))))))</f>
        <v/>
      </c>
    </row>
    <row r="671">
      <c r="B671">
        <f>IF(A671="","",$B$1-MAXIFS(Donasi!$A$2:$A$20000,Donasi!$B$2:$B$20000,A671))</f>
        <v/>
      </c>
      <c r="C671">
        <f>IF(A671="","",COUNTIF(Donasi!$B$2:$B$20000,A671))</f>
        <v/>
      </c>
      <c r="D671">
        <f>IF(A671="","",SUMIF(Donasi!$B$2:$B$20000,A671,Donasi!$C$2:$C$20000))</f>
        <v/>
      </c>
      <c r="E671">
        <f>IF(A671="","",6-CEILING(PERCENTRANK.INC($B$3:$B$6000,B671,4)*5+0.000001,1))</f>
        <v/>
      </c>
      <c r="F671">
        <f>IF(A671="","",MAX(1,CEILING(PERCENTRANK.INC($C$3:$C$6000,C671,4)*5+0.000001,1)))</f>
        <v/>
      </c>
      <c r="G671">
        <f>IF(A671="","",MAX(1,CEILING(PERCENTRANK.INC($D$3:$D$6000,D671,4)*5+0.000001,1)))</f>
        <v/>
      </c>
      <c r="H671">
        <f>IF(A671="","",E671&amp;F671&amp;G671)</f>
        <v/>
      </c>
      <c r="I671">
        <f>IF(A671="","",IF(AND(E671&gt;=4,F671&gt;=4,G671&gt;=4),"Juara",IF(AND(F671&gt;=4,E671&gt;=3),"Setia",IF(AND(E671=5,F671&lt;=2,G671&gt;=3),"Berpotensi",IF(AND(E671&lt;=3,E671&gt;=2,F671&gt;=3),"Rawan",IF(AND(E671&lt;=2,F671&lt;=2),"Tidur","Umum"))))))</f>
        <v/>
      </c>
    </row>
    <row r="672">
      <c r="B672">
        <f>IF(A672="","",$B$1-MAXIFS(Donasi!$A$2:$A$20000,Donasi!$B$2:$B$20000,A672))</f>
        <v/>
      </c>
      <c r="C672">
        <f>IF(A672="","",COUNTIF(Donasi!$B$2:$B$20000,A672))</f>
        <v/>
      </c>
      <c r="D672">
        <f>IF(A672="","",SUMIF(Donasi!$B$2:$B$20000,A672,Donasi!$C$2:$C$20000))</f>
        <v/>
      </c>
      <c r="E672">
        <f>IF(A672="","",6-CEILING(PERCENTRANK.INC($B$3:$B$6000,B672,4)*5+0.000001,1))</f>
        <v/>
      </c>
      <c r="F672">
        <f>IF(A672="","",MAX(1,CEILING(PERCENTRANK.INC($C$3:$C$6000,C672,4)*5+0.000001,1)))</f>
        <v/>
      </c>
      <c r="G672">
        <f>IF(A672="","",MAX(1,CEILING(PERCENTRANK.INC($D$3:$D$6000,D672,4)*5+0.000001,1)))</f>
        <v/>
      </c>
      <c r="H672">
        <f>IF(A672="","",E672&amp;F672&amp;G672)</f>
        <v/>
      </c>
      <c r="I672">
        <f>IF(A672="","",IF(AND(E672&gt;=4,F672&gt;=4,G672&gt;=4),"Juara",IF(AND(F672&gt;=4,E672&gt;=3),"Setia",IF(AND(E672=5,F672&lt;=2,G672&gt;=3),"Berpotensi",IF(AND(E672&lt;=3,E672&gt;=2,F672&gt;=3),"Rawan",IF(AND(E672&lt;=2,F672&lt;=2),"Tidur","Umum"))))))</f>
        <v/>
      </c>
    </row>
    <row r="673">
      <c r="B673">
        <f>IF(A673="","",$B$1-MAXIFS(Donasi!$A$2:$A$20000,Donasi!$B$2:$B$20000,A673))</f>
        <v/>
      </c>
      <c r="C673">
        <f>IF(A673="","",COUNTIF(Donasi!$B$2:$B$20000,A673))</f>
        <v/>
      </c>
      <c r="D673">
        <f>IF(A673="","",SUMIF(Donasi!$B$2:$B$20000,A673,Donasi!$C$2:$C$20000))</f>
        <v/>
      </c>
      <c r="E673">
        <f>IF(A673="","",6-CEILING(PERCENTRANK.INC($B$3:$B$6000,B673,4)*5+0.000001,1))</f>
        <v/>
      </c>
      <c r="F673">
        <f>IF(A673="","",MAX(1,CEILING(PERCENTRANK.INC($C$3:$C$6000,C673,4)*5+0.000001,1)))</f>
        <v/>
      </c>
      <c r="G673">
        <f>IF(A673="","",MAX(1,CEILING(PERCENTRANK.INC($D$3:$D$6000,D673,4)*5+0.000001,1)))</f>
        <v/>
      </c>
      <c r="H673">
        <f>IF(A673="","",E673&amp;F673&amp;G673)</f>
        <v/>
      </c>
      <c r="I673">
        <f>IF(A673="","",IF(AND(E673&gt;=4,F673&gt;=4,G673&gt;=4),"Juara",IF(AND(F673&gt;=4,E673&gt;=3),"Setia",IF(AND(E673=5,F673&lt;=2,G673&gt;=3),"Berpotensi",IF(AND(E673&lt;=3,E673&gt;=2,F673&gt;=3),"Rawan",IF(AND(E673&lt;=2,F673&lt;=2),"Tidur","Umum"))))))</f>
        <v/>
      </c>
    </row>
    <row r="674">
      <c r="B674">
        <f>IF(A674="","",$B$1-MAXIFS(Donasi!$A$2:$A$20000,Donasi!$B$2:$B$20000,A674))</f>
        <v/>
      </c>
      <c r="C674">
        <f>IF(A674="","",COUNTIF(Donasi!$B$2:$B$20000,A674))</f>
        <v/>
      </c>
      <c r="D674">
        <f>IF(A674="","",SUMIF(Donasi!$B$2:$B$20000,A674,Donasi!$C$2:$C$20000))</f>
        <v/>
      </c>
      <c r="E674">
        <f>IF(A674="","",6-CEILING(PERCENTRANK.INC($B$3:$B$6000,B674,4)*5+0.000001,1))</f>
        <v/>
      </c>
      <c r="F674">
        <f>IF(A674="","",MAX(1,CEILING(PERCENTRANK.INC($C$3:$C$6000,C674,4)*5+0.000001,1)))</f>
        <v/>
      </c>
      <c r="G674">
        <f>IF(A674="","",MAX(1,CEILING(PERCENTRANK.INC($D$3:$D$6000,D674,4)*5+0.000001,1)))</f>
        <v/>
      </c>
      <c r="H674">
        <f>IF(A674="","",E674&amp;F674&amp;G674)</f>
        <v/>
      </c>
      <c r="I674">
        <f>IF(A674="","",IF(AND(E674&gt;=4,F674&gt;=4,G674&gt;=4),"Juara",IF(AND(F674&gt;=4,E674&gt;=3),"Setia",IF(AND(E674=5,F674&lt;=2,G674&gt;=3),"Berpotensi",IF(AND(E674&lt;=3,E674&gt;=2,F674&gt;=3),"Rawan",IF(AND(E674&lt;=2,F674&lt;=2),"Tidur","Umum"))))))</f>
        <v/>
      </c>
    </row>
    <row r="675">
      <c r="B675">
        <f>IF(A675="","",$B$1-MAXIFS(Donasi!$A$2:$A$20000,Donasi!$B$2:$B$20000,A675))</f>
        <v/>
      </c>
      <c r="C675">
        <f>IF(A675="","",COUNTIF(Donasi!$B$2:$B$20000,A675))</f>
        <v/>
      </c>
      <c r="D675">
        <f>IF(A675="","",SUMIF(Donasi!$B$2:$B$20000,A675,Donasi!$C$2:$C$20000))</f>
        <v/>
      </c>
      <c r="E675">
        <f>IF(A675="","",6-CEILING(PERCENTRANK.INC($B$3:$B$6000,B675,4)*5+0.000001,1))</f>
        <v/>
      </c>
      <c r="F675">
        <f>IF(A675="","",MAX(1,CEILING(PERCENTRANK.INC($C$3:$C$6000,C675,4)*5+0.000001,1)))</f>
        <v/>
      </c>
      <c r="G675">
        <f>IF(A675="","",MAX(1,CEILING(PERCENTRANK.INC($D$3:$D$6000,D675,4)*5+0.000001,1)))</f>
        <v/>
      </c>
      <c r="H675">
        <f>IF(A675="","",E675&amp;F675&amp;G675)</f>
        <v/>
      </c>
      <c r="I675">
        <f>IF(A675="","",IF(AND(E675&gt;=4,F675&gt;=4,G675&gt;=4),"Juara",IF(AND(F675&gt;=4,E675&gt;=3),"Setia",IF(AND(E675=5,F675&lt;=2,G675&gt;=3),"Berpotensi",IF(AND(E675&lt;=3,E675&gt;=2,F675&gt;=3),"Rawan",IF(AND(E675&lt;=2,F675&lt;=2),"Tidur","Umum"))))))</f>
        <v/>
      </c>
    </row>
    <row r="676">
      <c r="B676">
        <f>IF(A676="","",$B$1-MAXIFS(Donasi!$A$2:$A$20000,Donasi!$B$2:$B$20000,A676))</f>
        <v/>
      </c>
      <c r="C676">
        <f>IF(A676="","",COUNTIF(Donasi!$B$2:$B$20000,A676))</f>
        <v/>
      </c>
      <c r="D676">
        <f>IF(A676="","",SUMIF(Donasi!$B$2:$B$20000,A676,Donasi!$C$2:$C$20000))</f>
        <v/>
      </c>
      <c r="E676">
        <f>IF(A676="","",6-CEILING(PERCENTRANK.INC($B$3:$B$6000,B676,4)*5+0.000001,1))</f>
        <v/>
      </c>
      <c r="F676">
        <f>IF(A676="","",MAX(1,CEILING(PERCENTRANK.INC($C$3:$C$6000,C676,4)*5+0.000001,1)))</f>
        <v/>
      </c>
      <c r="G676">
        <f>IF(A676="","",MAX(1,CEILING(PERCENTRANK.INC($D$3:$D$6000,D676,4)*5+0.000001,1)))</f>
        <v/>
      </c>
      <c r="H676">
        <f>IF(A676="","",E676&amp;F676&amp;G676)</f>
        <v/>
      </c>
      <c r="I676">
        <f>IF(A676="","",IF(AND(E676&gt;=4,F676&gt;=4,G676&gt;=4),"Juara",IF(AND(F676&gt;=4,E676&gt;=3),"Setia",IF(AND(E676=5,F676&lt;=2,G676&gt;=3),"Berpotensi",IF(AND(E676&lt;=3,E676&gt;=2,F676&gt;=3),"Rawan",IF(AND(E676&lt;=2,F676&lt;=2),"Tidur","Umum"))))))</f>
        <v/>
      </c>
    </row>
    <row r="677">
      <c r="B677">
        <f>IF(A677="","",$B$1-MAXIFS(Donasi!$A$2:$A$20000,Donasi!$B$2:$B$20000,A677))</f>
        <v/>
      </c>
      <c r="C677">
        <f>IF(A677="","",COUNTIF(Donasi!$B$2:$B$20000,A677))</f>
        <v/>
      </c>
      <c r="D677">
        <f>IF(A677="","",SUMIF(Donasi!$B$2:$B$20000,A677,Donasi!$C$2:$C$20000))</f>
        <v/>
      </c>
      <c r="E677">
        <f>IF(A677="","",6-CEILING(PERCENTRANK.INC($B$3:$B$6000,B677,4)*5+0.000001,1))</f>
        <v/>
      </c>
      <c r="F677">
        <f>IF(A677="","",MAX(1,CEILING(PERCENTRANK.INC($C$3:$C$6000,C677,4)*5+0.000001,1)))</f>
        <v/>
      </c>
      <c r="G677">
        <f>IF(A677="","",MAX(1,CEILING(PERCENTRANK.INC($D$3:$D$6000,D677,4)*5+0.000001,1)))</f>
        <v/>
      </c>
      <c r="H677">
        <f>IF(A677="","",E677&amp;F677&amp;G677)</f>
        <v/>
      </c>
      <c r="I677">
        <f>IF(A677="","",IF(AND(E677&gt;=4,F677&gt;=4,G677&gt;=4),"Juara",IF(AND(F677&gt;=4,E677&gt;=3),"Setia",IF(AND(E677=5,F677&lt;=2,G677&gt;=3),"Berpotensi",IF(AND(E677&lt;=3,E677&gt;=2,F677&gt;=3),"Rawan",IF(AND(E677&lt;=2,F677&lt;=2),"Tidur","Umum"))))))</f>
        <v/>
      </c>
    </row>
    <row r="678">
      <c r="B678">
        <f>IF(A678="","",$B$1-MAXIFS(Donasi!$A$2:$A$20000,Donasi!$B$2:$B$20000,A678))</f>
        <v/>
      </c>
      <c r="C678">
        <f>IF(A678="","",COUNTIF(Donasi!$B$2:$B$20000,A678))</f>
        <v/>
      </c>
      <c r="D678">
        <f>IF(A678="","",SUMIF(Donasi!$B$2:$B$20000,A678,Donasi!$C$2:$C$20000))</f>
        <v/>
      </c>
      <c r="E678">
        <f>IF(A678="","",6-CEILING(PERCENTRANK.INC($B$3:$B$6000,B678,4)*5+0.000001,1))</f>
        <v/>
      </c>
      <c r="F678">
        <f>IF(A678="","",MAX(1,CEILING(PERCENTRANK.INC($C$3:$C$6000,C678,4)*5+0.000001,1)))</f>
        <v/>
      </c>
      <c r="G678">
        <f>IF(A678="","",MAX(1,CEILING(PERCENTRANK.INC($D$3:$D$6000,D678,4)*5+0.000001,1)))</f>
        <v/>
      </c>
      <c r="H678">
        <f>IF(A678="","",E678&amp;F678&amp;G678)</f>
        <v/>
      </c>
      <c r="I678">
        <f>IF(A678="","",IF(AND(E678&gt;=4,F678&gt;=4,G678&gt;=4),"Juara",IF(AND(F678&gt;=4,E678&gt;=3),"Setia",IF(AND(E678=5,F678&lt;=2,G678&gt;=3),"Berpotensi",IF(AND(E678&lt;=3,E678&gt;=2,F678&gt;=3),"Rawan",IF(AND(E678&lt;=2,F678&lt;=2),"Tidur","Umum"))))))</f>
        <v/>
      </c>
    </row>
    <row r="679">
      <c r="B679">
        <f>IF(A679="","",$B$1-MAXIFS(Donasi!$A$2:$A$20000,Donasi!$B$2:$B$20000,A679))</f>
        <v/>
      </c>
      <c r="C679">
        <f>IF(A679="","",COUNTIF(Donasi!$B$2:$B$20000,A679))</f>
        <v/>
      </c>
      <c r="D679">
        <f>IF(A679="","",SUMIF(Donasi!$B$2:$B$20000,A679,Donasi!$C$2:$C$20000))</f>
        <v/>
      </c>
      <c r="E679">
        <f>IF(A679="","",6-CEILING(PERCENTRANK.INC($B$3:$B$6000,B679,4)*5+0.000001,1))</f>
        <v/>
      </c>
      <c r="F679">
        <f>IF(A679="","",MAX(1,CEILING(PERCENTRANK.INC($C$3:$C$6000,C679,4)*5+0.000001,1)))</f>
        <v/>
      </c>
      <c r="G679">
        <f>IF(A679="","",MAX(1,CEILING(PERCENTRANK.INC($D$3:$D$6000,D679,4)*5+0.000001,1)))</f>
        <v/>
      </c>
      <c r="H679">
        <f>IF(A679="","",E679&amp;F679&amp;G679)</f>
        <v/>
      </c>
      <c r="I679">
        <f>IF(A679="","",IF(AND(E679&gt;=4,F679&gt;=4,G679&gt;=4),"Juara",IF(AND(F679&gt;=4,E679&gt;=3),"Setia",IF(AND(E679=5,F679&lt;=2,G679&gt;=3),"Berpotensi",IF(AND(E679&lt;=3,E679&gt;=2,F679&gt;=3),"Rawan",IF(AND(E679&lt;=2,F679&lt;=2),"Tidur","Umum"))))))</f>
        <v/>
      </c>
    </row>
    <row r="680">
      <c r="B680">
        <f>IF(A680="","",$B$1-MAXIFS(Donasi!$A$2:$A$20000,Donasi!$B$2:$B$20000,A680))</f>
        <v/>
      </c>
      <c r="C680">
        <f>IF(A680="","",COUNTIF(Donasi!$B$2:$B$20000,A680))</f>
        <v/>
      </c>
      <c r="D680">
        <f>IF(A680="","",SUMIF(Donasi!$B$2:$B$20000,A680,Donasi!$C$2:$C$20000))</f>
        <v/>
      </c>
      <c r="E680">
        <f>IF(A680="","",6-CEILING(PERCENTRANK.INC($B$3:$B$6000,B680,4)*5+0.000001,1))</f>
        <v/>
      </c>
      <c r="F680">
        <f>IF(A680="","",MAX(1,CEILING(PERCENTRANK.INC($C$3:$C$6000,C680,4)*5+0.000001,1)))</f>
        <v/>
      </c>
      <c r="G680">
        <f>IF(A680="","",MAX(1,CEILING(PERCENTRANK.INC($D$3:$D$6000,D680,4)*5+0.000001,1)))</f>
        <v/>
      </c>
      <c r="H680">
        <f>IF(A680="","",E680&amp;F680&amp;G680)</f>
        <v/>
      </c>
      <c r="I680">
        <f>IF(A680="","",IF(AND(E680&gt;=4,F680&gt;=4,G680&gt;=4),"Juara",IF(AND(F680&gt;=4,E680&gt;=3),"Setia",IF(AND(E680=5,F680&lt;=2,G680&gt;=3),"Berpotensi",IF(AND(E680&lt;=3,E680&gt;=2,F680&gt;=3),"Rawan",IF(AND(E680&lt;=2,F680&lt;=2),"Tidur","Umum"))))))</f>
        <v/>
      </c>
    </row>
    <row r="681">
      <c r="B681">
        <f>IF(A681="","",$B$1-MAXIFS(Donasi!$A$2:$A$20000,Donasi!$B$2:$B$20000,A681))</f>
        <v/>
      </c>
      <c r="C681">
        <f>IF(A681="","",COUNTIF(Donasi!$B$2:$B$20000,A681))</f>
        <v/>
      </c>
      <c r="D681">
        <f>IF(A681="","",SUMIF(Donasi!$B$2:$B$20000,A681,Donasi!$C$2:$C$20000))</f>
        <v/>
      </c>
      <c r="E681">
        <f>IF(A681="","",6-CEILING(PERCENTRANK.INC($B$3:$B$6000,B681,4)*5+0.000001,1))</f>
        <v/>
      </c>
      <c r="F681">
        <f>IF(A681="","",MAX(1,CEILING(PERCENTRANK.INC($C$3:$C$6000,C681,4)*5+0.000001,1)))</f>
        <v/>
      </c>
      <c r="G681">
        <f>IF(A681="","",MAX(1,CEILING(PERCENTRANK.INC($D$3:$D$6000,D681,4)*5+0.000001,1)))</f>
        <v/>
      </c>
      <c r="H681">
        <f>IF(A681="","",E681&amp;F681&amp;G681)</f>
        <v/>
      </c>
      <c r="I681">
        <f>IF(A681="","",IF(AND(E681&gt;=4,F681&gt;=4,G681&gt;=4),"Juara",IF(AND(F681&gt;=4,E681&gt;=3),"Setia",IF(AND(E681=5,F681&lt;=2,G681&gt;=3),"Berpotensi",IF(AND(E681&lt;=3,E681&gt;=2,F681&gt;=3),"Rawan",IF(AND(E681&lt;=2,F681&lt;=2),"Tidur","Umum"))))))</f>
        <v/>
      </c>
    </row>
    <row r="682">
      <c r="B682">
        <f>IF(A682="","",$B$1-MAXIFS(Donasi!$A$2:$A$20000,Donasi!$B$2:$B$20000,A682))</f>
        <v/>
      </c>
      <c r="C682">
        <f>IF(A682="","",COUNTIF(Donasi!$B$2:$B$20000,A682))</f>
        <v/>
      </c>
      <c r="D682">
        <f>IF(A682="","",SUMIF(Donasi!$B$2:$B$20000,A682,Donasi!$C$2:$C$20000))</f>
        <v/>
      </c>
      <c r="E682">
        <f>IF(A682="","",6-CEILING(PERCENTRANK.INC($B$3:$B$6000,B682,4)*5+0.000001,1))</f>
        <v/>
      </c>
      <c r="F682">
        <f>IF(A682="","",MAX(1,CEILING(PERCENTRANK.INC($C$3:$C$6000,C682,4)*5+0.000001,1)))</f>
        <v/>
      </c>
      <c r="G682">
        <f>IF(A682="","",MAX(1,CEILING(PERCENTRANK.INC($D$3:$D$6000,D682,4)*5+0.000001,1)))</f>
        <v/>
      </c>
      <c r="H682">
        <f>IF(A682="","",E682&amp;F682&amp;G682)</f>
        <v/>
      </c>
      <c r="I682">
        <f>IF(A682="","",IF(AND(E682&gt;=4,F682&gt;=4,G682&gt;=4),"Juara",IF(AND(F682&gt;=4,E682&gt;=3),"Setia",IF(AND(E682=5,F682&lt;=2,G682&gt;=3),"Berpotensi",IF(AND(E682&lt;=3,E682&gt;=2,F682&gt;=3),"Rawan",IF(AND(E682&lt;=2,F682&lt;=2),"Tidur","Umum"))))))</f>
        <v/>
      </c>
    </row>
    <row r="683">
      <c r="B683">
        <f>IF(A683="","",$B$1-MAXIFS(Donasi!$A$2:$A$20000,Donasi!$B$2:$B$20000,A683))</f>
        <v/>
      </c>
      <c r="C683">
        <f>IF(A683="","",COUNTIF(Donasi!$B$2:$B$20000,A683))</f>
        <v/>
      </c>
      <c r="D683">
        <f>IF(A683="","",SUMIF(Donasi!$B$2:$B$20000,A683,Donasi!$C$2:$C$20000))</f>
        <v/>
      </c>
      <c r="E683">
        <f>IF(A683="","",6-CEILING(PERCENTRANK.INC($B$3:$B$6000,B683,4)*5+0.000001,1))</f>
        <v/>
      </c>
      <c r="F683">
        <f>IF(A683="","",MAX(1,CEILING(PERCENTRANK.INC($C$3:$C$6000,C683,4)*5+0.000001,1)))</f>
        <v/>
      </c>
      <c r="G683">
        <f>IF(A683="","",MAX(1,CEILING(PERCENTRANK.INC($D$3:$D$6000,D683,4)*5+0.000001,1)))</f>
        <v/>
      </c>
      <c r="H683">
        <f>IF(A683="","",E683&amp;F683&amp;G683)</f>
        <v/>
      </c>
      <c r="I683">
        <f>IF(A683="","",IF(AND(E683&gt;=4,F683&gt;=4,G683&gt;=4),"Juara",IF(AND(F683&gt;=4,E683&gt;=3),"Setia",IF(AND(E683=5,F683&lt;=2,G683&gt;=3),"Berpotensi",IF(AND(E683&lt;=3,E683&gt;=2,F683&gt;=3),"Rawan",IF(AND(E683&lt;=2,F683&lt;=2),"Tidur","Umum"))))))</f>
        <v/>
      </c>
    </row>
    <row r="684">
      <c r="B684">
        <f>IF(A684="","",$B$1-MAXIFS(Donasi!$A$2:$A$20000,Donasi!$B$2:$B$20000,A684))</f>
        <v/>
      </c>
      <c r="C684">
        <f>IF(A684="","",COUNTIF(Donasi!$B$2:$B$20000,A684))</f>
        <v/>
      </c>
      <c r="D684">
        <f>IF(A684="","",SUMIF(Donasi!$B$2:$B$20000,A684,Donasi!$C$2:$C$20000))</f>
        <v/>
      </c>
      <c r="E684">
        <f>IF(A684="","",6-CEILING(PERCENTRANK.INC($B$3:$B$6000,B684,4)*5+0.000001,1))</f>
        <v/>
      </c>
      <c r="F684">
        <f>IF(A684="","",MAX(1,CEILING(PERCENTRANK.INC($C$3:$C$6000,C684,4)*5+0.000001,1)))</f>
        <v/>
      </c>
      <c r="G684">
        <f>IF(A684="","",MAX(1,CEILING(PERCENTRANK.INC($D$3:$D$6000,D684,4)*5+0.000001,1)))</f>
        <v/>
      </c>
      <c r="H684">
        <f>IF(A684="","",E684&amp;F684&amp;G684)</f>
        <v/>
      </c>
      <c r="I684">
        <f>IF(A684="","",IF(AND(E684&gt;=4,F684&gt;=4,G684&gt;=4),"Juara",IF(AND(F684&gt;=4,E684&gt;=3),"Setia",IF(AND(E684=5,F684&lt;=2,G684&gt;=3),"Berpotensi",IF(AND(E684&lt;=3,E684&gt;=2,F684&gt;=3),"Rawan",IF(AND(E684&lt;=2,F684&lt;=2),"Tidur","Umum"))))))</f>
        <v/>
      </c>
    </row>
    <row r="685">
      <c r="B685">
        <f>IF(A685="","",$B$1-MAXIFS(Donasi!$A$2:$A$20000,Donasi!$B$2:$B$20000,A685))</f>
        <v/>
      </c>
      <c r="C685">
        <f>IF(A685="","",COUNTIF(Donasi!$B$2:$B$20000,A685))</f>
        <v/>
      </c>
      <c r="D685">
        <f>IF(A685="","",SUMIF(Donasi!$B$2:$B$20000,A685,Donasi!$C$2:$C$20000))</f>
        <v/>
      </c>
      <c r="E685">
        <f>IF(A685="","",6-CEILING(PERCENTRANK.INC($B$3:$B$6000,B685,4)*5+0.000001,1))</f>
        <v/>
      </c>
      <c r="F685">
        <f>IF(A685="","",MAX(1,CEILING(PERCENTRANK.INC($C$3:$C$6000,C685,4)*5+0.000001,1)))</f>
        <v/>
      </c>
      <c r="G685">
        <f>IF(A685="","",MAX(1,CEILING(PERCENTRANK.INC($D$3:$D$6000,D685,4)*5+0.000001,1)))</f>
        <v/>
      </c>
      <c r="H685">
        <f>IF(A685="","",E685&amp;F685&amp;G685)</f>
        <v/>
      </c>
      <c r="I685">
        <f>IF(A685="","",IF(AND(E685&gt;=4,F685&gt;=4,G685&gt;=4),"Juara",IF(AND(F685&gt;=4,E685&gt;=3),"Setia",IF(AND(E685=5,F685&lt;=2,G685&gt;=3),"Berpotensi",IF(AND(E685&lt;=3,E685&gt;=2,F685&gt;=3),"Rawan",IF(AND(E685&lt;=2,F685&lt;=2),"Tidur","Umum"))))))</f>
        <v/>
      </c>
    </row>
    <row r="686">
      <c r="B686">
        <f>IF(A686="","",$B$1-MAXIFS(Donasi!$A$2:$A$20000,Donasi!$B$2:$B$20000,A686))</f>
        <v/>
      </c>
      <c r="C686">
        <f>IF(A686="","",COUNTIF(Donasi!$B$2:$B$20000,A686))</f>
        <v/>
      </c>
      <c r="D686">
        <f>IF(A686="","",SUMIF(Donasi!$B$2:$B$20000,A686,Donasi!$C$2:$C$20000))</f>
        <v/>
      </c>
      <c r="E686">
        <f>IF(A686="","",6-CEILING(PERCENTRANK.INC($B$3:$B$6000,B686,4)*5+0.000001,1))</f>
        <v/>
      </c>
      <c r="F686">
        <f>IF(A686="","",MAX(1,CEILING(PERCENTRANK.INC($C$3:$C$6000,C686,4)*5+0.000001,1)))</f>
        <v/>
      </c>
      <c r="G686">
        <f>IF(A686="","",MAX(1,CEILING(PERCENTRANK.INC($D$3:$D$6000,D686,4)*5+0.000001,1)))</f>
        <v/>
      </c>
      <c r="H686">
        <f>IF(A686="","",E686&amp;F686&amp;G686)</f>
        <v/>
      </c>
      <c r="I686">
        <f>IF(A686="","",IF(AND(E686&gt;=4,F686&gt;=4,G686&gt;=4),"Juara",IF(AND(F686&gt;=4,E686&gt;=3),"Setia",IF(AND(E686=5,F686&lt;=2,G686&gt;=3),"Berpotensi",IF(AND(E686&lt;=3,E686&gt;=2,F686&gt;=3),"Rawan",IF(AND(E686&lt;=2,F686&lt;=2),"Tidur","Umum"))))))</f>
        <v/>
      </c>
    </row>
    <row r="687">
      <c r="B687">
        <f>IF(A687="","",$B$1-MAXIFS(Donasi!$A$2:$A$20000,Donasi!$B$2:$B$20000,A687))</f>
        <v/>
      </c>
      <c r="C687">
        <f>IF(A687="","",COUNTIF(Donasi!$B$2:$B$20000,A687))</f>
        <v/>
      </c>
      <c r="D687">
        <f>IF(A687="","",SUMIF(Donasi!$B$2:$B$20000,A687,Donasi!$C$2:$C$20000))</f>
        <v/>
      </c>
      <c r="E687">
        <f>IF(A687="","",6-CEILING(PERCENTRANK.INC($B$3:$B$6000,B687,4)*5+0.000001,1))</f>
        <v/>
      </c>
      <c r="F687">
        <f>IF(A687="","",MAX(1,CEILING(PERCENTRANK.INC($C$3:$C$6000,C687,4)*5+0.000001,1)))</f>
        <v/>
      </c>
      <c r="G687">
        <f>IF(A687="","",MAX(1,CEILING(PERCENTRANK.INC($D$3:$D$6000,D687,4)*5+0.000001,1)))</f>
        <v/>
      </c>
      <c r="H687">
        <f>IF(A687="","",E687&amp;F687&amp;G687)</f>
        <v/>
      </c>
      <c r="I687">
        <f>IF(A687="","",IF(AND(E687&gt;=4,F687&gt;=4,G687&gt;=4),"Juara",IF(AND(F687&gt;=4,E687&gt;=3),"Setia",IF(AND(E687=5,F687&lt;=2,G687&gt;=3),"Berpotensi",IF(AND(E687&lt;=3,E687&gt;=2,F687&gt;=3),"Rawan",IF(AND(E687&lt;=2,F687&lt;=2),"Tidur","Umum"))))))</f>
        <v/>
      </c>
    </row>
    <row r="688">
      <c r="B688">
        <f>IF(A688="","",$B$1-MAXIFS(Donasi!$A$2:$A$20000,Donasi!$B$2:$B$20000,A688))</f>
        <v/>
      </c>
      <c r="C688">
        <f>IF(A688="","",COUNTIF(Donasi!$B$2:$B$20000,A688))</f>
        <v/>
      </c>
      <c r="D688">
        <f>IF(A688="","",SUMIF(Donasi!$B$2:$B$20000,A688,Donasi!$C$2:$C$20000))</f>
        <v/>
      </c>
      <c r="E688">
        <f>IF(A688="","",6-CEILING(PERCENTRANK.INC($B$3:$B$6000,B688,4)*5+0.000001,1))</f>
        <v/>
      </c>
      <c r="F688">
        <f>IF(A688="","",MAX(1,CEILING(PERCENTRANK.INC($C$3:$C$6000,C688,4)*5+0.000001,1)))</f>
        <v/>
      </c>
      <c r="G688">
        <f>IF(A688="","",MAX(1,CEILING(PERCENTRANK.INC($D$3:$D$6000,D688,4)*5+0.000001,1)))</f>
        <v/>
      </c>
      <c r="H688">
        <f>IF(A688="","",E688&amp;F688&amp;G688)</f>
        <v/>
      </c>
      <c r="I688">
        <f>IF(A688="","",IF(AND(E688&gt;=4,F688&gt;=4,G688&gt;=4),"Juara",IF(AND(F688&gt;=4,E688&gt;=3),"Setia",IF(AND(E688=5,F688&lt;=2,G688&gt;=3),"Berpotensi",IF(AND(E688&lt;=3,E688&gt;=2,F688&gt;=3),"Rawan",IF(AND(E688&lt;=2,F688&lt;=2),"Tidur","Umum"))))))</f>
        <v/>
      </c>
    </row>
    <row r="689">
      <c r="B689">
        <f>IF(A689="","",$B$1-MAXIFS(Donasi!$A$2:$A$20000,Donasi!$B$2:$B$20000,A689))</f>
        <v/>
      </c>
      <c r="C689">
        <f>IF(A689="","",COUNTIF(Donasi!$B$2:$B$20000,A689))</f>
        <v/>
      </c>
      <c r="D689">
        <f>IF(A689="","",SUMIF(Donasi!$B$2:$B$20000,A689,Donasi!$C$2:$C$20000))</f>
        <v/>
      </c>
      <c r="E689">
        <f>IF(A689="","",6-CEILING(PERCENTRANK.INC($B$3:$B$6000,B689,4)*5+0.000001,1))</f>
        <v/>
      </c>
      <c r="F689">
        <f>IF(A689="","",MAX(1,CEILING(PERCENTRANK.INC($C$3:$C$6000,C689,4)*5+0.000001,1)))</f>
        <v/>
      </c>
      <c r="G689">
        <f>IF(A689="","",MAX(1,CEILING(PERCENTRANK.INC($D$3:$D$6000,D689,4)*5+0.000001,1)))</f>
        <v/>
      </c>
      <c r="H689">
        <f>IF(A689="","",E689&amp;F689&amp;G689)</f>
        <v/>
      </c>
      <c r="I689">
        <f>IF(A689="","",IF(AND(E689&gt;=4,F689&gt;=4,G689&gt;=4),"Juara",IF(AND(F689&gt;=4,E689&gt;=3),"Setia",IF(AND(E689=5,F689&lt;=2,G689&gt;=3),"Berpotensi",IF(AND(E689&lt;=3,E689&gt;=2,F689&gt;=3),"Rawan",IF(AND(E689&lt;=2,F689&lt;=2),"Tidur","Umum"))))))</f>
        <v/>
      </c>
    </row>
    <row r="690">
      <c r="B690">
        <f>IF(A690="","",$B$1-MAXIFS(Donasi!$A$2:$A$20000,Donasi!$B$2:$B$20000,A690))</f>
        <v/>
      </c>
      <c r="C690">
        <f>IF(A690="","",COUNTIF(Donasi!$B$2:$B$20000,A690))</f>
        <v/>
      </c>
      <c r="D690">
        <f>IF(A690="","",SUMIF(Donasi!$B$2:$B$20000,A690,Donasi!$C$2:$C$20000))</f>
        <v/>
      </c>
      <c r="E690">
        <f>IF(A690="","",6-CEILING(PERCENTRANK.INC($B$3:$B$6000,B690,4)*5+0.000001,1))</f>
        <v/>
      </c>
      <c r="F690">
        <f>IF(A690="","",MAX(1,CEILING(PERCENTRANK.INC($C$3:$C$6000,C690,4)*5+0.000001,1)))</f>
        <v/>
      </c>
      <c r="G690">
        <f>IF(A690="","",MAX(1,CEILING(PERCENTRANK.INC($D$3:$D$6000,D690,4)*5+0.000001,1)))</f>
        <v/>
      </c>
      <c r="H690">
        <f>IF(A690="","",E690&amp;F690&amp;G690)</f>
        <v/>
      </c>
      <c r="I690">
        <f>IF(A690="","",IF(AND(E690&gt;=4,F690&gt;=4,G690&gt;=4),"Juara",IF(AND(F690&gt;=4,E690&gt;=3),"Setia",IF(AND(E690=5,F690&lt;=2,G690&gt;=3),"Berpotensi",IF(AND(E690&lt;=3,E690&gt;=2,F690&gt;=3),"Rawan",IF(AND(E690&lt;=2,F690&lt;=2),"Tidur","Umum"))))))</f>
        <v/>
      </c>
    </row>
    <row r="691">
      <c r="B691">
        <f>IF(A691="","",$B$1-MAXIFS(Donasi!$A$2:$A$20000,Donasi!$B$2:$B$20000,A691))</f>
        <v/>
      </c>
      <c r="C691">
        <f>IF(A691="","",COUNTIF(Donasi!$B$2:$B$20000,A691))</f>
        <v/>
      </c>
      <c r="D691">
        <f>IF(A691="","",SUMIF(Donasi!$B$2:$B$20000,A691,Donasi!$C$2:$C$20000))</f>
        <v/>
      </c>
      <c r="E691">
        <f>IF(A691="","",6-CEILING(PERCENTRANK.INC($B$3:$B$6000,B691,4)*5+0.000001,1))</f>
        <v/>
      </c>
      <c r="F691">
        <f>IF(A691="","",MAX(1,CEILING(PERCENTRANK.INC($C$3:$C$6000,C691,4)*5+0.000001,1)))</f>
        <v/>
      </c>
      <c r="G691">
        <f>IF(A691="","",MAX(1,CEILING(PERCENTRANK.INC($D$3:$D$6000,D691,4)*5+0.000001,1)))</f>
        <v/>
      </c>
      <c r="H691">
        <f>IF(A691="","",E691&amp;F691&amp;G691)</f>
        <v/>
      </c>
      <c r="I691">
        <f>IF(A691="","",IF(AND(E691&gt;=4,F691&gt;=4,G691&gt;=4),"Juara",IF(AND(F691&gt;=4,E691&gt;=3),"Setia",IF(AND(E691=5,F691&lt;=2,G691&gt;=3),"Berpotensi",IF(AND(E691&lt;=3,E691&gt;=2,F691&gt;=3),"Rawan",IF(AND(E691&lt;=2,F691&lt;=2),"Tidur","Umum"))))))</f>
        <v/>
      </c>
    </row>
    <row r="692">
      <c r="B692">
        <f>IF(A692="","",$B$1-MAXIFS(Donasi!$A$2:$A$20000,Donasi!$B$2:$B$20000,A692))</f>
        <v/>
      </c>
      <c r="C692">
        <f>IF(A692="","",COUNTIF(Donasi!$B$2:$B$20000,A692))</f>
        <v/>
      </c>
      <c r="D692">
        <f>IF(A692="","",SUMIF(Donasi!$B$2:$B$20000,A692,Donasi!$C$2:$C$20000))</f>
        <v/>
      </c>
      <c r="E692">
        <f>IF(A692="","",6-CEILING(PERCENTRANK.INC($B$3:$B$6000,B692,4)*5+0.000001,1))</f>
        <v/>
      </c>
      <c r="F692">
        <f>IF(A692="","",MAX(1,CEILING(PERCENTRANK.INC($C$3:$C$6000,C692,4)*5+0.000001,1)))</f>
        <v/>
      </c>
      <c r="G692">
        <f>IF(A692="","",MAX(1,CEILING(PERCENTRANK.INC($D$3:$D$6000,D692,4)*5+0.000001,1)))</f>
        <v/>
      </c>
      <c r="H692">
        <f>IF(A692="","",E692&amp;F692&amp;G692)</f>
        <v/>
      </c>
      <c r="I692">
        <f>IF(A692="","",IF(AND(E692&gt;=4,F692&gt;=4,G692&gt;=4),"Juara",IF(AND(F692&gt;=4,E692&gt;=3),"Setia",IF(AND(E692=5,F692&lt;=2,G692&gt;=3),"Berpotensi",IF(AND(E692&lt;=3,E692&gt;=2,F692&gt;=3),"Rawan",IF(AND(E692&lt;=2,F692&lt;=2),"Tidur","Umum"))))))</f>
        <v/>
      </c>
    </row>
    <row r="693">
      <c r="B693">
        <f>IF(A693="","",$B$1-MAXIFS(Donasi!$A$2:$A$20000,Donasi!$B$2:$B$20000,A693))</f>
        <v/>
      </c>
      <c r="C693">
        <f>IF(A693="","",COUNTIF(Donasi!$B$2:$B$20000,A693))</f>
        <v/>
      </c>
      <c r="D693">
        <f>IF(A693="","",SUMIF(Donasi!$B$2:$B$20000,A693,Donasi!$C$2:$C$20000))</f>
        <v/>
      </c>
      <c r="E693">
        <f>IF(A693="","",6-CEILING(PERCENTRANK.INC($B$3:$B$6000,B693,4)*5+0.000001,1))</f>
        <v/>
      </c>
      <c r="F693">
        <f>IF(A693="","",MAX(1,CEILING(PERCENTRANK.INC($C$3:$C$6000,C693,4)*5+0.000001,1)))</f>
        <v/>
      </c>
      <c r="G693">
        <f>IF(A693="","",MAX(1,CEILING(PERCENTRANK.INC($D$3:$D$6000,D693,4)*5+0.000001,1)))</f>
        <v/>
      </c>
      <c r="H693">
        <f>IF(A693="","",E693&amp;F693&amp;G693)</f>
        <v/>
      </c>
      <c r="I693">
        <f>IF(A693="","",IF(AND(E693&gt;=4,F693&gt;=4,G693&gt;=4),"Juara",IF(AND(F693&gt;=4,E693&gt;=3),"Setia",IF(AND(E693=5,F693&lt;=2,G693&gt;=3),"Berpotensi",IF(AND(E693&lt;=3,E693&gt;=2,F693&gt;=3),"Rawan",IF(AND(E693&lt;=2,F693&lt;=2),"Tidur","Umum"))))))</f>
        <v/>
      </c>
    </row>
    <row r="694">
      <c r="B694">
        <f>IF(A694="","",$B$1-MAXIFS(Donasi!$A$2:$A$20000,Donasi!$B$2:$B$20000,A694))</f>
        <v/>
      </c>
      <c r="C694">
        <f>IF(A694="","",COUNTIF(Donasi!$B$2:$B$20000,A694))</f>
        <v/>
      </c>
      <c r="D694">
        <f>IF(A694="","",SUMIF(Donasi!$B$2:$B$20000,A694,Donasi!$C$2:$C$20000))</f>
        <v/>
      </c>
      <c r="E694">
        <f>IF(A694="","",6-CEILING(PERCENTRANK.INC($B$3:$B$6000,B694,4)*5+0.000001,1))</f>
        <v/>
      </c>
      <c r="F694">
        <f>IF(A694="","",MAX(1,CEILING(PERCENTRANK.INC($C$3:$C$6000,C694,4)*5+0.000001,1)))</f>
        <v/>
      </c>
      <c r="G694">
        <f>IF(A694="","",MAX(1,CEILING(PERCENTRANK.INC($D$3:$D$6000,D694,4)*5+0.000001,1)))</f>
        <v/>
      </c>
      <c r="H694">
        <f>IF(A694="","",E694&amp;F694&amp;G694)</f>
        <v/>
      </c>
      <c r="I694">
        <f>IF(A694="","",IF(AND(E694&gt;=4,F694&gt;=4,G694&gt;=4),"Juara",IF(AND(F694&gt;=4,E694&gt;=3),"Setia",IF(AND(E694=5,F694&lt;=2,G694&gt;=3),"Berpotensi",IF(AND(E694&lt;=3,E694&gt;=2,F694&gt;=3),"Rawan",IF(AND(E694&lt;=2,F694&lt;=2),"Tidur","Umum"))))))</f>
        <v/>
      </c>
    </row>
    <row r="695">
      <c r="B695">
        <f>IF(A695="","",$B$1-MAXIFS(Donasi!$A$2:$A$20000,Donasi!$B$2:$B$20000,A695))</f>
        <v/>
      </c>
      <c r="C695">
        <f>IF(A695="","",COUNTIF(Donasi!$B$2:$B$20000,A695))</f>
        <v/>
      </c>
      <c r="D695">
        <f>IF(A695="","",SUMIF(Donasi!$B$2:$B$20000,A695,Donasi!$C$2:$C$20000))</f>
        <v/>
      </c>
      <c r="E695">
        <f>IF(A695="","",6-CEILING(PERCENTRANK.INC($B$3:$B$6000,B695,4)*5+0.000001,1))</f>
        <v/>
      </c>
      <c r="F695">
        <f>IF(A695="","",MAX(1,CEILING(PERCENTRANK.INC($C$3:$C$6000,C695,4)*5+0.000001,1)))</f>
        <v/>
      </c>
      <c r="G695">
        <f>IF(A695="","",MAX(1,CEILING(PERCENTRANK.INC($D$3:$D$6000,D695,4)*5+0.000001,1)))</f>
        <v/>
      </c>
      <c r="H695">
        <f>IF(A695="","",E695&amp;F695&amp;G695)</f>
        <v/>
      </c>
      <c r="I695">
        <f>IF(A695="","",IF(AND(E695&gt;=4,F695&gt;=4,G695&gt;=4),"Juara",IF(AND(F695&gt;=4,E695&gt;=3),"Setia",IF(AND(E695=5,F695&lt;=2,G695&gt;=3),"Berpotensi",IF(AND(E695&lt;=3,E695&gt;=2,F695&gt;=3),"Rawan",IF(AND(E695&lt;=2,F695&lt;=2),"Tidur","Umum"))))))</f>
        <v/>
      </c>
    </row>
    <row r="696">
      <c r="B696">
        <f>IF(A696="","",$B$1-MAXIFS(Donasi!$A$2:$A$20000,Donasi!$B$2:$B$20000,A696))</f>
        <v/>
      </c>
      <c r="C696">
        <f>IF(A696="","",COUNTIF(Donasi!$B$2:$B$20000,A696))</f>
        <v/>
      </c>
      <c r="D696">
        <f>IF(A696="","",SUMIF(Donasi!$B$2:$B$20000,A696,Donasi!$C$2:$C$20000))</f>
        <v/>
      </c>
      <c r="E696">
        <f>IF(A696="","",6-CEILING(PERCENTRANK.INC($B$3:$B$6000,B696,4)*5+0.000001,1))</f>
        <v/>
      </c>
      <c r="F696">
        <f>IF(A696="","",MAX(1,CEILING(PERCENTRANK.INC($C$3:$C$6000,C696,4)*5+0.000001,1)))</f>
        <v/>
      </c>
      <c r="G696">
        <f>IF(A696="","",MAX(1,CEILING(PERCENTRANK.INC($D$3:$D$6000,D696,4)*5+0.000001,1)))</f>
        <v/>
      </c>
      <c r="H696">
        <f>IF(A696="","",E696&amp;F696&amp;G696)</f>
        <v/>
      </c>
      <c r="I696">
        <f>IF(A696="","",IF(AND(E696&gt;=4,F696&gt;=4,G696&gt;=4),"Juara",IF(AND(F696&gt;=4,E696&gt;=3),"Setia",IF(AND(E696=5,F696&lt;=2,G696&gt;=3),"Berpotensi",IF(AND(E696&lt;=3,E696&gt;=2,F696&gt;=3),"Rawan",IF(AND(E696&lt;=2,F696&lt;=2),"Tidur","Umum"))))))</f>
        <v/>
      </c>
    </row>
    <row r="697">
      <c r="B697">
        <f>IF(A697="","",$B$1-MAXIFS(Donasi!$A$2:$A$20000,Donasi!$B$2:$B$20000,A697))</f>
        <v/>
      </c>
      <c r="C697">
        <f>IF(A697="","",COUNTIF(Donasi!$B$2:$B$20000,A697))</f>
        <v/>
      </c>
      <c r="D697">
        <f>IF(A697="","",SUMIF(Donasi!$B$2:$B$20000,A697,Donasi!$C$2:$C$20000))</f>
        <v/>
      </c>
      <c r="E697">
        <f>IF(A697="","",6-CEILING(PERCENTRANK.INC($B$3:$B$6000,B697,4)*5+0.000001,1))</f>
        <v/>
      </c>
      <c r="F697">
        <f>IF(A697="","",MAX(1,CEILING(PERCENTRANK.INC($C$3:$C$6000,C697,4)*5+0.000001,1)))</f>
        <v/>
      </c>
      <c r="G697">
        <f>IF(A697="","",MAX(1,CEILING(PERCENTRANK.INC($D$3:$D$6000,D697,4)*5+0.000001,1)))</f>
        <v/>
      </c>
      <c r="H697">
        <f>IF(A697="","",E697&amp;F697&amp;G697)</f>
        <v/>
      </c>
      <c r="I697">
        <f>IF(A697="","",IF(AND(E697&gt;=4,F697&gt;=4,G697&gt;=4),"Juara",IF(AND(F697&gt;=4,E697&gt;=3),"Setia",IF(AND(E697=5,F697&lt;=2,G697&gt;=3),"Berpotensi",IF(AND(E697&lt;=3,E697&gt;=2,F697&gt;=3),"Rawan",IF(AND(E697&lt;=2,F697&lt;=2),"Tidur","Umum"))))))</f>
        <v/>
      </c>
    </row>
    <row r="698">
      <c r="B698">
        <f>IF(A698="","",$B$1-MAXIFS(Donasi!$A$2:$A$20000,Donasi!$B$2:$B$20000,A698))</f>
        <v/>
      </c>
      <c r="C698">
        <f>IF(A698="","",COUNTIF(Donasi!$B$2:$B$20000,A698))</f>
        <v/>
      </c>
      <c r="D698">
        <f>IF(A698="","",SUMIF(Donasi!$B$2:$B$20000,A698,Donasi!$C$2:$C$20000))</f>
        <v/>
      </c>
      <c r="E698">
        <f>IF(A698="","",6-CEILING(PERCENTRANK.INC($B$3:$B$6000,B698,4)*5+0.000001,1))</f>
        <v/>
      </c>
      <c r="F698">
        <f>IF(A698="","",MAX(1,CEILING(PERCENTRANK.INC($C$3:$C$6000,C698,4)*5+0.000001,1)))</f>
        <v/>
      </c>
      <c r="G698">
        <f>IF(A698="","",MAX(1,CEILING(PERCENTRANK.INC($D$3:$D$6000,D698,4)*5+0.000001,1)))</f>
        <v/>
      </c>
      <c r="H698">
        <f>IF(A698="","",E698&amp;F698&amp;G698)</f>
        <v/>
      </c>
      <c r="I698">
        <f>IF(A698="","",IF(AND(E698&gt;=4,F698&gt;=4,G698&gt;=4),"Juara",IF(AND(F698&gt;=4,E698&gt;=3),"Setia",IF(AND(E698=5,F698&lt;=2,G698&gt;=3),"Berpotensi",IF(AND(E698&lt;=3,E698&gt;=2,F698&gt;=3),"Rawan",IF(AND(E698&lt;=2,F698&lt;=2),"Tidur","Umum"))))))</f>
        <v/>
      </c>
    </row>
    <row r="699">
      <c r="B699">
        <f>IF(A699="","",$B$1-MAXIFS(Donasi!$A$2:$A$20000,Donasi!$B$2:$B$20000,A699))</f>
        <v/>
      </c>
      <c r="C699">
        <f>IF(A699="","",COUNTIF(Donasi!$B$2:$B$20000,A699))</f>
        <v/>
      </c>
      <c r="D699">
        <f>IF(A699="","",SUMIF(Donasi!$B$2:$B$20000,A699,Donasi!$C$2:$C$20000))</f>
        <v/>
      </c>
      <c r="E699">
        <f>IF(A699="","",6-CEILING(PERCENTRANK.INC($B$3:$B$6000,B699,4)*5+0.000001,1))</f>
        <v/>
      </c>
      <c r="F699">
        <f>IF(A699="","",MAX(1,CEILING(PERCENTRANK.INC($C$3:$C$6000,C699,4)*5+0.000001,1)))</f>
        <v/>
      </c>
      <c r="G699">
        <f>IF(A699="","",MAX(1,CEILING(PERCENTRANK.INC($D$3:$D$6000,D699,4)*5+0.000001,1)))</f>
        <v/>
      </c>
      <c r="H699">
        <f>IF(A699="","",E699&amp;F699&amp;G699)</f>
        <v/>
      </c>
      <c r="I699">
        <f>IF(A699="","",IF(AND(E699&gt;=4,F699&gt;=4,G699&gt;=4),"Juara",IF(AND(F699&gt;=4,E699&gt;=3),"Setia",IF(AND(E699=5,F699&lt;=2,G699&gt;=3),"Berpotensi",IF(AND(E699&lt;=3,E699&gt;=2,F699&gt;=3),"Rawan",IF(AND(E699&lt;=2,F699&lt;=2),"Tidur","Umum"))))))</f>
        <v/>
      </c>
    </row>
    <row r="700">
      <c r="B700">
        <f>IF(A700="","",$B$1-MAXIFS(Donasi!$A$2:$A$20000,Donasi!$B$2:$B$20000,A700))</f>
        <v/>
      </c>
      <c r="C700">
        <f>IF(A700="","",COUNTIF(Donasi!$B$2:$B$20000,A700))</f>
        <v/>
      </c>
      <c r="D700">
        <f>IF(A700="","",SUMIF(Donasi!$B$2:$B$20000,A700,Donasi!$C$2:$C$20000))</f>
        <v/>
      </c>
      <c r="E700">
        <f>IF(A700="","",6-CEILING(PERCENTRANK.INC($B$3:$B$6000,B700,4)*5+0.000001,1))</f>
        <v/>
      </c>
      <c r="F700">
        <f>IF(A700="","",MAX(1,CEILING(PERCENTRANK.INC($C$3:$C$6000,C700,4)*5+0.000001,1)))</f>
        <v/>
      </c>
      <c r="G700">
        <f>IF(A700="","",MAX(1,CEILING(PERCENTRANK.INC($D$3:$D$6000,D700,4)*5+0.000001,1)))</f>
        <v/>
      </c>
      <c r="H700">
        <f>IF(A700="","",E700&amp;F700&amp;G700)</f>
        <v/>
      </c>
      <c r="I700">
        <f>IF(A700="","",IF(AND(E700&gt;=4,F700&gt;=4,G700&gt;=4),"Juara",IF(AND(F700&gt;=4,E700&gt;=3),"Setia",IF(AND(E700=5,F700&lt;=2,G700&gt;=3),"Berpotensi",IF(AND(E700&lt;=3,E700&gt;=2,F700&gt;=3),"Rawan",IF(AND(E700&lt;=2,F700&lt;=2),"Tidur","Umum"))))))</f>
        <v/>
      </c>
    </row>
    <row r="701">
      <c r="B701">
        <f>IF(A701="","",$B$1-MAXIFS(Donasi!$A$2:$A$20000,Donasi!$B$2:$B$20000,A701))</f>
        <v/>
      </c>
      <c r="C701">
        <f>IF(A701="","",COUNTIF(Donasi!$B$2:$B$20000,A701))</f>
        <v/>
      </c>
      <c r="D701">
        <f>IF(A701="","",SUMIF(Donasi!$B$2:$B$20000,A701,Donasi!$C$2:$C$20000))</f>
        <v/>
      </c>
      <c r="E701">
        <f>IF(A701="","",6-CEILING(PERCENTRANK.INC($B$3:$B$6000,B701,4)*5+0.000001,1))</f>
        <v/>
      </c>
      <c r="F701">
        <f>IF(A701="","",MAX(1,CEILING(PERCENTRANK.INC($C$3:$C$6000,C701,4)*5+0.000001,1)))</f>
        <v/>
      </c>
      <c r="G701">
        <f>IF(A701="","",MAX(1,CEILING(PERCENTRANK.INC($D$3:$D$6000,D701,4)*5+0.000001,1)))</f>
        <v/>
      </c>
      <c r="H701">
        <f>IF(A701="","",E701&amp;F701&amp;G701)</f>
        <v/>
      </c>
      <c r="I701">
        <f>IF(A701="","",IF(AND(E701&gt;=4,F701&gt;=4,G701&gt;=4),"Juara",IF(AND(F701&gt;=4,E701&gt;=3),"Setia",IF(AND(E701=5,F701&lt;=2,G701&gt;=3),"Berpotensi",IF(AND(E701&lt;=3,E701&gt;=2,F701&gt;=3),"Rawan",IF(AND(E701&lt;=2,F701&lt;=2),"Tidur","Umum"))))))</f>
        <v/>
      </c>
    </row>
    <row r="702">
      <c r="B702">
        <f>IF(A702="","",$B$1-MAXIFS(Donasi!$A$2:$A$20000,Donasi!$B$2:$B$20000,A702))</f>
        <v/>
      </c>
      <c r="C702">
        <f>IF(A702="","",COUNTIF(Donasi!$B$2:$B$20000,A702))</f>
        <v/>
      </c>
      <c r="D702">
        <f>IF(A702="","",SUMIF(Donasi!$B$2:$B$20000,A702,Donasi!$C$2:$C$20000))</f>
        <v/>
      </c>
      <c r="E702">
        <f>IF(A702="","",6-CEILING(PERCENTRANK.INC($B$3:$B$6000,B702,4)*5+0.000001,1))</f>
        <v/>
      </c>
      <c r="F702">
        <f>IF(A702="","",MAX(1,CEILING(PERCENTRANK.INC($C$3:$C$6000,C702,4)*5+0.000001,1)))</f>
        <v/>
      </c>
      <c r="G702">
        <f>IF(A702="","",MAX(1,CEILING(PERCENTRANK.INC($D$3:$D$6000,D702,4)*5+0.000001,1)))</f>
        <v/>
      </c>
      <c r="H702">
        <f>IF(A702="","",E702&amp;F702&amp;G702)</f>
        <v/>
      </c>
      <c r="I702">
        <f>IF(A702="","",IF(AND(E702&gt;=4,F702&gt;=4,G702&gt;=4),"Juara",IF(AND(F702&gt;=4,E702&gt;=3),"Setia",IF(AND(E702=5,F702&lt;=2,G702&gt;=3),"Berpotensi",IF(AND(E702&lt;=3,E702&gt;=2,F702&gt;=3),"Rawan",IF(AND(E702&lt;=2,F702&lt;=2),"Tidur","Umum"))))))</f>
        <v/>
      </c>
    </row>
    <row r="703">
      <c r="B703">
        <f>IF(A703="","",$B$1-MAXIFS(Donasi!$A$2:$A$20000,Donasi!$B$2:$B$20000,A703))</f>
        <v/>
      </c>
      <c r="C703">
        <f>IF(A703="","",COUNTIF(Donasi!$B$2:$B$20000,A703))</f>
        <v/>
      </c>
      <c r="D703">
        <f>IF(A703="","",SUMIF(Donasi!$B$2:$B$20000,A703,Donasi!$C$2:$C$20000))</f>
        <v/>
      </c>
      <c r="E703">
        <f>IF(A703="","",6-CEILING(PERCENTRANK.INC($B$3:$B$6000,B703,4)*5+0.000001,1))</f>
        <v/>
      </c>
      <c r="F703">
        <f>IF(A703="","",MAX(1,CEILING(PERCENTRANK.INC($C$3:$C$6000,C703,4)*5+0.000001,1)))</f>
        <v/>
      </c>
      <c r="G703">
        <f>IF(A703="","",MAX(1,CEILING(PERCENTRANK.INC($D$3:$D$6000,D703,4)*5+0.000001,1)))</f>
        <v/>
      </c>
      <c r="H703">
        <f>IF(A703="","",E703&amp;F703&amp;G703)</f>
        <v/>
      </c>
      <c r="I703">
        <f>IF(A703="","",IF(AND(E703&gt;=4,F703&gt;=4,G703&gt;=4),"Juara",IF(AND(F703&gt;=4,E703&gt;=3),"Setia",IF(AND(E703=5,F703&lt;=2,G703&gt;=3),"Berpotensi",IF(AND(E703&lt;=3,E703&gt;=2,F703&gt;=3),"Rawan",IF(AND(E703&lt;=2,F703&lt;=2),"Tidur","Umum"))))))</f>
        <v/>
      </c>
    </row>
    <row r="704">
      <c r="B704">
        <f>IF(A704="","",$B$1-MAXIFS(Donasi!$A$2:$A$20000,Donasi!$B$2:$B$20000,A704))</f>
        <v/>
      </c>
      <c r="C704">
        <f>IF(A704="","",COUNTIF(Donasi!$B$2:$B$20000,A704))</f>
        <v/>
      </c>
      <c r="D704">
        <f>IF(A704="","",SUMIF(Donasi!$B$2:$B$20000,A704,Donasi!$C$2:$C$20000))</f>
        <v/>
      </c>
      <c r="E704">
        <f>IF(A704="","",6-CEILING(PERCENTRANK.INC($B$3:$B$6000,B704,4)*5+0.000001,1))</f>
        <v/>
      </c>
      <c r="F704">
        <f>IF(A704="","",MAX(1,CEILING(PERCENTRANK.INC($C$3:$C$6000,C704,4)*5+0.000001,1)))</f>
        <v/>
      </c>
      <c r="G704">
        <f>IF(A704="","",MAX(1,CEILING(PERCENTRANK.INC($D$3:$D$6000,D704,4)*5+0.000001,1)))</f>
        <v/>
      </c>
      <c r="H704">
        <f>IF(A704="","",E704&amp;F704&amp;G704)</f>
        <v/>
      </c>
      <c r="I704">
        <f>IF(A704="","",IF(AND(E704&gt;=4,F704&gt;=4,G704&gt;=4),"Juara",IF(AND(F704&gt;=4,E704&gt;=3),"Setia",IF(AND(E704=5,F704&lt;=2,G704&gt;=3),"Berpotensi",IF(AND(E704&lt;=3,E704&gt;=2,F704&gt;=3),"Rawan",IF(AND(E704&lt;=2,F704&lt;=2),"Tidur","Umum"))))))</f>
        <v/>
      </c>
    </row>
    <row r="705">
      <c r="B705">
        <f>IF(A705="","",$B$1-MAXIFS(Donasi!$A$2:$A$20000,Donasi!$B$2:$B$20000,A705))</f>
        <v/>
      </c>
      <c r="C705">
        <f>IF(A705="","",COUNTIF(Donasi!$B$2:$B$20000,A705))</f>
        <v/>
      </c>
      <c r="D705">
        <f>IF(A705="","",SUMIF(Donasi!$B$2:$B$20000,A705,Donasi!$C$2:$C$20000))</f>
        <v/>
      </c>
      <c r="E705">
        <f>IF(A705="","",6-CEILING(PERCENTRANK.INC($B$3:$B$6000,B705,4)*5+0.000001,1))</f>
        <v/>
      </c>
      <c r="F705">
        <f>IF(A705="","",MAX(1,CEILING(PERCENTRANK.INC($C$3:$C$6000,C705,4)*5+0.000001,1)))</f>
        <v/>
      </c>
      <c r="G705">
        <f>IF(A705="","",MAX(1,CEILING(PERCENTRANK.INC($D$3:$D$6000,D705,4)*5+0.000001,1)))</f>
        <v/>
      </c>
      <c r="H705">
        <f>IF(A705="","",E705&amp;F705&amp;G705)</f>
        <v/>
      </c>
      <c r="I705">
        <f>IF(A705="","",IF(AND(E705&gt;=4,F705&gt;=4,G705&gt;=4),"Juara",IF(AND(F705&gt;=4,E705&gt;=3),"Setia",IF(AND(E705=5,F705&lt;=2,G705&gt;=3),"Berpotensi",IF(AND(E705&lt;=3,E705&gt;=2,F705&gt;=3),"Rawan",IF(AND(E705&lt;=2,F705&lt;=2),"Tidur","Umum"))))))</f>
        <v/>
      </c>
    </row>
    <row r="706">
      <c r="B706">
        <f>IF(A706="","",$B$1-MAXIFS(Donasi!$A$2:$A$20000,Donasi!$B$2:$B$20000,A706))</f>
        <v/>
      </c>
      <c r="C706">
        <f>IF(A706="","",COUNTIF(Donasi!$B$2:$B$20000,A706))</f>
        <v/>
      </c>
      <c r="D706">
        <f>IF(A706="","",SUMIF(Donasi!$B$2:$B$20000,A706,Donasi!$C$2:$C$20000))</f>
        <v/>
      </c>
      <c r="E706">
        <f>IF(A706="","",6-CEILING(PERCENTRANK.INC($B$3:$B$6000,B706,4)*5+0.000001,1))</f>
        <v/>
      </c>
      <c r="F706">
        <f>IF(A706="","",MAX(1,CEILING(PERCENTRANK.INC($C$3:$C$6000,C706,4)*5+0.000001,1)))</f>
        <v/>
      </c>
      <c r="G706">
        <f>IF(A706="","",MAX(1,CEILING(PERCENTRANK.INC($D$3:$D$6000,D706,4)*5+0.000001,1)))</f>
        <v/>
      </c>
      <c r="H706">
        <f>IF(A706="","",E706&amp;F706&amp;G706)</f>
        <v/>
      </c>
      <c r="I706">
        <f>IF(A706="","",IF(AND(E706&gt;=4,F706&gt;=4,G706&gt;=4),"Juara",IF(AND(F706&gt;=4,E706&gt;=3),"Setia",IF(AND(E706=5,F706&lt;=2,G706&gt;=3),"Berpotensi",IF(AND(E706&lt;=3,E706&gt;=2,F706&gt;=3),"Rawan",IF(AND(E706&lt;=2,F706&lt;=2),"Tidur","Umum"))))))</f>
        <v/>
      </c>
    </row>
    <row r="707">
      <c r="B707">
        <f>IF(A707="","",$B$1-MAXIFS(Donasi!$A$2:$A$20000,Donasi!$B$2:$B$20000,A707))</f>
        <v/>
      </c>
      <c r="C707">
        <f>IF(A707="","",COUNTIF(Donasi!$B$2:$B$20000,A707))</f>
        <v/>
      </c>
      <c r="D707">
        <f>IF(A707="","",SUMIF(Donasi!$B$2:$B$20000,A707,Donasi!$C$2:$C$20000))</f>
        <v/>
      </c>
      <c r="E707">
        <f>IF(A707="","",6-CEILING(PERCENTRANK.INC($B$3:$B$6000,B707,4)*5+0.000001,1))</f>
        <v/>
      </c>
      <c r="F707">
        <f>IF(A707="","",MAX(1,CEILING(PERCENTRANK.INC($C$3:$C$6000,C707,4)*5+0.000001,1)))</f>
        <v/>
      </c>
      <c r="G707">
        <f>IF(A707="","",MAX(1,CEILING(PERCENTRANK.INC($D$3:$D$6000,D707,4)*5+0.000001,1)))</f>
        <v/>
      </c>
      <c r="H707">
        <f>IF(A707="","",E707&amp;F707&amp;G707)</f>
        <v/>
      </c>
      <c r="I707">
        <f>IF(A707="","",IF(AND(E707&gt;=4,F707&gt;=4,G707&gt;=4),"Juara",IF(AND(F707&gt;=4,E707&gt;=3),"Setia",IF(AND(E707=5,F707&lt;=2,G707&gt;=3),"Berpotensi",IF(AND(E707&lt;=3,E707&gt;=2,F707&gt;=3),"Rawan",IF(AND(E707&lt;=2,F707&lt;=2),"Tidur","Umum"))))))</f>
        <v/>
      </c>
    </row>
    <row r="708">
      <c r="B708">
        <f>IF(A708="","",$B$1-MAXIFS(Donasi!$A$2:$A$20000,Donasi!$B$2:$B$20000,A708))</f>
        <v/>
      </c>
      <c r="C708">
        <f>IF(A708="","",COUNTIF(Donasi!$B$2:$B$20000,A708))</f>
        <v/>
      </c>
      <c r="D708">
        <f>IF(A708="","",SUMIF(Donasi!$B$2:$B$20000,A708,Donasi!$C$2:$C$20000))</f>
        <v/>
      </c>
      <c r="E708">
        <f>IF(A708="","",6-CEILING(PERCENTRANK.INC($B$3:$B$6000,B708,4)*5+0.000001,1))</f>
        <v/>
      </c>
      <c r="F708">
        <f>IF(A708="","",MAX(1,CEILING(PERCENTRANK.INC($C$3:$C$6000,C708,4)*5+0.000001,1)))</f>
        <v/>
      </c>
      <c r="G708">
        <f>IF(A708="","",MAX(1,CEILING(PERCENTRANK.INC($D$3:$D$6000,D708,4)*5+0.000001,1)))</f>
        <v/>
      </c>
      <c r="H708">
        <f>IF(A708="","",E708&amp;F708&amp;G708)</f>
        <v/>
      </c>
      <c r="I708">
        <f>IF(A708="","",IF(AND(E708&gt;=4,F708&gt;=4,G708&gt;=4),"Juara",IF(AND(F708&gt;=4,E708&gt;=3),"Setia",IF(AND(E708=5,F708&lt;=2,G708&gt;=3),"Berpotensi",IF(AND(E708&lt;=3,E708&gt;=2,F708&gt;=3),"Rawan",IF(AND(E708&lt;=2,F708&lt;=2),"Tidur","Umum"))))))</f>
        <v/>
      </c>
    </row>
    <row r="709">
      <c r="B709">
        <f>IF(A709="","",$B$1-MAXIFS(Donasi!$A$2:$A$20000,Donasi!$B$2:$B$20000,A709))</f>
        <v/>
      </c>
      <c r="C709">
        <f>IF(A709="","",COUNTIF(Donasi!$B$2:$B$20000,A709))</f>
        <v/>
      </c>
      <c r="D709">
        <f>IF(A709="","",SUMIF(Donasi!$B$2:$B$20000,A709,Donasi!$C$2:$C$20000))</f>
        <v/>
      </c>
      <c r="E709">
        <f>IF(A709="","",6-CEILING(PERCENTRANK.INC($B$3:$B$6000,B709,4)*5+0.000001,1))</f>
        <v/>
      </c>
      <c r="F709">
        <f>IF(A709="","",MAX(1,CEILING(PERCENTRANK.INC($C$3:$C$6000,C709,4)*5+0.000001,1)))</f>
        <v/>
      </c>
      <c r="G709">
        <f>IF(A709="","",MAX(1,CEILING(PERCENTRANK.INC($D$3:$D$6000,D709,4)*5+0.000001,1)))</f>
        <v/>
      </c>
      <c r="H709">
        <f>IF(A709="","",E709&amp;F709&amp;G709)</f>
        <v/>
      </c>
      <c r="I709">
        <f>IF(A709="","",IF(AND(E709&gt;=4,F709&gt;=4,G709&gt;=4),"Juara",IF(AND(F709&gt;=4,E709&gt;=3),"Setia",IF(AND(E709=5,F709&lt;=2,G709&gt;=3),"Berpotensi",IF(AND(E709&lt;=3,E709&gt;=2,F709&gt;=3),"Rawan",IF(AND(E709&lt;=2,F709&lt;=2),"Tidur","Umum"))))))</f>
        <v/>
      </c>
    </row>
    <row r="710">
      <c r="B710">
        <f>IF(A710="","",$B$1-MAXIFS(Donasi!$A$2:$A$20000,Donasi!$B$2:$B$20000,A710))</f>
        <v/>
      </c>
      <c r="C710">
        <f>IF(A710="","",COUNTIF(Donasi!$B$2:$B$20000,A710))</f>
        <v/>
      </c>
      <c r="D710">
        <f>IF(A710="","",SUMIF(Donasi!$B$2:$B$20000,A710,Donasi!$C$2:$C$20000))</f>
        <v/>
      </c>
      <c r="E710">
        <f>IF(A710="","",6-CEILING(PERCENTRANK.INC($B$3:$B$6000,B710,4)*5+0.000001,1))</f>
        <v/>
      </c>
      <c r="F710">
        <f>IF(A710="","",MAX(1,CEILING(PERCENTRANK.INC($C$3:$C$6000,C710,4)*5+0.000001,1)))</f>
        <v/>
      </c>
      <c r="G710">
        <f>IF(A710="","",MAX(1,CEILING(PERCENTRANK.INC($D$3:$D$6000,D710,4)*5+0.000001,1)))</f>
        <v/>
      </c>
      <c r="H710">
        <f>IF(A710="","",E710&amp;F710&amp;G710)</f>
        <v/>
      </c>
      <c r="I710">
        <f>IF(A710="","",IF(AND(E710&gt;=4,F710&gt;=4,G710&gt;=4),"Juara",IF(AND(F710&gt;=4,E710&gt;=3),"Setia",IF(AND(E710=5,F710&lt;=2,G710&gt;=3),"Berpotensi",IF(AND(E710&lt;=3,E710&gt;=2,F710&gt;=3),"Rawan",IF(AND(E710&lt;=2,F710&lt;=2),"Tidur","Umum"))))))</f>
        <v/>
      </c>
    </row>
    <row r="711">
      <c r="B711">
        <f>IF(A711="","",$B$1-MAXIFS(Donasi!$A$2:$A$20000,Donasi!$B$2:$B$20000,A711))</f>
        <v/>
      </c>
      <c r="C711">
        <f>IF(A711="","",COUNTIF(Donasi!$B$2:$B$20000,A711))</f>
        <v/>
      </c>
      <c r="D711">
        <f>IF(A711="","",SUMIF(Donasi!$B$2:$B$20000,A711,Donasi!$C$2:$C$20000))</f>
        <v/>
      </c>
      <c r="E711">
        <f>IF(A711="","",6-CEILING(PERCENTRANK.INC($B$3:$B$6000,B711,4)*5+0.000001,1))</f>
        <v/>
      </c>
      <c r="F711">
        <f>IF(A711="","",MAX(1,CEILING(PERCENTRANK.INC($C$3:$C$6000,C711,4)*5+0.000001,1)))</f>
        <v/>
      </c>
      <c r="G711">
        <f>IF(A711="","",MAX(1,CEILING(PERCENTRANK.INC($D$3:$D$6000,D711,4)*5+0.000001,1)))</f>
        <v/>
      </c>
      <c r="H711">
        <f>IF(A711="","",E711&amp;F711&amp;G711)</f>
        <v/>
      </c>
      <c r="I711">
        <f>IF(A711="","",IF(AND(E711&gt;=4,F711&gt;=4,G711&gt;=4),"Juara",IF(AND(F711&gt;=4,E711&gt;=3),"Setia",IF(AND(E711=5,F711&lt;=2,G711&gt;=3),"Berpotensi",IF(AND(E711&lt;=3,E711&gt;=2,F711&gt;=3),"Rawan",IF(AND(E711&lt;=2,F711&lt;=2),"Tidur","Umum"))))))</f>
        <v/>
      </c>
    </row>
    <row r="712">
      <c r="B712">
        <f>IF(A712="","",$B$1-MAXIFS(Donasi!$A$2:$A$20000,Donasi!$B$2:$B$20000,A712))</f>
        <v/>
      </c>
      <c r="C712">
        <f>IF(A712="","",COUNTIF(Donasi!$B$2:$B$20000,A712))</f>
        <v/>
      </c>
      <c r="D712">
        <f>IF(A712="","",SUMIF(Donasi!$B$2:$B$20000,A712,Donasi!$C$2:$C$20000))</f>
        <v/>
      </c>
      <c r="E712">
        <f>IF(A712="","",6-CEILING(PERCENTRANK.INC($B$3:$B$6000,B712,4)*5+0.000001,1))</f>
        <v/>
      </c>
      <c r="F712">
        <f>IF(A712="","",MAX(1,CEILING(PERCENTRANK.INC($C$3:$C$6000,C712,4)*5+0.000001,1)))</f>
        <v/>
      </c>
      <c r="G712">
        <f>IF(A712="","",MAX(1,CEILING(PERCENTRANK.INC($D$3:$D$6000,D712,4)*5+0.000001,1)))</f>
        <v/>
      </c>
      <c r="H712">
        <f>IF(A712="","",E712&amp;F712&amp;G712)</f>
        <v/>
      </c>
      <c r="I712">
        <f>IF(A712="","",IF(AND(E712&gt;=4,F712&gt;=4,G712&gt;=4),"Juara",IF(AND(F712&gt;=4,E712&gt;=3),"Setia",IF(AND(E712=5,F712&lt;=2,G712&gt;=3),"Berpotensi",IF(AND(E712&lt;=3,E712&gt;=2,F712&gt;=3),"Rawan",IF(AND(E712&lt;=2,F712&lt;=2),"Tidur","Umum"))))))</f>
        <v/>
      </c>
    </row>
    <row r="713">
      <c r="B713">
        <f>IF(A713="","",$B$1-MAXIFS(Donasi!$A$2:$A$20000,Donasi!$B$2:$B$20000,A713))</f>
        <v/>
      </c>
      <c r="C713">
        <f>IF(A713="","",COUNTIF(Donasi!$B$2:$B$20000,A713))</f>
        <v/>
      </c>
      <c r="D713">
        <f>IF(A713="","",SUMIF(Donasi!$B$2:$B$20000,A713,Donasi!$C$2:$C$20000))</f>
        <v/>
      </c>
      <c r="E713">
        <f>IF(A713="","",6-CEILING(PERCENTRANK.INC($B$3:$B$6000,B713,4)*5+0.000001,1))</f>
        <v/>
      </c>
      <c r="F713">
        <f>IF(A713="","",MAX(1,CEILING(PERCENTRANK.INC($C$3:$C$6000,C713,4)*5+0.000001,1)))</f>
        <v/>
      </c>
      <c r="G713">
        <f>IF(A713="","",MAX(1,CEILING(PERCENTRANK.INC($D$3:$D$6000,D713,4)*5+0.000001,1)))</f>
        <v/>
      </c>
      <c r="H713">
        <f>IF(A713="","",E713&amp;F713&amp;G713)</f>
        <v/>
      </c>
      <c r="I713">
        <f>IF(A713="","",IF(AND(E713&gt;=4,F713&gt;=4,G713&gt;=4),"Juara",IF(AND(F713&gt;=4,E713&gt;=3),"Setia",IF(AND(E713=5,F713&lt;=2,G713&gt;=3),"Berpotensi",IF(AND(E713&lt;=3,E713&gt;=2,F713&gt;=3),"Rawan",IF(AND(E713&lt;=2,F713&lt;=2),"Tidur","Umum"))))))</f>
        <v/>
      </c>
    </row>
    <row r="714">
      <c r="B714">
        <f>IF(A714="","",$B$1-MAXIFS(Donasi!$A$2:$A$20000,Donasi!$B$2:$B$20000,A714))</f>
        <v/>
      </c>
      <c r="C714">
        <f>IF(A714="","",COUNTIF(Donasi!$B$2:$B$20000,A714))</f>
        <v/>
      </c>
      <c r="D714">
        <f>IF(A714="","",SUMIF(Donasi!$B$2:$B$20000,A714,Donasi!$C$2:$C$20000))</f>
        <v/>
      </c>
      <c r="E714">
        <f>IF(A714="","",6-CEILING(PERCENTRANK.INC($B$3:$B$6000,B714,4)*5+0.000001,1))</f>
        <v/>
      </c>
      <c r="F714">
        <f>IF(A714="","",MAX(1,CEILING(PERCENTRANK.INC($C$3:$C$6000,C714,4)*5+0.000001,1)))</f>
        <v/>
      </c>
      <c r="G714">
        <f>IF(A714="","",MAX(1,CEILING(PERCENTRANK.INC($D$3:$D$6000,D714,4)*5+0.000001,1)))</f>
        <v/>
      </c>
      <c r="H714">
        <f>IF(A714="","",E714&amp;F714&amp;G714)</f>
        <v/>
      </c>
      <c r="I714">
        <f>IF(A714="","",IF(AND(E714&gt;=4,F714&gt;=4,G714&gt;=4),"Juara",IF(AND(F714&gt;=4,E714&gt;=3),"Setia",IF(AND(E714=5,F714&lt;=2,G714&gt;=3),"Berpotensi",IF(AND(E714&lt;=3,E714&gt;=2,F714&gt;=3),"Rawan",IF(AND(E714&lt;=2,F714&lt;=2),"Tidur","Umum"))))))</f>
        <v/>
      </c>
    </row>
    <row r="715">
      <c r="B715">
        <f>IF(A715="","",$B$1-MAXIFS(Donasi!$A$2:$A$20000,Donasi!$B$2:$B$20000,A715))</f>
        <v/>
      </c>
      <c r="C715">
        <f>IF(A715="","",COUNTIF(Donasi!$B$2:$B$20000,A715))</f>
        <v/>
      </c>
      <c r="D715">
        <f>IF(A715="","",SUMIF(Donasi!$B$2:$B$20000,A715,Donasi!$C$2:$C$20000))</f>
        <v/>
      </c>
      <c r="E715">
        <f>IF(A715="","",6-CEILING(PERCENTRANK.INC($B$3:$B$6000,B715,4)*5+0.000001,1))</f>
        <v/>
      </c>
      <c r="F715">
        <f>IF(A715="","",MAX(1,CEILING(PERCENTRANK.INC($C$3:$C$6000,C715,4)*5+0.000001,1)))</f>
        <v/>
      </c>
      <c r="G715">
        <f>IF(A715="","",MAX(1,CEILING(PERCENTRANK.INC($D$3:$D$6000,D715,4)*5+0.000001,1)))</f>
        <v/>
      </c>
      <c r="H715">
        <f>IF(A715="","",E715&amp;F715&amp;G715)</f>
        <v/>
      </c>
      <c r="I715">
        <f>IF(A715="","",IF(AND(E715&gt;=4,F715&gt;=4,G715&gt;=4),"Juara",IF(AND(F715&gt;=4,E715&gt;=3),"Setia",IF(AND(E715=5,F715&lt;=2,G715&gt;=3),"Berpotensi",IF(AND(E715&lt;=3,E715&gt;=2,F715&gt;=3),"Rawan",IF(AND(E715&lt;=2,F715&lt;=2),"Tidur","Umum"))))))</f>
        <v/>
      </c>
    </row>
    <row r="716">
      <c r="B716">
        <f>IF(A716="","",$B$1-MAXIFS(Donasi!$A$2:$A$20000,Donasi!$B$2:$B$20000,A716))</f>
        <v/>
      </c>
      <c r="C716">
        <f>IF(A716="","",COUNTIF(Donasi!$B$2:$B$20000,A716))</f>
        <v/>
      </c>
      <c r="D716">
        <f>IF(A716="","",SUMIF(Donasi!$B$2:$B$20000,A716,Donasi!$C$2:$C$20000))</f>
        <v/>
      </c>
      <c r="E716">
        <f>IF(A716="","",6-CEILING(PERCENTRANK.INC($B$3:$B$6000,B716,4)*5+0.000001,1))</f>
        <v/>
      </c>
      <c r="F716">
        <f>IF(A716="","",MAX(1,CEILING(PERCENTRANK.INC($C$3:$C$6000,C716,4)*5+0.000001,1)))</f>
        <v/>
      </c>
      <c r="G716">
        <f>IF(A716="","",MAX(1,CEILING(PERCENTRANK.INC($D$3:$D$6000,D716,4)*5+0.000001,1)))</f>
        <v/>
      </c>
      <c r="H716">
        <f>IF(A716="","",E716&amp;F716&amp;G716)</f>
        <v/>
      </c>
      <c r="I716">
        <f>IF(A716="","",IF(AND(E716&gt;=4,F716&gt;=4,G716&gt;=4),"Juara",IF(AND(F716&gt;=4,E716&gt;=3),"Setia",IF(AND(E716=5,F716&lt;=2,G716&gt;=3),"Berpotensi",IF(AND(E716&lt;=3,E716&gt;=2,F716&gt;=3),"Rawan",IF(AND(E716&lt;=2,F716&lt;=2),"Tidur","Umum"))))))</f>
        <v/>
      </c>
    </row>
    <row r="717">
      <c r="B717">
        <f>IF(A717="","",$B$1-MAXIFS(Donasi!$A$2:$A$20000,Donasi!$B$2:$B$20000,A717))</f>
        <v/>
      </c>
      <c r="C717">
        <f>IF(A717="","",COUNTIF(Donasi!$B$2:$B$20000,A717))</f>
        <v/>
      </c>
      <c r="D717">
        <f>IF(A717="","",SUMIF(Donasi!$B$2:$B$20000,A717,Donasi!$C$2:$C$20000))</f>
        <v/>
      </c>
      <c r="E717">
        <f>IF(A717="","",6-CEILING(PERCENTRANK.INC($B$3:$B$6000,B717,4)*5+0.000001,1))</f>
        <v/>
      </c>
      <c r="F717">
        <f>IF(A717="","",MAX(1,CEILING(PERCENTRANK.INC($C$3:$C$6000,C717,4)*5+0.000001,1)))</f>
        <v/>
      </c>
      <c r="G717">
        <f>IF(A717="","",MAX(1,CEILING(PERCENTRANK.INC($D$3:$D$6000,D717,4)*5+0.000001,1)))</f>
        <v/>
      </c>
      <c r="H717">
        <f>IF(A717="","",E717&amp;F717&amp;G717)</f>
        <v/>
      </c>
      <c r="I717">
        <f>IF(A717="","",IF(AND(E717&gt;=4,F717&gt;=4,G717&gt;=4),"Juara",IF(AND(F717&gt;=4,E717&gt;=3),"Setia",IF(AND(E717=5,F717&lt;=2,G717&gt;=3),"Berpotensi",IF(AND(E717&lt;=3,E717&gt;=2,F717&gt;=3),"Rawan",IF(AND(E717&lt;=2,F717&lt;=2),"Tidur","Umum"))))))</f>
        <v/>
      </c>
    </row>
    <row r="718">
      <c r="B718">
        <f>IF(A718="","",$B$1-MAXIFS(Donasi!$A$2:$A$20000,Donasi!$B$2:$B$20000,A718))</f>
        <v/>
      </c>
      <c r="C718">
        <f>IF(A718="","",COUNTIF(Donasi!$B$2:$B$20000,A718))</f>
        <v/>
      </c>
      <c r="D718">
        <f>IF(A718="","",SUMIF(Donasi!$B$2:$B$20000,A718,Donasi!$C$2:$C$20000))</f>
        <v/>
      </c>
      <c r="E718">
        <f>IF(A718="","",6-CEILING(PERCENTRANK.INC($B$3:$B$6000,B718,4)*5+0.000001,1))</f>
        <v/>
      </c>
      <c r="F718">
        <f>IF(A718="","",MAX(1,CEILING(PERCENTRANK.INC($C$3:$C$6000,C718,4)*5+0.000001,1)))</f>
        <v/>
      </c>
      <c r="G718">
        <f>IF(A718="","",MAX(1,CEILING(PERCENTRANK.INC($D$3:$D$6000,D718,4)*5+0.000001,1)))</f>
        <v/>
      </c>
      <c r="H718">
        <f>IF(A718="","",E718&amp;F718&amp;G718)</f>
        <v/>
      </c>
      <c r="I718">
        <f>IF(A718="","",IF(AND(E718&gt;=4,F718&gt;=4,G718&gt;=4),"Juara",IF(AND(F718&gt;=4,E718&gt;=3),"Setia",IF(AND(E718=5,F718&lt;=2,G718&gt;=3),"Berpotensi",IF(AND(E718&lt;=3,E718&gt;=2,F718&gt;=3),"Rawan",IF(AND(E718&lt;=2,F718&lt;=2),"Tidur","Umum"))))))</f>
        <v/>
      </c>
    </row>
    <row r="719">
      <c r="B719">
        <f>IF(A719="","",$B$1-MAXIFS(Donasi!$A$2:$A$20000,Donasi!$B$2:$B$20000,A719))</f>
        <v/>
      </c>
      <c r="C719">
        <f>IF(A719="","",COUNTIF(Donasi!$B$2:$B$20000,A719))</f>
        <v/>
      </c>
      <c r="D719">
        <f>IF(A719="","",SUMIF(Donasi!$B$2:$B$20000,A719,Donasi!$C$2:$C$20000))</f>
        <v/>
      </c>
      <c r="E719">
        <f>IF(A719="","",6-CEILING(PERCENTRANK.INC($B$3:$B$6000,B719,4)*5+0.000001,1))</f>
        <v/>
      </c>
      <c r="F719">
        <f>IF(A719="","",MAX(1,CEILING(PERCENTRANK.INC($C$3:$C$6000,C719,4)*5+0.000001,1)))</f>
        <v/>
      </c>
      <c r="G719">
        <f>IF(A719="","",MAX(1,CEILING(PERCENTRANK.INC($D$3:$D$6000,D719,4)*5+0.000001,1)))</f>
        <v/>
      </c>
      <c r="H719">
        <f>IF(A719="","",E719&amp;F719&amp;G719)</f>
        <v/>
      </c>
      <c r="I719">
        <f>IF(A719="","",IF(AND(E719&gt;=4,F719&gt;=4,G719&gt;=4),"Juara",IF(AND(F719&gt;=4,E719&gt;=3),"Setia",IF(AND(E719=5,F719&lt;=2,G719&gt;=3),"Berpotensi",IF(AND(E719&lt;=3,E719&gt;=2,F719&gt;=3),"Rawan",IF(AND(E719&lt;=2,F719&lt;=2),"Tidur","Umum"))))))</f>
        <v/>
      </c>
    </row>
    <row r="720">
      <c r="B720">
        <f>IF(A720="","",$B$1-MAXIFS(Donasi!$A$2:$A$20000,Donasi!$B$2:$B$20000,A720))</f>
        <v/>
      </c>
      <c r="C720">
        <f>IF(A720="","",COUNTIF(Donasi!$B$2:$B$20000,A720))</f>
        <v/>
      </c>
      <c r="D720">
        <f>IF(A720="","",SUMIF(Donasi!$B$2:$B$20000,A720,Donasi!$C$2:$C$20000))</f>
        <v/>
      </c>
      <c r="E720">
        <f>IF(A720="","",6-CEILING(PERCENTRANK.INC($B$3:$B$6000,B720,4)*5+0.000001,1))</f>
        <v/>
      </c>
      <c r="F720">
        <f>IF(A720="","",MAX(1,CEILING(PERCENTRANK.INC($C$3:$C$6000,C720,4)*5+0.000001,1)))</f>
        <v/>
      </c>
      <c r="G720">
        <f>IF(A720="","",MAX(1,CEILING(PERCENTRANK.INC($D$3:$D$6000,D720,4)*5+0.000001,1)))</f>
        <v/>
      </c>
      <c r="H720">
        <f>IF(A720="","",E720&amp;F720&amp;G720)</f>
        <v/>
      </c>
      <c r="I720">
        <f>IF(A720="","",IF(AND(E720&gt;=4,F720&gt;=4,G720&gt;=4),"Juara",IF(AND(F720&gt;=4,E720&gt;=3),"Setia",IF(AND(E720=5,F720&lt;=2,G720&gt;=3),"Berpotensi",IF(AND(E720&lt;=3,E720&gt;=2,F720&gt;=3),"Rawan",IF(AND(E720&lt;=2,F720&lt;=2),"Tidur","Umum"))))))</f>
        <v/>
      </c>
    </row>
    <row r="721">
      <c r="B721">
        <f>IF(A721="","",$B$1-MAXIFS(Donasi!$A$2:$A$20000,Donasi!$B$2:$B$20000,A721))</f>
        <v/>
      </c>
      <c r="C721">
        <f>IF(A721="","",COUNTIF(Donasi!$B$2:$B$20000,A721))</f>
        <v/>
      </c>
      <c r="D721">
        <f>IF(A721="","",SUMIF(Donasi!$B$2:$B$20000,A721,Donasi!$C$2:$C$20000))</f>
        <v/>
      </c>
      <c r="E721">
        <f>IF(A721="","",6-CEILING(PERCENTRANK.INC($B$3:$B$6000,B721,4)*5+0.000001,1))</f>
        <v/>
      </c>
      <c r="F721">
        <f>IF(A721="","",MAX(1,CEILING(PERCENTRANK.INC($C$3:$C$6000,C721,4)*5+0.000001,1)))</f>
        <v/>
      </c>
      <c r="G721">
        <f>IF(A721="","",MAX(1,CEILING(PERCENTRANK.INC($D$3:$D$6000,D721,4)*5+0.000001,1)))</f>
        <v/>
      </c>
      <c r="H721">
        <f>IF(A721="","",E721&amp;F721&amp;G721)</f>
        <v/>
      </c>
      <c r="I721">
        <f>IF(A721="","",IF(AND(E721&gt;=4,F721&gt;=4,G721&gt;=4),"Juara",IF(AND(F721&gt;=4,E721&gt;=3),"Setia",IF(AND(E721=5,F721&lt;=2,G721&gt;=3),"Berpotensi",IF(AND(E721&lt;=3,E721&gt;=2,F721&gt;=3),"Rawan",IF(AND(E721&lt;=2,F721&lt;=2),"Tidur","Umum"))))))</f>
        <v/>
      </c>
    </row>
    <row r="722">
      <c r="B722">
        <f>IF(A722="","",$B$1-MAXIFS(Donasi!$A$2:$A$20000,Donasi!$B$2:$B$20000,A722))</f>
        <v/>
      </c>
      <c r="C722">
        <f>IF(A722="","",COUNTIF(Donasi!$B$2:$B$20000,A722))</f>
        <v/>
      </c>
      <c r="D722">
        <f>IF(A722="","",SUMIF(Donasi!$B$2:$B$20000,A722,Donasi!$C$2:$C$20000))</f>
        <v/>
      </c>
      <c r="E722">
        <f>IF(A722="","",6-CEILING(PERCENTRANK.INC($B$3:$B$6000,B722,4)*5+0.000001,1))</f>
        <v/>
      </c>
      <c r="F722">
        <f>IF(A722="","",MAX(1,CEILING(PERCENTRANK.INC($C$3:$C$6000,C722,4)*5+0.000001,1)))</f>
        <v/>
      </c>
      <c r="G722">
        <f>IF(A722="","",MAX(1,CEILING(PERCENTRANK.INC($D$3:$D$6000,D722,4)*5+0.000001,1)))</f>
        <v/>
      </c>
      <c r="H722">
        <f>IF(A722="","",E722&amp;F722&amp;G722)</f>
        <v/>
      </c>
      <c r="I722">
        <f>IF(A722="","",IF(AND(E722&gt;=4,F722&gt;=4,G722&gt;=4),"Juara",IF(AND(F722&gt;=4,E722&gt;=3),"Setia",IF(AND(E722=5,F722&lt;=2,G722&gt;=3),"Berpotensi",IF(AND(E722&lt;=3,E722&gt;=2,F722&gt;=3),"Rawan",IF(AND(E722&lt;=2,F722&lt;=2),"Tidur","Umum"))))))</f>
        <v/>
      </c>
    </row>
    <row r="723">
      <c r="B723">
        <f>IF(A723="","",$B$1-MAXIFS(Donasi!$A$2:$A$20000,Donasi!$B$2:$B$20000,A723))</f>
        <v/>
      </c>
      <c r="C723">
        <f>IF(A723="","",COUNTIF(Donasi!$B$2:$B$20000,A723))</f>
        <v/>
      </c>
      <c r="D723">
        <f>IF(A723="","",SUMIF(Donasi!$B$2:$B$20000,A723,Donasi!$C$2:$C$20000))</f>
        <v/>
      </c>
      <c r="E723">
        <f>IF(A723="","",6-CEILING(PERCENTRANK.INC($B$3:$B$6000,B723,4)*5+0.000001,1))</f>
        <v/>
      </c>
      <c r="F723">
        <f>IF(A723="","",MAX(1,CEILING(PERCENTRANK.INC($C$3:$C$6000,C723,4)*5+0.000001,1)))</f>
        <v/>
      </c>
      <c r="G723">
        <f>IF(A723="","",MAX(1,CEILING(PERCENTRANK.INC($D$3:$D$6000,D723,4)*5+0.000001,1)))</f>
        <v/>
      </c>
      <c r="H723">
        <f>IF(A723="","",E723&amp;F723&amp;G723)</f>
        <v/>
      </c>
      <c r="I723">
        <f>IF(A723="","",IF(AND(E723&gt;=4,F723&gt;=4,G723&gt;=4),"Juara",IF(AND(F723&gt;=4,E723&gt;=3),"Setia",IF(AND(E723=5,F723&lt;=2,G723&gt;=3),"Berpotensi",IF(AND(E723&lt;=3,E723&gt;=2,F723&gt;=3),"Rawan",IF(AND(E723&lt;=2,F723&lt;=2),"Tidur","Umum"))))))</f>
        <v/>
      </c>
    </row>
    <row r="724">
      <c r="B724">
        <f>IF(A724="","",$B$1-MAXIFS(Donasi!$A$2:$A$20000,Donasi!$B$2:$B$20000,A724))</f>
        <v/>
      </c>
      <c r="C724">
        <f>IF(A724="","",COUNTIF(Donasi!$B$2:$B$20000,A724))</f>
        <v/>
      </c>
      <c r="D724">
        <f>IF(A724="","",SUMIF(Donasi!$B$2:$B$20000,A724,Donasi!$C$2:$C$20000))</f>
        <v/>
      </c>
      <c r="E724">
        <f>IF(A724="","",6-CEILING(PERCENTRANK.INC($B$3:$B$6000,B724,4)*5+0.000001,1))</f>
        <v/>
      </c>
      <c r="F724">
        <f>IF(A724="","",MAX(1,CEILING(PERCENTRANK.INC($C$3:$C$6000,C724,4)*5+0.000001,1)))</f>
        <v/>
      </c>
      <c r="G724">
        <f>IF(A724="","",MAX(1,CEILING(PERCENTRANK.INC($D$3:$D$6000,D724,4)*5+0.000001,1)))</f>
        <v/>
      </c>
      <c r="H724">
        <f>IF(A724="","",E724&amp;F724&amp;G724)</f>
        <v/>
      </c>
      <c r="I724">
        <f>IF(A724="","",IF(AND(E724&gt;=4,F724&gt;=4,G724&gt;=4),"Juara",IF(AND(F724&gt;=4,E724&gt;=3),"Setia",IF(AND(E724=5,F724&lt;=2,G724&gt;=3),"Berpotensi",IF(AND(E724&lt;=3,E724&gt;=2,F724&gt;=3),"Rawan",IF(AND(E724&lt;=2,F724&lt;=2),"Tidur","Umum"))))))</f>
        <v/>
      </c>
    </row>
    <row r="725">
      <c r="B725">
        <f>IF(A725="","",$B$1-MAXIFS(Donasi!$A$2:$A$20000,Donasi!$B$2:$B$20000,A725))</f>
        <v/>
      </c>
      <c r="C725">
        <f>IF(A725="","",COUNTIF(Donasi!$B$2:$B$20000,A725))</f>
        <v/>
      </c>
      <c r="D725">
        <f>IF(A725="","",SUMIF(Donasi!$B$2:$B$20000,A725,Donasi!$C$2:$C$20000))</f>
        <v/>
      </c>
      <c r="E725">
        <f>IF(A725="","",6-CEILING(PERCENTRANK.INC($B$3:$B$6000,B725,4)*5+0.000001,1))</f>
        <v/>
      </c>
      <c r="F725">
        <f>IF(A725="","",MAX(1,CEILING(PERCENTRANK.INC($C$3:$C$6000,C725,4)*5+0.000001,1)))</f>
        <v/>
      </c>
      <c r="G725">
        <f>IF(A725="","",MAX(1,CEILING(PERCENTRANK.INC($D$3:$D$6000,D725,4)*5+0.000001,1)))</f>
        <v/>
      </c>
      <c r="H725">
        <f>IF(A725="","",E725&amp;F725&amp;G725)</f>
        <v/>
      </c>
      <c r="I725">
        <f>IF(A725="","",IF(AND(E725&gt;=4,F725&gt;=4,G725&gt;=4),"Juara",IF(AND(F725&gt;=4,E725&gt;=3),"Setia",IF(AND(E725=5,F725&lt;=2,G725&gt;=3),"Berpotensi",IF(AND(E725&lt;=3,E725&gt;=2,F725&gt;=3),"Rawan",IF(AND(E725&lt;=2,F725&lt;=2),"Tidur","Umum"))))))</f>
        <v/>
      </c>
    </row>
    <row r="726">
      <c r="B726">
        <f>IF(A726="","",$B$1-MAXIFS(Donasi!$A$2:$A$20000,Donasi!$B$2:$B$20000,A726))</f>
        <v/>
      </c>
      <c r="C726">
        <f>IF(A726="","",COUNTIF(Donasi!$B$2:$B$20000,A726))</f>
        <v/>
      </c>
      <c r="D726">
        <f>IF(A726="","",SUMIF(Donasi!$B$2:$B$20000,A726,Donasi!$C$2:$C$20000))</f>
        <v/>
      </c>
      <c r="E726">
        <f>IF(A726="","",6-CEILING(PERCENTRANK.INC($B$3:$B$6000,B726,4)*5+0.000001,1))</f>
        <v/>
      </c>
      <c r="F726">
        <f>IF(A726="","",MAX(1,CEILING(PERCENTRANK.INC($C$3:$C$6000,C726,4)*5+0.000001,1)))</f>
        <v/>
      </c>
      <c r="G726">
        <f>IF(A726="","",MAX(1,CEILING(PERCENTRANK.INC($D$3:$D$6000,D726,4)*5+0.000001,1)))</f>
        <v/>
      </c>
      <c r="H726">
        <f>IF(A726="","",E726&amp;F726&amp;G726)</f>
        <v/>
      </c>
      <c r="I726">
        <f>IF(A726="","",IF(AND(E726&gt;=4,F726&gt;=4,G726&gt;=4),"Juara",IF(AND(F726&gt;=4,E726&gt;=3),"Setia",IF(AND(E726=5,F726&lt;=2,G726&gt;=3),"Berpotensi",IF(AND(E726&lt;=3,E726&gt;=2,F726&gt;=3),"Rawan",IF(AND(E726&lt;=2,F726&lt;=2),"Tidur","Umum"))))))</f>
        <v/>
      </c>
    </row>
    <row r="727">
      <c r="B727">
        <f>IF(A727="","",$B$1-MAXIFS(Donasi!$A$2:$A$20000,Donasi!$B$2:$B$20000,A727))</f>
        <v/>
      </c>
      <c r="C727">
        <f>IF(A727="","",COUNTIF(Donasi!$B$2:$B$20000,A727))</f>
        <v/>
      </c>
      <c r="D727">
        <f>IF(A727="","",SUMIF(Donasi!$B$2:$B$20000,A727,Donasi!$C$2:$C$20000))</f>
        <v/>
      </c>
      <c r="E727">
        <f>IF(A727="","",6-CEILING(PERCENTRANK.INC($B$3:$B$6000,B727,4)*5+0.000001,1))</f>
        <v/>
      </c>
      <c r="F727">
        <f>IF(A727="","",MAX(1,CEILING(PERCENTRANK.INC($C$3:$C$6000,C727,4)*5+0.000001,1)))</f>
        <v/>
      </c>
      <c r="G727">
        <f>IF(A727="","",MAX(1,CEILING(PERCENTRANK.INC($D$3:$D$6000,D727,4)*5+0.000001,1)))</f>
        <v/>
      </c>
      <c r="H727">
        <f>IF(A727="","",E727&amp;F727&amp;G727)</f>
        <v/>
      </c>
      <c r="I727">
        <f>IF(A727="","",IF(AND(E727&gt;=4,F727&gt;=4,G727&gt;=4),"Juara",IF(AND(F727&gt;=4,E727&gt;=3),"Setia",IF(AND(E727=5,F727&lt;=2,G727&gt;=3),"Berpotensi",IF(AND(E727&lt;=3,E727&gt;=2,F727&gt;=3),"Rawan",IF(AND(E727&lt;=2,F727&lt;=2),"Tidur","Umum"))))))</f>
        <v/>
      </c>
    </row>
    <row r="728">
      <c r="B728">
        <f>IF(A728="","",$B$1-MAXIFS(Donasi!$A$2:$A$20000,Donasi!$B$2:$B$20000,A728))</f>
        <v/>
      </c>
      <c r="C728">
        <f>IF(A728="","",COUNTIF(Donasi!$B$2:$B$20000,A728))</f>
        <v/>
      </c>
      <c r="D728">
        <f>IF(A728="","",SUMIF(Donasi!$B$2:$B$20000,A728,Donasi!$C$2:$C$20000))</f>
        <v/>
      </c>
      <c r="E728">
        <f>IF(A728="","",6-CEILING(PERCENTRANK.INC($B$3:$B$6000,B728,4)*5+0.000001,1))</f>
        <v/>
      </c>
      <c r="F728">
        <f>IF(A728="","",MAX(1,CEILING(PERCENTRANK.INC($C$3:$C$6000,C728,4)*5+0.000001,1)))</f>
        <v/>
      </c>
      <c r="G728">
        <f>IF(A728="","",MAX(1,CEILING(PERCENTRANK.INC($D$3:$D$6000,D728,4)*5+0.000001,1)))</f>
        <v/>
      </c>
      <c r="H728">
        <f>IF(A728="","",E728&amp;F728&amp;G728)</f>
        <v/>
      </c>
      <c r="I728">
        <f>IF(A728="","",IF(AND(E728&gt;=4,F728&gt;=4,G728&gt;=4),"Juara",IF(AND(F728&gt;=4,E728&gt;=3),"Setia",IF(AND(E728=5,F728&lt;=2,G728&gt;=3),"Berpotensi",IF(AND(E728&lt;=3,E728&gt;=2,F728&gt;=3),"Rawan",IF(AND(E728&lt;=2,F728&lt;=2),"Tidur","Umum"))))))</f>
        <v/>
      </c>
    </row>
    <row r="729">
      <c r="B729">
        <f>IF(A729="","",$B$1-MAXIFS(Donasi!$A$2:$A$20000,Donasi!$B$2:$B$20000,A729))</f>
        <v/>
      </c>
      <c r="C729">
        <f>IF(A729="","",COUNTIF(Donasi!$B$2:$B$20000,A729))</f>
        <v/>
      </c>
      <c r="D729">
        <f>IF(A729="","",SUMIF(Donasi!$B$2:$B$20000,A729,Donasi!$C$2:$C$20000))</f>
        <v/>
      </c>
      <c r="E729">
        <f>IF(A729="","",6-CEILING(PERCENTRANK.INC($B$3:$B$6000,B729,4)*5+0.000001,1))</f>
        <v/>
      </c>
      <c r="F729">
        <f>IF(A729="","",MAX(1,CEILING(PERCENTRANK.INC($C$3:$C$6000,C729,4)*5+0.000001,1)))</f>
        <v/>
      </c>
      <c r="G729">
        <f>IF(A729="","",MAX(1,CEILING(PERCENTRANK.INC($D$3:$D$6000,D729,4)*5+0.000001,1)))</f>
        <v/>
      </c>
      <c r="H729">
        <f>IF(A729="","",E729&amp;F729&amp;G729)</f>
        <v/>
      </c>
      <c r="I729">
        <f>IF(A729="","",IF(AND(E729&gt;=4,F729&gt;=4,G729&gt;=4),"Juara",IF(AND(F729&gt;=4,E729&gt;=3),"Setia",IF(AND(E729=5,F729&lt;=2,G729&gt;=3),"Berpotensi",IF(AND(E729&lt;=3,E729&gt;=2,F729&gt;=3),"Rawan",IF(AND(E729&lt;=2,F729&lt;=2),"Tidur","Umum"))))))</f>
        <v/>
      </c>
    </row>
    <row r="730">
      <c r="B730">
        <f>IF(A730="","",$B$1-MAXIFS(Donasi!$A$2:$A$20000,Donasi!$B$2:$B$20000,A730))</f>
        <v/>
      </c>
      <c r="C730">
        <f>IF(A730="","",COUNTIF(Donasi!$B$2:$B$20000,A730))</f>
        <v/>
      </c>
      <c r="D730">
        <f>IF(A730="","",SUMIF(Donasi!$B$2:$B$20000,A730,Donasi!$C$2:$C$20000))</f>
        <v/>
      </c>
      <c r="E730">
        <f>IF(A730="","",6-CEILING(PERCENTRANK.INC($B$3:$B$6000,B730,4)*5+0.000001,1))</f>
        <v/>
      </c>
      <c r="F730">
        <f>IF(A730="","",MAX(1,CEILING(PERCENTRANK.INC($C$3:$C$6000,C730,4)*5+0.000001,1)))</f>
        <v/>
      </c>
      <c r="G730">
        <f>IF(A730="","",MAX(1,CEILING(PERCENTRANK.INC($D$3:$D$6000,D730,4)*5+0.000001,1)))</f>
        <v/>
      </c>
      <c r="H730">
        <f>IF(A730="","",E730&amp;F730&amp;G730)</f>
        <v/>
      </c>
      <c r="I730">
        <f>IF(A730="","",IF(AND(E730&gt;=4,F730&gt;=4,G730&gt;=4),"Juara",IF(AND(F730&gt;=4,E730&gt;=3),"Setia",IF(AND(E730=5,F730&lt;=2,G730&gt;=3),"Berpotensi",IF(AND(E730&lt;=3,E730&gt;=2,F730&gt;=3),"Rawan",IF(AND(E730&lt;=2,F730&lt;=2),"Tidur","Umum"))))))</f>
        <v/>
      </c>
    </row>
    <row r="731">
      <c r="B731">
        <f>IF(A731="","",$B$1-MAXIFS(Donasi!$A$2:$A$20000,Donasi!$B$2:$B$20000,A731))</f>
        <v/>
      </c>
      <c r="C731">
        <f>IF(A731="","",COUNTIF(Donasi!$B$2:$B$20000,A731))</f>
        <v/>
      </c>
      <c r="D731">
        <f>IF(A731="","",SUMIF(Donasi!$B$2:$B$20000,A731,Donasi!$C$2:$C$20000))</f>
        <v/>
      </c>
      <c r="E731">
        <f>IF(A731="","",6-CEILING(PERCENTRANK.INC($B$3:$B$6000,B731,4)*5+0.000001,1))</f>
        <v/>
      </c>
      <c r="F731">
        <f>IF(A731="","",MAX(1,CEILING(PERCENTRANK.INC($C$3:$C$6000,C731,4)*5+0.000001,1)))</f>
        <v/>
      </c>
      <c r="G731">
        <f>IF(A731="","",MAX(1,CEILING(PERCENTRANK.INC($D$3:$D$6000,D731,4)*5+0.000001,1)))</f>
        <v/>
      </c>
      <c r="H731">
        <f>IF(A731="","",E731&amp;F731&amp;G731)</f>
        <v/>
      </c>
      <c r="I731">
        <f>IF(A731="","",IF(AND(E731&gt;=4,F731&gt;=4,G731&gt;=4),"Juara",IF(AND(F731&gt;=4,E731&gt;=3),"Setia",IF(AND(E731=5,F731&lt;=2,G731&gt;=3),"Berpotensi",IF(AND(E731&lt;=3,E731&gt;=2,F731&gt;=3),"Rawan",IF(AND(E731&lt;=2,F731&lt;=2),"Tidur","Umum"))))))</f>
        <v/>
      </c>
    </row>
    <row r="732">
      <c r="B732">
        <f>IF(A732="","",$B$1-MAXIFS(Donasi!$A$2:$A$20000,Donasi!$B$2:$B$20000,A732))</f>
        <v/>
      </c>
      <c r="C732">
        <f>IF(A732="","",COUNTIF(Donasi!$B$2:$B$20000,A732))</f>
        <v/>
      </c>
      <c r="D732">
        <f>IF(A732="","",SUMIF(Donasi!$B$2:$B$20000,A732,Donasi!$C$2:$C$20000))</f>
        <v/>
      </c>
      <c r="E732">
        <f>IF(A732="","",6-CEILING(PERCENTRANK.INC($B$3:$B$6000,B732,4)*5+0.000001,1))</f>
        <v/>
      </c>
      <c r="F732">
        <f>IF(A732="","",MAX(1,CEILING(PERCENTRANK.INC($C$3:$C$6000,C732,4)*5+0.000001,1)))</f>
        <v/>
      </c>
      <c r="G732">
        <f>IF(A732="","",MAX(1,CEILING(PERCENTRANK.INC($D$3:$D$6000,D732,4)*5+0.000001,1)))</f>
        <v/>
      </c>
      <c r="H732">
        <f>IF(A732="","",E732&amp;F732&amp;G732)</f>
        <v/>
      </c>
      <c r="I732">
        <f>IF(A732="","",IF(AND(E732&gt;=4,F732&gt;=4,G732&gt;=4),"Juara",IF(AND(F732&gt;=4,E732&gt;=3),"Setia",IF(AND(E732=5,F732&lt;=2,G732&gt;=3),"Berpotensi",IF(AND(E732&lt;=3,E732&gt;=2,F732&gt;=3),"Rawan",IF(AND(E732&lt;=2,F732&lt;=2),"Tidur","Umum"))))))</f>
        <v/>
      </c>
    </row>
    <row r="733">
      <c r="B733">
        <f>IF(A733="","",$B$1-MAXIFS(Donasi!$A$2:$A$20000,Donasi!$B$2:$B$20000,A733))</f>
        <v/>
      </c>
      <c r="C733">
        <f>IF(A733="","",COUNTIF(Donasi!$B$2:$B$20000,A733))</f>
        <v/>
      </c>
      <c r="D733">
        <f>IF(A733="","",SUMIF(Donasi!$B$2:$B$20000,A733,Donasi!$C$2:$C$20000))</f>
        <v/>
      </c>
      <c r="E733">
        <f>IF(A733="","",6-CEILING(PERCENTRANK.INC($B$3:$B$6000,B733,4)*5+0.000001,1))</f>
        <v/>
      </c>
      <c r="F733">
        <f>IF(A733="","",MAX(1,CEILING(PERCENTRANK.INC($C$3:$C$6000,C733,4)*5+0.000001,1)))</f>
        <v/>
      </c>
      <c r="G733">
        <f>IF(A733="","",MAX(1,CEILING(PERCENTRANK.INC($D$3:$D$6000,D733,4)*5+0.000001,1)))</f>
        <v/>
      </c>
      <c r="H733">
        <f>IF(A733="","",E733&amp;F733&amp;G733)</f>
        <v/>
      </c>
      <c r="I733">
        <f>IF(A733="","",IF(AND(E733&gt;=4,F733&gt;=4,G733&gt;=4),"Juara",IF(AND(F733&gt;=4,E733&gt;=3),"Setia",IF(AND(E733=5,F733&lt;=2,G733&gt;=3),"Berpotensi",IF(AND(E733&lt;=3,E733&gt;=2,F733&gt;=3),"Rawan",IF(AND(E733&lt;=2,F733&lt;=2),"Tidur","Umum"))))))</f>
        <v/>
      </c>
    </row>
    <row r="734">
      <c r="B734">
        <f>IF(A734="","",$B$1-MAXIFS(Donasi!$A$2:$A$20000,Donasi!$B$2:$B$20000,A734))</f>
        <v/>
      </c>
      <c r="C734">
        <f>IF(A734="","",COUNTIF(Donasi!$B$2:$B$20000,A734))</f>
        <v/>
      </c>
      <c r="D734">
        <f>IF(A734="","",SUMIF(Donasi!$B$2:$B$20000,A734,Donasi!$C$2:$C$20000))</f>
        <v/>
      </c>
      <c r="E734">
        <f>IF(A734="","",6-CEILING(PERCENTRANK.INC($B$3:$B$6000,B734,4)*5+0.000001,1))</f>
        <v/>
      </c>
      <c r="F734">
        <f>IF(A734="","",MAX(1,CEILING(PERCENTRANK.INC($C$3:$C$6000,C734,4)*5+0.000001,1)))</f>
        <v/>
      </c>
      <c r="G734">
        <f>IF(A734="","",MAX(1,CEILING(PERCENTRANK.INC($D$3:$D$6000,D734,4)*5+0.000001,1)))</f>
        <v/>
      </c>
      <c r="H734">
        <f>IF(A734="","",E734&amp;F734&amp;G734)</f>
        <v/>
      </c>
      <c r="I734">
        <f>IF(A734="","",IF(AND(E734&gt;=4,F734&gt;=4,G734&gt;=4),"Juara",IF(AND(F734&gt;=4,E734&gt;=3),"Setia",IF(AND(E734=5,F734&lt;=2,G734&gt;=3),"Berpotensi",IF(AND(E734&lt;=3,E734&gt;=2,F734&gt;=3),"Rawan",IF(AND(E734&lt;=2,F734&lt;=2),"Tidur","Umum"))))))</f>
        <v/>
      </c>
    </row>
    <row r="735">
      <c r="B735">
        <f>IF(A735="","",$B$1-MAXIFS(Donasi!$A$2:$A$20000,Donasi!$B$2:$B$20000,A735))</f>
        <v/>
      </c>
      <c r="C735">
        <f>IF(A735="","",COUNTIF(Donasi!$B$2:$B$20000,A735))</f>
        <v/>
      </c>
      <c r="D735">
        <f>IF(A735="","",SUMIF(Donasi!$B$2:$B$20000,A735,Donasi!$C$2:$C$20000))</f>
        <v/>
      </c>
      <c r="E735">
        <f>IF(A735="","",6-CEILING(PERCENTRANK.INC($B$3:$B$6000,B735,4)*5+0.000001,1))</f>
        <v/>
      </c>
      <c r="F735">
        <f>IF(A735="","",MAX(1,CEILING(PERCENTRANK.INC($C$3:$C$6000,C735,4)*5+0.000001,1)))</f>
        <v/>
      </c>
      <c r="G735">
        <f>IF(A735="","",MAX(1,CEILING(PERCENTRANK.INC($D$3:$D$6000,D735,4)*5+0.000001,1)))</f>
        <v/>
      </c>
      <c r="H735">
        <f>IF(A735="","",E735&amp;F735&amp;G735)</f>
        <v/>
      </c>
      <c r="I735">
        <f>IF(A735="","",IF(AND(E735&gt;=4,F735&gt;=4,G735&gt;=4),"Juara",IF(AND(F735&gt;=4,E735&gt;=3),"Setia",IF(AND(E735=5,F735&lt;=2,G735&gt;=3),"Berpotensi",IF(AND(E735&lt;=3,E735&gt;=2,F735&gt;=3),"Rawan",IF(AND(E735&lt;=2,F735&lt;=2),"Tidur","Umum"))))))</f>
        <v/>
      </c>
    </row>
    <row r="736">
      <c r="B736">
        <f>IF(A736="","",$B$1-MAXIFS(Donasi!$A$2:$A$20000,Donasi!$B$2:$B$20000,A736))</f>
        <v/>
      </c>
      <c r="C736">
        <f>IF(A736="","",COUNTIF(Donasi!$B$2:$B$20000,A736))</f>
        <v/>
      </c>
      <c r="D736">
        <f>IF(A736="","",SUMIF(Donasi!$B$2:$B$20000,A736,Donasi!$C$2:$C$20000))</f>
        <v/>
      </c>
      <c r="E736">
        <f>IF(A736="","",6-CEILING(PERCENTRANK.INC($B$3:$B$6000,B736,4)*5+0.000001,1))</f>
        <v/>
      </c>
      <c r="F736">
        <f>IF(A736="","",MAX(1,CEILING(PERCENTRANK.INC($C$3:$C$6000,C736,4)*5+0.000001,1)))</f>
        <v/>
      </c>
      <c r="G736">
        <f>IF(A736="","",MAX(1,CEILING(PERCENTRANK.INC($D$3:$D$6000,D736,4)*5+0.000001,1)))</f>
        <v/>
      </c>
      <c r="H736">
        <f>IF(A736="","",E736&amp;F736&amp;G736)</f>
        <v/>
      </c>
      <c r="I736">
        <f>IF(A736="","",IF(AND(E736&gt;=4,F736&gt;=4,G736&gt;=4),"Juara",IF(AND(F736&gt;=4,E736&gt;=3),"Setia",IF(AND(E736=5,F736&lt;=2,G736&gt;=3),"Berpotensi",IF(AND(E736&lt;=3,E736&gt;=2,F736&gt;=3),"Rawan",IF(AND(E736&lt;=2,F736&lt;=2),"Tidur","Umum"))))))</f>
        <v/>
      </c>
    </row>
    <row r="737">
      <c r="B737">
        <f>IF(A737="","",$B$1-MAXIFS(Donasi!$A$2:$A$20000,Donasi!$B$2:$B$20000,A737))</f>
        <v/>
      </c>
      <c r="C737">
        <f>IF(A737="","",COUNTIF(Donasi!$B$2:$B$20000,A737))</f>
        <v/>
      </c>
      <c r="D737">
        <f>IF(A737="","",SUMIF(Donasi!$B$2:$B$20000,A737,Donasi!$C$2:$C$20000))</f>
        <v/>
      </c>
      <c r="E737">
        <f>IF(A737="","",6-CEILING(PERCENTRANK.INC($B$3:$B$6000,B737,4)*5+0.000001,1))</f>
        <v/>
      </c>
      <c r="F737">
        <f>IF(A737="","",MAX(1,CEILING(PERCENTRANK.INC($C$3:$C$6000,C737,4)*5+0.000001,1)))</f>
        <v/>
      </c>
      <c r="G737">
        <f>IF(A737="","",MAX(1,CEILING(PERCENTRANK.INC($D$3:$D$6000,D737,4)*5+0.000001,1)))</f>
        <v/>
      </c>
      <c r="H737">
        <f>IF(A737="","",E737&amp;F737&amp;G737)</f>
        <v/>
      </c>
      <c r="I737">
        <f>IF(A737="","",IF(AND(E737&gt;=4,F737&gt;=4,G737&gt;=4),"Juara",IF(AND(F737&gt;=4,E737&gt;=3),"Setia",IF(AND(E737=5,F737&lt;=2,G737&gt;=3),"Berpotensi",IF(AND(E737&lt;=3,E737&gt;=2,F737&gt;=3),"Rawan",IF(AND(E737&lt;=2,F737&lt;=2),"Tidur","Umum"))))))</f>
        <v/>
      </c>
    </row>
    <row r="738">
      <c r="B738">
        <f>IF(A738="","",$B$1-MAXIFS(Donasi!$A$2:$A$20000,Donasi!$B$2:$B$20000,A738))</f>
        <v/>
      </c>
      <c r="C738">
        <f>IF(A738="","",COUNTIF(Donasi!$B$2:$B$20000,A738))</f>
        <v/>
      </c>
      <c r="D738">
        <f>IF(A738="","",SUMIF(Donasi!$B$2:$B$20000,A738,Donasi!$C$2:$C$20000))</f>
        <v/>
      </c>
      <c r="E738">
        <f>IF(A738="","",6-CEILING(PERCENTRANK.INC($B$3:$B$6000,B738,4)*5+0.000001,1))</f>
        <v/>
      </c>
      <c r="F738">
        <f>IF(A738="","",MAX(1,CEILING(PERCENTRANK.INC($C$3:$C$6000,C738,4)*5+0.000001,1)))</f>
        <v/>
      </c>
      <c r="G738">
        <f>IF(A738="","",MAX(1,CEILING(PERCENTRANK.INC($D$3:$D$6000,D738,4)*5+0.000001,1)))</f>
        <v/>
      </c>
      <c r="H738">
        <f>IF(A738="","",E738&amp;F738&amp;G738)</f>
        <v/>
      </c>
      <c r="I738">
        <f>IF(A738="","",IF(AND(E738&gt;=4,F738&gt;=4,G738&gt;=4),"Juara",IF(AND(F738&gt;=4,E738&gt;=3),"Setia",IF(AND(E738=5,F738&lt;=2,G738&gt;=3),"Berpotensi",IF(AND(E738&lt;=3,E738&gt;=2,F738&gt;=3),"Rawan",IF(AND(E738&lt;=2,F738&lt;=2),"Tidur","Umum"))))))</f>
        <v/>
      </c>
    </row>
    <row r="739">
      <c r="B739">
        <f>IF(A739="","",$B$1-MAXIFS(Donasi!$A$2:$A$20000,Donasi!$B$2:$B$20000,A739))</f>
        <v/>
      </c>
      <c r="C739">
        <f>IF(A739="","",COUNTIF(Donasi!$B$2:$B$20000,A739))</f>
        <v/>
      </c>
      <c r="D739">
        <f>IF(A739="","",SUMIF(Donasi!$B$2:$B$20000,A739,Donasi!$C$2:$C$20000))</f>
        <v/>
      </c>
      <c r="E739">
        <f>IF(A739="","",6-CEILING(PERCENTRANK.INC($B$3:$B$6000,B739,4)*5+0.000001,1))</f>
        <v/>
      </c>
      <c r="F739">
        <f>IF(A739="","",MAX(1,CEILING(PERCENTRANK.INC($C$3:$C$6000,C739,4)*5+0.000001,1)))</f>
        <v/>
      </c>
      <c r="G739">
        <f>IF(A739="","",MAX(1,CEILING(PERCENTRANK.INC($D$3:$D$6000,D739,4)*5+0.000001,1)))</f>
        <v/>
      </c>
      <c r="H739">
        <f>IF(A739="","",E739&amp;F739&amp;G739)</f>
        <v/>
      </c>
      <c r="I739">
        <f>IF(A739="","",IF(AND(E739&gt;=4,F739&gt;=4,G739&gt;=4),"Juara",IF(AND(F739&gt;=4,E739&gt;=3),"Setia",IF(AND(E739=5,F739&lt;=2,G739&gt;=3),"Berpotensi",IF(AND(E739&lt;=3,E739&gt;=2,F739&gt;=3),"Rawan",IF(AND(E739&lt;=2,F739&lt;=2),"Tidur","Umum"))))))</f>
        <v/>
      </c>
    </row>
    <row r="740">
      <c r="B740">
        <f>IF(A740="","",$B$1-MAXIFS(Donasi!$A$2:$A$20000,Donasi!$B$2:$B$20000,A740))</f>
        <v/>
      </c>
      <c r="C740">
        <f>IF(A740="","",COUNTIF(Donasi!$B$2:$B$20000,A740))</f>
        <v/>
      </c>
      <c r="D740">
        <f>IF(A740="","",SUMIF(Donasi!$B$2:$B$20000,A740,Donasi!$C$2:$C$20000))</f>
        <v/>
      </c>
      <c r="E740">
        <f>IF(A740="","",6-CEILING(PERCENTRANK.INC($B$3:$B$6000,B740,4)*5+0.000001,1))</f>
        <v/>
      </c>
      <c r="F740">
        <f>IF(A740="","",MAX(1,CEILING(PERCENTRANK.INC($C$3:$C$6000,C740,4)*5+0.000001,1)))</f>
        <v/>
      </c>
      <c r="G740">
        <f>IF(A740="","",MAX(1,CEILING(PERCENTRANK.INC($D$3:$D$6000,D740,4)*5+0.000001,1)))</f>
        <v/>
      </c>
      <c r="H740">
        <f>IF(A740="","",E740&amp;F740&amp;G740)</f>
        <v/>
      </c>
      <c r="I740">
        <f>IF(A740="","",IF(AND(E740&gt;=4,F740&gt;=4,G740&gt;=4),"Juara",IF(AND(F740&gt;=4,E740&gt;=3),"Setia",IF(AND(E740=5,F740&lt;=2,G740&gt;=3),"Berpotensi",IF(AND(E740&lt;=3,E740&gt;=2,F740&gt;=3),"Rawan",IF(AND(E740&lt;=2,F740&lt;=2),"Tidur","Umum"))))))</f>
        <v/>
      </c>
    </row>
    <row r="741">
      <c r="B741">
        <f>IF(A741="","",$B$1-MAXIFS(Donasi!$A$2:$A$20000,Donasi!$B$2:$B$20000,A741))</f>
        <v/>
      </c>
      <c r="C741">
        <f>IF(A741="","",COUNTIF(Donasi!$B$2:$B$20000,A741))</f>
        <v/>
      </c>
      <c r="D741">
        <f>IF(A741="","",SUMIF(Donasi!$B$2:$B$20000,A741,Donasi!$C$2:$C$20000))</f>
        <v/>
      </c>
      <c r="E741">
        <f>IF(A741="","",6-CEILING(PERCENTRANK.INC($B$3:$B$6000,B741,4)*5+0.000001,1))</f>
        <v/>
      </c>
      <c r="F741">
        <f>IF(A741="","",MAX(1,CEILING(PERCENTRANK.INC($C$3:$C$6000,C741,4)*5+0.000001,1)))</f>
        <v/>
      </c>
      <c r="G741">
        <f>IF(A741="","",MAX(1,CEILING(PERCENTRANK.INC($D$3:$D$6000,D741,4)*5+0.000001,1)))</f>
        <v/>
      </c>
      <c r="H741">
        <f>IF(A741="","",E741&amp;F741&amp;G741)</f>
        <v/>
      </c>
      <c r="I741">
        <f>IF(A741="","",IF(AND(E741&gt;=4,F741&gt;=4,G741&gt;=4),"Juara",IF(AND(F741&gt;=4,E741&gt;=3),"Setia",IF(AND(E741=5,F741&lt;=2,G741&gt;=3),"Berpotensi",IF(AND(E741&lt;=3,E741&gt;=2,F741&gt;=3),"Rawan",IF(AND(E741&lt;=2,F741&lt;=2),"Tidur","Umum"))))))</f>
        <v/>
      </c>
    </row>
    <row r="742">
      <c r="B742">
        <f>IF(A742="","",$B$1-MAXIFS(Donasi!$A$2:$A$20000,Donasi!$B$2:$B$20000,A742))</f>
        <v/>
      </c>
      <c r="C742">
        <f>IF(A742="","",COUNTIF(Donasi!$B$2:$B$20000,A742))</f>
        <v/>
      </c>
      <c r="D742">
        <f>IF(A742="","",SUMIF(Donasi!$B$2:$B$20000,A742,Donasi!$C$2:$C$20000))</f>
        <v/>
      </c>
      <c r="E742">
        <f>IF(A742="","",6-CEILING(PERCENTRANK.INC($B$3:$B$6000,B742,4)*5+0.000001,1))</f>
        <v/>
      </c>
      <c r="F742">
        <f>IF(A742="","",MAX(1,CEILING(PERCENTRANK.INC($C$3:$C$6000,C742,4)*5+0.000001,1)))</f>
        <v/>
      </c>
      <c r="G742">
        <f>IF(A742="","",MAX(1,CEILING(PERCENTRANK.INC($D$3:$D$6000,D742,4)*5+0.000001,1)))</f>
        <v/>
      </c>
      <c r="H742">
        <f>IF(A742="","",E742&amp;F742&amp;G742)</f>
        <v/>
      </c>
      <c r="I742">
        <f>IF(A742="","",IF(AND(E742&gt;=4,F742&gt;=4,G742&gt;=4),"Juara",IF(AND(F742&gt;=4,E742&gt;=3),"Setia",IF(AND(E742=5,F742&lt;=2,G742&gt;=3),"Berpotensi",IF(AND(E742&lt;=3,E742&gt;=2,F742&gt;=3),"Rawan",IF(AND(E742&lt;=2,F742&lt;=2),"Tidur","Umum"))))))</f>
        <v/>
      </c>
    </row>
    <row r="743">
      <c r="B743">
        <f>IF(A743="","",$B$1-MAXIFS(Donasi!$A$2:$A$20000,Donasi!$B$2:$B$20000,A743))</f>
        <v/>
      </c>
      <c r="C743">
        <f>IF(A743="","",COUNTIF(Donasi!$B$2:$B$20000,A743))</f>
        <v/>
      </c>
      <c r="D743">
        <f>IF(A743="","",SUMIF(Donasi!$B$2:$B$20000,A743,Donasi!$C$2:$C$20000))</f>
        <v/>
      </c>
      <c r="E743">
        <f>IF(A743="","",6-CEILING(PERCENTRANK.INC($B$3:$B$6000,B743,4)*5+0.000001,1))</f>
        <v/>
      </c>
      <c r="F743">
        <f>IF(A743="","",MAX(1,CEILING(PERCENTRANK.INC($C$3:$C$6000,C743,4)*5+0.000001,1)))</f>
        <v/>
      </c>
      <c r="G743">
        <f>IF(A743="","",MAX(1,CEILING(PERCENTRANK.INC($D$3:$D$6000,D743,4)*5+0.000001,1)))</f>
        <v/>
      </c>
      <c r="H743">
        <f>IF(A743="","",E743&amp;F743&amp;G743)</f>
        <v/>
      </c>
      <c r="I743">
        <f>IF(A743="","",IF(AND(E743&gt;=4,F743&gt;=4,G743&gt;=4),"Juara",IF(AND(F743&gt;=4,E743&gt;=3),"Setia",IF(AND(E743=5,F743&lt;=2,G743&gt;=3),"Berpotensi",IF(AND(E743&lt;=3,E743&gt;=2,F743&gt;=3),"Rawan",IF(AND(E743&lt;=2,F743&lt;=2),"Tidur","Umum"))))))</f>
        <v/>
      </c>
    </row>
    <row r="744">
      <c r="B744">
        <f>IF(A744="","",$B$1-MAXIFS(Donasi!$A$2:$A$20000,Donasi!$B$2:$B$20000,A744))</f>
        <v/>
      </c>
      <c r="C744">
        <f>IF(A744="","",COUNTIF(Donasi!$B$2:$B$20000,A744))</f>
        <v/>
      </c>
      <c r="D744">
        <f>IF(A744="","",SUMIF(Donasi!$B$2:$B$20000,A744,Donasi!$C$2:$C$20000))</f>
        <v/>
      </c>
      <c r="E744">
        <f>IF(A744="","",6-CEILING(PERCENTRANK.INC($B$3:$B$6000,B744,4)*5+0.000001,1))</f>
        <v/>
      </c>
      <c r="F744">
        <f>IF(A744="","",MAX(1,CEILING(PERCENTRANK.INC($C$3:$C$6000,C744,4)*5+0.000001,1)))</f>
        <v/>
      </c>
      <c r="G744">
        <f>IF(A744="","",MAX(1,CEILING(PERCENTRANK.INC($D$3:$D$6000,D744,4)*5+0.000001,1)))</f>
        <v/>
      </c>
      <c r="H744">
        <f>IF(A744="","",E744&amp;F744&amp;G744)</f>
        <v/>
      </c>
      <c r="I744">
        <f>IF(A744="","",IF(AND(E744&gt;=4,F744&gt;=4,G744&gt;=4),"Juara",IF(AND(F744&gt;=4,E744&gt;=3),"Setia",IF(AND(E744=5,F744&lt;=2,G744&gt;=3),"Berpotensi",IF(AND(E744&lt;=3,E744&gt;=2,F744&gt;=3),"Rawan",IF(AND(E744&lt;=2,F744&lt;=2),"Tidur","Umum"))))))</f>
        <v/>
      </c>
    </row>
    <row r="745">
      <c r="B745">
        <f>IF(A745="","",$B$1-MAXIFS(Donasi!$A$2:$A$20000,Donasi!$B$2:$B$20000,A745))</f>
        <v/>
      </c>
      <c r="C745">
        <f>IF(A745="","",COUNTIF(Donasi!$B$2:$B$20000,A745))</f>
        <v/>
      </c>
      <c r="D745">
        <f>IF(A745="","",SUMIF(Donasi!$B$2:$B$20000,A745,Donasi!$C$2:$C$20000))</f>
        <v/>
      </c>
      <c r="E745">
        <f>IF(A745="","",6-CEILING(PERCENTRANK.INC($B$3:$B$6000,B745,4)*5+0.000001,1))</f>
        <v/>
      </c>
      <c r="F745">
        <f>IF(A745="","",MAX(1,CEILING(PERCENTRANK.INC($C$3:$C$6000,C745,4)*5+0.000001,1)))</f>
        <v/>
      </c>
      <c r="G745">
        <f>IF(A745="","",MAX(1,CEILING(PERCENTRANK.INC($D$3:$D$6000,D745,4)*5+0.000001,1)))</f>
        <v/>
      </c>
      <c r="H745">
        <f>IF(A745="","",E745&amp;F745&amp;G745)</f>
        <v/>
      </c>
      <c r="I745">
        <f>IF(A745="","",IF(AND(E745&gt;=4,F745&gt;=4,G745&gt;=4),"Juara",IF(AND(F745&gt;=4,E745&gt;=3),"Setia",IF(AND(E745=5,F745&lt;=2,G745&gt;=3),"Berpotensi",IF(AND(E745&lt;=3,E745&gt;=2,F745&gt;=3),"Rawan",IF(AND(E745&lt;=2,F745&lt;=2),"Tidur","Umum"))))))</f>
        <v/>
      </c>
    </row>
    <row r="746">
      <c r="B746">
        <f>IF(A746="","",$B$1-MAXIFS(Donasi!$A$2:$A$20000,Donasi!$B$2:$B$20000,A746))</f>
        <v/>
      </c>
      <c r="C746">
        <f>IF(A746="","",COUNTIF(Donasi!$B$2:$B$20000,A746))</f>
        <v/>
      </c>
      <c r="D746">
        <f>IF(A746="","",SUMIF(Donasi!$B$2:$B$20000,A746,Donasi!$C$2:$C$20000))</f>
        <v/>
      </c>
      <c r="E746">
        <f>IF(A746="","",6-CEILING(PERCENTRANK.INC($B$3:$B$6000,B746,4)*5+0.000001,1))</f>
        <v/>
      </c>
      <c r="F746">
        <f>IF(A746="","",MAX(1,CEILING(PERCENTRANK.INC($C$3:$C$6000,C746,4)*5+0.000001,1)))</f>
        <v/>
      </c>
      <c r="G746">
        <f>IF(A746="","",MAX(1,CEILING(PERCENTRANK.INC($D$3:$D$6000,D746,4)*5+0.000001,1)))</f>
        <v/>
      </c>
      <c r="H746">
        <f>IF(A746="","",E746&amp;F746&amp;G746)</f>
        <v/>
      </c>
      <c r="I746">
        <f>IF(A746="","",IF(AND(E746&gt;=4,F746&gt;=4,G746&gt;=4),"Juara",IF(AND(F746&gt;=4,E746&gt;=3),"Setia",IF(AND(E746=5,F746&lt;=2,G746&gt;=3),"Berpotensi",IF(AND(E746&lt;=3,E746&gt;=2,F746&gt;=3),"Rawan",IF(AND(E746&lt;=2,F746&lt;=2),"Tidur","Umum"))))))</f>
        <v/>
      </c>
    </row>
    <row r="747">
      <c r="B747">
        <f>IF(A747="","",$B$1-MAXIFS(Donasi!$A$2:$A$20000,Donasi!$B$2:$B$20000,A747))</f>
        <v/>
      </c>
      <c r="C747">
        <f>IF(A747="","",COUNTIF(Donasi!$B$2:$B$20000,A747))</f>
        <v/>
      </c>
      <c r="D747">
        <f>IF(A747="","",SUMIF(Donasi!$B$2:$B$20000,A747,Donasi!$C$2:$C$20000))</f>
        <v/>
      </c>
      <c r="E747">
        <f>IF(A747="","",6-CEILING(PERCENTRANK.INC($B$3:$B$6000,B747,4)*5+0.000001,1))</f>
        <v/>
      </c>
      <c r="F747">
        <f>IF(A747="","",MAX(1,CEILING(PERCENTRANK.INC($C$3:$C$6000,C747,4)*5+0.000001,1)))</f>
        <v/>
      </c>
      <c r="G747">
        <f>IF(A747="","",MAX(1,CEILING(PERCENTRANK.INC($D$3:$D$6000,D747,4)*5+0.000001,1)))</f>
        <v/>
      </c>
      <c r="H747">
        <f>IF(A747="","",E747&amp;F747&amp;G747)</f>
        <v/>
      </c>
      <c r="I747">
        <f>IF(A747="","",IF(AND(E747&gt;=4,F747&gt;=4,G747&gt;=4),"Juara",IF(AND(F747&gt;=4,E747&gt;=3),"Setia",IF(AND(E747=5,F747&lt;=2,G747&gt;=3),"Berpotensi",IF(AND(E747&lt;=3,E747&gt;=2,F747&gt;=3),"Rawan",IF(AND(E747&lt;=2,F747&lt;=2),"Tidur","Umum"))))))</f>
        <v/>
      </c>
    </row>
    <row r="748">
      <c r="B748">
        <f>IF(A748="","",$B$1-MAXIFS(Donasi!$A$2:$A$20000,Donasi!$B$2:$B$20000,A748))</f>
        <v/>
      </c>
      <c r="C748">
        <f>IF(A748="","",COUNTIF(Donasi!$B$2:$B$20000,A748))</f>
        <v/>
      </c>
      <c r="D748">
        <f>IF(A748="","",SUMIF(Donasi!$B$2:$B$20000,A748,Donasi!$C$2:$C$20000))</f>
        <v/>
      </c>
      <c r="E748">
        <f>IF(A748="","",6-CEILING(PERCENTRANK.INC($B$3:$B$6000,B748,4)*5+0.000001,1))</f>
        <v/>
      </c>
      <c r="F748">
        <f>IF(A748="","",MAX(1,CEILING(PERCENTRANK.INC($C$3:$C$6000,C748,4)*5+0.000001,1)))</f>
        <v/>
      </c>
      <c r="G748">
        <f>IF(A748="","",MAX(1,CEILING(PERCENTRANK.INC($D$3:$D$6000,D748,4)*5+0.000001,1)))</f>
        <v/>
      </c>
      <c r="H748">
        <f>IF(A748="","",E748&amp;F748&amp;G748)</f>
        <v/>
      </c>
      <c r="I748">
        <f>IF(A748="","",IF(AND(E748&gt;=4,F748&gt;=4,G748&gt;=4),"Juara",IF(AND(F748&gt;=4,E748&gt;=3),"Setia",IF(AND(E748=5,F748&lt;=2,G748&gt;=3),"Berpotensi",IF(AND(E748&lt;=3,E748&gt;=2,F748&gt;=3),"Rawan",IF(AND(E748&lt;=2,F748&lt;=2),"Tidur","Umum"))))))</f>
        <v/>
      </c>
    </row>
    <row r="749">
      <c r="B749">
        <f>IF(A749="","",$B$1-MAXIFS(Donasi!$A$2:$A$20000,Donasi!$B$2:$B$20000,A749))</f>
        <v/>
      </c>
      <c r="C749">
        <f>IF(A749="","",COUNTIF(Donasi!$B$2:$B$20000,A749))</f>
        <v/>
      </c>
      <c r="D749">
        <f>IF(A749="","",SUMIF(Donasi!$B$2:$B$20000,A749,Donasi!$C$2:$C$20000))</f>
        <v/>
      </c>
      <c r="E749">
        <f>IF(A749="","",6-CEILING(PERCENTRANK.INC($B$3:$B$6000,B749,4)*5+0.000001,1))</f>
        <v/>
      </c>
      <c r="F749">
        <f>IF(A749="","",MAX(1,CEILING(PERCENTRANK.INC($C$3:$C$6000,C749,4)*5+0.000001,1)))</f>
        <v/>
      </c>
      <c r="G749">
        <f>IF(A749="","",MAX(1,CEILING(PERCENTRANK.INC($D$3:$D$6000,D749,4)*5+0.000001,1)))</f>
        <v/>
      </c>
      <c r="H749">
        <f>IF(A749="","",E749&amp;F749&amp;G749)</f>
        <v/>
      </c>
      <c r="I749">
        <f>IF(A749="","",IF(AND(E749&gt;=4,F749&gt;=4,G749&gt;=4),"Juara",IF(AND(F749&gt;=4,E749&gt;=3),"Setia",IF(AND(E749=5,F749&lt;=2,G749&gt;=3),"Berpotensi",IF(AND(E749&lt;=3,E749&gt;=2,F749&gt;=3),"Rawan",IF(AND(E749&lt;=2,F749&lt;=2),"Tidur","Umum"))))))</f>
        <v/>
      </c>
    </row>
    <row r="750">
      <c r="B750">
        <f>IF(A750="","",$B$1-MAXIFS(Donasi!$A$2:$A$20000,Donasi!$B$2:$B$20000,A750))</f>
        <v/>
      </c>
      <c r="C750">
        <f>IF(A750="","",COUNTIF(Donasi!$B$2:$B$20000,A750))</f>
        <v/>
      </c>
      <c r="D750">
        <f>IF(A750="","",SUMIF(Donasi!$B$2:$B$20000,A750,Donasi!$C$2:$C$20000))</f>
        <v/>
      </c>
      <c r="E750">
        <f>IF(A750="","",6-CEILING(PERCENTRANK.INC($B$3:$B$6000,B750,4)*5+0.000001,1))</f>
        <v/>
      </c>
      <c r="F750">
        <f>IF(A750="","",MAX(1,CEILING(PERCENTRANK.INC($C$3:$C$6000,C750,4)*5+0.000001,1)))</f>
        <v/>
      </c>
      <c r="G750">
        <f>IF(A750="","",MAX(1,CEILING(PERCENTRANK.INC($D$3:$D$6000,D750,4)*5+0.000001,1)))</f>
        <v/>
      </c>
      <c r="H750">
        <f>IF(A750="","",E750&amp;F750&amp;G750)</f>
        <v/>
      </c>
      <c r="I750">
        <f>IF(A750="","",IF(AND(E750&gt;=4,F750&gt;=4,G750&gt;=4),"Juara",IF(AND(F750&gt;=4,E750&gt;=3),"Setia",IF(AND(E750=5,F750&lt;=2,G750&gt;=3),"Berpotensi",IF(AND(E750&lt;=3,E750&gt;=2,F750&gt;=3),"Rawan",IF(AND(E750&lt;=2,F750&lt;=2),"Tidur","Umum"))))))</f>
        <v/>
      </c>
    </row>
    <row r="751">
      <c r="B751">
        <f>IF(A751="","",$B$1-MAXIFS(Donasi!$A$2:$A$20000,Donasi!$B$2:$B$20000,A751))</f>
        <v/>
      </c>
      <c r="C751">
        <f>IF(A751="","",COUNTIF(Donasi!$B$2:$B$20000,A751))</f>
        <v/>
      </c>
      <c r="D751">
        <f>IF(A751="","",SUMIF(Donasi!$B$2:$B$20000,A751,Donasi!$C$2:$C$20000))</f>
        <v/>
      </c>
      <c r="E751">
        <f>IF(A751="","",6-CEILING(PERCENTRANK.INC($B$3:$B$6000,B751,4)*5+0.000001,1))</f>
        <v/>
      </c>
      <c r="F751">
        <f>IF(A751="","",MAX(1,CEILING(PERCENTRANK.INC($C$3:$C$6000,C751,4)*5+0.000001,1)))</f>
        <v/>
      </c>
      <c r="G751">
        <f>IF(A751="","",MAX(1,CEILING(PERCENTRANK.INC($D$3:$D$6000,D751,4)*5+0.000001,1)))</f>
        <v/>
      </c>
      <c r="H751">
        <f>IF(A751="","",E751&amp;F751&amp;G751)</f>
        <v/>
      </c>
      <c r="I751">
        <f>IF(A751="","",IF(AND(E751&gt;=4,F751&gt;=4,G751&gt;=4),"Juara",IF(AND(F751&gt;=4,E751&gt;=3),"Setia",IF(AND(E751=5,F751&lt;=2,G751&gt;=3),"Berpotensi",IF(AND(E751&lt;=3,E751&gt;=2,F751&gt;=3),"Rawan",IF(AND(E751&lt;=2,F751&lt;=2),"Tidur","Umum"))))))</f>
        <v/>
      </c>
    </row>
    <row r="752">
      <c r="B752">
        <f>IF(A752="","",$B$1-MAXIFS(Donasi!$A$2:$A$20000,Donasi!$B$2:$B$20000,A752))</f>
        <v/>
      </c>
      <c r="C752">
        <f>IF(A752="","",COUNTIF(Donasi!$B$2:$B$20000,A752))</f>
        <v/>
      </c>
      <c r="D752">
        <f>IF(A752="","",SUMIF(Donasi!$B$2:$B$20000,A752,Donasi!$C$2:$C$20000))</f>
        <v/>
      </c>
      <c r="E752">
        <f>IF(A752="","",6-CEILING(PERCENTRANK.INC($B$3:$B$6000,B752,4)*5+0.000001,1))</f>
        <v/>
      </c>
      <c r="F752">
        <f>IF(A752="","",MAX(1,CEILING(PERCENTRANK.INC($C$3:$C$6000,C752,4)*5+0.000001,1)))</f>
        <v/>
      </c>
      <c r="G752">
        <f>IF(A752="","",MAX(1,CEILING(PERCENTRANK.INC($D$3:$D$6000,D752,4)*5+0.000001,1)))</f>
        <v/>
      </c>
      <c r="H752">
        <f>IF(A752="","",E752&amp;F752&amp;G752)</f>
        <v/>
      </c>
      <c r="I752">
        <f>IF(A752="","",IF(AND(E752&gt;=4,F752&gt;=4,G752&gt;=4),"Juara",IF(AND(F752&gt;=4,E752&gt;=3),"Setia",IF(AND(E752=5,F752&lt;=2,G752&gt;=3),"Berpotensi",IF(AND(E752&lt;=3,E752&gt;=2,F752&gt;=3),"Rawan",IF(AND(E752&lt;=2,F752&lt;=2),"Tidur","Umum"))))))</f>
        <v/>
      </c>
    </row>
    <row r="753">
      <c r="B753">
        <f>IF(A753="","",$B$1-MAXIFS(Donasi!$A$2:$A$20000,Donasi!$B$2:$B$20000,A753))</f>
        <v/>
      </c>
      <c r="C753">
        <f>IF(A753="","",COUNTIF(Donasi!$B$2:$B$20000,A753))</f>
        <v/>
      </c>
      <c r="D753">
        <f>IF(A753="","",SUMIF(Donasi!$B$2:$B$20000,A753,Donasi!$C$2:$C$20000))</f>
        <v/>
      </c>
      <c r="E753">
        <f>IF(A753="","",6-CEILING(PERCENTRANK.INC($B$3:$B$6000,B753,4)*5+0.000001,1))</f>
        <v/>
      </c>
      <c r="F753">
        <f>IF(A753="","",MAX(1,CEILING(PERCENTRANK.INC($C$3:$C$6000,C753,4)*5+0.000001,1)))</f>
        <v/>
      </c>
      <c r="G753">
        <f>IF(A753="","",MAX(1,CEILING(PERCENTRANK.INC($D$3:$D$6000,D753,4)*5+0.000001,1)))</f>
        <v/>
      </c>
      <c r="H753">
        <f>IF(A753="","",E753&amp;F753&amp;G753)</f>
        <v/>
      </c>
      <c r="I753">
        <f>IF(A753="","",IF(AND(E753&gt;=4,F753&gt;=4,G753&gt;=4),"Juara",IF(AND(F753&gt;=4,E753&gt;=3),"Setia",IF(AND(E753=5,F753&lt;=2,G753&gt;=3),"Berpotensi",IF(AND(E753&lt;=3,E753&gt;=2,F753&gt;=3),"Rawan",IF(AND(E753&lt;=2,F753&lt;=2),"Tidur","Umum"))))))</f>
        <v/>
      </c>
    </row>
    <row r="754">
      <c r="B754">
        <f>IF(A754="","",$B$1-MAXIFS(Donasi!$A$2:$A$20000,Donasi!$B$2:$B$20000,A754))</f>
        <v/>
      </c>
      <c r="C754">
        <f>IF(A754="","",COUNTIF(Donasi!$B$2:$B$20000,A754))</f>
        <v/>
      </c>
      <c r="D754">
        <f>IF(A754="","",SUMIF(Donasi!$B$2:$B$20000,A754,Donasi!$C$2:$C$20000))</f>
        <v/>
      </c>
      <c r="E754">
        <f>IF(A754="","",6-CEILING(PERCENTRANK.INC($B$3:$B$6000,B754,4)*5+0.000001,1))</f>
        <v/>
      </c>
      <c r="F754">
        <f>IF(A754="","",MAX(1,CEILING(PERCENTRANK.INC($C$3:$C$6000,C754,4)*5+0.000001,1)))</f>
        <v/>
      </c>
      <c r="G754">
        <f>IF(A754="","",MAX(1,CEILING(PERCENTRANK.INC($D$3:$D$6000,D754,4)*5+0.000001,1)))</f>
        <v/>
      </c>
      <c r="H754">
        <f>IF(A754="","",E754&amp;F754&amp;G754)</f>
        <v/>
      </c>
      <c r="I754">
        <f>IF(A754="","",IF(AND(E754&gt;=4,F754&gt;=4,G754&gt;=4),"Juara",IF(AND(F754&gt;=4,E754&gt;=3),"Setia",IF(AND(E754=5,F754&lt;=2,G754&gt;=3),"Berpotensi",IF(AND(E754&lt;=3,E754&gt;=2,F754&gt;=3),"Rawan",IF(AND(E754&lt;=2,F754&lt;=2),"Tidur","Umum"))))))</f>
        <v/>
      </c>
    </row>
    <row r="755">
      <c r="B755">
        <f>IF(A755="","",$B$1-MAXIFS(Donasi!$A$2:$A$20000,Donasi!$B$2:$B$20000,A755))</f>
        <v/>
      </c>
      <c r="C755">
        <f>IF(A755="","",COUNTIF(Donasi!$B$2:$B$20000,A755))</f>
        <v/>
      </c>
      <c r="D755">
        <f>IF(A755="","",SUMIF(Donasi!$B$2:$B$20000,A755,Donasi!$C$2:$C$20000))</f>
        <v/>
      </c>
      <c r="E755">
        <f>IF(A755="","",6-CEILING(PERCENTRANK.INC($B$3:$B$6000,B755,4)*5+0.000001,1))</f>
        <v/>
      </c>
      <c r="F755">
        <f>IF(A755="","",MAX(1,CEILING(PERCENTRANK.INC($C$3:$C$6000,C755,4)*5+0.000001,1)))</f>
        <v/>
      </c>
      <c r="G755">
        <f>IF(A755="","",MAX(1,CEILING(PERCENTRANK.INC($D$3:$D$6000,D755,4)*5+0.000001,1)))</f>
        <v/>
      </c>
      <c r="H755">
        <f>IF(A755="","",E755&amp;F755&amp;G755)</f>
        <v/>
      </c>
      <c r="I755">
        <f>IF(A755="","",IF(AND(E755&gt;=4,F755&gt;=4,G755&gt;=4),"Juara",IF(AND(F755&gt;=4,E755&gt;=3),"Setia",IF(AND(E755=5,F755&lt;=2,G755&gt;=3),"Berpotensi",IF(AND(E755&lt;=3,E755&gt;=2,F755&gt;=3),"Rawan",IF(AND(E755&lt;=2,F755&lt;=2),"Tidur","Umum"))))))</f>
        <v/>
      </c>
    </row>
    <row r="756">
      <c r="B756">
        <f>IF(A756="","",$B$1-MAXIFS(Donasi!$A$2:$A$20000,Donasi!$B$2:$B$20000,A756))</f>
        <v/>
      </c>
      <c r="C756">
        <f>IF(A756="","",COUNTIF(Donasi!$B$2:$B$20000,A756))</f>
        <v/>
      </c>
      <c r="D756">
        <f>IF(A756="","",SUMIF(Donasi!$B$2:$B$20000,A756,Donasi!$C$2:$C$20000))</f>
        <v/>
      </c>
      <c r="E756">
        <f>IF(A756="","",6-CEILING(PERCENTRANK.INC($B$3:$B$6000,B756,4)*5+0.000001,1))</f>
        <v/>
      </c>
      <c r="F756">
        <f>IF(A756="","",MAX(1,CEILING(PERCENTRANK.INC($C$3:$C$6000,C756,4)*5+0.000001,1)))</f>
        <v/>
      </c>
      <c r="G756">
        <f>IF(A756="","",MAX(1,CEILING(PERCENTRANK.INC($D$3:$D$6000,D756,4)*5+0.000001,1)))</f>
        <v/>
      </c>
      <c r="H756">
        <f>IF(A756="","",E756&amp;F756&amp;G756)</f>
        <v/>
      </c>
      <c r="I756">
        <f>IF(A756="","",IF(AND(E756&gt;=4,F756&gt;=4,G756&gt;=4),"Juara",IF(AND(F756&gt;=4,E756&gt;=3),"Setia",IF(AND(E756=5,F756&lt;=2,G756&gt;=3),"Berpotensi",IF(AND(E756&lt;=3,E756&gt;=2,F756&gt;=3),"Rawan",IF(AND(E756&lt;=2,F756&lt;=2),"Tidur","Umum"))))))</f>
        <v/>
      </c>
    </row>
    <row r="757">
      <c r="B757">
        <f>IF(A757="","",$B$1-MAXIFS(Donasi!$A$2:$A$20000,Donasi!$B$2:$B$20000,A757))</f>
        <v/>
      </c>
      <c r="C757">
        <f>IF(A757="","",COUNTIF(Donasi!$B$2:$B$20000,A757))</f>
        <v/>
      </c>
      <c r="D757">
        <f>IF(A757="","",SUMIF(Donasi!$B$2:$B$20000,A757,Donasi!$C$2:$C$20000))</f>
        <v/>
      </c>
      <c r="E757">
        <f>IF(A757="","",6-CEILING(PERCENTRANK.INC($B$3:$B$6000,B757,4)*5+0.000001,1))</f>
        <v/>
      </c>
      <c r="F757">
        <f>IF(A757="","",MAX(1,CEILING(PERCENTRANK.INC($C$3:$C$6000,C757,4)*5+0.000001,1)))</f>
        <v/>
      </c>
      <c r="G757">
        <f>IF(A757="","",MAX(1,CEILING(PERCENTRANK.INC($D$3:$D$6000,D757,4)*5+0.000001,1)))</f>
        <v/>
      </c>
      <c r="H757">
        <f>IF(A757="","",E757&amp;F757&amp;G757)</f>
        <v/>
      </c>
      <c r="I757">
        <f>IF(A757="","",IF(AND(E757&gt;=4,F757&gt;=4,G757&gt;=4),"Juara",IF(AND(F757&gt;=4,E757&gt;=3),"Setia",IF(AND(E757=5,F757&lt;=2,G757&gt;=3),"Berpotensi",IF(AND(E757&lt;=3,E757&gt;=2,F757&gt;=3),"Rawan",IF(AND(E757&lt;=2,F757&lt;=2),"Tidur","Umum"))))))</f>
        <v/>
      </c>
    </row>
    <row r="758">
      <c r="B758">
        <f>IF(A758="","",$B$1-MAXIFS(Donasi!$A$2:$A$20000,Donasi!$B$2:$B$20000,A758))</f>
        <v/>
      </c>
      <c r="C758">
        <f>IF(A758="","",COUNTIF(Donasi!$B$2:$B$20000,A758))</f>
        <v/>
      </c>
      <c r="D758">
        <f>IF(A758="","",SUMIF(Donasi!$B$2:$B$20000,A758,Donasi!$C$2:$C$20000))</f>
        <v/>
      </c>
      <c r="E758">
        <f>IF(A758="","",6-CEILING(PERCENTRANK.INC($B$3:$B$6000,B758,4)*5+0.000001,1))</f>
        <v/>
      </c>
      <c r="F758">
        <f>IF(A758="","",MAX(1,CEILING(PERCENTRANK.INC($C$3:$C$6000,C758,4)*5+0.000001,1)))</f>
        <v/>
      </c>
      <c r="G758">
        <f>IF(A758="","",MAX(1,CEILING(PERCENTRANK.INC($D$3:$D$6000,D758,4)*5+0.000001,1)))</f>
        <v/>
      </c>
      <c r="H758">
        <f>IF(A758="","",E758&amp;F758&amp;G758)</f>
        <v/>
      </c>
      <c r="I758">
        <f>IF(A758="","",IF(AND(E758&gt;=4,F758&gt;=4,G758&gt;=4),"Juara",IF(AND(F758&gt;=4,E758&gt;=3),"Setia",IF(AND(E758=5,F758&lt;=2,G758&gt;=3),"Berpotensi",IF(AND(E758&lt;=3,E758&gt;=2,F758&gt;=3),"Rawan",IF(AND(E758&lt;=2,F758&lt;=2),"Tidur","Umum"))))))</f>
        <v/>
      </c>
    </row>
    <row r="759">
      <c r="B759">
        <f>IF(A759="","",$B$1-MAXIFS(Donasi!$A$2:$A$20000,Donasi!$B$2:$B$20000,A759))</f>
        <v/>
      </c>
      <c r="C759">
        <f>IF(A759="","",COUNTIF(Donasi!$B$2:$B$20000,A759))</f>
        <v/>
      </c>
      <c r="D759">
        <f>IF(A759="","",SUMIF(Donasi!$B$2:$B$20000,A759,Donasi!$C$2:$C$20000))</f>
        <v/>
      </c>
      <c r="E759">
        <f>IF(A759="","",6-CEILING(PERCENTRANK.INC($B$3:$B$6000,B759,4)*5+0.000001,1))</f>
        <v/>
      </c>
      <c r="F759">
        <f>IF(A759="","",MAX(1,CEILING(PERCENTRANK.INC($C$3:$C$6000,C759,4)*5+0.000001,1)))</f>
        <v/>
      </c>
      <c r="G759">
        <f>IF(A759="","",MAX(1,CEILING(PERCENTRANK.INC($D$3:$D$6000,D759,4)*5+0.000001,1)))</f>
        <v/>
      </c>
      <c r="H759">
        <f>IF(A759="","",E759&amp;F759&amp;G759)</f>
        <v/>
      </c>
      <c r="I759">
        <f>IF(A759="","",IF(AND(E759&gt;=4,F759&gt;=4,G759&gt;=4),"Juara",IF(AND(F759&gt;=4,E759&gt;=3),"Setia",IF(AND(E759=5,F759&lt;=2,G759&gt;=3),"Berpotensi",IF(AND(E759&lt;=3,E759&gt;=2,F759&gt;=3),"Rawan",IF(AND(E759&lt;=2,F759&lt;=2),"Tidur","Umum"))))))</f>
        <v/>
      </c>
    </row>
    <row r="760">
      <c r="B760">
        <f>IF(A760="","",$B$1-MAXIFS(Donasi!$A$2:$A$20000,Donasi!$B$2:$B$20000,A760))</f>
        <v/>
      </c>
      <c r="C760">
        <f>IF(A760="","",COUNTIF(Donasi!$B$2:$B$20000,A760))</f>
        <v/>
      </c>
      <c r="D760">
        <f>IF(A760="","",SUMIF(Donasi!$B$2:$B$20000,A760,Donasi!$C$2:$C$20000))</f>
        <v/>
      </c>
      <c r="E760">
        <f>IF(A760="","",6-CEILING(PERCENTRANK.INC($B$3:$B$6000,B760,4)*5+0.000001,1))</f>
        <v/>
      </c>
      <c r="F760">
        <f>IF(A760="","",MAX(1,CEILING(PERCENTRANK.INC($C$3:$C$6000,C760,4)*5+0.000001,1)))</f>
        <v/>
      </c>
      <c r="G760">
        <f>IF(A760="","",MAX(1,CEILING(PERCENTRANK.INC($D$3:$D$6000,D760,4)*5+0.000001,1)))</f>
        <v/>
      </c>
      <c r="H760">
        <f>IF(A760="","",E760&amp;F760&amp;G760)</f>
        <v/>
      </c>
      <c r="I760">
        <f>IF(A760="","",IF(AND(E760&gt;=4,F760&gt;=4,G760&gt;=4),"Juara",IF(AND(F760&gt;=4,E760&gt;=3),"Setia",IF(AND(E760=5,F760&lt;=2,G760&gt;=3),"Berpotensi",IF(AND(E760&lt;=3,E760&gt;=2,F760&gt;=3),"Rawan",IF(AND(E760&lt;=2,F760&lt;=2),"Tidur","Umum"))))))</f>
        <v/>
      </c>
    </row>
    <row r="761">
      <c r="B761">
        <f>IF(A761="","",$B$1-MAXIFS(Donasi!$A$2:$A$20000,Donasi!$B$2:$B$20000,A761))</f>
        <v/>
      </c>
      <c r="C761">
        <f>IF(A761="","",COUNTIF(Donasi!$B$2:$B$20000,A761))</f>
        <v/>
      </c>
      <c r="D761">
        <f>IF(A761="","",SUMIF(Donasi!$B$2:$B$20000,A761,Donasi!$C$2:$C$20000))</f>
        <v/>
      </c>
      <c r="E761">
        <f>IF(A761="","",6-CEILING(PERCENTRANK.INC($B$3:$B$6000,B761,4)*5+0.000001,1))</f>
        <v/>
      </c>
      <c r="F761">
        <f>IF(A761="","",MAX(1,CEILING(PERCENTRANK.INC($C$3:$C$6000,C761,4)*5+0.000001,1)))</f>
        <v/>
      </c>
      <c r="G761">
        <f>IF(A761="","",MAX(1,CEILING(PERCENTRANK.INC($D$3:$D$6000,D761,4)*5+0.000001,1)))</f>
        <v/>
      </c>
      <c r="H761">
        <f>IF(A761="","",E761&amp;F761&amp;G761)</f>
        <v/>
      </c>
      <c r="I761">
        <f>IF(A761="","",IF(AND(E761&gt;=4,F761&gt;=4,G761&gt;=4),"Juara",IF(AND(F761&gt;=4,E761&gt;=3),"Setia",IF(AND(E761=5,F761&lt;=2,G761&gt;=3),"Berpotensi",IF(AND(E761&lt;=3,E761&gt;=2,F761&gt;=3),"Rawan",IF(AND(E761&lt;=2,F761&lt;=2),"Tidur","Umum"))))))</f>
        <v/>
      </c>
    </row>
    <row r="762">
      <c r="B762">
        <f>IF(A762="","",$B$1-MAXIFS(Donasi!$A$2:$A$20000,Donasi!$B$2:$B$20000,A762))</f>
        <v/>
      </c>
      <c r="C762">
        <f>IF(A762="","",COUNTIF(Donasi!$B$2:$B$20000,A762))</f>
        <v/>
      </c>
      <c r="D762">
        <f>IF(A762="","",SUMIF(Donasi!$B$2:$B$20000,A762,Donasi!$C$2:$C$20000))</f>
        <v/>
      </c>
      <c r="E762">
        <f>IF(A762="","",6-CEILING(PERCENTRANK.INC($B$3:$B$6000,B762,4)*5+0.000001,1))</f>
        <v/>
      </c>
      <c r="F762">
        <f>IF(A762="","",MAX(1,CEILING(PERCENTRANK.INC($C$3:$C$6000,C762,4)*5+0.000001,1)))</f>
        <v/>
      </c>
      <c r="G762">
        <f>IF(A762="","",MAX(1,CEILING(PERCENTRANK.INC($D$3:$D$6000,D762,4)*5+0.000001,1)))</f>
        <v/>
      </c>
      <c r="H762">
        <f>IF(A762="","",E762&amp;F762&amp;G762)</f>
        <v/>
      </c>
      <c r="I762">
        <f>IF(A762="","",IF(AND(E762&gt;=4,F762&gt;=4,G762&gt;=4),"Juara",IF(AND(F762&gt;=4,E762&gt;=3),"Setia",IF(AND(E762=5,F762&lt;=2,G762&gt;=3),"Berpotensi",IF(AND(E762&lt;=3,E762&gt;=2,F762&gt;=3),"Rawan",IF(AND(E762&lt;=2,F762&lt;=2),"Tidur","Umum"))))))</f>
        <v/>
      </c>
    </row>
    <row r="763">
      <c r="B763">
        <f>IF(A763="","",$B$1-MAXIFS(Donasi!$A$2:$A$20000,Donasi!$B$2:$B$20000,A763))</f>
        <v/>
      </c>
      <c r="C763">
        <f>IF(A763="","",COUNTIF(Donasi!$B$2:$B$20000,A763))</f>
        <v/>
      </c>
      <c r="D763">
        <f>IF(A763="","",SUMIF(Donasi!$B$2:$B$20000,A763,Donasi!$C$2:$C$20000))</f>
        <v/>
      </c>
      <c r="E763">
        <f>IF(A763="","",6-CEILING(PERCENTRANK.INC($B$3:$B$6000,B763,4)*5+0.000001,1))</f>
        <v/>
      </c>
      <c r="F763">
        <f>IF(A763="","",MAX(1,CEILING(PERCENTRANK.INC($C$3:$C$6000,C763,4)*5+0.000001,1)))</f>
        <v/>
      </c>
      <c r="G763">
        <f>IF(A763="","",MAX(1,CEILING(PERCENTRANK.INC($D$3:$D$6000,D763,4)*5+0.000001,1)))</f>
        <v/>
      </c>
      <c r="H763">
        <f>IF(A763="","",E763&amp;F763&amp;G763)</f>
        <v/>
      </c>
      <c r="I763">
        <f>IF(A763="","",IF(AND(E763&gt;=4,F763&gt;=4,G763&gt;=4),"Juara",IF(AND(F763&gt;=4,E763&gt;=3),"Setia",IF(AND(E763=5,F763&lt;=2,G763&gt;=3),"Berpotensi",IF(AND(E763&lt;=3,E763&gt;=2,F763&gt;=3),"Rawan",IF(AND(E763&lt;=2,F763&lt;=2),"Tidur","Umum"))))))</f>
        <v/>
      </c>
    </row>
    <row r="764">
      <c r="B764">
        <f>IF(A764="","",$B$1-MAXIFS(Donasi!$A$2:$A$20000,Donasi!$B$2:$B$20000,A764))</f>
        <v/>
      </c>
      <c r="C764">
        <f>IF(A764="","",COUNTIF(Donasi!$B$2:$B$20000,A764))</f>
        <v/>
      </c>
      <c r="D764">
        <f>IF(A764="","",SUMIF(Donasi!$B$2:$B$20000,A764,Donasi!$C$2:$C$20000))</f>
        <v/>
      </c>
      <c r="E764">
        <f>IF(A764="","",6-CEILING(PERCENTRANK.INC($B$3:$B$6000,B764,4)*5+0.000001,1))</f>
        <v/>
      </c>
      <c r="F764">
        <f>IF(A764="","",MAX(1,CEILING(PERCENTRANK.INC($C$3:$C$6000,C764,4)*5+0.000001,1)))</f>
        <v/>
      </c>
      <c r="G764">
        <f>IF(A764="","",MAX(1,CEILING(PERCENTRANK.INC($D$3:$D$6000,D764,4)*5+0.000001,1)))</f>
        <v/>
      </c>
      <c r="H764">
        <f>IF(A764="","",E764&amp;F764&amp;G764)</f>
        <v/>
      </c>
      <c r="I764">
        <f>IF(A764="","",IF(AND(E764&gt;=4,F764&gt;=4,G764&gt;=4),"Juara",IF(AND(F764&gt;=4,E764&gt;=3),"Setia",IF(AND(E764=5,F764&lt;=2,G764&gt;=3),"Berpotensi",IF(AND(E764&lt;=3,E764&gt;=2,F764&gt;=3),"Rawan",IF(AND(E764&lt;=2,F764&lt;=2),"Tidur","Umum"))))))</f>
        <v/>
      </c>
    </row>
    <row r="765">
      <c r="B765">
        <f>IF(A765="","",$B$1-MAXIFS(Donasi!$A$2:$A$20000,Donasi!$B$2:$B$20000,A765))</f>
        <v/>
      </c>
      <c r="C765">
        <f>IF(A765="","",COUNTIF(Donasi!$B$2:$B$20000,A765))</f>
        <v/>
      </c>
      <c r="D765">
        <f>IF(A765="","",SUMIF(Donasi!$B$2:$B$20000,A765,Donasi!$C$2:$C$20000))</f>
        <v/>
      </c>
      <c r="E765">
        <f>IF(A765="","",6-CEILING(PERCENTRANK.INC($B$3:$B$6000,B765,4)*5+0.000001,1))</f>
        <v/>
      </c>
      <c r="F765">
        <f>IF(A765="","",MAX(1,CEILING(PERCENTRANK.INC($C$3:$C$6000,C765,4)*5+0.000001,1)))</f>
        <v/>
      </c>
      <c r="G765">
        <f>IF(A765="","",MAX(1,CEILING(PERCENTRANK.INC($D$3:$D$6000,D765,4)*5+0.000001,1)))</f>
        <v/>
      </c>
      <c r="H765">
        <f>IF(A765="","",E765&amp;F765&amp;G765)</f>
        <v/>
      </c>
      <c r="I765">
        <f>IF(A765="","",IF(AND(E765&gt;=4,F765&gt;=4,G765&gt;=4),"Juara",IF(AND(F765&gt;=4,E765&gt;=3),"Setia",IF(AND(E765=5,F765&lt;=2,G765&gt;=3),"Berpotensi",IF(AND(E765&lt;=3,E765&gt;=2,F765&gt;=3),"Rawan",IF(AND(E765&lt;=2,F765&lt;=2),"Tidur","Umum"))))))</f>
        <v/>
      </c>
    </row>
    <row r="766">
      <c r="B766">
        <f>IF(A766="","",$B$1-MAXIFS(Donasi!$A$2:$A$20000,Donasi!$B$2:$B$20000,A766))</f>
        <v/>
      </c>
      <c r="C766">
        <f>IF(A766="","",COUNTIF(Donasi!$B$2:$B$20000,A766))</f>
        <v/>
      </c>
      <c r="D766">
        <f>IF(A766="","",SUMIF(Donasi!$B$2:$B$20000,A766,Donasi!$C$2:$C$20000))</f>
        <v/>
      </c>
      <c r="E766">
        <f>IF(A766="","",6-CEILING(PERCENTRANK.INC($B$3:$B$6000,B766,4)*5+0.000001,1))</f>
        <v/>
      </c>
      <c r="F766">
        <f>IF(A766="","",MAX(1,CEILING(PERCENTRANK.INC($C$3:$C$6000,C766,4)*5+0.000001,1)))</f>
        <v/>
      </c>
      <c r="G766">
        <f>IF(A766="","",MAX(1,CEILING(PERCENTRANK.INC($D$3:$D$6000,D766,4)*5+0.000001,1)))</f>
        <v/>
      </c>
      <c r="H766">
        <f>IF(A766="","",E766&amp;F766&amp;G766)</f>
        <v/>
      </c>
      <c r="I766">
        <f>IF(A766="","",IF(AND(E766&gt;=4,F766&gt;=4,G766&gt;=4),"Juara",IF(AND(F766&gt;=4,E766&gt;=3),"Setia",IF(AND(E766=5,F766&lt;=2,G766&gt;=3),"Berpotensi",IF(AND(E766&lt;=3,E766&gt;=2,F766&gt;=3),"Rawan",IF(AND(E766&lt;=2,F766&lt;=2),"Tidur","Umum"))))))</f>
        <v/>
      </c>
    </row>
    <row r="767">
      <c r="B767">
        <f>IF(A767="","",$B$1-MAXIFS(Donasi!$A$2:$A$20000,Donasi!$B$2:$B$20000,A767))</f>
        <v/>
      </c>
      <c r="C767">
        <f>IF(A767="","",COUNTIF(Donasi!$B$2:$B$20000,A767))</f>
        <v/>
      </c>
      <c r="D767">
        <f>IF(A767="","",SUMIF(Donasi!$B$2:$B$20000,A767,Donasi!$C$2:$C$20000))</f>
        <v/>
      </c>
      <c r="E767">
        <f>IF(A767="","",6-CEILING(PERCENTRANK.INC($B$3:$B$6000,B767,4)*5+0.000001,1))</f>
        <v/>
      </c>
      <c r="F767">
        <f>IF(A767="","",MAX(1,CEILING(PERCENTRANK.INC($C$3:$C$6000,C767,4)*5+0.000001,1)))</f>
        <v/>
      </c>
      <c r="G767">
        <f>IF(A767="","",MAX(1,CEILING(PERCENTRANK.INC($D$3:$D$6000,D767,4)*5+0.000001,1)))</f>
        <v/>
      </c>
      <c r="H767">
        <f>IF(A767="","",E767&amp;F767&amp;G767)</f>
        <v/>
      </c>
      <c r="I767">
        <f>IF(A767="","",IF(AND(E767&gt;=4,F767&gt;=4,G767&gt;=4),"Juara",IF(AND(F767&gt;=4,E767&gt;=3),"Setia",IF(AND(E767=5,F767&lt;=2,G767&gt;=3),"Berpotensi",IF(AND(E767&lt;=3,E767&gt;=2,F767&gt;=3),"Rawan",IF(AND(E767&lt;=2,F767&lt;=2),"Tidur","Umum"))))))</f>
        <v/>
      </c>
    </row>
    <row r="768">
      <c r="B768">
        <f>IF(A768="","",$B$1-MAXIFS(Donasi!$A$2:$A$20000,Donasi!$B$2:$B$20000,A768))</f>
        <v/>
      </c>
      <c r="C768">
        <f>IF(A768="","",COUNTIF(Donasi!$B$2:$B$20000,A768))</f>
        <v/>
      </c>
      <c r="D768">
        <f>IF(A768="","",SUMIF(Donasi!$B$2:$B$20000,A768,Donasi!$C$2:$C$20000))</f>
        <v/>
      </c>
      <c r="E768">
        <f>IF(A768="","",6-CEILING(PERCENTRANK.INC($B$3:$B$6000,B768,4)*5+0.000001,1))</f>
        <v/>
      </c>
      <c r="F768">
        <f>IF(A768="","",MAX(1,CEILING(PERCENTRANK.INC($C$3:$C$6000,C768,4)*5+0.000001,1)))</f>
        <v/>
      </c>
      <c r="G768">
        <f>IF(A768="","",MAX(1,CEILING(PERCENTRANK.INC($D$3:$D$6000,D768,4)*5+0.000001,1)))</f>
        <v/>
      </c>
      <c r="H768">
        <f>IF(A768="","",E768&amp;F768&amp;G768)</f>
        <v/>
      </c>
      <c r="I768">
        <f>IF(A768="","",IF(AND(E768&gt;=4,F768&gt;=4,G768&gt;=4),"Juara",IF(AND(F768&gt;=4,E768&gt;=3),"Setia",IF(AND(E768=5,F768&lt;=2,G768&gt;=3),"Berpotensi",IF(AND(E768&lt;=3,E768&gt;=2,F768&gt;=3),"Rawan",IF(AND(E768&lt;=2,F768&lt;=2),"Tidur","Umum"))))))</f>
        <v/>
      </c>
    </row>
    <row r="769">
      <c r="B769">
        <f>IF(A769="","",$B$1-MAXIFS(Donasi!$A$2:$A$20000,Donasi!$B$2:$B$20000,A769))</f>
        <v/>
      </c>
      <c r="C769">
        <f>IF(A769="","",COUNTIF(Donasi!$B$2:$B$20000,A769))</f>
        <v/>
      </c>
      <c r="D769">
        <f>IF(A769="","",SUMIF(Donasi!$B$2:$B$20000,A769,Donasi!$C$2:$C$20000))</f>
        <v/>
      </c>
      <c r="E769">
        <f>IF(A769="","",6-CEILING(PERCENTRANK.INC($B$3:$B$6000,B769,4)*5+0.000001,1))</f>
        <v/>
      </c>
      <c r="F769">
        <f>IF(A769="","",MAX(1,CEILING(PERCENTRANK.INC($C$3:$C$6000,C769,4)*5+0.000001,1)))</f>
        <v/>
      </c>
      <c r="G769">
        <f>IF(A769="","",MAX(1,CEILING(PERCENTRANK.INC($D$3:$D$6000,D769,4)*5+0.000001,1)))</f>
        <v/>
      </c>
      <c r="H769">
        <f>IF(A769="","",E769&amp;F769&amp;G769)</f>
        <v/>
      </c>
      <c r="I769">
        <f>IF(A769="","",IF(AND(E769&gt;=4,F769&gt;=4,G769&gt;=4),"Juara",IF(AND(F769&gt;=4,E769&gt;=3),"Setia",IF(AND(E769=5,F769&lt;=2,G769&gt;=3),"Berpotensi",IF(AND(E769&lt;=3,E769&gt;=2,F769&gt;=3),"Rawan",IF(AND(E769&lt;=2,F769&lt;=2),"Tidur","Umum"))))))</f>
        <v/>
      </c>
    </row>
    <row r="770">
      <c r="B770">
        <f>IF(A770="","",$B$1-MAXIFS(Donasi!$A$2:$A$20000,Donasi!$B$2:$B$20000,A770))</f>
        <v/>
      </c>
      <c r="C770">
        <f>IF(A770="","",COUNTIF(Donasi!$B$2:$B$20000,A770))</f>
        <v/>
      </c>
      <c r="D770">
        <f>IF(A770="","",SUMIF(Donasi!$B$2:$B$20000,A770,Donasi!$C$2:$C$20000))</f>
        <v/>
      </c>
      <c r="E770">
        <f>IF(A770="","",6-CEILING(PERCENTRANK.INC($B$3:$B$6000,B770,4)*5+0.000001,1))</f>
        <v/>
      </c>
      <c r="F770">
        <f>IF(A770="","",MAX(1,CEILING(PERCENTRANK.INC($C$3:$C$6000,C770,4)*5+0.000001,1)))</f>
        <v/>
      </c>
      <c r="G770">
        <f>IF(A770="","",MAX(1,CEILING(PERCENTRANK.INC($D$3:$D$6000,D770,4)*5+0.000001,1)))</f>
        <v/>
      </c>
      <c r="H770">
        <f>IF(A770="","",E770&amp;F770&amp;G770)</f>
        <v/>
      </c>
      <c r="I770">
        <f>IF(A770="","",IF(AND(E770&gt;=4,F770&gt;=4,G770&gt;=4),"Juara",IF(AND(F770&gt;=4,E770&gt;=3),"Setia",IF(AND(E770=5,F770&lt;=2,G770&gt;=3),"Berpotensi",IF(AND(E770&lt;=3,E770&gt;=2,F770&gt;=3),"Rawan",IF(AND(E770&lt;=2,F770&lt;=2),"Tidur","Umum"))))))</f>
        <v/>
      </c>
    </row>
    <row r="771">
      <c r="B771">
        <f>IF(A771="","",$B$1-MAXIFS(Donasi!$A$2:$A$20000,Donasi!$B$2:$B$20000,A771))</f>
        <v/>
      </c>
      <c r="C771">
        <f>IF(A771="","",COUNTIF(Donasi!$B$2:$B$20000,A771))</f>
        <v/>
      </c>
      <c r="D771">
        <f>IF(A771="","",SUMIF(Donasi!$B$2:$B$20000,A771,Donasi!$C$2:$C$20000))</f>
        <v/>
      </c>
      <c r="E771">
        <f>IF(A771="","",6-CEILING(PERCENTRANK.INC($B$3:$B$6000,B771,4)*5+0.000001,1))</f>
        <v/>
      </c>
      <c r="F771">
        <f>IF(A771="","",MAX(1,CEILING(PERCENTRANK.INC($C$3:$C$6000,C771,4)*5+0.000001,1)))</f>
        <v/>
      </c>
      <c r="G771">
        <f>IF(A771="","",MAX(1,CEILING(PERCENTRANK.INC($D$3:$D$6000,D771,4)*5+0.000001,1)))</f>
        <v/>
      </c>
      <c r="H771">
        <f>IF(A771="","",E771&amp;F771&amp;G771)</f>
        <v/>
      </c>
      <c r="I771">
        <f>IF(A771="","",IF(AND(E771&gt;=4,F771&gt;=4,G771&gt;=4),"Juara",IF(AND(F771&gt;=4,E771&gt;=3),"Setia",IF(AND(E771=5,F771&lt;=2,G771&gt;=3),"Berpotensi",IF(AND(E771&lt;=3,E771&gt;=2,F771&gt;=3),"Rawan",IF(AND(E771&lt;=2,F771&lt;=2),"Tidur","Umum"))))))</f>
        <v/>
      </c>
    </row>
    <row r="772">
      <c r="B772">
        <f>IF(A772="","",$B$1-MAXIFS(Donasi!$A$2:$A$20000,Donasi!$B$2:$B$20000,A772))</f>
        <v/>
      </c>
      <c r="C772">
        <f>IF(A772="","",COUNTIF(Donasi!$B$2:$B$20000,A772))</f>
        <v/>
      </c>
      <c r="D772">
        <f>IF(A772="","",SUMIF(Donasi!$B$2:$B$20000,A772,Donasi!$C$2:$C$20000))</f>
        <v/>
      </c>
      <c r="E772">
        <f>IF(A772="","",6-CEILING(PERCENTRANK.INC($B$3:$B$6000,B772,4)*5+0.000001,1))</f>
        <v/>
      </c>
      <c r="F772">
        <f>IF(A772="","",MAX(1,CEILING(PERCENTRANK.INC($C$3:$C$6000,C772,4)*5+0.000001,1)))</f>
        <v/>
      </c>
      <c r="G772">
        <f>IF(A772="","",MAX(1,CEILING(PERCENTRANK.INC($D$3:$D$6000,D772,4)*5+0.000001,1)))</f>
        <v/>
      </c>
      <c r="H772">
        <f>IF(A772="","",E772&amp;F772&amp;G772)</f>
        <v/>
      </c>
      <c r="I772">
        <f>IF(A772="","",IF(AND(E772&gt;=4,F772&gt;=4,G772&gt;=4),"Juara",IF(AND(F772&gt;=4,E772&gt;=3),"Setia",IF(AND(E772=5,F772&lt;=2,G772&gt;=3),"Berpotensi",IF(AND(E772&lt;=3,E772&gt;=2,F772&gt;=3),"Rawan",IF(AND(E772&lt;=2,F772&lt;=2),"Tidur","Umum"))))))</f>
        <v/>
      </c>
    </row>
    <row r="773">
      <c r="B773">
        <f>IF(A773="","",$B$1-MAXIFS(Donasi!$A$2:$A$20000,Donasi!$B$2:$B$20000,A773))</f>
        <v/>
      </c>
      <c r="C773">
        <f>IF(A773="","",COUNTIF(Donasi!$B$2:$B$20000,A773))</f>
        <v/>
      </c>
      <c r="D773">
        <f>IF(A773="","",SUMIF(Donasi!$B$2:$B$20000,A773,Donasi!$C$2:$C$20000))</f>
        <v/>
      </c>
      <c r="E773">
        <f>IF(A773="","",6-CEILING(PERCENTRANK.INC($B$3:$B$6000,B773,4)*5+0.000001,1))</f>
        <v/>
      </c>
      <c r="F773">
        <f>IF(A773="","",MAX(1,CEILING(PERCENTRANK.INC($C$3:$C$6000,C773,4)*5+0.000001,1)))</f>
        <v/>
      </c>
      <c r="G773">
        <f>IF(A773="","",MAX(1,CEILING(PERCENTRANK.INC($D$3:$D$6000,D773,4)*5+0.000001,1)))</f>
        <v/>
      </c>
      <c r="H773">
        <f>IF(A773="","",E773&amp;F773&amp;G773)</f>
        <v/>
      </c>
      <c r="I773">
        <f>IF(A773="","",IF(AND(E773&gt;=4,F773&gt;=4,G773&gt;=4),"Juara",IF(AND(F773&gt;=4,E773&gt;=3),"Setia",IF(AND(E773=5,F773&lt;=2,G773&gt;=3),"Berpotensi",IF(AND(E773&lt;=3,E773&gt;=2,F773&gt;=3),"Rawan",IF(AND(E773&lt;=2,F773&lt;=2),"Tidur","Umum"))))))</f>
        <v/>
      </c>
    </row>
    <row r="774">
      <c r="B774">
        <f>IF(A774="","",$B$1-MAXIFS(Donasi!$A$2:$A$20000,Donasi!$B$2:$B$20000,A774))</f>
        <v/>
      </c>
      <c r="C774">
        <f>IF(A774="","",COUNTIF(Donasi!$B$2:$B$20000,A774))</f>
        <v/>
      </c>
      <c r="D774">
        <f>IF(A774="","",SUMIF(Donasi!$B$2:$B$20000,A774,Donasi!$C$2:$C$20000))</f>
        <v/>
      </c>
      <c r="E774">
        <f>IF(A774="","",6-CEILING(PERCENTRANK.INC($B$3:$B$6000,B774,4)*5+0.000001,1))</f>
        <v/>
      </c>
      <c r="F774">
        <f>IF(A774="","",MAX(1,CEILING(PERCENTRANK.INC($C$3:$C$6000,C774,4)*5+0.000001,1)))</f>
        <v/>
      </c>
      <c r="G774">
        <f>IF(A774="","",MAX(1,CEILING(PERCENTRANK.INC($D$3:$D$6000,D774,4)*5+0.000001,1)))</f>
        <v/>
      </c>
      <c r="H774">
        <f>IF(A774="","",E774&amp;F774&amp;G774)</f>
        <v/>
      </c>
      <c r="I774">
        <f>IF(A774="","",IF(AND(E774&gt;=4,F774&gt;=4,G774&gt;=4),"Juara",IF(AND(F774&gt;=4,E774&gt;=3),"Setia",IF(AND(E774=5,F774&lt;=2,G774&gt;=3),"Berpotensi",IF(AND(E774&lt;=3,E774&gt;=2,F774&gt;=3),"Rawan",IF(AND(E774&lt;=2,F774&lt;=2),"Tidur","Umum"))))))</f>
        <v/>
      </c>
    </row>
    <row r="775">
      <c r="B775">
        <f>IF(A775="","",$B$1-MAXIFS(Donasi!$A$2:$A$20000,Donasi!$B$2:$B$20000,A775))</f>
        <v/>
      </c>
      <c r="C775">
        <f>IF(A775="","",COUNTIF(Donasi!$B$2:$B$20000,A775))</f>
        <v/>
      </c>
      <c r="D775">
        <f>IF(A775="","",SUMIF(Donasi!$B$2:$B$20000,A775,Donasi!$C$2:$C$20000))</f>
        <v/>
      </c>
      <c r="E775">
        <f>IF(A775="","",6-CEILING(PERCENTRANK.INC($B$3:$B$6000,B775,4)*5+0.000001,1))</f>
        <v/>
      </c>
      <c r="F775">
        <f>IF(A775="","",MAX(1,CEILING(PERCENTRANK.INC($C$3:$C$6000,C775,4)*5+0.000001,1)))</f>
        <v/>
      </c>
      <c r="G775">
        <f>IF(A775="","",MAX(1,CEILING(PERCENTRANK.INC($D$3:$D$6000,D775,4)*5+0.000001,1)))</f>
        <v/>
      </c>
      <c r="H775">
        <f>IF(A775="","",E775&amp;F775&amp;G775)</f>
        <v/>
      </c>
      <c r="I775">
        <f>IF(A775="","",IF(AND(E775&gt;=4,F775&gt;=4,G775&gt;=4),"Juara",IF(AND(F775&gt;=4,E775&gt;=3),"Setia",IF(AND(E775=5,F775&lt;=2,G775&gt;=3),"Berpotensi",IF(AND(E775&lt;=3,E775&gt;=2,F775&gt;=3),"Rawan",IF(AND(E775&lt;=2,F775&lt;=2),"Tidur","Umum"))))))</f>
        <v/>
      </c>
    </row>
    <row r="776">
      <c r="B776">
        <f>IF(A776="","",$B$1-MAXIFS(Donasi!$A$2:$A$20000,Donasi!$B$2:$B$20000,A776))</f>
        <v/>
      </c>
      <c r="C776">
        <f>IF(A776="","",COUNTIF(Donasi!$B$2:$B$20000,A776))</f>
        <v/>
      </c>
      <c r="D776">
        <f>IF(A776="","",SUMIF(Donasi!$B$2:$B$20000,A776,Donasi!$C$2:$C$20000))</f>
        <v/>
      </c>
      <c r="E776">
        <f>IF(A776="","",6-CEILING(PERCENTRANK.INC($B$3:$B$6000,B776,4)*5+0.000001,1))</f>
        <v/>
      </c>
      <c r="F776">
        <f>IF(A776="","",MAX(1,CEILING(PERCENTRANK.INC($C$3:$C$6000,C776,4)*5+0.000001,1)))</f>
        <v/>
      </c>
      <c r="G776">
        <f>IF(A776="","",MAX(1,CEILING(PERCENTRANK.INC($D$3:$D$6000,D776,4)*5+0.000001,1)))</f>
        <v/>
      </c>
      <c r="H776">
        <f>IF(A776="","",E776&amp;F776&amp;G776)</f>
        <v/>
      </c>
      <c r="I776">
        <f>IF(A776="","",IF(AND(E776&gt;=4,F776&gt;=4,G776&gt;=4),"Juara",IF(AND(F776&gt;=4,E776&gt;=3),"Setia",IF(AND(E776=5,F776&lt;=2,G776&gt;=3),"Berpotensi",IF(AND(E776&lt;=3,E776&gt;=2,F776&gt;=3),"Rawan",IF(AND(E776&lt;=2,F776&lt;=2),"Tidur","Umum"))))))</f>
        <v/>
      </c>
    </row>
    <row r="777">
      <c r="B777">
        <f>IF(A777="","",$B$1-MAXIFS(Donasi!$A$2:$A$20000,Donasi!$B$2:$B$20000,A777))</f>
        <v/>
      </c>
      <c r="C777">
        <f>IF(A777="","",COUNTIF(Donasi!$B$2:$B$20000,A777))</f>
        <v/>
      </c>
      <c r="D777">
        <f>IF(A777="","",SUMIF(Donasi!$B$2:$B$20000,A777,Donasi!$C$2:$C$20000))</f>
        <v/>
      </c>
      <c r="E777">
        <f>IF(A777="","",6-CEILING(PERCENTRANK.INC($B$3:$B$6000,B777,4)*5+0.000001,1))</f>
        <v/>
      </c>
      <c r="F777">
        <f>IF(A777="","",MAX(1,CEILING(PERCENTRANK.INC($C$3:$C$6000,C777,4)*5+0.000001,1)))</f>
        <v/>
      </c>
      <c r="G777">
        <f>IF(A777="","",MAX(1,CEILING(PERCENTRANK.INC($D$3:$D$6000,D777,4)*5+0.000001,1)))</f>
        <v/>
      </c>
      <c r="H777">
        <f>IF(A777="","",E777&amp;F777&amp;G777)</f>
        <v/>
      </c>
      <c r="I777">
        <f>IF(A777="","",IF(AND(E777&gt;=4,F777&gt;=4,G777&gt;=4),"Juara",IF(AND(F777&gt;=4,E777&gt;=3),"Setia",IF(AND(E777=5,F777&lt;=2,G777&gt;=3),"Berpotensi",IF(AND(E777&lt;=3,E777&gt;=2,F777&gt;=3),"Rawan",IF(AND(E777&lt;=2,F777&lt;=2),"Tidur","Umum"))))))</f>
        <v/>
      </c>
    </row>
    <row r="778">
      <c r="B778">
        <f>IF(A778="","",$B$1-MAXIFS(Donasi!$A$2:$A$20000,Donasi!$B$2:$B$20000,A778))</f>
        <v/>
      </c>
      <c r="C778">
        <f>IF(A778="","",COUNTIF(Donasi!$B$2:$B$20000,A778))</f>
        <v/>
      </c>
      <c r="D778">
        <f>IF(A778="","",SUMIF(Donasi!$B$2:$B$20000,A778,Donasi!$C$2:$C$20000))</f>
        <v/>
      </c>
      <c r="E778">
        <f>IF(A778="","",6-CEILING(PERCENTRANK.INC($B$3:$B$6000,B778,4)*5+0.000001,1))</f>
        <v/>
      </c>
      <c r="F778">
        <f>IF(A778="","",MAX(1,CEILING(PERCENTRANK.INC($C$3:$C$6000,C778,4)*5+0.000001,1)))</f>
        <v/>
      </c>
      <c r="G778">
        <f>IF(A778="","",MAX(1,CEILING(PERCENTRANK.INC($D$3:$D$6000,D778,4)*5+0.000001,1)))</f>
        <v/>
      </c>
      <c r="H778">
        <f>IF(A778="","",E778&amp;F778&amp;G778)</f>
        <v/>
      </c>
      <c r="I778">
        <f>IF(A778="","",IF(AND(E778&gt;=4,F778&gt;=4,G778&gt;=4),"Juara",IF(AND(F778&gt;=4,E778&gt;=3),"Setia",IF(AND(E778=5,F778&lt;=2,G778&gt;=3),"Berpotensi",IF(AND(E778&lt;=3,E778&gt;=2,F778&gt;=3),"Rawan",IF(AND(E778&lt;=2,F778&lt;=2),"Tidur","Umum"))))))</f>
        <v/>
      </c>
    </row>
    <row r="779">
      <c r="B779">
        <f>IF(A779="","",$B$1-MAXIFS(Donasi!$A$2:$A$20000,Donasi!$B$2:$B$20000,A779))</f>
        <v/>
      </c>
      <c r="C779">
        <f>IF(A779="","",COUNTIF(Donasi!$B$2:$B$20000,A779))</f>
        <v/>
      </c>
      <c r="D779">
        <f>IF(A779="","",SUMIF(Donasi!$B$2:$B$20000,A779,Donasi!$C$2:$C$20000))</f>
        <v/>
      </c>
      <c r="E779">
        <f>IF(A779="","",6-CEILING(PERCENTRANK.INC($B$3:$B$6000,B779,4)*5+0.000001,1))</f>
        <v/>
      </c>
      <c r="F779">
        <f>IF(A779="","",MAX(1,CEILING(PERCENTRANK.INC($C$3:$C$6000,C779,4)*5+0.000001,1)))</f>
        <v/>
      </c>
      <c r="G779">
        <f>IF(A779="","",MAX(1,CEILING(PERCENTRANK.INC($D$3:$D$6000,D779,4)*5+0.000001,1)))</f>
        <v/>
      </c>
      <c r="H779">
        <f>IF(A779="","",E779&amp;F779&amp;G779)</f>
        <v/>
      </c>
      <c r="I779">
        <f>IF(A779="","",IF(AND(E779&gt;=4,F779&gt;=4,G779&gt;=4),"Juara",IF(AND(F779&gt;=4,E779&gt;=3),"Setia",IF(AND(E779=5,F779&lt;=2,G779&gt;=3),"Berpotensi",IF(AND(E779&lt;=3,E779&gt;=2,F779&gt;=3),"Rawan",IF(AND(E779&lt;=2,F779&lt;=2),"Tidur","Umum"))))))</f>
        <v/>
      </c>
    </row>
    <row r="780">
      <c r="B780">
        <f>IF(A780="","",$B$1-MAXIFS(Donasi!$A$2:$A$20000,Donasi!$B$2:$B$20000,A780))</f>
        <v/>
      </c>
      <c r="C780">
        <f>IF(A780="","",COUNTIF(Donasi!$B$2:$B$20000,A780))</f>
        <v/>
      </c>
      <c r="D780">
        <f>IF(A780="","",SUMIF(Donasi!$B$2:$B$20000,A780,Donasi!$C$2:$C$20000))</f>
        <v/>
      </c>
      <c r="E780">
        <f>IF(A780="","",6-CEILING(PERCENTRANK.INC($B$3:$B$6000,B780,4)*5+0.000001,1))</f>
        <v/>
      </c>
      <c r="F780">
        <f>IF(A780="","",MAX(1,CEILING(PERCENTRANK.INC($C$3:$C$6000,C780,4)*5+0.000001,1)))</f>
        <v/>
      </c>
      <c r="G780">
        <f>IF(A780="","",MAX(1,CEILING(PERCENTRANK.INC($D$3:$D$6000,D780,4)*5+0.000001,1)))</f>
        <v/>
      </c>
      <c r="H780">
        <f>IF(A780="","",E780&amp;F780&amp;G780)</f>
        <v/>
      </c>
      <c r="I780">
        <f>IF(A780="","",IF(AND(E780&gt;=4,F780&gt;=4,G780&gt;=4),"Juara",IF(AND(F780&gt;=4,E780&gt;=3),"Setia",IF(AND(E780=5,F780&lt;=2,G780&gt;=3),"Berpotensi",IF(AND(E780&lt;=3,E780&gt;=2,F780&gt;=3),"Rawan",IF(AND(E780&lt;=2,F780&lt;=2),"Tidur","Umum"))))))</f>
        <v/>
      </c>
    </row>
    <row r="781">
      <c r="B781">
        <f>IF(A781="","",$B$1-MAXIFS(Donasi!$A$2:$A$20000,Donasi!$B$2:$B$20000,A781))</f>
        <v/>
      </c>
      <c r="C781">
        <f>IF(A781="","",COUNTIF(Donasi!$B$2:$B$20000,A781))</f>
        <v/>
      </c>
      <c r="D781">
        <f>IF(A781="","",SUMIF(Donasi!$B$2:$B$20000,A781,Donasi!$C$2:$C$20000))</f>
        <v/>
      </c>
      <c r="E781">
        <f>IF(A781="","",6-CEILING(PERCENTRANK.INC($B$3:$B$6000,B781,4)*5+0.000001,1))</f>
        <v/>
      </c>
      <c r="F781">
        <f>IF(A781="","",MAX(1,CEILING(PERCENTRANK.INC($C$3:$C$6000,C781,4)*5+0.000001,1)))</f>
        <v/>
      </c>
      <c r="G781">
        <f>IF(A781="","",MAX(1,CEILING(PERCENTRANK.INC($D$3:$D$6000,D781,4)*5+0.000001,1)))</f>
        <v/>
      </c>
      <c r="H781">
        <f>IF(A781="","",E781&amp;F781&amp;G781)</f>
        <v/>
      </c>
      <c r="I781">
        <f>IF(A781="","",IF(AND(E781&gt;=4,F781&gt;=4,G781&gt;=4),"Juara",IF(AND(F781&gt;=4,E781&gt;=3),"Setia",IF(AND(E781=5,F781&lt;=2,G781&gt;=3),"Berpotensi",IF(AND(E781&lt;=3,E781&gt;=2,F781&gt;=3),"Rawan",IF(AND(E781&lt;=2,F781&lt;=2),"Tidur","Umum"))))))</f>
        <v/>
      </c>
    </row>
    <row r="782">
      <c r="B782">
        <f>IF(A782="","",$B$1-MAXIFS(Donasi!$A$2:$A$20000,Donasi!$B$2:$B$20000,A782))</f>
        <v/>
      </c>
      <c r="C782">
        <f>IF(A782="","",COUNTIF(Donasi!$B$2:$B$20000,A782))</f>
        <v/>
      </c>
      <c r="D782">
        <f>IF(A782="","",SUMIF(Donasi!$B$2:$B$20000,A782,Donasi!$C$2:$C$20000))</f>
        <v/>
      </c>
      <c r="E782">
        <f>IF(A782="","",6-CEILING(PERCENTRANK.INC($B$3:$B$6000,B782,4)*5+0.000001,1))</f>
        <v/>
      </c>
      <c r="F782">
        <f>IF(A782="","",MAX(1,CEILING(PERCENTRANK.INC($C$3:$C$6000,C782,4)*5+0.000001,1)))</f>
        <v/>
      </c>
      <c r="G782">
        <f>IF(A782="","",MAX(1,CEILING(PERCENTRANK.INC($D$3:$D$6000,D782,4)*5+0.000001,1)))</f>
        <v/>
      </c>
      <c r="H782">
        <f>IF(A782="","",E782&amp;F782&amp;G782)</f>
        <v/>
      </c>
      <c r="I782">
        <f>IF(A782="","",IF(AND(E782&gt;=4,F782&gt;=4,G782&gt;=4),"Juara",IF(AND(F782&gt;=4,E782&gt;=3),"Setia",IF(AND(E782=5,F782&lt;=2,G782&gt;=3),"Berpotensi",IF(AND(E782&lt;=3,E782&gt;=2,F782&gt;=3),"Rawan",IF(AND(E782&lt;=2,F782&lt;=2),"Tidur","Umum"))))))</f>
        <v/>
      </c>
    </row>
    <row r="783">
      <c r="B783">
        <f>IF(A783="","",$B$1-MAXIFS(Donasi!$A$2:$A$20000,Donasi!$B$2:$B$20000,A783))</f>
        <v/>
      </c>
      <c r="C783">
        <f>IF(A783="","",COUNTIF(Donasi!$B$2:$B$20000,A783))</f>
        <v/>
      </c>
      <c r="D783">
        <f>IF(A783="","",SUMIF(Donasi!$B$2:$B$20000,A783,Donasi!$C$2:$C$20000))</f>
        <v/>
      </c>
      <c r="E783">
        <f>IF(A783="","",6-CEILING(PERCENTRANK.INC($B$3:$B$6000,B783,4)*5+0.000001,1))</f>
        <v/>
      </c>
      <c r="F783">
        <f>IF(A783="","",MAX(1,CEILING(PERCENTRANK.INC($C$3:$C$6000,C783,4)*5+0.000001,1)))</f>
        <v/>
      </c>
      <c r="G783">
        <f>IF(A783="","",MAX(1,CEILING(PERCENTRANK.INC($D$3:$D$6000,D783,4)*5+0.000001,1)))</f>
        <v/>
      </c>
      <c r="H783">
        <f>IF(A783="","",E783&amp;F783&amp;G783)</f>
        <v/>
      </c>
      <c r="I783">
        <f>IF(A783="","",IF(AND(E783&gt;=4,F783&gt;=4,G783&gt;=4),"Juara",IF(AND(F783&gt;=4,E783&gt;=3),"Setia",IF(AND(E783=5,F783&lt;=2,G783&gt;=3),"Berpotensi",IF(AND(E783&lt;=3,E783&gt;=2,F783&gt;=3),"Rawan",IF(AND(E783&lt;=2,F783&lt;=2),"Tidur","Umum"))))))</f>
        <v/>
      </c>
    </row>
    <row r="784">
      <c r="B784">
        <f>IF(A784="","",$B$1-MAXIFS(Donasi!$A$2:$A$20000,Donasi!$B$2:$B$20000,A784))</f>
        <v/>
      </c>
      <c r="C784">
        <f>IF(A784="","",COUNTIF(Donasi!$B$2:$B$20000,A784))</f>
        <v/>
      </c>
      <c r="D784">
        <f>IF(A784="","",SUMIF(Donasi!$B$2:$B$20000,A784,Donasi!$C$2:$C$20000))</f>
        <v/>
      </c>
      <c r="E784">
        <f>IF(A784="","",6-CEILING(PERCENTRANK.INC($B$3:$B$6000,B784,4)*5+0.000001,1))</f>
        <v/>
      </c>
      <c r="F784">
        <f>IF(A784="","",MAX(1,CEILING(PERCENTRANK.INC($C$3:$C$6000,C784,4)*5+0.000001,1)))</f>
        <v/>
      </c>
      <c r="G784">
        <f>IF(A784="","",MAX(1,CEILING(PERCENTRANK.INC($D$3:$D$6000,D784,4)*5+0.000001,1)))</f>
        <v/>
      </c>
      <c r="H784">
        <f>IF(A784="","",E784&amp;F784&amp;G784)</f>
        <v/>
      </c>
      <c r="I784">
        <f>IF(A784="","",IF(AND(E784&gt;=4,F784&gt;=4,G784&gt;=4),"Juara",IF(AND(F784&gt;=4,E784&gt;=3),"Setia",IF(AND(E784=5,F784&lt;=2,G784&gt;=3),"Berpotensi",IF(AND(E784&lt;=3,E784&gt;=2,F784&gt;=3),"Rawan",IF(AND(E784&lt;=2,F784&lt;=2),"Tidur","Umum"))))))</f>
        <v/>
      </c>
    </row>
    <row r="785">
      <c r="B785">
        <f>IF(A785="","",$B$1-MAXIFS(Donasi!$A$2:$A$20000,Donasi!$B$2:$B$20000,A785))</f>
        <v/>
      </c>
      <c r="C785">
        <f>IF(A785="","",COUNTIF(Donasi!$B$2:$B$20000,A785))</f>
        <v/>
      </c>
      <c r="D785">
        <f>IF(A785="","",SUMIF(Donasi!$B$2:$B$20000,A785,Donasi!$C$2:$C$20000))</f>
        <v/>
      </c>
      <c r="E785">
        <f>IF(A785="","",6-CEILING(PERCENTRANK.INC($B$3:$B$6000,B785,4)*5+0.000001,1))</f>
        <v/>
      </c>
      <c r="F785">
        <f>IF(A785="","",MAX(1,CEILING(PERCENTRANK.INC($C$3:$C$6000,C785,4)*5+0.000001,1)))</f>
        <v/>
      </c>
      <c r="G785">
        <f>IF(A785="","",MAX(1,CEILING(PERCENTRANK.INC($D$3:$D$6000,D785,4)*5+0.000001,1)))</f>
        <v/>
      </c>
      <c r="H785">
        <f>IF(A785="","",E785&amp;F785&amp;G785)</f>
        <v/>
      </c>
      <c r="I785">
        <f>IF(A785="","",IF(AND(E785&gt;=4,F785&gt;=4,G785&gt;=4),"Juara",IF(AND(F785&gt;=4,E785&gt;=3),"Setia",IF(AND(E785=5,F785&lt;=2,G785&gt;=3),"Berpotensi",IF(AND(E785&lt;=3,E785&gt;=2,F785&gt;=3),"Rawan",IF(AND(E785&lt;=2,F785&lt;=2),"Tidur","Umum"))))))</f>
        <v/>
      </c>
    </row>
    <row r="786">
      <c r="B786">
        <f>IF(A786="","",$B$1-MAXIFS(Donasi!$A$2:$A$20000,Donasi!$B$2:$B$20000,A786))</f>
        <v/>
      </c>
      <c r="C786">
        <f>IF(A786="","",COUNTIF(Donasi!$B$2:$B$20000,A786))</f>
        <v/>
      </c>
      <c r="D786">
        <f>IF(A786="","",SUMIF(Donasi!$B$2:$B$20000,A786,Donasi!$C$2:$C$20000))</f>
        <v/>
      </c>
      <c r="E786">
        <f>IF(A786="","",6-CEILING(PERCENTRANK.INC($B$3:$B$6000,B786,4)*5+0.000001,1))</f>
        <v/>
      </c>
      <c r="F786">
        <f>IF(A786="","",MAX(1,CEILING(PERCENTRANK.INC($C$3:$C$6000,C786,4)*5+0.000001,1)))</f>
        <v/>
      </c>
      <c r="G786">
        <f>IF(A786="","",MAX(1,CEILING(PERCENTRANK.INC($D$3:$D$6000,D786,4)*5+0.000001,1)))</f>
        <v/>
      </c>
      <c r="H786">
        <f>IF(A786="","",E786&amp;F786&amp;G786)</f>
        <v/>
      </c>
      <c r="I786">
        <f>IF(A786="","",IF(AND(E786&gt;=4,F786&gt;=4,G786&gt;=4),"Juara",IF(AND(F786&gt;=4,E786&gt;=3),"Setia",IF(AND(E786=5,F786&lt;=2,G786&gt;=3),"Berpotensi",IF(AND(E786&lt;=3,E786&gt;=2,F786&gt;=3),"Rawan",IF(AND(E786&lt;=2,F786&lt;=2),"Tidur","Umum"))))))</f>
        <v/>
      </c>
    </row>
    <row r="787">
      <c r="B787">
        <f>IF(A787="","",$B$1-MAXIFS(Donasi!$A$2:$A$20000,Donasi!$B$2:$B$20000,A787))</f>
        <v/>
      </c>
      <c r="C787">
        <f>IF(A787="","",COUNTIF(Donasi!$B$2:$B$20000,A787))</f>
        <v/>
      </c>
      <c r="D787">
        <f>IF(A787="","",SUMIF(Donasi!$B$2:$B$20000,A787,Donasi!$C$2:$C$20000))</f>
        <v/>
      </c>
      <c r="E787">
        <f>IF(A787="","",6-CEILING(PERCENTRANK.INC($B$3:$B$6000,B787,4)*5+0.000001,1))</f>
        <v/>
      </c>
      <c r="F787">
        <f>IF(A787="","",MAX(1,CEILING(PERCENTRANK.INC($C$3:$C$6000,C787,4)*5+0.000001,1)))</f>
        <v/>
      </c>
      <c r="G787">
        <f>IF(A787="","",MAX(1,CEILING(PERCENTRANK.INC($D$3:$D$6000,D787,4)*5+0.000001,1)))</f>
        <v/>
      </c>
      <c r="H787">
        <f>IF(A787="","",E787&amp;F787&amp;G787)</f>
        <v/>
      </c>
      <c r="I787">
        <f>IF(A787="","",IF(AND(E787&gt;=4,F787&gt;=4,G787&gt;=4),"Juara",IF(AND(F787&gt;=4,E787&gt;=3),"Setia",IF(AND(E787=5,F787&lt;=2,G787&gt;=3),"Berpotensi",IF(AND(E787&lt;=3,E787&gt;=2,F787&gt;=3),"Rawan",IF(AND(E787&lt;=2,F787&lt;=2),"Tidur","Umum"))))))</f>
        <v/>
      </c>
    </row>
    <row r="788">
      <c r="B788">
        <f>IF(A788="","",$B$1-MAXIFS(Donasi!$A$2:$A$20000,Donasi!$B$2:$B$20000,A788))</f>
        <v/>
      </c>
      <c r="C788">
        <f>IF(A788="","",COUNTIF(Donasi!$B$2:$B$20000,A788))</f>
        <v/>
      </c>
      <c r="D788">
        <f>IF(A788="","",SUMIF(Donasi!$B$2:$B$20000,A788,Donasi!$C$2:$C$20000))</f>
        <v/>
      </c>
      <c r="E788">
        <f>IF(A788="","",6-CEILING(PERCENTRANK.INC($B$3:$B$6000,B788,4)*5+0.000001,1))</f>
        <v/>
      </c>
      <c r="F788">
        <f>IF(A788="","",MAX(1,CEILING(PERCENTRANK.INC($C$3:$C$6000,C788,4)*5+0.000001,1)))</f>
        <v/>
      </c>
      <c r="G788">
        <f>IF(A788="","",MAX(1,CEILING(PERCENTRANK.INC($D$3:$D$6000,D788,4)*5+0.000001,1)))</f>
        <v/>
      </c>
      <c r="H788">
        <f>IF(A788="","",E788&amp;F788&amp;G788)</f>
        <v/>
      </c>
      <c r="I788">
        <f>IF(A788="","",IF(AND(E788&gt;=4,F788&gt;=4,G788&gt;=4),"Juara",IF(AND(F788&gt;=4,E788&gt;=3),"Setia",IF(AND(E788=5,F788&lt;=2,G788&gt;=3),"Berpotensi",IF(AND(E788&lt;=3,E788&gt;=2,F788&gt;=3),"Rawan",IF(AND(E788&lt;=2,F788&lt;=2),"Tidur","Umum"))))))</f>
        <v/>
      </c>
    </row>
    <row r="789">
      <c r="B789">
        <f>IF(A789="","",$B$1-MAXIFS(Donasi!$A$2:$A$20000,Donasi!$B$2:$B$20000,A789))</f>
        <v/>
      </c>
      <c r="C789">
        <f>IF(A789="","",COUNTIF(Donasi!$B$2:$B$20000,A789))</f>
        <v/>
      </c>
      <c r="D789">
        <f>IF(A789="","",SUMIF(Donasi!$B$2:$B$20000,A789,Donasi!$C$2:$C$20000))</f>
        <v/>
      </c>
      <c r="E789">
        <f>IF(A789="","",6-CEILING(PERCENTRANK.INC($B$3:$B$6000,B789,4)*5+0.000001,1))</f>
        <v/>
      </c>
      <c r="F789">
        <f>IF(A789="","",MAX(1,CEILING(PERCENTRANK.INC($C$3:$C$6000,C789,4)*5+0.000001,1)))</f>
        <v/>
      </c>
      <c r="G789">
        <f>IF(A789="","",MAX(1,CEILING(PERCENTRANK.INC($D$3:$D$6000,D789,4)*5+0.000001,1)))</f>
        <v/>
      </c>
      <c r="H789">
        <f>IF(A789="","",E789&amp;F789&amp;G789)</f>
        <v/>
      </c>
      <c r="I789">
        <f>IF(A789="","",IF(AND(E789&gt;=4,F789&gt;=4,G789&gt;=4),"Juara",IF(AND(F789&gt;=4,E789&gt;=3),"Setia",IF(AND(E789=5,F789&lt;=2,G789&gt;=3),"Berpotensi",IF(AND(E789&lt;=3,E789&gt;=2,F789&gt;=3),"Rawan",IF(AND(E789&lt;=2,F789&lt;=2),"Tidur","Umum"))))))</f>
        <v/>
      </c>
    </row>
    <row r="790">
      <c r="B790">
        <f>IF(A790="","",$B$1-MAXIFS(Donasi!$A$2:$A$20000,Donasi!$B$2:$B$20000,A790))</f>
        <v/>
      </c>
      <c r="C790">
        <f>IF(A790="","",COUNTIF(Donasi!$B$2:$B$20000,A790))</f>
        <v/>
      </c>
      <c r="D790">
        <f>IF(A790="","",SUMIF(Donasi!$B$2:$B$20000,A790,Donasi!$C$2:$C$20000))</f>
        <v/>
      </c>
      <c r="E790">
        <f>IF(A790="","",6-CEILING(PERCENTRANK.INC($B$3:$B$6000,B790,4)*5+0.000001,1))</f>
        <v/>
      </c>
      <c r="F790">
        <f>IF(A790="","",MAX(1,CEILING(PERCENTRANK.INC($C$3:$C$6000,C790,4)*5+0.000001,1)))</f>
        <v/>
      </c>
      <c r="G790">
        <f>IF(A790="","",MAX(1,CEILING(PERCENTRANK.INC($D$3:$D$6000,D790,4)*5+0.000001,1)))</f>
        <v/>
      </c>
      <c r="H790">
        <f>IF(A790="","",E790&amp;F790&amp;G790)</f>
        <v/>
      </c>
      <c r="I790">
        <f>IF(A790="","",IF(AND(E790&gt;=4,F790&gt;=4,G790&gt;=4),"Juara",IF(AND(F790&gt;=4,E790&gt;=3),"Setia",IF(AND(E790=5,F790&lt;=2,G790&gt;=3),"Berpotensi",IF(AND(E790&lt;=3,E790&gt;=2,F790&gt;=3),"Rawan",IF(AND(E790&lt;=2,F790&lt;=2),"Tidur","Umum"))))))</f>
        <v/>
      </c>
    </row>
    <row r="791">
      <c r="B791">
        <f>IF(A791="","",$B$1-MAXIFS(Donasi!$A$2:$A$20000,Donasi!$B$2:$B$20000,A791))</f>
        <v/>
      </c>
      <c r="C791">
        <f>IF(A791="","",COUNTIF(Donasi!$B$2:$B$20000,A791))</f>
        <v/>
      </c>
      <c r="D791">
        <f>IF(A791="","",SUMIF(Donasi!$B$2:$B$20000,A791,Donasi!$C$2:$C$20000))</f>
        <v/>
      </c>
      <c r="E791">
        <f>IF(A791="","",6-CEILING(PERCENTRANK.INC($B$3:$B$6000,B791,4)*5+0.000001,1))</f>
        <v/>
      </c>
      <c r="F791">
        <f>IF(A791="","",MAX(1,CEILING(PERCENTRANK.INC($C$3:$C$6000,C791,4)*5+0.000001,1)))</f>
        <v/>
      </c>
      <c r="G791">
        <f>IF(A791="","",MAX(1,CEILING(PERCENTRANK.INC($D$3:$D$6000,D791,4)*5+0.000001,1)))</f>
        <v/>
      </c>
      <c r="H791">
        <f>IF(A791="","",E791&amp;F791&amp;G791)</f>
        <v/>
      </c>
      <c r="I791">
        <f>IF(A791="","",IF(AND(E791&gt;=4,F791&gt;=4,G791&gt;=4),"Juara",IF(AND(F791&gt;=4,E791&gt;=3),"Setia",IF(AND(E791=5,F791&lt;=2,G791&gt;=3),"Berpotensi",IF(AND(E791&lt;=3,E791&gt;=2,F791&gt;=3),"Rawan",IF(AND(E791&lt;=2,F791&lt;=2),"Tidur","Umum"))))))</f>
        <v/>
      </c>
    </row>
    <row r="792">
      <c r="B792">
        <f>IF(A792="","",$B$1-MAXIFS(Donasi!$A$2:$A$20000,Donasi!$B$2:$B$20000,A792))</f>
        <v/>
      </c>
      <c r="C792">
        <f>IF(A792="","",COUNTIF(Donasi!$B$2:$B$20000,A792))</f>
        <v/>
      </c>
      <c r="D792">
        <f>IF(A792="","",SUMIF(Donasi!$B$2:$B$20000,A792,Donasi!$C$2:$C$20000))</f>
        <v/>
      </c>
      <c r="E792">
        <f>IF(A792="","",6-CEILING(PERCENTRANK.INC($B$3:$B$6000,B792,4)*5+0.000001,1))</f>
        <v/>
      </c>
      <c r="F792">
        <f>IF(A792="","",MAX(1,CEILING(PERCENTRANK.INC($C$3:$C$6000,C792,4)*5+0.000001,1)))</f>
        <v/>
      </c>
      <c r="G792">
        <f>IF(A792="","",MAX(1,CEILING(PERCENTRANK.INC($D$3:$D$6000,D792,4)*5+0.000001,1)))</f>
        <v/>
      </c>
      <c r="H792">
        <f>IF(A792="","",E792&amp;F792&amp;G792)</f>
        <v/>
      </c>
      <c r="I792">
        <f>IF(A792="","",IF(AND(E792&gt;=4,F792&gt;=4,G792&gt;=4),"Juara",IF(AND(F792&gt;=4,E792&gt;=3),"Setia",IF(AND(E792=5,F792&lt;=2,G792&gt;=3),"Berpotensi",IF(AND(E792&lt;=3,E792&gt;=2,F792&gt;=3),"Rawan",IF(AND(E792&lt;=2,F792&lt;=2),"Tidur","Umum"))))))</f>
        <v/>
      </c>
    </row>
    <row r="793">
      <c r="B793">
        <f>IF(A793="","",$B$1-MAXIFS(Donasi!$A$2:$A$20000,Donasi!$B$2:$B$20000,A793))</f>
        <v/>
      </c>
      <c r="C793">
        <f>IF(A793="","",COUNTIF(Donasi!$B$2:$B$20000,A793))</f>
        <v/>
      </c>
      <c r="D793">
        <f>IF(A793="","",SUMIF(Donasi!$B$2:$B$20000,A793,Donasi!$C$2:$C$20000))</f>
        <v/>
      </c>
      <c r="E793">
        <f>IF(A793="","",6-CEILING(PERCENTRANK.INC($B$3:$B$6000,B793,4)*5+0.000001,1))</f>
        <v/>
      </c>
      <c r="F793">
        <f>IF(A793="","",MAX(1,CEILING(PERCENTRANK.INC($C$3:$C$6000,C793,4)*5+0.000001,1)))</f>
        <v/>
      </c>
      <c r="G793">
        <f>IF(A793="","",MAX(1,CEILING(PERCENTRANK.INC($D$3:$D$6000,D793,4)*5+0.000001,1)))</f>
        <v/>
      </c>
      <c r="H793">
        <f>IF(A793="","",E793&amp;F793&amp;G793)</f>
        <v/>
      </c>
      <c r="I793">
        <f>IF(A793="","",IF(AND(E793&gt;=4,F793&gt;=4,G793&gt;=4),"Juara",IF(AND(F793&gt;=4,E793&gt;=3),"Setia",IF(AND(E793=5,F793&lt;=2,G793&gt;=3),"Berpotensi",IF(AND(E793&lt;=3,E793&gt;=2,F793&gt;=3),"Rawan",IF(AND(E793&lt;=2,F793&lt;=2),"Tidur","Umum"))))))</f>
        <v/>
      </c>
    </row>
    <row r="794">
      <c r="B794">
        <f>IF(A794="","",$B$1-MAXIFS(Donasi!$A$2:$A$20000,Donasi!$B$2:$B$20000,A794))</f>
        <v/>
      </c>
      <c r="C794">
        <f>IF(A794="","",COUNTIF(Donasi!$B$2:$B$20000,A794))</f>
        <v/>
      </c>
      <c r="D794">
        <f>IF(A794="","",SUMIF(Donasi!$B$2:$B$20000,A794,Donasi!$C$2:$C$20000))</f>
        <v/>
      </c>
      <c r="E794">
        <f>IF(A794="","",6-CEILING(PERCENTRANK.INC($B$3:$B$6000,B794,4)*5+0.000001,1))</f>
        <v/>
      </c>
      <c r="F794">
        <f>IF(A794="","",MAX(1,CEILING(PERCENTRANK.INC($C$3:$C$6000,C794,4)*5+0.000001,1)))</f>
        <v/>
      </c>
      <c r="G794">
        <f>IF(A794="","",MAX(1,CEILING(PERCENTRANK.INC($D$3:$D$6000,D794,4)*5+0.000001,1)))</f>
        <v/>
      </c>
      <c r="H794">
        <f>IF(A794="","",E794&amp;F794&amp;G794)</f>
        <v/>
      </c>
      <c r="I794">
        <f>IF(A794="","",IF(AND(E794&gt;=4,F794&gt;=4,G794&gt;=4),"Juara",IF(AND(F794&gt;=4,E794&gt;=3),"Setia",IF(AND(E794=5,F794&lt;=2,G794&gt;=3),"Berpotensi",IF(AND(E794&lt;=3,E794&gt;=2,F794&gt;=3),"Rawan",IF(AND(E794&lt;=2,F794&lt;=2),"Tidur","Umum"))))))</f>
        <v/>
      </c>
    </row>
    <row r="795">
      <c r="B795">
        <f>IF(A795="","",$B$1-MAXIFS(Donasi!$A$2:$A$20000,Donasi!$B$2:$B$20000,A795))</f>
        <v/>
      </c>
      <c r="C795">
        <f>IF(A795="","",COUNTIF(Donasi!$B$2:$B$20000,A795))</f>
        <v/>
      </c>
      <c r="D795">
        <f>IF(A795="","",SUMIF(Donasi!$B$2:$B$20000,A795,Donasi!$C$2:$C$20000))</f>
        <v/>
      </c>
      <c r="E795">
        <f>IF(A795="","",6-CEILING(PERCENTRANK.INC($B$3:$B$6000,B795,4)*5+0.000001,1))</f>
        <v/>
      </c>
      <c r="F795">
        <f>IF(A795="","",MAX(1,CEILING(PERCENTRANK.INC($C$3:$C$6000,C795,4)*5+0.000001,1)))</f>
        <v/>
      </c>
      <c r="G795">
        <f>IF(A795="","",MAX(1,CEILING(PERCENTRANK.INC($D$3:$D$6000,D795,4)*5+0.000001,1)))</f>
        <v/>
      </c>
      <c r="H795">
        <f>IF(A795="","",E795&amp;F795&amp;G795)</f>
        <v/>
      </c>
      <c r="I795">
        <f>IF(A795="","",IF(AND(E795&gt;=4,F795&gt;=4,G795&gt;=4),"Juara",IF(AND(F795&gt;=4,E795&gt;=3),"Setia",IF(AND(E795=5,F795&lt;=2,G795&gt;=3),"Berpotensi",IF(AND(E795&lt;=3,E795&gt;=2,F795&gt;=3),"Rawan",IF(AND(E795&lt;=2,F795&lt;=2),"Tidur","Umum"))))))</f>
        <v/>
      </c>
    </row>
    <row r="796">
      <c r="B796">
        <f>IF(A796="","",$B$1-MAXIFS(Donasi!$A$2:$A$20000,Donasi!$B$2:$B$20000,A796))</f>
        <v/>
      </c>
      <c r="C796">
        <f>IF(A796="","",COUNTIF(Donasi!$B$2:$B$20000,A796))</f>
        <v/>
      </c>
      <c r="D796">
        <f>IF(A796="","",SUMIF(Donasi!$B$2:$B$20000,A796,Donasi!$C$2:$C$20000))</f>
        <v/>
      </c>
      <c r="E796">
        <f>IF(A796="","",6-CEILING(PERCENTRANK.INC($B$3:$B$6000,B796,4)*5+0.000001,1))</f>
        <v/>
      </c>
      <c r="F796">
        <f>IF(A796="","",MAX(1,CEILING(PERCENTRANK.INC($C$3:$C$6000,C796,4)*5+0.000001,1)))</f>
        <v/>
      </c>
      <c r="G796">
        <f>IF(A796="","",MAX(1,CEILING(PERCENTRANK.INC($D$3:$D$6000,D796,4)*5+0.000001,1)))</f>
        <v/>
      </c>
      <c r="H796">
        <f>IF(A796="","",E796&amp;F796&amp;G796)</f>
        <v/>
      </c>
      <c r="I796">
        <f>IF(A796="","",IF(AND(E796&gt;=4,F796&gt;=4,G796&gt;=4),"Juara",IF(AND(F796&gt;=4,E796&gt;=3),"Setia",IF(AND(E796=5,F796&lt;=2,G796&gt;=3),"Berpotensi",IF(AND(E796&lt;=3,E796&gt;=2,F796&gt;=3),"Rawan",IF(AND(E796&lt;=2,F796&lt;=2),"Tidur","Umum"))))))</f>
        <v/>
      </c>
    </row>
    <row r="797">
      <c r="B797">
        <f>IF(A797="","",$B$1-MAXIFS(Donasi!$A$2:$A$20000,Donasi!$B$2:$B$20000,A797))</f>
        <v/>
      </c>
      <c r="C797">
        <f>IF(A797="","",COUNTIF(Donasi!$B$2:$B$20000,A797))</f>
        <v/>
      </c>
      <c r="D797">
        <f>IF(A797="","",SUMIF(Donasi!$B$2:$B$20000,A797,Donasi!$C$2:$C$20000))</f>
        <v/>
      </c>
      <c r="E797">
        <f>IF(A797="","",6-CEILING(PERCENTRANK.INC($B$3:$B$6000,B797,4)*5+0.000001,1))</f>
        <v/>
      </c>
      <c r="F797">
        <f>IF(A797="","",MAX(1,CEILING(PERCENTRANK.INC($C$3:$C$6000,C797,4)*5+0.000001,1)))</f>
        <v/>
      </c>
      <c r="G797">
        <f>IF(A797="","",MAX(1,CEILING(PERCENTRANK.INC($D$3:$D$6000,D797,4)*5+0.000001,1)))</f>
        <v/>
      </c>
      <c r="H797">
        <f>IF(A797="","",E797&amp;F797&amp;G797)</f>
        <v/>
      </c>
      <c r="I797">
        <f>IF(A797="","",IF(AND(E797&gt;=4,F797&gt;=4,G797&gt;=4),"Juara",IF(AND(F797&gt;=4,E797&gt;=3),"Setia",IF(AND(E797=5,F797&lt;=2,G797&gt;=3),"Berpotensi",IF(AND(E797&lt;=3,E797&gt;=2,F797&gt;=3),"Rawan",IF(AND(E797&lt;=2,F797&lt;=2),"Tidur","Umum"))))))</f>
        <v/>
      </c>
    </row>
    <row r="798">
      <c r="B798">
        <f>IF(A798="","",$B$1-MAXIFS(Donasi!$A$2:$A$20000,Donasi!$B$2:$B$20000,A798))</f>
        <v/>
      </c>
      <c r="C798">
        <f>IF(A798="","",COUNTIF(Donasi!$B$2:$B$20000,A798))</f>
        <v/>
      </c>
      <c r="D798">
        <f>IF(A798="","",SUMIF(Donasi!$B$2:$B$20000,A798,Donasi!$C$2:$C$20000))</f>
        <v/>
      </c>
      <c r="E798">
        <f>IF(A798="","",6-CEILING(PERCENTRANK.INC($B$3:$B$6000,B798,4)*5+0.000001,1))</f>
        <v/>
      </c>
      <c r="F798">
        <f>IF(A798="","",MAX(1,CEILING(PERCENTRANK.INC($C$3:$C$6000,C798,4)*5+0.000001,1)))</f>
        <v/>
      </c>
      <c r="G798">
        <f>IF(A798="","",MAX(1,CEILING(PERCENTRANK.INC($D$3:$D$6000,D798,4)*5+0.000001,1)))</f>
        <v/>
      </c>
      <c r="H798">
        <f>IF(A798="","",E798&amp;F798&amp;G798)</f>
        <v/>
      </c>
      <c r="I798">
        <f>IF(A798="","",IF(AND(E798&gt;=4,F798&gt;=4,G798&gt;=4),"Juara",IF(AND(F798&gt;=4,E798&gt;=3),"Setia",IF(AND(E798=5,F798&lt;=2,G798&gt;=3),"Berpotensi",IF(AND(E798&lt;=3,E798&gt;=2,F798&gt;=3),"Rawan",IF(AND(E798&lt;=2,F798&lt;=2),"Tidur","Umum"))))))</f>
        <v/>
      </c>
    </row>
    <row r="799">
      <c r="B799">
        <f>IF(A799="","",$B$1-MAXIFS(Donasi!$A$2:$A$20000,Donasi!$B$2:$B$20000,A799))</f>
        <v/>
      </c>
      <c r="C799">
        <f>IF(A799="","",COUNTIF(Donasi!$B$2:$B$20000,A799))</f>
        <v/>
      </c>
      <c r="D799">
        <f>IF(A799="","",SUMIF(Donasi!$B$2:$B$20000,A799,Donasi!$C$2:$C$20000))</f>
        <v/>
      </c>
      <c r="E799">
        <f>IF(A799="","",6-CEILING(PERCENTRANK.INC($B$3:$B$6000,B799,4)*5+0.000001,1))</f>
        <v/>
      </c>
      <c r="F799">
        <f>IF(A799="","",MAX(1,CEILING(PERCENTRANK.INC($C$3:$C$6000,C799,4)*5+0.000001,1)))</f>
        <v/>
      </c>
      <c r="G799">
        <f>IF(A799="","",MAX(1,CEILING(PERCENTRANK.INC($D$3:$D$6000,D799,4)*5+0.000001,1)))</f>
        <v/>
      </c>
      <c r="H799">
        <f>IF(A799="","",E799&amp;F799&amp;G799)</f>
        <v/>
      </c>
      <c r="I799">
        <f>IF(A799="","",IF(AND(E799&gt;=4,F799&gt;=4,G799&gt;=4),"Juara",IF(AND(F799&gt;=4,E799&gt;=3),"Setia",IF(AND(E799=5,F799&lt;=2,G799&gt;=3),"Berpotensi",IF(AND(E799&lt;=3,E799&gt;=2,F799&gt;=3),"Rawan",IF(AND(E799&lt;=2,F799&lt;=2),"Tidur","Umum"))))))</f>
        <v/>
      </c>
    </row>
    <row r="800">
      <c r="B800">
        <f>IF(A800="","",$B$1-MAXIFS(Donasi!$A$2:$A$20000,Donasi!$B$2:$B$20000,A800))</f>
        <v/>
      </c>
      <c r="C800">
        <f>IF(A800="","",COUNTIF(Donasi!$B$2:$B$20000,A800))</f>
        <v/>
      </c>
      <c r="D800">
        <f>IF(A800="","",SUMIF(Donasi!$B$2:$B$20000,A800,Donasi!$C$2:$C$20000))</f>
        <v/>
      </c>
      <c r="E800">
        <f>IF(A800="","",6-CEILING(PERCENTRANK.INC($B$3:$B$6000,B800,4)*5+0.000001,1))</f>
        <v/>
      </c>
      <c r="F800">
        <f>IF(A800="","",MAX(1,CEILING(PERCENTRANK.INC($C$3:$C$6000,C800,4)*5+0.000001,1)))</f>
        <v/>
      </c>
      <c r="G800">
        <f>IF(A800="","",MAX(1,CEILING(PERCENTRANK.INC($D$3:$D$6000,D800,4)*5+0.000001,1)))</f>
        <v/>
      </c>
      <c r="H800">
        <f>IF(A800="","",E800&amp;F800&amp;G800)</f>
        <v/>
      </c>
      <c r="I800">
        <f>IF(A800="","",IF(AND(E800&gt;=4,F800&gt;=4,G800&gt;=4),"Juara",IF(AND(F800&gt;=4,E800&gt;=3),"Setia",IF(AND(E800=5,F800&lt;=2,G800&gt;=3),"Berpotensi",IF(AND(E800&lt;=3,E800&gt;=2,F800&gt;=3),"Rawan",IF(AND(E800&lt;=2,F800&lt;=2),"Tidur","Umum"))))))</f>
        <v/>
      </c>
    </row>
    <row r="801">
      <c r="B801">
        <f>IF(A801="","",$B$1-MAXIFS(Donasi!$A$2:$A$20000,Donasi!$B$2:$B$20000,A801))</f>
        <v/>
      </c>
      <c r="C801">
        <f>IF(A801="","",COUNTIF(Donasi!$B$2:$B$20000,A801))</f>
        <v/>
      </c>
      <c r="D801">
        <f>IF(A801="","",SUMIF(Donasi!$B$2:$B$20000,A801,Donasi!$C$2:$C$20000))</f>
        <v/>
      </c>
      <c r="E801">
        <f>IF(A801="","",6-CEILING(PERCENTRANK.INC($B$3:$B$6000,B801,4)*5+0.000001,1))</f>
        <v/>
      </c>
      <c r="F801">
        <f>IF(A801="","",MAX(1,CEILING(PERCENTRANK.INC($C$3:$C$6000,C801,4)*5+0.000001,1)))</f>
        <v/>
      </c>
      <c r="G801">
        <f>IF(A801="","",MAX(1,CEILING(PERCENTRANK.INC($D$3:$D$6000,D801,4)*5+0.000001,1)))</f>
        <v/>
      </c>
      <c r="H801">
        <f>IF(A801="","",E801&amp;F801&amp;G801)</f>
        <v/>
      </c>
      <c r="I801">
        <f>IF(A801="","",IF(AND(E801&gt;=4,F801&gt;=4,G801&gt;=4),"Juara",IF(AND(F801&gt;=4,E801&gt;=3),"Setia",IF(AND(E801=5,F801&lt;=2,G801&gt;=3),"Berpotensi",IF(AND(E801&lt;=3,E801&gt;=2,F801&gt;=3),"Rawan",IF(AND(E801&lt;=2,F801&lt;=2),"Tidur","Umum"))))))</f>
        <v/>
      </c>
    </row>
    <row r="802">
      <c r="B802">
        <f>IF(A802="","",$B$1-MAXIFS(Donasi!$A$2:$A$20000,Donasi!$B$2:$B$20000,A802))</f>
        <v/>
      </c>
      <c r="C802">
        <f>IF(A802="","",COUNTIF(Donasi!$B$2:$B$20000,A802))</f>
        <v/>
      </c>
      <c r="D802">
        <f>IF(A802="","",SUMIF(Donasi!$B$2:$B$20000,A802,Donasi!$C$2:$C$20000))</f>
        <v/>
      </c>
      <c r="E802">
        <f>IF(A802="","",6-CEILING(PERCENTRANK.INC($B$3:$B$6000,B802,4)*5+0.000001,1))</f>
        <v/>
      </c>
      <c r="F802">
        <f>IF(A802="","",MAX(1,CEILING(PERCENTRANK.INC($C$3:$C$6000,C802,4)*5+0.000001,1)))</f>
        <v/>
      </c>
      <c r="G802">
        <f>IF(A802="","",MAX(1,CEILING(PERCENTRANK.INC($D$3:$D$6000,D802,4)*5+0.000001,1)))</f>
        <v/>
      </c>
      <c r="H802">
        <f>IF(A802="","",E802&amp;F802&amp;G802)</f>
        <v/>
      </c>
      <c r="I802">
        <f>IF(A802="","",IF(AND(E802&gt;=4,F802&gt;=4,G802&gt;=4),"Juara",IF(AND(F802&gt;=4,E802&gt;=3),"Setia",IF(AND(E802=5,F802&lt;=2,G802&gt;=3),"Berpotensi",IF(AND(E802&lt;=3,E802&gt;=2,F802&gt;=3),"Rawan",IF(AND(E802&lt;=2,F802&lt;=2),"Tidur","Umum"))))))</f>
        <v/>
      </c>
    </row>
    <row r="803">
      <c r="B803">
        <f>IF(A803="","",$B$1-MAXIFS(Donasi!$A$2:$A$20000,Donasi!$B$2:$B$20000,A803))</f>
        <v/>
      </c>
      <c r="C803">
        <f>IF(A803="","",COUNTIF(Donasi!$B$2:$B$20000,A803))</f>
        <v/>
      </c>
      <c r="D803">
        <f>IF(A803="","",SUMIF(Donasi!$B$2:$B$20000,A803,Donasi!$C$2:$C$20000))</f>
        <v/>
      </c>
      <c r="E803">
        <f>IF(A803="","",6-CEILING(PERCENTRANK.INC($B$3:$B$6000,B803,4)*5+0.000001,1))</f>
        <v/>
      </c>
      <c r="F803">
        <f>IF(A803="","",MAX(1,CEILING(PERCENTRANK.INC($C$3:$C$6000,C803,4)*5+0.000001,1)))</f>
        <v/>
      </c>
      <c r="G803">
        <f>IF(A803="","",MAX(1,CEILING(PERCENTRANK.INC($D$3:$D$6000,D803,4)*5+0.000001,1)))</f>
        <v/>
      </c>
      <c r="H803">
        <f>IF(A803="","",E803&amp;F803&amp;G803)</f>
        <v/>
      </c>
      <c r="I803">
        <f>IF(A803="","",IF(AND(E803&gt;=4,F803&gt;=4,G803&gt;=4),"Juara",IF(AND(F803&gt;=4,E803&gt;=3),"Setia",IF(AND(E803=5,F803&lt;=2,G803&gt;=3),"Berpotensi",IF(AND(E803&lt;=3,E803&gt;=2,F803&gt;=3),"Rawan",IF(AND(E803&lt;=2,F803&lt;=2),"Tidur","Umum"))))))</f>
        <v/>
      </c>
    </row>
    <row r="804">
      <c r="B804">
        <f>IF(A804="","",$B$1-MAXIFS(Donasi!$A$2:$A$20000,Donasi!$B$2:$B$20000,A804))</f>
        <v/>
      </c>
      <c r="C804">
        <f>IF(A804="","",COUNTIF(Donasi!$B$2:$B$20000,A804))</f>
        <v/>
      </c>
      <c r="D804">
        <f>IF(A804="","",SUMIF(Donasi!$B$2:$B$20000,A804,Donasi!$C$2:$C$20000))</f>
        <v/>
      </c>
      <c r="E804">
        <f>IF(A804="","",6-CEILING(PERCENTRANK.INC($B$3:$B$6000,B804,4)*5+0.000001,1))</f>
        <v/>
      </c>
      <c r="F804">
        <f>IF(A804="","",MAX(1,CEILING(PERCENTRANK.INC($C$3:$C$6000,C804,4)*5+0.000001,1)))</f>
        <v/>
      </c>
      <c r="G804">
        <f>IF(A804="","",MAX(1,CEILING(PERCENTRANK.INC($D$3:$D$6000,D804,4)*5+0.000001,1)))</f>
        <v/>
      </c>
      <c r="H804">
        <f>IF(A804="","",E804&amp;F804&amp;G804)</f>
        <v/>
      </c>
      <c r="I804">
        <f>IF(A804="","",IF(AND(E804&gt;=4,F804&gt;=4,G804&gt;=4),"Juara",IF(AND(F804&gt;=4,E804&gt;=3),"Setia",IF(AND(E804=5,F804&lt;=2,G804&gt;=3),"Berpotensi",IF(AND(E804&lt;=3,E804&gt;=2,F804&gt;=3),"Rawan",IF(AND(E804&lt;=2,F804&lt;=2),"Tidur","Umum"))))))</f>
        <v/>
      </c>
    </row>
    <row r="805">
      <c r="B805">
        <f>IF(A805="","",$B$1-MAXIFS(Donasi!$A$2:$A$20000,Donasi!$B$2:$B$20000,A805))</f>
        <v/>
      </c>
      <c r="C805">
        <f>IF(A805="","",COUNTIF(Donasi!$B$2:$B$20000,A805))</f>
        <v/>
      </c>
      <c r="D805">
        <f>IF(A805="","",SUMIF(Donasi!$B$2:$B$20000,A805,Donasi!$C$2:$C$20000))</f>
        <v/>
      </c>
      <c r="E805">
        <f>IF(A805="","",6-CEILING(PERCENTRANK.INC($B$3:$B$6000,B805,4)*5+0.000001,1))</f>
        <v/>
      </c>
      <c r="F805">
        <f>IF(A805="","",MAX(1,CEILING(PERCENTRANK.INC($C$3:$C$6000,C805,4)*5+0.000001,1)))</f>
        <v/>
      </c>
      <c r="G805">
        <f>IF(A805="","",MAX(1,CEILING(PERCENTRANK.INC($D$3:$D$6000,D805,4)*5+0.000001,1)))</f>
        <v/>
      </c>
      <c r="H805">
        <f>IF(A805="","",E805&amp;F805&amp;G805)</f>
        <v/>
      </c>
      <c r="I805">
        <f>IF(A805="","",IF(AND(E805&gt;=4,F805&gt;=4,G805&gt;=4),"Juara",IF(AND(F805&gt;=4,E805&gt;=3),"Setia",IF(AND(E805=5,F805&lt;=2,G805&gt;=3),"Berpotensi",IF(AND(E805&lt;=3,E805&gt;=2,F805&gt;=3),"Rawan",IF(AND(E805&lt;=2,F805&lt;=2),"Tidur","Umum"))))))</f>
        <v/>
      </c>
    </row>
    <row r="806">
      <c r="B806">
        <f>IF(A806="","",$B$1-MAXIFS(Donasi!$A$2:$A$20000,Donasi!$B$2:$B$20000,A806))</f>
        <v/>
      </c>
      <c r="C806">
        <f>IF(A806="","",COUNTIF(Donasi!$B$2:$B$20000,A806))</f>
        <v/>
      </c>
      <c r="D806">
        <f>IF(A806="","",SUMIF(Donasi!$B$2:$B$20000,A806,Donasi!$C$2:$C$20000))</f>
        <v/>
      </c>
      <c r="E806">
        <f>IF(A806="","",6-CEILING(PERCENTRANK.INC($B$3:$B$6000,B806,4)*5+0.000001,1))</f>
        <v/>
      </c>
      <c r="F806">
        <f>IF(A806="","",MAX(1,CEILING(PERCENTRANK.INC($C$3:$C$6000,C806,4)*5+0.000001,1)))</f>
        <v/>
      </c>
      <c r="G806">
        <f>IF(A806="","",MAX(1,CEILING(PERCENTRANK.INC($D$3:$D$6000,D806,4)*5+0.000001,1)))</f>
        <v/>
      </c>
      <c r="H806">
        <f>IF(A806="","",E806&amp;F806&amp;G806)</f>
        <v/>
      </c>
      <c r="I806">
        <f>IF(A806="","",IF(AND(E806&gt;=4,F806&gt;=4,G806&gt;=4),"Juara",IF(AND(F806&gt;=4,E806&gt;=3),"Setia",IF(AND(E806=5,F806&lt;=2,G806&gt;=3),"Berpotensi",IF(AND(E806&lt;=3,E806&gt;=2,F806&gt;=3),"Rawan",IF(AND(E806&lt;=2,F806&lt;=2),"Tidur","Umum"))))))</f>
        <v/>
      </c>
    </row>
    <row r="807">
      <c r="B807">
        <f>IF(A807="","",$B$1-MAXIFS(Donasi!$A$2:$A$20000,Donasi!$B$2:$B$20000,A807))</f>
        <v/>
      </c>
      <c r="C807">
        <f>IF(A807="","",COUNTIF(Donasi!$B$2:$B$20000,A807))</f>
        <v/>
      </c>
      <c r="D807">
        <f>IF(A807="","",SUMIF(Donasi!$B$2:$B$20000,A807,Donasi!$C$2:$C$20000))</f>
        <v/>
      </c>
      <c r="E807">
        <f>IF(A807="","",6-CEILING(PERCENTRANK.INC($B$3:$B$6000,B807,4)*5+0.000001,1))</f>
        <v/>
      </c>
      <c r="F807">
        <f>IF(A807="","",MAX(1,CEILING(PERCENTRANK.INC($C$3:$C$6000,C807,4)*5+0.000001,1)))</f>
        <v/>
      </c>
      <c r="G807">
        <f>IF(A807="","",MAX(1,CEILING(PERCENTRANK.INC($D$3:$D$6000,D807,4)*5+0.000001,1)))</f>
        <v/>
      </c>
      <c r="H807">
        <f>IF(A807="","",E807&amp;F807&amp;G807)</f>
        <v/>
      </c>
      <c r="I807">
        <f>IF(A807="","",IF(AND(E807&gt;=4,F807&gt;=4,G807&gt;=4),"Juara",IF(AND(F807&gt;=4,E807&gt;=3),"Setia",IF(AND(E807=5,F807&lt;=2,G807&gt;=3),"Berpotensi",IF(AND(E807&lt;=3,E807&gt;=2,F807&gt;=3),"Rawan",IF(AND(E807&lt;=2,F807&lt;=2),"Tidur","Umum"))))))</f>
        <v/>
      </c>
    </row>
    <row r="808">
      <c r="B808">
        <f>IF(A808="","",$B$1-MAXIFS(Donasi!$A$2:$A$20000,Donasi!$B$2:$B$20000,A808))</f>
        <v/>
      </c>
      <c r="C808">
        <f>IF(A808="","",COUNTIF(Donasi!$B$2:$B$20000,A808))</f>
        <v/>
      </c>
      <c r="D808">
        <f>IF(A808="","",SUMIF(Donasi!$B$2:$B$20000,A808,Donasi!$C$2:$C$20000))</f>
        <v/>
      </c>
      <c r="E808">
        <f>IF(A808="","",6-CEILING(PERCENTRANK.INC($B$3:$B$6000,B808,4)*5+0.000001,1))</f>
        <v/>
      </c>
      <c r="F808">
        <f>IF(A808="","",MAX(1,CEILING(PERCENTRANK.INC($C$3:$C$6000,C808,4)*5+0.000001,1)))</f>
        <v/>
      </c>
      <c r="G808">
        <f>IF(A808="","",MAX(1,CEILING(PERCENTRANK.INC($D$3:$D$6000,D808,4)*5+0.000001,1)))</f>
        <v/>
      </c>
      <c r="H808">
        <f>IF(A808="","",E808&amp;F808&amp;G808)</f>
        <v/>
      </c>
      <c r="I808">
        <f>IF(A808="","",IF(AND(E808&gt;=4,F808&gt;=4,G808&gt;=4),"Juara",IF(AND(F808&gt;=4,E808&gt;=3),"Setia",IF(AND(E808=5,F808&lt;=2,G808&gt;=3),"Berpotensi",IF(AND(E808&lt;=3,E808&gt;=2,F808&gt;=3),"Rawan",IF(AND(E808&lt;=2,F808&lt;=2),"Tidur","Umum"))))))</f>
        <v/>
      </c>
    </row>
    <row r="809">
      <c r="B809">
        <f>IF(A809="","",$B$1-MAXIFS(Donasi!$A$2:$A$20000,Donasi!$B$2:$B$20000,A809))</f>
        <v/>
      </c>
      <c r="C809">
        <f>IF(A809="","",COUNTIF(Donasi!$B$2:$B$20000,A809))</f>
        <v/>
      </c>
      <c r="D809">
        <f>IF(A809="","",SUMIF(Donasi!$B$2:$B$20000,A809,Donasi!$C$2:$C$20000))</f>
        <v/>
      </c>
      <c r="E809">
        <f>IF(A809="","",6-CEILING(PERCENTRANK.INC($B$3:$B$6000,B809,4)*5+0.000001,1))</f>
        <v/>
      </c>
      <c r="F809">
        <f>IF(A809="","",MAX(1,CEILING(PERCENTRANK.INC($C$3:$C$6000,C809,4)*5+0.000001,1)))</f>
        <v/>
      </c>
      <c r="G809">
        <f>IF(A809="","",MAX(1,CEILING(PERCENTRANK.INC($D$3:$D$6000,D809,4)*5+0.000001,1)))</f>
        <v/>
      </c>
      <c r="H809">
        <f>IF(A809="","",E809&amp;F809&amp;G809)</f>
        <v/>
      </c>
      <c r="I809">
        <f>IF(A809="","",IF(AND(E809&gt;=4,F809&gt;=4,G809&gt;=4),"Juara",IF(AND(F809&gt;=4,E809&gt;=3),"Setia",IF(AND(E809=5,F809&lt;=2,G809&gt;=3),"Berpotensi",IF(AND(E809&lt;=3,E809&gt;=2,F809&gt;=3),"Rawan",IF(AND(E809&lt;=2,F809&lt;=2),"Tidur","Umum"))))))</f>
        <v/>
      </c>
    </row>
    <row r="810">
      <c r="B810">
        <f>IF(A810="","",$B$1-MAXIFS(Donasi!$A$2:$A$20000,Donasi!$B$2:$B$20000,A810))</f>
        <v/>
      </c>
      <c r="C810">
        <f>IF(A810="","",COUNTIF(Donasi!$B$2:$B$20000,A810))</f>
        <v/>
      </c>
      <c r="D810">
        <f>IF(A810="","",SUMIF(Donasi!$B$2:$B$20000,A810,Donasi!$C$2:$C$20000))</f>
        <v/>
      </c>
      <c r="E810">
        <f>IF(A810="","",6-CEILING(PERCENTRANK.INC($B$3:$B$6000,B810,4)*5+0.000001,1))</f>
        <v/>
      </c>
      <c r="F810">
        <f>IF(A810="","",MAX(1,CEILING(PERCENTRANK.INC($C$3:$C$6000,C810,4)*5+0.000001,1)))</f>
        <v/>
      </c>
      <c r="G810">
        <f>IF(A810="","",MAX(1,CEILING(PERCENTRANK.INC($D$3:$D$6000,D810,4)*5+0.000001,1)))</f>
        <v/>
      </c>
      <c r="H810">
        <f>IF(A810="","",E810&amp;F810&amp;G810)</f>
        <v/>
      </c>
      <c r="I810">
        <f>IF(A810="","",IF(AND(E810&gt;=4,F810&gt;=4,G810&gt;=4),"Juara",IF(AND(F810&gt;=4,E810&gt;=3),"Setia",IF(AND(E810=5,F810&lt;=2,G810&gt;=3),"Berpotensi",IF(AND(E810&lt;=3,E810&gt;=2,F810&gt;=3),"Rawan",IF(AND(E810&lt;=2,F810&lt;=2),"Tidur","Umum"))))))</f>
        <v/>
      </c>
    </row>
    <row r="811">
      <c r="B811">
        <f>IF(A811="","",$B$1-MAXIFS(Donasi!$A$2:$A$20000,Donasi!$B$2:$B$20000,A811))</f>
        <v/>
      </c>
      <c r="C811">
        <f>IF(A811="","",COUNTIF(Donasi!$B$2:$B$20000,A811))</f>
        <v/>
      </c>
      <c r="D811">
        <f>IF(A811="","",SUMIF(Donasi!$B$2:$B$20000,A811,Donasi!$C$2:$C$20000))</f>
        <v/>
      </c>
      <c r="E811">
        <f>IF(A811="","",6-CEILING(PERCENTRANK.INC($B$3:$B$6000,B811,4)*5+0.000001,1))</f>
        <v/>
      </c>
      <c r="F811">
        <f>IF(A811="","",MAX(1,CEILING(PERCENTRANK.INC($C$3:$C$6000,C811,4)*5+0.000001,1)))</f>
        <v/>
      </c>
      <c r="G811">
        <f>IF(A811="","",MAX(1,CEILING(PERCENTRANK.INC($D$3:$D$6000,D811,4)*5+0.000001,1)))</f>
        <v/>
      </c>
      <c r="H811">
        <f>IF(A811="","",E811&amp;F811&amp;G811)</f>
        <v/>
      </c>
      <c r="I811">
        <f>IF(A811="","",IF(AND(E811&gt;=4,F811&gt;=4,G811&gt;=4),"Juara",IF(AND(F811&gt;=4,E811&gt;=3),"Setia",IF(AND(E811=5,F811&lt;=2,G811&gt;=3),"Berpotensi",IF(AND(E811&lt;=3,E811&gt;=2,F811&gt;=3),"Rawan",IF(AND(E811&lt;=2,F811&lt;=2),"Tidur","Umum"))))))</f>
        <v/>
      </c>
    </row>
    <row r="812">
      <c r="B812">
        <f>IF(A812="","",$B$1-MAXIFS(Donasi!$A$2:$A$20000,Donasi!$B$2:$B$20000,A812))</f>
        <v/>
      </c>
      <c r="C812">
        <f>IF(A812="","",COUNTIF(Donasi!$B$2:$B$20000,A812))</f>
        <v/>
      </c>
      <c r="D812">
        <f>IF(A812="","",SUMIF(Donasi!$B$2:$B$20000,A812,Donasi!$C$2:$C$20000))</f>
        <v/>
      </c>
      <c r="E812">
        <f>IF(A812="","",6-CEILING(PERCENTRANK.INC($B$3:$B$6000,B812,4)*5+0.000001,1))</f>
        <v/>
      </c>
      <c r="F812">
        <f>IF(A812="","",MAX(1,CEILING(PERCENTRANK.INC($C$3:$C$6000,C812,4)*5+0.000001,1)))</f>
        <v/>
      </c>
      <c r="G812">
        <f>IF(A812="","",MAX(1,CEILING(PERCENTRANK.INC($D$3:$D$6000,D812,4)*5+0.000001,1)))</f>
        <v/>
      </c>
      <c r="H812">
        <f>IF(A812="","",E812&amp;F812&amp;G812)</f>
        <v/>
      </c>
      <c r="I812">
        <f>IF(A812="","",IF(AND(E812&gt;=4,F812&gt;=4,G812&gt;=4),"Juara",IF(AND(F812&gt;=4,E812&gt;=3),"Setia",IF(AND(E812=5,F812&lt;=2,G812&gt;=3),"Berpotensi",IF(AND(E812&lt;=3,E812&gt;=2,F812&gt;=3),"Rawan",IF(AND(E812&lt;=2,F812&lt;=2),"Tidur","Umum"))))))</f>
        <v/>
      </c>
    </row>
    <row r="813">
      <c r="B813">
        <f>IF(A813="","",$B$1-MAXIFS(Donasi!$A$2:$A$20000,Donasi!$B$2:$B$20000,A813))</f>
        <v/>
      </c>
      <c r="C813">
        <f>IF(A813="","",COUNTIF(Donasi!$B$2:$B$20000,A813))</f>
        <v/>
      </c>
      <c r="D813">
        <f>IF(A813="","",SUMIF(Donasi!$B$2:$B$20000,A813,Donasi!$C$2:$C$20000))</f>
        <v/>
      </c>
      <c r="E813">
        <f>IF(A813="","",6-CEILING(PERCENTRANK.INC($B$3:$B$6000,B813,4)*5+0.000001,1))</f>
        <v/>
      </c>
      <c r="F813">
        <f>IF(A813="","",MAX(1,CEILING(PERCENTRANK.INC($C$3:$C$6000,C813,4)*5+0.000001,1)))</f>
        <v/>
      </c>
      <c r="G813">
        <f>IF(A813="","",MAX(1,CEILING(PERCENTRANK.INC($D$3:$D$6000,D813,4)*5+0.000001,1)))</f>
        <v/>
      </c>
      <c r="H813">
        <f>IF(A813="","",E813&amp;F813&amp;G813)</f>
        <v/>
      </c>
      <c r="I813">
        <f>IF(A813="","",IF(AND(E813&gt;=4,F813&gt;=4,G813&gt;=4),"Juara",IF(AND(F813&gt;=4,E813&gt;=3),"Setia",IF(AND(E813=5,F813&lt;=2,G813&gt;=3),"Berpotensi",IF(AND(E813&lt;=3,E813&gt;=2,F813&gt;=3),"Rawan",IF(AND(E813&lt;=2,F813&lt;=2),"Tidur","Umum"))))))</f>
        <v/>
      </c>
    </row>
    <row r="814">
      <c r="B814">
        <f>IF(A814="","",$B$1-MAXIFS(Donasi!$A$2:$A$20000,Donasi!$B$2:$B$20000,A814))</f>
        <v/>
      </c>
      <c r="C814">
        <f>IF(A814="","",COUNTIF(Donasi!$B$2:$B$20000,A814))</f>
        <v/>
      </c>
      <c r="D814">
        <f>IF(A814="","",SUMIF(Donasi!$B$2:$B$20000,A814,Donasi!$C$2:$C$20000))</f>
        <v/>
      </c>
      <c r="E814">
        <f>IF(A814="","",6-CEILING(PERCENTRANK.INC($B$3:$B$6000,B814,4)*5+0.000001,1))</f>
        <v/>
      </c>
      <c r="F814">
        <f>IF(A814="","",MAX(1,CEILING(PERCENTRANK.INC($C$3:$C$6000,C814,4)*5+0.000001,1)))</f>
        <v/>
      </c>
      <c r="G814">
        <f>IF(A814="","",MAX(1,CEILING(PERCENTRANK.INC($D$3:$D$6000,D814,4)*5+0.000001,1)))</f>
        <v/>
      </c>
      <c r="H814">
        <f>IF(A814="","",E814&amp;F814&amp;G814)</f>
        <v/>
      </c>
      <c r="I814">
        <f>IF(A814="","",IF(AND(E814&gt;=4,F814&gt;=4,G814&gt;=4),"Juara",IF(AND(F814&gt;=4,E814&gt;=3),"Setia",IF(AND(E814=5,F814&lt;=2,G814&gt;=3),"Berpotensi",IF(AND(E814&lt;=3,E814&gt;=2,F814&gt;=3),"Rawan",IF(AND(E814&lt;=2,F814&lt;=2),"Tidur","Umum"))))))</f>
        <v/>
      </c>
    </row>
    <row r="815">
      <c r="B815">
        <f>IF(A815="","",$B$1-MAXIFS(Donasi!$A$2:$A$20000,Donasi!$B$2:$B$20000,A815))</f>
        <v/>
      </c>
      <c r="C815">
        <f>IF(A815="","",COUNTIF(Donasi!$B$2:$B$20000,A815))</f>
        <v/>
      </c>
      <c r="D815">
        <f>IF(A815="","",SUMIF(Donasi!$B$2:$B$20000,A815,Donasi!$C$2:$C$20000))</f>
        <v/>
      </c>
      <c r="E815">
        <f>IF(A815="","",6-CEILING(PERCENTRANK.INC($B$3:$B$6000,B815,4)*5+0.000001,1))</f>
        <v/>
      </c>
      <c r="F815">
        <f>IF(A815="","",MAX(1,CEILING(PERCENTRANK.INC($C$3:$C$6000,C815,4)*5+0.000001,1)))</f>
        <v/>
      </c>
      <c r="G815">
        <f>IF(A815="","",MAX(1,CEILING(PERCENTRANK.INC($D$3:$D$6000,D815,4)*5+0.000001,1)))</f>
        <v/>
      </c>
      <c r="H815">
        <f>IF(A815="","",E815&amp;F815&amp;G815)</f>
        <v/>
      </c>
      <c r="I815">
        <f>IF(A815="","",IF(AND(E815&gt;=4,F815&gt;=4,G815&gt;=4),"Juara",IF(AND(F815&gt;=4,E815&gt;=3),"Setia",IF(AND(E815=5,F815&lt;=2,G815&gt;=3),"Berpotensi",IF(AND(E815&lt;=3,E815&gt;=2,F815&gt;=3),"Rawan",IF(AND(E815&lt;=2,F815&lt;=2),"Tidur","Umum"))))))</f>
        <v/>
      </c>
    </row>
    <row r="816">
      <c r="B816">
        <f>IF(A816="","",$B$1-MAXIFS(Donasi!$A$2:$A$20000,Donasi!$B$2:$B$20000,A816))</f>
        <v/>
      </c>
      <c r="C816">
        <f>IF(A816="","",COUNTIF(Donasi!$B$2:$B$20000,A816))</f>
        <v/>
      </c>
      <c r="D816">
        <f>IF(A816="","",SUMIF(Donasi!$B$2:$B$20000,A816,Donasi!$C$2:$C$20000))</f>
        <v/>
      </c>
      <c r="E816">
        <f>IF(A816="","",6-CEILING(PERCENTRANK.INC($B$3:$B$6000,B816,4)*5+0.000001,1))</f>
        <v/>
      </c>
      <c r="F816">
        <f>IF(A816="","",MAX(1,CEILING(PERCENTRANK.INC($C$3:$C$6000,C816,4)*5+0.000001,1)))</f>
        <v/>
      </c>
      <c r="G816">
        <f>IF(A816="","",MAX(1,CEILING(PERCENTRANK.INC($D$3:$D$6000,D816,4)*5+0.000001,1)))</f>
        <v/>
      </c>
      <c r="H816">
        <f>IF(A816="","",E816&amp;F816&amp;G816)</f>
        <v/>
      </c>
      <c r="I816">
        <f>IF(A816="","",IF(AND(E816&gt;=4,F816&gt;=4,G816&gt;=4),"Juara",IF(AND(F816&gt;=4,E816&gt;=3),"Setia",IF(AND(E816=5,F816&lt;=2,G816&gt;=3),"Berpotensi",IF(AND(E816&lt;=3,E816&gt;=2,F816&gt;=3),"Rawan",IF(AND(E816&lt;=2,F816&lt;=2),"Tidur","Umum"))))))</f>
        <v/>
      </c>
    </row>
    <row r="817">
      <c r="B817">
        <f>IF(A817="","",$B$1-MAXIFS(Donasi!$A$2:$A$20000,Donasi!$B$2:$B$20000,A817))</f>
        <v/>
      </c>
      <c r="C817">
        <f>IF(A817="","",COUNTIF(Donasi!$B$2:$B$20000,A817))</f>
        <v/>
      </c>
      <c r="D817">
        <f>IF(A817="","",SUMIF(Donasi!$B$2:$B$20000,A817,Donasi!$C$2:$C$20000))</f>
        <v/>
      </c>
      <c r="E817">
        <f>IF(A817="","",6-CEILING(PERCENTRANK.INC($B$3:$B$6000,B817,4)*5+0.000001,1))</f>
        <v/>
      </c>
      <c r="F817">
        <f>IF(A817="","",MAX(1,CEILING(PERCENTRANK.INC($C$3:$C$6000,C817,4)*5+0.000001,1)))</f>
        <v/>
      </c>
      <c r="G817">
        <f>IF(A817="","",MAX(1,CEILING(PERCENTRANK.INC($D$3:$D$6000,D817,4)*5+0.000001,1)))</f>
        <v/>
      </c>
      <c r="H817">
        <f>IF(A817="","",E817&amp;F817&amp;G817)</f>
        <v/>
      </c>
      <c r="I817">
        <f>IF(A817="","",IF(AND(E817&gt;=4,F817&gt;=4,G817&gt;=4),"Juara",IF(AND(F817&gt;=4,E817&gt;=3),"Setia",IF(AND(E817=5,F817&lt;=2,G817&gt;=3),"Berpotensi",IF(AND(E817&lt;=3,E817&gt;=2,F817&gt;=3),"Rawan",IF(AND(E817&lt;=2,F817&lt;=2),"Tidur","Umum"))))))</f>
        <v/>
      </c>
    </row>
    <row r="818">
      <c r="B818">
        <f>IF(A818="","",$B$1-MAXIFS(Donasi!$A$2:$A$20000,Donasi!$B$2:$B$20000,A818))</f>
        <v/>
      </c>
      <c r="C818">
        <f>IF(A818="","",COUNTIF(Donasi!$B$2:$B$20000,A818))</f>
        <v/>
      </c>
      <c r="D818">
        <f>IF(A818="","",SUMIF(Donasi!$B$2:$B$20000,A818,Donasi!$C$2:$C$20000))</f>
        <v/>
      </c>
      <c r="E818">
        <f>IF(A818="","",6-CEILING(PERCENTRANK.INC($B$3:$B$6000,B818,4)*5+0.000001,1))</f>
        <v/>
      </c>
      <c r="F818">
        <f>IF(A818="","",MAX(1,CEILING(PERCENTRANK.INC($C$3:$C$6000,C818,4)*5+0.000001,1)))</f>
        <v/>
      </c>
      <c r="G818">
        <f>IF(A818="","",MAX(1,CEILING(PERCENTRANK.INC($D$3:$D$6000,D818,4)*5+0.000001,1)))</f>
        <v/>
      </c>
      <c r="H818">
        <f>IF(A818="","",E818&amp;F818&amp;G818)</f>
        <v/>
      </c>
      <c r="I818">
        <f>IF(A818="","",IF(AND(E818&gt;=4,F818&gt;=4,G818&gt;=4),"Juara",IF(AND(F818&gt;=4,E818&gt;=3),"Setia",IF(AND(E818=5,F818&lt;=2,G818&gt;=3),"Berpotensi",IF(AND(E818&lt;=3,E818&gt;=2,F818&gt;=3),"Rawan",IF(AND(E818&lt;=2,F818&lt;=2),"Tidur","Umum"))))))</f>
        <v/>
      </c>
    </row>
    <row r="819">
      <c r="B819">
        <f>IF(A819="","",$B$1-MAXIFS(Donasi!$A$2:$A$20000,Donasi!$B$2:$B$20000,A819))</f>
        <v/>
      </c>
      <c r="C819">
        <f>IF(A819="","",COUNTIF(Donasi!$B$2:$B$20000,A819))</f>
        <v/>
      </c>
      <c r="D819">
        <f>IF(A819="","",SUMIF(Donasi!$B$2:$B$20000,A819,Donasi!$C$2:$C$20000))</f>
        <v/>
      </c>
      <c r="E819">
        <f>IF(A819="","",6-CEILING(PERCENTRANK.INC($B$3:$B$6000,B819,4)*5+0.000001,1))</f>
        <v/>
      </c>
      <c r="F819">
        <f>IF(A819="","",MAX(1,CEILING(PERCENTRANK.INC($C$3:$C$6000,C819,4)*5+0.000001,1)))</f>
        <v/>
      </c>
      <c r="G819">
        <f>IF(A819="","",MAX(1,CEILING(PERCENTRANK.INC($D$3:$D$6000,D819,4)*5+0.000001,1)))</f>
        <v/>
      </c>
      <c r="H819">
        <f>IF(A819="","",E819&amp;F819&amp;G819)</f>
        <v/>
      </c>
      <c r="I819">
        <f>IF(A819="","",IF(AND(E819&gt;=4,F819&gt;=4,G819&gt;=4),"Juara",IF(AND(F819&gt;=4,E819&gt;=3),"Setia",IF(AND(E819=5,F819&lt;=2,G819&gt;=3),"Berpotensi",IF(AND(E819&lt;=3,E819&gt;=2,F819&gt;=3),"Rawan",IF(AND(E819&lt;=2,F819&lt;=2),"Tidur","Umum"))))))</f>
        <v/>
      </c>
    </row>
    <row r="820">
      <c r="B820">
        <f>IF(A820="","",$B$1-MAXIFS(Donasi!$A$2:$A$20000,Donasi!$B$2:$B$20000,A820))</f>
        <v/>
      </c>
      <c r="C820">
        <f>IF(A820="","",COUNTIF(Donasi!$B$2:$B$20000,A820))</f>
        <v/>
      </c>
      <c r="D820">
        <f>IF(A820="","",SUMIF(Donasi!$B$2:$B$20000,A820,Donasi!$C$2:$C$20000))</f>
        <v/>
      </c>
      <c r="E820">
        <f>IF(A820="","",6-CEILING(PERCENTRANK.INC($B$3:$B$6000,B820,4)*5+0.000001,1))</f>
        <v/>
      </c>
      <c r="F820">
        <f>IF(A820="","",MAX(1,CEILING(PERCENTRANK.INC($C$3:$C$6000,C820,4)*5+0.000001,1)))</f>
        <v/>
      </c>
      <c r="G820">
        <f>IF(A820="","",MAX(1,CEILING(PERCENTRANK.INC($D$3:$D$6000,D820,4)*5+0.000001,1)))</f>
        <v/>
      </c>
      <c r="H820">
        <f>IF(A820="","",E820&amp;F820&amp;G820)</f>
        <v/>
      </c>
      <c r="I820">
        <f>IF(A820="","",IF(AND(E820&gt;=4,F820&gt;=4,G820&gt;=4),"Juara",IF(AND(F820&gt;=4,E820&gt;=3),"Setia",IF(AND(E820=5,F820&lt;=2,G820&gt;=3),"Berpotensi",IF(AND(E820&lt;=3,E820&gt;=2,F820&gt;=3),"Rawan",IF(AND(E820&lt;=2,F820&lt;=2),"Tidur","Umum"))))))</f>
        <v/>
      </c>
    </row>
    <row r="821">
      <c r="B821">
        <f>IF(A821="","",$B$1-MAXIFS(Donasi!$A$2:$A$20000,Donasi!$B$2:$B$20000,A821))</f>
        <v/>
      </c>
      <c r="C821">
        <f>IF(A821="","",COUNTIF(Donasi!$B$2:$B$20000,A821))</f>
        <v/>
      </c>
      <c r="D821">
        <f>IF(A821="","",SUMIF(Donasi!$B$2:$B$20000,A821,Donasi!$C$2:$C$20000))</f>
        <v/>
      </c>
      <c r="E821">
        <f>IF(A821="","",6-CEILING(PERCENTRANK.INC($B$3:$B$6000,B821,4)*5+0.000001,1))</f>
        <v/>
      </c>
      <c r="F821">
        <f>IF(A821="","",MAX(1,CEILING(PERCENTRANK.INC($C$3:$C$6000,C821,4)*5+0.000001,1)))</f>
        <v/>
      </c>
      <c r="G821">
        <f>IF(A821="","",MAX(1,CEILING(PERCENTRANK.INC($D$3:$D$6000,D821,4)*5+0.000001,1)))</f>
        <v/>
      </c>
      <c r="H821">
        <f>IF(A821="","",E821&amp;F821&amp;G821)</f>
        <v/>
      </c>
      <c r="I821">
        <f>IF(A821="","",IF(AND(E821&gt;=4,F821&gt;=4,G821&gt;=4),"Juara",IF(AND(F821&gt;=4,E821&gt;=3),"Setia",IF(AND(E821=5,F821&lt;=2,G821&gt;=3),"Berpotensi",IF(AND(E821&lt;=3,E821&gt;=2,F821&gt;=3),"Rawan",IF(AND(E821&lt;=2,F821&lt;=2),"Tidur","Umum"))))))</f>
        <v/>
      </c>
    </row>
    <row r="822">
      <c r="B822">
        <f>IF(A822="","",$B$1-MAXIFS(Donasi!$A$2:$A$20000,Donasi!$B$2:$B$20000,A822))</f>
        <v/>
      </c>
      <c r="C822">
        <f>IF(A822="","",COUNTIF(Donasi!$B$2:$B$20000,A822))</f>
        <v/>
      </c>
      <c r="D822">
        <f>IF(A822="","",SUMIF(Donasi!$B$2:$B$20000,A822,Donasi!$C$2:$C$20000))</f>
        <v/>
      </c>
      <c r="E822">
        <f>IF(A822="","",6-CEILING(PERCENTRANK.INC($B$3:$B$6000,B822,4)*5+0.000001,1))</f>
        <v/>
      </c>
      <c r="F822">
        <f>IF(A822="","",MAX(1,CEILING(PERCENTRANK.INC($C$3:$C$6000,C822,4)*5+0.000001,1)))</f>
        <v/>
      </c>
      <c r="G822">
        <f>IF(A822="","",MAX(1,CEILING(PERCENTRANK.INC($D$3:$D$6000,D822,4)*5+0.000001,1)))</f>
        <v/>
      </c>
      <c r="H822">
        <f>IF(A822="","",E822&amp;F822&amp;G822)</f>
        <v/>
      </c>
      <c r="I822">
        <f>IF(A822="","",IF(AND(E822&gt;=4,F822&gt;=4,G822&gt;=4),"Juara",IF(AND(F822&gt;=4,E822&gt;=3),"Setia",IF(AND(E822=5,F822&lt;=2,G822&gt;=3),"Berpotensi",IF(AND(E822&lt;=3,E822&gt;=2,F822&gt;=3),"Rawan",IF(AND(E822&lt;=2,F822&lt;=2),"Tidur","Umum"))))))</f>
        <v/>
      </c>
    </row>
    <row r="823">
      <c r="B823">
        <f>IF(A823="","",$B$1-MAXIFS(Donasi!$A$2:$A$20000,Donasi!$B$2:$B$20000,A823))</f>
        <v/>
      </c>
      <c r="C823">
        <f>IF(A823="","",COUNTIF(Donasi!$B$2:$B$20000,A823))</f>
        <v/>
      </c>
      <c r="D823">
        <f>IF(A823="","",SUMIF(Donasi!$B$2:$B$20000,A823,Donasi!$C$2:$C$20000))</f>
        <v/>
      </c>
      <c r="E823">
        <f>IF(A823="","",6-CEILING(PERCENTRANK.INC($B$3:$B$6000,B823,4)*5+0.000001,1))</f>
        <v/>
      </c>
      <c r="F823">
        <f>IF(A823="","",MAX(1,CEILING(PERCENTRANK.INC($C$3:$C$6000,C823,4)*5+0.000001,1)))</f>
        <v/>
      </c>
      <c r="G823">
        <f>IF(A823="","",MAX(1,CEILING(PERCENTRANK.INC($D$3:$D$6000,D823,4)*5+0.000001,1)))</f>
        <v/>
      </c>
      <c r="H823">
        <f>IF(A823="","",E823&amp;F823&amp;G823)</f>
        <v/>
      </c>
      <c r="I823">
        <f>IF(A823="","",IF(AND(E823&gt;=4,F823&gt;=4,G823&gt;=4),"Juara",IF(AND(F823&gt;=4,E823&gt;=3),"Setia",IF(AND(E823=5,F823&lt;=2,G823&gt;=3),"Berpotensi",IF(AND(E823&lt;=3,E823&gt;=2,F823&gt;=3),"Rawan",IF(AND(E823&lt;=2,F823&lt;=2),"Tidur","Umum"))))))</f>
        <v/>
      </c>
    </row>
    <row r="824">
      <c r="B824">
        <f>IF(A824="","",$B$1-MAXIFS(Donasi!$A$2:$A$20000,Donasi!$B$2:$B$20000,A824))</f>
        <v/>
      </c>
      <c r="C824">
        <f>IF(A824="","",COUNTIF(Donasi!$B$2:$B$20000,A824))</f>
        <v/>
      </c>
      <c r="D824">
        <f>IF(A824="","",SUMIF(Donasi!$B$2:$B$20000,A824,Donasi!$C$2:$C$20000))</f>
        <v/>
      </c>
      <c r="E824">
        <f>IF(A824="","",6-CEILING(PERCENTRANK.INC($B$3:$B$6000,B824,4)*5+0.000001,1))</f>
        <v/>
      </c>
      <c r="F824">
        <f>IF(A824="","",MAX(1,CEILING(PERCENTRANK.INC($C$3:$C$6000,C824,4)*5+0.000001,1)))</f>
        <v/>
      </c>
      <c r="G824">
        <f>IF(A824="","",MAX(1,CEILING(PERCENTRANK.INC($D$3:$D$6000,D824,4)*5+0.000001,1)))</f>
        <v/>
      </c>
      <c r="H824">
        <f>IF(A824="","",E824&amp;F824&amp;G824)</f>
        <v/>
      </c>
      <c r="I824">
        <f>IF(A824="","",IF(AND(E824&gt;=4,F824&gt;=4,G824&gt;=4),"Juara",IF(AND(F824&gt;=4,E824&gt;=3),"Setia",IF(AND(E824=5,F824&lt;=2,G824&gt;=3),"Berpotensi",IF(AND(E824&lt;=3,E824&gt;=2,F824&gt;=3),"Rawan",IF(AND(E824&lt;=2,F824&lt;=2),"Tidur","Umum"))))))</f>
        <v/>
      </c>
    </row>
    <row r="825">
      <c r="B825">
        <f>IF(A825="","",$B$1-MAXIFS(Donasi!$A$2:$A$20000,Donasi!$B$2:$B$20000,A825))</f>
        <v/>
      </c>
      <c r="C825">
        <f>IF(A825="","",COUNTIF(Donasi!$B$2:$B$20000,A825))</f>
        <v/>
      </c>
      <c r="D825">
        <f>IF(A825="","",SUMIF(Donasi!$B$2:$B$20000,A825,Donasi!$C$2:$C$20000))</f>
        <v/>
      </c>
      <c r="E825">
        <f>IF(A825="","",6-CEILING(PERCENTRANK.INC($B$3:$B$6000,B825,4)*5+0.000001,1))</f>
        <v/>
      </c>
      <c r="F825">
        <f>IF(A825="","",MAX(1,CEILING(PERCENTRANK.INC($C$3:$C$6000,C825,4)*5+0.000001,1)))</f>
        <v/>
      </c>
      <c r="G825">
        <f>IF(A825="","",MAX(1,CEILING(PERCENTRANK.INC($D$3:$D$6000,D825,4)*5+0.000001,1)))</f>
        <v/>
      </c>
      <c r="H825">
        <f>IF(A825="","",E825&amp;F825&amp;G825)</f>
        <v/>
      </c>
      <c r="I825">
        <f>IF(A825="","",IF(AND(E825&gt;=4,F825&gt;=4,G825&gt;=4),"Juara",IF(AND(F825&gt;=4,E825&gt;=3),"Setia",IF(AND(E825=5,F825&lt;=2,G825&gt;=3),"Berpotensi",IF(AND(E825&lt;=3,E825&gt;=2,F825&gt;=3),"Rawan",IF(AND(E825&lt;=2,F825&lt;=2),"Tidur","Umum"))))))</f>
        <v/>
      </c>
    </row>
    <row r="826">
      <c r="B826">
        <f>IF(A826="","",$B$1-MAXIFS(Donasi!$A$2:$A$20000,Donasi!$B$2:$B$20000,A826))</f>
        <v/>
      </c>
      <c r="C826">
        <f>IF(A826="","",COUNTIF(Donasi!$B$2:$B$20000,A826))</f>
        <v/>
      </c>
      <c r="D826">
        <f>IF(A826="","",SUMIF(Donasi!$B$2:$B$20000,A826,Donasi!$C$2:$C$20000))</f>
        <v/>
      </c>
      <c r="E826">
        <f>IF(A826="","",6-CEILING(PERCENTRANK.INC($B$3:$B$6000,B826,4)*5+0.000001,1))</f>
        <v/>
      </c>
      <c r="F826">
        <f>IF(A826="","",MAX(1,CEILING(PERCENTRANK.INC($C$3:$C$6000,C826,4)*5+0.000001,1)))</f>
        <v/>
      </c>
      <c r="G826">
        <f>IF(A826="","",MAX(1,CEILING(PERCENTRANK.INC($D$3:$D$6000,D826,4)*5+0.000001,1)))</f>
        <v/>
      </c>
      <c r="H826">
        <f>IF(A826="","",E826&amp;F826&amp;G826)</f>
        <v/>
      </c>
      <c r="I826">
        <f>IF(A826="","",IF(AND(E826&gt;=4,F826&gt;=4,G826&gt;=4),"Juara",IF(AND(F826&gt;=4,E826&gt;=3),"Setia",IF(AND(E826=5,F826&lt;=2,G826&gt;=3),"Berpotensi",IF(AND(E826&lt;=3,E826&gt;=2,F826&gt;=3),"Rawan",IF(AND(E826&lt;=2,F826&lt;=2),"Tidur","Umum"))))))</f>
        <v/>
      </c>
    </row>
    <row r="827">
      <c r="B827">
        <f>IF(A827="","",$B$1-MAXIFS(Donasi!$A$2:$A$20000,Donasi!$B$2:$B$20000,A827))</f>
        <v/>
      </c>
      <c r="C827">
        <f>IF(A827="","",COUNTIF(Donasi!$B$2:$B$20000,A827))</f>
        <v/>
      </c>
      <c r="D827">
        <f>IF(A827="","",SUMIF(Donasi!$B$2:$B$20000,A827,Donasi!$C$2:$C$20000))</f>
        <v/>
      </c>
      <c r="E827">
        <f>IF(A827="","",6-CEILING(PERCENTRANK.INC($B$3:$B$6000,B827,4)*5+0.000001,1))</f>
        <v/>
      </c>
      <c r="F827">
        <f>IF(A827="","",MAX(1,CEILING(PERCENTRANK.INC($C$3:$C$6000,C827,4)*5+0.000001,1)))</f>
        <v/>
      </c>
      <c r="G827">
        <f>IF(A827="","",MAX(1,CEILING(PERCENTRANK.INC($D$3:$D$6000,D827,4)*5+0.000001,1)))</f>
        <v/>
      </c>
      <c r="H827">
        <f>IF(A827="","",E827&amp;F827&amp;G827)</f>
        <v/>
      </c>
      <c r="I827">
        <f>IF(A827="","",IF(AND(E827&gt;=4,F827&gt;=4,G827&gt;=4),"Juara",IF(AND(F827&gt;=4,E827&gt;=3),"Setia",IF(AND(E827=5,F827&lt;=2,G827&gt;=3),"Berpotensi",IF(AND(E827&lt;=3,E827&gt;=2,F827&gt;=3),"Rawan",IF(AND(E827&lt;=2,F827&lt;=2),"Tidur","Umum"))))))</f>
        <v/>
      </c>
    </row>
    <row r="828">
      <c r="B828">
        <f>IF(A828="","",$B$1-MAXIFS(Donasi!$A$2:$A$20000,Donasi!$B$2:$B$20000,A828))</f>
        <v/>
      </c>
      <c r="C828">
        <f>IF(A828="","",COUNTIF(Donasi!$B$2:$B$20000,A828))</f>
        <v/>
      </c>
      <c r="D828">
        <f>IF(A828="","",SUMIF(Donasi!$B$2:$B$20000,A828,Donasi!$C$2:$C$20000))</f>
        <v/>
      </c>
      <c r="E828">
        <f>IF(A828="","",6-CEILING(PERCENTRANK.INC($B$3:$B$6000,B828,4)*5+0.000001,1))</f>
        <v/>
      </c>
      <c r="F828">
        <f>IF(A828="","",MAX(1,CEILING(PERCENTRANK.INC($C$3:$C$6000,C828,4)*5+0.000001,1)))</f>
        <v/>
      </c>
      <c r="G828">
        <f>IF(A828="","",MAX(1,CEILING(PERCENTRANK.INC($D$3:$D$6000,D828,4)*5+0.000001,1)))</f>
        <v/>
      </c>
      <c r="H828">
        <f>IF(A828="","",E828&amp;F828&amp;G828)</f>
        <v/>
      </c>
      <c r="I828">
        <f>IF(A828="","",IF(AND(E828&gt;=4,F828&gt;=4,G828&gt;=4),"Juara",IF(AND(F828&gt;=4,E828&gt;=3),"Setia",IF(AND(E828=5,F828&lt;=2,G828&gt;=3),"Berpotensi",IF(AND(E828&lt;=3,E828&gt;=2,F828&gt;=3),"Rawan",IF(AND(E828&lt;=2,F828&lt;=2),"Tidur","Umum"))))))</f>
        <v/>
      </c>
    </row>
    <row r="829">
      <c r="B829">
        <f>IF(A829="","",$B$1-MAXIFS(Donasi!$A$2:$A$20000,Donasi!$B$2:$B$20000,A829))</f>
        <v/>
      </c>
      <c r="C829">
        <f>IF(A829="","",COUNTIF(Donasi!$B$2:$B$20000,A829))</f>
        <v/>
      </c>
      <c r="D829">
        <f>IF(A829="","",SUMIF(Donasi!$B$2:$B$20000,A829,Donasi!$C$2:$C$20000))</f>
        <v/>
      </c>
      <c r="E829">
        <f>IF(A829="","",6-CEILING(PERCENTRANK.INC($B$3:$B$6000,B829,4)*5+0.000001,1))</f>
        <v/>
      </c>
      <c r="F829">
        <f>IF(A829="","",MAX(1,CEILING(PERCENTRANK.INC($C$3:$C$6000,C829,4)*5+0.000001,1)))</f>
        <v/>
      </c>
      <c r="G829">
        <f>IF(A829="","",MAX(1,CEILING(PERCENTRANK.INC($D$3:$D$6000,D829,4)*5+0.000001,1)))</f>
        <v/>
      </c>
      <c r="H829">
        <f>IF(A829="","",E829&amp;F829&amp;G829)</f>
        <v/>
      </c>
      <c r="I829">
        <f>IF(A829="","",IF(AND(E829&gt;=4,F829&gt;=4,G829&gt;=4),"Juara",IF(AND(F829&gt;=4,E829&gt;=3),"Setia",IF(AND(E829=5,F829&lt;=2,G829&gt;=3),"Berpotensi",IF(AND(E829&lt;=3,E829&gt;=2,F829&gt;=3),"Rawan",IF(AND(E829&lt;=2,F829&lt;=2),"Tidur","Umum"))))))</f>
        <v/>
      </c>
    </row>
    <row r="830">
      <c r="B830">
        <f>IF(A830="","",$B$1-MAXIFS(Donasi!$A$2:$A$20000,Donasi!$B$2:$B$20000,A830))</f>
        <v/>
      </c>
      <c r="C830">
        <f>IF(A830="","",COUNTIF(Donasi!$B$2:$B$20000,A830))</f>
        <v/>
      </c>
      <c r="D830">
        <f>IF(A830="","",SUMIF(Donasi!$B$2:$B$20000,A830,Donasi!$C$2:$C$20000))</f>
        <v/>
      </c>
      <c r="E830">
        <f>IF(A830="","",6-CEILING(PERCENTRANK.INC($B$3:$B$6000,B830,4)*5+0.000001,1))</f>
        <v/>
      </c>
      <c r="F830">
        <f>IF(A830="","",MAX(1,CEILING(PERCENTRANK.INC($C$3:$C$6000,C830,4)*5+0.000001,1)))</f>
        <v/>
      </c>
      <c r="G830">
        <f>IF(A830="","",MAX(1,CEILING(PERCENTRANK.INC($D$3:$D$6000,D830,4)*5+0.000001,1)))</f>
        <v/>
      </c>
      <c r="H830">
        <f>IF(A830="","",E830&amp;F830&amp;G830)</f>
        <v/>
      </c>
      <c r="I830">
        <f>IF(A830="","",IF(AND(E830&gt;=4,F830&gt;=4,G830&gt;=4),"Juara",IF(AND(F830&gt;=4,E830&gt;=3),"Setia",IF(AND(E830=5,F830&lt;=2,G830&gt;=3),"Berpotensi",IF(AND(E830&lt;=3,E830&gt;=2,F830&gt;=3),"Rawan",IF(AND(E830&lt;=2,F830&lt;=2),"Tidur","Umum"))))))</f>
        <v/>
      </c>
    </row>
    <row r="831">
      <c r="B831">
        <f>IF(A831="","",$B$1-MAXIFS(Donasi!$A$2:$A$20000,Donasi!$B$2:$B$20000,A831))</f>
        <v/>
      </c>
      <c r="C831">
        <f>IF(A831="","",COUNTIF(Donasi!$B$2:$B$20000,A831))</f>
        <v/>
      </c>
      <c r="D831">
        <f>IF(A831="","",SUMIF(Donasi!$B$2:$B$20000,A831,Donasi!$C$2:$C$20000))</f>
        <v/>
      </c>
      <c r="E831">
        <f>IF(A831="","",6-CEILING(PERCENTRANK.INC($B$3:$B$6000,B831,4)*5+0.000001,1))</f>
        <v/>
      </c>
      <c r="F831">
        <f>IF(A831="","",MAX(1,CEILING(PERCENTRANK.INC($C$3:$C$6000,C831,4)*5+0.000001,1)))</f>
        <v/>
      </c>
      <c r="G831">
        <f>IF(A831="","",MAX(1,CEILING(PERCENTRANK.INC($D$3:$D$6000,D831,4)*5+0.000001,1)))</f>
        <v/>
      </c>
      <c r="H831">
        <f>IF(A831="","",E831&amp;F831&amp;G831)</f>
        <v/>
      </c>
      <c r="I831">
        <f>IF(A831="","",IF(AND(E831&gt;=4,F831&gt;=4,G831&gt;=4),"Juara",IF(AND(F831&gt;=4,E831&gt;=3),"Setia",IF(AND(E831=5,F831&lt;=2,G831&gt;=3),"Berpotensi",IF(AND(E831&lt;=3,E831&gt;=2,F831&gt;=3),"Rawan",IF(AND(E831&lt;=2,F831&lt;=2),"Tidur","Umum"))))))</f>
        <v/>
      </c>
    </row>
    <row r="832">
      <c r="B832">
        <f>IF(A832="","",$B$1-MAXIFS(Donasi!$A$2:$A$20000,Donasi!$B$2:$B$20000,A832))</f>
        <v/>
      </c>
      <c r="C832">
        <f>IF(A832="","",COUNTIF(Donasi!$B$2:$B$20000,A832))</f>
        <v/>
      </c>
      <c r="D832">
        <f>IF(A832="","",SUMIF(Donasi!$B$2:$B$20000,A832,Donasi!$C$2:$C$20000))</f>
        <v/>
      </c>
      <c r="E832">
        <f>IF(A832="","",6-CEILING(PERCENTRANK.INC($B$3:$B$6000,B832,4)*5+0.000001,1))</f>
        <v/>
      </c>
      <c r="F832">
        <f>IF(A832="","",MAX(1,CEILING(PERCENTRANK.INC($C$3:$C$6000,C832,4)*5+0.000001,1)))</f>
        <v/>
      </c>
      <c r="G832">
        <f>IF(A832="","",MAX(1,CEILING(PERCENTRANK.INC($D$3:$D$6000,D832,4)*5+0.000001,1)))</f>
        <v/>
      </c>
      <c r="H832">
        <f>IF(A832="","",E832&amp;F832&amp;G832)</f>
        <v/>
      </c>
      <c r="I832">
        <f>IF(A832="","",IF(AND(E832&gt;=4,F832&gt;=4,G832&gt;=4),"Juara",IF(AND(F832&gt;=4,E832&gt;=3),"Setia",IF(AND(E832=5,F832&lt;=2,G832&gt;=3),"Berpotensi",IF(AND(E832&lt;=3,E832&gt;=2,F832&gt;=3),"Rawan",IF(AND(E832&lt;=2,F832&lt;=2),"Tidur","Umum"))))))</f>
        <v/>
      </c>
    </row>
    <row r="833">
      <c r="B833">
        <f>IF(A833="","",$B$1-MAXIFS(Donasi!$A$2:$A$20000,Donasi!$B$2:$B$20000,A833))</f>
        <v/>
      </c>
      <c r="C833">
        <f>IF(A833="","",COUNTIF(Donasi!$B$2:$B$20000,A833))</f>
        <v/>
      </c>
      <c r="D833">
        <f>IF(A833="","",SUMIF(Donasi!$B$2:$B$20000,A833,Donasi!$C$2:$C$20000))</f>
        <v/>
      </c>
      <c r="E833">
        <f>IF(A833="","",6-CEILING(PERCENTRANK.INC($B$3:$B$6000,B833,4)*5+0.000001,1))</f>
        <v/>
      </c>
      <c r="F833">
        <f>IF(A833="","",MAX(1,CEILING(PERCENTRANK.INC($C$3:$C$6000,C833,4)*5+0.000001,1)))</f>
        <v/>
      </c>
      <c r="G833">
        <f>IF(A833="","",MAX(1,CEILING(PERCENTRANK.INC($D$3:$D$6000,D833,4)*5+0.000001,1)))</f>
        <v/>
      </c>
      <c r="H833">
        <f>IF(A833="","",E833&amp;F833&amp;G833)</f>
        <v/>
      </c>
      <c r="I833">
        <f>IF(A833="","",IF(AND(E833&gt;=4,F833&gt;=4,G833&gt;=4),"Juara",IF(AND(F833&gt;=4,E833&gt;=3),"Setia",IF(AND(E833=5,F833&lt;=2,G833&gt;=3),"Berpotensi",IF(AND(E833&lt;=3,E833&gt;=2,F833&gt;=3),"Rawan",IF(AND(E833&lt;=2,F833&lt;=2),"Tidur","Umum"))))))</f>
        <v/>
      </c>
    </row>
    <row r="834">
      <c r="B834">
        <f>IF(A834="","",$B$1-MAXIFS(Donasi!$A$2:$A$20000,Donasi!$B$2:$B$20000,A834))</f>
        <v/>
      </c>
      <c r="C834">
        <f>IF(A834="","",COUNTIF(Donasi!$B$2:$B$20000,A834))</f>
        <v/>
      </c>
      <c r="D834">
        <f>IF(A834="","",SUMIF(Donasi!$B$2:$B$20000,A834,Donasi!$C$2:$C$20000))</f>
        <v/>
      </c>
      <c r="E834">
        <f>IF(A834="","",6-CEILING(PERCENTRANK.INC($B$3:$B$6000,B834,4)*5+0.000001,1))</f>
        <v/>
      </c>
      <c r="F834">
        <f>IF(A834="","",MAX(1,CEILING(PERCENTRANK.INC($C$3:$C$6000,C834,4)*5+0.000001,1)))</f>
        <v/>
      </c>
      <c r="G834">
        <f>IF(A834="","",MAX(1,CEILING(PERCENTRANK.INC($D$3:$D$6000,D834,4)*5+0.000001,1)))</f>
        <v/>
      </c>
      <c r="H834">
        <f>IF(A834="","",E834&amp;F834&amp;G834)</f>
        <v/>
      </c>
      <c r="I834">
        <f>IF(A834="","",IF(AND(E834&gt;=4,F834&gt;=4,G834&gt;=4),"Juara",IF(AND(F834&gt;=4,E834&gt;=3),"Setia",IF(AND(E834=5,F834&lt;=2,G834&gt;=3),"Berpotensi",IF(AND(E834&lt;=3,E834&gt;=2,F834&gt;=3),"Rawan",IF(AND(E834&lt;=2,F834&lt;=2),"Tidur","Umum"))))))</f>
        <v/>
      </c>
    </row>
    <row r="835">
      <c r="B835">
        <f>IF(A835="","",$B$1-MAXIFS(Donasi!$A$2:$A$20000,Donasi!$B$2:$B$20000,A835))</f>
        <v/>
      </c>
      <c r="C835">
        <f>IF(A835="","",COUNTIF(Donasi!$B$2:$B$20000,A835))</f>
        <v/>
      </c>
      <c r="D835">
        <f>IF(A835="","",SUMIF(Donasi!$B$2:$B$20000,A835,Donasi!$C$2:$C$20000))</f>
        <v/>
      </c>
      <c r="E835">
        <f>IF(A835="","",6-CEILING(PERCENTRANK.INC($B$3:$B$6000,B835,4)*5+0.000001,1))</f>
        <v/>
      </c>
      <c r="F835">
        <f>IF(A835="","",MAX(1,CEILING(PERCENTRANK.INC($C$3:$C$6000,C835,4)*5+0.000001,1)))</f>
        <v/>
      </c>
      <c r="G835">
        <f>IF(A835="","",MAX(1,CEILING(PERCENTRANK.INC($D$3:$D$6000,D835,4)*5+0.000001,1)))</f>
        <v/>
      </c>
      <c r="H835">
        <f>IF(A835="","",E835&amp;F835&amp;G835)</f>
        <v/>
      </c>
      <c r="I835">
        <f>IF(A835="","",IF(AND(E835&gt;=4,F835&gt;=4,G835&gt;=4),"Juara",IF(AND(F835&gt;=4,E835&gt;=3),"Setia",IF(AND(E835=5,F835&lt;=2,G835&gt;=3),"Berpotensi",IF(AND(E835&lt;=3,E835&gt;=2,F835&gt;=3),"Rawan",IF(AND(E835&lt;=2,F835&lt;=2),"Tidur","Umum"))))))</f>
        <v/>
      </c>
    </row>
    <row r="836">
      <c r="B836">
        <f>IF(A836="","",$B$1-MAXIFS(Donasi!$A$2:$A$20000,Donasi!$B$2:$B$20000,A836))</f>
        <v/>
      </c>
      <c r="C836">
        <f>IF(A836="","",COUNTIF(Donasi!$B$2:$B$20000,A836))</f>
        <v/>
      </c>
      <c r="D836">
        <f>IF(A836="","",SUMIF(Donasi!$B$2:$B$20000,A836,Donasi!$C$2:$C$20000))</f>
        <v/>
      </c>
      <c r="E836">
        <f>IF(A836="","",6-CEILING(PERCENTRANK.INC($B$3:$B$6000,B836,4)*5+0.000001,1))</f>
        <v/>
      </c>
      <c r="F836">
        <f>IF(A836="","",MAX(1,CEILING(PERCENTRANK.INC($C$3:$C$6000,C836,4)*5+0.000001,1)))</f>
        <v/>
      </c>
      <c r="G836">
        <f>IF(A836="","",MAX(1,CEILING(PERCENTRANK.INC($D$3:$D$6000,D836,4)*5+0.000001,1)))</f>
        <v/>
      </c>
      <c r="H836">
        <f>IF(A836="","",E836&amp;F836&amp;G836)</f>
        <v/>
      </c>
      <c r="I836">
        <f>IF(A836="","",IF(AND(E836&gt;=4,F836&gt;=4,G836&gt;=4),"Juara",IF(AND(F836&gt;=4,E836&gt;=3),"Setia",IF(AND(E836=5,F836&lt;=2,G836&gt;=3),"Berpotensi",IF(AND(E836&lt;=3,E836&gt;=2,F836&gt;=3),"Rawan",IF(AND(E836&lt;=2,F836&lt;=2),"Tidur","Umum"))))))</f>
        <v/>
      </c>
    </row>
    <row r="837">
      <c r="B837">
        <f>IF(A837="","",$B$1-MAXIFS(Donasi!$A$2:$A$20000,Donasi!$B$2:$B$20000,A837))</f>
        <v/>
      </c>
      <c r="C837">
        <f>IF(A837="","",COUNTIF(Donasi!$B$2:$B$20000,A837))</f>
        <v/>
      </c>
      <c r="D837">
        <f>IF(A837="","",SUMIF(Donasi!$B$2:$B$20000,A837,Donasi!$C$2:$C$20000))</f>
        <v/>
      </c>
      <c r="E837">
        <f>IF(A837="","",6-CEILING(PERCENTRANK.INC($B$3:$B$6000,B837,4)*5+0.000001,1))</f>
        <v/>
      </c>
      <c r="F837">
        <f>IF(A837="","",MAX(1,CEILING(PERCENTRANK.INC($C$3:$C$6000,C837,4)*5+0.000001,1)))</f>
        <v/>
      </c>
      <c r="G837">
        <f>IF(A837="","",MAX(1,CEILING(PERCENTRANK.INC($D$3:$D$6000,D837,4)*5+0.000001,1)))</f>
        <v/>
      </c>
      <c r="H837">
        <f>IF(A837="","",E837&amp;F837&amp;G837)</f>
        <v/>
      </c>
      <c r="I837">
        <f>IF(A837="","",IF(AND(E837&gt;=4,F837&gt;=4,G837&gt;=4),"Juara",IF(AND(F837&gt;=4,E837&gt;=3),"Setia",IF(AND(E837=5,F837&lt;=2,G837&gt;=3),"Berpotensi",IF(AND(E837&lt;=3,E837&gt;=2,F837&gt;=3),"Rawan",IF(AND(E837&lt;=2,F837&lt;=2),"Tidur","Umum"))))))</f>
        <v/>
      </c>
    </row>
    <row r="838">
      <c r="B838">
        <f>IF(A838="","",$B$1-MAXIFS(Donasi!$A$2:$A$20000,Donasi!$B$2:$B$20000,A838))</f>
        <v/>
      </c>
      <c r="C838">
        <f>IF(A838="","",COUNTIF(Donasi!$B$2:$B$20000,A838))</f>
        <v/>
      </c>
      <c r="D838">
        <f>IF(A838="","",SUMIF(Donasi!$B$2:$B$20000,A838,Donasi!$C$2:$C$20000))</f>
        <v/>
      </c>
      <c r="E838">
        <f>IF(A838="","",6-CEILING(PERCENTRANK.INC($B$3:$B$6000,B838,4)*5+0.000001,1))</f>
        <v/>
      </c>
      <c r="F838">
        <f>IF(A838="","",MAX(1,CEILING(PERCENTRANK.INC($C$3:$C$6000,C838,4)*5+0.000001,1)))</f>
        <v/>
      </c>
      <c r="G838">
        <f>IF(A838="","",MAX(1,CEILING(PERCENTRANK.INC($D$3:$D$6000,D838,4)*5+0.000001,1)))</f>
        <v/>
      </c>
      <c r="H838">
        <f>IF(A838="","",E838&amp;F838&amp;G838)</f>
        <v/>
      </c>
      <c r="I838">
        <f>IF(A838="","",IF(AND(E838&gt;=4,F838&gt;=4,G838&gt;=4),"Juara",IF(AND(F838&gt;=4,E838&gt;=3),"Setia",IF(AND(E838=5,F838&lt;=2,G838&gt;=3),"Berpotensi",IF(AND(E838&lt;=3,E838&gt;=2,F838&gt;=3),"Rawan",IF(AND(E838&lt;=2,F838&lt;=2),"Tidur","Umum"))))))</f>
        <v/>
      </c>
    </row>
    <row r="839">
      <c r="B839">
        <f>IF(A839="","",$B$1-MAXIFS(Donasi!$A$2:$A$20000,Donasi!$B$2:$B$20000,A839))</f>
        <v/>
      </c>
      <c r="C839">
        <f>IF(A839="","",COUNTIF(Donasi!$B$2:$B$20000,A839))</f>
        <v/>
      </c>
      <c r="D839">
        <f>IF(A839="","",SUMIF(Donasi!$B$2:$B$20000,A839,Donasi!$C$2:$C$20000))</f>
        <v/>
      </c>
      <c r="E839">
        <f>IF(A839="","",6-CEILING(PERCENTRANK.INC($B$3:$B$6000,B839,4)*5+0.000001,1))</f>
        <v/>
      </c>
      <c r="F839">
        <f>IF(A839="","",MAX(1,CEILING(PERCENTRANK.INC($C$3:$C$6000,C839,4)*5+0.000001,1)))</f>
        <v/>
      </c>
      <c r="G839">
        <f>IF(A839="","",MAX(1,CEILING(PERCENTRANK.INC($D$3:$D$6000,D839,4)*5+0.000001,1)))</f>
        <v/>
      </c>
      <c r="H839">
        <f>IF(A839="","",E839&amp;F839&amp;G839)</f>
        <v/>
      </c>
      <c r="I839">
        <f>IF(A839="","",IF(AND(E839&gt;=4,F839&gt;=4,G839&gt;=4),"Juara",IF(AND(F839&gt;=4,E839&gt;=3),"Setia",IF(AND(E839=5,F839&lt;=2,G839&gt;=3),"Berpotensi",IF(AND(E839&lt;=3,E839&gt;=2,F839&gt;=3),"Rawan",IF(AND(E839&lt;=2,F839&lt;=2),"Tidur","Umum"))))))</f>
        <v/>
      </c>
    </row>
    <row r="840">
      <c r="B840">
        <f>IF(A840="","",$B$1-MAXIFS(Donasi!$A$2:$A$20000,Donasi!$B$2:$B$20000,A840))</f>
        <v/>
      </c>
      <c r="C840">
        <f>IF(A840="","",COUNTIF(Donasi!$B$2:$B$20000,A840))</f>
        <v/>
      </c>
      <c r="D840">
        <f>IF(A840="","",SUMIF(Donasi!$B$2:$B$20000,A840,Donasi!$C$2:$C$20000))</f>
        <v/>
      </c>
      <c r="E840">
        <f>IF(A840="","",6-CEILING(PERCENTRANK.INC($B$3:$B$6000,B840,4)*5+0.000001,1))</f>
        <v/>
      </c>
      <c r="F840">
        <f>IF(A840="","",MAX(1,CEILING(PERCENTRANK.INC($C$3:$C$6000,C840,4)*5+0.000001,1)))</f>
        <v/>
      </c>
      <c r="G840">
        <f>IF(A840="","",MAX(1,CEILING(PERCENTRANK.INC($D$3:$D$6000,D840,4)*5+0.000001,1)))</f>
        <v/>
      </c>
      <c r="H840">
        <f>IF(A840="","",E840&amp;F840&amp;G840)</f>
        <v/>
      </c>
      <c r="I840">
        <f>IF(A840="","",IF(AND(E840&gt;=4,F840&gt;=4,G840&gt;=4),"Juara",IF(AND(F840&gt;=4,E840&gt;=3),"Setia",IF(AND(E840=5,F840&lt;=2,G840&gt;=3),"Berpotensi",IF(AND(E840&lt;=3,E840&gt;=2,F840&gt;=3),"Rawan",IF(AND(E840&lt;=2,F840&lt;=2),"Tidur","Umum"))))))</f>
        <v/>
      </c>
    </row>
    <row r="841">
      <c r="B841">
        <f>IF(A841="","",$B$1-MAXIFS(Donasi!$A$2:$A$20000,Donasi!$B$2:$B$20000,A841))</f>
        <v/>
      </c>
      <c r="C841">
        <f>IF(A841="","",COUNTIF(Donasi!$B$2:$B$20000,A841))</f>
        <v/>
      </c>
      <c r="D841">
        <f>IF(A841="","",SUMIF(Donasi!$B$2:$B$20000,A841,Donasi!$C$2:$C$20000))</f>
        <v/>
      </c>
      <c r="E841">
        <f>IF(A841="","",6-CEILING(PERCENTRANK.INC($B$3:$B$6000,B841,4)*5+0.000001,1))</f>
        <v/>
      </c>
      <c r="F841">
        <f>IF(A841="","",MAX(1,CEILING(PERCENTRANK.INC($C$3:$C$6000,C841,4)*5+0.000001,1)))</f>
        <v/>
      </c>
      <c r="G841">
        <f>IF(A841="","",MAX(1,CEILING(PERCENTRANK.INC($D$3:$D$6000,D841,4)*5+0.000001,1)))</f>
        <v/>
      </c>
      <c r="H841">
        <f>IF(A841="","",E841&amp;F841&amp;G841)</f>
        <v/>
      </c>
      <c r="I841">
        <f>IF(A841="","",IF(AND(E841&gt;=4,F841&gt;=4,G841&gt;=4),"Juara",IF(AND(F841&gt;=4,E841&gt;=3),"Setia",IF(AND(E841=5,F841&lt;=2,G841&gt;=3),"Berpotensi",IF(AND(E841&lt;=3,E841&gt;=2,F841&gt;=3),"Rawan",IF(AND(E841&lt;=2,F841&lt;=2),"Tidur","Umum"))))))</f>
        <v/>
      </c>
    </row>
    <row r="842">
      <c r="B842">
        <f>IF(A842="","",$B$1-MAXIFS(Donasi!$A$2:$A$20000,Donasi!$B$2:$B$20000,A842))</f>
        <v/>
      </c>
      <c r="C842">
        <f>IF(A842="","",COUNTIF(Donasi!$B$2:$B$20000,A842))</f>
        <v/>
      </c>
      <c r="D842">
        <f>IF(A842="","",SUMIF(Donasi!$B$2:$B$20000,A842,Donasi!$C$2:$C$20000))</f>
        <v/>
      </c>
      <c r="E842">
        <f>IF(A842="","",6-CEILING(PERCENTRANK.INC($B$3:$B$6000,B842,4)*5+0.000001,1))</f>
        <v/>
      </c>
      <c r="F842">
        <f>IF(A842="","",MAX(1,CEILING(PERCENTRANK.INC($C$3:$C$6000,C842,4)*5+0.000001,1)))</f>
        <v/>
      </c>
      <c r="G842">
        <f>IF(A842="","",MAX(1,CEILING(PERCENTRANK.INC($D$3:$D$6000,D842,4)*5+0.000001,1)))</f>
        <v/>
      </c>
      <c r="H842">
        <f>IF(A842="","",E842&amp;F842&amp;G842)</f>
        <v/>
      </c>
      <c r="I842">
        <f>IF(A842="","",IF(AND(E842&gt;=4,F842&gt;=4,G842&gt;=4),"Juara",IF(AND(F842&gt;=4,E842&gt;=3),"Setia",IF(AND(E842=5,F842&lt;=2,G842&gt;=3),"Berpotensi",IF(AND(E842&lt;=3,E842&gt;=2,F842&gt;=3),"Rawan",IF(AND(E842&lt;=2,F842&lt;=2),"Tidur","Umum"))))))</f>
        <v/>
      </c>
    </row>
    <row r="843">
      <c r="B843">
        <f>IF(A843="","",$B$1-MAXIFS(Donasi!$A$2:$A$20000,Donasi!$B$2:$B$20000,A843))</f>
        <v/>
      </c>
      <c r="C843">
        <f>IF(A843="","",COUNTIF(Donasi!$B$2:$B$20000,A843))</f>
        <v/>
      </c>
      <c r="D843">
        <f>IF(A843="","",SUMIF(Donasi!$B$2:$B$20000,A843,Donasi!$C$2:$C$20000))</f>
        <v/>
      </c>
      <c r="E843">
        <f>IF(A843="","",6-CEILING(PERCENTRANK.INC($B$3:$B$6000,B843,4)*5+0.000001,1))</f>
        <v/>
      </c>
      <c r="F843">
        <f>IF(A843="","",MAX(1,CEILING(PERCENTRANK.INC($C$3:$C$6000,C843,4)*5+0.000001,1)))</f>
        <v/>
      </c>
      <c r="G843">
        <f>IF(A843="","",MAX(1,CEILING(PERCENTRANK.INC($D$3:$D$6000,D843,4)*5+0.000001,1)))</f>
        <v/>
      </c>
      <c r="H843">
        <f>IF(A843="","",E843&amp;F843&amp;G843)</f>
        <v/>
      </c>
      <c r="I843">
        <f>IF(A843="","",IF(AND(E843&gt;=4,F843&gt;=4,G843&gt;=4),"Juara",IF(AND(F843&gt;=4,E843&gt;=3),"Setia",IF(AND(E843=5,F843&lt;=2,G843&gt;=3),"Berpotensi",IF(AND(E843&lt;=3,E843&gt;=2,F843&gt;=3),"Rawan",IF(AND(E843&lt;=2,F843&lt;=2),"Tidur","Umum"))))))</f>
        <v/>
      </c>
    </row>
    <row r="844">
      <c r="B844">
        <f>IF(A844="","",$B$1-MAXIFS(Donasi!$A$2:$A$20000,Donasi!$B$2:$B$20000,A844))</f>
        <v/>
      </c>
      <c r="C844">
        <f>IF(A844="","",COUNTIF(Donasi!$B$2:$B$20000,A844))</f>
        <v/>
      </c>
      <c r="D844">
        <f>IF(A844="","",SUMIF(Donasi!$B$2:$B$20000,A844,Donasi!$C$2:$C$20000))</f>
        <v/>
      </c>
      <c r="E844">
        <f>IF(A844="","",6-CEILING(PERCENTRANK.INC($B$3:$B$6000,B844,4)*5+0.000001,1))</f>
        <v/>
      </c>
      <c r="F844">
        <f>IF(A844="","",MAX(1,CEILING(PERCENTRANK.INC($C$3:$C$6000,C844,4)*5+0.000001,1)))</f>
        <v/>
      </c>
      <c r="G844">
        <f>IF(A844="","",MAX(1,CEILING(PERCENTRANK.INC($D$3:$D$6000,D844,4)*5+0.000001,1)))</f>
        <v/>
      </c>
      <c r="H844">
        <f>IF(A844="","",E844&amp;F844&amp;G844)</f>
        <v/>
      </c>
      <c r="I844">
        <f>IF(A844="","",IF(AND(E844&gt;=4,F844&gt;=4,G844&gt;=4),"Juara",IF(AND(F844&gt;=4,E844&gt;=3),"Setia",IF(AND(E844=5,F844&lt;=2,G844&gt;=3),"Berpotensi",IF(AND(E844&lt;=3,E844&gt;=2,F844&gt;=3),"Rawan",IF(AND(E844&lt;=2,F844&lt;=2),"Tidur","Umum"))))))</f>
        <v/>
      </c>
    </row>
    <row r="845">
      <c r="B845">
        <f>IF(A845="","",$B$1-MAXIFS(Donasi!$A$2:$A$20000,Donasi!$B$2:$B$20000,A845))</f>
        <v/>
      </c>
      <c r="C845">
        <f>IF(A845="","",COUNTIF(Donasi!$B$2:$B$20000,A845))</f>
        <v/>
      </c>
      <c r="D845">
        <f>IF(A845="","",SUMIF(Donasi!$B$2:$B$20000,A845,Donasi!$C$2:$C$20000))</f>
        <v/>
      </c>
      <c r="E845">
        <f>IF(A845="","",6-CEILING(PERCENTRANK.INC($B$3:$B$6000,B845,4)*5+0.000001,1))</f>
        <v/>
      </c>
      <c r="F845">
        <f>IF(A845="","",MAX(1,CEILING(PERCENTRANK.INC($C$3:$C$6000,C845,4)*5+0.000001,1)))</f>
        <v/>
      </c>
      <c r="G845">
        <f>IF(A845="","",MAX(1,CEILING(PERCENTRANK.INC($D$3:$D$6000,D845,4)*5+0.000001,1)))</f>
        <v/>
      </c>
      <c r="H845">
        <f>IF(A845="","",E845&amp;F845&amp;G845)</f>
        <v/>
      </c>
      <c r="I845">
        <f>IF(A845="","",IF(AND(E845&gt;=4,F845&gt;=4,G845&gt;=4),"Juara",IF(AND(F845&gt;=4,E845&gt;=3),"Setia",IF(AND(E845=5,F845&lt;=2,G845&gt;=3),"Berpotensi",IF(AND(E845&lt;=3,E845&gt;=2,F845&gt;=3),"Rawan",IF(AND(E845&lt;=2,F845&lt;=2),"Tidur","Umum"))))))</f>
        <v/>
      </c>
    </row>
    <row r="846">
      <c r="B846">
        <f>IF(A846="","",$B$1-MAXIFS(Donasi!$A$2:$A$20000,Donasi!$B$2:$B$20000,A846))</f>
        <v/>
      </c>
      <c r="C846">
        <f>IF(A846="","",COUNTIF(Donasi!$B$2:$B$20000,A846))</f>
        <v/>
      </c>
      <c r="D846">
        <f>IF(A846="","",SUMIF(Donasi!$B$2:$B$20000,A846,Donasi!$C$2:$C$20000))</f>
        <v/>
      </c>
      <c r="E846">
        <f>IF(A846="","",6-CEILING(PERCENTRANK.INC($B$3:$B$6000,B846,4)*5+0.000001,1))</f>
        <v/>
      </c>
      <c r="F846">
        <f>IF(A846="","",MAX(1,CEILING(PERCENTRANK.INC($C$3:$C$6000,C846,4)*5+0.000001,1)))</f>
        <v/>
      </c>
      <c r="G846">
        <f>IF(A846="","",MAX(1,CEILING(PERCENTRANK.INC($D$3:$D$6000,D846,4)*5+0.000001,1)))</f>
        <v/>
      </c>
      <c r="H846">
        <f>IF(A846="","",E846&amp;F846&amp;G846)</f>
        <v/>
      </c>
      <c r="I846">
        <f>IF(A846="","",IF(AND(E846&gt;=4,F846&gt;=4,G846&gt;=4),"Juara",IF(AND(F846&gt;=4,E846&gt;=3),"Setia",IF(AND(E846=5,F846&lt;=2,G846&gt;=3),"Berpotensi",IF(AND(E846&lt;=3,E846&gt;=2,F846&gt;=3),"Rawan",IF(AND(E846&lt;=2,F846&lt;=2),"Tidur","Umum"))))))</f>
        <v/>
      </c>
    </row>
    <row r="847">
      <c r="B847">
        <f>IF(A847="","",$B$1-MAXIFS(Donasi!$A$2:$A$20000,Donasi!$B$2:$B$20000,A847))</f>
        <v/>
      </c>
      <c r="C847">
        <f>IF(A847="","",COUNTIF(Donasi!$B$2:$B$20000,A847))</f>
        <v/>
      </c>
      <c r="D847">
        <f>IF(A847="","",SUMIF(Donasi!$B$2:$B$20000,A847,Donasi!$C$2:$C$20000))</f>
        <v/>
      </c>
      <c r="E847">
        <f>IF(A847="","",6-CEILING(PERCENTRANK.INC($B$3:$B$6000,B847,4)*5+0.000001,1))</f>
        <v/>
      </c>
      <c r="F847">
        <f>IF(A847="","",MAX(1,CEILING(PERCENTRANK.INC($C$3:$C$6000,C847,4)*5+0.000001,1)))</f>
        <v/>
      </c>
      <c r="G847">
        <f>IF(A847="","",MAX(1,CEILING(PERCENTRANK.INC($D$3:$D$6000,D847,4)*5+0.000001,1)))</f>
        <v/>
      </c>
      <c r="H847">
        <f>IF(A847="","",E847&amp;F847&amp;G847)</f>
        <v/>
      </c>
      <c r="I847">
        <f>IF(A847="","",IF(AND(E847&gt;=4,F847&gt;=4,G847&gt;=4),"Juara",IF(AND(F847&gt;=4,E847&gt;=3),"Setia",IF(AND(E847=5,F847&lt;=2,G847&gt;=3),"Berpotensi",IF(AND(E847&lt;=3,E847&gt;=2,F847&gt;=3),"Rawan",IF(AND(E847&lt;=2,F847&lt;=2),"Tidur","Umum"))))))</f>
        <v/>
      </c>
    </row>
    <row r="848">
      <c r="B848">
        <f>IF(A848="","",$B$1-MAXIFS(Donasi!$A$2:$A$20000,Donasi!$B$2:$B$20000,A848))</f>
        <v/>
      </c>
      <c r="C848">
        <f>IF(A848="","",COUNTIF(Donasi!$B$2:$B$20000,A848))</f>
        <v/>
      </c>
      <c r="D848">
        <f>IF(A848="","",SUMIF(Donasi!$B$2:$B$20000,A848,Donasi!$C$2:$C$20000))</f>
        <v/>
      </c>
      <c r="E848">
        <f>IF(A848="","",6-CEILING(PERCENTRANK.INC($B$3:$B$6000,B848,4)*5+0.000001,1))</f>
        <v/>
      </c>
      <c r="F848">
        <f>IF(A848="","",MAX(1,CEILING(PERCENTRANK.INC($C$3:$C$6000,C848,4)*5+0.000001,1)))</f>
        <v/>
      </c>
      <c r="G848">
        <f>IF(A848="","",MAX(1,CEILING(PERCENTRANK.INC($D$3:$D$6000,D848,4)*5+0.000001,1)))</f>
        <v/>
      </c>
      <c r="H848">
        <f>IF(A848="","",E848&amp;F848&amp;G848)</f>
        <v/>
      </c>
      <c r="I848">
        <f>IF(A848="","",IF(AND(E848&gt;=4,F848&gt;=4,G848&gt;=4),"Juara",IF(AND(F848&gt;=4,E848&gt;=3),"Setia",IF(AND(E848=5,F848&lt;=2,G848&gt;=3),"Berpotensi",IF(AND(E848&lt;=3,E848&gt;=2,F848&gt;=3),"Rawan",IF(AND(E848&lt;=2,F848&lt;=2),"Tidur","Umum"))))))</f>
        <v/>
      </c>
    </row>
    <row r="849">
      <c r="B849">
        <f>IF(A849="","",$B$1-MAXIFS(Donasi!$A$2:$A$20000,Donasi!$B$2:$B$20000,A849))</f>
        <v/>
      </c>
      <c r="C849">
        <f>IF(A849="","",COUNTIF(Donasi!$B$2:$B$20000,A849))</f>
        <v/>
      </c>
      <c r="D849">
        <f>IF(A849="","",SUMIF(Donasi!$B$2:$B$20000,A849,Donasi!$C$2:$C$20000))</f>
        <v/>
      </c>
      <c r="E849">
        <f>IF(A849="","",6-CEILING(PERCENTRANK.INC($B$3:$B$6000,B849,4)*5+0.000001,1))</f>
        <v/>
      </c>
      <c r="F849">
        <f>IF(A849="","",MAX(1,CEILING(PERCENTRANK.INC($C$3:$C$6000,C849,4)*5+0.000001,1)))</f>
        <v/>
      </c>
      <c r="G849">
        <f>IF(A849="","",MAX(1,CEILING(PERCENTRANK.INC($D$3:$D$6000,D849,4)*5+0.000001,1)))</f>
        <v/>
      </c>
      <c r="H849">
        <f>IF(A849="","",E849&amp;F849&amp;G849)</f>
        <v/>
      </c>
      <c r="I849">
        <f>IF(A849="","",IF(AND(E849&gt;=4,F849&gt;=4,G849&gt;=4),"Juara",IF(AND(F849&gt;=4,E849&gt;=3),"Setia",IF(AND(E849=5,F849&lt;=2,G849&gt;=3),"Berpotensi",IF(AND(E849&lt;=3,E849&gt;=2,F849&gt;=3),"Rawan",IF(AND(E849&lt;=2,F849&lt;=2),"Tidur","Umum"))))))</f>
        <v/>
      </c>
    </row>
    <row r="850">
      <c r="B850">
        <f>IF(A850="","",$B$1-MAXIFS(Donasi!$A$2:$A$20000,Donasi!$B$2:$B$20000,A850))</f>
        <v/>
      </c>
      <c r="C850">
        <f>IF(A850="","",COUNTIF(Donasi!$B$2:$B$20000,A850))</f>
        <v/>
      </c>
      <c r="D850">
        <f>IF(A850="","",SUMIF(Donasi!$B$2:$B$20000,A850,Donasi!$C$2:$C$20000))</f>
        <v/>
      </c>
      <c r="E850">
        <f>IF(A850="","",6-CEILING(PERCENTRANK.INC($B$3:$B$6000,B850,4)*5+0.000001,1))</f>
        <v/>
      </c>
      <c r="F850">
        <f>IF(A850="","",MAX(1,CEILING(PERCENTRANK.INC($C$3:$C$6000,C850,4)*5+0.000001,1)))</f>
        <v/>
      </c>
      <c r="G850">
        <f>IF(A850="","",MAX(1,CEILING(PERCENTRANK.INC($D$3:$D$6000,D850,4)*5+0.000001,1)))</f>
        <v/>
      </c>
      <c r="H850">
        <f>IF(A850="","",E850&amp;F850&amp;G850)</f>
        <v/>
      </c>
      <c r="I850">
        <f>IF(A850="","",IF(AND(E850&gt;=4,F850&gt;=4,G850&gt;=4),"Juara",IF(AND(F850&gt;=4,E850&gt;=3),"Setia",IF(AND(E850=5,F850&lt;=2,G850&gt;=3),"Berpotensi",IF(AND(E850&lt;=3,E850&gt;=2,F850&gt;=3),"Rawan",IF(AND(E850&lt;=2,F850&lt;=2),"Tidur","Umum"))))))</f>
        <v/>
      </c>
    </row>
    <row r="851">
      <c r="B851">
        <f>IF(A851="","",$B$1-MAXIFS(Donasi!$A$2:$A$20000,Donasi!$B$2:$B$20000,A851))</f>
        <v/>
      </c>
      <c r="C851">
        <f>IF(A851="","",COUNTIF(Donasi!$B$2:$B$20000,A851))</f>
        <v/>
      </c>
      <c r="D851">
        <f>IF(A851="","",SUMIF(Donasi!$B$2:$B$20000,A851,Donasi!$C$2:$C$20000))</f>
        <v/>
      </c>
      <c r="E851">
        <f>IF(A851="","",6-CEILING(PERCENTRANK.INC($B$3:$B$6000,B851,4)*5+0.000001,1))</f>
        <v/>
      </c>
      <c r="F851">
        <f>IF(A851="","",MAX(1,CEILING(PERCENTRANK.INC($C$3:$C$6000,C851,4)*5+0.000001,1)))</f>
        <v/>
      </c>
      <c r="G851">
        <f>IF(A851="","",MAX(1,CEILING(PERCENTRANK.INC($D$3:$D$6000,D851,4)*5+0.000001,1)))</f>
        <v/>
      </c>
      <c r="H851">
        <f>IF(A851="","",E851&amp;F851&amp;G851)</f>
        <v/>
      </c>
      <c r="I851">
        <f>IF(A851="","",IF(AND(E851&gt;=4,F851&gt;=4,G851&gt;=4),"Juara",IF(AND(F851&gt;=4,E851&gt;=3),"Setia",IF(AND(E851=5,F851&lt;=2,G851&gt;=3),"Berpotensi",IF(AND(E851&lt;=3,E851&gt;=2,F851&gt;=3),"Rawan",IF(AND(E851&lt;=2,F851&lt;=2),"Tidur","Umum"))))))</f>
        <v/>
      </c>
    </row>
    <row r="852">
      <c r="B852">
        <f>IF(A852="","",$B$1-MAXIFS(Donasi!$A$2:$A$20000,Donasi!$B$2:$B$20000,A852))</f>
        <v/>
      </c>
      <c r="C852">
        <f>IF(A852="","",COUNTIF(Donasi!$B$2:$B$20000,A852))</f>
        <v/>
      </c>
      <c r="D852">
        <f>IF(A852="","",SUMIF(Donasi!$B$2:$B$20000,A852,Donasi!$C$2:$C$20000))</f>
        <v/>
      </c>
      <c r="E852">
        <f>IF(A852="","",6-CEILING(PERCENTRANK.INC($B$3:$B$6000,B852,4)*5+0.000001,1))</f>
        <v/>
      </c>
      <c r="F852">
        <f>IF(A852="","",MAX(1,CEILING(PERCENTRANK.INC($C$3:$C$6000,C852,4)*5+0.000001,1)))</f>
        <v/>
      </c>
      <c r="G852">
        <f>IF(A852="","",MAX(1,CEILING(PERCENTRANK.INC($D$3:$D$6000,D852,4)*5+0.000001,1)))</f>
        <v/>
      </c>
      <c r="H852">
        <f>IF(A852="","",E852&amp;F852&amp;G852)</f>
        <v/>
      </c>
      <c r="I852">
        <f>IF(A852="","",IF(AND(E852&gt;=4,F852&gt;=4,G852&gt;=4),"Juara",IF(AND(F852&gt;=4,E852&gt;=3),"Setia",IF(AND(E852=5,F852&lt;=2,G852&gt;=3),"Berpotensi",IF(AND(E852&lt;=3,E852&gt;=2,F852&gt;=3),"Rawan",IF(AND(E852&lt;=2,F852&lt;=2),"Tidur","Umum"))))))</f>
        <v/>
      </c>
    </row>
    <row r="853">
      <c r="B853">
        <f>IF(A853="","",$B$1-MAXIFS(Donasi!$A$2:$A$20000,Donasi!$B$2:$B$20000,A853))</f>
        <v/>
      </c>
      <c r="C853">
        <f>IF(A853="","",COUNTIF(Donasi!$B$2:$B$20000,A853))</f>
        <v/>
      </c>
      <c r="D853">
        <f>IF(A853="","",SUMIF(Donasi!$B$2:$B$20000,A853,Donasi!$C$2:$C$20000))</f>
        <v/>
      </c>
      <c r="E853">
        <f>IF(A853="","",6-CEILING(PERCENTRANK.INC($B$3:$B$6000,B853,4)*5+0.000001,1))</f>
        <v/>
      </c>
      <c r="F853">
        <f>IF(A853="","",MAX(1,CEILING(PERCENTRANK.INC($C$3:$C$6000,C853,4)*5+0.000001,1)))</f>
        <v/>
      </c>
      <c r="G853">
        <f>IF(A853="","",MAX(1,CEILING(PERCENTRANK.INC($D$3:$D$6000,D853,4)*5+0.000001,1)))</f>
        <v/>
      </c>
      <c r="H853">
        <f>IF(A853="","",E853&amp;F853&amp;G853)</f>
        <v/>
      </c>
      <c r="I853">
        <f>IF(A853="","",IF(AND(E853&gt;=4,F853&gt;=4,G853&gt;=4),"Juara",IF(AND(F853&gt;=4,E853&gt;=3),"Setia",IF(AND(E853=5,F853&lt;=2,G853&gt;=3),"Berpotensi",IF(AND(E853&lt;=3,E853&gt;=2,F853&gt;=3),"Rawan",IF(AND(E853&lt;=2,F853&lt;=2),"Tidur","Umum"))))))</f>
        <v/>
      </c>
    </row>
    <row r="854">
      <c r="B854">
        <f>IF(A854="","",$B$1-MAXIFS(Donasi!$A$2:$A$20000,Donasi!$B$2:$B$20000,A854))</f>
        <v/>
      </c>
      <c r="C854">
        <f>IF(A854="","",COUNTIF(Donasi!$B$2:$B$20000,A854))</f>
        <v/>
      </c>
      <c r="D854">
        <f>IF(A854="","",SUMIF(Donasi!$B$2:$B$20000,A854,Donasi!$C$2:$C$20000))</f>
        <v/>
      </c>
      <c r="E854">
        <f>IF(A854="","",6-CEILING(PERCENTRANK.INC($B$3:$B$6000,B854,4)*5+0.000001,1))</f>
        <v/>
      </c>
      <c r="F854">
        <f>IF(A854="","",MAX(1,CEILING(PERCENTRANK.INC($C$3:$C$6000,C854,4)*5+0.000001,1)))</f>
        <v/>
      </c>
      <c r="G854">
        <f>IF(A854="","",MAX(1,CEILING(PERCENTRANK.INC($D$3:$D$6000,D854,4)*5+0.000001,1)))</f>
        <v/>
      </c>
      <c r="H854">
        <f>IF(A854="","",E854&amp;F854&amp;G854)</f>
        <v/>
      </c>
      <c r="I854">
        <f>IF(A854="","",IF(AND(E854&gt;=4,F854&gt;=4,G854&gt;=4),"Juara",IF(AND(F854&gt;=4,E854&gt;=3),"Setia",IF(AND(E854=5,F854&lt;=2,G854&gt;=3),"Berpotensi",IF(AND(E854&lt;=3,E854&gt;=2,F854&gt;=3),"Rawan",IF(AND(E854&lt;=2,F854&lt;=2),"Tidur","Umum"))))))</f>
        <v/>
      </c>
    </row>
    <row r="855">
      <c r="B855">
        <f>IF(A855="","",$B$1-MAXIFS(Donasi!$A$2:$A$20000,Donasi!$B$2:$B$20000,A855))</f>
        <v/>
      </c>
      <c r="C855">
        <f>IF(A855="","",COUNTIF(Donasi!$B$2:$B$20000,A855))</f>
        <v/>
      </c>
      <c r="D855">
        <f>IF(A855="","",SUMIF(Donasi!$B$2:$B$20000,A855,Donasi!$C$2:$C$20000))</f>
        <v/>
      </c>
      <c r="E855">
        <f>IF(A855="","",6-CEILING(PERCENTRANK.INC($B$3:$B$6000,B855,4)*5+0.000001,1))</f>
        <v/>
      </c>
      <c r="F855">
        <f>IF(A855="","",MAX(1,CEILING(PERCENTRANK.INC($C$3:$C$6000,C855,4)*5+0.000001,1)))</f>
        <v/>
      </c>
      <c r="G855">
        <f>IF(A855="","",MAX(1,CEILING(PERCENTRANK.INC($D$3:$D$6000,D855,4)*5+0.000001,1)))</f>
        <v/>
      </c>
      <c r="H855">
        <f>IF(A855="","",E855&amp;F855&amp;G855)</f>
        <v/>
      </c>
      <c r="I855">
        <f>IF(A855="","",IF(AND(E855&gt;=4,F855&gt;=4,G855&gt;=4),"Juara",IF(AND(F855&gt;=4,E855&gt;=3),"Setia",IF(AND(E855=5,F855&lt;=2,G855&gt;=3),"Berpotensi",IF(AND(E855&lt;=3,E855&gt;=2,F855&gt;=3),"Rawan",IF(AND(E855&lt;=2,F855&lt;=2),"Tidur","Umum"))))))</f>
        <v/>
      </c>
    </row>
    <row r="856">
      <c r="B856">
        <f>IF(A856="","",$B$1-MAXIFS(Donasi!$A$2:$A$20000,Donasi!$B$2:$B$20000,A856))</f>
        <v/>
      </c>
      <c r="C856">
        <f>IF(A856="","",COUNTIF(Donasi!$B$2:$B$20000,A856))</f>
        <v/>
      </c>
      <c r="D856">
        <f>IF(A856="","",SUMIF(Donasi!$B$2:$B$20000,A856,Donasi!$C$2:$C$20000))</f>
        <v/>
      </c>
      <c r="E856">
        <f>IF(A856="","",6-CEILING(PERCENTRANK.INC($B$3:$B$6000,B856,4)*5+0.000001,1))</f>
        <v/>
      </c>
      <c r="F856">
        <f>IF(A856="","",MAX(1,CEILING(PERCENTRANK.INC($C$3:$C$6000,C856,4)*5+0.000001,1)))</f>
        <v/>
      </c>
      <c r="G856">
        <f>IF(A856="","",MAX(1,CEILING(PERCENTRANK.INC($D$3:$D$6000,D856,4)*5+0.000001,1)))</f>
        <v/>
      </c>
      <c r="H856">
        <f>IF(A856="","",E856&amp;F856&amp;G856)</f>
        <v/>
      </c>
      <c r="I856">
        <f>IF(A856="","",IF(AND(E856&gt;=4,F856&gt;=4,G856&gt;=4),"Juara",IF(AND(F856&gt;=4,E856&gt;=3),"Setia",IF(AND(E856=5,F856&lt;=2,G856&gt;=3),"Berpotensi",IF(AND(E856&lt;=3,E856&gt;=2,F856&gt;=3),"Rawan",IF(AND(E856&lt;=2,F856&lt;=2),"Tidur","Umum"))))))</f>
        <v/>
      </c>
    </row>
    <row r="857">
      <c r="B857">
        <f>IF(A857="","",$B$1-MAXIFS(Donasi!$A$2:$A$20000,Donasi!$B$2:$B$20000,A857))</f>
        <v/>
      </c>
      <c r="C857">
        <f>IF(A857="","",COUNTIF(Donasi!$B$2:$B$20000,A857))</f>
        <v/>
      </c>
      <c r="D857">
        <f>IF(A857="","",SUMIF(Donasi!$B$2:$B$20000,A857,Donasi!$C$2:$C$20000))</f>
        <v/>
      </c>
      <c r="E857">
        <f>IF(A857="","",6-CEILING(PERCENTRANK.INC($B$3:$B$6000,B857,4)*5+0.000001,1))</f>
        <v/>
      </c>
      <c r="F857">
        <f>IF(A857="","",MAX(1,CEILING(PERCENTRANK.INC($C$3:$C$6000,C857,4)*5+0.000001,1)))</f>
        <v/>
      </c>
      <c r="G857">
        <f>IF(A857="","",MAX(1,CEILING(PERCENTRANK.INC($D$3:$D$6000,D857,4)*5+0.000001,1)))</f>
        <v/>
      </c>
      <c r="H857">
        <f>IF(A857="","",E857&amp;F857&amp;G857)</f>
        <v/>
      </c>
      <c r="I857">
        <f>IF(A857="","",IF(AND(E857&gt;=4,F857&gt;=4,G857&gt;=4),"Juara",IF(AND(F857&gt;=4,E857&gt;=3),"Setia",IF(AND(E857=5,F857&lt;=2,G857&gt;=3),"Berpotensi",IF(AND(E857&lt;=3,E857&gt;=2,F857&gt;=3),"Rawan",IF(AND(E857&lt;=2,F857&lt;=2),"Tidur","Umum"))))))</f>
        <v/>
      </c>
    </row>
    <row r="858">
      <c r="B858">
        <f>IF(A858="","",$B$1-MAXIFS(Donasi!$A$2:$A$20000,Donasi!$B$2:$B$20000,A858))</f>
        <v/>
      </c>
      <c r="C858">
        <f>IF(A858="","",COUNTIF(Donasi!$B$2:$B$20000,A858))</f>
        <v/>
      </c>
      <c r="D858">
        <f>IF(A858="","",SUMIF(Donasi!$B$2:$B$20000,A858,Donasi!$C$2:$C$20000))</f>
        <v/>
      </c>
      <c r="E858">
        <f>IF(A858="","",6-CEILING(PERCENTRANK.INC($B$3:$B$6000,B858,4)*5+0.000001,1))</f>
        <v/>
      </c>
      <c r="F858">
        <f>IF(A858="","",MAX(1,CEILING(PERCENTRANK.INC($C$3:$C$6000,C858,4)*5+0.000001,1)))</f>
        <v/>
      </c>
      <c r="G858">
        <f>IF(A858="","",MAX(1,CEILING(PERCENTRANK.INC($D$3:$D$6000,D858,4)*5+0.000001,1)))</f>
        <v/>
      </c>
      <c r="H858">
        <f>IF(A858="","",E858&amp;F858&amp;G858)</f>
        <v/>
      </c>
      <c r="I858">
        <f>IF(A858="","",IF(AND(E858&gt;=4,F858&gt;=4,G858&gt;=4),"Juara",IF(AND(F858&gt;=4,E858&gt;=3),"Setia",IF(AND(E858=5,F858&lt;=2,G858&gt;=3),"Berpotensi",IF(AND(E858&lt;=3,E858&gt;=2,F858&gt;=3),"Rawan",IF(AND(E858&lt;=2,F858&lt;=2),"Tidur","Umum"))))))</f>
        <v/>
      </c>
    </row>
    <row r="859">
      <c r="B859">
        <f>IF(A859="","",$B$1-MAXIFS(Donasi!$A$2:$A$20000,Donasi!$B$2:$B$20000,A859))</f>
        <v/>
      </c>
      <c r="C859">
        <f>IF(A859="","",COUNTIF(Donasi!$B$2:$B$20000,A859))</f>
        <v/>
      </c>
      <c r="D859">
        <f>IF(A859="","",SUMIF(Donasi!$B$2:$B$20000,A859,Donasi!$C$2:$C$20000))</f>
        <v/>
      </c>
      <c r="E859">
        <f>IF(A859="","",6-CEILING(PERCENTRANK.INC($B$3:$B$6000,B859,4)*5+0.000001,1))</f>
        <v/>
      </c>
      <c r="F859">
        <f>IF(A859="","",MAX(1,CEILING(PERCENTRANK.INC($C$3:$C$6000,C859,4)*5+0.000001,1)))</f>
        <v/>
      </c>
      <c r="G859">
        <f>IF(A859="","",MAX(1,CEILING(PERCENTRANK.INC($D$3:$D$6000,D859,4)*5+0.000001,1)))</f>
        <v/>
      </c>
      <c r="H859">
        <f>IF(A859="","",E859&amp;F859&amp;G859)</f>
        <v/>
      </c>
      <c r="I859">
        <f>IF(A859="","",IF(AND(E859&gt;=4,F859&gt;=4,G859&gt;=4),"Juara",IF(AND(F859&gt;=4,E859&gt;=3),"Setia",IF(AND(E859=5,F859&lt;=2,G859&gt;=3),"Berpotensi",IF(AND(E859&lt;=3,E859&gt;=2,F859&gt;=3),"Rawan",IF(AND(E859&lt;=2,F859&lt;=2),"Tidur","Umum"))))))</f>
        <v/>
      </c>
    </row>
    <row r="860">
      <c r="B860">
        <f>IF(A860="","",$B$1-MAXIFS(Donasi!$A$2:$A$20000,Donasi!$B$2:$B$20000,A860))</f>
        <v/>
      </c>
      <c r="C860">
        <f>IF(A860="","",COUNTIF(Donasi!$B$2:$B$20000,A860))</f>
        <v/>
      </c>
      <c r="D860">
        <f>IF(A860="","",SUMIF(Donasi!$B$2:$B$20000,A860,Donasi!$C$2:$C$20000))</f>
        <v/>
      </c>
      <c r="E860">
        <f>IF(A860="","",6-CEILING(PERCENTRANK.INC($B$3:$B$6000,B860,4)*5+0.000001,1))</f>
        <v/>
      </c>
      <c r="F860">
        <f>IF(A860="","",MAX(1,CEILING(PERCENTRANK.INC($C$3:$C$6000,C860,4)*5+0.000001,1)))</f>
        <v/>
      </c>
      <c r="G860">
        <f>IF(A860="","",MAX(1,CEILING(PERCENTRANK.INC($D$3:$D$6000,D860,4)*5+0.000001,1)))</f>
        <v/>
      </c>
      <c r="H860">
        <f>IF(A860="","",E860&amp;F860&amp;G860)</f>
        <v/>
      </c>
      <c r="I860">
        <f>IF(A860="","",IF(AND(E860&gt;=4,F860&gt;=4,G860&gt;=4),"Juara",IF(AND(F860&gt;=4,E860&gt;=3),"Setia",IF(AND(E860=5,F860&lt;=2,G860&gt;=3),"Berpotensi",IF(AND(E860&lt;=3,E860&gt;=2,F860&gt;=3),"Rawan",IF(AND(E860&lt;=2,F860&lt;=2),"Tidur","Umum"))))))</f>
        <v/>
      </c>
    </row>
    <row r="861">
      <c r="B861">
        <f>IF(A861="","",$B$1-MAXIFS(Donasi!$A$2:$A$20000,Donasi!$B$2:$B$20000,A861))</f>
        <v/>
      </c>
      <c r="C861">
        <f>IF(A861="","",COUNTIF(Donasi!$B$2:$B$20000,A861))</f>
        <v/>
      </c>
      <c r="D861">
        <f>IF(A861="","",SUMIF(Donasi!$B$2:$B$20000,A861,Donasi!$C$2:$C$20000))</f>
        <v/>
      </c>
      <c r="E861">
        <f>IF(A861="","",6-CEILING(PERCENTRANK.INC($B$3:$B$6000,B861,4)*5+0.000001,1))</f>
        <v/>
      </c>
      <c r="F861">
        <f>IF(A861="","",MAX(1,CEILING(PERCENTRANK.INC($C$3:$C$6000,C861,4)*5+0.000001,1)))</f>
        <v/>
      </c>
      <c r="G861">
        <f>IF(A861="","",MAX(1,CEILING(PERCENTRANK.INC($D$3:$D$6000,D861,4)*5+0.000001,1)))</f>
        <v/>
      </c>
      <c r="H861">
        <f>IF(A861="","",E861&amp;F861&amp;G861)</f>
        <v/>
      </c>
      <c r="I861">
        <f>IF(A861="","",IF(AND(E861&gt;=4,F861&gt;=4,G861&gt;=4),"Juara",IF(AND(F861&gt;=4,E861&gt;=3),"Setia",IF(AND(E861=5,F861&lt;=2,G861&gt;=3),"Berpotensi",IF(AND(E861&lt;=3,E861&gt;=2,F861&gt;=3),"Rawan",IF(AND(E861&lt;=2,F861&lt;=2),"Tidur","Umum"))))))</f>
        <v/>
      </c>
    </row>
    <row r="862">
      <c r="B862">
        <f>IF(A862="","",$B$1-MAXIFS(Donasi!$A$2:$A$20000,Donasi!$B$2:$B$20000,A862))</f>
        <v/>
      </c>
      <c r="C862">
        <f>IF(A862="","",COUNTIF(Donasi!$B$2:$B$20000,A862))</f>
        <v/>
      </c>
      <c r="D862">
        <f>IF(A862="","",SUMIF(Donasi!$B$2:$B$20000,A862,Donasi!$C$2:$C$20000))</f>
        <v/>
      </c>
      <c r="E862">
        <f>IF(A862="","",6-CEILING(PERCENTRANK.INC($B$3:$B$6000,B862,4)*5+0.000001,1))</f>
        <v/>
      </c>
      <c r="F862">
        <f>IF(A862="","",MAX(1,CEILING(PERCENTRANK.INC($C$3:$C$6000,C862,4)*5+0.000001,1)))</f>
        <v/>
      </c>
      <c r="G862">
        <f>IF(A862="","",MAX(1,CEILING(PERCENTRANK.INC($D$3:$D$6000,D862,4)*5+0.000001,1)))</f>
        <v/>
      </c>
      <c r="H862">
        <f>IF(A862="","",E862&amp;F862&amp;G862)</f>
        <v/>
      </c>
      <c r="I862">
        <f>IF(A862="","",IF(AND(E862&gt;=4,F862&gt;=4,G862&gt;=4),"Juara",IF(AND(F862&gt;=4,E862&gt;=3),"Setia",IF(AND(E862=5,F862&lt;=2,G862&gt;=3),"Berpotensi",IF(AND(E862&lt;=3,E862&gt;=2,F862&gt;=3),"Rawan",IF(AND(E862&lt;=2,F862&lt;=2),"Tidur","Umum"))))))</f>
        <v/>
      </c>
    </row>
    <row r="863">
      <c r="B863">
        <f>IF(A863="","",$B$1-MAXIFS(Donasi!$A$2:$A$20000,Donasi!$B$2:$B$20000,A863))</f>
        <v/>
      </c>
      <c r="C863">
        <f>IF(A863="","",COUNTIF(Donasi!$B$2:$B$20000,A863))</f>
        <v/>
      </c>
      <c r="D863">
        <f>IF(A863="","",SUMIF(Donasi!$B$2:$B$20000,A863,Donasi!$C$2:$C$20000))</f>
        <v/>
      </c>
      <c r="E863">
        <f>IF(A863="","",6-CEILING(PERCENTRANK.INC($B$3:$B$6000,B863,4)*5+0.000001,1))</f>
        <v/>
      </c>
      <c r="F863">
        <f>IF(A863="","",MAX(1,CEILING(PERCENTRANK.INC($C$3:$C$6000,C863,4)*5+0.000001,1)))</f>
        <v/>
      </c>
      <c r="G863">
        <f>IF(A863="","",MAX(1,CEILING(PERCENTRANK.INC($D$3:$D$6000,D863,4)*5+0.000001,1)))</f>
        <v/>
      </c>
      <c r="H863">
        <f>IF(A863="","",E863&amp;F863&amp;G863)</f>
        <v/>
      </c>
      <c r="I863">
        <f>IF(A863="","",IF(AND(E863&gt;=4,F863&gt;=4,G863&gt;=4),"Juara",IF(AND(F863&gt;=4,E863&gt;=3),"Setia",IF(AND(E863=5,F863&lt;=2,G863&gt;=3),"Berpotensi",IF(AND(E863&lt;=3,E863&gt;=2,F863&gt;=3),"Rawan",IF(AND(E863&lt;=2,F863&lt;=2),"Tidur","Umum"))))))</f>
        <v/>
      </c>
    </row>
    <row r="864">
      <c r="B864">
        <f>IF(A864="","",$B$1-MAXIFS(Donasi!$A$2:$A$20000,Donasi!$B$2:$B$20000,A864))</f>
        <v/>
      </c>
      <c r="C864">
        <f>IF(A864="","",COUNTIF(Donasi!$B$2:$B$20000,A864))</f>
        <v/>
      </c>
      <c r="D864">
        <f>IF(A864="","",SUMIF(Donasi!$B$2:$B$20000,A864,Donasi!$C$2:$C$20000))</f>
        <v/>
      </c>
      <c r="E864">
        <f>IF(A864="","",6-CEILING(PERCENTRANK.INC($B$3:$B$6000,B864,4)*5+0.000001,1))</f>
        <v/>
      </c>
      <c r="F864">
        <f>IF(A864="","",MAX(1,CEILING(PERCENTRANK.INC($C$3:$C$6000,C864,4)*5+0.000001,1)))</f>
        <v/>
      </c>
      <c r="G864">
        <f>IF(A864="","",MAX(1,CEILING(PERCENTRANK.INC($D$3:$D$6000,D864,4)*5+0.000001,1)))</f>
        <v/>
      </c>
      <c r="H864">
        <f>IF(A864="","",E864&amp;F864&amp;G864)</f>
        <v/>
      </c>
      <c r="I864">
        <f>IF(A864="","",IF(AND(E864&gt;=4,F864&gt;=4,G864&gt;=4),"Juara",IF(AND(F864&gt;=4,E864&gt;=3),"Setia",IF(AND(E864=5,F864&lt;=2,G864&gt;=3),"Berpotensi",IF(AND(E864&lt;=3,E864&gt;=2,F864&gt;=3),"Rawan",IF(AND(E864&lt;=2,F864&lt;=2),"Tidur","Umum"))))))</f>
        <v/>
      </c>
    </row>
    <row r="865">
      <c r="B865">
        <f>IF(A865="","",$B$1-MAXIFS(Donasi!$A$2:$A$20000,Donasi!$B$2:$B$20000,A865))</f>
        <v/>
      </c>
      <c r="C865">
        <f>IF(A865="","",COUNTIF(Donasi!$B$2:$B$20000,A865))</f>
        <v/>
      </c>
      <c r="D865">
        <f>IF(A865="","",SUMIF(Donasi!$B$2:$B$20000,A865,Donasi!$C$2:$C$20000))</f>
        <v/>
      </c>
      <c r="E865">
        <f>IF(A865="","",6-CEILING(PERCENTRANK.INC($B$3:$B$6000,B865,4)*5+0.000001,1))</f>
        <v/>
      </c>
      <c r="F865">
        <f>IF(A865="","",MAX(1,CEILING(PERCENTRANK.INC($C$3:$C$6000,C865,4)*5+0.000001,1)))</f>
        <v/>
      </c>
      <c r="G865">
        <f>IF(A865="","",MAX(1,CEILING(PERCENTRANK.INC($D$3:$D$6000,D865,4)*5+0.000001,1)))</f>
        <v/>
      </c>
      <c r="H865">
        <f>IF(A865="","",E865&amp;F865&amp;G865)</f>
        <v/>
      </c>
      <c r="I865">
        <f>IF(A865="","",IF(AND(E865&gt;=4,F865&gt;=4,G865&gt;=4),"Juara",IF(AND(F865&gt;=4,E865&gt;=3),"Setia",IF(AND(E865=5,F865&lt;=2,G865&gt;=3),"Berpotensi",IF(AND(E865&lt;=3,E865&gt;=2,F865&gt;=3),"Rawan",IF(AND(E865&lt;=2,F865&lt;=2),"Tidur","Umum"))))))</f>
        <v/>
      </c>
    </row>
    <row r="866">
      <c r="B866">
        <f>IF(A866="","",$B$1-MAXIFS(Donasi!$A$2:$A$20000,Donasi!$B$2:$B$20000,A866))</f>
        <v/>
      </c>
      <c r="C866">
        <f>IF(A866="","",COUNTIF(Donasi!$B$2:$B$20000,A866))</f>
        <v/>
      </c>
      <c r="D866">
        <f>IF(A866="","",SUMIF(Donasi!$B$2:$B$20000,A866,Donasi!$C$2:$C$20000))</f>
        <v/>
      </c>
      <c r="E866">
        <f>IF(A866="","",6-CEILING(PERCENTRANK.INC($B$3:$B$6000,B866,4)*5+0.000001,1))</f>
        <v/>
      </c>
      <c r="F866">
        <f>IF(A866="","",MAX(1,CEILING(PERCENTRANK.INC($C$3:$C$6000,C866,4)*5+0.000001,1)))</f>
        <v/>
      </c>
      <c r="G866">
        <f>IF(A866="","",MAX(1,CEILING(PERCENTRANK.INC($D$3:$D$6000,D866,4)*5+0.000001,1)))</f>
        <v/>
      </c>
      <c r="H866">
        <f>IF(A866="","",E866&amp;F866&amp;G866)</f>
        <v/>
      </c>
      <c r="I866">
        <f>IF(A866="","",IF(AND(E866&gt;=4,F866&gt;=4,G866&gt;=4),"Juara",IF(AND(F866&gt;=4,E866&gt;=3),"Setia",IF(AND(E866=5,F866&lt;=2,G866&gt;=3),"Berpotensi",IF(AND(E866&lt;=3,E866&gt;=2,F866&gt;=3),"Rawan",IF(AND(E866&lt;=2,F866&lt;=2),"Tidur","Umum"))))))</f>
        <v/>
      </c>
    </row>
    <row r="867">
      <c r="B867">
        <f>IF(A867="","",$B$1-MAXIFS(Donasi!$A$2:$A$20000,Donasi!$B$2:$B$20000,A867))</f>
        <v/>
      </c>
      <c r="C867">
        <f>IF(A867="","",COUNTIF(Donasi!$B$2:$B$20000,A867))</f>
        <v/>
      </c>
      <c r="D867">
        <f>IF(A867="","",SUMIF(Donasi!$B$2:$B$20000,A867,Donasi!$C$2:$C$20000))</f>
        <v/>
      </c>
      <c r="E867">
        <f>IF(A867="","",6-CEILING(PERCENTRANK.INC($B$3:$B$6000,B867,4)*5+0.000001,1))</f>
        <v/>
      </c>
      <c r="F867">
        <f>IF(A867="","",MAX(1,CEILING(PERCENTRANK.INC($C$3:$C$6000,C867,4)*5+0.000001,1)))</f>
        <v/>
      </c>
      <c r="G867">
        <f>IF(A867="","",MAX(1,CEILING(PERCENTRANK.INC($D$3:$D$6000,D867,4)*5+0.000001,1)))</f>
        <v/>
      </c>
      <c r="H867">
        <f>IF(A867="","",E867&amp;F867&amp;G867)</f>
        <v/>
      </c>
      <c r="I867">
        <f>IF(A867="","",IF(AND(E867&gt;=4,F867&gt;=4,G867&gt;=4),"Juara",IF(AND(F867&gt;=4,E867&gt;=3),"Setia",IF(AND(E867=5,F867&lt;=2,G867&gt;=3),"Berpotensi",IF(AND(E867&lt;=3,E867&gt;=2,F867&gt;=3),"Rawan",IF(AND(E867&lt;=2,F867&lt;=2),"Tidur","Umum"))))))</f>
        <v/>
      </c>
    </row>
    <row r="868">
      <c r="B868">
        <f>IF(A868="","",$B$1-MAXIFS(Donasi!$A$2:$A$20000,Donasi!$B$2:$B$20000,A868))</f>
        <v/>
      </c>
      <c r="C868">
        <f>IF(A868="","",COUNTIF(Donasi!$B$2:$B$20000,A868))</f>
        <v/>
      </c>
      <c r="D868">
        <f>IF(A868="","",SUMIF(Donasi!$B$2:$B$20000,A868,Donasi!$C$2:$C$20000))</f>
        <v/>
      </c>
      <c r="E868">
        <f>IF(A868="","",6-CEILING(PERCENTRANK.INC($B$3:$B$6000,B868,4)*5+0.000001,1))</f>
        <v/>
      </c>
      <c r="F868">
        <f>IF(A868="","",MAX(1,CEILING(PERCENTRANK.INC($C$3:$C$6000,C868,4)*5+0.000001,1)))</f>
        <v/>
      </c>
      <c r="G868">
        <f>IF(A868="","",MAX(1,CEILING(PERCENTRANK.INC($D$3:$D$6000,D868,4)*5+0.000001,1)))</f>
        <v/>
      </c>
      <c r="H868">
        <f>IF(A868="","",E868&amp;F868&amp;G868)</f>
        <v/>
      </c>
      <c r="I868">
        <f>IF(A868="","",IF(AND(E868&gt;=4,F868&gt;=4,G868&gt;=4),"Juara",IF(AND(F868&gt;=4,E868&gt;=3),"Setia",IF(AND(E868=5,F868&lt;=2,G868&gt;=3),"Berpotensi",IF(AND(E868&lt;=3,E868&gt;=2,F868&gt;=3),"Rawan",IF(AND(E868&lt;=2,F868&lt;=2),"Tidur","Umum"))))))</f>
        <v/>
      </c>
    </row>
    <row r="869">
      <c r="B869">
        <f>IF(A869="","",$B$1-MAXIFS(Donasi!$A$2:$A$20000,Donasi!$B$2:$B$20000,A869))</f>
        <v/>
      </c>
      <c r="C869">
        <f>IF(A869="","",COUNTIF(Donasi!$B$2:$B$20000,A869))</f>
        <v/>
      </c>
      <c r="D869">
        <f>IF(A869="","",SUMIF(Donasi!$B$2:$B$20000,A869,Donasi!$C$2:$C$20000))</f>
        <v/>
      </c>
      <c r="E869">
        <f>IF(A869="","",6-CEILING(PERCENTRANK.INC($B$3:$B$6000,B869,4)*5+0.000001,1))</f>
        <v/>
      </c>
      <c r="F869">
        <f>IF(A869="","",MAX(1,CEILING(PERCENTRANK.INC($C$3:$C$6000,C869,4)*5+0.000001,1)))</f>
        <v/>
      </c>
      <c r="G869">
        <f>IF(A869="","",MAX(1,CEILING(PERCENTRANK.INC($D$3:$D$6000,D869,4)*5+0.000001,1)))</f>
        <v/>
      </c>
      <c r="H869">
        <f>IF(A869="","",E869&amp;F869&amp;G869)</f>
        <v/>
      </c>
      <c r="I869">
        <f>IF(A869="","",IF(AND(E869&gt;=4,F869&gt;=4,G869&gt;=4),"Juara",IF(AND(F869&gt;=4,E869&gt;=3),"Setia",IF(AND(E869=5,F869&lt;=2,G869&gt;=3),"Berpotensi",IF(AND(E869&lt;=3,E869&gt;=2,F869&gt;=3),"Rawan",IF(AND(E869&lt;=2,F869&lt;=2),"Tidur","Umum"))))))</f>
        <v/>
      </c>
    </row>
    <row r="870">
      <c r="B870">
        <f>IF(A870="","",$B$1-MAXIFS(Donasi!$A$2:$A$20000,Donasi!$B$2:$B$20000,A870))</f>
        <v/>
      </c>
      <c r="C870">
        <f>IF(A870="","",COUNTIF(Donasi!$B$2:$B$20000,A870))</f>
        <v/>
      </c>
      <c r="D870">
        <f>IF(A870="","",SUMIF(Donasi!$B$2:$B$20000,A870,Donasi!$C$2:$C$20000))</f>
        <v/>
      </c>
      <c r="E870">
        <f>IF(A870="","",6-CEILING(PERCENTRANK.INC($B$3:$B$6000,B870,4)*5+0.000001,1))</f>
        <v/>
      </c>
      <c r="F870">
        <f>IF(A870="","",MAX(1,CEILING(PERCENTRANK.INC($C$3:$C$6000,C870,4)*5+0.000001,1)))</f>
        <v/>
      </c>
      <c r="G870">
        <f>IF(A870="","",MAX(1,CEILING(PERCENTRANK.INC($D$3:$D$6000,D870,4)*5+0.000001,1)))</f>
        <v/>
      </c>
      <c r="H870">
        <f>IF(A870="","",E870&amp;F870&amp;G870)</f>
        <v/>
      </c>
      <c r="I870">
        <f>IF(A870="","",IF(AND(E870&gt;=4,F870&gt;=4,G870&gt;=4),"Juara",IF(AND(F870&gt;=4,E870&gt;=3),"Setia",IF(AND(E870=5,F870&lt;=2,G870&gt;=3),"Berpotensi",IF(AND(E870&lt;=3,E870&gt;=2,F870&gt;=3),"Rawan",IF(AND(E870&lt;=2,F870&lt;=2),"Tidur","Umum"))))))</f>
        <v/>
      </c>
    </row>
    <row r="871">
      <c r="B871">
        <f>IF(A871="","",$B$1-MAXIFS(Donasi!$A$2:$A$20000,Donasi!$B$2:$B$20000,A871))</f>
        <v/>
      </c>
      <c r="C871">
        <f>IF(A871="","",COUNTIF(Donasi!$B$2:$B$20000,A871))</f>
        <v/>
      </c>
      <c r="D871">
        <f>IF(A871="","",SUMIF(Donasi!$B$2:$B$20000,A871,Donasi!$C$2:$C$20000))</f>
        <v/>
      </c>
      <c r="E871">
        <f>IF(A871="","",6-CEILING(PERCENTRANK.INC($B$3:$B$6000,B871,4)*5+0.000001,1))</f>
        <v/>
      </c>
      <c r="F871">
        <f>IF(A871="","",MAX(1,CEILING(PERCENTRANK.INC($C$3:$C$6000,C871,4)*5+0.000001,1)))</f>
        <v/>
      </c>
      <c r="G871">
        <f>IF(A871="","",MAX(1,CEILING(PERCENTRANK.INC($D$3:$D$6000,D871,4)*5+0.000001,1)))</f>
        <v/>
      </c>
      <c r="H871">
        <f>IF(A871="","",E871&amp;F871&amp;G871)</f>
        <v/>
      </c>
      <c r="I871">
        <f>IF(A871="","",IF(AND(E871&gt;=4,F871&gt;=4,G871&gt;=4),"Juara",IF(AND(F871&gt;=4,E871&gt;=3),"Setia",IF(AND(E871=5,F871&lt;=2,G871&gt;=3),"Berpotensi",IF(AND(E871&lt;=3,E871&gt;=2,F871&gt;=3),"Rawan",IF(AND(E871&lt;=2,F871&lt;=2),"Tidur","Umum"))))))</f>
        <v/>
      </c>
    </row>
    <row r="872">
      <c r="B872">
        <f>IF(A872="","",$B$1-MAXIFS(Donasi!$A$2:$A$20000,Donasi!$B$2:$B$20000,A872))</f>
        <v/>
      </c>
      <c r="C872">
        <f>IF(A872="","",COUNTIF(Donasi!$B$2:$B$20000,A872))</f>
        <v/>
      </c>
      <c r="D872">
        <f>IF(A872="","",SUMIF(Donasi!$B$2:$B$20000,A872,Donasi!$C$2:$C$20000))</f>
        <v/>
      </c>
      <c r="E872">
        <f>IF(A872="","",6-CEILING(PERCENTRANK.INC($B$3:$B$6000,B872,4)*5+0.000001,1))</f>
        <v/>
      </c>
      <c r="F872">
        <f>IF(A872="","",MAX(1,CEILING(PERCENTRANK.INC($C$3:$C$6000,C872,4)*5+0.000001,1)))</f>
        <v/>
      </c>
      <c r="G872">
        <f>IF(A872="","",MAX(1,CEILING(PERCENTRANK.INC($D$3:$D$6000,D872,4)*5+0.000001,1)))</f>
        <v/>
      </c>
      <c r="H872">
        <f>IF(A872="","",E872&amp;F872&amp;G872)</f>
        <v/>
      </c>
      <c r="I872">
        <f>IF(A872="","",IF(AND(E872&gt;=4,F872&gt;=4,G872&gt;=4),"Juara",IF(AND(F872&gt;=4,E872&gt;=3),"Setia",IF(AND(E872=5,F872&lt;=2,G872&gt;=3),"Berpotensi",IF(AND(E872&lt;=3,E872&gt;=2,F872&gt;=3),"Rawan",IF(AND(E872&lt;=2,F872&lt;=2),"Tidur","Umum"))))))</f>
        <v/>
      </c>
    </row>
    <row r="873">
      <c r="B873">
        <f>IF(A873="","",$B$1-MAXIFS(Donasi!$A$2:$A$20000,Donasi!$B$2:$B$20000,A873))</f>
        <v/>
      </c>
      <c r="C873">
        <f>IF(A873="","",COUNTIF(Donasi!$B$2:$B$20000,A873))</f>
        <v/>
      </c>
      <c r="D873">
        <f>IF(A873="","",SUMIF(Donasi!$B$2:$B$20000,A873,Donasi!$C$2:$C$20000))</f>
        <v/>
      </c>
      <c r="E873">
        <f>IF(A873="","",6-CEILING(PERCENTRANK.INC($B$3:$B$6000,B873,4)*5+0.000001,1))</f>
        <v/>
      </c>
      <c r="F873">
        <f>IF(A873="","",MAX(1,CEILING(PERCENTRANK.INC($C$3:$C$6000,C873,4)*5+0.000001,1)))</f>
        <v/>
      </c>
      <c r="G873">
        <f>IF(A873="","",MAX(1,CEILING(PERCENTRANK.INC($D$3:$D$6000,D873,4)*5+0.000001,1)))</f>
        <v/>
      </c>
      <c r="H873">
        <f>IF(A873="","",E873&amp;F873&amp;G873)</f>
        <v/>
      </c>
      <c r="I873">
        <f>IF(A873="","",IF(AND(E873&gt;=4,F873&gt;=4,G873&gt;=4),"Juara",IF(AND(F873&gt;=4,E873&gt;=3),"Setia",IF(AND(E873=5,F873&lt;=2,G873&gt;=3),"Berpotensi",IF(AND(E873&lt;=3,E873&gt;=2,F873&gt;=3),"Rawan",IF(AND(E873&lt;=2,F873&lt;=2),"Tidur","Umum"))))))</f>
        <v/>
      </c>
    </row>
    <row r="874">
      <c r="B874">
        <f>IF(A874="","",$B$1-MAXIFS(Donasi!$A$2:$A$20000,Donasi!$B$2:$B$20000,A874))</f>
        <v/>
      </c>
      <c r="C874">
        <f>IF(A874="","",COUNTIF(Donasi!$B$2:$B$20000,A874))</f>
        <v/>
      </c>
      <c r="D874">
        <f>IF(A874="","",SUMIF(Donasi!$B$2:$B$20000,A874,Donasi!$C$2:$C$20000))</f>
        <v/>
      </c>
      <c r="E874">
        <f>IF(A874="","",6-CEILING(PERCENTRANK.INC($B$3:$B$6000,B874,4)*5+0.000001,1))</f>
        <v/>
      </c>
      <c r="F874">
        <f>IF(A874="","",MAX(1,CEILING(PERCENTRANK.INC($C$3:$C$6000,C874,4)*5+0.000001,1)))</f>
        <v/>
      </c>
      <c r="G874">
        <f>IF(A874="","",MAX(1,CEILING(PERCENTRANK.INC($D$3:$D$6000,D874,4)*5+0.000001,1)))</f>
        <v/>
      </c>
      <c r="H874">
        <f>IF(A874="","",E874&amp;F874&amp;G874)</f>
        <v/>
      </c>
      <c r="I874">
        <f>IF(A874="","",IF(AND(E874&gt;=4,F874&gt;=4,G874&gt;=4),"Juara",IF(AND(F874&gt;=4,E874&gt;=3),"Setia",IF(AND(E874=5,F874&lt;=2,G874&gt;=3),"Berpotensi",IF(AND(E874&lt;=3,E874&gt;=2,F874&gt;=3),"Rawan",IF(AND(E874&lt;=2,F874&lt;=2),"Tidur","Umum"))))))</f>
        <v/>
      </c>
    </row>
    <row r="875">
      <c r="B875">
        <f>IF(A875="","",$B$1-MAXIFS(Donasi!$A$2:$A$20000,Donasi!$B$2:$B$20000,A875))</f>
        <v/>
      </c>
      <c r="C875">
        <f>IF(A875="","",COUNTIF(Donasi!$B$2:$B$20000,A875))</f>
        <v/>
      </c>
      <c r="D875">
        <f>IF(A875="","",SUMIF(Donasi!$B$2:$B$20000,A875,Donasi!$C$2:$C$20000))</f>
        <v/>
      </c>
      <c r="E875">
        <f>IF(A875="","",6-CEILING(PERCENTRANK.INC($B$3:$B$6000,B875,4)*5+0.000001,1))</f>
        <v/>
      </c>
      <c r="F875">
        <f>IF(A875="","",MAX(1,CEILING(PERCENTRANK.INC($C$3:$C$6000,C875,4)*5+0.000001,1)))</f>
        <v/>
      </c>
      <c r="G875">
        <f>IF(A875="","",MAX(1,CEILING(PERCENTRANK.INC($D$3:$D$6000,D875,4)*5+0.000001,1)))</f>
        <v/>
      </c>
      <c r="H875">
        <f>IF(A875="","",E875&amp;F875&amp;G875)</f>
        <v/>
      </c>
      <c r="I875">
        <f>IF(A875="","",IF(AND(E875&gt;=4,F875&gt;=4,G875&gt;=4),"Juara",IF(AND(F875&gt;=4,E875&gt;=3),"Setia",IF(AND(E875=5,F875&lt;=2,G875&gt;=3),"Berpotensi",IF(AND(E875&lt;=3,E875&gt;=2,F875&gt;=3),"Rawan",IF(AND(E875&lt;=2,F875&lt;=2),"Tidur","Umum"))))))</f>
        <v/>
      </c>
    </row>
    <row r="876">
      <c r="B876">
        <f>IF(A876="","",$B$1-MAXIFS(Donasi!$A$2:$A$20000,Donasi!$B$2:$B$20000,A876))</f>
        <v/>
      </c>
      <c r="C876">
        <f>IF(A876="","",COUNTIF(Donasi!$B$2:$B$20000,A876))</f>
        <v/>
      </c>
      <c r="D876">
        <f>IF(A876="","",SUMIF(Donasi!$B$2:$B$20000,A876,Donasi!$C$2:$C$20000))</f>
        <v/>
      </c>
      <c r="E876">
        <f>IF(A876="","",6-CEILING(PERCENTRANK.INC($B$3:$B$6000,B876,4)*5+0.000001,1))</f>
        <v/>
      </c>
      <c r="F876">
        <f>IF(A876="","",MAX(1,CEILING(PERCENTRANK.INC($C$3:$C$6000,C876,4)*5+0.000001,1)))</f>
        <v/>
      </c>
      <c r="G876">
        <f>IF(A876="","",MAX(1,CEILING(PERCENTRANK.INC($D$3:$D$6000,D876,4)*5+0.000001,1)))</f>
        <v/>
      </c>
      <c r="H876">
        <f>IF(A876="","",E876&amp;F876&amp;G876)</f>
        <v/>
      </c>
      <c r="I876">
        <f>IF(A876="","",IF(AND(E876&gt;=4,F876&gt;=4,G876&gt;=4),"Juara",IF(AND(F876&gt;=4,E876&gt;=3),"Setia",IF(AND(E876=5,F876&lt;=2,G876&gt;=3),"Berpotensi",IF(AND(E876&lt;=3,E876&gt;=2,F876&gt;=3),"Rawan",IF(AND(E876&lt;=2,F876&lt;=2),"Tidur","Umum"))))))</f>
        <v/>
      </c>
    </row>
    <row r="877">
      <c r="B877">
        <f>IF(A877="","",$B$1-MAXIFS(Donasi!$A$2:$A$20000,Donasi!$B$2:$B$20000,A877))</f>
        <v/>
      </c>
      <c r="C877">
        <f>IF(A877="","",COUNTIF(Donasi!$B$2:$B$20000,A877))</f>
        <v/>
      </c>
      <c r="D877">
        <f>IF(A877="","",SUMIF(Donasi!$B$2:$B$20000,A877,Donasi!$C$2:$C$20000))</f>
        <v/>
      </c>
      <c r="E877">
        <f>IF(A877="","",6-CEILING(PERCENTRANK.INC($B$3:$B$6000,B877,4)*5+0.000001,1))</f>
        <v/>
      </c>
      <c r="F877">
        <f>IF(A877="","",MAX(1,CEILING(PERCENTRANK.INC($C$3:$C$6000,C877,4)*5+0.000001,1)))</f>
        <v/>
      </c>
      <c r="G877">
        <f>IF(A877="","",MAX(1,CEILING(PERCENTRANK.INC($D$3:$D$6000,D877,4)*5+0.000001,1)))</f>
        <v/>
      </c>
      <c r="H877">
        <f>IF(A877="","",E877&amp;F877&amp;G877)</f>
        <v/>
      </c>
      <c r="I877">
        <f>IF(A877="","",IF(AND(E877&gt;=4,F877&gt;=4,G877&gt;=4),"Juara",IF(AND(F877&gt;=4,E877&gt;=3),"Setia",IF(AND(E877=5,F877&lt;=2,G877&gt;=3),"Berpotensi",IF(AND(E877&lt;=3,E877&gt;=2,F877&gt;=3),"Rawan",IF(AND(E877&lt;=2,F877&lt;=2),"Tidur","Umum"))))))</f>
        <v/>
      </c>
    </row>
    <row r="878">
      <c r="B878">
        <f>IF(A878="","",$B$1-MAXIFS(Donasi!$A$2:$A$20000,Donasi!$B$2:$B$20000,A878))</f>
        <v/>
      </c>
      <c r="C878">
        <f>IF(A878="","",COUNTIF(Donasi!$B$2:$B$20000,A878))</f>
        <v/>
      </c>
      <c r="D878">
        <f>IF(A878="","",SUMIF(Donasi!$B$2:$B$20000,A878,Donasi!$C$2:$C$20000))</f>
        <v/>
      </c>
      <c r="E878">
        <f>IF(A878="","",6-CEILING(PERCENTRANK.INC($B$3:$B$6000,B878,4)*5+0.000001,1))</f>
        <v/>
      </c>
      <c r="F878">
        <f>IF(A878="","",MAX(1,CEILING(PERCENTRANK.INC($C$3:$C$6000,C878,4)*5+0.000001,1)))</f>
        <v/>
      </c>
      <c r="G878">
        <f>IF(A878="","",MAX(1,CEILING(PERCENTRANK.INC($D$3:$D$6000,D878,4)*5+0.000001,1)))</f>
        <v/>
      </c>
      <c r="H878">
        <f>IF(A878="","",E878&amp;F878&amp;G878)</f>
        <v/>
      </c>
      <c r="I878">
        <f>IF(A878="","",IF(AND(E878&gt;=4,F878&gt;=4,G878&gt;=4),"Juara",IF(AND(F878&gt;=4,E878&gt;=3),"Setia",IF(AND(E878=5,F878&lt;=2,G878&gt;=3),"Berpotensi",IF(AND(E878&lt;=3,E878&gt;=2,F878&gt;=3),"Rawan",IF(AND(E878&lt;=2,F878&lt;=2),"Tidur","Umum"))))))</f>
        <v/>
      </c>
    </row>
    <row r="879">
      <c r="B879">
        <f>IF(A879="","",$B$1-MAXIFS(Donasi!$A$2:$A$20000,Donasi!$B$2:$B$20000,A879))</f>
        <v/>
      </c>
      <c r="C879">
        <f>IF(A879="","",COUNTIF(Donasi!$B$2:$B$20000,A879))</f>
        <v/>
      </c>
      <c r="D879">
        <f>IF(A879="","",SUMIF(Donasi!$B$2:$B$20000,A879,Donasi!$C$2:$C$20000))</f>
        <v/>
      </c>
      <c r="E879">
        <f>IF(A879="","",6-CEILING(PERCENTRANK.INC($B$3:$B$6000,B879,4)*5+0.000001,1))</f>
        <v/>
      </c>
      <c r="F879">
        <f>IF(A879="","",MAX(1,CEILING(PERCENTRANK.INC($C$3:$C$6000,C879,4)*5+0.000001,1)))</f>
        <v/>
      </c>
      <c r="G879">
        <f>IF(A879="","",MAX(1,CEILING(PERCENTRANK.INC($D$3:$D$6000,D879,4)*5+0.000001,1)))</f>
        <v/>
      </c>
      <c r="H879">
        <f>IF(A879="","",E879&amp;F879&amp;G879)</f>
        <v/>
      </c>
      <c r="I879">
        <f>IF(A879="","",IF(AND(E879&gt;=4,F879&gt;=4,G879&gt;=4),"Juara",IF(AND(F879&gt;=4,E879&gt;=3),"Setia",IF(AND(E879=5,F879&lt;=2,G879&gt;=3),"Berpotensi",IF(AND(E879&lt;=3,E879&gt;=2,F879&gt;=3),"Rawan",IF(AND(E879&lt;=2,F879&lt;=2),"Tidur","Umum"))))))</f>
        <v/>
      </c>
    </row>
    <row r="880">
      <c r="B880">
        <f>IF(A880="","",$B$1-MAXIFS(Donasi!$A$2:$A$20000,Donasi!$B$2:$B$20000,A880))</f>
        <v/>
      </c>
      <c r="C880">
        <f>IF(A880="","",COUNTIF(Donasi!$B$2:$B$20000,A880))</f>
        <v/>
      </c>
      <c r="D880">
        <f>IF(A880="","",SUMIF(Donasi!$B$2:$B$20000,A880,Donasi!$C$2:$C$20000))</f>
        <v/>
      </c>
      <c r="E880">
        <f>IF(A880="","",6-CEILING(PERCENTRANK.INC($B$3:$B$6000,B880,4)*5+0.000001,1))</f>
        <v/>
      </c>
      <c r="F880">
        <f>IF(A880="","",MAX(1,CEILING(PERCENTRANK.INC($C$3:$C$6000,C880,4)*5+0.000001,1)))</f>
        <v/>
      </c>
      <c r="G880">
        <f>IF(A880="","",MAX(1,CEILING(PERCENTRANK.INC($D$3:$D$6000,D880,4)*5+0.000001,1)))</f>
        <v/>
      </c>
      <c r="H880">
        <f>IF(A880="","",E880&amp;F880&amp;G880)</f>
        <v/>
      </c>
      <c r="I880">
        <f>IF(A880="","",IF(AND(E880&gt;=4,F880&gt;=4,G880&gt;=4),"Juara",IF(AND(F880&gt;=4,E880&gt;=3),"Setia",IF(AND(E880=5,F880&lt;=2,G880&gt;=3),"Berpotensi",IF(AND(E880&lt;=3,E880&gt;=2,F880&gt;=3),"Rawan",IF(AND(E880&lt;=2,F880&lt;=2),"Tidur","Umum"))))))</f>
        <v/>
      </c>
    </row>
    <row r="881">
      <c r="B881">
        <f>IF(A881="","",$B$1-MAXIFS(Donasi!$A$2:$A$20000,Donasi!$B$2:$B$20000,A881))</f>
        <v/>
      </c>
      <c r="C881">
        <f>IF(A881="","",COUNTIF(Donasi!$B$2:$B$20000,A881))</f>
        <v/>
      </c>
      <c r="D881">
        <f>IF(A881="","",SUMIF(Donasi!$B$2:$B$20000,A881,Donasi!$C$2:$C$20000))</f>
        <v/>
      </c>
      <c r="E881">
        <f>IF(A881="","",6-CEILING(PERCENTRANK.INC($B$3:$B$6000,B881,4)*5+0.000001,1))</f>
        <v/>
      </c>
      <c r="F881">
        <f>IF(A881="","",MAX(1,CEILING(PERCENTRANK.INC($C$3:$C$6000,C881,4)*5+0.000001,1)))</f>
        <v/>
      </c>
      <c r="G881">
        <f>IF(A881="","",MAX(1,CEILING(PERCENTRANK.INC($D$3:$D$6000,D881,4)*5+0.000001,1)))</f>
        <v/>
      </c>
      <c r="H881">
        <f>IF(A881="","",E881&amp;F881&amp;G881)</f>
        <v/>
      </c>
      <c r="I881">
        <f>IF(A881="","",IF(AND(E881&gt;=4,F881&gt;=4,G881&gt;=4),"Juara",IF(AND(F881&gt;=4,E881&gt;=3),"Setia",IF(AND(E881=5,F881&lt;=2,G881&gt;=3),"Berpotensi",IF(AND(E881&lt;=3,E881&gt;=2,F881&gt;=3),"Rawan",IF(AND(E881&lt;=2,F881&lt;=2),"Tidur","Umum"))))))</f>
        <v/>
      </c>
    </row>
    <row r="882">
      <c r="B882">
        <f>IF(A882="","",$B$1-MAXIFS(Donasi!$A$2:$A$20000,Donasi!$B$2:$B$20000,A882))</f>
        <v/>
      </c>
      <c r="C882">
        <f>IF(A882="","",COUNTIF(Donasi!$B$2:$B$20000,A882))</f>
        <v/>
      </c>
      <c r="D882">
        <f>IF(A882="","",SUMIF(Donasi!$B$2:$B$20000,A882,Donasi!$C$2:$C$20000))</f>
        <v/>
      </c>
      <c r="E882">
        <f>IF(A882="","",6-CEILING(PERCENTRANK.INC($B$3:$B$6000,B882,4)*5+0.000001,1))</f>
        <v/>
      </c>
      <c r="F882">
        <f>IF(A882="","",MAX(1,CEILING(PERCENTRANK.INC($C$3:$C$6000,C882,4)*5+0.000001,1)))</f>
        <v/>
      </c>
      <c r="G882">
        <f>IF(A882="","",MAX(1,CEILING(PERCENTRANK.INC($D$3:$D$6000,D882,4)*5+0.000001,1)))</f>
        <v/>
      </c>
      <c r="H882">
        <f>IF(A882="","",E882&amp;F882&amp;G882)</f>
        <v/>
      </c>
      <c r="I882">
        <f>IF(A882="","",IF(AND(E882&gt;=4,F882&gt;=4,G882&gt;=4),"Juara",IF(AND(F882&gt;=4,E882&gt;=3),"Setia",IF(AND(E882=5,F882&lt;=2,G882&gt;=3),"Berpotensi",IF(AND(E882&lt;=3,E882&gt;=2,F882&gt;=3),"Rawan",IF(AND(E882&lt;=2,F882&lt;=2),"Tidur","Umum"))))))</f>
        <v/>
      </c>
    </row>
    <row r="883">
      <c r="B883">
        <f>IF(A883="","",$B$1-MAXIFS(Donasi!$A$2:$A$20000,Donasi!$B$2:$B$20000,A883))</f>
        <v/>
      </c>
      <c r="C883">
        <f>IF(A883="","",COUNTIF(Donasi!$B$2:$B$20000,A883))</f>
        <v/>
      </c>
      <c r="D883">
        <f>IF(A883="","",SUMIF(Donasi!$B$2:$B$20000,A883,Donasi!$C$2:$C$20000))</f>
        <v/>
      </c>
      <c r="E883">
        <f>IF(A883="","",6-CEILING(PERCENTRANK.INC($B$3:$B$6000,B883,4)*5+0.000001,1))</f>
        <v/>
      </c>
      <c r="F883">
        <f>IF(A883="","",MAX(1,CEILING(PERCENTRANK.INC($C$3:$C$6000,C883,4)*5+0.000001,1)))</f>
        <v/>
      </c>
      <c r="G883">
        <f>IF(A883="","",MAX(1,CEILING(PERCENTRANK.INC($D$3:$D$6000,D883,4)*5+0.000001,1)))</f>
        <v/>
      </c>
      <c r="H883">
        <f>IF(A883="","",E883&amp;F883&amp;G883)</f>
        <v/>
      </c>
      <c r="I883">
        <f>IF(A883="","",IF(AND(E883&gt;=4,F883&gt;=4,G883&gt;=4),"Juara",IF(AND(F883&gt;=4,E883&gt;=3),"Setia",IF(AND(E883=5,F883&lt;=2,G883&gt;=3),"Berpotensi",IF(AND(E883&lt;=3,E883&gt;=2,F883&gt;=3),"Rawan",IF(AND(E883&lt;=2,F883&lt;=2),"Tidur","Umum"))))))</f>
        <v/>
      </c>
    </row>
    <row r="884">
      <c r="B884">
        <f>IF(A884="","",$B$1-MAXIFS(Donasi!$A$2:$A$20000,Donasi!$B$2:$B$20000,A884))</f>
        <v/>
      </c>
      <c r="C884">
        <f>IF(A884="","",COUNTIF(Donasi!$B$2:$B$20000,A884))</f>
        <v/>
      </c>
      <c r="D884">
        <f>IF(A884="","",SUMIF(Donasi!$B$2:$B$20000,A884,Donasi!$C$2:$C$20000))</f>
        <v/>
      </c>
      <c r="E884">
        <f>IF(A884="","",6-CEILING(PERCENTRANK.INC($B$3:$B$6000,B884,4)*5+0.000001,1))</f>
        <v/>
      </c>
      <c r="F884">
        <f>IF(A884="","",MAX(1,CEILING(PERCENTRANK.INC($C$3:$C$6000,C884,4)*5+0.000001,1)))</f>
        <v/>
      </c>
      <c r="G884">
        <f>IF(A884="","",MAX(1,CEILING(PERCENTRANK.INC($D$3:$D$6000,D884,4)*5+0.000001,1)))</f>
        <v/>
      </c>
      <c r="H884">
        <f>IF(A884="","",E884&amp;F884&amp;G884)</f>
        <v/>
      </c>
      <c r="I884">
        <f>IF(A884="","",IF(AND(E884&gt;=4,F884&gt;=4,G884&gt;=4),"Juara",IF(AND(F884&gt;=4,E884&gt;=3),"Setia",IF(AND(E884=5,F884&lt;=2,G884&gt;=3),"Berpotensi",IF(AND(E884&lt;=3,E884&gt;=2,F884&gt;=3),"Rawan",IF(AND(E884&lt;=2,F884&lt;=2),"Tidur","Umum"))))))</f>
        <v/>
      </c>
    </row>
    <row r="885">
      <c r="B885">
        <f>IF(A885="","",$B$1-MAXIFS(Donasi!$A$2:$A$20000,Donasi!$B$2:$B$20000,A885))</f>
        <v/>
      </c>
      <c r="C885">
        <f>IF(A885="","",COUNTIF(Donasi!$B$2:$B$20000,A885))</f>
        <v/>
      </c>
      <c r="D885">
        <f>IF(A885="","",SUMIF(Donasi!$B$2:$B$20000,A885,Donasi!$C$2:$C$20000))</f>
        <v/>
      </c>
      <c r="E885">
        <f>IF(A885="","",6-CEILING(PERCENTRANK.INC($B$3:$B$6000,B885,4)*5+0.000001,1))</f>
        <v/>
      </c>
      <c r="F885">
        <f>IF(A885="","",MAX(1,CEILING(PERCENTRANK.INC($C$3:$C$6000,C885,4)*5+0.000001,1)))</f>
        <v/>
      </c>
      <c r="G885">
        <f>IF(A885="","",MAX(1,CEILING(PERCENTRANK.INC($D$3:$D$6000,D885,4)*5+0.000001,1)))</f>
        <v/>
      </c>
      <c r="H885">
        <f>IF(A885="","",E885&amp;F885&amp;G885)</f>
        <v/>
      </c>
      <c r="I885">
        <f>IF(A885="","",IF(AND(E885&gt;=4,F885&gt;=4,G885&gt;=4),"Juara",IF(AND(F885&gt;=4,E885&gt;=3),"Setia",IF(AND(E885=5,F885&lt;=2,G885&gt;=3),"Berpotensi",IF(AND(E885&lt;=3,E885&gt;=2,F885&gt;=3),"Rawan",IF(AND(E885&lt;=2,F885&lt;=2),"Tidur","Umum"))))))</f>
        <v/>
      </c>
    </row>
    <row r="886">
      <c r="B886">
        <f>IF(A886="","",$B$1-MAXIFS(Donasi!$A$2:$A$20000,Donasi!$B$2:$B$20000,A886))</f>
        <v/>
      </c>
      <c r="C886">
        <f>IF(A886="","",COUNTIF(Donasi!$B$2:$B$20000,A886))</f>
        <v/>
      </c>
      <c r="D886">
        <f>IF(A886="","",SUMIF(Donasi!$B$2:$B$20000,A886,Donasi!$C$2:$C$20000))</f>
        <v/>
      </c>
      <c r="E886">
        <f>IF(A886="","",6-CEILING(PERCENTRANK.INC($B$3:$B$6000,B886,4)*5+0.000001,1))</f>
        <v/>
      </c>
      <c r="F886">
        <f>IF(A886="","",MAX(1,CEILING(PERCENTRANK.INC($C$3:$C$6000,C886,4)*5+0.000001,1)))</f>
        <v/>
      </c>
      <c r="G886">
        <f>IF(A886="","",MAX(1,CEILING(PERCENTRANK.INC($D$3:$D$6000,D886,4)*5+0.000001,1)))</f>
        <v/>
      </c>
      <c r="H886">
        <f>IF(A886="","",E886&amp;F886&amp;G886)</f>
        <v/>
      </c>
      <c r="I886">
        <f>IF(A886="","",IF(AND(E886&gt;=4,F886&gt;=4,G886&gt;=4),"Juara",IF(AND(F886&gt;=4,E886&gt;=3),"Setia",IF(AND(E886=5,F886&lt;=2,G886&gt;=3),"Berpotensi",IF(AND(E886&lt;=3,E886&gt;=2,F886&gt;=3),"Rawan",IF(AND(E886&lt;=2,F886&lt;=2),"Tidur","Umum"))))))</f>
        <v/>
      </c>
    </row>
    <row r="887">
      <c r="B887">
        <f>IF(A887="","",$B$1-MAXIFS(Donasi!$A$2:$A$20000,Donasi!$B$2:$B$20000,A887))</f>
        <v/>
      </c>
      <c r="C887">
        <f>IF(A887="","",COUNTIF(Donasi!$B$2:$B$20000,A887))</f>
        <v/>
      </c>
      <c r="D887">
        <f>IF(A887="","",SUMIF(Donasi!$B$2:$B$20000,A887,Donasi!$C$2:$C$20000))</f>
        <v/>
      </c>
      <c r="E887">
        <f>IF(A887="","",6-CEILING(PERCENTRANK.INC($B$3:$B$6000,B887,4)*5+0.000001,1))</f>
        <v/>
      </c>
      <c r="F887">
        <f>IF(A887="","",MAX(1,CEILING(PERCENTRANK.INC($C$3:$C$6000,C887,4)*5+0.000001,1)))</f>
        <v/>
      </c>
      <c r="G887">
        <f>IF(A887="","",MAX(1,CEILING(PERCENTRANK.INC($D$3:$D$6000,D887,4)*5+0.000001,1)))</f>
        <v/>
      </c>
      <c r="H887">
        <f>IF(A887="","",E887&amp;F887&amp;G887)</f>
        <v/>
      </c>
      <c r="I887">
        <f>IF(A887="","",IF(AND(E887&gt;=4,F887&gt;=4,G887&gt;=4),"Juara",IF(AND(F887&gt;=4,E887&gt;=3),"Setia",IF(AND(E887=5,F887&lt;=2,G887&gt;=3),"Berpotensi",IF(AND(E887&lt;=3,E887&gt;=2,F887&gt;=3),"Rawan",IF(AND(E887&lt;=2,F887&lt;=2),"Tidur","Umum"))))))</f>
        <v/>
      </c>
    </row>
    <row r="888">
      <c r="B888">
        <f>IF(A888="","",$B$1-MAXIFS(Donasi!$A$2:$A$20000,Donasi!$B$2:$B$20000,A888))</f>
        <v/>
      </c>
      <c r="C888">
        <f>IF(A888="","",COUNTIF(Donasi!$B$2:$B$20000,A888))</f>
        <v/>
      </c>
      <c r="D888">
        <f>IF(A888="","",SUMIF(Donasi!$B$2:$B$20000,A888,Donasi!$C$2:$C$20000))</f>
        <v/>
      </c>
      <c r="E888">
        <f>IF(A888="","",6-CEILING(PERCENTRANK.INC($B$3:$B$6000,B888,4)*5+0.000001,1))</f>
        <v/>
      </c>
      <c r="F888">
        <f>IF(A888="","",MAX(1,CEILING(PERCENTRANK.INC($C$3:$C$6000,C888,4)*5+0.000001,1)))</f>
        <v/>
      </c>
      <c r="G888">
        <f>IF(A888="","",MAX(1,CEILING(PERCENTRANK.INC($D$3:$D$6000,D888,4)*5+0.000001,1)))</f>
        <v/>
      </c>
      <c r="H888">
        <f>IF(A888="","",E888&amp;F888&amp;G888)</f>
        <v/>
      </c>
      <c r="I888">
        <f>IF(A888="","",IF(AND(E888&gt;=4,F888&gt;=4,G888&gt;=4),"Juara",IF(AND(F888&gt;=4,E888&gt;=3),"Setia",IF(AND(E888=5,F888&lt;=2,G888&gt;=3),"Berpotensi",IF(AND(E888&lt;=3,E888&gt;=2,F888&gt;=3),"Rawan",IF(AND(E888&lt;=2,F888&lt;=2),"Tidur","Umum"))))))</f>
        <v/>
      </c>
    </row>
    <row r="889">
      <c r="B889">
        <f>IF(A889="","",$B$1-MAXIFS(Donasi!$A$2:$A$20000,Donasi!$B$2:$B$20000,A889))</f>
        <v/>
      </c>
      <c r="C889">
        <f>IF(A889="","",COUNTIF(Donasi!$B$2:$B$20000,A889))</f>
        <v/>
      </c>
      <c r="D889">
        <f>IF(A889="","",SUMIF(Donasi!$B$2:$B$20000,A889,Donasi!$C$2:$C$20000))</f>
        <v/>
      </c>
      <c r="E889">
        <f>IF(A889="","",6-CEILING(PERCENTRANK.INC($B$3:$B$6000,B889,4)*5+0.000001,1))</f>
        <v/>
      </c>
      <c r="F889">
        <f>IF(A889="","",MAX(1,CEILING(PERCENTRANK.INC($C$3:$C$6000,C889,4)*5+0.000001,1)))</f>
        <v/>
      </c>
      <c r="G889">
        <f>IF(A889="","",MAX(1,CEILING(PERCENTRANK.INC($D$3:$D$6000,D889,4)*5+0.000001,1)))</f>
        <v/>
      </c>
      <c r="H889">
        <f>IF(A889="","",E889&amp;F889&amp;G889)</f>
        <v/>
      </c>
      <c r="I889">
        <f>IF(A889="","",IF(AND(E889&gt;=4,F889&gt;=4,G889&gt;=4),"Juara",IF(AND(F889&gt;=4,E889&gt;=3),"Setia",IF(AND(E889=5,F889&lt;=2,G889&gt;=3),"Berpotensi",IF(AND(E889&lt;=3,E889&gt;=2,F889&gt;=3),"Rawan",IF(AND(E889&lt;=2,F889&lt;=2),"Tidur","Umum"))))))</f>
        <v/>
      </c>
    </row>
    <row r="890">
      <c r="B890">
        <f>IF(A890="","",$B$1-MAXIFS(Donasi!$A$2:$A$20000,Donasi!$B$2:$B$20000,A890))</f>
        <v/>
      </c>
      <c r="C890">
        <f>IF(A890="","",COUNTIF(Donasi!$B$2:$B$20000,A890))</f>
        <v/>
      </c>
      <c r="D890">
        <f>IF(A890="","",SUMIF(Donasi!$B$2:$B$20000,A890,Donasi!$C$2:$C$20000))</f>
        <v/>
      </c>
      <c r="E890">
        <f>IF(A890="","",6-CEILING(PERCENTRANK.INC($B$3:$B$6000,B890,4)*5+0.000001,1))</f>
        <v/>
      </c>
      <c r="F890">
        <f>IF(A890="","",MAX(1,CEILING(PERCENTRANK.INC($C$3:$C$6000,C890,4)*5+0.000001,1)))</f>
        <v/>
      </c>
      <c r="G890">
        <f>IF(A890="","",MAX(1,CEILING(PERCENTRANK.INC($D$3:$D$6000,D890,4)*5+0.000001,1)))</f>
        <v/>
      </c>
      <c r="H890">
        <f>IF(A890="","",E890&amp;F890&amp;G890)</f>
        <v/>
      </c>
      <c r="I890">
        <f>IF(A890="","",IF(AND(E890&gt;=4,F890&gt;=4,G890&gt;=4),"Juara",IF(AND(F890&gt;=4,E890&gt;=3),"Setia",IF(AND(E890=5,F890&lt;=2,G890&gt;=3),"Berpotensi",IF(AND(E890&lt;=3,E890&gt;=2,F890&gt;=3),"Rawan",IF(AND(E890&lt;=2,F890&lt;=2),"Tidur","Umum"))))))</f>
        <v/>
      </c>
    </row>
    <row r="891">
      <c r="B891">
        <f>IF(A891="","",$B$1-MAXIFS(Donasi!$A$2:$A$20000,Donasi!$B$2:$B$20000,A891))</f>
        <v/>
      </c>
      <c r="C891">
        <f>IF(A891="","",COUNTIF(Donasi!$B$2:$B$20000,A891))</f>
        <v/>
      </c>
      <c r="D891">
        <f>IF(A891="","",SUMIF(Donasi!$B$2:$B$20000,A891,Donasi!$C$2:$C$20000))</f>
        <v/>
      </c>
      <c r="E891">
        <f>IF(A891="","",6-CEILING(PERCENTRANK.INC($B$3:$B$6000,B891,4)*5+0.000001,1))</f>
        <v/>
      </c>
      <c r="F891">
        <f>IF(A891="","",MAX(1,CEILING(PERCENTRANK.INC($C$3:$C$6000,C891,4)*5+0.000001,1)))</f>
        <v/>
      </c>
      <c r="G891">
        <f>IF(A891="","",MAX(1,CEILING(PERCENTRANK.INC($D$3:$D$6000,D891,4)*5+0.000001,1)))</f>
        <v/>
      </c>
      <c r="H891">
        <f>IF(A891="","",E891&amp;F891&amp;G891)</f>
        <v/>
      </c>
      <c r="I891">
        <f>IF(A891="","",IF(AND(E891&gt;=4,F891&gt;=4,G891&gt;=4),"Juara",IF(AND(F891&gt;=4,E891&gt;=3),"Setia",IF(AND(E891=5,F891&lt;=2,G891&gt;=3),"Berpotensi",IF(AND(E891&lt;=3,E891&gt;=2,F891&gt;=3),"Rawan",IF(AND(E891&lt;=2,F891&lt;=2),"Tidur","Umum"))))))</f>
        <v/>
      </c>
    </row>
    <row r="892">
      <c r="B892">
        <f>IF(A892="","",$B$1-MAXIFS(Donasi!$A$2:$A$20000,Donasi!$B$2:$B$20000,A892))</f>
        <v/>
      </c>
      <c r="C892">
        <f>IF(A892="","",COUNTIF(Donasi!$B$2:$B$20000,A892))</f>
        <v/>
      </c>
      <c r="D892">
        <f>IF(A892="","",SUMIF(Donasi!$B$2:$B$20000,A892,Donasi!$C$2:$C$20000))</f>
        <v/>
      </c>
      <c r="E892">
        <f>IF(A892="","",6-CEILING(PERCENTRANK.INC($B$3:$B$6000,B892,4)*5+0.000001,1))</f>
        <v/>
      </c>
      <c r="F892">
        <f>IF(A892="","",MAX(1,CEILING(PERCENTRANK.INC($C$3:$C$6000,C892,4)*5+0.000001,1)))</f>
        <v/>
      </c>
      <c r="G892">
        <f>IF(A892="","",MAX(1,CEILING(PERCENTRANK.INC($D$3:$D$6000,D892,4)*5+0.000001,1)))</f>
        <v/>
      </c>
      <c r="H892">
        <f>IF(A892="","",E892&amp;F892&amp;G892)</f>
        <v/>
      </c>
      <c r="I892">
        <f>IF(A892="","",IF(AND(E892&gt;=4,F892&gt;=4,G892&gt;=4),"Juara",IF(AND(F892&gt;=4,E892&gt;=3),"Setia",IF(AND(E892=5,F892&lt;=2,G892&gt;=3),"Berpotensi",IF(AND(E892&lt;=3,E892&gt;=2,F892&gt;=3),"Rawan",IF(AND(E892&lt;=2,F892&lt;=2),"Tidur","Umum"))))))</f>
        <v/>
      </c>
    </row>
    <row r="893">
      <c r="B893">
        <f>IF(A893="","",$B$1-MAXIFS(Donasi!$A$2:$A$20000,Donasi!$B$2:$B$20000,A893))</f>
        <v/>
      </c>
      <c r="C893">
        <f>IF(A893="","",COUNTIF(Donasi!$B$2:$B$20000,A893))</f>
        <v/>
      </c>
      <c r="D893">
        <f>IF(A893="","",SUMIF(Donasi!$B$2:$B$20000,A893,Donasi!$C$2:$C$20000))</f>
        <v/>
      </c>
      <c r="E893">
        <f>IF(A893="","",6-CEILING(PERCENTRANK.INC($B$3:$B$6000,B893,4)*5+0.000001,1))</f>
        <v/>
      </c>
      <c r="F893">
        <f>IF(A893="","",MAX(1,CEILING(PERCENTRANK.INC($C$3:$C$6000,C893,4)*5+0.000001,1)))</f>
        <v/>
      </c>
      <c r="G893">
        <f>IF(A893="","",MAX(1,CEILING(PERCENTRANK.INC($D$3:$D$6000,D893,4)*5+0.000001,1)))</f>
        <v/>
      </c>
      <c r="H893">
        <f>IF(A893="","",E893&amp;F893&amp;G893)</f>
        <v/>
      </c>
      <c r="I893">
        <f>IF(A893="","",IF(AND(E893&gt;=4,F893&gt;=4,G893&gt;=4),"Juara",IF(AND(F893&gt;=4,E893&gt;=3),"Setia",IF(AND(E893=5,F893&lt;=2,G893&gt;=3),"Berpotensi",IF(AND(E893&lt;=3,E893&gt;=2,F893&gt;=3),"Rawan",IF(AND(E893&lt;=2,F893&lt;=2),"Tidur","Umum"))))))</f>
        <v/>
      </c>
    </row>
    <row r="894">
      <c r="B894">
        <f>IF(A894="","",$B$1-MAXIFS(Donasi!$A$2:$A$20000,Donasi!$B$2:$B$20000,A894))</f>
        <v/>
      </c>
      <c r="C894">
        <f>IF(A894="","",COUNTIF(Donasi!$B$2:$B$20000,A894))</f>
        <v/>
      </c>
      <c r="D894">
        <f>IF(A894="","",SUMIF(Donasi!$B$2:$B$20000,A894,Donasi!$C$2:$C$20000))</f>
        <v/>
      </c>
      <c r="E894">
        <f>IF(A894="","",6-CEILING(PERCENTRANK.INC($B$3:$B$6000,B894,4)*5+0.000001,1))</f>
        <v/>
      </c>
      <c r="F894">
        <f>IF(A894="","",MAX(1,CEILING(PERCENTRANK.INC($C$3:$C$6000,C894,4)*5+0.000001,1)))</f>
        <v/>
      </c>
      <c r="G894">
        <f>IF(A894="","",MAX(1,CEILING(PERCENTRANK.INC($D$3:$D$6000,D894,4)*5+0.000001,1)))</f>
        <v/>
      </c>
      <c r="H894">
        <f>IF(A894="","",E894&amp;F894&amp;G894)</f>
        <v/>
      </c>
      <c r="I894">
        <f>IF(A894="","",IF(AND(E894&gt;=4,F894&gt;=4,G894&gt;=4),"Juara",IF(AND(F894&gt;=4,E894&gt;=3),"Setia",IF(AND(E894=5,F894&lt;=2,G894&gt;=3),"Berpotensi",IF(AND(E894&lt;=3,E894&gt;=2,F894&gt;=3),"Rawan",IF(AND(E894&lt;=2,F894&lt;=2),"Tidur","Umum"))))))</f>
        <v/>
      </c>
    </row>
    <row r="895">
      <c r="B895">
        <f>IF(A895="","",$B$1-MAXIFS(Donasi!$A$2:$A$20000,Donasi!$B$2:$B$20000,A895))</f>
        <v/>
      </c>
      <c r="C895">
        <f>IF(A895="","",COUNTIF(Donasi!$B$2:$B$20000,A895))</f>
        <v/>
      </c>
      <c r="D895">
        <f>IF(A895="","",SUMIF(Donasi!$B$2:$B$20000,A895,Donasi!$C$2:$C$20000))</f>
        <v/>
      </c>
      <c r="E895">
        <f>IF(A895="","",6-CEILING(PERCENTRANK.INC($B$3:$B$6000,B895,4)*5+0.000001,1))</f>
        <v/>
      </c>
      <c r="F895">
        <f>IF(A895="","",MAX(1,CEILING(PERCENTRANK.INC($C$3:$C$6000,C895,4)*5+0.000001,1)))</f>
        <v/>
      </c>
      <c r="G895">
        <f>IF(A895="","",MAX(1,CEILING(PERCENTRANK.INC($D$3:$D$6000,D895,4)*5+0.000001,1)))</f>
        <v/>
      </c>
      <c r="H895">
        <f>IF(A895="","",E895&amp;F895&amp;G895)</f>
        <v/>
      </c>
      <c r="I895">
        <f>IF(A895="","",IF(AND(E895&gt;=4,F895&gt;=4,G895&gt;=4),"Juara",IF(AND(F895&gt;=4,E895&gt;=3),"Setia",IF(AND(E895=5,F895&lt;=2,G895&gt;=3),"Berpotensi",IF(AND(E895&lt;=3,E895&gt;=2,F895&gt;=3),"Rawan",IF(AND(E895&lt;=2,F895&lt;=2),"Tidur","Umum"))))))</f>
        <v/>
      </c>
    </row>
    <row r="896">
      <c r="B896">
        <f>IF(A896="","",$B$1-MAXIFS(Donasi!$A$2:$A$20000,Donasi!$B$2:$B$20000,A896))</f>
        <v/>
      </c>
      <c r="C896">
        <f>IF(A896="","",COUNTIF(Donasi!$B$2:$B$20000,A896))</f>
        <v/>
      </c>
      <c r="D896">
        <f>IF(A896="","",SUMIF(Donasi!$B$2:$B$20000,A896,Donasi!$C$2:$C$20000))</f>
        <v/>
      </c>
      <c r="E896">
        <f>IF(A896="","",6-CEILING(PERCENTRANK.INC($B$3:$B$6000,B896,4)*5+0.000001,1))</f>
        <v/>
      </c>
      <c r="F896">
        <f>IF(A896="","",MAX(1,CEILING(PERCENTRANK.INC($C$3:$C$6000,C896,4)*5+0.000001,1)))</f>
        <v/>
      </c>
      <c r="G896">
        <f>IF(A896="","",MAX(1,CEILING(PERCENTRANK.INC($D$3:$D$6000,D896,4)*5+0.000001,1)))</f>
        <v/>
      </c>
      <c r="H896">
        <f>IF(A896="","",E896&amp;F896&amp;G896)</f>
        <v/>
      </c>
      <c r="I896">
        <f>IF(A896="","",IF(AND(E896&gt;=4,F896&gt;=4,G896&gt;=4),"Juara",IF(AND(F896&gt;=4,E896&gt;=3),"Setia",IF(AND(E896=5,F896&lt;=2,G896&gt;=3),"Berpotensi",IF(AND(E896&lt;=3,E896&gt;=2,F896&gt;=3),"Rawan",IF(AND(E896&lt;=2,F896&lt;=2),"Tidur","Umum"))))))</f>
        <v/>
      </c>
    </row>
    <row r="897">
      <c r="B897">
        <f>IF(A897="","",$B$1-MAXIFS(Donasi!$A$2:$A$20000,Donasi!$B$2:$B$20000,A897))</f>
        <v/>
      </c>
      <c r="C897">
        <f>IF(A897="","",COUNTIF(Donasi!$B$2:$B$20000,A897))</f>
        <v/>
      </c>
      <c r="D897">
        <f>IF(A897="","",SUMIF(Donasi!$B$2:$B$20000,A897,Donasi!$C$2:$C$20000))</f>
        <v/>
      </c>
      <c r="E897">
        <f>IF(A897="","",6-CEILING(PERCENTRANK.INC($B$3:$B$6000,B897,4)*5+0.000001,1))</f>
        <v/>
      </c>
      <c r="F897">
        <f>IF(A897="","",MAX(1,CEILING(PERCENTRANK.INC($C$3:$C$6000,C897,4)*5+0.000001,1)))</f>
        <v/>
      </c>
      <c r="G897">
        <f>IF(A897="","",MAX(1,CEILING(PERCENTRANK.INC($D$3:$D$6000,D897,4)*5+0.000001,1)))</f>
        <v/>
      </c>
      <c r="H897">
        <f>IF(A897="","",E897&amp;F897&amp;G897)</f>
        <v/>
      </c>
      <c r="I897">
        <f>IF(A897="","",IF(AND(E897&gt;=4,F897&gt;=4,G897&gt;=4),"Juara",IF(AND(F897&gt;=4,E897&gt;=3),"Setia",IF(AND(E897=5,F897&lt;=2,G897&gt;=3),"Berpotensi",IF(AND(E897&lt;=3,E897&gt;=2,F897&gt;=3),"Rawan",IF(AND(E897&lt;=2,F897&lt;=2),"Tidur","Umum"))))))</f>
        <v/>
      </c>
    </row>
    <row r="898">
      <c r="B898">
        <f>IF(A898="","",$B$1-MAXIFS(Donasi!$A$2:$A$20000,Donasi!$B$2:$B$20000,A898))</f>
        <v/>
      </c>
      <c r="C898">
        <f>IF(A898="","",COUNTIF(Donasi!$B$2:$B$20000,A898))</f>
        <v/>
      </c>
      <c r="D898">
        <f>IF(A898="","",SUMIF(Donasi!$B$2:$B$20000,A898,Donasi!$C$2:$C$20000))</f>
        <v/>
      </c>
      <c r="E898">
        <f>IF(A898="","",6-CEILING(PERCENTRANK.INC($B$3:$B$6000,B898,4)*5+0.000001,1))</f>
        <v/>
      </c>
      <c r="F898">
        <f>IF(A898="","",MAX(1,CEILING(PERCENTRANK.INC($C$3:$C$6000,C898,4)*5+0.000001,1)))</f>
        <v/>
      </c>
      <c r="G898">
        <f>IF(A898="","",MAX(1,CEILING(PERCENTRANK.INC($D$3:$D$6000,D898,4)*5+0.000001,1)))</f>
        <v/>
      </c>
      <c r="H898">
        <f>IF(A898="","",E898&amp;F898&amp;G898)</f>
        <v/>
      </c>
      <c r="I898">
        <f>IF(A898="","",IF(AND(E898&gt;=4,F898&gt;=4,G898&gt;=4),"Juara",IF(AND(F898&gt;=4,E898&gt;=3),"Setia",IF(AND(E898=5,F898&lt;=2,G898&gt;=3),"Berpotensi",IF(AND(E898&lt;=3,E898&gt;=2,F898&gt;=3),"Rawan",IF(AND(E898&lt;=2,F898&lt;=2),"Tidur","Umum"))))))</f>
        <v/>
      </c>
    </row>
    <row r="899">
      <c r="B899">
        <f>IF(A899="","",$B$1-MAXIFS(Donasi!$A$2:$A$20000,Donasi!$B$2:$B$20000,A899))</f>
        <v/>
      </c>
      <c r="C899">
        <f>IF(A899="","",COUNTIF(Donasi!$B$2:$B$20000,A899))</f>
        <v/>
      </c>
      <c r="D899">
        <f>IF(A899="","",SUMIF(Donasi!$B$2:$B$20000,A899,Donasi!$C$2:$C$20000))</f>
        <v/>
      </c>
      <c r="E899">
        <f>IF(A899="","",6-CEILING(PERCENTRANK.INC($B$3:$B$6000,B899,4)*5+0.000001,1))</f>
        <v/>
      </c>
      <c r="F899">
        <f>IF(A899="","",MAX(1,CEILING(PERCENTRANK.INC($C$3:$C$6000,C899,4)*5+0.000001,1)))</f>
        <v/>
      </c>
      <c r="G899">
        <f>IF(A899="","",MAX(1,CEILING(PERCENTRANK.INC($D$3:$D$6000,D899,4)*5+0.000001,1)))</f>
        <v/>
      </c>
      <c r="H899">
        <f>IF(A899="","",E899&amp;F899&amp;G899)</f>
        <v/>
      </c>
      <c r="I899">
        <f>IF(A899="","",IF(AND(E899&gt;=4,F899&gt;=4,G899&gt;=4),"Juara",IF(AND(F899&gt;=4,E899&gt;=3),"Setia",IF(AND(E899=5,F899&lt;=2,G899&gt;=3),"Berpotensi",IF(AND(E899&lt;=3,E899&gt;=2,F899&gt;=3),"Rawan",IF(AND(E899&lt;=2,F899&lt;=2),"Tidur","Umum"))))))</f>
        <v/>
      </c>
    </row>
    <row r="900">
      <c r="B900">
        <f>IF(A900="","",$B$1-MAXIFS(Donasi!$A$2:$A$20000,Donasi!$B$2:$B$20000,A900))</f>
        <v/>
      </c>
      <c r="C900">
        <f>IF(A900="","",COUNTIF(Donasi!$B$2:$B$20000,A900))</f>
        <v/>
      </c>
      <c r="D900">
        <f>IF(A900="","",SUMIF(Donasi!$B$2:$B$20000,A900,Donasi!$C$2:$C$20000))</f>
        <v/>
      </c>
      <c r="E900">
        <f>IF(A900="","",6-CEILING(PERCENTRANK.INC($B$3:$B$6000,B900,4)*5+0.000001,1))</f>
        <v/>
      </c>
      <c r="F900">
        <f>IF(A900="","",MAX(1,CEILING(PERCENTRANK.INC($C$3:$C$6000,C900,4)*5+0.000001,1)))</f>
        <v/>
      </c>
      <c r="G900">
        <f>IF(A900="","",MAX(1,CEILING(PERCENTRANK.INC($D$3:$D$6000,D900,4)*5+0.000001,1)))</f>
        <v/>
      </c>
      <c r="H900">
        <f>IF(A900="","",E900&amp;F900&amp;G900)</f>
        <v/>
      </c>
      <c r="I900">
        <f>IF(A900="","",IF(AND(E900&gt;=4,F900&gt;=4,G900&gt;=4),"Juara",IF(AND(F900&gt;=4,E900&gt;=3),"Setia",IF(AND(E900=5,F900&lt;=2,G900&gt;=3),"Berpotensi",IF(AND(E900&lt;=3,E900&gt;=2,F900&gt;=3),"Rawan",IF(AND(E900&lt;=2,F900&lt;=2),"Tidur","Umum"))))))</f>
        <v/>
      </c>
    </row>
    <row r="901">
      <c r="B901">
        <f>IF(A901="","",$B$1-MAXIFS(Donasi!$A$2:$A$20000,Donasi!$B$2:$B$20000,A901))</f>
        <v/>
      </c>
      <c r="C901">
        <f>IF(A901="","",COUNTIF(Donasi!$B$2:$B$20000,A901))</f>
        <v/>
      </c>
      <c r="D901">
        <f>IF(A901="","",SUMIF(Donasi!$B$2:$B$20000,A901,Donasi!$C$2:$C$20000))</f>
        <v/>
      </c>
      <c r="E901">
        <f>IF(A901="","",6-CEILING(PERCENTRANK.INC($B$3:$B$6000,B901,4)*5+0.000001,1))</f>
        <v/>
      </c>
      <c r="F901">
        <f>IF(A901="","",MAX(1,CEILING(PERCENTRANK.INC($C$3:$C$6000,C901,4)*5+0.000001,1)))</f>
        <v/>
      </c>
      <c r="G901">
        <f>IF(A901="","",MAX(1,CEILING(PERCENTRANK.INC($D$3:$D$6000,D901,4)*5+0.000001,1)))</f>
        <v/>
      </c>
      <c r="H901">
        <f>IF(A901="","",E901&amp;F901&amp;G901)</f>
        <v/>
      </c>
      <c r="I901">
        <f>IF(A901="","",IF(AND(E901&gt;=4,F901&gt;=4,G901&gt;=4),"Juara",IF(AND(F901&gt;=4,E901&gt;=3),"Setia",IF(AND(E901=5,F901&lt;=2,G901&gt;=3),"Berpotensi",IF(AND(E901&lt;=3,E901&gt;=2,F901&gt;=3),"Rawan",IF(AND(E901&lt;=2,F901&lt;=2),"Tidur","Umum"))))))</f>
        <v/>
      </c>
    </row>
    <row r="902">
      <c r="B902">
        <f>IF(A902="","",$B$1-MAXIFS(Donasi!$A$2:$A$20000,Donasi!$B$2:$B$20000,A902))</f>
        <v/>
      </c>
      <c r="C902">
        <f>IF(A902="","",COUNTIF(Donasi!$B$2:$B$20000,A902))</f>
        <v/>
      </c>
      <c r="D902">
        <f>IF(A902="","",SUMIF(Donasi!$B$2:$B$20000,A902,Donasi!$C$2:$C$20000))</f>
        <v/>
      </c>
      <c r="E902">
        <f>IF(A902="","",6-CEILING(PERCENTRANK.INC($B$3:$B$6000,B902,4)*5+0.000001,1))</f>
        <v/>
      </c>
      <c r="F902">
        <f>IF(A902="","",MAX(1,CEILING(PERCENTRANK.INC($C$3:$C$6000,C902,4)*5+0.000001,1)))</f>
        <v/>
      </c>
      <c r="G902">
        <f>IF(A902="","",MAX(1,CEILING(PERCENTRANK.INC($D$3:$D$6000,D902,4)*5+0.000001,1)))</f>
        <v/>
      </c>
      <c r="H902">
        <f>IF(A902="","",E902&amp;F902&amp;G902)</f>
        <v/>
      </c>
      <c r="I902">
        <f>IF(A902="","",IF(AND(E902&gt;=4,F902&gt;=4,G902&gt;=4),"Juara",IF(AND(F902&gt;=4,E902&gt;=3),"Setia",IF(AND(E902=5,F902&lt;=2,G902&gt;=3),"Berpotensi",IF(AND(E902&lt;=3,E902&gt;=2,F902&gt;=3),"Rawan",IF(AND(E902&lt;=2,F902&lt;=2),"Tidur","Umum"))))))</f>
        <v/>
      </c>
    </row>
    <row r="903">
      <c r="B903">
        <f>IF(A903="","",$B$1-MAXIFS(Donasi!$A$2:$A$20000,Donasi!$B$2:$B$20000,A903))</f>
        <v/>
      </c>
      <c r="C903">
        <f>IF(A903="","",COUNTIF(Donasi!$B$2:$B$20000,A903))</f>
        <v/>
      </c>
      <c r="D903">
        <f>IF(A903="","",SUMIF(Donasi!$B$2:$B$20000,A903,Donasi!$C$2:$C$20000))</f>
        <v/>
      </c>
      <c r="E903">
        <f>IF(A903="","",6-CEILING(PERCENTRANK.INC($B$3:$B$6000,B903,4)*5+0.000001,1))</f>
        <v/>
      </c>
      <c r="F903">
        <f>IF(A903="","",MAX(1,CEILING(PERCENTRANK.INC($C$3:$C$6000,C903,4)*5+0.000001,1)))</f>
        <v/>
      </c>
      <c r="G903">
        <f>IF(A903="","",MAX(1,CEILING(PERCENTRANK.INC($D$3:$D$6000,D903,4)*5+0.000001,1)))</f>
        <v/>
      </c>
      <c r="H903">
        <f>IF(A903="","",E903&amp;F903&amp;G903)</f>
        <v/>
      </c>
      <c r="I903">
        <f>IF(A903="","",IF(AND(E903&gt;=4,F903&gt;=4,G903&gt;=4),"Juara",IF(AND(F903&gt;=4,E903&gt;=3),"Setia",IF(AND(E903=5,F903&lt;=2,G903&gt;=3),"Berpotensi",IF(AND(E903&lt;=3,E903&gt;=2,F903&gt;=3),"Rawan",IF(AND(E903&lt;=2,F903&lt;=2),"Tidur","Umum"))))))</f>
        <v/>
      </c>
    </row>
    <row r="904">
      <c r="B904">
        <f>IF(A904="","",$B$1-MAXIFS(Donasi!$A$2:$A$20000,Donasi!$B$2:$B$20000,A904))</f>
        <v/>
      </c>
      <c r="C904">
        <f>IF(A904="","",COUNTIF(Donasi!$B$2:$B$20000,A904))</f>
        <v/>
      </c>
      <c r="D904">
        <f>IF(A904="","",SUMIF(Donasi!$B$2:$B$20000,A904,Donasi!$C$2:$C$20000))</f>
        <v/>
      </c>
      <c r="E904">
        <f>IF(A904="","",6-CEILING(PERCENTRANK.INC($B$3:$B$6000,B904,4)*5+0.000001,1))</f>
        <v/>
      </c>
      <c r="F904">
        <f>IF(A904="","",MAX(1,CEILING(PERCENTRANK.INC($C$3:$C$6000,C904,4)*5+0.000001,1)))</f>
        <v/>
      </c>
      <c r="G904">
        <f>IF(A904="","",MAX(1,CEILING(PERCENTRANK.INC($D$3:$D$6000,D904,4)*5+0.000001,1)))</f>
        <v/>
      </c>
      <c r="H904">
        <f>IF(A904="","",E904&amp;F904&amp;G904)</f>
        <v/>
      </c>
      <c r="I904">
        <f>IF(A904="","",IF(AND(E904&gt;=4,F904&gt;=4,G904&gt;=4),"Juara",IF(AND(F904&gt;=4,E904&gt;=3),"Setia",IF(AND(E904=5,F904&lt;=2,G904&gt;=3),"Berpotensi",IF(AND(E904&lt;=3,E904&gt;=2,F904&gt;=3),"Rawan",IF(AND(E904&lt;=2,F904&lt;=2),"Tidur","Umum"))))))</f>
        <v/>
      </c>
    </row>
    <row r="905">
      <c r="B905">
        <f>IF(A905="","",$B$1-MAXIFS(Donasi!$A$2:$A$20000,Donasi!$B$2:$B$20000,A905))</f>
        <v/>
      </c>
      <c r="C905">
        <f>IF(A905="","",COUNTIF(Donasi!$B$2:$B$20000,A905))</f>
        <v/>
      </c>
      <c r="D905">
        <f>IF(A905="","",SUMIF(Donasi!$B$2:$B$20000,A905,Donasi!$C$2:$C$20000))</f>
        <v/>
      </c>
      <c r="E905">
        <f>IF(A905="","",6-CEILING(PERCENTRANK.INC($B$3:$B$6000,B905,4)*5+0.000001,1))</f>
        <v/>
      </c>
      <c r="F905">
        <f>IF(A905="","",MAX(1,CEILING(PERCENTRANK.INC($C$3:$C$6000,C905,4)*5+0.000001,1)))</f>
        <v/>
      </c>
      <c r="G905">
        <f>IF(A905="","",MAX(1,CEILING(PERCENTRANK.INC($D$3:$D$6000,D905,4)*5+0.000001,1)))</f>
        <v/>
      </c>
      <c r="H905">
        <f>IF(A905="","",E905&amp;F905&amp;G905)</f>
        <v/>
      </c>
      <c r="I905">
        <f>IF(A905="","",IF(AND(E905&gt;=4,F905&gt;=4,G905&gt;=4),"Juara",IF(AND(F905&gt;=4,E905&gt;=3),"Setia",IF(AND(E905=5,F905&lt;=2,G905&gt;=3),"Berpotensi",IF(AND(E905&lt;=3,E905&gt;=2,F905&gt;=3),"Rawan",IF(AND(E905&lt;=2,F905&lt;=2),"Tidur","Umum"))))))</f>
        <v/>
      </c>
    </row>
    <row r="906">
      <c r="B906">
        <f>IF(A906="","",$B$1-MAXIFS(Donasi!$A$2:$A$20000,Donasi!$B$2:$B$20000,A906))</f>
        <v/>
      </c>
      <c r="C906">
        <f>IF(A906="","",COUNTIF(Donasi!$B$2:$B$20000,A906))</f>
        <v/>
      </c>
      <c r="D906">
        <f>IF(A906="","",SUMIF(Donasi!$B$2:$B$20000,A906,Donasi!$C$2:$C$20000))</f>
        <v/>
      </c>
      <c r="E906">
        <f>IF(A906="","",6-CEILING(PERCENTRANK.INC($B$3:$B$6000,B906,4)*5+0.000001,1))</f>
        <v/>
      </c>
      <c r="F906">
        <f>IF(A906="","",MAX(1,CEILING(PERCENTRANK.INC($C$3:$C$6000,C906,4)*5+0.000001,1)))</f>
        <v/>
      </c>
      <c r="G906">
        <f>IF(A906="","",MAX(1,CEILING(PERCENTRANK.INC($D$3:$D$6000,D906,4)*5+0.000001,1)))</f>
        <v/>
      </c>
      <c r="H906">
        <f>IF(A906="","",E906&amp;F906&amp;G906)</f>
        <v/>
      </c>
      <c r="I906">
        <f>IF(A906="","",IF(AND(E906&gt;=4,F906&gt;=4,G906&gt;=4),"Juara",IF(AND(F906&gt;=4,E906&gt;=3),"Setia",IF(AND(E906=5,F906&lt;=2,G906&gt;=3),"Berpotensi",IF(AND(E906&lt;=3,E906&gt;=2,F906&gt;=3),"Rawan",IF(AND(E906&lt;=2,F906&lt;=2),"Tidur","Umum"))))))</f>
        <v/>
      </c>
    </row>
    <row r="907">
      <c r="B907">
        <f>IF(A907="","",$B$1-MAXIFS(Donasi!$A$2:$A$20000,Donasi!$B$2:$B$20000,A907))</f>
        <v/>
      </c>
      <c r="C907">
        <f>IF(A907="","",COUNTIF(Donasi!$B$2:$B$20000,A907))</f>
        <v/>
      </c>
      <c r="D907">
        <f>IF(A907="","",SUMIF(Donasi!$B$2:$B$20000,A907,Donasi!$C$2:$C$20000))</f>
        <v/>
      </c>
      <c r="E907">
        <f>IF(A907="","",6-CEILING(PERCENTRANK.INC($B$3:$B$6000,B907,4)*5+0.000001,1))</f>
        <v/>
      </c>
      <c r="F907">
        <f>IF(A907="","",MAX(1,CEILING(PERCENTRANK.INC($C$3:$C$6000,C907,4)*5+0.000001,1)))</f>
        <v/>
      </c>
      <c r="G907">
        <f>IF(A907="","",MAX(1,CEILING(PERCENTRANK.INC($D$3:$D$6000,D907,4)*5+0.000001,1)))</f>
        <v/>
      </c>
      <c r="H907">
        <f>IF(A907="","",E907&amp;F907&amp;G907)</f>
        <v/>
      </c>
      <c r="I907">
        <f>IF(A907="","",IF(AND(E907&gt;=4,F907&gt;=4,G907&gt;=4),"Juara",IF(AND(F907&gt;=4,E907&gt;=3),"Setia",IF(AND(E907=5,F907&lt;=2,G907&gt;=3),"Berpotensi",IF(AND(E907&lt;=3,E907&gt;=2,F907&gt;=3),"Rawan",IF(AND(E907&lt;=2,F907&lt;=2),"Tidur","Umum"))))))</f>
        <v/>
      </c>
    </row>
    <row r="908">
      <c r="B908">
        <f>IF(A908="","",$B$1-MAXIFS(Donasi!$A$2:$A$20000,Donasi!$B$2:$B$20000,A908))</f>
        <v/>
      </c>
      <c r="C908">
        <f>IF(A908="","",COUNTIF(Donasi!$B$2:$B$20000,A908))</f>
        <v/>
      </c>
      <c r="D908">
        <f>IF(A908="","",SUMIF(Donasi!$B$2:$B$20000,A908,Donasi!$C$2:$C$20000))</f>
        <v/>
      </c>
      <c r="E908">
        <f>IF(A908="","",6-CEILING(PERCENTRANK.INC($B$3:$B$6000,B908,4)*5+0.000001,1))</f>
        <v/>
      </c>
      <c r="F908">
        <f>IF(A908="","",MAX(1,CEILING(PERCENTRANK.INC($C$3:$C$6000,C908,4)*5+0.000001,1)))</f>
        <v/>
      </c>
      <c r="G908">
        <f>IF(A908="","",MAX(1,CEILING(PERCENTRANK.INC($D$3:$D$6000,D908,4)*5+0.000001,1)))</f>
        <v/>
      </c>
      <c r="H908">
        <f>IF(A908="","",E908&amp;F908&amp;G908)</f>
        <v/>
      </c>
      <c r="I908">
        <f>IF(A908="","",IF(AND(E908&gt;=4,F908&gt;=4,G908&gt;=4),"Juara",IF(AND(F908&gt;=4,E908&gt;=3),"Setia",IF(AND(E908=5,F908&lt;=2,G908&gt;=3),"Berpotensi",IF(AND(E908&lt;=3,E908&gt;=2,F908&gt;=3),"Rawan",IF(AND(E908&lt;=2,F908&lt;=2),"Tidur","Umum"))))))</f>
        <v/>
      </c>
    </row>
    <row r="909">
      <c r="B909">
        <f>IF(A909="","",$B$1-MAXIFS(Donasi!$A$2:$A$20000,Donasi!$B$2:$B$20000,A909))</f>
        <v/>
      </c>
      <c r="C909">
        <f>IF(A909="","",COUNTIF(Donasi!$B$2:$B$20000,A909))</f>
        <v/>
      </c>
      <c r="D909">
        <f>IF(A909="","",SUMIF(Donasi!$B$2:$B$20000,A909,Donasi!$C$2:$C$20000))</f>
        <v/>
      </c>
      <c r="E909">
        <f>IF(A909="","",6-CEILING(PERCENTRANK.INC($B$3:$B$6000,B909,4)*5+0.000001,1))</f>
        <v/>
      </c>
      <c r="F909">
        <f>IF(A909="","",MAX(1,CEILING(PERCENTRANK.INC($C$3:$C$6000,C909,4)*5+0.000001,1)))</f>
        <v/>
      </c>
      <c r="G909">
        <f>IF(A909="","",MAX(1,CEILING(PERCENTRANK.INC($D$3:$D$6000,D909,4)*5+0.000001,1)))</f>
        <v/>
      </c>
      <c r="H909">
        <f>IF(A909="","",E909&amp;F909&amp;G909)</f>
        <v/>
      </c>
      <c r="I909">
        <f>IF(A909="","",IF(AND(E909&gt;=4,F909&gt;=4,G909&gt;=4),"Juara",IF(AND(F909&gt;=4,E909&gt;=3),"Setia",IF(AND(E909=5,F909&lt;=2,G909&gt;=3),"Berpotensi",IF(AND(E909&lt;=3,E909&gt;=2,F909&gt;=3),"Rawan",IF(AND(E909&lt;=2,F909&lt;=2),"Tidur","Umum"))))))</f>
        <v/>
      </c>
    </row>
    <row r="910">
      <c r="B910">
        <f>IF(A910="","",$B$1-MAXIFS(Donasi!$A$2:$A$20000,Donasi!$B$2:$B$20000,A910))</f>
        <v/>
      </c>
      <c r="C910">
        <f>IF(A910="","",COUNTIF(Donasi!$B$2:$B$20000,A910))</f>
        <v/>
      </c>
      <c r="D910">
        <f>IF(A910="","",SUMIF(Donasi!$B$2:$B$20000,A910,Donasi!$C$2:$C$20000))</f>
        <v/>
      </c>
      <c r="E910">
        <f>IF(A910="","",6-CEILING(PERCENTRANK.INC($B$3:$B$6000,B910,4)*5+0.000001,1))</f>
        <v/>
      </c>
      <c r="F910">
        <f>IF(A910="","",MAX(1,CEILING(PERCENTRANK.INC($C$3:$C$6000,C910,4)*5+0.000001,1)))</f>
        <v/>
      </c>
      <c r="G910">
        <f>IF(A910="","",MAX(1,CEILING(PERCENTRANK.INC($D$3:$D$6000,D910,4)*5+0.000001,1)))</f>
        <v/>
      </c>
      <c r="H910">
        <f>IF(A910="","",E910&amp;F910&amp;G910)</f>
        <v/>
      </c>
      <c r="I910">
        <f>IF(A910="","",IF(AND(E910&gt;=4,F910&gt;=4,G910&gt;=4),"Juara",IF(AND(F910&gt;=4,E910&gt;=3),"Setia",IF(AND(E910=5,F910&lt;=2,G910&gt;=3),"Berpotensi",IF(AND(E910&lt;=3,E910&gt;=2,F910&gt;=3),"Rawan",IF(AND(E910&lt;=2,F910&lt;=2),"Tidur","Umum"))))))</f>
        <v/>
      </c>
    </row>
    <row r="911">
      <c r="B911">
        <f>IF(A911="","",$B$1-MAXIFS(Donasi!$A$2:$A$20000,Donasi!$B$2:$B$20000,A911))</f>
        <v/>
      </c>
      <c r="C911">
        <f>IF(A911="","",COUNTIF(Donasi!$B$2:$B$20000,A911))</f>
        <v/>
      </c>
      <c r="D911">
        <f>IF(A911="","",SUMIF(Donasi!$B$2:$B$20000,A911,Donasi!$C$2:$C$20000))</f>
        <v/>
      </c>
      <c r="E911">
        <f>IF(A911="","",6-CEILING(PERCENTRANK.INC($B$3:$B$6000,B911,4)*5+0.000001,1))</f>
        <v/>
      </c>
      <c r="F911">
        <f>IF(A911="","",MAX(1,CEILING(PERCENTRANK.INC($C$3:$C$6000,C911,4)*5+0.000001,1)))</f>
        <v/>
      </c>
      <c r="G911">
        <f>IF(A911="","",MAX(1,CEILING(PERCENTRANK.INC($D$3:$D$6000,D911,4)*5+0.000001,1)))</f>
        <v/>
      </c>
      <c r="H911">
        <f>IF(A911="","",E911&amp;F911&amp;G911)</f>
        <v/>
      </c>
      <c r="I911">
        <f>IF(A911="","",IF(AND(E911&gt;=4,F911&gt;=4,G911&gt;=4),"Juara",IF(AND(F911&gt;=4,E911&gt;=3),"Setia",IF(AND(E911=5,F911&lt;=2,G911&gt;=3),"Berpotensi",IF(AND(E911&lt;=3,E911&gt;=2,F911&gt;=3),"Rawan",IF(AND(E911&lt;=2,F911&lt;=2),"Tidur","Umum"))))))</f>
        <v/>
      </c>
    </row>
    <row r="912">
      <c r="B912">
        <f>IF(A912="","",$B$1-MAXIFS(Donasi!$A$2:$A$20000,Donasi!$B$2:$B$20000,A912))</f>
        <v/>
      </c>
      <c r="C912">
        <f>IF(A912="","",COUNTIF(Donasi!$B$2:$B$20000,A912))</f>
        <v/>
      </c>
      <c r="D912">
        <f>IF(A912="","",SUMIF(Donasi!$B$2:$B$20000,A912,Donasi!$C$2:$C$20000))</f>
        <v/>
      </c>
      <c r="E912">
        <f>IF(A912="","",6-CEILING(PERCENTRANK.INC($B$3:$B$6000,B912,4)*5+0.000001,1))</f>
        <v/>
      </c>
      <c r="F912">
        <f>IF(A912="","",MAX(1,CEILING(PERCENTRANK.INC($C$3:$C$6000,C912,4)*5+0.000001,1)))</f>
        <v/>
      </c>
      <c r="G912">
        <f>IF(A912="","",MAX(1,CEILING(PERCENTRANK.INC($D$3:$D$6000,D912,4)*5+0.000001,1)))</f>
        <v/>
      </c>
      <c r="H912">
        <f>IF(A912="","",E912&amp;F912&amp;G912)</f>
        <v/>
      </c>
      <c r="I912">
        <f>IF(A912="","",IF(AND(E912&gt;=4,F912&gt;=4,G912&gt;=4),"Juara",IF(AND(F912&gt;=4,E912&gt;=3),"Setia",IF(AND(E912=5,F912&lt;=2,G912&gt;=3),"Berpotensi",IF(AND(E912&lt;=3,E912&gt;=2,F912&gt;=3),"Rawan",IF(AND(E912&lt;=2,F912&lt;=2),"Tidur","Umum"))))))</f>
        <v/>
      </c>
    </row>
    <row r="913">
      <c r="B913">
        <f>IF(A913="","",$B$1-MAXIFS(Donasi!$A$2:$A$20000,Donasi!$B$2:$B$20000,A913))</f>
        <v/>
      </c>
      <c r="C913">
        <f>IF(A913="","",COUNTIF(Donasi!$B$2:$B$20000,A913))</f>
        <v/>
      </c>
      <c r="D913">
        <f>IF(A913="","",SUMIF(Donasi!$B$2:$B$20000,A913,Donasi!$C$2:$C$20000))</f>
        <v/>
      </c>
      <c r="E913">
        <f>IF(A913="","",6-CEILING(PERCENTRANK.INC($B$3:$B$6000,B913,4)*5+0.000001,1))</f>
        <v/>
      </c>
      <c r="F913">
        <f>IF(A913="","",MAX(1,CEILING(PERCENTRANK.INC($C$3:$C$6000,C913,4)*5+0.000001,1)))</f>
        <v/>
      </c>
      <c r="G913">
        <f>IF(A913="","",MAX(1,CEILING(PERCENTRANK.INC($D$3:$D$6000,D913,4)*5+0.000001,1)))</f>
        <v/>
      </c>
      <c r="H913">
        <f>IF(A913="","",E913&amp;F913&amp;G913)</f>
        <v/>
      </c>
      <c r="I913">
        <f>IF(A913="","",IF(AND(E913&gt;=4,F913&gt;=4,G913&gt;=4),"Juara",IF(AND(F913&gt;=4,E913&gt;=3),"Setia",IF(AND(E913=5,F913&lt;=2,G913&gt;=3),"Berpotensi",IF(AND(E913&lt;=3,E913&gt;=2,F913&gt;=3),"Rawan",IF(AND(E913&lt;=2,F913&lt;=2),"Tidur","Umum"))))))</f>
        <v/>
      </c>
    </row>
    <row r="914">
      <c r="B914">
        <f>IF(A914="","",$B$1-MAXIFS(Donasi!$A$2:$A$20000,Donasi!$B$2:$B$20000,A914))</f>
        <v/>
      </c>
      <c r="C914">
        <f>IF(A914="","",COUNTIF(Donasi!$B$2:$B$20000,A914))</f>
        <v/>
      </c>
      <c r="D914">
        <f>IF(A914="","",SUMIF(Donasi!$B$2:$B$20000,A914,Donasi!$C$2:$C$20000))</f>
        <v/>
      </c>
      <c r="E914">
        <f>IF(A914="","",6-CEILING(PERCENTRANK.INC($B$3:$B$6000,B914,4)*5+0.000001,1))</f>
        <v/>
      </c>
      <c r="F914">
        <f>IF(A914="","",MAX(1,CEILING(PERCENTRANK.INC($C$3:$C$6000,C914,4)*5+0.000001,1)))</f>
        <v/>
      </c>
      <c r="G914">
        <f>IF(A914="","",MAX(1,CEILING(PERCENTRANK.INC($D$3:$D$6000,D914,4)*5+0.000001,1)))</f>
        <v/>
      </c>
      <c r="H914">
        <f>IF(A914="","",E914&amp;F914&amp;G914)</f>
        <v/>
      </c>
      <c r="I914">
        <f>IF(A914="","",IF(AND(E914&gt;=4,F914&gt;=4,G914&gt;=4),"Juara",IF(AND(F914&gt;=4,E914&gt;=3),"Setia",IF(AND(E914=5,F914&lt;=2,G914&gt;=3),"Berpotensi",IF(AND(E914&lt;=3,E914&gt;=2,F914&gt;=3),"Rawan",IF(AND(E914&lt;=2,F914&lt;=2),"Tidur","Umum"))))))</f>
        <v/>
      </c>
    </row>
    <row r="915">
      <c r="B915">
        <f>IF(A915="","",$B$1-MAXIFS(Donasi!$A$2:$A$20000,Donasi!$B$2:$B$20000,A915))</f>
        <v/>
      </c>
      <c r="C915">
        <f>IF(A915="","",COUNTIF(Donasi!$B$2:$B$20000,A915))</f>
        <v/>
      </c>
      <c r="D915">
        <f>IF(A915="","",SUMIF(Donasi!$B$2:$B$20000,A915,Donasi!$C$2:$C$20000))</f>
        <v/>
      </c>
      <c r="E915">
        <f>IF(A915="","",6-CEILING(PERCENTRANK.INC($B$3:$B$6000,B915,4)*5+0.000001,1))</f>
        <v/>
      </c>
      <c r="F915">
        <f>IF(A915="","",MAX(1,CEILING(PERCENTRANK.INC($C$3:$C$6000,C915,4)*5+0.000001,1)))</f>
        <v/>
      </c>
      <c r="G915">
        <f>IF(A915="","",MAX(1,CEILING(PERCENTRANK.INC($D$3:$D$6000,D915,4)*5+0.000001,1)))</f>
        <v/>
      </c>
      <c r="H915">
        <f>IF(A915="","",E915&amp;F915&amp;G915)</f>
        <v/>
      </c>
      <c r="I915">
        <f>IF(A915="","",IF(AND(E915&gt;=4,F915&gt;=4,G915&gt;=4),"Juara",IF(AND(F915&gt;=4,E915&gt;=3),"Setia",IF(AND(E915=5,F915&lt;=2,G915&gt;=3),"Berpotensi",IF(AND(E915&lt;=3,E915&gt;=2,F915&gt;=3),"Rawan",IF(AND(E915&lt;=2,F915&lt;=2),"Tidur","Umum"))))))</f>
        <v/>
      </c>
    </row>
    <row r="916">
      <c r="B916">
        <f>IF(A916="","",$B$1-MAXIFS(Donasi!$A$2:$A$20000,Donasi!$B$2:$B$20000,A916))</f>
        <v/>
      </c>
      <c r="C916">
        <f>IF(A916="","",COUNTIF(Donasi!$B$2:$B$20000,A916))</f>
        <v/>
      </c>
      <c r="D916">
        <f>IF(A916="","",SUMIF(Donasi!$B$2:$B$20000,A916,Donasi!$C$2:$C$20000))</f>
        <v/>
      </c>
      <c r="E916">
        <f>IF(A916="","",6-CEILING(PERCENTRANK.INC($B$3:$B$6000,B916,4)*5+0.000001,1))</f>
        <v/>
      </c>
      <c r="F916">
        <f>IF(A916="","",MAX(1,CEILING(PERCENTRANK.INC($C$3:$C$6000,C916,4)*5+0.000001,1)))</f>
        <v/>
      </c>
      <c r="G916">
        <f>IF(A916="","",MAX(1,CEILING(PERCENTRANK.INC($D$3:$D$6000,D916,4)*5+0.000001,1)))</f>
        <v/>
      </c>
      <c r="H916">
        <f>IF(A916="","",E916&amp;F916&amp;G916)</f>
        <v/>
      </c>
      <c r="I916">
        <f>IF(A916="","",IF(AND(E916&gt;=4,F916&gt;=4,G916&gt;=4),"Juara",IF(AND(F916&gt;=4,E916&gt;=3),"Setia",IF(AND(E916=5,F916&lt;=2,G916&gt;=3),"Berpotensi",IF(AND(E916&lt;=3,E916&gt;=2,F916&gt;=3),"Rawan",IF(AND(E916&lt;=2,F916&lt;=2),"Tidur","Umum"))))))</f>
        <v/>
      </c>
    </row>
    <row r="917">
      <c r="B917">
        <f>IF(A917="","",$B$1-MAXIFS(Donasi!$A$2:$A$20000,Donasi!$B$2:$B$20000,A917))</f>
        <v/>
      </c>
      <c r="C917">
        <f>IF(A917="","",COUNTIF(Donasi!$B$2:$B$20000,A917))</f>
        <v/>
      </c>
      <c r="D917">
        <f>IF(A917="","",SUMIF(Donasi!$B$2:$B$20000,A917,Donasi!$C$2:$C$20000))</f>
        <v/>
      </c>
      <c r="E917">
        <f>IF(A917="","",6-CEILING(PERCENTRANK.INC($B$3:$B$6000,B917,4)*5+0.000001,1))</f>
        <v/>
      </c>
      <c r="F917">
        <f>IF(A917="","",MAX(1,CEILING(PERCENTRANK.INC($C$3:$C$6000,C917,4)*5+0.000001,1)))</f>
        <v/>
      </c>
      <c r="G917">
        <f>IF(A917="","",MAX(1,CEILING(PERCENTRANK.INC($D$3:$D$6000,D917,4)*5+0.000001,1)))</f>
        <v/>
      </c>
      <c r="H917">
        <f>IF(A917="","",E917&amp;F917&amp;G917)</f>
        <v/>
      </c>
      <c r="I917">
        <f>IF(A917="","",IF(AND(E917&gt;=4,F917&gt;=4,G917&gt;=4),"Juara",IF(AND(F917&gt;=4,E917&gt;=3),"Setia",IF(AND(E917=5,F917&lt;=2,G917&gt;=3),"Berpotensi",IF(AND(E917&lt;=3,E917&gt;=2,F917&gt;=3),"Rawan",IF(AND(E917&lt;=2,F917&lt;=2),"Tidur","Umum"))))))</f>
        <v/>
      </c>
    </row>
    <row r="918">
      <c r="B918">
        <f>IF(A918="","",$B$1-MAXIFS(Donasi!$A$2:$A$20000,Donasi!$B$2:$B$20000,A918))</f>
        <v/>
      </c>
      <c r="C918">
        <f>IF(A918="","",COUNTIF(Donasi!$B$2:$B$20000,A918))</f>
        <v/>
      </c>
      <c r="D918">
        <f>IF(A918="","",SUMIF(Donasi!$B$2:$B$20000,A918,Donasi!$C$2:$C$20000))</f>
        <v/>
      </c>
      <c r="E918">
        <f>IF(A918="","",6-CEILING(PERCENTRANK.INC($B$3:$B$6000,B918,4)*5+0.000001,1))</f>
        <v/>
      </c>
      <c r="F918">
        <f>IF(A918="","",MAX(1,CEILING(PERCENTRANK.INC($C$3:$C$6000,C918,4)*5+0.000001,1)))</f>
        <v/>
      </c>
      <c r="G918">
        <f>IF(A918="","",MAX(1,CEILING(PERCENTRANK.INC($D$3:$D$6000,D918,4)*5+0.000001,1)))</f>
        <v/>
      </c>
      <c r="H918">
        <f>IF(A918="","",E918&amp;F918&amp;G918)</f>
        <v/>
      </c>
      <c r="I918">
        <f>IF(A918="","",IF(AND(E918&gt;=4,F918&gt;=4,G918&gt;=4),"Juara",IF(AND(F918&gt;=4,E918&gt;=3),"Setia",IF(AND(E918=5,F918&lt;=2,G918&gt;=3),"Berpotensi",IF(AND(E918&lt;=3,E918&gt;=2,F918&gt;=3),"Rawan",IF(AND(E918&lt;=2,F918&lt;=2),"Tidur","Umum"))))))</f>
        <v/>
      </c>
    </row>
    <row r="919">
      <c r="B919">
        <f>IF(A919="","",$B$1-MAXIFS(Donasi!$A$2:$A$20000,Donasi!$B$2:$B$20000,A919))</f>
        <v/>
      </c>
      <c r="C919">
        <f>IF(A919="","",COUNTIF(Donasi!$B$2:$B$20000,A919))</f>
        <v/>
      </c>
      <c r="D919">
        <f>IF(A919="","",SUMIF(Donasi!$B$2:$B$20000,A919,Donasi!$C$2:$C$20000))</f>
        <v/>
      </c>
      <c r="E919">
        <f>IF(A919="","",6-CEILING(PERCENTRANK.INC($B$3:$B$6000,B919,4)*5+0.000001,1))</f>
        <v/>
      </c>
      <c r="F919">
        <f>IF(A919="","",MAX(1,CEILING(PERCENTRANK.INC($C$3:$C$6000,C919,4)*5+0.000001,1)))</f>
        <v/>
      </c>
      <c r="G919">
        <f>IF(A919="","",MAX(1,CEILING(PERCENTRANK.INC($D$3:$D$6000,D919,4)*5+0.000001,1)))</f>
        <v/>
      </c>
      <c r="H919">
        <f>IF(A919="","",E919&amp;F919&amp;G919)</f>
        <v/>
      </c>
      <c r="I919">
        <f>IF(A919="","",IF(AND(E919&gt;=4,F919&gt;=4,G919&gt;=4),"Juara",IF(AND(F919&gt;=4,E919&gt;=3),"Setia",IF(AND(E919=5,F919&lt;=2,G919&gt;=3),"Berpotensi",IF(AND(E919&lt;=3,E919&gt;=2,F919&gt;=3),"Rawan",IF(AND(E919&lt;=2,F919&lt;=2),"Tidur","Umum"))))))</f>
        <v/>
      </c>
    </row>
    <row r="920">
      <c r="B920">
        <f>IF(A920="","",$B$1-MAXIFS(Donasi!$A$2:$A$20000,Donasi!$B$2:$B$20000,A920))</f>
        <v/>
      </c>
      <c r="C920">
        <f>IF(A920="","",COUNTIF(Donasi!$B$2:$B$20000,A920))</f>
        <v/>
      </c>
      <c r="D920">
        <f>IF(A920="","",SUMIF(Donasi!$B$2:$B$20000,A920,Donasi!$C$2:$C$20000))</f>
        <v/>
      </c>
      <c r="E920">
        <f>IF(A920="","",6-CEILING(PERCENTRANK.INC($B$3:$B$6000,B920,4)*5+0.000001,1))</f>
        <v/>
      </c>
      <c r="F920">
        <f>IF(A920="","",MAX(1,CEILING(PERCENTRANK.INC($C$3:$C$6000,C920,4)*5+0.000001,1)))</f>
        <v/>
      </c>
      <c r="G920">
        <f>IF(A920="","",MAX(1,CEILING(PERCENTRANK.INC($D$3:$D$6000,D920,4)*5+0.000001,1)))</f>
        <v/>
      </c>
      <c r="H920">
        <f>IF(A920="","",E920&amp;F920&amp;G920)</f>
        <v/>
      </c>
      <c r="I920">
        <f>IF(A920="","",IF(AND(E920&gt;=4,F920&gt;=4,G920&gt;=4),"Juara",IF(AND(F920&gt;=4,E920&gt;=3),"Setia",IF(AND(E920=5,F920&lt;=2,G920&gt;=3),"Berpotensi",IF(AND(E920&lt;=3,E920&gt;=2,F920&gt;=3),"Rawan",IF(AND(E920&lt;=2,F920&lt;=2),"Tidur","Umum"))))))</f>
        <v/>
      </c>
    </row>
    <row r="921">
      <c r="B921">
        <f>IF(A921="","",$B$1-MAXIFS(Donasi!$A$2:$A$20000,Donasi!$B$2:$B$20000,A921))</f>
        <v/>
      </c>
      <c r="C921">
        <f>IF(A921="","",COUNTIF(Donasi!$B$2:$B$20000,A921))</f>
        <v/>
      </c>
      <c r="D921">
        <f>IF(A921="","",SUMIF(Donasi!$B$2:$B$20000,A921,Donasi!$C$2:$C$20000))</f>
        <v/>
      </c>
      <c r="E921">
        <f>IF(A921="","",6-CEILING(PERCENTRANK.INC($B$3:$B$6000,B921,4)*5+0.000001,1))</f>
        <v/>
      </c>
      <c r="F921">
        <f>IF(A921="","",MAX(1,CEILING(PERCENTRANK.INC($C$3:$C$6000,C921,4)*5+0.000001,1)))</f>
        <v/>
      </c>
      <c r="G921">
        <f>IF(A921="","",MAX(1,CEILING(PERCENTRANK.INC($D$3:$D$6000,D921,4)*5+0.000001,1)))</f>
        <v/>
      </c>
      <c r="H921">
        <f>IF(A921="","",E921&amp;F921&amp;G921)</f>
        <v/>
      </c>
      <c r="I921">
        <f>IF(A921="","",IF(AND(E921&gt;=4,F921&gt;=4,G921&gt;=4),"Juara",IF(AND(F921&gt;=4,E921&gt;=3),"Setia",IF(AND(E921=5,F921&lt;=2,G921&gt;=3),"Berpotensi",IF(AND(E921&lt;=3,E921&gt;=2,F921&gt;=3),"Rawan",IF(AND(E921&lt;=2,F921&lt;=2),"Tidur","Umum"))))))</f>
        <v/>
      </c>
    </row>
    <row r="922">
      <c r="B922">
        <f>IF(A922="","",$B$1-MAXIFS(Donasi!$A$2:$A$20000,Donasi!$B$2:$B$20000,A922))</f>
        <v/>
      </c>
      <c r="C922">
        <f>IF(A922="","",COUNTIF(Donasi!$B$2:$B$20000,A922))</f>
        <v/>
      </c>
      <c r="D922">
        <f>IF(A922="","",SUMIF(Donasi!$B$2:$B$20000,A922,Donasi!$C$2:$C$20000))</f>
        <v/>
      </c>
      <c r="E922">
        <f>IF(A922="","",6-CEILING(PERCENTRANK.INC($B$3:$B$6000,B922,4)*5+0.000001,1))</f>
        <v/>
      </c>
      <c r="F922">
        <f>IF(A922="","",MAX(1,CEILING(PERCENTRANK.INC($C$3:$C$6000,C922,4)*5+0.000001,1)))</f>
        <v/>
      </c>
      <c r="G922">
        <f>IF(A922="","",MAX(1,CEILING(PERCENTRANK.INC($D$3:$D$6000,D922,4)*5+0.000001,1)))</f>
        <v/>
      </c>
      <c r="H922">
        <f>IF(A922="","",E922&amp;F922&amp;G922)</f>
        <v/>
      </c>
      <c r="I922">
        <f>IF(A922="","",IF(AND(E922&gt;=4,F922&gt;=4,G922&gt;=4),"Juara",IF(AND(F922&gt;=4,E922&gt;=3),"Setia",IF(AND(E922=5,F922&lt;=2,G922&gt;=3),"Berpotensi",IF(AND(E922&lt;=3,E922&gt;=2,F922&gt;=3),"Rawan",IF(AND(E922&lt;=2,F922&lt;=2),"Tidur","Umum"))))))</f>
        <v/>
      </c>
    </row>
    <row r="923">
      <c r="B923">
        <f>IF(A923="","",$B$1-MAXIFS(Donasi!$A$2:$A$20000,Donasi!$B$2:$B$20000,A923))</f>
        <v/>
      </c>
      <c r="C923">
        <f>IF(A923="","",COUNTIF(Donasi!$B$2:$B$20000,A923))</f>
        <v/>
      </c>
      <c r="D923">
        <f>IF(A923="","",SUMIF(Donasi!$B$2:$B$20000,A923,Donasi!$C$2:$C$20000))</f>
        <v/>
      </c>
      <c r="E923">
        <f>IF(A923="","",6-CEILING(PERCENTRANK.INC($B$3:$B$6000,B923,4)*5+0.000001,1))</f>
        <v/>
      </c>
      <c r="F923">
        <f>IF(A923="","",MAX(1,CEILING(PERCENTRANK.INC($C$3:$C$6000,C923,4)*5+0.000001,1)))</f>
        <v/>
      </c>
      <c r="G923">
        <f>IF(A923="","",MAX(1,CEILING(PERCENTRANK.INC($D$3:$D$6000,D923,4)*5+0.000001,1)))</f>
        <v/>
      </c>
      <c r="H923">
        <f>IF(A923="","",E923&amp;F923&amp;G923)</f>
        <v/>
      </c>
      <c r="I923">
        <f>IF(A923="","",IF(AND(E923&gt;=4,F923&gt;=4,G923&gt;=4),"Juara",IF(AND(F923&gt;=4,E923&gt;=3),"Setia",IF(AND(E923=5,F923&lt;=2,G923&gt;=3),"Berpotensi",IF(AND(E923&lt;=3,E923&gt;=2,F923&gt;=3),"Rawan",IF(AND(E923&lt;=2,F923&lt;=2),"Tidur","Umum"))))))</f>
        <v/>
      </c>
    </row>
    <row r="924">
      <c r="B924">
        <f>IF(A924="","",$B$1-MAXIFS(Donasi!$A$2:$A$20000,Donasi!$B$2:$B$20000,A924))</f>
        <v/>
      </c>
      <c r="C924">
        <f>IF(A924="","",COUNTIF(Donasi!$B$2:$B$20000,A924))</f>
        <v/>
      </c>
      <c r="D924">
        <f>IF(A924="","",SUMIF(Donasi!$B$2:$B$20000,A924,Donasi!$C$2:$C$20000))</f>
        <v/>
      </c>
      <c r="E924">
        <f>IF(A924="","",6-CEILING(PERCENTRANK.INC($B$3:$B$6000,B924,4)*5+0.000001,1))</f>
        <v/>
      </c>
      <c r="F924">
        <f>IF(A924="","",MAX(1,CEILING(PERCENTRANK.INC($C$3:$C$6000,C924,4)*5+0.000001,1)))</f>
        <v/>
      </c>
      <c r="G924">
        <f>IF(A924="","",MAX(1,CEILING(PERCENTRANK.INC($D$3:$D$6000,D924,4)*5+0.000001,1)))</f>
        <v/>
      </c>
      <c r="H924">
        <f>IF(A924="","",E924&amp;F924&amp;G924)</f>
        <v/>
      </c>
      <c r="I924">
        <f>IF(A924="","",IF(AND(E924&gt;=4,F924&gt;=4,G924&gt;=4),"Juara",IF(AND(F924&gt;=4,E924&gt;=3),"Setia",IF(AND(E924=5,F924&lt;=2,G924&gt;=3),"Berpotensi",IF(AND(E924&lt;=3,E924&gt;=2,F924&gt;=3),"Rawan",IF(AND(E924&lt;=2,F924&lt;=2),"Tidur","Umum"))))))</f>
        <v/>
      </c>
    </row>
    <row r="925">
      <c r="B925">
        <f>IF(A925="","",$B$1-MAXIFS(Donasi!$A$2:$A$20000,Donasi!$B$2:$B$20000,A925))</f>
        <v/>
      </c>
      <c r="C925">
        <f>IF(A925="","",COUNTIF(Donasi!$B$2:$B$20000,A925))</f>
        <v/>
      </c>
      <c r="D925">
        <f>IF(A925="","",SUMIF(Donasi!$B$2:$B$20000,A925,Donasi!$C$2:$C$20000))</f>
        <v/>
      </c>
      <c r="E925">
        <f>IF(A925="","",6-CEILING(PERCENTRANK.INC($B$3:$B$6000,B925,4)*5+0.000001,1))</f>
        <v/>
      </c>
      <c r="F925">
        <f>IF(A925="","",MAX(1,CEILING(PERCENTRANK.INC($C$3:$C$6000,C925,4)*5+0.000001,1)))</f>
        <v/>
      </c>
      <c r="G925">
        <f>IF(A925="","",MAX(1,CEILING(PERCENTRANK.INC($D$3:$D$6000,D925,4)*5+0.000001,1)))</f>
        <v/>
      </c>
      <c r="H925">
        <f>IF(A925="","",E925&amp;F925&amp;G925)</f>
        <v/>
      </c>
      <c r="I925">
        <f>IF(A925="","",IF(AND(E925&gt;=4,F925&gt;=4,G925&gt;=4),"Juara",IF(AND(F925&gt;=4,E925&gt;=3),"Setia",IF(AND(E925=5,F925&lt;=2,G925&gt;=3),"Berpotensi",IF(AND(E925&lt;=3,E925&gt;=2,F925&gt;=3),"Rawan",IF(AND(E925&lt;=2,F925&lt;=2),"Tidur","Umum"))))))</f>
        <v/>
      </c>
    </row>
    <row r="926">
      <c r="B926">
        <f>IF(A926="","",$B$1-MAXIFS(Donasi!$A$2:$A$20000,Donasi!$B$2:$B$20000,A926))</f>
        <v/>
      </c>
      <c r="C926">
        <f>IF(A926="","",COUNTIF(Donasi!$B$2:$B$20000,A926))</f>
        <v/>
      </c>
      <c r="D926">
        <f>IF(A926="","",SUMIF(Donasi!$B$2:$B$20000,A926,Donasi!$C$2:$C$20000))</f>
        <v/>
      </c>
      <c r="E926">
        <f>IF(A926="","",6-CEILING(PERCENTRANK.INC($B$3:$B$6000,B926,4)*5+0.000001,1))</f>
        <v/>
      </c>
      <c r="F926">
        <f>IF(A926="","",MAX(1,CEILING(PERCENTRANK.INC($C$3:$C$6000,C926,4)*5+0.000001,1)))</f>
        <v/>
      </c>
      <c r="G926">
        <f>IF(A926="","",MAX(1,CEILING(PERCENTRANK.INC($D$3:$D$6000,D926,4)*5+0.000001,1)))</f>
        <v/>
      </c>
      <c r="H926">
        <f>IF(A926="","",E926&amp;F926&amp;G926)</f>
        <v/>
      </c>
      <c r="I926">
        <f>IF(A926="","",IF(AND(E926&gt;=4,F926&gt;=4,G926&gt;=4),"Juara",IF(AND(F926&gt;=4,E926&gt;=3),"Setia",IF(AND(E926=5,F926&lt;=2,G926&gt;=3),"Berpotensi",IF(AND(E926&lt;=3,E926&gt;=2,F926&gt;=3),"Rawan",IF(AND(E926&lt;=2,F926&lt;=2),"Tidur","Umum"))))))</f>
        <v/>
      </c>
    </row>
    <row r="927">
      <c r="B927">
        <f>IF(A927="","",$B$1-MAXIFS(Donasi!$A$2:$A$20000,Donasi!$B$2:$B$20000,A927))</f>
        <v/>
      </c>
      <c r="C927">
        <f>IF(A927="","",COUNTIF(Donasi!$B$2:$B$20000,A927))</f>
        <v/>
      </c>
      <c r="D927">
        <f>IF(A927="","",SUMIF(Donasi!$B$2:$B$20000,A927,Donasi!$C$2:$C$20000))</f>
        <v/>
      </c>
      <c r="E927">
        <f>IF(A927="","",6-CEILING(PERCENTRANK.INC($B$3:$B$6000,B927,4)*5+0.000001,1))</f>
        <v/>
      </c>
      <c r="F927">
        <f>IF(A927="","",MAX(1,CEILING(PERCENTRANK.INC($C$3:$C$6000,C927,4)*5+0.000001,1)))</f>
        <v/>
      </c>
      <c r="G927">
        <f>IF(A927="","",MAX(1,CEILING(PERCENTRANK.INC($D$3:$D$6000,D927,4)*5+0.000001,1)))</f>
        <v/>
      </c>
      <c r="H927">
        <f>IF(A927="","",E927&amp;F927&amp;G927)</f>
        <v/>
      </c>
      <c r="I927">
        <f>IF(A927="","",IF(AND(E927&gt;=4,F927&gt;=4,G927&gt;=4),"Juara",IF(AND(F927&gt;=4,E927&gt;=3),"Setia",IF(AND(E927=5,F927&lt;=2,G927&gt;=3),"Berpotensi",IF(AND(E927&lt;=3,E927&gt;=2,F927&gt;=3),"Rawan",IF(AND(E927&lt;=2,F927&lt;=2),"Tidur","Umum"))))))</f>
        <v/>
      </c>
    </row>
    <row r="928">
      <c r="B928">
        <f>IF(A928="","",$B$1-MAXIFS(Donasi!$A$2:$A$20000,Donasi!$B$2:$B$20000,A928))</f>
        <v/>
      </c>
      <c r="C928">
        <f>IF(A928="","",COUNTIF(Donasi!$B$2:$B$20000,A928))</f>
        <v/>
      </c>
      <c r="D928">
        <f>IF(A928="","",SUMIF(Donasi!$B$2:$B$20000,A928,Donasi!$C$2:$C$20000))</f>
        <v/>
      </c>
      <c r="E928">
        <f>IF(A928="","",6-CEILING(PERCENTRANK.INC($B$3:$B$6000,B928,4)*5+0.000001,1))</f>
        <v/>
      </c>
      <c r="F928">
        <f>IF(A928="","",MAX(1,CEILING(PERCENTRANK.INC($C$3:$C$6000,C928,4)*5+0.000001,1)))</f>
        <v/>
      </c>
      <c r="G928">
        <f>IF(A928="","",MAX(1,CEILING(PERCENTRANK.INC($D$3:$D$6000,D928,4)*5+0.000001,1)))</f>
        <v/>
      </c>
      <c r="H928">
        <f>IF(A928="","",E928&amp;F928&amp;G928)</f>
        <v/>
      </c>
      <c r="I928">
        <f>IF(A928="","",IF(AND(E928&gt;=4,F928&gt;=4,G928&gt;=4),"Juara",IF(AND(F928&gt;=4,E928&gt;=3),"Setia",IF(AND(E928=5,F928&lt;=2,G928&gt;=3),"Berpotensi",IF(AND(E928&lt;=3,E928&gt;=2,F928&gt;=3),"Rawan",IF(AND(E928&lt;=2,F928&lt;=2),"Tidur","Umum"))))))</f>
        <v/>
      </c>
    </row>
    <row r="929">
      <c r="B929">
        <f>IF(A929="","",$B$1-MAXIFS(Donasi!$A$2:$A$20000,Donasi!$B$2:$B$20000,A929))</f>
        <v/>
      </c>
      <c r="C929">
        <f>IF(A929="","",COUNTIF(Donasi!$B$2:$B$20000,A929))</f>
        <v/>
      </c>
      <c r="D929">
        <f>IF(A929="","",SUMIF(Donasi!$B$2:$B$20000,A929,Donasi!$C$2:$C$20000))</f>
        <v/>
      </c>
      <c r="E929">
        <f>IF(A929="","",6-CEILING(PERCENTRANK.INC($B$3:$B$6000,B929,4)*5+0.000001,1))</f>
        <v/>
      </c>
      <c r="F929">
        <f>IF(A929="","",MAX(1,CEILING(PERCENTRANK.INC($C$3:$C$6000,C929,4)*5+0.000001,1)))</f>
        <v/>
      </c>
      <c r="G929">
        <f>IF(A929="","",MAX(1,CEILING(PERCENTRANK.INC($D$3:$D$6000,D929,4)*5+0.000001,1)))</f>
        <v/>
      </c>
      <c r="H929">
        <f>IF(A929="","",E929&amp;F929&amp;G929)</f>
        <v/>
      </c>
      <c r="I929">
        <f>IF(A929="","",IF(AND(E929&gt;=4,F929&gt;=4,G929&gt;=4),"Juara",IF(AND(F929&gt;=4,E929&gt;=3),"Setia",IF(AND(E929=5,F929&lt;=2,G929&gt;=3),"Berpotensi",IF(AND(E929&lt;=3,E929&gt;=2,F929&gt;=3),"Rawan",IF(AND(E929&lt;=2,F929&lt;=2),"Tidur","Umum"))))))</f>
        <v/>
      </c>
    </row>
    <row r="930">
      <c r="B930">
        <f>IF(A930="","",$B$1-MAXIFS(Donasi!$A$2:$A$20000,Donasi!$B$2:$B$20000,A930))</f>
        <v/>
      </c>
      <c r="C930">
        <f>IF(A930="","",COUNTIF(Donasi!$B$2:$B$20000,A930))</f>
        <v/>
      </c>
      <c r="D930">
        <f>IF(A930="","",SUMIF(Donasi!$B$2:$B$20000,A930,Donasi!$C$2:$C$20000))</f>
        <v/>
      </c>
      <c r="E930">
        <f>IF(A930="","",6-CEILING(PERCENTRANK.INC($B$3:$B$6000,B930,4)*5+0.000001,1))</f>
        <v/>
      </c>
      <c r="F930">
        <f>IF(A930="","",MAX(1,CEILING(PERCENTRANK.INC($C$3:$C$6000,C930,4)*5+0.000001,1)))</f>
        <v/>
      </c>
      <c r="G930">
        <f>IF(A930="","",MAX(1,CEILING(PERCENTRANK.INC($D$3:$D$6000,D930,4)*5+0.000001,1)))</f>
        <v/>
      </c>
      <c r="H930">
        <f>IF(A930="","",E930&amp;F930&amp;G930)</f>
        <v/>
      </c>
      <c r="I930">
        <f>IF(A930="","",IF(AND(E930&gt;=4,F930&gt;=4,G930&gt;=4),"Juara",IF(AND(F930&gt;=4,E930&gt;=3),"Setia",IF(AND(E930=5,F930&lt;=2,G930&gt;=3),"Berpotensi",IF(AND(E930&lt;=3,E930&gt;=2,F930&gt;=3),"Rawan",IF(AND(E930&lt;=2,F930&lt;=2),"Tidur","Umum"))))))</f>
        <v/>
      </c>
    </row>
    <row r="931">
      <c r="B931">
        <f>IF(A931="","",$B$1-MAXIFS(Donasi!$A$2:$A$20000,Donasi!$B$2:$B$20000,A931))</f>
        <v/>
      </c>
      <c r="C931">
        <f>IF(A931="","",COUNTIF(Donasi!$B$2:$B$20000,A931))</f>
        <v/>
      </c>
      <c r="D931">
        <f>IF(A931="","",SUMIF(Donasi!$B$2:$B$20000,A931,Donasi!$C$2:$C$20000))</f>
        <v/>
      </c>
      <c r="E931">
        <f>IF(A931="","",6-CEILING(PERCENTRANK.INC($B$3:$B$6000,B931,4)*5+0.000001,1))</f>
        <v/>
      </c>
      <c r="F931">
        <f>IF(A931="","",MAX(1,CEILING(PERCENTRANK.INC($C$3:$C$6000,C931,4)*5+0.000001,1)))</f>
        <v/>
      </c>
      <c r="G931">
        <f>IF(A931="","",MAX(1,CEILING(PERCENTRANK.INC($D$3:$D$6000,D931,4)*5+0.000001,1)))</f>
        <v/>
      </c>
      <c r="H931">
        <f>IF(A931="","",E931&amp;F931&amp;G931)</f>
        <v/>
      </c>
      <c r="I931">
        <f>IF(A931="","",IF(AND(E931&gt;=4,F931&gt;=4,G931&gt;=4),"Juara",IF(AND(F931&gt;=4,E931&gt;=3),"Setia",IF(AND(E931=5,F931&lt;=2,G931&gt;=3),"Berpotensi",IF(AND(E931&lt;=3,E931&gt;=2,F931&gt;=3),"Rawan",IF(AND(E931&lt;=2,F931&lt;=2),"Tidur","Umum"))))))</f>
        <v/>
      </c>
    </row>
    <row r="932">
      <c r="B932">
        <f>IF(A932="","",$B$1-MAXIFS(Donasi!$A$2:$A$20000,Donasi!$B$2:$B$20000,A932))</f>
        <v/>
      </c>
      <c r="C932">
        <f>IF(A932="","",COUNTIF(Donasi!$B$2:$B$20000,A932))</f>
        <v/>
      </c>
      <c r="D932">
        <f>IF(A932="","",SUMIF(Donasi!$B$2:$B$20000,A932,Donasi!$C$2:$C$20000))</f>
        <v/>
      </c>
      <c r="E932">
        <f>IF(A932="","",6-CEILING(PERCENTRANK.INC($B$3:$B$6000,B932,4)*5+0.000001,1))</f>
        <v/>
      </c>
      <c r="F932">
        <f>IF(A932="","",MAX(1,CEILING(PERCENTRANK.INC($C$3:$C$6000,C932,4)*5+0.000001,1)))</f>
        <v/>
      </c>
      <c r="G932">
        <f>IF(A932="","",MAX(1,CEILING(PERCENTRANK.INC($D$3:$D$6000,D932,4)*5+0.000001,1)))</f>
        <v/>
      </c>
      <c r="H932">
        <f>IF(A932="","",E932&amp;F932&amp;G932)</f>
        <v/>
      </c>
      <c r="I932">
        <f>IF(A932="","",IF(AND(E932&gt;=4,F932&gt;=4,G932&gt;=4),"Juara",IF(AND(F932&gt;=4,E932&gt;=3),"Setia",IF(AND(E932=5,F932&lt;=2,G932&gt;=3),"Berpotensi",IF(AND(E932&lt;=3,E932&gt;=2,F932&gt;=3),"Rawan",IF(AND(E932&lt;=2,F932&lt;=2),"Tidur","Umum"))))))</f>
        <v/>
      </c>
    </row>
    <row r="933">
      <c r="B933">
        <f>IF(A933="","",$B$1-MAXIFS(Donasi!$A$2:$A$20000,Donasi!$B$2:$B$20000,A933))</f>
        <v/>
      </c>
      <c r="C933">
        <f>IF(A933="","",COUNTIF(Donasi!$B$2:$B$20000,A933))</f>
        <v/>
      </c>
      <c r="D933">
        <f>IF(A933="","",SUMIF(Donasi!$B$2:$B$20000,A933,Donasi!$C$2:$C$20000))</f>
        <v/>
      </c>
      <c r="E933">
        <f>IF(A933="","",6-CEILING(PERCENTRANK.INC($B$3:$B$6000,B933,4)*5+0.000001,1))</f>
        <v/>
      </c>
      <c r="F933">
        <f>IF(A933="","",MAX(1,CEILING(PERCENTRANK.INC($C$3:$C$6000,C933,4)*5+0.000001,1)))</f>
        <v/>
      </c>
      <c r="G933">
        <f>IF(A933="","",MAX(1,CEILING(PERCENTRANK.INC($D$3:$D$6000,D933,4)*5+0.000001,1)))</f>
        <v/>
      </c>
      <c r="H933">
        <f>IF(A933="","",E933&amp;F933&amp;G933)</f>
        <v/>
      </c>
      <c r="I933">
        <f>IF(A933="","",IF(AND(E933&gt;=4,F933&gt;=4,G933&gt;=4),"Juara",IF(AND(F933&gt;=4,E933&gt;=3),"Setia",IF(AND(E933=5,F933&lt;=2,G933&gt;=3),"Berpotensi",IF(AND(E933&lt;=3,E933&gt;=2,F933&gt;=3),"Rawan",IF(AND(E933&lt;=2,F933&lt;=2),"Tidur","Umum"))))))</f>
        <v/>
      </c>
    </row>
    <row r="934">
      <c r="B934">
        <f>IF(A934="","",$B$1-MAXIFS(Donasi!$A$2:$A$20000,Donasi!$B$2:$B$20000,A934))</f>
        <v/>
      </c>
      <c r="C934">
        <f>IF(A934="","",COUNTIF(Donasi!$B$2:$B$20000,A934))</f>
        <v/>
      </c>
      <c r="D934">
        <f>IF(A934="","",SUMIF(Donasi!$B$2:$B$20000,A934,Donasi!$C$2:$C$20000))</f>
        <v/>
      </c>
      <c r="E934">
        <f>IF(A934="","",6-CEILING(PERCENTRANK.INC($B$3:$B$6000,B934,4)*5+0.000001,1))</f>
        <v/>
      </c>
      <c r="F934">
        <f>IF(A934="","",MAX(1,CEILING(PERCENTRANK.INC($C$3:$C$6000,C934,4)*5+0.000001,1)))</f>
        <v/>
      </c>
      <c r="G934">
        <f>IF(A934="","",MAX(1,CEILING(PERCENTRANK.INC($D$3:$D$6000,D934,4)*5+0.000001,1)))</f>
        <v/>
      </c>
      <c r="H934">
        <f>IF(A934="","",E934&amp;F934&amp;G934)</f>
        <v/>
      </c>
      <c r="I934">
        <f>IF(A934="","",IF(AND(E934&gt;=4,F934&gt;=4,G934&gt;=4),"Juara",IF(AND(F934&gt;=4,E934&gt;=3),"Setia",IF(AND(E934=5,F934&lt;=2,G934&gt;=3),"Berpotensi",IF(AND(E934&lt;=3,E934&gt;=2,F934&gt;=3),"Rawan",IF(AND(E934&lt;=2,F934&lt;=2),"Tidur","Umum"))))))</f>
        <v/>
      </c>
    </row>
    <row r="935">
      <c r="B935">
        <f>IF(A935="","",$B$1-MAXIFS(Donasi!$A$2:$A$20000,Donasi!$B$2:$B$20000,A935))</f>
        <v/>
      </c>
      <c r="C935">
        <f>IF(A935="","",COUNTIF(Donasi!$B$2:$B$20000,A935))</f>
        <v/>
      </c>
      <c r="D935">
        <f>IF(A935="","",SUMIF(Donasi!$B$2:$B$20000,A935,Donasi!$C$2:$C$20000))</f>
        <v/>
      </c>
      <c r="E935">
        <f>IF(A935="","",6-CEILING(PERCENTRANK.INC($B$3:$B$6000,B935,4)*5+0.000001,1))</f>
        <v/>
      </c>
      <c r="F935">
        <f>IF(A935="","",MAX(1,CEILING(PERCENTRANK.INC($C$3:$C$6000,C935,4)*5+0.000001,1)))</f>
        <v/>
      </c>
      <c r="G935">
        <f>IF(A935="","",MAX(1,CEILING(PERCENTRANK.INC($D$3:$D$6000,D935,4)*5+0.000001,1)))</f>
        <v/>
      </c>
      <c r="H935">
        <f>IF(A935="","",E935&amp;F935&amp;G935)</f>
        <v/>
      </c>
      <c r="I935">
        <f>IF(A935="","",IF(AND(E935&gt;=4,F935&gt;=4,G935&gt;=4),"Juara",IF(AND(F935&gt;=4,E935&gt;=3),"Setia",IF(AND(E935=5,F935&lt;=2,G935&gt;=3),"Berpotensi",IF(AND(E935&lt;=3,E935&gt;=2,F935&gt;=3),"Rawan",IF(AND(E935&lt;=2,F935&lt;=2),"Tidur","Umum"))))))</f>
        <v/>
      </c>
    </row>
    <row r="936">
      <c r="B936">
        <f>IF(A936="","",$B$1-MAXIFS(Donasi!$A$2:$A$20000,Donasi!$B$2:$B$20000,A936))</f>
        <v/>
      </c>
      <c r="C936">
        <f>IF(A936="","",COUNTIF(Donasi!$B$2:$B$20000,A936))</f>
        <v/>
      </c>
      <c r="D936">
        <f>IF(A936="","",SUMIF(Donasi!$B$2:$B$20000,A936,Donasi!$C$2:$C$20000))</f>
        <v/>
      </c>
      <c r="E936">
        <f>IF(A936="","",6-CEILING(PERCENTRANK.INC($B$3:$B$6000,B936,4)*5+0.000001,1))</f>
        <v/>
      </c>
      <c r="F936">
        <f>IF(A936="","",MAX(1,CEILING(PERCENTRANK.INC($C$3:$C$6000,C936,4)*5+0.000001,1)))</f>
        <v/>
      </c>
      <c r="G936">
        <f>IF(A936="","",MAX(1,CEILING(PERCENTRANK.INC($D$3:$D$6000,D936,4)*5+0.000001,1)))</f>
        <v/>
      </c>
      <c r="H936">
        <f>IF(A936="","",E936&amp;F936&amp;G936)</f>
        <v/>
      </c>
      <c r="I936">
        <f>IF(A936="","",IF(AND(E936&gt;=4,F936&gt;=4,G936&gt;=4),"Juara",IF(AND(F936&gt;=4,E936&gt;=3),"Setia",IF(AND(E936=5,F936&lt;=2,G936&gt;=3),"Berpotensi",IF(AND(E936&lt;=3,E936&gt;=2,F936&gt;=3),"Rawan",IF(AND(E936&lt;=2,F936&lt;=2),"Tidur","Umum"))))))</f>
        <v/>
      </c>
    </row>
    <row r="937">
      <c r="B937">
        <f>IF(A937="","",$B$1-MAXIFS(Donasi!$A$2:$A$20000,Donasi!$B$2:$B$20000,A937))</f>
        <v/>
      </c>
      <c r="C937">
        <f>IF(A937="","",COUNTIF(Donasi!$B$2:$B$20000,A937))</f>
        <v/>
      </c>
      <c r="D937">
        <f>IF(A937="","",SUMIF(Donasi!$B$2:$B$20000,A937,Donasi!$C$2:$C$20000))</f>
        <v/>
      </c>
      <c r="E937">
        <f>IF(A937="","",6-CEILING(PERCENTRANK.INC($B$3:$B$6000,B937,4)*5+0.000001,1))</f>
        <v/>
      </c>
      <c r="F937">
        <f>IF(A937="","",MAX(1,CEILING(PERCENTRANK.INC($C$3:$C$6000,C937,4)*5+0.000001,1)))</f>
        <v/>
      </c>
      <c r="G937">
        <f>IF(A937="","",MAX(1,CEILING(PERCENTRANK.INC($D$3:$D$6000,D937,4)*5+0.000001,1)))</f>
        <v/>
      </c>
      <c r="H937">
        <f>IF(A937="","",E937&amp;F937&amp;G937)</f>
        <v/>
      </c>
      <c r="I937">
        <f>IF(A937="","",IF(AND(E937&gt;=4,F937&gt;=4,G937&gt;=4),"Juara",IF(AND(F937&gt;=4,E937&gt;=3),"Setia",IF(AND(E937=5,F937&lt;=2,G937&gt;=3),"Berpotensi",IF(AND(E937&lt;=3,E937&gt;=2,F937&gt;=3),"Rawan",IF(AND(E937&lt;=2,F937&lt;=2),"Tidur","Umum"))))))</f>
        <v/>
      </c>
    </row>
    <row r="938">
      <c r="B938">
        <f>IF(A938="","",$B$1-MAXIFS(Donasi!$A$2:$A$20000,Donasi!$B$2:$B$20000,A938))</f>
        <v/>
      </c>
      <c r="C938">
        <f>IF(A938="","",COUNTIF(Donasi!$B$2:$B$20000,A938))</f>
        <v/>
      </c>
      <c r="D938">
        <f>IF(A938="","",SUMIF(Donasi!$B$2:$B$20000,A938,Donasi!$C$2:$C$20000))</f>
        <v/>
      </c>
      <c r="E938">
        <f>IF(A938="","",6-CEILING(PERCENTRANK.INC($B$3:$B$6000,B938,4)*5+0.000001,1))</f>
        <v/>
      </c>
      <c r="F938">
        <f>IF(A938="","",MAX(1,CEILING(PERCENTRANK.INC($C$3:$C$6000,C938,4)*5+0.000001,1)))</f>
        <v/>
      </c>
      <c r="G938">
        <f>IF(A938="","",MAX(1,CEILING(PERCENTRANK.INC($D$3:$D$6000,D938,4)*5+0.000001,1)))</f>
        <v/>
      </c>
      <c r="H938">
        <f>IF(A938="","",E938&amp;F938&amp;G938)</f>
        <v/>
      </c>
      <c r="I938">
        <f>IF(A938="","",IF(AND(E938&gt;=4,F938&gt;=4,G938&gt;=4),"Juara",IF(AND(F938&gt;=4,E938&gt;=3),"Setia",IF(AND(E938=5,F938&lt;=2,G938&gt;=3),"Berpotensi",IF(AND(E938&lt;=3,E938&gt;=2,F938&gt;=3),"Rawan",IF(AND(E938&lt;=2,F938&lt;=2),"Tidur","Umum"))))))</f>
        <v/>
      </c>
    </row>
    <row r="939">
      <c r="B939">
        <f>IF(A939="","",$B$1-MAXIFS(Donasi!$A$2:$A$20000,Donasi!$B$2:$B$20000,A939))</f>
        <v/>
      </c>
      <c r="C939">
        <f>IF(A939="","",COUNTIF(Donasi!$B$2:$B$20000,A939))</f>
        <v/>
      </c>
      <c r="D939">
        <f>IF(A939="","",SUMIF(Donasi!$B$2:$B$20000,A939,Donasi!$C$2:$C$20000))</f>
        <v/>
      </c>
      <c r="E939">
        <f>IF(A939="","",6-CEILING(PERCENTRANK.INC($B$3:$B$6000,B939,4)*5+0.000001,1))</f>
        <v/>
      </c>
      <c r="F939">
        <f>IF(A939="","",MAX(1,CEILING(PERCENTRANK.INC($C$3:$C$6000,C939,4)*5+0.000001,1)))</f>
        <v/>
      </c>
      <c r="G939">
        <f>IF(A939="","",MAX(1,CEILING(PERCENTRANK.INC($D$3:$D$6000,D939,4)*5+0.000001,1)))</f>
        <v/>
      </c>
      <c r="H939">
        <f>IF(A939="","",E939&amp;F939&amp;G939)</f>
        <v/>
      </c>
      <c r="I939">
        <f>IF(A939="","",IF(AND(E939&gt;=4,F939&gt;=4,G939&gt;=4),"Juara",IF(AND(F939&gt;=4,E939&gt;=3),"Setia",IF(AND(E939=5,F939&lt;=2,G939&gt;=3),"Berpotensi",IF(AND(E939&lt;=3,E939&gt;=2,F939&gt;=3),"Rawan",IF(AND(E939&lt;=2,F939&lt;=2),"Tidur","Umum"))))))</f>
        <v/>
      </c>
    </row>
    <row r="940">
      <c r="B940">
        <f>IF(A940="","",$B$1-MAXIFS(Donasi!$A$2:$A$20000,Donasi!$B$2:$B$20000,A940))</f>
        <v/>
      </c>
      <c r="C940">
        <f>IF(A940="","",COUNTIF(Donasi!$B$2:$B$20000,A940))</f>
        <v/>
      </c>
      <c r="D940">
        <f>IF(A940="","",SUMIF(Donasi!$B$2:$B$20000,A940,Donasi!$C$2:$C$20000))</f>
        <v/>
      </c>
      <c r="E940">
        <f>IF(A940="","",6-CEILING(PERCENTRANK.INC($B$3:$B$6000,B940,4)*5+0.000001,1))</f>
        <v/>
      </c>
      <c r="F940">
        <f>IF(A940="","",MAX(1,CEILING(PERCENTRANK.INC($C$3:$C$6000,C940,4)*5+0.000001,1)))</f>
        <v/>
      </c>
      <c r="G940">
        <f>IF(A940="","",MAX(1,CEILING(PERCENTRANK.INC($D$3:$D$6000,D940,4)*5+0.000001,1)))</f>
        <v/>
      </c>
      <c r="H940">
        <f>IF(A940="","",E940&amp;F940&amp;G940)</f>
        <v/>
      </c>
      <c r="I940">
        <f>IF(A940="","",IF(AND(E940&gt;=4,F940&gt;=4,G940&gt;=4),"Juara",IF(AND(F940&gt;=4,E940&gt;=3),"Setia",IF(AND(E940=5,F940&lt;=2,G940&gt;=3),"Berpotensi",IF(AND(E940&lt;=3,E940&gt;=2,F940&gt;=3),"Rawan",IF(AND(E940&lt;=2,F940&lt;=2),"Tidur","Umum"))))))</f>
        <v/>
      </c>
    </row>
    <row r="941">
      <c r="B941">
        <f>IF(A941="","",$B$1-MAXIFS(Donasi!$A$2:$A$20000,Donasi!$B$2:$B$20000,A941))</f>
        <v/>
      </c>
      <c r="C941">
        <f>IF(A941="","",COUNTIF(Donasi!$B$2:$B$20000,A941))</f>
        <v/>
      </c>
      <c r="D941">
        <f>IF(A941="","",SUMIF(Donasi!$B$2:$B$20000,A941,Donasi!$C$2:$C$20000))</f>
        <v/>
      </c>
      <c r="E941">
        <f>IF(A941="","",6-CEILING(PERCENTRANK.INC($B$3:$B$6000,B941,4)*5+0.000001,1))</f>
        <v/>
      </c>
      <c r="F941">
        <f>IF(A941="","",MAX(1,CEILING(PERCENTRANK.INC($C$3:$C$6000,C941,4)*5+0.000001,1)))</f>
        <v/>
      </c>
      <c r="G941">
        <f>IF(A941="","",MAX(1,CEILING(PERCENTRANK.INC($D$3:$D$6000,D941,4)*5+0.000001,1)))</f>
        <v/>
      </c>
      <c r="H941">
        <f>IF(A941="","",E941&amp;F941&amp;G941)</f>
        <v/>
      </c>
      <c r="I941">
        <f>IF(A941="","",IF(AND(E941&gt;=4,F941&gt;=4,G941&gt;=4),"Juara",IF(AND(F941&gt;=4,E941&gt;=3),"Setia",IF(AND(E941=5,F941&lt;=2,G941&gt;=3),"Berpotensi",IF(AND(E941&lt;=3,E941&gt;=2,F941&gt;=3),"Rawan",IF(AND(E941&lt;=2,F941&lt;=2),"Tidur","Umum"))))))</f>
        <v/>
      </c>
    </row>
    <row r="942">
      <c r="B942">
        <f>IF(A942="","",$B$1-MAXIFS(Donasi!$A$2:$A$20000,Donasi!$B$2:$B$20000,A942))</f>
        <v/>
      </c>
      <c r="C942">
        <f>IF(A942="","",COUNTIF(Donasi!$B$2:$B$20000,A942))</f>
        <v/>
      </c>
      <c r="D942">
        <f>IF(A942="","",SUMIF(Donasi!$B$2:$B$20000,A942,Donasi!$C$2:$C$20000))</f>
        <v/>
      </c>
      <c r="E942">
        <f>IF(A942="","",6-CEILING(PERCENTRANK.INC($B$3:$B$6000,B942,4)*5+0.000001,1))</f>
        <v/>
      </c>
      <c r="F942">
        <f>IF(A942="","",MAX(1,CEILING(PERCENTRANK.INC($C$3:$C$6000,C942,4)*5+0.000001,1)))</f>
        <v/>
      </c>
      <c r="G942">
        <f>IF(A942="","",MAX(1,CEILING(PERCENTRANK.INC($D$3:$D$6000,D942,4)*5+0.000001,1)))</f>
        <v/>
      </c>
      <c r="H942">
        <f>IF(A942="","",E942&amp;F942&amp;G942)</f>
        <v/>
      </c>
      <c r="I942">
        <f>IF(A942="","",IF(AND(E942&gt;=4,F942&gt;=4,G942&gt;=4),"Juara",IF(AND(F942&gt;=4,E942&gt;=3),"Setia",IF(AND(E942=5,F942&lt;=2,G942&gt;=3),"Berpotensi",IF(AND(E942&lt;=3,E942&gt;=2,F942&gt;=3),"Rawan",IF(AND(E942&lt;=2,F942&lt;=2),"Tidur","Umum"))))))</f>
        <v/>
      </c>
    </row>
    <row r="943">
      <c r="B943">
        <f>IF(A943="","",$B$1-MAXIFS(Donasi!$A$2:$A$20000,Donasi!$B$2:$B$20000,A943))</f>
        <v/>
      </c>
      <c r="C943">
        <f>IF(A943="","",COUNTIF(Donasi!$B$2:$B$20000,A943))</f>
        <v/>
      </c>
      <c r="D943">
        <f>IF(A943="","",SUMIF(Donasi!$B$2:$B$20000,A943,Donasi!$C$2:$C$20000))</f>
        <v/>
      </c>
      <c r="E943">
        <f>IF(A943="","",6-CEILING(PERCENTRANK.INC($B$3:$B$6000,B943,4)*5+0.000001,1))</f>
        <v/>
      </c>
      <c r="F943">
        <f>IF(A943="","",MAX(1,CEILING(PERCENTRANK.INC($C$3:$C$6000,C943,4)*5+0.000001,1)))</f>
        <v/>
      </c>
      <c r="G943">
        <f>IF(A943="","",MAX(1,CEILING(PERCENTRANK.INC($D$3:$D$6000,D943,4)*5+0.000001,1)))</f>
        <v/>
      </c>
      <c r="H943">
        <f>IF(A943="","",E943&amp;F943&amp;G943)</f>
        <v/>
      </c>
      <c r="I943">
        <f>IF(A943="","",IF(AND(E943&gt;=4,F943&gt;=4,G943&gt;=4),"Juara",IF(AND(F943&gt;=4,E943&gt;=3),"Setia",IF(AND(E943=5,F943&lt;=2,G943&gt;=3),"Berpotensi",IF(AND(E943&lt;=3,E943&gt;=2,F943&gt;=3),"Rawan",IF(AND(E943&lt;=2,F943&lt;=2),"Tidur","Umum"))))))</f>
        <v/>
      </c>
    </row>
    <row r="944">
      <c r="B944">
        <f>IF(A944="","",$B$1-MAXIFS(Donasi!$A$2:$A$20000,Donasi!$B$2:$B$20000,A944))</f>
        <v/>
      </c>
      <c r="C944">
        <f>IF(A944="","",COUNTIF(Donasi!$B$2:$B$20000,A944))</f>
        <v/>
      </c>
      <c r="D944">
        <f>IF(A944="","",SUMIF(Donasi!$B$2:$B$20000,A944,Donasi!$C$2:$C$20000))</f>
        <v/>
      </c>
      <c r="E944">
        <f>IF(A944="","",6-CEILING(PERCENTRANK.INC($B$3:$B$6000,B944,4)*5+0.000001,1))</f>
        <v/>
      </c>
      <c r="F944">
        <f>IF(A944="","",MAX(1,CEILING(PERCENTRANK.INC($C$3:$C$6000,C944,4)*5+0.000001,1)))</f>
        <v/>
      </c>
      <c r="G944">
        <f>IF(A944="","",MAX(1,CEILING(PERCENTRANK.INC($D$3:$D$6000,D944,4)*5+0.000001,1)))</f>
        <v/>
      </c>
      <c r="H944">
        <f>IF(A944="","",E944&amp;F944&amp;G944)</f>
        <v/>
      </c>
      <c r="I944">
        <f>IF(A944="","",IF(AND(E944&gt;=4,F944&gt;=4,G944&gt;=4),"Juara",IF(AND(F944&gt;=4,E944&gt;=3),"Setia",IF(AND(E944=5,F944&lt;=2,G944&gt;=3),"Berpotensi",IF(AND(E944&lt;=3,E944&gt;=2,F944&gt;=3),"Rawan",IF(AND(E944&lt;=2,F944&lt;=2),"Tidur","Umum"))))))</f>
        <v/>
      </c>
    </row>
    <row r="945">
      <c r="B945">
        <f>IF(A945="","",$B$1-MAXIFS(Donasi!$A$2:$A$20000,Donasi!$B$2:$B$20000,A945))</f>
        <v/>
      </c>
      <c r="C945">
        <f>IF(A945="","",COUNTIF(Donasi!$B$2:$B$20000,A945))</f>
        <v/>
      </c>
      <c r="D945">
        <f>IF(A945="","",SUMIF(Donasi!$B$2:$B$20000,A945,Donasi!$C$2:$C$20000))</f>
        <v/>
      </c>
      <c r="E945">
        <f>IF(A945="","",6-CEILING(PERCENTRANK.INC($B$3:$B$6000,B945,4)*5+0.000001,1))</f>
        <v/>
      </c>
      <c r="F945">
        <f>IF(A945="","",MAX(1,CEILING(PERCENTRANK.INC($C$3:$C$6000,C945,4)*5+0.000001,1)))</f>
        <v/>
      </c>
      <c r="G945">
        <f>IF(A945="","",MAX(1,CEILING(PERCENTRANK.INC($D$3:$D$6000,D945,4)*5+0.000001,1)))</f>
        <v/>
      </c>
      <c r="H945">
        <f>IF(A945="","",E945&amp;F945&amp;G945)</f>
        <v/>
      </c>
      <c r="I945">
        <f>IF(A945="","",IF(AND(E945&gt;=4,F945&gt;=4,G945&gt;=4),"Juara",IF(AND(F945&gt;=4,E945&gt;=3),"Setia",IF(AND(E945=5,F945&lt;=2,G945&gt;=3),"Berpotensi",IF(AND(E945&lt;=3,E945&gt;=2,F945&gt;=3),"Rawan",IF(AND(E945&lt;=2,F945&lt;=2),"Tidur","Umum"))))))</f>
        <v/>
      </c>
    </row>
    <row r="946">
      <c r="B946">
        <f>IF(A946="","",$B$1-MAXIFS(Donasi!$A$2:$A$20000,Donasi!$B$2:$B$20000,A946))</f>
        <v/>
      </c>
      <c r="C946">
        <f>IF(A946="","",COUNTIF(Donasi!$B$2:$B$20000,A946))</f>
        <v/>
      </c>
      <c r="D946">
        <f>IF(A946="","",SUMIF(Donasi!$B$2:$B$20000,A946,Donasi!$C$2:$C$20000))</f>
        <v/>
      </c>
      <c r="E946">
        <f>IF(A946="","",6-CEILING(PERCENTRANK.INC($B$3:$B$6000,B946,4)*5+0.000001,1))</f>
        <v/>
      </c>
      <c r="F946">
        <f>IF(A946="","",MAX(1,CEILING(PERCENTRANK.INC($C$3:$C$6000,C946,4)*5+0.000001,1)))</f>
        <v/>
      </c>
      <c r="G946">
        <f>IF(A946="","",MAX(1,CEILING(PERCENTRANK.INC($D$3:$D$6000,D946,4)*5+0.000001,1)))</f>
        <v/>
      </c>
      <c r="H946">
        <f>IF(A946="","",E946&amp;F946&amp;G946)</f>
        <v/>
      </c>
      <c r="I946">
        <f>IF(A946="","",IF(AND(E946&gt;=4,F946&gt;=4,G946&gt;=4),"Juara",IF(AND(F946&gt;=4,E946&gt;=3),"Setia",IF(AND(E946=5,F946&lt;=2,G946&gt;=3),"Berpotensi",IF(AND(E946&lt;=3,E946&gt;=2,F946&gt;=3),"Rawan",IF(AND(E946&lt;=2,F946&lt;=2),"Tidur","Umum"))))))</f>
        <v/>
      </c>
    </row>
    <row r="947">
      <c r="B947">
        <f>IF(A947="","",$B$1-MAXIFS(Donasi!$A$2:$A$20000,Donasi!$B$2:$B$20000,A947))</f>
        <v/>
      </c>
      <c r="C947">
        <f>IF(A947="","",COUNTIF(Donasi!$B$2:$B$20000,A947))</f>
        <v/>
      </c>
      <c r="D947">
        <f>IF(A947="","",SUMIF(Donasi!$B$2:$B$20000,A947,Donasi!$C$2:$C$20000))</f>
        <v/>
      </c>
      <c r="E947">
        <f>IF(A947="","",6-CEILING(PERCENTRANK.INC($B$3:$B$6000,B947,4)*5+0.000001,1))</f>
        <v/>
      </c>
      <c r="F947">
        <f>IF(A947="","",MAX(1,CEILING(PERCENTRANK.INC($C$3:$C$6000,C947,4)*5+0.000001,1)))</f>
        <v/>
      </c>
      <c r="G947">
        <f>IF(A947="","",MAX(1,CEILING(PERCENTRANK.INC($D$3:$D$6000,D947,4)*5+0.000001,1)))</f>
        <v/>
      </c>
      <c r="H947">
        <f>IF(A947="","",E947&amp;F947&amp;G947)</f>
        <v/>
      </c>
      <c r="I947">
        <f>IF(A947="","",IF(AND(E947&gt;=4,F947&gt;=4,G947&gt;=4),"Juara",IF(AND(F947&gt;=4,E947&gt;=3),"Setia",IF(AND(E947=5,F947&lt;=2,G947&gt;=3),"Berpotensi",IF(AND(E947&lt;=3,E947&gt;=2,F947&gt;=3),"Rawan",IF(AND(E947&lt;=2,F947&lt;=2),"Tidur","Umum"))))))</f>
        <v/>
      </c>
    </row>
    <row r="948">
      <c r="B948">
        <f>IF(A948="","",$B$1-MAXIFS(Donasi!$A$2:$A$20000,Donasi!$B$2:$B$20000,A948))</f>
        <v/>
      </c>
      <c r="C948">
        <f>IF(A948="","",COUNTIF(Donasi!$B$2:$B$20000,A948))</f>
        <v/>
      </c>
      <c r="D948">
        <f>IF(A948="","",SUMIF(Donasi!$B$2:$B$20000,A948,Donasi!$C$2:$C$20000))</f>
        <v/>
      </c>
      <c r="E948">
        <f>IF(A948="","",6-CEILING(PERCENTRANK.INC($B$3:$B$6000,B948,4)*5+0.000001,1))</f>
        <v/>
      </c>
      <c r="F948">
        <f>IF(A948="","",MAX(1,CEILING(PERCENTRANK.INC($C$3:$C$6000,C948,4)*5+0.000001,1)))</f>
        <v/>
      </c>
      <c r="G948">
        <f>IF(A948="","",MAX(1,CEILING(PERCENTRANK.INC($D$3:$D$6000,D948,4)*5+0.000001,1)))</f>
        <v/>
      </c>
      <c r="H948">
        <f>IF(A948="","",E948&amp;F948&amp;G948)</f>
        <v/>
      </c>
      <c r="I948">
        <f>IF(A948="","",IF(AND(E948&gt;=4,F948&gt;=4,G948&gt;=4),"Juara",IF(AND(F948&gt;=4,E948&gt;=3),"Setia",IF(AND(E948=5,F948&lt;=2,G948&gt;=3),"Berpotensi",IF(AND(E948&lt;=3,E948&gt;=2,F948&gt;=3),"Rawan",IF(AND(E948&lt;=2,F948&lt;=2),"Tidur","Umum"))))))</f>
        <v/>
      </c>
    </row>
    <row r="949">
      <c r="B949">
        <f>IF(A949="","",$B$1-MAXIFS(Donasi!$A$2:$A$20000,Donasi!$B$2:$B$20000,A949))</f>
        <v/>
      </c>
      <c r="C949">
        <f>IF(A949="","",COUNTIF(Donasi!$B$2:$B$20000,A949))</f>
        <v/>
      </c>
      <c r="D949">
        <f>IF(A949="","",SUMIF(Donasi!$B$2:$B$20000,A949,Donasi!$C$2:$C$20000))</f>
        <v/>
      </c>
      <c r="E949">
        <f>IF(A949="","",6-CEILING(PERCENTRANK.INC($B$3:$B$6000,B949,4)*5+0.000001,1))</f>
        <v/>
      </c>
      <c r="F949">
        <f>IF(A949="","",MAX(1,CEILING(PERCENTRANK.INC($C$3:$C$6000,C949,4)*5+0.000001,1)))</f>
        <v/>
      </c>
      <c r="G949">
        <f>IF(A949="","",MAX(1,CEILING(PERCENTRANK.INC($D$3:$D$6000,D949,4)*5+0.000001,1)))</f>
        <v/>
      </c>
      <c r="H949">
        <f>IF(A949="","",E949&amp;F949&amp;G949)</f>
        <v/>
      </c>
      <c r="I949">
        <f>IF(A949="","",IF(AND(E949&gt;=4,F949&gt;=4,G949&gt;=4),"Juara",IF(AND(F949&gt;=4,E949&gt;=3),"Setia",IF(AND(E949=5,F949&lt;=2,G949&gt;=3),"Berpotensi",IF(AND(E949&lt;=3,E949&gt;=2,F949&gt;=3),"Rawan",IF(AND(E949&lt;=2,F949&lt;=2),"Tidur","Umum"))))))</f>
        <v/>
      </c>
    </row>
    <row r="950">
      <c r="B950">
        <f>IF(A950="","",$B$1-MAXIFS(Donasi!$A$2:$A$20000,Donasi!$B$2:$B$20000,A950))</f>
        <v/>
      </c>
      <c r="C950">
        <f>IF(A950="","",COUNTIF(Donasi!$B$2:$B$20000,A950))</f>
        <v/>
      </c>
      <c r="D950">
        <f>IF(A950="","",SUMIF(Donasi!$B$2:$B$20000,A950,Donasi!$C$2:$C$20000))</f>
        <v/>
      </c>
      <c r="E950">
        <f>IF(A950="","",6-CEILING(PERCENTRANK.INC($B$3:$B$6000,B950,4)*5+0.000001,1))</f>
        <v/>
      </c>
      <c r="F950">
        <f>IF(A950="","",MAX(1,CEILING(PERCENTRANK.INC($C$3:$C$6000,C950,4)*5+0.000001,1)))</f>
        <v/>
      </c>
      <c r="G950">
        <f>IF(A950="","",MAX(1,CEILING(PERCENTRANK.INC($D$3:$D$6000,D950,4)*5+0.000001,1)))</f>
        <v/>
      </c>
      <c r="H950">
        <f>IF(A950="","",E950&amp;F950&amp;G950)</f>
        <v/>
      </c>
      <c r="I950">
        <f>IF(A950="","",IF(AND(E950&gt;=4,F950&gt;=4,G950&gt;=4),"Juara",IF(AND(F950&gt;=4,E950&gt;=3),"Setia",IF(AND(E950=5,F950&lt;=2,G950&gt;=3),"Berpotensi",IF(AND(E950&lt;=3,E950&gt;=2,F950&gt;=3),"Rawan",IF(AND(E950&lt;=2,F950&lt;=2),"Tidur","Umum"))))))</f>
        <v/>
      </c>
    </row>
    <row r="951">
      <c r="B951">
        <f>IF(A951="","",$B$1-MAXIFS(Donasi!$A$2:$A$20000,Donasi!$B$2:$B$20000,A951))</f>
        <v/>
      </c>
      <c r="C951">
        <f>IF(A951="","",COUNTIF(Donasi!$B$2:$B$20000,A951))</f>
        <v/>
      </c>
      <c r="D951">
        <f>IF(A951="","",SUMIF(Donasi!$B$2:$B$20000,A951,Donasi!$C$2:$C$20000))</f>
        <v/>
      </c>
      <c r="E951">
        <f>IF(A951="","",6-CEILING(PERCENTRANK.INC($B$3:$B$6000,B951,4)*5+0.000001,1))</f>
        <v/>
      </c>
      <c r="F951">
        <f>IF(A951="","",MAX(1,CEILING(PERCENTRANK.INC($C$3:$C$6000,C951,4)*5+0.000001,1)))</f>
        <v/>
      </c>
      <c r="G951">
        <f>IF(A951="","",MAX(1,CEILING(PERCENTRANK.INC($D$3:$D$6000,D951,4)*5+0.000001,1)))</f>
        <v/>
      </c>
      <c r="H951">
        <f>IF(A951="","",E951&amp;F951&amp;G951)</f>
        <v/>
      </c>
      <c r="I951">
        <f>IF(A951="","",IF(AND(E951&gt;=4,F951&gt;=4,G951&gt;=4),"Juara",IF(AND(F951&gt;=4,E951&gt;=3),"Setia",IF(AND(E951=5,F951&lt;=2,G951&gt;=3),"Berpotensi",IF(AND(E951&lt;=3,E951&gt;=2,F951&gt;=3),"Rawan",IF(AND(E951&lt;=2,F951&lt;=2),"Tidur","Umum"))))))</f>
        <v/>
      </c>
    </row>
    <row r="952">
      <c r="B952">
        <f>IF(A952="","",$B$1-MAXIFS(Donasi!$A$2:$A$20000,Donasi!$B$2:$B$20000,A952))</f>
        <v/>
      </c>
      <c r="C952">
        <f>IF(A952="","",COUNTIF(Donasi!$B$2:$B$20000,A952))</f>
        <v/>
      </c>
      <c r="D952">
        <f>IF(A952="","",SUMIF(Donasi!$B$2:$B$20000,A952,Donasi!$C$2:$C$20000))</f>
        <v/>
      </c>
      <c r="E952">
        <f>IF(A952="","",6-CEILING(PERCENTRANK.INC($B$3:$B$6000,B952,4)*5+0.000001,1))</f>
        <v/>
      </c>
      <c r="F952">
        <f>IF(A952="","",MAX(1,CEILING(PERCENTRANK.INC($C$3:$C$6000,C952,4)*5+0.000001,1)))</f>
        <v/>
      </c>
      <c r="G952">
        <f>IF(A952="","",MAX(1,CEILING(PERCENTRANK.INC($D$3:$D$6000,D952,4)*5+0.000001,1)))</f>
        <v/>
      </c>
      <c r="H952">
        <f>IF(A952="","",E952&amp;F952&amp;G952)</f>
        <v/>
      </c>
      <c r="I952">
        <f>IF(A952="","",IF(AND(E952&gt;=4,F952&gt;=4,G952&gt;=4),"Juara",IF(AND(F952&gt;=4,E952&gt;=3),"Setia",IF(AND(E952=5,F952&lt;=2,G952&gt;=3),"Berpotensi",IF(AND(E952&lt;=3,E952&gt;=2,F952&gt;=3),"Rawan",IF(AND(E952&lt;=2,F952&lt;=2),"Tidur","Umum"))))))</f>
        <v/>
      </c>
    </row>
    <row r="953">
      <c r="B953">
        <f>IF(A953="","",$B$1-MAXIFS(Donasi!$A$2:$A$20000,Donasi!$B$2:$B$20000,A953))</f>
        <v/>
      </c>
      <c r="C953">
        <f>IF(A953="","",COUNTIF(Donasi!$B$2:$B$20000,A953))</f>
        <v/>
      </c>
      <c r="D953">
        <f>IF(A953="","",SUMIF(Donasi!$B$2:$B$20000,A953,Donasi!$C$2:$C$20000))</f>
        <v/>
      </c>
      <c r="E953">
        <f>IF(A953="","",6-CEILING(PERCENTRANK.INC($B$3:$B$6000,B953,4)*5+0.000001,1))</f>
        <v/>
      </c>
      <c r="F953">
        <f>IF(A953="","",MAX(1,CEILING(PERCENTRANK.INC($C$3:$C$6000,C953,4)*5+0.000001,1)))</f>
        <v/>
      </c>
      <c r="G953">
        <f>IF(A953="","",MAX(1,CEILING(PERCENTRANK.INC($D$3:$D$6000,D953,4)*5+0.000001,1)))</f>
        <v/>
      </c>
      <c r="H953">
        <f>IF(A953="","",E953&amp;F953&amp;G953)</f>
        <v/>
      </c>
      <c r="I953">
        <f>IF(A953="","",IF(AND(E953&gt;=4,F953&gt;=4,G953&gt;=4),"Juara",IF(AND(F953&gt;=4,E953&gt;=3),"Setia",IF(AND(E953=5,F953&lt;=2,G953&gt;=3),"Berpotensi",IF(AND(E953&lt;=3,E953&gt;=2,F953&gt;=3),"Rawan",IF(AND(E953&lt;=2,F953&lt;=2),"Tidur","Umum"))))))</f>
        <v/>
      </c>
    </row>
    <row r="954">
      <c r="B954">
        <f>IF(A954="","",$B$1-MAXIFS(Donasi!$A$2:$A$20000,Donasi!$B$2:$B$20000,A954))</f>
        <v/>
      </c>
      <c r="C954">
        <f>IF(A954="","",COUNTIF(Donasi!$B$2:$B$20000,A954))</f>
        <v/>
      </c>
      <c r="D954">
        <f>IF(A954="","",SUMIF(Donasi!$B$2:$B$20000,A954,Donasi!$C$2:$C$20000))</f>
        <v/>
      </c>
      <c r="E954">
        <f>IF(A954="","",6-CEILING(PERCENTRANK.INC($B$3:$B$6000,B954,4)*5+0.000001,1))</f>
        <v/>
      </c>
      <c r="F954">
        <f>IF(A954="","",MAX(1,CEILING(PERCENTRANK.INC($C$3:$C$6000,C954,4)*5+0.000001,1)))</f>
        <v/>
      </c>
      <c r="G954">
        <f>IF(A954="","",MAX(1,CEILING(PERCENTRANK.INC($D$3:$D$6000,D954,4)*5+0.000001,1)))</f>
        <v/>
      </c>
      <c r="H954">
        <f>IF(A954="","",E954&amp;F954&amp;G954)</f>
        <v/>
      </c>
      <c r="I954">
        <f>IF(A954="","",IF(AND(E954&gt;=4,F954&gt;=4,G954&gt;=4),"Juara",IF(AND(F954&gt;=4,E954&gt;=3),"Setia",IF(AND(E954=5,F954&lt;=2,G954&gt;=3),"Berpotensi",IF(AND(E954&lt;=3,E954&gt;=2,F954&gt;=3),"Rawan",IF(AND(E954&lt;=2,F954&lt;=2),"Tidur","Umum"))))))</f>
        <v/>
      </c>
    </row>
    <row r="955">
      <c r="B955">
        <f>IF(A955="","",$B$1-MAXIFS(Donasi!$A$2:$A$20000,Donasi!$B$2:$B$20000,A955))</f>
        <v/>
      </c>
      <c r="C955">
        <f>IF(A955="","",COUNTIF(Donasi!$B$2:$B$20000,A955))</f>
        <v/>
      </c>
      <c r="D955">
        <f>IF(A955="","",SUMIF(Donasi!$B$2:$B$20000,A955,Donasi!$C$2:$C$20000))</f>
        <v/>
      </c>
      <c r="E955">
        <f>IF(A955="","",6-CEILING(PERCENTRANK.INC($B$3:$B$6000,B955,4)*5+0.000001,1))</f>
        <v/>
      </c>
      <c r="F955">
        <f>IF(A955="","",MAX(1,CEILING(PERCENTRANK.INC($C$3:$C$6000,C955,4)*5+0.000001,1)))</f>
        <v/>
      </c>
      <c r="G955">
        <f>IF(A955="","",MAX(1,CEILING(PERCENTRANK.INC($D$3:$D$6000,D955,4)*5+0.000001,1)))</f>
        <v/>
      </c>
      <c r="H955">
        <f>IF(A955="","",E955&amp;F955&amp;G955)</f>
        <v/>
      </c>
      <c r="I955">
        <f>IF(A955="","",IF(AND(E955&gt;=4,F955&gt;=4,G955&gt;=4),"Juara",IF(AND(F955&gt;=4,E955&gt;=3),"Setia",IF(AND(E955=5,F955&lt;=2,G955&gt;=3),"Berpotensi",IF(AND(E955&lt;=3,E955&gt;=2,F955&gt;=3),"Rawan",IF(AND(E955&lt;=2,F955&lt;=2),"Tidur","Umum"))))))</f>
        <v/>
      </c>
    </row>
    <row r="956">
      <c r="B956">
        <f>IF(A956="","",$B$1-MAXIFS(Donasi!$A$2:$A$20000,Donasi!$B$2:$B$20000,A956))</f>
        <v/>
      </c>
      <c r="C956">
        <f>IF(A956="","",COUNTIF(Donasi!$B$2:$B$20000,A956))</f>
        <v/>
      </c>
      <c r="D956">
        <f>IF(A956="","",SUMIF(Donasi!$B$2:$B$20000,A956,Donasi!$C$2:$C$20000))</f>
        <v/>
      </c>
      <c r="E956">
        <f>IF(A956="","",6-CEILING(PERCENTRANK.INC($B$3:$B$6000,B956,4)*5+0.000001,1))</f>
        <v/>
      </c>
      <c r="F956">
        <f>IF(A956="","",MAX(1,CEILING(PERCENTRANK.INC($C$3:$C$6000,C956,4)*5+0.000001,1)))</f>
        <v/>
      </c>
      <c r="G956">
        <f>IF(A956="","",MAX(1,CEILING(PERCENTRANK.INC($D$3:$D$6000,D956,4)*5+0.000001,1)))</f>
        <v/>
      </c>
      <c r="H956">
        <f>IF(A956="","",E956&amp;F956&amp;G956)</f>
        <v/>
      </c>
      <c r="I956">
        <f>IF(A956="","",IF(AND(E956&gt;=4,F956&gt;=4,G956&gt;=4),"Juara",IF(AND(F956&gt;=4,E956&gt;=3),"Setia",IF(AND(E956=5,F956&lt;=2,G956&gt;=3),"Berpotensi",IF(AND(E956&lt;=3,E956&gt;=2,F956&gt;=3),"Rawan",IF(AND(E956&lt;=2,F956&lt;=2),"Tidur","Umum"))))))</f>
        <v/>
      </c>
    </row>
    <row r="957">
      <c r="B957">
        <f>IF(A957="","",$B$1-MAXIFS(Donasi!$A$2:$A$20000,Donasi!$B$2:$B$20000,A957))</f>
        <v/>
      </c>
      <c r="C957">
        <f>IF(A957="","",COUNTIF(Donasi!$B$2:$B$20000,A957))</f>
        <v/>
      </c>
      <c r="D957">
        <f>IF(A957="","",SUMIF(Donasi!$B$2:$B$20000,A957,Donasi!$C$2:$C$20000))</f>
        <v/>
      </c>
      <c r="E957">
        <f>IF(A957="","",6-CEILING(PERCENTRANK.INC($B$3:$B$6000,B957,4)*5+0.000001,1))</f>
        <v/>
      </c>
      <c r="F957">
        <f>IF(A957="","",MAX(1,CEILING(PERCENTRANK.INC($C$3:$C$6000,C957,4)*5+0.000001,1)))</f>
        <v/>
      </c>
      <c r="G957">
        <f>IF(A957="","",MAX(1,CEILING(PERCENTRANK.INC($D$3:$D$6000,D957,4)*5+0.000001,1)))</f>
        <v/>
      </c>
      <c r="H957">
        <f>IF(A957="","",E957&amp;F957&amp;G957)</f>
        <v/>
      </c>
      <c r="I957">
        <f>IF(A957="","",IF(AND(E957&gt;=4,F957&gt;=4,G957&gt;=4),"Juara",IF(AND(F957&gt;=4,E957&gt;=3),"Setia",IF(AND(E957=5,F957&lt;=2,G957&gt;=3),"Berpotensi",IF(AND(E957&lt;=3,E957&gt;=2,F957&gt;=3),"Rawan",IF(AND(E957&lt;=2,F957&lt;=2),"Tidur","Umum"))))))</f>
        <v/>
      </c>
    </row>
    <row r="958">
      <c r="B958">
        <f>IF(A958="","",$B$1-MAXIFS(Donasi!$A$2:$A$20000,Donasi!$B$2:$B$20000,A958))</f>
        <v/>
      </c>
      <c r="C958">
        <f>IF(A958="","",COUNTIF(Donasi!$B$2:$B$20000,A958))</f>
        <v/>
      </c>
      <c r="D958">
        <f>IF(A958="","",SUMIF(Donasi!$B$2:$B$20000,A958,Donasi!$C$2:$C$20000))</f>
        <v/>
      </c>
      <c r="E958">
        <f>IF(A958="","",6-CEILING(PERCENTRANK.INC($B$3:$B$6000,B958,4)*5+0.000001,1))</f>
        <v/>
      </c>
      <c r="F958">
        <f>IF(A958="","",MAX(1,CEILING(PERCENTRANK.INC($C$3:$C$6000,C958,4)*5+0.000001,1)))</f>
        <v/>
      </c>
      <c r="G958">
        <f>IF(A958="","",MAX(1,CEILING(PERCENTRANK.INC($D$3:$D$6000,D958,4)*5+0.000001,1)))</f>
        <v/>
      </c>
      <c r="H958">
        <f>IF(A958="","",E958&amp;F958&amp;G958)</f>
        <v/>
      </c>
      <c r="I958">
        <f>IF(A958="","",IF(AND(E958&gt;=4,F958&gt;=4,G958&gt;=4),"Juara",IF(AND(F958&gt;=4,E958&gt;=3),"Setia",IF(AND(E958=5,F958&lt;=2,G958&gt;=3),"Berpotensi",IF(AND(E958&lt;=3,E958&gt;=2,F958&gt;=3),"Rawan",IF(AND(E958&lt;=2,F958&lt;=2),"Tidur","Umum"))))))</f>
        <v/>
      </c>
    </row>
    <row r="959">
      <c r="B959">
        <f>IF(A959="","",$B$1-MAXIFS(Donasi!$A$2:$A$20000,Donasi!$B$2:$B$20000,A959))</f>
        <v/>
      </c>
      <c r="C959">
        <f>IF(A959="","",COUNTIF(Donasi!$B$2:$B$20000,A959))</f>
        <v/>
      </c>
      <c r="D959">
        <f>IF(A959="","",SUMIF(Donasi!$B$2:$B$20000,A959,Donasi!$C$2:$C$20000))</f>
        <v/>
      </c>
      <c r="E959">
        <f>IF(A959="","",6-CEILING(PERCENTRANK.INC($B$3:$B$6000,B959,4)*5+0.000001,1))</f>
        <v/>
      </c>
      <c r="F959">
        <f>IF(A959="","",MAX(1,CEILING(PERCENTRANK.INC($C$3:$C$6000,C959,4)*5+0.000001,1)))</f>
        <v/>
      </c>
      <c r="G959">
        <f>IF(A959="","",MAX(1,CEILING(PERCENTRANK.INC($D$3:$D$6000,D959,4)*5+0.000001,1)))</f>
        <v/>
      </c>
      <c r="H959">
        <f>IF(A959="","",E959&amp;F959&amp;G959)</f>
        <v/>
      </c>
      <c r="I959">
        <f>IF(A959="","",IF(AND(E959&gt;=4,F959&gt;=4,G959&gt;=4),"Juara",IF(AND(F959&gt;=4,E959&gt;=3),"Setia",IF(AND(E959=5,F959&lt;=2,G959&gt;=3),"Berpotensi",IF(AND(E959&lt;=3,E959&gt;=2,F959&gt;=3),"Rawan",IF(AND(E959&lt;=2,F959&lt;=2),"Tidur","Umum"))))))</f>
        <v/>
      </c>
    </row>
    <row r="960">
      <c r="B960">
        <f>IF(A960="","",$B$1-MAXIFS(Donasi!$A$2:$A$20000,Donasi!$B$2:$B$20000,A960))</f>
        <v/>
      </c>
      <c r="C960">
        <f>IF(A960="","",COUNTIF(Donasi!$B$2:$B$20000,A960))</f>
        <v/>
      </c>
      <c r="D960">
        <f>IF(A960="","",SUMIF(Donasi!$B$2:$B$20000,A960,Donasi!$C$2:$C$20000))</f>
        <v/>
      </c>
      <c r="E960">
        <f>IF(A960="","",6-CEILING(PERCENTRANK.INC($B$3:$B$6000,B960,4)*5+0.000001,1))</f>
        <v/>
      </c>
      <c r="F960">
        <f>IF(A960="","",MAX(1,CEILING(PERCENTRANK.INC($C$3:$C$6000,C960,4)*5+0.000001,1)))</f>
        <v/>
      </c>
      <c r="G960">
        <f>IF(A960="","",MAX(1,CEILING(PERCENTRANK.INC($D$3:$D$6000,D960,4)*5+0.000001,1)))</f>
        <v/>
      </c>
      <c r="H960">
        <f>IF(A960="","",E960&amp;F960&amp;G960)</f>
        <v/>
      </c>
      <c r="I960">
        <f>IF(A960="","",IF(AND(E960&gt;=4,F960&gt;=4,G960&gt;=4),"Juara",IF(AND(F960&gt;=4,E960&gt;=3),"Setia",IF(AND(E960=5,F960&lt;=2,G960&gt;=3),"Berpotensi",IF(AND(E960&lt;=3,E960&gt;=2,F960&gt;=3),"Rawan",IF(AND(E960&lt;=2,F960&lt;=2),"Tidur","Umum"))))))</f>
        <v/>
      </c>
    </row>
    <row r="961">
      <c r="B961">
        <f>IF(A961="","",$B$1-MAXIFS(Donasi!$A$2:$A$20000,Donasi!$B$2:$B$20000,A961))</f>
        <v/>
      </c>
      <c r="C961">
        <f>IF(A961="","",COUNTIF(Donasi!$B$2:$B$20000,A961))</f>
        <v/>
      </c>
      <c r="D961">
        <f>IF(A961="","",SUMIF(Donasi!$B$2:$B$20000,A961,Donasi!$C$2:$C$20000))</f>
        <v/>
      </c>
      <c r="E961">
        <f>IF(A961="","",6-CEILING(PERCENTRANK.INC($B$3:$B$6000,B961,4)*5+0.000001,1))</f>
        <v/>
      </c>
      <c r="F961">
        <f>IF(A961="","",MAX(1,CEILING(PERCENTRANK.INC($C$3:$C$6000,C961,4)*5+0.000001,1)))</f>
        <v/>
      </c>
      <c r="G961">
        <f>IF(A961="","",MAX(1,CEILING(PERCENTRANK.INC($D$3:$D$6000,D961,4)*5+0.000001,1)))</f>
        <v/>
      </c>
      <c r="H961">
        <f>IF(A961="","",E961&amp;F961&amp;G961)</f>
        <v/>
      </c>
      <c r="I961">
        <f>IF(A961="","",IF(AND(E961&gt;=4,F961&gt;=4,G961&gt;=4),"Juara",IF(AND(F961&gt;=4,E961&gt;=3),"Setia",IF(AND(E961=5,F961&lt;=2,G961&gt;=3),"Berpotensi",IF(AND(E961&lt;=3,E961&gt;=2,F961&gt;=3),"Rawan",IF(AND(E961&lt;=2,F961&lt;=2),"Tidur","Umum"))))))</f>
        <v/>
      </c>
    </row>
    <row r="962">
      <c r="B962">
        <f>IF(A962="","",$B$1-MAXIFS(Donasi!$A$2:$A$20000,Donasi!$B$2:$B$20000,A962))</f>
        <v/>
      </c>
      <c r="C962">
        <f>IF(A962="","",COUNTIF(Donasi!$B$2:$B$20000,A962))</f>
        <v/>
      </c>
      <c r="D962">
        <f>IF(A962="","",SUMIF(Donasi!$B$2:$B$20000,A962,Donasi!$C$2:$C$20000))</f>
        <v/>
      </c>
      <c r="E962">
        <f>IF(A962="","",6-CEILING(PERCENTRANK.INC($B$3:$B$6000,B962,4)*5+0.000001,1))</f>
        <v/>
      </c>
      <c r="F962">
        <f>IF(A962="","",MAX(1,CEILING(PERCENTRANK.INC($C$3:$C$6000,C962,4)*5+0.000001,1)))</f>
        <v/>
      </c>
      <c r="G962">
        <f>IF(A962="","",MAX(1,CEILING(PERCENTRANK.INC($D$3:$D$6000,D962,4)*5+0.000001,1)))</f>
        <v/>
      </c>
      <c r="H962">
        <f>IF(A962="","",E962&amp;F962&amp;G962)</f>
        <v/>
      </c>
      <c r="I962">
        <f>IF(A962="","",IF(AND(E962&gt;=4,F962&gt;=4,G962&gt;=4),"Juara",IF(AND(F962&gt;=4,E962&gt;=3),"Setia",IF(AND(E962=5,F962&lt;=2,G962&gt;=3),"Berpotensi",IF(AND(E962&lt;=3,E962&gt;=2,F962&gt;=3),"Rawan",IF(AND(E962&lt;=2,F962&lt;=2),"Tidur","Umum"))))))</f>
        <v/>
      </c>
    </row>
    <row r="963">
      <c r="B963">
        <f>IF(A963="","",$B$1-MAXIFS(Donasi!$A$2:$A$20000,Donasi!$B$2:$B$20000,A963))</f>
        <v/>
      </c>
      <c r="C963">
        <f>IF(A963="","",COUNTIF(Donasi!$B$2:$B$20000,A963))</f>
        <v/>
      </c>
      <c r="D963">
        <f>IF(A963="","",SUMIF(Donasi!$B$2:$B$20000,A963,Donasi!$C$2:$C$20000))</f>
        <v/>
      </c>
      <c r="E963">
        <f>IF(A963="","",6-CEILING(PERCENTRANK.INC($B$3:$B$6000,B963,4)*5+0.000001,1))</f>
        <v/>
      </c>
      <c r="F963">
        <f>IF(A963="","",MAX(1,CEILING(PERCENTRANK.INC($C$3:$C$6000,C963,4)*5+0.000001,1)))</f>
        <v/>
      </c>
      <c r="G963">
        <f>IF(A963="","",MAX(1,CEILING(PERCENTRANK.INC($D$3:$D$6000,D963,4)*5+0.000001,1)))</f>
        <v/>
      </c>
      <c r="H963">
        <f>IF(A963="","",E963&amp;F963&amp;G963)</f>
        <v/>
      </c>
      <c r="I963">
        <f>IF(A963="","",IF(AND(E963&gt;=4,F963&gt;=4,G963&gt;=4),"Juara",IF(AND(F963&gt;=4,E963&gt;=3),"Setia",IF(AND(E963=5,F963&lt;=2,G963&gt;=3),"Berpotensi",IF(AND(E963&lt;=3,E963&gt;=2,F963&gt;=3),"Rawan",IF(AND(E963&lt;=2,F963&lt;=2),"Tidur","Umum"))))))</f>
        <v/>
      </c>
    </row>
    <row r="964">
      <c r="B964">
        <f>IF(A964="","",$B$1-MAXIFS(Donasi!$A$2:$A$20000,Donasi!$B$2:$B$20000,A964))</f>
        <v/>
      </c>
      <c r="C964">
        <f>IF(A964="","",COUNTIF(Donasi!$B$2:$B$20000,A964))</f>
        <v/>
      </c>
      <c r="D964">
        <f>IF(A964="","",SUMIF(Donasi!$B$2:$B$20000,A964,Donasi!$C$2:$C$20000))</f>
        <v/>
      </c>
      <c r="E964">
        <f>IF(A964="","",6-CEILING(PERCENTRANK.INC($B$3:$B$6000,B964,4)*5+0.000001,1))</f>
        <v/>
      </c>
      <c r="F964">
        <f>IF(A964="","",MAX(1,CEILING(PERCENTRANK.INC($C$3:$C$6000,C964,4)*5+0.000001,1)))</f>
        <v/>
      </c>
      <c r="G964">
        <f>IF(A964="","",MAX(1,CEILING(PERCENTRANK.INC($D$3:$D$6000,D964,4)*5+0.000001,1)))</f>
        <v/>
      </c>
      <c r="H964">
        <f>IF(A964="","",E964&amp;F964&amp;G964)</f>
        <v/>
      </c>
      <c r="I964">
        <f>IF(A964="","",IF(AND(E964&gt;=4,F964&gt;=4,G964&gt;=4),"Juara",IF(AND(F964&gt;=4,E964&gt;=3),"Setia",IF(AND(E964=5,F964&lt;=2,G964&gt;=3),"Berpotensi",IF(AND(E964&lt;=3,E964&gt;=2,F964&gt;=3),"Rawan",IF(AND(E964&lt;=2,F964&lt;=2),"Tidur","Umum"))))))</f>
        <v/>
      </c>
    </row>
    <row r="965">
      <c r="B965">
        <f>IF(A965="","",$B$1-MAXIFS(Donasi!$A$2:$A$20000,Donasi!$B$2:$B$20000,A965))</f>
        <v/>
      </c>
      <c r="C965">
        <f>IF(A965="","",COUNTIF(Donasi!$B$2:$B$20000,A965))</f>
        <v/>
      </c>
      <c r="D965">
        <f>IF(A965="","",SUMIF(Donasi!$B$2:$B$20000,A965,Donasi!$C$2:$C$20000))</f>
        <v/>
      </c>
      <c r="E965">
        <f>IF(A965="","",6-CEILING(PERCENTRANK.INC($B$3:$B$6000,B965,4)*5+0.000001,1))</f>
        <v/>
      </c>
      <c r="F965">
        <f>IF(A965="","",MAX(1,CEILING(PERCENTRANK.INC($C$3:$C$6000,C965,4)*5+0.000001,1)))</f>
        <v/>
      </c>
      <c r="G965">
        <f>IF(A965="","",MAX(1,CEILING(PERCENTRANK.INC($D$3:$D$6000,D965,4)*5+0.000001,1)))</f>
        <v/>
      </c>
      <c r="H965">
        <f>IF(A965="","",E965&amp;F965&amp;G965)</f>
        <v/>
      </c>
      <c r="I965">
        <f>IF(A965="","",IF(AND(E965&gt;=4,F965&gt;=4,G965&gt;=4),"Juara",IF(AND(F965&gt;=4,E965&gt;=3),"Setia",IF(AND(E965=5,F965&lt;=2,G965&gt;=3),"Berpotensi",IF(AND(E965&lt;=3,E965&gt;=2,F965&gt;=3),"Rawan",IF(AND(E965&lt;=2,F965&lt;=2),"Tidur","Umum"))))))</f>
        <v/>
      </c>
    </row>
    <row r="966">
      <c r="B966">
        <f>IF(A966="","",$B$1-MAXIFS(Donasi!$A$2:$A$20000,Donasi!$B$2:$B$20000,A966))</f>
        <v/>
      </c>
      <c r="C966">
        <f>IF(A966="","",COUNTIF(Donasi!$B$2:$B$20000,A966))</f>
        <v/>
      </c>
      <c r="D966">
        <f>IF(A966="","",SUMIF(Donasi!$B$2:$B$20000,A966,Donasi!$C$2:$C$20000))</f>
        <v/>
      </c>
      <c r="E966">
        <f>IF(A966="","",6-CEILING(PERCENTRANK.INC($B$3:$B$6000,B966,4)*5+0.000001,1))</f>
        <v/>
      </c>
      <c r="F966">
        <f>IF(A966="","",MAX(1,CEILING(PERCENTRANK.INC($C$3:$C$6000,C966,4)*5+0.000001,1)))</f>
        <v/>
      </c>
      <c r="G966">
        <f>IF(A966="","",MAX(1,CEILING(PERCENTRANK.INC($D$3:$D$6000,D966,4)*5+0.000001,1)))</f>
        <v/>
      </c>
      <c r="H966">
        <f>IF(A966="","",E966&amp;F966&amp;G966)</f>
        <v/>
      </c>
      <c r="I966">
        <f>IF(A966="","",IF(AND(E966&gt;=4,F966&gt;=4,G966&gt;=4),"Juara",IF(AND(F966&gt;=4,E966&gt;=3),"Setia",IF(AND(E966=5,F966&lt;=2,G966&gt;=3),"Berpotensi",IF(AND(E966&lt;=3,E966&gt;=2,F966&gt;=3),"Rawan",IF(AND(E966&lt;=2,F966&lt;=2),"Tidur","Umum"))))))</f>
        <v/>
      </c>
    </row>
    <row r="967">
      <c r="B967">
        <f>IF(A967="","",$B$1-MAXIFS(Donasi!$A$2:$A$20000,Donasi!$B$2:$B$20000,A967))</f>
        <v/>
      </c>
      <c r="C967">
        <f>IF(A967="","",COUNTIF(Donasi!$B$2:$B$20000,A967))</f>
        <v/>
      </c>
      <c r="D967">
        <f>IF(A967="","",SUMIF(Donasi!$B$2:$B$20000,A967,Donasi!$C$2:$C$20000))</f>
        <v/>
      </c>
      <c r="E967">
        <f>IF(A967="","",6-CEILING(PERCENTRANK.INC($B$3:$B$6000,B967,4)*5+0.000001,1))</f>
        <v/>
      </c>
      <c r="F967">
        <f>IF(A967="","",MAX(1,CEILING(PERCENTRANK.INC($C$3:$C$6000,C967,4)*5+0.000001,1)))</f>
        <v/>
      </c>
      <c r="G967">
        <f>IF(A967="","",MAX(1,CEILING(PERCENTRANK.INC($D$3:$D$6000,D967,4)*5+0.000001,1)))</f>
        <v/>
      </c>
      <c r="H967">
        <f>IF(A967="","",E967&amp;F967&amp;G967)</f>
        <v/>
      </c>
      <c r="I967">
        <f>IF(A967="","",IF(AND(E967&gt;=4,F967&gt;=4,G967&gt;=4),"Juara",IF(AND(F967&gt;=4,E967&gt;=3),"Setia",IF(AND(E967=5,F967&lt;=2,G967&gt;=3),"Berpotensi",IF(AND(E967&lt;=3,E967&gt;=2,F967&gt;=3),"Rawan",IF(AND(E967&lt;=2,F967&lt;=2),"Tidur","Umum"))))))</f>
        <v/>
      </c>
    </row>
    <row r="968">
      <c r="B968">
        <f>IF(A968="","",$B$1-MAXIFS(Donasi!$A$2:$A$20000,Donasi!$B$2:$B$20000,A968))</f>
        <v/>
      </c>
      <c r="C968">
        <f>IF(A968="","",COUNTIF(Donasi!$B$2:$B$20000,A968))</f>
        <v/>
      </c>
      <c r="D968">
        <f>IF(A968="","",SUMIF(Donasi!$B$2:$B$20000,A968,Donasi!$C$2:$C$20000))</f>
        <v/>
      </c>
      <c r="E968">
        <f>IF(A968="","",6-CEILING(PERCENTRANK.INC($B$3:$B$6000,B968,4)*5+0.000001,1))</f>
        <v/>
      </c>
      <c r="F968">
        <f>IF(A968="","",MAX(1,CEILING(PERCENTRANK.INC($C$3:$C$6000,C968,4)*5+0.000001,1)))</f>
        <v/>
      </c>
      <c r="G968">
        <f>IF(A968="","",MAX(1,CEILING(PERCENTRANK.INC($D$3:$D$6000,D968,4)*5+0.000001,1)))</f>
        <v/>
      </c>
      <c r="H968">
        <f>IF(A968="","",E968&amp;F968&amp;G968)</f>
        <v/>
      </c>
      <c r="I968">
        <f>IF(A968="","",IF(AND(E968&gt;=4,F968&gt;=4,G968&gt;=4),"Juara",IF(AND(F968&gt;=4,E968&gt;=3),"Setia",IF(AND(E968=5,F968&lt;=2,G968&gt;=3),"Berpotensi",IF(AND(E968&lt;=3,E968&gt;=2,F968&gt;=3),"Rawan",IF(AND(E968&lt;=2,F968&lt;=2),"Tidur","Umum"))))))</f>
        <v/>
      </c>
    </row>
    <row r="969">
      <c r="B969">
        <f>IF(A969="","",$B$1-MAXIFS(Donasi!$A$2:$A$20000,Donasi!$B$2:$B$20000,A969))</f>
        <v/>
      </c>
      <c r="C969">
        <f>IF(A969="","",COUNTIF(Donasi!$B$2:$B$20000,A969))</f>
        <v/>
      </c>
      <c r="D969">
        <f>IF(A969="","",SUMIF(Donasi!$B$2:$B$20000,A969,Donasi!$C$2:$C$20000))</f>
        <v/>
      </c>
      <c r="E969">
        <f>IF(A969="","",6-CEILING(PERCENTRANK.INC($B$3:$B$6000,B969,4)*5+0.000001,1))</f>
        <v/>
      </c>
      <c r="F969">
        <f>IF(A969="","",MAX(1,CEILING(PERCENTRANK.INC($C$3:$C$6000,C969,4)*5+0.000001,1)))</f>
        <v/>
      </c>
      <c r="G969">
        <f>IF(A969="","",MAX(1,CEILING(PERCENTRANK.INC($D$3:$D$6000,D969,4)*5+0.000001,1)))</f>
        <v/>
      </c>
      <c r="H969">
        <f>IF(A969="","",E969&amp;F969&amp;G969)</f>
        <v/>
      </c>
      <c r="I969">
        <f>IF(A969="","",IF(AND(E969&gt;=4,F969&gt;=4,G969&gt;=4),"Juara",IF(AND(F969&gt;=4,E969&gt;=3),"Setia",IF(AND(E969=5,F969&lt;=2,G969&gt;=3),"Berpotensi",IF(AND(E969&lt;=3,E969&gt;=2,F969&gt;=3),"Rawan",IF(AND(E969&lt;=2,F969&lt;=2),"Tidur","Umum"))))))</f>
        <v/>
      </c>
    </row>
    <row r="970">
      <c r="B970">
        <f>IF(A970="","",$B$1-MAXIFS(Donasi!$A$2:$A$20000,Donasi!$B$2:$B$20000,A970))</f>
        <v/>
      </c>
      <c r="C970">
        <f>IF(A970="","",COUNTIF(Donasi!$B$2:$B$20000,A970))</f>
        <v/>
      </c>
      <c r="D970">
        <f>IF(A970="","",SUMIF(Donasi!$B$2:$B$20000,A970,Donasi!$C$2:$C$20000))</f>
        <v/>
      </c>
      <c r="E970">
        <f>IF(A970="","",6-CEILING(PERCENTRANK.INC($B$3:$B$6000,B970,4)*5+0.000001,1))</f>
        <v/>
      </c>
      <c r="F970">
        <f>IF(A970="","",MAX(1,CEILING(PERCENTRANK.INC($C$3:$C$6000,C970,4)*5+0.000001,1)))</f>
        <v/>
      </c>
      <c r="G970">
        <f>IF(A970="","",MAX(1,CEILING(PERCENTRANK.INC($D$3:$D$6000,D970,4)*5+0.000001,1)))</f>
        <v/>
      </c>
      <c r="H970">
        <f>IF(A970="","",E970&amp;F970&amp;G970)</f>
        <v/>
      </c>
      <c r="I970">
        <f>IF(A970="","",IF(AND(E970&gt;=4,F970&gt;=4,G970&gt;=4),"Juara",IF(AND(F970&gt;=4,E970&gt;=3),"Setia",IF(AND(E970=5,F970&lt;=2,G970&gt;=3),"Berpotensi",IF(AND(E970&lt;=3,E970&gt;=2,F970&gt;=3),"Rawan",IF(AND(E970&lt;=2,F970&lt;=2),"Tidur","Umum"))))))</f>
        <v/>
      </c>
    </row>
    <row r="971">
      <c r="B971">
        <f>IF(A971="","",$B$1-MAXIFS(Donasi!$A$2:$A$20000,Donasi!$B$2:$B$20000,A971))</f>
        <v/>
      </c>
      <c r="C971">
        <f>IF(A971="","",COUNTIF(Donasi!$B$2:$B$20000,A971))</f>
        <v/>
      </c>
      <c r="D971">
        <f>IF(A971="","",SUMIF(Donasi!$B$2:$B$20000,A971,Donasi!$C$2:$C$20000))</f>
        <v/>
      </c>
      <c r="E971">
        <f>IF(A971="","",6-CEILING(PERCENTRANK.INC($B$3:$B$6000,B971,4)*5+0.000001,1))</f>
        <v/>
      </c>
      <c r="F971">
        <f>IF(A971="","",MAX(1,CEILING(PERCENTRANK.INC($C$3:$C$6000,C971,4)*5+0.000001,1)))</f>
        <v/>
      </c>
      <c r="G971">
        <f>IF(A971="","",MAX(1,CEILING(PERCENTRANK.INC($D$3:$D$6000,D971,4)*5+0.000001,1)))</f>
        <v/>
      </c>
      <c r="H971">
        <f>IF(A971="","",E971&amp;F971&amp;G971)</f>
        <v/>
      </c>
      <c r="I971">
        <f>IF(A971="","",IF(AND(E971&gt;=4,F971&gt;=4,G971&gt;=4),"Juara",IF(AND(F971&gt;=4,E971&gt;=3),"Setia",IF(AND(E971=5,F971&lt;=2,G971&gt;=3),"Berpotensi",IF(AND(E971&lt;=3,E971&gt;=2,F971&gt;=3),"Rawan",IF(AND(E971&lt;=2,F971&lt;=2),"Tidur","Umum"))))))</f>
        <v/>
      </c>
    </row>
    <row r="972">
      <c r="B972">
        <f>IF(A972="","",$B$1-MAXIFS(Donasi!$A$2:$A$20000,Donasi!$B$2:$B$20000,A972))</f>
        <v/>
      </c>
      <c r="C972">
        <f>IF(A972="","",COUNTIF(Donasi!$B$2:$B$20000,A972))</f>
        <v/>
      </c>
      <c r="D972">
        <f>IF(A972="","",SUMIF(Donasi!$B$2:$B$20000,A972,Donasi!$C$2:$C$20000))</f>
        <v/>
      </c>
      <c r="E972">
        <f>IF(A972="","",6-CEILING(PERCENTRANK.INC($B$3:$B$6000,B972,4)*5+0.000001,1))</f>
        <v/>
      </c>
      <c r="F972">
        <f>IF(A972="","",MAX(1,CEILING(PERCENTRANK.INC($C$3:$C$6000,C972,4)*5+0.000001,1)))</f>
        <v/>
      </c>
      <c r="G972">
        <f>IF(A972="","",MAX(1,CEILING(PERCENTRANK.INC($D$3:$D$6000,D972,4)*5+0.000001,1)))</f>
        <v/>
      </c>
      <c r="H972">
        <f>IF(A972="","",E972&amp;F972&amp;G972)</f>
        <v/>
      </c>
      <c r="I972">
        <f>IF(A972="","",IF(AND(E972&gt;=4,F972&gt;=4,G972&gt;=4),"Juara",IF(AND(F972&gt;=4,E972&gt;=3),"Setia",IF(AND(E972=5,F972&lt;=2,G972&gt;=3),"Berpotensi",IF(AND(E972&lt;=3,E972&gt;=2,F972&gt;=3),"Rawan",IF(AND(E972&lt;=2,F972&lt;=2),"Tidur","Umum"))))))</f>
        <v/>
      </c>
    </row>
    <row r="973">
      <c r="B973">
        <f>IF(A973="","",$B$1-MAXIFS(Donasi!$A$2:$A$20000,Donasi!$B$2:$B$20000,A973))</f>
        <v/>
      </c>
      <c r="C973">
        <f>IF(A973="","",COUNTIF(Donasi!$B$2:$B$20000,A973))</f>
        <v/>
      </c>
      <c r="D973">
        <f>IF(A973="","",SUMIF(Donasi!$B$2:$B$20000,A973,Donasi!$C$2:$C$20000))</f>
        <v/>
      </c>
      <c r="E973">
        <f>IF(A973="","",6-CEILING(PERCENTRANK.INC($B$3:$B$6000,B973,4)*5+0.000001,1))</f>
        <v/>
      </c>
      <c r="F973">
        <f>IF(A973="","",MAX(1,CEILING(PERCENTRANK.INC($C$3:$C$6000,C973,4)*5+0.000001,1)))</f>
        <v/>
      </c>
      <c r="G973">
        <f>IF(A973="","",MAX(1,CEILING(PERCENTRANK.INC($D$3:$D$6000,D973,4)*5+0.000001,1)))</f>
        <v/>
      </c>
      <c r="H973">
        <f>IF(A973="","",E973&amp;F973&amp;G973)</f>
        <v/>
      </c>
      <c r="I973">
        <f>IF(A973="","",IF(AND(E973&gt;=4,F973&gt;=4,G973&gt;=4),"Juara",IF(AND(F973&gt;=4,E973&gt;=3),"Setia",IF(AND(E973=5,F973&lt;=2,G973&gt;=3),"Berpotensi",IF(AND(E973&lt;=3,E973&gt;=2,F973&gt;=3),"Rawan",IF(AND(E973&lt;=2,F973&lt;=2),"Tidur","Umum"))))))</f>
        <v/>
      </c>
    </row>
    <row r="974">
      <c r="B974">
        <f>IF(A974="","",$B$1-MAXIFS(Donasi!$A$2:$A$20000,Donasi!$B$2:$B$20000,A974))</f>
        <v/>
      </c>
      <c r="C974">
        <f>IF(A974="","",COUNTIF(Donasi!$B$2:$B$20000,A974))</f>
        <v/>
      </c>
      <c r="D974">
        <f>IF(A974="","",SUMIF(Donasi!$B$2:$B$20000,A974,Donasi!$C$2:$C$20000))</f>
        <v/>
      </c>
      <c r="E974">
        <f>IF(A974="","",6-CEILING(PERCENTRANK.INC($B$3:$B$6000,B974,4)*5+0.000001,1))</f>
        <v/>
      </c>
      <c r="F974">
        <f>IF(A974="","",MAX(1,CEILING(PERCENTRANK.INC($C$3:$C$6000,C974,4)*5+0.000001,1)))</f>
        <v/>
      </c>
      <c r="G974">
        <f>IF(A974="","",MAX(1,CEILING(PERCENTRANK.INC($D$3:$D$6000,D974,4)*5+0.000001,1)))</f>
        <v/>
      </c>
      <c r="H974">
        <f>IF(A974="","",E974&amp;F974&amp;G974)</f>
        <v/>
      </c>
      <c r="I974">
        <f>IF(A974="","",IF(AND(E974&gt;=4,F974&gt;=4,G974&gt;=4),"Juara",IF(AND(F974&gt;=4,E974&gt;=3),"Setia",IF(AND(E974=5,F974&lt;=2,G974&gt;=3),"Berpotensi",IF(AND(E974&lt;=3,E974&gt;=2,F974&gt;=3),"Rawan",IF(AND(E974&lt;=2,F974&lt;=2),"Tidur","Umum"))))))</f>
        <v/>
      </c>
    </row>
    <row r="975">
      <c r="B975">
        <f>IF(A975="","",$B$1-MAXIFS(Donasi!$A$2:$A$20000,Donasi!$B$2:$B$20000,A975))</f>
        <v/>
      </c>
      <c r="C975">
        <f>IF(A975="","",COUNTIF(Donasi!$B$2:$B$20000,A975))</f>
        <v/>
      </c>
      <c r="D975">
        <f>IF(A975="","",SUMIF(Donasi!$B$2:$B$20000,A975,Donasi!$C$2:$C$20000))</f>
        <v/>
      </c>
      <c r="E975">
        <f>IF(A975="","",6-CEILING(PERCENTRANK.INC($B$3:$B$6000,B975,4)*5+0.000001,1))</f>
        <v/>
      </c>
      <c r="F975">
        <f>IF(A975="","",MAX(1,CEILING(PERCENTRANK.INC($C$3:$C$6000,C975,4)*5+0.000001,1)))</f>
        <v/>
      </c>
      <c r="G975">
        <f>IF(A975="","",MAX(1,CEILING(PERCENTRANK.INC($D$3:$D$6000,D975,4)*5+0.000001,1)))</f>
        <v/>
      </c>
      <c r="H975">
        <f>IF(A975="","",E975&amp;F975&amp;G975)</f>
        <v/>
      </c>
      <c r="I975">
        <f>IF(A975="","",IF(AND(E975&gt;=4,F975&gt;=4,G975&gt;=4),"Juara",IF(AND(F975&gt;=4,E975&gt;=3),"Setia",IF(AND(E975=5,F975&lt;=2,G975&gt;=3),"Berpotensi",IF(AND(E975&lt;=3,E975&gt;=2,F975&gt;=3),"Rawan",IF(AND(E975&lt;=2,F975&lt;=2),"Tidur","Umum"))))))</f>
        <v/>
      </c>
    </row>
    <row r="976">
      <c r="B976">
        <f>IF(A976="","",$B$1-MAXIFS(Donasi!$A$2:$A$20000,Donasi!$B$2:$B$20000,A976))</f>
        <v/>
      </c>
      <c r="C976">
        <f>IF(A976="","",COUNTIF(Donasi!$B$2:$B$20000,A976))</f>
        <v/>
      </c>
      <c r="D976">
        <f>IF(A976="","",SUMIF(Donasi!$B$2:$B$20000,A976,Donasi!$C$2:$C$20000))</f>
        <v/>
      </c>
      <c r="E976">
        <f>IF(A976="","",6-CEILING(PERCENTRANK.INC($B$3:$B$6000,B976,4)*5+0.000001,1))</f>
        <v/>
      </c>
      <c r="F976">
        <f>IF(A976="","",MAX(1,CEILING(PERCENTRANK.INC($C$3:$C$6000,C976,4)*5+0.000001,1)))</f>
        <v/>
      </c>
      <c r="G976">
        <f>IF(A976="","",MAX(1,CEILING(PERCENTRANK.INC($D$3:$D$6000,D976,4)*5+0.000001,1)))</f>
        <v/>
      </c>
      <c r="H976">
        <f>IF(A976="","",E976&amp;F976&amp;G976)</f>
        <v/>
      </c>
      <c r="I976">
        <f>IF(A976="","",IF(AND(E976&gt;=4,F976&gt;=4,G976&gt;=4),"Juara",IF(AND(F976&gt;=4,E976&gt;=3),"Setia",IF(AND(E976=5,F976&lt;=2,G976&gt;=3),"Berpotensi",IF(AND(E976&lt;=3,E976&gt;=2,F976&gt;=3),"Rawan",IF(AND(E976&lt;=2,F976&lt;=2),"Tidur","Umum"))))))</f>
        <v/>
      </c>
    </row>
    <row r="977">
      <c r="B977">
        <f>IF(A977="","",$B$1-MAXIFS(Donasi!$A$2:$A$20000,Donasi!$B$2:$B$20000,A977))</f>
        <v/>
      </c>
      <c r="C977">
        <f>IF(A977="","",COUNTIF(Donasi!$B$2:$B$20000,A977))</f>
        <v/>
      </c>
      <c r="D977">
        <f>IF(A977="","",SUMIF(Donasi!$B$2:$B$20000,A977,Donasi!$C$2:$C$20000))</f>
        <v/>
      </c>
      <c r="E977">
        <f>IF(A977="","",6-CEILING(PERCENTRANK.INC($B$3:$B$6000,B977,4)*5+0.000001,1))</f>
        <v/>
      </c>
      <c r="F977">
        <f>IF(A977="","",MAX(1,CEILING(PERCENTRANK.INC($C$3:$C$6000,C977,4)*5+0.000001,1)))</f>
        <v/>
      </c>
      <c r="G977">
        <f>IF(A977="","",MAX(1,CEILING(PERCENTRANK.INC($D$3:$D$6000,D977,4)*5+0.000001,1)))</f>
        <v/>
      </c>
      <c r="H977">
        <f>IF(A977="","",E977&amp;F977&amp;G977)</f>
        <v/>
      </c>
      <c r="I977">
        <f>IF(A977="","",IF(AND(E977&gt;=4,F977&gt;=4,G977&gt;=4),"Juara",IF(AND(F977&gt;=4,E977&gt;=3),"Setia",IF(AND(E977=5,F977&lt;=2,G977&gt;=3),"Berpotensi",IF(AND(E977&lt;=3,E977&gt;=2,F977&gt;=3),"Rawan",IF(AND(E977&lt;=2,F977&lt;=2),"Tidur","Umum"))))))</f>
        <v/>
      </c>
    </row>
    <row r="978">
      <c r="B978">
        <f>IF(A978="","",$B$1-MAXIFS(Donasi!$A$2:$A$20000,Donasi!$B$2:$B$20000,A978))</f>
        <v/>
      </c>
      <c r="C978">
        <f>IF(A978="","",COUNTIF(Donasi!$B$2:$B$20000,A978))</f>
        <v/>
      </c>
      <c r="D978">
        <f>IF(A978="","",SUMIF(Donasi!$B$2:$B$20000,A978,Donasi!$C$2:$C$20000))</f>
        <v/>
      </c>
      <c r="E978">
        <f>IF(A978="","",6-CEILING(PERCENTRANK.INC($B$3:$B$6000,B978,4)*5+0.000001,1))</f>
        <v/>
      </c>
      <c r="F978">
        <f>IF(A978="","",MAX(1,CEILING(PERCENTRANK.INC($C$3:$C$6000,C978,4)*5+0.000001,1)))</f>
        <v/>
      </c>
      <c r="G978">
        <f>IF(A978="","",MAX(1,CEILING(PERCENTRANK.INC($D$3:$D$6000,D978,4)*5+0.000001,1)))</f>
        <v/>
      </c>
      <c r="H978">
        <f>IF(A978="","",E978&amp;F978&amp;G978)</f>
        <v/>
      </c>
      <c r="I978">
        <f>IF(A978="","",IF(AND(E978&gt;=4,F978&gt;=4,G978&gt;=4),"Juara",IF(AND(F978&gt;=4,E978&gt;=3),"Setia",IF(AND(E978=5,F978&lt;=2,G978&gt;=3),"Berpotensi",IF(AND(E978&lt;=3,E978&gt;=2,F978&gt;=3),"Rawan",IF(AND(E978&lt;=2,F978&lt;=2),"Tidur","Umum"))))))</f>
        <v/>
      </c>
    </row>
    <row r="979">
      <c r="B979">
        <f>IF(A979="","",$B$1-MAXIFS(Donasi!$A$2:$A$20000,Donasi!$B$2:$B$20000,A979))</f>
        <v/>
      </c>
      <c r="C979">
        <f>IF(A979="","",COUNTIF(Donasi!$B$2:$B$20000,A979))</f>
        <v/>
      </c>
      <c r="D979">
        <f>IF(A979="","",SUMIF(Donasi!$B$2:$B$20000,A979,Donasi!$C$2:$C$20000))</f>
        <v/>
      </c>
      <c r="E979">
        <f>IF(A979="","",6-CEILING(PERCENTRANK.INC($B$3:$B$6000,B979,4)*5+0.000001,1))</f>
        <v/>
      </c>
      <c r="F979">
        <f>IF(A979="","",MAX(1,CEILING(PERCENTRANK.INC($C$3:$C$6000,C979,4)*5+0.000001,1)))</f>
        <v/>
      </c>
      <c r="G979">
        <f>IF(A979="","",MAX(1,CEILING(PERCENTRANK.INC($D$3:$D$6000,D979,4)*5+0.000001,1)))</f>
        <v/>
      </c>
      <c r="H979">
        <f>IF(A979="","",E979&amp;F979&amp;G979)</f>
        <v/>
      </c>
      <c r="I979">
        <f>IF(A979="","",IF(AND(E979&gt;=4,F979&gt;=4,G979&gt;=4),"Juara",IF(AND(F979&gt;=4,E979&gt;=3),"Setia",IF(AND(E979=5,F979&lt;=2,G979&gt;=3),"Berpotensi",IF(AND(E979&lt;=3,E979&gt;=2,F979&gt;=3),"Rawan",IF(AND(E979&lt;=2,F979&lt;=2),"Tidur","Umum"))))))</f>
        <v/>
      </c>
    </row>
    <row r="980">
      <c r="B980">
        <f>IF(A980="","",$B$1-MAXIFS(Donasi!$A$2:$A$20000,Donasi!$B$2:$B$20000,A980))</f>
        <v/>
      </c>
      <c r="C980">
        <f>IF(A980="","",COUNTIF(Donasi!$B$2:$B$20000,A980))</f>
        <v/>
      </c>
      <c r="D980">
        <f>IF(A980="","",SUMIF(Donasi!$B$2:$B$20000,A980,Donasi!$C$2:$C$20000))</f>
        <v/>
      </c>
      <c r="E980">
        <f>IF(A980="","",6-CEILING(PERCENTRANK.INC($B$3:$B$6000,B980,4)*5+0.000001,1))</f>
        <v/>
      </c>
      <c r="F980">
        <f>IF(A980="","",MAX(1,CEILING(PERCENTRANK.INC($C$3:$C$6000,C980,4)*5+0.000001,1)))</f>
        <v/>
      </c>
      <c r="G980">
        <f>IF(A980="","",MAX(1,CEILING(PERCENTRANK.INC($D$3:$D$6000,D980,4)*5+0.000001,1)))</f>
        <v/>
      </c>
      <c r="H980">
        <f>IF(A980="","",E980&amp;F980&amp;G980)</f>
        <v/>
      </c>
      <c r="I980">
        <f>IF(A980="","",IF(AND(E980&gt;=4,F980&gt;=4,G980&gt;=4),"Juara",IF(AND(F980&gt;=4,E980&gt;=3),"Setia",IF(AND(E980=5,F980&lt;=2,G980&gt;=3),"Berpotensi",IF(AND(E980&lt;=3,E980&gt;=2,F980&gt;=3),"Rawan",IF(AND(E980&lt;=2,F980&lt;=2),"Tidur","Umum"))))))</f>
        <v/>
      </c>
    </row>
    <row r="981">
      <c r="B981">
        <f>IF(A981="","",$B$1-MAXIFS(Donasi!$A$2:$A$20000,Donasi!$B$2:$B$20000,A981))</f>
        <v/>
      </c>
      <c r="C981">
        <f>IF(A981="","",COUNTIF(Donasi!$B$2:$B$20000,A981))</f>
        <v/>
      </c>
      <c r="D981">
        <f>IF(A981="","",SUMIF(Donasi!$B$2:$B$20000,A981,Donasi!$C$2:$C$20000))</f>
        <v/>
      </c>
      <c r="E981">
        <f>IF(A981="","",6-CEILING(PERCENTRANK.INC($B$3:$B$6000,B981,4)*5+0.000001,1))</f>
        <v/>
      </c>
      <c r="F981">
        <f>IF(A981="","",MAX(1,CEILING(PERCENTRANK.INC($C$3:$C$6000,C981,4)*5+0.000001,1)))</f>
        <v/>
      </c>
      <c r="G981">
        <f>IF(A981="","",MAX(1,CEILING(PERCENTRANK.INC($D$3:$D$6000,D981,4)*5+0.000001,1)))</f>
        <v/>
      </c>
      <c r="H981">
        <f>IF(A981="","",E981&amp;F981&amp;G981)</f>
        <v/>
      </c>
      <c r="I981">
        <f>IF(A981="","",IF(AND(E981&gt;=4,F981&gt;=4,G981&gt;=4),"Juara",IF(AND(F981&gt;=4,E981&gt;=3),"Setia",IF(AND(E981=5,F981&lt;=2,G981&gt;=3),"Berpotensi",IF(AND(E981&lt;=3,E981&gt;=2,F981&gt;=3),"Rawan",IF(AND(E981&lt;=2,F981&lt;=2),"Tidur","Umum"))))))</f>
        <v/>
      </c>
    </row>
    <row r="982">
      <c r="B982">
        <f>IF(A982="","",$B$1-MAXIFS(Donasi!$A$2:$A$20000,Donasi!$B$2:$B$20000,A982))</f>
        <v/>
      </c>
      <c r="C982">
        <f>IF(A982="","",COUNTIF(Donasi!$B$2:$B$20000,A982))</f>
        <v/>
      </c>
      <c r="D982">
        <f>IF(A982="","",SUMIF(Donasi!$B$2:$B$20000,A982,Donasi!$C$2:$C$20000))</f>
        <v/>
      </c>
      <c r="E982">
        <f>IF(A982="","",6-CEILING(PERCENTRANK.INC($B$3:$B$6000,B982,4)*5+0.000001,1))</f>
        <v/>
      </c>
      <c r="F982">
        <f>IF(A982="","",MAX(1,CEILING(PERCENTRANK.INC($C$3:$C$6000,C982,4)*5+0.000001,1)))</f>
        <v/>
      </c>
      <c r="G982">
        <f>IF(A982="","",MAX(1,CEILING(PERCENTRANK.INC($D$3:$D$6000,D982,4)*5+0.000001,1)))</f>
        <v/>
      </c>
      <c r="H982">
        <f>IF(A982="","",E982&amp;F982&amp;G982)</f>
        <v/>
      </c>
      <c r="I982">
        <f>IF(A982="","",IF(AND(E982&gt;=4,F982&gt;=4,G982&gt;=4),"Juara",IF(AND(F982&gt;=4,E982&gt;=3),"Setia",IF(AND(E982=5,F982&lt;=2,G982&gt;=3),"Berpotensi",IF(AND(E982&lt;=3,E982&gt;=2,F982&gt;=3),"Rawan",IF(AND(E982&lt;=2,F982&lt;=2),"Tidur","Umum"))))))</f>
        <v/>
      </c>
    </row>
    <row r="983">
      <c r="B983">
        <f>IF(A983="","",$B$1-MAXIFS(Donasi!$A$2:$A$20000,Donasi!$B$2:$B$20000,A983))</f>
        <v/>
      </c>
      <c r="C983">
        <f>IF(A983="","",COUNTIF(Donasi!$B$2:$B$20000,A983))</f>
        <v/>
      </c>
      <c r="D983">
        <f>IF(A983="","",SUMIF(Donasi!$B$2:$B$20000,A983,Donasi!$C$2:$C$20000))</f>
        <v/>
      </c>
      <c r="E983">
        <f>IF(A983="","",6-CEILING(PERCENTRANK.INC($B$3:$B$6000,B983,4)*5+0.000001,1))</f>
        <v/>
      </c>
      <c r="F983">
        <f>IF(A983="","",MAX(1,CEILING(PERCENTRANK.INC($C$3:$C$6000,C983,4)*5+0.000001,1)))</f>
        <v/>
      </c>
      <c r="G983">
        <f>IF(A983="","",MAX(1,CEILING(PERCENTRANK.INC($D$3:$D$6000,D983,4)*5+0.000001,1)))</f>
        <v/>
      </c>
      <c r="H983">
        <f>IF(A983="","",E983&amp;F983&amp;G983)</f>
        <v/>
      </c>
      <c r="I983">
        <f>IF(A983="","",IF(AND(E983&gt;=4,F983&gt;=4,G983&gt;=4),"Juara",IF(AND(F983&gt;=4,E983&gt;=3),"Setia",IF(AND(E983=5,F983&lt;=2,G983&gt;=3),"Berpotensi",IF(AND(E983&lt;=3,E983&gt;=2,F983&gt;=3),"Rawan",IF(AND(E983&lt;=2,F983&lt;=2),"Tidur","Umum"))))))</f>
        <v/>
      </c>
    </row>
    <row r="984">
      <c r="B984">
        <f>IF(A984="","",$B$1-MAXIFS(Donasi!$A$2:$A$20000,Donasi!$B$2:$B$20000,A984))</f>
        <v/>
      </c>
      <c r="C984">
        <f>IF(A984="","",COUNTIF(Donasi!$B$2:$B$20000,A984))</f>
        <v/>
      </c>
      <c r="D984">
        <f>IF(A984="","",SUMIF(Donasi!$B$2:$B$20000,A984,Donasi!$C$2:$C$20000))</f>
        <v/>
      </c>
      <c r="E984">
        <f>IF(A984="","",6-CEILING(PERCENTRANK.INC($B$3:$B$6000,B984,4)*5+0.000001,1))</f>
        <v/>
      </c>
      <c r="F984">
        <f>IF(A984="","",MAX(1,CEILING(PERCENTRANK.INC($C$3:$C$6000,C984,4)*5+0.000001,1)))</f>
        <v/>
      </c>
      <c r="G984">
        <f>IF(A984="","",MAX(1,CEILING(PERCENTRANK.INC($D$3:$D$6000,D984,4)*5+0.000001,1)))</f>
        <v/>
      </c>
      <c r="H984">
        <f>IF(A984="","",E984&amp;F984&amp;G984)</f>
        <v/>
      </c>
      <c r="I984">
        <f>IF(A984="","",IF(AND(E984&gt;=4,F984&gt;=4,G984&gt;=4),"Juara",IF(AND(F984&gt;=4,E984&gt;=3),"Setia",IF(AND(E984=5,F984&lt;=2,G984&gt;=3),"Berpotensi",IF(AND(E984&lt;=3,E984&gt;=2,F984&gt;=3),"Rawan",IF(AND(E984&lt;=2,F984&lt;=2),"Tidur","Umum"))))))</f>
        <v/>
      </c>
    </row>
    <row r="985">
      <c r="B985">
        <f>IF(A985="","",$B$1-MAXIFS(Donasi!$A$2:$A$20000,Donasi!$B$2:$B$20000,A985))</f>
        <v/>
      </c>
      <c r="C985">
        <f>IF(A985="","",COUNTIF(Donasi!$B$2:$B$20000,A985))</f>
        <v/>
      </c>
      <c r="D985">
        <f>IF(A985="","",SUMIF(Donasi!$B$2:$B$20000,A985,Donasi!$C$2:$C$20000))</f>
        <v/>
      </c>
      <c r="E985">
        <f>IF(A985="","",6-CEILING(PERCENTRANK.INC($B$3:$B$6000,B985,4)*5+0.000001,1))</f>
        <v/>
      </c>
      <c r="F985">
        <f>IF(A985="","",MAX(1,CEILING(PERCENTRANK.INC($C$3:$C$6000,C985,4)*5+0.000001,1)))</f>
        <v/>
      </c>
      <c r="G985">
        <f>IF(A985="","",MAX(1,CEILING(PERCENTRANK.INC($D$3:$D$6000,D985,4)*5+0.000001,1)))</f>
        <v/>
      </c>
      <c r="H985">
        <f>IF(A985="","",E985&amp;F985&amp;G985)</f>
        <v/>
      </c>
      <c r="I985">
        <f>IF(A985="","",IF(AND(E985&gt;=4,F985&gt;=4,G985&gt;=4),"Juara",IF(AND(F985&gt;=4,E985&gt;=3),"Setia",IF(AND(E985=5,F985&lt;=2,G985&gt;=3),"Berpotensi",IF(AND(E985&lt;=3,E985&gt;=2,F985&gt;=3),"Rawan",IF(AND(E985&lt;=2,F985&lt;=2),"Tidur","Umum"))))))</f>
        <v/>
      </c>
    </row>
    <row r="986">
      <c r="B986">
        <f>IF(A986="","",$B$1-MAXIFS(Donasi!$A$2:$A$20000,Donasi!$B$2:$B$20000,A986))</f>
        <v/>
      </c>
      <c r="C986">
        <f>IF(A986="","",COUNTIF(Donasi!$B$2:$B$20000,A986))</f>
        <v/>
      </c>
      <c r="D986">
        <f>IF(A986="","",SUMIF(Donasi!$B$2:$B$20000,A986,Donasi!$C$2:$C$20000))</f>
        <v/>
      </c>
      <c r="E986">
        <f>IF(A986="","",6-CEILING(PERCENTRANK.INC($B$3:$B$6000,B986,4)*5+0.000001,1))</f>
        <v/>
      </c>
      <c r="F986">
        <f>IF(A986="","",MAX(1,CEILING(PERCENTRANK.INC($C$3:$C$6000,C986,4)*5+0.000001,1)))</f>
        <v/>
      </c>
      <c r="G986">
        <f>IF(A986="","",MAX(1,CEILING(PERCENTRANK.INC($D$3:$D$6000,D986,4)*5+0.000001,1)))</f>
        <v/>
      </c>
      <c r="H986">
        <f>IF(A986="","",E986&amp;F986&amp;G986)</f>
        <v/>
      </c>
      <c r="I986">
        <f>IF(A986="","",IF(AND(E986&gt;=4,F986&gt;=4,G986&gt;=4),"Juara",IF(AND(F986&gt;=4,E986&gt;=3),"Setia",IF(AND(E986=5,F986&lt;=2,G986&gt;=3),"Berpotensi",IF(AND(E986&lt;=3,E986&gt;=2,F986&gt;=3),"Rawan",IF(AND(E986&lt;=2,F986&lt;=2),"Tidur","Umum"))))))</f>
        <v/>
      </c>
    </row>
    <row r="987">
      <c r="B987">
        <f>IF(A987="","",$B$1-MAXIFS(Donasi!$A$2:$A$20000,Donasi!$B$2:$B$20000,A987))</f>
        <v/>
      </c>
      <c r="C987">
        <f>IF(A987="","",COUNTIF(Donasi!$B$2:$B$20000,A987))</f>
        <v/>
      </c>
      <c r="D987">
        <f>IF(A987="","",SUMIF(Donasi!$B$2:$B$20000,A987,Donasi!$C$2:$C$20000))</f>
        <v/>
      </c>
      <c r="E987">
        <f>IF(A987="","",6-CEILING(PERCENTRANK.INC($B$3:$B$6000,B987,4)*5+0.000001,1))</f>
        <v/>
      </c>
      <c r="F987">
        <f>IF(A987="","",MAX(1,CEILING(PERCENTRANK.INC($C$3:$C$6000,C987,4)*5+0.000001,1)))</f>
        <v/>
      </c>
      <c r="G987">
        <f>IF(A987="","",MAX(1,CEILING(PERCENTRANK.INC($D$3:$D$6000,D987,4)*5+0.000001,1)))</f>
        <v/>
      </c>
      <c r="H987">
        <f>IF(A987="","",E987&amp;F987&amp;G987)</f>
        <v/>
      </c>
      <c r="I987">
        <f>IF(A987="","",IF(AND(E987&gt;=4,F987&gt;=4,G987&gt;=4),"Juara",IF(AND(F987&gt;=4,E987&gt;=3),"Setia",IF(AND(E987=5,F987&lt;=2,G987&gt;=3),"Berpotensi",IF(AND(E987&lt;=3,E987&gt;=2,F987&gt;=3),"Rawan",IF(AND(E987&lt;=2,F987&lt;=2),"Tidur","Umum"))))))</f>
        <v/>
      </c>
    </row>
    <row r="988">
      <c r="B988">
        <f>IF(A988="","",$B$1-MAXIFS(Donasi!$A$2:$A$20000,Donasi!$B$2:$B$20000,A988))</f>
        <v/>
      </c>
      <c r="C988">
        <f>IF(A988="","",COUNTIF(Donasi!$B$2:$B$20000,A988))</f>
        <v/>
      </c>
      <c r="D988">
        <f>IF(A988="","",SUMIF(Donasi!$B$2:$B$20000,A988,Donasi!$C$2:$C$20000))</f>
        <v/>
      </c>
      <c r="E988">
        <f>IF(A988="","",6-CEILING(PERCENTRANK.INC($B$3:$B$6000,B988,4)*5+0.000001,1))</f>
        <v/>
      </c>
      <c r="F988">
        <f>IF(A988="","",MAX(1,CEILING(PERCENTRANK.INC($C$3:$C$6000,C988,4)*5+0.000001,1)))</f>
        <v/>
      </c>
      <c r="G988">
        <f>IF(A988="","",MAX(1,CEILING(PERCENTRANK.INC($D$3:$D$6000,D988,4)*5+0.000001,1)))</f>
        <v/>
      </c>
      <c r="H988">
        <f>IF(A988="","",E988&amp;F988&amp;G988)</f>
        <v/>
      </c>
      <c r="I988">
        <f>IF(A988="","",IF(AND(E988&gt;=4,F988&gt;=4,G988&gt;=4),"Juara",IF(AND(F988&gt;=4,E988&gt;=3),"Setia",IF(AND(E988=5,F988&lt;=2,G988&gt;=3),"Berpotensi",IF(AND(E988&lt;=3,E988&gt;=2,F988&gt;=3),"Rawan",IF(AND(E988&lt;=2,F988&lt;=2),"Tidur","Umum"))))))</f>
        <v/>
      </c>
    </row>
    <row r="989">
      <c r="B989">
        <f>IF(A989="","",$B$1-MAXIFS(Donasi!$A$2:$A$20000,Donasi!$B$2:$B$20000,A989))</f>
        <v/>
      </c>
      <c r="C989">
        <f>IF(A989="","",COUNTIF(Donasi!$B$2:$B$20000,A989))</f>
        <v/>
      </c>
      <c r="D989">
        <f>IF(A989="","",SUMIF(Donasi!$B$2:$B$20000,A989,Donasi!$C$2:$C$20000))</f>
        <v/>
      </c>
      <c r="E989">
        <f>IF(A989="","",6-CEILING(PERCENTRANK.INC($B$3:$B$6000,B989,4)*5+0.000001,1))</f>
        <v/>
      </c>
      <c r="F989">
        <f>IF(A989="","",MAX(1,CEILING(PERCENTRANK.INC($C$3:$C$6000,C989,4)*5+0.000001,1)))</f>
        <v/>
      </c>
      <c r="G989">
        <f>IF(A989="","",MAX(1,CEILING(PERCENTRANK.INC($D$3:$D$6000,D989,4)*5+0.000001,1)))</f>
        <v/>
      </c>
      <c r="H989">
        <f>IF(A989="","",E989&amp;F989&amp;G989)</f>
        <v/>
      </c>
      <c r="I989">
        <f>IF(A989="","",IF(AND(E989&gt;=4,F989&gt;=4,G989&gt;=4),"Juara",IF(AND(F989&gt;=4,E989&gt;=3),"Setia",IF(AND(E989=5,F989&lt;=2,G989&gt;=3),"Berpotensi",IF(AND(E989&lt;=3,E989&gt;=2,F989&gt;=3),"Rawan",IF(AND(E989&lt;=2,F989&lt;=2),"Tidur","Umum"))))))</f>
        <v/>
      </c>
    </row>
    <row r="990">
      <c r="B990">
        <f>IF(A990="","",$B$1-MAXIFS(Donasi!$A$2:$A$20000,Donasi!$B$2:$B$20000,A990))</f>
        <v/>
      </c>
      <c r="C990">
        <f>IF(A990="","",COUNTIF(Donasi!$B$2:$B$20000,A990))</f>
        <v/>
      </c>
      <c r="D990">
        <f>IF(A990="","",SUMIF(Donasi!$B$2:$B$20000,A990,Donasi!$C$2:$C$20000))</f>
        <v/>
      </c>
      <c r="E990">
        <f>IF(A990="","",6-CEILING(PERCENTRANK.INC($B$3:$B$6000,B990,4)*5+0.000001,1))</f>
        <v/>
      </c>
      <c r="F990">
        <f>IF(A990="","",MAX(1,CEILING(PERCENTRANK.INC($C$3:$C$6000,C990,4)*5+0.000001,1)))</f>
        <v/>
      </c>
      <c r="G990">
        <f>IF(A990="","",MAX(1,CEILING(PERCENTRANK.INC($D$3:$D$6000,D990,4)*5+0.000001,1)))</f>
        <v/>
      </c>
      <c r="H990">
        <f>IF(A990="","",E990&amp;F990&amp;G990)</f>
        <v/>
      </c>
      <c r="I990">
        <f>IF(A990="","",IF(AND(E990&gt;=4,F990&gt;=4,G990&gt;=4),"Juara",IF(AND(F990&gt;=4,E990&gt;=3),"Setia",IF(AND(E990=5,F990&lt;=2,G990&gt;=3),"Berpotensi",IF(AND(E990&lt;=3,E990&gt;=2,F990&gt;=3),"Rawan",IF(AND(E990&lt;=2,F990&lt;=2),"Tidur","Umum"))))))</f>
        <v/>
      </c>
    </row>
    <row r="991">
      <c r="B991">
        <f>IF(A991="","",$B$1-MAXIFS(Donasi!$A$2:$A$20000,Donasi!$B$2:$B$20000,A991))</f>
        <v/>
      </c>
      <c r="C991">
        <f>IF(A991="","",COUNTIF(Donasi!$B$2:$B$20000,A991))</f>
        <v/>
      </c>
      <c r="D991">
        <f>IF(A991="","",SUMIF(Donasi!$B$2:$B$20000,A991,Donasi!$C$2:$C$20000))</f>
        <v/>
      </c>
      <c r="E991">
        <f>IF(A991="","",6-CEILING(PERCENTRANK.INC($B$3:$B$6000,B991,4)*5+0.000001,1))</f>
        <v/>
      </c>
      <c r="F991">
        <f>IF(A991="","",MAX(1,CEILING(PERCENTRANK.INC($C$3:$C$6000,C991,4)*5+0.000001,1)))</f>
        <v/>
      </c>
      <c r="G991">
        <f>IF(A991="","",MAX(1,CEILING(PERCENTRANK.INC($D$3:$D$6000,D991,4)*5+0.000001,1)))</f>
        <v/>
      </c>
      <c r="H991">
        <f>IF(A991="","",E991&amp;F991&amp;G991)</f>
        <v/>
      </c>
      <c r="I991">
        <f>IF(A991="","",IF(AND(E991&gt;=4,F991&gt;=4,G991&gt;=4),"Juara",IF(AND(F991&gt;=4,E991&gt;=3),"Setia",IF(AND(E991=5,F991&lt;=2,G991&gt;=3),"Berpotensi",IF(AND(E991&lt;=3,E991&gt;=2,F991&gt;=3),"Rawan",IF(AND(E991&lt;=2,F991&lt;=2),"Tidur","Umum"))))))</f>
        <v/>
      </c>
    </row>
    <row r="992">
      <c r="B992">
        <f>IF(A992="","",$B$1-MAXIFS(Donasi!$A$2:$A$20000,Donasi!$B$2:$B$20000,A992))</f>
        <v/>
      </c>
      <c r="C992">
        <f>IF(A992="","",COUNTIF(Donasi!$B$2:$B$20000,A992))</f>
        <v/>
      </c>
      <c r="D992">
        <f>IF(A992="","",SUMIF(Donasi!$B$2:$B$20000,A992,Donasi!$C$2:$C$20000))</f>
        <v/>
      </c>
      <c r="E992">
        <f>IF(A992="","",6-CEILING(PERCENTRANK.INC($B$3:$B$6000,B992,4)*5+0.000001,1))</f>
        <v/>
      </c>
      <c r="F992">
        <f>IF(A992="","",MAX(1,CEILING(PERCENTRANK.INC($C$3:$C$6000,C992,4)*5+0.000001,1)))</f>
        <v/>
      </c>
      <c r="G992">
        <f>IF(A992="","",MAX(1,CEILING(PERCENTRANK.INC($D$3:$D$6000,D992,4)*5+0.000001,1)))</f>
        <v/>
      </c>
      <c r="H992">
        <f>IF(A992="","",E992&amp;F992&amp;G992)</f>
        <v/>
      </c>
      <c r="I992">
        <f>IF(A992="","",IF(AND(E992&gt;=4,F992&gt;=4,G992&gt;=4),"Juara",IF(AND(F992&gt;=4,E992&gt;=3),"Setia",IF(AND(E992=5,F992&lt;=2,G992&gt;=3),"Berpotensi",IF(AND(E992&lt;=3,E992&gt;=2,F992&gt;=3),"Rawan",IF(AND(E992&lt;=2,F992&lt;=2),"Tidur","Umum"))))))</f>
        <v/>
      </c>
    </row>
    <row r="993">
      <c r="B993">
        <f>IF(A993="","",$B$1-MAXIFS(Donasi!$A$2:$A$20000,Donasi!$B$2:$B$20000,A993))</f>
        <v/>
      </c>
      <c r="C993">
        <f>IF(A993="","",COUNTIF(Donasi!$B$2:$B$20000,A993))</f>
        <v/>
      </c>
      <c r="D993">
        <f>IF(A993="","",SUMIF(Donasi!$B$2:$B$20000,A993,Donasi!$C$2:$C$20000))</f>
        <v/>
      </c>
      <c r="E993">
        <f>IF(A993="","",6-CEILING(PERCENTRANK.INC($B$3:$B$6000,B993,4)*5+0.000001,1))</f>
        <v/>
      </c>
      <c r="F993">
        <f>IF(A993="","",MAX(1,CEILING(PERCENTRANK.INC($C$3:$C$6000,C993,4)*5+0.000001,1)))</f>
        <v/>
      </c>
      <c r="G993">
        <f>IF(A993="","",MAX(1,CEILING(PERCENTRANK.INC($D$3:$D$6000,D993,4)*5+0.000001,1)))</f>
        <v/>
      </c>
      <c r="H993">
        <f>IF(A993="","",E993&amp;F993&amp;G993)</f>
        <v/>
      </c>
      <c r="I993">
        <f>IF(A993="","",IF(AND(E993&gt;=4,F993&gt;=4,G993&gt;=4),"Juara",IF(AND(F993&gt;=4,E993&gt;=3),"Setia",IF(AND(E993=5,F993&lt;=2,G993&gt;=3),"Berpotensi",IF(AND(E993&lt;=3,E993&gt;=2,F993&gt;=3),"Rawan",IF(AND(E993&lt;=2,F993&lt;=2),"Tidur","Umum"))))))</f>
        <v/>
      </c>
    </row>
    <row r="994">
      <c r="B994">
        <f>IF(A994="","",$B$1-MAXIFS(Donasi!$A$2:$A$20000,Donasi!$B$2:$B$20000,A994))</f>
        <v/>
      </c>
      <c r="C994">
        <f>IF(A994="","",COUNTIF(Donasi!$B$2:$B$20000,A994))</f>
        <v/>
      </c>
      <c r="D994">
        <f>IF(A994="","",SUMIF(Donasi!$B$2:$B$20000,A994,Donasi!$C$2:$C$20000))</f>
        <v/>
      </c>
      <c r="E994">
        <f>IF(A994="","",6-CEILING(PERCENTRANK.INC($B$3:$B$6000,B994,4)*5+0.000001,1))</f>
        <v/>
      </c>
      <c r="F994">
        <f>IF(A994="","",MAX(1,CEILING(PERCENTRANK.INC($C$3:$C$6000,C994,4)*5+0.000001,1)))</f>
        <v/>
      </c>
      <c r="G994">
        <f>IF(A994="","",MAX(1,CEILING(PERCENTRANK.INC($D$3:$D$6000,D994,4)*5+0.000001,1)))</f>
        <v/>
      </c>
      <c r="H994">
        <f>IF(A994="","",E994&amp;F994&amp;G994)</f>
        <v/>
      </c>
      <c r="I994">
        <f>IF(A994="","",IF(AND(E994&gt;=4,F994&gt;=4,G994&gt;=4),"Juara",IF(AND(F994&gt;=4,E994&gt;=3),"Setia",IF(AND(E994=5,F994&lt;=2,G994&gt;=3),"Berpotensi",IF(AND(E994&lt;=3,E994&gt;=2,F994&gt;=3),"Rawan",IF(AND(E994&lt;=2,F994&lt;=2),"Tidur","Umum"))))))</f>
        <v/>
      </c>
    </row>
    <row r="995">
      <c r="B995">
        <f>IF(A995="","",$B$1-MAXIFS(Donasi!$A$2:$A$20000,Donasi!$B$2:$B$20000,A995))</f>
        <v/>
      </c>
      <c r="C995">
        <f>IF(A995="","",COUNTIF(Donasi!$B$2:$B$20000,A995))</f>
        <v/>
      </c>
      <c r="D995">
        <f>IF(A995="","",SUMIF(Donasi!$B$2:$B$20000,A995,Donasi!$C$2:$C$20000))</f>
        <v/>
      </c>
      <c r="E995">
        <f>IF(A995="","",6-CEILING(PERCENTRANK.INC($B$3:$B$6000,B995,4)*5+0.000001,1))</f>
        <v/>
      </c>
      <c r="F995">
        <f>IF(A995="","",MAX(1,CEILING(PERCENTRANK.INC($C$3:$C$6000,C995,4)*5+0.000001,1)))</f>
        <v/>
      </c>
      <c r="G995">
        <f>IF(A995="","",MAX(1,CEILING(PERCENTRANK.INC($D$3:$D$6000,D995,4)*5+0.000001,1)))</f>
        <v/>
      </c>
      <c r="H995">
        <f>IF(A995="","",E995&amp;F995&amp;G995)</f>
        <v/>
      </c>
      <c r="I995">
        <f>IF(A995="","",IF(AND(E995&gt;=4,F995&gt;=4,G995&gt;=4),"Juara",IF(AND(F995&gt;=4,E995&gt;=3),"Setia",IF(AND(E995=5,F995&lt;=2,G995&gt;=3),"Berpotensi",IF(AND(E995&lt;=3,E995&gt;=2,F995&gt;=3),"Rawan",IF(AND(E995&lt;=2,F995&lt;=2),"Tidur","Umum"))))))</f>
        <v/>
      </c>
    </row>
    <row r="996">
      <c r="B996">
        <f>IF(A996="","",$B$1-MAXIFS(Donasi!$A$2:$A$20000,Donasi!$B$2:$B$20000,A996))</f>
        <v/>
      </c>
      <c r="C996">
        <f>IF(A996="","",COUNTIF(Donasi!$B$2:$B$20000,A996))</f>
        <v/>
      </c>
      <c r="D996">
        <f>IF(A996="","",SUMIF(Donasi!$B$2:$B$20000,A996,Donasi!$C$2:$C$20000))</f>
        <v/>
      </c>
      <c r="E996">
        <f>IF(A996="","",6-CEILING(PERCENTRANK.INC($B$3:$B$6000,B996,4)*5+0.000001,1))</f>
        <v/>
      </c>
      <c r="F996">
        <f>IF(A996="","",MAX(1,CEILING(PERCENTRANK.INC($C$3:$C$6000,C996,4)*5+0.000001,1)))</f>
        <v/>
      </c>
      <c r="G996">
        <f>IF(A996="","",MAX(1,CEILING(PERCENTRANK.INC($D$3:$D$6000,D996,4)*5+0.000001,1)))</f>
        <v/>
      </c>
      <c r="H996">
        <f>IF(A996="","",E996&amp;F996&amp;G996)</f>
        <v/>
      </c>
      <c r="I996">
        <f>IF(A996="","",IF(AND(E996&gt;=4,F996&gt;=4,G996&gt;=4),"Juara",IF(AND(F996&gt;=4,E996&gt;=3),"Setia",IF(AND(E996=5,F996&lt;=2,G996&gt;=3),"Berpotensi",IF(AND(E996&lt;=3,E996&gt;=2,F996&gt;=3),"Rawan",IF(AND(E996&lt;=2,F996&lt;=2),"Tidur","Umum"))))))</f>
        <v/>
      </c>
    </row>
    <row r="997">
      <c r="B997">
        <f>IF(A997="","",$B$1-MAXIFS(Donasi!$A$2:$A$20000,Donasi!$B$2:$B$20000,A997))</f>
        <v/>
      </c>
      <c r="C997">
        <f>IF(A997="","",COUNTIF(Donasi!$B$2:$B$20000,A997))</f>
        <v/>
      </c>
      <c r="D997">
        <f>IF(A997="","",SUMIF(Donasi!$B$2:$B$20000,A997,Donasi!$C$2:$C$20000))</f>
        <v/>
      </c>
      <c r="E997">
        <f>IF(A997="","",6-CEILING(PERCENTRANK.INC($B$3:$B$6000,B997,4)*5+0.000001,1))</f>
        <v/>
      </c>
      <c r="F997">
        <f>IF(A997="","",MAX(1,CEILING(PERCENTRANK.INC($C$3:$C$6000,C997,4)*5+0.000001,1)))</f>
        <v/>
      </c>
      <c r="G997">
        <f>IF(A997="","",MAX(1,CEILING(PERCENTRANK.INC($D$3:$D$6000,D997,4)*5+0.000001,1)))</f>
        <v/>
      </c>
      <c r="H997">
        <f>IF(A997="","",E997&amp;F997&amp;G997)</f>
        <v/>
      </c>
      <c r="I997">
        <f>IF(A997="","",IF(AND(E997&gt;=4,F997&gt;=4,G997&gt;=4),"Juara",IF(AND(F997&gt;=4,E997&gt;=3),"Setia",IF(AND(E997=5,F997&lt;=2,G997&gt;=3),"Berpotensi",IF(AND(E997&lt;=3,E997&gt;=2,F997&gt;=3),"Rawan",IF(AND(E997&lt;=2,F997&lt;=2),"Tidur","Umum"))))))</f>
        <v/>
      </c>
    </row>
    <row r="998">
      <c r="B998">
        <f>IF(A998="","",$B$1-MAXIFS(Donasi!$A$2:$A$20000,Donasi!$B$2:$B$20000,A998))</f>
        <v/>
      </c>
      <c r="C998">
        <f>IF(A998="","",COUNTIF(Donasi!$B$2:$B$20000,A998))</f>
        <v/>
      </c>
      <c r="D998">
        <f>IF(A998="","",SUMIF(Donasi!$B$2:$B$20000,A998,Donasi!$C$2:$C$20000))</f>
        <v/>
      </c>
      <c r="E998">
        <f>IF(A998="","",6-CEILING(PERCENTRANK.INC($B$3:$B$6000,B998,4)*5+0.000001,1))</f>
        <v/>
      </c>
      <c r="F998">
        <f>IF(A998="","",MAX(1,CEILING(PERCENTRANK.INC($C$3:$C$6000,C998,4)*5+0.000001,1)))</f>
        <v/>
      </c>
      <c r="G998">
        <f>IF(A998="","",MAX(1,CEILING(PERCENTRANK.INC($D$3:$D$6000,D998,4)*5+0.000001,1)))</f>
        <v/>
      </c>
      <c r="H998">
        <f>IF(A998="","",E998&amp;F998&amp;G998)</f>
        <v/>
      </c>
      <c r="I998">
        <f>IF(A998="","",IF(AND(E998&gt;=4,F998&gt;=4,G998&gt;=4),"Juara",IF(AND(F998&gt;=4,E998&gt;=3),"Setia",IF(AND(E998=5,F998&lt;=2,G998&gt;=3),"Berpotensi",IF(AND(E998&lt;=3,E998&gt;=2,F998&gt;=3),"Rawan",IF(AND(E998&lt;=2,F998&lt;=2),"Tidur","Umum"))))))</f>
        <v/>
      </c>
    </row>
    <row r="999">
      <c r="B999">
        <f>IF(A999="","",$B$1-MAXIFS(Donasi!$A$2:$A$20000,Donasi!$B$2:$B$20000,A999))</f>
        <v/>
      </c>
      <c r="C999">
        <f>IF(A999="","",COUNTIF(Donasi!$B$2:$B$20000,A999))</f>
        <v/>
      </c>
      <c r="D999">
        <f>IF(A999="","",SUMIF(Donasi!$B$2:$B$20000,A999,Donasi!$C$2:$C$20000))</f>
        <v/>
      </c>
      <c r="E999">
        <f>IF(A999="","",6-CEILING(PERCENTRANK.INC($B$3:$B$6000,B999,4)*5+0.000001,1))</f>
        <v/>
      </c>
      <c r="F999">
        <f>IF(A999="","",MAX(1,CEILING(PERCENTRANK.INC($C$3:$C$6000,C999,4)*5+0.000001,1)))</f>
        <v/>
      </c>
      <c r="G999">
        <f>IF(A999="","",MAX(1,CEILING(PERCENTRANK.INC($D$3:$D$6000,D999,4)*5+0.000001,1)))</f>
        <v/>
      </c>
      <c r="H999">
        <f>IF(A999="","",E999&amp;F999&amp;G999)</f>
        <v/>
      </c>
      <c r="I999">
        <f>IF(A999="","",IF(AND(E999&gt;=4,F999&gt;=4,G999&gt;=4),"Juara",IF(AND(F999&gt;=4,E999&gt;=3),"Setia",IF(AND(E999=5,F999&lt;=2,G999&gt;=3),"Berpotensi",IF(AND(E999&lt;=3,E999&gt;=2,F999&gt;=3),"Rawan",IF(AND(E999&lt;=2,F999&lt;=2),"Tidur","Umum"))))))</f>
        <v/>
      </c>
    </row>
    <row r="1000">
      <c r="B1000">
        <f>IF(A1000="","",$B$1-MAXIFS(Donasi!$A$2:$A$20000,Donasi!$B$2:$B$20000,A1000))</f>
        <v/>
      </c>
      <c r="C1000">
        <f>IF(A1000="","",COUNTIF(Donasi!$B$2:$B$20000,A1000))</f>
        <v/>
      </c>
      <c r="D1000">
        <f>IF(A1000="","",SUMIF(Donasi!$B$2:$B$20000,A1000,Donasi!$C$2:$C$20000))</f>
        <v/>
      </c>
      <c r="E1000">
        <f>IF(A1000="","",6-CEILING(PERCENTRANK.INC($B$3:$B$6000,B1000,4)*5+0.000001,1))</f>
        <v/>
      </c>
      <c r="F1000">
        <f>IF(A1000="","",MAX(1,CEILING(PERCENTRANK.INC($C$3:$C$6000,C1000,4)*5+0.000001,1)))</f>
        <v/>
      </c>
      <c r="G1000">
        <f>IF(A1000="","",MAX(1,CEILING(PERCENTRANK.INC($D$3:$D$6000,D1000,4)*5+0.000001,1)))</f>
        <v/>
      </c>
      <c r="H1000">
        <f>IF(A1000="","",E1000&amp;F1000&amp;G1000)</f>
        <v/>
      </c>
      <c r="I1000">
        <f>IF(A1000="","",IF(AND(E1000&gt;=4,F1000&gt;=4,G1000&gt;=4),"Juara",IF(AND(F1000&gt;=4,E1000&gt;=3),"Setia",IF(AND(E1000=5,F1000&lt;=2,G1000&gt;=3),"Berpotensi",IF(AND(E1000&lt;=3,E1000&gt;=2,F1000&gt;=3),"Rawan",IF(AND(E1000&lt;=2,F1000&lt;=2),"Tidur","Umum"))))))</f>
        <v/>
      </c>
    </row>
    <row r="1001">
      <c r="B1001">
        <f>IF(A1001="","",$B$1-MAXIFS(Donasi!$A$2:$A$20000,Donasi!$B$2:$B$20000,A1001))</f>
        <v/>
      </c>
      <c r="C1001">
        <f>IF(A1001="","",COUNTIF(Donasi!$B$2:$B$20000,A1001))</f>
        <v/>
      </c>
      <c r="D1001">
        <f>IF(A1001="","",SUMIF(Donasi!$B$2:$B$20000,A1001,Donasi!$C$2:$C$20000))</f>
        <v/>
      </c>
      <c r="E1001">
        <f>IF(A1001="","",6-CEILING(PERCENTRANK.INC($B$3:$B$6000,B1001,4)*5+0.000001,1))</f>
        <v/>
      </c>
      <c r="F1001">
        <f>IF(A1001="","",MAX(1,CEILING(PERCENTRANK.INC($C$3:$C$6000,C1001,4)*5+0.000001,1)))</f>
        <v/>
      </c>
      <c r="G1001">
        <f>IF(A1001="","",MAX(1,CEILING(PERCENTRANK.INC($D$3:$D$6000,D1001,4)*5+0.000001,1)))</f>
        <v/>
      </c>
      <c r="H1001">
        <f>IF(A1001="","",E1001&amp;F1001&amp;G1001)</f>
        <v/>
      </c>
      <c r="I1001">
        <f>IF(A1001="","",IF(AND(E1001&gt;=4,F1001&gt;=4,G1001&gt;=4),"Juara",IF(AND(F1001&gt;=4,E1001&gt;=3),"Setia",IF(AND(E1001=5,F1001&lt;=2,G1001&gt;=3),"Berpotensi",IF(AND(E1001&lt;=3,E1001&gt;=2,F1001&gt;=3),"Rawan",IF(AND(E1001&lt;=2,F1001&lt;=2),"Tidur","Umum"))))))</f>
        <v/>
      </c>
    </row>
    <row r="1002">
      <c r="B1002">
        <f>IF(A1002="","",$B$1-MAXIFS(Donasi!$A$2:$A$20000,Donasi!$B$2:$B$20000,A1002))</f>
        <v/>
      </c>
      <c r="C1002">
        <f>IF(A1002="","",COUNTIF(Donasi!$B$2:$B$20000,A1002))</f>
        <v/>
      </c>
      <c r="D1002">
        <f>IF(A1002="","",SUMIF(Donasi!$B$2:$B$20000,A1002,Donasi!$C$2:$C$20000))</f>
        <v/>
      </c>
      <c r="E1002">
        <f>IF(A1002="","",6-CEILING(PERCENTRANK.INC($B$3:$B$6000,B1002,4)*5+0.000001,1))</f>
        <v/>
      </c>
      <c r="F1002">
        <f>IF(A1002="","",MAX(1,CEILING(PERCENTRANK.INC($C$3:$C$6000,C1002,4)*5+0.000001,1)))</f>
        <v/>
      </c>
      <c r="G1002">
        <f>IF(A1002="","",MAX(1,CEILING(PERCENTRANK.INC($D$3:$D$6000,D1002,4)*5+0.000001,1)))</f>
        <v/>
      </c>
      <c r="H1002">
        <f>IF(A1002="","",E1002&amp;F1002&amp;G1002)</f>
        <v/>
      </c>
      <c r="I1002">
        <f>IF(A1002="","",IF(AND(E1002&gt;=4,F1002&gt;=4,G1002&gt;=4),"Juara",IF(AND(F1002&gt;=4,E1002&gt;=3),"Setia",IF(AND(E1002=5,F1002&lt;=2,G1002&gt;=3),"Berpotensi",IF(AND(E1002&lt;=3,E1002&gt;=2,F1002&gt;=3),"Rawan",IF(AND(E1002&lt;=2,F1002&lt;=2),"Tidur","Umum"))))))</f>
        <v/>
      </c>
    </row>
    <row r="1003">
      <c r="B1003">
        <f>IF(A1003="","",$B$1-MAXIFS(Donasi!$A$2:$A$20000,Donasi!$B$2:$B$20000,A1003))</f>
        <v/>
      </c>
      <c r="C1003">
        <f>IF(A1003="","",COUNTIF(Donasi!$B$2:$B$20000,A1003))</f>
        <v/>
      </c>
      <c r="D1003">
        <f>IF(A1003="","",SUMIF(Donasi!$B$2:$B$20000,A1003,Donasi!$C$2:$C$20000))</f>
        <v/>
      </c>
      <c r="E1003">
        <f>IF(A1003="","",6-CEILING(PERCENTRANK.INC($B$3:$B$6000,B1003,4)*5+0.000001,1))</f>
        <v/>
      </c>
      <c r="F1003">
        <f>IF(A1003="","",MAX(1,CEILING(PERCENTRANK.INC($C$3:$C$6000,C1003,4)*5+0.000001,1)))</f>
        <v/>
      </c>
      <c r="G1003">
        <f>IF(A1003="","",MAX(1,CEILING(PERCENTRANK.INC($D$3:$D$6000,D1003,4)*5+0.000001,1)))</f>
        <v/>
      </c>
      <c r="H1003">
        <f>IF(A1003="","",E1003&amp;F1003&amp;G1003)</f>
        <v/>
      </c>
      <c r="I1003">
        <f>IF(A1003="","",IF(AND(E1003&gt;=4,F1003&gt;=4,G1003&gt;=4),"Juara",IF(AND(F1003&gt;=4,E1003&gt;=3),"Setia",IF(AND(E1003=5,F1003&lt;=2,G1003&gt;=3),"Berpotensi",IF(AND(E1003&lt;=3,E1003&gt;=2,F1003&gt;=3),"Rawan",IF(AND(E1003&lt;=2,F1003&lt;=2),"Tidur","Umum"))))))</f>
        <v/>
      </c>
    </row>
    <row r="1004">
      <c r="B1004">
        <f>IF(A1004="","",$B$1-MAXIFS(Donasi!$A$2:$A$20000,Donasi!$B$2:$B$20000,A1004))</f>
        <v/>
      </c>
      <c r="C1004">
        <f>IF(A1004="","",COUNTIF(Donasi!$B$2:$B$20000,A1004))</f>
        <v/>
      </c>
      <c r="D1004">
        <f>IF(A1004="","",SUMIF(Donasi!$B$2:$B$20000,A1004,Donasi!$C$2:$C$20000))</f>
        <v/>
      </c>
      <c r="E1004">
        <f>IF(A1004="","",6-CEILING(PERCENTRANK.INC($B$3:$B$6000,B1004,4)*5+0.000001,1))</f>
        <v/>
      </c>
      <c r="F1004">
        <f>IF(A1004="","",MAX(1,CEILING(PERCENTRANK.INC($C$3:$C$6000,C1004,4)*5+0.000001,1)))</f>
        <v/>
      </c>
      <c r="G1004">
        <f>IF(A1004="","",MAX(1,CEILING(PERCENTRANK.INC($D$3:$D$6000,D1004,4)*5+0.000001,1)))</f>
        <v/>
      </c>
      <c r="H1004">
        <f>IF(A1004="","",E1004&amp;F1004&amp;G1004)</f>
        <v/>
      </c>
      <c r="I1004">
        <f>IF(A1004="","",IF(AND(E1004&gt;=4,F1004&gt;=4,G1004&gt;=4),"Juara",IF(AND(F1004&gt;=4,E1004&gt;=3),"Setia",IF(AND(E1004=5,F1004&lt;=2,G1004&gt;=3),"Berpotensi",IF(AND(E1004&lt;=3,E1004&gt;=2,F1004&gt;=3),"Rawan",IF(AND(E1004&lt;=2,F1004&lt;=2),"Tidur","Umum"))))))</f>
        <v/>
      </c>
    </row>
    <row r="1005">
      <c r="B1005">
        <f>IF(A1005="","",$B$1-MAXIFS(Donasi!$A$2:$A$20000,Donasi!$B$2:$B$20000,A1005))</f>
        <v/>
      </c>
      <c r="C1005">
        <f>IF(A1005="","",COUNTIF(Donasi!$B$2:$B$20000,A1005))</f>
        <v/>
      </c>
      <c r="D1005">
        <f>IF(A1005="","",SUMIF(Donasi!$B$2:$B$20000,A1005,Donasi!$C$2:$C$20000))</f>
        <v/>
      </c>
      <c r="E1005">
        <f>IF(A1005="","",6-CEILING(PERCENTRANK.INC($B$3:$B$6000,B1005,4)*5+0.000001,1))</f>
        <v/>
      </c>
      <c r="F1005">
        <f>IF(A1005="","",MAX(1,CEILING(PERCENTRANK.INC($C$3:$C$6000,C1005,4)*5+0.000001,1)))</f>
        <v/>
      </c>
      <c r="G1005">
        <f>IF(A1005="","",MAX(1,CEILING(PERCENTRANK.INC($D$3:$D$6000,D1005,4)*5+0.000001,1)))</f>
        <v/>
      </c>
      <c r="H1005">
        <f>IF(A1005="","",E1005&amp;F1005&amp;G1005)</f>
        <v/>
      </c>
      <c r="I1005">
        <f>IF(A1005="","",IF(AND(E1005&gt;=4,F1005&gt;=4,G1005&gt;=4),"Juara",IF(AND(F1005&gt;=4,E1005&gt;=3),"Setia",IF(AND(E1005=5,F1005&lt;=2,G1005&gt;=3),"Berpotensi",IF(AND(E1005&lt;=3,E1005&gt;=2,F1005&gt;=3),"Rawan",IF(AND(E1005&lt;=2,F1005&lt;=2),"Tidur","Umum"))))))</f>
        <v/>
      </c>
    </row>
    <row r="1006">
      <c r="B1006">
        <f>IF(A1006="","",$B$1-MAXIFS(Donasi!$A$2:$A$20000,Donasi!$B$2:$B$20000,A1006))</f>
        <v/>
      </c>
      <c r="C1006">
        <f>IF(A1006="","",COUNTIF(Donasi!$B$2:$B$20000,A1006))</f>
        <v/>
      </c>
      <c r="D1006">
        <f>IF(A1006="","",SUMIF(Donasi!$B$2:$B$20000,A1006,Donasi!$C$2:$C$20000))</f>
        <v/>
      </c>
      <c r="E1006">
        <f>IF(A1006="","",6-CEILING(PERCENTRANK.INC($B$3:$B$6000,B1006,4)*5+0.000001,1))</f>
        <v/>
      </c>
      <c r="F1006">
        <f>IF(A1006="","",MAX(1,CEILING(PERCENTRANK.INC($C$3:$C$6000,C1006,4)*5+0.000001,1)))</f>
        <v/>
      </c>
      <c r="G1006">
        <f>IF(A1006="","",MAX(1,CEILING(PERCENTRANK.INC($D$3:$D$6000,D1006,4)*5+0.000001,1)))</f>
        <v/>
      </c>
      <c r="H1006">
        <f>IF(A1006="","",E1006&amp;F1006&amp;G1006)</f>
        <v/>
      </c>
      <c r="I1006">
        <f>IF(A1006="","",IF(AND(E1006&gt;=4,F1006&gt;=4,G1006&gt;=4),"Juara",IF(AND(F1006&gt;=4,E1006&gt;=3),"Setia",IF(AND(E1006=5,F1006&lt;=2,G1006&gt;=3),"Berpotensi",IF(AND(E1006&lt;=3,E1006&gt;=2,F1006&gt;=3),"Rawan",IF(AND(E1006&lt;=2,F1006&lt;=2),"Tidur","Umum"))))))</f>
        <v/>
      </c>
    </row>
    <row r="1007">
      <c r="B1007">
        <f>IF(A1007="","",$B$1-MAXIFS(Donasi!$A$2:$A$20000,Donasi!$B$2:$B$20000,A1007))</f>
        <v/>
      </c>
      <c r="C1007">
        <f>IF(A1007="","",COUNTIF(Donasi!$B$2:$B$20000,A1007))</f>
        <v/>
      </c>
      <c r="D1007">
        <f>IF(A1007="","",SUMIF(Donasi!$B$2:$B$20000,A1007,Donasi!$C$2:$C$20000))</f>
        <v/>
      </c>
      <c r="E1007">
        <f>IF(A1007="","",6-CEILING(PERCENTRANK.INC($B$3:$B$6000,B1007,4)*5+0.000001,1))</f>
        <v/>
      </c>
      <c r="F1007">
        <f>IF(A1007="","",MAX(1,CEILING(PERCENTRANK.INC($C$3:$C$6000,C1007,4)*5+0.000001,1)))</f>
        <v/>
      </c>
      <c r="G1007">
        <f>IF(A1007="","",MAX(1,CEILING(PERCENTRANK.INC($D$3:$D$6000,D1007,4)*5+0.000001,1)))</f>
        <v/>
      </c>
      <c r="H1007">
        <f>IF(A1007="","",E1007&amp;F1007&amp;G1007)</f>
        <v/>
      </c>
      <c r="I1007">
        <f>IF(A1007="","",IF(AND(E1007&gt;=4,F1007&gt;=4,G1007&gt;=4),"Juara",IF(AND(F1007&gt;=4,E1007&gt;=3),"Setia",IF(AND(E1007=5,F1007&lt;=2,G1007&gt;=3),"Berpotensi",IF(AND(E1007&lt;=3,E1007&gt;=2,F1007&gt;=3),"Rawan",IF(AND(E1007&lt;=2,F1007&lt;=2),"Tidur","Umum"))))))</f>
        <v/>
      </c>
    </row>
    <row r="1008">
      <c r="B1008">
        <f>IF(A1008="","",$B$1-MAXIFS(Donasi!$A$2:$A$20000,Donasi!$B$2:$B$20000,A1008))</f>
        <v/>
      </c>
      <c r="C1008">
        <f>IF(A1008="","",COUNTIF(Donasi!$B$2:$B$20000,A1008))</f>
        <v/>
      </c>
      <c r="D1008">
        <f>IF(A1008="","",SUMIF(Donasi!$B$2:$B$20000,A1008,Donasi!$C$2:$C$20000))</f>
        <v/>
      </c>
      <c r="E1008">
        <f>IF(A1008="","",6-CEILING(PERCENTRANK.INC($B$3:$B$6000,B1008,4)*5+0.000001,1))</f>
        <v/>
      </c>
      <c r="F1008">
        <f>IF(A1008="","",MAX(1,CEILING(PERCENTRANK.INC($C$3:$C$6000,C1008,4)*5+0.000001,1)))</f>
        <v/>
      </c>
      <c r="G1008">
        <f>IF(A1008="","",MAX(1,CEILING(PERCENTRANK.INC($D$3:$D$6000,D1008,4)*5+0.000001,1)))</f>
        <v/>
      </c>
      <c r="H1008">
        <f>IF(A1008="","",E1008&amp;F1008&amp;G1008)</f>
        <v/>
      </c>
      <c r="I1008">
        <f>IF(A1008="","",IF(AND(E1008&gt;=4,F1008&gt;=4,G1008&gt;=4),"Juara",IF(AND(F1008&gt;=4,E1008&gt;=3),"Setia",IF(AND(E1008=5,F1008&lt;=2,G1008&gt;=3),"Berpotensi",IF(AND(E1008&lt;=3,E1008&gt;=2,F1008&gt;=3),"Rawan",IF(AND(E1008&lt;=2,F1008&lt;=2),"Tidur","Umum"))))))</f>
        <v/>
      </c>
    </row>
    <row r="1009">
      <c r="B1009">
        <f>IF(A1009="","",$B$1-MAXIFS(Donasi!$A$2:$A$20000,Donasi!$B$2:$B$20000,A1009))</f>
        <v/>
      </c>
      <c r="C1009">
        <f>IF(A1009="","",COUNTIF(Donasi!$B$2:$B$20000,A1009))</f>
        <v/>
      </c>
      <c r="D1009">
        <f>IF(A1009="","",SUMIF(Donasi!$B$2:$B$20000,A1009,Donasi!$C$2:$C$20000))</f>
        <v/>
      </c>
      <c r="E1009">
        <f>IF(A1009="","",6-CEILING(PERCENTRANK.INC($B$3:$B$6000,B1009,4)*5+0.000001,1))</f>
        <v/>
      </c>
      <c r="F1009">
        <f>IF(A1009="","",MAX(1,CEILING(PERCENTRANK.INC($C$3:$C$6000,C1009,4)*5+0.000001,1)))</f>
        <v/>
      </c>
      <c r="G1009">
        <f>IF(A1009="","",MAX(1,CEILING(PERCENTRANK.INC($D$3:$D$6000,D1009,4)*5+0.000001,1)))</f>
        <v/>
      </c>
      <c r="H1009">
        <f>IF(A1009="","",E1009&amp;F1009&amp;G1009)</f>
        <v/>
      </c>
      <c r="I1009">
        <f>IF(A1009="","",IF(AND(E1009&gt;=4,F1009&gt;=4,G1009&gt;=4),"Juara",IF(AND(F1009&gt;=4,E1009&gt;=3),"Setia",IF(AND(E1009=5,F1009&lt;=2,G1009&gt;=3),"Berpotensi",IF(AND(E1009&lt;=3,E1009&gt;=2,F1009&gt;=3),"Rawan",IF(AND(E1009&lt;=2,F1009&lt;=2),"Tidur","Umum"))))))</f>
        <v/>
      </c>
    </row>
    <row r="1010">
      <c r="B1010">
        <f>IF(A1010="","",$B$1-MAXIFS(Donasi!$A$2:$A$20000,Donasi!$B$2:$B$20000,A1010))</f>
        <v/>
      </c>
      <c r="C1010">
        <f>IF(A1010="","",COUNTIF(Donasi!$B$2:$B$20000,A1010))</f>
        <v/>
      </c>
      <c r="D1010">
        <f>IF(A1010="","",SUMIF(Donasi!$B$2:$B$20000,A1010,Donasi!$C$2:$C$20000))</f>
        <v/>
      </c>
      <c r="E1010">
        <f>IF(A1010="","",6-CEILING(PERCENTRANK.INC($B$3:$B$6000,B1010,4)*5+0.000001,1))</f>
        <v/>
      </c>
      <c r="F1010">
        <f>IF(A1010="","",MAX(1,CEILING(PERCENTRANK.INC($C$3:$C$6000,C1010,4)*5+0.000001,1)))</f>
        <v/>
      </c>
      <c r="G1010">
        <f>IF(A1010="","",MAX(1,CEILING(PERCENTRANK.INC($D$3:$D$6000,D1010,4)*5+0.000001,1)))</f>
        <v/>
      </c>
      <c r="H1010">
        <f>IF(A1010="","",E1010&amp;F1010&amp;G1010)</f>
        <v/>
      </c>
      <c r="I1010">
        <f>IF(A1010="","",IF(AND(E1010&gt;=4,F1010&gt;=4,G1010&gt;=4),"Juara",IF(AND(F1010&gt;=4,E1010&gt;=3),"Setia",IF(AND(E1010=5,F1010&lt;=2,G1010&gt;=3),"Berpotensi",IF(AND(E1010&lt;=3,E1010&gt;=2,F1010&gt;=3),"Rawan",IF(AND(E1010&lt;=2,F1010&lt;=2),"Tidur","Umum"))))))</f>
        <v/>
      </c>
    </row>
    <row r="1011">
      <c r="B1011">
        <f>IF(A1011="","",$B$1-MAXIFS(Donasi!$A$2:$A$20000,Donasi!$B$2:$B$20000,A1011))</f>
        <v/>
      </c>
      <c r="C1011">
        <f>IF(A1011="","",COUNTIF(Donasi!$B$2:$B$20000,A1011))</f>
        <v/>
      </c>
      <c r="D1011">
        <f>IF(A1011="","",SUMIF(Donasi!$B$2:$B$20000,A1011,Donasi!$C$2:$C$20000))</f>
        <v/>
      </c>
      <c r="E1011">
        <f>IF(A1011="","",6-CEILING(PERCENTRANK.INC($B$3:$B$6000,B1011,4)*5+0.000001,1))</f>
        <v/>
      </c>
      <c r="F1011">
        <f>IF(A1011="","",MAX(1,CEILING(PERCENTRANK.INC($C$3:$C$6000,C1011,4)*5+0.000001,1)))</f>
        <v/>
      </c>
      <c r="G1011">
        <f>IF(A1011="","",MAX(1,CEILING(PERCENTRANK.INC($D$3:$D$6000,D1011,4)*5+0.000001,1)))</f>
        <v/>
      </c>
      <c r="H1011">
        <f>IF(A1011="","",E1011&amp;F1011&amp;G1011)</f>
        <v/>
      </c>
      <c r="I1011">
        <f>IF(A1011="","",IF(AND(E1011&gt;=4,F1011&gt;=4,G1011&gt;=4),"Juara",IF(AND(F1011&gt;=4,E1011&gt;=3),"Setia",IF(AND(E1011=5,F1011&lt;=2,G1011&gt;=3),"Berpotensi",IF(AND(E1011&lt;=3,E1011&gt;=2,F1011&gt;=3),"Rawan",IF(AND(E1011&lt;=2,F1011&lt;=2),"Tidur","Umum"))))))</f>
        <v/>
      </c>
    </row>
    <row r="1012">
      <c r="B1012">
        <f>IF(A1012="","",$B$1-MAXIFS(Donasi!$A$2:$A$20000,Donasi!$B$2:$B$20000,A1012))</f>
        <v/>
      </c>
      <c r="C1012">
        <f>IF(A1012="","",COUNTIF(Donasi!$B$2:$B$20000,A1012))</f>
        <v/>
      </c>
      <c r="D1012">
        <f>IF(A1012="","",SUMIF(Donasi!$B$2:$B$20000,A1012,Donasi!$C$2:$C$20000))</f>
        <v/>
      </c>
      <c r="E1012">
        <f>IF(A1012="","",6-CEILING(PERCENTRANK.INC($B$3:$B$6000,B1012,4)*5+0.000001,1))</f>
        <v/>
      </c>
      <c r="F1012">
        <f>IF(A1012="","",MAX(1,CEILING(PERCENTRANK.INC($C$3:$C$6000,C1012,4)*5+0.000001,1)))</f>
        <v/>
      </c>
      <c r="G1012">
        <f>IF(A1012="","",MAX(1,CEILING(PERCENTRANK.INC($D$3:$D$6000,D1012,4)*5+0.000001,1)))</f>
        <v/>
      </c>
      <c r="H1012">
        <f>IF(A1012="","",E1012&amp;F1012&amp;G1012)</f>
        <v/>
      </c>
      <c r="I1012">
        <f>IF(A1012="","",IF(AND(E1012&gt;=4,F1012&gt;=4,G1012&gt;=4),"Juara",IF(AND(F1012&gt;=4,E1012&gt;=3),"Setia",IF(AND(E1012=5,F1012&lt;=2,G1012&gt;=3),"Berpotensi",IF(AND(E1012&lt;=3,E1012&gt;=2,F1012&gt;=3),"Rawan",IF(AND(E1012&lt;=2,F1012&lt;=2),"Tidur","Umum"))))))</f>
        <v/>
      </c>
    </row>
    <row r="1013">
      <c r="B1013">
        <f>IF(A1013="","",$B$1-MAXIFS(Donasi!$A$2:$A$20000,Donasi!$B$2:$B$20000,A1013))</f>
        <v/>
      </c>
      <c r="C1013">
        <f>IF(A1013="","",COUNTIF(Donasi!$B$2:$B$20000,A1013))</f>
        <v/>
      </c>
      <c r="D1013">
        <f>IF(A1013="","",SUMIF(Donasi!$B$2:$B$20000,A1013,Donasi!$C$2:$C$20000))</f>
        <v/>
      </c>
      <c r="E1013">
        <f>IF(A1013="","",6-CEILING(PERCENTRANK.INC($B$3:$B$6000,B1013,4)*5+0.000001,1))</f>
        <v/>
      </c>
      <c r="F1013">
        <f>IF(A1013="","",MAX(1,CEILING(PERCENTRANK.INC($C$3:$C$6000,C1013,4)*5+0.000001,1)))</f>
        <v/>
      </c>
      <c r="G1013">
        <f>IF(A1013="","",MAX(1,CEILING(PERCENTRANK.INC($D$3:$D$6000,D1013,4)*5+0.000001,1)))</f>
        <v/>
      </c>
      <c r="H1013">
        <f>IF(A1013="","",E1013&amp;F1013&amp;G1013)</f>
        <v/>
      </c>
      <c r="I1013">
        <f>IF(A1013="","",IF(AND(E1013&gt;=4,F1013&gt;=4,G1013&gt;=4),"Juara",IF(AND(F1013&gt;=4,E1013&gt;=3),"Setia",IF(AND(E1013=5,F1013&lt;=2,G1013&gt;=3),"Berpotensi",IF(AND(E1013&lt;=3,E1013&gt;=2,F1013&gt;=3),"Rawan",IF(AND(E1013&lt;=2,F1013&lt;=2),"Tidur","Umum"))))))</f>
        <v/>
      </c>
    </row>
    <row r="1014">
      <c r="B1014">
        <f>IF(A1014="","",$B$1-MAXIFS(Donasi!$A$2:$A$20000,Donasi!$B$2:$B$20000,A1014))</f>
        <v/>
      </c>
      <c r="C1014">
        <f>IF(A1014="","",COUNTIF(Donasi!$B$2:$B$20000,A1014))</f>
        <v/>
      </c>
      <c r="D1014">
        <f>IF(A1014="","",SUMIF(Donasi!$B$2:$B$20000,A1014,Donasi!$C$2:$C$20000))</f>
        <v/>
      </c>
      <c r="E1014">
        <f>IF(A1014="","",6-CEILING(PERCENTRANK.INC($B$3:$B$6000,B1014,4)*5+0.000001,1))</f>
        <v/>
      </c>
      <c r="F1014">
        <f>IF(A1014="","",MAX(1,CEILING(PERCENTRANK.INC($C$3:$C$6000,C1014,4)*5+0.000001,1)))</f>
        <v/>
      </c>
      <c r="G1014">
        <f>IF(A1014="","",MAX(1,CEILING(PERCENTRANK.INC($D$3:$D$6000,D1014,4)*5+0.000001,1)))</f>
        <v/>
      </c>
      <c r="H1014">
        <f>IF(A1014="","",E1014&amp;F1014&amp;G1014)</f>
        <v/>
      </c>
      <c r="I1014">
        <f>IF(A1014="","",IF(AND(E1014&gt;=4,F1014&gt;=4,G1014&gt;=4),"Juara",IF(AND(F1014&gt;=4,E1014&gt;=3),"Setia",IF(AND(E1014=5,F1014&lt;=2,G1014&gt;=3),"Berpotensi",IF(AND(E1014&lt;=3,E1014&gt;=2,F1014&gt;=3),"Rawan",IF(AND(E1014&lt;=2,F1014&lt;=2),"Tidur","Umum"))))))</f>
        <v/>
      </c>
    </row>
    <row r="1015">
      <c r="B1015">
        <f>IF(A1015="","",$B$1-MAXIFS(Donasi!$A$2:$A$20000,Donasi!$B$2:$B$20000,A1015))</f>
        <v/>
      </c>
      <c r="C1015">
        <f>IF(A1015="","",COUNTIF(Donasi!$B$2:$B$20000,A1015))</f>
        <v/>
      </c>
      <c r="D1015">
        <f>IF(A1015="","",SUMIF(Donasi!$B$2:$B$20000,A1015,Donasi!$C$2:$C$20000))</f>
        <v/>
      </c>
      <c r="E1015">
        <f>IF(A1015="","",6-CEILING(PERCENTRANK.INC($B$3:$B$6000,B1015,4)*5+0.000001,1))</f>
        <v/>
      </c>
      <c r="F1015">
        <f>IF(A1015="","",MAX(1,CEILING(PERCENTRANK.INC($C$3:$C$6000,C1015,4)*5+0.000001,1)))</f>
        <v/>
      </c>
      <c r="G1015">
        <f>IF(A1015="","",MAX(1,CEILING(PERCENTRANK.INC($D$3:$D$6000,D1015,4)*5+0.000001,1)))</f>
        <v/>
      </c>
      <c r="H1015">
        <f>IF(A1015="","",E1015&amp;F1015&amp;G1015)</f>
        <v/>
      </c>
      <c r="I1015">
        <f>IF(A1015="","",IF(AND(E1015&gt;=4,F1015&gt;=4,G1015&gt;=4),"Juara",IF(AND(F1015&gt;=4,E1015&gt;=3),"Setia",IF(AND(E1015=5,F1015&lt;=2,G1015&gt;=3),"Berpotensi",IF(AND(E1015&lt;=3,E1015&gt;=2,F1015&gt;=3),"Rawan",IF(AND(E1015&lt;=2,F1015&lt;=2),"Tidur","Umum"))))))</f>
        <v/>
      </c>
    </row>
    <row r="1016">
      <c r="B1016">
        <f>IF(A1016="","",$B$1-MAXIFS(Donasi!$A$2:$A$20000,Donasi!$B$2:$B$20000,A1016))</f>
        <v/>
      </c>
      <c r="C1016">
        <f>IF(A1016="","",COUNTIF(Donasi!$B$2:$B$20000,A1016))</f>
        <v/>
      </c>
      <c r="D1016">
        <f>IF(A1016="","",SUMIF(Donasi!$B$2:$B$20000,A1016,Donasi!$C$2:$C$20000))</f>
        <v/>
      </c>
      <c r="E1016">
        <f>IF(A1016="","",6-CEILING(PERCENTRANK.INC($B$3:$B$6000,B1016,4)*5+0.000001,1))</f>
        <v/>
      </c>
      <c r="F1016">
        <f>IF(A1016="","",MAX(1,CEILING(PERCENTRANK.INC($C$3:$C$6000,C1016,4)*5+0.000001,1)))</f>
        <v/>
      </c>
      <c r="G1016">
        <f>IF(A1016="","",MAX(1,CEILING(PERCENTRANK.INC($D$3:$D$6000,D1016,4)*5+0.000001,1)))</f>
        <v/>
      </c>
      <c r="H1016">
        <f>IF(A1016="","",E1016&amp;F1016&amp;G1016)</f>
        <v/>
      </c>
      <c r="I1016">
        <f>IF(A1016="","",IF(AND(E1016&gt;=4,F1016&gt;=4,G1016&gt;=4),"Juara",IF(AND(F1016&gt;=4,E1016&gt;=3),"Setia",IF(AND(E1016=5,F1016&lt;=2,G1016&gt;=3),"Berpotensi",IF(AND(E1016&lt;=3,E1016&gt;=2,F1016&gt;=3),"Rawan",IF(AND(E1016&lt;=2,F1016&lt;=2),"Tidur","Umum"))))))</f>
        <v/>
      </c>
    </row>
    <row r="1017">
      <c r="B1017">
        <f>IF(A1017="","",$B$1-MAXIFS(Donasi!$A$2:$A$20000,Donasi!$B$2:$B$20000,A1017))</f>
        <v/>
      </c>
      <c r="C1017">
        <f>IF(A1017="","",COUNTIF(Donasi!$B$2:$B$20000,A1017))</f>
        <v/>
      </c>
      <c r="D1017">
        <f>IF(A1017="","",SUMIF(Donasi!$B$2:$B$20000,A1017,Donasi!$C$2:$C$20000))</f>
        <v/>
      </c>
      <c r="E1017">
        <f>IF(A1017="","",6-CEILING(PERCENTRANK.INC($B$3:$B$6000,B1017,4)*5+0.000001,1))</f>
        <v/>
      </c>
      <c r="F1017">
        <f>IF(A1017="","",MAX(1,CEILING(PERCENTRANK.INC($C$3:$C$6000,C1017,4)*5+0.000001,1)))</f>
        <v/>
      </c>
      <c r="G1017">
        <f>IF(A1017="","",MAX(1,CEILING(PERCENTRANK.INC($D$3:$D$6000,D1017,4)*5+0.000001,1)))</f>
        <v/>
      </c>
      <c r="H1017">
        <f>IF(A1017="","",E1017&amp;F1017&amp;G1017)</f>
        <v/>
      </c>
      <c r="I1017">
        <f>IF(A1017="","",IF(AND(E1017&gt;=4,F1017&gt;=4,G1017&gt;=4),"Juara",IF(AND(F1017&gt;=4,E1017&gt;=3),"Setia",IF(AND(E1017=5,F1017&lt;=2,G1017&gt;=3),"Berpotensi",IF(AND(E1017&lt;=3,E1017&gt;=2,F1017&gt;=3),"Rawan",IF(AND(E1017&lt;=2,F1017&lt;=2),"Tidur","Umum"))))))</f>
        <v/>
      </c>
    </row>
    <row r="1018">
      <c r="B1018">
        <f>IF(A1018="","",$B$1-MAXIFS(Donasi!$A$2:$A$20000,Donasi!$B$2:$B$20000,A1018))</f>
        <v/>
      </c>
      <c r="C1018">
        <f>IF(A1018="","",COUNTIF(Donasi!$B$2:$B$20000,A1018))</f>
        <v/>
      </c>
      <c r="D1018">
        <f>IF(A1018="","",SUMIF(Donasi!$B$2:$B$20000,A1018,Donasi!$C$2:$C$20000))</f>
        <v/>
      </c>
      <c r="E1018">
        <f>IF(A1018="","",6-CEILING(PERCENTRANK.INC($B$3:$B$6000,B1018,4)*5+0.000001,1))</f>
        <v/>
      </c>
      <c r="F1018">
        <f>IF(A1018="","",MAX(1,CEILING(PERCENTRANK.INC($C$3:$C$6000,C1018,4)*5+0.000001,1)))</f>
        <v/>
      </c>
      <c r="G1018">
        <f>IF(A1018="","",MAX(1,CEILING(PERCENTRANK.INC($D$3:$D$6000,D1018,4)*5+0.000001,1)))</f>
        <v/>
      </c>
      <c r="H1018">
        <f>IF(A1018="","",E1018&amp;F1018&amp;G1018)</f>
        <v/>
      </c>
      <c r="I1018">
        <f>IF(A1018="","",IF(AND(E1018&gt;=4,F1018&gt;=4,G1018&gt;=4),"Juara",IF(AND(F1018&gt;=4,E1018&gt;=3),"Setia",IF(AND(E1018=5,F1018&lt;=2,G1018&gt;=3),"Berpotensi",IF(AND(E1018&lt;=3,E1018&gt;=2,F1018&gt;=3),"Rawan",IF(AND(E1018&lt;=2,F1018&lt;=2),"Tidur","Umum"))))))</f>
        <v/>
      </c>
    </row>
    <row r="1019">
      <c r="B1019">
        <f>IF(A1019="","",$B$1-MAXIFS(Donasi!$A$2:$A$20000,Donasi!$B$2:$B$20000,A1019))</f>
        <v/>
      </c>
      <c r="C1019">
        <f>IF(A1019="","",COUNTIF(Donasi!$B$2:$B$20000,A1019))</f>
        <v/>
      </c>
      <c r="D1019">
        <f>IF(A1019="","",SUMIF(Donasi!$B$2:$B$20000,A1019,Donasi!$C$2:$C$20000))</f>
        <v/>
      </c>
      <c r="E1019">
        <f>IF(A1019="","",6-CEILING(PERCENTRANK.INC($B$3:$B$6000,B1019,4)*5+0.000001,1))</f>
        <v/>
      </c>
      <c r="F1019">
        <f>IF(A1019="","",MAX(1,CEILING(PERCENTRANK.INC($C$3:$C$6000,C1019,4)*5+0.000001,1)))</f>
        <v/>
      </c>
      <c r="G1019">
        <f>IF(A1019="","",MAX(1,CEILING(PERCENTRANK.INC($D$3:$D$6000,D1019,4)*5+0.000001,1)))</f>
        <v/>
      </c>
      <c r="H1019">
        <f>IF(A1019="","",E1019&amp;F1019&amp;G1019)</f>
        <v/>
      </c>
      <c r="I1019">
        <f>IF(A1019="","",IF(AND(E1019&gt;=4,F1019&gt;=4,G1019&gt;=4),"Juara",IF(AND(F1019&gt;=4,E1019&gt;=3),"Setia",IF(AND(E1019=5,F1019&lt;=2,G1019&gt;=3),"Berpotensi",IF(AND(E1019&lt;=3,E1019&gt;=2,F1019&gt;=3),"Rawan",IF(AND(E1019&lt;=2,F1019&lt;=2),"Tidur","Umum"))))))</f>
        <v/>
      </c>
    </row>
    <row r="1020">
      <c r="B1020">
        <f>IF(A1020="","",$B$1-MAXIFS(Donasi!$A$2:$A$20000,Donasi!$B$2:$B$20000,A1020))</f>
        <v/>
      </c>
      <c r="C1020">
        <f>IF(A1020="","",COUNTIF(Donasi!$B$2:$B$20000,A1020))</f>
        <v/>
      </c>
      <c r="D1020">
        <f>IF(A1020="","",SUMIF(Donasi!$B$2:$B$20000,A1020,Donasi!$C$2:$C$20000))</f>
        <v/>
      </c>
      <c r="E1020">
        <f>IF(A1020="","",6-CEILING(PERCENTRANK.INC($B$3:$B$6000,B1020,4)*5+0.000001,1))</f>
        <v/>
      </c>
      <c r="F1020">
        <f>IF(A1020="","",MAX(1,CEILING(PERCENTRANK.INC($C$3:$C$6000,C1020,4)*5+0.000001,1)))</f>
        <v/>
      </c>
      <c r="G1020">
        <f>IF(A1020="","",MAX(1,CEILING(PERCENTRANK.INC($D$3:$D$6000,D1020,4)*5+0.000001,1)))</f>
        <v/>
      </c>
      <c r="H1020">
        <f>IF(A1020="","",E1020&amp;F1020&amp;G1020)</f>
        <v/>
      </c>
      <c r="I1020">
        <f>IF(A1020="","",IF(AND(E1020&gt;=4,F1020&gt;=4,G1020&gt;=4),"Juara",IF(AND(F1020&gt;=4,E1020&gt;=3),"Setia",IF(AND(E1020=5,F1020&lt;=2,G1020&gt;=3),"Berpotensi",IF(AND(E1020&lt;=3,E1020&gt;=2,F1020&gt;=3),"Rawan",IF(AND(E1020&lt;=2,F1020&lt;=2),"Tidur","Umum"))))))</f>
        <v/>
      </c>
    </row>
    <row r="1021">
      <c r="B1021">
        <f>IF(A1021="","",$B$1-MAXIFS(Donasi!$A$2:$A$20000,Donasi!$B$2:$B$20000,A1021))</f>
        <v/>
      </c>
      <c r="C1021">
        <f>IF(A1021="","",COUNTIF(Donasi!$B$2:$B$20000,A1021))</f>
        <v/>
      </c>
      <c r="D1021">
        <f>IF(A1021="","",SUMIF(Donasi!$B$2:$B$20000,A1021,Donasi!$C$2:$C$20000))</f>
        <v/>
      </c>
      <c r="E1021">
        <f>IF(A1021="","",6-CEILING(PERCENTRANK.INC($B$3:$B$6000,B1021,4)*5+0.000001,1))</f>
        <v/>
      </c>
      <c r="F1021">
        <f>IF(A1021="","",MAX(1,CEILING(PERCENTRANK.INC($C$3:$C$6000,C1021,4)*5+0.000001,1)))</f>
        <v/>
      </c>
      <c r="G1021">
        <f>IF(A1021="","",MAX(1,CEILING(PERCENTRANK.INC($D$3:$D$6000,D1021,4)*5+0.000001,1)))</f>
        <v/>
      </c>
      <c r="H1021">
        <f>IF(A1021="","",E1021&amp;F1021&amp;G1021)</f>
        <v/>
      </c>
      <c r="I1021">
        <f>IF(A1021="","",IF(AND(E1021&gt;=4,F1021&gt;=4,G1021&gt;=4),"Juara",IF(AND(F1021&gt;=4,E1021&gt;=3),"Setia",IF(AND(E1021=5,F1021&lt;=2,G1021&gt;=3),"Berpotensi",IF(AND(E1021&lt;=3,E1021&gt;=2,F1021&gt;=3),"Rawan",IF(AND(E1021&lt;=2,F1021&lt;=2),"Tidur","Umum"))))))</f>
        <v/>
      </c>
    </row>
    <row r="1022">
      <c r="B1022">
        <f>IF(A1022="","",$B$1-MAXIFS(Donasi!$A$2:$A$20000,Donasi!$B$2:$B$20000,A1022))</f>
        <v/>
      </c>
      <c r="C1022">
        <f>IF(A1022="","",COUNTIF(Donasi!$B$2:$B$20000,A1022))</f>
        <v/>
      </c>
      <c r="D1022">
        <f>IF(A1022="","",SUMIF(Donasi!$B$2:$B$20000,A1022,Donasi!$C$2:$C$20000))</f>
        <v/>
      </c>
      <c r="E1022">
        <f>IF(A1022="","",6-CEILING(PERCENTRANK.INC($B$3:$B$6000,B1022,4)*5+0.000001,1))</f>
        <v/>
      </c>
      <c r="F1022">
        <f>IF(A1022="","",MAX(1,CEILING(PERCENTRANK.INC($C$3:$C$6000,C1022,4)*5+0.000001,1)))</f>
        <v/>
      </c>
      <c r="G1022">
        <f>IF(A1022="","",MAX(1,CEILING(PERCENTRANK.INC($D$3:$D$6000,D1022,4)*5+0.000001,1)))</f>
        <v/>
      </c>
      <c r="H1022">
        <f>IF(A1022="","",E1022&amp;F1022&amp;G1022)</f>
        <v/>
      </c>
      <c r="I1022">
        <f>IF(A1022="","",IF(AND(E1022&gt;=4,F1022&gt;=4,G1022&gt;=4),"Juara",IF(AND(F1022&gt;=4,E1022&gt;=3),"Setia",IF(AND(E1022=5,F1022&lt;=2,G1022&gt;=3),"Berpotensi",IF(AND(E1022&lt;=3,E1022&gt;=2,F1022&gt;=3),"Rawan",IF(AND(E1022&lt;=2,F1022&lt;=2),"Tidur","Umum"))))))</f>
        <v/>
      </c>
    </row>
    <row r="1023">
      <c r="B1023">
        <f>IF(A1023="","",$B$1-MAXIFS(Donasi!$A$2:$A$20000,Donasi!$B$2:$B$20000,A1023))</f>
        <v/>
      </c>
      <c r="C1023">
        <f>IF(A1023="","",COUNTIF(Donasi!$B$2:$B$20000,A1023))</f>
        <v/>
      </c>
      <c r="D1023">
        <f>IF(A1023="","",SUMIF(Donasi!$B$2:$B$20000,A1023,Donasi!$C$2:$C$20000))</f>
        <v/>
      </c>
      <c r="E1023">
        <f>IF(A1023="","",6-CEILING(PERCENTRANK.INC($B$3:$B$6000,B1023,4)*5+0.000001,1))</f>
        <v/>
      </c>
      <c r="F1023">
        <f>IF(A1023="","",MAX(1,CEILING(PERCENTRANK.INC($C$3:$C$6000,C1023,4)*5+0.000001,1)))</f>
        <v/>
      </c>
      <c r="G1023">
        <f>IF(A1023="","",MAX(1,CEILING(PERCENTRANK.INC($D$3:$D$6000,D1023,4)*5+0.000001,1)))</f>
        <v/>
      </c>
      <c r="H1023">
        <f>IF(A1023="","",E1023&amp;F1023&amp;G1023)</f>
        <v/>
      </c>
      <c r="I1023">
        <f>IF(A1023="","",IF(AND(E1023&gt;=4,F1023&gt;=4,G1023&gt;=4),"Juara",IF(AND(F1023&gt;=4,E1023&gt;=3),"Setia",IF(AND(E1023=5,F1023&lt;=2,G1023&gt;=3),"Berpotensi",IF(AND(E1023&lt;=3,E1023&gt;=2,F1023&gt;=3),"Rawan",IF(AND(E1023&lt;=2,F1023&lt;=2),"Tidur","Umum"))))))</f>
        <v/>
      </c>
    </row>
    <row r="1024">
      <c r="B1024">
        <f>IF(A1024="","",$B$1-MAXIFS(Donasi!$A$2:$A$20000,Donasi!$B$2:$B$20000,A1024))</f>
        <v/>
      </c>
      <c r="C1024">
        <f>IF(A1024="","",COUNTIF(Donasi!$B$2:$B$20000,A1024))</f>
        <v/>
      </c>
      <c r="D1024">
        <f>IF(A1024="","",SUMIF(Donasi!$B$2:$B$20000,A1024,Donasi!$C$2:$C$20000))</f>
        <v/>
      </c>
      <c r="E1024">
        <f>IF(A1024="","",6-CEILING(PERCENTRANK.INC($B$3:$B$6000,B1024,4)*5+0.000001,1))</f>
        <v/>
      </c>
      <c r="F1024">
        <f>IF(A1024="","",MAX(1,CEILING(PERCENTRANK.INC($C$3:$C$6000,C1024,4)*5+0.000001,1)))</f>
        <v/>
      </c>
      <c r="G1024">
        <f>IF(A1024="","",MAX(1,CEILING(PERCENTRANK.INC($D$3:$D$6000,D1024,4)*5+0.000001,1)))</f>
        <v/>
      </c>
      <c r="H1024">
        <f>IF(A1024="","",E1024&amp;F1024&amp;G1024)</f>
        <v/>
      </c>
      <c r="I1024">
        <f>IF(A1024="","",IF(AND(E1024&gt;=4,F1024&gt;=4,G1024&gt;=4),"Juara",IF(AND(F1024&gt;=4,E1024&gt;=3),"Setia",IF(AND(E1024=5,F1024&lt;=2,G1024&gt;=3),"Berpotensi",IF(AND(E1024&lt;=3,E1024&gt;=2,F1024&gt;=3),"Rawan",IF(AND(E1024&lt;=2,F1024&lt;=2),"Tidur","Umum"))))))</f>
        <v/>
      </c>
    </row>
    <row r="1025">
      <c r="B1025">
        <f>IF(A1025="","",$B$1-MAXIFS(Donasi!$A$2:$A$20000,Donasi!$B$2:$B$20000,A1025))</f>
        <v/>
      </c>
      <c r="C1025">
        <f>IF(A1025="","",COUNTIF(Donasi!$B$2:$B$20000,A1025))</f>
        <v/>
      </c>
      <c r="D1025">
        <f>IF(A1025="","",SUMIF(Donasi!$B$2:$B$20000,A1025,Donasi!$C$2:$C$20000))</f>
        <v/>
      </c>
      <c r="E1025">
        <f>IF(A1025="","",6-CEILING(PERCENTRANK.INC($B$3:$B$6000,B1025,4)*5+0.000001,1))</f>
        <v/>
      </c>
      <c r="F1025">
        <f>IF(A1025="","",MAX(1,CEILING(PERCENTRANK.INC($C$3:$C$6000,C1025,4)*5+0.000001,1)))</f>
        <v/>
      </c>
      <c r="G1025">
        <f>IF(A1025="","",MAX(1,CEILING(PERCENTRANK.INC($D$3:$D$6000,D1025,4)*5+0.000001,1)))</f>
        <v/>
      </c>
      <c r="H1025">
        <f>IF(A1025="","",E1025&amp;F1025&amp;G1025)</f>
        <v/>
      </c>
      <c r="I1025">
        <f>IF(A1025="","",IF(AND(E1025&gt;=4,F1025&gt;=4,G1025&gt;=4),"Juara",IF(AND(F1025&gt;=4,E1025&gt;=3),"Setia",IF(AND(E1025=5,F1025&lt;=2,G1025&gt;=3),"Berpotensi",IF(AND(E1025&lt;=3,E1025&gt;=2,F1025&gt;=3),"Rawan",IF(AND(E1025&lt;=2,F1025&lt;=2),"Tidur","Umum"))))))</f>
        <v/>
      </c>
    </row>
    <row r="1026">
      <c r="B1026">
        <f>IF(A1026="","",$B$1-MAXIFS(Donasi!$A$2:$A$20000,Donasi!$B$2:$B$20000,A1026))</f>
        <v/>
      </c>
      <c r="C1026">
        <f>IF(A1026="","",COUNTIF(Donasi!$B$2:$B$20000,A1026))</f>
        <v/>
      </c>
      <c r="D1026">
        <f>IF(A1026="","",SUMIF(Donasi!$B$2:$B$20000,A1026,Donasi!$C$2:$C$20000))</f>
        <v/>
      </c>
      <c r="E1026">
        <f>IF(A1026="","",6-CEILING(PERCENTRANK.INC($B$3:$B$6000,B1026,4)*5+0.000001,1))</f>
        <v/>
      </c>
      <c r="F1026">
        <f>IF(A1026="","",MAX(1,CEILING(PERCENTRANK.INC($C$3:$C$6000,C1026,4)*5+0.000001,1)))</f>
        <v/>
      </c>
      <c r="G1026">
        <f>IF(A1026="","",MAX(1,CEILING(PERCENTRANK.INC($D$3:$D$6000,D1026,4)*5+0.000001,1)))</f>
        <v/>
      </c>
      <c r="H1026">
        <f>IF(A1026="","",E1026&amp;F1026&amp;G1026)</f>
        <v/>
      </c>
      <c r="I1026">
        <f>IF(A1026="","",IF(AND(E1026&gt;=4,F1026&gt;=4,G1026&gt;=4),"Juara",IF(AND(F1026&gt;=4,E1026&gt;=3),"Setia",IF(AND(E1026=5,F1026&lt;=2,G1026&gt;=3),"Berpotensi",IF(AND(E1026&lt;=3,E1026&gt;=2,F1026&gt;=3),"Rawan",IF(AND(E1026&lt;=2,F1026&lt;=2),"Tidur","Umum"))))))</f>
        <v/>
      </c>
    </row>
    <row r="1027">
      <c r="B1027">
        <f>IF(A1027="","",$B$1-MAXIFS(Donasi!$A$2:$A$20000,Donasi!$B$2:$B$20000,A1027))</f>
        <v/>
      </c>
      <c r="C1027">
        <f>IF(A1027="","",COUNTIF(Donasi!$B$2:$B$20000,A1027))</f>
        <v/>
      </c>
      <c r="D1027">
        <f>IF(A1027="","",SUMIF(Donasi!$B$2:$B$20000,A1027,Donasi!$C$2:$C$20000))</f>
        <v/>
      </c>
      <c r="E1027">
        <f>IF(A1027="","",6-CEILING(PERCENTRANK.INC($B$3:$B$6000,B1027,4)*5+0.000001,1))</f>
        <v/>
      </c>
      <c r="F1027">
        <f>IF(A1027="","",MAX(1,CEILING(PERCENTRANK.INC($C$3:$C$6000,C1027,4)*5+0.000001,1)))</f>
        <v/>
      </c>
      <c r="G1027">
        <f>IF(A1027="","",MAX(1,CEILING(PERCENTRANK.INC($D$3:$D$6000,D1027,4)*5+0.000001,1)))</f>
        <v/>
      </c>
      <c r="H1027">
        <f>IF(A1027="","",E1027&amp;F1027&amp;G1027)</f>
        <v/>
      </c>
      <c r="I1027">
        <f>IF(A1027="","",IF(AND(E1027&gt;=4,F1027&gt;=4,G1027&gt;=4),"Juara",IF(AND(F1027&gt;=4,E1027&gt;=3),"Setia",IF(AND(E1027=5,F1027&lt;=2,G1027&gt;=3),"Berpotensi",IF(AND(E1027&lt;=3,E1027&gt;=2,F1027&gt;=3),"Rawan",IF(AND(E1027&lt;=2,F1027&lt;=2),"Tidur","Umum"))))))</f>
        <v/>
      </c>
    </row>
    <row r="1028">
      <c r="B1028">
        <f>IF(A1028="","",$B$1-MAXIFS(Donasi!$A$2:$A$20000,Donasi!$B$2:$B$20000,A1028))</f>
        <v/>
      </c>
      <c r="C1028">
        <f>IF(A1028="","",COUNTIF(Donasi!$B$2:$B$20000,A1028))</f>
        <v/>
      </c>
      <c r="D1028">
        <f>IF(A1028="","",SUMIF(Donasi!$B$2:$B$20000,A1028,Donasi!$C$2:$C$20000))</f>
        <v/>
      </c>
      <c r="E1028">
        <f>IF(A1028="","",6-CEILING(PERCENTRANK.INC($B$3:$B$6000,B1028,4)*5+0.000001,1))</f>
        <v/>
      </c>
      <c r="F1028">
        <f>IF(A1028="","",MAX(1,CEILING(PERCENTRANK.INC($C$3:$C$6000,C1028,4)*5+0.000001,1)))</f>
        <v/>
      </c>
      <c r="G1028">
        <f>IF(A1028="","",MAX(1,CEILING(PERCENTRANK.INC($D$3:$D$6000,D1028,4)*5+0.000001,1)))</f>
        <v/>
      </c>
      <c r="H1028">
        <f>IF(A1028="","",E1028&amp;F1028&amp;G1028)</f>
        <v/>
      </c>
      <c r="I1028">
        <f>IF(A1028="","",IF(AND(E1028&gt;=4,F1028&gt;=4,G1028&gt;=4),"Juara",IF(AND(F1028&gt;=4,E1028&gt;=3),"Setia",IF(AND(E1028=5,F1028&lt;=2,G1028&gt;=3),"Berpotensi",IF(AND(E1028&lt;=3,E1028&gt;=2,F1028&gt;=3),"Rawan",IF(AND(E1028&lt;=2,F1028&lt;=2),"Tidur","Umum"))))))</f>
        <v/>
      </c>
    </row>
    <row r="1029">
      <c r="B1029">
        <f>IF(A1029="","",$B$1-MAXIFS(Donasi!$A$2:$A$20000,Donasi!$B$2:$B$20000,A1029))</f>
        <v/>
      </c>
      <c r="C1029">
        <f>IF(A1029="","",COUNTIF(Donasi!$B$2:$B$20000,A1029))</f>
        <v/>
      </c>
      <c r="D1029">
        <f>IF(A1029="","",SUMIF(Donasi!$B$2:$B$20000,A1029,Donasi!$C$2:$C$20000))</f>
        <v/>
      </c>
      <c r="E1029">
        <f>IF(A1029="","",6-CEILING(PERCENTRANK.INC($B$3:$B$6000,B1029,4)*5+0.000001,1))</f>
        <v/>
      </c>
      <c r="F1029">
        <f>IF(A1029="","",MAX(1,CEILING(PERCENTRANK.INC($C$3:$C$6000,C1029,4)*5+0.000001,1)))</f>
        <v/>
      </c>
      <c r="G1029">
        <f>IF(A1029="","",MAX(1,CEILING(PERCENTRANK.INC($D$3:$D$6000,D1029,4)*5+0.000001,1)))</f>
        <v/>
      </c>
      <c r="H1029">
        <f>IF(A1029="","",E1029&amp;F1029&amp;G1029)</f>
        <v/>
      </c>
      <c r="I1029">
        <f>IF(A1029="","",IF(AND(E1029&gt;=4,F1029&gt;=4,G1029&gt;=4),"Juara",IF(AND(F1029&gt;=4,E1029&gt;=3),"Setia",IF(AND(E1029=5,F1029&lt;=2,G1029&gt;=3),"Berpotensi",IF(AND(E1029&lt;=3,E1029&gt;=2,F1029&gt;=3),"Rawan",IF(AND(E1029&lt;=2,F1029&lt;=2),"Tidur","Umum"))))))</f>
        <v/>
      </c>
    </row>
    <row r="1030">
      <c r="B1030">
        <f>IF(A1030="","",$B$1-MAXIFS(Donasi!$A$2:$A$20000,Donasi!$B$2:$B$20000,A1030))</f>
        <v/>
      </c>
      <c r="C1030">
        <f>IF(A1030="","",COUNTIF(Donasi!$B$2:$B$20000,A1030))</f>
        <v/>
      </c>
      <c r="D1030">
        <f>IF(A1030="","",SUMIF(Donasi!$B$2:$B$20000,A1030,Donasi!$C$2:$C$20000))</f>
        <v/>
      </c>
      <c r="E1030">
        <f>IF(A1030="","",6-CEILING(PERCENTRANK.INC($B$3:$B$6000,B1030,4)*5+0.000001,1))</f>
        <v/>
      </c>
      <c r="F1030">
        <f>IF(A1030="","",MAX(1,CEILING(PERCENTRANK.INC($C$3:$C$6000,C1030,4)*5+0.000001,1)))</f>
        <v/>
      </c>
      <c r="G1030">
        <f>IF(A1030="","",MAX(1,CEILING(PERCENTRANK.INC($D$3:$D$6000,D1030,4)*5+0.000001,1)))</f>
        <v/>
      </c>
      <c r="H1030">
        <f>IF(A1030="","",E1030&amp;F1030&amp;G1030)</f>
        <v/>
      </c>
      <c r="I1030">
        <f>IF(A1030="","",IF(AND(E1030&gt;=4,F1030&gt;=4,G1030&gt;=4),"Juara",IF(AND(F1030&gt;=4,E1030&gt;=3),"Setia",IF(AND(E1030=5,F1030&lt;=2,G1030&gt;=3),"Berpotensi",IF(AND(E1030&lt;=3,E1030&gt;=2,F1030&gt;=3),"Rawan",IF(AND(E1030&lt;=2,F1030&lt;=2),"Tidur","Umum"))))))</f>
        <v/>
      </c>
    </row>
    <row r="1031">
      <c r="B1031">
        <f>IF(A1031="","",$B$1-MAXIFS(Donasi!$A$2:$A$20000,Donasi!$B$2:$B$20000,A1031))</f>
        <v/>
      </c>
      <c r="C1031">
        <f>IF(A1031="","",COUNTIF(Donasi!$B$2:$B$20000,A1031))</f>
        <v/>
      </c>
      <c r="D1031">
        <f>IF(A1031="","",SUMIF(Donasi!$B$2:$B$20000,A1031,Donasi!$C$2:$C$20000))</f>
        <v/>
      </c>
      <c r="E1031">
        <f>IF(A1031="","",6-CEILING(PERCENTRANK.INC($B$3:$B$6000,B1031,4)*5+0.000001,1))</f>
        <v/>
      </c>
      <c r="F1031">
        <f>IF(A1031="","",MAX(1,CEILING(PERCENTRANK.INC($C$3:$C$6000,C1031,4)*5+0.000001,1)))</f>
        <v/>
      </c>
      <c r="G1031">
        <f>IF(A1031="","",MAX(1,CEILING(PERCENTRANK.INC($D$3:$D$6000,D1031,4)*5+0.000001,1)))</f>
        <v/>
      </c>
      <c r="H1031">
        <f>IF(A1031="","",E1031&amp;F1031&amp;G1031)</f>
        <v/>
      </c>
      <c r="I1031">
        <f>IF(A1031="","",IF(AND(E1031&gt;=4,F1031&gt;=4,G1031&gt;=4),"Juara",IF(AND(F1031&gt;=4,E1031&gt;=3),"Setia",IF(AND(E1031=5,F1031&lt;=2,G1031&gt;=3),"Berpotensi",IF(AND(E1031&lt;=3,E1031&gt;=2,F1031&gt;=3),"Rawan",IF(AND(E1031&lt;=2,F1031&lt;=2),"Tidur","Umum"))))))</f>
        <v/>
      </c>
    </row>
    <row r="1032">
      <c r="B1032">
        <f>IF(A1032="","",$B$1-MAXIFS(Donasi!$A$2:$A$20000,Donasi!$B$2:$B$20000,A1032))</f>
        <v/>
      </c>
      <c r="C1032">
        <f>IF(A1032="","",COUNTIF(Donasi!$B$2:$B$20000,A1032))</f>
        <v/>
      </c>
      <c r="D1032">
        <f>IF(A1032="","",SUMIF(Donasi!$B$2:$B$20000,A1032,Donasi!$C$2:$C$20000))</f>
        <v/>
      </c>
      <c r="E1032">
        <f>IF(A1032="","",6-CEILING(PERCENTRANK.INC($B$3:$B$6000,B1032,4)*5+0.000001,1))</f>
        <v/>
      </c>
      <c r="F1032">
        <f>IF(A1032="","",MAX(1,CEILING(PERCENTRANK.INC($C$3:$C$6000,C1032,4)*5+0.000001,1)))</f>
        <v/>
      </c>
      <c r="G1032">
        <f>IF(A1032="","",MAX(1,CEILING(PERCENTRANK.INC($D$3:$D$6000,D1032,4)*5+0.000001,1)))</f>
        <v/>
      </c>
      <c r="H1032">
        <f>IF(A1032="","",E1032&amp;F1032&amp;G1032)</f>
        <v/>
      </c>
      <c r="I1032">
        <f>IF(A1032="","",IF(AND(E1032&gt;=4,F1032&gt;=4,G1032&gt;=4),"Juara",IF(AND(F1032&gt;=4,E1032&gt;=3),"Setia",IF(AND(E1032=5,F1032&lt;=2,G1032&gt;=3),"Berpotensi",IF(AND(E1032&lt;=3,E1032&gt;=2,F1032&gt;=3),"Rawan",IF(AND(E1032&lt;=2,F1032&lt;=2),"Tidur","Umum"))))))</f>
        <v/>
      </c>
    </row>
    <row r="1033">
      <c r="B1033">
        <f>IF(A1033="","",$B$1-MAXIFS(Donasi!$A$2:$A$20000,Donasi!$B$2:$B$20000,A1033))</f>
        <v/>
      </c>
      <c r="C1033">
        <f>IF(A1033="","",COUNTIF(Donasi!$B$2:$B$20000,A1033))</f>
        <v/>
      </c>
      <c r="D1033">
        <f>IF(A1033="","",SUMIF(Donasi!$B$2:$B$20000,A1033,Donasi!$C$2:$C$20000))</f>
        <v/>
      </c>
      <c r="E1033">
        <f>IF(A1033="","",6-CEILING(PERCENTRANK.INC($B$3:$B$6000,B1033,4)*5+0.000001,1))</f>
        <v/>
      </c>
      <c r="F1033">
        <f>IF(A1033="","",MAX(1,CEILING(PERCENTRANK.INC($C$3:$C$6000,C1033,4)*5+0.000001,1)))</f>
        <v/>
      </c>
      <c r="G1033">
        <f>IF(A1033="","",MAX(1,CEILING(PERCENTRANK.INC($D$3:$D$6000,D1033,4)*5+0.000001,1)))</f>
        <v/>
      </c>
      <c r="H1033">
        <f>IF(A1033="","",E1033&amp;F1033&amp;G1033)</f>
        <v/>
      </c>
      <c r="I1033">
        <f>IF(A1033="","",IF(AND(E1033&gt;=4,F1033&gt;=4,G1033&gt;=4),"Juara",IF(AND(F1033&gt;=4,E1033&gt;=3),"Setia",IF(AND(E1033=5,F1033&lt;=2,G1033&gt;=3),"Berpotensi",IF(AND(E1033&lt;=3,E1033&gt;=2,F1033&gt;=3),"Rawan",IF(AND(E1033&lt;=2,F1033&lt;=2),"Tidur","Umum"))))))</f>
        <v/>
      </c>
    </row>
    <row r="1034">
      <c r="B1034">
        <f>IF(A1034="","",$B$1-MAXIFS(Donasi!$A$2:$A$20000,Donasi!$B$2:$B$20000,A1034))</f>
        <v/>
      </c>
      <c r="C1034">
        <f>IF(A1034="","",COUNTIF(Donasi!$B$2:$B$20000,A1034))</f>
        <v/>
      </c>
      <c r="D1034">
        <f>IF(A1034="","",SUMIF(Donasi!$B$2:$B$20000,A1034,Donasi!$C$2:$C$20000))</f>
        <v/>
      </c>
      <c r="E1034">
        <f>IF(A1034="","",6-CEILING(PERCENTRANK.INC($B$3:$B$6000,B1034,4)*5+0.000001,1))</f>
        <v/>
      </c>
      <c r="F1034">
        <f>IF(A1034="","",MAX(1,CEILING(PERCENTRANK.INC($C$3:$C$6000,C1034,4)*5+0.000001,1)))</f>
        <v/>
      </c>
      <c r="G1034">
        <f>IF(A1034="","",MAX(1,CEILING(PERCENTRANK.INC($D$3:$D$6000,D1034,4)*5+0.000001,1)))</f>
        <v/>
      </c>
      <c r="H1034">
        <f>IF(A1034="","",E1034&amp;F1034&amp;G1034)</f>
        <v/>
      </c>
      <c r="I1034">
        <f>IF(A1034="","",IF(AND(E1034&gt;=4,F1034&gt;=4,G1034&gt;=4),"Juara",IF(AND(F1034&gt;=4,E1034&gt;=3),"Setia",IF(AND(E1034=5,F1034&lt;=2,G1034&gt;=3),"Berpotensi",IF(AND(E1034&lt;=3,E1034&gt;=2,F1034&gt;=3),"Rawan",IF(AND(E1034&lt;=2,F1034&lt;=2),"Tidur","Umum"))))))</f>
        <v/>
      </c>
    </row>
    <row r="1035">
      <c r="B1035">
        <f>IF(A1035="","",$B$1-MAXIFS(Donasi!$A$2:$A$20000,Donasi!$B$2:$B$20000,A1035))</f>
        <v/>
      </c>
      <c r="C1035">
        <f>IF(A1035="","",COUNTIF(Donasi!$B$2:$B$20000,A1035))</f>
        <v/>
      </c>
      <c r="D1035">
        <f>IF(A1035="","",SUMIF(Donasi!$B$2:$B$20000,A1035,Donasi!$C$2:$C$20000))</f>
        <v/>
      </c>
      <c r="E1035">
        <f>IF(A1035="","",6-CEILING(PERCENTRANK.INC($B$3:$B$6000,B1035,4)*5+0.000001,1))</f>
        <v/>
      </c>
      <c r="F1035">
        <f>IF(A1035="","",MAX(1,CEILING(PERCENTRANK.INC($C$3:$C$6000,C1035,4)*5+0.000001,1)))</f>
        <v/>
      </c>
      <c r="G1035">
        <f>IF(A1035="","",MAX(1,CEILING(PERCENTRANK.INC($D$3:$D$6000,D1035,4)*5+0.000001,1)))</f>
        <v/>
      </c>
      <c r="H1035">
        <f>IF(A1035="","",E1035&amp;F1035&amp;G1035)</f>
        <v/>
      </c>
      <c r="I1035">
        <f>IF(A1035="","",IF(AND(E1035&gt;=4,F1035&gt;=4,G1035&gt;=4),"Juara",IF(AND(F1035&gt;=4,E1035&gt;=3),"Setia",IF(AND(E1035=5,F1035&lt;=2,G1035&gt;=3),"Berpotensi",IF(AND(E1035&lt;=3,E1035&gt;=2,F1035&gt;=3),"Rawan",IF(AND(E1035&lt;=2,F1035&lt;=2),"Tidur","Umum"))))))</f>
        <v/>
      </c>
    </row>
    <row r="1036">
      <c r="B1036">
        <f>IF(A1036="","",$B$1-MAXIFS(Donasi!$A$2:$A$20000,Donasi!$B$2:$B$20000,A1036))</f>
        <v/>
      </c>
      <c r="C1036">
        <f>IF(A1036="","",COUNTIF(Donasi!$B$2:$B$20000,A1036))</f>
        <v/>
      </c>
      <c r="D1036">
        <f>IF(A1036="","",SUMIF(Donasi!$B$2:$B$20000,A1036,Donasi!$C$2:$C$20000))</f>
        <v/>
      </c>
      <c r="E1036">
        <f>IF(A1036="","",6-CEILING(PERCENTRANK.INC($B$3:$B$6000,B1036,4)*5+0.000001,1))</f>
        <v/>
      </c>
      <c r="F1036">
        <f>IF(A1036="","",MAX(1,CEILING(PERCENTRANK.INC($C$3:$C$6000,C1036,4)*5+0.000001,1)))</f>
        <v/>
      </c>
      <c r="G1036">
        <f>IF(A1036="","",MAX(1,CEILING(PERCENTRANK.INC($D$3:$D$6000,D1036,4)*5+0.000001,1)))</f>
        <v/>
      </c>
      <c r="H1036">
        <f>IF(A1036="","",E1036&amp;F1036&amp;G1036)</f>
        <v/>
      </c>
      <c r="I1036">
        <f>IF(A1036="","",IF(AND(E1036&gt;=4,F1036&gt;=4,G1036&gt;=4),"Juara",IF(AND(F1036&gt;=4,E1036&gt;=3),"Setia",IF(AND(E1036=5,F1036&lt;=2,G1036&gt;=3),"Berpotensi",IF(AND(E1036&lt;=3,E1036&gt;=2,F1036&gt;=3),"Rawan",IF(AND(E1036&lt;=2,F1036&lt;=2),"Tidur","Umum"))))))</f>
        <v/>
      </c>
    </row>
    <row r="1037">
      <c r="B1037">
        <f>IF(A1037="","",$B$1-MAXIFS(Donasi!$A$2:$A$20000,Donasi!$B$2:$B$20000,A1037))</f>
        <v/>
      </c>
      <c r="C1037">
        <f>IF(A1037="","",COUNTIF(Donasi!$B$2:$B$20000,A1037))</f>
        <v/>
      </c>
      <c r="D1037">
        <f>IF(A1037="","",SUMIF(Donasi!$B$2:$B$20000,A1037,Donasi!$C$2:$C$20000))</f>
        <v/>
      </c>
      <c r="E1037">
        <f>IF(A1037="","",6-CEILING(PERCENTRANK.INC($B$3:$B$6000,B1037,4)*5+0.000001,1))</f>
        <v/>
      </c>
      <c r="F1037">
        <f>IF(A1037="","",MAX(1,CEILING(PERCENTRANK.INC($C$3:$C$6000,C1037,4)*5+0.000001,1)))</f>
        <v/>
      </c>
      <c r="G1037">
        <f>IF(A1037="","",MAX(1,CEILING(PERCENTRANK.INC($D$3:$D$6000,D1037,4)*5+0.000001,1)))</f>
        <v/>
      </c>
      <c r="H1037">
        <f>IF(A1037="","",E1037&amp;F1037&amp;G1037)</f>
        <v/>
      </c>
      <c r="I1037">
        <f>IF(A1037="","",IF(AND(E1037&gt;=4,F1037&gt;=4,G1037&gt;=4),"Juara",IF(AND(F1037&gt;=4,E1037&gt;=3),"Setia",IF(AND(E1037=5,F1037&lt;=2,G1037&gt;=3),"Berpotensi",IF(AND(E1037&lt;=3,E1037&gt;=2,F1037&gt;=3),"Rawan",IF(AND(E1037&lt;=2,F1037&lt;=2),"Tidur","Umum"))))))</f>
        <v/>
      </c>
    </row>
    <row r="1038">
      <c r="B1038">
        <f>IF(A1038="","",$B$1-MAXIFS(Donasi!$A$2:$A$20000,Donasi!$B$2:$B$20000,A1038))</f>
        <v/>
      </c>
      <c r="C1038">
        <f>IF(A1038="","",COUNTIF(Donasi!$B$2:$B$20000,A1038))</f>
        <v/>
      </c>
      <c r="D1038">
        <f>IF(A1038="","",SUMIF(Donasi!$B$2:$B$20000,A1038,Donasi!$C$2:$C$20000))</f>
        <v/>
      </c>
      <c r="E1038">
        <f>IF(A1038="","",6-CEILING(PERCENTRANK.INC($B$3:$B$6000,B1038,4)*5+0.000001,1))</f>
        <v/>
      </c>
      <c r="F1038">
        <f>IF(A1038="","",MAX(1,CEILING(PERCENTRANK.INC($C$3:$C$6000,C1038,4)*5+0.000001,1)))</f>
        <v/>
      </c>
      <c r="G1038">
        <f>IF(A1038="","",MAX(1,CEILING(PERCENTRANK.INC($D$3:$D$6000,D1038,4)*5+0.000001,1)))</f>
        <v/>
      </c>
      <c r="H1038">
        <f>IF(A1038="","",E1038&amp;F1038&amp;G1038)</f>
        <v/>
      </c>
      <c r="I1038">
        <f>IF(A1038="","",IF(AND(E1038&gt;=4,F1038&gt;=4,G1038&gt;=4),"Juara",IF(AND(F1038&gt;=4,E1038&gt;=3),"Setia",IF(AND(E1038=5,F1038&lt;=2,G1038&gt;=3),"Berpotensi",IF(AND(E1038&lt;=3,E1038&gt;=2,F1038&gt;=3),"Rawan",IF(AND(E1038&lt;=2,F1038&lt;=2),"Tidur","Umum"))))))</f>
        <v/>
      </c>
    </row>
    <row r="1039">
      <c r="B1039">
        <f>IF(A1039="","",$B$1-MAXIFS(Donasi!$A$2:$A$20000,Donasi!$B$2:$B$20000,A1039))</f>
        <v/>
      </c>
      <c r="C1039">
        <f>IF(A1039="","",COUNTIF(Donasi!$B$2:$B$20000,A1039))</f>
        <v/>
      </c>
      <c r="D1039">
        <f>IF(A1039="","",SUMIF(Donasi!$B$2:$B$20000,A1039,Donasi!$C$2:$C$20000))</f>
        <v/>
      </c>
      <c r="E1039">
        <f>IF(A1039="","",6-CEILING(PERCENTRANK.INC($B$3:$B$6000,B1039,4)*5+0.000001,1))</f>
        <v/>
      </c>
      <c r="F1039">
        <f>IF(A1039="","",MAX(1,CEILING(PERCENTRANK.INC($C$3:$C$6000,C1039,4)*5+0.000001,1)))</f>
        <v/>
      </c>
      <c r="G1039">
        <f>IF(A1039="","",MAX(1,CEILING(PERCENTRANK.INC($D$3:$D$6000,D1039,4)*5+0.000001,1)))</f>
        <v/>
      </c>
      <c r="H1039">
        <f>IF(A1039="","",E1039&amp;F1039&amp;G1039)</f>
        <v/>
      </c>
      <c r="I1039">
        <f>IF(A1039="","",IF(AND(E1039&gt;=4,F1039&gt;=4,G1039&gt;=4),"Juara",IF(AND(F1039&gt;=4,E1039&gt;=3),"Setia",IF(AND(E1039=5,F1039&lt;=2,G1039&gt;=3),"Berpotensi",IF(AND(E1039&lt;=3,E1039&gt;=2,F1039&gt;=3),"Rawan",IF(AND(E1039&lt;=2,F1039&lt;=2),"Tidur","Umum"))))))</f>
        <v/>
      </c>
    </row>
    <row r="1040">
      <c r="B1040">
        <f>IF(A1040="","",$B$1-MAXIFS(Donasi!$A$2:$A$20000,Donasi!$B$2:$B$20000,A1040))</f>
        <v/>
      </c>
      <c r="C1040">
        <f>IF(A1040="","",COUNTIF(Donasi!$B$2:$B$20000,A1040))</f>
        <v/>
      </c>
      <c r="D1040">
        <f>IF(A1040="","",SUMIF(Donasi!$B$2:$B$20000,A1040,Donasi!$C$2:$C$20000))</f>
        <v/>
      </c>
      <c r="E1040">
        <f>IF(A1040="","",6-CEILING(PERCENTRANK.INC($B$3:$B$6000,B1040,4)*5+0.000001,1))</f>
        <v/>
      </c>
      <c r="F1040">
        <f>IF(A1040="","",MAX(1,CEILING(PERCENTRANK.INC($C$3:$C$6000,C1040,4)*5+0.000001,1)))</f>
        <v/>
      </c>
      <c r="G1040">
        <f>IF(A1040="","",MAX(1,CEILING(PERCENTRANK.INC($D$3:$D$6000,D1040,4)*5+0.000001,1)))</f>
        <v/>
      </c>
      <c r="H1040">
        <f>IF(A1040="","",E1040&amp;F1040&amp;G1040)</f>
        <v/>
      </c>
      <c r="I1040">
        <f>IF(A1040="","",IF(AND(E1040&gt;=4,F1040&gt;=4,G1040&gt;=4),"Juara",IF(AND(F1040&gt;=4,E1040&gt;=3),"Setia",IF(AND(E1040=5,F1040&lt;=2,G1040&gt;=3),"Berpotensi",IF(AND(E1040&lt;=3,E1040&gt;=2,F1040&gt;=3),"Rawan",IF(AND(E1040&lt;=2,F1040&lt;=2),"Tidur","Umum"))))))</f>
        <v/>
      </c>
    </row>
    <row r="1041">
      <c r="B1041">
        <f>IF(A1041="","",$B$1-MAXIFS(Donasi!$A$2:$A$20000,Donasi!$B$2:$B$20000,A1041))</f>
        <v/>
      </c>
      <c r="C1041">
        <f>IF(A1041="","",COUNTIF(Donasi!$B$2:$B$20000,A1041))</f>
        <v/>
      </c>
      <c r="D1041">
        <f>IF(A1041="","",SUMIF(Donasi!$B$2:$B$20000,A1041,Donasi!$C$2:$C$20000))</f>
        <v/>
      </c>
      <c r="E1041">
        <f>IF(A1041="","",6-CEILING(PERCENTRANK.INC($B$3:$B$6000,B1041,4)*5+0.000001,1))</f>
        <v/>
      </c>
      <c r="F1041">
        <f>IF(A1041="","",MAX(1,CEILING(PERCENTRANK.INC($C$3:$C$6000,C1041,4)*5+0.000001,1)))</f>
        <v/>
      </c>
      <c r="G1041">
        <f>IF(A1041="","",MAX(1,CEILING(PERCENTRANK.INC($D$3:$D$6000,D1041,4)*5+0.000001,1)))</f>
        <v/>
      </c>
      <c r="H1041">
        <f>IF(A1041="","",E1041&amp;F1041&amp;G1041)</f>
        <v/>
      </c>
      <c r="I1041">
        <f>IF(A1041="","",IF(AND(E1041&gt;=4,F1041&gt;=4,G1041&gt;=4),"Juara",IF(AND(F1041&gt;=4,E1041&gt;=3),"Setia",IF(AND(E1041=5,F1041&lt;=2,G1041&gt;=3),"Berpotensi",IF(AND(E1041&lt;=3,E1041&gt;=2,F1041&gt;=3),"Rawan",IF(AND(E1041&lt;=2,F1041&lt;=2),"Tidur","Umum"))))))</f>
        <v/>
      </c>
    </row>
    <row r="1042">
      <c r="B1042">
        <f>IF(A1042="","",$B$1-MAXIFS(Donasi!$A$2:$A$20000,Donasi!$B$2:$B$20000,A1042))</f>
        <v/>
      </c>
      <c r="C1042">
        <f>IF(A1042="","",COUNTIF(Donasi!$B$2:$B$20000,A1042))</f>
        <v/>
      </c>
      <c r="D1042">
        <f>IF(A1042="","",SUMIF(Donasi!$B$2:$B$20000,A1042,Donasi!$C$2:$C$20000))</f>
        <v/>
      </c>
      <c r="E1042">
        <f>IF(A1042="","",6-CEILING(PERCENTRANK.INC($B$3:$B$6000,B1042,4)*5+0.000001,1))</f>
        <v/>
      </c>
      <c r="F1042">
        <f>IF(A1042="","",MAX(1,CEILING(PERCENTRANK.INC($C$3:$C$6000,C1042,4)*5+0.000001,1)))</f>
        <v/>
      </c>
      <c r="G1042">
        <f>IF(A1042="","",MAX(1,CEILING(PERCENTRANK.INC($D$3:$D$6000,D1042,4)*5+0.000001,1)))</f>
        <v/>
      </c>
      <c r="H1042">
        <f>IF(A1042="","",E1042&amp;F1042&amp;G1042)</f>
        <v/>
      </c>
      <c r="I1042">
        <f>IF(A1042="","",IF(AND(E1042&gt;=4,F1042&gt;=4,G1042&gt;=4),"Juara",IF(AND(F1042&gt;=4,E1042&gt;=3),"Setia",IF(AND(E1042=5,F1042&lt;=2,G1042&gt;=3),"Berpotensi",IF(AND(E1042&lt;=3,E1042&gt;=2,F1042&gt;=3),"Rawan",IF(AND(E1042&lt;=2,F1042&lt;=2),"Tidur","Umum"))))))</f>
        <v/>
      </c>
    </row>
    <row r="1043">
      <c r="B1043">
        <f>IF(A1043="","",$B$1-MAXIFS(Donasi!$A$2:$A$20000,Donasi!$B$2:$B$20000,A1043))</f>
        <v/>
      </c>
      <c r="C1043">
        <f>IF(A1043="","",COUNTIF(Donasi!$B$2:$B$20000,A1043))</f>
        <v/>
      </c>
      <c r="D1043">
        <f>IF(A1043="","",SUMIF(Donasi!$B$2:$B$20000,A1043,Donasi!$C$2:$C$20000))</f>
        <v/>
      </c>
      <c r="E1043">
        <f>IF(A1043="","",6-CEILING(PERCENTRANK.INC($B$3:$B$6000,B1043,4)*5+0.000001,1))</f>
        <v/>
      </c>
      <c r="F1043">
        <f>IF(A1043="","",MAX(1,CEILING(PERCENTRANK.INC($C$3:$C$6000,C1043,4)*5+0.000001,1)))</f>
        <v/>
      </c>
      <c r="G1043">
        <f>IF(A1043="","",MAX(1,CEILING(PERCENTRANK.INC($D$3:$D$6000,D1043,4)*5+0.000001,1)))</f>
        <v/>
      </c>
      <c r="H1043">
        <f>IF(A1043="","",E1043&amp;F1043&amp;G1043)</f>
        <v/>
      </c>
      <c r="I1043">
        <f>IF(A1043="","",IF(AND(E1043&gt;=4,F1043&gt;=4,G1043&gt;=4),"Juara",IF(AND(F1043&gt;=4,E1043&gt;=3),"Setia",IF(AND(E1043=5,F1043&lt;=2,G1043&gt;=3),"Berpotensi",IF(AND(E1043&lt;=3,E1043&gt;=2,F1043&gt;=3),"Rawan",IF(AND(E1043&lt;=2,F1043&lt;=2),"Tidur","Umum"))))))</f>
        <v/>
      </c>
    </row>
    <row r="1044">
      <c r="B1044">
        <f>IF(A1044="","",$B$1-MAXIFS(Donasi!$A$2:$A$20000,Donasi!$B$2:$B$20000,A1044))</f>
        <v/>
      </c>
      <c r="C1044">
        <f>IF(A1044="","",COUNTIF(Donasi!$B$2:$B$20000,A1044))</f>
        <v/>
      </c>
      <c r="D1044">
        <f>IF(A1044="","",SUMIF(Donasi!$B$2:$B$20000,A1044,Donasi!$C$2:$C$20000))</f>
        <v/>
      </c>
      <c r="E1044">
        <f>IF(A1044="","",6-CEILING(PERCENTRANK.INC($B$3:$B$6000,B1044,4)*5+0.000001,1))</f>
        <v/>
      </c>
      <c r="F1044">
        <f>IF(A1044="","",MAX(1,CEILING(PERCENTRANK.INC($C$3:$C$6000,C1044,4)*5+0.000001,1)))</f>
        <v/>
      </c>
      <c r="G1044">
        <f>IF(A1044="","",MAX(1,CEILING(PERCENTRANK.INC($D$3:$D$6000,D1044,4)*5+0.000001,1)))</f>
        <v/>
      </c>
      <c r="H1044">
        <f>IF(A1044="","",E1044&amp;F1044&amp;G1044)</f>
        <v/>
      </c>
      <c r="I1044">
        <f>IF(A1044="","",IF(AND(E1044&gt;=4,F1044&gt;=4,G1044&gt;=4),"Juara",IF(AND(F1044&gt;=4,E1044&gt;=3),"Setia",IF(AND(E1044=5,F1044&lt;=2,G1044&gt;=3),"Berpotensi",IF(AND(E1044&lt;=3,E1044&gt;=2,F1044&gt;=3),"Rawan",IF(AND(E1044&lt;=2,F1044&lt;=2),"Tidur","Umum"))))))</f>
        <v/>
      </c>
    </row>
    <row r="1045">
      <c r="B1045">
        <f>IF(A1045="","",$B$1-MAXIFS(Donasi!$A$2:$A$20000,Donasi!$B$2:$B$20000,A1045))</f>
        <v/>
      </c>
      <c r="C1045">
        <f>IF(A1045="","",COUNTIF(Donasi!$B$2:$B$20000,A1045))</f>
        <v/>
      </c>
      <c r="D1045">
        <f>IF(A1045="","",SUMIF(Donasi!$B$2:$B$20000,A1045,Donasi!$C$2:$C$20000))</f>
        <v/>
      </c>
      <c r="E1045">
        <f>IF(A1045="","",6-CEILING(PERCENTRANK.INC($B$3:$B$6000,B1045,4)*5+0.000001,1))</f>
        <v/>
      </c>
      <c r="F1045">
        <f>IF(A1045="","",MAX(1,CEILING(PERCENTRANK.INC($C$3:$C$6000,C1045,4)*5+0.000001,1)))</f>
        <v/>
      </c>
      <c r="G1045">
        <f>IF(A1045="","",MAX(1,CEILING(PERCENTRANK.INC($D$3:$D$6000,D1045,4)*5+0.000001,1)))</f>
        <v/>
      </c>
      <c r="H1045">
        <f>IF(A1045="","",E1045&amp;F1045&amp;G1045)</f>
        <v/>
      </c>
      <c r="I1045">
        <f>IF(A1045="","",IF(AND(E1045&gt;=4,F1045&gt;=4,G1045&gt;=4),"Juara",IF(AND(F1045&gt;=4,E1045&gt;=3),"Setia",IF(AND(E1045=5,F1045&lt;=2,G1045&gt;=3),"Berpotensi",IF(AND(E1045&lt;=3,E1045&gt;=2,F1045&gt;=3),"Rawan",IF(AND(E1045&lt;=2,F1045&lt;=2),"Tidur","Umum"))))))</f>
        <v/>
      </c>
    </row>
    <row r="1046">
      <c r="B1046">
        <f>IF(A1046="","",$B$1-MAXIFS(Donasi!$A$2:$A$20000,Donasi!$B$2:$B$20000,A1046))</f>
        <v/>
      </c>
      <c r="C1046">
        <f>IF(A1046="","",COUNTIF(Donasi!$B$2:$B$20000,A1046))</f>
        <v/>
      </c>
      <c r="D1046">
        <f>IF(A1046="","",SUMIF(Donasi!$B$2:$B$20000,A1046,Donasi!$C$2:$C$20000))</f>
        <v/>
      </c>
      <c r="E1046">
        <f>IF(A1046="","",6-CEILING(PERCENTRANK.INC($B$3:$B$6000,B1046,4)*5+0.000001,1))</f>
        <v/>
      </c>
      <c r="F1046">
        <f>IF(A1046="","",MAX(1,CEILING(PERCENTRANK.INC($C$3:$C$6000,C1046,4)*5+0.000001,1)))</f>
        <v/>
      </c>
      <c r="G1046">
        <f>IF(A1046="","",MAX(1,CEILING(PERCENTRANK.INC($D$3:$D$6000,D1046,4)*5+0.000001,1)))</f>
        <v/>
      </c>
      <c r="H1046">
        <f>IF(A1046="","",E1046&amp;F1046&amp;G1046)</f>
        <v/>
      </c>
      <c r="I1046">
        <f>IF(A1046="","",IF(AND(E1046&gt;=4,F1046&gt;=4,G1046&gt;=4),"Juara",IF(AND(F1046&gt;=4,E1046&gt;=3),"Setia",IF(AND(E1046=5,F1046&lt;=2,G1046&gt;=3),"Berpotensi",IF(AND(E1046&lt;=3,E1046&gt;=2,F1046&gt;=3),"Rawan",IF(AND(E1046&lt;=2,F1046&lt;=2),"Tidur","Umum"))))))</f>
        <v/>
      </c>
    </row>
    <row r="1047">
      <c r="B1047">
        <f>IF(A1047="","",$B$1-MAXIFS(Donasi!$A$2:$A$20000,Donasi!$B$2:$B$20000,A1047))</f>
        <v/>
      </c>
      <c r="C1047">
        <f>IF(A1047="","",COUNTIF(Donasi!$B$2:$B$20000,A1047))</f>
        <v/>
      </c>
      <c r="D1047">
        <f>IF(A1047="","",SUMIF(Donasi!$B$2:$B$20000,A1047,Donasi!$C$2:$C$20000))</f>
        <v/>
      </c>
      <c r="E1047">
        <f>IF(A1047="","",6-CEILING(PERCENTRANK.INC($B$3:$B$6000,B1047,4)*5+0.000001,1))</f>
        <v/>
      </c>
      <c r="F1047">
        <f>IF(A1047="","",MAX(1,CEILING(PERCENTRANK.INC($C$3:$C$6000,C1047,4)*5+0.000001,1)))</f>
        <v/>
      </c>
      <c r="G1047">
        <f>IF(A1047="","",MAX(1,CEILING(PERCENTRANK.INC($D$3:$D$6000,D1047,4)*5+0.000001,1)))</f>
        <v/>
      </c>
      <c r="H1047">
        <f>IF(A1047="","",E1047&amp;F1047&amp;G1047)</f>
        <v/>
      </c>
      <c r="I1047">
        <f>IF(A1047="","",IF(AND(E1047&gt;=4,F1047&gt;=4,G1047&gt;=4),"Juara",IF(AND(F1047&gt;=4,E1047&gt;=3),"Setia",IF(AND(E1047=5,F1047&lt;=2,G1047&gt;=3),"Berpotensi",IF(AND(E1047&lt;=3,E1047&gt;=2,F1047&gt;=3),"Rawan",IF(AND(E1047&lt;=2,F1047&lt;=2),"Tidur","Umum"))))))</f>
        <v/>
      </c>
    </row>
    <row r="1048">
      <c r="B1048">
        <f>IF(A1048="","",$B$1-MAXIFS(Donasi!$A$2:$A$20000,Donasi!$B$2:$B$20000,A1048))</f>
        <v/>
      </c>
      <c r="C1048">
        <f>IF(A1048="","",COUNTIF(Donasi!$B$2:$B$20000,A1048))</f>
        <v/>
      </c>
      <c r="D1048">
        <f>IF(A1048="","",SUMIF(Donasi!$B$2:$B$20000,A1048,Donasi!$C$2:$C$20000))</f>
        <v/>
      </c>
      <c r="E1048">
        <f>IF(A1048="","",6-CEILING(PERCENTRANK.INC($B$3:$B$6000,B1048,4)*5+0.000001,1))</f>
        <v/>
      </c>
      <c r="F1048">
        <f>IF(A1048="","",MAX(1,CEILING(PERCENTRANK.INC($C$3:$C$6000,C1048,4)*5+0.000001,1)))</f>
        <v/>
      </c>
      <c r="G1048">
        <f>IF(A1048="","",MAX(1,CEILING(PERCENTRANK.INC($D$3:$D$6000,D1048,4)*5+0.000001,1)))</f>
        <v/>
      </c>
      <c r="H1048">
        <f>IF(A1048="","",E1048&amp;F1048&amp;G1048)</f>
        <v/>
      </c>
      <c r="I1048">
        <f>IF(A1048="","",IF(AND(E1048&gt;=4,F1048&gt;=4,G1048&gt;=4),"Juara",IF(AND(F1048&gt;=4,E1048&gt;=3),"Setia",IF(AND(E1048=5,F1048&lt;=2,G1048&gt;=3),"Berpotensi",IF(AND(E1048&lt;=3,E1048&gt;=2,F1048&gt;=3),"Rawan",IF(AND(E1048&lt;=2,F1048&lt;=2),"Tidur","Umum"))))))</f>
        <v/>
      </c>
    </row>
    <row r="1049">
      <c r="B1049">
        <f>IF(A1049="","",$B$1-MAXIFS(Donasi!$A$2:$A$20000,Donasi!$B$2:$B$20000,A1049))</f>
        <v/>
      </c>
      <c r="C1049">
        <f>IF(A1049="","",COUNTIF(Donasi!$B$2:$B$20000,A1049))</f>
        <v/>
      </c>
      <c r="D1049">
        <f>IF(A1049="","",SUMIF(Donasi!$B$2:$B$20000,A1049,Donasi!$C$2:$C$20000))</f>
        <v/>
      </c>
      <c r="E1049">
        <f>IF(A1049="","",6-CEILING(PERCENTRANK.INC($B$3:$B$6000,B1049,4)*5+0.000001,1))</f>
        <v/>
      </c>
      <c r="F1049">
        <f>IF(A1049="","",MAX(1,CEILING(PERCENTRANK.INC($C$3:$C$6000,C1049,4)*5+0.000001,1)))</f>
        <v/>
      </c>
      <c r="G1049">
        <f>IF(A1049="","",MAX(1,CEILING(PERCENTRANK.INC($D$3:$D$6000,D1049,4)*5+0.000001,1)))</f>
        <v/>
      </c>
      <c r="H1049">
        <f>IF(A1049="","",E1049&amp;F1049&amp;G1049)</f>
        <v/>
      </c>
      <c r="I1049">
        <f>IF(A1049="","",IF(AND(E1049&gt;=4,F1049&gt;=4,G1049&gt;=4),"Juara",IF(AND(F1049&gt;=4,E1049&gt;=3),"Setia",IF(AND(E1049=5,F1049&lt;=2,G1049&gt;=3),"Berpotensi",IF(AND(E1049&lt;=3,E1049&gt;=2,F1049&gt;=3),"Rawan",IF(AND(E1049&lt;=2,F1049&lt;=2),"Tidur","Umum"))))))</f>
        <v/>
      </c>
    </row>
    <row r="1050">
      <c r="B1050">
        <f>IF(A1050="","",$B$1-MAXIFS(Donasi!$A$2:$A$20000,Donasi!$B$2:$B$20000,A1050))</f>
        <v/>
      </c>
      <c r="C1050">
        <f>IF(A1050="","",COUNTIF(Donasi!$B$2:$B$20000,A1050))</f>
        <v/>
      </c>
      <c r="D1050">
        <f>IF(A1050="","",SUMIF(Donasi!$B$2:$B$20000,A1050,Donasi!$C$2:$C$20000))</f>
        <v/>
      </c>
      <c r="E1050">
        <f>IF(A1050="","",6-CEILING(PERCENTRANK.INC($B$3:$B$6000,B1050,4)*5+0.000001,1))</f>
        <v/>
      </c>
      <c r="F1050">
        <f>IF(A1050="","",MAX(1,CEILING(PERCENTRANK.INC($C$3:$C$6000,C1050,4)*5+0.000001,1)))</f>
        <v/>
      </c>
      <c r="G1050">
        <f>IF(A1050="","",MAX(1,CEILING(PERCENTRANK.INC($D$3:$D$6000,D1050,4)*5+0.000001,1)))</f>
        <v/>
      </c>
      <c r="H1050">
        <f>IF(A1050="","",E1050&amp;F1050&amp;G1050)</f>
        <v/>
      </c>
      <c r="I1050">
        <f>IF(A1050="","",IF(AND(E1050&gt;=4,F1050&gt;=4,G1050&gt;=4),"Juara",IF(AND(F1050&gt;=4,E1050&gt;=3),"Setia",IF(AND(E1050=5,F1050&lt;=2,G1050&gt;=3),"Berpotensi",IF(AND(E1050&lt;=3,E1050&gt;=2,F1050&gt;=3),"Rawan",IF(AND(E1050&lt;=2,F1050&lt;=2),"Tidur","Umum"))))))</f>
        <v/>
      </c>
    </row>
    <row r="1051">
      <c r="B1051">
        <f>IF(A1051="","",$B$1-MAXIFS(Donasi!$A$2:$A$20000,Donasi!$B$2:$B$20000,A1051))</f>
        <v/>
      </c>
      <c r="C1051">
        <f>IF(A1051="","",COUNTIF(Donasi!$B$2:$B$20000,A1051))</f>
        <v/>
      </c>
      <c r="D1051">
        <f>IF(A1051="","",SUMIF(Donasi!$B$2:$B$20000,A1051,Donasi!$C$2:$C$20000))</f>
        <v/>
      </c>
      <c r="E1051">
        <f>IF(A1051="","",6-CEILING(PERCENTRANK.INC($B$3:$B$6000,B1051,4)*5+0.000001,1))</f>
        <v/>
      </c>
      <c r="F1051">
        <f>IF(A1051="","",MAX(1,CEILING(PERCENTRANK.INC($C$3:$C$6000,C1051,4)*5+0.000001,1)))</f>
        <v/>
      </c>
      <c r="G1051">
        <f>IF(A1051="","",MAX(1,CEILING(PERCENTRANK.INC($D$3:$D$6000,D1051,4)*5+0.000001,1)))</f>
        <v/>
      </c>
      <c r="H1051">
        <f>IF(A1051="","",E1051&amp;F1051&amp;G1051)</f>
        <v/>
      </c>
      <c r="I1051">
        <f>IF(A1051="","",IF(AND(E1051&gt;=4,F1051&gt;=4,G1051&gt;=4),"Juara",IF(AND(F1051&gt;=4,E1051&gt;=3),"Setia",IF(AND(E1051=5,F1051&lt;=2,G1051&gt;=3),"Berpotensi",IF(AND(E1051&lt;=3,E1051&gt;=2,F1051&gt;=3),"Rawan",IF(AND(E1051&lt;=2,F1051&lt;=2),"Tidur","Umum"))))))</f>
        <v/>
      </c>
    </row>
    <row r="1052">
      <c r="B1052">
        <f>IF(A1052="","",$B$1-MAXIFS(Donasi!$A$2:$A$20000,Donasi!$B$2:$B$20000,A1052))</f>
        <v/>
      </c>
      <c r="C1052">
        <f>IF(A1052="","",COUNTIF(Donasi!$B$2:$B$20000,A1052))</f>
        <v/>
      </c>
      <c r="D1052">
        <f>IF(A1052="","",SUMIF(Donasi!$B$2:$B$20000,A1052,Donasi!$C$2:$C$20000))</f>
        <v/>
      </c>
      <c r="E1052">
        <f>IF(A1052="","",6-CEILING(PERCENTRANK.INC($B$3:$B$6000,B1052,4)*5+0.000001,1))</f>
        <v/>
      </c>
      <c r="F1052">
        <f>IF(A1052="","",MAX(1,CEILING(PERCENTRANK.INC($C$3:$C$6000,C1052,4)*5+0.000001,1)))</f>
        <v/>
      </c>
      <c r="G1052">
        <f>IF(A1052="","",MAX(1,CEILING(PERCENTRANK.INC($D$3:$D$6000,D1052,4)*5+0.000001,1)))</f>
        <v/>
      </c>
      <c r="H1052">
        <f>IF(A1052="","",E1052&amp;F1052&amp;G1052)</f>
        <v/>
      </c>
      <c r="I1052">
        <f>IF(A1052="","",IF(AND(E1052&gt;=4,F1052&gt;=4,G1052&gt;=4),"Juara",IF(AND(F1052&gt;=4,E1052&gt;=3),"Setia",IF(AND(E1052=5,F1052&lt;=2,G1052&gt;=3),"Berpotensi",IF(AND(E1052&lt;=3,E1052&gt;=2,F1052&gt;=3),"Rawan",IF(AND(E1052&lt;=2,F1052&lt;=2),"Tidur","Umum"))))))</f>
        <v/>
      </c>
    </row>
    <row r="1053">
      <c r="B1053">
        <f>IF(A1053="","",$B$1-MAXIFS(Donasi!$A$2:$A$20000,Donasi!$B$2:$B$20000,A1053))</f>
        <v/>
      </c>
      <c r="C1053">
        <f>IF(A1053="","",COUNTIF(Donasi!$B$2:$B$20000,A1053))</f>
        <v/>
      </c>
      <c r="D1053">
        <f>IF(A1053="","",SUMIF(Donasi!$B$2:$B$20000,A1053,Donasi!$C$2:$C$20000))</f>
        <v/>
      </c>
      <c r="E1053">
        <f>IF(A1053="","",6-CEILING(PERCENTRANK.INC($B$3:$B$6000,B1053,4)*5+0.000001,1))</f>
        <v/>
      </c>
      <c r="F1053">
        <f>IF(A1053="","",MAX(1,CEILING(PERCENTRANK.INC($C$3:$C$6000,C1053,4)*5+0.000001,1)))</f>
        <v/>
      </c>
      <c r="G1053">
        <f>IF(A1053="","",MAX(1,CEILING(PERCENTRANK.INC($D$3:$D$6000,D1053,4)*5+0.000001,1)))</f>
        <v/>
      </c>
      <c r="H1053">
        <f>IF(A1053="","",E1053&amp;F1053&amp;G1053)</f>
        <v/>
      </c>
      <c r="I1053">
        <f>IF(A1053="","",IF(AND(E1053&gt;=4,F1053&gt;=4,G1053&gt;=4),"Juara",IF(AND(F1053&gt;=4,E1053&gt;=3),"Setia",IF(AND(E1053=5,F1053&lt;=2,G1053&gt;=3),"Berpotensi",IF(AND(E1053&lt;=3,E1053&gt;=2,F1053&gt;=3),"Rawan",IF(AND(E1053&lt;=2,F1053&lt;=2),"Tidur","Umum"))))))</f>
        <v/>
      </c>
    </row>
    <row r="1054">
      <c r="B1054">
        <f>IF(A1054="","",$B$1-MAXIFS(Donasi!$A$2:$A$20000,Donasi!$B$2:$B$20000,A1054))</f>
        <v/>
      </c>
      <c r="C1054">
        <f>IF(A1054="","",COUNTIF(Donasi!$B$2:$B$20000,A1054))</f>
        <v/>
      </c>
      <c r="D1054">
        <f>IF(A1054="","",SUMIF(Donasi!$B$2:$B$20000,A1054,Donasi!$C$2:$C$20000))</f>
        <v/>
      </c>
      <c r="E1054">
        <f>IF(A1054="","",6-CEILING(PERCENTRANK.INC($B$3:$B$6000,B1054,4)*5+0.000001,1))</f>
        <v/>
      </c>
      <c r="F1054">
        <f>IF(A1054="","",MAX(1,CEILING(PERCENTRANK.INC($C$3:$C$6000,C1054,4)*5+0.000001,1)))</f>
        <v/>
      </c>
      <c r="G1054">
        <f>IF(A1054="","",MAX(1,CEILING(PERCENTRANK.INC($D$3:$D$6000,D1054,4)*5+0.000001,1)))</f>
        <v/>
      </c>
      <c r="H1054">
        <f>IF(A1054="","",E1054&amp;F1054&amp;G1054)</f>
        <v/>
      </c>
      <c r="I1054">
        <f>IF(A1054="","",IF(AND(E1054&gt;=4,F1054&gt;=4,G1054&gt;=4),"Juara",IF(AND(F1054&gt;=4,E1054&gt;=3),"Setia",IF(AND(E1054=5,F1054&lt;=2,G1054&gt;=3),"Berpotensi",IF(AND(E1054&lt;=3,E1054&gt;=2,F1054&gt;=3),"Rawan",IF(AND(E1054&lt;=2,F1054&lt;=2),"Tidur","Umum"))))))</f>
        <v/>
      </c>
    </row>
    <row r="1055">
      <c r="B1055">
        <f>IF(A1055="","",$B$1-MAXIFS(Donasi!$A$2:$A$20000,Donasi!$B$2:$B$20000,A1055))</f>
        <v/>
      </c>
      <c r="C1055">
        <f>IF(A1055="","",COUNTIF(Donasi!$B$2:$B$20000,A1055))</f>
        <v/>
      </c>
      <c r="D1055">
        <f>IF(A1055="","",SUMIF(Donasi!$B$2:$B$20000,A1055,Donasi!$C$2:$C$20000))</f>
        <v/>
      </c>
      <c r="E1055">
        <f>IF(A1055="","",6-CEILING(PERCENTRANK.INC($B$3:$B$6000,B1055,4)*5+0.000001,1))</f>
        <v/>
      </c>
      <c r="F1055">
        <f>IF(A1055="","",MAX(1,CEILING(PERCENTRANK.INC($C$3:$C$6000,C1055,4)*5+0.000001,1)))</f>
        <v/>
      </c>
      <c r="G1055">
        <f>IF(A1055="","",MAX(1,CEILING(PERCENTRANK.INC($D$3:$D$6000,D1055,4)*5+0.000001,1)))</f>
        <v/>
      </c>
      <c r="H1055">
        <f>IF(A1055="","",E1055&amp;F1055&amp;G1055)</f>
        <v/>
      </c>
      <c r="I1055">
        <f>IF(A1055="","",IF(AND(E1055&gt;=4,F1055&gt;=4,G1055&gt;=4),"Juara",IF(AND(F1055&gt;=4,E1055&gt;=3),"Setia",IF(AND(E1055=5,F1055&lt;=2,G1055&gt;=3),"Berpotensi",IF(AND(E1055&lt;=3,E1055&gt;=2,F1055&gt;=3),"Rawan",IF(AND(E1055&lt;=2,F1055&lt;=2),"Tidur","Umum"))))))</f>
        <v/>
      </c>
    </row>
    <row r="1056">
      <c r="B1056">
        <f>IF(A1056="","",$B$1-MAXIFS(Donasi!$A$2:$A$20000,Donasi!$B$2:$B$20000,A1056))</f>
        <v/>
      </c>
      <c r="C1056">
        <f>IF(A1056="","",COUNTIF(Donasi!$B$2:$B$20000,A1056))</f>
        <v/>
      </c>
      <c r="D1056">
        <f>IF(A1056="","",SUMIF(Donasi!$B$2:$B$20000,A1056,Donasi!$C$2:$C$20000))</f>
        <v/>
      </c>
      <c r="E1056">
        <f>IF(A1056="","",6-CEILING(PERCENTRANK.INC($B$3:$B$6000,B1056,4)*5+0.000001,1))</f>
        <v/>
      </c>
      <c r="F1056">
        <f>IF(A1056="","",MAX(1,CEILING(PERCENTRANK.INC($C$3:$C$6000,C1056,4)*5+0.000001,1)))</f>
        <v/>
      </c>
      <c r="G1056">
        <f>IF(A1056="","",MAX(1,CEILING(PERCENTRANK.INC($D$3:$D$6000,D1056,4)*5+0.000001,1)))</f>
        <v/>
      </c>
      <c r="H1056">
        <f>IF(A1056="","",E1056&amp;F1056&amp;G1056)</f>
        <v/>
      </c>
      <c r="I1056">
        <f>IF(A1056="","",IF(AND(E1056&gt;=4,F1056&gt;=4,G1056&gt;=4),"Juara",IF(AND(F1056&gt;=4,E1056&gt;=3),"Setia",IF(AND(E1056=5,F1056&lt;=2,G1056&gt;=3),"Berpotensi",IF(AND(E1056&lt;=3,E1056&gt;=2,F1056&gt;=3),"Rawan",IF(AND(E1056&lt;=2,F1056&lt;=2),"Tidur","Umum"))))))</f>
        <v/>
      </c>
    </row>
    <row r="1057">
      <c r="B1057">
        <f>IF(A1057="","",$B$1-MAXIFS(Donasi!$A$2:$A$20000,Donasi!$B$2:$B$20000,A1057))</f>
        <v/>
      </c>
      <c r="C1057">
        <f>IF(A1057="","",COUNTIF(Donasi!$B$2:$B$20000,A1057))</f>
        <v/>
      </c>
      <c r="D1057">
        <f>IF(A1057="","",SUMIF(Donasi!$B$2:$B$20000,A1057,Donasi!$C$2:$C$20000))</f>
        <v/>
      </c>
      <c r="E1057">
        <f>IF(A1057="","",6-CEILING(PERCENTRANK.INC($B$3:$B$6000,B1057,4)*5+0.000001,1))</f>
        <v/>
      </c>
      <c r="F1057">
        <f>IF(A1057="","",MAX(1,CEILING(PERCENTRANK.INC($C$3:$C$6000,C1057,4)*5+0.000001,1)))</f>
        <v/>
      </c>
      <c r="G1057">
        <f>IF(A1057="","",MAX(1,CEILING(PERCENTRANK.INC($D$3:$D$6000,D1057,4)*5+0.000001,1)))</f>
        <v/>
      </c>
      <c r="H1057">
        <f>IF(A1057="","",E1057&amp;F1057&amp;G1057)</f>
        <v/>
      </c>
      <c r="I1057">
        <f>IF(A1057="","",IF(AND(E1057&gt;=4,F1057&gt;=4,G1057&gt;=4),"Juara",IF(AND(F1057&gt;=4,E1057&gt;=3),"Setia",IF(AND(E1057=5,F1057&lt;=2,G1057&gt;=3),"Berpotensi",IF(AND(E1057&lt;=3,E1057&gt;=2,F1057&gt;=3),"Rawan",IF(AND(E1057&lt;=2,F1057&lt;=2),"Tidur","Umum"))))))</f>
        <v/>
      </c>
    </row>
    <row r="1058">
      <c r="B1058">
        <f>IF(A1058="","",$B$1-MAXIFS(Donasi!$A$2:$A$20000,Donasi!$B$2:$B$20000,A1058))</f>
        <v/>
      </c>
      <c r="C1058">
        <f>IF(A1058="","",COUNTIF(Donasi!$B$2:$B$20000,A1058))</f>
        <v/>
      </c>
      <c r="D1058">
        <f>IF(A1058="","",SUMIF(Donasi!$B$2:$B$20000,A1058,Donasi!$C$2:$C$20000))</f>
        <v/>
      </c>
      <c r="E1058">
        <f>IF(A1058="","",6-CEILING(PERCENTRANK.INC($B$3:$B$6000,B1058,4)*5+0.000001,1))</f>
        <v/>
      </c>
      <c r="F1058">
        <f>IF(A1058="","",MAX(1,CEILING(PERCENTRANK.INC($C$3:$C$6000,C1058,4)*5+0.000001,1)))</f>
        <v/>
      </c>
      <c r="G1058">
        <f>IF(A1058="","",MAX(1,CEILING(PERCENTRANK.INC($D$3:$D$6000,D1058,4)*5+0.000001,1)))</f>
        <v/>
      </c>
      <c r="H1058">
        <f>IF(A1058="","",E1058&amp;F1058&amp;G1058)</f>
        <v/>
      </c>
      <c r="I1058">
        <f>IF(A1058="","",IF(AND(E1058&gt;=4,F1058&gt;=4,G1058&gt;=4),"Juara",IF(AND(F1058&gt;=4,E1058&gt;=3),"Setia",IF(AND(E1058=5,F1058&lt;=2,G1058&gt;=3),"Berpotensi",IF(AND(E1058&lt;=3,E1058&gt;=2,F1058&gt;=3),"Rawan",IF(AND(E1058&lt;=2,F1058&lt;=2),"Tidur","Umum"))))))</f>
        <v/>
      </c>
    </row>
    <row r="1059">
      <c r="B1059">
        <f>IF(A1059="","",$B$1-MAXIFS(Donasi!$A$2:$A$20000,Donasi!$B$2:$B$20000,A1059))</f>
        <v/>
      </c>
      <c r="C1059">
        <f>IF(A1059="","",COUNTIF(Donasi!$B$2:$B$20000,A1059))</f>
        <v/>
      </c>
      <c r="D1059">
        <f>IF(A1059="","",SUMIF(Donasi!$B$2:$B$20000,A1059,Donasi!$C$2:$C$20000))</f>
        <v/>
      </c>
      <c r="E1059">
        <f>IF(A1059="","",6-CEILING(PERCENTRANK.INC($B$3:$B$6000,B1059,4)*5+0.000001,1))</f>
        <v/>
      </c>
      <c r="F1059">
        <f>IF(A1059="","",MAX(1,CEILING(PERCENTRANK.INC($C$3:$C$6000,C1059,4)*5+0.000001,1)))</f>
        <v/>
      </c>
      <c r="G1059">
        <f>IF(A1059="","",MAX(1,CEILING(PERCENTRANK.INC($D$3:$D$6000,D1059,4)*5+0.000001,1)))</f>
        <v/>
      </c>
      <c r="H1059">
        <f>IF(A1059="","",E1059&amp;F1059&amp;G1059)</f>
        <v/>
      </c>
      <c r="I1059">
        <f>IF(A1059="","",IF(AND(E1059&gt;=4,F1059&gt;=4,G1059&gt;=4),"Juara",IF(AND(F1059&gt;=4,E1059&gt;=3),"Setia",IF(AND(E1059=5,F1059&lt;=2,G1059&gt;=3),"Berpotensi",IF(AND(E1059&lt;=3,E1059&gt;=2,F1059&gt;=3),"Rawan",IF(AND(E1059&lt;=2,F1059&lt;=2),"Tidur","Umum"))))))</f>
        <v/>
      </c>
    </row>
    <row r="1060">
      <c r="B1060">
        <f>IF(A1060="","",$B$1-MAXIFS(Donasi!$A$2:$A$20000,Donasi!$B$2:$B$20000,A1060))</f>
        <v/>
      </c>
      <c r="C1060">
        <f>IF(A1060="","",COUNTIF(Donasi!$B$2:$B$20000,A1060))</f>
        <v/>
      </c>
      <c r="D1060">
        <f>IF(A1060="","",SUMIF(Donasi!$B$2:$B$20000,A1060,Donasi!$C$2:$C$20000))</f>
        <v/>
      </c>
      <c r="E1060">
        <f>IF(A1060="","",6-CEILING(PERCENTRANK.INC($B$3:$B$6000,B1060,4)*5+0.000001,1))</f>
        <v/>
      </c>
      <c r="F1060">
        <f>IF(A1060="","",MAX(1,CEILING(PERCENTRANK.INC($C$3:$C$6000,C1060,4)*5+0.000001,1)))</f>
        <v/>
      </c>
      <c r="G1060">
        <f>IF(A1060="","",MAX(1,CEILING(PERCENTRANK.INC($D$3:$D$6000,D1060,4)*5+0.000001,1)))</f>
        <v/>
      </c>
      <c r="H1060">
        <f>IF(A1060="","",E1060&amp;F1060&amp;G1060)</f>
        <v/>
      </c>
      <c r="I1060">
        <f>IF(A1060="","",IF(AND(E1060&gt;=4,F1060&gt;=4,G1060&gt;=4),"Juara",IF(AND(F1060&gt;=4,E1060&gt;=3),"Setia",IF(AND(E1060=5,F1060&lt;=2,G1060&gt;=3),"Berpotensi",IF(AND(E1060&lt;=3,E1060&gt;=2,F1060&gt;=3),"Rawan",IF(AND(E1060&lt;=2,F1060&lt;=2),"Tidur","Umum"))))))</f>
        <v/>
      </c>
    </row>
    <row r="1061">
      <c r="B1061">
        <f>IF(A1061="","",$B$1-MAXIFS(Donasi!$A$2:$A$20000,Donasi!$B$2:$B$20000,A1061))</f>
        <v/>
      </c>
      <c r="C1061">
        <f>IF(A1061="","",COUNTIF(Donasi!$B$2:$B$20000,A1061))</f>
        <v/>
      </c>
      <c r="D1061">
        <f>IF(A1061="","",SUMIF(Donasi!$B$2:$B$20000,A1061,Donasi!$C$2:$C$20000))</f>
        <v/>
      </c>
      <c r="E1061">
        <f>IF(A1061="","",6-CEILING(PERCENTRANK.INC($B$3:$B$6000,B1061,4)*5+0.000001,1))</f>
        <v/>
      </c>
      <c r="F1061">
        <f>IF(A1061="","",MAX(1,CEILING(PERCENTRANK.INC($C$3:$C$6000,C1061,4)*5+0.000001,1)))</f>
        <v/>
      </c>
      <c r="G1061">
        <f>IF(A1061="","",MAX(1,CEILING(PERCENTRANK.INC($D$3:$D$6000,D1061,4)*5+0.000001,1)))</f>
        <v/>
      </c>
      <c r="H1061">
        <f>IF(A1061="","",E1061&amp;F1061&amp;G1061)</f>
        <v/>
      </c>
      <c r="I1061">
        <f>IF(A1061="","",IF(AND(E1061&gt;=4,F1061&gt;=4,G1061&gt;=4),"Juara",IF(AND(F1061&gt;=4,E1061&gt;=3),"Setia",IF(AND(E1061=5,F1061&lt;=2,G1061&gt;=3),"Berpotensi",IF(AND(E1061&lt;=3,E1061&gt;=2,F1061&gt;=3),"Rawan",IF(AND(E1061&lt;=2,F1061&lt;=2),"Tidur","Umum"))))))</f>
        <v/>
      </c>
    </row>
    <row r="1062">
      <c r="B1062">
        <f>IF(A1062="","",$B$1-MAXIFS(Donasi!$A$2:$A$20000,Donasi!$B$2:$B$20000,A1062))</f>
        <v/>
      </c>
      <c r="C1062">
        <f>IF(A1062="","",COUNTIF(Donasi!$B$2:$B$20000,A1062))</f>
        <v/>
      </c>
      <c r="D1062">
        <f>IF(A1062="","",SUMIF(Donasi!$B$2:$B$20000,A1062,Donasi!$C$2:$C$20000))</f>
        <v/>
      </c>
      <c r="E1062">
        <f>IF(A1062="","",6-CEILING(PERCENTRANK.INC($B$3:$B$6000,B1062,4)*5+0.000001,1))</f>
        <v/>
      </c>
      <c r="F1062">
        <f>IF(A1062="","",MAX(1,CEILING(PERCENTRANK.INC($C$3:$C$6000,C1062,4)*5+0.000001,1)))</f>
        <v/>
      </c>
      <c r="G1062">
        <f>IF(A1062="","",MAX(1,CEILING(PERCENTRANK.INC($D$3:$D$6000,D1062,4)*5+0.000001,1)))</f>
        <v/>
      </c>
      <c r="H1062">
        <f>IF(A1062="","",E1062&amp;F1062&amp;G1062)</f>
        <v/>
      </c>
      <c r="I1062">
        <f>IF(A1062="","",IF(AND(E1062&gt;=4,F1062&gt;=4,G1062&gt;=4),"Juara",IF(AND(F1062&gt;=4,E1062&gt;=3),"Setia",IF(AND(E1062=5,F1062&lt;=2,G1062&gt;=3),"Berpotensi",IF(AND(E1062&lt;=3,E1062&gt;=2,F1062&gt;=3),"Rawan",IF(AND(E1062&lt;=2,F1062&lt;=2),"Tidur","Umum"))))))</f>
        <v/>
      </c>
    </row>
    <row r="1063">
      <c r="B1063">
        <f>IF(A1063="","",$B$1-MAXIFS(Donasi!$A$2:$A$20000,Donasi!$B$2:$B$20000,A1063))</f>
        <v/>
      </c>
      <c r="C1063">
        <f>IF(A1063="","",COUNTIF(Donasi!$B$2:$B$20000,A1063))</f>
        <v/>
      </c>
      <c r="D1063">
        <f>IF(A1063="","",SUMIF(Donasi!$B$2:$B$20000,A1063,Donasi!$C$2:$C$20000))</f>
        <v/>
      </c>
      <c r="E1063">
        <f>IF(A1063="","",6-CEILING(PERCENTRANK.INC($B$3:$B$6000,B1063,4)*5+0.000001,1))</f>
        <v/>
      </c>
      <c r="F1063">
        <f>IF(A1063="","",MAX(1,CEILING(PERCENTRANK.INC($C$3:$C$6000,C1063,4)*5+0.000001,1)))</f>
        <v/>
      </c>
      <c r="G1063">
        <f>IF(A1063="","",MAX(1,CEILING(PERCENTRANK.INC($D$3:$D$6000,D1063,4)*5+0.000001,1)))</f>
        <v/>
      </c>
      <c r="H1063">
        <f>IF(A1063="","",E1063&amp;F1063&amp;G1063)</f>
        <v/>
      </c>
      <c r="I1063">
        <f>IF(A1063="","",IF(AND(E1063&gt;=4,F1063&gt;=4,G1063&gt;=4),"Juara",IF(AND(F1063&gt;=4,E1063&gt;=3),"Setia",IF(AND(E1063=5,F1063&lt;=2,G1063&gt;=3),"Berpotensi",IF(AND(E1063&lt;=3,E1063&gt;=2,F1063&gt;=3),"Rawan",IF(AND(E1063&lt;=2,F1063&lt;=2),"Tidur","Umum"))))))</f>
        <v/>
      </c>
    </row>
    <row r="1064">
      <c r="B1064">
        <f>IF(A1064="","",$B$1-MAXIFS(Donasi!$A$2:$A$20000,Donasi!$B$2:$B$20000,A1064))</f>
        <v/>
      </c>
      <c r="C1064">
        <f>IF(A1064="","",COUNTIF(Donasi!$B$2:$B$20000,A1064))</f>
        <v/>
      </c>
      <c r="D1064">
        <f>IF(A1064="","",SUMIF(Donasi!$B$2:$B$20000,A1064,Donasi!$C$2:$C$20000))</f>
        <v/>
      </c>
      <c r="E1064">
        <f>IF(A1064="","",6-CEILING(PERCENTRANK.INC($B$3:$B$6000,B1064,4)*5+0.000001,1))</f>
        <v/>
      </c>
      <c r="F1064">
        <f>IF(A1064="","",MAX(1,CEILING(PERCENTRANK.INC($C$3:$C$6000,C1064,4)*5+0.000001,1)))</f>
        <v/>
      </c>
      <c r="G1064">
        <f>IF(A1064="","",MAX(1,CEILING(PERCENTRANK.INC($D$3:$D$6000,D1064,4)*5+0.000001,1)))</f>
        <v/>
      </c>
      <c r="H1064">
        <f>IF(A1064="","",E1064&amp;F1064&amp;G1064)</f>
        <v/>
      </c>
      <c r="I1064">
        <f>IF(A1064="","",IF(AND(E1064&gt;=4,F1064&gt;=4,G1064&gt;=4),"Juara",IF(AND(F1064&gt;=4,E1064&gt;=3),"Setia",IF(AND(E1064=5,F1064&lt;=2,G1064&gt;=3),"Berpotensi",IF(AND(E1064&lt;=3,E1064&gt;=2,F1064&gt;=3),"Rawan",IF(AND(E1064&lt;=2,F1064&lt;=2),"Tidur","Umum"))))))</f>
        <v/>
      </c>
    </row>
    <row r="1065">
      <c r="B1065">
        <f>IF(A1065="","",$B$1-MAXIFS(Donasi!$A$2:$A$20000,Donasi!$B$2:$B$20000,A1065))</f>
        <v/>
      </c>
      <c r="C1065">
        <f>IF(A1065="","",COUNTIF(Donasi!$B$2:$B$20000,A1065))</f>
        <v/>
      </c>
      <c r="D1065">
        <f>IF(A1065="","",SUMIF(Donasi!$B$2:$B$20000,A1065,Donasi!$C$2:$C$20000))</f>
        <v/>
      </c>
      <c r="E1065">
        <f>IF(A1065="","",6-CEILING(PERCENTRANK.INC($B$3:$B$6000,B1065,4)*5+0.000001,1))</f>
        <v/>
      </c>
      <c r="F1065">
        <f>IF(A1065="","",MAX(1,CEILING(PERCENTRANK.INC($C$3:$C$6000,C1065,4)*5+0.000001,1)))</f>
        <v/>
      </c>
      <c r="G1065">
        <f>IF(A1065="","",MAX(1,CEILING(PERCENTRANK.INC($D$3:$D$6000,D1065,4)*5+0.000001,1)))</f>
        <v/>
      </c>
      <c r="H1065">
        <f>IF(A1065="","",E1065&amp;F1065&amp;G1065)</f>
        <v/>
      </c>
      <c r="I1065">
        <f>IF(A1065="","",IF(AND(E1065&gt;=4,F1065&gt;=4,G1065&gt;=4),"Juara",IF(AND(F1065&gt;=4,E1065&gt;=3),"Setia",IF(AND(E1065=5,F1065&lt;=2,G1065&gt;=3),"Berpotensi",IF(AND(E1065&lt;=3,E1065&gt;=2,F1065&gt;=3),"Rawan",IF(AND(E1065&lt;=2,F1065&lt;=2),"Tidur","Umum"))))))</f>
        <v/>
      </c>
    </row>
    <row r="1066">
      <c r="B1066">
        <f>IF(A1066="","",$B$1-MAXIFS(Donasi!$A$2:$A$20000,Donasi!$B$2:$B$20000,A1066))</f>
        <v/>
      </c>
      <c r="C1066">
        <f>IF(A1066="","",COUNTIF(Donasi!$B$2:$B$20000,A1066))</f>
        <v/>
      </c>
      <c r="D1066">
        <f>IF(A1066="","",SUMIF(Donasi!$B$2:$B$20000,A1066,Donasi!$C$2:$C$20000))</f>
        <v/>
      </c>
      <c r="E1066">
        <f>IF(A1066="","",6-CEILING(PERCENTRANK.INC($B$3:$B$6000,B1066,4)*5+0.000001,1))</f>
        <v/>
      </c>
      <c r="F1066">
        <f>IF(A1066="","",MAX(1,CEILING(PERCENTRANK.INC($C$3:$C$6000,C1066,4)*5+0.000001,1)))</f>
        <v/>
      </c>
      <c r="G1066">
        <f>IF(A1066="","",MAX(1,CEILING(PERCENTRANK.INC($D$3:$D$6000,D1066,4)*5+0.000001,1)))</f>
        <v/>
      </c>
      <c r="H1066">
        <f>IF(A1066="","",E1066&amp;F1066&amp;G1066)</f>
        <v/>
      </c>
      <c r="I1066">
        <f>IF(A1066="","",IF(AND(E1066&gt;=4,F1066&gt;=4,G1066&gt;=4),"Juara",IF(AND(F1066&gt;=4,E1066&gt;=3),"Setia",IF(AND(E1066=5,F1066&lt;=2,G1066&gt;=3),"Berpotensi",IF(AND(E1066&lt;=3,E1066&gt;=2,F1066&gt;=3),"Rawan",IF(AND(E1066&lt;=2,F1066&lt;=2),"Tidur","Umum"))))))</f>
        <v/>
      </c>
    </row>
    <row r="1067">
      <c r="B1067">
        <f>IF(A1067="","",$B$1-MAXIFS(Donasi!$A$2:$A$20000,Donasi!$B$2:$B$20000,A1067))</f>
        <v/>
      </c>
      <c r="C1067">
        <f>IF(A1067="","",COUNTIF(Donasi!$B$2:$B$20000,A1067))</f>
        <v/>
      </c>
      <c r="D1067">
        <f>IF(A1067="","",SUMIF(Donasi!$B$2:$B$20000,A1067,Donasi!$C$2:$C$20000))</f>
        <v/>
      </c>
      <c r="E1067">
        <f>IF(A1067="","",6-CEILING(PERCENTRANK.INC($B$3:$B$6000,B1067,4)*5+0.000001,1))</f>
        <v/>
      </c>
      <c r="F1067">
        <f>IF(A1067="","",MAX(1,CEILING(PERCENTRANK.INC($C$3:$C$6000,C1067,4)*5+0.000001,1)))</f>
        <v/>
      </c>
      <c r="G1067">
        <f>IF(A1067="","",MAX(1,CEILING(PERCENTRANK.INC($D$3:$D$6000,D1067,4)*5+0.000001,1)))</f>
        <v/>
      </c>
      <c r="H1067">
        <f>IF(A1067="","",E1067&amp;F1067&amp;G1067)</f>
        <v/>
      </c>
      <c r="I1067">
        <f>IF(A1067="","",IF(AND(E1067&gt;=4,F1067&gt;=4,G1067&gt;=4),"Juara",IF(AND(F1067&gt;=4,E1067&gt;=3),"Setia",IF(AND(E1067=5,F1067&lt;=2,G1067&gt;=3),"Berpotensi",IF(AND(E1067&lt;=3,E1067&gt;=2,F1067&gt;=3),"Rawan",IF(AND(E1067&lt;=2,F1067&lt;=2),"Tidur","Umum"))))))</f>
        <v/>
      </c>
    </row>
    <row r="1068">
      <c r="B1068">
        <f>IF(A1068="","",$B$1-MAXIFS(Donasi!$A$2:$A$20000,Donasi!$B$2:$B$20000,A1068))</f>
        <v/>
      </c>
      <c r="C1068">
        <f>IF(A1068="","",COUNTIF(Donasi!$B$2:$B$20000,A1068))</f>
        <v/>
      </c>
      <c r="D1068">
        <f>IF(A1068="","",SUMIF(Donasi!$B$2:$B$20000,A1068,Donasi!$C$2:$C$20000))</f>
        <v/>
      </c>
      <c r="E1068">
        <f>IF(A1068="","",6-CEILING(PERCENTRANK.INC($B$3:$B$6000,B1068,4)*5+0.000001,1))</f>
        <v/>
      </c>
      <c r="F1068">
        <f>IF(A1068="","",MAX(1,CEILING(PERCENTRANK.INC($C$3:$C$6000,C1068,4)*5+0.000001,1)))</f>
        <v/>
      </c>
      <c r="G1068">
        <f>IF(A1068="","",MAX(1,CEILING(PERCENTRANK.INC($D$3:$D$6000,D1068,4)*5+0.000001,1)))</f>
        <v/>
      </c>
      <c r="H1068">
        <f>IF(A1068="","",E1068&amp;F1068&amp;G1068)</f>
        <v/>
      </c>
      <c r="I1068">
        <f>IF(A1068="","",IF(AND(E1068&gt;=4,F1068&gt;=4,G1068&gt;=4),"Juara",IF(AND(F1068&gt;=4,E1068&gt;=3),"Setia",IF(AND(E1068=5,F1068&lt;=2,G1068&gt;=3),"Berpotensi",IF(AND(E1068&lt;=3,E1068&gt;=2,F1068&gt;=3),"Rawan",IF(AND(E1068&lt;=2,F1068&lt;=2),"Tidur","Umum"))))))</f>
        <v/>
      </c>
    </row>
    <row r="1069">
      <c r="B1069">
        <f>IF(A1069="","",$B$1-MAXIFS(Donasi!$A$2:$A$20000,Donasi!$B$2:$B$20000,A1069))</f>
        <v/>
      </c>
      <c r="C1069">
        <f>IF(A1069="","",COUNTIF(Donasi!$B$2:$B$20000,A1069))</f>
        <v/>
      </c>
      <c r="D1069">
        <f>IF(A1069="","",SUMIF(Donasi!$B$2:$B$20000,A1069,Donasi!$C$2:$C$20000))</f>
        <v/>
      </c>
      <c r="E1069">
        <f>IF(A1069="","",6-CEILING(PERCENTRANK.INC($B$3:$B$6000,B1069,4)*5+0.000001,1))</f>
        <v/>
      </c>
      <c r="F1069">
        <f>IF(A1069="","",MAX(1,CEILING(PERCENTRANK.INC($C$3:$C$6000,C1069,4)*5+0.000001,1)))</f>
        <v/>
      </c>
      <c r="G1069">
        <f>IF(A1069="","",MAX(1,CEILING(PERCENTRANK.INC($D$3:$D$6000,D1069,4)*5+0.000001,1)))</f>
        <v/>
      </c>
      <c r="H1069">
        <f>IF(A1069="","",E1069&amp;F1069&amp;G1069)</f>
        <v/>
      </c>
      <c r="I1069">
        <f>IF(A1069="","",IF(AND(E1069&gt;=4,F1069&gt;=4,G1069&gt;=4),"Juara",IF(AND(F1069&gt;=4,E1069&gt;=3),"Setia",IF(AND(E1069=5,F1069&lt;=2,G1069&gt;=3),"Berpotensi",IF(AND(E1069&lt;=3,E1069&gt;=2,F1069&gt;=3),"Rawan",IF(AND(E1069&lt;=2,F1069&lt;=2),"Tidur","Umum"))))))</f>
        <v/>
      </c>
    </row>
    <row r="1070">
      <c r="B1070">
        <f>IF(A1070="","",$B$1-MAXIFS(Donasi!$A$2:$A$20000,Donasi!$B$2:$B$20000,A1070))</f>
        <v/>
      </c>
      <c r="C1070">
        <f>IF(A1070="","",COUNTIF(Donasi!$B$2:$B$20000,A1070))</f>
        <v/>
      </c>
      <c r="D1070">
        <f>IF(A1070="","",SUMIF(Donasi!$B$2:$B$20000,A1070,Donasi!$C$2:$C$20000))</f>
        <v/>
      </c>
      <c r="E1070">
        <f>IF(A1070="","",6-CEILING(PERCENTRANK.INC($B$3:$B$6000,B1070,4)*5+0.000001,1))</f>
        <v/>
      </c>
      <c r="F1070">
        <f>IF(A1070="","",MAX(1,CEILING(PERCENTRANK.INC($C$3:$C$6000,C1070,4)*5+0.000001,1)))</f>
        <v/>
      </c>
      <c r="G1070">
        <f>IF(A1070="","",MAX(1,CEILING(PERCENTRANK.INC($D$3:$D$6000,D1070,4)*5+0.000001,1)))</f>
        <v/>
      </c>
      <c r="H1070">
        <f>IF(A1070="","",E1070&amp;F1070&amp;G1070)</f>
        <v/>
      </c>
      <c r="I1070">
        <f>IF(A1070="","",IF(AND(E1070&gt;=4,F1070&gt;=4,G1070&gt;=4),"Juara",IF(AND(F1070&gt;=4,E1070&gt;=3),"Setia",IF(AND(E1070=5,F1070&lt;=2,G1070&gt;=3),"Berpotensi",IF(AND(E1070&lt;=3,E1070&gt;=2,F1070&gt;=3),"Rawan",IF(AND(E1070&lt;=2,F1070&lt;=2),"Tidur","Umum"))))))</f>
        <v/>
      </c>
    </row>
    <row r="1071">
      <c r="B1071">
        <f>IF(A1071="","",$B$1-MAXIFS(Donasi!$A$2:$A$20000,Donasi!$B$2:$B$20000,A1071))</f>
        <v/>
      </c>
      <c r="C1071">
        <f>IF(A1071="","",COUNTIF(Donasi!$B$2:$B$20000,A1071))</f>
        <v/>
      </c>
      <c r="D1071">
        <f>IF(A1071="","",SUMIF(Donasi!$B$2:$B$20000,A1071,Donasi!$C$2:$C$20000))</f>
        <v/>
      </c>
      <c r="E1071">
        <f>IF(A1071="","",6-CEILING(PERCENTRANK.INC($B$3:$B$6000,B1071,4)*5+0.000001,1))</f>
        <v/>
      </c>
      <c r="F1071">
        <f>IF(A1071="","",MAX(1,CEILING(PERCENTRANK.INC($C$3:$C$6000,C1071,4)*5+0.000001,1)))</f>
        <v/>
      </c>
      <c r="G1071">
        <f>IF(A1071="","",MAX(1,CEILING(PERCENTRANK.INC($D$3:$D$6000,D1071,4)*5+0.000001,1)))</f>
        <v/>
      </c>
      <c r="H1071">
        <f>IF(A1071="","",E1071&amp;F1071&amp;G1071)</f>
        <v/>
      </c>
      <c r="I1071">
        <f>IF(A1071="","",IF(AND(E1071&gt;=4,F1071&gt;=4,G1071&gt;=4),"Juara",IF(AND(F1071&gt;=4,E1071&gt;=3),"Setia",IF(AND(E1071=5,F1071&lt;=2,G1071&gt;=3),"Berpotensi",IF(AND(E1071&lt;=3,E1071&gt;=2,F1071&gt;=3),"Rawan",IF(AND(E1071&lt;=2,F1071&lt;=2),"Tidur","Umum"))))))</f>
        <v/>
      </c>
    </row>
    <row r="1072">
      <c r="B1072">
        <f>IF(A1072="","",$B$1-MAXIFS(Donasi!$A$2:$A$20000,Donasi!$B$2:$B$20000,A1072))</f>
        <v/>
      </c>
      <c r="C1072">
        <f>IF(A1072="","",COUNTIF(Donasi!$B$2:$B$20000,A1072))</f>
        <v/>
      </c>
      <c r="D1072">
        <f>IF(A1072="","",SUMIF(Donasi!$B$2:$B$20000,A1072,Donasi!$C$2:$C$20000))</f>
        <v/>
      </c>
      <c r="E1072">
        <f>IF(A1072="","",6-CEILING(PERCENTRANK.INC($B$3:$B$6000,B1072,4)*5+0.000001,1))</f>
        <v/>
      </c>
      <c r="F1072">
        <f>IF(A1072="","",MAX(1,CEILING(PERCENTRANK.INC($C$3:$C$6000,C1072,4)*5+0.000001,1)))</f>
        <v/>
      </c>
      <c r="G1072">
        <f>IF(A1072="","",MAX(1,CEILING(PERCENTRANK.INC($D$3:$D$6000,D1072,4)*5+0.000001,1)))</f>
        <v/>
      </c>
      <c r="H1072">
        <f>IF(A1072="","",E1072&amp;F1072&amp;G1072)</f>
        <v/>
      </c>
      <c r="I1072">
        <f>IF(A1072="","",IF(AND(E1072&gt;=4,F1072&gt;=4,G1072&gt;=4),"Juara",IF(AND(F1072&gt;=4,E1072&gt;=3),"Setia",IF(AND(E1072=5,F1072&lt;=2,G1072&gt;=3),"Berpotensi",IF(AND(E1072&lt;=3,E1072&gt;=2,F1072&gt;=3),"Rawan",IF(AND(E1072&lt;=2,F1072&lt;=2),"Tidur","Umum"))))))</f>
        <v/>
      </c>
    </row>
    <row r="1073">
      <c r="B1073">
        <f>IF(A1073="","",$B$1-MAXIFS(Donasi!$A$2:$A$20000,Donasi!$B$2:$B$20000,A1073))</f>
        <v/>
      </c>
      <c r="C1073">
        <f>IF(A1073="","",COUNTIF(Donasi!$B$2:$B$20000,A1073))</f>
        <v/>
      </c>
      <c r="D1073">
        <f>IF(A1073="","",SUMIF(Donasi!$B$2:$B$20000,A1073,Donasi!$C$2:$C$20000))</f>
        <v/>
      </c>
      <c r="E1073">
        <f>IF(A1073="","",6-CEILING(PERCENTRANK.INC($B$3:$B$6000,B1073,4)*5+0.000001,1))</f>
        <v/>
      </c>
      <c r="F1073">
        <f>IF(A1073="","",MAX(1,CEILING(PERCENTRANK.INC($C$3:$C$6000,C1073,4)*5+0.000001,1)))</f>
        <v/>
      </c>
      <c r="G1073">
        <f>IF(A1073="","",MAX(1,CEILING(PERCENTRANK.INC($D$3:$D$6000,D1073,4)*5+0.000001,1)))</f>
        <v/>
      </c>
      <c r="H1073">
        <f>IF(A1073="","",E1073&amp;F1073&amp;G1073)</f>
        <v/>
      </c>
      <c r="I1073">
        <f>IF(A1073="","",IF(AND(E1073&gt;=4,F1073&gt;=4,G1073&gt;=4),"Juara",IF(AND(F1073&gt;=4,E1073&gt;=3),"Setia",IF(AND(E1073=5,F1073&lt;=2,G1073&gt;=3),"Berpotensi",IF(AND(E1073&lt;=3,E1073&gt;=2,F1073&gt;=3),"Rawan",IF(AND(E1073&lt;=2,F1073&lt;=2),"Tidur","Umum"))))))</f>
        <v/>
      </c>
    </row>
    <row r="1074">
      <c r="B1074">
        <f>IF(A1074="","",$B$1-MAXIFS(Donasi!$A$2:$A$20000,Donasi!$B$2:$B$20000,A1074))</f>
        <v/>
      </c>
      <c r="C1074">
        <f>IF(A1074="","",COUNTIF(Donasi!$B$2:$B$20000,A1074))</f>
        <v/>
      </c>
      <c r="D1074">
        <f>IF(A1074="","",SUMIF(Donasi!$B$2:$B$20000,A1074,Donasi!$C$2:$C$20000))</f>
        <v/>
      </c>
      <c r="E1074">
        <f>IF(A1074="","",6-CEILING(PERCENTRANK.INC($B$3:$B$6000,B1074,4)*5+0.000001,1))</f>
        <v/>
      </c>
      <c r="F1074">
        <f>IF(A1074="","",MAX(1,CEILING(PERCENTRANK.INC($C$3:$C$6000,C1074,4)*5+0.000001,1)))</f>
        <v/>
      </c>
      <c r="G1074">
        <f>IF(A1074="","",MAX(1,CEILING(PERCENTRANK.INC($D$3:$D$6000,D1074,4)*5+0.000001,1)))</f>
        <v/>
      </c>
      <c r="H1074">
        <f>IF(A1074="","",E1074&amp;F1074&amp;G1074)</f>
        <v/>
      </c>
      <c r="I1074">
        <f>IF(A1074="","",IF(AND(E1074&gt;=4,F1074&gt;=4,G1074&gt;=4),"Juara",IF(AND(F1074&gt;=4,E1074&gt;=3),"Setia",IF(AND(E1074=5,F1074&lt;=2,G1074&gt;=3),"Berpotensi",IF(AND(E1074&lt;=3,E1074&gt;=2,F1074&gt;=3),"Rawan",IF(AND(E1074&lt;=2,F1074&lt;=2),"Tidur","Umum"))))))</f>
        <v/>
      </c>
    </row>
    <row r="1075">
      <c r="B1075">
        <f>IF(A1075="","",$B$1-MAXIFS(Donasi!$A$2:$A$20000,Donasi!$B$2:$B$20000,A1075))</f>
        <v/>
      </c>
      <c r="C1075">
        <f>IF(A1075="","",COUNTIF(Donasi!$B$2:$B$20000,A1075))</f>
        <v/>
      </c>
      <c r="D1075">
        <f>IF(A1075="","",SUMIF(Donasi!$B$2:$B$20000,A1075,Donasi!$C$2:$C$20000))</f>
        <v/>
      </c>
      <c r="E1075">
        <f>IF(A1075="","",6-CEILING(PERCENTRANK.INC($B$3:$B$6000,B1075,4)*5+0.000001,1))</f>
        <v/>
      </c>
      <c r="F1075">
        <f>IF(A1075="","",MAX(1,CEILING(PERCENTRANK.INC($C$3:$C$6000,C1075,4)*5+0.000001,1)))</f>
        <v/>
      </c>
      <c r="G1075">
        <f>IF(A1075="","",MAX(1,CEILING(PERCENTRANK.INC($D$3:$D$6000,D1075,4)*5+0.000001,1)))</f>
        <v/>
      </c>
      <c r="H1075">
        <f>IF(A1075="","",E1075&amp;F1075&amp;G1075)</f>
        <v/>
      </c>
      <c r="I1075">
        <f>IF(A1075="","",IF(AND(E1075&gt;=4,F1075&gt;=4,G1075&gt;=4),"Juara",IF(AND(F1075&gt;=4,E1075&gt;=3),"Setia",IF(AND(E1075=5,F1075&lt;=2,G1075&gt;=3),"Berpotensi",IF(AND(E1075&lt;=3,E1075&gt;=2,F1075&gt;=3),"Rawan",IF(AND(E1075&lt;=2,F1075&lt;=2),"Tidur","Umum"))))))</f>
        <v/>
      </c>
    </row>
    <row r="1076">
      <c r="B1076">
        <f>IF(A1076="","",$B$1-MAXIFS(Donasi!$A$2:$A$20000,Donasi!$B$2:$B$20000,A1076))</f>
        <v/>
      </c>
      <c r="C1076">
        <f>IF(A1076="","",COUNTIF(Donasi!$B$2:$B$20000,A1076))</f>
        <v/>
      </c>
      <c r="D1076">
        <f>IF(A1076="","",SUMIF(Donasi!$B$2:$B$20000,A1076,Donasi!$C$2:$C$20000))</f>
        <v/>
      </c>
      <c r="E1076">
        <f>IF(A1076="","",6-CEILING(PERCENTRANK.INC($B$3:$B$6000,B1076,4)*5+0.000001,1))</f>
        <v/>
      </c>
      <c r="F1076">
        <f>IF(A1076="","",MAX(1,CEILING(PERCENTRANK.INC($C$3:$C$6000,C1076,4)*5+0.000001,1)))</f>
        <v/>
      </c>
      <c r="G1076">
        <f>IF(A1076="","",MAX(1,CEILING(PERCENTRANK.INC($D$3:$D$6000,D1076,4)*5+0.000001,1)))</f>
        <v/>
      </c>
      <c r="H1076">
        <f>IF(A1076="","",E1076&amp;F1076&amp;G1076)</f>
        <v/>
      </c>
      <c r="I1076">
        <f>IF(A1076="","",IF(AND(E1076&gt;=4,F1076&gt;=4,G1076&gt;=4),"Juara",IF(AND(F1076&gt;=4,E1076&gt;=3),"Setia",IF(AND(E1076=5,F1076&lt;=2,G1076&gt;=3),"Berpotensi",IF(AND(E1076&lt;=3,E1076&gt;=2,F1076&gt;=3),"Rawan",IF(AND(E1076&lt;=2,F1076&lt;=2),"Tidur","Umum"))))))</f>
        <v/>
      </c>
    </row>
    <row r="1077">
      <c r="B1077">
        <f>IF(A1077="","",$B$1-MAXIFS(Donasi!$A$2:$A$20000,Donasi!$B$2:$B$20000,A1077))</f>
        <v/>
      </c>
      <c r="C1077">
        <f>IF(A1077="","",COUNTIF(Donasi!$B$2:$B$20000,A1077))</f>
        <v/>
      </c>
      <c r="D1077">
        <f>IF(A1077="","",SUMIF(Donasi!$B$2:$B$20000,A1077,Donasi!$C$2:$C$20000))</f>
        <v/>
      </c>
      <c r="E1077">
        <f>IF(A1077="","",6-CEILING(PERCENTRANK.INC($B$3:$B$6000,B1077,4)*5+0.000001,1))</f>
        <v/>
      </c>
      <c r="F1077">
        <f>IF(A1077="","",MAX(1,CEILING(PERCENTRANK.INC($C$3:$C$6000,C1077,4)*5+0.000001,1)))</f>
        <v/>
      </c>
      <c r="G1077">
        <f>IF(A1077="","",MAX(1,CEILING(PERCENTRANK.INC($D$3:$D$6000,D1077,4)*5+0.000001,1)))</f>
        <v/>
      </c>
      <c r="H1077">
        <f>IF(A1077="","",E1077&amp;F1077&amp;G1077)</f>
        <v/>
      </c>
      <c r="I1077">
        <f>IF(A1077="","",IF(AND(E1077&gt;=4,F1077&gt;=4,G1077&gt;=4),"Juara",IF(AND(F1077&gt;=4,E1077&gt;=3),"Setia",IF(AND(E1077=5,F1077&lt;=2,G1077&gt;=3),"Berpotensi",IF(AND(E1077&lt;=3,E1077&gt;=2,F1077&gt;=3),"Rawan",IF(AND(E1077&lt;=2,F1077&lt;=2),"Tidur","Umum"))))))</f>
        <v/>
      </c>
    </row>
    <row r="1078">
      <c r="B1078">
        <f>IF(A1078="","",$B$1-MAXIFS(Donasi!$A$2:$A$20000,Donasi!$B$2:$B$20000,A1078))</f>
        <v/>
      </c>
      <c r="C1078">
        <f>IF(A1078="","",COUNTIF(Donasi!$B$2:$B$20000,A1078))</f>
        <v/>
      </c>
      <c r="D1078">
        <f>IF(A1078="","",SUMIF(Donasi!$B$2:$B$20000,A1078,Donasi!$C$2:$C$20000))</f>
        <v/>
      </c>
      <c r="E1078">
        <f>IF(A1078="","",6-CEILING(PERCENTRANK.INC($B$3:$B$6000,B1078,4)*5+0.000001,1))</f>
        <v/>
      </c>
      <c r="F1078">
        <f>IF(A1078="","",MAX(1,CEILING(PERCENTRANK.INC($C$3:$C$6000,C1078,4)*5+0.000001,1)))</f>
        <v/>
      </c>
      <c r="G1078">
        <f>IF(A1078="","",MAX(1,CEILING(PERCENTRANK.INC($D$3:$D$6000,D1078,4)*5+0.000001,1)))</f>
        <v/>
      </c>
      <c r="H1078">
        <f>IF(A1078="","",E1078&amp;F1078&amp;G1078)</f>
        <v/>
      </c>
      <c r="I1078">
        <f>IF(A1078="","",IF(AND(E1078&gt;=4,F1078&gt;=4,G1078&gt;=4),"Juara",IF(AND(F1078&gt;=4,E1078&gt;=3),"Setia",IF(AND(E1078=5,F1078&lt;=2,G1078&gt;=3),"Berpotensi",IF(AND(E1078&lt;=3,E1078&gt;=2,F1078&gt;=3),"Rawan",IF(AND(E1078&lt;=2,F1078&lt;=2),"Tidur","Umum"))))))</f>
        <v/>
      </c>
    </row>
    <row r="1079">
      <c r="B1079">
        <f>IF(A1079="","",$B$1-MAXIFS(Donasi!$A$2:$A$20000,Donasi!$B$2:$B$20000,A1079))</f>
        <v/>
      </c>
      <c r="C1079">
        <f>IF(A1079="","",COUNTIF(Donasi!$B$2:$B$20000,A1079))</f>
        <v/>
      </c>
      <c r="D1079">
        <f>IF(A1079="","",SUMIF(Donasi!$B$2:$B$20000,A1079,Donasi!$C$2:$C$20000))</f>
        <v/>
      </c>
      <c r="E1079">
        <f>IF(A1079="","",6-CEILING(PERCENTRANK.INC($B$3:$B$6000,B1079,4)*5+0.000001,1))</f>
        <v/>
      </c>
      <c r="F1079">
        <f>IF(A1079="","",MAX(1,CEILING(PERCENTRANK.INC($C$3:$C$6000,C1079,4)*5+0.000001,1)))</f>
        <v/>
      </c>
      <c r="G1079">
        <f>IF(A1079="","",MAX(1,CEILING(PERCENTRANK.INC($D$3:$D$6000,D1079,4)*5+0.000001,1)))</f>
        <v/>
      </c>
      <c r="H1079">
        <f>IF(A1079="","",E1079&amp;F1079&amp;G1079)</f>
        <v/>
      </c>
      <c r="I1079">
        <f>IF(A1079="","",IF(AND(E1079&gt;=4,F1079&gt;=4,G1079&gt;=4),"Juara",IF(AND(F1079&gt;=4,E1079&gt;=3),"Setia",IF(AND(E1079=5,F1079&lt;=2,G1079&gt;=3),"Berpotensi",IF(AND(E1079&lt;=3,E1079&gt;=2,F1079&gt;=3),"Rawan",IF(AND(E1079&lt;=2,F1079&lt;=2),"Tidur","Umum"))))))</f>
        <v/>
      </c>
    </row>
    <row r="1080">
      <c r="B1080">
        <f>IF(A1080="","",$B$1-MAXIFS(Donasi!$A$2:$A$20000,Donasi!$B$2:$B$20000,A1080))</f>
        <v/>
      </c>
      <c r="C1080">
        <f>IF(A1080="","",COUNTIF(Donasi!$B$2:$B$20000,A1080))</f>
        <v/>
      </c>
      <c r="D1080">
        <f>IF(A1080="","",SUMIF(Donasi!$B$2:$B$20000,A1080,Donasi!$C$2:$C$20000))</f>
        <v/>
      </c>
      <c r="E1080">
        <f>IF(A1080="","",6-CEILING(PERCENTRANK.INC($B$3:$B$6000,B1080,4)*5+0.000001,1))</f>
        <v/>
      </c>
      <c r="F1080">
        <f>IF(A1080="","",MAX(1,CEILING(PERCENTRANK.INC($C$3:$C$6000,C1080,4)*5+0.000001,1)))</f>
        <v/>
      </c>
      <c r="G1080">
        <f>IF(A1080="","",MAX(1,CEILING(PERCENTRANK.INC($D$3:$D$6000,D1080,4)*5+0.000001,1)))</f>
        <v/>
      </c>
      <c r="H1080">
        <f>IF(A1080="","",E1080&amp;F1080&amp;G1080)</f>
        <v/>
      </c>
      <c r="I1080">
        <f>IF(A1080="","",IF(AND(E1080&gt;=4,F1080&gt;=4,G1080&gt;=4),"Juara",IF(AND(F1080&gt;=4,E1080&gt;=3),"Setia",IF(AND(E1080=5,F1080&lt;=2,G1080&gt;=3),"Berpotensi",IF(AND(E1080&lt;=3,E1080&gt;=2,F1080&gt;=3),"Rawan",IF(AND(E1080&lt;=2,F1080&lt;=2),"Tidur","Umum"))))))</f>
        <v/>
      </c>
    </row>
    <row r="1081">
      <c r="B1081">
        <f>IF(A1081="","",$B$1-MAXIFS(Donasi!$A$2:$A$20000,Donasi!$B$2:$B$20000,A1081))</f>
        <v/>
      </c>
      <c r="C1081">
        <f>IF(A1081="","",COUNTIF(Donasi!$B$2:$B$20000,A1081))</f>
        <v/>
      </c>
      <c r="D1081">
        <f>IF(A1081="","",SUMIF(Donasi!$B$2:$B$20000,A1081,Donasi!$C$2:$C$20000))</f>
        <v/>
      </c>
      <c r="E1081">
        <f>IF(A1081="","",6-CEILING(PERCENTRANK.INC($B$3:$B$6000,B1081,4)*5+0.000001,1))</f>
        <v/>
      </c>
      <c r="F1081">
        <f>IF(A1081="","",MAX(1,CEILING(PERCENTRANK.INC($C$3:$C$6000,C1081,4)*5+0.000001,1)))</f>
        <v/>
      </c>
      <c r="G1081">
        <f>IF(A1081="","",MAX(1,CEILING(PERCENTRANK.INC($D$3:$D$6000,D1081,4)*5+0.000001,1)))</f>
        <v/>
      </c>
      <c r="H1081">
        <f>IF(A1081="","",E1081&amp;F1081&amp;G1081)</f>
        <v/>
      </c>
      <c r="I1081">
        <f>IF(A1081="","",IF(AND(E1081&gt;=4,F1081&gt;=4,G1081&gt;=4),"Juara",IF(AND(F1081&gt;=4,E1081&gt;=3),"Setia",IF(AND(E1081=5,F1081&lt;=2,G1081&gt;=3),"Berpotensi",IF(AND(E1081&lt;=3,E1081&gt;=2,F1081&gt;=3),"Rawan",IF(AND(E1081&lt;=2,F1081&lt;=2),"Tidur","Umum"))))))</f>
        <v/>
      </c>
    </row>
    <row r="1082">
      <c r="B1082">
        <f>IF(A1082="","",$B$1-MAXIFS(Donasi!$A$2:$A$20000,Donasi!$B$2:$B$20000,A1082))</f>
        <v/>
      </c>
      <c r="C1082">
        <f>IF(A1082="","",COUNTIF(Donasi!$B$2:$B$20000,A1082))</f>
        <v/>
      </c>
      <c r="D1082">
        <f>IF(A1082="","",SUMIF(Donasi!$B$2:$B$20000,A1082,Donasi!$C$2:$C$20000))</f>
        <v/>
      </c>
      <c r="E1082">
        <f>IF(A1082="","",6-CEILING(PERCENTRANK.INC($B$3:$B$6000,B1082,4)*5+0.000001,1))</f>
        <v/>
      </c>
      <c r="F1082">
        <f>IF(A1082="","",MAX(1,CEILING(PERCENTRANK.INC($C$3:$C$6000,C1082,4)*5+0.000001,1)))</f>
        <v/>
      </c>
      <c r="G1082">
        <f>IF(A1082="","",MAX(1,CEILING(PERCENTRANK.INC($D$3:$D$6000,D1082,4)*5+0.000001,1)))</f>
        <v/>
      </c>
      <c r="H1082">
        <f>IF(A1082="","",E1082&amp;F1082&amp;G1082)</f>
        <v/>
      </c>
      <c r="I1082">
        <f>IF(A1082="","",IF(AND(E1082&gt;=4,F1082&gt;=4,G1082&gt;=4),"Juara",IF(AND(F1082&gt;=4,E1082&gt;=3),"Setia",IF(AND(E1082=5,F1082&lt;=2,G1082&gt;=3),"Berpotensi",IF(AND(E1082&lt;=3,E1082&gt;=2,F1082&gt;=3),"Rawan",IF(AND(E1082&lt;=2,F1082&lt;=2),"Tidur","Umum"))))))</f>
        <v/>
      </c>
    </row>
    <row r="1083">
      <c r="B1083">
        <f>IF(A1083="","",$B$1-MAXIFS(Donasi!$A$2:$A$20000,Donasi!$B$2:$B$20000,A1083))</f>
        <v/>
      </c>
      <c r="C1083">
        <f>IF(A1083="","",COUNTIF(Donasi!$B$2:$B$20000,A1083))</f>
        <v/>
      </c>
      <c r="D1083">
        <f>IF(A1083="","",SUMIF(Donasi!$B$2:$B$20000,A1083,Donasi!$C$2:$C$20000))</f>
        <v/>
      </c>
      <c r="E1083">
        <f>IF(A1083="","",6-CEILING(PERCENTRANK.INC($B$3:$B$6000,B1083,4)*5+0.000001,1))</f>
        <v/>
      </c>
      <c r="F1083">
        <f>IF(A1083="","",MAX(1,CEILING(PERCENTRANK.INC($C$3:$C$6000,C1083,4)*5+0.000001,1)))</f>
        <v/>
      </c>
      <c r="G1083">
        <f>IF(A1083="","",MAX(1,CEILING(PERCENTRANK.INC($D$3:$D$6000,D1083,4)*5+0.000001,1)))</f>
        <v/>
      </c>
      <c r="H1083">
        <f>IF(A1083="","",E1083&amp;F1083&amp;G1083)</f>
        <v/>
      </c>
      <c r="I1083">
        <f>IF(A1083="","",IF(AND(E1083&gt;=4,F1083&gt;=4,G1083&gt;=4),"Juara",IF(AND(F1083&gt;=4,E1083&gt;=3),"Setia",IF(AND(E1083=5,F1083&lt;=2,G1083&gt;=3),"Berpotensi",IF(AND(E1083&lt;=3,E1083&gt;=2,F1083&gt;=3),"Rawan",IF(AND(E1083&lt;=2,F1083&lt;=2),"Tidur","Umum"))))))</f>
        <v/>
      </c>
    </row>
    <row r="1084">
      <c r="B1084">
        <f>IF(A1084="","",$B$1-MAXIFS(Donasi!$A$2:$A$20000,Donasi!$B$2:$B$20000,A1084))</f>
        <v/>
      </c>
      <c r="C1084">
        <f>IF(A1084="","",COUNTIF(Donasi!$B$2:$B$20000,A1084))</f>
        <v/>
      </c>
      <c r="D1084">
        <f>IF(A1084="","",SUMIF(Donasi!$B$2:$B$20000,A1084,Donasi!$C$2:$C$20000))</f>
        <v/>
      </c>
      <c r="E1084">
        <f>IF(A1084="","",6-CEILING(PERCENTRANK.INC($B$3:$B$6000,B1084,4)*5+0.000001,1))</f>
        <v/>
      </c>
      <c r="F1084">
        <f>IF(A1084="","",MAX(1,CEILING(PERCENTRANK.INC($C$3:$C$6000,C1084,4)*5+0.000001,1)))</f>
        <v/>
      </c>
      <c r="G1084">
        <f>IF(A1084="","",MAX(1,CEILING(PERCENTRANK.INC($D$3:$D$6000,D1084,4)*5+0.000001,1)))</f>
        <v/>
      </c>
      <c r="H1084">
        <f>IF(A1084="","",E1084&amp;F1084&amp;G1084)</f>
        <v/>
      </c>
      <c r="I1084">
        <f>IF(A1084="","",IF(AND(E1084&gt;=4,F1084&gt;=4,G1084&gt;=4),"Juara",IF(AND(F1084&gt;=4,E1084&gt;=3),"Setia",IF(AND(E1084=5,F1084&lt;=2,G1084&gt;=3),"Berpotensi",IF(AND(E1084&lt;=3,E1084&gt;=2,F1084&gt;=3),"Rawan",IF(AND(E1084&lt;=2,F1084&lt;=2),"Tidur","Umum"))))))</f>
        <v/>
      </c>
    </row>
    <row r="1085">
      <c r="B1085">
        <f>IF(A1085="","",$B$1-MAXIFS(Donasi!$A$2:$A$20000,Donasi!$B$2:$B$20000,A1085))</f>
        <v/>
      </c>
      <c r="C1085">
        <f>IF(A1085="","",COUNTIF(Donasi!$B$2:$B$20000,A1085))</f>
        <v/>
      </c>
      <c r="D1085">
        <f>IF(A1085="","",SUMIF(Donasi!$B$2:$B$20000,A1085,Donasi!$C$2:$C$20000))</f>
        <v/>
      </c>
      <c r="E1085">
        <f>IF(A1085="","",6-CEILING(PERCENTRANK.INC($B$3:$B$6000,B1085,4)*5+0.000001,1))</f>
        <v/>
      </c>
      <c r="F1085">
        <f>IF(A1085="","",MAX(1,CEILING(PERCENTRANK.INC($C$3:$C$6000,C1085,4)*5+0.000001,1)))</f>
        <v/>
      </c>
      <c r="G1085">
        <f>IF(A1085="","",MAX(1,CEILING(PERCENTRANK.INC($D$3:$D$6000,D1085,4)*5+0.000001,1)))</f>
        <v/>
      </c>
      <c r="H1085">
        <f>IF(A1085="","",E1085&amp;F1085&amp;G1085)</f>
        <v/>
      </c>
      <c r="I1085">
        <f>IF(A1085="","",IF(AND(E1085&gt;=4,F1085&gt;=4,G1085&gt;=4),"Juara",IF(AND(F1085&gt;=4,E1085&gt;=3),"Setia",IF(AND(E1085=5,F1085&lt;=2,G1085&gt;=3),"Berpotensi",IF(AND(E1085&lt;=3,E1085&gt;=2,F1085&gt;=3),"Rawan",IF(AND(E1085&lt;=2,F1085&lt;=2),"Tidur","Umum"))))))</f>
        <v/>
      </c>
    </row>
    <row r="1086">
      <c r="B1086">
        <f>IF(A1086="","",$B$1-MAXIFS(Donasi!$A$2:$A$20000,Donasi!$B$2:$B$20000,A1086))</f>
        <v/>
      </c>
      <c r="C1086">
        <f>IF(A1086="","",COUNTIF(Donasi!$B$2:$B$20000,A1086))</f>
        <v/>
      </c>
      <c r="D1086">
        <f>IF(A1086="","",SUMIF(Donasi!$B$2:$B$20000,A1086,Donasi!$C$2:$C$20000))</f>
        <v/>
      </c>
      <c r="E1086">
        <f>IF(A1086="","",6-CEILING(PERCENTRANK.INC($B$3:$B$6000,B1086,4)*5+0.000001,1))</f>
        <v/>
      </c>
      <c r="F1086">
        <f>IF(A1086="","",MAX(1,CEILING(PERCENTRANK.INC($C$3:$C$6000,C1086,4)*5+0.000001,1)))</f>
        <v/>
      </c>
      <c r="G1086">
        <f>IF(A1086="","",MAX(1,CEILING(PERCENTRANK.INC($D$3:$D$6000,D1086,4)*5+0.000001,1)))</f>
        <v/>
      </c>
      <c r="H1086">
        <f>IF(A1086="","",E1086&amp;F1086&amp;G1086)</f>
        <v/>
      </c>
      <c r="I1086">
        <f>IF(A1086="","",IF(AND(E1086&gt;=4,F1086&gt;=4,G1086&gt;=4),"Juara",IF(AND(F1086&gt;=4,E1086&gt;=3),"Setia",IF(AND(E1086=5,F1086&lt;=2,G1086&gt;=3),"Berpotensi",IF(AND(E1086&lt;=3,E1086&gt;=2,F1086&gt;=3),"Rawan",IF(AND(E1086&lt;=2,F1086&lt;=2),"Tidur","Umum"))))))</f>
        <v/>
      </c>
    </row>
    <row r="1087">
      <c r="B1087">
        <f>IF(A1087="","",$B$1-MAXIFS(Donasi!$A$2:$A$20000,Donasi!$B$2:$B$20000,A1087))</f>
        <v/>
      </c>
      <c r="C1087">
        <f>IF(A1087="","",COUNTIF(Donasi!$B$2:$B$20000,A1087))</f>
        <v/>
      </c>
      <c r="D1087">
        <f>IF(A1087="","",SUMIF(Donasi!$B$2:$B$20000,A1087,Donasi!$C$2:$C$20000))</f>
        <v/>
      </c>
      <c r="E1087">
        <f>IF(A1087="","",6-CEILING(PERCENTRANK.INC($B$3:$B$6000,B1087,4)*5+0.000001,1))</f>
        <v/>
      </c>
      <c r="F1087">
        <f>IF(A1087="","",MAX(1,CEILING(PERCENTRANK.INC($C$3:$C$6000,C1087,4)*5+0.000001,1)))</f>
        <v/>
      </c>
      <c r="G1087">
        <f>IF(A1087="","",MAX(1,CEILING(PERCENTRANK.INC($D$3:$D$6000,D1087,4)*5+0.000001,1)))</f>
        <v/>
      </c>
      <c r="H1087">
        <f>IF(A1087="","",E1087&amp;F1087&amp;G1087)</f>
        <v/>
      </c>
      <c r="I1087">
        <f>IF(A1087="","",IF(AND(E1087&gt;=4,F1087&gt;=4,G1087&gt;=4),"Juara",IF(AND(F1087&gt;=4,E1087&gt;=3),"Setia",IF(AND(E1087=5,F1087&lt;=2,G1087&gt;=3),"Berpotensi",IF(AND(E1087&lt;=3,E1087&gt;=2,F1087&gt;=3),"Rawan",IF(AND(E1087&lt;=2,F1087&lt;=2),"Tidur","Umum"))))))</f>
        <v/>
      </c>
    </row>
    <row r="1088">
      <c r="B1088">
        <f>IF(A1088="","",$B$1-MAXIFS(Donasi!$A$2:$A$20000,Donasi!$B$2:$B$20000,A1088))</f>
        <v/>
      </c>
      <c r="C1088">
        <f>IF(A1088="","",COUNTIF(Donasi!$B$2:$B$20000,A1088))</f>
        <v/>
      </c>
      <c r="D1088">
        <f>IF(A1088="","",SUMIF(Donasi!$B$2:$B$20000,A1088,Donasi!$C$2:$C$20000))</f>
        <v/>
      </c>
      <c r="E1088">
        <f>IF(A1088="","",6-CEILING(PERCENTRANK.INC($B$3:$B$6000,B1088,4)*5+0.000001,1))</f>
        <v/>
      </c>
      <c r="F1088">
        <f>IF(A1088="","",MAX(1,CEILING(PERCENTRANK.INC($C$3:$C$6000,C1088,4)*5+0.000001,1)))</f>
        <v/>
      </c>
      <c r="G1088">
        <f>IF(A1088="","",MAX(1,CEILING(PERCENTRANK.INC($D$3:$D$6000,D1088,4)*5+0.000001,1)))</f>
        <v/>
      </c>
      <c r="H1088">
        <f>IF(A1088="","",E1088&amp;F1088&amp;G1088)</f>
        <v/>
      </c>
      <c r="I1088">
        <f>IF(A1088="","",IF(AND(E1088&gt;=4,F1088&gt;=4,G1088&gt;=4),"Juara",IF(AND(F1088&gt;=4,E1088&gt;=3),"Setia",IF(AND(E1088=5,F1088&lt;=2,G1088&gt;=3),"Berpotensi",IF(AND(E1088&lt;=3,E1088&gt;=2,F1088&gt;=3),"Rawan",IF(AND(E1088&lt;=2,F1088&lt;=2),"Tidur","Umum"))))))</f>
        <v/>
      </c>
    </row>
    <row r="1089">
      <c r="B1089">
        <f>IF(A1089="","",$B$1-MAXIFS(Donasi!$A$2:$A$20000,Donasi!$B$2:$B$20000,A1089))</f>
        <v/>
      </c>
      <c r="C1089">
        <f>IF(A1089="","",COUNTIF(Donasi!$B$2:$B$20000,A1089))</f>
        <v/>
      </c>
      <c r="D1089">
        <f>IF(A1089="","",SUMIF(Donasi!$B$2:$B$20000,A1089,Donasi!$C$2:$C$20000))</f>
        <v/>
      </c>
      <c r="E1089">
        <f>IF(A1089="","",6-CEILING(PERCENTRANK.INC($B$3:$B$6000,B1089,4)*5+0.000001,1))</f>
        <v/>
      </c>
      <c r="F1089">
        <f>IF(A1089="","",MAX(1,CEILING(PERCENTRANK.INC($C$3:$C$6000,C1089,4)*5+0.000001,1)))</f>
        <v/>
      </c>
      <c r="G1089">
        <f>IF(A1089="","",MAX(1,CEILING(PERCENTRANK.INC($D$3:$D$6000,D1089,4)*5+0.000001,1)))</f>
        <v/>
      </c>
      <c r="H1089">
        <f>IF(A1089="","",E1089&amp;F1089&amp;G1089)</f>
        <v/>
      </c>
      <c r="I1089">
        <f>IF(A1089="","",IF(AND(E1089&gt;=4,F1089&gt;=4,G1089&gt;=4),"Juara",IF(AND(F1089&gt;=4,E1089&gt;=3),"Setia",IF(AND(E1089=5,F1089&lt;=2,G1089&gt;=3),"Berpotensi",IF(AND(E1089&lt;=3,E1089&gt;=2,F1089&gt;=3),"Rawan",IF(AND(E1089&lt;=2,F1089&lt;=2),"Tidur","Umum"))))))</f>
        <v/>
      </c>
    </row>
    <row r="1090">
      <c r="B1090">
        <f>IF(A1090="","",$B$1-MAXIFS(Donasi!$A$2:$A$20000,Donasi!$B$2:$B$20000,A1090))</f>
        <v/>
      </c>
      <c r="C1090">
        <f>IF(A1090="","",COUNTIF(Donasi!$B$2:$B$20000,A1090))</f>
        <v/>
      </c>
      <c r="D1090">
        <f>IF(A1090="","",SUMIF(Donasi!$B$2:$B$20000,A1090,Donasi!$C$2:$C$20000))</f>
        <v/>
      </c>
      <c r="E1090">
        <f>IF(A1090="","",6-CEILING(PERCENTRANK.INC($B$3:$B$6000,B1090,4)*5+0.000001,1))</f>
        <v/>
      </c>
      <c r="F1090">
        <f>IF(A1090="","",MAX(1,CEILING(PERCENTRANK.INC($C$3:$C$6000,C1090,4)*5+0.000001,1)))</f>
        <v/>
      </c>
      <c r="G1090">
        <f>IF(A1090="","",MAX(1,CEILING(PERCENTRANK.INC($D$3:$D$6000,D1090,4)*5+0.000001,1)))</f>
        <v/>
      </c>
      <c r="H1090">
        <f>IF(A1090="","",E1090&amp;F1090&amp;G1090)</f>
        <v/>
      </c>
      <c r="I1090">
        <f>IF(A1090="","",IF(AND(E1090&gt;=4,F1090&gt;=4,G1090&gt;=4),"Juara",IF(AND(F1090&gt;=4,E1090&gt;=3),"Setia",IF(AND(E1090=5,F1090&lt;=2,G1090&gt;=3),"Berpotensi",IF(AND(E1090&lt;=3,E1090&gt;=2,F1090&gt;=3),"Rawan",IF(AND(E1090&lt;=2,F1090&lt;=2),"Tidur","Umum"))))))</f>
        <v/>
      </c>
    </row>
    <row r="1091">
      <c r="B1091">
        <f>IF(A1091="","",$B$1-MAXIFS(Donasi!$A$2:$A$20000,Donasi!$B$2:$B$20000,A1091))</f>
        <v/>
      </c>
      <c r="C1091">
        <f>IF(A1091="","",COUNTIF(Donasi!$B$2:$B$20000,A1091))</f>
        <v/>
      </c>
      <c r="D1091">
        <f>IF(A1091="","",SUMIF(Donasi!$B$2:$B$20000,A1091,Donasi!$C$2:$C$20000))</f>
        <v/>
      </c>
      <c r="E1091">
        <f>IF(A1091="","",6-CEILING(PERCENTRANK.INC($B$3:$B$6000,B1091,4)*5+0.000001,1))</f>
        <v/>
      </c>
      <c r="F1091">
        <f>IF(A1091="","",MAX(1,CEILING(PERCENTRANK.INC($C$3:$C$6000,C1091,4)*5+0.000001,1)))</f>
        <v/>
      </c>
      <c r="G1091">
        <f>IF(A1091="","",MAX(1,CEILING(PERCENTRANK.INC($D$3:$D$6000,D1091,4)*5+0.000001,1)))</f>
        <v/>
      </c>
      <c r="H1091">
        <f>IF(A1091="","",E1091&amp;F1091&amp;G1091)</f>
        <v/>
      </c>
      <c r="I1091">
        <f>IF(A1091="","",IF(AND(E1091&gt;=4,F1091&gt;=4,G1091&gt;=4),"Juara",IF(AND(F1091&gt;=4,E1091&gt;=3),"Setia",IF(AND(E1091=5,F1091&lt;=2,G1091&gt;=3),"Berpotensi",IF(AND(E1091&lt;=3,E1091&gt;=2,F1091&gt;=3),"Rawan",IF(AND(E1091&lt;=2,F1091&lt;=2),"Tidur","Umum"))))))</f>
        <v/>
      </c>
    </row>
    <row r="1092">
      <c r="B1092">
        <f>IF(A1092="","",$B$1-MAXIFS(Donasi!$A$2:$A$20000,Donasi!$B$2:$B$20000,A1092))</f>
        <v/>
      </c>
      <c r="C1092">
        <f>IF(A1092="","",COUNTIF(Donasi!$B$2:$B$20000,A1092))</f>
        <v/>
      </c>
      <c r="D1092">
        <f>IF(A1092="","",SUMIF(Donasi!$B$2:$B$20000,A1092,Donasi!$C$2:$C$20000))</f>
        <v/>
      </c>
      <c r="E1092">
        <f>IF(A1092="","",6-CEILING(PERCENTRANK.INC($B$3:$B$6000,B1092,4)*5+0.000001,1))</f>
        <v/>
      </c>
      <c r="F1092">
        <f>IF(A1092="","",MAX(1,CEILING(PERCENTRANK.INC($C$3:$C$6000,C1092,4)*5+0.000001,1)))</f>
        <v/>
      </c>
      <c r="G1092">
        <f>IF(A1092="","",MAX(1,CEILING(PERCENTRANK.INC($D$3:$D$6000,D1092,4)*5+0.000001,1)))</f>
        <v/>
      </c>
      <c r="H1092">
        <f>IF(A1092="","",E1092&amp;F1092&amp;G1092)</f>
        <v/>
      </c>
      <c r="I1092">
        <f>IF(A1092="","",IF(AND(E1092&gt;=4,F1092&gt;=4,G1092&gt;=4),"Juara",IF(AND(F1092&gt;=4,E1092&gt;=3),"Setia",IF(AND(E1092=5,F1092&lt;=2,G1092&gt;=3),"Berpotensi",IF(AND(E1092&lt;=3,E1092&gt;=2,F1092&gt;=3),"Rawan",IF(AND(E1092&lt;=2,F1092&lt;=2),"Tidur","Umum"))))))</f>
        <v/>
      </c>
    </row>
    <row r="1093">
      <c r="B1093">
        <f>IF(A1093="","",$B$1-MAXIFS(Donasi!$A$2:$A$20000,Donasi!$B$2:$B$20000,A1093))</f>
        <v/>
      </c>
      <c r="C1093">
        <f>IF(A1093="","",COUNTIF(Donasi!$B$2:$B$20000,A1093))</f>
        <v/>
      </c>
      <c r="D1093">
        <f>IF(A1093="","",SUMIF(Donasi!$B$2:$B$20000,A1093,Donasi!$C$2:$C$20000))</f>
        <v/>
      </c>
      <c r="E1093">
        <f>IF(A1093="","",6-CEILING(PERCENTRANK.INC($B$3:$B$6000,B1093,4)*5+0.000001,1))</f>
        <v/>
      </c>
      <c r="F1093">
        <f>IF(A1093="","",MAX(1,CEILING(PERCENTRANK.INC($C$3:$C$6000,C1093,4)*5+0.000001,1)))</f>
        <v/>
      </c>
      <c r="G1093">
        <f>IF(A1093="","",MAX(1,CEILING(PERCENTRANK.INC($D$3:$D$6000,D1093,4)*5+0.000001,1)))</f>
        <v/>
      </c>
      <c r="H1093">
        <f>IF(A1093="","",E1093&amp;F1093&amp;G1093)</f>
        <v/>
      </c>
      <c r="I1093">
        <f>IF(A1093="","",IF(AND(E1093&gt;=4,F1093&gt;=4,G1093&gt;=4),"Juara",IF(AND(F1093&gt;=4,E1093&gt;=3),"Setia",IF(AND(E1093=5,F1093&lt;=2,G1093&gt;=3),"Berpotensi",IF(AND(E1093&lt;=3,E1093&gt;=2,F1093&gt;=3),"Rawan",IF(AND(E1093&lt;=2,F1093&lt;=2),"Tidur","Umum"))))))</f>
        <v/>
      </c>
    </row>
    <row r="1094">
      <c r="B1094">
        <f>IF(A1094="","",$B$1-MAXIFS(Donasi!$A$2:$A$20000,Donasi!$B$2:$B$20000,A1094))</f>
        <v/>
      </c>
      <c r="C1094">
        <f>IF(A1094="","",COUNTIF(Donasi!$B$2:$B$20000,A1094))</f>
        <v/>
      </c>
      <c r="D1094">
        <f>IF(A1094="","",SUMIF(Donasi!$B$2:$B$20000,A1094,Donasi!$C$2:$C$20000))</f>
        <v/>
      </c>
      <c r="E1094">
        <f>IF(A1094="","",6-CEILING(PERCENTRANK.INC($B$3:$B$6000,B1094,4)*5+0.000001,1))</f>
        <v/>
      </c>
      <c r="F1094">
        <f>IF(A1094="","",MAX(1,CEILING(PERCENTRANK.INC($C$3:$C$6000,C1094,4)*5+0.000001,1)))</f>
        <v/>
      </c>
      <c r="G1094">
        <f>IF(A1094="","",MAX(1,CEILING(PERCENTRANK.INC($D$3:$D$6000,D1094,4)*5+0.000001,1)))</f>
        <v/>
      </c>
      <c r="H1094">
        <f>IF(A1094="","",E1094&amp;F1094&amp;G1094)</f>
        <v/>
      </c>
      <c r="I1094">
        <f>IF(A1094="","",IF(AND(E1094&gt;=4,F1094&gt;=4,G1094&gt;=4),"Juara",IF(AND(F1094&gt;=4,E1094&gt;=3),"Setia",IF(AND(E1094=5,F1094&lt;=2,G1094&gt;=3),"Berpotensi",IF(AND(E1094&lt;=3,E1094&gt;=2,F1094&gt;=3),"Rawan",IF(AND(E1094&lt;=2,F1094&lt;=2),"Tidur","Umum"))))))</f>
        <v/>
      </c>
    </row>
    <row r="1095">
      <c r="B1095">
        <f>IF(A1095="","",$B$1-MAXIFS(Donasi!$A$2:$A$20000,Donasi!$B$2:$B$20000,A1095))</f>
        <v/>
      </c>
      <c r="C1095">
        <f>IF(A1095="","",COUNTIF(Donasi!$B$2:$B$20000,A1095))</f>
        <v/>
      </c>
      <c r="D1095">
        <f>IF(A1095="","",SUMIF(Donasi!$B$2:$B$20000,A1095,Donasi!$C$2:$C$20000))</f>
        <v/>
      </c>
      <c r="E1095">
        <f>IF(A1095="","",6-CEILING(PERCENTRANK.INC($B$3:$B$6000,B1095,4)*5+0.000001,1))</f>
        <v/>
      </c>
      <c r="F1095">
        <f>IF(A1095="","",MAX(1,CEILING(PERCENTRANK.INC($C$3:$C$6000,C1095,4)*5+0.000001,1)))</f>
        <v/>
      </c>
      <c r="G1095">
        <f>IF(A1095="","",MAX(1,CEILING(PERCENTRANK.INC($D$3:$D$6000,D1095,4)*5+0.000001,1)))</f>
        <v/>
      </c>
      <c r="H1095">
        <f>IF(A1095="","",E1095&amp;F1095&amp;G1095)</f>
        <v/>
      </c>
      <c r="I1095">
        <f>IF(A1095="","",IF(AND(E1095&gt;=4,F1095&gt;=4,G1095&gt;=4),"Juara",IF(AND(F1095&gt;=4,E1095&gt;=3),"Setia",IF(AND(E1095=5,F1095&lt;=2,G1095&gt;=3),"Berpotensi",IF(AND(E1095&lt;=3,E1095&gt;=2,F1095&gt;=3),"Rawan",IF(AND(E1095&lt;=2,F1095&lt;=2),"Tidur","Umum"))))))</f>
        <v/>
      </c>
    </row>
    <row r="1096">
      <c r="B1096">
        <f>IF(A1096="","",$B$1-MAXIFS(Donasi!$A$2:$A$20000,Donasi!$B$2:$B$20000,A1096))</f>
        <v/>
      </c>
      <c r="C1096">
        <f>IF(A1096="","",COUNTIF(Donasi!$B$2:$B$20000,A1096))</f>
        <v/>
      </c>
      <c r="D1096">
        <f>IF(A1096="","",SUMIF(Donasi!$B$2:$B$20000,A1096,Donasi!$C$2:$C$20000))</f>
        <v/>
      </c>
      <c r="E1096">
        <f>IF(A1096="","",6-CEILING(PERCENTRANK.INC($B$3:$B$6000,B1096,4)*5+0.000001,1))</f>
        <v/>
      </c>
      <c r="F1096">
        <f>IF(A1096="","",MAX(1,CEILING(PERCENTRANK.INC($C$3:$C$6000,C1096,4)*5+0.000001,1)))</f>
        <v/>
      </c>
      <c r="G1096">
        <f>IF(A1096="","",MAX(1,CEILING(PERCENTRANK.INC($D$3:$D$6000,D1096,4)*5+0.000001,1)))</f>
        <v/>
      </c>
      <c r="H1096">
        <f>IF(A1096="","",E1096&amp;F1096&amp;G1096)</f>
        <v/>
      </c>
      <c r="I1096">
        <f>IF(A1096="","",IF(AND(E1096&gt;=4,F1096&gt;=4,G1096&gt;=4),"Juara",IF(AND(F1096&gt;=4,E1096&gt;=3),"Setia",IF(AND(E1096=5,F1096&lt;=2,G1096&gt;=3),"Berpotensi",IF(AND(E1096&lt;=3,E1096&gt;=2,F1096&gt;=3),"Rawan",IF(AND(E1096&lt;=2,F1096&lt;=2),"Tidur","Umum"))))))</f>
        <v/>
      </c>
    </row>
    <row r="1097">
      <c r="B1097">
        <f>IF(A1097="","",$B$1-MAXIFS(Donasi!$A$2:$A$20000,Donasi!$B$2:$B$20000,A1097))</f>
        <v/>
      </c>
      <c r="C1097">
        <f>IF(A1097="","",COUNTIF(Donasi!$B$2:$B$20000,A1097))</f>
        <v/>
      </c>
      <c r="D1097">
        <f>IF(A1097="","",SUMIF(Donasi!$B$2:$B$20000,A1097,Donasi!$C$2:$C$20000))</f>
        <v/>
      </c>
      <c r="E1097">
        <f>IF(A1097="","",6-CEILING(PERCENTRANK.INC($B$3:$B$6000,B1097,4)*5+0.000001,1))</f>
        <v/>
      </c>
      <c r="F1097">
        <f>IF(A1097="","",MAX(1,CEILING(PERCENTRANK.INC($C$3:$C$6000,C1097,4)*5+0.000001,1)))</f>
        <v/>
      </c>
      <c r="G1097">
        <f>IF(A1097="","",MAX(1,CEILING(PERCENTRANK.INC($D$3:$D$6000,D1097,4)*5+0.000001,1)))</f>
        <v/>
      </c>
      <c r="H1097">
        <f>IF(A1097="","",E1097&amp;F1097&amp;G1097)</f>
        <v/>
      </c>
      <c r="I1097">
        <f>IF(A1097="","",IF(AND(E1097&gt;=4,F1097&gt;=4,G1097&gt;=4),"Juara",IF(AND(F1097&gt;=4,E1097&gt;=3),"Setia",IF(AND(E1097=5,F1097&lt;=2,G1097&gt;=3),"Berpotensi",IF(AND(E1097&lt;=3,E1097&gt;=2,F1097&gt;=3),"Rawan",IF(AND(E1097&lt;=2,F1097&lt;=2),"Tidur","Umum"))))))</f>
        <v/>
      </c>
    </row>
    <row r="1098">
      <c r="B1098">
        <f>IF(A1098="","",$B$1-MAXIFS(Donasi!$A$2:$A$20000,Donasi!$B$2:$B$20000,A1098))</f>
        <v/>
      </c>
      <c r="C1098">
        <f>IF(A1098="","",COUNTIF(Donasi!$B$2:$B$20000,A1098))</f>
        <v/>
      </c>
      <c r="D1098">
        <f>IF(A1098="","",SUMIF(Donasi!$B$2:$B$20000,A1098,Donasi!$C$2:$C$20000))</f>
        <v/>
      </c>
      <c r="E1098">
        <f>IF(A1098="","",6-CEILING(PERCENTRANK.INC($B$3:$B$6000,B1098,4)*5+0.000001,1))</f>
        <v/>
      </c>
      <c r="F1098">
        <f>IF(A1098="","",MAX(1,CEILING(PERCENTRANK.INC($C$3:$C$6000,C1098,4)*5+0.000001,1)))</f>
        <v/>
      </c>
      <c r="G1098">
        <f>IF(A1098="","",MAX(1,CEILING(PERCENTRANK.INC($D$3:$D$6000,D1098,4)*5+0.000001,1)))</f>
        <v/>
      </c>
      <c r="H1098">
        <f>IF(A1098="","",E1098&amp;F1098&amp;G1098)</f>
        <v/>
      </c>
      <c r="I1098">
        <f>IF(A1098="","",IF(AND(E1098&gt;=4,F1098&gt;=4,G1098&gt;=4),"Juara",IF(AND(F1098&gt;=4,E1098&gt;=3),"Setia",IF(AND(E1098=5,F1098&lt;=2,G1098&gt;=3),"Berpotensi",IF(AND(E1098&lt;=3,E1098&gt;=2,F1098&gt;=3),"Rawan",IF(AND(E1098&lt;=2,F1098&lt;=2),"Tidur","Umum"))))))</f>
        <v/>
      </c>
    </row>
    <row r="1099">
      <c r="B1099">
        <f>IF(A1099="","",$B$1-MAXIFS(Donasi!$A$2:$A$20000,Donasi!$B$2:$B$20000,A1099))</f>
        <v/>
      </c>
      <c r="C1099">
        <f>IF(A1099="","",COUNTIF(Donasi!$B$2:$B$20000,A1099))</f>
        <v/>
      </c>
      <c r="D1099">
        <f>IF(A1099="","",SUMIF(Donasi!$B$2:$B$20000,A1099,Donasi!$C$2:$C$20000))</f>
        <v/>
      </c>
      <c r="E1099">
        <f>IF(A1099="","",6-CEILING(PERCENTRANK.INC($B$3:$B$6000,B1099,4)*5+0.000001,1))</f>
        <v/>
      </c>
      <c r="F1099">
        <f>IF(A1099="","",MAX(1,CEILING(PERCENTRANK.INC($C$3:$C$6000,C1099,4)*5+0.000001,1)))</f>
        <v/>
      </c>
      <c r="G1099">
        <f>IF(A1099="","",MAX(1,CEILING(PERCENTRANK.INC($D$3:$D$6000,D1099,4)*5+0.000001,1)))</f>
        <v/>
      </c>
      <c r="H1099">
        <f>IF(A1099="","",E1099&amp;F1099&amp;G1099)</f>
        <v/>
      </c>
      <c r="I1099">
        <f>IF(A1099="","",IF(AND(E1099&gt;=4,F1099&gt;=4,G1099&gt;=4),"Juara",IF(AND(F1099&gt;=4,E1099&gt;=3),"Setia",IF(AND(E1099=5,F1099&lt;=2,G1099&gt;=3),"Berpotensi",IF(AND(E1099&lt;=3,E1099&gt;=2,F1099&gt;=3),"Rawan",IF(AND(E1099&lt;=2,F1099&lt;=2),"Tidur","Umum"))))))</f>
        <v/>
      </c>
    </row>
    <row r="1100">
      <c r="B1100">
        <f>IF(A1100="","",$B$1-MAXIFS(Donasi!$A$2:$A$20000,Donasi!$B$2:$B$20000,A1100))</f>
        <v/>
      </c>
      <c r="C1100">
        <f>IF(A1100="","",COUNTIF(Donasi!$B$2:$B$20000,A1100))</f>
        <v/>
      </c>
      <c r="D1100">
        <f>IF(A1100="","",SUMIF(Donasi!$B$2:$B$20000,A1100,Donasi!$C$2:$C$20000))</f>
        <v/>
      </c>
      <c r="E1100">
        <f>IF(A1100="","",6-CEILING(PERCENTRANK.INC($B$3:$B$6000,B1100,4)*5+0.000001,1))</f>
        <v/>
      </c>
      <c r="F1100">
        <f>IF(A1100="","",MAX(1,CEILING(PERCENTRANK.INC($C$3:$C$6000,C1100,4)*5+0.000001,1)))</f>
        <v/>
      </c>
      <c r="G1100">
        <f>IF(A1100="","",MAX(1,CEILING(PERCENTRANK.INC($D$3:$D$6000,D1100,4)*5+0.000001,1)))</f>
        <v/>
      </c>
      <c r="H1100">
        <f>IF(A1100="","",E1100&amp;F1100&amp;G1100)</f>
        <v/>
      </c>
      <c r="I1100">
        <f>IF(A1100="","",IF(AND(E1100&gt;=4,F1100&gt;=4,G1100&gt;=4),"Juara",IF(AND(F1100&gt;=4,E1100&gt;=3),"Setia",IF(AND(E1100=5,F1100&lt;=2,G1100&gt;=3),"Berpotensi",IF(AND(E1100&lt;=3,E1100&gt;=2,F1100&gt;=3),"Rawan",IF(AND(E1100&lt;=2,F1100&lt;=2),"Tidur","Umum"))))))</f>
        <v/>
      </c>
    </row>
    <row r="1101">
      <c r="B1101">
        <f>IF(A1101="","",$B$1-MAXIFS(Donasi!$A$2:$A$20000,Donasi!$B$2:$B$20000,A1101))</f>
        <v/>
      </c>
      <c r="C1101">
        <f>IF(A1101="","",COUNTIF(Donasi!$B$2:$B$20000,A1101))</f>
        <v/>
      </c>
      <c r="D1101">
        <f>IF(A1101="","",SUMIF(Donasi!$B$2:$B$20000,A1101,Donasi!$C$2:$C$20000))</f>
        <v/>
      </c>
      <c r="E1101">
        <f>IF(A1101="","",6-CEILING(PERCENTRANK.INC($B$3:$B$6000,B1101,4)*5+0.000001,1))</f>
        <v/>
      </c>
      <c r="F1101">
        <f>IF(A1101="","",MAX(1,CEILING(PERCENTRANK.INC($C$3:$C$6000,C1101,4)*5+0.000001,1)))</f>
        <v/>
      </c>
      <c r="G1101">
        <f>IF(A1101="","",MAX(1,CEILING(PERCENTRANK.INC($D$3:$D$6000,D1101,4)*5+0.000001,1)))</f>
        <v/>
      </c>
      <c r="H1101">
        <f>IF(A1101="","",E1101&amp;F1101&amp;G1101)</f>
        <v/>
      </c>
      <c r="I1101">
        <f>IF(A1101="","",IF(AND(E1101&gt;=4,F1101&gt;=4,G1101&gt;=4),"Juara",IF(AND(F1101&gt;=4,E1101&gt;=3),"Setia",IF(AND(E1101=5,F1101&lt;=2,G1101&gt;=3),"Berpotensi",IF(AND(E1101&lt;=3,E1101&gt;=2,F1101&gt;=3),"Rawan",IF(AND(E1101&lt;=2,F1101&lt;=2),"Tidur","Umum"))))))</f>
        <v/>
      </c>
    </row>
    <row r="1102">
      <c r="B1102">
        <f>IF(A1102="","",$B$1-MAXIFS(Donasi!$A$2:$A$20000,Donasi!$B$2:$B$20000,A1102))</f>
        <v/>
      </c>
      <c r="C1102">
        <f>IF(A1102="","",COUNTIF(Donasi!$B$2:$B$20000,A1102))</f>
        <v/>
      </c>
      <c r="D1102">
        <f>IF(A1102="","",SUMIF(Donasi!$B$2:$B$20000,A1102,Donasi!$C$2:$C$20000))</f>
        <v/>
      </c>
      <c r="E1102">
        <f>IF(A1102="","",6-CEILING(PERCENTRANK.INC($B$3:$B$6000,B1102,4)*5+0.000001,1))</f>
        <v/>
      </c>
      <c r="F1102">
        <f>IF(A1102="","",MAX(1,CEILING(PERCENTRANK.INC($C$3:$C$6000,C1102,4)*5+0.000001,1)))</f>
        <v/>
      </c>
      <c r="G1102">
        <f>IF(A1102="","",MAX(1,CEILING(PERCENTRANK.INC($D$3:$D$6000,D1102,4)*5+0.000001,1)))</f>
        <v/>
      </c>
      <c r="H1102">
        <f>IF(A1102="","",E1102&amp;F1102&amp;G1102)</f>
        <v/>
      </c>
      <c r="I1102">
        <f>IF(A1102="","",IF(AND(E1102&gt;=4,F1102&gt;=4,G1102&gt;=4),"Juara",IF(AND(F1102&gt;=4,E1102&gt;=3),"Setia",IF(AND(E1102=5,F1102&lt;=2,G1102&gt;=3),"Berpotensi",IF(AND(E1102&lt;=3,E1102&gt;=2,F1102&gt;=3),"Rawan",IF(AND(E1102&lt;=2,F1102&lt;=2),"Tidur","Umum"))))))</f>
        <v/>
      </c>
    </row>
    <row r="1103">
      <c r="B1103">
        <f>IF(A1103="","",$B$1-MAXIFS(Donasi!$A$2:$A$20000,Donasi!$B$2:$B$20000,A1103))</f>
        <v/>
      </c>
      <c r="C1103">
        <f>IF(A1103="","",COUNTIF(Donasi!$B$2:$B$20000,A1103))</f>
        <v/>
      </c>
      <c r="D1103">
        <f>IF(A1103="","",SUMIF(Donasi!$B$2:$B$20000,A1103,Donasi!$C$2:$C$20000))</f>
        <v/>
      </c>
      <c r="E1103">
        <f>IF(A1103="","",6-CEILING(PERCENTRANK.INC($B$3:$B$6000,B1103,4)*5+0.000001,1))</f>
        <v/>
      </c>
      <c r="F1103">
        <f>IF(A1103="","",MAX(1,CEILING(PERCENTRANK.INC($C$3:$C$6000,C1103,4)*5+0.000001,1)))</f>
        <v/>
      </c>
      <c r="G1103">
        <f>IF(A1103="","",MAX(1,CEILING(PERCENTRANK.INC($D$3:$D$6000,D1103,4)*5+0.000001,1)))</f>
        <v/>
      </c>
      <c r="H1103">
        <f>IF(A1103="","",E1103&amp;F1103&amp;G1103)</f>
        <v/>
      </c>
      <c r="I1103">
        <f>IF(A1103="","",IF(AND(E1103&gt;=4,F1103&gt;=4,G1103&gt;=4),"Juara",IF(AND(F1103&gt;=4,E1103&gt;=3),"Setia",IF(AND(E1103=5,F1103&lt;=2,G1103&gt;=3),"Berpotensi",IF(AND(E1103&lt;=3,E1103&gt;=2,F1103&gt;=3),"Rawan",IF(AND(E1103&lt;=2,F1103&lt;=2),"Tidur","Umum"))))))</f>
        <v/>
      </c>
    </row>
    <row r="1104">
      <c r="B1104">
        <f>IF(A1104="","",$B$1-MAXIFS(Donasi!$A$2:$A$20000,Donasi!$B$2:$B$20000,A1104))</f>
        <v/>
      </c>
      <c r="C1104">
        <f>IF(A1104="","",COUNTIF(Donasi!$B$2:$B$20000,A1104))</f>
        <v/>
      </c>
      <c r="D1104">
        <f>IF(A1104="","",SUMIF(Donasi!$B$2:$B$20000,A1104,Donasi!$C$2:$C$20000))</f>
        <v/>
      </c>
      <c r="E1104">
        <f>IF(A1104="","",6-CEILING(PERCENTRANK.INC($B$3:$B$6000,B1104,4)*5+0.000001,1))</f>
        <v/>
      </c>
      <c r="F1104">
        <f>IF(A1104="","",MAX(1,CEILING(PERCENTRANK.INC($C$3:$C$6000,C1104,4)*5+0.000001,1)))</f>
        <v/>
      </c>
      <c r="G1104">
        <f>IF(A1104="","",MAX(1,CEILING(PERCENTRANK.INC($D$3:$D$6000,D1104,4)*5+0.000001,1)))</f>
        <v/>
      </c>
      <c r="H1104">
        <f>IF(A1104="","",E1104&amp;F1104&amp;G1104)</f>
        <v/>
      </c>
      <c r="I1104">
        <f>IF(A1104="","",IF(AND(E1104&gt;=4,F1104&gt;=4,G1104&gt;=4),"Juara",IF(AND(F1104&gt;=4,E1104&gt;=3),"Setia",IF(AND(E1104=5,F1104&lt;=2,G1104&gt;=3),"Berpotensi",IF(AND(E1104&lt;=3,E1104&gt;=2,F1104&gt;=3),"Rawan",IF(AND(E1104&lt;=2,F1104&lt;=2),"Tidur","Umum"))))))</f>
        <v/>
      </c>
    </row>
    <row r="1105">
      <c r="B1105">
        <f>IF(A1105="","",$B$1-MAXIFS(Donasi!$A$2:$A$20000,Donasi!$B$2:$B$20000,A1105))</f>
        <v/>
      </c>
      <c r="C1105">
        <f>IF(A1105="","",COUNTIF(Donasi!$B$2:$B$20000,A1105))</f>
        <v/>
      </c>
      <c r="D1105">
        <f>IF(A1105="","",SUMIF(Donasi!$B$2:$B$20000,A1105,Donasi!$C$2:$C$20000))</f>
        <v/>
      </c>
      <c r="E1105">
        <f>IF(A1105="","",6-CEILING(PERCENTRANK.INC($B$3:$B$6000,B1105,4)*5+0.000001,1))</f>
        <v/>
      </c>
      <c r="F1105">
        <f>IF(A1105="","",MAX(1,CEILING(PERCENTRANK.INC($C$3:$C$6000,C1105,4)*5+0.000001,1)))</f>
        <v/>
      </c>
      <c r="G1105">
        <f>IF(A1105="","",MAX(1,CEILING(PERCENTRANK.INC($D$3:$D$6000,D1105,4)*5+0.000001,1)))</f>
        <v/>
      </c>
      <c r="H1105">
        <f>IF(A1105="","",E1105&amp;F1105&amp;G1105)</f>
        <v/>
      </c>
      <c r="I1105">
        <f>IF(A1105="","",IF(AND(E1105&gt;=4,F1105&gt;=4,G1105&gt;=4),"Juara",IF(AND(F1105&gt;=4,E1105&gt;=3),"Setia",IF(AND(E1105=5,F1105&lt;=2,G1105&gt;=3),"Berpotensi",IF(AND(E1105&lt;=3,E1105&gt;=2,F1105&gt;=3),"Rawan",IF(AND(E1105&lt;=2,F1105&lt;=2),"Tidur","Umum"))))))</f>
        <v/>
      </c>
    </row>
    <row r="1106">
      <c r="B1106">
        <f>IF(A1106="","",$B$1-MAXIFS(Donasi!$A$2:$A$20000,Donasi!$B$2:$B$20000,A1106))</f>
        <v/>
      </c>
      <c r="C1106">
        <f>IF(A1106="","",COUNTIF(Donasi!$B$2:$B$20000,A1106))</f>
        <v/>
      </c>
      <c r="D1106">
        <f>IF(A1106="","",SUMIF(Donasi!$B$2:$B$20000,A1106,Donasi!$C$2:$C$20000))</f>
        <v/>
      </c>
      <c r="E1106">
        <f>IF(A1106="","",6-CEILING(PERCENTRANK.INC($B$3:$B$6000,B1106,4)*5+0.000001,1))</f>
        <v/>
      </c>
      <c r="F1106">
        <f>IF(A1106="","",MAX(1,CEILING(PERCENTRANK.INC($C$3:$C$6000,C1106,4)*5+0.000001,1)))</f>
        <v/>
      </c>
      <c r="G1106">
        <f>IF(A1106="","",MAX(1,CEILING(PERCENTRANK.INC($D$3:$D$6000,D1106,4)*5+0.000001,1)))</f>
        <v/>
      </c>
      <c r="H1106">
        <f>IF(A1106="","",E1106&amp;F1106&amp;G1106)</f>
        <v/>
      </c>
      <c r="I1106">
        <f>IF(A1106="","",IF(AND(E1106&gt;=4,F1106&gt;=4,G1106&gt;=4),"Juara",IF(AND(F1106&gt;=4,E1106&gt;=3),"Setia",IF(AND(E1106=5,F1106&lt;=2,G1106&gt;=3),"Berpotensi",IF(AND(E1106&lt;=3,E1106&gt;=2,F1106&gt;=3),"Rawan",IF(AND(E1106&lt;=2,F1106&lt;=2),"Tidur","Umum"))))))</f>
        <v/>
      </c>
    </row>
    <row r="1107">
      <c r="B1107">
        <f>IF(A1107="","",$B$1-MAXIFS(Donasi!$A$2:$A$20000,Donasi!$B$2:$B$20000,A1107))</f>
        <v/>
      </c>
      <c r="C1107">
        <f>IF(A1107="","",COUNTIF(Donasi!$B$2:$B$20000,A1107))</f>
        <v/>
      </c>
      <c r="D1107">
        <f>IF(A1107="","",SUMIF(Donasi!$B$2:$B$20000,A1107,Donasi!$C$2:$C$20000))</f>
        <v/>
      </c>
      <c r="E1107">
        <f>IF(A1107="","",6-CEILING(PERCENTRANK.INC($B$3:$B$6000,B1107,4)*5+0.000001,1))</f>
        <v/>
      </c>
      <c r="F1107">
        <f>IF(A1107="","",MAX(1,CEILING(PERCENTRANK.INC($C$3:$C$6000,C1107,4)*5+0.000001,1)))</f>
        <v/>
      </c>
      <c r="G1107">
        <f>IF(A1107="","",MAX(1,CEILING(PERCENTRANK.INC($D$3:$D$6000,D1107,4)*5+0.000001,1)))</f>
        <v/>
      </c>
      <c r="H1107">
        <f>IF(A1107="","",E1107&amp;F1107&amp;G1107)</f>
        <v/>
      </c>
      <c r="I1107">
        <f>IF(A1107="","",IF(AND(E1107&gt;=4,F1107&gt;=4,G1107&gt;=4),"Juara",IF(AND(F1107&gt;=4,E1107&gt;=3),"Setia",IF(AND(E1107=5,F1107&lt;=2,G1107&gt;=3),"Berpotensi",IF(AND(E1107&lt;=3,E1107&gt;=2,F1107&gt;=3),"Rawan",IF(AND(E1107&lt;=2,F1107&lt;=2),"Tidur","Umum"))))))</f>
        <v/>
      </c>
    </row>
    <row r="1108">
      <c r="B1108">
        <f>IF(A1108="","",$B$1-MAXIFS(Donasi!$A$2:$A$20000,Donasi!$B$2:$B$20000,A1108))</f>
        <v/>
      </c>
      <c r="C1108">
        <f>IF(A1108="","",COUNTIF(Donasi!$B$2:$B$20000,A1108))</f>
        <v/>
      </c>
      <c r="D1108">
        <f>IF(A1108="","",SUMIF(Donasi!$B$2:$B$20000,A1108,Donasi!$C$2:$C$20000))</f>
        <v/>
      </c>
      <c r="E1108">
        <f>IF(A1108="","",6-CEILING(PERCENTRANK.INC($B$3:$B$6000,B1108,4)*5+0.000001,1))</f>
        <v/>
      </c>
      <c r="F1108">
        <f>IF(A1108="","",MAX(1,CEILING(PERCENTRANK.INC($C$3:$C$6000,C1108,4)*5+0.000001,1)))</f>
        <v/>
      </c>
      <c r="G1108">
        <f>IF(A1108="","",MAX(1,CEILING(PERCENTRANK.INC($D$3:$D$6000,D1108,4)*5+0.000001,1)))</f>
        <v/>
      </c>
      <c r="H1108">
        <f>IF(A1108="","",E1108&amp;F1108&amp;G1108)</f>
        <v/>
      </c>
      <c r="I1108">
        <f>IF(A1108="","",IF(AND(E1108&gt;=4,F1108&gt;=4,G1108&gt;=4),"Juara",IF(AND(F1108&gt;=4,E1108&gt;=3),"Setia",IF(AND(E1108=5,F1108&lt;=2,G1108&gt;=3),"Berpotensi",IF(AND(E1108&lt;=3,E1108&gt;=2,F1108&gt;=3),"Rawan",IF(AND(E1108&lt;=2,F1108&lt;=2),"Tidur","Umum"))))))</f>
        <v/>
      </c>
    </row>
    <row r="1109">
      <c r="B1109">
        <f>IF(A1109="","",$B$1-MAXIFS(Donasi!$A$2:$A$20000,Donasi!$B$2:$B$20000,A1109))</f>
        <v/>
      </c>
      <c r="C1109">
        <f>IF(A1109="","",COUNTIF(Donasi!$B$2:$B$20000,A1109))</f>
        <v/>
      </c>
      <c r="D1109">
        <f>IF(A1109="","",SUMIF(Donasi!$B$2:$B$20000,A1109,Donasi!$C$2:$C$20000))</f>
        <v/>
      </c>
      <c r="E1109">
        <f>IF(A1109="","",6-CEILING(PERCENTRANK.INC($B$3:$B$6000,B1109,4)*5+0.000001,1))</f>
        <v/>
      </c>
      <c r="F1109">
        <f>IF(A1109="","",MAX(1,CEILING(PERCENTRANK.INC($C$3:$C$6000,C1109,4)*5+0.000001,1)))</f>
        <v/>
      </c>
      <c r="G1109">
        <f>IF(A1109="","",MAX(1,CEILING(PERCENTRANK.INC($D$3:$D$6000,D1109,4)*5+0.000001,1)))</f>
        <v/>
      </c>
      <c r="H1109">
        <f>IF(A1109="","",E1109&amp;F1109&amp;G1109)</f>
        <v/>
      </c>
      <c r="I1109">
        <f>IF(A1109="","",IF(AND(E1109&gt;=4,F1109&gt;=4,G1109&gt;=4),"Juara",IF(AND(F1109&gt;=4,E1109&gt;=3),"Setia",IF(AND(E1109=5,F1109&lt;=2,G1109&gt;=3),"Berpotensi",IF(AND(E1109&lt;=3,E1109&gt;=2,F1109&gt;=3),"Rawan",IF(AND(E1109&lt;=2,F1109&lt;=2),"Tidur","Umum"))))))</f>
        <v/>
      </c>
    </row>
    <row r="1110">
      <c r="B1110">
        <f>IF(A1110="","",$B$1-MAXIFS(Donasi!$A$2:$A$20000,Donasi!$B$2:$B$20000,A1110))</f>
        <v/>
      </c>
      <c r="C1110">
        <f>IF(A1110="","",COUNTIF(Donasi!$B$2:$B$20000,A1110))</f>
        <v/>
      </c>
      <c r="D1110">
        <f>IF(A1110="","",SUMIF(Donasi!$B$2:$B$20000,A1110,Donasi!$C$2:$C$20000))</f>
        <v/>
      </c>
      <c r="E1110">
        <f>IF(A1110="","",6-CEILING(PERCENTRANK.INC($B$3:$B$6000,B1110,4)*5+0.000001,1))</f>
        <v/>
      </c>
      <c r="F1110">
        <f>IF(A1110="","",MAX(1,CEILING(PERCENTRANK.INC($C$3:$C$6000,C1110,4)*5+0.000001,1)))</f>
        <v/>
      </c>
      <c r="G1110">
        <f>IF(A1110="","",MAX(1,CEILING(PERCENTRANK.INC($D$3:$D$6000,D1110,4)*5+0.000001,1)))</f>
        <v/>
      </c>
      <c r="H1110">
        <f>IF(A1110="","",E1110&amp;F1110&amp;G1110)</f>
        <v/>
      </c>
      <c r="I1110">
        <f>IF(A1110="","",IF(AND(E1110&gt;=4,F1110&gt;=4,G1110&gt;=4),"Juara",IF(AND(F1110&gt;=4,E1110&gt;=3),"Setia",IF(AND(E1110=5,F1110&lt;=2,G1110&gt;=3),"Berpotensi",IF(AND(E1110&lt;=3,E1110&gt;=2,F1110&gt;=3),"Rawan",IF(AND(E1110&lt;=2,F1110&lt;=2),"Tidur","Umum"))))))</f>
        <v/>
      </c>
    </row>
    <row r="1111">
      <c r="B1111">
        <f>IF(A1111="","",$B$1-MAXIFS(Donasi!$A$2:$A$20000,Donasi!$B$2:$B$20000,A1111))</f>
        <v/>
      </c>
      <c r="C1111">
        <f>IF(A1111="","",COUNTIF(Donasi!$B$2:$B$20000,A1111))</f>
        <v/>
      </c>
      <c r="D1111">
        <f>IF(A1111="","",SUMIF(Donasi!$B$2:$B$20000,A1111,Donasi!$C$2:$C$20000))</f>
        <v/>
      </c>
      <c r="E1111">
        <f>IF(A1111="","",6-CEILING(PERCENTRANK.INC($B$3:$B$6000,B1111,4)*5+0.000001,1))</f>
        <v/>
      </c>
      <c r="F1111">
        <f>IF(A1111="","",MAX(1,CEILING(PERCENTRANK.INC($C$3:$C$6000,C1111,4)*5+0.000001,1)))</f>
        <v/>
      </c>
      <c r="G1111">
        <f>IF(A1111="","",MAX(1,CEILING(PERCENTRANK.INC($D$3:$D$6000,D1111,4)*5+0.000001,1)))</f>
        <v/>
      </c>
      <c r="H1111">
        <f>IF(A1111="","",E1111&amp;F1111&amp;G1111)</f>
        <v/>
      </c>
      <c r="I1111">
        <f>IF(A1111="","",IF(AND(E1111&gt;=4,F1111&gt;=4,G1111&gt;=4),"Juara",IF(AND(F1111&gt;=4,E1111&gt;=3),"Setia",IF(AND(E1111=5,F1111&lt;=2,G1111&gt;=3),"Berpotensi",IF(AND(E1111&lt;=3,E1111&gt;=2,F1111&gt;=3),"Rawan",IF(AND(E1111&lt;=2,F1111&lt;=2),"Tidur","Umum"))))))</f>
        <v/>
      </c>
    </row>
    <row r="1112">
      <c r="B1112">
        <f>IF(A1112="","",$B$1-MAXIFS(Donasi!$A$2:$A$20000,Donasi!$B$2:$B$20000,A1112))</f>
        <v/>
      </c>
      <c r="C1112">
        <f>IF(A1112="","",COUNTIF(Donasi!$B$2:$B$20000,A1112))</f>
        <v/>
      </c>
      <c r="D1112">
        <f>IF(A1112="","",SUMIF(Donasi!$B$2:$B$20000,A1112,Donasi!$C$2:$C$20000))</f>
        <v/>
      </c>
      <c r="E1112">
        <f>IF(A1112="","",6-CEILING(PERCENTRANK.INC($B$3:$B$6000,B1112,4)*5+0.000001,1))</f>
        <v/>
      </c>
      <c r="F1112">
        <f>IF(A1112="","",MAX(1,CEILING(PERCENTRANK.INC($C$3:$C$6000,C1112,4)*5+0.000001,1)))</f>
        <v/>
      </c>
      <c r="G1112">
        <f>IF(A1112="","",MAX(1,CEILING(PERCENTRANK.INC($D$3:$D$6000,D1112,4)*5+0.000001,1)))</f>
        <v/>
      </c>
      <c r="H1112">
        <f>IF(A1112="","",E1112&amp;F1112&amp;G1112)</f>
        <v/>
      </c>
      <c r="I1112">
        <f>IF(A1112="","",IF(AND(E1112&gt;=4,F1112&gt;=4,G1112&gt;=4),"Juara",IF(AND(F1112&gt;=4,E1112&gt;=3),"Setia",IF(AND(E1112=5,F1112&lt;=2,G1112&gt;=3),"Berpotensi",IF(AND(E1112&lt;=3,E1112&gt;=2,F1112&gt;=3),"Rawan",IF(AND(E1112&lt;=2,F1112&lt;=2),"Tidur","Umum"))))))</f>
        <v/>
      </c>
    </row>
    <row r="1113">
      <c r="B1113">
        <f>IF(A1113="","",$B$1-MAXIFS(Donasi!$A$2:$A$20000,Donasi!$B$2:$B$20000,A1113))</f>
        <v/>
      </c>
      <c r="C1113">
        <f>IF(A1113="","",COUNTIF(Donasi!$B$2:$B$20000,A1113))</f>
        <v/>
      </c>
      <c r="D1113">
        <f>IF(A1113="","",SUMIF(Donasi!$B$2:$B$20000,A1113,Donasi!$C$2:$C$20000))</f>
        <v/>
      </c>
      <c r="E1113">
        <f>IF(A1113="","",6-CEILING(PERCENTRANK.INC($B$3:$B$6000,B1113,4)*5+0.000001,1))</f>
        <v/>
      </c>
      <c r="F1113">
        <f>IF(A1113="","",MAX(1,CEILING(PERCENTRANK.INC($C$3:$C$6000,C1113,4)*5+0.000001,1)))</f>
        <v/>
      </c>
      <c r="G1113">
        <f>IF(A1113="","",MAX(1,CEILING(PERCENTRANK.INC($D$3:$D$6000,D1113,4)*5+0.000001,1)))</f>
        <v/>
      </c>
      <c r="H1113">
        <f>IF(A1113="","",E1113&amp;F1113&amp;G1113)</f>
        <v/>
      </c>
      <c r="I1113">
        <f>IF(A1113="","",IF(AND(E1113&gt;=4,F1113&gt;=4,G1113&gt;=4),"Juara",IF(AND(F1113&gt;=4,E1113&gt;=3),"Setia",IF(AND(E1113=5,F1113&lt;=2,G1113&gt;=3),"Berpotensi",IF(AND(E1113&lt;=3,E1113&gt;=2,F1113&gt;=3),"Rawan",IF(AND(E1113&lt;=2,F1113&lt;=2),"Tidur","Umum"))))))</f>
        <v/>
      </c>
    </row>
    <row r="1114">
      <c r="B1114">
        <f>IF(A1114="","",$B$1-MAXIFS(Donasi!$A$2:$A$20000,Donasi!$B$2:$B$20000,A1114))</f>
        <v/>
      </c>
      <c r="C1114">
        <f>IF(A1114="","",COUNTIF(Donasi!$B$2:$B$20000,A1114))</f>
        <v/>
      </c>
      <c r="D1114">
        <f>IF(A1114="","",SUMIF(Donasi!$B$2:$B$20000,A1114,Donasi!$C$2:$C$20000))</f>
        <v/>
      </c>
      <c r="E1114">
        <f>IF(A1114="","",6-CEILING(PERCENTRANK.INC($B$3:$B$6000,B1114,4)*5+0.000001,1))</f>
        <v/>
      </c>
      <c r="F1114">
        <f>IF(A1114="","",MAX(1,CEILING(PERCENTRANK.INC($C$3:$C$6000,C1114,4)*5+0.000001,1)))</f>
        <v/>
      </c>
      <c r="G1114">
        <f>IF(A1114="","",MAX(1,CEILING(PERCENTRANK.INC($D$3:$D$6000,D1114,4)*5+0.000001,1)))</f>
        <v/>
      </c>
      <c r="H1114">
        <f>IF(A1114="","",E1114&amp;F1114&amp;G1114)</f>
        <v/>
      </c>
      <c r="I1114">
        <f>IF(A1114="","",IF(AND(E1114&gt;=4,F1114&gt;=4,G1114&gt;=4),"Juara",IF(AND(F1114&gt;=4,E1114&gt;=3),"Setia",IF(AND(E1114=5,F1114&lt;=2,G1114&gt;=3),"Berpotensi",IF(AND(E1114&lt;=3,E1114&gt;=2,F1114&gt;=3),"Rawan",IF(AND(E1114&lt;=2,F1114&lt;=2),"Tidur","Umum"))))))</f>
        <v/>
      </c>
    </row>
    <row r="1115">
      <c r="B1115">
        <f>IF(A1115="","",$B$1-MAXIFS(Donasi!$A$2:$A$20000,Donasi!$B$2:$B$20000,A1115))</f>
        <v/>
      </c>
      <c r="C1115">
        <f>IF(A1115="","",COUNTIF(Donasi!$B$2:$B$20000,A1115))</f>
        <v/>
      </c>
      <c r="D1115">
        <f>IF(A1115="","",SUMIF(Donasi!$B$2:$B$20000,A1115,Donasi!$C$2:$C$20000))</f>
        <v/>
      </c>
      <c r="E1115">
        <f>IF(A1115="","",6-CEILING(PERCENTRANK.INC($B$3:$B$6000,B1115,4)*5+0.000001,1))</f>
        <v/>
      </c>
      <c r="F1115">
        <f>IF(A1115="","",MAX(1,CEILING(PERCENTRANK.INC($C$3:$C$6000,C1115,4)*5+0.000001,1)))</f>
        <v/>
      </c>
      <c r="G1115">
        <f>IF(A1115="","",MAX(1,CEILING(PERCENTRANK.INC($D$3:$D$6000,D1115,4)*5+0.000001,1)))</f>
        <v/>
      </c>
      <c r="H1115">
        <f>IF(A1115="","",E1115&amp;F1115&amp;G1115)</f>
        <v/>
      </c>
      <c r="I1115">
        <f>IF(A1115="","",IF(AND(E1115&gt;=4,F1115&gt;=4,G1115&gt;=4),"Juara",IF(AND(F1115&gt;=4,E1115&gt;=3),"Setia",IF(AND(E1115=5,F1115&lt;=2,G1115&gt;=3),"Berpotensi",IF(AND(E1115&lt;=3,E1115&gt;=2,F1115&gt;=3),"Rawan",IF(AND(E1115&lt;=2,F1115&lt;=2),"Tidur","Umum"))))))</f>
        <v/>
      </c>
    </row>
    <row r="1116">
      <c r="B1116">
        <f>IF(A1116="","",$B$1-MAXIFS(Donasi!$A$2:$A$20000,Donasi!$B$2:$B$20000,A1116))</f>
        <v/>
      </c>
      <c r="C1116">
        <f>IF(A1116="","",COUNTIF(Donasi!$B$2:$B$20000,A1116))</f>
        <v/>
      </c>
      <c r="D1116">
        <f>IF(A1116="","",SUMIF(Donasi!$B$2:$B$20000,A1116,Donasi!$C$2:$C$20000))</f>
        <v/>
      </c>
      <c r="E1116">
        <f>IF(A1116="","",6-CEILING(PERCENTRANK.INC($B$3:$B$6000,B1116,4)*5+0.000001,1))</f>
        <v/>
      </c>
      <c r="F1116">
        <f>IF(A1116="","",MAX(1,CEILING(PERCENTRANK.INC($C$3:$C$6000,C1116,4)*5+0.000001,1)))</f>
        <v/>
      </c>
      <c r="G1116">
        <f>IF(A1116="","",MAX(1,CEILING(PERCENTRANK.INC($D$3:$D$6000,D1116,4)*5+0.000001,1)))</f>
        <v/>
      </c>
      <c r="H1116">
        <f>IF(A1116="","",E1116&amp;F1116&amp;G1116)</f>
        <v/>
      </c>
      <c r="I1116">
        <f>IF(A1116="","",IF(AND(E1116&gt;=4,F1116&gt;=4,G1116&gt;=4),"Juara",IF(AND(F1116&gt;=4,E1116&gt;=3),"Setia",IF(AND(E1116=5,F1116&lt;=2,G1116&gt;=3),"Berpotensi",IF(AND(E1116&lt;=3,E1116&gt;=2,F1116&gt;=3),"Rawan",IF(AND(E1116&lt;=2,F1116&lt;=2),"Tidur","Umum"))))))</f>
        <v/>
      </c>
    </row>
    <row r="1117">
      <c r="B1117">
        <f>IF(A1117="","",$B$1-MAXIFS(Donasi!$A$2:$A$20000,Donasi!$B$2:$B$20000,A1117))</f>
        <v/>
      </c>
      <c r="C1117">
        <f>IF(A1117="","",COUNTIF(Donasi!$B$2:$B$20000,A1117))</f>
        <v/>
      </c>
      <c r="D1117">
        <f>IF(A1117="","",SUMIF(Donasi!$B$2:$B$20000,A1117,Donasi!$C$2:$C$20000))</f>
        <v/>
      </c>
      <c r="E1117">
        <f>IF(A1117="","",6-CEILING(PERCENTRANK.INC($B$3:$B$6000,B1117,4)*5+0.000001,1))</f>
        <v/>
      </c>
      <c r="F1117">
        <f>IF(A1117="","",MAX(1,CEILING(PERCENTRANK.INC($C$3:$C$6000,C1117,4)*5+0.000001,1)))</f>
        <v/>
      </c>
      <c r="G1117">
        <f>IF(A1117="","",MAX(1,CEILING(PERCENTRANK.INC($D$3:$D$6000,D1117,4)*5+0.000001,1)))</f>
        <v/>
      </c>
      <c r="H1117">
        <f>IF(A1117="","",E1117&amp;F1117&amp;G1117)</f>
        <v/>
      </c>
      <c r="I1117">
        <f>IF(A1117="","",IF(AND(E1117&gt;=4,F1117&gt;=4,G1117&gt;=4),"Juara",IF(AND(F1117&gt;=4,E1117&gt;=3),"Setia",IF(AND(E1117=5,F1117&lt;=2,G1117&gt;=3),"Berpotensi",IF(AND(E1117&lt;=3,E1117&gt;=2,F1117&gt;=3),"Rawan",IF(AND(E1117&lt;=2,F1117&lt;=2),"Tidur","Umum"))))))</f>
        <v/>
      </c>
    </row>
    <row r="1118">
      <c r="B1118">
        <f>IF(A1118="","",$B$1-MAXIFS(Donasi!$A$2:$A$20000,Donasi!$B$2:$B$20000,A1118))</f>
        <v/>
      </c>
      <c r="C1118">
        <f>IF(A1118="","",COUNTIF(Donasi!$B$2:$B$20000,A1118))</f>
        <v/>
      </c>
      <c r="D1118">
        <f>IF(A1118="","",SUMIF(Donasi!$B$2:$B$20000,A1118,Donasi!$C$2:$C$20000))</f>
        <v/>
      </c>
      <c r="E1118">
        <f>IF(A1118="","",6-CEILING(PERCENTRANK.INC($B$3:$B$6000,B1118,4)*5+0.000001,1))</f>
        <v/>
      </c>
      <c r="F1118">
        <f>IF(A1118="","",MAX(1,CEILING(PERCENTRANK.INC($C$3:$C$6000,C1118,4)*5+0.000001,1)))</f>
        <v/>
      </c>
      <c r="G1118">
        <f>IF(A1118="","",MAX(1,CEILING(PERCENTRANK.INC($D$3:$D$6000,D1118,4)*5+0.000001,1)))</f>
        <v/>
      </c>
      <c r="H1118">
        <f>IF(A1118="","",E1118&amp;F1118&amp;G1118)</f>
        <v/>
      </c>
      <c r="I1118">
        <f>IF(A1118="","",IF(AND(E1118&gt;=4,F1118&gt;=4,G1118&gt;=4),"Juara",IF(AND(F1118&gt;=4,E1118&gt;=3),"Setia",IF(AND(E1118=5,F1118&lt;=2,G1118&gt;=3),"Berpotensi",IF(AND(E1118&lt;=3,E1118&gt;=2,F1118&gt;=3),"Rawan",IF(AND(E1118&lt;=2,F1118&lt;=2),"Tidur","Umum"))))))</f>
        <v/>
      </c>
    </row>
    <row r="1119">
      <c r="B1119">
        <f>IF(A1119="","",$B$1-MAXIFS(Donasi!$A$2:$A$20000,Donasi!$B$2:$B$20000,A1119))</f>
        <v/>
      </c>
      <c r="C1119">
        <f>IF(A1119="","",COUNTIF(Donasi!$B$2:$B$20000,A1119))</f>
        <v/>
      </c>
      <c r="D1119">
        <f>IF(A1119="","",SUMIF(Donasi!$B$2:$B$20000,A1119,Donasi!$C$2:$C$20000))</f>
        <v/>
      </c>
      <c r="E1119">
        <f>IF(A1119="","",6-CEILING(PERCENTRANK.INC($B$3:$B$6000,B1119,4)*5+0.000001,1))</f>
        <v/>
      </c>
      <c r="F1119">
        <f>IF(A1119="","",MAX(1,CEILING(PERCENTRANK.INC($C$3:$C$6000,C1119,4)*5+0.000001,1)))</f>
        <v/>
      </c>
      <c r="G1119">
        <f>IF(A1119="","",MAX(1,CEILING(PERCENTRANK.INC($D$3:$D$6000,D1119,4)*5+0.000001,1)))</f>
        <v/>
      </c>
      <c r="H1119">
        <f>IF(A1119="","",E1119&amp;F1119&amp;G1119)</f>
        <v/>
      </c>
      <c r="I1119">
        <f>IF(A1119="","",IF(AND(E1119&gt;=4,F1119&gt;=4,G1119&gt;=4),"Juara",IF(AND(F1119&gt;=4,E1119&gt;=3),"Setia",IF(AND(E1119=5,F1119&lt;=2,G1119&gt;=3),"Berpotensi",IF(AND(E1119&lt;=3,E1119&gt;=2,F1119&gt;=3),"Rawan",IF(AND(E1119&lt;=2,F1119&lt;=2),"Tidur","Umum"))))))</f>
        <v/>
      </c>
    </row>
    <row r="1120">
      <c r="B1120">
        <f>IF(A1120="","",$B$1-MAXIFS(Donasi!$A$2:$A$20000,Donasi!$B$2:$B$20000,A1120))</f>
        <v/>
      </c>
      <c r="C1120">
        <f>IF(A1120="","",COUNTIF(Donasi!$B$2:$B$20000,A1120))</f>
        <v/>
      </c>
      <c r="D1120">
        <f>IF(A1120="","",SUMIF(Donasi!$B$2:$B$20000,A1120,Donasi!$C$2:$C$20000))</f>
        <v/>
      </c>
      <c r="E1120">
        <f>IF(A1120="","",6-CEILING(PERCENTRANK.INC($B$3:$B$6000,B1120,4)*5+0.000001,1))</f>
        <v/>
      </c>
      <c r="F1120">
        <f>IF(A1120="","",MAX(1,CEILING(PERCENTRANK.INC($C$3:$C$6000,C1120,4)*5+0.000001,1)))</f>
        <v/>
      </c>
      <c r="G1120">
        <f>IF(A1120="","",MAX(1,CEILING(PERCENTRANK.INC($D$3:$D$6000,D1120,4)*5+0.000001,1)))</f>
        <v/>
      </c>
      <c r="H1120">
        <f>IF(A1120="","",E1120&amp;F1120&amp;G1120)</f>
        <v/>
      </c>
      <c r="I1120">
        <f>IF(A1120="","",IF(AND(E1120&gt;=4,F1120&gt;=4,G1120&gt;=4),"Juara",IF(AND(F1120&gt;=4,E1120&gt;=3),"Setia",IF(AND(E1120=5,F1120&lt;=2,G1120&gt;=3),"Berpotensi",IF(AND(E1120&lt;=3,E1120&gt;=2,F1120&gt;=3),"Rawan",IF(AND(E1120&lt;=2,F1120&lt;=2),"Tidur","Umum"))))))</f>
        <v/>
      </c>
    </row>
    <row r="1121">
      <c r="B1121">
        <f>IF(A1121="","",$B$1-MAXIFS(Donasi!$A$2:$A$20000,Donasi!$B$2:$B$20000,A1121))</f>
        <v/>
      </c>
      <c r="C1121">
        <f>IF(A1121="","",COUNTIF(Donasi!$B$2:$B$20000,A1121))</f>
        <v/>
      </c>
      <c r="D1121">
        <f>IF(A1121="","",SUMIF(Donasi!$B$2:$B$20000,A1121,Donasi!$C$2:$C$20000))</f>
        <v/>
      </c>
      <c r="E1121">
        <f>IF(A1121="","",6-CEILING(PERCENTRANK.INC($B$3:$B$6000,B1121,4)*5+0.000001,1))</f>
        <v/>
      </c>
      <c r="F1121">
        <f>IF(A1121="","",MAX(1,CEILING(PERCENTRANK.INC($C$3:$C$6000,C1121,4)*5+0.000001,1)))</f>
        <v/>
      </c>
      <c r="G1121">
        <f>IF(A1121="","",MAX(1,CEILING(PERCENTRANK.INC($D$3:$D$6000,D1121,4)*5+0.000001,1)))</f>
        <v/>
      </c>
      <c r="H1121">
        <f>IF(A1121="","",E1121&amp;F1121&amp;G1121)</f>
        <v/>
      </c>
      <c r="I1121">
        <f>IF(A1121="","",IF(AND(E1121&gt;=4,F1121&gt;=4,G1121&gt;=4),"Juara",IF(AND(F1121&gt;=4,E1121&gt;=3),"Setia",IF(AND(E1121=5,F1121&lt;=2,G1121&gt;=3),"Berpotensi",IF(AND(E1121&lt;=3,E1121&gt;=2,F1121&gt;=3),"Rawan",IF(AND(E1121&lt;=2,F1121&lt;=2),"Tidur","Umum"))))))</f>
        <v/>
      </c>
    </row>
    <row r="1122">
      <c r="B1122">
        <f>IF(A1122="","",$B$1-MAXIFS(Donasi!$A$2:$A$20000,Donasi!$B$2:$B$20000,A1122))</f>
        <v/>
      </c>
      <c r="C1122">
        <f>IF(A1122="","",COUNTIF(Donasi!$B$2:$B$20000,A1122))</f>
        <v/>
      </c>
      <c r="D1122">
        <f>IF(A1122="","",SUMIF(Donasi!$B$2:$B$20000,A1122,Donasi!$C$2:$C$20000))</f>
        <v/>
      </c>
      <c r="E1122">
        <f>IF(A1122="","",6-CEILING(PERCENTRANK.INC($B$3:$B$6000,B1122,4)*5+0.000001,1))</f>
        <v/>
      </c>
      <c r="F1122">
        <f>IF(A1122="","",MAX(1,CEILING(PERCENTRANK.INC($C$3:$C$6000,C1122,4)*5+0.000001,1)))</f>
        <v/>
      </c>
      <c r="G1122">
        <f>IF(A1122="","",MAX(1,CEILING(PERCENTRANK.INC($D$3:$D$6000,D1122,4)*5+0.000001,1)))</f>
        <v/>
      </c>
      <c r="H1122">
        <f>IF(A1122="","",E1122&amp;F1122&amp;G1122)</f>
        <v/>
      </c>
      <c r="I1122">
        <f>IF(A1122="","",IF(AND(E1122&gt;=4,F1122&gt;=4,G1122&gt;=4),"Juara",IF(AND(F1122&gt;=4,E1122&gt;=3),"Setia",IF(AND(E1122=5,F1122&lt;=2,G1122&gt;=3),"Berpotensi",IF(AND(E1122&lt;=3,E1122&gt;=2,F1122&gt;=3),"Rawan",IF(AND(E1122&lt;=2,F1122&lt;=2),"Tidur","Umum"))))))</f>
        <v/>
      </c>
    </row>
    <row r="1123">
      <c r="B1123">
        <f>IF(A1123="","",$B$1-MAXIFS(Donasi!$A$2:$A$20000,Donasi!$B$2:$B$20000,A1123))</f>
        <v/>
      </c>
      <c r="C1123">
        <f>IF(A1123="","",COUNTIF(Donasi!$B$2:$B$20000,A1123))</f>
        <v/>
      </c>
      <c r="D1123">
        <f>IF(A1123="","",SUMIF(Donasi!$B$2:$B$20000,A1123,Donasi!$C$2:$C$20000))</f>
        <v/>
      </c>
      <c r="E1123">
        <f>IF(A1123="","",6-CEILING(PERCENTRANK.INC($B$3:$B$6000,B1123,4)*5+0.000001,1))</f>
        <v/>
      </c>
      <c r="F1123">
        <f>IF(A1123="","",MAX(1,CEILING(PERCENTRANK.INC($C$3:$C$6000,C1123,4)*5+0.000001,1)))</f>
        <v/>
      </c>
      <c r="G1123">
        <f>IF(A1123="","",MAX(1,CEILING(PERCENTRANK.INC($D$3:$D$6000,D1123,4)*5+0.000001,1)))</f>
        <v/>
      </c>
      <c r="H1123">
        <f>IF(A1123="","",E1123&amp;F1123&amp;G1123)</f>
        <v/>
      </c>
      <c r="I1123">
        <f>IF(A1123="","",IF(AND(E1123&gt;=4,F1123&gt;=4,G1123&gt;=4),"Juara",IF(AND(F1123&gt;=4,E1123&gt;=3),"Setia",IF(AND(E1123=5,F1123&lt;=2,G1123&gt;=3),"Berpotensi",IF(AND(E1123&lt;=3,E1123&gt;=2,F1123&gt;=3),"Rawan",IF(AND(E1123&lt;=2,F1123&lt;=2),"Tidur","Umum"))))))</f>
        <v/>
      </c>
    </row>
    <row r="1124">
      <c r="B1124">
        <f>IF(A1124="","",$B$1-MAXIFS(Donasi!$A$2:$A$20000,Donasi!$B$2:$B$20000,A1124))</f>
        <v/>
      </c>
      <c r="C1124">
        <f>IF(A1124="","",COUNTIF(Donasi!$B$2:$B$20000,A1124))</f>
        <v/>
      </c>
      <c r="D1124">
        <f>IF(A1124="","",SUMIF(Donasi!$B$2:$B$20000,A1124,Donasi!$C$2:$C$20000))</f>
        <v/>
      </c>
      <c r="E1124">
        <f>IF(A1124="","",6-CEILING(PERCENTRANK.INC($B$3:$B$6000,B1124,4)*5+0.000001,1))</f>
        <v/>
      </c>
      <c r="F1124">
        <f>IF(A1124="","",MAX(1,CEILING(PERCENTRANK.INC($C$3:$C$6000,C1124,4)*5+0.000001,1)))</f>
        <v/>
      </c>
      <c r="G1124">
        <f>IF(A1124="","",MAX(1,CEILING(PERCENTRANK.INC($D$3:$D$6000,D1124,4)*5+0.000001,1)))</f>
        <v/>
      </c>
      <c r="H1124">
        <f>IF(A1124="","",E1124&amp;F1124&amp;G1124)</f>
        <v/>
      </c>
      <c r="I1124">
        <f>IF(A1124="","",IF(AND(E1124&gt;=4,F1124&gt;=4,G1124&gt;=4),"Juara",IF(AND(F1124&gt;=4,E1124&gt;=3),"Setia",IF(AND(E1124=5,F1124&lt;=2,G1124&gt;=3),"Berpotensi",IF(AND(E1124&lt;=3,E1124&gt;=2,F1124&gt;=3),"Rawan",IF(AND(E1124&lt;=2,F1124&lt;=2),"Tidur","Umum"))))))</f>
        <v/>
      </c>
    </row>
    <row r="1125">
      <c r="B1125">
        <f>IF(A1125="","",$B$1-MAXIFS(Donasi!$A$2:$A$20000,Donasi!$B$2:$B$20000,A1125))</f>
        <v/>
      </c>
      <c r="C1125">
        <f>IF(A1125="","",COUNTIF(Donasi!$B$2:$B$20000,A1125))</f>
        <v/>
      </c>
      <c r="D1125">
        <f>IF(A1125="","",SUMIF(Donasi!$B$2:$B$20000,A1125,Donasi!$C$2:$C$20000))</f>
        <v/>
      </c>
      <c r="E1125">
        <f>IF(A1125="","",6-CEILING(PERCENTRANK.INC($B$3:$B$6000,B1125,4)*5+0.000001,1))</f>
        <v/>
      </c>
      <c r="F1125">
        <f>IF(A1125="","",MAX(1,CEILING(PERCENTRANK.INC($C$3:$C$6000,C1125,4)*5+0.000001,1)))</f>
        <v/>
      </c>
      <c r="G1125">
        <f>IF(A1125="","",MAX(1,CEILING(PERCENTRANK.INC($D$3:$D$6000,D1125,4)*5+0.000001,1)))</f>
        <v/>
      </c>
      <c r="H1125">
        <f>IF(A1125="","",E1125&amp;F1125&amp;G1125)</f>
        <v/>
      </c>
      <c r="I1125">
        <f>IF(A1125="","",IF(AND(E1125&gt;=4,F1125&gt;=4,G1125&gt;=4),"Juara",IF(AND(F1125&gt;=4,E1125&gt;=3),"Setia",IF(AND(E1125=5,F1125&lt;=2,G1125&gt;=3),"Berpotensi",IF(AND(E1125&lt;=3,E1125&gt;=2,F1125&gt;=3),"Rawan",IF(AND(E1125&lt;=2,F1125&lt;=2),"Tidur","Umum"))))))</f>
        <v/>
      </c>
    </row>
    <row r="1126">
      <c r="B1126">
        <f>IF(A1126="","",$B$1-MAXIFS(Donasi!$A$2:$A$20000,Donasi!$B$2:$B$20000,A1126))</f>
        <v/>
      </c>
      <c r="C1126">
        <f>IF(A1126="","",COUNTIF(Donasi!$B$2:$B$20000,A1126))</f>
        <v/>
      </c>
      <c r="D1126">
        <f>IF(A1126="","",SUMIF(Donasi!$B$2:$B$20000,A1126,Donasi!$C$2:$C$20000))</f>
        <v/>
      </c>
      <c r="E1126">
        <f>IF(A1126="","",6-CEILING(PERCENTRANK.INC($B$3:$B$6000,B1126,4)*5+0.000001,1))</f>
        <v/>
      </c>
      <c r="F1126">
        <f>IF(A1126="","",MAX(1,CEILING(PERCENTRANK.INC($C$3:$C$6000,C1126,4)*5+0.000001,1)))</f>
        <v/>
      </c>
      <c r="G1126">
        <f>IF(A1126="","",MAX(1,CEILING(PERCENTRANK.INC($D$3:$D$6000,D1126,4)*5+0.000001,1)))</f>
        <v/>
      </c>
      <c r="H1126">
        <f>IF(A1126="","",E1126&amp;F1126&amp;G1126)</f>
        <v/>
      </c>
      <c r="I1126">
        <f>IF(A1126="","",IF(AND(E1126&gt;=4,F1126&gt;=4,G1126&gt;=4),"Juara",IF(AND(F1126&gt;=4,E1126&gt;=3),"Setia",IF(AND(E1126=5,F1126&lt;=2,G1126&gt;=3),"Berpotensi",IF(AND(E1126&lt;=3,E1126&gt;=2,F1126&gt;=3),"Rawan",IF(AND(E1126&lt;=2,F1126&lt;=2),"Tidur","Umum"))))))</f>
        <v/>
      </c>
    </row>
    <row r="1127">
      <c r="B1127">
        <f>IF(A1127="","",$B$1-MAXIFS(Donasi!$A$2:$A$20000,Donasi!$B$2:$B$20000,A1127))</f>
        <v/>
      </c>
      <c r="C1127">
        <f>IF(A1127="","",COUNTIF(Donasi!$B$2:$B$20000,A1127))</f>
        <v/>
      </c>
      <c r="D1127">
        <f>IF(A1127="","",SUMIF(Donasi!$B$2:$B$20000,A1127,Donasi!$C$2:$C$20000))</f>
        <v/>
      </c>
      <c r="E1127">
        <f>IF(A1127="","",6-CEILING(PERCENTRANK.INC($B$3:$B$6000,B1127,4)*5+0.000001,1))</f>
        <v/>
      </c>
      <c r="F1127">
        <f>IF(A1127="","",MAX(1,CEILING(PERCENTRANK.INC($C$3:$C$6000,C1127,4)*5+0.000001,1)))</f>
        <v/>
      </c>
      <c r="G1127">
        <f>IF(A1127="","",MAX(1,CEILING(PERCENTRANK.INC($D$3:$D$6000,D1127,4)*5+0.000001,1)))</f>
        <v/>
      </c>
      <c r="H1127">
        <f>IF(A1127="","",E1127&amp;F1127&amp;G1127)</f>
        <v/>
      </c>
      <c r="I1127">
        <f>IF(A1127="","",IF(AND(E1127&gt;=4,F1127&gt;=4,G1127&gt;=4),"Juara",IF(AND(F1127&gt;=4,E1127&gt;=3),"Setia",IF(AND(E1127=5,F1127&lt;=2,G1127&gt;=3),"Berpotensi",IF(AND(E1127&lt;=3,E1127&gt;=2,F1127&gt;=3),"Rawan",IF(AND(E1127&lt;=2,F1127&lt;=2),"Tidur","Umum"))))))</f>
        <v/>
      </c>
    </row>
    <row r="1128">
      <c r="B1128">
        <f>IF(A1128="","",$B$1-MAXIFS(Donasi!$A$2:$A$20000,Donasi!$B$2:$B$20000,A1128))</f>
        <v/>
      </c>
      <c r="C1128">
        <f>IF(A1128="","",COUNTIF(Donasi!$B$2:$B$20000,A1128))</f>
        <v/>
      </c>
      <c r="D1128">
        <f>IF(A1128="","",SUMIF(Donasi!$B$2:$B$20000,A1128,Donasi!$C$2:$C$20000))</f>
        <v/>
      </c>
      <c r="E1128">
        <f>IF(A1128="","",6-CEILING(PERCENTRANK.INC($B$3:$B$6000,B1128,4)*5+0.000001,1))</f>
        <v/>
      </c>
      <c r="F1128">
        <f>IF(A1128="","",MAX(1,CEILING(PERCENTRANK.INC($C$3:$C$6000,C1128,4)*5+0.000001,1)))</f>
        <v/>
      </c>
      <c r="G1128">
        <f>IF(A1128="","",MAX(1,CEILING(PERCENTRANK.INC($D$3:$D$6000,D1128,4)*5+0.000001,1)))</f>
        <v/>
      </c>
      <c r="H1128">
        <f>IF(A1128="","",E1128&amp;F1128&amp;G1128)</f>
        <v/>
      </c>
      <c r="I1128">
        <f>IF(A1128="","",IF(AND(E1128&gt;=4,F1128&gt;=4,G1128&gt;=4),"Juara",IF(AND(F1128&gt;=4,E1128&gt;=3),"Setia",IF(AND(E1128=5,F1128&lt;=2,G1128&gt;=3),"Berpotensi",IF(AND(E1128&lt;=3,E1128&gt;=2,F1128&gt;=3),"Rawan",IF(AND(E1128&lt;=2,F1128&lt;=2),"Tidur","Umum"))))))</f>
        <v/>
      </c>
    </row>
    <row r="1129">
      <c r="B1129">
        <f>IF(A1129="","",$B$1-MAXIFS(Donasi!$A$2:$A$20000,Donasi!$B$2:$B$20000,A1129))</f>
        <v/>
      </c>
      <c r="C1129">
        <f>IF(A1129="","",COUNTIF(Donasi!$B$2:$B$20000,A1129))</f>
        <v/>
      </c>
      <c r="D1129">
        <f>IF(A1129="","",SUMIF(Donasi!$B$2:$B$20000,A1129,Donasi!$C$2:$C$20000))</f>
        <v/>
      </c>
      <c r="E1129">
        <f>IF(A1129="","",6-CEILING(PERCENTRANK.INC($B$3:$B$6000,B1129,4)*5+0.000001,1))</f>
        <v/>
      </c>
      <c r="F1129">
        <f>IF(A1129="","",MAX(1,CEILING(PERCENTRANK.INC($C$3:$C$6000,C1129,4)*5+0.000001,1)))</f>
        <v/>
      </c>
      <c r="G1129">
        <f>IF(A1129="","",MAX(1,CEILING(PERCENTRANK.INC($D$3:$D$6000,D1129,4)*5+0.000001,1)))</f>
        <v/>
      </c>
      <c r="H1129">
        <f>IF(A1129="","",E1129&amp;F1129&amp;G1129)</f>
        <v/>
      </c>
      <c r="I1129">
        <f>IF(A1129="","",IF(AND(E1129&gt;=4,F1129&gt;=4,G1129&gt;=4),"Juara",IF(AND(F1129&gt;=4,E1129&gt;=3),"Setia",IF(AND(E1129=5,F1129&lt;=2,G1129&gt;=3),"Berpotensi",IF(AND(E1129&lt;=3,E1129&gt;=2,F1129&gt;=3),"Rawan",IF(AND(E1129&lt;=2,F1129&lt;=2),"Tidur","Umum"))))))</f>
        <v/>
      </c>
    </row>
    <row r="1130">
      <c r="B1130">
        <f>IF(A1130="","",$B$1-MAXIFS(Donasi!$A$2:$A$20000,Donasi!$B$2:$B$20000,A1130))</f>
        <v/>
      </c>
      <c r="C1130">
        <f>IF(A1130="","",COUNTIF(Donasi!$B$2:$B$20000,A1130))</f>
        <v/>
      </c>
      <c r="D1130">
        <f>IF(A1130="","",SUMIF(Donasi!$B$2:$B$20000,A1130,Donasi!$C$2:$C$20000))</f>
        <v/>
      </c>
      <c r="E1130">
        <f>IF(A1130="","",6-CEILING(PERCENTRANK.INC($B$3:$B$6000,B1130,4)*5+0.000001,1))</f>
        <v/>
      </c>
      <c r="F1130">
        <f>IF(A1130="","",MAX(1,CEILING(PERCENTRANK.INC($C$3:$C$6000,C1130,4)*5+0.000001,1)))</f>
        <v/>
      </c>
      <c r="G1130">
        <f>IF(A1130="","",MAX(1,CEILING(PERCENTRANK.INC($D$3:$D$6000,D1130,4)*5+0.000001,1)))</f>
        <v/>
      </c>
      <c r="H1130">
        <f>IF(A1130="","",E1130&amp;F1130&amp;G1130)</f>
        <v/>
      </c>
      <c r="I1130">
        <f>IF(A1130="","",IF(AND(E1130&gt;=4,F1130&gt;=4,G1130&gt;=4),"Juara",IF(AND(F1130&gt;=4,E1130&gt;=3),"Setia",IF(AND(E1130=5,F1130&lt;=2,G1130&gt;=3),"Berpotensi",IF(AND(E1130&lt;=3,E1130&gt;=2,F1130&gt;=3),"Rawan",IF(AND(E1130&lt;=2,F1130&lt;=2),"Tidur","Umum"))))))</f>
        <v/>
      </c>
    </row>
    <row r="1131">
      <c r="B1131">
        <f>IF(A1131="","",$B$1-MAXIFS(Donasi!$A$2:$A$20000,Donasi!$B$2:$B$20000,A1131))</f>
        <v/>
      </c>
      <c r="C1131">
        <f>IF(A1131="","",COUNTIF(Donasi!$B$2:$B$20000,A1131))</f>
        <v/>
      </c>
      <c r="D1131">
        <f>IF(A1131="","",SUMIF(Donasi!$B$2:$B$20000,A1131,Donasi!$C$2:$C$20000))</f>
        <v/>
      </c>
      <c r="E1131">
        <f>IF(A1131="","",6-CEILING(PERCENTRANK.INC($B$3:$B$6000,B1131,4)*5+0.000001,1))</f>
        <v/>
      </c>
      <c r="F1131">
        <f>IF(A1131="","",MAX(1,CEILING(PERCENTRANK.INC($C$3:$C$6000,C1131,4)*5+0.000001,1)))</f>
        <v/>
      </c>
      <c r="G1131">
        <f>IF(A1131="","",MAX(1,CEILING(PERCENTRANK.INC($D$3:$D$6000,D1131,4)*5+0.000001,1)))</f>
        <v/>
      </c>
      <c r="H1131">
        <f>IF(A1131="","",E1131&amp;F1131&amp;G1131)</f>
        <v/>
      </c>
      <c r="I1131">
        <f>IF(A1131="","",IF(AND(E1131&gt;=4,F1131&gt;=4,G1131&gt;=4),"Juara",IF(AND(F1131&gt;=4,E1131&gt;=3),"Setia",IF(AND(E1131=5,F1131&lt;=2,G1131&gt;=3),"Berpotensi",IF(AND(E1131&lt;=3,E1131&gt;=2,F1131&gt;=3),"Rawan",IF(AND(E1131&lt;=2,F1131&lt;=2),"Tidur","Umum"))))))</f>
        <v/>
      </c>
    </row>
    <row r="1132">
      <c r="B1132">
        <f>IF(A1132="","",$B$1-MAXIFS(Donasi!$A$2:$A$20000,Donasi!$B$2:$B$20000,A1132))</f>
        <v/>
      </c>
      <c r="C1132">
        <f>IF(A1132="","",COUNTIF(Donasi!$B$2:$B$20000,A1132))</f>
        <v/>
      </c>
      <c r="D1132">
        <f>IF(A1132="","",SUMIF(Donasi!$B$2:$B$20000,A1132,Donasi!$C$2:$C$20000))</f>
        <v/>
      </c>
      <c r="E1132">
        <f>IF(A1132="","",6-CEILING(PERCENTRANK.INC($B$3:$B$6000,B1132,4)*5+0.000001,1))</f>
        <v/>
      </c>
      <c r="F1132">
        <f>IF(A1132="","",MAX(1,CEILING(PERCENTRANK.INC($C$3:$C$6000,C1132,4)*5+0.000001,1)))</f>
        <v/>
      </c>
      <c r="G1132">
        <f>IF(A1132="","",MAX(1,CEILING(PERCENTRANK.INC($D$3:$D$6000,D1132,4)*5+0.000001,1)))</f>
        <v/>
      </c>
      <c r="H1132">
        <f>IF(A1132="","",E1132&amp;F1132&amp;G1132)</f>
        <v/>
      </c>
      <c r="I1132">
        <f>IF(A1132="","",IF(AND(E1132&gt;=4,F1132&gt;=4,G1132&gt;=4),"Juara",IF(AND(F1132&gt;=4,E1132&gt;=3),"Setia",IF(AND(E1132=5,F1132&lt;=2,G1132&gt;=3),"Berpotensi",IF(AND(E1132&lt;=3,E1132&gt;=2,F1132&gt;=3),"Rawan",IF(AND(E1132&lt;=2,F1132&lt;=2),"Tidur","Umum"))))))</f>
        <v/>
      </c>
    </row>
    <row r="1133">
      <c r="B1133">
        <f>IF(A1133="","",$B$1-MAXIFS(Donasi!$A$2:$A$20000,Donasi!$B$2:$B$20000,A1133))</f>
        <v/>
      </c>
      <c r="C1133">
        <f>IF(A1133="","",COUNTIF(Donasi!$B$2:$B$20000,A1133))</f>
        <v/>
      </c>
      <c r="D1133">
        <f>IF(A1133="","",SUMIF(Donasi!$B$2:$B$20000,A1133,Donasi!$C$2:$C$20000))</f>
        <v/>
      </c>
      <c r="E1133">
        <f>IF(A1133="","",6-CEILING(PERCENTRANK.INC($B$3:$B$6000,B1133,4)*5+0.000001,1))</f>
        <v/>
      </c>
      <c r="F1133">
        <f>IF(A1133="","",MAX(1,CEILING(PERCENTRANK.INC($C$3:$C$6000,C1133,4)*5+0.000001,1)))</f>
        <v/>
      </c>
      <c r="G1133">
        <f>IF(A1133="","",MAX(1,CEILING(PERCENTRANK.INC($D$3:$D$6000,D1133,4)*5+0.000001,1)))</f>
        <v/>
      </c>
      <c r="H1133">
        <f>IF(A1133="","",E1133&amp;F1133&amp;G1133)</f>
        <v/>
      </c>
      <c r="I1133">
        <f>IF(A1133="","",IF(AND(E1133&gt;=4,F1133&gt;=4,G1133&gt;=4),"Juara",IF(AND(F1133&gt;=4,E1133&gt;=3),"Setia",IF(AND(E1133=5,F1133&lt;=2,G1133&gt;=3),"Berpotensi",IF(AND(E1133&lt;=3,E1133&gt;=2,F1133&gt;=3),"Rawan",IF(AND(E1133&lt;=2,F1133&lt;=2),"Tidur","Umum"))))))</f>
        <v/>
      </c>
    </row>
    <row r="1134">
      <c r="B1134">
        <f>IF(A1134="","",$B$1-MAXIFS(Donasi!$A$2:$A$20000,Donasi!$B$2:$B$20000,A1134))</f>
        <v/>
      </c>
      <c r="C1134">
        <f>IF(A1134="","",COUNTIF(Donasi!$B$2:$B$20000,A1134))</f>
        <v/>
      </c>
      <c r="D1134">
        <f>IF(A1134="","",SUMIF(Donasi!$B$2:$B$20000,A1134,Donasi!$C$2:$C$20000))</f>
        <v/>
      </c>
      <c r="E1134">
        <f>IF(A1134="","",6-CEILING(PERCENTRANK.INC($B$3:$B$6000,B1134,4)*5+0.000001,1))</f>
        <v/>
      </c>
      <c r="F1134">
        <f>IF(A1134="","",MAX(1,CEILING(PERCENTRANK.INC($C$3:$C$6000,C1134,4)*5+0.000001,1)))</f>
        <v/>
      </c>
      <c r="G1134">
        <f>IF(A1134="","",MAX(1,CEILING(PERCENTRANK.INC($D$3:$D$6000,D1134,4)*5+0.000001,1)))</f>
        <v/>
      </c>
      <c r="H1134">
        <f>IF(A1134="","",E1134&amp;F1134&amp;G1134)</f>
        <v/>
      </c>
      <c r="I1134">
        <f>IF(A1134="","",IF(AND(E1134&gt;=4,F1134&gt;=4,G1134&gt;=4),"Juara",IF(AND(F1134&gt;=4,E1134&gt;=3),"Setia",IF(AND(E1134=5,F1134&lt;=2,G1134&gt;=3),"Berpotensi",IF(AND(E1134&lt;=3,E1134&gt;=2,F1134&gt;=3),"Rawan",IF(AND(E1134&lt;=2,F1134&lt;=2),"Tidur","Umum"))))))</f>
        <v/>
      </c>
    </row>
    <row r="1135">
      <c r="B1135">
        <f>IF(A1135="","",$B$1-MAXIFS(Donasi!$A$2:$A$20000,Donasi!$B$2:$B$20000,A1135))</f>
        <v/>
      </c>
      <c r="C1135">
        <f>IF(A1135="","",COUNTIF(Donasi!$B$2:$B$20000,A1135))</f>
        <v/>
      </c>
      <c r="D1135">
        <f>IF(A1135="","",SUMIF(Donasi!$B$2:$B$20000,A1135,Donasi!$C$2:$C$20000))</f>
        <v/>
      </c>
      <c r="E1135">
        <f>IF(A1135="","",6-CEILING(PERCENTRANK.INC($B$3:$B$6000,B1135,4)*5+0.000001,1))</f>
        <v/>
      </c>
      <c r="F1135">
        <f>IF(A1135="","",MAX(1,CEILING(PERCENTRANK.INC($C$3:$C$6000,C1135,4)*5+0.000001,1)))</f>
        <v/>
      </c>
      <c r="G1135">
        <f>IF(A1135="","",MAX(1,CEILING(PERCENTRANK.INC($D$3:$D$6000,D1135,4)*5+0.000001,1)))</f>
        <v/>
      </c>
      <c r="H1135">
        <f>IF(A1135="","",E1135&amp;F1135&amp;G1135)</f>
        <v/>
      </c>
      <c r="I1135">
        <f>IF(A1135="","",IF(AND(E1135&gt;=4,F1135&gt;=4,G1135&gt;=4),"Juara",IF(AND(F1135&gt;=4,E1135&gt;=3),"Setia",IF(AND(E1135=5,F1135&lt;=2,G1135&gt;=3),"Berpotensi",IF(AND(E1135&lt;=3,E1135&gt;=2,F1135&gt;=3),"Rawan",IF(AND(E1135&lt;=2,F1135&lt;=2),"Tidur","Umum"))))))</f>
        <v/>
      </c>
    </row>
    <row r="1136">
      <c r="B1136">
        <f>IF(A1136="","",$B$1-MAXIFS(Donasi!$A$2:$A$20000,Donasi!$B$2:$B$20000,A1136))</f>
        <v/>
      </c>
      <c r="C1136">
        <f>IF(A1136="","",COUNTIF(Donasi!$B$2:$B$20000,A1136))</f>
        <v/>
      </c>
      <c r="D1136">
        <f>IF(A1136="","",SUMIF(Donasi!$B$2:$B$20000,A1136,Donasi!$C$2:$C$20000))</f>
        <v/>
      </c>
      <c r="E1136">
        <f>IF(A1136="","",6-CEILING(PERCENTRANK.INC($B$3:$B$6000,B1136,4)*5+0.000001,1))</f>
        <v/>
      </c>
      <c r="F1136">
        <f>IF(A1136="","",MAX(1,CEILING(PERCENTRANK.INC($C$3:$C$6000,C1136,4)*5+0.000001,1)))</f>
        <v/>
      </c>
      <c r="G1136">
        <f>IF(A1136="","",MAX(1,CEILING(PERCENTRANK.INC($D$3:$D$6000,D1136,4)*5+0.000001,1)))</f>
        <v/>
      </c>
      <c r="H1136">
        <f>IF(A1136="","",E1136&amp;F1136&amp;G1136)</f>
        <v/>
      </c>
      <c r="I1136">
        <f>IF(A1136="","",IF(AND(E1136&gt;=4,F1136&gt;=4,G1136&gt;=4),"Juara",IF(AND(F1136&gt;=4,E1136&gt;=3),"Setia",IF(AND(E1136=5,F1136&lt;=2,G1136&gt;=3),"Berpotensi",IF(AND(E1136&lt;=3,E1136&gt;=2,F1136&gt;=3),"Rawan",IF(AND(E1136&lt;=2,F1136&lt;=2),"Tidur","Umum"))))))</f>
        <v/>
      </c>
    </row>
    <row r="1137">
      <c r="B1137">
        <f>IF(A1137="","",$B$1-MAXIFS(Donasi!$A$2:$A$20000,Donasi!$B$2:$B$20000,A1137))</f>
        <v/>
      </c>
      <c r="C1137">
        <f>IF(A1137="","",COUNTIF(Donasi!$B$2:$B$20000,A1137))</f>
        <v/>
      </c>
      <c r="D1137">
        <f>IF(A1137="","",SUMIF(Donasi!$B$2:$B$20000,A1137,Donasi!$C$2:$C$20000))</f>
        <v/>
      </c>
      <c r="E1137">
        <f>IF(A1137="","",6-CEILING(PERCENTRANK.INC($B$3:$B$6000,B1137,4)*5+0.000001,1))</f>
        <v/>
      </c>
      <c r="F1137">
        <f>IF(A1137="","",MAX(1,CEILING(PERCENTRANK.INC($C$3:$C$6000,C1137,4)*5+0.000001,1)))</f>
        <v/>
      </c>
      <c r="G1137">
        <f>IF(A1137="","",MAX(1,CEILING(PERCENTRANK.INC($D$3:$D$6000,D1137,4)*5+0.000001,1)))</f>
        <v/>
      </c>
      <c r="H1137">
        <f>IF(A1137="","",E1137&amp;F1137&amp;G1137)</f>
        <v/>
      </c>
      <c r="I1137">
        <f>IF(A1137="","",IF(AND(E1137&gt;=4,F1137&gt;=4,G1137&gt;=4),"Juara",IF(AND(F1137&gt;=4,E1137&gt;=3),"Setia",IF(AND(E1137=5,F1137&lt;=2,G1137&gt;=3),"Berpotensi",IF(AND(E1137&lt;=3,E1137&gt;=2,F1137&gt;=3),"Rawan",IF(AND(E1137&lt;=2,F1137&lt;=2),"Tidur","Umum"))))))</f>
        <v/>
      </c>
    </row>
    <row r="1138">
      <c r="B1138">
        <f>IF(A1138="","",$B$1-MAXIFS(Donasi!$A$2:$A$20000,Donasi!$B$2:$B$20000,A1138))</f>
        <v/>
      </c>
      <c r="C1138">
        <f>IF(A1138="","",COUNTIF(Donasi!$B$2:$B$20000,A1138))</f>
        <v/>
      </c>
      <c r="D1138">
        <f>IF(A1138="","",SUMIF(Donasi!$B$2:$B$20000,A1138,Donasi!$C$2:$C$20000))</f>
        <v/>
      </c>
      <c r="E1138">
        <f>IF(A1138="","",6-CEILING(PERCENTRANK.INC($B$3:$B$6000,B1138,4)*5+0.000001,1))</f>
        <v/>
      </c>
      <c r="F1138">
        <f>IF(A1138="","",MAX(1,CEILING(PERCENTRANK.INC($C$3:$C$6000,C1138,4)*5+0.000001,1)))</f>
        <v/>
      </c>
      <c r="G1138">
        <f>IF(A1138="","",MAX(1,CEILING(PERCENTRANK.INC($D$3:$D$6000,D1138,4)*5+0.000001,1)))</f>
        <v/>
      </c>
      <c r="H1138">
        <f>IF(A1138="","",E1138&amp;F1138&amp;G1138)</f>
        <v/>
      </c>
      <c r="I1138">
        <f>IF(A1138="","",IF(AND(E1138&gt;=4,F1138&gt;=4,G1138&gt;=4),"Juara",IF(AND(F1138&gt;=4,E1138&gt;=3),"Setia",IF(AND(E1138=5,F1138&lt;=2,G1138&gt;=3),"Berpotensi",IF(AND(E1138&lt;=3,E1138&gt;=2,F1138&gt;=3),"Rawan",IF(AND(E1138&lt;=2,F1138&lt;=2),"Tidur","Umum"))))))</f>
        <v/>
      </c>
    </row>
    <row r="1139">
      <c r="B1139">
        <f>IF(A1139="","",$B$1-MAXIFS(Donasi!$A$2:$A$20000,Donasi!$B$2:$B$20000,A1139))</f>
        <v/>
      </c>
      <c r="C1139">
        <f>IF(A1139="","",COUNTIF(Donasi!$B$2:$B$20000,A1139))</f>
        <v/>
      </c>
      <c r="D1139">
        <f>IF(A1139="","",SUMIF(Donasi!$B$2:$B$20000,A1139,Donasi!$C$2:$C$20000))</f>
        <v/>
      </c>
      <c r="E1139">
        <f>IF(A1139="","",6-CEILING(PERCENTRANK.INC($B$3:$B$6000,B1139,4)*5+0.000001,1))</f>
        <v/>
      </c>
      <c r="F1139">
        <f>IF(A1139="","",MAX(1,CEILING(PERCENTRANK.INC($C$3:$C$6000,C1139,4)*5+0.000001,1)))</f>
        <v/>
      </c>
      <c r="G1139">
        <f>IF(A1139="","",MAX(1,CEILING(PERCENTRANK.INC($D$3:$D$6000,D1139,4)*5+0.000001,1)))</f>
        <v/>
      </c>
      <c r="H1139">
        <f>IF(A1139="","",E1139&amp;F1139&amp;G1139)</f>
        <v/>
      </c>
      <c r="I1139">
        <f>IF(A1139="","",IF(AND(E1139&gt;=4,F1139&gt;=4,G1139&gt;=4),"Juara",IF(AND(F1139&gt;=4,E1139&gt;=3),"Setia",IF(AND(E1139=5,F1139&lt;=2,G1139&gt;=3),"Berpotensi",IF(AND(E1139&lt;=3,E1139&gt;=2,F1139&gt;=3),"Rawan",IF(AND(E1139&lt;=2,F1139&lt;=2),"Tidur","Umum"))))))</f>
        <v/>
      </c>
    </row>
    <row r="1140">
      <c r="B1140">
        <f>IF(A1140="","",$B$1-MAXIFS(Donasi!$A$2:$A$20000,Donasi!$B$2:$B$20000,A1140))</f>
        <v/>
      </c>
      <c r="C1140">
        <f>IF(A1140="","",COUNTIF(Donasi!$B$2:$B$20000,A1140))</f>
        <v/>
      </c>
      <c r="D1140">
        <f>IF(A1140="","",SUMIF(Donasi!$B$2:$B$20000,A1140,Donasi!$C$2:$C$20000))</f>
        <v/>
      </c>
      <c r="E1140">
        <f>IF(A1140="","",6-CEILING(PERCENTRANK.INC($B$3:$B$6000,B1140,4)*5+0.000001,1))</f>
        <v/>
      </c>
      <c r="F1140">
        <f>IF(A1140="","",MAX(1,CEILING(PERCENTRANK.INC($C$3:$C$6000,C1140,4)*5+0.000001,1)))</f>
        <v/>
      </c>
      <c r="G1140">
        <f>IF(A1140="","",MAX(1,CEILING(PERCENTRANK.INC($D$3:$D$6000,D1140,4)*5+0.000001,1)))</f>
        <v/>
      </c>
      <c r="H1140">
        <f>IF(A1140="","",E1140&amp;F1140&amp;G1140)</f>
        <v/>
      </c>
      <c r="I1140">
        <f>IF(A1140="","",IF(AND(E1140&gt;=4,F1140&gt;=4,G1140&gt;=4),"Juara",IF(AND(F1140&gt;=4,E1140&gt;=3),"Setia",IF(AND(E1140=5,F1140&lt;=2,G1140&gt;=3),"Berpotensi",IF(AND(E1140&lt;=3,E1140&gt;=2,F1140&gt;=3),"Rawan",IF(AND(E1140&lt;=2,F1140&lt;=2),"Tidur","Umum"))))))</f>
        <v/>
      </c>
    </row>
    <row r="1141">
      <c r="B1141">
        <f>IF(A1141="","",$B$1-MAXIFS(Donasi!$A$2:$A$20000,Donasi!$B$2:$B$20000,A1141))</f>
        <v/>
      </c>
      <c r="C1141">
        <f>IF(A1141="","",COUNTIF(Donasi!$B$2:$B$20000,A1141))</f>
        <v/>
      </c>
      <c r="D1141">
        <f>IF(A1141="","",SUMIF(Donasi!$B$2:$B$20000,A1141,Donasi!$C$2:$C$20000))</f>
        <v/>
      </c>
      <c r="E1141">
        <f>IF(A1141="","",6-CEILING(PERCENTRANK.INC($B$3:$B$6000,B1141,4)*5+0.000001,1))</f>
        <v/>
      </c>
      <c r="F1141">
        <f>IF(A1141="","",MAX(1,CEILING(PERCENTRANK.INC($C$3:$C$6000,C1141,4)*5+0.000001,1)))</f>
        <v/>
      </c>
      <c r="G1141">
        <f>IF(A1141="","",MAX(1,CEILING(PERCENTRANK.INC($D$3:$D$6000,D1141,4)*5+0.000001,1)))</f>
        <v/>
      </c>
      <c r="H1141">
        <f>IF(A1141="","",E1141&amp;F1141&amp;G1141)</f>
        <v/>
      </c>
      <c r="I1141">
        <f>IF(A1141="","",IF(AND(E1141&gt;=4,F1141&gt;=4,G1141&gt;=4),"Juara",IF(AND(F1141&gt;=4,E1141&gt;=3),"Setia",IF(AND(E1141=5,F1141&lt;=2,G1141&gt;=3),"Berpotensi",IF(AND(E1141&lt;=3,E1141&gt;=2,F1141&gt;=3),"Rawan",IF(AND(E1141&lt;=2,F1141&lt;=2),"Tidur","Umum"))))))</f>
        <v/>
      </c>
    </row>
    <row r="1142">
      <c r="B1142">
        <f>IF(A1142="","",$B$1-MAXIFS(Donasi!$A$2:$A$20000,Donasi!$B$2:$B$20000,A1142))</f>
        <v/>
      </c>
      <c r="C1142">
        <f>IF(A1142="","",COUNTIF(Donasi!$B$2:$B$20000,A1142))</f>
        <v/>
      </c>
      <c r="D1142">
        <f>IF(A1142="","",SUMIF(Donasi!$B$2:$B$20000,A1142,Donasi!$C$2:$C$20000))</f>
        <v/>
      </c>
      <c r="E1142">
        <f>IF(A1142="","",6-CEILING(PERCENTRANK.INC($B$3:$B$6000,B1142,4)*5+0.000001,1))</f>
        <v/>
      </c>
      <c r="F1142">
        <f>IF(A1142="","",MAX(1,CEILING(PERCENTRANK.INC($C$3:$C$6000,C1142,4)*5+0.000001,1)))</f>
        <v/>
      </c>
      <c r="G1142">
        <f>IF(A1142="","",MAX(1,CEILING(PERCENTRANK.INC($D$3:$D$6000,D1142,4)*5+0.000001,1)))</f>
        <v/>
      </c>
      <c r="H1142">
        <f>IF(A1142="","",E1142&amp;F1142&amp;G1142)</f>
        <v/>
      </c>
      <c r="I1142">
        <f>IF(A1142="","",IF(AND(E1142&gt;=4,F1142&gt;=4,G1142&gt;=4),"Juara",IF(AND(F1142&gt;=4,E1142&gt;=3),"Setia",IF(AND(E1142=5,F1142&lt;=2,G1142&gt;=3),"Berpotensi",IF(AND(E1142&lt;=3,E1142&gt;=2,F1142&gt;=3),"Rawan",IF(AND(E1142&lt;=2,F1142&lt;=2),"Tidur","Umum"))))))</f>
        <v/>
      </c>
    </row>
    <row r="1143">
      <c r="B1143">
        <f>IF(A1143="","",$B$1-MAXIFS(Donasi!$A$2:$A$20000,Donasi!$B$2:$B$20000,A1143))</f>
        <v/>
      </c>
      <c r="C1143">
        <f>IF(A1143="","",COUNTIF(Donasi!$B$2:$B$20000,A1143))</f>
        <v/>
      </c>
      <c r="D1143">
        <f>IF(A1143="","",SUMIF(Donasi!$B$2:$B$20000,A1143,Donasi!$C$2:$C$20000))</f>
        <v/>
      </c>
      <c r="E1143">
        <f>IF(A1143="","",6-CEILING(PERCENTRANK.INC($B$3:$B$6000,B1143,4)*5+0.000001,1))</f>
        <v/>
      </c>
      <c r="F1143">
        <f>IF(A1143="","",MAX(1,CEILING(PERCENTRANK.INC($C$3:$C$6000,C1143,4)*5+0.000001,1)))</f>
        <v/>
      </c>
      <c r="G1143">
        <f>IF(A1143="","",MAX(1,CEILING(PERCENTRANK.INC($D$3:$D$6000,D1143,4)*5+0.000001,1)))</f>
        <v/>
      </c>
      <c r="H1143">
        <f>IF(A1143="","",E1143&amp;F1143&amp;G1143)</f>
        <v/>
      </c>
      <c r="I1143">
        <f>IF(A1143="","",IF(AND(E1143&gt;=4,F1143&gt;=4,G1143&gt;=4),"Juara",IF(AND(F1143&gt;=4,E1143&gt;=3),"Setia",IF(AND(E1143=5,F1143&lt;=2,G1143&gt;=3),"Berpotensi",IF(AND(E1143&lt;=3,E1143&gt;=2,F1143&gt;=3),"Rawan",IF(AND(E1143&lt;=2,F1143&lt;=2),"Tidur","Umum"))))))</f>
        <v/>
      </c>
    </row>
    <row r="1144">
      <c r="B1144">
        <f>IF(A1144="","",$B$1-MAXIFS(Donasi!$A$2:$A$20000,Donasi!$B$2:$B$20000,A1144))</f>
        <v/>
      </c>
      <c r="C1144">
        <f>IF(A1144="","",COUNTIF(Donasi!$B$2:$B$20000,A1144))</f>
        <v/>
      </c>
      <c r="D1144">
        <f>IF(A1144="","",SUMIF(Donasi!$B$2:$B$20000,A1144,Donasi!$C$2:$C$20000))</f>
        <v/>
      </c>
      <c r="E1144">
        <f>IF(A1144="","",6-CEILING(PERCENTRANK.INC($B$3:$B$6000,B1144,4)*5+0.000001,1))</f>
        <v/>
      </c>
      <c r="F1144">
        <f>IF(A1144="","",MAX(1,CEILING(PERCENTRANK.INC($C$3:$C$6000,C1144,4)*5+0.000001,1)))</f>
        <v/>
      </c>
      <c r="G1144">
        <f>IF(A1144="","",MAX(1,CEILING(PERCENTRANK.INC($D$3:$D$6000,D1144,4)*5+0.000001,1)))</f>
        <v/>
      </c>
      <c r="H1144">
        <f>IF(A1144="","",E1144&amp;F1144&amp;G1144)</f>
        <v/>
      </c>
      <c r="I1144">
        <f>IF(A1144="","",IF(AND(E1144&gt;=4,F1144&gt;=4,G1144&gt;=4),"Juara",IF(AND(F1144&gt;=4,E1144&gt;=3),"Setia",IF(AND(E1144=5,F1144&lt;=2,G1144&gt;=3),"Berpotensi",IF(AND(E1144&lt;=3,E1144&gt;=2,F1144&gt;=3),"Rawan",IF(AND(E1144&lt;=2,F1144&lt;=2),"Tidur","Umum"))))))</f>
        <v/>
      </c>
    </row>
    <row r="1145">
      <c r="B1145">
        <f>IF(A1145="","",$B$1-MAXIFS(Donasi!$A$2:$A$20000,Donasi!$B$2:$B$20000,A1145))</f>
        <v/>
      </c>
      <c r="C1145">
        <f>IF(A1145="","",COUNTIF(Donasi!$B$2:$B$20000,A1145))</f>
        <v/>
      </c>
      <c r="D1145">
        <f>IF(A1145="","",SUMIF(Donasi!$B$2:$B$20000,A1145,Donasi!$C$2:$C$20000))</f>
        <v/>
      </c>
      <c r="E1145">
        <f>IF(A1145="","",6-CEILING(PERCENTRANK.INC($B$3:$B$6000,B1145,4)*5+0.000001,1))</f>
        <v/>
      </c>
      <c r="F1145">
        <f>IF(A1145="","",MAX(1,CEILING(PERCENTRANK.INC($C$3:$C$6000,C1145,4)*5+0.000001,1)))</f>
        <v/>
      </c>
      <c r="G1145">
        <f>IF(A1145="","",MAX(1,CEILING(PERCENTRANK.INC($D$3:$D$6000,D1145,4)*5+0.000001,1)))</f>
        <v/>
      </c>
      <c r="H1145">
        <f>IF(A1145="","",E1145&amp;F1145&amp;G1145)</f>
        <v/>
      </c>
      <c r="I1145">
        <f>IF(A1145="","",IF(AND(E1145&gt;=4,F1145&gt;=4,G1145&gt;=4),"Juara",IF(AND(F1145&gt;=4,E1145&gt;=3),"Setia",IF(AND(E1145=5,F1145&lt;=2,G1145&gt;=3),"Berpotensi",IF(AND(E1145&lt;=3,E1145&gt;=2,F1145&gt;=3),"Rawan",IF(AND(E1145&lt;=2,F1145&lt;=2),"Tidur","Umum"))))))</f>
        <v/>
      </c>
    </row>
    <row r="1146">
      <c r="B1146">
        <f>IF(A1146="","",$B$1-MAXIFS(Donasi!$A$2:$A$20000,Donasi!$B$2:$B$20000,A1146))</f>
        <v/>
      </c>
      <c r="C1146">
        <f>IF(A1146="","",COUNTIF(Donasi!$B$2:$B$20000,A1146))</f>
        <v/>
      </c>
      <c r="D1146">
        <f>IF(A1146="","",SUMIF(Donasi!$B$2:$B$20000,A1146,Donasi!$C$2:$C$20000))</f>
        <v/>
      </c>
      <c r="E1146">
        <f>IF(A1146="","",6-CEILING(PERCENTRANK.INC($B$3:$B$6000,B1146,4)*5+0.000001,1))</f>
        <v/>
      </c>
      <c r="F1146">
        <f>IF(A1146="","",MAX(1,CEILING(PERCENTRANK.INC($C$3:$C$6000,C1146,4)*5+0.000001,1)))</f>
        <v/>
      </c>
      <c r="G1146">
        <f>IF(A1146="","",MAX(1,CEILING(PERCENTRANK.INC($D$3:$D$6000,D1146,4)*5+0.000001,1)))</f>
        <v/>
      </c>
      <c r="H1146">
        <f>IF(A1146="","",E1146&amp;F1146&amp;G1146)</f>
        <v/>
      </c>
      <c r="I1146">
        <f>IF(A1146="","",IF(AND(E1146&gt;=4,F1146&gt;=4,G1146&gt;=4),"Juara",IF(AND(F1146&gt;=4,E1146&gt;=3),"Setia",IF(AND(E1146=5,F1146&lt;=2,G1146&gt;=3),"Berpotensi",IF(AND(E1146&lt;=3,E1146&gt;=2,F1146&gt;=3),"Rawan",IF(AND(E1146&lt;=2,F1146&lt;=2),"Tidur","Umum"))))))</f>
        <v/>
      </c>
    </row>
    <row r="1147">
      <c r="B1147">
        <f>IF(A1147="","",$B$1-MAXIFS(Donasi!$A$2:$A$20000,Donasi!$B$2:$B$20000,A1147))</f>
        <v/>
      </c>
      <c r="C1147">
        <f>IF(A1147="","",COUNTIF(Donasi!$B$2:$B$20000,A1147))</f>
        <v/>
      </c>
      <c r="D1147">
        <f>IF(A1147="","",SUMIF(Donasi!$B$2:$B$20000,A1147,Donasi!$C$2:$C$20000))</f>
        <v/>
      </c>
      <c r="E1147">
        <f>IF(A1147="","",6-CEILING(PERCENTRANK.INC($B$3:$B$6000,B1147,4)*5+0.000001,1))</f>
        <v/>
      </c>
      <c r="F1147">
        <f>IF(A1147="","",MAX(1,CEILING(PERCENTRANK.INC($C$3:$C$6000,C1147,4)*5+0.000001,1)))</f>
        <v/>
      </c>
      <c r="G1147">
        <f>IF(A1147="","",MAX(1,CEILING(PERCENTRANK.INC($D$3:$D$6000,D1147,4)*5+0.000001,1)))</f>
        <v/>
      </c>
      <c r="H1147">
        <f>IF(A1147="","",E1147&amp;F1147&amp;G1147)</f>
        <v/>
      </c>
      <c r="I1147">
        <f>IF(A1147="","",IF(AND(E1147&gt;=4,F1147&gt;=4,G1147&gt;=4),"Juara",IF(AND(F1147&gt;=4,E1147&gt;=3),"Setia",IF(AND(E1147=5,F1147&lt;=2,G1147&gt;=3),"Berpotensi",IF(AND(E1147&lt;=3,E1147&gt;=2,F1147&gt;=3),"Rawan",IF(AND(E1147&lt;=2,F1147&lt;=2),"Tidur","Umum"))))))</f>
        <v/>
      </c>
    </row>
    <row r="1148">
      <c r="B1148">
        <f>IF(A1148="","",$B$1-MAXIFS(Donasi!$A$2:$A$20000,Donasi!$B$2:$B$20000,A1148))</f>
        <v/>
      </c>
      <c r="C1148">
        <f>IF(A1148="","",COUNTIF(Donasi!$B$2:$B$20000,A1148))</f>
        <v/>
      </c>
      <c r="D1148">
        <f>IF(A1148="","",SUMIF(Donasi!$B$2:$B$20000,A1148,Donasi!$C$2:$C$20000))</f>
        <v/>
      </c>
      <c r="E1148">
        <f>IF(A1148="","",6-CEILING(PERCENTRANK.INC($B$3:$B$6000,B1148,4)*5+0.000001,1))</f>
        <v/>
      </c>
      <c r="F1148">
        <f>IF(A1148="","",MAX(1,CEILING(PERCENTRANK.INC($C$3:$C$6000,C1148,4)*5+0.000001,1)))</f>
        <v/>
      </c>
      <c r="G1148">
        <f>IF(A1148="","",MAX(1,CEILING(PERCENTRANK.INC($D$3:$D$6000,D1148,4)*5+0.000001,1)))</f>
        <v/>
      </c>
      <c r="H1148">
        <f>IF(A1148="","",E1148&amp;F1148&amp;G1148)</f>
        <v/>
      </c>
      <c r="I1148">
        <f>IF(A1148="","",IF(AND(E1148&gt;=4,F1148&gt;=4,G1148&gt;=4),"Juara",IF(AND(F1148&gt;=4,E1148&gt;=3),"Setia",IF(AND(E1148=5,F1148&lt;=2,G1148&gt;=3),"Berpotensi",IF(AND(E1148&lt;=3,E1148&gt;=2,F1148&gt;=3),"Rawan",IF(AND(E1148&lt;=2,F1148&lt;=2),"Tidur","Umum"))))))</f>
        <v/>
      </c>
    </row>
    <row r="1149">
      <c r="B1149">
        <f>IF(A1149="","",$B$1-MAXIFS(Donasi!$A$2:$A$20000,Donasi!$B$2:$B$20000,A1149))</f>
        <v/>
      </c>
      <c r="C1149">
        <f>IF(A1149="","",COUNTIF(Donasi!$B$2:$B$20000,A1149))</f>
        <v/>
      </c>
      <c r="D1149">
        <f>IF(A1149="","",SUMIF(Donasi!$B$2:$B$20000,A1149,Donasi!$C$2:$C$20000))</f>
        <v/>
      </c>
      <c r="E1149">
        <f>IF(A1149="","",6-CEILING(PERCENTRANK.INC($B$3:$B$6000,B1149,4)*5+0.000001,1))</f>
        <v/>
      </c>
      <c r="F1149">
        <f>IF(A1149="","",MAX(1,CEILING(PERCENTRANK.INC($C$3:$C$6000,C1149,4)*5+0.000001,1)))</f>
        <v/>
      </c>
      <c r="G1149">
        <f>IF(A1149="","",MAX(1,CEILING(PERCENTRANK.INC($D$3:$D$6000,D1149,4)*5+0.000001,1)))</f>
        <v/>
      </c>
      <c r="H1149">
        <f>IF(A1149="","",E1149&amp;F1149&amp;G1149)</f>
        <v/>
      </c>
      <c r="I1149">
        <f>IF(A1149="","",IF(AND(E1149&gt;=4,F1149&gt;=4,G1149&gt;=4),"Juara",IF(AND(F1149&gt;=4,E1149&gt;=3),"Setia",IF(AND(E1149=5,F1149&lt;=2,G1149&gt;=3),"Berpotensi",IF(AND(E1149&lt;=3,E1149&gt;=2,F1149&gt;=3),"Rawan",IF(AND(E1149&lt;=2,F1149&lt;=2),"Tidur","Umum"))))))</f>
        <v/>
      </c>
    </row>
    <row r="1150">
      <c r="B1150">
        <f>IF(A1150="","",$B$1-MAXIFS(Donasi!$A$2:$A$20000,Donasi!$B$2:$B$20000,A1150))</f>
        <v/>
      </c>
      <c r="C1150">
        <f>IF(A1150="","",COUNTIF(Donasi!$B$2:$B$20000,A1150))</f>
        <v/>
      </c>
      <c r="D1150">
        <f>IF(A1150="","",SUMIF(Donasi!$B$2:$B$20000,A1150,Donasi!$C$2:$C$20000))</f>
        <v/>
      </c>
      <c r="E1150">
        <f>IF(A1150="","",6-CEILING(PERCENTRANK.INC($B$3:$B$6000,B1150,4)*5+0.000001,1))</f>
        <v/>
      </c>
      <c r="F1150">
        <f>IF(A1150="","",MAX(1,CEILING(PERCENTRANK.INC($C$3:$C$6000,C1150,4)*5+0.000001,1)))</f>
        <v/>
      </c>
      <c r="G1150">
        <f>IF(A1150="","",MAX(1,CEILING(PERCENTRANK.INC($D$3:$D$6000,D1150,4)*5+0.000001,1)))</f>
        <v/>
      </c>
      <c r="H1150">
        <f>IF(A1150="","",E1150&amp;F1150&amp;G1150)</f>
        <v/>
      </c>
      <c r="I1150">
        <f>IF(A1150="","",IF(AND(E1150&gt;=4,F1150&gt;=4,G1150&gt;=4),"Juara",IF(AND(F1150&gt;=4,E1150&gt;=3),"Setia",IF(AND(E1150=5,F1150&lt;=2,G1150&gt;=3),"Berpotensi",IF(AND(E1150&lt;=3,E1150&gt;=2,F1150&gt;=3),"Rawan",IF(AND(E1150&lt;=2,F1150&lt;=2),"Tidur","Umum"))))))</f>
        <v/>
      </c>
    </row>
    <row r="1151">
      <c r="B1151">
        <f>IF(A1151="","",$B$1-MAXIFS(Donasi!$A$2:$A$20000,Donasi!$B$2:$B$20000,A1151))</f>
        <v/>
      </c>
      <c r="C1151">
        <f>IF(A1151="","",COUNTIF(Donasi!$B$2:$B$20000,A1151))</f>
        <v/>
      </c>
      <c r="D1151">
        <f>IF(A1151="","",SUMIF(Donasi!$B$2:$B$20000,A1151,Donasi!$C$2:$C$20000))</f>
        <v/>
      </c>
      <c r="E1151">
        <f>IF(A1151="","",6-CEILING(PERCENTRANK.INC($B$3:$B$6000,B1151,4)*5+0.000001,1))</f>
        <v/>
      </c>
      <c r="F1151">
        <f>IF(A1151="","",MAX(1,CEILING(PERCENTRANK.INC($C$3:$C$6000,C1151,4)*5+0.000001,1)))</f>
        <v/>
      </c>
      <c r="G1151">
        <f>IF(A1151="","",MAX(1,CEILING(PERCENTRANK.INC($D$3:$D$6000,D1151,4)*5+0.000001,1)))</f>
        <v/>
      </c>
      <c r="H1151">
        <f>IF(A1151="","",E1151&amp;F1151&amp;G1151)</f>
        <v/>
      </c>
      <c r="I1151">
        <f>IF(A1151="","",IF(AND(E1151&gt;=4,F1151&gt;=4,G1151&gt;=4),"Juara",IF(AND(F1151&gt;=4,E1151&gt;=3),"Setia",IF(AND(E1151=5,F1151&lt;=2,G1151&gt;=3),"Berpotensi",IF(AND(E1151&lt;=3,E1151&gt;=2,F1151&gt;=3),"Rawan",IF(AND(E1151&lt;=2,F1151&lt;=2),"Tidur","Umum"))))))</f>
        <v/>
      </c>
    </row>
    <row r="1152">
      <c r="B1152">
        <f>IF(A1152="","",$B$1-MAXIFS(Donasi!$A$2:$A$20000,Donasi!$B$2:$B$20000,A1152))</f>
        <v/>
      </c>
      <c r="C1152">
        <f>IF(A1152="","",COUNTIF(Donasi!$B$2:$B$20000,A1152))</f>
        <v/>
      </c>
      <c r="D1152">
        <f>IF(A1152="","",SUMIF(Donasi!$B$2:$B$20000,A1152,Donasi!$C$2:$C$20000))</f>
        <v/>
      </c>
      <c r="E1152">
        <f>IF(A1152="","",6-CEILING(PERCENTRANK.INC($B$3:$B$6000,B1152,4)*5+0.000001,1))</f>
        <v/>
      </c>
      <c r="F1152">
        <f>IF(A1152="","",MAX(1,CEILING(PERCENTRANK.INC($C$3:$C$6000,C1152,4)*5+0.000001,1)))</f>
        <v/>
      </c>
      <c r="G1152">
        <f>IF(A1152="","",MAX(1,CEILING(PERCENTRANK.INC($D$3:$D$6000,D1152,4)*5+0.000001,1)))</f>
        <v/>
      </c>
      <c r="H1152">
        <f>IF(A1152="","",E1152&amp;F1152&amp;G1152)</f>
        <v/>
      </c>
      <c r="I1152">
        <f>IF(A1152="","",IF(AND(E1152&gt;=4,F1152&gt;=4,G1152&gt;=4),"Juara",IF(AND(F1152&gt;=4,E1152&gt;=3),"Setia",IF(AND(E1152=5,F1152&lt;=2,G1152&gt;=3),"Berpotensi",IF(AND(E1152&lt;=3,E1152&gt;=2,F1152&gt;=3),"Rawan",IF(AND(E1152&lt;=2,F1152&lt;=2),"Tidur","Umum"))))))</f>
        <v/>
      </c>
    </row>
    <row r="1153">
      <c r="B1153">
        <f>IF(A1153="","",$B$1-MAXIFS(Donasi!$A$2:$A$20000,Donasi!$B$2:$B$20000,A1153))</f>
        <v/>
      </c>
      <c r="C1153">
        <f>IF(A1153="","",COUNTIF(Donasi!$B$2:$B$20000,A1153))</f>
        <v/>
      </c>
      <c r="D1153">
        <f>IF(A1153="","",SUMIF(Donasi!$B$2:$B$20000,A1153,Donasi!$C$2:$C$20000))</f>
        <v/>
      </c>
      <c r="E1153">
        <f>IF(A1153="","",6-CEILING(PERCENTRANK.INC($B$3:$B$6000,B1153,4)*5+0.000001,1))</f>
        <v/>
      </c>
      <c r="F1153">
        <f>IF(A1153="","",MAX(1,CEILING(PERCENTRANK.INC($C$3:$C$6000,C1153,4)*5+0.000001,1)))</f>
        <v/>
      </c>
      <c r="G1153">
        <f>IF(A1153="","",MAX(1,CEILING(PERCENTRANK.INC($D$3:$D$6000,D1153,4)*5+0.000001,1)))</f>
        <v/>
      </c>
      <c r="H1153">
        <f>IF(A1153="","",E1153&amp;F1153&amp;G1153)</f>
        <v/>
      </c>
      <c r="I1153">
        <f>IF(A1153="","",IF(AND(E1153&gt;=4,F1153&gt;=4,G1153&gt;=4),"Juara",IF(AND(F1153&gt;=4,E1153&gt;=3),"Setia",IF(AND(E1153=5,F1153&lt;=2,G1153&gt;=3),"Berpotensi",IF(AND(E1153&lt;=3,E1153&gt;=2,F1153&gt;=3),"Rawan",IF(AND(E1153&lt;=2,F1153&lt;=2),"Tidur","Umum"))))))</f>
        <v/>
      </c>
    </row>
    <row r="1154">
      <c r="B1154">
        <f>IF(A1154="","",$B$1-MAXIFS(Donasi!$A$2:$A$20000,Donasi!$B$2:$B$20000,A1154))</f>
        <v/>
      </c>
      <c r="C1154">
        <f>IF(A1154="","",COUNTIF(Donasi!$B$2:$B$20000,A1154))</f>
        <v/>
      </c>
      <c r="D1154">
        <f>IF(A1154="","",SUMIF(Donasi!$B$2:$B$20000,A1154,Donasi!$C$2:$C$20000))</f>
        <v/>
      </c>
      <c r="E1154">
        <f>IF(A1154="","",6-CEILING(PERCENTRANK.INC($B$3:$B$6000,B1154,4)*5+0.000001,1))</f>
        <v/>
      </c>
      <c r="F1154">
        <f>IF(A1154="","",MAX(1,CEILING(PERCENTRANK.INC($C$3:$C$6000,C1154,4)*5+0.000001,1)))</f>
        <v/>
      </c>
      <c r="G1154">
        <f>IF(A1154="","",MAX(1,CEILING(PERCENTRANK.INC($D$3:$D$6000,D1154,4)*5+0.000001,1)))</f>
        <v/>
      </c>
      <c r="H1154">
        <f>IF(A1154="","",E1154&amp;F1154&amp;G1154)</f>
        <v/>
      </c>
      <c r="I1154">
        <f>IF(A1154="","",IF(AND(E1154&gt;=4,F1154&gt;=4,G1154&gt;=4),"Juara",IF(AND(F1154&gt;=4,E1154&gt;=3),"Setia",IF(AND(E1154=5,F1154&lt;=2,G1154&gt;=3),"Berpotensi",IF(AND(E1154&lt;=3,E1154&gt;=2,F1154&gt;=3),"Rawan",IF(AND(E1154&lt;=2,F1154&lt;=2),"Tidur","Umum"))))))</f>
        <v/>
      </c>
    </row>
    <row r="1155">
      <c r="B1155">
        <f>IF(A1155="","",$B$1-MAXIFS(Donasi!$A$2:$A$20000,Donasi!$B$2:$B$20000,A1155))</f>
        <v/>
      </c>
      <c r="C1155">
        <f>IF(A1155="","",COUNTIF(Donasi!$B$2:$B$20000,A1155))</f>
        <v/>
      </c>
      <c r="D1155">
        <f>IF(A1155="","",SUMIF(Donasi!$B$2:$B$20000,A1155,Donasi!$C$2:$C$20000))</f>
        <v/>
      </c>
      <c r="E1155">
        <f>IF(A1155="","",6-CEILING(PERCENTRANK.INC($B$3:$B$6000,B1155,4)*5+0.000001,1))</f>
        <v/>
      </c>
      <c r="F1155">
        <f>IF(A1155="","",MAX(1,CEILING(PERCENTRANK.INC($C$3:$C$6000,C1155,4)*5+0.000001,1)))</f>
        <v/>
      </c>
      <c r="G1155">
        <f>IF(A1155="","",MAX(1,CEILING(PERCENTRANK.INC($D$3:$D$6000,D1155,4)*5+0.000001,1)))</f>
        <v/>
      </c>
      <c r="H1155">
        <f>IF(A1155="","",E1155&amp;F1155&amp;G1155)</f>
        <v/>
      </c>
      <c r="I1155">
        <f>IF(A1155="","",IF(AND(E1155&gt;=4,F1155&gt;=4,G1155&gt;=4),"Juara",IF(AND(F1155&gt;=4,E1155&gt;=3),"Setia",IF(AND(E1155=5,F1155&lt;=2,G1155&gt;=3),"Berpotensi",IF(AND(E1155&lt;=3,E1155&gt;=2,F1155&gt;=3),"Rawan",IF(AND(E1155&lt;=2,F1155&lt;=2),"Tidur","Umum"))))))</f>
        <v/>
      </c>
    </row>
    <row r="1156">
      <c r="B1156">
        <f>IF(A1156="","",$B$1-MAXIFS(Donasi!$A$2:$A$20000,Donasi!$B$2:$B$20000,A1156))</f>
        <v/>
      </c>
      <c r="C1156">
        <f>IF(A1156="","",COUNTIF(Donasi!$B$2:$B$20000,A1156))</f>
        <v/>
      </c>
      <c r="D1156">
        <f>IF(A1156="","",SUMIF(Donasi!$B$2:$B$20000,A1156,Donasi!$C$2:$C$20000))</f>
        <v/>
      </c>
      <c r="E1156">
        <f>IF(A1156="","",6-CEILING(PERCENTRANK.INC($B$3:$B$6000,B1156,4)*5+0.000001,1))</f>
        <v/>
      </c>
      <c r="F1156">
        <f>IF(A1156="","",MAX(1,CEILING(PERCENTRANK.INC($C$3:$C$6000,C1156,4)*5+0.000001,1)))</f>
        <v/>
      </c>
      <c r="G1156">
        <f>IF(A1156="","",MAX(1,CEILING(PERCENTRANK.INC($D$3:$D$6000,D1156,4)*5+0.000001,1)))</f>
        <v/>
      </c>
      <c r="H1156">
        <f>IF(A1156="","",E1156&amp;F1156&amp;G1156)</f>
        <v/>
      </c>
      <c r="I1156">
        <f>IF(A1156="","",IF(AND(E1156&gt;=4,F1156&gt;=4,G1156&gt;=4),"Juara",IF(AND(F1156&gt;=4,E1156&gt;=3),"Setia",IF(AND(E1156=5,F1156&lt;=2,G1156&gt;=3),"Berpotensi",IF(AND(E1156&lt;=3,E1156&gt;=2,F1156&gt;=3),"Rawan",IF(AND(E1156&lt;=2,F1156&lt;=2),"Tidur","Umum"))))))</f>
        <v/>
      </c>
    </row>
    <row r="1157">
      <c r="B1157">
        <f>IF(A1157="","",$B$1-MAXIFS(Donasi!$A$2:$A$20000,Donasi!$B$2:$B$20000,A1157))</f>
        <v/>
      </c>
      <c r="C1157">
        <f>IF(A1157="","",COUNTIF(Donasi!$B$2:$B$20000,A1157))</f>
        <v/>
      </c>
      <c r="D1157">
        <f>IF(A1157="","",SUMIF(Donasi!$B$2:$B$20000,A1157,Donasi!$C$2:$C$20000))</f>
        <v/>
      </c>
      <c r="E1157">
        <f>IF(A1157="","",6-CEILING(PERCENTRANK.INC($B$3:$B$6000,B1157,4)*5+0.000001,1))</f>
        <v/>
      </c>
      <c r="F1157">
        <f>IF(A1157="","",MAX(1,CEILING(PERCENTRANK.INC($C$3:$C$6000,C1157,4)*5+0.000001,1)))</f>
        <v/>
      </c>
      <c r="G1157">
        <f>IF(A1157="","",MAX(1,CEILING(PERCENTRANK.INC($D$3:$D$6000,D1157,4)*5+0.000001,1)))</f>
        <v/>
      </c>
      <c r="H1157">
        <f>IF(A1157="","",E1157&amp;F1157&amp;G1157)</f>
        <v/>
      </c>
      <c r="I1157">
        <f>IF(A1157="","",IF(AND(E1157&gt;=4,F1157&gt;=4,G1157&gt;=4),"Juara",IF(AND(F1157&gt;=4,E1157&gt;=3),"Setia",IF(AND(E1157=5,F1157&lt;=2,G1157&gt;=3),"Berpotensi",IF(AND(E1157&lt;=3,E1157&gt;=2,F1157&gt;=3),"Rawan",IF(AND(E1157&lt;=2,F1157&lt;=2),"Tidur","Umum"))))))</f>
        <v/>
      </c>
    </row>
    <row r="1158">
      <c r="B1158">
        <f>IF(A1158="","",$B$1-MAXIFS(Donasi!$A$2:$A$20000,Donasi!$B$2:$B$20000,A1158))</f>
        <v/>
      </c>
      <c r="C1158">
        <f>IF(A1158="","",COUNTIF(Donasi!$B$2:$B$20000,A1158))</f>
        <v/>
      </c>
      <c r="D1158">
        <f>IF(A1158="","",SUMIF(Donasi!$B$2:$B$20000,A1158,Donasi!$C$2:$C$20000))</f>
        <v/>
      </c>
      <c r="E1158">
        <f>IF(A1158="","",6-CEILING(PERCENTRANK.INC($B$3:$B$6000,B1158,4)*5+0.000001,1))</f>
        <v/>
      </c>
      <c r="F1158">
        <f>IF(A1158="","",MAX(1,CEILING(PERCENTRANK.INC($C$3:$C$6000,C1158,4)*5+0.000001,1)))</f>
        <v/>
      </c>
      <c r="G1158">
        <f>IF(A1158="","",MAX(1,CEILING(PERCENTRANK.INC($D$3:$D$6000,D1158,4)*5+0.000001,1)))</f>
        <v/>
      </c>
      <c r="H1158">
        <f>IF(A1158="","",E1158&amp;F1158&amp;G1158)</f>
        <v/>
      </c>
      <c r="I1158">
        <f>IF(A1158="","",IF(AND(E1158&gt;=4,F1158&gt;=4,G1158&gt;=4),"Juara",IF(AND(F1158&gt;=4,E1158&gt;=3),"Setia",IF(AND(E1158=5,F1158&lt;=2,G1158&gt;=3),"Berpotensi",IF(AND(E1158&lt;=3,E1158&gt;=2,F1158&gt;=3),"Rawan",IF(AND(E1158&lt;=2,F1158&lt;=2),"Tidur","Umum"))))))</f>
        <v/>
      </c>
    </row>
    <row r="1159">
      <c r="B1159">
        <f>IF(A1159="","",$B$1-MAXIFS(Donasi!$A$2:$A$20000,Donasi!$B$2:$B$20000,A1159))</f>
        <v/>
      </c>
      <c r="C1159">
        <f>IF(A1159="","",COUNTIF(Donasi!$B$2:$B$20000,A1159))</f>
        <v/>
      </c>
      <c r="D1159">
        <f>IF(A1159="","",SUMIF(Donasi!$B$2:$B$20000,A1159,Donasi!$C$2:$C$20000))</f>
        <v/>
      </c>
      <c r="E1159">
        <f>IF(A1159="","",6-CEILING(PERCENTRANK.INC($B$3:$B$6000,B1159,4)*5+0.000001,1))</f>
        <v/>
      </c>
      <c r="F1159">
        <f>IF(A1159="","",MAX(1,CEILING(PERCENTRANK.INC($C$3:$C$6000,C1159,4)*5+0.000001,1)))</f>
        <v/>
      </c>
      <c r="G1159">
        <f>IF(A1159="","",MAX(1,CEILING(PERCENTRANK.INC($D$3:$D$6000,D1159,4)*5+0.000001,1)))</f>
        <v/>
      </c>
      <c r="H1159">
        <f>IF(A1159="","",E1159&amp;F1159&amp;G1159)</f>
        <v/>
      </c>
      <c r="I1159">
        <f>IF(A1159="","",IF(AND(E1159&gt;=4,F1159&gt;=4,G1159&gt;=4),"Juara",IF(AND(F1159&gt;=4,E1159&gt;=3),"Setia",IF(AND(E1159=5,F1159&lt;=2,G1159&gt;=3),"Berpotensi",IF(AND(E1159&lt;=3,E1159&gt;=2,F1159&gt;=3),"Rawan",IF(AND(E1159&lt;=2,F1159&lt;=2),"Tidur","Umum"))))))</f>
        <v/>
      </c>
    </row>
    <row r="1160">
      <c r="B1160">
        <f>IF(A1160="","",$B$1-MAXIFS(Donasi!$A$2:$A$20000,Donasi!$B$2:$B$20000,A1160))</f>
        <v/>
      </c>
      <c r="C1160">
        <f>IF(A1160="","",COUNTIF(Donasi!$B$2:$B$20000,A1160))</f>
        <v/>
      </c>
      <c r="D1160">
        <f>IF(A1160="","",SUMIF(Donasi!$B$2:$B$20000,A1160,Donasi!$C$2:$C$20000))</f>
        <v/>
      </c>
      <c r="E1160">
        <f>IF(A1160="","",6-CEILING(PERCENTRANK.INC($B$3:$B$6000,B1160,4)*5+0.000001,1))</f>
        <v/>
      </c>
      <c r="F1160">
        <f>IF(A1160="","",MAX(1,CEILING(PERCENTRANK.INC($C$3:$C$6000,C1160,4)*5+0.000001,1)))</f>
        <v/>
      </c>
      <c r="G1160">
        <f>IF(A1160="","",MAX(1,CEILING(PERCENTRANK.INC($D$3:$D$6000,D1160,4)*5+0.000001,1)))</f>
        <v/>
      </c>
      <c r="H1160">
        <f>IF(A1160="","",E1160&amp;F1160&amp;G1160)</f>
        <v/>
      </c>
      <c r="I1160">
        <f>IF(A1160="","",IF(AND(E1160&gt;=4,F1160&gt;=4,G1160&gt;=4),"Juara",IF(AND(F1160&gt;=4,E1160&gt;=3),"Setia",IF(AND(E1160=5,F1160&lt;=2,G1160&gt;=3),"Berpotensi",IF(AND(E1160&lt;=3,E1160&gt;=2,F1160&gt;=3),"Rawan",IF(AND(E1160&lt;=2,F1160&lt;=2),"Tidur","Umum"))))))</f>
        <v/>
      </c>
    </row>
    <row r="1161">
      <c r="B1161">
        <f>IF(A1161="","",$B$1-MAXIFS(Donasi!$A$2:$A$20000,Donasi!$B$2:$B$20000,A1161))</f>
        <v/>
      </c>
      <c r="C1161">
        <f>IF(A1161="","",COUNTIF(Donasi!$B$2:$B$20000,A1161))</f>
        <v/>
      </c>
      <c r="D1161">
        <f>IF(A1161="","",SUMIF(Donasi!$B$2:$B$20000,A1161,Donasi!$C$2:$C$20000))</f>
        <v/>
      </c>
      <c r="E1161">
        <f>IF(A1161="","",6-CEILING(PERCENTRANK.INC($B$3:$B$6000,B1161,4)*5+0.000001,1))</f>
        <v/>
      </c>
      <c r="F1161">
        <f>IF(A1161="","",MAX(1,CEILING(PERCENTRANK.INC($C$3:$C$6000,C1161,4)*5+0.000001,1)))</f>
        <v/>
      </c>
      <c r="G1161">
        <f>IF(A1161="","",MAX(1,CEILING(PERCENTRANK.INC($D$3:$D$6000,D1161,4)*5+0.000001,1)))</f>
        <v/>
      </c>
      <c r="H1161">
        <f>IF(A1161="","",E1161&amp;F1161&amp;G1161)</f>
        <v/>
      </c>
      <c r="I1161">
        <f>IF(A1161="","",IF(AND(E1161&gt;=4,F1161&gt;=4,G1161&gt;=4),"Juara",IF(AND(F1161&gt;=4,E1161&gt;=3),"Setia",IF(AND(E1161=5,F1161&lt;=2,G1161&gt;=3),"Berpotensi",IF(AND(E1161&lt;=3,E1161&gt;=2,F1161&gt;=3),"Rawan",IF(AND(E1161&lt;=2,F1161&lt;=2),"Tidur","Umum"))))))</f>
        <v/>
      </c>
    </row>
    <row r="1162">
      <c r="B1162">
        <f>IF(A1162="","",$B$1-MAXIFS(Donasi!$A$2:$A$20000,Donasi!$B$2:$B$20000,A1162))</f>
        <v/>
      </c>
      <c r="C1162">
        <f>IF(A1162="","",COUNTIF(Donasi!$B$2:$B$20000,A1162))</f>
        <v/>
      </c>
      <c r="D1162">
        <f>IF(A1162="","",SUMIF(Donasi!$B$2:$B$20000,A1162,Donasi!$C$2:$C$20000))</f>
        <v/>
      </c>
      <c r="E1162">
        <f>IF(A1162="","",6-CEILING(PERCENTRANK.INC($B$3:$B$6000,B1162,4)*5+0.000001,1))</f>
        <v/>
      </c>
      <c r="F1162">
        <f>IF(A1162="","",MAX(1,CEILING(PERCENTRANK.INC($C$3:$C$6000,C1162,4)*5+0.000001,1)))</f>
        <v/>
      </c>
      <c r="G1162">
        <f>IF(A1162="","",MAX(1,CEILING(PERCENTRANK.INC($D$3:$D$6000,D1162,4)*5+0.000001,1)))</f>
        <v/>
      </c>
      <c r="H1162">
        <f>IF(A1162="","",E1162&amp;F1162&amp;G1162)</f>
        <v/>
      </c>
      <c r="I1162">
        <f>IF(A1162="","",IF(AND(E1162&gt;=4,F1162&gt;=4,G1162&gt;=4),"Juara",IF(AND(F1162&gt;=4,E1162&gt;=3),"Setia",IF(AND(E1162=5,F1162&lt;=2,G1162&gt;=3),"Berpotensi",IF(AND(E1162&lt;=3,E1162&gt;=2,F1162&gt;=3),"Rawan",IF(AND(E1162&lt;=2,F1162&lt;=2),"Tidur","Umum"))))))</f>
        <v/>
      </c>
    </row>
    <row r="1163">
      <c r="B1163">
        <f>IF(A1163="","",$B$1-MAXIFS(Donasi!$A$2:$A$20000,Donasi!$B$2:$B$20000,A1163))</f>
        <v/>
      </c>
      <c r="C1163">
        <f>IF(A1163="","",COUNTIF(Donasi!$B$2:$B$20000,A1163))</f>
        <v/>
      </c>
      <c r="D1163">
        <f>IF(A1163="","",SUMIF(Donasi!$B$2:$B$20000,A1163,Donasi!$C$2:$C$20000))</f>
        <v/>
      </c>
      <c r="E1163">
        <f>IF(A1163="","",6-CEILING(PERCENTRANK.INC($B$3:$B$6000,B1163,4)*5+0.000001,1))</f>
        <v/>
      </c>
      <c r="F1163">
        <f>IF(A1163="","",MAX(1,CEILING(PERCENTRANK.INC($C$3:$C$6000,C1163,4)*5+0.000001,1)))</f>
        <v/>
      </c>
      <c r="G1163">
        <f>IF(A1163="","",MAX(1,CEILING(PERCENTRANK.INC($D$3:$D$6000,D1163,4)*5+0.000001,1)))</f>
        <v/>
      </c>
      <c r="H1163">
        <f>IF(A1163="","",E1163&amp;F1163&amp;G1163)</f>
        <v/>
      </c>
      <c r="I1163">
        <f>IF(A1163="","",IF(AND(E1163&gt;=4,F1163&gt;=4,G1163&gt;=4),"Juara",IF(AND(F1163&gt;=4,E1163&gt;=3),"Setia",IF(AND(E1163=5,F1163&lt;=2,G1163&gt;=3),"Berpotensi",IF(AND(E1163&lt;=3,E1163&gt;=2,F1163&gt;=3),"Rawan",IF(AND(E1163&lt;=2,F1163&lt;=2),"Tidur","Umum"))))))</f>
        <v/>
      </c>
    </row>
    <row r="1164">
      <c r="B1164">
        <f>IF(A1164="","",$B$1-MAXIFS(Donasi!$A$2:$A$20000,Donasi!$B$2:$B$20000,A1164))</f>
        <v/>
      </c>
      <c r="C1164">
        <f>IF(A1164="","",COUNTIF(Donasi!$B$2:$B$20000,A1164))</f>
        <v/>
      </c>
      <c r="D1164">
        <f>IF(A1164="","",SUMIF(Donasi!$B$2:$B$20000,A1164,Donasi!$C$2:$C$20000))</f>
        <v/>
      </c>
      <c r="E1164">
        <f>IF(A1164="","",6-CEILING(PERCENTRANK.INC($B$3:$B$6000,B1164,4)*5+0.000001,1))</f>
        <v/>
      </c>
      <c r="F1164">
        <f>IF(A1164="","",MAX(1,CEILING(PERCENTRANK.INC($C$3:$C$6000,C1164,4)*5+0.000001,1)))</f>
        <v/>
      </c>
      <c r="G1164">
        <f>IF(A1164="","",MAX(1,CEILING(PERCENTRANK.INC($D$3:$D$6000,D1164,4)*5+0.000001,1)))</f>
        <v/>
      </c>
      <c r="H1164">
        <f>IF(A1164="","",E1164&amp;F1164&amp;G1164)</f>
        <v/>
      </c>
      <c r="I1164">
        <f>IF(A1164="","",IF(AND(E1164&gt;=4,F1164&gt;=4,G1164&gt;=4),"Juara",IF(AND(F1164&gt;=4,E1164&gt;=3),"Setia",IF(AND(E1164=5,F1164&lt;=2,G1164&gt;=3),"Berpotensi",IF(AND(E1164&lt;=3,E1164&gt;=2,F1164&gt;=3),"Rawan",IF(AND(E1164&lt;=2,F1164&lt;=2),"Tidur","Umum"))))))</f>
        <v/>
      </c>
    </row>
    <row r="1165">
      <c r="B1165">
        <f>IF(A1165="","",$B$1-MAXIFS(Donasi!$A$2:$A$20000,Donasi!$B$2:$B$20000,A1165))</f>
        <v/>
      </c>
      <c r="C1165">
        <f>IF(A1165="","",COUNTIF(Donasi!$B$2:$B$20000,A1165))</f>
        <v/>
      </c>
      <c r="D1165">
        <f>IF(A1165="","",SUMIF(Donasi!$B$2:$B$20000,A1165,Donasi!$C$2:$C$20000))</f>
        <v/>
      </c>
      <c r="E1165">
        <f>IF(A1165="","",6-CEILING(PERCENTRANK.INC($B$3:$B$6000,B1165,4)*5+0.000001,1))</f>
        <v/>
      </c>
      <c r="F1165">
        <f>IF(A1165="","",MAX(1,CEILING(PERCENTRANK.INC($C$3:$C$6000,C1165,4)*5+0.000001,1)))</f>
        <v/>
      </c>
      <c r="G1165">
        <f>IF(A1165="","",MAX(1,CEILING(PERCENTRANK.INC($D$3:$D$6000,D1165,4)*5+0.000001,1)))</f>
        <v/>
      </c>
      <c r="H1165">
        <f>IF(A1165="","",E1165&amp;F1165&amp;G1165)</f>
        <v/>
      </c>
      <c r="I1165">
        <f>IF(A1165="","",IF(AND(E1165&gt;=4,F1165&gt;=4,G1165&gt;=4),"Juara",IF(AND(F1165&gt;=4,E1165&gt;=3),"Setia",IF(AND(E1165=5,F1165&lt;=2,G1165&gt;=3),"Berpotensi",IF(AND(E1165&lt;=3,E1165&gt;=2,F1165&gt;=3),"Rawan",IF(AND(E1165&lt;=2,F1165&lt;=2),"Tidur","Umum"))))))</f>
        <v/>
      </c>
    </row>
    <row r="1166">
      <c r="B1166">
        <f>IF(A1166="","",$B$1-MAXIFS(Donasi!$A$2:$A$20000,Donasi!$B$2:$B$20000,A1166))</f>
        <v/>
      </c>
      <c r="C1166">
        <f>IF(A1166="","",COUNTIF(Donasi!$B$2:$B$20000,A1166))</f>
        <v/>
      </c>
      <c r="D1166">
        <f>IF(A1166="","",SUMIF(Donasi!$B$2:$B$20000,A1166,Donasi!$C$2:$C$20000))</f>
        <v/>
      </c>
      <c r="E1166">
        <f>IF(A1166="","",6-CEILING(PERCENTRANK.INC($B$3:$B$6000,B1166,4)*5+0.000001,1))</f>
        <v/>
      </c>
      <c r="F1166">
        <f>IF(A1166="","",MAX(1,CEILING(PERCENTRANK.INC($C$3:$C$6000,C1166,4)*5+0.000001,1)))</f>
        <v/>
      </c>
      <c r="G1166">
        <f>IF(A1166="","",MAX(1,CEILING(PERCENTRANK.INC($D$3:$D$6000,D1166,4)*5+0.000001,1)))</f>
        <v/>
      </c>
      <c r="H1166">
        <f>IF(A1166="","",E1166&amp;F1166&amp;G1166)</f>
        <v/>
      </c>
      <c r="I1166">
        <f>IF(A1166="","",IF(AND(E1166&gt;=4,F1166&gt;=4,G1166&gt;=4),"Juara",IF(AND(F1166&gt;=4,E1166&gt;=3),"Setia",IF(AND(E1166=5,F1166&lt;=2,G1166&gt;=3),"Berpotensi",IF(AND(E1166&lt;=3,E1166&gt;=2,F1166&gt;=3),"Rawan",IF(AND(E1166&lt;=2,F1166&lt;=2),"Tidur","Umum"))))))</f>
        <v/>
      </c>
    </row>
    <row r="1167">
      <c r="B1167">
        <f>IF(A1167="","",$B$1-MAXIFS(Donasi!$A$2:$A$20000,Donasi!$B$2:$B$20000,A1167))</f>
        <v/>
      </c>
      <c r="C1167">
        <f>IF(A1167="","",COUNTIF(Donasi!$B$2:$B$20000,A1167))</f>
        <v/>
      </c>
      <c r="D1167">
        <f>IF(A1167="","",SUMIF(Donasi!$B$2:$B$20000,A1167,Donasi!$C$2:$C$20000))</f>
        <v/>
      </c>
      <c r="E1167">
        <f>IF(A1167="","",6-CEILING(PERCENTRANK.INC($B$3:$B$6000,B1167,4)*5+0.000001,1))</f>
        <v/>
      </c>
      <c r="F1167">
        <f>IF(A1167="","",MAX(1,CEILING(PERCENTRANK.INC($C$3:$C$6000,C1167,4)*5+0.000001,1)))</f>
        <v/>
      </c>
      <c r="G1167">
        <f>IF(A1167="","",MAX(1,CEILING(PERCENTRANK.INC($D$3:$D$6000,D1167,4)*5+0.000001,1)))</f>
        <v/>
      </c>
      <c r="H1167">
        <f>IF(A1167="","",E1167&amp;F1167&amp;G1167)</f>
        <v/>
      </c>
      <c r="I1167">
        <f>IF(A1167="","",IF(AND(E1167&gt;=4,F1167&gt;=4,G1167&gt;=4),"Juara",IF(AND(F1167&gt;=4,E1167&gt;=3),"Setia",IF(AND(E1167=5,F1167&lt;=2,G1167&gt;=3),"Berpotensi",IF(AND(E1167&lt;=3,E1167&gt;=2,F1167&gt;=3),"Rawan",IF(AND(E1167&lt;=2,F1167&lt;=2),"Tidur","Umum"))))))</f>
        <v/>
      </c>
    </row>
    <row r="1168">
      <c r="B1168">
        <f>IF(A1168="","",$B$1-MAXIFS(Donasi!$A$2:$A$20000,Donasi!$B$2:$B$20000,A1168))</f>
        <v/>
      </c>
      <c r="C1168">
        <f>IF(A1168="","",COUNTIF(Donasi!$B$2:$B$20000,A1168))</f>
        <v/>
      </c>
      <c r="D1168">
        <f>IF(A1168="","",SUMIF(Donasi!$B$2:$B$20000,A1168,Donasi!$C$2:$C$20000))</f>
        <v/>
      </c>
      <c r="E1168">
        <f>IF(A1168="","",6-CEILING(PERCENTRANK.INC($B$3:$B$6000,B1168,4)*5+0.000001,1))</f>
        <v/>
      </c>
      <c r="F1168">
        <f>IF(A1168="","",MAX(1,CEILING(PERCENTRANK.INC($C$3:$C$6000,C1168,4)*5+0.000001,1)))</f>
        <v/>
      </c>
      <c r="G1168">
        <f>IF(A1168="","",MAX(1,CEILING(PERCENTRANK.INC($D$3:$D$6000,D1168,4)*5+0.000001,1)))</f>
        <v/>
      </c>
      <c r="H1168">
        <f>IF(A1168="","",E1168&amp;F1168&amp;G1168)</f>
        <v/>
      </c>
      <c r="I1168">
        <f>IF(A1168="","",IF(AND(E1168&gt;=4,F1168&gt;=4,G1168&gt;=4),"Juara",IF(AND(F1168&gt;=4,E1168&gt;=3),"Setia",IF(AND(E1168=5,F1168&lt;=2,G1168&gt;=3),"Berpotensi",IF(AND(E1168&lt;=3,E1168&gt;=2,F1168&gt;=3),"Rawan",IF(AND(E1168&lt;=2,F1168&lt;=2),"Tidur","Umum"))))))</f>
        <v/>
      </c>
    </row>
    <row r="1169">
      <c r="B1169">
        <f>IF(A1169="","",$B$1-MAXIFS(Donasi!$A$2:$A$20000,Donasi!$B$2:$B$20000,A1169))</f>
        <v/>
      </c>
      <c r="C1169">
        <f>IF(A1169="","",COUNTIF(Donasi!$B$2:$B$20000,A1169))</f>
        <v/>
      </c>
      <c r="D1169">
        <f>IF(A1169="","",SUMIF(Donasi!$B$2:$B$20000,A1169,Donasi!$C$2:$C$20000))</f>
        <v/>
      </c>
      <c r="E1169">
        <f>IF(A1169="","",6-CEILING(PERCENTRANK.INC($B$3:$B$6000,B1169,4)*5+0.000001,1))</f>
        <v/>
      </c>
      <c r="F1169">
        <f>IF(A1169="","",MAX(1,CEILING(PERCENTRANK.INC($C$3:$C$6000,C1169,4)*5+0.000001,1)))</f>
        <v/>
      </c>
      <c r="G1169">
        <f>IF(A1169="","",MAX(1,CEILING(PERCENTRANK.INC($D$3:$D$6000,D1169,4)*5+0.000001,1)))</f>
        <v/>
      </c>
      <c r="H1169">
        <f>IF(A1169="","",E1169&amp;F1169&amp;G1169)</f>
        <v/>
      </c>
      <c r="I1169">
        <f>IF(A1169="","",IF(AND(E1169&gt;=4,F1169&gt;=4,G1169&gt;=4),"Juara",IF(AND(F1169&gt;=4,E1169&gt;=3),"Setia",IF(AND(E1169=5,F1169&lt;=2,G1169&gt;=3),"Berpotensi",IF(AND(E1169&lt;=3,E1169&gt;=2,F1169&gt;=3),"Rawan",IF(AND(E1169&lt;=2,F1169&lt;=2),"Tidur","Umum"))))))</f>
        <v/>
      </c>
    </row>
    <row r="1170">
      <c r="B1170">
        <f>IF(A1170="","",$B$1-MAXIFS(Donasi!$A$2:$A$20000,Donasi!$B$2:$B$20000,A1170))</f>
        <v/>
      </c>
      <c r="C1170">
        <f>IF(A1170="","",COUNTIF(Donasi!$B$2:$B$20000,A1170))</f>
        <v/>
      </c>
      <c r="D1170">
        <f>IF(A1170="","",SUMIF(Donasi!$B$2:$B$20000,A1170,Donasi!$C$2:$C$20000))</f>
        <v/>
      </c>
      <c r="E1170">
        <f>IF(A1170="","",6-CEILING(PERCENTRANK.INC($B$3:$B$6000,B1170,4)*5+0.000001,1))</f>
        <v/>
      </c>
      <c r="F1170">
        <f>IF(A1170="","",MAX(1,CEILING(PERCENTRANK.INC($C$3:$C$6000,C1170,4)*5+0.000001,1)))</f>
        <v/>
      </c>
      <c r="G1170">
        <f>IF(A1170="","",MAX(1,CEILING(PERCENTRANK.INC($D$3:$D$6000,D1170,4)*5+0.000001,1)))</f>
        <v/>
      </c>
      <c r="H1170">
        <f>IF(A1170="","",E1170&amp;F1170&amp;G1170)</f>
        <v/>
      </c>
      <c r="I1170">
        <f>IF(A1170="","",IF(AND(E1170&gt;=4,F1170&gt;=4,G1170&gt;=4),"Juara",IF(AND(F1170&gt;=4,E1170&gt;=3),"Setia",IF(AND(E1170=5,F1170&lt;=2,G1170&gt;=3),"Berpotensi",IF(AND(E1170&lt;=3,E1170&gt;=2,F1170&gt;=3),"Rawan",IF(AND(E1170&lt;=2,F1170&lt;=2),"Tidur","Umum"))))))</f>
        <v/>
      </c>
    </row>
    <row r="1171">
      <c r="B1171">
        <f>IF(A1171="","",$B$1-MAXIFS(Donasi!$A$2:$A$20000,Donasi!$B$2:$B$20000,A1171))</f>
        <v/>
      </c>
      <c r="C1171">
        <f>IF(A1171="","",COUNTIF(Donasi!$B$2:$B$20000,A1171))</f>
        <v/>
      </c>
      <c r="D1171">
        <f>IF(A1171="","",SUMIF(Donasi!$B$2:$B$20000,A1171,Donasi!$C$2:$C$20000))</f>
        <v/>
      </c>
      <c r="E1171">
        <f>IF(A1171="","",6-CEILING(PERCENTRANK.INC($B$3:$B$6000,B1171,4)*5+0.000001,1))</f>
        <v/>
      </c>
      <c r="F1171">
        <f>IF(A1171="","",MAX(1,CEILING(PERCENTRANK.INC($C$3:$C$6000,C1171,4)*5+0.000001,1)))</f>
        <v/>
      </c>
      <c r="G1171">
        <f>IF(A1171="","",MAX(1,CEILING(PERCENTRANK.INC($D$3:$D$6000,D1171,4)*5+0.000001,1)))</f>
        <v/>
      </c>
      <c r="H1171">
        <f>IF(A1171="","",E1171&amp;F1171&amp;G1171)</f>
        <v/>
      </c>
      <c r="I1171">
        <f>IF(A1171="","",IF(AND(E1171&gt;=4,F1171&gt;=4,G1171&gt;=4),"Juara",IF(AND(F1171&gt;=4,E1171&gt;=3),"Setia",IF(AND(E1171=5,F1171&lt;=2,G1171&gt;=3),"Berpotensi",IF(AND(E1171&lt;=3,E1171&gt;=2,F1171&gt;=3),"Rawan",IF(AND(E1171&lt;=2,F1171&lt;=2),"Tidur","Umum"))))))</f>
        <v/>
      </c>
    </row>
    <row r="1172">
      <c r="B1172">
        <f>IF(A1172="","",$B$1-MAXIFS(Donasi!$A$2:$A$20000,Donasi!$B$2:$B$20000,A1172))</f>
        <v/>
      </c>
      <c r="C1172">
        <f>IF(A1172="","",COUNTIF(Donasi!$B$2:$B$20000,A1172))</f>
        <v/>
      </c>
      <c r="D1172">
        <f>IF(A1172="","",SUMIF(Donasi!$B$2:$B$20000,A1172,Donasi!$C$2:$C$20000))</f>
        <v/>
      </c>
      <c r="E1172">
        <f>IF(A1172="","",6-CEILING(PERCENTRANK.INC($B$3:$B$6000,B1172,4)*5+0.000001,1))</f>
        <v/>
      </c>
      <c r="F1172">
        <f>IF(A1172="","",MAX(1,CEILING(PERCENTRANK.INC($C$3:$C$6000,C1172,4)*5+0.000001,1)))</f>
        <v/>
      </c>
      <c r="G1172">
        <f>IF(A1172="","",MAX(1,CEILING(PERCENTRANK.INC($D$3:$D$6000,D1172,4)*5+0.000001,1)))</f>
        <v/>
      </c>
      <c r="H1172">
        <f>IF(A1172="","",E1172&amp;F1172&amp;G1172)</f>
        <v/>
      </c>
      <c r="I1172">
        <f>IF(A1172="","",IF(AND(E1172&gt;=4,F1172&gt;=4,G1172&gt;=4),"Juara",IF(AND(F1172&gt;=4,E1172&gt;=3),"Setia",IF(AND(E1172=5,F1172&lt;=2,G1172&gt;=3),"Berpotensi",IF(AND(E1172&lt;=3,E1172&gt;=2,F1172&gt;=3),"Rawan",IF(AND(E1172&lt;=2,F1172&lt;=2),"Tidur","Umum"))))))</f>
        <v/>
      </c>
    </row>
    <row r="1173">
      <c r="B1173">
        <f>IF(A1173="","",$B$1-MAXIFS(Donasi!$A$2:$A$20000,Donasi!$B$2:$B$20000,A1173))</f>
        <v/>
      </c>
      <c r="C1173">
        <f>IF(A1173="","",COUNTIF(Donasi!$B$2:$B$20000,A1173))</f>
        <v/>
      </c>
      <c r="D1173">
        <f>IF(A1173="","",SUMIF(Donasi!$B$2:$B$20000,A1173,Donasi!$C$2:$C$20000))</f>
        <v/>
      </c>
      <c r="E1173">
        <f>IF(A1173="","",6-CEILING(PERCENTRANK.INC($B$3:$B$6000,B1173,4)*5+0.000001,1))</f>
        <v/>
      </c>
      <c r="F1173">
        <f>IF(A1173="","",MAX(1,CEILING(PERCENTRANK.INC($C$3:$C$6000,C1173,4)*5+0.000001,1)))</f>
        <v/>
      </c>
      <c r="G1173">
        <f>IF(A1173="","",MAX(1,CEILING(PERCENTRANK.INC($D$3:$D$6000,D1173,4)*5+0.000001,1)))</f>
        <v/>
      </c>
      <c r="H1173">
        <f>IF(A1173="","",E1173&amp;F1173&amp;G1173)</f>
        <v/>
      </c>
      <c r="I1173">
        <f>IF(A1173="","",IF(AND(E1173&gt;=4,F1173&gt;=4,G1173&gt;=4),"Juara",IF(AND(F1173&gt;=4,E1173&gt;=3),"Setia",IF(AND(E1173=5,F1173&lt;=2,G1173&gt;=3),"Berpotensi",IF(AND(E1173&lt;=3,E1173&gt;=2,F1173&gt;=3),"Rawan",IF(AND(E1173&lt;=2,F1173&lt;=2),"Tidur","Umum"))))))</f>
        <v/>
      </c>
    </row>
    <row r="1174">
      <c r="B1174">
        <f>IF(A1174="","",$B$1-MAXIFS(Donasi!$A$2:$A$20000,Donasi!$B$2:$B$20000,A1174))</f>
        <v/>
      </c>
      <c r="C1174">
        <f>IF(A1174="","",COUNTIF(Donasi!$B$2:$B$20000,A1174))</f>
        <v/>
      </c>
      <c r="D1174">
        <f>IF(A1174="","",SUMIF(Donasi!$B$2:$B$20000,A1174,Donasi!$C$2:$C$20000))</f>
        <v/>
      </c>
      <c r="E1174">
        <f>IF(A1174="","",6-CEILING(PERCENTRANK.INC($B$3:$B$6000,B1174,4)*5+0.000001,1))</f>
        <v/>
      </c>
      <c r="F1174">
        <f>IF(A1174="","",MAX(1,CEILING(PERCENTRANK.INC($C$3:$C$6000,C1174,4)*5+0.000001,1)))</f>
        <v/>
      </c>
      <c r="G1174">
        <f>IF(A1174="","",MAX(1,CEILING(PERCENTRANK.INC($D$3:$D$6000,D1174,4)*5+0.000001,1)))</f>
        <v/>
      </c>
      <c r="H1174">
        <f>IF(A1174="","",E1174&amp;F1174&amp;G1174)</f>
        <v/>
      </c>
      <c r="I1174">
        <f>IF(A1174="","",IF(AND(E1174&gt;=4,F1174&gt;=4,G1174&gt;=4),"Juara",IF(AND(F1174&gt;=4,E1174&gt;=3),"Setia",IF(AND(E1174=5,F1174&lt;=2,G1174&gt;=3),"Berpotensi",IF(AND(E1174&lt;=3,E1174&gt;=2,F1174&gt;=3),"Rawan",IF(AND(E1174&lt;=2,F1174&lt;=2),"Tidur","Umum"))))))</f>
        <v/>
      </c>
    </row>
    <row r="1175">
      <c r="B1175">
        <f>IF(A1175="","",$B$1-MAXIFS(Donasi!$A$2:$A$20000,Donasi!$B$2:$B$20000,A1175))</f>
        <v/>
      </c>
      <c r="C1175">
        <f>IF(A1175="","",COUNTIF(Donasi!$B$2:$B$20000,A1175))</f>
        <v/>
      </c>
      <c r="D1175">
        <f>IF(A1175="","",SUMIF(Donasi!$B$2:$B$20000,A1175,Donasi!$C$2:$C$20000))</f>
        <v/>
      </c>
      <c r="E1175">
        <f>IF(A1175="","",6-CEILING(PERCENTRANK.INC($B$3:$B$6000,B1175,4)*5+0.000001,1))</f>
        <v/>
      </c>
      <c r="F1175">
        <f>IF(A1175="","",MAX(1,CEILING(PERCENTRANK.INC($C$3:$C$6000,C1175,4)*5+0.000001,1)))</f>
        <v/>
      </c>
      <c r="G1175">
        <f>IF(A1175="","",MAX(1,CEILING(PERCENTRANK.INC($D$3:$D$6000,D1175,4)*5+0.000001,1)))</f>
        <v/>
      </c>
      <c r="H1175">
        <f>IF(A1175="","",E1175&amp;F1175&amp;G1175)</f>
        <v/>
      </c>
      <c r="I1175">
        <f>IF(A1175="","",IF(AND(E1175&gt;=4,F1175&gt;=4,G1175&gt;=4),"Juara",IF(AND(F1175&gt;=4,E1175&gt;=3),"Setia",IF(AND(E1175=5,F1175&lt;=2,G1175&gt;=3),"Berpotensi",IF(AND(E1175&lt;=3,E1175&gt;=2,F1175&gt;=3),"Rawan",IF(AND(E1175&lt;=2,F1175&lt;=2),"Tidur","Umum"))))))</f>
        <v/>
      </c>
    </row>
    <row r="1176">
      <c r="B1176">
        <f>IF(A1176="","",$B$1-MAXIFS(Donasi!$A$2:$A$20000,Donasi!$B$2:$B$20000,A1176))</f>
        <v/>
      </c>
      <c r="C1176">
        <f>IF(A1176="","",COUNTIF(Donasi!$B$2:$B$20000,A1176))</f>
        <v/>
      </c>
      <c r="D1176">
        <f>IF(A1176="","",SUMIF(Donasi!$B$2:$B$20000,A1176,Donasi!$C$2:$C$20000))</f>
        <v/>
      </c>
      <c r="E1176">
        <f>IF(A1176="","",6-CEILING(PERCENTRANK.INC($B$3:$B$6000,B1176,4)*5+0.000001,1))</f>
        <v/>
      </c>
      <c r="F1176">
        <f>IF(A1176="","",MAX(1,CEILING(PERCENTRANK.INC($C$3:$C$6000,C1176,4)*5+0.000001,1)))</f>
        <v/>
      </c>
      <c r="G1176">
        <f>IF(A1176="","",MAX(1,CEILING(PERCENTRANK.INC($D$3:$D$6000,D1176,4)*5+0.000001,1)))</f>
        <v/>
      </c>
      <c r="H1176">
        <f>IF(A1176="","",E1176&amp;F1176&amp;G1176)</f>
        <v/>
      </c>
      <c r="I1176">
        <f>IF(A1176="","",IF(AND(E1176&gt;=4,F1176&gt;=4,G1176&gt;=4),"Juara",IF(AND(F1176&gt;=4,E1176&gt;=3),"Setia",IF(AND(E1176=5,F1176&lt;=2,G1176&gt;=3),"Berpotensi",IF(AND(E1176&lt;=3,E1176&gt;=2,F1176&gt;=3),"Rawan",IF(AND(E1176&lt;=2,F1176&lt;=2),"Tidur","Umum"))))))</f>
        <v/>
      </c>
    </row>
    <row r="1177">
      <c r="B1177">
        <f>IF(A1177="","",$B$1-MAXIFS(Donasi!$A$2:$A$20000,Donasi!$B$2:$B$20000,A1177))</f>
        <v/>
      </c>
      <c r="C1177">
        <f>IF(A1177="","",COUNTIF(Donasi!$B$2:$B$20000,A1177))</f>
        <v/>
      </c>
      <c r="D1177">
        <f>IF(A1177="","",SUMIF(Donasi!$B$2:$B$20000,A1177,Donasi!$C$2:$C$20000))</f>
        <v/>
      </c>
      <c r="E1177">
        <f>IF(A1177="","",6-CEILING(PERCENTRANK.INC($B$3:$B$6000,B1177,4)*5+0.000001,1))</f>
        <v/>
      </c>
      <c r="F1177">
        <f>IF(A1177="","",MAX(1,CEILING(PERCENTRANK.INC($C$3:$C$6000,C1177,4)*5+0.000001,1)))</f>
        <v/>
      </c>
      <c r="G1177">
        <f>IF(A1177="","",MAX(1,CEILING(PERCENTRANK.INC($D$3:$D$6000,D1177,4)*5+0.000001,1)))</f>
        <v/>
      </c>
      <c r="H1177">
        <f>IF(A1177="","",E1177&amp;F1177&amp;G1177)</f>
        <v/>
      </c>
      <c r="I1177">
        <f>IF(A1177="","",IF(AND(E1177&gt;=4,F1177&gt;=4,G1177&gt;=4),"Juara",IF(AND(F1177&gt;=4,E1177&gt;=3),"Setia",IF(AND(E1177=5,F1177&lt;=2,G1177&gt;=3),"Berpotensi",IF(AND(E1177&lt;=3,E1177&gt;=2,F1177&gt;=3),"Rawan",IF(AND(E1177&lt;=2,F1177&lt;=2),"Tidur","Umum"))))))</f>
        <v/>
      </c>
    </row>
    <row r="1178">
      <c r="B1178">
        <f>IF(A1178="","",$B$1-MAXIFS(Donasi!$A$2:$A$20000,Donasi!$B$2:$B$20000,A1178))</f>
        <v/>
      </c>
      <c r="C1178">
        <f>IF(A1178="","",COUNTIF(Donasi!$B$2:$B$20000,A1178))</f>
        <v/>
      </c>
      <c r="D1178">
        <f>IF(A1178="","",SUMIF(Donasi!$B$2:$B$20000,A1178,Donasi!$C$2:$C$20000))</f>
        <v/>
      </c>
      <c r="E1178">
        <f>IF(A1178="","",6-CEILING(PERCENTRANK.INC($B$3:$B$6000,B1178,4)*5+0.000001,1))</f>
        <v/>
      </c>
      <c r="F1178">
        <f>IF(A1178="","",MAX(1,CEILING(PERCENTRANK.INC($C$3:$C$6000,C1178,4)*5+0.000001,1)))</f>
        <v/>
      </c>
      <c r="G1178">
        <f>IF(A1178="","",MAX(1,CEILING(PERCENTRANK.INC($D$3:$D$6000,D1178,4)*5+0.000001,1)))</f>
        <v/>
      </c>
      <c r="H1178">
        <f>IF(A1178="","",E1178&amp;F1178&amp;G1178)</f>
        <v/>
      </c>
      <c r="I1178">
        <f>IF(A1178="","",IF(AND(E1178&gt;=4,F1178&gt;=4,G1178&gt;=4),"Juara",IF(AND(F1178&gt;=4,E1178&gt;=3),"Setia",IF(AND(E1178=5,F1178&lt;=2,G1178&gt;=3),"Berpotensi",IF(AND(E1178&lt;=3,E1178&gt;=2,F1178&gt;=3),"Rawan",IF(AND(E1178&lt;=2,F1178&lt;=2),"Tidur","Umum"))))))</f>
        <v/>
      </c>
    </row>
    <row r="1179">
      <c r="B1179">
        <f>IF(A1179="","",$B$1-MAXIFS(Donasi!$A$2:$A$20000,Donasi!$B$2:$B$20000,A1179))</f>
        <v/>
      </c>
      <c r="C1179">
        <f>IF(A1179="","",COUNTIF(Donasi!$B$2:$B$20000,A1179))</f>
        <v/>
      </c>
      <c r="D1179">
        <f>IF(A1179="","",SUMIF(Donasi!$B$2:$B$20000,A1179,Donasi!$C$2:$C$20000))</f>
        <v/>
      </c>
      <c r="E1179">
        <f>IF(A1179="","",6-CEILING(PERCENTRANK.INC($B$3:$B$6000,B1179,4)*5+0.000001,1))</f>
        <v/>
      </c>
      <c r="F1179">
        <f>IF(A1179="","",MAX(1,CEILING(PERCENTRANK.INC($C$3:$C$6000,C1179,4)*5+0.000001,1)))</f>
        <v/>
      </c>
      <c r="G1179">
        <f>IF(A1179="","",MAX(1,CEILING(PERCENTRANK.INC($D$3:$D$6000,D1179,4)*5+0.000001,1)))</f>
        <v/>
      </c>
      <c r="H1179">
        <f>IF(A1179="","",E1179&amp;F1179&amp;G1179)</f>
        <v/>
      </c>
      <c r="I1179">
        <f>IF(A1179="","",IF(AND(E1179&gt;=4,F1179&gt;=4,G1179&gt;=4),"Juara",IF(AND(F1179&gt;=4,E1179&gt;=3),"Setia",IF(AND(E1179=5,F1179&lt;=2,G1179&gt;=3),"Berpotensi",IF(AND(E1179&lt;=3,E1179&gt;=2,F1179&gt;=3),"Rawan",IF(AND(E1179&lt;=2,F1179&lt;=2),"Tidur","Umum"))))))</f>
        <v/>
      </c>
    </row>
    <row r="1180">
      <c r="B1180">
        <f>IF(A1180="","",$B$1-MAXIFS(Donasi!$A$2:$A$20000,Donasi!$B$2:$B$20000,A1180))</f>
        <v/>
      </c>
      <c r="C1180">
        <f>IF(A1180="","",COUNTIF(Donasi!$B$2:$B$20000,A1180))</f>
        <v/>
      </c>
      <c r="D1180">
        <f>IF(A1180="","",SUMIF(Donasi!$B$2:$B$20000,A1180,Donasi!$C$2:$C$20000))</f>
        <v/>
      </c>
      <c r="E1180">
        <f>IF(A1180="","",6-CEILING(PERCENTRANK.INC($B$3:$B$6000,B1180,4)*5+0.000001,1))</f>
        <v/>
      </c>
      <c r="F1180">
        <f>IF(A1180="","",MAX(1,CEILING(PERCENTRANK.INC($C$3:$C$6000,C1180,4)*5+0.000001,1)))</f>
        <v/>
      </c>
      <c r="G1180">
        <f>IF(A1180="","",MAX(1,CEILING(PERCENTRANK.INC($D$3:$D$6000,D1180,4)*5+0.000001,1)))</f>
        <v/>
      </c>
      <c r="H1180">
        <f>IF(A1180="","",E1180&amp;F1180&amp;G1180)</f>
        <v/>
      </c>
      <c r="I1180">
        <f>IF(A1180="","",IF(AND(E1180&gt;=4,F1180&gt;=4,G1180&gt;=4),"Juara",IF(AND(F1180&gt;=4,E1180&gt;=3),"Setia",IF(AND(E1180=5,F1180&lt;=2,G1180&gt;=3),"Berpotensi",IF(AND(E1180&lt;=3,E1180&gt;=2,F1180&gt;=3),"Rawan",IF(AND(E1180&lt;=2,F1180&lt;=2),"Tidur","Umum"))))))</f>
        <v/>
      </c>
    </row>
    <row r="1181">
      <c r="B1181">
        <f>IF(A1181="","",$B$1-MAXIFS(Donasi!$A$2:$A$20000,Donasi!$B$2:$B$20000,A1181))</f>
        <v/>
      </c>
      <c r="C1181">
        <f>IF(A1181="","",COUNTIF(Donasi!$B$2:$B$20000,A1181))</f>
        <v/>
      </c>
      <c r="D1181">
        <f>IF(A1181="","",SUMIF(Donasi!$B$2:$B$20000,A1181,Donasi!$C$2:$C$20000))</f>
        <v/>
      </c>
      <c r="E1181">
        <f>IF(A1181="","",6-CEILING(PERCENTRANK.INC($B$3:$B$6000,B1181,4)*5+0.000001,1))</f>
        <v/>
      </c>
      <c r="F1181">
        <f>IF(A1181="","",MAX(1,CEILING(PERCENTRANK.INC($C$3:$C$6000,C1181,4)*5+0.000001,1)))</f>
        <v/>
      </c>
      <c r="G1181">
        <f>IF(A1181="","",MAX(1,CEILING(PERCENTRANK.INC($D$3:$D$6000,D1181,4)*5+0.000001,1)))</f>
        <v/>
      </c>
      <c r="H1181">
        <f>IF(A1181="","",E1181&amp;F1181&amp;G1181)</f>
        <v/>
      </c>
      <c r="I1181">
        <f>IF(A1181="","",IF(AND(E1181&gt;=4,F1181&gt;=4,G1181&gt;=4),"Juara",IF(AND(F1181&gt;=4,E1181&gt;=3),"Setia",IF(AND(E1181=5,F1181&lt;=2,G1181&gt;=3),"Berpotensi",IF(AND(E1181&lt;=3,E1181&gt;=2,F1181&gt;=3),"Rawan",IF(AND(E1181&lt;=2,F1181&lt;=2),"Tidur","Umum"))))))</f>
        <v/>
      </c>
    </row>
    <row r="1182">
      <c r="B1182">
        <f>IF(A1182="","",$B$1-MAXIFS(Donasi!$A$2:$A$20000,Donasi!$B$2:$B$20000,A1182))</f>
        <v/>
      </c>
      <c r="C1182">
        <f>IF(A1182="","",COUNTIF(Donasi!$B$2:$B$20000,A1182))</f>
        <v/>
      </c>
      <c r="D1182">
        <f>IF(A1182="","",SUMIF(Donasi!$B$2:$B$20000,A1182,Donasi!$C$2:$C$20000))</f>
        <v/>
      </c>
      <c r="E1182">
        <f>IF(A1182="","",6-CEILING(PERCENTRANK.INC($B$3:$B$6000,B1182,4)*5+0.000001,1))</f>
        <v/>
      </c>
      <c r="F1182">
        <f>IF(A1182="","",MAX(1,CEILING(PERCENTRANK.INC($C$3:$C$6000,C1182,4)*5+0.000001,1)))</f>
        <v/>
      </c>
      <c r="G1182">
        <f>IF(A1182="","",MAX(1,CEILING(PERCENTRANK.INC($D$3:$D$6000,D1182,4)*5+0.000001,1)))</f>
        <v/>
      </c>
      <c r="H1182">
        <f>IF(A1182="","",E1182&amp;F1182&amp;G1182)</f>
        <v/>
      </c>
      <c r="I1182">
        <f>IF(A1182="","",IF(AND(E1182&gt;=4,F1182&gt;=4,G1182&gt;=4),"Juara",IF(AND(F1182&gt;=4,E1182&gt;=3),"Setia",IF(AND(E1182=5,F1182&lt;=2,G1182&gt;=3),"Berpotensi",IF(AND(E1182&lt;=3,E1182&gt;=2,F1182&gt;=3),"Rawan",IF(AND(E1182&lt;=2,F1182&lt;=2),"Tidur","Umum"))))))</f>
        <v/>
      </c>
    </row>
    <row r="1183">
      <c r="B1183">
        <f>IF(A1183="","",$B$1-MAXIFS(Donasi!$A$2:$A$20000,Donasi!$B$2:$B$20000,A1183))</f>
        <v/>
      </c>
      <c r="C1183">
        <f>IF(A1183="","",COUNTIF(Donasi!$B$2:$B$20000,A1183))</f>
        <v/>
      </c>
      <c r="D1183">
        <f>IF(A1183="","",SUMIF(Donasi!$B$2:$B$20000,A1183,Donasi!$C$2:$C$20000))</f>
        <v/>
      </c>
      <c r="E1183">
        <f>IF(A1183="","",6-CEILING(PERCENTRANK.INC($B$3:$B$6000,B1183,4)*5+0.000001,1))</f>
        <v/>
      </c>
      <c r="F1183">
        <f>IF(A1183="","",MAX(1,CEILING(PERCENTRANK.INC($C$3:$C$6000,C1183,4)*5+0.000001,1)))</f>
        <v/>
      </c>
      <c r="G1183">
        <f>IF(A1183="","",MAX(1,CEILING(PERCENTRANK.INC($D$3:$D$6000,D1183,4)*5+0.000001,1)))</f>
        <v/>
      </c>
      <c r="H1183">
        <f>IF(A1183="","",E1183&amp;F1183&amp;G1183)</f>
        <v/>
      </c>
      <c r="I1183">
        <f>IF(A1183="","",IF(AND(E1183&gt;=4,F1183&gt;=4,G1183&gt;=4),"Juara",IF(AND(F1183&gt;=4,E1183&gt;=3),"Setia",IF(AND(E1183=5,F1183&lt;=2,G1183&gt;=3),"Berpotensi",IF(AND(E1183&lt;=3,E1183&gt;=2,F1183&gt;=3),"Rawan",IF(AND(E1183&lt;=2,F1183&lt;=2),"Tidur","Umum"))))))</f>
        <v/>
      </c>
    </row>
    <row r="1184">
      <c r="B1184">
        <f>IF(A1184="","",$B$1-MAXIFS(Donasi!$A$2:$A$20000,Donasi!$B$2:$B$20000,A1184))</f>
        <v/>
      </c>
      <c r="C1184">
        <f>IF(A1184="","",COUNTIF(Donasi!$B$2:$B$20000,A1184))</f>
        <v/>
      </c>
      <c r="D1184">
        <f>IF(A1184="","",SUMIF(Donasi!$B$2:$B$20000,A1184,Donasi!$C$2:$C$20000))</f>
        <v/>
      </c>
      <c r="E1184">
        <f>IF(A1184="","",6-CEILING(PERCENTRANK.INC($B$3:$B$6000,B1184,4)*5+0.000001,1))</f>
        <v/>
      </c>
      <c r="F1184">
        <f>IF(A1184="","",MAX(1,CEILING(PERCENTRANK.INC($C$3:$C$6000,C1184,4)*5+0.000001,1)))</f>
        <v/>
      </c>
      <c r="G1184">
        <f>IF(A1184="","",MAX(1,CEILING(PERCENTRANK.INC($D$3:$D$6000,D1184,4)*5+0.000001,1)))</f>
        <v/>
      </c>
      <c r="H1184">
        <f>IF(A1184="","",E1184&amp;F1184&amp;G1184)</f>
        <v/>
      </c>
      <c r="I1184">
        <f>IF(A1184="","",IF(AND(E1184&gt;=4,F1184&gt;=4,G1184&gt;=4),"Juara",IF(AND(F1184&gt;=4,E1184&gt;=3),"Setia",IF(AND(E1184=5,F1184&lt;=2,G1184&gt;=3),"Berpotensi",IF(AND(E1184&lt;=3,E1184&gt;=2,F1184&gt;=3),"Rawan",IF(AND(E1184&lt;=2,F1184&lt;=2),"Tidur","Umum"))))))</f>
        <v/>
      </c>
    </row>
    <row r="1185">
      <c r="B1185">
        <f>IF(A1185="","",$B$1-MAXIFS(Donasi!$A$2:$A$20000,Donasi!$B$2:$B$20000,A1185))</f>
        <v/>
      </c>
      <c r="C1185">
        <f>IF(A1185="","",COUNTIF(Donasi!$B$2:$B$20000,A1185))</f>
        <v/>
      </c>
      <c r="D1185">
        <f>IF(A1185="","",SUMIF(Donasi!$B$2:$B$20000,A1185,Donasi!$C$2:$C$20000))</f>
        <v/>
      </c>
      <c r="E1185">
        <f>IF(A1185="","",6-CEILING(PERCENTRANK.INC($B$3:$B$6000,B1185,4)*5+0.000001,1))</f>
        <v/>
      </c>
      <c r="F1185">
        <f>IF(A1185="","",MAX(1,CEILING(PERCENTRANK.INC($C$3:$C$6000,C1185,4)*5+0.000001,1)))</f>
        <v/>
      </c>
      <c r="G1185">
        <f>IF(A1185="","",MAX(1,CEILING(PERCENTRANK.INC($D$3:$D$6000,D1185,4)*5+0.000001,1)))</f>
        <v/>
      </c>
      <c r="H1185">
        <f>IF(A1185="","",E1185&amp;F1185&amp;G1185)</f>
        <v/>
      </c>
      <c r="I1185">
        <f>IF(A1185="","",IF(AND(E1185&gt;=4,F1185&gt;=4,G1185&gt;=4),"Juara",IF(AND(F1185&gt;=4,E1185&gt;=3),"Setia",IF(AND(E1185=5,F1185&lt;=2,G1185&gt;=3),"Berpotensi",IF(AND(E1185&lt;=3,E1185&gt;=2,F1185&gt;=3),"Rawan",IF(AND(E1185&lt;=2,F1185&lt;=2),"Tidur","Umum"))))))</f>
        <v/>
      </c>
    </row>
    <row r="1186">
      <c r="B1186">
        <f>IF(A1186="","",$B$1-MAXIFS(Donasi!$A$2:$A$20000,Donasi!$B$2:$B$20000,A1186))</f>
        <v/>
      </c>
      <c r="C1186">
        <f>IF(A1186="","",COUNTIF(Donasi!$B$2:$B$20000,A1186))</f>
        <v/>
      </c>
      <c r="D1186">
        <f>IF(A1186="","",SUMIF(Donasi!$B$2:$B$20000,A1186,Donasi!$C$2:$C$20000))</f>
        <v/>
      </c>
      <c r="E1186">
        <f>IF(A1186="","",6-CEILING(PERCENTRANK.INC($B$3:$B$6000,B1186,4)*5+0.000001,1))</f>
        <v/>
      </c>
      <c r="F1186">
        <f>IF(A1186="","",MAX(1,CEILING(PERCENTRANK.INC($C$3:$C$6000,C1186,4)*5+0.000001,1)))</f>
        <v/>
      </c>
      <c r="G1186">
        <f>IF(A1186="","",MAX(1,CEILING(PERCENTRANK.INC($D$3:$D$6000,D1186,4)*5+0.000001,1)))</f>
        <v/>
      </c>
      <c r="H1186">
        <f>IF(A1186="","",E1186&amp;F1186&amp;G1186)</f>
        <v/>
      </c>
      <c r="I1186">
        <f>IF(A1186="","",IF(AND(E1186&gt;=4,F1186&gt;=4,G1186&gt;=4),"Juara",IF(AND(F1186&gt;=4,E1186&gt;=3),"Setia",IF(AND(E1186=5,F1186&lt;=2,G1186&gt;=3),"Berpotensi",IF(AND(E1186&lt;=3,E1186&gt;=2,F1186&gt;=3),"Rawan",IF(AND(E1186&lt;=2,F1186&lt;=2),"Tidur","Umum"))))))</f>
        <v/>
      </c>
    </row>
    <row r="1187">
      <c r="B1187">
        <f>IF(A1187="","",$B$1-MAXIFS(Donasi!$A$2:$A$20000,Donasi!$B$2:$B$20000,A1187))</f>
        <v/>
      </c>
      <c r="C1187">
        <f>IF(A1187="","",COUNTIF(Donasi!$B$2:$B$20000,A1187))</f>
        <v/>
      </c>
      <c r="D1187">
        <f>IF(A1187="","",SUMIF(Donasi!$B$2:$B$20000,A1187,Donasi!$C$2:$C$20000))</f>
        <v/>
      </c>
      <c r="E1187">
        <f>IF(A1187="","",6-CEILING(PERCENTRANK.INC($B$3:$B$6000,B1187,4)*5+0.000001,1))</f>
        <v/>
      </c>
      <c r="F1187">
        <f>IF(A1187="","",MAX(1,CEILING(PERCENTRANK.INC($C$3:$C$6000,C1187,4)*5+0.000001,1)))</f>
        <v/>
      </c>
      <c r="G1187">
        <f>IF(A1187="","",MAX(1,CEILING(PERCENTRANK.INC($D$3:$D$6000,D1187,4)*5+0.000001,1)))</f>
        <v/>
      </c>
      <c r="H1187">
        <f>IF(A1187="","",E1187&amp;F1187&amp;G1187)</f>
        <v/>
      </c>
      <c r="I1187">
        <f>IF(A1187="","",IF(AND(E1187&gt;=4,F1187&gt;=4,G1187&gt;=4),"Juara",IF(AND(F1187&gt;=4,E1187&gt;=3),"Setia",IF(AND(E1187=5,F1187&lt;=2,G1187&gt;=3),"Berpotensi",IF(AND(E1187&lt;=3,E1187&gt;=2,F1187&gt;=3),"Rawan",IF(AND(E1187&lt;=2,F1187&lt;=2),"Tidur","Umum"))))))</f>
        <v/>
      </c>
    </row>
    <row r="1188">
      <c r="B1188">
        <f>IF(A1188="","",$B$1-MAXIFS(Donasi!$A$2:$A$20000,Donasi!$B$2:$B$20000,A1188))</f>
        <v/>
      </c>
      <c r="C1188">
        <f>IF(A1188="","",COUNTIF(Donasi!$B$2:$B$20000,A1188))</f>
        <v/>
      </c>
      <c r="D1188">
        <f>IF(A1188="","",SUMIF(Donasi!$B$2:$B$20000,A1188,Donasi!$C$2:$C$20000))</f>
        <v/>
      </c>
      <c r="E1188">
        <f>IF(A1188="","",6-CEILING(PERCENTRANK.INC($B$3:$B$6000,B1188,4)*5+0.000001,1))</f>
        <v/>
      </c>
      <c r="F1188">
        <f>IF(A1188="","",MAX(1,CEILING(PERCENTRANK.INC($C$3:$C$6000,C1188,4)*5+0.000001,1)))</f>
        <v/>
      </c>
      <c r="G1188">
        <f>IF(A1188="","",MAX(1,CEILING(PERCENTRANK.INC($D$3:$D$6000,D1188,4)*5+0.000001,1)))</f>
        <v/>
      </c>
      <c r="H1188">
        <f>IF(A1188="","",E1188&amp;F1188&amp;G1188)</f>
        <v/>
      </c>
      <c r="I1188">
        <f>IF(A1188="","",IF(AND(E1188&gt;=4,F1188&gt;=4,G1188&gt;=4),"Juara",IF(AND(F1188&gt;=4,E1188&gt;=3),"Setia",IF(AND(E1188=5,F1188&lt;=2,G1188&gt;=3),"Berpotensi",IF(AND(E1188&lt;=3,E1188&gt;=2,F1188&gt;=3),"Rawan",IF(AND(E1188&lt;=2,F1188&lt;=2),"Tidur","Umum"))))))</f>
        <v/>
      </c>
    </row>
    <row r="1189">
      <c r="B1189">
        <f>IF(A1189="","",$B$1-MAXIFS(Donasi!$A$2:$A$20000,Donasi!$B$2:$B$20000,A1189))</f>
        <v/>
      </c>
      <c r="C1189">
        <f>IF(A1189="","",COUNTIF(Donasi!$B$2:$B$20000,A1189))</f>
        <v/>
      </c>
      <c r="D1189">
        <f>IF(A1189="","",SUMIF(Donasi!$B$2:$B$20000,A1189,Donasi!$C$2:$C$20000))</f>
        <v/>
      </c>
      <c r="E1189">
        <f>IF(A1189="","",6-CEILING(PERCENTRANK.INC($B$3:$B$6000,B1189,4)*5+0.000001,1))</f>
        <v/>
      </c>
      <c r="F1189">
        <f>IF(A1189="","",MAX(1,CEILING(PERCENTRANK.INC($C$3:$C$6000,C1189,4)*5+0.000001,1)))</f>
        <v/>
      </c>
      <c r="G1189">
        <f>IF(A1189="","",MAX(1,CEILING(PERCENTRANK.INC($D$3:$D$6000,D1189,4)*5+0.000001,1)))</f>
        <v/>
      </c>
      <c r="H1189">
        <f>IF(A1189="","",E1189&amp;F1189&amp;G1189)</f>
        <v/>
      </c>
      <c r="I1189">
        <f>IF(A1189="","",IF(AND(E1189&gt;=4,F1189&gt;=4,G1189&gt;=4),"Juara",IF(AND(F1189&gt;=4,E1189&gt;=3),"Setia",IF(AND(E1189=5,F1189&lt;=2,G1189&gt;=3),"Berpotensi",IF(AND(E1189&lt;=3,E1189&gt;=2,F1189&gt;=3),"Rawan",IF(AND(E1189&lt;=2,F1189&lt;=2),"Tidur","Umum"))))))</f>
        <v/>
      </c>
    </row>
    <row r="1190">
      <c r="B1190">
        <f>IF(A1190="","",$B$1-MAXIFS(Donasi!$A$2:$A$20000,Donasi!$B$2:$B$20000,A1190))</f>
        <v/>
      </c>
      <c r="C1190">
        <f>IF(A1190="","",COUNTIF(Donasi!$B$2:$B$20000,A1190))</f>
        <v/>
      </c>
      <c r="D1190">
        <f>IF(A1190="","",SUMIF(Donasi!$B$2:$B$20000,A1190,Donasi!$C$2:$C$20000))</f>
        <v/>
      </c>
      <c r="E1190">
        <f>IF(A1190="","",6-CEILING(PERCENTRANK.INC($B$3:$B$6000,B1190,4)*5+0.000001,1))</f>
        <v/>
      </c>
      <c r="F1190">
        <f>IF(A1190="","",MAX(1,CEILING(PERCENTRANK.INC($C$3:$C$6000,C1190,4)*5+0.000001,1)))</f>
        <v/>
      </c>
      <c r="G1190">
        <f>IF(A1190="","",MAX(1,CEILING(PERCENTRANK.INC($D$3:$D$6000,D1190,4)*5+0.000001,1)))</f>
        <v/>
      </c>
      <c r="H1190">
        <f>IF(A1190="","",E1190&amp;F1190&amp;G1190)</f>
        <v/>
      </c>
      <c r="I1190">
        <f>IF(A1190="","",IF(AND(E1190&gt;=4,F1190&gt;=4,G1190&gt;=4),"Juara",IF(AND(F1190&gt;=4,E1190&gt;=3),"Setia",IF(AND(E1190=5,F1190&lt;=2,G1190&gt;=3),"Berpotensi",IF(AND(E1190&lt;=3,E1190&gt;=2,F1190&gt;=3),"Rawan",IF(AND(E1190&lt;=2,F1190&lt;=2),"Tidur","Umum"))))))</f>
        <v/>
      </c>
    </row>
    <row r="1191">
      <c r="B1191">
        <f>IF(A1191="","",$B$1-MAXIFS(Donasi!$A$2:$A$20000,Donasi!$B$2:$B$20000,A1191))</f>
        <v/>
      </c>
      <c r="C1191">
        <f>IF(A1191="","",COUNTIF(Donasi!$B$2:$B$20000,A1191))</f>
        <v/>
      </c>
      <c r="D1191">
        <f>IF(A1191="","",SUMIF(Donasi!$B$2:$B$20000,A1191,Donasi!$C$2:$C$20000))</f>
        <v/>
      </c>
      <c r="E1191">
        <f>IF(A1191="","",6-CEILING(PERCENTRANK.INC($B$3:$B$6000,B1191,4)*5+0.000001,1))</f>
        <v/>
      </c>
      <c r="F1191">
        <f>IF(A1191="","",MAX(1,CEILING(PERCENTRANK.INC($C$3:$C$6000,C1191,4)*5+0.000001,1)))</f>
        <v/>
      </c>
      <c r="G1191">
        <f>IF(A1191="","",MAX(1,CEILING(PERCENTRANK.INC($D$3:$D$6000,D1191,4)*5+0.000001,1)))</f>
        <v/>
      </c>
      <c r="H1191">
        <f>IF(A1191="","",E1191&amp;F1191&amp;G1191)</f>
        <v/>
      </c>
      <c r="I1191">
        <f>IF(A1191="","",IF(AND(E1191&gt;=4,F1191&gt;=4,G1191&gt;=4),"Juara",IF(AND(F1191&gt;=4,E1191&gt;=3),"Setia",IF(AND(E1191=5,F1191&lt;=2,G1191&gt;=3),"Berpotensi",IF(AND(E1191&lt;=3,E1191&gt;=2,F1191&gt;=3),"Rawan",IF(AND(E1191&lt;=2,F1191&lt;=2),"Tidur","Umum"))))))</f>
        <v/>
      </c>
    </row>
    <row r="1192">
      <c r="B1192">
        <f>IF(A1192="","",$B$1-MAXIFS(Donasi!$A$2:$A$20000,Donasi!$B$2:$B$20000,A1192))</f>
        <v/>
      </c>
      <c r="C1192">
        <f>IF(A1192="","",COUNTIF(Donasi!$B$2:$B$20000,A1192))</f>
        <v/>
      </c>
      <c r="D1192">
        <f>IF(A1192="","",SUMIF(Donasi!$B$2:$B$20000,A1192,Donasi!$C$2:$C$20000))</f>
        <v/>
      </c>
      <c r="E1192">
        <f>IF(A1192="","",6-CEILING(PERCENTRANK.INC($B$3:$B$6000,B1192,4)*5+0.000001,1))</f>
        <v/>
      </c>
      <c r="F1192">
        <f>IF(A1192="","",MAX(1,CEILING(PERCENTRANK.INC($C$3:$C$6000,C1192,4)*5+0.000001,1)))</f>
        <v/>
      </c>
      <c r="G1192">
        <f>IF(A1192="","",MAX(1,CEILING(PERCENTRANK.INC($D$3:$D$6000,D1192,4)*5+0.000001,1)))</f>
        <v/>
      </c>
      <c r="H1192">
        <f>IF(A1192="","",E1192&amp;F1192&amp;G1192)</f>
        <v/>
      </c>
      <c r="I1192">
        <f>IF(A1192="","",IF(AND(E1192&gt;=4,F1192&gt;=4,G1192&gt;=4),"Juara",IF(AND(F1192&gt;=4,E1192&gt;=3),"Setia",IF(AND(E1192=5,F1192&lt;=2,G1192&gt;=3),"Berpotensi",IF(AND(E1192&lt;=3,E1192&gt;=2,F1192&gt;=3),"Rawan",IF(AND(E1192&lt;=2,F1192&lt;=2),"Tidur","Umum"))))))</f>
        <v/>
      </c>
    </row>
    <row r="1193">
      <c r="B1193">
        <f>IF(A1193="","",$B$1-MAXIFS(Donasi!$A$2:$A$20000,Donasi!$B$2:$B$20000,A1193))</f>
        <v/>
      </c>
      <c r="C1193">
        <f>IF(A1193="","",COUNTIF(Donasi!$B$2:$B$20000,A1193))</f>
        <v/>
      </c>
      <c r="D1193">
        <f>IF(A1193="","",SUMIF(Donasi!$B$2:$B$20000,A1193,Donasi!$C$2:$C$20000))</f>
        <v/>
      </c>
      <c r="E1193">
        <f>IF(A1193="","",6-CEILING(PERCENTRANK.INC($B$3:$B$6000,B1193,4)*5+0.000001,1))</f>
        <v/>
      </c>
      <c r="F1193">
        <f>IF(A1193="","",MAX(1,CEILING(PERCENTRANK.INC($C$3:$C$6000,C1193,4)*5+0.000001,1)))</f>
        <v/>
      </c>
      <c r="G1193">
        <f>IF(A1193="","",MAX(1,CEILING(PERCENTRANK.INC($D$3:$D$6000,D1193,4)*5+0.000001,1)))</f>
        <v/>
      </c>
      <c r="H1193">
        <f>IF(A1193="","",E1193&amp;F1193&amp;G1193)</f>
        <v/>
      </c>
      <c r="I1193">
        <f>IF(A1193="","",IF(AND(E1193&gt;=4,F1193&gt;=4,G1193&gt;=4),"Juara",IF(AND(F1193&gt;=4,E1193&gt;=3),"Setia",IF(AND(E1193=5,F1193&lt;=2,G1193&gt;=3),"Berpotensi",IF(AND(E1193&lt;=3,E1193&gt;=2,F1193&gt;=3),"Rawan",IF(AND(E1193&lt;=2,F1193&lt;=2),"Tidur","Umum"))))))</f>
        <v/>
      </c>
    </row>
    <row r="1194">
      <c r="B1194">
        <f>IF(A1194="","",$B$1-MAXIFS(Donasi!$A$2:$A$20000,Donasi!$B$2:$B$20000,A1194))</f>
        <v/>
      </c>
      <c r="C1194">
        <f>IF(A1194="","",COUNTIF(Donasi!$B$2:$B$20000,A1194))</f>
        <v/>
      </c>
      <c r="D1194">
        <f>IF(A1194="","",SUMIF(Donasi!$B$2:$B$20000,A1194,Donasi!$C$2:$C$20000))</f>
        <v/>
      </c>
      <c r="E1194">
        <f>IF(A1194="","",6-CEILING(PERCENTRANK.INC($B$3:$B$6000,B1194,4)*5+0.000001,1))</f>
        <v/>
      </c>
      <c r="F1194">
        <f>IF(A1194="","",MAX(1,CEILING(PERCENTRANK.INC($C$3:$C$6000,C1194,4)*5+0.000001,1)))</f>
        <v/>
      </c>
      <c r="G1194">
        <f>IF(A1194="","",MAX(1,CEILING(PERCENTRANK.INC($D$3:$D$6000,D1194,4)*5+0.000001,1)))</f>
        <v/>
      </c>
      <c r="H1194">
        <f>IF(A1194="","",E1194&amp;F1194&amp;G1194)</f>
        <v/>
      </c>
      <c r="I1194">
        <f>IF(A1194="","",IF(AND(E1194&gt;=4,F1194&gt;=4,G1194&gt;=4),"Juara",IF(AND(F1194&gt;=4,E1194&gt;=3),"Setia",IF(AND(E1194=5,F1194&lt;=2,G1194&gt;=3),"Berpotensi",IF(AND(E1194&lt;=3,E1194&gt;=2,F1194&gt;=3),"Rawan",IF(AND(E1194&lt;=2,F1194&lt;=2),"Tidur","Umum"))))))</f>
        <v/>
      </c>
    </row>
    <row r="1195">
      <c r="B1195">
        <f>IF(A1195="","",$B$1-MAXIFS(Donasi!$A$2:$A$20000,Donasi!$B$2:$B$20000,A1195))</f>
        <v/>
      </c>
      <c r="C1195">
        <f>IF(A1195="","",COUNTIF(Donasi!$B$2:$B$20000,A1195))</f>
        <v/>
      </c>
      <c r="D1195">
        <f>IF(A1195="","",SUMIF(Donasi!$B$2:$B$20000,A1195,Donasi!$C$2:$C$20000))</f>
        <v/>
      </c>
      <c r="E1195">
        <f>IF(A1195="","",6-CEILING(PERCENTRANK.INC($B$3:$B$6000,B1195,4)*5+0.000001,1))</f>
        <v/>
      </c>
      <c r="F1195">
        <f>IF(A1195="","",MAX(1,CEILING(PERCENTRANK.INC($C$3:$C$6000,C1195,4)*5+0.000001,1)))</f>
        <v/>
      </c>
      <c r="G1195">
        <f>IF(A1195="","",MAX(1,CEILING(PERCENTRANK.INC($D$3:$D$6000,D1195,4)*5+0.000001,1)))</f>
        <v/>
      </c>
      <c r="H1195">
        <f>IF(A1195="","",E1195&amp;F1195&amp;G1195)</f>
        <v/>
      </c>
      <c r="I1195">
        <f>IF(A1195="","",IF(AND(E1195&gt;=4,F1195&gt;=4,G1195&gt;=4),"Juara",IF(AND(F1195&gt;=4,E1195&gt;=3),"Setia",IF(AND(E1195=5,F1195&lt;=2,G1195&gt;=3),"Berpotensi",IF(AND(E1195&lt;=3,E1195&gt;=2,F1195&gt;=3),"Rawan",IF(AND(E1195&lt;=2,F1195&lt;=2),"Tidur","Umum"))))))</f>
        <v/>
      </c>
    </row>
    <row r="1196">
      <c r="B1196">
        <f>IF(A1196="","",$B$1-MAXIFS(Donasi!$A$2:$A$20000,Donasi!$B$2:$B$20000,A1196))</f>
        <v/>
      </c>
      <c r="C1196">
        <f>IF(A1196="","",COUNTIF(Donasi!$B$2:$B$20000,A1196))</f>
        <v/>
      </c>
      <c r="D1196">
        <f>IF(A1196="","",SUMIF(Donasi!$B$2:$B$20000,A1196,Donasi!$C$2:$C$20000))</f>
        <v/>
      </c>
      <c r="E1196">
        <f>IF(A1196="","",6-CEILING(PERCENTRANK.INC($B$3:$B$6000,B1196,4)*5+0.000001,1))</f>
        <v/>
      </c>
      <c r="F1196">
        <f>IF(A1196="","",MAX(1,CEILING(PERCENTRANK.INC($C$3:$C$6000,C1196,4)*5+0.000001,1)))</f>
        <v/>
      </c>
      <c r="G1196">
        <f>IF(A1196="","",MAX(1,CEILING(PERCENTRANK.INC($D$3:$D$6000,D1196,4)*5+0.000001,1)))</f>
        <v/>
      </c>
      <c r="H1196">
        <f>IF(A1196="","",E1196&amp;F1196&amp;G1196)</f>
        <v/>
      </c>
      <c r="I1196">
        <f>IF(A1196="","",IF(AND(E1196&gt;=4,F1196&gt;=4,G1196&gt;=4),"Juara",IF(AND(F1196&gt;=4,E1196&gt;=3),"Setia",IF(AND(E1196=5,F1196&lt;=2,G1196&gt;=3),"Berpotensi",IF(AND(E1196&lt;=3,E1196&gt;=2,F1196&gt;=3),"Rawan",IF(AND(E1196&lt;=2,F1196&lt;=2),"Tidur","Umum"))))))</f>
        <v/>
      </c>
    </row>
    <row r="1197">
      <c r="B1197">
        <f>IF(A1197="","",$B$1-MAXIFS(Donasi!$A$2:$A$20000,Donasi!$B$2:$B$20000,A1197))</f>
        <v/>
      </c>
      <c r="C1197">
        <f>IF(A1197="","",COUNTIF(Donasi!$B$2:$B$20000,A1197))</f>
        <v/>
      </c>
      <c r="D1197">
        <f>IF(A1197="","",SUMIF(Donasi!$B$2:$B$20000,A1197,Donasi!$C$2:$C$20000))</f>
        <v/>
      </c>
      <c r="E1197">
        <f>IF(A1197="","",6-CEILING(PERCENTRANK.INC($B$3:$B$6000,B1197,4)*5+0.000001,1))</f>
        <v/>
      </c>
      <c r="F1197">
        <f>IF(A1197="","",MAX(1,CEILING(PERCENTRANK.INC($C$3:$C$6000,C1197,4)*5+0.000001,1)))</f>
        <v/>
      </c>
      <c r="G1197">
        <f>IF(A1197="","",MAX(1,CEILING(PERCENTRANK.INC($D$3:$D$6000,D1197,4)*5+0.000001,1)))</f>
        <v/>
      </c>
      <c r="H1197">
        <f>IF(A1197="","",E1197&amp;F1197&amp;G1197)</f>
        <v/>
      </c>
      <c r="I1197">
        <f>IF(A1197="","",IF(AND(E1197&gt;=4,F1197&gt;=4,G1197&gt;=4),"Juara",IF(AND(F1197&gt;=4,E1197&gt;=3),"Setia",IF(AND(E1197=5,F1197&lt;=2,G1197&gt;=3),"Berpotensi",IF(AND(E1197&lt;=3,E1197&gt;=2,F1197&gt;=3),"Rawan",IF(AND(E1197&lt;=2,F1197&lt;=2),"Tidur","Umum"))))))</f>
        <v/>
      </c>
    </row>
    <row r="1198">
      <c r="B1198">
        <f>IF(A1198="","",$B$1-MAXIFS(Donasi!$A$2:$A$20000,Donasi!$B$2:$B$20000,A1198))</f>
        <v/>
      </c>
      <c r="C1198">
        <f>IF(A1198="","",COUNTIF(Donasi!$B$2:$B$20000,A1198))</f>
        <v/>
      </c>
      <c r="D1198">
        <f>IF(A1198="","",SUMIF(Donasi!$B$2:$B$20000,A1198,Donasi!$C$2:$C$20000))</f>
        <v/>
      </c>
      <c r="E1198">
        <f>IF(A1198="","",6-CEILING(PERCENTRANK.INC($B$3:$B$6000,B1198,4)*5+0.000001,1))</f>
        <v/>
      </c>
      <c r="F1198">
        <f>IF(A1198="","",MAX(1,CEILING(PERCENTRANK.INC($C$3:$C$6000,C1198,4)*5+0.000001,1)))</f>
        <v/>
      </c>
      <c r="G1198">
        <f>IF(A1198="","",MAX(1,CEILING(PERCENTRANK.INC($D$3:$D$6000,D1198,4)*5+0.000001,1)))</f>
        <v/>
      </c>
      <c r="H1198">
        <f>IF(A1198="","",E1198&amp;F1198&amp;G1198)</f>
        <v/>
      </c>
      <c r="I1198">
        <f>IF(A1198="","",IF(AND(E1198&gt;=4,F1198&gt;=4,G1198&gt;=4),"Juara",IF(AND(F1198&gt;=4,E1198&gt;=3),"Setia",IF(AND(E1198=5,F1198&lt;=2,G1198&gt;=3),"Berpotensi",IF(AND(E1198&lt;=3,E1198&gt;=2,F1198&gt;=3),"Rawan",IF(AND(E1198&lt;=2,F1198&lt;=2),"Tidur","Umum"))))))</f>
        <v/>
      </c>
    </row>
    <row r="1199">
      <c r="B1199">
        <f>IF(A1199="","",$B$1-MAXIFS(Donasi!$A$2:$A$20000,Donasi!$B$2:$B$20000,A1199))</f>
        <v/>
      </c>
      <c r="C1199">
        <f>IF(A1199="","",COUNTIF(Donasi!$B$2:$B$20000,A1199))</f>
        <v/>
      </c>
      <c r="D1199">
        <f>IF(A1199="","",SUMIF(Donasi!$B$2:$B$20000,A1199,Donasi!$C$2:$C$20000))</f>
        <v/>
      </c>
      <c r="E1199">
        <f>IF(A1199="","",6-CEILING(PERCENTRANK.INC($B$3:$B$6000,B1199,4)*5+0.000001,1))</f>
        <v/>
      </c>
      <c r="F1199">
        <f>IF(A1199="","",MAX(1,CEILING(PERCENTRANK.INC($C$3:$C$6000,C1199,4)*5+0.000001,1)))</f>
        <v/>
      </c>
      <c r="G1199">
        <f>IF(A1199="","",MAX(1,CEILING(PERCENTRANK.INC($D$3:$D$6000,D1199,4)*5+0.000001,1)))</f>
        <v/>
      </c>
      <c r="H1199">
        <f>IF(A1199="","",E1199&amp;F1199&amp;G1199)</f>
        <v/>
      </c>
      <c r="I1199">
        <f>IF(A1199="","",IF(AND(E1199&gt;=4,F1199&gt;=4,G1199&gt;=4),"Juara",IF(AND(F1199&gt;=4,E1199&gt;=3),"Setia",IF(AND(E1199=5,F1199&lt;=2,G1199&gt;=3),"Berpotensi",IF(AND(E1199&lt;=3,E1199&gt;=2,F1199&gt;=3),"Rawan",IF(AND(E1199&lt;=2,F1199&lt;=2),"Tidur","Umum"))))))</f>
        <v/>
      </c>
    </row>
    <row r="1200">
      <c r="B1200">
        <f>IF(A1200="","",$B$1-MAXIFS(Donasi!$A$2:$A$20000,Donasi!$B$2:$B$20000,A1200))</f>
        <v/>
      </c>
      <c r="C1200">
        <f>IF(A1200="","",COUNTIF(Donasi!$B$2:$B$20000,A1200))</f>
        <v/>
      </c>
      <c r="D1200">
        <f>IF(A1200="","",SUMIF(Donasi!$B$2:$B$20000,A1200,Donasi!$C$2:$C$20000))</f>
        <v/>
      </c>
      <c r="E1200">
        <f>IF(A1200="","",6-CEILING(PERCENTRANK.INC($B$3:$B$6000,B1200,4)*5+0.000001,1))</f>
        <v/>
      </c>
      <c r="F1200">
        <f>IF(A1200="","",MAX(1,CEILING(PERCENTRANK.INC($C$3:$C$6000,C1200,4)*5+0.000001,1)))</f>
        <v/>
      </c>
      <c r="G1200">
        <f>IF(A1200="","",MAX(1,CEILING(PERCENTRANK.INC($D$3:$D$6000,D1200,4)*5+0.000001,1)))</f>
        <v/>
      </c>
      <c r="H1200">
        <f>IF(A1200="","",E1200&amp;F1200&amp;G1200)</f>
        <v/>
      </c>
      <c r="I1200">
        <f>IF(A1200="","",IF(AND(E1200&gt;=4,F1200&gt;=4,G1200&gt;=4),"Juara",IF(AND(F1200&gt;=4,E1200&gt;=3),"Setia",IF(AND(E1200=5,F1200&lt;=2,G1200&gt;=3),"Berpotensi",IF(AND(E1200&lt;=3,E1200&gt;=2,F1200&gt;=3),"Rawan",IF(AND(E1200&lt;=2,F1200&lt;=2),"Tidur","Umum"))))))</f>
        <v/>
      </c>
    </row>
    <row r="1201">
      <c r="B1201">
        <f>IF(A1201="","",$B$1-MAXIFS(Donasi!$A$2:$A$20000,Donasi!$B$2:$B$20000,A1201))</f>
        <v/>
      </c>
      <c r="C1201">
        <f>IF(A1201="","",COUNTIF(Donasi!$B$2:$B$20000,A1201))</f>
        <v/>
      </c>
      <c r="D1201">
        <f>IF(A1201="","",SUMIF(Donasi!$B$2:$B$20000,A1201,Donasi!$C$2:$C$20000))</f>
        <v/>
      </c>
      <c r="E1201">
        <f>IF(A1201="","",6-CEILING(PERCENTRANK.INC($B$3:$B$6000,B1201,4)*5+0.000001,1))</f>
        <v/>
      </c>
      <c r="F1201">
        <f>IF(A1201="","",MAX(1,CEILING(PERCENTRANK.INC($C$3:$C$6000,C1201,4)*5+0.000001,1)))</f>
        <v/>
      </c>
      <c r="G1201">
        <f>IF(A1201="","",MAX(1,CEILING(PERCENTRANK.INC($D$3:$D$6000,D1201,4)*5+0.000001,1)))</f>
        <v/>
      </c>
      <c r="H1201">
        <f>IF(A1201="","",E1201&amp;F1201&amp;G1201)</f>
        <v/>
      </c>
      <c r="I1201">
        <f>IF(A1201="","",IF(AND(E1201&gt;=4,F1201&gt;=4,G1201&gt;=4),"Juara",IF(AND(F1201&gt;=4,E1201&gt;=3),"Setia",IF(AND(E1201=5,F1201&lt;=2,G1201&gt;=3),"Berpotensi",IF(AND(E1201&lt;=3,E1201&gt;=2,F1201&gt;=3),"Rawan",IF(AND(E1201&lt;=2,F1201&lt;=2),"Tidur","Umum"))))))</f>
        <v/>
      </c>
    </row>
    <row r="1202">
      <c r="B1202">
        <f>IF(A1202="","",$B$1-MAXIFS(Donasi!$A$2:$A$20000,Donasi!$B$2:$B$20000,A1202))</f>
        <v/>
      </c>
      <c r="C1202">
        <f>IF(A1202="","",COUNTIF(Donasi!$B$2:$B$20000,A1202))</f>
        <v/>
      </c>
      <c r="D1202">
        <f>IF(A1202="","",SUMIF(Donasi!$B$2:$B$20000,A1202,Donasi!$C$2:$C$20000))</f>
        <v/>
      </c>
      <c r="E1202">
        <f>IF(A1202="","",6-CEILING(PERCENTRANK.INC($B$3:$B$6000,B1202,4)*5+0.000001,1))</f>
        <v/>
      </c>
      <c r="F1202">
        <f>IF(A1202="","",MAX(1,CEILING(PERCENTRANK.INC($C$3:$C$6000,C1202,4)*5+0.000001,1)))</f>
        <v/>
      </c>
      <c r="G1202">
        <f>IF(A1202="","",MAX(1,CEILING(PERCENTRANK.INC($D$3:$D$6000,D1202,4)*5+0.000001,1)))</f>
        <v/>
      </c>
      <c r="H1202">
        <f>IF(A1202="","",E1202&amp;F1202&amp;G1202)</f>
        <v/>
      </c>
      <c r="I1202">
        <f>IF(A1202="","",IF(AND(E1202&gt;=4,F1202&gt;=4,G1202&gt;=4),"Juara",IF(AND(F1202&gt;=4,E1202&gt;=3),"Setia",IF(AND(E1202=5,F1202&lt;=2,G1202&gt;=3),"Berpotensi",IF(AND(E1202&lt;=3,E1202&gt;=2,F1202&gt;=3),"Rawan",IF(AND(E1202&lt;=2,F1202&lt;=2),"Tidur","Umum"))))))</f>
        <v/>
      </c>
    </row>
    <row r="1203">
      <c r="B1203">
        <f>IF(A1203="","",$B$1-MAXIFS(Donasi!$A$2:$A$20000,Donasi!$B$2:$B$20000,A1203))</f>
        <v/>
      </c>
      <c r="C1203">
        <f>IF(A1203="","",COUNTIF(Donasi!$B$2:$B$20000,A1203))</f>
        <v/>
      </c>
      <c r="D1203">
        <f>IF(A1203="","",SUMIF(Donasi!$B$2:$B$20000,A1203,Donasi!$C$2:$C$20000))</f>
        <v/>
      </c>
      <c r="E1203">
        <f>IF(A1203="","",6-CEILING(PERCENTRANK.INC($B$3:$B$6000,B1203,4)*5+0.000001,1))</f>
        <v/>
      </c>
      <c r="F1203">
        <f>IF(A1203="","",MAX(1,CEILING(PERCENTRANK.INC($C$3:$C$6000,C1203,4)*5+0.000001,1)))</f>
        <v/>
      </c>
      <c r="G1203">
        <f>IF(A1203="","",MAX(1,CEILING(PERCENTRANK.INC($D$3:$D$6000,D1203,4)*5+0.000001,1)))</f>
        <v/>
      </c>
      <c r="H1203">
        <f>IF(A1203="","",E1203&amp;F1203&amp;G1203)</f>
        <v/>
      </c>
      <c r="I1203">
        <f>IF(A1203="","",IF(AND(E1203&gt;=4,F1203&gt;=4,G1203&gt;=4),"Juara",IF(AND(F1203&gt;=4,E1203&gt;=3),"Setia",IF(AND(E1203=5,F1203&lt;=2,G1203&gt;=3),"Berpotensi",IF(AND(E1203&lt;=3,E1203&gt;=2,F1203&gt;=3),"Rawan",IF(AND(E1203&lt;=2,F1203&lt;=2),"Tidur","Umum"))))))</f>
        <v/>
      </c>
    </row>
    <row r="1204">
      <c r="B1204">
        <f>IF(A1204="","",$B$1-MAXIFS(Donasi!$A$2:$A$20000,Donasi!$B$2:$B$20000,A1204))</f>
        <v/>
      </c>
      <c r="C1204">
        <f>IF(A1204="","",COUNTIF(Donasi!$B$2:$B$20000,A1204))</f>
        <v/>
      </c>
      <c r="D1204">
        <f>IF(A1204="","",SUMIF(Donasi!$B$2:$B$20000,A1204,Donasi!$C$2:$C$20000))</f>
        <v/>
      </c>
      <c r="E1204">
        <f>IF(A1204="","",6-CEILING(PERCENTRANK.INC($B$3:$B$6000,B1204,4)*5+0.000001,1))</f>
        <v/>
      </c>
      <c r="F1204">
        <f>IF(A1204="","",MAX(1,CEILING(PERCENTRANK.INC($C$3:$C$6000,C1204,4)*5+0.000001,1)))</f>
        <v/>
      </c>
      <c r="G1204">
        <f>IF(A1204="","",MAX(1,CEILING(PERCENTRANK.INC($D$3:$D$6000,D1204,4)*5+0.000001,1)))</f>
        <v/>
      </c>
      <c r="H1204">
        <f>IF(A1204="","",E1204&amp;F1204&amp;G1204)</f>
        <v/>
      </c>
      <c r="I1204">
        <f>IF(A1204="","",IF(AND(E1204&gt;=4,F1204&gt;=4,G1204&gt;=4),"Juara",IF(AND(F1204&gt;=4,E1204&gt;=3),"Setia",IF(AND(E1204=5,F1204&lt;=2,G1204&gt;=3),"Berpotensi",IF(AND(E1204&lt;=3,E1204&gt;=2,F1204&gt;=3),"Rawan",IF(AND(E1204&lt;=2,F1204&lt;=2),"Tidur","Umum"))))))</f>
        <v/>
      </c>
    </row>
    <row r="1205">
      <c r="B1205">
        <f>IF(A1205="","",$B$1-MAXIFS(Donasi!$A$2:$A$20000,Donasi!$B$2:$B$20000,A1205))</f>
        <v/>
      </c>
      <c r="C1205">
        <f>IF(A1205="","",COUNTIF(Donasi!$B$2:$B$20000,A1205))</f>
        <v/>
      </c>
      <c r="D1205">
        <f>IF(A1205="","",SUMIF(Donasi!$B$2:$B$20000,A1205,Donasi!$C$2:$C$20000))</f>
        <v/>
      </c>
      <c r="E1205">
        <f>IF(A1205="","",6-CEILING(PERCENTRANK.INC($B$3:$B$6000,B1205,4)*5+0.000001,1))</f>
        <v/>
      </c>
      <c r="F1205">
        <f>IF(A1205="","",MAX(1,CEILING(PERCENTRANK.INC($C$3:$C$6000,C1205,4)*5+0.000001,1)))</f>
        <v/>
      </c>
      <c r="G1205">
        <f>IF(A1205="","",MAX(1,CEILING(PERCENTRANK.INC($D$3:$D$6000,D1205,4)*5+0.000001,1)))</f>
        <v/>
      </c>
      <c r="H1205">
        <f>IF(A1205="","",E1205&amp;F1205&amp;G1205)</f>
        <v/>
      </c>
      <c r="I1205">
        <f>IF(A1205="","",IF(AND(E1205&gt;=4,F1205&gt;=4,G1205&gt;=4),"Juara",IF(AND(F1205&gt;=4,E1205&gt;=3),"Setia",IF(AND(E1205=5,F1205&lt;=2,G1205&gt;=3),"Berpotensi",IF(AND(E1205&lt;=3,E1205&gt;=2,F1205&gt;=3),"Rawan",IF(AND(E1205&lt;=2,F1205&lt;=2),"Tidur","Umum"))))))</f>
        <v/>
      </c>
    </row>
    <row r="1206">
      <c r="B1206">
        <f>IF(A1206="","",$B$1-MAXIFS(Donasi!$A$2:$A$20000,Donasi!$B$2:$B$20000,A1206))</f>
        <v/>
      </c>
      <c r="C1206">
        <f>IF(A1206="","",COUNTIF(Donasi!$B$2:$B$20000,A1206))</f>
        <v/>
      </c>
      <c r="D1206">
        <f>IF(A1206="","",SUMIF(Donasi!$B$2:$B$20000,A1206,Donasi!$C$2:$C$20000))</f>
        <v/>
      </c>
      <c r="E1206">
        <f>IF(A1206="","",6-CEILING(PERCENTRANK.INC($B$3:$B$6000,B1206,4)*5+0.000001,1))</f>
        <v/>
      </c>
      <c r="F1206">
        <f>IF(A1206="","",MAX(1,CEILING(PERCENTRANK.INC($C$3:$C$6000,C1206,4)*5+0.000001,1)))</f>
        <v/>
      </c>
      <c r="G1206">
        <f>IF(A1206="","",MAX(1,CEILING(PERCENTRANK.INC($D$3:$D$6000,D1206,4)*5+0.000001,1)))</f>
        <v/>
      </c>
      <c r="H1206">
        <f>IF(A1206="","",E1206&amp;F1206&amp;G1206)</f>
        <v/>
      </c>
      <c r="I1206">
        <f>IF(A1206="","",IF(AND(E1206&gt;=4,F1206&gt;=4,G1206&gt;=4),"Juara",IF(AND(F1206&gt;=4,E1206&gt;=3),"Setia",IF(AND(E1206=5,F1206&lt;=2,G1206&gt;=3),"Berpotensi",IF(AND(E1206&lt;=3,E1206&gt;=2,F1206&gt;=3),"Rawan",IF(AND(E1206&lt;=2,F1206&lt;=2),"Tidur","Umum"))))))</f>
        <v/>
      </c>
    </row>
    <row r="1207">
      <c r="B1207">
        <f>IF(A1207="","",$B$1-MAXIFS(Donasi!$A$2:$A$20000,Donasi!$B$2:$B$20000,A1207))</f>
        <v/>
      </c>
      <c r="C1207">
        <f>IF(A1207="","",COUNTIF(Donasi!$B$2:$B$20000,A1207))</f>
        <v/>
      </c>
      <c r="D1207">
        <f>IF(A1207="","",SUMIF(Donasi!$B$2:$B$20000,A1207,Donasi!$C$2:$C$20000))</f>
        <v/>
      </c>
      <c r="E1207">
        <f>IF(A1207="","",6-CEILING(PERCENTRANK.INC($B$3:$B$6000,B1207,4)*5+0.000001,1))</f>
        <v/>
      </c>
      <c r="F1207">
        <f>IF(A1207="","",MAX(1,CEILING(PERCENTRANK.INC($C$3:$C$6000,C1207,4)*5+0.000001,1)))</f>
        <v/>
      </c>
      <c r="G1207">
        <f>IF(A1207="","",MAX(1,CEILING(PERCENTRANK.INC($D$3:$D$6000,D1207,4)*5+0.000001,1)))</f>
        <v/>
      </c>
      <c r="H1207">
        <f>IF(A1207="","",E1207&amp;F1207&amp;G1207)</f>
        <v/>
      </c>
      <c r="I1207">
        <f>IF(A1207="","",IF(AND(E1207&gt;=4,F1207&gt;=4,G1207&gt;=4),"Juara",IF(AND(F1207&gt;=4,E1207&gt;=3),"Setia",IF(AND(E1207=5,F1207&lt;=2,G1207&gt;=3),"Berpotensi",IF(AND(E1207&lt;=3,E1207&gt;=2,F1207&gt;=3),"Rawan",IF(AND(E1207&lt;=2,F1207&lt;=2),"Tidur","Umum"))))))</f>
        <v/>
      </c>
    </row>
    <row r="1208">
      <c r="B1208">
        <f>IF(A1208="","",$B$1-MAXIFS(Donasi!$A$2:$A$20000,Donasi!$B$2:$B$20000,A1208))</f>
        <v/>
      </c>
      <c r="C1208">
        <f>IF(A1208="","",COUNTIF(Donasi!$B$2:$B$20000,A1208))</f>
        <v/>
      </c>
      <c r="D1208">
        <f>IF(A1208="","",SUMIF(Donasi!$B$2:$B$20000,A1208,Donasi!$C$2:$C$20000))</f>
        <v/>
      </c>
      <c r="E1208">
        <f>IF(A1208="","",6-CEILING(PERCENTRANK.INC($B$3:$B$6000,B1208,4)*5+0.000001,1))</f>
        <v/>
      </c>
      <c r="F1208">
        <f>IF(A1208="","",MAX(1,CEILING(PERCENTRANK.INC($C$3:$C$6000,C1208,4)*5+0.000001,1)))</f>
        <v/>
      </c>
      <c r="G1208">
        <f>IF(A1208="","",MAX(1,CEILING(PERCENTRANK.INC($D$3:$D$6000,D1208,4)*5+0.000001,1)))</f>
        <v/>
      </c>
      <c r="H1208">
        <f>IF(A1208="","",E1208&amp;F1208&amp;G1208)</f>
        <v/>
      </c>
      <c r="I1208">
        <f>IF(A1208="","",IF(AND(E1208&gt;=4,F1208&gt;=4,G1208&gt;=4),"Juara",IF(AND(F1208&gt;=4,E1208&gt;=3),"Setia",IF(AND(E1208=5,F1208&lt;=2,G1208&gt;=3),"Berpotensi",IF(AND(E1208&lt;=3,E1208&gt;=2,F1208&gt;=3),"Rawan",IF(AND(E1208&lt;=2,F1208&lt;=2),"Tidur","Umum"))))))</f>
        <v/>
      </c>
    </row>
    <row r="1209">
      <c r="B1209">
        <f>IF(A1209="","",$B$1-MAXIFS(Donasi!$A$2:$A$20000,Donasi!$B$2:$B$20000,A1209))</f>
        <v/>
      </c>
      <c r="C1209">
        <f>IF(A1209="","",COUNTIF(Donasi!$B$2:$B$20000,A1209))</f>
        <v/>
      </c>
      <c r="D1209">
        <f>IF(A1209="","",SUMIF(Donasi!$B$2:$B$20000,A1209,Donasi!$C$2:$C$20000))</f>
        <v/>
      </c>
      <c r="E1209">
        <f>IF(A1209="","",6-CEILING(PERCENTRANK.INC($B$3:$B$6000,B1209,4)*5+0.000001,1))</f>
        <v/>
      </c>
      <c r="F1209">
        <f>IF(A1209="","",MAX(1,CEILING(PERCENTRANK.INC($C$3:$C$6000,C1209,4)*5+0.000001,1)))</f>
        <v/>
      </c>
      <c r="G1209">
        <f>IF(A1209="","",MAX(1,CEILING(PERCENTRANK.INC($D$3:$D$6000,D1209,4)*5+0.000001,1)))</f>
        <v/>
      </c>
      <c r="H1209">
        <f>IF(A1209="","",E1209&amp;F1209&amp;G1209)</f>
        <v/>
      </c>
      <c r="I1209">
        <f>IF(A1209="","",IF(AND(E1209&gt;=4,F1209&gt;=4,G1209&gt;=4),"Juara",IF(AND(F1209&gt;=4,E1209&gt;=3),"Setia",IF(AND(E1209=5,F1209&lt;=2,G1209&gt;=3),"Berpotensi",IF(AND(E1209&lt;=3,E1209&gt;=2,F1209&gt;=3),"Rawan",IF(AND(E1209&lt;=2,F1209&lt;=2),"Tidur","Umum"))))))</f>
        <v/>
      </c>
    </row>
    <row r="1210">
      <c r="B1210">
        <f>IF(A1210="","",$B$1-MAXIFS(Donasi!$A$2:$A$20000,Donasi!$B$2:$B$20000,A1210))</f>
        <v/>
      </c>
      <c r="C1210">
        <f>IF(A1210="","",COUNTIF(Donasi!$B$2:$B$20000,A1210))</f>
        <v/>
      </c>
      <c r="D1210">
        <f>IF(A1210="","",SUMIF(Donasi!$B$2:$B$20000,A1210,Donasi!$C$2:$C$20000))</f>
        <v/>
      </c>
      <c r="E1210">
        <f>IF(A1210="","",6-CEILING(PERCENTRANK.INC($B$3:$B$6000,B1210,4)*5+0.000001,1))</f>
        <v/>
      </c>
      <c r="F1210">
        <f>IF(A1210="","",MAX(1,CEILING(PERCENTRANK.INC($C$3:$C$6000,C1210,4)*5+0.000001,1)))</f>
        <v/>
      </c>
      <c r="G1210">
        <f>IF(A1210="","",MAX(1,CEILING(PERCENTRANK.INC($D$3:$D$6000,D1210,4)*5+0.000001,1)))</f>
        <v/>
      </c>
      <c r="H1210">
        <f>IF(A1210="","",E1210&amp;F1210&amp;G1210)</f>
        <v/>
      </c>
      <c r="I1210">
        <f>IF(A1210="","",IF(AND(E1210&gt;=4,F1210&gt;=4,G1210&gt;=4),"Juara",IF(AND(F1210&gt;=4,E1210&gt;=3),"Setia",IF(AND(E1210=5,F1210&lt;=2,G1210&gt;=3),"Berpotensi",IF(AND(E1210&lt;=3,E1210&gt;=2,F1210&gt;=3),"Rawan",IF(AND(E1210&lt;=2,F1210&lt;=2),"Tidur","Umum"))))))</f>
        <v/>
      </c>
    </row>
    <row r="1211">
      <c r="B1211">
        <f>IF(A1211="","",$B$1-MAXIFS(Donasi!$A$2:$A$20000,Donasi!$B$2:$B$20000,A1211))</f>
        <v/>
      </c>
      <c r="C1211">
        <f>IF(A1211="","",COUNTIF(Donasi!$B$2:$B$20000,A1211))</f>
        <v/>
      </c>
      <c r="D1211">
        <f>IF(A1211="","",SUMIF(Donasi!$B$2:$B$20000,A1211,Donasi!$C$2:$C$20000))</f>
        <v/>
      </c>
      <c r="E1211">
        <f>IF(A1211="","",6-CEILING(PERCENTRANK.INC($B$3:$B$6000,B1211,4)*5+0.000001,1))</f>
        <v/>
      </c>
      <c r="F1211">
        <f>IF(A1211="","",MAX(1,CEILING(PERCENTRANK.INC($C$3:$C$6000,C1211,4)*5+0.000001,1)))</f>
        <v/>
      </c>
      <c r="G1211">
        <f>IF(A1211="","",MAX(1,CEILING(PERCENTRANK.INC($D$3:$D$6000,D1211,4)*5+0.000001,1)))</f>
        <v/>
      </c>
      <c r="H1211">
        <f>IF(A1211="","",E1211&amp;F1211&amp;G1211)</f>
        <v/>
      </c>
      <c r="I1211">
        <f>IF(A1211="","",IF(AND(E1211&gt;=4,F1211&gt;=4,G1211&gt;=4),"Juara",IF(AND(F1211&gt;=4,E1211&gt;=3),"Setia",IF(AND(E1211=5,F1211&lt;=2,G1211&gt;=3),"Berpotensi",IF(AND(E1211&lt;=3,E1211&gt;=2,F1211&gt;=3),"Rawan",IF(AND(E1211&lt;=2,F1211&lt;=2),"Tidur","Umum"))))))</f>
        <v/>
      </c>
    </row>
    <row r="1212">
      <c r="B1212">
        <f>IF(A1212="","",$B$1-MAXIFS(Donasi!$A$2:$A$20000,Donasi!$B$2:$B$20000,A1212))</f>
        <v/>
      </c>
      <c r="C1212">
        <f>IF(A1212="","",COUNTIF(Donasi!$B$2:$B$20000,A1212))</f>
        <v/>
      </c>
      <c r="D1212">
        <f>IF(A1212="","",SUMIF(Donasi!$B$2:$B$20000,A1212,Donasi!$C$2:$C$20000))</f>
        <v/>
      </c>
      <c r="E1212">
        <f>IF(A1212="","",6-CEILING(PERCENTRANK.INC($B$3:$B$6000,B1212,4)*5+0.000001,1))</f>
        <v/>
      </c>
      <c r="F1212">
        <f>IF(A1212="","",MAX(1,CEILING(PERCENTRANK.INC($C$3:$C$6000,C1212,4)*5+0.000001,1)))</f>
        <v/>
      </c>
      <c r="G1212">
        <f>IF(A1212="","",MAX(1,CEILING(PERCENTRANK.INC($D$3:$D$6000,D1212,4)*5+0.000001,1)))</f>
        <v/>
      </c>
      <c r="H1212">
        <f>IF(A1212="","",E1212&amp;F1212&amp;G1212)</f>
        <v/>
      </c>
      <c r="I1212">
        <f>IF(A1212="","",IF(AND(E1212&gt;=4,F1212&gt;=4,G1212&gt;=4),"Juara",IF(AND(F1212&gt;=4,E1212&gt;=3),"Setia",IF(AND(E1212=5,F1212&lt;=2,G1212&gt;=3),"Berpotensi",IF(AND(E1212&lt;=3,E1212&gt;=2,F1212&gt;=3),"Rawan",IF(AND(E1212&lt;=2,F1212&lt;=2),"Tidur","Umum"))))))</f>
        <v/>
      </c>
    </row>
    <row r="1213">
      <c r="B1213">
        <f>IF(A1213="","",$B$1-MAXIFS(Donasi!$A$2:$A$20000,Donasi!$B$2:$B$20000,A1213))</f>
        <v/>
      </c>
      <c r="C1213">
        <f>IF(A1213="","",COUNTIF(Donasi!$B$2:$B$20000,A1213))</f>
        <v/>
      </c>
      <c r="D1213">
        <f>IF(A1213="","",SUMIF(Donasi!$B$2:$B$20000,A1213,Donasi!$C$2:$C$20000))</f>
        <v/>
      </c>
      <c r="E1213">
        <f>IF(A1213="","",6-CEILING(PERCENTRANK.INC($B$3:$B$6000,B1213,4)*5+0.000001,1))</f>
        <v/>
      </c>
      <c r="F1213">
        <f>IF(A1213="","",MAX(1,CEILING(PERCENTRANK.INC($C$3:$C$6000,C1213,4)*5+0.000001,1)))</f>
        <v/>
      </c>
      <c r="G1213">
        <f>IF(A1213="","",MAX(1,CEILING(PERCENTRANK.INC($D$3:$D$6000,D1213,4)*5+0.000001,1)))</f>
        <v/>
      </c>
      <c r="H1213">
        <f>IF(A1213="","",E1213&amp;F1213&amp;G1213)</f>
        <v/>
      </c>
      <c r="I1213">
        <f>IF(A1213="","",IF(AND(E1213&gt;=4,F1213&gt;=4,G1213&gt;=4),"Juara",IF(AND(F1213&gt;=4,E1213&gt;=3),"Setia",IF(AND(E1213=5,F1213&lt;=2,G1213&gt;=3),"Berpotensi",IF(AND(E1213&lt;=3,E1213&gt;=2,F1213&gt;=3),"Rawan",IF(AND(E1213&lt;=2,F1213&lt;=2),"Tidur","Umum"))))))</f>
        <v/>
      </c>
    </row>
    <row r="1214">
      <c r="B1214">
        <f>IF(A1214="","",$B$1-MAXIFS(Donasi!$A$2:$A$20000,Donasi!$B$2:$B$20000,A1214))</f>
        <v/>
      </c>
      <c r="C1214">
        <f>IF(A1214="","",COUNTIF(Donasi!$B$2:$B$20000,A1214))</f>
        <v/>
      </c>
      <c r="D1214">
        <f>IF(A1214="","",SUMIF(Donasi!$B$2:$B$20000,A1214,Donasi!$C$2:$C$20000))</f>
        <v/>
      </c>
      <c r="E1214">
        <f>IF(A1214="","",6-CEILING(PERCENTRANK.INC($B$3:$B$6000,B1214,4)*5+0.000001,1))</f>
        <v/>
      </c>
      <c r="F1214">
        <f>IF(A1214="","",MAX(1,CEILING(PERCENTRANK.INC($C$3:$C$6000,C1214,4)*5+0.000001,1)))</f>
        <v/>
      </c>
      <c r="G1214">
        <f>IF(A1214="","",MAX(1,CEILING(PERCENTRANK.INC($D$3:$D$6000,D1214,4)*5+0.000001,1)))</f>
        <v/>
      </c>
      <c r="H1214">
        <f>IF(A1214="","",E1214&amp;F1214&amp;G1214)</f>
        <v/>
      </c>
      <c r="I1214">
        <f>IF(A1214="","",IF(AND(E1214&gt;=4,F1214&gt;=4,G1214&gt;=4),"Juara",IF(AND(F1214&gt;=4,E1214&gt;=3),"Setia",IF(AND(E1214=5,F1214&lt;=2,G1214&gt;=3),"Berpotensi",IF(AND(E1214&lt;=3,E1214&gt;=2,F1214&gt;=3),"Rawan",IF(AND(E1214&lt;=2,F1214&lt;=2),"Tidur","Umum"))))))</f>
        <v/>
      </c>
    </row>
    <row r="1215">
      <c r="B1215">
        <f>IF(A1215="","",$B$1-MAXIFS(Donasi!$A$2:$A$20000,Donasi!$B$2:$B$20000,A1215))</f>
        <v/>
      </c>
      <c r="C1215">
        <f>IF(A1215="","",COUNTIF(Donasi!$B$2:$B$20000,A1215))</f>
        <v/>
      </c>
      <c r="D1215">
        <f>IF(A1215="","",SUMIF(Donasi!$B$2:$B$20000,A1215,Donasi!$C$2:$C$20000))</f>
        <v/>
      </c>
      <c r="E1215">
        <f>IF(A1215="","",6-CEILING(PERCENTRANK.INC($B$3:$B$6000,B1215,4)*5+0.000001,1))</f>
        <v/>
      </c>
      <c r="F1215">
        <f>IF(A1215="","",MAX(1,CEILING(PERCENTRANK.INC($C$3:$C$6000,C1215,4)*5+0.000001,1)))</f>
        <v/>
      </c>
      <c r="G1215">
        <f>IF(A1215="","",MAX(1,CEILING(PERCENTRANK.INC($D$3:$D$6000,D1215,4)*5+0.000001,1)))</f>
        <v/>
      </c>
      <c r="H1215">
        <f>IF(A1215="","",E1215&amp;F1215&amp;G1215)</f>
        <v/>
      </c>
      <c r="I1215">
        <f>IF(A1215="","",IF(AND(E1215&gt;=4,F1215&gt;=4,G1215&gt;=4),"Juara",IF(AND(F1215&gt;=4,E1215&gt;=3),"Setia",IF(AND(E1215=5,F1215&lt;=2,G1215&gt;=3),"Berpotensi",IF(AND(E1215&lt;=3,E1215&gt;=2,F1215&gt;=3),"Rawan",IF(AND(E1215&lt;=2,F1215&lt;=2),"Tidur","Umum"))))))</f>
        <v/>
      </c>
    </row>
    <row r="1216">
      <c r="B1216">
        <f>IF(A1216="","",$B$1-MAXIFS(Donasi!$A$2:$A$20000,Donasi!$B$2:$B$20000,A1216))</f>
        <v/>
      </c>
      <c r="C1216">
        <f>IF(A1216="","",COUNTIF(Donasi!$B$2:$B$20000,A1216))</f>
        <v/>
      </c>
      <c r="D1216">
        <f>IF(A1216="","",SUMIF(Donasi!$B$2:$B$20000,A1216,Donasi!$C$2:$C$20000))</f>
        <v/>
      </c>
      <c r="E1216">
        <f>IF(A1216="","",6-CEILING(PERCENTRANK.INC($B$3:$B$6000,B1216,4)*5+0.000001,1))</f>
        <v/>
      </c>
      <c r="F1216">
        <f>IF(A1216="","",MAX(1,CEILING(PERCENTRANK.INC($C$3:$C$6000,C1216,4)*5+0.000001,1)))</f>
        <v/>
      </c>
      <c r="G1216">
        <f>IF(A1216="","",MAX(1,CEILING(PERCENTRANK.INC($D$3:$D$6000,D1216,4)*5+0.000001,1)))</f>
        <v/>
      </c>
      <c r="H1216">
        <f>IF(A1216="","",E1216&amp;F1216&amp;G1216)</f>
        <v/>
      </c>
      <c r="I1216">
        <f>IF(A1216="","",IF(AND(E1216&gt;=4,F1216&gt;=4,G1216&gt;=4),"Juara",IF(AND(F1216&gt;=4,E1216&gt;=3),"Setia",IF(AND(E1216=5,F1216&lt;=2,G1216&gt;=3),"Berpotensi",IF(AND(E1216&lt;=3,E1216&gt;=2,F1216&gt;=3),"Rawan",IF(AND(E1216&lt;=2,F1216&lt;=2),"Tidur","Umum"))))))</f>
        <v/>
      </c>
    </row>
    <row r="1217">
      <c r="B1217">
        <f>IF(A1217="","",$B$1-MAXIFS(Donasi!$A$2:$A$20000,Donasi!$B$2:$B$20000,A1217))</f>
        <v/>
      </c>
      <c r="C1217">
        <f>IF(A1217="","",COUNTIF(Donasi!$B$2:$B$20000,A1217))</f>
        <v/>
      </c>
      <c r="D1217">
        <f>IF(A1217="","",SUMIF(Donasi!$B$2:$B$20000,A1217,Donasi!$C$2:$C$20000))</f>
        <v/>
      </c>
      <c r="E1217">
        <f>IF(A1217="","",6-CEILING(PERCENTRANK.INC($B$3:$B$6000,B1217,4)*5+0.000001,1))</f>
        <v/>
      </c>
      <c r="F1217">
        <f>IF(A1217="","",MAX(1,CEILING(PERCENTRANK.INC($C$3:$C$6000,C1217,4)*5+0.000001,1)))</f>
        <v/>
      </c>
      <c r="G1217">
        <f>IF(A1217="","",MAX(1,CEILING(PERCENTRANK.INC($D$3:$D$6000,D1217,4)*5+0.000001,1)))</f>
        <v/>
      </c>
      <c r="H1217">
        <f>IF(A1217="","",E1217&amp;F1217&amp;G1217)</f>
        <v/>
      </c>
      <c r="I1217">
        <f>IF(A1217="","",IF(AND(E1217&gt;=4,F1217&gt;=4,G1217&gt;=4),"Juara",IF(AND(F1217&gt;=4,E1217&gt;=3),"Setia",IF(AND(E1217=5,F1217&lt;=2,G1217&gt;=3),"Berpotensi",IF(AND(E1217&lt;=3,E1217&gt;=2,F1217&gt;=3),"Rawan",IF(AND(E1217&lt;=2,F1217&lt;=2),"Tidur","Umum"))))))</f>
        <v/>
      </c>
    </row>
    <row r="1218">
      <c r="B1218">
        <f>IF(A1218="","",$B$1-MAXIFS(Donasi!$A$2:$A$20000,Donasi!$B$2:$B$20000,A1218))</f>
        <v/>
      </c>
      <c r="C1218">
        <f>IF(A1218="","",COUNTIF(Donasi!$B$2:$B$20000,A1218))</f>
        <v/>
      </c>
      <c r="D1218">
        <f>IF(A1218="","",SUMIF(Donasi!$B$2:$B$20000,A1218,Donasi!$C$2:$C$20000))</f>
        <v/>
      </c>
      <c r="E1218">
        <f>IF(A1218="","",6-CEILING(PERCENTRANK.INC($B$3:$B$6000,B1218,4)*5+0.000001,1))</f>
        <v/>
      </c>
      <c r="F1218">
        <f>IF(A1218="","",MAX(1,CEILING(PERCENTRANK.INC($C$3:$C$6000,C1218,4)*5+0.000001,1)))</f>
        <v/>
      </c>
      <c r="G1218">
        <f>IF(A1218="","",MAX(1,CEILING(PERCENTRANK.INC($D$3:$D$6000,D1218,4)*5+0.000001,1)))</f>
        <v/>
      </c>
      <c r="H1218">
        <f>IF(A1218="","",E1218&amp;F1218&amp;G1218)</f>
        <v/>
      </c>
      <c r="I1218">
        <f>IF(A1218="","",IF(AND(E1218&gt;=4,F1218&gt;=4,G1218&gt;=4),"Juara",IF(AND(F1218&gt;=4,E1218&gt;=3),"Setia",IF(AND(E1218=5,F1218&lt;=2,G1218&gt;=3),"Berpotensi",IF(AND(E1218&lt;=3,E1218&gt;=2,F1218&gt;=3),"Rawan",IF(AND(E1218&lt;=2,F1218&lt;=2),"Tidur","Umum"))))))</f>
        <v/>
      </c>
    </row>
    <row r="1219">
      <c r="B1219">
        <f>IF(A1219="","",$B$1-MAXIFS(Donasi!$A$2:$A$20000,Donasi!$B$2:$B$20000,A1219))</f>
        <v/>
      </c>
      <c r="C1219">
        <f>IF(A1219="","",COUNTIF(Donasi!$B$2:$B$20000,A1219))</f>
        <v/>
      </c>
      <c r="D1219">
        <f>IF(A1219="","",SUMIF(Donasi!$B$2:$B$20000,A1219,Donasi!$C$2:$C$20000))</f>
        <v/>
      </c>
      <c r="E1219">
        <f>IF(A1219="","",6-CEILING(PERCENTRANK.INC($B$3:$B$6000,B1219,4)*5+0.000001,1))</f>
        <v/>
      </c>
      <c r="F1219">
        <f>IF(A1219="","",MAX(1,CEILING(PERCENTRANK.INC($C$3:$C$6000,C1219,4)*5+0.000001,1)))</f>
        <v/>
      </c>
      <c r="G1219">
        <f>IF(A1219="","",MAX(1,CEILING(PERCENTRANK.INC($D$3:$D$6000,D1219,4)*5+0.000001,1)))</f>
        <v/>
      </c>
      <c r="H1219">
        <f>IF(A1219="","",E1219&amp;F1219&amp;G1219)</f>
        <v/>
      </c>
      <c r="I1219">
        <f>IF(A1219="","",IF(AND(E1219&gt;=4,F1219&gt;=4,G1219&gt;=4),"Juara",IF(AND(F1219&gt;=4,E1219&gt;=3),"Setia",IF(AND(E1219=5,F1219&lt;=2,G1219&gt;=3),"Berpotensi",IF(AND(E1219&lt;=3,E1219&gt;=2,F1219&gt;=3),"Rawan",IF(AND(E1219&lt;=2,F1219&lt;=2),"Tidur","Umum"))))))</f>
        <v/>
      </c>
    </row>
    <row r="1220">
      <c r="B1220">
        <f>IF(A1220="","",$B$1-MAXIFS(Donasi!$A$2:$A$20000,Donasi!$B$2:$B$20000,A1220))</f>
        <v/>
      </c>
      <c r="C1220">
        <f>IF(A1220="","",COUNTIF(Donasi!$B$2:$B$20000,A1220))</f>
        <v/>
      </c>
      <c r="D1220">
        <f>IF(A1220="","",SUMIF(Donasi!$B$2:$B$20000,A1220,Donasi!$C$2:$C$20000))</f>
        <v/>
      </c>
      <c r="E1220">
        <f>IF(A1220="","",6-CEILING(PERCENTRANK.INC($B$3:$B$6000,B1220,4)*5+0.000001,1))</f>
        <v/>
      </c>
      <c r="F1220">
        <f>IF(A1220="","",MAX(1,CEILING(PERCENTRANK.INC($C$3:$C$6000,C1220,4)*5+0.000001,1)))</f>
        <v/>
      </c>
      <c r="G1220">
        <f>IF(A1220="","",MAX(1,CEILING(PERCENTRANK.INC($D$3:$D$6000,D1220,4)*5+0.000001,1)))</f>
        <v/>
      </c>
      <c r="H1220">
        <f>IF(A1220="","",E1220&amp;F1220&amp;G1220)</f>
        <v/>
      </c>
      <c r="I1220">
        <f>IF(A1220="","",IF(AND(E1220&gt;=4,F1220&gt;=4,G1220&gt;=4),"Juara",IF(AND(F1220&gt;=4,E1220&gt;=3),"Setia",IF(AND(E1220=5,F1220&lt;=2,G1220&gt;=3),"Berpotensi",IF(AND(E1220&lt;=3,E1220&gt;=2,F1220&gt;=3),"Rawan",IF(AND(E1220&lt;=2,F1220&lt;=2),"Tidur","Umum"))))))</f>
        <v/>
      </c>
    </row>
    <row r="1221">
      <c r="B1221">
        <f>IF(A1221="","",$B$1-MAXIFS(Donasi!$A$2:$A$20000,Donasi!$B$2:$B$20000,A1221))</f>
        <v/>
      </c>
      <c r="C1221">
        <f>IF(A1221="","",COUNTIF(Donasi!$B$2:$B$20000,A1221))</f>
        <v/>
      </c>
      <c r="D1221">
        <f>IF(A1221="","",SUMIF(Donasi!$B$2:$B$20000,A1221,Donasi!$C$2:$C$20000))</f>
        <v/>
      </c>
      <c r="E1221">
        <f>IF(A1221="","",6-CEILING(PERCENTRANK.INC($B$3:$B$6000,B1221,4)*5+0.000001,1))</f>
        <v/>
      </c>
      <c r="F1221">
        <f>IF(A1221="","",MAX(1,CEILING(PERCENTRANK.INC($C$3:$C$6000,C1221,4)*5+0.000001,1)))</f>
        <v/>
      </c>
      <c r="G1221">
        <f>IF(A1221="","",MAX(1,CEILING(PERCENTRANK.INC($D$3:$D$6000,D1221,4)*5+0.000001,1)))</f>
        <v/>
      </c>
      <c r="H1221">
        <f>IF(A1221="","",E1221&amp;F1221&amp;G1221)</f>
        <v/>
      </c>
      <c r="I1221">
        <f>IF(A1221="","",IF(AND(E1221&gt;=4,F1221&gt;=4,G1221&gt;=4),"Juara",IF(AND(F1221&gt;=4,E1221&gt;=3),"Setia",IF(AND(E1221=5,F1221&lt;=2,G1221&gt;=3),"Berpotensi",IF(AND(E1221&lt;=3,E1221&gt;=2,F1221&gt;=3),"Rawan",IF(AND(E1221&lt;=2,F1221&lt;=2),"Tidur","Umum"))))))</f>
        <v/>
      </c>
    </row>
    <row r="1222">
      <c r="B1222">
        <f>IF(A1222="","",$B$1-MAXIFS(Donasi!$A$2:$A$20000,Donasi!$B$2:$B$20000,A1222))</f>
        <v/>
      </c>
      <c r="C1222">
        <f>IF(A1222="","",COUNTIF(Donasi!$B$2:$B$20000,A1222))</f>
        <v/>
      </c>
      <c r="D1222">
        <f>IF(A1222="","",SUMIF(Donasi!$B$2:$B$20000,A1222,Donasi!$C$2:$C$20000))</f>
        <v/>
      </c>
      <c r="E1222">
        <f>IF(A1222="","",6-CEILING(PERCENTRANK.INC($B$3:$B$6000,B1222,4)*5+0.000001,1))</f>
        <v/>
      </c>
      <c r="F1222">
        <f>IF(A1222="","",MAX(1,CEILING(PERCENTRANK.INC($C$3:$C$6000,C1222,4)*5+0.000001,1)))</f>
        <v/>
      </c>
      <c r="G1222">
        <f>IF(A1222="","",MAX(1,CEILING(PERCENTRANK.INC($D$3:$D$6000,D1222,4)*5+0.000001,1)))</f>
        <v/>
      </c>
      <c r="H1222">
        <f>IF(A1222="","",E1222&amp;F1222&amp;G1222)</f>
        <v/>
      </c>
      <c r="I1222">
        <f>IF(A1222="","",IF(AND(E1222&gt;=4,F1222&gt;=4,G1222&gt;=4),"Juara",IF(AND(F1222&gt;=4,E1222&gt;=3),"Setia",IF(AND(E1222=5,F1222&lt;=2,G1222&gt;=3),"Berpotensi",IF(AND(E1222&lt;=3,E1222&gt;=2,F1222&gt;=3),"Rawan",IF(AND(E1222&lt;=2,F1222&lt;=2),"Tidur","Umum"))))))</f>
        <v/>
      </c>
    </row>
    <row r="1223">
      <c r="B1223">
        <f>IF(A1223="","",$B$1-MAXIFS(Donasi!$A$2:$A$20000,Donasi!$B$2:$B$20000,A1223))</f>
        <v/>
      </c>
      <c r="C1223">
        <f>IF(A1223="","",COUNTIF(Donasi!$B$2:$B$20000,A1223))</f>
        <v/>
      </c>
      <c r="D1223">
        <f>IF(A1223="","",SUMIF(Donasi!$B$2:$B$20000,A1223,Donasi!$C$2:$C$20000))</f>
        <v/>
      </c>
      <c r="E1223">
        <f>IF(A1223="","",6-CEILING(PERCENTRANK.INC($B$3:$B$6000,B1223,4)*5+0.000001,1))</f>
        <v/>
      </c>
      <c r="F1223">
        <f>IF(A1223="","",MAX(1,CEILING(PERCENTRANK.INC($C$3:$C$6000,C1223,4)*5+0.000001,1)))</f>
        <v/>
      </c>
      <c r="G1223">
        <f>IF(A1223="","",MAX(1,CEILING(PERCENTRANK.INC($D$3:$D$6000,D1223,4)*5+0.000001,1)))</f>
        <v/>
      </c>
      <c r="H1223">
        <f>IF(A1223="","",E1223&amp;F1223&amp;G1223)</f>
        <v/>
      </c>
      <c r="I1223">
        <f>IF(A1223="","",IF(AND(E1223&gt;=4,F1223&gt;=4,G1223&gt;=4),"Juara",IF(AND(F1223&gt;=4,E1223&gt;=3),"Setia",IF(AND(E1223=5,F1223&lt;=2,G1223&gt;=3),"Berpotensi",IF(AND(E1223&lt;=3,E1223&gt;=2,F1223&gt;=3),"Rawan",IF(AND(E1223&lt;=2,F1223&lt;=2),"Tidur","Umum"))))))</f>
        <v/>
      </c>
    </row>
    <row r="1224">
      <c r="B1224">
        <f>IF(A1224="","",$B$1-MAXIFS(Donasi!$A$2:$A$20000,Donasi!$B$2:$B$20000,A1224))</f>
        <v/>
      </c>
      <c r="C1224">
        <f>IF(A1224="","",COUNTIF(Donasi!$B$2:$B$20000,A1224))</f>
        <v/>
      </c>
      <c r="D1224">
        <f>IF(A1224="","",SUMIF(Donasi!$B$2:$B$20000,A1224,Donasi!$C$2:$C$20000))</f>
        <v/>
      </c>
      <c r="E1224">
        <f>IF(A1224="","",6-CEILING(PERCENTRANK.INC($B$3:$B$6000,B1224,4)*5+0.000001,1))</f>
        <v/>
      </c>
      <c r="F1224">
        <f>IF(A1224="","",MAX(1,CEILING(PERCENTRANK.INC($C$3:$C$6000,C1224,4)*5+0.000001,1)))</f>
        <v/>
      </c>
      <c r="G1224">
        <f>IF(A1224="","",MAX(1,CEILING(PERCENTRANK.INC($D$3:$D$6000,D1224,4)*5+0.000001,1)))</f>
        <v/>
      </c>
      <c r="H1224">
        <f>IF(A1224="","",E1224&amp;F1224&amp;G1224)</f>
        <v/>
      </c>
      <c r="I1224">
        <f>IF(A1224="","",IF(AND(E1224&gt;=4,F1224&gt;=4,G1224&gt;=4),"Juara",IF(AND(F1224&gt;=4,E1224&gt;=3),"Setia",IF(AND(E1224=5,F1224&lt;=2,G1224&gt;=3),"Berpotensi",IF(AND(E1224&lt;=3,E1224&gt;=2,F1224&gt;=3),"Rawan",IF(AND(E1224&lt;=2,F1224&lt;=2),"Tidur","Umum"))))))</f>
        <v/>
      </c>
    </row>
    <row r="1225">
      <c r="B1225">
        <f>IF(A1225="","",$B$1-MAXIFS(Donasi!$A$2:$A$20000,Donasi!$B$2:$B$20000,A1225))</f>
        <v/>
      </c>
      <c r="C1225">
        <f>IF(A1225="","",COUNTIF(Donasi!$B$2:$B$20000,A1225))</f>
        <v/>
      </c>
      <c r="D1225">
        <f>IF(A1225="","",SUMIF(Donasi!$B$2:$B$20000,A1225,Donasi!$C$2:$C$20000))</f>
        <v/>
      </c>
      <c r="E1225">
        <f>IF(A1225="","",6-CEILING(PERCENTRANK.INC($B$3:$B$6000,B1225,4)*5+0.000001,1))</f>
        <v/>
      </c>
      <c r="F1225">
        <f>IF(A1225="","",MAX(1,CEILING(PERCENTRANK.INC($C$3:$C$6000,C1225,4)*5+0.000001,1)))</f>
        <v/>
      </c>
      <c r="G1225">
        <f>IF(A1225="","",MAX(1,CEILING(PERCENTRANK.INC($D$3:$D$6000,D1225,4)*5+0.000001,1)))</f>
        <v/>
      </c>
      <c r="H1225">
        <f>IF(A1225="","",E1225&amp;F1225&amp;G1225)</f>
        <v/>
      </c>
      <c r="I1225">
        <f>IF(A1225="","",IF(AND(E1225&gt;=4,F1225&gt;=4,G1225&gt;=4),"Juara",IF(AND(F1225&gt;=4,E1225&gt;=3),"Setia",IF(AND(E1225=5,F1225&lt;=2,G1225&gt;=3),"Berpotensi",IF(AND(E1225&lt;=3,E1225&gt;=2,F1225&gt;=3),"Rawan",IF(AND(E1225&lt;=2,F1225&lt;=2),"Tidur","Umum"))))))</f>
        <v/>
      </c>
    </row>
    <row r="1226">
      <c r="B1226">
        <f>IF(A1226="","",$B$1-MAXIFS(Donasi!$A$2:$A$20000,Donasi!$B$2:$B$20000,A1226))</f>
        <v/>
      </c>
      <c r="C1226">
        <f>IF(A1226="","",COUNTIF(Donasi!$B$2:$B$20000,A1226))</f>
        <v/>
      </c>
      <c r="D1226">
        <f>IF(A1226="","",SUMIF(Donasi!$B$2:$B$20000,A1226,Donasi!$C$2:$C$20000))</f>
        <v/>
      </c>
      <c r="E1226">
        <f>IF(A1226="","",6-CEILING(PERCENTRANK.INC($B$3:$B$6000,B1226,4)*5+0.000001,1))</f>
        <v/>
      </c>
      <c r="F1226">
        <f>IF(A1226="","",MAX(1,CEILING(PERCENTRANK.INC($C$3:$C$6000,C1226,4)*5+0.000001,1)))</f>
        <v/>
      </c>
      <c r="G1226">
        <f>IF(A1226="","",MAX(1,CEILING(PERCENTRANK.INC($D$3:$D$6000,D1226,4)*5+0.000001,1)))</f>
        <v/>
      </c>
      <c r="H1226">
        <f>IF(A1226="","",E1226&amp;F1226&amp;G1226)</f>
        <v/>
      </c>
      <c r="I1226">
        <f>IF(A1226="","",IF(AND(E1226&gt;=4,F1226&gt;=4,G1226&gt;=4),"Juara",IF(AND(F1226&gt;=4,E1226&gt;=3),"Setia",IF(AND(E1226=5,F1226&lt;=2,G1226&gt;=3),"Berpotensi",IF(AND(E1226&lt;=3,E1226&gt;=2,F1226&gt;=3),"Rawan",IF(AND(E1226&lt;=2,F1226&lt;=2),"Tidur","Umum"))))))</f>
        <v/>
      </c>
    </row>
    <row r="1227">
      <c r="B1227">
        <f>IF(A1227="","",$B$1-MAXIFS(Donasi!$A$2:$A$20000,Donasi!$B$2:$B$20000,A1227))</f>
        <v/>
      </c>
      <c r="C1227">
        <f>IF(A1227="","",COUNTIF(Donasi!$B$2:$B$20000,A1227))</f>
        <v/>
      </c>
      <c r="D1227">
        <f>IF(A1227="","",SUMIF(Donasi!$B$2:$B$20000,A1227,Donasi!$C$2:$C$20000))</f>
        <v/>
      </c>
      <c r="E1227">
        <f>IF(A1227="","",6-CEILING(PERCENTRANK.INC($B$3:$B$6000,B1227,4)*5+0.000001,1))</f>
        <v/>
      </c>
      <c r="F1227">
        <f>IF(A1227="","",MAX(1,CEILING(PERCENTRANK.INC($C$3:$C$6000,C1227,4)*5+0.000001,1)))</f>
        <v/>
      </c>
      <c r="G1227">
        <f>IF(A1227="","",MAX(1,CEILING(PERCENTRANK.INC($D$3:$D$6000,D1227,4)*5+0.000001,1)))</f>
        <v/>
      </c>
      <c r="H1227">
        <f>IF(A1227="","",E1227&amp;F1227&amp;G1227)</f>
        <v/>
      </c>
      <c r="I1227">
        <f>IF(A1227="","",IF(AND(E1227&gt;=4,F1227&gt;=4,G1227&gt;=4),"Juara",IF(AND(F1227&gt;=4,E1227&gt;=3),"Setia",IF(AND(E1227=5,F1227&lt;=2,G1227&gt;=3),"Berpotensi",IF(AND(E1227&lt;=3,E1227&gt;=2,F1227&gt;=3),"Rawan",IF(AND(E1227&lt;=2,F1227&lt;=2),"Tidur","Umum"))))))</f>
        <v/>
      </c>
    </row>
    <row r="1228">
      <c r="B1228">
        <f>IF(A1228="","",$B$1-MAXIFS(Donasi!$A$2:$A$20000,Donasi!$B$2:$B$20000,A1228))</f>
        <v/>
      </c>
      <c r="C1228">
        <f>IF(A1228="","",COUNTIF(Donasi!$B$2:$B$20000,A1228))</f>
        <v/>
      </c>
      <c r="D1228">
        <f>IF(A1228="","",SUMIF(Donasi!$B$2:$B$20000,A1228,Donasi!$C$2:$C$20000))</f>
        <v/>
      </c>
      <c r="E1228">
        <f>IF(A1228="","",6-CEILING(PERCENTRANK.INC($B$3:$B$6000,B1228,4)*5+0.000001,1))</f>
        <v/>
      </c>
      <c r="F1228">
        <f>IF(A1228="","",MAX(1,CEILING(PERCENTRANK.INC($C$3:$C$6000,C1228,4)*5+0.000001,1)))</f>
        <v/>
      </c>
      <c r="G1228">
        <f>IF(A1228="","",MAX(1,CEILING(PERCENTRANK.INC($D$3:$D$6000,D1228,4)*5+0.000001,1)))</f>
        <v/>
      </c>
      <c r="H1228">
        <f>IF(A1228="","",E1228&amp;F1228&amp;G1228)</f>
        <v/>
      </c>
      <c r="I1228">
        <f>IF(A1228="","",IF(AND(E1228&gt;=4,F1228&gt;=4,G1228&gt;=4),"Juara",IF(AND(F1228&gt;=4,E1228&gt;=3),"Setia",IF(AND(E1228=5,F1228&lt;=2,G1228&gt;=3),"Berpotensi",IF(AND(E1228&lt;=3,E1228&gt;=2,F1228&gt;=3),"Rawan",IF(AND(E1228&lt;=2,F1228&lt;=2),"Tidur","Umum"))))))</f>
        <v/>
      </c>
    </row>
    <row r="1229">
      <c r="B1229">
        <f>IF(A1229="","",$B$1-MAXIFS(Donasi!$A$2:$A$20000,Donasi!$B$2:$B$20000,A1229))</f>
        <v/>
      </c>
      <c r="C1229">
        <f>IF(A1229="","",COUNTIF(Donasi!$B$2:$B$20000,A1229))</f>
        <v/>
      </c>
      <c r="D1229">
        <f>IF(A1229="","",SUMIF(Donasi!$B$2:$B$20000,A1229,Donasi!$C$2:$C$20000))</f>
        <v/>
      </c>
      <c r="E1229">
        <f>IF(A1229="","",6-CEILING(PERCENTRANK.INC($B$3:$B$6000,B1229,4)*5+0.000001,1))</f>
        <v/>
      </c>
      <c r="F1229">
        <f>IF(A1229="","",MAX(1,CEILING(PERCENTRANK.INC($C$3:$C$6000,C1229,4)*5+0.000001,1)))</f>
        <v/>
      </c>
      <c r="G1229">
        <f>IF(A1229="","",MAX(1,CEILING(PERCENTRANK.INC($D$3:$D$6000,D1229,4)*5+0.000001,1)))</f>
        <v/>
      </c>
      <c r="H1229">
        <f>IF(A1229="","",E1229&amp;F1229&amp;G1229)</f>
        <v/>
      </c>
      <c r="I1229">
        <f>IF(A1229="","",IF(AND(E1229&gt;=4,F1229&gt;=4,G1229&gt;=4),"Juara",IF(AND(F1229&gt;=4,E1229&gt;=3),"Setia",IF(AND(E1229=5,F1229&lt;=2,G1229&gt;=3),"Berpotensi",IF(AND(E1229&lt;=3,E1229&gt;=2,F1229&gt;=3),"Rawan",IF(AND(E1229&lt;=2,F1229&lt;=2),"Tidur","Umum"))))))</f>
        <v/>
      </c>
    </row>
    <row r="1230">
      <c r="B1230">
        <f>IF(A1230="","",$B$1-MAXIFS(Donasi!$A$2:$A$20000,Donasi!$B$2:$B$20000,A1230))</f>
        <v/>
      </c>
      <c r="C1230">
        <f>IF(A1230="","",COUNTIF(Donasi!$B$2:$B$20000,A1230))</f>
        <v/>
      </c>
      <c r="D1230">
        <f>IF(A1230="","",SUMIF(Donasi!$B$2:$B$20000,A1230,Donasi!$C$2:$C$20000))</f>
        <v/>
      </c>
      <c r="E1230">
        <f>IF(A1230="","",6-CEILING(PERCENTRANK.INC($B$3:$B$6000,B1230,4)*5+0.000001,1))</f>
        <v/>
      </c>
      <c r="F1230">
        <f>IF(A1230="","",MAX(1,CEILING(PERCENTRANK.INC($C$3:$C$6000,C1230,4)*5+0.000001,1)))</f>
        <v/>
      </c>
      <c r="G1230">
        <f>IF(A1230="","",MAX(1,CEILING(PERCENTRANK.INC($D$3:$D$6000,D1230,4)*5+0.000001,1)))</f>
        <v/>
      </c>
      <c r="H1230">
        <f>IF(A1230="","",E1230&amp;F1230&amp;G1230)</f>
        <v/>
      </c>
      <c r="I1230">
        <f>IF(A1230="","",IF(AND(E1230&gt;=4,F1230&gt;=4,G1230&gt;=4),"Juara",IF(AND(F1230&gt;=4,E1230&gt;=3),"Setia",IF(AND(E1230=5,F1230&lt;=2,G1230&gt;=3),"Berpotensi",IF(AND(E1230&lt;=3,E1230&gt;=2,F1230&gt;=3),"Rawan",IF(AND(E1230&lt;=2,F1230&lt;=2),"Tidur","Umum"))))))</f>
        <v/>
      </c>
    </row>
    <row r="1231">
      <c r="B1231">
        <f>IF(A1231="","",$B$1-MAXIFS(Donasi!$A$2:$A$20000,Donasi!$B$2:$B$20000,A1231))</f>
        <v/>
      </c>
      <c r="C1231">
        <f>IF(A1231="","",COUNTIF(Donasi!$B$2:$B$20000,A1231))</f>
        <v/>
      </c>
      <c r="D1231">
        <f>IF(A1231="","",SUMIF(Donasi!$B$2:$B$20000,A1231,Donasi!$C$2:$C$20000))</f>
        <v/>
      </c>
      <c r="E1231">
        <f>IF(A1231="","",6-CEILING(PERCENTRANK.INC($B$3:$B$6000,B1231,4)*5+0.000001,1))</f>
        <v/>
      </c>
      <c r="F1231">
        <f>IF(A1231="","",MAX(1,CEILING(PERCENTRANK.INC($C$3:$C$6000,C1231,4)*5+0.000001,1)))</f>
        <v/>
      </c>
      <c r="G1231">
        <f>IF(A1231="","",MAX(1,CEILING(PERCENTRANK.INC($D$3:$D$6000,D1231,4)*5+0.000001,1)))</f>
        <v/>
      </c>
      <c r="H1231">
        <f>IF(A1231="","",E1231&amp;F1231&amp;G1231)</f>
        <v/>
      </c>
      <c r="I1231">
        <f>IF(A1231="","",IF(AND(E1231&gt;=4,F1231&gt;=4,G1231&gt;=4),"Juara",IF(AND(F1231&gt;=4,E1231&gt;=3),"Setia",IF(AND(E1231=5,F1231&lt;=2,G1231&gt;=3),"Berpotensi",IF(AND(E1231&lt;=3,E1231&gt;=2,F1231&gt;=3),"Rawan",IF(AND(E1231&lt;=2,F1231&lt;=2),"Tidur","Umum"))))))</f>
        <v/>
      </c>
    </row>
    <row r="1232">
      <c r="B1232">
        <f>IF(A1232="","",$B$1-MAXIFS(Donasi!$A$2:$A$20000,Donasi!$B$2:$B$20000,A1232))</f>
        <v/>
      </c>
      <c r="C1232">
        <f>IF(A1232="","",COUNTIF(Donasi!$B$2:$B$20000,A1232))</f>
        <v/>
      </c>
      <c r="D1232">
        <f>IF(A1232="","",SUMIF(Donasi!$B$2:$B$20000,A1232,Donasi!$C$2:$C$20000))</f>
        <v/>
      </c>
      <c r="E1232">
        <f>IF(A1232="","",6-CEILING(PERCENTRANK.INC($B$3:$B$6000,B1232,4)*5+0.000001,1))</f>
        <v/>
      </c>
      <c r="F1232">
        <f>IF(A1232="","",MAX(1,CEILING(PERCENTRANK.INC($C$3:$C$6000,C1232,4)*5+0.000001,1)))</f>
        <v/>
      </c>
      <c r="G1232">
        <f>IF(A1232="","",MAX(1,CEILING(PERCENTRANK.INC($D$3:$D$6000,D1232,4)*5+0.000001,1)))</f>
        <v/>
      </c>
      <c r="H1232">
        <f>IF(A1232="","",E1232&amp;F1232&amp;G1232)</f>
        <v/>
      </c>
      <c r="I1232">
        <f>IF(A1232="","",IF(AND(E1232&gt;=4,F1232&gt;=4,G1232&gt;=4),"Juara",IF(AND(F1232&gt;=4,E1232&gt;=3),"Setia",IF(AND(E1232=5,F1232&lt;=2,G1232&gt;=3),"Berpotensi",IF(AND(E1232&lt;=3,E1232&gt;=2,F1232&gt;=3),"Rawan",IF(AND(E1232&lt;=2,F1232&lt;=2),"Tidur","Umum"))))))</f>
        <v/>
      </c>
    </row>
    <row r="1233">
      <c r="B1233">
        <f>IF(A1233="","",$B$1-MAXIFS(Donasi!$A$2:$A$20000,Donasi!$B$2:$B$20000,A1233))</f>
        <v/>
      </c>
      <c r="C1233">
        <f>IF(A1233="","",COUNTIF(Donasi!$B$2:$B$20000,A1233))</f>
        <v/>
      </c>
      <c r="D1233">
        <f>IF(A1233="","",SUMIF(Donasi!$B$2:$B$20000,A1233,Donasi!$C$2:$C$20000))</f>
        <v/>
      </c>
      <c r="E1233">
        <f>IF(A1233="","",6-CEILING(PERCENTRANK.INC($B$3:$B$6000,B1233,4)*5+0.000001,1))</f>
        <v/>
      </c>
      <c r="F1233">
        <f>IF(A1233="","",MAX(1,CEILING(PERCENTRANK.INC($C$3:$C$6000,C1233,4)*5+0.000001,1)))</f>
        <v/>
      </c>
      <c r="G1233">
        <f>IF(A1233="","",MAX(1,CEILING(PERCENTRANK.INC($D$3:$D$6000,D1233,4)*5+0.000001,1)))</f>
        <v/>
      </c>
      <c r="H1233">
        <f>IF(A1233="","",E1233&amp;F1233&amp;G1233)</f>
        <v/>
      </c>
      <c r="I1233">
        <f>IF(A1233="","",IF(AND(E1233&gt;=4,F1233&gt;=4,G1233&gt;=4),"Juara",IF(AND(F1233&gt;=4,E1233&gt;=3),"Setia",IF(AND(E1233=5,F1233&lt;=2,G1233&gt;=3),"Berpotensi",IF(AND(E1233&lt;=3,E1233&gt;=2,F1233&gt;=3),"Rawan",IF(AND(E1233&lt;=2,F1233&lt;=2),"Tidur","Umum"))))))</f>
        <v/>
      </c>
    </row>
    <row r="1234">
      <c r="B1234">
        <f>IF(A1234="","",$B$1-MAXIFS(Donasi!$A$2:$A$20000,Donasi!$B$2:$B$20000,A1234))</f>
        <v/>
      </c>
      <c r="C1234">
        <f>IF(A1234="","",COUNTIF(Donasi!$B$2:$B$20000,A1234))</f>
        <v/>
      </c>
      <c r="D1234">
        <f>IF(A1234="","",SUMIF(Donasi!$B$2:$B$20000,A1234,Donasi!$C$2:$C$20000))</f>
        <v/>
      </c>
      <c r="E1234">
        <f>IF(A1234="","",6-CEILING(PERCENTRANK.INC($B$3:$B$6000,B1234,4)*5+0.000001,1))</f>
        <v/>
      </c>
      <c r="F1234">
        <f>IF(A1234="","",MAX(1,CEILING(PERCENTRANK.INC($C$3:$C$6000,C1234,4)*5+0.000001,1)))</f>
        <v/>
      </c>
      <c r="G1234">
        <f>IF(A1234="","",MAX(1,CEILING(PERCENTRANK.INC($D$3:$D$6000,D1234,4)*5+0.000001,1)))</f>
        <v/>
      </c>
      <c r="H1234">
        <f>IF(A1234="","",E1234&amp;F1234&amp;G1234)</f>
        <v/>
      </c>
      <c r="I1234">
        <f>IF(A1234="","",IF(AND(E1234&gt;=4,F1234&gt;=4,G1234&gt;=4),"Juara",IF(AND(F1234&gt;=4,E1234&gt;=3),"Setia",IF(AND(E1234=5,F1234&lt;=2,G1234&gt;=3),"Berpotensi",IF(AND(E1234&lt;=3,E1234&gt;=2,F1234&gt;=3),"Rawan",IF(AND(E1234&lt;=2,F1234&lt;=2),"Tidur","Umum"))))))</f>
        <v/>
      </c>
    </row>
    <row r="1235">
      <c r="B1235">
        <f>IF(A1235="","",$B$1-MAXIFS(Donasi!$A$2:$A$20000,Donasi!$B$2:$B$20000,A1235))</f>
        <v/>
      </c>
      <c r="C1235">
        <f>IF(A1235="","",COUNTIF(Donasi!$B$2:$B$20000,A1235))</f>
        <v/>
      </c>
      <c r="D1235">
        <f>IF(A1235="","",SUMIF(Donasi!$B$2:$B$20000,A1235,Donasi!$C$2:$C$20000))</f>
        <v/>
      </c>
      <c r="E1235">
        <f>IF(A1235="","",6-CEILING(PERCENTRANK.INC($B$3:$B$6000,B1235,4)*5+0.000001,1))</f>
        <v/>
      </c>
      <c r="F1235">
        <f>IF(A1235="","",MAX(1,CEILING(PERCENTRANK.INC($C$3:$C$6000,C1235,4)*5+0.000001,1)))</f>
        <v/>
      </c>
      <c r="G1235">
        <f>IF(A1235="","",MAX(1,CEILING(PERCENTRANK.INC($D$3:$D$6000,D1235,4)*5+0.000001,1)))</f>
        <v/>
      </c>
      <c r="H1235">
        <f>IF(A1235="","",E1235&amp;F1235&amp;G1235)</f>
        <v/>
      </c>
      <c r="I1235">
        <f>IF(A1235="","",IF(AND(E1235&gt;=4,F1235&gt;=4,G1235&gt;=4),"Juara",IF(AND(F1235&gt;=4,E1235&gt;=3),"Setia",IF(AND(E1235=5,F1235&lt;=2,G1235&gt;=3),"Berpotensi",IF(AND(E1235&lt;=3,E1235&gt;=2,F1235&gt;=3),"Rawan",IF(AND(E1235&lt;=2,F1235&lt;=2),"Tidur","Umum"))))))</f>
        <v/>
      </c>
    </row>
    <row r="1236">
      <c r="B1236">
        <f>IF(A1236="","",$B$1-MAXIFS(Donasi!$A$2:$A$20000,Donasi!$B$2:$B$20000,A1236))</f>
        <v/>
      </c>
      <c r="C1236">
        <f>IF(A1236="","",COUNTIF(Donasi!$B$2:$B$20000,A1236))</f>
        <v/>
      </c>
      <c r="D1236">
        <f>IF(A1236="","",SUMIF(Donasi!$B$2:$B$20000,A1236,Donasi!$C$2:$C$20000))</f>
        <v/>
      </c>
      <c r="E1236">
        <f>IF(A1236="","",6-CEILING(PERCENTRANK.INC($B$3:$B$6000,B1236,4)*5+0.000001,1))</f>
        <v/>
      </c>
      <c r="F1236">
        <f>IF(A1236="","",MAX(1,CEILING(PERCENTRANK.INC($C$3:$C$6000,C1236,4)*5+0.000001,1)))</f>
        <v/>
      </c>
      <c r="G1236">
        <f>IF(A1236="","",MAX(1,CEILING(PERCENTRANK.INC($D$3:$D$6000,D1236,4)*5+0.000001,1)))</f>
        <v/>
      </c>
      <c r="H1236">
        <f>IF(A1236="","",E1236&amp;F1236&amp;G1236)</f>
        <v/>
      </c>
      <c r="I1236">
        <f>IF(A1236="","",IF(AND(E1236&gt;=4,F1236&gt;=4,G1236&gt;=4),"Juara",IF(AND(F1236&gt;=4,E1236&gt;=3),"Setia",IF(AND(E1236=5,F1236&lt;=2,G1236&gt;=3),"Berpotensi",IF(AND(E1236&lt;=3,E1236&gt;=2,F1236&gt;=3),"Rawan",IF(AND(E1236&lt;=2,F1236&lt;=2),"Tidur","Umum"))))))</f>
        <v/>
      </c>
    </row>
    <row r="1237">
      <c r="B1237">
        <f>IF(A1237="","",$B$1-MAXIFS(Donasi!$A$2:$A$20000,Donasi!$B$2:$B$20000,A1237))</f>
        <v/>
      </c>
      <c r="C1237">
        <f>IF(A1237="","",COUNTIF(Donasi!$B$2:$B$20000,A1237))</f>
        <v/>
      </c>
      <c r="D1237">
        <f>IF(A1237="","",SUMIF(Donasi!$B$2:$B$20000,A1237,Donasi!$C$2:$C$20000))</f>
        <v/>
      </c>
      <c r="E1237">
        <f>IF(A1237="","",6-CEILING(PERCENTRANK.INC($B$3:$B$6000,B1237,4)*5+0.000001,1))</f>
        <v/>
      </c>
      <c r="F1237">
        <f>IF(A1237="","",MAX(1,CEILING(PERCENTRANK.INC($C$3:$C$6000,C1237,4)*5+0.000001,1)))</f>
        <v/>
      </c>
      <c r="G1237">
        <f>IF(A1237="","",MAX(1,CEILING(PERCENTRANK.INC($D$3:$D$6000,D1237,4)*5+0.000001,1)))</f>
        <v/>
      </c>
      <c r="H1237">
        <f>IF(A1237="","",E1237&amp;F1237&amp;G1237)</f>
        <v/>
      </c>
      <c r="I1237">
        <f>IF(A1237="","",IF(AND(E1237&gt;=4,F1237&gt;=4,G1237&gt;=4),"Juara",IF(AND(F1237&gt;=4,E1237&gt;=3),"Setia",IF(AND(E1237=5,F1237&lt;=2,G1237&gt;=3),"Berpotensi",IF(AND(E1237&lt;=3,E1237&gt;=2,F1237&gt;=3),"Rawan",IF(AND(E1237&lt;=2,F1237&lt;=2),"Tidur","Umum"))))))</f>
        <v/>
      </c>
    </row>
    <row r="1238">
      <c r="B1238">
        <f>IF(A1238="","",$B$1-MAXIFS(Donasi!$A$2:$A$20000,Donasi!$B$2:$B$20000,A1238))</f>
        <v/>
      </c>
      <c r="C1238">
        <f>IF(A1238="","",COUNTIF(Donasi!$B$2:$B$20000,A1238))</f>
        <v/>
      </c>
      <c r="D1238">
        <f>IF(A1238="","",SUMIF(Donasi!$B$2:$B$20000,A1238,Donasi!$C$2:$C$20000))</f>
        <v/>
      </c>
      <c r="E1238">
        <f>IF(A1238="","",6-CEILING(PERCENTRANK.INC($B$3:$B$6000,B1238,4)*5+0.000001,1))</f>
        <v/>
      </c>
      <c r="F1238">
        <f>IF(A1238="","",MAX(1,CEILING(PERCENTRANK.INC($C$3:$C$6000,C1238,4)*5+0.000001,1)))</f>
        <v/>
      </c>
      <c r="G1238">
        <f>IF(A1238="","",MAX(1,CEILING(PERCENTRANK.INC($D$3:$D$6000,D1238,4)*5+0.000001,1)))</f>
        <v/>
      </c>
      <c r="H1238">
        <f>IF(A1238="","",E1238&amp;F1238&amp;G1238)</f>
        <v/>
      </c>
      <c r="I1238">
        <f>IF(A1238="","",IF(AND(E1238&gt;=4,F1238&gt;=4,G1238&gt;=4),"Juara",IF(AND(F1238&gt;=4,E1238&gt;=3),"Setia",IF(AND(E1238=5,F1238&lt;=2,G1238&gt;=3),"Berpotensi",IF(AND(E1238&lt;=3,E1238&gt;=2,F1238&gt;=3),"Rawan",IF(AND(E1238&lt;=2,F1238&lt;=2),"Tidur","Umum"))))))</f>
        <v/>
      </c>
    </row>
    <row r="1239">
      <c r="B1239">
        <f>IF(A1239="","",$B$1-MAXIFS(Donasi!$A$2:$A$20000,Donasi!$B$2:$B$20000,A1239))</f>
        <v/>
      </c>
      <c r="C1239">
        <f>IF(A1239="","",COUNTIF(Donasi!$B$2:$B$20000,A1239))</f>
        <v/>
      </c>
      <c r="D1239">
        <f>IF(A1239="","",SUMIF(Donasi!$B$2:$B$20000,A1239,Donasi!$C$2:$C$20000))</f>
        <v/>
      </c>
      <c r="E1239">
        <f>IF(A1239="","",6-CEILING(PERCENTRANK.INC($B$3:$B$6000,B1239,4)*5+0.000001,1))</f>
        <v/>
      </c>
      <c r="F1239">
        <f>IF(A1239="","",MAX(1,CEILING(PERCENTRANK.INC($C$3:$C$6000,C1239,4)*5+0.000001,1)))</f>
        <v/>
      </c>
      <c r="G1239">
        <f>IF(A1239="","",MAX(1,CEILING(PERCENTRANK.INC($D$3:$D$6000,D1239,4)*5+0.000001,1)))</f>
        <v/>
      </c>
      <c r="H1239">
        <f>IF(A1239="","",E1239&amp;F1239&amp;G1239)</f>
        <v/>
      </c>
      <c r="I1239">
        <f>IF(A1239="","",IF(AND(E1239&gt;=4,F1239&gt;=4,G1239&gt;=4),"Juara",IF(AND(F1239&gt;=4,E1239&gt;=3),"Setia",IF(AND(E1239=5,F1239&lt;=2,G1239&gt;=3),"Berpotensi",IF(AND(E1239&lt;=3,E1239&gt;=2,F1239&gt;=3),"Rawan",IF(AND(E1239&lt;=2,F1239&lt;=2),"Tidur","Umum"))))))</f>
        <v/>
      </c>
    </row>
    <row r="1240">
      <c r="B1240">
        <f>IF(A1240="","",$B$1-MAXIFS(Donasi!$A$2:$A$20000,Donasi!$B$2:$B$20000,A1240))</f>
        <v/>
      </c>
      <c r="C1240">
        <f>IF(A1240="","",COUNTIF(Donasi!$B$2:$B$20000,A1240))</f>
        <v/>
      </c>
      <c r="D1240">
        <f>IF(A1240="","",SUMIF(Donasi!$B$2:$B$20000,A1240,Donasi!$C$2:$C$20000))</f>
        <v/>
      </c>
      <c r="E1240">
        <f>IF(A1240="","",6-CEILING(PERCENTRANK.INC($B$3:$B$6000,B1240,4)*5+0.000001,1))</f>
        <v/>
      </c>
      <c r="F1240">
        <f>IF(A1240="","",MAX(1,CEILING(PERCENTRANK.INC($C$3:$C$6000,C1240,4)*5+0.000001,1)))</f>
        <v/>
      </c>
      <c r="G1240">
        <f>IF(A1240="","",MAX(1,CEILING(PERCENTRANK.INC($D$3:$D$6000,D1240,4)*5+0.000001,1)))</f>
        <v/>
      </c>
      <c r="H1240">
        <f>IF(A1240="","",E1240&amp;F1240&amp;G1240)</f>
        <v/>
      </c>
      <c r="I1240">
        <f>IF(A1240="","",IF(AND(E1240&gt;=4,F1240&gt;=4,G1240&gt;=4),"Juara",IF(AND(F1240&gt;=4,E1240&gt;=3),"Setia",IF(AND(E1240=5,F1240&lt;=2,G1240&gt;=3),"Berpotensi",IF(AND(E1240&lt;=3,E1240&gt;=2,F1240&gt;=3),"Rawan",IF(AND(E1240&lt;=2,F1240&lt;=2),"Tidur","Umum"))))))</f>
        <v/>
      </c>
    </row>
    <row r="1241">
      <c r="B1241">
        <f>IF(A1241="","",$B$1-MAXIFS(Donasi!$A$2:$A$20000,Donasi!$B$2:$B$20000,A1241))</f>
        <v/>
      </c>
      <c r="C1241">
        <f>IF(A1241="","",COUNTIF(Donasi!$B$2:$B$20000,A1241))</f>
        <v/>
      </c>
      <c r="D1241">
        <f>IF(A1241="","",SUMIF(Donasi!$B$2:$B$20000,A1241,Donasi!$C$2:$C$20000))</f>
        <v/>
      </c>
      <c r="E1241">
        <f>IF(A1241="","",6-CEILING(PERCENTRANK.INC($B$3:$B$6000,B1241,4)*5+0.000001,1))</f>
        <v/>
      </c>
      <c r="F1241">
        <f>IF(A1241="","",MAX(1,CEILING(PERCENTRANK.INC($C$3:$C$6000,C1241,4)*5+0.000001,1)))</f>
        <v/>
      </c>
      <c r="G1241">
        <f>IF(A1241="","",MAX(1,CEILING(PERCENTRANK.INC($D$3:$D$6000,D1241,4)*5+0.000001,1)))</f>
        <v/>
      </c>
      <c r="H1241">
        <f>IF(A1241="","",E1241&amp;F1241&amp;G1241)</f>
        <v/>
      </c>
      <c r="I1241">
        <f>IF(A1241="","",IF(AND(E1241&gt;=4,F1241&gt;=4,G1241&gt;=4),"Juara",IF(AND(F1241&gt;=4,E1241&gt;=3),"Setia",IF(AND(E1241=5,F1241&lt;=2,G1241&gt;=3),"Berpotensi",IF(AND(E1241&lt;=3,E1241&gt;=2,F1241&gt;=3),"Rawan",IF(AND(E1241&lt;=2,F1241&lt;=2),"Tidur","Umum"))))))</f>
        <v/>
      </c>
    </row>
    <row r="1242">
      <c r="B1242">
        <f>IF(A1242="","",$B$1-MAXIFS(Donasi!$A$2:$A$20000,Donasi!$B$2:$B$20000,A1242))</f>
        <v/>
      </c>
      <c r="C1242">
        <f>IF(A1242="","",COUNTIF(Donasi!$B$2:$B$20000,A1242))</f>
        <v/>
      </c>
      <c r="D1242">
        <f>IF(A1242="","",SUMIF(Donasi!$B$2:$B$20000,A1242,Donasi!$C$2:$C$20000))</f>
        <v/>
      </c>
      <c r="E1242">
        <f>IF(A1242="","",6-CEILING(PERCENTRANK.INC($B$3:$B$6000,B1242,4)*5+0.000001,1))</f>
        <v/>
      </c>
      <c r="F1242">
        <f>IF(A1242="","",MAX(1,CEILING(PERCENTRANK.INC($C$3:$C$6000,C1242,4)*5+0.000001,1)))</f>
        <v/>
      </c>
      <c r="G1242">
        <f>IF(A1242="","",MAX(1,CEILING(PERCENTRANK.INC($D$3:$D$6000,D1242,4)*5+0.000001,1)))</f>
        <v/>
      </c>
      <c r="H1242">
        <f>IF(A1242="","",E1242&amp;F1242&amp;G1242)</f>
        <v/>
      </c>
      <c r="I1242">
        <f>IF(A1242="","",IF(AND(E1242&gt;=4,F1242&gt;=4,G1242&gt;=4),"Juara",IF(AND(F1242&gt;=4,E1242&gt;=3),"Setia",IF(AND(E1242=5,F1242&lt;=2,G1242&gt;=3),"Berpotensi",IF(AND(E1242&lt;=3,E1242&gt;=2,F1242&gt;=3),"Rawan",IF(AND(E1242&lt;=2,F1242&lt;=2),"Tidur","Umum"))))))</f>
        <v/>
      </c>
    </row>
    <row r="1243">
      <c r="B1243">
        <f>IF(A1243="","",$B$1-MAXIFS(Donasi!$A$2:$A$20000,Donasi!$B$2:$B$20000,A1243))</f>
        <v/>
      </c>
      <c r="C1243">
        <f>IF(A1243="","",COUNTIF(Donasi!$B$2:$B$20000,A1243))</f>
        <v/>
      </c>
      <c r="D1243">
        <f>IF(A1243="","",SUMIF(Donasi!$B$2:$B$20000,A1243,Donasi!$C$2:$C$20000))</f>
        <v/>
      </c>
      <c r="E1243">
        <f>IF(A1243="","",6-CEILING(PERCENTRANK.INC($B$3:$B$6000,B1243,4)*5+0.000001,1))</f>
        <v/>
      </c>
      <c r="F1243">
        <f>IF(A1243="","",MAX(1,CEILING(PERCENTRANK.INC($C$3:$C$6000,C1243,4)*5+0.000001,1)))</f>
        <v/>
      </c>
      <c r="G1243">
        <f>IF(A1243="","",MAX(1,CEILING(PERCENTRANK.INC($D$3:$D$6000,D1243,4)*5+0.000001,1)))</f>
        <v/>
      </c>
      <c r="H1243">
        <f>IF(A1243="","",E1243&amp;F1243&amp;G1243)</f>
        <v/>
      </c>
      <c r="I1243">
        <f>IF(A1243="","",IF(AND(E1243&gt;=4,F1243&gt;=4,G1243&gt;=4),"Juara",IF(AND(F1243&gt;=4,E1243&gt;=3),"Setia",IF(AND(E1243=5,F1243&lt;=2,G1243&gt;=3),"Berpotensi",IF(AND(E1243&lt;=3,E1243&gt;=2,F1243&gt;=3),"Rawan",IF(AND(E1243&lt;=2,F1243&lt;=2),"Tidur","Umum"))))))</f>
        <v/>
      </c>
    </row>
    <row r="1244">
      <c r="B1244">
        <f>IF(A1244="","",$B$1-MAXIFS(Donasi!$A$2:$A$20000,Donasi!$B$2:$B$20000,A1244))</f>
        <v/>
      </c>
      <c r="C1244">
        <f>IF(A1244="","",COUNTIF(Donasi!$B$2:$B$20000,A1244))</f>
        <v/>
      </c>
      <c r="D1244">
        <f>IF(A1244="","",SUMIF(Donasi!$B$2:$B$20000,A1244,Donasi!$C$2:$C$20000))</f>
        <v/>
      </c>
      <c r="E1244">
        <f>IF(A1244="","",6-CEILING(PERCENTRANK.INC($B$3:$B$6000,B1244,4)*5+0.000001,1))</f>
        <v/>
      </c>
      <c r="F1244">
        <f>IF(A1244="","",MAX(1,CEILING(PERCENTRANK.INC($C$3:$C$6000,C1244,4)*5+0.000001,1)))</f>
        <v/>
      </c>
      <c r="G1244">
        <f>IF(A1244="","",MAX(1,CEILING(PERCENTRANK.INC($D$3:$D$6000,D1244,4)*5+0.000001,1)))</f>
        <v/>
      </c>
      <c r="H1244">
        <f>IF(A1244="","",E1244&amp;F1244&amp;G1244)</f>
        <v/>
      </c>
      <c r="I1244">
        <f>IF(A1244="","",IF(AND(E1244&gt;=4,F1244&gt;=4,G1244&gt;=4),"Juara",IF(AND(F1244&gt;=4,E1244&gt;=3),"Setia",IF(AND(E1244=5,F1244&lt;=2,G1244&gt;=3),"Berpotensi",IF(AND(E1244&lt;=3,E1244&gt;=2,F1244&gt;=3),"Rawan",IF(AND(E1244&lt;=2,F1244&lt;=2),"Tidur","Umum"))))))</f>
        <v/>
      </c>
    </row>
    <row r="1245">
      <c r="B1245">
        <f>IF(A1245="","",$B$1-MAXIFS(Donasi!$A$2:$A$20000,Donasi!$B$2:$B$20000,A1245))</f>
        <v/>
      </c>
      <c r="C1245">
        <f>IF(A1245="","",COUNTIF(Donasi!$B$2:$B$20000,A1245))</f>
        <v/>
      </c>
      <c r="D1245">
        <f>IF(A1245="","",SUMIF(Donasi!$B$2:$B$20000,A1245,Donasi!$C$2:$C$20000))</f>
        <v/>
      </c>
      <c r="E1245">
        <f>IF(A1245="","",6-CEILING(PERCENTRANK.INC($B$3:$B$6000,B1245,4)*5+0.000001,1))</f>
        <v/>
      </c>
      <c r="F1245">
        <f>IF(A1245="","",MAX(1,CEILING(PERCENTRANK.INC($C$3:$C$6000,C1245,4)*5+0.000001,1)))</f>
        <v/>
      </c>
      <c r="G1245">
        <f>IF(A1245="","",MAX(1,CEILING(PERCENTRANK.INC($D$3:$D$6000,D1245,4)*5+0.000001,1)))</f>
        <v/>
      </c>
      <c r="H1245">
        <f>IF(A1245="","",E1245&amp;F1245&amp;G1245)</f>
        <v/>
      </c>
      <c r="I1245">
        <f>IF(A1245="","",IF(AND(E1245&gt;=4,F1245&gt;=4,G1245&gt;=4),"Juara",IF(AND(F1245&gt;=4,E1245&gt;=3),"Setia",IF(AND(E1245=5,F1245&lt;=2,G1245&gt;=3),"Berpotensi",IF(AND(E1245&lt;=3,E1245&gt;=2,F1245&gt;=3),"Rawan",IF(AND(E1245&lt;=2,F1245&lt;=2),"Tidur","Umum"))))))</f>
        <v/>
      </c>
    </row>
    <row r="1246">
      <c r="B1246">
        <f>IF(A1246="","",$B$1-MAXIFS(Donasi!$A$2:$A$20000,Donasi!$B$2:$B$20000,A1246))</f>
        <v/>
      </c>
      <c r="C1246">
        <f>IF(A1246="","",COUNTIF(Donasi!$B$2:$B$20000,A1246))</f>
        <v/>
      </c>
      <c r="D1246">
        <f>IF(A1246="","",SUMIF(Donasi!$B$2:$B$20000,A1246,Donasi!$C$2:$C$20000))</f>
        <v/>
      </c>
      <c r="E1246">
        <f>IF(A1246="","",6-CEILING(PERCENTRANK.INC($B$3:$B$6000,B1246,4)*5+0.000001,1))</f>
        <v/>
      </c>
      <c r="F1246">
        <f>IF(A1246="","",MAX(1,CEILING(PERCENTRANK.INC($C$3:$C$6000,C1246,4)*5+0.000001,1)))</f>
        <v/>
      </c>
      <c r="G1246">
        <f>IF(A1246="","",MAX(1,CEILING(PERCENTRANK.INC($D$3:$D$6000,D1246,4)*5+0.000001,1)))</f>
        <v/>
      </c>
      <c r="H1246">
        <f>IF(A1246="","",E1246&amp;F1246&amp;G1246)</f>
        <v/>
      </c>
      <c r="I1246">
        <f>IF(A1246="","",IF(AND(E1246&gt;=4,F1246&gt;=4,G1246&gt;=4),"Juara",IF(AND(F1246&gt;=4,E1246&gt;=3),"Setia",IF(AND(E1246=5,F1246&lt;=2,G1246&gt;=3),"Berpotensi",IF(AND(E1246&lt;=3,E1246&gt;=2,F1246&gt;=3),"Rawan",IF(AND(E1246&lt;=2,F1246&lt;=2),"Tidur","Umum"))))))</f>
        <v/>
      </c>
    </row>
    <row r="1247">
      <c r="B1247">
        <f>IF(A1247="","",$B$1-MAXIFS(Donasi!$A$2:$A$20000,Donasi!$B$2:$B$20000,A1247))</f>
        <v/>
      </c>
      <c r="C1247">
        <f>IF(A1247="","",COUNTIF(Donasi!$B$2:$B$20000,A1247))</f>
        <v/>
      </c>
      <c r="D1247">
        <f>IF(A1247="","",SUMIF(Donasi!$B$2:$B$20000,A1247,Donasi!$C$2:$C$20000))</f>
        <v/>
      </c>
      <c r="E1247">
        <f>IF(A1247="","",6-CEILING(PERCENTRANK.INC($B$3:$B$6000,B1247,4)*5+0.000001,1))</f>
        <v/>
      </c>
      <c r="F1247">
        <f>IF(A1247="","",MAX(1,CEILING(PERCENTRANK.INC($C$3:$C$6000,C1247,4)*5+0.000001,1)))</f>
        <v/>
      </c>
      <c r="G1247">
        <f>IF(A1247="","",MAX(1,CEILING(PERCENTRANK.INC($D$3:$D$6000,D1247,4)*5+0.000001,1)))</f>
        <v/>
      </c>
      <c r="H1247">
        <f>IF(A1247="","",E1247&amp;F1247&amp;G1247)</f>
        <v/>
      </c>
      <c r="I1247">
        <f>IF(A1247="","",IF(AND(E1247&gt;=4,F1247&gt;=4,G1247&gt;=4),"Juara",IF(AND(F1247&gt;=4,E1247&gt;=3),"Setia",IF(AND(E1247=5,F1247&lt;=2,G1247&gt;=3),"Berpotensi",IF(AND(E1247&lt;=3,E1247&gt;=2,F1247&gt;=3),"Rawan",IF(AND(E1247&lt;=2,F1247&lt;=2),"Tidur","Umum"))))))</f>
        <v/>
      </c>
    </row>
    <row r="1248">
      <c r="B1248">
        <f>IF(A1248="","",$B$1-MAXIFS(Donasi!$A$2:$A$20000,Donasi!$B$2:$B$20000,A1248))</f>
        <v/>
      </c>
      <c r="C1248">
        <f>IF(A1248="","",COUNTIF(Donasi!$B$2:$B$20000,A1248))</f>
        <v/>
      </c>
      <c r="D1248">
        <f>IF(A1248="","",SUMIF(Donasi!$B$2:$B$20000,A1248,Donasi!$C$2:$C$20000))</f>
        <v/>
      </c>
      <c r="E1248">
        <f>IF(A1248="","",6-CEILING(PERCENTRANK.INC($B$3:$B$6000,B1248,4)*5+0.000001,1))</f>
        <v/>
      </c>
      <c r="F1248">
        <f>IF(A1248="","",MAX(1,CEILING(PERCENTRANK.INC($C$3:$C$6000,C1248,4)*5+0.000001,1)))</f>
        <v/>
      </c>
      <c r="G1248">
        <f>IF(A1248="","",MAX(1,CEILING(PERCENTRANK.INC($D$3:$D$6000,D1248,4)*5+0.000001,1)))</f>
        <v/>
      </c>
      <c r="H1248">
        <f>IF(A1248="","",E1248&amp;F1248&amp;G1248)</f>
        <v/>
      </c>
      <c r="I1248">
        <f>IF(A1248="","",IF(AND(E1248&gt;=4,F1248&gt;=4,G1248&gt;=4),"Juara",IF(AND(F1248&gt;=4,E1248&gt;=3),"Setia",IF(AND(E1248=5,F1248&lt;=2,G1248&gt;=3),"Berpotensi",IF(AND(E1248&lt;=3,E1248&gt;=2,F1248&gt;=3),"Rawan",IF(AND(E1248&lt;=2,F1248&lt;=2),"Tidur","Umum"))))))</f>
        <v/>
      </c>
    </row>
    <row r="1249">
      <c r="B1249">
        <f>IF(A1249="","",$B$1-MAXIFS(Donasi!$A$2:$A$20000,Donasi!$B$2:$B$20000,A1249))</f>
        <v/>
      </c>
      <c r="C1249">
        <f>IF(A1249="","",COUNTIF(Donasi!$B$2:$B$20000,A1249))</f>
        <v/>
      </c>
      <c r="D1249">
        <f>IF(A1249="","",SUMIF(Donasi!$B$2:$B$20000,A1249,Donasi!$C$2:$C$20000))</f>
        <v/>
      </c>
      <c r="E1249">
        <f>IF(A1249="","",6-CEILING(PERCENTRANK.INC($B$3:$B$6000,B1249,4)*5+0.000001,1))</f>
        <v/>
      </c>
      <c r="F1249">
        <f>IF(A1249="","",MAX(1,CEILING(PERCENTRANK.INC($C$3:$C$6000,C1249,4)*5+0.000001,1)))</f>
        <v/>
      </c>
      <c r="G1249">
        <f>IF(A1249="","",MAX(1,CEILING(PERCENTRANK.INC($D$3:$D$6000,D1249,4)*5+0.000001,1)))</f>
        <v/>
      </c>
      <c r="H1249">
        <f>IF(A1249="","",E1249&amp;F1249&amp;G1249)</f>
        <v/>
      </c>
      <c r="I1249">
        <f>IF(A1249="","",IF(AND(E1249&gt;=4,F1249&gt;=4,G1249&gt;=4),"Juara",IF(AND(F1249&gt;=4,E1249&gt;=3),"Setia",IF(AND(E1249=5,F1249&lt;=2,G1249&gt;=3),"Berpotensi",IF(AND(E1249&lt;=3,E1249&gt;=2,F1249&gt;=3),"Rawan",IF(AND(E1249&lt;=2,F1249&lt;=2),"Tidur","Umum"))))))</f>
        <v/>
      </c>
    </row>
    <row r="1250">
      <c r="B1250">
        <f>IF(A1250="","",$B$1-MAXIFS(Donasi!$A$2:$A$20000,Donasi!$B$2:$B$20000,A1250))</f>
        <v/>
      </c>
      <c r="C1250">
        <f>IF(A1250="","",COUNTIF(Donasi!$B$2:$B$20000,A1250))</f>
        <v/>
      </c>
      <c r="D1250">
        <f>IF(A1250="","",SUMIF(Donasi!$B$2:$B$20000,A1250,Donasi!$C$2:$C$20000))</f>
        <v/>
      </c>
      <c r="E1250">
        <f>IF(A1250="","",6-CEILING(PERCENTRANK.INC($B$3:$B$6000,B1250,4)*5+0.000001,1))</f>
        <v/>
      </c>
      <c r="F1250">
        <f>IF(A1250="","",MAX(1,CEILING(PERCENTRANK.INC($C$3:$C$6000,C1250,4)*5+0.000001,1)))</f>
        <v/>
      </c>
      <c r="G1250">
        <f>IF(A1250="","",MAX(1,CEILING(PERCENTRANK.INC($D$3:$D$6000,D1250,4)*5+0.000001,1)))</f>
        <v/>
      </c>
      <c r="H1250">
        <f>IF(A1250="","",E1250&amp;F1250&amp;G1250)</f>
        <v/>
      </c>
      <c r="I1250">
        <f>IF(A1250="","",IF(AND(E1250&gt;=4,F1250&gt;=4,G1250&gt;=4),"Juara",IF(AND(F1250&gt;=4,E1250&gt;=3),"Setia",IF(AND(E1250=5,F1250&lt;=2,G1250&gt;=3),"Berpotensi",IF(AND(E1250&lt;=3,E1250&gt;=2,F1250&gt;=3),"Rawan",IF(AND(E1250&lt;=2,F1250&lt;=2),"Tidur","Umum"))))))</f>
        <v/>
      </c>
    </row>
    <row r="1251">
      <c r="B1251">
        <f>IF(A1251="","",$B$1-MAXIFS(Donasi!$A$2:$A$20000,Donasi!$B$2:$B$20000,A1251))</f>
        <v/>
      </c>
      <c r="C1251">
        <f>IF(A1251="","",COUNTIF(Donasi!$B$2:$B$20000,A1251))</f>
        <v/>
      </c>
      <c r="D1251">
        <f>IF(A1251="","",SUMIF(Donasi!$B$2:$B$20000,A1251,Donasi!$C$2:$C$20000))</f>
        <v/>
      </c>
      <c r="E1251">
        <f>IF(A1251="","",6-CEILING(PERCENTRANK.INC($B$3:$B$6000,B1251,4)*5+0.000001,1))</f>
        <v/>
      </c>
      <c r="F1251">
        <f>IF(A1251="","",MAX(1,CEILING(PERCENTRANK.INC($C$3:$C$6000,C1251,4)*5+0.000001,1)))</f>
        <v/>
      </c>
      <c r="G1251">
        <f>IF(A1251="","",MAX(1,CEILING(PERCENTRANK.INC($D$3:$D$6000,D1251,4)*5+0.000001,1)))</f>
        <v/>
      </c>
      <c r="H1251">
        <f>IF(A1251="","",E1251&amp;F1251&amp;G1251)</f>
        <v/>
      </c>
      <c r="I1251">
        <f>IF(A1251="","",IF(AND(E1251&gt;=4,F1251&gt;=4,G1251&gt;=4),"Juara",IF(AND(F1251&gt;=4,E1251&gt;=3),"Setia",IF(AND(E1251=5,F1251&lt;=2,G1251&gt;=3),"Berpotensi",IF(AND(E1251&lt;=3,E1251&gt;=2,F1251&gt;=3),"Rawan",IF(AND(E1251&lt;=2,F1251&lt;=2),"Tidur","Umum"))))))</f>
        <v/>
      </c>
    </row>
    <row r="1252">
      <c r="B1252">
        <f>IF(A1252="","",$B$1-MAXIFS(Donasi!$A$2:$A$20000,Donasi!$B$2:$B$20000,A1252))</f>
        <v/>
      </c>
      <c r="C1252">
        <f>IF(A1252="","",COUNTIF(Donasi!$B$2:$B$20000,A1252))</f>
        <v/>
      </c>
      <c r="D1252">
        <f>IF(A1252="","",SUMIF(Donasi!$B$2:$B$20000,A1252,Donasi!$C$2:$C$20000))</f>
        <v/>
      </c>
      <c r="E1252">
        <f>IF(A1252="","",6-CEILING(PERCENTRANK.INC($B$3:$B$6000,B1252,4)*5+0.000001,1))</f>
        <v/>
      </c>
      <c r="F1252">
        <f>IF(A1252="","",MAX(1,CEILING(PERCENTRANK.INC($C$3:$C$6000,C1252,4)*5+0.000001,1)))</f>
        <v/>
      </c>
      <c r="G1252">
        <f>IF(A1252="","",MAX(1,CEILING(PERCENTRANK.INC($D$3:$D$6000,D1252,4)*5+0.000001,1)))</f>
        <v/>
      </c>
      <c r="H1252">
        <f>IF(A1252="","",E1252&amp;F1252&amp;G1252)</f>
        <v/>
      </c>
      <c r="I1252">
        <f>IF(A1252="","",IF(AND(E1252&gt;=4,F1252&gt;=4,G1252&gt;=4),"Juara",IF(AND(F1252&gt;=4,E1252&gt;=3),"Setia",IF(AND(E1252=5,F1252&lt;=2,G1252&gt;=3),"Berpotensi",IF(AND(E1252&lt;=3,E1252&gt;=2,F1252&gt;=3),"Rawan",IF(AND(E1252&lt;=2,F1252&lt;=2),"Tidur","Umum"))))))</f>
        <v/>
      </c>
    </row>
    <row r="1253">
      <c r="B1253">
        <f>IF(A1253="","",$B$1-MAXIFS(Donasi!$A$2:$A$20000,Donasi!$B$2:$B$20000,A1253))</f>
        <v/>
      </c>
      <c r="C1253">
        <f>IF(A1253="","",COUNTIF(Donasi!$B$2:$B$20000,A1253))</f>
        <v/>
      </c>
      <c r="D1253">
        <f>IF(A1253="","",SUMIF(Donasi!$B$2:$B$20000,A1253,Donasi!$C$2:$C$20000))</f>
        <v/>
      </c>
      <c r="E1253">
        <f>IF(A1253="","",6-CEILING(PERCENTRANK.INC($B$3:$B$6000,B1253,4)*5+0.000001,1))</f>
        <v/>
      </c>
      <c r="F1253">
        <f>IF(A1253="","",MAX(1,CEILING(PERCENTRANK.INC($C$3:$C$6000,C1253,4)*5+0.000001,1)))</f>
        <v/>
      </c>
      <c r="G1253">
        <f>IF(A1253="","",MAX(1,CEILING(PERCENTRANK.INC($D$3:$D$6000,D1253,4)*5+0.000001,1)))</f>
        <v/>
      </c>
      <c r="H1253">
        <f>IF(A1253="","",E1253&amp;F1253&amp;G1253)</f>
        <v/>
      </c>
      <c r="I1253">
        <f>IF(A1253="","",IF(AND(E1253&gt;=4,F1253&gt;=4,G1253&gt;=4),"Juara",IF(AND(F1253&gt;=4,E1253&gt;=3),"Setia",IF(AND(E1253=5,F1253&lt;=2,G1253&gt;=3),"Berpotensi",IF(AND(E1253&lt;=3,E1253&gt;=2,F1253&gt;=3),"Rawan",IF(AND(E1253&lt;=2,F1253&lt;=2),"Tidur","Umum"))))))</f>
        <v/>
      </c>
    </row>
    <row r="1254">
      <c r="B1254">
        <f>IF(A1254="","",$B$1-MAXIFS(Donasi!$A$2:$A$20000,Donasi!$B$2:$B$20000,A1254))</f>
        <v/>
      </c>
      <c r="C1254">
        <f>IF(A1254="","",COUNTIF(Donasi!$B$2:$B$20000,A1254))</f>
        <v/>
      </c>
      <c r="D1254">
        <f>IF(A1254="","",SUMIF(Donasi!$B$2:$B$20000,A1254,Donasi!$C$2:$C$20000))</f>
        <v/>
      </c>
      <c r="E1254">
        <f>IF(A1254="","",6-CEILING(PERCENTRANK.INC($B$3:$B$6000,B1254,4)*5+0.000001,1))</f>
        <v/>
      </c>
      <c r="F1254">
        <f>IF(A1254="","",MAX(1,CEILING(PERCENTRANK.INC($C$3:$C$6000,C1254,4)*5+0.000001,1)))</f>
        <v/>
      </c>
      <c r="G1254">
        <f>IF(A1254="","",MAX(1,CEILING(PERCENTRANK.INC($D$3:$D$6000,D1254,4)*5+0.000001,1)))</f>
        <v/>
      </c>
      <c r="H1254">
        <f>IF(A1254="","",E1254&amp;F1254&amp;G1254)</f>
        <v/>
      </c>
      <c r="I1254">
        <f>IF(A1254="","",IF(AND(E1254&gt;=4,F1254&gt;=4,G1254&gt;=4),"Juara",IF(AND(F1254&gt;=4,E1254&gt;=3),"Setia",IF(AND(E1254=5,F1254&lt;=2,G1254&gt;=3),"Berpotensi",IF(AND(E1254&lt;=3,E1254&gt;=2,F1254&gt;=3),"Rawan",IF(AND(E1254&lt;=2,F1254&lt;=2),"Tidur","Umum"))))))</f>
        <v/>
      </c>
    </row>
    <row r="1255">
      <c r="B1255">
        <f>IF(A1255="","",$B$1-MAXIFS(Donasi!$A$2:$A$20000,Donasi!$B$2:$B$20000,A1255))</f>
        <v/>
      </c>
      <c r="C1255">
        <f>IF(A1255="","",COUNTIF(Donasi!$B$2:$B$20000,A1255))</f>
        <v/>
      </c>
      <c r="D1255">
        <f>IF(A1255="","",SUMIF(Donasi!$B$2:$B$20000,A1255,Donasi!$C$2:$C$20000))</f>
        <v/>
      </c>
      <c r="E1255">
        <f>IF(A1255="","",6-CEILING(PERCENTRANK.INC($B$3:$B$6000,B1255,4)*5+0.000001,1))</f>
        <v/>
      </c>
      <c r="F1255">
        <f>IF(A1255="","",MAX(1,CEILING(PERCENTRANK.INC($C$3:$C$6000,C1255,4)*5+0.000001,1)))</f>
        <v/>
      </c>
      <c r="G1255">
        <f>IF(A1255="","",MAX(1,CEILING(PERCENTRANK.INC($D$3:$D$6000,D1255,4)*5+0.000001,1)))</f>
        <v/>
      </c>
      <c r="H1255">
        <f>IF(A1255="","",E1255&amp;F1255&amp;G1255)</f>
        <v/>
      </c>
      <c r="I1255">
        <f>IF(A1255="","",IF(AND(E1255&gt;=4,F1255&gt;=4,G1255&gt;=4),"Juara",IF(AND(F1255&gt;=4,E1255&gt;=3),"Setia",IF(AND(E1255=5,F1255&lt;=2,G1255&gt;=3),"Berpotensi",IF(AND(E1255&lt;=3,E1255&gt;=2,F1255&gt;=3),"Rawan",IF(AND(E1255&lt;=2,F1255&lt;=2),"Tidur","Umum"))))))</f>
        <v/>
      </c>
    </row>
    <row r="1256">
      <c r="B1256">
        <f>IF(A1256="","",$B$1-MAXIFS(Donasi!$A$2:$A$20000,Donasi!$B$2:$B$20000,A1256))</f>
        <v/>
      </c>
      <c r="C1256">
        <f>IF(A1256="","",COUNTIF(Donasi!$B$2:$B$20000,A1256))</f>
        <v/>
      </c>
      <c r="D1256">
        <f>IF(A1256="","",SUMIF(Donasi!$B$2:$B$20000,A1256,Donasi!$C$2:$C$20000))</f>
        <v/>
      </c>
      <c r="E1256">
        <f>IF(A1256="","",6-CEILING(PERCENTRANK.INC($B$3:$B$6000,B1256,4)*5+0.000001,1))</f>
        <v/>
      </c>
      <c r="F1256">
        <f>IF(A1256="","",MAX(1,CEILING(PERCENTRANK.INC($C$3:$C$6000,C1256,4)*5+0.000001,1)))</f>
        <v/>
      </c>
      <c r="G1256">
        <f>IF(A1256="","",MAX(1,CEILING(PERCENTRANK.INC($D$3:$D$6000,D1256,4)*5+0.000001,1)))</f>
        <v/>
      </c>
      <c r="H1256">
        <f>IF(A1256="","",E1256&amp;F1256&amp;G1256)</f>
        <v/>
      </c>
      <c r="I1256">
        <f>IF(A1256="","",IF(AND(E1256&gt;=4,F1256&gt;=4,G1256&gt;=4),"Juara",IF(AND(F1256&gt;=4,E1256&gt;=3),"Setia",IF(AND(E1256=5,F1256&lt;=2,G1256&gt;=3),"Berpotensi",IF(AND(E1256&lt;=3,E1256&gt;=2,F1256&gt;=3),"Rawan",IF(AND(E1256&lt;=2,F1256&lt;=2),"Tidur","Umum"))))))</f>
        <v/>
      </c>
    </row>
    <row r="1257">
      <c r="B1257">
        <f>IF(A1257="","",$B$1-MAXIFS(Donasi!$A$2:$A$20000,Donasi!$B$2:$B$20000,A1257))</f>
        <v/>
      </c>
      <c r="C1257">
        <f>IF(A1257="","",COUNTIF(Donasi!$B$2:$B$20000,A1257))</f>
        <v/>
      </c>
      <c r="D1257">
        <f>IF(A1257="","",SUMIF(Donasi!$B$2:$B$20000,A1257,Donasi!$C$2:$C$20000))</f>
        <v/>
      </c>
      <c r="E1257">
        <f>IF(A1257="","",6-CEILING(PERCENTRANK.INC($B$3:$B$6000,B1257,4)*5+0.000001,1))</f>
        <v/>
      </c>
      <c r="F1257">
        <f>IF(A1257="","",MAX(1,CEILING(PERCENTRANK.INC($C$3:$C$6000,C1257,4)*5+0.000001,1)))</f>
        <v/>
      </c>
      <c r="G1257">
        <f>IF(A1257="","",MAX(1,CEILING(PERCENTRANK.INC($D$3:$D$6000,D1257,4)*5+0.000001,1)))</f>
        <v/>
      </c>
      <c r="H1257">
        <f>IF(A1257="","",E1257&amp;F1257&amp;G1257)</f>
        <v/>
      </c>
      <c r="I1257">
        <f>IF(A1257="","",IF(AND(E1257&gt;=4,F1257&gt;=4,G1257&gt;=4),"Juara",IF(AND(F1257&gt;=4,E1257&gt;=3),"Setia",IF(AND(E1257=5,F1257&lt;=2,G1257&gt;=3),"Berpotensi",IF(AND(E1257&lt;=3,E1257&gt;=2,F1257&gt;=3),"Rawan",IF(AND(E1257&lt;=2,F1257&lt;=2),"Tidur","Umum"))))))</f>
        <v/>
      </c>
    </row>
    <row r="1258">
      <c r="B1258">
        <f>IF(A1258="","",$B$1-MAXIFS(Donasi!$A$2:$A$20000,Donasi!$B$2:$B$20000,A1258))</f>
        <v/>
      </c>
      <c r="C1258">
        <f>IF(A1258="","",COUNTIF(Donasi!$B$2:$B$20000,A1258))</f>
        <v/>
      </c>
      <c r="D1258">
        <f>IF(A1258="","",SUMIF(Donasi!$B$2:$B$20000,A1258,Donasi!$C$2:$C$20000))</f>
        <v/>
      </c>
      <c r="E1258">
        <f>IF(A1258="","",6-CEILING(PERCENTRANK.INC($B$3:$B$6000,B1258,4)*5+0.000001,1))</f>
        <v/>
      </c>
      <c r="F1258">
        <f>IF(A1258="","",MAX(1,CEILING(PERCENTRANK.INC($C$3:$C$6000,C1258,4)*5+0.000001,1)))</f>
        <v/>
      </c>
      <c r="G1258">
        <f>IF(A1258="","",MAX(1,CEILING(PERCENTRANK.INC($D$3:$D$6000,D1258,4)*5+0.000001,1)))</f>
        <v/>
      </c>
      <c r="H1258">
        <f>IF(A1258="","",E1258&amp;F1258&amp;G1258)</f>
        <v/>
      </c>
      <c r="I1258">
        <f>IF(A1258="","",IF(AND(E1258&gt;=4,F1258&gt;=4,G1258&gt;=4),"Juara",IF(AND(F1258&gt;=4,E1258&gt;=3),"Setia",IF(AND(E1258=5,F1258&lt;=2,G1258&gt;=3),"Berpotensi",IF(AND(E1258&lt;=3,E1258&gt;=2,F1258&gt;=3),"Rawan",IF(AND(E1258&lt;=2,F1258&lt;=2),"Tidur","Umum"))))))</f>
        <v/>
      </c>
    </row>
    <row r="1259">
      <c r="B1259">
        <f>IF(A1259="","",$B$1-MAXIFS(Donasi!$A$2:$A$20000,Donasi!$B$2:$B$20000,A1259))</f>
        <v/>
      </c>
      <c r="C1259">
        <f>IF(A1259="","",COUNTIF(Donasi!$B$2:$B$20000,A1259))</f>
        <v/>
      </c>
      <c r="D1259">
        <f>IF(A1259="","",SUMIF(Donasi!$B$2:$B$20000,A1259,Donasi!$C$2:$C$20000))</f>
        <v/>
      </c>
      <c r="E1259">
        <f>IF(A1259="","",6-CEILING(PERCENTRANK.INC($B$3:$B$6000,B1259,4)*5+0.000001,1))</f>
        <v/>
      </c>
      <c r="F1259">
        <f>IF(A1259="","",MAX(1,CEILING(PERCENTRANK.INC($C$3:$C$6000,C1259,4)*5+0.000001,1)))</f>
        <v/>
      </c>
      <c r="G1259">
        <f>IF(A1259="","",MAX(1,CEILING(PERCENTRANK.INC($D$3:$D$6000,D1259,4)*5+0.000001,1)))</f>
        <v/>
      </c>
      <c r="H1259">
        <f>IF(A1259="","",E1259&amp;F1259&amp;G1259)</f>
        <v/>
      </c>
      <c r="I1259">
        <f>IF(A1259="","",IF(AND(E1259&gt;=4,F1259&gt;=4,G1259&gt;=4),"Juara",IF(AND(F1259&gt;=4,E1259&gt;=3),"Setia",IF(AND(E1259=5,F1259&lt;=2,G1259&gt;=3),"Berpotensi",IF(AND(E1259&lt;=3,E1259&gt;=2,F1259&gt;=3),"Rawan",IF(AND(E1259&lt;=2,F1259&lt;=2),"Tidur","Umum"))))))</f>
        <v/>
      </c>
    </row>
    <row r="1260">
      <c r="B1260">
        <f>IF(A1260="","",$B$1-MAXIFS(Donasi!$A$2:$A$20000,Donasi!$B$2:$B$20000,A1260))</f>
        <v/>
      </c>
      <c r="C1260">
        <f>IF(A1260="","",COUNTIF(Donasi!$B$2:$B$20000,A1260))</f>
        <v/>
      </c>
      <c r="D1260">
        <f>IF(A1260="","",SUMIF(Donasi!$B$2:$B$20000,A1260,Donasi!$C$2:$C$20000))</f>
        <v/>
      </c>
      <c r="E1260">
        <f>IF(A1260="","",6-CEILING(PERCENTRANK.INC($B$3:$B$6000,B1260,4)*5+0.000001,1))</f>
        <v/>
      </c>
      <c r="F1260">
        <f>IF(A1260="","",MAX(1,CEILING(PERCENTRANK.INC($C$3:$C$6000,C1260,4)*5+0.000001,1)))</f>
        <v/>
      </c>
      <c r="G1260">
        <f>IF(A1260="","",MAX(1,CEILING(PERCENTRANK.INC($D$3:$D$6000,D1260,4)*5+0.000001,1)))</f>
        <v/>
      </c>
      <c r="H1260">
        <f>IF(A1260="","",E1260&amp;F1260&amp;G1260)</f>
        <v/>
      </c>
      <c r="I1260">
        <f>IF(A1260="","",IF(AND(E1260&gt;=4,F1260&gt;=4,G1260&gt;=4),"Juara",IF(AND(F1260&gt;=4,E1260&gt;=3),"Setia",IF(AND(E1260=5,F1260&lt;=2,G1260&gt;=3),"Berpotensi",IF(AND(E1260&lt;=3,E1260&gt;=2,F1260&gt;=3),"Rawan",IF(AND(E1260&lt;=2,F1260&lt;=2),"Tidur","Umum"))))))</f>
        <v/>
      </c>
    </row>
    <row r="1261">
      <c r="B1261">
        <f>IF(A1261="","",$B$1-MAXIFS(Donasi!$A$2:$A$20000,Donasi!$B$2:$B$20000,A1261))</f>
        <v/>
      </c>
      <c r="C1261">
        <f>IF(A1261="","",COUNTIF(Donasi!$B$2:$B$20000,A1261))</f>
        <v/>
      </c>
      <c r="D1261">
        <f>IF(A1261="","",SUMIF(Donasi!$B$2:$B$20000,A1261,Donasi!$C$2:$C$20000))</f>
        <v/>
      </c>
      <c r="E1261">
        <f>IF(A1261="","",6-CEILING(PERCENTRANK.INC($B$3:$B$6000,B1261,4)*5+0.000001,1))</f>
        <v/>
      </c>
      <c r="F1261">
        <f>IF(A1261="","",MAX(1,CEILING(PERCENTRANK.INC($C$3:$C$6000,C1261,4)*5+0.000001,1)))</f>
        <v/>
      </c>
      <c r="G1261">
        <f>IF(A1261="","",MAX(1,CEILING(PERCENTRANK.INC($D$3:$D$6000,D1261,4)*5+0.000001,1)))</f>
        <v/>
      </c>
      <c r="H1261">
        <f>IF(A1261="","",E1261&amp;F1261&amp;G1261)</f>
        <v/>
      </c>
      <c r="I1261">
        <f>IF(A1261="","",IF(AND(E1261&gt;=4,F1261&gt;=4,G1261&gt;=4),"Juara",IF(AND(F1261&gt;=4,E1261&gt;=3),"Setia",IF(AND(E1261=5,F1261&lt;=2,G1261&gt;=3),"Berpotensi",IF(AND(E1261&lt;=3,E1261&gt;=2,F1261&gt;=3),"Rawan",IF(AND(E1261&lt;=2,F1261&lt;=2),"Tidur","Umum"))))))</f>
        <v/>
      </c>
    </row>
    <row r="1262">
      <c r="B1262">
        <f>IF(A1262="","",$B$1-MAXIFS(Donasi!$A$2:$A$20000,Donasi!$B$2:$B$20000,A1262))</f>
        <v/>
      </c>
      <c r="C1262">
        <f>IF(A1262="","",COUNTIF(Donasi!$B$2:$B$20000,A1262))</f>
        <v/>
      </c>
      <c r="D1262">
        <f>IF(A1262="","",SUMIF(Donasi!$B$2:$B$20000,A1262,Donasi!$C$2:$C$20000))</f>
        <v/>
      </c>
      <c r="E1262">
        <f>IF(A1262="","",6-CEILING(PERCENTRANK.INC($B$3:$B$6000,B1262,4)*5+0.000001,1))</f>
        <v/>
      </c>
      <c r="F1262">
        <f>IF(A1262="","",MAX(1,CEILING(PERCENTRANK.INC($C$3:$C$6000,C1262,4)*5+0.000001,1)))</f>
        <v/>
      </c>
      <c r="G1262">
        <f>IF(A1262="","",MAX(1,CEILING(PERCENTRANK.INC($D$3:$D$6000,D1262,4)*5+0.000001,1)))</f>
        <v/>
      </c>
      <c r="H1262">
        <f>IF(A1262="","",E1262&amp;F1262&amp;G1262)</f>
        <v/>
      </c>
      <c r="I1262">
        <f>IF(A1262="","",IF(AND(E1262&gt;=4,F1262&gt;=4,G1262&gt;=4),"Juara",IF(AND(F1262&gt;=4,E1262&gt;=3),"Setia",IF(AND(E1262=5,F1262&lt;=2,G1262&gt;=3),"Berpotensi",IF(AND(E1262&lt;=3,E1262&gt;=2,F1262&gt;=3),"Rawan",IF(AND(E1262&lt;=2,F1262&lt;=2),"Tidur","Umum"))))))</f>
        <v/>
      </c>
    </row>
    <row r="1263">
      <c r="B1263">
        <f>IF(A1263="","",$B$1-MAXIFS(Donasi!$A$2:$A$20000,Donasi!$B$2:$B$20000,A1263))</f>
        <v/>
      </c>
      <c r="C1263">
        <f>IF(A1263="","",COUNTIF(Donasi!$B$2:$B$20000,A1263))</f>
        <v/>
      </c>
      <c r="D1263">
        <f>IF(A1263="","",SUMIF(Donasi!$B$2:$B$20000,A1263,Donasi!$C$2:$C$20000))</f>
        <v/>
      </c>
      <c r="E1263">
        <f>IF(A1263="","",6-CEILING(PERCENTRANK.INC($B$3:$B$6000,B1263,4)*5+0.000001,1))</f>
        <v/>
      </c>
      <c r="F1263">
        <f>IF(A1263="","",MAX(1,CEILING(PERCENTRANK.INC($C$3:$C$6000,C1263,4)*5+0.000001,1)))</f>
        <v/>
      </c>
      <c r="G1263">
        <f>IF(A1263="","",MAX(1,CEILING(PERCENTRANK.INC($D$3:$D$6000,D1263,4)*5+0.000001,1)))</f>
        <v/>
      </c>
      <c r="H1263">
        <f>IF(A1263="","",E1263&amp;F1263&amp;G1263)</f>
        <v/>
      </c>
      <c r="I1263">
        <f>IF(A1263="","",IF(AND(E1263&gt;=4,F1263&gt;=4,G1263&gt;=4),"Juara",IF(AND(F1263&gt;=4,E1263&gt;=3),"Setia",IF(AND(E1263=5,F1263&lt;=2,G1263&gt;=3),"Berpotensi",IF(AND(E1263&lt;=3,E1263&gt;=2,F1263&gt;=3),"Rawan",IF(AND(E1263&lt;=2,F1263&lt;=2),"Tidur","Umum"))))))</f>
        <v/>
      </c>
    </row>
    <row r="1264">
      <c r="B1264">
        <f>IF(A1264="","",$B$1-MAXIFS(Donasi!$A$2:$A$20000,Donasi!$B$2:$B$20000,A1264))</f>
        <v/>
      </c>
      <c r="C1264">
        <f>IF(A1264="","",COUNTIF(Donasi!$B$2:$B$20000,A1264))</f>
        <v/>
      </c>
      <c r="D1264">
        <f>IF(A1264="","",SUMIF(Donasi!$B$2:$B$20000,A1264,Donasi!$C$2:$C$20000))</f>
        <v/>
      </c>
      <c r="E1264">
        <f>IF(A1264="","",6-CEILING(PERCENTRANK.INC($B$3:$B$6000,B1264,4)*5+0.000001,1))</f>
        <v/>
      </c>
      <c r="F1264">
        <f>IF(A1264="","",MAX(1,CEILING(PERCENTRANK.INC($C$3:$C$6000,C1264,4)*5+0.000001,1)))</f>
        <v/>
      </c>
      <c r="G1264">
        <f>IF(A1264="","",MAX(1,CEILING(PERCENTRANK.INC($D$3:$D$6000,D1264,4)*5+0.000001,1)))</f>
        <v/>
      </c>
      <c r="H1264">
        <f>IF(A1264="","",E1264&amp;F1264&amp;G1264)</f>
        <v/>
      </c>
      <c r="I1264">
        <f>IF(A1264="","",IF(AND(E1264&gt;=4,F1264&gt;=4,G1264&gt;=4),"Juara",IF(AND(F1264&gt;=4,E1264&gt;=3),"Setia",IF(AND(E1264=5,F1264&lt;=2,G1264&gt;=3),"Berpotensi",IF(AND(E1264&lt;=3,E1264&gt;=2,F1264&gt;=3),"Rawan",IF(AND(E1264&lt;=2,F1264&lt;=2),"Tidur","Umum"))))))</f>
        <v/>
      </c>
    </row>
    <row r="1265">
      <c r="B1265">
        <f>IF(A1265="","",$B$1-MAXIFS(Donasi!$A$2:$A$20000,Donasi!$B$2:$B$20000,A1265))</f>
        <v/>
      </c>
      <c r="C1265">
        <f>IF(A1265="","",COUNTIF(Donasi!$B$2:$B$20000,A1265))</f>
        <v/>
      </c>
      <c r="D1265">
        <f>IF(A1265="","",SUMIF(Donasi!$B$2:$B$20000,A1265,Donasi!$C$2:$C$20000))</f>
        <v/>
      </c>
      <c r="E1265">
        <f>IF(A1265="","",6-CEILING(PERCENTRANK.INC($B$3:$B$6000,B1265,4)*5+0.000001,1))</f>
        <v/>
      </c>
      <c r="F1265">
        <f>IF(A1265="","",MAX(1,CEILING(PERCENTRANK.INC($C$3:$C$6000,C1265,4)*5+0.000001,1)))</f>
        <v/>
      </c>
      <c r="G1265">
        <f>IF(A1265="","",MAX(1,CEILING(PERCENTRANK.INC($D$3:$D$6000,D1265,4)*5+0.000001,1)))</f>
        <v/>
      </c>
      <c r="H1265">
        <f>IF(A1265="","",E1265&amp;F1265&amp;G1265)</f>
        <v/>
      </c>
      <c r="I1265">
        <f>IF(A1265="","",IF(AND(E1265&gt;=4,F1265&gt;=4,G1265&gt;=4),"Juara",IF(AND(F1265&gt;=4,E1265&gt;=3),"Setia",IF(AND(E1265=5,F1265&lt;=2,G1265&gt;=3),"Berpotensi",IF(AND(E1265&lt;=3,E1265&gt;=2,F1265&gt;=3),"Rawan",IF(AND(E1265&lt;=2,F1265&lt;=2),"Tidur","Umum"))))))</f>
        <v/>
      </c>
    </row>
    <row r="1266">
      <c r="B1266">
        <f>IF(A1266="","",$B$1-MAXIFS(Donasi!$A$2:$A$20000,Donasi!$B$2:$B$20000,A1266))</f>
        <v/>
      </c>
      <c r="C1266">
        <f>IF(A1266="","",COUNTIF(Donasi!$B$2:$B$20000,A1266))</f>
        <v/>
      </c>
      <c r="D1266">
        <f>IF(A1266="","",SUMIF(Donasi!$B$2:$B$20000,A1266,Donasi!$C$2:$C$20000))</f>
        <v/>
      </c>
      <c r="E1266">
        <f>IF(A1266="","",6-CEILING(PERCENTRANK.INC($B$3:$B$6000,B1266,4)*5+0.000001,1))</f>
        <v/>
      </c>
      <c r="F1266">
        <f>IF(A1266="","",MAX(1,CEILING(PERCENTRANK.INC($C$3:$C$6000,C1266,4)*5+0.000001,1)))</f>
        <v/>
      </c>
      <c r="G1266">
        <f>IF(A1266="","",MAX(1,CEILING(PERCENTRANK.INC($D$3:$D$6000,D1266,4)*5+0.000001,1)))</f>
        <v/>
      </c>
      <c r="H1266">
        <f>IF(A1266="","",E1266&amp;F1266&amp;G1266)</f>
        <v/>
      </c>
      <c r="I1266">
        <f>IF(A1266="","",IF(AND(E1266&gt;=4,F1266&gt;=4,G1266&gt;=4),"Juara",IF(AND(F1266&gt;=4,E1266&gt;=3),"Setia",IF(AND(E1266=5,F1266&lt;=2,G1266&gt;=3),"Berpotensi",IF(AND(E1266&lt;=3,E1266&gt;=2,F1266&gt;=3),"Rawan",IF(AND(E1266&lt;=2,F1266&lt;=2),"Tidur","Umum"))))))</f>
        <v/>
      </c>
    </row>
    <row r="1267">
      <c r="B1267">
        <f>IF(A1267="","",$B$1-MAXIFS(Donasi!$A$2:$A$20000,Donasi!$B$2:$B$20000,A1267))</f>
        <v/>
      </c>
      <c r="C1267">
        <f>IF(A1267="","",COUNTIF(Donasi!$B$2:$B$20000,A1267))</f>
        <v/>
      </c>
      <c r="D1267">
        <f>IF(A1267="","",SUMIF(Donasi!$B$2:$B$20000,A1267,Donasi!$C$2:$C$20000))</f>
        <v/>
      </c>
      <c r="E1267">
        <f>IF(A1267="","",6-CEILING(PERCENTRANK.INC($B$3:$B$6000,B1267,4)*5+0.000001,1))</f>
        <v/>
      </c>
      <c r="F1267">
        <f>IF(A1267="","",MAX(1,CEILING(PERCENTRANK.INC($C$3:$C$6000,C1267,4)*5+0.000001,1)))</f>
        <v/>
      </c>
      <c r="G1267">
        <f>IF(A1267="","",MAX(1,CEILING(PERCENTRANK.INC($D$3:$D$6000,D1267,4)*5+0.000001,1)))</f>
        <v/>
      </c>
      <c r="H1267">
        <f>IF(A1267="","",E1267&amp;F1267&amp;G1267)</f>
        <v/>
      </c>
      <c r="I1267">
        <f>IF(A1267="","",IF(AND(E1267&gt;=4,F1267&gt;=4,G1267&gt;=4),"Juara",IF(AND(F1267&gt;=4,E1267&gt;=3),"Setia",IF(AND(E1267=5,F1267&lt;=2,G1267&gt;=3),"Berpotensi",IF(AND(E1267&lt;=3,E1267&gt;=2,F1267&gt;=3),"Rawan",IF(AND(E1267&lt;=2,F1267&lt;=2),"Tidur","Umum"))))))</f>
        <v/>
      </c>
    </row>
    <row r="1268">
      <c r="B1268">
        <f>IF(A1268="","",$B$1-MAXIFS(Donasi!$A$2:$A$20000,Donasi!$B$2:$B$20000,A1268))</f>
        <v/>
      </c>
      <c r="C1268">
        <f>IF(A1268="","",COUNTIF(Donasi!$B$2:$B$20000,A1268))</f>
        <v/>
      </c>
      <c r="D1268">
        <f>IF(A1268="","",SUMIF(Donasi!$B$2:$B$20000,A1268,Donasi!$C$2:$C$20000))</f>
        <v/>
      </c>
      <c r="E1268">
        <f>IF(A1268="","",6-CEILING(PERCENTRANK.INC($B$3:$B$6000,B1268,4)*5+0.000001,1))</f>
        <v/>
      </c>
      <c r="F1268">
        <f>IF(A1268="","",MAX(1,CEILING(PERCENTRANK.INC($C$3:$C$6000,C1268,4)*5+0.000001,1)))</f>
        <v/>
      </c>
      <c r="G1268">
        <f>IF(A1268="","",MAX(1,CEILING(PERCENTRANK.INC($D$3:$D$6000,D1268,4)*5+0.000001,1)))</f>
        <v/>
      </c>
      <c r="H1268">
        <f>IF(A1268="","",E1268&amp;F1268&amp;G1268)</f>
        <v/>
      </c>
      <c r="I1268">
        <f>IF(A1268="","",IF(AND(E1268&gt;=4,F1268&gt;=4,G1268&gt;=4),"Juara",IF(AND(F1268&gt;=4,E1268&gt;=3),"Setia",IF(AND(E1268=5,F1268&lt;=2,G1268&gt;=3),"Berpotensi",IF(AND(E1268&lt;=3,E1268&gt;=2,F1268&gt;=3),"Rawan",IF(AND(E1268&lt;=2,F1268&lt;=2),"Tidur","Umum"))))))</f>
        <v/>
      </c>
    </row>
    <row r="1269">
      <c r="B1269">
        <f>IF(A1269="","",$B$1-MAXIFS(Donasi!$A$2:$A$20000,Donasi!$B$2:$B$20000,A1269))</f>
        <v/>
      </c>
      <c r="C1269">
        <f>IF(A1269="","",COUNTIF(Donasi!$B$2:$B$20000,A1269))</f>
        <v/>
      </c>
      <c r="D1269">
        <f>IF(A1269="","",SUMIF(Donasi!$B$2:$B$20000,A1269,Donasi!$C$2:$C$20000))</f>
        <v/>
      </c>
      <c r="E1269">
        <f>IF(A1269="","",6-CEILING(PERCENTRANK.INC($B$3:$B$6000,B1269,4)*5+0.000001,1))</f>
        <v/>
      </c>
      <c r="F1269">
        <f>IF(A1269="","",MAX(1,CEILING(PERCENTRANK.INC($C$3:$C$6000,C1269,4)*5+0.000001,1)))</f>
        <v/>
      </c>
      <c r="G1269">
        <f>IF(A1269="","",MAX(1,CEILING(PERCENTRANK.INC($D$3:$D$6000,D1269,4)*5+0.000001,1)))</f>
        <v/>
      </c>
      <c r="H1269">
        <f>IF(A1269="","",E1269&amp;F1269&amp;G1269)</f>
        <v/>
      </c>
      <c r="I1269">
        <f>IF(A1269="","",IF(AND(E1269&gt;=4,F1269&gt;=4,G1269&gt;=4),"Juara",IF(AND(F1269&gt;=4,E1269&gt;=3),"Setia",IF(AND(E1269=5,F1269&lt;=2,G1269&gt;=3),"Berpotensi",IF(AND(E1269&lt;=3,E1269&gt;=2,F1269&gt;=3),"Rawan",IF(AND(E1269&lt;=2,F1269&lt;=2),"Tidur","Umum"))))))</f>
        <v/>
      </c>
    </row>
    <row r="1270">
      <c r="B1270">
        <f>IF(A1270="","",$B$1-MAXIFS(Donasi!$A$2:$A$20000,Donasi!$B$2:$B$20000,A1270))</f>
        <v/>
      </c>
      <c r="C1270">
        <f>IF(A1270="","",COUNTIF(Donasi!$B$2:$B$20000,A1270))</f>
        <v/>
      </c>
      <c r="D1270">
        <f>IF(A1270="","",SUMIF(Donasi!$B$2:$B$20000,A1270,Donasi!$C$2:$C$20000))</f>
        <v/>
      </c>
      <c r="E1270">
        <f>IF(A1270="","",6-CEILING(PERCENTRANK.INC($B$3:$B$6000,B1270,4)*5+0.000001,1))</f>
        <v/>
      </c>
      <c r="F1270">
        <f>IF(A1270="","",MAX(1,CEILING(PERCENTRANK.INC($C$3:$C$6000,C1270,4)*5+0.000001,1)))</f>
        <v/>
      </c>
      <c r="G1270">
        <f>IF(A1270="","",MAX(1,CEILING(PERCENTRANK.INC($D$3:$D$6000,D1270,4)*5+0.000001,1)))</f>
        <v/>
      </c>
      <c r="H1270">
        <f>IF(A1270="","",E1270&amp;F1270&amp;G1270)</f>
        <v/>
      </c>
      <c r="I1270">
        <f>IF(A1270="","",IF(AND(E1270&gt;=4,F1270&gt;=4,G1270&gt;=4),"Juara",IF(AND(F1270&gt;=4,E1270&gt;=3),"Setia",IF(AND(E1270=5,F1270&lt;=2,G1270&gt;=3),"Berpotensi",IF(AND(E1270&lt;=3,E1270&gt;=2,F1270&gt;=3),"Rawan",IF(AND(E1270&lt;=2,F1270&lt;=2),"Tidur","Umum"))))))</f>
        <v/>
      </c>
    </row>
    <row r="1271">
      <c r="B1271">
        <f>IF(A1271="","",$B$1-MAXIFS(Donasi!$A$2:$A$20000,Donasi!$B$2:$B$20000,A1271))</f>
        <v/>
      </c>
      <c r="C1271">
        <f>IF(A1271="","",COUNTIF(Donasi!$B$2:$B$20000,A1271))</f>
        <v/>
      </c>
      <c r="D1271">
        <f>IF(A1271="","",SUMIF(Donasi!$B$2:$B$20000,A1271,Donasi!$C$2:$C$20000))</f>
        <v/>
      </c>
      <c r="E1271">
        <f>IF(A1271="","",6-CEILING(PERCENTRANK.INC($B$3:$B$6000,B1271,4)*5+0.000001,1))</f>
        <v/>
      </c>
      <c r="F1271">
        <f>IF(A1271="","",MAX(1,CEILING(PERCENTRANK.INC($C$3:$C$6000,C1271,4)*5+0.000001,1)))</f>
        <v/>
      </c>
      <c r="G1271">
        <f>IF(A1271="","",MAX(1,CEILING(PERCENTRANK.INC($D$3:$D$6000,D1271,4)*5+0.000001,1)))</f>
        <v/>
      </c>
      <c r="H1271">
        <f>IF(A1271="","",E1271&amp;F1271&amp;G1271)</f>
        <v/>
      </c>
      <c r="I1271">
        <f>IF(A1271="","",IF(AND(E1271&gt;=4,F1271&gt;=4,G1271&gt;=4),"Juara",IF(AND(F1271&gt;=4,E1271&gt;=3),"Setia",IF(AND(E1271=5,F1271&lt;=2,G1271&gt;=3),"Berpotensi",IF(AND(E1271&lt;=3,E1271&gt;=2,F1271&gt;=3),"Rawan",IF(AND(E1271&lt;=2,F1271&lt;=2),"Tidur","Umum"))))))</f>
        <v/>
      </c>
    </row>
    <row r="1272">
      <c r="B1272">
        <f>IF(A1272="","",$B$1-MAXIFS(Donasi!$A$2:$A$20000,Donasi!$B$2:$B$20000,A1272))</f>
        <v/>
      </c>
      <c r="C1272">
        <f>IF(A1272="","",COUNTIF(Donasi!$B$2:$B$20000,A1272))</f>
        <v/>
      </c>
      <c r="D1272">
        <f>IF(A1272="","",SUMIF(Donasi!$B$2:$B$20000,A1272,Donasi!$C$2:$C$20000))</f>
        <v/>
      </c>
      <c r="E1272">
        <f>IF(A1272="","",6-CEILING(PERCENTRANK.INC($B$3:$B$6000,B1272,4)*5+0.000001,1))</f>
        <v/>
      </c>
      <c r="F1272">
        <f>IF(A1272="","",MAX(1,CEILING(PERCENTRANK.INC($C$3:$C$6000,C1272,4)*5+0.000001,1)))</f>
        <v/>
      </c>
      <c r="G1272">
        <f>IF(A1272="","",MAX(1,CEILING(PERCENTRANK.INC($D$3:$D$6000,D1272,4)*5+0.000001,1)))</f>
        <v/>
      </c>
      <c r="H1272">
        <f>IF(A1272="","",E1272&amp;F1272&amp;G1272)</f>
        <v/>
      </c>
      <c r="I1272">
        <f>IF(A1272="","",IF(AND(E1272&gt;=4,F1272&gt;=4,G1272&gt;=4),"Juara",IF(AND(F1272&gt;=4,E1272&gt;=3),"Setia",IF(AND(E1272=5,F1272&lt;=2,G1272&gt;=3),"Berpotensi",IF(AND(E1272&lt;=3,E1272&gt;=2,F1272&gt;=3),"Rawan",IF(AND(E1272&lt;=2,F1272&lt;=2),"Tidur","Umum"))))))</f>
        <v/>
      </c>
    </row>
    <row r="1273">
      <c r="B1273">
        <f>IF(A1273="","",$B$1-MAXIFS(Donasi!$A$2:$A$20000,Donasi!$B$2:$B$20000,A1273))</f>
        <v/>
      </c>
      <c r="C1273">
        <f>IF(A1273="","",COUNTIF(Donasi!$B$2:$B$20000,A1273))</f>
        <v/>
      </c>
      <c r="D1273">
        <f>IF(A1273="","",SUMIF(Donasi!$B$2:$B$20000,A1273,Donasi!$C$2:$C$20000))</f>
        <v/>
      </c>
      <c r="E1273">
        <f>IF(A1273="","",6-CEILING(PERCENTRANK.INC($B$3:$B$6000,B1273,4)*5+0.000001,1))</f>
        <v/>
      </c>
      <c r="F1273">
        <f>IF(A1273="","",MAX(1,CEILING(PERCENTRANK.INC($C$3:$C$6000,C1273,4)*5+0.000001,1)))</f>
        <v/>
      </c>
      <c r="G1273">
        <f>IF(A1273="","",MAX(1,CEILING(PERCENTRANK.INC($D$3:$D$6000,D1273,4)*5+0.000001,1)))</f>
        <v/>
      </c>
      <c r="H1273">
        <f>IF(A1273="","",E1273&amp;F1273&amp;G1273)</f>
        <v/>
      </c>
      <c r="I1273">
        <f>IF(A1273="","",IF(AND(E1273&gt;=4,F1273&gt;=4,G1273&gt;=4),"Juara",IF(AND(F1273&gt;=4,E1273&gt;=3),"Setia",IF(AND(E1273=5,F1273&lt;=2,G1273&gt;=3),"Berpotensi",IF(AND(E1273&lt;=3,E1273&gt;=2,F1273&gt;=3),"Rawan",IF(AND(E1273&lt;=2,F1273&lt;=2),"Tidur","Umum"))))))</f>
        <v/>
      </c>
    </row>
    <row r="1274">
      <c r="B1274">
        <f>IF(A1274="","",$B$1-MAXIFS(Donasi!$A$2:$A$20000,Donasi!$B$2:$B$20000,A1274))</f>
        <v/>
      </c>
      <c r="C1274">
        <f>IF(A1274="","",COUNTIF(Donasi!$B$2:$B$20000,A1274))</f>
        <v/>
      </c>
      <c r="D1274">
        <f>IF(A1274="","",SUMIF(Donasi!$B$2:$B$20000,A1274,Donasi!$C$2:$C$20000))</f>
        <v/>
      </c>
      <c r="E1274">
        <f>IF(A1274="","",6-CEILING(PERCENTRANK.INC($B$3:$B$6000,B1274,4)*5+0.000001,1))</f>
        <v/>
      </c>
      <c r="F1274">
        <f>IF(A1274="","",MAX(1,CEILING(PERCENTRANK.INC($C$3:$C$6000,C1274,4)*5+0.000001,1)))</f>
        <v/>
      </c>
      <c r="G1274">
        <f>IF(A1274="","",MAX(1,CEILING(PERCENTRANK.INC($D$3:$D$6000,D1274,4)*5+0.000001,1)))</f>
        <v/>
      </c>
      <c r="H1274">
        <f>IF(A1274="","",E1274&amp;F1274&amp;G1274)</f>
        <v/>
      </c>
      <c r="I1274">
        <f>IF(A1274="","",IF(AND(E1274&gt;=4,F1274&gt;=4,G1274&gt;=4),"Juara",IF(AND(F1274&gt;=4,E1274&gt;=3),"Setia",IF(AND(E1274=5,F1274&lt;=2,G1274&gt;=3),"Berpotensi",IF(AND(E1274&lt;=3,E1274&gt;=2,F1274&gt;=3),"Rawan",IF(AND(E1274&lt;=2,F1274&lt;=2),"Tidur","Umum"))))))</f>
        <v/>
      </c>
    </row>
    <row r="1275">
      <c r="B1275">
        <f>IF(A1275="","",$B$1-MAXIFS(Donasi!$A$2:$A$20000,Donasi!$B$2:$B$20000,A1275))</f>
        <v/>
      </c>
      <c r="C1275">
        <f>IF(A1275="","",COUNTIF(Donasi!$B$2:$B$20000,A1275))</f>
        <v/>
      </c>
      <c r="D1275">
        <f>IF(A1275="","",SUMIF(Donasi!$B$2:$B$20000,A1275,Donasi!$C$2:$C$20000))</f>
        <v/>
      </c>
      <c r="E1275">
        <f>IF(A1275="","",6-CEILING(PERCENTRANK.INC($B$3:$B$6000,B1275,4)*5+0.000001,1))</f>
        <v/>
      </c>
      <c r="F1275">
        <f>IF(A1275="","",MAX(1,CEILING(PERCENTRANK.INC($C$3:$C$6000,C1275,4)*5+0.000001,1)))</f>
        <v/>
      </c>
      <c r="G1275">
        <f>IF(A1275="","",MAX(1,CEILING(PERCENTRANK.INC($D$3:$D$6000,D1275,4)*5+0.000001,1)))</f>
        <v/>
      </c>
      <c r="H1275">
        <f>IF(A1275="","",E1275&amp;F1275&amp;G1275)</f>
        <v/>
      </c>
      <c r="I1275">
        <f>IF(A1275="","",IF(AND(E1275&gt;=4,F1275&gt;=4,G1275&gt;=4),"Juara",IF(AND(F1275&gt;=4,E1275&gt;=3),"Setia",IF(AND(E1275=5,F1275&lt;=2,G1275&gt;=3),"Berpotensi",IF(AND(E1275&lt;=3,E1275&gt;=2,F1275&gt;=3),"Rawan",IF(AND(E1275&lt;=2,F1275&lt;=2),"Tidur","Umum"))))))</f>
        <v/>
      </c>
    </row>
    <row r="1276">
      <c r="B1276">
        <f>IF(A1276="","",$B$1-MAXIFS(Donasi!$A$2:$A$20000,Donasi!$B$2:$B$20000,A1276))</f>
        <v/>
      </c>
      <c r="C1276">
        <f>IF(A1276="","",COUNTIF(Donasi!$B$2:$B$20000,A1276))</f>
        <v/>
      </c>
      <c r="D1276">
        <f>IF(A1276="","",SUMIF(Donasi!$B$2:$B$20000,A1276,Donasi!$C$2:$C$20000))</f>
        <v/>
      </c>
      <c r="E1276">
        <f>IF(A1276="","",6-CEILING(PERCENTRANK.INC($B$3:$B$6000,B1276,4)*5+0.000001,1))</f>
        <v/>
      </c>
      <c r="F1276">
        <f>IF(A1276="","",MAX(1,CEILING(PERCENTRANK.INC($C$3:$C$6000,C1276,4)*5+0.000001,1)))</f>
        <v/>
      </c>
      <c r="G1276">
        <f>IF(A1276="","",MAX(1,CEILING(PERCENTRANK.INC($D$3:$D$6000,D1276,4)*5+0.000001,1)))</f>
        <v/>
      </c>
      <c r="H1276">
        <f>IF(A1276="","",E1276&amp;F1276&amp;G1276)</f>
        <v/>
      </c>
      <c r="I1276">
        <f>IF(A1276="","",IF(AND(E1276&gt;=4,F1276&gt;=4,G1276&gt;=4),"Juara",IF(AND(F1276&gt;=4,E1276&gt;=3),"Setia",IF(AND(E1276=5,F1276&lt;=2,G1276&gt;=3),"Berpotensi",IF(AND(E1276&lt;=3,E1276&gt;=2,F1276&gt;=3),"Rawan",IF(AND(E1276&lt;=2,F1276&lt;=2),"Tidur","Umum"))))))</f>
        <v/>
      </c>
    </row>
    <row r="1277">
      <c r="B1277">
        <f>IF(A1277="","",$B$1-MAXIFS(Donasi!$A$2:$A$20000,Donasi!$B$2:$B$20000,A1277))</f>
        <v/>
      </c>
      <c r="C1277">
        <f>IF(A1277="","",COUNTIF(Donasi!$B$2:$B$20000,A1277))</f>
        <v/>
      </c>
      <c r="D1277">
        <f>IF(A1277="","",SUMIF(Donasi!$B$2:$B$20000,A1277,Donasi!$C$2:$C$20000))</f>
        <v/>
      </c>
      <c r="E1277">
        <f>IF(A1277="","",6-CEILING(PERCENTRANK.INC($B$3:$B$6000,B1277,4)*5+0.000001,1))</f>
        <v/>
      </c>
      <c r="F1277">
        <f>IF(A1277="","",MAX(1,CEILING(PERCENTRANK.INC($C$3:$C$6000,C1277,4)*5+0.000001,1)))</f>
        <v/>
      </c>
      <c r="G1277">
        <f>IF(A1277="","",MAX(1,CEILING(PERCENTRANK.INC($D$3:$D$6000,D1277,4)*5+0.000001,1)))</f>
        <v/>
      </c>
      <c r="H1277">
        <f>IF(A1277="","",E1277&amp;F1277&amp;G1277)</f>
        <v/>
      </c>
      <c r="I1277">
        <f>IF(A1277="","",IF(AND(E1277&gt;=4,F1277&gt;=4,G1277&gt;=4),"Juara",IF(AND(F1277&gt;=4,E1277&gt;=3),"Setia",IF(AND(E1277=5,F1277&lt;=2,G1277&gt;=3),"Berpotensi",IF(AND(E1277&lt;=3,E1277&gt;=2,F1277&gt;=3),"Rawan",IF(AND(E1277&lt;=2,F1277&lt;=2),"Tidur","Umum"))))))</f>
        <v/>
      </c>
    </row>
    <row r="1278">
      <c r="B1278">
        <f>IF(A1278="","",$B$1-MAXIFS(Donasi!$A$2:$A$20000,Donasi!$B$2:$B$20000,A1278))</f>
        <v/>
      </c>
      <c r="C1278">
        <f>IF(A1278="","",COUNTIF(Donasi!$B$2:$B$20000,A1278))</f>
        <v/>
      </c>
      <c r="D1278">
        <f>IF(A1278="","",SUMIF(Donasi!$B$2:$B$20000,A1278,Donasi!$C$2:$C$20000))</f>
        <v/>
      </c>
      <c r="E1278">
        <f>IF(A1278="","",6-CEILING(PERCENTRANK.INC($B$3:$B$6000,B1278,4)*5+0.000001,1))</f>
        <v/>
      </c>
      <c r="F1278">
        <f>IF(A1278="","",MAX(1,CEILING(PERCENTRANK.INC($C$3:$C$6000,C1278,4)*5+0.000001,1)))</f>
        <v/>
      </c>
      <c r="G1278">
        <f>IF(A1278="","",MAX(1,CEILING(PERCENTRANK.INC($D$3:$D$6000,D1278,4)*5+0.000001,1)))</f>
        <v/>
      </c>
      <c r="H1278">
        <f>IF(A1278="","",E1278&amp;F1278&amp;G1278)</f>
        <v/>
      </c>
      <c r="I1278">
        <f>IF(A1278="","",IF(AND(E1278&gt;=4,F1278&gt;=4,G1278&gt;=4),"Juara",IF(AND(F1278&gt;=4,E1278&gt;=3),"Setia",IF(AND(E1278=5,F1278&lt;=2,G1278&gt;=3),"Berpotensi",IF(AND(E1278&lt;=3,E1278&gt;=2,F1278&gt;=3),"Rawan",IF(AND(E1278&lt;=2,F1278&lt;=2),"Tidur","Umum"))))))</f>
        <v/>
      </c>
    </row>
    <row r="1279">
      <c r="B1279">
        <f>IF(A1279="","",$B$1-MAXIFS(Donasi!$A$2:$A$20000,Donasi!$B$2:$B$20000,A1279))</f>
        <v/>
      </c>
      <c r="C1279">
        <f>IF(A1279="","",COUNTIF(Donasi!$B$2:$B$20000,A1279))</f>
        <v/>
      </c>
      <c r="D1279">
        <f>IF(A1279="","",SUMIF(Donasi!$B$2:$B$20000,A1279,Donasi!$C$2:$C$20000))</f>
        <v/>
      </c>
      <c r="E1279">
        <f>IF(A1279="","",6-CEILING(PERCENTRANK.INC($B$3:$B$6000,B1279,4)*5+0.000001,1))</f>
        <v/>
      </c>
      <c r="F1279">
        <f>IF(A1279="","",MAX(1,CEILING(PERCENTRANK.INC($C$3:$C$6000,C1279,4)*5+0.000001,1)))</f>
        <v/>
      </c>
      <c r="G1279">
        <f>IF(A1279="","",MAX(1,CEILING(PERCENTRANK.INC($D$3:$D$6000,D1279,4)*5+0.000001,1)))</f>
        <v/>
      </c>
      <c r="H1279">
        <f>IF(A1279="","",E1279&amp;F1279&amp;G1279)</f>
        <v/>
      </c>
      <c r="I1279">
        <f>IF(A1279="","",IF(AND(E1279&gt;=4,F1279&gt;=4,G1279&gt;=4),"Juara",IF(AND(F1279&gt;=4,E1279&gt;=3),"Setia",IF(AND(E1279=5,F1279&lt;=2,G1279&gt;=3),"Berpotensi",IF(AND(E1279&lt;=3,E1279&gt;=2,F1279&gt;=3),"Rawan",IF(AND(E1279&lt;=2,F1279&lt;=2),"Tidur","Umum"))))))</f>
        <v/>
      </c>
    </row>
    <row r="1280">
      <c r="B1280">
        <f>IF(A1280="","",$B$1-MAXIFS(Donasi!$A$2:$A$20000,Donasi!$B$2:$B$20000,A1280))</f>
        <v/>
      </c>
      <c r="C1280">
        <f>IF(A1280="","",COUNTIF(Donasi!$B$2:$B$20000,A1280))</f>
        <v/>
      </c>
      <c r="D1280">
        <f>IF(A1280="","",SUMIF(Donasi!$B$2:$B$20000,A1280,Donasi!$C$2:$C$20000))</f>
        <v/>
      </c>
      <c r="E1280">
        <f>IF(A1280="","",6-CEILING(PERCENTRANK.INC($B$3:$B$6000,B1280,4)*5+0.000001,1))</f>
        <v/>
      </c>
      <c r="F1280">
        <f>IF(A1280="","",MAX(1,CEILING(PERCENTRANK.INC($C$3:$C$6000,C1280,4)*5+0.000001,1)))</f>
        <v/>
      </c>
      <c r="G1280">
        <f>IF(A1280="","",MAX(1,CEILING(PERCENTRANK.INC($D$3:$D$6000,D1280,4)*5+0.000001,1)))</f>
        <v/>
      </c>
      <c r="H1280">
        <f>IF(A1280="","",E1280&amp;F1280&amp;G1280)</f>
        <v/>
      </c>
      <c r="I1280">
        <f>IF(A1280="","",IF(AND(E1280&gt;=4,F1280&gt;=4,G1280&gt;=4),"Juara",IF(AND(F1280&gt;=4,E1280&gt;=3),"Setia",IF(AND(E1280=5,F1280&lt;=2,G1280&gt;=3),"Berpotensi",IF(AND(E1280&lt;=3,E1280&gt;=2,F1280&gt;=3),"Rawan",IF(AND(E1280&lt;=2,F1280&lt;=2),"Tidur","Umum"))))))</f>
        <v/>
      </c>
    </row>
    <row r="1281">
      <c r="B1281">
        <f>IF(A1281="","",$B$1-MAXIFS(Donasi!$A$2:$A$20000,Donasi!$B$2:$B$20000,A1281))</f>
        <v/>
      </c>
      <c r="C1281">
        <f>IF(A1281="","",COUNTIF(Donasi!$B$2:$B$20000,A1281))</f>
        <v/>
      </c>
      <c r="D1281">
        <f>IF(A1281="","",SUMIF(Donasi!$B$2:$B$20000,A1281,Donasi!$C$2:$C$20000))</f>
        <v/>
      </c>
      <c r="E1281">
        <f>IF(A1281="","",6-CEILING(PERCENTRANK.INC($B$3:$B$6000,B1281,4)*5+0.000001,1))</f>
        <v/>
      </c>
      <c r="F1281">
        <f>IF(A1281="","",MAX(1,CEILING(PERCENTRANK.INC($C$3:$C$6000,C1281,4)*5+0.000001,1)))</f>
        <v/>
      </c>
      <c r="G1281">
        <f>IF(A1281="","",MAX(1,CEILING(PERCENTRANK.INC($D$3:$D$6000,D1281,4)*5+0.000001,1)))</f>
        <v/>
      </c>
      <c r="H1281">
        <f>IF(A1281="","",E1281&amp;F1281&amp;G1281)</f>
        <v/>
      </c>
      <c r="I1281">
        <f>IF(A1281="","",IF(AND(E1281&gt;=4,F1281&gt;=4,G1281&gt;=4),"Juara",IF(AND(F1281&gt;=4,E1281&gt;=3),"Setia",IF(AND(E1281=5,F1281&lt;=2,G1281&gt;=3),"Berpotensi",IF(AND(E1281&lt;=3,E1281&gt;=2,F1281&gt;=3),"Rawan",IF(AND(E1281&lt;=2,F1281&lt;=2),"Tidur","Umum"))))))</f>
        <v/>
      </c>
    </row>
    <row r="1282">
      <c r="B1282">
        <f>IF(A1282="","",$B$1-MAXIFS(Donasi!$A$2:$A$20000,Donasi!$B$2:$B$20000,A1282))</f>
        <v/>
      </c>
      <c r="C1282">
        <f>IF(A1282="","",COUNTIF(Donasi!$B$2:$B$20000,A1282))</f>
        <v/>
      </c>
      <c r="D1282">
        <f>IF(A1282="","",SUMIF(Donasi!$B$2:$B$20000,A1282,Donasi!$C$2:$C$20000))</f>
        <v/>
      </c>
      <c r="E1282">
        <f>IF(A1282="","",6-CEILING(PERCENTRANK.INC($B$3:$B$6000,B1282,4)*5+0.000001,1))</f>
        <v/>
      </c>
      <c r="F1282">
        <f>IF(A1282="","",MAX(1,CEILING(PERCENTRANK.INC($C$3:$C$6000,C1282,4)*5+0.000001,1)))</f>
        <v/>
      </c>
      <c r="G1282">
        <f>IF(A1282="","",MAX(1,CEILING(PERCENTRANK.INC($D$3:$D$6000,D1282,4)*5+0.000001,1)))</f>
        <v/>
      </c>
      <c r="H1282">
        <f>IF(A1282="","",E1282&amp;F1282&amp;G1282)</f>
        <v/>
      </c>
      <c r="I1282">
        <f>IF(A1282="","",IF(AND(E1282&gt;=4,F1282&gt;=4,G1282&gt;=4),"Juara",IF(AND(F1282&gt;=4,E1282&gt;=3),"Setia",IF(AND(E1282=5,F1282&lt;=2,G1282&gt;=3),"Berpotensi",IF(AND(E1282&lt;=3,E1282&gt;=2,F1282&gt;=3),"Rawan",IF(AND(E1282&lt;=2,F1282&lt;=2),"Tidur","Umum"))))))</f>
        <v/>
      </c>
    </row>
    <row r="1283">
      <c r="B1283">
        <f>IF(A1283="","",$B$1-MAXIFS(Donasi!$A$2:$A$20000,Donasi!$B$2:$B$20000,A1283))</f>
        <v/>
      </c>
      <c r="C1283">
        <f>IF(A1283="","",COUNTIF(Donasi!$B$2:$B$20000,A1283))</f>
        <v/>
      </c>
      <c r="D1283">
        <f>IF(A1283="","",SUMIF(Donasi!$B$2:$B$20000,A1283,Donasi!$C$2:$C$20000))</f>
        <v/>
      </c>
      <c r="E1283">
        <f>IF(A1283="","",6-CEILING(PERCENTRANK.INC($B$3:$B$6000,B1283,4)*5+0.000001,1))</f>
        <v/>
      </c>
      <c r="F1283">
        <f>IF(A1283="","",MAX(1,CEILING(PERCENTRANK.INC($C$3:$C$6000,C1283,4)*5+0.000001,1)))</f>
        <v/>
      </c>
      <c r="G1283">
        <f>IF(A1283="","",MAX(1,CEILING(PERCENTRANK.INC($D$3:$D$6000,D1283,4)*5+0.000001,1)))</f>
        <v/>
      </c>
      <c r="H1283">
        <f>IF(A1283="","",E1283&amp;F1283&amp;G1283)</f>
        <v/>
      </c>
      <c r="I1283">
        <f>IF(A1283="","",IF(AND(E1283&gt;=4,F1283&gt;=4,G1283&gt;=4),"Juara",IF(AND(F1283&gt;=4,E1283&gt;=3),"Setia",IF(AND(E1283=5,F1283&lt;=2,G1283&gt;=3),"Berpotensi",IF(AND(E1283&lt;=3,E1283&gt;=2,F1283&gt;=3),"Rawan",IF(AND(E1283&lt;=2,F1283&lt;=2),"Tidur","Umum"))))))</f>
        <v/>
      </c>
    </row>
    <row r="1284">
      <c r="B1284">
        <f>IF(A1284="","",$B$1-MAXIFS(Donasi!$A$2:$A$20000,Donasi!$B$2:$B$20000,A1284))</f>
        <v/>
      </c>
      <c r="C1284">
        <f>IF(A1284="","",COUNTIF(Donasi!$B$2:$B$20000,A1284))</f>
        <v/>
      </c>
      <c r="D1284">
        <f>IF(A1284="","",SUMIF(Donasi!$B$2:$B$20000,A1284,Donasi!$C$2:$C$20000))</f>
        <v/>
      </c>
      <c r="E1284">
        <f>IF(A1284="","",6-CEILING(PERCENTRANK.INC($B$3:$B$6000,B1284,4)*5+0.000001,1))</f>
        <v/>
      </c>
      <c r="F1284">
        <f>IF(A1284="","",MAX(1,CEILING(PERCENTRANK.INC($C$3:$C$6000,C1284,4)*5+0.000001,1)))</f>
        <v/>
      </c>
      <c r="G1284">
        <f>IF(A1284="","",MAX(1,CEILING(PERCENTRANK.INC($D$3:$D$6000,D1284,4)*5+0.000001,1)))</f>
        <v/>
      </c>
      <c r="H1284">
        <f>IF(A1284="","",E1284&amp;F1284&amp;G1284)</f>
        <v/>
      </c>
      <c r="I1284">
        <f>IF(A1284="","",IF(AND(E1284&gt;=4,F1284&gt;=4,G1284&gt;=4),"Juara",IF(AND(F1284&gt;=4,E1284&gt;=3),"Setia",IF(AND(E1284=5,F1284&lt;=2,G1284&gt;=3),"Berpotensi",IF(AND(E1284&lt;=3,E1284&gt;=2,F1284&gt;=3),"Rawan",IF(AND(E1284&lt;=2,F1284&lt;=2),"Tidur","Umum"))))))</f>
        <v/>
      </c>
    </row>
    <row r="1285">
      <c r="B1285">
        <f>IF(A1285="","",$B$1-MAXIFS(Donasi!$A$2:$A$20000,Donasi!$B$2:$B$20000,A1285))</f>
        <v/>
      </c>
      <c r="C1285">
        <f>IF(A1285="","",COUNTIF(Donasi!$B$2:$B$20000,A1285))</f>
        <v/>
      </c>
      <c r="D1285">
        <f>IF(A1285="","",SUMIF(Donasi!$B$2:$B$20000,A1285,Donasi!$C$2:$C$20000))</f>
        <v/>
      </c>
      <c r="E1285">
        <f>IF(A1285="","",6-CEILING(PERCENTRANK.INC($B$3:$B$6000,B1285,4)*5+0.000001,1))</f>
        <v/>
      </c>
      <c r="F1285">
        <f>IF(A1285="","",MAX(1,CEILING(PERCENTRANK.INC($C$3:$C$6000,C1285,4)*5+0.000001,1)))</f>
        <v/>
      </c>
      <c r="G1285">
        <f>IF(A1285="","",MAX(1,CEILING(PERCENTRANK.INC($D$3:$D$6000,D1285,4)*5+0.000001,1)))</f>
        <v/>
      </c>
      <c r="H1285">
        <f>IF(A1285="","",E1285&amp;F1285&amp;G1285)</f>
        <v/>
      </c>
      <c r="I1285">
        <f>IF(A1285="","",IF(AND(E1285&gt;=4,F1285&gt;=4,G1285&gt;=4),"Juara",IF(AND(F1285&gt;=4,E1285&gt;=3),"Setia",IF(AND(E1285=5,F1285&lt;=2,G1285&gt;=3),"Berpotensi",IF(AND(E1285&lt;=3,E1285&gt;=2,F1285&gt;=3),"Rawan",IF(AND(E1285&lt;=2,F1285&lt;=2),"Tidur","Umum"))))))</f>
        <v/>
      </c>
    </row>
    <row r="1286">
      <c r="B1286">
        <f>IF(A1286="","",$B$1-MAXIFS(Donasi!$A$2:$A$20000,Donasi!$B$2:$B$20000,A1286))</f>
        <v/>
      </c>
      <c r="C1286">
        <f>IF(A1286="","",COUNTIF(Donasi!$B$2:$B$20000,A1286))</f>
        <v/>
      </c>
      <c r="D1286">
        <f>IF(A1286="","",SUMIF(Donasi!$B$2:$B$20000,A1286,Donasi!$C$2:$C$20000))</f>
        <v/>
      </c>
      <c r="E1286">
        <f>IF(A1286="","",6-CEILING(PERCENTRANK.INC($B$3:$B$6000,B1286,4)*5+0.000001,1))</f>
        <v/>
      </c>
      <c r="F1286">
        <f>IF(A1286="","",MAX(1,CEILING(PERCENTRANK.INC($C$3:$C$6000,C1286,4)*5+0.000001,1)))</f>
        <v/>
      </c>
      <c r="G1286">
        <f>IF(A1286="","",MAX(1,CEILING(PERCENTRANK.INC($D$3:$D$6000,D1286,4)*5+0.000001,1)))</f>
        <v/>
      </c>
      <c r="H1286">
        <f>IF(A1286="","",E1286&amp;F1286&amp;G1286)</f>
        <v/>
      </c>
      <c r="I1286">
        <f>IF(A1286="","",IF(AND(E1286&gt;=4,F1286&gt;=4,G1286&gt;=4),"Juara",IF(AND(F1286&gt;=4,E1286&gt;=3),"Setia",IF(AND(E1286=5,F1286&lt;=2,G1286&gt;=3),"Berpotensi",IF(AND(E1286&lt;=3,E1286&gt;=2,F1286&gt;=3),"Rawan",IF(AND(E1286&lt;=2,F1286&lt;=2),"Tidur","Umum"))))))</f>
        <v/>
      </c>
    </row>
    <row r="1287">
      <c r="B1287">
        <f>IF(A1287="","",$B$1-MAXIFS(Donasi!$A$2:$A$20000,Donasi!$B$2:$B$20000,A1287))</f>
        <v/>
      </c>
      <c r="C1287">
        <f>IF(A1287="","",COUNTIF(Donasi!$B$2:$B$20000,A1287))</f>
        <v/>
      </c>
      <c r="D1287">
        <f>IF(A1287="","",SUMIF(Donasi!$B$2:$B$20000,A1287,Donasi!$C$2:$C$20000))</f>
        <v/>
      </c>
      <c r="E1287">
        <f>IF(A1287="","",6-CEILING(PERCENTRANK.INC($B$3:$B$6000,B1287,4)*5+0.000001,1))</f>
        <v/>
      </c>
      <c r="F1287">
        <f>IF(A1287="","",MAX(1,CEILING(PERCENTRANK.INC($C$3:$C$6000,C1287,4)*5+0.000001,1)))</f>
        <v/>
      </c>
      <c r="G1287">
        <f>IF(A1287="","",MAX(1,CEILING(PERCENTRANK.INC($D$3:$D$6000,D1287,4)*5+0.000001,1)))</f>
        <v/>
      </c>
      <c r="H1287">
        <f>IF(A1287="","",E1287&amp;F1287&amp;G1287)</f>
        <v/>
      </c>
      <c r="I1287">
        <f>IF(A1287="","",IF(AND(E1287&gt;=4,F1287&gt;=4,G1287&gt;=4),"Juara",IF(AND(F1287&gt;=4,E1287&gt;=3),"Setia",IF(AND(E1287=5,F1287&lt;=2,G1287&gt;=3),"Berpotensi",IF(AND(E1287&lt;=3,E1287&gt;=2,F1287&gt;=3),"Rawan",IF(AND(E1287&lt;=2,F1287&lt;=2),"Tidur","Umum"))))))</f>
        <v/>
      </c>
    </row>
    <row r="1288">
      <c r="B1288">
        <f>IF(A1288="","",$B$1-MAXIFS(Donasi!$A$2:$A$20000,Donasi!$B$2:$B$20000,A1288))</f>
        <v/>
      </c>
      <c r="C1288">
        <f>IF(A1288="","",COUNTIF(Donasi!$B$2:$B$20000,A1288))</f>
        <v/>
      </c>
      <c r="D1288">
        <f>IF(A1288="","",SUMIF(Donasi!$B$2:$B$20000,A1288,Donasi!$C$2:$C$20000))</f>
        <v/>
      </c>
      <c r="E1288">
        <f>IF(A1288="","",6-CEILING(PERCENTRANK.INC($B$3:$B$6000,B1288,4)*5+0.000001,1))</f>
        <v/>
      </c>
      <c r="F1288">
        <f>IF(A1288="","",MAX(1,CEILING(PERCENTRANK.INC($C$3:$C$6000,C1288,4)*5+0.000001,1)))</f>
        <v/>
      </c>
      <c r="G1288">
        <f>IF(A1288="","",MAX(1,CEILING(PERCENTRANK.INC($D$3:$D$6000,D1288,4)*5+0.000001,1)))</f>
        <v/>
      </c>
      <c r="H1288">
        <f>IF(A1288="","",E1288&amp;F1288&amp;G1288)</f>
        <v/>
      </c>
      <c r="I1288">
        <f>IF(A1288="","",IF(AND(E1288&gt;=4,F1288&gt;=4,G1288&gt;=4),"Juara",IF(AND(F1288&gt;=4,E1288&gt;=3),"Setia",IF(AND(E1288=5,F1288&lt;=2,G1288&gt;=3),"Berpotensi",IF(AND(E1288&lt;=3,E1288&gt;=2,F1288&gt;=3),"Rawan",IF(AND(E1288&lt;=2,F1288&lt;=2),"Tidur","Umum"))))))</f>
        <v/>
      </c>
    </row>
    <row r="1289">
      <c r="B1289">
        <f>IF(A1289="","",$B$1-MAXIFS(Donasi!$A$2:$A$20000,Donasi!$B$2:$B$20000,A1289))</f>
        <v/>
      </c>
      <c r="C1289">
        <f>IF(A1289="","",COUNTIF(Donasi!$B$2:$B$20000,A1289))</f>
        <v/>
      </c>
      <c r="D1289">
        <f>IF(A1289="","",SUMIF(Donasi!$B$2:$B$20000,A1289,Donasi!$C$2:$C$20000))</f>
        <v/>
      </c>
      <c r="E1289">
        <f>IF(A1289="","",6-CEILING(PERCENTRANK.INC($B$3:$B$6000,B1289,4)*5+0.000001,1))</f>
        <v/>
      </c>
      <c r="F1289">
        <f>IF(A1289="","",MAX(1,CEILING(PERCENTRANK.INC($C$3:$C$6000,C1289,4)*5+0.000001,1)))</f>
        <v/>
      </c>
      <c r="G1289">
        <f>IF(A1289="","",MAX(1,CEILING(PERCENTRANK.INC($D$3:$D$6000,D1289,4)*5+0.000001,1)))</f>
        <v/>
      </c>
      <c r="H1289">
        <f>IF(A1289="","",E1289&amp;F1289&amp;G1289)</f>
        <v/>
      </c>
      <c r="I1289">
        <f>IF(A1289="","",IF(AND(E1289&gt;=4,F1289&gt;=4,G1289&gt;=4),"Juara",IF(AND(F1289&gt;=4,E1289&gt;=3),"Setia",IF(AND(E1289=5,F1289&lt;=2,G1289&gt;=3),"Berpotensi",IF(AND(E1289&lt;=3,E1289&gt;=2,F1289&gt;=3),"Rawan",IF(AND(E1289&lt;=2,F1289&lt;=2),"Tidur","Umum"))))))</f>
        <v/>
      </c>
    </row>
    <row r="1290">
      <c r="B1290">
        <f>IF(A1290="","",$B$1-MAXIFS(Donasi!$A$2:$A$20000,Donasi!$B$2:$B$20000,A1290))</f>
        <v/>
      </c>
      <c r="C1290">
        <f>IF(A1290="","",COUNTIF(Donasi!$B$2:$B$20000,A1290))</f>
        <v/>
      </c>
      <c r="D1290">
        <f>IF(A1290="","",SUMIF(Donasi!$B$2:$B$20000,A1290,Donasi!$C$2:$C$20000))</f>
        <v/>
      </c>
      <c r="E1290">
        <f>IF(A1290="","",6-CEILING(PERCENTRANK.INC($B$3:$B$6000,B1290,4)*5+0.000001,1))</f>
        <v/>
      </c>
      <c r="F1290">
        <f>IF(A1290="","",MAX(1,CEILING(PERCENTRANK.INC($C$3:$C$6000,C1290,4)*5+0.000001,1)))</f>
        <v/>
      </c>
      <c r="G1290">
        <f>IF(A1290="","",MAX(1,CEILING(PERCENTRANK.INC($D$3:$D$6000,D1290,4)*5+0.000001,1)))</f>
        <v/>
      </c>
      <c r="H1290">
        <f>IF(A1290="","",E1290&amp;F1290&amp;G1290)</f>
        <v/>
      </c>
      <c r="I1290">
        <f>IF(A1290="","",IF(AND(E1290&gt;=4,F1290&gt;=4,G1290&gt;=4),"Juara",IF(AND(F1290&gt;=4,E1290&gt;=3),"Setia",IF(AND(E1290=5,F1290&lt;=2,G1290&gt;=3),"Berpotensi",IF(AND(E1290&lt;=3,E1290&gt;=2,F1290&gt;=3),"Rawan",IF(AND(E1290&lt;=2,F1290&lt;=2),"Tidur","Umum"))))))</f>
        <v/>
      </c>
    </row>
    <row r="1291">
      <c r="B1291">
        <f>IF(A1291="","",$B$1-MAXIFS(Donasi!$A$2:$A$20000,Donasi!$B$2:$B$20000,A1291))</f>
        <v/>
      </c>
      <c r="C1291">
        <f>IF(A1291="","",COUNTIF(Donasi!$B$2:$B$20000,A1291))</f>
        <v/>
      </c>
      <c r="D1291">
        <f>IF(A1291="","",SUMIF(Donasi!$B$2:$B$20000,A1291,Donasi!$C$2:$C$20000))</f>
        <v/>
      </c>
      <c r="E1291">
        <f>IF(A1291="","",6-CEILING(PERCENTRANK.INC($B$3:$B$6000,B1291,4)*5+0.000001,1))</f>
        <v/>
      </c>
      <c r="F1291">
        <f>IF(A1291="","",MAX(1,CEILING(PERCENTRANK.INC($C$3:$C$6000,C1291,4)*5+0.000001,1)))</f>
        <v/>
      </c>
      <c r="G1291">
        <f>IF(A1291="","",MAX(1,CEILING(PERCENTRANK.INC($D$3:$D$6000,D1291,4)*5+0.000001,1)))</f>
        <v/>
      </c>
      <c r="H1291">
        <f>IF(A1291="","",E1291&amp;F1291&amp;G1291)</f>
        <v/>
      </c>
      <c r="I1291">
        <f>IF(A1291="","",IF(AND(E1291&gt;=4,F1291&gt;=4,G1291&gt;=4),"Juara",IF(AND(F1291&gt;=4,E1291&gt;=3),"Setia",IF(AND(E1291=5,F1291&lt;=2,G1291&gt;=3),"Berpotensi",IF(AND(E1291&lt;=3,E1291&gt;=2,F1291&gt;=3),"Rawan",IF(AND(E1291&lt;=2,F1291&lt;=2),"Tidur","Umum"))))))</f>
        <v/>
      </c>
    </row>
    <row r="1292">
      <c r="B1292">
        <f>IF(A1292="","",$B$1-MAXIFS(Donasi!$A$2:$A$20000,Donasi!$B$2:$B$20000,A1292))</f>
        <v/>
      </c>
      <c r="C1292">
        <f>IF(A1292="","",COUNTIF(Donasi!$B$2:$B$20000,A1292))</f>
        <v/>
      </c>
      <c r="D1292">
        <f>IF(A1292="","",SUMIF(Donasi!$B$2:$B$20000,A1292,Donasi!$C$2:$C$20000))</f>
        <v/>
      </c>
      <c r="E1292">
        <f>IF(A1292="","",6-CEILING(PERCENTRANK.INC($B$3:$B$6000,B1292,4)*5+0.000001,1))</f>
        <v/>
      </c>
      <c r="F1292">
        <f>IF(A1292="","",MAX(1,CEILING(PERCENTRANK.INC($C$3:$C$6000,C1292,4)*5+0.000001,1)))</f>
        <v/>
      </c>
      <c r="G1292">
        <f>IF(A1292="","",MAX(1,CEILING(PERCENTRANK.INC($D$3:$D$6000,D1292,4)*5+0.000001,1)))</f>
        <v/>
      </c>
      <c r="H1292">
        <f>IF(A1292="","",E1292&amp;F1292&amp;G1292)</f>
        <v/>
      </c>
      <c r="I1292">
        <f>IF(A1292="","",IF(AND(E1292&gt;=4,F1292&gt;=4,G1292&gt;=4),"Juara",IF(AND(F1292&gt;=4,E1292&gt;=3),"Setia",IF(AND(E1292=5,F1292&lt;=2,G1292&gt;=3),"Berpotensi",IF(AND(E1292&lt;=3,E1292&gt;=2,F1292&gt;=3),"Rawan",IF(AND(E1292&lt;=2,F1292&lt;=2),"Tidur","Umum"))))))</f>
        <v/>
      </c>
    </row>
    <row r="1293">
      <c r="B1293">
        <f>IF(A1293="","",$B$1-MAXIFS(Donasi!$A$2:$A$20000,Donasi!$B$2:$B$20000,A1293))</f>
        <v/>
      </c>
      <c r="C1293">
        <f>IF(A1293="","",COUNTIF(Donasi!$B$2:$B$20000,A1293))</f>
        <v/>
      </c>
      <c r="D1293">
        <f>IF(A1293="","",SUMIF(Donasi!$B$2:$B$20000,A1293,Donasi!$C$2:$C$20000))</f>
        <v/>
      </c>
      <c r="E1293">
        <f>IF(A1293="","",6-CEILING(PERCENTRANK.INC($B$3:$B$6000,B1293,4)*5+0.000001,1))</f>
        <v/>
      </c>
      <c r="F1293">
        <f>IF(A1293="","",MAX(1,CEILING(PERCENTRANK.INC($C$3:$C$6000,C1293,4)*5+0.000001,1)))</f>
        <v/>
      </c>
      <c r="G1293">
        <f>IF(A1293="","",MAX(1,CEILING(PERCENTRANK.INC($D$3:$D$6000,D1293,4)*5+0.000001,1)))</f>
        <v/>
      </c>
      <c r="H1293">
        <f>IF(A1293="","",E1293&amp;F1293&amp;G1293)</f>
        <v/>
      </c>
      <c r="I1293">
        <f>IF(A1293="","",IF(AND(E1293&gt;=4,F1293&gt;=4,G1293&gt;=4),"Juara",IF(AND(F1293&gt;=4,E1293&gt;=3),"Setia",IF(AND(E1293=5,F1293&lt;=2,G1293&gt;=3),"Berpotensi",IF(AND(E1293&lt;=3,E1293&gt;=2,F1293&gt;=3),"Rawan",IF(AND(E1293&lt;=2,F1293&lt;=2),"Tidur","Umum"))))))</f>
        <v/>
      </c>
    </row>
    <row r="1294">
      <c r="B1294">
        <f>IF(A1294="","",$B$1-MAXIFS(Donasi!$A$2:$A$20000,Donasi!$B$2:$B$20000,A1294))</f>
        <v/>
      </c>
      <c r="C1294">
        <f>IF(A1294="","",COUNTIF(Donasi!$B$2:$B$20000,A1294))</f>
        <v/>
      </c>
      <c r="D1294">
        <f>IF(A1294="","",SUMIF(Donasi!$B$2:$B$20000,A1294,Donasi!$C$2:$C$20000))</f>
        <v/>
      </c>
      <c r="E1294">
        <f>IF(A1294="","",6-CEILING(PERCENTRANK.INC($B$3:$B$6000,B1294,4)*5+0.000001,1))</f>
        <v/>
      </c>
      <c r="F1294">
        <f>IF(A1294="","",MAX(1,CEILING(PERCENTRANK.INC($C$3:$C$6000,C1294,4)*5+0.000001,1)))</f>
        <v/>
      </c>
      <c r="G1294">
        <f>IF(A1294="","",MAX(1,CEILING(PERCENTRANK.INC($D$3:$D$6000,D1294,4)*5+0.000001,1)))</f>
        <v/>
      </c>
      <c r="H1294">
        <f>IF(A1294="","",E1294&amp;F1294&amp;G1294)</f>
        <v/>
      </c>
      <c r="I1294">
        <f>IF(A1294="","",IF(AND(E1294&gt;=4,F1294&gt;=4,G1294&gt;=4),"Juara",IF(AND(F1294&gt;=4,E1294&gt;=3),"Setia",IF(AND(E1294=5,F1294&lt;=2,G1294&gt;=3),"Berpotensi",IF(AND(E1294&lt;=3,E1294&gt;=2,F1294&gt;=3),"Rawan",IF(AND(E1294&lt;=2,F1294&lt;=2),"Tidur","Umum"))))))</f>
        <v/>
      </c>
    </row>
    <row r="1295">
      <c r="B1295">
        <f>IF(A1295="","",$B$1-MAXIFS(Donasi!$A$2:$A$20000,Donasi!$B$2:$B$20000,A1295))</f>
        <v/>
      </c>
      <c r="C1295">
        <f>IF(A1295="","",COUNTIF(Donasi!$B$2:$B$20000,A1295))</f>
        <v/>
      </c>
      <c r="D1295">
        <f>IF(A1295="","",SUMIF(Donasi!$B$2:$B$20000,A1295,Donasi!$C$2:$C$20000))</f>
        <v/>
      </c>
      <c r="E1295">
        <f>IF(A1295="","",6-CEILING(PERCENTRANK.INC($B$3:$B$6000,B1295,4)*5+0.000001,1))</f>
        <v/>
      </c>
      <c r="F1295">
        <f>IF(A1295="","",MAX(1,CEILING(PERCENTRANK.INC($C$3:$C$6000,C1295,4)*5+0.000001,1)))</f>
        <v/>
      </c>
      <c r="G1295">
        <f>IF(A1295="","",MAX(1,CEILING(PERCENTRANK.INC($D$3:$D$6000,D1295,4)*5+0.000001,1)))</f>
        <v/>
      </c>
      <c r="H1295">
        <f>IF(A1295="","",E1295&amp;F1295&amp;G1295)</f>
        <v/>
      </c>
      <c r="I1295">
        <f>IF(A1295="","",IF(AND(E1295&gt;=4,F1295&gt;=4,G1295&gt;=4),"Juara",IF(AND(F1295&gt;=4,E1295&gt;=3),"Setia",IF(AND(E1295=5,F1295&lt;=2,G1295&gt;=3),"Berpotensi",IF(AND(E1295&lt;=3,E1295&gt;=2,F1295&gt;=3),"Rawan",IF(AND(E1295&lt;=2,F1295&lt;=2),"Tidur","Umum"))))))</f>
        <v/>
      </c>
    </row>
    <row r="1296">
      <c r="B1296">
        <f>IF(A1296="","",$B$1-MAXIFS(Donasi!$A$2:$A$20000,Donasi!$B$2:$B$20000,A1296))</f>
        <v/>
      </c>
      <c r="C1296">
        <f>IF(A1296="","",COUNTIF(Donasi!$B$2:$B$20000,A1296))</f>
        <v/>
      </c>
      <c r="D1296">
        <f>IF(A1296="","",SUMIF(Donasi!$B$2:$B$20000,A1296,Donasi!$C$2:$C$20000))</f>
        <v/>
      </c>
      <c r="E1296">
        <f>IF(A1296="","",6-CEILING(PERCENTRANK.INC($B$3:$B$6000,B1296,4)*5+0.000001,1))</f>
        <v/>
      </c>
      <c r="F1296">
        <f>IF(A1296="","",MAX(1,CEILING(PERCENTRANK.INC($C$3:$C$6000,C1296,4)*5+0.000001,1)))</f>
        <v/>
      </c>
      <c r="G1296">
        <f>IF(A1296="","",MAX(1,CEILING(PERCENTRANK.INC($D$3:$D$6000,D1296,4)*5+0.000001,1)))</f>
        <v/>
      </c>
      <c r="H1296">
        <f>IF(A1296="","",E1296&amp;F1296&amp;G1296)</f>
        <v/>
      </c>
      <c r="I1296">
        <f>IF(A1296="","",IF(AND(E1296&gt;=4,F1296&gt;=4,G1296&gt;=4),"Juara",IF(AND(F1296&gt;=4,E1296&gt;=3),"Setia",IF(AND(E1296=5,F1296&lt;=2,G1296&gt;=3),"Berpotensi",IF(AND(E1296&lt;=3,E1296&gt;=2,F1296&gt;=3),"Rawan",IF(AND(E1296&lt;=2,F1296&lt;=2),"Tidur","Umum"))))))</f>
        <v/>
      </c>
    </row>
    <row r="1297">
      <c r="B1297">
        <f>IF(A1297="","",$B$1-MAXIFS(Donasi!$A$2:$A$20000,Donasi!$B$2:$B$20000,A1297))</f>
        <v/>
      </c>
      <c r="C1297">
        <f>IF(A1297="","",COUNTIF(Donasi!$B$2:$B$20000,A1297))</f>
        <v/>
      </c>
      <c r="D1297">
        <f>IF(A1297="","",SUMIF(Donasi!$B$2:$B$20000,A1297,Donasi!$C$2:$C$20000))</f>
        <v/>
      </c>
      <c r="E1297">
        <f>IF(A1297="","",6-CEILING(PERCENTRANK.INC($B$3:$B$6000,B1297,4)*5+0.000001,1))</f>
        <v/>
      </c>
      <c r="F1297">
        <f>IF(A1297="","",MAX(1,CEILING(PERCENTRANK.INC($C$3:$C$6000,C1297,4)*5+0.000001,1)))</f>
        <v/>
      </c>
      <c r="G1297">
        <f>IF(A1297="","",MAX(1,CEILING(PERCENTRANK.INC($D$3:$D$6000,D1297,4)*5+0.000001,1)))</f>
        <v/>
      </c>
      <c r="H1297">
        <f>IF(A1297="","",E1297&amp;F1297&amp;G1297)</f>
        <v/>
      </c>
      <c r="I1297">
        <f>IF(A1297="","",IF(AND(E1297&gt;=4,F1297&gt;=4,G1297&gt;=4),"Juara",IF(AND(F1297&gt;=4,E1297&gt;=3),"Setia",IF(AND(E1297=5,F1297&lt;=2,G1297&gt;=3),"Berpotensi",IF(AND(E1297&lt;=3,E1297&gt;=2,F1297&gt;=3),"Rawan",IF(AND(E1297&lt;=2,F1297&lt;=2),"Tidur","Umum"))))))</f>
        <v/>
      </c>
    </row>
    <row r="1298">
      <c r="B1298">
        <f>IF(A1298="","",$B$1-MAXIFS(Donasi!$A$2:$A$20000,Donasi!$B$2:$B$20000,A1298))</f>
        <v/>
      </c>
      <c r="C1298">
        <f>IF(A1298="","",COUNTIF(Donasi!$B$2:$B$20000,A1298))</f>
        <v/>
      </c>
      <c r="D1298">
        <f>IF(A1298="","",SUMIF(Donasi!$B$2:$B$20000,A1298,Donasi!$C$2:$C$20000))</f>
        <v/>
      </c>
      <c r="E1298">
        <f>IF(A1298="","",6-CEILING(PERCENTRANK.INC($B$3:$B$6000,B1298,4)*5+0.000001,1))</f>
        <v/>
      </c>
      <c r="F1298">
        <f>IF(A1298="","",MAX(1,CEILING(PERCENTRANK.INC($C$3:$C$6000,C1298,4)*5+0.000001,1)))</f>
        <v/>
      </c>
      <c r="G1298">
        <f>IF(A1298="","",MAX(1,CEILING(PERCENTRANK.INC($D$3:$D$6000,D1298,4)*5+0.000001,1)))</f>
        <v/>
      </c>
      <c r="H1298">
        <f>IF(A1298="","",E1298&amp;F1298&amp;G1298)</f>
        <v/>
      </c>
      <c r="I1298">
        <f>IF(A1298="","",IF(AND(E1298&gt;=4,F1298&gt;=4,G1298&gt;=4),"Juara",IF(AND(F1298&gt;=4,E1298&gt;=3),"Setia",IF(AND(E1298=5,F1298&lt;=2,G1298&gt;=3),"Berpotensi",IF(AND(E1298&lt;=3,E1298&gt;=2,F1298&gt;=3),"Rawan",IF(AND(E1298&lt;=2,F1298&lt;=2),"Tidur","Umum"))))))</f>
        <v/>
      </c>
    </row>
    <row r="1299">
      <c r="B1299">
        <f>IF(A1299="","",$B$1-MAXIFS(Donasi!$A$2:$A$20000,Donasi!$B$2:$B$20000,A1299))</f>
        <v/>
      </c>
      <c r="C1299">
        <f>IF(A1299="","",COUNTIF(Donasi!$B$2:$B$20000,A1299))</f>
        <v/>
      </c>
      <c r="D1299">
        <f>IF(A1299="","",SUMIF(Donasi!$B$2:$B$20000,A1299,Donasi!$C$2:$C$20000))</f>
        <v/>
      </c>
      <c r="E1299">
        <f>IF(A1299="","",6-CEILING(PERCENTRANK.INC($B$3:$B$6000,B1299,4)*5+0.000001,1))</f>
        <v/>
      </c>
      <c r="F1299">
        <f>IF(A1299="","",MAX(1,CEILING(PERCENTRANK.INC($C$3:$C$6000,C1299,4)*5+0.000001,1)))</f>
        <v/>
      </c>
      <c r="G1299">
        <f>IF(A1299="","",MAX(1,CEILING(PERCENTRANK.INC($D$3:$D$6000,D1299,4)*5+0.000001,1)))</f>
        <v/>
      </c>
      <c r="H1299">
        <f>IF(A1299="","",E1299&amp;F1299&amp;G1299)</f>
        <v/>
      </c>
      <c r="I1299">
        <f>IF(A1299="","",IF(AND(E1299&gt;=4,F1299&gt;=4,G1299&gt;=4),"Juara",IF(AND(F1299&gt;=4,E1299&gt;=3),"Setia",IF(AND(E1299=5,F1299&lt;=2,G1299&gt;=3),"Berpotensi",IF(AND(E1299&lt;=3,E1299&gt;=2,F1299&gt;=3),"Rawan",IF(AND(E1299&lt;=2,F1299&lt;=2),"Tidur","Umum"))))))</f>
        <v/>
      </c>
    </row>
    <row r="1300">
      <c r="B1300">
        <f>IF(A1300="","",$B$1-MAXIFS(Donasi!$A$2:$A$20000,Donasi!$B$2:$B$20000,A1300))</f>
        <v/>
      </c>
      <c r="C1300">
        <f>IF(A1300="","",COUNTIF(Donasi!$B$2:$B$20000,A1300))</f>
        <v/>
      </c>
      <c r="D1300">
        <f>IF(A1300="","",SUMIF(Donasi!$B$2:$B$20000,A1300,Donasi!$C$2:$C$20000))</f>
        <v/>
      </c>
      <c r="E1300">
        <f>IF(A1300="","",6-CEILING(PERCENTRANK.INC($B$3:$B$6000,B1300,4)*5+0.000001,1))</f>
        <v/>
      </c>
      <c r="F1300">
        <f>IF(A1300="","",MAX(1,CEILING(PERCENTRANK.INC($C$3:$C$6000,C1300,4)*5+0.000001,1)))</f>
        <v/>
      </c>
      <c r="G1300">
        <f>IF(A1300="","",MAX(1,CEILING(PERCENTRANK.INC($D$3:$D$6000,D1300,4)*5+0.000001,1)))</f>
        <v/>
      </c>
      <c r="H1300">
        <f>IF(A1300="","",E1300&amp;F1300&amp;G1300)</f>
        <v/>
      </c>
      <c r="I1300">
        <f>IF(A1300="","",IF(AND(E1300&gt;=4,F1300&gt;=4,G1300&gt;=4),"Juara",IF(AND(F1300&gt;=4,E1300&gt;=3),"Setia",IF(AND(E1300=5,F1300&lt;=2,G1300&gt;=3),"Berpotensi",IF(AND(E1300&lt;=3,E1300&gt;=2,F1300&gt;=3),"Rawan",IF(AND(E1300&lt;=2,F1300&lt;=2),"Tidur","Umum"))))))</f>
        <v/>
      </c>
    </row>
    <row r="1301">
      <c r="B1301">
        <f>IF(A1301="","",$B$1-MAXIFS(Donasi!$A$2:$A$20000,Donasi!$B$2:$B$20000,A1301))</f>
        <v/>
      </c>
      <c r="C1301">
        <f>IF(A1301="","",COUNTIF(Donasi!$B$2:$B$20000,A1301))</f>
        <v/>
      </c>
      <c r="D1301">
        <f>IF(A1301="","",SUMIF(Donasi!$B$2:$B$20000,A1301,Donasi!$C$2:$C$20000))</f>
        <v/>
      </c>
      <c r="E1301">
        <f>IF(A1301="","",6-CEILING(PERCENTRANK.INC($B$3:$B$6000,B1301,4)*5+0.000001,1))</f>
        <v/>
      </c>
      <c r="F1301">
        <f>IF(A1301="","",MAX(1,CEILING(PERCENTRANK.INC($C$3:$C$6000,C1301,4)*5+0.000001,1)))</f>
        <v/>
      </c>
      <c r="G1301">
        <f>IF(A1301="","",MAX(1,CEILING(PERCENTRANK.INC($D$3:$D$6000,D1301,4)*5+0.000001,1)))</f>
        <v/>
      </c>
      <c r="H1301">
        <f>IF(A1301="","",E1301&amp;F1301&amp;G1301)</f>
        <v/>
      </c>
      <c r="I1301">
        <f>IF(A1301="","",IF(AND(E1301&gt;=4,F1301&gt;=4,G1301&gt;=4),"Juara",IF(AND(F1301&gt;=4,E1301&gt;=3),"Setia",IF(AND(E1301=5,F1301&lt;=2,G1301&gt;=3),"Berpotensi",IF(AND(E1301&lt;=3,E1301&gt;=2,F1301&gt;=3),"Rawan",IF(AND(E1301&lt;=2,F1301&lt;=2),"Tidur","Umum"))))))</f>
        <v/>
      </c>
    </row>
    <row r="1302">
      <c r="B1302">
        <f>IF(A1302="","",$B$1-MAXIFS(Donasi!$A$2:$A$20000,Donasi!$B$2:$B$20000,A1302))</f>
        <v/>
      </c>
      <c r="C1302">
        <f>IF(A1302="","",COUNTIF(Donasi!$B$2:$B$20000,A1302))</f>
        <v/>
      </c>
      <c r="D1302">
        <f>IF(A1302="","",SUMIF(Donasi!$B$2:$B$20000,A1302,Donasi!$C$2:$C$20000))</f>
        <v/>
      </c>
      <c r="E1302">
        <f>IF(A1302="","",6-CEILING(PERCENTRANK.INC($B$3:$B$6000,B1302,4)*5+0.000001,1))</f>
        <v/>
      </c>
      <c r="F1302">
        <f>IF(A1302="","",MAX(1,CEILING(PERCENTRANK.INC($C$3:$C$6000,C1302,4)*5+0.000001,1)))</f>
        <v/>
      </c>
      <c r="G1302">
        <f>IF(A1302="","",MAX(1,CEILING(PERCENTRANK.INC($D$3:$D$6000,D1302,4)*5+0.000001,1)))</f>
        <v/>
      </c>
      <c r="H1302">
        <f>IF(A1302="","",E1302&amp;F1302&amp;G1302)</f>
        <v/>
      </c>
      <c r="I1302">
        <f>IF(A1302="","",IF(AND(E1302&gt;=4,F1302&gt;=4,G1302&gt;=4),"Juara",IF(AND(F1302&gt;=4,E1302&gt;=3),"Setia",IF(AND(E1302=5,F1302&lt;=2,G1302&gt;=3),"Berpotensi",IF(AND(E1302&lt;=3,E1302&gt;=2,F1302&gt;=3),"Rawan",IF(AND(E1302&lt;=2,F1302&lt;=2),"Tidur","Umum"))))))</f>
        <v/>
      </c>
    </row>
    <row r="1303">
      <c r="B1303">
        <f>IF(A1303="","",$B$1-MAXIFS(Donasi!$A$2:$A$20000,Donasi!$B$2:$B$20000,A1303))</f>
        <v/>
      </c>
      <c r="C1303">
        <f>IF(A1303="","",COUNTIF(Donasi!$B$2:$B$20000,A1303))</f>
        <v/>
      </c>
      <c r="D1303">
        <f>IF(A1303="","",SUMIF(Donasi!$B$2:$B$20000,A1303,Donasi!$C$2:$C$20000))</f>
        <v/>
      </c>
      <c r="E1303">
        <f>IF(A1303="","",6-CEILING(PERCENTRANK.INC($B$3:$B$6000,B1303,4)*5+0.000001,1))</f>
        <v/>
      </c>
      <c r="F1303">
        <f>IF(A1303="","",MAX(1,CEILING(PERCENTRANK.INC($C$3:$C$6000,C1303,4)*5+0.000001,1)))</f>
        <v/>
      </c>
      <c r="G1303">
        <f>IF(A1303="","",MAX(1,CEILING(PERCENTRANK.INC($D$3:$D$6000,D1303,4)*5+0.000001,1)))</f>
        <v/>
      </c>
      <c r="H1303">
        <f>IF(A1303="","",E1303&amp;F1303&amp;G1303)</f>
        <v/>
      </c>
      <c r="I1303">
        <f>IF(A1303="","",IF(AND(E1303&gt;=4,F1303&gt;=4,G1303&gt;=4),"Juara",IF(AND(F1303&gt;=4,E1303&gt;=3),"Setia",IF(AND(E1303=5,F1303&lt;=2,G1303&gt;=3),"Berpotensi",IF(AND(E1303&lt;=3,E1303&gt;=2,F1303&gt;=3),"Rawan",IF(AND(E1303&lt;=2,F1303&lt;=2),"Tidur","Umum"))))))</f>
        <v/>
      </c>
    </row>
    <row r="1304">
      <c r="B1304">
        <f>IF(A1304="","",$B$1-MAXIFS(Donasi!$A$2:$A$20000,Donasi!$B$2:$B$20000,A1304))</f>
        <v/>
      </c>
      <c r="C1304">
        <f>IF(A1304="","",COUNTIF(Donasi!$B$2:$B$20000,A1304))</f>
        <v/>
      </c>
      <c r="D1304">
        <f>IF(A1304="","",SUMIF(Donasi!$B$2:$B$20000,A1304,Donasi!$C$2:$C$20000))</f>
        <v/>
      </c>
      <c r="E1304">
        <f>IF(A1304="","",6-CEILING(PERCENTRANK.INC($B$3:$B$6000,B1304,4)*5+0.000001,1))</f>
        <v/>
      </c>
      <c r="F1304">
        <f>IF(A1304="","",MAX(1,CEILING(PERCENTRANK.INC($C$3:$C$6000,C1304,4)*5+0.000001,1)))</f>
        <v/>
      </c>
      <c r="G1304">
        <f>IF(A1304="","",MAX(1,CEILING(PERCENTRANK.INC($D$3:$D$6000,D1304,4)*5+0.000001,1)))</f>
        <v/>
      </c>
      <c r="H1304">
        <f>IF(A1304="","",E1304&amp;F1304&amp;G1304)</f>
        <v/>
      </c>
      <c r="I1304">
        <f>IF(A1304="","",IF(AND(E1304&gt;=4,F1304&gt;=4,G1304&gt;=4),"Juara",IF(AND(F1304&gt;=4,E1304&gt;=3),"Setia",IF(AND(E1304=5,F1304&lt;=2,G1304&gt;=3),"Berpotensi",IF(AND(E1304&lt;=3,E1304&gt;=2,F1304&gt;=3),"Rawan",IF(AND(E1304&lt;=2,F1304&lt;=2),"Tidur","Umum"))))))</f>
        <v/>
      </c>
    </row>
    <row r="1305">
      <c r="B1305">
        <f>IF(A1305="","",$B$1-MAXIFS(Donasi!$A$2:$A$20000,Donasi!$B$2:$B$20000,A1305))</f>
        <v/>
      </c>
      <c r="C1305">
        <f>IF(A1305="","",COUNTIF(Donasi!$B$2:$B$20000,A1305))</f>
        <v/>
      </c>
      <c r="D1305">
        <f>IF(A1305="","",SUMIF(Donasi!$B$2:$B$20000,A1305,Donasi!$C$2:$C$20000))</f>
        <v/>
      </c>
      <c r="E1305">
        <f>IF(A1305="","",6-CEILING(PERCENTRANK.INC($B$3:$B$6000,B1305,4)*5+0.000001,1))</f>
        <v/>
      </c>
      <c r="F1305">
        <f>IF(A1305="","",MAX(1,CEILING(PERCENTRANK.INC($C$3:$C$6000,C1305,4)*5+0.000001,1)))</f>
        <v/>
      </c>
      <c r="G1305">
        <f>IF(A1305="","",MAX(1,CEILING(PERCENTRANK.INC($D$3:$D$6000,D1305,4)*5+0.000001,1)))</f>
        <v/>
      </c>
      <c r="H1305">
        <f>IF(A1305="","",E1305&amp;F1305&amp;G1305)</f>
        <v/>
      </c>
      <c r="I1305">
        <f>IF(A1305="","",IF(AND(E1305&gt;=4,F1305&gt;=4,G1305&gt;=4),"Juara",IF(AND(F1305&gt;=4,E1305&gt;=3),"Setia",IF(AND(E1305=5,F1305&lt;=2,G1305&gt;=3),"Berpotensi",IF(AND(E1305&lt;=3,E1305&gt;=2,F1305&gt;=3),"Rawan",IF(AND(E1305&lt;=2,F1305&lt;=2),"Tidur","Umum"))))))</f>
        <v/>
      </c>
    </row>
    <row r="1306">
      <c r="B1306">
        <f>IF(A1306="","",$B$1-MAXIFS(Donasi!$A$2:$A$20000,Donasi!$B$2:$B$20000,A1306))</f>
        <v/>
      </c>
      <c r="C1306">
        <f>IF(A1306="","",COUNTIF(Donasi!$B$2:$B$20000,A1306))</f>
        <v/>
      </c>
      <c r="D1306">
        <f>IF(A1306="","",SUMIF(Donasi!$B$2:$B$20000,A1306,Donasi!$C$2:$C$20000))</f>
        <v/>
      </c>
      <c r="E1306">
        <f>IF(A1306="","",6-CEILING(PERCENTRANK.INC($B$3:$B$6000,B1306,4)*5+0.000001,1))</f>
        <v/>
      </c>
      <c r="F1306">
        <f>IF(A1306="","",MAX(1,CEILING(PERCENTRANK.INC($C$3:$C$6000,C1306,4)*5+0.000001,1)))</f>
        <v/>
      </c>
      <c r="G1306">
        <f>IF(A1306="","",MAX(1,CEILING(PERCENTRANK.INC($D$3:$D$6000,D1306,4)*5+0.000001,1)))</f>
        <v/>
      </c>
      <c r="H1306">
        <f>IF(A1306="","",E1306&amp;F1306&amp;G1306)</f>
        <v/>
      </c>
      <c r="I1306">
        <f>IF(A1306="","",IF(AND(E1306&gt;=4,F1306&gt;=4,G1306&gt;=4),"Juara",IF(AND(F1306&gt;=4,E1306&gt;=3),"Setia",IF(AND(E1306=5,F1306&lt;=2,G1306&gt;=3),"Berpotensi",IF(AND(E1306&lt;=3,E1306&gt;=2,F1306&gt;=3),"Rawan",IF(AND(E1306&lt;=2,F1306&lt;=2),"Tidur","Umum"))))))</f>
        <v/>
      </c>
    </row>
    <row r="1307">
      <c r="B1307">
        <f>IF(A1307="","",$B$1-MAXIFS(Donasi!$A$2:$A$20000,Donasi!$B$2:$B$20000,A1307))</f>
        <v/>
      </c>
      <c r="C1307">
        <f>IF(A1307="","",COUNTIF(Donasi!$B$2:$B$20000,A1307))</f>
        <v/>
      </c>
      <c r="D1307">
        <f>IF(A1307="","",SUMIF(Donasi!$B$2:$B$20000,A1307,Donasi!$C$2:$C$20000))</f>
        <v/>
      </c>
      <c r="E1307">
        <f>IF(A1307="","",6-CEILING(PERCENTRANK.INC($B$3:$B$6000,B1307,4)*5+0.000001,1))</f>
        <v/>
      </c>
      <c r="F1307">
        <f>IF(A1307="","",MAX(1,CEILING(PERCENTRANK.INC($C$3:$C$6000,C1307,4)*5+0.000001,1)))</f>
        <v/>
      </c>
      <c r="G1307">
        <f>IF(A1307="","",MAX(1,CEILING(PERCENTRANK.INC($D$3:$D$6000,D1307,4)*5+0.000001,1)))</f>
        <v/>
      </c>
      <c r="H1307">
        <f>IF(A1307="","",E1307&amp;F1307&amp;G1307)</f>
        <v/>
      </c>
      <c r="I1307">
        <f>IF(A1307="","",IF(AND(E1307&gt;=4,F1307&gt;=4,G1307&gt;=4),"Juara",IF(AND(F1307&gt;=4,E1307&gt;=3),"Setia",IF(AND(E1307=5,F1307&lt;=2,G1307&gt;=3),"Berpotensi",IF(AND(E1307&lt;=3,E1307&gt;=2,F1307&gt;=3),"Rawan",IF(AND(E1307&lt;=2,F1307&lt;=2),"Tidur","Umum"))))))</f>
        <v/>
      </c>
    </row>
    <row r="1308">
      <c r="B1308">
        <f>IF(A1308="","",$B$1-MAXIFS(Donasi!$A$2:$A$20000,Donasi!$B$2:$B$20000,A1308))</f>
        <v/>
      </c>
      <c r="C1308">
        <f>IF(A1308="","",COUNTIF(Donasi!$B$2:$B$20000,A1308))</f>
        <v/>
      </c>
      <c r="D1308">
        <f>IF(A1308="","",SUMIF(Donasi!$B$2:$B$20000,A1308,Donasi!$C$2:$C$20000))</f>
        <v/>
      </c>
      <c r="E1308">
        <f>IF(A1308="","",6-CEILING(PERCENTRANK.INC($B$3:$B$6000,B1308,4)*5+0.000001,1))</f>
        <v/>
      </c>
      <c r="F1308">
        <f>IF(A1308="","",MAX(1,CEILING(PERCENTRANK.INC($C$3:$C$6000,C1308,4)*5+0.000001,1)))</f>
        <v/>
      </c>
      <c r="G1308">
        <f>IF(A1308="","",MAX(1,CEILING(PERCENTRANK.INC($D$3:$D$6000,D1308,4)*5+0.000001,1)))</f>
        <v/>
      </c>
      <c r="H1308">
        <f>IF(A1308="","",E1308&amp;F1308&amp;G1308)</f>
        <v/>
      </c>
      <c r="I1308">
        <f>IF(A1308="","",IF(AND(E1308&gt;=4,F1308&gt;=4,G1308&gt;=4),"Juara",IF(AND(F1308&gt;=4,E1308&gt;=3),"Setia",IF(AND(E1308=5,F1308&lt;=2,G1308&gt;=3),"Berpotensi",IF(AND(E1308&lt;=3,E1308&gt;=2,F1308&gt;=3),"Rawan",IF(AND(E1308&lt;=2,F1308&lt;=2),"Tidur","Umum"))))))</f>
        <v/>
      </c>
    </row>
    <row r="1309">
      <c r="B1309">
        <f>IF(A1309="","",$B$1-MAXIFS(Donasi!$A$2:$A$20000,Donasi!$B$2:$B$20000,A1309))</f>
        <v/>
      </c>
      <c r="C1309">
        <f>IF(A1309="","",COUNTIF(Donasi!$B$2:$B$20000,A1309))</f>
        <v/>
      </c>
      <c r="D1309">
        <f>IF(A1309="","",SUMIF(Donasi!$B$2:$B$20000,A1309,Donasi!$C$2:$C$20000))</f>
        <v/>
      </c>
      <c r="E1309">
        <f>IF(A1309="","",6-CEILING(PERCENTRANK.INC($B$3:$B$6000,B1309,4)*5+0.000001,1))</f>
        <v/>
      </c>
      <c r="F1309">
        <f>IF(A1309="","",MAX(1,CEILING(PERCENTRANK.INC($C$3:$C$6000,C1309,4)*5+0.000001,1)))</f>
        <v/>
      </c>
      <c r="G1309">
        <f>IF(A1309="","",MAX(1,CEILING(PERCENTRANK.INC($D$3:$D$6000,D1309,4)*5+0.000001,1)))</f>
        <v/>
      </c>
      <c r="H1309">
        <f>IF(A1309="","",E1309&amp;F1309&amp;G1309)</f>
        <v/>
      </c>
      <c r="I1309">
        <f>IF(A1309="","",IF(AND(E1309&gt;=4,F1309&gt;=4,G1309&gt;=4),"Juara",IF(AND(F1309&gt;=4,E1309&gt;=3),"Setia",IF(AND(E1309=5,F1309&lt;=2,G1309&gt;=3),"Berpotensi",IF(AND(E1309&lt;=3,E1309&gt;=2,F1309&gt;=3),"Rawan",IF(AND(E1309&lt;=2,F1309&lt;=2),"Tidur","Umum"))))))</f>
        <v/>
      </c>
    </row>
    <row r="1310">
      <c r="B1310">
        <f>IF(A1310="","",$B$1-MAXIFS(Donasi!$A$2:$A$20000,Donasi!$B$2:$B$20000,A1310))</f>
        <v/>
      </c>
      <c r="C1310">
        <f>IF(A1310="","",COUNTIF(Donasi!$B$2:$B$20000,A1310))</f>
        <v/>
      </c>
      <c r="D1310">
        <f>IF(A1310="","",SUMIF(Donasi!$B$2:$B$20000,A1310,Donasi!$C$2:$C$20000))</f>
        <v/>
      </c>
      <c r="E1310">
        <f>IF(A1310="","",6-CEILING(PERCENTRANK.INC($B$3:$B$6000,B1310,4)*5+0.000001,1))</f>
        <v/>
      </c>
      <c r="F1310">
        <f>IF(A1310="","",MAX(1,CEILING(PERCENTRANK.INC($C$3:$C$6000,C1310,4)*5+0.000001,1)))</f>
        <v/>
      </c>
      <c r="G1310">
        <f>IF(A1310="","",MAX(1,CEILING(PERCENTRANK.INC($D$3:$D$6000,D1310,4)*5+0.000001,1)))</f>
        <v/>
      </c>
      <c r="H1310">
        <f>IF(A1310="","",E1310&amp;F1310&amp;G1310)</f>
        <v/>
      </c>
      <c r="I1310">
        <f>IF(A1310="","",IF(AND(E1310&gt;=4,F1310&gt;=4,G1310&gt;=4),"Juara",IF(AND(F1310&gt;=4,E1310&gt;=3),"Setia",IF(AND(E1310=5,F1310&lt;=2,G1310&gt;=3),"Berpotensi",IF(AND(E1310&lt;=3,E1310&gt;=2,F1310&gt;=3),"Rawan",IF(AND(E1310&lt;=2,F1310&lt;=2),"Tidur","Umum"))))))</f>
        <v/>
      </c>
    </row>
    <row r="1311">
      <c r="B1311">
        <f>IF(A1311="","",$B$1-MAXIFS(Donasi!$A$2:$A$20000,Donasi!$B$2:$B$20000,A1311))</f>
        <v/>
      </c>
      <c r="C1311">
        <f>IF(A1311="","",COUNTIF(Donasi!$B$2:$B$20000,A1311))</f>
        <v/>
      </c>
      <c r="D1311">
        <f>IF(A1311="","",SUMIF(Donasi!$B$2:$B$20000,A1311,Donasi!$C$2:$C$20000))</f>
        <v/>
      </c>
      <c r="E1311">
        <f>IF(A1311="","",6-CEILING(PERCENTRANK.INC($B$3:$B$6000,B1311,4)*5+0.000001,1))</f>
        <v/>
      </c>
      <c r="F1311">
        <f>IF(A1311="","",MAX(1,CEILING(PERCENTRANK.INC($C$3:$C$6000,C1311,4)*5+0.000001,1)))</f>
        <v/>
      </c>
      <c r="G1311">
        <f>IF(A1311="","",MAX(1,CEILING(PERCENTRANK.INC($D$3:$D$6000,D1311,4)*5+0.000001,1)))</f>
        <v/>
      </c>
      <c r="H1311">
        <f>IF(A1311="","",E1311&amp;F1311&amp;G1311)</f>
        <v/>
      </c>
      <c r="I1311">
        <f>IF(A1311="","",IF(AND(E1311&gt;=4,F1311&gt;=4,G1311&gt;=4),"Juara",IF(AND(F1311&gt;=4,E1311&gt;=3),"Setia",IF(AND(E1311=5,F1311&lt;=2,G1311&gt;=3),"Berpotensi",IF(AND(E1311&lt;=3,E1311&gt;=2,F1311&gt;=3),"Rawan",IF(AND(E1311&lt;=2,F1311&lt;=2),"Tidur","Umum"))))))</f>
        <v/>
      </c>
    </row>
    <row r="1312">
      <c r="B1312">
        <f>IF(A1312="","",$B$1-MAXIFS(Donasi!$A$2:$A$20000,Donasi!$B$2:$B$20000,A1312))</f>
        <v/>
      </c>
      <c r="C1312">
        <f>IF(A1312="","",COUNTIF(Donasi!$B$2:$B$20000,A1312))</f>
        <v/>
      </c>
      <c r="D1312">
        <f>IF(A1312="","",SUMIF(Donasi!$B$2:$B$20000,A1312,Donasi!$C$2:$C$20000))</f>
        <v/>
      </c>
      <c r="E1312">
        <f>IF(A1312="","",6-CEILING(PERCENTRANK.INC($B$3:$B$6000,B1312,4)*5+0.000001,1))</f>
        <v/>
      </c>
      <c r="F1312">
        <f>IF(A1312="","",MAX(1,CEILING(PERCENTRANK.INC($C$3:$C$6000,C1312,4)*5+0.000001,1)))</f>
        <v/>
      </c>
      <c r="G1312">
        <f>IF(A1312="","",MAX(1,CEILING(PERCENTRANK.INC($D$3:$D$6000,D1312,4)*5+0.000001,1)))</f>
        <v/>
      </c>
      <c r="H1312">
        <f>IF(A1312="","",E1312&amp;F1312&amp;G1312)</f>
        <v/>
      </c>
      <c r="I1312">
        <f>IF(A1312="","",IF(AND(E1312&gt;=4,F1312&gt;=4,G1312&gt;=4),"Juara",IF(AND(F1312&gt;=4,E1312&gt;=3),"Setia",IF(AND(E1312=5,F1312&lt;=2,G1312&gt;=3),"Berpotensi",IF(AND(E1312&lt;=3,E1312&gt;=2,F1312&gt;=3),"Rawan",IF(AND(E1312&lt;=2,F1312&lt;=2),"Tidur","Umum"))))))</f>
        <v/>
      </c>
    </row>
    <row r="1313">
      <c r="B1313">
        <f>IF(A1313="","",$B$1-MAXIFS(Donasi!$A$2:$A$20000,Donasi!$B$2:$B$20000,A1313))</f>
        <v/>
      </c>
      <c r="C1313">
        <f>IF(A1313="","",COUNTIF(Donasi!$B$2:$B$20000,A1313))</f>
        <v/>
      </c>
      <c r="D1313">
        <f>IF(A1313="","",SUMIF(Donasi!$B$2:$B$20000,A1313,Donasi!$C$2:$C$20000))</f>
        <v/>
      </c>
      <c r="E1313">
        <f>IF(A1313="","",6-CEILING(PERCENTRANK.INC($B$3:$B$6000,B1313,4)*5+0.000001,1))</f>
        <v/>
      </c>
      <c r="F1313">
        <f>IF(A1313="","",MAX(1,CEILING(PERCENTRANK.INC($C$3:$C$6000,C1313,4)*5+0.000001,1)))</f>
        <v/>
      </c>
      <c r="G1313">
        <f>IF(A1313="","",MAX(1,CEILING(PERCENTRANK.INC($D$3:$D$6000,D1313,4)*5+0.000001,1)))</f>
        <v/>
      </c>
      <c r="H1313">
        <f>IF(A1313="","",E1313&amp;F1313&amp;G1313)</f>
        <v/>
      </c>
      <c r="I1313">
        <f>IF(A1313="","",IF(AND(E1313&gt;=4,F1313&gt;=4,G1313&gt;=4),"Juara",IF(AND(F1313&gt;=4,E1313&gt;=3),"Setia",IF(AND(E1313=5,F1313&lt;=2,G1313&gt;=3),"Berpotensi",IF(AND(E1313&lt;=3,E1313&gt;=2,F1313&gt;=3),"Rawan",IF(AND(E1313&lt;=2,F1313&lt;=2),"Tidur","Umum"))))))</f>
        <v/>
      </c>
    </row>
    <row r="1314">
      <c r="B1314">
        <f>IF(A1314="","",$B$1-MAXIFS(Donasi!$A$2:$A$20000,Donasi!$B$2:$B$20000,A1314))</f>
        <v/>
      </c>
      <c r="C1314">
        <f>IF(A1314="","",COUNTIF(Donasi!$B$2:$B$20000,A1314))</f>
        <v/>
      </c>
      <c r="D1314">
        <f>IF(A1314="","",SUMIF(Donasi!$B$2:$B$20000,A1314,Donasi!$C$2:$C$20000))</f>
        <v/>
      </c>
      <c r="E1314">
        <f>IF(A1314="","",6-CEILING(PERCENTRANK.INC($B$3:$B$6000,B1314,4)*5+0.000001,1))</f>
        <v/>
      </c>
      <c r="F1314">
        <f>IF(A1314="","",MAX(1,CEILING(PERCENTRANK.INC($C$3:$C$6000,C1314,4)*5+0.000001,1)))</f>
        <v/>
      </c>
      <c r="G1314">
        <f>IF(A1314="","",MAX(1,CEILING(PERCENTRANK.INC($D$3:$D$6000,D1314,4)*5+0.000001,1)))</f>
        <v/>
      </c>
      <c r="H1314">
        <f>IF(A1314="","",E1314&amp;F1314&amp;G1314)</f>
        <v/>
      </c>
      <c r="I1314">
        <f>IF(A1314="","",IF(AND(E1314&gt;=4,F1314&gt;=4,G1314&gt;=4),"Juara",IF(AND(F1314&gt;=4,E1314&gt;=3),"Setia",IF(AND(E1314=5,F1314&lt;=2,G1314&gt;=3),"Berpotensi",IF(AND(E1314&lt;=3,E1314&gt;=2,F1314&gt;=3),"Rawan",IF(AND(E1314&lt;=2,F1314&lt;=2),"Tidur","Umum"))))))</f>
        <v/>
      </c>
    </row>
    <row r="1315">
      <c r="B1315">
        <f>IF(A1315="","",$B$1-MAXIFS(Donasi!$A$2:$A$20000,Donasi!$B$2:$B$20000,A1315))</f>
        <v/>
      </c>
      <c r="C1315">
        <f>IF(A1315="","",COUNTIF(Donasi!$B$2:$B$20000,A1315))</f>
        <v/>
      </c>
      <c r="D1315">
        <f>IF(A1315="","",SUMIF(Donasi!$B$2:$B$20000,A1315,Donasi!$C$2:$C$20000))</f>
        <v/>
      </c>
      <c r="E1315">
        <f>IF(A1315="","",6-CEILING(PERCENTRANK.INC($B$3:$B$6000,B1315,4)*5+0.000001,1))</f>
        <v/>
      </c>
      <c r="F1315">
        <f>IF(A1315="","",MAX(1,CEILING(PERCENTRANK.INC($C$3:$C$6000,C1315,4)*5+0.000001,1)))</f>
        <v/>
      </c>
      <c r="G1315">
        <f>IF(A1315="","",MAX(1,CEILING(PERCENTRANK.INC($D$3:$D$6000,D1315,4)*5+0.000001,1)))</f>
        <v/>
      </c>
      <c r="H1315">
        <f>IF(A1315="","",E1315&amp;F1315&amp;G1315)</f>
        <v/>
      </c>
      <c r="I1315">
        <f>IF(A1315="","",IF(AND(E1315&gt;=4,F1315&gt;=4,G1315&gt;=4),"Juara",IF(AND(F1315&gt;=4,E1315&gt;=3),"Setia",IF(AND(E1315=5,F1315&lt;=2,G1315&gt;=3),"Berpotensi",IF(AND(E1315&lt;=3,E1315&gt;=2,F1315&gt;=3),"Rawan",IF(AND(E1315&lt;=2,F1315&lt;=2),"Tidur","Umum"))))))</f>
        <v/>
      </c>
    </row>
    <row r="1316">
      <c r="B1316">
        <f>IF(A1316="","",$B$1-MAXIFS(Donasi!$A$2:$A$20000,Donasi!$B$2:$B$20000,A1316))</f>
        <v/>
      </c>
      <c r="C1316">
        <f>IF(A1316="","",COUNTIF(Donasi!$B$2:$B$20000,A1316))</f>
        <v/>
      </c>
      <c r="D1316">
        <f>IF(A1316="","",SUMIF(Donasi!$B$2:$B$20000,A1316,Donasi!$C$2:$C$20000))</f>
        <v/>
      </c>
      <c r="E1316">
        <f>IF(A1316="","",6-CEILING(PERCENTRANK.INC($B$3:$B$6000,B1316,4)*5+0.000001,1))</f>
        <v/>
      </c>
      <c r="F1316">
        <f>IF(A1316="","",MAX(1,CEILING(PERCENTRANK.INC($C$3:$C$6000,C1316,4)*5+0.000001,1)))</f>
        <v/>
      </c>
      <c r="G1316">
        <f>IF(A1316="","",MAX(1,CEILING(PERCENTRANK.INC($D$3:$D$6000,D1316,4)*5+0.000001,1)))</f>
        <v/>
      </c>
      <c r="H1316">
        <f>IF(A1316="","",E1316&amp;F1316&amp;G1316)</f>
        <v/>
      </c>
      <c r="I1316">
        <f>IF(A1316="","",IF(AND(E1316&gt;=4,F1316&gt;=4,G1316&gt;=4),"Juara",IF(AND(F1316&gt;=4,E1316&gt;=3),"Setia",IF(AND(E1316=5,F1316&lt;=2,G1316&gt;=3),"Berpotensi",IF(AND(E1316&lt;=3,E1316&gt;=2,F1316&gt;=3),"Rawan",IF(AND(E1316&lt;=2,F1316&lt;=2),"Tidur","Umum"))))))</f>
        <v/>
      </c>
    </row>
    <row r="1317">
      <c r="B1317">
        <f>IF(A1317="","",$B$1-MAXIFS(Donasi!$A$2:$A$20000,Donasi!$B$2:$B$20000,A1317))</f>
        <v/>
      </c>
      <c r="C1317">
        <f>IF(A1317="","",COUNTIF(Donasi!$B$2:$B$20000,A1317))</f>
        <v/>
      </c>
      <c r="D1317">
        <f>IF(A1317="","",SUMIF(Donasi!$B$2:$B$20000,A1317,Donasi!$C$2:$C$20000))</f>
        <v/>
      </c>
      <c r="E1317">
        <f>IF(A1317="","",6-CEILING(PERCENTRANK.INC($B$3:$B$6000,B1317,4)*5+0.000001,1))</f>
        <v/>
      </c>
      <c r="F1317">
        <f>IF(A1317="","",MAX(1,CEILING(PERCENTRANK.INC($C$3:$C$6000,C1317,4)*5+0.000001,1)))</f>
        <v/>
      </c>
      <c r="G1317">
        <f>IF(A1317="","",MAX(1,CEILING(PERCENTRANK.INC($D$3:$D$6000,D1317,4)*5+0.000001,1)))</f>
        <v/>
      </c>
      <c r="H1317">
        <f>IF(A1317="","",E1317&amp;F1317&amp;G1317)</f>
        <v/>
      </c>
      <c r="I1317">
        <f>IF(A1317="","",IF(AND(E1317&gt;=4,F1317&gt;=4,G1317&gt;=4),"Juara",IF(AND(F1317&gt;=4,E1317&gt;=3),"Setia",IF(AND(E1317=5,F1317&lt;=2,G1317&gt;=3),"Berpotensi",IF(AND(E1317&lt;=3,E1317&gt;=2,F1317&gt;=3),"Rawan",IF(AND(E1317&lt;=2,F1317&lt;=2),"Tidur","Umum"))))))</f>
        <v/>
      </c>
    </row>
    <row r="1318">
      <c r="B1318">
        <f>IF(A1318="","",$B$1-MAXIFS(Donasi!$A$2:$A$20000,Donasi!$B$2:$B$20000,A1318))</f>
        <v/>
      </c>
      <c r="C1318">
        <f>IF(A1318="","",COUNTIF(Donasi!$B$2:$B$20000,A1318))</f>
        <v/>
      </c>
      <c r="D1318">
        <f>IF(A1318="","",SUMIF(Donasi!$B$2:$B$20000,A1318,Donasi!$C$2:$C$20000))</f>
        <v/>
      </c>
      <c r="E1318">
        <f>IF(A1318="","",6-CEILING(PERCENTRANK.INC($B$3:$B$6000,B1318,4)*5+0.000001,1))</f>
        <v/>
      </c>
      <c r="F1318">
        <f>IF(A1318="","",MAX(1,CEILING(PERCENTRANK.INC($C$3:$C$6000,C1318,4)*5+0.000001,1)))</f>
        <v/>
      </c>
      <c r="G1318">
        <f>IF(A1318="","",MAX(1,CEILING(PERCENTRANK.INC($D$3:$D$6000,D1318,4)*5+0.000001,1)))</f>
        <v/>
      </c>
      <c r="H1318">
        <f>IF(A1318="","",E1318&amp;F1318&amp;G1318)</f>
        <v/>
      </c>
      <c r="I1318">
        <f>IF(A1318="","",IF(AND(E1318&gt;=4,F1318&gt;=4,G1318&gt;=4),"Juara",IF(AND(F1318&gt;=4,E1318&gt;=3),"Setia",IF(AND(E1318=5,F1318&lt;=2,G1318&gt;=3),"Berpotensi",IF(AND(E1318&lt;=3,E1318&gt;=2,F1318&gt;=3),"Rawan",IF(AND(E1318&lt;=2,F1318&lt;=2),"Tidur","Umum"))))))</f>
        <v/>
      </c>
    </row>
    <row r="1319">
      <c r="B1319">
        <f>IF(A1319="","",$B$1-MAXIFS(Donasi!$A$2:$A$20000,Donasi!$B$2:$B$20000,A1319))</f>
        <v/>
      </c>
      <c r="C1319">
        <f>IF(A1319="","",COUNTIF(Donasi!$B$2:$B$20000,A1319))</f>
        <v/>
      </c>
      <c r="D1319">
        <f>IF(A1319="","",SUMIF(Donasi!$B$2:$B$20000,A1319,Donasi!$C$2:$C$20000))</f>
        <v/>
      </c>
      <c r="E1319">
        <f>IF(A1319="","",6-CEILING(PERCENTRANK.INC($B$3:$B$6000,B1319,4)*5+0.000001,1))</f>
        <v/>
      </c>
      <c r="F1319">
        <f>IF(A1319="","",MAX(1,CEILING(PERCENTRANK.INC($C$3:$C$6000,C1319,4)*5+0.000001,1)))</f>
        <v/>
      </c>
      <c r="G1319">
        <f>IF(A1319="","",MAX(1,CEILING(PERCENTRANK.INC($D$3:$D$6000,D1319,4)*5+0.000001,1)))</f>
        <v/>
      </c>
      <c r="H1319">
        <f>IF(A1319="","",E1319&amp;F1319&amp;G1319)</f>
        <v/>
      </c>
      <c r="I1319">
        <f>IF(A1319="","",IF(AND(E1319&gt;=4,F1319&gt;=4,G1319&gt;=4),"Juara",IF(AND(F1319&gt;=4,E1319&gt;=3),"Setia",IF(AND(E1319=5,F1319&lt;=2,G1319&gt;=3),"Berpotensi",IF(AND(E1319&lt;=3,E1319&gt;=2,F1319&gt;=3),"Rawan",IF(AND(E1319&lt;=2,F1319&lt;=2),"Tidur","Umum"))))))</f>
        <v/>
      </c>
    </row>
    <row r="1320">
      <c r="B1320">
        <f>IF(A1320="","",$B$1-MAXIFS(Donasi!$A$2:$A$20000,Donasi!$B$2:$B$20000,A1320))</f>
        <v/>
      </c>
      <c r="C1320">
        <f>IF(A1320="","",COUNTIF(Donasi!$B$2:$B$20000,A1320))</f>
        <v/>
      </c>
      <c r="D1320">
        <f>IF(A1320="","",SUMIF(Donasi!$B$2:$B$20000,A1320,Donasi!$C$2:$C$20000))</f>
        <v/>
      </c>
      <c r="E1320">
        <f>IF(A1320="","",6-CEILING(PERCENTRANK.INC($B$3:$B$6000,B1320,4)*5+0.000001,1))</f>
        <v/>
      </c>
      <c r="F1320">
        <f>IF(A1320="","",MAX(1,CEILING(PERCENTRANK.INC($C$3:$C$6000,C1320,4)*5+0.000001,1)))</f>
        <v/>
      </c>
      <c r="G1320">
        <f>IF(A1320="","",MAX(1,CEILING(PERCENTRANK.INC($D$3:$D$6000,D1320,4)*5+0.000001,1)))</f>
        <v/>
      </c>
      <c r="H1320">
        <f>IF(A1320="","",E1320&amp;F1320&amp;G1320)</f>
        <v/>
      </c>
      <c r="I1320">
        <f>IF(A1320="","",IF(AND(E1320&gt;=4,F1320&gt;=4,G1320&gt;=4),"Juara",IF(AND(F1320&gt;=4,E1320&gt;=3),"Setia",IF(AND(E1320=5,F1320&lt;=2,G1320&gt;=3),"Berpotensi",IF(AND(E1320&lt;=3,E1320&gt;=2,F1320&gt;=3),"Rawan",IF(AND(E1320&lt;=2,F1320&lt;=2),"Tidur","Umum"))))))</f>
        <v/>
      </c>
    </row>
    <row r="1321">
      <c r="B1321">
        <f>IF(A1321="","",$B$1-MAXIFS(Donasi!$A$2:$A$20000,Donasi!$B$2:$B$20000,A1321))</f>
        <v/>
      </c>
      <c r="C1321">
        <f>IF(A1321="","",COUNTIF(Donasi!$B$2:$B$20000,A1321))</f>
        <v/>
      </c>
      <c r="D1321">
        <f>IF(A1321="","",SUMIF(Donasi!$B$2:$B$20000,A1321,Donasi!$C$2:$C$20000))</f>
        <v/>
      </c>
      <c r="E1321">
        <f>IF(A1321="","",6-CEILING(PERCENTRANK.INC($B$3:$B$6000,B1321,4)*5+0.000001,1))</f>
        <v/>
      </c>
      <c r="F1321">
        <f>IF(A1321="","",MAX(1,CEILING(PERCENTRANK.INC($C$3:$C$6000,C1321,4)*5+0.000001,1)))</f>
        <v/>
      </c>
      <c r="G1321">
        <f>IF(A1321="","",MAX(1,CEILING(PERCENTRANK.INC($D$3:$D$6000,D1321,4)*5+0.000001,1)))</f>
        <v/>
      </c>
      <c r="H1321">
        <f>IF(A1321="","",E1321&amp;F1321&amp;G1321)</f>
        <v/>
      </c>
      <c r="I1321">
        <f>IF(A1321="","",IF(AND(E1321&gt;=4,F1321&gt;=4,G1321&gt;=4),"Juara",IF(AND(F1321&gt;=4,E1321&gt;=3),"Setia",IF(AND(E1321=5,F1321&lt;=2,G1321&gt;=3),"Berpotensi",IF(AND(E1321&lt;=3,E1321&gt;=2,F1321&gt;=3),"Rawan",IF(AND(E1321&lt;=2,F1321&lt;=2),"Tidur","Umum"))))))</f>
        <v/>
      </c>
    </row>
    <row r="1322">
      <c r="B1322">
        <f>IF(A1322="","",$B$1-MAXIFS(Donasi!$A$2:$A$20000,Donasi!$B$2:$B$20000,A1322))</f>
        <v/>
      </c>
      <c r="C1322">
        <f>IF(A1322="","",COUNTIF(Donasi!$B$2:$B$20000,A1322))</f>
        <v/>
      </c>
      <c r="D1322">
        <f>IF(A1322="","",SUMIF(Donasi!$B$2:$B$20000,A1322,Donasi!$C$2:$C$20000))</f>
        <v/>
      </c>
      <c r="E1322">
        <f>IF(A1322="","",6-CEILING(PERCENTRANK.INC($B$3:$B$6000,B1322,4)*5+0.000001,1))</f>
        <v/>
      </c>
      <c r="F1322">
        <f>IF(A1322="","",MAX(1,CEILING(PERCENTRANK.INC($C$3:$C$6000,C1322,4)*5+0.000001,1)))</f>
        <v/>
      </c>
      <c r="G1322">
        <f>IF(A1322="","",MAX(1,CEILING(PERCENTRANK.INC($D$3:$D$6000,D1322,4)*5+0.000001,1)))</f>
        <v/>
      </c>
      <c r="H1322">
        <f>IF(A1322="","",E1322&amp;F1322&amp;G1322)</f>
        <v/>
      </c>
      <c r="I1322">
        <f>IF(A1322="","",IF(AND(E1322&gt;=4,F1322&gt;=4,G1322&gt;=4),"Juara",IF(AND(F1322&gt;=4,E1322&gt;=3),"Setia",IF(AND(E1322=5,F1322&lt;=2,G1322&gt;=3),"Berpotensi",IF(AND(E1322&lt;=3,E1322&gt;=2,F1322&gt;=3),"Rawan",IF(AND(E1322&lt;=2,F1322&lt;=2),"Tidur","Umum"))))))</f>
        <v/>
      </c>
    </row>
    <row r="1323">
      <c r="B1323">
        <f>IF(A1323="","",$B$1-MAXIFS(Donasi!$A$2:$A$20000,Donasi!$B$2:$B$20000,A1323))</f>
        <v/>
      </c>
      <c r="C1323">
        <f>IF(A1323="","",COUNTIF(Donasi!$B$2:$B$20000,A1323))</f>
        <v/>
      </c>
      <c r="D1323">
        <f>IF(A1323="","",SUMIF(Donasi!$B$2:$B$20000,A1323,Donasi!$C$2:$C$20000))</f>
        <v/>
      </c>
      <c r="E1323">
        <f>IF(A1323="","",6-CEILING(PERCENTRANK.INC($B$3:$B$6000,B1323,4)*5+0.000001,1))</f>
        <v/>
      </c>
      <c r="F1323">
        <f>IF(A1323="","",MAX(1,CEILING(PERCENTRANK.INC($C$3:$C$6000,C1323,4)*5+0.000001,1)))</f>
        <v/>
      </c>
      <c r="G1323">
        <f>IF(A1323="","",MAX(1,CEILING(PERCENTRANK.INC($D$3:$D$6000,D1323,4)*5+0.000001,1)))</f>
        <v/>
      </c>
      <c r="H1323">
        <f>IF(A1323="","",E1323&amp;F1323&amp;G1323)</f>
        <v/>
      </c>
      <c r="I1323">
        <f>IF(A1323="","",IF(AND(E1323&gt;=4,F1323&gt;=4,G1323&gt;=4),"Juara",IF(AND(F1323&gt;=4,E1323&gt;=3),"Setia",IF(AND(E1323=5,F1323&lt;=2,G1323&gt;=3),"Berpotensi",IF(AND(E1323&lt;=3,E1323&gt;=2,F1323&gt;=3),"Rawan",IF(AND(E1323&lt;=2,F1323&lt;=2),"Tidur","Umum"))))))</f>
        <v/>
      </c>
    </row>
    <row r="1324">
      <c r="B1324">
        <f>IF(A1324="","",$B$1-MAXIFS(Donasi!$A$2:$A$20000,Donasi!$B$2:$B$20000,A1324))</f>
        <v/>
      </c>
      <c r="C1324">
        <f>IF(A1324="","",COUNTIF(Donasi!$B$2:$B$20000,A1324))</f>
        <v/>
      </c>
      <c r="D1324">
        <f>IF(A1324="","",SUMIF(Donasi!$B$2:$B$20000,A1324,Donasi!$C$2:$C$20000))</f>
        <v/>
      </c>
      <c r="E1324">
        <f>IF(A1324="","",6-CEILING(PERCENTRANK.INC($B$3:$B$6000,B1324,4)*5+0.000001,1))</f>
        <v/>
      </c>
      <c r="F1324">
        <f>IF(A1324="","",MAX(1,CEILING(PERCENTRANK.INC($C$3:$C$6000,C1324,4)*5+0.000001,1)))</f>
        <v/>
      </c>
      <c r="G1324">
        <f>IF(A1324="","",MAX(1,CEILING(PERCENTRANK.INC($D$3:$D$6000,D1324,4)*5+0.000001,1)))</f>
        <v/>
      </c>
      <c r="H1324">
        <f>IF(A1324="","",E1324&amp;F1324&amp;G1324)</f>
        <v/>
      </c>
      <c r="I1324">
        <f>IF(A1324="","",IF(AND(E1324&gt;=4,F1324&gt;=4,G1324&gt;=4),"Juara",IF(AND(F1324&gt;=4,E1324&gt;=3),"Setia",IF(AND(E1324=5,F1324&lt;=2,G1324&gt;=3),"Berpotensi",IF(AND(E1324&lt;=3,E1324&gt;=2,F1324&gt;=3),"Rawan",IF(AND(E1324&lt;=2,F1324&lt;=2),"Tidur","Umum"))))))</f>
        <v/>
      </c>
    </row>
    <row r="1325">
      <c r="B1325">
        <f>IF(A1325="","",$B$1-MAXIFS(Donasi!$A$2:$A$20000,Donasi!$B$2:$B$20000,A1325))</f>
        <v/>
      </c>
      <c r="C1325">
        <f>IF(A1325="","",COUNTIF(Donasi!$B$2:$B$20000,A1325))</f>
        <v/>
      </c>
      <c r="D1325">
        <f>IF(A1325="","",SUMIF(Donasi!$B$2:$B$20000,A1325,Donasi!$C$2:$C$20000))</f>
        <v/>
      </c>
      <c r="E1325">
        <f>IF(A1325="","",6-CEILING(PERCENTRANK.INC($B$3:$B$6000,B1325,4)*5+0.000001,1))</f>
        <v/>
      </c>
      <c r="F1325">
        <f>IF(A1325="","",MAX(1,CEILING(PERCENTRANK.INC($C$3:$C$6000,C1325,4)*5+0.000001,1)))</f>
        <v/>
      </c>
      <c r="G1325">
        <f>IF(A1325="","",MAX(1,CEILING(PERCENTRANK.INC($D$3:$D$6000,D1325,4)*5+0.000001,1)))</f>
        <v/>
      </c>
      <c r="H1325">
        <f>IF(A1325="","",E1325&amp;F1325&amp;G1325)</f>
        <v/>
      </c>
      <c r="I1325">
        <f>IF(A1325="","",IF(AND(E1325&gt;=4,F1325&gt;=4,G1325&gt;=4),"Juara",IF(AND(F1325&gt;=4,E1325&gt;=3),"Setia",IF(AND(E1325=5,F1325&lt;=2,G1325&gt;=3),"Berpotensi",IF(AND(E1325&lt;=3,E1325&gt;=2,F1325&gt;=3),"Rawan",IF(AND(E1325&lt;=2,F1325&lt;=2),"Tidur","Umum"))))))</f>
        <v/>
      </c>
    </row>
    <row r="1326">
      <c r="B1326">
        <f>IF(A1326="","",$B$1-MAXIFS(Donasi!$A$2:$A$20000,Donasi!$B$2:$B$20000,A1326))</f>
        <v/>
      </c>
      <c r="C1326">
        <f>IF(A1326="","",COUNTIF(Donasi!$B$2:$B$20000,A1326))</f>
        <v/>
      </c>
      <c r="D1326">
        <f>IF(A1326="","",SUMIF(Donasi!$B$2:$B$20000,A1326,Donasi!$C$2:$C$20000))</f>
        <v/>
      </c>
      <c r="E1326">
        <f>IF(A1326="","",6-CEILING(PERCENTRANK.INC($B$3:$B$6000,B1326,4)*5+0.000001,1))</f>
        <v/>
      </c>
      <c r="F1326">
        <f>IF(A1326="","",MAX(1,CEILING(PERCENTRANK.INC($C$3:$C$6000,C1326,4)*5+0.000001,1)))</f>
        <v/>
      </c>
      <c r="G1326">
        <f>IF(A1326="","",MAX(1,CEILING(PERCENTRANK.INC($D$3:$D$6000,D1326,4)*5+0.000001,1)))</f>
        <v/>
      </c>
      <c r="H1326">
        <f>IF(A1326="","",E1326&amp;F1326&amp;G1326)</f>
        <v/>
      </c>
      <c r="I1326">
        <f>IF(A1326="","",IF(AND(E1326&gt;=4,F1326&gt;=4,G1326&gt;=4),"Juara",IF(AND(F1326&gt;=4,E1326&gt;=3),"Setia",IF(AND(E1326=5,F1326&lt;=2,G1326&gt;=3),"Berpotensi",IF(AND(E1326&lt;=3,E1326&gt;=2,F1326&gt;=3),"Rawan",IF(AND(E1326&lt;=2,F1326&lt;=2),"Tidur","Umum"))))))</f>
        <v/>
      </c>
    </row>
    <row r="1327">
      <c r="B1327">
        <f>IF(A1327="","",$B$1-MAXIFS(Donasi!$A$2:$A$20000,Donasi!$B$2:$B$20000,A1327))</f>
        <v/>
      </c>
      <c r="C1327">
        <f>IF(A1327="","",COUNTIF(Donasi!$B$2:$B$20000,A1327))</f>
        <v/>
      </c>
      <c r="D1327">
        <f>IF(A1327="","",SUMIF(Donasi!$B$2:$B$20000,A1327,Donasi!$C$2:$C$20000))</f>
        <v/>
      </c>
      <c r="E1327">
        <f>IF(A1327="","",6-CEILING(PERCENTRANK.INC($B$3:$B$6000,B1327,4)*5+0.000001,1))</f>
        <v/>
      </c>
      <c r="F1327">
        <f>IF(A1327="","",MAX(1,CEILING(PERCENTRANK.INC($C$3:$C$6000,C1327,4)*5+0.000001,1)))</f>
        <v/>
      </c>
      <c r="G1327">
        <f>IF(A1327="","",MAX(1,CEILING(PERCENTRANK.INC($D$3:$D$6000,D1327,4)*5+0.000001,1)))</f>
        <v/>
      </c>
      <c r="H1327">
        <f>IF(A1327="","",E1327&amp;F1327&amp;G1327)</f>
        <v/>
      </c>
      <c r="I1327">
        <f>IF(A1327="","",IF(AND(E1327&gt;=4,F1327&gt;=4,G1327&gt;=4),"Juara",IF(AND(F1327&gt;=4,E1327&gt;=3),"Setia",IF(AND(E1327=5,F1327&lt;=2,G1327&gt;=3),"Berpotensi",IF(AND(E1327&lt;=3,E1327&gt;=2,F1327&gt;=3),"Rawan",IF(AND(E1327&lt;=2,F1327&lt;=2),"Tidur","Umum"))))))</f>
        <v/>
      </c>
    </row>
    <row r="1328">
      <c r="B1328">
        <f>IF(A1328="","",$B$1-MAXIFS(Donasi!$A$2:$A$20000,Donasi!$B$2:$B$20000,A1328))</f>
        <v/>
      </c>
      <c r="C1328">
        <f>IF(A1328="","",COUNTIF(Donasi!$B$2:$B$20000,A1328))</f>
        <v/>
      </c>
      <c r="D1328">
        <f>IF(A1328="","",SUMIF(Donasi!$B$2:$B$20000,A1328,Donasi!$C$2:$C$20000))</f>
        <v/>
      </c>
      <c r="E1328">
        <f>IF(A1328="","",6-CEILING(PERCENTRANK.INC($B$3:$B$6000,B1328,4)*5+0.000001,1))</f>
        <v/>
      </c>
      <c r="F1328">
        <f>IF(A1328="","",MAX(1,CEILING(PERCENTRANK.INC($C$3:$C$6000,C1328,4)*5+0.000001,1)))</f>
        <v/>
      </c>
      <c r="G1328">
        <f>IF(A1328="","",MAX(1,CEILING(PERCENTRANK.INC($D$3:$D$6000,D1328,4)*5+0.000001,1)))</f>
        <v/>
      </c>
      <c r="H1328">
        <f>IF(A1328="","",E1328&amp;F1328&amp;G1328)</f>
        <v/>
      </c>
      <c r="I1328">
        <f>IF(A1328="","",IF(AND(E1328&gt;=4,F1328&gt;=4,G1328&gt;=4),"Juara",IF(AND(F1328&gt;=4,E1328&gt;=3),"Setia",IF(AND(E1328=5,F1328&lt;=2,G1328&gt;=3),"Berpotensi",IF(AND(E1328&lt;=3,E1328&gt;=2,F1328&gt;=3),"Rawan",IF(AND(E1328&lt;=2,F1328&lt;=2),"Tidur","Umum"))))))</f>
        <v/>
      </c>
    </row>
    <row r="1329">
      <c r="B1329">
        <f>IF(A1329="","",$B$1-MAXIFS(Donasi!$A$2:$A$20000,Donasi!$B$2:$B$20000,A1329))</f>
        <v/>
      </c>
      <c r="C1329">
        <f>IF(A1329="","",COUNTIF(Donasi!$B$2:$B$20000,A1329))</f>
        <v/>
      </c>
      <c r="D1329">
        <f>IF(A1329="","",SUMIF(Donasi!$B$2:$B$20000,A1329,Donasi!$C$2:$C$20000))</f>
        <v/>
      </c>
      <c r="E1329">
        <f>IF(A1329="","",6-CEILING(PERCENTRANK.INC($B$3:$B$6000,B1329,4)*5+0.000001,1))</f>
        <v/>
      </c>
      <c r="F1329">
        <f>IF(A1329="","",MAX(1,CEILING(PERCENTRANK.INC($C$3:$C$6000,C1329,4)*5+0.000001,1)))</f>
        <v/>
      </c>
      <c r="G1329">
        <f>IF(A1329="","",MAX(1,CEILING(PERCENTRANK.INC($D$3:$D$6000,D1329,4)*5+0.000001,1)))</f>
        <v/>
      </c>
      <c r="H1329">
        <f>IF(A1329="","",E1329&amp;F1329&amp;G1329)</f>
        <v/>
      </c>
      <c r="I1329">
        <f>IF(A1329="","",IF(AND(E1329&gt;=4,F1329&gt;=4,G1329&gt;=4),"Juara",IF(AND(F1329&gt;=4,E1329&gt;=3),"Setia",IF(AND(E1329=5,F1329&lt;=2,G1329&gt;=3),"Berpotensi",IF(AND(E1329&lt;=3,E1329&gt;=2,F1329&gt;=3),"Rawan",IF(AND(E1329&lt;=2,F1329&lt;=2),"Tidur","Umum"))))))</f>
        <v/>
      </c>
    </row>
    <row r="1330">
      <c r="B1330">
        <f>IF(A1330="","",$B$1-MAXIFS(Donasi!$A$2:$A$20000,Donasi!$B$2:$B$20000,A1330))</f>
        <v/>
      </c>
      <c r="C1330">
        <f>IF(A1330="","",COUNTIF(Donasi!$B$2:$B$20000,A1330))</f>
        <v/>
      </c>
      <c r="D1330">
        <f>IF(A1330="","",SUMIF(Donasi!$B$2:$B$20000,A1330,Donasi!$C$2:$C$20000))</f>
        <v/>
      </c>
      <c r="E1330">
        <f>IF(A1330="","",6-CEILING(PERCENTRANK.INC($B$3:$B$6000,B1330,4)*5+0.000001,1))</f>
        <v/>
      </c>
      <c r="F1330">
        <f>IF(A1330="","",MAX(1,CEILING(PERCENTRANK.INC($C$3:$C$6000,C1330,4)*5+0.000001,1)))</f>
        <v/>
      </c>
      <c r="G1330">
        <f>IF(A1330="","",MAX(1,CEILING(PERCENTRANK.INC($D$3:$D$6000,D1330,4)*5+0.000001,1)))</f>
        <v/>
      </c>
      <c r="H1330">
        <f>IF(A1330="","",E1330&amp;F1330&amp;G1330)</f>
        <v/>
      </c>
      <c r="I1330">
        <f>IF(A1330="","",IF(AND(E1330&gt;=4,F1330&gt;=4,G1330&gt;=4),"Juara",IF(AND(F1330&gt;=4,E1330&gt;=3),"Setia",IF(AND(E1330=5,F1330&lt;=2,G1330&gt;=3),"Berpotensi",IF(AND(E1330&lt;=3,E1330&gt;=2,F1330&gt;=3),"Rawan",IF(AND(E1330&lt;=2,F1330&lt;=2),"Tidur","Umum"))))))</f>
        <v/>
      </c>
    </row>
    <row r="1331">
      <c r="B1331">
        <f>IF(A1331="","",$B$1-MAXIFS(Donasi!$A$2:$A$20000,Donasi!$B$2:$B$20000,A1331))</f>
        <v/>
      </c>
      <c r="C1331">
        <f>IF(A1331="","",COUNTIF(Donasi!$B$2:$B$20000,A1331))</f>
        <v/>
      </c>
      <c r="D1331">
        <f>IF(A1331="","",SUMIF(Donasi!$B$2:$B$20000,A1331,Donasi!$C$2:$C$20000))</f>
        <v/>
      </c>
      <c r="E1331">
        <f>IF(A1331="","",6-CEILING(PERCENTRANK.INC($B$3:$B$6000,B1331,4)*5+0.000001,1))</f>
        <v/>
      </c>
      <c r="F1331">
        <f>IF(A1331="","",MAX(1,CEILING(PERCENTRANK.INC($C$3:$C$6000,C1331,4)*5+0.000001,1)))</f>
        <v/>
      </c>
      <c r="G1331">
        <f>IF(A1331="","",MAX(1,CEILING(PERCENTRANK.INC($D$3:$D$6000,D1331,4)*5+0.000001,1)))</f>
        <v/>
      </c>
      <c r="H1331">
        <f>IF(A1331="","",E1331&amp;F1331&amp;G1331)</f>
        <v/>
      </c>
      <c r="I1331">
        <f>IF(A1331="","",IF(AND(E1331&gt;=4,F1331&gt;=4,G1331&gt;=4),"Juara",IF(AND(F1331&gt;=4,E1331&gt;=3),"Setia",IF(AND(E1331=5,F1331&lt;=2,G1331&gt;=3),"Berpotensi",IF(AND(E1331&lt;=3,E1331&gt;=2,F1331&gt;=3),"Rawan",IF(AND(E1331&lt;=2,F1331&lt;=2),"Tidur","Umum"))))))</f>
        <v/>
      </c>
    </row>
    <row r="1332">
      <c r="B1332">
        <f>IF(A1332="","",$B$1-MAXIFS(Donasi!$A$2:$A$20000,Donasi!$B$2:$B$20000,A1332))</f>
        <v/>
      </c>
      <c r="C1332">
        <f>IF(A1332="","",COUNTIF(Donasi!$B$2:$B$20000,A1332))</f>
        <v/>
      </c>
      <c r="D1332">
        <f>IF(A1332="","",SUMIF(Donasi!$B$2:$B$20000,A1332,Donasi!$C$2:$C$20000))</f>
        <v/>
      </c>
      <c r="E1332">
        <f>IF(A1332="","",6-CEILING(PERCENTRANK.INC($B$3:$B$6000,B1332,4)*5+0.000001,1))</f>
        <v/>
      </c>
      <c r="F1332">
        <f>IF(A1332="","",MAX(1,CEILING(PERCENTRANK.INC($C$3:$C$6000,C1332,4)*5+0.000001,1)))</f>
        <v/>
      </c>
      <c r="G1332">
        <f>IF(A1332="","",MAX(1,CEILING(PERCENTRANK.INC($D$3:$D$6000,D1332,4)*5+0.000001,1)))</f>
        <v/>
      </c>
      <c r="H1332">
        <f>IF(A1332="","",E1332&amp;F1332&amp;G1332)</f>
        <v/>
      </c>
      <c r="I1332">
        <f>IF(A1332="","",IF(AND(E1332&gt;=4,F1332&gt;=4,G1332&gt;=4),"Juara",IF(AND(F1332&gt;=4,E1332&gt;=3),"Setia",IF(AND(E1332=5,F1332&lt;=2,G1332&gt;=3),"Berpotensi",IF(AND(E1332&lt;=3,E1332&gt;=2,F1332&gt;=3),"Rawan",IF(AND(E1332&lt;=2,F1332&lt;=2),"Tidur","Umum"))))))</f>
        <v/>
      </c>
    </row>
    <row r="1333">
      <c r="B1333">
        <f>IF(A1333="","",$B$1-MAXIFS(Donasi!$A$2:$A$20000,Donasi!$B$2:$B$20000,A1333))</f>
        <v/>
      </c>
      <c r="C1333">
        <f>IF(A1333="","",COUNTIF(Donasi!$B$2:$B$20000,A1333))</f>
        <v/>
      </c>
      <c r="D1333">
        <f>IF(A1333="","",SUMIF(Donasi!$B$2:$B$20000,A1333,Donasi!$C$2:$C$20000))</f>
        <v/>
      </c>
      <c r="E1333">
        <f>IF(A1333="","",6-CEILING(PERCENTRANK.INC($B$3:$B$6000,B1333,4)*5+0.000001,1))</f>
        <v/>
      </c>
      <c r="F1333">
        <f>IF(A1333="","",MAX(1,CEILING(PERCENTRANK.INC($C$3:$C$6000,C1333,4)*5+0.000001,1)))</f>
        <v/>
      </c>
      <c r="G1333">
        <f>IF(A1333="","",MAX(1,CEILING(PERCENTRANK.INC($D$3:$D$6000,D1333,4)*5+0.000001,1)))</f>
        <v/>
      </c>
      <c r="H1333">
        <f>IF(A1333="","",E1333&amp;F1333&amp;G1333)</f>
        <v/>
      </c>
      <c r="I1333">
        <f>IF(A1333="","",IF(AND(E1333&gt;=4,F1333&gt;=4,G1333&gt;=4),"Juara",IF(AND(F1333&gt;=4,E1333&gt;=3),"Setia",IF(AND(E1333=5,F1333&lt;=2,G1333&gt;=3),"Berpotensi",IF(AND(E1333&lt;=3,E1333&gt;=2,F1333&gt;=3),"Rawan",IF(AND(E1333&lt;=2,F1333&lt;=2),"Tidur","Umum"))))))</f>
        <v/>
      </c>
    </row>
    <row r="1334">
      <c r="B1334">
        <f>IF(A1334="","",$B$1-MAXIFS(Donasi!$A$2:$A$20000,Donasi!$B$2:$B$20000,A1334))</f>
        <v/>
      </c>
      <c r="C1334">
        <f>IF(A1334="","",COUNTIF(Donasi!$B$2:$B$20000,A1334))</f>
        <v/>
      </c>
      <c r="D1334">
        <f>IF(A1334="","",SUMIF(Donasi!$B$2:$B$20000,A1334,Donasi!$C$2:$C$20000))</f>
        <v/>
      </c>
      <c r="E1334">
        <f>IF(A1334="","",6-CEILING(PERCENTRANK.INC($B$3:$B$6000,B1334,4)*5+0.000001,1))</f>
        <v/>
      </c>
      <c r="F1334">
        <f>IF(A1334="","",MAX(1,CEILING(PERCENTRANK.INC($C$3:$C$6000,C1334,4)*5+0.000001,1)))</f>
        <v/>
      </c>
      <c r="G1334">
        <f>IF(A1334="","",MAX(1,CEILING(PERCENTRANK.INC($D$3:$D$6000,D1334,4)*5+0.000001,1)))</f>
        <v/>
      </c>
      <c r="H1334">
        <f>IF(A1334="","",E1334&amp;F1334&amp;G1334)</f>
        <v/>
      </c>
      <c r="I1334">
        <f>IF(A1334="","",IF(AND(E1334&gt;=4,F1334&gt;=4,G1334&gt;=4),"Juara",IF(AND(F1334&gt;=4,E1334&gt;=3),"Setia",IF(AND(E1334=5,F1334&lt;=2,G1334&gt;=3),"Berpotensi",IF(AND(E1334&lt;=3,E1334&gt;=2,F1334&gt;=3),"Rawan",IF(AND(E1334&lt;=2,F1334&lt;=2),"Tidur","Umum"))))))</f>
        <v/>
      </c>
    </row>
    <row r="1335">
      <c r="B1335">
        <f>IF(A1335="","",$B$1-MAXIFS(Donasi!$A$2:$A$20000,Donasi!$B$2:$B$20000,A1335))</f>
        <v/>
      </c>
      <c r="C1335">
        <f>IF(A1335="","",COUNTIF(Donasi!$B$2:$B$20000,A1335))</f>
        <v/>
      </c>
      <c r="D1335">
        <f>IF(A1335="","",SUMIF(Donasi!$B$2:$B$20000,A1335,Donasi!$C$2:$C$20000))</f>
        <v/>
      </c>
      <c r="E1335">
        <f>IF(A1335="","",6-CEILING(PERCENTRANK.INC($B$3:$B$6000,B1335,4)*5+0.000001,1))</f>
        <v/>
      </c>
      <c r="F1335">
        <f>IF(A1335="","",MAX(1,CEILING(PERCENTRANK.INC($C$3:$C$6000,C1335,4)*5+0.000001,1)))</f>
        <v/>
      </c>
      <c r="G1335">
        <f>IF(A1335="","",MAX(1,CEILING(PERCENTRANK.INC($D$3:$D$6000,D1335,4)*5+0.000001,1)))</f>
        <v/>
      </c>
      <c r="H1335">
        <f>IF(A1335="","",E1335&amp;F1335&amp;G1335)</f>
        <v/>
      </c>
      <c r="I1335">
        <f>IF(A1335="","",IF(AND(E1335&gt;=4,F1335&gt;=4,G1335&gt;=4),"Juara",IF(AND(F1335&gt;=4,E1335&gt;=3),"Setia",IF(AND(E1335=5,F1335&lt;=2,G1335&gt;=3),"Berpotensi",IF(AND(E1335&lt;=3,E1335&gt;=2,F1335&gt;=3),"Rawan",IF(AND(E1335&lt;=2,F1335&lt;=2),"Tidur","Umum"))))))</f>
        <v/>
      </c>
    </row>
    <row r="1336">
      <c r="B1336">
        <f>IF(A1336="","",$B$1-MAXIFS(Donasi!$A$2:$A$20000,Donasi!$B$2:$B$20000,A1336))</f>
        <v/>
      </c>
      <c r="C1336">
        <f>IF(A1336="","",COUNTIF(Donasi!$B$2:$B$20000,A1336))</f>
        <v/>
      </c>
      <c r="D1336">
        <f>IF(A1336="","",SUMIF(Donasi!$B$2:$B$20000,A1336,Donasi!$C$2:$C$20000))</f>
        <v/>
      </c>
      <c r="E1336">
        <f>IF(A1336="","",6-CEILING(PERCENTRANK.INC($B$3:$B$6000,B1336,4)*5+0.000001,1))</f>
        <v/>
      </c>
      <c r="F1336">
        <f>IF(A1336="","",MAX(1,CEILING(PERCENTRANK.INC($C$3:$C$6000,C1336,4)*5+0.000001,1)))</f>
        <v/>
      </c>
      <c r="G1336">
        <f>IF(A1336="","",MAX(1,CEILING(PERCENTRANK.INC($D$3:$D$6000,D1336,4)*5+0.000001,1)))</f>
        <v/>
      </c>
      <c r="H1336">
        <f>IF(A1336="","",E1336&amp;F1336&amp;G1336)</f>
        <v/>
      </c>
      <c r="I1336">
        <f>IF(A1336="","",IF(AND(E1336&gt;=4,F1336&gt;=4,G1336&gt;=4),"Juara",IF(AND(F1336&gt;=4,E1336&gt;=3),"Setia",IF(AND(E1336=5,F1336&lt;=2,G1336&gt;=3),"Berpotensi",IF(AND(E1336&lt;=3,E1336&gt;=2,F1336&gt;=3),"Rawan",IF(AND(E1336&lt;=2,F1336&lt;=2),"Tidur","Umum"))))))</f>
        <v/>
      </c>
    </row>
    <row r="1337">
      <c r="B1337">
        <f>IF(A1337="","",$B$1-MAXIFS(Donasi!$A$2:$A$20000,Donasi!$B$2:$B$20000,A1337))</f>
        <v/>
      </c>
      <c r="C1337">
        <f>IF(A1337="","",COUNTIF(Donasi!$B$2:$B$20000,A1337))</f>
        <v/>
      </c>
      <c r="D1337">
        <f>IF(A1337="","",SUMIF(Donasi!$B$2:$B$20000,A1337,Donasi!$C$2:$C$20000))</f>
        <v/>
      </c>
      <c r="E1337">
        <f>IF(A1337="","",6-CEILING(PERCENTRANK.INC($B$3:$B$6000,B1337,4)*5+0.000001,1))</f>
        <v/>
      </c>
      <c r="F1337">
        <f>IF(A1337="","",MAX(1,CEILING(PERCENTRANK.INC($C$3:$C$6000,C1337,4)*5+0.000001,1)))</f>
        <v/>
      </c>
      <c r="G1337">
        <f>IF(A1337="","",MAX(1,CEILING(PERCENTRANK.INC($D$3:$D$6000,D1337,4)*5+0.000001,1)))</f>
        <v/>
      </c>
      <c r="H1337">
        <f>IF(A1337="","",E1337&amp;F1337&amp;G1337)</f>
        <v/>
      </c>
      <c r="I1337">
        <f>IF(A1337="","",IF(AND(E1337&gt;=4,F1337&gt;=4,G1337&gt;=4),"Juara",IF(AND(F1337&gt;=4,E1337&gt;=3),"Setia",IF(AND(E1337=5,F1337&lt;=2,G1337&gt;=3),"Berpotensi",IF(AND(E1337&lt;=3,E1337&gt;=2,F1337&gt;=3),"Rawan",IF(AND(E1337&lt;=2,F1337&lt;=2),"Tidur","Umum"))))))</f>
        <v/>
      </c>
    </row>
    <row r="1338">
      <c r="B1338">
        <f>IF(A1338="","",$B$1-MAXIFS(Donasi!$A$2:$A$20000,Donasi!$B$2:$B$20000,A1338))</f>
        <v/>
      </c>
      <c r="C1338">
        <f>IF(A1338="","",COUNTIF(Donasi!$B$2:$B$20000,A1338))</f>
        <v/>
      </c>
      <c r="D1338">
        <f>IF(A1338="","",SUMIF(Donasi!$B$2:$B$20000,A1338,Donasi!$C$2:$C$20000))</f>
        <v/>
      </c>
      <c r="E1338">
        <f>IF(A1338="","",6-CEILING(PERCENTRANK.INC($B$3:$B$6000,B1338,4)*5+0.000001,1))</f>
        <v/>
      </c>
      <c r="F1338">
        <f>IF(A1338="","",MAX(1,CEILING(PERCENTRANK.INC($C$3:$C$6000,C1338,4)*5+0.000001,1)))</f>
        <v/>
      </c>
      <c r="G1338">
        <f>IF(A1338="","",MAX(1,CEILING(PERCENTRANK.INC($D$3:$D$6000,D1338,4)*5+0.000001,1)))</f>
        <v/>
      </c>
      <c r="H1338">
        <f>IF(A1338="","",E1338&amp;F1338&amp;G1338)</f>
        <v/>
      </c>
      <c r="I1338">
        <f>IF(A1338="","",IF(AND(E1338&gt;=4,F1338&gt;=4,G1338&gt;=4),"Juara",IF(AND(F1338&gt;=4,E1338&gt;=3),"Setia",IF(AND(E1338=5,F1338&lt;=2,G1338&gt;=3),"Berpotensi",IF(AND(E1338&lt;=3,E1338&gt;=2,F1338&gt;=3),"Rawan",IF(AND(E1338&lt;=2,F1338&lt;=2),"Tidur","Umum"))))))</f>
        <v/>
      </c>
    </row>
    <row r="1339">
      <c r="B1339">
        <f>IF(A1339="","",$B$1-MAXIFS(Donasi!$A$2:$A$20000,Donasi!$B$2:$B$20000,A1339))</f>
        <v/>
      </c>
      <c r="C1339">
        <f>IF(A1339="","",COUNTIF(Donasi!$B$2:$B$20000,A1339))</f>
        <v/>
      </c>
      <c r="D1339">
        <f>IF(A1339="","",SUMIF(Donasi!$B$2:$B$20000,A1339,Donasi!$C$2:$C$20000))</f>
        <v/>
      </c>
      <c r="E1339">
        <f>IF(A1339="","",6-CEILING(PERCENTRANK.INC($B$3:$B$6000,B1339,4)*5+0.000001,1))</f>
        <v/>
      </c>
      <c r="F1339">
        <f>IF(A1339="","",MAX(1,CEILING(PERCENTRANK.INC($C$3:$C$6000,C1339,4)*5+0.000001,1)))</f>
        <v/>
      </c>
      <c r="G1339">
        <f>IF(A1339="","",MAX(1,CEILING(PERCENTRANK.INC($D$3:$D$6000,D1339,4)*5+0.000001,1)))</f>
        <v/>
      </c>
      <c r="H1339">
        <f>IF(A1339="","",E1339&amp;F1339&amp;G1339)</f>
        <v/>
      </c>
      <c r="I1339">
        <f>IF(A1339="","",IF(AND(E1339&gt;=4,F1339&gt;=4,G1339&gt;=4),"Juara",IF(AND(F1339&gt;=4,E1339&gt;=3),"Setia",IF(AND(E1339=5,F1339&lt;=2,G1339&gt;=3),"Berpotensi",IF(AND(E1339&lt;=3,E1339&gt;=2,F1339&gt;=3),"Rawan",IF(AND(E1339&lt;=2,F1339&lt;=2),"Tidur","Umum"))))))</f>
        <v/>
      </c>
    </row>
    <row r="1340">
      <c r="B1340">
        <f>IF(A1340="","",$B$1-MAXIFS(Donasi!$A$2:$A$20000,Donasi!$B$2:$B$20000,A1340))</f>
        <v/>
      </c>
      <c r="C1340">
        <f>IF(A1340="","",COUNTIF(Donasi!$B$2:$B$20000,A1340))</f>
        <v/>
      </c>
      <c r="D1340">
        <f>IF(A1340="","",SUMIF(Donasi!$B$2:$B$20000,A1340,Donasi!$C$2:$C$20000))</f>
        <v/>
      </c>
      <c r="E1340">
        <f>IF(A1340="","",6-CEILING(PERCENTRANK.INC($B$3:$B$6000,B1340,4)*5+0.000001,1))</f>
        <v/>
      </c>
      <c r="F1340">
        <f>IF(A1340="","",MAX(1,CEILING(PERCENTRANK.INC($C$3:$C$6000,C1340,4)*5+0.000001,1)))</f>
        <v/>
      </c>
      <c r="G1340">
        <f>IF(A1340="","",MAX(1,CEILING(PERCENTRANK.INC($D$3:$D$6000,D1340,4)*5+0.000001,1)))</f>
        <v/>
      </c>
      <c r="H1340">
        <f>IF(A1340="","",E1340&amp;F1340&amp;G1340)</f>
        <v/>
      </c>
      <c r="I1340">
        <f>IF(A1340="","",IF(AND(E1340&gt;=4,F1340&gt;=4,G1340&gt;=4),"Juara",IF(AND(F1340&gt;=4,E1340&gt;=3),"Setia",IF(AND(E1340=5,F1340&lt;=2,G1340&gt;=3),"Berpotensi",IF(AND(E1340&lt;=3,E1340&gt;=2,F1340&gt;=3),"Rawan",IF(AND(E1340&lt;=2,F1340&lt;=2),"Tidur","Umum"))))))</f>
        <v/>
      </c>
    </row>
    <row r="1341">
      <c r="B1341">
        <f>IF(A1341="","",$B$1-MAXIFS(Donasi!$A$2:$A$20000,Donasi!$B$2:$B$20000,A1341))</f>
        <v/>
      </c>
      <c r="C1341">
        <f>IF(A1341="","",COUNTIF(Donasi!$B$2:$B$20000,A1341))</f>
        <v/>
      </c>
      <c r="D1341">
        <f>IF(A1341="","",SUMIF(Donasi!$B$2:$B$20000,A1341,Donasi!$C$2:$C$20000))</f>
        <v/>
      </c>
      <c r="E1341">
        <f>IF(A1341="","",6-CEILING(PERCENTRANK.INC($B$3:$B$6000,B1341,4)*5+0.000001,1))</f>
        <v/>
      </c>
      <c r="F1341">
        <f>IF(A1341="","",MAX(1,CEILING(PERCENTRANK.INC($C$3:$C$6000,C1341,4)*5+0.000001,1)))</f>
        <v/>
      </c>
      <c r="G1341">
        <f>IF(A1341="","",MAX(1,CEILING(PERCENTRANK.INC($D$3:$D$6000,D1341,4)*5+0.000001,1)))</f>
        <v/>
      </c>
      <c r="H1341">
        <f>IF(A1341="","",E1341&amp;F1341&amp;G1341)</f>
        <v/>
      </c>
      <c r="I1341">
        <f>IF(A1341="","",IF(AND(E1341&gt;=4,F1341&gt;=4,G1341&gt;=4),"Juara",IF(AND(F1341&gt;=4,E1341&gt;=3),"Setia",IF(AND(E1341=5,F1341&lt;=2,G1341&gt;=3),"Berpotensi",IF(AND(E1341&lt;=3,E1341&gt;=2,F1341&gt;=3),"Rawan",IF(AND(E1341&lt;=2,F1341&lt;=2),"Tidur","Umum"))))))</f>
        <v/>
      </c>
    </row>
    <row r="1342">
      <c r="B1342">
        <f>IF(A1342="","",$B$1-MAXIFS(Donasi!$A$2:$A$20000,Donasi!$B$2:$B$20000,A1342))</f>
        <v/>
      </c>
      <c r="C1342">
        <f>IF(A1342="","",COUNTIF(Donasi!$B$2:$B$20000,A1342))</f>
        <v/>
      </c>
      <c r="D1342">
        <f>IF(A1342="","",SUMIF(Donasi!$B$2:$B$20000,A1342,Donasi!$C$2:$C$20000))</f>
        <v/>
      </c>
      <c r="E1342">
        <f>IF(A1342="","",6-CEILING(PERCENTRANK.INC($B$3:$B$6000,B1342,4)*5+0.000001,1))</f>
        <v/>
      </c>
      <c r="F1342">
        <f>IF(A1342="","",MAX(1,CEILING(PERCENTRANK.INC($C$3:$C$6000,C1342,4)*5+0.000001,1)))</f>
        <v/>
      </c>
      <c r="G1342">
        <f>IF(A1342="","",MAX(1,CEILING(PERCENTRANK.INC($D$3:$D$6000,D1342,4)*5+0.000001,1)))</f>
        <v/>
      </c>
      <c r="H1342">
        <f>IF(A1342="","",E1342&amp;F1342&amp;G1342)</f>
        <v/>
      </c>
      <c r="I1342">
        <f>IF(A1342="","",IF(AND(E1342&gt;=4,F1342&gt;=4,G1342&gt;=4),"Juara",IF(AND(F1342&gt;=4,E1342&gt;=3),"Setia",IF(AND(E1342=5,F1342&lt;=2,G1342&gt;=3),"Berpotensi",IF(AND(E1342&lt;=3,E1342&gt;=2,F1342&gt;=3),"Rawan",IF(AND(E1342&lt;=2,F1342&lt;=2),"Tidur","Umum"))))))</f>
        <v/>
      </c>
    </row>
    <row r="1343">
      <c r="B1343">
        <f>IF(A1343="","",$B$1-MAXIFS(Donasi!$A$2:$A$20000,Donasi!$B$2:$B$20000,A1343))</f>
        <v/>
      </c>
      <c r="C1343">
        <f>IF(A1343="","",COUNTIF(Donasi!$B$2:$B$20000,A1343))</f>
        <v/>
      </c>
      <c r="D1343">
        <f>IF(A1343="","",SUMIF(Donasi!$B$2:$B$20000,A1343,Donasi!$C$2:$C$20000))</f>
        <v/>
      </c>
      <c r="E1343">
        <f>IF(A1343="","",6-CEILING(PERCENTRANK.INC($B$3:$B$6000,B1343,4)*5+0.000001,1))</f>
        <v/>
      </c>
      <c r="F1343">
        <f>IF(A1343="","",MAX(1,CEILING(PERCENTRANK.INC($C$3:$C$6000,C1343,4)*5+0.000001,1)))</f>
        <v/>
      </c>
      <c r="G1343">
        <f>IF(A1343="","",MAX(1,CEILING(PERCENTRANK.INC($D$3:$D$6000,D1343,4)*5+0.000001,1)))</f>
        <v/>
      </c>
      <c r="H1343">
        <f>IF(A1343="","",E1343&amp;F1343&amp;G1343)</f>
        <v/>
      </c>
      <c r="I1343">
        <f>IF(A1343="","",IF(AND(E1343&gt;=4,F1343&gt;=4,G1343&gt;=4),"Juara",IF(AND(F1343&gt;=4,E1343&gt;=3),"Setia",IF(AND(E1343=5,F1343&lt;=2,G1343&gt;=3),"Berpotensi",IF(AND(E1343&lt;=3,E1343&gt;=2,F1343&gt;=3),"Rawan",IF(AND(E1343&lt;=2,F1343&lt;=2),"Tidur","Umum"))))))</f>
        <v/>
      </c>
    </row>
    <row r="1344">
      <c r="B1344">
        <f>IF(A1344="","",$B$1-MAXIFS(Donasi!$A$2:$A$20000,Donasi!$B$2:$B$20000,A1344))</f>
        <v/>
      </c>
      <c r="C1344">
        <f>IF(A1344="","",COUNTIF(Donasi!$B$2:$B$20000,A1344))</f>
        <v/>
      </c>
      <c r="D1344">
        <f>IF(A1344="","",SUMIF(Donasi!$B$2:$B$20000,A1344,Donasi!$C$2:$C$20000))</f>
        <v/>
      </c>
      <c r="E1344">
        <f>IF(A1344="","",6-CEILING(PERCENTRANK.INC($B$3:$B$6000,B1344,4)*5+0.000001,1))</f>
        <v/>
      </c>
      <c r="F1344">
        <f>IF(A1344="","",MAX(1,CEILING(PERCENTRANK.INC($C$3:$C$6000,C1344,4)*5+0.000001,1)))</f>
        <v/>
      </c>
      <c r="G1344">
        <f>IF(A1344="","",MAX(1,CEILING(PERCENTRANK.INC($D$3:$D$6000,D1344,4)*5+0.000001,1)))</f>
        <v/>
      </c>
      <c r="H1344">
        <f>IF(A1344="","",E1344&amp;F1344&amp;G1344)</f>
        <v/>
      </c>
      <c r="I1344">
        <f>IF(A1344="","",IF(AND(E1344&gt;=4,F1344&gt;=4,G1344&gt;=4),"Juara",IF(AND(F1344&gt;=4,E1344&gt;=3),"Setia",IF(AND(E1344=5,F1344&lt;=2,G1344&gt;=3),"Berpotensi",IF(AND(E1344&lt;=3,E1344&gt;=2,F1344&gt;=3),"Rawan",IF(AND(E1344&lt;=2,F1344&lt;=2),"Tidur","Umum"))))))</f>
        <v/>
      </c>
    </row>
    <row r="1345">
      <c r="B1345">
        <f>IF(A1345="","",$B$1-MAXIFS(Donasi!$A$2:$A$20000,Donasi!$B$2:$B$20000,A1345))</f>
        <v/>
      </c>
      <c r="C1345">
        <f>IF(A1345="","",COUNTIF(Donasi!$B$2:$B$20000,A1345))</f>
        <v/>
      </c>
      <c r="D1345">
        <f>IF(A1345="","",SUMIF(Donasi!$B$2:$B$20000,A1345,Donasi!$C$2:$C$20000))</f>
        <v/>
      </c>
      <c r="E1345">
        <f>IF(A1345="","",6-CEILING(PERCENTRANK.INC($B$3:$B$6000,B1345,4)*5+0.000001,1))</f>
        <v/>
      </c>
      <c r="F1345">
        <f>IF(A1345="","",MAX(1,CEILING(PERCENTRANK.INC($C$3:$C$6000,C1345,4)*5+0.000001,1)))</f>
        <v/>
      </c>
      <c r="G1345">
        <f>IF(A1345="","",MAX(1,CEILING(PERCENTRANK.INC($D$3:$D$6000,D1345,4)*5+0.000001,1)))</f>
        <v/>
      </c>
      <c r="H1345">
        <f>IF(A1345="","",E1345&amp;F1345&amp;G1345)</f>
        <v/>
      </c>
      <c r="I1345">
        <f>IF(A1345="","",IF(AND(E1345&gt;=4,F1345&gt;=4,G1345&gt;=4),"Juara",IF(AND(F1345&gt;=4,E1345&gt;=3),"Setia",IF(AND(E1345=5,F1345&lt;=2,G1345&gt;=3),"Berpotensi",IF(AND(E1345&lt;=3,E1345&gt;=2,F1345&gt;=3),"Rawan",IF(AND(E1345&lt;=2,F1345&lt;=2),"Tidur","Umum"))))))</f>
        <v/>
      </c>
    </row>
    <row r="1346">
      <c r="B1346">
        <f>IF(A1346="","",$B$1-MAXIFS(Donasi!$A$2:$A$20000,Donasi!$B$2:$B$20000,A1346))</f>
        <v/>
      </c>
      <c r="C1346">
        <f>IF(A1346="","",COUNTIF(Donasi!$B$2:$B$20000,A1346))</f>
        <v/>
      </c>
      <c r="D1346">
        <f>IF(A1346="","",SUMIF(Donasi!$B$2:$B$20000,A1346,Donasi!$C$2:$C$20000))</f>
        <v/>
      </c>
      <c r="E1346">
        <f>IF(A1346="","",6-CEILING(PERCENTRANK.INC($B$3:$B$6000,B1346,4)*5+0.000001,1))</f>
        <v/>
      </c>
      <c r="F1346">
        <f>IF(A1346="","",MAX(1,CEILING(PERCENTRANK.INC($C$3:$C$6000,C1346,4)*5+0.000001,1)))</f>
        <v/>
      </c>
      <c r="G1346">
        <f>IF(A1346="","",MAX(1,CEILING(PERCENTRANK.INC($D$3:$D$6000,D1346,4)*5+0.000001,1)))</f>
        <v/>
      </c>
      <c r="H1346">
        <f>IF(A1346="","",E1346&amp;F1346&amp;G1346)</f>
        <v/>
      </c>
      <c r="I1346">
        <f>IF(A1346="","",IF(AND(E1346&gt;=4,F1346&gt;=4,G1346&gt;=4),"Juara",IF(AND(F1346&gt;=4,E1346&gt;=3),"Setia",IF(AND(E1346=5,F1346&lt;=2,G1346&gt;=3),"Berpotensi",IF(AND(E1346&lt;=3,E1346&gt;=2,F1346&gt;=3),"Rawan",IF(AND(E1346&lt;=2,F1346&lt;=2),"Tidur","Umum"))))))</f>
        <v/>
      </c>
    </row>
    <row r="1347">
      <c r="B1347">
        <f>IF(A1347="","",$B$1-MAXIFS(Donasi!$A$2:$A$20000,Donasi!$B$2:$B$20000,A1347))</f>
        <v/>
      </c>
      <c r="C1347">
        <f>IF(A1347="","",COUNTIF(Donasi!$B$2:$B$20000,A1347))</f>
        <v/>
      </c>
      <c r="D1347">
        <f>IF(A1347="","",SUMIF(Donasi!$B$2:$B$20000,A1347,Donasi!$C$2:$C$20000))</f>
        <v/>
      </c>
      <c r="E1347">
        <f>IF(A1347="","",6-CEILING(PERCENTRANK.INC($B$3:$B$6000,B1347,4)*5+0.000001,1))</f>
        <v/>
      </c>
      <c r="F1347">
        <f>IF(A1347="","",MAX(1,CEILING(PERCENTRANK.INC($C$3:$C$6000,C1347,4)*5+0.000001,1)))</f>
        <v/>
      </c>
      <c r="G1347">
        <f>IF(A1347="","",MAX(1,CEILING(PERCENTRANK.INC($D$3:$D$6000,D1347,4)*5+0.000001,1)))</f>
        <v/>
      </c>
      <c r="H1347">
        <f>IF(A1347="","",E1347&amp;F1347&amp;G1347)</f>
        <v/>
      </c>
      <c r="I1347">
        <f>IF(A1347="","",IF(AND(E1347&gt;=4,F1347&gt;=4,G1347&gt;=4),"Juara",IF(AND(F1347&gt;=4,E1347&gt;=3),"Setia",IF(AND(E1347=5,F1347&lt;=2,G1347&gt;=3),"Berpotensi",IF(AND(E1347&lt;=3,E1347&gt;=2,F1347&gt;=3),"Rawan",IF(AND(E1347&lt;=2,F1347&lt;=2),"Tidur","Umum"))))))</f>
        <v/>
      </c>
    </row>
    <row r="1348">
      <c r="B1348">
        <f>IF(A1348="","",$B$1-MAXIFS(Donasi!$A$2:$A$20000,Donasi!$B$2:$B$20000,A1348))</f>
        <v/>
      </c>
      <c r="C1348">
        <f>IF(A1348="","",COUNTIF(Donasi!$B$2:$B$20000,A1348))</f>
        <v/>
      </c>
      <c r="D1348">
        <f>IF(A1348="","",SUMIF(Donasi!$B$2:$B$20000,A1348,Donasi!$C$2:$C$20000))</f>
        <v/>
      </c>
      <c r="E1348">
        <f>IF(A1348="","",6-CEILING(PERCENTRANK.INC($B$3:$B$6000,B1348,4)*5+0.000001,1))</f>
        <v/>
      </c>
      <c r="F1348">
        <f>IF(A1348="","",MAX(1,CEILING(PERCENTRANK.INC($C$3:$C$6000,C1348,4)*5+0.000001,1)))</f>
        <v/>
      </c>
      <c r="G1348">
        <f>IF(A1348="","",MAX(1,CEILING(PERCENTRANK.INC($D$3:$D$6000,D1348,4)*5+0.000001,1)))</f>
        <v/>
      </c>
      <c r="H1348">
        <f>IF(A1348="","",E1348&amp;F1348&amp;G1348)</f>
        <v/>
      </c>
      <c r="I1348">
        <f>IF(A1348="","",IF(AND(E1348&gt;=4,F1348&gt;=4,G1348&gt;=4),"Juara",IF(AND(F1348&gt;=4,E1348&gt;=3),"Setia",IF(AND(E1348=5,F1348&lt;=2,G1348&gt;=3),"Berpotensi",IF(AND(E1348&lt;=3,E1348&gt;=2,F1348&gt;=3),"Rawan",IF(AND(E1348&lt;=2,F1348&lt;=2),"Tidur","Umum"))))))</f>
        <v/>
      </c>
    </row>
    <row r="1349">
      <c r="B1349">
        <f>IF(A1349="","",$B$1-MAXIFS(Donasi!$A$2:$A$20000,Donasi!$B$2:$B$20000,A1349))</f>
        <v/>
      </c>
      <c r="C1349">
        <f>IF(A1349="","",COUNTIF(Donasi!$B$2:$B$20000,A1349))</f>
        <v/>
      </c>
      <c r="D1349">
        <f>IF(A1349="","",SUMIF(Donasi!$B$2:$B$20000,A1349,Donasi!$C$2:$C$20000))</f>
        <v/>
      </c>
      <c r="E1349">
        <f>IF(A1349="","",6-CEILING(PERCENTRANK.INC($B$3:$B$6000,B1349,4)*5+0.000001,1))</f>
        <v/>
      </c>
      <c r="F1349">
        <f>IF(A1349="","",MAX(1,CEILING(PERCENTRANK.INC($C$3:$C$6000,C1349,4)*5+0.000001,1)))</f>
        <v/>
      </c>
      <c r="G1349">
        <f>IF(A1349="","",MAX(1,CEILING(PERCENTRANK.INC($D$3:$D$6000,D1349,4)*5+0.000001,1)))</f>
        <v/>
      </c>
      <c r="H1349">
        <f>IF(A1349="","",E1349&amp;F1349&amp;G1349)</f>
        <v/>
      </c>
      <c r="I1349">
        <f>IF(A1349="","",IF(AND(E1349&gt;=4,F1349&gt;=4,G1349&gt;=4),"Juara",IF(AND(F1349&gt;=4,E1349&gt;=3),"Setia",IF(AND(E1349=5,F1349&lt;=2,G1349&gt;=3),"Berpotensi",IF(AND(E1349&lt;=3,E1349&gt;=2,F1349&gt;=3),"Rawan",IF(AND(E1349&lt;=2,F1349&lt;=2),"Tidur","Umum"))))))</f>
        <v/>
      </c>
    </row>
    <row r="1350">
      <c r="B1350">
        <f>IF(A1350="","",$B$1-MAXIFS(Donasi!$A$2:$A$20000,Donasi!$B$2:$B$20000,A1350))</f>
        <v/>
      </c>
      <c r="C1350">
        <f>IF(A1350="","",COUNTIF(Donasi!$B$2:$B$20000,A1350))</f>
        <v/>
      </c>
      <c r="D1350">
        <f>IF(A1350="","",SUMIF(Donasi!$B$2:$B$20000,A1350,Donasi!$C$2:$C$20000))</f>
        <v/>
      </c>
      <c r="E1350">
        <f>IF(A1350="","",6-CEILING(PERCENTRANK.INC($B$3:$B$6000,B1350,4)*5+0.000001,1))</f>
        <v/>
      </c>
      <c r="F1350">
        <f>IF(A1350="","",MAX(1,CEILING(PERCENTRANK.INC($C$3:$C$6000,C1350,4)*5+0.000001,1)))</f>
        <v/>
      </c>
      <c r="G1350">
        <f>IF(A1350="","",MAX(1,CEILING(PERCENTRANK.INC($D$3:$D$6000,D1350,4)*5+0.000001,1)))</f>
        <v/>
      </c>
      <c r="H1350">
        <f>IF(A1350="","",E1350&amp;F1350&amp;G1350)</f>
        <v/>
      </c>
      <c r="I1350">
        <f>IF(A1350="","",IF(AND(E1350&gt;=4,F1350&gt;=4,G1350&gt;=4),"Juara",IF(AND(F1350&gt;=4,E1350&gt;=3),"Setia",IF(AND(E1350=5,F1350&lt;=2,G1350&gt;=3),"Berpotensi",IF(AND(E1350&lt;=3,E1350&gt;=2,F1350&gt;=3),"Rawan",IF(AND(E1350&lt;=2,F1350&lt;=2),"Tidur","Umum"))))))</f>
        <v/>
      </c>
    </row>
    <row r="1351">
      <c r="B1351">
        <f>IF(A1351="","",$B$1-MAXIFS(Donasi!$A$2:$A$20000,Donasi!$B$2:$B$20000,A1351))</f>
        <v/>
      </c>
      <c r="C1351">
        <f>IF(A1351="","",COUNTIF(Donasi!$B$2:$B$20000,A1351))</f>
        <v/>
      </c>
      <c r="D1351">
        <f>IF(A1351="","",SUMIF(Donasi!$B$2:$B$20000,A1351,Donasi!$C$2:$C$20000))</f>
        <v/>
      </c>
      <c r="E1351">
        <f>IF(A1351="","",6-CEILING(PERCENTRANK.INC($B$3:$B$6000,B1351,4)*5+0.000001,1))</f>
        <v/>
      </c>
      <c r="F1351">
        <f>IF(A1351="","",MAX(1,CEILING(PERCENTRANK.INC($C$3:$C$6000,C1351,4)*5+0.000001,1)))</f>
        <v/>
      </c>
      <c r="G1351">
        <f>IF(A1351="","",MAX(1,CEILING(PERCENTRANK.INC($D$3:$D$6000,D1351,4)*5+0.000001,1)))</f>
        <v/>
      </c>
      <c r="H1351">
        <f>IF(A1351="","",E1351&amp;F1351&amp;G1351)</f>
        <v/>
      </c>
      <c r="I1351">
        <f>IF(A1351="","",IF(AND(E1351&gt;=4,F1351&gt;=4,G1351&gt;=4),"Juara",IF(AND(F1351&gt;=4,E1351&gt;=3),"Setia",IF(AND(E1351=5,F1351&lt;=2,G1351&gt;=3),"Berpotensi",IF(AND(E1351&lt;=3,E1351&gt;=2,F1351&gt;=3),"Rawan",IF(AND(E1351&lt;=2,F1351&lt;=2),"Tidur","Umum"))))))</f>
        <v/>
      </c>
    </row>
    <row r="1352">
      <c r="B1352">
        <f>IF(A1352="","",$B$1-MAXIFS(Donasi!$A$2:$A$20000,Donasi!$B$2:$B$20000,A1352))</f>
        <v/>
      </c>
      <c r="C1352">
        <f>IF(A1352="","",COUNTIF(Donasi!$B$2:$B$20000,A1352))</f>
        <v/>
      </c>
      <c r="D1352">
        <f>IF(A1352="","",SUMIF(Donasi!$B$2:$B$20000,A1352,Donasi!$C$2:$C$20000))</f>
        <v/>
      </c>
      <c r="E1352">
        <f>IF(A1352="","",6-CEILING(PERCENTRANK.INC($B$3:$B$6000,B1352,4)*5+0.000001,1))</f>
        <v/>
      </c>
      <c r="F1352">
        <f>IF(A1352="","",MAX(1,CEILING(PERCENTRANK.INC($C$3:$C$6000,C1352,4)*5+0.000001,1)))</f>
        <v/>
      </c>
      <c r="G1352">
        <f>IF(A1352="","",MAX(1,CEILING(PERCENTRANK.INC($D$3:$D$6000,D1352,4)*5+0.000001,1)))</f>
        <v/>
      </c>
      <c r="H1352">
        <f>IF(A1352="","",E1352&amp;F1352&amp;G1352)</f>
        <v/>
      </c>
      <c r="I1352">
        <f>IF(A1352="","",IF(AND(E1352&gt;=4,F1352&gt;=4,G1352&gt;=4),"Juara",IF(AND(F1352&gt;=4,E1352&gt;=3),"Setia",IF(AND(E1352=5,F1352&lt;=2,G1352&gt;=3),"Berpotensi",IF(AND(E1352&lt;=3,E1352&gt;=2,F1352&gt;=3),"Rawan",IF(AND(E1352&lt;=2,F1352&lt;=2),"Tidur","Umum"))))))</f>
        <v/>
      </c>
    </row>
    <row r="1353">
      <c r="B1353">
        <f>IF(A1353="","",$B$1-MAXIFS(Donasi!$A$2:$A$20000,Donasi!$B$2:$B$20000,A1353))</f>
        <v/>
      </c>
      <c r="C1353">
        <f>IF(A1353="","",COUNTIF(Donasi!$B$2:$B$20000,A1353))</f>
        <v/>
      </c>
      <c r="D1353">
        <f>IF(A1353="","",SUMIF(Donasi!$B$2:$B$20000,A1353,Donasi!$C$2:$C$20000))</f>
        <v/>
      </c>
      <c r="E1353">
        <f>IF(A1353="","",6-CEILING(PERCENTRANK.INC($B$3:$B$6000,B1353,4)*5+0.000001,1))</f>
        <v/>
      </c>
      <c r="F1353">
        <f>IF(A1353="","",MAX(1,CEILING(PERCENTRANK.INC($C$3:$C$6000,C1353,4)*5+0.000001,1)))</f>
        <v/>
      </c>
      <c r="G1353">
        <f>IF(A1353="","",MAX(1,CEILING(PERCENTRANK.INC($D$3:$D$6000,D1353,4)*5+0.000001,1)))</f>
        <v/>
      </c>
      <c r="H1353">
        <f>IF(A1353="","",E1353&amp;F1353&amp;G1353)</f>
        <v/>
      </c>
      <c r="I1353">
        <f>IF(A1353="","",IF(AND(E1353&gt;=4,F1353&gt;=4,G1353&gt;=4),"Juara",IF(AND(F1353&gt;=4,E1353&gt;=3),"Setia",IF(AND(E1353=5,F1353&lt;=2,G1353&gt;=3),"Berpotensi",IF(AND(E1353&lt;=3,E1353&gt;=2,F1353&gt;=3),"Rawan",IF(AND(E1353&lt;=2,F1353&lt;=2),"Tidur","Umum"))))))</f>
        <v/>
      </c>
    </row>
    <row r="1354">
      <c r="B1354">
        <f>IF(A1354="","",$B$1-MAXIFS(Donasi!$A$2:$A$20000,Donasi!$B$2:$B$20000,A1354))</f>
        <v/>
      </c>
      <c r="C1354">
        <f>IF(A1354="","",COUNTIF(Donasi!$B$2:$B$20000,A1354))</f>
        <v/>
      </c>
      <c r="D1354">
        <f>IF(A1354="","",SUMIF(Donasi!$B$2:$B$20000,A1354,Donasi!$C$2:$C$20000))</f>
        <v/>
      </c>
      <c r="E1354">
        <f>IF(A1354="","",6-CEILING(PERCENTRANK.INC($B$3:$B$6000,B1354,4)*5+0.000001,1))</f>
        <v/>
      </c>
      <c r="F1354">
        <f>IF(A1354="","",MAX(1,CEILING(PERCENTRANK.INC($C$3:$C$6000,C1354,4)*5+0.000001,1)))</f>
        <v/>
      </c>
      <c r="G1354">
        <f>IF(A1354="","",MAX(1,CEILING(PERCENTRANK.INC($D$3:$D$6000,D1354,4)*5+0.000001,1)))</f>
        <v/>
      </c>
      <c r="H1354">
        <f>IF(A1354="","",E1354&amp;F1354&amp;G1354)</f>
        <v/>
      </c>
      <c r="I1354">
        <f>IF(A1354="","",IF(AND(E1354&gt;=4,F1354&gt;=4,G1354&gt;=4),"Juara",IF(AND(F1354&gt;=4,E1354&gt;=3),"Setia",IF(AND(E1354=5,F1354&lt;=2,G1354&gt;=3),"Berpotensi",IF(AND(E1354&lt;=3,E1354&gt;=2,F1354&gt;=3),"Rawan",IF(AND(E1354&lt;=2,F1354&lt;=2),"Tidur","Umum"))))))</f>
        <v/>
      </c>
    </row>
    <row r="1355">
      <c r="B1355">
        <f>IF(A1355="","",$B$1-MAXIFS(Donasi!$A$2:$A$20000,Donasi!$B$2:$B$20000,A1355))</f>
        <v/>
      </c>
      <c r="C1355">
        <f>IF(A1355="","",COUNTIF(Donasi!$B$2:$B$20000,A1355))</f>
        <v/>
      </c>
      <c r="D1355">
        <f>IF(A1355="","",SUMIF(Donasi!$B$2:$B$20000,A1355,Donasi!$C$2:$C$20000))</f>
        <v/>
      </c>
      <c r="E1355">
        <f>IF(A1355="","",6-CEILING(PERCENTRANK.INC($B$3:$B$6000,B1355,4)*5+0.000001,1))</f>
        <v/>
      </c>
      <c r="F1355">
        <f>IF(A1355="","",MAX(1,CEILING(PERCENTRANK.INC($C$3:$C$6000,C1355,4)*5+0.000001,1)))</f>
        <v/>
      </c>
      <c r="G1355">
        <f>IF(A1355="","",MAX(1,CEILING(PERCENTRANK.INC($D$3:$D$6000,D1355,4)*5+0.000001,1)))</f>
        <v/>
      </c>
      <c r="H1355">
        <f>IF(A1355="","",E1355&amp;F1355&amp;G1355)</f>
        <v/>
      </c>
      <c r="I1355">
        <f>IF(A1355="","",IF(AND(E1355&gt;=4,F1355&gt;=4,G1355&gt;=4),"Juara",IF(AND(F1355&gt;=4,E1355&gt;=3),"Setia",IF(AND(E1355=5,F1355&lt;=2,G1355&gt;=3),"Berpotensi",IF(AND(E1355&lt;=3,E1355&gt;=2,F1355&gt;=3),"Rawan",IF(AND(E1355&lt;=2,F1355&lt;=2),"Tidur","Umum"))))))</f>
        <v/>
      </c>
    </row>
    <row r="1356">
      <c r="B1356">
        <f>IF(A1356="","",$B$1-MAXIFS(Donasi!$A$2:$A$20000,Donasi!$B$2:$B$20000,A1356))</f>
        <v/>
      </c>
      <c r="C1356">
        <f>IF(A1356="","",COUNTIF(Donasi!$B$2:$B$20000,A1356))</f>
        <v/>
      </c>
      <c r="D1356">
        <f>IF(A1356="","",SUMIF(Donasi!$B$2:$B$20000,A1356,Donasi!$C$2:$C$20000))</f>
        <v/>
      </c>
      <c r="E1356">
        <f>IF(A1356="","",6-CEILING(PERCENTRANK.INC($B$3:$B$6000,B1356,4)*5+0.000001,1))</f>
        <v/>
      </c>
      <c r="F1356">
        <f>IF(A1356="","",MAX(1,CEILING(PERCENTRANK.INC($C$3:$C$6000,C1356,4)*5+0.000001,1)))</f>
        <v/>
      </c>
      <c r="G1356">
        <f>IF(A1356="","",MAX(1,CEILING(PERCENTRANK.INC($D$3:$D$6000,D1356,4)*5+0.000001,1)))</f>
        <v/>
      </c>
      <c r="H1356">
        <f>IF(A1356="","",E1356&amp;F1356&amp;G1356)</f>
        <v/>
      </c>
      <c r="I1356">
        <f>IF(A1356="","",IF(AND(E1356&gt;=4,F1356&gt;=4,G1356&gt;=4),"Juara",IF(AND(F1356&gt;=4,E1356&gt;=3),"Setia",IF(AND(E1356=5,F1356&lt;=2,G1356&gt;=3),"Berpotensi",IF(AND(E1356&lt;=3,E1356&gt;=2,F1356&gt;=3),"Rawan",IF(AND(E1356&lt;=2,F1356&lt;=2),"Tidur","Umum"))))))</f>
        <v/>
      </c>
    </row>
    <row r="1357">
      <c r="B1357">
        <f>IF(A1357="","",$B$1-MAXIFS(Donasi!$A$2:$A$20000,Donasi!$B$2:$B$20000,A1357))</f>
        <v/>
      </c>
      <c r="C1357">
        <f>IF(A1357="","",COUNTIF(Donasi!$B$2:$B$20000,A1357))</f>
        <v/>
      </c>
      <c r="D1357">
        <f>IF(A1357="","",SUMIF(Donasi!$B$2:$B$20000,A1357,Donasi!$C$2:$C$20000))</f>
        <v/>
      </c>
      <c r="E1357">
        <f>IF(A1357="","",6-CEILING(PERCENTRANK.INC($B$3:$B$6000,B1357,4)*5+0.000001,1))</f>
        <v/>
      </c>
      <c r="F1357">
        <f>IF(A1357="","",MAX(1,CEILING(PERCENTRANK.INC($C$3:$C$6000,C1357,4)*5+0.000001,1)))</f>
        <v/>
      </c>
      <c r="G1357">
        <f>IF(A1357="","",MAX(1,CEILING(PERCENTRANK.INC($D$3:$D$6000,D1357,4)*5+0.000001,1)))</f>
        <v/>
      </c>
      <c r="H1357">
        <f>IF(A1357="","",E1357&amp;F1357&amp;G1357)</f>
        <v/>
      </c>
      <c r="I1357">
        <f>IF(A1357="","",IF(AND(E1357&gt;=4,F1357&gt;=4,G1357&gt;=4),"Juara",IF(AND(F1357&gt;=4,E1357&gt;=3),"Setia",IF(AND(E1357=5,F1357&lt;=2,G1357&gt;=3),"Berpotensi",IF(AND(E1357&lt;=3,E1357&gt;=2,F1357&gt;=3),"Rawan",IF(AND(E1357&lt;=2,F1357&lt;=2),"Tidur","Umum"))))))</f>
        <v/>
      </c>
    </row>
    <row r="1358">
      <c r="B1358">
        <f>IF(A1358="","",$B$1-MAXIFS(Donasi!$A$2:$A$20000,Donasi!$B$2:$B$20000,A1358))</f>
        <v/>
      </c>
      <c r="C1358">
        <f>IF(A1358="","",COUNTIF(Donasi!$B$2:$B$20000,A1358))</f>
        <v/>
      </c>
      <c r="D1358">
        <f>IF(A1358="","",SUMIF(Donasi!$B$2:$B$20000,A1358,Donasi!$C$2:$C$20000))</f>
        <v/>
      </c>
      <c r="E1358">
        <f>IF(A1358="","",6-CEILING(PERCENTRANK.INC($B$3:$B$6000,B1358,4)*5+0.000001,1))</f>
        <v/>
      </c>
      <c r="F1358">
        <f>IF(A1358="","",MAX(1,CEILING(PERCENTRANK.INC($C$3:$C$6000,C1358,4)*5+0.000001,1)))</f>
        <v/>
      </c>
      <c r="G1358">
        <f>IF(A1358="","",MAX(1,CEILING(PERCENTRANK.INC($D$3:$D$6000,D1358,4)*5+0.000001,1)))</f>
        <v/>
      </c>
      <c r="H1358">
        <f>IF(A1358="","",E1358&amp;F1358&amp;G1358)</f>
        <v/>
      </c>
      <c r="I1358">
        <f>IF(A1358="","",IF(AND(E1358&gt;=4,F1358&gt;=4,G1358&gt;=4),"Juara",IF(AND(F1358&gt;=4,E1358&gt;=3),"Setia",IF(AND(E1358=5,F1358&lt;=2,G1358&gt;=3),"Berpotensi",IF(AND(E1358&lt;=3,E1358&gt;=2,F1358&gt;=3),"Rawan",IF(AND(E1358&lt;=2,F1358&lt;=2),"Tidur","Umum"))))))</f>
        <v/>
      </c>
    </row>
    <row r="1359">
      <c r="B1359">
        <f>IF(A1359="","",$B$1-MAXIFS(Donasi!$A$2:$A$20000,Donasi!$B$2:$B$20000,A1359))</f>
        <v/>
      </c>
      <c r="C1359">
        <f>IF(A1359="","",COUNTIF(Donasi!$B$2:$B$20000,A1359))</f>
        <v/>
      </c>
      <c r="D1359">
        <f>IF(A1359="","",SUMIF(Donasi!$B$2:$B$20000,A1359,Donasi!$C$2:$C$20000))</f>
        <v/>
      </c>
      <c r="E1359">
        <f>IF(A1359="","",6-CEILING(PERCENTRANK.INC($B$3:$B$6000,B1359,4)*5+0.000001,1))</f>
        <v/>
      </c>
      <c r="F1359">
        <f>IF(A1359="","",MAX(1,CEILING(PERCENTRANK.INC($C$3:$C$6000,C1359,4)*5+0.000001,1)))</f>
        <v/>
      </c>
      <c r="G1359">
        <f>IF(A1359="","",MAX(1,CEILING(PERCENTRANK.INC($D$3:$D$6000,D1359,4)*5+0.000001,1)))</f>
        <v/>
      </c>
      <c r="H1359">
        <f>IF(A1359="","",E1359&amp;F1359&amp;G1359)</f>
        <v/>
      </c>
      <c r="I1359">
        <f>IF(A1359="","",IF(AND(E1359&gt;=4,F1359&gt;=4,G1359&gt;=4),"Juara",IF(AND(F1359&gt;=4,E1359&gt;=3),"Setia",IF(AND(E1359=5,F1359&lt;=2,G1359&gt;=3),"Berpotensi",IF(AND(E1359&lt;=3,E1359&gt;=2,F1359&gt;=3),"Rawan",IF(AND(E1359&lt;=2,F1359&lt;=2),"Tidur","Umum"))))))</f>
        <v/>
      </c>
    </row>
    <row r="1360">
      <c r="B1360">
        <f>IF(A1360="","",$B$1-MAXIFS(Donasi!$A$2:$A$20000,Donasi!$B$2:$B$20000,A1360))</f>
        <v/>
      </c>
      <c r="C1360">
        <f>IF(A1360="","",COUNTIF(Donasi!$B$2:$B$20000,A1360))</f>
        <v/>
      </c>
      <c r="D1360">
        <f>IF(A1360="","",SUMIF(Donasi!$B$2:$B$20000,A1360,Donasi!$C$2:$C$20000))</f>
        <v/>
      </c>
      <c r="E1360">
        <f>IF(A1360="","",6-CEILING(PERCENTRANK.INC($B$3:$B$6000,B1360,4)*5+0.000001,1))</f>
        <v/>
      </c>
      <c r="F1360">
        <f>IF(A1360="","",MAX(1,CEILING(PERCENTRANK.INC($C$3:$C$6000,C1360,4)*5+0.000001,1)))</f>
        <v/>
      </c>
      <c r="G1360">
        <f>IF(A1360="","",MAX(1,CEILING(PERCENTRANK.INC($D$3:$D$6000,D1360,4)*5+0.000001,1)))</f>
        <v/>
      </c>
      <c r="H1360">
        <f>IF(A1360="","",E1360&amp;F1360&amp;G1360)</f>
        <v/>
      </c>
      <c r="I1360">
        <f>IF(A1360="","",IF(AND(E1360&gt;=4,F1360&gt;=4,G1360&gt;=4),"Juara",IF(AND(F1360&gt;=4,E1360&gt;=3),"Setia",IF(AND(E1360=5,F1360&lt;=2,G1360&gt;=3),"Berpotensi",IF(AND(E1360&lt;=3,E1360&gt;=2,F1360&gt;=3),"Rawan",IF(AND(E1360&lt;=2,F1360&lt;=2),"Tidur","Umum"))))))</f>
        <v/>
      </c>
    </row>
    <row r="1361">
      <c r="B1361">
        <f>IF(A1361="","",$B$1-MAXIFS(Donasi!$A$2:$A$20000,Donasi!$B$2:$B$20000,A1361))</f>
        <v/>
      </c>
      <c r="C1361">
        <f>IF(A1361="","",COUNTIF(Donasi!$B$2:$B$20000,A1361))</f>
        <v/>
      </c>
      <c r="D1361">
        <f>IF(A1361="","",SUMIF(Donasi!$B$2:$B$20000,A1361,Donasi!$C$2:$C$20000))</f>
        <v/>
      </c>
      <c r="E1361">
        <f>IF(A1361="","",6-CEILING(PERCENTRANK.INC($B$3:$B$6000,B1361,4)*5+0.000001,1))</f>
        <v/>
      </c>
      <c r="F1361">
        <f>IF(A1361="","",MAX(1,CEILING(PERCENTRANK.INC($C$3:$C$6000,C1361,4)*5+0.000001,1)))</f>
        <v/>
      </c>
      <c r="G1361">
        <f>IF(A1361="","",MAX(1,CEILING(PERCENTRANK.INC($D$3:$D$6000,D1361,4)*5+0.000001,1)))</f>
        <v/>
      </c>
      <c r="H1361">
        <f>IF(A1361="","",E1361&amp;F1361&amp;G1361)</f>
        <v/>
      </c>
      <c r="I1361">
        <f>IF(A1361="","",IF(AND(E1361&gt;=4,F1361&gt;=4,G1361&gt;=4),"Juara",IF(AND(F1361&gt;=4,E1361&gt;=3),"Setia",IF(AND(E1361=5,F1361&lt;=2,G1361&gt;=3),"Berpotensi",IF(AND(E1361&lt;=3,E1361&gt;=2,F1361&gt;=3),"Rawan",IF(AND(E1361&lt;=2,F1361&lt;=2),"Tidur","Umum"))))))</f>
        <v/>
      </c>
    </row>
    <row r="1362">
      <c r="B1362">
        <f>IF(A1362="","",$B$1-MAXIFS(Donasi!$A$2:$A$20000,Donasi!$B$2:$B$20000,A1362))</f>
        <v/>
      </c>
      <c r="C1362">
        <f>IF(A1362="","",COUNTIF(Donasi!$B$2:$B$20000,A1362))</f>
        <v/>
      </c>
      <c r="D1362">
        <f>IF(A1362="","",SUMIF(Donasi!$B$2:$B$20000,A1362,Donasi!$C$2:$C$20000))</f>
        <v/>
      </c>
      <c r="E1362">
        <f>IF(A1362="","",6-CEILING(PERCENTRANK.INC($B$3:$B$6000,B1362,4)*5+0.000001,1))</f>
        <v/>
      </c>
      <c r="F1362">
        <f>IF(A1362="","",MAX(1,CEILING(PERCENTRANK.INC($C$3:$C$6000,C1362,4)*5+0.000001,1)))</f>
        <v/>
      </c>
      <c r="G1362">
        <f>IF(A1362="","",MAX(1,CEILING(PERCENTRANK.INC($D$3:$D$6000,D1362,4)*5+0.000001,1)))</f>
        <v/>
      </c>
      <c r="H1362">
        <f>IF(A1362="","",E1362&amp;F1362&amp;G1362)</f>
        <v/>
      </c>
      <c r="I1362">
        <f>IF(A1362="","",IF(AND(E1362&gt;=4,F1362&gt;=4,G1362&gt;=4),"Juara",IF(AND(F1362&gt;=4,E1362&gt;=3),"Setia",IF(AND(E1362=5,F1362&lt;=2,G1362&gt;=3),"Berpotensi",IF(AND(E1362&lt;=3,E1362&gt;=2,F1362&gt;=3),"Rawan",IF(AND(E1362&lt;=2,F1362&lt;=2),"Tidur","Umum"))))))</f>
        <v/>
      </c>
    </row>
    <row r="1363">
      <c r="B1363">
        <f>IF(A1363="","",$B$1-MAXIFS(Donasi!$A$2:$A$20000,Donasi!$B$2:$B$20000,A1363))</f>
        <v/>
      </c>
      <c r="C1363">
        <f>IF(A1363="","",COUNTIF(Donasi!$B$2:$B$20000,A1363))</f>
        <v/>
      </c>
      <c r="D1363">
        <f>IF(A1363="","",SUMIF(Donasi!$B$2:$B$20000,A1363,Donasi!$C$2:$C$20000))</f>
        <v/>
      </c>
      <c r="E1363">
        <f>IF(A1363="","",6-CEILING(PERCENTRANK.INC($B$3:$B$6000,B1363,4)*5+0.000001,1))</f>
        <v/>
      </c>
      <c r="F1363">
        <f>IF(A1363="","",MAX(1,CEILING(PERCENTRANK.INC($C$3:$C$6000,C1363,4)*5+0.000001,1)))</f>
        <v/>
      </c>
      <c r="G1363">
        <f>IF(A1363="","",MAX(1,CEILING(PERCENTRANK.INC($D$3:$D$6000,D1363,4)*5+0.000001,1)))</f>
        <v/>
      </c>
      <c r="H1363">
        <f>IF(A1363="","",E1363&amp;F1363&amp;G1363)</f>
        <v/>
      </c>
      <c r="I1363">
        <f>IF(A1363="","",IF(AND(E1363&gt;=4,F1363&gt;=4,G1363&gt;=4),"Juara",IF(AND(F1363&gt;=4,E1363&gt;=3),"Setia",IF(AND(E1363=5,F1363&lt;=2,G1363&gt;=3),"Berpotensi",IF(AND(E1363&lt;=3,E1363&gt;=2,F1363&gt;=3),"Rawan",IF(AND(E1363&lt;=2,F1363&lt;=2),"Tidur","Umum"))))))</f>
        <v/>
      </c>
    </row>
    <row r="1364">
      <c r="B1364">
        <f>IF(A1364="","",$B$1-MAXIFS(Donasi!$A$2:$A$20000,Donasi!$B$2:$B$20000,A1364))</f>
        <v/>
      </c>
      <c r="C1364">
        <f>IF(A1364="","",COUNTIF(Donasi!$B$2:$B$20000,A1364))</f>
        <v/>
      </c>
      <c r="D1364">
        <f>IF(A1364="","",SUMIF(Donasi!$B$2:$B$20000,A1364,Donasi!$C$2:$C$20000))</f>
        <v/>
      </c>
      <c r="E1364">
        <f>IF(A1364="","",6-CEILING(PERCENTRANK.INC($B$3:$B$6000,B1364,4)*5+0.000001,1))</f>
        <v/>
      </c>
      <c r="F1364">
        <f>IF(A1364="","",MAX(1,CEILING(PERCENTRANK.INC($C$3:$C$6000,C1364,4)*5+0.000001,1)))</f>
        <v/>
      </c>
      <c r="G1364">
        <f>IF(A1364="","",MAX(1,CEILING(PERCENTRANK.INC($D$3:$D$6000,D1364,4)*5+0.000001,1)))</f>
        <v/>
      </c>
      <c r="H1364">
        <f>IF(A1364="","",E1364&amp;F1364&amp;G1364)</f>
        <v/>
      </c>
      <c r="I1364">
        <f>IF(A1364="","",IF(AND(E1364&gt;=4,F1364&gt;=4,G1364&gt;=4),"Juara",IF(AND(F1364&gt;=4,E1364&gt;=3),"Setia",IF(AND(E1364=5,F1364&lt;=2,G1364&gt;=3),"Berpotensi",IF(AND(E1364&lt;=3,E1364&gt;=2,F1364&gt;=3),"Rawan",IF(AND(E1364&lt;=2,F1364&lt;=2),"Tidur","Umum"))))))</f>
        <v/>
      </c>
    </row>
    <row r="1365">
      <c r="B1365">
        <f>IF(A1365="","",$B$1-MAXIFS(Donasi!$A$2:$A$20000,Donasi!$B$2:$B$20000,A1365))</f>
        <v/>
      </c>
      <c r="C1365">
        <f>IF(A1365="","",COUNTIF(Donasi!$B$2:$B$20000,A1365))</f>
        <v/>
      </c>
      <c r="D1365">
        <f>IF(A1365="","",SUMIF(Donasi!$B$2:$B$20000,A1365,Donasi!$C$2:$C$20000))</f>
        <v/>
      </c>
      <c r="E1365">
        <f>IF(A1365="","",6-CEILING(PERCENTRANK.INC($B$3:$B$6000,B1365,4)*5+0.000001,1))</f>
        <v/>
      </c>
      <c r="F1365">
        <f>IF(A1365="","",MAX(1,CEILING(PERCENTRANK.INC($C$3:$C$6000,C1365,4)*5+0.000001,1)))</f>
        <v/>
      </c>
      <c r="G1365">
        <f>IF(A1365="","",MAX(1,CEILING(PERCENTRANK.INC($D$3:$D$6000,D1365,4)*5+0.000001,1)))</f>
        <v/>
      </c>
      <c r="H1365">
        <f>IF(A1365="","",E1365&amp;F1365&amp;G1365)</f>
        <v/>
      </c>
      <c r="I1365">
        <f>IF(A1365="","",IF(AND(E1365&gt;=4,F1365&gt;=4,G1365&gt;=4),"Juara",IF(AND(F1365&gt;=4,E1365&gt;=3),"Setia",IF(AND(E1365=5,F1365&lt;=2,G1365&gt;=3),"Berpotensi",IF(AND(E1365&lt;=3,E1365&gt;=2,F1365&gt;=3),"Rawan",IF(AND(E1365&lt;=2,F1365&lt;=2),"Tidur","Umum"))))))</f>
        <v/>
      </c>
    </row>
    <row r="1366">
      <c r="B1366">
        <f>IF(A1366="","",$B$1-MAXIFS(Donasi!$A$2:$A$20000,Donasi!$B$2:$B$20000,A1366))</f>
        <v/>
      </c>
      <c r="C1366">
        <f>IF(A1366="","",COUNTIF(Donasi!$B$2:$B$20000,A1366))</f>
        <v/>
      </c>
      <c r="D1366">
        <f>IF(A1366="","",SUMIF(Donasi!$B$2:$B$20000,A1366,Donasi!$C$2:$C$20000))</f>
        <v/>
      </c>
      <c r="E1366">
        <f>IF(A1366="","",6-CEILING(PERCENTRANK.INC($B$3:$B$6000,B1366,4)*5+0.000001,1))</f>
        <v/>
      </c>
      <c r="F1366">
        <f>IF(A1366="","",MAX(1,CEILING(PERCENTRANK.INC($C$3:$C$6000,C1366,4)*5+0.000001,1)))</f>
        <v/>
      </c>
      <c r="G1366">
        <f>IF(A1366="","",MAX(1,CEILING(PERCENTRANK.INC($D$3:$D$6000,D1366,4)*5+0.000001,1)))</f>
        <v/>
      </c>
      <c r="H1366">
        <f>IF(A1366="","",E1366&amp;F1366&amp;G1366)</f>
        <v/>
      </c>
      <c r="I1366">
        <f>IF(A1366="","",IF(AND(E1366&gt;=4,F1366&gt;=4,G1366&gt;=4),"Juara",IF(AND(F1366&gt;=4,E1366&gt;=3),"Setia",IF(AND(E1366=5,F1366&lt;=2,G1366&gt;=3),"Berpotensi",IF(AND(E1366&lt;=3,E1366&gt;=2,F1366&gt;=3),"Rawan",IF(AND(E1366&lt;=2,F1366&lt;=2),"Tidur","Umum"))))))</f>
        <v/>
      </c>
    </row>
    <row r="1367">
      <c r="B1367">
        <f>IF(A1367="","",$B$1-MAXIFS(Donasi!$A$2:$A$20000,Donasi!$B$2:$B$20000,A1367))</f>
        <v/>
      </c>
      <c r="C1367">
        <f>IF(A1367="","",COUNTIF(Donasi!$B$2:$B$20000,A1367))</f>
        <v/>
      </c>
      <c r="D1367">
        <f>IF(A1367="","",SUMIF(Donasi!$B$2:$B$20000,A1367,Donasi!$C$2:$C$20000))</f>
        <v/>
      </c>
      <c r="E1367">
        <f>IF(A1367="","",6-CEILING(PERCENTRANK.INC($B$3:$B$6000,B1367,4)*5+0.000001,1))</f>
        <v/>
      </c>
      <c r="F1367">
        <f>IF(A1367="","",MAX(1,CEILING(PERCENTRANK.INC($C$3:$C$6000,C1367,4)*5+0.000001,1)))</f>
        <v/>
      </c>
      <c r="G1367">
        <f>IF(A1367="","",MAX(1,CEILING(PERCENTRANK.INC($D$3:$D$6000,D1367,4)*5+0.000001,1)))</f>
        <v/>
      </c>
      <c r="H1367">
        <f>IF(A1367="","",E1367&amp;F1367&amp;G1367)</f>
        <v/>
      </c>
      <c r="I1367">
        <f>IF(A1367="","",IF(AND(E1367&gt;=4,F1367&gt;=4,G1367&gt;=4),"Juara",IF(AND(F1367&gt;=4,E1367&gt;=3),"Setia",IF(AND(E1367=5,F1367&lt;=2,G1367&gt;=3),"Berpotensi",IF(AND(E1367&lt;=3,E1367&gt;=2,F1367&gt;=3),"Rawan",IF(AND(E1367&lt;=2,F1367&lt;=2),"Tidur","Umum"))))))</f>
        <v/>
      </c>
    </row>
    <row r="1368">
      <c r="B1368">
        <f>IF(A1368="","",$B$1-MAXIFS(Donasi!$A$2:$A$20000,Donasi!$B$2:$B$20000,A1368))</f>
        <v/>
      </c>
      <c r="C1368">
        <f>IF(A1368="","",COUNTIF(Donasi!$B$2:$B$20000,A1368))</f>
        <v/>
      </c>
      <c r="D1368">
        <f>IF(A1368="","",SUMIF(Donasi!$B$2:$B$20000,A1368,Donasi!$C$2:$C$20000))</f>
        <v/>
      </c>
      <c r="E1368">
        <f>IF(A1368="","",6-CEILING(PERCENTRANK.INC($B$3:$B$6000,B1368,4)*5+0.000001,1))</f>
        <v/>
      </c>
      <c r="F1368">
        <f>IF(A1368="","",MAX(1,CEILING(PERCENTRANK.INC($C$3:$C$6000,C1368,4)*5+0.000001,1)))</f>
        <v/>
      </c>
      <c r="G1368">
        <f>IF(A1368="","",MAX(1,CEILING(PERCENTRANK.INC($D$3:$D$6000,D1368,4)*5+0.000001,1)))</f>
        <v/>
      </c>
      <c r="H1368">
        <f>IF(A1368="","",E1368&amp;F1368&amp;G1368)</f>
        <v/>
      </c>
      <c r="I1368">
        <f>IF(A1368="","",IF(AND(E1368&gt;=4,F1368&gt;=4,G1368&gt;=4),"Juara",IF(AND(F1368&gt;=4,E1368&gt;=3),"Setia",IF(AND(E1368=5,F1368&lt;=2,G1368&gt;=3),"Berpotensi",IF(AND(E1368&lt;=3,E1368&gt;=2,F1368&gt;=3),"Rawan",IF(AND(E1368&lt;=2,F1368&lt;=2),"Tidur","Umum"))))))</f>
        <v/>
      </c>
    </row>
    <row r="1369">
      <c r="B1369">
        <f>IF(A1369="","",$B$1-MAXIFS(Donasi!$A$2:$A$20000,Donasi!$B$2:$B$20000,A1369))</f>
        <v/>
      </c>
      <c r="C1369">
        <f>IF(A1369="","",COUNTIF(Donasi!$B$2:$B$20000,A1369))</f>
        <v/>
      </c>
      <c r="D1369">
        <f>IF(A1369="","",SUMIF(Donasi!$B$2:$B$20000,A1369,Donasi!$C$2:$C$20000))</f>
        <v/>
      </c>
      <c r="E1369">
        <f>IF(A1369="","",6-CEILING(PERCENTRANK.INC($B$3:$B$6000,B1369,4)*5+0.000001,1))</f>
        <v/>
      </c>
      <c r="F1369">
        <f>IF(A1369="","",MAX(1,CEILING(PERCENTRANK.INC($C$3:$C$6000,C1369,4)*5+0.000001,1)))</f>
        <v/>
      </c>
      <c r="G1369">
        <f>IF(A1369="","",MAX(1,CEILING(PERCENTRANK.INC($D$3:$D$6000,D1369,4)*5+0.000001,1)))</f>
        <v/>
      </c>
      <c r="H1369">
        <f>IF(A1369="","",E1369&amp;F1369&amp;G1369)</f>
        <v/>
      </c>
      <c r="I1369">
        <f>IF(A1369="","",IF(AND(E1369&gt;=4,F1369&gt;=4,G1369&gt;=4),"Juara",IF(AND(F1369&gt;=4,E1369&gt;=3),"Setia",IF(AND(E1369=5,F1369&lt;=2,G1369&gt;=3),"Berpotensi",IF(AND(E1369&lt;=3,E1369&gt;=2,F1369&gt;=3),"Rawan",IF(AND(E1369&lt;=2,F1369&lt;=2),"Tidur","Umum"))))))</f>
        <v/>
      </c>
    </row>
    <row r="1370">
      <c r="B1370">
        <f>IF(A1370="","",$B$1-MAXIFS(Donasi!$A$2:$A$20000,Donasi!$B$2:$B$20000,A1370))</f>
        <v/>
      </c>
      <c r="C1370">
        <f>IF(A1370="","",COUNTIF(Donasi!$B$2:$B$20000,A1370))</f>
        <v/>
      </c>
      <c r="D1370">
        <f>IF(A1370="","",SUMIF(Donasi!$B$2:$B$20000,A1370,Donasi!$C$2:$C$20000))</f>
        <v/>
      </c>
      <c r="E1370">
        <f>IF(A1370="","",6-CEILING(PERCENTRANK.INC($B$3:$B$6000,B1370,4)*5+0.000001,1))</f>
        <v/>
      </c>
      <c r="F1370">
        <f>IF(A1370="","",MAX(1,CEILING(PERCENTRANK.INC($C$3:$C$6000,C1370,4)*5+0.000001,1)))</f>
        <v/>
      </c>
      <c r="G1370">
        <f>IF(A1370="","",MAX(1,CEILING(PERCENTRANK.INC($D$3:$D$6000,D1370,4)*5+0.000001,1)))</f>
        <v/>
      </c>
      <c r="H1370">
        <f>IF(A1370="","",E1370&amp;F1370&amp;G1370)</f>
        <v/>
      </c>
      <c r="I1370">
        <f>IF(A1370="","",IF(AND(E1370&gt;=4,F1370&gt;=4,G1370&gt;=4),"Juara",IF(AND(F1370&gt;=4,E1370&gt;=3),"Setia",IF(AND(E1370=5,F1370&lt;=2,G1370&gt;=3),"Berpotensi",IF(AND(E1370&lt;=3,E1370&gt;=2,F1370&gt;=3),"Rawan",IF(AND(E1370&lt;=2,F1370&lt;=2),"Tidur","Umum"))))))</f>
        <v/>
      </c>
    </row>
    <row r="1371">
      <c r="B1371">
        <f>IF(A1371="","",$B$1-MAXIFS(Donasi!$A$2:$A$20000,Donasi!$B$2:$B$20000,A1371))</f>
        <v/>
      </c>
      <c r="C1371">
        <f>IF(A1371="","",COUNTIF(Donasi!$B$2:$B$20000,A1371))</f>
        <v/>
      </c>
      <c r="D1371">
        <f>IF(A1371="","",SUMIF(Donasi!$B$2:$B$20000,A1371,Donasi!$C$2:$C$20000))</f>
        <v/>
      </c>
      <c r="E1371">
        <f>IF(A1371="","",6-CEILING(PERCENTRANK.INC($B$3:$B$6000,B1371,4)*5+0.000001,1))</f>
        <v/>
      </c>
      <c r="F1371">
        <f>IF(A1371="","",MAX(1,CEILING(PERCENTRANK.INC($C$3:$C$6000,C1371,4)*5+0.000001,1)))</f>
        <v/>
      </c>
      <c r="G1371">
        <f>IF(A1371="","",MAX(1,CEILING(PERCENTRANK.INC($D$3:$D$6000,D1371,4)*5+0.000001,1)))</f>
        <v/>
      </c>
      <c r="H1371">
        <f>IF(A1371="","",E1371&amp;F1371&amp;G1371)</f>
        <v/>
      </c>
      <c r="I1371">
        <f>IF(A1371="","",IF(AND(E1371&gt;=4,F1371&gt;=4,G1371&gt;=4),"Juara",IF(AND(F1371&gt;=4,E1371&gt;=3),"Setia",IF(AND(E1371=5,F1371&lt;=2,G1371&gt;=3),"Berpotensi",IF(AND(E1371&lt;=3,E1371&gt;=2,F1371&gt;=3),"Rawan",IF(AND(E1371&lt;=2,F1371&lt;=2),"Tidur","Umum"))))))</f>
        <v/>
      </c>
    </row>
    <row r="1372">
      <c r="B1372">
        <f>IF(A1372="","",$B$1-MAXIFS(Donasi!$A$2:$A$20000,Donasi!$B$2:$B$20000,A1372))</f>
        <v/>
      </c>
      <c r="C1372">
        <f>IF(A1372="","",COUNTIF(Donasi!$B$2:$B$20000,A1372))</f>
        <v/>
      </c>
      <c r="D1372">
        <f>IF(A1372="","",SUMIF(Donasi!$B$2:$B$20000,A1372,Donasi!$C$2:$C$20000))</f>
        <v/>
      </c>
      <c r="E1372">
        <f>IF(A1372="","",6-CEILING(PERCENTRANK.INC($B$3:$B$6000,B1372,4)*5+0.000001,1))</f>
        <v/>
      </c>
      <c r="F1372">
        <f>IF(A1372="","",MAX(1,CEILING(PERCENTRANK.INC($C$3:$C$6000,C1372,4)*5+0.000001,1)))</f>
        <v/>
      </c>
      <c r="G1372">
        <f>IF(A1372="","",MAX(1,CEILING(PERCENTRANK.INC($D$3:$D$6000,D1372,4)*5+0.000001,1)))</f>
        <v/>
      </c>
      <c r="H1372">
        <f>IF(A1372="","",E1372&amp;F1372&amp;G1372)</f>
        <v/>
      </c>
      <c r="I1372">
        <f>IF(A1372="","",IF(AND(E1372&gt;=4,F1372&gt;=4,G1372&gt;=4),"Juara",IF(AND(F1372&gt;=4,E1372&gt;=3),"Setia",IF(AND(E1372=5,F1372&lt;=2,G1372&gt;=3),"Berpotensi",IF(AND(E1372&lt;=3,E1372&gt;=2,F1372&gt;=3),"Rawan",IF(AND(E1372&lt;=2,F1372&lt;=2),"Tidur","Umum"))))))</f>
        <v/>
      </c>
    </row>
    <row r="1373">
      <c r="B1373">
        <f>IF(A1373="","",$B$1-MAXIFS(Donasi!$A$2:$A$20000,Donasi!$B$2:$B$20000,A1373))</f>
        <v/>
      </c>
      <c r="C1373">
        <f>IF(A1373="","",COUNTIF(Donasi!$B$2:$B$20000,A1373))</f>
        <v/>
      </c>
      <c r="D1373">
        <f>IF(A1373="","",SUMIF(Donasi!$B$2:$B$20000,A1373,Donasi!$C$2:$C$20000))</f>
        <v/>
      </c>
      <c r="E1373">
        <f>IF(A1373="","",6-CEILING(PERCENTRANK.INC($B$3:$B$6000,B1373,4)*5+0.000001,1))</f>
        <v/>
      </c>
      <c r="F1373">
        <f>IF(A1373="","",MAX(1,CEILING(PERCENTRANK.INC($C$3:$C$6000,C1373,4)*5+0.000001,1)))</f>
        <v/>
      </c>
      <c r="G1373">
        <f>IF(A1373="","",MAX(1,CEILING(PERCENTRANK.INC($D$3:$D$6000,D1373,4)*5+0.000001,1)))</f>
        <v/>
      </c>
      <c r="H1373">
        <f>IF(A1373="","",E1373&amp;F1373&amp;G1373)</f>
        <v/>
      </c>
      <c r="I1373">
        <f>IF(A1373="","",IF(AND(E1373&gt;=4,F1373&gt;=4,G1373&gt;=4),"Juara",IF(AND(F1373&gt;=4,E1373&gt;=3),"Setia",IF(AND(E1373=5,F1373&lt;=2,G1373&gt;=3),"Berpotensi",IF(AND(E1373&lt;=3,E1373&gt;=2,F1373&gt;=3),"Rawan",IF(AND(E1373&lt;=2,F1373&lt;=2),"Tidur","Umum"))))))</f>
        <v/>
      </c>
    </row>
    <row r="1374">
      <c r="B1374">
        <f>IF(A1374="","",$B$1-MAXIFS(Donasi!$A$2:$A$20000,Donasi!$B$2:$B$20000,A1374))</f>
        <v/>
      </c>
      <c r="C1374">
        <f>IF(A1374="","",COUNTIF(Donasi!$B$2:$B$20000,A1374))</f>
        <v/>
      </c>
      <c r="D1374">
        <f>IF(A1374="","",SUMIF(Donasi!$B$2:$B$20000,A1374,Donasi!$C$2:$C$20000))</f>
        <v/>
      </c>
      <c r="E1374">
        <f>IF(A1374="","",6-CEILING(PERCENTRANK.INC($B$3:$B$6000,B1374,4)*5+0.000001,1))</f>
        <v/>
      </c>
      <c r="F1374">
        <f>IF(A1374="","",MAX(1,CEILING(PERCENTRANK.INC($C$3:$C$6000,C1374,4)*5+0.000001,1)))</f>
        <v/>
      </c>
      <c r="G1374">
        <f>IF(A1374="","",MAX(1,CEILING(PERCENTRANK.INC($D$3:$D$6000,D1374,4)*5+0.000001,1)))</f>
        <v/>
      </c>
      <c r="H1374">
        <f>IF(A1374="","",E1374&amp;F1374&amp;G1374)</f>
        <v/>
      </c>
      <c r="I1374">
        <f>IF(A1374="","",IF(AND(E1374&gt;=4,F1374&gt;=4,G1374&gt;=4),"Juara",IF(AND(F1374&gt;=4,E1374&gt;=3),"Setia",IF(AND(E1374=5,F1374&lt;=2,G1374&gt;=3),"Berpotensi",IF(AND(E1374&lt;=3,E1374&gt;=2,F1374&gt;=3),"Rawan",IF(AND(E1374&lt;=2,F1374&lt;=2),"Tidur","Umum"))))))</f>
        <v/>
      </c>
    </row>
    <row r="1375">
      <c r="B1375">
        <f>IF(A1375="","",$B$1-MAXIFS(Donasi!$A$2:$A$20000,Donasi!$B$2:$B$20000,A1375))</f>
        <v/>
      </c>
      <c r="C1375">
        <f>IF(A1375="","",COUNTIF(Donasi!$B$2:$B$20000,A1375))</f>
        <v/>
      </c>
      <c r="D1375">
        <f>IF(A1375="","",SUMIF(Donasi!$B$2:$B$20000,A1375,Donasi!$C$2:$C$20000))</f>
        <v/>
      </c>
      <c r="E1375">
        <f>IF(A1375="","",6-CEILING(PERCENTRANK.INC($B$3:$B$6000,B1375,4)*5+0.000001,1))</f>
        <v/>
      </c>
      <c r="F1375">
        <f>IF(A1375="","",MAX(1,CEILING(PERCENTRANK.INC($C$3:$C$6000,C1375,4)*5+0.000001,1)))</f>
        <v/>
      </c>
      <c r="G1375">
        <f>IF(A1375="","",MAX(1,CEILING(PERCENTRANK.INC($D$3:$D$6000,D1375,4)*5+0.000001,1)))</f>
        <v/>
      </c>
      <c r="H1375">
        <f>IF(A1375="","",E1375&amp;F1375&amp;G1375)</f>
        <v/>
      </c>
      <c r="I1375">
        <f>IF(A1375="","",IF(AND(E1375&gt;=4,F1375&gt;=4,G1375&gt;=4),"Juara",IF(AND(F1375&gt;=4,E1375&gt;=3),"Setia",IF(AND(E1375=5,F1375&lt;=2,G1375&gt;=3),"Berpotensi",IF(AND(E1375&lt;=3,E1375&gt;=2,F1375&gt;=3),"Rawan",IF(AND(E1375&lt;=2,F1375&lt;=2),"Tidur","Umum"))))))</f>
        <v/>
      </c>
    </row>
    <row r="1376">
      <c r="B1376">
        <f>IF(A1376="","",$B$1-MAXIFS(Donasi!$A$2:$A$20000,Donasi!$B$2:$B$20000,A1376))</f>
        <v/>
      </c>
      <c r="C1376">
        <f>IF(A1376="","",COUNTIF(Donasi!$B$2:$B$20000,A1376))</f>
        <v/>
      </c>
      <c r="D1376">
        <f>IF(A1376="","",SUMIF(Donasi!$B$2:$B$20000,A1376,Donasi!$C$2:$C$20000))</f>
        <v/>
      </c>
      <c r="E1376">
        <f>IF(A1376="","",6-CEILING(PERCENTRANK.INC($B$3:$B$6000,B1376,4)*5+0.000001,1))</f>
        <v/>
      </c>
      <c r="F1376">
        <f>IF(A1376="","",MAX(1,CEILING(PERCENTRANK.INC($C$3:$C$6000,C1376,4)*5+0.000001,1)))</f>
        <v/>
      </c>
      <c r="G1376">
        <f>IF(A1376="","",MAX(1,CEILING(PERCENTRANK.INC($D$3:$D$6000,D1376,4)*5+0.000001,1)))</f>
        <v/>
      </c>
      <c r="H1376">
        <f>IF(A1376="","",E1376&amp;F1376&amp;G1376)</f>
        <v/>
      </c>
      <c r="I1376">
        <f>IF(A1376="","",IF(AND(E1376&gt;=4,F1376&gt;=4,G1376&gt;=4),"Juara",IF(AND(F1376&gt;=4,E1376&gt;=3),"Setia",IF(AND(E1376=5,F1376&lt;=2,G1376&gt;=3),"Berpotensi",IF(AND(E1376&lt;=3,E1376&gt;=2,F1376&gt;=3),"Rawan",IF(AND(E1376&lt;=2,F1376&lt;=2),"Tidur","Umum"))))))</f>
        <v/>
      </c>
    </row>
    <row r="1377">
      <c r="B1377">
        <f>IF(A1377="","",$B$1-MAXIFS(Donasi!$A$2:$A$20000,Donasi!$B$2:$B$20000,A1377))</f>
        <v/>
      </c>
      <c r="C1377">
        <f>IF(A1377="","",COUNTIF(Donasi!$B$2:$B$20000,A1377))</f>
        <v/>
      </c>
      <c r="D1377">
        <f>IF(A1377="","",SUMIF(Donasi!$B$2:$B$20000,A1377,Donasi!$C$2:$C$20000))</f>
        <v/>
      </c>
      <c r="E1377">
        <f>IF(A1377="","",6-CEILING(PERCENTRANK.INC($B$3:$B$6000,B1377,4)*5+0.000001,1))</f>
        <v/>
      </c>
      <c r="F1377">
        <f>IF(A1377="","",MAX(1,CEILING(PERCENTRANK.INC($C$3:$C$6000,C1377,4)*5+0.000001,1)))</f>
        <v/>
      </c>
      <c r="G1377">
        <f>IF(A1377="","",MAX(1,CEILING(PERCENTRANK.INC($D$3:$D$6000,D1377,4)*5+0.000001,1)))</f>
        <v/>
      </c>
      <c r="H1377">
        <f>IF(A1377="","",E1377&amp;F1377&amp;G1377)</f>
        <v/>
      </c>
      <c r="I1377">
        <f>IF(A1377="","",IF(AND(E1377&gt;=4,F1377&gt;=4,G1377&gt;=4),"Juara",IF(AND(F1377&gt;=4,E1377&gt;=3),"Setia",IF(AND(E1377=5,F1377&lt;=2,G1377&gt;=3),"Berpotensi",IF(AND(E1377&lt;=3,E1377&gt;=2,F1377&gt;=3),"Rawan",IF(AND(E1377&lt;=2,F1377&lt;=2),"Tidur","Umum"))))))</f>
        <v/>
      </c>
    </row>
    <row r="1378">
      <c r="B1378">
        <f>IF(A1378="","",$B$1-MAXIFS(Donasi!$A$2:$A$20000,Donasi!$B$2:$B$20000,A1378))</f>
        <v/>
      </c>
      <c r="C1378">
        <f>IF(A1378="","",COUNTIF(Donasi!$B$2:$B$20000,A1378))</f>
        <v/>
      </c>
      <c r="D1378">
        <f>IF(A1378="","",SUMIF(Donasi!$B$2:$B$20000,A1378,Donasi!$C$2:$C$20000))</f>
        <v/>
      </c>
      <c r="E1378">
        <f>IF(A1378="","",6-CEILING(PERCENTRANK.INC($B$3:$B$6000,B1378,4)*5+0.000001,1))</f>
        <v/>
      </c>
      <c r="F1378">
        <f>IF(A1378="","",MAX(1,CEILING(PERCENTRANK.INC($C$3:$C$6000,C1378,4)*5+0.000001,1)))</f>
        <v/>
      </c>
      <c r="G1378">
        <f>IF(A1378="","",MAX(1,CEILING(PERCENTRANK.INC($D$3:$D$6000,D1378,4)*5+0.000001,1)))</f>
        <v/>
      </c>
      <c r="H1378">
        <f>IF(A1378="","",E1378&amp;F1378&amp;G1378)</f>
        <v/>
      </c>
      <c r="I1378">
        <f>IF(A1378="","",IF(AND(E1378&gt;=4,F1378&gt;=4,G1378&gt;=4),"Juara",IF(AND(F1378&gt;=4,E1378&gt;=3),"Setia",IF(AND(E1378=5,F1378&lt;=2,G1378&gt;=3),"Berpotensi",IF(AND(E1378&lt;=3,E1378&gt;=2,F1378&gt;=3),"Rawan",IF(AND(E1378&lt;=2,F1378&lt;=2),"Tidur","Umum"))))))</f>
        <v/>
      </c>
    </row>
    <row r="1379">
      <c r="B1379">
        <f>IF(A1379="","",$B$1-MAXIFS(Donasi!$A$2:$A$20000,Donasi!$B$2:$B$20000,A1379))</f>
        <v/>
      </c>
      <c r="C1379">
        <f>IF(A1379="","",COUNTIF(Donasi!$B$2:$B$20000,A1379))</f>
        <v/>
      </c>
      <c r="D1379">
        <f>IF(A1379="","",SUMIF(Donasi!$B$2:$B$20000,A1379,Donasi!$C$2:$C$20000))</f>
        <v/>
      </c>
      <c r="E1379">
        <f>IF(A1379="","",6-CEILING(PERCENTRANK.INC($B$3:$B$6000,B1379,4)*5+0.000001,1))</f>
        <v/>
      </c>
      <c r="F1379">
        <f>IF(A1379="","",MAX(1,CEILING(PERCENTRANK.INC($C$3:$C$6000,C1379,4)*5+0.000001,1)))</f>
        <v/>
      </c>
      <c r="G1379">
        <f>IF(A1379="","",MAX(1,CEILING(PERCENTRANK.INC($D$3:$D$6000,D1379,4)*5+0.000001,1)))</f>
        <v/>
      </c>
      <c r="H1379">
        <f>IF(A1379="","",E1379&amp;F1379&amp;G1379)</f>
        <v/>
      </c>
      <c r="I1379">
        <f>IF(A1379="","",IF(AND(E1379&gt;=4,F1379&gt;=4,G1379&gt;=4),"Juara",IF(AND(F1379&gt;=4,E1379&gt;=3),"Setia",IF(AND(E1379=5,F1379&lt;=2,G1379&gt;=3),"Berpotensi",IF(AND(E1379&lt;=3,E1379&gt;=2,F1379&gt;=3),"Rawan",IF(AND(E1379&lt;=2,F1379&lt;=2),"Tidur","Umum"))))))</f>
        <v/>
      </c>
    </row>
    <row r="1380">
      <c r="B1380">
        <f>IF(A1380="","",$B$1-MAXIFS(Donasi!$A$2:$A$20000,Donasi!$B$2:$B$20000,A1380))</f>
        <v/>
      </c>
      <c r="C1380">
        <f>IF(A1380="","",COUNTIF(Donasi!$B$2:$B$20000,A1380))</f>
        <v/>
      </c>
      <c r="D1380">
        <f>IF(A1380="","",SUMIF(Donasi!$B$2:$B$20000,A1380,Donasi!$C$2:$C$20000))</f>
        <v/>
      </c>
      <c r="E1380">
        <f>IF(A1380="","",6-CEILING(PERCENTRANK.INC($B$3:$B$6000,B1380,4)*5+0.000001,1))</f>
        <v/>
      </c>
      <c r="F1380">
        <f>IF(A1380="","",MAX(1,CEILING(PERCENTRANK.INC($C$3:$C$6000,C1380,4)*5+0.000001,1)))</f>
        <v/>
      </c>
      <c r="G1380">
        <f>IF(A1380="","",MAX(1,CEILING(PERCENTRANK.INC($D$3:$D$6000,D1380,4)*5+0.000001,1)))</f>
        <v/>
      </c>
      <c r="H1380">
        <f>IF(A1380="","",E1380&amp;F1380&amp;G1380)</f>
        <v/>
      </c>
      <c r="I1380">
        <f>IF(A1380="","",IF(AND(E1380&gt;=4,F1380&gt;=4,G1380&gt;=4),"Juara",IF(AND(F1380&gt;=4,E1380&gt;=3),"Setia",IF(AND(E1380=5,F1380&lt;=2,G1380&gt;=3),"Berpotensi",IF(AND(E1380&lt;=3,E1380&gt;=2,F1380&gt;=3),"Rawan",IF(AND(E1380&lt;=2,F1380&lt;=2),"Tidur","Umum"))))))</f>
        <v/>
      </c>
    </row>
    <row r="1381">
      <c r="B1381">
        <f>IF(A1381="","",$B$1-MAXIFS(Donasi!$A$2:$A$20000,Donasi!$B$2:$B$20000,A1381))</f>
        <v/>
      </c>
      <c r="C1381">
        <f>IF(A1381="","",COUNTIF(Donasi!$B$2:$B$20000,A1381))</f>
        <v/>
      </c>
      <c r="D1381">
        <f>IF(A1381="","",SUMIF(Donasi!$B$2:$B$20000,A1381,Donasi!$C$2:$C$20000))</f>
        <v/>
      </c>
      <c r="E1381">
        <f>IF(A1381="","",6-CEILING(PERCENTRANK.INC($B$3:$B$6000,B1381,4)*5+0.000001,1))</f>
        <v/>
      </c>
      <c r="F1381">
        <f>IF(A1381="","",MAX(1,CEILING(PERCENTRANK.INC($C$3:$C$6000,C1381,4)*5+0.000001,1)))</f>
        <v/>
      </c>
      <c r="G1381">
        <f>IF(A1381="","",MAX(1,CEILING(PERCENTRANK.INC($D$3:$D$6000,D1381,4)*5+0.000001,1)))</f>
        <v/>
      </c>
      <c r="H1381">
        <f>IF(A1381="","",E1381&amp;F1381&amp;G1381)</f>
        <v/>
      </c>
      <c r="I1381">
        <f>IF(A1381="","",IF(AND(E1381&gt;=4,F1381&gt;=4,G1381&gt;=4),"Juara",IF(AND(F1381&gt;=4,E1381&gt;=3),"Setia",IF(AND(E1381=5,F1381&lt;=2,G1381&gt;=3),"Berpotensi",IF(AND(E1381&lt;=3,E1381&gt;=2,F1381&gt;=3),"Rawan",IF(AND(E1381&lt;=2,F1381&lt;=2),"Tidur","Umum"))))))</f>
        <v/>
      </c>
    </row>
    <row r="1382">
      <c r="B1382">
        <f>IF(A1382="","",$B$1-MAXIFS(Donasi!$A$2:$A$20000,Donasi!$B$2:$B$20000,A1382))</f>
        <v/>
      </c>
      <c r="C1382">
        <f>IF(A1382="","",COUNTIF(Donasi!$B$2:$B$20000,A1382))</f>
        <v/>
      </c>
      <c r="D1382">
        <f>IF(A1382="","",SUMIF(Donasi!$B$2:$B$20000,A1382,Donasi!$C$2:$C$20000))</f>
        <v/>
      </c>
      <c r="E1382">
        <f>IF(A1382="","",6-CEILING(PERCENTRANK.INC($B$3:$B$6000,B1382,4)*5+0.000001,1))</f>
        <v/>
      </c>
      <c r="F1382">
        <f>IF(A1382="","",MAX(1,CEILING(PERCENTRANK.INC($C$3:$C$6000,C1382,4)*5+0.000001,1)))</f>
        <v/>
      </c>
      <c r="G1382">
        <f>IF(A1382="","",MAX(1,CEILING(PERCENTRANK.INC($D$3:$D$6000,D1382,4)*5+0.000001,1)))</f>
        <v/>
      </c>
      <c r="H1382">
        <f>IF(A1382="","",E1382&amp;F1382&amp;G1382)</f>
        <v/>
      </c>
      <c r="I1382">
        <f>IF(A1382="","",IF(AND(E1382&gt;=4,F1382&gt;=4,G1382&gt;=4),"Juara",IF(AND(F1382&gt;=4,E1382&gt;=3),"Setia",IF(AND(E1382=5,F1382&lt;=2,G1382&gt;=3),"Berpotensi",IF(AND(E1382&lt;=3,E1382&gt;=2,F1382&gt;=3),"Rawan",IF(AND(E1382&lt;=2,F1382&lt;=2),"Tidur","Umum"))))))</f>
        <v/>
      </c>
    </row>
    <row r="1383">
      <c r="B1383">
        <f>IF(A1383="","",$B$1-MAXIFS(Donasi!$A$2:$A$20000,Donasi!$B$2:$B$20000,A1383))</f>
        <v/>
      </c>
      <c r="C1383">
        <f>IF(A1383="","",COUNTIF(Donasi!$B$2:$B$20000,A1383))</f>
        <v/>
      </c>
      <c r="D1383">
        <f>IF(A1383="","",SUMIF(Donasi!$B$2:$B$20000,A1383,Donasi!$C$2:$C$20000))</f>
        <v/>
      </c>
      <c r="E1383">
        <f>IF(A1383="","",6-CEILING(PERCENTRANK.INC($B$3:$B$6000,B1383,4)*5+0.000001,1))</f>
        <v/>
      </c>
      <c r="F1383">
        <f>IF(A1383="","",MAX(1,CEILING(PERCENTRANK.INC($C$3:$C$6000,C1383,4)*5+0.000001,1)))</f>
        <v/>
      </c>
      <c r="G1383">
        <f>IF(A1383="","",MAX(1,CEILING(PERCENTRANK.INC($D$3:$D$6000,D1383,4)*5+0.000001,1)))</f>
        <v/>
      </c>
      <c r="H1383">
        <f>IF(A1383="","",E1383&amp;F1383&amp;G1383)</f>
        <v/>
      </c>
      <c r="I1383">
        <f>IF(A1383="","",IF(AND(E1383&gt;=4,F1383&gt;=4,G1383&gt;=4),"Juara",IF(AND(F1383&gt;=4,E1383&gt;=3),"Setia",IF(AND(E1383=5,F1383&lt;=2,G1383&gt;=3),"Berpotensi",IF(AND(E1383&lt;=3,E1383&gt;=2,F1383&gt;=3),"Rawan",IF(AND(E1383&lt;=2,F1383&lt;=2),"Tidur","Umum"))))))</f>
        <v/>
      </c>
    </row>
    <row r="1384">
      <c r="B1384">
        <f>IF(A1384="","",$B$1-MAXIFS(Donasi!$A$2:$A$20000,Donasi!$B$2:$B$20000,A1384))</f>
        <v/>
      </c>
      <c r="C1384">
        <f>IF(A1384="","",COUNTIF(Donasi!$B$2:$B$20000,A1384))</f>
        <v/>
      </c>
      <c r="D1384">
        <f>IF(A1384="","",SUMIF(Donasi!$B$2:$B$20000,A1384,Donasi!$C$2:$C$20000))</f>
        <v/>
      </c>
      <c r="E1384">
        <f>IF(A1384="","",6-CEILING(PERCENTRANK.INC($B$3:$B$6000,B1384,4)*5+0.000001,1))</f>
        <v/>
      </c>
      <c r="F1384">
        <f>IF(A1384="","",MAX(1,CEILING(PERCENTRANK.INC($C$3:$C$6000,C1384,4)*5+0.000001,1)))</f>
        <v/>
      </c>
      <c r="G1384">
        <f>IF(A1384="","",MAX(1,CEILING(PERCENTRANK.INC($D$3:$D$6000,D1384,4)*5+0.000001,1)))</f>
        <v/>
      </c>
      <c r="H1384">
        <f>IF(A1384="","",E1384&amp;F1384&amp;G1384)</f>
        <v/>
      </c>
      <c r="I1384">
        <f>IF(A1384="","",IF(AND(E1384&gt;=4,F1384&gt;=4,G1384&gt;=4),"Juara",IF(AND(F1384&gt;=4,E1384&gt;=3),"Setia",IF(AND(E1384=5,F1384&lt;=2,G1384&gt;=3),"Berpotensi",IF(AND(E1384&lt;=3,E1384&gt;=2,F1384&gt;=3),"Rawan",IF(AND(E1384&lt;=2,F1384&lt;=2),"Tidur","Umum"))))))</f>
        <v/>
      </c>
    </row>
    <row r="1385">
      <c r="B1385">
        <f>IF(A1385="","",$B$1-MAXIFS(Donasi!$A$2:$A$20000,Donasi!$B$2:$B$20000,A1385))</f>
        <v/>
      </c>
      <c r="C1385">
        <f>IF(A1385="","",COUNTIF(Donasi!$B$2:$B$20000,A1385))</f>
        <v/>
      </c>
      <c r="D1385">
        <f>IF(A1385="","",SUMIF(Donasi!$B$2:$B$20000,A1385,Donasi!$C$2:$C$20000))</f>
        <v/>
      </c>
      <c r="E1385">
        <f>IF(A1385="","",6-CEILING(PERCENTRANK.INC($B$3:$B$6000,B1385,4)*5+0.000001,1))</f>
        <v/>
      </c>
      <c r="F1385">
        <f>IF(A1385="","",MAX(1,CEILING(PERCENTRANK.INC($C$3:$C$6000,C1385,4)*5+0.000001,1)))</f>
        <v/>
      </c>
      <c r="G1385">
        <f>IF(A1385="","",MAX(1,CEILING(PERCENTRANK.INC($D$3:$D$6000,D1385,4)*5+0.000001,1)))</f>
        <v/>
      </c>
      <c r="H1385">
        <f>IF(A1385="","",E1385&amp;F1385&amp;G1385)</f>
        <v/>
      </c>
      <c r="I1385">
        <f>IF(A1385="","",IF(AND(E1385&gt;=4,F1385&gt;=4,G1385&gt;=4),"Juara",IF(AND(F1385&gt;=4,E1385&gt;=3),"Setia",IF(AND(E1385=5,F1385&lt;=2,G1385&gt;=3),"Berpotensi",IF(AND(E1385&lt;=3,E1385&gt;=2,F1385&gt;=3),"Rawan",IF(AND(E1385&lt;=2,F1385&lt;=2),"Tidur","Umum"))))))</f>
        <v/>
      </c>
    </row>
    <row r="1386">
      <c r="B1386">
        <f>IF(A1386="","",$B$1-MAXIFS(Donasi!$A$2:$A$20000,Donasi!$B$2:$B$20000,A1386))</f>
        <v/>
      </c>
      <c r="C1386">
        <f>IF(A1386="","",COUNTIF(Donasi!$B$2:$B$20000,A1386))</f>
        <v/>
      </c>
      <c r="D1386">
        <f>IF(A1386="","",SUMIF(Donasi!$B$2:$B$20000,A1386,Donasi!$C$2:$C$20000))</f>
        <v/>
      </c>
      <c r="E1386">
        <f>IF(A1386="","",6-CEILING(PERCENTRANK.INC($B$3:$B$6000,B1386,4)*5+0.000001,1))</f>
        <v/>
      </c>
      <c r="F1386">
        <f>IF(A1386="","",MAX(1,CEILING(PERCENTRANK.INC($C$3:$C$6000,C1386,4)*5+0.000001,1)))</f>
        <v/>
      </c>
      <c r="G1386">
        <f>IF(A1386="","",MAX(1,CEILING(PERCENTRANK.INC($D$3:$D$6000,D1386,4)*5+0.000001,1)))</f>
        <v/>
      </c>
      <c r="H1386">
        <f>IF(A1386="","",E1386&amp;F1386&amp;G1386)</f>
        <v/>
      </c>
      <c r="I1386">
        <f>IF(A1386="","",IF(AND(E1386&gt;=4,F1386&gt;=4,G1386&gt;=4),"Juara",IF(AND(F1386&gt;=4,E1386&gt;=3),"Setia",IF(AND(E1386=5,F1386&lt;=2,G1386&gt;=3),"Berpotensi",IF(AND(E1386&lt;=3,E1386&gt;=2,F1386&gt;=3),"Rawan",IF(AND(E1386&lt;=2,F1386&lt;=2),"Tidur","Umum"))))))</f>
        <v/>
      </c>
    </row>
    <row r="1387">
      <c r="B1387">
        <f>IF(A1387="","",$B$1-MAXIFS(Donasi!$A$2:$A$20000,Donasi!$B$2:$B$20000,A1387))</f>
        <v/>
      </c>
      <c r="C1387">
        <f>IF(A1387="","",COUNTIF(Donasi!$B$2:$B$20000,A1387))</f>
        <v/>
      </c>
      <c r="D1387">
        <f>IF(A1387="","",SUMIF(Donasi!$B$2:$B$20000,A1387,Donasi!$C$2:$C$20000))</f>
        <v/>
      </c>
      <c r="E1387">
        <f>IF(A1387="","",6-CEILING(PERCENTRANK.INC($B$3:$B$6000,B1387,4)*5+0.000001,1))</f>
        <v/>
      </c>
      <c r="F1387">
        <f>IF(A1387="","",MAX(1,CEILING(PERCENTRANK.INC($C$3:$C$6000,C1387,4)*5+0.000001,1)))</f>
        <v/>
      </c>
      <c r="G1387">
        <f>IF(A1387="","",MAX(1,CEILING(PERCENTRANK.INC($D$3:$D$6000,D1387,4)*5+0.000001,1)))</f>
        <v/>
      </c>
      <c r="H1387">
        <f>IF(A1387="","",E1387&amp;F1387&amp;G1387)</f>
        <v/>
      </c>
      <c r="I1387">
        <f>IF(A1387="","",IF(AND(E1387&gt;=4,F1387&gt;=4,G1387&gt;=4),"Juara",IF(AND(F1387&gt;=4,E1387&gt;=3),"Setia",IF(AND(E1387=5,F1387&lt;=2,G1387&gt;=3),"Berpotensi",IF(AND(E1387&lt;=3,E1387&gt;=2,F1387&gt;=3),"Rawan",IF(AND(E1387&lt;=2,F1387&lt;=2),"Tidur","Umum"))))))</f>
        <v/>
      </c>
    </row>
    <row r="1388">
      <c r="B1388">
        <f>IF(A1388="","",$B$1-MAXIFS(Donasi!$A$2:$A$20000,Donasi!$B$2:$B$20000,A1388))</f>
        <v/>
      </c>
      <c r="C1388">
        <f>IF(A1388="","",COUNTIF(Donasi!$B$2:$B$20000,A1388))</f>
        <v/>
      </c>
      <c r="D1388">
        <f>IF(A1388="","",SUMIF(Donasi!$B$2:$B$20000,A1388,Donasi!$C$2:$C$20000))</f>
        <v/>
      </c>
      <c r="E1388">
        <f>IF(A1388="","",6-CEILING(PERCENTRANK.INC($B$3:$B$6000,B1388,4)*5+0.000001,1))</f>
        <v/>
      </c>
      <c r="F1388">
        <f>IF(A1388="","",MAX(1,CEILING(PERCENTRANK.INC($C$3:$C$6000,C1388,4)*5+0.000001,1)))</f>
        <v/>
      </c>
      <c r="G1388">
        <f>IF(A1388="","",MAX(1,CEILING(PERCENTRANK.INC($D$3:$D$6000,D1388,4)*5+0.000001,1)))</f>
        <v/>
      </c>
      <c r="H1388">
        <f>IF(A1388="","",E1388&amp;F1388&amp;G1388)</f>
        <v/>
      </c>
      <c r="I1388">
        <f>IF(A1388="","",IF(AND(E1388&gt;=4,F1388&gt;=4,G1388&gt;=4),"Juara",IF(AND(F1388&gt;=4,E1388&gt;=3),"Setia",IF(AND(E1388=5,F1388&lt;=2,G1388&gt;=3),"Berpotensi",IF(AND(E1388&lt;=3,E1388&gt;=2,F1388&gt;=3),"Rawan",IF(AND(E1388&lt;=2,F1388&lt;=2),"Tidur","Umum"))))))</f>
        <v/>
      </c>
    </row>
    <row r="1389">
      <c r="B1389">
        <f>IF(A1389="","",$B$1-MAXIFS(Donasi!$A$2:$A$20000,Donasi!$B$2:$B$20000,A1389))</f>
        <v/>
      </c>
      <c r="C1389">
        <f>IF(A1389="","",COUNTIF(Donasi!$B$2:$B$20000,A1389))</f>
        <v/>
      </c>
      <c r="D1389">
        <f>IF(A1389="","",SUMIF(Donasi!$B$2:$B$20000,A1389,Donasi!$C$2:$C$20000))</f>
        <v/>
      </c>
      <c r="E1389">
        <f>IF(A1389="","",6-CEILING(PERCENTRANK.INC($B$3:$B$6000,B1389,4)*5+0.000001,1))</f>
        <v/>
      </c>
      <c r="F1389">
        <f>IF(A1389="","",MAX(1,CEILING(PERCENTRANK.INC($C$3:$C$6000,C1389,4)*5+0.000001,1)))</f>
        <v/>
      </c>
      <c r="G1389">
        <f>IF(A1389="","",MAX(1,CEILING(PERCENTRANK.INC($D$3:$D$6000,D1389,4)*5+0.000001,1)))</f>
        <v/>
      </c>
      <c r="H1389">
        <f>IF(A1389="","",E1389&amp;F1389&amp;G1389)</f>
        <v/>
      </c>
      <c r="I1389">
        <f>IF(A1389="","",IF(AND(E1389&gt;=4,F1389&gt;=4,G1389&gt;=4),"Juara",IF(AND(F1389&gt;=4,E1389&gt;=3),"Setia",IF(AND(E1389=5,F1389&lt;=2,G1389&gt;=3),"Berpotensi",IF(AND(E1389&lt;=3,E1389&gt;=2,F1389&gt;=3),"Rawan",IF(AND(E1389&lt;=2,F1389&lt;=2),"Tidur","Umum"))))))</f>
        <v/>
      </c>
    </row>
    <row r="1390">
      <c r="B1390">
        <f>IF(A1390="","",$B$1-MAXIFS(Donasi!$A$2:$A$20000,Donasi!$B$2:$B$20000,A1390))</f>
        <v/>
      </c>
      <c r="C1390">
        <f>IF(A1390="","",COUNTIF(Donasi!$B$2:$B$20000,A1390))</f>
        <v/>
      </c>
      <c r="D1390">
        <f>IF(A1390="","",SUMIF(Donasi!$B$2:$B$20000,A1390,Donasi!$C$2:$C$20000))</f>
        <v/>
      </c>
      <c r="E1390">
        <f>IF(A1390="","",6-CEILING(PERCENTRANK.INC($B$3:$B$6000,B1390,4)*5+0.000001,1))</f>
        <v/>
      </c>
      <c r="F1390">
        <f>IF(A1390="","",MAX(1,CEILING(PERCENTRANK.INC($C$3:$C$6000,C1390,4)*5+0.000001,1)))</f>
        <v/>
      </c>
      <c r="G1390">
        <f>IF(A1390="","",MAX(1,CEILING(PERCENTRANK.INC($D$3:$D$6000,D1390,4)*5+0.000001,1)))</f>
        <v/>
      </c>
      <c r="H1390">
        <f>IF(A1390="","",E1390&amp;F1390&amp;G1390)</f>
        <v/>
      </c>
      <c r="I1390">
        <f>IF(A1390="","",IF(AND(E1390&gt;=4,F1390&gt;=4,G1390&gt;=4),"Juara",IF(AND(F1390&gt;=4,E1390&gt;=3),"Setia",IF(AND(E1390=5,F1390&lt;=2,G1390&gt;=3),"Berpotensi",IF(AND(E1390&lt;=3,E1390&gt;=2,F1390&gt;=3),"Rawan",IF(AND(E1390&lt;=2,F1390&lt;=2),"Tidur","Umum"))))))</f>
        <v/>
      </c>
    </row>
    <row r="1391">
      <c r="B1391">
        <f>IF(A1391="","",$B$1-MAXIFS(Donasi!$A$2:$A$20000,Donasi!$B$2:$B$20000,A1391))</f>
        <v/>
      </c>
      <c r="C1391">
        <f>IF(A1391="","",COUNTIF(Donasi!$B$2:$B$20000,A1391))</f>
        <v/>
      </c>
      <c r="D1391">
        <f>IF(A1391="","",SUMIF(Donasi!$B$2:$B$20000,A1391,Donasi!$C$2:$C$20000))</f>
        <v/>
      </c>
      <c r="E1391">
        <f>IF(A1391="","",6-CEILING(PERCENTRANK.INC($B$3:$B$6000,B1391,4)*5+0.000001,1))</f>
        <v/>
      </c>
      <c r="F1391">
        <f>IF(A1391="","",MAX(1,CEILING(PERCENTRANK.INC($C$3:$C$6000,C1391,4)*5+0.000001,1)))</f>
        <v/>
      </c>
      <c r="G1391">
        <f>IF(A1391="","",MAX(1,CEILING(PERCENTRANK.INC($D$3:$D$6000,D1391,4)*5+0.000001,1)))</f>
        <v/>
      </c>
      <c r="H1391">
        <f>IF(A1391="","",E1391&amp;F1391&amp;G1391)</f>
        <v/>
      </c>
      <c r="I1391">
        <f>IF(A1391="","",IF(AND(E1391&gt;=4,F1391&gt;=4,G1391&gt;=4),"Juara",IF(AND(F1391&gt;=4,E1391&gt;=3),"Setia",IF(AND(E1391=5,F1391&lt;=2,G1391&gt;=3),"Berpotensi",IF(AND(E1391&lt;=3,E1391&gt;=2,F1391&gt;=3),"Rawan",IF(AND(E1391&lt;=2,F1391&lt;=2),"Tidur","Umum"))))))</f>
        <v/>
      </c>
    </row>
    <row r="1392">
      <c r="B1392">
        <f>IF(A1392="","",$B$1-MAXIFS(Donasi!$A$2:$A$20000,Donasi!$B$2:$B$20000,A1392))</f>
        <v/>
      </c>
      <c r="C1392">
        <f>IF(A1392="","",COUNTIF(Donasi!$B$2:$B$20000,A1392))</f>
        <v/>
      </c>
      <c r="D1392">
        <f>IF(A1392="","",SUMIF(Donasi!$B$2:$B$20000,A1392,Donasi!$C$2:$C$20000))</f>
        <v/>
      </c>
      <c r="E1392">
        <f>IF(A1392="","",6-CEILING(PERCENTRANK.INC($B$3:$B$6000,B1392,4)*5+0.000001,1))</f>
        <v/>
      </c>
      <c r="F1392">
        <f>IF(A1392="","",MAX(1,CEILING(PERCENTRANK.INC($C$3:$C$6000,C1392,4)*5+0.000001,1)))</f>
        <v/>
      </c>
      <c r="G1392">
        <f>IF(A1392="","",MAX(1,CEILING(PERCENTRANK.INC($D$3:$D$6000,D1392,4)*5+0.000001,1)))</f>
        <v/>
      </c>
      <c r="H1392">
        <f>IF(A1392="","",E1392&amp;F1392&amp;G1392)</f>
        <v/>
      </c>
      <c r="I1392">
        <f>IF(A1392="","",IF(AND(E1392&gt;=4,F1392&gt;=4,G1392&gt;=4),"Juara",IF(AND(F1392&gt;=4,E1392&gt;=3),"Setia",IF(AND(E1392=5,F1392&lt;=2,G1392&gt;=3),"Berpotensi",IF(AND(E1392&lt;=3,E1392&gt;=2,F1392&gt;=3),"Rawan",IF(AND(E1392&lt;=2,F1392&lt;=2),"Tidur","Umum"))))))</f>
        <v/>
      </c>
    </row>
    <row r="1393">
      <c r="B1393">
        <f>IF(A1393="","",$B$1-MAXIFS(Donasi!$A$2:$A$20000,Donasi!$B$2:$B$20000,A1393))</f>
        <v/>
      </c>
      <c r="C1393">
        <f>IF(A1393="","",COUNTIF(Donasi!$B$2:$B$20000,A1393))</f>
        <v/>
      </c>
      <c r="D1393">
        <f>IF(A1393="","",SUMIF(Donasi!$B$2:$B$20000,A1393,Donasi!$C$2:$C$20000))</f>
        <v/>
      </c>
      <c r="E1393">
        <f>IF(A1393="","",6-CEILING(PERCENTRANK.INC($B$3:$B$6000,B1393,4)*5+0.000001,1))</f>
        <v/>
      </c>
      <c r="F1393">
        <f>IF(A1393="","",MAX(1,CEILING(PERCENTRANK.INC($C$3:$C$6000,C1393,4)*5+0.000001,1)))</f>
        <v/>
      </c>
      <c r="G1393">
        <f>IF(A1393="","",MAX(1,CEILING(PERCENTRANK.INC($D$3:$D$6000,D1393,4)*5+0.000001,1)))</f>
        <v/>
      </c>
      <c r="H1393">
        <f>IF(A1393="","",E1393&amp;F1393&amp;G1393)</f>
        <v/>
      </c>
      <c r="I1393">
        <f>IF(A1393="","",IF(AND(E1393&gt;=4,F1393&gt;=4,G1393&gt;=4),"Juara",IF(AND(F1393&gt;=4,E1393&gt;=3),"Setia",IF(AND(E1393=5,F1393&lt;=2,G1393&gt;=3),"Berpotensi",IF(AND(E1393&lt;=3,E1393&gt;=2,F1393&gt;=3),"Rawan",IF(AND(E1393&lt;=2,F1393&lt;=2),"Tidur","Umum"))))))</f>
        <v/>
      </c>
    </row>
    <row r="1394">
      <c r="B1394">
        <f>IF(A1394="","",$B$1-MAXIFS(Donasi!$A$2:$A$20000,Donasi!$B$2:$B$20000,A1394))</f>
        <v/>
      </c>
      <c r="C1394">
        <f>IF(A1394="","",COUNTIF(Donasi!$B$2:$B$20000,A1394))</f>
        <v/>
      </c>
      <c r="D1394">
        <f>IF(A1394="","",SUMIF(Donasi!$B$2:$B$20000,A1394,Donasi!$C$2:$C$20000))</f>
        <v/>
      </c>
      <c r="E1394">
        <f>IF(A1394="","",6-CEILING(PERCENTRANK.INC($B$3:$B$6000,B1394,4)*5+0.000001,1))</f>
        <v/>
      </c>
      <c r="F1394">
        <f>IF(A1394="","",MAX(1,CEILING(PERCENTRANK.INC($C$3:$C$6000,C1394,4)*5+0.000001,1)))</f>
        <v/>
      </c>
      <c r="G1394">
        <f>IF(A1394="","",MAX(1,CEILING(PERCENTRANK.INC($D$3:$D$6000,D1394,4)*5+0.000001,1)))</f>
        <v/>
      </c>
      <c r="H1394">
        <f>IF(A1394="","",E1394&amp;F1394&amp;G1394)</f>
        <v/>
      </c>
      <c r="I1394">
        <f>IF(A1394="","",IF(AND(E1394&gt;=4,F1394&gt;=4,G1394&gt;=4),"Juara",IF(AND(F1394&gt;=4,E1394&gt;=3),"Setia",IF(AND(E1394=5,F1394&lt;=2,G1394&gt;=3),"Berpotensi",IF(AND(E1394&lt;=3,E1394&gt;=2,F1394&gt;=3),"Rawan",IF(AND(E1394&lt;=2,F1394&lt;=2),"Tidur","Umum"))))))</f>
        <v/>
      </c>
    </row>
    <row r="1395">
      <c r="B1395">
        <f>IF(A1395="","",$B$1-MAXIFS(Donasi!$A$2:$A$20000,Donasi!$B$2:$B$20000,A1395))</f>
        <v/>
      </c>
      <c r="C1395">
        <f>IF(A1395="","",COUNTIF(Donasi!$B$2:$B$20000,A1395))</f>
        <v/>
      </c>
      <c r="D1395">
        <f>IF(A1395="","",SUMIF(Donasi!$B$2:$B$20000,A1395,Donasi!$C$2:$C$20000))</f>
        <v/>
      </c>
      <c r="E1395">
        <f>IF(A1395="","",6-CEILING(PERCENTRANK.INC($B$3:$B$6000,B1395,4)*5+0.000001,1))</f>
        <v/>
      </c>
      <c r="F1395">
        <f>IF(A1395="","",MAX(1,CEILING(PERCENTRANK.INC($C$3:$C$6000,C1395,4)*5+0.000001,1)))</f>
        <v/>
      </c>
      <c r="G1395">
        <f>IF(A1395="","",MAX(1,CEILING(PERCENTRANK.INC($D$3:$D$6000,D1395,4)*5+0.000001,1)))</f>
        <v/>
      </c>
      <c r="H1395">
        <f>IF(A1395="","",E1395&amp;F1395&amp;G1395)</f>
        <v/>
      </c>
      <c r="I1395">
        <f>IF(A1395="","",IF(AND(E1395&gt;=4,F1395&gt;=4,G1395&gt;=4),"Juara",IF(AND(F1395&gt;=4,E1395&gt;=3),"Setia",IF(AND(E1395=5,F1395&lt;=2,G1395&gt;=3),"Berpotensi",IF(AND(E1395&lt;=3,E1395&gt;=2,F1395&gt;=3),"Rawan",IF(AND(E1395&lt;=2,F1395&lt;=2),"Tidur","Umum"))))))</f>
        <v/>
      </c>
    </row>
    <row r="1396">
      <c r="B1396">
        <f>IF(A1396="","",$B$1-MAXIFS(Donasi!$A$2:$A$20000,Donasi!$B$2:$B$20000,A1396))</f>
        <v/>
      </c>
      <c r="C1396">
        <f>IF(A1396="","",COUNTIF(Donasi!$B$2:$B$20000,A1396))</f>
        <v/>
      </c>
      <c r="D1396">
        <f>IF(A1396="","",SUMIF(Donasi!$B$2:$B$20000,A1396,Donasi!$C$2:$C$20000))</f>
        <v/>
      </c>
      <c r="E1396">
        <f>IF(A1396="","",6-CEILING(PERCENTRANK.INC($B$3:$B$6000,B1396,4)*5+0.000001,1))</f>
        <v/>
      </c>
      <c r="F1396">
        <f>IF(A1396="","",MAX(1,CEILING(PERCENTRANK.INC($C$3:$C$6000,C1396,4)*5+0.000001,1)))</f>
        <v/>
      </c>
      <c r="G1396">
        <f>IF(A1396="","",MAX(1,CEILING(PERCENTRANK.INC($D$3:$D$6000,D1396,4)*5+0.000001,1)))</f>
        <v/>
      </c>
      <c r="H1396">
        <f>IF(A1396="","",E1396&amp;F1396&amp;G1396)</f>
        <v/>
      </c>
      <c r="I1396">
        <f>IF(A1396="","",IF(AND(E1396&gt;=4,F1396&gt;=4,G1396&gt;=4),"Juara",IF(AND(F1396&gt;=4,E1396&gt;=3),"Setia",IF(AND(E1396=5,F1396&lt;=2,G1396&gt;=3),"Berpotensi",IF(AND(E1396&lt;=3,E1396&gt;=2,F1396&gt;=3),"Rawan",IF(AND(E1396&lt;=2,F1396&lt;=2),"Tidur","Umum"))))))</f>
        <v/>
      </c>
    </row>
    <row r="1397">
      <c r="B1397">
        <f>IF(A1397="","",$B$1-MAXIFS(Donasi!$A$2:$A$20000,Donasi!$B$2:$B$20000,A1397))</f>
        <v/>
      </c>
      <c r="C1397">
        <f>IF(A1397="","",COUNTIF(Donasi!$B$2:$B$20000,A1397))</f>
        <v/>
      </c>
      <c r="D1397">
        <f>IF(A1397="","",SUMIF(Donasi!$B$2:$B$20000,A1397,Donasi!$C$2:$C$20000))</f>
        <v/>
      </c>
      <c r="E1397">
        <f>IF(A1397="","",6-CEILING(PERCENTRANK.INC($B$3:$B$6000,B1397,4)*5+0.000001,1))</f>
        <v/>
      </c>
      <c r="F1397">
        <f>IF(A1397="","",MAX(1,CEILING(PERCENTRANK.INC($C$3:$C$6000,C1397,4)*5+0.000001,1)))</f>
        <v/>
      </c>
      <c r="G1397">
        <f>IF(A1397="","",MAX(1,CEILING(PERCENTRANK.INC($D$3:$D$6000,D1397,4)*5+0.000001,1)))</f>
        <v/>
      </c>
      <c r="H1397">
        <f>IF(A1397="","",E1397&amp;F1397&amp;G1397)</f>
        <v/>
      </c>
      <c r="I1397">
        <f>IF(A1397="","",IF(AND(E1397&gt;=4,F1397&gt;=4,G1397&gt;=4),"Juara",IF(AND(F1397&gt;=4,E1397&gt;=3),"Setia",IF(AND(E1397=5,F1397&lt;=2,G1397&gt;=3),"Berpotensi",IF(AND(E1397&lt;=3,E1397&gt;=2,F1397&gt;=3),"Rawan",IF(AND(E1397&lt;=2,F1397&lt;=2),"Tidur","Umum"))))))</f>
        <v/>
      </c>
    </row>
    <row r="1398">
      <c r="B1398">
        <f>IF(A1398="","",$B$1-MAXIFS(Donasi!$A$2:$A$20000,Donasi!$B$2:$B$20000,A1398))</f>
        <v/>
      </c>
      <c r="C1398">
        <f>IF(A1398="","",COUNTIF(Donasi!$B$2:$B$20000,A1398))</f>
        <v/>
      </c>
      <c r="D1398">
        <f>IF(A1398="","",SUMIF(Donasi!$B$2:$B$20000,A1398,Donasi!$C$2:$C$20000))</f>
        <v/>
      </c>
      <c r="E1398">
        <f>IF(A1398="","",6-CEILING(PERCENTRANK.INC($B$3:$B$6000,B1398,4)*5+0.000001,1))</f>
        <v/>
      </c>
      <c r="F1398">
        <f>IF(A1398="","",MAX(1,CEILING(PERCENTRANK.INC($C$3:$C$6000,C1398,4)*5+0.000001,1)))</f>
        <v/>
      </c>
      <c r="G1398">
        <f>IF(A1398="","",MAX(1,CEILING(PERCENTRANK.INC($D$3:$D$6000,D1398,4)*5+0.000001,1)))</f>
        <v/>
      </c>
      <c r="H1398">
        <f>IF(A1398="","",E1398&amp;F1398&amp;G1398)</f>
        <v/>
      </c>
      <c r="I1398">
        <f>IF(A1398="","",IF(AND(E1398&gt;=4,F1398&gt;=4,G1398&gt;=4),"Juara",IF(AND(F1398&gt;=4,E1398&gt;=3),"Setia",IF(AND(E1398=5,F1398&lt;=2,G1398&gt;=3),"Berpotensi",IF(AND(E1398&lt;=3,E1398&gt;=2,F1398&gt;=3),"Rawan",IF(AND(E1398&lt;=2,F1398&lt;=2),"Tidur","Umum"))))))</f>
        <v/>
      </c>
    </row>
    <row r="1399">
      <c r="B1399">
        <f>IF(A1399="","",$B$1-MAXIFS(Donasi!$A$2:$A$20000,Donasi!$B$2:$B$20000,A1399))</f>
        <v/>
      </c>
      <c r="C1399">
        <f>IF(A1399="","",COUNTIF(Donasi!$B$2:$B$20000,A1399))</f>
        <v/>
      </c>
      <c r="D1399">
        <f>IF(A1399="","",SUMIF(Donasi!$B$2:$B$20000,A1399,Donasi!$C$2:$C$20000))</f>
        <v/>
      </c>
      <c r="E1399">
        <f>IF(A1399="","",6-CEILING(PERCENTRANK.INC($B$3:$B$6000,B1399,4)*5+0.000001,1))</f>
        <v/>
      </c>
      <c r="F1399">
        <f>IF(A1399="","",MAX(1,CEILING(PERCENTRANK.INC($C$3:$C$6000,C1399,4)*5+0.000001,1)))</f>
        <v/>
      </c>
      <c r="G1399">
        <f>IF(A1399="","",MAX(1,CEILING(PERCENTRANK.INC($D$3:$D$6000,D1399,4)*5+0.000001,1)))</f>
        <v/>
      </c>
      <c r="H1399">
        <f>IF(A1399="","",E1399&amp;F1399&amp;G1399)</f>
        <v/>
      </c>
      <c r="I1399">
        <f>IF(A1399="","",IF(AND(E1399&gt;=4,F1399&gt;=4,G1399&gt;=4),"Juara",IF(AND(F1399&gt;=4,E1399&gt;=3),"Setia",IF(AND(E1399=5,F1399&lt;=2,G1399&gt;=3),"Berpotensi",IF(AND(E1399&lt;=3,E1399&gt;=2,F1399&gt;=3),"Rawan",IF(AND(E1399&lt;=2,F1399&lt;=2),"Tidur","Umum"))))))</f>
        <v/>
      </c>
    </row>
    <row r="1400">
      <c r="B1400">
        <f>IF(A1400="","",$B$1-MAXIFS(Donasi!$A$2:$A$20000,Donasi!$B$2:$B$20000,A1400))</f>
        <v/>
      </c>
      <c r="C1400">
        <f>IF(A1400="","",COUNTIF(Donasi!$B$2:$B$20000,A1400))</f>
        <v/>
      </c>
      <c r="D1400">
        <f>IF(A1400="","",SUMIF(Donasi!$B$2:$B$20000,A1400,Donasi!$C$2:$C$20000))</f>
        <v/>
      </c>
      <c r="E1400">
        <f>IF(A1400="","",6-CEILING(PERCENTRANK.INC($B$3:$B$6000,B1400,4)*5+0.000001,1))</f>
        <v/>
      </c>
      <c r="F1400">
        <f>IF(A1400="","",MAX(1,CEILING(PERCENTRANK.INC($C$3:$C$6000,C1400,4)*5+0.000001,1)))</f>
        <v/>
      </c>
      <c r="G1400">
        <f>IF(A1400="","",MAX(1,CEILING(PERCENTRANK.INC($D$3:$D$6000,D1400,4)*5+0.000001,1)))</f>
        <v/>
      </c>
      <c r="H1400">
        <f>IF(A1400="","",E1400&amp;F1400&amp;G1400)</f>
        <v/>
      </c>
      <c r="I1400">
        <f>IF(A1400="","",IF(AND(E1400&gt;=4,F1400&gt;=4,G1400&gt;=4),"Juara",IF(AND(F1400&gt;=4,E1400&gt;=3),"Setia",IF(AND(E1400=5,F1400&lt;=2,G1400&gt;=3),"Berpotensi",IF(AND(E1400&lt;=3,E1400&gt;=2,F1400&gt;=3),"Rawan",IF(AND(E1400&lt;=2,F1400&lt;=2),"Tidur","Umum"))))))</f>
        <v/>
      </c>
    </row>
    <row r="1401">
      <c r="B1401">
        <f>IF(A1401="","",$B$1-MAXIFS(Donasi!$A$2:$A$20000,Donasi!$B$2:$B$20000,A1401))</f>
        <v/>
      </c>
      <c r="C1401">
        <f>IF(A1401="","",COUNTIF(Donasi!$B$2:$B$20000,A1401))</f>
        <v/>
      </c>
      <c r="D1401">
        <f>IF(A1401="","",SUMIF(Donasi!$B$2:$B$20000,A1401,Donasi!$C$2:$C$20000))</f>
        <v/>
      </c>
      <c r="E1401">
        <f>IF(A1401="","",6-CEILING(PERCENTRANK.INC($B$3:$B$6000,B1401,4)*5+0.000001,1))</f>
        <v/>
      </c>
      <c r="F1401">
        <f>IF(A1401="","",MAX(1,CEILING(PERCENTRANK.INC($C$3:$C$6000,C1401,4)*5+0.000001,1)))</f>
        <v/>
      </c>
      <c r="G1401">
        <f>IF(A1401="","",MAX(1,CEILING(PERCENTRANK.INC($D$3:$D$6000,D1401,4)*5+0.000001,1)))</f>
        <v/>
      </c>
      <c r="H1401">
        <f>IF(A1401="","",E1401&amp;F1401&amp;G1401)</f>
        <v/>
      </c>
      <c r="I1401">
        <f>IF(A1401="","",IF(AND(E1401&gt;=4,F1401&gt;=4,G1401&gt;=4),"Juara",IF(AND(F1401&gt;=4,E1401&gt;=3),"Setia",IF(AND(E1401=5,F1401&lt;=2,G1401&gt;=3),"Berpotensi",IF(AND(E1401&lt;=3,E1401&gt;=2,F1401&gt;=3),"Rawan",IF(AND(E1401&lt;=2,F1401&lt;=2),"Tidur","Umum"))))))</f>
        <v/>
      </c>
    </row>
    <row r="1402">
      <c r="B1402">
        <f>IF(A1402="","",$B$1-MAXIFS(Donasi!$A$2:$A$20000,Donasi!$B$2:$B$20000,A1402))</f>
        <v/>
      </c>
      <c r="C1402">
        <f>IF(A1402="","",COUNTIF(Donasi!$B$2:$B$20000,A1402))</f>
        <v/>
      </c>
      <c r="D1402">
        <f>IF(A1402="","",SUMIF(Donasi!$B$2:$B$20000,A1402,Donasi!$C$2:$C$20000))</f>
        <v/>
      </c>
      <c r="E1402">
        <f>IF(A1402="","",6-CEILING(PERCENTRANK.INC($B$3:$B$6000,B1402,4)*5+0.000001,1))</f>
        <v/>
      </c>
      <c r="F1402">
        <f>IF(A1402="","",MAX(1,CEILING(PERCENTRANK.INC($C$3:$C$6000,C1402,4)*5+0.000001,1)))</f>
        <v/>
      </c>
      <c r="G1402">
        <f>IF(A1402="","",MAX(1,CEILING(PERCENTRANK.INC($D$3:$D$6000,D1402,4)*5+0.000001,1)))</f>
        <v/>
      </c>
      <c r="H1402">
        <f>IF(A1402="","",E1402&amp;F1402&amp;G1402)</f>
        <v/>
      </c>
      <c r="I1402">
        <f>IF(A1402="","",IF(AND(E1402&gt;=4,F1402&gt;=4,G1402&gt;=4),"Juara",IF(AND(F1402&gt;=4,E1402&gt;=3),"Setia",IF(AND(E1402=5,F1402&lt;=2,G1402&gt;=3),"Berpotensi",IF(AND(E1402&lt;=3,E1402&gt;=2,F1402&gt;=3),"Rawan",IF(AND(E1402&lt;=2,F1402&lt;=2),"Tidur","Umum"))))))</f>
        <v/>
      </c>
    </row>
    <row r="1403">
      <c r="B1403">
        <f>IF(A1403="","",$B$1-MAXIFS(Donasi!$A$2:$A$20000,Donasi!$B$2:$B$20000,A1403))</f>
        <v/>
      </c>
      <c r="C1403">
        <f>IF(A1403="","",COUNTIF(Donasi!$B$2:$B$20000,A1403))</f>
        <v/>
      </c>
      <c r="D1403">
        <f>IF(A1403="","",SUMIF(Donasi!$B$2:$B$20000,A1403,Donasi!$C$2:$C$20000))</f>
        <v/>
      </c>
      <c r="E1403">
        <f>IF(A1403="","",6-CEILING(PERCENTRANK.INC($B$3:$B$6000,B1403,4)*5+0.000001,1))</f>
        <v/>
      </c>
      <c r="F1403">
        <f>IF(A1403="","",MAX(1,CEILING(PERCENTRANK.INC($C$3:$C$6000,C1403,4)*5+0.000001,1)))</f>
        <v/>
      </c>
      <c r="G1403">
        <f>IF(A1403="","",MAX(1,CEILING(PERCENTRANK.INC($D$3:$D$6000,D1403,4)*5+0.000001,1)))</f>
        <v/>
      </c>
      <c r="H1403">
        <f>IF(A1403="","",E1403&amp;F1403&amp;G1403)</f>
        <v/>
      </c>
      <c r="I1403">
        <f>IF(A1403="","",IF(AND(E1403&gt;=4,F1403&gt;=4,G1403&gt;=4),"Juara",IF(AND(F1403&gt;=4,E1403&gt;=3),"Setia",IF(AND(E1403=5,F1403&lt;=2,G1403&gt;=3),"Berpotensi",IF(AND(E1403&lt;=3,E1403&gt;=2,F1403&gt;=3),"Rawan",IF(AND(E1403&lt;=2,F1403&lt;=2),"Tidur","Umum"))))))</f>
        <v/>
      </c>
    </row>
    <row r="1404">
      <c r="B1404">
        <f>IF(A1404="","",$B$1-MAXIFS(Donasi!$A$2:$A$20000,Donasi!$B$2:$B$20000,A1404))</f>
        <v/>
      </c>
      <c r="C1404">
        <f>IF(A1404="","",COUNTIF(Donasi!$B$2:$B$20000,A1404))</f>
        <v/>
      </c>
      <c r="D1404">
        <f>IF(A1404="","",SUMIF(Donasi!$B$2:$B$20000,A1404,Donasi!$C$2:$C$20000))</f>
        <v/>
      </c>
      <c r="E1404">
        <f>IF(A1404="","",6-CEILING(PERCENTRANK.INC($B$3:$B$6000,B1404,4)*5+0.000001,1))</f>
        <v/>
      </c>
      <c r="F1404">
        <f>IF(A1404="","",MAX(1,CEILING(PERCENTRANK.INC($C$3:$C$6000,C1404,4)*5+0.000001,1)))</f>
        <v/>
      </c>
      <c r="G1404">
        <f>IF(A1404="","",MAX(1,CEILING(PERCENTRANK.INC($D$3:$D$6000,D1404,4)*5+0.000001,1)))</f>
        <v/>
      </c>
      <c r="H1404">
        <f>IF(A1404="","",E1404&amp;F1404&amp;G1404)</f>
        <v/>
      </c>
      <c r="I1404">
        <f>IF(A1404="","",IF(AND(E1404&gt;=4,F1404&gt;=4,G1404&gt;=4),"Juara",IF(AND(F1404&gt;=4,E1404&gt;=3),"Setia",IF(AND(E1404=5,F1404&lt;=2,G1404&gt;=3),"Berpotensi",IF(AND(E1404&lt;=3,E1404&gt;=2,F1404&gt;=3),"Rawan",IF(AND(E1404&lt;=2,F1404&lt;=2),"Tidur","Umum"))))))</f>
        <v/>
      </c>
    </row>
    <row r="1405">
      <c r="B1405">
        <f>IF(A1405="","",$B$1-MAXIFS(Donasi!$A$2:$A$20000,Donasi!$B$2:$B$20000,A1405))</f>
        <v/>
      </c>
      <c r="C1405">
        <f>IF(A1405="","",COUNTIF(Donasi!$B$2:$B$20000,A1405))</f>
        <v/>
      </c>
      <c r="D1405">
        <f>IF(A1405="","",SUMIF(Donasi!$B$2:$B$20000,A1405,Donasi!$C$2:$C$20000))</f>
        <v/>
      </c>
      <c r="E1405">
        <f>IF(A1405="","",6-CEILING(PERCENTRANK.INC($B$3:$B$6000,B1405,4)*5+0.000001,1))</f>
        <v/>
      </c>
      <c r="F1405">
        <f>IF(A1405="","",MAX(1,CEILING(PERCENTRANK.INC($C$3:$C$6000,C1405,4)*5+0.000001,1)))</f>
        <v/>
      </c>
      <c r="G1405">
        <f>IF(A1405="","",MAX(1,CEILING(PERCENTRANK.INC($D$3:$D$6000,D1405,4)*5+0.000001,1)))</f>
        <v/>
      </c>
      <c r="H1405">
        <f>IF(A1405="","",E1405&amp;F1405&amp;G1405)</f>
        <v/>
      </c>
      <c r="I1405">
        <f>IF(A1405="","",IF(AND(E1405&gt;=4,F1405&gt;=4,G1405&gt;=4),"Juara",IF(AND(F1405&gt;=4,E1405&gt;=3),"Setia",IF(AND(E1405=5,F1405&lt;=2,G1405&gt;=3),"Berpotensi",IF(AND(E1405&lt;=3,E1405&gt;=2,F1405&gt;=3),"Rawan",IF(AND(E1405&lt;=2,F1405&lt;=2),"Tidur","Umum"))))))</f>
        <v/>
      </c>
    </row>
    <row r="1406">
      <c r="B1406">
        <f>IF(A1406="","",$B$1-MAXIFS(Donasi!$A$2:$A$20000,Donasi!$B$2:$B$20000,A1406))</f>
        <v/>
      </c>
      <c r="C1406">
        <f>IF(A1406="","",COUNTIF(Donasi!$B$2:$B$20000,A1406))</f>
        <v/>
      </c>
      <c r="D1406">
        <f>IF(A1406="","",SUMIF(Donasi!$B$2:$B$20000,A1406,Donasi!$C$2:$C$20000))</f>
        <v/>
      </c>
      <c r="E1406">
        <f>IF(A1406="","",6-CEILING(PERCENTRANK.INC($B$3:$B$6000,B1406,4)*5+0.000001,1))</f>
        <v/>
      </c>
      <c r="F1406">
        <f>IF(A1406="","",MAX(1,CEILING(PERCENTRANK.INC($C$3:$C$6000,C1406,4)*5+0.000001,1)))</f>
        <v/>
      </c>
      <c r="G1406">
        <f>IF(A1406="","",MAX(1,CEILING(PERCENTRANK.INC($D$3:$D$6000,D1406,4)*5+0.000001,1)))</f>
        <v/>
      </c>
      <c r="H1406">
        <f>IF(A1406="","",E1406&amp;F1406&amp;G1406)</f>
        <v/>
      </c>
      <c r="I1406">
        <f>IF(A1406="","",IF(AND(E1406&gt;=4,F1406&gt;=4,G1406&gt;=4),"Juara",IF(AND(F1406&gt;=4,E1406&gt;=3),"Setia",IF(AND(E1406=5,F1406&lt;=2,G1406&gt;=3),"Berpotensi",IF(AND(E1406&lt;=3,E1406&gt;=2,F1406&gt;=3),"Rawan",IF(AND(E1406&lt;=2,F1406&lt;=2),"Tidur","Umum"))))))</f>
        <v/>
      </c>
    </row>
    <row r="1407">
      <c r="B1407">
        <f>IF(A1407="","",$B$1-MAXIFS(Donasi!$A$2:$A$20000,Donasi!$B$2:$B$20000,A1407))</f>
        <v/>
      </c>
      <c r="C1407">
        <f>IF(A1407="","",COUNTIF(Donasi!$B$2:$B$20000,A1407))</f>
        <v/>
      </c>
      <c r="D1407">
        <f>IF(A1407="","",SUMIF(Donasi!$B$2:$B$20000,A1407,Donasi!$C$2:$C$20000))</f>
        <v/>
      </c>
      <c r="E1407">
        <f>IF(A1407="","",6-CEILING(PERCENTRANK.INC($B$3:$B$6000,B1407,4)*5+0.000001,1))</f>
        <v/>
      </c>
      <c r="F1407">
        <f>IF(A1407="","",MAX(1,CEILING(PERCENTRANK.INC($C$3:$C$6000,C1407,4)*5+0.000001,1)))</f>
        <v/>
      </c>
      <c r="G1407">
        <f>IF(A1407="","",MAX(1,CEILING(PERCENTRANK.INC($D$3:$D$6000,D1407,4)*5+0.000001,1)))</f>
        <v/>
      </c>
      <c r="H1407">
        <f>IF(A1407="","",E1407&amp;F1407&amp;G1407)</f>
        <v/>
      </c>
      <c r="I1407">
        <f>IF(A1407="","",IF(AND(E1407&gt;=4,F1407&gt;=4,G1407&gt;=4),"Juara",IF(AND(F1407&gt;=4,E1407&gt;=3),"Setia",IF(AND(E1407=5,F1407&lt;=2,G1407&gt;=3),"Berpotensi",IF(AND(E1407&lt;=3,E1407&gt;=2,F1407&gt;=3),"Rawan",IF(AND(E1407&lt;=2,F1407&lt;=2),"Tidur","Umum"))))))</f>
        <v/>
      </c>
    </row>
    <row r="1408">
      <c r="B1408">
        <f>IF(A1408="","",$B$1-MAXIFS(Donasi!$A$2:$A$20000,Donasi!$B$2:$B$20000,A1408))</f>
        <v/>
      </c>
      <c r="C1408">
        <f>IF(A1408="","",COUNTIF(Donasi!$B$2:$B$20000,A1408))</f>
        <v/>
      </c>
      <c r="D1408">
        <f>IF(A1408="","",SUMIF(Donasi!$B$2:$B$20000,A1408,Donasi!$C$2:$C$20000))</f>
        <v/>
      </c>
      <c r="E1408">
        <f>IF(A1408="","",6-CEILING(PERCENTRANK.INC($B$3:$B$6000,B1408,4)*5+0.000001,1))</f>
        <v/>
      </c>
      <c r="F1408">
        <f>IF(A1408="","",MAX(1,CEILING(PERCENTRANK.INC($C$3:$C$6000,C1408,4)*5+0.000001,1)))</f>
        <v/>
      </c>
      <c r="G1408">
        <f>IF(A1408="","",MAX(1,CEILING(PERCENTRANK.INC($D$3:$D$6000,D1408,4)*5+0.000001,1)))</f>
        <v/>
      </c>
      <c r="H1408">
        <f>IF(A1408="","",E1408&amp;F1408&amp;G1408)</f>
        <v/>
      </c>
      <c r="I1408">
        <f>IF(A1408="","",IF(AND(E1408&gt;=4,F1408&gt;=4,G1408&gt;=4),"Juara",IF(AND(F1408&gt;=4,E1408&gt;=3),"Setia",IF(AND(E1408=5,F1408&lt;=2,G1408&gt;=3),"Berpotensi",IF(AND(E1408&lt;=3,E1408&gt;=2,F1408&gt;=3),"Rawan",IF(AND(E1408&lt;=2,F1408&lt;=2),"Tidur","Umum"))))))</f>
        <v/>
      </c>
    </row>
    <row r="1409">
      <c r="B1409">
        <f>IF(A1409="","",$B$1-MAXIFS(Donasi!$A$2:$A$20000,Donasi!$B$2:$B$20000,A1409))</f>
        <v/>
      </c>
      <c r="C1409">
        <f>IF(A1409="","",COUNTIF(Donasi!$B$2:$B$20000,A1409))</f>
        <v/>
      </c>
      <c r="D1409">
        <f>IF(A1409="","",SUMIF(Donasi!$B$2:$B$20000,A1409,Donasi!$C$2:$C$20000))</f>
        <v/>
      </c>
      <c r="E1409">
        <f>IF(A1409="","",6-CEILING(PERCENTRANK.INC($B$3:$B$6000,B1409,4)*5+0.000001,1))</f>
        <v/>
      </c>
      <c r="F1409">
        <f>IF(A1409="","",MAX(1,CEILING(PERCENTRANK.INC($C$3:$C$6000,C1409,4)*5+0.000001,1)))</f>
        <v/>
      </c>
      <c r="G1409">
        <f>IF(A1409="","",MAX(1,CEILING(PERCENTRANK.INC($D$3:$D$6000,D1409,4)*5+0.000001,1)))</f>
        <v/>
      </c>
      <c r="H1409">
        <f>IF(A1409="","",E1409&amp;F1409&amp;G1409)</f>
        <v/>
      </c>
      <c r="I1409">
        <f>IF(A1409="","",IF(AND(E1409&gt;=4,F1409&gt;=4,G1409&gt;=4),"Juara",IF(AND(F1409&gt;=4,E1409&gt;=3),"Setia",IF(AND(E1409=5,F1409&lt;=2,G1409&gt;=3),"Berpotensi",IF(AND(E1409&lt;=3,E1409&gt;=2,F1409&gt;=3),"Rawan",IF(AND(E1409&lt;=2,F1409&lt;=2),"Tidur","Umum"))))))</f>
        <v/>
      </c>
    </row>
    <row r="1410">
      <c r="B1410">
        <f>IF(A1410="","",$B$1-MAXIFS(Donasi!$A$2:$A$20000,Donasi!$B$2:$B$20000,A1410))</f>
        <v/>
      </c>
      <c r="C1410">
        <f>IF(A1410="","",COUNTIF(Donasi!$B$2:$B$20000,A1410))</f>
        <v/>
      </c>
      <c r="D1410">
        <f>IF(A1410="","",SUMIF(Donasi!$B$2:$B$20000,A1410,Donasi!$C$2:$C$20000))</f>
        <v/>
      </c>
      <c r="E1410">
        <f>IF(A1410="","",6-CEILING(PERCENTRANK.INC($B$3:$B$6000,B1410,4)*5+0.000001,1))</f>
        <v/>
      </c>
      <c r="F1410">
        <f>IF(A1410="","",MAX(1,CEILING(PERCENTRANK.INC($C$3:$C$6000,C1410,4)*5+0.000001,1)))</f>
        <v/>
      </c>
      <c r="G1410">
        <f>IF(A1410="","",MAX(1,CEILING(PERCENTRANK.INC($D$3:$D$6000,D1410,4)*5+0.000001,1)))</f>
        <v/>
      </c>
      <c r="H1410">
        <f>IF(A1410="","",E1410&amp;F1410&amp;G1410)</f>
        <v/>
      </c>
      <c r="I1410">
        <f>IF(A1410="","",IF(AND(E1410&gt;=4,F1410&gt;=4,G1410&gt;=4),"Juara",IF(AND(F1410&gt;=4,E1410&gt;=3),"Setia",IF(AND(E1410=5,F1410&lt;=2,G1410&gt;=3),"Berpotensi",IF(AND(E1410&lt;=3,E1410&gt;=2,F1410&gt;=3),"Rawan",IF(AND(E1410&lt;=2,F1410&lt;=2),"Tidur","Umum"))))))</f>
        <v/>
      </c>
    </row>
    <row r="1411">
      <c r="B1411">
        <f>IF(A1411="","",$B$1-MAXIFS(Donasi!$A$2:$A$20000,Donasi!$B$2:$B$20000,A1411))</f>
        <v/>
      </c>
      <c r="C1411">
        <f>IF(A1411="","",COUNTIF(Donasi!$B$2:$B$20000,A1411))</f>
        <v/>
      </c>
      <c r="D1411">
        <f>IF(A1411="","",SUMIF(Donasi!$B$2:$B$20000,A1411,Donasi!$C$2:$C$20000))</f>
        <v/>
      </c>
      <c r="E1411">
        <f>IF(A1411="","",6-CEILING(PERCENTRANK.INC($B$3:$B$6000,B1411,4)*5+0.000001,1))</f>
        <v/>
      </c>
      <c r="F1411">
        <f>IF(A1411="","",MAX(1,CEILING(PERCENTRANK.INC($C$3:$C$6000,C1411,4)*5+0.000001,1)))</f>
        <v/>
      </c>
      <c r="G1411">
        <f>IF(A1411="","",MAX(1,CEILING(PERCENTRANK.INC($D$3:$D$6000,D1411,4)*5+0.000001,1)))</f>
        <v/>
      </c>
      <c r="H1411">
        <f>IF(A1411="","",E1411&amp;F1411&amp;G1411)</f>
        <v/>
      </c>
      <c r="I1411">
        <f>IF(A1411="","",IF(AND(E1411&gt;=4,F1411&gt;=4,G1411&gt;=4),"Juara",IF(AND(F1411&gt;=4,E1411&gt;=3),"Setia",IF(AND(E1411=5,F1411&lt;=2,G1411&gt;=3),"Berpotensi",IF(AND(E1411&lt;=3,E1411&gt;=2,F1411&gt;=3),"Rawan",IF(AND(E1411&lt;=2,F1411&lt;=2),"Tidur","Umum"))))))</f>
        <v/>
      </c>
    </row>
    <row r="1412">
      <c r="B1412">
        <f>IF(A1412="","",$B$1-MAXIFS(Donasi!$A$2:$A$20000,Donasi!$B$2:$B$20000,A1412))</f>
        <v/>
      </c>
      <c r="C1412">
        <f>IF(A1412="","",COUNTIF(Donasi!$B$2:$B$20000,A1412))</f>
        <v/>
      </c>
      <c r="D1412">
        <f>IF(A1412="","",SUMIF(Donasi!$B$2:$B$20000,A1412,Donasi!$C$2:$C$20000))</f>
        <v/>
      </c>
      <c r="E1412">
        <f>IF(A1412="","",6-CEILING(PERCENTRANK.INC($B$3:$B$6000,B1412,4)*5+0.000001,1))</f>
        <v/>
      </c>
      <c r="F1412">
        <f>IF(A1412="","",MAX(1,CEILING(PERCENTRANK.INC($C$3:$C$6000,C1412,4)*5+0.000001,1)))</f>
        <v/>
      </c>
      <c r="G1412">
        <f>IF(A1412="","",MAX(1,CEILING(PERCENTRANK.INC($D$3:$D$6000,D1412,4)*5+0.000001,1)))</f>
        <v/>
      </c>
      <c r="H1412">
        <f>IF(A1412="","",E1412&amp;F1412&amp;G1412)</f>
        <v/>
      </c>
      <c r="I1412">
        <f>IF(A1412="","",IF(AND(E1412&gt;=4,F1412&gt;=4,G1412&gt;=4),"Juara",IF(AND(F1412&gt;=4,E1412&gt;=3),"Setia",IF(AND(E1412=5,F1412&lt;=2,G1412&gt;=3),"Berpotensi",IF(AND(E1412&lt;=3,E1412&gt;=2,F1412&gt;=3),"Rawan",IF(AND(E1412&lt;=2,F1412&lt;=2),"Tidur","Umum"))))))</f>
        <v/>
      </c>
    </row>
    <row r="1413">
      <c r="B1413">
        <f>IF(A1413="","",$B$1-MAXIFS(Donasi!$A$2:$A$20000,Donasi!$B$2:$B$20000,A1413))</f>
        <v/>
      </c>
      <c r="C1413">
        <f>IF(A1413="","",COUNTIF(Donasi!$B$2:$B$20000,A1413))</f>
        <v/>
      </c>
      <c r="D1413">
        <f>IF(A1413="","",SUMIF(Donasi!$B$2:$B$20000,A1413,Donasi!$C$2:$C$20000))</f>
        <v/>
      </c>
      <c r="E1413">
        <f>IF(A1413="","",6-CEILING(PERCENTRANK.INC($B$3:$B$6000,B1413,4)*5+0.000001,1))</f>
        <v/>
      </c>
      <c r="F1413">
        <f>IF(A1413="","",MAX(1,CEILING(PERCENTRANK.INC($C$3:$C$6000,C1413,4)*5+0.000001,1)))</f>
        <v/>
      </c>
      <c r="G1413">
        <f>IF(A1413="","",MAX(1,CEILING(PERCENTRANK.INC($D$3:$D$6000,D1413,4)*5+0.000001,1)))</f>
        <v/>
      </c>
      <c r="H1413">
        <f>IF(A1413="","",E1413&amp;F1413&amp;G1413)</f>
        <v/>
      </c>
      <c r="I1413">
        <f>IF(A1413="","",IF(AND(E1413&gt;=4,F1413&gt;=4,G1413&gt;=4),"Juara",IF(AND(F1413&gt;=4,E1413&gt;=3),"Setia",IF(AND(E1413=5,F1413&lt;=2,G1413&gt;=3),"Berpotensi",IF(AND(E1413&lt;=3,E1413&gt;=2,F1413&gt;=3),"Rawan",IF(AND(E1413&lt;=2,F1413&lt;=2),"Tidur","Umum"))))))</f>
        <v/>
      </c>
    </row>
    <row r="1414">
      <c r="B1414">
        <f>IF(A1414="","",$B$1-MAXIFS(Donasi!$A$2:$A$20000,Donasi!$B$2:$B$20000,A1414))</f>
        <v/>
      </c>
      <c r="C1414">
        <f>IF(A1414="","",COUNTIF(Donasi!$B$2:$B$20000,A1414))</f>
        <v/>
      </c>
      <c r="D1414">
        <f>IF(A1414="","",SUMIF(Donasi!$B$2:$B$20000,A1414,Donasi!$C$2:$C$20000))</f>
        <v/>
      </c>
      <c r="E1414">
        <f>IF(A1414="","",6-CEILING(PERCENTRANK.INC($B$3:$B$6000,B1414,4)*5+0.000001,1))</f>
        <v/>
      </c>
      <c r="F1414">
        <f>IF(A1414="","",MAX(1,CEILING(PERCENTRANK.INC($C$3:$C$6000,C1414,4)*5+0.000001,1)))</f>
        <v/>
      </c>
      <c r="G1414">
        <f>IF(A1414="","",MAX(1,CEILING(PERCENTRANK.INC($D$3:$D$6000,D1414,4)*5+0.000001,1)))</f>
        <v/>
      </c>
      <c r="H1414">
        <f>IF(A1414="","",E1414&amp;F1414&amp;G1414)</f>
        <v/>
      </c>
      <c r="I1414">
        <f>IF(A1414="","",IF(AND(E1414&gt;=4,F1414&gt;=4,G1414&gt;=4),"Juara",IF(AND(F1414&gt;=4,E1414&gt;=3),"Setia",IF(AND(E1414=5,F1414&lt;=2,G1414&gt;=3),"Berpotensi",IF(AND(E1414&lt;=3,E1414&gt;=2,F1414&gt;=3),"Rawan",IF(AND(E1414&lt;=2,F1414&lt;=2),"Tidur","Umum"))))))</f>
        <v/>
      </c>
    </row>
    <row r="1415">
      <c r="B1415">
        <f>IF(A1415="","",$B$1-MAXIFS(Donasi!$A$2:$A$20000,Donasi!$B$2:$B$20000,A1415))</f>
        <v/>
      </c>
      <c r="C1415">
        <f>IF(A1415="","",COUNTIF(Donasi!$B$2:$B$20000,A1415))</f>
        <v/>
      </c>
      <c r="D1415">
        <f>IF(A1415="","",SUMIF(Donasi!$B$2:$B$20000,A1415,Donasi!$C$2:$C$20000))</f>
        <v/>
      </c>
      <c r="E1415">
        <f>IF(A1415="","",6-CEILING(PERCENTRANK.INC($B$3:$B$6000,B1415,4)*5+0.000001,1))</f>
        <v/>
      </c>
      <c r="F1415">
        <f>IF(A1415="","",MAX(1,CEILING(PERCENTRANK.INC($C$3:$C$6000,C1415,4)*5+0.000001,1)))</f>
        <v/>
      </c>
      <c r="G1415">
        <f>IF(A1415="","",MAX(1,CEILING(PERCENTRANK.INC($D$3:$D$6000,D1415,4)*5+0.000001,1)))</f>
        <v/>
      </c>
      <c r="H1415">
        <f>IF(A1415="","",E1415&amp;F1415&amp;G1415)</f>
        <v/>
      </c>
      <c r="I1415">
        <f>IF(A1415="","",IF(AND(E1415&gt;=4,F1415&gt;=4,G1415&gt;=4),"Juara",IF(AND(F1415&gt;=4,E1415&gt;=3),"Setia",IF(AND(E1415=5,F1415&lt;=2,G1415&gt;=3),"Berpotensi",IF(AND(E1415&lt;=3,E1415&gt;=2,F1415&gt;=3),"Rawan",IF(AND(E1415&lt;=2,F1415&lt;=2),"Tidur","Umum"))))))</f>
        <v/>
      </c>
    </row>
    <row r="1416">
      <c r="B1416">
        <f>IF(A1416="","",$B$1-MAXIFS(Donasi!$A$2:$A$20000,Donasi!$B$2:$B$20000,A1416))</f>
        <v/>
      </c>
      <c r="C1416">
        <f>IF(A1416="","",COUNTIF(Donasi!$B$2:$B$20000,A1416))</f>
        <v/>
      </c>
      <c r="D1416">
        <f>IF(A1416="","",SUMIF(Donasi!$B$2:$B$20000,A1416,Donasi!$C$2:$C$20000))</f>
        <v/>
      </c>
      <c r="E1416">
        <f>IF(A1416="","",6-CEILING(PERCENTRANK.INC($B$3:$B$6000,B1416,4)*5+0.000001,1))</f>
        <v/>
      </c>
      <c r="F1416">
        <f>IF(A1416="","",MAX(1,CEILING(PERCENTRANK.INC($C$3:$C$6000,C1416,4)*5+0.000001,1)))</f>
        <v/>
      </c>
      <c r="G1416">
        <f>IF(A1416="","",MAX(1,CEILING(PERCENTRANK.INC($D$3:$D$6000,D1416,4)*5+0.000001,1)))</f>
        <v/>
      </c>
      <c r="H1416">
        <f>IF(A1416="","",E1416&amp;F1416&amp;G1416)</f>
        <v/>
      </c>
      <c r="I1416">
        <f>IF(A1416="","",IF(AND(E1416&gt;=4,F1416&gt;=4,G1416&gt;=4),"Juara",IF(AND(F1416&gt;=4,E1416&gt;=3),"Setia",IF(AND(E1416=5,F1416&lt;=2,G1416&gt;=3),"Berpotensi",IF(AND(E1416&lt;=3,E1416&gt;=2,F1416&gt;=3),"Rawan",IF(AND(E1416&lt;=2,F1416&lt;=2),"Tidur","Umum"))))))</f>
        <v/>
      </c>
    </row>
    <row r="1417">
      <c r="B1417">
        <f>IF(A1417="","",$B$1-MAXIFS(Donasi!$A$2:$A$20000,Donasi!$B$2:$B$20000,A1417))</f>
        <v/>
      </c>
      <c r="C1417">
        <f>IF(A1417="","",COUNTIF(Donasi!$B$2:$B$20000,A1417))</f>
        <v/>
      </c>
      <c r="D1417">
        <f>IF(A1417="","",SUMIF(Donasi!$B$2:$B$20000,A1417,Donasi!$C$2:$C$20000))</f>
        <v/>
      </c>
      <c r="E1417">
        <f>IF(A1417="","",6-CEILING(PERCENTRANK.INC($B$3:$B$6000,B1417,4)*5+0.000001,1))</f>
        <v/>
      </c>
      <c r="F1417">
        <f>IF(A1417="","",MAX(1,CEILING(PERCENTRANK.INC($C$3:$C$6000,C1417,4)*5+0.000001,1)))</f>
        <v/>
      </c>
      <c r="G1417">
        <f>IF(A1417="","",MAX(1,CEILING(PERCENTRANK.INC($D$3:$D$6000,D1417,4)*5+0.000001,1)))</f>
        <v/>
      </c>
      <c r="H1417">
        <f>IF(A1417="","",E1417&amp;F1417&amp;G1417)</f>
        <v/>
      </c>
      <c r="I1417">
        <f>IF(A1417="","",IF(AND(E1417&gt;=4,F1417&gt;=4,G1417&gt;=4),"Juara",IF(AND(F1417&gt;=4,E1417&gt;=3),"Setia",IF(AND(E1417=5,F1417&lt;=2,G1417&gt;=3),"Berpotensi",IF(AND(E1417&lt;=3,E1417&gt;=2,F1417&gt;=3),"Rawan",IF(AND(E1417&lt;=2,F1417&lt;=2),"Tidur","Umum"))))))</f>
        <v/>
      </c>
    </row>
    <row r="1418">
      <c r="B1418">
        <f>IF(A1418="","",$B$1-MAXIFS(Donasi!$A$2:$A$20000,Donasi!$B$2:$B$20000,A1418))</f>
        <v/>
      </c>
      <c r="C1418">
        <f>IF(A1418="","",COUNTIF(Donasi!$B$2:$B$20000,A1418))</f>
        <v/>
      </c>
      <c r="D1418">
        <f>IF(A1418="","",SUMIF(Donasi!$B$2:$B$20000,A1418,Donasi!$C$2:$C$20000))</f>
        <v/>
      </c>
      <c r="E1418">
        <f>IF(A1418="","",6-CEILING(PERCENTRANK.INC($B$3:$B$6000,B1418,4)*5+0.000001,1))</f>
        <v/>
      </c>
      <c r="F1418">
        <f>IF(A1418="","",MAX(1,CEILING(PERCENTRANK.INC($C$3:$C$6000,C1418,4)*5+0.000001,1)))</f>
        <v/>
      </c>
      <c r="G1418">
        <f>IF(A1418="","",MAX(1,CEILING(PERCENTRANK.INC($D$3:$D$6000,D1418,4)*5+0.000001,1)))</f>
        <v/>
      </c>
      <c r="H1418">
        <f>IF(A1418="","",E1418&amp;F1418&amp;G1418)</f>
        <v/>
      </c>
      <c r="I1418">
        <f>IF(A1418="","",IF(AND(E1418&gt;=4,F1418&gt;=4,G1418&gt;=4),"Juara",IF(AND(F1418&gt;=4,E1418&gt;=3),"Setia",IF(AND(E1418=5,F1418&lt;=2,G1418&gt;=3),"Berpotensi",IF(AND(E1418&lt;=3,E1418&gt;=2,F1418&gt;=3),"Rawan",IF(AND(E1418&lt;=2,F1418&lt;=2),"Tidur","Umum"))))))</f>
        <v/>
      </c>
    </row>
    <row r="1419">
      <c r="B1419">
        <f>IF(A1419="","",$B$1-MAXIFS(Donasi!$A$2:$A$20000,Donasi!$B$2:$B$20000,A1419))</f>
        <v/>
      </c>
      <c r="C1419">
        <f>IF(A1419="","",COUNTIF(Donasi!$B$2:$B$20000,A1419))</f>
        <v/>
      </c>
      <c r="D1419">
        <f>IF(A1419="","",SUMIF(Donasi!$B$2:$B$20000,A1419,Donasi!$C$2:$C$20000))</f>
        <v/>
      </c>
      <c r="E1419">
        <f>IF(A1419="","",6-CEILING(PERCENTRANK.INC($B$3:$B$6000,B1419,4)*5+0.000001,1))</f>
        <v/>
      </c>
      <c r="F1419">
        <f>IF(A1419="","",MAX(1,CEILING(PERCENTRANK.INC($C$3:$C$6000,C1419,4)*5+0.000001,1)))</f>
        <v/>
      </c>
      <c r="G1419">
        <f>IF(A1419="","",MAX(1,CEILING(PERCENTRANK.INC($D$3:$D$6000,D1419,4)*5+0.000001,1)))</f>
        <v/>
      </c>
      <c r="H1419">
        <f>IF(A1419="","",E1419&amp;F1419&amp;G1419)</f>
        <v/>
      </c>
      <c r="I1419">
        <f>IF(A1419="","",IF(AND(E1419&gt;=4,F1419&gt;=4,G1419&gt;=4),"Juara",IF(AND(F1419&gt;=4,E1419&gt;=3),"Setia",IF(AND(E1419=5,F1419&lt;=2,G1419&gt;=3),"Berpotensi",IF(AND(E1419&lt;=3,E1419&gt;=2,F1419&gt;=3),"Rawan",IF(AND(E1419&lt;=2,F1419&lt;=2),"Tidur","Umum"))))))</f>
        <v/>
      </c>
    </row>
    <row r="1420">
      <c r="B1420">
        <f>IF(A1420="","",$B$1-MAXIFS(Donasi!$A$2:$A$20000,Donasi!$B$2:$B$20000,A1420))</f>
        <v/>
      </c>
      <c r="C1420">
        <f>IF(A1420="","",COUNTIF(Donasi!$B$2:$B$20000,A1420))</f>
        <v/>
      </c>
      <c r="D1420">
        <f>IF(A1420="","",SUMIF(Donasi!$B$2:$B$20000,A1420,Donasi!$C$2:$C$20000))</f>
        <v/>
      </c>
      <c r="E1420">
        <f>IF(A1420="","",6-CEILING(PERCENTRANK.INC($B$3:$B$6000,B1420,4)*5+0.000001,1))</f>
        <v/>
      </c>
      <c r="F1420">
        <f>IF(A1420="","",MAX(1,CEILING(PERCENTRANK.INC($C$3:$C$6000,C1420,4)*5+0.000001,1)))</f>
        <v/>
      </c>
      <c r="G1420">
        <f>IF(A1420="","",MAX(1,CEILING(PERCENTRANK.INC($D$3:$D$6000,D1420,4)*5+0.000001,1)))</f>
        <v/>
      </c>
      <c r="H1420">
        <f>IF(A1420="","",E1420&amp;F1420&amp;G1420)</f>
        <v/>
      </c>
      <c r="I1420">
        <f>IF(A1420="","",IF(AND(E1420&gt;=4,F1420&gt;=4,G1420&gt;=4),"Juara",IF(AND(F1420&gt;=4,E1420&gt;=3),"Setia",IF(AND(E1420=5,F1420&lt;=2,G1420&gt;=3),"Berpotensi",IF(AND(E1420&lt;=3,E1420&gt;=2,F1420&gt;=3),"Rawan",IF(AND(E1420&lt;=2,F1420&lt;=2),"Tidur","Umum"))))))</f>
        <v/>
      </c>
    </row>
    <row r="1421">
      <c r="B1421">
        <f>IF(A1421="","",$B$1-MAXIFS(Donasi!$A$2:$A$20000,Donasi!$B$2:$B$20000,A1421))</f>
        <v/>
      </c>
      <c r="C1421">
        <f>IF(A1421="","",COUNTIF(Donasi!$B$2:$B$20000,A1421))</f>
        <v/>
      </c>
      <c r="D1421">
        <f>IF(A1421="","",SUMIF(Donasi!$B$2:$B$20000,A1421,Donasi!$C$2:$C$20000))</f>
        <v/>
      </c>
      <c r="E1421">
        <f>IF(A1421="","",6-CEILING(PERCENTRANK.INC($B$3:$B$6000,B1421,4)*5+0.000001,1))</f>
        <v/>
      </c>
      <c r="F1421">
        <f>IF(A1421="","",MAX(1,CEILING(PERCENTRANK.INC($C$3:$C$6000,C1421,4)*5+0.000001,1)))</f>
        <v/>
      </c>
      <c r="G1421">
        <f>IF(A1421="","",MAX(1,CEILING(PERCENTRANK.INC($D$3:$D$6000,D1421,4)*5+0.000001,1)))</f>
        <v/>
      </c>
      <c r="H1421">
        <f>IF(A1421="","",E1421&amp;F1421&amp;G1421)</f>
        <v/>
      </c>
      <c r="I1421">
        <f>IF(A1421="","",IF(AND(E1421&gt;=4,F1421&gt;=4,G1421&gt;=4),"Juara",IF(AND(F1421&gt;=4,E1421&gt;=3),"Setia",IF(AND(E1421=5,F1421&lt;=2,G1421&gt;=3),"Berpotensi",IF(AND(E1421&lt;=3,E1421&gt;=2,F1421&gt;=3),"Rawan",IF(AND(E1421&lt;=2,F1421&lt;=2),"Tidur","Umum"))))))</f>
        <v/>
      </c>
    </row>
    <row r="1422">
      <c r="B1422">
        <f>IF(A1422="","",$B$1-MAXIFS(Donasi!$A$2:$A$20000,Donasi!$B$2:$B$20000,A1422))</f>
        <v/>
      </c>
      <c r="C1422">
        <f>IF(A1422="","",COUNTIF(Donasi!$B$2:$B$20000,A1422))</f>
        <v/>
      </c>
      <c r="D1422">
        <f>IF(A1422="","",SUMIF(Donasi!$B$2:$B$20000,A1422,Donasi!$C$2:$C$20000))</f>
        <v/>
      </c>
      <c r="E1422">
        <f>IF(A1422="","",6-CEILING(PERCENTRANK.INC($B$3:$B$6000,B1422,4)*5+0.000001,1))</f>
        <v/>
      </c>
      <c r="F1422">
        <f>IF(A1422="","",MAX(1,CEILING(PERCENTRANK.INC($C$3:$C$6000,C1422,4)*5+0.000001,1)))</f>
        <v/>
      </c>
      <c r="G1422">
        <f>IF(A1422="","",MAX(1,CEILING(PERCENTRANK.INC($D$3:$D$6000,D1422,4)*5+0.000001,1)))</f>
        <v/>
      </c>
      <c r="H1422">
        <f>IF(A1422="","",E1422&amp;F1422&amp;G1422)</f>
        <v/>
      </c>
      <c r="I1422">
        <f>IF(A1422="","",IF(AND(E1422&gt;=4,F1422&gt;=4,G1422&gt;=4),"Juara",IF(AND(F1422&gt;=4,E1422&gt;=3),"Setia",IF(AND(E1422=5,F1422&lt;=2,G1422&gt;=3),"Berpotensi",IF(AND(E1422&lt;=3,E1422&gt;=2,F1422&gt;=3),"Rawan",IF(AND(E1422&lt;=2,F1422&lt;=2),"Tidur","Umum"))))))</f>
        <v/>
      </c>
    </row>
    <row r="1423">
      <c r="B1423">
        <f>IF(A1423="","",$B$1-MAXIFS(Donasi!$A$2:$A$20000,Donasi!$B$2:$B$20000,A1423))</f>
        <v/>
      </c>
      <c r="C1423">
        <f>IF(A1423="","",COUNTIF(Donasi!$B$2:$B$20000,A1423))</f>
        <v/>
      </c>
      <c r="D1423">
        <f>IF(A1423="","",SUMIF(Donasi!$B$2:$B$20000,A1423,Donasi!$C$2:$C$20000))</f>
        <v/>
      </c>
      <c r="E1423">
        <f>IF(A1423="","",6-CEILING(PERCENTRANK.INC($B$3:$B$6000,B1423,4)*5+0.000001,1))</f>
        <v/>
      </c>
      <c r="F1423">
        <f>IF(A1423="","",MAX(1,CEILING(PERCENTRANK.INC($C$3:$C$6000,C1423,4)*5+0.000001,1)))</f>
        <v/>
      </c>
      <c r="G1423">
        <f>IF(A1423="","",MAX(1,CEILING(PERCENTRANK.INC($D$3:$D$6000,D1423,4)*5+0.000001,1)))</f>
        <v/>
      </c>
      <c r="H1423">
        <f>IF(A1423="","",E1423&amp;F1423&amp;G1423)</f>
        <v/>
      </c>
      <c r="I1423">
        <f>IF(A1423="","",IF(AND(E1423&gt;=4,F1423&gt;=4,G1423&gt;=4),"Juara",IF(AND(F1423&gt;=4,E1423&gt;=3),"Setia",IF(AND(E1423=5,F1423&lt;=2,G1423&gt;=3),"Berpotensi",IF(AND(E1423&lt;=3,E1423&gt;=2,F1423&gt;=3),"Rawan",IF(AND(E1423&lt;=2,F1423&lt;=2),"Tidur","Umum"))))))</f>
        <v/>
      </c>
    </row>
    <row r="1424">
      <c r="B1424">
        <f>IF(A1424="","",$B$1-MAXIFS(Donasi!$A$2:$A$20000,Donasi!$B$2:$B$20000,A1424))</f>
        <v/>
      </c>
      <c r="C1424">
        <f>IF(A1424="","",COUNTIF(Donasi!$B$2:$B$20000,A1424))</f>
        <v/>
      </c>
      <c r="D1424">
        <f>IF(A1424="","",SUMIF(Donasi!$B$2:$B$20000,A1424,Donasi!$C$2:$C$20000))</f>
        <v/>
      </c>
      <c r="E1424">
        <f>IF(A1424="","",6-CEILING(PERCENTRANK.INC($B$3:$B$6000,B1424,4)*5+0.000001,1))</f>
        <v/>
      </c>
      <c r="F1424">
        <f>IF(A1424="","",MAX(1,CEILING(PERCENTRANK.INC($C$3:$C$6000,C1424,4)*5+0.000001,1)))</f>
        <v/>
      </c>
      <c r="G1424">
        <f>IF(A1424="","",MAX(1,CEILING(PERCENTRANK.INC($D$3:$D$6000,D1424,4)*5+0.000001,1)))</f>
        <v/>
      </c>
      <c r="H1424">
        <f>IF(A1424="","",E1424&amp;F1424&amp;G1424)</f>
        <v/>
      </c>
      <c r="I1424">
        <f>IF(A1424="","",IF(AND(E1424&gt;=4,F1424&gt;=4,G1424&gt;=4),"Juara",IF(AND(F1424&gt;=4,E1424&gt;=3),"Setia",IF(AND(E1424=5,F1424&lt;=2,G1424&gt;=3),"Berpotensi",IF(AND(E1424&lt;=3,E1424&gt;=2,F1424&gt;=3),"Rawan",IF(AND(E1424&lt;=2,F1424&lt;=2),"Tidur","Umum"))))))</f>
        <v/>
      </c>
    </row>
    <row r="1425">
      <c r="B1425">
        <f>IF(A1425="","",$B$1-MAXIFS(Donasi!$A$2:$A$20000,Donasi!$B$2:$B$20000,A1425))</f>
        <v/>
      </c>
      <c r="C1425">
        <f>IF(A1425="","",COUNTIF(Donasi!$B$2:$B$20000,A1425))</f>
        <v/>
      </c>
      <c r="D1425">
        <f>IF(A1425="","",SUMIF(Donasi!$B$2:$B$20000,A1425,Donasi!$C$2:$C$20000))</f>
        <v/>
      </c>
      <c r="E1425">
        <f>IF(A1425="","",6-CEILING(PERCENTRANK.INC($B$3:$B$6000,B1425,4)*5+0.000001,1))</f>
        <v/>
      </c>
      <c r="F1425">
        <f>IF(A1425="","",MAX(1,CEILING(PERCENTRANK.INC($C$3:$C$6000,C1425,4)*5+0.000001,1)))</f>
        <v/>
      </c>
      <c r="G1425">
        <f>IF(A1425="","",MAX(1,CEILING(PERCENTRANK.INC($D$3:$D$6000,D1425,4)*5+0.000001,1)))</f>
        <v/>
      </c>
      <c r="H1425">
        <f>IF(A1425="","",E1425&amp;F1425&amp;G1425)</f>
        <v/>
      </c>
      <c r="I1425">
        <f>IF(A1425="","",IF(AND(E1425&gt;=4,F1425&gt;=4,G1425&gt;=4),"Juara",IF(AND(F1425&gt;=4,E1425&gt;=3),"Setia",IF(AND(E1425=5,F1425&lt;=2,G1425&gt;=3),"Berpotensi",IF(AND(E1425&lt;=3,E1425&gt;=2,F1425&gt;=3),"Rawan",IF(AND(E1425&lt;=2,F1425&lt;=2),"Tidur","Umum"))))))</f>
        <v/>
      </c>
    </row>
    <row r="1426">
      <c r="B1426">
        <f>IF(A1426="","",$B$1-MAXIFS(Donasi!$A$2:$A$20000,Donasi!$B$2:$B$20000,A1426))</f>
        <v/>
      </c>
      <c r="C1426">
        <f>IF(A1426="","",COUNTIF(Donasi!$B$2:$B$20000,A1426))</f>
        <v/>
      </c>
      <c r="D1426">
        <f>IF(A1426="","",SUMIF(Donasi!$B$2:$B$20000,A1426,Donasi!$C$2:$C$20000))</f>
        <v/>
      </c>
      <c r="E1426">
        <f>IF(A1426="","",6-CEILING(PERCENTRANK.INC($B$3:$B$6000,B1426,4)*5+0.000001,1))</f>
        <v/>
      </c>
      <c r="F1426">
        <f>IF(A1426="","",MAX(1,CEILING(PERCENTRANK.INC($C$3:$C$6000,C1426,4)*5+0.000001,1)))</f>
        <v/>
      </c>
      <c r="G1426">
        <f>IF(A1426="","",MAX(1,CEILING(PERCENTRANK.INC($D$3:$D$6000,D1426,4)*5+0.000001,1)))</f>
        <v/>
      </c>
      <c r="H1426">
        <f>IF(A1426="","",E1426&amp;F1426&amp;G1426)</f>
        <v/>
      </c>
      <c r="I1426">
        <f>IF(A1426="","",IF(AND(E1426&gt;=4,F1426&gt;=4,G1426&gt;=4),"Juara",IF(AND(F1426&gt;=4,E1426&gt;=3),"Setia",IF(AND(E1426=5,F1426&lt;=2,G1426&gt;=3),"Berpotensi",IF(AND(E1426&lt;=3,E1426&gt;=2,F1426&gt;=3),"Rawan",IF(AND(E1426&lt;=2,F1426&lt;=2),"Tidur","Umum"))))))</f>
        <v/>
      </c>
    </row>
    <row r="1427">
      <c r="B1427">
        <f>IF(A1427="","",$B$1-MAXIFS(Donasi!$A$2:$A$20000,Donasi!$B$2:$B$20000,A1427))</f>
        <v/>
      </c>
      <c r="C1427">
        <f>IF(A1427="","",COUNTIF(Donasi!$B$2:$B$20000,A1427))</f>
        <v/>
      </c>
      <c r="D1427">
        <f>IF(A1427="","",SUMIF(Donasi!$B$2:$B$20000,A1427,Donasi!$C$2:$C$20000))</f>
        <v/>
      </c>
      <c r="E1427">
        <f>IF(A1427="","",6-CEILING(PERCENTRANK.INC($B$3:$B$6000,B1427,4)*5+0.000001,1))</f>
        <v/>
      </c>
      <c r="F1427">
        <f>IF(A1427="","",MAX(1,CEILING(PERCENTRANK.INC($C$3:$C$6000,C1427,4)*5+0.000001,1)))</f>
        <v/>
      </c>
      <c r="G1427">
        <f>IF(A1427="","",MAX(1,CEILING(PERCENTRANK.INC($D$3:$D$6000,D1427,4)*5+0.000001,1)))</f>
        <v/>
      </c>
      <c r="H1427">
        <f>IF(A1427="","",E1427&amp;F1427&amp;G1427)</f>
        <v/>
      </c>
      <c r="I1427">
        <f>IF(A1427="","",IF(AND(E1427&gt;=4,F1427&gt;=4,G1427&gt;=4),"Juara",IF(AND(F1427&gt;=4,E1427&gt;=3),"Setia",IF(AND(E1427=5,F1427&lt;=2,G1427&gt;=3),"Berpotensi",IF(AND(E1427&lt;=3,E1427&gt;=2,F1427&gt;=3),"Rawan",IF(AND(E1427&lt;=2,F1427&lt;=2),"Tidur","Umum"))))))</f>
        <v/>
      </c>
    </row>
    <row r="1428">
      <c r="B1428">
        <f>IF(A1428="","",$B$1-MAXIFS(Donasi!$A$2:$A$20000,Donasi!$B$2:$B$20000,A1428))</f>
        <v/>
      </c>
      <c r="C1428">
        <f>IF(A1428="","",COUNTIF(Donasi!$B$2:$B$20000,A1428))</f>
        <v/>
      </c>
      <c r="D1428">
        <f>IF(A1428="","",SUMIF(Donasi!$B$2:$B$20000,A1428,Donasi!$C$2:$C$20000))</f>
        <v/>
      </c>
      <c r="E1428">
        <f>IF(A1428="","",6-CEILING(PERCENTRANK.INC($B$3:$B$6000,B1428,4)*5+0.000001,1))</f>
        <v/>
      </c>
      <c r="F1428">
        <f>IF(A1428="","",MAX(1,CEILING(PERCENTRANK.INC($C$3:$C$6000,C1428,4)*5+0.000001,1)))</f>
        <v/>
      </c>
      <c r="G1428">
        <f>IF(A1428="","",MAX(1,CEILING(PERCENTRANK.INC($D$3:$D$6000,D1428,4)*5+0.000001,1)))</f>
        <v/>
      </c>
      <c r="H1428">
        <f>IF(A1428="","",E1428&amp;F1428&amp;G1428)</f>
        <v/>
      </c>
      <c r="I1428">
        <f>IF(A1428="","",IF(AND(E1428&gt;=4,F1428&gt;=4,G1428&gt;=4),"Juara",IF(AND(F1428&gt;=4,E1428&gt;=3),"Setia",IF(AND(E1428=5,F1428&lt;=2,G1428&gt;=3),"Berpotensi",IF(AND(E1428&lt;=3,E1428&gt;=2,F1428&gt;=3),"Rawan",IF(AND(E1428&lt;=2,F1428&lt;=2),"Tidur","Umum"))))))</f>
        <v/>
      </c>
    </row>
    <row r="1429">
      <c r="B1429">
        <f>IF(A1429="","",$B$1-MAXIFS(Donasi!$A$2:$A$20000,Donasi!$B$2:$B$20000,A1429))</f>
        <v/>
      </c>
      <c r="C1429">
        <f>IF(A1429="","",COUNTIF(Donasi!$B$2:$B$20000,A1429))</f>
        <v/>
      </c>
      <c r="D1429">
        <f>IF(A1429="","",SUMIF(Donasi!$B$2:$B$20000,A1429,Donasi!$C$2:$C$20000))</f>
        <v/>
      </c>
      <c r="E1429">
        <f>IF(A1429="","",6-CEILING(PERCENTRANK.INC($B$3:$B$6000,B1429,4)*5+0.000001,1))</f>
        <v/>
      </c>
      <c r="F1429">
        <f>IF(A1429="","",MAX(1,CEILING(PERCENTRANK.INC($C$3:$C$6000,C1429,4)*5+0.000001,1)))</f>
        <v/>
      </c>
      <c r="G1429">
        <f>IF(A1429="","",MAX(1,CEILING(PERCENTRANK.INC($D$3:$D$6000,D1429,4)*5+0.000001,1)))</f>
        <v/>
      </c>
      <c r="H1429">
        <f>IF(A1429="","",E1429&amp;F1429&amp;G1429)</f>
        <v/>
      </c>
      <c r="I1429">
        <f>IF(A1429="","",IF(AND(E1429&gt;=4,F1429&gt;=4,G1429&gt;=4),"Juara",IF(AND(F1429&gt;=4,E1429&gt;=3),"Setia",IF(AND(E1429=5,F1429&lt;=2,G1429&gt;=3),"Berpotensi",IF(AND(E1429&lt;=3,E1429&gt;=2,F1429&gt;=3),"Rawan",IF(AND(E1429&lt;=2,F1429&lt;=2),"Tidur","Umum"))))))</f>
        <v/>
      </c>
    </row>
    <row r="1430">
      <c r="B1430">
        <f>IF(A1430="","",$B$1-MAXIFS(Donasi!$A$2:$A$20000,Donasi!$B$2:$B$20000,A1430))</f>
        <v/>
      </c>
      <c r="C1430">
        <f>IF(A1430="","",COUNTIF(Donasi!$B$2:$B$20000,A1430))</f>
        <v/>
      </c>
      <c r="D1430">
        <f>IF(A1430="","",SUMIF(Donasi!$B$2:$B$20000,A1430,Donasi!$C$2:$C$20000))</f>
        <v/>
      </c>
      <c r="E1430">
        <f>IF(A1430="","",6-CEILING(PERCENTRANK.INC($B$3:$B$6000,B1430,4)*5+0.000001,1))</f>
        <v/>
      </c>
      <c r="F1430">
        <f>IF(A1430="","",MAX(1,CEILING(PERCENTRANK.INC($C$3:$C$6000,C1430,4)*5+0.000001,1)))</f>
        <v/>
      </c>
      <c r="G1430">
        <f>IF(A1430="","",MAX(1,CEILING(PERCENTRANK.INC($D$3:$D$6000,D1430,4)*5+0.000001,1)))</f>
        <v/>
      </c>
      <c r="H1430">
        <f>IF(A1430="","",E1430&amp;F1430&amp;G1430)</f>
        <v/>
      </c>
      <c r="I1430">
        <f>IF(A1430="","",IF(AND(E1430&gt;=4,F1430&gt;=4,G1430&gt;=4),"Juara",IF(AND(F1430&gt;=4,E1430&gt;=3),"Setia",IF(AND(E1430=5,F1430&lt;=2,G1430&gt;=3),"Berpotensi",IF(AND(E1430&lt;=3,E1430&gt;=2,F1430&gt;=3),"Rawan",IF(AND(E1430&lt;=2,F1430&lt;=2),"Tidur","Umum"))))))</f>
        <v/>
      </c>
    </row>
    <row r="1431">
      <c r="B1431">
        <f>IF(A1431="","",$B$1-MAXIFS(Donasi!$A$2:$A$20000,Donasi!$B$2:$B$20000,A1431))</f>
        <v/>
      </c>
      <c r="C1431">
        <f>IF(A1431="","",COUNTIF(Donasi!$B$2:$B$20000,A1431))</f>
        <v/>
      </c>
      <c r="D1431">
        <f>IF(A1431="","",SUMIF(Donasi!$B$2:$B$20000,A1431,Donasi!$C$2:$C$20000))</f>
        <v/>
      </c>
      <c r="E1431">
        <f>IF(A1431="","",6-CEILING(PERCENTRANK.INC($B$3:$B$6000,B1431,4)*5+0.000001,1))</f>
        <v/>
      </c>
      <c r="F1431">
        <f>IF(A1431="","",MAX(1,CEILING(PERCENTRANK.INC($C$3:$C$6000,C1431,4)*5+0.000001,1)))</f>
        <v/>
      </c>
      <c r="G1431">
        <f>IF(A1431="","",MAX(1,CEILING(PERCENTRANK.INC($D$3:$D$6000,D1431,4)*5+0.000001,1)))</f>
        <v/>
      </c>
      <c r="H1431">
        <f>IF(A1431="","",E1431&amp;F1431&amp;G1431)</f>
        <v/>
      </c>
      <c r="I1431">
        <f>IF(A1431="","",IF(AND(E1431&gt;=4,F1431&gt;=4,G1431&gt;=4),"Juara",IF(AND(F1431&gt;=4,E1431&gt;=3),"Setia",IF(AND(E1431=5,F1431&lt;=2,G1431&gt;=3),"Berpotensi",IF(AND(E1431&lt;=3,E1431&gt;=2,F1431&gt;=3),"Rawan",IF(AND(E1431&lt;=2,F1431&lt;=2),"Tidur","Umum"))))))</f>
        <v/>
      </c>
    </row>
    <row r="1432">
      <c r="B1432">
        <f>IF(A1432="","",$B$1-MAXIFS(Donasi!$A$2:$A$20000,Donasi!$B$2:$B$20000,A1432))</f>
        <v/>
      </c>
      <c r="C1432">
        <f>IF(A1432="","",COUNTIF(Donasi!$B$2:$B$20000,A1432))</f>
        <v/>
      </c>
      <c r="D1432">
        <f>IF(A1432="","",SUMIF(Donasi!$B$2:$B$20000,A1432,Donasi!$C$2:$C$20000))</f>
        <v/>
      </c>
      <c r="E1432">
        <f>IF(A1432="","",6-CEILING(PERCENTRANK.INC($B$3:$B$6000,B1432,4)*5+0.000001,1))</f>
        <v/>
      </c>
      <c r="F1432">
        <f>IF(A1432="","",MAX(1,CEILING(PERCENTRANK.INC($C$3:$C$6000,C1432,4)*5+0.000001,1)))</f>
        <v/>
      </c>
      <c r="G1432">
        <f>IF(A1432="","",MAX(1,CEILING(PERCENTRANK.INC($D$3:$D$6000,D1432,4)*5+0.000001,1)))</f>
        <v/>
      </c>
      <c r="H1432">
        <f>IF(A1432="","",E1432&amp;F1432&amp;G1432)</f>
        <v/>
      </c>
      <c r="I1432">
        <f>IF(A1432="","",IF(AND(E1432&gt;=4,F1432&gt;=4,G1432&gt;=4),"Juara",IF(AND(F1432&gt;=4,E1432&gt;=3),"Setia",IF(AND(E1432=5,F1432&lt;=2,G1432&gt;=3),"Berpotensi",IF(AND(E1432&lt;=3,E1432&gt;=2,F1432&gt;=3),"Rawan",IF(AND(E1432&lt;=2,F1432&lt;=2),"Tidur","Umum"))))))</f>
        <v/>
      </c>
    </row>
    <row r="1433">
      <c r="B1433">
        <f>IF(A1433="","",$B$1-MAXIFS(Donasi!$A$2:$A$20000,Donasi!$B$2:$B$20000,A1433))</f>
        <v/>
      </c>
      <c r="C1433">
        <f>IF(A1433="","",COUNTIF(Donasi!$B$2:$B$20000,A1433))</f>
        <v/>
      </c>
      <c r="D1433">
        <f>IF(A1433="","",SUMIF(Donasi!$B$2:$B$20000,A1433,Donasi!$C$2:$C$20000))</f>
        <v/>
      </c>
      <c r="E1433">
        <f>IF(A1433="","",6-CEILING(PERCENTRANK.INC($B$3:$B$6000,B1433,4)*5+0.000001,1))</f>
        <v/>
      </c>
      <c r="F1433">
        <f>IF(A1433="","",MAX(1,CEILING(PERCENTRANK.INC($C$3:$C$6000,C1433,4)*5+0.000001,1)))</f>
        <v/>
      </c>
      <c r="G1433">
        <f>IF(A1433="","",MAX(1,CEILING(PERCENTRANK.INC($D$3:$D$6000,D1433,4)*5+0.000001,1)))</f>
        <v/>
      </c>
      <c r="H1433">
        <f>IF(A1433="","",E1433&amp;F1433&amp;G1433)</f>
        <v/>
      </c>
      <c r="I1433">
        <f>IF(A1433="","",IF(AND(E1433&gt;=4,F1433&gt;=4,G1433&gt;=4),"Juara",IF(AND(F1433&gt;=4,E1433&gt;=3),"Setia",IF(AND(E1433=5,F1433&lt;=2,G1433&gt;=3),"Berpotensi",IF(AND(E1433&lt;=3,E1433&gt;=2,F1433&gt;=3),"Rawan",IF(AND(E1433&lt;=2,F1433&lt;=2),"Tidur","Umum"))))))</f>
        <v/>
      </c>
    </row>
    <row r="1434">
      <c r="B1434">
        <f>IF(A1434="","",$B$1-MAXIFS(Donasi!$A$2:$A$20000,Donasi!$B$2:$B$20000,A1434))</f>
        <v/>
      </c>
      <c r="C1434">
        <f>IF(A1434="","",COUNTIF(Donasi!$B$2:$B$20000,A1434))</f>
        <v/>
      </c>
      <c r="D1434">
        <f>IF(A1434="","",SUMIF(Donasi!$B$2:$B$20000,A1434,Donasi!$C$2:$C$20000))</f>
        <v/>
      </c>
      <c r="E1434">
        <f>IF(A1434="","",6-CEILING(PERCENTRANK.INC($B$3:$B$6000,B1434,4)*5+0.000001,1))</f>
        <v/>
      </c>
      <c r="F1434">
        <f>IF(A1434="","",MAX(1,CEILING(PERCENTRANK.INC($C$3:$C$6000,C1434,4)*5+0.000001,1)))</f>
        <v/>
      </c>
      <c r="G1434">
        <f>IF(A1434="","",MAX(1,CEILING(PERCENTRANK.INC($D$3:$D$6000,D1434,4)*5+0.000001,1)))</f>
        <v/>
      </c>
      <c r="H1434">
        <f>IF(A1434="","",E1434&amp;F1434&amp;G1434)</f>
        <v/>
      </c>
      <c r="I1434">
        <f>IF(A1434="","",IF(AND(E1434&gt;=4,F1434&gt;=4,G1434&gt;=4),"Juara",IF(AND(F1434&gt;=4,E1434&gt;=3),"Setia",IF(AND(E1434=5,F1434&lt;=2,G1434&gt;=3),"Berpotensi",IF(AND(E1434&lt;=3,E1434&gt;=2,F1434&gt;=3),"Rawan",IF(AND(E1434&lt;=2,F1434&lt;=2),"Tidur","Umum"))))))</f>
        <v/>
      </c>
    </row>
    <row r="1435">
      <c r="B1435">
        <f>IF(A1435="","",$B$1-MAXIFS(Donasi!$A$2:$A$20000,Donasi!$B$2:$B$20000,A1435))</f>
        <v/>
      </c>
      <c r="C1435">
        <f>IF(A1435="","",COUNTIF(Donasi!$B$2:$B$20000,A1435))</f>
        <v/>
      </c>
      <c r="D1435">
        <f>IF(A1435="","",SUMIF(Donasi!$B$2:$B$20000,A1435,Donasi!$C$2:$C$20000))</f>
        <v/>
      </c>
      <c r="E1435">
        <f>IF(A1435="","",6-CEILING(PERCENTRANK.INC($B$3:$B$6000,B1435,4)*5+0.000001,1))</f>
        <v/>
      </c>
      <c r="F1435">
        <f>IF(A1435="","",MAX(1,CEILING(PERCENTRANK.INC($C$3:$C$6000,C1435,4)*5+0.000001,1)))</f>
        <v/>
      </c>
      <c r="G1435">
        <f>IF(A1435="","",MAX(1,CEILING(PERCENTRANK.INC($D$3:$D$6000,D1435,4)*5+0.000001,1)))</f>
        <v/>
      </c>
      <c r="H1435">
        <f>IF(A1435="","",E1435&amp;F1435&amp;G1435)</f>
        <v/>
      </c>
      <c r="I1435">
        <f>IF(A1435="","",IF(AND(E1435&gt;=4,F1435&gt;=4,G1435&gt;=4),"Juara",IF(AND(F1435&gt;=4,E1435&gt;=3),"Setia",IF(AND(E1435=5,F1435&lt;=2,G1435&gt;=3),"Berpotensi",IF(AND(E1435&lt;=3,E1435&gt;=2,F1435&gt;=3),"Rawan",IF(AND(E1435&lt;=2,F1435&lt;=2),"Tidur","Umum"))))))</f>
        <v/>
      </c>
    </row>
    <row r="1436">
      <c r="B1436">
        <f>IF(A1436="","",$B$1-MAXIFS(Donasi!$A$2:$A$20000,Donasi!$B$2:$B$20000,A1436))</f>
        <v/>
      </c>
      <c r="C1436">
        <f>IF(A1436="","",COUNTIF(Donasi!$B$2:$B$20000,A1436))</f>
        <v/>
      </c>
      <c r="D1436">
        <f>IF(A1436="","",SUMIF(Donasi!$B$2:$B$20000,A1436,Donasi!$C$2:$C$20000))</f>
        <v/>
      </c>
      <c r="E1436">
        <f>IF(A1436="","",6-CEILING(PERCENTRANK.INC($B$3:$B$6000,B1436,4)*5+0.000001,1))</f>
        <v/>
      </c>
      <c r="F1436">
        <f>IF(A1436="","",MAX(1,CEILING(PERCENTRANK.INC($C$3:$C$6000,C1436,4)*5+0.000001,1)))</f>
        <v/>
      </c>
      <c r="G1436">
        <f>IF(A1436="","",MAX(1,CEILING(PERCENTRANK.INC($D$3:$D$6000,D1436,4)*5+0.000001,1)))</f>
        <v/>
      </c>
      <c r="H1436">
        <f>IF(A1436="","",E1436&amp;F1436&amp;G1436)</f>
        <v/>
      </c>
      <c r="I1436">
        <f>IF(A1436="","",IF(AND(E1436&gt;=4,F1436&gt;=4,G1436&gt;=4),"Juara",IF(AND(F1436&gt;=4,E1436&gt;=3),"Setia",IF(AND(E1436=5,F1436&lt;=2,G1436&gt;=3),"Berpotensi",IF(AND(E1436&lt;=3,E1436&gt;=2,F1436&gt;=3),"Rawan",IF(AND(E1436&lt;=2,F1436&lt;=2),"Tidur","Umum"))))))</f>
        <v/>
      </c>
    </row>
    <row r="1437">
      <c r="B1437">
        <f>IF(A1437="","",$B$1-MAXIFS(Donasi!$A$2:$A$20000,Donasi!$B$2:$B$20000,A1437))</f>
        <v/>
      </c>
      <c r="C1437">
        <f>IF(A1437="","",COUNTIF(Donasi!$B$2:$B$20000,A1437))</f>
        <v/>
      </c>
      <c r="D1437">
        <f>IF(A1437="","",SUMIF(Donasi!$B$2:$B$20000,A1437,Donasi!$C$2:$C$20000))</f>
        <v/>
      </c>
      <c r="E1437">
        <f>IF(A1437="","",6-CEILING(PERCENTRANK.INC($B$3:$B$6000,B1437,4)*5+0.000001,1))</f>
        <v/>
      </c>
      <c r="F1437">
        <f>IF(A1437="","",MAX(1,CEILING(PERCENTRANK.INC($C$3:$C$6000,C1437,4)*5+0.000001,1)))</f>
        <v/>
      </c>
      <c r="G1437">
        <f>IF(A1437="","",MAX(1,CEILING(PERCENTRANK.INC($D$3:$D$6000,D1437,4)*5+0.000001,1)))</f>
        <v/>
      </c>
      <c r="H1437">
        <f>IF(A1437="","",E1437&amp;F1437&amp;G1437)</f>
        <v/>
      </c>
      <c r="I1437">
        <f>IF(A1437="","",IF(AND(E1437&gt;=4,F1437&gt;=4,G1437&gt;=4),"Juara",IF(AND(F1437&gt;=4,E1437&gt;=3),"Setia",IF(AND(E1437=5,F1437&lt;=2,G1437&gt;=3),"Berpotensi",IF(AND(E1437&lt;=3,E1437&gt;=2,F1437&gt;=3),"Rawan",IF(AND(E1437&lt;=2,F1437&lt;=2),"Tidur","Umum"))))))</f>
        <v/>
      </c>
    </row>
    <row r="1438">
      <c r="B1438">
        <f>IF(A1438="","",$B$1-MAXIFS(Donasi!$A$2:$A$20000,Donasi!$B$2:$B$20000,A1438))</f>
        <v/>
      </c>
      <c r="C1438">
        <f>IF(A1438="","",COUNTIF(Donasi!$B$2:$B$20000,A1438))</f>
        <v/>
      </c>
      <c r="D1438">
        <f>IF(A1438="","",SUMIF(Donasi!$B$2:$B$20000,A1438,Donasi!$C$2:$C$20000))</f>
        <v/>
      </c>
      <c r="E1438">
        <f>IF(A1438="","",6-CEILING(PERCENTRANK.INC($B$3:$B$6000,B1438,4)*5+0.000001,1))</f>
        <v/>
      </c>
      <c r="F1438">
        <f>IF(A1438="","",MAX(1,CEILING(PERCENTRANK.INC($C$3:$C$6000,C1438,4)*5+0.000001,1)))</f>
        <v/>
      </c>
      <c r="G1438">
        <f>IF(A1438="","",MAX(1,CEILING(PERCENTRANK.INC($D$3:$D$6000,D1438,4)*5+0.000001,1)))</f>
        <v/>
      </c>
      <c r="H1438">
        <f>IF(A1438="","",E1438&amp;F1438&amp;G1438)</f>
        <v/>
      </c>
      <c r="I1438">
        <f>IF(A1438="","",IF(AND(E1438&gt;=4,F1438&gt;=4,G1438&gt;=4),"Juara",IF(AND(F1438&gt;=4,E1438&gt;=3),"Setia",IF(AND(E1438=5,F1438&lt;=2,G1438&gt;=3),"Berpotensi",IF(AND(E1438&lt;=3,E1438&gt;=2,F1438&gt;=3),"Rawan",IF(AND(E1438&lt;=2,F1438&lt;=2),"Tidur","Umum"))))))</f>
        <v/>
      </c>
    </row>
    <row r="1439">
      <c r="B1439">
        <f>IF(A1439="","",$B$1-MAXIFS(Donasi!$A$2:$A$20000,Donasi!$B$2:$B$20000,A1439))</f>
        <v/>
      </c>
      <c r="C1439">
        <f>IF(A1439="","",COUNTIF(Donasi!$B$2:$B$20000,A1439))</f>
        <v/>
      </c>
      <c r="D1439">
        <f>IF(A1439="","",SUMIF(Donasi!$B$2:$B$20000,A1439,Donasi!$C$2:$C$20000))</f>
        <v/>
      </c>
      <c r="E1439">
        <f>IF(A1439="","",6-CEILING(PERCENTRANK.INC($B$3:$B$6000,B1439,4)*5+0.000001,1))</f>
        <v/>
      </c>
      <c r="F1439">
        <f>IF(A1439="","",MAX(1,CEILING(PERCENTRANK.INC($C$3:$C$6000,C1439,4)*5+0.000001,1)))</f>
        <v/>
      </c>
      <c r="G1439">
        <f>IF(A1439="","",MAX(1,CEILING(PERCENTRANK.INC($D$3:$D$6000,D1439,4)*5+0.000001,1)))</f>
        <v/>
      </c>
      <c r="H1439">
        <f>IF(A1439="","",E1439&amp;F1439&amp;G1439)</f>
        <v/>
      </c>
      <c r="I1439">
        <f>IF(A1439="","",IF(AND(E1439&gt;=4,F1439&gt;=4,G1439&gt;=4),"Juara",IF(AND(F1439&gt;=4,E1439&gt;=3),"Setia",IF(AND(E1439=5,F1439&lt;=2,G1439&gt;=3),"Berpotensi",IF(AND(E1439&lt;=3,E1439&gt;=2,F1439&gt;=3),"Rawan",IF(AND(E1439&lt;=2,F1439&lt;=2),"Tidur","Umum"))))))</f>
        <v/>
      </c>
    </row>
    <row r="1440">
      <c r="B1440">
        <f>IF(A1440="","",$B$1-MAXIFS(Donasi!$A$2:$A$20000,Donasi!$B$2:$B$20000,A1440))</f>
        <v/>
      </c>
      <c r="C1440">
        <f>IF(A1440="","",COUNTIF(Donasi!$B$2:$B$20000,A1440))</f>
        <v/>
      </c>
      <c r="D1440">
        <f>IF(A1440="","",SUMIF(Donasi!$B$2:$B$20000,A1440,Donasi!$C$2:$C$20000))</f>
        <v/>
      </c>
      <c r="E1440">
        <f>IF(A1440="","",6-CEILING(PERCENTRANK.INC($B$3:$B$6000,B1440,4)*5+0.000001,1))</f>
        <v/>
      </c>
      <c r="F1440">
        <f>IF(A1440="","",MAX(1,CEILING(PERCENTRANK.INC($C$3:$C$6000,C1440,4)*5+0.000001,1)))</f>
        <v/>
      </c>
      <c r="G1440">
        <f>IF(A1440="","",MAX(1,CEILING(PERCENTRANK.INC($D$3:$D$6000,D1440,4)*5+0.000001,1)))</f>
        <v/>
      </c>
      <c r="H1440">
        <f>IF(A1440="","",E1440&amp;F1440&amp;G1440)</f>
        <v/>
      </c>
      <c r="I1440">
        <f>IF(A1440="","",IF(AND(E1440&gt;=4,F1440&gt;=4,G1440&gt;=4),"Juara",IF(AND(F1440&gt;=4,E1440&gt;=3),"Setia",IF(AND(E1440=5,F1440&lt;=2,G1440&gt;=3),"Berpotensi",IF(AND(E1440&lt;=3,E1440&gt;=2,F1440&gt;=3),"Rawan",IF(AND(E1440&lt;=2,F1440&lt;=2),"Tidur","Umum"))))))</f>
        <v/>
      </c>
    </row>
    <row r="1441">
      <c r="B1441">
        <f>IF(A1441="","",$B$1-MAXIFS(Donasi!$A$2:$A$20000,Donasi!$B$2:$B$20000,A1441))</f>
        <v/>
      </c>
      <c r="C1441">
        <f>IF(A1441="","",COUNTIF(Donasi!$B$2:$B$20000,A1441))</f>
        <v/>
      </c>
      <c r="D1441">
        <f>IF(A1441="","",SUMIF(Donasi!$B$2:$B$20000,A1441,Donasi!$C$2:$C$20000))</f>
        <v/>
      </c>
      <c r="E1441">
        <f>IF(A1441="","",6-CEILING(PERCENTRANK.INC($B$3:$B$6000,B1441,4)*5+0.000001,1))</f>
        <v/>
      </c>
      <c r="F1441">
        <f>IF(A1441="","",MAX(1,CEILING(PERCENTRANK.INC($C$3:$C$6000,C1441,4)*5+0.000001,1)))</f>
        <v/>
      </c>
      <c r="G1441">
        <f>IF(A1441="","",MAX(1,CEILING(PERCENTRANK.INC($D$3:$D$6000,D1441,4)*5+0.000001,1)))</f>
        <v/>
      </c>
      <c r="H1441">
        <f>IF(A1441="","",E1441&amp;F1441&amp;G1441)</f>
        <v/>
      </c>
      <c r="I1441">
        <f>IF(A1441="","",IF(AND(E1441&gt;=4,F1441&gt;=4,G1441&gt;=4),"Juara",IF(AND(F1441&gt;=4,E1441&gt;=3),"Setia",IF(AND(E1441=5,F1441&lt;=2,G1441&gt;=3),"Berpotensi",IF(AND(E1441&lt;=3,E1441&gt;=2,F1441&gt;=3),"Rawan",IF(AND(E1441&lt;=2,F1441&lt;=2),"Tidur","Umum"))))))</f>
        <v/>
      </c>
    </row>
    <row r="1442">
      <c r="B1442">
        <f>IF(A1442="","",$B$1-MAXIFS(Donasi!$A$2:$A$20000,Donasi!$B$2:$B$20000,A1442))</f>
        <v/>
      </c>
      <c r="C1442">
        <f>IF(A1442="","",COUNTIF(Donasi!$B$2:$B$20000,A1442))</f>
        <v/>
      </c>
      <c r="D1442">
        <f>IF(A1442="","",SUMIF(Donasi!$B$2:$B$20000,A1442,Donasi!$C$2:$C$20000))</f>
        <v/>
      </c>
      <c r="E1442">
        <f>IF(A1442="","",6-CEILING(PERCENTRANK.INC($B$3:$B$6000,B1442,4)*5+0.000001,1))</f>
        <v/>
      </c>
      <c r="F1442">
        <f>IF(A1442="","",MAX(1,CEILING(PERCENTRANK.INC($C$3:$C$6000,C1442,4)*5+0.000001,1)))</f>
        <v/>
      </c>
      <c r="G1442">
        <f>IF(A1442="","",MAX(1,CEILING(PERCENTRANK.INC($D$3:$D$6000,D1442,4)*5+0.000001,1)))</f>
        <v/>
      </c>
      <c r="H1442">
        <f>IF(A1442="","",E1442&amp;F1442&amp;G1442)</f>
        <v/>
      </c>
      <c r="I1442">
        <f>IF(A1442="","",IF(AND(E1442&gt;=4,F1442&gt;=4,G1442&gt;=4),"Juara",IF(AND(F1442&gt;=4,E1442&gt;=3),"Setia",IF(AND(E1442=5,F1442&lt;=2,G1442&gt;=3),"Berpotensi",IF(AND(E1442&lt;=3,E1442&gt;=2,F1442&gt;=3),"Rawan",IF(AND(E1442&lt;=2,F1442&lt;=2),"Tidur","Umum"))))))</f>
        <v/>
      </c>
    </row>
    <row r="1443">
      <c r="B1443">
        <f>IF(A1443="","",$B$1-MAXIFS(Donasi!$A$2:$A$20000,Donasi!$B$2:$B$20000,A1443))</f>
        <v/>
      </c>
      <c r="C1443">
        <f>IF(A1443="","",COUNTIF(Donasi!$B$2:$B$20000,A1443))</f>
        <v/>
      </c>
      <c r="D1443">
        <f>IF(A1443="","",SUMIF(Donasi!$B$2:$B$20000,A1443,Donasi!$C$2:$C$20000))</f>
        <v/>
      </c>
      <c r="E1443">
        <f>IF(A1443="","",6-CEILING(PERCENTRANK.INC($B$3:$B$6000,B1443,4)*5+0.000001,1))</f>
        <v/>
      </c>
      <c r="F1443">
        <f>IF(A1443="","",MAX(1,CEILING(PERCENTRANK.INC($C$3:$C$6000,C1443,4)*5+0.000001,1)))</f>
        <v/>
      </c>
      <c r="G1443">
        <f>IF(A1443="","",MAX(1,CEILING(PERCENTRANK.INC($D$3:$D$6000,D1443,4)*5+0.000001,1)))</f>
        <v/>
      </c>
      <c r="H1443">
        <f>IF(A1443="","",E1443&amp;F1443&amp;G1443)</f>
        <v/>
      </c>
      <c r="I1443">
        <f>IF(A1443="","",IF(AND(E1443&gt;=4,F1443&gt;=4,G1443&gt;=4),"Juara",IF(AND(F1443&gt;=4,E1443&gt;=3),"Setia",IF(AND(E1443=5,F1443&lt;=2,G1443&gt;=3),"Berpotensi",IF(AND(E1443&lt;=3,E1443&gt;=2,F1443&gt;=3),"Rawan",IF(AND(E1443&lt;=2,F1443&lt;=2),"Tidur","Umum"))))))</f>
        <v/>
      </c>
    </row>
    <row r="1444">
      <c r="B1444">
        <f>IF(A1444="","",$B$1-MAXIFS(Donasi!$A$2:$A$20000,Donasi!$B$2:$B$20000,A1444))</f>
        <v/>
      </c>
      <c r="C1444">
        <f>IF(A1444="","",COUNTIF(Donasi!$B$2:$B$20000,A1444))</f>
        <v/>
      </c>
      <c r="D1444">
        <f>IF(A1444="","",SUMIF(Donasi!$B$2:$B$20000,A1444,Donasi!$C$2:$C$20000))</f>
        <v/>
      </c>
      <c r="E1444">
        <f>IF(A1444="","",6-CEILING(PERCENTRANK.INC($B$3:$B$6000,B1444,4)*5+0.000001,1))</f>
        <v/>
      </c>
      <c r="F1444">
        <f>IF(A1444="","",MAX(1,CEILING(PERCENTRANK.INC($C$3:$C$6000,C1444,4)*5+0.000001,1)))</f>
        <v/>
      </c>
      <c r="G1444">
        <f>IF(A1444="","",MAX(1,CEILING(PERCENTRANK.INC($D$3:$D$6000,D1444,4)*5+0.000001,1)))</f>
        <v/>
      </c>
      <c r="H1444">
        <f>IF(A1444="","",E1444&amp;F1444&amp;G1444)</f>
        <v/>
      </c>
      <c r="I1444">
        <f>IF(A1444="","",IF(AND(E1444&gt;=4,F1444&gt;=4,G1444&gt;=4),"Juara",IF(AND(F1444&gt;=4,E1444&gt;=3),"Setia",IF(AND(E1444=5,F1444&lt;=2,G1444&gt;=3),"Berpotensi",IF(AND(E1444&lt;=3,E1444&gt;=2,F1444&gt;=3),"Rawan",IF(AND(E1444&lt;=2,F1444&lt;=2),"Tidur","Umum"))))))</f>
        <v/>
      </c>
    </row>
    <row r="1445">
      <c r="B1445">
        <f>IF(A1445="","",$B$1-MAXIFS(Donasi!$A$2:$A$20000,Donasi!$B$2:$B$20000,A1445))</f>
        <v/>
      </c>
      <c r="C1445">
        <f>IF(A1445="","",COUNTIF(Donasi!$B$2:$B$20000,A1445))</f>
        <v/>
      </c>
      <c r="D1445">
        <f>IF(A1445="","",SUMIF(Donasi!$B$2:$B$20000,A1445,Donasi!$C$2:$C$20000))</f>
        <v/>
      </c>
      <c r="E1445">
        <f>IF(A1445="","",6-CEILING(PERCENTRANK.INC($B$3:$B$6000,B1445,4)*5+0.000001,1))</f>
        <v/>
      </c>
      <c r="F1445">
        <f>IF(A1445="","",MAX(1,CEILING(PERCENTRANK.INC($C$3:$C$6000,C1445,4)*5+0.000001,1)))</f>
        <v/>
      </c>
      <c r="G1445">
        <f>IF(A1445="","",MAX(1,CEILING(PERCENTRANK.INC($D$3:$D$6000,D1445,4)*5+0.000001,1)))</f>
        <v/>
      </c>
      <c r="H1445">
        <f>IF(A1445="","",E1445&amp;F1445&amp;G1445)</f>
        <v/>
      </c>
      <c r="I1445">
        <f>IF(A1445="","",IF(AND(E1445&gt;=4,F1445&gt;=4,G1445&gt;=4),"Juara",IF(AND(F1445&gt;=4,E1445&gt;=3),"Setia",IF(AND(E1445=5,F1445&lt;=2,G1445&gt;=3),"Berpotensi",IF(AND(E1445&lt;=3,E1445&gt;=2,F1445&gt;=3),"Rawan",IF(AND(E1445&lt;=2,F1445&lt;=2),"Tidur","Umum"))))))</f>
        <v/>
      </c>
    </row>
    <row r="1446">
      <c r="B1446">
        <f>IF(A1446="","",$B$1-MAXIFS(Donasi!$A$2:$A$20000,Donasi!$B$2:$B$20000,A1446))</f>
        <v/>
      </c>
      <c r="C1446">
        <f>IF(A1446="","",COUNTIF(Donasi!$B$2:$B$20000,A1446))</f>
        <v/>
      </c>
      <c r="D1446">
        <f>IF(A1446="","",SUMIF(Donasi!$B$2:$B$20000,A1446,Donasi!$C$2:$C$20000))</f>
        <v/>
      </c>
      <c r="E1446">
        <f>IF(A1446="","",6-CEILING(PERCENTRANK.INC($B$3:$B$6000,B1446,4)*5+0.000001,1))</f>
        <v/>
      </c>
      <c r="F1446">
        <f>IF(A1446="","",MAX(1,CEILING(PERCENTRANK.INC($C$3:$C$6000,C1446,4)*5+0.000001,1)))</f>
        <v/>
      </c>
      <c r="G1446">
        <f>IF(A1446="","",MAX(1,CEILING(PERCENTRANK.INC($D$3:$D$6000,D1446,4)*5+0.000001,1)))</f>
        <v/>
      </c>
      <c r="H1446">
        <f>IF(A1446="","",E1446&amp;F1446&amp;G1446)</f>
        <v/>
      </c>
      <c r="I1446">
        <f>IF(A1446="","",IF(AND(E1446&gt;=4,F1446&gt;=4,G1446&gt;=4),"Juara",IF(AND(F1446&gt;=4,E1446&gt;=3),"Setia",IF(AND(E1446=5,F1446&lt;=2,G1446&gt;=3),"Berpotensi",IF(AND(E1446&lt;=3,E1446&gt;=2,F1446&gt;=3),"Rawan",IF(AND(E1446&lt;=2,F1446&lt;=2),"Tidur","Umum"))))))</f>
        <v/>
      </c>
    </row>
    <row r="1447">
      <c r="B1447">
        <f>IF(A1447="","",$B$1-MAXIFS(Donasi!$A$2:$A$20000,Donasi!$B$2:$B$20000,A1447))</f>
        <v/>
      </c>
      <c r="C1447">
        <f>IF(A1447="","",COUNTIF(Donasi!$B$2:$B$20000,A1447))</f>
        <v/>
      </c>
      <c r="D1447">
        <f>IF(A1447="","",SUMIF(Donasi!$B$2:$B$20000,A1447,Donasi!$C$2:$C$20000))</f>
        <v/>
      </c>
      <c r="E1447">
        <f>IF(A1447="","",6-CEILING(PERCENTRANK.INC($B$3:$B$6000,B1447,4)*5+0.000001,1))</f>
        <v/>
      </c>
      <c r="F1447">
        <f>IF(A1447="","",MAX(1,CEILING(PERCENTRANK.INC($C$3:$C$6000,C1447,4)*5+0.000001,1)))</f>
        <v/>
      </c>
      <c r="G1447">
        <f>IF(A1447="","",MAX(1,CEILING(PERCENTRANK.INC($D$3:$D$6000,D1447,4)*5+0.000001,1)))</f>
        <v/>
      </c>
      <c r="H1447">
        <f>IF(A1447="","",E1447&amp;F1447&amp;G1447)</f>
        <v/>
      </c>
      <c r="I1447">
        <f>IF(A1447="","",IF(AND(E1447&gt;=4,F1447&gt;=4,G1447&gt;=4),"Juara",IF(AND(F1447&gt;=4,E1447&gt;=3),"Setia",IF(AND(E1447=5,F1447&lt;=2,G1447&gt;=3),"Berpotensi",IF(AND(E1447&lt;=3,E1447&gt;=2,F1447&gt;=3),"Rawan",IF(AND(E1447&lt;=2,F1447&lt;=2),"Tidur","Umum"))))))</f>
        <v/>
      </c>
    </row>
    <row r="1448">
      <c r="B1448">
        <f>IF(A1448="","",$B$1-MAXIFS(Donasi!$A$2:$A$20000,Donasi!$B$2:$B$20000,A1448))</f>
        <v/>
      </c>
      <c r="C1448">
        <f>IF(A1448="","",COUNTIF(Donasi!$B$2:$B$20000,A1448))</f>
        <v/>
      </c>
      <c r="D1448">
        <f>IF(A1448="","",SUMIF(Donasi!$B$2:$B$20000,A1448,Donasi!$C$2:$C$20000))</f>
        <v/>
      </c>
      <c r="E1448">
        <f>IF(A1448="","",6-CEILING(PERCENTRANK.INC($B$3:$B$6000,B1448,4)*5+0.000001,1))</f>
        <v/>
      </c>
      <c r="F1448">
        <f>IF(A1448="","",MAX(1,CEILING(PERCENTRANK.INC($C$3:$C$6000,C1448,4)*5+0.000001,1)))</f>
        <v/>
      </c>
      <c r="G1448">
        <f>IF(A1448="","",MAX(1,CEILING(PERCENTRANK.INC($D$3:$D$6000,D1448,4)*5+0.000001,1)))</f>
        <v/>
      </c>
      <c r="H1448">
        <f>IF(A1448="","",E1448&amp;F1448&amp;G1448)</f>
        <v/>
      </c>
      <c r="I1448">
        <f>IF(A1448="","",IF(AND(E1448&gt;=4,F1448&gt;=4,G1448&gt;=4),"Juara",IF(AND(F1448&gt;=4,E1448&gt;=3),"Setia",IF(AND(E1448=5,F1448&lt;=2,G1448&gt;=3),"Berpotensi",IF(AND(E1448&lt;=3,E1448&gt;=2,F1448&gt;=3),"Rawan",IF(AND(E1448&lt;=2,F1448&lt;=2),"Tidur","Umum"))))))</f>
        <v/>
      </c>
    </row>
    <row r="1449">
      <c r="B1449">
        <f>IF(A1449="","",$B$1-MAXIFS(Donasi!$A$2:$A$20000,Donasi!$B$2:$B$20000,A1449))</f>
        <v/>
      </c>
      <c r="C1449">
        <f>IF(A1449="","",COUNTIF(Donasi!$B$2:$B$20000,A1449))</f>
        <v/>
      </c>
      <c r="D1449">
        <f>IF(A1449="","",SUMIF(Donasi!$B$2:$B$20000,A1449,Donasi!$C$2:$C$20000))</f>
        <v/>
      </c>
      <c r="E1449">
        <f>IF(A1449="","",6-CEILING(PERCENTRANK.INC($B$3:$B$6000,B1449,4)*5+0.000001,1))</f>
        <v/>
      </c>
      <c r="F1449">
        <f>IF(A1449="","",MAX(1,CEILING(PERCENTRANK.INC($C$3:$C$6000,C1449,4)*5+0.000001,1)))</f>
        <v/>
      </c>
      <c r="G1449">
        <f>IF(A1449="","",MAX(1,CEILING(PERCENTRANK.INC($D$3:$D$6000,D1449,4)*5+0.000001,1)))</f>
        <v/>
      </c>
      <c r="H1449">
        <f>IF(A1449="","",E1449&amp;F1449&amp;G1449)</f>
        <v/>
      </c>
      <c r="I1449">
        <f>IF(A1449="","",IF(AND(E1449&gt;=4,F1449&gt;=4,G1449&gt;=4),"Juara",IF(AND(F1449&gt;=4,E1449&gt;=3),"Setia",IF(AND(E1449=5,F1449&lt;=2,G1449&gt;=3),"Berpotensi",IF(AND(E1449&lt;=3,E1449&gt;=2,F1449&gt;=3),"Rawan",IF(AND(E1449&lt;=2,F1449&lt;=2),"Tidur","Umum"))))))</f>
        <v/>
      </c>
    </row>
    <row r="1450">
      <c r="B1450">
        <f>IF(A1450="","",$B$1-MAXIFS(Donasi!$A$2:$A$20000,Donasi!$B$2:$B$20000,A1450))</f>
        <v/>
      </c>
      <c r="C1450">
        <f>IF(A1450="","",COUNTIF(Donasi!$B$2:$B$20000,A1450))</f>
        <v/>
      </c>
      <c r="D1450">
        <f>IF(A1450="","",SUMIF(Donasi!$B$2:$B$20000,A1450,Donasi!$C$2:$C$20000))</f>
        <v/>
      </c>
      <c r="E1450">
        <f>IF(A1450="","",6-CEILING(PERCENTRANK.INC($B$3:$B$6000,B1450,4)*5+0.000001,1))</f>
        <v/>
      </c>
      <c r="F1450">
        <f>IF(A1450="","",MAX(1,CEILING(PERCENTRANK.INC($C$3:$C$6000,C1450,4)*5+0.000001,1)))</f>
        <v/>
      </c>
      <c r="G1450">
        <f>IF(A1450="","",MAX(1,CEILING(PERCENTRANK.INC($D$3:$D$6000,D1450,4)*5+0.000001,1)))</f>
        <v/>
      </c>
      <c r="H1450">
        <f>IF(A1450="","",E1450&amp;F1450&amp;G1450)</f>
        <v/>
      </c>
      <c r="I1450">
        <f>IF(A1450="","",IF(AND(E1450&gt;=4,F1450&gt;=4,G1450&gt;=4),"Juara",IF(AND(F1450&gt;=4,E1450&gt;=3),"Setia",IF(AND(E1450=5,F1450&lt;=2,G1450&gt;=3),"Berpotensi",IF(AND(E1450&lt;=3,E1450&gt;=2,F1450&gt;=3),"Rawan",IF(AND(E1450&lt;=2,F1450&lt;=2),"Tidur","Umum"))))))</f>
        <v/>
      </c>
    </row>
    <row r="1451">
      <c r="B1451">
        <f>IF(A1451="","",$B$1-MAXIFS(Donasi!$A$2:$A$20000,Donasi!$B$2:$B$20000,A1451))</f>
        <v/>
      </c>
      <c r="C1451">
        <f>IF(A1451="","",COUNTIF(Donasi!$B$2:$B$20000,A1451))</f>
        <v/>
      </c>
      <c r="D1451">
        <f>IF(A1451="","",SUMIF(Donasi!$B$2:$B$20000,A1451,Donasi!$C$2:$C$20000))</f>
        <v/>
      </c>
      <c r="E1451">
        <f>IF(A1451="","",6-CEILING(PERCENTRANK.INC($B$3:$B$6000,B1451,4)*5+0.000001,1))</f>
        <v/>
      </c>
      <c r="F1451">
        <f>IF(A1451="","",MAX(1,CEILING(PERCENTRANK.INC($C$3:$C$6000,C1451,4)*5+0.000001,1)))</f>
        <v/>
      </c>
      <c r="G1451">
        <f>IF(A1451="","",MAX(1,CEILING(PERCENTRANK.INC($D$3:$D$6000,D1451,4)*5+0.000001,1)))</f>
        <v/>
      </c>
      <c r="H1451">
        <f>IF(A1451="","",E1451&amp;F1451&amp;G1451)</f>
        <v/>
      </c>
      <c r="I1451">
        <f>IF(A1451="","",IF(AND(E1451&gt;=4,F1451&gt;=4,G1451&gt;=4),"Juara",IF(AND(F1451&gt;=4,E1451&gt;=3),"Setia",IF(AND(E1451=5,F1451&lt;=2,G1451&gt;=3),"Berpotensi",IF(AND(E1451&lt;=3,E1451&gt;=2,F1451&gt;=3),"Rawan",IF(AND(E1451&lt;=2,F1451&lt;=2),"Tidur","Umum"))))))</f>
        <v/>
      </c>
    </row>
    <row r="1452">
      <c r="B1452">
        <f>IF(A1452="","",$B$1-MAXIFS(Donasi!$A$2:$A$20000,Donasi!$B$2:$B$20000,A1452))</f>
        <v/>
      </c>
      <c r="C1452">
        <f>IF(A1452="","",COUNTIF(Donasi!$B$2:$B$20000,A1452))</f>
        <v/>
      </c>
      <c r="D1452">
        <f>IF(A1452="","",SUMIF(Donasi!$B$2:$B$20000,A1452,Donasi!$C$2:$C$20000))</f>
        <v/>
      </c>
      <c r="E1452">
        <f>IF(A1452="","",6-CEILING(PERCENTRANK.INC($B$3:$B$6000,B1452,4)*5+0.000001,1))</f>
        <v/>
      </c>
      <c r="F1452">
        <f>IF(A1452="","",MAX(1,CEILING(PERCENTRANK.INC($C$3:$C$6000,C1452,4)*5+0.000001,1)))</f>
        <v/>
      </c>
      <c r="G1452">
        <f>IF(A1452="","",MAX(1,CEILING(PERCENTRANK.INC($D$3:$D$6000,D1452,4)*5+0.000001,1)))</f>
        <v/>
      </c>
      <c r="H1452">
        <f>IF(A1452="","",E1452&amp;F1452&amp;G1452)</f>
        <v/>
      </c>
      <c r="I1452">
        <f>IF(A1452="","",IF(AND(E1452&gt;=4,F1452&gt;=4,G1452&gt;=4),"Juara",IF(AND(F1452&gt;=4,E1452&gt;=3),"Setia",IF(AND(E1452=5,F1452&lt;=2,G1452&gt;=3),"Berpotensi",IF(AND(E1452&lt;=3,E1452&gt;=2,F1452&gt;=3),"Rawan",IF(AND(E1452&lt;=2,F1452&lt;=2),"Tidur","Umum"))))))</f>
        <v/>
      </c>
    </row>
    <row r="1453">
      <c r="B1453">
        <f>IF(A1453="","",$B$1-MAXIFS(Donasi!$A$2:$A$20000,Donasi!$B$2:$B$20000,A1453))</f>
        <v/>
      </c>
      <c r="C1453">
        <f>IF(A1453="","",COUNTIF(Donasi!$B$2:$B$20000,A1453))</f>
        <v/>
      </c>
      <c r="D1453">
        <f>IF(A1453="","",SUMIF(Donasi!$B$2:$B$20000,A1453,Donasi!$C$2:$C$20000))</f>
        <v/>
      </c>
      <c r="E1453">
        <f>IF(A1453="","",6-CEILING(PERCENTRANK.INC($B$3:$B$6000,B1453,4)*5+0.000001,1))</f>
        <v/>
      </c>
      <c r="F1453">
        <f>IF(A1453="","",MAX(1,CEILING(PERCENTRANK.INC($C$3:$C$6000,C1453,4)*5+0.000001,1)))</f>
        <v/>
      </c>
      <c r="G1453">
        <f>IF(A1453="","",MAX(1,CEILING(PERCENTRANK.INC($D$3:$D$6000,D1453,4)*5+0.000001,1)))</f>
        <v/>
      </c>
      <c r="H1453">
        <f>IF(A1453="","",E1453&amp;F1453&amp;G1453)</f>
        <v/>
      </c>
      <c r="I1453">
        <f>IF(A1453="","",IF(AND(E1453&gt;=4,F1453&gt;=4,G1453&gt;=4),"Juara",IF(AND(F1453&gt;=4,E1453&gt;=3),"Setia",IF(AND(E1453=5,F1453&lt;=2,G1453&gt;=3),"Berpotensi",IF(AND(E1453&lt;=3,E1453&gt;=2,F1453&gt;=3),"Rawan",IF(AND(E1453&lt;=2,F1453&lt;=2),"Tidur","Umum"))))))</f>
        <v/>
      </c>
    </row>
    <row r="1454">
      <c r="B1454">
        <f>IF(A1454="","",$B$1-MAXIFS(Donasi!$A$2:$A$20000,Donasi!$B$2:$B$20000,A1454))</f>
        <v/>
      </c>
      <c r="C1454">
        <f>IF(A1454="","",COUNTIF(Donasi!$B$2:$B$20000,A1454))</f>
        <v/>
      </c>
      <c r="D1454">
        <f>IF(A1454="","",SUMIF(Donasi!$B$2:$B$20000,A1454,Donasi!$C$2:$C$20000))</f>
        <v/>
      </c>
      <c r="E1454">
        <f>IF(A1454="","",6-CEILING(PERCENTRANK.INC($B$3:$B$6000,B1454,4)*5+0.000001,1))</f>
        <v/>
      </c>
      <c r="F1454">
        <f>IF(A1454="","",MAX(1,CEILING(PERCENTRANK.INC($C$3:$C$6000,C1454,4)*5+0.000001,1)))</f>
        <v/>
      </c>
      <c r="G1454">
        <f>IF(A1454="","",MAX(1,CEILING(PERCENTRANK.INC($D$3:$D$6000,D1454,4)*5+0.000001,1)))</f>
        <v/>
      </c>
      <c r="H1454">
        <f>IF(A1454="","",E1454&amp;F1454&amp;G1454)</f>
        <v/>
      </c>
      <c r="I1454">
        <f>IF(A1454="","",IF(AND(E1454&gt;=4,F1454&gt;=4,G1454&gt;=4),"Juara",IF(AND(F1454&gt;=4,E1454&gt;=3),"Setia",IF(AND(E1454=5,F1454&lt;=2,G1454&gt;=3),"Berpotensi",IF(AND(E1454&lt;=3,E1454&gt;=2,F1454&gt;=3),"Rawan",IF(AND(E1454&lt;=2,F1454&lt;=2),"Tidur","Umum"))))))</f>
        <v/>
      </c>
    </row>
    <row r="1455">
      <c r="B1455">
        <f>IF(A1455="","",$B$1-MAXIFS(Donasi!$A$2:$A$20000,Donasi!$B$2:$B$20000,A1455))</f>
        <v/>
      </c>
      <c r="C1455">
        <f>IF(A1455="","",COUNTIF(Donasi!$B$2:$B$20000,A1455))</f>
        <v/>
      </c>
      <c r="D1455">
        <f>IF(A1455="","",SUMIF(Donasi!$B$2:$B$20000,A1455,Donasi!$C$2:$C$20000))</f>
        <v/>
      </c>
      <c r="E1455">
        <f>IF(A1455="","",6-CEILING(PERCENTRANK.INC($B$3:$B$6000,B1455,4)*5+0.000001,1))</f>
        <v/>
      </c>
      <c r="F1455">
        <f>IF(A1455="","",MAX(1,CEILING(PERCENTRANK.INC($C$3:$C$6000,C1455,4)*5+0.000001,1)))</f>
        <v/>
      </c>
      <c r="G1455">
        <f>IF(A1455="","",MAX(1,CEILING(PERCENTRANK.INC($D$3:$D$6000,D1455,4)*5+0.000001,1)))</f>
        <v/>
      </c>
      <c r="H1455">
        <f>IF(A1455="","",E1455&amp;F1455&amp;G1455)</f>
        <v/>
      </c>
      <c r="I1455">
        <f>IF(A1455="","",IF(AND(E1455&gt;=4,F1455&gt;=4,G1455&gt;=4),"Juara",IF(AND(F1455&gt;=4,E1455&gt;=3),"Setia",IF(AND(E1455=5,F1455&lt;=2,G1455&gt;=3),"Berpotensi",IF(AND(E1455&lt;=3,E1455&gt;=2,F1455&gt;=3),"Rawan",IF(AND(E1455&lt;=2,F1455&lt;=2),"Tidur","Umum"))))))</f>
        <v/>
      </c>
    </row>
    <row r="1456">
      <c r="B1456">
        <f>IF(A1456="","",$B$1-MAXIFS(Donasi!$A$2:$A$20000,Donasi!$B$2:$B$20000,A1456))</f>
        <v/>
      </c>
      <c r="C1456">
        <f>IF(A1456="","",COUNTIF(Donasi!$B$2:$B$20000,A1456))</f>
        <v/>
      </c>
      <c r="D1456">
        <f>IF(A1456="","",SUMIF(Donasi!$B$2:$B$20000,A1456,Donasi!$C$2:$C$20000))</f>
        <v/>
      </c>
      <c r="E1456">
        <f>IF(A1456="","",6-CEILING(PERCENTRANK.INC($B$3:$B$6000,B1456,4)*5+0.000001,1))</f>
        <v/>
      </c>
      <c r="F1456">
        <f>IF(A1456="","",MAX(1,CEILING(PERCENTRANK.INC($C$3:$C$6000,C1456,4)*5+0.000001,1)))</f>
        <v/>
      </c>
      <c r="G1456">
        <f>IF(A1456="","",MAX(1,CEILING(PERCENTRANK.INC($D$3:$D$6000,D1456,4)*5+0.000001,1)))</f>
        <v/>
      </c>
      <c r="H1456">
        <f>IF(A1456="","",E1456&amp;F1456&amp;G1456)</f>
        <v/>
      </c>
      <c r="I1456">
        <f>IF(A1456="","",IF(AND(E1456&gt;=4,F1456&gt;=4,G1456&gt;=4),"Juara",IF(AND(F1456&gt;=4,E1456&gt;=3),"Setia",IF(AND(E1456=5,F1456&lt;=2,G1456&gt;=3),"Berpotensi",IF(AND(E1456&lt;=3,E1456&gt;=2,F1456&gt;=3),"Rawan",IF(AND(E1456&lt;=2,F1456&lt;=2),"Tidur","Umum"))))))</f>
        <v/>
      </c>
    </row>
    <row r="1457">
      <c r="B1457">
        <f>IF(A1457="","",$B$1-MAXIFS(Donasi!$A$2:$A$20000,Donasi!$B$2:$B$20000,A1457))</f>
        <v/>
      </c>
      <c r="C1457">
        <f>IF(A1457="","",COUNTIF(Donasi!$B$2:$B$20000,A1457))</f>
        <v/>
      </c>
      <c r="D1457">
        <f>IF(A1457="","",SUMIF(Donasi!$B$2:$B$20000,A1457,Donasi!$C$2:$C$20000))</f>
        <v/>
      </c>
      <c r="E1457">
        <f>IF(A1457="","",6-CEILING(PERCENTRANK.INC($B$3:$B$6000,B1457,4)*5+0.000001,1))</f>
        <v/>
      </c>
      <c r="F1457">
        <f>IF(A1457="","",MAX(1,CEILING(PERCENTRANK.INC($C$3:$C$6000,C1457,4)*5+0.000001,1)))</f>
        <v/>
      </c>
      <c r="G1457">
        <f>IF(A1457="","",MAX(1,CEILING(PERCENTRANK.INC($D$3:$D$6000,D1457,4)*5+0.000001,1)))</f>
        <v/>
      </c>
      <c r="H1457">
        <f>IF(A1457="","",E1457&amp;F1457&amp;G1457)</f>
        <v/>
      </c>
      <c r="I1457">
        <f>IF(A1457="","",IF(AND(E1457&gt;=4,F1457&gt;=4,G1457&gt;=4),"Juara",IF(AND(F1457&gt;=4,E1457&gt;=3),"Setia",IF(AND(E1457=5,F1457&lt;=2,G1457&gt;=3),"Berpotensi",IF(AND(E1457&lt;=3,E1457&gt;=2,F1457&gt;=3),"Rawan",IF(AND(E1457&lt;=2,F1457&lt;=2),"Tidur","Umum"))))))</f>
        <v/>
      </c>
    </row>
    <row r="1458">
      <c r="B1458">
        <f>IF(A1458="","",$B$1-MAXIFS(Donasi!$A$2:$A$20000,Donasi!$B$2:$B$20000,A1458))</f>
        <v/>
      </c>
      <c r="C1458">
        <f>IF(A1458="","",COUNTIF(Donasi!$B$2:$B$20000,A1458))</f>
        <v/>
      </c>
      <c r="D1458">
        <f>IF(A1458="","",SUMIF(Donasi!$B$2:$B$20000,A1458,Donasi!$C$2:$C$20000))</f>
        <v/>
      </c>
      <c r="E1458">
        <f>IF(A1458="","",6-CEILING(PERCENTRANK.INC($B$3:$B$6000,B1458,4)*5+0.000001,1))</f>
        <v/>
      </c>
      <c r="F1458">
        <f>IF(A1458="","",MAX(1,CEILING(PERCENTRANK.INC($C$3:$C$6000,C1458,4)*5+0.000001,1)))</f>
        <v/>
      </c>
      <c r="G1458">
        <f>IF(A1458="","",MAX(1,CEILING(PERCENTRANK.INC($D$3:$D$6000,D1458,4)*5+0.000001,1)))</f>
        <v/>
      </c>
      <c r="H1458">
        <f>IF(A1458="","",E1458&amp;F1458&amp;G1458)</f>
        <v/>
      </c>
      <c r="I1458">
        <f>IF(A1458="","",IF(AND(E1458&gt;=4,F1458&gt;=4,G1458&gt;=4),"Juara",IF(AND(F1458&gt;=4,E1458&gt;=3),"Setia",IF(AND(E1458=5,F1458&lt;=2,G1458&gt;=3),"Berpotensi",IF(AND(E1458&lt;=3,E1458&gt;=2,F1458&gt;=3),"Rawan",IF(AND(E1458&lt;=2,F1458&lt;=2),"Tidur","Umum"))))))</f>
        <v/>
      </c>
    </row>
    <row r="1459">
      <c r="B1459">
        <f>IF(A1459="","",$B$1-MAXIFS(Donasi!$A$2:$A$20000,Donasi!$B$2:$B$20000,A1459))</f>
        <v/>
      </c>
      <c r="C1459">
        <f>IF(A1459="","",COUNTIF(Donasi!$B$2:$B$20000,A1459))</f>
        <v/>
      </c>
      <c r="D1459">
        <f>IF(A1459="","",SUMIF(Donasi!$B$2:$B$20000,A1459,Donasi!$C$2:$C$20000))</f>
        <v/>
      </c>
      <c r="E1459">
        <f>IF(A1459="","",6-CEILING(PERCENTRANK.INC($B$3:$B$6000,B1459,4)*5+0.000001,1))</f>
        <v/>
      </c>
      <c r="F1459">
        <f>IF(A1459="","",MAX(1,CEILING(PERCENTRANK.INC($C$3:$C$6000,C1459,4)*5+0.000001,1)))</f>
        <v/>
      </c>
      <c r="G1459">
        <f>IF(A1459="","",MAX(1,CEILING(PERCENTRANK.INC($D$3:$D$6000,D1459,4)*5+0.000001,1)))</f>
        <v/>
      </c>
      <c r="H1459">
        <f>IF(A1459="","",E1459&amp;F1459&amp;G1459)</f>
        <v/>
      </c>
      <c r="I1459">
        <f>IF(A1459="","",IF(AND(E1459&gt;=4,F1459&gt;=4,G1459&gt;=4),"Juara",IF(AND(F1459&gt;=4,E1459&gt;=3),"Setia",IF(AND(E1459=5,F1459&lt;=2,G1459&gt;=3),"Berpotensi",IF(AND(E1459&lt;=3,E1459&gt;=2,F1459&gt;=3),"Rawan",IF(AND(E1459&lt;=2,F1459&lt;=2),"Tidur","Umum"))))))</f>
        <v/>
      </c>
    </row>
    <row r="1460">
      <c r="B1460">
        <f>IF(A1460="","",$B$1-MAXIFS(Donasi!$A$2:$A$20000,Donasi!$B$2:$B$20000,A1460))</f>
        <v/>
      </c>
      <c r="C1460">
        <f>IF(A1460="","",COUNTIF(Donasi!$B$2:$B$20000,A1460))</f>
        <v/>
      </c>
      <c r="D1460">
        <f>IF(A1460="","",SUMIF(Donasi!$B$2:$B$20000,A1460,Donasi!$C$2:$C$20000))</f>
        <v/>
      </c>
      <c r="E1460">
        <f>IF(A1460="","",6-CEILING(PERCENTRANK.INC($B$3:$B$6000,B1460,4)*5+0.000001,1))</f>
        <v/>
      </c>
      <c r="F1460">
        <f>IF(A1460="","",MAX(1,CEILING(PERCENTRANK.INC($C$3:$C$6000,C1460,4)*5+0.000001,1)))</f>
        <v/>
      </c>
      <c r="G1460">
        <f>IF(A1460="","",MAX(1,CEILING(PERCENTRANK.INC($D$3:$D$6000,D1460,4)*5+0.000001,1)))</f>
        <v/>
      </c>
      <c r="H1460">
        <f>IF(A1460="","",E1460&amp;F1460&amp;G1460)</f>
        <v/>
      </c>
      <c r="I1460">
        <f>IF(A1460="","",IF(AND(E1460&gt;=4,F1460&gt;=4,G1460&gt;=4),"Juara",IF(AND(F1460&gt;=4,E1460&gt;=3),"Setia",IF(AND(E1460=5,F1460&lt;=2,G1460&gt;=3),"Berpotensi",IF(AND(E1460&lt;=3,E1460&gt;=2,F1460&gt;=3),"Rawan",IF(AND(E1460&lt;=2,F1460&lt;=2),"Tidur","Umum"))))))</f>
        <v/>
      </c>
    </row>
    <row r="1461">
      <c r="B1461">
        <f>IF(A1461="","",$B$1-MAXIFS(Donasi!$A$2:$A$20000,Donasi!$B$2:$B$20000,A1461))</f>
        <v/>
      </c>
      <c r="C1461">
        <f>IF(A1461="","",COUNTIF(Donasi!$B$2:$B$20000,A1461))</f>
        <v/>
      </c>
      <c r="D1461">
        <f>IF(A1461="","",SUMIF(Donasi!$B$2:$B$20000,A1461,Donasi!$C$2:$C$20000))</f>
        <v/>
      </c>
      <c r="E1461">
        <f>IF(A1461="","",6-CEILING(PERCENTRANK.INC($B$3:$B$6000,B1461,4)*5+0.000001,1))</f>
        <v/>
      </c>
      <c r="F1461">
        <f>IF(A1461="","",MAX(1,CEILING(PERCENTRANK.INC($C$3:$C$6000,C1461,4)*5+0.000001,1)))</f>
        <v/>
      </c>
      <c r="G1461">
        <f>IF(A1461="","",MAX(1,CEILING(PERCENTRANK.INC($D$3:$D$6000,D1461,4)*5+0.000001,1)))</f>
        <v/>
      </c>
      <c r="H1461">
        <f>IF(A1461="","",E1461&amp;F1461&amp;G1461)</f>
        <v/>
      </c>
      <c r="I1461">
        <f>IF(A1461="","",IF(AND(E1461&gt;=4,F1461&gt;=4,G1461&gt;=4),"Juara",IF(AND(F1461&gt;=4,E1461&gt;=3),"Setia",IF(AND(E1461=5,F1461&lt;=2,G1461&gt;=3),"Berpotensi",IF(AND(E1461&lt;=3,E1461&gt;=2,F1461&gt;=3),"Rawan",IF(AND(E1461&lt;=2,F1461&lt;=2),"Tidur","Umum"))))))</f>
        <v/>
      </c>
    </row>
    <row r="1462">
      <c r="B1462">
        <f>IF(A1462="","",$B$1-MAXIFS(Donasi!$A$2:$A$20000,Donasi!$B$2:$B$20000,A1462))</f>
        <v/>
      </c>
      <c r="C1462">
        <f>IF(A1462="","",COUNTIF(Donasi!$B$2:$B$20000,A1462))</f>
        <v/>
      </c>
      <c r="D1462">
        <f>IF(A1462="","",SUMIF(Donasi!$B$2:$B$20000,A1462,Donasi!$C$2:$C$20000))</f>
        <v/>
      </c>
      <c r="E1462">
        <f>IF(A1462="","",6-CEILING(PERCENTRANK.INC($B$3:$B$6000,B1462,4)*5+0.000001,1))</f>
        <v/>
      </c>
      <c r="F1462">
        <f>IF(A1462="","",MAX(1,CEILING(PERCENTRANK.INC($C$3:$C$6000,C1462,4)*5+0.000001,1)))</f>
        <v/>
      </c>
      <c r="G1462">
        <f>IF(A1462="","",MAX(1,CEILING(PERCENTRANK.INC($D$3:$D$6000,D1462,4)*5+0.000001,1)))</f>
        <v/>
      </c>
      <c r="H1462">
        <f>IF(A1462="","",E1462&amp;F1462&amp;G1462)</f>
        <v/>
      </c>
      <c r="I1462">
        <f>IF(A1462="","",IF(AND(E1462&gt;=4,F1462&gt;=4,G1462&gt;=4),"Juara",IF(AND(F1462&gt;=4,E1462&gt;=3),"Setia",IF(AND(E1462=5,F1462&lt;=2,G1462&gt;=3),"Berpotensi",IF(AND(E1462&lt;=3,E1462&gt;=2,F1462&gt;=3),"Rawan",IF(AND(E1462&lt;=2,F1462&lt;=2),"Tidur","Umum"))))))</f>
        <v/>
      </c>
    </row>
    <row r="1463">
      <c r="B1463">
        <f>IF(A1463="","",$B$1-MAXIFS(Donasi!$A$2:$A$20000,Donasi!$B$2:$B$20000,A1463))</f>
        <v/>
      </c>
      <c r="C1463">
        <f>IF(A1463="","",COUNTIF(Donasi!$B$2:$B$20000,A1463))</f>
        <v/>
      </c>
      <c r="D1463">
        <f>IF(A1463="","",SUMIF(Donasi!$B$2:$B$20000,A1463,Donasi!$C$2:$C$20000))</f>
        <v/>
      </c>
      <c r="E1463">
        <f>IF(A1463="","",6-CEILING(PERCENTRANK.INC($B$3:$B$6000,B1463,4)*5+0.000001,1))</f>
        <v/>
      </c>
      <c r="F1463">
        <f>IF(A1463="","",MAX(1,CEILING(PERCENTRANK.INC($C$3:$C$6000,C1463,4)*5+0.000001,1)))</f>
        <v/>
      </c>
      <c r="G1463">
        <f>IF(A1463="","",MAX(1,CEILING(PERCENTRANK.INC($D$3:$D$6000,D1463,4)*5+0.000001,1)))</f>
        <v/>
      </c>
      <c r="H1463">
        <f>IF(A1463="","",E1463&amp;F1463&amp;G1463)</f>
        <v/>
      </c>
      <c r="I1463">
        <f>IF(A1463="","",IF(AND(E1463&gt;=4,F1463&gt;=4,G1463&gt;=4),"Juara",IF(AND(F1463&gt;=4,E1463&gt;=3),"Setia",IF(AND(E1463=5,F1463&lt;=2,G1463&gt;=3),"Berpotensi",IF(AND(E1463&lt;=3,E1463&gt;=2,F1463&gt;=3),"Rawan",IF(AND(E1463&lt;=2,F1463&lt;=2),"Tidur","Umum"))))))</f>
        <v/>
      </c>
    </row>
    <row r="1464">
      <c r="B1464">
        <f>IF(A1464="","",$B$1-MAXIFS(Donasi!$A$2:$A$20000,Donasi!$B$2:$B$20000,A1464))</f>
        <v/>
      </c>
      <c r="C1464">
        <f>IF(A1464="","",COUNTIF(Donasi!$B$2:$B$20000,A1464))</f>
        <v/>
      </c>
      <c r="D1464">
        <f>IF(A1464="","",SUMIF(Donasi!$B$2:$B$20000,A1464,Donasi!$C$2:$C$20000))</f>
        <v/>
      </c>
      <c r="E1464">
        <f>IF(A1464="","",6-CEILING(PERCENTRANK.INC($B$3:$B$6000,B1464,4)*5+0.000001,1))</f>
        <v/>
      </c>
      <c r="F1464">
        <f>IF(A1464="","",MAX(1,CEILING(PERCENTRANK.INC($C$3:$C$6000,C1464,4)*5+0.000001,1)))</f>
        <v/>
      </c>
      <c r="G1464">
        <f>IF(A1464="","",MAX(1,CEILING(PERCENTRANK.INC($D$3:$D$6000,D1464,4)*5+0.000001,1)))</f>
        <v/>
      </c>
      <c r="H1464">
        <f>IF(A1464="","",E1464&amp;F1464&amp;G1464)</f>
        <v/>
      </c>
      <c r="I1464">
        <f>IF(A1464="","",IF(AND(E1464&gt;=4,F1464&gt;=4,G1464&gt;=4),"Juara",IF(AND(F1464&gt;=4,E1464&gt;=3),"Setia",IF(AND(E1464=5,F1464&lt;=2,G1464&gt;=3),"Berpotensi",IF(AND(E1464&lt;=3,E1464&gt;=2,F1464&gt;=3),"Rawan",IF(AND(E1464&lt;=2,F1464&lt;=2),"Tidur","Umum"))))))</f>
        <v/>
      </c>
    </row>
    <row r="1465">
      <c r="B1465">
        <f>IF(A1465="","",$B$1-MAXIFS(Donasi!$A$2:$A$20000,Donasi!$B$2:$B$20000,A1465))</f>
        <v/>
      </c>
      <c r="C1465">
        <f>IF(A1465="","",COUNTIF(Donasi!$B$2:$B$20000,A1465))</f>
        <v/>
      </c>
      <c r="D1465">
        <f>IF(A1465="","",SUMIF(Donasi!$B$2:$B$20000,A1465,Donasi!$C$2:$C$20000))</f>
        <v/>
      </c>
      <c r="E1465">
        <f>IF(A1465="","",6-CEILING(PERCENTRANK.INC($B$3:$B$6000,B1465,4)*5+0.000001,1))</f>
        <v/>
      </c>
      <c r="F1465">
        <f>IF(A1465="","",MAX(1,CEILING(PERCENTRANK.INC($C$3:$C$6000,C1465,4)*5+0.000001,1)))</f>
        <v/>
      </c>
      <c r="G1465">
        <f>IF(A1465="","",MAX(1,CEILING(PERCENTRANK.INC($D$3:$D$6000,D1465,4)*5+0.000001,1)))</f>
        <v/>
      </c>
      <c r="H1465">
        <f>IF(A1465="","",E1465&amp;F1465&amp;G1465)</f>
        <v/>
      </c>
      <c r="I1465">
        <f>IF(A1465="","",IF(AND(E1465&gt;=4,F1465&gt;=4,G1465&gt;=4),"Juara",IF(AND(F1465&gt;=4,E1465&gt;=3),"Setia",IF(AND(E1465=5,F1465&lt;=2,G1465&gt;=3),"Berpotensi",IF(AND(E1465&lt;=3,E1465&gt;=2,F1465&gt;=3),"Rawan",IF(AND(E1465&lt;=2,F1465&lt;=2),"Tidur","Umum"))))))</f>
        <v/>
      </c>
    </row>
    <row r="1466">
      <c r="B1466">
        <f>IF(A1466="","",$B$1-MAXIFS(Donasi!$A$2:$A$20000,Donasi!$B$2:$B$20000,A1466))</f>
        <v/>
      </c>
      <c r="C1466">
        <f>IF(A1466="","",COUNTIF(Donasi!$B$2:$B$20000,A1466))</f>
        <v/>
      </c>
      <c r="D1466">
        <f>IF(A1466="","",SUMIF(Donasi!$B$2:$B$20000,A1466,Donasi!$C$2:$C$20000))</f>
        <v/>
      </c>
      <c r="E1466">
        <f>IF(A1466="","",6-CEILING(PERCENTRANK.INC($B$3:$B$6000,B1466,4)*5+0.000001,1))</f>
        <v/>
      </c>
      <c r="F1466">
        <f>IF(A1466="","",MAX(1,CEILING(PERCENTRANK.INC($C$3:$C$6000,C1466,4)*5+0.000001,1)))</f>
        <v/>
      </c>
      <c r="G1466">
        <f>IF(A1466="","",MAX(1,CEILING(PERCENTRANK.INC($D$3:$D$6000,D1466,4)*5+0.000001,1)))</f>
        <v/>
      </c>
      <c r="H1466">
        <f>IF(A1466="","",E1466&amp;F1466&amp;G1466)</f>
        <v/>
      </c>
      <c r="I1466">
        <f>IF(A1466="","",IF(AND(E1466&gt;=4,F1466&gt;=4,G1466&gt;=4),"Juara",IF(AND(F1466&gt;=4,E1466&gt;=3),"Setia",IF(AND(E1466=5,F1466&lt;=2,G1466&gt;=3),"Berpotensi",IF(AND(E1466&lt;=3,E1466&gt;=2,F1466&gt;=3),"Rawan",IF(AND(E1466&lt;=2,F1466&lt;=2),"Tidur","Umum"))))))</f>
        <v/>
      </c>
    </row>
    <row r="1467">
      <c r="B1467">
        <f>IF(A1467="","",$B$1-MAXIFS(Donasi!$A$2:$A$20000,Donasi!$B$2:$B$20000,A1467))</f>
        <v/>
      </c>
      <c r="C1467">
        <f>IF(A1467="","",COUNTIF(Donasi!$B$2:$B$20000,A1467))</f>
        <v/>
      </c>
      <c r="D1467">
        <f>IF(A1467="","",SUMIF(Donasi!$B$2:$B$20000,A1467,Donasi!$C$2:$C$20000))</f>
        <v/>
      </c>
      <c r="E1467">
        <f>IF(A1467="","",6-CEILING(PERCENTRANK.INC($B$3:$B$6000,B1467,4)*5+0.000001,1))</f>
        <v/>
      </c>
      <c r="F1467">
        <f>IF(A1467="","",MAX(1,CEILING(PERCENTRANK.INC($C$3:$C$6000,C1467,4)*5+0.000001,1)))</f>
        <v/>
      </c>
      <c r="G1467">
        <f>IF(A1467="","",MAX(1,CEILING(PERCENTRANK.INC($D$3:$D$6000,D1467,4)*5+0.000001,1)))</f>
        <v/>
      </c>
      <c r="H1467">
        <f>IF(A1467="","",E1467&amp;F1467&amp;G1467)</f>
        <v/>
      </c>
      <c r="I1467">
        <f>IF(A1467="","",IF(AND(E1467&gt;=4,F1467&gt;=4,G1467&gt;=4),"Juara",IF(AND(F1467&gt;=4,E1467&gt;=3),"Setia",IF(AND(E1467=5,F1467&lt;=2,G1467&gt;=3),"Berpotensi",IF(AND(E1467&lt;=3,E1467&gt;=2,F1467&gt;=3),"Rawan",IF(AND(E1467&lt;=2,F1467&lt;=2),"Tidur","Umum"))))))</f>
        <v/>
      </c>
    </row>
    <row r="1468">
      <c r="B1468">
        <f>IF(A1468="","",$B$1-MAXIFS(Donasi!$A$2:$A$20000,Donasi!$B$2:$B$20000,A1468))</f>
        <v/>
      </c>
      <c r="C1468">
        <f>IF(A1468="","",COUNTIF(Donasi!$B$2:$B$20000,A1468))</f>
        <v/>
      </c>
      <c r="D1468">
        <f>IF(A1468="","",SUMIF(Donasi!$B$2:$B$20000,A1468,Donasi!$C$2:$C$20000))</f>
        <v/>
      </c>
      <c r="E1468">
        <f>IF(A1468="","",6-CEILING(PERCENTRANK.INC($B$3:$B$6000,B1468,4)*5+0.000001,1))</f>
        <v/>
      </c>
      <c r="F1468">
        <f>IF(A1468="","",MAX(1,CEILING(PERCENTRANK.INC($C$3:$C$6000,C1468,4)*5+0.000001,1)))</f>
        <v/>
      </c>
      <c r="G1468">
        <f>IF(A1468="","",MAX(1,CEILING(PERCENTRANK.INC($D$3:$D$6000,D1468,4)*5+0.000001,1)))</f>
        <v/>
      </c>
      <c r="H1468">
        <f>IF(A1468="","",E1468&amp;F1468&amp;G1468)</f>
        <v/>
      </c>
      <c r="I1468">
        <f>IF(A1468="","",IF(AND(E1468&gt;=4,F1468&gt;=4,G1468&gt;=4),"Juara",IF(AND(F1468&gt;=4,E1468&gt;=3),"Setia",IF(AND(E1468=5,F1468&lt;=2,G1468&gt;=3),"Berpotensi",IF(AND(E1468&lt;=3,E1468&gt;=2,F1468&gt;=3),"Rawan",IF(AND(E1468&lt;=2,F1468&lt;=2),"Tidur","Umum"))))))</f>
        <v/>
      </c>
    </row>
    <row r="1469">
      <c r="B1469">
        <f>IF(A1469="","",$B$1-MAXIFS(Donasi!$A$2:$A$20000,Donasi!$B$2:$B$20000,A1469))</f>
        <v/>
      </c>
      <c r="C1469">
        <f>IF(A1469="","",COUNTIF(Donasi!$B$2:$B$20000,A1469))</f>
        <v/>
      </c>
      <c r="D1469">
        <f>IF(A1469="","",SUMIF(Donasi!$B$2:$B$20000,A1469,Donasi!$C$2:$C$20000))</f>
        <v/>
      </c>
      <c r="E1469">
        <f>IF(A1469="","",6-CEILING(PERCENTRANK.INC($B$3:$B$6000,B1469,4)*5+0.000001,1))</f>
        <v/>
      </c>
      <c r="F1469">
        <f>IF(A1469="","",MAX(1,CEILING(PERCENTRANK.INC($C$3:$C$6000,C1469,4)*5+0.000001,1)))</f>
        <v/>
      </c>
      <c r="G1469">
        <f>IF(A1469="","",MAX(1,CEILING(PERCENTRANK.INC($D$3:$D$6000,D1469,4)*5+0.000001,1)))</f>
        <v/>
      </c>
      <c r="H1469">
        <f>IF(A1469="","",E1469&amp;F1469&amp;G1469)</f>
        <v/>
      </c>
      <c r="I1469">
        <f>IF(A1469="","",IF(AND(E1469&gt;=4,F1469&gt;=4,G1469&gt;=4),"Juara",IF(AND(F1469&gt;=4,E1469&gt;=3),"Setia",IF(AND(E1469=5,F1469&lt;=2,G1469&gt;=3),"Berpotensi",IF(AND(E1469&lt;=3,E1469&gt;=2,F1469&gt;=3),"Rawan",IF(AND(E1469&lt;=2,F1469&lt;=2),"Tidur","Umum"))))))</f>
        <v/>
      </c>
    </row>
    <row r="1470">
      <c r="B1470">
        <f>IF(A1470="","",$B$1-MAXIFS(Donasi!$A$2:$A$20000,Donasi!$B$2:$B$20000,A1470))</f>
        <v/>
      </c>
      <c r="C1470">
        <f>IF(A1470="","",COUNTIF(Donasi!$B$2:$B$20000,A1470))</f>
        <v/>
      </c>
      <c r="D1470">
        <f>IF(A1470="","",SUMIF(Donasi!$B$2:$B$20000,A1470,Donasi!$C$2:$C$20000))</f>
        <v/>
      </c>
      <c r="E1470">
        <f>IF(A1470="","",6-CEILING(PERCENTRANK.INC($B$3:$B$6000,B1470,4)*5+0.000001,1))</f>
        <v/>
      </c>
      <c r="F1470">
        <f>IF(A1470="","",MAX(1,CEILING(PERCENTRANK.INC($C$3:$C$6000,C1470,4)*5+0.000001,1)))</f>
        <v/>
      </c>
      <c r="G1470">
        <f>IF(A1470="","",MAX(1,CEILING(PERCENTRANK.INC($D$3:$D$6000,D1470,4)*5+0.000001,1)))</f>
        <v/>
      </c>
      <c r="H1470">
        <f>IF(A1470="","",E1470&amp;F1470&amp;G1470)</f>
        <v/>
      </c>
      <c r="I1470">
        <f>IF(A1470="","",IF(AND(E1470&gt;=4,F1470&gt;=4,G1470&gt;=4),"Juara",IF(AND(F1470&gt;=4,E1470&gt;=3),"Setia",IF(AND(E1470=5,F1470&lt;=2,G1470&gt;=3),"Berpotensi",IF(AND(E1470&lt;=3,E1470&gt;=2,F1470&gt;=3),"Rawan",IF(AND(E1470&lt;=2,F1470&lt;=2),"Tidur","Umum"))))))</f>
        <v/>
      </c>
    </row>
    <row r="1471">
      <c r="B1471">
        <f>IF(A1471="","",$B$1-MAXIFS(Donasi!$A$2:$A$20000,Donasi!$B$2:$B$20000,A1471))</f>
        <v/>
      </c>
      <c r="C1471">
        <f>IF(A1471="","",COUNTIF(Donasi!$B$2:$B$20000,A1471))</f>
        <v/>
      </c>
      <c r="D1471">
        <f>IF(A1471="","",SUMIF(Donasi!$B$2:$B$20000,A1471,Donasi!$C$2:$C$20000))</f>
        <v/>
      </c>
      <c r="E1471">
        <f>IF(A1471="","",6-CEILING(PERCENTRANK.INC($B$3:$B$6000,B1471,4)*5+0.000001,1))</f>
        <v/>
      </c>
      <c r="F1471">
        <f>IF(A1471="","",MAX(1,CEILING(PERCENTRANK.INC($C$3:$C$6000,C1471,4)*5+0.000001,1)))</f>
        <v/>
      </c>
      <c r="G1471">
        <f>IF(A1471="","",MAX(1,CEILING(PERCENTRANK.INC($D$3:$D$6000,D1471,4)*5+0.000001,1)))</f>
        <v/>
      </c>
      <c r="H1471">
        <f>IF(A1471="","",E1471&amp;F1471&amp;G1471)</f>
        <v/>
      </c>
      <c r="I1471">
        <f>IF(A1471="","",IF(AND(E1471&gt;=4,F1471&gt;=4,G1471&gt;=4),"Juara",IF(AND(F1471&gt;=4,E1471&gt;=3),"Setia",IF(AND(E1471=5,F1471&lt;=2,G1471&gt;=3),"Berpotensi",IF(AND(E1471&lt;=3,E1471&gt;=2,F1471&gt;=3),"Rawan",IF(AND(E1471&lt;=2,F1471&lt;=2),"Tidur","Umum"))))))</f>
        <v/>
      </c>
    </row>
    <row r="1472">
      <c r="B1472">
        <f>IF(A1472="","",$B$1-MAXIFS(Donasi!$A$2:$A$20000,Donasi!$B$2:$B$20000,A1472))</f>
        <v/>
      </c>
      <c r="C1472">
        <f>IF(A1472="","",COUNTIF(Donasi!$B$2:$B$20000,A1472))</f>
        <v/>
      </c>
      <c r="D1472">
        <f>IF(A1472="","",SUMIF(Donasi!$B$2:$B$20000,A1472,Donasi!$C$2:$C$20000))</f>
        <v/>
      </c>
      <c r="E1472">
        <f>IF(A1472="","",6-CEILING(PERCENTRANK.INC($B$3:$B$6000,B1472,4)*5+0.000001,1))</f>
        <v/>
      </c>
      <c r="F1472">
        <f>IF(A1472="","",MAX(1,CEILING(PERCENTRANK.INC($C$3:$C$6000,C1472,4)*5+0.000001,1)))</f>
        <v/>
      </c>
      <c r="G1472">
        <f>IF(A1472="","",MAX(1,CEILING(PERCENTRANK.INC($D$3:$D$6000,D1472,4)*5+0.000001,1)))</f>
        <v/>
      </c>
      <c r="H1472">
        <f>IF(A1472="","",E1472&amp;F1472&amp;G1472)</f>
        <v/>
      </c>
      <c r="I1472">
        <f>IF(A1472="","",IF(AND(E1472&gt;=4,F1472&gt;=4,G1472&gt;=4),"Juara",IF(AND(F1472&gt;=4,E1472&gt;=3),"Setia",IF(AND(E1472=5,F1472&lt;=2,G1472&gt;=3),"Berpotensi",IF(AND(E1472&lt;=3,E1472&gt;=2,F1472&gt;=3),"Rawan",IF(AND(E1472&lt;=2,F1472&lt;=2),"Tidur","Umum"))))))</f>
        <v/>
      </c>
    </row>
    <row r="1473">
      <c r="B1473">
        <f>IF(A1473="","",$B$1-MAXIFS(Donasi!$A$2:$A$20000,Donasi!$B$2:$B$20000,A1473))</f>
        <v/>
      </c>
      <c r="C1473">
        <f>IF(A1473="","",COUNTIF(Donasi!$B$2:$B$20000,A1473))</f>
        <v/>
      </c>
      <c r="D1473">
        <f>IF(A1473="","",SUMIF(Donasi!$B$2:$B$20000,A1473,Donasi!$C$2:$C$20000))</f>
        <v/>
      </c>
      <c r="E1473">
        <f>IF(A1473="","",6-CEILING(PERCENTRANK.INC($B$3:$B$6000,B1473,4)*5+0.000001,1))</f>
        <v/>
      </c>
      <c r="F1473">
        <f>IF(A1473="","",MAX(1,CEILING(PERCENTRANK.INC($C$3:$C$6000,C1473,4)*5+0.000001,1)))</f>
        <v/>
      </c>
      <c r="G1473">
        <f>IF(A1473="","",MAX(1,CEILING(PERCENTRANK.INC($D$3:$D$6000,D1473,4)*5+0.000001,1)))</f>
        <v/>
      </c>
      <c r="H1473">
        <f>IF(A1473="","",E1473&amp;F1473&amp;G1473)</f>
        <v/>
      </c>
      <c r="I1473">
        <f>IF(A1473="","",IF(AND(E1473&gt;=4,F1473&gt;=4,G1473&gt;=4),"Juara",IF(AND(F1473&gt;=4,E1473&gt;=3),"Setia",IF(AND(E1473=5,F1473&lt;=2,G1473&gt;=3),"Berpotensi",IF(AND(E1473&lt;=3,E1473&gt;=2,F1473&gt;=3),"Rawan",IF(AND(E1473&lt;=2,F1473&lt;=2),"Tidur","Umum"))))))</f>
        <v/>
      </c>
    </row>
    <row r="1474">
      <c r="B1474">
        <f>IF(A1474="","",$B$1-MAXIFS(Donasi!$A$2:$A$20000,Donasi!$B$2:$B$20000,A1474))</f>
        <v/>
      </c>
      <c r="C1474">
        <f>IF(A1474="","",COUNTIF(Donasi!$B$2:$B$20000,A1474))</f>
        <v/>
      </c>
      <c r="D1474">
        <f>IF(A1474="","",SUMIF(Donasi!$B$2:$B$20000,A1474,Donasi!$C$2:$C$20000))</f>
        <v/>
      </c>
      <c r="E1474">
        <f>IF(A1474="","",6-CEILING(PERCENTRANK.INC($B$3:$B$6000,B1474,4)*5+0.000001,1))</f>
        <v/>
      </c>
      <c r="F1474">
        <f>IF(A1474="","",MAX(1,CEILING(PERCENTRANK.INC($C$3:$C$6000,C1474,4)*5+0.000001,1)))</f>
        <v/>
      </c>
      <c r="G1474">
        <f>IF(A1474="","",MAX(1,CEILING(PERCENTRANK.INC($D$3:$D$6000,D1474,4)*5+0.000001,1)))</f>
        <v/>
      </c>
      <c r="H1474">
        <f>IF(A1474="","",E1474&amp;F1474&amp;G1474)</f>
        <v/>
      </c>
      <c r="I1474">
        <f>IF(A1474="","",IF(AND(E1474&gt;=4,F1474&gt;=4,G1474&gt;=4),"Juara",IF(AND(F1474&gt;=4,E1474&gt;=3),"Setia",IF(AND(E1474=5,F1474&lt;=2,G1474&gt;=3),"Berpotensi",IF(AND(E1474&lt;=3,E1474&gt;=2,F1474&gt;=3),"Rawan",IF(AND(E1474&lt;=2,F1474&lt;=2),"Tidur","Umum"))))))</f>
        <v/>
      </c>
    </row>
    <row r="1475">
      <c r="B1475">
        <f>IF(A1475="","",$B$1-MAXIFS(Donasi!$A$2:$A$20000,Donasi!$B$2:$B$20000,A1475))</f>
        <v/>
      </c>
      <c r="C1475">
        <f>IF(A1475="","",COUNTIF(Donasi!$B$2:$B$20000,A1475))</f>
        <v/>
      </c>
      <c r="D1475">
        <f>IF(A1475="","",SUMIF(Donasi!$B$2:$B$20000,A1475,Donasi!$C$2:$C$20000))</f>
        <v/>
      </c>
      <c r="E1475">
        <f>IF(A1475="","",6-CEILING(PERCENTRANK.INC($B$3:$B$6000,B1475,4)*5+0.000001,1))</f>
        <v/>
      </c>
      <c r="F1475">
        <f>IF(A1475="","",MAX(1,CEILING(PERCENTRANK.INC($C$3:$C$6000,C1475,4)*5+0.000001,1)))</f>
        <v/>
      </c>
      <c r="G1475">
        <f>IF(A1475="","",MAX(1,CEILING(PERCENTRANK.INC($D$3:$D$6000,D1475,4)*5+0.000001,1)))</f>
        <v/>
      </c>
      <c r="H1475">
        <f>IF(A1475="","",E1475&amp;F1475&amp;G1475)</f>
        <v/>
      </c>
      <c r="I1475">
        <f>IF(A1475="","",IF(AND(E1475&gt;=4,F1475&gt;=4,G1475&gt;=4),"Juara",IF(AND(F1475&gt;=4,E1475&gt;=3),"Setia",IF(AND(E1475=5,F1475&lt;=2,G1475&gt;=3),"Berpotensi",IF(AND(E1475&lt;=3,E1475&gt;=2,F1475&gt;=3),"Rawan",IF(AND(E1475&lt;=2,F1475&lt;=2),"Tidur","Umum"))))))</f>
        <v/>
      </c>
    </row>
    <row r="1476">
      <c r="B1476">
        <f>IF(A1476="","",$B$1-MAXIFS(Donasi!$A$2:$A$20000,Donasi!$B$2:$B$20000,A1476))</f>
        <v/>
      </c>
      <c r="C1476">
        <f>IF(A1476="","",COUNTIF(Donasi!$B$2:$B$20000,A1476))</f>
        <v/>
      </c>
      <c r="D1476">
        <f>IF(A1476="","",SUMIF(Donasi!$B$2:$B$20000,A1476,Donasi!$C$2:$C$20000))</f>
        <v/>
      </c>
      <c r="E1476">
        <f>IF(A1476="","",6-CEILING(PERCENTRANK.INC($B$3:$B$6000,B1476,4)*5+0.000001,1))</f>
        <v/>
      </c>
      <c r="F1476">
        <f>IF(A1476="","",MAX(1,CEILING(PERCENTRANK.INC($C$3:$C$6000,C1476,4)*5+0.000001,1)))</f>
        <v/>
      </c>
      <c r="G1476">
        <f>IF(A1476="","",MAX(1,CEILING(PERCENTRANK.INC($D$3:$D$6000,D1476,4)*5+0.000001,1)))</f>
        <v/>
      </c>
      <c r="H1476">
        <f>IF(A1476="","",E1476&amp;F1476&amp;G1476)</f>
        <v/>
      </c>
      <c r="I1476">
        <f>IF(A1476="","",IF(AND(E1476&gt;=4,F1476&gt;=4,G1476&gt;=4),"Juara",IF(AND(F1476&gt;=4,E1476&gt;=3),"Setia",IF(AND(E1476=5,F1476&lt;=2,G1476&gt;=3),"Berpotensi",IF(AND(E1476&lt;=3,E1476&gt;=2,F1476&gt;=3),"Rawan",IF(AND(E1476&lt;=2,F1476&lt;=2),"Tidur","Umum"))))))</f>
        <v/>
      </c>
    </row>
    <row r="1477">
      <c r="B1477">
        <f>IF(A1477="","",$B$1-MAXIFS(Donasi!$A$2:$A$20000,Donasi!$B$2:$B$20000,A1477))</f>
        <v/>
      </c>
      <c r="C1477">
        <f>IF(A1477="","",COUNTIF(Donasi!$B$2:$B$20000,A1477))</f>
        <v/>
      </c>
      <c r="D1477">
        <f>IF(A1477="","",SUMIF(Donasi!$B$2:$B$20000,A1477,Donasi!$C$2:$C$20000))</f>
        <v/>
      </c>
      <c r="E1477">
        <f>IF(A1477="","",6-CEILING(PERCENTRANK.INC($B$3:$B$6000,B1477,4)*5+0.000001,1))</f>
        <v/>
      </c>
      <c r="F1477">
        <f>IF(A1477="","",MAX(1,CEILING(PERCENTRANK.INC($C$3:$C$6000,C1477,4)*5+0.000001,1)))</f>
        <v/>
      </c>
      <c r="G1477">
        <f>IF(A1477="","",MAX(1,CEILING(PERCENTRANK.INC($D$3:$D$6000,D1477,4)*5+0.000001,1)))</f>
        <v/>
      </c>
      <c r="H1477">
        <f>IF(A1477="","",E1477&amp;F1477&amp;G1477)</f>
        <v/>
      </c>
      <c r="I1477">
        <f>IF(A1477="","",IF(AND(E1477&gt;=4,F1477&gt;=4,G1477&gt;=4),"Juara",IF(AND(F1477&gt;=4,E1477&gt;=3),"Setia",IF(AND(E1477=5,F1477&lt;=2,G1477&gt;=3),"Berpotensi",IF(AND(E1477&lt;=3,E1477&gt;=2,F1477&gt;=3),"Rawan",IF(AND(E1477&lt;=2,F1477&lt;=2),"Tidur","Umum"))))))</f>
        <v/>
      </c>
    </row>
    <row r="1478">
      <c r="B1478">
        <f>IF(A1478="","",$B$1-MAXIFS(Donasi!$A$2:$A$20000,Donasi!$B$2:$B$20000,A1478))</f>
        <v/>
      </c>
      <c r="C1478">
        <f>IF(A1478="","",COUNTIF(Donasi!$B$2:$B$20000,A1478))</f>
        <v/>
      </c>
      <c r="D1478">
        <f>IF(A1478="","",SUMIF(Donasi!$B$2:$B$20000,A1478,Donasi!$C$2:$C$20000))</f>
        <v/>
      </c>
      <c r="E1478">
        <f>IF(A1478="","",6-CEILING(PERCENTRANK.INC($B$3:$B$6000,B1478,4)*5+0.000001,1))</f>
        <v/>
      </c>
      <c r="F1478">
        <f>IF(A1478="","",MAX(1,CEILING(PERCENTRANK.INC($C$3:$C$6000,C1478,4)*5+0.000001,1)))</f>
        <v/>
      </c>
      <c r="G1478">
        <f>IF(A1478="","",MAX(1,CEILING(PERCENTRANK.INC($D$3:$D$6000,D1478,4)*5+0.000001,1)))</f>
        <v/>
      </c>
      <c r="H1478">
        <f>IF(A1478="","",E1478&amp;F1478&amp;G1478)</f>
        <v/>
      </c>
      <c r="I1478">
        <f>IF(A1478="","",IF(AND(E1478&gt;=4,F1478&gt;=4,G1478&gt;=4),"Juara",IF(AND(F1478&gt;=4,E1478&gt;=3),"Setia",IF(AND(E1478=5,F1478&lt;=2,G1478&gt;=3),"Berpotensi",IF(AND(E1478&lt;=3,E1478&gt;=2,F1478&gt;=3),"Rawan",IF(AND(E1478&lt;=2,F1478&lt;=2),"Tidur","Umum"))))))</f>
        <v/>
      </c>
    </row>
    <row r="1479">
      <c r="B1479">
        <f>IF(A1479="","",$B$1-MAXIFS(Donasi!$A$2:$A$20000,Donasi!$B$2:$B$20000,A1479))</f>
        <v/>
      </c>
      <c r="C1479">
        <f>IF(A1479="","",COUNTIF(Donasi!$B$2:$B$20000,A1479))</f>
        <v/>
      </c>
      <c r="D1479">
        <f>IF(A1479="","",SUMIF(Donasi!$B$2:$B$20000,A1479,Donasi!$C$2:$C$20000))</f>
        <v/>
      </c>
      <c r="E1479">
        <f>IF(A1479="","",6-CEILING(PERCENTRANK.INC($B$3:$B$6000,B1479,4)*5+0.000001,1))</f>
        <v/>
      </c>
      <c r="F1479">
        <f>IF(A1479="","",MAX(1,CEILING(PERCENTRANK.INC($C$3:$C$6000,C1479,4)*5+0.000001,1)))</f>
        <v/>
      </c>
      <c r="G1479">
        <f>IF(A1479="","",MAX(1,CEILING(PERCENTRANK.INC($D$3:$D$6000,D1479,4)*5+0.000001,1)))</f>
        <v/>
      </c>
      <c r="H1479">
        <f>IF(A1479="","",E1479&amp;F1479&amp;G1479)</f>
        <v/>
      </c>
      <c r="I1479">
        <f>IF(A1479="","",IF(AND(E1479&gt;=4,F1479&gt;=4,G1479&gt;=4),"Juara",IF(AND(F1479&gt;=4,E1479&gt;=3),"Setia",IF(AND(E1479=5,F1479&lt;=2,G1479&gt;=3),"Berpotensi",IF(AND(E1479&lt;=3,E1479&gt;=2,F1479&gt;=3),"Rawan",IF(AND(E1479&lt;=2,F1479&lt;=2),"Tidur","Umum"))))))</f>
        <v/>
      </c>
    </row>
    <row r="1480">
      <c r="B1480">
        <f>IF(A1480="","",$B$1-MAXIFS(Donasi!$A$2:$A$20000,Donasi!$B$2:$B$20000,A1480))</f>
        <v/>
      </c>
      <c r="C1480">
        <f>IF(A1480="","",COUNTIF(Donasi!$B$2:$B$20000,A1480))</f>
        <v/>
      </c>
      <c r="D1480">
        <f>IF(A1480="","",SUMIF(Donasi!$B$2:$B$20000,A1480,Donasi!$C$2:$C$20000))</f>
        <v/>
      </c>
      <c r="E1480">
        <f>IF(A1480="","",6-CEILING(PERCENTRANK.INC($B$3:$B$6000,B1480,4)*5+0.000001,1))</f>
        <v/>
      </c>
      <c r="F1480">
        <f>IF(A1480="","",MAX(1,CEILING(PERCENTRANK.INC($C$3:$C$6000,C1480,4)*5+0.000001,1)))</f>
        <v/>
      </c>
      <c r="G1480">
        <f>IF(A1480="","",MAX(1,CEILING(PERCENTRANK.INC($D$3:$D$6000,D1480,4)*5+0.000001,1)))</f>
        <v/>
      </c>
      <c r="H1480">
        <f>IF(A1480="","",E1480&amp;F1480&amp;G1480)</f>
        <v/>
      </c>
      <c r="I1480">
        <f>IF(A1480="","",IF(AND(E1480&gt;=4,F1480&gt;=4,G1480&gt;=4),"Juara",IF(AND(F1480&gt;=4,E1480&gt;=3),"Setia",IF(AND(E1480=5,F1480&lt;=2,G1480&gt;=3),"Berpotensi",IF(AND(E1480&lt;=3,E1480&gt;=2,F1480&gt;=3),"Rawan",IF(AND(E1480&lt;=2,F1480&lt;=2),"Tidur","Umum"))))))</f>
        <v/>
      </c>
    </row>
    <row r="1481">
      <c r="B1481">
        <f>IF(A1481="","",$B$1-MAXIFS(Donasi!$A$2:$A$20000,Donasi!$B$2:$B$20000,A1481))</f>
        <v/>
      </c>
      <c r="C1481">
        <f>IF(A1481="","",COUNTIF(Donasi!$B$2:$B$20000,A1481))</f>
        <v/>
      </c>
      <c r="D1481">
        <f>IF(A1481="","",SUMIF(Donasi!$B$2:$B$20000,A1481,Donasi!$C$2:$C$20000))</f>
        <v/>
      </c>
      <c r="E1481">
        <f>IF(A1481="","",6-CEILING(PERCENTRANK.INC($B$3:$B$6000,B1481,4)*5+0.000001,1))</f>
        <v/>
      </c>
      <c r="F1481">
        <f>IF(A1481="","",MAX(1,CEILING(PERCENTRANK.INC($C$3:$C$6000,C1481,4)*5+0.000001,1)))</f>
        <v/>
      </c>
      <c r="G1481">
        <f>IF(A1481="","",MAX(1,CEILING(PERCENTRANK.INC($D$3:$D$6000,D1481,4)*5+0.000001,1)))</f>
        <v/>
      </c>
      <c r="H1481">
        <f>IF(A1481="","",E1481&amp;F1481&amp;G1481)</f>
        <v/>
      </c>
      <c r="I1481">
        <f>IF(A1481="","",IF(AND(E1481&gt;=4,F1481&gt;=4,G1481&gt;=4),"Juara",IF(AND(F1481&gt;=4,E1481&gt;=3),"Setia",IF(AND(E1481=5,F1481&lt;=2,G1481&gt;=3),"Berpotensi",IF(AND(E1481&lt;=3,E1481&gt;=2,F1481&gt;=3),"Rawan",IF(AND(E1481&lt;=2,F1481&lt;=2),"Tidur","Umum"))))))</f>
        <v/>
      </c>
    </row>
    <row r="1482">
      <c r="B1482">
        <f>IF(A1482="","",$B$1-MAXIFS(Donasi!$A$2:$A$20000,Donasi!$B$2:$B$20000,A1482))</f>
        <v/>
      </c>
      <c r="C1482">
        <f>IF(A1482="","",COUNTIF(Donasi!$B$2:$B$20000,A1482))</f>
        <v/>
      </c>
      <c r="D1482">
        <f>IF(A1482="","",SUMIF(Donasi!$B$2:$B$20000,A1482,Donasi!$C$2:$C$20000))</f>
        <v/>
      </c>
      <c r="E1482">
        <f>IF(A1482="","",6-CEILING(PERCENTRANK.INC($B$3:$B$6000,B1482,4)*5+0.000001,1))</f>
        <v/>
      </c>
      <c r="F1482">
        <f>IF(A1482="","",MAX(1,CEILING(PERCENTRANK.INC($C$3:$C$6000,C1482,4)*5+0.000001,1)))</f>
        <v/>
      </c>
      <c r="G1482">
        <f>IF(A1482="","",MAX(1,CEILING(PERCENTRANK.INC($D$3:$D$6000,D1482,4)*5+0.000001,1)))</f>
        <v/>
      </c>
      <c r="H1482">
        <f>IF(A1482="","",E1482&amp;F1482&amp;G1482)</f>
        <v/>
      </c>
      <c r="I1482">
        <f>IF(A1482="","",IF(AND(E1482&gt;=4,F1482&gt;=4,G1482&gt;=4),"Juara",IF(AND(F1482&gt;=4,E1482&gt;=3),"Setia",IF(AND(E1482=5,F1482&lt;=2,G1482&gt;=3),"Berpotensi",IF(AND(E1482&lt;=3,E1482&gt;=2,F1482&gt;=3),"Rawan",IF(AND(E1482&lt;=2,F1482&lt;=2),"Tidur","Umum"))))))</f>
        <v/>
      </c>
    </row>
    <row r="1483">
      <c r="B1483">
        <f>IF(A1483="","",$B$1-MAXIFS(Donasi!$A$2:$A$20000,Donasi!$B$2:$B$20000,A1483))</f>
        <v/>
      </c>
      <c r="C1483">
        <f>IF(A1483="","",COUNTIF(Donasi!$B$2:$B$20000,A1483))</f>
        <v/>
      </c>
      <c r="D1483">
        <f>IF(A1483="","",SUMIF(Donasi!$B$2:$B$20000,A1483,Donasi!$C$2:$C$20000))</f>
        <v/>
      </c>
      <c r="E1483">
        <f>IF(A1483="","",6-CEILING(PERCENTRANK.INC($B$3:$B$6000,B1483,4)*5+0.000001,1))</f>
        <v/>
      </c>
      <c r="F1483">
        <f>IF(A1483="","",MAX(1,CEILING(PERCENTRANK.INC($C$3:$C$6000,C1483,4)*5+0.000001,1)))</f>
        <v/>
      </c>
      <c r="G1483">
        <f>IF(A1483="","",MAX(1,CEILING(PERCENTRANK.INC($D$3:$D$6000,D1483,4)*5+0.000001,1)))</f>
        <v/>
      </c>
      <c r="H1483">
        <f>IF(A1483="","",E1483&amp;F1483&amp;G1483)</f>
        <v/>
      </c>
      <c r="I1483">
        <f>IF(A1483="","",IF(AND(E1483&gt;=4,F1483&gt;=4,G1483&gt;=4),"Juara",IF(AND(F1483&gt;=4,E1483&gt;=3),"Setia",IF(AND(E1483=5,F1483&lt;=2,G1483&gt;=3),"Berpotensi",IF(AND(E1483&lt;=3,E1483&gt;=2,F1483&gt;=3),"Rawan",IF(AND(E1483&lt;=2,F1483&lt;=2),"Tidur","Umum"))))))</f>
        <v/>
      </c>
    </row>
    <row r="1484">
      <c r="B1484">
        <f>IF(A1484="","",$B$1-MAXIFS(Donasi!$A$2:$A$20000,Donasi!$B$2:$B$20000,A1484))</f>
        <v/>
      </c>
      <c r="C1484">
        <f>IF(A1484="","",COUNTIF(Donasi!$B$2:$B$20000,A1484))</f>
        <v/>
      </c>
      <c r="D1484">
        <f>IF(A1484="","",SUMIF(Donasi!$B$2:$B$20000,A1484,Donasi!$C$2:$C$20000))</f>
        <v/>
      </c>
      <c r="E1484">
        <f>IF(A1484="","",6-CEILING(PERCENTRANK.INC($B$3:$B$6000,B1484,4)*5+0.000001,1))</f>
        <v/>
      </c>
      <c r="F1484">
        <f>IF(A1484="","",MAX(1,CEILING(PERCENTRANK.INC($C$3:$C$6000,C1484,4)*5+0.000001,1)))</f>
        <v/>
      </c>
      <c r="G1484">
        <f>IF(A1484="","",MAX(1,CEILING(PERCENTRANK.INC($D$3:$D$6000,D1484,4)*5+0.000001,1)))</f>
        <v/>
      </c>
      <c r="H1484">
        <f>IF(A1484="","",E1484&amp;F1484&amp;G1484)</f>
        <v/>
      </c>
      <c r="I1484">
        <f>IF(A1484="","",IF(AND(E1484&gt;=4,F1484&gt;=4,G1484&gt;=4),"Juara",IF(AND(F1484&gt;=4,E1484&gt;=3),"Setia",IF(AND(E1484=5,F1484&lt;=2,G1484&gt;=3),"Berpotensi",IF(AND(E1484&lt;=3,E1484&gt;=2,F1484&gt;=3),"Rawan",IF(AND(E1484&lt;=2,F1484&lt;=2),"Tidur","Umum"))))))</f>
        <v/>
      </c>
    </row>
    <row r="1485">
      <c r="B1485">
        <f>IF(A1485="","",$B$1-MAXIFS(Donasi!$A$2:$A$20000,Donasi!$B$2:$B$20000,A1485))</f>
        <v/>
      </c>
      <c r="C1485">
        <f>IF(A1485="","",COUNTIF(Donasi!$B$2:$B$20000,A1485))</f>
        <v/>
      </c>
      <c r="D1485">
        <f>IF(A1485="","",SUMIF(Donasi!$B$2:$B$20000,A1485,Donasi!$C$2:$C$20000))</f>
        <v/>
      </c>
      <c r="E1485">
        <f>IF(A1485="","",6-CEILING(PERCENTRANK.INC($B$3:$B$6000,B1485,4)*5+0.000001,1))</f>
        <v/>
      </c>
      <c r="F1485">
        <f>IF(A1485="","",MAX(1,CEILING(PERCENTRANK.INC($C$3:$C$6000,C1485,4)*5+0.000001,1)))</f>
        <v/>
      </c>
      <c r="G1485">
        <f>IF(A1485="","",MAX(1,CEILING(PERCENTRANK.INC($D$3:$D$6000,D1485,4)*5+0.000001,1)))</f>
        <v/>
      </c>
      <c r="H1485">
        <f>IF(A1485="","",E1485&amp;F1485&amp;G1485)</f>
        <v/>
      </c>
      <c r="I1485">
        <f>IF(A1485="","",IF(AND(E1485&gt;=4,F1485&gt;=4,G1485&gt;=4),"Juara",IF(AND(F1485&gt;=4,E1485&gt;=3),"Setia",IF(AND(E1485=5,F1485&lt;=2,G1485&gt;=3),"Berpotensi",IF(AND(E1485&lt;=3,E1485&gt;=2,F1485&gt;=3),"Rawan",IF(AND(E1485&lt;=2,F1485&lt;=2),"Tidur","Umum"))))))</f>
        <v/>
      </c>
    </row>
    <row r="1486">
      <c r="B1486">
        <f>IF(A1486="","",$B$1-MAXIFS(Donasi!$A$2:$A$20000,Donasi!$B$2:$B$20000,A1486))</f>
        <v/>
      </c>
      <c r="C1486">
        <f>IF(A1486="","",COUNTIF(Donasi!$B$2:$B$20000,A1486))</f>
        <v/>
      </c>
      <c r="D1486">
        <f>IF(A1486="","",SUMIF(Donasi!$B$2:$B$20000,A1486,Donasi!$C$2:$C$20000))</f>
        <v/>
      </c>
      <c r="E1486">
        <f>IF(A1486="","",6-CEILING(PERCENTRANK.INC($B$3:$B$6000,B1486,4)*5+0.000001,1))</f>
        <v/>
      </c>
      <c r="F1486">
        <f>IF(A1486="","",MAX(1,CEILING(PERCENTRANK.INC($C$3:$C$6000,C1486,4)*5+0.000001,1)))</f>
        <v/>
      </c>
      <c r="G1486">
        <f>IF(A1486="","",MAX(1,CEILING(PERCENTRANK.INC($D$3:$D$6000,D1486,4)*5+0.000001,1)))</f>
        <v/>
      </c>
      <c r="H1486">
        <f>IF(A1486="","",E1486&amp;F1486&amp;G1486)</f>
        <v/>
      </c>
      <c r="I1486">
        <f>IF(A1486="","",IF(AND(E1486&gt;=4,F1486&gt;=4,G1486&gt;=4),"Juara",IF(AND(F1486&gt;=4,E1486&gt;=3),"Setia",IF(AND(E1486=5,F1486&lt;=2,G1486&gt;=3),"Berpotensi",IF(AND(E1486&lt;=3,E1486&gt;=2,F1486&gt;=3),"Rawan",IF(AND(E1486&lt;=2,F1486&lt;=2),"Tidur","Umum"))))))</f>
        <v/>
      </c>
    </row>
    <row r="1487">
      <c r="B1487">
        <f>IF(A1487="","",$B$1-MAXIFS(Donasi!$A$2:$A$20000,Donasi!$B$2:$B$20000,A1487))</f>
        <v/>
      </c>
      <c r="C1487">
        <f>IF(A1487="","",COUNTIF(Donasi!$B$2:$B$20000,A1487))</f>
        <v/>
      </c>
      <c r="D1487">
        <f>IF(A1487="","",SUMIF(Donasi!$B$2:$B$20000,A1487,Donasi!$C$2:$C$20000))</f>
        <v/>
      </c>
      <c r="E1487">
        <f>IF(A1487="","",6-CEILING(PERCENTRANK.INC($B$3:$B$6000,B1487,4)*5+0.000001,1))</f>
        <v/>
      </c>
      <c r="F1487">
        <f>IF(A1487="","",MAX(1,CEILING(PERCENTRANK.INC($C$3:$C$6000,C1487,4)*5+0.000001,1)))</f>
        <v/>
      </c>
      <c r="G1487">
        <f>IF(A1487="","",MAX(1,CEILING(PERCENTRANK.INC($D$3:$D$6000,D1487,4)*5+0.000001,1)))</f>
        <v/>
      </c>
      <c r="H1487">
        <f>IF(A1487="","",E1487&amp;F1487&amp;G1487)</f>
        <v/>
      </c>
      <c r="I1487">
        <f>IF(A1487="","",IF(AND(E1487&gt;=4,F1487&gt;=4,G1487&gt;=4),"Juara",IF(AND(F1487&gt;=4,E1487&gt;=3),"Setia",IF(AND(E1487=5,F1487&lt;=2,G1487&gt;=3),"Berpotensi",IF(AND(E1487&lt;=3,E1487&gt;=2,F1487&gt;=3),"Rawan",IF(AND(E1487&lt;=2,F1487&lt;=2),"Tidur","Umum"))))))</f>
        <v/>
      </c>
    </row>
    <row r="1488">
      <c r="B1488">
        <f>IF(A1488="","",$B$1-MAXIFS(Donasi!$A$2:$A$20000,Donasi!$B$2:$B$20000,A1488))</f>
        <v/>
      </c>
      <c r="C1488">
        <f>IF(A1488="","",COUNTIF(Donasi!$B$2:$B$20000,A1488))</f>
        <v/>
      </c>
      <c r="D1488">
        <f>IF(A1488="","",SUMIF(Donasi!$B$2:$B$20000,A1488,Donasi!$C$2:$C$20000))</f>
        <v/>
      </c>
      <c r="E1488">
        <f>IF(A1488="","",6-CEILING(PERCENTRANK.INC($B$3:$B$6000,B1488,4)*5+0.000001,1))</f>
        <v/>
      </c>
      <c r="F1488">
        <f>IF(A1488="","",MAX(1,CEILING(PERCENTRANK.INC($C$3:$C$6000,C1488,4)*5+0.000001,1)))</f>
        <v/>
      </c>
      <c r="G1488">
        <f>IF(A1488="","",MAX(1,CEILING(PERCENTRANK.INC($D$3:$D$6000,D1488,4)*5+0.000001,1)))</f>
        <v/>
      </c>
      <c r="H1488">
        <f>IF(A1488="","",E1488&amp;F1488&amp;G1488)</f>
        <v/>
      </c>
      <c r="I1488">
        <f>IF(A1488="","",IF(AND(E1488&gt;=4,F1488&gt;=4,G1488&gt;=4),"Juara",IF(AND(F1488&gt;=4,E1488&gt;=3),"Setia",IF(AND(E1488=5,F1488&lt;=2,G1488&gt;=3),"Berpotensi",IF(AND(E1488&lt;=3,E1488&gt;=2,F1488&gt;=3),"Rawan",IF(AND(E1488&lt;=2,F1488&lt;=2),"Tidur","Umum"))))))</f>
        <v/>
      </c>
    </row>
    <row r="1489">
      <c r="B1489">
        <f>IF(A1489="","",$B$1-MAXIFS(Donasi!$A$2:$A$20000,Donasi!$B$2:$B$20000,A1489))</f>
        <v/>
      </c>
      <c r="C1489">
        <f>IF(A1489="","",COUNTIF(Donasi!$B$2:$B$20000,A1489))</f>
        <v/>
      </c>
      <c r="D1489">
        <f>IF(A1489="","",SUMIF(Donasi!$B$2:$B$20000,A1489,Donasi!$C$2:$C$20000))</f>
        <v/>
      </c>
      <c r="E1489">
        <f>IF(A1489="","",6-CEILING(PERCENTRANK.INC($B$3:$B$6000,B1489,4)*5+0.000001,1))</f>
        <v/>
      </c>
      <c r="F1489">
        <f>IF(A1489="","",MAX(1,CEILING(PERCENTRANK.INC($C$3:$C$6000,C1489,4)*5+0.000001,1)))</f>
        <v/>
      </c>
      <c r="G1489">
        <f>IF(A1489="","",MAX(1,CEILING(PERCENTRANK.INC($D$3:$D$6000,D1489,4)*5+0.000001,1)))</f>
        <v/>
      </c>
      <c r="H1489">
        <f>IF(A1489="","",E1489&amp;F1489&amp;G1489)</f>
        <v/>
      </c>
      <c r="I1489">
        <f>IF(A1489="","",IF(AND(E1489&gt;=4,F1489&gt;=4,G1489&gt;=4),"Juara",IF(AND(F1489&gt;=4,E1489&gt;=3),"Setia",IF(AND(E1489=5,F1489&lt;=2,G1489&gt;=3),"Berpotensi",IF(AND(E1489&lt;=3,E1489&gt;=2,F1489&gt;=3),"Rawan",IF(AND(E1489&lt;=2,F1489&lt;=2),"Tidur","Umum"))))))</f>
        <v/>
      </c>
    </row>
    <row r="1490">
      <c r="B1490">
        <f>IF(A1490="","",$B$1-MAXIFS(Donasi!$A$2:$A$20000,Donasi!$B$2:$B$20000,A1490))</f>
        <v/>
      </c>
      <c r="C1490">
        <f>IF(A1490="","",COUNTIF(Donasi!$B$2:$B$20000,A1490))</f>
        <v/>
      </c>
      <c r="D1490">
        <f>IF(A1490="","",SUMIF(Donasi!$B$2:$B$20000,A1490,Donasi!$C$2:$C$20000))</f>
        <v/>
      </c>
      <c r="E1490">
        <f>IF(A1490="","",6-CEILING(PERCENTRANK.INC($B$3:$B$6000,B1490,4)*5+0.000001,1))</f>
        <v/>
      </c>
      <c r="F1490">
        <f>IF(A1490="","",MAX(1,CEILING(PERCENTRANK.INC($C$3:$C$6000,C1490,4)*5+0.000001,1)))</f>
        <v/>
      </c>
      <c r="G1490">
        <f>IF(A1490="","",MAX(1,CEILING(PERCENTRANK.INC($D$3:$D$6000,D1490,4)*5+0.000001,1)))</f>
        <v/>
      </c>
      <c r="H1490">
        <f>IF(A1490="","",E1490&amp;F1490&amp;G1490)</f>
        <v/>
      </c>
      <c r="I1490">
        <f>IF(A1490="","",IF(AND(E1490&gt;=4,F1490&gt;=4,G1490&gt;=4),"Juara",IF(AND(F1490&gt;=4,E1490&gt;=3),"Setia",IF(AND(E1490=5,F1490&lt;=2,G1490&gt;=3),"Berpotensi",IF(AND(E1490&lt;=3,E1490&gt;=2,F1490&gt;=3),"Rawan",IF(AND(E1490&lt;=2,F1490&lt;=2),"Tidur","Umum"))))))</f>
        <v/>
      </c>
    </row>
    <row r="1491">
      <c r="B1491">
        <f>IF(A1491="","",$B$1-MAXIFS(Donasi!$A$2:$A$20000,Donasi!$B$2:$B$20000,A1491))</f>
        <v/>
      </c>
      <c r="C1491">
        <f>IF(A1491="","",COUNTIF(Donasi!$B$2:$B$20000,A1491))</f>
        <v/>
      </c>
      <c r="D1491">
        <f>IF(A1491="","",SUMIF(Donasi!$B$2:$B$20000,A1491,Donasi!$C$2:$C$20000))</f>
        <v/>
      </c>
      <c r="E1491">
        <f>IF(A1491="","",6-CEILING(PERCENTRANK.INC($B$3:$B$6000,B1491,4)*5+0.000001,1))</f>
        <v/>
      </c>
      <c r="F1491">
        <f>IF(A1491="","",MAX(1,CEILING(PERCENTRANK.INC($C$3:$C$6000,C1491,4)*5+0.000001,1)))</f>
        <v/>
      </c>
      <c r="G1491">
        <f>IF(A1491="","",MAX(1,CEILING(PERCENTRANK.INC($D$3:$D$6000,D1491,4)*5+0.000001,1)))</f>
        <v/>
      </c>
      <c r="H1491">
        <f>IF(A1491="","",E1491&amp;F1491&amp;G1491)</f>
        <v/>
      </c>
      <c r="I1491">
        <f>IF(A1491="","",IF(AND(E1491&gt;=4,F1491&gt;=4,G1491&gt;=4),"Juara",IF(AND(F1491&gt;=4,E1491&gt;=3),"Setia",IF(AND(E1491=5,F1491&lt;=2,G1491&gt;=3),"Berpotensi",IF(AND(E1491&lt;=3,E1491&gt;=2,F1491&gt;=3),"Rawan",IF(AND(E1491&lt;=2,F1491&lt;=2),"Tidur","Umum"))))))</f>
        <v/>
      </c>
    </row>
    <row r="1492">
      <c r="B1492">
        <f>IF(A1492="","",$B$1-MAXIFS(Donasi!$A$2:$A$20000,Donasi!$B$2:$B$20000,A1492))</f>
        <v/>
      </c>
      <c r="C1492">
        <f>IF(A1492="","",COUNTIF(Donasi!$B$2:$B$20000,A1492))</f>
        <v/>
      </c>
      <c r="D1492">
        <f>IF(A1492="","",SUMIF(Donasi!$B$2:$B$20000,A1492,Donasi!$C$2:$C$20000))</f>
        <v/>
      </c>
      <c r="E1492">
        <f>IF(A1492="","",6-CEILING(PERCENTRANK.INC($B$3:$B$6000,B1492,4)*5+0.000001,1))</f>
        <v/>
      </c>
      <c r="F1492">
        <f>IF(A1492="","",MAX(1,CEILING(PERCENTRANK.INC($C$3:$C$6000,C1492,4)*5+0.000001,1)))</f>
        <v/>
      </c>
      <c r="G1492">
        <f>IF(A1492="","",MAX(1,CEILING(PERCENTRANK.INC($D$3:$D$6000,D1492,4)*5+0.000001,1)))</f>
        <v/>
      </c>
      <c r="H1492">
        <f>IF(A1492="","",E1492&amp;F1492&amp;G1492)</f>
        <v/>
      </c>
      <c r="I1492">
        <f>IF(A1492="","",IF(AND(E1492&gt;=4,F1492&gt;=4,G1492&gt;=4),"Juara",IF(AND(F1492&gt;=4,E1492&gt;=3),"Setia",IF(AND(E1492=5,F1492&lt;=2,G1492&gt;=3),"Berpotensi",IF(AND(E1492&lt;=3,E1492&gt;=2,F1492&gt;=3),"Rawan",IF(AND(E1492&lt;=2,F1492&lt;=2),"Tidur","Umum"))))))</f>
        <v/>
      </c>
    </row>
    <row r="1493">
      <c r="B1493">
        <f>IF(A1493="","",$B$1-MAXIFS(Donasi!$A$2:$A$20000,Donasi!$B$2:$B$20000,A1493))</f>
        <v/>
      </c>
      <c r="C1493">
        <f>IF(A1493="","",COUNTIF(Donasi!$B$2:$B$20000,A1493))</f>
        <v/>
      </c>
      <c r="D1493">
        <f>IF(A1493="","",SUMIF(Donasi!$B$2:$B$20000,A1493,Donasi!$C$2:$C$20000))</f>
        <v/>
      </c>
      <c r="E1493">
        <f>IF(A1493="","",6-CEILING(PERCENTRANK.INC($B$3:$B$6000,B1493,4)*5+0.000001,1))</f>
        <v/>
      </c>
      <c r="F1493">
        <f>IF(A1493="","",MAX(1,CEILING(PERCENTRANK.INC($C$3:$C$6000,C1493,4)*5+0.000001,1)))</f>
        <v/>
      </c>
      <c r="G1493">
        <f>IF(A1493="","",MAX(1,CEILING(PERCENTRANK.INC($D$3:$D$6000,D1493,4)*5+0.000001,1)))</f>
        <v/>
      </c>
      <c r="H1493">
        <f>IF(A1493="","",E1493&amp;F1493&amp;G1493)</f>
        <v/>
      </c>
      <c r="I1493">
        <f>IF(A1493="","",IF(AND(E1493&gt;=4,F1493&gt;=4,G1493&gt;=4),"Juara",IF(AND(F1493&gt;=4,E1493&gt;=3),"Setia",IF(AND(E1493=5,F1493&lt;=2,G1493&gt;=3),"Berpotensi",IF(AND(E1493&lt;=3,E1493&gt;=2,F1493&gt;=3),"Rawan",IF(AND(E1493&lt;=2,F1493&lt;=2),"Tidur","Umum"))))))</f>
        <v/>
      </c>
    </row>
    <row r="1494">
      <c r="B1494">
        <f>IF(A1494="","",$B$1-MAXIFS(Donasi!$A$2:$A$20000,Donasi!$B$2:$B$20000,A1494))</f>
        <v/>
      </c>
      <c r="C1494">
        <f>IF(A1494="","",COUNTIF(Donasi!$B$2:$B$20000,A1494))</f>
        <v/>
      </c>
      <c r="D1494">
        <f>IF(A1494="","",SUMIF(Donasi!$B$2:$B$20000,A1494,Donasi!$C$2:$C$20000))</f>
        <v/>
      </c>
      <c r="E1494">
        <f>IF(A1494="","",6-CEILING(PERCENTRANK.INC($B$3:$B$6000,B1494,4)*5+0.000001,1))</f>
        <v/>
      </c>
      <c r="F1494">
        <f>IF(A1494="","",MAX(1,CEILING(PERCENTRANK.INC($C$3:$C$6000,C1494,4)*5+0.000001,1)))</f>
        <v/>
      </c>
      <c r="G1494">
        <f>IF(A1494="","",MAX(1,CEILING(PERCENTRANK.INC($D$3:$D$6000,D1494,4)*5+0.000001,1)))</f>
        <v/>
      </c>
      <c r="H1494">
        <f>IF(A1494="","",E1494&amp;F1494&amp;G1494)</f>
        <v/>
      </c>
      <c r="I1494">
        <f>IF(A1494="","",IF(AND(E1494&gt;=4,F1494&gt;=4,G1494&gt;=4),"Juara",IF(AND(F1494&gt;=4,E1494&gt;=3),"Setia",IF(AND(E1494=5,F1494&lt;=2,G1494&gt;=3),"Berpotensi",IF(AND(E1494&lt;=3,E1494&gt;=2,F1494&gt;=3),"Rawan",IF(AND(E1494&lt;=2,F1494&lt;=2),"Tidur","Umum"))))))</f>
        <v/>
      </c>
    </row>
    <row r="1495">
      <c r="B1495">
        <f>IF(A1495="","",$B$1-MAXIFS(Donasi!$A$2:$A$20000,Donasi!$B$2:$B$20000,A1495))</f>
        <v/>
      </c>
      <c r="C1495">
        <f>IF(A1495="","",COUNTIF(Donasi!$B$2:$B$20000,A1495))</f>
        <v/>
      </c>
      <c r="D1495">
        <f>IF(A1495="","",SUMIF(Donasi!$B$2:$B$20000,A1495,Donasi!$C$2:$C$20000))</f>
        <v/>
      </c>
      <c r="E1495">
        <f>IF(A1495="","",6-CEILING(PERCENTRANK.INC($B$3:$B$6000,B1495,4)*5+0.000001,1))</f>
        <v/>
      </c>
      <c r="F1495">
        <f>IF(A1495="","",MAX(1,CEILING(PERCENTRANK.INC($C$3:$C$6000,C1495,4)*5+0.000001,1)))</f>
        <v/>
      </c>
      <c r="G1495">
        <f>IF(A1495="","",MAX(1,CEILING(PERCENTRANK.INC($D$3:$D$6000,D1495,4)*5+0.000001,1)))</f>
        <v/>
      </c>
      <c r="H1495">
        <f>IF(A1495="","",E1495&amp;F1495&amp;G1495)</f>
        <v/>
      </c>
      <c r="I1495">
        <f>IF(A1495="","",IF(AND(E1495&gt;=4,F1495&gt;=4,G1495&gt;=4),"Juara",IF(AND(F1495&gt;=4,E1495&gt;=3),"Setia",IF(AND(E1495=5,F1495&lt;=2,G1495&gt;=3),"Berpotensi",IF(AND(E1495&lt;=3,E1495&gt;=2,F1495&gt;=3),"Rawan",IF(AND(E1495&lt;=2,F1495&lt;=2),"Tidur","Umum"))))))</f>
        <v/>
      </c>
    </row>
    <row r="1496">
      <c r="B1496">
        <f>IF(A1496="","",$B$1-MAXIFS(Donasi!$A$2:$A$20000,Donasi!$B$2:$B$20000,A1496))</f>
        <v/>
      </c>
      <c r="C1496">
        <f>IF(A1496="","",COUNTIF(Donasi!$B$2:$B$20000,A1496))</f>
        <v/>
      </c>
      <c r="D1496">
        <f>IF(A1496="","",SUMIF(Donasi!$B$2:$B$20000,A1496,Donasi!$C$2:$C$20000))</f>
        <v/>
      </c>
      <c r="E1496">
        <f>IF(A1496="","",6-CEILING(PERCENTRANK.INC($B$3:$B$6000,B1496,4)*5+0.000001,1))</f>
        <v/>
      </c>
      <c r="F1496">
        <f>IF(A1496="","",MAX(1,CEILING(PERCENTRANK.INC($C$3:$C$6000,C1496,4)*5+0.000001,1)))</f>
        <v/>
      </c>
      <c r="G1496">
        <f>IF(A1496="","",MAX(1,CEILING(PERCENTRANK.INC($D$3:$D$6000,D1496,4)*5+0.000001,1)))</f>
        <v/>
      </c>
      <c r="H1496">
        <f>IF(A1496="","",E1496&amp;F1496&amp;G1496)</f>
        <v/>
      </c>
      <c r="I1496">
        <f>IF(A1496="","",IF(AND(E1496&gt;=4,F1496&gt;=4,G1496&gt;=4),"Juara",IF(AND(F1496&gt;=4,E1496&gt;=3),"Setia",IF(AND(E1496=5,F1496&lt;=2,G1496&gt;=3),"Berpotensi",IF(AND(E1496&lt;=3,E1496&gt;=2,F1496&gt;=3),"Rawan",IF(AND(E1496&lt;=2,F1496&lt;=2),"Tidur","Umum"))))))</f>
        <v/>
      </c>
    </row>
    <row r="1497">
      <c r="B1497">
        <f>IF(A1497="","",$B$1-MAXIFS(Donasi!$A$2:$A$20000,Donasi!$B$2:$B$20000,A1497))</f>
        <v/>
      </c>
      <c r="C1497">
        <f>IF(A1497="","",COUNTIF(Donasi!$B$2:$B$20000,A1497))</f>
        <v/>
      </c>
      <c r="D1497">
        <f>IF(A1497="","",SUMIF(Donasi!$B$2:$B$20000,A1497,Donasi!$C$2:$C$20000))</f>
        <v/>
      </c>
      <c r="E1497">
        <f>IF(A1497="","",6-CEILING(PERCENTRANK.INC($B$3:$B$6000,B1497,4)*5+0.000001,1))</f>
        <v/>
      </c>
      <c r="F1497">
        <f>IF(A1497="","",MAX(1,CEILING(PERCENTRANK.INC($C$3:$C$6000,C1497,4)*5+0.000001,1)))</f>
        <v/>
      </c>
      <c r="G1497">
        <f>IF(A1497="","",MAX(1,CEILING(PERCENTRANK.INC($D$3:$D$6000,D1497,4)*5+0.000001,1)))</f>
        <v/>
      </c>
      <c r="H1497">
        <f>IF(A1497="","",E1497&amp;F1497&amp;G1497)</f>
        <v/>
      </c>
      <c r="I1497">
        <f>IF(A1497="","",IF(AND(E1497&gt;=4,F1497&gt;=4,G1497&gt;=4),"Juara",IF(AND(F1497&gt;=4,E1497&gt;=3),"Setia",IF(AND(E1497=5,F1497&lt;=2,G1497&gt;=3),"Berpotensi",IF(AND(E1497&lt;=3,E1497&gt;=2,F1497&gt;=3),"Rawan",IF(AND(E1497&lt;=2,F1497&lt;=2),"Tidur","Umum"))))))</f>
        <v/>
      </c>
    </row>
    <row r="1498">
      <c r="B1498">
        <f>IF(A1498="","",$B$1-MAXIFS(Donasi!$A$2:$A$20000,Donasi!$B$2:$B$20000,A1498))</f>
        <v/>
      </c>
      <c r="C1498">
        <f>IF(A1498="","",COUNTIF(Donasi!$B$2:$B$20000,A1498))</f>
        <v/>
      </c>
      <c r="D1498">
        <f>IF(A1498="","",SUMIF(Donasi!$B$2:$B$20000,A1498,Donasi!$C$2:$C$20000))</f>
        <v/>
      </c>
      <c r="E1498">
        <f>IF(A1498="","",6-CEILING(PERCENTRANK.INC($B$3:$B$6000,B1498,4)*5+0.000001,1))</f>
        <v/>
      </c>
      <c r="F1498">
        <f>IF(A1498="","",MAX(1,CEILING(PERCENTRANK.INC($C$3:$C$6000,C1498,4)*5+0.000001,1)))</f>
        <v/>
      </c>
      <c r="G1498">
        <f>IF(A1498="","",MAX(1,CEILING(PERCENTRANK.INC($D$3:$D$6000,D1498,4)*5+0.000001,1)))</f>
        <v/>
      </c>
      <c r="H1498">
        <f>IF(A1498="","",E1498&amp;F1498&amp;G1498)</f>
        <v/>
      </c>
      <c r="I1498">
        <f>IF(A1498="","",IF(AND(E1498&gt;=4,F1498&gt;=4,G1498&gt;=4),"Juara",IF(AND(F1498&gt;=4,E1498&gt;=3),"Setia",IF(AND(E1498=5,F1498&lt;=2,G1498&gt;=3),"Berpotensi",IF(AND(E1498&lt;=3,E1498&gt;=2,F1498&gt;=3),"Rawan",IF(AND(E1498&lt;=2,F1498&lt;=2),"Tidur","Umum"))))))</f>
        <v/>
      </c>
    </row>
    <row r="1499">
      <c r="B1499">
        <f>IF(A1499="","",$B$1-MAXIFS(Donasi!$A$2:$A$20000,Donasi!$B$2:$B$20000,A1499))</f>
        <v/>
      </c>
      <c r="C1499">
        <f>IF(A1499="","",COUNTIF(Donasi!$B$2:$B$20000,A1499))</f>
        <v/>
      </c>
      <c r="D1499">
        <f>IF(A1499="","",SUMIF(Donasi!$B$2:$B$20000,A1499,Donasi!$C$2:$C$20000))</f>
        <v/>
      </c>
      <c r="E1499">
        <f>IF(A1499="","",6-CEILING(PERCENTRANK.INC($B$3:$B$6000,B1499,4)*5+0.000001,1))</f>
        <v/>
      </c>
      <c r="F1499">
        <f>IF(A1499="","",MAX(1,CEILING(PERCENTRANK.INC($C$3:$C$6000,C1499,4)*5+0.000001,1)))</f>
        <v/>
      </c>
      <c r="G1499">
        <f>IF(A1499="","",MAX(1,CEILING(PERCENTRANK.INC($D$3:$D$6000,D1499,4)*5+0.000001,1)))</f>
        <v/>
      </c>
      <c r="H1499">
        <f>IF(A1499="","",E1499&amp;F1499&amp;G1499)</f>
        <v/>
      </c>
      <c r="I1499">
        <f>IF(A1499="","",IF(AND(E1499&gt;=4,F1499&gt;=4,G1499&gt;=4),"Juara",IF(AND(F1499&gt;=4,E1499&gt;=3),"Setia",IF(AND(E1499=5,F1499&lt;=2,G1499&gt;=3),"Berpotensi",IF(AND(E1499&lt;=3,E1499&gt;=2,F1499&gt;=3),"Rawan",IF(AND(E1499&lt;=2,F1499&lt;=2),"Tidur","Umum"))))))</f>
        <v/>
      </c>
    </row>
    <row r="1500">
      <c r="B1500">
        <f>IF(A1500="","",$B$1-MAXIFS(Donasi!$A$2:$A$20000,Donasi!$B$2:$B$20000,A1500))</f>
        <v/>
      </c>
      <c r="C1500">
        <f>IF(A1500="","",COUNTIF(Donasi!$B$2:$B$20000,A1500))</f>
        <v/>
      </c>
      <c r="D1500">
        <f>IF(A1500="","",SUMIF(Donasi!$B$2:$B$20000,A1500,Donasi!$C$2:$C$20000))</f>
        <v/>
      </c>
      <c r="E1500">
        <f>IF(A1500="","",6-CEILING(PERCENTRANK.INC($B$3:$B$6000,B1500,4)*5+0.000001,1))</f>
        <v/>
      </c>
      <c r="F1500">
        <f>IF(A1500="","",MAX(1,CEILING(PERCENTRANK.INC($C$3:$C$6000,C1500,4)*5+0.000001,1)))</f>
        <v/>
      </c>
      <c r="G1500">
        <f>IF(A1500="","",MAX(1,CEILING(PERCENTRANK.INC($D$3:$D$6000,D1500,4)*5+0.000001,1)))</f>
        <v/>
      </c>
      <c r="H1500">
        <f>IF(A1500="","",E1500&amp;F1500&amp;G1500)</f>
        <v/>
      </c>
      <c r="I1500">
        <f>IF(A1500="","",IF(AND(E1500&gt;=4,F1500&gt;=4,G1500&gt;=4),"Juara",IF(AND(F1500&gt;=4,E1500&gt;=3),"Setia",IF(AND(E1500=5,F1500&lt;=2,G1500&gt;=3),"Berpotensi",IF(AND(E1500&lt;=3,E1500&gt;=2,F1500&gt;=3),"Rawan",IF(AND(E1500&lt;=2,F1500&lt;=2),"Tidur","Umum"))))))</f>
        <v/>
      </c>
    </row>
    <row r="1501">
      <c r="B1501">
        <f>IF(A1501="","",$B$1-MAXIFS(Donasi!$A$2:$A$20000,Donasi!$B$2:$B$20000,A1501))</f>
        <v/>
      </c>
      <c r="C1501">
        <f>IF(A1501="","",COUNTIF(Donasi!$B$2:$B$20000,A1501))</f>
        <v/>
      </c>
      <c r="D1501">
        <f>IF(A1501="","",SUMIF(Donasi!$B$2:$B$20000,A1501,Donasi!$C$2:$C$20000))</f>
        <v/>
      </c>
      <c r="E1501">
        <f>IF(A1501="","",6-CEILING(PERCENTRANK.INC($B$3:$B$6000,B1501,4)*5+0.000001,1))</f>
        <v/>
      </c>
      <c r="F1501">
        <f>IF(A1501="","",MAX(1,CEILING(PERCENTRANK.INC($C$3:$C$6000,C1501,4)*5+0.000001,1)))</f>
        <v/>
      </c>
      <c r="G1501">
        <f>IF(A1501="","",MAX(1,CEILING(PERCENTRANK.INC($D$3:$D$6000,D1501,4)*5+0.000001,1)))</f>
        <v/>
      </c>
      <c r="H1501">
        <f>IF(A1501="","",E1501&amp;F1501&amp;G1501)</f>
        <v/>
      </c>
      <c r="I1501">
        <f>IF(A1501="","",IF(AND(E1501&gt;=4,F1501&gt;=4,G1501&gt;=4),"Juara",IF(AND(F1501&gt;=4,E1501&gt;=3),"Setia",IF(AND(E1501=5,F1501&lt;=2,G1501&gt;=3),"Berpotensi",IF(AND(E1501&lt;=3,E1501&gt;=2,F1501&gt;=3),"Rawan",IF(AND(E1501&lt;=2,F1501&lt;=2),"Tidur","Umum"))))))</f>
        <v/>
      </c>
    </row>
    <row r="1502">
      <c r="B1502">
        <f>IF(A1502="","",$B$1-MAXIFS(Donasi!$A$2:$A$20000,Donasi!$B$2:$B$20000,A1502))</f>
        <v/>
      </c>
      <c r="C1502">
        <f>IF(A1502="","",COUNTIF(Donasi!$B$2:$B$20000,A1502))</f>
        <v/>
      </c>
      <c r="D1502">
        <f>IF(A1502="","",SUMIF(Donasi!$B$2:$B$20000,A1502,Donasi!$C$2:$C$20000))</f>
        <v/>
      </c>
      <c r="E1502">
        <f>IF(A1502="","",6-CEILING(PERCENTRANK.INC($B$3:$B$6000,B1502,4)*5+0.000001,1))</f>
        <v/>
      </c>
      <c r="F1502">
        <f>IF(A1502="","",MAX(1,CEILING(PERCENTRANK.INC($C$3:$C$6000,C1502,4)*5+0.000001,1)))</f>
        <v/>
      </c>
      <c r="G1502">
        <f>IF(A1502="","",MAX(1,CEILING(PERCENTRANK.INC($D$3:$D$6000,D1502,4)*5+0.000001,1)))</f>
        <v/>
      </c>
      <c r="H1502">
        <f>IF(A1502="","",E1502&amp;F1502&amp;G1502)</f>
        <v/>
      </c>
      <c r="I1502">
        <f>IF(A1502="","",IF(AND(E1502&gt;=4,F1502&gt;=4,G1502&gt;=4),"Juara",IF(AND(F1502&gt;=4,E1502&gt;=3),"Setia",IF(AND(E1502=5,F1502&lt;=2,G1502&gt;=3),"Berpotensi",IF(AND(E1502&lt;=3,E1502&gt;=2,F1502&gt;=3),"Rawan",IF(AND(E1502&lt;=2,F1502&lt;=2),"Tidur","Umum"))))))</f>
        <v/>
      </c>
    </row>
    <row r="1503">
      <c r="B1503">
        <f>IF(A1503="","",$B$1-MAXIFS(Donasi!$A$2:$A$20000,Donasi!$B$2:$B$20000,A1503))</f>
        <v/>
      </c>
      <c r="C1503">
        <f>IF(A1503="","",COUNTIF(Donasi!$B$2:$B$20000,A1503))</f>
        <v/>
      </c>
      <c r="D1503">
        <f>IF(A1503="","",SUMIF(Donasi!$B$2:$B$20000,A1503,Donasi!$C$2:$C$20000))</f>
        <v/>
      </c>
      <c r="E1503">
        <f>IF(A1503="","",6-CEILING(PERCENTRANK.INC($B$3:$B$6000,B1503,4)*5+0.000001,1))</f>
        <v/>
      </c>
      <c r="F1503">
        <f>IF(A1503="","",MAX(1,CEILING(PERCENTRANK.INC($C$3:$C$6000,C1503,4)*5+0.000001,1)))</f>
        <v/>
      </c>
      <c r="G1503">
        <f>IF(A1503="","",MAX(1,CEILING(PERCENTRANK.INC($D$3:$D$6000,D1503,4)*5+0.000001,1)))</f>
        <v/>
      </c>
      <c r="H1503">
        <f>IF(A1503="","",E1503&amp;F1503&amp;G1503)</f>
        <v/>
      </c>
      <c r="I1503">
        <f>IF(A1503="","",IF(AND(E1503&gt;=4,F1503&gt;=4,G1503&gt;=4),"Juara",IF(AND(F1503&gt;=4,E1503&gt;=3),"Setia",IF(AND(E1503=5,F1503&lt;=2,G1503&gt;=3),"Berpotensi",IF(AND(E1503&lt;=3,E1503&gt;=2,F1503&gt;=3),"Rawan",IF(AND(E1503&lt;=2,F1503&lt;=2),"Tidur","Umum"))))))</f>
        <v/>
      </c>
    </row>
    <row r="1504">
      <c r="B1504">
        <f>IF(A1504="","",$B$1-MAXIFS(Donasi!$A$2:$A$20000,Donasi!$B$2:$B$20000,A1504))</f>
        <v/>
      </c>
      <c r="C1504">
        <f>IF(A1504="","",COUNTIF(Donasi!$B$2:$B$20000,A1504))</f>
        <v/>
      </c>
      <c r="D1504">
        <f>IF(A1504="","",SUMIF(Donasi!$B$2:$B$20000,A1504,Donasi!$C$2:$C$20000))</f>
        <v/>
      </c>
      <c r="E1504">
        <f>IF(A1504="","",6-CEILING(PERCENTRANK.INC($B$3:$B$6000,B1504,4)*5+0.000001,1))</f>
        <v/>
      </c>
      <c r="F1504">
        <f>IF(A1504="","",MAX(1,CEILING(PERCENTRANK.INC($C$3:$C$6000,C1504,4)*5+0.000001,1)))</f>
        <v/>
      </c>
      <c r="G1504">
        <f>IF(A1504="","",MAX(1,CEILING(PERCENTRANK.INC($D$3:$D$6000,D1504,4)*5+0.000001,1)))</f>
        <v/>
      </c>
      <c r="H1504">
        <f>IF(A1504="","",E1504&amp;F1504&amp;G1504)</f>
        <v/>
      </c>
      <c r="I1504">
        <f>IF(A1504="","",IF(AND(E1504&gt;=4,F1504&gt;=4,G1504&gt;=4),"Juara",IF(AND(F1504&gt;=4,E1504&gt;=3),"Setia",IF(AND(E1504=5,F1504&lt;=2,G1504&gt;=3),"Berpotensi",IF(AND(E1504&lt;=3,E1504&gt;=2,F1504&gt;=3),"Rawan",IF(AND(E1504&lt;=2,F1504&lt;=2),"Tidur","Umum"))))))</f>
        <v/>
      </c>
    </row>
    <row r="1505">
      <c r="B1505">
        <f>IF(A1505="","",$B$1-MAXIFS(Donasi!$A$2:$A$20000,Donasi!$B$2:$B$20000,A1505))</f>
        <v/>
      </c>
      <c r="C1505">
        <f>IF(A1505="","",COUNTIF(Donasi!$B$2:$B$20000,A1505))</f>
        <v/>
      </c>
      <c r="D1505">
        <f>IF(A1505="","",SUMIF(Donasi!$B$2:$B$20000,A1505,Donasi!$C$2:$C$20000))</f>
        <v/>
      </c>
      <c r="E1505">
        <f>IF(A1505="","",6-CEILING(PERCENTRANK.INC($B$3:$B$6000,B1505,4)*5+0.000001,1))</f>
        <v/>
      </c>
      <c r="F1505">
        <f>IF(A1505="","",MAX(1,CEILING(PERCENTRANK.INC($C$3:$C$6000,C1505,4)*5+0.000001,1)))</f>
        <v/>
      </c>
      <c r="G1505">
        <f>IF(A1505="","",MAX(1,CEILING(PERCENTRANK.INC($D$3:$D$6000,D1505,4)*5+0.000001,1)))</f>
        <v/>
      </c>
      <c r="H1505">
        <f>IF(A1505="","",E1505&amp;F1505&amp;G1505)</f>
        <v/>
      </c>
      <c r="I1505">
        <f>IF(A1505="","",IF(AND(E1505&gt;=4,F1505&gt;=4,G1505&gt;=4),"Juara",IF(AND(F1505&gt;=4,E1505&gt;=3),"Setia",IF(AND(E1505=5,F1505&lt;=2,G1505&gt;=3),"Berpotensi",IF(AND(E1505&lt;=3,E1505&gt;=2,F1505&gt;=3),"Rawan",IF(AND(E1505&lt;=2,F1505&lt;=2),"Tidur","Umum"))))))</f>
        <v/>
      </c>
    </row>
    <row r="1506">
      <c r="B1506">
        <f>IF(A1506="","",$B$1-MAXIFS(Donasi!$A$2:$A$20000,Donasi!$B$2:$B$20000,A1506))</f>
        <v/>
      </c>
      <c r="C1506">
        <f>IF(A1506="","",COUNTIF(Donasi!$B$2:$B$20000,A1506))</f>
        <v/>
      </c>
      <c r="D1506">
        <f>IF(A1506="","",SUMIF(Donasi!$B$2:$B$20000,A1506,Donasi!$C$2:$C$20000))</f>
        <v/>
      </c>
      <c r="E1506">
        <f>IF(A1506="","",6-CEILING(PERCENTRANK.INC($B$3:$B$6000,B1506,4)*5+0.000001,1))</f>
        <v/>
      </c>
      <c r="F1506">
        <f>IF(A1506="","",MAX(1,CEILING(PERCENTRANK.INC($C$3:$C$6000,C1506,4)*5+0.000001,1)))</f>
        <v/>
      </c>
      <c r="G1506">
        <f>IF(A1506="","",MAX(1,CEILING(PERCENTRANK.INC($D$3:$D$6000,D1506,4)*5+0.000001,1)))</f>
        <v/>
      </c>
      <c r="H1506">
        <f>IF(A1506="","",E1506&amp;F1506&amp;G1506)</f>
        <v/>
      </c>
      <c r="I1506">
        <f>IF(A1506="","",IF(AND(E1506&gt;=4,F1506&gt;=4,G1506&gt;=4),"Juara",IF(AND(F1506&gt;=4,E1506&gt;=3),"Setia",IF(AND(E1506=5,F1506&lt;=2,G1506&gt;=3),"Berpotensi",IF(AND(E1506&lt;=3,E1506&gt;=2,F1506&gt;=3),"Rawan",IF(AND(E1506&lt;=2,F1506&lt;=2),"Tidur","Umum"))))))</f>
        <v/>
      </c>
    </row>
    <row r="1507">
      <c r="B1507">
        <f>IF(A1507="","",$B$1-MAXIFS(Donasi!$A$2:$A$20000,Donasi!$B$2:$B$20000,A1507))</f>
        <v/>
      </c>
      <c r="C1507">
        <f>IF(A1507="","",COUNTIF(Donasi!$B$2:$B$20000,A1507))</f>
        <v/>
      </c>
      <c r="D1507">
        <f>IF(A1507="","",SUMIF(Donasi!$B$2:$B$20000,A1507,Donasi!$C$2:$C$20000))</f>
        <v/>
      </c>
      <c r="E1507">
        <f>IF(A1507="","",6-CEILING(PERCENTRANK.INC($B$3:$B$6000,B1507,4)*5+0.000001,1))</f>
        <v/>
      </c>
      <c r="F1507">
        <f>IF(A1507="","",MAX(1,CEILING(PERCENTRANK.INC($C$3:$C$6000,C1507,4)*5+0.000001,1)))</f>
        <v/>
      </c>
      <c r="G1507">
        <f>IF(A1507="","",MAX(1,CEILING(PERCENTRANK.INC($D$3:$D$6000,D1507,4)*5+0.000001,1)))</f>
        <v/>
      </c>
      <c r="H1507">
        <f>IF(A1507="","",E1507&amp;F1507&amp;G1507)</f>
        <v/>
      </c>
      <c r="I1507">
        <f>IF(A1507="","",IF(AND(E1507&gt;=4,F1507&gt;=4,G1507&gt;=4),"Juara",IF(AND(F1507&gt;=4,E1507&gt;=3),"Setia",IF(AND(E1507=5,F1507&lt;=2,G1507&gt;=3),"Berpotensi",IF(AND(E1507&lt;=3,E1507&gt;=2,F1507&gt;=3),"Rawan",IF(AND(E1507&lt;=2,F1507&lt;=2),"Tidur","Umum"))))))</f>
        <v/>
      </c>
    </row>
    <row r="1508">
      <c r="B1508">
        <f>IF(A1508="","",$B$1-MAXIFS(Donasi!$A$2:$A$20000,Donasi!$B$2:$B$20000,A1508))</f>
        <v/>
      </c>
      <c r="C1508">
        <f>IF(A1508="","",COUNTIF(Donasi!$B$2:$B$20000,A1508))</f>
        <v/>
      </c>
      <c r="D1508">
        <f>IF(A1508="","",SUMIF(Donasi!$B$2:$B$20000,A1508,Donasi!$C$2:$C$20000))</f>
        <v/>
      </c>
      <c r="E1508">
        <f>IF(A1508="","",6-CEILING(PERCENTRANK.INC($B$3:$B$6000,B1508,4)*5+0.000001,1))</f>
        <v/>
      </c>
      <c r="F1508">
        <f>IF(A1508="","",MAX(1,CEILING(PERCENTRANK.INC($C$3:$C$6000,C1508,4)*5+0.000001,1)))</f>
        <v/>
      </c>
      <c r="G1508">
        <f>IF(A1508="","",MAX(1,CEILING(PERCENTRANK.INC($D$3:$D$6000,D1508,4)*5+0.000001,1)))</f>
        <v/>
      </c>
      <c r="H1508">
        <f>IF(A1508="","",E1508&amp;F1508&amp;G1508)</f>
        <v/>
      </c>
      <c r="I1508">
        <f>IF(A1508="","",IF(AND(E1508&gt;=4,F1508&gt;=4,G1508&gt;=4),"Juara",IF(AND(F1508&gt;=4,E1508&gt;=3),"Setia",IF(AND(E1508=5,F1508&lt;=2,G1508&gt;=3),"Berpotensi",IF(AND(E1508&lt;=3,E1508&gt;=2,F1508&gt;=3),"Rawan",IF(AND(E1508&lt;=2,F1508&lt;=2),"Tidur","Umum"))))))</f>
        <v/>
      </c>
    </row>
    <row r="1509">
      <c r="B1509">
        <f>IF(A1509="","",$B$1-MAXIFS(Donasi!$A$2:$A$20000,Donasi!$B$2:$B$20000,A1509))</f>
        <v/>
      </c>
      <c r="C1509">
        <f>IF(A1509="","",COUNTIF(Donasi!$B$2:$B$20000,A1509))</f>
        <v/>
      </c>
      <c r="D1509">
        <f>IF(A1509="","",SUMIF(Donasi!$B$2:$B$20000,A1509,Donasi!$C$2:$C$20000))</f>
        <v/>
      </c>
      <c r="E1509">
        <f>IF(A1509="","",6-CEILING(PERCENTRANK.INC($B$3:$B$6000,B1509,4)*5+0.000001,1))</f>
        <v/>
      </c>
      <c r="F1509">
        <f>IF(A1509="","",MAX(1,CEILING(PERCENTRANK.INC($C$3:$C$6000,C1509,4)*5+0.000001,1)))</f>
        <v/>
      </c>
      <c r="G1509">
        <f>IF(A1509="","",MAX(1,CEILING(PERCENTRANK.INC($D$3:$D$6000,D1509,4)*5+0.000001,1)))</f>
        <v/>
      </c>
      <c r="H1509">
        <f>IF(A1509="","",E1509&amp;F1509&amp;G1509)</f>
        <v/>
      </c>
      <c r="I1509">
        <f>IF(A1509="","",IF(AND(E1509&gt;=4,F1509&gt;=4,G1509&gt;=4),"Juara",IF(AND(F1509&gt;=4,E1509&gt;=3),"Setia",IF(AND(E1509=5,F1509&lt;=2,G1509&gt;=3),"Berpotensi",IF(AND(E1509&lt;=3,E1509&gt;=2,F1509&gt;=3),"Rawan",IF(AND(E1509&lt;=2,F1509&lt;=2),"Tidur","Umum"))))))</f>
        <v/>
      </c>
    </row>
    <row r="1510">
      <c r="B1510">
        <f>IF(A1510="","",$B$1-MAXIFS(Donasi!$A$2:$A$20000,Donasi!$B$2:$B$20000,A1510))</f>
        <v/>
      </c>
      <c r="C1510">
        <f>IF(A1510="","",COUNTIF(Donasi!$B$2:$B$20000,A1510))</f>
        <v/>
      </c>
      <c r="D1510">
        <f>IF(A1510="","",SUMIF(Donasi!$B$2:$B$20000,A1510,Donasi!$C$2:$C$20000))</f>
        <v/>
      </c>
      <c r="E1510">
        <f>IF(A1510="","",6-CEILING(PERCENTRANK.INC($B$3:$B$6000,B1510,4)*5+0.000001,1))</f>
        <v/>
      </c>
      <c r="F1510">
        <f>IF(A1510="","",MAX(1,CEILING(PERCENTRANK.INC($C$3:$C$6000,C1510,4)*5+0.000001,1)))</f>
        <v/>
      </c>
      <c r="G1510">
        <f>IF(A1510="","",MAX(1,CEILING(PERCENTRANK.INC($D$3:$D$6000,D1510,4)*5+0.000001,1)))</f>
        <v/>
      </c>
      <c r="H1510">
        <f>IF(A1510="","",E1510&amp;F1510&amp;G1510)</f>
        <v/>
      </c>
      <c r="I1510">
        <f>IF(A1510="","",IF(AND(E1510&gt;=4,F1510&gt;=4,G1510&gt;=4),"Juara",IF(AND(F1510&gt;=4,E1510&gt;=3),"Setia",IF(AND(E1510=5,F1510&lt;=2,G1510&gt;=3),"Berpotensi",IF(AND(E1510&lt;=3,E1510&gt;=2,F1510&gt;=3),"Rawan",IF(AND(E1510&lt;=2,F1510&lt;=2),"Tidur","Umum"))))))</f>
        <v/>
      </c>
    </row>
    <row r="1511">
      <c r="B1511">
        <f>IF(A1511="","",$B$1-MAXIFS(Donasi!$A$2:$A$20000,Donasi!$B$2:$B$20000,A1511))</f>
        <v/>
      </c>
      <c r="C1511">
        <f>IF(A1511="","",COUNTIF(Donasi!$B$2:$B$20000,A1511))</f>
        <v/>
      </c>
      <c r="D1511">
        <f>IF(A1511="","",SUMIF(Donasi!$B$2:$B$20000,A1511,Donasi!$C$2:$C$20000))</f>
        <v/>
      </c>
      <c r="E1511">
        <f>IF(A1511="","",6-CEILING(PERCENTRANK.INC($B$3:$B$6000,B1511,4)*5+0.000001,1))</f>
        <v/>
      </c>
      <c r="F1511">
        <f>IF(A1511="","",MAX(1,CEILING(PERCENTRANK.INC($C$3:$C$6000,C1511,4)*5+0.000001,1)))</f>
        <v/>
      </c>
      <c r="G1511">
        <f>IF(A1511="","",MAX(1,CEILING(PERCENTRANK.INC($D$3:$D$6000,D1511,4)*5+0.000001,1)))</f>
        <v/>
      </c>
      <c r="H1511">
        <f>IF(A1511="","",E1511&amp;F1511&amp;G1511)</f>
        <v/>
      </c>
      <c r="I1511">
        <f>IF(A1511="","",IF(AND(E1511&gt;=4,F1511&gt;=4,G1511&gt;=4),"Juara",IF(AND(F1511&gt;=4,E1511&gt;=3),"Setia",IF(AND(E1511=5,F1511&lt;=2,G1511&gt;=3),"Berpotensi",IF(AND(E1511&lt;=3,E1511&gt;=2,F1511&gt;=3),"Rawan",IF(AND(E1511&lt;=2,F1511&lt;=2),"Tidur","Umum"))))))</f>
        <v/>
      </c>
    </row>
    <row r="1512">
      <c r="B1512">
        <f>IF(A1512="","",$B$1-MAXIFS(Donasi!$A$2:$A$20000,Donasi!$B$2:$B$20000,A1512))</f>
        <v/>
      </c>
      <c r="C1512">
        <f>IF(A1512="","",COUNTIF(Donasi!$B$2:$B$20000,A1512))</f>
        <v/>
      </c>
      <c r="D1512">
        <f>IF(A1512="","",SUMIF(Donasi!$B$2:$B$20000,A1512,Donasi!$C$2:$C$20000))</f>
        <v/>
      </c>
      <c r="E1512">
        <f>IF(A1512="","",6-CEILING(PERCENTRANK.INC($B$3:$B$6000,B1512,4)*5+0.000001,1))</f>
        <v/>
      </c>
      <c r="F1512">
        <f>IF(A1512="","",MAX(1,CEILING(PERCENTRANK.INC($C$3:$C$6000,C1512,4)*5+0.000001,1)))</f>
        <v/>
      </c>
      <c r="G1512">
        <f>IF(A1512="","",MAX(1,CEILING(PERCENTRANK.INC($D$3:$D$6000,D1512,4)*5+0.000001,1)))</f>
        <v/>
      </c>
      <c r="H1512">
        <f>IF(A1512="","",E1512&amp;F1512&amp;G1512)</f>
        <v/>
      </c>
      <c r="I1512">
        <f>IF(A1512="","",IF(AND(E1512&gt;=4,F1512&gt;=4,G1512&gt;=4),"Juara",IF(AND(F1512&gt;=4,E1512&gt;=3),"Setia",IF(AND(E1512=5,F1512&lt;=2,G1512&gt;=3),"Berpotensi",IF(AND(E1512&lt;=3,E1512&gt;=2,F1512&gt;=3),"Rawan",IF(AND(E1512&lt;=2,F1512&lt;=2),"Tidur","Umum"))))))</f>
        <v/>
      </c>
    </row>
    <row r="1513">
      <c r="B1513">
        <f>IF(A1513="","",$B$1-MAXIFS(Donasi!$A$2:$A$20000,Donasi!$B$2:$B$20000,A1513))</f>
        <v/>
      </c>
      <c r="C1513">
        <f>IF(A1513="","",COUNTIF(Donasi!$B$2:$B$20000,A1513))</f>
        <v/>
      </c>
      <c r="D1513">
        <f>IF(A1513="","",SUMIF(Donasi!$B$2:$B$20000,A1513,Donasi!$C$2:$C$20000))</f>
        <v/>
      </c>
      <c r="E1513">
        <f>IF(A1513="","",6-CEILING(PERCENTRANK.INC($B$3:$B$6000,B1513,4)*5+0.000001,1))</f>
        <v/>
      </c>
      <c r="F1513">
        <f>IF(A1513="","",MAX(1,CEILING(PERCENTRANK.INC($C$3:$C$6000,C1513,4)*5+0.000001,1)))</f>
        <v/>
      </c>
      <c r="G1513">
        <f>IF(A1513="","",MAX(1,CEILING(PERCENTRANK.INC($D$3:$D$6000,D1513,4)*5+0.000001,1)))</f>
        <v/>
      </c>
      <c r="H1513">
        <f>IF(A1513="","",E1513&amp;F1513&amp;G1513)</f>
        <v/>
      </c>
      <c r="I1513">
        <f>IF(A1513="","",IF(AND(E1513&gt;=4,F1513&gt;=4,G1513&gt;=4),"Juara",IF(AND(F1513&gt;=4,E1513&gt;=3),"Setia",IF(AND(E1513=5,F1513&lt;=2,G1513&gt;=3),"Berpotensi",IF(AND(E1513&lt;=3,E1513&gt;=2,F1513&gt;=3),"Rawan",IF(AND(E1513&lt;=2,F1513&lt;=2),"Tidur","Umum"))))))</f>
        <v/>
      </c>
    </row>
    <row r="1514">
      <c r="B1514">
        <f>IF(A1514="","",$B$1-MAXIFS(Donasi!$A$2:$A$20000,Donasi!$B$2:$B$20000,A1514))</f>
        <v/>
      </c>
      <c r="C1514">
        <f>IF(A1514="","",COUNTIF(Donasi!$B$2:$B$20000,A1514))</f>
        <v/>
      </c>
      <c r="D1514">
        <f>IF(A1514="","",SUMIF(Donasi!$B$2:$B$20000,A1514,Donasi!$C$2:$C$20000))</f>
        <v/>
      </c>
      <c r="E1514">
        <f>IF(A1514="","",6-CEILING(PERCENTRANK.INC($B$3:$B$6000,B1514,4)*5+0.000001,1))</f>
        <v/>
      </c>
      <c r="F1514">
        <f>IF(A1514="","",MAX(1,CEILING(PERCENTRANK.INC($C$3:$C$6000,C1514,4)*5+0.000001,1)))</f>
        <v/>
      </c>
      <c r="G1514">
        <f>IF(A1514="","",MAX(1,CEILING(PERCENTRANK.INC($D$3:$D$6000,D1514,4)*5+0.000001,1)))</f>
        <v/>
      </c>
      <c r="H1514">
        <f>IF(A1514="","",E1514&amp;F1514&amp;G1514)</f>
        <v/>
      </c>
      <c r="I1514">
        <f>IF(A1514="","",IF(AND(E1514&gt;=4,F1514&gt;=4,G1514&gt;=4),"Juara",IF(AND(F1514&gt;=4,E1514&gt;=3),"Setia",IF(AND(E1514=5,F1514&lt;=2,G1514&gt;=3),"Berpotensi",IF(AND(E1514&lt;=3,E1514&gt;=2,F1514&gt;=3),"Rawan",IF(AND(E1514&lt;=2,F1514&lt;=2),"Tidur","Umum"))))))</f>
        <v/>
      </c>
    </row>
    <row r="1515">
      <c r="B1515">
        <f>IF(A1515="","",$B$1-MAXIFS(Donasi!$A$2:$A$20000,Donasi!$B$2:$B$20000,A1515))</f>
        <v/>
      </c>
      <c r="C1515">
        <f>IF(A1515="","",COUNTIF(Donasi!$B$2:$B$20000,A1515))</f>
        <v/>
      </c>
      <c r="D1515">
        <f>IF(A1515="","",SUMIF(Donasi!$B$2:$B$20000,A1515,Donasi!$C$2:$C$20000))</f>
        <v/>
      </c>
      <c r="E1515">
        <f>IF(A1515="","",6-CEILING(PERCENTRANK.INC($B$3:$B$6000,B1515,4)*5+0.000001,1))</f>
        <v/>
      </c>
      <c r="F1515">
        <f>IF(A1515="","",MAX(1,CEILING(PERCENTRANK.INC($C$3:$C$6000,C1515,4)*5+0.000001,1)))</f>
        <v/>
      </c>
      <c r="G1515">
        <f>IF(A1515="","",MAX(1,CEILING(PERCENTRANK.INC($D$3:$D$6000,D1515,4)*5+0.000001,1)))</f>
        <v/>
      </c>
      <c r="H1515">
        <f>IF(A1515="","",E1515&amp;F1515&amp;G1515)</f>
        <v/>
      </c>
      <c r="I1515">
        <f>IF(A1515="","",IF(AND(E1515&gt;=4,F1515&gt;=4,G1515&gt;=4),"Juara",IF(AND(F1515&gt;=4,E1515&gt;=3),"Setia",IF(AND(E1515=5,F1515&lt;=2,G1515&gt;=3),"Berpotensi",IF(AND(E1515&lt;=3,E1515&gt;=2,F1515&gt;=3),"Rawan",IF(AND(E1515&lt;=2,F1515&lt;=2),"Tidur","Umum"))))))</f>
        <v/>
      </c>
    </row>
    <row r="1516">
      <c r="B1516">
        <f>IF(A1516="","",$B$1-MAXIFS(Donasi!$A$2:$A$20000,Donasi!$B$2:$B$20000,A1516))</f>
        <v/>
      </c>
      <c r="C1516">
        <f>IF(A1516="","",COUNTIF(Donasi!$B$2:$B$20000,A1516))</f>
        <v/>
      </c>
      <c r="D1516">
        <f>IF(A1516="","",SUMIF(Donasi!$B$2:$B$20000,A1516,Donasi!$C$2:$C$20000))</f>
        <v/>
      </c>
      <c r="E1516">
        <f>IF(A1516="","",6-CEILING(PERCENTRANK.INC($B$3:$B$6000,B1516,4)*5+0.000001,1))</f>
        <v/>
      </c>
      <c r="F1516">
        <f>IF(A1516="","",MAX(1,CEILING(PERCENTRANK.INC($C$3:$C$6000,C1516,4)*5+0.000001,1)))</f>
        <v/>
      </c>
      <c r="G1516">
        <f>IF(A1516="","",MAX(1,CEILING(PERCENTRANK.INC($D$3:$D$6000,D1516,4)*5+0.000001,1)))</f>
        <v/>
      </c>
      <c r="H1516">
        <f>IF(A1516="","",E1516&amp;F1516&amp;G1516)</f>
        <v/>
      </c>
      <c r="I1516">
        <f>IF(A1516="","",IF(AND(E1516&gt;=4,F1516&gt;=4,G1516&gt;=4),"Juara",IF(AND(F1516&gt;=4,E1516&gt;=3),"Setia",IF(AND(E1516=5,F1516&lt;=2,G1516&gt;=3),"Berpotensi",IF(AND(E1516&lt;=3,E1516&gt;=2,F1516&gt;=3),"Rawan",IF(AND(E1516&lt;=2,F1516&lt;=2),"Tidur","Umum"))))))</f>
        <v/>
      </c>
    </row>
    <row r="1517">
      <c r="B1517">
        <f>IF(A1517="","",$B$1-MAXIFS(Donasi!$A$2:$A$20000,Donasi!$B$2:$B$20000,A1517))</f>
        <v/>
      </c>
      <c r="C1517">
        <f>IF(A1517="","",COUNTIF(Donasi!$B$2:$B$20000,A1517))</f>
        <v/>
      </c>
      <c r="D1517">
        <f>IF(A1517="","",SUMIF(Donasi!$B$2:$B$20000,A1517,Donasi!$C$2:$C$20000))</f>
        <v/>
      </c>
      <c r="E1517">
        <f>IF(A1517="","",6-CEILING(PERCENTRANK.INC($B$3:$B$6000,B1517,4)*5+0.000001,1))</f>
        <v/>
      </c>
      <c r="F1517">
        <f>IF(A1517="","",MAX(1,CEILING(PERCENTRANK.INC($C$3:$C$6000,C1517,4)*5+0.000001,1)))</f>
        <v/>
      </c>
      <c r="G1517">
        <f>IF(A1517="","",MAX(1,CEILING(PERCENTRANK.INC($D$3:$D$6000,D1517,4)*5+0.000001,1)))</f>
        <v/>
      </c>
      <c r="H1517">
        <f>IF(A1517="","",E1517&amp;F1517&amp;G1517)</f>
        <v/>
      </c>
      <c r="I1517">
        <f>IF(A1517="","",IF(AND(E1517&gt;=4,F1517&gt;=4,G1517&gt;=4),"Juara",IF(AND(F1517&gt;=4,E1517&gt;=3),"Setia",IF(AND(E1517=5,F1517&lt;=2,G1517&gt;=3),"Berpotensi",IF(AND(E1517&lt;=3,E1517&gt;=2,F1517&gt;=3),"Rawan",IF(AND(E1517&lt;=2,F1517&lt;=2),"Tidur","Umum"))))))</f>
        <v/>
      </c>
    </row>
    <row r="1518">
      <c r="B1518">
        <f>IF(A1518="","",$B$1-MAXIFS(Donasi!$A$2:$A$20000,Donasi!$B$2:$B$20000,A1518))</f>
        <v/>
      </c>
      <c r="C1518">
        <f>IF(A1518="","",COUNTIF(Donasi!$B$2:$B$20000,A1518))</f>
        <v/>
      </c>
      <c r="D1518">
        <f>IF(A1518="","",SUMIF(Donasi!$B$2:$B$20000,A1518,Donasi!$C$2:$C$20000))</f>
        <v/>
      </c>
      <c r="E1518">
        <f>IF(A1518="","",6-CEILING(PERCENTRANK.INC($B$3:$B$6000,B1518,4)*5+0.000001,1))</f>
        <v/>
      </c>
      <c r="F1518">
        <f>IF(A1518="","",MAX(1,CEILING(PERCENTRANK.INC($C$3:$C$6000,C1518,4)*5+0.000001,1)))</f>
        <v/>
      </c>
      <c r="G1518">
        <f>IF(A1518="","",MAX(1,CEILING(PERCENTRANK.INC($D$3:$D$6000,D1518,4)*5+0.000001,1)))</f>
        <v/>
      </c>
      <c r="H1518">
        <f>IF(A1518="","",E1518&amp;F1518&amp;G1518)</f>
        <v/>
      </c>
      <c r="I1518">
        <f>IF(A1518="","",IF(AND(E1518&gt;=4,F1518&gt;=4,G1518&gt;=4),"Juara",IF(AND(F1518&gt;=4,E1518&gt;=3),"Setia",IF(AND(E1518=5,F1518&lt;=2,G1518&gt;=3),"Berpotensi",IF(AND(E1518&lt;=3,E1518&gt;=2,F1518&gt;=3),"Rawan",IF(AND(E1518&lt;=2,F1518&lt;=2),"Tidur","Umum"))))))</f>
        <v/>
      </c>
    </row>
    <row r="1519">
      <c r="B1519">
        <f>IF(A1519="","",$B$1-MAXIFS(Donasi!$A$2:$A$20000,Donasi!$B$2:$B$20000,A1519))</f>
        <v/>
      </c>
      <c r="C1519">
        <f>IF(A1519="","",COUNTIF(Donasi!$B$2:$B$20000,A1519))</f>
        <v/>
      </c>
      <c r="D1519">
        <f>IF(A1519="","",SUMIF(Donasi!$B$2:$B$20000,A1519,Donasi!$C$2:$C$20000))</f>
        <v/>
      </c>
      <c r="E1519">
        <f>IF(A1519="","",6-CEILING(PERCENTRANK.INC($B$3:$B$6000,B1519,4)*5+0.000001,1))</f>
        <v/>
      </c>
      <c r="F1519">
        <f>IF(A1519="","",MAX(1,CEILING(PERCENTRANK.INC($C$3:$C$6000,C1519,4)*5+0.000001,1)))</f>
        <v/>
      </c>
      <c r="G1519">
        <f>IF(A1519="","",MAX(1,CEILING(PERCENTRANK.INC($D$3:$D$6000,D1519,4)*5+0.000001,1)))</f>
        <v/>
      </c>
      <c r="H1519">
        <f>IF(A1519="","",E1519&amp;F1519&amp;G1519)</f>
        <v/>
      </c>
      <c r="I1519">
        <f>IF(A1519="","",IF(AND(E1519&gt;=4,F1519&gt;=4,G1519&gt;=4),"Juara",IF(AND(F1519&gt;=4,E1519&gt;=3),"Setia",IF(AND(E1519=5,F1519&lt;=2,G1519&gt;=3),"Berpotensi",IF(AND(E1519&lt;=3,E1519&gt;=2,F1519&gt;=3),"Rawan",IF(AND(E1519&lt;=2,F1519&lt;=2),"Tidur","Umum"))))))</f>
        <v/>
      </c>
    </row>
    <row r="1520">
      <c r="B1520">
        <f>IF(A1520="","",$B$1-MAXIFS(Donasi!$A$2:$A$20000,Donasi!$B$2:$B$20000,A1520))</f>
        <v/>
      </c>
      <c r="C1520">
        <f>IF(A1520="","",COUNTIF(Donasi!$B$2:$B$20000,A1520))</f>
        <v/>
      </c>
      <c r="D1520">
        <f>IF(A1520="","",SUMIF(Donasi!$B$2:$B$20000,A1520,Donasi!$C$2:$C$20000))</f>
        <v/>
      </c>
      <c r="E1520">
        <f>IF(A1520="","",6-CEILING(PERCENTRANK.INC($B$3:$B$6000,B1520,4)*5+0.000001,1))</f>
        <v/>
      </c>
      <c r="F1520">
        <f>IF(A1520="","",MAX(1,CEILING(PERCENTRANK.INC($C$3:$C$6000,C1520,4)*5+0.000001,1)))</f>
        <v/>
      </c>
      <c r="G1520">
        <f>IF(A1520="","",MAX(1,CEILING(PERCENTRANK.INC($D$3:$D$6000,D1520,4)*5+0.000001,1)))</f>
        <v/>
      </c>
      <c r="H1520">
        <f>IF(A1520="","",E1520&amp;F1520&amp;G1520)</f>
        <v/>
      </c>
      <c r="I1520">
        <f>IF(A1520="","",IF(AND(E1520&gt;=4,F1520&gt;=4,G1520&gt;=4),"Juara",IF(AND(F1520&gt;=4,E1520&gt;=3),"Setia",IF(AND(E1520=5,F1520&lt;=2,G1520&gt;=3),"Berpotensi",IF(AND(E1520&lt;=3,E1520&gt;=2,F1520&gt;=3),"Rawan",IF(AND(E1520&lt;=2,F1520&lt;=2),"Tidur","Umum"))))))</f>
        <v/>
      </c>
    </row>
    <row r="1521">
      <c r="B1521">
        <f>IF(A1521="","",$B$1-MAXIFS(Donasi!$A$2:$A$20000,Donasi!$B$2:$B$20000,A1521))</f>
        <v/>
      </c>
      <c r="C1521">
        <f>IF(A1521="","",COUNTIF(Donasi!$B$2:$B$20000,A1521))</f>
        <v/>
      </c>
      <c r="D1521">
        <f>IF(A1521="","",SUMIF(Donasi!$B$2:$B$20000,A1521,Donasi!$C$2:$C$20000))</f>
        <v/>
      </c>
      <c r="E1521">
        <f>IF(A1521="","",6-CEILING(PERCENTRANK.INC($B$3:$B$6000,B1521,4)*5+0.000001,1))</f>
        <v/>
      </c>
      <c r="F1521">
        <f>IF(A1521="","",MAX(1,CEILING(PERCENTRANK.INC($C$3:$C$6000,C1521,4)*5+0.000001,1)))</f>
        <v/>
      </c>
      <c r="G1521">
        <f>IF(A1521="","",MAX(1,CEILING(PERCENTRANK.INC($D$3:$D$6000,D1521,4)*5+0.000001,1)))</f>
        <v/>
      </c>
      <c r="H1521">
        <f>IF(A1521="","",E1521&amp;F1521&amp;G1521)</f>
        <v/>
      </c>
      <c r="I1521">
        <f>IF(A1521="","",IF(AND(E1521&gt;=4,F1521&gt;=4,G1521&gt;=4),"Juara",IF(AND(F1521&gt;=4,E1521&gt;=3),"Setia",IF(AND(E1521=5,F1521&lt;=2,G1521&gt;=3),"Berpotensi",IF(AND(E1521&lt;=3,E1521&gt;=2,F1521&gt;=3),"Rawan",IF(AND(E1521&lt;=2,F1521&lt;=2),"Tidur","Umum"))))))</f>
        <v/>
      </c>
    </row>
    <row r="1522">
      <c r="B1522">
        <f>IF(A1522="","",$B$1-MAXIFS(Donasi!$A$2:$A$20000,Donasi!$B$2:$B$20000,A1522))</f>
        <v/>
      </c>
      <c r="C1522">
        <f>IF(A1522="","",COUNTIF(Donasi!$B$2:$B$20000,A1522))</f>
        <v/>
      </c>
      <c r="D1522">
        <f>IF(A1522="","",SUMIF(Donasi!$B$2:$B$20000,A1522,Donasi!$C$2:$C$20000))</f>
        <v/>
      </c>
      <c r="E1522">
        <f>IF(A1522="","",6-CEILING(PERCENTRANK.INC($B$3:$B$6000,B1522,4)*5+0.000001,1))</f>
        <v/>
      </c>
      <c r="F1522">
        <f>IF(A1522="","",MAX(1,CEILING(PERCENTRANK.INC($C$3:$C$6000,C1522,4)*5+0.000001,1)))</f>
        <v/>
      </c>
      <c r="G1522">
        <f>IF(A1522="","",MAX(1,CEILING(PERCENTRANK.INC($D$3:$D$6000,D1522,4)*5+0.000001,1)))</f>
        <v/>
      </c>
      <c r="H1522">
        <f>IF(A1522="","",E1522&amp;F1522&amp;G1522)</f>
        <v/>
      </c>
      <c r="I1522">
        <f>IF(A1522="","",IF(AND(E1522&gt;=4,F1522&gt;=4,G1522&gt;=4),"Juara",IF(AND(F1522&gt;=4,E1522&gt;=3),"Setia",IF(AND(E1522=5,F1522&lt;=2,G1522&gt;=3),"Berpotensi",IF(AND(E1522&lt;=3,E1522&gt;=2,F1522&gt;=3),"Rawan",IF(AND(E1522&lt;=2,F1522&lt;=2),"Tidur","Umum"))))))</f>
        <v/>
      </c>
    </row>
    <row r="1523">
      <c r="B1523">
        <f>IF(A1523="","",$B$1-MAXIFS(Donasi!$A$2:$A$20000,Donasi!$B$2:$B$20000,A1523))</f>
        <v/>
      </c>
      <c r="C1523">
        <f>IF(A1523="","",COUNTIF(Donasi!$B$2:$B$20000,A1523))</f>
        <v/>
      </c>
      <c r="D1523">
        <f>IF(A1523="","",SUMIF(Donasi!$B$2:$B$20000,A1523,Donasi!$C$2:$C$20000))</f>
        <v/>
      </c>
      <c r="E1523">
        <f>IF(A1523="","",6-CEILING(PERCENTRANK.INC($B$3:$B$6000,B1523,4)*5+0.000001,1))</f>
        <v/>
      </c>
      <c r="F1523">
        <f>IF(A1523="","",MAX(1,CEILING(PERCENTRANK.INC($C$3:$C$6000,C1523,4)*5+0.000001,1)))</f>
        <v/>
      </c>
      <c r="G1523">
        <f>IF(A1523="","",MAX(1,CEILING(PERCENTRANK.INC($D$3:$D$6000,D1523,4)*5+0.000001,1)))</f>
        <v/>
      </c>
      <c r="H1523">
        <f>IF(A1523="","",E1523&amp;F1523&amp;G1523)</f>
        <v/>
      </c>
      <c r="I1523">
        <f>IF(A1523="","",IF(AND(E1523&gt;=4,F1523&gt;=4,G1523&gt;=4),"Juara",IF(AND(F1523&gt;=4,E1523&gt;=3),"Setia",IF(AND(E1523=5,F1523&lt;=2,G1523&gt;=3),"Berpotensi",IF(AND(E1523&lt;=3,E1523&gt;=2,F1523&gt;=3),"Rawan",IF(AND(E1523&lt;=2,F1523&lt;=2),"Tidur","Umum"))))))</f>
        <v/>
      </c>
    </row>
    <row r="1524">
      <c r="B1524">
        <f>IF(A1524="","",$B$1-MAXIFS(Donasi!$A$2:$A$20000,Donasi!$B$2:$B$20000,A1524))</f>
        <v/>
      </c>
      <c r="C1524">
        <f>IF(A1524="","",COUNTIF(Donasi!$B$2:$B$20000,A1524))</f>
        <v/>
      </c>
      <c r="D1524">
        <f>IF(A1524="","",SUMIF(Donasi!$B$2:$B$20000,A1524,Donasi!$C$2:$C$20000))</f>
        <v/>
      </c>
      <c r="E1524">
        <f>IF(A1524="","",6-CEILING(PERCENTRANK.INC($B$3:$B$6000,B1524,4)*5+0.000001,1))</f>
        <v/>
      </c>
      <c r="F1524">
        <f>IF(A1524="","",MAX(1,CEILING(PERCENTRANK.INC($C$3:$C$6000,C1524,4)*5+0.000001,1)))</f>
        <v/>
      </c>
      <c r="G1524">
        <f>IF(A1524="","",MAX(1,CEILING(PERCENTRANK.INC($D$3:$D$6000,D1524,4)*5+0.000001,1)))</f>
        <v/>
      </c>
      <c r="H1524">
        <f>IF(A1524="","",E1524&amp;F1524&amp;G1524)</f>
        <v/>
      </c>
      <c r="I1524">
        <f>IF(A1524="","",IF(AND(E1524&gt;=4,F1524&gt;=4,G1524&gt;=4),"Juara",IF(AND(F1524&gt;=4,E1524&gt;=3),"Setia",IF(AND(E1524=5,F1524&lt;=2,G1524&gt;=3),"Berpotensi",IF(AND(E1524&lt;=3,E1524&gt;=2,F1524&gt;=3),"Rawan",IF(AND(E1524&lt;=2,F1524&lt;=2),"Tidur","Umum"))))))</f>
        <v/>
      </c>
    </row>
    <row r="1525">
      <c r="B1525">
        <f>IF(A1525="","",$B$1-MAXIFS(Donasi!$A$2:$A$20000,Donasi!$B$2:$B$20000,A1525))</f>
        <v/>
      </c>
      <c r="C1525">
        <f>IF(A1525="","",COUNTIF(Donasi!$B$2:$B$20000,A1525))</f>
        <v/>
      </c>
      <c r="D1525">
        <f>IF(A1525="","",SUMIF(Donasi!$B$2:$B$20000,A1525,Donasi!$C$2:$C$20000))</f>
        <v/>
      </c>
      <c r="E1525">
        <f>IF(A1525="","",6-CEILING(PERCENTRANK.INC($B$3:$B$6000,B1525,4)*5+0.000001,1))</f>
        <v/>
      </c>
      <c r="F1525">
        <f>IF(A1525="","",MAX(1,CEILING(PERCENTRANK.INC($C$3:$C$6000,C1525,4)*5+0.000001,1)))</f>
        <v/>
      </c>
      <c r="G1525">
        <f>IF(A1525="","",MAX(1,CEILING(PERCENTRANK.INC($D$3:$D$6000,D1525,4)*5+0.000001,1)))</f>
        <v/>
      </c>
      <c r="H1525">
        <f>IF(A1525="","",E1525&amp;F1525&amp;G1525)</f>
        <v/>
      </c>
      <c r="I1525">
        <f>IF(A1525="","",IF(AND(E1525&gt;=4,F1525&gt;=4,G1525&gt;=4),"Juara",IF(AND(F1525&gt;=4,E1525&gt;=3),"Setia",IF(AND(E1525=5,F1525&lt;=2,G1525&gt;=3),"Berpotensi",IF(AND(E1525&lt;=3,E1525&gt;=2,F1525&gt;=3),"Rawan",IF(AND(E1525&lt;=2,F1525&lt;=2),"Tidur","Umum"))))))</f>
        <v/>
      </c>
    </row>
    <row r="1526">
      <c r="B1526">
        <f>IF(A1526="","",$B$1-MAXIFS(Donasi!$A$2:$A$20000,Donasi!$B$2:$B$20000,A1526))</f>
        <v/>
      </c>
      <c r="C1526">
        <f>IF(A1526="","",COUNTIF(Donasi!$B$2:$B$20000,A1526))</f>
        <v/>
      </c>
      <c r="D1526">
        <f>IF(A1526="","",SUMIF(Donasi!$B$2:$B$20000,A1526,Donasi!$C$2:$C$20000))</f>
        <v/>
      </c>
      <c r="E1526">
        <f>IF(A1526="","",6-CEILING(PERCENTRANK.INC($B$3:$B$6000,B1526,4)*5+0.000001,1))</f>
        <v/>
      </c>
      <c r="F1526">
        <f>IF(A1526="","",MAX(1,CEILING(PERCENTRANK.INC($C$3:$C$6000,C1526,4)*5+0.000001,1)))</f>
        <v/>
      </c>
      <c r="G1526">
        <f>IF(A1526="","",MAX(1,CEILING(PERCENTRANK.INC($D$3:$D$6000,D1526,4)*5+0.000001,1)))</f>
        <v/>
      </c>
      <c r="H1526">
        <f>IF(A1526="","",E1526&amp;F1526&amp;G1526)</f>
        <v/>
      </c>
      <c r="I1526">
        <f>IF(A1526="","",IF(AND(E1526&gt;=4,F1526&gt;=4,G1526&gt;=4),"Juara",IF(AND(F1526&gt;=4,E1526&gt;=3),"Setia",IF(AND(E1526=5,F1526&lt;=2,G1526&gt;=3),"Berpotensi",IF(AND(E1526&lt;=3,E1526&gt;=2,F1526&gt;=3),"Rawan",IF(AND(E1526&lt;=2,F1526&lt;=2),"Tidur","Umum"))))))</f>
        <v/>
      </c>
    </row>
    <row r="1527">
      <c r="B1527">
        <f>IF(A1527="","",$B$1-MAXIFS(Donasi!$A$2:$A$20000,Donasi!$B$2:$B$20000,A1527))</f>
        <v/>
      </c>
      <c r="C1527">
        <f>IF(A1527="","",COUNTIF(Donasi!$B$2:$B$20000,A1527))</f>
        <v/>
      </c>
      <c r="D1527">
        <f>IF(A1527="","",SUMIF(Donasi!$B$2:$B$20000,A1527,Donasi!$C$2:$C$20000))</f>
        <v/>
      </c>
      <c r="E1527">
        <f>IF(A1527="","",6-CEILING(PERCENTRANK.INC($B$3:$B$6000,B1527,4)*5+0.000001,1))</f>
        <v/>
      </c>
      <c r="F1527">
        <f>IF(A1527="","",MAX(1,CEILING(PERCENTRANK.INC($C$3:$C$6000,C1527,4)*5+0.000001,1)))</f>
        <v/>
      </c>
      <c r="G1527">
        <f>IF(A1527="","",MAX(1,CEILING(PERCENTRANK.INC($D$3:$D$6000,D1527,4)*5+0.000001,1)))</f>
        <v/>
      </c>
      <c r="H1527">
        <f>IF(A1527="","",E1527&amp;F1527&amp;G1527)</f>
        <v/>
      </c>
      <c r="I1527">
        <f>IF(A1527="","",IF(AND(E1527&gt;=4,F1527&gt;=4,G1527&gt;=4),"Juara",IF(AND(F1527&gt;=4,E1527&gt;=3),"Setia",IF(AND(E1527=5,F1527&lt;=2,G1527&gt;=3),"Berpotensi",IF(AND(E1527&lt;=3,E1527&gt;=2,F1527&gt;=3),"Rawan",IF(AND(E1527&lt;=2,F1527&lt;=2),"Tidur","Umum"))))))</f>
        <v/>
      </c>
    </row>
    <row r="1528">
      <c r="B1528">
        <f>IF(A1528="","",$B$1-MAXIFS(Donasi!$A$2:$A$20000,Donasi!$B$2:$B$20000,A1528))</f>
        <v/>
      </c>
      <c r="C1528">
        <f>IF(A1528="","",COUNTIF(Donasi!$B$2:$B$20000,A1528))</f>
        <v/>
      </c>
      <c r="D1528">
        <f>IF(A1528="","",SUMIF(Donasi!$B$2:$B$20000,A1528,Donasi!$C$2:$C$20000))</f>
        <v/>
      </c>
      <c r="E1528">
        <f>IF(A1528="","",6-CEILING(PERCENTRANK.INC($B$3:$B$6000,B1528,4)*5+0.000001,1))</f>
        <v/>
      </c>
      <c r="F1528">
        <f>IF(A1528="","",MAX(1,CEILING(PERCENTRANK.INC($C$3:$C$6000,C1528,4)*5+0.000001,1)))</f>
        <v/>
      </c>
      <c r="G1528">
        <f>IF(A1528="","",MAX(1,CEILING(PERCENTRANK.INC($D$3:$D$6000,D1528,4)*5+0.000001,1)))</f>
        <v/>
      </c>
      <c r="H1528">
        <f>IF(A1528="","",E1528&amp;F1528&amp;G1528)</f>
        <v/>
      </c>
      <c r="I1528">
        <f>IF(A1528="","",IF(AND(E1528&gt;=4,F1528&gt;=4,G1528&gt;=4),"Juara",IF(AND(F1528&gt;=4,E1528&gt;=3),"Setia",IF(AND(E1528=5,F1528&lt;=2,G1528&gt;=3),"Berpotensi",IF(AND(E1528&lt;=3,E1528&gt;=2,F1528&gt;=3),"Rawan",IF(AND(E1528&lt;=2,F1528&lt;=2),"Tidur","Umum"))))))</f>
        <v/>
      </c>
    </row>
    <row r="1529">
      <c r="B1529">
        <f>IF(A1529="","",$B$1-MAXIFS(Donasi!$A$2:$A$20000,Donasi!$B$2:$B$20000,A1529))</f>
        <v/>
      </c>
      <c r="C1529">
        <f>IF(A1529="","",COUNTIF(Donasi!$B$2:$B$20000,A1529))</f>
        <v/>
      </c>
      <c r="D1529">
        <f>IF(A1529="","",SUMIF(Donasi!$B$2:$B$20000,A1529,Donasi!$C$2:$C$20000))</f>
        <v/>
      </c>
      <c r="E1529">
        <f>IF(A1529="","",6-CEILING(PERCENTRANK.INC($B$3:$B$6000,B1529,4)*5+0.000001,1))</f>
        <v/>
      </c>
      <c r="F1529">
        <f>IF(A1529="","",MAX(1,CEILING(PERCENTRANK.INC($C$3:$C$6000,C1529,4)*5+0.000001,1)))</f>
        <v/>
      </c>
      <c r="G1529">
        <f>IF(A1529="","",MAX(1,CEILING(PERCENTRANK.INC($D$3:$D$6000,D1529,4)*5+0.000001,1)))</f>
        <v/>
      </c>
      <c r="H1529">
        <f>IF(A1529="","",E1529&amp;F1529&amp;G1529)</f>
        <v/>
      </c>
      <c r="I1529">
        <f>IF(A1529="","",IF(AND(E1529&gt;=4,F1529&gt;=4,G1529&gt;=4),"Juara",IF(AND(F1529&gt;=4,E1529&gt;=3),"Setia",IF(AND(E1529=5,F1529&lt;=2,G1529&gt;=3),"Berpotensi",IF(AND(E1529&lt;=3,E1529&gt;=2,F1529&gt;=3),"Rawan",IF(AND(E1529&lt;=2,F1529&lt;=2),"Tidur","Umum"))))))</f>
        <v/>
      </c>
    </row>
    <row r="1530">
      <c r="B1530">
        <f>IF(A1530="","",$B$1-MAXIFS(Donasi!$A$2:$A$20000,Donasi!$B$2:$B$20000,A1530))</f>
        <v/>
      </c>
      <c r="C1530">
        <f>IF(A1530="","",COUNTIF(Donasi!$B$2:$B$20000,A1530))</f>
        <v/>
      </c>
      <c r="D1530">
        <f>IF(A1530="","",SUMIF(Donasi!$B$2:$B$20000,A1530,Donasi!$C$2:$C$20000))</f>
        <v/>
      </c>
      <c r="E1530">
        <f>IF(A1530="","",6-CEILING(PERCENTRANK.INC($B$3:$B$6000,B1530,4)*5+0.000001,1))</f>
        <v/>
      </c>
      <c r="F1530">
        <f>IF(A1530="","",MAX(1,CEILING(PERCENTRANK.INC($C$3:$C$6000,C1530,4)*5+0.000001,1)))</f>
        <v/>
      </c>
      <c r="G1530">
        <f>IF(A1530="","",MAX(1,CEILING(PERCENTRANK.INC($D$3:$D$6000,D1530,4)*5+0.000001,1)))</f>
        <v/>
      </c>
      <c r="H1530">
        <f>IF(A1530="","",E1530&amp;F1530&amp;G1530)</f>
        <v/>
      </c>
      <c r="I1530">
        <f>IF(A1530="","",IF(AND(E1530&gt;=4,F1530&gt;=4,G1530&gt;=4),"Juara",IF(AND(F1530&gt;=4,E1530&gt;=3),"Setia",IF(AND(E1530=5,F1530&lt;=2,G1530&gt;=3),"Berpotensi",IF(AND(E1530&lt;=3,E1530&gt;=2,F1530&gt;=3),"Rawan",IF(AND(E1530&lt;=2,F1530&lt;=2),"Tidur","Umum"))))))</f>
        <v/>
      </c>
    </row>
    <row r="1531">
      <c r="B1531">
        <f>IF(A1531="","",$B$1-MAXIFS(Donasi!$A$2:$A$20000,Donasi!$B$2:$B$20000,A1531))</f>
        <v/>
      </c>
      <c r="C1531">
        <f>IF(A1531="","",COUNTIF(Donasi!$B$2:$B$20000,A1531))</f>
        <v/>
      </c>
      <c r="D1531">
        <f>IF(A1531="","",SUMIF(Donasi!$B$2:$B$20000,A1531,Donasi!$C$2:$C$20000))</f>
        <v/>
      </c>
      <c r="E1531">
        <f>IF(A1531="","",6-CEILING(PERCENTRANK.INC($B$3:$B$6000,B1531,4)*5+0.000001,1))</f>
        <v/>
      </c>
      <c r="F1531">
        <f>IF(A1531="","",MAX(1,CEILING(PERCENTRANK.INC($C$3:$C$6000,C1531,4)*5+0.000001,1)))</f>
        <v/>
      </c>
      <c r="G1531">
        <f>IF(A1531="","",MAX(1,CEILING(PERCENTRANK.INC($D$3:$D$6000,D1531,4)*5+0.000001,1)))</f>
        <v/>
      </c>
      <c r="H1531">
        <f>IF(A1531="","",E1531&amp;F1531&amp;G1531)</f>
        <v/>
      </c>
      <c r="I1531">
        <f>IF(A1531="","",IF(AND(E1531&gt;=4,F1531&gt;=4,G1531&gt;=4),"Juara",IF(AND(F1531&gt;=4,E1531&gt;=3),"Setia",IF(AND(E1531=5,F1531&lt;=2,G1531&gt;=3),"Berpotensi",IF(AND(E1531&lt;=3,E1531&gt;=2,F1531&gt;=3),"Rawan",IF(AND(E1531&lt;=2,F1531&lt;=2),"Tidur","Umum"))))))</f>
        <v/>
      </c>
    </row>
    <row r="1532">
      <c r="B1532">
        <f>IF(A1532="","",$B$1-MAXIFS(Donasi!$A$2:$A$20000,Donasi!$B$2:$B$20000,A1532))</f>
        <v/>
      </c>
      <c r="C1532">
        <f>IF(A1532="","",COUNTIF(Donasi!$B$2:$B$20000,A1532))</f>
        <v/>
      </c>
      <c r="D1532">
        <f>IF(A1532="","",SUMIF(Donasi!$B$2:$B$20000,A1532,Donasi!$C$2:$C$20000))</f>
        <v/>
      </c>
      <c r="E1532">
        <f>IF(A1532="","",6-CEILING(PERCENTRANK.INC($B$3:$B$6000,B1532,4)*5+0.000001,1))</f>
        <v/>
      </c>
      <c r="F1532">
        <f>IF(A1532="","",MAX(1,CEILING(PERCENTRANK.INC($C$3:$C$6000,C1532,4)*5+0.000001,1)))</f>
        <v/>
      </c>
      <c r="G1532">
        <f>IF(A1532="","",MAX(1,CEILING(PERCENTRANK.INC($D$3:$D$6000,D1532,4)*5+0.000001,1)))</f>
        <v/>
      </c>
      <c r="H1532">
        <f>IF(A1532="","",E1532&amp;F1532&amp;G1532)</f>
        <v/>
      </c>
      <c r="I1532">
        <f>IF(A1532="","",IF(AND(E1532&gt;=4,F1532&gt;=4,G1532&gt;=4),"Juara",IF(AND(F1532&gt;=4,E1532&gt;=3),"Setia",IF(AND(E1532=5,F1532&lt;=2,G1532&gt;=3),"Berpotensi",IF(AND(E1532&lt;=3,E1532&gt;=2,F1532&gt;=3),"Rawan",IF(AND(E1532&lt;=2,F1532&lt;=2),"Tidur","Umum"))))))</f>
        <v/>
      </c>
    </row>
    <row r="1533">
      <c r="B1533">
        <f>IF(A1533="","",$B$1-MAXIFS(Donasi!$A$2:$A$20000,Donasi!$B$2:$B$20000,A1533))</f>
        <v/>
      </c>
      <c r="C1533">
        <f>IF(A1533="","",COUNTIF(Donasi!$B$2:$B$20000,A1533))</f>
        <v/>
      </c>
      <c r="D1533">
        <f>IF(A1533="","",SUMIF(Donasi!$B$2:$B$20000,A1533,Donasi!$C$2:$C$20000))</f>
        <v/>
      </c>
      <c r="E1533">
        <f>IF(A1533="","",6-CEILING(PERCENTRANK.INC($B$3:$B$6000,B1533,4)*5+0.000001,1))</f>
        <v/>
      </c>
      <c r="F1533">
        <f>IF(A1533="","",MAX(1,CEILING(PERCENTRANK.INC($C$3:$C$6000,C1533,4)*5+0.000001,1)))</f>
        <v/>
      </c>
      <c r="G1533">
        <f>IF(A1533="","",MAX(1,CEILING(PERCENTRANK.INC($D$3:$D$6000,D1533,4)*5+0.000001,1)))</f>
        <v/>
      </c>
      <c r="H1533">
        <f>IF(A1533="","",E1533&amp;F1533&amp;G1533)</f>
        <v/>
      </c>
      <c r="I1533">
        <f>IF(A1533="","",IF(AND(E1533&gt;=4,F1533&gt;=4,G1533&gt;=4),"Juara",IF(AND(F1533&gt;=4,E1533&gt;=3),"Setia",IF(AND(E1533=5,F1533&lt;=2,G1533&gt;=3),"Berpotensi",IF(AND(E1533&lt;=3,E1533&gt;=2,F1533&gt;=3),"Rawan",IF(AND(E1533&lt;=2,F1533&lt;=2),"Tidur","Umum"))))))</f>
        <v/>
      </c>
    </row>
    <row r="1534">
      <c r="B1534">
        <f>IF(A1534="","",$B$1-MAXIFS(Donasi!$A$2:$A$20000,Donasi!$B$2:$B$20000,A1534))</f>
        <v/>
      </c>
      <c r="C1534">
        <f>IF(A1534="","",COUNTIF(Donasi!$B$2:$B$20000,A1534))</f>
        <v/>
      </c>
      <c r="D1534">
        <f>IF(A1534="","",SUMIF(Donasi!$B$2:$B$20000,A1534,Donasi!$C$2:$C$20000))</f>
        <v/>
      </c>
      <c r="E1534">
        <f>IF(A1534="","",6-CEILING(PERCENTRANK.INC($B$3:$B$6000,B1534,4)*5+0.000001,1))</f>
        <v/>
      </c>
      <c r="F1534">
        <f>IF(A1534="","",MAX(1,CEILING(PERCENTRANK.INC($C$3:$C$6000,C1534,4)*5+0.000001,1)))</f>
        <v/>
      </c>
      <c r="G1534">
        <f>IF(A1534="","",MAX(1,CEILING(PERCENTRANK.INC($D$3:$D$6000,D1534,4)*5+0.000001,1)))</f>
        <v/>
      </c>
      <c r="H1534">
        <f>IF(A1534="","",E1534&amp;F1534&amp;G1534)</f>
        <v/>
      </c>
      <c r="I1534">
        <f>IF(A1534="","",IF(AND(E1534&gt;=4,F1534&gt;=4,G1534&gt;=4),"Juara",IF(AND(F1534&gt;=4,E1534&gt;=3),"Setia",IF(AND(E1534=5,F1534&lt;=2,G1534&gt;=3),"Berpotensi",IF(AND(E1534&lt;=3,E1534&gt;=2,F1534&gt;=3),"Rawan",IF(AND(E1534&lt;=2,F1534&lt;=2),"Tidur","Umum"))))))</f>
        <v/>
      </c>
    </row>
    <row r="1535">
      <c r="B1535">
        <f>IF(A1535="","",$B$1-MAXIFS(Donasi!$A$2:$A$20000,Donasi!$B$2:$B$20000,A1535))</f>
        <v/>
      </c>
      <c r="C1535">
        <f>IF(A1535="","",COUNTIF(Donasi!$B$2:$B$20000,A1535))</f>
        <v/>
      </c>
      <c r="D1535">
        <f>IF(A1535="","",SUMIF(Donasi!$B$2:$B$20000,A1535,Donasi!$C$2:$C$20000))</f>
        <v/>
      </c>
      <c r="E1535">
        <f>IF(A1535="","",6-CEILING(PERCENTRANK.INC($B$3:$B$6000,B1535,4)*5+0.000001,1))</f>
        <v/>
      </c>
      <c r="F1535">
        <f>IF(A1535="","",MAX(1,CEILING(PERCENTRANK.INC($C$3:$C$6000,C1535,4)*5+0.000001,1)))</f>
        <v/>
      </c>
      <c r="G1535">
        <f>IF(A1535="","",MAX(1,CEILING(PERCENTRANK.INC($D$3:$D$6000,D1535,4)*5+0.000001,1)))</f>
        <v/>
      </c>
      <c r="H1535">
        <f>IF(A1535="","",E1535&amp;F1535&amp;G1535)</f>
        <v/>
      </c>
      <c r="I1535">
        <f>IF(A1535="","",IF(AND(E1535&gt;=4,F1535&gt;=4,G1535&gt;=4),"Juara",IF(AND(F1535&gt;=4,E1535&gt;=3),"Setia",IF(AND(E1535=5,F1535&lt;=2,G1535&gt;=3),"Berpotensi",IF(AND(E1535&lt;=3,E1535&gt;=2,F1535&gt;=3),"Rawan",IF(AND(E1535&lt;=2,F1535&lt;=2),"Tidur","Umum"))))))</f>
        <v/>
      </c>
    </row>
    <row r="1536">
      <c r="B1536">
        <f>IF(A1536="","",$B$1-MAXIFS(Donasi!$A$2:$A$20000,Donasi!$B$2:$B$20000,A1536))</f>
        <v/>
      </c>
      <c r="C1536">
        <f>IF(A1536="","",COUNTIF(Donasi!$B$2:$B$20000,A1536))</f>
        <v/>
      </c>
      <c r="D1536">
        <f>IF(A1536="","",SUMIF(Donasi!$B$2:$B$20000,A1536,Donasi!$C$2:$C$20000))</f>
        <v/>
      </c>
      <c r="E1536">
        <f>IF(A1536="","",6-CEILING(PERCENTRANK.INC($B$3:$B$6000,B1536,4)*5+0.000001,1))</f>
        <v/>
      </c>
      <c r="F1536">
        <f>IF(A1536="","",MAX(1,CEILING(PERCENTRANK.INC($C$3:$C$6000,C1536,4)*5+0.000001,1)))</f>
        <v/>
      </c>
      <c r="G1536">
        <f>IF(A1536="","",MAX(1,CEILING(PERCENTRANK.INC($D$3:$D$6000,D1536,4)*5+0.000001,1)))</f>
        <v/>
      </c>
      <c r="H1536">
        <f>IF(A1536="","",E1536&amp;F1536&amp;G1536)</f>
        <v/>
      </c>
      <c r="I1536">
        <f>IF(A1536="","",IF(AND(E1536&gt;=4,F1536&gt;=4,G1536&gt;=4),"Juara",IF(AND(F1536&gt;=4,E1536&gt;=3),"Setia",IF(AND(E1536=5,F1536&lt;=2,G1536&gt;=3),"Berpotensi",IF(AND(E1536&lt;=3,E1536&gt;=2,F1536&gt;=3),"Rawan",IF(AND(E1536&lt;=2,F1536&lt;=2),"Tidur","Umum"))))))</f>
        <v/>
      </c>
    </row>
    <row r="1537">
      <c r="B1537">
        <f>IF(A1537="","",$B$1-MAXIFS(Donasi!$A$2:$A$20000,Donasi!$B$2:$B$20000,A1537))</f>
        <v/>
      </c>
      <c r="C1537">
        <f>IF(A1537="","",COUNTIF(Donasi!$B$2:$B$20000,A1537))</f>
        <v/>
      </c>
      <c r="D1537">
        <f>IF(A1537="","",SUMIF(Donasi!$B$2:$B$20000,A1537,Donasi!$C$2:$C$20000))</f>
        <v/>
      </c>
      <c r="E1537">
        <f>IF(A1537="","",6-CEILING(PERCENTRANK.INC($B$3:$B$6000,B1537,4)*5+0.000001,1))</f>
        <v/>
      </c>
      <c r="F1537">
        <f>IF(A1537="","",MAX(1,CEILING(PERCENTRANK.INC($C$3:$C$6000,C1537,4)*5+0.000001,1)))</f>
        <v/>
      </c>
      <c r="G1537">
        <f>IF(A1537="","",MAX(1,CEILING(PERCENTRANK.INC($D$3:$D$6000,D1537,4)*5+0.000001,1)))</f>
        <v/>
      </c>
      <c r="H1537">
        <f>IF(A1537="","",E1537&amp;F1537&amp;G1537)</f>
        <v/>
      </c>
      <c r="I1537">
        <f>IF(A1537="","",IF(AND(E1537&gt;=4,F1537&gt;=4,G1537&gt;=4),"Juara",IF(AND(F1537&gt;=4,E1537&gt;=3),"Setia",IF(AND(E1537=5,F1537&lt;=2,G1537&gt;=3),"Berpotensi",IF(AND(E1537&lt;=3,E1537&gt;=2,F1537&gt;=3),"Rawan",IF(AND(E1537&lt;=2,F1537&lt;=2),"Tidur","Umum"))))))</f>
        <v/>
      </c>
    </row>
    <row r="1538">
      <c r="B1538">
        <f>IF(A1538="","",$B$1-MAXIFS(Donasi!$A$2:$A$20000,Donasi!$B$2:$B$20000,A1538))</f>
        <v/>
      </c>
      <c r="C1538">
        <f>IF(A1538="","",COUNTIF(Donasi!$B$2:$B$20000,A1538))</f>
        <v/>
      </c>
      <c r="D1538">
        <f>IF(A1538="","",SUMIF(Donasi!$B$2:$B$20000,A1538,Donasi!$C$2:$C$20000))</f>
        <v/>
      </c>
      <c r="E1538">
        <f>IF(A1538="","",6-CEILING(PERCENTRANK.INC($B$3:$B$6000,B1538,4)*5+0.000001,1))</f>
        <v/>
      </c>
      <c r="F1538">
        <f>IF(A1538="","",MAX(1,CEILING(PERCENTRANK.INC($C$3:$C$6000,C1538,4)*5+0.000001,1)))</f>
        <v/>
      </c>
      <c r="G1538">
        <f>IF(A1538="","",MAX(1,CEILING(PERCENTRANK.INC($D$3:$D$6000,D1538,4)*5+0.000001,1)))</f>
        <v/>
      </c>
      <c r="H1538">
        <f>IF(A1538="","",E1538&amp;F1538&amp;G1538)</f>
        <v/>
      </c>
      <c r="I1538">
        <f>IF(A1538="","",IF(AND(E1538&gt;=4,F1538&gt;=4,G1538&gt;=4),"Juara",IF(AND(F1538&gt;=4,E1538&gt;=3),"Setia",IF(AND(E1538=5,F1538&lt;=2,G1538&gt;=3),"Berpotensi",IF(AND(E1538&lt;=3,E1538&gt;=2,F1538&gt;=3),"Rawan",IF(AND(E1538&lt;=2,F1538&lt;=2),"Tidur","Umum"))))))</f>
        <v/>
      </c>
    </row>
    <row r="1539">
      <c r="B1539">
        <f>IF(A1539="","",$B$1-MAXIFS(Donasi!$A$2:$A$20000,Donasi!$B$2:$B$20000,A1539))</f>
        <v/>
      </c>
      <c r="C1539">
        <f>IF(A1539="","",COUNTIF(Donasi!$B$2:$B$20000,A1539))</f>
        <v/>
      </c>
      <c r="D1539">
        <f>IF(A1539="","",SUMIF(Donasi!$B$2:$B$20000,A1539,Donasi!$C$2:$C$20000))</f>
        <v/>
      </c>
      <c r="E1539">
        <f>IF(A1539="","",6-CEILING(PERCENTRANK.INC($B$3:$B$6000,B1539,4)*5+0.000001,1))</f>
        <v/>
      </c>
      <c r="F1539">
        <f>IF(A1539="","",MAX(1,CEILING(PERCENTRANK.INC($C$3:$C$6000,C1539,4)*5+0.000001,1)))</f>
        <v/>
      </c>
      <c r="G1539">
        <f>IF(A1539="","",MAX(1,CEILING(PERCENTRANK.INC($D$3:$D$6000,D1539,4)*5+0.000001,1)))</f>
        <v/>
      </c>
      <c r="H1539">
        <f>IF(A1539="","",E1539&amp;F1539&amp;G1539)</f>
        <v/>
      </c>
      <c r="I1539">
        <f>IF(A1539="","",IF(AND(E1539&gt;=4,F1539&gt;=4,G1539&gt;=4),"Juara",IF(AND(F1539&gt;=4,E1539&gt;=3),"Setia",IF(AND(E1539=5,F1539&lt;=2,G1539&gt;=3),"Berpotensi",IF(AND(E1539&lt;=3,E1539&gt;=2,F1539&gt;=3),"Rawan",IF(AND(E1539&lt;=2,F1539&lt;=2),"Tidur","Umum"))))))</f>
        <v/>
      </c>
    </row>
    <row r="1540">
      <c r="B1540">
        <f>IF(A1540="","",$B$1-MAXIFS(Donasi!$A$2:$A$20000,Donasi!$B$2:$B$20000,A1540))</f>
        <v/>
      </c>
      <c r="C1540">
        <f>IF(A1540="","",COUNTIF(Donasi!$B$2:$B$20000,A1540))</f>
        <v/>
      </c>
      <c r="D1540">
        <f>IF(A1540="","",SUMIF(Donasi!$B$2:$B$20000,A1540,Donasi!$C$2:$C$20000))</f>
        <v/>
      </c>
      <c r="E1540">
        <f>IF(A1540="","",6-CEILING(PERCENTRANK.INC($B$3:$B$6000,B1540,4)*5+0.000001,1))</f>
        <v/>
      </c>
      <c r="F1540">
        <f>IF(A1540="","",MAX(1,CEILING(PERCENTRANK.INC($C$3:$C$6000,C1540,4)*5+0.000001,1)))</f>
        <v/>
      </c>
      <c r="G1540">
        <f>IF(A1540="","",MAX(1,CEILING(PERCENTRANK.INC($D$3:$D$6000,D1540,4)*5+0.000001,1)))</f>
        <v/>
      </c>
      <c r="H1540">
        <f>IF(A1540="","",E1540&amp;F1540&amp;G1540)</f>
        <v/>
      </c>
      <c r="I1540">
        <f>IF(A1540="","",IF(AND(E1540&gt;=4,F1540&gt;=4,G1540&gt;=4),"Juara",IF(AND(F1540&gt;=4,E1540&gt;=3),"Setia",IF(AND(E1540=5,F1540&lt;=2,G1540&gt;=3),"Berpotensi",IF(AND(E1540&lt;=3,E1540&gt;=2,F1540&gt;=3),"Rawan",IF(AND(E1540&lt;=2,F1540&lt;=2),"Tidur","Umum"))))))</f>
        <v/>
      </c>
    </row>
    <row r="1541">
      <c r="B1541">
        <f>IF(A1541="","",$B$1-MAXIFS(Donasi!$A$2:$A$20000,Donasi!$B$2:$B$20000,A1541))</f>
        <v/>
      </c>
      <c r="C1541">
        <f>IF(A1541="","",COUNTIF(Donasi!$B$2:$B$20000,A1541))</f>
        <v/>
      </c>
      <c r="D1541">
        <f>IF(A1541="","",SUMIF(Donasi!$B$2:$B$20000,A1541,Donasi!$C$2:$C$20000))</f>
        <v/>
      </c>
      <c r="E1541">
        <f>IF(A1541="","",6-CEILING(PERCENTRANK.INC($B$3:$B$6000,B1541,4)*5+0.000001,1))</f>
        <v/>
      </c>
      <c r="F1541">
        <f>IF(A1541="","",MAX(1,CEILING(PERCENTRANK.INC($C$3:$C$6000,C1541,4)*5+0.000001,1)))</f>
        <v/>
      </c>
      <c r="G1541">
        <f>IF(A1541="","",MAX(1,CEILING(PERCENTRANK.INC($D$3:$D$6000,D1541,4)*5+0.000001,1)))</f>
        <v/>
      </c>
      <c r="H1541">
        <f>IF(A1541="","",E1541&amp;F1541&amp;G1541)</f>
        <v/>
      </c>
      <c r="I1541">
        <f>IF(A1541="","",IF(AND(E1541&gt;=4,F1541&gt;=4,G1541&gt;=4),"Juara",IF(AND(F1541&gt;=4,E1541&gt;=3),"Setia",IF(AND(E1541=5,F1541&lt;=2,G1541&gt;=3),"Berpotensi",IF(AND(E1541&lt;=3,E1541&gt;=2,F1541&gt;=3),"Rawan",IF(AND(E1541&lt;=2,F1541&lt;=2),"Tidur","Umum"))))))</f>
        <v/>
      </c>
    </row>
    <row r="1542">
      <c r="B1542">
        <f>IF(A1542="","",$B$1-MAXIFS(Donasi!$A$2:$A$20000,Donasi!$B$2:$B$20000,A1542))</f>
        <v/>
      </c>
      <c r="C1542">
        <f>IF(A1542="","",COUNTIF(Donasi!$B$2:$B$20000,A1542))</f>
        <v/>
      </c>
      <c r="D1542">
        <f>IF(A1542="","",SUMIF(Donasi!$B$2:$B$20000,A1542,Donasi!$C$2:$C$20000))</f>
        <v/>
      </c>
      <c r="E1542">
        <f>IF(A1542="","",6-CEILING(PERCENTRANK.INC($B$3:$B$6000,B1542,4)*5+0.000001,1))</f>
        <v/>
      </c>
      <c r="F1542">
        <f>IF(A1542="","",MAX(1,CEILING(PERCENTRANK.INC($C$3:$C$6000,C1542,4)*5+0.000001,1)))</f>
        <v/>
      </c>
      <c r="G1542">
        <f>IF(A1542="","",MAX(1,CEILING(PERCENTRANK.INC($D$3:$D$6000,D1542,4)*5+0.000001,1)))</f>
        <v/>
      </c>
      <c r="H1542">
        <f>IF(A1542="","",E1542&amp;F1542&amp;G1542)</f>
        <v/>
      </c>
      <c r="I1542">
        <f>IF(A1542="","",IF(AND(E1542&gt;=4,F1542&gt;=4,G1542&gt;=4),"Juara",IF(AND(F1542&gt;=4,E1542&gt;=3),"Setia",IF(AND(E1542=5,F1542&lt;=2,G1542&gt;=3),"Berpotensi",IF(AND(E1542&lt;=3,E1542&gt;=2,F1542&gt;=3),"Rawan",IF(AND(E1542&lt;=2,F1542&lt;=2),"Tidur","Umum"))))))</f>
        <v/>
      </c>
    </row>
    <row r="1543">
      <c r="B1543">
        <f>IF(A1543="","",$B$1-MAXIFS(Donasi!$A$2:$A$20000,Donasi!$B$2:$B$20000,A1543))</f>
        <v/>
      </c>
      <c r="C1543">
        <f>IF(A1543="","",COUNTIF(Donasi!$B$2:$B$20000,A1543))</f>
        <v/>
      </c>
      <c r="D1543">
        <f>IF(A1543="","",SUMIF(Donasi!$B$2:$B$20000,A1543,Donasi!$C$2:$C$20000))</f>
        <v/>
      </c>
      <c r="E1543">
        <f>IF(A1543="","",6-CEILING(PERCENTRANK.INC($B$3:$B$6000,B1543,4)*5+0.000001,1))</f>
        <v/>
      </c>
      <c r="F1543">
        <f>IF(A1543="","",MAX(1,CEILING(PERCENTRANK.INC($C$3:$C$6000,C1543,4)*5+0.000001,1)))</f>
        <v/>
      </c>
      <c r="G1543">
        <f>IF(A1543="","",MAX(1,CEILING(PERCENTRANK.INC($D$3:$D$6000,D1543,4)*5+0.000001,1)))</f>
        <v/>
      </c>
      <c r="H1543">
        <f>IF(A1543="","",E1543&amp;F1543&amp;G1543)</f>
        <v/>
      </c>
      <c r="I1543">
        <f>IF(A1543="","",IF(AND(E1543&gt;=4,F1543&gt;=4,G1543&gt;=4),"Juara",IF(AND(F1543&gt;=4,E1543&gt;=3),"Setia",IF(AND(E1543=5,F1543&lt;=2,G1543&gt;=3),"Berpotensi",IF(AND(E1543&lt;=3,E1543&gt;=2,F1543&gt;=3),"Rawan",IF(AND(E1543&lt;=2,F1543&lt;=2),"Tidur","Umum"))))))</f>
        <v/>
      </c>
    </row>
    <row r="1544">
      <c r="B1544">
        <f>IF(A1544="","",$B$1-MAXIFS(Donasi!$A$2:$A$20000,Donasi!$B$2:$B$20000,A1544))</f>
        <v/>
      </c>
      <c r="C1544">
        <f>IF(A1544="","",COUNTIF(Donasi!$B$2:$B$20000,A1544))</f>
        <v/>
      </c>
      <c r="D1544">
        <f>IF(A1544="","",SUMIF(Donasi!$B$2:$B$20000,A1544,Donasi!$C$2:$C$20000))</f>
        <v/>
      </c>
      <c r="E1544">
        <f>IF(A1544="","",6-CEILING(PERCENTRANK.INC($B$3:$B$6000,B1544,4)*5+0.000001,1))</f>
        <v/>
      </c>
      <c r="F1544">
        <f>IF(A1544="","",MAX(1,CEILING(PERCENTRANK.INC($C$3:$C$6000,C1544,4)*5+0.000001,1)))</f>
        <v/>
      </c>
      <c r="G1544">
        <f>IF(A1544="","",MAX(1,CEILING(PERCENTRANK.INC($D$3:$D$6000,D1544,4)*5+0.000001,1)))</f>
        <v/>
      </c>
      <c r="H1544">
        <f>IF(A1544="","",E1544&amp;F1544&amp;G1544)</f>
        <v/>
      </c>
      <c r="I1544">
        <f>IF(A1544="","",IF(AND(E1544&gt;=4,F1544&gt;=4,G1544&gt;=4),"Juara",IF(AND(F1544&gt;=4,E1544&gt;=3),"Setia",IF(AND(E1544=5,F1544&lt;=2,G1544&gt;=3),"Berpotensi",IF(AND(E1544&lt;=3,E1544&gt;=2,F1544&gt;=3),"Rawan",IF(AND(E1544&lt;=2,F1544&lt;=2),"Tidur","Umum"))))))</f>
        <v/>
      </c>
    </row>
    <row r="1545">
      <c r="B1545">
        <f>IF(A1545="","",$B$1-MAXIFS(Donasi!$A$2:$A$20000,Donasi!$B$2:$B$20000,A1545))</f>
        <v/>
      </c>
      <c r="C1545">
        <f>IF(A1545="","",COUNTIF(Donasi!$B$2:$B$20000,A1545))</f>
        <v/>
      </c>
      <c r="D1545">
        <f>IF(A1545="","",SUMIF(Donasi!$B$2:$B$20000,A1545,Donasi!$C$2:$C$20000))</f>
        <v/>
      </c>
      <c r="E1545">
        <f>IF(A1545="","",6-CEILING(PERCENTRANK.INC($B$3:$B$6000,B1545,4)*5+0.000001,1))</f>
        <v/>
      </c>
      <c r="F1545">
        <f>IF(A1545="","",MAX(1,CEILING(PERCENTRANK.INC($C$3:$C$6000,C1545,4)*5+0.000001,1)))</f>
        <v/>
      </c>
      <c r="G1545">
        <f>IF(A1545="","",MAX(1,CEILING(PERCENTRANK.INC($D$3:$D$6000,D1545,4)*5+0.000001,1)))</f>
        <v/>
      </c>
      <c r="H1545">
        <f>IF(A1545="","",E1545&amp;F1545&amp;G1545)</f>
        <v/>
      </c>
      <c r="I1545">
        <f>IF(A1545="","",IF(AND(E1545&gt;=4,F1545&gt;=4,G1545&gt;=4),"Juara",IF(AND(F1545&gt;=4,E1545&gt;=3),"Setia",IF(AND(E1545=5,F1545&lt;=2,G1545&gt;=3),"Berpotensi",IF(AND(E1545&lt;=3,E1545&gt;=2,F1545&gt;=3),"Rawan",IF(AND(E1545&lt;=2,F1545&lt;=2),"Tidur","Umum"))))))</f>
        <v/>
      </c>
    </row>
    <row r="1546">
      <c r="B1546">
        <f>IF(A1546="","",$B$1-MAXIFS(Donasi!$A$2:$A$20000,Donasi!$B$2:$B$20000,A1546))</f>
        <v/>
      </c>
      <c r="C1546">
        <f>IF(A1546="","",COUNTIF(Donasi!$B$2:$B$20000,A1546))</f>
        <v/>
      </c>
      <c r="D1546">
        <f>IF(A1546="","",SUMIF(Donasi!$B$2:$B$20000,A1546,Donasi!$C$2:$C$20000))</f>
        <v/>
      </c>
      <c r="E1546">
        <f>IF(A1546="","",6-CEILING(PERCENTRANK.INC($B$3:$B$6000,B1546,4)*5+0.000001,1))</f>
        <v/>
      </c>
      <c r="F1546">
        <f>IF(A1546="","",MAX(1,CEILING(PERCENTRANK.INC($C$3:$C$6000,C1546,4)*5+0.000001,1)))</f>
        <v/>
      </c>
      <c r="G1546">
        <f>IF(A1546="","",MAX(1,CEILING(PERCENTRANK.INC($D$3:$D$6000,D1546,4)*5+0.000001,1)))</f>
        <v/>
      </c>
      <c r="H1546">
        <f>IF(A1546="","",E1546&amp;F1546&amp;G1546)</f>
        <v/>
      </c>
      <c r="I1546">
        <f>IF(A1546="","",IF(AND(E1546&gt;=4,F1546&gt;=4,G1546&gt;=4),"Juara",IF(AND(F1546&gt;=4,E1546&gt;=3),"Setia",IF(AND(E1546=5,F1546&lt;=2,G1546&gt;=3),"Berpotensi",IF(AND(E1546&lt;=3,E1546&gt;=2,F1546&gt;=3),"Rawan",IF(AND(E1546&lt;=2,F1546&lt;=2),"Tidur","Umum"))))))</f>
        <v/>
      </c>
    </row>
    <row r="1547">
      <c r="B1547">
        <f>IF(A1547="","",$B$1-MAXIFS(Donasi!$A$2:$A$20000,Donasi!$B$2:$B$20000,A1547))</f>
        <v/>
      </c>
      <c r="C1547">
        <f>IF(A1547="","",COUNTIF(Donasi!$B$2:$B$20000,A1547))</f>
        <v/>
      </c>
      <c r="D1547">
        <f>IF(A1547="","",SUMIF(Donasi!$B$2:$B$20000,A1547,Donasi!$C$2:$C$20000))</f>
        <v/>
      </c>
      <c r="E1547">
        <f>IF(A1547="","",6-CEILING(PERCENTRANK.INC($B$3:$B$6000,B1547,4)*5+0.000001,1))</f>
        <v/>
      </c>
      <c r="F1547">
        <f>IF(A1547="","",MAX(1,CEILING(PERCENTRANK.INC($C$3:$C$6000,C1547,4)*5+0.000001,1)))</f>
        <v/>
      </c>
      <c r="G1547">
        <f>IF(A1547="","",MAX(1,CEILING(PERCENTRANK.INC($D$3:$D$6000,D1547,4)*5+0.000001,1)))</f>
        <v/>
      </c>
      <c r="H1547">
        <f>IF(A1547="","",E1547&amp;F1547&amp;G1547)</f>
        <v/>
      </c>
      <c r="I1547">
        <f>IF(A1547="","",IF(AND(E1547&gt;=4,F1547&gt;=4,G1547&gt;=4),"Juara",IF(AND(F1547&gt;=4,E1547&gt;=3),"Setia",IF(AND(E1547=5,F1547&lt;=2,G1547&gt;=3),"Berpotensi",IF(AND(E1547&lt;=3,E1547&gt;=2,F1547&gt;=3),"Rawan",IF(AND(E1547&lt;=2,F1547&lt;=2),"Tidur","Umum"))))))</f>
        <v/>
      </c>
    </row>
    <row r="1548">
      <c r="B1548">
        <f>IF(A1548="","",$B$1-MAXIFS(Donasi!$A$2:$A$20000,Donasi!$B$2:$B$20000,A1548))</f>
        <v/>
      </c>
      <c r="C1548">
        <f>IF(A1548="","",COUNTIF(Donasi!$B$2:$B$20000,A1548))</f>
        <v/>
      </c>
      <c r="D1548">
        <f>IF(A1548="","",SUMIF(Donasi!$B$2:$B$20000,A1548,Donasi!$C$2:$C$20000))</f>
        <v/>
      </c>
      <c r="E1548">
        <f>IF(A1548="","",6-CEILING(PERCENTRANK.INC($B$3:$B$6000,B1548,4)*5+0.000001,1))</f>
        <v/>
      </c>
      <c r="F1548">
        <f>IF(A1548="","",MAX(1,CEILING(PERCENTRANK.INC($C$3:$C$6000,C1548,4)*5+0.000001,1)))</f>
        <v/>
      </c>
      <c r="G1548">
        <f>IF(A1548="","",MAX(1,CEILING(PERCENTRANK.INC($D$3:$D$6000,D1548,4)*5+0.000001,1)))</f>
        <v/>
      </c>
      <c r="H1548">
        <f>IF(A1548="","",E1548&amp;F1548&amp;G1548)</f>
        <v/>
      </c>
      <c r="I1548">
        <f>IF(A1548="","",IF(AND(E1548&gt;=4,F1548&gt;=4,G1548&gt;=4),"Juara",IF(AND(F1548&gt;=4,E1548&gt;=3),"Setia",IF(AND(E1548=5,F1548&lt;=2,G1548&gt;=3),"Berpotensi",IF(AND(E1548&lt;=3,E1548&gt;=2,F1548&gt;=3),"Rawan",IF(AND(E1548&lt;=2,F1548&lt;=2),"Tidur","Umum"))))))</f>
        <v/>
      </c>
    </row>
    <row r="1549">
      <c r="B1549">
        <f>IF(A1549="","",$B$1-MAXIFS(Donasi!$A$2:$A$20000,Donasi!$B$2:$B$20000,A1549))</f>
        <v/>
      </c>
      <c r="C1549">
        <f>IF(A1549="","",COUNTIF(Donasi!$B$2:$B$20000,A1549))</f>
        <v/>
      </c>
      <c r="D1549">
        <f>IF(A1549="","",SUMIF(Donasi!$B$2:$B$20000,A1549,Donasi!$C$2:$C$20000))</f>
        <v/>
      </c>
      <c r="E1549">
        <f>IF(A1549="","",6-CEILING(PERCENTRANK.INC($B$3:$B$6000,B1549,4)*5+0.000001,1))</f>
        <v/>
      </c>
      <c r="F1549">
        <f>IF(A1549="","",MAX(1,CEILING(PERCENTRANK.INC($C$3:$C$6000,C1549,4)*5+0.000001,1)))</f>
        <v/>
      </c>
      <c r="G1549">
        <f>IF(A1549="","",MAX(1,CEILING(PERCENTRANK.INC($D$3:$D$6000,D1549,4)*5+0.000001,1)))</f>
        <v/>
      </c>
      <c r="H1549">
        <f>IF(A1549="","",E1549&amp;F1549&amp;G1549)</f>
        <v/>
      </c>
      <c r="I1549">
        <f>IF(A1549="","",IF(AND(E1549&gt;=4,F1549&gt;=4,G1549&gt;=4),"Juara",IF(AND(F1549&gt;=4,E1549&gt;=3),"Setia",IF(AND(E1549=5,F1549&lt;=2,G1549&gt;=3),"Berpotensi",IF(AND(E1549&lt;=3,E1549&gt;=2,F1549&gt;=3),"Rawan",IF(AND(E1549&lt;=2,F1549&lt;=2),"Tidur","Umum"))))))</f>
        <v/>
      </c>
    </row>
    <row r="1550">
      <c r="B1550">
        <f>IF(A1550="","",$B$1-MAXIFS(Donasi!$A$2:$A$20000,Donasi!$B$2:$B$20000,A1550))</f>
        <v/>
      </c>
      <c r="C1550">
        <f>IF(A1550="","",COUNTIF(Donasi!$B$2:$B$20000,A1550))</f>
        <v/>
      </c>
      <c r="D1550">
        <f>IF(A1550="","",SUMIF(Donasi!$B$2:$B$20000,A1550,Donasi!$C$2:$C$20000))</f>
        <v/>
      </c>
      <c r="E1550">
        <f>IF(A1550="","",6-CEILING(PERCENTRANK.INC($B$3:$B$6000,B1550,4)*5+0.000001,1))</f>
        <v/>
      </c>
      <c r="F1550">
        <f>IF(A1550="","",MAX(1,CEILING(PERCENTRANK.INC($C$3:$C$6000,C1550,4)*5+0.000001,1)))</f>
        <v/>
      </c>
      <c r="G1550">
        <f>IF(A1550="","",MAX(1,CEILING(PERCENTRANK.INC($D$3:$D$6000,D1550,4)*5+0.000001,1)))</f>
        <v/>
      </c>
      <c r="H1550">
        <f>IF(A1550="","",E1550&amp;F1550&amp;G1550)</f>
        <v/>
      </c>
      <c r="I1550">
        <f>IF(A1550="","",IF(AND(E1550&gt;=4,F1550&gt;=4,G1550&gt;=4),"Juara",IF(AND(F1550&gt;=4,E1550&gt;=3),"Setia",IF(AND(E1550=5,F1550&lt;=2,G1550&gt;=3),"Berpotensi",IF(AND(E1550&lt;=3,E1550&gt;=2,F1550&gt;=3),"Rawan",IF(AND(E1550&lt;=2,F1550&lt;=2),"Tidur","Umum"))))))</f>
        <v/>
      </c>
    </row>
    <row r="1551">
      <c r="B1551">
        <f>IF(A1551="","",$B$1-MAXIFS(Donasi!$A$2:$A$20000,Donasi!$B$2:$B$20000,A1551))</f>
        <v/>
      </c>
      <c r="C1551">
        <f>IF(A1551="","",COUNTIF(Donasi!$B$2:$B$20000,A1551))</f>
        <v/>
      </c>
      <c r="D1551">
        <f>IF(A1551="","",SUMIF(Donasi!$B$2:$B$20000,A1551,Donasi!$C$2:$C$20000))</f>
        <v/>
      </c>
      <c r="E1551">
        <f>IF(A1551="","",6-CEILING(PERCENTRANK.INC($B$3:$B$6000,B1551,4)*5+0.000001,1))</f>
        <v/>
      </c>
      <c r="F1551">
        <f>IF(A1551="","",MAX(1,CEILING(PERCENTRANK.INC($C$3:$C$6000,C1551,4)*5+0.000001,1)))</f>
        <v/>
      </c>
      <c r="G1551">
        <f>IF(A1551="","",MAX(1,CEILING(PERCENTRANK.INC($D$3:$D$6000,D1551,4)*5+0.000001,1)))</f>
        <v/>
      </c>
      <c r="H1551">
        <f>IF(A1551="","",E1551&amp;F1551&amp;G1551)</f>
        <v/>
      </c>
      <c r="I1551">
        <f>IF(A1551="","",IF(AND(E1551&gt;=4,F1551&gt;=4,G1551&gt;=4),"Juara",IF(AND(F1551&gt;=4,E1551&gt;=3),"Setia",IF(AND(E1551=5,F1551&lt;=2,G1551&gt;=3),"Berpotensi",IF(AND(E1551&lt;=3,E1551&gt;=2,F1551&gt;=3),"Rawan",IF(AND(E1551&lt;=2,F1551&lt;=2),"Tidur","Umum"))))))</f>
        <v/>
      </c>
    </row>
    <row r="1552">
      <c r="B1552">
        <f>IF(A1552="","",$B$1-MAXIFS(Donasi!$A$2:$A$20000,Donasi!$B$2:$B$20000,A1552))</f>
        <v/>
      </c>
      <c r="C1552">
        <f>IF(A1552="","",COUNTIF(Donasi!$B$2:$B$20000,A1552))</f>
        <v/>
      </c>
      <c r="D1552">
        <f>IF(A1552="","",SUMIF(Donasi!$B$2:$B$20000,A1552,Donasi!$C$2:$C$20000))</f>
        <v/>
      </c>
      <c r="E1552">
        <f>IF(A1552="","",6-CEILING(PERCENTRANK.INC($B$3:$B$6000,B1552,4)*5+0.000001,1))</f>
        <v/>
      </c>
      <c r="F1552">
        <f>IF(A1552="","",MAX(1,CEILING(PERCENTRANK.INC($C$3:$C$6000,C1552,4)*5+0.000001,1)))</f>
        <v/>
      </c>
      <c r="G1552">
        <f>IF(A1552="","",MAX(1,CEILING(PERCENTRANK.INC($D$3:$D$6000,D1552,4)*5+0.000001,1)))</f>
        <v/>
      </c>
      <c r="H1552">
        <f>IF(A1552="","",E1552&amp;F1552&amp;G1552)</f>
        <v/>
      </c>
      <c r="I1552">
        <f>IF(A1552="","",IF(AND(E1552&gt;=4,F1552&gt;=4,G1552&gt;=4),"Juara",IF(AND(F1552&gt;=4,E1552&gt;=3),"Setia",IF(AND(E1552=5,F1552&lt;=2,G1552&gt;=3),"Berpotensi",IF(AND(E1552&lt;=3,E1552&gt;=2,F1552&gt;=3),"Rawan",IF(AND(E1552&lt;=2,F1552&lt;=2),"Tidur","Umum"))))))</f>
        <v/>
      </c>
    </row>
    <row r="1553">
      <c r="B1553">
        <f>IF(A1553="","",$B$1-MAXIFS(Donasi!$A$2:$A$20000,Donasi!$B$2:$B$20000,A1553))</f>
        <v/>
      </c>
      <c r="C1553">
        <f>IF(A1553="","",COUNTIF(Donasi!$B$2:$B$20000,A1553))</f>
        <v/>
      </c>
      <c r="D1553">
        <f>IF(A1553="","",SUMIF(Donasi!$B$2:$B$20000,A1553,Donasi!$C$2:$C$20000))</f>
        <v/>
      </c>
      <c r="E1553">
        <f>IF(A1553="","",6-CEILING(PERCENTRANK.INC($B$3:$B$6000,B1553,4)*5+0.000001,1))</f>
        <v/>
      </c>
      <c r="F1553">
        <f>IF(A1553="","",MAX(1,CEILING(PERCENTRANK.INC($C$3:$C$6000,C1553,4)*5+0.000001,1)))</f>
        <v/>
      </c>
      <c r="G1553">
        <f>IF(A1553="","",MAX(1,CEILING(PERCENTRANK.INC($D$3:$D$6000,D1553,4)*5+0.000001,1)))</f>
        <v/>
      </c>
      <c r="H1553">
        <f>IF(A1553="","",E1553&amp;F1553&amp;G1553)</f>
        <v/>
      </c>
      <c r="I1553">
        <f>IF(A1553="","",IF(AND(E1553&gt;=4,F1553&gt;=4,G1553&gt;=4),"Juara",IF(AND(F1553&gt;=4,E1553&gt;=3),"Setia",IF(AND(E1553=5,F1553&lt;=2,G1553&gt;=3),"Berpotensi",IF(AND(E1553&lt;=3,E1553&gt;=2,F1553&gt;=3),"Rawan",IF(AND(E1553&lt;=2,F1553&lt;=2),"Tidur","Umum"))))))</f>
        <v/>
      </c>
    </row>
    <row r="1554">
      <c r="B1554">
        <f>IF(A1554="","",$B$1-MAXIFS(Donasi!$A$2:$A$20000,Donasi!$B$2:$B$20000,A1554))</f>
        <v/>
      </c>
      <c r="C1554">
        <f>IF(A1554="","",COUNTIF(Donasi!$B$2:$B$20000,A1554))</f>
        <v/>
      </c>
      <c r="D1554">
        <f>IF(A1554="","",SUMIF(Donasi!$B$2:$B$20000,A1554,Donasi!$C$2:$C$20000))</f>
        <v/>
      </c>
      <c r="E1554">
        <f>IF(A1554="","",6-CEILING(PERCENTRANK.INC($B$3:$B$6000,B1554,4)*5+0.000001,1))</f>
        <v/>
      </c>
      <c r="F1554">
        <f>IF(A1554="","",MAX(1,CEILING(PERCENTRANK.INC($C$3:$C$6000,C1554,4)*5+0.000001,1)))</f>
        <v/>
      </c>
      <c r="G1554">
        <f>IF(A1554="","",MAX(1,CEILING(PERCENTRANK.INC($D$3:$D$6000,D1554,4)*5+0.000001,1)))</f>
        <v/>
      </c>
      <c r="H1554">
        <f>IF(A1554="","",E1554&amp;F1554&amp;G1554)</f>
        <v/>
      </c>
      <c r="I1554">
        <f>IF(A1554="","",IF(AND(E1554&gt;=4,F1554&gt;=4,G1554&gt;=4),"Juara",IF(AND(F1554&gt;=4,E1554&gt;=3),"Setia",IF(AND(E1554=5,F1554&lt;=2,G1554&gt;=3),"Berpotensi",IF(AND(E1554&lt;=3,E1554&gt;=2,F1554&gt;=3),"Rawan",IF(AND(E1554&lt;=2,F1554&lt;=2),"Tidur","Umum"))))))</f>
        <v/>
      </c>
    </row>
    <row r="1555">
      <c r="B1555">
        <f>IF(A1555="","",$B$1-MAXIFS(Donasi!$A$2:$A$20000,Donasi!$B$2:$B$20000,A1555))</f>
        <v/>
      </c>
      <c r="C1555">
        <f>IF(A1555="","",COUNTIF(Donasi!$B$2:$B$20000,A1555))</f>
        <v/>
      </c>
      <c r="D1555">
        <f>IF(A1555="","",SUMIF(Donasi!$B$2:$B$20000,A1555,Donasi!$C$2:$C$20000))</f>
        <v/>
      </c>
      <c r="E1555">
        <f>IF(A1555="","",6-CEILING(PERCENTRANK.INC($B$3:$B$6000,B1555,4)*5+0.000001,1))</f>
        <v/>
      </c>
      <c r="F1555">
        <f>IF(A1555="","",MAX(1,CEILING(PERCENTRANK.INC($C$3:$C$6000,C1555,4)*5+0.000001,1)))</f>
        <v/>
      </c>
      <c r="G1555">
        <f>IF(A1555="","",MAX(1,CEILING(PERCENTRANK.INC($D$3:$D$6000,D1555,4)*5+0.000001,1)))</f>
        <v/>
      </c>
      <c r="H1555">
        <f>IF(A1555="","",E1555&amp;F1555&amp;G1555)</f>
        <v/>
      </c>
      <c r="I1555">
        <f>IF(A1555="","",IF(AND(E1555&gt;=4,F1555&gt;=4,G1555&gt;=4),"Juara",IF(AND(F1555&gt;=4,E1555&gt;=3),"Setia",IF(AND(E1555=5,F1555&lt;=2,G1555&gt;=3),"Berpotensi",IF(AND(E1555&lt;=3,E1555&gt;=2,F1555&gt;=3),"Rawan",IF(AND(E1555&lt;=2,F1555&lt;=2),"Tidur","Umum"))))))</f>
        <v/>
      </c>
    </row>
    <row r="1556">
      <c r="B1556">
        <f>IF(A1556="","",$B$1-MAXIFS(Donasi!$A$2:$A$20000,Donasi!$B$2:$B$20000,A1556))</f>
        <v/>
      </c>
      <c r="C1556">
        <f>IF(A1556="","",COUNTIF(Donasi!$B$2:$B$20000,A1556))</f>
        <v/>
      </c>
      <c r="D1556">
        <f>IF(A1556="","",SUMIF(Donasi!$B$2:$B$20000,A1556,Donasi!$C$2:$C$20000))</f>
        <v/>
      </c>
      <c r="E1556">
        <f>IF(A1556="","",6-CEILING(PERCENTRANK.INC($B$3:$B$6000,B1556,4)*5+0.000001,1))</f>
        <v/>
      </c>
      <c r="F1556">
        <f>IF(A1556="","",MAX(1,CEILING(PERCENTRANK.INC($C$3:$C$6000,C1556,4)*5+0.000001,1)))</f>
        <v/>
      </c>
      <c r="G1556">
        <f>IF(A1556="","",MAX(1,CEILING(PERCENTRANK.INC($D$3:$D$6000,D1556,4)*5+0.000001,1)))</f>
        <v/>
      </c>
      <c r="H1556">
        <f>IF(A1556="","",E1556&amp;F1556&amp;G1556)</f>
        <v/>
      </c>
      <c r="I1556">
        <f>IF(A1556="","",IF(AND(E1556&gt;=4,F1556&gt;=4,G1556&gt;=4),"Juara",IF(AND(F1556&gt;=4,E1556&gt;=3),"Setia",IF(AND(E1556=5,F1556&lt;=2,G1556&gt;=3),"Berpotensi",IF(AND(E1556&lt;=3,E1556&gt;=2,F1556&gt;=3),"Rawan",IF(AND(E1556&lt;=2,F1556&lt;=2),"Tidur","Umum"))))))</f>
        <v/>
      </c>
    </row>
    <row r="1557">
      <c r="B1557">
        <f>IF(A1557="","",$B$1-MAXIFS(Donasi!$A$2:$A$20000,Donasi!$B$2:$B$20000,A1557))</f>
        <v/>
      </c>
      <c r="C1557">
        <f>IF(A1557="","",COUNTIF(Donasi!$B$2:$B$20000,A1557))</f>
        <v/>
      </c>
      <c r="D1557">
        <f>IF(A1557="","",SUMIF(Donasi!$B$2:$B$20000,A1557,Donasi!$C$2:$C$20000))</f>
        <v/>
      </c>
      <c r="E1557">
        <f>IF(A1557="","",6-CEILING(PERCENTRANK.INC($B$3:$B$6000,B1557,4)*5+0.000001,1))</f>
        <v/>
      </c>
      <c r="F1557">
        <f>IF(A1557="","",MAX(1,CEILING(PERCENTRANK.INC($C$3:$C$6000,C1557,4)*5+0.000001,1)))</f>
        <v/>
      </c>
      <c r="G1557">
        <f>IF(A1557="","",MAX(1,CEILING(PERCENTRANK.INC($D$3:$D$6000,D1557,4)*5+0.000001,1)))</f>
        <v/>
      </c>
      <c r="H1557">
        <f>IF(A1557="","",E1557&amp;F1557&amp;G1557)</f>
        <v/>
      </c>
      <c r="I1557">
        <f>IF(A1557="","",IF(AND(E1557&gt;=4,F1557&gt;=4,G1557&gt;=4),"Juara",IF(AND(F1557&gt;=4,E1557&gt;=3),"Setia",IF(AND(E1557=5,F1557&lt;=2,G1557&gt;=3),"Berpotensi",IF(AND(E1557&lt;=3,E1557&gt;=2,F1557&gt;=3),"Rawan",IF(AND(E1557&lt;=2,F1557&lt;=2),"Tidur","Umum"))))))</f>
        <v/>
      </c>
    </row>
    <row r="1558">
      <c r="B1558">
        <f>IF(A1558="","",$B$1-MAXIFS(Donasi!$A$2:$A$20000,Donasi!$B$2:$B$20000,A1558))</f>
        <v/>
      </c>
      <c r="C1558">
        <f>IF(A1558="","",COUNTIF(Donasi!$B$2:$B$20000,A1558))</f>
        <v/>
      </c>
      <c r="D1558">
        <f>IF(A1558="","",SUMIF(Donasi!$B$2:$B$20000,A1558,Donasi!$C$2:$C$20000))</f>
        <v/>
      </c>
      <c r="E1558">
        <f>IF(A1558="","",6-CEILING(PERCENTRANK.INC($B$3:$B$6000,B1558,4)*5+0.000001,1))</f>
        <v/>
      </c>
      <c r="F1558">
        <f>IF(A1558="","",MAX(1,CEILING(PERCENTRANK.INC($C$3:$C$6000,C1558,4)*5+0.000001,1)))</f>
        <v/>
      </c>
      <c r="G1558">
        <f>IF(A1558="","",MAX(1,CEILING(PERCENTRANK.INC($D$3:$D$6000,D1558,4)*5+0.000001,1)))</f>
        <v/>
      </c>
      <c r="H1558">
        <f>IF(A1558="","",E1558&amp;F1558&amp;G1558)</f>
        <v/>
      </c>
      <c r="I1558">
        <f>IF(A1558="","",IF(AND(E1558&gt;=4,F1558&gt;=4,G1558&gt;=4),"Juara",IF(AND(F1558&gt;=4,E1558&gt;=3),"Setia",IF(AND(E1558=5,F1558&lt;=2,G1558&gt;=3),"Berpotensi",IF(AND(E1558&lt;=3,E1558&gt;=2,F1558&gt;=3),"Rawan",IF(AND(E1558&lt;=2,F1558&lt;=2),"Tidur","Umum"))))))</f>
        <v/>
      </c>
    </row>
    <row r="1559">
      <c r="B1559">
        <f>IF(A1559="","",$B$1-MAXIFS(Donasi!$A$2:$A$20000,Donasi!$B$2:$B$20000,A1559))</f>
        <v/>
      </c>
      <c r="C1559">
        <f>IF(A1559="","",COUNTIF(Donasi!$B$2:$B$20000,A1559))</f>
        <v/>
      </c>
      <c r="D1559">
        <f>IF(A1559="","",SUMIF(Donasi!$B$2:$B$20000,A1559,Donasi!$C$2:$C$20000))</f>
        <v/>
      </c>
      <c r="E1559">
        <f>IF(A1559="","",6-CEILING(PERCENTRANK.INC($B$3:$B$6000,B1559,4)*5+0.000001,1))</f>
        <v/>
      </c>
      <c r="F1559">
        <f>IF(A1559="","",MAX(1,CEILING(PERCENTRANK.INC($C$3:$C$6000,C1559,4)*5+0.000001,1)))</f>
        <v/>
      </c>
      <c r="G1559">
        <f>IF(A1559="","",MAX(1,CEILING(PERCENTRANK.INC($D$3:$D$6000,D1559,4)*5+0.000001,1)))</f>
        <v/>
      </c>
      <c r="H1559">
        <f>IF(A1559="","",E1559&amp;F1559&amp;G1559)</f>
        <v/>
      </c>
      <c r="I1559">
        <f>IF(A1559="","",IF(AND(E1559&gt;=4,F1559&gt;=4,G1559&gt;=4),"Juara",IF(AND(F1559&gt;=4,E1559&gt;=3),"Setia",IF(AND(E1559=5,F1559&lt;=2,G1559&gt;=3),"Berpotensi",IF(AND(E1559&lt;=3,E1559&gt;=2,F1559&gt;=3),"Rawan",IF(AND(E1559&lt;=2,F1559&lt;=2),"Tidur","Umum"))))))</f>
        <v/>
      </c>
    </row>
    <row r="1560">
      <c r="B1560">
        <f>IF(A1560="","",$B$1-MAXIFS(Donasi!$A$2:$A$20000,Donasi!$B$2:$B$20000,A1560))</f>
        <v/>
      </c>
      <c r="C1560">
        <f>IF(A1560="","",COUNTIF(Donasi!$B$2:$B$20000,A1560))</f>
        <v/>
      </c>
      <c r="D1560">
        <f>IF(A1560="","",SUMIF(Donasi!$B$2:$B$20000,A1560,Donasi!$C$2:$C$20000))</f>
        <v/>
      </c>
      <c r="E1560">
        <f>IF(A1560="","",6-CEILING(PERCENTRANK.INC($B$3:$B$6000,B1560,4)*5+0.000001,1))</f>
        <v/>
      </c>
      <c r="F1560">
        <f>IF(A1560="","",MAX(1,CEILING(PERCENTRANK.INC($C$3:$C$6000,C1560,4)*5+0.000001,1)))</f>
        <v/>
      </c>
      <c r="G1560">
        <f>IF(A1560="","",MAX(1,CEILING(PERCENTRANK.INC($D$3:$D$6000,D1560,4)*5+0.000001,1)))</f>
        <v/>
      </c>
      <c r="H1560">
        <f>IF(A1560="","",E1560&amp;F1560&amp;G1560)</f>
        <v/>
      </c>
      <c r="I1560">
        <f>IF(A1560="","",IF(AND(E1560&gt;=4,F1560&gt;=4,G1560&gt;=4),"Juara",IF(AND(F1560&gt;=4,E1560&gt;=3),"Setia",IF(AND(E1560=5,F1560&lt;=2,G1560&gt;=3),"Berpotensi",IF(AND(E1560&lt;=3,E1560&gt;=2,F1560&gt;=3),"Rawan",IF(AND(E1560&lt;=2,F1560&lt;=2),"Tidur","Umum"))))))</f>
        <v/>
      </c>
    </row>
    <row r="1561">
      <c r="B1561">
        <f>IF(A1561="","",$B$1-MAXIFS(Donasi!$A$2:$A$20000,Donasi!$B$2:$B$20000,A1561))</f>
        <v/>
      </c>
      <c r="C1561">
        <f>IF(A1561="","",COUNTIF(Donasi!$B$2:$B$20000,A1561))</f>
        <v/>
      </c>
      <c r="D1561">
        <f>IF(A1561="","",SUMIF(Donasi!$B$2:$B$20000,A1561,Donasi!$C$2:$C$20000))</f>
        <v/>
      </c>
      <c r="E1561">
        <f>IF(A1561="","",6-CEILING(PERCENTRANK.INC($B$3:$B$6000,B1561,4)*5+0.000001,1))</f>
        <v/>
      </c>
      <c r="F1561">
        <f>IF(A1561="","",MAX(1,CEILING(PERCENTRANK.INC($C$3:$C$6000,C1561,4)*5+0.000001,1)))</f>
        <v/>
      </c>
      <c r="G1561">
        <f>IF(A1561="","",MAX(1,CEILING(PERCENTRANK.INC($D$3:$D$6000,D1561,4)*5+0.000001,1)))</f>
        <v/>
      </c>
      <c r="H1561">
        <f>IF(A1561="","",E1561&amp;F1561&amp;G1561)</f>
        <v/>
      </c>
      <c r="I1561">
        <f>IF(A1561="","",IF(AND(E1561&gt;=4,F1561&gt;=4,G1561&gt;=4),"Juara",IF(AND(F1561&gt;=4,E1561&gt;=3),"Setia",IF(AND(E1561=5,F1561&lt;=2,G1561&gt;=3),"Berpotensi",IF(AND(E1561&lt;=3,E1561&gt;=2,F1561&gt;=3),"Rawan",IF(AND(E1561&lt;=2,F1561&lt;=2),"Tidur","Umum"))))))</f>
        <v/>
      </c>
    </row>
    <row r="1562">
      <c r="B1562">
        <f>IF(A1562="","",$B$1-MAXIFS(Donasi!$A$2:$A$20000,Donasi!$B$2:$B$20000,A1562))</f>
        <v/>
      </c>
      <c r="C1562">
        <f>IF(A1562="","",COUNTIF(Donasi!$B$2:$B$20000,A1562))</f>
        <v/>
      </c>
      <c r="D1562">
        <f>IF(A1562="","",SUMIF(Donasi!$B$2:$B$20000,A1562,Donasi!$C$2:$C$20000))</f>
        <v/>
      </c>
      <c r="E1562">
        <f>IF(A1562="","",6-CEILING(PERCENTRANK.INC($B$3:$B$6000,B1562,4)*5+0.000001,1))</f>
        <v/>
      </c>
      <c r="F1562">
        <f>IF(A1562="","",MAX(1,CEILING(PERCENTRANK.INC($C$3:$C$6000,C1562,4)*5+0.000001,1)))</f>
        <v/>
      </c>
      <c r="G1562">
        <f>IF(A1562="","",MAX(1,CEILING(PERCENTRANK.INC($D$3:$D$6000,D1562,4)*5+0.000001,1)))</f>
        <v/>
      </c>
      <c r="H1562">
        <f>IF(A1562="","",E1562&amp;F1562&amp;G1562)</f>
        <v/>
      </c>
      <c r="I1562">
        <f>IF(A1562="","",IF(AND(E1562&gt;=4,F1562&gt;=4,G1562&gt;=4),"Juara",IF(AND(F1562&gt;=4,E1562&gt;=3),"Setia",IF(AND(E1562=5,F1562&lt;=2,G1562&gt;=3),"Berpotensi",IF(AND(E1562&lt;=3,E1562&gt;=2,F1562&gt;=3),"Rawan",IF(AND(E1562&lt;=2,F1562&lt;=2),"Tidur","Umum"))))))</f>
        <v/>
      </c>
    </row>
    <row r="1563">
      <c r="B1563">
        <f>IF(A1563="","",$B$1-MAXIFS(Donasi!$A$2:$A$20000,Donasi!$B$2:$B$20000,A1563))</f>
        <v/>
      </c>
      <c r="C1563">
        <f>IF(A1563="","",COUNTIF(Donasi!$B$2:$B$20000,A1563))</f>
        <v/>
      </c>
      <c r="D1563">
        <f>IF(A1563="","",SUMIF(Donasi!$B$2:$B$20000,A1563,Donasi!$C$2:$C$20000))</f>
        <v/>
      </c>
      <c r="E1563">
        <f>IF(A1563="","",6-CEILING(PERCENTRANK.INC($B$3:$B$6000,B1563,4)*5+0.000001,1))</f>
        <v/>
      </c>
      <c r="F1563">
        <f>IF(A1563="","",MAX(1,CEILING(PERCENTRANK.INC($C$3:$C$6000,C1563,4)*5+0.000001,1)))</f>
        <v/>
      </c>
      <c r="G1563">
        <f>IF(A1563="","",MAX(1,CEILING(PERCENTRANK.INC($D$3:$D$6000,D1563,4)*5+0.000001,1)))</f>
        <v/>
      </c>
      <c r="H1563">
        <f>IF(A1563="","",E1563&amp;F1563&amp;G1563)</f>
        <v/>
      </c>
      <c r="I1563">
        <f>IF(A1563="","",IF(AND(E1563&gt;=4,F1563&gt;=4,G1563&gt;=4),"Juara",IF(AND(F1563&gt;=4,E1563&gt;=3),"Setia",IF(AND(E1563=5,F1563&lt;=2,G1563&gt;=3),"Berpotensi",IF(AND(E1563&lt;=3,E1563&gt;=2,F1563&gt;=3),"Rawan",IF(AND(E1563&lt;=2,F1563&lt;=2),"Tidur","Umum"))))))</f>
        <v/>
      </c>
    </row>
    <row r="1564">
      <c r="B1564">
        <f>IF(A1564="","",$B$1-MAXIFS(Donasi!$A$2:$A$20000,Donasi!$B$2:$B$20000,A1564))</f>
        <v/>
      </c>
      <c r="C1564">
        <f>IF(A1564="","",COUNTIF(Donasi!$B$2:$B$20000,A1564))</f>
        <v/>
      </c>
      <c r="D1564">
        <f>IF(A1564="","",SUMIF(Donasi!$B$2:$B$20000,A1564,Donasi!$C$2:$C$20000))</f>
        <v/>
      </c>
      <c r="E1564">
        <f>IF(A1564="","",6-CEILING(PERCENTRANK.INC($B$3:$B$6000,B1564,4)*5+0.000001,1))</f>
        <v/>
      </c>
      <c r="F1564">
        <f>IF(A1564="","",MAX(1,CEILING(PERCENTRANK.INC($C$3:$C$6000,C1564,4)*5+0.000001,1)))</f>
        <v/>
      </c>
      <c r="G1564">
        <f>IF(A1564="","",MAX(1,CEILING(PERCENTRANK.INC($D$3:$D$6000,D1564,4)*5+0.000001,1)))</f>
        <v/>
      </c>
      <c r="H1564">
        <f>IF(A1564="","",E1564&amp;F1564&amp;G1564)</f>
        <v/>
      </c>
      <c r="I1564">
        <f>IF(A1564="","",IF(AND(E1564&gt;=4,F1564&gt;=4,G1564&gt;=4),"Juara",IF(AND(F1564&gt;=4,E1564&gt;=3),"Setia",IF(AND(E1564=5,F1564&lt;=2,G1564&gt;=3),"Berpotensi",IF(AND(E1564&lt;=3,E1564&gt;=2,F1564&gt;=3),"Rawan",IF(AND(E1564&lt;=2,F1564&lt;=2),"Tidur","Umum"))))))</f>
        <v/>
      </c>
    </row>
    <row r="1565">
      <c r="B1565">
        <f>IF(A1565="","",$B$1-MAXIFS(Donasi!$A$2:$A$20000,Donasi!$B$2:$B$20000,A1565))</f>
        <v/>
      </c>
      <c r="C1565">
        <f>IF(A1565="","",COUNTIF(Donasi!$B$2:$B$20000,A1565))</f>
        <v/>
      </c>
      <c r="D1565">
        <f>IF(A1565="","",SUMIF(Donasi!$B$2:$B$20000,A1565,Donasi!$C$2:$C$20000))</f>
        <v/>
      </c>
      <c r="E1565">
        <f>IF(A1565="","",6-CEILING(PERCENTRANK.INC($B$3:$B$6000,B1565,4)*5+0.000001,1))</f>
        <v/>
      </c>
      <c r="F1565">
        <f>IF(A1565="","",MAX(1,CEILING(PERCENTRANK.INC($C$3:$C$6000,C1565,4)*5+0.000001,1)))</f>
        <v/>
      </c>
      <c r="G1565">
        <f>IF(A1565="","",MAX(1,CEILING(PERCENTRANK.INC($D$3:$D$6000,D1565,4)*5+0.000001,1)))</f>
        <v/>
      </c>
      <c r="H1565">
        <f>IF(A1565="","",E1565&amp;F1565&amp;G1565)</f>
        <v/>
      </c>
      <c r="I1565">
        <f>IF(A1565="","",IF(AND(E1565&gt;=4,F1565&gt;=4,G1565&gt;=4),"Juara",IF(AND(F1565&gt;=4,E1565&gt;=3),"Setia",IF(AND(E1565=5,F1565&lt;=2,G1565&gt;=3),"Berpotensi",IF(AND(E1565&lt;=3,E1565&gt;=2,F1565&gt;=3),"Rawan",IF(AND(E1565&lt;=2,F1565&lt;=2),"Tidur","Umum"))))))</f>
        <v/>
      </c>
    </row>
    <row r="1566">
      <c r="B1566">
        <f>IF(A1566="","",$B$1-MAXIFS(Donasi!$A$2:$A$20000,Donasi!$B$2:$B$20000,A1566))</f>
        <v/>
      </c>
      <c r="C1566">
        <f>IF(A1566="","",COUNTIF(Donasi!$B$2:$B$20000,A1566))</f>
        <v/>
      </c>
      <c r="D1566">
        <f>IF(A1566="","",SUMIF(Donasi!$B$2:$B$20000,A1566,Donasi!$C$2:$C$20000))</f>
        <v/>
      </c>
      <c r="E1566">
        <f>IF(A1566="","",6-CEILING(PERCENTRANK.INC($B$3:$B$6000,B1566,4)*5+0.000001,1))</f>
        <v/>
      </c>
      <c r="F1566">
        <f>IF(A1566="","",MAX(1,CEILING(PERCENTRANK.INC($C$3:$C$6000,C1566,4)*5+0.000001,1)))</f>
        <v/>
      </c>
      <c r="G1566">
        <f>IF(A1566="","",MAX(1,CEILING(PERCENTRANK.INC($D$3:$D$6000,D1566,4)*5+0.000001,1)))</f>
        <v/>
      </c>
      <c r="H1566">
        <f>IF(A1566="","",E1566&amp;F1566&amp;G1566)</f>
        <v/>
      </c>
      <c r="I1566">
        <f>IF(A1566="","",IF(AND(E1566&gt;=4,F1566&gt;=4,G1566&gt;=4),"Juara",IF(AND(F1566&gt;=4,E1566&gt;=3),"Setia",IF(AND(E1566=5,F1566&lt;=2,G1566&gt;=3),"Berpotensi",IF(AND(E1566&lt;=3,E1566&gt;=2,F1566&gt;=3),"Rawan",IF(AND(E1566&lt;=2,F1566&lt;=2),"Tidur","Umum"))))))</f>
        <v/>
      </c>
    </row>
    <row r="1567">
      <c r="B1567">
        <f>IF(A1567="","",$B$1-MAXIFS(Donasi!$A$2:$A$20000,Donasi!$B$2:$B$20000,A1567))</f>
        <v/>
      </c>
      <c r="C1567">
        <f>IF(A1567="","",COUNTIF(Donasi!$B$2:$B$20000,A1567))</f>
        <v/>
      </c>
      <c r="D1567">
        <f>IF(A1567="","",SUMIF(Donasi!$B$2:$B$20000,A1567,Donasi!$C$2:$C$20000))</f>
        <v/>
      </c>
      <c r="E1567">
        <f>IF(A1567="","",6-CEILING(PERCENTRANK.INC($B$3:$B$6000,B1567,4)*5+0.000001,1))</f>
        <v/>
      </c>
      <c r="F1567">
        <f>IF(A1567="","",MAX(1,CEILING(PERCENTRANK.INC($C$3:$C$6000,C1567,4)*5+0.000001,1)))</f>
        <v/>
      </c>
      <c r="G1567">
        <f>IF(A1567="","",MAX(1,CEILING(PERCENTRANK.INC($D$3:$D$6000,D1567,4)*5+0.000001,1)))</f>
        <v/>
      </c>
      <c r="H1567">
        <f>IF(A1567="","",E1567&amp;F1567&amp;G1567)</f>
        <v/>
      </c>
      <c r="I1567">
        <f>IF(A1567="","",IF(AND(E1567&gt;=4,F1567&gt;=4,G1567&gt;=4),"Juara",IF(AND(F1567&gt;=4,E1567&gt;=3),"Setia",IF(AND(E1567=5,F1567&lt;=2,G1567&gt;=3),"Berpotensi",IF(AND(E1567&lt;=3,E1567&gt;=2,F1567&gt;=3),"Rawan",IF(AND(E1567&lt;=2,F1567&lt;=2),"Tidur","Umum"))))))</f>
        <v/>
      </c>
    </row>
    <row r="1568">
      <c r="B1568">
        <f>IF(A1568="","",$B$1-MAXIFS(Donasi!$A$2:$A$20000,Donasi!$B$2:$B$20000,A1568))</f>
        <v/>
      </c>
      <c r="C1568">
        <f>IF(A1568="","",COUNTIF(Donasi!$B$2:$B$20000,A1568))</f>
        <v/>
      </c>
      <c r="D1568">
        <f>IF(A1568="","",SUMIF(Donasi!$B$2:$B$20000,A1568,Donasi!$C$2:$C$20000))</f>
        <v/>
      </c>
      <c r="E1568">
        <f>IF(A1568="","",6-CEILING(PERCENTRANK.INC($B$3:$B$6000,B1568,4)*5+0.000001,1))</f>
        <v/>
      </c>
      <c r="F1568">
        <f>IF(A1568="","",MAX(1,CEILING(PERCENTRANK.INC($C$3:$C$6000,C1568,4)*5+0.000001,1)))</f>
        <v/>
      </c>
      <c r="G1568">
        <f>IF(A1568="","",MAX(1,CEILING(PERCENTRANK.INC($D$3:$D$6000,D1568,4)*5+0.000001,1)))</f>
        <v/>
      </c>
      <c r="H1568">
        <f>IF(A1568="","",E1568&amp;F1568&amp;G1568)</f>
        <v/>
      </c>
      <c r="I1568">
        <f>IF(A1568="","",IF(AND(E1568&gt;=4,F1568&gt;=4,G1568&gt;=4),"Juara",IF(AND(F1568&gt;=4,E1568&gt;=3),"Setia",IF(AND(E1568=5,F1568&lt;=2,G1568&gt;=3),"Berpotensi",IF(AND(E1568&lt;=3,E1568&gt;=2,F1568&gt;=3),"Rawan",IF(AND(E1568&lt;=2,F1568&lt;=2),"Tidur","Umum"))))))</f>
        <v/>
      </c>
    </row>
    <row r="1569">
      <c r="B1569">
        <f>IF(A1569="","",$B$1-MAXIFS(Donasi!$A$2:$A$20000,Donasi!$B$2:$B$20000,A1569))</f>
        <v/>
      </c>
      <c r="C1569">
        <f>IF(A1569="","",COUNTIF(Donasi!$B$2:$B$20000,A1569))</f>
        <v/>
      </c>
      <c r="D1569">
        <f>IF(A1569="","",SUMIF(Donasi!$B$2:$B$20000,A1569,Donasi!$C$2:$C$20000))</f>
        <v/>
      </c>
      <c r="E1569">
        <f>IF(A1569="","",6-CEILING(PERCENTRANK.INC($B$3:$B$6000,B1569,4)*5+0.000001,1))</f>
        <v/>
      </c>
      <c r="F1569">
        <f>IF(A1569="","",MAX(1,CEILING(PERCENTRANK.INC($C$3:$C$6000,C1569,4)*5+0.000001,1)))</f>
        <v/>
      </c>
      <c r="G1569">
        <f>IF(A1569="","",MAX(1,CEILING(PERCENTRANK.INC($D$3:$D$6000,D1569,4)*5+0.000001,1)))</f>
        <v/>
      </c>
      <c r="H1569">
        <f>IF(A1569="","",E1569&amp;F1569&amp;G1569)</f>
        <v/>
      </c>
      <c r="I1569">
        <f>IF(A1569="","",IF(AND(E1569&gt;=4,F1569&gt;=4,G1569&gt;=4),"Juara",IF(AND(F1569&gt;=4,E1569&gt;=3),"Setia",IF(AND(E1569=5,F1569&lt;=2,G1569&gt;=3),"Berpotensi",IF(AND(E1569&lt;=3,E1569&gt;=2,F1569&gt;=3),"Rawan",IF(AND(E1569&lt;=2,F1569&lt;=2),"Tidur","Umum"))))))</f>
        <v/>
      </c>
    </row>
    <row r="1570">
      <c r="B1570">
        <f>IF(A1570="","",$B$1-MAXIFS(Donasi!$A$2:$A$20000,Donasi!$B$2:$B$20000,A1570))</f>
        <v/>
      </c>
      <c r="C1570">
        <f>IF(A1570="","",COUNTIF(Donasi!$B$2:$B$20000,A1570))</f>
        <v/>
      </c>
      <c r="D1570">
        <f>IF(A1570="","",SUMIF(Donasi!$B$2:$B$20000,A1570,Donasi!$C$2:$C$20000))</f>
        <v/>
      </c>
      <c r="E1570">
        <f>IF(A1570="","",6-CEILING(PERCENTRANK.INC($B$3:$B$6000,B1570,4)*5+0.000001,1))</f>
        <v/>
      </c>
      <c r="F1570">
        <f>IF(A1570="","",MAX(1,CEILING(PERCENTRANK.INC($C$3:$C$6000,C1570,4)*5+0.000001,1)))</f>
        <v/>
      </c>
      <c r="G1570">
        <f>IF(A1570="","",MAX(1,CEILING(PERCENTRANK.INC($D$3:$D$6000,D1570,4)*5+0.000001,1)))</f>
        <v/>
      </c>
      <c r="H1570">
        <f>IF(A1570="","",E1570&amp;F1570&amp;G1570)</f>
        <v/>
      </c>
      <c r="I1570">
        <f>IF(A1570="","",IF(AND(E1570&gt;=4,F1570&gt;=4,G1570&gt;=4),"Juara",IF(AND(F1570&gt;=4,E1570&gt;=3),"Setia",IF(AND(E1570=5,F1570&lt;=2,G1570&gt;=3),"Berpotensi",IF(AND(E1570&lt;=3,E1570&gt;=2,F1570&gt;=3),"Rawan",IF(AND(E1570&lt;=2,F1570&lt;=2),"Tidur","Umum"))))))</f>
        <v/>
      </c>
    </row>
    <row r="1571">
      <c r="B1571">
        <f>IF(A1571="","",$B$1-MAXIFS(Donasi!$A$2:$A$20000,Donasi!$B$2:$B$20000,A1571))</f>
        <v/>
      </c>
      <c r="C1571">
        <f>IF(A1571="","",COUNTIF(Donasi!$B$2:$B$20000,A1571))</f>
        <v/>
      </c>
      <c r="D1571">
        <f>IF(A1571="","",SUMIF(Donasi!$B$2:$B$20000,A1571,Donasi!$C$2:$C$20000))</f>
        <v/>
      </c>
      <c r="E1571">
        <f>IF(A1571="","",6-CEILING(PERCENTRANK.INC($B$3:$B$6000,B1571,4)*5+0.000001,1))</f>
        <v/>
      </c>
      <c r="F1571">
        <f>IF(A1571="","",MAX(1,CEILING(PERCENTRANK.INC($C$3:$C$6000,C1571,4)*5+0.000001,1)))</f>
        <v/>
      </c>
      <c r="G1571">
        <f>IF(A1571="","",MAX(1,CEILING(PERCENTRANK.INC($D$3:$D$6000,D1571,4)*5+0.000001,1)))</f>
        <v/>
      </c>
      <c r="H1571">
        <f>IF(A1571="","",E1571&amp;F1571&amp;G1571)</f>
        <v/>
      </c>
      <c r="I1571">
        <f>IF(A1571="","",IF(AND(E1571&gt;=4,F1571&gt;=4,G1571&gt;=4),"Juara",IF(AND(F1571&gt;=4,E1571&gt;=3),"Setia",IF(AND(E1571=5,F1571&lt;=2,G1571&gt;=3),"Berpotensi",IF(AND(E1571&lt;=3,E1571&gt;=2,F1571&gt;=3),"Rawan",IF(AND(E1571&lt;=2,F1571&lt;=2),"Tidur","Umum"))))))</f>
        <v/>
      </c>
    </row>
    <row r="1572">
      <c r="B1572">
        <f>IF(A1572="","",$B$1-MAXIFS(Donasi!$A$2:$A$20000,Donasi!$B$2:$B$20000,A1572))</f>
        <v/>
      </c>
      <c r="C1572">
        <f>IF(A1572="","",COUNTIF(Donasi!$B$2:$B$20000,A1572))</f>
        <v/>
      </c>
      <c r="D1572">
        <f>IF(A1572="","",SUMIF(Donasi!$B$2:$B$20000,A1572,Donasi!$C$2:$C$20000))</f>
        <v/>
      </c>
      <c r="E1572">
        <f>IF(A1572="","",6-CEILING(PERCENTRANK.INC($B$3:$B$6000,B1572,4)*5+0.000001,1))</f>
        <v/>
      </c>
      <c r="F1572">
        <f>IF(A1572="","",MAX(1,CEILING(PERCENTRANK.INC($C$3:$C$6000,C1572,4)*5+0.000001,1)))</f>
        <v/>
      </c>
      <c r="G1572">
        <f>IF(A1572="","",MAX(1,CEILING(PERCENTRANK.INC($D$3:$D$6000,D1572,4)*5+0.000001,1)))</f>
        <v/>
      </c>
      <c r="H1572">
        <f>IF(A1572="","",E1572&amp;F1572&amp;G1572)</f>
        <v/>
      </c>
      <c r="I1572">
        <f>IF(A1572="","",IF(AND(E1572&gt;=4,F1572&gt;=4,G1572&gt;=4),"Juara",IF(AND(F1572&gt;=4,E1572&gt;=3),"Setia",IF(AND(E1572=5,F1572&lt;=2,G1572&gt;=3),"Berpotensi",IF(AND(E1572&lt;=3,E1572&gt;=2,F1572&gt;=3),"Rawan",IF(AND(E1572&lt;=2,F1572&lt;=2),"Tidur","Umum"))))))</f>
        <v/>
      </c>
    </row>
    <row r="1573">
      <c r="B1573">
        <f>IF(A1573="","",$B$1-MAXIFS(Donasi!$A$2:$A$20000,Donasi!$B$2:$B$20000,A1573))</f>
        <v/>
      </c>
      <c r="C1573">
        <f>IF(A1573="","",COUNTIF(Donasi!$B$2:$B$20000,A1573))</f>
        <v/>
      </c>
      <c r="D1573">
        <f>IF(A1573="","",SUMIF(Donasi!$B$2:$B$20000,A1573,Donasi!$C$2:$C$20000))</f>
        <v/>
      </c>
      <c r="E1573">
        <f>IF(A1573="","",6-CEILING(PERCENTRANK.INC($B$3:$B$6000,B1573,4)*5+0.000001,1))</f>
        <v/>
      </c>
      <c r="F1573">
        <f>IF(A1573="","",MAX(1,CEILING(PERCENTRANK.INC($C$3:$C$6000,C1573,4)*5+0.000001,1)))</f>
        <v/>
      </c>
      <c r="G1573">
        <f>IF(A1573="","",MAX(1,CEILING(PERCENTRANK.INC($D$3:$D$6000,D1573,4)*5+0.000001,1)))</f>
        <v/>
      </c>
      <c r="H1573">
        <f>IF(A1573="","",E1573&amp;F1573&amp;G1573)</f>
        <v/>
      </c>
      <c r="I1573">
        <f>IF(A1573="","",IF(AND(E1573&gt;=4,F1573&gt;=4,G1573&gt;=4),"Juara",IF(AND(F1573&gt;=4,E1573&gt;=3),"Setia",IF(AND(E1573=5,F1573&lt;=2,G1573&gt;=3),"Berpotensi",IF(AND(E1573&lt;=3,E1573&gt;=2,F1573&gt;=3),"Rawan",IF(AND(E1573&lt;=2,F1573&lt;=2),"Tidur","Umum"))))))</f>
        <v/>
      </c>
    </row>
    <row r="1574">
      <c r="B1574">
        <f>IF(A1574="","",$B$1-MAXIFS(Donasi!$A$2:$A$20000,Donasi!$B$2:$B$20000,A1574))</f>
        <v/>
      </c>
      <c r="C1574">
        <f>IF(A1574="","",COUNTIF(Donasi!$B$2:$B$20000,A1574))</f>
        <v/>
      </c>
      <c r="D1574">
        <f>IF(A1574="","",SUMIF(Donasi!$B$2:$B$20000,A1574,Donasi!$C$2:$C$20000))</f>
        <v/>
      </c>
      <c r="E1574">
        <f>IF(A1574="","",6-CEILING(PERCENTRANK.INC($B$3:$B$6000,B1574,4)*5+0.000001,1))</f>
        <v/>
      </c>
      <c r="F1574">
        <f>IF(A1574="","",MAX(1,CEILING(PERCENTRANK.INC($C$3:$C$6000,C1574,4)*5+0.000001,1)))</f>
        <v/>
      </c>
      <c r="G1574">
        <f>IF(A1574="","",MAX(1,CEILING(PERCENTRANK.INC($D$3:$D$6000,D1574,4)*5+0.000001,1)))</f>
        <v/>
      </c>
      <c r="H1574">
        <f>IF(A1574="","",E1574&amp;F1574&amp;G1574)</f>
        <v/>
      </c>
      <c r="I1574">
        <f>IF(A1574="","",IF(AND(E1574&gt;=4,F1574&gt;=4,G1574&gt;=4),"Juara",IF(AND(F1574&gt;=4,E1574&gt;=3),"Setia",IF(AND(E1574=5,F1574&lt;=2,G1574&gt;=3),"Berpotensi",IF(AND(E1574&lt;=3,E1574&gt;=2,F1574&gt;=3),"Rawan",IF(AND(E1574&lt;=2,F1574&lt;=2),"Tidur","Umum"))))))</f>
        <v/>
      </c>
    </row>
    <row r="1575">
      <c r="B1575">
        <f>IF(A1575="","",$B$1-MAXIFS(Donasi!$A$2:$A$20000,Donasi!$B$2:$B$20000,A1575))</f>
        <v/>
      </c>
      <c r="C1575">
        <f>IF(A1575="","",COUNTIF(Donasi!$B$2:$B$20000,A1575))</f>
        <v/>
      </c>
      <c r="D1575">
        <f>IF(A1575="","",SUMIF(Donasi!$B$2:$B$20000,A1575,Donasi!$C$2:$C$20000))</f>
        <v/>
      </c>
      <c r="E1575">
        <f>IF(A1575="","",6-CEILING(PERCENTRANK.INC($B$3:$B$6000,B1575,4)*5+0.000001,1))</f>
        <v/>
      </c>
      <c r="F1575">
        <f>IF(A1575="","",MAX(1,CEILING(PERCENTRANK.INC($C$3:$C$6000,C1575,4)*5+0.000001,1)))</f>
        <v/>
      </c>
      <c r="G1575">
        <f>IF(A1575="","",MAX(1,CEILING(PERCENTRANK.INC($D$3:$D$6000,D1575,4)*5+0.000001,1)))</f>
        <v/>
      </c>
      <c r="H1575">
        <f>IF(A1575="","",E1575&amp;F1575&amp;G1575)</f>
        <v/>
      </c>
      <c r="I1575">
        <f>IF(A1575="","",IF(AND(E1575&gt;=4,F1575&gt;=4,G1575&gt;=4),"Juara",IF(AND(F1575&gt;=4,E1575&gt;=3),"Setia",IF(AND(E1575=5,F1575&lt;=2,G1575&gt;=3),"Berpotensi",IF(AND(E1575&lt;=3,E1575&gt;=2,F1575&gt;=3),"Rawan",IF(AND(E1575&lt;=2,F1575&lt;=2),"Tidur","Umum"))))))</f>
        <v/>
      </c>
    </row>
    <row r="1576">
      <c r="B1576">
        <f>IF(A1576="","",$B$1-MAXIFS(Donasi!$A$2:$A$20000,Donasi!$B$2:$B$20000,A1576))</f>
        <v/>
      </c>
      <c r="C1576">
        <f>IF(A1576="","",COUNTIF(Donasi!$B$2:$B$20000,A1576))</f>
        <v/>
      </c>
      <c r="D1576">
        <f>IF(A1576="","",SUMIF(Donasi!$B$2:$B$20000,A1576,Donasi!$C$2:$C$20000))</f>
        <v/>
      </c>
      <c r="E1576">
        <f>IF(A1576="","",6-CEILING(PERCENTRANK.INC($B$3:$B$6000,B1576,4)*5+0.000001,1))</f>
        <v/>
      </c>
      <c r="F1576">
        <f>IF(A1576="","",MAX(1,CEILING(PERCENTRANK.INC($C$3:$C$6000,C1576,4)*5+0.000001,1)))</f>
        <v/>
      </c>
      <c r="G1576">
        <f>IF(A1576="","",MAX(1,CEILING(PERCENTRANK.INC($D$3:$D$6000,D1576,4)*5+0.000001,1)))</f>
        <v/>
      </c>
      <c r="H1576">
        <f>IF(A1576="","",E1576&amp;F1576&amp;G1576)</f>
        <v/>
      </c>
      <c r="I1576">
        <f>IF(A1576="","",IF(AND(E1576&gt;=4,F1576&gt;=4,G1576&gt;=4),"Juara",IF(AND(F1576&gt;=4,E1576&gt;=3),"Setia",IF(AND(E1576=5,F1576&lt;=2,G1576&gt;=3),"Berpotensi",IF(AND(E1576&lt;=3,E1576&gt;=2,F1576&gt;=3),"Rawan",IF(AND(E1576&lt;=2,F1576&lt;=2),"Tidur","Umum"))))))</f>
        <v/>
      </c>
    </row>
    <row r="1577">
      <c r="B1577">
        <f>IF(A1577="","",$B$1-MAXIFS(Donasi!$A$2:$A$20000,Donasi!$B$2:$B$20000,A1577))</f>
        <v/>
      </c>
      <c r="C1577">
        <f>IF(A1577="","",COUNTIF(Donasi!$B$2:$B$20000,A1577))</f>
        <v/>
      </c>
      <c r="D1577">
        <f>IF(A1577="","",SUMIF(Donasi!$B$2:$B$20000,A1577,Donasi!$C$2:$C$20000))</f>
        <v/>
      </c>
      <c r="E1577">
        <f>IF(A1577="","",6-CEILING(PERCENTRANK.INC($B$3:$B$6000,B1577,4)*5+0.000001,1))</f>
        <v/>
      </c>
      <c r="F1577">
        <f>IF(A1577="","",MAX(1,CEILING(PERCENTRANK.INC($C$3:$C$6000,C1577,4)*5+0.000001,1)))</f>
        <v/>
      </c>
      <c r="G1577">
        <f>IF(A1577="","",MAX(1,CEILING(PERCENTRANK.INC($D$3:$D$6000,D1577,4)*5+0.000001,1)))</f>
        <v/>
      </c>
      <c r="H1577">
        <f>IF(A1577="","",E1577&amp;F1577&amp;G1577)</f>
        <v/>
      </c>
      <c r="I1577">
        <f>IF(A1577="","",IF(AND(E1577&gt;=4,F1577&gt;=4,G1577&gt;=4),"Juara",IF(AND(F1577&gt;=4,E1577&gt;=3),"Setia",IF(AND(E1577=5,F1577&lt;=2,G1577&gt;=3),"Berpotensi",IF(AND(E1577&lt;=3,E1577&gt;=2,F1577&gt;=3),"Rawan",IF(AND(E1577&lt;=2,F1577&lt;=2),"Tidur","Umum"))))))</f>
        <v/>
      </c>
    </row>
    <row r="1578">
      <c r="B1578">
        <f>IF(A1578="","",$B$1-MAXIFS(Donasi!$A$2:$A$20000,Donasi!$B$2:$B$20000,A1578))</f>
        <v/>
      </c>
      <c r="C1578">
        <f>IF(A1578="","",COUNTIF(Donasi!$B$2:$B$20000,A1578))</f>
        <v/>
      </c>
      <c r="D1578">
        <f>IF(A1578="","",SUMIF(Donasi!$B$2:$B$20000,A1578,Donasi!$C$2:$C$20000))</f>
        <v/>
      </c>
      <c r="E1578">
        <f>IF(A1578="","",6-CEILING(PERCENTRANK.INC($B$3:$B$6000,B1578,4)*5+0.000001,1))</f>
        <v/>
      </c>
      <c r="F1578">
        <f>IF(A1578="","",MAX(1,CEILING(PERCENTRANK.INC($C$3:$C$6000,C1578,4)*5+0.000001,1)))</f>
        <v/>
      </c>
      <c r="G1578">
        <f>IF(A1578="","",MAX(1,CEILING(PERCENTRANK.INC($D$3:$D$6000,D1578,4)*5+0.000001,1)))</f>
        <v/>
      </c>
      <c r="H1578">
        <f>IF(A1578="","",E1578&amp;F1578&amp;G1578)</f>
        <v/>
      </c>
      <c r="I1578">
        <f>IF(A1578="","",IF(AND(E1578&gt;=4,F1578&gt;=4,G1578&gt;=4),"Juara",IF(AND(F1578&gt;=4,E1578&gt;=3),"Setia",IF(AND(E1578=5,F1578&lt;=2,G1578&gt;=3),"Berpotensi",IF(AND(E1578&lt;=3,E1578&gt;=2,F1578&gt;=3),"Rawan",IF(AND(E1578&lt;=2,F1578&lt;=2),"Tidur","Umum"))))))</f>
        <v/>
      </c>
    </row>
    <row r="1579">
      <c r="B1579">
        <f>IF(A1579="","",$B$1-MAXIFS(Donasi!$A$2:$A$20000,Donasi!$B$2:$B$20000,A1579))</f>
        <v/>
      </c>
      <c r="C1579">
        <f>IF(A1579="","",COUNTIF(Donasi!$B$2:$B$20000,A1579))</f>
        <v/>
      </c>
      <c r="D1579">
        <f>IF(A1579="","",SUMIF(Donasi!$B$2:$B$20000,A1579,Donasi!$C$2:$C$20000))</f>
        <v/>
      </c>
      <c r="E1579">
        <f>IF(A1579="","",6-CEILING(PERCENTRANK.INC($B$3:$B$6000,B1579,4)*5+0.000001,1))</f>
        <v/>
      </c>
      <c r="F1579">
        <f>IF(A1579="","",MAX(1,CEILING(PERCENTRANK.INC($C$3:$C$6000,C1579,4)*5+0.000001,1)))</f>
        <v/>
      </c>
      <c r="G1579">
        <f>IF(A1579="","",MAX(1,CEILING(PERCENTRANK.INC($D$3:$D$6000,D1579,4)*5+0.000001,1)))</f>
        <v/>
      </c>
      <c r="H1579">
        <f>IF(A1579="","",E1579&amp;F1579&amp;G1579)</f>
        <v/>
      </c>
      <c r="I1579">
        <f>IF(A1579="","",IF(AND(E1579&gt;=4,F1579&gt;=4,G1579&gt;=4),"Juara",IF(AND(F1579&gt;=4,E1579&gt;=3),"Setia",IF(AND(E1579=5,F1579&lt;=2,G1579&gt;=3),"Berpotensi",IF(AND(E1579&lt;=3,E1579&gt;=2,F1579&gt;=3),"Rawan",IF(AND(E1579&lt;=2,F1579&lt;=2),"Tidur","Umum"))))))</f>
        <v/>
      </c>
    </row>
    <row r="1580">
      <c r="B1580">
        <f>IF(A1580="","",$B$1-MAXIFS(Donasi!$A$2:$A$20000,Donasi!$B$2:$B$20000,A1580))</f>
        <v/>
      </c>
      <c r="C1580">
        <f>IF(A1580="","",COUNTIF(Donasi!$B$2:$B$20000,A1580))</f>
        <v/>
      </c>
      <c r="D1580">
        <f>IF(A1580="","",SUMIF(Donasi!$B$2:$B$20000,A1580,Donasi!$C$2:$C$20000))</f>
        <v/>
      </c>
      <c r="E1580">
        <f>IF(A1580="","",6-CEILING(PERCENTRANK.INC($B$3:$B$6000,B1580,4)*5+0.000001,1))</f>
        <v/>
      </c>
      <c r="F1580">
        <f>IF(A1580="","",MAX(1,CEILING(PERCENTRANK.INC($C$3:$C$6000,C1580,4)*5+0.000001,1)))</f>
        <v/>
      </c>
      <c r="G1580">
        <f>IF(A1580="","",MAX(1,CEILING(PERCENTRANK.INC($D$3:$D$6000,D1580,4)*5+0.000001,1)))</f>
        <v/>
      </c>
      <c r="H1580">
        <f>IF(A1580="","",E1580&amp;F1580&amp;G1580)</f>
        <v/>
      </c>
      <c r="I1580">
        <f>IF(A1580="","",IF(AND(E1580&gt;=4,F1580&gt;=4,G1580&gt;=4),"Juara",IF(AND(F1580&gt;=4,E1580&gt;=3),"Setia",IF(AND(E1580=5,F1580&lt;=2,G1580&gt;=3),"Berpotensi",IF(AND(E1580&lt;=3,E1580&gt;=2,F1580&gt;=3),"Rawan",IF(AND(E1580&lt;=2,F1580&lt;=2),"Tidur","Umum"))))))</f>
        <v/>
      </c>
    </row>
    <row r="1581">
      <c r="B1581">
        <f>IF(A1581="","",$B$1-MAXIFS(Donasi!$A$2:$A$20000,Donasi!$B$2:$B$20000,A1581))</f>
        <v/>
      </c>
      <c r="C1581">
        <f>IF(A1581="","",COUNTIF(Donasi!$B$2:$B$20000,A1581))</f>
        <v/>
      </c>
      <c r="D1581">
        <f>IF(A1581="","",SUMIF(Donasi!$B$2:$B$20000,A1581,Donasi!$C$2:$C$20000))</f>
        <v/>
      </c>
      <c r="E1581">
        <f>IF(A1581="","",6-CEILING(PERCENTRANK.INC($B$3:$B$6000,B1581,4)*5+0.000001,1))</f>
        <v/>
      </c>
      <c r="F1581">
        <f>IF(A1581="","",MAX(1,CEILING(PERCENTRANK.INC($C$3:$C$6000,C1581,4)*5+0.000001,1)))</f>
        <v/>
      </c>
      <c r="G1581">
        <f>IF(A1581="","",MAX(1,CEILING(PERCENTRANK.INC($D$3:$D$6000,D1581,4)*5+0.000001,1)))</f>
        <v/>
      </c>
      <c r="H1581">
        <f>IF(A1581="","",E1581&amp;F1581&amp;G1581)</f>
        <v/>
      </c>
      <c r="I1581">
        <f>IF(A1581="","",IF(AND(E1581&gt;=4,F1581&gt;=4,G1581&gt;=4),"Juara",IF(AND(F1581&gt;=4,E1581&gt;=3),"Setia",IF(AND(E1581=5,F1581&lt;=2,G1581&gt;=3),"Berpotensi",IF(AND(E1581&lt;=3,E1581&gt;=2,F1581&gt;=3),"Rawan",IF(AND(E1581&lt;=2,F1581&lt;=2),"Tidur","Umum"))))))</f>
        <v/>
      </c>
    </row>
    <row r="1582">
      <c r="B1582">
        <f>IF(A1582="","",$B$1-MAXIFS(Donasi!$A$2:$A$20000,Donasi!$B$2:$B$20000,A1582))</f>
        <v/>
      </c>
      <c r="C1582">
        <f>IF(A1582="","",COUNTIF(Donasi!$B$2:$B$20000,A1582))</f>
        <v/>
      </c>
      <c r="D1582">
        <f>IF(A1582="","",SUMIF(Donasi!$B$2:$B$20000,A1582,Donasi!$C$2:$C$20000))</f>
        <v/>
      </c>
      <c r="E1582">
        <f>IF(A1582="","",6-CEILING(PERCENTRANK.INC($B$3:$B$6000,B1582,4)*5+0.000001,1))</f>
        <v/>
      </c>
      <c r="F1582">
        <f>IF(A1582="","",MAX(1,CEILING(PERCENTRANK.INC($C$3:$C$6000,C1582,4)*5+0.000001,1)))</f>
        <v/>
      </c>
      <c r="G1582">
        <f>IF(A1582="","",MAX(1,CEILING(PERCENTRANK.INC($D$3:$D$6000,D1582,4)*5+0.000001,1)))</f>
        <v/>
      </c>
      <c r="H1582">
        <f>IF(A1582="","",E1582&amp;F1582&amp;G1582)</f>
        <v/>
      </c>
      <c r="I1582">
        <f>IF(A1582="","",IF(AND(E1582&gt;=4,F1582&gt;=4,G1582&gt;=4),"Juara",IF(AND(F1582&gt;=4,E1582&gt;=3),"Setia",IF(AND(E1582=5,F1582&lt;=2,G1582&gt;=3),"Berpotensi",IF(AND(E1582&lt;=3,E1582&gt;=2,F1582&gt;=3),"Rawan",IF(AND(E1582&lt;=2,F1582&lt;=2),"Tidur","Umum"))))))</f>
        <v/>
      </c>
    </row>
    <row r="1583">
      <c r="B1583">
        <f>IF(A1583="","",$B$1-MAXIFS(Donasi!$A$2:$A$20000,Donasi!$B$2:$B$20000,A1583))</f>
        <v/>
      </c>
      <c r="C1583">
        <f>IF(A1583="","",COUNTIF(Donasi!$B$2:$B$20000,A1583))</f>
        <v/>
      </c>
      <c r="D1583">
        <f>IF(A1583="","",SUMIF(Donasi!$B$2:$B$20000,A1583,Donasi!$C$2:$C$20000))</f>
        <v/>
      </c>
      <c r="E1583">
        <f>IF(A1583="","",6-CEILING(PERCENTRANK.INC($B$3:$B$6000,B1583,4)*5+0.000001,1))</f>
        <v/>
      </c>
      <c r="F1583">
        <f>IF(A1583="","",MAX(1,CEILING(PERCENTRANK.INC($C$3:$C$6000,C1583,4)*5+0.000001,1)))</f>
        <v/>
      </c>
      <c r="G1583">
        <f>IF(A1583="","",MAX(1,CEILING(PERCENTRANK.INC($D$3:$D$6000,D1583,4)*5+0.000001,1)))</f>
        <v/>
      </c>
      <c r="H1583">
        <f>IF(A1583="","",E1583&amp;F1583&amp;G1583)</f>
        <v/>
      </c>
      <c r="I1583">
        <f>IF(A1583="","",IF(AND(E1583&gt;=4,F1583&gt;=4,G1583&gt;=4),"Juara",IF(AND(F1583&gt;=4,E1583&gt;=3),"Setia",IF(AND(E1583=5,F1583&lt;=2,G1583&gt;=3),"Berpotensi",IF(AND(E1583&lt;=3,E1583&gt;=2,F1583&gt;=3),"Rawan",IF(AND(E1583&lt;=2,F1583&lt;=2),"Tidur","Umum"))))))</f>
        <v/>
      </c>
    </row>
    <row r="1584">
      <c r="B1584">
        <f>IF(A1584="","",$B$1-MAXIFS(Donasi!$A$2:$A$20000,Donasi!$B$2:$B$20000,A1584))</f>
        <v/>
      </c>
      <c r="C1584">
        <f>IF(A1584="","",COUNTIF(Donasi!$B$2:$B$20000,A1584))</f>
        <v/>
      </c>
      <c r="D1584">
        <f>IF(A1584="","",SUMIF(Donasi!$B$2:$B$20000,A1584,Donasi!$C$2:$C$20000))</f>
        <v/>
      </c>
      <c r="E1584">
        <f>IF(A1584="","",6-CEILING(PERCENTRANK.INC($B$3:$B$6000,B1584,4)*5+0.000001,1))</f>
        <v/>
      </c>
      <c r="F1584">
        <f>IF(A1584="","",MAX(1,CEILING(PERCENTRANK.INC($C$3:$C$6000,C1584,4)*5+0.000001,1)))</f>
        <v/>
      </c>
      <c r="G1584">
        <f>IF(A1584="","",MAX(1,CEILING(PERCENTRANK.INC($D$3:$D$6000,D1584,4)*5+0.000001,1)))</f>
        <v/>
      </c>
      <c r="H1584">
        <f>IF(A1584="","",E1584&amp;F1584&amp;G1584)</f>
        <v/>
      </c>
      <c r="I1584">
        <f>IF(A1584="","",IF(AND(E1584&gt;=4,F1584&gt;=4,G1584&gt;=4),"Juara",IF(AND(F1584&gt;=4,E1584&gt;=3),"Setia",IF(AND(E1584=5,F1584&lt;=2,G1584&gt;=3),"Berpotensi",IF(AND(E1584&lt;=3,E1584&gt;=2,F1584&gt;=3),"Rawan",IF(AND(E1584&lt;=2,F1584&lt;=2),"Tidur","Umum"))))))</f>
        <v/>
      </c>
    </row>
    <row r="1585">
      <c r="B1585">
        <f>IF(A1585="","",$B$1-MAXIFS(Donasi!$A$2:$A$20000,Donasi!$B$2:$B$20000,A1585))</f>
        <v/>
      </c>
      <c r="C1585">
        <f>IF(A1585="","",COUNTIF(Donasi!$B$2:$B$20000,A1585))</f>
        <v/>
      </c>
      <c r="D1585">
        <f>IF(A1585="","",SUMIF(Donasi!$B$2:$B$20000,A1585,Donasi!$C$2:$C$20000))</f>
        <v/>
      </c>
      <c r="E1585">
        <f>IF(A1585="","",6-CEILING(PERCENTRANK.INC($B$3:$B$6000,B1585,4)*5+0.000001,1))</f>
        <v/>
      </c>
      <c r="F1585">
        <f>IF(A1585="","",MAX(1,CEILING(PERCENTRANK.INC($C$3:$C$6000,C1585,4)*5+0.000001,1)))</f>
        <v/>
      </c>
      <c r="G1585">
        <f>IF(A1585="","",MAX(1,CEILING(PERCENTRANK.INC($D$3:$D$6000,D1585,4)*5+0.000001,1)))</f>
        <v/>
      </c>
      <c r="H1585">
        <f>IF(A1585="","",E1585&amp;F1585&amp;G1585)</f>
        <v/>
      </c>
      <c r="I1585">
        <f>IF(A1585="","",IF(AND(E1585&gt;=4,F1585&gt;=4,G1585&gt;=4),"Juara",IF(AND(F1585&gt;=4,E1585&gt;=3),"Setia",IF(AND(E1585=5,F1585&lt;=2,G1585&gt;=3),"Berpotensi",IF(AND(E1585&lt;=3,E1585&gt;=2,F1585&gt;=3),"Rawan",IF(AND(E1585&lt;=2,F1585&lt;=2),"Tidur","Umum"))))))</f>
        <v/>
      </c>
    </row>
    <row r="1586">
      <c r="B1586">
        <f>IF(A1586="","",$B$1-MAXIFS(Donasi!$A$2:$A$20000,Donasi!$B$2:$B$20000,A1586))</f>
        <v/>
      </c>
      <c r="C1586">
        <f>IF(A1586="","",COUNTIF(Donasi!$B$2:$B$20000,A1586))</f>
        <v/>
      </c>
      <c r="D1586">
        <f>IF(A1586="","",SUMIF(Donasi!$B$2:$B$20000,A1586,Donasi!$C$2:$C$20000))</f>
        <v/>
      </c>
      <c r="E1586">
        <f>IF(A1586="","",6-CEILING(PERCENTRANK.INC($B$3:$B$6000,B1586,4)*5+0.000001,1))</f>
        <v/>
      </c>
      <c r="F1586">
        <f>IF(A1586="","",MAX(1,CEILING(PERCENTRANK.INC($C$3:$C$6000,C1586,4)*5+0.000001,1)))</f>
        <v/>
      </c>
      <c r="G1586">
        <f>IF(A1586="","",MAX(1,CEILING(PERCENTRANK.INC($D$3:$D$6000,D1586,4)*5+0.000001,1)))</f>
        <v/>
      </c>
      <c r="H1586">
        <f>IF(A1586="","",E1586&amp;F1586&amp;G1586)</f>
        <v/>
      </c>
      <c r="I1586">
        <f>IF(A1586="","",IF(AND(E1586&gt;=4,F1586&gt;=4,G1586&gt;=4),"Juara",IF(AND(F1586&gt;=4,E1586&gt;=3),"Setia",IF(AND(E1586=5,F1586&lt;=2,G1586&gt;=3),"Berpotensi",IF(AND(E1586&lt;=3,E1586&gt;=2,F1586&gt;=3),"Rawan",IF(AND(E1586&lt;=2,F1586&lt;=2),"Tidur","Umum"))))))</f>
        <v/>
      </c>
    </row>
    <row r="1587">
      <c r="B1587">
        <f>IF(A1587="","",$B$1-MAXIFS(Donasi!$A$2:$A$20000,Donasi!$B$2:$B$20000,A1587))</f>
        <v/>
      </c>
      <c r="C1587">
        <f>IF(A1587="","",COUNTIF(Donasi!$B$2:$B$20000,A1587))</f>
        <v/>
      </c>
      <c r="D1587">
        <f>IF(A1587="","",SUMIF(Donasi!$B$2:$B$20000,A1587,Donasi!$C$2:$C$20000))</f>
        <v/>
      </c>
      <c r="E1587">
        <f>IF(A1587="","",6-CEILING(PERCENTRANK.INC($B$3:$B$6000,B1587,4)*5+0.000001,1))</f>
        <v/>
      </c>
      <c r="F1587">
        <f>IF(A1587="","",MAX(1,CEILING(PERCENTRANK.INC($C$3:$C$6000,C1587,4)*5+0.000001,1)))</f>
        <v/>
      </c>
      <c r="G1587">
        <f>IF(A1587="","",MAX(1,CEILING(PERCENTRANK.INC($D$3:$D$6000,D1587,4)*5+0.000001,1)))</f>
        <v/>
      </c>
      <c r="H1587">
        <f>IF(A1587="","",E1587&amp;F1587&amp;G1587)</f>
        <v/>
      </c>
      <c r="I1587">
        <f>IF(A1587="","",IF(AND(E1587&gt;=4,F1587&gt;=4,G1587&gt;=4),"Juara",IF(AND(F1587&gt;=4,E1587&gt;=3),"Setia",IF(AND(E1587=5,F1587&lt;=2,G1587&gt;=3),"Berpotensi",IF(AND(E1587&lt;=3,E1587&gt;=2,F1587&gt;=3),"Rawan",IF(AND(E1587&lt;=2,F1587&lt;=2),"Tidur","Umum"))))))</f>
        <v/>
      </c>
    </row>
    <row r="1588">
      <c r="B1588">
        <f>IF(A1588="","",$B$1-MAXIFS(Donasi!$A$2:$A$20000,Donasi!$B$2:$B$20000,A1588))</f>
        <v/>
      </c>
      <c r="C1588">
        <f>IF(A1588="","",COUNTIF(Donasi!$B$2:$B$20000,A1588))</f>
        <v/>
      </c>
      <c r="D1588">
        <f>IF(A1588="","",SUMIF(Donasi!$B$2:$B$20000,A1588,Donasi!$C$2:$C$20000))</f>
        <v/>
      </c>
      <c r="E1588">
        <f>IF(A1588="","",6-CEILING(PERCENTRANK.INC($B$3:$B$6000,B1588,4)*5+0.000001,1))</f>
        <v/>
      </c>
      <c r="F1588">
        <f>IF(A1588="","",MAX(1,CEILING(PERCENTRANK.INC($C$3:$C$6000,C1588,4)*5+0.000001,1)))</f>
        <v/>
      </c>
      <c r="G1588">
        <f>IF(A1588="","",MAX(1,CEILING(PERCENTRANK.INC($D$3:$D$6000,D1588,4)*5+0.000001,1)))</f>
        <v/>
      </c>
      <c r="H1588">
        <f>IF(A1588="","",E1588&amp;F1588&amp;G1588)</f>
        <v/>
      </c>
      <c r="I1588">
        <f>IF(A1588="","",IF(AND(E1588&gt;=4,F1588&gt;=4,G1588&gt;=4),"Juara",IF(AND(F1588&gt;=4,E1588&gt;=3),"Setia",IF(AND(E1588=5,F1588&lt;=2,G1588&gt;=3),"Berpotensi",IF(AND(E1588&lt;=3,E1588&gt;=2,F1588&gt;=3),"Rawan",IF(AND(E1588&lt;=2,F1588&lt;=2),"Tidur","Umum"))))))</f>
        <v/>
      </c>
    </row>
    <row r="1589">
      <c r="B1589">
        <f>IF(A1589="","",$B$1-MAXIFS(Donasi!$A$2:$A$20000,Donasi!$B$2:$B$20000,A1589))</f>
        <v/>
      </c>
      <c r="C1589">
        <f>IF(A1589="","",COUNTIF(Donasi!$B$2:$B$20000,A1589))</f>
        <v/>
      </c>
      <c r="D1589">
        <f>IF(A1589="","",SUMIF(Donasi!$B$2:$B$20000,A1589,Donasi!$C$2:$C$20000))</f>
        <v/>
      </c>
      <c r="E1589">
        <f>IF(A1589="","",6-CEILING(PERCENTRANK.INC($B$3:$B$6000,B1589,4)*5+0.000001,1))</f>
        <v/>
      </c>
      <c r="F1589">
        <f>IF(A1589="","",MAX(1,CEILING(PERCENTRANK.INC($C$3:$C$6000,C1589,4)*5+0.000001,1)))</f>
        <v/>
      </c>
      <c r="G1589">
        <f>IF(A1589="","",MAX(1,CEILING(PERCENTRANK.INC($D$3:$D$6000,D1589,4)*5+0.000001,1)))</f>
        <v/>
      </c>
      <c r="H1589">
        <f>IF(A1589="","",E1589&amp;F1589&amp;G1589)</f>
        <v/>
      </c>
      <c r="I1589">
        <f>IF(A1589="","",IF(AND(E1589&gt;=4,F1589&gt;=4,G1589&gt;=4),"Juara",IF(AND(F1589&gt;=4,E1589&gt;=3),"Setia",IF(AND(E1589=5,F1589&lt;=2,G1589&gt;=3),"Berpotensi",IF(AND(E1589&lt;=3,E1589&gt;=2,F1589&gt;=3),"Rawan",IF(AND(E1589&lt;=2,F1589&lt;=2),"Tidur","Umum"))))))</f>
        <v/>
      </c>
    </row>
    <row r="1590">
      <c r="B1590">
        <f>IF(A1590="","",$B$1-MAXIFS(Donasi!$A$2:$A$20000,Donasi!$B$2:$B$20000,A1590))</f>
        <v/>
      </c>
      <c r="C1590">
        <f>IF(A1590="","",COUNTIF(Donasi!$B$2:$B$20000,A1590))</f>
        <v/>
      </c>
      <c r="D1590">
        <f>IF(A1590="","",SUMIF(Donasi!$B$2:$B$20000,A1590,Donasi!$C$2:$C$20000))</f>
        <v/>
      </c>
      <c r="E1590">
        <f>IF(A1590="","",6-CEILING(PERCENTRANK.INC($B$3:$B$6000,B1590,4)*5+0.000001,1))</f>
        <v/>
      </c>
      <c r="F1590">
        <f>IF(A1590="","",MAX(1,CEILING(PERCENTRANK.INC($C$3:$C$6000,C1590,4)*5+0.000001,1)))</f>
        <v/>
      </c>
      <c r="G1590">
        <f>IF(A1590="","",MAX(1,CEILING(PERCENTRANK.INC($D$3:$D$6000,D1590,4)*5+0.000001,1)))</f>
        <v/>
      </c>
      <c r="H1590">
        <f>IF(A1590="","",E1590&amp;F1590&amp;G1590)</f>
        <v/>
      </c>
      <c r="I1590">
        <f>IF(A1590="","",IF(AND(E1590&gt;=4,F1590&gt;=4,G1590&gt;=4),"Juara",IF(AND(F1590&gt;=4,E1590&gt;=3),"Setia",IF(AND(E1590=5,F1590&lt;=2,G1590&gt;=3),"Berpotensi",IF(AND(E1590&lt;=3,E1590&gt;=2,F1590&gt;=3),"Rawan",IF(AND(E1590&lt;=2,F1590&lt;=2),"Tidur","Umum"))))))</f>
        <v/>
      </c>
    </row>
    <row r="1591">
      <c r="B1591">
        <f>IF(A1591="","",$B$1-MAXIFS(Donasi!$A$2:$A$20000,Donasi!$B$2:$B$20000,A1591))</f>
        <v/>
      </c>
      <c r="C1591">
        <f>IF(A1591="","",COUNTIF(Donasi!$B$2:$B$20000,A1591))</f>
        <v/>
      </c>
      <c r="D1591">
        <f>IF(A1591="","",SUMIF(Donasi!$B$2:$B$20000,A1591,Donasi!$C$2:$C$20000))</f>
        <v/>
      </c>
      <c r="E1591">
        <f>IF(A1591="","",6-CEILING(PERCENTRANK.INC($B$3:$B$6000,B1591,4)*5+0.000001,1))</f>
        <v/>
      </c>
      <c r="F1591">
        <f>IF(A1591="","",MAX(1,CEILING(PERCENTRANK.INC($C$3:$C$6000,C1591,4)*5+0.000001,1)))</f>
        <v/>
      </c>
      <c r="G1591">
        <f>IF(A1591="","",MAX(1,CEILING(PERCENTRANK.INC($D$3:$D$6000,D1591,4)*5+0.000001,1)))</f>
        <v/>
      </c>
      <c r="H1591">
        <f>IF(A1591="","",E1591&amp;F1591&amp;G1591)</f>
        <v/>
      </c>
      <c r="I1591">
        <f>IF(A1591="","",IF(AND(E1591&gt;=4,F1591&gt;=4,G1591&gt;=4),"Juara",IF(AND(F1591&gt;=4,E1591&gt;=3),"Setia",IF(AND(E1591=5,F1591&lt;=2,G1591&gt;=3),"Berpotensi",IF(AND(E1591&lt;=3,E1591&gt;=2,F1591&gt;=3),"Rawan",IF(AND(E1591&lt;=2,F1591&lt;=2),"Tidur","Umum"))))))</f>
        <v/>
      </c>
    </row>
    <row r="1592">
      <c r="B1592">
        <f>IF(A1592="","",$B$1-MAXIFS(Donasi!$A$2:$A$20000,Donasi!$B$2:$B$20000,A1592))</f>
        <v/>
      </c>
      <c r="C1592">
        <f>IF(A1592="","",COUNTIF(Donasi!$B$2:$B$20000,A1592))</f>
        <v/>
      </c>
      <c r="D1592">
        <f>IF(A1592="","",SUMIF(Donasi!$B$2:$B$20000,A1592,Donasi!$C$2:$C$20000))</f>
        <v/>
      </c>
      <c r="E1592">
        <f>IF(A1592="","",6-CEILING(PERCENTRANK.INC($B$3:$B$6000,B1592,4)*5+0.000001,1))</f>
        <v/>
      </c>
      <c r="F1592">
        <f>IF(A1592="","",MAX(1,CEILING(PERCENTRANK.INC($C$3:$C$6000,C1592,4)*5+0.000001,1)))</f>
        <v/>
      </c>
      <c r="G1592">
        <f>IF(A1592="","",MAX(1,CEILING(PERCENTRANK.INC($D$3:$D$6000,D1592,4)*5+0.000001,1)))</f>
        <v/>
      </c>
      <c r="H1592">
        <f>IF(A1592="","",E1592&amp;F1592&amp;G1592)</f>
        <v/>
      </c>
      <c r="I1592">
        <f>IF(A1592="","",IF(AND(E1592&gt;=4,F1592&gt;=4,G1592&gt;=4),"Juara",IF(AND(F1592&gt;=4,E1592&gt;=3),"Setia",IF(AND(E1592=5,F1592&lt;=2,G1592&gt;=3),"Berpotensi",IF(AND(E1592&lt;=3,E1592&gt;=2,F1592&gt;=3),"Rawan",IF(AND(E1592&lt;=2,F1592&lt;=2),"Tidur","Umum"))))))</f>
        <v/>
      </c>
    </row>
    <row r="1593">
      <c r="B1593">
        <f>IF(A1593="","",$B$1-MAXIFS(Donasi!$A$2:$A$20000,Donasi!$B$2:$B$20000,A1593))</f>
        <v/>
      </c>
      <c r="C1593">
        <f>IF(A1593="","",COUNTIF(Donasi!$B$2:$B$20000,A1593))</f>
        <v/>
      </c>
      <c r="D1593">
        <f>IF(A1593="","",SUMIF(Donasi!$B$2:$B$20000,A1593,Donasi!$C$2:$C$20000))</f>
        <v/>
      </c>
      <c r="E1593">
        <f>IF(A1593="","",6-CEILING(PERCENTRANK.INC($B$3:$B$6000,B1593,4)*5+0.000001,1))</f>
        <v/>
      </c>
      <c r="F1593">
        <f>IF(A1593="","",MAX(1,CEILING(PERCENTRANK.INC($C$3:$C$6000,C1593,4)*5+0.000001,1)))</f>
        <v/>
      </c>
      <c r="G1593">
        <f>IF(A1593="","",MAX(1,CEILING(PERCENTRANK.INC($D$3:$D$6000,D1593,4)*5+0.000001,1)))</f>
        <v/>
      </c>
      <c r="H1593">
        <f>IF(A1593="","",E1593&amp;F1593&amp;G1593)</f>
        <v/>
      </c>
      <c r="I1593">
        <f>IF(A1593="","",IF(AND(E1593&gt;=4,F1593&gt;=4,G1593&gt;=4),"Juara",IF(AND(F1593&gt;=4,E1593&gt;=3),"Setia",IF(AND(E1593=5,F1593&lt;=2,G1593&gt;=3),"Berpotensi",IF(AND(E1593&lt;=3,E1593&gt;=2,F1593&gt;=3),"Rawan",IF(AND(E1593&lt;=2,F1593&lt;=2),"Tidur","Umum"))))))</f>
        <v/>
      </c>
    </row>
    <row r="1594">
      <c r="B1594">
        <f>IF(A1594="","",$B$1-MAXIFS(Donasi!$A$2:$A$20000,Donasi!$B$2:$B$20000,A1594))</f>
        <v/>
      </c>
      <c r="C1594">
        <f>IF(A1594="","",COUNTIF(Donasi!$B$2:$B$20000,A1594))</f>
        <v/>
      </c>
      <c r="D1594">
        <f>IF(A1594="","",SUMIF(Donasi!$B$2:$B$20000,A1594,Donasi!$C$2:$C$20000))</f>
        <v/>
      </c>
      <c r="E1594">
        <f>IF(A1594="","",6-CEILING(PERCENTRANK.INC($B$3:$B$6000,B1594,4)*5+0.000001,1))</f>
        <v/>
      </c>
      <c r="F1594">
        <f>IF(A1594="","",MAX(1,CEILING(PERCENTRANK.INC($C$3:$C$6000,C1594,4)*5+0.000001,1)))</f>
        <v/>
      </c>
      <c r="G1594">
        <f>IF(A1594="","",MAX(1,CEILING(PERCENTRANK.INC($D$3:$D$6000,D1594,4)*5+0.000001,1)))</f>
        <v/>
      </c>
      <c r="H1594">
        <f>IF(A1594="","",E1594&amp;F1594&amp;G1594)</f>
        <v/>
      </c>
      <c r="I1594">
        <f>IF(A1594="","",IF(AND(E1594&gt;=4,F1594&gt;=4,G1594&gt;=4),"Juara",IF(AND(F1594&gt;=4,E1594&gt;=3),"Setia",IF(AND(E1594=5,F1594&lt;=2,G1594&gt;=3),"Berpotensi",IF(AND(E1594&lt;=3,E1594&gt;=2,F1594&gt;=3),"Rawan",IF(AND(E1594&lt;=2,F1594&lt;=2),"Tidur","Umum"))))))</f>
        <v/>
      </c>
    </row>
    <row r="1595">
      <c r="B1595">
        <f>IF(A1595="","",$B$1-MAXIFS(Donasi!$A$2:$A$20000,Donasi!$B$2:$B$20000,A1595))</f>
        <v/>
      </c>
      <c r="C1595">
        <f>IF(A1595="","",COUNTIF(Donasi!$B$2:$B$20000,A1595))</f>
        <v/>
      </c>
      <c r="D1595">
        <f>IF(A1595="","",SUMIF(Donasi!$B$2:$B$20000,A1595,Donasi!$C$2:$C$20000))</f>
        <v/>
      </c>
      <c r="E1595">
        <f>IF(A1595="","",6-CEILING(PERCENTRANK.INC($B$3:$B$6000,B1595,4)*5+0.000001,1))</f>
        <v/>
      </c>
      <c r="F1595">
        <f>IF(A1595="","",MAX(1,CEILING(PERCENTRANK.INC($C$3:$C$6000,C1595,4)*5+0.000001,1)))</f>
        <v/>
      </c>
      <c r="G1595">
        <f>IF(A1595="","",MAX(1,CEILING(PERCENTRANK.INC($D$3:$D$6000,D1595,4)*5+0.000001,1)))</f>
        <v/>
      </c>
      <c r="H1595">
        <f>IF(A1595="","",E1595&amp;F1595&amp;G1595)</f>
        <v/>
      </c>
      <c r="I1595">
        <f>IF(A1595="","",IF(AND(E1595&gt;=4,F1595&gt;=4,G1595&gt;=4),"Juara",IF(AND(F1595&gt;=4,E1595&gt;=3),"Setia",IF(AND(E1595=5,F1595&lt;=2,G1595&gt;=3),"Berpotensi",IF(AND(E1595&lt;=3,E1595&gt;=2,F1595&gt;=3),"Rawan",IF(AND(E1595&lt;=2,F1595&lt;=2),"Tidur","Umum"))))))</f>
        <v/>
      </c>
    </row>
    <row r="1596">
      <c r="B1596">
        <f>IF(A1596="","",$B$1-MAXIFS(Donasi!$A$2:$A$20000,Donasi!$B$2:$B$20000,A1596))</f>
        <v/>
      </c>
      <c r="C1596">
        <f>IF(A1596="","",COUNTIF(Donasi!$B$2:$B$20000,A1596))</f>
        <v/>
      </c>
      <c r="D1596">
        <f>IF(A1596="","",SUMIF(Donasi!$B$2:$B$20000,A1596,Donasi!$C$2:$C$20000))</f>
        <v/>
      </c>
      <c r="E1596">
        <f>IF(A1596="","",6-CEILING(PERCENTRANK.INC($B$3:$B$6000,B1596,4)*5+0.000001,1))</f>
        <v/>
      </c>
      <c r="F1596">
        <f>IF(A1596="","",MAX(1,CEILING(PERCENTRANK.INC($C$3:$C$6000,C1596,4)*5+0.000001,1)))</f>
        <v/>
      </c>
      <c r="G1596">
        <f>IF(A1596="","",MAX(1,CEILING(PERCENTRANK.INC($D$3:$D$6000,D1596,4)*5+0.000001,1)))</f>
        <v/>
      </c>
      <c r="H1596">
        <f>IF(A1596="","",E1596&amp;F1596&amp;G1596)</f>
        <v/>
      </c>
      <c r="I1596">
        <f>IF(A1596="","",IF(AND(E1596&gt;=4,F1596&gt;=4,G1596&gt;=4),"Juara",IF(AND(F1596&gt;=4,E1596&gt;=3),"Setia",IF(AND(E1596=5,F1596&lt;=2,G1596&gt;=3),"Berpotensi",IF(AND(E1596&lt;=3,E1596&gt;=2,F1596&gt;=3),"Rawan",IF(AND(E1596&lt;=2,F1596&lt;=2),"Tidur","Umum"))))))</f>
        <v/>
      </c>
    </row>
    <row r="1597">
      <c r="B1597">
        <f>IF(A1597="","",$B$1-MAXIFS(Donasi!$A$2:$A$20000,Donasi!$B$2:$B$20000,A1597))</f>
        <v/>
      </c>
      <c r="C1597">
        <f>IF(A1597="","",COUNTIF(Donasi!$B$2:$B$20000,A1597))</f>
        <v/>
      </c>
      <c r="D1597">
        <f>IF(A1597="","",SUMIF(Donasi!$B$2:$B$20000,A1597,Donasi!$C$2:$C$20000))</f>
        <v/>
      </c>
      <c r="E1597">
        <f>IF(A1597="","",6-CEILING(PERCENTRANK.INC($B$3:$B$6000,B1597,4)*5+0.000001,1))</f>
        <v/>
      </c>
      <c r="F1597">
        <f>IF(A1597="","",MAX(1,CEILING(PERCENTRANK.INC($C$3:$C$6000,C1597,4)*5+0.000001,1)))</f>
        <v/>
      </c>
      <c r="G1597">
        <f>IF(A1597="","",MAX(1,CEILING(PERCENTRANK.INC($D$3:$D$6000,D1597,4)*5+0.000001,1)))</f>
        <v/>
      </c>
      <c r="H1597">
        <f>IF(A1597="","",E1597&amp;F1597&amp;G1597)</f>
        <v/>
      </c>
      <c r="I1597">
        <f>IF(A1597="","",IF(AND(E1597&gt;=4,F1597&gt;=4,G1597&gt;=4),"Juara",IF(AND(F1597&gt;=4,E1597&gt;=3),"Setia",IF(AND(E1597=5,F1597&lt;=2,G1597&gt;=3),"Berpotensi",IF(AND(E1597&lt;=3,E1597&gt;=2,F1597&gt;=3),"Rawan",IF(AND(E1597&lt;=2,F1597&lt;=2),"Tidur","Umum"))))))</f>
        <v/>
      </c>
    </row>
    <row r="1598">
      <c r="B1598">
        <f>IF(A1598="","",$B$1-MAXIFS(Donasi!$A$2:$A$20000,Donasi!$B$2:$B$20000,A1598))</f>
        <v/>
      </c>
      <c r="C1598">
        <f>IF(A1598="","",COUNTIF(Donasi!$B$2:$B$20000,A1598))</f>
        <v/>
      </c>
      <c r="D1598">
        <f>IF(A1598="","",SUMIF(Donasi!$B$2:$B$20000,A1598,Donasi!$C$2:$C$20000))</f>
        <v/>
      </c>
      <c r="E1598">
        <f>IF(A1598="","",6-CEILING(PERCENTRANK.INC($B$3:$B$6000,B1598,4)*5+0.000001,1))</f>
        <v/>
      </c>
      <c r="F1598">
        <f>IF(A1598="","",MAX(1,CEILING(PERCENTRANK.INC($C$3:$C$6000,C1598,4)*5+0.000001,1)))</f>
        <v/>
      </c>
      <c r="G1598">
        <f>IF(A1598="","",MAX(1,CEILING(PERCENTRANK.INC($D$3:$D$6000,D1598,4)*5+0.000001,1)))</f>
        <v/>
      </c>
      <c r="H1598">
        <f>IF(A1598="","",E1598&amp;F1598&amp;G1598)</f>
        <v/>
      </c>
      <c r="I1598">
        <f>IF(A1598="","",IF(AND(E1598&gt;=4,F1598&gt;=4,G1598&gt;=4),"Juara",IF(AND(F1598&gt;=4,E1598&gt;=3),"Setia",IF(AND(E1598=5,F1598&lt;=2,G1598&gt;=3),"Berpotensi",IF(AND(E1598&lt;=3,E1598&gt;=2,F1598&gt;=3),"Rawan",IF(AND(E1598&lt;=2,F1598&lt;=2),"Tidur","Umum"))))))</f>
        <v/>
      </c>
    </row>
    <row r="1599">
      <c r="B1599">
        <f>IF(A1599="","",$B$1-MAXIFS(Donasi!$A$2:$A$20000,Donasi!$B$2:$B$20000,A1599))</f>
        <v/>
      </c>
      <c r="C1599">
        <f>IF(A1599="","",COUNTIF(Donasi!$B$2:$B$20000,A1599))</f>
        <v/>
      </c>
      <c r="D1599">
        <f>IF(A1599="","",SUMIF(Donasi!$B$2:$B$20000,A1599,Donasi!$C$2:$C$20000))</f>
        <v/>
      </c>
      <c r="E1599">
        <f>IF(A1599="","",6-CEILING(PERCENTRANK.INC($B$3:$B$6000,B1599,4)*5+0.000001,1))</f>
        <v/>
      </c>
      <c r="F1599">
        <f>IF(A1599="","",MAX(1,CEILING(PERCENTRANK.INC($C$3:$C$6000,C1599,4)*5+0.000001,1)))</f>
        <v/>
      </c>
      <c r="G1599">
        <f>IF(A1599="","",MAX(1,CEILING(PERCENTRANK.INC($D$3:$D$6000,D1599,4)*5+0.000001,1)))</f>
        <v/>
      </c>
      <c r="H1599">
        <f>IF(A1599="","",E1599&amp;F1599&amp;G1599)</f>
        <v/>
      </c>
      <c r="I1599">
        <f>IF(A1599="","",IF(AND(E1599&gt;=4,F1599&gt;=4,G1599&gt;=4),"Juara",IF(AND(F1599&gt;=4,E1599&gt;=3),"Setia",IF(AND(E1599=5,F1599&lt;=2,G1599&gt;=3),"Berpotensi",IF(AND(E1599&lt;=3,E1599&gt;=2,F1599&gt;=3),"Rawan",IF(AND(E1599&lt;=2,F1599&lt;=2),"Tidur","Umum"))))))</f>
        <v/>
      </c>
    </row>
    <row r="1600">
      <c r="B1600">
        <f>IF(A1600="","",$B$1-MAXIFS(Donasi!$A$2:$A$20000,Donasi!$B$2:$B$20000,A1600))</f>
        <v/>
      </c>
      <c r="C1600">
        <f>IF(A1600="","",COUNTIF(Donasi!$B$2:$B$20000,A1600))</f>
        <v/>
      </c>
      <c r="D1600">
        <f>IF(A1600="","",SUMIF(Donasi!$B$2:$B$20000,A1600,Donasi!$C$2:$C$20000))</f>
        <v/>
      </c>
      <c r="E1600">
        <f>IF(A1600="","",6-CEILING(PERCENTRANK.INC($B$3:$B$6000,B1600,4)*5+0.000001,1))</f>
        <v/>
      </c>
      <c r="F1600">
        <f>IF(A1600="","",MAX(1,CEILING(PERCENTRANK.INC($C$3:$C$6000,C1600,4)*5+0.000001,1)))</f>
        <v/>
      </c>
      <c r="G1600">
        <f>IF(A1600="","",MAX(1,CEILING(PERCENTRANK.INC($D$3:$D$6000,D1600,4)*5+0.000001,1)))</f>
        <v/>
      </c>
      <c r="H1600">
        <f>IF(A1600="","",E1600&amp;F1600&amp;G1600)</f>
        <v/>
      </c>
      <c r="I1600">
        <f>IF(A1600="","",IF(AND(E1600&gt;=4,F1600&gt;=4,G1600&gt;=4),"Juara",IF(AND(F1600&gt;=4,E1600&gt;=3),"Setia",IF(AND(E1600=5,F1600&lt;=2,G1600&gt;=3),"Berpotensi",IF(AND(E1600&lt;=3,E1600&gt;=2,F1600&gt;=3),"Rawan",IF(AND(E1600&lt;=2,F1600&lt;=2),"Tidur","Umum"))))))</f>
        <v/>
      </c>
    </row>
    <row r="1601">
      <c r="B1601">
        <f>IF(A1601="","",$B$1-MAXIFS(Donasi!$A$2:$A$20000,Donasi!$B$2:$B$20000,A1601))</f>
        <v/>
      </c>
      <c r="C1601">
        <f>IF(A1601="","",COUNTIF(Donasi!$B$2:$B$20000,A1601))</f>
        <v/>
      </c>
      <c r="D1601">
        <f>IF(A1601="","",SUMIF(Donasi!$B$2:$B$20000,A1601,Donasi!$C$2:$C$20000))</f>
        <v/>
      </c>
      <c r="E1601">
        <f>IF(A1601="","",6-CEILING(PERCENTRANK.INC($B$3:$B$6000,B1601,4)*5+0.000001,1))</f>
        <v/>
      </c>
      <c r="F1601">
        <f>IF(A1601="","",MAX(1,CEILING(PERCENTRANK.INC($C$3:$C$6000,C1601,4)*5+0.000001,1)))</f>
        <v/>
      </c>
      <c r="G1601">
        <f>IF(A1601="","",MAX(1,CEILING(PERCENTRANK.INC($D$3:$D$6000,D1601,4)*5+0.000001,1)))</f>
        <v/>
      </c>
      <c r="H1601">
        <f>IF(A1601="","",E1601&amp;F1601&amp;G1601)</f>
        <v/>
      </c>
      <c r="I1601">
        <f>IF(A1601="","",IF(AND(E1601&gt;=4,F1601&gt;=4,G1601&gt;=4),"Juara",IF(AND(F1601&gt;=4,E1601&gt;=3),"Setia",IF(AND(E1601=5,F1601&lt;=2,G1601&gt;=3),"Berpotensi",IF(AND(E1601&lt;=3,E1601&gt;=2,F1601&gt;=3),"Rawan",IF(AND(E1601&lt;=2,F1601&lt;=2),"Tidur","Umum"))))))</f>
        <v/>
      </c>
    </row>
    <row r="1602">
      <c r="B1602">
        <f>IF(A1602="","",$B$1-MAXIFS(Donasi!$A$2:$A$20000,Donasi!$B$2:$B$20000,A1602))</f>
        <v/>
      </c>
      <c r="C1602">
        <f>IF(A1602="","",COUNTIF(Donasi!$B$2:$B$20000,A1602))</f>
        <v/>
      </c>
      <c r="D1602">
        <f>IF(A1602="","",SUMIF(Donasi!$B$2:$B$20000,A1602,Donasi!$C$2:$C$20000))</f>
        <v/>
      </c>
      <c r="E1602">
        <f>IF(A1602="","",6-CEILING(PERCENTRANK.INC($B$3:$B$6000,B1602,4)*5+0.000001,1))</f>
        <v/>
      </c>
      <c r="F1602">
        <f>IF(A1602="","",MAX(1,CEILING(PERCENTRANK.INC($C$3:$C$6000,C1602,4)*5+0.000001,1)))</f>
        <v/>
      </c>
      <c r="G1602">
        <f>IF(A1602="","",MAX(1,CEILING(PERCENTRANK.INC($D$3:$D$6000,D1602,4)*5+0.000001,1)))</f>
        <v/>
      </c>
      <c r="H1602">
        <f>IF(A1602="","",E1602&amp;F1602&amp;G1602)</f>
        <v/>
      </c>
      <c r="I1602">
        <f>IF(A1602="","",IF(AND(E1602&gt;=4,F1602&gt;=4,G1602&gt;=4),"Juara",IF(AND(F1602&gt;=4,E1602&gt;=3),"Setia",IF(AND(E1602=5,F1602&lt;=2,G1602&gt;=3),"Berpotensi",IF(AND(E1602&lt;=3,E1602&gt;=2,F1602&gt;=3),"Rawan",IF(AND(E1602&lt;=2,F1602&lt;=2),"Tidur","Umum"))))))</f>
        <v/>
      </c>
    </row>
    <row r="1603">
      <c r="B1603">
        <f>IF(A1603="","",$B$1-MAXIFS(Donasi!$A$2:$A$20000,Donasi!$B$2:$B$20000,A1603))</f>
        <v/>
      </c>
      <c r="C1603">
        <f>IF(A1603="","",COUNTIF(Donasi!$B$2:$B$20000,A1603))</f>
        <v/>
      </c>
      <c r="D1603">
        <f>IF(A1603="","",SUMIF(Donasi!$B$2:$B$20000,A1603,Donasi!$C$2:$C$20000))</f>
        <v/>
      </c>
      <c r="E1603">
        <f>IF(A1603="","",6-CEILING(PERCENTRANK.INC($B$3:$B$6000,B1603,4)*5+0.000001,1))</f>
        <v/>
      </c>
      <c r="F1603">
        <f>IF(A1603="","",MAX(1,CEILING(PERCENTRANK.INC($C$3:$C$6000,C1603,4)*5+0.000001,1)))</f>
        <v/>
      </c>
      <c r="G1603">
        <f>IF(A1603="","",MAX(1,CEILING(PERCENTRANK.INC($D$3:$D$6000,D1603,4)*5+0.000001,1)))</f>
        <v/>
      </c>
      <c r="H1603">
        <f>IF(A1603="","",E1603&amp;F1603&amp;G1603)</f>
        <v/>
      </c>
      <c r="I1603">
        <f>IF(A1603="","",IF(AND(E1603&gt;=4,F1603&gt;=4,G1603&gt;=4),"Juara",IF(AND(F1603&gt;=4,E1603&gt;=3),"Setia",IF(AND(E1603=5,F1603&lt;=2,G1603&gt;=3),"Berpotensi",IF(AND(E1603&lt;=3,E1603&gt;=2,F1603&gt;=3),"Rawan",IF(AND(E1603&lt;=2,F1603&lt;=2),"Tidur","Umum"))))))</f>
        <v/>
      </c>
    </row>
    <row r="1604">
      <c r="B1604">
        <f>IF(A1604="","",$B$1-MAXIFS(Donasi!$A$2:$A$20000,Donasi!$B$2:$B$20000,A1604))</f>
        <v/>
      </c>
      <c r="C1604">
        <f>IF(A1604="","",COUNTIF(Donasi!$B$2:$B$20000,A1604))</f>
        <v/>
      </c>
      <c r="D1604">
        <f>IF(A1604="","",SUMIF(Donasi!$B$2:$B$20000,A1604,Donasi!$C$2:$C$20000))</f>
        <v/>
      </c>
      <c r="E1604">
        <f>IF(A1604="","",6-CEILING(PERCENTRANK.INC($B$3:$B$6000,B1604,4)*5+0.000001,1))</f>
        <v/>
      </c>
      <c r="F1604">
        <f>IF(A1604="","",MAX(1,CEILING(PERCENTRANK.INC($C$3:$C$6000,C1604,4)*5+0.000001,1)))</f>
        <v/>
      </c>
      <c r="G1604">
        <f>IF(A1604="","",MAX(1,CEILING(PERCENTRANK.INC($D$3:$D$6000,D1604,4)*5+0.000001,1)))</f>
        <v/>
      </c>
      <c r="H1604">
        <f>IF(A1604="","",E1604&amp;F1604&amp;G1604)</f>
        <v/>
      </c>
      <c r="I1604">
        <f>IF(A1604="","",IF(AND(E1604&gt;=4,F1604&gt;=4,G1604&gt;=4),"Juara",IF(AND(F1604&gt;=4,E1604&gt;=3),"Setia",IF(AND(E1604=5,F1604&lt;=2,G1604&gt;=3),"Berpotensi",IF(AND(E1604&lt;=3,E1604&gt;=2,F1604&gt;=3),"Rawan",IF(AND(E1604&lt;=2,F1604&lt;=2),"Tidur","Umum"))))))</f>
        <v/>
      </c>
    </row>
    <row r="1605">
      <c r="B1605">
        <f>IF(A1605="","",$B$1-MAXIFS(Donasi!$A$2:$A$20000,Donasi!$B$2:$B$20000,A1605))</f>
        <v/>
      </c>
      <c r="C1605">
        <f>IF(A1605="","",COUNTIF(Donasi!$B$2:$B$20000,A1605))</f>
        <v/>
      </c>
      <c r="D1605">
        <f>IF(A1605="","",SUMIF(Donasi!$B$2:$B$20000,A1605,Donasi!$C$2:$C$20000))</f>
        <v/>
      </c>
      <c r="E1605">
        <f>IF(A1605="","",6-CEILING(PERCENTRANK.INC($B$3:$B$6000,B1605,4)*5+0.000001,1))</f>
        <v/>
      </c>
      <c r="F1605">
        <f>IF(A1605="","",MAX(1,CEILING(PERCENTRANK.INC($C$3:$C$6000,C1605,4)*5+0.000001,1)))</f>
        <v/>
      </c>
      <c r="G1605">
        <f>IF(A1605="","",MAX(1,CEILING(PERCENTRANK.INC($D$3:$D$6000,D1605,4)*5+0.000001,1)))</f>
        <v/>
      </c>
      <c r="H1605">
        <f>IF(A1605="","",E1605&amp;F1605&amp;G1605)</f>
        <v/>
      </c>
      <c r="I1605">
        <f>IF(A1605="","",IF(AND(E1605&gt;=4,F1605&gt;=4,G1605&gt;=4),"Juara",IF(AND(F1605&gt;=4,E1605&gt;=3),"Setia",IF(AND(E1605=5,F1605&lt;=2,G1605&gt;=3),"Berpotensi",IF(AND(E1605&lt;=3,E1605&gt;=2,F1605&gt;=3),"Rawan",IF(AND(E1605&lt;=2,F1605&lt;=2),"Tidur","Umum"))))))</f>
        <v/>
      </c>
    </row>
    <row r="1606">
      <c r="B1606">
        <f>IF(A1606="","",$B$1-MAXIFS(Donasi!$A$2:$A$20000,Donasi!$B$2:$B$20000,A1606))</f>
        <v/>
      </c>
      <c r="C1606">
        <f>IF(A1606="","",COUNTIF(Donasi!$B$2:$B$20000,A1606))</f>
        <v/>
      </c>
      <c r="D1606">
        <f>IF(A1606="","",SUMIF(Donasi!$B$2:$B$20000,A1606,Donasi!$C$2:$C$20000))</f>
        <v/>
      </c>
      <c r="E1606">
        <f>IF(A1606="","",6-CEILING(PERCENTRANK.INC($B$3:$B$6000,B1606,4)*5+0.000001,1))</f>
        <v/>
      </c>
      <c r="F1606">
        <f>IF(A1606="","",MAX(1,CEILING(PERCENTRANK.INC($C$3:$C$6000,C1606,4)*5+0.000001,1)))</f>
        <v/>
      </c>
      <c r="G1606">
        <f>IF(A1606="","",MAX(1,CEILING(PERCENTRANK.INC($D$3:$D$6000,D1606,4)*5+0.000001,1)))</f>
        <v/>
      </c>
      <c r="H1606">
        <f>IF(A1606="","",E1606&amp;F1606&amp;G1606)</f>
        <v/>
      </c>
      <c r="I1606">
        <f>IF(A1606="","",IF(AND(E1606&gt;=4,F1606&gt;=4,G1606&gt;=4),"Juara",IF(AND(F1606&gt;=4,E1606&gt;=3),"Setia",IF(AND(E1606=5,F1606&lt;=2,G1606&gt;=3),"Berpotensi",IF(AND(E1606&lt;=3,E1606&gt;=2,F1606&gt;=3),"Rawan",IF(AND(E1606&lt;=2,F1606&lt;=2),"Tidur","Umum"))))))</f>
        <v/>
      </c>
    </row>
    <row r="1607">
      <c r="B1607">
        <f>IF(A1607="","",$B$1-MAXIFS(Donasi!$A$2:$A$20000,Donasi!$B$2:$B$20000,A1607))</f>
        <v/>
      </c>
      <c r="C1607">
        <f>IF(A1607="","",COUNTIF(Donasi!$B$2:$B$20000,A1607))</f>
        <v/>
      </c>
      <c r="D1607">
        <f>IF(A1607="","",SUMIF(Donasi!$B$2:$B$20000,A1607,Donasi!$C$2:$C$20000))</f>
        <v/>
      </c>
      <c r="E1607">
        <f>IF(A1607="","",6-CEILING(PERCENTRANK.INC($B$3:$B$6000,B1607,4)*5+0.000001,1))</f>
        <v/>
      </c>
      <c r="F1607">
        <f>IF(A1607="","",MAX(1,CEILING(PERCENTRANK.INC($C$3:$C$6000,C1607,4)*5+0.000001,1)))</f>
        <v/>
      </c>
      <c r="G1607">
        <f>IF(A1607="","",MAX(1,CEILING(PERCENTRANK.INC($D$3:$D$6000,D1607,4)*5+0.000001,1)))</f>
        <v/>
      </c>
      <c r="H1607">
        <f>IF(A1607="","",E1607&amp;F1607&amp;G1607)</f>
        <v/>
      </c>
      <c r="I1607">
        <f>IF(A1607="","",IF(AND(E1607&gt;=4,F1607&gt;=4,G1607&gt;=4),"Juara",IF(AND(F1607&gt;=4,E1607&gt;=3),"Setia",IF(AND(E1607=5,F1607&lt;=2,G1607&gt;=3),"Berpotensi",IF(AND(E1607&lt;=3,E1607&gt;=2,F1607&gt;=3),"Rawan",IF(AND(E1607&lt;=2,F1607&lt;=2),"Tidur","Umum"))))))</f>
        <v/>
      </c>
    </row>
    <row r="1608">
      <c r="B1608">
        <f>IF(A1608="","",$B$1-MAXIFS(Donasi!$A$2:$A$20000,Donasi!$B$2:$B$20000,A1608))</f>
        <v/>
      </c>
      <c r="C1608">
        <f>IF(A1608="","",COUNTIF(Donasi!$B$2:$B$20000,A1608))</f>
        <v/>
      </c>
      <c r="D1608">
        <f>IF(A1608="","",SUMIF(Donasi!$B$2:$B$20000,A1608,Donasi!$C$2:$C$20000))</f>
        <v/>
      </c>
      <c r="E1608">
        <f>IF(A1608="","",6-CEILING(PERCENTRANK.INC($B$3:$B$6000,B1608,4)*5+0.000001,1))</f>
        <v/>
      </c>
      <c r="F1608">
        <f>IF(A1608="","",MAX(1,CEILING(PERCENTRANK.INC($C$3:$C$6000,C1608,4)*5+0.000001,1)))</f>
        <v/>
      </c>
      <c r="G1608">
        <f>IF(A1608="","",MAX(1,CEILING(PERCENTRANK.INC($D$3:$D$6000,D1608,4)*5+0.000001,1)))</f>
        <v/>
      </c>
      <c r="H1608">
        <f>IF(A1608="","",E1608&amp;F1608&amp;G1608)</f>
        <v/>
      </c>
      <c r="I1608">
        <f>IF(A1608="","",IF(AND(E1608&gt;=4,F1608&gt;=4,G1608&gt;=4),"Juara",IF(AND(F1608&gt;=4,E1608&gt;=3),"Setia",IF(AND(E1608=5,F1608&lt;=2,G1608&gt;=3),"Berpotensi",IF(AND(E1608&lt;=3,E1608&gt;=2,F1608&gt;=3),"Rawan",IF(AND(E1608&lt;=2,F1608&lt;=2),"Tidur","Umum"))))))</f>
        <v/>
      </c>
    </row>
    <row r="1609">
      <c r="B1609">
        <f>IF(A1609="","",$B$1-MAXIFS(Donasi!$A$2:$A$20000,Donasi!$B$2:$B$20000,A1609))</f>
        <v/>
      </c>
      <c r="C1609">
        <f>IF(A1609="","",COUNTIF(Donasi!$B$2:$B$20000,A1609))</f>
        <v/>
      </c>
      <c r="D1609">
        <f>IF(A1609="","",SUMIF(Donasi!$B$2:$B$20000,A1609,Donasi!$C$2:$C$20000))</f>
        <v/>
      </c>
      <c r="E1609">
        <f>IF(A1609="","",6-CEILING(PERCENTRANK.INC($B$3:$B$6000,B1609,4)*5+0.000001,1))</f>
        <v/>
      </c>
      <c r="F1609">
        <f>IF(A1609="","",MAX(1,CEILING(PERCENTRANK.INC($C$3:$C$6000,C1609,4)*5+0.000001,1)))</f>
        <v/>
      </c>
      <c r="G1609">
        <f>IF(A1609="","",MAX(1,CEILING(PERCENTRANK.INC($D$3:$D$6000,D1609,4)*5+0.000001,1)))</f>
        <v/>
      </c>
      <c r="H1609">
        <f>IF(A1609="","",E1609&amp;F1609&amp;G1609)</f>
        <v/>
      </c>
      <c r="I1609">
        <f>IF(A1609="","",IF(AND(E1609&gt;=4,F1609&gt;=4,G1609&gt;=4),"Juara",IF(AND(F1609&gt;=4,E1609&gt;=3),"Setia",IF(AND(E1609=5,F1609&lt;=2,G1609&gt;=3),"Berpotensi",IF(AND(E1609&lt;=3,E1609&gt;=2,F1609&gt;=3),"Rawan",IF(AND(E1609&lt;=2,F1609&lt;=2),"Tidur","Umum"))))))</f>
        <v/>
      </c>
    </row>
    <row r="1610">
      <c r="B1610">
        <f>IF(A1610="","",$B$1-MAXIFS(Donasi!$A$2:$A$20000,Donasi!$B$2:$B$20000,A1610))</f>
        <v/>
      </c>
      <c r="C1610">
        <f>IF(A1610="","",COUNTIF(Donasi!$B$2:$B$20000,A1610))</f>
        <v/>
      </c>
      <c r="D1610">
        <f>IF(A1610="","",SUMIF(Donasi!$B$2:$B$20000,A1610,Donasi!$C$2:$C$20000))</f>
        <v/>
      </c>
      <c r="E1610">
        <f>IF(A1610="","",6-CEILING(PERCENTRANK.INC($B$3:$B$6000,B1610,4)*5+0.000001,1))</f>
        <v/>
      </c>
      <c r="F1610">
        <f>IF(A1610="","",MAX(1,CEILING(PERCENTRANK.INC($C$3:$C$6000,C1610,4)*5+0.000001,1)))</f>
        <v/>
      </c>
      <c r="G1610">
        <f>IF(A1610="","",MAX(1,CEILING(PERCENTRANK.INC($D$3:$D$6000,D1610,4)*5+0.000001,1)))</f>
        <v/>
      </c>
      <c r="H1610">
        <f>IF(A1610="","",E1610&amp;F1610&amp;G1610)</f>
        <v/>
      </c>
      <c r="I1610">
        <f>IF(A1610="","",IF(AND(E1610&gt;=4,F1610&gt;=4,G1610&gt;=4),"Juara",IF(AND(F1610&gt;=4,E1610&gt;=3),"Setia",IF(AND(E1610=5,F1610&lt;=2,G1610&gt;=3),"Berpotensi",IF(AND(E1610&lt;=3,E1610&gt;=2,F1610&gt;=3),"Rawan",IF(AND(E1610&lt;=2,F1610&lt;=2),"Tidur","Umum"))))))</f>
        <v/>
      </c>
    </row>
    <row r="1611">
      <c r="B1611">
        <f>IF(A1611="","",$B$1-MAXIFS(Donasi!$A$2:$A$20000,Donasi!$B$2:$B$20000,A1611))</f>
        <v/>
      </c>
      <c r="C1611">
        <f>IF(A1611="","",COUNTIF(Donasi!$B$2:$B$20000,A1611))</f>
        <v/>
      </c>
      <c r="D1611">
        <f>IF(A1611="","",SUMIF(Donasi!$B$2:$B$20000,A1611,Donasi!$C$2:$C$20000))</f>
        <v/>
      </c>
      <c r="E1611">
        <f>IF(A1611="","",6-CEILING(PERCENTRANK.INC($B$3:$B$6000,B1611,4)*5+0.000001,1))</f>
        <v/>
      </c>
      <c r="F1611">
        <f>IF(A1611="","",MAX(1,CEILING(PERCENTRANK.INC($C$3:$C$6000,C1611,4)*5+0.000001,1)))</f>
        <v/>
      </c>
      <c r="G1611">
        <f>IF(A1611="","",MAX(1,CEILING(PERCENTRANK.INC($D$3:$D$6000,D1611,4)*5+0.000001,1)))</f>
        <v/>
      </c>
      <c r="H1611">
        <f>IF(A1611="","",E1611&amp;F1611&amp;G1611)</f>
        <v/>
      </c>
      <c r="I1611">
        <f>IF(A1611="","",IF(AND(E1611&gt;=4,F1611&gt;=4,G1611&gt;=4),"Juara",IF(AND(F1611&gt;=4,E1611&gt;=3),"Setia",IF(AND(E1611=5,F1611&lt;=2,G1611&gt;=3),"Berpotensi",IF(AND(E1611&lt;=3,E1611&gt;=2,F1611&gt;=3),"Rawan",IF(AND(E1611&lt;=2,F1611&lt;=2),"Tidur","Umum"))))))</f>
        <v/>
      </c>
    </row>
    <row r="1612">
      <c r="B1612">
        <f>IF(A1612="","",$B$1-MAXIFS(Donasi!$A$2:$A$20000,Donasi!$B$2:$B$20000,A1612))</f>
        <v/>
      </c>
      <c r="C1612">
        <f>IF(A1612="","",COUNTIF(Donasi!$B$2:$B$20000,A1612))</f>
        <v/>
      </c>
      <c r="D1612">
        <f>IF(A1612="","",SUMIF(Donasi!$B$2:$B$20000,A1612,Donasi!$C$2:$C$20000))</f>
        <v/>
      </c>
      <c r="E1612">
        <f>IF(A1612="","",6-CEILING(PERCENTRANK.INC($B$3:$B$6000,B1612,4)*5+0.000001,1))</f>
        <v/>
      </c>
      <c r="F1612">
        <f>IF(A1612="","",MAX(1,CEILING(PERCENTRANK.INC($C$3:$C$6000,C1612,4)*5+0.000001,1)))</f>
        <v/>
      </c>
      <c r="G1612">
        <f>IF(A1612="","",MAX(1,CEILING(PERCENTRANK.INC($D$3:$D$6000,D1612,4)*5+0.000001,1)))</f>
        <v/>
      </c>
      <c r="H1612">
        <f>IF(A1612="","",E1612&amp;F1612&amp;G1612)</f>
        <v/>
      </c>
      <c r="I1612">
        <f>IF(A1612="","",IF(AND(E1612&gt;=4,F1612&gt;=4,G1612&gt;=4),"Juara",IF(AND(F1612&gt;=4,E1612&gt;=3),"Setia",IF(AND(E1612=5,F1612&lt;=2,G1612&gt;=3),"Berpotensi",IF(AND(E1612&lt;=3,E1612&gt;=2,F1612&gt;=3),"Rawan",IF(AND(E1612&lt;=2,F1612&lt;=2),"Tidur","Umum"))))))</f>
        <v/>
      </c>
    </row>
    <row r="1613">
      <c r="B1613">
        <f>IF(A1613="","",$B$1-MAXIFS(Donasi!$A$2:$A$20000,Donasi!$B$2:$B$20000,A1613))</f>
        <v/>
      </c>
      <c r="C1613">
        <f>IF(A1613="","",COUNTIF(Donasi!$B$2:$B$20000,A1613))</f>
        <v/>
      </c>
      <c r="D1613">
        <f>IF(A1613="","",SUMIF(Donasi!$B$2:$B$20000,A1613,Donasi!$C$2:$C$20000))</f>
        <v/>
      </c>
      <c r="E1613">
        <f>IF(A1613="","",6-CEILING(PERCENTRANK.INC($B$3:$B$6000,B1613,4)*5+0.000001,1))</f>
        <v/>
      </c>
      <c r="F1613">
        <f>IF(A1613="","",MAX(1,CEILING(PERCENTRANK.INC($C$3:$C$6000,C1613,4)*5+0.000001,1)))</f>
        <v/>
      </c>
      <c r="G1613">
        <f>IF(A1613="","",MAX(1,CEILING(PERCENTRANK.INC($D$3:$D$6000,D1613,4)*5+0.000001,1)))</f>
        <v/>
      </c>
      <c r="H1613">
        <f>IF(A1613="","",E1613&amp;F1613&amp;G1613)</f>
        <v/>
      </c>
      <c r="I1613">
        <f>IF(A1613="","",IF(AND(E1613&gt;=4,F1613&gt;=4,G1613&gt;=4),"Juara",IF(AND(F1613&gt;=4,E1613&gt;=3),"Setia",IF(AND(E1613=5,F1613&lt;=2,G1613&gt;=3),"Berpotensi",IF(AND(E1613&lt;=3,E1613&gt;=2,F1613&gt;=3),"Rawan",IF(AND(E1613&lt;=2,F1613&lt;=2),"Tidur","Umum"))))))</f>
        <v/>
      </c>
    </row>
    <row r="1614">
      <c r="B1614">
        <f>IF(A1614="","",$B$1-MAXIFS(Donasi!$A$2:$A$20000,Donasi!$B$2:$B$20000,A1614))</f>
        <v/>
      </c>
      <c r="C1614">
        <f>IF(A1614="","",COUNTIF(Donasi!$B$2:$B$20000,A1614))</f>
        <v/>
      </c>
      <c r="D1614">
        <f>IF(A1614="","",SUMIF(Donasi!$B$2:$B$20000,A1614,Donasi!$C$2:$C$20000))</f>
        <v/>
      </c>
      <c r="E1614">
        <f>IF(A1614="","",6-CEILING(PERCENTRANK.INC($B$3:$B$6000,B1614,4)*5+0.000001,1))</f>
        <v/>
      </c>
      <c r="F1614">
        <f>IF(A1614="","",MAX(1,CEILING(PERCENTRANK.INC($C$3:$C$6000,C1614,4)*5+0.000001,1)))</f>
        <v/>
      </c>
      <c r="G1614">
        <f>IF(A1614="","",MAX(1,CEILING(PERCENTRANK.INC($D$3:$D$6000,D1614,4)*5+0.000001,1)))</f>
        <v/>
      </c>
      <c r="H1614">
        <f>IF(A1614="","",E1614&amp;F1614&amp;G1614)</f>
        <v/>
      </c>
      <c r="I1614">
        <f>IF(A1614="","",IF(AND(E1614&gt;=4,F1614&gt;=4,G1614&gt;=4),"Juara",IF(AND(F1614&gt;=4,E1614&gt;=3),"Setia",IF(AND(E1614=5,F1614&lt;=2,G1614&gt;=3),"Berpotensi",IF(AND(E1614&lt;=3,E1614&gt;=2,F1614&gt;=3),"Rawan",IF(AND(E1614&lt;=2,F1614&lt;=2),"Tidur","Umum"))))))</f>
        <v/>
      </c>
    </row>
    <row r="1615">
      <c r="B1615">
        <f>IF(A1615="","",$B$1-MAXIFS(Donasi!$A$2:$A$20000,Donasi!$B$2:$B$20000,A1615))</f>
        <v/>
      </c>
      <c r="C1615">
        <f>IF(A1615="","",COUNTIF(Donasi!$B$2:$B$20000,A1615))</f>
        <v/>
      </c>
      <c r="D1615">
        <f>IF(A1615="","",SUMIF(Donasi!$B$2:$B$20000,A1615,Donasi!$C$2:$C$20000))</f>
        <v/>
      </c>
      <c r="E1615">
        <f>IF(A1615="","",6-CEILING(PERCENTRANK.INC($B$3:$B$6000,B1615,4)*5+0.000001,1))</f>
        <v/>
      </c>
      <c r="F1615">
        <f>IF(A1615="","",MAX(1,CEILING(PERCENTRANK.INC($C$3:$C$6000,C1615,4)*5+0.000001,1)))</f>
        <v/>
      </c>
      <c r="G1615">
        <f>IF(A1615="","",MAX(1,CEILING(PERCENTRANK.INC($D$3:$D$6000,D1615,4)*5+0.000001,1)))</f>
        <v/>
      </c>
      <c r="H1615">
        <f>IF(A1615="","",E1615&amp;F1615&amp;G1615)</f>
        <v/>
      </c>
      <c r="I1615">
        <f>IF(A1615="","",IF(AND(E1615&gt;=4,F1615&gt;=4,G1615&gt;=4),"Juara",IF(AND(F1615&gt;=4,E1615&gt;=3),"Setia",IF(AND(E1615=5,F1615&lt;=2,G1615&gt;=3),"Berpotensi",IF(AND(E1615&lt;=3,E1615&gt;=2,F1615&gt;=3),"Rawan",IF(AND(E1615&lt;=2,F1615&lt;=2),"Tidur","Umum"))))))</f>
        <v/>
      </c>
    </row>
    <row r="1616">
      <c r="B1616">
        <f>IF(A1616="","",$B$1-MAXIFS(Donasi!$A$2:$A$20000,Donasi!$B$2:$B$20000,A1616))</f>
        <v/>
      </c>
      <c r="C1616">
        <f>IF(A1616="","",COUNTIF(Donasi!$B$2:$B$20000,A1616))</f>
        <v/>
      </c>
      <c r="D1616">
        <f>IF(A1616="","",SUMIF(Donasi!$B$2:$B$20000,A1616,Donasi!$C$2:$C$20000))</f>
        <v/>
      </c>
      <c r="E1616">
        <f>IF(A1616="","",6-CEILING(PERCENTRANK.INC($B$3:$B$6000,B1616,4)*5+0.000001,1))</f>
        <v/>
      </c>
      <c r="F1616">
        <f>IF(A1616="","",MAX(1,CEILING(PERCENTRANK.INC($C$3:$C$6000,C1616,4)*5+0.000001,1)))</f>
        <v/>
      </c>
      <c r="G1616">
        <f>IF(A1616="","",MAX(1,CEILING(PERCENTRANK.INC($D$3:$D$6000,D1616,4)*5+0.000001,1)))</f>
        <v/>
      </c>
      <c r="H1616">
        <f>IF(A1616="","",E1616&amp;F1616&amp;G1616)</f>
        <v/>
      </c>
      <c r="I1616">
        <f>IF(A1616="","",IF(AND(E1616&gt;=4,F1616&gt;=4,G1616&gt;=4),"Juara",IF(AND(F1616&gt;=4,E1616&gt;=3),"Setia",IF(AND(E1616=5,F1616&lt;=2,G1616&gt;=3),"Berpotensi",IF(AND(E1616&lt;=3,E1616&gt;=2,F1616&gt;=3),"Rawan",IF(AND(E1616&lt;=2,F1616&lt;=2),"Tidur","Umum"))))))</f>
        <v/>
      </c>
    </row>
    <row r="1617">
      <c r="B1617">
        <f>IF(A1617="","",$B$1-MAXIFS(Donasi!$A$2:$A$20000,Donasi!$B$2:$B$20000,A1617))</f>
        <v/>
      </c>
      <c r="C1617">
        <f>IF(A1617="","",COUNTIF(Donasi!$B$2:$B$20000,A1617))</f>
        <v/>
      </c>
      <c r="D1617">
        <f>IF(A1617="","",SUMIF(Donasi!$B$2:$B$20000,A1617,Donasi!$C$2:$C$20000))</f>
        <v/>
      </c>
      <c r="E1617">
        <f>IF(A1617="","",6-CEILING(PERCENTRANK.INC($B$3:$B$6000,B1617,4)*5+0.000001,1))</f>
        <v/>
      </c>
      <c r="F1617">
        <f>IF(A1617="","",MAX(1,CEILING(PERCENTRANK.INC($C$3:$C$6000,C1617,4)*5+0.000001,1)))</f>
        <v/>
      </c>
      <c r="G1617">
        <f>IF(A1617="","",MAX(1,CEILING(PERCENTRANK.INC($D$3:$D$6000,D1617,4)*5+0.000001,1)))</f>
        <v/>
      </c>
      <c r="H1617">
        <f>IF(A1617="","",E1617&amp;F1617&amp;G1617)</f>
        <v/>
      </c>
      <c r="I1617">
        <f>IF(A1617="","",IF(AND(E1617&gt;=4,F1617&gt;=4,G1617&gt;=4),"Juara",IF(AND(F1617&gt;=4,E1617&gt;=3),"Setia",IF(AND(E1617=5,F1617&lt;=2,G1617&gt;=3),"Berpotensi",IF(AND(E1617&lt;=3,E1617&gt;=2,F1617&gt;=3),"Rawan",IF(AND(E1617&lt;=2,F1617&lt;=2),"Tidur","Umum"))))))</f>
        <v/>
      </c>
    </row>
    <row r="1618">
      <c r="B1618">
        <f>IF(A1618="","",$B$1-MAXIFS(Donasi!$A$2:$A$20000,Donasi!$B$2:$B$20000,A1618))</f>
        <v/>
      </c>
      <c r="C1618">
        <f>IF(A1618="","",COUNTIF(Donasi!$B$2:$B$20000,A1618))</f>
        <v/>
      </c>
      <c r="D1618">
        <f>IF(A1618="","",SUMIF(Donasi!$B$2:$B$20000,A1618,Donasi!$C$2:$C$20000))</f>
        <v/>
      </c>
      <c r="E1618">
        <f>IF(A1618="","",6-CEILING(PERCENTRANK.INC($B$3:$B$6000,B1618,4)*5+0.000001,1))</f>
        <v/>
      </c>
      <c r="F1618">
        <f>IF(A1618="","",MAX(1,CEILING(PERCENTRANK.INC($C$3:$C$6000,C1618,4)*5+0.000001,1)))</f>
        <v/>
      </c>
      <c r="G1618">
        <f>IF(A1618="","",MAX(1,CEILING(PERCENTRANK.INC($D$3:$D$6000,D1618,4)*5+0.000001,1)))</f>
        <v/>
      </c>
      <c r="H1618">
        <f>IF(A1618="","",E1618&amp;F1618&amp;G1618)</f>
        <v/>
      </c>
      <c r="I1618">
        <f>IF(A1618="","",IF(AND(E1618&gt;=4,F1618&gt;=4,G1618&gt;=4),"Juara",IF(AND(F1618&gt;=4,E1618&gt;=3),"Setia",IF(AND(E1618=5,F1618&lt;=2,G1618&gt;=3),"Berpotensi",IF(AND(E1618&lt;=3,E1618&gt;=2,F1618&gt;=3),"Rawan",IF(AND(E1618&lt;=2,F1618&lt;=2),"Tidur","Umum"))))))</f>
        <v/>
      </c>
    </row>
    <row r="1619">
      <c r="B1619">
        <f>IF(A1619="","",$B$1-MAXIFS(Donasi!$A$2:$A$20000,Donasi!$B$2:$B$20000,A1619))</f>
        <v/>
      </c>
      <c r="C1619">
        <f>IF(A1619="","",COUNTIF(Donasi!$B$2:$B$20000,A1619))</f>
        <v/>
      </c>
      <c r="D1619">
        <f>IF(A1619="","",SUMIF(Donasi!$B$2:$B$20000,A1619,Donasi!$C$2:$C$20000))</f>
        <v/>
      </c>
      <c r="E1619">
        <f>IF(A1619="","",6-CEILING(PERCENTRANK.INC($B$3:$B$6000,B1619,4)*5+0.000001,1))</f>
        <v/>
      </c>
      <c r="F1619">
        <f>IF(A1619="","",MAX(1,CEILING(PERCENTRANK.INC($C$3:$C$6000,C1619,4)*5+0.000001,1)))</f>
        <v/>
      </c>
      <c r="G1619">
        <f>IF(A1619="","",MAX(1,CEILING(PERCENTRANK.INC($D$3:$D$6000,D1619,4)*5+0.000001,1)))</f>
        <v/>
      </c>
      <c r="H1619">
        <f>IF(A1619="","",E1619&amp;F1619&amp;G1619)</f>
        <v/>
      </c>
      <c r="I1619">
        <f>IF(A1619="","",IF(AND(E1619&gt;=4,F1619&gt;=4,G1619&gt;=4),"Juara",IF(AND(F1619&gt;=4,E1619&gt;=3),"Setia",IF(AND(E1619=5,F1619&lt;=2,G1619&gt;=3),"Berpotensi",IF(AND(E1619&lt;=3,E1619&gt;=2,F1619&gt;=3),"Rawan",IF(AND(E1619&lt;=2,F1619&lt;=2),"Tidur","Umum"))))))</f>
        <v/>
      </c>
    </row>
    <row r="1620">
      <c r="B1620">
        <f>IF(A1620="","",$B$1-MAXIFS(Donasi!$A$2:$A$20000,Donasi!$B$2:$B$20000,A1620))</f>
        <v/>
      </c>
      <c r="C1620">
        <f>IF(A1620="","",COUNTIF(Donasi!$B$2:$B$20000,A1620))</f>
        <v/>
      </c>
      <c r="D1620">
        <f>IF(A1620="","",SUMIF(Donasi!$B$2:$B$20000,A1620,Donasi!$C$2:$C$20000))</f>
        <v/>
      </c>
      <c r="E1620">
        <f>IF(A1620="","",6-CEILING(PERCENTRANK.INC($B$3:$B$6000,B1620,4)*5+0.000001,1))</f>
        <v/>
      </c>
      <c r="F1620">
        <f>IF(A1620="","",MAX(1,CEILING(PERCENTRANK.INC($C$3:$C$6000,C1620,4)*5+0.000001,1)))</f>
        <v/>
      </c>
      <c r="G1620">
        <f>IF(A1620="","",MAX(1,CEILING(PERCENTRANK.INC($D$3:$D$6000,D1620,4)*5+0.000001,1)))</f>
        <v/>
      </c>
      <c r="H1620">
        <f>IF(A1620="","",E1620&amp;F1620&amp;G1620)</f>
        <v/>
      </c>
      <c r="I1620">
        <f>IF(A1620="","",IF(AND(E1620&gt;=4,F1620&gt;=4,G1620&gt;=4),"Juara",IF(AND(F1620&gt;=4,E1620&gt;=3),"Setia",IF(AND(E1620=5,F1620&lt;=2,G1620&gt;=3),"Berpotensi",IF(AND(E1620&lt;=3,E1620&gt;=2,F1620&gt;=3),"Rawan",IF(AND(E1620&lt;=2,F1620&lt;=2),"Tidur","Umum"))))))</f>
        <v/>
      </c>
    </row>
    <row r="1621">
      <c r="B1621">
        <f>IF(A1621="","",$B$1-MAXIFS(Donasi!$A$2:$A$20000,Donasi!$B$2:$B$20000,A1621))</f>
        <v/>
      </c>
      <c r="C1621">
        <f>IF(A1621="","",COUNTIF(Donasi!$B$2:$B$20000,A1621))</f>
        <v/>
      </c>
      <c r="D1621">
        <f>IF(A1621="","",SUMIF(Donasi!$B$2:$B$20000,A1621,Donasi!$C$2:$C$20000))</f>
        <v/>
      </c>
      <c r="E1621">
        <f>IF(A1621="","",6-CEILING(PERCENTRANK.INC($B$3:$B$6000,B1621,4)*5+0.000001,1))</f>
        <v/>
      </c>
      <c r="F1621">
        <f>IF(A1621="","",MAX(1,CEILING(PERCENTRANK.INC($C$3:$C$6000,C1621,4)*5+0.000001,1)))</f>
        <v/>
      </c>
      <c r="G1621">
        <f>IF(A1621="","",MAX(1,CEILING(PERCENTRANK.INC($D$3:$D$6000,D1621,4)*5+0.000001,1)))</f>
        <v/>
      </c>
      <c r="H1621">
        <f>IF(A1621="","",E1621&amp;F1621&amp;G1621)</f>
        <v/>
      </c>
      <c r="I1621">
        <f>IF(A1621="","",IF(AND(E1621&gt;=4,F1621&gt;=4,G1621&gt;=4),"Juara",IF(AND(F1621&gt;=4,E1621&gt;=3),"Setia",IF(AND(E1621=5,F1621&lt;=2,G1621&gt;=3),"Berpotensi",IF(AND(E1621&lt;=3,E1621&gt;=2,F1621&gt;=3),"Rawan",IF(AND(E1621&lt;=2,F1621&lt;=2),"Tidur","Umum"))))))</f>
        <v/>
      </c>
    </row>
    <row r="1622">
      <c r="B1622">
        <f>IF(A1622="","",$B$1-MAXIFS(Donasi!$A$2:$A$20000,Donasi!$B$2:$B$20000,A1622))</f>
        <v/>
      </c>
      <c r="C1622">
        <f>IF(A1622="","",COUNTIF(Donasi!$B$2:$B$20000,A1622))</f>
        <v/>
      </c>
      <c r="D1622">
        <f>IF(A1622="","",SUMIF(Donasi!$B$2:$B$20000,A1622,Donasi!$C$2:$C$20000))</f>
        <v/>
      </c>
      <c r="E1622">
        <f>IF(A1622="","",6-CEILING(PERCENTRANK.INC($B$3:$B$6000,B1622,4)*5+0.000001,1))</f>
        <v/>
      </c>
      <c r="F1622">
        <f>IF(A1622="","",MAX(1,CEILING(PERCENTRANK.INC($C$3:$C$6000,C1622,4)*5+0.000001,1)))</f>
        <v/>
      </c>
      <c r="G1622">
        <f>IF(A1622="","",MAX(1,CEILING(PERCENTRANK.INC($D$3:$D$6000,D1622,4)*5+0.000001,1)))</f>
        <v/>
      </c>
      <c r="H1622">
        <f>IF(A1622="","",E1622&amp;F1622&amp;G1622)</f>
        <v/>
      </c>
      <c r="I1622">
        <f>IF(A1622="","",IF(AND(E1622&gt;=4,F1622&gt;=4,G1622&gt;=4),"Juara",IF(AND(F1622&gt;=4,E1622&gt;=3),"Setia",IF(AND(E1622=5,F1622&lt;=2,G1622&gt;=3),"Berpotensi",IF(AND(E1622&lt;=3,E1622&gt;=2,F1622&gt;=3),"Rawan",IF(AND(E1622&lt;=2,F1622&lt;=2),"Tidur","Umum"))))))</f>
        <v/>
      </c>
    </row>
    <row r="1623">
      <c r="B1623">
        <f>IF(A1623="","",$B$1-MAXIFS(Donasi!$A$2:$A$20000,Donasi!$B$2:$B$20000,A1623))</f>
        <v/>
      </c>
      <c r="C1623">
        <f>IF(A1623="","",COUNTIF(Donasi!$B$2:$B$20000,A1623))</f>
        <v/>
      </c>
      <c r="D1623">
        <f>IF(A1623="","",SUMIF(Donasi!$B$2:$B$20000,A1623,Donasi!$C$2:$C$20000))</f>
        <v/>
      </c>
      <c r="E1623">
        <f>IF(A1623="","",6-CEILING(PERCENTRANK.INC($B$3:$B$6000,B1623,4)*5+0.000001,1))</f>
        <v/>
      </c>
      <c r="F1623">
        <f>IF(A1623="","",MAX(1,CEILING(PERCENTRANK.INC($C$3:$C$6000,C1623,4)*5+0.000001,1)))</f>
        <v/>
      </c>
      <c r="G1623">
        <f>IF(A1623="","",MAX(1,CEILING(PERCENTRANK.INC($D$3:$D$6000,D1623,4)*5+0.000001,1)))</f>
        <v/>
      </c>
      <c r="H1623">
        <f>IF(A1623="","",E1623&amp;F1623&amp;G1623)</f>
        <v/>
      </c>
      <c r="I1623">
        <f>IF(A1623="","",IF(AND(E1623&gt;=4,F1623&gt;=4,G1623&gt;=4),"Juara",IF(AND(F1623&gt;=4,E1623&gt;=3),"Setia",IF(AND(E1623=5,F1623&lt;=2,G1623&gt;=3),"Berpotensi",IF(AND(E1623&lt;=3,E1623&gt;=2,F1623&gt;=3),"Rawan",IF(AND(E1623&lt;=2,F1623&lt;=2),"Tidur","Umum"))))))</f>
        <v/>
      </c>
    </row>
    <row r="1624">
      <c r="B1624">
        <f>IF(A1624="","",$B$1-MAXIFS(Donasi!$A$2:$A$20000,Donasi!$B$2:$B$20000,A1624))</f>
        <v/>
      </c>
      <c r="C1624">
        <f>IF(A1624="","",COUNTIF(Donasi!$B$2:$B$20000,A1624))</f>
        <v/>
      </c>
      <c r="D1624">
        <f>IF(A1624="","",SUMIF(Donasi!$B$2:$B$20000,A1624,Donasi!$C$2:$C$20000))</f>
        <v/>
      </c>
      <c r="E1624">
        <f>IF(A1624="","",6-CEILING(PERCENTRANK.INC($B$3:$B$6000,B1624,4)*5+0.000001,1))</f>
        <v/>
      </c>
      <c r="F1624">
        <f>IF(A1624="","",MAX(1,CEILING(PERCENTRANK.INC($C$3:$C$6000,C1624,4)*5+0.000001,1)))</f>
        <v/>
      </c>
      <c r="G1624">
        <f>IF(A1624="","",MAX(1,CEILING(PERCENTRANK.INC($D$3:$D$6000,D1624,4)*5+0.000001,1)))</f>
        <v/>
      </c>
      <c r="H1624">
        <f>IF(A1624="","",E1624&amp;F1624&amp;G1624)</f>
        <v/>
      </c>
      <c r="I1624">
        <f>IF(A1624="","",IF(AND(E1624&gt;=4,F1624&gt;=4,G1624&gt;=4),"Juara",IF(AND(F1624&gt;=4,E1624&gt;=3),"Setia",IF(AND(E1624=5,F1624&lt;=2,G1624&gt;=3),"Berpotensi",IF(AND(E1624&lt;=3,E1624&gt;=2,F1624&gt;=3),"Rawan",IF(AND(E1624&lt;=2,F1624&lt;=2),"Tidur","Umum"))))))</f>
        <v/>
      </c>
    </row>
    <row r="1625">
      <c r="B1625">
        <f>IF(A1625="","",$B$1-MAXIFS(Donasi!$A$2:$A$20000,Donasi!$B$2:$B$20000,A1625))</f>
        <v/>
      </c>
      <c r="C1625">
        <f>IF(A1625="","",COUNTIF(Donasi!$B$2:$B$20000,A1625))</f>
        <v/>
      </c>
      <c r="D1625">
        <f>IF(A1625="","",SUMIF(Donasi!$B$2:$B$20000,A1625,Donasi!$C$2:$C$20000))</f>
        <v/>
      </c>
      <c r="E1625">
        <f>IF(A1625="","",6-CEILING(PERCENTRANK.INC($B$3:$B$6000,B1625,4)*5+0.000001,1))</f>
        <v/>
      </c>
      <c r="F1625">
        <f>IF(A1625="","",MAX(1,CEILING(PERCENTRANK.INC($C$3:$C$6000,C1625,4)*5+0.000001,1)))</f>
        <v/>
      </c>
      <c r="G1625">
        <f>IF(A1625="","",MAX(1,CEILING(PERCENTRANK.INC($D$3:$D$6000,D1625,4)*5+0.000001,1)))</f>
        <v/>
      </c>
      <c r="H1625">
        <f>IF(A1625="","",E1625&amp;F1625&amp;G1625)</f>
        <v/>
      </c>
      <c r="I1625">
        <f>IF(A1625="","",IF(AND(E1625&gt;=4,F1625&gt;=4,G1625&gt;=4),"Juara",IF(AND(F1625&gt;=4,E1625&gt;=3),"Setia",IF(AND(E1625=5,F1625&lt;=2,G1625&gt;=3),"Berpotensi",IF(AND(E1625&lt;=3,E1625&gt;=2,F1625&gt;=3),"Rawan",IF(AND(E1625&lt;=2,F1625&lt;=2),"Tidur","Umum"))))))</f>
        <v/>
      </c>
    </row>
    <row r="1626">
      <c r="B1626">
        <f>IF(A1626="","",$B$1-MAXIFS(Donasi!$A$2:$A$20000,Donasi!$B$2:$B$20000,A1626))</f>
        <v/>
      </c>
      <c r="C1626">
        <f>IF(A1626="","",COUNTIF(Donasi!$B$2:$B$20000,A1626))</f>
        <v/>
      </c>
      <c r="D1626">
        <f>IF(A1626="","",SUMIF(Donasi!$B$2:$B$20000,A1626,Donasi!$C$2:$C$20000))</f>
        <v/>
      </c>
      <c r="E1626">
        <f>IF(A1626="","",6-CEILING(PERCENTRANK.INC($B$3:$B$6000,B1626,4)*5+0.000001,1))</f>
        <v/>
      </c>
      <c r="F1626">
        <f>IF(A1626="","",MAX(1,CEILING(PERCENTRANK.INC($C$3:$C$6000,C1626,4)*5+0.000001,1)))</f>
        <v/>
      </c>
      <c r="G1626">
        <f>IF(A1626="","",MAX(1,CEILING(PERCENTRANK.INC($D$3:$D$6000,D1626,4)*5+0.000001,1)))</f>
        <v/>
      </c>
      <c r="H1626">
        <f>IF(A1626="","",E1626&amp;F1626&amp;G1626)</f>
        <v/>
      </c>
      <c r="I1626">
        <f>IF(A1626="","",IF(AND(E1626&gt;=4,F1626&gt;=4,G1626&gt;=4),"Juara",IF(AND(F1626&gt;=4,E1626&gt;=3),"Setia",IF(AND(E1626=5,F1626&lt;=2,G1626&gt;=3),"Berpotensi",IF(AND(E1626&lt;=3,E1626&gt;=2,F1626&gt;=3),"Rawan",IF(AND(E1626&lt;=2,F1626&lt;=2),"Tidur","Umum"))))))</f>
        <v/>
      </c>
    </row>
    <row r="1627">
      <c r="B1627">
        <f>IF(A1627="","",$B$1-MAXIFS(Donasi!$A$2:$A$20000,Donasi!$B$2:$B$20000,A1627))</f>
        <v/>
      </c>
      <c r="C1627">
        <f>IF(A1627="","",COUNTIF(Donasi!$B$2:$B$20000,A1627))</f>
        <v/>
      </c>
      <c r="D1627">
        <f>IF(A1627="","",SUMIF(Donasi!$B$2:$B$20000,A1627,Donasi!$C$2:$C$20000))</f>
        <v/>
      </c>
      <c r="E1627">
        <f>IF(A1627="","",6-CEILING(PERCENTRANK.INC($B$3:$B$6000,B1627,4)*5+0.000001,1))</f>
        <v/>
      </c>
      <c r="F1627">
        <f>IF(A1627="","",MAX(1,CEILING(PERCENTRANK.INC($C$3:$C$6000,C1627,4)*5+0.000001,1)))</f>
        <v/>
      </c>
      <c r="G1627">
        <f>IF(A1627="","",MAX(1,CEILING(PERCENTRANK.INC($D$3:$D$6000,D1627,4)*5+0.000001,1)))</f>
        <v/>
      </c>
      <c r="H1627">
        <f>IF(A1627="","",E1627&amp;F1627&amp;G1627)</f>
        <v/>
      </c>
      <c r="I1627">
        <f>IF(A1627="","",IF(AND(E1627&gt;=4,F1627&gt;=4,G1627&gt;=4),"Juara",IF(AND(F1627&gt;=4,E1627&gt;=3),"Setia",IF(AND(E1627=5,F1627&lt;=2,G1627&gt;=3),"Berpotensi",IF(AND(E1627&lt;=3,E1627&gt;=2,F1627&gt;=3),"Rawan",IF(AND(E1627&lt;=2,F1627&lt;=2),"Tidur","Umum"))))))</f>
        <v/>
      </c>
    </row>
    <row r="1628">
      <c r="B1628">
        <f>IF(A1628="","",$B$1-MAXIFS(Donasi!$A$2:$A$20000,Donasi!$B$2:$B$20000,A1628))</f>
        <v/>
      </c>
      <c r="C1628">
        <f>IF(A1628="","",COUNTIF(Donasi!$B$2:$B$20000,A1628))</f>
        <v/>
      </c>
      <c r="D1628">
        <f>IF(A1628="","",SUMIF(Donasi!$B$2:$B$20000,A1628,Donasi!$C$2:$C$20000))</f>
        <v/>
      </c>
      <c r="E1628">
        <f>IF(A1628="","",6-CEILING(PERCENTRANK.INC($B$3:$B$6000,B1628,4)*5+0.000001,1))</f>
        <v/>
      </c>
      <c r="F1628">
        <f>IF(A1628="","",MAX(1,CEILING(PERCENTRANK.INC($C$3:$C$6000,C1628,4)*5+0.000001,1)))</f>
        <v/>
      </c>
      <c r="G1628">
        <f>IF(A1628="","",MAX(1,CEILING(PERCENTRANK.INC($D$3:$D$6000,D1628,4)*5+0.000001,1)))</f>
        <v/>
      </c>
      <c r="H1628">
        <f>IF(A1628="","",E1628&amp;F1628&amp;G1628)</f>
        <v/>
      </c>
      <c r="I1628">
        <f>IF(A1628="","",IF(AND(E1628&gt;=4,F1628&gt;=4,G1628&gt;=4),"Juara",IF(AND(F1628&gt;=4,E1628&gt;=3),"Setia",IF(AND(E1628=5,F1628&lt;=2,G1628&gt;=3),"Berpotensi",IF(AND(E1628&lt;=3,E1628&gt;=2,F1628&gt;=3),"Rawan",IF(AND(E1628&lt;=2,F1628&lt;=2),"Tidur","Umum"))))))</f>
        <v/>
      </c>
    </row>
    <row r="1629">
      <c r="B1629">
        <f>IF(A1629="","",$B$1-MAXIFS(Donasi!$A$2:$A$20000,Donasi!$B$2:$B$20000,A1629))</f>
        <v/>
      </c>
      <c r="C1629">
        <f>IF(A1629="","",COUNTIF(Donasi!$B$2:$B$20000,A1629))</f>
        <v/>
      </c>
      <c r="D1629">
        <f>IF(A1629="","",SUMIF(Donasi!$B$2:$B$20000,A1629,Donasi!$C$2:$C$20000))</f>
        <v/>
      </c>
      <c r="E1629">
        <f>IF(A1629="","",6-CEILING(PERCENTRANK.INC($B$3:$B$6000,B1629,4)*5+0.000001,1))</f>
        <v/>
      </c>
      <c r="F1629">
        <f>IF(A1629="","",MAX(1,CEILING(PERCENTRANK.INC($C$3:$C$6000,C1629,4)*5+0.000001,1)))</f>
        <v/>
      </c>
      <c r="G1629">
        <f>IF(A1629="","",MAX(1,CEILING(PERCENTRANK.INC($D$3:$D$6000,D1629,4)*5+0.000001,1)))</f>
        <v/>
      </c>
      <c r="H1629">
        <f>IF(A1629="","",E1629&amp;F1629&amp;G1629)</f>
        <v/>
      </c>
      <c r="I1629">
        <f>IF(A1629="","",IF(AND(E1629&gt;=4,F1629&gt;=4,G1629&gt;=4),"Juara",IF(AND(F1629&gt;=4,E1629&gt;=3),"Setia",IF(AND(E1629=5,F1629&lt;=2,G1629&gt;=3),"Berpotensi",IF(AND(E1629&lt;=3,E1629&gt;=2,F1629&gt;=3),"Rawan",IF(AND(E1629&lt;=2,F1629&lt;=2),"Tidur","Umum"))))))</f>
        <v/>
      </c>
    </row>
    <row r="1630">
      <c r="B1630">
        <f>IF(A1630="","",$B$1-MAXIFS(Donasi!$A$2:$A$20000,Donasi!$B$2:$B$20000,A1630))</f>
        <v/>
      </c>
      <c r="C1630">
        <f>IF(A1630="","",COUNTIF(Donasi!$B$2:$B$20000,A1630))</f>
        <v/>
      </c>
      <c r="D1630">
        <f>IF(A1630="","",SUMIF(Donasi!$B$2:$B$20000,A1630,Donasi!$C$2:$C$20000))</f>
        <v/>
      </c>
      <c r="E1630">
        <f>IF(A1630="","",6-CEILING(PERCENTRANK.INC($B$3:$B$6000,B1630,4)*5+0.000001,1))</f>
        <v/>
      </c>
      <c r="F1630">
        <f>IF(A1630="","",MAX(1,CEILING(PERCENTRANK.INC($C$3:$C$6000,C1630,4)*5+0.000001,1)))</f>
        <v/>
      </c>
      <c r="G1630">
        <f>IF(A1630="","",MAX(1,CEILING(PERCENTRANK.INC($D$3:$D$6000,D1630,4)*5+0.000001,1)))</f>
        <v/>
      </c>
      <c r="H1630">
        <f>IF(A1630="","",E1630&amp;F1630&amp;G1630)</f>
        <v/>
      </c>
      <c r="I1630">
        <f>IF(A1630="","",IF(AND(E1630&gt;=4,F1630&gt;=4,G1630&gt;=4),"Juara",IF(AND(F1630&gt;=4,E1630&gt;=3),"Setia",IF(AND(E1630=5,F1630&lt;=2,G1630&gt;=3),"Berpotensi",IF(AND(E1630&lt;=3,E1630&gt;=2,F1630&gt;=3),"Rawan",IF(AND(E1630&lt;=2,F1630&lt;=2),"Tidur","Umum"))))))</f>
        <v/>
      </c>
    </row>
    <row r="1631">
      <c r="B1631">
        <f>IF(A1631="","",$B$1-MAXIFS(Donasi!$A$2:$A$20000,Donasi!$B$2:$B$20000,A1631))</f>
        <v/>
      </c>
      <c r="C1631">
        <f>IF(A1631="","",COUNTIF(Donasi!$B$2:$B$20000,A1631))</f>
        <v/>
      </c>
      <c r="D1631">
        <f>IF(A1631="","",SUMIF(Donasi!$B$2:$B$20000,A1631,Donasi!$C$2:$C$20000))</f>
        <v/>
      </c>
      <c r="E1631">
        <f>IF(A1631="","",6-CEILING(PERCENTRANK.INC($B$3:$B$6000,B1631,4)*5+0.000001,1))</f>
        <v/>
      </c>
      <c r="F1631">
        <f>IF(A1631="","",MAX(1,CEILING(PERCENTRANK.INC($C$3:$C$6000,C1631,4)*5+0.000001,1)))</f>
        <v/>
      </c>
      <c r="G1631">
        <f>IF(A1631="","",MAX(1,CEILING(PERCENTRANK.INC($D$3:$D$6000,D1631,4)*5+0.000001,1)))</f>
        <v/>
      </c>
      <c r="H1631">
        <f>IF(A1631="","",E1631&amp;F1631&amp;G1631)</f>
        <v/>
      </c>
      <c r="I1631">
        <f>IF(A1631="","",IF(AND(E1631&gt;=4,F1631&gt;=4,G1631&gt;=4),"Juara",IF(AND(F1631&gt;=4,E1631&gt;=3),"Setia",IF(AND(E1631=5,F1631&lt;=2,G1631&gt;=3),"Berpotensi",IF(AND(E1631&lt;=3,E1631&gt;=2,F1631&gt;=3),"Rawan",IF(AND(E1631&lt;=2,F1631&lt;=2),"Tidur","Umum"))))))</f>
        <v/>
      </c>
    </row>
    <row r="1632">
      <c r="B1632">
        <f>IF(A1632="","",$B$1-MAXIFS(Donasi!$A$2:$A$20000,Donasi!$B$2:$B$20000,A1632))</f>
        <v/>
      </c>
      <c r="C1632">
        <f>IF(A1632="","",COUNTIF(Donasi!$B$2:$B$20000,A1632))</f>
        <v/>
      </c>
      <c r="D1632">
        <f>IF(A1632="","",SUMIF(Donasi!$B$2:$B$20000,A1632,Donasi!$C$2:$C$20000))</f>
        <v/>
      </c>
      <c r="E1632">
        <f>IF(A1632="","",6-CEILING(PERCENTRANK.INC($B$3:$B$6000,B1632,4)*5+0.000001,1))</f>
        <v/>
      </c>
      <c r="F1632">
        <f>IF(A1632="","",MAX(1,CEILING(PERCENTRANK.INC($C$3:$C$6000,C1632,4)*5+0.000001,1)))</f>
        <v/>
      </c>
      <c r="G1632">
        <f>IF(A1632="","",MAX(1,CEILING(PERCENTRANK.INC($D$3:$D$6000,D1632,4)*5+0.000001,1)))</f>
        <v/>
      </c>
      <c r="H1632">
        <f>IF(A1632="","",E1632&amp;F1632&amp;G1632)</f>
        <v/>
      </c>
      <c r="I1632">
        <f>IF(A1632="","",IF(AND(E1632&gt;=4,F1632&gt;=4,G1632&gt;=4),"Juara",IF(AND(F1632&gt;=4,E1632&gt;=3),"Setia",IF(AND(E1632=5,F1632&lt;=2,G1632&gt;=3),"Berpotensi",IF(AND(E1632&lt;=3,E1632&gt;=2,F1632&gt;=3),"Rawan",IF(AND(E1632&lt;=2,F1632&lt;=2),"Tidur","Umum"))))))</f>
        <v/>
      </c>
    </row>
    <row r="1633">
      <c r="B1633">
        <f>IF(A1633="","",$B$1-MAXIFS(Donasi!$A$2:$A$20000,Donasi!$B$2:$B$20000,A1633))</f>
        <v/>
      </c>
      <c r="C1633">
        <f>IF(A1633="","",COUNTIF(Donasi!$B$2:$B$20000,A1633))</f>
        <v/>
      </c>
      <c r="D1633">
        <f>IF(A1633="","",SUMIF(Donasi!$B$2:$B$20000,A1633,Donasi!$C$2:$C$20000))</f>
        <v/>
      </c>
      <c r="E1633">
        <f>IF(A1633="","",6-CEILING(PERCENTRANK.INC($B$3:$B$6000,B1633,4)*5+0.000001,1))</f>
        <v/>
      </c>
      <c r="F1633">
        <f>IF(A1633="","",MAX(1,CEILING(PERCENTRANK.INC($C$3:$C$6000,C1633,4)*5+0.000001,1)))</f>
        <v/>
      </c>
      <c r="G1633">
        <f>IF(A1633="","",MAX(1,CEILING(PERCENTRANK.INC($D$3:$D$6000,D1633,4)*5+0.000001,1)))</f>
        <v/>
      </c>
      <c r="H1633">
        <f>IF(A1633="","",E1633&amp;F1633&amp;G1633)</f>
        <v/>
      </c>
      <c r="I1633">
        <f>IF(A1633="","",IF(AND(E1633&gt;=4,F1633&gt;=4,G1633&gt;=4),"Juara",IF(AND(F1633&gt;=4,E1633&gt;=3),"Setia",IF(AND(E1633=5,F1633&lt;=2,G1633&gt;=3),"Berpotensi",IF(AND(E1633&lt;=3,E1633&gt;=2,F1633&gt;=3),"Rawan",IF(AND(E1633&lt;=2,F1633&lt;=2),"Tidur","Umum"))))))</f>
        <v/>
      </c>
    </row>
    <row r="1634">
      <c r="B1634">
        <f>IF(A1634="","",$B$1-MAXIFS(Donasi!$A$2:$A$20000,Donasi!$B$2:$B$20000,A1634))</f>
        <v/>
      </c>
      <c r="C1634">
        <f>IF(A1634="","",COUNTIF(Donasi!$B$2:$B$20000,A1634))</f>
        <v/>
      </c>
      <c r="D1634">
        <f>IF(A1634="","",SUMIF(Donasi!$B$2:$B$20000,A1634,Donasi!$C$2:$C$20000))</f>
        <v/>
      </c>
      <c r="E1634">
        <f>IF(A1634="","",6-CEILING(PERCENTRANK.INC($B$3:$B$6000,B1634,4)*5+0.000001,1))</f>
        <v/>
      </c>
      <c r="F1634">
        <f>IF(A1634="","",MAX(1,CEILING(PERCENTRANK.INC($C$3:$C$6000,C1634,4)*5+0.000001,1)))</f>
        <v/>
      </c>
      <c r="G1634">
        <f>IF(A1634="","",MAX(1,CEILING(PERCENTRANK.INC($D$3:$D$6000,D1634,4)*5+0.000001,1)))</f>
        <v/>
      </c>
      <c r="H1634">
        <f>IF(A1634="","",E1634&amp;F1634&amp;G1634)</f>
        <v/>
      </c>
      <c r="I1634">
        <f>IF(A1634="","",IF(AND(E1634&gt;=4,F1634&gt;=4,G1634&gt;=4),"Juara",IF(AND(F1634&gt;=4,E1634&gt;=3),"Setia",IF(AND(E1634=5,F1634&lt;=2,G1634&gt;=3),"Berpotensi",IF(AND(E1634&lt;=3,E1634&gt;=2,F1634&gt;=3),"Rawan",IF(AND(E1634&lt;=2,F1634&lt;=2),"Tidur","Umum"))))))</f>
        <v/>
      </c>
    </row>
    <row r="1635">
      <c r="B1635">
        <f>IF(A1635="","",$B$1-MAXIFS(Donasi!$A$2:$A$20000,Donasi!$B$2:$B$20000,A1635))</f>
        <v/>
      </c>
      <c r="C1635">
        <f>IF(A1635="","",COUNTIF(Donasi!$B$2:$B$20000,A1635))</f>
        <v/>
      </c>
      <c r="D1635">
        <f>IF(A1635="","",SUMIF(Donasi!$B$2:$B$20000,A1635,Donasi!$C$2:$C$20000))</f>
        <v/>
      </c>
      <c r="E1635">
        <f>IF(A1635="","",6-CEILING(PERCENTRANK.INC($B$3:$B$6000,B1635,4)*5+0.000001,1))</f>
        <v/>
      </c>
      <c r="F1635">
        <f>IF(A1635="","",MAX(1,CEILING(PERCENTRANK.INC($C$3:$C$6000,C1635,4)*5+0.000001,1)))</f>
        <v/>
      </c>
      <c r="G1635">
        <f>IF(A1635="","",MAX(1,CEILING(PERCENTRANK.INC($D$3:$D$6000,D1635,4)*5+0.000001,1)))</f>
        <v/>
      </c>
      <c r="H1635">
        <f>IF(A1635="","",E1635&amp;F1635&amp;G1635)</f>
        <v/>
      </c>
      <c r="I1635">
        <f>IF(A1635="","",IF(AND(E1635&gt;=4,F1635&gt;=4,G1635&gt;=4),"Juara",IF(AND(F1635&gt;=4,E1635&gt;=3),"Setia",IF(AND(E1635=5,F1635&lt;=2,G1635&gt;=3),"Berpotensi",IF(AND(E1635&lt;=3,E1635&gt;=2,F1635&gt;=3),"Rawan",IF(AND(E1635&lt;=2,F1635&lt;=2),"Tidur","Umum"))))))</f>
        <v/>
      </c>
    </row>
    <row r="1636">
      <c r="B1636">
        <f>IF(A1636="","",$B$1-MAXIFS(Donasi!$A$2:$A$20000,Donasi!$B$2:$B$20000,A1636))</f>
        <v/>
      </c>
      <c r="C1636">
        <f>IF(A1636="","",COUNTIF(Donasi!$B$2:$B$20000,A1636))</f>
        <v/>
      </c>
      <c r="D1636">
        <f>IF(A1636="","",SUMIF(Donasi!$B$2:$B$20000,A1636,Donasi!$C$2:$C$20000))</f>
        <v/>
      </c>
      <c r="E1636">
        <f>IF(A1636="","",6-CEILING(PERCENTRANK.INC($B$3:$B$6000,B1636,4)*5+0.000001,1))</f>
        <v/>
      </c>
      <c r="F1636">
        <f>IF(A1636="","",MAX(1,CEILING(PERCENTRANK.INC($C$3:$C$6000,C1636,4)*5+0.000001,1)))</f>
        <v/>
      </c>
      <c r="G1636">
        <f>IF(A1636="","",MAX(1,CEILING(PERCENTRANK.INC($D$3:$D$6000,D1636,4)*5+0.000001,1)))</f>
        <v/>
      </c>
      <c r="H1636">
        <f>IF(A1636="","",E1636&amp;F1636&amp;G1636)</f>
        <v/>
      </c>
      <c r="I1636">
        <f>IF(A1636="","",IF(AND(E1636&gt;=4,F1636&gt;=4,G1636&gt;=4),"Juara",IF(AND(F1636&gt;=4,E1636&gt;=3),"Setia",IF(AND(E1636=5,F1636&lt;=2,G1636&gt;=3),"Berpotensi",IF(AND(E1636&lt;=3,E1636&gt;=2,F1636&gt;=3),"Rawan",IF(AND(E1636&lt;=2,F1636&lt;=2),"Tidur","Umum"))))))</f>
        <v/>
      </c>
    </row>
    <row r="1637">
      <c r="B1637">
        <f>IF(A1637="","",$B$1-MAXIFS(Donasi!$A$2:$A$20000,Donasi!$B$2:$B$20000,A1637))</f>
        <v/>
      </c>
      <c r="C1637">
        <f>IF(A1637="","",COUNTIF(Donasi!$B$2:$B$20000,A1637))</f>
        <v/>
      </c>
      <c r="D1637">
        <f>IF(A1637="","",SUMIF(Donasi!$B$2:$B$20000,A1637,Donasi!$C$2:$C$20000))</f>
        <v/>
      </c>
      <c r="E1637">
        <f>IF(A1637="","",6-CEILING(PERCENTRANK.INC($B$3:$B$6000,B1637,4)*5+0.000001,1))</f>
        <v/>
      </c>
      <c r="F1637">
        <f>IF(A1637="","",MAX(1,CEILING(PERCENTRANK.INC($C$3:$C$6000,C1637,4)*5+0.000001,1)))</f>
        <v/>
      </c>
      <c r="G1637">
        <f>IF(A1637="","",MAX(1,CEILING(PERCENTRANK.INC($D$3:$D$6000,D1637,4)*5+0.000001,1)))</f>
        <v/>
      </c>
      <c r="H1637">
        <f>IF(A1637="","",E1637&amp;F1637&amp;G1637)</f>
        <v/>
      </c>
      <c r="I1637">
        <f>IF(A1637="","",IF(AND(E1637&gt;=4,F1637&gt;=4,G1637&gt;=4),"Juara",IF(AND(F1637&gt;=4,E1637&gt;=3),"Setia",IF(AND(E1637=5,F1637&lt;=2,G1637&gt;=3),"Berpotensi",IF(AND(E1637&lt;=3,E1637&gt;=2,F1637&gt;=3),"Rawan",IF(AND(E1637&lt;=2,F1637&lt;=2),"Tidur","Umum"))))))</f>
        <v/>
      </c>
    </row>
    <row r="1638">
      <c r="B1638">
        <f>IF(A1638="","",$B$1-MAXIFS(Donasi!$A$2:$A$20000,Donasi!$B$2:$B$20000,A1638))</f>
        <v/>
      </c>
      <c r="C1638">
        <f>IF(A1638="","",COUNTIF(Donasi!$B$2:$B$20000,A1638))</f>
        <v/>
      </c>
      <c r="D1638">
        <f>IF(A1638="","",SUMIF(Donasi!$B$2:$B$20000,A1638,Donasi!$C$2:$C$20000))</f>
        <v/>
      </c>
      <c r="E1638">
        <f>IF(A1638="","",6-CEILING(PERCENTRANK.INC($B$3:$B$6000,B1638,4)*5+0.000001,1))</f>
        <v/>
      </c>
      <c r="F1638">
        <f>IF(A1638="","",MAX(1,CEILING(PERCENTRANK.INC($C$3:$C$6000,C1638,4)*5+0.000001,1)))</f>
        <v/>
      </c>
      <c r="G1638">
        <f>IF(A1638="","",MAX(1,CEILING(PERCENTRANK.INC($D$3:$D$6000,D1638,4)*5+0.000001,1)))</f>
        <v/>
      </c>
      <c r="H1638">
        <f>IF(A1638="","",E1638&amp;F1638&amp;G1638)</f>
        <v/>
      </c>
      <c r="I1638">
        <f>IF(A1638="","",IF(AND(E1638&gt;=4,F1638&gt;=4,G1638&gt;=4),"Juara",IF(AND(F1638&gt;=4,E1638&gt;=3),"Setia",IF(AND(E1638=5,F1638&lt;=2,G1638&gt;=3),"Berpotensi",IF(AND(E1638&lt;=3,E1638&gt;=2,F1638&gt;=3),"Rawan",IF(AND(E1638&lt;=2,F1638&lt;=2),"Tidur","Umum"))))))</f>
        <v/>
      </c>
    </row>
    <row r="1639">
      <c r="B1639">
        <f>IF(A1639="","",$B$1-MAXIFS(Donasi!$A$2:$A$20000,Donasi!$B$2:$B$20000,A1639))</f>
        <v/>
      </c>
      <c r="C1639">
        <f>IF(A1639="","",COUNTIF(Donasi!$B$2:$B$20000,A1639))</f>
        <v/>
      </c>
      <c r="D1639">
        <f>IF(A1639="","",SUMIF(Donasi!$B$2:$B$20000,A1639,Donasi!$C$2:$C$20000))</f>
        <v/>
      </c>
      <c r="E1639">
        <f>IF(A1639="","",6-CEILING(PERCENTRANK.INC($B$3:$B$6000,B1639,4)*5+0.000001,1))</f>
        <v/>
      </c>
      <c r="F1639">
        <f>IF(A1639="","",MAX(1,CEILING(PERCENTRANK.INC($C$3:$C$6000,C1639,4)*5+0.000001,1)))</f>
        <v/>
      </c>
      <c r="G1639">
        <f>IF(A1639="","",MAX(1,CEILING(PERCENTRANK.INC($D$3:$D$6000,D1639,4)*5+0.000001,1)))</f>
        <v/>
      </c>
      <c r="H1639">
        <f>IF(A1639="","",E1639&amp;F1639&amp;G1639)</f>
        <v/>
      </c>
      <c r="I1639">
        <f>IF(A1639="","",IF(AND(E1639&gt;=4,F1639&gt;=4,G1639&gt;=4),"Juara",IF(AND(F1639&gt;=4,E1639&gt;=3),"Setia",IF(AND(E1639=5,F1639&lt;=2,G1639&gt;=3),"Berpotensi",IF(AND(E1639&lt;=3,E1639&gt;=2,F1639&gt;=3),"Rawan",IF(AND(E1639&lt;=2,F1639&lt;=2),"Tidur","Umum"))))))</f>
        <v/>
      </c>
    </row>
    <row r="1640">
      <c r="B1640">
        <f>IF(A1640="","",$B$1-MAXIFS(Donasi!$A$2:$A$20000,Donasi!$B$2:$B$20000,A1640))</f>
        <v/>
      </c>
      <c r="C1640">
        <f>IF(A1640="","",COUNTIF(Donasi!$B$2:$B$20000,A1640))</f>
        <v/>
      </c>
      <c r="D1640">
        <f>IF(A1640="","",SUMIF(Donasi!$B$2:$B$20000,A1640,Donasi!$C$2:$C$20000))</f>
        <v/>
      </c>
      <c r="E1640">
        <f>IF(A1640="","",6-CEILING(PERCENTRANK.INC($B$3:$B$6000,B1640,4)*5+0.000001,1))</f>
        <v/>
      </c>
      <c r="F1640">
        <f>IF(A1640="","",MAX(1,CEILING(PERCENTRANK.INC($C$3:$C$6000,C1640,4)*5+0.000001,1)))</f>
        <v/>
      </c>
      <c r="G1640">
        <f>IF(A1640="","",MAX(1,CEILING(PERCENTRANK.INC($D$3:$D$6000,D1640,4)*5+0.000001,1)))</f>
        <v/>
      </c>
      <c r="H1640">
        <f>IF(A1640="","",E1640&amp;F1640&amp;G1640)</f>
        <v/>
      </c>
      <c r="I1640">
        <f>IF(A1640="","",IF(AND(E1640&gt;=4,F1640&gt;=4,G1640&gt;=4),"Juara",IF(AND(F1640&gt;=4,E1640&gt;=3),"Setia",IF(AND(E1640=5,F1640&lt;=2,G1640&gt;=3),"Berpotensi",IF(AND(E1640&lt;=3,E1640&gt;=2,F1640&gt;=3),"Rawan",IF(AND(E1640&lt;=2,F1640&lt;=2),"Tidur","Umum"))))))</f>
        <v/>
      </c>
    </row>
    <row r="1641">
      <c r="B1641">
        <f>IF(A1641="","",$B$1-MAXIFS(Donasi!$A$2:$A$20000,Donasi!$B$2:$B$20000,A1641))</f>
        <v/>
      </c>
      <c r="C1641">
        <f>IF(A1641="","",COUNTIF(Donasi!$B$2:$B$20000,A1641))</f>
        <v/>
      </c>
      <c r="D1641">
        <f>IF(A1641="","",SUMIF(Donasi!$B$2:$B$20000,A1641,Donasi!$C$2:$C$20000))</f>
        <v/>
      </c>
      <c r="E1641">
        <f>IF(A1641="","",6-CEILING(PERCENTRANK.INC($B$3:$B$6000,B1641,4)*5+0.000001,1))</f>
        <v/>
      </c>
      <c r="F1641">
        <f>IF(A1641="","",MAX(1,CEILING(PERCENTRANK.INC($C$3:$C$6000,C1641,4)*5+0.000001,1)))</f>
        <v/>
      </c>
      <c r="G1641">
        <f>IF(A1641="","",MAX(1,CEILING(PERCENTRANK.INC($D$3:$D$6000,D1641,4)*5+0.000001,1)))</f>
        <v/>
      </c>
      <c r="H1641">
        <f>IF(A1641="","",E1641&amp;F1641&amp;G1641)</f>
        <v/>
      </c>
      <c r="I1641">
        <f>IF(A1641="","",IF(AND(E1641&gt;=4,F1641&gt;=4,G1641&gt;=4),"Juara",IF(AND(F1641&gt;=4,E1641&gt;=3),"Setia",IF(AND(E1641=5,F1641&lt;=2,G1641&gt;=3),"Berpotensi",IF(AND(E1641&lt;=3,E1641&gt;=2,F1641&gt;=3),"Rawan",IF(AND(E1641&lt;=2,F1641&lt;=2),"Tidur","Umum"))))))</f>
        <v/>
      </c>
    </row>
    <row r="1642">
      <c r="B1642">
        <f>IF(A1642="","",$B$1-MAXIFS(Donasi!$A$2:$A$20000,Donasi!$B$2:$B$20000,A1642))</f>
        <v/>
      </c>
      <c r="C1642">
        <f>IF(A1642="","",COUNTIF(Donasi!$B$2:$B$20000,A1642))</f>
        <v/>
      </c>
      <c r="D1642">
        <f>IF(A1642="","",SUMIF(Donasi!$B$2:$B$20000,A1642,Donasi!$C$2:$C$20000))</f>
        <v/>
      </c>
      <c r="E1642">
        <f>IF(A1642="","",6-CEILING(PERCENTRANK.INC($B$3:$B$6000,B1642,4)*5+0.000001,1))</f>
        <v/>
      </c>
      <c r="F1642">
        <f>IF(A1642="","",MAX(1,CEILING(PERCENTRANK.INC($C$3:$C$6000,C1642,4)*5+0.000001,1)))</f>
        <v/>
      </c>
      <c r="G1642">
        <f>IF(A1642="","",MAX(1,CEILING(PERCENTRANK.INC($D$3:$D$6000,D1642,4)*5+0.000001,1)))</f>
        <v/>
      </c>
      <c r="H1642">
        <f>IF(A1642="","",E1642&amp;F1642&amp;G1642)</f>
        <v/>
      </c>
      <c r="I1642">
        <f>IF(A1642="","",IF(AND(E1642&gt;=4,F1642&gt;=4,G1642&gt;=4),"Juara",IF(AND(F1642&gt;=4,E1642&gt;=3),"Setia",IF(AND(E1642=5,F1642&lt;=2,G1642&gt;=3),"Berpotensi",IF(AND(E1642&lt;=3,E1642&gt;=2,F1642&gt;=3),"Rawan",IF(AND(E1642&lt;=2,F1642&lt;=2),"Tidur","Umum"))))))</f>
        <v/>
      </c>
    </row>
    <row r="1643">
      <c r="B1643">
        <f>IF(A1643="","",$B$1-MAXIFS(Donasi!$A$2:$A$20000,Donasi!$B$2:$B$20000,A1643))</f>
        <v/>
      </c>
      <c r="C1643">
        <f>IF(A1643="","",COUNTIF(Donasi!$B$2:$B$20000,A1643))</f>
        <v/>
      </c>
      <c r="D1643">
        <f>IF(A1643="","",SUMIF(Donasi!$B$2:$B$20000,A1643,Donasi!$C$2:$C$20000))</f>
        <v/>
      </c>
      <c r="E1643">
        <f>IF(A1643="","",6-CEILING(PERCENTRANK.INC($B$3:$B$6000,B1643,4)*5+0.000001,1))</f>
        <v/>
      </c>
      <c r="F1643">
        <f>IF(A1643="","",MAX(1,CEILING(PERCENTRANK.INC($C$3:$C$6000,C1643,4)*5+0.000001,1)))</f>
        <v/>
      </c>
      <c r="G1643">
        <f>IF(A1643="","",MAX(1,CEILING(PERCENTRANK.INC($D$3:$D$6000,D1643,4)*5+0.000001,1)))</f>
        <v/>
      </c>
      <c r="H1643">
        <f>IF(A1643="","",E1643&amp;F1643&amp;G1643)</f>
        <v/>
      </c>
      <c r="I1643">
        <f>IF(A1643="","",IF(AND(E1643&gt;=4,F1643&gt;=4,G1643&gt;=4),"Juara",IF(AND(F1643&gt;=4,E1643&gt;=3),"Setia",IF(AND(E1643=5,F1643&lt;=2,G1643&gt;=3),"Berpotensi",IF(AND(E1643&lt;=3,E1643&gt;=2,F1643&gt;=3),"Rawan",IF(AND(E1643&lt;=2,F1643&lt;=2),"Tidur","Umum"))))))</f>
        <v/>
      </c>
    </row>
    <row r="1644">
      <c r="B1644">
        <f>IF(A1644="","",$B$1-MAXIFS(Donasi!$A$2:$A$20000,Donasi!$B$2:$B$20000,A1644))</f>
        <v/>
      </c>
      <c r="C1644">
        <f>IF(A1644="","",COUNTIF(Donasi!$B$2:$B$20000,A1644))</f>
        <v/>
      </c>
      <c r="D1644">
        <f>IF(A1644="","",SUMIF(Donasi!$B$2:$B$20000,A1644,Donasi!$C$2:$C$20000))</f>
        <v/>
      </c>
      <c r="E1644">
        <f>IF(A1644="","",6-CEILING(PERCENTRANK.INC($B$3:$B$6000,B1644,4)*5+0.000001,1))</f>
        <v/>
      </c>
      <c r="F1644">
        <f>IF(A1644="","",MAX(1,CEILING(PERCENTRANK.INC($C$3:$C$6000,C1644,4)*5+0.000001,1)))</f>
        <v/>
      </c>
      <c r="G1644">
        <f>IF(A1644="","",MAX(1,CEILING(PERCENTRANK.INC($D$3:$D$6000,D1644,4)*5+0.000001,1)))</f>
        <v/>
      </c>
      <c r="H1644">
        <f>IF(A1644="","",E1644&amp;F1644&amp;G1644)</f>
        <v/>
      </c>
      <c r="I1644">
        <f>IF(A1644="","",IF(AND(E1644&gt;=4,F1644&gt;=4,G1644&gt;=4),"Juara",IF(AND(F1644&gt;=4,E1644&gt;=3),"Setia",IF(AND(E1644=5,F1644&lt;=2,G1644&gt;=3),"Berpotensi",IF(AND(E1644&lt;=3,E1644&gt;=2,F1644&gt;=3),"Rawan",IF(AND(E1644&lt;=2,F1644&lt;=2),"Tidur","Umum"))))))</f>
        <v/>
      </c>
    </row>
    <row r="1645">
      <c r="B1645">
        <f>IF(A1645="","",$B$1-MAXIFS(Donasi!$A$2:$A$20000,Donasi!$B$2:$B$20000,A1645))</f>
        <v/>
      </c>
      <c r="C1645">
        <f>IF(A1645="","",COUNTIF(Donasi!$B$2:$B$20000,A1645))</f>
        <v/>
      </c>
      <c r="D1645">
        <f>IF(A1645="","",SUMIF(Donasi!$B$2:$B$20000,A1645,Donasi!$C$2:$C$20000))</f>
        <v/>
      </c>
      <c r="E1645">
        <f>IF(A1645="","",6-CEILING(PERCENTRANK.INC($B$3:$B$6000,B1645,4)*5+0.000001,1))</f>
        <v/>
      </c>
      <c r="F1645">
        <f>IF(A1645="","",MAX(1,CEILING(PERCENTRANK.INC($C$3:$C$6000,C1645,4)*5+0.000001,1)))</f>
        <v/>
      </c>
      <c r="G1645">
        <f>IF(A1645="","",MAX(1,CEILING(PERCENTRANK.INC($D$3:$D$6000,D1645,4)*5+0.000001,1)))</f>
        <v/>
      </c>
      <c r="H1645">
        <f>IF(A1645="","",E1645&amp;F1645&amp;G1645)</f>
        <v/>
      </c>
      <c r="I1645">
        <f>IF(A1645="","",IF(AND(E1645&gt;=4,F1645&gt;=4,G1645&gt;=4),"Juara",IF(AND(F1645&gt;=4,E1645&gt;=3),"Setia",IF(AND(E1645=5,F1645&lt;=2,G1645&gt;=3),"Berpotensi",IF(AND(E1645&lt;=3,E1645&gt;=2,F1645&gt;=3),"Rawan",IF(AND(E1645&lt;=2,F1645&lt;=2),"Tidur","Umum"))))))</f>
        <v/>
      </c>
    </row>
    <row r="1646">
      <c r="B1646">
        <f>IF(A1646="","",$B$1-MAXIFS(Donasi!$A$2:$A$20000,Donasi!$B$2:$B$20000,A1646))</f>
        <v/>
      </c>
      <c r="C1646">
        <f>IF(A1646="","",COUNTIF(Donasi!$B$2:$B$20000,A1646))</f>
        <v/>
      </c>
      <c r="D1646">
        <f>IF(A1646="","",SUMIF(Donasi!$B$2:$B$20000,A1646,Donasi!$C$2:$C$20000))</f>
        <v/>
      </c>
      <c r="E1646">
        <f>IF(A1646="","",6-CEILING(PERCENTRANK.INC($B$3:$B$6000,B1646,4)*5+0.000001,1))</f>
        <v/>
      </c>
      <c r="F1646">
        <f>IF(A1646="","",MAX(1,CEILING(PERCENTRANK.INC($C$3:$C$6000,C1646,4)*5+0.000001,1)))</f>
        <v/>
      </c>
      <c r="G1646">
        <f>IF(A1646="","",MAX(1,CEILING(PERCENTRANK.INC($D$3:$D$6000,D1646,4)*5+0.000001,1)))</f>
        <v/>
      </c>
      <c r="H1646">
        <f>IF(A1646="","",E1646&amp;F1646&amp;G1646)</f>
        <v/>
      </c>
      <c r="I1646">
        <f>IF(A1646="","",IF(AND(E1646&gt;=4,F1646&gt;=4,G1646&gt;=4),"Juara",IF(AND(F1646&gt;=4,E1646&gt;=3),"Setia",IF(AND(E1646=5,F1646&lt;=2,G1646&gt;=3),"Berpotensi",IF(AND(E1646&lt;=3,E1646&gt;=2,F1646&gt;=3),"Rawan",IF(AND(E1646&lt;=2,F1646&lt;=2),"Tidur","Umum"))))))</f>
        <v/>
      </c>
    </row>
    <row r="1647">
      <c r="B1647">
        <f>IF(A1647="","",$B$1-MAXIFS(Donasi!$A$2:$A$20000,Donasi!$B$2:$B$20000,A1647))</f>
        <v/>
      </c>
      <c r="C1647">
        <f>IF(A1647="","",COUNTIF(Donasi!$B$2:$B$20000,A1647))</f>
        <v/>
      </c>
      <c r="D1647">
        <f>IF(A1647="","",SUMIF(Donasi!$B$2:$B$20000,A1647,Donasi!$C$2:$C$20000))</f>
        <v/>
      </c>
      <c r="E1647">
        <f>IF(A1647="","",6-CEILING(PERCENTRANK.INC($B$3:$B$6000,B1647,4)*5+0.000001,1))</f>
        <v/>
      </c>
      <c r="F1647">
        <f>IF(A1647="","",MAX(1,CEILING(PERCENTRANK.INC($C$3:$C$6000,C1647,4)*5+0.000001,1)))</f>
        <v/>
      </c>
      <c r="G1647">
        <f>IF(A1647="","",MAX(1,CEILING(PERCENTRANK.INC($D$3:$D$6000,D1647,4)*5+0.000001,1)))</f>
        <v/>
      </c>
      <c r="H1647">
        <f>IF(A1647="","",E1647&amp;F1647&amp;G1647)</f>
        <v/>
      </c>
      <c r="I1647">
        <f>IF(A1647="","",IF(AND(E1647&gt;=4,F1647&gt;=4,G1647&gt;=4),"Juara",IF(AND(F1647&gt;=4,E1647&gt;=3),"Setia",IF(AND(E1647=5,F1647&lt;=2,G1647&gt;=3),"Berpotensi",IF(AND(E1647&lt;=3,E1647&gt;=2,F1647&gt;=3),"Rawan",IF(AND(E1647&lt;=2,F1647&lt;=2),"Tidur","Umum"))))))</f>
        <v/>
      </c>
    </row>
    <row r="1648">
      <c r="B1648">
        <f>IF(A1648="","",$B$1-MAXIFS(Donasi!$A$2:$A$20000,Donasi!$B$2:$B$20000,A1648))</f>
        <v/>
      </c>
      <c r="C1648">
        <f>IF(A1648="","",COUNTIF(Donasi!$B$2:$B$20000,A1648))</f>
        <v/>
      </c>
      <c r="D1648">
        <f>IF(A1648="","",SUMIF(Donasi!$B$2:$B$20000,A1648,Donasi!$C$2:$C$20000))</f>
        <v/>
      </c>
      <c r="E1648">
        <f>IF(A1648="","",6-CEILING(PERCENTRANK.INC($B$3:$B$6000,B1648,4)*5+0.000001,1))</f>
        <v/>
      </c>
      <c r="F1648">
        <f>IF(A1648="","",MAX(1,CEILING(PERCENTRANK.INC($C$3:$C$6000,C1648,4)*5+0.000001,1)))</f>
        <v/>
      </c>
      <c r="G1648">
        <f>IF(A1648="","",MAX(1,CEILING(PERCENTRANK.INC($D$3:$D$6000,D1648,4)*5+0.000001,1)))</f>
        <v/>
      </c>
      <c r="H1648">
        <f>IF(A1648="","",E1648&amp;F1648&amp;G1648)</f>
        <v/>
      </c>
      <c r="I1648">
        <f>IF(A1648="","",IF(AND(E1648&gt;=4,F1648&gt;=4,G1648&gt;=4),"Juara",IF(AND(F1648&gt;=4,E1648&gt;=3),"Setia",IF(AND(E1648=5,F1648&lt;=2,G1648&gt;=3),"Berpotensi",IF(AND(E1648&lt;=3,E1648&gt;=2,F1648&gt;=3),"Rawan",IF(AND(E1648&lt;=2,F1648&lt;=2),"Tidur","Umum"))))))</f>
        <v/>
      </c>
    </row>
    <row r="1649">
      <c r="B1649">
        <f>IF(A1649="","",$B$1-MAXIFS(Donasi!$A$2:$A$20000,Donasi!$B$2:$B$20000,A1649))</f>
        <v/>
      </c>
      <c r="C1649">
        <f>IF(A1649="","",COUNTIF(Donasi!$B$2:$B$20000,A1649))</f>
        <v/>
      </c>
      <c r="D1649">
        <f>IF(A1649="","",SUMIF(Donasi!$B$2:$B$20000,A1649,Donasi!$C$2:$C$20000))</f>
        <v/>
      </c>
      <c r="E1649">
        <f>IF(A1649="","",6-CEILING(PERCENTRANK.INC($B$3:$B$6000,B1649,4)*5+0.000001,1))</f>
        <v/>
      </c>
      <c r="F1649">
        <f>IF(A1649="","",MAX(1,CEILING(PERCENTRANK.INC($C$3:$C$6000,C1649,4)*5+0.000001,1)))</f>
        <v/>
      </c>
      <c r="G1649">
        <f>IF(A1649="","",MAX(1,CEILING(PERCENTRANK.INC($D$3:$D$6000,D1649,4)*5+0.000001,1)))</f>
        <v/>
      </c>
      <c r="H1649">
        <f>IF(A1649="","",E1649&amp;F1649&amp;G1649)</f>
        <v/>
      </c>
      <c r="I1649">
        <f>IF(A1649="","",IF(AND(E1649&gt;=4,F1649&gt;=4,G1649&gt;=4),"Juara",IF(AND(F1649&gt;=4,E1649&gt;=3),"Setia",IF(AND(E1649=5,F1649&lt;=2,G1649&gt;=3),"Berpotensi",IF(AND(E1649&lt;=3,E1649&gt;=2,F1649&gt;=3),"Rawan",IF(AND(E1649&lt;=2,F1649&lt;=2),"Tidur","Umum"))))))</f>
        <v/>
      </c>
    </row>
    <row r="1650">
      <c r="B1650">
        <f>IF(A1650="","",$B$1-MAXIFS(Donasi!$A$2:$A$20000,Donasi!$B$2:$B$20000,A1650))</f>
        <v/>
      </c>
      <c r="C1650">
        <f>IF(A1650="","",COUNTIF(Donasi!$B$2:$B$20000,A1650))</f>
        <v/>
      </c>
      <c r="D1650">
        <f>IF(A1650="","",SUMIF(Donasi!$B$2:$B$20000,A1650,Donasi!$C$2:$C$20000))</f>
        <v/>
      </c>
      <c r="E1650">
        <f>IF(A1650="","",6-CEILING(PERCENTRANK.INC($B$3:$B$6000,B1650,4)*5+0.000001,1))</f>
        <v/>
      </c>
      <c r="F1650">
        <f>IF(A1650="","",MAX(1,CEILING(PERCENTRANK.INC($C$3:$C$6000,C1650,4)*5+0.000001,1)))</f>
        <v/>
      </c>
      <c r="G1650">
        <f>IF(A1650="","",MAX(1,CEILING(PERCENTRANK.INC($D$3:$D$6000,D1650,4)*5+0.000001,1)))</f>
        <v/>
      </c>
      <c r="H1650">
        <f>IF(A1650="","",E1650&amp;F1650&amp;G1650)</f>
        <v/>
      </c>
      <c r="I1650">
        <f>IF(A1650="","",IF(AND(E1650&gt;=4,F1650&gt;=4,G1650&gt;=4),"Juara",IF(AND(F1650&gt;=4,E1650&gt;=3),"Setia",IF(AND(E1650=5,F1650&lt;=2,G1650&gt;=3),"Berpotensi",IF(AND(E1650&lt;=3,E1650&gt;=2,F1650&gt;=3),"Rawan",IF(AND(E1650&lt;=2,F1650&lt;=2),"Tidur","Umum"))))))</f>
        <v/>
      </c>
    </row>
    <row r="1651">
      <c r="B1651">
        <f>IF(A1651="","",$B$1-MAXIFS(Donasi!$A$2:$A$20000,Donasi!$B$2:$B$20000,A1651))</f>
        <v/>
      </c>
      <c r="C1651">
        <f>IF(A1651="","",COUNTIF(Donasi!$B$2:$B$20000,A1651))</f>
        <v/>
      </c>
      <c r="D1651">
        <f>IF(A1651="","",SUMIF(Donasi!$B$2:$B$20000,A1651,Donasi!$C$2:$C$20000))</f>
        <v/>
      </c>
      <c r="E1651">
        <f>IF(A1651="","",6-CEILING(PERCENTRANK.INC($B$3:$B$6000,B1651,4)*5+0.000001,1))</f>
        <v/>
      </c>
      <c r="F1651">
        <f>IF(A1651="","",MAX(1,CEILING(PERCENTRANK.INC($C$3:$C$6000,C1651,4)*5+0.000001,1)))</f>
        <v/>
      </c>
      <c r="G1651">
        <f>IF(A1651="","",MAX(1,CEILING(PERCENTRANK.INC($D$3:$D$6000,D1651,4)*5+0.000001,1)))</f>
        <v/>
      </c>
      <c r="H1651">
        <f>IF(A1651="","",E1651&amp;F1651&amp;G1651)</f>
        <v/>
      </c>
      <c r="I1651">
        <f>IF(A1651="","",IF(AND(E1651&gt;=4,F1651&gt;=4,G1651&gt;=4),"Juara",IF(AND(F1651&gt;=4,E1651&gt;=3),"Setia",IF(AND(E1651=5,F1651&lt;=2,G1651&gt;=3),"Berpotensi",IF(AND(E1651&lt;=3,E1651&gt;=2,F1651&gt;=3),"Rawan",IF(AND(E1651&lt;=2,F1651&lt;=2),"Tidur","Umum"))))))</f>
        <v/>
      </c>
    </row>
    <row r="1652">
      <c r="B1652">
        <f>IF(A1652="","",$B$1-MAXIFS(Donasi!$A$2:$A$20000,Donasi!$B$2:$B$20000,A1652))</f>
        <v/>
      </c>
      <c r="C1652">
        <f>IF(A1652="","",COUNTIF(Donasi!$B$2:$B$20000,A1652))</f>
        <v/>
      </c>
      <c r="D1652">
        <f>IF(A1652="","",SUMIF(Donasi!$B$2:$B$20000,A1652,Donasi!$C$2:$C$20000))</f>
        <v/>
      </c>
      <c r="E1652">
        <f>IF(A1652="","",6-CEILING(PERCENTRANK.INC($B$3:$B$6000,B1652,4)*5+0.000001,1))</f>
        <v/>
      </c>
      <c r="F1652">
        <f>IF(A1652="","",MAX(1,CEILING(PERCENTRANK.INC($C$3:$C$6000,C1652,4)*5+0.000001,1)))</f>
        <v/>
      </c>
      <c r="G1652">
        <f>IF(A1652="","",MAX(1,CEILING(PERCENTRANK.INC($D$3:$D$6000,D1652,4)*5+0.000001,1)))</f>
        <v/>
      </c>
      <c r="H1652">
        <f>IF(A1652="","",E1652&amp;F1652&amp;G1652)</f>
        <v/>
      </c>
      <c r="I1652">
        <f>IF(A1652="","",IF(AND(E1652&gt;=4,F1652&gt;=4,G1652&gt;=4),"Juara",IF(AND(F1652&gt;=4,E1652&gt;=3),"Setia",IF(AND(E1652=5,F1652&lt;=2,G1652&gt;=3),"Berpotensi",IF(AND(E1652&lt;=3,E1652&gt;=2,F1652&gt;=3),"Rawan",IF(AND(E1652&lt;=2,F1652&lt;=2),"Tidur","Umum"))))))</f>
        <v/>
      </c>
    </row>
    <row r="1653">
      <c r="B1653">
        <f>IF(A1653="","",$B$1-MAXIFS(Donasi!$A$2:$A$20000,Donasi!$B$2:$B$20000,A1653))</f>
        <v/>
      </c>
      <c r="C1653">
        <f>IF(A1653="","",COUNTIF(Donasi!$B$2:$B$20000,A1653))</f>
        <v/>
      </c>
      <c r="D1653">
        <f>IF(A1653="","",SUMIF(Donasi!$B$2:$B$20000,A1653,Donasi!$C$2:$C$20000))</f>
        <v/>
      </c>
      <c r="E1653">
        <f>IF(A1653="","",6-CEILING(PERCENTRANK.INC($B$3:$B$6000,B1653,4)*5+0.000001,1))</f>
        <v/>
      </c>
      <c r="F1653">
        <f>IF(A1653="","",MAX(1,CEILING(PERCENTRANK.INC($C$3:$C$6000,C1653,4)*5+0.000001,1)))</f>
        <v/>
      </c>
      <c r="G1653">
        <f>IF(A1653="","",MAX(1,CEILING(PERCENTRANK.INC($D$3:$D$6000,D1653,4)*5+0.000001,1)))</f>
        <v/>
      </c>
      <c r="H1653">
        <f>IF(A1653="","",E1653&amp;F1653&amp;G1653)</f>
        <v/>
      </c>
      <c r="I1653">
        <f>IF(A1653="","",IF(AND(E1653&gt;=4,F1653&gt;=4,G1653&gt;=4),"Juara",IF(AND(F1653&gt;=4,E1653&gt;=3),"Setia",IF(AND(E1653=5,F1653&lt;=2,G1653&gt;=3),"Berpotensi",IF(AND(E1653&lt;=3,E1653&gt;=2,F1653&gt;=3),"Rawan",IF(AND(E1653&lt;=2,F1653&lt;=2),"Tidur","Umum"))))))</f>
        <v/>
      </c>
    </row>
    <row r="1654">
      <c r="B1654">
        <f>IF(A1654="","",$B$1-MAXIFS(Donasi!$A$2:$A$20000,Donasi!$B$2:$B$20000,A1654))</f>
        <v/>
      </c>
      <c r="C1654">
        <f>IF(A1654="","",COUNTIF(Donasi!$B$2:$B$20000,A1654))</f>
        <v/>
      </c>
      <c r="D1654">
        <f>IF(A1654="","",SUMIF(Donasi!$B$2:$B$20000,A1654,Donasi!$C$2:$C$20000))</f>
        <v/>
      </c>
      <c r="E1654">
        <f>IF(A1654="","",6-CEILING(PERCENTRANK.INC($B$3:$B$6000,B1654,4)*5+0.000001,1))</f>
        <v/>
      </c>
      <c r="F1654">
        <f>IF(A1654="","",MAX(1,CEILING(PERCENTRANK.INC($C$3:$C$6000,C1654,4)*5+0.000001,1)))</f>
        <v/>
      </c>
      <c r="G1654">
        <f>IF(A1654="","",MAX(1,CEILING(PERCENTRANK.INC($D$3:$D$6000,D1654,4)*5+0.000001,1)))</f>
        <v/>
      </c>
      <c r="H1654">
        <f>IF(A1654="","",E1654&amp;F1654&amp;G1654)</f>
        <v/>
      </c>
      <c r="I1654">
        <f>IF(A1654="","",IF(AND(E1654&gt;=4,F1654&gt;=4,G1654&gt;=4),"Juara",IF(AND(F1654&gt;=4,E1654&gt;=3),"Setia",IF(AND(E1654=5,F1654&lt;=2,G1654&gt;=3),"Berpotensi",IF(AND(E1654&lt;=3,E1654&gt;=2,F1654&gt;=3),"Rawan",IF(AND(E1654&lt;=2,F1654&lt;=2),"Tidur","Umum"))))))</f>
        <v/>
      </c>
    </row>
    <row r="1655">
      <c r="B1655">
        <f>IF(A1655="","",$B$1-MAXIFS(Donasi!$A$2:$A$20000,Donasi!$B$2:$B$20000,A1655))</f>
        <v/>
      </c>
      <c r="C1655">
        <f>IF(A1655="","",COUNTIF(Donasi!$B$2:$B$20000,A1655))</f>
        <v/>
      </c>
      <c r="D1655">
        <f>IF(A1655="","",SUMIF(Donasi!$B$2:$B$20000,A1655,Donasi!$C$2:$C$20000))</f>
        <v/>
      </c>
      <c r="E1655">
        <f>IF(A1655="","",6-CEILING(PERCENTRANK.INC($B$3:$B$6000,B1655,4)*5+0.000001,1))</f>
        <v/>
      </c>
      <c r="F1655">
        <f>IF(A1655="","",MAX(1,CEILING(PERCENTRANK.INC($C$3:$C$6000,C1655,4)*5+0.000001,1)))</f>
        <v/>
      </c>
      <c r="G1655">
        <f>IF(A1655="","",MAX(1,CEILING(PERCENTRANK.INC($D$3:$D$6000,D1655,4)*5+0.000001,1)))</f>
        <v/>
      </c>
      <c r="H1655">
        <f>IF(A1655="","",E1655&amp;F1655&amp;G1655)</f>
        <v/>
      </c>
      <c r="I1655">
        <f>IF(A1655="","",IF(AND(E1655&gt;=4,F1655&gt;=4,G1655&gt;=4),"Juara",IF(AND(F1655&gt;=4,E1655&gt;=3),"Setia",IF(AND(E1655=5,F1655&lt;=2,G1655&gt;=3),"Berpotensi",IF(AND(E1655&lt;=3,E1655&gt;=2,F1655&gt;=3),"Rawan",IF(AND(E1655&lt;=2,F1655&lt;=2),"Tidur","Umum"))))))</f>
        <v/>
      </c>
    </row>
    <row r="1656">
      <c r="B1656">
        <f>IF(A1656="","",$B$1-MAXIFS(Donasi!$A$2:$A$20000,Donasi!$B$2:$B$20000,A1656))</f>
        <v/>
      </c>
      <c r="C1656">
        <f>IF(A1656="","",COUNTIF(Donasi!$B$2:$B$20000,A1656))</f>
        <v/>
      </c>
      <c r="D1656">
        <f>IF(A1656="","",SUMIF(Donasi!$B$2:$B$20000,A1656,Donasi!$C$2:$C$20000))</f>
        <v/>
      </c>
      <c r="E1656">
        <f>IF(A1656="","",6-CEILING(PERCENTRANK.INC($B$3:$B$6000,B1656,4)*5+0.000001,1))</f>
        <v/>
      </c>
      <c r="F1656">
        <f>IF(A1656="","",MAX(1,CEILING(PERCENTRANK.INC($C$3:$C$6000,C1656,4)*5+0.000001,1)))</f>
        <v/>
      </c>
      <c r="G1656">
        <f>IF(A1656="","",MAX(1,CEILING(PERCENTRANK.INC($D$3:$D$6000,D1656,4)*5+0.000001,1)))</f>
        <v/>
      </c>
      <c r="H1656">
        <f>IF(A1656="","",E1656&amp;F1656&amp;G1656)</f>
        <v/>
      </c>
      <c r="I1656">
        <f>IF(A1656="","",IF(AND(E1656&gt;=4,F1656&gt;=4,G1656&gt;=4),"Juara",IF(AND(F1656&gt;=4,E1656&gt;=3),"Setia",IF(AND(E1656=5,F1656&lt;=2,G1656&gt;=3),"Berpotensi",IF(AND(E1656&lt;=3,E1656&gt;=2,F1656&gt;=3),"Rawan",IF(AND(E1656&lt;=2,F1656&lt;=2),"Tidur","Umum"))))))</f>
        <v/>
      </c>
    </row>
    <row r="1657">
      <c r="B1657">
        <f>IF(A1657="","",$B$1-MAXIFS(Donasi!$A$2:$A$20000,Donasi!$B$2:$B$20000,A1657))</f>
        <v/>
      </c>
      <c r="C1657">
        <f>IF(A1657="","",COUNTIF(Donasi!$B$2:$B$20000,A1657))</f>
        <v/>
      </c>
      <c r="D1657">
        <f>IF(A1657="","",SUMIF(Donasi!$B$2:$B$20000,A1657,Donasi!$C$2:$C$20000))</f>
        <v/>
      </c>
      <c r="E1657">
        <f>IF(A1657="","",6-CEILING(PERCENTRANK.INC($B$3:$B$6000,B1657,4)*5+0.000001,1))</f>
        <v/>
      </c>
      <c r="F1657">
        <f>IF(A1657="","",MAX(1,CEILING(PERCENTRANK.INC($C$3:$C$6000,C1657,4)*5+0.000001,1)))</f>
        <v/>
      </c>
      <c r="G1657">
        <f>IF(A1657="","",MAX(1,CEILING(PERCENTRANK.INC($D$3:$D$6000,D1657,4)*5+0.000001,1)))</f>
        <v/>
      </c>
      <c r="H1657">
        <f>IF(A1657="","",E1657&amp;F1657&amp;G1657)</f>
        <v/>
      </c>
      <c r="I1657">
        <f>IF(A1657="","",IF(AND(E1657&gt;=4,F1657&gt;=4,G1657&gt;=4),"Juara",IF(AND(F1657&gt;=4,E1657&gt;=3),"Setia",IF(AND(E1657=5,F1657&lt;=2,G1657&gt;=3),"Berpotensi",IF(AND(E1657&lt;=3,E1657&gt;=2,F1657&gt;=3),"Rawan",IF(AND(E1657&lt;=2,F1657&lt;=2),"Tidur","Umum"))))))</f>
        <v/>
      </c>
    </row>
    <row r="1658">
      <c r="B1658">
        <f>IF(A1658="","",$B$1-MAXIFS(Donasi!$A$2:$A$20000,Donasi!$B$2:$B$20000,A1658))</f>
        <v/>
      </c>
      <c r="C1658">
        <f>IF(A1658="","",COUNTIF(Donasi!$B$2:$B$20000,A1658))</f>
        <v/>
      </c>
      <c r="D1658">
        <f>IF(A1658="","",SUMIF(Donasi!$B$2:$B$20000,A1658,Donasi!$C$2:$C$20000))</f>
        <v/>
      </c>
      <c r="E1658">
        <f>IF(A1658="","",6-CEILING(PERCENTRANK.INC($B$3:$B$6000,B1658,4)*5+0.000001,1))</f>
        <v/>
      </c>
      <c r="F1658">
        <f>IF(A1658="","",MAX(1,CEILING(PERCENTRANK.INC($C$3:$C$6000,C1658,4)*5+0.000001,1)))</f>
        <v/>
      </c>
      <c r="G1658">
        <f>IF(A1658="","",MAX(1,CEILING(PERCENTRANK.INC($D$3:$D$6000,D1658,4)*5+0.000001,1)))</f>
        <v/>
      </c>
      <c r="H1658">
        <f>IF(A1658="","",E1658&amp;F1658&amp;G1658)</f>
        <v/>
      </c>
      <c r="I1658">
        <f>IF(A1658="","",IF(AND(E1658&gt;=4,F1658&gt;=4,G1658&gt;=4),"Juara",IF(AND(F1658&gt;=4,E1658&gt;=3),"Setia",IF(AND(E1658=5,F1658&lt;=2,G1658&gt;=3),"Berpotensi",IF(AND(E1658&lt;=3,E1658&gt;=2,F1658&gt;=3),"Rawan",IF(AND(E1658&lt;=2,F1658&lt;=2),"Tidur","Umum"))))))</f>
        <v/>
      </c>
    </row>
    <row r="1659">
      <c r="B1659">
        <f>IF(A1659="","",$B$1-MAXIFS(Donasi!$A$2:$A$20000,Donasi!$B$2:$B$20000,A1659))</f>
        <v/>
      </c>
      <c r="C1659">
        <f>IF(A1659="","",COUNTIF(Donasi!$B$2:$B$20000,A1659))</f>
        <v/>
      </c>
      <c r="D1659">
        <f>IF(A1659="","",SUMIF(Donasi!$B$2:$B$20000,A1659,Donasi!$C$2:$C$20000))</f>
        <v/>
      </c>
      <c r="E1659">
        <f>IF(A1659="","",6-CEILING(PERCENTRANK.INC($B$3:$B$6000,B1659,4)*5+0.000001,1))</f>
        <v/>
      </c>
      <c r="F1659">
        <f>IF(A1659="","",MAX(1,CEILING(PERCENTRANK.INC($C$3:$C$6000,C1659,4)*5+0.000001,1)))</f>
        <v/>
      </c>
      <c r="G1659">
        <f>IF(A1659="","",MAX(1,CEILING(PERCENTRANK.INC($D$3:$D$6000,D1659,4)*5+0.000001,1)))</f>
        <v/>
      </c>
      <c r="H1659">
        <f>IF(A1659="","",E1659&amp;F1659&amp;G1659)</f>
        <v/>
      </c>
      <c r="I1659">
        <f>IF(A1659="","",IF(AND(E1659&gt;=4,F1659&gt;=4,G1659&gt;=4),"Juara",IF(AND(F1659&gt;=4,E1659&gt;=3),"Setia",IF(AND(E1659=5,F1659&lt;=2,G1659&gt;=3),"Berpotensi",IF(AND(E1659&lt;=3,E1659&gt;=2,F1659&gt;=3),"Rawan",IF(AND(E1659&lt;=2,F1659&lt;=2),"Tidur","Umum"))))))</f>
        <v/>
      </c>
    </row>
    <row r="1660">
      <c r="B1660">
        <f>IF(A1660="","",$B$1-MAXIFS(Donasi!$A$2:$A$20000,Donasi!$B$2:$B$20000,A1660))</f>
        <v/>
      </c>
      <c r="C1660">
        <f>IF(A1660="","",COUNTIF(Donasi!$B$2:$B$20000,A1660))</f>
        <v/>
      </c>
      <c r="D1660">
        <f>IF(A1660="","",SUMIF(Donasi!$B$2:$B$20000,A1660,Donasi!$C$2:$C$20000))</f>
        <v/>
      </c>
      <c r="E1660">
        <f>IF(A1660="","",6-CEILING(PERCENTRANK.INC($B$3:$B$6000,B1660,4)*5+0.000001,1))</f>
        <v/>
      </c>
      <c r="F1660">
        <f>IF(A1660="","",MAX(1,CEILING(PERCENTRANK.INC($C$3:$C$6000,C1660,4)*5+0.000001,1)))</f>
        <v/>
      </c>
      <c r="G1660">
        <f>IF(A1660="","",MAX(1,CEILING(PERCENTRANK.INC($D$3:$D$6000,D1660,4)*5+0.000001,1)))</f>
        <v/>
      </c>
      <c r="H1660">
        <f>IF(A1660="","",E1660&amp;F1660&amp;G1660)</f>
        <v/>
      </c>
      <c r="I1660">
        <f>IF(A1660="","",IF(AND(E1660&gt;=4,F1660&gt;=4,G1660&gt;=4),"Juara",IF(AND(F1660&gt;=4,E1660&gt;=3),"Setia",IF(AND(E1660=5,F1660&lt;=2,G1660&gt;=3),"Berpotensi",IF(AND(E1660&lt;=3,E1660&gt;=2,F1660&gt;=3),"Rawan",IF(AND(E1660&lt;=2,F1660&lt;=2),"Tidur","Umum"))))))</f>
        <v/>
      </c>
    </row>
    <row r="1661">
      <c r="B1661">
        <f>IF(A1661="","",$B$1-MAXIFS(Donasi!$A$2:$A$20000,Donasi!$B$2:$B$20000,A1661))</f>
        <v/>
      </c>
      <c r="C1661">
        <f>IF(A1661="","",COUNTIF(Donasi!$B$2:$B$20000,A1661))</f>
        <v/>
      </c>
      <c r="D1661">
        <f>IF(A1661="","",SUMIF(Donasi!$B$2:$B$20000,A1661,Donasi!$C$2:$C$20000))</f>
        <v/>
      </c>
      <c r="E1661">
        <f>IF(A1661="","",6-CEILING(PERCENTRANK.INC($B$3:$B$6000,B1661,4)*5+0.000001,1))</f>
        <v/>
      </c>
      <c r="F1661">
        <f>IF(A1661="","",MAX(1,CEILING(PERCENTRANK.INC($C$3:$C$6000,C1661,4)*5+0.000001,1)))</f>
        <v/>
      </c>
      <c r="G1661">
        <f>IF(A1661="","",MAX(1,CEILING(PERCENTRANK.INC($D$3:$D$6000,D1661,4)*5+0.000001,1)))</f>
        <v/>
      </c>
      <c r="H1661">
        <f>IF(A1661="","",E1661&amp;F1661&amp;G1661)</f>
        <v/>
      </c>
      <c r="I1661">
        <f>IF(A1661="","",IF(AND(E1661&gt;=4,F1661&gt;=4,G1661&gt;=4),"Juara",IF(AND(F1661&gt;=4,E1661&gt;=3),"Setia",IF(AND(E1661=5,F1661&lt;=2,G1661&gt;=3),"Berpotensi",IF(AND(E1661&lt;=3,E1661&gt;=2,F1661&gt;=3),"Rawan",IF(AND(E1661&lt;=2,F1661&lt;=2),"Tidur","Umum"))))))</f>
        <v/>
      </c>
    </row>
    <row r="1662">
      <c r="B1662">
        <f>IF(A1662="","",$B$1-MAXIFS(Donasi!$A$2:$A$20000,Donasi!$B$2:$B$20000,A1662))</f>
        <v/>
      </c>
      <c r="C1662">
        <f>IF(A1662="","",COUNTIF(Donasi!$B$2:$B$20000,A1662))</f>
        <v/>
      </c>
      <c r="D1662">
        <f>IF(A1662="","",SUMIF(Donasi!$B$2:$B$20000,A1662,Donasi!$C$2:$C$20000))</f>
        <v/>
      </c>
      <c r="E1662">
        <f>IF(A1662="","",6-CEILING(PERCENTRANK.INC($B$3:$B$6000,B1662,4)*5+0.000001,1))</f>
        <v/>
      </c>
      <c r="F1662">
        <f>IF(A1662="","",MAX(1,CEILING(PERCENTRANK.INC($C$3:$C$6000,C1662,4)*5+0.000001,1)))</f>
        <v/>
      </c>
      <c r="G1662">
        <f>IF(A1662="","",MAX(1,CEILING(PERCENTRANK.INC($D$3:$D$6000,D1662,4)*5+0.000001,1)))</f>
        <v/>
      </c>
      <c r="H1662">
        <f>IF(A1662="","",E1662&amp;F1662&amp;G1662)</f>
        <v/>
      </c>
      <c r="I1662">
        <f>IF(A1662="","",IF(AND(E1662&gt;=4,F1662&gt;=4,G1662&gt;=4),"Juara",IF(AND(F1662&gt;=4,E1662&gt;=3),"Setia",IF(AND(E1662=5,F1662&lt;=2,G1662&gt;=3),"Berpotensi",IF(AND(E1662&lt;=3,E1662&gt;=2,F1662&gt;=3),"Rawan",IF(AND(E1662&lt;=2,F1662&lt;=2),"Tidur","Umum"))))))</f>
        <v/>
      </c>
    </row>
    <row r="1663">
      <c r="B1663">
        <f>IF(A1663="","",$B$1-MAXIFS(Donasi!$A$2:$A$20000,Donasi!$B$2:$B$20000,A1663))</f>
        <v/>
      </c>
      <c r="C1663">
        <f>IF(A1663="","",COUNTIF(Donasi!$B$2:$B$20000,A1663))</f>
        <v/>
      </c>
      <c r="D1663">
        <f>IF(A1663="","",SUMIF(Donasi!$B$2:$B$20000,A1663,Donasi!$C$2:$C$20000))</f>
        <v/>
      </c>
      <c r="E1663">
        <f>IF(A1663="","",6-CEILING(PERCENTRANK.INC($B$3:$B$6000,B1663,4)*5+0.000001,1))</f>
        <v/>
      </c>
      <c r="F1663">
        <f>IF(A1663="","",MAX(1,CEILING(PERCENTRANK.INC($C$3:$C$6000,C1663,4)*5+0.000001,1)))</f>
        <v/>
      </c>
      <c r="G1663">
        <f>IF(A1663="","",MAX(1,CEILING(PERCENTRANK.INC($D$3:$D$6000,D1663,4)*5+0.000001,1)))</f>
        <v/>
      </c>
      <c r="H1663">
        <f>IF(A1663="","",E1663&amp;F1663&amp;G1663)</f>
        <v/>
      </c>
      <c r="I1663">
        <f>IF(A1663="","",IF(AND(E1663&gt;=4,F1663&gt;=4,G1663&gt;=4),"Juara",IF(AND(F1663&gt;=4,E1663&gt;=3),"Setia",IF(AND(E1663=5,F1663&lt;=2,G1663&gt;=3),"Berpotensi",IF(AND(E1663&lt;=3,E1663&gt;=2,F1663&gt;=3),"Rawan",IF(AND(E1663&lt;=2,F1663&lt;=2),"Tidur","Umum"))))))</f>
        <v/>
      </c>
    </row>
    <row r="1664">
      <c r="B1664">
        <f>IF(A1664="","",$B$1-MAXIFS(Donasi!$A$2:$A$20000,Donasi!$B$2:$B$20000,A1664))</f>
        <v/>
      </c>
      <c r="C1664">
        <f>IF(A1664="","",COUNTIF(Donasi!$B$2:$B$20000,A1664))</f>
        <v/>
      </c>
      <c r="D1664">
        <f>IF(A1664="","",SUMIF(Donasi!$B$2:$B$20000,A1664,Donasi!$C$2:$C$20000))</f>
        <v/>
      </c>
      <c r="E1664">
        <f>IF(A1664="","",6-CEILING(PERCENTRANK.INC($B$3:$B$6000,B1664,4)*5+0.000001,1))</f>
        <v/>
      </c>
      <c r="F1664">
        <f>IF(A1664="","",MAX(1,CEILING(PERCENTRANK.INC($C$3:$C$6000,C1664,4)*5+0.000001,1)))</f>
        <v/>
      </c>
      <c r="G1664">
        <f>IF(A1664="","",MAX(1,CEILING(PERCENTRANK.INC($D$3:$D$6000,D1664,4)*5+0.000001,1)))</f>
        <v/>
      </c>
      <c r="H1664">
        <f>IF(A1664="","",E1664&amp;F1664&amp;G1664)</f>
        <v/>
      </c>
      <c r="I1664">
        <f>IF(A1664="","",IF(AND(E1664&gt;=4,F1664&gt;=4,G1664&gt;=4),"Juara",IF(AND(F1664&gt;=4,E1664&gt;=3),"Setia",IF(AND(E1664=5,F1664&lt;=2,G1664&gt;=3),"Berpotensi",IF(AND(E1664&lt;=3,E1664&gt;=2,F1664&gt;=3),"Rawan",IF(AND(E1664&lt;=2,F1664&lt;=2),"Tidur","Umum"))))))</f>
        <v/>
      </c>
    </row>
    <row r="1665">
      <c r="B1665">
        <f>IF(A1665="","",$B$1-MAXIFS(Donasi!$A$2:$A$20000,Donasi!$B$2:$B$20000,A1665))</f>
        <v/>
      </c>
      <c r="C1665">
        <f>IF(A1665="","",COUNTIF(Donasi!$B$2:$B$20000,A1665))</f>
        <v/>
      </c>
      <c r="D1665">
        <f>IF(A1665="","",SUMIF(Donasi!$B$2:$B$20000,A1665,Donasi!$C$2:$C$20000))</f>
        <v/>
      </c>
      <c r="E1665">
        <f>IF(A1665="","",6-CEILING(PERCENTRANK.INC($B$3:$B$6000,B1665,4)*5+0.000001,1))</f>
        <v/>
      </c>
      <c r="F1665">
        <f>IF(A1665="","",MAX(1,CEILING(PERCENTRANK.INC($C$3:$C$6000,C1665,4)*5+0.000001,1)))</f>
        <v/>
      </c>
      <c r="G1665">
        <f>IF(A1665="","",MAX(1,CEILING(PERCENTRANK.INC($D$3:$D$6000,D1665,4)*5+0.000001,1)))</f>
        <v/>
      </c>
      <c r="H1665">
        <f>IF(A1665="","",E1665&amp;F1665&amp;G1665)</f>
        <v/>
      </c>
      <c r="I1665">
        <f>IF(A1665="","",IF(AND(E1665&gt;=4,F1665&gt;=4,G1665&gt;=4),"Juara",IF(AND(F1665&gt;=4,E1665&gt;=3),"Setia",IF(AND(E1665=5,F1665&lt;=2,G1665&gt;=3),"Berpotensi",IF(AND(E1665&lt;=3,E1665&gt;=2,F1665&gt;=3),"Rawan",IF(AND(E1665&lt;=2,F1665&lt;=2),"Tidur","Umum"))))))</f>
        <v/>
      </c>
    </row>
    <row r="1666">
      <c r="B1666">
        <f>IF(A1666="","",$B$1-MAXIFS(Donasi!$A$2:$A$20000,Donasi!$B$2:$B$20000,A1666))</f>
        <v/>
      </c>
      <c r="C1666">
        <f>IF(A1666="","",COUNTIF(Donasi!$B$2:$B$20000,A1666))</f>
        <v/>
      </c>
      <c r="D1666">
        <f>IF(A1666="","",SUMIF(Donasi!$B$2:$B$20000,A1666,Donasi!$C$2:$C$20000))</f>
        <v/>
      </c>
      <c r="E1666">
        <f>IF(A1666="","",6-CEILING(PERCENTRANK.INC($B$3:$B$6000,B1666,4)*5+0.000001,1))</f>
        <v/>
      </c>
      <c r="F1666">
        <f>IF(A1666="","",MAX(1,CEILING(PERCENTRANK.INC($C$3:$C$6000,C1666,4)*5+0.000001,1)))</f>
        <v/>
      </c>
      <c r="G1666">
        <f>IF(A1666="","",MAX(1,CEILING(PERCENTRANK.INC($D$3:$D$6000,D1666,4)*5+0.000001,1)))</f>
        <v/>
      </c>
      <c r="H1666">
        <f>IF(A1666="","",E1666&amp;F1666&amp;G1666)</f>
        <v/>
      </c>
      <c r="I1666">
        <f>IF(A1666="","",IF(AND(E1666&gt;=4,F1666&gt;=4,G1666&gt;=4),"Juara",IF(AND(F1666&gt;=4,E1666&gt;=3),"Setia",IF(AND(E1666=5,F1666&lt;=2,G1666&gt;=3),"Berpotensi",IF(AND(E1666&lt;=3,E1666&gt;=2,F1666&gt;=3),"Rawan",IF(AND(E1666&lt;=2,F1666&lt;=2),"Tidur","Umum"))))))</f>
        <v/>
      </c>
    </row>
    <row r="1667">
      <c r="B1667">
        <f>IF(A1667="","",$B$1-MAXIFS(Donasi!$A$2:$A$20000,Donasi!$B$2:$B$20000,A1667))</f>
        <v/>
      </c>
      <c r="C1667">
        <f>IF(A1667="","",COUNTIF(Donasi!$B$2:$B$20000,A1667))</f>
        <v/>
      </c>
      <c r="D1667">
        <f>IF(A1667="","",SUMIF(Donasi!$B$2:$B$20000,A1667,Donasi!$C$2:$C$20000))</f>
        <v/>
      </c>
      <c r="E1667">
        <f>IF(A1667="","",6-CEILING(PERCENTRANK.INC($B$3:$B$6000,B1667,4)*5+0.000001,1))</f>
        <v/>
      </c>
      <c r="F1667">
        <f>IF(A1667="","",MAX(1,CEILING(PERCENTRANK.INC($C$3:$C$6000,C1667,4)*5+0.000001,1)))</f>
        <v/>
      </c>
      <c r="G1667">
        <f>IF(A1667="","",MAX(1,CEILING(PERCENTRANK.INC($D$3:$D$6000,D1667,4)*5+0.000001,1)))</f>
        <v/>
      </c>
      <c r="H1667">
        <f>IF(A1667="","",E1667&amp;F1667&amp;G1667)</f>
        <v/>
      </c>
      <c r="I1667">
        <f>IF(A1667="","",IF(AND(E1667&gt;=4,F1667&gt;=4,G1667&gt;=4),"Juara",IF(AND(F1667&gt;=4,E1667&gt;=3),"Setia",IF(AND(E1667=5,F1667&lt;=2,G1667&gt;=3),"Berpotensi",IF(AND(E1667&lt;=3,E1667&gt;=2,F1667&gt;=3),"Rawan",IF(AND(E1667&lt;=2,F1667&lt;=2),"Tidur","Umum"))))))</f>
        <v/>
      </c>
    </row>
    <row r="1668">
      <c r="B1668">
        <f>IF(A1668="","",$B$1-MAXIFS(Donasi!$A$2:$A$20000,Donasi!$B$2:$B$20000,A1668))</f>
        <v/>
      </c>
      <c r="C1668">
        <f>IF(A1668="","",COUNTIF(Donasi!$B$2:$B$20000,A1668))</f>
        <v/>
      </c>
      <c r="D1668">
        <f>IF(A1668="","",SUMIF(Donasi!$B$2:$B$20000,A1668,Donasi!$C$2:$C$20000))</f>
        <v/>
      </c>
      <c r="E1668">
        <f>IF(A1668="","",6-CEILING(PERCENTRANK.INC($B$3:$B$6000,B1668,4)*5+0.000001,1))</f>
        <v/>
      </c>
      <c r="F1668">
        <f>IF(A1668="","",MAX(1,CEILING(PERCENTRANK.INC($C$3:$C$6000,C1668,4)*5+0.000001,1)))</f>
        <v/>
      </c>
      <c r="G1668">
        <f>IF(A1668="","",MAX(1,CEILING(PERCENTRANK.INC($D$3:$D$6000,D1668,4)*5+0.000001,1)))</f>
        <v/>
      </c>
      <c r="H1668">
        <f>IF(A1668="","",E1668&amp;F1668&amp;G1668)</f>
        <v/>
      </c>
      <c r="I1668">
        <f>IF(A1668="","",IF(AND(E1668&gt;=4,F1668&gt;=4,G1668&gt;=4),"Juara",IF(AND(F1668&gt;=4,E1668&gt;=3),"Setia",IF(AND(E1668=5,F1668&lt;=2,G1668&gt;=3),"Berpotensi",IF(AND(E1668&lt;=3,E1668&gt;=2,F1668&gt;=3),"Rawan",IF(AND(E1668&lt;=2,F1668&lt;=2),"Tidur","Umum"))))))</f>
        <v/>
      </c>
    </row>
    <row r="1669">
      <c r="B1669">
        <f>IF(A1669="","",$B$1-MAXIFS(Donasi!$A$2:$A$20000,Donasi!$B$2:$B$20000,A1669))</f>
        <v/>
      </c>
      <c r="C1669">
        <f>IF(A1669="","",COUNTIF(Donasi!$B$2:$B$20000,A1669))</f>
        <v/>
      </c>
      <c r="D1669">
        <f>IF(A1669="","",SUMIF(Donasi!$B$2:$B$20000,A1669,Donasi!$C$2:$C$20000))</f>
        <v/>
      </c>
      <c r="E1669">
        <f>IF(A1669="","",6-CEILING(PERCENTRANK.INC($B$3:$B$6000,B1669,4)*5+0.000001,1))</f>
        <v/>
      </c>
      <c r="F1669">
        <f>IF(A1669="","",MAX(1,CEILING(PERCENTRANK.INC($C$3:$C$6000,C1669,4)*5+0.000001,1)))</f>
        <v/>
      </c>
      <c r="G1669">
        <f>IF(A1669="","",MAX(1,CEILING(PERCENTRANK.INC($D$3:$D$6000,D1669,4)*5+0.000001,1)))</f>
        <v/>
      </c>
      <c r="H1669">
        <f>IF(A1669="","",E1669&amp;F1669&amp;G1669)</f>
        <v/>
      </c>
      <c r="I1669">
        <f>IF(A1669="","",IF(AND(E1669&gt;=4,F1669&gt;=4,G1669&gt;=4),"Juara",IF(AND(F1669&gt;=4,E1669&gt;=3),"Setia",IF(AND(E1669=5,F1669&lt;=2,G1669&gt;=3),"Berpotensi",IF(AND(E1669&lt;=3,E1669&gt;=2,F1669&gt;=3),"Rawan",IF(AND(E1669&lt;=2,F1669&lt;=2),"Tidur","Umum"))))))</f>
        <v/>
      </c>
    </row>
    <row r="1670">
      <c r="B1670">
        <f>IF(A1670="","",$B$1-MAXIFS(Donasi!$A$2:$A$20000,Donasi!$B$2:$B$20000,A1670))</f>
        <v/>
      </c>
      <c r="C1670">
        <f>IF(A1670="","",COUNTIF(Donasi!$B$2:$B$20000,A1670))</f>
        <v/>
      </c>
      <c r="D1670">
        <f>IF(A1670="","",SUMIF(Donasi!$B$2:$B$20000,A1670,Donasi!$C$2:$C$20000))</f>
        <v/>
      </c>
      <c r="E1670">
        <f>IF(A1670="","",6-CEILING(PERCENTRANK.INC($B$3:$B$6000,B1670,4)*5+0.000001,1))</f>
        <v/>
      </c>
      <c r="F1670">
        <f>IF(A1670="","",MAX(1,CEILING(PERCENTRANK.INC($C$3:$C$6000,C1670,4)*5+0.000001,1)))</f>
        <v/>
      </c>
      <c r="G1670">
        <f>IF(A1670="","",MAX(1,CEILING(PERCENTRANK.INC($D$3:$D$6000,D1670,4)*5+0.000001,1)))</f>
        <v/>
      </c>
      <c r="H1670">
        <f>IF(A1670="","",E1670&amp;F1670&amp;G1670)</f>
        <v/>
      </c>
      <c r="I1670">
        <f>IF(A1670="","",IF(AND(E1670&gt;=4,F1670&gt;=4,G1670&gt;=4),"Juara",IF(AND(F1670&gt;=4,E1670&gt;=3),"Setia",IF(AND(E1670=5,F1670&lt;=2,G1670&gt;=3),"Berpotensi",IF(AND(E1670&lt;=3,E1670&gt;=2,F1670&gt;=3),"Rawan",IF(AND(E1670&lt;=2,F1670&lt;=2),"Tidur","Umum"))))))</f>
        <v/>
      </c>
    </row>
    <row r="1671">
      <c r="B1671">
        <f>IF(A1671="","",$B$1-MAXIFS(Donasi!$A$2:$A$20000,Donasi!$B$2:$B$20000,A1671))</f>
        <v/>
      </c>
      <c r="C1671">
        <f>IF(A1671="","",COUNTIF(Donasi!$B$2:$B$20000,A1671))</f>
        <v/>
      </c>
      <c r="D1671">
        <f>IF(A1671="","",SUMIF(Donasi!$B$2:$B$20000,A1671,Donasi!$C$2:$C$20000))</f>
        <v/>
      </c>
      <c r="E1671">
        <f>IF(A1671="","",6-CEILING(PERCENTRANK.INC($B$3:$B$6000,B1671,4)*5+0.000001,1))</f>
        <v/>
      </c>
      <c r="F1671">
        <f>IF(A1671="","",MAX(1,CEILING(PERCENTRANK.INC($C$3:$C$6000,C1671,4)*5+0.000001,1)))</f>
        <v/>
      </c>
      <c r="G1671">
        <f>IF(A1671="","",MAX(1,CEILING(PERCENTRANK.INC($D$3:$D$6000,D1671,4)*5+0.000001,1)))</f>
        <v/>
      </c>
      <c r="H1671">
        <f>IF(A1671="","",E1671&amp;F1671&amp;G1671)</f>
        <v/>
      </c>
      <c r="I1671">
        <f>IF(A1671="","",IF(AND(E1671&gt;=4,F1671&gt;=4,G1671&gt;=4),"Juara",IF(AND(F1671&gt;=4,E1671&gt;=3),"Setia",IF(AND(E1671=5,F1671&lt;=2,G1671&gt;=3),"Berpotensi",IF(AND(E1671&lt;=3,E1671&gt;=2,F1671&gt;=3),"Rawan",IF(AND(E1671&lt;=2,F1671&lt;=2),"Tidur","Umum"))))))</f>
        <v/>
      </c>
    </row>
    <row r="1672">
      <c r="B1672">
        <f>IF(A1672="","",$B$1-MAXIFS(Donasi!$A$2:$A$20000,Donasi!$B$2:$B$20000,A1672))</f>
        <v/>
      </c>
      <c r="C1672">
        <f>IF(A1672="","",COUNTIF(Donasi!$B$2:$B$20000,A1672))</f>
        <v/>
      </c>
      <c r="D1672">
        <f>IF(A1672="","",SUMIF(Donasi!$B$2:$B$20000,A1672,Donasi!$C$2:$C$20000))</f>
        <v/>
      </c>
      <c r="E1672">
        <f>IF(A1672="","",6-CEILING(PERCENTRANK.INC($B$3:$B$6000,B1672,4)*5+0.000001,1))</f>
        <v/>
      </c>
      <c r="F1672">
        <f>IF(A1672="","",MAX(1,CEILING(PERCENTRANK.INC($C$3:$C$6000,C1672,4)*5+0.000001,1)))</f>
        <v/>
      </c>
      <c r="G1672">
        <f>IF(A1672="","",MAX(1,CEILING(PERCENTRANK.INC($D$3:$D$6000,D1672,4)*5+0.000001,1)))</f>
        <v/>
      </c>
      <c r="H1672">
        <f>IF(A1672="","",E1672&amp;F1672&amp;G1672)</f>
        <v/>
      </c>
      <c r="I1672">
        <f>IF(A1672="","",IF(AND(E1672&gt;=4,F1672&gt;=4,G1672&gt;=4),"Juara",IF(AND(F1672&gt;=4,E1672&gt;=3),"Setia",IF(AND(E1672=5,F1672&lt;=2,G1672&gt;=3),"Berpotensi",IF(AND(E1672&lt;=3,E1672&gt;=2,F1672&gt;=3),"Rawan",IF(AND(E1672&lt;=2,F1672&lt;=2),"Tidur","Umum"))))))</f>
        <v/>
      </c>
    </row>
    <row r="1673">
      <c r="B1673">
        <f>IF(A1673="","",$B$1-MAXIFS(Donasi!$A$2:$A$20000,Donasi!$B$2:$B$20000,A1673))</f>
        <v/>
      </c>
      <c r="C1673">
        <f>IF(A1673="","",COUNTIF(Donasi!$B$2:$B$20000,A1673))</f>
        <v/>
      </c>
      <c r="D1673">
        <f>IF(A1673="","",SUMIF(Donasi!$B$2:$B$20000,A1673,Donasi!$C$2:$C$20000))</f>
        <v/>
      </c>
      <c r="E1673">
        <f>IF(A1673="","",6-CEILING(PERCENTRANK.INC($B$3:$B$6000,B1673,4)*5+0.000001,1))</f>
        <v/>
      </c>
      <c r="F1673">
        <f>IF(A1673="","",MAX(1,CEILING(PERCENTRANK.INC($C$3:$C$6000,C1673,4)*5+0.000001,1)))</f>
        <v/>
      </c>
      <c r="G1673">
        <f>IF(A1673="","",MAX(1,CEILING(PERCENTRANK.INC($D$3:$D$6000,D1673,4)*5+0.000001,1)))</f>
        <v/>
      </c>
      <c r="H1673">
        <f>IF(A1673="","",E1673&amp;F1673&amp;G1673)</f>
        <v/>
      </c>
      <c r="I1673">
        <f>IF(A1673="","",IF(AND(E1673&gt;=4,F1673&gt;=4,G1673&gt;=4),"Juara",IF(AND(F1673&gt;=4,E1673&gt;=3),"Setia",IF(AND(E1673=5,F1673&lt;=2,G1673&gt;=3),"Berpotensi",IF(AND(E1673&lt;=3,E1673&gt;=2,F1673&gt;=3),"Rawan",IF(AND(E1673&lt;=2,F1673&lt;=2),"Tidur","Umum"))))))</f>
        <v/>
      </c>
    </row>
    <row r="1674">
      <c r="B1674">
        <f>IF(A1674="","",$B$1-MAXIFS(Donasi!$A$2:$A$20000,Donasi!$B$2:$B$20000,A1674))</f>
        <v/>
      </c>
      <c r="C1674">
        <f>IF(A1674="","",COUNTIF(Donasi!$B$2:$B$20000,A1674))</f>
        <v/>
      </c>
      <c r="D1674">
        <f>IF(A1674="","",SUMIF(Donasi!$B$2:$B$20000,A1674,Donasi!$C$2:$C$20000))</f>
        <v/>
      </c>
      <c r="E1674">
        <f>IF(A1674="","",6-CEILING(PERCENTRANK.INC($B$3:$B$6000,B1674,4)*5+0.000001,1))</f>
        <v/>
      </c>
      <c r="F1674">
        <f>IF(A1674="","",MAX(1,CEILING(PERCENTRANK.INC($C$3:$C$6000,C1674,4)*5+0.000001,1)))</f>
        <v/>
      </c>
      <c r="G1674">
        <f>IF(A1674="","",MAX(1,CEILING(PERCENTRANK.INC($D$3:$D$6000,D1674,4)*5+0.000001,1)))</f>
        <v/>
      </c>
      <c r="H1674">
        <f>IF(A1674="","",E1674&amp;F1674&amp;G1674)</f>
        <v/>
      </c>
      <c r="I1674">
        <f>IF(A1674="","",IF(AND(E1674&gt;=4,F1674&gt;=4,G1674&gt;=4),"Juara",IF(AND(F1674&gt;=4,E1674&gt;=3),"Setia",IF(AND(E1674=5,F1674&lt;=2,G1674&gt;=3),"Berpotensi",IF(AND(E1674&lt;=3,E1674&gt;=2,F1674&gt;=3),"Rawan",IF(AND(E1674&lt;=2,F1674&lt;=2),"Tidur","Umum"))))))</f>
        <v/>
      </c>
    </row>
    <row r="1675">
      <c r="B1675">
        <f>IF(A1675="","",$B$1-MAXIFS(Donasi!$A$2:$A$20000,Donasi!$B$2:$B$20000,A1675))</f>
        <v/>
      </c>
      <c r="C1675">
        <f>IF(A1675="","",COUNTIF(Donasi!$B$2:$B$20000,A1675))</f>
        <v/>
      </c>
      <c r="D1675">
        <f>IF(A1675="","",SUMIF(Donasi!$B$2:$B$20000,A1675,Donasi!$C$2:$C$20000))</f>
        <v/>
      </c>
      <c r="E1675">
        <f>IF(A1675="","",6-CEILING(PERCENTRANK.INC($B$3:$B$6000,B1675,4)*5+0.000001,1))</f>
        <v/>
      </c>
      <c r="F1675">
        <f>IF(A1675="","",MAX(1,CEILING(PERCENTRANK.INC($C$3:$C$6000,C1675,4)*5+0.000001,1)))</f>
        <v/>
      </c>
      <c r="G1675">
        <f>IF(A1675="","",MAX(1,CEILING(PERCENTRANK.INC($D$3:$D$6000,D1675,4)*5+0.000001,1)))</f>
        <v/>
      </c>
      <c r="H1675">
        <f>IF(A1675="","",E1675&amp;F1675&amp;G1675)</f>
        <v/>
      </c>
      <c r="I1675">
        <f>IF(A1675="","",IF(AND(E1675&gt;=4,F1675&gt;=4,G1675&gt;=4),"Juara",IF(AND(F1675&gt;=4,E1675&gt;=3),"Setia",IF(AND(E1675=5,F1675&lt;=2,G1675&gt;=3),"Berpotensi",IF(AND(E1675&lt;=3,E1675&gt;=2,F1675&gt;=3),"Rawan",IF(AND(E1675&lt;=2,F1675&lt;=2),"Tidur","Umum"))))))</f>
        <v/>
      </c>
    </row>
    <row r="1676">
      <c r="B1676">
        <f>IF(A1676="","",$B$1-MAXIFS(Donasi!$A$2:$A$20000,Donasi!$B$2:$B$20000,A1676))</f>
        <v/>
      </c>
      <c r="C1676">
        <f>IF(A1676="","",COUNTIF(Donasi!$B$2:$B$20000,A1676))</f>
        <v/>
      </c>
      <c r="D1676">
        <f>IF(A1676="","",SUMIF(Donasi!$B$2:$B$20000,A1676,Donasi!$C$2:$C$20000))</f>
        <v/>
      </c>
      <c r="E1676">
        <f>IF(A1676="","",6-CEILING(PERCENTRANK.INC($B$3:$B$6000,B1676,4)*5+0.000001,1))</f>
        <v/>
      </c>
      <c r="F1676">
        <f>IF(A1676="","",MAX(1,CEILING(PERCENTRANK.INC($C$3:$C$6000,C1676,4)*5+0.000001,1)))</f>
        <v/>
      </c>
      <c r="G1676">
        <f>IF(A1676="","",MAX(1,CEILING(PERCENTRANK.INC($D$3:$D$6000,D1676,4)*5+0.000001,1)))</f>
        <v/>
      </c>
      <c r="H1676">
        <f>IF(A1676="","",E1676&amp;F1676&amp;G1676)</f>
        <v/>
      </c>
      <c r="I1676">
        <f>IF(A1676="","",IF(AND(E1676&gt;=4,F1676&gt;=4,G1676&gt;=4),"Juara",IF(AND(F1676&gt;=4,E1676&gt;=3),"Setia",IF(AND(E1676=5,F1676&lt;=2,G1676&gt;=3),"Berpotensi",IF(AND(E1676&lt;=3,E1676&gt;=2,F1676&gt;=3),"Rawan",IF(AND(E1676&lt;=2,F1676&lt;=2),"Tidur","Umum"))))))</f>
        <v/>
      </c>
    </row>
    <row r="1677">
      <c r="B1677">
        <f>IF(A1677="","",$B$1-MAXIFS(Donasi!$A$2:$A$20000,Donasi!$B$2:$B$20000,A1677))</f>
        <v/>
      </c>
      <c r="C1677">
        <f>IF(A1677="","",COUNTIF(Donasi!$B$2:$B$20000,A1677))</f>
        <v/>
      </c>
      <c r="D1677">
        <f>IF(A1677="","",SUMIF(Donasi!$B$2:$B$20000,A1677,Donasi!$C$2:$C$20000))</f>
        <v/>
      </c>
      <c r="E1677">
        <f>IF(A1677="","",6-CEILING(PERCENTRANK.INC($B$3:$B$6000,B1677,4)*5+0.000001,1))</f>
        <v/>
      </c>
      <c r="F1677">
        <f>IF(A1677="","",MAX(1,CEILING(PERCENTRANK.INC($C$3:$C$6000,C1677,4)*5+0.000001,1)))</f>
        <v/>
      </c>
      <c r="G1677">
        <f>IF(A1677="","",MAX(1,CEILING(PERCENTRANK.INC($D$3:$D$6000,D1677,4)*5+0.000001,1)))</f>
        <v/>
      </c>
      <c r="H1677">
        <f>IF(A1677="","",E1677&amp;F1677&amp;G1677)</f>
        <v/>
      </c>
      <c r="I1677">
        <f>IF(A1677="","",IF(AND(E1677&gt;=4,F1677&gt;=4,G1677&gt;=4),"Juara",IF(AND(F1677&gt;=4,E1677&gt;=3),"Setia",IF(AND(E1677=5,F1677&lt;=2,G1677&gt;=3),"Berpotensi",IF(AND(E1677&lt;=3,E1677&gt;=2,F1677&gt;=3),"Rawan",IF(AND(E1677&lt;=2,F1677&lt;=2),"Tidur","Umum"))))))</f>
        <v/>
      </c>
    </row>
    <row r="1678">
      <c r="B1678">
        <f>IF(A1678="","",$B$1-MAXIFS(Donasi!$A$2:$A$20000,Donasi!$B$2:$B$20000,A1678))</f>
        <v/>
      </c>
      <c r="C1678">
        <f>IF(A1678="","",COUNTIF(Donasi!$B$2:$B$20000,A1678))</f>
        <v/>
      </c>
      <c r="D1678">
        <f>IF(A1678="","",SUMIF(Donasi!$B$2:$B$20000,A1678,Donasi!$C$2:$C$20000))</f>
        <v/>
      </c>
      <c r="E1678">
        <f>IF(A1678="","",6-CEILING(PERCENTRANK.INC($B$3:$B$6000,B1678,4)*5+0.000001,1))</f>
        <v/>
      </c>
      <c r="F1678">
        <f>IF(A1678="","",MAX(1,CEILING(PERCENTRANK.INC($C$3:$C$6000,C1678,4)*5+0.000001,1)))</f>
        <v/>
      </c>
      <c r="G1678">
        <f>IF(A1678="","",MAX(1,CEILING(PERCENTRANK.INC($D$3:$D$6000,D1678,4)*5+0.000001,1)))</f>
        <v/>
      </c>
      <c r="H1678">
        <f>IF(A1678="","",E1678&amp;F1678&amp;G1678)</f>
        <v/>
      </c>
      <c r="I1678">
        <f>IF(A1678="","",IF(AND(E1678&gt;=4,F1678&gt;=4,G1678&gt;=4),"Juara",IF(AND(F1678&gt;=4,E1678&gt;=3),"Setia",IF(AND(E1678=5,F1678&lt;=2,G1678&gt;=3),"Berpotensi",IF(AND(E1678&lt;=3,E1678&gt;=2,F1678&gt;=3),"Rawan",IF(AND(E1678&lt;=2,F1678&lt;=2),"Tidur","Umum"))))))</f>
        <v/>
      </c>
    </row>
    <row r="1679">
      <c r="B1679">
        <f>IF(A1679="","",$B$1-MAXIFS(Donasi!$A$2:$A$20000,Donasi!$B$2:$B$20000,A1679))</f>
        <v/>
      </c>
      <c r="C1679">
        <f>IF(A1679="","",COUNTIF(Donasi!$B$2:$B$20000,A1679))</f>
        <v/>
      </c>
      <c r="D1679">
        <f>IF(A1679="","",SUMIF(Donasi!$B$2:$B$20000,A1679,Donasi!$C$2:$C$20000))</f>
        <v/>
      </c>
      <c r="E1679">
        <f>IF(A1679="","",6-CEILING(PERCENTRANK.INC($B$3:$B$6000,B1679,4)*5+0.000001,1))</f>
        <v/>
      </c>
      <c r="F1679">
        <f>IF(A1679="","",MAX(1,CEILING(PERCENTRANK.INC($C$3:$C$6000,C1679,4)*5+0.000001,1)))</f>
        <v/>
      </c>
      <c r="G1679">
        <f>IF(A1679="","",MAX(1,CEILING(PERCENTRANK.INC($D$3:$D$6000,D1679,4)*5+0.000001,1)))</f>
        <v/>
      </c>
      <c r="H1679">
        <f>IF(A1679="","",E1679&amp;F1679&amp;G1679)</f>
        <v/>
      </c>
      <c r="I1679">
        <f>IF(A1679="","",IF(AND(E1679&gt;=4,F1679&gt;=4,G1679&gt;=4),"Juara",IF(AND(F1679&gt;=4,E1679&gt;=3),"Setia",IF(AND(E1679=5,F1679&lt;=2,G1679&gt;=3),"Berpotensi",IF(AND(E1679&lt;=3,E1679&gt;=2,F1679&gt;=3),"Rawan",IF(AND(E1679&lt;=2,F1679&lt;=2),"Tidur","Umum"))))))</f>
        <v/>
      </c>
    </row>
    <row r="1680">
      <c r="B1680">
        <f>IF(A1680="","",$B$1-MAXIFS(Donasi!$A$2:$A$20000,Donasi!$B$2:$B$20000,A1680))</f>
        <v/>
      </c>
      <c r="C1680">
        <f>IF(A1680="","",COUNTIF(Donasi!$B$2:$B$20000,A1680))</f>
        <v/>
      </c>
      <c r="D1680">
        <f>IF(A1680="","",SUMIF(Donasi!$B$2:$B$20000,A1680,Donasi!$C$2:$C$20000))</f>
        <v/>
      </c>
      <c r="E1680">
        <f>IF(A1680="","",6-CEILING(PERCENTRANK.INC($B$3:$B$6000,B1680,4)*5+0.000001,1))</f>
        <v/>
      </c>
      <c r="F1680">
        <f>IF(A1680="","",MAX(1,CEILING(PERCENTRANK.INC($C$3:$C$6000,C1680,4)*5+0.000001,1)))</f>
        <v/>
      </c>
      <c r="G1680">
        <f>IF(A1680="","",MAX(1,CEILING(PERCENTRANK.INC($D$3:$D$6000,D1680,4)*5+0.000001,1)))</f>
        <v/>
      </c>
      <c r="H1680">
        <f>IF(A1680="","",E1680&amp;F1680&amp;G1680)</f>
        <v/>
      </c>
      <c r="I1680">
        <f>IF(A1680="","",IF(AND(E1680&gt;=4,F1680&gt;=4,G1680&gt;=4),"Juara",IF(AND(F1680&gt;=4,E1680&gt;=3),"Setia",IF(AND(E1680=5,F1680&lt;=2,G1680&gt;=3),"Berpotensi",IF(AND(E1680&lt;=3,E1680&gt;=2,F1680&gt;=3),"Rawan",IF(AND(E1680&lt;=2,F1680&lt;=2),"Tidur","Umum"))))))</f>
        <v/>
      </c>
    </row>
    <row r="1681">
      <c r="B1681">
        <f>IF(A1681="","",$B$1-MAXIFS(Donasi!$A$2:$A$20000,Donasi!$B$2:$B$20000,A1681))</f>
        <v/>
      </c>
      <c r="C1681">
        <f>IF(A1681="","",COUNTIF(Donasi!$B$2:$B$20000,A1681))</f>
        <v/>
      </c>
      <c r="D1681">
        <f>IF(A1681="","",SUMIF(Donasi!$B$2:$B$20000,A1681,Donasi!$C$2:$C$20000))</f>
        <v/>
      </c>
      <c r="E1681">
        <f>IF(A1681="","",6-CEILING(PERCENTRANK.INC($B$3:$B$6000,B1681,4)*5+0.000001,1))</f>
        <v/>
      </c>
      <c r="F1681">
        <f>IF(A1681="","",MAX(1,CEILING(PERCENTRANK.INC($C$3:$C$6000,C1681,4)*5+0.000001,1)))</f>
        <v/>
      </c>
      <c r="G1681">
        <f>IF(A1681="","",MAX(1,CEILING(PERCENTRANK.INC($D$3:$D$6000,D1681,4)*5+0.000001,1)))</f>
        <v/>
      </c>
      <c r="H1681">
        <f>IF(A1681="","",E1681&amp;F1681&amp;G1681)</f>
        <v/>
      </c>
      <c r="I1681">
        <f>IF(A1681="","",IF(AND(E1681&gt;=4,F1681&gt;=4,G1681&gt;=4),"Juara",IF(AND(F1681&gt;=4,E1681&gt;=3),"Setia",IF(AND(E1681=5,F1681&lt;=2,G1681&gt;=3),"Berpotensi",IF(AND(E1681&lt;=3,E1681&gt;=2,F1681&gt;=3),"Rawan",IF(AND(E1681&lt;=2,F1681&lt;=2),"Tidur","Umum"))))))</f>
        <v/>
      </c>
    </row>
    <row r="1682">
      <c r="B1682">
        <f>IF(A1682="","",$B$1-MAXIFS(Donasi!$A$2:$A$20000,Donasi!$B$2:$B$20000,A1682))</f>
        <v/>
      </c>
      <c r="C1682">
        <f>IF(A1682="","",COUNTIF(Donasi!$B$2:$B$20000,A1682))</f>
        <v/>
      </c>
      <c r="D1682">
        <f>IF(A1682="","",SUMIF(Donasi!$B$2:$B$20000,A1682,Donasi!$C$2:$C$20000))</f>
        <v/>
      </c>
      <c r="E1682">
        <f>IF(A1682="","",6-CEILING(PERCENTRANK.INC($B$3:$B$6000,B1682,4)*5+0.000001,1))</f>
        <v/>
      </c>
      <c r="F1682">
        <f>IF(A1682="","",MAX(1,CEILING(PERCENTRANK.INC($C$3:$C$6000,C1682,4)*5+0.000001,1)))</f>
        <v/>
      </c>
      <c r="G1682">
        <f>IF(A1682="","",MAX(1,CEILING(PERCENTRANK.INC($D$3:$D$6000,D1682,4)*5+0.000001,1)))</f>
        <v/>
      </c>
      <c r="H1682">
        <f>IF(A1682="","",E1682&amp;F1682&amp;G1682)</f>
        <v/>
      </c>
      <c r="I1682">
        <f>IF(A1682="","",IF(AND(E1682&gt;=4,F1682&gt;=4,G1682&gt;=4),"Juara",IF(AND(F1682&gt;=4,E1682&gt;=3),"Setia",IF(AND(E1682=5,F1682&lt;=2,G1682&gt;=3),"Berpotensi",IF(AND(E1682&lt;=3,E1682&gt;=2,F1682&gt;=3),"Rawan",IF(AND(E1682&lt;=2,F1682&lt;=2),"Tidur","Umum"))))))</f>
        <v/>
      </c>
    </row>
    <row r="1683">
      <c r="B1683">
        <f>IF(A1683="","",$B$1-MAXIFS(Donasi!$A$2:$A$20000,Donasi!$B$2:$B$20000,A1683))</f>
        <v/>
      </c>
      <c r="C1683">
        <f>IF(A1683="","",COUNTIF(Donasi!$B$2:$B$20000,A1683))</f>
        <v/>
      </c>
      <c r="D1683">
        <f>IF(A1683="","",SUMIF(Donasi!$B$2:$B$20000,A1683,Donasi!$C$2:$C$20000))</f>
        <v/>
      </c>
      <c r="E1683">
        <f>IF(A1683="","",6-CEILING(PERCENTRANK.INC($B$3:$B$6000,B1683,4)*5+0.000001,1))</f>
        <v/>
      </c>
      <c r="F1683">
        <f>IF(A1683="","",MAX(1,CEILING(PERCENTRANK.INC($C$3:$C$6000,C1683,4)*5+0.000001,1)))</f>
        <v/>
      </c>
      <c r="G1683">
        <f>IF(A1683="","",MAX(1,CEILING(PERCENTRANK.INC($D$3:$D$6000,D1683,4)*5+0.000001,1)))</f>
        <v/>
      </c>
      <c r="H1683">
        <f>IF(A1683="","",E1683&amp;F1683&amp;G1683)</f>
        <v/>
      </c>
      <c r="I1683">
        <f>IF(A1683="","",IF(AND(E1683&gt;=4,F1683&gt;=4,G1683&gt;=4),"Juara",IF(AND(F1683&gt;=4,E1683&gt;=3),"Setia",IF(AND(E1683=5,F1683&lt;=2,G1683&gt;=3),"Berpotensi",IF(AND(E1683&lt;=3,E1683&gt;=2,F1683&gt;=3),"Rawan",IF(AND(E1683&lt;=2,F1683&lt;=2),"Tidur","Umum"))))))</f>
        <v/>
      </c>
    </row>
    <row r="1684">
      <c r="B1684">
        <f>IF(A1684="","",$B$1-MAXIFS(Donasi!$A$2:$A$20000,Donasi!$B$2:$B$20000,A1684))</f>
        <v/>
      </c>
      <c r="C1684">
        <f>IF(A1684="","",COUNTIF(Donasi!$B$2:$B$20000,A1684))</f>
        <v/>
      </c>
      <c r="D1684">
        <f>IF(A1684="","",SUMIF(Donasi!$B$2:$B$20000,A1684,Donasi!$C$2:$C$20000))</f>
        <v/>
      </c>
      <c r="E1684">
        <f>IF(A1684="","",6-CEILING(PERCENTRANK.INC($B$3:$B$6000,B1684,4)*5+0.000001,1))</f>
        <v/>
      </c>
      <c r="F1684">
        <f>IF(A1684="","",MAX(1,CEILING(PERCENTRANK.INC($C$3:$C$6000,C1684,4)*5+0.000001,1)))</f>
        <v/>
      </c>
      <c r="G1684">
        <f>IF(A1684="","",MAX(1,CEILING(PERCENTRANK.INC($D$3:$D$6000,D1684,4)*5+0.000001,1)))</f>
        <v/>
      </c>
      <c r="H1684">
        <f>IF(A1684="","",E1684&amp;F1684&amp;G1684)</f>
        <v/>
      </c>
      <c r="I1684">
        <f>IF(A1684="","",IF(AND(E1684&gt;=4,F1684&gt;=4,G1684&gt;=4),"Juara",IF(AND(F1684&gt;=4,E1684&gt;=3),"Setia",IF(AND(E1684=5,F1684&lt;=2,G1684&gt;=3),"Berpotensi",IF(AND(E1684&lt;=3,E1684&gt;=2,F1684&gt;=3),"Rawan",IF(AND(E1684&lt;=2,F1684&lt;=2),"Tidur","Umum"))))))</f>
        <v/>
      </c>
    </row>
    <row r="1685">
      <c r="B1685">
        <f>IF(A1685="","",$B$1-MAXIFS(Donasi!$A$2:$A$20000,Donasi!$B$2:$B$20000,A1685))</f>
        <v/>
      </c>
      <c r="C1685">
        <f>IF(A1685="","",COUNTIF(Donasi!$B$2:$B$20000,A1685))</f>
        <v/>
      </c>
      <c r="D1685">
        <f>IF(A1685="","",SUMIF(Donasi!$B$2:$B$20000,A1685,Donasi!$C$2:$C$20000))</f>
        <v/>
      </c>
      <c r="E1685">
        <f>IF(A1685="","",6-CEILING(PERCENTRANK.INC($B$3:$B$6000,B1685,4)*5+0.000001,1))</f>
        <v/>
      </c>
      <c r="F1685">
        <f>IF(A1685="","",MAX(1,CEILING(PERCENTRANK.INC($C$3:$C$6000,C1685,4)*5+0.000001,1)))</f>
        <v/>
      </c>
      <c r="G1685">
        <f>IF(A1685="","",MAX(1,CEILING(PERCENTRANK.INC($D$3:$D$6000,D1685,4)*5+0.000001,1)))</f>
        <v/>
      </c>
      <c r="H1685">
        <f>IF(A1685="","",E1685&amp;F1685&amp;G1685)</f>
        <v/>
      </c>
      <c r="I1685">
        <f>IF(A1685="","",IF(AND(E1685&gt;=4,F1685&gt;=4,G1685&gt;=4),"Juara",IF(AND(F1685&gt;=4,E1685&gt;=3),"Setia",IF(AND(E1685=5,F1685&lt;=2,G1685&gt;=3),"Berpotensi",IF(AND(E1685&lt;=3,E1685&gt;=2,F1685&gt;=3),"Rawan",IF(AND(E1685&lt;=2,F1685&lt;=2),"Tidur","Umum"))))))</f>
        <v/>
      </c>
    </row>
    <row r="1686">
      <c r="B1686">
        <f>IF(A1686="","",$B$1-MAXIFS(Donasi!$A$2:$A$20000,Donasi!$B$2:$B$20000,A1686))</f>
        <v/>
      </c>
      <c r="C1686">
        <f>IF(A1686="","",COUNTIF(Donasi!$B$2:$B$20000,A1686))</f>
        <v/>
      </c>
      <c r="D1686">
        <f>IF(A1686="","",SUMIF(Donasi!$B$2:$B$20000,A1686,Donasi!$C$2:$C$20000))</f>
        <v/>
      </c>
      <c r="E1686">
        <f>IF(A1686="","",6-CEILING(PERCENTRANK.INC($B$3:$B$6000,B1686,4)*5+0.000001,1))</f>
        <v/>
      </c>
      <c r="F1686">
        <f>IF(A1686="","",MAX(1,CEILING(PERCENTRANK.INC($C$3:$C$6000,C1686,4)*5+0.000001,1)))</f>
        <v/>
      </c>
      <c r="G1686">
        <f>IF(A1686="","",MAX(1,CEILING(PERCENTRANK.INC($D$3:$D$6000,D1686,4)*5+0.000001,1)))</f>
        <v/>
      </c>
      <c r="H1686">
        <f>IF(A1686="","",E1686&amp;F1686&amp;G1686)</f>
        <v/>
      </c>
      <c r="I1686">
        <f>IF(A1686="","",IF(AND(E1686&gt;=4,F1686&gt;=4,G1686&gt;=4),"Juara",IF(AND(F1686&gt;=4,E1686&gt;=3),"Setia",IF(AND(E1686=5,F1686&lt;=2,G1686&gt;=3),"Berpotensi",IF(AND(E1686&lt;=3,E1686&gt;=2,F1686&gt;=3),"Rawan",IF(AND(E1686&lt;=2,F1686&lt;=2),"Tidur","Umum"))))))</f>
        <v/>
      </c>
    </row>
    <row r="1687">
      <c r="B1687">
        <f>IF(A1687="","",$B$1-MAXIFS(Donasi!$A$2:$A$20000,Donasi!$B$2:$B$20000,A1687))</f>
        <v/>
      </c>
      <c r="C1687">
        <f>IF(A1687="","",COUNTIF(Donasi!$B$2:$B$20000,A1687))</f>
        <v/>
      </c>
      <c r="D1687">
        <f>IF(A1687="","",SUMIF(Donasi!$B$2:$B$20000,A1687,Donasi!$C$2:$C$20000))</f>
        <v/>
      </c>
      <c r="E1687">
        <f>IF(A1687="","",6-CEILING(PERCENTRANK.INC($B$3:$B$6000,B1687,4)*5+0.000001,1))</f>
        <v/>
      </c>
      <c r="F1687">
        <f>IF(A1687="","",MAX(1,CEILING(PERCENTRANK.INC($C$3:$C$6000,C1687,4)*5+0.000001,1)))</f>
        <v/>
      </c>
      <c r="G1687">
        <f>IF(A1687="","",MAX(1,CEILING(PERCENTRANK.INC($D$3:$D$6000,D1687,4)*5+0.000001,1)))</f>
        <v/>
      </c>
      <c r="H1687">
        <f>IF(A1687="","",E1687&amp;F1687&amp;G1687)</f>
        <v/>
      </c>
      <c r="I1687">
        <f>IF(A1687="","",IF(AND(E1687&gt;=4,F1687&gt;=4,G1687&gt;=4),"Juara",IF(AND(F1687&gt;=4,E1687&gt;=3),"Setia",IF(AND(E1687=5,F1687&lt;=2,G1687&gt;=3),"Berpotensi",IF(AND(E1687&lt;=3,E1687&gt;=2,F1687&gt;=3),"Rawan",IF(AND(E1687&lt;=2,F1687&lt;=2),"Tidur","Umum"))))))</f>
        <v/>
      </c>
    </row>
    <row r="1688">
      <c r="B1688">
        <f>IF(A1688="","",$B$1-MAXIFS(Donasi!$A$2:$A$20000,Donasi!$B$2:$B$20000,A1688))</f>
        <v/>
      </c>
      <c r="C1688">
        <f>IF(A1688="","",COUNTIF(Donasi!$B$2:$B$20000,A1688))</f>
        <v/>
      </c>
      <c r="D1688">
        <f>IF(A1688="","",SUMIF(Donasi!$B$2:$B$20000,A1688,Donasi!$C$2:$C$20000))</f>
        <v/>
      </c>
      <c r="E1688">
        <f>IF(A1688="","",6-CEILING(PERCENTRANK.INC($B$3:$B$6000,B1688,4)*5+0.000001,1))</f>
        <v/>
      </c>
      <c r="F1688">
        <f>IF(A1688="","",MAX(1,CEILING(PERCENTRANK.INC($C$3:$C$6000,C1688,4)*5+0.000001,1)))</f>
        <v/>
      </c>
      <c r="G1688">
        <f>IF(A1688="","",MAX(1,CEILING(PERCENTRANK.INC($D$3:$D$6000,D1688,4)*5+0.000001,1)))</f>
        <v/>
      </c>
      <c r="H1688">
        <f>IF(A1688="","",E1688&amp;F1688&amp;G1688)</f>
        <v/>
      </c>
      <c r="I1688">
        <f>IF(A1688="","",IF(AND(E1688&gt;=4,F1688&gt;=4,G1688&gt;=4),"Juara",IF(AND(F1688&gt;=4,E1688&gt;=3),"Setia",IF(AND(E1688=5,F1688&lt;=2,G1688&gt;=3),"Berpotensi",IF(AND(E1688&lt;=3,E1688&gt;=2,F1688&gt;=3),"Rawan",IF(AND(E1688&lt;=2,F1688&lt;=2),"Tidur","Umum"))))))</f>
        <v/>
      </c>
    </row>
    <row r="1689">
      <c r="B1689">
        <f>IF(A1689="","",$B$1-MAXIFS(Donasi!$A$2:$A$20000,Donasi!$B$2:$B$20000,A1689))</f>
        <v/>
      </c>
      <c r="C1689">
        <f>IF(A1689="","",COUNTIF(Donasi!$B$2:$B$20000,A1689))</f>
        <v/>
      </c>
      <c r="D1689">
        <f>IF(A1689="","",SUMIF(Donasi!$B$2:$B$20000,A1689,Donasi!$C$2:$C$20000))</f>
        <v/>
      </c>
      <c r="E1689">
        <f>IF(A1689="","",6-CEILING(PERCENTRANK.INC($B$3:$B$6000,B1689,4)*5+0.000001,1))</f>
        <v/>
      </c>
      <c r="F1689">
        <f>IF(A1689="","",MAX(1,CEILING(PERCENTRANK.INC($C$3:$C$6000,C1689,4)*5+0.000001,1)))</f>
        <v/>
      </c>
      <c r="G1689">
        <f>IF(A1689="","",MAX(1,CEILING(PERCENTRANK.INC($D$3:$D$6000,D1689,4)*5+0.000001,1)))</f>
        <v/>
      </c>
      <c r="H1689">
        <f>IF(A1689="","",E1689&amp;F1689&amp;G1689)</f>
        <v/>
      </c>
      <c r="I1689">
        <f>IF(A1689="","",IF(AND(E1689&gt;=4,F1689&gt;=4,G1689&gt;=4),"Juara",IF(AND(F1689&gt;=4,E1689&gt;=3),"Setia",IF(AND(E1689=5,F1689&lt;=2,G1689&gt;=3),"Berpotensi",IF(AND(E1689&lt;=3,E1689&gt;=2,F1689&gt;=3),"Rawan",IF(AND(E1689&lt;=2,F1689&lt;=2),"Tidur","Umum"))))))</f>
        <v/>
      </c>
    </row>
    <row r="1690">
      <c r="B1690">
        <f>IF(A1690="","",$B$1-MAXIFS(Donasi!$A$2:$A$20000,Donasi!$B$2:$B$20000,A1690))</f>
        <v/>
      </c>
      <c r="C1690">
        <f>IF(A1690="","",COUNTIF(Donasi!$B$2:$B$20000,A1690))</f>
        <v/>
      </c>
      <c r="D1690">
        <f>IF(A1690="","",SUMIF(Donasi!$B$2:$B$20000,A1690,Donasi!$C$2:$C$20000))</f>
        <v/>
      </c>
      <c r="E1690">
        <f>IF(A1690="","",6-CEILING(PERCENTRANK.INC($B$3:$B$6000,B1690,4)*5+0.000001,1))</f>
        <v/>
      </c>
      <c r="F1690">
        <f>IF(A1690="","",MAX(1,CEILING(PERCENTRANK.INC($C$3:$C$6000,C1690,4)*5+0.000001,1)))</f>
        <v/>
      </c>
      <c r="G1690">
        <f>IF(A1690="","",MAX(1,CEILING(PERCENTRANK.INC($D$3:$D$6000,D1690,4)*5+0.000001,1)))</f>
        <v/>
      </c>
      <c r="H1690">
        <f>IF(A1690="","",E1690&amp;F1690&amp;G1690)</f>
        <v/>
      </c>
      <c r="I1690">
        <f>IF(A1690="","",IF(AND(E1690&gt;=4,F1690&gt;=4,G1690&gt;=4),"Juara",IF(AND(F1690&gt;=4,E1690&gt;=3),"Setia",IF(AND(E1690=5,F1690&lt;=2,G1690&gt;=3),"Berpotensi",IF(AND(E1690&lt;=3,E1690&gt;=2,F1690&gt;=3),"Rawan",IF(AND(E1690&lt;=2,F1690&lt;=2),"Tidur","Umum"))))))</f>
        <v/>
      </c>
    </row>
    <row r="1691">
      <c r="B1691">
        <f>IF(A1691="","",$B$1-MAXIFS(Donasi!$A$2:$A$20000,Donasi!$B$2:$B$20000,A1691))</f>
        <v/>
      </c>
      <c r="C1691">
        <f>IF(A1691="","",COUNTIF(Donasi!$B$2:$B$20000,A1691))</f>
        <v/>
      </c>
      <c r="D1691">
        <f>IF(A1691="","",SUMIF(Donasi!$B$2:$B$20000,A1691,Donasi!$C$2:$C$20000))</f>
        <v/>
      </c>
      <c r="E1691">
        <f>IF(A1691="","",6-CEILING(PERCENTRANK.INC($B$3:$B$6000,B1691,4)*5+0.000001,1))</f>
        <v/>
      </c>
      <c r="F1691">
        <f>IF(A1691="","",MAX(1,CEILING(PERCENTRANK.INC($C$3:$C$6000,C1691,4)*5+0.000001,1)))</f>
        <v/>
      </c>
      <c r="G1691">
        <f>IF(A1691="","",MAX(1,CEILING(PERCENTRANK.INC($D$3:$D$6000,D1691,4)*5+0.000001,1)))</f>
        <v/>
      </c>
      <c r="H1691">
        <f>IF(A1691="","",E1691&amp;F1691&amp;G1691)</f>
        <v/>
      </c>
      <c r="I1691">
        <f>IF(A1691="","",IF(AND(E1691&gt;=4,F1691&gt;=4,G1691&gt;=4),"Juara",IF(AND(F1691&gt;=4,E1691&gt;=3),"Setia",IF(AND(E1691=5,F1691&lt;=2,G1691&gt;=3),"Berpotensi",IF(AND(E1691&lt;=3,E1691&gt;=2,F1691&gt;=3),"Rawan",IF(AND(E1691&lt;=2,F1691&lt;=2),"Tidur","Umum"))))))</f>
        <v/>
      </c>
    </row>
    <row r="1692">
      <c r="B1692">
        <f>IF(A1692="","",$B$1-MAXIFS(Donasi!$A$2:$A$20000,Donasi!$B$2:$B$20000,A1692))</f>
        <v/>
      </c>
      <c r="C1692">
        <f>IF(A1692="","",COUNTIF(Donasi!$B$2:$B$20000,A1692))</f>
        <v/>
      </c>
      <c r="D1692">
        <f>IF(A1692="","",SUMIF(Donasi!$B$2:$B$20000,A1692,Donasi!$C$2:$C$20000))</f>
        <v/>
      </c>
      <c r="E1692">
        <f>IF(A1692="","",6-CEILING(PERCENTRANK.INC($B$3:$B$6000,B1692,4)*5+0.000001,1))</f>
        <v/>
      </c>
      <c r="F1692">
        <f>IF(A1692="","",MAX(1,CEILING(PERCENTRANK.INC($C$3:$C$6000,C1692,4)*5+0.000001,1)))</f>
        <v/>
      </c>
      <c r="G1692">
        <f>IF(A1692="","",MAX(1,CEILING(PERCENTRANK.INC($D$3:$D$6000,D1692,4)*5+0.000001,1)))</f>
        <v/>
      </c>
      <c r="H1692">
        <f>IF(A1692="","",E1692&amp;F1692&amp;G1692)</f>
        <v/>
      </c>
      <c r="I1692">
        <f>IF(A1692="","",IF(AND(E1692&gt;=4,F1692&gt;=4,G1692&gt;=4),"Juara",IF(AND(F1692&gt;=4,E1692&gt;=3),"Setia",IF(AND(E1692=5,F1692&lt;=2,G1692&gt;=3),"Berpotensi",IF(AND(E1692&lt;=3,E1692&gt;=2,F1692&gt;=3),"Rawan",IF(AND(E1692&lt;=2,F1692&lt;=2),"Tidur","Umum"))))))</f>
        <v/>
      </c>
    </row>
    <row r="1693">
      <c r="B1693">
        <f>IF(A1693="","",$B$1-MAXIFS(Donasi!$A$2:$A$20000,Donasi!$B$2:$B$20000,A1693))</f>
        <v/>
      </c>
      <c r="C1693">
        <f>IF(A1693="","",COUNTIF(Donasi!$B$2:$B$20000,A1693))</f>
        <v/>
      </c>
      <c r="D1693">
        <f>IF(A1693="","",SUMIF(Donasi!$B$2:$B$20000,A1693,Donasi!$C$2:$C$20000))</f>
        <v/>
      </c>
      <c r="E1693">
        <f>IF(A1693="","",6-CEILING(PERCENTRANK.INC($B$3:$B$6000,B1693,4)*5+0.000001,1))</f>
        <v/>
      </c>
      <c r="F1693">
        <f>IF(A1693="","",MAX(1,CEILING(PERCENTRANK.INC($C$3:$C$6000,C1693,4)*5+0.000001,1)))</f>
        <v/>
      </c>
      <c r="G1693">
        <f>IF(A1693="","",MAX(1,CEILING(PERCENTRANK.INC($D$3:$D$6000,D1693,4)*5+0.000001,1)))</f>
        <v/>
      </c>
      <c r="H1693">
        <f>IF(A1693="","",E1693&amp;F1693&amp;G1693)</f>
        <v/>
      </c>
      <c r="I1693">
        <f>IF(A1693="","",IF(AND(E1693&gt;=4,F1693&gt;=4,G1693&gt;=4),"Juara",IF(AND(F1693&gt;=4,E1693&gt;=3),"Setia",IF(AND(E1693=5,F1693&lt;=2,G1693&gt;=3),"Berpotensi",IF(AND(E1693&lt;=3,E1693&gt;=2,F1693&gt;=3),"Rawan",IF(AND(E1693&lt;=2,F1693&lt;=2),"Tidur","Umum"))))))</f>
        <v/>
      </c>
    </row>
    <row r="1694">
      <c r="B1694">
        <f>IF(A1694="","",$B$1-MAXIFS(Donasi!$A$2:$A$20000,Donasi!$B$2:$B$20000,A1694))</f>
        <v/>
      </c>
      <c r="C1694">
        <f>IF(A1694="","",COUNTIF(Donasi!$B$2:$B$20000,A1694))</f>
        <v/>
      </c>
      <c r="D1694">
        <f>IF(A1694="","",SUMIF(Donasi!$B$2:$B$20000,A1694,Donasi!$C$2:$C$20000))</f>
        <v/>
      </c>
      <c r="E1694">
        <f>IF(A1694="","",6-CEILING(PERCENTRANK.INC($B$3:$B$6000,B1694,4)*5+0.000001,1))</f>
        <v/>
      </c>
      <c r="F1694">
        <f>IF(A1694="","",MAX(1,CEILING(PERCENTRANK.INC($C$3:$C$6000,C1694,4)*5+0.000001,1)))</f>
        <v/>
      </c>
      <c r="G1694">
        <f>IF(A1694="","",MAX(1,CEILING(PERCENTRANK.INC($D$3:$D$6000,D1694,4)*5+0.000001,1)))</f>
        <v/>
      </c>
      <c r="H1694">
        <f>IF(A1694="","",E1694&amp;F1694&amp;G1694)</f>
        <v/>
      </c>
      <c r="I1694">
        <f>IF(A1694="","",IF(AND(E1694&gt;=4,F1694&gt;=4,G1694&gt;=4),"Juara",IF(AND(F1694&gt;=4,E1694&gt;=3),"Setia",IF(AND(E1694=5,F1694&lt;=2,G1694&gt;=3),"Berpotensi",IF(AND(E1694&lt;=3,E1694&gt;=2,F1694&gt;=3),"Rawan",IF(AND(E1694&lt;=2,F1694&lt;=2),"Tidur","Umum"))))))</f>
        <v/>
      </c>
    </row>
    <row r="1695">
      <c r="B1695">
        <f>IF(A1695="","",$B$1-MAXIFS(Donasi!$A$2:$A$20000,Donasi!$B$2:$B$20000,A1695))</f>
        <v/>
      </c>
      <c r="C1695">
        <f>IF(A1695="","",COUNTIF(Donasi!$B$2:$B$20000,A1695))</f>
        <v/>
      </c>
      <c r="D1695">
        <f>IF(A1695="","",SUMIF(Donasi!$B$2:$B$20000,A1695,Donasi!$C$2:$C$20000))</f>
        <v/>
      </c>
      <c r="E1695">
        <f>IF(A1695="","",6-CEILING(PERCENTRANK.INC($B$3:$B$6000,B1695,4)*5+0.000001,1))</f>
        <v/>
      </c>
      <c r="F1695">
        <f>IF(A1695="","",MAX(1,CEILING(PERCENTRANK.INC($C$3:$C$6000,C1695,4)*5+0.000001,1)))</f>
        <v/>
      </c>
      <c r="G1695">
        <f>IF(A1695="","",MAX(1,CEILING(PERCENTRANK.INC($D$3:$D$6000,D1695,4)*5+0.000001,1)))</f>
        <v/>
      </c>
      <c r="H1695">
        <f>IF(A1695="","",E1695&amp;F1695&amp;G1695)</f>
        <v/>
      </c>
      <c r="I1695">
        <f>IF(A1695="","",IF(AND(E1695&gt;=4,F1695&gt;=4,G1695&gt;=4),"Juara",IF(AND(F1695&gt;=4,E1695&gt;=3),"Setia",IF(AND(E1695=5,F1695&lt;=2,G1695&gt;=3),"Berpotensi",IF(AND(E1695&lt;=3,E1695&gt;=2,F1695&gt;=3),"Rawan",IF(AND(E1695&lt;=2,F1695&lt;=2),"Tidur","Umum"))))))</f>
        <v/>
      </c>
    </row>
    <row r="1696">
      <c r="B1696">
        <f>IF(A1696="","",$B$1-MAXIFS(Donasi!$A$2:$A$20000,Donasi!$B$2:$B$20000,A1696))</f>
        <v/>
      </c>
      <c r="C1696">
        <f>IF(A1696="","",COUNTIF(Donasi!$B$2:$B$20000,A1696))</f>
        <v/>
      </c>
      <c r="D1696">
        <f>IF(A1696="","",SUMIF(Donasi!$B$2:$B$20000,A1696,Donasi!$C$2:$C$20000))</f>
        <v/>
      </c>
      <c r="E1696">
        <f>IF(A1696="","",6-CEILING(PERCENTRANK.INC($B$3:$B$6000,B1696,4)*5+0.000001,1))</f>
        <v/>
      </c>
      <c r="F1696">
        <f>IF(A1696="","",MAX(1,CEILING(PERCENTRANK.INC($C$3:$C$6000,C1696,4)*5+0.000001,1)))</f>
        <v/>
      </c>
      <c r="G1696">
        <f>IF(A1696="","",MAX(1,CEILING(PERCENTRANK.INC($D$3:$D$6000,D1696,4)*5+0.000001,1)))</f>
        <v/>
      </c>
      <c r="H1696">
        <f>IF(A1696="","",E1696&amp;F1696&amp;G1696)</f>
        <v/>
      </c>
      <c r="I1696">
        <f>IF(A1696="","",IF(AND(E1696&gt;=4,F1696&gt;=4,G1696&gt;=4),"Juara",IF(AND(F1696&gt;=4,E1696&gt;=3),"Setia",IF(AND(E1696=5,F1696&lt;=2,G1696&gt;=3),"Berpotensi",IF(AND(E1696&lt;=3,E1696&gt;=2,F1696&gt;=3),"Rawan",IF(AND(E1696&lt;=2,F1696&lt;=2),"Tidur","Umum"))))))</f>
        <v/>
      </c>
    </row>
    <row r="1697">
      <c r="B1697">
        <f>IF(A1697="","",$B$1-MAXIFS(Donasi!$A$2:$A$20000,Donasi!$B$2:$B$20000,A1697))</f>
        <v/>
      </c>
      <c r="C1697">
        <f>IF(A1697="","",COUNTIF(Donasi!$B$2:$B$20000,A1697))</f>
        <v/>
      </c>
      <c r="D1697">
        <f>IF(A1697="","",SUMIF(Donasi!$B$2:$B$20000,A1697,Donasi!$C$2:$C$20000))</f>
        <v/>
      </c>
      <c r="E1697">
        <f>IF(A1697="","",6-CEILING(PERCENTRANK.INC($B$3:$B$6000,B1697,4)*5+0.000001,1))</f>
        <v/>
      </c>
      <c r="F1697">
        <f>IF(A1697="","",MAX(1,CEILING(PERCENTRANK.INC($C$3:$C$6000,C1697,4)*5+0.000001,1)))</f>
        <v/>
      </c>
      <c r="G1697">
        <f>IF(A1697="","",MAX(1,CEILING(PERCENTRANK.INC($D$3:$D$6000,D1697,4)*5+0.000001,1)))</f>
        <v/>
      </c>
      <c r="H1697">
        <f>IF(A1697="","",E1697&amp;F1697&amp;G1697)</f>
        <v/>
      </c>
      <c r="I1697">
        <f>IF(A1697="","",IF(AND(E1697&gt;=4,F1697&gt;=4,G1697&gt;=4),"Juara",IF(AND(F1697&gt;=4,E1697&gt;=3),"Setia",IF(AND(E1697=5,F1697&lt;=2,G1697&gt;=3),"Berpotensi",IF(AND(E1697&lt;=3,E1697&gt;=2,F1697&gt;=3),"Rawan",IF(AND(E1697&lt;=2,F1697&lt;=2),"Tidur","Umum"))))))</f>
        <v/>
      </c>
    </row>
    <row r="1698">
      <c r="B1698">
        <f>IF(A1698="","",$B$1-MAXIFS(Donasi!$A$2:$A$20000,Donasi!$B$2:$B$20000,A1698))</f>
        <v/>
      </c>
      <c r="C1698">
        <f>IF(A1698="","",COUNTIF(Donasi!$B$2:$B$20000,A1698))</f>
        <v/>
      </c>
      <c r="D1698">
        <f>IF(A1698="","",SUMIF(Donasi!$B$2:$B$20000,A1698,Donasi!$C$2:$C$20000))</f>
        <v/>
      </c>
      <c r="E1698">
        <f>IF(A1698="","",6-CEILING(PERCENTRANK.INC($B$3:$B$6000,B1698,4)*5+0.000001,1))</f>
        <v/>
      </c>
      <c r="F1698">
        <f>IF(A1698="","",MAX(1,CEILING(PERCENTRANK.INC($C$3:$C$6000,C1698,4)*5+0.000001,1)))</f>
        <v/>
      </c>
      <c r="G1698">
        <f>IF(A1698="","",MAX(1,CEILING(PERCENTRANK.INC($D$3:$D$6000,D1698,4)*5+0.000001,1)))</f>
        <v/>
      </c>
      <c r="H1698">
        <f>IF(A1698="","",E1698&amp;F1698&amp;G1698)</f>
        <v/>
      </c>
      <c r="I1698">
        <f>IF(A1698="","",IF(AND(E1698&gt;=4,F1698&gt;=4,G1698&gt;=4),"Juara",IF(AND(F1698&gt;=4,E1698&gt;=3),"Setia",IF(AND(E1698=5,F1698&lt;=2,G1698&gt;=3),"Berpotensi",IF(AND(E1698&lt;=3,E1698&gt;=2,F1698&gt;=3),"Rawan",IF(AND(E1698&lt;=2,F1698&lt;=2),"Tidur","Umum"))))))</f>
        <v/>
      </c>
    </row>
    <row r="1699">
      <c r="B1699">
        <f>IF(A1699="","",$B$1-MAXIFS(Donasi!$A$2:$A$20000,Donasi!$B$2:$B$20000,A1699))</f>
        <v/>
      </c>
      <c r="C1699">
        <f>IF(A1699="","",COUNTIF(Donasi!$B$2:$B$20000,A1699))</f>
        <v/>
      </c>
      <c r="D1699">
        <f>IF(A1699="","",SUMIF(Donasi!$B$2:$B$20000,A1699,Donasi!$C$2:$C$20000))</f>
        <v/>
      </c>
      <c r="E1699">
        <f>IF(A1699="","",6-CEILING(PERCENTRANK.INC($B$3:$B$6000,B1699,4)*5+0.000001,1))</f>
        <v/>
      </c>
      <c r="F1699">
        <f>IF(A1699="","",MAX(1,CEILING(PERCENTRANK.INC($C$3:$C$6000,C1699,4)*5+0.000001,1)))</f>
        <v/>
      </c>
      <c r="G1699">
        <f>IF(A1699="","",MAX(1,CEILING(PERCENTRANK.INC($D$3:$D$6000,D1699,4)*5+0.000001,1)))</f>
        <v/>
      </c>
      <c r="H1699">
        <f>IF(A1699="","",E1699&amp;F1699&amp;G1699)</f>
        <v/>
      </c>
      <c r="I1699">
        <f>IF(A1699="","",IF(AND(E1699&gt;=4,F1699&gt;=4,G1699&gt;=4),"Juara",IF(AND(F1699&gt;=4,E1699&gt;=3),"Setia",IF(AND(E1699=5,F1699&lt;=2,G1699&gt;=3),"Berpotensi",IF(AND(E1699&lt;=3,E1699&gt;=2,F1699&gt;=3),"Rawan",IF(AND(E1699&lt;=2,F1699&lt;=2),"Tidur","Umum"))))))</f>
        <v/>
      </c>
    </row>
    <row r="1700">
      <c r="B1700">
        <f>IF(A1700="","",$B$1-MAXIFS(Donasi!$A$2:$A$20000,Donasi!$B$2:$B$20000,A1700))</f>
        <v/>
      </c>
      <c r="C1700">
        <f>IF(A1700="","",COUNTIF(Donasi!$B$2:$B$20000,A1700))</f>
        <v/>
      </c>
      <c r="D1700">
        <f>IF(A1700="","",SUMIF(Donasi!$B$2:$B$20000,A1700,Donasi!$C$2:$C$20000))</f>
        <v/>
      </c>
      <c r="E1700">
        <f>IF(A1700="","",6-CEILING(PERCENTRANK.INC($B$3:$B$6000,B1700,4)*5+0.000001,1))</f>
        <v/>
      </c>
      <c r="F1700">
        <f>IF(A1700="","",MAX(1,CEILING(PERCENTRANK.INC($C$3:$C$6000,C1700,4)*5+0.000001,1)))</f>
        <v/>
      </c>
      <c r="G1700">
        <f>IF(A1700="","",MAX(1,CEILING(PERCENTRANK.INC($D$3:$D$6000,D1700,4)*5+0.000001,1)))</f>
        <v/>
      </c>
      <c r="H1700">
        <f>IF(A1700="","",E1700&amp;F1700&amp;G1700)</f>
        <v/>
      </c>
      <c r="I1700">
        <f>IF(A1700="","",IF(AND(E1700&gt;=4,F1700&gt;=4,G1700&gt;=4),"Juara",IF(AND(F1700&gt;=4,E1700&gt;=3),"Setia",IF(AND(E1700=5,F1700&lt;=2,G1700&gt;=3),"Berpotensi",IF(AND(E1700&lt;=3,E1700&gt;=2,F1700&gt;=3),"Rawan",IF(AND(E1700&lt;=2,F1700&lt;=2),"Tidur","Umum"))))))</f>
        <v/>
      </c>
    </row>
    <row r="1701">
      <c r="B1701">
        <f>IF(A1701="","",$B$1-MAXIFS(Donasi!$A$2:$A$20000,Donasi!$B$2:$B$20000,A1701))</f>
        <v/>
      </c>
      <c r="C1701">
        <f>IF(A1701="","",COUNTIF(Donasi!$B$2:$B$20000,A1701))</f>
        <v/>
      </c>
      <c r="D1701">
        <f>IF(A1701="","",SUMIF(Donasi!$B$2:$B$20000,A1701,Donasi!$C$2:$C$20000))</f>
        <v/>
      </c>
      <c r="E1701">
        <f>IF(A1701="","",6-CEILING(PERCENTRANK.INC($B$3:$B$6000,B1701,4)*5+0.000001,1))</f>
        <v/>
      </c>
      <c r="F1701">
        <f>IF(A1701="","",MAX(1,CEILING(PERCENTRANK.INC($C$3:$C$6000,C1701,4)*5+0.000001,1)))</f>
        <v/>
      </c>
      <c r="G1701">
        <f>IF(A1701="","",MAX(1,CEILING(PERCENTRANK.INC($D$3:$D$6000,D1701,4)*5+0.000001,1)))</f>
        <v/>
      </c>
      <c r="H1701">
        <f>IF(A1701="","",E1701&amp;F1701&amp;G1701)</f>
        <v/>
      </c>
      <c r="I1701">
        <f>IF(A1701="","",IF(AND(E1701&gt;=4,F1701&gt;=4,G1701&gt;=4),"Juara",IF(AND(F1701&gt;=4,E1701&gt;=3),"Setia",IF(AND(E1701=5,F1701&lt;=2,G1701&gt;=3),"Berpotensi",IF(AND(E1701&lt;=3,E1701&gt;=2,F1701&gt;=3),"Rawan",IF(AND(E1701&lt;=2,F1701&lt;=2),"Tidur","Umum"))))))</f>
        <v/>
      </c>
    </row>
    <row r="1702">
      <c r="B1702">
        <f>IF(A1702="","",$B$1-MAXIFS(Donasi!$A$2:$A$20000,Donasi!$B$2:$B$20000,A1702))</f>
        <v/>
      </c>
      <c r="C1702">
        <f>IF(A1702="","",COUNTIF(Donasi!$B$2:$B$20000,A1702))</f>
        <v/>
      </c>
      <c r="D1702">
        <f>IF(A1702="","",SUMIF(Donasi!$B$2:$B$20000,A1702,Donasi!$C$2:$C$20000))</f>
        <v/>
      </c>
      <c r="E1702">
        <f>IF(A1702="","",6-CEILING(PERCENTRANK.INC($B$3:$B$6000,B1702,4)*5+0.000001,1))</f>
        <v/>
      </c>
      <c r="F1702">
        <f>IF(A1702="","",MAX(1,CEILING(PERCENTRANK.INC($C$3:$C$6000,C1702,4)*5+0.000001,1)))</f>
        <v/>
      </c>
      <c r="G1702">
        <f>IF(A1702="","",MAX(1,CEILING(PERCENTRANK.INC($D$3:$D$6000,D1702,4)*5+0.000001,1)))</f>
        <v/>
      </c>
      <c r="H1702">
        <f>IF(A1702="","",E1702&amp;F1702&amp;G1702)</f>
        <v/>
      </c>
      <c r="I1702">
        <f>IF(A1702="","",IF(AND(E1702&gt;=4,F1702&gt;=4,G1702&gt;=4),"Juara",IF(AND(F1702&gt;=4,E1702&gt;=3),"Setia",IF(AND(E1702=5,F1702&lt;=2,G1702&gt;=3),"Berpotensi",IF(AND(E1702&lt;=3,E1702&gt;=2,F1702&gt;=3),"Rawan",IF(AND(E1702&lt;=2,F1702&lt;=2),"Tidur","Umum"))))))</f>
        <v/>
      </c>
    </row>
    <row r="1703">
      <c r="B1703">
        <f>IF(A1703="","",$B$1-MAXIFS(Donasi!$A$2:$A$20000,Donasi!$B$2:$B$20000,A1703))</f>
        <v/>
      </c>
      <c r="C1703">
        <f>IF(A1703="","",COUNTIF(Donasi!$B$2:$B$20000,A1703))</f>
        <v/>
      </c>
      <c r="D1703">
        <f>IF(A1703="","",SUMIF(Donasi!$B$2:$B$20000,A1703,Donasi!$C$2:$C$20000))</f>
        <v/>
      </c>
      <c r="E1703">
        <f>IF(A1703="","",6-CEILING(PERCENTRANK.INC($B$3:$B$6000,B1703,4)*5+0.000001,1))</f>
        <v/>
      </c>
      <c r="F1703">
        <f>IF(A1703="","",MAX(1,CEILING(PERCENTRANK.INC($C$3:$C$6000,C1703,4)*5+0.000001,1)))</f>
        <v/>
      </c>
      <c r="G1703">
        <f>IF(A1703="","",MAX(1,CEILING(PERCENTRANK.INC($D$3:$D$6000,D1703,4)*5+0.000001,1)))</f>
        <v/>
      </c>
      <c r="H1703">
        <f>IF(A1703="","",E1703&amp;F1703&amp;G1703)</f>
        <v/>
      </c>
      <c r="I1703">
        <f>IF(A1703="","",IF(AND(E1703&gt;=4,F1703&gt;=4,G1703&gt;=4),"Juara",IF(AND(F1703&gt;=4,E1703&gt;=3),"Setia",IF(AND(E1703=5,F1703&lt;=2,G1703&gt;=3),"Berpotensi",IF(AND(E1703&lt;=3,E1703&gt;=2,F1703&gt;=3),"Rawan",IF(AND(E1703&lt;=2,F1703&lt;=2),"Tidur","Umum"))))))</f>
        <v/>
      </c>
    </row>
    <row r="1704">
      <c r="B1704">
        <f>IF(A1704="","",$B$1-MAXIFS(Donasi!$A$2:$A$20000,Donasi!$B$2:$B$20000,A1704))</f>
        <v/>
      </c>
      <c r="C1704">
        <f>IF(A1704="","",COUNTIF(Donasi!$B$2:$B$20000,A1704))</f>
        <v/>
      </c>
      <c r="D1704">
        <f>IF(A1704="","",SUMIF(Donasi!$B$2:$B$20000,A1704,Donasi!$C$2:$C$20000))</f>
        <v/>
      </c>
      <c r="E1704">
        <f>IF(A1704="","",6-CEILING(PERCENTRANK.INC($B$3:$B$6000,B1704,4)*5+0.000001,1))</f>
        <v/>
      </c>
      <c r="F1704">
        <f>IF(A1704="","",MAX(1,CEILING(PERCENTRANK.INC($C$3:$C$6000,C1704,4)*5+0.000001,1)))</f>
        <v/>
      </c>
      <c r="G1704">
        <f>IF(A1704="","",MAX(1,CEILING(PERCENTRANK.INC($D$3:$D$6000,D1704,4)*5+0.000001,1)))</f>
        <v/>
      </c>
      <c r="H1704">
        <f>IF(A1704="","",E1704&amp;F1704&amp;G1704)</f>
        <v/>
      </c>
      <c r="I1704">
        <f>IF(A1704="","",IF(AND(E1704&gt;=4,F1704&gt;=4,G1704&gt;=4),"Juara",IF(AND(F1704&gt;=4,E1704&gt;=3),"Setia",IF(AND(E1704=5,F1704&lt;=2,G1704&gt;=3),"Berpotensi",IF(AND(E1704&lt;=3,E1704&gt;=2,F1704&gt;=3),"Rawan",IF(AND(E1704&lt;=2,F1704&lt;=2),"Tidur","Umum"))))))</f>
        <v/>
      </c>
    </row>
    <row r="1705">
      <c r="B1705">
        <f>IF(A1705="","",$B$1-MAXIFS(Donasi!$A$2:$A$20000,Donasi!$B$2:$B$20000,A1705))</f>
        <v/>
      </c>
      <c r="C1705">
        <f>IF(A1705="","",COUNTIF(Donasi!$B$2:$B$20000,A1705))</f>
        <v/>
      </c>
      <c r="D1705">
        <f>IF(A1705="","",SUMIF(Donasi!$B$2:$B$20000,A1705,Donasi!$C$2:$C$20000))</f>
        <v/>
      </c>
      <c r="E1705">
        <f>IF(A1705="","",6-CEILING(PERCENTRANK.INC($B$3:$B$6000,B1705,4)*5+0.000001,1))</f>
        <v/>
      </c>
      <c r="F1705">
        <f>IF(A1705="","",MAX(1,CEILING(PERCENTRANK.INC($C$3:$C$6000,C1705,4)*5+0.000001,1)))</f>
        <v/>
      </c>
      <c r="G1705">
        <f>IF(A1705="","",MAX(1,CEILING(PERCENTRANK.INC($D$3:$D$6000,D1705,4)*5+0.000001,1)))</f>
        <v/>
      </c>
      <c r="H1705">
        <f>IF(A1705="","",E1705&amp;F1705&amp;G1705)</f>
        <v/>
      </c>
      <c r="I1705">
        <f>IF(A1705="","",IF(AND(E1705&gt;=4,F1705&gt;=4,G1705&gt;=4),"Juara",IF(AND(F1705&gt;=4,E1705&gt;=3),"Setia",IF(AND(E1705=5,F1705&lt;=2,G1705&gt;=3),"Berpotensi",IF(AND(E1705&lt;=3,E1705&gt;=2,F1705&gt;=3),"Rawan",IF(AND(E1705&lt;=2,F1705&lt;=2),"Tidur","Umum"))))))</f>
        <v/>
      </c>
    </row>
    <row r="1706">
      <c r="B1706">
        <f>IF(A1706="","",$B$1-MAXIFS(Donasi!$A$2:$A$20000,Donasi!$B$2:$B$20000,A1706))</f>
        <v/>
      </c>
      <c r="C1706">
        <f>IF(A1706="","",COUNTIF(Donasi!$B$2:$B$20000,A1706))</f>
        <v/>
      </c>
      <c r="D1706">
        <f>IF(A1706="","",SUMIF(Donasi!$B$2:$B$20000,A1706,Donasi!$C$2:$C$20000))</f>
        <v/>
      </c>
      <c r="E1706">
        <f>IF(A1706="","",6-CEILING(PERCENTRANK.INC($B$3:$B$6000,B1706,4)*5+0.000001,1))</f>
        <v/>
      </c>
      <c r="F1706">
        <f>IF(A1706="","",MAX(1,CEILING(PERCENTRANK.INC($C$3:$C$6000,C1706,4)*5+0.000001,1)))</f>
        <v/>
      </c>
      <c r="G1706">
        <f>IF(A1706="","",MAX(1,CEILING(PERCENTRANK.INC($D$3:$D$6000,D1706,4)*5+0.000001,1)))</f>
        <v/>
      </c>
      <c r="H1706">
        <f>IF(A1706="","",E1706&amp;F1706&amp;G1706)</f>
        <v/>
      </c>
      <c r="I1706">
        <f>IF(A1706="","",IF(AND(E1706&gt;=4,F1706&gt;=4,G1706&gt;=4),"Juara",IF(AND(F1706&gt;=4,E1706&gt;=3),"Setia",IF(AND(E1706=5,F1706&lt;=2,G1706&gt;=3),"Berpotensi",IF(AND(E1706&lt;=3,E1706&gt;=2,F1706&gt;=3),"Rawan",IF(AND(E1706&lt;=2,F1706&lt;=2),"Tidur","Umum"))))))</f>
        <v/>
      </c>
    </row>
    <row r="1707">
      <c r="B1707">
        <f>IF(A1707="","",$B$1-MAXIFS(Donasi!$A$2:$A$20000,Donasi!$B$2:$B$20000,A1707))</f>
        <v/>
      </c>
      <c r="C1707">
        <f>IF(A1707="","",COUNTIF(Donasi!$B$2:$B$20000,A1707))</f>
        <v/>
      </c>
      <c r="D1707">
        <f>IF(A1707="","",SUMIF(Donasi!$B$2:$B$20000,A1707,Donasi!$C$2:$C$20000))</f>
        <v/>
      </c>
      <c r="E1707">
        <f>IF(A1707="","",6-CEILING(PERCENTRANK.INC($B$3:$B$6000,B1707,4)*5+0.000001,1))</f>
        <v/>
      </c>
      <c r="F1707">
        <f>IF(A1707="","",MAX(1,CEILING(PERCENTRANK.INC($C$3:$C$6000,C1707,4)*5+0.000001,1)))</f>
        <v/>
      </c>
      <c r="G1707">
        <f>IF(A1707="","",MAX(1,CEILING(PERCENTRANK.INC($D$3:$D$6000,D1707,4)*5+0.000001,1)))</f>
        <v/>
      </c>
      <c r="H1707">
        <f>IF(A1707="","",E1707&amp;F1707&amp;G1707)</f>
        <v/>
      </c>
      <c r="I1707">
        <f>IF(A1707="","",IF(AND(E1707&gt;=4,F1707&gt;=4,G1707&gt;=4),"Juara",IF(AND(F1707&gt;=4,E1707&gt;=3),"Setia",IF(AND(E1707=5,F1707&lt;=2,G1707&gt;=3),"Berpotensi",IF(AND(E1707&lt;=3,E1707&gt;=2,F1707&gt;=3),"Rawan",IF(AND(E1707&lt;=2,F1707&lt;=2),"Tidur","Umum"))))))</f>
        <v/>
      </c>
    </row>
    <row r="1708">
      <c r="B1708">
        <f>IF(A1708="","",$B$1-MAXIFS(Donasi!$A$2:$A$20000,Donasi!$B$2:$B$20000,A1708))</f>
        <v/>
      </c>
      <c r="C1708">
        <f>IF(A1708="","",COUNTIF(Donasi!$B$2:$B$20000,A1708))</f>
        <v/>
      </c>
      <c r="D1708">
        <f>IF(A1708="","",SUMIF(Donasi!$B$2:$B$20000,A1708,Donasi!$C$2:$C$20000))</f>
        <v/>
      </c>
      <c r="E1708">
        <f>IF(A1708="","",6-CEILING(PERCENTRANK.INC($B$3:$B$6000,B1708,4)*5+0.000001,1))</f>
        <v/>
      </c>
      <c r="F1708">
        <f>IF(A1708="","",MAX(1,CEILING(PERCENTRANK.INC($C$3:$C$6000,C1708,4)*5+0.000001,1)))</f>
        <v/>
      </c>
      <c r="G1708">
        <f>IF(A1708="","",MAX(1,CEILING(PERCENTRANK.INC($D$3:$D$6000,D1708,4)*5+0.000001,1)))</f>
        <v/>
      </c>
      <c r="H1708">
        <f>IF(A1708="","",E1708&amp;F1708&amp;G1708)</f>
        <v/>
      </c>
      <c r="I1708">
        <f>IF(A1708="","",IF(AND(E1708&gt;=4,F1708&gt;=4,G1708&gt;=4),"Juara",IF(AND(F1708&gt;=4,E1708&gt;=3),"Setia",IF(AND(E1708=5,F1708&lt;=2,G1708&gt;=3),"Berpotensi",IF(AND(E1708&lt;=3,E1708&gt;=2,F1708&gt;=3),"Rawan",IF(AND(E1708&lt;=2,F1708&lt;=2),"Tidur","Umum"))))))</f>
        <v/>
      </c>
    </row>
    <row r="1709">
      <c r="B1709">
        <f>IF(A1709="","",$B$1-MAXIFS(Donasi!$A$2:$A$20000,Donasi!$B$2:$B$20000,A1709))</f>
        <v/>
      </c>
      <c r="C1709">
        <f>IF(A1709="","",COUNTIF(Donasi!$B$2:$B$20000,A1709))</f>
        <v/>
      </c>
      <c r="D1709">
        <f>IF(A1709="","",SUMIF(Donasi!$B$2:$B$20000,A1709,Donasi!$C$2:$C$20000))</f>
        <v/>
      </c>
      <c r="E1709">
        <f>IF(A1709="","",6-CEILING(PERCENTRANK.INC($B$3:$B$6000,B1709,4)*5+0.000001,1))</f>
        <v/>
      </c>
      <c r="F1709">
        <f>IF(A1709="","",MAX(1,CEILING(PERCENTRANK.INC($C$3:$C$6000,C1709,4)*5+0.000001,1)))</f>
        <v/>
      </c>
      <c r="G1709">
        <f>IF(A1709="","",MAX(1,CEILING(PERCENTRANK.INC($D$3:$D$6000,D1709,4)*5+0.000001,1)))</f>
        <v/>
      </c>
      <c r="H1709">
        <f>IF(A1709="","",E1709&amp;F1709&amp;G1709)</f>
        <v/>
      </c>
      <c r="I1709">
        <f>IF(A1709="","",IF(AND(E1709&gt;=4,F1709&gt;=4,G1709&gt;=4),"Juara",IF(AND(F1709&gt;=4,E1709&gt;=3),"Setia",IF(AND(E1709=5,F1709&lt;=2,G1709&gt;=3),"Berpotensi",IF(AND(E1709&lt;=3,E1709&gt;=2,F1709&gt;=3),"Rawan",IF(AND(E1709&lt;=2,F1709&lt;=2),"Tidur","Umum"))))))</f>
        <v/>
      </c>
    </row>
    <row r="1710">
      <c r="B1710">
        <f>IF(A1710="","",$B$1-MAXIFS(Donasi!$A$2:$A$20000,Donasi!$B$2:$B$20000,A1710))</f>
        <v/>
      </c>
      <c r="C1710">
        <f>IF(A1710="","",COUNTIF(Donasi!$B$2:$B$20000,A1710))</f>
        <v/>
      </c>
      <c r="D1710">
        <f>IF(A1710="","",SUMIF(Donasi!$B$2:$B$20000,A1710,Donasi!$C$2:$C$20000))</f>
        <v/>
      </c>
      <c r="E1710">
        <f>IF(A1710="","",6-CEILING(PERCENTRANK.INC($B$3:$B$6000,B1710,4)*5+0.000001,1))</f>
        <v/>
      </c>
      <c r="F1710">
        <f>IF(A1710="","",MAX(1,CEILING(PERCENTRANK.INC($C$3:$C$6000,C1710,4)*5+0.000001,1)))</f>
        <v/>
      </c>
      <c r="G1710">
        <f>IF(A1710="","",MAX(1,CEILING(PERCENTRANK.INC($D$3:$D$6000,D1710,4)*5+0.000001,1)))</f>
        <v/>
      </c>
      <c r="H1710">
        <f>IF(A1710="","",E1710&amp;F1710&amp;G1710)</f>
        <v/>
      </c>
      <c r="I1710">
        <f>IF(A1710="","",IF(AND(E1710&gt;=4,F1710&gt;=4,G1710&gt;=4),"Juara",IF(AND(F1710&gt;=4,E1710&gt;=3),"Setia",IF(AND(E1710=5,F1710&lt;=2,G1710&gt;=3),"Berpotensi",IF(AND(E1710&lt;=3,E1710&gt;=2,F1710&gt;=3),"Rawan",IF(AND(E1710&lt;=2,F1710&lt;=2),"Tidur","Umum"))))))</f>
        <v/>
      </c>
    </row>
    <row r="1711">
      <c r="B1711">
        <f>IF(A1711="","",$B$1-MAXIFS(Donasi!$A$2:$A$20000,Donasi!$B$2:$B$20000,A1711))</f>
        <v/>
      </c>
      <c r="C1711">
        <f>IF(A1711="","",COUNTIF(Donasi!$B$2:$B$20000,A1711))</f>
        <v/>
      </c>
      <c r="D1711">
        <f>IF(A1711="","",SUMIF(Donasi!$B$2:$B$20000,A1711,Donasi!$C$2:$C$20000))</f>
        <v/>
      </c>
      <c r="E1711">
        <f>IF(A1711="","",6-CEILING(PERCENTRANK.INC($B$3:$B$6000,B1711,4)*5+0.000001,1))</f>
        <v/>
      </c>
      <c r="F1711">
        <f>IF(A1711="","",MAX(1,CEILING(PERCENTRANK.INC($C$3:$C$6000,C1711,4)*5+0.000001,1)))</f>
        <v/>
      </c>
      <c r="G1711">
        <f>IF(A1711="","",MAX(1,CEILING(PERCENTRANK.INC($D$3:$D$6000,D1711,4)*5+0.000001,1)))</f>
        <v/>
      </c>
      <c r="H1711">
        <f>IF(A1711="","",E1711&amp;F1711&amp;G1711)</f>
        <v/>
      </c>
      <c r="I1711">
        <f>IF(A1711="","",IF(AND(E1711&gt;=4,F1711&gt;=4,G1711&gt;=4),"Juara",IF(AND(F1711&gt;=4,E1711&gt;=3),"Setia",IF(AND(E1711=5,F1711&lt;=2,G1711&gt;=3),"Berpotensi",IF(AND(E1711&lt;=3,E1711&gt;=2,F1711&gt;=3),"Rawan",IF(AND(E1711&lt;=2,F1711&lt;=2),"Tidur","Umum"))))))</f>
        <v/>
      </c>
    </row>
    <row r="1712">
      <c r="B1712">
        <f>IF(A1712="","",$B$1-MAXIFS(Donasi!$A$2:$A$20000,Donasi!$B$2:$B$20000,A1712))</f>
        <v/>
      </c>
      <c r="C1712">
        <f>IF(A1712="","",COUNTIF(Donasi!$B$2:$B$20000,A1712))</f>
        <v/>
      </c>
      <c r="D1712">
        <f>IF(A1712="","",SUMIF(Donasi!$B$2:$B$20000,A1712,Donasi!$C$2:$C$20000))</f>
        <v/>
      </c>
      <c r="E1712">
        <f>IF(A1712="","",6-CEILING(PERCENTRANK.INC($B$3:$B$6000,B1712,4)*5+0.000001,1))</f>
        <v/>
      </c>
      <c r="F1712">
        <f>IF(A1712="","",MAX(1,CEILING(PERCENTRANK.INC($C$3:$C$6000,C1712,4)*5+0.000001,1)))</f>
        <v/>
      </c>
      <c r="G1712">
        <f>IF(A1712="","",MAX(1,CEILING(PERCENTRANK.INC($D$3:$D$6000,D1712,4)*5+0.000001,1)))</f>
        <v/>
      </c>
      <c r="H1712">
        <f>IF(A1712="","",E1712&amp;F1712&amp;G1712)</f>
        <v/>
      </c>
      <c r="I1712">
        <f>IF(A1712="","",IF(AND(E1712&gt;=4,F1712&gt;=4,G1712&gt;=4),"Juara",IF(AND(F1712&gt;=4,E1712&gt;=3),"Setia",IF(AND(E1712=5,F1712&lt;=2,G1712&gt;=3),"Berpotensi",IF(AND(E1712&lt;=3,E1712&gt;=2,F1712&gt;=3),"Rawan",IF(AND(E1712&lt;=2,F1712&lt;=2),"Tidur","Umum"))))))</f>
        <v/>
      </c>
    </row>
    <row r="1713">
      <c r="B1713">
        <f>IF(A1713="","",$B$1-MAXIFS(Donasi!$A$2:$A$20000,Donasi!$B$2:$B$20000,A1713))</f>
        <v/>
      </c>
      <c r="C1713">
        <f>IF(A1713="","",COUNTIF(Donasi!$B$2:$B$20000,A1713))</f>
        <v/>
      </c>
      <c r="D1713">
        <f>IF(A1713="","",SUMIF(Donasi!$B$2:$B$20000,A1713,Donasi!$C$2:$C$20000))</f>
        <v/>
      </c>
      <c r="E1713">
        <f>IF(A1713="","",6-CEILING(PERCENTRANK.INC($B$3:$B$6000,B1713,4)*5+0.000001,1))</f>
        <v/>
      </c>
      <c r="F1713">
        <f>IF(A1713="","",MAX(1,CEILING(PERCENTRANK.INC($C$3:$C$6000,C1713,4)*5+0.000001,1)))</f>
        <v/>
      </c>
      <c r="G1713">
        <f>IF(A1713="","",MAX(1,CEILING(PERCENTRANK.INC($D$3:$D$6000,D1713,4)*5+0.000001,1)))</f>
        <v/>
      </c>
      <c r="H1713">
        <f>IF(A1713="","",E1713&amp;F1713&amp;G1713)</f>
        <v/>
      </c>
      <c r="I1713">
        <f>IF(A1713="","",IF(AND(E1713&gt;=4,F1713&gt;=4,G1713&gt;=4),"Juara",IF(AND(F1713&gt;=4,E1713&gt;=3),"Setia",IF(AND(E1713=5,F1713&lt;=2,G1713&gt;=3),"Berpotensi",IF(AND(E1713&lt;=3,E1713&gt;=2,F1713&gt;=3),"Rawan",IF(AND(E1713&lt;=2,F1713&lt;=2),"Tidur","Umum"))))))</f>
        <v/>
      </c>
    </row>
    <row r="1714">
      <c r="B1714">
        <f>IF(A1714="","",$B$1-MAXIFS(Donasi!$A$2:$A$20000,Donasi!$B$2:$B$20000,A1714))</f>
        <v/>
      </c>
      <c r="C1714">
        <f>IF(A1714="","",COUNTIF(Donasi!$B$2:$B$20000,A1714))</f>
        <v/>
      </c>
      <c r="D1714">
        <f>IF(A1714="","",SUMIF(Donasi!$B$2:$B$20000,A1714,Donasi!$C$2:$C$20000))</f>
        <v/>
      </c>
      <c r="E1714">
        <f>IF(A1714="","",6-CEILING(PERCENTRANK.INC($B$3:$B$6000,B1714,4)*5+0.000001,1))</f>
        <v/>
      </c>
      <c r="F1714">
        <f>IF(A1714="","",MAX(1,CEILING(PERCENTRANK.INC($C$3:$C$6000,C1714,4)*5+0.000001,1)))</f>
        <v/>
      </c>
      <c r="G1714">
        <f>IF(A1714="","",MAX(1,CEILING(PERCENTRANK.INC($D$3:$D$6000,D1714,4)*5+0.000001,1)))</f>
        <v/>
      </c>
      <c r="H1714">
        <f>IF(A1714="","",E1714&amp;F1714&amp;G1714)</f>
        <v/>
      </c>
      <c r="I1714">
        <f>IF(A1714="","",IF(AND(E1714&gt;=4,F1714&gt;=4,G1714&gt;=4),"Juara",IF(AND(F1714&gt;=4,E1714&gt;=3),"Setia",IF(AND(E1714=5,F1714&lt;=2,G1714&gt;=3),"Berpotensi",IF(AND(E1714&lt;=3,E1714&gt;=2,F1714&gt;=3),"Rawan",IF(AND(E1714&lt;=2,F1714&lt;=2),"Tidur","Umum"))))))</f>
        <v/>
      </c>
    </row>
    <row r="1715">
      <c r="B1715">
        <f>IF(A1715="","",$B$1-MAXIFS(Donasi!$A$2:$A$20000,Donasi!$B$2:$B$20000,A1715))</f>
        <v/>
      </c>
      <c r="C1715">
        <f>IF(A1715="","",COUNTIF(Donasi!$B$2:$B$20000,A1715))</f>
        <v/>
      </c>
      <c r="D1715">
        <f>IF(A1715="","",SUMIF(Donasi!$B$2:$B$20000,A1715,Donasi!$C$2:$C$20000))</f>
        <v/>
      </c>
      <c r="E1715">
        <f>IF(A1715="","",6-CEILING(PERCENTRANK.INC($B$3:$B$6000,B1715,4)*5+0.000001,1))</f>
        <v/>
      </c>
      <c r="F1715">
        <f>IF(A1715="","",MAX(1,CEILING(PERCENTRANK.INC($C$3:$C$6000,C1715,4)*5+0.000001,1)))</f>
        <v/>
      </c>
      <c r="G1715">
        <f>IF(A1715="","",MAX(1,CEILING(PERCENTRANK.INC($D$3:$D$6000,D1715,4)*5+0.000001,1)))</f>
        <v/>
      </c>
      <c r="H1715">
        <f>IF(A1715="","",E1715&amp;F1715&amp;G1715)</f>
        <v/>
      </c>
      <c r="I1715">
        <f>IF(A1715="","",IF(AND(E1715&gt;=4,F1715&gt;=4,G1715&gt;=4),"Juara",IF(AND(F1715&gt;=4,E1715&gt;=3),"Setia",IF(AND(E1715=5,F1715&lt;=2,G1715&gt;=3),"Berpotensi",IF(AND(E1715&lt;=3,E1715&gt;=2,F1715&gt;=3),"Rawan",IF(AND(E1715&lt;=2,F1715&lt;=2),"Tidur","Umum"))))))</f>
        <v/>
      </c>
    </row>
    <row r="1716">
      <c r="B1716">
        <f>IF(A1716="","",$B$1-MAXIFS(Donasi!$A$2:$A$20000,Donasi!$B$2:$B$20000,A1716))</f>
        <v/>
      </c>
      <c r="C1716">
        <f>IF(A1716="","",COUNTIF(Donasi!$B$2:$B$20000,A1716))</f>
        <v/>
      </c>
      <c r="D1716">
        <f>IF(A1716="","",SUMIF(Donasi!$B$2:$B$20000,A1716,Donasi!$C$2:$C$20000))</f>
        <v/>
      </c>
      <c r="E1716">
        <f>IF(A1716="","",6-CEILING(PERCENTRANK.INC($B$3:$B$6000,B1716,4)*5+0.000001,1))</f>
        <v/>
      </c>
      <c r="F1716">
        <f>IF(A1716="","",MAX(1,CEILING(PERCENTRANK.INC($C$3:$C$6000,C1716,4)*5+0.000001,1)))</f>
        <v/>
      </c>
      <c r="G1716">
        <f>IF(A1716="","",MAX(1,CEILING(PERCENTRANK.INC($D$3:$D$6000,D1716,4)*5+0.000001,1)))</f>
        <v/>
      </c>
      <c r="H1716">
        <f>IF(A1716="","",E1716&amp;F1716&amp;G1716)</f>
        <v/>
      </c>
      <c r="I1716">
        <f>IF(A1716="","",IF(AND(E1716&gt;=4,F1716&gt;=4,G1716&gt;=4),"Juara",IF(AND(F1716&gt;=4,E1716&gt;=3),"Setia",IF(AND(E1716=5,F1716&lt;=2,G1716&gt;=3),"Berpotensi",IF(AND(E1716&lt;=3,E1716&gt;=2,F1716&gt;=3),"Rawan",IF(AND(E1716&lt;=2,F1716&lt;=2),"Tidur","Umum"))))))</f>
        <v/>
      </c>
    </row>
    <row r="1717">
      <c r="B1717">
        <f>IF(A1717="","",$B$1-MAXIFS(Donasi!$A$2:$A$20000,Donasi!$B$2:$B$20000,A1717))</f>
        <v/>
      </c>
      <c r="C1717">
        <f>IF(A1717="","",COUNTIF(Donasi!$B$2:$B$20000,A1717))</f>
        <v/>
      </c>
      <c r="D1717">
        <f>IF(A1717="","",SUMIF(Donasi!$B$2:$B$20000,A1717,Donasi!$C$2:$C$20000))</f>
        <v/>
      </c>
      <c r="E1717">
        <f>IF(A1717="","",6-CEILING(PERCENTRANK.INC($B$3:$B$6000,B1717,4)*5+0.000001,1))</f>
        <v/>
      </c>
      <c r="F1717">
        <f>IF(A1717="","",MAX(1,CEILING(PERCENTRANK.INC($C$3:$C$6000,C1717,4)*5+0.000001,1)))</f>
        <v/>
      </c>
      <c r="G1717">
        <f>IF(A1717="","",MAX(1,CEILING(PERCENTRANK.INC($D$3:$D$6000,D1717,4)*5+0.000001,1)))</f>
        <v/>
      </c>
      <c r="H1717">
        <f>IF(A1717="","",E1717&amp;F1717&amp;G1717)</f>
        <v/>
      </c>
      <c r="I1717">
        <f>IF(A1717="","",IF(AND(E1717&gt;=4,F1717&gt;=4,G1717&gt;=4),"Juara",IF(AND(F1717&gt;=4,E1717&gt;=3),"Setia",IF(AND(E1717=5,F1717&lt;=2,G1717&gt;=3),"Berpotensi",IF(AND(E1717&lt;=3,E1717&gt;=2,F1717&gt;=3),"Rawan",IF(AND(E1717&lt;=2,F1717&lt;=2),"Tidur","Umum"))))))</f>
        <v/>
      </c>
    </row>
    <row r="1718">
      <c r="B1718">
        <f>IF(A1718="","",$B$1-MAXIFS(Donasi!$A$2:$A$20000,Donasi!$B$2:$B$20000,A1718))</f>
        <v/>
      </c>
      <c r="C1718">
        <f>IF(A1718="","",COUNTIF(Donasi!$B$2:$B$20000,A1718))</f>
        <v/>
      </c>
      <c r="D1718">
        <f>IF(A1718="","",SUMIF(Donasi!$B$2:$B$20000,A1718,Donasi!$C$2:$C$20000))</f>
        <v/>
      </c>
      <c r="E1718">
        <f>IF(A1718="","",6-CEILING(PERCENTRANK.INC($B$3:$B$6000,B1718,4)*5+0.000001,1))</f>
        <v/>
      </c>
      <c r="F1718">
        <f>IF(A1718="","",MAX(1,CEILING(PERCENTRANK.INC($C$3:$C$6000,C1718,4)*5+0.000001,1)))</f>
        <v/>
      </c>
      <c r="G1718">
        <f>IF(A1718="","",MAX(1,CEILING(PERCENTRANK.INC($D$3:$D$6000,D1718,4)*5+0.000001,1)))</f>
        <v/>
      </c>
      <c r="H1718">
        <f>IF(A1718="","",E1718&amp;F1718&amp;G1718)</f>
        <v/>
      </c>
      <c r="I1718">
        <f>IF(A1718="","",IF(AND(E1718&gt;=4,F1718&gt;=4,G1718&gt;=4),"Juara",IF(AND(F1718&gt;=4,E1718&gt;=3),"Setia",IF(AND(E1718=5,F1718&lt;=2,G1718&gt;=3),"Berpotensi",IF(AND(E1718&lt;=3,E1718&gt;=2,F1718&gt;=3),"Rawan",IF(AND(E1718&lt;=2,F1718&lt;=2),"Tidur","Umum"))))))</f>
        <v/>
      </c>
    </row>
    <row r="1719">
      <c r="B1719">
        <f>IF(A1719="","",$B$1-MAXIFS(Donasi!$A$2:$A$20000,Donasi!$B$2:$B$20000,A1719))</f>
        <v/>
      </c>
      <c r="C1719">
        <f>IF(A1719="","",COUNTIF(Donasi!$B$2:$B$20000,A1719))</f>
        <v/>
      </c>
      <c r="D1719">
        <f>IF(A1719="","",SUMIF(Donasi!$B$2:$B$20000,A1719,Donasi!$C$2:$C$20000))</f>
        <v/>
      </c>
      <c r="E1719">
        <f>IF(A1719="","",6-CEILING(PERCENTRANK.INC($B$3:$B$6000,B1719,4)*5+0.000001,1))</f>
        <v/>
      </c>
      <c r="F1719">
        <f>IF(A1719="","",MAX(1,CEILING(PERCENTRANK.INC($C$3:$C$6000,C1719,4)*5+0.000001,1)))</f>
        <v/>
      </c>
      <c r="G1719">
        <f>IF(A1719="","",MAX(1,CEILING(PERCENTRANK.INC($D$3:$D$6000,D1719,4)*5+0.000001,1)))</f>
        <v/>
      </c>
      <c r="H1719">
        <f>IF(A1719="","",E1719&amp;F1719&amp;G1719)</f>
        <v/>
      </c>
      <c r="I1719">
        <f>IF(A1719="","",IF(AND(E1719&gt;=4,F1719&gt;=4,G1719&gt;=4),"Juara",IF(AND(F1719&gt;=4,E1719&gt;=3),"Setia",IF(AND(E1719=5,F1719&lt;=2,G1719&gt;=3),"Berpotensi",IF(AND(E1719&lt;=3,E1719&gt;=2,F1719&gt;=3),"Rawan",IF(AND(E1719&lt;=2,F1719&lt;=2),"Tidur","Umum"))))))</f>
        <v/>
      </c>
    </row>
    <row r="1720">
      <c r="B1720">
        <f>IF(A1720="","",$B$1-MAXIFS(Donasi!$A$2:$A$20000,Donasi!$B$2:$B$20000,A1720))</f>
        <v/>
      </c>
      <c r="C1720">
        <f>IF(A1720="","",COUNTIF(Donasi!$B$2:$B$20000,A1720))</f>
        <v/>
      </c>
      <c r="D1720">
        <f>IF(A1720="","",SUMIF(Donasi!$B$2:$B$20000,A1720,Donasi!$C$2:$C$20000))</f>
        <v/>
      </c>
      <c r="E1720">
        <f>IF(A1720="","",6-CEILING(PERCENTRANK.INC($B$3:$B$6000,B1720,4)*5+0.000001,1))</f>
        <v/>
      </c>
      <c r="F1720">
        <f>IF(A1720="","",MAX(1,CEILING(PERCENTRANK.INC($C$3:$C$6000,C1720,4)*5+0.000001,1)))</f>
        <v/>
      </c>
      <c r="G1720">
        <f>IF(A1720="","",MAX(1,CEILING(PERCENTRANK.INC($D$3:$D$6000,D1720,4)*5+0.000001,1)))</f>
        <v/>
      </c>
      <c r="H1720">
        <f>IF(A1720="","",E1720&amp;F1720&amp;G1720)</f>
        <v/>
      </c>
      <c r="I1720">
        <f>IF(A1720="","",IF(AND(E1720&gt;=4,F1720&gt;=4,G1720&gt;=4),"Juara",IF(AND(F1720&gt;=4,E1720&gt;=3),"Setia",IF(AND(E1720=5,F1720&lt;=2,G1720&gt;=3),"Berpotensi",IF(AND(E1720&lt;=3,E1720&gt;=2,F1720&gt;=3),"Rawan",IF(AND(E1720&lt;=2,F1720&lt;=2),"Tidur","Umum"))))))</f>
        <v/>
      </c>
    </row>
    <row r="1721">
      <c r="B1721">
        <f>IF(A1721="","",$B$1-MAXIFS(Donasi!$A$2:$A$20000,Donasi!$B$2:$B$20000,A1721))</f>
        <v/>
      </c>
      <c r="C1721">
        <f>IF(A1721="","",COUNTIF(Donasi!$B$2:$B$20000,A1721))</f>
        <v/>
      </c>
      <c r="D1721">
        <f>IF(A1721="","",SUMIF(Donasi!$B$2:$B$20000,A1721,Donasi!$C$2:$C$20000))</f>
        <v/>
      </c>
      <c r="E1721">
        <f>IF(A1721="","",6-CEILING(PERCENTRANK.INC($B$3:$B$6000,B1721,4)*5+0.000001,1))</f>
        <v/>
      </c>
      <c r="F1721">
        <f>IF(A1721="","",MAX(1,CEILING(PERCENTRANK.INC($C$3:$C$6000,C1721,4)*5+0.000001,1)))</f>
        <v/>
      </c>
      <c r="G1721">
        <f>IF(A1721="","",MAX(1,CEILING(PERCENTRANK.INC($D$3:$D$6000,D1721,4)*5+0.000001,1)))</f>
        <v/>
      </c>
      <c r="H1721">
        <f>IF(A1721="","",E1721&amp;F1721&amp;G1721)</f>
        <v/>
      </c>
      <c r="I1721">
        <f>IF(A1721="","",IF(AND(E1721&gt;=4,F1721&gt;=4,G1721&gt;=4),"Juara",IF(AND(F1721&gt;=4,E1721&gt;=3),"Setia",IF(AND(E1721=5,F1721&lt;=2,G1721&gt;=3),"Berpotensi",IF(AND(E1721&lt;=3,E1721&gt;=2,F1721&gt;=3),"Rawan",IF(AND(E1721&lt;=2,F1721&lt;=2),"Tidur","Umum"))))))</f>
        <v/>
      </c>
    </row>
    <row r="1722">
      <c r="B1722">
        <f>IF(A1722="","",$B$1-MAXIFS(Donasi!$A$2:$A$20000,Donasi!$B$2:$B$20000,A1722))</f>
        <v/>
      </c>
      <c r="C1722">
        <f>IF(A1722="","",COUNTIF(Donasi!$B$2:$B$20000,A1722))</f>
        <v/>
      </c>
      <c r="D1722">
        <f>IF(A1722="","",SUMIF(Donasi!$B$2:$B$20000,A1722,Donasi!$C$2:$C$20000))</f>
        <v/>
      </c>
      <c r="E1722">
        <f>IF(A1722="","",6-CEILING(PERCENTRANK.INC($B$3:$B$6000,B1722,4)*5+0.000001,1))</f>
        <v/>
      </c>
      <c r="F1722">
        <f>IF(A1722="","",MAX(1,CEILING(PERCENTRANK.INC($C$3:$C$6000,C1722,4)*5+0.000001,1)))</f>
        <v/>
      </c>
      <c r="G1722">
        <f>IF(A1722="","",MAX(1,CEILING(PERCENTRANK.INC($D$3:$D$6000,D1722,4)*5+0.000001,1)))</f>
        <v/>
      </c>
      <c r="H1722">
        <f>IF(A1722="","",E1722&amp;F1722&amp;G1722)</f>
        <v/>
      </c>
      <c r="I1722">
        <f>IF(A1722="","",IF(AND(E1722&gt;=4,F1722&gt;=4,G1722&gt;=4),"Juara",IF(AND(F1722&gt;=4,E1722&gt;=3),"Setia",IF(AND(E1722=5,F1722&lt;=2,G1722&gt;=3),"Berpotensi",IF(AND(E1722&lt;=3,E1722&gt;=2,F1722&gt;=3),"Rawan",IF(AND(E1722&lt;=2,F1722&lt;=2),"Tidur","Umum"))))))</f>
        <v/>
      </c>
    </row>
    <row r="1723">
      <c r="B1723">
        <f>IF(A1723="","",$B$1-MAXIFS(Donasi!$A$2:$A$20000,Donasi!$B$2:$B$20000,A1723))</f>
        <v/>
      </c>
      <c r="C1723">
        <f>IF(A1723="","",COUNTIF(Donasi!$B$2:$B$20000,A1723))</f>
        <v/>
      </c>
      <c r="D1723">
        <f>IF(A1723="","",SUMIF(Donasi!$B$2:$B$20000,A1723,Donasi!$C$2:$C$20000))</f>
        <v/>
      </c>
      <c r="E1723">
        <f>IF(A1723="","",6-CEILING(PERCENTRANK.INC($B$3:$B$6000,B1723,4)*5+0.000001,1))</f>
        <v/>
      </c>
      <c r="F1723">
        <f>IF(A1723="","",MAX(1,CEILING(PERCENTRANK.INC($C$3:$C$6000,C1723,4)*5+0.000001,1)))</f>
        <v/>
      </c>
      <c r="G1723">
        <f>IF(A1723="","",MAX(1,CEILING(PERCENTRANK.INC($D$3:$D$6000,D1723,4)*5+0.000001,1)))</f>
        <v/>
      </c>
      <c r="H1723">
        <f>IF(A1723="","",E1723&amp;F1723&amp;G1723)</f>
        <v/>
      </c>
      <c r="I1723">
        <f>IF(A1723="","",IF(AND(E1723&gt;=4,F1723&gt;=4,G1723&gt;=4),"Juara",IF(AND(F1723&gt;=4,E1723&gt;=3),"Setia",IF(AND(E1723=5,F1723&lt;=2,G1723&gt;=3),"Berpotensi",IF(AND(E1723&lt;=3,E1723&gt;=2,F1723&gt;=3),"Rawan",IF(AND(E1723&lt;=2,F1723&lt;=2),"Tidur","Umum"))))))</f>
        <v/>
      </c>
    </row>
    <row r="1724">
      <c r="B1724">
        <f>IF(A1724="","",$B$1-MAXIFS(Donasi!$A$2:$A$20000,Donasi!$B$2:$B$20000,A1724))</f>
        <v/>
      </c>
      <c r="C1724">
        <f>IF(A1724="","",COUNTIF(Donasi!$B$2:$B$20000,A1724))</f>
        <v/>
      </c>
      <c r="D1724">
        <f>IF(A1724="","",SUMIF(Donasi!$B$2:$B$20000,A1724,Donasi!$C$2:$C$20000))</f>
        <v/>
      </c>
      <c r="E1724">
        <f>IF(A1724="","",6-CEILING(PERCENTRANK.INC($B$3:$B$6000,B1724,4)*5+0.000001,1))</f>
        <v/>
      </c>
      <c r="F1724">
        <f>IF(A1724="","",MAX(1,CEILING(PERCENTRANK.INC($C$3:$C$6000,C1724,4)*5+0.000001,1)))</f>
        <v/>
      </c>
      <c r="G1724">
        <f>IF(A1724="","",MAX(1,CEILING(PERCENTRANK.INC($D$3:$D$6000,D1724,4)*5+0.000001,1)))</f>
        <v/>
      </c>
      <c r="H1724">
        <f>IF(A1724="","",E1724&amp;F1724&amp;G1724)</f>
        <v/>
      </c>
      <c r="I1724">
        <f>IF(A1724="","",IF(AND(E1724&gt;=4,F1724&gt;=4,G1724&gt;=4),"Juara",IF(AND(F1724&gt;=4,E1724&gt;=3),"Setia",IF(AND(E1724=5,F1724&lt;=2,G1724&gt;=3),"Berpotensi",IF(AND(E1724&lt;=3,E1724&gt;=2,F1724&gt;=3),"Rawan",IF(AND(E1724&lt;=2,F1724&lt;=2),"Tidur","Umum"))))))</f>
        <v/>
      </c>
    </row>
    <row r="1725">
      <c r="B1725">
        <f>IF(A1725="","",$B$1-MAXIFS(Donasi!$A$2:$A$20000,Donasi!$B$2:$B$20000,A1725))</f>
        <v/>
      </c>
      <c r="C1725">
        <f>IF(A1725="","",COUNTIF(Donasi!$B$2:$B$20000,A1725))</f>
        <v/>
      </c>
      <c r="D1725">
        <f>IF(A1725="","",SUMIF(Donasi!$B$2:$B$20000,A1725,Donasi!$C$2:$C$20000))</f>
        <v/>
      </c>
      <c r="E1725">
        <f>IF(A1725="","",6-CEILING(PERCENTRANK.INC($B$3:$B$6000,B1725,4)*5+0.000001,1))</f>
        <v/>
      </c>
      <c r="F1725">
        <f>IF(A1725="","",MAX(1,CEILING(PERCENTRANK.INC($C$3:$C$6000,C1725,4)*5+0.000001,1)))</f>
        <v/>
      </c>
      <c r="G1725">
        <f>IF(A1725="","",MAX(1,CEILING(PERCENTRANK.INC($D$3:$D$6000,D1725,4)*5+0.000001,1)))</f>
        <v/>
      </c>
      <c r="H1725">
        <f>IF(A1725="","",E1725&amp;F1725&amp;G1725)</f>
        <v/>
      </c>
      <c r="I1725">
        <f>IF(A1725="","",IF(AND(E1725&gt;=4,F1725&gt;=4,G1725&gt;=4),"Juara",IF(AND(F1725&gt;=4,E1725&gt;=3),"Setia",IF(AND(E1725=5,F1725&lt;=2,G1725&gt;=3),"Berpotensi",IF(AND(E1725&lt;=3,E1725&gt;=2,F1725&gt;=3),"Rawan",IF(AND(E1725&lt;=2,F1725&lt;=2),"Tidur","Umum"))))))</f>
        <v/>
      </c>
    </row>
    <row r="1726">
      <c r="B1726">
        <f>IF(A1726="","",$B$1-MAXIFS(Donasi!$A$2:$A$20000,Donasi!$B$2:$B$20000,A1726))</f>
        <v/>
      </c>
      <c r="C1726">
        <f>IF(A1726="","",COUNTIF(Donasi!$B$2:$B$20000,A1726))</f>
        <v/>
      </c>
      <c r="D1726">
        <f>IF(A1726="","",SUMIF(Donasi!$B$2:$B$20000,A1726,Donasi!$C$2:$C$20000))</f>
        <v/>
      </c>
      <c r="E1726">
        <f>IF(A1726="","",6-CEILING(PERCENTRANK.INC($B$3:$B$6000,B1726,4)*5+0.000001,1))</f>
        <v/>
      </c>
      <c r="F1726">
        <f>IF(A1726="","",MAX(1,CEILING(PERCENTRANK.INC($C$3:$C$6000,C1726,4)*5+0.000001,1)))</f>
        <v/>
      </c>
      <c r="G1726">
        <f>IF(A1726="","",MAX(1,CEILING(PERCENTRANK.INC($D$3:$D$6000,D1726,4)*5+0.000001,1)))</f>
        <v/>
      </c>
      <c r="H1726">
        <f>IF(A1726="","",E1726&amp;F1726&amp;G1726)</f>
        <v/>
      </c>
      <c r="I1726">
        <f>IF(A1726="","",IF(AND(E1726&gt;=4,F1726&gt;=4,G1726&gt;=4),"Juara",IF(AND(F1726&gt;=4,E1726&gt;=3),"Setia",IF(AND(E1726=5,F1726&lt;=2,G1726&gt;=3),"Berpotensi",IF(AND(E1726&lt;=3,E1726&gt;=2,F1726&gt;=3),"Rawan",IF(AND(E1726&lt;=2,F1726&lt;=2),"Tidur","Umum"))))))</f>
        <v/>
      </c>
    </row>
    <row r="1727">
      <c r="B1727">
        <f>IF(A1727="","",$B$1-MAXIFS(Donasi!$A$2:$A$20000,Donasi!$B$2:$B$20000,A1727))</f>
        <v/>
      </c>
      <c r="C1727">
        <f>IF(A1727="","",COUNTIF(Donasi!$B$2:$B$20000,A1727))</f>
        <v/>
      </c>
      <c r="D1727">
        <f>IF(A1727="","",SUMIF(Donasi!$B$2:$B$20000,A1727,Donasi!$C$2:$C$20000))</f>
        <v/>
      </c>
      <c r="E1727">
        <f>IF(A1727="","",6-CEILING(PERCENTRANK.INC($B$3:$B$6000,B1727,4)*5+0.000001,1))</f>
        <v/>
      </c>
      <c r="F1727">
        <f>IF(A1727="","",MAX(1,CEILING(PERCENTRANK.INC($C$3:$C$6000,C1727,4)*5+0.000001,1)))</f>
        <v/>
      </c>
      <c r="G1727">
        <f>IF(A1727="","",MAX(1,CEILING(PERCENTRANK.INC($D$3:$D$6000,D1727,4)*5+0.000001,1)))</f>
        <v/>
      </c>
      <c r="H1727">
        <f>IF(A1727="","",E1727&amp;F1727&amp;G1727)</f>
        <v/>
      </c>
      <c r="I1727">
        <f>IF(A1727="","",IF(AND(E1727&gt;=4,F1727&gt;=4,G1727&gt;=4),"Juara",IF(AND(F1727&gt;=4,E1727&gt;=3),"Setia",IF(AND(E1727=5,F1727&lt;=2,G1727&gt;=3),"Berpotensi",IF(AND(E1727&lt;=3,E1727&gt;=2,F1727&gt;=3),"Rawan",IF(AND(E1727&lt;=2,F1727&lt;=2),"Tidur","Umum"))))))</f>
        <v/>
      </c>
    </row>
    <row r="1728">
      <c r="B1728">
        <f>IF(A1728="","",$B$1-MAXIFS(Donasi!$A$2:$A$20000,Donasi!$B$2:$B$20000,A1728))</f>
        <v/>
      </c>
      <c r="C1728">
        <f>IF(A1728="","",COUNTIF(Donasi!$B$2:$B$20000,A1728))</f>
        <v/>
      </c>
      <c r="D1728">
        <f>IF(A1728="","",SUMIF(Donasi!$B$2:$B$20000,A1728,Donasi!$C$2:$C$20000))</f>
        <v/>
      </c>
      <c r="E1728">
        <f>IF(A1728="","",6-CEILING(PERCENTRANK.INC($B$3:$B$6000,B1728,4)*5+0.000001,1))</f>
        <v/>
      </c>
      <c r="F1728">
        <f>IF(A1728="","",MAX(1,CEILING(PERCENTRANK.INC($C$3:$C$6000,C1728,4)*5+0.000001,1)))</f>
        <v/>
      </c>
      <c r="G1728">
        <f>IF(A1728="","",MAX(1,CEILING(PERCENTRANK.INC($D$3:$D$6000,D1728,4)*5+0.000001,1)))</f>
        <v/>
      </c>
      <c r="H1728">
        <f>IF(A1728="","",E1728&amp;F1728&amp;G1728)</f>
        <v/>
      </c>
      <c r="I1728">
        <f>IF(A1728="","",IF(AND(E1728&gt;=4,F1728&gt;=4,G1728&gt;=4),"Juara",IF(AND(F1728&gt;=4,E1728&gt;=3),"Setia",IF(AND(E1728=5,F1728&lt;=2,G1728&gt;=3),"Berpotensi",IF(AND(E1728&lt;=3,E1728&gt;=2,F1728&gt;=3),"Rawan",IF(AND(E1728&lt;=2,F1728&lt;=2),"Tidur","Umum"))))))</f>
        <v/>
      </c>
    </row>
    <row r="1729">
      <c r="B1729">
        <f>IF(A1729="","",$B$1-MAXIFS(Donasi!$A$2:$A$20000,Donasi!$B$2:$B$20000,A1729))</f>
        <v/>
      </c>
      <c r="C1729">
        <f>IF(A1729="","",COUNTIF(Donasi!$B$2:$B$20000,A1729))</f>
        <v/>
      </c>
      <c r="D1729">
        <f>IF(A1729="","",SUMIF(Donasi!$B$2:$B$20000,A1729,Donasi!$C$2:$C$20000))</f>
        <v/>
      </c>
      <c r="E1729">
        <f>IF(A1729="","",6-CEILING(PERCENTRANK.INC($B$3:$B$6000,B1729,4)*5+0.000001,1))</f>
        <v/>
      </c>
      <c r="F1729">
        <f>IF(A1729="","",MAX(1,CEILING(PERCENTRANK.INC($C$3:$C$6000,C1729,4)*5+0.000001,1)))</f>
        <v/>
      </c>
      <c r="G1729">
        <f>IF(A1729="","",MAX(1,CEILING(PERCENTRANK.INC($D$3:$D$6000,D1729,4)*5+0.000001,1)))</f>
        <v/>
      </c>
      <c r="H1729">
        <f>IF(A1729="","",E1729&amp;F1729&amp;G1729)</f>
        <v/>
      </c>
      <c r="I1729">
        <f>IF(A1729="","",IF(AND(E1729&gt;=4,F1729&gt;=4,G1729&gt;=4),"Juara",IF(AND(F1729&gt;=4,E1729&gt;=3),"Setia",IF(AND(E1729=5,F1729&lt;=2,G1729&gt;=3),"Berpotensi",IF(AND(E1729&lt;=3,E1729&gt;=2,F1729&gt;=3),"Rawan",IF(AND(E1729&lt;=2,F1729&lt;=2),"Tidur","Umum"))))))</f>
        <v/>
      </c>
    </row>
    <row r="1730">
      <c r="B1730">
        <f>IF(A1730="","",$B$1-MAXIFS(Donasi!$A$2:$A$20000,Donasi!$B$2:$B$20000,A1730))</f>
        <v/>
      </c>
      <c r="C1730">
        <f>IF(A1730="","",COUNTIF(Donasi!$B$2:$B$20000,A1730))</f>
        <v/>
      </c>
      <c r="D1730">
        <f>IF(A1730="","",SUMIF(Donasi!$B$2:$B$20000,A1730,Donasi!$C$2:$C$20000))</f>
        <v/>
      </c>
      <c r="E1730">
        <f>IF(A1730="","",6-CEILING(PERCENTRANK.INC($B$3:$B$6000,B1730,4)*5+0.000001,1))</f>
        <v/>
      </c>
      <c r="F1730">
        <f>IF(A1730="","",MAX(1,CEILING(PERCENTRANK.INC($C$3:$C$6000,C1730,4)*5+0.000001,1)))</f>
        <v/>
      </c>
      <c r="G1730">
        <f>IF(A1730="","",MAX(1,CEILING(PERCENTRANK.INC($D$3:$D$6000,D1730,4)*5+0.000001,1)))</f>
        <v/>
      </c>
      <c r="H1730">
        <f>IF(A1730="","",E1730&amp;F1730&amp;G1730)</f>
        <v/>
      </c>
      <c r="I1730">
        <f>IF(A1730="","",IF(AND(E1730&gt;=4,F1730&gt;=4,G1730&gt;=4),"Juara",IF(AND(F1730&gt;=4,E1730&gt;=3),"Setia",IF(AND(E1730=5,F1730&lt;=2,G1730&gt;=3),"Berpotensi",IF(AND(E1730&lt;=3,E1730&gt;=2,F1730&gt;=3),"Rawan",IF(AND(E1730&lt;=2,F1730&lt;=2),"Tidur","Umum"))))))</f>
        <v/>
      </c>
    </row>
    <row r="1731">
      <c r="B1731">
        <f>IF(A1731="","",$B$1-MAXIFS(Donasi!$A$2:$A$20000,Donasi!$B$2:$B$20000,A1731))</f>
        <v/>
      </c>
      <c r="C1731">
        <f>IF(A1731="","",COUNTIF(Donasi!$B$2:$B$20000,A1731))</f>
        <v/>
      </c>
      <c r="D1731">
        <f>IF(A1731="","",SUMIF(Donasi!$B$2:$B$20000,A1731,Donasi!$C$2:$C$20000))</f>
        <v/>
      </c>
      <c r="E1731">
        <f>IF(A1731="","",6-CEILING(PERCENTRANK.INC($B$3:$B$6000,B1731,4)*5+0.000001,1))</f>
        <v/>
      </c>
      <c r="F1731">
        <f>IF(A1731="","",MAX(1,CEILING(PERCENTRANK.INC($C$3:$C$6000,C1731,4)*5+0.000001,1)))</f>
        <v/>
      </c>
      <c r="G1731">
        <f>IF(A1731="","",MAX(1,CEILING(PERCENTRANK.INC($D$3:$D$6000,D1731,4)*5+0.000001,1)))</f>
        <v/>
      </c>
      <c r="H1731">
        <f>IF(A1731="","",E1731&amp;F1731&amp;G1731)</f>
        <v/>
      </c>
      <c r="I1731">
        <f>IF(A1731="","",IF(AND(E1731&gt;=4,F1731&gt;=4,G1731&gt;=4),"Juara",IF(AND(F1731&gt;=4,E1731&gt;=3),"Setia",IF(AND(E1731=5,F1731&lt;=2,G1731&gt;=3),"Berpotensi",IF(AND(E1731&lt;=3,E1731&gt;=2,F1731&gt;=3),"Rawan",IF(AND(E1731&lt;=2,F1731&lt;=2),"Tidur","Umum"))))))</f>
        <v/>
      </c>
    </row>
    <row r="1732">
      <c r="B1732">
        <f>IF(A1732="","",$B$1-MAXIFS(Donasi!$A$2:$A$20000,Donasi!$B$2:$B$20000,A1732))</f>
        <v/>
      </c>
      <c r="C1732">
        <f>IF(A1732="","",COUNTIF(Donasi!$B$2:$B$20000,A1732))</f>
        <v/>
      </c>
      <c r="D1732">
        <f>IF(A1732="","",SUMIF(Donasi!$B$2:$B$20000,A1732,Donasi!$C$2:$C$20000))</f>
        <v/>
      </c>
      <c r="E1732">
        <f>IF(A1732="","",6-CEILING(PERCENTRANK.INC($B$3:$B$6000,B1732,4)*5+0.000001,1))</f>
        <v/>
      </c>
      <c r="F1732">
        <f>IF(A1732="","",MAX(1,CEILING(PERCENTRANK.INC($C$3:$C$6000,C1732,4)*5+0.000001,1)))</f>
        <v/>
      </c>
      <c r="G1732">
        <f>IF(A1732="","",MAX(1,CEILING(PERCENTRANK.INC($D$3:$D$6000,D1732,4)*5+0.000001,1)))</f>
        <v/>
      </c>
      <c r="H1732">
        <f>IF(A1732="","",E1732&amp;F1732&amp;G1732)</f>
        <v/>
      </c>
      <c r="I1732">
        <f>IF(A1732="","",IF(AND(E1732&gt;=4,F1732&gt;=4,G1732&gt;=4),"Juara",IF(AND(F1732&gt;=4,E1732&gt;=3),"Setia",IF(AND(E1732=5,F1732&lt;=2,G1732&gt;=3),"Berpotensi",IF(AND(E1732&lt;=3,E1732&gt;=2,F1732&gt;=3),"Rawan",IF(AND(E1732&lt;=2,F1732&lt;=2),"Tidur","Umum"))))))</f>
        <v/>
      </c>
    </row>
    <row r="1733">
      <c r="B1733">
        <f>IF(A1733="","",$B$1-MAXIFS(Donasi!$A$2:$A$20000,Donasi!$B$2:$B$20000,A1733))</f>
        <v/>
      </c>
      <c r="C1733">
        <f>IF(A1733="","",COUNTIF(Donasi!$B$2:$B$20000,A1733))</f>
        <v/>
      </c>
      <c r="D1733">
        <f>IF(A1733="","",SUMIF(Donasi!$B$2:$B$20000,A1733,Donasi!$C$2:$C$20000))</f>
        <v/>
      </c>
      <c r="E1733">
        <f>IF(A1733="","",6-CEILING(PERCENTRANK.INC($B$3:$B$6000,B1733,4)*5+0.000001,1))</f>
        <v/>
      </c>
      <c r="F1733">
        <f>IF(A1733="","",MAX(1,CEILING(PERCENTRANK.INC($C$3:$C$6000,C1733,4)*5+0.000001,1)))</f>
        <v/>
      </c>
      <c r="G1733">
        <f>IF(A1733="","",MAX(1,CEILING(PERCENTRANK.INC($D$3:$D$6000,D1733,4)*5+0.000001,1)))</f>
        <v/>
      </c>
      <c r="H1733">
        <f>IF(A1733="","",E1733&amp;F1733&amp;G1733)</f>
        <v/>
      </c>
      <c r="I1733">
        <f>IF(A1733="","",IF(AND(E1733&gt;=4,F1733&gt;=4,G1733&gt;=4),"Juara",IF(AND(F1733&gt;=4,E1733&gt;=3),"Setia",IF(AND(E1733=5,F1733&lt;=2,G1733&gt;=3),"Berpotensi",IF(AND(E1733&lt;=3,E1733&gt;=2,F1733&gt;=3),"Rawan",IF(AND(E1733&lt;=2,F1733&lt;=2),"Tidur","Umum"))))))</f>
        <v/>
      </c>
    </row>
    <row r="1734">
      <c r="B1734">
        <f>IF(A1734="","",$B$1-MAXIFS(Donasi!$A$2:$A$20000,Donasi!$B$2:$B$20000,A1734))</f>
        <v/>
      </c>
      <c r="C1734">
        <f>IF(A1734="","",COUNTIF(Donasi!$B$2:$B$20000,A1734))</f>
        <v/>
      </c>
      <c r="D1734">
        <f>IF(A1734="","",SUMIF(Donasi!$B$2:$B$20000,A1734,Donasi!$C$2:$C$20000))</f>
        <v/>
      </c>
      <c r="E1734">
        <f>IF(A1734="","",6-CEILING(PERCENTRANK.INC($B$3:$B$6000,B1734,4)*5+0.000001,1))</f>
        <v/>
      </c>
      <c r="F1734">
        <f>IF(A1734="","",MAX(1,CEILING(PERCENTRANK.INC($C$3:$C$6000,C1734,4)*5+0.000001,1)))</f>
        <v/>
      </c>
      <c r="G1734">
        <f>IF(A1734="","",MAX(1,CEILING(PERCENTRANK.INC($D$3:$D$6000,D1734,4)*5+0.000001,1)))</f>
        <v/>
      </c>
      <c r="H1734">
        <f>IF(A1734="","",E1734&amp;F1734&amp;G1734)</f>
        <v/>
      </c>
      <c r="I1734">
        <f>IF(A1734="","",IF(AND(E1734&gt;=4,F1734&gt;=4,G1734&gt;=4),"Juara",IF(AND(F1734&gt;=4,E1734&gt;=3),"Setia",IF(AND(E1734=5,F1734&lt;=2,G1734&gt;=3),"Berpotensi",IF(AND(E1734&lt;=3,E1734&gt;=2,F1734&gt;=3),"Rawan",IF(AND(E1734&lt;=2,F1734&lt;=2),"Tidur","Umum"))))))</f>
        <v/>
      </c>
    </row>
    <row r="1735">
      <c r="B1735">
        <f>IF(A1735="","",$B$1-MAXIFS(Donasi!$A$2:$A$20000,Donasi!$B$2:$B$20000,A1735))</f>
        <v/>
      </c>
      <c r="C1735">
        <f>IF(A1735="","",COUNTIF(Donasi!$B$2:$B$20000,A1735))</f>
        <v/>
      </c>
      <c r="D1735">
        <f>IF(A1735="","",SUMIF(Donasi!$B$2:$B$20000,A1735,Donasi!$C$2:$C$20000))</f>
        <v/>
      </c>
      <c r="E1735">
        <f>IF(A1735="","",6-CEILING(PERCENTRANK.INC($B$3:$B$6000,B1735,4)*5+0.000001,1))</f>
        <v/>
      </c>
      <c r="F1735">
        <f>IF(A1735="","",MAX(1,CEILING(PERCENTRANK.INC($C$3:$C$6000,C1735,4)*5+0.000001,1)))</f>
        <v/>
      </c>
      <c r="G1735">
        <f>IF(A1735="","",MAX(1,CEILING(PERCENTRANK.INC($D$3:$D$6000,D1735,4)*5+0.000001,1)))</f>
        <v/>
      </c>
      <c r="H1735">
        <f>IF(A1735="","",E1735&amp;F1735&amp;G1735)</f>
        <v/>
      </c>
      <c r="I1735">
        <f>IF(A1735="","",IF(AND(E1735&gt;=4,F1735&gt;=4,G1735&gt;=4),"Juara",IF(AND(F1735&gt;=4,E1735&gt;=3),"Setia",IF(AND(E1735=5,F1735&lt;=2,G1735&gt;=3),"Berpotensi",IF(AND(E1735&lt;=3,E1735&gt;=2,F1735&gt;=3),"Rawan",IF(AND(E1735&lt;=2,F1735&lt;=2),"Tidur","Umum"))))))</f>
        <v/>
      </c>
    </row>
    <row r="1736">
      <c r="B1736">
        <f>IF(A1736="","",$B$1-MAXIFS(Donasi!$A$2:$A$20000,Donasi!$B$2:$B$20000,A1736))</f>
        <v/>
      </c>
      <c r="C1736">
        <f>IF(A1736="","",COUNTIF(Donasi!$B$2:$B$20000,A1736))</f>
        <v/>
      </c>
      <c r="D1736">
        <f>IF(A1736="","",SUMIF(Donasi!$B$2:$B$20000,A1736,Donasi!$C$2:$C$20000))</f>
        <v/>
      </c>
      <c r="E1736">
        <f>IF(A1736="","",6-CEILING(PERCENTRANK.INC($B$3:$B$6000,B1736,4)*5+0.000001,1))</f>
        <v/>
      </c>
      <c r="F1736">
        <f>IF(A1736="","",MAX(1,CEILING(PERCENTRANK.INC($C$3:$C$6000,C1736,4)*5+0.000001,1)))</f>
        <v/>
      </c>
      <c r="G1736">
        <f>IF(A1736="","",MAX(1,CEILING(PERCENTRANK.INC($D$3:$D$6000,D1736,4)*5+0.000001,1)))</f>
        <v/>
      </c>
      <c r="H1736">
        <f>IF(A1736="","",E1736&amp;F1736&amp;G1736)</f>
        <v/>
      </c>
      <c r="I1736">
        <f>IF(A1736="","",IF(AND(E1736&gt;=4,F1736&gt;=4,G1736&gt;=4),"Juara",IF(AND(F1736&gt;=4,E1736&gt;=3),"Setia",IF(AND(E1736=5,F1736&lt;=2,G1736&gt;=3),"Berpotensi",IF(AND(E1736&lt;=3,E1736&gt;=2,F1736&gt;=3),"Rawan",IF(AND(E1736&lt;=2,F1736&lt;=2),"Tidur","Umum"))))))</f>
        <v/>
      </c>
    </row>
    <row r="1737">
      <c r="B1737">
        <f>IF(A1737="","",$B$1-MAXIFS(Donasi!$A$2:$A$20000,Donasi!$B$2:$B$20000,A1737))</f>
        <v/>
      </c>
      <c r="C1737">
        <f>IF(A1737="","",COUNTIF(Donasi!$B$2:$B$20000,A1737))</f>
        <v/>
      </c>
      <c r="D1737">
        <f>IF(A1737="","",SUMIF(Donasi!$B$2:$B$20000,A1737,Donasi!$C$2:$C$20000))</f>
        <v/>
      </c>
      <c r="E1737">
        <f>IF(A1737="","",6-CEILING(PERCENTRANK.INC($B$3:$B$6000,B1737,4)*5+0.000001,1))</f>
        <v/>
      </c>
      <c r="F1737">
        <f>IF(A1737="","",MAX(1,CEILING(PERCENTRANK.INC($C$3:$C$6000,C1737,4)*5+0.000001,1)))</f>
        <v/>
      </c>
      <c r="G1737">
        <f>IF(A1737="","",MAX(1,CEILING(PERCENTRANK.INC($D$3:$D$6000,D1737,4)*5+0.000001,1)))</f>
        <v/>
      </c>
      <c r="H1737">
        <f>IF(A1737="","",E1737&amp;F1737&amp;G1737)</f>
        <v/>
      </c>
      <c r="I1737">
        <f>IF(A1737="","",IF(AND(E1737&gt;=4,F1737&gt;=4,G1737&gt;=4),"Juara",IF(AND(F1737&gt;=4,E1737&gt;=3),"Setia",IF(AND(E1737=5,F1737&lt;=2,G1737&gt;=3),"Berpotensi",IF(AND(E1737&lt;=3,E1737&gt;=2,F1737&gt;=3),"Rawan",IF(AND(E1737&lt;=2,F1737&lt;=2),"Tidur","Umum"))))))</f>
        <v/>
      </c>
    </row>
    <row r="1738">
      <c r="B1738">
        <f>IF(A1738="","",$B$1-MAXIFS(Donasi!$A$2:$A$20000,Donasi!$B$2:$B$20000,A1738))</f>
        <v/>
      </c>
      <c r="C1738">
        <f>IF(A1738="","",COUNTIF(Donasi!$B$2:$B$20000,A1738))</f>
        <v/>
      </c>
      <c r="D1738">
        <f>IF(A1738="","",SUMIF(Donasi!$B$2:$B$20000,A1738,Donasi!$C$2:$C$20000))</f>
        <v/>
      </c>
      <c r="E1738">
        <f>IF(A1738="","",6-CEILING(PERCENTRANK.INC($B$3:$B$6000,B1738,4)*5+0.000001,1))</f>
        <v/>
      </c>
      <c r="F1738">
        <f>IF(A1738="","",MAX(1,CEILING(PERCENTRANK.INC($C$3:$C$6000,C1738,4)*5+0.000001,1)))</f>
        <v/>
      </c>
      <c r="G1738">
        <f>IF(A1738="","",MAX(1,CEILING(PERCENTRANK.INC($D$3:$D$6000,D1738,4)*5+0.000001,1)))</f>
        <v/>
      </c>
      <c r="H1738">
        <f>IF(A1738="","",E1738&amp;F1738&amp;G1738)</f>
        <v/>
      </c>
      <c r="I1738">
        <f>IF(A1738="","",IF(AND(E1738&gt;=4,F1738&gt;=4,G1738&gt;=4),"Juara",IF(AND(F1738&gt;=4,E1738&gt;=3),"Setia",IF(AND(E1738=5,F1738&lt;=2,G1738&gt;=3),"Berpotensi",IF(AND(E1738&lt;=3,E1738&gt;=2,F1738&gt;=3),"Rawan",IF(AND(E1738&lt;=2,F1738&lt;=2),"Tidur","Umum"))))))</f>
        <v/>
      </c>
    </row>
    <row r="1739">
      <c r="B1739">
        <f>IF(A1739="","",$B$1-MAXIFS(Donasi!$A$2:$A$20000,Donasi!$B$2:$B$20000,A1739))</f>
        <v/>
      </c>
      <c r="C1739">
        <f>IF(A1739="","",COUNTIF(Donasi!$B$2:$B$20000,A1739))</f>
        <v/>
      </c>
      <c r="D1739">
        <f>IF(A1739="","",SUMIF(Donasi!$B$2:$B$20000,A1739,Donasi!$C$2:$C$20000))</f>
        <v/>
      </c>
      <c r="E1739">
        <f>IF(A1739="","",6-CEILING(PERCENTRANK.INC($B$3:$B$6000,B1739,4)*5+0.000001,1))</f>
        <v/>
      </c>
      <c r="F1739">
        <f>IF(A1739="","",MAX(1,CEILING(PERCENTRANK.INC($C$3:$C$6000,C1739,4)*5+0.000001,1)))</f>
        <v/>
      </c>
      <c r="G1739">
        <f>IF(A1739="","",MAX(1,CEILING(PERCENTRANK.INC($D$3:$D$6000,D1739,4)*5+0.000001,1)))</f>
        <v/>
      </c>
      <c r="H1739">
        <f>IF(A1739="","",E1739&amp;F1739&amp;G1739)</f>
        <v/>
      </c>
      <c r="I1739">
        <f>IF(A1739="","",IF(AND(E1739&gt;=4,F1739&gt;=4,G1739&gt;=4),"Juara",IF(AND(F1739&gt;=4,E1739&gt;=3),"Setia",IF(AND(E1739=5,F1739&lt;=2,G1739&gt;=3),"Berpotensi",IF(AND(E1739&lt;=3,E1739&gt;=2,F1739&gt;=3),"Rawan",IF(AND(E1739&lt;=2,F1739&lt;=2),"Tidur","Umum"))))))</f>
        <v/>
      </c>
    </row>
    <row r="1740">
      <c r="B1740">
        <f>IF(A1740="","",$B$1-MAXIFS(Donasi!$A$2:$A$20000,Donasi!$B$2:$B$20000,A1740))</f>
        <v/>
      </c>
      <c r="C1740">
        <f>IF(A1740="","",COUNTIF(Donasi!$B$2:$B$20000,A1740))</f>
        <v/>
      </c>
      <c r="D1740">
        <f>IF(A1740="","",SUMIF(Donasi!$B$2:$B$20000,A1740,Donasi!$C$2:$C$20000))</f>
        <v/>
      </c>
      <c r="E1740">
        <f>IF(A1740="","",6-CEILING(PERCENTRANK.INC($B$3:$B$6000,B1740,4)*5+0.000001,1))</f>
        <v/>
      </c>
      <c r="F1740">
        <f>IF(A1740="","",MAX(1,CEILING(PERCENTRANK.INC($C$3:$C$6000,C1740,4)*5+0.000001,1)))</f>
        <v/>
      </c>
      <c r="G1740">
        <f>IF(A1740="","",MAX(1,CEILING(PERCENTRANK.INC($D$3:$D$6000,D1740,4)*5+0.000001,1)))</f>
        <v/>
      </c>
      <c r="H1740">
        <f>IF(A1740="","",E1740&amp;F1740&amp;G1740)</f>
        <v/>
      </c>
      <c r="I1740">
        <f>IF(A1740="","",IF(AND(E1740&gt;=4,F1740&gt;=4,G1740&gt;=4),"Juara",IF(AND(F1740&gt;=4,E1740&gt;=3),"Setia",IF(AND(E1740=5,F1740&lt;=2,G1740&gt;=3),"Berpotensi",IF(AND(E1740&lt;=3,E1740&gt;=2,F1740&gt;=3),"Rawan",IF(AND(E1740&lt;=2,F1740&lt;=2),"Tidur","Umum"))))))</f>
        <v/>
      </c>
    </row>
    <row r="1741">
      <c r="B1741">
        <f>IF(A1741="","",$B$1-MAXIFS(Donasi!$A$2:$A$20000,Donasi!$B$2:$B$20000,A1741))</f>
        <v/>
      </c>
      <c r="C1741">
        <f>IF(A1741="","",COUNTIF(Donasi!$B$2:$B$20000,A1741))</f>
        <v/>
      </c>
      <c r="D1741">
        <f>IF(A1741="","",SUMIF(Donasi!$B$2:$B$20000,A1741,Donasi!$C$2:$C$20000))</f>
        <v/>
      </c>
      <c r="E1741">
        <f>IF(A1741="","",6-CEILING(PERCENTRANK.INC($B$3:$B$6000,B1741,4)*5+0.000001,1))</f>
        <v/>
      </c>
      <c r="F1741">
        <f>IF(A1741="","",MAX(1,CEILING(PERCENTRANK.INC($C$3:$C$6000,C1741,4)*5+0.000001,1)))</f>
        <v/>
      </c>
      <c r="G1741">
        <f>IF(A1741="","",MAX(1,CEILING(PERCENTRANK.INC($D$3:$D$6000,D1741,4)*5+0.000001,1)))</f>
        <v/>
      </c>
      <c r="H1741">
        <f>IF(A1741="","",E1741&amp;F1741&amp;G1741)</f>
        <v/>
      </c>
      <c r="I1741">
        <f>IF(A1741="","",IF(AND(E1741&gt;=4,F1741&gt;=4,G1741&gt;=4),"Juara",IF(AND(F1741&gt;=4,E1741&gt;=3),"Setia",IF(AND(E1741=5,F1741&lt;=2,G1741&gt;=3),"Berpotensi",IF(AND(E1741&lt;=3,E1741&gt;=2,F1741&gt;=3),"Rawan",IF(AND(E1741&lt;=2,F1741&lt;=2),"Tidur","Umum"))))))</f>
        <v/>
      </c>
    </row>
    <row r="1742">
      <c r="B1742">
        <f>IF(A1742="","",$B$1-MAXIFS(Donasi!$A$2:$A$20000,Donasi!$B$2:$B$20000,A1742))</f>
        <v/>
      </c>
      <c r="C1742">
        <f>IF(A1742="","",COUNTIF(Donasi!$B$2:$B$20000,A1742))</f>
        <v/>
      </c>
      <c r="D1742">
        <f>IF(A1742="","",SUMIF(Donasi!$B$2:$B$20000,A1742,Donasi!$C$2:$C$20000))</f>
        <v/>
      </c>
      <c r="E1742">
        <f>IF(A1742="","",6-CEILING(PERCENTRANK.INC($B$3:$B$6000,B1742,4)*5+0.000001,1))</f>
        <v/>
      </c>
      <c r="F1742">
        <f>IF(A1742="","",MAX(1,CEILING(PERCENTRANK.INC($C$3:$C$6000,C1742,4)*5+0.000001,1)))</f>
        <v/>
      </c>
      <c r="G1742">
        <f>IF(A1742="","",MAX(1,CEILING(PERCENTRANK.INC($D$3:$D$6000,D1742,4)*5+0.000001,1)))</f>
        <v/>
      </c>
      <c r="H1742">
        <f>IF(A1742="","",E1742&amp;F1742&amp;G1742)</f>
        <v/>
      </c>
      <c r="I1742">
        <f>IF(A1742="","",IF(AND(E1742&gt;=4,F1742&gt;=4,G1742&gt;=4),"Juara",IF(AND(F1742&gt;=4,E1742&gt;=3),"Setia",IF(AND(E1742=5,F1742&lt;=2,G1742&gt;=3),"Berpotensi",IF(AND(E1742&lt;=3,E1742&gt;=2,F1742&gt;=3),"Rawan",IF(AND(E1742&lt;=2,F1742&lt;=2),"Tidur","Umum"))))))</f>
        <v/>
      </c>
    </row>
    <row r="1743">
      <c r="B1743">
        <f>IF(A1743="","",$B$1-MAXIFS(Donasi!$A$2:$A$20000,Donasi!$B$2:$B$20000,A1743))</f>
        <v/>
      </c>
      <c r="C1743">
        <f>IF(A1743="","",COUNTIF(Donasi!$B$2:$B$20000,A1743))</f>
        <v/>
      </c>
      <c r="D1743">
        <f>IF(A1743="","",SUMIF(Donasi!$B$2:$B$20000,A1743,Donasi!$C$2:$C$20000))</f>
        <v/>
      </c>
      <c r="E1743">
        <f>IF(A1743="","",6-CEILING(PERCENTRANK.INC($B$3:$B$6000,B1743,4)*5+0.000001,1))</f>
        <v/>
      </c>
      <c r="F1743">
        <f>IF(A1743="","",MAX(1,CEILING(PERCENTRANK.INC($C$3:$C$6000,C1743,4)*5+0.000001,1)))</f>
        <v/>
      </c>
      <c r="G1743">
        <f>IF(A1743="","",MAX(1,CEILING(PERCENTRANK.INC($D$3:$D$6000,D1743,4)*5+0.000001,1)))</f>
        <v/>
      </c>
      <c r="H1743">
        <f>IF(A1743="","",E1743&amp;F1743&amp;G1743)</f>
        <v/>
      </c>
      <c r="I1743">
        <f>IF(A1743="","",IF(AND(E1743&gt;=4,F1743&gt;=4,G1743&gt;=4),"Juara",IF(AND(F1743&gt;=4,E1743&gt;=3),"Setia",IF(AND(E1743=5,F1743&lt;=2,G1743&gt;=3),"Berpotensi",IF(AND(E1743&lt;=3,E1743&gt;=2,F1743&gt;=3),"Rawan",IF(AND(E1743&lt;=2,F1743&lt;=2),"Tidur","Umum"))))))</f>
        <v/>
      </c>
    </row>
    <row r="1744">
      <c r="B1744">
        <f>IF(A1744="","",$B$1-MAXIFS(Donasi!$A$2:$A$20000,Donasi!$B$2:$B$20000,A1744))</f>
        <v/>
      </c>
      <c r="C1744">
        <f>IF(A1744="","",COUNTIF(Donasi!$B$2:$B$20000,A1744))</f>
        <v/>
      </c>
      <c r="D1744">
        <f>IF(A1744="","",SUMIF(Donasi!$B$2:$B$20000,A1744,Donasi!$C$2:$C$20000))</f>
        <v/>
      </c>
      <c r="E1744">
        <f>IF(A1744="","",6-CEILING(PERCENTRANK.INC($B$3:$B$6000,B1744,4)*5+0.000001,1))</f>
        <v/>
      </c>
      <c r="F1744">
        <f>IF(A1744="","",MAX(1,CEILING(PERCENTRANK.INC($C$3:$C$6000,C1744,4)*5+0.000001,1)))</f>
        <v/>
      </c>
      <c r="G1744">
        <f>IF(A1744="","",MAX(1,CEILING(PERCENTRANK.INC($D$3:$D$6000,D1744,4)*5+0.000001,1)))</f>
        <v/>
      </c>
      <c r="H1744">
        <f>IF(A1744="","",E1744&amp;F1744&amp;G1744)</f>
        <v/>
      </c>
      <c r="I1744">
        <f>IF(A1744="","",IF(AND(E1744&gt;=4,F1744&gt;=4,G1744&gt;=4),"Juara",IF(AND(F1744&gt;=4,E1744&gt;=3),"Setia",IF(AND(E1744=5,F1744&lt;=2,G1744&gt;=3),"Berpotensi",IF(AND(E1744&lt;=3,E1744&gt;=2,F1744&gt;=3),"Rawan",IF(AND(E1744&lt;=2,F1744&lt;=2),"Tidur","Umum"))))))</f>
        <v/>
      </c>
    </row>
    <row r="1745">
      <c r="B1745">
        <f>IF(A1745="","",$B$1-MAXIFS(Donasi!$A$2:$A$20000,Donasi!$B$2:$B$20000,A1745))</f>
        <v/>
      </c>
      <c r="C1745">
        <f>IF(A1745="","",COUNTIF(Donasi!$B$2:$B$20000,A1745))</f>
        <v/>
      </c>
      <c r="D1745">
        <f>IF(A1745="","",SUMIF(Donasi!$B$2:$B$20000,A1745,Donasi!$C$2:$C$20000))</f>
        <v/>
      </c>
      <c r="E1745">
        <f>IF(A1745="","",6-CEILING(PERCENTRANK.INC($B$3:$B$6000,B1745,4)*5+0.000001,1))</f>
        <v/>
      </c>
      <c r="F1745">
        <f>IF(A1745="","",MAX(1,CEILING(PERCENTRANK.INC($C$3:$C$6000,C1745,4)*5+0.000001,1)))</f>
        <v/>
      </c>
      <c r="G1745">
        <f>IF(A1745="","",MAX(1,CEILING(PERCENTRANK.INC($D$3:$D$6000,D1745,4)*5+0.000001,1)))</f>
        <v/>
      </c>
      <c r="H1745">
        <f>IF(A1745="","",E1745&amp;F1745&amp;G1745)</f>
        <v/>
      </c>
      <c r="I1745">
        <f>IF(A1745="","",IF(AND(E1745&gt;=4,F1745&gt;=4,G1745&gt;=4),"Juara",IF(AND(F1745&gt;=4,E1745&gt;=3),"Setia",IF(AND(E1745=5,F1745&lt;=2,G1745&gt;=3),"Berpotensi",IF(AND(E1745&lt;=3,E1745&gt;=2,F1745&gt;=3),"Rawan",IF(AND(E1745&lt;=2,F1745&lt;=2),"Tidur","Umum"))))))</f>
        <v/>
      </c>
    </row>
    <row r="1746">
      <c r="B1746">
        <f>IF(A1746="","",$B$1-MAXIFS(Donasi!$A$2:$A$20000,Donasi!$B$2:$B$20000,A1746))</f>
        <v/>
      </c>
      <c r="C1746">
        <f>IF(A1746="","",COUNTIF(Donasi!$B$2:$B$20000,A1746))</f>
        <v/>
      </c>
      <c r="D1746">
        <f>IF(A1746="","",SUMIF(Donasi!$B$2:$B$20000,A1746,Donasi!$C$2:$C$20000))</f>
        <v/>
      </c>
      <c r="E1746">
        <f>IF(A1746="","",6-CEILING(PERCENTRANK.INC($B$3:$B$6000,B1746,4)*5+0.000001,1))</f>
        <v/>
      </c>
      <c r="F1746">
        <f>IF(A1746="","",MAX(1,CEILING(PERCENTRANK.INC($C$3:$C$6000,C1746,4)*5+0.000001,1)))</f>
        <v/>
      </c>
      <c r="G1746">
        <f>IF(A1746="","",MAX(1,CEILING(PERCENTRANK.INC($D$3:$D$6000,D1746,4)*5+0.000001,1)))</f>
        <v/>
      </c>
      <c r="H1746">
        <f>IF(A1746="","",E1746&amp;F1746&amp;G1746)</f>
        <v/>
      </c>
      <c r="I1746">
        <f>IF(A1746="","",IF(AND(E1746&gt;=4,F1746&gt;=4,G1746&gt;=4),"Juara",IF(AND(F1746&gt;=4,E1746&gt;=3),"Setia",IF(AND(E1746=5,F1746&lt;=2,G1746&gt;=3),"Berpotensi",IF(AND(E1746&lt;=3,E1746&gt;=2,F1746&gt;=3),"Rawan",IF(AND(E1746&lt;=2,F1746&lt;=2),"Tidur","Umum"))))))</f>
        <v/>
      </c>
    </row>
    <row r="1747">
      <c r="B1747">
        <f>IF(A1747="","",$B$1-MAXIFS(Donasi!$A$2:$A$20000,Donasi!$B$2:$B$20000,A1747))</f>
        <v/>
      </c>
      <c r="C1747">
        <f>IF(A1747="","",COUNTIF(Donasi!$B$2:$B$20000,A1747))</f>
        <v/>
      </c>
      <c r="D1747">
        <f>IF(A1747="","",SUMIF(Donasi!$B$2:$B$20000,A1747,Donasi!$C$2:$C$20000))</f>
        <v/>
      </c>
      <c r="E1747">
        <f>IF(A1747="","",6-CEILING(PERCENTRANK.INC($B$3:$B$6000,B1747,4)*5+0.000001,1))</f>
        <v/>
      </c>
      <c r="F1747">
        <f>IF(A1747="","",MAX(1,CEILING(PERCENTRANK.INC($C$3:$C$6000,C1747,4)*5+0.000001,1)))</f>
        <v/>
      </c>
      <c r="G1747">
        <f>IF(A1747="","",MAX(1,CEILING(PERCENTRANK.INC($D$3:$D$6000,D1747,4)*5+0.000001,1)))</f>
        <v/>
      </c>
      <c r="H1747">
        <f>IF(A1747="","",E1747&amp;F1747&amp;G1747)</f>
        <v/>
      </c>
      <c r="I1747">
        <f>IF(A1747="","",IF(AND(E1747&gt;=4,F1747&gt;=4,G1747&gt;=4),"Juara",IF(AND(F1747&gt;=4,E1747&gt;=3),"Setia",IF(AND(E1747=5,F1747&lt;=2,G1747&gt;=3),"Berpotensi",IF(AND(E1747&lt;=3,E1747&gt;=2,F1747&gt;=3),"Rawan",IF(AND(E1747&lt;=2,F1747&lt;=2),"Tidur","Umum"))))))</f>
        <v/>
      </c>
    </row>
    <row r="1748">
      <c r="B1748">
        <f>IF(A1748="","",$B$1-MAXIFS(Donasi!$A$2:$A$20000,Donasi!$B$2:$B$20000,A1748))</f>
        <v/>
      </c>
      <c r="C1748">
        <f>IF(A1748="","",COUNTIF(Donasi!$B$2:$B$20000,A1748))</f>
        <v/>
      </c>
      <c r="D1748">
        <f>IF(A1748="","",SUMIF(Donasi!$B$2:$B$20000,A1748,Donasi!$C$2:$C$20000))</f>
        <v/>
      </c>
      <c r="E1748">
        <f>IF(A1748="","",6-CEILING(PERCENTRANK.INC($B$3:$B$6000,B1748,4)*5+0.000001,1))</f>
        <v/>
      </c>
      <c r="F1748">
        <f>IF(A1748="","",MAX(1,CEILING(PERCENTRANK.INC($C$3:$C$6000,C1748,4)*5+0.000001,1)))</f>
        <v/>
      </c>
      <c r="G1748">
        <f>IF(A1748="","",MAX(1,CEILING(PERCENTRANK.INC($D$3:$D$6000,D1748,4)*5+0.000001,1)))</f>
        <v/>
      </c>
      <c r="H1748">
        <f>IF(A1748="","",E1748&amp;F1748&amp;G1748)</f>
        <v/>
      </c>
      <c r="I1748">
        <f>IF(A1748="","",IF(AND(E1748&gt;=4,F1748&gt;=4,G1748&gt;=4),"Juara",IF(AND(F1748&gt;=4,E1748&gt;=3),"Setia",IF(AND(E1748=5,F1748&lt;=2,G1748&gt;=3),"Berpotensi",IF(AND(E1748&lt;=3,E1748&gt;=2,F1748&gt;=3),"Rawan",IF(AND(E1748&lt;=2,F1748&lt;=2),"Tidur","Umum"))))))</f>
        <v/>
      </c>
    </row>
    <row r="1749">
      <c r="B1749">
        <f>IF(A1749="","",$B$1-MAXIFS(Donasi!$A$2:$A$20000,Donasi!$B$2:$B$20000,A1749))</f>
        <v/>
      </c>
      <c r="C1749">
        <f>IF(A1749="","",COUNTIF(Donasi!$B$2:$B$20000,A1749))</f>
        <v/>
      </c>
      <c r="D1749">
        <f>IF(A1749="","",SUMIF(Donasi!$B$2:$B$20000,A1749,Donasi!$C$2:$C$20000))</f>
        <v/>
      </c>
      <c r="E1749">
        <f>IF(A1749="","",6-CEILING(PERCENTRANK.INC($B$3:$B$6000,B1749,4)*5+0.000001,1))</f>
        <v/>
      </c>
      <c r="F1749">
        <f>IF(A1749="","",MAX(1,CEILING(PERCENTRANK.INC($C$3:$C$6000,C1749,4)*5+0.000001,1)))</f>
        <v/>
      </c>
      <c r="G1749">
        <f>IF(A1749="","",MAX(1,CEILING(PERCENTRANK.INC($D$3:$D$6000,D1749,4)*5+0.000001,1)))</f>
        <v/>
      </c>
      <c r="H1749">
        <f>IF(A1749="","",E1749&amp;F1749&amp;G1749)</f>
        <v/>
      </c>
      <c r="I1749">
        <f>IF(A1749="","",IF(AND(E1749&gt;=4,F1749&gt;=4,G1749&gt;=4),"Juara",IF(AND(F1749&gt;=4,E1749&gt;=3),"Setia",IF(AND(E1749=5,F1749&lt;=2,G1749&gt;=3),"Berpotensi",IF(AND(E1749&lt;=3,E1749&gt;=2,F1749&gt;=3),"Rawan",IF(AND(E1749&lt;=2,F1749&lt;=2),"Tidur","Umum"))))))</f>
        <v/>
      </c>
    </row>
    <row r="1750">
      <c r="B1750">
        <f>IF(A1750="","",$B$1-MAXIFS(Donasi!$A$2:$A$20000,Donasi!$B$2:$B$20000,A1750))</f>
        <v/>
      </c>
      <c r="C1750">
        <f>IF(A1750="","",COUNTIF(Donasi!$B$2:$B$20000,A1750))</f>
        <v/>
      </c>
      <c r="D1750">
        <f>IF(A1750="","",SUMIF(Donasi!$B$2:$B$20000,A1750,Donasi!$C$2:$C$20000))</f>
        <v/>
      </c>
      <c r="E1750">
        <f>IF(A1750="","",6-CEILING(PERCENTRANK.INC($B$3:$B$6000,B1750,4)*5+0.000001,1))</f>
        <v/>
      </c>
      <c r="F1750">
        <f>IF(A1750="","",MAX(1,CEILING(PERCENTRANK.INC($C$3:$C$6000,C1750,4)*5+0.000001,1)))</f>
        <v/>
      </c>
      <c r="G1750">
        <f>IF(A1750="","",MAX(1,CEILING(PERCENTRANK.INC($D$3:$D$6000,D1750,4)*5+0.000001,1)))</f>
        <v/>
      </c>
      <c r="H1750">
        <f>IF(A1750="","",E1750&amp;F1750&amp;G1750)</f>
        <v/>
      </c>
      <c r="I1750">
        <f>IF(A1750="","",IF(AND(E1750&gt;=4,F1750&gt;=4,G1750&gt;=4),"Juara",IF(AND(F1750&gt;=4,E1750&gt;=3),"Setia",IF(AND(E1750=5,F1750&lt;=2,G1750&gt;=3),"Berpotensi",IF(AND(E1750&lt;=3,E1750&gt;=2,F1750&gt;=3),"Rawan",IF(AND(E1750&lt;=2,F1750&lt;=2),"Tidur","Umum"))))))</f>
        <v/>
      </c>
    </row>
    <row r="1751">
      <c r="B1751">
        <f>IF(A1751="","",$B$1-MAXIFS(Donasi!$A$2:$A$20000,Donasi!$B$2:$B$20000,A1751))</f>
        <v/>
      </c>
      <c r="C1751">
        <f>IF(A1751="","",COUNTIF(Donasi!$B$2:$B$20000,A1751))</f>
        <v/>
      </c>
      <c r="D1751">
        <f>IF(A1751="","",SUMIF(Donasi!$B$2:$B$20000,A1751,Donasi!$C$2:$C$20000))</f>
        <v/>
      </c>
      <c r="E1751">
        <f>IF(A1751="","",6-CEILING(PERCENTRANK.INC($B$3:$B$6000,B1751,4)*5+0.000001,1))</f>
        <v/>
      </c>
      <c r="F1751">
        <f>IF(A1751="","",MAX(1,CEILING(PERCENTRANK.INC($C$3:$C$6000,C1751,4)*5+0.000001,1)))</f>
        <v/>
      </c>
      <c r="G1751">
        <f>IF(A1751="","",MAX(1,CEILING(PERCENTRANK.INC($D$3:$D$6000,D1751,4)*5+0.000001,1)))</f>
        <v/>
      </c>
      <c r="H1751">
        <f>IF(A1751="","",E1751&amp;F1751&amp;G1751)</f>
        <v/>
      </c>
      <c r="I1751">
        <f>IF(A1751="","",IF(AND(E1751&gt;=4,F1751&gt;=4,G1751&gt;=4),"Juara",IF(AND(F1751&gt;=4,E1751&gt;=3),"Setia",IF(AND(E1751=5,F1751&lt;=2,G1751&gt;=3),"Berpotensi",IF(AND(E1751&lt;=3,E1751&gt;=2,F1751&gt;=3),"Rawan",IF(AND(E1751&lt;=2,F1751&lt;=2),"Tidur","Umum"))))))</f>
        <v/>
      </c>
    </row>
    <row r="1752">
      <c r="B1752">
        <f>IF(A1752="","",$B$1-MAXIFS(Donasi!$A$2:$A$20000,Donasi!$B$2:$B$20000,A1752))</f>
        <v/>
      </c>
      <c r="C1752">
        <f>IF(A1752="","",COUNTIF(Donasi!$B$2:$B$20000,A1752))</f>
        <v/>
      </c>
      <c r="D1752">
        <f>IF(A1752="","",SUMIF(Donasi!$B$2:$B$20000,A1752,Donasi!$C$2:$C$20000))</f>
        <v/>
      </c>
      <c r="E1752">
        <f>IF(A1752="","",6-CEILING(PERCENTRANK.INC($B$3:$B$6000,B1752,4)*5+0.000001,1))</f>
        <v/>
      </c>
      <c r="F1752">
        <f>IF(A1752="","",MAX(1,CEILING(PERCENTRANK.INC($C$3:$C$6000,C1752,4)*5+0.000001,1)))</f>
        <v/>
      </c>
      <c r="G1752">
        <f>IF(A1752="","",MAX(1,CEILING(PERCENTRANK.INC($D$3:$D$6000,D1752,4)*5+0.000001,1)))</f>
        <v/>
      </c>
      <c r="H1752">
        <f>IF(A1752="","",E1752&amp;F1752&amp;G1752)</f>
        <v/>
      </c>
      <c r="I1752">
        <f>IF(A1752="","",IF(AND(E1752&gt;=4,F1752&gt;=4,G1752&gt;=4),"Juara",IF(AND(F1752&gt;=4,E1752&gt;=3),"Setia",IF(AND(E1752=5,F1752&lt;=2,G1752&gt;=3),"Berpotensi",IF(AND(E1752&lt;=3,E1752&gt;=2,F1752&gt;=3),"Rawan",IF(AND(E1752&lt;=2,F1752&lt;=2),"Tidur","Umum"))))))</f>
        <v/>
      </c>
    </row>
    <row r="1753">
      <c r="B1753">
        <f>IF(A1753="","",$B$1-MAXIFS(Donasi!$A$2:$A$20000,Donasi!$B$2:$B$20000,A1753))</f>
        <v/>
      </c>
      <c r="C1753">
        <f>IF(A1753="","",COUNTIF(Donasi!$B$2:$B$20000,A1753))</f>
        <v/>
      </c>
      <c r="D1753">
        <f>IF(A1753="","",SUMIF(Donasi!$B$2:$B$20000,A1753,Donasi!$C$2:$C$20000))</f>
        <v/>
      </c>
      <c r="E1753">
        <f>IF(A1753="","",6-CEILING(PERCENTRANK.INC($B$3:$B$6000,B1753,4)*5+0.000001,1))</f>
        <v/>
      </c>
      <c r="F1753">
        <f>IF(A1753="","",MAX(1,CEILING(PERCENTRANK.INC($C$3:$C$6000,C1753,4)*5+0.000001,1)))</f>
        <v/>
      </c>
      <c r="G1753">
        <f>IF(A1753="","",MAX(1,CEILING(PERCENTRANK.INC($D$3:$D$6000,D1753,4)*5+0.000001,1)))</f>
        <v/>
      </c>
      <c r="H1753">
        <f>IF(A1753="","",E1753&amp;F1753&amp;G1753)</f>
        <v/>
      </c>
      <c r="I1753">
        <f>IF(A1753="","",IF(AND(E1753&gt;=4,F1753&gt;=4,G1753&gt;=4),"Juara",IF(AND(F1753&gt;=4,E1753&gt;=3),"Setia",IF(AND(E1753=5,F1753&lt;=2,G1753&gt;=3),"Berpotensi",IF(AND(E1753&lt;=3,E1753&gt;=2,F1753&gt;=3),"Rawan",IF(AND(E1753&lt;=2,F1753&lt;=2),"Tidur","Umum"))))))</f>
        <v/>
      </c>
    </row>
    <row r="1754">
      <c r="B1754">
        <f>IF(A1754="","",$B$1-MAXIFS(Donasi!$A$2:$A$20000,Donasi!$B$2:$B$20000,A1754))</f>
        <v/>
      </c>
      <c r="C1754">
        <f>IF(A1754="","",COUNTIF(Donasi!$B$2:$B$20000,A1754))</f>
        <v/>
      </c>
      <c r="D1754">
        <f>IF(A1754="","",SUMIF(Donasi!$B$2:$B$20000,A1754,Donasi!$C$2:$C$20000))</f>
        <v/>
      </c>
      <c r="E1754">
        <f>IF(A1754="","",6-CEILING(PERCENTRANK.INC($B$3:$B$6000,B1754,4)*5+0.000001,1))</f>
        <v/>
      </c>
      <c r="F1754">
        <f>IF(A1754="","",MAX(1,CEILING(PERCENTRANK.INC($C$3:$C$6000,C1754,4)*5+0.000001,1)))</f>
        <v/>
      </c>
      <c r="G1754">
        <f>IF(A1754="","",MAX(1,CEILING(PERCENTRANK.INC($D$3:$D$6000,D1754,4)*5+0.000001,1)))</f>
        <v/>
      </c>
      <c r="H1754">
        <f>IF(A1754="","",E1754&amp;F1754&amp;G1754)</f>
        <v/>
      </c>
      <c r="I1754">
        <f>IF(A1754="","",IF(AND(E1754&gt;=4,F1754&gt;=4,G1754&gt;=4),"Juara",IF(AND(F1754&gt;=4,E1754&gt;=3),"Setia",IF(AND(E1754=5,F1754&lt;=2,G1754&gt;=3),"Berpotensi",IF(AND(E1754&lt;=3,E1754&gt;=2,F1754&gt;=3),"Rawan",IF(AND(E1754&lt;=2,F1754&lt;=2),"Tidur","Umum"))))))</f>
        <v/>
      </c>
    </row>
    <row r="1755">
      <c r="B1755">
        <f>IF(A1755="","",$B$1-MAXIFS(Donasi!$A$2:$A$20000,Donasi!$B$2:$B$20000,A1755))</f>
        <v/>
      </c>
      <c r="C1755">
        <f>IF(A1755="","",COUNTIF(Donasi!$B$2:$B$20000,A1755))</f>
        <v/>
      </c>
      <c r="D1755">
        <f>IF(A1755="","",SUMIF(Donasi!$B$2:$B$20000,A1755,Donasi!$C$2:$C$20000))</f>
        <v/>
      </c>
      <c r="E1755">
        <f>IF(A1755="","",6-CEILING(PERCENTRANK.INC($B$3:$B$6000,B1755,4)*5+0.000001,1))</f>
        <v/>
      </c>
      <c r="F1755">
        <f>IF(A1755="","",MAX(1,CEILING(PERCENTRANK.INC($C$3:$C$6000,C1755,4)*5+0.000001,1)))</f>
        <v/>
      </c>
      <c r="G1755">
        <f>IF(A1755="","",MAX(1,CEILING(PERCENTRANK.INC($D$3:$D$6000,D1755,4)*5+0.000001,1)))</f>
        <v/>
      </c>
      <c r="H1755">
        <f>IF(A1755="","",E1755&amp;F1755&amp;G1755)</f>
        <v/>
      </c>
      <c r="I1755">
        <f>IF(A1755="","",IF(AND(E1755&gt;=4,F1755&gt;=4,G1755&gt;=4),"Juara",IF(AND(F1755&gt;=4,E1755&gt;=3),"Setia",IF(AND(E1755=5,F1755&lt;=2,G1755&gt;=3),"Berpotensi",IF(AND(E1755&lt;=3,E1755&gt;=2,F1755&gt;=3),"Rawan",IF(AND(E1755&lt;=2,F1755&lt;=2),"Tidur","Umum"))))))</f>
        <v/>
      </c>
    </row>
    <row r="1756">
      <c r="B1756">
        <f>IF(A1756="","",$B$1-MAXIFS(Donasi!$A$2:$A$20000,Donasi!$B$2:$B$20000,A1756))</f>
        <v/>
      </c>
      <c r="C1756">
        <f>IF(A1756="","",COUNTIF(Donasi!$B$2:$B$20000,A1756))</f>
        <v/>
      </c>
      <c r="D1756">
        <f>IF(A1756="","",SUMIF(Donasi!$B$2:$B$20000,A1756,Donasi!$C$2:$C$20000))</f>
        <v/>
      </c>
      <c r="E1756">
        <f>IF(A1756="","",6-CEILING(PERCENTRANK.INC($B$3:$B$6000,B1756,4)*5+0.000001,1))</f>
        <v/>
      </c>
      <c r="F1756">
        <f>IF(A1756="","",MAX(1,CEILING(PERCENTRANK.INC($C$3:$C$6000,C1756,4)*5+0.000001,1)))</f>
        <v/>
      </c>
      <c r="G1756">
        <f>IF(A1756="","",MAX(1,CEILING(PERCENTRANK.INC($D$3:$D$6000,D1756,4)*5+0.000001,1)))</f>
        <v/>
      </c>
      <c r="H1756">
        <f>IF(A1756="","",E1756&amp;F1756&amp;G1756)</f>
        <v/>
      </c>
      <c r="I1756">
        <f>IF(A1756="","",IF(AND(E1756&gt;=4,F1756&gt;=4,G1756&gt;=4),"Juara",IF(AND(F1756&gt;=4,E1756&gt;=3),"Setia",IF(AND(E1756=5,F1756&lt;=2,G1756&gt;=3),"Berpotensi",IF(AND(E1756&lt;=3,E1756&gt;=2,F1756&gt;=3),"Rawan",IF(AND(E1756&lt;=2,F1756&lt;=2),"Tidur","Umum"))))))</f>
        <v/>
      </c>
    </row>
    <row r="1757">
      <c r="B1757">
        <f>IF(A1757="","",$B$1-MAXIFS(Donasi!$A$2:$A$20000,Donasi!$B$2:$B$20000,A1757))</f>
        <v/>
      </c>
      <c r="C1757">
        <f>IF(A1757="","",COUNTIF(Donasi!$B$2:$B$20000,A1757))</f>
        <v/>
      </c>
      <c r="D1757">
        <f>IF(A1757="","",SUMIF(Donasi!$B$2:$B$20000,A1757,Donasi!$C$2:$C$20000))</f>
        <v/>
      </c>
      <c r="E1757">
        <f>IF(A1757="","",6-CEILING(PERCENTRANK.INC($B$3:$B$6000,B1757,4)*5+0.000001,1))</f>
        <v/>
      </c>
      <c r="F1757">
        <f>IF(A1757="","",MAX(1,CEILING(PERCENTRANK.INC($C$3:$C$6000,C1757,4)*5+0.000001,1)))</f>
        <v/>
      </c>
      <c r="G1757">
        <f>IF(A1757="","",MAX(1,CEILING(PERCENTRANK.INC($D$3:$D$6000,D1757,4)*5+0.000001,1)))</f>
        <v/>
      </c>
      <c r="H1757">
        <f>IF(A1757="","",E1757&amp;F1757&amp;G1757)</f>
        <v/>
      </c>
      <c r="I1757">
        <f>IF(A1757="","",IF(AND(E1757&gt;=4,F1757&gt;=4,G1757&gt;=4),"Juara",IF(AND(F1757&gt;=4,E1757&gt;=3),"Setia",IF(AND(E1757=5,F1757&lt;=2,G1757&gt;=3),"Berpotensi",IF(AND(E1757&lt;=3,E1757&gt;=2,F1757&gt;=3),"Rawan",IF(AND(E1757&lt;=2,F1757&lt;=2),"Tidur","Umum"))))))</f>
        <v/>
      </c>
    </row>
    <row r="1758">
      <c r="B1758">
        <f>IF(A1758="","",$B$1-MAXIFS(Donasi!$A$2:$A$20000,Donasi!$B$2:$B$20000,A1758))</f>
        <v/>
      </c>
      <c r="C1758">
        <f>IF(A1758="","",COUNTIF(Donasi!$B$2:$B$20000,A1758))</f>
        <v/>
      </c>
      <c r="D1758">
        <f>IF(A1758="","",SUMIF(Donasi!$B$2:$B$20000,A1758,Donasi!$C$2:$C$20000))</f>
        <v/>
      </c>
      <c r="E1758">
        <f>IF(A1758="","",6-CEILING(PERCENTRANK.INC($B$3:$B$6000,B1758,4)*5+0.000001,1))</f>
        <v/>
      </c>
      <c r="F1758">
        <f>IF(A1758="","",MAX(1,CEILING(PERCENTRANK.INC($C$3:$C$6000,C1758,4)*5+0.000001,1)))</f>
        <v/>
      </c>
      <c r="G1758">
        <f>IF(A1758="","",MAX(1,CEILING(PERCENTRANK.INC($D$3:$D$6000,D1758,4)*5+0.000001,1)))</f>
        <v/>
      </c>
      <c r="H1758">
        <f>IF(A1758="","",E1758&amp;F1758&amp;G1758)</f>
        <v/>
      </c>
      <c r="I1758">
        <f>IF(A1758="","",IF(AND(E1758&gt;=4,F1758&gt;=4,G1758&gt;=4),"Juara",IF(AND(F1758&gt;=4,E1758&gt;=3),"Setia",IF(AND(E1758=5,F1758&lt;=2,G1758&gt;=3),"Berpotensi",IF(AND(E1758&lt;=3,E1758&gt;=2,F1758&gt;=3),"Rawan",IF(AND(E1758&lt;=2,F1758&lt;=2),"Tidur","Umum"))))))</f>
        <v/>
      </c>
    </row>
    <row r="1759">
      <c r="B1759">
        <f>IF(A1759="","",$B$1-MAXIFS(Donasi!$A$2:$A$20000,Donasi!$B$2:$B$20000,A1759))</f>
        <v/>
      </c>
      <c r="C1759">
        <f>IF(A1759="","",COUNTIF(Donasi!$B$2:$B$20000,A1759))</f>
        <v/>
      </c>
      <c r="D1759">
        <f>IF(A1759="","",SUMIF(Donasi!$B$2:$B$20000,A1759,Donasi!$C$2:$C$20000))</f>
        <v/>
      </c>
      <c r="E1759">
        <f>IF(A1759="","",6-CEILING(PERCENTRANK.INC($B$3:$B$6000,B1759,4)*5+0.000001,1))</f>
        <v/>
      </c>
      <c r="F1759">
        <f>IF(A1759="","",MAX(1,CEILING(PERCENTRANK.INC($C$3:$C$6000,C1759,4)*5+0.000001,1)))</f>
        <v/>
      </c>
      <c r="G1759">
        <f>IF(A1759="","",MAX(1,CEILING(PERCENTRANK.INC($D$3:$D$6000,D1759,4)*5+0.000001,1)))</f>
        <v/>
      </c>
      <c r="H1759">
        <f>IF(A1759="","",E1759&amp;F1759&amp;G1759)</f>
        <v/>
      </c>
      <c r="I1759">
        <f>IF(A1759="","",IF(AND(E1759&gt;=4,F1759&gt;=4,G1759&gt;=4),"Juara",IF(AND(F1759&gt;=4,E1759&gt;=3),"Setia",IF(AND(E1759=5,F1759&lt;=2,G1759&gt;=3),"Berpotensi",IF(AND(E1759&lt;=3,E1759&gt;=2,F1759&gt;=3),"Rawan",IF(AND(E1759&lt;=2,F1759&lt;=2),"Tidur","Umum"))))))</f>
        <v/>
      </c>
    </row>
    <row r="1760">
      <c r="B1760">
        <f>IF(A1760="","",$B$1-MAXIFS(Donasi!$A$2:$A$20000,Donasi!$B$2:$B$20000,A1760))</f>
        <v/>
      </c>
      <c r="C1760">
        <f>IF(A1760="","",COUNTIF(Donasi!$B$2:$B$20000,A1760))</f>
        <v/>
      </c>
      <c r="D1760">
        <f>IF(A1760="","",SUMIF(Donasi!$B$2:$B$20000,A1760,Donasi!$C$2:$C$20000))</f>
        <v/>
      </c>
      <c r="E1760">
        <f>IF(A1760="","",6-CEILING(PERCENTRANK.INC($B$3:$B$6000,B1760,4)*5+0.000001,1))</f>
        <v/>
      </c>
      <c r="F1760">
        <f>IF(A1760="","",MAX(1,CEILING(PERCENTRANK.INC($C$3:$C$6000,C1760,4)*5+0.000001,1)))</f>
        <v/>
      </c>
      <c r="G1760">
        <f>IF(A1760="","",MAX(1,CEILING(PERCENTRANK.INC($D$3:$D$6000,D1760,4)*5+0.000001,1)))</f>
        <v/>
      </c>
      <c r="H1760">
        <f>IF(A1760="","",E1760&amp;F1760&amp;G1760)</f>
        <v/>
      </c>
      <c r="I1760">
        <f>IF(A1760="","",IF(AND(E1760&gt;=4,F1760&gt;=4,G1760&gt;=4),"Juara",IF(AND(F1760&gt;=4,E1760&gt;=3),"Setia",IF(AND(E1760=5,F1760&lt;=2,G1760&gt;=3),"Berpotensi",IF(AND(E1760&lt;=3,E1760&gt;=2,F1760&gt;=3),"Rawan",IF(AND(E1760&lt;=2,F1760&lt;=2),"Tidur","Umum"))))))</f>
        <v/>
      </c>
    </row>
    <row r="1761">
      <c r="B1761">
        <f>IF(A1761="","",$B$1-MAXIFS(Donasi!$A$2:$A$20000,Donasi!$B$2:$B$20000,A1761))</f>
        <v/>
      </c>
      <c r="C1761">
        <f>IF(A1761="","",COUNTIF(Donasi!$B$2:$B$20000,A1761))</f>
        <v/>
      </c>
      <c r="D1761">
        <f>IF(A1761="","",SUMIF(Donasi!$B$2:$B$20000,A1761,Donasi!$C$2:$C$20000))</f>
        <v/>
      </c>
      <c r="E1761">
        <f>IF(A1761="","",6-CEILING(PERCENTRANK.INC($B$3:$B$6000,B1761,4)*5+0.000001,1))</f>
        <v/>
      </c>
      <c r="F1761">
        <f>IF(A1761="","",MAX(1,CEILING(PERCENTRANK.INC($C$3:$C$6000,C1761,4)*5+0.000001,1)))</f>
        <v/>
      </c>
      <c r="G1761">
        <f>IF(A1761="","",MAX(1,CEILING(PERCENTRANK.INC($D$3:$D$6000,D1761,4)*5+0.000001,1)))</f>
        <v/>
      </c>
      <c r="H1761">
        <f>IF(A1761="","",E1761&amp;F1761&amp;G1761)</f>
        <v/>
      </c>
      <c r="I1761">
        <f>IF(A1761="","",IF(AND(E1761&gt;=4,F1761&gt;=4,G1761&gt;=4),"Juara",IF(AND(F1761&gt;=4,E1761&gt;=3),"Setia",IF(AND(E1761=5,F1761&lt;=2,G1761&gt;=3),"Berpotensi",IF(AND(E1761&lt;=3,E1761&gt;=2,F1761&gt;=3),"Rawan",IF(AND(E1761&lt;=2,F1761&lt;=2),"Tidur","Umum"))))))</f>
        <v/>
      </c>
    </row>
    <row r="1762">
      <c r="B1762">
        <f>IF(A1762="","",$B$1-MAXIFS(Donasi!$A$2:$A$20000,Donasi!$B$2:$B$20000,A1762))</f>
        <v/>
      </c>
      <c r="C1762">
        <f>IF(A1762="","",COUNTIF(Donasi!$B$2:$B$20000,A1762))</f>
        <v/>
      </c>
      <c r="D1762">
        <f>IF(A1762="","",SUMIF(Donasi!$B$2:$B$20000,A1762,Donasi!$C$2:$C$20000))</f>
        <v/>
      </c>
      <c r="E1762">
        <f>IF(A1762="","",6-CEILING(PERCENTRANK.INC($B$3:$B$6000,B1762,4)*5+0.000001,1))</f>
        <v/>
      </c>
      <c r="F1762">
        <f>IF(A1762="","",MAX(1,CEILING(PERCENTRANK.INC($C$3:$C$6000,C1762,4)*5+0.000001,1)))</f>
        <v/>
      </c>
      <c r="G1762">
        <f>IF(A1762="","",MAX(1,CEILING(PERCENTRANK.INC($D$3:$D$6000,D1762,4)*5+0.000001,1)))</f>
        <v/>
      </c>
      <c r="H1762">
        <f>IF(A1762="","",E1762&amp;F1762&amp;G1762)</f>
        <v/>
      </c>
      <c r="I1762">
        <f>IF(A1762="","",IF(AND(E1762&gt;=4,F1762&gt;=4,G1762&gt;=4),"Juara",IF(AND(F1762&gt;=4,E1762&gt;=3),"Setia",IF(AND(E1762=5,F1762&lt;=2,G1762&gt;=3),"Berpotensi",IF(AND(E1762&lt;=3,E1762&gt;=2,F1762&gt;=3),"Rawan",IF(AND(E1762&lt;=2,F1762&lt;=2),"Tidur","Umum"))))))</f>
        <v/>
      </c>
    </row>
    <row r="1763">
      <c r="B1763">
        <f>IF(A1763="","",$B$1-MAXIFS(Donasi!$A$2:$A$20000,Donasi!$B$2:$B$20000,A1763))</f>
        <v/>
      </c>
      <c r="C1763">
        <f>IF(A1763="","",COUNTIF(Donasi!$B$2:$B$20000,A1763))</f>
        <v/>
      </c>
      <c r="D1763">
        <f>IF(A1763="","",SUMIF(Donasi!$B$2:$B$20000,A1763,Donasi!$C$2:$C$20000))</f>
        <v/>
      </c>
      <c r="E1763">
        <f>IF(A1763="","",6-CEILING(PERCENTRANK.INC($B$3:$B$6000,B1763,4)*5+0.000001,1))</f>
        <v/>
      </c>
      <c r="F1763">
        <f>IF(A1763="","",MAX(1,CEILING(PERCENTRANK.INC($C$3:$C$6000,C1763,4)*5+0.000001,1)))</f>
        <v/>
      </c>
      <c r="G1763">
        <f>IF(A1763="","",MAX(1,CEILING(PERCENTRANK.INC($D$3:$D$6000,D1763,4)*5+0.000001,1)))</f>
        <v/>
      </c>
      <c r="H1763">
        <f>IF(A1763="","",E1763&amp;F1763&amp;G1763)</f>
        <v/>
      </c>
      <c r="I1763">
        <f>IF(A1763="","",IF(AND(E1763&gt;=4,F1763&gt;=4,G1763&gt;=4),"Juara",IF(AND(F1763&gt;=4,E1763&gt;=3),"Setia",IF(AND(E1763=5,F1763&lt;=2,G1763&gt;=3),"Berpotensi",IF(AND(E1763&lt;=3,E1763&gt;=2,F1763&gt;=3),"Rawan",IF(AND(E1763&lt;=2,F1763&lt;=2),"Tidur","Umum"))))))</f>
        <v/>
      </c>
    </row>
    <row r="1764">
      <c r="B1764">
        <f>IF(A1764="","",$B$1-MAXIFS(Donasi!$A$2:$A$20000,Donasi!$B$2:$B$20000,A1764))</f>
        <v/>
      </c>
      <c r="C1764">
        <f>IF(A1764="","",COUNTIF(Donasi!$B$2:$B$20000,A1764))</f>
        <v/>
      </c>
      <c r="D1764">
        <f>IF(A1764="","",SUMIF(Donasi!$B$2:$B$20000,A1764,Donasi!$C$2:$C$20000))</f>
        <v/>
      </c>
      <c r="E1764">
        <f>IF(A1764="","",6-CEILING(PERCENTRANK.INC($B$3:$B$6000,B1764,4)*5+0.000001,1))</f>
        <v/>
      </c>
      <c r="F1764">
        <f>IF(A1764="","",MAX(1,CEILING(PERCENTRANK.INC($C$3:$C$6000,C1764,4)*5+0.000001,1)))</f>
        <v/>
      </c>
      <c r="G1764">
        <f>IF(A1764="","",MAX(1,CEILING(PERCENTRANK.INC($D$3:$D$6000,D1764,4)*5+0.000001,1)))</f>
        <v/>
      </c>
      <c r="H1764">
        <f>IF(A1764="","",E1764&amp;F1764&amp;G1764)</f>
        <v/>
      </c>
      <c r="I1764">
        <f>IF(A1764="","",IF(AND(E1764&gt;=4,F1764&gt;=4,G1764&gt;=4),"Juara",IF(AND(F1764&gt;=4,E1764&gt;=3),"Setia",IF(AND(E1764=5,F1764&lt;=2,G1764&gt;=3),"Berpotensi",IF(AND(E1764&lt;=3,E1764&gt;=2,F1764&gt;=3),"Rawan",IF(AND(E1764&lt;=2,F1764&lt;=2),"Tidur","Umum"))))))</f>
        <v/>
      </c>
    </row>
    <row r="1765">
      <c r="B1765">
        <f>IF(A1765="","",$B$1-MAXIFS(Donasi!$A$2:$A$20000,Donasi!$B$2:$B$20000,A1765))</f>
        <v/>
      </c>
      <c r="C1765">
        <f>IF(A1765="","",COUNTIF(Donasi!$B$2:$B$20000,A1765))</f>
        <v/>
      </c>
      <c r="D1765">
        <f>IF(A1765="","",SUMIF(Donasi!$B$2:$B$20000,A1765,Donasi!$C$2:$C$20000))</f>
        <v/>
      </c>
      <c r="E1765">
        <f>IF(A1765="","",6-CEILING(PERCENTRANK.INC($B$3:$B$6000,B1765,4)*5+0.000001,1))</f>
        <v/>
      </c>
      <c r="F1765">
        <f>IF(A1765="","",MAX(1,CEILING(PERCENTRANK.INC($C$3:$C$6000,C1765,4)*5+0.000001,1)))</f>
        <v/>
      </c>
      <c r="G1765">
        <f>IF(A1765="","",MAX(1,CEILING(PERCENTRANK.INC($D$3:$D$6000,D1765,4)*5+0.000001,1)))</f>
        <v/>
      </c>
      <c r="H1765">
        <f>IF(A1765="","",E1765&amp;F1765&amp;G1765)</f>
        <v/>
      </c>
      <c r="I1765">
        <f>IF(A1765="","",IF(AND(E1765&gt;=4,F1765&gt;=4,G1765&gt;=4),"Juara",IF(AND(F1765&gt;=4,E1765&gt;=3),"Setia",IF(AND(E1765=5,F1765&lt;=2,G1765&gt;=3),"Berpotensi",IF(AND(E1765&lt;=3,E1765&gt;=2,F1765&gt;=3),"Rawan",IF(AND(E1765&lt;=2,F1765&lt;=2),"Tidur","Umum"))))))</f>
        <v/>
      </c>
    </row>
    <row r="1766">
      <c r="B1766">
        <f>IF(A1766="","",$B$1-MAXIFS(Donasi!$A$2:$A$20000,Donasi!$B$2:$B$20000,A1766))</f>
        <v/>
      </c>
      <c r="C1766">
        <f>IF(A1766="","",COUNTIF(Donasi!$B$2:$B$20000,A1766))</f>
        <v/>
      </c>
      <c r="D1766">
        <f>IF(A1766="","",SUMIF(Donasi!$B$2:$B$20000,A1766,Donasi!$C$2:$C$20000))</f>
        <v/>
      </c>
      <c r="E1766">
        <f>IF(A1766="","",6-CEILING(PERCENTRANK.INC($B$3:$B$6000,B1766,4)*5+0.000001,1))</f>
        <v/>
      </c>
      <c r="F1766">
        <f>IF(A1766="","",MAX(1,CEILING(PERCENTRANK.INC($C$3:$C$6000,C1766,4)*5+0.000001,1)))</f>
        <v/>
      </c>
      <c r="G1766">
        <f>IF(A1766="","",MAX(1,CEILING(PERCENTRANK.INC($D$3:$D$6000,D1766,4)*5+0.000001,1)))</f>
        <v/>
      </c>
      <c r="H1766">
        <f>IF(A1766="","",E1766&amp;F1766&amp;G1766)</f>
        <v/>
      </c>
      <c r="I1766">
        <f>IF(A1766="","",IF(AND(E1766&gt;=4,F1766&gt;=4,G1766&gt;=4),"Juara",IF(AND(F1766&gt;=4,E1766&gt;=3),"Setia",IF(AND(E1766=5,F1766&lt;=2,G1766&gt;=3),"Berpotensi",IF(AND(E1766&lt;=3,E1766&gt;=2,F1766&gt;=3),"Rawan",IF(AND(E1766&lt;=2,F1766&lt;=2),"Tidur","Umum"))))))</f>
        <v/>
      </c>
    </row>
    <row r="1767">
      <c r="B1767">
        <f>IF(A1767="","",$B$1-MAXIFS(Donasi!$A$2:$A$20000,Donasi!$B$2:$B$20000,A1767))</f>
        <v/>
      </c>
      <c r="C1767">
        <f>IF(A1767="","",COUNTIF(Donasi!$B$2:$B$20000,A1767))</f>
        <v/>
      </c>
      <c r="D1767">
        <f>IF(A1767="","",SUMIF(Donasi!$B$2:$B$20000,A1767,Donasi!$C$2:$C$20000))</f>
        <v/>
      </c>
      <c r="E1767">
        <f>IF(A1767="","",6-CEILING(PERCENTRANK.INC($B$3:$B$6000,B1767,4)*5+0.000001,1))</f>
        <v/>
      </c>
      <c r="F1767">
        <f>IF(A1767="","",MAX(1,CEILING(PERCENTRANK.INC($C$3:$C$6000,C1767,4)*5+0.000001,1)))</f>
        <v/>
      </c>
      <c r="G1767">
        <f>IF(A1767="","",MAX(1,CEILING(PERCENTRANK.INC($D$3:$D$6000,D1767,4)*5+0.000001,1)))</f>
        <v/>
      </c>
      <c r="H1767">
        <f>IF(A1767="","",E1767&amp;F1767&amp;G1767)</f>
        <v/>
      </c>
      <c r="I1767">
        <f>IF(A1767="","",IF(AND(E1767&gt;=4,F1767&gt;=4,G1767&gt;=4),"Juara",IF(AND(F1767&gt;=4,E1767&gt;=3),"Setia",IF(AND(E1767=5,F1767&lt;=2,G1767&gt;=3),"Berpotensi",IF(AND(E1767&lt;=3,E1767&gt;=2,F1767&gt;=3),"Rawan",IF(AND(E1767&lt;=2,F1767&lt;=2),"Tidur","Umum"))))))</f>
        <v/>
      </c>
    </row>
    <row r="1768">
      <c r="B1768">
        <f>IF(A1768="","",$B$1-MAXIFS(Donasi!$A$2:$A$20000,Donasi!$B$2:$B$20000,A1768))</f>
        <v/>
      </c>
      <c r="C1768">
        <f>IF(A1768="","",COUNTIF(Donasi!$B$2:$B$20000,A1768))</f>
        <v/>
      </c>
      <c r="D1768">
        <f>IF(A1768="","",SUMIF(Donasi!$B$2:$B$20000,A1768,Donasi!$C$2:$C$20000))</f>
        <v/>
      </c>
      <c r="E1768">
        <f>IF(A1768="","",6-CEILING(PERCENTRANK.INC($B$3:$B$6000,B1768,4)*5+0.000001,1))</f>
        <v/>
      </c>
      <c r="F1768">
        <f>IF(A1768="","",MAX(1,CEILING(PERCENTRANK.INC($C$3:$C$6000,C1768,4)*5+0.000001,1)))</f>
        <v/>
      </c>
      <c r="G1768">
        <f>IF(A1768="","",MAX(1,CEILING(PERCENTRANK.INC($D$3:$D$6000,D1768,4)*5+0.000001,1)))</f>
        <v/>
      </c>
      <c r="H1768">
        <f>IF(A1768="","",E1768&amp;F1768&amp;G1768)</f>
        <v/>
      </c>
      <c r="I1768">
        <f>IF(A1768="","",IF(AND(E1768&gt;=4,F1768&gt;=4,G1768&gt;=4),"Juara",IF(AND(F1768&gt;=4,E1768&gt;=3),"Setia",IF(AND(E1768=5,F1768&lt;=2,G1768&gt;=3),"Berpotensi",IF(AND(E1768&lt;=3,E1768&gt;=2,F1768&gt;=3),"Rawan",IF(AND(E1768&lt;=2,F1768&lt;=2),"Tidur","Umum"))))))</f>
        <v/>
      </c>
    </row>
    <row r="1769">
      <c r="B1769">
        <f>IF(A1769="","",$B$1-MAXIFS(Donasi!$A$2:$A$20000,Donasi!$B$2:$B$20000,A1769))</f>
        <v/>
      </c>
      <c r="C1769">
        <f>IF(A1769="","",COUNTIF(Donasi!$B$2:$B$20000,A1769))</f>
        <v/>
      </c>
      <c r="D1769">
        <f>IF(A1769="","",SUMIF(Donasi!$B$2:$B$20000,A1769,Donasi!$C$2:$C$20000))</f>
        <v/>
      </c>
      <c r="E1769">
        <f>IF(A1769="","",6-CEILING(PERCENTRANK.INC($B$3:$B$6000,B1769,4)*5+0.000001,1))</f>
        <v/>
      </c>
      <c r="F1769">
        <f>IF(A1769="","",MAX(1,CEILING(PERCENTRANK.INC($C$3:$C$6000,C1769,4)*5+0.000001,1)))</f>
        <v/>
      </c>
      <c r="G1769">
        <f>IF(A1769="","",MAX(1,CEILING(PERCENTRANK.INC($D$3:$D$6000,D1769,4)*5+0.000001,1)))</f>
        <v/>
      </c>
      <c r="H1769">
        <f>IF(A1769="","",E1769&amp;F1769&amp;G1769)</f>
        <v/>
      </c>
      <c r="I1769">
        <f>IF(A1769="","",IF(AND(E1769&gt;=4,F1769&gt;=4,G1769&gt;=4),"Juara",IF(AND(F1769&gt;=4,E1769&gt;=3),"Setia",IF(AND(E1769=5,F1769&lt;=2,G1769&gt;=3),"Berpotensi",IF(AND(E1769&lt;=3,E1769&gt;=2,F1769&gt;=3),"Rawan",IF(AND(E1769&lt;=2,F1769&lt;=2),"Tidur","Umum"))))))</f>
        <v/>
      </c>
    </row>
    <row r="1770">
      <c r="B1770">
        <f>IF(A1770="","",$B$1-MAXIFS(Donasi!$A$2:$A$20000,Donasi!$B$2:$B$20000,A1770))</f>
        <v/>
      </c>
      <c r="C1770">
        <f>IF(A1770="","",COUNTIF(Donasi!$B$2:$B$20000,A1770))</f>
        <v/>
      </c>
      <c r="D1770">
        <f>IF(A1770="","",SUMIF(Donasi!$B$2:$B$20000,A1770,Donasi!$C$2:$C$20000))</f>
        <v/>
      </c>
      <c r="E1770">
        <f>IF(A1770="","",6-CEILING(PERCENTRANK.INC($B$3:$B$6000,B1770,4)*5+0.000001,1))</f>
        <v/>
      </c>
      <c r="F1770">
        <f>IF(A1770="","",MAX(1,CEILING(PERCENTRANK.INC($C$3:$C$6000,C1770,4)*5+0.000001,1)))</f>
        <v/>
      </c>
      <c r="G1770">
        <f>IF(A1770="","",MAX(1,CEILING(PERCENTRANK.INC($D$3:$D$6000,D1770,4)*5+0.000001,1)))</f>
        <v/>
      </c>
      <c r="H1770">
        <f>IF(A1770="","",E1770&amp;F1770&amp;G1770)</f>
        <v/>
      </c>
      <c r="I1770">
        <f>IF(A1770="","",IF(AND(E1770&gt;=4,F1770&gt;=4,G1770&gt;=4),"Juara",IF(AND(F1770&gt;=4,E1770&gt;=3),"Setia",IF(AND(E1770=5,F1770&lt;=2,G1770&gt;=3),"Berpotensi",IF(AND(E1770&lt;=3,E1770&gt;=2,F1770&gt;=3),"Rawan",IF(AND(E1770&lt;=2,F1770&lt;=2),"Tidur","Umum"))))))</f>
        <v/>
      </c>
    </row>
    <row r="1771">
      <c r="B1771">
        <f>IF(A1771="","",$B$1-MAXIFS(Donasi!$A$2:$A$20000,Donasi!$B$2:$B$20000,A1771))</f>
        <v/>
      </c>
      <c r="C1771">
        <f>IF(A1771="","",COUNTIF(Donasi!$B$2:$B$20000,A1771))</f>
        <v/>
      </c>
      <c r="D1771">
        <f>IF(A1771="","",SUMIF(Donasi!$B$2:$B$20000,A1771,Donasi!$C$2:$C$20000))</f>
        <v/>
      </c>
      <c r="E1771">
        <f>IF(A1771="","",6-CEILING(PERCENTRANK.INC($B$3:$B$6000,B1771,4)*5+0.000001,1))</f>
        <v/>
      </c>
      <c r="F1771">
        <f>IF(A1771="","",MAX(1,CEILING(PERCENTRANK.INC($C$3:$C$6000,C1771,4)*5+0.000001,1)))</f>
        <v/>
      </c>
      <c r="G1771">
        <f>IF(A1771="","",MAX(1,CEILING(PERCENTRANK.INC($D$3:$D$6000,D1771,4)*5+0.000001,1)))</f>
        <v/>
      </c>
      <c r="H1771">
        <f>IF(A1771="","",E1771&amp;F1771&amp;G1771)</f>
        <v/>
      </c>
      <c r="I1771">
        <f>IF(A1771="","",IF(AND(E1771&gt;=4,F1771&gt;=4,G1771&gt;=4),"Juara",IF(AND(F1771&gt;=4,E1771&gt;=3),"Setia",IF(AND(E1771=5,F1771&lt;=2,G1771&gt;=3),"Berpotensi",IF(AND(E1771&lt;=3,E1771&gt;=2,F1771&gt;=3),"Rawan",IF(AND(E1771&lt;=2,F1771&lt;=2),"Tidur","Umum"))))))</f>
        <v/>
      </c>
    </row>
    <row r="1772">
      <c r="B1772">
        <f>IF(A1772="","",$B$1-MAXIFS(Donasi!$A$2:$A$20000,Donasi!$B$2:$B$20000,A1772))</f>
        <v/>
      </c>
      <c r="C1772">
        <f>IF(A1772="","",COUNTIF(Donasi!$B$2:$B$20000,A1772))</f>
        <v/>
      </c>
      <c r="D1772">
        <f>IF(A1772="","",SUMIF(Donasi!$B$2:$B$20000,A1772,Donasi!$C$2:$C$20000))</f>
        <v/>
      </c>
      <c r="E1772">
        <f>IF(A1772="","",6-CEILING(PERCENTRANK.INC($B$3:$B$6000,B1772,4)*5+0.000001,1))</f>
        <v/>
      </c>
      <c r="F1772">
        <f>IF(A1772="","",MAX(1,CEILING(PERCENTRANK.INC($C$3:$C$6000,C1772,4)*5+0.000001,1)))</f>
        <v/>
      </c>
      <c r="G1772">
        <f>IF(A1772="","",MAX(1,CEILING(PERCENTRANK.INC($D$3:$D$6000,D1772,4)*5+0.000001,1)))</f>
        <v/>
      </c>
      <c r="H1772">
        <f>IF(A1772="","",E1772&amp;F1772&amp;G1772)</f>
        <v/>
      </c>
      <c r="I1772">
        <f>IF(A1772="","",IF(AND(E1772&gt;=4,F1772&gt;=4,G1772&gt;=4),"Juara",IF(AND(F1772&gt;=4,E1772&gt;=3),"Setia",IF(AND(E1772=5,F1772&lt;=2,G1772&gt;=3),"Berpotensi",IF(AND(E1772&lt;=3,E1772&gt;=2,F1772&gt;=3),"Rawan",IF(AND(E1772&lt;=2,F1772&lt;=2),"Tidur","Umum"))))))</f>
        <v/>
      </c>
    </row>
    <row r="1773">
      <c r="B1773">
        <f>IF(A1773="","",$B$1-MAXIFS(Donasi!$A$2:$A$20000,Donasi!$B$2:$B$20000,A1773))</f>
        <v/>
      </c>
      <c r="C1773">
        <f>IF(A1773="","",COUNTIF(Donasi!$B$2:$B$20000,A1773))</f>
        <v/>
      </c>
      <c r="D1773">
        <f>IF(A1773="","",SUMIF(Donasi!$B$2:$B$20000,A1773,Donasi!$C$2:$C$20000))</f>
        <v/>
      </c>
      <c r="E1773">
        <f>IF(A1773="","",6-CEILING(PERCENTRANK.INC($B$3:$B$6000,B1773,4)*5+0.000001,1))</f>
        <v/>
      </c>
      <c r="F1773">
        <f>IF(A1773="","",MAX(1,CEILING(PERCENTRANK.INC($C$3:$C$6000,C1773,4)*5+0.000001,1)))</f>
        <v/>
      </c>
      <c r="G1773">
        <f>IF(A1773="","",MAX(1,CEILING(PERCENTRANK.INC($D$3:$D$6000,D1773,4)*5+0.000001,1)))</f>
        <v/>
      </c>
      <c r="H1773">
        <f>IF(A1773="","",E1773&amp;F1773&amp;G1773)</f>
        <v/>
      </c>
      <c r="I1773">
        <f>IF(A1773="","",IF(AND(E1773&gt;=4,F1773&gt;=4,G1773&gt;=4),"Juara",IF(AND(F1773&gt;=4,E1773&gt;=3),"Setia",IF(AND(E1773=5,F1773&lt;=2,G1773&gt;=3),"Berpotensi",IF(AND(E1773&lt;=3,E1773&gt;=2,F1773&gt;=3),"Rawan",IF(AND(E1773&lt;=2,F1773&lt;=2),"Tidur","Umum"))))))</f>
        <v/>
      </c>
    </row>
    <row r="1774">
      <c r="B1774">
        <f>IF(A1774="","",$B$1-MAXIFS(Donasi!$A$2:$A$20000,Donasi!$B$2:$B$20000,A1774))</f>
        <v/>
      </c>
      <c r="C1774">
        <f>IF(A1774="","",COUNTIF(Donasi!$B$2:$B$20000,A1774))</f>
        <v/>
      </c>
      <c r="D1774">
        <f>IF(A1774="","",SUMIF(Donasi!$B$2:$B$20000,A1774,Donasi!$C$2:$C$20000))</f>
        <v/>
      </c>
      <c r="E1774">
        <f>IF(A1774="","",6-CEILING(PERCENTRANK.INC($B$3:$B$6000,B1774,4)*5+0.000001,1))</f>
        <v/>
      </c>
      <c r="F1774">
        <f>IF(A1774="","",MAX(1,CEILING(PERCENTRANK.INC($C$3:$C$6000,C1774,4)*5+0.000001,1)))</f>
        <v/>
      </c>
      <c r="G1774">
        <f>IF(A1774="","",MAX(1,CEILING(PERCENTRANK.INC($D$3:$D$6000,D1774,4)*5+0.000001,1)))</f>
        <v/>
      </c>
      <c r="H1774">
        <f>IF(A1774="","",E1774&amp;F1774&amp;G1774)</f>
        <v/>
      </c>
      <c r="I1774">
        <f>IF(A1774="","",IF(AND(E1774&gt;=4,F1774&gt;=4,G1774&gt;=4),"Juara",IF(AND(F1774&gt;=4,E1774&gt;=3),"Setia",IF(AND(E1774=5,F1774&lt;=2,G1774&gt;=3),"Berpotensi",IF(AND(E1774&lt;=3,E1774&gt;=2,F1774&gt;=3),"Rawan",IF(AND(E1774&lt;=2,F1774&lt;=2),"Tidur","Umum"))))))</f>
        <v/>
      </c>
    </row>
    <row r="1775">
      <c r="B1775">
        <f>IF(A1775="","",$B$1-MAXIFS(Donasi!$A$2:$A$20000,Donasi!$B$2:$B$20000,A1775))</f>
        <v/>
      </c>
      <c r="C1775">
        <f>IF(A1775="","",COUNTIF(Donasi!$B$2:$B$20000,A1775))</f>
        <v/>
      </c>
      <c r="D1775">
        <f>IF(A1775="","",SUMIF(Donasi!$B$2:$B$20000,A1775,Donasi!$C$2:$C$20000))</f>
        <v/>
      </c>
      <c r="E1775">
        <f>IF(A1775="","",6-CEILING(PERCENTRANK.INC($B$3:$B$6000,B1775,4)*5+0.000001,1))</f>
        <v/>
      </c>
      <c r="F1775">
        <f>IF(A1775="","",MAX(1,CEILING(PERCENTRANK.INC($C$3:$C$6000,C1775,4)*5+0.000001,1)))</f>
        <v/>
      </c>
      <c r="G1775">
        <f>IF(A1775="","",MAX(1,CEILING(PERCENTRANK.INC($D$3:$D$6000,D1775,4)*5+0.000001,1)))</f>
        <v/>
      </c>
      <c r="H1775">
        <f>IF(A1775="","",E1775&amp;F1775&amp;G1775)</f>
        <v/>
      </c>
      <c r="I1775">
        <f>IF(A1775="","",IF(AND(E1775&gt;=4,F1775&gt;=4,G1775&gt;=4),"Juara",IF(AND(F1775&gt;=4,E1775&gt;=3),"Setia",IF(AND(E1775=5,F1775&lt;=2,G1775&gt;=3),"Berpotensi",IF(AND(E1775&lt;=3,E1775&gt;=2,F1775&gt;=3),"Rawan",IF(AND(E1775&lt;=2,F1775&lt;=2),"Tidur","Umum"))))))</f>
        <v/>
      </c>
    </row>
    <row r="1776">
      <c r="B1776">
        <f>IF(A1776="","",$B$1-MAXIFS(Donasi!$A$2:$A$20000,Donasi!$B$2:$B$20000,A1776))</f>
        <v/>
      </c>
      <c r="C1776">
        <f>IF(A1776="","",COUNTIF(Donasi!$B$2:$B$20000,A1776))</f>
        <v/>
      </c>
      <c r="D1776">
        <f>IF(A1776="","",SUMIF(Donasi!$B$2:$B$20000,A1776,Donasi!$C$2:$C$20000))</f>
        <v/>
      </c>
      <c r="E1776">
        <f>IF(A1776="","",6-CEILING(PERCENTRANK.INC($B$3:$B$6000,B1776,4)*5+0.000001,1))</f>
        <v/>
      </c>
      <c r="F1776">
        <f>IF(A1776="","",MAX(1,CEILING(PERCENTRANK.INC($C$3:$C$6000,C1776,4)*5+0.000001,1)))</f>
        <v/>
      </c>
      <c r="G1776">
        <f>IF(A1776="","",MAX(1,CEILING(PERCENTRANK.INC($D$3:$D$6000,D1776,4)*5+0.000001,1)))</f>
        <v/>
      </c>
      <c r="H1776">
        <f>IF(A1776="","",E1776&amp;F1776&amp;G1776)</f>
        <v/>
      </c>
      <c r="I1776">
        <f>IF(A1776="","",IF(AND(E1776&gt;=4,F1776&gt;=4,G1776&gt;=4),"Juara",IF(AND(F1776&gt;=4,E1776&gt;=3),"Setia",IF(AND(E1776=5,F1776&lt;=2,G1776&gt;=3),"Berpotensi",IF(AND(E1776&lt;=3,E1776&gt;=2,F1776&gt;=3),"Rawan",IF(AND(E1776&lt;=2,F1776&lt;=2),"Tidur","Umum"))))))</f>
        <v/>
      </c>
    </row>
    <row r="1777">
      <c r="B1777">
        <f>IF(A1777="","",$B$1-MAXIFS(Donasi!$A$2:$A$20000,Donasi!$B$2:$B$20000,A1777))</f>
        <v/>
      </c>
      <c r="C1777">
        <f>IF(A1777="","",COUNTIF(Donasi!$B$2:$B$20000,A1777))</f>
        <v/>
      </c>
      <c r="D1777">
        <f>IF(A1777="","",SUMIF(Donasi!$B$2:$B$20000,A1777,Donasi!$C$2:$C$20000))</f>
        <v/>
      </c>
      <c r="E1777">
        <f>IF(A1777="","",6-CEILING(PERCENTRANK.INC($B$3:$B$6000,B1777,4)*5+0.000001,1))</f>
        <v/>
      </c>
      <c r="F1777">
        <f>IF(A1777="","",MAX(1,CEILING(PERCENTRANK.INC($C$3:$C$6000,C1777,4)*5+0.000001,1)))</f>
        <v/>
      </c>
      <c r="G1777">
        <f>IF(A1777="","",MAX(1,CEILING(PERCENTRANK.INC($D$3:$D$6000,D1777,4)*5+0.000001,1)))</f>
        <v/>
      </c>
      <c r="H1777">
        <f>IF(A1777="","",E1777&amp;F1777&amp;G1777)</f>
        <v/>
      </c>
      <c r="I1777">
        <f>IF(A1777="","",IF(AND(E1777&gt;=4,F1777&gt;=4,G1777&gt;=4),"Juara",IF(AND(F1777&gt;=4,E1777&gt;=3),"Setia",IF(AND(E1777=5,F1777&lt;=2,G1777&gt;=3),"Berpotensi",IF(AND(E1777&lt;=3,E1777&gt;=2,F1777&gt;=3),"Rawan",IF(AND(E1777&lt;=2,F1777&lt;=2),"Tidur","Umum"))))))</f>
        <v/>
      </c>
    </row>
    <row r="1778">
      <c r="B1778">
        <f>IF(A1778="","",$B$1-MAXIFS(Donasi!$A$2:$A$20000,Donasi!$B$2:$B$20000,A1778))</f>
        <v/>
      </c>
      <c r="C1778">
        <f>IF(A1778="","",COUNTIF(Donasi!$B$2:$B$20000,A1778))</f>
        <v/>
      </c>
      <c r="D1778">
        <f>IF(A1778="","",SUMIF(Donasi!$B$2:$B$20000,A1778,Donasi!$C$2:$C$20000))</f>
        <v/>
      </c>
      <c r="E1778">
        <f>IF(A1778="","",6-CEILING(PERCENTRANK.INC($B$3:$B$6000,B1778,4)*5+0.000001,1))</f>
        <v/>
      </c>
      <c r="F1778">
        <f>IF(A1778="","",MAX(1,CEILING(PERCENTRANK.INC($C$3:$C$6000,C1778,4)*5+0.000001,1)))</f>
        <v/>
      </c>
      <c r="G1778">
        <f>IF(A1778="","",MAX(1,CEILING(PERCENTRANK.INC($D$3:$D$6000,D1778,4)*5+0.000001,1)))</f>
        <v/>
      </c>
      <c r="H1778">
        <f>IF(A1778="","",E1778&amp;F1778&amp;G1778)</f>
        <v/>
      </c>
      <c r="I1778">
        <f>IF(A1778="","",IF(AND(E1778&gt;=4,F1778&gt;=4,G1778&gt;=4),"Juara",IF(AND(F1778&gt;=4,E1778&gt;=3),"Setia",IF(AND(E1778=5,F1778&lt;=2,G1778&gt;=3),"Berpotensi",IF(AND(E1778&lt;=3,E1778&gt;=2,F1778&gt;=3),"Rawan",IF(AND(E1778&lt;=2,F1778&lt;=2),"Tidur","Umum"))))))</f>
        <v/>
      </c>
    </row>
    <row r="1779">
      <c r="B1779">
        <f>IF(A1779="","",$B$1-MAXIFS(Donasi!$A$2:$A$20000,Donasi!$B$2:$B$20000,A1779))</f>
        <v/>
      </c>
      <c r="C1779">
        <f>IF(A1779="","",COUNTIF(Donasi!$B$2:$B$20000,A1779))</f>
        <v/>
      </c>
      <c r="D1779">
        <f>IF(A1779="","",SUMIF(Donasi!$B$2:$B$20000,A1779,Donasi!$C$2:$C$20000))</f>
        <v/>
      </c>
      <c r="E1779">
        <f>IF(A1779="","",6-CEILING(PERCENTRANK.INC($B$3:$B$6000,B1779,4)*5+0.000001,1))</f>
        <v/>
      </c>
      <c r="F1779">
        <f>IF(A1779="","",MAX(1,CEILING(PERCENTRANK.INC($C$3:$C$6000,C1779,4)*5+0.000001,1)))</f>
        <v/>
      </c>
      <c r="G1779">
        <f>IF(A1779="","",MAX(1,CEILING(PERCENTRANK.INC($D$3:$D$6000,D1779,4)*5+0.000001,1)))</f>
        <v/>
      </c>
      <c r="H1779">
        <f>IF(A1779="","",E1779&amp;F1779&amp;G1779)</f>
        <v/>
      </c>
      <c r="I1779">
        <f>IF(A1779="","",IF(AND(E1779&gt;=4,F1779&gt;=4,G1779&gt;=4),"Juara",IF(AND(F1779&gt;=4,E1779&gt;=3),"Setia",IF(AND(E1779=5,F1779&lt;=2,G1779&gt;=3),"Berpotensi",IF(AND(E1779&lt;=3,E1779&gt;=2,F1779&gt;=3),"Rawan",IF(AND(E1779&lt;=2,F1779&lt;=2),"Tidur","Umum"))))))</f>
        <v/>
      </c>
    </row>
    <row r="1780">
      <c r="B1780">
        <f>IF(A1780="","",$B$1-MAXIFS(Donasi!$A$2:$A$20000,Donasi!$B$2:$B$20000,A1780))</f>
        <v/>
      </c>
      <c r="C1780">
        <f>IF(A1780="","",COUNTIF(Donasi!$B$2:$B$20000,A1780))</f>
        <v/>
      </c>
      <c r="D1780">
        <f>IF(A1780="","",SUMIF(Donasi!$B$2:$B$20000,A1780,Donasi!$C$2:$C$20000))</f>
        <v/>
      </c>
      <c r="E1780">
        <f>IF(A1780="","",6-CEILING(PERCENTRANK.INC($B$3:$B$6000,B1780,4)*5+0.000001,1))</f>
        <v/>
      </c>
      <c r="F1780">
        <f>IF(A1780="","",MAX(1,CEILING(PERCENTRANK.INC($C$3:$C$6000,C1780,4)*5+0.000001,1)))</f>
        <v/>
      </c>
      <c r="G1780">
        <f>IF(A1780="","",MAX(1,CEILING(PERCENTRANK.INC($D$3:$D$6000,D1780,4)*5+0.000001,1)))</f>
        <v/>
      </c>
      <c r="H1780">
        <f>IF(A1780="","",E1780&amp;F1780&amp;G1780)</f>
        <v/>
      </c>
      <c r="I1780">
        <f>IF(A1780="","",IF(AND(E1780&gt;=4,F1780&gt;=4,G1780&gt;=4),"Juara",IF(AND(F1780&gt;=4,E1780&gt;=3),"Setia",IF(AND(E1780=5,F1780&lt;=2,G1780&gt;=3),"Berpotensi",IF(AND(E1780&lt;=3,E1780&gt;=2,F1780&gt;=3),"Rawan",IF(AND(E1780&lt;=2,F1780&lt;=2),"Tidur","Umum"))))))</f>
        <v/>
      </c>
    </row>
    <row r="1781">
      <c r="B1781">
        <f>IF(A1781="","",$B$1-MAXIFS(Donasi!$A$2:$A$20000,Donasi!$B$2:$B$20000,A1781))</f>
        <v/>
      </c>
      <c r="C1781">
        <f>IF(A1781="","",COUNTIF(Donasi!$B$2:$B$20000,A1781))</f>
        <v/>
      </c>
      <c r="D1781">
        <f>IF(A1781="","",SUMIF(Donasi!$B$2:$B$20000,A1781,Donasi!$C$2:$C$20000))</f>
        <v/>
      </c>
      <c r="E1781">
        <f>IF(A1781="","",6-CEILING(PERCENTRANK.INC($B$3:$B$6000,B1781,4)*5+0.000001,1))</f>
        <v/>
      </c>
      <c r="F1781">
        <f>IF(A1781="","",MAX(1,CEILING(PERCENTRANK.INC($C$3:$C$6000,C1781,4)*5+0.000001,1)))</f>
        <v/>
      </c>
      <c r="G1781">
        <f>IF(A1781="","",MAX(1,CEILING(PERCENTRANK.INC($D$3:$D$6000,D1781,4)*5+0.000001,1)))</f>
        <v/>
      </c>
      <c r="H1781">
        <f>IF(A1781="","",E1781&amp;F1781&amp;G1781)</f>
        <v/>
      </c>
      <c r="I1781">
        <f>IF(A1781="","",IF(AND(E1781&gt;=4,F1781&gt;=4,G1781&gt;=4),"Juara",IF(AND(F1781&gt;=4,E1781&gt;=3),"Setia",IF(AND(E1781=5,F1781&lt;=2,G1781&gt;=3),"Berpotensi",IF(AND(E1781&lt;=3,E1781&gt;=2,F1781&gt;=3),"Rawan",IF(AND(E1781&lt;=2,F1781&lt;=2),"Tidur","Umum"))))))</f>
        <v/>
      </c>
    </row>
    <row r="1782">
      <c r="B1782">
        <f>IF(A1782="","",$B$1-MAXIFS(Donasi!$A$2:$A$20000,Donasi!$B$2:$B$20000,A1782))</f>
        <v/>
      </c>
      <c r="C1782">
        <f>IF(A1782="","",COUNTIF(Donasi!$B$2:$B$20000,A1782))</f>
        <v/>
      </c>
      <c r="D1782">
        <f>IF(A1782="","",SUMIF(Donasi!$B$2:$B$20000,A1782,Donasi!$C$2:$C$20000))</f>
        <v/>
      </c>
      <c r="E1782">
        <f>IF(A1782="","",6-CEILING(PERCENTRANK.INC($B$3:$B$6000,B1782,4)*5+0.000001,1))</f>
        <v/>
      </c>
      <c r="F1782">
        <f>IF(A1782="","",MAX(1,CEILING(PERCENTRANK.INC($C$3:$C$6000,C1782,4)*5+0.000001,1)))</f>
        <v/>
      </c>
      <c r="G1782">
        <f>IF(A1782="","",MAX(1,CEILING(PERCENTRANK.INC($D$3:$D$6000,D1782,4)*5+0.000001,1)))</f>
        <v/>
      </c>
      <c r="H1782">
        <f>IF(A1782="","",E1782&amp;F1782&amp;G1782)</f>
        <v/>
      </c>
      <c r="I1782">
        <f>IF(A1782="","",IF(AND(E1782&gt;=4,F1782&gt;=4,G1782&gt;=4),"Juara",IF(AND(F1782&gt;=4,E1782&gt;=3),"Setia",IF(AND(E1782=5,F1782&lt;=2,G1782&gt;=3),"Berpotensi",IF(AND(E1782&lt;=3,E1782&gt;=2,F1782&gt;=3),"Rawan",IF(AND(E1782&lt;=2,F1782&lt;=2),"Tidur","Umum"))))))</f>
        <v/>
      </c>
    </row>
    <row r="1783">
      <c r="B1783">
        <f>IF(A1783="","",$B$1-MAXIFS(Donasi!$A$2:$A$20000,Donasi!$B$2:$B$20000,A1783))</f>
        <v/>
      </c>
      <c r="C1783">
        <f>IF(A1783="","",COUNTIF(Donasi!$B$2:$B$20000,A1783))</f>
        <v/>
      </c>
      <c r="D1783">
        <f>IF(A1783="","",SUMIF(Donasi!$B$2:$B$20000,A1783,Donasi!$C$2:$C$20000))</f>
        <v/>
      </c>
      <c r="E1783">
        <f>IF(A1783="","",6-CEILING(PERCENTRANK.INC($B$3:$B$6000,B1783,4)*5+0.000001,1))</f>
        <v/>
      </c>
      <c r="F1783">
        <f>IF(A1783="","",MAX(1,CEILING(PERCENTRANK.INC($C$3:$C$6000,C1783,4)*5+0.000001,1)))</f>
        <v/>
      </c>
      <c r="G1783">
        <f>IF(A1783="","",MAX(1,CEILING(PERCENTRANK.INC($D$3:$D$6000,D1783,4)*5+0.000001,1)))</f>
        <v/>
      </c>
      <c r="H1783">
        <f>IF(A1783="","",E1783&amp;F1783&amp;G1783)</f>
        <v/>
      </c>
      <c r="I1783">
        <f>IF(A1783="","",IF(AND(E1783&gt;=4,F1783&gt;=4,G1783&gt;=4),"Juara",IF(AND(F1783&gt;=4,E1783&gt;=3),"Setia",IF(AND(E1783=5,F1783&lt;=2,G1783&gt;=3),"Berpotensi",IF(AND(E1783&lt;=3,E1783&gt;=2,F1783&gt;=3),"Rawan",IF(AND(E1783&lt;=2,F1783&lt;=2),"Tidur","Umum"))))))</f>
        <v/>
      </c>
    </row>
    <row r="1784">
      <c r="B1784">
        <f>IF(A1784="","",$B$1-MAXIFS(Donasi!$A$2:$A$20000,Donasi!$B$2:$B$20000,A1784))</f>
        <v/>
      </c>
      <c r="C1784">
        <f>IF(A1784="","",COUNTIF(Donasi!$B$2:$B$20000,A1784))</f>
        <v/>
      </c>
      <c r="D1784">
        <f>IF(A1784="","",SUMIF(Donasi!$B$2:$B$20000,A1784,Donasi!$C$2:$C$20000))</f>
        <v/>
      </c>
      <c r="E1784">
        <f>IF(A1784="","",6-CEILING(PERCENTRANK.INC($B$3:$B$6000,B1784,4)*5+0.000001,1))</f>
        <v/>
      </c>
      <c r="F1784">
        <f>IF(A1784="","",MAX(1,CEILING(PERCENTRANK.INC($C$3:$C$6000,C1784,4)*5+0.000001,1)))</f>
        <v/>
      </c>
      <c r="G1784">
        <f>IF(A1784="","",MAX(1,CEILING(PERCENTRANK.INC($D$3:$D$6000,D1784,4)*5+0.000001,1)))</f>
        <v/>
      </c>
      <c r="H1784">
        <f>IF(A1784="","",E1784&amp;F1784&amp;G1784)</f>
        <v/>
      </c>
      <c r="I1784">
        <f>IF(A1784="","",IF(AND(E1784&gt;=4,F1784&gt;=4,G1784&gt;=4),"Juara",IF(AND(F1784&gt;=4,E1784&gt;=3),"Setia",IF(AND(E1784=5,F1784&lt;=2,G1784&gt;=3),"Berpotensi",IF(AND(E1784&lt;=3,E1784&gt;=2,F1784&gt;=3),"Rawan",IF(AND(E1784&lt;=2,F1784&lt;=2),"Tidur","Umum"))))))</f>
        <v/>
      </c>
    </row>
    <row r="1785">
      <c r="B1785">
        <f>IF(A1785="","",$B$1-MAXIFS(Donasi!$A$2:$A$20000,Donasi!$B$2:$B$20000,A1785))</f>
        <v/>
      </c>
      <c r="C1785">
        <f>IF(A1785="","",COUNTIF(Donasi!$B$2:$B$20000,A1785))</f>
        <v/>
      </c>
      <c r="D1785">
        <f>IF(A1785="","",SUMIF(Donasi!$B$2:$B$20000,A1785,Donasi!$C$2:$C$20000))</f>
        <v/>
      </c>
      <c r="E1785">
        <f>IF(A1785="","",6-CEILING(PERCENTRANK.INC($B$3:$B$6000,B1785,4)*5+0.000001,1))</f>
        <v/>
      </c>
      <c r="F1785">
        <f>IF(A1785="","",MAX(1,CEILING(PERCENTRANK.INC($C$3:$C$6000,C1785,4)*5+0.000001,1)))</f>
        <v/>
      </c>
      <c r="G1785">
        <f>IF(A1785="","",MAX(1,CEILING(PERCENTRANK.INC($D$3:$D$6000,D1785,4)*5+0.000001,1)))</f>
        <v/>
      </c>
      <c r="H1785">
        <f>IF(A1785="","",E1785&amp;F1785&amp;G1785)</f>
        <v/>
      </c>
      <c r="I1785">
        <f>IF(A1785="","",IF(AND(E1785&gt;=4,F1785&gt;=4,G1785&gt;=4),"Juara",IF(AND(F1785&gt;=4,E1785&gt;=3),"Setia",IF(AND(E1785=5,F1785&lt;=2,G1785&gt;=3),"Berpotensi",IF(AND(E1785&lt;=3,E1785&gt;=2,F1785&gt;=3),"Rawan",IF(AND(E1785&lt;=2,F1785&lt;=2),"Tidur","Umum"))))))</f>
        <v/>
      </c>
    </row>
    <row r="1786">
      <c r="B1786">
        <f>IF(A1786="","",$B$1-MAXIFS(Donasi!$A$2:$A$20000,Donasi!$B$2:$B$20000,A1786))</f>
        <v/>
      </c>
      <c r="C1786">
        <f>IF(A1786="","",COUNTIF(Donasi!$B$2:$B$20000,A1786))</f>
        <v/>
      </c>
      <c r="D1786">
        <f>IF(A1786="","",SUMIF(Donasi!$B$2:$B$20000,A1786,Donasi!$C$2:$C$20000))</f>
        <v/>
      </c>
      <c r="E1786">
        <f>IF(A1786="","",6-CEILING(PERCENTRANK.INC($B$3:$B$6000,B1786,4)*5+0.000001,1))</f>
        <v/>
      </c>
      <c r="F1786">
        <f>IF(A1786="","",MAX(1,CEILING(PERCENTRANK.INC($C$3:$C$6000,C1786,4)*5+0.000001,1)))</f>
        <v/>
      </c>
      <c r="G1786">
        <f>IF(A1786="","",MAX(1,CEILING(PERCENTRANK.INC($D$3:$D$6000,D1786,4)*5+0.000001,1)))</f>
        <v/>
      </c>
      <c r="H1786">
        <f>IF(A1786="","",E1786&amp;F1786&amp;G1786)</f>
        <v/>
      </c>
      <c r="I1786">
        <f>IF(A1786="","",IF(AND(E1786&gt;=4,F1786&gt;=4,G1786&gt;=4),"Juara",IF(AND(F1786&gt;=4,E1786&gt;=3),"Setia",IF(AND(E1786=5,F1786&lt;=2,G1786&gt;=3),"Berpotensi",IF(AND(E1786&lt;=3,E1786&gt;=2,F1786&gt;=3),"Rawan",IF(AND(E1786&lt;=2,F1786&lt;=2),"Tidur","Umum"))))))</f>
        <v/>
      </c>
    </row>
    <row r="1787">
      <c r="B1787">
        <f>IF(A1787="","",$B$1-MAXIFS(Donasi!$A$2:$A$20000,Donasi!$B$2:$B$20000,A1787))</f>
        <v/>
      </c>
      <c r="C1787">
        <f>IF(A1787="","",COUNTIF(Donasi!$B$2:$B$20000,A1787))</f>
        <v/>
      </c>
      <c r="D1787">
        <f>IF(A1787="","",SUMIF(Donasi!$B$2:$B$20000,A1787,Donasi!$C$2:$C$20000))</f>
        <v/>
      </c>
      <c r="E1787">
        <f>IF(A1787="","",6-CEILING(PERCENTRANK.INC($B$3:$B$6000,B1787,4)*5+0.000001,1))</f>
        <v/>
      </c>
      <c r="F1787">
        <f>IF(A1787="","",MAX(1,CEILING(PERCENTRANK.INC($C$3:$C$6000,C1787,4)*5+0.000001,1)))</f>
        <v/>
      </c>
      <c r="G1787">
        <f>IF(A1787="","",MAX(1,CEILING(PERCENTRANK.INC($D$3:$D$6000,D1787,4)*5+0.000001,1)))</f>
        <v/>
      </c>
      <c r="H1787">
        <f>IF(A1787="","",E1787&amp;F1787&amp;G1787)</f>
        <v/>
      </c>
      <c r="I1787">
        <f>IF(A1787="","",IF(AND(E1787&gt;=4,F1787&gt;=4,G1787&gt;=4),"Juara",IF(AND(F1787&gt;=4,E1787&gt;=3),"Setia",IF(AND(E1787=5,F1787&lt;=2,G1787&gt;=3),"Berpotensi",IF(AND(E1787&lt;=3,E1787&gt;=2,F1787&gt;=3),"Rawan",IF(AND(E1787&lt;=2,F1787&lt;=2),"Tidur","Umum"))))))</f>
        <v/>
      </c>
    </row>
    <row r="1788">
      <c r="B1788">
        <f>IF(A1788="","",$B$1-MAXIFS(Donasi!$A$2:$A$20000,Donasi!$B$2:$B$20000,A1788))</f>
        <v/>
      </c>
      <c r="C1788">
        <f>IF(A1788="","",COUNTIF(Donasi!$B$2:$B$20000,A1788))</f>
        <v/>
      </c>
      <c r="D1788">
        <f>IF(A1788="","",SUMIF(Donasi!$B$2:$B$20000,A1788,Donasi!$C$2:$C$20000))</f>
        <v/>
      </c>
      <c r="E1788">
        <f>IF(A1788="","",6-CEILING(PERCENTRANK.INC($B$3:$B$6000,B1788,4)*5+0.000001,1))</f>
        <v/>
      </c>
      <c r="F1788">
        <f>IF(A1788="","",MAX(1,CEILING(PERCENTRANK.INC($C$3:$C$6000,C1788,4)*5+0.000001,1)))</f>
        <v/>
      </c>
      <c r="G1788">
        <f>IF(A1788="","",MAX(1,CEILING(PERCENTRANK.INC($D$3:$D$6000,D1788,4)*5+0.000001,1)))</f>
        <v/>
      </c>
      <c r="H1788">
        <f>IF(A1788="","",E1788&amp;F1788&amp;G1788)</f>
        <v/>
      </c>
      <c r="I1788">
        <f>IF(A1788="","",IF(AND(E1788&gt;=4,F1788&gt;=4,G1788&gt;=4),"Juara",IF(AND(F1788&gt;=4,E1788&gt;=3),"Setia",IF(AND(E1788=5,F1788&lt;=2,G1788&gt;=3),"Berpotensi",IF(AND(E1788&lt;=3,E1788&gt;=2,F1788&gt;=3),"Rawan",IF(AND(E1788&lt;=2,F1788&lt;=2),"Tidur","Umum"))))))</f>
        <v/>
      </c>
    </row>
    <row r="1789">
      <c r="B1789">
        <f>IF(A1789="","",$B$1-MAXIFS(Donasi!$A$2:$A$20000,Donasi!$B$2:$B$20000,A1789))</f>
        <v/>
      </c>
      <c r="C1789">
        <f>IF(A1789="","",COUNTIF(Donasi!$B$2:$B$20000,A1789))</f>
        <v/>
      </c>
      <c r="D1789">
        <f>IF(A1789="","",SUMIF(Donasi!$B$2:$B$20000,A1789,Donasi!$C$2:$C$20000))</f>
        <v/>
      </c>
      <c r="E1789">
        <f>IF(A1789="","",6-CEILING(PERCENTRANK.INC($B$3:$B$6000,B1789,4)*5+0.000001,1))</f>
        <v/>
      </c>
      <c r="F1789">
        <f>IF(A1789="","",MAX(1,CEILING(PERCENTRANK.INC($C$3:$C$6000,C1789,4)*5+0.000001,1)))</f>
        <v/>
      </c>
      <c r="G1789">
        <f>IF(A1789="","",MAX(1,CEILING(PERCENTRANK.INC($D$3:$D$6000,D1789,4)*5+0.000001,1)))</f>
        <v/>
      </c>
      <c r="H1789">
        <f>IF(A1789="","",E1789&amp;F1789&amp;G1789)</f>
        <v/>
      </c>
      <c r="I1789">
        <f>IF(A1789="","",IF(AND(E1789&gt;=4,F1789&gt;=4,G1789&gt;=4),"Juara",IF(AND(F1789&gt;=4,E1789&gt;=3),"Setia",IF(AND(E1789=5,F1789&lt;=2,G1789&gt;=3),"Berpotensi",IF(AND(E1789&lt;=3,E1789&gt;=2,F1789&gt;=3),"Rawan",IF(AND(E1789&lt;=2,F1789&lt;=2),"Tidur","Umum"))))))</f>
        <v/>
      </c>
    </row>
    <row r="1790">
      <c r="B1790">
        <f>IF(A1790="","",$B$1-MAXIFS(Donasi!$A$2:$A$20000,Donasi!$B$2:$B$20000,A1790))</f>
        <v/>
      </c>
      <c r="C1790">
        <f>IF(A1790="","",COUNTIF(Donasi!$B$2:$B$20000,A1790))</f>
        <v/>
      </c>
      <c r="D1790">
        <f>IF(A1790="","",SUMIF(Donasi!$B$2:$B$20000,A1790,Donasi!$C$2:$C$20000))</f>
        <v/>
      </c>
      <c r="E1790">
        <f>IF(A1790="","",6-CEILING(PERCENTRANK.INC($B$3:$B$6000,B1790,4)*5+0.000001,1))</f>
        <v/>
      </c>
      <c r="F1790">
        <f>IF(A1790="","",MAX(1,CEILING(PERCENTRANK.INC($C$3:$C$6000,C1790,4)*5+0.000001,1)))</f>
        <v/>
      </c>
      <c r="G1790">
        <f>IF(A1790="","",MAX(1,CEILING(PERCENTRANK.INC($D$3:$D$6000,D1790,4)*5+0.000001,1)))</f>
        <v/>
      </c>
      <c r="H1790">
        <f>IF(A1790="","",E1790&amp;F1790&amp;G1790)</f>
        <v/>
      </c>
      <c r="I1790">
        <f>IF(A1790="","",IF(AND(E1790&gt;=4,F1790&gt;=4,G1790&gt;=4),"Juara",IF(AND(F1790&gt;=4,E1790&gt;=3),"Setia",IF(AND(E1790=5,F1790&lt;=2,G1790&gt;=3),"Berpotensi",IF(AND(E1790&lt;=3,E1790&gt;=2,F1790&gt;=3),"Rawan",IF(AND(E1790&lt;=2,F1790&lt;=2),"Tidur","Umum"))))))</f>
        <v/>
      </c>
    </row>
    <row r="1791">
      <c r="B1791">
        <f>IF(A1791="","",$B$1-MAXIFS(Donasi!$A$2:$A$20000,Donasi!$B$2:$B$20000,A1791))</f>
        <v/>
      </c>
      <c r="C1791">
        <f>IF(A1791="","",COUNTIF(Donasi!$B$2:$B$20000,A1791))</f>
        <v/>
      </c>
      <c r="D1791">
        <f>IF(A1791="","",SUMIF(Donasi!$B$2:$B$20000,A1791,Donasi!$C$2:$C$20000))</f>
        <v/>
      </c>
      <c r="E1791">
        <f>IF(A1791="","",6-CEILING(PERCENTRANK.INC($B$3:$B$6000,B1791,4)*5+0.000001,1))</f>
        <v/>
      </c>
      <c r="F1791">
        <f>IF(A1791="","",MAX(1,CEILING(PERCENTRANK.INC($C$3:$C$6000,C1791,4)*5+0.000001,1)))</f>
        <v/>
      </c>
      <c r="G1791">
        <f>IF(A1791="","",MAX(1,CEILING(PERCENTRANK.INC($D$3:$D$6000,D1791,4)*5+0.000001,1)))</f>
        <v/>
      </c>
      <c r="H1791">
        <f>IF(A1791="","",E1791&amp;F1791&amp;G1791)</f>
        <v/>
      </c>
      <c r="I1791">
        <f>IF(A1791="","",IF(AND(E1791&gt;=4,F1791&gt;=4,G1791&gt;=4),"Juara",IF(AND(F1791&gt;=4,E1791&gt;=3),"Setia",IF(AND(E1791=5,F1791&lt;=2,G1791&gt;=3),"Berpotensi",IF(AND(E1791&lt;=3,E1791&gt;=2,F1791&gt;=3),"Rawan",IF(AND(E1791&lt;=2,F1791&lt;=2),"Tidur","Umum"))))))</f>
        <v/>
      </c>
    </row>
    <row r="1792">
      <c r="B1792">
        <f>IF(A1792="","",$B$1-MAXIFS(Donasi!$A$2:$A$20000,Donasi!$B$2:$B$20000,A1792))</f>
        <v/>
      </c>
      <c r="C1792">
        <f>IF(A1792="","",COUNTIF(Donasi!$B$2:$B$20000,A1792))</f>
        <v/>
      </c>
      <c r="D1792">
        <f>IF(A1792="","",SUMIF(Donasi!$B$2:$B$20000,A1792,Donasi!$C$2:$C$20000))</f>
        <v/>
      </c>
      <c r="E1792">
        <f>IF(A1792="","",6-CEILING(PERCENTRANK.INC($B$3:$B$6000,B1792,4)*5+0.000001,1))</f>
        <v/>
      </c>
      <c r="F1792">
        <f>IF(A1792="","",MAX(1,CEILING(PERCENTRANK.INC($C$3:$C$6000,C1792,4)*5+0.000001,1)))</f>
        <v/>
      </c>
      <c r="G1792">
        <f>IF(A1792="","",MAX(1,CEILING(PERCENTRANK.INC($D$3:$D$6000,D1792,4)*5+0.000001,1)))</f>
        <v/>
      </c>
      <c r="H1792">
        <f>IF(A1792="","",E1792&amp;F1792&amp;G1792)</f>
        <v/>
      </c>
      <c r="I1792">
        <f>IF(A1792="","",IF(AND(E1792&gt;=4,F1792&gt;=4,G1792&gt;=4),"Juara",IF(AND(F1792&gt;=4,E1792&gt;=3),"Setia",IF(AND(E1792=5,F1792&lt;=2,G1792&gt;=3),"Berpotensi",IF(AND(E1792&lt;=3,E1792&gt;=2,F1792&gt;=3),"Rawan",IF(AND(E1792&lt;=2,F1792&lt;=2),"Tidur","Umum"))))))</f>
        <v/>
      </c>
    </row>
    <row r="1793">
      <c r="B1793">
        <f>IF(A1793="","",$B$1-MAXIFS(Donasi!$A$2:$A$20000,Donasi!$B$2:$B$20000,A1793))</f>
        <v/>
      </c>
      <c r="C1793">
        <f>IF(A1793="","",COUNTIF(Donasi!$B$2:$B$20000,A1793))</f>
        <v/>
      </c>
      <c r="D1793">
        <f>IF(A1793="","",SUMIF(Donasi!$B$2:$B$20000,A1793,Donasi!$C$2:$C$20000))</f>
        <v/>
      </c>
      <c r="E1793">
        <f>IF(A1793="","",6-CEILING(PERCENTRANK.INC($B$3:$B$6000,B1793,4)*5+0.000001,1))</f>
        <v/>
      </c>
      <c r="F1793">
        <f>IF(A1793="","",MAX(1,CEILING(PERCENTRANK.INC($C$3:$C$6000,C1793,4)*5+0.000001,1)))</f>
        <v/>
      </c>
      <c r="G1793">
        <f>IF(A1793="","",MAX(1,CEILING(PERCENTRANK.INC($D$3:$D$6000,D1793,4)*5+0.000001,1)))</f>
        <v/>
      </c>
      <c r="H1793">
        <f>IF(A1793="","",E1793&amp;F1793&amp;G1793)</f>
        <v/>
      </c>
      <c r="I1793">
        <f>IF(A1793="","",IF(AND(E1793&gt;=4,F1793&gt;=4,G1793&gt;=4),"Juara",IF(AND(F1793&gt;=4,E1793&gt;=3),"Setia",IF(AND(E1793=5,F1793&lt;=2,G1793&gt;=3),"Berpotensi",IF(AND(E1793&lt;=3,E1793&gt;=2,F1793&gt;=3),"Rawan",IF(AND(E1793&lt;=2,F1793&lt;=2),"Tidur","Umum"))))))</f>
        <v/>
      </c>
    </row>
    <row r="1794">
      <c r="B1794">
        <f>IF(A1794="","",$B$1-MAXIFS(Donasi!$A$2:$A$20000,Donasi!$B$2:$B$20000,A1794))</f>
        <v/>
      </c>
      <c r="C1794">
        <f>IF(A1794="","",COUNTIF(Donasi!$B$2:$B$20000,A1794))</f>
        <v/>
      </c>
      <c r="D1794">
        <f>IF(A1794="","",SUMIF(Donasi!$B$2:$B$20000,A1794,Donasi!$C$2:$C$20000))</f>
        <v/>
      </c>
      <c r="E1794">
        <f>IF(A1794="","",6-CEILING(PERCENTRANK.INC($B$3:$B$6000,B1794,4)*5+0.000001,1))</f>
        <v/>
      </c>
      <c r="F1794">
        <f>IF(A1794="","",MAX(1,CEILING(PERCENTRANK.INC($C$3:$C$6000,C1794,4)*5+0.000001,1)))</f>
        <v/>
      </c>
      <c r="G1794">
        <f>IF(A1794="","",MAX(1,CEILING(PERCENTRANK.INC($D$3:$D$6000,D1794,4)*5+0.000001,1)))</f>
        <v/>
      </c>
      <c r="H1794">
        <f>IF(A1794="","",E1794&amp;F1794&amp;G1794)</f>
        <v/>
      </c>
      <c r="I1794">
        <f>IF(A1794="","",IF(AND(E1794&gt;=4,F1794&gt;=4,G1794&gt;=4),"Juara",IF(AND(F1794&gt;=4,E1794&gt;=3),"Setia",IF(AND(E1794=5,F1794&lt;=2,G1794&gt;=3),"Berpotensi",IF(AND(E1794&lt;=3,E1794&gt;=2,F1794&gt;=3),"Rawan",IF(AND(E1794&lt;=2,F1794&lt;=2),"Tidur","Umum"))))))</f>
        <v/>
      </c>
    </row>
    <row r="1795">
      <c r="B1795">
        <f>IF(A1795="","",$B$1-MAXIFS(Donasi!$A$2:$A$20000,Donasi!$B$2:$B$20000,A1795))</f>
        <v/>
      </c>
      <c r="C1795">
        <f>IF(A1795="","",COUNTIF(Donasi!$B$2:$B$20000,A1795))</f>
        <v/>
      </c>
      <c r="D1795">
        <f>IF(A1795="","",SUMIF(Donasi!$B$2:$B$20000,A1795,Donasi!$C$2:$C$20000))</f>
        <v/>
      </c>
      <c r="E1795">
        <f>IF(A1795="","",6-CEILING(PERCENTRANK.INC($B$3:$B$6000,B1795,4)*5+0.000001,1))</f>
        <v/>
      </c>
      <c r="F1795">
        <f>IF(A1795="","",MAX(1,CEILING(PERCENTRANK.INC($C$3:$C$6000,C1795,4)*5+0.000001,1)))</f>
        <v/>
      </c>
      <c r="G1795">
        <f>IF(A1795="","",MAX(1,CEILING(PERCENTRANK.INC($D$3:$D$6000,D1795,4)*5+0.000001,1)))</f>
        <v/>
      </c>
      <c r="H1795">
        <f>IF(A1795="","",E1795&amp;F1795&amp;G1795)</f>
        <v/>
      </c>
      <c r="I1795">
        <f>IF(A1795="","",IF(AND(E1795&gt;=4,F1795&gt;=4,G1795&gt;=4),"Juara",IF(AND(F1795&gt;=4,E1795&gt;=3),"Setia",IF(AND(E1795=5,F1795&lt;=2,G1795&gt;=3),"Berpotensi",IF(AND(E1795&lt;=3,E1795&gt;=2,F1795&gt;=3),"Rawan",IF(AND(E1795&lt;=2,F1795&lt;=2),"Tidur","Umum"))))))</f>
        <v/>
      </c>
    </row>
    <row r="1796">
      <c r="B1796">
        <f>IF(A1796="","",$B$1-MAXIFS(Donasi!$A$2:$A$20000,Donasi!$B$2:$B$20000,A1796))</f>
        <v/>
      </c>
      <c r="C1796">
        <f>IF(A1796="","",COUNTIF(Donasi!$B$2:$B$20000,A1796))</f>
        <v/>
      </c>
      <c r="D1796">
        <f>IF(A1796="","",SUMIF(Donasi!$B$2:$B$20000,A1796,Donasi!$C$2:$C$20000))</f>
        <v/>
      </c>
      <c r="E1796">
        <f>IF(A1796="","",6-CEILING(PERCENTRANK.INC($B$3:$B$6000,B1796,4)*5+0.000001,1))</f>
        <v/>
      </c>
      <c r="F1796">
        <f>IF(A1796="","",MAX(1,CEILING(PERCENTRANK.INC($C$3:$C$6000,C1796,4)*5+0.000001,1)))</f>
        <v/>
      </c>
      <c r="G1796">
        <f>IF(A1796="","",MAX(1,CEILING(PERCENTRANK.INC($D$3:$D$6000,D1796,4)*5+0.000001,1)))</f>
        <v/>
      </c>
      <c r="H1796">
        <f>IF(A1796="","",E1796&amp;F1796&amp;G1796)</f>
        <v/>
      </c>
      <c r="I1796">
        <f>IF(A1796="","",IF(AND(E1796&gt;=4,F1796&gt;=4,G1796&gt;=4),"Juara",IF(AND(F1796&gt;=4,E1796&gt;=3),"Setia",IF(AND(E1796=5,F1796&lt;=2,G1796&gt;=3),"Berpotensi",IF(AND(E1796&lt;=3,E1796&gt;=2,F1796&gt;=3),"Rawan",IF(AND(E1796&lt;=2,F1796&lt;=2),"Tidur","Umum"))))))</f>
        <v/>
      </c>
    </row>
    <row r="1797">
      <c r="B1797">
        <f>IF(A1797="","",$B$1-MAXIFS(Donasi!$A$2:$A$20000,Donasi!$B$2:$B$20000,A1797))</f>
        <v/>
      </c>
      <c r="C1797">
        <f>IF(A1797="","",COUNTIF(Donasi!$B$2:$B$20000,A1797))</f>
        <v/>
      </c>
      <c r="D1797">
        <f>IF(A1797="","",SUMIF(Donasi!$B$2:$B$20000,A1797,Donasi!$C$2:$C$20000))</f>
        <v/>
      </c>
      <c r="E1797">
        <f>IF(A1797="","",6-CEILING(PERCENTRANK.INC($B$3:$B$6000,B1797,4)*5+0.000001,1))</f>
        <v/>
      </c>
      <c r="F1797">
        <f>IF(A1797="","",MAX(1,CEILING(PERCENTRANK.INC($C$3:$C$6000,C1797,4)*5+0.000001,1)))</f>
        <v/>
      </c>
      <c r="G1797">
        <f>IF(A1797="","",MAX(1,CEILING(PERCENTRANK.INC($D$3:$D$6000,D1797,4)*5+0.000001,1)))</f>
        <v/>
      </c>
      <c r="H1797">
        <f>IF(A1797="","",E1797&amp;F1797&amp;G1797)</f>
        <v/>
      </c>
      <c r="I1797">
        <f>IF(A1797="","",IF(AND(E1797&gt;=4,F1797&gt;=4,G1797&gt;=4),"Juara",IF(AND(F1797&gt;=4,E1797&gt;=3),"Setia",IF(AND(E1797=5,F1797&lt;=2,G1797&gt;=3),"Berpotensi",IF(AND(E1797&lt;=3,E1797&gt;=2,F1797&gt;=3),"Rawan",IF(AND(E1797&lt;=2,F1797&lt;=2),"Tidur","Umum"))))))</f>
        <v/>
      </c>
    </row>
    <row r="1798">
      <c r="B1798">
        <f>IF(A1798="","",$B$1-MAXIFS(Donasi!$A$2:$A$20000,Donasi!$B$2:$B$20000,A1798))</f>
        <v/>
      </c>
      <c r="C1798">
        <f>IF(A1798="","",COUNTIF(Donasi!$B$2:$B$20000,A1798))</f>
        <v/>
      </c>
      <c r="D1798">
        <f>IF(A1798="","",SUMIF(Donasi!$B$2:$B$20000,A1798,Donasi!$C$2:$C$20000))</f>
        <v/>
      </c>
      <c r="E1798">
        <f>IF(A1798="","",6-CEILING(PERCENTRANK.INC($B$3:$B$6000,B1798,4)*5+0.000001,1))</f>
        <v/>
      </c>
      <c r="F1798">
        <f>IF(A1798="","",MAX(1,CEILING(PERCENTRANK.INC($C$3:$C$6000,C1798,4)*5+0.000001,1)))</f>
        <v/>
      </c>
      <c r="G1798">
        <f>IF(A1798="","",MAX(1,CEILING(PERCENTRANK.INC($D$3:$D$6000,D1798,4)*5+0.000001,1)))</f>
        <v/>
      </c>
      <c r="H1798">
        <f>IF(A1798="","",E1798&amp;F1798&amp;G1798)</f>
        <v/>
      </c>
      <c r="I1798">
        <f>IF(A1798="","",IF(AND(E1798&gt;=4,F1798&gt;=4,G1798&gt;=4),"Juara",IF(AND(F1798&gt;=4,E1798&gt;=3),"Setia",IF(AND(E1798=5,F1798&lt;=2,G1798&gt;=3),"Berpotensi",IF(AND(E1798&lt;=3,E1798&gt;=2,F1798&gt;=3),"Rawan",IF(AND(E1798&lt;=2,F1798&lt;=2),"Tidur","Umum"))))))</f>
        <v/>
      </c>
    </row>
    <row r="1799">
      <c r="B1799">
        <f>IF(A1799="","",$B$1-MAXIFS(Donasi!$A$2:$A$20000,Donasi!$B$2:$B$20000,A1799))</f>
        <v/>
      </c>
      <c r="C1799">
        <f>IF(A1799="","",COUNTIF(Donasi!$B$2:$B$20000,A1799))</f>
        <v/>
      </c>
      <c r="D1799">
        <f>IF(A1799="","",SUMIF(Donasi!$B$2:$B$20000,A1799,Donasi!$C$2:$C$20000))</f>
        <v/>
      </c>
      <c r="E1799">
        <f>IF(A1799="","",6-CEILING(PERCENTRANK.INC($B$3:$B$6000,B1799,4)*5+0.000001,1))</f>
        <v/>
      </c>
      <c r="F1799">
        <f>IF(A1799="","",MAX(1,CEILING(PERCENTRANK.INC($C$3:$C$6000,C1799,4)*5+0.000001,1)))</f>
        <v/>
      </c>
      <c r="G1799">
        <f>IF(A1799="","",MAX(1,CEILING(PERCENTRANK.INC($D$3:$D$6000,D1799,4)*5+0.000001,1)))</f>
        <v/>
      </c>
      <c r="H1799">
        <f>IF(A1799="","",E1799&amp;F1799&amp;G1799)</f>
        <v/>
      </c>
      <c r="I1799">
        <f>IF(A1799="","",IF(AND(E1799&gt;=4,F1799&gt;=4,G1799&gt;=4),"Juara",IF(AND(F1799&gt;=4,E1799&gt;=3),"Setia",IF(AND(E1799=5,F1799&lt;=2,G1799&gt;=3),"Berpotensi",IF(AND(E1799&lt;=3,E1799&gt;=2,F1799&gt;=3),"Rawan",IF(AND(E1799&lt;=2,F1799&lt;=2),"Tidur","Umum"))))))</f>
        <v/>
      </c>
    </row>
    <row r="1800">
      <c r="B1800">
        <f>IF(A1800="","",$B$1-MAXIFS(Donasi!$A$2:$A$20000,Donasi!$B$2:$B$20000,A1800))</f>
        <v/>
      </c>
      <c r="C1800">
        <f>IF(A1800="","",COUNTIF(Donasi!$B$2:$B$20000,A1800))</f>
        <v/>
      </c>
      <c r="D1800">
        <f>IF(A1800="","",SUMIF(Donasi!$B$2:$B$20000,A1800,Donasi!$C$2:$C$20000))</f>
        <v/>
      </c>
      <c r="E1800">
        <f>IF(A1800="","",6-CEILING(PERCENTRANK.INC($B$3:$B$6000,B1800,4)*5+0.000001,1))</f>
        <v/>
      </c>
      <c r="F1800">
        <f>IF(A1800="","",MAX(1,CEILING(PERCENTRANK.INC($C$3:$C$6000,C1800,4)*5+0.000001,1)))</f>
        <v/>
      </c>
      <c r="G1800">
        <f>IF(A1800="","",MAX(1,CEILING(PERCENTRANK.INC($D$3:$D$6000,D1800,4)*5+0.000001,1)))</f>
        <v/>
      </c>
      <c r="H1800">
        <f>IF(A1800="","",E1800&amp;F1800&amp;G1800)</f>
        <v/>
      </c>
      <c r="I1800">
        <f>IF(A1800="","",IF(AND(E1800&gt;=4,F1800&gt;=4,G1800&gt;=4),"Juara",IF(AND(F1800&gt;=4,E1800&gt;=3),"Setia",IF(AND(E1800=5,F1800&lt;=2,G1800&gt;=3),"Berpotensi",IF(AND(E1800&lt;=3,E1800&gt;=2,F1800&gt;=3),"Rawan",IF(AND(E1800&lt;=2,F1800&lt;=2),"Tidur","Umum"))))))</f>
        <v/>
      </c>
    </row>
    <row r="1801">
      <c r="B1801">
        <f>IF(A1801="","",$B$1-MAXIFS(Donasi!$A$2:$A$20000,Donasi!$B$2:$B$20000,A1801))</f>
        <v/>
      </c>
      <c r="C1801">
        <f>IF(A1801="","",COUNTIF(Donasi!$B$2:$B$20000,A1801))</f>
        <v/>
      </c>
      <c r="D1801">
        <f>IF(A1801="","",SUMIF(Donasi!$B$2:$B$20000,A1801,Donasi!$C$2:$C$20000))</f>
        <v/>
      </c>
      <c r="E1801">
        <f>IF(A1801="","",6-CEILING(PERCENTRANK.INC($B$3:$B$6000,B1801,4)*5+0.000001,1))</f>
        <v/>
      </c>
      <c r="F1801">
        <f>IF(A1801="","",MAX(1,CEILING(PERCENTRANK.INC($C$3:$C$6000,C1801,4)*5+0.000001,1)))</f>
        <v/>
      </c>
      <c r="G1801">
        <f>IF(A1801="","",MAX(1,CEILING(PERCENTRANK.INC($D$3:$D$6000,D1801,4)*5+0.000001,1)))</f>
        <v/>
      </c>
      <c r="H1801">
        <f>IF(A1801="","",E1801&amp;F1801&amp;G1801)</f>
        <v/>
      </c>
      <c r="I1801">
        <f>IF(A1801="","",IF(AND(E1801&gt;=4,F1801&gt;=4,G1801&gt;=4),"Juara",IF(AND(F1801&gt;=4,E1801&gt;=3),"Setia",IF(AND(E1801=5,F1801&lt;=2,G1801&gt;=3),"Berpotensi",IF(AND(E1801&lt;=3,E1801&gt;=2,F1801&gt;=3),"Rawan",IF(AND(E1801&lt;=2,F1801&lt;=2),"Tidur","Umum"))))))</f>
        <v/>
      </c>
    </row>
    <row r="1802">
      <c r="B1802">
        <f>IF(A1802="","",$B$1-MAXIFS(Donasi!$A$2:$A$20000,Donasi!$B$2:$B$20000,A1802))</f>
        <v/>
      </c>
      <c r="C1802">
        <f>IF(A1802="","",COUNTIF(Donasi!$B$2:$B$20000,A1802))</f>
        <v/>
      </c>
      <c r="D1802">
        <f>IF(A1802="","",SUMIF(Donasi!$B$2:$B$20000,A1802,Donasi!$C$2:$C$20000))</f>
        <v/>
      </c>
      <c r="E1802">
        <f>IF(A1802="","",6-CEILING(PERCENTRANK.INC($B$3:$B$6000,B1802,4)*5+0.000001,1))</f>
        <v/>
      </c>
      <c r="F1802">
        <f>IF(A1802="","",MAX(1,CEILING(PERCENTRANK.INC($C$3:$C$6000,C1802,4)*5+0.000001,1)))</f>
        <v/>
      </c>
      <c r="G1802">
        <f>IF(A1802="","",MAX(1,CEILING(PERCENTRANK.INC($D$3:$D$6000,D1802,4)*5+0.000001,1)))</f>
        <v/>
      </c>
      <c r="H1802">
        <f>IF(A1802="","",E1802&amp;F1802&amp;G1802)</f>
        <v/>
      </c>
      <c r="I1802">
        <f>IF(A1802="","",IF(AND(E1802&gt;=4,F1802&gt;=4,G1802&gt;=4),"Juara",IF(AND(F1802&gt;=4,E1802&gt;=3),"Setia",IF(AND(E1802=5,F1802&lt;=2,G1802&gt;=3),"Berpotensi",IF(AND(E1802&lt;=3,E1802&gt;=2,F1802&gt;=3),"Rawan",IF(AND(E1802&lt;=2,F1802&lt;=2),"Tidur","Umum"))))))</f>
        <v/>
      </c>
    </row>
    <row r="1803">
      <c r="B1803">
        <f>IF(A1803="","",$B$1-MAXIFS(Donasi!$A$2:$A$20000,Donasi!$B$2:$B$20000,A1803))</f>
        <v/>
      </c>
      <c r="C1803">
        <f>IF(A1803="","",COUNTIF(Donasi!$B$2:$B$20000,A1803))</f>
        <v/>
      </c>
      <c r="D1803">
        <f>IF(A1803="","",SUMIF(Donasi!$B$2:$B$20000,A1803,Donasi!$C$2:$C$20000))</f>
        <v/>
      </c>
      <c r="E1803">
        <f>IF(A1803="","",6-CEILING(PERCENTRANK.INC($B$3:$B$6000,B1803,4)*5+0.000001,1))</f>
        <v/>
      </c>
      <c r="F1803">
        <f>IF(A1803="","",MAX(1,CEILING(PERCENTRANK.INC($C$3:$C$6000,C1803,4)*5+0.000001,1)))</f>
        <v/>
      </c>
      <c r="G1803">
        <f>IF(A1803="","",MAX(1,CEILING(PERCENTRANK.INC($D$3:$D$6000,D1803,4)*5+0.000001,1)))</f>
        <v/>
      </c>
      <c r="H1803">
        <f>IF(A1803="","",E1803&amp;F1803&amp;G1803)</f>
        <v/>
      </c>
      <c r="I1803">
        <f>IF(A1803="","",IF(AND(E1803&gt;=4,F1803&gt;=4,G1803&gt;=4),"Juara",IF(AND(F1803&gt;=4,E1803&gt;=3),"Setia",IF(AND(E1803=5,F1803&lt;=2,G1803&gt;=3),"Berpotensi",IF(AND(E1803&lt;=3,E1803&gt;=2,F1803&gt;=3),"Rawan",IF(AND(E1803&lt;=2,F1803&lt;=2),"Tidur","Umum"))))))</f>
        <v/>
      </c>
    </row>
    <row r="1804">
      <c r="B1804">
        <f>IF(A1804="","",$B$1-MAXIFS(Donasi!$A$2:$A$20000,Donasi!$B$2:$B$20000,A1804))</f>
        <v/>
      </c>
      <c r="C1804">
        <f>IF(A1804="","",COUNTIF(Donasi!$B$2:$B$20000,A1804))</f>
        <v/>
      </c>
      <c r="D1804">
        <f>IF(A1804="","",SUMIF(Donasi!$B$2:$B$20000,A1804,Donasi!$C$2:$C$20000))</f>
        <v/>
      </c>
      <c r="E1804">
        <f>IF(A1804="","",6-CEILING(PERCENTRANK.INC($B$3:$B$6000,B1804,4)*5+0.000001,1))</f>
        <v/>
      </c>
      <c r="F1804">
        <f>IF(A1804="","",MAX(1,CEILING(PERCENTRANK.INC($C$3:$C$6000,C1804,4)*5+0.000001,1)))</f>
        <v/>
      </c>
      <c r="G1804">
        <f>IF(A1804="","",MAX(1,CEILING(PERCENTRANK.INC($D$3:$D$6000,D1804,4)*5+0.000001,1)))</f>
        <v/>
      </c>
      <c r="H1804">
        <f>IF(A1804="","",E1804&amp;F1804&amp;G1804)</f>
        <v/>
      </c>
      <c r="I1804">
        <f>IF(A1804="","",IF(AND(E1804&gt;=4,F1804&gt;=4,G1804&gt;=4),"Juara",IF(AND(F1804&gt;=4,E1804&gt;=3),"Setia",IF(AND(E1804=5,F1804&lt;=2,G1804&gt;=3),"Berpotensi",IF(AND(E1804&lt;=3,E1804&gt;=2,F1804&gt;=3),"Rawan",IF(AND(E1804&lt;=2,F1804&lt;=2),"Tidur","Umum"))))))</f>
        <v/>
      </c>
    </row>
    <row r="1805">
      <c r="B1805">
        <f>IF(A1805="","",$B$1-MAXIFS(Donasi!$A$2:$A$20000,Donasi!$B$2:$B$20000,A1805))</f>
        <v/>
      </c>
      <c r="C1805">
        <f>IF(A1805="","",COUNTIF(Donasi!$B$2:$B$20000,A1805))</f>
        <v/>
      </c>
      <c r="D1805">
        <f>IF(A1805="","",SUMIF(Donasi!$B$2:$B$20000,A1805,Donasi!$C$2:$C$20000))</f>
        <v/>
      </c>
      <c r="E1805">
        <f>IF(A1805="","",6-CEILING(PERCENTRANK.INC($B$3:$B$6000,B1805,4)*5+0.000001,1))</f>
        <v/>
      </c>
      <c r="F1805">
        <f>IF(A1805="","",MAX(1,CEILING(PERCENTRANK.INC($C$3:$C$6000,C1805,4)*5+0.000001,1)))</f>
        <v/>
      </c>
      <c r="G1805">
        <f>IF(A1805="","",MAX(1,CEILING(PERCENTRANK.INC($D$3:$D$6000,D1805,4)*5+0.000001,1)))</f>
        <v/>
      </c>
      <c r="H1805">
        <f>IF(A1805="","",E1805&amp;F1805&amp;G1805)</f>
        <v/>
      </c>
      <c r="I1805">
        <f>IF(A1805="","",IF(AND(E1805&gt;=4,F1805&gt;=4,G1805&gt;=4),"Juara",IF(AND(F1805&gt;=4,E1805&gt;=3),"Setia",IF(AND(E1805=5,F1805&lt;=2,G1805&gt;=3),"Berpotensi",IF(AND(E1805&lt;=3,E1805&gt;=2,F1805&gt;=3),"Rawan",IF(AND(E1805&lt;=2,F1805&lt;=2),"Tidur","Umum"))))))</f>
        <v/>
      </c>
    </row>
    <row r="1806">
      <c r="B1806">
        <f>IF(A1806="","",$B$1-MAXIFS(Donasi!$A$2:$A$20000,Donasi!$B$2:$B$20000,A1806))</f>
        <v/>
      </c>
      <c r="C1806">
        <f>IF(A1806="","",COUNTIF(Donasi!$B$2:$B$20000,A1806))</f>
        <v/>
      </c>
      <c r="D1806">
        <f>IF(A1806="","",SUMIF(Donasi!$B$2:$B$20000,A1806,Donasi!$C$2:$C$20000))</f>
        <v/>
      </c>
      <c r="E1806">
        <f>IF(A1806="","",6-CEILING(PERCENTRANK.INC($B$3:$B$6000,B1806,4)*5+0.000001,1))</f>
        <v/>
      </c>
      <c r="F1806">
        <f>IF(A1806="","",MAX(1,CEILING(PERCENTRANK.INC($C$3:$C$6000,C1806,4)*5+0.000001,1)))</f>
        <v/>
      </c>
      <c r="G1806">
        <f>IF(A1806="","",MAX(1,CEILING(PERCENTRANK.INC($D$3:$D$6000,D1806,4)*5+0.000001,1)))</f>
        <v/>
      </c>
      <c r="H1806">
        <f>IF(A1806="","",E1806&amp;F1806&amp;G1806)</f>
        <v/>
      </c>
      <c r="I1806">
        <f>IF(A1806="","",IF(AND(E1806&gt;=4,F1806&gt;=4,G1806&gt;=4),"Juara",IF(AND(F1806&gt;=4,E1806&gt;=3),"Setia",IF(AND(E1806=5,F1806&lt;=2,G1806&gt;=3),"Berpotensi",IF(AND(E1806&lt;=3,E1806&gt;=2,F1806&gt;=3),"Rawan",IF(AND(E1806&lt;=2,F1806&lt;=2),"Tidur","Umum"))))))</f>
        <v/>
      </c>
    </row>
    <row r="1807">
      <c r="B1807">
        <f>IF(A1807="","",$B$1-MAXIFS(Donasi!$A$2:$A$20000,Donasi!$B$2:$B$20000,A1807))</f>
        <v/>
      </c>
      <c r="C1807">
        <f>IF(A1807="","",COUNTIF(Donasi!$B$2:$B$20000,A1807))</f>
        <v/>
      </c>
      <c r="D1807">
        <f>IF(A1807="","",SUMIF(Donasi!$B$2:$B$20000,A1807,Donasi!$C$2:$C$20000))</f>
        <v/>
      </c>
      <c r="E1807">
        <f>IF(A1807="","",6-CEILING(PERCENTRANK.INC($B$3:$B$6000,B1807,4)*5+0.000001,1))</f>
        <v/>
      </c>
      <c r="F1807">
        <f>IF(A1807="","",MAX(1,CEILING(PERCENTRANK.INC($C$3:$C$6000,C1807,4)*5+0.000001,1)))</f>
        <v/>
      </c>
      <c r="G1807">
        <f>IF(A1807="","",MAX(1,CEILING(PERCENTRANK.INC($D$3:$D$6000,D1807,4)*5+0.000001,1)))</f>
        <v/>
      </c>
      <c r="H1807">
        <f>IF(A1807="","",E1807&amp;F1807&amp;G1807)</f>
        <v/>
      </c>
      <c r="I1807">
        <f>IF(A1807="","",IF(AND(E1807&gt;=4,F1807&gt;=4,G1807&gt;=4),"Juara",IF(AND(F1807&gt;=4,E1807&gt;=3),"Setia",IF(AND(E1807=5,F1807&lt;=2,G1807&gt;=3),"Berpotensi",IF(AND(E1807&lt;=3,E1807&gt;=2,F1807&gt;=3),"Rawan",IF(AND(E1807&lt;=2,F1807&lt;=2),"Tidur","Umum"))))))</f>
        <v/>
      </c>
    </row>
    <row r="1808">
      <c r="B1808">
        <f>IF(A1808="","",$B$1-MAXIFS(Donasi!$A$2:$A$20000,Donasi!$B$2:$B$20000,A1808))</f>
        <v/>
      </c>
      <c r="C1808">
        <f>IF(A1808="","",COUNTIF(Donasi!$B$2:$B$20000,A1808))</f>
        <v/>
      </c>
      <c r="D1808">
        <f>IF(A1808="","",SUMIF(Donasi!$B$2:$B$20000,A1808,Donasi!$C$2:$C$20000))</f>
        <v/>
      </c>
      <c r="E1808">
        <f>IF(A1808="","",6-CEILING(PERCENTRANK.INC($B$3:$B$6000,B1808,4)*5+0.000001,1))</f>
        <v/>
      </c>
      <c r="F1808">
        <f>IF(A1808="","",MAX(1,CEILING(PERCENTRANK.INC($C$3:$C$6000,C1808,4)*5+0.000001,1)))</f>
        <v/>
      </c>
      <c r="G1808">
        <f>IF(A1808="","",MAX(1,CEILING(PERCENTRANK.INC($D$3:$D$6000,D1808,4)*5+0.000001,1)))</f>
        <v/>
      </c>
      <c r="H1808">
        <f>IF(A1808="","",E1808&amp;F1808&amp;G1808)</f>
        <v/>
      </c>
      <c r="I1808">
        <f>IF(A1808="","",IF(AND(E1808&gt;=4,F1808&gt;=4,G1808&gt;=4),"Juara",IF(AND(F1808&gt;=4,E1808&gt;=3),"Setia",IF(AND(E1808=5,F1808&lt;=2,G1808&gt;=3),"Berpotensi",IF(AND(E1808&lt;=3,E1808&gt;=2,F1808&gt;=3),"Rawan",IF(AND(E1808&lt;=2,F1808&lt;=2),"Tidur","Umum"))))))</f>
        <v/>
      </c>
    </row>
    <row r="1809">
      <c r="B1809">
        <f>IF(A1809="","",$B$1-MAXIFS(Donasi!$A$2:$A$20000,Donasi!$B$2:$B$20000,A1809))</f>
        <v/>
      </c>
      <c r="C1809">
        <f>IF(A1809="","",COUNTIF(Donasi!$B$2:$B$20000,A1809))</f>
        <v/>
      </c>
      <c r="D1809">
        <f>IF(A1809="","",SUMIF(Donasi!$B$2:$B$20000,A1809,Donasi!$C$2:$C$20000))</f>
        <v/>
      </c>
      <c r="E1809">
        <f>IF(A1809="","",6-CEILING(PERCENTRANK.INC($B$3:$B$6000,B1809,4)*5+0.000001,1))</f>
        <v/>
      </c>
      <c r="F1809">
        <f>IF(A1809="","",MAX(1,CEILING(PERCENTRANK.INC($C$3:$C$6000,C1809,4)*5+0.000001,1)))</f>
        <v/>
      </c>
      <c r="G1809">
        <f>IF(A1809="","",MAX(1,CEILING(PERCENTRANK.INC($D$3:$D$6000,D1809,4)*5+0.000001,1)))</f>
        <v/>
      </c>
      <c r="H1809">
        <f>IF(A1809="","",E1809&amp;F1809&amp;G1809)</f>
        <v/>
      </c>
      <c r="I1809">
        <f>IF(A1809="","",IF(AND(E1809&gt;=4,F1809&gt;=4,G1809&gt;=4),"Juara",IF(AND(F1809&gt;=4,E1809&gt;=3),"Setia",IF(AND(E1809=5,F1809&lt;=2,G1809&gt;=3),"Berpotensi",IF(AND(E1809&lt;=3,E1809&gt;=2,F1809&gt;=3),"Rawan",IF(AND(E1809&lt;=2,F1809&lt;=2),"Tidur","Umum"))))))</f>
        <v/>
      </c>
    </row>
    <row r="1810">
      <c r="B1810">
        <f>IF(A1810="","",$B$1-MAXIFS(Donasi!$A$2:$A$20000,Donasi!$B$2:$B$20000,A1810))</f>
        <v/>
      </c>
      <c r="C1810">
        <f>IF(A1810="","",COUNTIF(Donasi!$B$2:$B$20000,A1810))</f>
        <v/>
      </c>
      <c r="D1810">
        <f>IF(A1810="","",SUMIF(Donasi!$B$2:$B$20000,A1810,Donasi!$C$2:$C$20000))</f>
        <v/>
      </c>
      <c r="E1810">
        <f>IF(A1810="","",6-CEILING(PERCENTRANK.INC($B$3:$B$6000,B1810,4)*5+0.000001,1))</f>
        <v/>
      </c>
      <c r="F1810">
        <f>IF(A1810="","",MAX(1,CEILING(PERCENTRANK.INC($C$3:$C$6000,C1810,4)*5+0.000001,1)))</f>
        <v/>
      </c>
      <c r="G1810">
        <f>IF(A1810="","",MAX(1,CEILING(PERCENTRANK.INC($D$3:$D$6000,D1810,4)*5+0.000001,1)))</f>
        <v/>
      </c>
      <c r="H1810">
        <f>IF(A1810="","",E1810&amp;F1810&amp;G1810)</f>
        <v/>
      </c>
      <c r="I1810">
        <f>IF(A1810="","",IF(AND(E1810&gt;=4,F1810&gt;=4,G1810&gt;=4),"Juara",IF(AND(F1810&gt;=4,E1810&gt;=3),"Setia",IF(AND(E1810=5,F1810&lt;=2,G1810&gt;=3),"Berpotensi",IF(AND(E1810&lt;=3,E1810&gt;=2,F1810&gt;=3),"Rawan",IF(AND(E1810&lt;=2,F1810&lt;=2),"Tidur","Umum"))))))</f>
        <v/>
      </c>
    </row>
    <row r="1811">
      <c r="B1811">
        <f>IF(A1811="","",$B$1-MAXIFS(Donasi!$A$2:$A$20000,Donasi!$B$2:$B$20000,A1811))</f>
        <v/>
      </c>
      <c r="C1811">
        <f>IF(A1811="","",COUNTIF(Donasi!$B$2:$B$20000,A1811))</f>
        <v/>
      </c>
      <c r="D1811">
        <f>IF(A1811="","",SUMIF(Donasi!$B$2:$B$20000,A1811,Donasi!$C$2:$C$20000))</f>
        <v/>
      </c>
      <c r="E1811">
        <f>IF(A1811="","",6-CEILING(PERCENTRANK.INC($B$3:$B$6000,B1811,4)*5+0.000001,1))</f>
        <v/>
      </c>
      <c r="F1811">
        <f>IF(A1811="","",MAX(1,CEILING(PERCENTRANK.INC($C$3:$C$6000,C1811,4)*5+0.000001,1)))</f>
        <v/>
      </c>
      <c r="G1811">
        <f>IF(A1811="","",MAX(1,CEILING(PERCENTRANK.INC($D$3:$D$6000,D1811,4)*5+0.000001,1)))</f>
        <v/>
      </c>
      <c r="H1811">
        <f>IF(A1811="","",E1811&amp;F1811&amp;G1811)</f>
        <v/>
      </c>
      <c r="I1811">
        <f>IF(A1811="","",IF(AND(E1811&gt;=4,F1811&gt;=4,G1811&gt;=4),"Juara",IF(AND(F1811&gt;=4,E1811&gt;=3),"Setia",IF(AND(E1811=5,F1811&lt;=2,G1811&gt;=3),"Berpotensi",IF(AND(E1811&lt;=3,E1811&gt;=2,F1811&gt;=3),"Rawan",IF(AND(E1811&lt;=2,F1811&lt;=2),"Tidur","Umum"))))))</f>
        <v/>
      </c>
    </row>
    <row r="1812">
      <c r="B1812">
        <f>IF(A1812="","",$B$1-MAXIFS(Donasi!$A$2:$A$20000,Donasi!$B$2:$B$20000,A1812))</f>
        <v/>
      </c>
      <c r="C1812">
        <f>IF(A1812="","",COUNTIF(Donasi!$B$2:$B$20000,A1812))</f>
        <v/>
      </c>
      <c r="D1812">
        <f>IF(A1812="","",SUMIF(Donasi!$B$2:$B$20000,A1812,Donasi!$C$2:$C$20000))</f>
        <v/>
      </c>
      <c r="E1812">
        <f>IF(A1812="","",6-CEILING(PERCENTRANK.INC($B$3:$B$6000,B1812,4)*5+0.000001,1))</f>
        <v/>
      </c>
      <c r="F1812">
        <f>IF(A1812="","",MAX(1,CEILING(PERCENTRANK.INC($C$3:$C$6000,C1812,4)*5+0.000001,1)))</f>
        <v/>
      </c>
      <c r="G1812">
        <f>IF(A1812="","",MAX(1,CEILING(PERCENTRANK.INC($D$3:$D$6000,D1812,4)*5+0.000001,1)))</f>
        <v/>
      </c>
      <c r="H1812">
        <f>IF(A1812="","",E1812&amp;F1812&amp;G1812)</f>
        <v/>
      </c>
      <c r="I1812">
        <f>IF(A1812="","",IF(AND(E1812&gt;=4,F1812&gt;=4,G1812&gt;=4),"Juara",IF(AND(F1812&gt;=4,E1812&gt;=3),"Setia",IF(AND(E1812=5,F1812&lt;=2,G1812&gt;=3),"Berpotensi",IF(AND(E1812&lt;=3,E1812&gt;=2,F1812&gt;=3),"Rawan",IF(AND(E1812&lt;=2,F1812&lt;=2),"Tidur","Umum"))))))</f>
        <v/>
      </c>
    </row>
    <row r="1813">
      <c r="B1813">
        <f>IF(A1813="","",$B$1-MAXIFS(Donasi!$A$2:$A$20000,Donasi!$B$2:$B$20000,A1813))</f>
        <v/>
      </c>
      <c r="C1813">
        <f>IF(A1813="","",COUNTIF(Donasi!$B$2:$B$20000,A1813))</f>
        <v/>
      </c>
      <c r="D1813">
        <f>IF(A1813="","",SUMIF(Donasi!$B$2:$B$20000,A1813,Donasi!$C$2:$C$20000))</f>
        <v/>
      </c>
      <c r="E1813">
        <f>IF(A1813="","",6-CEILING(PERCENTRANK.INC($B$3:$B$6000,B1813,4)*5+0.000001,1))</f>
        <v/>
      </c>
      <c r="F1813">
        <f>IF(A1813="","",MAX(1,CEILING(PERCENTRANK.INC($C$3:$C$6000,C1813,4)*5+0.000001,1)))</f>
        <v/>
      </c>
      <c r="G1813">
        <f>IF(A1813="","",MAX(1,CEILING(PERCENTRANK.INC($D$3:$D$6000,D1813,4)*5+0.000001,1)))</f>
        <v/>
      </c>
      <c r="H1813">
        <f>IF(A1813="","",E1813&amp;F1813&amp;G1813)</f>
        <v/>
      </c>
      <c r="I1813">
        <f>IF(A1813="","",IF(AND(E1813&gt;=4,F1813&gt;=4,G1813&gt;=4),"Juara",IF(AND(F1813&gt;=4,E1813&gt;=3),"Setia",IF(AND(E1813=5,F1813&lt;=2,G1813&gt;=3),"Berpotensi",IF(AND(E1813&lt;=3,E1813&gt;=2,F1813&gt;=3),"Rawan",IF(AND(E1813&lt;=2,F1813&lt;=2),"Tidur","Umum"))))))</f>
        <v/>
      </c>
    </row>
    <row r="1814">
      <c r="B1814">
        <f>IF(A1814="","",$B$1-MAXIFS(Donasi!$A$2:$A$20000,Donasi!$B$2:$B$20000,A1814))</f>
        <v/>
      </c>
      <c r="C1814">
        <f>IF(A1814="","",COUNTIF(Donasi!$B$2:$B$20000,A1814))</f>
        <v/>
      </c>
      <c r="D1814">
        <f>IF(A1814="","",SUMIF(Donasi!$B$2:$B$20000,A1814,Donasi!$C$2:$C$20000))</f>
        <v/>
      </c>
      <c r="E1814">
        <f>IF(A1814="","",6-CEILING(PERCENTRANK.INC($B$3:$B$6000,B1814,4)*5+0.000001,1))</f>
        <v/>
      </c>
      <c r="F1814">
        <f>IF(A1814="","",MAX(1,CEILING(PERCENTRANK.INC($C$3:$C$6000,C1814,4)*5+0.000001,1)))</f>
        <v/>
      </c>
      <c r="G1814">
        <f>IF(A1814="","",MAX(1,CEILING(PERCENTRANK.INC($D$3:$D$6000,D1814,4)*5+0.000001,1)))</f>
        <v/>
      </c>
      <c r="H1814">
        <f>IF(A1814="","",E1814&amp;F1814&amp;G1814)</f>
        <v/>
      </c>
      <c r="I1814">
        <f>IF(A1814="","",IF(AND(E1814&gt;=4,F1814&gt;=4,G1814&gt;=4),"Juara",IF(AND(F1814&gt;=4,E1814&gt;=3),"Setia",IF(AND(E1814=5,F1814&lt;=2,G1814&gt;=3),"Berpotensi",IF(AND(E1814&lt;=3,E1814&gt;=2,F1814&gt;=3),"Rawan",IF(AND(E1814&lt;=2,F1814&lt;=2),"Tidur","Umum"))))))</f>
        <v/>
      </c>
    </row>
    <row r="1815">
      <c r="B1815">
        <f>IF(A1815="","",$B$1-MAXIFS(Donasi!$A$2:$A$20000,Donasi!$B$2:$B$20000,A1815))</f>
        <v/>
      </c>
      <c r="C1815">
        <f>IF(A1815="","",COUNTIF(Donasi!$B$2:$B$20000,A1815))</f>
        <v/>
      </c>
      <c r="D1815">
        <f>IF(A1815="","",SUMIF(Donasi!$B$2:$B$20000,A1815,Donasi!$C$2:$C$20000))</f>
        <v/>
      </c>
      <c r="E1815">
        <f>IF(A1815="","",6-CEILING(PERCENTRANK.INC($B$3:$B$6000,B1815,4)*5+0.000001,1))</f>
        <v/>
      </c>
      <c r="F1815">
        <f>IF(A1815="","",MAX(1,CEILING(PERCENTRANK.INC($C$3:$C$6000,C1815,4)*5+0.000001,1)))</f>
        <v/>
      </c>
      <c r="G1815">
        <f>IF(A1815="","",MAX(1,CEILING(PERCENTRANK.INC($D$3:$D$6000,D1815,4)*5+0.000001,1)))</f>
        <v/>
      </c>
      <c r="H1815">
        <f>IF(A1815="","",E1815&amp;F1815&amp;G1815)</f>
        <v/>
      </c>
      <c r="I1815">
        <f>IF(A1815="","",IF(AND(E1815&gt;=4,F1815&gt;=4,G1815&gt;=4),"Juara",IF(AND(F1815&gt;=4,E1815&gt;=3),"Setia",IF(AND(E1815=5,F1815&lt;=2,G1815&gt;=3),"Berpotensi",IF(AND(E1815&lt;=3,E1815&gt;=2,F1815&gt;=3),"Rawan",IF(AND(E1815&lt;=2,F1815&lt;=2),"Tidur","Umum"))))))</f>
        <v/>
      </c>
    </row>
    <row r="1816">
      <c r="B1816">
        <f>IF(A1816="","",$B$1-MAXIFS(Donasi!$A$2:$A$20000,Donasi!$B$2:$B$20000,A1816))</f>
        <v/>
      </c>
      <c r="C1816">
        <f>IF(A1816="","",COUNTIF(Donasi!$B$2:$B$20000,A1816))</f>
        <v/>
      </c>
      <c r="D1816">
        <f>IF(A1816="","",SUMIF(Donasi!$B$2:$B$20000,A1816,Donasi!$C$2:$C$20000))</f>
        <v/>
      </c>
      <c r="E1816">
        <f>IF(A1816="","",6-CEILING(PERCENTRANK.INC($B$3:$B$6000,B1816,4)*5+0.000001,1))</f>
        <v/>
      </c>
      <c r="F1816">
        <f>IF(A1816="","",MAX(1,CEILING(PERCENTRANK.INC($C$3:$C$6000,C1816,4)*5+0.000001,1)))</f>
        <v/>
      </c>
      <c r="G1816">
        <f>IF(A1816="","",MAX(1,CEILING(PERCENTRANK.INC($D$3:$D$6000,D1816,4)*5+0.000001,1)))</f>
        <v/>
      </c>
      <c r="H1816">
        <f>IF(A1816="","",E1816&amp;F1816&amp;G1816)</f>
        <v/>
      </c>
      <c r="I1816">
        <f>IF(A1816="","",IF(AND(E1816&gt;=4,F1816&gt;=4,G1816&gt;=4),"Juara",IF(AND(F1816&gt;=4,E1816&gt;=3),"Setia",IF(AND(E1816=5,F1816&lt;=2,G1816&gt;=3),"Berpotensi",IF(AND(E1816&lt;=3,E1816&gt;=2,F1816&gt;=3),"Rawan",IF(AND(E1816&lt;=2,F1816&lt;=2),"Tidur","Umum"))))))</f>
        <v/>
      </c>
    </row>
    <row r="1817">
      <c r="B1817">
        <f>IF(A1817="","",$B$1-MAXIFS(Donasi!$A$2:$A$20000,Donasi!$B$2:$B$20000,A1817))</f>
        <v/>
      </c>
      <c r="C1817">
        <f>IF(A1817="","",COUNTIF(Donasi!$B$2:$B$20000,A1817))</f>
        <v/>
      </c>
      <c r="D1817">
        <f>IF(A1817="","",SUMIF(Donasi!$B$2:$B$20000,A1817,Donasi!$C$2:$C$20000))</f>
        <v/>
      </c>
      <c r="E1817">
        <f>IF(A1817="","",6-CEILING(PERCENTRANK.INC($B$3:$B$6000,B1817,4)*5+0.000001,1))</f>
        <v/>
      </c>
      <c r="F1817">
        <f>IF(A1817="","",MAX(1,CEILING(PERCENTRANK.INC($C$3:$C$6000,C1817,4)*5+0.000001,1)))</f>
        <v/>
      </c>
      <c r="G1817">
        <f>IF(A1817="","",MAX(1,CEILING(PERCENTRANK.INC($D$3:$D$6000,D1817,4)*5+0.000001,1)))</f>
        <v/>
      </c>
      <c r="H1817">
        <f>IF(A1817="","",E1817&amp;F1817&amp;G1817)</f>
        <v/>
      </c>
      <c r="I1817">
        <f>IF(A1817="","",IF(AND(E1817&gt;=4,F1817&gt;=4,G1817&gt;=4),"Juara",IF(AND(F1817&gt;=4,E1817&gt;=3),"Setia",IF(AND(E1817=5,F1817&lt;=2,G1817&gt;=3),"Berpotensi",IF(AND(E1817&lt;=3,E1817&gt;=2,F1817&gt;=3),"Rawan",IF(AND(E1817&lt;=2,F1817&lt;=2),"Tidur","Umum"))))))</f>
        <v/>
      </c>
    </row>
    <row r="1818">
      <c r="B1818">
        <f>IF(A1818="","",$B$1-MAXIFS(Donasi!$A$2:$A$20000,Donasi!$B$2:$B$20000,A1818))</f>
        <v/>
      </c>
      <c r="C1818">
        <f>IF(A1818="","",COUNTIF(Donasi!$B$2:$B$20000,A1818))</f>
        <v/>
      </c>
      <c r="D1818">
        <f>IF(A1818="","",SUMIF(Donasi!$B$2:$B$20000,A1818,Donasi!$C$2:$C$20000))</f>
        <v/>
      </c>
      <c r="E1818">
        <f>IF(A1818="","",6-CEILING(PERCENTRANK.INC($B$3:$B$6000,B1818,4)*5+0.000001,1))</f>
        <v/>
      </c>
      <c r="F1818">
        <f>IF(A1818="","",MAX(1,CEILING(PERCENTRANK.INC($C$3:$C$6000,C1818,4)*5+0.000001,1)))</f>
        <v/>
      </c>
      <c r="G1818">
        <f>IF(A1818="","",MAX(1,CEILING(PERCENTRANK.INC($D$3:$D$6000,D1818,4)*5+0.000001,1)))</f>
        <v/>
      </c>
      <c r="H1818">
        <f>IF(A1818="","",E1818&amp;F1818&amp;G1818)</f>
        <v/>
      </c>
      <c r="I1818">
        <f>IF(A1818="","",IF(AND(E1818&gt;=4,F1818&gt;=4,G1818&gt;=4),"Juara",IF(AND(F1818&gt;=4,E1818&gt;=3),"Setia",IF(AND(E1818=5,F1818&lt;=2,G1818&gt;=3),"Berpotensi",IF(AND(E1818&lt;=3,E1818&gt;=2,F1818&gt;=3),"Rawan",IF(AND(E1818&lt;=2,F1818&lt;=2),"Tidur","Umum"))))))</f>
        <v/>
      </c>
    </row>
    <row r="1819">
      <c r="B1819">
        <f>IF(A1819="","",$B$1-MAXIFS(Donasi!$A$2:$A$20000,Donasi!$B$2:$B$20000,A1819))</f>
        <v/>
      </c>
      <c r="C1819">
        <f>IF(A1819="","",COUNTIF(Donasi!$B$2:$B$20000,A1819))</f>
        <v/>
      </c>
      <c r="D1819">
        <f>IF(A1819="","",SUMIF(Donasi!$B$2:$B$20000,A1819,Donasi!$C$2:$C$20000))</f>
        <v/>
      </c>
      <c r="E1819">
        <f>IF(A1819="","",6-CEILING(PERCENTRANK.INC($B$3:$B$6000,B1819,4)*5+0.000001,1))</f>
        <v/>
      </c>
      <c r="F1819">
        <f>IF(A1819="","",MAX(1,CEILING(PERCENTRANK.INC($C$3:$C$6000,C1819,4)*5+0.000001,1)))</f>
        <v/>
      </c>
      <c r="G1819">
        <f>IF(A1819="","",MAX(1,CEILING(PERCENTRANK.INC($D$3:$D$6000,D1819,4)*5+0.000001,1)))</f>
        <v/>
      </c>
      <c r="H1819">
        <f>IF(A1819="","",E1819&amp;F1819&amp;G1819)</f>
        <v/>
      </c>
      <c r="I1819">
        <f>IF(A1819="","",IF(AND(E1819&gt;=4,F1819&gt;=4,G1819&gt;=4),"Juara",IF(AND(F1819&gt;=4,E1819&gt;=3),"Setia",IF(AND(E1819=5,F1819&lt;=2,G1819&gt;=3),"Berpotensi",IF(AND(E1819&lt;=3,E1819&gt;=2,F1819&gt;=3),"Rawan",IF(AND(E1819&lt;=2,F1819&lt;=2),"Tidur","Umum"))))))</f>
        <v/>
      </c>
    </row>
    <row r="1820">
      <c r="B1820">
        <f>IF(A1820="","",$B$1-MAXIFS(Donasi!$A$2:$A$20000,Donasi!$B$2:$B$20000,A1820))</f>
        <v/>
      </c>
      <c r="C1820">
        <f>IF(A1820="","",COUNTIF(Donasi!$B$2:$B$20000,A1820))</f>
        <v/>
      </c>
      <c r="D1820">
        <f>IF(A1820="","",SUMIF(Donasi!$B$2:$B$20000,A1820,Donasi!$C$2:$C$20000))</f>
        <v/>
      </c>
      <c r="E1820">
        <f>IF(A1820="","",6-CEILING(PERCENTRANK.INC($B$3:$B$6000,B1820,4)*5+0.000001,1))</f>
        <v/>
      </c>
      <c r="F1820">
        <f>IF(A1820="","",MAX(1,CEILING(PERCENTRANK.INC($C$3:$C$6000,C1820,4)*5+0.000001,1)))</f>
        <v/>
      </c>
      <c r="G1820">
        <f>IF(A1820="","",MAX(1,CEILING(PERCENTRANK.INC($D$3:$D$6000,D1820,4)*5+0.000001,1)))</f>
        <v/>
      </c>
      <c r="H1820">
        <f>IF(A1820="","",E1820&amp;F1820&amp;G1820)</f>
        <v/>
      </c>
      <c r="I1820">
        <f>IF(A1820="","",IF(AND(E1820&gt;=4,F1820&gt;=4,G1820&gt;=4),"Juara",IF(AND(F1820&gt;=4,E1820&gt;=3),"Setia",IF(AND(E1820=5,F1820&lt;=2,G1820&gt;=3),"Berpotensi",IF(AND(E1820&lt;=3,E1820&gt;=2,F1820&gt;=3),"Rawan",IF(AND(E1820&lt;=2,F1820&lt;=2),"Tidur","Umum"))))))</f>
        <v/>
      </c>
    </row>
    <row r="1821">
      <c r="B1821">
        <f>IF(A1821="","",$B$1-MAXIFS(Donasi!$A$2:$A$20000,Donasi!$B$2:$B$20000,A1821))</f>
        <v/>
      </c>
      <c r="C1821">
        <f>IF(A1821="","",COUNTIF(Donasi!$B$2:$B$20000,A1821))</f>
        <v/>
      </c>
      <c r="D1821">
        <f>IF(A1821="","",SUMIF(Donasi!$B$2:$B$20000,A1821,Donasi!$C$2:$C$20000))</f>
        <v/>
      </c>
      <c r="E1821">
        <f>IF(A1821="","",6-CEILING(PERCENTRANK.INC($B$3:$B$6000,B1821,4)*5+0.000001,1))</f>
        <v/>
      </c>
      <c r="F1821">
        <f>IF(A1821="","",MAX(1,CEILING(PERCENTRANK.INC($C$3:$C$6000,C1821,4)*5+0.000001,1)))</f>
        <v/>
      </c>
      <c r="G1821">
        <f>IF(A1821="","",MAX(1,CEILING(PERCENTRANK.INC($D$3:$D$6000,D1821,4)*5+0.000001,1)))</f>
        <v/>
      </c>
      <c r="H1821">
        <f>IF(A1821="","",E1821&amp;F1821&amp;G1821)</f>
        <v/>
      </c>
      <c r="I1821">
        <f>IF(A1821="","",IF(AND(E1821&gt;=4,F1821&gt;=4,G1821&gt;=4),"Juara",IF(AND(F1821&gt;=4,E1821&gt;=3),"Setia",IF(AND(E1821=5,F1821&lt;=2,G1821&gt;=3),"Berpotensi",IF(AND(E1821&lt;=3,E1821&gt;=2,F1821&gt;=3),"Rawan",IF(AND(E1821&lt;=2,F1821&lt;=2),"Tidur","Umum"))))))</f>
        <v/>
      </c>
    </row>
    <row r="1822">
      <c r="B1822">
        <f>IF(A1822="","",$B$1-MAXIFS(Donasi!$A$2:$A$20000,Donasi!$B$2:$B$20000,A1822))</f>
        <v/>
      </c>
      <c r="C1822">
        <f>IF(A1822="","",COUNTIF(Donasi!$B$2:$B$20000,A1822))</f>
        <v/>
      </c>
      <c r="D1822">
        <f>IF(A1822="","",SUMIF(Donasi!$B$2:$B$20000,A1822,Donasi!$C$2:$C$20000))</f>
        <v/>
      </c>
      <c r="E1822">
        <f>IF(A1822="","",6-CEILING(PERCENTRANK.INC($B$3:$B$6000,B1822,4)*5+0.000001,1))</f>
        <v/>
      </c>
      <c r="F1822">
        <f>IF(A1822="","",MAX(1,CEILING(PERCENTRANK.INC($C$3:$C$6000,C1822,4)*5+0.000001,1)))</f>
        <v/>
      </c>
      <c r="G1822">
        <f>IF(A1822="","",MAX(1,CEILING(PERCENTRANK.INC($D$3:$D$6000,D1822,4)*5+0.000001,1)))</f>
        <v/>
      </c>
      <c r="H1822">
        <f>IF(A1822="","",E1822&amp;F1822&amp;G1822)</f>
        <v/>
      </c>
      <c r="I1822">
        <f>IF(A1822="","",IF(AND(E1822&gt;=4,F1822&gt;=4,G1822&gt;=4),"Juara",IF(AND(F1822&gt;=4,E1822&gt;=3),"Setia",IF(AND(E1822=5,F1822&lt;=2,G1822&gt;=3),"Berpotensi",IF(AND(E1822&lt;=3,E1822&gt;=2,F1822&gt;=3),"Rawan",IF(AND(E1822&lt;=2,F1822&lt;=2),"Tidur","Umum"))))))</f>
        <v/>
      </c>
    </row>
    <row r="1823">
      <c r="B1823">
        <f>IF(A1823="","",$B$1-MAXIFS(Donasi!$A$2:$A$20000,Donasi!$B$2:$B$20000,A1823))</f>
        <v/>
      </c>
      <c r="C1823">
        <f>IF(A1823="","",COUNTIF(Donasi!$B$2:$B$20000,A1823))</f>
        <v/>
      </c>
      <c r="D1823">
        <f>IF(A1823="","",SUMIF(Donasi!$B$2:$B$20000,A1823,Donasi!$C$2:$C$20000))</f>
        <v/>
      </c>
      <c r="E1823">
        <f>IF(A1823="","",6-CEILING(PERCENTRANK.INC($B$3:$B$6000,B1823,4)*5+0.000001,1))</f>
        <v/>
      </c>
      <c r="F1823">
        <f>IF(A1823="","",MAX(1,CEILING(PERCENTRANK.INC($C$3:$C$6000,C1823,4)*5+0.000001,1)))</f>
        <v/>
      </c>
      <c r="G1823">
        <f>IF(A1823="","",MAX(1,CEILING(PERCENTRANK.INC($D$3:$D$6000,D1823,4)*5+0.000001,1)))</f>
        <v/>
      </c>
      <c r="H1823">
        <f>IF(A1823="","",E1823&amp;F1823&amp;G1823)</f>
        <v/>
      </c>
      <c r="I1823">
        <f>IF(A1823="","",IF(AND(E1823&gt;=4,F1823&gt;=4,G1823&gt;=4),"Juara",IF(AND(F1823&gt;=4,E1823&gt;=3),"Setia",IF(AND(E1823=5,F1823&lt;=2,G1823&gt;=3),"Berpotensi",IF(AND(E1823&lt;=3,E1823&gt;=2,F1823&gt;=3),"Rawan",IF(AND(E1823&lt;=2,F1823&lt;=2),"Tidur","Umum"))))))</f>
        <v/>
      </c>
    </row>
    <row r="1824">
      <c r="B1824">
        <f>IF(A1824="","",$B$1-MAXIFS(Donasi!$A$2:$A$20000,Donasi!$B$2:$B$20000,A1824))</f>
        <v/>
      </c>
      <c r="C1824">
        <f>IF(A1824="","",COUNTIF(Donasi!$B$2:$B$20000,A1824))</f>
        <v/>
      </c>
      <c r="D1824">
        <f>IF(A1824="","",SUMIF(Donasi!$B$2:$B$20000,A1824,Donasi!$C$2:$C$20000))</f>
        <v/>
      </c>
      <c r="E1824">
        <f>IF(A1824="","",6-CEILING(PERCENTRANK.INC($B$3:$B$6000,B1824,4)*5+0.000001,1))</f>
        <v/>
      </c>
      <c r="F1824">
        <f>IF(A1824="","",MAX(1,CEILING(PERCENTRANK.INC($C$3:$C$6000,C1824,4)*5+0.000001,1)))</f>
        <v/>
      </c>
      <c r="G1824">
        <f>IF(A1824="","",MAX(1,CEILING(PERCENTRANK.INC($D$3:$D$6000,D1824,4)*5+0.000001,1)))</f>
        <v/>
      </c>
      <c r="H1824">
        <f>IF(A1824="","",E1824&amp;F1824&amp;G1824)</f>
        <v/>
      </c>
      <c r="I1824">
        <f>IF(A1824="","",IF(AND(E1824&gt;=4,F1824&gt;=4,G1824&gt;=4),"Juara",IF(AND(F1824&gt;=4,E1824&gt;=3),"Setia",IF(AND(E1824=5,F1824&lt;=2,G1824&gt;=3),"Berpotensi",IF(AND(E1824&lt;=3,E1824&gt;=2,F1824&gt;=3),"Rawan",IF(AND(E1824&lt;=2,F1824&lt;=2),"Tidur","Umum"))))))</f>
        <v/>
      </c>
    </row>
    <row r="1825">
      <c r="B1825">
        <f>IF(A1825="","",$B$1-MAXIFS(Donasi!$A$2:$A$20000,Donasi!$B$2:$B$20000,A1825))</f>
        <v/>
      </c>
      <c r="C1825">
        <f>IF(A1825="","",COUNTIF(Donasi!$B$2:$B$20000,A1825))</f>
        <v/>
      </c>
      <c r="D1825">
        <f>IF(A1825="","",SUMIF(Donasi!$B$2:$B$20000,A1825,Donasi!$C$2:$C$20000))</f>
        <v/>
      </c>
      <c r="E1825">
        <f>IF(A1825="","",6-CEILING(PERCENTRANK.INC($B$3:$B$6000,B1825,4)*5+0.000001,1))</f>
        <v/>
      </c>
      <c r="F1825">
        <f>IF(A1825="","",MAX(1,CEILING(PERCENTRANK.INC($C$3:$C$6000,C1825,4)*5+0.000001,1)))</f>
        <v/>
      </c>
      <c r="G1825">
        <f>IF(A1825="","",MAX(1,CEILING(PERCENTRANK.INC($D$3:$D$6000,D1825,4)*5+0.000001,1)))</f>
        <v/>
      </c>
      <c r="H1825">
        <f>IF(A1825="","",E1825&amp;F1825&amp;G1825)</f>
        <v/>
      </c>
      <c r="I1825">
        <f>IF(A1825="","",IF(AND(E1825&gt;=4,F1825&gt;=4,G1825&gt;=4),"Juara",IF(AND(F1825&gt;=4,E1825&gt;=3),"Setia",IF(AND(E1825=5,F1825&lt;=2,G1825&gt;=3),"Berpotensi",IF(AND(E1825&lt;=3,E1825&gt;=2,F1825&gt;=3),"Rawan",IF(AND(E1825&lt;=2,F1825&lt;=2),"Tidur","Umum"))))))</f>
        <v/>
      </c>
    </row>
    <row r="1826">
      <c r="B1826">
        <f>IF(A1826="","",$B$1-MAXIFS(Donasi!$A$2:$A$20000,Donasi!$B$2:$B$20000,A1826))</f>
        <v/>
      </c>
      <c r="C1826">
        <f>IF(A1826="","",COUNTIF(Donasi!$B$2:$B$20000,A1826))</f>
        <v/>
      </c>
      <c r="D1826">
        <f>IF(A1826="","",SUMIF(Donasi!$B$2:$B$20000,A1826,Donasi!$C$2:$C$20000))</f>
        <v/>
      </c>
      <c r="E1826">
        <f>IF(A1826="","",6-CEILING(PERCENTRANK.INC($B$3:$B$6000,B1826,4)*5+0.000001,1))</f>
        <v/>
      </c>
      <c r="F1826">
        <f>IF(A1826="","",MAX(1,CEILING(PERCENTRANK.INC($C$3:$C$6000,C1826,4)*5+0.000001,1)))</f>
        <v/>
      </c>
      <c r="G1826">
        <f>IF(A1826="","",MAX(1,CEILING(PERCENTRANK.INC($D$3:$D$6000,D1826,4)*5+0.000001,1)))</f>
        <v/>
      </c>
      <c r="H1826">
        <f>IF(A1826="","",E1826&amp;F1826&amp;G1826)</f>
        <v/>
      </c>
      <c r="I1826">
        <f>IF(A1826="","",IF(AND(E1826&gt;=4,F1826&gt;=4,G1826&gt;=4),"Juara",IF(AND(F1826&gt;=4,E1826&gt;=3),"Setia",IF(AND(E1826=5,F1826&lt;=2,G1826&gt;=3),"Berpotensi",IF(AND(E1826&lt;=3,E1826&gt;=2,F1826&gt;=3),"Rawan",IF(AND(E1826&lt;=2,F1826&lt;=2),"Tidur","Umum"))))))</f>
        <v/>
      </c>
    </row>
    <row r="1827">
      <c r="B1827">
        <f>IF(A1827="","",$B$1-MAXIFS(Donasi!$A$2:$A$20000,Donasi!$B$2:$B$20000,A1827))</f>
        <v/>
      </c>
      <c r="C1827">
        <f>IF(A1827="","",COUNTIF(Donasi!$B$2:$B$20000,A1827))</f>
        <v/>
      </c>
      <c r="D1827">
        <f>IF(A1827="","",SUMIF(Donasi!$B$2:$B$20000,A1827,Donasi!$C$2:$C$20000))</f>
        <v/>
      </c>
      <c r="E1827">
        <f>IF(A1827="","",6-CEILING(PERCENTRANK.INC($B$3:$B$6000,B1827,4)*5+0.000001,1))</f>
        <v/>
      </c>
      <c r="F1827">
        <f>IF(A1827="","",MAX(1,CEILING(PERCENTRANK.INC($C$3:$C$6000,C1827,4)*5+0.000001,1)))</f>
        <v/>
      </c>
      <c r="G1827">
        <f>IF(A1827="","",MAX(1,CEILING(PERCENTRANK.INC($D$3:$D$6000,D1827,4)*5+0.000001,1)))</f>
        <v/>
      </c>
      <c r="H1827">
        <f>IF(A1827="","",E1827&amp;F1827&amp;G1827)</f>
        <v/>
      </c>
      <c r="I1827">
        <f>IF(A1827="","",IF(AND(E1827&gt;=4,F1827&gt;=4,G1827&gt;=4),"Juara",IF(AND(F1827&gt;=4,E1827&gt;=3),"Setia",IF(AND(E1827=5,F1827&lt;=2,G1827&gt;=3),"Berpotensi",IF(AND(E1827&lt;=3,E1827&gt;=2,F1827&gt;=3),"Rawan",IF(AND(E1827&lt;=2,F1827&lt;=2),"Tidur","Umum"))))))</f>
        <v/>
      </c>
    </row>
    <row r="1828">
      <c r="B1828">
        <f>IF(A1828="","",$B$1-MAXIFS(Donasi!$A$2:$A$20000,Donasi!$B$2:$B$20000,A1828))</f>
        <v/>
      </c>
      <c r="C1828">
        <f>IF(A1828="","",COUNTIF(Donasi!$B$2:$B$20000,A1828))</f>
        <v/>
      </c>
      <c r="D1828">
        <f>IF(A1828="","",SUMIF(Donasi!$B$2:$B$20000,A1828,Donasi!$C$2:$C$20000))</f>
        <v/>
      </c>
      <c r="E1828">
        <f>IF(A1828="","",6-CEILING(PERCENTRANK.INC($B$3:$B$6000,B1828,4)*5+0.000001,1))</f>
        <v/>
      </c>
      <c r="F1828">
        <f>IF(A1828="","",MAX(1,CEILING(PERCENTRANK.INC($C$3:$C$6000,C1828,4)*5+0.000001,1)))</f>
        <v/>
      </c>
      <c r="G1828">
        <f>IF(A1828="","",MAX(1,CEILING(PERCENTRANK.INC($D$3:$D$6000,D1828,4)*5+0.000001,1)))</f>
        <v/>
      </c>
      <c r="H1828">
        <f>IF(A1828="","",E1828&amp;F1828&amp;G1828)</f>
        <v/>
      </c>
      <c r="I1828">
        <f>IF(A1828="","",IF(AND(E1828&gt;=4,F1828&gt;=4,G1828&gt;=4),"Juara",IF(AND(F1828&gt;=4,E1828&gt;=3),"Setia",IF(AND(E1828=5,F1828&lt;=2,G1828&gt;=3),"Berpotensi",IF(AND(E1828&lt;=3,E1828&gt;=2,F1828&gt;=3),"Rawan",IF(AND(E1828&lt;=2,F1828&lt;=2),"Tidur","Umum"))))))</f>
        <v/>
      </c>
    </row>
    <row r="1829">
      <c r="B1829">
        <f>IF(A1829="","",$B$1-MAXIFS(Donasi!$A$2:$A$20000,Donasi!$B$2:$B$20000,A1829))</f>
        <v/>
      </c>
      <c r="C1829">
        <f>IF(A1829="","",COUNTIF(Donasi!$B$2:$B$20000,A1829))</f>
        <v/>
      </c>
      <c r="D1829">
        <f>IF(A1829="","",SUMIF(Donasi!$B$2:$B$20000,A1829,Donasi!$C$2:$C$20000))</f>
        <v/>
      </c>
      <c r="E1829">
        <f>IF(A1829="","",6-CEILING(PERCENTRANK.INC($B$3:$B$6000,B1829,4)*5+0.000001,1))</f>
        <v/>
      </c>
      <c r="F1829">
        <f>IF(A1829="","",MAX(1,CEILING(PERCENTRANK.INC($C$3:$C$6000,C1829,4)*5+0.000001,1)))</f>
        <v/>
      </c>
      <c r="G1829">
        <f>IF(A1829="","",MAX(1,CEILING(PERCENTRANK.INC($D$3:$D$6000,D1829,4)*5+0.000001,1)))</f>
        <v/>
      </c>
      <c r="H1829">
        <f>IF(A1829="","",E1829&amp;F1829&amp;G1829)</f>
        <v/>
      </c>
      <c r="I1829">
        <f>IF(A1829="","",IF(AND(E1829&gt;=4,F1829&gt;=4,G1829&gt;=4),"Juara",IF(AND(F1829&gt;=4,E1829&gt;=3),"Setia",IF(AND(E1829=5,F1829&lt;=2,G1829&gt;=3),"Berpotensi",IF(AND(E1829&lt;=3,E1829&gt;=2,F1829&gt;=3),"Rawan",IF(AND(E1829&lt;=2,F1829&lt;=2),"Tidur","Umum"))))))</f>
        <v/>
      </c>
    </row>
    <row r="1830">
      <c r="B1830">
        <f>IF(A1830="","",$B$1-MAXIFS(Donasi!$A$2:$A$20000,Donasi!$B$2:$B$20000,A1830))</f>
        <v/>
      </c>
      <c r="C1830">
        <f>IF(A1830="","",COUNTIF(Donasi!$B$2:$B$20000,A1830))</f>
        <v/>
      </c>
      <c r="D1830">
        <f>IF(A1830="","",SUMIF(Donasi!$B$2:$B$20000,A1830,Donasi!$C$2:$C$20000))</f>
        <v/>
      </c>
      <c r="E1830">
        <f>IF(A1830="","",6-CEILING(PERCENTRANK.INC($B$3:$B$6000,B1830,4)*5+0.000001,1))</f>
        <v/>
      </c>
      <c r="F1830">
        <f>IF(A1830="","",MAX(1,CEILING(PERCENTRANK.INC($C$3:$C$6000,C1830,4)*5+0.000001,1)))</f>
        <v/>
      </c>
      <c r="G1830">
        <f>IF(A1830="","",MAX(1,CEILING(PERCENTRANK.INC($D$3:$D$6000,D1830,4)*5+0.000001,1)))</f>
        <v/>
      </c>
      <c r="H1830">
        <f>IF(A1830="","",E1830&amp;F1830&amp;G1830)</f>
        <v/>
      </c>
      <c r="I1830">
        <f>IF(A1830="","",IF(AND(E1830&gt;=4,F1830&gt;=4,G1830&gt;=4),"Juara",IF(AND(F1830&gt;=4,E1830&gt;=3),"Setia",IF(AND(E1830=5,F1830&lt;=2,G1830&gt;=3),"Berpotensi",IF(AND(E1830&lt;=3,E1830&gt;=2,F1830&gt;=3),"Rawan",IF(AND(E1830&lt;=2,F1830&lt;=2),"Tidur","Umum"))))))</f>
        <v/>
      </c>
    </row>
    <row r="1831">
      <c r="B1831">
        <f>IF(A1831="","",$B$1-MAXIFS(Donasi!$A$2:$A$20000,Donasi!$B$2:$B$20000,A1831))</f>
        <v/>
      </c>
      <c r="C1831">
        <f>IF(A1831="","",COUNTIF(Donasi!$B$2:$B$20000,A1831))</f>
        <v/>
      </c>
      <c r="D1831">
        <f>IF(A1831="","",SUMIF(Donasi!$B$2:$B$20000,A1831,Donasi!$C$2:$C$20000))</f>
        <v/>
      </c>
      <c r="E1831">
        <f>IF(A1831="","",6-CEILING(PERCENTRANK.INC($B$3:$B$6000,B1831,4)*5+0.000001,1))</f>
        <v/>
      </c>
      <c r="F1831">
        <f>IF(A1831="","",MAX(1,CEILING(PERCENTRANK.INC($C$3:$C$6000,C1831,4)*5+0.000001,1)))</f>
        <v/>
      </c>
      <c r="G1831">
        <f>IF(A1831="","",MAX(1,CEILING(PERCENTRANK.INC($D$3:$D$6000,D1831,4)*5+0.000001,1)))</f>
        <v/>
      </c>
      <c r="H1831">
        <f>IF(A1831="","",E1831&amp;F1831&amp;G1831)</f>
        <v/>
      </c>
      <c r="I1831">
        <f>IF(A1831="","",IF(AND(E1831&gt;=4,F1831&gt;=4,G1831&gt;=4),"Juara",IF(AND(F1831&gt;=4,E1831&gt;=3),"Setia",IF(AND(E1831=5,F1831&lt;=2,G1831&gt;=3),"Berpotensi",IF(AND(E1831&lt;=3,E1831&gt;=2,F1831&gt;=3),"Rawan",IF(AND(E1831&lt;=2,F1831&lt;=2),"Tidur","Umum"))))))</f>
        <v/>
      </c>
    </row>
    <row r="1832">
      <c r="B1832">
        <f>IF(A1832="","",$B$1-MAXIFS(Donasi!$A$2:$A$20000,Donasi!$B$2:$B$20000,A1832))</f>
        <v/>
      </c>
      <c r="C1832">
        <f>IF(A1832="","",COUNTIF(Donasi!$B$2:$B$20000,A1832))</f>
        <v/>
      </c>
      <c r="D1832">
        <f>IF(A1832="","",SUMIF(Donasi!$B$2:$B$20000,A1832,Donasi!$C$2:$C$20000))</f>
        <v/>
      </c>
      <c r="E1832">
        <f>IF(A1832="","",6-CEILING(PERCENTRANK.INC($B$3:$B$6000,B1832,4)*5+0.000001,1))</f>
        <v/>
      </c>
      <c r="F1832">
        <f>IF(A1832="","",MAX(1,CEILING(PERCENTRANK.INC($C$3:$C$6000,C1832,4)*5+0.000001,1)))</f>
        <v/>
      </c>
      <c r="G1832">
        <f>IF(A1832="","",MAX(1,CEILING(PERCENTRANK.INC($D$3:$D$6000,D1832,4)*5+0.000001,1)))</f>
        <v/>
      </c>
      <c r="H1832">
        <f>IF(A1832="","",E1832&amp;F1832&amp;G1832)</f>
        <v/>
      </c>
      <c r="I1832">
        <f>IF(A1832="","",IF(AND(E1832&gt;=4,F1832&gt;=4,G1832&gt;=4),"Juara",IF(AND(F1832&gt;=4,E1832&gt;=3),"Setia",IF(AND(E1832=5,F1832&lt;=2,G1832&gt;=3),"Berpotensi",IF(AND(E1832&lt;=3,E1832&gt;=2,F1832&gt;=3),"Rawan",IF(AND(E1832&lt;=2,F1832&lt;=2),"Tidur","Umum"))))))</f>
        <v/>
      </c>
    </row>
    <row r="1833">
      <c r="B1833">
        <f>IF(A1833="","",$B$1-MAXIFS(Donasi!$A$2:$A$20000,Donasi!$B$2:$B$20000,A1833))</f>
        <v/>
      </c>
      <c r="C1833">
        <f>IF(A1833="","",COUNTIF(Donasi!$B$2:$B$20000,A1833))</f>
        <v/>
      </c>
      <c r="D1833">
        <f>IF(A1833="","",SUMIF(Donasi!$B$2:$B$20000,A1833,Donasi!$C$2:$C$20000))</f>
        <v/>
      </c>
      <c r="E1833">
        <f>IF(A1833="","",6-CEILING(PERCENTRANK.INC($B$3:$B$6000,B1833,4)*5+0.000001,1))</f>
        <v/>
      </c>
      <c r="F1833">
        <f>IF(A1833="","",MAX(1,CEILING(PERCENTRANK.INC($C$3:$C$6000,C1833,4)*5+0.000001,1)))</f>
        <v/>
      </c>
      <c r="G1833">
        <f>IF(A1833="","",MAX(1,CEILING(PERCENTRANK.INC($D$3:$D$6000,D1833,4)*5+0.000001,1)))</f>
        <v/>
      </c>
      <c r="H1833">
        <f>IF(A1833="","",E1833&amp;F1833&amp;G1833)</f>
        <v/>
      </c>
      <c r="I1833">
        <f>IF(A1833="","",IF(AND(E1833&gt;=4,F1833&gt;=4,G1833&gt;=4),"Juara",IF(AND(F1833&gt;=4,E1833&gt;=3),"Setia",IF(AND(E1833=5,F1833&lt;=2,G1833&gt;=3),"Berpotensi",IF(AND(E1833&lt;=3,E1833&gt;=2,F1833&gt;=3),"Rawan",IF(AND(E1833&lt;=2,F1833&lt;=2),"Tidur","Umum"))))))</f>
        <v/>
      </c>
    </row>
    <row r="1834">
      <c r="B1834">
        <f>IF(A1834="","",$B$1-MAXIFS(Donasi!$A$2:$A$20000,Donasi!$B$2:$B$20000,A1834))</f>
        <v/>
      </c>
      <c r="C1834">
        <f>IF(A1834="","",COUNTIF(Donasi!$B$2:$B$20000,A1834))</f>
        <v/>
      </c>
      <c r="D1834">
        <f>IF(A1834="","",SUMIF(Donasi!$B$2:$B$20000,A1834,Donasi!$C$2:$C$20000))</f>
        <v/>
      </c>
      <c r="E1834">
        <f>IF(A1834="","",6-CEILING(PERCENTRANK.INC($B$3:$B$6000,B1834,4)*5+0.000001,1))</f>
        <v/>
      </c>
      <c r="F1834">
        <f>IF(A1834="","",MAX(1,CEILING(PERCENTRANK.INC($C$3:$C$6000,C1834,4)*5+0.000001,1)))</f>
        <v/>
      </c>
      <c r="G1834">
        <f>IF(A1834="","",MAX(1,CEILING(PERCENTRANK.INC($D$3:$D$6000,D1834,4)*5+0.000001,1)))</f>
        <v/>
      </c>
      <c r="H1834">
        <f>IF(A1834="","",E1834&amp;F1834&amp;G1834)</f>
        <v/>
      </c>
      <c r="I1834">
        <f>IF(A1834="","",IF(AND(E1834&gt;=4,F1834&gt;=4,G1834&gt;=4),"Juara",IF(AND(F1834&gt;=4,E1834&gt;=3),"Setia",IF(AND(E1834=5,F1834&lt;=2,G1834&gt;=3),"Berpotensi",IF(AND(E1834&lt;=3,E1834&gt;=2,F1834&gt;=3),"Rawan",IF(AND(E1834&lt;=2,F1834&lt;=2),"Tidur","Umum"))))))</f>
        <v/>
      </c>
    </row>
    <row r="1835">
      <c r="B1835">
        <f>IF(A1835="","",$B$1-MAXIFS(Donasi!$A$2:$A$20000,Donasi!$B$2:$B$20000,A1835))</f>
        <v/>
      </c>
      <c r="C1835">
        <f>IF(A1835="","",COUNTIF(Donasi!$B$2:$B$20000,A1835))</f>
        <v/>
      </c>
      <c r="D1835">
        <f>IF(A1835="","",SUMIF(Donasi!$B$2:$B$20000,A1835,Donasi!$C$2:$C$20000))</f>
        <v/>
      </c>
      <c r="E1835">
        <f>IF(A1835="","",6-CEILING(PERCENTRANK.INC($B$3:$B$6000,B1835,4)*5+0.000001,1))</f>
        <v/>
      </c>
      <c r="F1835">
        <f>IF(A1835="","",MAX(1,CEILING(PERCENTRANK.INC($C$3:$C$6000,C1835,4)*5+0.000001,1)))</f>
        <v/>
      </c>
      <c r="G1835">
        <f>IF(A1835="","",MAX(1,CEILING(PERCENTRANK.INC($D$3:$D$6000,D1835,4)*5+0.000001,1)))</f>
        <v/>
      </c>
      <c r="H1835">
        <f>IF(A1835="","",E1835&amp;F1835&amp;G1835)</f>
        <v/>
      </c>
      <c r="I1835">
        <f>IF(A1835="","",IF(AND(E1835&gt;=4,F1835&gt;=4,G1835&gt;=4),"Juara",IF(AND(F1835&gt;=4,E1835&gt;=3),"Setia",IF(AND(E1835=5,F1835&lt;=2,G1835&gt;=3),"Berpotensi",IF(AND(E1835&lt;=3,E1835&gt;=2,F1835&gt;=3),"Rawan",IF(AND(E1835&lt;=2,F1835&lt;=2),"Tidur","Umum"))))))</f>
        <v/>
      </c>
    </row>
    <row r="1836">
      <c r="B1836">
        <f>IF(A1836="","",$B$1-MAXIFS(Donasi!$A$2:$A$20000,Donasi!$B$2:$B$20000,A1836))</f>
        <v/>
      </c>
      <c r="C1836">
        <f>IF(A1836="","",COUNTIF(Donasi!$B$2:$B$20000,A1836))</f>
        <v/>
      </c>
      <c r="D1836">
        <f>IF(A1836="","",SUMIF(Donasi!$B$2:$B$20000,A1836,Donasi!$C$2:$C$20000))</f>
        <v/>
      </c>
      <c r="E1836">
        <f>IF(A1836="","",6-CEILING(PERCENTRANK.INC($B$3:$B$6000,B1836,4)*5+0.000001,1))</f>
        <v/>
      </c>
      <c r="F1836">
        <f>IF(A1836="","",MAX(1,CEILING(PERCENTRANK.INC($C$3:$C$6000,C1836,4)*5+0.000001,1)))</f>
        <v/>
      </c>
      <c r="G1836">
        <f>IF(A1836="","",MAX(1,CEILING(PERCENTRANK.INC($D$3:$D$6000,D1836,4)*5+0.000001,1)))</f>
        <v/>
      </c>
      <c r="H1836">
        <f>IF(A1836="","",E1836&amp;F1836&amp;G1836)</f>
        <v/>
      </c>
      <c r="I1836">
        <f>IF(A1836="","",IF(AND(E1836&gt;=4,F1836&gt;=4,G1836&gt;=4),"Juara",IF(AND(F1836&gt;=4,E1836&gt;=3),"Setia",IF(AND(E1836=5,F1836&lt;=2,G1836&gt;=3),"Berpotensi",IF(AND(E1836&lt;=3,E1836&gt;=2,F1836&gt;=3),"Rawan",IF(AND(E1836&lt;=2,F1836&lt;=2),"Tidur","Umum"))))))</f>
        <v/>
      </c>
    </row>
    <row r="1837">
      <c r="B1837">
        <f>IF(A1837="","",$B$1-MAXIFS(Donasi!$A$2:$A$20000,Donasi!$B$2:$B$20000,A1837))</f>
        <v/>
      </c>
      <c r="C1837">
        <f>IF(A1837="","",COUNTIF(Donasi!$B$2:$B$20000,A1837))</f>
        <v/>
      </c>
      <c r="D1837">
        <f>IF(A1837="","",SUMIF(Donasi!$B$2:$B$20000,A1837,Donasi!$C$2:$C$20000))</f>
        <v/>
      </c>
      <c r="E1837">
        <f>IF(A1837="","",6-CEILING(PERCENTRANK.INC($B$3:$B$6000,B1837,4)*5+0.000001,1))</f>
        <v/>
      </c>
      <c r="F1837">
        <f>IF(A1837="","",MAX(1,CEILING(PERCENTRANK.INC($C$3:$C$6000,C1837,4)*5+0.000001,1)))</f>
        <v/>
      </c>
      <c r="G1837">
        <f>IF(A1837="","",MAX(1,CEILING(PERCENTRANK.INC($D$3:$D$6000,D1837,4)*5+0.000001,1)))</f>
        <v/>
      </c>
      <c r="H1837">
        <f>IF(A1837="","",E1837&amp;F1837&amp;G1837)</f>
        <v/>
      </c>
      <c r="I1837">
        <f>IF(A1837="","",IF(AND(E1837&gt;=4,F1837&gt;=4,G1837&gt;=4),"Juara",IF(AND(F1837&gt;=4,E1837&gt;=3),"Setia",IF(AND(E1837=5,F1837&lt;=2,G1837&gt;=3),"Berpotensi",IF(AND(E1837&lt;=3,E1837&gt;=2,F1837&gt;=3),"Rawan",IF(AND(E1837&lt;=2,F1837&lt;=2),"Tidur","Umum"))))))</f>
        <v/>
      </c>
    </row>
    <row r="1838">
      <c r="B1838">
        <f>IF(A1838="","",$B$1-MAXIFS(Donasi!$A$2:$A$20000,Donasi!$B$2:$B$20000,A1838))</f>
        <v/>
      </c>
      <c r="C1838">
        <f>IF(A1838="","",COUNTIF(Donasi!$B$2:$B$20000,A1838))</f>
        <v/>
      </c>
      <c r="D1838">
        <f>IF(A1838="","",SUMIF(Donasi!$B$2:$B$20000,A1838,Donasi!$C$2:$C$20000))</f>
        <v/>
      </c>
      <c r="E1838">
        <f>IF(A1838="","",6-CEILING(PERCENTRANK.INC($B$3:$B$6000,B1838,4)*5+0.000001,1))</f>
        <v/>
      </c>
      <c r="F1838">
        <f>IF(A1838="","",MAX(1,CEILING(PERCENTRANK.INC($C$3:$C$6000,C1838,4)*5+0.000001,1)))</f>
        <v/>
      </c>
      <c r="G1838">
        <f>IF(A1838="","",MAX(1,CEILING(PERCENTRANK.INC($D$3:$D$6000,D1838,4)*5+0.000001,1)))</f>
        <v/>
      </c>
      <c r="H1838">
        <f>IF(A1838="","",E1838&amp;F1838&amp;G1838)</f>
        <v/>
      </c>
      <c r="I1838">
        <f>IF(A1838="","",IF(AND(E1838&gt;=4,F1838&gt;=4,G1838&gt;=4),"Juara",IF(AND(F1838&gt;=4,E1838&gt;=3),"Setia",IF(AND(E1838=5,F1838&lt;=2,G1838&gt;=3),"Berpotensi",IF(AND(E1838&lt;=3,E1838&gt;=2,F1838&gt;=3),"Rawan",IF(AND(E1838&lt;=2,F1838&lt;=2),"Tidur","Umum"))))))</f>
        <v/>
      </c>
    </row>
    <row r="1839">
      <c r="B1839">
        <f>IF(A1839="","",$B$1-MAXIFS(Donasi!$A$2:$A$20000,Donasi!$B$2:$B$20000,A1839))</f>
        <v/>
      </c>
      <c r="C1839">
        <f>IF(A1839="","",COUNTIF(Donasi!$B$2:$B$20000,A1839))</f>
        <v/>
      </c>
      <c r="D1839">
        <f>IF(A1839="","",SUMIF(Donasi!$B$2:$B$20000,A1839,Donasi!$C$2:$C$20000))</f>
        <v/>
      </c>
      <c r="E1839">
        <f>IF(A1839="","",6-CEILING(PERCENTRANK.INC($B$3:$B$6000,B1839,4)*5+0.000001,1))</f>
        <v/>
      </c>
      <c r="F1839">
        <f>IF(A1839="","",MAX(1,CEILING(PERCENTRANK.INC($C$3:$C$6000,C1839,4)*5+0.000001,1)))</f>
        <v/>
      </c>
      <c r="G1839">
        <f>IF(A1839="","",MAX(1,CEILING(PERCENTRANK.INC($D$3:$D$6000,D1839,4)*5+0.000001,1)))</f>
        <v/>
      </c>
      <c r="H1839">
        <f>IF(A1839="","",E1839&amp;F1839&amp;G1839)</f>
        <v/>
      </c>
      <c r="I1839">
        <f>IF(A1839="","",IF(AND(E1839&gt;=4,F1839&gt;=4,G1839&gt;=4),"Juara",IF(AND(F1839&gt;=4,E1839&gt;=3),"Setia",IF(AND(E1839=5,F1839&lt;=2,G1839&gt;=3),"Berpotensi",IF(AND(E1839&lt;=3,E1839&gt;=2,F1839&gt;=3),"Rawan",IF(AND(E1839&lt;=2,F1839&lt;=2),"Tidur","Umum"))))))</f>
        <v/>
      </c>
    </row>
    <row r="1840">
      <c r="B1840">
        <f>IF(A1840="","",$B$1-MAXIFS(Donasi!$A$2:$A$20000,Donasi!$B$2:$B$20000,A1840))</f>
        <v/>
      </c>
      <c r="C1840">
        <f>IF(A1840="","",COUNTIF(Donasi!$B$2:$B$20000,A1840))</f>
        <v/>
      </c>
      <c r="D1840">
        <f>IF(A1840="","",SUMIF(Donasi!$B$2:$B$20000,A1840,Donasi!$C$2:$C$20000))</f>
        <v/>
      </c>
      <c r="E1840">
        <f>IF(A1840="","",6-CEILING(PERCENTRANK.INC($B$3:$B$6000,B1840,4)*5+0.000001,1))</f>
        <v/>
      </c>
      <c r="F1840">
        <f>IF(A1840="","",MAX(1,CEILING(PERCENTRANK.INC($C$3:$C$6000,C1840,4)*5+0.000001,1)))</f>
        <v/>
      </c>
      <c r="G1840">
        <f>IF(A1840="","",MAX(1,CEILING(PERCENTRANK.INC($D$3:$D$6000,D1840,4)*5+0.000001,1)))</f>
        <v/>
      </c>
      <c r="H1840">
        <f>IF(A1840="","",E1840&amp;F1840&amp;G1840)</f>
        <v/>
      </c>
      <c r="I1840">
        <f>IF(A1840="","",IF(AND(E1840&gt;=4,F1840&gt;=4,G1840&gt;=4),"Juara",IF(AND(F1840&gt;=4,E1840&gt;=3),"Setia",IF(AND(E1840=5,F1840&lt;=2,G1840&gt;=3),"Berpotensi",IF(AND(E1840&lt;=3,E1840&gt;=2,F1840&gt;=3),"Rawan",IF(AND(E1840&lt;=2,F1840&lt;=2),"Tidur","Umum"))))))</f>
        <v/>
      </c>
    </row>
    <row r="1841">
      <c r="B1841">
        <f>IF(A1841="","",$B$1-MAXIFS(Donasi!$A$2:$A$20000,Donasi!$B$2:$B$20000,A1841))</f>
        <v/>
      </c>
      <c r="C1841">
        <f>IF(A1841="","",COUNTIF(Donasi!$B$2:$B$20000,A1841))</f>
        <v/>
      </c>
      <c r="D1841">
        <f>IF(A1841="","",SUMIF(Donasi!$B$2:$B$20000,A1841,Donasi!$C$2:$C$20000))</f>
        <v/>
      </c>
      <c r="E1841">
        <f>IF(A1841="","",6-CEILING(PERCENTRANK.INC($B$3:$B$6000,B1841,4)*5+0.000001,1))</f>
        <v/>
      </c>
      <c r="F1841">
        <f>IF(A1841="","",MAX(1,CEILING(PERCENTRANK.INC($C$3:$C$6000,C1841,4)*5+0.000001,1)))</f>
        <v/>
      </c>
      <c r="G1841">
        <f>IF(A1841="","",MAX(1,CEILING(PERCENTRANK.INC($D$3:$D$6000,D1841,4)*5+0.000001,1)))</f>
        <v/>
      </c>
      <c r="H1841">
        <f>IF(A1841="","",E1841&amp;F1841&amp;G1841)</f>
        <v/>
      </c>
      <c r="I1841">
        <f>IF(A1841="","",IF(AND(E1841&gt;=4,F1841&gt;=4,G1841&gt;=4),"Juara",IF(AND(F1841&gt;=4,E1841&gt;=3),"Setia",IF(AND(E1841=5,F1841&lt;=2,G1841&gt;=3),"Berpotensi",IF(AND(E1841&lt;=3,E1841&gt;=2,F1841&gt;=3),"Rawan",IF(AND(E1841&lt;=2,F1841&lt;=2),"Tidur","Umum"))))))</f>
        <v/>
      </c>
    </row>
    <row r="1842">
      <c r="B1842">
        <f>IF(A1842="","",$B$1-MAXIFS(Donasi!$A$2:$A$20000,Donasi!$B$2:$B$20000,A1842))</f>
        <v/>
      </c>
      <c r="C1842">
        <f>IF(A1842="","",COUNTIF(Donasi!$B$2:$B$20000,A1842))</f>
        <v/>
      </c>
      <c r="D1842">
        <f>IF(A1842="","",SUMIF(Donasi!$B$2:$B$20000,A1842,Donasi!$C$2:$C$20000))</f>
        <v/>
      </c>
      <c r="E1842">
        <f>IF(A1842="","",6-CEILING(PERCENTRANK.INC($B$3:$B$6000,B1842,4)*5+0.000001,1))</f>
        <v/>
      </c>
      <c r="F1842">
        <f>IF(A1842="","",MAX(1,CEILING(PERCENTRANK.INC($C$3:$C$6000,C1842,4)*5+0.000001,1)))</f>
        <v/>
      </c>
      <c r="G1842">
        <f>IF(A1842="","",MAX(1,CEILING(PERCENTRANK.INC($D$3:$D$6000,D1842,4)*5+0.000001,1)))</f>
        <v/>
      </c>
      <c r="H1842">
        <f>IF(A1842="","",E1842&amp;F1842&amp;G1842)</f>
        <v/>
      </c>
      <c r="I1842">
        <f>IF(A1842="","",IF(AND(E1842&gt;=4,F1842&gt;=4,G1842&gt;=4),"Juara",IF(AND(F1842&gt;=4,E1842&gt;=3),"Setia",IF(AND(E1842=5,F1842&lt;=2,G1842&gt;=3),"Berpotensi",IF(AND(E1842&lt;=3,E1842&gt;=2,F1842&gt;=3),"Rawan",IF(AND(E1842&lt;=2,F1842&lt;=2),"Tidur","Umum"))))))</f>
        <v/>
      </c>
    </row>
    <row r="1843">
      <c r="B1843">
        <f>IF(A1843="","",$B$1-MAXIFS(Donasi!$A$2:$A$20000,Donasi!$B$2:$B$20000,A1843))</f>
        <v/>
      </c>
      <c r="C1843">
        <f>IF(A1843="","",COUNTIF(Donasi!$B$2:$B$20000,A1843))</f>
        <v/>
      </c>
      <c r="D1843">
        <f>IF(A1843="","",SUMIF(Donasi!$B$2:$B$20000,A1843,Donasi!$C$2:$C$20000))</f>
        <v/>
      </c>
      <c r="E1843">
        <f>IF(A1843="","",6-CEILING(PERCENTRANK.INC($B$3:$B$6000,B1843,4)*5+0.000001,1))</f>
        <v/>
      </c>
      <c r="F1843">
        <f>IF(A1843="","",MAX(1,CEILING(PERCENTRANK.INC($C$3:$C$6000,C1843,4)*5+0.000001,1)))</f>
        <v/>
      </c>
      <c r="G1843">
        <f>IF(A1843="","",MAX(1,CEILING(PERCENTRANK.INC($D$3:$D$6000,D1843,4)*5+0.000001,1)))</f>
        <v/>
      </c>
      <c r="H1843">
        <f>IF(A1843="","",E1843&amp;F1843&amp;G1843)</f>
        <v/>
      </c>
      <c r="I1843">
        <f>IF(A1843="","",IF(AND(E1843&gt;=4,F1843&gt;=4,G1843&gt;=4),"Juara",IF(AND(F1843&gt;=4,E1843&gt;=3),"Setia",IF(AND(E1843=5,F1843&lt;=2,G1843&gt;=3),"Berpotensi",IF(AND(E1843&lt;=3,E1843&gt;=2,F1843&gt;=3),"Rawan",IF(AND(E1843&lt;=2,F1843&lt;=2),"Tidur","Umum"))))))</f>
        <v/>
      </c>
    </row>
    <row r="1844">
      <c r="B1844">
        <f>IF(A1844="","",$B$1-MAXIFS(Donasi!$A$2:$A$20000,Donasi!$B$2:$B$20000,A1844))</f>
        <v/>
      </c>
      <c r="C1844">
        <f>IF(A1844="","",COUNTIF(Donasi!$B$2:$B$20000,A1844))</f>
        <v/>
      </c>
      <c r="D1844">
        <f>IF(A1844="","",SUMIF(Donasi!$B$2:$B$20000,A1844,Donasi!$C$2:$C$20000))</f>
        <v/>
      </c>
      <c r="E1844">
        <f>IF(A1844="","",6-CEILING(PERCENTRANK.INC($B$3:$B$6000,B1844,4)*5+0.000001,1))</f>
        <v/>
      </c>
      <c r="F1844">
        <f>IF(A1844="","",MAX(1,CEILING(PERCENTRANK.INC($C$3:$C$6000,C1844,4)*5+0.000001,1)))</f>
        <v/>
      </c>
      <c r="G1844">
        <f>IF(A1844="","",MAX(1,CEILING(PERCENTRANK.INC($D$3:$D$6000,D1844,4)*5+0.000001,1)))</f>
        <v/>
      </c>
      <c r="H1844">
        <f>IF(A1844="","",E1844&amp;F1844&amp;G1844)</f>
        <v/>
      </c>
      <c r="I1844">
        <f>IF(A1844="","",IF(AND(E1844&gt;=4,F1844&gt;=4,G1844&gt;=4),"Juara",IF(AND(F1844&gt;=4,E1844&gt;=3),"Setia",IF(AND(E1844=5,F1844&lt;=2,G1844&gt;=3),"Berpotensi",IF(AND(E1844&lt;=3,E1844&gt;=2,F1844&gt;=3),"Rawan",IF(AND(E1844&lt;=2,F1844&lt;=2),"Tidur","Umum"))))))</f>
        <v/>
      </c>
    </row>
    <row r="1845">
      <c r="B1845">
        <f>IF(A1845="","",$B$1-MAXIFS(Donasi!$A$2:$A$20000,Donasi!$B$2:$B$20000,A1845))</f>
        <v/>
      </c>
      <c r="C1845">
        <f>IF(A1845="","",COUNTIF(Donasi!$B$2:$B$20000,A1845))</f>
        <v/>
      </c>
      <c r="D1845">
        <f>IF(A1845="","",SUMIF(Donasi!$B$2:$B$20000,A1845,Donasi!$C$2:$C$20000))</f>
        <v/>
      </c>
      <c r="E1845">
        <f>IF(A1845="","",6-CEILING(PERCENTRANK.INC($B$3:$B$6000,B1845,4)*5+0.000001,1))</f>
        <v/>
      </c>
      <c r="F1845">
        <f>IF(A1845="","",MAX(1,CEILING(PERCENTRANK.INC($C$3:$C$6000,C1845,4)*5+0.000001,1)))</f>
        <v/>
      </c>
      <c r="G1845">
        <f>IF(A1845="","",MAX(1,CEILING(PERCENTRANK.INC($D$3:$D$6000,D1845,4)*5+0.000001,1)))</f>
        <v/>
      </c>
      <c r="H1845">
        <f>IF(A1845="","",E1845&amp;F1845&amp;G1845)</f>
        <v/>
      </c>
      <c r="I1845">
        <f>IF(A1845="","",IF(AND(E1845&gt;=4,F1845&gt;=4,G1845&gt;=4),"Juara",IF(AND(F1845&gt;=4,E1845&gt;=3),"Setia",IF(AND(E1845=5,F1845&lt;=2,G1845&gt;=3),"Berpotensi",IF(AND(E1845&lt;=3,E1845&gt;=2,F1845&gt;=3),"Rawan",IF(AND(E1845&lt;=2,F1845&lt;=2),"Tidur","Umum"))))))</f>
        <v/>
      </c>
    </row>
    <row r="1846">
      <c r="B1846">
        <f>IF(A1846="","",$B$1-MAXIFS(Donasi!$A$2:$A$20000,Donasi!$B$2:$B$20000,A1846))</f>
        <v/>
      </c>
      <c r="C1846">
        <f>IF(A1846="","",COUNTIF(Donasi!$B$2:$B$20000,A1846))</f>
        <v/>
      </c>
      <c r="D1846">
        <f>IF(A1846="","",SUMIF(Donasi!$B$2:$B$20000,A1846,Donasi!$C$2:$C$20000))</f>
        <v/>
      </c>
      <c r="E1846">
        <f>IF(A1846="","",6-CEILING(PERCENTRANK.INC($B$3:$B$6000,B1846,4)*5+0.000001,1))</f>
        <v/>
      </c>
      <c r="F1846">
        <f>IF(A1846="","",MAX(1,CEILING(PERCENTRANK.INC($C$3:$C$6000,C1846,4)*5+0.000001,1)))</f>
        <v/>
      </c>
      <c r="G1846">
        <f>IF(A1846="","",MAX(1,CEILING(PERCENTRANK.INC($D$3:$D$6000,D1846,4)*5+0.000001,1)))</f>
        <v/>
      </c>
      <c r="H1846">
        <f>IF(A1846="","",E1846&amp;F1846&amp;G1846)</f>
        <v/>
      </c>
      <c r="I1846">
        <f>IF(A1846="","",IF(AND(E1846&gt;=4,F1846&gt;=4,G1846&gt;=4),"Juara",IF(AND(F1846&gt;=4,E1846&gt;=3),"Setia",IF(AND(E1846=5,F1846&lt;=2,G1846&gt;=3),"Berpotensi",IF(AND(E1846&lt;=3,E1846&gt;=2,F1846&gt;=3),"Rawan",IF(AND(E1846&lt;=2,F1846&lt;=2),"Tidur","Umum"))))))</f>
        <v/>
      </c>
    </row>
    <row r="1847">
      <c r="B1847">
        <f>IF(A1847="","",$B$1-MAXIFS(Donasi!$A$2:$A$20000,Donasi!$B$2:$B$20000,A1847))</f>
        <v/>
      </c>
      <c r="C1847">
        <f>IF(A1847="","",COUNTIF(Donasi!$B$2:$B$20000,A1847))</f>
        <v/>
      </c>
      <c r="D1847">
        <f>IF(A1847="","",SUMIF(Donasi!$B$2:$B$20000,A1847,Donasi!$C$2:$C$20000))</f>
        <v/>
      </c>
      <c r="E1847">
        <f>IF(A1847="","",6-CEILING(PERCENTRANK.INC($B$3:$B$6000,B1847,4)*5+0.000001,1))</f>
        <v/>
      </c>
      <c r="F1847">
        <f>IF(A1847="","",MAX(1,CEILING(PERCENTRANK.INC($C$3:$C$6000,C1847,4)*5+0.000001,1)))</f>
        <v/>
      </c>
      <c r="G1847">
        <f>IF(A1847="","",MAX(1,CEILING(PERCENTRANK.INC($D$3:$D$6000,D1847,4)*5+0.000001,1)))</f>
        <v/>
      </c>
      <c r="H1847">
        <f>IF(A1847="","",E1847&amp;F1847&amp;G1847)</f>
        <v/>
      </c>
      <c r="I1847">
        <f>IF(A1847="","",IF(AND(E1847&gt;=4,F1847&gt;=4,G1847&gt;=4),"Juara",IF(AND(F1847&gt;=4,E1847&gt;=3),"Setia",IF(AND(E1847=5,F1847&lt;=2,G1847&gt;=3),"Berpotensi",IF(AND(E1847&lt;=3,E1847&gt;=2,F1847&gt;=3),"Rawan",IF(AND(E1847&lt;=2,F1847&lt;=2),"Tidur","Umum"))))))</f>
        <v/>
      </c>
    </row>
    <row r="1848">
      <c r="B1848">
        <f>IF(A1848="","",$B$1-MAXIFS(Donasi!$A$2:$A$20000,Donasi!$B$2:$B$20000,A1848))</f>
        <v/>
      </c>
      <c r="C1848">
        <f>IF(A1848="","",COUNTIF(Donasi!$B$2:$B$20000,A1848))</f>
        <v/>
      </c>
      <c r="D1848">
        <f>IF(A1848="","",SUMIF(Donasi!$B$2:$B$20000,A1848,Donasi!$C$2:$C$20000))</f>
        <v/>
      </c>
      <c r="E1848">
        <f>IF(A1848="","",6-CEILING(PERCENTRANK.INC($B$3:$B$6000,B1848,4)*5+0.000001,1))</f>
        <v/>
      </c>
      <c r="F1848">
        <f>IF(A1848="","",MAX(1,CEILING(PERCENTRANK.INC($C$3:$C$6000,C1848,4)*5+0.000001,1)))</f>
        <v/>
      </c>
      <c r="G1848">
        <f>IF(A1848="","",MAX(1,CEILING(PERCENTRANK.INC($D$3:$D$6000,D1848,4)*5+0.000001,1)))</f>
        <v/>
      </c>
      <c r="H1848">
        <f>IF(A1848="","",E1848&amp;F1848&amp;G1848)</f>
        <v/>
      </c>
      <c r="I1848">
        <f>IF(A1848="","",IF(AND(E1848&gt;=4,F1848&gt;=4,G1848&gt;=4),"Juara",IF(AND(F1848&gt;=4,E1848&gt;=3),"Setia",IF(AND(E1848=5,F1848&lt;=2,G1848&gt;=3),"Berpotensi",IF(AND(E1848&lt;=3,E1848&gt;=2,F1848&gt;=3),"Rawan",IF(AND(E1848&lt;=2,F1848&lt;=2),"Tidur","Umum"))))))</f>
        <v/>
      </c>
    </row>
    <row r="1849">
      <c r="B1849">
        <f>IF(A1849="","",$B$1-MAXIFS(Donasi!$A$2:$A$20000,Donasi!$B$2:$B$20000,A1849))</f>
        <v/>
      </c>
      <c r="C1849">
        <f>IF(A1849="","",COUNTIF(Donasi!$B$2:$B$20000,A1849))</f>
        <v/>
      </c>
      <c r="D1849">
        <f>IF(A1849="","",SUMIF(Donasi!$B$2:$B$20000,A1849,Donasi!$C$2:$C$20000))</f>
        <v/>
      </c>
      <c r="E1849">
        <f>IF(A1849="","",6-CEILING(PERCENTRANK.INC($B$3:$B$6000,B1849,4)*5+0.000001,1))</f>
        <v/>
      </c>
      <c r="F1849">
        <f>IF(A1849="","",MAX(1,CEILING(PERCENTRANK.INC($C$3:$C$6000,C1849,4)*5+0.000001,1)))</f>
        <v/>
      </c>
      <c r="G1849">
        <f>IF(A1849="","",MAX(1,CEILING(PERCENTRANK.INC($D$3:$D$6000,D1849,4)*5+0.000001,1)))</f>
        <v/>
      </c>
      <c r="H1849">
        <f>IF(A1849="","",E1849&amp;F1849&amp;G1849)</f>
        <v/>
      </c>
      <c r="I1849">
        <f>IF(A1849="","",IF(AND(E1849&gt;=4,F1849&gt;=4,G1849&gt;=4),"Juara",IF(AND(F1849&gt;=4,E1849&gt;=3),"Setia",IF(AND(E1849=5,F1849&lt;=2,G1849&gt;=3),"Berpotensi",IF(AND(E1849&lt;=3,E1849&gt;=2,F1849&gt;=3),"Rawan",IF(AND(E1849&lt;=2,F1849&lt;=2),"Tidur","Umum"))))))</f>
        <v/>
      </c>
    </row>
    <row r="1850">
      <c r="B1850">
        <f>IF(A1850="","",$B$1-MAXIFS(Donasi!$A$2:$A$20000,Donasi!$B$2:$B$20000,A1850))</f>
        <v/>
      </c>
      <c r="C1850">
        <f>IF(A1850="","",COUNTIF(Donasi!$B$2:$B$20000,A1850))</f>
        <v/>
      </c>
      <c r="D1850">
        <f>IF(A1850="","",SUMIF(Donasi!$B$2:$B$20000,A1850,Donasi!$C$2:$C$20000))</f>
        <v/>
      </c>
      <c r="E1850">
        <f>IF(A1850="","",6-CEILING(PERCENTRANK.INC($B$3:$B$6000,B1850,4)*5+0.000001,1))</f>
        <v/>
      </c>
      <c r="F1850">
        <f>IF(A1850="","",MAX(1,CEILING(PERCENTRANK.INC($C$3:$C$6000,C1850,4)*5+0.000001,1)))</f>
        <v/>
      </c>
      <c r="G1850">
        <f>IF(A1850="","",MAX(1,CEILING(PERCENTRANK.INC($D$3:$D$6000,D1850,4)*5+0.000001,1)))</f>
        <v/>
      </c>
      <c r="H1850">
        <f>IF(A1850="","",E1850&amp;F1850&amp;G1850)</f>
        <v/>
      </c>
      <c r="I1850">
        <f>IF(A1850="","",IF(AND(E1850&gt;=4,F1850&gt;=4,G1850&gt;=4),"Juara",IF(AND(F1850&gt;=4,E1850&gt;=3),"Setia",IF(AND(E1850=5,F1850&lt;=2,G1850&gt;=3),"Berpotensi",IF(AND(E1850&lt;=3,E1850&gt;=2,F1850&gt;=3),"Rawan",IF(AND(E1850&lt;=2,F1850&lt;=2),"Tidur","Umum"))))))</f>
        <v/>
      </c>
    </row>
    <row r="1851">
      <c r="B1851">
        <f>IF(A1851="","",$B$1-MAXIFS(Donasi!$A$2:$A$20000,Donasi!$B$2:$B$20000,A1851))</f>
        <v/>
      </c>
      <c r="C1851">
        <f>IF(A1851="","",COUNTIF(Donasi!$B$2:$B$20000,A1851))</f>
        <v/>
      </c>
      <c r="D1851">
        <f>IF(A1851="","",SUMIF(Donasi!$B$2:$B$20000,A1851,Donasi!$C$2:$C$20000))</f>
        <v/>
      </c>
      <c r="E1851">
        <f>IF(A1851="","",6-CEILING(PERCENTRANK.INC($B$3:$B$6000,B1851,4)*5+0.000001,1))</f>
        <v/>
      </c>
      <c r="F1851">
        <f>IF(A1851="","",MAX(1,CEILING(PERCENTRANK.INC($C$3:$C$6000,C1851,4)*5+0.000001,1)))</f>
        <v/>
      </c>
      <c r="G1851">
        <f>IF(A1851="","",MAX(1,CEILING(PERCENTRANK.INC($D$3:$D$6000,D1851,4)*5+0.000001,1)))</f>
        <v/>
      </c>
      <c r="H1851">
        <f>IF(A1851="","",E1851&amp;F1851&amp;G1851)</f>
        <v/>
      </c>
      <c r="I1851">
        <f>IF(A1851="","",IF(AND(E1851&gt;=4,F1851&gt;=4,G1851&gt;=4),"Juara",IF(AND(F1851&gt;=4,E1851&gt;=3),"Setia",IF(AND(E1851=5,F1851&lt;=2,G1851&gt;=3),"Berpotensi",IF(AND(E1851&lt;=3,E1851&gt;=2,F1851&gt;=3),"Rawan",IF(AND(E1851&lt;=2,F1851&lt;=2),"Tidur","Umum"))))))</f>
        <v/>
      </c>
    </row>
    <row r="1852">
      <c r="B1852">
        <f>IF(A1852="","",$B$1-MAXIFS(Donasi!$A$2:$A$20000,Donasi!$B$2:$B$20000,A1852))</f>
        <v/>
      </c>
      <c r="C1852">
        <f>IF(A1852="","",COUNTIF(Donasi!$B$2:$B$20000,A1852))</f>
        <v/>
      </c>
      <c r="D1852">
        <f>IF(A1852="","",SUMIF(Donasi!$B$2:$B$20000,A1852,Donasi!$C$2:$C$20000))</f>
        <v/>
      </c>
      <c r="E1852">
        <f>IF(A1852="","",6-CEILING(PERCENTRANK.INC($B$3:$B$6000,B1852,4)*5+0.000001,1))</f>
        <v/>
      </c>
      <c r="F1852">
        <f>IF(A1852="","",MAX(1,CEILING(PERCENTRANK.INC($C$3:$C$6000,C1852,4)*5+0.000001,1)))</f>
        <v/>
      </c>
      <c r="G1852">
        <f>IF(A1852="","",MAX(1,CEILING(PERCENTRANK.INC($D$3:$D$6000,D1852,4)*5+0.000001,1)))</f>
        <v/>
      </c>
      <c r="H1852">
        <f>IF(A1852="","",E1852&amp;F1852&amp;G1852)</f>
        <v/>
      </c>
      <c r="I1852">
        <f>IF(A1852="","",IF(AND(E1852&gt;=4,F1852&gt;=4,G1852&gt;=4),"Juara",IF(AND(F1852&gt;=4,E1852&gt;=3),"Setia",IF(AND(E1852=5,F1852&lt;=2,G1852&gt;=3),"Berpotensi",IF(AND(E1852&lt;=3,E1852&gt;=2,F1852&gt;=3),"Rawan",IF(AND(E1852&lt;=2,F1852&lt;=2),"Tidur","Umum"))))))</f>
        <v/>
      </c>
    </row>
    <row r="1853">
      <c r="B1853">
        <f>IF(A1853="","",$B$1-MAXIFS(Donasi!$A$2:$A$20000,Donasi!$B$2:$B$20000,A1853))</f>
        <v/>
      </c>
      <c r="C1853">
        <f>IF(A1853="","",COUNTIF(Donasi!$B$2:$B$20000,A1853))</f>
        <v/>
      </c>
      <c r="D1853">
        <f>IF(A1853="","",SUMIF(Donasi!$B$2:$B$20000,A1853,Donasi!$C$2:$C$20000))</f>
        <v/>
      </c>
      <c r="E1853">
        <f>IF(A1853="","",6-CEILING(PERCENTRANK.INC($B$3:$B$6000,B1853,4)*5+0.000001,1))</f>
        <v/>
      </c>
      <c r="F1853">
        <f>IF(A1853="","",MAX(1,CEILING(PERCENTRANK.INC($C$3:$C$6000,C1853,4)*5+0.000001,1)))</f>
        <v/>
      </c>
      <c r="G1853">
        <f>IF(A1853="","",MAX(1,CEILING(PERCENTRANK.INC($D$3:$D$6000,D1853,4)*5+0.000001,1)))</f>
        <v/>
      </c>
      <c r="H1853">
        <f>IF(A1853="","",E1853&amp;F1853&amp;G1853)</f>
        <v/>
      </c>
      <c r="I1853">
        <f>IF(A1853="","",IF(AND(E1853&gt;=4,F1853&gt;=4,G1853&gt;=4),"Juara",IF(AND(F1853&gt;=4,E1853&gt;=3),"Setia",IF(AND(E1853=5,F1853&lt;=2,G1853&gt;=3),"Berpotensi",IF(AND(E1853&lt;=3,E1853&gt;=2,F1853&gt;=3),"Rawan",IF(AND(E1853&lt;=2,F1853&lt;=2),"Tidur","Umum"))))))</f>
        <v/>
      </c>
    </row>
    <row r="1854">
      <c r="B1854">
        <f>IF(A1854="","",$B$1-MAXIFS(Donasi!$A$2:$A$20000,Donasi!$B$2:$B$20000,A1854))</f>
        <v/>
      </c>
      <c r="C1854">
        <f>IF(A1854="","",COUNTIF(Donasi!$B$2:$B$20000,A1854))</f>
        <v/>
      </c>
      <c r="D1854">
        <f>IF(A1854="","",SUMIF(Donasi!$B$2:$B$20000,A1854,Donasi!$C$2:$C$20000))</f>
        <v/>
      </c>
      <c r="E1854">
        <f>IF(A1854="","",6-CEILING(PERCENTRANK.INC($B$3:$B$6000,B1854,4)*5+0.000001,1))</f>
        <v/>
      </c>
      <c r="F1854">
        <f>IF(A1854="","",MAX(1,CEILING(PERCENTRANK.INC($C$3:$C$6000,C1854,4)*5+0.000001,1)))</f>
        <v/>
      </c>
      <c r="G1854">
        <f>IF(A1854="","",MAX(1,CEILING(PERCENTRANK.INC($D$3:$D$6000,D1854,4)*5+0.000001,1)))</f>
        <v/>
      </c>
      <c r="H1854">
        <f>IF(A1854="","",E1854&amp;F1854&amp;G1854)</f>
        <v/>
      </c>
      <c r="I1854">
        <f>IF(A1854="","",IF(AND(E1854&gt;=4,F1854&gt;=4,G1854&gt;=4),"Juara",IF(AND(F1854&gt;=4,E1854&gt;=3),"Setia",IF(AND(E1854=5,F1854&lt;=2,G1854&gt;=3),"Berpotensi",IF(AND(E1854&lt;=3,E1854&gt;=2,F1854&gt;=3),"Rawan",IF(AND(E1854&lt;=2,F1854&lt;=2),"Tidur","Umum"))))))</f>
        <v/>
      </c>
    </row>
    <row r="1855">
      <c r="B1855">
        <f>IF(A1855="","",$B$1-MAXIFS(Donasi!$A$2:$A$20000,Donasi!$B$2:$B$20000,A1855))</f>
        <v/>
      </c>
      <c r="C1855">
        <f>IF(A1855="","",COUNTIF(Donasi!$B$2:$B$20000,A1855))</f>
        <v/>
      </c>
      <c r="D1855">
        <f>IF(A1855="","",SUMIF(Donasi!$B$2:$B$20000,A1855,Donasi!$C$2:$C$20000))</f>
        <v/>
      </c>
      <c r="E1855">
        <f>IF(A1855="","",6-CEILING(PERCENTRANK.INC($B$3:$B$6000,B1855,4)*5+0.000001,1))</f>
        <v/>
      </c>
      <c r="F1855">
        <f>IF(A1855="","",MAX(1,CEILING(PERCENTRANK.INC($C$3:$C$6000,C1855,4)*5+0.000001,1)))</f>
        <v/>
      </c>
      <c r="G1855">
        <f>IF(A1855="","",MAX(1,CEILING(PERCENTRANK.INC($D$3:$D$6000,D1855,4)*5+0.000001,1)))</f>
        <v/>
      </c>
      <c r="H1855">
        <f>IF(A1855="","",E1855&amp;F1855&amp;G1855)</f>
        <v/>
      </c>
      <c r="I1855">
        <f>IF(A1855="","",IF(AND(E1855&gt;=4,F1855&gt;=4,G1855&gt;=4),"Juara",IF(AND(F1855&gt;=4,E1855&gt;=3),"Setia",IF(AND(E1855=5,F1855&lt;=2,G1855&gt;=3),"Berpotensi",IF(AND(E1855&lt;=3,E1855&gt;=2,F1855&gt;=3),"Rawan",IF(AND(E1855&lt;=2,F1855&lt;=2),"Tidur","Umum"))))))</f>
        <v/>
      </c>
    </row>
    <row r="1856">
      <c r="B1856">
        <f>IF(A1856="","",$B$1-MAXIFS(Donasi!$A$2:$A$20000,Donasi!$B$2:$B$20000,A1856))</f>
        <v/>
      </c>
      <c r="C1856">
        <f>IF(A1856="","",COUNTIF(Donasi!$B$2:$B$20000,A1856))</f>
        <v/>
      </c>
      <c r="D1856">
        <f>IF(A1856="","",SUMIF(Donasi!$B$2:$B$20000,A1856,Donasi!$C$2:$C$20000))</f>
        <v/>
      </c>
      <c r="E1856">
        <f>IF(A1856="","",6-CEILING(PERCENTRANK.INC($B$3:$B$6000,B1856,4)*5+0.000001,1))</f>
        <v/>
      </c>
      <c r="F1856">
        <f>IF(A1856="","",MAX(1,CEILING(PERCENTRANK.INC($C$3:$C$6000,C1856,4)*5+0.000001,1)))</f>
        <v/>
      </c>
      <c r="G1856">
        <f>IF(A1856="","",MAX(1,CEILING(PERCENTRANK.INC($D$3:$D$6000,D1856,4)*5+0.000001,1)))</f>
        <v/>
      </c>
      <c r="H1856">
        <f>IF(A1856="","",E1856&amp;F1856&amp;G1856)</f>
        <v/>
      </c>
      <c r="I1856">
        <f>IF(A1856="","",IF(AND(E1856&gt;=4,F1856&gt;=4,G1856&gt;=4),"Juara",IF(AND(F1856&gt;=4,E1856&gt;=3),"Setia",IF(AND(E1856=5,F1856&lt;=2,G1856&gt;=3),"Berpotensi",IF(AND(E1856&lt;=3,E1856&gt;=2,F1856&gt;=3),"Rawan",IF(AND(E1856&lt;=2,F1856&lt;=2),"Tidur","Umum"))))))</f>
        <v/>
      </c>
    </row>
    <row r="1857">
      <c r="B1857">
        <f>IF(A1857="","",$B$1-MAXIFS(Donasi!$A$2:$A$20000,Donasi!$B$2:$B$20000,A1857))</f>
        <v/>
      </c>
      <c r="C1857">
        <f>IF(A1857="","",COUNTIF(Donasi!$B$2:$B$20000,A1857))</f>
        <v/>
      </c>
      <c r="D1857">
        <f>IF(A1857="","",SUMIF(Donasi!$B$2:$B$20000,A1857,Donasi!$C$2:$C$20000))</f>
        <v/>
      </c>
      <c r="E1857">
        <f>IF(A1857="","",6-CEILING(PERCENTRANK.INC($B$3:$B$6000,B1857,4)*5+0.000001,1))</f>
        <v/>
      </c>
      <c r="F1857">
        <f>IF(A1857="","",MAX(1,CEILING(PERCENTRANK.INC($C$3:$C$6000,C1857,4)*5+0.000001,1)))</f>
        <v/>
      </c>
      <c r="G1857">
        <f>IF(A1857="","",MAX(1,CEILING(PERCENTRANK.INC($D$3:$D$6000,D1857,4)*5+0.000001,1)))</f>
        <v/>
      </c>
      <c r="H1857">
        <f>IF(A1857="","",E1857&amp;F1857&amp;G1857)</f>
        <v/>
      </c>
      <c r="I1857">
        <f>IF(A1857="","",IF(AND(E1857&gt;=4,F1857&gt;=4,G1857&gt;=4),"Juara",IF(AND(F1857&gt;=4,E1857&gt;=3),"Setia",IF(AND(E1857=5,F1857&lt;=2,G1857&gt;=3),"Berpotensi",IF(AND(E1857&lt;=3,E1857&gt;=2,F1857&gt;=3),"Rawan",IF(AND(E1857&lt;=2,F1857&lt;=2),"Tidur","Umum"))))))</f>
        <v/>
      </c>
    </row>
    <row r="1858">
      <c r="B1858">
        <f>IF(A1858="","",$B$1-MAXIFS(Donasi!$A$2:$A$20000,Donasi!$B$2:$B$20000,A1858))</f>
        <v/>
      </c>
      <c r="C1858">
        <f>IF(A1858="","",COUNTIF(Donasi!$B$2:$B$20000,A1858))</f>
        <v/>
      </c>
      <c r="D1858">
        <f>IF(A1858="","",SUMIF(Donasi!$B$2:$B$20000,A1858,Donasi!$C$2:$C$20000))</f>
        <v/>
      </c>
      <c r="E1858">
        <f>IF(A1858="","",6-CEILING(PERCENTRANK.INC($B$3:$B$6000,B1858,4)*5+0.000001,1))</f>
        <v/>
      </c>
      <c r="F1858">
        <f>IF(A1858="","",MAX(1,CEILING(PERCENTRANK.INC($C$3:$C$6000,C1858,4)*5+0.000001,1)))</f>
        <v/>
      </c>
      <c r="G1858">
        <f>IF(A1858="","",MAX(1,CEILING(PERCENTRANK.INC($D$3:$D$6000,D1858,4)*5+0.000001,1)))</f>
        <v/>
      </c>
      <c r="H1858">
        <f>IF(A1858="","",E1858&amp;F1858&amp;G1858)</f>
        <v/>
      </c>
      <c r="I1858">
        <f>IF(A1858="","",IF(AND(E1858&gt;=4,F1858&gt;=4,G1858&gt;=4),"Juara",IF(AND(F1858&gt;=4,E1858&gt;=3),"Setia",IF(AND(E1858=5,F1858&lt;=2,G1858&gt;=3),"Berpotensi",IF(AND(E1858&lt;=3,E1858&gt;=2,F1858&gt;=3),"Rawan",IF(AND(E1858&lt;=2,F1858&lt;=2),"Tidur","Umum"))))))</f>
        <v/>
      </c>
    </row>
    <row r="1859">
      <c r="B1859">
        <f>IF(A1859="","",$B$1-MAXIFS(Donasi!$A$2:$A$20000,Donasi!$B$2:$B$20000,A1859))</f>
        <v/>
      </c>
      <c r="C1859">
        <f>IF(A1859="","",COUNTIF(Donasi!$B$2:$B$20000,A1859))</f>
        <v/>
      </c>
      <c r="D1859">
        <f>IF(A1859="","",SUMIF(Donasi!$B$2:$B$20000,A1859,Donasi!$C$2:$C$20000))</f>
        <v/>
      </c>
      <c r="E1859">
        <f>IF(A1859="","",6-CEILING(PERCENTRANK.INC($B$3:$B$6000,B1859,4)*5+0.000001,1))</f>
        <v/>
      </c>
      <c r="F1859">
        <f>IF(A1859="","",MAX(1,CEILING(PERCENTRANK.INC($C$3:$C$6000,C1859,4)*5+0.000001,1)))</f>
        <v/>
      </c>
      <c r="G1859">
        <f>IF(A1859="","",MAX(1,CEILING(PERCENTRANK.INC($D$3:$D$6000,D1859,4)*5+0.000001,1)))</f>
        <v/>
      </c>
      <c r="H1859">
        <f>IF(A1859="","",E1859&amp;F1859&amp;G1859)</f>
        <v/>
      </c>
      <c r="I1859">
        <f>IF(A1859="","",IF(AND(E1859&gt;=4,F1859&gt;=4,G1859&gt;=4),"Juara",IF(AND(F1859&gt;=4,E1859&gt;=3),"Setia",IF(AND(E1859=5,F1859&lt;=2,G1859&gt;=3),"Berpotensi",IF(AND(E1859&lt;=3,E1859&gt;=2,F1859&gt;=3),"Rawan",IF(AND(E1859&lt;=2,F1859&lt;=2),"Tidur","Umum"))))))</f>
        <v/>
      </c>
    </row>
    <row r="1860">
      <c r="B1860">
        <f>IF(A1860="","",$B$1-MAXIFS(Donasi!$A$2:$A$20000,Donasi!$B$2:$B$20000,A1860))</f>
        <v/>
      </c>
      <c r="C1860">
        <f>IF(A1860="","",COUNTIF(Donasi!$B$2:$B$20000,A1860))</f>
        <v/>
      </c>
      <c r="D1860">
        <f>IF(A1860="","",SUMIF(Donasi!$B$2:$B$20000,A1860,Donasi!$C$2:$C$20000))</f>
        <v/>
      </c>
      <c r="E1860">
        <f>IF(A1860="","",6-CEILING(PERCENTRANK.INC($B$3:$B$6000,B1860,4)*5+0.000001,1))</f>
        <v/>
      </c>
      <c r="F1860">
        <f>IF(A1860="","",MAX(1,CEILING(PERCENTRANK.INC($C$3:$C$6000,C1860,4)*5+0.000001,1)))</f>
        <v/>
      </c>
      <c r="G1860">
        <f>IF(A1860="","",MAX(1,CEILING(PERCENTRANK.INC($D$3:$D$6000,D1860,4)*5+0.000001,1)))</f>
        <v/>
      </c>
      <c r="H1860">
        <f>IF(A1860="","",E1860&amp;F1860&amp;G1860)</f>
        <v/>
      </c>
      <c r="I1860">
        <f>IF(A1860="","",IF(AND(E1860&gt;=4,F1860&gt;=4,G1860&gt;=4),"Juara",IF(AND(F1860&gt;=4,E1860&gt;=3),"Setia",IF(AND(E1860=5,F1860&lt;=2,G1860&gt;=3),"Berpotensi",IF(AND(E1860&lt;=3,E1860&gt;=2,F1860&gt;=3),"Rawan",IF(AND(E1860&lt;=2,F1860&lt;=2),"Tidur","Umum"))))))</f>
        <v/>
      </c>
    </row>
    <row r="1861">
      <c r="B1861">
        <f>IF(A1861="","",$B$1-MAXIFS(Donasi!$A$2:$A$20000,Donasi!$B$2:$B$20000,A1861))</f>
        <v/>
      </c>
      <c r="C1861">
        <f>IF(A1861="","",COUNTIF(Donasi!$B$2:$B$20000,A1861))</f>
        <v/>
      </c>
      <c r="D1861">
        <f>IF(A1861="","",SUMIF(Donasi!$B$2:$B$20000,A1861,Donasi!$C$2:$C$20000))</f>
        <v/>
      </c>
      <c r="E1861">
        <f>IF(A1861="","",6-CEILING(PERCENTRANK.INC($B$3:$B$6000,B1861,4)*5+0.000001,1))</f>
        <v/>
      </c>
      <c r="F1861">
        <f>IF(A1861="","",MAX(1,CEILING(PERCENTRANK.INC($C$3:$C$6000,C1861,4)*5+0.000001,1)))</f>
        <v/>
      </c>
      <c r="G1861">
        <f>IF(A1861="","",MAX(1,CEILING(PERCENTRANK.INC($D$3:$D$6000,D1861,4)*5+0.000001,1)))</f>
        <v/>
      </c>
      <c r="H1861">
        <f>IF(A1861="","",E1861&amp;F1861&amp;G1861)</f>
        <v/>
      </c>
      <c r="I1861">
        <f>IF(A1861="","",IF(AND(E1861&gt;=4,F1861&gt;=4,G1861&gt;=4),"Juara",IF(AND(F1861&gt;=4,E1861&gt;=3),"Setia",IF(AND(E1861=5,F1861&lt;=2,G1861&gt;=3),"Berpotensi",IF(AND(E1861&lt;=3,E1861&gt;=2,F1861&gt;=3),"Rawan",IF(AND(E1861&lt;=2,F1861&lt;=2),"Tidur","Umum"))))))</f>
        <v/>
      </c>
    </row>
    <row r="1862">
      <c r="B1862">
        <f>IF(A1862="","",$B$1-MAXIFS(Donasi!$A$2:$A$20000,Donasi!$B$2:$B$20000,A1862))</f>
        <v/>
      </c>
      <c r="C1862">
        <f>IF(A1862="","",COUNTIF(Donasi!$B$2:$B$20000,A1862))</f>
        <v/>
      </c>
      <c r="D1862">
        <f>IF(A1862="","",SUMIF(Donasi!$B$2:$B$20000,A1862,Donasi!$C$2:$C$20000))</f>
        <v/>
      </c>
      <c r="E1862">
        <f>IF(A1862="","",6-CEILING(PERCENTRANK.INC($B$3:$B$6000,B1862,4)*5+0.000001,1))</f>
        <v/>
      </c>
      <c r="F1862">
        <f>IF(A1862="","",MAX(1,CEILING(PERCENTRANK.INC($C$3:$C$6000,C1862,4)*5+0.000001,1)))</f>
        <v/>
      </c>
      <c r="G1862">
        <f>IF(A1862="","",MAX(1,CEILING(PERCENTRANK.INC($D$3:$D$6000,D1862,4)*5+0.000001,1)))</f>
        <v/>
      </c>
      <c r="H1862">
        <f>IF(A1862="","",E1862&amp;F1862&amp;G1862)</f>
        <v/>
      </c>
      <c r="I1862">
        <f>IF(A1862="","",IF(AND(E1862&gt;=4,F1862&gt;=4,G1862&gt;=4),"Juara",IF(AND(F1862&gt;=4,E1862&gt;=3),"Setia",IF(AND(E1862=5,F1862&lt;=2,G1862&gt;=3),"Berpotensi",IF(AND(E1862&lt;=3,E1862&gt;=2,F1862&gt;=3),"Rawan",IF(AND(E1862&lt;=2,F1862&lt;=2),"Tidur","Umum"))))))</f>
        <v/>
      </c>
    </row>
    <row r="1863">
      <c r="B1863">
        <f>IF(A1863="","",$B$1-MAXIFS(Donasi!$A$2:$A$20000,Donasi!$B$2:$B$20000,A1863))</f>
        <v/>
      </c>
      <c r="C1863">
        <f>IF(A1863="","",COUNTIF(Donasi!$B$2:$B$20000,A1863))</f>
        <v/>
      </c>
      <c r="D1863">
        <f>IF(A1863="","",SUMIF(Donasi!$B$2:$B$20000,A1863,Donasi!$C$2:$C$20000))</f>
        <v/>
      </c>
      <c r="E1863">
        <f>IF(A1863="","",6-CEILING(PERCENTRANK.INC($B$3:$B$6000,B1863,4)*5+0.000001,1))</f>
        <v/>
      </c>
      <c r="F1863">
        <f>IF(A1863="","",MAX(1,CEILING(PERCENTRANK.INC($C$3:$C$6000,C1863,4)*5+0.000001,1)))</f>
        <v/>
      </c>
      <c r="G1863">
        <f>IF(A1863="","",MAX(1,CEILING(PERCENTRANK.INC($D$3:$D$6000,D1863,4)*5+0.000001,1)))</f>
        <v/>
      </c>
      <c r="H1863">
        <f>IF(A1863="","",E1863&amp;F1863&amp;G1863)</f>
        <v/>
      </c>
      <c r="I1863">
        <f>IF(A1863="","",IF(AND(E1863&gt;=4,F1863&gt;=4,G1863&gt;=4),"Juara",IF(AND(F1863&gt;=4,E1863&gt;=3),"Setia",IF(AND(E1863=5,F1863&lt;=2,G1863&gt;=3),"Berpotensi",IF(AND(E1863&lt;=3,E1863&gt;=2,F1863&gt;=3),"Rawan",IF(AND(E1863&lt;=2,F1863&lt;=2),"Tidur","Umum"))))))</f>
        <v/>
      </c>
    </row>
    <row r="1864">
      <c r="B1864">
        <f>IF(A1864="","",$B$1-MAXIFS(Donasi!$A$2:$A$20000,Donasi!$B$2:$B$20000,A1864))</f>
        <v/>
      </c>
      <c r="C1864">
        <f>IF(A1864="","",COUNTIF(Donasi!$B$2:$B$20000,A1864))</f>
        <v/>
      </c>
      <c r="D1864">
        <f>IF(A1864="","",SUMIF(Donasi!$B$2:$B$20000,A1864,Donasi!$C$2:$C$20000))</f>
        <v/>
      </c>
      <c r="E1864">
        <f>IF(A1864="","",6-CEILING(PERCENTRANK.INC($B$3:$B$6000,B1864,4)*5+0.000001,1))</f>
        <v/>
      </c>
      <c r="F1864">
        <f>IF(A1864="","",MAX(1,CEILING(PERCENTRANK.INC($C$3:$C$6000,C1864,4)*5+0.000001,1)))</f>
        <v/>
      </c>
      <c r="G1864">
        <f>IF(A1864="","",MAX(1,CEILING(PERCENTRANK.INC($D$3:$D$6000,D1864,4)*5+0.000001,1)))</f>
        <v/>
      </c>
      <c r="H1864">
        <f>IF(A1864="","",E1864&amp;F1864&amp;G1864)</f>
        <v/>
      </c>
      <c r="I1864">
        <f>IF(A1864="","",IF(AND(E1864&gt;=4,F1864&gt;=4,G1864&gt;=4),"Juara",IF(AND(F1864&gt;=4,E1864&gt;=3),"Setia",IF(AND(E1864=5,F1864&lt;=2,G1864&gt;=3),"Berpotensi",IF(AND(E1864&lt;=3,E1864&gt;=2,F1864&gt;=3),"Rawan",IF(AND(E1864&lt;=2,F1864&lt;=2),"Tidur","Umum"))))))</f>
        <v/>
      </c>
    </row>
    <row r="1865">
      <c r="B1865">
        <f>IF(A1865="","",$B$1-MAXIFS(Donasi!$A$2:$A$20000,Donasi!$B$2:$B$20000,A1865))</f>
        <v/>
      </c>
      <c r="C1865">
        <f>IF(A1865="","",COUNTIF(Donasi!$B$2:$B$20000,A1865))</f>
        <v/>
      </c>
      <c r="D1865">
        <f>IF(A1865="","",SUMIF(Donasi!$B$2:$B$20000,A1865,Donasi!$C$2:$C$20000))</f>
        <v/>
      </c>
      <c r="E1865">
        <f>IF(A1865="","",6-CEILING(PERCENTRANK.INC($B$3:$B$6000,B1865,4)*5+0.000001,1))</f>
        <v/>
      </c>
      <c r="F1865">
        <f>IF(A1865="","",MAX(1,CEILING(PERCENTRANK.INC($C$3:$C$6000,C1865,4)*5+0.000001,1)))</f>
        <v/>
      </c>
      <c r="G1865">
        <f>IF(A1865="","",MAX(1,CEILING(PERCENTRANK.INC($D$3:$D$6000,D1865,4)*5+0.000001,1)))</f>
        <v/>
      </c>
      <c r="H1865">
        <f>IF(A1865="","",E1865&amp;F1865&amp;G1865)</f>
        <v/>
      </c>
      <c r="I1865">
        <f>IF(A1865="","",IF(AND(E1865&gt;=4,F1865&gt;=4,G1865&gt;=4),"Juara",IF(AND(F1865&gt;=4,E1865&gt;=3),"Setia",IF(AND(E1865=5,F1865&lt;=2,G1865&gt;=3),"Berpotensi",IF(AND(E1865&lt;=3,E1865&gt;=2,F1865&gt;=3),"Rawan",IF(AND(E1865&lt;=2,F1865&lt;=2),"Tidur","Umum"))))))</f>
        <v/>
      </c>
    </row>
    <row r="1866">
      <c r="B1866">
        <f>IF(A1866="","",$B$1-MAXIFS(Donasi!$A$2:$A$20000,Donasi!$B$2:$B$20000,A1866))</f>
        <v/>
      </c>
      <c r="C1866">
        <f>IF(A1866="","",COUNTIF(Donasi!$B$2:$B$20000,A1866))</f>
        <v/>
      </c>
      <c r="D1866">
        <f>IF(A1866="","",SUMIF(Donasi!$B$2:$B$20000,A1866,Donasi!$C$2:$C$20000))</f>
        <v/>
      </c>
      <c r="E1866">
        <f>IF(A1866="","",6-CEILING(PERCENTRANK.INC($B$3:$B$6000,B1866,4)*5+0.000001,1))</f>
        <v/>
      </c>
      <c r="F1866">
        <f>IF(A1866="","",MAX(1,CEILING(PERCENTRANK.INC($C$3:$C$6000,C1866,4)*5+0.000001,1)))</f>
        <v/>
      </c>
      <c r="G1866">
        <f>IF(A1866="","",MAX(1,CEILING(PERCENTRANK.INC($D$3:$D$6000,D1866,4)*5+0.000001,1)))</f>
        <v/>
      </c>
      <c r="H1866">
        <f>IF(A1866="","",E1866&amp;F1866&amp;G1866)</f>
        <v/>
      </c>
      <c r="I1866">
        <f>IF(A1866="","",IF(AND(E1866&gt;=4,F1866&gt;=4,G1866&gt;=4),"Juara",IF(AND(F1866&gt;=4,E1866&gt;=3),"Setia",IF(AND(E1866=5,F1866&lt;=2,G1866&gt;=3),"Berpotensi",IF(AND(E1866&lt;=3,E1866&gt;=2,F1866&gt;=3),"Rawan",IF(AND(E1866&lt;=2,F1866&lt;=2),"Tidur","Umum"))))))</f>
        <v/>
      </c>
    </row>
    <row r="1867">
      <c r="B1867">
        <f>IF(A1867="","",$B$1-MAXIFS(Donasi!$A$2:$A$20000,Donasi!$B$2:$B$20000,A1867))</f>
        <v/>
      </c>
      <c r="C1867">
        <f>IF(A1867="","",COUNTIF(Donasi!$B$2:$B$20000,A1867))</f>
        <v/>
      </c>
      <c r="D1867">
        <f>IF(A1867="","",SUMIF(Donasi!$B$2:$B$20000,A1867,Donasi!$C$2:$C$20000))</f>
        <v/>
      </c>
      <c r="E1867">
        <f>IF(A1867="","",6-CEILING(PERCENTRANK.INC($B$3:$B$6000,B1867,4)*5+0.000001,1))</f>
        <v/>
      </c>
      <c r="F1867">
        <f>IF(A1867="","",MAX(1,CEILING(PERCENTRANK.INC($C$3:$C$6000,C1867,4)*5+0.000001,1)))</f>
        <v/>
      </c>
      <c r="G1867">
        <f>IF(A1867="","",MAX(1,CEILING(PERCENTRANK.INC($D$3:$D$6000,D1867,4)*5+0.000001,1)))</f>
        <v/>
      </c>
      <c r="H1867">
        <f>IF(A1867="","",E1867&amp;F1867&amp;G1867)</f>
        <v/>
      </c>
      <c r="I1867">
        <f>IF(A1867="","",IF(AND(E1867&gt;=4,F1867&gt;=4,G1867&gt;=4),"Juara",IF(AND(F1867&gt;=4,E1867&gt;=3),"Setia",IF(AND(E1867=5,F1867&lt;=2,G1867&gt;=3),"Berpotensi",IF(AND(E1867&lt;=3,E1867&gt;=2,F1867&gt;=3),"Rawan",IF(AND(E1867&lt;=2,F1867&lt;=2),"Tidur","Umum"))))))</f>
        <v/>
      </c>
    </row>
    <row r="1868">
      <c r="B1868">
        <f>IF(A1868="","",$B$1-MAXIFS(Donasi!$A$2:$A$20000,Donasi!$B$2:$B$20000,A1868))</f>
        <v/>
      </c>
      <c r="C1868">
        <f>IF(A1868="","",COUNTIF(Donasi!$B$2:$B$20000,A1868))</f>
        <v/>
      </c>
      <c r="D1868">
        <f>IF(A1868="","",SUMIF(Donasi!$B$2:$B$20000,A1868,Donasi!$C$2:$C$20000))</f>
        <v/>
      </c>
      <c r="E1868">
        <f>IF(A1868="","",6-CEILING(PERCENTRANK.INC($B$3:$B$6000,B1868,4)*5+0.000001,1))</f>
        <v/>
      </c>
      <c r="F1868">
        <f>IF(A1868="","",MAX(1,CEILING(PERCENTRANK.INC($C$3:$C$6000,C1868,4)*5+0.000001,1)))</f>
        <v/>
      </c>
      <c r="G1868">
        <f>IF(A1868="","",MAX(1,CEILING(PERCENTRANK.INC($D$3:$D$6000,D1868,4)*5+0.000001,1)))</f>
        <v/>
      </c>
      <c r="H1868">
        <f>IF(A1868="","",E1868&amp;F1868&amp;G1868)</f>
        <v/>
      </c>
      <c r="I1868">
        <f>IF(A1868="","",IF(AND(E1868&gt;=4,F1868&gt;=4,G1868&gt;=4),"Juara",IF(AND(F1868&gt;=4,E1868&gt;=3),"Setia",IF(AND(E1868=5,F1868&lt;=2,G1868&gt;=3),"Berpotensi",IF(AND(E1868&lt;=3,E1868&gt;=2,F1868&gt;=3),"Rawan",IF(AND(E1868&lt;=2,F1868&lt;=2),"Tidur","Umum"))))))</f>
        <v/>
      </c>
    </row>
    <row r="1869">
      <c r="B1869">
        <f>IF(A1869="","",$B$1-MAXIFS(Donasi!$A$2:$A$20000,Donasi!$B$2:$B$20000,A1869))</f>
        <v/>
      </c>
      <c r="C1869">
        <f>IF(A1869="","",COUNTIF(Donasi!$B$2:$B$20000,A1869))</f>
        <v/>
      </c>
      <c r="D1869">
        <f>IF(A1869="","",SUMIF(Donasi!$B$2:$B$20000,A1869,Donasi!$C$2:$C$20000))</f>
        <v/>
      </c>
      <c r="E1869">
        <f>IF(A1869="","",6-CEILING(PERCENTRANK.INC($B$3:$B$6000,B1869,4)*5+0.000001,1))</f>
        <v/>
      </c>
      <c r="F1869">
        <f>IF(A1869="","",MAX(1,CEILING(PERCENTRANK.INC($C$3:$C$6000,C1869,4)*5+0.000001,1)))</f>
        <v/>
      </c>
      <c r="G1869">
        <f>IF(A1869="","",MAX(1,CEILING(PERCENTRANK.INC($D$3:$D$6000,D1869,4)*5+0.000001,1)))</f>
        <v/>
      </c>
      <c r="H1869">
        <f>IF(A1869="","",E1869&amp;F1869&amp;G1869)</f>
        <v/>
      </c>
      <c r="I1869">
        <f>IF(A1869="","",IF(AND(E1869&gt;=4,F1869&gt;=4,G1869&gt;=4),"Juara",IF(AND(F1869&gt;=4,E1869&gt;=3),"Setia",IF(AND(E1869=5,F1869&lt;=2,G1869&gt;=3),"Berpotensi",IF(AND(E1869&lt;=3,E1869&gt;=2,F1869&gt;=3),"Rawan",IF(AND(E1869&lt;=2,F1869&lt;=2),"Tidur","Umum"))))))</f>
        <v/>
      </c>
    </row>
    <row r="1870">
      <c r="B1870">
        <f>IF(A1870="","",$B$1-MAXIFS(Donasi!$A$2:$A$20000,Donasi!$B$2:$B$20000,A1870))</f>
        <v/>
      </c>
      <c r="C1870">
        <f>IF(A1870="","",COUNTIF(Donasi!$B$2:$B$20000,A1870))</f>
        <v/>
      </c>
      <c r="D1870">
        <f>IF(A1870="","",SUMIF(Donasi!$B$2:$B$20000,A1870,Donasi!$C$2:$C$20000))</f>
        <v/>
      </c>
      <c r="E1870">
        <f>IF(A1870="","",6-CEILING(PERCENTRANK.INC($B$3:$B$6000,B1870,4)*5+0.000001,1))</f>
        <v/>
      </c>
      <c r="F1870">
        <f>IF(A1870="","",MAX(1,CEILING(PERCENTRANK.INC($C$3:$C$6000,C1870,4)*5+0.000001,1)))</f>
        <v/>
      </c>
      <c r="G1870">
        <f>IF(A1870="","",MAX(1,CEILING(PERCENTRANK.INC($D$3:$D$6000,D1870,4)*5+0.000001,1)))</f>
        <v/>
      </c>
      <c r="H1870">
        <f>IF(A1870="","",E1870&amp;F1870&amp;G1870)</f>
        <v/>
      </c>
      <c r="I1870">
        <f>IF(A1870="","",IF(AND(E1870&gt;=4,F1870&gt;=4,G1870&gt;=4),"Juara",IF(AND(F1870&gt;=4,E1870&gt;=3),"Setia",IF(AND(E1870=5,F1870&lt;=2,G1870&gt;=3),"Berpotensi",IF(AND(E1870&lt;=3,E1870&gt;=2,F1870&gt;=3),"Rawan",IF(AND(E1870&lt;=2,F1870&lt;=2),"Tidur","Umum"))))))</f>
        <v/>
      </c>
    </row>
    <row r="1871">
      <c r="B1871">
        <f>IF(A1871="","",$B$1-MAXIFS(Donasi!$A$2:$A$20000,Donasi!$B$2:$B$20000,A1871))</f>
        <v/>
      </c>
      <c r="C1871">
        <f>IF(A1871="","",COUNTIF(Donasi!$B$2:$B$20000,A1871))</f>
        <v/>
      </c>
      <c r="D1871">
        <f>IF(A1871="","",SUMIF(Donasi!$B$2:$B$20000,A1871,Donasi!$C$2:$C$20000))</f>
        <v/>
      </c>
      <c r="E1871">
        <f>IF(A1871="","",6-CEILING(PERCENTRANK.INC($B$3:$B$6000,B1871,4)*5+0.000001,1))</f>
        <v/>
      </c>
      <c r="F1871">
        <f>IF(A1871="","",MAX(1,CEILING(PERCENTRANK.INC($C$3:$C$6000,C1871,4)*5+0.000001,1)))</f>
        <v/>
      </c>
      <c r="G1871">
        <f>IF(A1871="","",MAX(1,CEILING(PERCENTRANK.INC($D$3:$D$6000,D1871,4)*5+0.000001,1)))</f>
        <v/>
      </c>
      <c r="H1871">
        <f>IF(A1871="","",E1871&amp;F1871&amp;G1871)</f>
        <v/>
      </c>
      <c r="I1871">
        <f>IF(A1871="","",IF(AND(E1871&gt;=4,F1871&gt;=4,G1871&gt;=4),"Juara",IF(AND(F1871&gt;=4,E1871&gt;=3),"Setia",IF(AND(E1871=5,F1871&lt;=2,G1871&gt;=3),"Berpotensi",IF(AND(E1871&lt;=3,E1871&gt;=2,F1871&gt;=3),"Rawan",IF(AND(E1871&lt;=2,F1871&lt;=2),"Tidur","Umum"))))))</f>
        <v/>
      </c>
    </row>
    <row r="1872">
      <c r="B1872">
        <f>IF(A1872="","",$B$1-MAXIFS(Donasi!$A$2:$A$20000,Donasi!$B$2:$B$20000,A1872))</f>
        <v/>
      </c>
      <c r="C1872">
        <f>IF(A1872="","",COUNTIF(Donasi!$B$2:$B$20000,A1872))</f>
        <v/>
      </c>
      <c r="D1872">
        <f>IF(A1872="","",SUMIF(Donasi!$B$2:$B$20000,A1872,Donasi!$C$2:$C$20000))</f>
        <v/>
      </c>
      <c r="E1872">
        <f>IF(A1872="","",6-CEILING(PERCENTRANK.INC($B$3:$B$6000,B1872,4)*5+0.000001,1))</f>
        <v/>
      </c>
      <c r="F1872">
        <f>IF(A1872="","",MAX(1,CEILING(PERCENTRANK.INC($C$3:$C$6000,C1872,4)*5+0.000001,1)))</f>
        <v/>
      </c>
      <c r="G1872">
        <f>IF(A1872="","",MAX(1,CEILING(PERCENTRANK.INC($D$3:$D$6000,D1872,4)*5+0.000001,1)))</f>
        <v/>
      </c>
      <c r="H1872">
        <f>IF(A1872="","",E1872&amp;F1872&amp;G1872)</f>
        <v/>
      </c>
      <c r="I1872">
        <f>IF(A1872="","",IF(AND(E1872&gt;=4,F1872&gt;=4,G1872&gt;=4),"Juara",IF(AND(F1872&gt;=4,E1872&gt;=3),"Setia",IF(AND(E1872=5,F1872&lt;=2,G1872&gt;=3),"Berpotensi",IF(AND(E1872&lt;=3,E1872&gt;=2,F1872&gt;=3),"Rawan",IF(AND(E1872&lt;=2,F1872&lt;=2),"Tidur","Umum"))))))</f>
        <v/>
      </c>
    </row>
    <row r="1873">
      <c r="B1873">
        <f>IF(A1873="","",$B$1-MAXIFS(Donasi!$A$2:$A$20000,Donasi!$B$2:$B$20000,A1873))</f>
        <v/>
      </c>
      <c r="C1873">
        <f>IF(A1873="","",COUNTIF(Donasi!$B$2:$B$20000,A1873))</f>
        <v/>
      </c>
      <c r="D1873">
        <f>IF(A1873="","",SUMIF(Donasi!$B$2:$B$20000,A1873,Donasi!$C$2:$C$20000))</f>
        <v/>
      </c>
      <c r="E1873">
        <f>IF(A1873="","",6-CEILING(PERCENTRANK.INC($B$3:$B$6000,B1873,4)*5+0.000001,1))</f>
        <v/>
      </c>
      <c r="F1873">
        <f>IF(A1873="","",MAX(1,CEILING(PERCENTRANK.INC($C$3:$C$6000,C1873,4)*5+0.000001,1)))</f>
        <v/>
      </c>
      <c r="G1873">
        <f>IF(A1873="","",MAX(1,CEILING(PERCENTRANK.INC($D$3:$D$6000,D1873,4)*5+0.000001,1)))</f>
        <v/>
      </c>
      <c r="H1873">
        <f>IF(A1873="","",E1873&amp;F1873&amp;G1873)</f>
        <v/>
      </c>
      <c r="I1873">
        <f>IF(A1873="","",IF(AND(E1873&gt;=4,F1873&gt;=4,G1873&gt;=4),"Juara",IF(AND(F1873&gt;=4,E1873&gt;=3),"Setia",IF(AND(E1873=5,F1873&lt;=2,G1873&gt;=3),"Berpotensi",IF(AND(E1873&lt;=3,E1873&gt;=2,F1873&gt;=3),"Rawan",IF(AND(E1873&lt;=2,F1873&lt;=2),"Tidur","Umum"))))))</f>
        <v/>
      </c>
    </row>
    <row r="1874">
      <c r="B1874">
        <f>IF(A1874="","",$B$1-MAXIFS(Donasi!$A$2:$A$20000,Donasi!$B$2:$B$20000,A1874))</f>
        <v/>
      </c>
      <c r="C1874">
        <f>IF(A1874="","",COUNTIF(Donasi!$B$2:$B$20000,A1874))</f>
        <v/>
      </c>
      <c r="D1874">
        <f>IF(A1874="","",SUMIF(Donasi!$B$2:$B$20000,A1874,Donasi!$C$2:$C$20000))</f>
        <v/>
      </c>
      <c r="E1874">
        <f>IF(A1874="","",6-CEILING(PERCENTRANK.INC($B$3:$B$6000,B1874,4)*5+0.000001,1))</f>
        <v/>
      </c>
      <c r="F1874">
        <f>IF(A1874="","",MAX(1,CEILING(PERCENTRANK.INC($C$3:$C$6000,C1874,4)*5+0.000001,1)))</f>
        <v/>
      </c>
      <c r="G1874">
        <f>IF(A1874="","",MAX(1,CEILING(PERCENTRANK.INC($D$3:$D$6000,D1874,4)*5+0.000001,1)))</f>
        <v/>
      </c>
      <c r="H1874">
        <f>IF(A1874="","",E1874&amp;F1874&amp;G1874)</f>
        <v/>
      </c>
      <c r="I1874">
        <f>IF(A1874="","",IF(AND(E1874&gt;=4,F1874&gt;=4,G1874&gt;=4),"Juara",IF(AND(F1874&gt;=4,E1874&gt;=3),"Setia",IF(AND(E1874=5,F1874&lt;=2,G1874&gt;=3),"Berpotensi",IF(AND(E1874&lt;=3,E1874&gt;=2,F1874&gt;=3),"Rawan",IF(AND(E1874&lt;=2,F1874&lt;=2),"Tidur","Umum"))))))</f>
        <v/>
      </c>
    </row>
    <row r="1875">
      <c r="B1875">
        <f>IF(A1875="","",$B$1-MAXIFS(Donasi!$A$2:$A$20000,Donasi!$B$2:$B$20000,A1875))</f>
        <v/>
      </c>
      <c r="C1875">
        <f>IF(A1875="","",COUNTIF(Donasi!$B$2:$B$20000,A1875))</f>
        <v/>
      </c>
      <c r="D1875">
        <f>IF(A1875="","",SUMIF(Donasi!$B$2:$B$20000,A1875,Donasi!$C$2:$C$20000))</f>
        <v/>
      </c>
      <c r="E1875">
        <f>IF(A1875="","",6-CEILING(PERCENTRANK.INC($B$3:$B$6000,B1875,4)*5+0.000001,1))</f>
        <v/>
      </c>
      <c r="F1875">
        <f>IF(A1875="","",MAX(1,CEILING(PERCENTRANK.INC($C$3:$C$6000,C1875,4)*5+0.000001,1)))</f>
        <v/>
      </c>
      <c r="G1875">
        <f>IF(A1875="","",MAX(1,CEILING(PERCENTRANK.INC($D$3:$D$6000,D1875,4)*5+0.000001,1)))</f>
        <v/>
      </c>
      <c r="H1875">
        <f>IF(A1875="","",E1875&amp;F1875&amp;G1875)</f>
        <v/>
      </c>
      <c r="I1875">
        <f>IF(A1875="","",IF(AND(E1875&gt;=4,F1875&gt;=4,G1875&gt;=4),"Juara",IF(AND(F1875&gt;=4,E1875&gt;=3),"Setia",IF(AND(E1875=5,F1875&lt;=2,G1875&gt;=3),"Berpotensi",IF(AND(E1875&lt;=3,E1875&gt;=2,F1875&gt;=3),"Rawan",IF(AND(E1875&lt;=2,F1875&lt;=2),"Tidur","Umum"))))))</f>
        <v/>
      </c>
    </row>
    <row r="1876">
      <c r="B1876">
        <f>IF(A1876="","",$B$1-MAXIFS(Donasi!$A$2:$A$20000,Donasi!$B$2:$B$20000,A1876))</f>
        <v/>
      </c>
      <c r="C1876">
        <f>IF(A1876="","",COUNTIF(Donasi!$B$2:$B$20000,A1876))</f>
        <v/>
      </c>
      <c r="D1876">
        <f>IF(A1876="","",SUMIF(Donasi!$B$2:$B$20000,A1876,Donasi!$C$2:$C$20000))</f>
        <v/>
      </c>
      <c r="E1876">
        <f>IF(A1876="","",6-CEILING(PERCENTRANK.INC($B$3:$B$6000,B1876,4)*5+0.000001,1))</f>
        <v/>
      </c>
      <c r="F1876">
        <f>IF(A1876="","",MAX(1,CEILING(PERCENTRANK.INC($C$3:$C$6000,C1876,4)*5+0.000001,1)))</f>
        <v/>
      </c>
      <c r="G1876">
        <f>IF(A1876="","",MAX(1,CEILING(PERCENTRANK.INC($D$3:$D$6000,D1876,4)*5+0.000001,1)))</f>
        <v/>
      </c>
      <c r="H1876">
        <f>IF(A1876="","",E1876&amp;F1876&amp;G1876)</f>
        <v/>
      </c>
      <c r="I1876">
        <f>IF(A1876="","",IF(AND(E1876&gt;=4,F1876&gt;=4,G1876&gt;=4),"Juara",IF(AND(F1876&gt;=4,E1876&gt;=3),"Setia",IF(AND(E1876=5,F1876&lt;=2,G1876&gt;=3),"Berpotensi",IF(AND(E1876&lt;=3,E1876&gt;=2,F1876&gt;=3),"Rawan",IF(AND(E1876&lt;=2,F1876&lt;=2),"Tidur","Umum"))))))</f>
        <v/>
      </c>
    </row>
    <row r="1877">
      <c r="B1877">
        <f>IF(A1877="","",$B$1-MAXIFS(Donasi!$A$2:$A$20000,Donasi!$B$2:$B$20000,A1877))</f>
        <v/>
      </c>
      <c r="C1877">
        <f>IF(A1877="","",COUNTIF(Donasi!$B$2:$B$20000,A1877))</f>
        <v/>
      </c>
      <c r="D1877">
        <f>IF(A1877="","",SUMIF(Donasi!$B$2:$B$20000,A1877,Donasi!$C$2:$C$20000))</f>
        <v/>
      </c>
      <c r="E1877">
        <f>IF(A1877="","",6-CEILING(PERCENTRANK.INC($B$3:$B$6000,B1877,4)*5+0.000001,1))</f>
        <v/>
      </c>
      <c r="F1877">
        <f>IF(A1877="","",MAX(1,CEILING(PERCENTRANK.INC($C$3:$C$6000,C1877,4)*5+0.000001,1)))</f>
        <v/>
      </c>
      <c r="G1877">
        <f>IF(A1877="","",MAX(1,CEILING(PERCENTRANK.INC($D$3:$D$6000,D1877,4)*5+0.000001,1)))</f>
        <v/>
      </c>
      <c r="H1877">
        <f>IF(A1877="","",E1877&amp;F1877&amp;G1877)</f>
        <v/>
      </c>
      <c r="I1877">
        <f>IF(A1877="","",IF(AND(E1877&gt;=4,F1877&gt;=4,G1877&gt;=4),"Juara",IF(AND(F1877&gt;=4,E1877&gt;=3),"Setia",IF(AND(E1877=5,F1877&lt;=2,G1877&gt;=3),"Berpotensi",IF(AND(E1877&lt;=3,E1877&gt;=2,F1877&gt;=3),"Rawan",IF(AND(E1877&lt;=2,F1877&lt;=2),"Tidur","Umum"))))))</f>
        <v/>
      </c>
    </row>
    <row r="1878">
      <c r="B1878">
        <f>IF(A1878="","",$B$1-MAXIFS(Donasi!$A$2:$A$20000,Donasi!$B$2:$B$20000,A1878))</f>
        <v/>
      </c>
      <c r="C1878">
        <f>IF(A1878="","",COUNTIF(Donasi!$B$2:$B$20000,A1878))</f>
        <v/>
      </c>
      <c r="D1878">
        <f>IF(A1878="","",SUMIF(Donasi!$B$2:$B$20000,A1878,Donasi!$C$2:$C$20000))</f>
        <v/>
      </c>
      <c r="E1878">
        <f>IF(A1878="","",6-CEILING(PERCENTRANK.INC($B$3:$B$6000,B1878,4)*5+0.000001,1))</f>
        <v/>
      </c>
      <c r="F1878">
        <f>IF(A1878="","",MAX(1,CEILING(PERCENTRANK.INC($C$3:$C$6000,C1878,4)*5+0.000001,1)))</f>
        <v/>
      </c>
      <c r="G1878">
        <f>IF(A1878="","",MAX(1,CEILING(PERCENTRANK.INC($D$3:$D$6000,D1878,4)*5+0.000001,1)))</f>
        <v/>
      </c>
      <c r="H1878">
        <f>IF(A1878="","",E1878&amp;F1878&amp;G1878)</f>
        <v/>
      </c>
      <c r="I1878">
        <f>IF(A1878="","",IF(AND(E1878&gt;=4,F1878&gt;=4,G1878&gt;=4),"Juara",IF(AND(F1878&gt;=4,E1878&gt;=3),"Setia",IF(AND(E1878=5,F1878&lt;=2,G1878&gt;=3),"Berpotensi",IF(AND(E1878&lt;=3,E1878&gt;=2,F1878&gt;=3),"Rawan",IF(AND(E1878&lt;=2,F1878&lt;=2),"Tidur","Umum"))))))</f>
        <v/>
      </c>
    </row>
    <row r="1879">
      <c r="B1879">
        <f>IF(A1879="","",$B$1-MAXIFS(Donasi!$A$2:$A$20000,Donasi!$B$2:$B$20000,A1879))</f>
        <v/>
      </c>
      <c r="C1879">
        <f>IF(A1879="","",COUNTIF(Donasi!$B$2:$B$20000,A1879))</f>
        <v/>
      </c>
      <c r="D1879">
        <f>IF(A1879="","",SUMIF(Donasi!$B$2:$B$20000,A1879,Donasi!$C$2:$C$20000))</f>
        <v/>
      </c>
      <c r="E1879">
        <f>IF(A1879="","",6-CEILING(PERCENTRANK.INC($B$3:$B$6000,B1879,4)*5+0.000001,1))</f>
        <v/>
      </c>
      <c r="F1879">
        <f>IF(A1879="","",MAX(1,CEILING(PERCENTRANK.INC($C$3:$C$6000,C1879,4)*5+0.000001,1)))</f>
        <v/>
      </c>
      <c r="G1879">
        <f>IF(A1879="","",MAX(1,CEILING(PERCENTRANK.INC($D$3:$D$6000,D1879,4)*5+0.000001,1)))</f>
        <v/>
      </c>
      <c r="H1879">
        <f>IF(A1879="","",E1879&amp;F1879&amp;G1879)</f>
        <v/>
      </c>
      <c r="I1879">
        <f>IF(A1879="","",IF(AND(E1879&gt;=4,F1879&gt;=4,G1879&gt;=4),"Juara",IF(AND(F1879&gt;=4,E1879&gt;=3),"Setia",IF(AND(E1879=5,F1879&lt;=2,G1879&gt;=3),"Berpotensi",IF(AND(E1879&lt;=3,E1879&gt;=2,F1879&gt;=3),"Rawan",IF(AND(E1879&lt;=2,F1879&lt;=2),"Tidur","Umum"))))))</f>
        <v/>
      </c>
    </row>
    <row r="1880">
      <c r="B1880">
        <f>IF(A1880="","",$B$1-MAXIFS(Donasi!$A$2:$A$20000,Donasi!$B$2:$B$20000,A1880))</f>
        <v/>
      </c>
      <c r="C1880">
        <f>IF(A1880="","",COUNTIF(Donasi!$B$2:$B$20000,A1880))</f>
        <v/>
      </c>
      <c r="D1880">
        <f>IF(A1880="","",SUMIF(Donasi!$B$2:$B$20000,A1880,Donasi!$C$2:$C$20000))</f>
        <v/>
      </c>
      <c r="E1880">
        <f>IF(A1880="","",6-CEILING(PERCENTRANK.INC($B$3:$B$6000,B1880,4)*5+0.000001,1))</f>
        <v/>
      </c>
      <c r="F1880">
        <f>IF(A1880="","",MAX(1,CEILING(PERCENTRANK.INC($C$3:$C$6000,C1880,4)*5+0.000001,1)))</f>
        <v/>
      </c>
      <c r="G1880">
        <f>IF(A1880="","",MAX(1,CEILING(PERCENTRANK.INC($D$3:$D$6000,D1880,4)*5+0.000001,1)))</f>
        <v/>
      </c>
      <c r="H1880">
        <f>IF(A1880="","",E1880&amp;F1880&amp;G1880)</f>
        <v/>
      </c>
      <c r="I1880">
        <f>IF(A1880="","",IF(AND(E1880&gt;=4,F1880&gt;=4,G1880&gt;=4),"Juara",IF(AND(F1880&gt;=4,E1880&gt;=3),"Setia",IF(AND(E1880=5,F1880&lt;=2,G1880&gt;=3),"Berpotensi",IF(AND(E1880&lt;=3,E1880&gt;=2,F1880&gt;=3),"Rawan",IF(AND(E1880&lt;=2,F1880&lt;=2),"Tidur","Umum"))))))</f>
        <v/>
      </c>
    </row>
    <row r="1881">
      <c r="B1881">
        <f>IF(A1881="","",$B$1-MAXIFS(Donasi!$A$2:$A$20000,Donasi!$B$2:$B$20000,A1881))</f>
        <v/>
      </c>
      <c r="C1881">
        <f>IF(A1881="","",COUNTIF(Donasi!$B$2:$B$20000,A1881))</f>
        <v/>
      </c>
      <c r="D1881">
        <f>IF(A1881="","",SUMIF(Donasi!$B$2:$B$20000,A1881,Donasi!$C$2:$C$20000))</f>
        <v/>
      </c>
      <c r="E1881">
        <f>IF(A1881="","",6-CEILING(PERCENTRANK.INC($B$3:$B$6000,B1881,4)*5+0.000001,1))</f>
        <v/>
      </c>
      <c r="F1881">
        <f>IF(A1881="","",MAX(1,CEILING(PERCENTRANK.INC($C$3:$C$6000,C1881,4)*5+0.000001,1)))</f>
        <v/>
      </c>
      <c r="G1881">
        <f>IF(A1881="","",MAX(1,CEILING(PERCENTRANK.INC($D$3:$D$6000,D1881,4)*5+0.000001,1)))</f>
        <v/>
      </c>
      <c r="H1881">
        <f>IF(A1881="","",E1881&amp;F1881&amp;G1881)</f>
        <v/>
      </c>
      <c r="I1881">
        <f>IF(A1881="","",IF(AND(E1881&gt;=4,F1881&gt;=4,G1881&gt;=4),"Juara",IF(AND(F1881&gt;=4,E1881&gt;=3),"Setia",IF(AND(E1881=5,F1881&lt;=2,G1881&gt;=3),"Berpotensi",IF(AND(E1881&lt;=3,E1881&gt;=2,F1881&gt;=3),"Rawan",IF(AND(E1881&lt;=2,F1881&lt;=2),"Tidur","Umum"))))))</f>
        <v/>
      </c>
    </row>
    <row r="1882">
      <c r="B1882">
        <f>IF(A1882="","",$B$1-MAXIFS(Donasi!$A$2:$A$20000,Donasi!$B$2:$B$20000,A1882))</f>
        <v/>
      </c>
      <c r="C1882">
        <f>IF(A1882="","",COUNTIF(Donasi!$B$2:$B$20000,A1882))</f>
        <v/>
      </c>
      <c r="D1882">
        <f>IF(A1882="","",SUMIF(Donasi!$B$2:$B$20000,A1882,Donasi!$C$2:$C$20000))</f>
        <v/>
      </c>
      <c r="E1882">
        <f>IF(A1882="","",6-CEILING(PERCENTRANK.INC($B$3:$B$6000,B1882,4)*5+0.000001,1))</f>
        <v/>
      </c>
      <c r="F1882">
        <f>IF(A1882="","",MAX(1,CEILING(PERCENTRANK.INC($C$3:$C$6000,C1882,4)*5+0.000001,1)))</f>
        <v/>
      </c>
      <c r="G1882">
        <f>IF(A1882="","",MAX(1,CEILING(PERCENTRANK.INC($D$3:$D$6000,D1882,4)*5+0.000001,1)))</f>
        <v/>
      </c>
      <c r="H1882">
        <f>IF(A1882="","",E1882&amp;F1882&amp;G1882)</f>
        <v/>
      </c>
      <c r="I1882">
        <f>IF(A1882="","",IF(AND(E1882&gt;=4,F1882&gt;=4,G1882&gt;=4),"Juara",IF(AND(F1882&gt;=4,E1882&gt;=3),"Setia",IF(AND(E1882=5,F1882&lt;=2,G1882&gt;=3),"Berpotensi",IF(AND(E1882&lt;=3,E1882&gt;=2,F1882&gt;=3),"Rawan",IF(AND(E1882&lt;=2,F1882&lt;=2),"Tidur","Umum"))))))</f>
        <v/>
      </c>
    </row>
    <row r="1883">
      <c r="B1883">
        <f>IF(A1883="","",$B$1-MAXIFS(Donasi!$A$2:$A$20000,Donasi!$B$2:$B$20000,A1883))</f>
        <v/>
      </c>
      <c r="C1883">
        <f>IF(A1883="","",COUNTIF(Donasi!$B$2:$B$20000,A1883))</f>
        <v/>
      </c>
      <c r="D1883">
        <f>IF(A1883="","",SUMIF(Donasi!$B$2:$B$20000,A1883,Donasi!$C$2:$C$20000))</f>
        <v/>
      </c>
      <c r="E1883">
        <f>IF(A1883="","",6-CEILING(PERCENTRANK.INC($B$3:$B$6000,B1883,4)*5+0.000001,1))</f>
        <v/>
      </c>
      <c r="F1883">
        <f>IF(A1883="","",MAX(1,CEILING(PERCENTRANK.INC($C$3:$C$6000,C1883,4)*5+0.000001,1)))</f>
        <v/>
      </c>
      <c r="G1883">
        <f>IF(A1883="","",MAX(1,CEILING(PERCENTRANK.INC($D$3:$D$6000,D1883,4)*5+0.000001,1)))</f>
        <v/>
      </c>
      <c r="H1883">
        <f>IF(A1883="","",E1883&amp;F1883&amp;G1883)</f>
        <v/>
      </c>
      <c r="I1883">
        <f>IF(A1883="","",IF(AND(E1883&gt;=4,F1883&gt;=4,G1883&gt;=4),"Juara",IF(AND(F1883&gt;=4,E1883&gt;=3),"Setia",IF(AND(E1883=5,F1883&lt;=2,G1883&gt;=3),"Berpotensi",IF(AND(E1883&lt;=3,E1883&gt;=2,F1883&gt;=3),"Rawan",IF(AND(E1883&lt;=2,F1883&lt;=2),"Tidur","Umum"))))))</f>
        <v/>
      </c>
    </row>
    <row r="1884">
      <c r="B1884">
        <f>IF(A1884="","",$B$1-MAXIFS(Donasi!$A$2:$A$20000,Donasi!$B$2:$B$20000,A1884))</f>
        <v/>
      </c>
      <c r="C1884">
        <f>IF(A1884="","",COUNTIF(Donasi!$B$2:$B$20000,A1884))</f>
        <v/>
      </c>
      <c r="D1884">
        <f>IF(A1884="","",SUMIF(Donasi!$B$2:$B$20000,A1884,Donasi!$C$2:$C$20000))</f>
        <v/>
      </c>
      <c r="E1884">
        <f>IF(A1884="","",6-CEILING(PERCENTRANK.INC($B$3:$B$6000,B1884,4)*5+0.000001,1))</f>
        <v/>
      </c>
      <c r="F1884">
        <f>IF(A1884="","",MAX(1,CEILING(PERCENTRANK.INC($C$3:$C$6000,C1884,4)*5+0.000001,1)))</f>
        <v/>
      </c>
      <c r="G1884">
        <f>IF(A1884="","",MAX(1,CEILING(PERCENTRANK.INC($D$3:$D$6000,D1884,4)*5+0.000001,1)))</f>
        <v/>
      </c>
      <c r="H1884">
        <f>IF(A1884="","",E1884&amp;F1884&amp;G1884)</f>
        <v/>
      </c>
      <c r="I1884">
        <f>IF(A1884="","",IF(AND(E1884&gt;=4,F1884&gt;=4,G1884&gt;=4),"Juara",IF(AND(F1884&gt;=4,E1884&gt;=3),"Setia",IF(AND(E1884=5,F1884&lt;=2,G1884&gt;=3),"Berpotensi",IF(AND(E1884&lt;=3,E1884&gt;=2,F1884&gt;=3),"Rawan",IF(AND(E1884&lt;=2,F1884&lt;=2),"Tidur","Umum"))))))</f>
        <v/>
      </c>
    </row>
    <row r="1885">
      <c r="B1885">
        <f>IF(A1885="","",$B$1-MAXIFS(Donasi!$A$2:$A$20000,Donasi!$B$2:$B$20000,A1885))</f>
        <v/>
      </c>
      <c r="C1885">
        <f>IF(A1885="","",COUNTIF(Donasi!$B$2:$B$20000,A1885))</f>
        <v/>
      </c>
      <c r="D1885">
        <f>IF(A1885="","",SUMIF(Donasi!$B$2:$B$20000,A1885,Donasi!$C$2:$C$20000))</f>
        <v/>
      </c>
      <c r="E1885">
        <f>IF(A1885="","",6-CEILING(PERCENTRANK.INC($B$3:$B$6000,B1885,4)*5+0.000001,1))</f>
        <v/>
      </c>
      <c r="F1885">
        <f>IF(A1885="","",MAX(1,CEILING(PERCENTRANK.INC($C$3:$C$6000,C1885,4)*5+0.000001,1)))</f>
        <v/>
      </c>
      <c r="G1885">
        <f>IF(A1885="","",MAX(1,CEILING(PERCENTRANK.INC($D$3:$D$6000,D1885,4)*5+0.000001,1)))</f>
        <v/>
      </c>
      <c r="H1885">
        <f>IF(A1885="","",E1885&amp;F1885&amp;G1885)</f>
        <v/>
      </c>
      <c r="I1885">
        <f>IF(A1885="","",IF(AND(E1885&gt;=4,F1885&gt;=4,G1885&gt;=4),"Juara",IF(AND(F1885&gt;=4,E1885&gt;=3),"Setia",IF(AND(E1885=5,F1885&lt;=2,G1885&gt;=3),"Berpotensi",IF(AND(E1885&lt;=3,E1885&gt;=2,F1885&gt;=3),"Rawan",IF(AND(E1885&lt;=2,F1885&lt;=2),"Tidur","Umum"))))))</f>
        <v/>
      </c>
    </row>
    <row r="1886">
      <c r="B1886">
        <f>IF(A1886="","",$B$1-MAXIFS(Donasi!$A$2:$A$20000,Donasi!$B$2:$B$20000,A1886))</f>
        <v/>
      </c>
      <c r="C1886">
        <f>IF(A1886="","",COUNTIF(Donasi!$B$2:$B$20000,A1886))</f>
        <v/>
      </c>
      <c r="D1886">
        <f>IF(A1886="","",SUMIF(Donasi!$B$2:$B$20000,A1886,Donasi!$C$2:$C$20000))</f>
        <v/>
      </c>
      <c r="E1886">
        <f>IF(A1886="","",6-CEILING(PERCENTRANK.INC($B$3:$B$6000,B1886,4)*5+0.000001,1))</f>
        <v/>
      </c>
      <c r="F1886">
        <f>IF(A1886="","",MAX(1,CEILING(PERCENTRANK.INC($C$3:$C$6000,C1886,4)*5+0.000001,1)))</f>
        <v/>
      </c>
      <c r="G1886">
        <f>IF(A1886="","",MAX(1,CEILING(PERCENTRANK.INC($D$3:$D$6000,D1886,4)*5+0.000001,1)))</f>
        <v/>
      </c>
      <c r="H1886">
        <f>IF(A1886="","",E1886&amp;F1886&amp;G1886)</f>
        <v/>
      </c>
      <c r="I1886">
        <f>IF(A1886="","",IF(AND(E1886&gt;=4,F1886&gt;=4,G1886&gt;=4),"Juara",IF(AND(F1886&gt;=4,E1886&gt;=3),"Setia",IF(AND(E1886=5,F1886&lt;=2,G1886&gt;=3),"Berpotensi",IF(AND(E1886&lt;=3,E1886&gt;=2,F1886&gt;=3),"Rawan",IF(AND(E1886&lt;=2,F1886&lt;=2),"Tidur","Umum"))))))</f>
        <v/>
      </c>
    </row>
    <row r="1887">
      <c r="B1887">
        <f>IF(A1887="","",$B$1-MAXIFS(Donasi!$A$2:$A$20000,Donasi!$B$2:$B$20000,A1887))</f>
        <v/>
      </c>
      <c r="C1887">
        <f>IF(A1887="","",COUNTIF(Donasi!$B$2:$B$20000,A1887))</f>
        <v/>
      </c>
      <c r="D1887">
        <f>IF(A1887="","",SUMIF(Donasi!$B$2:$B$20000,A1887,Donasi!$C$2:$C$20000))</f>
        <v/>
      </c>
      <c r="E1887">
        <f>IF(A1887="","",6-CEILING(PERCENTRANK.INC($B$3:$B$6000,B1887,4)*5+0.000001,1))</f>
        <v/>
      </c>
      <c r="F1887">
        <f>IF(A1887="","",MAX(1,CEILING(PERCENTRANK.INC($C$3:$C$6000,C1887,4)*5+0.000001,1)))</f>
        <v/>
      </c>
      <c r="G1887">
        <f>IF(A1887="","",MAX(1,CEILING(PERCENTRANK.INC($D$3:$D$6000,D1887,4)*5+0.000001,1)))</f>
        <v/>
      </c>
      <c r="H1887">
        <f>IF(A1887="","",E1887&amp;F1887&amp;G1887)</f>
        <v/>
      </c>
      <c r="I1887">
        <f>IF(A1887="","",IF(AND(E1887&gt;=4,F1887&gt;=4,G1887&gt;=4),"Juara",IF(AND(F1887&gt;=4,E1887&gt;=3),"Setia",IF(AND(E1887=5,F1887&lt;=2,G1887&gt;=3),"Berpotensi",IF(AND(E1887&lt;=3,E1887&gt;=2,F1887&gt;=3),"Rawan",IF(AND(E1887&lt;=2,F1887&lt;=2),"Tidur","Umum"))))))</f>
        <v/>
      </c>
    </row>
    <row r="1888">
      <c r="B1888">
        <f>IF(A1888="","",$B$1-MAXIFS(Donasi!$A$2:$A$20000,Donasi!$B$2:$B$20000,A1888))</f>
        <v/>
      </c>
      <c r="C1888">
        <f>IF(A1888="","",COUNTIF(Donasi!$B$2:$B$20000,A1888))</f>
        <v/>
      </c>
      <c r="D1888">
        <f>IF(A1888="","",SUMIF(Donasi!$B$2:$B$20000,A1888,Donasi!$C$2:$C$20000))</f>
        <v/>
      </c>
      <c r="E1888">
        <f>IF(A1888="","",6-CEILING(PERCENTRANK.INC($B$3:$B$6000,B1888,4)*5+0.000001,1))</f>
        <v/>
      </c>
      <c r="F1888">
        <f>IF(A1888="","",MAX(1,CEILING(PERCENTRANK.INC($C$3:$C$6000,C1888,4)*5+0.000001,1)))</f>
        <v/>
      </c>
      <c r="G1888">
        <f>IF(A1888="","",MAX(1,CEILING(PERCENTRANK.INC($D$3:$D$6000,D1888,4)*5+0.000001,1)))</f>
        <v/>
      </c>
      <c r="H1888">
        <f>IF(A1888="","",E1888&amp;F1888&amp;G1888)</f>
        <v/>
      </c>
      <c r="I1888">
        <f>IF(A1888="","",IF(AND(E1888&gt;=4,F1888&gt;=4,G1888&gt;=4),"Juara",IF(AND(F1888&gt;=4,E1888&gt;=3),"Setia",IF(AND(E1888=5,F1888&lt;=2,G1888&gt;=3),"Berpotensi",IF(AND(E1888&lt;=3,E1888&gt;=2,F1888&gt;=3),"Rawan",IF(AND(E1888&lt;=2,F1888&lt;=2),"Tidur","Umum"))))))</f>
        <v/>
      </c>
    </row>
    <row r="1889">
      <c r="B1889">
        <f>IF(A1889="","",$B$1-MAXIFS(Donasi!$A$2:$A$20000,Donasi!$B$2:$B$20000,A1889))</f>
        <v/>
      </c>
      <c r="C1889">
        <f>IF(A1889="","",COUNTIF(Donasi!$B$2:$B$20000,A1889))</f>
        <v/>
      </c>
      <c r="D1889">
        <f>IF(A1889="","",SUMIF(Donasi!$B$2:$B$20000,A1889,Donasi!$C$2:$C$20000))</f>
        <v/>
      </c>
      <c r="E1889">
        <f>IF(A1889="","",6-CEILING(PERCENTRANK.INC($B$3:$B$6000,B1889,4)*5+0.000001,1))</f>
        <v/>
      </c>
      <c r="F1889">
        <f>IF(A1889="","",MAX(1,CEILING(PERCENTRANK.INC($C$3:$C$6000,C1889,4)*5+0.000001,1)))</f>
        <v/>
      </c>
      <c r="G1889">
        <f>IF(A1889="","",MAX(1,CEILING(PERCENTRANK.INC($D$3:$D$6000,D1889,4)*5+0.000001,1)))</f>
        <v/>
      </c>
      <c r="H1889">
        <f>IF(A1889="","",E1889&amp;F1889&amp;G1889)</f>
        <v/>
      </c>
      <c r="I1889">
        <f>IF(A1889="","",IF(AND(E1889&gt;=4,F1889&gt;=4,G1889&gt;=4),"Juara",IF(AND(F1889&gt;=4,E1889&gt;=3),"Setia",IF(AND(E1889=5,F1889&lt;=2,G1889&gt;=3),"Berpotensi",IF(AND(E1889&lt;=3,E1889&gt;=2,F1889&gt;=3),"Rawan",IF(AND(E1889&lt;=2,F1889&lt;=2),"Tidur","Umum"))))))</f>
        <v/>
      </c>
    </row>
    <row r="1890">
      <c r="B1890">
        <f>IF(A1890="","",$B$1-MAXIFS(Donasi!$A$2:$A$20000,Donasi!$B$2:$B$20000,A1890))</f>
        <v/>
      </c>
      <c r="C1890">
        <f>IF(A1890="","",COUNTIF(Donasi!$B$2:$B$20000,A1890))</f>
        <v/>
      </c>
      <c r="D1890">
        <f>IF(A1890="","",SUMIF(Donasi!$B$2:$B$20000,A1890,Donasi!$C$2:$C$20000))</f>
        <v/>
      </c>
      <c r="E1890">
        <f>IF(A1890="","",6-CEILING(PERCENTRANK.INC($B$3:$B$6000,B1890,4)*5+0.000001,1))</f>
        <v/>
      </c>
      <c r="F1890">
        <f>IF(A1890="","",MAX(1,CEILING(PERCENTRANK.INC($C$3:$C$6000,C1890,4)*5+0.000001,1)))</f>
        <v/>
      </c>
      <c r="G1890">
        <f>IF(A1890="","",MAX(1,CEILING(PERCENTRANK.INC($D$3:$D$6000,D1890,4)*5+0.000001,1)))</f>
        <v/>
      </c>
      <c r="H1890">
        <f>IF(A1890="","",E1890&amp;F1890&amp;G1890)</f>
        <v/>
      </c>
      <c r="I1890">
        <f>IF(A1890="","",IF(AND(E1890&gt;=4,F1890&gt;=4,G1890&gt;=4),"Juara",IF(AND(F1890&gt;=4,E1890&gt;=3),"Setia",IF(AND(E1890=5,F1890&lt;=2,G1890&gt;=3),"Berpotensi",IF(AND(E1890&lt;=3,E1890&gt;=2,F1890&gt;=3),"Rawan",IF(AND(E1890&lt;=2,F1890&lt;=2),"Tidur","Umum"))))))</f>
        <v/>
      </c>
    </row>
    <row r="1891">
      <c r="B1891">
        <f>IF(A1891="","",$B$1-MAXIFS(Donasi!$A$2:$A$20000,Donasi!$B$2:$B$20000,A1891))</f>
        <v/>
      </c>
      <c r="C1891">
        <f>IF(A1891="","",COUNTIF(Donasi!$B$2:$B$20000,A1891))</f>
        <v/>
      </c>
      <c r="D1891">
        <f>IF(A1891="","",SUMIF(Donasi!$B$2:$B$20000,A1891,Donasi!$C$2:$C$20000))</f>
        <v/>
      </c>
      <c r="E1891">
        <f>IF(A1891="","",6-CEILING(PERCENTRANK.INC($B$3:$B$6000,B1891,4)*5+0.000001,1))</f>
        <v/>
      </c>
      <c r="F1891">
        <f>IF(A1891="","",MAX(1,CEILING(PERCENTRANK.INC($C$3:$C$6000,C1891,4)*5+0.000001,1)))</f>
        <v/>
      </c>
      <c r="G1891">
        <f>IF(A1891="","",MAX(1,CEILING(PERCENTRANK.INC($D$3:$D$6000,D1891,4)*5+0.000001,1)))</f>
        <v/>
      </c>
      <c r="H1891">
        <f>IF(A1891="","",E1891&amp;F1891&amp;G1891)</f>
        <v/>
      </c>
      <c r="I1891">
        <f>IF(A1891="","",IF(AND(E1891&gt;=4,F1891&gt;=4,G1891&gt;=4),"Juara",IF(AND(F1891&gt;=4,E1891&gt;=3),"Setia",IF(AND(E1891=5,F1891&lt;=2,G1891&gt;=3),"Berpotensi",IF(AND(E1891&lt;=3,E1891&gt;=2,F1891&gt;=3),"Rawan",IF(AND(E1891&lt;=2,F1891&lt;=2),"Tidur","Umum"))))))</f>
        <v/>
      </c>
    </row>
    <row r="1892">
      <c r="B1892">
        <f>IF(A1892="","",$B$1-MAXIFS(Donasi!$A$2:$A$20000,Donasi!$B$2:$B$20000,A1892))</f>
        <v/>
      </c>
      <c r="C1892">
        <f>IF(A1892="","",COUNTIF(Donasi!$B$2:$B$20000,A1892))</f>
        <v/>
      </c>
      <c r="D1892">
        <f>IF(A1892="","",SUMIF(Donasi!$B$2:$B$20000,A1892,Donasi!$C$2:$C$20000))</f>
        <v/>
      </c>
      <c r="E1892">
        <f>IF(A1892="","",6-CEILING(PERCENTRANK.INC($B$3:$B$6000,B1892,4)*5+0.000001,1))</f>
        <v/>
      </c>
      <c r="F1892">
        <f>IF(A1892="","",MAX(1,CEILING(PERCENTRANK.INC($C$3:$C$6000,C1892,4)*5+0.000001,1)))</f>
        <v/>
      </c>
      <c r="G1892">
        <f>IF(A1892="","",MAX(1,CEILING(PERCENTRANK.INC($D$3:$D$6000,D1892,4)*5+0.000001,1)))</f>
        <v/>
      </c>
      <c r="H1892">
        <f>IF(A1892="","",E1892&amp;F1892&amp;G1892)</f>
        <v/>
      </c>
      <c r="I1892">
        <f>IF(A1892="","",IF(AND(E1892&gt;=4,F1892&gt;=4,G1892&gt;=4),"Juara",IF(AND(F1892&gt;=4,E1892&gt;=3),"Setia",IF(AND(E1892=5,F1892&lt;=2,G1892&gt;=3),"Berpotensi",IF(AND(E1892&lt;=3,E1892&gt;=2,F1892&gt;=3),"Rawan",IF(AND(E1892&lt;=2,F1892&lt;=2),"Tidur","Umum"))))))</f>
        <v/>
      </c>
    </row>
    <row r="1893">
      <c r="B1893">
        <f>IF(A1893="","",$B$1-MAXIFS(Donasi!$A$2:$A$20000,Donasi!$B$2:$B$20000,A1893))</f>
        <v/>
      </c>
      <c r="C1893">
        <f>IF(A1893="","",COUNTIF(Donasi!$B$2:$B$20000,A1893))</f>
        <v/>
      </c>
      <c r="D1893">
        <f>IF(A1893="","",SUMIF(Donasi!$B$2:$B$20000,A1893,Donasi!$C$2:$C$20000))</f>
        <v/>
      </c>
      <c r="E1893">
        <f>IF(A1893="","",6-CEILING(PERCENTRANK.INC($B$3:$B$6000,B1893,4)*5+0.000001,1))</f>
        <v/>
      </c>
      <c r="F1893">
        <f>IF(A1893="","",MAX(1,CEILING(PERCENTRANK.INC($C$3:$C$6000,C1893,4)*5+0.000001,1)))</f>
        <v/>
      </c>
      <c r="G1893">
        <f>IF(A1893="","",MAX(1,CEILING(PERCENTRANK.INC($D$3:$D$6000,D1893,4)*5+0.000001,1)))</f>
        <v/>
      </c>
      <c r="H1893">
        <f>IF(A1893="","",E1893&amp;F1893&amp;G1893)</f>
        <v/>
      </c>
      <c r="I1893">
        <f>IF(A1893="","",IF(AND(E1893&gt;=4,F1893&gt;=4,G1893&gt;=4),"Juara",IF(AND(F1893&gt;=4,E1893&gt;=3),"Setia",IF(AND(E1893=5,F1893&lt;=2,G1893&gt;=3),"Berpotensi",IF(AND(E1893&lt;=3,E1893&gt;=2,F1893&gt;=3),"Rawan",IF(AND(E1893&lt;=2,F1893&lt;=2),"Tidur","Umum"))))))</f>
        <v/>
      </c>
    </row>
    <row r="1894">
      <c r="B1894">
        <f>IF(A1894="","",$B$1-MAXIFS(Donasi!$A$2:$A$20000,Donasi!$B$2:$B$20000,A1894))</f>
        <v/>
      </c>
      <c r="C1894">
        <f>IF(A1894="","",COUNTIF(Donasi!$B$2:$B$20000,A1894))</f>
        <v/>
      </c>
      <c r="D1894">
        <f>IF(A1894="","",SUMIF(Donasi!$B$2:$B$20000,A1894,Donasi!$C$2:$C$20000))</f>
        <v/>
      </c>
      <c r="E1894">
        <f>IF(A1894="","",6-CEILING(PERCENTRANK.INC($B$3:$B$6000,B1894,4)*5+0.000001,1))</f>
        <v/>
      </c>
      <c r="F1894">
        <f>IF(A1894="","",MAX(1,CEILING(PERCENTRANK.INC($C$3:$C$6000,C1894,4)*5+0.000001,1)))</f>
        <v/>
      </c>
      <c r="G1894">
        <f>IF(A1894="","",MAX(1,CEILING(PERCENTRANK.INC($D$3:$D$6000,D1894,4)*5+0.000001,1)))</f>
        <v/>
      </c>
      <c r="H1894">
        <f>IF(A1894="","",E1894&amp;F1894&amp;G1894)</f>
        <v/>
      </c>
      <c r="I1894">
        <f>IF(A1894="","",IF(AND(E1894&gt;=4,F1894&gt;=4,G1894&gt;=4),"Juara",IF(AND(F1894&gt;=4,E1894&gt;=3),"Setia",IF(AND(E1894=5,F1894&lt;=2,G1894&gt;=3),"Berpotensi",IF(AND(E1894&lt;=3,E1894&gt;=2,F1894&gt;=3),"Rawan",IF(AND(E1894&lt;=2,F1894&lt;=2),"Tidur","Umum"))))))</f>
        <v/>
      </c>
    </row>
    <row r="1895">
      <c r="B1895">
        <f>IF(A1895="","",$B$1-MAXIFS(Donasi!$A$2:$A$20000,Donasi!$B$2:$B$20000,A1895))</f>
        <v/>
      </c>
      <c r="C1895">
        <f>IF(A1895="","",COUNTIF(Donasi!$B$2:$B$20000,A1895))</f>
        <v/>
      </c>
      <c r="D1895">
        <f>IF(A1895="","",SUMIF(Donasi!$B$2:$B$20000,A1895,Donasi!$C$2:$C$20000))</f>
        <v/>
      </c>
      <c r="E1895">
        <f>IF(A1895="","",6-CEILING(PERCENTRANK.INC($B$3:$B$6000,B1895,4)*5+0.000001,1))</f>
        <v/>
      </c>
      <c r="F1895">
        <f>IF(A1895="","",MAX(1,CEILING(PERCENTRANK.INC($C$3:$C$6000,C1895,4)*5+0.000001,1)))</f>
        <v/>
      </c>
      <c r="G1895">
        <f>IF(A1895="","",MAX(1,CEILING(PERCENTRANK.INC($D$3:$D$6000,D1895,4)*5+0.000001,1)))</f>
        <v/>
      </c>
      <c r="H1895">
        <f>IF(A1895="","",E1895&amp;F1895&amp;G1895)</f>
        <v/>
      </c>
      <c r="I1895">
        <f>IF(A1895="","",IF(AND(E1895&gt;=4,F1895&gt;=4,G1895&gt;=4),"Juara",IF(AND(F1895&gt;=4,E1895&gt;=3),"Setia",IF(AND(E1895=5,F1895&lt;=2,G1895&gt;=3),"Berpotensi",IF(AND(E1895&lt;=3,E1895&gt;=2,F1895&gt;=3),"Rawan",IF(AND(E1895&lt;=2,F1895&lt;=2),"Tidur","Umum"))))))</f>
        <v/>
      </c>
    </row>
    <row r="1896">
      <c r="B1896">
        <f>IF(A1896="","",$B$1-MAXIFS(Donasi!$A$2:$A$20000,Donasi!$B$2:$B$20000,A1896))</f>
        <v/>
      </c>
      <c r="C1896">
        <f>IF(A1896="","",COUNTIF(Donasi!$B$2:$B$20000,A1896))</f>
        <v/>
      </c>
      <c r="D1896">
        <f>IF(A1896="","",SUMIF(Donasi!$B$2:$B$20000,A1896,Donasi!$C$2:$C$20000))</f>
        <v/>
      </c>
      <c r="E1896">
        <f>IF(A1896="","",6-CEILING(PERCENTRANK.INC($B$3:$B$6000,B1896,4)*5+0.000001,1))</f>
        <v/>
      </c>
      <c r="F1896">
        <f>IF(A1896="","",MAX(1,CEILING(PERCENTRANK.INC($C$3:$C$6000,C1896,4)*5+0.000001,1)))</f>
        <v/>
      </c>
      <c r="G1896">
        <f>IF(A1896="","",MAX(1,CEILING(PERCENTRANK.INC($D$3:$D$6000,D1896,4)*5+0.000001,1)))</f>
        <v/>
      </c>
      <c r="H1896">
        <f>IF(A1896="","",E1896&amp;F1896&amp;G1896)</f>
        <v/>
      </c>
      <c r="I1896">
        <f>IF(A1896="","",IF(AND(E1896&gt;=4,F1896&gt;=4,G1896&gt;=4),"Juara",IF(AND(F1896&gt;=4,E1896&gt;=3),"Setia",IF(AND(E1896=5,F1896&lt;=2,G1896&gt;=3),"Berpotensi",IF(AND(E1896&lt;=3,E1896&gt;=2,F1896&gt;=3),"Rawan",IF(AND(E1896&lt;=2,F1896&lt;=2),"Tidur","Umum"))))))</f>
        <v/>
      </c>
    </row>
    <row r="1897">
      <c r="B1897">
        <f>IF(A1897="","",$B$1-MAXIFS(Donasi!$A$2:$A$20000,Donasi!$B$2:$B$20000,A1897))</f>
        <v/>
      </c>
      <c r="C1897">
        <f>IF(A1897="","",COUNTIF(Donasi!$B$2:$B$20000,A1897))</f>
        <v/>
      </c>
      <c r="D1897">
        <f>IF(A1897="","",SUMIF(Donasi!$B$2:$B$20000,A1897,Donasi!$C$2:$C$20000))</f>
        <v/>
      </c>
      <c r="E1897">
        <f>IF(A1897="","",6-CEILING(PERCENTRANK.INC($B$3:$B$6000,B1897,4)*5+0.000001,1))</f>
        <v/>
      </c>
      <c r="F1897">
        <f>IF(A1897="","",MAX(1,CEILING(PERCENTRANK.INC($C$3:$C$6000,C1897,4)*5+0.000001,1)))</f>
        <v/>
      </c>
      <c r="G1897">
        <f>IF(A1897="","",MAX(1,CEILING(PERCENTRANK.INC($D$3:$D$6000,D1897,4)*5+0.000001,1)))</f>
        <v/>
      </c>
      <c r="H1897">
        <f>IF(A1897="","",E1897&amp;F1897&amp;G1897)</f>
        <v/>
      </c>
      <c r="I1897">
        <f>IF(A1897="","",IF(AND(E1897&gt;=4,F1897&gt;=4,G1897&gt;=4),"Juara",IF(AND(F1897&gt;=4,E1897&gt;=3),"Setia",IF(AND(E1897=5,F1897&lt;=2,G1897&gt;=3),"Berpotensi",IF(AND(E1897&lt;=3,E1897&gt;=2,F1897&gt;=3),"Rawan",IF(AND(E1897&lt;=2,F1897&lt;=2),"Tidur","Umum"))))))</f>
        <v/>
      </c>
    </row>
    <row r="1898">
      <c r="B1898">
        <f>IF(A1898="","",$B$1-MAXIFS(Donasi!$A$2:$A$20000,Donasi!$B$2:$B$20000,A1898))</f>
        <v/>
      </c>
      <c r="C1898">
        <f>IF(A1898="","",COUNTIF(Donasi!$B$2:$B$20000,A1898))</f>
        <v/>
      </c>
      <c r="D1898">
        <f>IF(A1898="","",SUMIF(Donasi!$B$2:$B$20000,A1898,Donasi!$C$2:$C$20000))</f>
        <v/>
      </c>
      <c r="E1898">
        <f>IF(A1898="","",6-CEILING(PERCENTRANK.INC($B$3:$B$6000,B1898,4)*5+0.000001,1))</f>
        <v/>
      </c>
      <c r="F1898">
        <f>IF(A1898="","",MAX(1,CEILING(PERCENTRANK.INC($C$3:$C$6000,C1898,4)*5+0.000001,1)))</f>
        <v/>
      </c>
      <c r="G1898">
        <f>IF(A1898="","",MAX(1,CEILING(PERCENTRANK.INC($D$3:$D$6000,D1898,4)*5+0.000001,1)))</f>
        <v/>
      </c>
      <c r="H1898">
        <f>IF(A1898="","",E1898&amp;F1898&amp;G1898)</f>
        <v/>
      </c>
      <c r="I1898">
        <f>IF(A1898="","",IF(AND(E1898&gt;=4,F1898&gt;=4,G1898&gt;=4),"Juara",IF(AND(F1898&gt;=4,E1898&gt;=3),"Setia",IF(AND(E1898=5,F1898&lt;=2,G1898&gt;=3),"Berpotensi",IF(AND(E1898&lt;=3,E1898&gt;=2,F1898&gt;=3),"Rawan",IF(AND(E1898&lt;=2,F1898&lt;=2),"Tidur","Umum"))))))</f>
        <v/>
      </c>
    </row>
    <row r="1899">
      <c r="B1899">
        <f>IF(A1899="","",$B$1-MAXIFS(Donasi!$A$2:$A$20000,Donasi!$B$2:$B$20000,A1899))</f>
        <v/>
      </c>
      <c r="C1899">
        <f>IF(A1899="","",COUNTIF(Donasi!$B$2:$B$20000,A1899))</f>
        <v/>
      </c>
      <c r="D1899">
        <f>IF(A1899="","",SUMIF(Donasi!$B$2:$B$20000,A1899,Donasi!$C$2:$C$20000))</f>
        <v/>
      </c>
      <c r="E1899">
        <f>IF(A1899="","",6-CEILING(PERCENTRANK.INC($B$3:$B$6000,B1899,4)*5+0.000001,1))</f>
        <v/>
      </c>
      <c r="F1899">
        <f>IF(A1899="","",MAX(1,CEILING(PERCENTRANK.INC($C$3:$C$6000,C1899,4)*5+0.000001,1)))</f>
        <v/>
      </c>
      <c r="G1899">
        <f>IF(A1899="","",MAX(1,CEILING(PERCENTRANK.INC($D$3:$D$6000,D1899,4)*5+0.000001,1)))</f>
        <v/>
      </c>
      <c r="H1899">
        <f>IF(A1899="","",E1899&amp;F1899&amp;G1899)</f>
        <v/>
      </c>
      <c r="I1899">
        <f>IF(A1899="","",IF(AND(E1899&gt;=4,F1899&gt;=4,G1899&gt;=4),"Juara",IF(AND(F1899&gt;=4,E1899&gt;=3),"Setia",IF(AND(E1899=5,F1899&lt;=2,G1899&gt;=3),"Berpotensi",IF(AND(E1899&lt;=3,E1899&gt;=2,F1899&gt;=3),"Rawan",IF(AND(E1899&lt;=2,F1899&lt;=2),"Tidur","Umum"))))))</f>
        <v/>
      </c>
    </row>
    <row r="1900">
      <c r="B1900">
        <f>IF(A1900="","",$B$1-MAXIFS(Donasi!$A$2:$A$20000,Donasi!$B$2:$B$20000,A1900))</f>
        <v/>
      </c>
      <c r="C1900">
        <f>IF(A1900="","",COUNTIF(Donasi!$B$2:$B$20000,A1900))</f>
        <v/>
      </c>
      <c r="D1900">
        <f>IF(A1900="","",SUMIF(Donasi!$B$2:$B$20000,A1900,Donasi!$C$2:$C$20000))</f>
        <v/>
      </c>
      <c r="E1900">
        <f>IF(A1900="","",6-CEILING(PERCENTRANK.INC($B$3:$B$6000,B1900,4)*5+0.000001,1))</f>
        <v/>
      </c>
      <c r="F1900">
        <f>IF(A1900="","",MAX(1,CEILING(PERCENTRANK.INC($C$3:$C$6000,C1900,4)*5+0.000001,1)))</f>
        <v/>
      </c>
      <c r="G1900">
        <f>IF(A1900="","",MAX(1,CEILING(PERCENTRANK.INC($D$3:$D$6000,D1900,4)*5+0.000001,1)))</f>
        <v/>
      </c>
      <c r="H1900">
        <f>IF(A1900="","",E1900&amp;F1900&amp;G1900)</f>
        <v/>
      </c>
      <c r="I1900">
        <f>IF(A1900="","",IF(AND(E1900&gt;=4,F1900&gt;=4,G1900&gt;=4),"Juara",IF(AND(F1900&gt;=4,E1900&gt;=3),"Setia",IF(AND(E1900=5,F1900&lt;=2,G1900&gt;=3),"Berpotensi",IF(AND(E1900&lt;=3,E1900&gt;=2,F1900&gt;=3),"Rawan",IF(AND(E1900&lt;=2,F1900&lt;=2),"Tidur","Umum"))))))</f>
        <v/>
      </c>
    </row>
    <row r="1901">
      <c r="B1901">
        <f>IF(A1901="","",$B$1-MAXIFS(Donasi!$A$2:$A$20000,Donasi!$B$2:$B$20000,A1901))</f>
        <v/>
      </c>
      <c r="C1901">
        <f>IF(A1901="","",COUNTIF(Donasi!$B$2:$B$20000,A1901))</f>
        <v/>
      </c>
      <c r="D1901">
        <f>IF(A1901="","",SUMIF(Donasi!$B$2:$B$20000,A1901,Donasi!$C$2:$C$20000))</f>
        <v/>
      </c>
      <c r="E1901">
        <f>IF(A1901="","",6-CEILING(PERCENTRANK.INC($B$3:$B$6000,B1901,4)*5+0.000001,1))</f>
        <v/>
      </c>
      <c r="F1901">
        <f>IF(A1901="","",MAX(1,CEILING(PERCENTRANK.INC($C$3:$C$6000,C1901,4)*5+0.000001,1)))</f>
        <v/>
      </c>
      <c r="G1901">
        <f>IF(A1901="","",MAX(1,CEILING(PERCENTRANK.INC($D$3:$D$6000,D1901,4)*5+0.000001,1)))</f>
        <v/>
      </c>
      <c r="H1901">
        <f>IF(A1901="","",E1901&amp;F1901&amp;G1901)</f>
        <v/>
      </c>
      <c r="I1901">
        <f>IF(A1901="","",IF(AND(E1901&gt;=4,F1901&gt;=4,G1901&gt;=4),"Juara",IF(AND(F1901&gt;=4,E1901&gt;=3),"Setia",IF(AND(E1901=5,F1901&lt;=2,G1901&gt;=3),"Berpotensi",IF(AND(E1901&lt;=3,E1901&gt;=2,F1901&gt;=3),"Rawan",IF(AND(E1901&lt;=2,F1901&lt;=2),"Tidur","Umum"))))))</f>
        <v/>
      </c>
    </row>
    <row r="1902">
      <c r="B1902">
        <f>IF(A1902="","",$B$1-MAXIFS(Donasi!$A$2:$A$20000,Donasi!$B$2:$B$20000,A1902))</f>
        <v/>
      </c>
      <c r="C1902">
        <f>IF(A1902="","",COUNTIF(Donasi!$B$2:$B$20000,A1902))</f>
        <v/>
      </c>
      <c r="D1902">
        <f>IF(A1902="","",SUMIF(Donasi!$B$2:$B$20000,A1902,Donasi!$C$2:$C$20000))</f>
        <v/>
      </c>
      <c r="E1902">
        <f>IF(A1902="","",6-CEILING(PERCENTRANK.INC($B$3:$B$6000,B1902,4)*5+0.000001,1))</f>
        <v/>
      </c>
      <c r="F1902">
        <f>IF(A1902="","",MAX(1,CEILING(PERCENTRANK.INC($C$3:$C$6000,C1902,4)*5+0.000001,1)))</f>
        <v/>
      </c>
      <c r="G1902">
        <f>IF(A1902="","",MAX(1,CEILING(PERCENTRANK.INC($D$3:$D$6000,D1902,4)*5+0.000001,1)))</f>
        <v/>
      </c>
      <c r="H1902">
        <f>IF(A1902="","",E1902&amp;F1902&amp;G1902)</f>
        <v/>
      </c>
      <c r="I1902">
        <f>IF(A1902="","",IF(AND(E1902&gt;=4,F1902&gt;=4,G1902&gt;=4),"Juara",IF(AND(F1902&gt;=4,E1902&gt;=3),"Setia",IF(AND(E1902=5,F1902&lt;=2,G1902&gt;=3),"Berpotensi",IF(AND(E1902&lt;=3,E1902&gt;=2,F1902&gt;=3),"Rawan",IF(AND(E1902&lt;=2,F1902&lt;=2),"Tidur","Umum"))))))</f>
        <v/>
      </c>
    </row>
    <row r="1903">
      <c r="B1903">
        <f>IF(A1903="","",$B$1-MAXIFS(Donasi!$A$2:$A$20000,Donasi!$B$2:$B$20000,A1903))</f>
        <v/>
      </c>
      <c r="C1903">
        <f>IF(A1903="","",COUNTIF(Donasi!$B$2:$B$20000,A1903))</f>
        <v/>
      </c>
      <c r="D1903">
        <f>IF(A1903="","",SUMIF(Donasi!$B$2:$B$20000,A1903,Donasi!$C$2:$C$20000))</f>
        <v/>
      </c>
      <c r="E1903">
        <f>IF(A1903="","",6-CEILING(PERCENTRANK.INC($B$3:$B$6000,B1903,4)*5+0.000001,1))</f>
        <v/>
      </c>
      <c r="F1903">
        <f>IF(A1903="","",MAX(1,CEILING(PERCENTRANK.INC($C$3:$C$6000,C1903,4)*5+0.000001,1)))</f>
        <v/>
      </c>
      <c r="G1903">
        <f>IF(A1903="","",MAX(1,CEILING(PERCENTRANK.INC($D$3:$D$6000,D1903,4)*5+0.000001,1)))</f>
        <v/>
      </c>
      <c r="H1903">
        <f>IF(A1903="","",E1903&amp;F1903&amp;G1903)</f>
        <v/>
      </c>
      <c r="I1903">
        <f>IF(A1903="","",IF(AND(E1903&gt;=4,F1903&gt;=4,G1903&gt;=4),"Juara",IF(AND(F1903&gt;=4,E1903&gt;=3),"Setia",IF(AND(E1903=5,F1903&lt;=2,G1903&gt;=3),"Berpotensi",IF(AND(E1903&lt;=3,E1903&gt;=2,F1903&gt;=3),"Rawan",IF(AND(E1903&lt;=2,F1903&lt;=2),"Tidur","Umum"))))))</f>
        <v/>
      </c>
    </row>
    <row r="1904">
      <c r="B1904">
        <f>IF(A1904="","",$B$1-MAXIFS(Donasi!$A$2:$A$20000,Donasi!$B$2:$B$20000,A1904))</f>
        <v/>
      </c>
      <c r="C1904">
        <f>IF(A1904="","",COUNTIF(Donasi!$B$2:$B$20000,A1904))</f>
        <v/>
      </c>
      <c r="D1904">
        <f>IF(A1904="","",SUMIF(Donasi!$B$2:$B$20000,A1904,Donasi!$C$2:$C$20000))</f>
        <v/>
      </c>
      <c r="E1904">
        <f>IF(A1904="","",6-CEILING(PERCENTRANK.INC($B$3:$B$6000,B1904,4)*5+0.000001,1))</f>
        <v/>
      </c>
      <c r="F1904">
        <f>IF(A1904="","",MAX(1,CEILING(PERCENTRANK.INC($C$3:$C$6000,C1904,4)*5+0.000001,1)))</f>
        <v/>
      </c>
      <c r="G1904">
        <f>IF(A1904="","",MAX(1,CEILING(PERCENTRANK.INC($D$3:$D$6000,D1904,4)*5+0.000001,1)))</f>
        <v/>
      </c>
      <c r="H1904">
        <f>IF(A1904="","",E1904&amp;F1904&amp;G1904)</f>
        <v/>
      </c>
      <c r="I1904">
        <f>IF(A1904="","",IF(AND(E1904&gt;=4,F1904&gt;=4,G1904&gt;=4),"Juara",IF(AND(F1904&gt;=4,E1904&gt;=3),"Setia",IF(AND(E1904=5,F1904&lt;=2,G1904&gt;=3),"Berpotensi",IF(AND(E1904&lt;=3,E1904&gt;=2,F1904&gt;=3),"Rawan",IF(AND(E1904&lt;=2,F1904&lt;=2),"Tidur","Umum"))))))</f>
        <v/>
      </c>
    </row>
    <row r="1905">
      <c r="B1905">
        <f>IF(A1905="","",$B$1-MAXIFS(Donasi!$A$2:$A$20000,Donasi!$B$2:$B$20000,A1905))</f>
        <v/>
      </c>
      <c r="C1905">
        <f>IF(A1905="","",COUNTIF(Donasi!$B$2:$B$20000,A1905))</f>
        <v/>
      </c>
      <c r="D1905">
        <f>IF(A1905="","",SUMIF(Donasi!$B$2:$B$20000,A1905,Donasi!$C$2:$C$20000))</f>
        <v/>
      </c>
      <c r="E1905">
        <f>IF(A1905="","",6-CEILING(PERCENTRANK.INC($B$3:$B$6000,B1905,4)*5+0.000001,1))</f>
        <v/>
      </c>
      <c r="F1905">
        <f>IF(A1905="","",MAX(1,CEILING(PERCENTRANK.INC($C$3:$C$6000,C1905,4)*5+0.000001,1)))</f>
        <v/>
      </c>
      <c r="G1905">
        <f>IF(A1905="","",MAX(1,CEILING(PERCENTRANK.INC($D$3:$D$6000,D1905,4)*5+0.000001,1)))</f>
        <v/>
      </c>
      <c r="H1905">
        <f>IF(A1905="","",E1905&amp;F1905&amp;G1905)</f>
        <v/>
      </c>
      <c r="I1905">
        <f>IF(A1905="","",IF(AND(E1905&gt;=4,F1905&gt;=4,G1905&gt;=4),"Juara",IF(AND(F1905&gt;=4,E1905&gt;=3),"Setia",IF(AND(E1905=5,F1905&lt;=2,G1905&gt;=3),"Berpotensi",IF(AND(E1905&lt;=3,E1905&gt;=2,F1905&gt;=3),"Rawan",IF(AND(E1905&lt;=2,F1905&lt;=2),"Tidur","Umum"))))))</f>
        <v/>
      </c>
    </row>
    <row r="1906">
      <c r="B1906">
        <f>IF(A1906="","",$B$1-MAXIFS(Donasi!$A$2:$A$20000,Donasi!$B$2:$B$20000,A1906))</f>
        <v/>
      </c>
      <c r="C1906">
        <f>IF(A1906="","",COUNTIF(Donasi!$B$2:$B$20000,A1906))</f>
        <v/>
      </c>
      <c r="D1906">
        <f>IF(A1906="","",SUMIF(Donasi!$B$2:$B$20000,A1906,Donasi!$C$2:$C$20000))</f>
        <v/>
      </c>
      <c r="E1906">
        <f>IF(A1906="","",6-CEILING(PERCENTRANK.INC($B$3:$B$6000,B1906,4)*5+0.000001,1))</f>
        <v/>
      </c>
      <c r="F1906">
        <f>IF(A1906="","",MAX(1,CEILING(PERCENTRANK.INC($C$3:$C$6000,C1906,4)*5+0.000001,1)))</f>
        <v/>
      </c>
      <c r="G1906">
        <f>IF(A1906="","",MAX(1,CEILING(PERCENTRANK.INC($D$3:$D$6000,D1906,4)*5+0.000001,1)))</f>
        <v/>
      </c>
      <c r="H1906">
        <f>IF(A1906="","",E1906&amp;F1906&amp;G1906)</f>
        <v/>
      </c>
      <c r="I1906">
        <f>IF(A1906="","",IF(AND(E1906&gt;=4,F1906&gt;=4,G1906&gt;=4),"Juara",IF(AND(F1906&gt;=4,E1906&gt;=3),"Setia",IF(AND(E1906=5,F1906&lt;=2,G1906&gt;=3),"Berpotensi",IF(AND(E1906&lt;=3,E1906&gt;=2,F1906&gt;=3),"Rawan",IF(AND(E1906&lt;=2,F1906&lt;=2),"Tidur","Umum"))))))</f>
        <v/>
      </c>
    </row>
    <row r="1907">
      <c r="B1907">
        <f>IF(A1907="","",$B$1-MAXIFS(Donasi!$A$2:$A$20000,Donasi!$B$2:$B$20000,A1907))</f>
        <v/>
      </c>
      <c r="C1907">
        <f>IF(A1907="","",COUNTIF(Donasi!$B$2:$B$20000,A1907))</f>
        <v/>
      </c>
      <c r="D1907">
        <f>IF(A1907="","",SUMIF(Donasi!$B$2:$B$20000,A1907,Donasi!$C$2:$C$20000))</f>
        <v/>
      </c>
      <c r="E1907">
        <f>IF(A1907="","",6-CEILING(PERCENTRANK.INC($B$3:$B$6000,B1907,4)*5+0.000001,1))</f>
        <v/>
      </c>
      <c r="F1907">
        <f>IF(A1907="","",MAX(1,CEILING(PERCENTRANK.INC($C$3:$C$6000,C1907,4)*5+0.000001,1)))</f>
        <v/>
      </c>
      <c r="G1907">
        <f>IF(A1907="","",MAX(1,CEILING(PERCENTRANK.INC($D$3:$D$6000,D1907,4)*5+0.000001,1)))</f>
        <v/>
      </c>
      <c r="H1907">
        <f>IF(A1907="","",E1907&amp;F1907&amp;G1907)</f>
        <v/>
      </c>
      <c r="I1907">
        <f>IF(A1907="","",IF(AND(E1907&gt;=4,F1907&gt;=4,G1907&gt;=4),"Juara",IF(AND(F1907&gt;=4,E1907&gt;=3),"Setia",IF(AND(E1907=5,F1907&lt;=2,G1907&gt;=3),"Berpotensi",IF(AND(E1907&lt;=3,E1907&gt;=2,F1907&gt;=3),"Rawan",IF(AND(E1907&lt;=2,F1907&lt;=2),"Tidur","Umum"))))))</f>
        <v/>
      </c>
    </row>
    <row r="1908">
      <c r="B1908">
        <f>IF(A1908="","",$B$1-MAXIFS(Donasi!$A$2:$A$20000,Donasi!$B$2:$B$20000,A1908))</f>
        <v/>
      </c>
      <c r="C1908">
        <f>IF(A1908="","",COUNTIF(Donasi!$B$2:$B$20000,A1908))</f>
        <v/>
      </c>
      <c r="D1908">
        <f>IF(A1908="","",SUMIF(Donasi!$B$2:$B$20000,A1908,Donasi!$C$2:$C$20000))</f>
        <v/>
      </c>
      <c r="E1908">
        <f>IF(A1908="","",6-CEILING(PERCENTRANK.INC($B$3:$B$6000,B1908,4)*5+0.000001,1))</f>
        <v/>
      </c>
      <c r="F1908">
        <f>IF(A1908="","",MAX(1,CEILING(PERCENTRANK.INC($C$3:$C$6000,C1908,4)*5+0.000001,1)))</f>
        <v/>
      </c>
      <c r="G1908">
        <f>IF(A1908="","",MAX(1,CEILING(PERCENTRANK.INC($D$3:$D$6000,D1908,4)*5+0.000001,1)))</f>
        <v/>
      </c>
      <c r="H1908">
        <f>IF(A1908="","",E1908&amp;F1908&amp;G1908)</f>
        <v/>
      </c>
      <c r="I1908">
        <f>IF(A1908="","",IF(AND(E1908&gt;=4,F1908&gt;=4,G1908&gt;=4),"Juara",IF(AND(F1908&gt;=4,E1908&gt;=3),"Setia",IF(AND(E1908=5,F1908&lt;=2,G1908&gt;=3),"Berpotensi",IF(AND(E1908&lt;=3,E1908&gt;=2,F1908&gt;=3),"Rawan",IF(AND(E1908&lt;=2,F1908&lt;=2),"Tidur","Umum"))))))</f>
        <v/>
      </c>
    </row>
    <row r="1909">
      <c r="B1909">
        <f>IF(A1909="","",$B$1-MAXIFS(Donasi!$A$2:$A$20000,Donasi!$B$2:$B$20000,A1909))</f>
        <v/>
      </c>
      <c r="C1909">
        <f>IF(A1909="","",COUNTIF(Donasi!$B$2:$B$20000,A1909))</f>
        <v/>
      </c>
      <c r="D1909">
        <f>IF(A1909="","",SUMIF(Donasi!$B$2:$B$20000,A1909,Donasi!$C$2:$C$20000))</f>
        <v/>
      </c>
      <c r="E1909">
        <f>IF(A1909="","",6-CEILING(PERCENTRANK.INC($B$3:$B$6000,B1909,4)*5+0.000001,1))</f>
        <v/>
      </c>
      <c r="F1909">
        <f>IF(A1909="","",MAX(1,CEILING(PERCENTRANK.INC($C$3:$C$6000,C1909,4)*5+0.000001,1)))</f>
        <v/>
      </c>
      <c r="G1909">
        <f>IF(A1909="","",MAX(1,CEILING(PERCENTRANK.INC($D$3:$D$6000,D1909,4)*5+0.000001,1)))</f>
        <v/>
      </c>
      <c r="H1909">
        <f>IF(A1909="","",E1909&amp;F1909&amp;G1909)</f>
        <v/>
      </c>
      <c r="I1909">
        <f>IF(A1909="","",IF(AND(E1909&gt;=4,F1909&gt;=4,G1909&gt;=4),"Juara",IF(AND(F1909&gt;=4,E1909&gt;=3),"Setia",IF(AND(E1909=5,F1909&lt;=2,G1909&gt;=3),"Berpotensi",IF(AND(E1909&lt;=3,E1909&gt;=2,F1909&gt;=3),"Rawan",IF(AND(E1909&lt;=2,F1909&lt;=2),"Tidur","Umum"))))))</f>
        <v/>
      </c>
    </row>
    <row r="1910">
      <c r="B1910">
        <f>IF(A1910="","",$B$1-MAXIFS(Donasi!$A$2:$A$20000,Donasi!$B$2:$B$20000,A1910))</f>
        <v/>
      </c>
      <c r="C1910">
        <f>IF(A1910="","",COUNTIF(Donasi!$B$2:$B$20000,A1910))</f>
        <v/>
      </c>
      <c r="D1910">
        <f>IF(A1910="","",SUMIF(Donasi!$B$2:$B$20000,A1910,Donasi!$C$2:$C$20000))</f>
        <v/>
      </c>
      <c r="E1910">
        <f>IF(A1910="","",6-CEILING(PERCENTRANK.INC($B$3:$B$6000,B1910,4)*5+0.000001,1))</f>
        <v/>
      </c>
      <c r="F1910">
        <f>IF(A1910="","",MAX(1,CEILING(PERCENTRANK.INC($C$3:$C$6000,C1910,4)*5+0.000001,1)))</f>
        <v/>
      </c>
      <c r="G1910">
        <f>IF(A1910="","",MAX(1,CEILING(PERCENTRANK.INC($D$3:$D$6000,D1910,4)*5+0.000001,1)))</f>
        <v/>
      </c>
      <c r="H1910">
        <f>IF(A1910="","",E1910&amp;F1910&amp;G1910)</f>
        <v/>
      </c>
      <c r="I1910">
        <f>IF(A1910="","",IF(AND(E1910&gt;=4,F1910&gt;=4,G1910&gt;=4),"Juara",IF(AND(F1910&gt;=4,E1910&gt;=3),"Setia",IF(AND(E1910=5,F1910&lt;=2,G1910&gt;=3),"Berpotensi",IF(AND(E1910&lt;=3,E1910&gt;=2,F1910&gt;=3),"Rawan",IF(AND(E1910&lt;=2,F1910&lt;=2),"Tidur","Umum"))))))</f>
        <v/>
      </c>
    </row>
    <row r="1911">
      <c r="B1911">
        <f>IF(A1911="","",$B$1-MAXIFS(Donasi!$A$2:$A$20000,Donasi!$B$2:$B$20000,A1911))</f>
        <v/>
      </c>
      <c r="C1911">
        <f>IF(A1911="","",COUNTIF(Donasi!$B$2:$B$20000,A1911))</f>
        <v/>
      </c>
      <c r="D1911">
        <f>IF(A1911="","",SUMIF(Donasi!$B$2:$B$20000,A1911,Donasi!$C$2:$C$20000))</f>
        <v/>
      </c>
      <c r="E1911">
        <f>IF(A1911="","",6-CEILING(PERCENTRANK.INC($B$3:$B$6000,B1911,4)*5+0.000001,1))</f>
        <v/>
      </c>
      <c r="F1911">
        <f>IF(A1911="","",MAX(1,CEILING(PERCENTRANK.INC($C$3:$C$6000,C1911,4)*5+0.000001,1)))</f>
        <v/>
      </c>
      <c r="G1911">
        <f>IF(A1911="","",MAX(1,CEILING(PERCENTRANK.INC($D$3:$D$6000,D1911,4)*5+0.000001,1)))</f>
        <v/>
      </c>
      <c r="H1911">
        <f>IF(A1911="","",E1911&amp;F1911&amp;G1911)</f>
        <v/>
      </c>
      <c r="I1911">
        <f>IF(A1911="","",IF(AND(E1911&gt;=4,F1911&gt;=4,G1911&gt;=4),"Juara",IF(AND(F1911&gt;=4,E1911&gt;=3),"Setia",IF(AND(E1911=5,F1911&lt;=2,G1911&gt;=3),"Berpotensi",IF(AND(E1911&lt;=3,E1911&gt;=2,F1911&gt;=3),"Rawan",IF(AND(E1911&lt;=2,F1911&lt;=2),"Tidur","Umum"))))))</f>
        <v/>
      </c>
    </row>
    <row r="1912">
      <c r="B1912">
        <f>IF(A1912="","",$B$1-MAXIFS(Donasi!$A$2:$A$20000,Donasi!$B$2:$B$20000,A1912))</f>
        <v/>
      </c>
      <c r="C1912">
        <f>IF(A1912="","",COUNTIF(Donasi!$B$2:$B$20000,A1912))</f>
        <v/>
      </c>
      <c r="D1912">
        <f>IF(A1912="","",SUMIF(Donasi!$B$2:$B$20000,A1912,Donasi!$C$2:$C$20000))</f>
        <v/>
      </c>
      <c r="E1912">
        <f>IF(A1912="","",6-CEILING(PERCENTRANK.INC($B$3:$B$6000,B1912,4)*5+0.000001,1))</f>
        <v/>
      </c>
      <c r="F1912">
        <f>IF(A1912="","",MAX(1,CEILING(PERCENTRANK.INC($C$3:$C$6000,C1912,4)*5+0.000001,1)))</f>
        <v/>
      </c>
      <c r="G1912">
        <f>IF(A1912="","",MAX(1,CEILING(PERCENTRANK.INC($D$3:$D$6000,D1912,4)*5+0.000001,1)))</f>
        <v/>
      </c>
      <c r="H1912">
        <f>IF(A1912="","",E1912&amp;F1912&amp;G1912)</f>
        <v/>
      </c>
      <c r="I1912">
        <f>IF(A1912="","",IF(AND(E1912&gt;=4,F1912&gt;=4,G1912&gt;=4),"Juara",IF(AND(F1912&gt;=4,E1912&gt;=3),"Setia",IF(AND(E1912=5,F1912&lt;=2,G1912&gt;=3),"Berpotensi",IF(AND(E1912&lt;=3,E1912&gt;=2,F1912&gt;=3),"Rawan",IF(AND(E1912&lt;=2,F1912&lt;=2),"Tidur","Umum"))))))</f>
        <v/>
      </c>
    </row>
    <row r="1913">
      <c r="B1913">
        <f>IF(A1913="","",$B$1-MAXIFS(Donasi!$A$2:$A$20000,Donasi!$B$2:$B$20000,A1913))</f>
        <v/>
      </c>
      <c r="C1913">
        <f>IF(A1913="","",COUNTIF(Donasi!$B$2:$B$20000,A1913))</f>
        <v/>
      </c>
      <c r="D1913">
        <f>IF(A1913="","",SUMIF(Donasi!$B$2:$B$20000,A1913,Donasi!$C$2:$C$20000))</f>
        <v/>
      </c>
      <c r="E1913">
        <f>IF(A1913="","",6-CEILING(PERCENTRANK.INC($B$3:$B$6000,B1913,4)*5+0.000001,1))</f>
        <v/>
      </c>
      <c r="F1913">
        <f>IF(A1913="","",MAX(1,CEILING(PERCENTRANK.INC($C$3:$C$6000,C1913,4)*5+0.000001,1)))</f>
        <v/>
      </c>
      <c r="G1913">
        <f>IF(A1913="","",MAX(1,CEILING(PERCENTRANK.INC($D$3:$D$6000,D1913,4)*5+0.000001,1)))</f>
        <v/>
      </c>
      <c r="H1913">
        <f>IF(A1913="","",E1913&amp;F1913&amp;G1913)</f>
        <v/>
      </c>
      <c r="I1913">
        <f>IF(A1913="","",IF(AND(E1913&gt;=4,F1913&gt;=4,G1913&gt;=4),"Juara",IF(AND(F1913&gt;=4,E1913&gt;=3),"Setia",IF(AND(E1913=5,F1913&lt;=2,G1913&gt;=3),"Berpotensi",IF(AND(E1913&lt;=3,E1913&gt;=2,F1913&gt;=3),"Rawan",IF(AND(E1913&lt;=2,F1913&lt;=2),"Tidur","Umum"))))))</f>
        <v/>
      </c>
    </row>
    <row r="1914">
      <c r="B1914">
        <f>IF(A1914="","",$B$1-MAXIFS(Donasi!$A$2:$A$20000,Donasi!$B$2:$B$20000,A1914))</f>
        <v/>
      </c>
      <c r="C1914">
        <f>IF(A1914="","",COUNTIF(Donasi!$B$2:$B$20000,A1914))</f>
        <v/>
      </c>
      <c r="D1914">
        <f>IF(A1914="","",SUMIF(Donasi!$B$2:$B$20000,A1914,Donasi!$C$2:$C$20000))</f>
        <v/>
      </c>
      <c r="E1914">
        <f>IF(A1914="","",6-CEILING(PERCENTRANK.INC($B$3:$B$6000,B1914,4)*5+0.000001,1))</f>
        <v/>
      </c>
      <c r="F1914">
        <f>IF(A1914="","",MAX(1,CEILING(PERCENTRANK.INC($C$3:$C$6000,C1914,4)*5+0.000001,1)))</f>
        <v/>
      </c>
      <c r="G1914">
        <f>IF(A1914="","",MAX(1,CEILING(PERCENTRANK.INC($D$3:$D$6000,D1914,4)*5+0.000001,1)))</f>
        <v/>
      </c>
      <c r="H1914">
        <f>IF(A1914="","",E1914&amp;F1914&amp;G1914)</f>
        <v/>
      </c>
      <c r="I1914">
        <f>IF(A1914="","",IF(AND(E1914&gt;=4,F1914&gt;=4,G1914&gt;=4),"Juara",IF(AND(F1914&gt;=4,E1914&gt;=3),"Setia",IF(AND(E1914=5,F1914&lt;=2,G1914&gt;=3),"Berpotensi",IF(AND(E1914&lt;=3,E1914&gt;=2,F1914&gt;=3),"Rawan",IF(AND(E1914&lt;=2,F1914&lt;=2),"Tidur","Umum"))))))</f>
        <v/>
      </c>
    </row>
    <row r="1915">
      <c r="B1915">
        <f>IF(A1915="","",$B$1-MAXIFS(Donasi!$A$2:$A$20000,Donasi!$B$2:$B$20000,A1915))</f>
        <v/>
      </c>
      <c r="C1915">
        <f>IF(A1915="","",COUNTIF(Donasi!$B$2:$B$20000,A1915))</f>
        <v/>
      </c>
      <c r="D1915">
        <f>IF(A1915="","",SUMIF(Donasi!$B$2:$B$20000,A1915,Donasi!$C$2:$C$20000))</f>
        <v/>
      </c>
      <c r="E1915">
        <f>IF(A1915="","",6-CEILING(PERCENTRANK.INC($B$3:$B$6000,B1915,4)*5+0.000001,1))</f>
        <v/>
      </c>
      <c r="F1915">
        <f>IF(A1915="","",MAX(1,CEILING(PERCENTRANK.INC($C$3:$C$6000,C1915,4)*5+0.000001,1)))</f>
        <v/>
      </c>
      <c r="G1915">
        <f>IF(A1915="","",MAX(1,CEILING(PERCENTRANK.INC($D$3:$D$6000,D1915,4)*5+0.000001,1)))</f>
        <v/>
      </c>
      <c r="H1915">
        <f>IF(A1915="","",E1915&amp;F1915&amp;G1915)</f>
        <v/>
      </c>
      <c r="I1915">
        <f>IF(A1915="","",IF(AND(E1915&gt;=4,F1915&gt;=4,G1915&gt;=4),"Juara",IF(AND(F1915&gt;=4,E1915&gt;=3),"Setia",IF(AND(E1915=5,F1915&lt;=2,G1915&gt;=3),"Berpotensi",IF(AND(E1915&lt;=3,E1915&gt;=2,F1915&gt;=3),"Rawan",IF(AND(E1915&lt;=2,F1915&lt;=2),"Tidur","Umum"))))))</f>
        <v/>
      </c>
    </row>
    <row r="1916">
      <c r="B1916">
        <f>IF(A1916="","",$B$1-MAXIFS(Donasi!$A$2:$A$20000,Donasi!$B$2:$B$20000,A1916))</f>
        <v/>
      </c>
      <c r="C1916">
        <f>IF(A1916="","",COUNTIF(Donasi!$B$2:$B$20000,A1916))</f>
        <v/>
      </c>
      <c r="D1916">
        <f>IF(A1916="","",SUMIF(Donasi!$B$2:$B$20000,A1916,Donasi!$C$2:$C$20000))</f>
        <v/>
      </c>
      <c r="E1916">
        <f>IF(A1916="","",6-CEILING(PERCENTRANK.INC($B$3:$B$6000,B1916,4)*5+0.000001,1))</f>
        <v/>
      </c>
      <c r="F1916">
        <f>IF(A1916="","",MAX(1,CEILING(PERCENTRANK.INC($C$3:$C$6000,C1916,4)*5+0.000001,1)))</f>
        <v/>
      </c>
      <c r="G1916">
        <f>IF(A1916="","",MAX(1,CEILING(PERCENTRANK.INC($D$3:$D$6000,D1916,4)*5+0.000001,1)))</f>
        <v/>
      </c>
      <c r="H1916">
        <f>IF(A1916="","",E1916&amp;F1916&amp;G1916)</f>
        <v/>
      </c>
      <c r="I1916">
        <f>IF(A1916="","",IF(AND(E1916&gt;=4,F1916&gt;=4,G1916&gt;=4),"Juara",IF(AND(F1916&gt;=4,E1916&gt;=3),"Setia",IF(AND(E1916=5,F1916&lt;=2,G1916&gt;=3),"Berpotensi",IF(AND(E1916&lt;=3,E1916&gt;=2,F1916&gt;=3),"Rawan",IF(AND(E1916&lt;=2,F1916&lt;=2),"Tidur","Umum"))))))</f>
        <v/>
      </c>
    </row>
    <row r="1917">
      <c r="B1917">
        <f>IF(A1917="","",$B$1-MAXIFS(Donasi!$A$2:$A$20000,Donasi!$B$2:$B$20000,A1917))</f>
        <v/>
      </c>
      <c r="C1917">
        <f>IF(A1917="","",COUNTIF(Donasi!$B$2:$B$20000,A1917))</f>
        <v/>
      </c>
      <c r="D1917">
        <f>IF(A1917="","",SUMIF(Donasi!$B$2:$B$20000,A1917,Donasi!$C$2:$C$20000))</f>
        <v/>
      </c>
      <c r="E1917">
        <f>IF(A1917="","",6-CEILING(PERCENTRANK.INC($B$3:$B$6000,B1917,4)*5+0.000001,1))</f>
        <v/>
      </c>
      <c r="F1917">
        <f>IF(A1917="","",MAX(1,CEILING(PERCENTRANK.INC($C$3:$C$6000,C1917,4)*5+0.000001,1)))</f>
        <v/>
      </c>
      <c r="G1917">
        <f>IF(A1917="","",MAX(1,CEILING(PERCENTRANK.INC($D$3:$D$6000,D1917,4)*5+0.000001,1)))</f>
        <v/>
      </c>
      <c r="H1917">
        <f>IF(A1917="","",E1917&amp;F1917&amp;G1917)</f>
        <v/>
      </c>
      <c r="I1917">
        <f>IF(A1917="","",IF(AND(E1917&gt;=4,F1917&gt;=4,G1917&gt;=4),"Juara",IF(AND(F1917&gt;=4,E1917&gt;=3),"Setia",IF(AND(E1917=5,F1917&lt;=2,G1917&gt;=3),"Berpotensi",IF(AND(E1917&lt;=3,E1917&gt;=2,F1917&gt;=3),"Rawan",IF(AND(E1917&lt;=2,F1917&lt;=2),"Tidur","Umum"))))))</f>
        <v/>
      </c>
    </row>
    <row r="1918">
      <c r="B1918">
        <f>IF(A1918="","",$B$1-MAXIFS(Donasi!$A$2:$A$20000,Donasi!$B$2:$B$20000,A1918))</f>
        <v/>
      </c>
      <c r="C1918">
        <f>IF(A1918="","",COUNTIF(Donasi!$B$2:$B$20000,A1918))</f>
        <v/>
      </c>
      <c r="D1918">
        <f>IF(A1918="","",SUMIF(Donasi!$B$2:$B$20000,A1918,Donasi!$C$2:$C$20000))</f>
        <v/>
      </c>
      <c r="E1918">
        <f>IF(A1918="","",6-CEILING(PERCENTRANK.INC($B$3:$B$6000,B1918,4)*5+0.000001,1))</f>
        <v/>
      </c>
      <c r="F1918">
        <f>IF(A1918="","",MAX(1,CEILING(PERCENTRANK.INC($C$3:$C$6000,C1918,4)*5+0.000001,1)))</f>
        <v/>
      </c>
      <c r="G1918">
        <f>IF(A1918="","",MAX(1,CEILING(PERCENTRANK.INC($D$3:$D$6000,D1918,4)*5+0.000001,1)))</f>
        <v/>
      </c>
      <c r="H1918">
        <f>IF(A1918="","",E1918&amp;F1918&amp;G1918)</f>
        <v/>
      </c>
      <c r="I1918">
        <f>IF(A1918="","",IF(AND(E1918&gt;=4,F1918&gt;=4,G1918&gt;=4),"Juara",IF(AND(F1918&gt;=4,E1918&gt;=3),"Setia",IF(AND(E1918=5,F1918&lt;=2,G1918&gt;=3),"Berpotensi",IF(AND(E1918&lt;=3,E1918&gt;=2,F1918&gt;=3),"Rawan",IF(AND(E1918&lt;=2,F1918&lt;=2),"Tidur","Umum"))))))</f>
        <v/>
      </c>
    </row>
    <row r="1919">
      <c r="B1919">
        <f>IF(A1919="","",$B$1-MAXIFS(Donasi!$A$2:$A$20000,Donasi!$B$2:$B$20000,A1919))</f>
        <v/>
      </c>
      <c r="C1919">
        <f>IF(A1919="","",COUNTIF(Donasi!$B$2:$B$20000,A1919))</f>
        <v/>
      </c>
      <c r="D1919">
        <f>IF(A1919="","",SUMIF(Donasi!$B$2:$B$20000,A1919,Donasi!$C$2:$C$20000))</f>
        <v/>
      </c>
      <c r="E1919">
        <f>IF(A1919="","",6-CEILING(PERCENTRANK.INC($B$3:$B$6000,B1919,4)*5+0.000001,1))</f>
        <v/>
      </c>
      <c r="F1919">
        <f>IF(A1919="","",MAX(1,CEILING(PERCENTRANK.INC($C$3:$C$6000,C1919,4)*5+0.000001,1)))</f>
        <v/>
      </c>
      <c r="G1919">
        <f>IF(A1919="","",MAX(1,CEILING(PERCENTRANK.INC($D$3:$D$6000,D1919,4)*5+0.000001,1)))</f>
        <v/>
      </c>
      <c r="H1919">
        <f>IF(A1919="","",E1919&amp;F1919&amp;G1919)</f>
        <v/>
      </c>
      <c r="I1919">
        <f>IF(A1919="","",IF(AND(E1919&gt;=4,F1919&gt;=4,G1919&gt;=4),"Juara",IF(AND(F1919&gt;=4,E1919&gt;=3),"Setia",IF(AND(E1919=5,F1919&lt;=2,G1919&gt;=3),"Berpotensi",IF(AND(E1919&lt;=3,E1919&gt;=2,F1919&gt;=3),"Rawan",IF(AND(E1919&lt;=2,F1919&lt;=2),"Tidur","Umum"))))))</f>
        <v/>
      </c>
    </row>
    <row r="1920">
      <c r="B1920">
        <f>IF(A1920="","",$B$1-MAXIFS(Donasi!$A$2:$A$20000,Donasi!$B$2:$B$20000,A1920))</f>
        <v/>
      </c>
      <c r="C1920">
        <f>IF(A1920="","",COUNTIF(Donasi!$B$2:$B$20000,A1920))</f>
        <v/>
      </c>
      <c r="D1920">
        <f>IF(A1920="","",SUMIF(Donasi!$B$2:$B$20000,A1920,Donasi!$C$2:$C$20000))</f>
        <v/>
      </c>
      <c r="E1920">
        <f>IF(A1920="","",6-CEILING(PERCENTRANK.INC($B$3:$B$6000,B1920,4)*5+0.000001,1))</f>
        <v/>
      </c>
      <c r="F1920">
        <f>IF(A1920="","",MAX(1,CEILING(PERCENTRANK.INC($C$3:$C$6000,C1920,4)*5+0.000001,1)))</f>
        <v/>
      </c>
      <c r="G1920">
        <f>IF(A1920="","",MAX(1,CEILING(PERCENTRANK.INC($D$3:$D$6000,D1920,4)*5+0.000001,1)))</f>
        <v/>
      </c>
      <c r="H1920">
        <f>IF(A1920="","",E1920&amp;F1920&amp;G1920)</f>
        <v/>
      </c>
      <c r="I1920">
        <f>IF(A1920="","",IF(AND(E1920&gt;=4,F1920&gt;=4,G1920&gt;=4),"Juara",IF(AND(F1920&gt;=4,E1920&gt;=3),"Setia",IF(AND(E1920=5,F1920&lt;=2,G1920&gt;=3),"Berpotensi",IF(AND(E1920&lt;=3,E1920&gt;=2,F1920&gt;=3),"Rawan",IF(AND(E1920&lt;=2,F1920&lt;=2),"Tidur","Umum"))))))</f>
        <v/>
      </c>
    </row>
    <row r="1921">
      <c r="B1921">
        <f>IF(A1921="","",$B$1-MAXIFS(Donasi!$A$2:$A$20000,Donasi!$B$2:$B$20000,A1921))</f>
        <v/>
      </c>
      <c r="C1921">
        <f>IF(A1921="","",COUNTIF(Donasi!$B$2:$B$20000,A1921))</f>
        <v/>
      </c>
      <c r="D1921">
        <f>IF(A1921="","",SUMIF(Donasi!$B$2:$B$20000,A1921,Donasi!$C$2:$C$20000))</f>
        <v/>
      </c>
      <c r="E1921">
        <f>IF(A1921="","",6-CEILING(PERCENTRANK.INC($B$3:$B$6000,B1921,4)*5+0.000001,1))</f>
        <v/>
      </c>
      <c r="F1921">
        <f>IF(A1921="","",MAX(1,CEILING(PERCENTRANK.INC($C$3:$C$6000,C1921,4)*5+0.000001,1)))</f>
        <v/>
      </c>
      <c r="G1921">
        <f>IF(A1921="","",MAX(1,CEILING(PERCENTRANK.INC($D$3:$D$6000,D1921,4)*5+0.000001,1)))</f>
        <v/>
      </c>
      <c r="H1921">
        <f>IF(A1921="","",E1921&amp;F1921&amp;G1921)</f>
        <v/>
      </c>
      <c r="I1921">
        <f>IF(A1921="","",IF(AND(E1921&gt;=4,F1921&gt;=4,G1921&gt;=4),"Juara",IF(AND(F1921&gt;=4,E1921&gt;=3),"Setia",IF(AND(E1921=5,F1921&lt;=2,G1921&gt;=3),"Berpotensi",IF(AND(E1921&lt;=3,E1921&gt;=2,F1921&gt;=3),"Rawan",IF(AND(E1921&lt;=2,F1921&lt;=2),"Tidur","Umum"))))))</f>
        <v/>
      </c>
    </row>
    <row r="1922">
      <c r="B1922">
        <f>IF(A1922="","",$B$1-MAXIFS(Donasi!$A$2:$A$20000,Donasi!$B$2:$B$20000,A1922))</f>
        <v/>
      </c>
      <c r="C1922">
        <f>IF(A1922="","",COUNTIF(Donasi!$B$2:$B$20000,A1922))</f>
        <v/>
      </c>
      <c r="D1922">
        <f>IF(A1922="","",SUMIF(Donasi!$B$2:$B$20000,A1922,Donasi!$C$2:$C$20000))</f>
        <v/>
      </c>
      <c r="E1922">
        <f>IF(A1922="","",6-CEILING(PERCENTRANK.INC($B$3:$B$6000,B1922,4)*5+0.000001,1))</f>
        <v/>
      </c>
      <c r="F1922">
        <f>IF(A1922="","",MAX(1,CEILING(PERCENTRANK.INC($C$3:$C$6000,C1922,4)*5+0.000001,1)))</f>
        <v/>
      </c>
      <c r="G1922">
        <f>IF(A1922="","",MAX(1,CEILING(PERCENTRANK.INC($D$3:$D$6000,D1922,4)*5+0.000001,1)))</f>
        <v/>
      </c>
      <c r="H1922">
        <f>IF(A1922="","",E1922&amp;F1922&amp;G1922)</f>
        <v/>
      </c>
      <c r="I1922">
        <f>IF(A1922="","",IF(AND(E1922&gt;=4,F1922&gt;=4,G1922&gt;=4),"Juara",IF(AND(F1922&gt;=4,E1922&gt;=3),"Setia",IF(AND(E1922=5,F1922&lt;=2,G1922&gt;=3),"Berpotensi",IF(AND(E1922&lt;=3,E1922&gt;=2,F1922&gt;=3),"Rawan",IF(AND(E1922&lt;=2,F1922&lt;=2),"Tidur","Umum"))))))</f>
        <v/>
      </c>
    </row>
    <row r="1923">
      <c r="B1923">
        <f>IF(A1923="","",$B$1-MAXIFS(Donasi!$A$2:$A$20000,Donasi!$B$2:$B$20000,A1923))</f>
        <v/>
      </c>
      <c r="C1923">
        <f>IF(A1923="","",COUNTIF(Donasi!$B$2:$B$20000,A1923))</f>
        <v/>
      </c>
      <c r="D1923">
        <f>IF(A1923="","",SUMIF(Donasi!$B$2:$B$20000,A1923,Donasi!$C$2:$C$20000))</f>
        <v/>
      </c>
      <c r="E1923">
        <f>IF(A1923="","",6-CEILING(PERCENTRANK.INC($B$3:$B$6000,B1923,4)*5+0.000001,1))</f>
        <v/>
      </c>
      <c r="F1923">
        <f>IF(A1923="","",MAX(1,CEILING(PERCENTRANK.INC($C$3:$C$6000,C1923,4)*5+0.000001,1)))</f>
        <v/>
      </c>
      <c r="G1923">
        <f>IF(A1923="","",MAX(1,CEILING(PERCENTRANK.INC($D$3:$D$6000,D1923,4)*5+0.000001,1)))</f>
        <v/>
      </c>
      <c r="H1923">
        <f>IF(A1923="","",E1923&amp;F1923&amp;G1923)</f>
        <v/>
      </c>
      <c r="I1923">
        <f>IF(A1923="","",IF(AND(E1923&gt;=4,F1923&gt;=4,G1923&gt;=4),"Juara",IF(AND(F1923&gt;=4,E1923&gt;=3),"Setia",IF(AND(E1923=5,F1923&lt;=2,G1923&gt;=3),"Berpotensi",IF(AND(E1923&lt;=3,E1923&gt;=2,F1923&gt;=3),"Rawan",IF(AND(E1923&lt;=2,F1923&lt;=2),"Tidur","Umum"))))))</f>
        <v/>
      </c>
    </row>
    <row r="1924">
      <c r="B1924">
        <f>IF(A1924="","",$B$1-MAXIFS(Donasi!$A$2:$A$20000,Donasi!$B$2:$B$20000,A1924))</f>
        <v/>
      </c>
      <c r="C1924">
        <f>IF(A1924="","",COUNTIF(Donasi!$B$2:$B$20000,A1924))</f>
        <v/>
      </c>
      <c r="D1924">
        <f>IF(A1924="","",SUMIF(Donasi!$B$2:$B$20000,A1924,Donasi!$C$2:$C$20000))</f>
        <v/>
      </c>
      <c r="E1924">
        <f>IF(A1924="","",6-CEILING(PERCENTRANK.INC($B$3:$B$6000,B1924,4)*5+0.000001,1))</f>
        <v/>
      </c>
      <c r="F1924">
        <f>IF(A1924="","",MAX(1,CEILING(PERCENTRANK.INC($C$3:$C$6000,C1924,4)*5+0.000001,1)))</f>
        <v/>
      </c>
      <c r="G1924">
        <f>IF(A1924="","",MAX(1,CEILING(PERCENTRANK.INC($D$3:$D$6000,D1924,4)*5+0.000001,1)))</f>
        <v/>
      </c>
      <c r="H1924">
        <f>IF(A1924="","",E1924&amp;F1924&amp;G1924)</f>
        <v/>
      </c>
      <c r="I1924">
        <f>IF(A1924="","",IF(AND(E1924&gt;=4,F1924&gt;=4,G1924&gt;=4),"Juara",IF(AND(F1924&gt;=4,E1924&gt;=3),"Setia",IF(AND(E1924=5,F1924&lt;=2,G1924&gt;=3),"Berpotensi",IF(AND(E1924&lt;=3,E1924&gt;=2,F1924&gt;=3),"Rawan",IF(AND(E1924&lt;=2,F1924&lt;=2),"Tidur","Umum"))))))</f>
        <v/>
      </c>
    </row>
    <row r="1925">
      <c r="B1925">
        <f>IF(A1925="","",$B$1-MAXIFS(Donasi!$A$2:$A$20000,Donasi!$B$2:$B$20000,A1925))</f>
        <v/>
      </c>
      <c r="C1925">
        <f>IF(A1925="","",COUNTIF(Donasi!$B$2:$B$20000,A1925))</f>
        <v/>
      </c>
      <c r="D1925">
        <f>IF(A1925="","",SUMIF(Donasi!$B$2:$B$20000,A1925,Donasi!$C$2:$C$20000))</f>
        <v/>
      </c>
      <c r="E1925">
        <f>IF(A1925="","",6-CEILING(PERCENTRANK.INC($B$3:$B$6000,B1925,4)*5+0.000001,1))</f>
        <v/>
      </c>
      <c r="F1925">
        <f>IF(A1925="","",MAX(1,CEILING(PERCENTRANK.INC($C$3:$C$6000,C1925,4)*5+0.000001,1)))</f>
        <v/>
      </c>
      <c r="G1925">
        <f>IF(A1925="","",MAX(1,CEILING(PERCENTRANK.INC($D$3:$D$6000,D1925,4)*5+0.000001,1)))</f>
        <v/>
      </c>
      <c r="H1925">
        <f>IF(A1925="","",E1925&amp;F1925&amp;G1925)</f>
        <v/>
      </c>
      <c r="I1925">
        <f>IF(A1925="","",IF(AND(E1925&gt;=4,F1925&gt;=4,G1925&gt;=4),"Juara",IF(AND(F1925&gt;=4,E1925&gt;=3),"Setia",IF(AND(E1925=5,F1925&lt;=2,G1925&gt;=3),"Berpotensi",IF(AND(E1925&lt;=3,E1925&gt;=2,F1925&gt;=3),"Rawan",IF(AND(E1925&lt;=2,F1925&lt;=2),"Tidur","Umum"))))))</f>
        <v/>
      </c>
    </row>
    <row r="1926">
      <c r="B1926">
        <f>IF(A1926="","",$B$1-MAXIFS(Donasi!$A$2:$A$20000,Donasi!$B$2:$B$20000,A1926))</f>
        <v/>
      </c>
      <c r="C1926">
        <f>IF(A1926="","",COUNTIF(Donasi!$B$2:$B$20000,A1926))</f>
        <v/>
      </c>
      <c r="D1926">
        <f>IF(A1926="","",SUMIF(Donasi!$B$2:$B$20000,A1926,Donasi!$C$2:$C$20000))</f>
        <v/>
      </c>
      <c r="E1926">
        <f>IF(A1926="","",6-CEILING(PERCENTRANK.INC($B$3:$B$6000,B1926,4)*5+0.000001,1))</f>
        <v/>
      </c>
      <c r="F1926">
        <f>IF(A1926="","",MAX(1,CEILING(PERCENTRANK.INC($C$3:$C$6000,C1926,4)*5+0.000001,1)))</f>
        <v/>
      </c>
      <c r="G1926">
        <f>IF(A1926="","",MAX(1,CEILING(PERCENTRANK.INC($D$3:$D$6000,D1926,4)*5+0.000001,1)))</f>
        <v/>
      </c>
      <c r="H1926">
        <f>IF(A1926="","",E1926&amp;F1926&amp;G1926)</f>
        <v/>
      </c>
      <c r="I1926">
        <f>IF(A1926="","",IF(AND(E1926&gt;=4,F1926&gt;=4,G1926&gt;=4),"Juara",IF(AND(F1926&gt;=4,E1926&gt;=3),"Setia",IF(AND(E1926=5,F1926&lt;=2,G1926&gt;=3),"Berpotensi",IF(AND(E1926&lt;=3,E1926&gt;=2,F1926&gt;=3),"Rawan",IF(AND(E1926&lt;=2,F1926&lt;=2),"Tidur","Umum"))))))</f>
        <v/>
      </c>
    </row>
    <row r="1927">
      <c r="B1927">
        <f>IF(A1927="","",$B$1-MAXIFS(Donasi!$A$2:$A$20000,Donasi!$B$2:$B$20000,A1927))</f>
        <v/>
      </c>
      <c r="C1927">
        <f>IF(A1927="","",COUNTIF(Donasi!$B$2:$B$20000,A1927))</f>
        <v/>
      </c>
      <c r="D1927">
        <f>IF(A1927="","",SUMIF(Donasi!$B$2:$B$20000,A1927,Donasi!$C$2:$C$20000))</f>
        <v/>
      </c>
      <c r="E1927">
        <f>IF(A1927="","",6-CEILING(PERCENTRANK.INC($B$3:$B$6000,B1927,4)*5+0.000001,1))</f>
        <v/>
      </c>
      <c r="F1927">
        <f>IF(A1927="","",MAX(1,CEILING(PERCENTRANK.INC($C$3:$C$6000,C1927,4)*5+0.000001,1)))</f>
        <v/>
      </c>
      <c r="G1927">
        <f>IF(A1927="","",MAX(1,CEILING(PERCENTRANK.INC($D$3:$D$6000,D1927,4)*5+0.000001,1)))</f>
        <v/>
      </c>
      <c r="H1927">
        <f>IF(A1927="","",E1927&amp;F1927&amp;G1927)</f>
        <v/>
      </c>
      <c r="I1927">
        <f>IF(A1927="","",IF(AND(E1927&gt;=4,F1927&gt;=4,G1927&gt;=4),"Juara",IF(AND(F1927&gt;=4,E1927&gt;=3),"Setia",IF(AND(E1927=5,F1927&lt;=2,G1927&gt;=3),"Berpotensi",IF(AND(E1927&lt;=3,E1927&gt;=2,F1927&gt;=3),"Rawan",IF(AND(E1927&lt;=2,F1927&lt;=2),"Tidur","Umum"))))))</f>
        <v/>
      </c>
    </row>
    <row r="1928">
      <c r="B1928">
        <f>IF(A1928="","",$B$1-MAXIFS(Donasi!$A$2:$A$20000,Donasi!$B$2:$B$20000,A1928))</f>
        <v/>
      </c>
      <c r="C1928">
        <f>IF(A1928="","",COUNTIF(Donasi!$B$2:$B$20000,A1928))</f>
        <v/>
      </c>
      <c r="D1928">
        <f>IF(A1928="","",SUMIF(Donasi!$B$2:$B$20000,A1928,Donasi!$C$2:$C$20000))</f>
        <v/>
      </c>
      <c r="E1928">
        <f>IF(A1928="","",6-CEILING(PERCENTRANK.INC($B$3:$B$6000,B1928,4)*5+0.000001,1))</f>
        <v/>
      </c>
      <c r="F1928">
        <f>IF(A1928="","",MAX(1,CEILING(PERCENTRANK.INC($C$3:$C$6000,C1928,4)*5+0.000001,1)))</f>
        <v/>
      </c>
      <c r="G1928">
        <f>IF(A1928="","",MAX(1,CEILING(PERCENTRANK.INC($D$3:$D$6000,D1928,4)*5+0.000001,1)))</f>
        <v/>
      </c>
      <c r="H1928">
        <f>IF(A1928="","",E1928&amp;F1928&amp;G1928)</f>
        <v/>
      </c>
      <c r="I1928">
        <f>IF(A1928="","",IF(AND(E1928&gt;=4,F1928&gt;=4,G1928&gt;=4),"Juara",IF(AND(F1928&gt;=4,E1928&gt;=3),"Setia",IF(AND(E1928=5,F1928&lt;=2,G1928&gt;=3),"Berpotensi",IF(AND(E1928&lt;=3,E1928&gt;=2,F1928&gt;=3),"Rawan",IF(AND(E1928&lt;=2,F1928&lt;=2),"Tidur","Umum"))))))</f>
        <v/>
      </c>
    </row>
    <row r="1929">
      <c r="B1929">
        <f>IF(A1929="","",$B$1-MAXIFS(Donasi!$A$2:$A$20000,Donasi!$B$2:$B$20000,A1929))</f>
        <v/>
      </c>
      <c r="C1929">
        <f>IF(A1929="","",COUNTIF(Donasi!$B$2:$B$20000,A1929))</f>
        <v/>
      </c>
      <c r="D1929">
        <f>IF(A1929="","",SUMIF(Donasi!$B$2:$B$20000,A1929,Donasi!$C$2:$C$20000))</f>
        <v/>
      </c>
      <c r="E1929">
        <f>IF(A1929="","",6-CEILING(PERCENTRANK.INC($B$3:$B$6000,B1929,4)*5+0.000001,1))</f>
        <v/>
      </c>
      <c r="F1929">
        <f>IF(A1929="","",MAX(1,CEILING(PERCENTRANK.INC($C$3:$C$6000,C1929,4)*5+0.000001,1)))</f>
        <v/>
      </c>
      <c r="G1929">
        <f>IF(A1929="","",MAX(1,CEILING(PERCENTRANK.INC($D$3:$D$6000,D1929,4)*5+0.000001,1)))</f>
        <v/>
      </c>
      <c r="H1929">
        <f>IF(A1929="","",E1929&amp;F1929&amp;G1929)</f>
        <v/>
      </c>
      <c r="I1929">
        <f>IF(A1929="","",IF(AND(E1929&gt;=4,F1929&gt;=4,G1929&gt;=4),"Juara",IF(AND(F1929&gt;=4,E1929&gt;=3),"Setia",IF(AND(E1929=5,F1929&lt;=2,G1929&gt;=3),"Berpotensi",IF(AND(E1929&lt;=3,E1929&gt;=2,F1929&gt;=3),"Rawan",IF(AND(E1929&lt;=2,F1929&lt;=2),"Tidur","Umum"))))))</f>
        <v/>
      </c>
    </row>
    <row r="1930">
      <c r="B1930">
        <f>IF(A1930="","",$B$1-MAXIFS(Donasi!$A$2:$A$20000,Donasi!$B$2:$B$20000,A1930))</f>
        <v/>
      </c>
      <c r="C1930">
        <f>IF(A1930="","",COUNTIF(Donasi!$B$2:$B$20000,A1930))</f>
        <v/>
      </c>
      <c r="D1930">
        <f>IF(A1930="","",SUMIF(Donasi!$B$2:$B$20000,A1930,Donasi!$C$2:$C$20000))</f>
        <v/>
      </c>
      <c r="E1930">
        <f>IF(A1930="","",6-CEILING(PERCENTRANK.INC($B$3:$B$6000,B1930,4)*5+0.000001,1))</f>
        <v/>
      </c>
      <c r="F1930">
        <f>IF(A1930="","",MAX(1,CEILING(PERCENTRANK.INC($C$3:$C$6000,C1930,4)*5+0.000001,1)))</f>
        <v/>
      </c>
      <c r="G1930">
        <f>IF(A1930="","",MAX(1,CEILING(PERCENTRANK.INC($D$3:$D$6000,D1930,4)*5+0.000001,1)))</f>
        <v/>
      </c>
      <c r="H1930">
        <f>IF(A1930="","",E1930&amp;F1930&amp;G1930)</f>
        <v/>
      </c>
      <c r="I1930">
        <f>IF(A1930="","",IF(AND(E1930&gt;=4,F1930&gt;=4,G1930&gt;=4),"Juara",IF(AND(F1930&gt;=4,E1930&gt;=3),"Setia",IF(AND(E1930=5,F1930&lt;=2,G1930&gt;=3),"Berpotensi",IF(AND(E1930&lt;=3,E1930&gt;=2,F1930&gt;=3),"Rawan",IF(AND(E1930&lt;=2,F1930&lt;=2),"Tidur","Umum"))))))</f>
        <v/>
      </c>
    </row>
    <row r="1931">
      <c r="B1931">
        <f>IF(A1931="","",$B$1-MAXIFS(Donasi!$A$2:$A$20000,Donasi!$B$2:$B$20000,A1931))</f>
        <v/>
      </c>
      <c r="C1931">
        <f>IF(A1931="","",COUNTIF(Donasi!$B$2:$B$20000,A1931))</f>
        <v/>
      </c>
      <c r="D1931">
        <f>IF(A1931="","",SUMIF(Donasi!$B$2:$B$20000,A1931,Donasi!$C$2:$C$20000))</f>
        <v/>
      </c>
      <c r="E1931">
        <f>IF(A1931="","",6-CEILING(PERCENTRANK.INC($B$3:$B$6000,B1931,4)*5+0.000001,1))</f>
        <v/>
      </c>
      <c r="F1931">
        <f>IF(A1931="","",MAX(1,CEILING(PERCENTRANK.INC($C$3:$C$6000,C1931,4)*5+0.000001,1)))</f>
        <v/>
      </c>
      <c r="G1931">
        <f>IF(A1931="","",MAX(1,CEILING(PERCENTRANK.INC($D$3:$D$6000,D1931,4)*5+0.000001,1)))</f>
        <v/>
      </c>
      <c r="H1931">
        <f>IF(A1931="","",E1931&amp;F1931&amp;G1931)</f>
        <v/>
      </c>
      <c r="I1931">
        <f>IF(A1931="","",IF(AND(E1931&gt;=4,F1931&gt;=4,G1931&gt;=4),"Juara",IF(AND(F1931&gt;=4,E1931&gt;=3),"Setia",IF(AND(E1931=5,F1931&lt;=2,G1931&gt;=3),"Berpotensi",IF(AND(E1931&lt;=3,E1931&gt;=2,F1931&gt;=3),"Rawan",IF(AND(E1931&lt;=2,F1931&lt;=2),"Tidur","Umum"))))))</f>
        <v/>
      </c>
    </row>
    <row r="1932">
      <c r="B1932">
        <f>IF(A1932="","",$B$1-MAXIFS(Donasi!$A$2:$A$20000,Donasi!$B$2:$B$20000,A1932))</f>
        <v/>
      </c>
      <c r="C1932">
        <f>IF(A1932="","",COUNTIF(Donasi!$B$2:$B$20000,A1932))</f>
        <v/>
      </c>
      <c r="D1932">
        <f>IF(A1932="","",SUMIF(Donasi!$B$2:$B$20000,A1932,Donasi!$C$2:$C$20000))</f>
        <v/>
      </c>
      <c r="E1932">
        <f>IF(A1932="","",6-CEILING(PERCENTRANK.INC($B$3:$B$6000,B1932,4)*5+0.000001,1))</f>
        <v/>
      </c>
      <c r="F1932">
        <f>IF(A1932="","",MAX(1,CEILING(PERCENTRANK.INC($C$3:$C$6000,C1932,4)*5+0.000001,1)))</f>
        <v/>
      </c>
      <c r="G1932">
        <f>IF(A1932="","",MAX(1,CEILING(PERCENTRANK.INC($D$3:$D$6000,D1932,4)*5+0.000001,1)))</f>
        <v/>
      </c>
      <c r="H1932">
        <f>IF(A1932="","",E1932&amp;F1932&amp;G1932)</f>
        <v/>
      </c>
      <c r="I1932">
        <f>IF(A1932="","",IF(AND(E1932&gt;=4,F1932&gt;=4,G1932&gt;=4),"Juara",IF(AND(F1932&gt;=4,E1932&gt;=3),"Setia",IF(AND(E1932=5,F1932&lt;=2,G1932&gt;=3),"Berpotensi",IF(AND(E1932&lt;=3,E1932&gt;=2,F1932&gt;=3),"Rawan",IF(AND(E1932&lt;=2,F1932&lt;=2),"Tidur","Umum"))))))</f>
        <v/>
      </c>
    </row>
    <row r="1933">
      <c r="B1933">
        <f>IF(A1933="","",$B$1-MAXIFS(Donasi!$A$2:$A$20000,Donasi!$B$2:$B$20000,A1933))</f>
        <v/>
      </c>
      <c r="C1933">
        <f>IF(A1933="","",COUNTIF(Donasi!$B$2:$B$20000,A1933))</f>
        <v/>
      </c>
      <c r="D1933">
        <f>IF(A1933="","",SUMIF(Donasi!$B$2:$B$20000,A1933,Donasi!$C$2:$C$20000))</f>
        <v/>
      </c>
      <c r="E1933">
        <f>IF(A1933="","",6-CEILING(PERCENTRANK.INC($B$3:$B$6000,B1933,4)*5+0.000001,1))</f>
        <v/>
      </c>
      <c r="F1933">
        <f>IF(A1933="","",MAX(1,CEILING(PERCENTRANK.INC($C$3:$C$6000,C1933,4)*5+0.000001,1)))</f>
        <v/>
      </c>
      <c r="G1933">
        <f>IF(A1933="","",MAX(1,CEILING(PERCENTRANK.INC($D$3:$D$6000,D1933,4)*5+0.000001,1)))</f>
        <v/>
      </c>
      <c r="H1933">
        <f>IF(A1933="","",E1933&amp;F1933&amp;G1933)</f>
        <v/>
      </c>
      <c r="I1933">
        <f>IF(A1933="","",IF(AND(E1933&gt;=4,F1933&gt;=4,G1933&gt;=4),"Juara",IF(AND(F1933&gt;=4,E1933&gt;=3),"Setia",IF(AND(E1933=5,F1933&lt;=2,G1933&gt;=3),"Berpotensi",IF(AND(E1933&lt;=3,E1933&gt;=2,F1933&gt;=3),"Rawan",IF(AND(E1933&lt;=2,F1933&lt;=2),"Tidur","Umum"))))))</f>
        <v/>
      </c>
    </row>
    <row r="1934">
      <c r="B1934">
        <f>IF(A1934="","",$B$1-MAXIFS(Donasi!$A$2:$A$20000,Donasi!$B$2:$B$20000,A1934))</f>
        <v/>
      </c>
      <c r="C1934">
        <f>IF(A1934="","",COUNTIF(Donasi!$B$2:$B$20000,A1934))</f>
        <v/>
      </c>
      <c r="D1934">
        <f>IF(A1934="","",SUMIF(Donasi!$B$2:$B$20000,A1934,Donasi!$C$2:$C$20000))</f>
        <v/>
      </c>
      <c r="E1934">
        <f>IF(A1934="","",6-CEILING(PERCENTRANK.INC($B$3:$B$6000,B1934,4)*5+0.000001,1))</f>
        <v/>
      </c>
      <c r="F1934">
        <f>IF(A1934="","",MAX(1,CEILING(PERCENTRANK.INC($C$3:$C$6000,C1934,4)*5+0.000001,1)))</f>
        <v/>
      </c>
      <c r="G1934">
        <f>IF(A1934="","",MAX(1,CEILING(PERCENTRANK.INC($D$3:$D$6000,D1934,4)*5+0.000001,1)))</f>
        <v/>
      </c>
      <c r="H1934">
        <f>IF(A1934="","",E1934&amp;F1934&amp;G1934)</f>
        <v/>
      </c>
      <c r="I1934">
        <f>IF(A1934="","",IF(AND(E1934&gt;=4,F1934&gt;=4,G1934&gt;=4),"Juara",IF(AND(F1934&gt;=4,E1934&gt;=3),"Setia",IF(AND(E1934=5,F1934&lt;=2,G1934&gt;=3),"Berpotensi",IF(AND(E1934&lt;=3,E1934&gt;=2,F1934&gt;=3),"Rawan",IF(AND(E1934&lt;=2,F1934&lt;=2),"Tidur","Umum"))))))</f>
        <v/>
      </c>
    </row>
    <row r="1935">
      <c r="B1935">
        <f>IF(A1935="","",$B$1-MAXIFS(Donasi!$A$2:$A$20000,Donasi!$B$2:$B$20000,A1935))</f>
        <v/>
      </c>
      <c r="C1935">
        <f>IF(A1935="","",COUNTIF(Donasi!$B$2:$B$20000,A1935))</f>
        <v/>
      </c>
      <c r="D1935">
        <f>IF(A1935="","",SUMIF(Donasi!$B$2:$B$20000,A1935,Donasi!$C$2:$C$20000))</f>
        <v/>
      </c>
      <c r="E1935">
        <f>IF(A1935="","",6-CEILING(PERCENTRANK.INC($B$3:$B$6000,B1935,4)*5+0.000001,1))</f>
        <v/>
      </c>
      <c r="F1935">
        <f>IF(A1935="","",MAX(1,CEILING(PERCENTRANK.INC($C$3:$C$6000,C1935,4)*5+0.000001,1)))</f>
        <v/>
      </c>
      <c r="G1935">
        <f>IF(A1935="","",MAX(1,CEILING(PERCENTRANK.INC($D$3:$D$6000,D1935,4)*5+0.000001,1)))</f>
        <v/>
      </c>
      <c r="H1935">
        <f>IF(A1935="","",E1935&amp;F1935&amp;G1935)</f>
        <v/>
      </c>
      <c r="I1935">
        <f>IF(A1935="","",IF(AND(E1935&gt;=4,F1935&gt;=4,G1935&gt;=4),"Juara",IF(AND(F1935&gt;=4,E1935&gt;=3),"Setia",IF(AND(E1935=5,F1935&lt;=2,G1935&gt;=3),"Berpotensi",IF(AND(E1935&lt;=3,E1935&gt;=2,F1935&gt;=3),"Rawan",IF(AND(E1935&lt;=2,F1935&lt;=2),"Tidur","Umum"))))))</f>
        <v/>
      </c>
    </row>
    <row r="1936">
      <c r="B1936">
        <f>IF(A1936="","",$B$1-MAXIFS(Donasi!$A$2:$A$20000,Donasi!$B$2:$B$20000,A1936))</f>
        <v/>
      </c>
      <c r="C1936">
        <f>IF(A1936="","",COUNTIF(Donasi!$B$2:$B$20000,A1936))</f>
        <v/>
      </c>
      <c r="D1936">
        <f>IF(A1936="","",SUMIF(Donasi!$B$2:$B$20000,A1936,Donasi!$C$2:$C$20000))</f>
        <v/>
      </c>
      <c r="E1936">
        <f>IF(A1936="","",6-CEILING(PERCENTRANK.INC($B$3:$B$6000,B1936,4)*5+0.000001,1))</f>
        <v/>
      </c>
      <c r="F1936">
        <f>IF(A1936="","",MAX(1,CEILING(PERCENTRANK.INC($C$3:$C$6000,C1936,4)*5+0.000001,1)))</f>
        <v/>
      </c>
      <c r="G1936">
        <f>IF(A1936="","",MAX(1,CEILING(PERCENTRANK.INC($D$3:$D$6000,D1936,4)*5+0.000001,1)))</f>
        <v/>
      </c>
      <c r="H1936">
        <f>IF(A1936="","",E1936&amp;F1936&amp;G1936)</f>
        <v/>
      </c>
      <c r="I1936">
        <f>IF(A1936="","",IF(AND(E1936&gt;=4,F1936&gt;=4,G1936&gt;=4),"Juara",IF(AND(F1936&gt;=4,E1936&gt;=3),"Setia",IF(AND(E1936=5,F1936&lt;=2,G1936&gt;=3),"Berpotensi",IF(AND(E1936&lt;=3,E1936&gt;=2,F1936&gt;=3),"Rawan",IF(AND(E1936&lt;=2,F1936&lt;=2),"Tidur","Umum"))))))</f>
        <v/>
      </c>
    </row>
    <row r="1937">
      <c r="B1937">
        <f>IF(A1937="","",$B$1-MAXIFS(Donasi!$A$2:$A$20000,Donasi!$B$2:$B$20000,A1937))</f>
        <v/>
      </c>
      <c r="C1937">
        <f>IF(A1937="","",COUNTIF(Donasi!$B$2:$B$20000,A1937))</f>
        <v/>
      </c>
      <c r="D1937">
        <f>IF(A1937="","",SUMIF(Donasi!$B$2:$B$20000,A1937,Donasi!$C$2:$C$20000))</f>
        <v/>
      </c>
      <c r="E1937">
        <f>IF(A1937="","",6-CEILING(PERCENTRANK.INC($B$3:$B$6000,B1937,4)*5+0.000001,1))</f>
        <v/>
      </c>
      <c r="F1937">
        <f>IF(A1937="","",MAX(1,CEILING(PERCENTRANK.INC($C$3:$C$6000,C1937,4)*5+0.000001,1)))</f>
        <v/>
      </c>
      <c r="G1937">
        <f>IF(A1937="","",MAX(1,CEILING(PERCENTRANK.INC($D$3:$D$6000,D1937,4)*5+0.000001,1)))</f>
        <v/>
      </c>
      <c r="H1937">
        <f>IF(A1937="","",E1937&amp;F1937&amp;G1937)</f>
        <v/>
      </c>
      <c r="I1937">
        <f>IF(A1937="","",IF(AND(E1937&gt;=4,F1937&gt;=4,G1937&gt;=4),"Juara",IF(AND(F1937&gt;=4,E1937&gt;=3),"Setia",IF(AND(E1937=5,F1937&lt;=2,G1937&gt;=3),"Berpotensi",IF(AND(E1937&lt;=3,E1937&gt;=2,F1937&gt;=3),"Rawan",IF(AND(E1937&lt;=2,F1937&lt;=2),"Tidur","Umum"))))))</f>
        <v/>
      </c>
    </row>
    <row r="1938">
      <c r="B1938">
        <f>IF(A1938="","",$B$1-MAXIFS(Donasi!$A$2:$A$20000,Donasi!$B$2:$B$20000,A1938))</f>
        <v/>
      </c>
      <c r="C1938">
        <f>IF(A1938="","",COUNTIF(Donasi!$B$2:$B$20000,A1938))</f>
        <v/>
      </c>
      <c r="D1938">
        <f>IF(A1938="","",SUMIF(Donasi!$B$2:$B$20000,A1938,Donasi!$C$2:$C$20000))</f>
        <v/>
      </c>
      <c r="E1938">
        <f>IF(A1938="","",6-CEILING(PERCENTRANK.INC($B$3:$B$6000,B1938,4)*5+0.000001,1))</f>
        <v/>
      </c>
      <c r="F1938">
        <f>IF(A1938="","",MAX(1,CEILING(PERCENTRANK.INC($C$3:$C$6000,C1938,4)*5+0.000001,1)))</f>
        <v/>
      </c>
      <c r="G1938">
        <f>IF(A1938="","",MAX(1,CEILING(PERCENTRANK.INC($D$3:$D$6000,D1938,4)*5+0.000001,1)))</f>
        <v/>
      </c>
      <c r="H1938">
        <f>IF(A1938="","",E1938&amp;F1938&amp;G1938)</f>
        <v/>
      </c>
      <c r="I1938">
        <f>IF(A1938="","",IF(AND(E1938&gt;=4,F1938&gt;=4,G1938&gt;=4),"Juara",IF(AND(F1938&gt;=4,E1938&gt;=3),"Setia",IF(AND(E1938=5,F1938&lt;=2,G1938&gt;=3),"Berpotensi",IF(AND(E1938&lt;=3,E1938&gt;=2,F1938&gt;=3),"Rawan",IF(AND(E1938&lt;=2,F1938&lt;=2),"Tidur","Umum"))))))</f>
        <v/>
      </c>
    </row>
    <row r="1939">
      <c r="B1939">
        <f>IF(A1939="","",$B$1-MAXIFS(Donasi!$A$2:$A$20000,Donasi!$B$2:$B$20000,A1939))</f>
        <v/>
      </c>
      <c r="C1939">
        <f>IF(A1939="","",COUNTIF(Donasi!$B$2:$B$20000,A1939))</f>
        <v/>
      </c>
      <c r="D1939">
        <f>IF(A1939="","",SUMIF(Donasi!$B$2:$B$20000,A1939,Donasi!$C$2:$C$20000))</f>
        <v/>
      </c>
      <c r="E1939">
        <f>IF(A1939="","",6-CEILING(PERCENTRANK.INC($B$3:$B$6000,B1939,4)*5+0.000001,1))</f>
        <v/>
      </c>
      <c r="F1939">
        <f>IF(A1939="","",MAX(1,CEILING(PERCENTRANK.INC($C$3:$C$6000,C1939,4)*5+0.000001,1)))</f>
        <v/>
      </c>
      <c r="G1939">
        <f>IF(A1939="","",MAX(1,CEILING(PERCENTRANK.INC($D$3:$D$6000,D1939,4)*5+0.000001,1)))</f>
        <v/>
      </c>
      <c r="H1939">
        <f>IF(A1939="","",E1939&amp;F1939&amp;G1939)</f>
        <v/>
      </c>
      <c r="I1939">
        <f>IF(A1939="","",IF(AND(E1939&gt;=4,F1939&gt;=4,G1939&gt;=4),"Juara",IF(AND(F1939&gt;=4,E1939&gt;=3),"Setia",IF(AND(E1939=5,F1939&lt;=2,G1939&gt;=3),"Berpotensi",IF(AND(E1939&lt;=3,E1939&gt;=2,F1939&gt;=3),"Rawan",IF(AND(E1939&lt;=2,F1939&lt;=2),"Tidur","Umum"))))))</f>
        <v/>
      </c>
    </row>
    <row r="1940">
      <c r="B1940">
        <f>IF(A1940="","",$B$1-MAXIFS(Donasi!$A$2:$A$20000,Donasi!$B$2:$B$20000,A1940))</f>
        <v/>
      </c>
      <c r="C1940">
        <f>IF(A1940="","",COUNTIF(Donasi!$B$2:$B$20000,A1940))</f>
        <v/>
      </c>
      <c r="D1940">
        <f>IF(A1940="","",SUMIF(Donasi!$B$2:$B$20000,A1940,Donasi!$C$2:$C$20000))</f>
        <v/>
      </c>
      <c r="E1940">
        <f>IF(A1940="","",6-CEILING(PERCENTRANK.INC($B$3:$B$6000,B1940,4)*5+0.000001,1))</f>
        <v/>
      </c>
      <c r="F1940">
        <f>IF(A1940="","",MAX(1,CEILING(PERCENTRANK.INC($C$3:$C$6000,C1940,4)*5+0.000001,1)))</f>
        <v/>
      </c>
      <c r="G1940">
        <f>IF(A1940="","",MAX(1,CEILING(PERCENTRANK.INC($D$3:$D$6000,D1940,4)*5+0.000001,1)))</f>
        <v/>
      </c>
      <c r="H1940">
        <f>IF(A1940="","",E1940&amp;F1940&amp;G1940)</f>
        <v/>
      </c>
      <c r="I1940">
        <f>IF(A1940="","",IF(AND(E1940&gt;=4,F1940&gt;=4,G1940&gt;=4),"Juara",IF(AND(F1940&gt;=4,E1940&gt;=3),"Setia",IF(AND(E1940=5,F1940&lt;=2,G1940&gt;=3),"Berpotensi",IF(AND(E1940&lt;=3,E1940&gt;=2,F1940&gt;=3),"Rawan",IF(AND(E1940&lt;=2,F1940&lt;=2),"Tidur","Umum"))))))</f>
        <v/>
      </c>
    </row>
    <row r="1941">
      <c r="B1941">
        <f>IF(A1941="","",$B$1-MAXIFS(Donasi!$A$2:$A$20000,Donasi!$B$2:$B$20000,A1941))</f>
        <v/>
      </c>
      <c r="C1941">
        <f>IF(A1941="","",COUNTIF(Donasi!$B$2:$B$20000,A1941))</f>
        <v/>
      </c>
      <c r="D1941">
        <f>IF(A1941="","",SUMIF(Donasi!$B$2:$B$20000,A1941,Donasi!$C$2:$C$20000))</f>
        <v/>
      </c>
      <c r="E1941">
        <f>IF(A1941="","",6-CEILING(PERCENTRANK.INC($B$3:$B$6000,B1941,4)*5+0.000001,1))</f>
        <v/>
      </c>
      <c r="F1941">
        <f>IF(A1941="","",MAX(1,CEILING(PERCENTRANK.INC($C$3:$C$6000,C1941,4)*5+0.000001,1)))</f>
        <v/>
      </c>
      <c r="G1941">
        <f>IF(A1941="","",MAX(1,CEILING(PERCENTRANK.INC($D$3:$D$6000,D1941,4)*5+0.000001,1)))</f>
        <v/>
      </c>
      <c r="H1941">
        <f>IF(A1941="","",E1941&amp;F1941&amp;G1941)</f>
        <v/>
      </c>
      <c r="I1941">
        <f>IF(A1941="","",IF(AND(E1941&gt;=4,F1941&gt;=4,G1941&gt;=4),"Juara",IF(AND(F1941&gt;=4,E1941&gt;=3),"Setia",IF(AND(E1941=5,F1941&lt;=2,G1941&gt;=3),"Berpotensi",IF(AND(E1941&lt;=3,E1941&gt;=2,F1941&gt;=3),"Rawan",IF(AND(E1941&lt;=2,F1941&lt;=2),"Tidur","Umum"))))))</f>
        <v/>
      </c>
    </row>
    <row r="1942">
      <c r="B1942">
        <f>IF(A1942="","",$B$1-MAXIFS(Donasi!$A$2:$A$20000,Donasi!$B$2:$B$20000,A1942))</f>
        <v/>
      </c>
      <c r="C1942">
        <f>IF(A1942="","",COUNTIF(Donasi!$B$2:$B$20000,A1942))</f>
        <v/>
      </c>
      <c r="D1942">
        <f>IF(A1942="","",SUMIF(Donasi!$B$2:$B$20000,A1942,Donasi!$C$2:$C$20000))</f>
        <v/>
      </c>
      <c r="E1942">
        <f>IF(A1942="","",6-CEILING(PERCENTRANK.INC($B$3:$B$6000,B1942,4)*5+0.000001,1))</f>
        <v/>
      </c>
      <c r="F1942">
        <f>IF(A1942="","",MAX(1,CEILING(PERCENTRANK.INC($C$3:$C$6000,C1942,4)*5+0.000001,1)))</f>
        <v/>
      </c>
      <c r="G1942">
        <f>IF(A1942="","",MAX(1,CEILING(PERCENTRANK.INC($D$3:$D$6000,D1942,4)*5+0.000001,1)))</f>
        <v/>
      </c>
      <c r="H1942">
        <f>IF(A1942="","",E1942&amp;F1942&amp;G1942)</f>
        <v/>
      </c>
      <c r="I1942">
        <f>IF(A1942="","",IF(AND(E1942&gt;=4,F1942&gt;=4,G1942&gt;=4),"Juara",IF(AND(F1942&gt;=4,E1942&gt;=3),"Setia",IF(AND(E1942=5,F1942&lt;=2,G1942&gt;=3),"Berpotensi",IF(AND(E1942&lt;=3,E1942&gt;=2,F1942&gt;=3),"Rawan",IF(AND(E1942&lt;=2,F1942&lt;=2),"Tidur","Umum"))))))</f>
        <v/>
      </c>
    </row>
    <row r="1943">
      <c r="B1943">
        <f>IF(A1943="","",$B$1-MAXIFS(Donasi!$A$2:$A$20000,Donasi!$B$2:$B$20000,A1943))</f>
        <v/>
      </c>
      <c r="C1943">
        <f>IF(A1943="","",COUNTIF(Donasi!$B$2:$B$20000,A1943))</f>
        <v/>
      </c>
      <c r="D1943">
        <f>IF(A1943="","",SUMIF(Donasi!$B$2:$B$20000,A1943,Donasi!$C$2:$C$20000))</f>
        <v/>
      </c>
      <c r="E1943">
        <f>IF(A1943="","",6-CEILING(PERCENTRANK.INC($B$3:$B$6000,B1943,4)*5+0.000001,1))</f>
        <v/>
      </c>
      <c r="F1943">
        <f>IF(A1943="","",MAX(1,CEILING(PERCENTRANK.INC($C$3:$C$6000,C1943,4)*5+0.000001,1)))</f>
        <v/>
      </c>
      <c r="G1943">
        <f>IF(A1943="","",MAX(1,CEILING(PERCENTRANK.INC($D$3:$D$6000,D1943,4)*5+0.000001,1)))</f>
        <v/>
      </c>
      <c r="H1943">
        <f>IF(A1943="","",E1943&amp;F1943&amp;G1943)</f>
        <v/>
      </c>
      <c r="I1943">
        <f>IF(A1943="","",IF(AND(E1943&gt;=4,F1943&gt;=4,G1943&gt;=4),"Juara",IF(AND(F1943&gt;=4,E1943&gt;=3),"Setia",IF(AND(E1943=5,F1943&lt;=2,G1943&gt;=3),"Berpotensi",IF(AND(E1943&lt;=3,E1943&gt;=2,F1943&gt;=3),"Rawan",IF(AND(E1943&lt;=2,F1943&lt;=2),"Tidur","Umum"))))))</f>
        <v/>
      </c>
    </row>
    <row r="1944">
      <c r="B1944">
        <f>IF(A1944="","",$B$1-MAXIFS(Donasi!$A$2:$A$20000,Donasi!$B$2:$B$20000,A1944))</f>
        <v/>
      </c>
      <c r="C1944">
        <f>IF(A1944="","",COUNTIF(Donasi!$B$2:$B$20000,A1944))</f>
        <v/>
      </c>
      <c r="D1944">
        <f>IF(A1944="","",SUMIF(Donasi!$B$2:$B$20000,A1944,Donasi!$C$2:$C$20000))</f>
        <v/>
      </c>
      <c r="E1944">
        <f>IF(A1944="","",6-CEILING(PERCENTRANK.INC($B$3:$B$6000,B1944,4)*5+0.000001,1))</f>
        <v/>
      </c>
      <c r="F1944">
        <f>IF(A1944="","",MAX(1,CEILING(PERCENTRANK.INC($C$3:$C$6000,C1944,4)*5+0.000001,1)))</f>
        <v/>
      </c>
      <c r="G1944">
        <f>IF(A1944="","",MAX(1,CEILING(PERCENTRANK.INC($D$3:$D$6000,D1944,4)*5+0.000001,1)))</f>
        <v/>
      </c>
      <c r="H1944">
        <f>IF(A1944="","",E1944&amp;F1944&amp;G1944)</f>
        <v/>
      </c>
      <c r="I1944">
        <f>IF(A1944="","",IF(AND(E1944&gt;=4,F1944&gt;=4,G1944&gt;=4),"Juara",IF(AND(F1944&gt;=4,E1944&gt;=3),"Setia",IF(AND(E1944=5,F1944&lt;=2,G1944&gt;=3),"Berpotensi",IF(AND(E1944&lt;=3,E1944&gt;=2,F1944&gt;=3),"Rawan",IF(AND(E1944&lt;=2,F1944&lt;=2),"Tidur","Umum"))))))</f>
        <v/>
      </c>
    </row>
    <row r="1945">
      <c r="B1945">
        <f>IF(A1945="","",$B$1-MAXIFS(Donasi!$A$2:$A$20000,Donasi!$B$2:$B$20000,A1945))</f>
        <v/>
      </c>
      <c r="C1945">
        <f>IF(A1945="","",COUNTIF(Donasi!$B$2:$B$20000,A1945))</f>
        <v/>
      </c>
      <c r="D1945">
        <f>IF(A1945="","",SUMIF(Donasi!$B$2:$B$20000,A1945,Donasi!$C$2:$C$20000))</f>
        <v/>
      </c>
      <c r="E1945">
        <f>IF(A1945="","",6-CEILING(PERCENTRANK.INC($B$3:$B$6000,B1945,4)*5+0.000001,1))</f>
        <v/>
      </c>
      <c r="F1945">
        <f>IF(A1945="","",MAX(1,CEILING(PERCENTRANK.INC($C$3:$C$6000,C1945,4)*5+0.000001,1)))</f>
        <v/>
      </c>
      <c r="G1945">
        <f>IF(A1945="","",MAX(1,CEILING(PERCENTRANK.INC($D$3:$D$6000,D1945,4)*5+0.000001,1)))</f>
        <v/>
      </c>
      <c r="H1945">
        <f>IF(A1945="","",E1945&amp;F1945&amp;G1945)</f>
        <v/>
      </c>
      <c r="I1945">
        <f>IF(A1945="","",IF(AND(E1945&gt;=4,F1945&gt;=4,G1945&gt;=4),"Juara",IF(AND(F1945&gt;=4,E1945&gt;=3),"Setia",IF(AND(E1945=5,F1945&lt;=2,G1945&gt;=3),"Berpotensi",IF(AND(E1945&lt;=3,E1945&gt;=2,F1945&gt;=3),"Rawan",IF(AND(E1945&lt;=2,F1945&lt;=2),"Tidur","Umum"))))))</f>
        <v/>
      </c>
    </row>
    <row r="1946">
      <c r="B1946">
        <f>IF(A1946="","",$B$1-MAXIFS(Donasi!$A$2:$A$20000,Donasi!$B$2:$B$20000,A1946))</f>
        <v/>
      </c>
      <c r="C1946">
        <f>IF(A1946="","",COUNTIF(Donasi!$B$2:$B$20000,A1946))</f>
        <v/>
      </c>
      <c r="D1946">
        <f>IF(A1946="","",SUMIF(Donasi!$B$2:$B$20000,A1946,Donasi!$C$2:$C$20000))</f>
        <v/>
      </c>
      <c r="E1946">
        <f>IF(A1946="","",6-CEILING(PERCENTRANK.INC($B$3:$B$6000,B1946,4)*5+0.000001,1))</f>
        <v/>
      </c>
      <c r="F1946">
        <f>IF(A1946="","",MAX(1,CEILING(PERCENTRANK.INC($C$3:$C$6000,C1946,4)*5+0.000001,1)))</f>
        <v/>
      </c>
      <c r="G1946">
        <f>IF(A1946="","",MAX(1,CEILING(PERCENTRANK.INC($D$3:$D$6000,D1946,4)*5+0.000001,1)))</f>
        <v/>
      </c>
      <c r="H1946">
        <f>IF(A1946="","",E1946&amp;F1946&amp;G1946)</f>
        <v/>
      </c>
      <c r="I1946">
        <f>IF(A1946="","",IF(AND(E1946&gt;=4,F1946&gt;=4,G1946&gt;=4),"Juara",IF(AND(F1946&gt;=4,E1946&gt;=3),"Setia",IF(AND(E1946=5,F1946&lt;=2,G1946&gt;=3),"Berpotensi",IF(AND(E1946&lt;=3,E1946&gt;=2,F1946&gt;=3),"Rawan",IF(AND(E1946&lt;=2,F1946&lt;=2),"Tidur","Umum"))))))</f>
        <v/>
      </c>
    </row>
    <row r="1947">
      <c r="B1947">
        <f>IF(A1947="","",$B$1-MAXIFS(Donasi!$A$2:$A$20000,Donasi!$B$2:$B$20000,A1947))</f>
        <v/>
      </c>
      <c r="C1947">
        <f>IF(A1947="","",COUNTIF(Donasi!$B$2:$B$20000,A1947))</f>
        <v/>
      </c>
      <c r="D1947">
        <f>IF(A1947="","",SUMIF(Donasi!$B$2:$B$20000,A1947,Donasi!$C$2:$C$20000))</f>
        <v/>
      </c>
      <c r="E1947">
        <f>IF(A1947="","",6-CEILING(PERCENTRANK.INC($B$3:$B$6000,B1947,4)*5+0.000001,1))</f>
        <v/>
      </c>
      <c r="F1947">
        <f>IF(A1947="","",MAX(1,CEILING(PERCENTRANK.INC($C$3:$C$6000,C1947,4)*5+0.000001,1)))</f>
        <v/>
      </c>
      <c r="G1947">
        <f>IF(A1947="","",MAX(1,CEILING(PERCENTRANK.INC($D$3:$D$6000,D1947,4)*5+0.000001,1)))</f>
        <v/>
      </c>
      <c r="H1947">
        <f>IF(A1947="","",E1947&amp;F1947&amp;G1947)</f>
        <v/>
      </c>
      <c r="I1947">
        <f>IF(A1947="","",IF(AND(E1947&gt;=4,F1947&gt;=4,G1947&gt;=4),"Juara",IF(AND(F1947&gt;=4,E1947&gt;=3),"Setia",IF(AND(E1947=5,F1947&lt;=2,G1947&gt;=3),"Berpotensi",IF(AND(E1947&lt;=3,E1947&gt;=2,F1947&gt;=3),"Rawan",IF(AND(E1947&lt;=2,F1947&lt;=2),"Tidur","Umum"))))))</f>
        <v/>
      </c>
    </row>
    <row r="1948">
      <c r="B1948">
        <f>IF(A1948="","",$B$1-MAXIFS(Donasi!$A$2:$A$20000,Donasi!$B$2:$B$20000,A1948))</f>
        <v/>
      </c>
      <c r="C1948">
        <f>IF(A1948="","",COUNTIF(Donasi!$B$2:$B$20000,A1948))</f>
        <v/>
      </c>
      <c r="D1948">
        <f>IF(A1948="","",SUMIF(Donasi!$B$2:$B$20000,A1948,Donasi!$C$2:$C$20000))</f>
        <v/>
      </c>
      <c r="E1948">
        <f>IF(A1948="","",6-CEILING(PERCENTRANK.INC($B$3:$B$6000,B1948,4)*5+0.000001,1))</f>
        <v/>
      </c>
      <c r="F1948">
        <f>IF(A1948="","",MAX(1,CEILING(PERCENTRANK.INC($C$3:$C$6000,C1948,4)*5+0.000001,1)))</f>
        <v/>
      </c>
      <c r="G1948">
        <f>IF(A1948="","",MAX(1,CEILING(PERCENTRANK.INC($D$3:$D$6000,D1948,4)*5+0.000001,1)))</f>
        <v/>
      </c>
      <c r="H1948">
        <f>IF(A1948="","",E1948&amp;F1948&amp;G1948)</f>
        <v/>
      </c>
      <c r="I1948">
        <f>IF(A1948="","",IF(AND(E1948&gt;=4,F1948&gt;=4,G1948&gt;=4),"Juara",IF(AND(F1948&gt;=4,E1948&gt;=3),"Setia",IF(AND(E1948=5,F1948&lt;=2,G1948&gt;=3),"Berpotensi",IF(AND(E1948&lt;=3,E1948&gt;=2,F1948&gt;=3),"Rawan",IF(AND(E1948&lt;=2,F1948&lt;=2),"Tidur","Umum"))))))</f>
        <v/>
      </c>
    </row>
    <row r="1949">
      <c r="B1949">
        <f>IF(A1949="","",$B$1-MAXIFS(Donasi!$A$2:$A$20000,Donasi!$B$2:$B$20000,A1949))</f>
        <v/>
      </c>
      <c r="C1949">
        <f>IF(A1949="","",COUNTIF(Donasi!$B$2:$B$20000,A1949))</f>
        <v/>
      </c>
      <c r="D1949">
        <f>IF(A1949="","",SUMIF(Donasi!$B$2:$B$20000,A1949,Donasi!$C$2:$C$20000))</f>
        <v/>
      </c>
      <c r="E1949">
        <f>IF(A1949="","",6-CEILING(PERCENTRANK.INC($B$3:$B$6000,B1949,4)*5+0.000001,1))</f>
        <v/>
      </c>
      <c r="F1949">
        <f>IF(A1949="","",MAX(1,CEILING(PERCENTRANK.INC($C$3:$C$6000,C1949,4)*5+0.000001,1)))</f>
        <v/>
      </c>
      <c r="G1949">
        <f>IF(A1949="","",MAX(1,CEILING(PERCENTRANK.INC($D$3:$D$6000,D1949,4)*5+0.000001,1)))</f>
        <v/>
      </c>
      <c r="H1949">
        <f>IF(A1949="","",E1949&amp;F1949&amp;G1949)</f>
        <v/>
      </c>
      <c r="I1949">
        <f>IF(A1949="","",IF(AND(E1949&gt;=4,F1949&gt;=4,G1949&gt;=4),"Juara",IF(AND(F1949&gt;=4,E1949&gt;=3),"Setia",IF(AND(E1949=5,F1949&lt;=2,G1949&gt;=3),"Berpotensi",IF(AND(E1949&lt;=3,E1949&gt;=2,F1949&gt;=3),"Rawan",IF(AND(E1949&lt;=2,F1949&lt;=2),"Tidur","Umum"))))))</f>
        <v/>
      </c>
    </row>
    <row r="1950">
      <c r="B1950">
        <f>IF(A1950="","",$B$1-MAXIFS(Donasi!$A$2:$A$20000,Donasi!$B$2:$B$20000,A1950))</f>
        <v/>
      </c>
      <c r="C1950">
        <f>IF(A1950="","",COUNTIF(Donasi!$B$2:$B$20000,A1950))</f>
        <v/>
      </c>
      <c r="D1950">
        <f>IF(A1950="","",SUMIF(Donasi!$B$2:$B$20000,A1950,Donasi!$C$2:$C$20000))</f>
        <v/>
      </c>
      <c r="E1950">
        <f>IF(A1950="","",6-CEILING(PERCENTRANK.INC($B$3:$B$6000,B1950,4)*5+0.000001,1))</f>
        <v/>
      </c>
      <c r="F1950">
        <f>IF(A1950="","",MAX(1,CEILING(PERCENTRANK.INC($C$3:$C$6000,C1950,4)*5+0.000001,1)))</f>
        <v/>
      </c>
      <c r="G1950">
        <f>IF(A1950="","",MAX(1,CEILING(PERCENTRANK.INC($D$3:$D$6000,D1950,4)*5+0.000001,1)))</f>
        <v/>
      </c>
      <c r="H1950">
        <f>IF(A1950="","",E1950&amp;F1950&amp;G1950)</f>
        <v/>
      </c>
      <c r="I1950">
        <f>IF(A1950="","",IF(AND(E1950&gt;=4,F1950&gt;=4,G1950&gt;=4),"Juara",IF(AND(F1950&gt;=4,E1950&gt;=3),"Setia",IF(AND(E1950=5,F1950&lt;=2,G1950&gt;=3),"Berpotensi",IF(AND(E1950&lt;=3,E1950&gt;=2,F1950&gt;=3),"Rawan",IF(AND(E1950&lt;=2,F1950&lt;=2),"Tidur","Umum"))))))</f>
        <v/>
      </c>
    </row>
    <row r="1951">
      <c r="B1951">
        <f>IF(A1951="","",$B$1-MAXIFS(Donasi!$A$2:$A$20000,Donasi!$B$2:$B$20000,A1951))</f>
        <v/>
      </c>
      <c r="C1951">
        <f>IF(A1951="","",COUNTIF(Donasi!$B$2:$B$20000,A1951))</f>
        <v/>
      </c>
      <c r="D1951">
        <f>IF(A1951="","",SUMIF(Donasi!$B$2:$B$20000,A1951,Donasi!$C$2:$C$20000))</f>
        <v/>
      </c>
      <c r="E1951">
        <f>IF(A1951="","",6-CEILING(PERCENTRANK.INC($B$3:$B$6000,B1951,4)*5+0.000001,1))</f>
        <v/>
      </c>
      <c r="F1951">
        <f>IF(A1951="","",MAX(1,CEILING(PERCENTRANK.INC($C$3:$C$6000,C1951,4)*5+0.000001,1)))</f>
        <v/>
      </c>
      <c r="G1951">
        <f>IF(A1951="","",MAX(1,CEILING(PERCENTRANK.INC($D$3:$D$6000,D1951,4)*5+0.000001,1)))</f>
        <v/>
      </c>
      <c r="H1951">
        <f>IF(A1951="","",E1951&amp;F1951&amp;G1951)</f>
        <v/>
      </c>
      <c r="I1951">
        <f>IF(A1951="","",IF(AND(E1951&gt;=4,F1951&gt;=4,G1951&gt;=4),"Juara",IF(AND(F1951&gt;=4,E1951&gt;=3),"Setia",IF(AND(E1951=5,F1951&lt;=2,G1951&gt;=3),"Berpotensi",IF(AND(E1951&lt;=3,E1951&gt;=2,F1951&gt;=3),"Rawan",IF(AND(E1951&lt;=2,F1951&lt;=2),"Tidur","Umum"))))))</f>
        <v/>
      </c>
    </row>
    <row r="1952">
      <c r="B1952">
        <f>IF(A1952="","",$B$1-MAXIFS(Donasi!$A$2:$A$20000,Donasi!$B$2:$B$20000,A1952))</f>
        <v/>
      </c>
      <c r="C1952">
        <f>IF(A1952="","",COUNTIF(Donasi!$B$2:$B$20000,A1952))</f>
        <v/>
      </c>
      <c r="D1952">
        <f>IF(A1952="","",SUMIF(Donasi!$B$2:$B$20000,A1952,Donasi!$C$2:$C$20000))</f>
        <v/>
      </c>
      <c r="E1952">
        <f>IF(A1952="","",6-CEILING(PERCENTRANK.INC($B$3:$B$6000,B1952,4)*5+0.000001,1))</f>
        <v/>
      </c>
      <c r="F1952">
        <f>IF(A1952="","",MAX(1,CEILING(PERCENTRANK.INC($C$3:$C$6000,C1952,4)*5+0.000001,1)))</f>
        <v/>
      </c>
      <c r="G1952">
        <f>IF(A1952="","",MAX(1,CEILING(PERCENTRANK.INC($D$3:$D$6000,D1952,4)*5+0.000001,1)))</f>
        <v/>
      </c>
      <c r="H1952">
        <f>IF(A1952="","",E1952&amp;F1952&amp;G1952)</f>
        <v/>
      </c>
      <c r="I1952">
        <f>IF(A1952="","",IF(AND(E1952&gt;=4,F1952&gt;=4,G1952&gt;=4),"Juara",IF(AND(F1952&gt;=4,E1952&gt;=3),"Setia",IF(AND(E1952=5,F1952&lt;=2,G1952&gt;=3),"Berpotensi",IF(AND(E1952&lt;=3,E1952&gt;=2,F1952&gt;=3),"Rawan",IF(AND(E1952&lt;=2,F1952&lt;=2),"Tidur","Umum"))))))</f>
        <v/>
      </c>
    </row>
    <row r="1953">
      <c r="B1953">
        <f>IF(A1953="","",$B$1-MAXIFS(Donasi!$A$2:$A$20000,Donasi!$B$2:$B$20000,A1953))</f>
        <v/>
      </c>
      <c r="C1953">
        <f>IF(A1953="","",COUNTIF(Donasi!$B$2:$B$20000,A1953))</f>
        <v/>
      </c>
      <c r="D1953">
        <f>IF(A1953="","",SUMIF(Donasi!$B$2:$B$20000,A1953,Donasi!$C$2:$C$20000))</f>
        <v/>
      </c>
      <c r="E1953">
        <f>IF(A1953="","",6-CEILING(PERCENTRANK.INC($B$3:$B$6000,B1953,4)*5+0.000001,1))</f>
        <v/>
      </c>
      <c r="F1953">
        <f>IF(A1953="","",MAX(1,CEILING(PERCENTRANK.INC($C$3:$C$6000,C1953,4)*5+0.000001,1)))</f>
        <v/>
      </c>
      <c r="G1953">
        <f>IF(A1953="","",MAX(1,CEILING(PERCENTRANK.INC($D$3:$D$6000,D1953,4)*5+0.000001,1)))</f>
        <v/>
      </c>
      <c r="H1953">
        <f>IF(A1953="","",E1953&amp;F1953&amp;G1953)</f>
        <v/>
      </c>
      <c r="I1953">
        <f>IF(A1953="","",IF(AND(E1953&gt;=4,F1953&gt;=4,G1953&gt;=4),"Juara",IF(AND(F1953&gt;=4,E1953&gt;=3),"Setia",IF(AND(E1953=5,F1953&lt;=2,G1953&gt;=3),"Berpotensi",IF(AND(E1953&lt;=3,E1953&gt;=2,F1953&gt;=3),"Rawan",IF(AND(E1953&lt;=2,F1953&lt;=2),"Tidur","Umum"))))))</f>
        <v/>
      </c>
    </row>
    <row r="1954">
      <c r="B1954">
        <f>IF(A1954="","",$B$1-MAXIFS(Donasi!$A$2:$A$20000,Donasi!$B$2:$B$20000,A1954))</f>
        <v/>
      </c>
      <c r="C1954">
        <f>IF(A1954="","",COUNTIF(Donasi!$B$2:$B$20000,A1954))</f>
        <v/>
      </c>
      <c r="D1954">
        <f>IF(A1954="","",SUMIF(Donasi!$B$2:$B$20000,A1954,Donasi!$C$2:$C$20000))</f>
        <v/>
      </c>
      <c r="E1954">
        <f>IF(A1954="","",6-CEILING(PERCENTRANK.INC($B$3:$B$6000,B1954,4)*5+0.000001,1))</f>
        <v/>
      </c>
      <c r="F1954">
        <f>IF(A1954="","",MAX(1,CEILING(PERCENTRANK.INC($C$3:$C$6000,C1954,4)*5+0.000001,1)))</f>
        <v/>
      </c>
      <c r="G1954">
        <f>IF(A1954="","",MAX(1,CEILING(PERCENTRANK.INC($D$3:$D$6000,D1954,4)*5+0.000001,1)))</f>
        <v/>
      </c>
      <c r="H1954">
        <f>IF(A1954="","",E1954&amp;F1954&amp;G1954)</f>
        <v/>
      </c>
      <c r="I1954">
        <f>IF(A1954="","",IF(AND(E1954&gt;=4,F1954&gt;=4,G1954&gt;=4),"Juara",IF(AND(F1954&gt;=4,E1954&gt;=3),"Setia",IF(AND(E1954=5,F1954&lt;=2,G1954&gt;=3),"Berpotensi",IF(AND(E1954&lt;=3,E1954&gt;=2,F1954&gt;=3),"Rawan",IF(AND(E1954&lt;=2,F1954&lt;=2),"Tidur","Umum"))))))</f>
        <v/>
      </c>
    </row>
    <row r="1955">
      <c r="B1955">
        <f>IF(A1955="","",$B$1-MAXIFS(Donasi!$A$2:$A$20000,Donasi!$B$2:$B$20000,A1955))</f>
        <v/>
      </c>
      <c r="C1955">
        <f>IF(A1955="","",COUNTIF(Donasi!$B$2:$B$20000,A1955))</f>
        <v/>
      </c>
      <c r="D1955">
        <f>IF(A1955="","",SUMIF(Donasi!$B$2:$B$20000,A1955,Donasi!$C$2:$C$20000))</f>
        <v/>
      </c>
      <c r="E1955">
        <f>IF(A1955="","",6-CEILING(PERCENTRANK.INC($B$3:$B$6000,B1955,4)*5+0.000001,1))</f>
        <v/>
      </c>
      <c r="F1955">
        <f>IF(A1955="","",MAX(1,CEILING(PERCENTRANK.INC($C$3:$C$6000,C1955,4)*5+0.000001,1)))</f>
        <v/>
      </c>
      <c r="G1955">
        <f>IF(A1955="","",MAX(1,CEILING(PERCENTRANK.INC($D$3:$D$6000,D1955,4)*5+0.000001,1)))</f>
        <v/>
      </c>
      <c r="H1955">
        <f>IF(A1955="","",E1955&amp;F1955&amp;G1955)</f>
        <v/>
      </c>
      <c r="I1955">
        <f>IF(A1955="","",IF(AND(E1955&gt;=4,F1955&gt;=4,G1955&gt;=4),"Juara",IF(AND(F1955&gt;=4,E1955&gt;=3),"Setia",IF(AND(E1955=5,F1955&lt;=2,G1955&gt;=3),"Berpotensi",IF(AND(E1955&lt;=3,E1955&gt;=2,F1955&gt;=3),"Rawan",IF(AND(E1955&lt;=2,F1955&lt;=2),"Tidur","Umum"))))))</f>
        <v/>
      </c>
    </row>
    <row r="1956">
      <c r="B1956">
        <f>IF(A1956="","",$B$1-MAXIFS(Donasi!$A$2:$A$20000,Donasi!$B$2:$B$20000,A1956))</f>
        <v/>
      </c>
      <c r="C1956">
        <f>IF(A1956="","",COUNTIF(Donasi!$B$2:$B$20000,A1956))</f>
        <v/>
      </c>
      <c r="D1956">
        <f>IF(A1956="","",SUMIF(Donasi!$B$2:$B$20000,A1956,Donasi!$C$2:$C$20000))</f>
        <v/>
      </c>
      <c r="E1956">
        <f>IF(A1956="","",6-CEILING(PERCENTRANK.INC($B$3:$B$6000,B1956,4)*5+0.000001,1))</f>
        <v/>
      </c>
      <c r="F1956">
        <f>IF(A1956="","",MAX(1,CEILING(PERCENTRANK.INC($C$3:$C$6000,C1956,4)*5+0.000001,1)))</f>
        <v/>
      </c>
      <c r="G1956">
        <f>IF(A1956="","",MAX(1,CEILING(PERCENTRANK.INC($D$3:$D$6000,D1956,4)*5+0.000001,1)))</f>
        <v/>
      </c>
      <c r="H1956">
        <f>IF(A1956="","",E1956&amp;F1956&amp;G1956)</f>
        <v/>
      </c>
      <c r="I1956">
        <f>IF(A1956="","",IF(AND(E1956&gt;=4,F1956&gt;=4,G1956&gt;=4),"Juara",IF(AND(F1956&gt;=4,E1956&gt;=3),"Setia",IF(AND(E1956=5,F1956&lt;=2,G1956&gt;=3),"Berpotensi",IF(AND(E1956&lt;=3,E1956&gt;=2,F1956&gt;=3),"Rawan",IF(AND(E1956&lt;=2,F1956&lt;=2),"Tidur","Umum"))))))</f>
        <v/>
      </c>
    </row>
    <row r="1957">
      <c r="B1957">
        <f>IF(A1957="","",$B$1-MAXIFS(Donasi!$A$2:$A$20000,Donasi!$B$2:$B$20000,A1957))</f>
        <v/>
      </c>
      <c r="C1957">
        <f>IF(A1957="","",COUNTIF(Donasi!$B$2:$B$20000,A1957))</f>
        <v/>
      </c>
      <c r="D1957">
        <f>IF(A1957="","",SUMIF(Donasi!$B$2:$B$20000,A1957,Donasi!$C$2:$C$20000))</f>
        <v/>
      </c>
      <c r="E1957">
        <f>IF(A1957="","",6-CEILING(PERCENTRANK.INC($B$3:$B$6000,B1957,4)*5+0.000001,1))</f>
        <v/>
      </c>
      <c r="F1957">
        <f>IF(A1957="","",MAX(1,CEILING(PERCENTRANK.INC($C$3:$C$6000,C1957,4)*5+0.000001,1)))</f>
        <v/>
      </c>
      <c r="G1957">
        <f>IF(A1957="","",MAX(1,CEILING(PERCENTRANK.INC($D$3:$D$6000,D1957,4)*5+0.000001,1)))</f>
        <v/>
      </c>
      <c r="H1957">
        <f>IF(A1957="","",E1957&amp;F1957&amp;G1957)</f>
        <v/>
      </c>
      <c r="I1957">
        <f>IF(A1957="","",IF(AND(E1957&gt;=4,F1957&gt;=4,G1957&gt;=4),"Juara",IF(AND(F1957&gt;=4,E1957&gt;=3),"Setia",IF(AND(E1957=5,F1957&lt;=2,G1957&gt;=3),"Berpotensi",IF(AND(E1957&lt;=3,E1957&gt;=2,F1957&gt;=3),"Rawan",IF(AND(E1957&lt;=2,F1957&lt;=2),"Tidur","Umum"))))))</f>
        <v/>
      </c>
    </row>
    <row r="1958">
      <c r="B1958">
        <f>IF(A1958="","",$B$1-MAXIFS(Donasi!$A$2:$A$20000,Donasi!$B$2:$B$20000,A1958))</f>
        <v/>
      </c>
      <c r="C1958">
        <f>IF(A1958="","",COUNTIF(Donasi!$B$2:$B$20000,A1958))</f>
        <v/>
      </c>
      <c r="D1958">
        <f>IF(A1958="","",SUMIF(Donasi!$B$2:$B$20000,A1958,Donasi!$C$2:$C$20000))</f>
        <v/>
      </c>
      <c r="E1958">
        <f>IF(A1958="","",6-CEILING(PERCENTRANK.INC($B$3:$B$6000,B1958,4)*5+0.000001,1))</f>
        <v/>
      </c>
      <c r="F1958">
        <f>IF(A1958="","",MAX(1,CEILING(PERCENTRANK.INC($C$3:$C$6000,C1958,4)*5+0.000001,1)))</f>
        <v/>
      </c>
      <c r="G1958">
        <f>IF(A1958="","",MAX(1,CEILING(PERCENTRANK.INC($D$3:$D$6000,D1958,4)*5+0.000001,1)))</f>
        <v/>
      </c>
      <c r="H1958">
        <f>IF(A1958="","",E1958&amp;F1958&amp;G1958)</f>
        <v/>
      </c>
      <c r="I1958">
        <f>IF(A1958="","",IF(AND(E1958&gt;=4,F1958&gt;=4,G1958&gt;=4),"Juara",IF(AND(F1958&gt;=4,E1958&gt;=3),"Setia",IF(AND(E1958=5,F1958&lt;=2,G1958&gt;=3),"Berpotensi",IF(AND(E1958&lt;=3,E1958&gt;=2,F1958&gt;=3),"Rawan",IF(AND(E1958&lt;=2,F1958&lt;=2),"Tidur","Umum"))))))</f>
        <v/>
      </c>
    </row>
    <row r="1959">
      <c r="B1959">
        <f>IF(A1959="","",$B$1-MAXIFS(Donasi!$A$2:$A$20000,Donasi!$B$2:$B$20000,A1959))</f>
        <v/>
      </c>
      <c r="C1959">
        <f>IF(A1959="","",COUNTIF(Donasi!$B$2:$B$20000,A1959))</f>
        <v/>
      </c>
      <c r="D1959">
        <f>IF(A1959="","",SUMIF(Donasi!$B$2:$B$20000,A1959,Donasi!$C$2:$C$20000))</f>
        <v/>
      </c>
      <c r="E1959">
        <f>IF(A1959="","",6-CEILING(PERCENTRANK.INC($B$3:$B$6000,B1959,4)*5+0.000001,1))</f>
        <v/>
      </c>
      <c r="F1959">
        <f>IF(A1959="","",MAX(1,CEILING(PERCENTRANK.INC($C$3:$C$6000,C1959,4)*5+0.000001,1)))</f>
        <v/>
      </c>
      <c r="G1959">
        <f>IF(A1959="","",MAX(1,CEILING(PERCENTRANK.INC($D$3:$D$6000,D1959,4)*5+0.000001,1)))</f>
        <v/>
      </c>
      <c r="H1959">
        <f>IF(A1959="","",E1959&amp;F1959&amp;G1959)</f>
        <v/>
      </c>
      <c r="I1959">
        <f>IF(A1959="","",IF(AND(E1959&gt;=4,F1959&gt;=4,G1959&gt;=4),"Juara",IF(AND(F1959&gt;=4,E1959&gt;=3),"Setia",IF(AND(E1959=5,F1959&lt;=2,G1959&gt;=3),"Berpotensi",IF(AND(E1959&lt;=3,E1959&gt;=2,F1959&gt;=3),"Rawan",IF(AND(E1959&lt;=2,F1959&lt;=2),"Tidur","Umum"))))))</f>
        <v/>
      </c>
    </row>
    <row r="1960">
      <c r="B1960">
        <f>IF(A1960="","",$B$1-MAXIFS(Donasi!$A$2:$A$20000,Donasi!$B$2:$B$20000,A1960))</f>
        <v/>
      </c>
      <c r="C1960">
        <f>IF(A1960="","",COUNTIF(Donasi!$B$2:$B$20000,A1960))</f>
        <v/>
      </c>
      <c r="D1960">
        <f>IF(A1960="","",SUMIF(Donasi!$B$2:$B$20000,A1960,Donasi!$C$2:$C$20000))</f>
        <v/>
      </c>
      <c r="E1960">
        <f>IF(A1960="","",6-CEILING(PERCENTRANK.INC($B$3:$B$6000,B1960,4)*5+0.000001,1))</f>
        <v/>
      </c>
      <c r="F1960">
        <f>IF(A1960="","",MAX(1,CEILING(PERCENTRANK.INC($C$3:$C$6000,C1960,4)*5+0.000001,1)))</f>
        <v/>
      </c>
      <c r="G1960">
        <f>IF(A1960="","",MAX(1,CEILING(PERCENTRANK.INC($D$3:$D$6000,D1960,4)*5+0.000001,1)))</f>
        <v/>
      </c>
      <c r="H1960">
        <f>IF(A1960="","",E1960&amp;F1960&amp;G1960)</f>
        <v/>
      </c>
      <c r="I1960">
        <f>IF(A1960="","",IF(AND(E1960&gt;=4,F1960&gt;=4,G1960&gt;=4),"Juara",IF(AND(F1960&gt;=4,E1960&gt;=3),"Setia",IF(AND(E1960=5,F1960&lt;=2,G1960&gt;=3),"Berpotensi",IF(AND(E1960&lt;=3,E1960&gt;=2,F1960&gt;=3),"Rawan",IF(AND(E1960&lt;=2,F1960&lt;=2),"Tidur","Umum"))))))</f>
        <v/>
      </c>
    </row>
    <row r="1961">
      <c r="B1961">
        <f>IF(A1961="","",$B$1-MAXIFS(Donasi!$A$2:$A$20000,Donasi!$B$2:$B$20000,A1961))</f>
        <v/>
      </c>
      <c r="C1961">
        <f>IF(A1961="","",COUNTIF(Donasi!$B$2:$B$20000,A1961))</f>
        <v/>
      </c>
      <c r="D1961">
        <f>IF(A1961="","",SUMIF(Donasi!$B$2:$B$20000,A1961,Donasi!$C$2:$C$20000))</f>
        <v/>
      </c>
      <c r="E1961">
        <f>IF(A1961="","",6-CEILING(PERCENTRANK.INC($B$3:$B$6000,B1961,4)*5+0.000001,1))</f>
        <v/>
      </c>
      <c r="F1961">
        <f>IF(A1961="","",MAX(1,CEILING(PERCENTRANK.INC($C$3:$C$6000,C1961,4)*5+0.000001,1)))</f>
        <v/>
      </c>
      <c r="G1961">
        <f>IF(A1961="","",MAX(1,CEILING(PERCENTRANK.INC($D$3:$D$6000,D1961,4)*5+0.000001,1)))</f>
        <v/>
      </c>
      <c r="H1961">
        <f>IF(A1961="","",E1961&amp;F1961&amp;G1961)</f>
        <v/>
      </c>
      <c r="I1961">
        <f>IF(A1961="","",IF(AND(E1961&gt;=4,F1961&gt;=4,G1961&gt;=4),"Juara",IF(AND(F1961&gt;=4,E1961&gt;=3),"Setia",IF(AND(E1961=5,F1961&lt;=2,G1961&gt;=3),"Berpotensi",IF(AND(E1961&lt;=3,E1961&gt;=2,F1961&gt;=3),"Rawan",IF(AND(E1961&lt;=2,F1961&lt;=2),"Tidur","Umum"))))))</f>
        <v/>
      </c>
    </row>
    <row r="1962">
      <c r="B1962">
        <f>IF(A1962="","",$B$1-MAXIFS(Donasi!$A$2:$A$20000,Donasi!$B$2:$B$20000,A1962))</f>
        <v/>
      </c>
      <c r="C1962">
        <f>IF(A1962="","",COUNTIF(Donasi!$B$2:$B$20000,A1962))</f>
        <v/>
      </c>
      <c r="D1962">
        <f>IF(A1962="","",SUMIF(Donasi!$B$2:$B$20000,A1962,Donasi!$C$2:$C$20000))</f>
        <v/>
      </c>
      <c r="E1962">
        <f>IF(A1962="","",6-CEILING(PERCENTRANK.INC($B$3:$B$6000,B1962,4)*5+0.000001,1))</f>
        <v/>
      </c>
      <c r="F1962">
        <f>IF(A1962="","",MAX(1,CEILING(PERCENTRANK.INC($C$3:$C$6000,C1962,4)*5+0.000001,1)))</f>
        <v/>
      </c>
      <c r="G1962">
        <f>IF(A1962="","",MAX(1,CEILING(PERCENTRANK.INC($D$3:$D$6000,D1962,4)*5+0.000001,1)))</f>
        <v/>
      </c>
      <c r="H1962">
        <f>IF(A1962="","",E1962&amp;F1962&amp;G1962)</f>
        <v/>
      </c>
      <c r="I1962">
        <f>IF(A1962="","",IF(AND(E1962&gt;=4,F1962&gt;=4,G1962&gt;=4),"Juara",IF(AND(F1962&gt;=4,E1962&gt;=3),"Setia",IF(AND(E1962=5,F1962&lt;=2,G1962&gt;=3),"Berpotensi",IF(AND(E1962&lt;=3,E1962&gt;=2,F1962&gt;=3),"Rawan",IF(AND(E1962&lt;=2,F1962&lt;=2),"Tidur","Umum"))))))</f>
        <v/>
      </c>
    </row>
    <row r="1963">
      <c r="B1963">
        <f>IF(A1963="","",$B$1-MAXIFS(Donasi!$A$2:$A$20000,Donasi!$B$2:$B$20000,A1963))</f>
        <v/>
      </c>
      <c r="C1963">
        <f>IF(A1963="","",COUNTIF(Donasi!$B$2:$B$20000,A1963))</f>
        <v/>
      </c>
      <c r="D1963">
        <f>IF(A1963="","",SUMIF(Donasi!$B$2:$B$20000,A1963,Donasi!$C$2:$C$20000))</f>
        <v/>
      </c>
      <c r="E1963">
        <f>IF(A1963="","",6-CEILING(PERCENTRANK.INC($B$3:$B$6000,B1963,4)*5+0.000001,1))</f>
        <v/>
      </c>
      <c r="F1963">
        <f>IF(A1963="","",MAX(1,CEILING(PERCENTRANK.INC($C$3:$C$6000,C1963,4)*5+0.000001,1)))</f>
        <v/>
      </c>
      <c r="G1963">
        <f>IF(A1963="","",MAX(1,CEILING(PERCENTRANK.INC($D$3:$D$6000,D1963,4)*5+0.000001,1)))</f>
        <v/>
      </c>
      <c r="H1963">
        <f>IF(A1963="","",E1963&amp;F1963&amp;G1963)</f>
        <v/>
      </c>
      <c r="I1963">
        <f>IF(A1963="","",IF(AND(E1963&gt;=4,F1963&gt;=4,G1963&gt;=4),"Juara",IF(AND(F1963&gt;=4,E1963&gt;=3),"Setia",IF(AND(E1963=5,F1963&lt;=2,G1963&gt;=3),"Berpotensi",IF(AND(E1963&lt;=3,E1963&gt;=2,F1963&gt;=3),"Rawan",IF(AND(E1963&lt;=2,F1963&lt;=2),"Tidur","Umum"))))))</f>
        <v/>
      </c>
    </row>
    <row r="1964">
      <c r="B1964">
        <f>IF(A1964="","",$B$1-MAXIFS(Donasi!$A$2:$A$20000,Donasi!$B$2:$B$20000,A1964))</f>
        <v/>
      </c>
      <c r="C1964">
        <f>IF(A1964="","",COUNTIF(Donasi!$B$2:$B$20000,A1964))</f>
        <v/>
      </c>
      <c r="D1964">
        <f>IF(A1964="","",SUMIF(Donasi!$B$2:$B$20000,A1964,Donasi!$C$2:$C$20000))</f>
        <v/>
      </c>
      <c r="E1964">
        <f>IF(A1964="","",6-CEILING(PERCENTRANK.INC($B$3:$B$6000,B1964,4)*5+0.000001,1))</f>
        <v/>
      </c>
      <c r="F1964">
        <f>IF(A1964="","",MAX(1,CEILING(PERCENTRANK.INC($C$3:$C$6000,C1964,4)*5+0.000001,1)))</f>
        <v/>
      </c>
      <c r="G1964">
        <f>IF(A1964="","",MAX(1,CEILING(PERCENTRANK.INC($D$3:$D$6000,D1964,4)*5+0.000001,1)))</f>
        <v/>
      </c>
      <c r="H1964">
        <f>IF(A1964="","",E1964&amp;F1964&amp;G1964)</f>
        <v/>
      </c>
      <c r="I1964">
        <f>IF(A1964="","",IF(AND(E1964&gt;=4,F1964&gt;=4,G1964&gt;=4),"Juara",IF(AND(F1964&gt;=4,E1964&gt;=3),"Setia",IF(AND(E1964=5,F1964&lt;=2,G1964&gt;=3),"Berpotensi",IF(AND(E1964&lt;=3,E1964&gt;=2,F1964&gt;=3),"Rawan",IF(AND(E1964&lt;=2,F1964&lt;=2),"Tidur","Umum"))))))</f>
        <v/>
      </c>
    </row>
    <row r="1965">
      <c r="B1965">
        <f>IF(A1965="","",$B$1-MAXIFS(Donasi!$A$2:$A$20000,Donasi!$B$2:$B$20000,A1965))</f>
        <v/>
      </c>
      <c r="C1965">
        <f>IF(A1965="","",COUNTIF(Donasi!$B$2:$B$20000,A1965))</f>
        <v/>
      </c>
      <c r="D1965">
        <f>IF(A1965="","",SUMIF(Donasi!$B$2:$B$20000,A1965,Donasi!$C$2:$C$20000))</f>
        <v/>
      </c>
      <c r="E1965">
        <f>IF(A1965="","",6-CEILING(PERCENTRANK.INC($B$3:$B$6000,B1965,4)*5+0.000001,1))</f>
        <v/>
      </c>
      <c r="F1965">
        <f>IF(A1965="","",MAX(1,CEILING(PERCENTRANK.INC($C$3:$C$6000,C1965,4)*5+0.000001,1)))</f>
        <v/>
      </c>
      <c r="G1965">
        <f>IF(A1965="","",MAX(1,CEILING(PERCENTRANK.INC($D$3:$D$6000,D1965,4)*5+0.000001,1)))</f>
        <v/>
      </c>
      <c r="H1965">
        <f>IF(A1965="","",E1965&amp;F1965&amp;G1965)</f>
        <v/>
      </c>
      <c r="I1965">
        <f>IF(A1965="","",IF(AND(E1965&gt;=4,F1965&gt;=4,G1965&gt;=4),"Juara",IF(AND(F1965&gt;=4,E1965&gt;=3),"Setia",IF(AND(E1965=5,F1965&lt;=2,G1965&gt;=3),"Berpotensi",IF(AND(E1965&lt;=3,E1965&gt;=2,F1965&gt;=3),"Rawan",IF(AND(E1965&lt;=2,F1965&lt;=2),"Tidur","Umum"))))))</f>
        <v/>
      </c>
    </row>
    <row r="1966">
      <c r="B1966">
        <f>IF(A1966="","",$B$1-MAXIFS(Donasi!$A$2:$A$20000,Donasi!$B$2:$B$20000,A1966))</f>
        <v/>
      </c>
      <c r="C1966">
        <f>IF(A1966="","",COUNTIF(Donasi!$B$2:$B$20000,A1966))</f>
        <v/>
      </c>
      <c r="D1966">
        <f>IF(A1966="","",SUMIF(Donasi!$B$2:$B$20000,A1966,Donasi!$C$2:$C$20000))</f>
        <v/>
      </c>
      <c r="E1966">
        <f>IF(A1966="","",6-CEILING(PERCENTRANK.INC($B$3:$B$6000,B1966,4)*5+0.000001,1))</f>
        <v/>
      </c>
      <c r="F1966">
        <f>IF(A1966="","",MAX(1,CEILING(PERCENTRANK.INC($C$3:$C$6000,C1966,4)*5+0.000001,1)))</f>
        <v/>
      </c>
      <c r="G1966">
        <f>IF(A1966="","",MAX(1,CEILING(PERCENTRANK.INC($D$3:$D$6000,D1966,4)*5+0.000001,1)))</f>
        <v/>
      </c>
      <c r="H1966">
        <f>IF(A1966="","",E1966&amp;F1966&amp;G1966)</f>
        <v/>
      </c>
      <c r="I1966">
        <f>IF(A1966="","",IF(AND(E1966&gt;=4,F1966&gt;=4,G1966&gt;=4),"Juara",IF(AND(F1966&gt;=4,E1966&gt;=3),"Setia",IF(AND(E1966=5,F1966&lt;=2,G1966&gt;=3),"Berpotensi",IF(AND(E1966&lt;=3,E1966&gt;=2,F1966&gt;=3),"Rawan",IF(AND(E1966&lt;=2,F1966&lt;=2),"Tidur","Umum"))))))</f>
        <v/>
      </c>
    </row>
    <row r="1967">
      <c r="B1967">
        <f>IF(A1967="","",$B$1-MAXIFS(Donasi!$A$2:$A$20000,Donasi!$B$2:$B$20000,A1967))</f>
        <v/>
      </c>
      <c r="C1967">
        <f>IF(A1967="","",COUNTIF(Donasi!$B$2:$B$20000,A1967))</f>
        <v/>
      </c>
      <c r="D1967">
        <f>IF(A1967="","",SUMIF(Donasi!$B$2:$B$20000,A1967,Donasi!$C$2:$C$20000))</f>
        <v/>
      </c>
      <c r="E1967">
        <f>IF(A1967="","",6-CEILING(PERCENTRANK.INC($B$3:$B$6000,B1967,4)*5+0.000001,1))</f>
        <v/>
      </c>
      <c r="F1967">
        <f>IF(A1967="","",MAX(1,CEILING(PERCENTRANK.INC($C$3:$C$6000,C1967,4)*5+0.000001,1)))</f>
        <v/>
      </c>
      <c r="G1967">
        <f>IF(A1967="","",MAX(1,CEILING(PERCENTRANK.INC($D$3:$D$6000,D1967,4)*5+0.000001,1)))</f>
        <v/>
      </c>
      <c r="H1967">
        <f>IF(A1967="","",E1967&amp;F1967&amp;G1967)</f>
        <v/>
      </c>
      <c r="I1967">
        <f>IF(A1967="","",IF(AND(E1967&gt;=4,F1967&gt;=4,G1967&gt;=4),"Juara",IF(AND(F1967&gt;=4,E1967&gt;=3),"Setia",IF(AND(E1967=5,F1967&lt;=2,G1967&gt;=3),"Berpotensi",IF(AND(E1967&lt;=3,E1967&gt;=2,F1967&gt;=3),"Rawan",IF(AND(E1967&lt;=2,F1967&lt;=2),"Tidur","Umum"))))))</f>
        <v/>
      </c>
    </row>
    <row r="1968">
      <c r="B1968">
        <f>IF(A1968="","",$B$1-MAXIFS(Donasi!$A$2:$A$20000,Donasi!$B$2:$B$20000,A1968))</f>
        <v/>
      </c>
      <c r="C1968">
        <f>IF(A1968="","",COUNTIF(Donasi!$B$2:$B$20000,A1968))</f>
        <v/>
      </c>
      <c r="D1968">
        <f>IF(A1968="","",SUMIF(Donasi!$B$2:$B$20000,A1968,Donasi!$C$2:$C$20000))</f>
        <v/>
      </c>
      <c r="E1968">
        <f>IF(A1968="","",6-CEILING(PERCENTRANK.INC($B$3:$B$6000,B1968,4)*5+0.000001,1))</f>
        <v/>
      </c>
      <c r="F1968">
        <f>IF(A1968="","",MAX(1,CEILING(PERCENTRANK.INC($C$3:$C$6000,C1968,4)*5+0.000001,1)))</f>
        <v/>
      </c>
      <c r="G1968">
        <f>IF(A1968="","",MAX(1,CEILING(PERCENTRANK.INC($D$3:$D$6000,D1968,4)*5+0.000001,1)))</f>
        <v/>
      </c>
      <c r="H1968">
        <f>IF(A1968="","",E1968&amp;F1968&amp;G1968)</f>
        <v/>
      </c>
      <c r="I1968">
        <f>IF(A1968="","",IF(AND(E1968&gt;=4,F1968&gt;=4,G1968&gt;=4),"Juara",IF(AND(F1968&gt;=4,E1968&gt;=3),"Setia",IF(AND(E1968=5,F1968&lt;=2,G1968&gt;=3),"Berpotensi",IF(AND(E1968&lt;=3,E1968&gt;=2,F1968&gt;=3),"Rawan",IF(AND(E1968&lt;=2,F1968&lt;=2),"Tidur","Umum"))))))</f>
        <v/>
      </c>
    </row>
    <row r="1969">
      <c r="B1969">
        <f>IF(A1969="","",$B$1-MAXIFS(Donasi!$A$2:$A$20000,Donasi!$B$2:$B$20000,A1969))</f>
        <v/>
      </c>
      <c r="C1969">
        <f>IF(A1969="","",COUNTIF(Donasi!$B$2:$B$20000,A1969))</f>
        <v/>
      </c>
      <c r="D1969">
        <f>IF(A1969="","",SUMIF(Donasi!$B$2:$B$20000,A1969,Donasi!$C$2:$C$20000))</f>
        <v/>
      </c>
      <c r="E1969">
        <f>IF(A1969="","",6-CEILING(PERCENTRANK.INC($B$3:$B$6000,B1969,4)*5+0.000001,1))</f>
        <v/>
      </c>
      <c r="F1969">
        <f>IF(A1969="","",MAX(1,CEILING(PERCENTRANK.INC($C$3:$C$6000,C1969,4)*5+0.000001,1)))</f>
        <v/>
      </c>
      <c r="G1969">
        <f>IF(A1969="","",MAX(1,CEILING(PERCENTRANK.INC($D$3:$D$6000,D1969,4)*5+0.000001,1)))</f>
        <v/>
      </c>
      <c r="H1969">
        <f>IF(A1969="","",E1969&amp;F1969&amp;G1969)</f>
        <v/>
      </c>
      <c r="I1969">
        <f>IF(A1969="","",IF(AND(E1969&gt;=4,F1969&gt;=4,G1969&gt;=4),"Juara",IF(AND(F1969&gt;=4,E1969&gt;=3),"Setia",IF(AND(E1969=5,F1969&lt;=2,G1969&gt;=3),"Berpotensi",IF(AND(E1969&lt;=3,E1969&gt;=2,F1969&gt;=3),"Rawan",IF(AND(E1969&lt;=2,F1969&lt;=2),"Tidur","Umum"))))))</f>
        <v/>
      </c>
    </row>
    <row r="1970">
      <c r="B1970">
        <f>IF(A1970="","",$B$1-MAXIFS(Donasi!$A$2:$A$20000,Donasi!$B$2:$B$20000,A1970))</f>
        <v/>
      </c>
      <c r="C1970">
        <f>IF(A1970="","",COUNTIF(Donasi!$B$2:$B$20000,A1970))</f>
        <v/>
      </c>
      <c r="D1970">
        <f>IF(A1970="","",SUMIF(Donasi!$B$2:$B$20000,A1970,Donasi!$C$2:$C$20000))</f>
        <v/>
      </c>
      <c r="E1970">
        <f>IF(A1970="","",6-CEILING(PERCENTRANK.INC($B$3:$B$6000,B1970,4)*5+0.000001,1))</f>
        <v/>
      </c>
      <c r="F1970">
        <f>IF(A1970="","",MAX(1,CEILING(PERCENTRANK.INC($C$3:$C$6000,C1970,4)*5+0.000001,1)))</f>
        <v/>
      </c>
      <c r="G1970">
        <f>IF(A1970="","",MAX(1,CEILING(PERCENTRANK.INC($D$3:$D$6000,D1970,4)*5+0.000001,1)))</f>
        <v/>
      </c>
      <c r="H1970">
        <f>IF(A1970="","",E1970&amp;F1970&amp;G1970)</f>
        <v/>
      </c>
      <c r="I1970">
        <f>IF(A1970="","",IF(AND(E1970&gt;=4,F1970&gt;=4,G1970&gt;=4),"Juara",IF(AND(F1970&gt;=4,E1970&gt;=3),"Setia",IF(AND(E1970=5,F1970&lt;=2,G1970&gt;=3),"Berpotensi",IF(AND(E1970&lt;=3,E1970&gt;=2,F1970&gt;=3),"Rawan",IF(AND(E1970&lt;=2,F1970&lt;=2),"Tidur","Umum"))))))</f>
        <v/>
      </c>
    </row>
    <row r="1971">
      <c r="B1971">
        <f>IF(A1971="","",$B$1-MAXIFS(Donasi!$A$2:$A$20000,Donasi!$B$2:$B$20000,A1971))</f>
        <v/>
      </c>
      <c r="C1971">
        <f>IF(A1971="","",COUNTIF(Donasi!$B$2:$B$20000,A1971))</f>
        <v/>
      </c>
      <c r="D1971">
        <f>IF(A1971="","",SUMIF(Donasi!$B$2:$B$20000,A1971,Donasi!$C$2:$C$20000))</f>
        <v/>
      </c>
      <c r="E1971">
        <f>IF(A1971="","",6-CEILING(PERCENTRANK.INC($B$3:$B$6000,B1971,4)*5+0.000001,1))</f>
        <v/>
      </c>
      <c r="F1971">
        <f>IF(A1971="","",MAX(1,CEILING(PERCENTRANK.INC($C$3:$C$6000,C1971,4)*5+0.000001,1)))</f>
        <v/>
      </c>
      <c r="G1971">
        <f>IF(A1971="","",MAX(1,CEILING(PERCENTRANK.INC($D$3:$D$6000,D1971,4)*5+0.000001,1)))</f>
        <v/>
      </c>
      <c r="H1971">
        <f>IF(A1971="","",E1971&amp;F1971&amp;G1971)</f>
        <v/>
      </c>
      <c r="I1971">
        <f>IF(A1971="","",IF(AND(E1971&gt;=4,F1971&gt;=4,G1971&gt;=4),"Juara",IF(AND(F1971&gt;=4,E1971&gt;=3),"Setia",IF(AND(E1971=5,F1971&lt;=2,G1971&gt;=3),"Berpotensi",IF(AND(E1971&lt;=3,E1971&gt;=2,F1971&gt;=3),"Rawan",IF(AND(E1971&lt;=2,F1971&lt;=2),"Tidur","Umum"))))))</f>
        <v/>
      </c>
    </row>
    <row r="1972">
      <c r="B1972">
        <f>IF(A1972="","",$B$1-MAXIFS(Donasi!$A$2:$A$20000,Donasi!$B$2:$B$20000,A1972))</f>
        <v/>
      </c>
      <c r="C1972">
        <f>IF(A1972="","",COUNTIF(Donasi!$B$2:$B$20000,A1972))</f>
        <v/>
      </c>
      <c r="D1972">
        <f>IF(A1972="","",SUMIF(Donasi!$B$2:$B$20000,A1972,Donasi!$C$2:$C$20000))</f>
        <v/>
      </c>
      <c r="E1972">
        <f>IF(A1972="","",6-CEILING(PERCENTRANK.INC($B$3:$B$6000,B1972,4)*5+0.000001,1))</f>
        <v/>
      </c>
      <c r="F1972">
        <f>IF(A1972="","",MAX(1,CEILING(PERCENTRANK.INC($C$3:$C$6000,C1972,4)*5+0.000001,1)))</f>
        <v/>
      </c>
      <c r="G1972">
        <f>IF(A1972="","",MAX(1,CEILING(PERCENTRANK.INC($D$3:$D$6000,D1972,4)*5+0.000001,1)))</f>
        <v/>
      </c>
      <c r="H1972">
        <f>IF(A1972="","",E1972&amp;F1972&amp;G1972)</f>
        <v/>
      </c>
      <c r="I1972">
        <f>IF(A1972="","",IF(AND(E1972&gt;=4,F1972&gt;=4,G1972&gt;=4),"Juara",IF(AND(F1972&gt;=4,E1972&gt;=3),"Setia",IF(AND(E1972=5,F1972&lt;=2,G1972&gt;=3),"Berpotensi",IF(AND(E1972&lt;=3,E1972&gt;=2,F1972&gt;=3),"Rawan",IF(AND(E1972&lt;=2,F1972&lt;=2),"Tidur","Umum"))))))</f>
        <v/>
      </c>
    </row>
    <row r="1973">
      <c r="B1973">
        <f>IF(A1973="","",$B$1-MAXIFS(Donasi!$A$2:$A$20000,Donasi!$B$2:$B$20000,A1973))</f>
        <v/>
      </c>
      <c r="C1973">
        <f>IF(A1973="","",COUNTIF(Donasi!$B$2:$B$20000,A1973))</f>
        <v/>
      </c>
      <c r="D1973">
        <f>IF(A1973="","",SUMIF(Donasi!$B$2:$B$20000,A1973,Donasi!$C$2:$C$20000))</f>
        <v/>
      </c>
      <c r="E1973">
        <f>IF(A1973="","",6-CEILING(PERCENTRANK.INC($B$3:$B$6000,B1973,4)*5+0.000001,1))</f>
        <v/>
      </c>
      <c r="F1973">
        <f>IF(A1973="","",MAX(1,CEILING(PERCENTRANK.INC($C$3:$C$6000,C1973,4)*5+0.000001,1)))</f>
        <v/>
      </c>
      <c r="G1973">
        <f>IF(A1973="","",MAX(1,CEILING(PERCENTRANK.INC($D$3:$D$6000,D1973,4)*5+0.000001,1)))</f>
        <v/>
      </c>
      <c r="H1973">
        <f>IF(A1973="","",E1973&amp;F1973&amp;G1973)</f>
        <v/>
      </c>
      <c r="I1973">
        <f>IF(A1973="","",IF(AND(E1973&gt;=4,F1973&gt;=4,G1973&gt;=4),"Juara",IF(AND(F1973&gt;=4,E1973&gt;=3),"Setia",IF(AND(E1973=5,F1973&lt;=2,G1973&gt;=3),"Berpotensi",IF(AND(E1973&lt;=3,E1973&gt;=2,F1973&gt;=3),"Rawan",IF(AND(E1973&lt;=2,F1973&lt;=2),"Tidur","Umum"))))))</f>
        <v/>
      </c>
    </row>
    <row r="1974">
      <c r="B1974">
        <f>IF(A1974="","",$B$1-MAXIFS(Donasi!$A$2:$A$20000,Donasi!$B$2:$B$20000,A1974))</f>
        <v/>
      </c>
      <c r="C1974">
        <f>IF(A1974="","",COUNTIF(Donasi!$B$2:$B$20000,A1974))</f>
        <v/>
      </c>
      <c r="D1974">
        <f>IF(A1974="","",SUMIF(Donasi!$B$2:$B$20000,A1974,Donasi!$C$2:$C$20000))</f>
        <v/>
      </c>
      <c r="E1974">
        <f>IF(A1974="","",6-CEILING(PERCENTRANK.INC($B$3:$B$6000,B1974,4)*5+0.000001,1))</f>
        <v/>
      </c>
      <c r="F1974">
        <f>IF(A1974="","",MAX(1,CEILING(PERCENTRANK.INC($C$3:$C$6000,C1974,4)*5+0.000001,1)))</f>
        <v/>
      </c>
      <c r="G1974">
        <f>IF(A1974="","",MAX(1,CEILING(PERCENTRANK.INC($D$3:$D$6000,D1974,4)*5+0.000001,1)))</f>
        <v/>
      </c>
      <c r="H1974">
        <f>IF(A1974="","",E1974&amp;F1974&amp;G1974)</f>
        <v/>
      </c>
      <c r="I1974">
        <f>IF(A1974="","",IF(AND(E1974&gt;=4,F1974&gt;=4,G1974&gt;=4),"Juara",IF(AND(F1974&gt;=4,E1974&gt;=3),"Setia",IF(AND(E1974=5,F1974&lt;=2,G1974&gt;=3),"Berpotensi",IF(AND(E1974&lt;=3,E1974&gt;=2,F1974&gt;=3),"Rawan",IF(AND(E1974&lt;=2,F1974&lt;=2),"Tidur","Umum"))))))</f>
        <v/>
      </c>
    </row>
    <row r="1975">
      <c r="B1975">
        <f>IF(A1975="","",$B$1-MAXIFS(Donasi!$A$2:$A$20000,Donasi!$B$2:$B$20000,A1975))</f>
        <v/>
      </c>
      <c r="C1975">
        <f>IF(A1975="","",COUNTIF(Donasi!$B$2:$B$20000,A1975))</f>
        <v/>
      </c>
      <c r="D1975">
        <f>IF(A1975="","",SUMIF(Donasi!$B$2:$B$20000,A1975,Donasi!$C$2:$C$20000))</f>
        <v/>
      </c>
      <c r="E1975">
        <f>IF(A1975="","",6-CEILING(PERCENTRANK.INC($B$3:$B$6000,B1975,4)*5+0.000001,1))</f>
        <v/>
      </c>
      <c r="F1975">
        <f>IF(A1975="","",MAX(1,CEILING(PERCENTRANK.INC($C$3:$C$6000,C1975,4)*5+0.000001,1)))</f>
        <v/>
      </c>
      <c r="G1975">
        <f>IF(A1975="","",MAX(1,CEILING(PERCENTRANK.INC($D$3:$D$6000,D1975,4)*5+0.000001,1)))</f>
        <v/>
      </c>
      <c r="H1975">
        <f>IF(A1975="","",E1975&amp;F1975&amp;G1975)</f>
        <v/>
      </c>
      <c r="I1975">
        <f>IF(A1975="","",IF(AND(E1975&gt;=4,F1975&gt;=4,G1975&gt;=4),"Juara",IF(AND(F1975&gt;=4,E1975&gt;=3),"Setia",IF(AND(E1975=5,F1975&lt;=2,G1975&gt;=3),"Berpotensi",IF(AND(E1975&lt;=3,E1975&gt;=2,F1975&gt;=3),"Rawan",IF(AND(E1975&lt;=2,F1975&lt;=2),"Tidur","Umum"))))))</f>
        <v/>
      </c>
    </row>
    <row r="1976">
      <c r="B1976">
        <f>IF(A1976="","",$B$1-MAXIFS(Donasi!$A$2:$A$20000,Donasi!$B$2:$B$20000,A1976))</f>
        <v/>
      </c>
      <c r="C1976">
        <f>IF(A1976="","",COUNTIF(Donasi!$B$2:$B$20000,A1976))</f>
        <v/>
      </c>
      <c r="D1976">
        <f>IF(A1976="","",SUMIF(Donasi!$B$2:$B$20000,A1976,Donasi!$C$2:$C$20000))</f>
        <v/>
      </c>
      <c r="E1976">
        <f>IF(A1976="","",6-CEILING(PERCENTRANK.INC($B$3:$B$6000,B1976,4)*5+0.000001,1))</f>
        <v/>
      </c>
      <c r="F1976">
        <f>IF(A1976="","",MAX(1,CEILING(PERCENTRANK.INC($C$3:$C$6000,C1976,4)*5+0.000001,1)))</f>
        <v/>
      </c>
      <c r="G1976">
        <f>IF(A1976="","",MAX(1,CEILING(PERCENTRANK.INC($D$3:$D$6000,D1976,4)*5+0.000001,1)))</f>
        <v/>
      </c>
      <c r="H1976">
        <f>IF(A1976="","",E1976&amp;F1976&amp;G1976)</f>
        <v/>
      </c>
      <c r="I1976">
        <f>IF(A1976="","",IF(AND(E1976&gt;=4,F1976&gt;=4,G1976&gt;=4),"Juara",IF(AND(F1976&gt;=4,E1976&gt;=3),"Setia",IF(AND(E1976=5,F1976&lt;=2,G1976&gt;=3),"Berpotensi",IF(AND(E1976&lt;=3,E1976&gt;=2,F1976&gt;=3),"Rawan",IF(AND(E1976&lt;=2,F1976&lt;=2),"Tidur","Umum"))))))</f>
        <v/>
      </c>
    </row>
    <row r="1977">
      <c r="B1977">
        <f>IF(A1977="","",$B$1-MAXIFS(Donasi!$A$2:$A$20000,Donasi!$B$2:$B$20000,A1977))</f>
        <v/>
      </c>
      <c r="C1977">
        <f>IF(A1977="","",COUNTIF(Donasi!$B$2:$B$20000,A1977))</f>
        <v/>
      </c>
      <c r="D1977">
        <f>IF(A1977="","",SUMIF(Donasi!$B$2:$B$20000,A1977,Donasi!$C$2:$C$20000))</f>
        <v/>
      </c>
      <c r="E1977">
        <f>IF(A1977="","",6-CEILING(PERCENTRANK.INC($B$3:$B$6000,B1977,4)*5+0.000001,1))</f>
        <v/>
      </c>
      <c r="F1977">
        <f>IF(A1977="","",MAX(1,CEILING(PERCENTRANK.INC($C$3:$C$6000,C1977,4)*5+0.000001,1)))</f>
        <v/>
      </c>
      <c r="G1977">
        <f>IF(A1977="","",MAX(1,CEILING(PERCENTRANK.INC($D$3:$D$6000,D1977,4)*5+0.000001,1)))</f>
        <v/>
      </c>
      <c r="H1977">
        <f>IF(A1977="","",E1977&amp;F1977&amp;G1977)</f>
        <v/>
      </c>
      <c r="I1977">
        <f>IF(A1977="","",IF(AND(E1977&gt;=4,F1977&gt;=4,G1977&gt;=4),"Juara",IF(AND(F1977&gt;=4,E1977&gt;=3),"Setia",IF(AND(E1977=5,F1977&lt;=2,G1977&gt;=3),"Berpotensi",IF(AND(E1977&lt;=3,E1977&gt;=2,F1977&gt;=3),"Rawan",IF(AND(E1977&lt;=2,F1977&lt;=2),"Tidur","Umum"))))))</f>
        <v/>
      </c>
    </row>
    <row r="1978">
      <c r="B1978">
        <f>IF(A1978="","",$B$1-MAXIFS(Donasi!$A$2:$A$20000,Donasi!$B$2:$B$20000,A1978))</f>
        <v/>
      </c>
      <c r="C1978">
        <f>IF(A1978="","",COUNTIF(Donasi!$B$2:$B$20000,A1978))</f>
        <v/>
      </c>
      <c r="D1978">
        <f>IF(A1978="","",SUMIF(Donasi!$B$2:$B$20000,A1978,Donasi!$C$2:$C$20000))</f>
        <v/>
      </c>
      <c r="E1978">
        <f>IF(A1978="","",6-CEILING(PERCENTRANK.INC($B$3:$B$6000,B1978,4)*5+0.000001,1))</f>
        <v/>
      </c>
      <c r="F1978">
        <f>IF(A1978="","",MAX(1,CEILING(PERCENTRANK.INC($C$3:$C$6000,C1978,4)*5+0.000001,1)))</f>
        <v/>
      </c>
      <c r="G1978">
        <f>IF(A1978="","",MAX(1,CEILING(PERCENTRANK.INC($D$3:$D$6000,D1978,4)*5+0.000001,1)))</f>
        <v/>
      </c>
      <c r="H1978">
        <f>IF(A1978="","",E1978&amp;F1978&amp;G1978)</f>
        <v/>
      </c>
      <c r="I1978">
        <f>IF(A1978="","",IF(AND(E1978&gt;=4,F1978&gt;=4,G1978&gt;=4),"Juara",IF(AND(F1978&gt;=4,E1978&gt;=3),"Setia",IF(AND(E1978=5,F1978&lt;=2,G1978&gt;=3),"Berpotensi",IF(AND(E1978&lt;=3,E1978&gt;=2,F1978&gt;=3),"Rawan",IF(AND(E1978&lt;=2,F1978&lt;=2),"Tidur","Umum"))))))</f>
        <v/>
      </c>
    </row>
    <row r="1979">
      <c r="B1979">
        <f>IF(A1979="","",$B$1-MAXIFS(Donasi!$A$2:$A$20000,Donasi!$B$2:$B$20000,A1979))</f>
        <v/>
      </c>
      <c r="C1979">
        <f>IF(A1979="","",COUNTIF(Donasi!$B$2:$B$20000,A1979))</f>
        <v/>
      </c>
      <c r="D1979">
        <f>IF(A1979="","",SUMIF(Donasi!$B$2:$B$20000,A1979,Donasi!$C$2:$C$20000))</f>
        <v/>
      </c>
      <c r="E1979">
        <f>IF(A1979="","",6-CEILING(PERCENTRANK.INC($B$3:$B$6000,B1979,4)*5+0.000001,1))</f>
        <v/>
      </c>
      <c r="F1979">
        <f>IF(A1979="","",MAX(1,CEILING(PERCENTRANK.INC($C$3:$C$6000,C1979,4)*5+0.000001,1)))</f>
        <v/>
      </c>
      <c r="G1979">
        <f>IF(A1979="","",MAX(1,CEILING(PERCENTRANK.INC($D$3:$D$6000,D1979,4)*5+0.000001,1)))</f>
        <v/>
      </c>
      <c r="H1979">
        <f>IF(A1979="","",E1979&amp;F1979&amp;G1979)</f>
        <v/>
      </c>
      <c r="I1979">
        <f>IF(A1979="","",IF(AND(E1979&gt;=4,F1979&gt;=4,G1979&gt;=4),"Juara",IF(AND(F1979&gt;=4,E1979&gt;=3),"Setia",IF(AND(E1979=5,F1979&lt;=2,G1979&gt;=3),"Berpotensi",IF(AND(E1979&lt;=3,E1979&gt;=2,F1979&gt;=3),"Rawan",IF(AND(E1979&lt;=2,F1979&lt;=2),"Tidur","Umum"))))))</f>
        <v/>
      </c>
    </row>
    <row r="1980">
      <c r="B1980">
        <f>IF(A1980="","",$B$1-MAXIFS(Donasi!$A$2:$A$20000,Donasi!$B$2:$B$20000,A1980))</f>
        <v/>
      </c>
      <c r="C1980">
        <f>IF(A1980="","",COUNTIF(Donasi!$B$2:$B$20000,A1980))</f>
        <v/>
      </c>
      <c r="D1980">
        <f>IF(A1980="","",SUMIF(Donasi!$B$2:$B$20000,A1980,Donasi!$C$2:$C$20000))</f>
        <v/>
      </c>
      <c r="E1980">
        <f>IF(A1980="","",6-CEILING(PERCENTRANK.INC($B$3:$B$6000,B1980,4)*5+0.000001,1))</f>
        <v/>
      </c>
      <c r="F1980">
        <f>IF(A1980="","",MAX(1,CEILING(PERCENTRANK.INC($C$3:$C$6000,C1980,4)*5+0.000001,1)))</f>
        <v/>
      </c>
      <c r="G1980">
        <f>IF(A1980="","",MAX(1,CEILING(PERCENTRANK.INC($D$3:$D$6000,D1980,4)*5+0.000001,1)))</f>
        <v/>
      </c>
      <c r="H1980">
        <f>IF(A1980="","",E1980&amp;F1980&amp;G1980)</f>
        <v/>
      </c>
      <c r="I1980">
        <f>IF(A1980="","",IF(AND(E1980&gt;=4,F1980&gt;=4,G1980&gt;=4),"Juara",IF(AND(F1980&gt;=4,E1980&gt;=3),"Setia",IF(AND(E1980=5,F1980&lt;=2,G1980&gt;=3),"Berpotensi",IF(AND(E1980&lt;=3,E1980&gt;=2,F1980&gt;=3),"Rawan",IF(AND(E1980&lt;=2,F1980&lt;=2),"Tidur","Umum"))))))</f>
        <v/>
      </c>
    </row>
    <row r="1981">
      <c r="B1981">
        <f>IF(A1981="","",$B$1-MAXIFS(Donasi!$A$2:$A$20000,Donasi!$B$2:$B$20000,A1981))</f>
        <v/>
      </c>
      <c r="C1981">
        <f>IF(A1981="","",COUNTIF(Donasi!$B$2:$B$20000,A1981))</f>
        <v/>
      </c>
      <c r="D1981">
        <f>IF(A1981="","",SUMIF(Donasi!$B$2:$B$20000,A1981,Donasi!$C$2:$C$20000))</f>
        <v/>
      </c>
      <c r="E1981">
        <f>IF(A1981="","",6-CEILING(PERCENTRANK.INC($B$3:$B$6000,B1981,4)*5+0.000001,1))</f>
        <v/>
      </c>
      <c r="F1981">
        <f>IF(A1981="","",MAX(1,CEILING(PERCENTRANK.INC($C$3:$C$6000,C1981,4)*5+0.000001,1)))</f>
        <v/>
      </c>
      <c r="G1981">
        <f>IF(A1981="","",MAX(1,CEILING(PERCENTRANK.INC($D$3:$D$6000,D1981,4)*5+0.000001,1)))</f>
        <v/>
      </c>
      <c r="H1981">
        <f>IF(A1981="","",E1981&amp;F1981&amp;G1981)</f>
        <v/>
      </c>
      <c r="I1981">
        <f>IF(A1981="","",IF(AND(E1981&gt;=4,F1981&gt;=4,G1981&gt;=4),"Juara",IF(AND(F1981&gt;=4,E1981&gt;=3),"Setia",IF(AND(E1981=5,F1981&lt;=2,G1981&gt;=3),"Berpotensi",IF(AND(E1981&lt;=3,E1981&gt;=2,F1981&gt;=3),"Rawan",IF(AND(E1981&lt;=2,F1981&lt;=2),"Tidur","Umum"))))))</f>
        <v/>
      </c>
    </row>
    <row r="1982">
      <c r="B1982">
        <f>IF(A1982="","",$B$1-MAXIFS(Donasi!$A$2:$A$20000,Donasi!$B$2:$B$20000,A1982))</f>
        <v/>
      </c>
      <c r="C1982">
        <f>IF(A1982="","",COUNTIF(Donasi!$B$2:$B$20000,A1982))</f>
        <v/>
      </c>
      <c r="D1982">
        <f>IF(A1982="","",SUMIF(Donasi!$B$2:$B$20000,A1982,Donasi!$C$2:$C$20000))</f>
        <v/>
      </c>
      <c r="E1982">
        <f>IF(A1982="","",6-CEILING(PERCENTRANK.INC($B$3:$B$6000,B1982,4)*5+0.000001,1))</f>
        <v/>
      </c>
      <c r="F1982">
        <f>IF(A1982="","",MAX(1,CEILING(PERCENTRANK.INC($C$3:$C$6000,C1982,4)*5+0.000001,1)))</f>
        <v/>
      </c>
      <c r="G1982">
        <f>IF(A1982="","",MAX(1,CEILING(PERCENTRANK.INC($D$3:$D$6000,D1982,4)*5+0.000001,1)))</f>
        <v/>
      </c>
      <c r="H1982">
        <f>IF(A1982="","",E1982&amp;F1982&amp;G1982)</f>
        <v/>
      </c>
      <c r="I1982">
        <f>IF(A1982="","",IF(AND(E1982&gt;=4,F1982&gt;=4,G1982&gt;=4),"Juara",IF(AND(F1982&gt;=4,E1982&gt;=3),"Setia",IF(AND(E1982=5,F1982&lt;=2,G1982&gt;=3),"Berpotensi",IF(AND(E1982&lt;=3,E1982&gt;=2,F1982&gt;=3),"Rawan",IF(AND(E1982&lt;=2,F1982&lt;=2),"Tidur","Umum"))))))</f>
        <v/>
      </c>
    </row>
    <row r="1983">
      <c r="B1983">
        <f>IF(A1983="","",$B$1-MAXIFS(Donasi!$A$2:$A$20000,Donasi!$B$2:$B$20000,A1983))</f>
        <v/>
      </c>
      <c r="C1983">
        <f>IF(A1983="","",COUNTIF(Donasi!$B$2:$B$20000,A1983))</f>
        <v/>
      </c>
      <c r="D1983">
        <f>IF(A1983="","",SUMIF(Donasi!$B$2:$B$20000,A1983,Donasi!$C$2:$C$20000))</f>
        <v/>
      </c>
      <c r="E1983">
        <f>IF(A1983="","",6-CEILING(PERCENTRANK.INC($B$3:$B$6000,B1983,4)*5+0.000001,1))</f>
        <v/>
      </c>
      <c r="F1983">
        <f>IF(A1983="","",MAX(1,CEILING(PERCENTRANK.INC($C$3:$C$6000,C1983,4)*5+0.000001,1)))</f>
        <v/>
      </c>
      <c r="G1983">
        <f>IF(A1983="","",MAX(1,CEILING(PERCENTRANK.INC($D$3:$D$6000,D1983,4)*5+0.000001,1)))</f>
        <v/>
      </c>
      <c r="H1983">
        <f>IF(A1983="","",E1983&amp;F1983&amp;G1983)</f>
        <v/>
      </c>
      <c r="I1983">
        <f>IF(A1983="","",IF(AND(E1983&gt;=4,F1983&gt;=4,G1983&gt;=4),"Juara",IF(AND(F1983&gt;=4,E1983&gt;=3),"Setia",IF(AND(E1983=5,F1983&lt;=2,G1983&gt;=3),"Berpotensi",IF(AND(E1983&lt;=3,E1983&gt;=2,F1983&gt;=3),"Rawan",IF(AND(E1983&lt;=2,F1983&lt;=2),"Tidur","Umum"))))))</f>
        <v/>
      </c>
    </row>
    <row r="1984">
      <c r="B1984">
        <f>IF(A1984="","",$B$1-MAXIFS(Donasi!$A$2:$A$20000,Donasi!$B$2:$B$20000,A1984))</f>
        <v/>
      </c>
      <c r="C1984">
        <f>IF(A1984="","",COUNTIF(Donasi!$B$2:$B$20000,A1984))</f>
        <v/>
      </c>
      <c r="D1984">
        <f>IF(A1984="","",SUMIF(Donasi!$B$2:$B$20000,A1984,Donasi!$C$2:$C$20000))</f>
        <v/>
      </c>
      <c r="E1984">
        <f>IF(A1984="","",6-CEILING(PERCENTRANK.INC($B$3:$B$6000,B1984,4)*5+0.000001,1))</f>
        <v/>
      </c>
      <c r="F1984">
        <f>IF(A1984="","",MAX(1,CEILING(PERCENTRANK.INC($C$3:$C$6000,C1984,4)*5+0.000001,1)))</f>
        <v/>
      </c>
      <c r="G1984">
        <f>IF(A1984="","",MAX(1,CEILING(PERCENTRANK.INC($D$3:$D$6000,D1984,4)*5+0.000001,1)))</f>
        <v/>
      </c>
      <c r="H1984">
        <f>IF(A1984="","",E1984&amp;F1984&amp;G1984)</f>
        <v/>
      </c>
      <c r="I1984">
        <f>IF(A1984="","",IF(AND(E1984&gt;=4,F1984&gt;=4,G1984&gt;=4),"Juara",IF(AND(F1984&gt;=4,E1984&gt;=3),"Setia",IF(AND(E1984=5,F1984&lt;=2,G1984&gt;=3),"Berpotensi",IF(AND(E1984&lt;=3,E1984&gt;=2,F1984&gt;=3),"Rawan",IF(AND(E1984&lt;=2,F1984&lt;=2),"Tidur","Umum"))))))</f>
        <v/>
      </c>
    </row>
    <row r="1985">
      <c r="B1985">
        <f>IF(A1985="","",$B$1-MAXIFS(Donasi!$A$2:$A$20000,Donasi!$B$2:$B$20000,A1985))</f>
        <v/>
      </c>
      <c r="C1985">
        <f>IF(A1985="","",COUNTIF(Donasi!$B$2:$B$20000,A1985))</f>
        <v/>
      </c>
      <c r="D1985">
        <f>IF(A1985="","",SUMIF(Donasi!$B$2:$B$20000,A1985,Donasi!$C$2:$C$20000))</f>
        <v/>
      </c>
      <c r="E1985">
        <f>IF(A1985="","",6-CEILING(PERCENTRANK.INC($B$3:$B$6000,B1985,4)*5+0.000001,1))</f>
        <v/>
      </c>
      <c r="F1985">
        <f>IF(A1985="","",MAX(1,CEILING(PERCENTRANK.INC($C$3:$C$6000,C1985,4)*5+0.000001,1)))</f>
        <v/>
      </c>
      <c r="G1985">
        <f>IF(A1985="","",MAX(1,CEILING(PERCENTRANK.INC($D$3:$D$6000,D1985,4)*5+0.000001,1)))</f>
        <v/>
      </c>
      <c r="H1985">
        <f>IF(A1985="","",E1985&amp;F1985&amp;G1985)</f>
        <v/>
      </c>
      <c r="I1985">
        <f>IF(A1985="","",IF(AND(E1985&gt;=4,F1985&gt;=4,G1985&gt;=4),"Juara",IF(AND(F1985&gt;=4,E1985&gt;=3),"Setia",IF(AND(E1985=5,F1985&lt;=2,G1985&gt;=3),"Berpotensi",IF(AND(E1985&lt;=3,E1985&gt;=2,F1985&gt;=3),"Rawan",IF(AND(E1985&lt;=2,F1985&lt;=2),"Tidur","Umum"))))))</f>
        <v/>
      </c>
    </row>
    <row r="1986">
      <c r="B1986">
        <f>IF(A1986="","",$B$1-MAXIFS(Donasi!$A$2:$A$20000,Donasi!$B$2:$B$20000,A1986))</f>
        <v/>
      </c>
      <c r="C1986">
        <f>IF(A1986="","",COUNTIF(Donasi!$B$2:$B$20000,A1986))</f>
        <v/>
      </c>
      <c r="D1986">
        <f>IF(A1986="","",SUMIF(Donasi!$B$2:$B$20000,A1986,Donasi!$C$2:$C$20000))</f>
        <v/>
      </c>
      <c r="E1986">
        <f>IF(A1986="","",6-CEILING(PERCENTRANK.INC($B$3:$B$6000,B1986,4)*5+0.000001,1))</f>
        <v/>
      </c>
      <c r="F1986">
        <f>IF(A1986="","",MAX(1,CEILING(PERCENTRANK.INC($C$3:$C$6000,C1986,4)*5+0.000001,1)))</f>
        <v/>
      </c>
      <c r="G1986">
        <f>IF(A1986="","",MAX(1,CEILING(PERCENTRANK.INC($D$3:$D$6000,D1986,4)*5+0.000001,1)))</f>
        <v/>
      </c>
      <c r="H1986">
        <f>IF(A1986="","",E1986&amp;F1986&amp;G1986)</f>
        <v/>
      </c>
      <c r="I1986">
        <f>IF(A1986="","",IF(AND(E1986&gt;=4,F1986&gt;=4,G1986&gt;=4),"Juara",IF(AND(F1986&gt;=4,E1986&gt;=3),"Setia",IF(AND(E1986=5,F1986&lt;=2,G1986&gt;=3),"Berpotensi",IF(AND(E1986&lt;=3,E1986&gt;=2,F1986&gt;=3),"Rawan",IF(AND(E1986&lt;=2,F1986&lt;=2),"Tidur","Umum"))))))</f>
        <v/>
      </c>
    </row>
    <row r="1987">
      <c r="B1987">
        <f>IF(A1987="","",$B$1-MAXIFS(Donasi!$A$2:$A$20000,Donasi!$B$2:$B$20000,A1987))</f>
        <v/>
      </c>
      <c r="C1987">
        <f>IF(A1987="","",COUNTIF(Donasi!$B$2:$B$20000,A1987))</f>
        <v/>
      </c>
      <c r="D1987">
        <f>IF(A1987="","",SUMIF(Donasi!$B$2:$B$20000,A1987,Donasi!$C$2:$C$20000))</f>
        <v/>
      </c>
      <c r="E1987">
        <f>IF(A1987="","",6-CEILING(PERCENTRANK.INC($B$3:$B$6000,B1987,4)*5+0.000001,1))</f>
        <v/>
      </c>
      <c r="F1987">
        <f>IF(A1987="","",MAX(1,CEILING(PERCENTRANK.INC($C$3:$C$6000,C1987,4)*5+0.000001,1)))</f>
        <v/>
      </c>
      <c r="G1987">
        <f>IF(A1987="","",MAX(1,CEILING(PERCENTRANK.INC($D$3:$D$6000,D1987,4)*5+0.000001,1)))</f>
        <v/>
      </c>
      <c r="H1987">
        <f>IF(A1987="","",E1987&amp;F1987&amp;G1987)</f>
        <v/>
      </c>
      <c r="I1987">
        <f>IF(A1987="","",IF(AND(E1987&gt;=4,F1987&gt;=4,G1987&gt;=4),"Juara",IF(AND(F1987&gt;=4,E1987&gt;=3),"Setia",IF(AND(E1987=5,F1987&lt;=2,G1987&gt;=3),"Berpotensi",IF(AND(E1987&lt;=3,E1987&gt;=2,F1987&gt;=3),"Rawan",IF(AND(E1987&lt;=2,F1987&lt;=2),"Tidur","Umum"))))))</f>
        <v/>
      </c>
    </row>
    <row r="1988">
      <c r="B1988">
        <f>IF(A1988="","",$B$1-MAXIFS(Donasi!$A$2:$A$20000,Donasi!$B$2:$B$20000,A1988))</f>
        <v/>
      </c>
      <c r="C1988">
        <f>IF(A1988="","",COUNTIF(Donasi!$B$2:$B$20000,A1988))</f>
        <v/>
      </c>
      <c r="D1988">
        <f>IF(A1988="","",SUMIF(Donasi!$B$2:$B$20000,A1988,Donasi!$C$2:$C$20000))</f>
        <v/>
      </c>
      <c r="E1988">
        <f>IF(A1988="","",6-CEILING(PERCENTRANK.INC($B$3:$B$6000,B1988,4)*5+0.000001,1))</f>
        <v/>
      </c>
      <c r="F1988">
        <f>IF(A1988="","",MAX(1,CEILING(PERCENTRANK.INC($C$3:$C$6000,C1988,4)*5+0.000001,1)))</f>
        <v/>
      </c>
      <c r="G1988">
        <f>IF(A1988="","",MAX(1,CEILING(PERCENTRANK.INC($D$3:$D$6000,D1988,4)*5+0.000001,1)))</f>
        <v/>
      </c>
      <c r="H1988">
        <f>IF(A1988="","",E1988&amp;F1988&amp;G1988)</f>
        <v/>
      </c>
      <c r="I1988">
        <f>IF(A1988="","",IF(AND(E1988&gt;=4,F1988&gt;=4,G1988&gt;=4),"Juara",IF(AND(F1988&gt;=4,E1988&gt;=3),"Setia",IF(AND(E1988=5,F1988&lt;=2,G1988&gt;=3),"Berpotensi",IF(AND(E1988&lt;=3,E1988&gt;=2,F1988&gt;=3),"Rawan",IF(AND(E1988&lt;=2,F1988&lt;=2),"Tidur","Umum"))))))</f>
        <v/>
      </c>
    </row>
    <row r="1989">
      <c r="B1989">
        <f>IF(A1989="","",$B$1-MAXIFS(Donasi!$A$2:$A$20000,Donasi!$B$2:$B$20000,A1989))</f>
        <v/>
      </c>
      <c r="C1989">
        <f>IF(A1989="","",COUNTIF(Donasi!$B$2:$B$20000,A1989))</f>
        <v/>
      </c>
      <c r="D1989">
        <f>IF(A1989="","",SUMIF(Donasi!$B$2:$B$20000,A1989,Donasi!$C$2:$C$20000))</f>
        <v/>
      </c>
      <c r="E1989">
        <f>IF(A1989="","",6-CEILING(PERCENTRANK.INC($B$3:$B$6000,B1989,4)*5+0.000001,1))</f>
        <v/>
      </c>
      <c r="F1989">
        <f>IF(A1989="","",MAX(1,CEILING(PERCENTRANK.INC($C$3:$C$6000,C1989,4)*5+0.000001,1)))</f>
        <v/>
      </c>
      <c r="G1989">
        <f>IF(A1989="","",MAX(1,CEILING(PERCENTRANK.INC($D$3:$D$6000,D1989,4)*5+0.000001,1)))</f>
        <v/>
      </c>
      <c r="H1989">
        <f>IF(A1989="","",E1989&amp;F1989&amp;G1989)</f>
        <v/>
      </c>
      <c r="I1989">
        <f>IF(A1989="","",IF(AND(E1989&gt;=4,F1989&gt;=4,G1989&gt;=4),"Juara",IF(AND(F1989&gt;=4,E1989&gt;=3),"Setia",IF(AND(E1989=5,F1989&lt;=2,G1989&gt;=3),"Berpotensi",IF(AND(E1989&lt;=3,E1989&gt;=2,F1989&gt;=3),"Rawan",IF(AND(E1989&lt;=2,F1989&lt;=2),"Tidur","Umum"))))))</f>
        <v/>
      </c>
    </row>
    <row r="1990">
      <c r="B1990">
        <f>IF(A1990="","",$B$1-MAXIFS(Donasi!$A$2:$A$20000,Donasi!$B$2:$B$20000,A1990))</f>
        <v/>
      </c>
      <c r="C1990">
        <f>IF(A1990="","",COUNTIF(Donasi!$B$2:$B$20000,A1990))</f>
        <v/>
      </c>
      <c r="D1990">
        <f>IF(A1990="","",SUMIF(Donasi!$B$2:$B$20000,A1990,Donasi!$C$2:$C$20000))</f>
        <v/>
      </c>
      <c r="E1990">
        <f>IF(A1990="","",6-CEILING(PERCENTRANK.INC($B$3:$B$6000,B1990,4)*5+0.000001,1))</f>
        <v/>
      </c>
      <c r="F1990">
        <f>IF(A1990="","",MAX(1,CEILING(PERCENTRANK.INC($C$3:$C$6000,C1990,4)*5+0.000001,1)))</f>
        <v/>
      </c>
      <c r="G1990">
        <f>IF(A1990="","",MAX(1,CEILING(PERCENTRANK.INC($D$3:$D$6000,D1990,4)*5+0.000001,1)))</f>
        <v/>
      </c>
      <c r="H1990">
        <f>IF(A1990="","",E1990&amp;F1990&amp;G1990)</f>
        <v/>
      </c>
      <c r="I1990">
        <f>IF(A1990="","",IF(AND(E1990&gt;=4,F1990&gt;=4,G1990&gt;=4),"Juara",IF(AND(F1990&gt;=4,E1990&gt;=3),"Setia",IF(AND(E1990=5,F1990&lt;=2,G1990&gt;=3),"Berpotensi",IF(AND(E1990&lt;=3,E1990&gt;=2,F1990&gt;=3),"Rawan",IF(AND(E1990&lt;=2,F1990&lt;=2),"Tidur","Umum"))))))</f>
        <v/>
      </c>
    </row>
    <row r="1991">
      <c r="B1991">
        <f>IF(A1991="","",$B$1-MAXIFS(Donasi!$A$2:$A$20000,Donasi!$B$2:$B$20000,A1991))</f>
        <v/>
      </c>
      <c r="C1991">
        <f>IF(A1991="","",COUNTIF(Donasi!$B$2:$B$20000,A1991))</f>
        <v/>
      </c>
      <c r="D1991">
        <f>IF(A1991="","",SUMIF(Donasi!$B$2:$B$20000,A1991,Donasi!$C$2:$C$20000))</f>
        <v/>
      </c>
      <c r="E1991">
        <f>IF(A1991="","",6-CEILING(PERCENTRANK.INC($B$3:$B$6000,B1991,4)*5+0.000001,1))</f>
        <v/>
      </c>
      <c r="F1991">
        <f>IF(A1991="","",MAX(1,CEILING(PERCENTRANK.INC($C$3:$C$6000,C1991,4)*5+0.000001,1)))</f>
        <v/>
      </c>
      <c r="G1991">
        <f>IF(A1991="","",MAX(1,CEILING(PERCENTRANK.INC($D$3:$D$6000,D1991,4)*5+0.000001,1)))</f>
        <v/>
      </c>
      <c r="H1991">
        <f>IF(A1991="","",E1991&amp;F1991&amp;G1991)</f>
        <v/>
      </c>
      <c r="I1991">
        <f>IF(A1991="","",IF(AND(E1991&gt;=4,F1991&gt;=4,G1991&gt;=4),"Juara",IF(AND(F1991&gt;=4,E1991&gt;=3),"Setia",IF(AND(E1991=5,F1991&lt;=2,G1991&gt;=3),"Berpotensi",IF(AND(E1991&lt;=3,E1991&gt;=2,F1991&gt;=3),"Rawan",IF(AND(E1991&lt;=2,F1991&lt;=2),"Tidur","Umum"))))))</f>
        <v/>
      </c>
    </row>
    <row r="1992">
      <c r="B1992">
        <f>IF(A1992="","",$B$1-MAXIFS(Donasi!$A$2:$A$20000,Donasi!$B$2:$B$20000,A1992))</f>
        <v/>
      </c>
      <c r="C1992">
        <f>IF(A1992="","",COUNTIF(Donasi!$B$2:$B$20000,A1992))</f>
        <v/>
      </c>
      <c r="D1992">
        <f>IF(A1992="","",SUMIF(Donasi!$B$2:$B$20000,A1992,Donasi!$C$2:$C$20000))</f>
        <v/>
      </c>
      <c r="E1992">
        <f>IF(A1992="","",6-CEILING(PERCENTRANK.INC($B$3:$B$6000,B1992,4)*5+0.000001,1))</f>
        <v/>
      </c>
      <c r="F1992">
        <f>IF(A1992="","",MAX(1,CEILING(PERCENTRANK.INC($C$3:$C$6000,C1992,4)*5+0.000001,1)))</f>
        <v/>
      </c>
      <c r="G1992">
        <f>IF(A1992="","",MAX(1,CEILING(PERCENTRANK.INC($D$3:$D$6000,D1992,4)*5+0.000001,1)))</f>
        <v/>
      </c>
      <c r="H1992">
        <f>IF(A1992="","",E1992&amp;F1992&amp;G1992)</f>
        <v/>
      </c>
      <c r="I1992">
        <f>IF(A1992="","",IF(AND(E1992&gt;=4,F1992&gt;=4,G1992&gt;=4),"Juara",IF(AND(F1992&gt;=4,E1992&gt;=3),"Setia",IF(AND(E1992=5,F1992&lt;=2,G1992&gt;=3),"Berpotensi",IF(AND(E1992&lt;=3,E1992&gt;=2,F1992&gt;=3),"Rawan",IF(AND(E1992&lt;=2,F1992&lt;=2),"Tidur","Umum"))))))</f>
        <v/>
      </c>
    </row>
    <row r="1993">
      <c r="B1993">
        <f>IF(A1993="","",$B$1-MAXIFS(Donasi!$A$2:$A$20000,Donasi!$B$2:$B$20000,A1993))</f>
        <v/>
      </c>
      <c r="C1993">
        <f>IF(A1993="","",COUNTIF(Donasi!$B$2:$B$20000,A1993))</f>
        <v/>
      </c>
      <c r="D1993">
        <f>IF(A1993="","",SUMIF(Donasi!$B$2:$B$20000,A1993,Donasi!$C$2:$C$20000))</f>
        <v/>
      </c>
      <c r="E1993">
        <f>IF(A1993="","",6-CEILING(PERCENTRANK.INC($B$3:$B$6000,B1993,4)*5+0.000001,1))</f>
        <v/>
      </c>
      <c r="F1993">
        <f>IF(A1993="","",MAX(1,CEILING(PERCENTRANK.INC($C$3:$C$6000,C1993,4)*5+0.000001,1)))</f>
        <v/>
      </c>
      <c r="G1993">
        <f>IF(A1993="","",MAX(1,CEILING(PERCENTRANK.INC($D$3:$D$6000,D1993,4)*5+0.000001,1)))</f>
        <v/>
      </c>
      <c r="H1993">
        <f>IF(A1993="","",E1993&amp;F1993&amp;G1993)</f>
        <v/>
      </c>
      <c r="I1993">
        <f>IF(A1993="","",IF(AND(E1993&gt;=4,F1993&gt;=4,G1993&gt;=4),"Juara",IF(AND(F1993&gt;=4,E1993&gt;=3),"Setia",IF(AND(E1993=5,F1993&lt;=2,G1993&gt;=3),"Berpotensi",IF(AND(E1993&lt;=3,E1993&gt;=2,F1993&gt;=3),"Rawan",IF(AND(E1993&lt;=2,F1993&lt;=2),"Tidur","Umum"))))))</f>
        <v/>
      </c>
    </row>
    <row r="1994">
      <c r="B1994">
        <f>IF(A1994="","",$B$1-MAXIFS(Donasi!$A$2:$A$20000,Donasi!$B$2:$B$20000,A1994))</f>
        <v/>
      </c>
      <c r="C1994">
        <f>IF(A1994="","",COUNTIF(Donasi!$B$2:$B$20000,A1994))</f>
        <v/>
      </c>
      <c r="D1994">
        <f>IF(A1994="","",SUMIF(Donasi!$B$2:$B$20000,A1994,Donasi!$C$2:$C$20000))</f>
        <v/>
      </c>
      <c r="E1994">
        <f>IF(A1994="","",6-CEILING(PERCENTRANK.INC($B$3:$B$6000,B1994,4)*5+0.000001,1))</f>
        <v/>
      </c>
      <c r="F1994">
        <f>IF(A1994="","",MAX(1,CEILING(PERCENTRANK.INC($C$3:$C$6000,C1994,4)*5+0.000001,1)))</f>
        <v/>
      </c>
      <c r="G1994">
        <f>IF(A1994="","",MAX(1,CEILING(PERCENTRANK.INC($D$3:$D$6000,D1994,4)*5+0.000001,1)))</f>
        <v/>
      </c>
      <c r="H1994">
        <f>IF(A1994="","",E1994&amp;F1994&amp;G1994)</f>
        <v/>
      </c>
      <c r="I1994">
        <f>IF(A1994="","",IF(AND(E1994&gt;=4,F1994&gt;=4,G1994&gt;=4),"Juara",IF(AND(F1994&gt;=4,E1994&gt;=3),"Setia",IF(AND(E1994=5,F1994&lt;=2,G1994&gt;=3),"Berpotensi",IF(AND(E1994&lt;=3,E1994&gt;=2,F1994&gt;=3),"Rawan",IF(AND(E1994&lt;=2,F1994&lt;=2),"Tidur","Umum"))))))</f>
        <v/>
      </c>
    </row>
    <row r="1995">
      <c r="B1995">
        <f>IF(A1995="","",$B$1-MAXIFS(Donasi!$A$2:$A$20000,Donasi!$B$2:$B$20000,A1995))</f>
        <v/>
      </c>
      <c r="C1995">
        <f>IF(A1995="","",COUNTIF(Donasi!$B$2:$B$20000,A1995))</f>
        <v/>
      </c>
      <c r="D1995">
        <f>IF(A1995="","",SUMIF(Donasi!$B$2:$B$20000,A1995,Donasi!$C$2:$C$20000))</f>
        <v/>
      </c>
      <c r="E1995">
        <f>IF(A1995="","",6-CEILING(PERCENTRANK.INC($B$3:$B$6000,B1995,4)*5+0.000001,1))</f>
        <v/>
      </c>
      <c r="F1995">
        <f>IF(A1995="","",MAX(1,CEILING(PERCENTRANK.INC($C$3:$C$6000,C1995,4)*5+0.000001,1)))</f>
        <v/>
      </c>
      <c r="G1995">
        <f>IF(A1995="","",MAX(1,CEILING(PERCENTRANK.INC($D$3:$D$6000,D1995,4)*5+0.000001,1)))</f>
        <v/>
      </c>
      <c r="H1995">
        <f>IF(A1995="","",E1995&amp;F1995&amp;G1995)</f>
        <v/>
      </c>
      <c r="I1995">
        <f>IF(A1995="","",IF(AND(E1995&gt;=4,F1995&gt;=4,G1995&gt;=4),"Juara",IF(AND(F1995&gt;=4,E1995&gt;=3),"Setia",IF(AND(E1995=5,F1995&lt;=2,G1995&gt;=3),"Berpotensi",IF(AND(E1995&lt;=3,E1995&gt;=2,F1995&gt;=3),"Rawan",IF(AND(E1995&lt;=2,F1995&lt;=2),"Tidur","Umum"))))))</f>
        <v/>
      </c>
    </row>
    <row r="1996">
      <c r="B1996">
        <f>IF(A1996="","",$B$1-MAXIFS(Donasi!$A$2:$A$20000,Donasi!$B$2:$B$20000,A1996))</f>
        <v/>
      </c>
      <c r="C1996">
        <f>IF(A1996="","",COUNTIF(Donasi!$B$2:$B$20000,A1996))</f>
        <v/>
      </c>
      <c r="D1996">
        <f>IF(A1996="","",SUMIF(Donasi!$B$2:$B$20000,A1996,Donasi!$C$2:$C$20000))</f>
        <v/>
      </c>
      <c r="E1996">
        <f>IF(A1996="","",6-CEILING(PERCENTRANK.INC($B$3:$B$6000,B1996,4)*5+0.000001,1))</f>
        <v/>
      </c>
      <c r="F1996">
        <f>IF(A1996="","",MAX(1,CEILING(PERCENTRANK.INC($C$3:$C$6000,C1996,4)*5+0.000001,1)))</f>
        <v/>
      </c>
      <c r="G1996">
        <f>IF(A1996="","",MAX(1,CEILING(PERCENTRANK.INC($D$3:$D$6000,D1996,4)*5+0.000001,1)))</f>
        <v/>
      </c>
      <c r="H1996">
        <f>IF(A1996="","",E1996&amp;F1996&amp;G1996)</f>
        <v/>
      </c>
      <c r="I1996">
        <f>IF(A1996="","",IF(AND(E1996&gt;=4,F1996&gt;=4,G1996&gt;=4),"Juara",IF(AND(F1996&gt;=4,E1996&gt;=3),"Setia",IF(AND(E1996=5,F1996&lt;=2,G1996&gt;=3),"Berpotensi",IF(AND(E1996&lt;=3,E1996&gt;=2,F1996&gt;=3),"Rawan",IF(AND(E1996&lt;=2,F1996&lt;=2),"Tidur","Umum"))))))</f>
        <v/>
      </c>
    </row>
    <row r="1997">
      <c r="B1997">
        <f>IF(A1997="","",$B$1-MAXIFS(Donasi!$A$2:$A$20000,Donasi!$B$2:$B$20000,A1997))</f>
        <v/>
      </c>
      <c r="C1997">
        <f>IF(A1997="","",COUNTIF(Donasi!$B$2:$B$20000,A1997))</f>
        <v/>
      </c>
      <c r="D1997">
        <f>IF(A1997="","",SUMIF(Donasi!$B$2:$B$20000,A1997,Donasi!$C$2:$C$20000))</f>
        <v/>
      </c>
      <c r="E1997">
        <f>IF(A1997="","",6-CEILING(PERCENTRANK.INC($B$3:$B$6000,B1997,4)*5+0.000001,1))</f>
        <v/>
      </c>
      <c r="F1997">
        <f>IF(A1997="","",MAX(1,CEILING(PERCENTRANK.INC($C$3:$C$6000,C1997,4)*5+0.000001,1)))</f>
        <v/>
      </c>
      <c r="G1997">
        <f>IF(A1997="","",MAX(1,CEILING(PERCENTRANK.INC($D$3:$D$6000,D1997,4)*5+0.000001,1)))</f>
        <v/>
      </c>
      <c r="H1997">
        <f>IF(A1997="","",E1997&amp;F1997&amp;G1997)</f>
        <v/>
      </c>
      <c r="I1997">
        <f>IF(A1997="","",IF(AND(E1997&gt;=4,F1997&gt;=4,G1997&gt;=4),"Juara",IF(AND(F1997&gt;=4,E1997&gt;=3),"Setia",IF(AND(E1997=5,F1997&lt;=2,G1997&gt;=3),"Berpotensi",IF(AND(E1997&lt;=3,E1997&gt;=2,F1997&gt;=3),"Rawan",IF(AND(E1997&lt;=2,F1997&lt;=2),"Tidur","Umum"))))))</f>
        <v/>
      </c>
    </row>
    <row r="1998">
      <c r="B1998">
        <f>IF(A1998="","",$B$1-MAXIFS(Donasi!$A$2:$A$20000,Donasi!$B$2:$B$20000,A1998))</f>
        <v/>
      </c>
      <c r="C1998">
        <f>IF(A1998="","",COUNTIF(Donasi!$B$2:$B$20000,A1998))</f>
        <v/>
      </c>
      <c r="D1998">
        <f>IF(A1998="","",SUMIF(Donasi!$B$2:$B$20000,A1998,Donasi!$C$2:$C$20000))</f>
        <v/>
      </c>
      <c r="E1998">
        <f>IF(A1998="","",6-CEILING(PERCENTRANK.INC($B$3:$B$6000,B1998,4)*5+0.000001,1))</f>
        <v/>
      </c>
      <c r="F1998">
        <f>IF(A1998="","",MAX(1,CEILING(PERCENTRANK.INC($C$3:$C$6000,C1998,4)*5+0.000001,1)))</f>
        <v/>
      </c>
      <c r="G1998">
        <f>IF(A1998="","",MAX(1,CEILING(PERCENTRANK.INC($D$3:$D$6000,D1998,4)*5+0.000001,1)))</f>
        <v/>
      </c>
      <c r="H1998">
        <f>IF(A1998="","",E1998&amp;F1998&amp;G1998)</f>
        <v/>
      </c>
      <c r="I1998">
        <f>IF(A1998="","",IF(AND(E1998&gt;=4,F1998&gt;=4,G1998&gt;=4),"Juara",IF(AND(F1998&gt;=4,E1998&gt;=3),"Setia",IF(AND(E1998=5,F1998&lt;=2,G1998&gt;=3),"Berpotensi",IF(AND(E1998&lt;=3,E1998&gt;=2,F1998&gt;=3),"Rawan",IF(AND(E1998&lt;=2,F1998&lt;=2),"Tidur","Umum"))))))</f>
        <v/>
      </c>
    </row>
    <row r="1999">
      <c r="B1999">
        <f>IF(A1999="","",$B$1-MAXIFS(Donasi!$A$2:$A$20000,Donasi!$B$2:$B$20000,A1999))</f>
        <v/>
      </c>
      <c r="C1999">
        <f>IF(A1999="","",COUNTIF(Donasi!$B$2:$B$20000,A1999))</f>
        <v/>
      </c>
      <c r="D1999">
        <f>IF(A1999="","",SUMIF(Donasi!$B$2:$B$20000,A1999,Donasi!$C$2:$C$20000))</f>
        <v/>
      </c>
      <c r="E1999">
        <f>IF(A1999="","",6-CEILING(PERCENTRANK.INC($B$3:$B$6000,B1999,4)*5+0.000001,1))</f>
        <v/>
      </c>
      <c r="F1999">
        <f>IF(A1999="","",MAX(1,CEILING(PERCENTRANK.INC($C$3:$C$6000,C1999,4)*5+0.000001,1)))</f>
        <v/>
      </c>
      <c r="G1999">
        <f>IF(A1999="","",MAX(1,CEILING(PERCENTRANK.INC($D$3:$D$6000,D1999,4)*5+0.000001,1)))</f>
        <v/>
      </c>
      <c r="H1999">
        <f>IF(A1999="","",E1999&amp;F1999&amp;G1999)</f>
        <v/>
      </c>
      <c r="I1999">
        <f>IF(A1999="","",IF(AND(E1999&gt;=4,F1999&gt;=4,G1999&gt;=4),"Juara",IF(AND(F1999&gt;=4,E1999&gt;=3),"Setia",IF(AND(E1999=5,F1999&lt;=2,G1999&gt;=3),"Berpotensi",IF(AND(E1999&lt;=3,E1999&gt;=2,F1999&gt;=3),"Rawan",IF(AND(E1999&lt;=2,F1999&lt;=2),"Tidur","Umum"))))))</f>
        <v/>
      </c>
    </row>
    <row r="2000">
      <c r="B2000">
        <f>IF(A2000="","",$B$1-MAXIFS(Donasi!$A$2:$A$20000,Donasi!$B$2:$B$20000,A2000))</f>
        <v/>
      </c>
      <c r="C2000">
        <f>IF(A2000="","",COUNTIF(Donasi!$B$2:$B$20000,A2000))</f>
        <v/>
      </c>
      <c r="D2000">
        <f>IF(A2000="","",SUMIF(Donasi!$B$2:$B$20000,A2000,Donasi!$C$2:$C$20000))</f>
        <v/>
      </c>
      <c r="E2000">
        <f>IF(A2000="","",6-CEILING(PERCENTRANK.INC($B$3:$B$6000,B2000,4)*5+0.000001,1))</f>
        <v/>
      </c>
      <c r="F2000">
        <f>IF(A2000="","",MAX(1,CEILING(PERCENTRANK.INC($C$3:$C$6000,C2000,4)*5+0.000001,1)))</f>
        <v/>
      </c>
      <c r="G2000">
        <f>IF(A2000="","",MAX(1,CEILING(PERCENTRANK.INC($D$3:$D$6000,D2000,4)*5+0.000001,1)))</f>
        <v/>
      </c>
      <c r="H2000">
        <f>IF(A2000="","",E2000&amp;F2000&amp;G2000)</f>
        <v/>
      </c>
      <c r="I2000">
        <f>IF(A2000="","",IF(AND(E2000&gt;=4,F2000&gt;=4,G2000&gt;=4),"Juara",IF(AND(F2000&gt;=4,E2000&gt;=3),"Setia",IF(AND(E2000=5,F2000&lt;=2,G2000&gt;=3),"Berpotensi",IF(AND(E2000&lt;=3,E2000&gt;=2,F2000&gt;=3),"Rawan",IF(AND(E2000&lt;=2,F2000&lt;=2),"Tidur","Umum"))))))</f>
        <v/>
      </c>
    </row>
    <row r="2001">
      <c r="B2001">
        <f>IF(A2001="","",$B$1-MAXIFS(Donasi!$A$2:$A$20000,Donasi!$B$2:$B$20000,A2001))</f>
        <v/>
      </c>
      <c r="C2001">
        <f>IF(A2001="","",COUNTIF(Donasi!$B$2:$B$20000,A2001))</f>
        <v/>
      </c>
      <c r="D2001">
        <f>IF(A2001="","",SUMIF(Donasi!$B$2:$B$20000,A2001,Donasi!$C$2:$C$20000))</f>
        <v/>
      </c>
      <c r="E2001">
        <f>IF(A2001="","",6-CEILING(PERCENTRANK.INC($B$3:$B$6000,B2001,4)*5+0.000001,1))</f>
        <v/>
      </c>
      <c r="F2001">
        <f>IF(A2001="","",MAX(1,CEILING(PERCENTRANK.INC($C$3:$C$6000,C2001,4)*5+0.000001,1)))</f>
        <v/>
      </c>
      <c r="G2001">
        <f>IF(A2001="","",MAX(1,CEILING(PERCENTRANK.INC($D$3:$D$6000,D2001,4)*5+0.000001,1)))</f>
        <v/>
      </c>
      <c r="H2001">
        <f>IF(A2001="","",E2001&amp;F2001&amp;G2001)</f>
        <v/>
      </c>
      <c r="I2001">
        <f>IF(A2001="","",IF(AND(E2001&gt;=4,F2001&gt;=4,G2001&gt;=4),"Juara",IF(AND(F2001&gt;=4,E2001&gt;=3),"Setia",IF(AND(E2001=5,F2001&lt;=2,G2001&gt;=3),"Berpotensi",IF(AND(E2001&lt;=3,E2001&gt;=2,F2001&gt;=3),"Rawan",IF(AND(E2001&lt;=2,F2001&lt;=2),"Tidur","Umum"))))))</f>
        <v/>
      </c>
    </row>
    <row r="2002">
      <c r="B2002">
        <f>IF(A2002="","",$B$1-MAXIFS(Donasi!$A$2:$A$20000,Donasi!$B$2:$B$20000,A2002))</f>
        <v/>
      </c>
      <c r="C2002">
        <f>IF(A2002="","",COUNTIF(Donasi!$B$2:$B$20000,A2002))</f>
        <v/>
      </c>
      <c r="D2002">
        <f>IF(A2002="","",SUMIF(Donasi!$B$2:$B$20000,A2002,Donasi!$C$2:$C$20000))</f>
        <v/>
      </c>
      <c r="E2002">
        <f>IF(A2002="","",6-CEILING(PERCENTRANK.INC($B$3:$B$6000,B2002,4)*5+0.000001,1))</f>
        <v/>
      </c>
      <c r="F2002">
        <f>IF(A2002="","",MAX(1,CEILING(PERCENTRANK.INC($C$3:$C$6000,C2002,4)*5+0.000001,1)))</f>
        <v/>
      </c>
      <c r="G2002">
        <f>IF(A2002="","",MAX(1,CEILING(PERCENTRANK.INC($D$3:$D$6000,D2002,4)*5+0.000001,1)))</f>
        <v/>
      </c>
      <c r="H2002">
        <f>IF(A2002="","",E2002&amp;F2002&amp;G2002)</f>
        <v/>
      </c>
      <c r="I2002">
        <f>IF(A2002="","",IF(AND(E2002&gt;=4,F2002&gt;=4,G2002&gt;=4),"Juara",IF(AND(F2002&gt;=4,E2002&gt;=3),"Setia",IF(AND(E2002=5,F2002&lt;=2,G2002&gt;=3),"Berpotensi",IF(AND(E2002&lt;=3,E2002&gt;=2,F2002&gt;=3),"Rawan",IF(AND(E2002&lt;=2,F2002&lt;=2),"Tidur","Umum"))))))</f>
        <v/>
      </c>
    </row>
    <row r="2003">
      <c r="B2003">
        <f>IF(A2003="","",$B$1-MAXIFS(Donasi!$A$2:$A$20000,Donasi!$B$2:$B$20000,A2003))</f>
        <v/>
      </c>
      <c r="C2003">
        <f>IF(A2003="","",COUNTIF(Donasi!$B$2:$B$20000,A2003))</f>
        <v/>
      </c>
      <c r="D2003">
        <f>IF(A2003="","",SUMIF(Donasi!$B$2:$B$20000,A2003,Donasi!$C$2:$C$20000))</f>
        <v/>
      </c>
      <c r="E2003">
        <f>IF(A2003="","",6-CEILING(PERCENTRANK.INC($B$3:$B$6000,B2003,4)*5+0.000001,1))</f>
        <v/>
      </c>
      <c r="F2003">
        <f>IF(A2003="","",MAX(1,CEILING(PERCENTRANK.INC($C$3:$C$6000,C2003,4)*5+0.000001,1)))</f>
        <v/>
      </c>
      <c r="G2003">
        <f>IF(A2003="","",MAX(1,CEILING(PERCENTRANK.INC($D$3:$D$6000,D2003,4)*5+0.000001,1)))</f>
        <v/>
      </c>
      <c r="H2003">
        <f>IF(A2003="","",E2003&amp;F2003&amp;G2003)</f>
        <v/>
      </c>
      <c r="I2003">
        <f>IF(A2003="","",IF(AND(E2003&gt;=4,F2003&gt;=4,G2003&gt;=4),"Juara",IF(AND(F2003&gt;=4,E2003&gt;=3),"Setia",IF(AND(E2003=5,F2003&lt;=2,G2003&gt;=3),"Berpotensi",IF(AND(E2003&lt;=3,E2003&gt;=2,F2003&gt;=3),"Rawan",IF(AND(E2003&lt;=2,F2003&lt;=2),"Tidur","Umum"))))))</f>
        <v/>
      </c>
    </row>
    <row r="2004">
      <c r="B2004">
        <f>IF(A2004="","",$B$1-MAXIFS(Donasi!$A$2:$A$20000,Donasi!$B$2:$B$20000,A2004))</f>
        <v/>
      </c>
      <c r="C2004">
        <f>IF(A2004="","",COUNTIF(Donasi!$B$2:$B$20000,A2004))</f>
        <v/>
      </c>
      <c r="D2004">
        <f>IF(A2004="","",SUMIF(Donasi!$B$2:$B$20000,A2004,Donasi!$C$2:$C$20000))</f>
        <v/>
      </c>
      <c r="E2004">
        <f>IF(A2004="","",6-CEILING(PERCENTRANK.INC($B$3:$B$6000,B2004,4)*5+0.000001,1))</f>
        <v/>
      </c>
      <c r="F2004">
        <f>IF(A2004="","",MAX(1,CEILING(PERCENTRANK.INC($C$3:$C$6000,C2004,4)*5+0.000001,1)))</f>
        <v/>
      </c>
      <c r="G2004">
        <f>IF(A2004="","",MAX(1,CEILING(PERCENTRANK.INC($D$3:$D$6000,D2004,4)*5+0.000001,1)))</f>
        <v/>
      </c>
      <c r="H2004">
        <f>IF(A2004="","",E2004&amp;F2004&amp;G2004)</f>
        <v/>
      </c>
      <c r="I2004">
        <f>IF(A2004="","",IF(AND(E2004&gt;=4,F2004&gt;=4,G2004&gt;=4),"Juara",IF(AND(F2004&gt;=4,E2004&gt;=3),"Setia",IF(AND(E2004=5,F2004&lt;=2,G2004&gt;=3),"Berpotensi",IF(AND(E2004&lt;=3,E2004&gt;=2,F2004&gt;=3),"Rawan",IF(AND(E2004&lt;=2,F2004&lt;=2),"Tidur","Umum"))))))</f>
        <v/>
      </c>
    </row>
    <row r="2005">
      <c r="B2005">
        <f>IF(A2005="","",$B$1-MAXIFS(Donasi!$A$2:$A$20000,Donasi!$B$2:$B$20000,A2005))</f>
        <v/>
      </c>
      <c r="C2005">
        <f>IF(A2005="","",COUNTIF(Donasi!$B$2:$B$20000,A2005))</f>
        <v/>
      </c>
      <c r="D2005">
        <f>IF(A2005="","",SUMIF(Donasi!$B$2:$B$20000,A2005,Donasi!$C$2:$C$20000))</f>
        <v/>
      </c>
      <c r="E2005">
        <f>IF(A2005="","",6-CEILING(PERCENTRANK.INC($B$3:$B$6000,B2005,4)*5+0.000001,1))</f>
        <v/>
      </c>
      <c r="F2005">
        <f>IF(A2005="","",MAX(1,CEILING(PERCENTRANK.INC($C$3:$C$6000,C2005,4)*5+0.000001,1)))</f>
        <v/>
      </c>
      <c r="G2005">
        <f>IF(A2005="","",MAX(1,CEILING(PERCENTRANK.INC($D$3:$D$6000,D2005,4)*5+0.000001,1)))</f>
        <v/>
      </c>
      <c r="H2005">
        <f>IF(A2005="","",E2005&amp;F2005&amp;G2005)</f>
        <v/>
      </c>
      <c r="I2005">
        <f>IF(A2005="","",IF(AND(E2005&gt;=4,F2005&gt;=4,G2005&gt;=4),"Juara",IF(AND(F2005&gt;=4,E2005&gt;=3),"Setia",IF(AND(E2005=5,F2005&lt;=2,G2005&gt;=3),"Berpotensi",IF(AND(E2005&lt;=3,E2005&gt;=2,F2005&gt;=3),"Rawan",IF(AND(E2005&lt;=2,F2005&lt;=2),"Tidur","Umum"))))))</f>
        <v/>
      </c>
    </row>
    <row r="2006">
      <c r="B2006">
        <f>IF(A2006="","",$B$1-MAXIFS(Donasi!$A$2:$A$20000,Donasi!$B$2:$B$20000,A2006))</f>
        <v/>
      </c>
      <c r="C2006">
        <f>IF(A2006="","",COUNTIF(Donasi!$B$2:$B$20000,A2006))</f>
        <v/>
      </c>
      <c r="D2006">
        <f>IF(A2006="","",SUMIF(Donasi!$B$2:$B$20000,A2006,Donasi!$C$2:$C$20000))</f>
        <v/>
      </c>
      <c r="E2006">
        <f>IF(A2006="","",6-CEILING(PERCENTRANK.INC($B$3:$B$6000,B2006,4)*5+0.000001,1))</f>
        <v/>
      </c>
      <c r="F2006">
        <f>IF(A2006="","",MAX(1,CEILING(PERCENTRANK.INC($C$3:$C$6000,C2006,4)*5+0.000001,1)))</f>
        <v/>
      </c>
      <c r="G2006">
        <f>IF(A2006="","",MAX(1,CEILING(PERCENTRANK.INC($D$3:$D$6000,D2006,4)*5+0.000001,1)))</f>
        <v/>
      </c>
      <c r="H2006">
        <f>IF(A2006="","",E2006&amp;F2006&amp;G2006)</f>
        <v/>
      </c>
      <c r="I2006">
        <f>IF(A2006="","",IF(AND(E2006&gt;=4,F2006&gt;=4,G2006&gt;=4),"Juara",IF(AND(F2006&gt;=4,E2006&gt;=3),"Setia",IF(AND(E2006=5,F2006&lt;=2,G2006&gt;=3),"Berpotensi",IF(AND(E2006&lt;=3,E2006&gt;=2,F2006&gt;=3),"Rawan",IF(AND(E2006&lt;=2,F2006&lt;=2),"Tidur","Umum"))))))</f>
        <v/>
      </c>
    </row>
    <row r="2007">
      <c r="B2007">
        <f>IF(A2007="","",$B$1-MAXIFS(Donasi!$A$2:$A$20000,Donasi!$B$2:$B$20000,A2007))</f>
        <v/>
      </c>
      <c r="C2007">
        <f>IF(A2007="","",COUNTIF(Donasi!$B$2:$B$20000,A2007))</f>
        <v/>
      </c>
      <c r="D2007">
        <f>IF(A2007="","",SUMIF(Donasi!$B$2:$B$20000,A2007,Donasi!$C$2:$C$20000))</f>
        <v/>
      </c>
      <c r="E2007">
        <f>IF(A2007="","",6-CEILING(PERCENTRANK.INC($B$3:$B$6000,B2007,4)*5+0.000001,1))</f>
        <v/>
      </c>
      <c r="F2007">
        <f>IF(A2007="","",MAX(1,CEILING(PERCENTRANK.INC($C$3:$C$6000,C2007,4)*5+0.000001,1)))</f>
        <v/>
      </c>
      <c r="G2007">
        <f>IF(A2007="","",MAX(1,CEILING(PERCENTRANK.INC($D$3:$D$6000,D2007,4)*5+0.000001,1)))</f>
        <v/>
      </c>
      <c r="H2007">
        <f>IF(A2007="","",E2007&amp;F2007&amp;G2007)</f>
        <v/>
      </c>
      <c r="I2007">
        <f>IF(A2007="","",IF(AND(E2007&gt;=4,F2007&gt;=4,G2007&gt;=4),"Juara",IF(AND(F2007&gt;=4,E2007&gt;=3),"Setia",IF(AND(E2007=5,F2007&lt;=2,G2007&gt;=3),"Berpotensi",IF(AND(E2007&lt;=3,E2007&gt;=2,F2007&gt;=3),"Rawan",IF(AND(E2007&lt;=2,F2007&lt;=2),"Tidur","Umum"))))))</f>
        <v/>
      </c>
    </row>
    <row r="2008">
      <c r="B2008">
        <f>IF(A2008="","",$B$1-MAXIFS(Donasi!$A$2:$A$20000,Donasi!$B$2:$B$20000,A2008))</f>
        <v/>
      </c>
      <c r="C2008">
        <f>IF(A2008="","",COUNTIF(Donasi!$B$2:$B$20000,A2008))</f>
        <v/>
      </c>
      <c r="D2008">
        <f>IF(A2008="","",SUMIF(Donasi!$B$2:$B$20000,A2008,Donasi!$C$2:$C$20000))</f>
        <v/>
      </c>
      <c r="E2008">
        <f>IF(A2008="","",6-CEILING(PERCENTRANK.INC($B$3:$B$6000,B2008,4)*5+0.000001,1))</f>
        <v/>
      </c>
      <c r="F2008">
        <f>IF(A2008="","",MAX(1,CEILING(PERCENTRANK.INC($C$3:$C$6000,C2008,4)*5+0.000001,1)))</f>
        <v/>
      </c>
      <c r="G2008">
        <f>IF(A2008="","",MAX(1,CEILING(PERCENTRANK.INC($D$3:$D$6000,D2008,4)*5+0.000001,1)))</f>
        <v/>
      </c>
      <c r="H2008">
        <f>IF(A2008="","",E2008&amp;F2008&amp;G2008)</f>
        <v/>
      </c>
      <c r="I2008">
        <f>IF(A2008="","",IF(AND(E2008&gt;=4,F2008&gt;=4,G2008&gt;=4),"Juara",IF(AND(F2008&gt;=4,E2008&gt;=3),"Setia",IF(AND(E2008=5,F2008&lt;=2,G2008&gt;=3),"Berpotensi",IF(AND(E2008&lt;=3,E2008&gt;=2,F2008&gt;=3),"Rawan",IF(AND(E2008&lt;=2,F2008&lt;=2),"Tidur","Umum"))))))</f>
        <v/>
      </c>
    </row>
    <row r="2009">
      <c r="B2009">
        <f>IF(A2009="","",$B$1-MAXIFS(Donasi!$A$2:$A$20000,Donasi!$B$2:$B$20000,A2009))</f>
        <v/>
      </c>
      <c r="C2009">
        <f>IF(A2009="","",COUNTIF(Donasi!$B$2:$B$20000,A2009))</f>
        <v/>
      </c>
      <c r="D2009">
        <f>IF(A2009="","",SUMIF(Donasi!$B$2:$B$20000,A2009,Donasi!$C$2:$C$20000))</f>
        <v/>
      </c>
      <c r="E2009">
        <f>IF(A2009="","",6-CEILING(PERCENTRANK.INC($B$3:$B$6000,B2009,4)*5+0.000001,1))</f>
        <v/>
      </c>
      <c r="F2009">
        <f>IF(A2009="","",MAX(1,CEILING(PERCENTRANK.INC($C$3:$C$6000,C2009,4)*5+0.000001,1)))</f>
        <v/>
      </c>
      <c r="G2009">
        <f>IF(A2009="","",MAX(1,CEILING(PERCENTRANK.INC($D$3:$D$6000,D2009,4)*5+0.000001,1)))</f>
        <v/>
      </c>
      <c r="H2009">
        <f>IF(A2009="","",E2009&amp;F2009&amp;G2009)</f>
        <v/>
      </c>
      <c r="I2009">
        <f>IF(A2009="","",IF(AND(E2009&gt;=4,F2009&gt;=4,G2009&gt;=4),"Juara",IF(AND(F2009&gt;=4,E2009&gt;=3),"Setia",IF(AND(E2009=5,F2009&lt;=2,G2009&gt;=3),"Berpotensi",IF(AND(E2009&lt;=3,E2009&gt;=2,F2009&gt;=3),"Rawan",IF(AND(E2009&lt;=2,F2009&lt;=2),"Tidur","Umum"))))))</f>
        <v/>
      </c>
    </row>
    <row r="2010">
      <c r="B2010">
        <f>IF(A2010="","",$B$1-MAXIFS(Donasi!$A$2:$A$20000,Donasi!$B$2:$B$20000,A2010))</f>
        <v/>
      </c>
      <c r="C2010">
        <f>IF(A2010="","",COUNTIF(Donasi!$B$2:$B$20000,A2010))</f>
        <v/>
      </c>
      <c r="D2010">
        <f>IF(A2010="","",SUMIF(Donasi!$B$2:$B$20000,A2010,Donasi!$C$2:$C$20000))</f>
        <v/>
      </c>
      <c r="E2010">
        <f>IF(A2010="","",6-CEILING(PERCENTRANK.INC($B$3:$B$6000,B2010,4)*5+0.000001,1))</f>
        <v/>
      </c>
      <c r="F2010">
        <f>IF(A2010="","",MAX(1,CEILING(PERCENTRANK.INC($C$3:$C$6000,C2010,4)*5+0.000001,1)))</f>
        <v/>
      </c>
      <c r="G2010">
        <f>IF(A2010="","",MAX(1,CEILING(PERCENTRANK.INC($D$3:$D$6000,D2010,4)*5+0.000001,1)))</f>
        <v/>
      </c>
      <c r="H2010">
        <f>IF(A2010="","",E2010&amp;F2010&amp;G2010)</f>
        <v/>
      </c>
      <c r="I2010">
        <f>IF(A2010="","",IF(AND(E2010&gt;=4,F2010&gt;=4,G2010&gt;=4),"Juara",IF(AND(F2010&gt;=4,E2010&gt;=3),"Setia",IF(AND(E2010=5,F2010&lt;=2,G2010&gt;=3),"Berpotensi",IF(AND(E2010&lt;=3,E2010&gt;=2,F2010&gt;=3),"Rawan",IF(AND(E2010&lt;=2,F2010&lt;=2),"Tidur","Umum"))))))</f>
        <v/>
      </c>
    </row>
    <row r="2011">
      <c r="B2011">
        <f>IF(A2011="","",$B$1-MAXIFS(Donasi!$A$2:$A$20000,Donasi!$B$2:$B$20000,A2011))</f>
        <v/>
      </c>
      <c r="C2011">
        <f>IF(A2011="","",COUNTIF(Donasi!$B$2:$B$20000,A2011))</f>
        <v/>
      </c>
      <c r="D2011">
        <f>IF(A2011="","",SUMIF(Donasi!$B$2:$B$20000,A2011,Donasi!$C$2:$C$20000))</f>
        <v/>
      </c>
      <c r="E2011">
        <f>IF(A2011="","",6-CEILING(PERCENTRANK.INC($B$3:$B$6000,B2011,4)*5+0.000001,1))</f>
        <v/>
      </c>
      <c r="F2011">
        <f>IF(A2011="","",MAX(1,CEILING(PERCENTRANK.INC($C$3:$C$6000,C2011,4)*5+0.000001,1)))</f>
        <v/>
      </c>
      <c r="G2011">
        <f>IF(A2011="","",MAX(1,CEILING(PERCENTRANK.INC($D$3:$D$6000,D2011,4)*5+0.000001,1)))</f>
        <v/>
      </c>
      <c r="H2011">
        <f>IF(A2011="","",E2011&amp;F2011&amp;G2011)</f>
        <v/>
      </c>
      <c r="I2011">
        <f>IF(A2011="","",IF(AND(E2011&gt;=4,F2011&gt;=4,G2011&gt;=4),"Juara",IF(AND(F2011&gt;=4,E2011&gt;=3),"Setia",IF(AND(E2011=5,F2011&lt;=2,G2011&gt;=3),"Berpotensi",IF(AND(E2011&lt;=3,E2011&gt;=2,F2011&gt;=3),"Rawan",IF(AND(E2011&lt;=2,F2011&lt;=2),"Tidur","Umum"))))))</f>
        <v/>
      </c>
    </row>
    <row r="2012">
      <c r="B2012">
        <f>IF(A2012="","",$B$1-MAXIFS(Donasi!$A$2:$A$20000,Donasi!$B$2:$B$20000,A2012))</f>
        <v/>
      </c>
      <c r="C2012">
        <f>IF(A2012="","",COUNTIF(Donasi!$B$2:$B$20000,A2012))</f>
        <v/>
      </c>
      <c r="D2012">
        <f>IF(A2012="","",SUMIF(Donasi!$B$2:$B$20000,A2012,Donasi!$C$2:$C$20000))</f>
        <v/>
      </c>
      <c r="E2012">
        <f>IF(A2012="","",6-CEILING(PERCENTRANK.INC($B$3:$B$6000,B2012,4)*5+0.000001,1))</f>
        <v/>
      </c>
      <c r="F2012">
        <f>IF(A2012="","",MAX(1,CEILING(PERCENTRANK.INC($C$3:$C$6000,C2012,4)*5+0.000001,1)))</f>
        <v/>
      </c>
      <c r="G2012">
        <f>IF(A2012="","",MAX(1,CEILING(PERCENTRANK.INC($D$3:$D$6000,D2012,4)*5+0.000001,1)))</f>
        <v/>
      </c>
      <c r="H2012">
        <f>IF(A2012="","",E2012&amp;F2012&amp;G2012)</f>
        <v/>
      </c>
      <c r="I2012">
        <f>IF(A2012="","",IF(AND(E2012&gt;=4,F2012&gt;=4,G2012&gt;=4),"Juara",IF(AND(F2012&gt;=4,E2012&gt;=3),"Setia",IF(AND(E2012=5,F2012&lt;=2,G2012&gt;=3),"Berpotensi",IF(AND(E2012&lt;=3,E2012&gt;=2,F2012&gt;=3),"Rawan",IF(AND(E2012&lt;=2,F2012&lt;=2),"Tidur","Umum"))))))</f>
        <v/>
      </c>
    </row>
    <row r="2013">
      <c r="B2013">
        <f>IF(A2013="","",$B$1-MAXIFS(Donasi!$A$2:$A$20000,Donasi!$B$2:$B$20000,A2013))</f>
        <v/>
      </c>
      <c r="C2013">
        <f>IF(A2013="","",COUNTIF(Donasi!$B$2:$B$20000,A2013))</f>
        <v/>
      </c>
      <c r="D2013">
        <f>IF(A2013="","",SUMIF(Donasi!$B$2:$B$20000,A2013,Donasi!$C$2:$C$20000))</f>
        <v/>
      </c>
      <c r="E2013">
        <f>IF(A2013="","",6-CEILING(PERCENTRANK.INC($B$3:$B$6000,B2013,4)*5+0.000001,1))</f>
        <v/>
      </c>
      <c r="F2013">
        <f>IF(A2013="","",MAX(1,CEILING(PERCENTRANK.INC($C$3:$C$6000,C2013,4)*5+0.000001,1)))</f>
        <v/>
      </c>
      <c r="G2013">
        <f>IF(A2013="","",MAX(1,CEILING(PERCENTRANK.INC($D$3:$D$6000,D2013,4)*5+0.000001,1)))</f>
        <v/>
      </c>
      <c r="H2013">
        <f>IF(A2013="","",E2013&amp;F2013&amp;G2013)</f>
        <v/>
      </c>
      <c r="I2013">
        <f>IF(A2013="","",IF(AND(E2013&gt;=4,F2013&gt;=4,G2013&gt;=4),"Juara",IF(AND(F2013&gt;=4,E2013&gt;=3),"Setia",IF(AND(E2013=5,F2013&lt;=2,G2013&gt;=3),"Berpotensi",IF(AND(E2013&lt;=3,E2013&gt;=2,F2013&gt;=3),"Rawan",IF(AND(E2013&lt;=2,F2013&lt;=2),"Tidur","Umum"))))))</f>
        <v/>
      </c>
    </row>
    <row r="2014">
      <c r="B2014">
        <f>IF(A2014="","",$B$1-MAXIFS(Donasi!$A$2:$A$20000,Donasi!$B$2:$B$20000,A2014))</f>
        <v/>
      </c>
      <c r="C2014">
        <f>IF(A2014="","",COUNTIF(Donasi!$B$2:$B$20000,A2014))</f>
        <v/>
      </c>
      <c r="D2014">
        <f>IF(A2014="","",SUMIF(Donasi!$B$2:$B$20000,A2014,Donasi!$C$2:$C$20000))</f>
        <v/>
      </c>
      <c r="E2014">
        <f>IF(A2014="","",6-CEILING(PERCENTRANK.INC($B$3:$B$6000,B2014,4)*5+0.000001,1))</f>
        <v/>
      </c>
      <c r="F2014">
        <f>IF(A2014="","",MAX(1,CEILING(PERCENTRANK.INC($C$3:$C$6000,C2014,4)*5+0.000001,1)))</f>
        <v/>
      </c>
      <c r="G2014">
        <f>IF(A2014="","",MAX(1,CEILING(PERCENTRANK.INC($D$3:$D$6000,D2014,4)*5+0.000001,1)))</f>
        <v/>
      </c>
      <c r="H2014">
        <f>IF(A2014="","",E2014&amp;F2014&amp;G2014)</f>
        <v/>
      </c>
      <c r="I2014">
        <f>IF(A2014="","",IF(AND(E2014&gt;=4,F2014&gt;=4,G2014&gt;=4),"Juara",IF(AND(F2014&gt;=4,E2014&gt;=3),"Setia",IF(AND(E2014=5,F2014&lt;=2,G2014&gt;=3),"Berpotensi",IF(AND(E2014&lt;=3,E2014&gt;=2,F2014&gt;=3),"Rawan",IF(AND(E2014&lt;=2,F2014&lt;=2),"Tidur","Umum"))))))</f>
        <v/>
      </c>
    </row>
    <row r="2015">
      <c r="B2015">
        <f>IF(A2015="","",$B$1-MAXIFS(Donasi!$A$2:$A$20000,Donasi!$B$2:$B$20000,A2015))</f>
        <v/>
      </c>
      <c r="C2015">
        <f>IF(A2015="","",COUNTIF(Donasi!$B$2:$B$20000,A2015))</f>
        <v/>
      </c>
      <c r="D2015">
        <f>IF(A2015="","",SUMIF(Donasi!$B$2:$B$20000,A2015,Donasi!$C$2:$C$20000))</f>
        <v/>
      </c>
      <c r="E2015">
        <f>IF(A2015="","",6-CEILING(PERCENTRANK.INC($B$3:$B$6000,B2015,4)*5+0.000001,1))</f>
        <v/>
      </c>
      <c r="F2015">
        <f>IF(A2015="","",MAX(1,CEILING(PERCENTRANK.INC($C$3:$C$6000,C2015,4)*5+0.000001,1)))</f>
        <v/>
      </c>
      <c r="G2015">
        <f>IF(A2015="","",MAX(1,CEILING(PERCENTRANK.INC($D$3:$D$6000,D2015,4)*5+0.000001,1)))</f>
        <v/>
      </c>
      <c r="H2015">
        <f>IF(A2015="","",E2015&amp;F2015&amp;G2015)</f>
        <v/>
      </c>
      <c r="I2015">
        <f>IF(A2015="","",IF(AND(E2015&gt;=4,F2015&gt;=4,G2015&gt;=4),"Juara",IF(AND(F2015&gt;=4,E2015&gt;=3),"Setia",IF(AND(E2015=5,F2015&lt;=2,G2015&gt;=3),"Berpotensi",IF(AND(E2015&lt;=3,E2015&gt;=2,F2015&gt;=3),"Rawan",IF(AND(E2015&lt;=2,F2015&lt;=2),"Tidur","Umum"))))))</f>
        <v/>
      </c>
    </row>
    <row r="2016">
      <c r="B2016">
        <f>IF(A2016="","",$B$1-MAXIFS(Donasi!$A$2:$A$20000,Donasi!$B$2:$B$20000,A2016))</f>
        <v/>
      </c>
      <c r="C2016">
        <f>IF(A2016="","",COUNTIF(Donasi!$B$2:$B$20000,A2016))</f>
        <v/>
      </c>
      <c r="D2016">
        <f>IF(A2016="","",SUMIF(Donasi!$B$2:$B$20000,A2016,Donasi!$C$2:$C$20000))</f>
        <v/>
      </c>
      <c r="E2016">
        <f>IF(A2016="","",6-CEILING(PERCENTRANK.INC($B$3:$B$6000,B2016,4)*5+0.000001,1))</f>
        <v/>
      </c>
      <c r="F2016">
        <f>IF(A2016="","",MAX(1,CEILING(PERCENTRANK.INC($C$3:$C$6000,C2016,4)*5+0.000001,1)))</f>
        <v/>
      </c>
      <c r="G2016">
        <f>IF(A2016="","",MAX(1,CEILING(PERCENTRANK.INC($D$3:$D$6000,D2016,4)*5+0.000001,1)))</f>
        <v/>
      </c>
      <c r="H2016">
        <f>IF(A2016="","",E2016&amp;F2016&amp;G2016)</f>
        <v/>
      </c>
      <c r="I2016">
        <f>IF(A2016="","",IF(AND(E2016&gt;=4,F2016&gt;=4,G2016&gt;=4),"Juara",IF(AND(F2016&gt;=4,E2016&gt;=3),"Setia",IF(AND(E2016=5,F2016&lt;=2,G2016&gt;=3),"Berpotensi",IF(AND(E2016&lt;=3,E2016&gt;=2,F2016&gt;=3),"Rawan",IF(AND(E2016&lt;=2,F2016&lt;=2),"Tidur","Umum"))))))</f>
        <v/>
      </c>
    </row>
    <row r="2017">
      <c r="B2017">
        <f>IF(A2017="","",$B$1-MAXIFS(Donasi!$A$2:$A$20000,Donasi!$B$2:$B$20000,A2017))</f>
        <v/>
      </c>
      <c r="C2017">
        <f>IF(A2017="","",COUNTIF(Donasi!$B$2:$B$20000,A2017))</f>
        <v/>
      </c>
      <c r="D2017">
        <f>IF(A2017="","",SUMIF(Donasi!$B$2:$B$20000,A2017,Donasi!$C$2:$C$20000))</f>
        <v/>
      </c>
      <c r="E2017">
        <f>IF(A2017="","",6-CEILING(PERCENTRANK.INC($B$3:$B$6000,B2017,4)*5+0.000001,1))</f>
        <v/>
      </c>
      <c r="F2017">
        <f>IF(A2017="","",MAX(1,CEILING(PERCENTRANK.INC($C$3:$C$6000,C2017,4)*5+0.000001,1)))</f>
        <v/>
      </c>
      <c r="G2017">
        <f>IF(A2017="","",MAX(1,CEILING(PERCENTRANK.INC($D$3:$D$6000,D2017,4)*5+0.000001,1)))</f>
        <v/>
      </c>
      <c r="H2017">
        <f>IF(A2017="","",E2017&amp;F2017&amp;G2017)</f>
        <v/>
      </c>
      <c r="I2017">
        <f>IF(A2017="","",IF(AND(E2017&gt;=4,F2017&gt;=4,G2017&gt;=4),"Juara",IF(AND(F2017&gt;=4,E2017&gt;=3),"Setia",IF(AND(E2017=5,F2017&lt;=2,G2017&gt;=3),"Berpotensi",IF(AND(E2017&lt;=3,E2017&gt;=2,F2017&gt;=3),"Rawan",IF(AND(E2017&lt;=2,F2017&lt;=2),"Tidur","Umum"))))))</f>
        <v/>
      </c>
    </row>
    <row r="2018">
      <c r="B2018">
        <f>IF(A2018="","",$B$1-MAXIFS(Donasi!$A$2:$A$20000,Donasi!$B$2:$B$20000,A2018))</f>
        <v/>
      </c>
      <c r="C2018">
        <f>IF(A2018="","",COUNTIF(Donasi!$B$2:$B$20000,A2018))</f>
        <v/>
      </c>
      <c r="D2018">
        <f>IF(A2018="","",SUMIF(Donasi!$B$2:$B$20000,A2018,Donasi!$C$2:$C$20000))</f>
        <v/>
      </c>
      <c r="E2018">
        <f>IF(A2018="","",6-CEILING(PERCENTRANK.INC($B$3:$B$6000,B2018,4)*5+0.000001,1))</f>
        <v/>
      </c>
      <c r="F2018">
        <f>IF(A2018="","",MAX(1,CEILING(PERCENTRANK.INC($C$3:$C$6000,C2018,4)*5+0.000001,1)))</f>
        <v/>
      </c>
      <c r="G2018">
        <f>IF(A2018="","",MAX(1,CEILING(PERCENTRANK.INC($D$3:$D$6000,D2018,4)*5+0.000001,1)))</f>
        <v/>
      </c>
      <c r="H2018">
        <f>IF(A2018="","",E2018&amp;F2018&amp;G2018)</f>
        <v/>
      </c>
      <c r="I2018">
        <f>IF(A2018="","",IF(AND(E2018&gt;=4,F2018&gt;=4,G2018&gt;=4),"Juara",IF(AND(F2018&gt;=4,E2018&gt;=3),"Setia",IF(AND(E2018=5,F2018&lt;=2,G2018&gt;=3),"Berpotensi",IF(AND(E2018&lt;=3,E2018&gt;=2,F2018&gt;=3),"Rawan",IF(AND(E2018&lt;=2,F2018&lt;=2),"Tidur","Umum"))))))</f>
        <v/>
      </c>
    </row>
    <row r="2019">
      <c r="B2019">
        <f>IF(A2019="","",$B$1-MAXIFS(Donasi!$A$2:$A$20000,Donasi!$B$2:$B$20000,A2019))</f>
        <v/>
      </c>
      <c r="C2019">
        <f>IF(A2019="","",COUNTIF(Donasi!$B$2:$B$20000,A2019))</f>
        <v/>
      </c>
      <c r="D2019">
        <f>IF(A2019="","",SUMIF(Donasi!$B$2:$B$20000,A2019,Donasi!$C$2:$C$20000))</f>
        <v/>
      </c>
      <c r="E2019">
        <f>IF(A2019="","",6-CEILING(PERCENTRANK.INC($B$3:$B$6000,B2019,4)*5+0.000001,1))</f>
        <v/>
      </c>
      <c r="F2019">
        <f>IF(A2019="","",MAX(1,CEILING(PERCENTRANK.INC($C$3:$C$6000,C2019,4)*5+0.000001,1)))</f>
        <v/>
      </c>
      <c r="G2019">
        <f>IF(A2019="","",MAX(1,CEILING(PERCENTRANK.INC($D$3:$D$6000,D2019,4)*5+0.000001,1)))</f>
        <v/>
      </c>
      <c r="H2019">
        <f>IF(A2019="","",E2019&amp;F2019&amp;G2019)</f>
        <v/>
      </c>
      <c r="I2019">
        <f>IF(A2019="","",IF(AND(E2019&gt;=4,F2019&gt;=4,G2019&gt;=4),"Juara",IF(AND(F2019&gt;=4,E2019&gt;=3),"Setia",IF(AND(E2019=5,F2019&lt;=2,G2019&gt;=3),"Berpotensi",IF(AND(E2019&lt;=3,E2019&gt;=2,F2019&gt;=3),"Rawan",IF(AND(E2019&lt;=2,F2019&lt;=2),"Tidur","Umum"))))))</f>
        <v/>
      </c>
    </row>
    <row r="2020">
      <c r="B2020">
        <f>IF(A2020="","",$B$1-MAXIFS(Donasi!$A$2:$A$20000,Donasi!$B$2:$B$20000,A2020))</f>
        <v/>
      </c>
      <c r="C2020">
        <f>IF(A2020="","",COUNTIF(Donasi!$B$2:$B$20000,A2020))</f>
        <v/>
      </c>
      <c r="D2020">
        <f>IF(A2020="","",SUMIF(Donasi!$B$2:$B$20000,A2020,Donasi!$C$2:$C$20000))</f>
        <v/>
      </c>
      <c r="E2020">
        <f>IF(A2020="","",6-CEILING(PERCENTRANK.INC($B$3:$B$6000,B2020,4)*5+0.000001,1))</f>
        <v/>
      </c>
      <c r="F2020">
        <f>IF(A2020="","",MAX(1,CEILING(PERCENTRANK.INC($C$3:$C$6000,C2020,4)*5+0.000001,1)))</f>
        <v/>
      </c>
      <c r="G2020">
        <f>IF(A2020="","",MAX(1,CEILING(PERCENTRANK.INC($D$3:$D$6000,D2020,4)*5+0.000001,1)))</f>
        <v/>
      </c>
      <c r="H2020">
        <f>IF(A2020="","",E2020&amp;F2020&amp;G2020)</f>
        <v/>
      </c>
      <c r="I2020">
        <f>IF(A2020="","",IF(AND(E2020&gt;=4,F2020&gt;=4,G2020&gt;=4),"Juara",IF(AND(F2020&gt;=4,E2020&gt;=3),"Setia",IF(AND(E2020=5,F2020&lt;=2,G2020&gt;=3),"Berpotensi",IF(AND(E2020&lt;=3,E2020&gt;=2,F2020&gt;=3),"Rawan",IF(AND(E2020&lt;=2,F2020&lt;=2),"Tidur","Umum"))))))</f>
        <v/>
      </c>
    </row>
    <row r="2021">
      <c r="B2021">
        <f>IF(A2021="","",$B$1-MAXIFS(Donasi!$A$2:$A$20000,Donasi!$B$2:$B$20000,A2021))</f>
        <v/>
      </c>
      <c r="C2021">
        <f>IF(A2021="","",COUNTIF(Donasi!$B$2:$B$20000,A2021))</f>
        <v/>
      </c>
      <c r="D2021">
        <f>IF(A2021="","",SUMIF(Donasi!$B$2:$B$20000,A2021,Donasi!$C$2:$C$20000))</f>
        <v/>
      </c>
      <c r="E2021">
        <f>IF(A2021="","",6-CEILING(PERCENTRANK.INC($B$3:$B$6000,B2021,4)*5+0.000001,1))</f>
        <v/>
      </c>
      <c r="F2021">
        <f>IF(A2021="","",MAX(1,CEILING(PERCENTRANK.INC($C$3:$C$6000,C2021,4)*5+0.000001,1)))</f>
        <v/>
      </c>
      <c r="G2021">
        <f>IF(A2021="","",MAX(1,CEILING(PERCENTRANK.INC($D$3:$D$6000,D2021,4)*5+0.000001,1)))</f>
        <v/>
      </c>
      <c r="H2021">
        <f>IF(A2021="","",E2021&amp;F2021&amp;G2021)</f>
        <v/>
      </c>
      <c r="I2021">
        <f>IF(A2021="","",IF(AND(E2021&gt;=4,F2021&gt;=4,G2021&gt;=4),"Juara",IF(AND(F2021&gt;=4,E2021&gt;=3),"Setia",IF(AND(E2021=5,F2021&lt;=2,G2021&gt;=3),"Berpotensi",IF(AND(E2021&lt;=3,E2021&gt;=2,F2021&gt;=3),"Rawan",IF(AND(E2021&lt;=2,F2021&lt;=2),"Tidur","Umum"))))))</f>
        <v/>
      </c>
    </row>
    <row r="2022">
      <c r="B2022">
        <f>IF(A2022="","",$B$1-MAXIFS(Donasi!$A$2:$A$20000,Donasi!$B$2:$B$20000,A2022))</f>
        <v/>
      </c>
      <c r="C2022">
        <f>IF(A2022="","",COUNTIF(Donasi!$B$2:$B$20000,A2022))</f>
        <v/>
      </c>
      <c r="D2022">
        <f>IF(A2022="","",SUMIF(Donasi!$B$2:$B$20000,A2022,Donasi!$C$2:$C$20000))</f>
        <v/>
      </c>
      <c r="E2022">
        <f>IF(A2022="","",6-CEILING(PERCENTRANK.INC($B$3:$B$6000,B2022,4)*5+0.000001,1))</f>
        <v/>
      </c>
      <c r="F2022">
        <f>IF(A2022="","",MAX(1,CEILING(PERCENTRANK.INC($C$3:$C$6000,C2022,4)*5+0.000001,1)))</f>
        <v/>
      </c>
      <c r="G2022">
        <f>IF(A2022="","",MAX(1,CEILING(PERCENTRANK.INC($D$3:$D$6000,D2022,4)*5+0.000001,1)))</f>
        <v/>
      </c>
      <c r="H2022">
        <f>IF(A2022="","",E2022&amp;F2022&amp;G2022)</f>
        <v/>
      </c>
      <c r="I2022">
        <f>IF(A2022="","",IF(AND(E2022&gt;=4,F2022&gt;=4,G2022&gt;=4),"Juara",IF(AND(F2022&gt;=4,E2022&gt;=3),"Setia",IF(AND(E2022=5,F2022&lt;=2,G2022&gt;=3),"Berpotensi",IF(AND(E2022&lt;=3,E2022&gt;=2,F2022&gt;=3),"Rawan",IF(AND(E2022&lt;=2,F2022&lt;=2),"Tidur","Umum"))))))</f>
        <v/>
      </c>
    </row>
    <row r="2023">
      <c r="B2023">
        <f>IF(A2023="","",$B$1-MAXIFS(Donasi!$A$2:$A$20000,Donasi!$B$2:$B$20000,A2023))</f>
        <v/>
      </c>
      <c r="C2023">
        <f>IF(A2023="","",COUNTIF(Donasi!$B$2:$B$20000,A2023))</f>
        <v/>
      </c>
      <c r="D2023">
        <f>IF(A2023="","",SUMIF(Donasi!$B$2:$B$20000,A2023,Donasi!$C$2:$C$20000))</f>
        <v/>
      </c>
      <c r="E2023">
        <f>IF(A2023="","",6-CEILING(PERCENTRANK.INC($B$3:$B$6000,B2023,4)*5+0.000001,1))</f>
        <v/>
      </c>
      <c r="F2023">
        <f>IF(A2023="","",MAX(1,CEILING(PERCENTRANK.INC($C$3:$C$6000,C2023,4)*5+0.000001,1)))</f>
        <v/>
      </c>
      <c r="G2023">
        <f>IF(A2023="","",MAX(1,CEILING(PERCENTRANK.INC($D$3:$D$6000,D2023,4)*5+0.000001,1)))</f>
        <v/>
      </c>
      <c r="H2023">
        <f>IF(A2023="","",E2023&amp;F2023&amp;G2023)</f>
        <v/>
      </c>
      <c r="I2023">
        <f>IF(A2023="","",IF(AND(E2023&gt;=4,F2023&gt;=4,G2023&gt;=4),"Juara",IF(AND(F2023&gt;=4,E2023&gt;=3),"Setia",IF(AND(E2023=5,F2023&lt;=2,G2023&gt;=3),"Berpotensi",IF(AND(E2023&lt;=3,E2023&gt;=2,F2023&gt;=3),"Rawan",IF(AND(E2023&lt;=2,F2023&lt;=2),"Tidur","Umum"))))))</f>
        <v/>
      </c>
    </row>
    <row r="2024">
      <c r="B2024">
        <f>IF(A2024="","",$B$1-MAXIFS(Donasi!$A$2:$A$20000,Donasi!$B$2:$B$20000,A2024))</f>
        <v/>
      </c>
      <c r="C2024">
        <f>IF(A2024="","",COUNTIF(Donasi!$B$2:$B$20000,A2024))</f>
        <v/>
      </c>
      <c r="D2024">
        <f>IF(A2024="","",SUMIF(Donasi!$B$2:$B$20000,A2024,Donasi!$C$2:$C$20000))</f>
        <v/>
      </c>
      <c r="E2024">
        <f>IF(A2024="","",6-CEILING(PERCENTRANK.INC($B$3:$B$6000,B2024,4)*5+0.000001,1))</f>
        <v/>
      </c>
      <c r="F2024">
        <f>IF(A2024="","",MAX(1,CEILING(PERCENTRANK.INC($C$3:$C$6000,C2024,4)*5+0.000001,1)))</f>
        <v/>
      </c>
      <c r="G2024">
        <f>IF(A2024="","",MAX(1,CEILING(PERCENTRANK.INC($D$3:$D$6000,D2024,4)*5+0.000001,1)))</f>
        <v/>
      </c>
      <c r="H2024">
        <f>IF(A2024="","",E2024&amp;F2024&amp;G2024)</f>
        <v/>
      </c>
      <c r="I2024">
        <f>IF(A2024="","",IF(AND(E2024&gt;=4,F2024&gt;=4,G2024&gt;=4),"Juara",IF(AND(F2024&gt;=4,E2024&gt;=3),"Setia",IF(AND(E2024=5,F2024&lt;=2,G2024&gt;=3),"Berpotensi",IF(AND(E2024&lt;=3,E2024&gt;=2,F2024&gt;=3),"Rawan",IF(AND(E2024&lt;=2,F2024&lt;=2),"Tidur","Umum"))))))</f>
        <v/>
      </c>
    </row>
    <row r="2025">
      <c r="B2025">
        <f>IF(A2025="","",$B$1-MAXIFS(Donasi!$A$2:$A$20000,Donasi!$B$2:$B$20000,A2025))</f>
        <v/>
      </c>
      <c r="C2025">
        <f>IF(A2025="","",COUNTIF(Donasi!$B$2:$B$20000,A2025))</f>
        <v/>
      </c>
      <c r="D2025">
        <f>IF(A2025="","",SUMIF(Donasi!$B$2:$B$20000,A2025,Donasi!$C$2:$C$20000))</f>
        <v/>
      </c>
      <c r="E2025">
        <f>IF(A2025="","",6-CEILING(PERCENTRANK.INC($B$3:$B$6000,B2025,4)*5+0.000001,1))</f>
        <v/>
      </c>
      <c r="F2025">
        <f>IF(A2025="","",MAX(1,CEILING(PERCENTRANK.INC($C$3:$C$6000,C2025,4)*5+0.000001,1)))</f>
        <v/>
      </c>
      <c r="G2025">
        <f>IF(A2025="","",MAX(1,CEILING(PERCENTRANK.INC($D$3:$D$6000,D2025,4)*5+0.000001,1)))</f>
        <v/>
      </c>
      <c r="H2025">
        <f>IF(A2025="","",E2025&amp;F2025&amp;G2025)</f>
        <v/>
      </c>
      <c r="I2025">
        <f>IF(A2025="","",IF(AND(E2025&gt;=4,F2025&gt;=4,G2025&gt;=4),"Juara",IF(AND(F2025&gt;=4,E2025&gt;=3),"Setia",IF(AND(E2025=5,F2025&lt;=2,G2025&gt;=3),"Berpotensi",IF(AND(E2025&lt;=3,E2025&gt;=2,F2025&gt;=3),"Rawan",IF(AND(E2025&lt;=2,F2025&lt;=2),"Tidur","Umum"))))))</f>
        <v/>
      </c>
    </row>
    <row r="2026">
      <c r="B2026">
        <f>IF(A2026="","",$B$1-MAXIFS(Donasi!$A$2:$A$20000,Donasi!$B$2:$B$20000,A2026))</f>
        <v/>
      </c>
      <c r="C2026">
        <f>IF(A2026="","",COUNTIF(Donasi!$B$2:$B$20000,A2026))</f>
        <v/>
      </c>
      <c r="D2026">
        <f>IF(A2026="","",SUMIF(Donasi!$B$2:$B$20000,A2026,Donasi!$C$2:$C$20000))</f>
        <v/>
      </c>
      <c r="E2026">
        <f>IF(A2026="","",6-CEILING(PERCENTRANK.INC($B$3:$B$6000,B2026,4)*5+0.000001,1))</f>
        <v/>
      </c>
      <c r="F2026">
        <f>IF(A2026="","",MAX(1,CEILING(PERCENTRANK.INC($C$3:$C$6000,C2026,4)*5+0.000001,1)))</f>
        <v/>
      </c>
      <c r="G2026">
        <f>IF(A2026="","",MAX(1,CEILING(PERCENTRANK.INC($D$3:$D$6000,D2026,4)*5+0.000001,1)))</f>
        <v/>
      </c>
      <c r="H2026">
        <f>IF(A2026="","",E2026&amp;F2026&amp;G2026)</f>
        <v/>
      </c>
      <c r="I2026">
        <f>IF(A2026="","",IF(AND(E2026&gt;=4,F2026&gt;=4,G2026&gt;=4),"Juara",IF(AND(F2026&gt;=4,E2026&gt;=3),"Setia",IF(AND(E2026=5,F2026&lt;=2,G2026&gt;=3),"Berpotensi",IF(AND(E2026&lt;=3,E2026&gt;=2,F2026&gt;=3),"Rawan",IF(AND(E2026&lt;=2,F2026&lt;=2),"Tidur","Umum"))))))</f>
        <v/>
      </c>
    </row>
    <row r="2027">
      <c r="B2027">
        <f>IF(A2027="","",$B$1-MAXIFS(Donasi!$A$2:$A$20000,Donasi!$B$2:$B$20000,A2027))</f>
        <v/>
      </c>
      <c r="C2027">
        <f>IF(A2027="","",COUNTIF(Donasi!$B$2:$B$20000,A2027))</f>
        <v/>
      </c>
      <c r="D2027">
        <f>IF(A2027="","",SUMIF(Donasi!$B$2:$B$20000,A2027,Donasi!$C$2:$C$20000))</f>
        <v/>
      </c>
      <c r="E2027">
        <f>IF(A2027="","",6-CEILING(PERCENTRANK.INC($B$3:$B$6000,B2027,4)*5+0.000001,1))</f>
        <v/>
      </c>
      <c r="F2027">
        <f>IF(A2027="","",MAX(1,CEILING(PERCENTRANK.INC($C$3:$C$6000,C2027,4)*5+0.000001,1)))</f>
        <v/>
      </c>
      <c r="G2027">
        <f>IF(A2027="","",MAX(1,CEILING(PERCENTRANK.INC($D$3:$D$6000,D2027,4)*5+0.000001,1)))</f>
        <v/>
      </c>
      <c r="H2027">
        <f>IF(A2027="","",E2027&amp;F2027&amp;G2027)</f>
        <v/>
      </c>
      <c r="I2027">
        <f>IF(A2027="","",IF(AND(E2027&gt;=4,F2027&gt;=4,G2027&gt;=4),"Juara",IF(AND(F2027&gt;=4,E2027&gt;=3),"Setia",IF(AND(E2027=5,F2027&lt;=2,G2027&gt;=3),"Berpotensi",IF(AND(E2027&lt;=3,E2027&gt;=2,F2027&gt;=3),"Rawan",IF(AND(E2027&lt;=2,F2027&lt;=2),"Tidur","Umum"))))))</f>
        <v/>
      </c>
    </row>
    <row r="2028">
      <c r="B2028">
        <f>IF(A2028="","",$B$1-MAXIFS(Donasi!$A$2:$A$20000,Donasi!$B$2:$B$20000,A2028))</f>
        <v/>
      </c>
      <c r="C2028">
        <f>IF(A2028="","",COUNTIF(Donasi!$B$2:$B$20000,A2028))</f>
        <v/>
      </c>
      <c r="D2028">
        <f>IF(A2028="","",SUMIF(Donasi!$B$2:$B$20000,A2028,Donasi!$C$2:$C$20000))</f>
        <v/>
      </c>
      <c r="E2028">
        <f>IF(A2028="","",6-CEILING(PERCENTRANK.INC($B$3:$B$6000,B2028,4)*5+0.000001,1))</f>
        <v/>
      </c>
      <c r="F2028">
        <f>IF(A2028="","",MAX(1,CEILING(PERCENTRANK.INC($C$3:$C$6000,C2028,4)*5+0.000001,1)))</f>
        <v/>
      </c>
      <c r="G2028">
        <f>IF(A2028="","",MAX(1,CEILING(PERCENTRANK.INC($D$3:$D$6000,D2028,4)*5+0.000001,1)))</f>
        <v/>
      </c>
      <c r="H2028">
        <f>IF(A2028="","",E2028&amp;F2028&amp;G2028)</f>
        <v/>
      </c>
      <c r="I2028">
        <f>IF(A2028="","",IF(AND(E2028&gt;=4,F2028&gt;=4,G2028&gt;=4),"Juara",IF(AND(F2028&gt;=4,E2028&gt;=3),"Setia",IF(AND(E2028=5,F2028&lt;=2,G2028&gt;=3),"Berpotensi",IF(AND(E2028&lt;=3,E2028&gt;=2,F2028&gt;=3),"Rawan",IF(AND(E2028&lt;=2,F2028&lt;=2),"Tidur","Umum"))))))</f>
        <v/>
      </c>
    </row>
    <row r="2029">
      <c r="B2029">
        <f>IF(A2029="","",$B$1-MAXIFS(Donasi!$A$2:$A$20000,Donasi!$B$2:$B$20000,A2029))</f>
        <v/>
      </c>
      <c r="C2029">
        <f>IF(A2029="","",COUNTIF(Donasi!$B$2:$B$20000,A2029))</f>
        <v/>
      </c>
      <c r="D2029">
        <f>IF(A2029="","",SUMIF(Donasi!$B$2:$B$20000,A2029,Donasi!$C$2:$C$20000))</f>
        <v/>
      </c>
      <c r="E2029">
        <f>IF(A2029="","",6-CEILING(PERCENTRANK.INC($B$3:$B$6000,B2029,4)*5+0.000001,1))</f>
        <v/>
      </c>
      <c r="F2029">
        <f>IF(A2029="","",MAX(1,CEILING(PERCENTRANK.INC($C$3:$C$6000,C2029,4)*5+0.000001,1)))</f>
        <v/>
      </c>
      <c r="G2029">
        <f>IF(A2029="","",MAX(1,CEILING(PERCENTRANK.INC($D$3:$D$6000,D2029,4)*5+0.000001,1)))</f>
        <v/>
      </c>
      <c r="H2029">
        <f>IF(A2029="","",E2029&amp;F2029&amp;G2029)</f>
        <v/>
      </c>
      <c r="I2029">
        <f>IF(A2029="","",IF(AND(E2029&gt;=4,F2029&gt;=4,G2029&gt;=4),"Juara",IF(AND(F2029&gt;=4,E2029&gt;=3),"Setia",IF(AND(E2029=5,F2029&lt;=2,G2029&gt;=3),"Berpotensi",IF(AND(E2029&lt;=3,E2029&gt;=2,F2029&gt;=3),"Rawan",IF(AND(E2029&lt;=2,F2029&lt;=2),"Tidur","Umum"))))))</f>
        <v/>
      </c>
    </row>
    <row r="2030">
      <c r="B2030">
        <f>IF(A2030="","",$B$1-MAXIFS(Donasi!$A$2:$A$20000,Donasi!$B$2:$B$20000,A2030))</f>
        <v/>
      </c>
      <c r="C2030">
        <f>IF(A2030="","",COUNTIF(Donasi!$B$2:$B$20000,A2030))</f>
        <v/>
      </c>
      <c r="D2030">
        <f>IF(A2030="","",SUMIF(Donasi!$B$2:$B$20000,A2030,Donasi!$C$2:$C$20000))</f>
        <v/>
      </c>
      <c r="E2030">
        <f>IF(A2030="","",6-CEILING(PERCENTRANK.INC($B$3:$B$6000,B2030,4)*5+0.000001,1))</f>
        <v/>
      </c>
      <c r="F2030">
        <f>IF(A2030="","",MAX(1,CEILING(PERCENTRANK.INC($C$3:$C$6000,C2030,4)*5+0.000001,1)))</f>
        <v/>
      </c>
      <c r="G2030">
        <f>IF(A2030="","",MAX(1,CEILING(PERCENTRANK.INC($D$3:$D$6000,D2030,4)*5+0.000001,1)))</f>
        <v/>
      </c>
      <c r="H2030">
        <f>IF(A2030="","",E2030&amp;F2030&amp;G2030)</f>
        <v/>
      </c>
      <c r="I2030">
        <f>IF(A2030="","",IF(AND(E2030&gt;=4,F2030&gt;=4,G2030&gt;=4),"Juara",IF(AND(F2030&gt;=4,E2030&gt;=3),"Setia",IF(AND(E2030=5,F2030&lt;=2,G2030&gt;=3),"Berpotensi",IF(AND(E2030&lt;=3,E2030&gt;=2,F2030&gt;=3),"Rawan",IF(AND(E2030&lt;=2,F2030&lt;=2),"Tidur","Umum"))))))</f>
        <v/>
      </c>
    </row>
    <row r="2031">
      <c r="B2031">
        <f>IF(A2031="","",$B$1-MAXIFS(Donasi!$A$2:$A$20000,Donasi!$B$2:$B$20000,A2031))</f>
        <v/>
      </c>
      <c r="C2031">
        <f>IF(A2031="","",COUNTIF(Donasi!$B$2:$B$20000,A2031))</f>
        <v/>
      </c>
      <c r="D2031">
        <f>IF(A2031="","",SUMIF(Donasi!$B$2:$B$20000,A2031,Donasi!$C$2:$C$20000))</f>
        <v/>
      </c>
      <c r="E2031">
        <f>IF(A2031="","",6-CEILING(PERCENTRANK.INC($B$3:$B$6000,B2031,4)*5+0.000001,1))</f>
        <v/>
      </c>
      <c r="F2031">
        <f>IF(A2031="","",MAX(1,CEILING(PERCENTRANK.INC($C$3:$C$6000,C2031,4)*5+0.000001,1)))</f>
        <v/>
      </c>
      <c r="G2031">
        <f>IF(A2031="","",MAX(1,CEILING(PERCENTRANK.INC($D$3:$D$6000,D2031,4)*5+0.000001,1)))</f>
        <v/>
      </c>
      <c r="H2031">
        <f>IF(A2031="","",E2031&amp;F2031&amp;G2031)</f>
        <v/>
      </c>
      <c r="I2031">
        <f>IF(A2031="","",IF(AND(E2031&gt;=4,F2031&gt;=4,G2031&gt;=4),"Juara",IF(AND(F2031&gt;=4,E2031&gt;=3),"Setia",IF(AND(E2031=5,F2031&lt;=2,G2031&gt;=3),"Berpotensi",IF(AND(E2031&lt;=3,E2031&gt;=2,F2031&gt;=3),"Rawan",IF(AND(E2031&lt;=2,F2031&lt;=2),"Tidur","Umum"))))))</f>
        <v/>
      </c>
    </row>
    <row r="2032">
      <c r="B2032">
        <f>IF(A2032="","",$B$1-MAXIFS(Donasi!$A$2:$A$20000,Donasi!$B$2:$B$20000,A2032))</f>
        <v/>
      </c>
      <c r="C2032">
        <f>IF(A2032="","",COUNTIF(Donasi!$B$2:$B$20000,A2032))</f>
        <v/>
      </c>
      <c r="D2032">
        <f>IF(A2032="","",SUMIF(Donasi!$B$2:$B$20000,A2032,Donasi!$C$2:$C$20000))</f>
        <v/>
      </c>
      <c r="E2032">
        <f>IF(A2032="","",6-CEILING(PERCENTRANK.INC($B$3:$B$6000,B2032,4)*5+0.000001,1))</f>
        <v/>
      </c>
      <c r="F2032">
        <f>IF(A2032="","",MAX(1,CEILING(PERCENTRANK.INC($C$3:$C$6000,C2032,4)*5+0.000001,1)))</f>
        <v/>
      </c>
      <c r="G2032">
        <f>IF(A2032="","",MAX(1,CEILING(PERCENTRANK.INC($D$3:$D$6000,D2032,4)*5+0.000001,1)))</f>
        <v/>
      </c>
      <c r="H2032">
        <f>IF(A2032="","",E2032&amp;F2032&amp;G2032)</f>
        <v/>
      </c>
      <c r="I2032">
        <f>IF(A2032="","",IF(AND(E2032&gt;=4,F2032&gt;=4,G2032&gt;=4),"Juara",IF(AND(F2032&gt;=4,E2032&gt;=3),"Setia",IF(AND(E2032=5,F2032&lt;=2,G2032&gt;=3),"Berpotensi",IF(AND(E2032&lt;=3,E2032&gt;=2,F2032&gt;=3),"Rawan",IF(AND(E2032&lt;=2,F2032&lt;=2),"Tidur","Umum"))))))</f>
        <v/>
      </c>
    </row>
    <row r="2033">
      <c r="B2033">
        <f>IF(A2033="","",$B$1-MAXIFS(Donasi!$A$2:$A$20000,Donasi!$B$2:$B$20000,A2033))</f>
        <v/>
      </c>
      <c r="C2033">
        <f>IF(A2033="","",COUNTIF(Donasi!$B$2:$B$20000,A2033))</f>
        <v/>
      </c>
      <c r="D2033">
        <f>IF(A2033="","",SUMIF(Donasi!$B$2:$B$20000,A2033,Donasi!$C$2:$C$20000))</f>
        <v/>
      </c>
      <c r="E2033">
        <f>IF(A2033="","",6-CEILING(PERCENTRANK.INC($B$3:$B$6000,B2033,4)*5+0.000001,1))</f>
        <v/>
      </c>
      <c r="F2033">
        <f>IF(A2033="","",MAX(1,CEILING(PERCENTRANK.INC($C$3:$C$6000,C2033,4)*5+0.000001,1)))</f>
        <v/>
      </c>
      <c r="G2033">
        <f>IF(A2033="","",MAX(1,CEILING(PERCENTRANK.INC($D$3:$D$6000,D2033,4)*5+0.000001,1)))</f>
        <v/>
      </c>
      <c r="H2033">
        <f>IF(A2033="","",E2033&amp;F2033&amp;G2033)</f>
        <v/>
      </c>
      <c r="I2033">
        <f>IF(A2033="","",IF(AND(E2033&gt;=4,F2033&gt;=4,G2033&gt;=4),"Juara",IF(AND(F2033&gt;=4,E2033&gt;=3),"Setia",IF(AND(E2033=5,F2033&lt;=2,G2033&gt;=3),"Berpotensi",IF(AND(E2033&lt;=3,E2033&gt;=2,F2033&gt;=3),"Rawan",IF(AND(E2033&lt;=2,F2033&lt;=2),"Tidur","Umum"))))))</f>
        <v/>
      </c>
    </row>
    <row r="2034">
      <c r="B2034">
        <f>IF(A2034="","",$B$1-MAXIFS(Donasi!$A$2:$A$20000,Donasi!$B$2:$B$20000,A2034))</f>
        <v/>
      </c>
      <c r="C2034">
        <f>IF(A2034="","",COUNTIF(Donasi!$B$2:$B$20000,A2034))</f>
        <v/>
      </c>
      <c r="D2034">
        <f>IF(A2034="","",SUMIF(Donasi!$B$2:$B$20000,A2034,Donasi!$C$2:$C$20000))</f>
        <v/>
      </c>
      <c r="E2034">
        <f>IF(A2034="","",6-CEILING(PERCENTRANK.INC($B$3:$B$6000,B2034,4)*5+0.000001,1))</f>
        <v/>
      </c>
      <c r="F2034">
        <f>IF(A2034="","",MAX(1,CEILING(PERCENTRANK.INC($C$3:$C$6000,C2034,4)*5+0.000001,1)))</f>
        <v/>
      </c>
      <c r="G2034">
        <f>IF(A2034="","",MAX(1,CEILING(PERCENTRANK.INC($D$3:$D$6000,D2034,4)*5+0.000001,1)))</f>
        <v/>
      </c>
      <c r="H2034">
        <f>IF(A2034="","",E2034&amp;F2034&amp;G2034)</f>
        <v/>
      </c>
      <c r="I2034">
        <f>IF(A2034="","",IF(AND(E2034&gt;=4,F2034&gt;=4,G2034&gt;=4),"Juara",IF(AND(F2034&gt;=4,E2034&gt;=3),"Setia",IF(AND(E2034=5,F2034&lt;=2,G2034&gt;=3),"Berpotensi",IF(AND(E2034&lt;=3,E2034&gt;=2,F2034&gt;=3),"Rawan",IF(AND(E2034&lt;=2,F2034&lt;=2),"Tidur","Umum"))))))</f>
        <v/>
      </c>
    </row>
    <row r="2035">
      <c r="B2035">
        <f>IF(A2035="","",$B$1-MAXIFS(Donasi!$A$2:$A$20000,Donasi!$B$2:$B$20000,A2035))</f>
        <v/>
      </c>
      <c r="C2035">
        <f>IF(A2035="","",COUNTIF(Donasi!$B$2:$B$20000,A2035))</f>
        <v/>
      </c>
      <c r="D2035">
        <f>IF(A2035="","",SUMIF(Donasi!$B$2:$B$20000,A2035,Donasi!$C$2:$C$20000))</f>
        <v/>
      </c>
      <c r="E2035">
        <f>IF(A2035="","",6-CEILING(PERCENTRANK.INC($B$3:$B$6000,B2035,4)*5+0.000001,1))</f>
        <v/>
      </c>
      <c r="F2035">
        <f>IF(A2035="","",MAX(1,CEILING(PERCENTRANK.INC($C$3:$C$6000,C2035,4)*5+0.000001,1)))</f>
        <v/>
      </c>
      <c r="G2035">
        <f>IF(A2035="","",MAX(1,CEILING(PERCENTRANK.INC($D$3:$D$6000,D2035,4)*5+0.000001,1)))</f>
        <v/>
      </c>
      <c r="H2035">
        <f>IF(A2035="","",E2035&amp;F2035&amp;G2035)</f>
        <v/>
      </c>
      <c r="I2035">
        <f>IF(A2035="","",IF(AND(E2035&gt;=4,F2035&gt;=4,G2035&gt;=4),"Juara",IF(AND(F2035&gt;=4,E2035&gt;=3),"Setia",IF(AND(E2035=5,F2035&lt;=2,G2035&gt;=3),"Berpotensi",IF(AND(E2035&lt;=3,E2035&gt;=2,F2035&gt;=3),"Rawan",IF(AND(E2035&lt;=2,F2035&lt;=2),"Tidur","Umum"))))))</f>
        <v/>
      </c>
    </row>
    <row r="2036">
      <c r="B2036">
        <f>IF(A2036="","",$B$1-MAXIFS(Donasi!$A$2:$A$20000,Donasi!$B$2:$B$20000,A2036))</f>
        <v/>
      </c>
      <c r="C2036">
        <f>IF(A2036="","",COUNTIF(Donasi!$B$2:$B$20000,A2036))</f>
        <v/>
      </c>
      <c r="D2036">
        <f>IF(A2036="","",SUMIF(Donasi!$B$2:$B$20000,A2036,Donasi!$C$2:$C$20000))</f>
        <v/>
      </c>
      <c r="E2036">
        <f>IF(A2036="","",6-CEILING(PERCENTRANK.INC($B$3:$B$6000,B2036,4)*5+0.000001,1))</f>
        <v/>
      </c>
      <c r="F2036">
        <f>IF(A2036="","",MAX(1,CEILING(PERCENTRANK.INC($C$3:$C$6000,C2036,4)*5+0.000001,1)))</f>
        <v/>
      </c>
      <c r="G2036">
        <f>IF(A2036="","",MAX(1,CEILING(PERCENTRANK.INC($D$3:$D$6000,D2036,4)*5+0.000001,1)))</f>
        <v/>
      </c>
      <c r="H2036">
        <f>IF(A2036="","",E2036&amp;F2036&amp;G2036)</f>
        <v/>
      </c>
      <c r="I2036">
        <f>IF(A2036="","",IF(AND(E2036&gt;=4,F2036&gt;=4,G2036&gt;=4),"Juara",IF(AND(F2036&gt;=4,E2036&gt;=3),"Setia",IF(AND(E2036=5,F2036&lt;=2,G2036&gt;=3),"Berpotensi",IF(AND(E2036&lt;=3,E2036&gt;=2,F2036&gt;=3),"Rawan",IF(AND(E2036&lt;=2,F2036&lt;=2),"Tidur","Umum"))))))</f>
        <v/>
      </c>
    </row>
    <row r="2037">
      <c r="B2037">
        <f>IF(A2037="","",$B$1-MAXIFS(Donasi!$A$2:$A$20000,Donasi!$B$2:$B$20000,A2037))</f>
        <v/>
      </c>
      <c r="C2037">
        <f>IF(A2037="","",COUNTIF(Donasi!$B$2:$B$20000,A2037))</f>
        <v/>
      </c>
      <c r="D2037">
        <f>IF(A2037="","",SUMIF(Donasi!$B$2:$B$20000,A2037,Donasi!$C$2:$C$20000))</f>
        <v/>
      </c>
      <c r="E2037">
        <f>IF(A2037="","",6-CEILING(PERCENTRANK.INC($B$3:$B$6000,B2037,4)*5+0.000001,1))</f>
        <v/>
      </c>
      <c r="F2037">
        <f>IF(A2037="","",MAX(1,CEILING(PERCENTRANK.INC($C$3:$C$6000,C2037,4)*5+0.000001,1)))</f>
        <v/>
      </c>
      <c r="G2037">
        <f>IF(A2037="","",MAX(1,CEILING(PERCENTRANK.INC($D$3:$D$6000,D2037,4)*5+0.000001,1)))</f>
        <v/>
      </c>
      <c r="H2037">
        <f>IF(A2037="","",E2037&amp;F2037&amp;G2037)</f>
        <v/>
      </c>
      <c r="I2037">
        <f>IF(A2037="","",IF(AND(E2037&gt;=4,F2037&gt;=4,G2037&gt;=4),"Juara",IF(AND(F2037&gt;=4,E2037&gt;=3),"Setia",IF(AND(E2037=5,F2037&lt;=2,G2037&gt;=3),"Berpotensi",IF(AND(E2037&lt;=3,E2037&gt;=2,F2037&gt;=3),"Rawan",IF(AND(E2037&lt;=2,F2037&lt;=2),"Tidur","Umum"))))))</f>
        <v/>
      </c>
    </row>
    <row r="2038">
      <c r="B2038">
        <f>IF(A2038="","",$B$1-MAXIFS(Donasi!$A$2:$A$20000,Donasi!$B$2:$B$20000,A2038))</f>
        <v/>
      </c>
      <c r="C2038">
        <f>IF(A2038="","",COUNTIF(Donasi!$B$2:$B$20000,A2038))</f>
        <v/>
      </c>
      <c r="D2038">
        <f>IF(A2038="","",SUMIF(Donasi!$B$2:$B$20000,A2038,Donasi!$C$2:$C$20000))</f>
        <v/>
      </c>
      <c r="E2038">
        <f>IF(A2038="","",6-CEILING(PERCENTRANK.INC($B$3:$B$6000,B2038,4)*5+0.000001,1))</f>
        <v/>
      </c>
      <c r="F2038">
        <f>IF(A2038="","",MAX(1,CEILING(PERCENTRANK.INC($C$3:$C$6000,C2038,4)*5+0.000001,1)))</f>
        <v/>
      </c>
      <c r="G2038">
        <f>IF(A2038="","",MAX(1,CEILING(PERCENTRANK.INC($D$3:$D$6000,D2038,4)*5+0.000001,1)))</f>
        <v/>
      </c>
      <c r="H2038">
        <f>IF(A2038="","",E2038&amp;F2038&amp;G2038)</f>
        <v/>
      </c>
      <c r="I2038">
        <f>IF(A2038="","",IF(AND(E2038&gt;=4,F2038&gt;=4,G2038&gt;=4),"Juara",IF(AND(F2038&gt;=4,E2038&gt;=3),"Setia",IF(AND(E2038=5,F2038&lt;=2,G2038&gt;=3),"Berpotensi",IF(AND(E2038&lt;=3,E2038&gt;=2,F2038&gt;=3),"Rawan",IF(AND(E2038&lt;=2,F2038&lt;=2),"Tidur","Umum"))))))</f>
        <v/>
      </c>
    </row>
    <row r="2039">
      <c r="B2039">
        <f>IF(A2039="","",$B$1-MAXIFS(Donasi!$A$2:$A$20000,Donasi!$B$2:$B$20000,A2039))</f>
        <v/>
      </c>
      <c r="C2039">
        <f>IF(A2039="","",COUNTIF(Donasi!$B$2:$B$20000,A2039))</f>
        <v/>
      </c>
      <c r="D2039">
        <f>IF(A2039="","",SUMIF(Donasi!$B$2:$B$20000,A2039,Donasi!$C$2:$C$20000))</f>
        <v/>
      </c>
      <c r="E2039">
        <f>IF(A2039="","",6-CEILING(PERCENTRANK.INC($B$3:$B$6000,B2039,4)*5+0.000001,1))</f>
        <v/>
      </c>
      <c r="F2039">
        <f>IF(A2039="","",MAX(1,CEILING(PERCENTRANK.INC($C$3:$C$6000,C2039,4)*5+0.000001,1)))</f>
        <v/>
      </c>
      <c r="G2039">
        <f>IF(A2039="","",MAX(1,CEILING(PERCENTRANK.INC($D$3:$D$6000,D2039,4)*5+0.000001,1)))</f>
        <v/>
      </c>
      <c r="H2039">
        <f>IF(A2039="","",E2039&amp;F2039&amp;G2039)</f>
        <v/>
      </c>
      <c r="I2039">
        <f>IF(A2039="","",IF(AND(E2039&gt;=4,F2039&gt;=4,G2039&gt;=4),"Juara",IF(AND(F2039&gt;=4,E2039&gt;=3),"Setia",IF(AND(E2039=5,F2039&lt;=2,G2039&gt;=3),"Berpotensi",IF(AND(E2039&lt;=3,E2039&gt;=2,F2039&gt;=3),"Rawan",IF(AND(E2039&lt;=2,F2039&lt;=2),"Tidur","Umum"))))))</f>
        <v/>
      </c>
    </row>
    <row r="2040">
      <c r="B2040">
        <f>IF(A2040="","",$B$1-MAXIFS(Donasi!$A$2:$A$20000,Donasi!$B$2:$B$20000,A2040))</f>
        <v/>
      </c>
      <c r="C2040">
        <f>IF(A2040="","",COUNTIF(Donasi!$B$2:$B$20000,A2040))</f>
        <v/>
      </c>
      <c r="D2040">
        <f>IF(A2040="","",SUMIF(Donasi!$B$2:$B$20000,A2040,Donasi!$C$2:$C$20000))</f>
        <v/>
      </c>
      <c r="E2040">
        <f>IF(A2040="","",6-CEILING(PERCENTRANK.INC($B$3:$B$6000,B2040,4)*5+0.000001,1))</f>
        <v/>
      </c>
      <c r="F2040">
        <f>IF(A2040="","",MAX(1,CEILING(PERCENTRANK.INC($C$3:$C$6000,C2040,4)*5+0.000001,1)))</f>
        <v/>
      </c>
      <c r="G2040">
        <f>IF(A2040="","",MAX(1,CEILING(PERCENTRANK.INC($D$3:$D$6000,D2040,4)*5+0.000001,1)))</f>
        <v/>
      </c>
      <c r="H2040">
        <f>IF(A2040="","",E2040&amp;F2040&amp;G2040)</f>
        <v/>
      </c>
      <c r="I2040">
        <f>IF(A2040="","",IF(AND(E2040&gt;=4,F2040&gt;=4,G2040&gt;=4),"Juara",IF(AND(F2040&gt;=4,E2040&gt;=3),"Setia",IF(AND(E2040=5,F2040&lt;=2,G2040&gt;=3),"Berpotensi",IF(AND(E2040&lt;=3,E2040&gt;=2,F2040&gt;=3),"Rawan",IF(AND(E2040&lt;=2,F2040&lt;=2),"Tidur","Umum"))))))</f>
        <v/>
      </c>
    </row>
    <row r="2041">
      <c r="B2041">
        <f>IF(A2041="","",$B$1-MAXIFS(Donasi!$A$2:$A$20000,Donasi!$B$2:$B$20000,A2041))</f>
        <v/>
      </c>
      <c r="C2041">
        <f>IF(A2041="","",COUNTIF(Donasi!$B$2:$B$20000,A2041))</f>
        <v/>
      </c>
      <c r="D2041">
        <f>IF(A2041="","",SUMIF(Donasi!$B$2:$B$20000,A2041,Donasi!$C$2:$C$20000))</f>
        <v/>
      </c>
      <c r="E2041">
        <f>IF(A2041="","",6-CEILING(PERCENTRANK.INC($B$3:$B$6000,B2041,4)*5+0.000001,1))</f>
        <v/>
      </c>
      <c r="F2041">
        <f>IF(A2041="","",MAX(1,CEILING(PERCENTRANK.INC($C$3:$C$6000,C2041,4)*5+0.000001,1)))</f>
        <v/>
      </c>
      <c r="G2041">
        <f>IF(A2041="","",MAX(1,CEILING(PERCENTRANK.INC($D$3:$D$6000,D2041,4)*5+0.000001,1)))</f>
        <v/>
      </c>
      <c r="H2041">
        <f>IF(A2041="","",E2041&amp;F2041&amp;G2041)</f>
        <v/>
      </c>
      <c r="I2041">
        <f>IF(A2041="","",IF(AND(E2041&gt;=4,F2041&gt;=4,G2041&gt;=4),"Juara",IF(AND(F2041&gt;=4,E2041&gt;=3),"Setia",IF(AND(E2041=5,F2041&lt;=2,G2041&gt;=3),"Berpotensi",IF(AND(E2041&lt;=3,E2041&gt;=2,F2041&gt;=3),"Rawan",IF(AND(E2041&lt;=2,F2041&lt;=2),"Tidur","Umum"))))))</f>
        <v/>
      </c>
    </row>
    <row r="2042">
      <c r="B2042">
        <f>IF(A2042="","",$B$1-MAXIFS(Donasi!$A$2:$A$20000,Donasi!$B$2:$B$20000,A2042))</f>
        <v/>
      </c>
      <c r="C2042">
        <f>IF(A2042="","",COUNTIF(Donasi!$B$2:$B$20000,A2042))</f>
        <v/>
      </c>
      <c r="D2042">
        <f>IF(A2042="","",SUMIF(Donasi!$B$2:$B$20000,A2042,Donasi!$C$2:$C$20000))</f>
        <v/>
      </c>
      <c r="E2042">
        <f>IF(A2042="","",6-CEILING(PERCENTRANK.INC($B$3:$B$6000,B2042,4)*5+0.000001,1))</f>
        <v/>
      </c>
      <c r="F2042">
        <f>IF(A2042="","",MAX(1,CEILING(PERCENTRANK.INC($C$3:$C$6000,C2042,4)*5+0.000001,1)))</f>
        <v/>
      </c>
      <c r="G2042">
        <f>IF(A2042="","",MAX(1,CEILING(PERCENTRANK.INC($D$3:$D$6000,D2042,4)*5+0.000001,1)))</f>
        <v/>
      </c>
      <c r="H2042">
        <f>IF(A2042="","",E2042&amp;F2042&amp;G2042)</f>
        <v/>
      </c>
      <c r="I2042">
        <f>IF(A2042="","",IF(AND(E2042&gt;=4,F2042&gt;=4,G2042&gt;=4),"Juara",IF(AND(F2042&gt;=4,E2042&gt;=3),"Setia",IF(AND(E2042=5,F2042&lt;=2,G2042&gt;=3),"Berpotensi",IF(AND(E2042&lt;=3,E2042&gt;=2,F2042&gt;=3),"Rawan",IF(AND(E2042&lt;=2,F2042&lt;=2),"Tidur","Umum"))))))</f>
        <v/>
      </c>
    </row>
    <row r="2043">
      <c r="B2043">
        <f>IF(A2043="","",$B$1-MAXIFS(Donasi!$A$2:$A$20000,Donasi!$B$2:$B$20000,A2043))</f>
        <v/>
      </c>
      <c r="C2043">
        <f>IF(A2043="","",COUNTIF(Donasi!$B$2:$B$20000,A2043))</f>
        <v/>
      </c>
      <c r="D2043">
        <f>IF(A2043="","",SUMIF(Donasi!$B$2:$B$20000,A2043,Donasi!$C$2:$C$20000))</f>
        <v/>
      </c>
      <c r="E2043">
        <f>IF(A2043="","",6-CEILING(PERCENTRANK.INC($B$3:$B$6000,B2043,4)*5+0.000001,1))</f>
        <v/>
      </c>
      <c r="F2043">
        <f>IF(A2043="","",MAX(1,CEILING(PERCENTRANK.INC($C$3:$C$6000,C2043,4)*5+0.000001,1)))</f>
        <v/>
      </c>
      <c r="G2043">
        <f>IF(A2043="","",MAX(1,CEILING(PERCENTRANK.INC($D$3:$D$6000,D2043,4)*5+0.000001,1)))</f>
        <v/>
      </c>
      <c r="H2043">
        <f>IF(A2043="","",E2043&amp;F2043&amp;G2043)</f>
        <v/>
      </c>
      <c r="I2043">
        <f>IF(A2043="","",IF(AND(E2043&gt;=4,F2043&gt;=4,G2043&gt;=4),"Juara",IF(AND(F2043&gt;=4,E2043&gt;=3),"Setia",IF(AND(E2043=5,F2043&lt;=2,G2043&gt;=3),"Berpotensi",IF(AND(E2043&lt;=3,E2043&gt;=2,F2043&gt;=3),"Rawan",IF(AND(E2043&lt;=2,F2043&lt;=2),"Tidur","Umum"))))))</f>
        <v/>
      </c>
    </row>
    <row r="2044">
      <c r="B2044">
        <f>IF(A2044="","",$B$1-MAXIFS(Donasi!$A$2:$A$20000,Donasi!$B$2:$B$20000,A2044))</f>
        <v/>
      </c>
      <c r="C2044">
        <f>IF(A2044="","",COUNTIF(Donasi!$B$2:$B$20000,A2044))</f>
        <v/>
      </c>
      <c r="D2044">
        <f>IF(A2044="","",SUMIF(Donasi!$B$2:$B$20000,A2044,Donasi!$C$2:$C$20000))</f>
        <v/>
      </c>
      <c r="E2044">
        <f>IF(A2044="","",6-CEILING(PERCENTRANK.INC($B$3:$B$6000,B2044,4)*5+0.000001,1))</f>
        <v/>
      </c>
      <c r="F2044">
        <f>IF(A2044="","",MAX(1,CEILING(PERCENTRANK.INC($C$3:$C$6000,C2044,4)*5+0.000001,1)))</f>
        <v/>
      </c>
      <c r="G2044">
        <f>IF(A2044="","",MAX(1,CEILING(PERCENTRANK.INC($D$3:$D$6000,D2044,4)*5+0.000001,1)))</f>
        <v/>
      </c>
      <c r="H2044">
        <f>IF(A2044="","",E2044&amp;F2044&amp;G2044)</f>
        <v/>
      </c>
      <c r="I2044">
        <f>IF(A2044="","",IF(AND(E2044&gt;=4,F2044&gt;=4,G2044&gt;=4),"Juara",IF(AND(F2044&gt;=4,E2044&gt;=3),"Setia",IF(AND(E2044=5,F2044&lt;=2,G2044&gt;=3),"Berpotensi",IF(AND(E2044&lt;=3,E2044&gt;=2,F2044&gt;=3),"Rawan",IF(AND(E2044&lt;=2,F2044&lt;=2),"Tidur","Umum"))))))</f>
        <v/>
      </c>
    </row>
    <row r="2045">
      <c r="B2045">
        <f>IF(A2045="","",$B$1-MAXIFS(Donasi!$A$2:$A$20000,Donasi!$B$2:$B$20000,A2045))</f>
        <v/>
      </c>
      <c r="C2045">
        <f>IF(A2045="","",COUNTIF(Donasi!$B$2:$B$20000,A2045))</f>
        <v/>
      </c>
      <c r="D2045">
        <f>IF(A2045="","",SUMIF(Donasi!$B$2:$B$20000,A2045,Donasi!$C$2:$C$20000))</f>
        <v/>
      </c>
      <c r="E2045">
        <f>IF(A2045="","",6-CEILING(PERCENTRANK.INC($B$3:$B$6000,B2045,4)*5+0.000001,1))</f>
        <v/>
      </c>
      <c r="F2045">
        <f>IF(A2045="","",MAX(1,CEILING(PERCENTRANK.INC($C$3:$C$6000,C2045,4)*5+0.000001,1)))</f>
        <v/>
      </c>
      <c r="G2045">
        <f>IF(A2045="","",MAX(1,CEILING(PERCENTRANK.INC($D$3:$D$6000,D2045,4)*5+0.000001,1)))</f>
        <v/>
      </c>
      <c r="H2045">
        <f>IF(A2045="","",E2045&amp;F2045&amp;G2045)</f>
        <v/>
      </c>
      <c r="I2045">
        <f>IF(A2045="","",IF(AND(E2045&gt;=4,F2045&gt;=4,G2045&gt;=4),"Juara",IF(AND(F2045&gt;=4,E2045&gt;=3),"Setia",IF(AND(E2045=5,F2045&lt;=2,G2045&gt;=3),"Berpotensi",IF(AND(E2045&lt;=3,E2045&gt;=2,F2045&gt;=3),"Rawan",IF(AND(E2045&lt;=2,F2045&lt;=2),"Tidur","Umum"))))))</f>
        <v/>
      </c>
    </row>
    <row r="2046">
      <c r="B2046">
        <f>IF(A2046="","",$B$1-MAXIFS(Donasi!$A$2:$A$20000,Donasi!$B$2:$B$20000,A2046))</f>
        <v/>
      </c>
      <c r="C2046">
        <f>IF(A2046="","",COUNTIF(Donasi!$B$2:$B$20000,A2046))</f>
        <v/>
      </c>
      <c r="D2046">
        <f>IF(A2046="","",SUMIF(Donasi!$B$2:$B$20000,A2046,Donasi!$C$2:$C$20000))</f>
        <v/>
      </c>
      <c r="E2046">
        <f>IF(A2046="","",6-CEILING(PERCENTRANK.INC($B$3:$B$6000,B2046,4)*5+0.000001,1))</f>
        <v/>
      </c>
      <c r="F2046">
        <f>IF(A2046="","",MAX(1,CEILING(PERCENTRANK.INC($C$3:$C$6000,C2046,4)*5+0.000001,1)))</f>
        <v/>
      </c>
      <c r="G2046">
        <f>IF(A2046="","",MAX(1,CEILING(PERCENTRANK.INC($D$3:$D$6000,D2046,4)*5+0.000001,1)))</f>
        <v/>
      </c>
      <c r="H2046">
        <f>IF(A2046="","",E2046&amp;F2046&amp;G2046)</f>
        <v/>
      </c>
      <c r="I2046">
        <f>IF(A2046="","",IF(AND(E2046&gt;=4,F2046&gt;=4,G2046&gt;=4),"Juara",IF(AND(F2046&gt;=4,E2046&gt;=3),"Setia",IF(AND(E2046=5,F2046&lt;=2,G2046&gt;=3),"Berpotensi",IF(AND(E2046&lt;=3,E2046&gt;=2,F2046&gt;=3),"Rawan",IF(AND(E2046&lt;=2,F2046&lt;=2),"Tidur","Umum"))))))</f>
        <v/>
      </c>
    </row>
    <row r="2047">
      <c r="B2047">
        <f>IF(A2047="","",$B$1-MAXIFS(Donasi!$A$2:$A$20000,Donasi!$B$2:$B$20000,A2047))</f>
        <v/>
      </c>
      <c r="C2047">
        <f>IF(A2047="","",COUNTIF(Donasi!$B$2:$B$20000,A2047))</f>
        <v/>
      </c>
      <c r="D2047">
        <f>IF(A2047="","",SUMIF(Donasi!$B$2:$B$20000,A2047,Donasi!$C$2:$C$20000))</f>
        <v/>
      </c>
      <c r="E2047">
        <f>IF(A2047="","",6-CEILING(PERCENTRANK.INC($B$3:$B$6000,B2047,4)*5+0.000001,1))</f>
        <v/>
      </c>
      <c r="F2047">
        <f>IF(A2047="","",MAX(1,CEILING(PERCENTRANK.INC($C$3:$C$6000,C2047,4)*5+0.000001,1)))</f>
        <v/>
      </c>
      <c r="G2047">
        <f>IF(A2047="","",MAX(1,CEILING(PERCENTRANK.INC($D$3:$D$6000,D2047,4)*5+0.000001,1)))</f>
        <v/>
      </c>
      <c r="H2047">
        <f>IF(A2047="","",E2047&amp;F2047&amp;G2047)</f>
        <v/>
      </c>
      <c r="I2047">
        <f>IF(A2047="","",IF(AND(E2047&gt;=4,F2047&gt;=4,G2047&gt;=4),"Juara",IF(AND(F2047&gt;=4,E2047&gt;=3),"Setia",IF(AND(E2047=5,F2047&lt;=2,G2047&gt;=3),"Berpotensi",IF(AND(E2047&lt;=3,E2047&gt;=2,F2047&gt;=3),"Rawan",IF(AND(E2047&lt;=2,F2047&lt;=2),"Tidur","Umum"))))))</f>
        <v/>
      </c>
    </row>
    <row r="2048">
      <c r="B2048">
        <f>IF(A2048="","",$B$1-MAXIFS(Donasi!$A$2:$A$20000,Donasi!$B$2:$B$20000,A2048))</f>
        <v/>
      </c>
      <c r="C2048">
        <f>IF(A2048="","",COUNTIF(Donasi!$B$2:$B$20000,A2048))</f>
        <v/>
      </c>
      <c r="D2048">
        <f>IF(A2048="","",SUMIF(Donasi!$B$2:$B$20000,A2048,Donasi!$C$2:$C$20000))</f>
        <v/>
      </c>
      <c r="E2048">
        <f>IF(A2048="","",6-CEILING(PERCENTRANK.INC($B$3:$B$6000,B2048,4)*5+0.000001,1))</f>
        <v/>
      </c>
      <c r="F2048">
        <f>IF(A2048="","",MAX(1,CEILING(PERCENTRANK.INC($C$3:$C$6000,C2048,4)*5+0.000001,1)))</f>
        <v/>
      </c>
      <c r="G2048">
        <f>IF(A2048="","",MAX(1,CEILING(PERCENTRANK.INC($D$3:$D$6000,D2048,4)*5+0.000001,1)))</f>
        <v/>
      </c>
      <c r="H2048">
        <f>IF(A2048="","",E2048&amp;F2048&amp;G2048)</f>
        <v/>
      </c>
      <c r="I2048">
        <f>IF(A2048="","",IF(AND(E2048&gt;=4,F2048&gt;=4,G2048&gt;=4),"Juara",IF(AND(F2048&gt;=4,E2048&gt;=3),"Setia",IF(AND(E2048=5,F2048&lt;=2,G2048&gt;=3),"Berpotensi",IF(AND(E2048&lt;=3,E2048&gt;=2,F2048&gt;=3),"Rawan",IF(AND(E2048&lt;=2,F2048&lt;=2),"Tidur","Umum"))))))</f>
        <v/>
      </c>
    </row>
    <row r="2049">
      <c r="B2049">
        <f>IF(A2049="","",$B$1-MAXIFS(Donasi!$A$2:$A$20000,Donasi!$B$2:$B$20000,A2049))</f>
        <v/>
      </c>
      <c r="C2049">
        <f>IF(A2049="","",COUNTIF(Donasi!$B$2:$B$20000,A2049))</f>
        <v/>
      </c>
      <c r="D2049">
        <f>IF(A2049="","",SUMIF(Donasi!$B$2:$B$20000,A2049,Donasi!$C$2:$C$20000))</f>
        <v/>
      </c>
      <c r="E2049">
        <f>IF(A2049="","",6-CEILING(PERCENTRANK.INC($B$3:$B$6000,B2049,4)*5+0.000001,1))</f>
        <v/>
      </c>
      <c r="F2049">
        <f>IF(A2049="","",MAX(1,CEILING(PERCENTRANK.INC($C$3:$C$6000,C2049,4)*5+0.000001,1)))</f>
        <v/>
      </c>
      <c r="G2049">
        <f>IF(A2049="","",MAX(1,CEILING(PERCENTRANK.INC($D$3:$D$6000,D2049,4)*5+0.000001,1)))</f>
        <v/>
      </c>
      <c r="H2049">
        <f>IF(A2049="","",E2049&amp;F2049&amp;G2049)</f>
        <v/>
      </c>
      <c r="I2049">
        <f>IF(A2049="","",IF(AND(E2049&gt;=4,F2049&gt;=4,G2049&gt;=4),"Juara",IF(AND(F2049&gt;=4,E2049&gt;=3),"Setia",IF(AND(E2049=5,F2049&lt;=2,G2049&gt;=3),"Berpotensi",IF(AND(E2049&lt;=3,E2049&gt;=2,F2049&gt;=3),"Rawan",IF(AND(E2049&lt;=2,F2049&lt;=2),"Tidur","Umum"))))))</f>
        <v/>
      </c>
    </row>
    <row r="2050">
      <c r="B2050">
        <f>IF(A2050="","",$B$1-MAXIFS(Donasi!$A$2:$A$20000,Donasi!$B$2:$B$20000,A2050))</f>
        <v/>
      </c>
      <c r="C2050">
        <f>IF(A2050="","",COUNTIF(Donasi!$B$2:$B$20000,A2050))</f>
        <v/>
      </c>
      <c r="D2050">
        <f>IF(A2050="","",SUMIF(Donasi!$B$2:$B$20000,A2050,Donasi!$C$2:$C$20000))</f>
        <v/>
      </c>
      <c r="E2050">
        <f>IF(A2050="","",6-CEILING(PERCENTRANK.INC($B$3:$B$6000,B2050,4)*5+0.000001,1))</f>
        <v/>
      </c>
      <c r="F2050">
        <f>IF(A2050="","",MAX(1,CEILING(PERCENTRANK.INC($C$3:$C$6000,C2050,4)*5+0.000001,1)))</f>
        <v/>
      </c>
      <c r="G2050">
        <f>IF(A2050="","",MAX(1,CEILING(PERCENTRANK.INC($D$3:$D$6000,D2050,4)*5+0.000001,1)))</f>
        <v/>
      </c>
      <c r="H2050">
        <f>IF(A2050="","",E2050&amp;F2050&amp;G2050)</f>
        <v/>
      </c>
      <c r="I2050">
        <f>IF(A2050="","",IF(AND(E2050&gt;=4,F2050&gt;=4,G2050&gt;=4),"Juara",IF(AND(F2050&gt;=4,E2050&gt;=3),"Setia",IF(AND(E2050=5,F2050&lt;=2,G2050&gt;=3),"Berpotensi",IF(AND(E2050&lt;=3,E2050&gt;=2,F2050&gt;=3),"Rawan",IF(AND(E2050&lt;=2,F2050&lt;=2),"Tidur","Umum"))))))</f>
        <v/>
      </c>
    </row>
    <row r="2051">
      <c r="B2051">
        <f>IF(A2051="","",$B$1-MAXIFS(Donasi!$A$2:$A$20000,Donasi!$B$2:$B$20000,A2051))</f>
        <v/>
      </c>
      <c r="C2051">
        <f>IF(A2051="","",COUNTIF(Donasi!$B$2:$B$20000,A2051))</f>
        <v/>
      </c>
      <c r="D2051">
        <f>IF(A2051="","",SUMIF(Donasi!$B$2:$B$20000,A2051,Donasi!$C$2:$C$20000))</f>
        <v/>
      </c>
      <c r="E2051">
        <f>IF(A2051="","",6-CEILING(PERCENTRANK.INC($B$3:$B$6000,B2051,4)*5+0.000001,1))</f>
        <v/>
      </c>
      <c r="F2051">
        <f>IF(A2051="","",MAX(1,CEILING(PERCENTRANK.INC($C$3:$C$6000,C2051,4)*5+0.000001,1)))</f>
        <v/>
      </c>
      <c r="G2051">
        <f>IF(A2051="","",MAX(1,CEILING(PERCENTRANK.INC($D$3:$D$6000,D2051,4)*5+0.000001,1)))</f>
        <v/>
      </c>
      <c r="H2051">
        <f>IF(A2051="","",E2051&amp;F2051&amp;G2051)</f>
        <v/>
      </c>
      <c r="I2051">
        <f>IF(A2051="","",IF(AND(E2051&gt;=4,F2051&gt;=4,G2051&gt;=4),"Juara",IF(AND(F2051&gt;=4,E2051&gt;=3),"Setia",IF(AND(E2051=5,F2051&lt;=2,G2051&gt;=3),"Berpotensi",IF(AND(E2051&lt;=3,E2051&gt;=2,F2051&gt;=3),"Rawan",IF(AND(E2051&lt;=2,F2051&lt;=2),"Tidur","Umum"))))))</f>
        <v/>
      </c>
    </row>
    <row r="2052">
      <c r="B2052">
        <f>IF(A2052="","",$B$1-MAXIFS(Donasi!$A$2:$A$20000,Donasi!$B$2:$B$20000,A2052))</f>
        <v/>
      </c>
      <c r="C2052">
        <f>IF(A2052="","",COUNTIF(Donasi!$B$2:$B$20000,A2052))</f>
        <v/>
      </c>
      <c r="D2052">
        <f>IF(A2052="","",SUMIF(Donasi!$B$2:$B$20000,A2052,Donasi!$C$2:$C$20000))</f>
        <v/>
      </c>
      <c r="E2052">
        <f>IF(A2052="","",6-CEILING(PERCENTRANK.INC($B$3:$B$6000,B2052,4)*5+0.000001,1))</f>
        <v/>
      </c>
      <c r="F2052">
        <f>IF(A2052="","",MAX(1,CEILING(PERCENTRANK.INC($C$3:$C$6000,C2052,4)*5+0.000001,1)))</f>
        <v/>
      </c>
      <c r="G2052">
        <f>IF(A2052="","",MAX(1,CEILING(PERCENTRANK.INC($D$3:$D$6000,D2052,4)*5+0.000001,1)))</f>
        <v/>
      </c>
      <c r="H2052">
        <f>IF(A2052="","",E2052&amp;F2052&amp;G2052)</f>
        <v/>
      </c>
      <c r="I2052">
        <f>IF(A2052="","",IF(AND(E2052&gt;=4,F2052&gt;=4,G2052&gt;=4),"Juara",IF(AND(F2052&gt;=4,E2052&gt;=3),"Setia",IF(AND(E2052=5,F2052&lt;=2,G2052&gt;=3),"Berpotensi",IF(AND(E2052&lt;=3,E2052&gt;=2,F2052&gt;=3),"Rawan",IF(AND(E2052&lt;=2,F2052&lt;=2),"Tidur","Umum"))))))</f>
        <v/>
      </c>
    </row>
    <row r="2053">
      <c r="B2053">
        <f>IF(A2053="","",$B$1-MAXIFS(Donasi!$A$2:$A$20000,Donasi!$B$2:$B$20000,A2053))</f>
        <v/>
      </c>
      <c r="C2053">
        <f>IF(A2053="","",COUNTIF(Donasi!$B$2:$B$20000,A2053))</f>
        <v/>
      </c>
      <c r="D2053">
        <f>IF(A2053="","",SUMIF(Donasi!$B$2:$B$20000,A2053,Donasi!$C$2:$C$20000))</f>
        <v/>
      </c>
      <c r="E2053">
        <f>IF(A2053="","",6-CEILING(PERCENTRANK.INC($B$3:$B$6000,B2053,4)*5+0.000001,1))</f>
        <v/>
      </c>
      <c r="F2053">
        <f>IF(A2053="","",MAX(1,CEILING(PERCENTRANK.INC($C$3:$C$6000,C2053,4)*5+0.000001,1)))</f>
        <v/>
      </c>
      <c r="G2053">
        <f>IF(A2053="","",MAX(1,CEILING(PERCENTRANK.INC($D$3:$D$6000,D2053,4)*5+0.000001,1)))</f>
        <v/>
      </c>
      <c r="H2053">
        <f>IF(A2053="","",E2053&amp;F2053&amp;G2053)</f>
        <v/>
      </c>
      <c r="I2053">
        <f>IF(A2053="","",IF(AND(E2053&gt;=4,F2053&gt;=4,G2053&gt;=4),"Juara",IF(AND(F2053&gt;=4,E2053&gt;=3),"Setia",IF(AND(E2053=5,F2053&lt;=2,G2053&gt;=3),"Berpotensi",IF(AND(E2053&lt;=3,E2053&gt;=2,F2053&gt;=3),"Rawan",IF(AND(E2053&lt;=2,F2053&lt;=2),"Tidur","Umum"))))))</f>
        <v/>
      </c>
    </row>
    <row r="2054">
      <c r="B2054">
        <f>IF(A2054="","",$B$1-MAXIFS(Donasi!$A$2:$A$20000,Donasi!$B$2:$B$20000,A2054))</f>
        <v/>
      </c>
      <c r="C2054">
        <f>IF(A2054="","",COUNTIF(Donasi!$B$2:$B$20000,A2054))</f>
        <v/>
      </c>
      <c r="D2054">
        <f>IF(A2054="","",SUMIF(Donasi!$B$2:$B$20000,A2054,Donasi!$C$2:$C$20000))</f>
        <v/>
      </c>
      <c r="E2054">
        <f>IF(A2054="","",6-CEILING(PERCENTRANK.INC($B$3:$B$6000,B2054,4)*5+0.000001,1))</f>
        <v/>
      </c>
      <c r="F2054">
        <f>IF(A2054="","",MAX(1,CEILING(PERCENTRANK.INC($C$3:$C$6000,C2054,4)*5+0.000001,1)))</f>
        <v/>
      </c>
      <c r="G2054">
        <f>IF(A2054="","",MAX(1,CEILING(PERCENTRANK.INC($D$3:$D$6000,D2054,4)*5+0.000001,1)))</f>
        <v/>
      </c>
      <c r="H2054">
        <f>IF(A2054="","",E2054&amp;F2054&amp;G2054)</f>
        <v/>
      </c>
      <c r="I2054">
        <f>IF(A2054="","",IF(AND(E2054&gt;=4,F2054&gt;=4,G2054&gt;=4),"Juara",IF(AND(F2054&gt;=4,E2054&gt;=3),"Setia",IF(AND(E2054=5,F2054&lt;=2,G2054&gt;=3),"Berpotensi",IF(AND(E2054&lt;=3,E2054&gt;=2,F2054&gt;=3),"Rawan",IF(AND(E2054&lt;=2,F2054&lt;=2),"Tidur","Umum"))))))</f>
        <v/>
      </c>
    </row>
    <row r="2055">
      <c r="B2055">
        <f>IF(A2055="","",$B$1-MAXIFS(Donasi!$A$2:$A$20000,Donasi!$B$2:$B$20000,A2055))</f>
        <v/>
      </c>
      <c r="C2055">
        <f>IF(A2055="","",COUNTIF(Donasi!$B$2:$B$20000,A2055))</f>
        <v/>
      </c>
      <c r="D2055">
        <f>IF(A2055="","",SUMIF(Donasi!$B$2:$B$20000,A2055,Donasi!$C$2:$C$20000))</f>
        <v/>
      </c>
      <c r="E2055">
        <f>IF(A2055="","",6-CEILING(PERCENTRANK.INC($B$3:$B$6000,B2055,4)*5+0.000001,1))</f>
        <v/>
      </c>
      <c r="F2055">
        <f>IF(A2055="","",MAX(1,CEILING(PERCENTRANK.INC($C$3:$C$6000,C2055,4)*5+0.000001,1)))</f>
        <v/>
      </c>
      <c r="G2055">
        <f>IF(A2055="","",MAX(1,CEILING(PERCENTRANK.INC($D$3:$D$6000,D2055,4)*5+0.000001,1)))</f>
        <v/>
      </c>
      <c r="H2055">
        <f>IF(A2055="","",E2055&amp;F2055&amp;G2055)</f>
        <v/>
      </c>
      <c r="I2055">
        <f>IF(A2055="","",IF(AND(E2055&gt;=4,F2055&gt;=4,G2055&gt;=4),"Juara",IF(AND(F2055&gt;=4,E2055&gt;=3),"Setia",IF(AND(E2055=5,F2055&lt;=2,G2055&gt;=3),"Berpotensi",IF(AND(E2055&lt;=3,E2055&gt;=2,F2055&gt;=3),"Rawan",IF(AND(E2055&lt;=2,F2055&lt;=2),"Tidur","Umum"))))))</f>
        <v/>
      </c>
    </row>
    <row r="2056">
      <c r="B2056">
        <f>IF(A2056="","",$B$1-MAXIFS(Donasi!$A$2:$A$20000,Donasi!$B$2:$B$20000,A2056))</f>
        <v/>
      </c>
      <c r="C2056">
        <f>IF(A2056="","",COUNTIF(Donasi!$B$2:$B$20000,A2056))</f>
        <v/>
      </c>
      <c r="D2056">
        <f>IF(A2056="","",SUMIF(Donasi!$B$2:$B$20000,A2056,Donasi!$C$2:$C$20000))</f>
        <v/>
      </c>
      <c r="E2056">
        <f>IF(A2056="","",6-CEILING(PERCENTRANK.INC($B$3:$B$6000,B2056,4)*5+0.000001,1))</f>
        <v/>
      </c>
      <c r="F2056">
        <f>IF(A2056="","",MAX(1,CEILING(PERCENTRANK.INC($C$3:$C$6000,C2056,4)*5+0.000001,1)))</f>
        <v/>
      </c>
      <c r="G2056">
        <f>IF(A2056="","",MAX(1,CEILING(PERCENTRANK.INC($D$3:$D$6000,D2056,4)*5+0.000001,1)))</f>
        <v/>
      </c>
      <c r="H2056">
        <f>IF(A2056="","",E2056&amp;F2056&amp;G2056)</f>
        <v/>
      </c>
      <c r="I2056">
        <f>IF(A2056="","",IF(AND(E2056&gt;=4,F2056&gt;=4,G2056&gt;=4),"Juara",IF(AND(F2056&gt;=4,E2056&gt;=3),"Setia",IF(AND(E2056=5,F2056&lt;=2,G2056&gt;=3),"Berpotensi",IF(AND(E2056&lt;=3,E2056&gt;=2,F2056&gt;=3),"Rawan",IF(AND(E2056&lt;=2,F2056&lt;=2),"Tidur","Umum"))))))</f>
        <v/>
      </c>
    </row>
    <row r="2057">
      <c r="B2057">
        <f>IF(A2057="","",$B$1-MAXIFS(Donasi!$A$2:$A$20000,Donasi!$B$2:$B$20000,A2057))</f>
        <v/>
      </c>
      <c r="C2057">
        <f>IF(A2057="","",COUNTIF(Donasi!$B$2:$B$20000,A2057))</f>
        <v/>
      </c>
      <c r="D2057">
        <f>IF(A2057="","",SUMIF(Donasi!$B$2:$B$20000,A2057,Donasi!$C$2:$C$20000))</f>
        <v/>
      </c>
      <c r="E2057">
        <f>IF(A2057="","",6-CEILING(PERCENTRANK.INC($B$3:$B$6000,B2057,4)*5+0.000001,1))</f>
        <v/>
      </c>
      <c r="F2057">
        <f>IF(A2057="","",MAX(1,CEILING(PERCENTRANK.INC($C$3:$C$6000,C2057,4)*5+0.000001,1)))</f>
        <v/>
      </c>
      <c r="G2057">
        <f>IF(A2057="","",MAX(1,CEILING(PERCENTRANK.INC($D$3:$D$6000,D2057,4)*5+0.000001,1)))</f>
        <v/>
      </c>
      <c r="H2057">
        <f>IF(A2057="","",E2057&amp;F2057&amp;G2057)</f>
        <v/>
      </c>
      <c r="I2057">
        <f>IF(A2057="","",IF(AND(E2057&gt;=4,F2057&gt;=4,G2057&gt;=4),"Juara",IF(AND(F2057&gt;=4,E2057&gt;=3),"Setia",IF(AND(E2057=5,F2057&lt;=2,G2057&gt;=3),"Berpotensi",IF(AND(E2057&lt;=3,E2057&gt;=2,F2057&gt;=3),"Rawan",IF(AND(E2057&lt;=2,F2057&lt;=2),"Tidur","Umum"))))))</f>
        <v/>
      </c>
    </row>
    <row r="2058">
      <c r="B2058">
        <f>IF(A2058="","",$B$1-MAXIFS(Donasi!$A$2:$A$20000,Donasi!$B$2:$B$20000,A2058))</f>
        <v/>
      </c>
      <c r="C2058">
        <f>IF(A2058="","",COUNTIF(Donasi!$B$2:$B$20000,A2058))</f>
        <v/>
      </c>
      <c r="D2058">
        <f>IF(A2058="","",SUMIF(Donasi!$B$2:$B$20000,A2058,Donasi!$C$2:$C$20000))</f>
        <v/>
      </c>
      <c r="E2058">
        <f>IF(A2058="","",6-CEILING(PERCENTRANK.INC($B$3:$B$6000,B2058,4)*5+0.000001,1))</f>
        <v/>
      </c>
      <c r="F2058">
        <f>IF(A2058="","",MAX(1,CEILING(PERCENTRANK.INC($C$3:$C$6000,C2058,4)*5+0.000001,1)))</f>
        <v/>
      </c>
      <c r="G2058">
        <f>IF(A2058="","",MAX(1,CEILING(PERCENTRANK.INC($D$3:$D$6000,D2058,4)*5+0.000001,1)))</f>
        <v/>
      </c>
      <c r="H2058">
        <f>IF(A2058="","",E2058&amp;F2058&amp;G2058)</f>
        <v/>
      </c>
      <c r="I2058">
        <f>IF(A2058="","",IF(AND(E2058&gt;=4,F2058&gt;=4,G2058&gt;=4),"Juara",IF(AND(F2058&gt;=4,E2058&gt;=3),"Setia",IF(AND(E2058=5,F2058&lt;=2,G2058&gt;=3),"Berpotensi",IF(AND(E2058&lt;=3,E2058&gt;=2,F2058&gt;=3),"Rawan",IF(AND(E2058&lt;=2,F2058&lt;=2),"Tidur","Umum"))))))</f>
        <v/>
      </c>
    </row>
    <row r="2059">
      <c r="B2059">
        <f>IF(A2059="","",$B$1-MAXIFS(Donasi!$A$2:$A$20000,Donasi!$B$2:$B$20000,A2059))</f>
        <v/>
      </c>
      <c r="C2059">
        <f>IF(A2059="","",COUNTIF(Donasi!$B$2:$B$20000,A2059))</f>
        <v/>
      </c>
      <c r="D2059">
        <f>IF(A2059="","",SUMIF(Donasi!$B$2:$B$20000,A2059,Donasi!$C$2:$C$20000))</f>
        <v/>
      </c>
      <c r="E2059">
        <f>IF(A2059="","",6-CEILING(PERCENTRANK.INC($B$3:$B$6000,B2059,4)*5+0.000001,1))</f>
        <v/>
      </c>
      <c r="F2059">
        <f>IF(A2059="","",MAX(1,CEILING(PERCENTRANK.INC($C$3:$C$6000,C2059,4)*5+0.000001,1)))</f>
        <v/>
      </c>
      <c r="G2059">
        <f>IF(A2059="","",MAX(1,CEILING(PERCENTRANK.INC($D$3:$D$6000,D2059,4)*5+0.000001,1)))</f>
        <v/>
      </c>
      <c r="H2059">
        <f>IF(A2059="","",E2059&amp;F2059&amp;G2059)</f>
        <v/>
      </c>
      <c r="I2059">
        <f>IF(A2059="","",IF(AND(E2059&gt;=4,F2059&gt;=4,G2059&gt;=4),"Juara",IF(AND(F2059&gt;=4,E2059&gt;=3),"Setia",IF(AND(E2059=5,F2059&lt;=2,G2059&gt;=3),"Berpotensi",IF(AND(E2059&lt;=3,E2059&gt;=2,F2059&gt;=3),"Rawan",IF(AND(E2059&lt;=2,F2059&lt;=2),"Tidur","Umum"))))))</f>
        <v/>
      </c>
    </row>
    <row r="2060">
      <c r="B2060">
        <f>IF(A2060="","",$B$1-MAXIFS(Donasi!$A$2:$A$20000,Donasi!$B$2:$B$20000,A2060))</f>
        <v/>
      </c>
      <c r="C2060">
        <f>IF(A2060="","",COUNTIF(Donasi!$B$2:$B$20000,A2060))</f>
        <v/>
      </c>
      <c r="D2060">
        <f>IF(A2060="","",SUMIF(Donasi!$B$2:$B$20000,A2060,Donasi!$C$2:$C$20000))</f>
        <v/>
      </c>
      <c r="E2060">
        <f>IF(A2060="","",6-CEILING(PERCENTRANK.INC($B$3:$B$6000,B2060,4)*5+0.000001,1))</f>
        <v/>
      </c>
      <c r="F2060">
        <f>IF(A2060="","",MAX(1,CEILING(PERCENTRANK.INC($C$3:$C$6000,C2060,4)*5+0.000001,1)))</f>
        <v/>
      </c>
      <c r="G2060">
        <f>IF(A2060="","",MAX(1,CEILING(PERCENTRANK.INC($D$3:$D$6000,D2060,4)*5+0.000001,1)))</f>
        <v/>
      </c>
      <c r="H2060">
        <f>IF(A2060="","",E2060&amp;F2060&amp;G2060)</f>
        <v/>
      </c>
      <c r="I2060">
        <f>IF(A2060="","",IF(AND(E2060&gt;=4,F2060&gt;=4,G2060&gt;=4),"Juara",IF(AND(F2060&gt;=4,E2060&gt;=3),"Setia",IF(AND(E2060=5,F2060&lt;=2,G2060&gt;=3),"Berpotensi",IF(AND(E2060&lt;=3,E2060&gt;=2,F2060&gt;=3),"Rawan",IF(AND(E2060&lt;=2,F2060&lt;=2),"Tidur","Umum"))))))</f>
        <v/>
      </c>
    </row>
    <row r="2061">
      <c r="B2061">
        <f>IF(A2061="","",$B$1-MAXIFS(Donasi!$A$2:$A$20000,Donasi!$B$2:$B$20000,A2061))</f>
        <v/>
      </c>
      <c r="C2061">
        <f>IF(A2061="","",COUNTIF(Donasi!$B$2:$B$20000,A2061))</f>
        <v/>
      </c>
      <c r="D2061">
        <f>IF(A2061="","",SUMIF(Donasi!$B$2:$B$20000,A2061,Donasi!$C$2:$C$20000))</f>
        <v/>
      </c>
      <c r="E2061">
        <f>IF(A2061="","",6-CEILING(PERCENTRANK.INC($B$3:$B$6000,B2061,4)*5+0.000001,1))</f>
        <v/>
      </c>
      <c r="F2061">
        <f>IF(A2061="","",MAX(1,CEILING(PERCENTRANK.INC($C$3:$C$6000,C2061,4)*5+0.000001,1)))</f>
        <v/>
      </c>
      <c r="G2061">
        <f>IF(A2061="","",MAX(1,CEILING(PERCENTRANK.INC($D$3:$D$6000,D2061,4)*5+0.000001,1)))</f>
        <v/>
      </c>
      <c r="H2061">
        <f>IF(A2061="","",E2061&amp;F2061&amp;G2061)</f>
        <v/>
      </c>
      <c r="I2061">
        <f>IF(A2061="","",IF(AND(E2061&gt;=4,F2061&gt;=4,G2061&gt;=4),"Juara",IF(AND(F2061&gt;=4,E2061&gt;=3),"Setia",IF(AND(E2061=5,F2061&lt;=2,G2061&gt;=3),"Berpotensi",IF(AND(E2061&lt;=3,E2061&gt;=2,F2061&gt;=3),"Rawan",IF(AND(E2061&lt;=2,F2061&lt;=2),"Tidur","Umum"))))))</f>
        <v/>
      </c>
    </row>
    <row r="2062">
      <c r="B2062">
        <f>IF(A2062="","",$B$1-MAXIFS(Donasi!$A$2:$A$20000,Donasi!$B$2:$B$20000,A2062))</f>
        <v/>
      </c>
      <c r="C2062">
        <f>IF(A2062="","",COUNTIF(Donasi!$B$2:$B$20000,A2062))</f>
        <v/>
      </c>
      <c r="D2062">
        <f>IF(A2062="","",SUMIF(Donasi!$B$2:$B$20000,A2062,Donasi!$C$2:$C$20000))</f>
        <v/>
      </c>
      <c r="E2062">
        <f>IF(A2062="","",6-CEILING(PERCENTRANK.INC($B$3:$B$6000,B2062,4)*5+0.000001,1))</f>
        <v/>
      </c>
      <c r="F2062">
        <f>IF(A2062="","",MAX(1,CEILING(PERCENTRANK.INC($C$3:$C$6000,C2062,4)*5+0.000001,1)))</f>
        <v/>
      </c>
      <c r="G2062">
        <f>IF(A2062="","",MAX(1,CEILING(PERCENTRANK.INC($D$3:$D$6000,D2062,4)*5+0.000001,1)))</f>
        <v/>
      </c>
      <c r="H2062">
        <f>IF(A2062="","",E2062&amp;F2062&amp;G2062)</f>
        <v/>
      </c>
      <c r="I2062">
        <f>IF(A2062="","",IF(AND(E2062&gt;=4,F2062&gt;=4,G2062&gt;=4),"Juara",IF(AND(F2062&gt;=4,E2062&gt;=3),"Setia",IF(AND(E2062=5,F2062&lt;=2,G2062&gt;=3),"Berpotensi",IF(AND(E2062&lt;=3,E2062&gt;=2,F2062&gt;=3),"Rawan",IF(AND(E2062&lt;=2,F2062&lt;=2),"Tidur","Umum"))))))</f>
        <v/>
      </c>
    </row>
    <row r="2063">
      <c r="B2063">
        <f>IF(A2063="","",$B$1-MAXIFS(Donasi!$A$2:$A$20000,Donasi!$B$2:$B$20000,A2063))</f>
        <v/>
      </c>
      <c r="C2063">
        <f>IF(A2063="","",COUNTIF(Donasi!$B$2:$B$20000,A2063))</f>
        <v/>
      </c>
      <c r="D2063">
        <f>IF(A2063="","",SUMIF(Donasi!$B$2:$B$20000,A2063,Donasi!$C$2:$C$20000))</f>
        <v/>
      </c>
      <c r="E2063">
        <f>IF(A2063="","",6-CEILING(PERCENTRANK.INC($B$3:$B$6000,B2063,4)*5+0.000001,1))</f>
        <v/>
      </c>
      <c r="F2063">
        <f>IF(A2063="","",MAX(1,CEILING(PERCENTRANK.INC($C$3:$C$6000,C2063,4)*5+0.000001,1)))</f>
        <v/>
      </c>
      <c r="G2063">
        <f>IF(A2063="","",MAX(1,CEILING(PERCENTRANK.INC($D$3:$D$6000,D2063,4)*5+0.000001,1)))</f>
        <v/>
      </c>
      <c r="H2063">
        <f>IF(A2063="","",E2063&amp;F2063&amp;G2063)</f>
        <v/>
      </c>
      <c r="I2063">
        <f>IF(A2063="","",IF(AND(E2063&gt;=4,F2063&gt;=4,G2063&gt;=4),"Juara",IF(AND(F2063&gt;=4,E2063&gt;=3),"Setia",IF(AND(E2063=5,F2063&lt;=2,G2063&gt;=3),"Berpotensi",IF(AND(E2063&lt;=3,E2063&gt;=2,F2063&gt;=3),"Rawan",IF(AND(E2063&lt;=2,F2063&lt;=2),"Tidur","Umum"))))))</f>
        <v/>
      </c>
    </row>
    <row r="2064">
      <c r="B2064">
        <f>IF(A2064="","",$B$1-MAXIFS(Donasi!$A$2:$A$20000,Donasi!$B$2:$B$20000,A2064))</f>
        <v/>
      </c>
      <c r="C2064">
        <f>IF(A2064="","",COUNTIF(Donasi!$B$2:$B$20000,A2064))</f>
        <v/>
      </c>
      <c r="D2064">
        <f>IF(A2064="","",SUMIF(Donasi!$B$2:$B$20000,A2064,Donasi!$C$2:$C$20000))</f>
        <v/>
      </c>
      <c r="E2064">
        <f>IF(A2064="","",6-CEILING(PERCENTRANK.INC($B$3:$B$6000,B2064,4)*5+0.000001,1))</f>
        <v/>
      </c>
      <c r="F2064">
        <f>IF(A2064="","",MAX(1,CEILING(PERCENTRANK.INC($C$3:$C$6000,C2064,4)*5+0.000001,1)))</f>
        <v/>
      </c>
      <c r="G2064">
        <f>IF(A2064="","",MAX(1,CEILING(PERCENTRANK.INC($D$3:$D$6000,D2064,4)*5+0.000001,1)))</f>
        <v/>
      </c>
      <c r="H2064">
        <f>IF(A2064="","",E2064&amp;F2064&amp;G2064)</f>
        <v/>
      </c>
      <c r="I2064">
        <f>IF(A2064="","",IF(AND(E2064&gt;=4,F2064&gt;=4,G2064&gt;=4),"Juara",IF(AND(F2064&gt;=4,E2064&gt;=3),"Setia",IF(AND(E2064=5,F2064&lt;=2,G2064&gt;=3),"Berpotensi",IF(AND(E2064&lt;=3,E2064&gt;=2,F2064&gt;=3),"Rawan",IF(AND(E2064&lt;=2,F2064&lt;=2),"Tidur","Umum"))))))</f>
        <v/>
      </c>
    </row>
    <row r="2065">
      <c r="B2065">
        <f>IF(A2065="","",$B$1-MAXIFS(Donasi!$A$2:$A$20000,Donasi!$B$2:$B$20000,A2065))</f>
        <v/>
      </c>
      <c r="C2065">
        <f>IF(A2065="","",COUNTIF(Donasi!$B$2:$B$20000,A2065))</f>
        <v/>
      </c>
      <c r="D2065">
        <f>IF(A2065="","",SUMIF(Donasi!$B$2:$B$20000,A2065,Donasi!$C$2:$C$20000))</f>
        <v/>
      </c>
      <c r="E2065">
        <f>IF(A2065="","",6-CEILING(PERCENTRANK.INC($B$3:$B$6000,B2065,4)*5+0.000001,1))</f>
        <v/>
      </c>
      <c r="F2065">
        <f>IF(A2065="","",MAX(1,CEILING(PERCENTRANK.INC($C$3:$C$6000,C2065,4)*5+0.000001,1)))</f>
        <v/>
      </c>
      <c r="G2065">
        <f>IF(A2065="","",MAX(1,CEILING(PERCENTRANK.INC($D$3:$D$6000,D2065,4)*5+0.000001,1)))</f>
        <v/>
      </c>
      <c r="H2065">
        <f>IF(A2065="","",E2065&amp;F2065&amp;G2065)</f>
        <v/>
      </c>
      <c r="I2065">
        <f>IF(A2065="","",IF(AND(E2065&gt;=4,F2065&gt;=4,G2065&gt;=4),"Juara",IF(AND(F2065&gt;=4,E2065&gt;=3),"Setia",IF(AND(E2065=5,F2065&lt;=2,G2065&gt;=3),"Berpotensi",IF(AND(E2065&lt;=3,E2065&gt;=2,F2065&gt;=3),"Rawan",IF(AND(E2065&lt;=2,F2065&lt;=2),"Tidur","Umum"))))))</f>
        <v/>
      </c>
    </row>
    <row r="2066">
      <c r="B2066">
        <f>IF(A2066="","",$B$1-MAXIFS(Donasi!$A$2:$A$20000,Donasi!$B$2:$B$20000,A2066))</f>
        <v/>
      </c>
      <c r="C2066">
        <f>IF(A2066="","",COUNTIF(Donasi!$B$2:$B$20000,A2066))</f>
        <v/>
      </c>
      <c r="D2066">
        <f>IF(A2066="","",SUMIF(Donasi!$B$2:$B$20000,A2066,Donasi!$C$2:$C$20000))</f>
        <v/>
      </c>
      <c r="E2066">
        <f>IF(A2066="","",6-CEILING(PERCENTRANK.INC($B$3:$B$6000,B2066,4)*5+0.000001,1))</f>
        <v/>
      </c>
      <c r="F2066">
        <f>IF(A2066="","",MAX(1,CEILING(PERCENTRANK.INC($C$3:$C$6000,C2066,4)*5+0.000001,1)))</f>
        <v/>
      </c>
      <c r="G2066">
        <f>IF(A2066="","",MAX(1,CEILING(PERCENTRANK.INC($D$3:$D$6000,D2066,4)*5+0.000001,1)))</f>
        <v/>
      </c>
      <c r="H2066">
        <f>IF(A2066="","",E2066&amp;F2066&amp;G2066)</f>
        <v/>
      </c>
      <c r="I2066">
        <f>IF(A2066="","",IF(AND(E2066&gt;=4,F2066&gt;=4,G2066&gt;=4),"Juara",IF(AND(F2066&gt;=4,E2066&gt;=3),"Setia",IF(AND(E2066=5,F2066&lt;=2,G2066&gt;=3),"Berpotensi",IF(AND(E2066&lt;=3,E2066&gt;=2,F2066&gt;=3),"Rawan",IF(AND(E2066&lt;=2,F2066&lt;=2),"Tidur","Umum"))))))</f>
        <v/>
      </c>
    </row>
    <row r="2067">
      <c r="B2067">
        <f>IF(A2067="","",$B$1-MAXIFS(Donasi!$A$2:$A$20000,Donasi!$B$2:$B$20000,A2067))</f>
        <v/>
      </c>
      <c r="C2067">
        <f>IF(A2067="","",COUNTIF(Donasi!$B$2:$B$20000,A2067))</f>
        <v/>
      </c>
      <c r="D2067">
        <f>IF(A2067="","",SUMIF(Donasi!$B$2:$B$20000,A2067,Donasi!$C$2:$C$20000))</f>
        <v/>
      </c>
      <c r="E2067">
        <f>IF(A2067="","",6-CEILING(PERCENTRANK.INC($B$3:$B$6000,B2067,4)*5+0.000001,1))</f>
        <v/>
      </c>
      <c r="F2067">
        <f>IF(A2067="","",MAX(1,CEILING(PERCENTRANK.INC($C$3:$C$6000,C2067,4)*5+0.000001,1)))</f>
        <v/>
      </c>
      <c r="G2067">
        <f>IF(A2067="","",MAX(1,CEILING(PERCENTRANK.INC($D$3:$D$6000,D2067,4)*5+0.000001,1)))</f>
        <v/>
      </c>
      <c r="H2067">
        <f>IF(A2067="","",E2067&amp;F2067&amp;G2067)</f>
        <v/>
      </c>
      <c r="I2067">
        <f>IF(A2067="","",IF(AND(E2067&gt;=4,F2067&gt;=4,G2067&gt;=4),"Juara",IF(AND(F2067&gt;=4,E2067&gt;=3),"Setia",IF(AND(E2067=5,F2067&lt;=2,G2067&gt;=3),"Berpotensi",IF(AND(E2067&lt;=3,E2067&gt;=2,F2067&gt;=3),"Rawan",IF(AND(E2067&lt;=2,F2067&lt;=2),"Tidur","Umum"))))))</f>
        <v/>
      </c>
    </row>
    <row r="2068">
      <c r="B2068">
        <f>IF(A2068="","",$B$1-MAXIFS(Donasi!$A$2:$A$20000,Donasi!$B$2:$B$20000,A2068))</f>
        <v/>
      </c>
      <c r="C2068">
        <f>IF(A2068="","",COUNTIF(Donasi!$B$2:$B$20000,A2068))</f>
        <v/>
      </c>
      <c r="D2068">
        <f>IF(A2068="","",SUMIF(Donasi!$B$2:$B$20000,A2068,Donasi!$C$2:$C$20000))</f>
        <v/>
      </c>
      <c r="E2068">
        <f>IF(A2068="","",6-CEILING(PERCENTRANK.INC($B$3:$B$6000,B2068,4)*5+0.000001,1))</f>
        <v/>
      </c>
      <c r="F2068">
        <f>IF(A2068="","",MAX(1,CEILING(PERCENTRANK.INC($C$3:$C$6000,C2068,4)*5+0.000001,1)))</f>
        <v/>
      </c>
      <c r="G2068">
        <f>IF(A2068="","",MAX(1,CEILING(PERCENTRANK.INC($D$3:$D$6000,D2068,4)*5+0.000001,1)))</f>
        <v/>
      </c>
      <c r="H2068">
        <f>IF(A2068="","",E2068&amp;F2068&amp;G2068)</f>
        <v/>
      </c>
      <c r="I2068">
        <f>IF(A2068="","",IF(AND(E2068&gt;=4,F2068&gt;=4,G2068&gt;=4),"Juara",IF(AND(F2068&gt;=4,E2068&gt;=3),"Setia",IF(AND(E2068=5,F2068&lt;=2,G2068&gt;=3),"Berpotensi",IF(AND(E2068&lt;=3,E2068&gt;=2,F2068&gt;=3),"Rawan",IF(AND(E2068&lt;=2,F2068&lt;=2),"Tidur","Umum"))))))</f>
        <v/>
      </c>
    </row>
    <row r="2069">
      <c r="B2069">
        <f>IF(A2069="","",$B$1-MAXIFS(Donasi!$A$2:$A$20000,Donasi!$B$2:$B$20000,A2069))</f>
        <v/>
      </c>
      <c r="C2069">
        <f>IF(A2069="","",COUNTIF(Donasi!$B$2:$B$20000,A2069))</f>
        <v/>
      </c>
      <c r="D2069">
        <f>IF(A2069="","",SUMIF(Donasi!$B$2:$B$20000,A2069,Donasi!$C$2:$C$20000))</f>
        <v/>
      </c>
      <c r="E2069">
        <f>IF(A2069="","",6-CEILING(PERCENTRANK.INC($B$3:$B$6000,B2069,4)*5+0.000001,1))</f>
        <v/>
      </c>
      <c r="F2069">
        <f>IF(A2069="","",MAX(1,CEILING(PERCENTRANK.INC($C$3:$C$6000,C2069,4)*5+0.000001,1)))</f>
        <v/>
      </c>
      <c r="G2069">
        <f>IF(A2069="","",MAX(1,CEILING(PERCENTRANK.INC($D$3:$D$6000,D2069,4)*5+0.000001,1)))</f>
        <v/>
      </c>
      <c r="H2069">
        <f>IF(A2069="","",E2069&amp;F2069&amp;G2069)</f>
        <v/>
      </c>
      <c r="I2069">
        <f>IF(A2069="","",IF(AND(E2069&gt;=4,F2069&gt;=4,G2069&gt;=4),"Juara",IF(AND(F2069&gt;=4,E2069&gt;=3),"Setia",IF(AND(E2069=5,F2069&lt;=2,G2069&gt;=3),"Berpotensi",IF(AND(E2069&lt;=3,E2069&gt;=2,F2069&gt;=3),"Rawan",IF(AND(E2069&lt;=2,F2069&lt;=2),"Tidur","Umum"))))))</f>
        <v/>
      </c>
    </row>
    <row r="2070">
      <c r="B2070">
        <f>IF(A2070="","",$B$1-MAXIFS(Donasi!$A$2:$A$20000,Donasi!$B$2:$B$20000,A2070))</f>
        <v/>
      </c>
      <c r="C2070">
        <f>IF(A2070="","",COUNTIF(Donasi!$B$2:$B$20000,A2070))</f>
        <v/>
      </c>
      <c r="D2070">
        <f>IF(A2070="","",SUMIF(Donasi!$B$2:$B$20000,A2070,Donasi!$C$2:$C$20000))</f>
        <v/>
      </c>
      <c r="E2070">
        <f>IF(A2070="","",6-CEILING(PERCENTRANK.INC($B$3:$B$6000,B2070,4)*5+0.000001,1))</f>
        <v/>
      </c>
      <c r="F2070">
        <f>IF(A2070="","",MAX(1,CEILING(PERCENTRANK.INC($C$3:$C$6000,C2070,4)*5+0.000001,1)))</f>
        <v/>
      </c>
      <c r="G2070">
        <f>IF(A2070="","",MAX(1,CEILING(PERCENTRANK.INC($D$3:$D$6000,D2070,4)*5+0.000001,1)))</f>
        <v/>
      </c>
      <c r="H2070">
        <f>IF(A2070="","",E2070&amp;F2070&amp;G2070)</f>
        <v/>
      </c>
      <c r="I2070">
        <f>IF(A2070="","",IF(AND(E2070&gt;=4,F2070&gt;=4,G2070&gt;=4),"Juara",IF(AND(F2070&gt;=4,E2070&gt;=3),"Setia",IF(AND(E2070=5,F2070&lt;=2,G2070&gt;=3),"Berpotensi",IF(AND(E2070&lt;=3,E2070&gt;=2,F2070&gt;=3),"Rawan",IF(AND(E2070&lt;=2,F2070&lt;=2),"Tidur","Umum"))))))</f>
        <v/>
      </c>
    </row>
    <row r="2071">
      <c r="B2071">
        <f>IF(A2071="","",$B$1-MAXIFS(Donasi!$A$2:$A$20000,Donasi!$B$2:$B$20000,A2071))</f>
        <v/>
      </c>
      <c r="C2071">
        <f>IF(A2071="","",COUNTIF(Donasi!$B$2:$B$20000,A2071))</f>
        <v/>
      </c>
      <c r="D2071">
        <f>IF(A2071="","",SUMIF(Donasi!$B$2:$B$20000,A2071,Donasi!$C$2:$C$20000))</f>
        <v/>
      </c>
      <c r="E2071">
        <f>IF(A2071="","",6-CEILING(PERCENTRANK.INC($B$3:$B$6000,B2071,4)*5+0.000001,1))</f>
        <v/>
      </c>
      <c r="F2071">
        <f>IF(A2071="","",MAX(1,CEILING(PERCENTRANK.INC($C$3:$C$6000,C2071,4)*5+0.000001,1)))</f>
        <v/>
      </c>
      <c r="G2071">
        <f>IF(A2071="","",MAX(1,CEILING(PERCENTRANK.INC($D$3:$D$6000,D2071,4)*5+0.000001,1)))</f>
        <v/>
      </c>
      <c r="H2071">
        <f>IF(A2071="","",E2071&amp;F2071&amp;G2071)</f>
        <v/>
      </c>
      <c r="I2071">
        <f>IF(A2071="","",IF(AND(E2071&gt;=4,F2071&gt;=4,G2071&gt;=4),"Juara",IF(AND(F2071&gt;=4,E2071&gt;=3),"Setia",IF(AND(E2071=5,F2071&lt;=2,G2071&gt;=3),"Berpotensi",IF(AND(E2071&lt;=3,E2071&gt;=2,F2071&gt;=3),"Rawan",IF(AND(E2071&lt;=2,F2071&lt;=2),"Tidur","Umum"))))))</f>
        <v/>
      </c>
    </row>
    <row r="2072">
      <c r="B2072">
        <f>IF(A2072="","",$B$1-MAXIFS(Donasi!$A$2:$A$20000,Donasi!$B$2:$B$20000,A2072))</f>
        <v/>
      </c>
      <c r="C2072">
        <f>IF(A2072="","",COUNTIF(Donasi!$B$2:$B$20000,A2072))</f>
        <v/>
      </c>
      <c r="D2072">
        <f>IF(A2072="","",SUMIF(Donasi!$B$2:$B$20000,A2072,Donasi!$C$2:$C$20000))</f>
        <v/>
      </c>
      <c r="E2072">
        <f>IF(A2072="","",6-CEILING(PERCENTRANK.INC($B$3:$B$6000,B2072,4)*5+0.000001,1))</f>
        <v/>
      </c>
      <c r="F2072">
        <f>IF(A2072="","",MAX(1,CEILING(PERCENTRANK.INC($C$3:$C$6000,C2072,4)*5+0.000001,1)))</f>
        <v/>
      </c>
      <c r="G2072">
        <f>IF(A2072="","",MAX(1,CEILING(PERCENTRANK.INC($D$3:$D$6000,D2072,4)*5+0.000001,1)))</f>
        <v/>
      </c>
      <c r="H2072">
        <f>IF(A2072="","",E2072&amp;F2072&amp;G2072)</f>
        <v/>
      </c>
      <c r="I2072">
        <f>IF(A2072="","",IF(AND(E2072&gt;=4,F2072&gt;=4,G2072&gt;=4),"Juara",IF(AND(F2072&gt;=4,E2072&gt;=3),"Setia",IF(AND(E2072=5,F2072&lt;=2,G2072&gt;=3),"Berpotensi",IF(AND(E2072&lt;=3,E2072&gt;=2,F2072&gt;=3),"Rawan",IF(AND(E2072&lt;=2,F2072&lt;=2),"Tidur","Umum"))))))</f>
        <v/>
      </c>
    </row>
    <row r="2073">
      <c r="B2073">
        <f>IF(A2073="","",$B$1-MAXIFS(Donasi!$A$2:$A$20000,Donasi!$B$2:$B$20000,A2073))</f>
        <v/>
      </c>
      <c r="C2073">
        <f>IF(A2073="","",COUNTIF(Donasi!$B$2:$B$20000,A2073))</f>
        <v/>
      </c>
      <c r="D2073">
        <f>IF(A2073="","",SUMIF(Donasi!$B$2:$B$20000,A2073,Donasi!$C$2:$C$20000))</f>
        <v/>
      </c>
      <c r="E2073">
        <f>IF(A2073="","",6-CEILING(PERCENTRANK.INC($B$3:$B$6000,B2073,4)*5+0.000001,1))</f>
        <v/>
      </c>
      <c r="F2073">
        <f>IF(A2073="","",MAX(1,CEILING(PERCENTRANK.INC($C$3:$C$6000,C2073,4)*5+0.000001,1)))</f>
        <v/>
      </c>
      <c r="G2073">
        <f>IF(A2073="","",MAX(1,CEILING(PERCENTRANK.INC($D$3:$D$6000,D2073,4)*5+0.000001,1)))</f>
        <v/>
      </c>
      <c r="H2073">
        <f>IF(A2073="","",E2073&amp;F2073&amp;G2073)</f>
        <v/>
      </c>
      <c r="I2073">
        <f>IF(A2073="","",IF(AND(E2073&gt;=4,F2073&gt;=4,G2073&gt;=4),"Juara",IF(AND(F2073&gt;=4,E2073&gt;=3),"Setia",IF(AND(E2073=5,F2073&lt;=2,G2073&gt;=3),"Berpotensi",IF(AND(E2073&lt;=3,E2073&gt;=2,F2073&gt;=3),"Rawan",IF(AND(E2073&lt;=2,F2073&lt;=2),"Tidur","Umum"))))))</f>
        <v/>
      </c>
    </row>
    <row r="2074">
      <c r="B2074">
        <f>IF(A2074="","",$B$1-MAXIFS(Donasi!$A$2:$A$20000,Donasi!$B$2:$B$20000,A2074))</f>
        <v/>
      </c>
      <c r="C2074">
        <f>IF(A2074="","",COUNTIF(Donasi!$B$2:$B$20000,A2074))</f>
        <v/>
      </c>
      <c r="D2074">
        <f>IF(A2074="","",SUMIF(Donasi!$B$2:$B$20000,A2074,Donasi!$C$2:$C$20000))</f>
        <v/>
      </c>
      <c r="E2074">
        <f>IF(A2074="","",6-CEILING(PERCENTRANK.INC($B$3:$B$6000,B2074,4)*5+0.000001,1))</f>
        <v/>
      </c>
      <c r="F2074">
        <f>IF(A2074="","",MAX(1,CEILING(PERCENTRANK.INC($C$3:$C$6000,C2074,4)*5+0.000001,1)))</f>
        <v/>
      </c>
      <c r="G2074">
        <f>IF(A2074="","",MAX(1,CEILING(PERCENTRANK.INC($D$3:$D$6000,D2074,4)*5+0.000001,1)))</f>
        <v/>
      </c>
      <c r="H2074">
        <f>IF(A2074="","",E2074&amp;F2074&amp;G2074)</f>
        <v/>
      </c>
      <c r="I2074">
        <f>IF(A2074="","",IF(AND(E2074&gt;=4,F2074&gt;=4,G2074&gt;=4),"Juara",IF(AND(F2074&gt;=4,E2074&gt;=3),"Setia",IF(AND(E2074=5,F2074&lt;=2,G2074&gt;=3),"Berpotensi",IF(AND(E2074&lt;=3,E2074&gt;=2,F2074&gt;=3),"Rawan",IF(AND(E2074&lt;=2,F2074&lt;=2),"Tidur","Umum"))))))</f>
        <v/>
      </c>
    </row>
    <row r="2075">
      <c r="B2075">
        <f>IF(A2075="","",$B$1-MAXIFS(Donasi!$A$2:$A$20000,Donasi!$B$2:$B$20000,A2075))</f>
        <v/>
      </c>
      <c r="C2075">
        <f>IF(A2075="","",COUNTIF(Donasi!$B$2:$B$20000,A2075))</f>
        <v/>
      </c>
      <c r="D2075">
        <f>IF(A2075="","",SUMIF(Donasi!$B$2:$B$20000,A2075,Donasi!$C$2:$C$20000))</f>
        <v/>
      </c>
      <c r="E2075">
        <f>IF(A2075="","",6-CEILING(PERCENTRANK.INC($B$3:$B$6000,B2075,4)*5+0.000001,1))</f>
        <v/>
      </c>
      <c r="F2075">
        <f>IF(A2075="","",MAX(1,CEILING(PERCENTRANK.INC($C$3:$C$6000,C2075,4)*5+0.000001,1)))</f>
        <v/>
      </c>
      <c r="G2075">
        <f>IF(A2075="","",MAX(1,CEILING(PERCENTRANK.INC($D$3:$D$6000,D2075,4)*5+0.000001,1)))</f>
        <v/>
      </c>
      <c r="H2075">
        <f>IF(A2075="","",E2075&amp;F2075&amp;G2075)</f>
        <v/>
      </c>
      <c r="I2075">
        <f>IF(A2075="","",IF(AND(E2075&gt;=4,F2075&gt;=4,G2075&gt;=4),"Juara",IF(AND(F2075&gt;=4,E2075&gt;=3),"Setia",IF(AND(E2075=5,F2075&lt;=2,G2075&gt;=3),"Berpotensi",IF(AND(E2075&lt;=3,E2075&gt;=2,F2075&gt;=3),"Rawan",IF(AND(E2075&lt;=2,F2075&lt;=2),"Tidur","Umum"))))))</f>
        <v/>
      </c>
    </row>
    <row r="2076">
      <c r="B2076">
        <f>IF(A2076="","",$B$1-MAXIFS(Donasi!$A$2:$A$20000,Donasi!$B$2:$B$20000,A2076))</f>
        <v/>
      </c>
      <c r="C2076">
        <f>IF(A2076="","",COUNTIF(Donasi!$B$2:$B$20000,A2076))</f>
        <v/>
      </c>
      <c r="D2076">
        <f>IF(A2076="","",SUMIF(Donasi!$B$2:$B$20000,A2076,Donasi!$C$2:$C$20000))</f>
        <v/>
      </c>
      <c r="E2076">
        <f>IF(A2076="","",6-CEILING(PERCENTRANK.INC($B$3:$B$6000,B2076,4)*5+0.000001,1))</f>
        <v/>
      </c>
      <c r="F2076">
        <f>IF(A2076="","",MAX(1,CEILING(PERCENTRANK.INC($C$3:$C$6000,C2076,4)*5+0.000001,1)))</f>
        <v/>
      </c>
      <c r="G2076">
        <f>IF(A2076="","",MAX(1,CEILING(PERCENTRANK.INC($D$3:$D$6000,D2076,4)*5+0.000001,1)))</f>
        <v/>
      </c>
      <c r="H2076">
        <f>IF(A2076="","",E2076&amp;F2076&amp;G2076)</f>
        <v/>
      </c>
      <c r="I2076">
        <f>IF(A2076="","",IF(AND(E2076&gt;=4,F2076&gt;=4,G2076&gt;=4),"Juara",IF(AND(F2076&gt;=4,E2076&gt;=3),"Setia",IF(AND(E2076=5,F2076&lt;=2,G2076&gt;=3),"Berpotensi",IF(AND(E2076&lt;=3,E2076&gt;=2,F2076&gt;=3),"Rawan",IF(AND(E2076&lt;=2,F2076&lt;=2),"Tidur","Umum"))))))</f>
        <v/>
      </c>
    </row>
    <row r="2077">
      <c r="B2077">
        <f>IF(A2077="","",$B$1-MAXIFS(Donasi!$A$2:$A$20000,Donasi!$B$2:$B$20000,A2077))</f>
        <v/>
      </c>
      <c r="C2077">
        <f>IF(A2077="","",COUNTIF(Donasi!$B$2:$B$20000,A2077))</f>
        <v/>
      </c>
      <c r="D2077">
        <f>IF(A2077="","",SUMIF(Donasi!$B$2:$B$20000,A2077,Donasi!$C$2:$C$20000))</f>
        <v/>
      </c>
      <c r="E2077">
        <f>IF(A2077="","",6-CEILING(PERCENTRANK.INC($B$3:$B$6000,B2077,4)*5+0.000001,1))</f>
        <v/>
      </c>
      <c r="F2077">
        <f>IF(A2077="","",MAX(1,CEILING(PERCENTRANK.INC($C$3:$C$6000,C2077,4)*5+0.000001,1)))</f>
        <v/>
      </c>
      <c r="G2077">
        <f>IF(A2077="","",MAX(1,CEILING(PERCENTRANK.INC($D$3:$D$6000,D2077,4)*5+0.000001,1)))</f>
        <v/>
      </c>
      <c r="H2077">
        <f>IF(A2077="","",E2077&amp;F2077&amp;G2077)</f>
        <v/>
      </c>
      <c r="I2077">
        <f>IF(A2077="","",IF(AND(E2077&gt;=4,F2077&gt;=4,G2077&gt;=4),"Juara",IF(AND(F2077&gt;=4,E2077&gt;=3),"Setia",IF(AND(E2077=5,F2077&lt;=2,G2077&gt;=3),"Berpotensi",IF(AND(E2077&lt;=3,E2077&gt;=2,F2077&gt;=3),"Rawan",IF(AND(E2077&lt;=2,F2077&lt;=2),"Tidur","Umum"))))))</f>
        <v/>
      </c>
    </row>
    <row r="2078">
      <c r="B2078">
        <f>IF(A2078="","",$B$1-MAXIFS(Donasi!$A$2:$A$20000,Donasi!$B$2:$B$20000,A2078))</f>
        <v/>
      </c>
      <c r="C2078">
        <f>IF(A2078="","",COUNTIF(Donasi!$B$2:$B$20000,A2078))</f>
        <v/>
      </c>
      <c r="D2078">
        <f>IF(A2078="","",SUMIF(Donasi!$B$2:$B$20000,A2078,Donasi!$C$2:$C$20000))</f>
        <v/>
      </c>
      <c r="E2078">
        <f>IF(A2078="","",6-CEILING(PERCENTRANK.INC($B$3:$B$6000,B2078,4)*5+0.000001,1))</f>
        <v/>
      </c>
      <c r="F2078">
        <f>IF(A2078="","",MAX(1,CEILING(PERCENTRANK.INC($C$3:$C$6000,C2078,4)*5+0.000001,1)))</f>
        <v/>
      </c>
      <c r="G2078">
        <f>IF(A2078="","",MAX(1,CEILING(PERCENTRANK.INC($D$3:$D$6000,D2078,4)*5+0.000001,1)))</f>
        <v/>
      </c>
      <c r="H2078">
        <f>IF(A2078="","",E2078&amp;F2078&amp;G2078)</f>
        <v/>
      </c>
      <c r="I2078">
        <f>IF(A2078="","",IF(AND(E2078&gt;=4,F2078&gt;=4,G2078&gt;=4),"Juara",IF(AND(F2078&gt;=4,E2078&gt;=3),"Setia",IF(AND(E2078=5,F2078&lt;=2,G2078&gt;=3),"Berpotensi",IF(AND(E2078&lt;=3,E2078&gt;=2,F2078&gt;=3),"Rawan",IF(AND(E2078&lt;=2,F2078&lt;=2),"Tidur","Umum"))))))</f>
        <v/>
      </c>
    </row>
    <row r="2079">
      <c r="B2079">
        <f>IF(A2079="","",$B$1-MAXIFS(Donasi!$A$2:$A$20000,Donasi!$B$2:$B$20000,A2079))</f>
        <v/>
      </c>
      <c r="C2079">
        <f>IF(A2079="","",COUNTIF(Donasi!$B$2:$B$20000,A2079))</f>
        <v/>
      </c>
      <c r="D2079">
        <f>IF(A2079="","",SUMIF(Donasi!$B$2:$B$20000,A2079,Donasi!$C$2:$C$20000))</f>
        <v/>
      </c>
      <c r="E2079">
        <f>IF(A2079="","",6-CEILING(PERCENTRANK.INC($B$3:$B$6000,B2079,4)*5+0.000001,1))</f>
        <v/>
      </c>
      <c r="F2079">
        <f>IF(A2079="","",MAX(1,CEILING(PERCENTRANK.INC($C$3:$C$6000,C2079,4)*5+0.000001,1)))</f>
        <v/>
      </c>
      <c r="G2079">
        <f>IF(A2079="","",MAX(1,CEILING(PERCENTRANK.INC($D$3:$D$6000,D2079,4)*5+0.000001,1)))</f>
        <v/>
      </c>
      <c r="H2079">
        <f>IF(A2079="","",E2079&amp;F2079&amp;G2079)</f>
        <v/>
      </c>
      <c r="I2079">
        <f>IF(A2079="","",IF(AND(E2079&gt;=4,F2079&gt;=4,G2079&gt;=4),"Juara",IF(AND(F2079&gt;=4,E2079&gt;=3),"Setia",IF(AND(E2079=5,F2079&lt;=2,G2079&gt;=3),"Berpotensi",IF(AND(E2079&lt;=3,E2079&gt;=2,F2079&gt;=3),"Rawan",IF(AND(E2079&lt;=2,F2079&lt;=2),"Tidur","Umum"))))))</f>
        <v/>
      </c>
    </row>
    <row r="2080">
      <c r="B2080">
        <f>IF(A2080="","",$B$1-MAXIFS(Donasi!$A$2:$A$20000,Donasi!$B$2:$B$20000,A2080))</f>
        <v/>
      </c>
      <c r="C2080">
        <f>IF(A2080="","",COUNTIF(Donasi!$B$2:$B$20000,A2080))</f>
        <v/>
      </c>
      <c r="D2080">
        <f>IF(A2080="","",SUMIF(Donasi!$B$2:$B$20000,A2080,Donasi!$C$2:$C$20000))</f>
        <v/>
      </c>
      <c r="E2080">
        <f>IF(A2080="","",6-CEILING(PERCENTRANK.INC($B$3:$B$6000,B2080,4)*5+0.000001,1))</f>
        <v/>
      </c>
      <c r="F2080">
        <f>IF(A2080="","",MAX(1,CEILING(PERCENTRANK.INC($C$3:$C$6000,C2080,4)*5+0.000001,1)))</f>
        <v/>
      </c>
      <c r="G2080">
        <f>IF(A2080="","",MAX(1,CEILING(PERCENTRANK.INC($D$3:$D$6000,D2080,4)*5+0.000001,1)))</f>
        <v/>
      </c>
      <c r="H2080">
        <f>IF(A2080="","",E2080&amp;F2080&amp;G2080)</f>
        <v/>
      </c>
      <c r="I2080">
        <f>IF(A2080="","",IF(AND(E2080&gt;=4,F2080&gt;=4,G2080&gt;=4),"Juara",IF(AND(F2080&gt;=4,E2080&gt;=3),"Setia",IF(AND(E2080=5,F2080&lt;=2,G2080&gt;=3),"Berpotensi",IF(AND(E2080&lt;=3,E2080&gt;=2,F2080&gt;=3),"Rawan",IF(AND(E2080&lt;=2,F2080&lt;=2),"Tidur","Umum"))))))</f>
        <v/>
      </c>
    </row>
    <row r="2081">
      <c r="B2081">
        <f>IF(A2081="","",$B$1-MAXIFS(Donasi!$A$2:$A$20000,Donasi!$B$2:$B$20000,A2081))</f>
        <v/>
      </c>
      <c r="C2081">
        <f>IF(A2081="","",COUNTIF(Donasi!$B$2:$B$20000,A2081))</f>
        <v/>
      </c>
      <c r="D2081">
        <f>IF(A2081="","",SUMIF(Donasi!$B$2:$B$20000,A2081,Donasi!$C$2:$C$20000))</f>
        <v/>
      </c>
      <c r="E2081">
        <f>IF(A2081="","",6-CEILING(PERCENTRANK.INC($B$3:$B$6000,B2081,4)*5+0.000001,1))</f>
        <v/>
      </c>
      <c r="F2081">
        <f>IF(A2081="","",MAX(1,CEILING(PERCENTRANK.INC($C$3:$C$6000,C2081,4)*5+0.000001,1)))</f>
        <v/>
      </c>
      <c r="G2081">
        <f>IF(A2081="","",MAX(1,CEILING(PERCENTRANK.INC($D$3:$D$6000,D2081,4)*5+0.000001,1)))</f>
        <v/>
      </c>
      <c r="H2081">
        <f>IF(A2081="","",E2081&amp;F2081&amp;G2081)</f>
        <v/>
      </c>
      <c r="I2081">
        <f>IF(A2081="","",IF(AND(E2081&gt;=4,F2081&gt;=4,G2081&gt;=4),"Juara",IF(AND(F2081&gt;=4,E2081&gt;=3),"Setia",IF(AND(E2081=5,F2081&lt;=2,G2081&gt;=3),"Berpotensi",IF(AND(E2081&lt;=3,E2081&gt;=2,F2081&gt;=3),"Rawan",IF(AND(E2081&lt;=2,F2081&lt;=2),"Tidur","Umum"))))))</f>
        <v/>
      </c>
    </row>
    <row r="2082">
      <c r="B2082">
        <f>IF(A2082="","",$B$1-MAXIFS(Donasi!$A$2:$A$20000,Donasi!$B$2:$B$20000,A2082))</f>
        <v/>
      </c>
      <c r="C2082">
        <f>IF(A2082="","",COUNTIF(Donasi!$B$2:$B$20000,A2082))</f>
        <v/>
      </c>
      <c r="D2082">
        <f>IF(A2082="","",SUMIF(Donasi!$B$2:$B$20000,A2082,Donasi!$C$2:$C$20000))</f>
        <v/>
      </c>
      <c r="E2082">
        <f>IF(A2082="","",6-CEILING(PERCENTRANK.INC($B$3:$B$6000,B2082,4)*5+0.000001,1))</f>
        <v/>
      </c>
      <c r="F2082">
        <f>IF(A2082="","",MAX(1,CEILING(PERCENTRANK.INC($C$3:$C$6000,C2082,4)*5+0.000001,1)))</f>
        <v/>
      </c>
      <c r="G2082">
        <f>IF(A2082="","",MAX(1,CEILING(PERCENTRANK.INC($D$3:$D$6000,D2082,4)*5+0.000001,1)))</f>
        <v/>
      </c>
      <c r="H2082">
        <f>IF(A2082="","",E2082&amp;F2082&amp;G2082)</f>
        <v/>
      </c>
      <c r="I2082">
        <f>IF(A2082="","",IF(AND(E2082&gt;=4,F2082&gt;=4,G2082&gt;=4),"Juara",IF(AND(F2082&gt;=4,E2082&gt;=3),"Setia",IF(AND(E2082=5,F2082&lt;=2,G2082&gt;=3),"Berpotensi",IF(AND(E2082&lt;=3,E2082&gt;=2,F2082&gt;=3),"Rawan",IF(AND(E2082&lt;=2,F2082&lt;=2),"Tidur","Umum"))))))</f>
        <v/>
      </c>
    </row>
    <row r="2083">
      <c r="B2083">
        <f>IF(A2083="","",$B$1-MAXIFS(Donasi!$A$2:$A$20000,Donasi!$B$2:$B$20000,A2083))</f>
        <v/>
      </c>
      <c r="C2083">
        <f>IF(A2083="","",COUNTIF(Donasi!$B$2:$B$20000,A2083))</f>
        <v/>
      </c>
      <c r="D2083">
        <f>IF(A2083="","",SUMIF(Donasi!$B$2:$B$20000,A2083,Donasi!$C$2:$C$20000))</f>
        <v/>
      </c>
      <c r="E2083">
        <f>IF(A2083="","",6-CEILING(PERCENTRANK.INC($B$3:$B$6000,B2083,4)*5+0.000001,1))</f>
        <v/>
      </c>
      <c r="F2083">
        <f>IF(A2083="","",MAX(1,CEILING(PERCENTRANK.INC($C$3:$C$6000,C2083,4)*5+0.000001,1)))</f>
        <v/>
      </c>
      <c r="G2083">
        <f>IF(A2083="","",MAX(1,CEILING(PERCENTRANK.INC($D$3:$D$6000,D2083,4)*5+0.000001,1)))</f>
        <v/>
      </c>
      <c r="H2083">
        <f>IF(A2083="","",E2083&amp;F2083&amp;G2083)</f>
        <v/>
      </c>
      <c r="I2083">
        <f>IF(A2083="","",IF(AND(E2083&gt;=4,F2083&gt;=4,G2083&gt;=4),"Juara",IF(AND(F2083&gt;=4,E2083&gt;=3),"Setia",IF(AND(E2083=5,F2083&lt;=2,G2083&gt;=3),"Berpotensi",IF(AND(E2083&lt;=3,E2083&gt;=2,F2083&gt;=3),"Rawan",IF(AND(E2083&lt;=2,F2083&lt;=2),"Tidur","Umum"))))))</f>
        <v/>
      </c>
    </row>
    <row r="2084">
      <c r="B2084">
        <f>IF(A2084="","",$B$1-MAXIFS(Donasi!$A$2:$A$20000,Donasi!$B$2:$B$20000,A2084))</f>
        <v/>
      </c>
      <c r="C2084">
        <f>IF(A2084="","",COUNTIF(Donasi!$B$2:$B$20000,A2084))</f>
        <v/>
      </c>
      <c r="D2084">
        <f>IF(A2084="","",SUMIF(Donasi!$B$2:$B$20000,A2084,Donasi!$C$2:$C$20000))</f>
        <v/>
      </c>
      <c r="E2084">
        <f>IF(A2084="","",6-CEILING(PERCENTRANK.INC($B$3:$B$6000,B2084,4)*5+0.000001,1))</f>
        <v/>
      </c>
      <c r="F2084">
        <f>IF(A2084="","",MAX(1,CEILING(PERCENTRANK.INC($C$3:$C$6000,C2084,4)*5+0.000001,1)))</f>
        <v/>
      </c>
      <c r="G2084">
        <f>IF(A2084="","",MAX(1,CEILING(PERCENTRANK.INC($D$3:$D$6000,D2084,4)*5+0.000001,1)))</f>
        <v/>
      </c>
      <c r="H2084">
        <f>IF(A2084="","",E2084&amp;F2084&amp;G2084)</f>
        <v/>
      </c>
      <c r="I2084">
        <f>IF(A2084="","",IF(AND(E2084&gt;=4,F2084&gt;=4,G2084&gt;=4),"Juara",IF(AND(F2084&gt;=4,E2084&gt;=3),"Setia",IF(AND(E2084=5,F2084&lt;=2,G2084&gt;=3),"Berpotensi",IF(AND(E2084&lt;=3,E2084&gt;=2,F2084&gt;=3),"Rawan",IF(AND(E2084&lt;=2,F2084&lt;=2),"Tidur","Umum"))))))</f>
        <v/>
      </c>
    </row>
    <row r="2085">
      <c r="B2085">
        <f>IF(A2085="","",$B$1-MAXIFS(Donasi!$A$2:$A$20000,Donasi!$B$2:$B$20000,A2085))</f>
        <v/>
      </c>
      <c r="C2085">
        <f>IF(A2085="","",COUNTIF(Donasi!$B$2:$B$20000,A2085))</f>
        <v/>
      </c>
      <c r="D2085">
        <f>IF(A2085="","",SUMIF(Donasi!$B$2:$B$20000,A2085,Donasi!$C$2:$C$20000))</f>
        <v/>
      </c>
      <c r="E2085">
        <f>IF(A2085="","",6-CEILING(PERCENTRANK.INC($B$3:$B$6000,B2085,4)*5+0.000001,1))</f>
        <v/>
      </c>
      <c r="F2085">
        <f>IF(A2085="","",MAX(1,CEILING(PERCENTRANK.INC($C$3:$C$6000,C2085,4)*5+0.000001,1)))</f>
        <v/>
      </c>
      <c r="G2085">
        <f>IF(A2085="","",MAX(1,CEILING(PERCENTRANK.INC($D$3:$D$6000,D2085,4)*5+0.000001,1)))</f>
        <v/>
      </c>
      <c r="H2085">
        <f>IF(A2085="","",E2085&amp;F2085&amp;G2085)</f>
        <v/>
      </c>
      <c r="I2085">
        <f>IF(A2085="","",IF(AND(E2085&gt;=4,F2085&gt;=4,G2085&gt;=4),"Juara",IF(AND(F2085&gt;=4,E2085&gt;=3),"Setia",IF(AND(E2085=5,F2085&lt;=2,G2085&gt;=3),"Berpotensi",IF(AND(E2085&lt;=3,E2085&gt;=2,F2085&gt;=3),"Rawan",IF(AND(E2085&lt;=2,F2085&lt;=2),"Tidur","Umum"))))))</f>
        <v/>
      </c>
    </row>
    <row r="2086">
      <c r="B2086">
        <f>IF(A2086="","",$B$1-MAXIFS(Donasi!$A$2:$A$20000,Donasi!$B$2:$B$20000,A2086))</f>
        <v/>
      </c>
      <c r="C2086">
        <f>IF(A2086="","",COUNTIF(Donasi!$B$2:$B$20000,A2086))</f>
        <v/>
      </c>
      <c r="D2086">
        <f>IF(A2086="","",SUMIF(Donasi!$B$2:$B$20000,A2086,Donasi!$C$2:$C$20000))</f>
        <v/>
      </c>
      <c r="E2086">
        <f>IF(A2086="","",6-CEILING(PERCENTRANK.INC($B$3:$B$6000,B2086,4)*5+0.000001,1))</f>
        <v/>
      </c>
      <c r="F2086">
        <f>IF(A2086="","",MAX(1,CEILING(PERCENTRANK.INC($C$3:$C$6000,C2086,4)*5+0.000001,1)))</f>
        <v/>
      </c>
      <c r="G2086">
        <f>IF(A2086="","",MAX(1,CEILING(PERCENTRANK.INC($D$3:$D$6000,D2086,4)*5+0.000001,1)))</f>
        <v/>
      </c>
      <c r="H2086">
        <f>IF(A2086="","",E2086&amp;F2086&amp;G2086)</f>
        <v/>
      </c>
      <c r="I2086">
        <f>IF(A2086="","",IF(AND(E2086&gt;=4,F2086&gt;=4,G2086&gt;=4),"Juara",IF(AND(F2086&gt;=4,E2086&gt;=3),"Setia",IF(AND(E2086=5,F2086&lt;=2,G2086&gt;=3),"Berpotensi",IF(AND(E2086&lt;=3,E2086&gt;=2,F2086&gt;=3),"Rawan",IF(AND(E2086&lt;=2,F2086&lt;=2),"Tidur","Umum"))))))</f>
        <v/>
      </c>
    </row>
    <row r="2087">
      <c r="B2087">
        <f>IF(A2087="","",$B$1-MAXIFS(Donasi!$A$2:$A$20000,Donasi!$B$2:$B$20000,A2087))</f>
        <v/>
      </c>
      <c r="C2087">
        <f>IF(A2087="","",COUNTIF(Donasi!$B$2:$B$20000,A2087))</f>
        <v/>
      </c>
      <c r="D2087">
        <f>IF(A2087="","",SUMIF(Donasi!$B$2:$B$20000,A2087,Donasi!$C$2:$C$20000))</f>
        <v/>
      </c>
      <c r="E2087">
        <f>IF(A2087="","",6-CEILING(PERCENTRANK.INC($B$3:$B$6000,B2087,4)*5+0.000001,1))</f>
        <v/>
      </c>
      <c r="F2087">
        <f>IF(A2087="","",MAX(1,CEILING(PERCENTRANK.INC($C$3:$C$6000,C2087,4)*5+0.000001,1)))</f>
        <v/>
      </c>
      <c r="G2087">
        <f>IF(A2087="","",MAX(1,CEILING(PERCENTRANK.INC($D$3:$D$6000,D2087,4)*5+0.000001,1)))</f>
        <v/>
      </c>
      <c r="H2087">
        <f>IF(A2087="","",E2087&amp;F2087&amp;G2087)</f>
        <v/>
      </c>
      <c r="I2087">
        <f>IF(A2087="","",IF(AND(E2087&gt;=4,F2087&gt;=4,G2087&gt;=4),"Juara",IF(AND(F2087&gt;=4,E2087&gt;=3),"Setia",IF(AND(E2087=5,F2087&lt;=2,G2087&gt;=3),"Berpotensi",IF(AND(E2087&lt;=3,E2087&gt;=2,F2087&gt;=3),"Rawan",IF(AND(E2087&lt;=2,F2087&lt;=2),"Tidur","Umum"))))))</f>
        <v/>
      </c>
    </row>
    <row r="2088">
      <c r="B2088">
        <f>IF(A2088="","",$B$1-MAXIFS(Donasi!$A$2:$A$20000,Donasi!$B$2:$B$20000,A2088))</f>
        <v/>
      </c>
      <c r="C2088">
        <f>IF(A2088="","",COUNTIF(Donasi!$B$2:$B$20000,A2088))</f>
        <v/>
      </c>
      <c r="D2088">
        <f>IF(A2088="","",SUMIF(Donasi!$B$2:$B$20000,A2088,Donasi!$C$2:$C$20000))</f>
        <v/>
      </c>
      <c r="E2088">
        <f>IF(A2088="","",6-CEILING(PERCENTRANK.INC($B$3:$B$6000,B2088,4)*5+0.000001,1))</f>
        <v/>
      </c>
      <c r="F2088">
        <f>IF(A2088="","",MAX(1,CEILING(PERCENTRANK.INC($C$3:$C$6000,C2088,4)*5+0.000001,1)))</f>
        <v/>
      </c>
      <c r="G2088">
        <f>IF(A2088="","",MAX(1,CEILING(PERCENTRANK.INC($D$3:$D$6000,D2088,4)*5+0.000001,1)))</f>
        <v/>
      </c>
      <c r="H2088">
        <f>IF(A2088="","",E2088&amp;F2088&amp;G2088)</f>
        <v/>
      </c>
      <c r="I2088">
        <f>IF(A2088="","",IF(AND(E2088&gt;=4,F2088&gt;=4,G2088&gt;=4),"Juara",IF(AND(F2088&gt;=4,E2088&gt;=3),"Setia",IF(AND(E2088=5,F2088&lt;=2,G2088&gt;=3),"Berpotensi",IF(AND(E2088&lt;=3,E2088&gt;=2,F2088&gt;=3),"Rawan",IF(AND(E2088&lt;=2,F2088&lt;=2),"Tidur","Umum"))))))</f>
        <v/>
      </c>
    </row>
    <row r="2089">
      <c r="B2089">
        <f>IF(A2089="","",$B$1-MAXIFS(Donasi!$A$2:$A$20000,Donasi!$B$2:$B$20000,A2089))</f>
        <v/>
      </c>
      <c r="C2089">
        <f>IF(A2089="","",COUNTIF(Donasi!$B$2:$B$20000,A2089))</f>
        <v/>
      </c>
      <c r="D2089">
        <f>IF(A2089="","",SUMIF(Donasi!$B$2:$B$20000,A2089,Donasi!$C$2:$C$20000))</f>
        <v/>
      </c>
      <c r="E2089">
        <f>IF(A2089="","",6-CEILING(PERCENTRANK.INC($B$3:$B$6000,B2089,4)*5+0.000001,1))</f>
        <v/>
      </c>
      <c r="F2089">
        <f>IF(A2089="","",MAX(1,CEILING(PERCENTRANK.INC($C$3:$C$6000,C2089,4)*5+0.000001,1)))</f>
        <v/>
      </c>
      <c r="G2089">
        <f>IF(A2089="","",MAX(1,CEILING(PERCENTRANK.INC($D$3:$D$6000,D2089,4)*5+0.000001,1)))</f>
        <v/>
      </c>
      <c r="H2089">
        <f>IF(A2089="","",E2089&amp;F2089&amp;G2089)</f>
        <v/>
      </c>
      <c r="I2089">
        <f>IF(A2089="","",IF(AND(E2089&gt;=4,F2089&gt;=4,G2089&gt;=4),"Juara",IF(AND(F2089&gt;=4,E2089&gt;=3),"Setia",IF(AND(E2089=5,F2089&lt;=2,G2089&gt;=3),"Berpotensi",IF(AND(E2089&lt;=3,E2089&gt;=2,F2089&gt;=3),"Rawan",IF(AND(E2089&lt;=2,F2089&lt;=2),"Tidur","Umum"))))))</f>
        <v/>
      </c>
    </row>
    <row r="2090">
      <c r="B2090">
        <f>IF(A2090="","",$B$1-MAXIFS(Donasi!$A$2:$A$20000,Donasi!$B$2:$B$20000,A2090))</f>
        <v/>
      </c>
      <c r="C2090">
        <f>IF(A2090="","",COUNTIF(Donasi!$B$2:$B$20000,A2090))</f>
        <v/>
      </c>
      <c r="D2090">
        <f>IF(A2090="","",SUMIF(Donasi!$B$2:$B$20000,A2090,Donasi!$C$2:$C$20000))</f>
        <v/>
      </c>
      <c r="E2090">
        <f>IF(A2090="","",6-CEILING(PERCENTRANK.INC($B$3:$B$6000,B2090,4)*5+0.000001,1))</f>
        <v/>
      </c>
      <c r="F2090">
        <f>IF(A2090="","",MAX(1,CEILING(PERCENTRANK.INC($C$3:$C$6000,C2090,4)*5+0.000001,1)))</f>
        <v/>
      </c>
      <c r="G2090">
        <f>IF(A2090="","",MAX(1,CEILING(PERCENTRANK.INC($D$3:$D$6000,D2090,4)*5+0.000001,1)))</f>
        <v/>
      </c>
      <c r="H2090">
        <f>IF(A2090="","",E2090&amp;F2090&amp;G2090)</f>
        <v/>
      </c>
      <c r="I2090">
        <f>IF(A2090="","",IF(AND(E2090&gt;=4,F2090&gt;=4,G2090&gt;=4),"Juara",IF(AND(F2090&gt;=4,E2090&gt;=3),"Setia",IF(AND(E2090=5,F2090&lt;=2,G2090&gt;=3),"Berpotensi",IF(AND(E2090&lt;=3,E2090&gt;=2,F2090&gt;=3),"Rawan",IF(AND(E2090&lt;=2,F2090&lt;=2),"Tidur","Umum"))))))</f>
        <v/>
      </c>
    </row>
    <row r="2091">
      <c r="B2091">
        <f>IF(A2091="","",$B$1-MAXIFS(Donasi!$A$2:$A$20000,Donasi!$B$2:$B$20000,A2091))</f>
        <v/>
      </c>
      <c r="C2091">
        <f>IF(A2091="","",COUNTIF(Donasi!$B$2:$B$20000,A2091))</f>
        <v/>
      </c>
      <c r="D2091">
        <f>IF(A2091="","",SUMIF(Donasi!$B$2:$B$20000,A2091,Donasi!$C$2:$C$20000))</f>
        <v/>
      </c>
      <c r="E2091">
        <f>IF(A2091="","",6-CEILING(PERCENTRANK.INC($B$3:$B$6000,B2091,4)*5+0.000001,1))</f>
        <v/>
      </c>
      <c r="F2091">
        <f>IF(A2091="","",MAX(1,CEILING(PERCENTRANK.INC($C$3:$C$6000,C2091,4)*5+0.000001,1)))</f>
        <v/>
      </c>
      <c r="G2091">
        <f>IF(A2091="","",MAX(1,CEILING(PERCENTRANK.INC($D$3:$D$6000,D2091,4)*5+0.000001,1)))</f>
        <v/>
      </c>
      <c r="H2091">
        <f>IF(A2091="","",E2091&amp;F2091&amp;G2091)</f>
        <v/>
      </c>
      <c r="I2091">
        <f>IF(A2091="","",IF(AND(E2091&gt;=4,F2091&gt;=4,G2091&gt;=4),"Juara",IF(AND(F2091&gt;=4,E2091&gt;=3),"Setia",IF(AND(E2091=5,F2091&lt;=2,G2091&gt;=3),"Berpotensi",IF(AND(E2091&lt;=3,E2091&gt;=2,F2091&gt;=3),"Rawan",IF(AND(E2091&lt;=2,F2091&lt;=2),"Tidur","Umum"))))))</f>
        <v/>
      </c>
    </row>
    <row r="2092">
      <c r="B2092">
        <f>IF(A2092="","",$B$1-MAXIFS(Donasi!$A$2:$A$20000,Donasi!$B$2:$B$20000,A2092))</f>
        <v/>
      </c>
      <c r="C2092">
        <f>IF(A2092="","",COUNTIF(Donasi!$B$2:$B$20000,A2092))</f>
        <v/>
      </c>
      <c r="D2092">
        <f>IF(A2092="","",SUMIF(Donasi!$B$2:$B$20000,A2092,Donasi!$C$2:$C$20000))</f>
        <v/>
      </c>
      <c r="E2092">
        <f>IF(A2092="","",6-CEILING(PERCENTRANK.INC($B$3:$B$6000,B2092,4)*5+0.000001,1))</f>
        <v/>
      </c>
      <c r="F2092">
        <f>IF(A2092="","",MAX(1,CEILING(PERCENTRANK.INC($C$3:$C$6000,C2092,4)*5+0.000001,1)))</f>
        <v/>
      </c>
      <c r="G2092">
        <f>IF(A2092="","",MAX(1,CEILING(PERCENTRANK.INC($D$3:$D$6000,D2092,4)*5+0.000001,1)))</f>
        <v/>
      </c>
      <c r="H2092">
        <f>IF(A2092="","",E2092&amp;F2092&amp;G2092)</f>
        <v/>
      </c>
      <c r="I2092">
        <f>IF(A2092="","",IF(AND(E2092&gt;=4,F2092&gt;=4,G2092&gt;=4),"Juara",IF(AND(F2092&gt;=4,E2092&gt;=3),"Setia",IF(AND(E2092=5,F2092&lt;=2,G2092&gt;=3),"Berpotensi",IF(AND(E2092&lt;=3,E2092&gt;=2,F2092&gt;=3),"Rawan",IF(AND(E2092&lt;=2,F2092&lt;=2),"Tidur","Umum"))))))</f>
        <v/>
      </c>
    </row>
    <row r="2093">
      <c r="B2093">
        <f>IF(A2093="","",$B$1-MAXIFS(Donasi!$A$2:$A$20000,Donasi!$B$2:$B$20000,A2093))</f>
        <v/>
      </c>
      <c r="C2093">
        <f>IF(A2093="","",COUNTIF(Donasi!$B$2:$B$20000,A2093))</f>
        <v/>
      </c>
      <c r="D2093">
        <f>IF(A2093="","",SUMIF(Donasi!$B$2:$B$20000,A2093,Donasi!$C$2:$C$20000))</f>
        <v/>
      </c>
      <c r="E2093">
        <f>IF(A2093="","",6-CEILING(PERCENTRANK.INC($B$3:$B$6000,B2093,4)*5+0.000001,1))</f>
        <v/>
      </c>
      <c r="F2093">
        <f>IF(A2093="","",MAX(1,CEILING(PERCENTRANK.INC($C$3:$C$6000,C2093,4)*5+0.000001,1)))</f>
        <v/>
      </c>
      <c r="G2093">
        <f>IF(A2093="","",MAX(1,CEILING(PERCENTRANK.INC($D$3:$D$6000,D2093,4)*5+0.000001,1)))</f>
        <v/>
      </c>
      <c r="H2093">
        <f>IF(A2093="","",E2093&amp;F2093&amp;G2093)</f>
        <v/>
      </c>
      <c r="I2093">
        <f>IF(A2093="","",IF(AND(E2093&gt;=4,F2093&gt;=4,G2093&gt;=4),"Juara",IF(AND(F2093&gt;=4,E2093&gt;=3),"Setia",IF(AND(E2093=5,F2093&lt;=2,G2093&gt;=3),"Berpotensi",IF(AND(E2093&lt;=3,E2093&gt;=2,F2093&gt;=3),"Rawan",IF(AND(E2093&lt;=2,F2093&lt;=2),"Tidur","Umum"))))))</f>
        <v/>
      </c>
    </row>
    <row r="2094">
      <c r="B2094">
        <f>IF(A2094="","",$B$1-MAXIFS(Donasi!$A$2:$A$20000,Donasi!$B$2:$B$20000,A2094))</f>
        <v/>
      </c>
      <c r="C2094">
        <f>IF(A2094="","",COUNTIF(Donasi!$B$2:$B$20000,A2094))</f>
        <v/>
      </c>
      <c r="D2094">
        <f>IF(A2094="","",SUMIF(Donasi!$B$2:$B$20000,A2094,Donasi!$C$2:$C$20000))</f>
        <v/>
      </c>
      <c r="E2094">
        <f>IF(A2094="","",6-CEILING(PERCENTRANK.INC($B$3:$B$6000,B2094,4)*5+0.000001,1))</f>
        <v/>
      </c>
      <c r="F2094">
        <f>IF(A2094="","",MAX(1,CEILING(PERCENTRANK.INC($C$3:$C$6000,C2094,4)*5+0.000001,1)))</f>
        <v/>
      </c>
      <c r="G2094">
        <f>IF(A2094="","",MAX(1,CEILING(PERCENTRANK.INC($D$3:$D$6000,D2094,4)*5+0.000001,1)))</f>
        <v/>
      </c>
      <c r="H2094">
        <f>IF(A2094="","",E2094&amp;F2094&amp;G2094)</f>
        <v/>
      </c>
      <c r="I2094">
        <f>IF(A2094="","",IF(AND(E2094&gt;=4,F2094&gt;=4,G2094&gt;=4),"Juara",IF(AND(F2094&gt;=4,E2094&gt;=3),"Setia",IF(AND(E2094=5,F2094&lt;=2,G2094&gt;=3),"Berpotensi",IF(AND(E2094&lt;=3,E2094&gt;=2,F2094&gt;=3),"Rawan",IF(AND(E2094&lt;=2,F2094&lt;=2),"Tidur","Umum"))))))</f>
        <v/>
      </c>
    </row>
    <row r="2095">
      <c r="B2095">
        <f>IF(A2095="","",$B$1-MAXIFS(Donasi!$A$2:$A$20000,Donasi!$B$2:$B$20000,A2095))</f>
        <v/>
      </c>
      <c r="C2095">
        <f>IF(A2095="","",COUNTIF(Donasi!$B$2:$B$20000,A2095))</f>
        <v/>
      </c>
      <c r="D2095">
        <f>IF(A2095="","",SUMIF(Donasi!$B$2:$B$20000,A2095,Donasi!$C$2:$C$20000))</f>
        <v/>
      </c>
      <c r="E2095">
        <f>IF(A2095="","",6-CEILING(PERCENTRANK.INC($B$3:$B$6000,B2095,4)*5+0.000001,1))</f>
        <v/>
      </c>
      <c r="F2095">
        <f>IF(A2095="","",MAX(1,CEILING(PERCENTRANK.INC($C$3:$C$6000,C2095,4)*5+0.000001,1)))</f>
        <v/>
      </c>
      <c r="G2095">
        <f>IF(A2095="","",MAX(1,CEILING(PERCENTRANK.INC($D$3:$D$6000,D2095,4)*5+0.000001,1)))</f>
        <v/>
      </c>
      <c r="H2095">
        <f>IF(A2095="","",E2095&amp;F2095&amp;G2095)</f>
        <v/>
      </c>
      <c r="I2095">
        <f>IF(A2095="","",IF(AND(E2095&gt;=4,F2095&gt;=4,G2095&gt;=4),"Juara",IF(AND(F2095&gt;=4,E2095&gt;=3),"Setia",IF(AND(E2095=5,F2095&lt;=2,G2095&gt;=3),"Berpotensi",IF(AND(E2095&lt;=3,E2095&gt;=2,F2095&gt;=3),"Rawan",IF(AND(E2095&lt;=2,F2095&lt;=2),"Tidur","Umum"))))))</f>
        <v/>
      </c>
    </row>
    <row r="2096">
      <c r="B2096">
        <f>IF(A2096="","",$B$1-MAXIFS(Donasi!$A$2:$A$20000,Donasi!$B$2:$B$20000,A2096))</f>
        <v/>
      </c>
      <c r="C2096">
        <f>IF(A2096="","",COUNTIF(Donasi!$B$2:$B$20000,A2096))</f>
        <v/>
      </c>
      <c r="D2096">
        <f>IF(A2096="","",SUMIF(Donasi!$B$2:$B$20000,A2096,Donasi!$C$2:$C$20000))</f>
        <v/>
      </c>
      <c r="E2096">
        <f>IF(A2096="","",6-CEILING(PERCENTRANK.INC($B$3:$B$6000,B2096,4)*5+0.000001,1))</f>
        <v/>
      </c>
      <c r="F2096">
        <f>IF(A2096="","",MAX(1,CEILING(PERCENTRANK.INC($C$3:$C$6000,C2096,4)*5+0.000001,1)))</f>
        <v/>
      </c>
      <c r="G2096">
        <f>IF(A2096="","",MAX(1,CEILING(PERCENTRANK.INC($D$3:$D$6000,D2096,4)*5+0.000001,1)))</f>
        <v/>
      </c>
      <c r="H2096">
        <f>IF(A2096="","",E2096&amp;F2096&amp;G2096)</f>
        <v/>
      </c>
      <c r="I2096">
        <f>IF(A2096="","",IF(AND(E2096&gt;=4,F2096&gt;=4,G2096&gt;=4),"Juara",IF(AND(F2096&gt;=4,E2096&gt;=3),"Setia",IF(AND(E2096=5,F2096&lt;=2,G2096&gt;=3),"Berpotensi",IF(AND(E2096&lt;=3,E2096&gt;=2,F2096&gt;=3),"Rawan",IF(AND(E2096&lt;=2,F2096&lt;=2),"Tidur","Umum"))))))</f>
        <v/>
      </c>
    </row>
    <row r="2097">
      <c r="B2097">
        <f>IF(A2097="","",$B$1-MAXIFS(Donasi!$A$2:$A$20000,Donasi!$B$2:$B$20000,A2097))</f>
        <v/>
      </c>
      <c r="C2097">
        <f>IF(A2097="","",COUNTIF(Donasi!$B$2:$B$20000,A2097))</f>
        <v/>
      </c>
      <c r="D2097">
        <f>IF(A2097="","",SUMIF(Donasi!$B$2:$B$20000,A2097,Donasi!$C$2:$C$20000))</f>
        <v/>
      </c>
      <c r="E2097">
        <f>IF(A2097="","",6-CEILING(PERCENTRANK.INC($B$3:$B$6000,B2097,4)*5+0.000001,1))</f>
        <v/>
      </c>
      <c r="F2097">
        <f>IF(A2097="","",MAX(1,CEILING(PERCENTRANK.INC($C$3:$C$6000,C2097,4)*5+0.000001,1)))</f>
        <v/>
      </c>
      <c r="G2097">
        <f>IF(A2097="","",MAX(1,CEILING(PERCENTRANK.INC($D$3:$D$6000,D2097,4)*5+0.000001,1)))</f>
        <v/>
      </c>
      <c r="H2097">
        <f>IF(A2097="","",E2097&amp;F2097&amp;G2097)</f>
        <v/>
      </c>
      <c r="I2097">
        <f>IF(A2097="","",IF(AND(E2097&gt;=4,F2097&gt;=4,G2097&gt;=4),"Juara",IF(AND(F2097&gt;=4,E2097&gt;=3),"Setia",IF(AND(E2097=5,F2097&lt;=2,G2097&gt;=3),"Berpotensi",IF(AND(E2097&lt;=3,E2097&gt;=2,F2097&gt;=3),"Rawan",IF(AND(E2097&lt;=2,F2097&lt;=2),"Tidur","Umum"))))))</f>
        <v/>
      </c>
    </row>
    <row r="2098">
      <c r="B2098">
        <f>IF(A2098="","",$B$1-MAXIFS(Donasi!$A$2:$A$20000,Donasi!$B$2:$B$20000,A2098))</f>
        <v/>
      </c>
      <c r="C2098">
        <f>IF(A2098="","",COUNTIF(Donasi!$B$2:$B$20000,A2098))</f>
        <v/>
      </c>
      <c r="D2098">
        <f>IF(A2098="","",SUMIF(Donasi!$B$2:$B$20000,A2098,Donasi!$C$2:$C$20000))</f>
        <v/>
      </c>
      <c r="E2098">
        <f>IF(A2098="","",6-CEILING(PERCENTRANK.INC($B$3:$B$6000,B2098,4)*5+0.000001,1))</f>
        <v/>
      </c>
      <c r="F2098">
        <f>IF(A2098="","",MAX(1,CEILING(PERCENTRANK.INC($C$3:$C$6000,C2098,4)*5+0.000001,1)))</f>
        <v/>
      </c>
      <c r="G2098">
        <f>IF(A2098="","",MAX(1,CEILING(PERCENTRANK.INC($D$3:$D$6000,D2098,4)*5+0.000001,1)))</f>
        <v/>
      </c>
      <c r="H2098">
        <f>IF(A2098="","",E2098&amp;F2098&amp;G2098)</f>
        <v/>
      </c>
      <c r="I2098">
        <f>IF(A2098="","",IF(AND(E2098&gt;=4,F2098&gt;=4,G2098&gt;=4),"Juara",IF(AND(F2098&gt;=4,E2098&gt;=3),"Setia",IF(AND(E2098=5,F2098&lt;=2,G2098&gt;=3),"Berpotensi",IF(AND(E2098&lt;=3,E2098&gt;=2,F2098&gt;=3),"Rawan",IF(AND(E2098&lt;=2,F2098&lt;=2),"Tidur","Umum"))))))</f>
        <v/>
      </c>
    </row>
    <row r="2099">
      <c r="B2099">
        <f>IF(A2099="","",$B$1-MAXIFS(Donasi!$A$2:$A$20000,Donasi!$B$2:$B$20000,A2099))</f>
        <v/>
      </c>
      <c r="C2099">
        <f>IF(A2099="","",COUNTIF(Donasi!$B$2:$B$20000,A2099))</f>
        <v/>
      </c>
      <c r="D2099">
        <f>IF(A2099="","",SUMIF(Donasi!$B$2:$B$20000,A2099,Donasi!$C$2:$C$20000))</f>
        <v/>
      </c>
      <c r="E2099">
        <f>IF(A2099="","",6-CEILING(PERCENTRANK.INC($B$3:$B$6000,B2099,4)*5+0.000001,1))</f>
        <v/>
      </c>
      <c r="F2099">
        <f>IF(A2099="","",MAX(1,CEILING(PERCENTRANK.INC($C$3:$C$6000,C2099,4)*5+0.000001,1)))</f>
        <v/>
      </c>
      <c r="G2099">
        <f>IF(A2099="","",MAX(1,CEILING(PERCENTRANK.INC($D$3:$D$6000,D2099,4)*5+0.000001,1)))</f>
        <v/>
      </c>
      <c r="H2099">
        <f>IF(A2099="","",E2099&amp;F2099&amp;G2099)</f>
        <v/>
      </c>
      <c r="I2099">
        <f>IF(A2099="","",IF(AND(E2099&gt;=4,F2099&gt;=4,G2099&gt;=4),"Juara",IF(AND(F2099&gt;=4,E2099&gt;=3),"Setia",IF(AND(E2099=5,F2099&lt;=2,G2099&gt;=3),"Berpotensi",IF(AND(E2099&lt;=3,E2099&gt;=2,F2099&gt;=3),"Rawan",IF(AND(E2099&lt;=2,F2099&lt;=2),"Tidur","Umum"))))))</f>
        <v/>
      </c>
    </row>
    <row r="2100">
      <c r="B2100">
        <f>IF(A2100="","",$B$1-MAXIFS(Donasi!$A$2:$A$20000,Donasi!$B$2:$B$20000,A2100))</f>
        <v/>
      </c>
      <c r="C2100">
        <f>IF(A2100="","",COUNTIF(Donasi!$B$2:$B$20000,A2100))</f>
        <v/>
      </c>
      <c r="D2100">
        <f>IF(A2100="","",SUMIF(Donasi!$B$2:$B$20000,A2100,Donasi!$C$2:$C$20000))</f>
        <v/>
      </c>
      <c r="E2100">
        <f>IF(A2100="","",6-CEILING(PERCENTRANK.INC($B$3:$B$6000,B2100,4)*5+0.000001,1))</f>
        <v/>
      </c>
      <c r="F2100">
        <f>IF(A2100="","",MAX(1,CEILING(PERCENTRANK.INC($C$3:$C$6000,C2100,4)*5+0.000001,1)))</f>
        <v/>
      </c>
      <c r="G2100">
        <f>IF(A2100="","",MAX(1,CEILING(PERCENTRANK.INC($D$3:$D$6000,D2100,4)*5+0.000001,1)))</f>
        <v/>
      </c>
      <c r="H2100">
        <f>IF(A2100="","",E2100&amp;F2100&amp;G2100)</f>
        <v/>
      </c>
      <c r="I2100">
        <f>IF(A2100="","",IF(AND(E2100&gt;=4,F2100&gt;=4,G2100&gt;=4),"Juara",IF(AND(F2100&gt;=4,E2100&gt;=3),"Setia",IF(AND(E2100=5,F2100&lt;=2,G2100&gt;=3),"Berpotensi",IF(AND(E2100&lt;=3,E2100&gt;=2,F2100&gt;=3),"Rawan",IF(AND(E2100&lt;=2,F2100&lt;=2),"Tidur","Umum"))))))</f>
        <v/>
      </c>
    </row>
    <row r="2101">
      <c r="B2101">
        <f>IF(A2101="","",$B$1-MAXIFS(Donasi!$A$2:$A$20000,Donasi!$B$2:$B$20000,A2101))</f>
        <v/>
      </c>
      <c r="C2101">
        <f>IF(A2101="","",COUNTIF(Donasi!$B$2:$B$20000,A2101))</f>
        <v/>
      </c>
      <c r="D2101">
        <f>IF(A2101="","",SUMIF(Donasi!$B$2:$B$20000,A2101,Donasi!$C$2:$C$20000))</f>
        <v/>
      </c>
      <c r="E2101">
        <f>IF(A2101="","",6-CEILING(PERCENTRANK.INC($B$3:$B$6000,B2101,4)*5+0.000001,1))</f>
        <v/>
      </c>
      <c r="F2101">
        <f>IF(A2101="","",MAX(1,CEILING(PERCENTRANK.INC($C$3:$C$6000,C2101,4)*5+0.000001,1)))</f>
        <v/>
      </c>
      <c r="G2101">
        <f>IF(A2101="","",MAX(1,CEILING(PERCENTRANK.INC($D$3:$D$6000,D2101,4)*5+0.000001,1)))</f>
        <v/>
      </c>
      <c r="H2101">
        <f>IF(A2101="","",E2101&amp;F2101&amp;G2101)</f>
        <v/>
      </c>
      <c r="I2101">
        <f>IF(A2101="","",IF(AND(E2101&gt;=4,F2101&gt;=4,G2101&gt;=4),"Juara",IF(AND(F2101&gt;=4,E2101&gt;=3),"Setia",IF(AND(E2101=5,F2101&lt;=2,G2101&gt;=3),"Berpotensi",IF(AND(E2101&lt;=3,E2101&gt;=2,F2101&gt;=3),"Rawan",IF(AND(E2101&lt;=2,F2101&lt;=2),"Tidur","Umum"))))))</f>
        <v/>
      </c>
    </row>
    <row r="2102">
      <c r="B2102">
        <f>IF(A2102="","",$B$1-MAXIFS(Donasi!$A$2:$A$20000,Donasi!$B$2:$B$20000,A2102))</f>
        <v/>
      </c>
      <c r="C2102">
        <f>IF(A2102="","",COUNTIF(Donasi!$B$2:$B$20000,A2102))</f>
        <v/>
      </c>
      <c r="D2102">
        <f>IF(A2102="","",SUMIF(Donasi!$B$2:$B$20000,A2102,Donasi!$C$2:$C$20000))</f>
        <v/>
      </c>
      <c r="E2102">
        <f>IF(A2102="","",6-CEILING(PERCENTRANK.INC($B$3:$B$6000,B2102,4)*5+0.000001,1))</f>
        <v/>
      </c>
      <c r="F2102">
        <f>IF(A2102="","",MAX(1,CEILING(PERCENTRANK.INC($C$3:$C$6000,C2102,4)*5+0.000001,1)))</f>
        <v/>
      </c>
      <c r="G2102">
        <f>IF(A2102="","",MAX(1,CEILING(PERCENTRANK.INC($D$3:$D$6000,D2102,4)*5+0.000001,1)))</f>
        <v/>
      </c>
      <c r="H2102">
        <f>IF(A2102="","",E2102&amp;F2102&amp;G2102)</f>
        <v/>
      </c>
      <c r="I2102">
        <f>IF(A2102="","",IF(AND(E2102&gt;=4,F2102&gt;=4,G2102&gt;=4),"Juara",IF(AND(F2102&gt;=4,E2102&gt;=3),"Setia",IF(AND(E2102=5,F2102&lt;=2,G2102&gt;=3),"Berpotensi",IF(AND(E2102&lt;=3,E2102&gt;=2,F2102&gt;=3),"Rawan",IF(AND(E2102&lt;=2,F2102&lt;=2),"Tidur","Umum"))))))</f>
        <v/>
      </c>
    </row>
    <row r="2103">
      <c r="B2103">
        <f>IF(A2103="","",$B$1-MAXIFS(Donasi!$A$2:$A$20000,Donasi!$B$2:$B$20000,A2103))</f>
        <v/>
      </c>
      <c r="C2103">
        <f>IF(A2103="","",COUNTIF(Donasi!$B$2:$B$20000,A2103))</f>
        <v/>
      </c>
      <c r="D2103">
        <f>IF(A2103="","",SUMIF(Donasi!$B$2:$B$20000,A2103,Donasi!$C$2:$C$20000))</f>
        <v/>
      </c>
      <c r="E2103">
        <f>IF(A2103="","",6-CEILING(PERCENTRANK.INC($B$3:$B$6000,B2103,4)*5+0.000001,1))</f>
        <v/>
      </c>
      <c r="F2103">
        <f>IF(A2103="","",MAX(1,CEILING(PERCENTRANK.INC($C$3:$C$6000,C2103,4)*5+0.000001,1)))</f>
        <v/>
      </c>
      <c r="G2103">
        <f>IF(A2103="","",MAX(1,CEILING(PERCENTRANK.INC($D$3:$D$6000,D2103,4)*5+0.000001,1)))</f>
        <v/>
      </c>
      <c r="H2103">
        <f>IF(A2103="","",E2103&amp;F2103&amp;G2103)</f>
        <v/>
      </c>
      <c r="I2103">
        <f>IF(A2103="","",IF(AND(E2103&gt;=4,F2103&gt;=4,G2103&gt;=4),"Juara",IF(AND(F2103&gt;=4,E2103&gt;=3),"Setia",IF(AND(E2103=5,F2103&lt;=2,G2103&gt;=3),"Berpotensi",IF(AND(E2103&lt;=3,E2103&gt;=2,F2103&gt;=3),"Rawan",IF(AND(E2103&lt;=2,F2103&lt;=2),"Tidur","Umum"))))))</f>
        <v/>
      </c>
    </row>
    <row r="2104">
      <c r="B2104">
        <f>IF(A2104="","",$B$1-MAXIFS(Donasi!$A$2:$A$20000,Donasi!$B$2:$B$20000,A2104))</f>
        <v/>
      </c>
      <c r="C2104">
        <f>IF(A2104="","",COUNTIF(Donasi!$B$2:$B$20000,A2104))</f>
        <v/>
      </c>
      <c r="D2104">
        <f>IF(A2104="","",SUMIF(Donasi!$B$2:$B$20000,A2104,Donasi!$C$2:$C$20000))</f>
        <v/>
      </c>
      <c r="E2104">
        <f>IF(A2104="","",6-CEILING(PERCENTRANK.INC($B$3:$B$6000,B2104,4)*5+0.000001,1))</f>
        <v/>
      </c>
      <c r="F2104">
        <f>IF(A2104="","",MAX(1,CEILING(PERCENTRANK.INC($C$3:$C$6000,C2104,4)*5+0.000001,1)))</f>
        <v/>
      </c>
      <c r="G2104">
        <f>IF(A2104="","",MAX(1,CEILING(PERCENTRANK.INC($D$3:$D$6000,D2104,4)*5+0.000001,1)))</f>
        <v/>
      </c>
      <c r="H2104">
        <f>IF(A2104="","",E2104&amp;F2104&amp;G2104)</f>
        <v/>
      </c>
      <c r="I2104">
        <f>IF(A2104="","",IF(AND(E2104&gt;=4,F2104&gt;=4,G2104&gt;=4),"Juara",IF(AND(F2104&gt;=4,E2104&gt;=3),"Setia",IF(AND(E2104=5,F2104&lt;=2,G2104&gt;=3),"Berpotensi",IF(AND(E2104&lt;=3,E2104&gt;=2,F2104&gt;=3),"Rawan",IF(AND(E2104&lt;=2,F2104&lt;=2),"Tidur","Umum"))))))</f>
        <v/>
      </c>
    </row>
    <row r="2105">
      <c r="B2105">
        <f>IF(A2105="","",$B$1-MAXIFS(Donasi!$A$2:$A$20000,Donasi!$B$2:$B$20000,A2105))</f>
        <v/>
      </c>
      <c r="C2105">
        <f>IF(A2105="","",COUNTIF(Donasi!$B$2:$B$20000,A2105))</f>
        <v/>
      </c>
      <c r="D2105">
        <f>IF(A2105="","",SUMIF(Donasi!$B$2:$B$20000,A2105,Donasi!$C$2:$C$20000))</f>
        <v/>
      </c>
      <c r="E2105">
        <f>IF(A2105="","",6-CEILING(PERCENTRANK.INC($B$3:$B$6000,B2105,4)*5+0.000001,1))</f>
        <v/>
      </c>
      <c r="F2105">
        <f>IF(A2105="","",MAX(1,CEILING(PERCENTRANK.INC($C$3:$C$6000,C2105,4)*5+0.000001,1)))</f>
        <v/>
      </c>
      <c r="G2105">
        <f>IF(A2105="","",MAX(1,CEILING(PERCENTRANK.INC($D$3:$D$6000,D2105,4)*5+0.000001,1)))</f>
        <v/>
      </c>
      <c r="H2105">
        <f>IF(A2105="","",E2105&amp;F2105&amp;G2105)</f>
        <v/>
      </c>
      <c r="I2105">
        <f>IF(A2105="","",IF(AND(E2105&gt;=4,F2105&gt;=4,G2105&gt;=4),"Juara",IF(AND(F2105&gt;=4,E2105&gt;=3),"Setia",IF(AND(E2105=5,F2105&lt;=2,G2105&gt;=3),"Berpotensi",IF(AND(E2105&lt;=3,E2105&gt;=2,F2105&gt;=3),"Rawan",IF(AND(E2105&lt;=2,F2105&lt;=2),"Tidur","Umum"))))))</f>
        <v/>
      </c>
    </row>
    <row r="2106">
      <c r="B2106">
        <f>IF(A2106="","",$B$1-MAXIFS(Donasi!$A$2:$A$20000,Donasi!$B$2:$B$20000,A2106))</f>
        <v/>
      </c>
      <c r="C2106">
        <f>IF(A2106="","",COUNTIF(Donasi!$B$2:$B$20000,A2106))</f>
        <v/>
      </c>
      <c r="D2106">
        <f>IF(A2106="","",SUMIF(Donasi!$B$2:$B$20000,A2106,Donasi!$C$2:$C$20000))</f>
        <v/>
      </c>
      <c r="E2106">
        <f>IF(A2106="","",6-CEILING(PERCENTRANK.INC($B$3:$B$6000,B2106,4)*5+0.000001,1))</f>
        <v/>
      </c>
      <c r="F2106">
        <f>IF(A2106="","",MAX(1,CEILING(PERCENTRANK.INC($C$3:$C$6000,C2106,4)*5+0.000001,1)))</f>
        <v/>
      </c>
      <c r="G2106">
        <f>IF(A2106="","",MAX(1,CEILING(PERCENTRANK.INC($D$3:$D$6000,D2106,4)*5+0.000001,1)))</f>
        <v/>
      </c>
      <c r="H2106">
        <f>IF(A2106="","",E2106&amp;F2106&amp;G2106)</f>
        <v/>
      </c>
      <c r="I2106">
        <f>IF(A2106="","",IF(AND(E2106&gt;=4,F2106&gt;=4,G2106&gt;=4),"Juara",IF(AND(F2106&gt;=4,E2106&gt;=3),"Setia",IF(AND(E2106=5,F2106&lt;=2,G2106&gt;=3),"Berpotensi",IF(AND(E2106&lt;=3,E2106&gt;=2,F2106&gt;=3),"Rawan",IF(AND(E2106&lt;=2,F2106&lt;=2),"Tidur","Umum"))))))</f>
        <v/>
      </c>
    </row>
    <row r="2107">
      <c r="B2107">
        <f>IF(A2107="","",$B$1-MAXIFS(Donasi!$A$2:$A$20000,Donasi!$B$2:$B$20000,A2107))</f>
        <v/>
      </c>
      <c r="C2107">
        <f>IF(A2107="","",COUNTIF(Donasi!$B$2:$B$20000,A2107))</f>
        <v/>
      </c>
      <c r="D2107">
        <f>IF(A2107="","",SUMIF(Donasi!$B$2:$B$20000,A2107,Donasi!$C$2:$C$20000))</f>
        <v/>
      </c>
      <c r="E2107">
        <f>IF(A2107="","",6-CEILING(PERCENTRANK.INC($B$3:$B$6000,B2107,4)*5+0.000001,1))</f>
        <v/>
      </c>
      <c r="F2107">
        <f>IF(A2107="","",MAX(1,CEILING(PERCENTRANK.INC($C$3:$C$6000,C2107,4)*5+0.000001,1)))</f>
        <v/>
      </c>
      <c r="G2107">
        <f>IF(A2107="","",MAX(1,CEILING(PERCENTRANK.INC($D$3:$D$6000,D2107,4)*5+0.000001,1)))</f>
        <v/>
      </c>
      <c r="H2107">
        <f>IF(A2107="","",E2107&amp;F2107&amp;G2107)</f>
        <v/>
      </c>
      <c r="I2107">
        <f>IF(A2107="","",IF(AND(E2107&gt;=4,F2107&gt;=4,G2107&gt;=4),"Juara",IF(AND(F2107&gt;=4,E2107&gt;=3),"Setia",IF(AND(E2107=5,F2107&lt;=2,G2107&gt;=3),"Berpotensi",IF(AND(E2107&lt;=3,E2107&gt;=2,F2107&gt;=3),"Rawan",IF(AND(E2107&lt;=2,F2107&lt;=2),"Tidur","Umum"))))))</f>
        <v/>
      </c>
    </row>
    <row r="2108">
      <c r="B2108">
        <f>IF(A2108="","",$B$1-MAXIFS(Donasi!$A$2:$A$20000,Donasi!$B$2:$B$20000,A2108))</f>
        <v/>
      </c>
      <c r="C2108">
        <f>IF(A2108="","",COUNTIF(Donasi!$B$2:$B$20000,A2108))</f>
        <v/>
      </c>
      <c r="D2108">
        <f>IF(A2108="","",SUMIF(Donasi!$B$2:$B$20000,A2108,Donasi!$C$2:$C$20000))</f>
        <v/>
      </c>
      <c r="E2108">
        <f>IF(A2108="","",6-CEILING(PERCENTRANK.INC($B$3:$B$6000,B2108,4)*5+0.000001,1))</f>
        <v/>
      </c>
      <c r="F2108">
        <f>IF(A2108="","",MAX(1,CEILING(PERCENTRANK.INC($C$3:$C$6000,C2108,4)*5+0.000001,1)))</f>
        <v/>
      </c>
      <c r="G2108">
        <f>IF(A2108="","",MAX(1,CEILING(PERCENTRANK.INC($D$3:$D$6000,D2108,4)*5+0.000001,1)))</f>
        <v/>
      </c>
      <c r="H2108">
        <f>IF(A2108="","",E2108&amp;F2108&amp;G2108)</f>
        <v/>
      </c>
      <c r="I2108">
        <f>IF(A2108="","",IF(AND(E2108&gt;=4,F2108&gt;=4,G2108&gt;=4),"Juara",IF(AND(F2108&gt;=4,E2108&gt;=3),"Setia",IF(AND(E2108=5,F2108&lt;=2,G2108&gt;=3),"Berpotensi",IF(AND(E2108&lt;=3,E2108&gt;=2,F2108&gt;=3),"Rawan",IF(AND(E2108&lt;=2,F2108&lt;=2),"Tidur","Umum"))))))</f>
        <v/>
      </c>
    </row>
    <row r="2109">
      <c r="B2109">
        <f>IF(A2109="","",$B$1-MAXIFS(Donasi!$A$2:$A$20000,Donasi!$B$2:$B$20000,A2109))</f>
        <v/>
      </c>
      <c r="C2109">
        <f>IF(A2109="","",COUNTIF(Donasi!$B$2:$B$20000,A2109))</f>
        <v/>
      </c>
      <c r="D2109">
        <f>IF(A2109="","",SUMIF(Donasi!$B$2:$B$20000,A2109,Donasi!$C$2:$C$20000))</f>
        <v/>
      </c>
      <c r="E2109">
        <f>IF(A2109="","",6-CEILING(PERCENTRANK.INC($B$3:$B$6000,B2109,4)*5+0.000001,1))</f>
        <v/>
      </c>
      <c r="F2109">
        <f>IF(A2109="","",MAX(1,CEILING(PERCENTRANK.INC($C$3:$C$6000,C2109,4)*5+0.000001,1)))</f>
        <v/>
      </c>
      <c r="G2109">
        <f>IF(A2109="","",MAX(1,CEILING(PERCENTRANK.INC($D$3:$D$6000,D2109,4)*5+0.000001,1)))</f>
        <v/>
      </c>
      <c r="H2109">
        <f>IF(A2109="","",E2109&amp;F2109&amp;G2109)</f>
        <v/>
      </c>
      <c r="I2109">
        <f>IF(A2109="","",IF(AND(E2109&gt;=4,F2109&gt;=4,G2109&gt;=4),"Juara",IF(AND(F2109&gt;=4,E2109&gt;=3),"Setia",IF(AND(E2109=5,F2109&lt;=2,G2109&gt;=3),"Berpotensi",IF(AND(E2109&lt;=3,E2109&gt;=2,F2109&gt;=3),"Rawan",IF(AND(E2109&lt;=2,F2109&lt;=2),"Tidur","Umum"))))))</f>
        <v/>
      </c>
    </row>
    <row r="2110">
      <c r="B2110">
        <f>IF(A2110="","",$B$1-MAXIFS(Donasi!$A$2:$A$20000,Donasi!$B$2:$B$20000,A2110))</f>
        <v/>
      </c>
      <c r="C2110">
        <f>IF(A2110="","",COUNTIF(Donasi!$B$2:$B$20000,A2110))</f>
        <v/>
      </c>
      <c r="D2110">
        <f>IF(A2110="","",SUMIF(Donasi!$B$2:$B$20000,A2110,Donasi!$C$2:$C$20000))</f>
        <v/>
      </c>
      <c r="E2110">
        <f>IF(A2110="","",6-CEILING(PERCENTRANK.INC($B$3:$B$6000,B2110,4)*5+0.000001,1))</f>
        <v/>
      </c>
      <c r="F2110">
        <f>IF(A2110="","",MAX(1,CEILING(PERCENTRANK.INC($C$3:$C$6000,C2110,4)*5+0.000001,1)))</f>
        <v/>
      </c>
      <c r="G2110">
        <f>IF(A2110="","",MAX(1,CEILING(PERCENTRANK.INC($D$3:$D$6000,D2110,4)*5+0.000001,1)))</f>
        <v/>
      </c>
      <c r="H2110">
        <f>IF(A2110="","",E2110&amp;F2110&amp;G2110)</f>
        <v/>
      </c>
      <c r="I2110">
        <f>IF(A2110="","",IF(AND(E2110&gt;=4,F2110&gt;=4,G2110&gt;=4),"Juara",IF(AND(F2110&gt;=4,E2110&gt;=3),"Setia",IF(AND(E2110=5,F2110&lt;=2,G2110&gt;=3),"Berpotensi",IF(AND(E2110&lt;=3,E2110&gt;=2,F2110&gt;=3),"Rawan",IF(AND(E2110&lt;=2,F2110&lt;=2),"Tidur","Umum"))))))</f>
        <v/>
      </c>
    </row>
    <row r="2111">
      <c r="B2111">
        <f>IF(A2111="","",$B$1-MAXIFS(Donasi!$A$2:$A$20000,Donasi!$B$2:$B$20000,A2111))</f>
        <v/>
      </c>
      <c r="C2111">
        <f>IF(A2111="","",COUNTIF(Donasi!$B$2:$B$20000,A2111))</f>
        <v/>
      </c>
      <c r="D2111">
        <f>IF(A2111="","",SUMIF(Donasi!$B$2:$B$20000,A2111,Donasi!$C$2:$C$20000))</f>
        <v/>
      </c>
      <c r="E2111">
        <f>IF(A2111="","",6-CEILING(PERCENTRANK.INC($B$3:$B$6000,B2111,4)*5+0.000001,1))</f>
        <v/>
      </c>
      <c r="F2111">
        <f>IF(A2111="","",MAX(1,CEILING(PERCENTRANK.INC($C$3:$C$6000,C2111,4)*5+0.000001,1)))</f>
        <v/>
      </c>
      <c r="G2111">
        <f>IF(A2111="","",MAX(1,CEILING(PERCENTRANK.INC($D$3:$D$6000,D2111,4)*5+0.000001,1)))</f>
        <v/>
      </c>
      <c r="H2111">
        <f>IF(A2111="","",E2111&amp;F2111&amp;G2111)</f>
        <v/>
      </c>
      <c r="I2111">
        <f>IF(A2111="","",IF(AND(E2111&gt;=4,F2111&gt;=4,G2111&gt;=4),"Juara",IF(AND(F2111&gt;=4,E2111&gt;=3),"Setia",IF(AND(E2111=5,F2111&lt;=2,G2111&gt;=3),"Berpotensi",IF(AND(E2111&lt;=3,E2111&gt;=2,F2111&gt;=3),"Rawan",IF(AND(E2111&lt;=2,F2111&lt;=2),"Tidur","Umum"))))))</f>
        <v/>
      </c>
    </row>
    <row r="2112">
      <c r="B2112">
        <f>IF(A2112="","",$B$1-MAXIFS(Donasi!$A$2:$A$20000,Donasi!$B$2:$B$20000,A2112))</f>
        <v/>
      </c>
      <c r="C2112">
        <f>IF(A2112="","",COUNTIF(Donasi!$B$2:$B$20000,A2112))</f>
        <v/>
      </c>
      <c r="D2112">
        <f>IF(A2112="","",SUMIF(Donasi!$B$2:$B$20000,A2112,Donasi!$C$2:$C$20000))</f>
        <v/>
      </c>
      <c r="E2112">
        <f>IF(A2112="","",6-CEILING(PERCENTRANK.INC($B$3:$B$6000,B2112,4)*5+0.000001,1))</f>
        <v/>
      </c>
      <c r="F2112">
        <f>IF(A2112="","",MAX(1,CEILING(PERCENTRANK.INC($C$3:$C$6000,C2112,4)*5+0.000001,1)))</f>
        <v/>
      </c>
      <c r="G2112">
        <f>IF(A2112="","",MAX(1,CEILING(PERCENTRANK.INC($D$3:$D$6000,D2112,4)*5+0.000001,1)))</f>
        <v/>
      </c>
      <c r="H2112">
        <f>IF(A2112="","",E2112&amp;F2112&amp;G2112)</f>
        <v/>
      </c>
      <c r="I2112">
        <f>IF(A2112="","",IF(AND(E2112&gt;=4,F2112&gt;=4,G2112&gt;=4),"Juara",IF(AND(F2112&gt;=4,E2112&gt;=3),"Setia",IF(AND(E2112=5,F2112&lt;=2,G2112&gt;=3),"Berpotensi",IF(AND(E2112&lt;=3,E2112&gt;=2,F2112&gt;=3),"Rawan",IF(AND(E2112&lt;=2,F2112&lt;=2),"Tidur","Umum"))))))</f>
        <v/>
      </c>
    </row>
    <row r="2113">
      <c r="B2113">
        <f>IF(A2113="","",$B$1-MAXIFS(Donasi!$A$2:$A$20000,Donasi!$B$2:$B$20000,A2113))</f>
        <v/>
      </c>
      <c r="C2113">
        <f>IF(A2113="","",COUNTIF(Donasi!$B$2:$B$20000,A2113))</f>
        <v/>
      </c>
      <c r="D2113">
        <f>IF(A2113="","",SUMIF(Donasi!$B$2:$B$20000,A2113,Donasi!$C$2:$C$20000))</f>
        <v/>
      </c>
      <c r="E2113">
        <f>IF(A2113="","",6-CEILING(PERCENTRANK.INC($B$3:$B$6000,B2113,4)*5+0.000001,1))</f>
        <v/>
      </c>
      <c r="F2113">
        <f>IF(A2113="","",MAX(1,CEILING(PERCENTRANK.INC($C$3:$C$6000,C2113,4)*5+0.000001,1)))</f>
        <v/>
      </c>
      <c r="G2113">
        <f>IF(A2113="","",MAX(1,CEILING(PERCENTRANK.INC($D$3:$D$6000,D2113,4)*5+0.000001,1)))</f>
        <v/>
      </c>
      <c r="H2113">
        <f>IF(A2113="","",E2113&amp;F2113&amp;G2113)</f>
        <v/>
      </c>
      <c r="I2113">
        <f>IF(A2113="","",IF(AND(E2113&gt;=4,F2113&gt;=4,G2113&gt;=4),"Juara",IF(AND(F2113&gt;=4,E2113&gt;=3),"Setia",IF(AND(E2113=5,F2113&lt;=2,G2113&gt;=3),"Berpotensi",IF(AND(E2113&lt;=3,E2113&gt;=2,F2113&gt;=3),"Rawan",IF(AND(E2113&lt;=2,F2113&lt;=2),"Tidur","Umum"))))))</f>
        <v/>
      </c>
    </row>
    <row r="2114">
      <c r="B2114">
        <f>IF(A2114="","",$B$1-MAXIFS(Donasi!$A$2:$A$20000,Donasi!$B$2:$B$20000,A2114))</f>
        <v/>
      </c>
      <c r="C2114">
        <f>IF(A2114="","",COUNTIF(Donasi!$B$2:$B$20000,A2114))</f>
        <v/>
      </c>
      <c r="D2114">
        <f>IF(A2114="","",SUMIF(Donasi!$B$2:$B$20000,A2114,Donasi!$C$2:$C$20000))</f>
        <v/>
      </c>
      <c r="E2114">
        <f>IF(A2114="","",6-CEILING(PERCENTRANK.INC($B$3:$B$6000,B2114,4)*5+0.000001,1))</f>
        <v/>
      </c>
      <c r="F2114">
        <f>IF(A2114="","",MAX(1,CEILING(PERCENTRANK.INC($C$3:$C$6000,C2114,4)*5+0.000001,1)))</f>
        <v/>
      </c>
      <c r="G2114">
        <f>IF(A2114="","",MAX(1,CEILING(PERCENTRANK.INC($D$3:$D$6000,D2114,4)*5+0.000001,1)))</f>
        <v/>
      </c>
      <c r="H2114">
        <f>IF(A2114="","",E2114&amp;F2114&amp;G2114)</f>
        <v/>
      </c>
      <c r="I2114">
        <f>IF(A2114="","",IF(AND(E2114&gt;=4,F2114&gt;=4,G2114&gt;=4),"Juara",IF(AND(F2114&gt;=4,E2114&gt;=3),"Setia",IF(AND(E2114=5,F2114&lt;=2,G2114&gt;=3),"Berpotensi",IF(AND(E2114&lt;=3,E2114&gt;=2,F2114&gt;=3),"Rawan",IF(AND(E2114&lt;=2,F2114&lt;=2),"Tidur","Umum"))))))</f>
        <v/>
      </c>
    </row>
    <row r="2115">
      <c r="B2115">
        <f>IF(A2115="","",$B$1-MAXIFS(Donasi!$A$2:$A$20000,Donasi!$B$2:$B$20000,A2115))</f>
        <v/>
      </c>
      <c r="C2115">
        <f>IF(A2115="","",COUNTIF(Donasi!$B$2:$B$20000,A2115))</f>
        <v/>
      </c>
      <c r="D2115">
        <f>IF(A2115="","",SUMIF(Donasi!$B$2:$B$20000,A2115,Donasi!$C$2:$C$20000))</f>
        <v/>
      </c>
      <c r="E2115">
        <f>IF(A2115="","",6-CEILING(PERCENTRANK.INC($B$3:$B$6000,B2115,4)*5+0.000001,1))</f>
        <v/>
      </c>
      <c r="F2115">
        <f>IF(A2115="","",MAX(1,CEILING(PERCENTRANK.INC($C$3:$C$6000,C2115,4)*5+0.000001,1)))</f>
        <v/>
      </c>
      <c r="G2115">
        <f>IF(A2115="","",MAX(1,CEILING(PERCENTRANK.INC($D$3:$D$6000,D2115,4)*5+0.000001,1)))</f>
        <v/>
      </c>
      <c r="H2115">
        <f>IF(A2115="","",E2115&amp;F2115&amp;G2115)</f>
        <v/>
      </c>
      <c r="I2115">
        <f>IF(A2115="","",IF(AND(E2115&gt;=4,F2115&gt;=4,G2115&gt;=4),"Juara",IF(AND(F2115&gt;=4,E2115&gt;=3),"Setia",IF(AND(E2115=5,F2115&lt;=2,G2115&gt;=3),"Berpotensi",IF(AND(E2115&lt;=3,E2115&gt;=2,F2115&gt;=3),"Rawan",IF(AND(E2115&lt;=2,F2115&lt;=2),"Tidur","Umum"))))))</f>
        <v/>
      </c>
    </row>
    <row r="2116">
      <c r="B2116">
        <f>IF(A2116="","",$B$1-MAXIFS(Donasi!$A$2:$A$20000,Donasi!$B$2:$B$20000,A2116))</f>
        <v/>
      </c>
      <c r="C2116">
        <f>IF(A2116="","",COUNTIF(Donasi!$B$2:$B$20000,A2116))</f>
        <v/>
      </c>
      <c r="D2116">
        <f>IF(A2116="","",SUMIF(Donasi!$B$2:$B$20000,A2116,Donasi!$C$2:$C$20000))</f>
        <v/>
      </c>
      <c r="E2116">
        <f>IF(A2116="","",6-CEILING(PERCENTRANK.INC($B$3:$B$6000,B2116,4)*5+0.000001,1))</f>
        <v/>
      </c>
      <c r="F2116">
        <f>IF(A2116="","",MAX(1,CEILING(PERCENTRANK.INC($C$3:$C$6000,C2116,4)*5+0.000001,1)))</f>
        <v/>
      </c>
      <c r="G2116">
        <f>IF(A2116="","",MAX(1,CEILING(PERCENTRANK.INC($D$3:$D$6000,D2116,4)*5+0.000001,1)))</f>
        <v/>
      </c>
      <c r="H2116">
        <f>IF(A2116="","",E2116&amp;F2116&amp;G2116)</f>
        <v/>
      </c>
      <c r="I2116">
        <f>IF(A2116="","",IF(AND(E2116&gt;=4,F2116&gt;=4,G2116&gt;=4),"Juara",IF(AND(F2116&gt;=4,E2116&gt;=3),"Setia",IF(AND(E2116=5,F2116&lt;=2,G2116&gt;=3),"Berpotensi",IF(AND(E2116&lt;=3,E2116&gt;=2,F2116&gt;=3),"Rawan",IF(AND(E2116&lt;=2,F2116&lt;=2),"Tidur","Umum"))))))</f>
        <v/>
      </c>
    </row>
    <row r="2117">
      <c r="B2117">
        <f>IF(A2117="","",$B$1-MAXIFS(Donasi!$A$2:$A$20000,Donasi!$B$2:$B$20000,A2117))</f>
        <v/>
      </c>
      <c r="C2117">
        <f>IF(A2117="","",COUNTIF(Donasi!$B$2:$B$20000,A2117))</f>
        <v/>
      </c>
      <c r="D2117">
        <f>IF(A2117="","",SUMIF(Donasi!$B$2:$B$20000,A2117,Donasi!$C$2:$C$20000))</f>
        <v/>
      </c>
      <c r="E2117">
        <f>IF(A2117="","",6-CEILING(PERCENTRANK.INC($B$3:$B$6000,B2117,4)*5+0.000001,1))</f>
        <v/>
      </c>
      <c r="F2117">
        <f>IF(A2117="","",MAX(1,CEILING(PERCENTRANK.INC($C$3:$C$6000,C2117,4)*5+0.000001,1)))</f>
        <v/>
      </c>
      <c r="G2117">
        <f>IF(A2117="","",MAX(1,CEILING(PERCENTRANK.INC($D$3:$D$6000,D2117,4)*5+0.000001,1)))</f>
        <v/>
      </c>
      <c r="H2117">
        <f>IF(A2117="","",E2117&amp;F2117&amp;G2117)</f>
        <v/>
      </c>
      <c r="I2117">
        <f>IF(A2117="","",IF(AND(E2117&gt;=4,F2117&gt;=4,G2117&gt;=4),"Juara",IF(AND(F2117&gt;=4,E2117&gt;=3),"Setia",IF(AND(E2117=5,F2117&lt;=2,G2117&gt;=3),"Berpotensi",IF(AND(E2117&lt;=3,E2117&gt;=2,F2117&gt;=3),"Rawan",IF(AND(E2117&lt;=2,F2117&lt;=2),"Tidur","Umum"))))))</f>
        <v/>
      </c>
    </row>
    <row r="2118">
      <c r="B2118">
        <f>IF(A2118="","",$B$1-MAXIFS(Donasi!$A$2:$A$20000,Donasi!$B$2:$B$20000,A2118))</f>
        <v/>
      </c>
      <c r="C2118">
        <f>IF(A2118="","",COUNTIF(Donasi!$B$2:$B$20000,A2118))</f>
        <v/>
      </c>
      <c r="D2118">
        <f>IF(A2118="","",SUMIF(Donasi!$B$2:$B$20000,A2118,Donasi!$C$2:$C$20000))</f>
        <v/>
      </c>
      <c r="E2118">
        <f>IF(A2118="","",6-CEILING(PERCENTRANK.INC($B$3:$B$6000,B2118,4)*5+0.000001,1))</f>
        <v/>
      </c>
      <c r="F2118">
        <f>IF(A2118="","",MAX(1,CEILING(PERCENTRANK.INC($C$3:$C$6000,C2118,4)*5+0.000001,1)))</f>
        <v/>
      </c>
      <c r="G2118">
        <f>IF(A2118="","",MAX(1,CEILING(PERCENTRANK.INC($D$3:$D$6000,D2118,4)*5+0.000001,1)))</f>
        <v/>
      </c>
      <c r="H2118">
        <f>IF(A2118="","",E2118&amp;F2118&amp;G2118)</f>
        <v/>
      </c>
      <c r="I2118">
        <f>IF(A2118="","",IF(AND(E2118&gt;=4,F2118&gt;=4,G2118&gt;=4),"Juara",IF(AND(F2118&gt;=4,E2118&gt;=3),"Setia",IF(AND(E2118=5,F2118&lt;=2,G2118&gt;=3),"Berpotensi",IF(AND(E2118&lt;=3,E2118&gt;=2,F2118&gt;=3),"Rawan",IF(AND(E2118&lt;=2,F2118&lt;=2),"Tidur","Umum"))))))</f>
        <v/>
      </c>
    </row>
    <row r="2119">
      <c r="B2119">
        <f>IF(A2119="","",$B$1-MAXIFS(Donasi!$A$2:$A$20000,Donasi!$B$2:$B$20000,A2119))</f>
        <v/>
      </c>
      <c r="C2119">
        <f>IF(A2119="","",COUNTIF(Donasi!$B$2:$B$20000,A2119))</f>
        <v/>
      </c>
      <c r="D2119">
        <f>IF(A2119="","",SUMIF(Donasi!$B$2:$B$20000,A2119,Donasi!$C$2:$C$20000))</f>
        <v/>
      </c>
      <c r="E2119">
        <f>IF(A2119="","",6-CEILING(PERCENTRANK.INC($B$3:$B$6000,B2119,4)*5+0.000001,1))</f>
        <v/>
      </c>
      <c r="F2119">
        <f>IF(A2119="","",MAX(1,CEILING(PERCENTRANK.INC($C$3:$C$6000,C2119,4)*5+0.000001,1)))</f>
        <v/>
      </c>
      <c r="G2119">
        <f>IF(A2119="","",MAX(1,CEILING(PERCENTRANK.INC($D$3:$D$6000,D2119,4)*5+0.000001,1)))</f>
        <v/>
      </c>
      <c r="H2119">
        <f>IF(A2119="","",E2119&amp;F2119&amp;G2119)</f>
        <v/>
      </c>
      <c r="I2119">
        <f>IF(A2119="","",IF(AND(E2119&gt;=4,F2119&gt;=4,G2119&gt;=4),"Juara",IF(AND(F2119&gt;=4,E2119&gt;=3),"Setia",IF(AND(E2119=5,F2119&lt;=2,G2119&gt;=3),"Berpotensi",IF(AND(E2119&lt;=3,E2119&gt;=2,F2119&gt;=3),"Rawan",IF(AND(E2119&lt;=2,F2119&lt;=2),"Tidur","Umum"))))))</f>
        <v/>
      </c>
    </row>
    <row r="2120">
      <c r="B2120">
        <f>IF(A2120="","",$B$1-MAXIFS(Donasi!$A$2:$A$20000,Donasi!$B$2:$B$20000,A2120))</f>
        <v/>
      </c>
      <c r="C2120">
        <f>IF(A2120="","",COUNTIF(Donasi!$B$2:$B$20000,A2120))</f>
        <v/>
      </c>
      <c r="D2120">
        <f>IF(A2120="","",SUMIF(Donasi!$B$2:$B$20000,A2120,Donasi!$C$2:$C$20000))</f>
        <v/>
      </c>
      <c r="E2120">
        <f>IF(A2120="","",6-CEILING(PERCENTRANK.INC($B$3:$B$6000,B2120,4)*5+0.000001,1))</f>
        <v/>
      </c>
      <c r="F2120">
        <f>IF(A2120="","",MAX(1,CEILING(PERCENTRANK.INC($C$3:$C$6000,C2120,4)*5+0.000001,1)))</f>
        <v/>
      </c>
      <c r="G2120">
        <f>IF(A2120="","",MAX(1,CEILING(PERCENTRANK.INC($D$3:$D$6000,D2120,4)*5+0.000001,1)))</f>
        <v/>
      </c>
      <c r="H2120">
        <f>IF(A2120="","",E2120&amp;F2120&amp;G2120)</f>
        <v/>
      </c>
      <c r="I2120">
        <f>IF(A2120="","",IF(AND(E2120&gt;=4,F2120&gt;=4,G2120&gt;=4),"Juara",IF(AND(F2120&gt;=4,E2120&gt;=3),"Setia",IF(AND(E2120=5,F2120&lt;=2,G2120&gt;=3),"Berpotensi",IF(AND(E2120&lt;=3,E2120&gt;=2,F2120&gt;=3),"Rawan",IF(AND(E2120&lt;=2,F2120&lt;=2),"Tidur","Umum"))))))</f>
        <v/>
      </c>
    </row>
    <row r="2121">
      <c r="B2121">
        <f>IF(A2121="","",$B$1-MAXIFS(Donasi!$A$2:$A$20000,Donasi!$B$2:$B$20000,A2121))</f>
        <v/>
      </c>
      <c r="C2121">
        <f>IF(A2121="","",COUNTIF(Donasi!$B$2:$B$20000,A2121))</f>
        <v/>
      </c>
      <c r="D2121">
        <f>IF(A2121="","",SUMIF(Donasi!$B$2:$B$20000,A2121,Donasi!$C$2:$C$20000))</f>
        <v/>
      </c>
      <c r="E2121">
        <f>IF(A2121="","",6-CEILING(PERCENTRANK.INC($B$3:$B$6000,B2121,4)*5+0.000001,1))</f>
        <v/>
      </c>
      <c r="F2121">
        <f>IF(A2121="","",MAX(1,CEILING(PERCENTRANK.INC($C$3:$C$6000,C2121,4)*5+0.000001,1)))</f>
        <v/>
      </c>
      <c r="G2121">
        <f>IF(A2121="","",MAX(1,CEILING(PERCENTRANK.INC($D$3:$D$6000,D2121,4)*5+0.000001,1)))</f>
        <v/>
      </c>
      <c r="H2121">
        <f>IF(A2121="","",E2121&amp;F2121&amp;G2121)</f>
        <v/>
      </c>
      <c r="I2121">
        <f>IF(A2121="","",IF(AND(E2121&gt;=4,F2121&gt;=4,G2121&gt;=4),"Juara",IF(AND(F2121&gt;=4,E2121&gt;=3),"Setia",IF(AND(E2121=5,F2121&lt;=2,G2121&gt;=3),"Berpotensi",IF(AND(E2121&lt;=3,E2121&gt;=2,F2121&gt;=3),"Rawan",IF(AND(E2121&lt;=2,F2121&lt;=2),"Tidur","Umum"))))))</f>
        <v/>
      </c>
    </row>
    <row r="2122">
      <c r="B2122">
        <f>IF(A2122="","",$B$1-MAXIFS(Donasi!$A$2:$A$20000,Donasi!$B$2:$B$20000,A2122))</f>
        <v/>
      </c>
      <c r="C2122">
        <f>IF(A2122="","",COUNTIF(Donasi!$B$2:$B$20000,A2122))</f>
        <v/>
      </c>
      <c r="D2122">
        <f>IF(A2122="","",SUMIF(Donasi!$B$2:$B$20000,A2122,Donasi!$C$2:$C$20000))</f>
        <v/>
      </c>
      <c r="E2122">
        <f>IF(A2122="","",6-CEILING(PERCENTRANK.INC($B$3:$B$6000,B2122,4)*5+0.000001,1))</f>
        <v/>
      </c>
      <c r="F2122">
        <f>IF(A2122="","",MAX(1,CEILING(PERCENTRANK.INC($C$3:$C$6000,C2122,4)*5+0.000001,1)))</f>
        <v/>
      </c>
      <c r="G2122">
        <f>IF(A2122="","",MAX(1,CEILING(PERCENTRANK.INC($D$3:$D$6000,D2122,4)*5+0.000001,1)))</f>
        <v/>
      </c>
      <c r="H2122">
        <f>IF(A2122="","",E2122&amp;F2122&amp;G2122)</f>
        <v/>
      </c>
      <c r="I2122">
        <f>IF(A2122="","",IF(AND(E2122&gt;=4,F2122&gt;=4,G2122&gt;=4),"Juara",IF(AND(F2122&gt;=4,E2122&gt;=3),"Setia",IF(AND(E2122=5,F2122&lt;=2,G2122&gt;=3),"Berpotensi",IF(AND(E2122&lt;=3,E2122&gt;=2,F2122&gt;=3),"Rawan",IF(AND(E2122&lt;=2,F2122&lt;=2),"Tidur","Umum"))))))</f>
        <v/>
      </c>
    </row>
    <row r="2123">
      <c r="B2123">
        <f>IF(A2123="","",$B$1-MAXIFS(Donasi!$A$2:$A$20000,Donasi!$B$2:$B$20000,A2123))</f>
        <v/>
      </c>
      <c r="C2123">
        <f>IF(A2123="","",COUNTIF(Donasi!$B$2:$B$20000,A2123))</f>
        <v/>
      </c>
      <c r="D2123">
        <f>IF(A2123="","",SUMIF(Donasi!$B$2:$B$20000,A2123,Donasi!$C$2:$C$20000))</f>
        <v/>
      </c>
      <c r="E2123">
        <f>IF(A2123="","",6-CEILING(PERCENTRANK.INC($B$3:$B$6000,B2123,4)*5+0.000001,1))</f>
        <v/>
      </c>
      <c r="F2123">
        <f>IF(A2123="","",MAX(1,CEILING(PERCENTRANK.INC($C$3:$C$6000,C2123,4)*5+0.000001,1)))</f>
        <v/>
      </c>
      <c r="G2123">
        <f>IF(A2123="","",MAX(1,CEILING(PERCENTRANK.INC($D$3:$D$6000,D2123,4)*5+0.000001,1)))</f>
        <v/>
      </c>
      <c r="H2123">
        <f>IF(A2123="","",E2123&amp;F2123&amp;G2123)</f>
        <v/>
      </c>
      <c r="I2123">
        <f>IF(A2123="","",IF(AND(E2123&gt;=4,F2123&gt;=4,G2123&gt;=4),"Juara",IF(AND(F2123&gt;=4,E2123&gt;=3),"Setia",IF(AND(E2123=5,F2123&lt;=2,G2123&gt;=3),"Berpotensi",IF(AND(E2123&lt;=3,E2123&gt;=2,F2123&gt;=3),"Rawan",IF(AND(E2123&lt;=2,F2123&lt;=2),"Tidur","Umum"))))))</f>
        <v/>
      </c>
    </row>
    <row r="2124">
      <c r="B2124">
        <f>IF(A2124="","",$B$1-MAXIFS(Donasi!$A$2:$A$20000,Donasi!$B$2:$B$20000,A2124))</f>
        <v/>
      </c>
      <c r="C2124">
        <f>IF(A2124="","",COUNTIF(Donasi!$B$2:$B$20000,A2124))</f>
        <v/>
      </c>
      <c r="D2124">
        <f>IF(A2124="","",SUMIF(Donasi!$B$2:$B$20000,A2124,Donasi!$C$2:$C$20000))</f>
        <v/>
      </c>
      <c r="E2124">
        <f>IF(A2124="","",6-CEILING(PERCENTRANK.INC($B$3:$B$6000,B2124,4)*5+0.000001,1))</f>
        <v/>
      </c>
      <c r="F2124">
        <f>IF(A2124="","",MAX(1,CEILING(PERCENTRANK.INC($C$3:$C$6000,C2124,4)*5+0.000001,1)))</f>
        <v/>
      </c>
      <c r="G2124">
        <f>IF(A2124="","",MAX(1,CEILING(PERCENTRANK.INC($D$3:$D$6000,D2124,4)*5+0.000001,1)))</f>
        <v/>
      </c>
      <c r="H2124">
        <f>IF(A2124="","",E2124&amp;F2124&amp;G2124)</f>
        <v/>
      </c>
      <c r="I2124">
        <f>IF(A2124="","",IF(AND(E2124&gt;=4,F2124&gt;=4,G2124&gt;=4),"Juara",IF(AND(F2124&gt;=4,E2124&gt;=3),"Setia",IF(AND(E2124=5,F2124&lt;=2,G2124&gt;=3),"Berpotensi",IF(AND(E2124&lt;=3,E2124&gt;=2,F2124&gt;=3),"Rawan",IF(AND(E2124&lt;=2,F2124&lt;=2),"Tidur","Umum"))))))</f>
        <v/>
      </c>
    </row>
    <row r="2125">
      <c r="B2125">
        <f>IF(A2125="","",$B$1-MAXIFS(Donasi!$A$2:$A$20000,Donasi!$B$2:$B$20000,A2125))</f>
        <v/>
      </c>
      <c r="C2125">
        <f>IF(A2125="","",COUNTIF(Donasi!$B$2:$B$20000,A2125))</f>
        <v/>
      </c>
      <c r="D2125">
        <f>IF(A2125="","",SUMIF(Donasi!$B$2:$B$20000,A2125,Donasi!$C$2:$C$20000))</f>
        <v/>
      </c>
      <c r="E2125">
        <f>IF(A2125="","",6-CEILING(PERCENTRANK.INC($B$3:$B$6000,B2125,4)*5+0.000001,1))</f>
        <v/>
      </c>
      <c r="F2125">
        <f>IF(A2125="","",MAX(1,CEILING(PERCENTRANK.INC($C$3:$C$6000,C2125,4)*5+0.000001,1)))</f>
        <v/>
      </c>
      <c r="G2125">
        <f>IF(A2125="","",MAX(1,CEILING(PERCENTRANK.INC($D$3:$D$6000,D2125,4)*5+0.000001,1)))</f>
        <v/>
      </c>
      <c r="H2125">
        <f>IF(A2125="","",E2125&amp;F2125&amp;G2125)</f>
        <v/>
      </c>
      <c r="I2125">
        <f>IF(A2125="","",IF(AND(E2125&gt;=4,F2125&gt;=4,G2125&gt;=4),"Juara",IF(AND(F2125&gt;=4,E2125&gt;=3),"Setia",IF(AND(E2125=5,F2125&lt;=2,G2125&gt;=3),"Berpotensi",IF(AND(E2125&lt;=3,E2125&gt;=2,F2125&gt;=3),"Rawan",IF(AND(E2125&lt;=2,F2125&lt;=2),"Tidur","Umum"))))))</f>
        <v/>
      </c>
    </row>
    <row r="2126">
      <c r="B2126">
        <f>IF(A2126="","",$B$1-MAXIFS(Donasi!$A$2:$A$20000,Donasi!$B$2:$B$20000,A2126))</f>
        <v/>
      </c>
      <c r="C2126">
        <f>IF(A2126="","",COUNTIF(Donasi!$B$2:$B$20000,A2126))</f>
        <v/>
      </c>
      <c r="D2126">
        <f>IF(A2126="","",SUMIF(Donasi!$B$2:$B$20000,A2126,Donasi!$C$2:$C$20000))</f>
        <v/>
      </c>
      <c r="E2126">
        <f>IF(A2126="","",6-CEILING(PERCENTRANK.INC($B$3:$B$6000,B2126,4)*5+0.000001,1))</f>
        <v/>
      </c>
      <c r="F2126">
        <f>IF(A2126="","",MAX(1,CEILING(PERCENTRANK.INC($C$3:$C$6000,C2126,4)*5+0.000001,1)))</f>
        <v/>
      </c>
      <c r="G2126">
        <f>IF(A2126="","",MAX(1,CEILING(PERCENTRANK.INC($D$3:$D$6000,D2126,4)*5+0.000001,1)))</f>
        <v/>
      </c>
      <c r="H2126">
        <f>IF(A2126="","",E2126&amp;F2126&amp;G2126)</f>
        <v/>
      </c>
      <c r="I2126">
        <f>IF(A2126="","",IF(AND(E2126&gt;=4,F2126&gt;=4,G2126&gt;=4),"Juara",IF(AND(F2126&gt;=4,E2126&gt;=3),"Setia",IF(AND(E2126=5,F2126&lt;=2,G2126&gt;=3),"Berpotensi",IF(AND(E2126&lt;=3,E2126&gt;=2,F2126&gt;=3),"Rawan",IF(AND(E2126&lt;=2,F2126&lt;=2),"Tidur","Umum"))))))</f>
        <v/>
      </c>
    </row>
    <row r="2127">
      <c r="B2127">
        <f>IF(A2127="","",$B$1-MAXIFS(Donasi!$A$2:$A$20000,Donasi!$B$2:$B$20000,A2127))</f>
        <v/>
      </c>
      <c r="C2127">
        <f>IF(A2127="","",COUNTIF(Donasi!$B$2:$B$20000,A2127))</f>
        <v/>
      </c>
      <c r="D2127">
        <f>IF(A2127="","",SUMIF(Donasi!$B$2:$B$20000,A2127,Donasi!$C$2:$C$20000))</f>
        <v/>
      </c>
      <c r="E2127">
        <f>IF(A2127="","",6-CEILING(PERCENTRANK.INC($B$3:$B$6000,B2127,4)*5+0.000001,1))</f>
        <v/>
      </c>
      <c r="F2127">
        <f>IF(A2127="","",MAX(1,CEILING(PERCENTRANK.INC($C$3:$C$6000,C2127,4)*5+0.000001,1)))</f>
        <v/>
      </c>
      <c r="G2127">
        <f>IF(A2127="","",MAX(1,CEILING(PERCENTRANK.INC($D$3:$D$6000,D2127,4)*5+0.000001,1)))</f>
        <v/>
      </c>
      <c r="H2127">
        <f>IF(A2127="","",E2127&amp;F2127&amp;G2127)</f>
        <v/>
      </c>
      <c r="I2127">
        <f>IF(A2127="","",IF(AND(E2127&gt;=4,F2127&gt;=4,G2127&gt;=4),"Juara",IF(AND(F2127&gt;=4,E2127&gt;=3),"Setia",IF(AND(E2127=5,F2127&lt;=2,G2127&gt;=3),"Berpotensi",IF(AND(E2127&lt;=3,E2127&gt;=2,F2127&gt;=3),"Rawan",IF(AND(E2127&lt;=2,F2127&lt;=2),"Tidur","Umum"))))))</f>
        <v/>
      </c>
    </row>
    <row r="2128">
      <c r="B2128">
        <f>IF(A2128="","",$B$1-MAXIFS(Donasi!$A$2:$A$20000,Donasi!$B$2:$B$20000,A2128))</f>
        <v/>
      </c>
      <c r="C2128">
        <f>IF(A2128="","",COUNTIF(Donasi!$B$2:$B$20000,A2128))</f>
        <v/>
      </c>
      <c r="D2128">
        <f>IF(A2128="","",SUMIF(Donasi!$B$2:$B$20000,A2128,Donasi!$C$2:$C$20000))</f>
        <v/>
      </c>
      <c r="E2128">
        <f>IF(A2128="","",6-CEILING(PERCENTRANK.INC($B$3:$B$6000,B2128,4)*5+0.000001,1))</f>
        <v/>
      </c>
      <c r="F2128">
        <f>IF(A2128="","",MAX(1,CEILING(PERCENTRANK.INC($C$3:$C$6000,C2128,4)*5+0.000001,1)))</f>
        <v/>
      </c>
      <c r="G2128">
        <f>IF(A2128="","",MAX(1,CEILING(PERCENTRANK.INC($D$3:$D$6000,D2128,4)*5+0.000001,1)))</f>
        <v/>
      </c>
      <c r="H2128">
        <f>IF(A2128="","",E2128&amp;F2128&amp;G2128)</f>
        <v/>
      </c>
      <c r="I2128">
        <f>IF(A2128="","",IF(AND(E2128&gt;=4,F2128&gt;=4,G2128&gt;=4),"Juara",IF(AND(F2128&gt;=4,E2128&gt;=3),"Setia",IF(AND(E2128=5,F2128&lt;=2,G2128&gt;=3),"Berpotensi",IF(AND(E2128&lt;=3,E2128&gt;=2,F2128&gt;=3),"Rawan",IF(AND(E2128&lt;=2,F2128&lt;=2),"Tidur","Umum"))))))</f>
        <v/>
      </c>
    </row>
    <row r="2129">
      <c r="B2129">
        <f>IF(A2129="","",$B$1-MAXIFS(Donasi!$A$2:$A$20000,Donasi!$B$2:$B$20000,A2129))</f>
        <v/>
      </c>
      <c r="C2129">
        <f>IF(A2129="","",COUNTIF(Donasi!$B$2:$B$20000,A2129))</f>
        <v/>
      </c>
      <c r="D2129">
        <f>IF(A2129="","",SUMIF(Donasi!$B$2:$B$20000,A2129,Donasi!$C$2:$C$20000))</f>
        <v/>
      </c>
      <c r="E2129">
        <f>IF(A2129="","",6-CEILING(PERCENTRANK.INC($B$3:$B$6000,B2129,4)*5+0.000001,1))</f>
        <v/>
      </c>
      <c r="F2129">
        <f>IF(A2129="","",MAX(1,CEILING(PERCENTRANK.INC($C$3:$C$6000,C2129,4)*5+0.000001,1)))</f>
        <v/>
      </c>
      <c r="G2129">
        <f>IF(A2129="","",MAX(1,CEILING(PERCENTRANK.INC($D$3:$D$6000,D2129,4)*5+0.000001,1)))</f>
        <v/>
      </c>
      <c r="H2129">
        <f>IF(A2129="","",E2129&amp;F2129&amp;G2129)</f>
        <v/>
      </c>
      <c r="I2129">
        <f>IF(A2129="","",IF(AND(E2129&gt;=4,F2129&gt;=4,G2129&gt;=4),"Juara",IF(AND(F2129&gt;=4,E2129&gt;=3),"Setia",IF(AND(E2129=5,F2129&lt;=2,G2129&gt;=3),"Berpotensi",IF(AND(E2129&lt;=3,E2129&gt;=2,F2129&gt;=3),"Rawan",IF(AND(E2129&lt;=2,F2129&lt;=2),"Tidur","Umum"))))))</f>
        <v/>
      </c>
    </row>
    <row r="2130">
      <c r="B2130">
        <f>IF(A2130="","",$B$1-MAXIFS(Donasi!$A$2:$A$20000,Donasi!$B$2:$B$20000,A2130))</f>
        <v/>
      </c>
      <c r="C2130">
        <f>IF(A2130="","",COUNTIF(Donasi!$B$2:$B$20000,A2130))</f>
        <v/>
      </c>
      <c r="D2130">
        <f>IF(A2130="","",SUMIF(Donasi!$B$2:$B$20000,A2130,Donasi!$C$2:$C$20000))</f>
        <v/>
      </c>
      <c r="E2130">
        <f>IF(A2130="","",6-CEILING(PERCENTRANK.INC($B$3:$B$6000,B2130,4)*5+0.000001,1))</f>
        <v/>
      </c>
      <c r="F2130">
        <f>IF(A2130="","",MAX(1,CEILING(PERCENTRANK.INC($C$3:$C$6000,C2130,4)*5+0.000001,1)))</f>
        <v/>
      </c>
      <c r="G2130">
        <f>IF(A2130="","",MAX(1,CEILING(PERCENTRANK.INC($D$3:$D$6000,D2130,4)*5+0.000001,1)))</f>
        <v/>
      </c>
      <c r="H2130">
        <f>IF(A2130="","",E2130&amp;F2130&amp;G2130)</f>
        <v/>
      </c>
      <c r="I2130">
        <f>IF(A2130="","",IF(AND(E2130&gt;=4,F2130&gt;=4,G2130&gt;=4),"Juara",IF(AND(F2130&gt;=4,E2130&gt;=3),"Setia",IF(AND(E2130=5,F2130&lt;=2,G2130&gt;=3),"Berpotensi",IF(AND(E2130&lt;=3,E2130&gt;=2,F2130&gt;=3),"Rawan",IF(AND(E2130&lt;=2,F2130&lt;=2),"Tidur","Umum"))))))</f>
        <v/>
      </c>
    </row>
    <row r="2131">
      <c r="B2131">
        <f>IF(A2131="","",$B$1-MAXIFS(Donasi!$A$2:$A$20000,Donasi!$B$2:$B$20000,A2131))</f>
        <v/>
      </c>
      <c r="C2131">
        <f>IF(A2131="","",COUNTIF(Donasi!$B$2:$B$20000,A2131))</f>
        <v/>
      </c>
      <c r="D2131">
        <f>IF(A2131="","",SUMIF(Donasi!$B$2:$B$20000,A2131,Donasi!$C$2:$C$20000))</f>
        <v/>
      </c>
      <c r="E2131">
        <f>IF(A2131="","",6-CEILING(PERCENTRANK.INC($B$3:$B$6000,B2131,4)*5+0.000001,1))</f>
        <v/>
      </c>
      <c r="F2131">
        <f>IF(A2131="","",MAX(1,CEILING(PERCENTRANK.INC($C$3:$C$6000,C2131,4)*5+0.000001,1)))</f>
        <v/>
      </c>
      <c r="G2131">
        <f>IF(A2131="","",MAX(1,CEILING(PERCENTRANK.INC($D$3:$D$6000,D2131,4)*5+0.000001,1)))</f>
        <v/>
      </c>
      <c r="H2131">
        <f>IF(A2131="","",E2131&amp;F2131&amp;G2131)</f>
        <v/>
      </c>
      <c r="I2131">
        <f>IF(A2131="","",IF(AND(E2131&gt;=4,F2131&gt;=4,G2131&gt;=4),"Juara",IF(AND(F2131&gt;=4,E2131&gt;=3),"Setia",IF(AND(E2131=5,F2131&lt;=2,G2131&gt;=3),"Berpotensi",IF(AND(E2131&lt;=3,E2131&gt;=2,F2131&gt;=3),"Rawan",IF(AND(E2131&lt;=2,F2131&lt;=2),"Tidur","Umum"))))))</f>
        <v/>
      </c>
    </row>
    <row r="2132">
      <c r="B2132">
        <f>IF(A2132="","",$B$1-MAXIFS(Donasi!$A$2:$A$20000,Donasi!$B$2:$B$20000,A2132))</f>
        <v/>
      </c>
      <c r="C2132">
        <f>IF(A2132="","",COUNTIF(Donasi!$B$2:$B$20000,A2132))</f>
        <v/>
      </c>
      <c r="D2132">
        <f>IF(A2132="","",SUMIF(Donasi!$B$2:$B$20000,A2132,Donasi!$C$2:$C$20000))</f>
        <v/>
      </c>
      <c r="E2132">
        <f>IF(A2132="","",6-CEILING(PERCENTRANK.INC($B$3:$B$6000,B2132,4)*5+0.000001,1))</f>
        <v/>
      </c>
      <c r="F2132">
        <f>IF(A2132="","",MAX(1,CEILING(PERCENTRANK.INC($C$3:$C$6000,C2132,4)*5+0.000001,1)))</f>
        <v/>
      </c>
      <c r="G2132">
        <f>IF(A2132="","",MAX(1,CEILING(PERCENTRANK.INC($D$3:$D$6000,D2132,4)*5+0.000001,1)))</f>
        <v/>
      </c>
      <c r="H2132">
        <f>IF(A2132="","",E2132&amp;F2132&amp;G2132)</f>
        <v/>
      </c>
      <c r="I2132">
        <f>IF(A2132="","",IF(AND(E2132&gt;=4,F2132&gt;=4,G2132&gt;=4),"Juara",IF(AND(F2132&gt;=4,E2132&gt;=3),"Setia",IF(AND(E2132=5,F2132&lt;=2,G2132&gt;=3),"Berpotensi",IF(AND(E2132&lt;=3,E2132&gt;=2,F2132&gt;=3),"Rawan",IF(AND(E2132&lt;=2,F2132&lt;=2),"Tidur","Umum"))))))</f>
        <v/>
      </c>
    </row>
    <row r="2133">
      <c r="B2133">
        <f>IF(A2133="","",$B$1-MAXIFS(Donasi!$A$2:$A$20000,Donasi!$B$2:$B$20000,A2133))</f>
        <v/>
      </c>
      <c r="C2133">
        <f>IF(A2133="","",COUNTIF(Donasi!$B$2:$B$20000,A2133))</f>
        <v/>
      </c>
      <c r="D2133">
        <f>IF(A2133="","",SUMIF(Donasi!$B$2:$B$20000,A2133,Donasi!$C$2:$C$20000))</f>
        <v/>
      </c>
      <c r="E2133">
        <f>IF(A2133="","",6-CEILING(PERCENTRANK.INC($B$3:$B$6000,B2133,4)*5+0.000001,1))</f>
        <v/>
      </c>
      <c r="F2133">
        <f>IF(A2133="","",MAX(1,CEILING(PERCENTRANK.INC($C$3:$C$6000,C2133,4)*5+0.000001,1)))</f>
        <v/>
      </c>
      <c r="G2133">
        <f>IF(A2133="","",MAX(1,CEILING(PERCENTRANK.INC($D$3:$D$6000,D2133,4)*5+0.000001,1)))</f>
        <v/>
      </c>
      <c r="H2133">
        <f>IF(A2133="","",E2133&amp;F2133&amp;G2133)</f>
        <v/>
      </c>
      <c r="I2133">
        <f>IF(A2133="","",IF(AND(E2133&gt;=4,F2133&gt;=4,G2133&gt;=4),"Juara",IF(AND(F2133&gt;=4,E2133&gt;=3),"Setia",IF(AND(E2133=5,F2133&lt;=2,G2133&gt;=3),"Berpotensi",IF(AND(E2133&lt;=3,E2133&gt;=2,F2133&gt;=3),"Rawan",IF(AND(E2133&lt;=2,F2133&lt;=2),"Tidur","Umum"))))))</f>
        <v/>
      </c>
    </row>
    <row r="2134">
      <c r="B2134">
        <f>IF(A2134="","",$B$1-MAXIFS(Donasi!$A$2:$A$20000,Donasi!$B$2:$B$20000,A2134))</f>
        <v/>
      </c>
      <c r="C2134">
        <f>IF(A2134="","",COUNTIF(Donasi!$B$2:$B$20000,A2134))</f>
        <v/>
      </c>
      <c r="D2134">
        <f>IF(A2134="","",SUMIF(Donasi!$B$2:$B$20000,A2134,Donasi!$C$2:$C$20000))</f>
        <v/>
      </c>
      <c r="E2134">
        <f>IF(A2134="","",6-CEILING(PERCENTRANK.INC($B$3:$B$6000,B2134,4)*5+0.000001,1))</f>
        <v/>
      </c>
      <c r="F2134">
        <f>IF(A2134="","",MAX(1,CEILING(PERCENTRANK.INC($C$3:$C$6000,C2134,4)*5+0.000001,1)))</f>
        <v/>
      </c>
      <c r="G2134">
        <f>IF(A2134="","",MAX(1,CEILING(PERCENTRANK.INC($D$3:$D$6000,D2134,4)*5+0.000001,1)))</f>
        <v/>
      </c>
      <c r="H2134">
        <f>IF(A2134="","",E2134&amp;F2134&amp;G2134)</f>
        <v/>
      </c>
      <c r="I2134">
        <f>IF(A2134="","",IF(AND(E2134&gt;=4,F2134&gt;=4,G2134&gt;=4),"Juara",IF(AND(F2134&gt;=4,E2134&gt;=3),"Setia",IF(AND(E2134=5,F2134&lt;=2,G2134&gt;=3),"Berpotensi",IF(AND(E2134&lt;=3,E2134&gt;=2,F2134&gt;=3),"Rawan",IF(AND(E2134&lt;=2,F2134&lt;=2),"Tidur","Umum"))))))</f>
        <v/>
      </c>
    </row>
    <row r="2135">
      <c r="B2135">
        <f>IF(A2135="","",$B$1-MAXIFS(Donasi!$A$2:$A$20000,Donasi!$B$2:$B$20000,A2135))</f>
        <v/>
      </c>
      <c r="C2135">
        <f>IF(A2135="","",COUNTIF(Donasi!$B$2:$B$20000,A2135))</f>
        <v/>
      </c>
      <c r="D2135">
        <f>IF(A2135="","",SUMIF(Donasi!$B$2:$B$20000,A2135,Donasi!$C$2:$C$20000))</f>
        <v/>
      </c>
      <c r="E2135">
        <f>IF(A2135="","",6-CEILING(PERCENTRANK.INC($B$3:$B$6000,B2135,4)*5+0.000001,1))</f>
        <v/>
      </c>
      <c r="F2135">
        <f>IF(A2135="","",MAX(1,CEILING(PERCENTRANK.INC($C$3:$C$6000,C2135,4)*5+0.000001,1)))</f>
        <v/>
      </c>
      <c r="G2135">
        <f>IF(A2135="","",MAX(1,CEILING(PERCENTRANK.INC($D$3:$D$6000,D2135,4)*5+0.000001,1)))</f>
        <v/>
      </c>
      <c r="H2135">
        <f>IF(A2135="","",E2135&amp;F2135&amp;G2135)</f>
        <v/>
      </c>
      <c r="I2135">
        <f>IF(A2135="","",IF(AND(E2135&gt;=4,F2135&gt;=4,G2135&gt;=4),"Juara",IF(AND(F2135&gt;=4,E2135&gt;=3),"Setia",IF(AND(E2135=5,F2135&lt;=2,G2135&gt;=3),"Berpotensi",IF(AND(E2135&lt;=3,E2135&gt;=2,F2135&gt;=3),"Rawan",IF(AND(E2135&lt;=2,F2135&lt;=2),"Tidur","Umum"))))))</f>
        <v/>
      </c>
    </row>
    <row r="2136">
      <c r="B2136">
        <f>IF(A2136="","",$B$1-MAXIFS(Donasi!$A$2:$A$20000,Donasi!$B$2:$B$20000,A2136))</f>
        <v/>
      </c>
      <c r="C2136">
        <f>IF(A2136="","",COUNTIF(Donasi!$B$2:$B$20000,A2136))</f>
        <v/>
      </c>
      <c r="D2136">
        <f>IF(A2136="","",SUMIF(Donasi!$B$2:$B$20000,A2136,Donasi!$C$2:$C$20000))</f>
        <v/>
      </c>
      <c r="E2136">
        <f>IF(A2136="","",6-CEILING(PERCENTRANK.INC($B$3:$B$6000,B2136,4)*5+0.000001,1))</f>
        <v/>
      </c>
      <c r="F2136">
        <f>IF(A2136="","",MAX(1,CEILING(PERCENTRANK.INC($C$3:$C$6000,C2136,4)*5+0.000001,1)))</f>
        <v/>
      </c>
      <c r="G2136">
        <f>IF(A2136="","",MAX(1,CEILING(PERCENTRANK.INC($D$3:$D$6000,D2136,4)*5+0.000001,1)))</f>
        <v/>
      </c>
      <c r="H2136">
        <f>IF(A2136="","",E2136&amp;F2136&amp;G2136)</f>
        <v/>
      </c>
      <c r="I2136">
        <f>IF(A2136="","",IF(AND(E2136&gt;=4,F2136&gt;=4,G2136&gt;=4),"Juara",IF(AND(F2136&gt;=4,E2136&gt;=3),"Setia",IF(AND(E2136=5,F2136&lt;=2,G2136&gt;=3),"Berpotensi",IF(AND(E2136&lt;=3,E2136&gt;=2,F2136&gt;=3),"Rawan",IF(AND(E2136&lt;=2,F2136&lt;=2),"Tidur","Umum"))))))</f>
        <v/>
      </c>
    </row>
    <row r="2137">
      <c r="B2137">
        <f>IF(A2137="","",$B$1-MAXIFS(Donasi!$A$2:$A$20000,Donasi!$B$2:$B$20000,A2137))</f>
        <v/>
      </c>
      <c r="C2137">
        <f>IF(A2137="","",COUNTIF(Donasi!$B$2:$B$20000,A2137))</f>
        <v/>
      </c>
      <c r="D2137">
        <f>IF(A2137="","",SUMIF(Donasi!$B$2:$B$20000,A2137,Donasi!$C$2:$C$20000))</f>
        <v/>
      </c>
      <c r="E2137">
        <f>IF(A2137="","",6-CEILING(PERCENTRANK.INC($B$3:$B$6000,B2137,4)*5+0.000001,1))</f>
        <v/>
      </c>
      <c r="F2137">
        <f>IF(A2137="","",MAX(1,CEILING(PERCENTRANK.INC($C$3:$C$6000,C2137,4)*5+0.000001,1)))</f>
        <v/>
      </c>
      <c r="G2137">
        <f>IF(A2137="","",MAX(1,CEILING(PERCENTRANK.INC($D$3:$D$6000,D2137,4)*5+0.000001,1)))</f>
        <v/>
      </c>
      <c r="H2137">
        <f>IF(A2137="","",E2137&amp;F2137&amp;G2137)</f>
        <v/>
      </c>
      <c r="I2137">
        <f>IF(A2137="","",IF(AND(E2137&gt;=4,F2137&gt;=4,G2137&gt;=4),"Juara",IF(AND(F2137&gt;=4,E2137&gt;=3),"Setia",IF(AND(E2137=5,F2137&lt;=2,G2137&gt;=3),"Berpotensi",IF(AND(E2137&lt;=3,E2137&gt;=2,F2137&gt;=3),"Rawan",IF(AND(E2137&lt;=2,F2137&lt;=2),"Tidur","Umum"))))))</f>
        <v/>
      </c>
    </row>
    <row r="2138">
      <c r="B2138">
        <f>IF(A2138="","",$B$1-MAXIFS(Donasi!$A$2:$A$20000,Donasi!$B$2:$B$20000,A2138))</f>
        <v/>
      </c>
      <c r="C2138">
        <f>IF(A2138="","",COUNTIF(Donasi!$B$2:$B$20000,A2138))</f>
        <v/>
      </c>
      <c r="D2138">
        <f>IF(A2138="","",SUMIF(Donasi!$B$2:$B$20000,A2138,Donasi!$C$2:$C$20000))</f>
        <v/>
      </c>
      <c r="E2138">
        <f>IF(A2138="","",6-CEILING(PERCENTRANK.INC($B$3:$B$6000,B2138,4)*5+0.000001,1))</f>
        <v/>
      </c>
      <c r="F2138">
        <f>IF(A2138="","",MAX(1,CEILING(PERCENTRANK.INC($C$3:$C$6000,C2138,4)*5+0.000001,1)))</f>
        <v/>
      </c>
      <c r="G2138">
        <f>IF(A2138="","",MAX(1,CEILING(PERCENTRANK.INC($D$3:$D$6000,D2138,4)*5+0.000001,1)))</f>
        <v/>
      </c>
      <c r="H2138">
        <f>IF(A2138="","",E2138&amp;F2138&amp;G2138)</f>
        <v/>
      </c>
      <c r="I2138">
        <f>IF(A2138="","",IF(AND(E2138&gt;=4,F2138&gt;=4,G2138&gt;=4),"Juara",IF(AND(F2138&gt;=4,E2138&gt;=3),"Setia",IF(AND(E2138=5,F2138&lt;=2,G2138&gt;=3),"Berpotensi",IF(AND(E2138&lt;=3,E2138&gt;=2,F2138&gt;=3),"Rawan",IF(AND(E2138&lt;=2,F2138&lt;=2),"Tidur","Umum"))))))</f>
        <v/>
      </c>
    </row>
    <row r="2139">
      <c r="B2139">
        <f>IF(A2139="","",$B$1-MAXIFS(Donasi!$A$2:$A$20000,Donasi!$B$2:$B$20000,A2139))</f>
        <v/>
      </c>
      <c r="C2139">
        <f>IF(A2139="","",COUNTIF(Donasi!$B$2:$B$20000,A2139))</f>
        <v/>
      </c>
      <c r="D2139">
        <f>IF(A2139="","",SUMIF(Donasi!$B$2:$B$20000,A2139,Donasi!$C$2:$C$20000))</f>
        <v/>
      </c>
      <c r="E2139">
        <f>IF(A2139="","",6-CEILING(PERCENTRANK.INC($B$3:$B$6000,B2139,4)*5+0.000001,1))</f>
        <v/>
      </c>
      <c r="F2139">
        <f>IF(A2139="","",MAX(1,CEILING(PERCENTRANK.INC($C$3:$C$6000,C2139,4)*5+0.000001,1)))</f>
        <v/>
      </c>
      <c r="G2139">
        <f>IF(A2139="","",MAX(1,CEILING(PERCENTRANK.INC($D$3:$D$6000,D2139,4)*5+0.000001,1)))</f>
        <v/>
      </c>
      <c r="H2139">
        <f>IF(A2139="","",E2139&amp;F2139&amp;G2139)</f>
        <v/>
      </c>
      <c r="I2139">
        <f>IF(A2139="","",IF(AND(E2139&gt;=4,F2139&gt;=4,G2139&gt;=4),"Juara",IF(AND(F2139&gt;=4,E2139&gt;=3),"Setia",IF(AND(E2139=5,F2139&lt;=2,G2139&gt;=3),"Berpotensi",IF(AND(E2139&lt;=3,E2139&gt;=2,F2139&gt;=3),"Rawan",IF(AND(E2139&lt;=2,F2139&lt;=2),"Tidur","Umum"))))))</f>
        <v/>
      </c>
    </row>
    <row r="2140">
      <c r="B2140">
        <f>IF(A2140="","",$B$1-MAXIFS(Donasi!$A$2:$A$20000,Donasi!$B$2:$B$20000,A2140))</f>
        <v/>
      </c>
      <c r="C2140">
        <f>IF(A2140="","",COUNTIF(Donasi!$B$2:$B$20000,A2140))</f>
        <v/>
      </c>
      <c r="D2140">
        <f>IF(A2140="","",SUMIF(Donasi!$B$2:$B$20000,A2140,Donasi!$C$2:$C$20000))</f>
        <v/>
      </c>
      <c r="E2140">
        <f>IF(A2140="","",6-CEILING(PERCENTRANK.INC($B$3:$B$6000,B2140,4)*5+0.000001,1))</f>
        <v/>
      </c>
      <c r="F2140">
        <f>IF(A2140="","",MAX(1,CEILING(PERCENTRANK.INC($C$3:$C$6000,C2140,4)*5+0.000001,1)))</f>
        <v/>
      </c>
      <c r="G2140">
        <f>IF(A2140="","",MAX(1,CEILING(PERCENTRANK.INC($D$3:$D$6000,D2140,4)*5+0.000001,1)))</f>
        <v/>
      </c>
      <c r="H2140">
        <f>IF(A2140="","",E2140&amp;F2140&amp;G2140)</f>
        <v/>
      </c>
      <c r="I2140">
        <f>IF(A2140="","",IF(AND(E2140&gt;=4,F2140&gt;=4,G2140&gt;=4),"Juara",IF(AND(F2140&gt;=4,E2140&gt;=3),"Setia",IF(AND(E2140=5,F2140&lt;=2,G2140&gt;=3),"Berpotensi",IF(AND(E2140&lt;=3,E2140&gt;=2,F2140&gt;=3),"Rawan",IF(AND(E2140&lt;=2,F2140&lt;=2),"Tidur","Umum"))))))</f>
        <v/>
      </c>
    </row>
    <row r="2141">
      <c r="B2141">
        <f>IF(A2141="","",$B$1-MAXIFS(Donasi!$A$2:$A$20000,Donasi!$B$2:$B$20000,A2141))</f>
        <v/>
      </c>
      <c r="C2141">
        <f>IF(A2141="","",COUNTIF(Donasi!$B$2:$B$20000,A2141))</f>
        <v/>
      </c>
      <c r="D2141">
        <f>IF(A2141="","",SUMIF(Donasi!$B$2:$B$20000,A2141,Donasi!$C$2:$C$20000))</f>
        <v/>
      </c>
      <c r="E2141">
        <f>IF(A2141="","",6-CEILING(PERCENTRANK.INC($B$3:$B$6000,B2141,4)*5+0.000001,1))</f>
        <v/>
      </c>
      <c r="F2141">
        <f>IF(A2141="","",MAX(1,CEILING(PERCENTRANK.INC($C$3:$C$6000,C2141,4)*5+0.000001,1)))</f>
        <v/>
      </c>
      <c r="G2141">
        <f>IF(A2141="","",MAX(1,CEILING(PERCENTRANK.INC($D$3:$D$6000,D2141,4)*5+0.000001,1)))</f>
        <v/>
      </c>
      <c r="H2141">
        <f>IF(A2141="","",E2141&amp;F2141&amp;G2141)</f>
        <v/>
      </c>
      <c r="I2141">
        <f>IF(A2141="","",IF(AND(E2141&gt;=4,F2141&gt;=4,G2141&gt;=4),"Juara",IF(AND(F2141&gt;=4,E2141&gt;=3),"Setia",IF(AND(E2141=5,F2141&lt;=2,G2141&gt;=3),"Berpotensi",IF(AND(E2141&lt;=3,E2141&gt;=2,F2141&gt;=3),"Rawan",IF(AND(E2141&lt;=2,F2141&lt;=2),"Tidur","Umum"))))))</f>
        <v/>
      </c>
    </row>
    <row r="2142">
      <c r="B2142">
        <f>IF(A2142="","",$B$1-MAXIFS(Donasi!$A$2:$A$20000,Donasi!$B$2:$B$20000,A2142))</f>
        <v/>
      </c>
      <c r="C2142">
        <f>IF(A2142="","",COUNTIF(Donasi!$B$2:$B$20000,A2142))</f>
        <v/>
      </c>
      <c r="D2142">
        <f>IF(A2142="","",SUMIF(Donasi!$B$2:$B$20000,A2142,Donasi!$C$2:$C$20000))</f>
        <v/>
      </c>
      <c r="E2142">
        <f>IF(A2142="","",6-CEILING(PERCENTRANK.INC($B$3:$B$6000,B2142,4)*5+0.000001,1))</f>
        <v/>
      </c>
      <c r="F2142">
        <f>IF(A2142="","",MAX(1,CEILING(PERCENTRANK.INC($C$3:$C$6000,C2142,4)*5+0.000001,1)))</f>
        <v/>
      </c>
      <c r="G2142">
        <f>IF(A2142="","",MAX(1,CEILING(PERCENTRANK.INC($D$3:$D$6000,D2142,4)*5+0.000001,1)))</f>
        <v/>
      </c>
      <c r="H2142">
        <f>IF(A2142="","",E2142&amp;F2142&amp;G2142)</f>
        <v/>
      </c>
      <c r="I2142">
        <f>IF(A2142="","",IF(AND(E2142&gt;=4,F2142&gt;=4,G2142&gt;=4),"Juara",IF(AND(F2142&gt;=4,E2142&gt;=3),"Setia",IF(AND(E2142=5,F2142&lt;=2,G2142&gt;=3),"Berpotensi",IF(AND(E2142&lt;=3,E2142&gt;=2,F2142&gt;=3),"Rawan",IF(AND(E2142&lt;=2,F2142&lt;=2),"Tidur","Umum"))))))</f>
        <v/>
      </c>
    </row>
    <row r="2143">
      <c r="B2143">
        <f>IF(A2143="","",$B$1-MAXIFS(Donasi!$A$2:$A$20000,Donasi!$B$2:$B$20000,A2143))</f>
        <v/>
      </c>
      <c r="C2143">
        <f>IF(A2143="","",COUNTIF(Donasi!$B$2:$B$20000,A2143))</f>
        <v/>
      </c>
      <c r="D2143">
        <f>IF(A2143="","",SUMIF(Donasi!$B$2:$B$20000,A2143,Donasi!$C$2:$C$20000))</f>
        <v/>
      </c>
      <c r="E2143">
        <f>IF(A2143="","",6-CEILING(PERCENTRANK.INC($B$3:$B$6000,B2143,4)*5+0.000001,1))</f>
        <v/>
      </c>
      <c r="F2143">
        <f>IF(A2143="","",MAX(1,CEILING(PERCENTRANK.INC($C$3:$C$6000,C2143,4)*5+0.000001,1)))</f>
        <v/>
      </c>
      <c r="G2143">
        <f>IF(A2143="","",MAX(1,CEILING(PERCENTRANK.INC($D$3:$D$6000,D2143,4)*5+0.000001,1)))</f>
        <v/>
      </c>
      <c r="H2143">
        <f>IF(A2143="","",E2143&amp;F2143&amp;G2143)</f>
        <v/>
      </c>
      <c r="I2143">
        <f>IF(A2143="","",IF(AND(E2143&gt;=4,F2143&gt;=4,G2143&gt;=4),"Juara",IF(AND(F2143&gt;=4,E2143&gt;=3),"Setia",IF(AND(E2143=5,F2143&lt;=2,G2143&gt;=3),"Berpotensi",IF(AND(E2143&lt;=3,E2143&gt;=2,F2143&gt;=3),"Rawan",IF(AND(E2143&lt;=2,F2143&lt;=2),"Tidur","Umum"))))))</f>
        <v/>
      </c>
    </row>
    <row r="2144">
      <c r="B2144">
        <f>IF(A2144="","",$B$1-MAXIFS(Donasi!$A$2:$A$20000,Donasi!$B$2:$B$20000,A2144))</f>
        <v/>
      </c>
      <c r="C2144">
        <f>IF(A2144="","",COUNTIF(Donasi!$B$2:$B$20000,A2144))</f>
        <v/>
      </c>
      <c r="D2144">
        <f>IF(A2144="","",SUMIF(Donasi!$B$2:$B$20000,A2144,Donasi!$C$2:$C$20000))</f>
        <v/>
      </c>
      <c r="E2144">
        <f>IF(A2144="","",6-CEILING(PERCENTRANK.INC($B$3:$B$6000,B2144,4)*5+0.000001,1))</f>
        <v/>
      </c>
      <c r="F2144">
        <f>IF(A2144="","",MAX(1,CEILING(PERCENTRANK.INC($C$3:$C$6000,C2144,4)*5+0.000001,1)))</f>
        <v/>
      </c>
      <c r="G2144">
        <f>IF(A2144="","",MAX(1,CEILING(PERCENTRANK.INC($D$3:$D$6000,D2144,4)*5+0.000001,1)))</f>
        <v/>
      </c>
      <c r="H2144">
        <f>IF(A2144="","",E2144&amp;F2144&amp;G2144)</f>
        <v/>
      </c>
      <c r="I2144">
        <f>IF(A2144="","",IF(AND(E2144&gt;=4,F2144&gt;=4,G2144&gt;=4),"Juara",IF(AND(F2144&gt;=4,E2144&gt;=3),"Setia",IF(AND(E2144=5,F2144&lt;=2,G2144&gt;=3),"Berpotensi",IF(AND(E2144&lt;=3,E2144&gt;=2,F2144&gt;=3),"Rawan",IF(AND(E2144&lt;=2,F2144&lt;=2),"Tidur","Umum"))))))</f>
        <v/>
      </c>
    </row>
    <row r="2145">
      <c r="B2145">
        <f>IF(A2145="","",$B$1-MAXIFS(Donasi!$A$2:$A$20000,Donasi!$B$2:$B$20000,A2145))</f>
        <v/>
      </c>
      <c r="C2145">
        <f>IF(A2145="","",COUNTIF(Donasi!$B$2:$B$20000,A2145))</f>
        <v/>
      </c>
      <c r="D2145">
        <f>IF(A2145="","",SUMIF(Donasi!$B$2:$B$20000,A2145,Donasi!$C$2:$C$20000))</f>
        <v/>
      </c>
      <c r="E2145">
        <f>IF(A2145="","",6-CEILING(PERCENTRANK.INC($B$3:$B$6000,B2145,4)*5+0.000001,1))</f>
        <v/>
      </c>
      <c r="F2145">
        <f>IF(A2145="","",MAX(1,CEILING(PERCENTRANK.INC($C$3:$C$6000,C2145,4)*5+0.000001,1)))</f>
        <v/>
      </c>
      <c r="G2145">
        <f>IF(A2145="","",MAX(1,CEILING(PERCENTRANK.INC($D$3:$D$6000,D2145,4)*5+0.000001,1)))</f>
        <v/>
      </c>
      <c r="H2145">
        <f>IF(A2145="","",E2145&amp;F2145&amp;G2145)</f>
        <v/>
      </c>
      <c r="I2145">
        <f>IF(A2145="","",IF(AND(E2145&gt;=4,F2145&gt;=4,G2145&gt;=4),"Juara",IF(AND(F2145&gt;=4,E2145&gt;=3),"Setia",IF(AND(E2145=5,F2145&lt;=2,G2145&gt;=3),"Berpotensi",IF(AND(E2145&lt;=3,E2145&gt;=2,F2145&gt;=3),"Rawan",IF(AND(E2145&lt;=2,F2145&lt;=2),"Tidur","Umum"))))))</f>
        <v/>
      </c>
    </row>
    <row r="2146">
      <c r="B2146">
        <f>IF(A2146="","",$B$1-MAXIFS(Donasi!$A$2:$A$20000,Donasi!$B$2:$B$20000,A2146))</f>
        <v/>
      </c>
      <c r="C2146">
        <f>IF(A2146="","",COUNTIF(Donasi!$B$2:$B$20000,A2146))</f>
        <v/>
      </c>
      <c r="D2146">
        <f>IF(A2146="","",SUMIF(Donasi!$B$2:$B$20000,A2146,Donasi!$C$2:$C$20000))</f>
        <v/>
      </c>
      <c r="E2146">
        <f>IF(A2146="","",6-CEILING(PERCENTRANK.INC($B$3:$B$6000,B2146,4)*5+0.000001,1))</f>
        <v/>
      </c>
      <c r="F2146">
        <f>IF(A2146="","",MAX(1,CEILING(PERCENTRANK.INC($C$3:$C$6000,C2146,4)*5+0.000001,1)))</f>
        <v/>
      </c>
      <c r="G2146">
        <f>IF(A2146="","",MAX(1,CEILING(PERCENTRANK.INC($D$3:$D$6000,D2146,4)*5+0.000001,1)))</f>
        <v/>
      </c>
      <c r="H2146">
        <f>IF(A2146="","",E2146&amp;F2146&amp;G2146)</f>
        <v/>
      </c>
      <c r="I2146">
        <f>IF(A2146="","",IF(AND(E2146&gt;=4,F2146&gt;=4,G2146&gt;=4),"Juara",IF(AND(F2146&gt;=4,E2146&gt;=3),"Setia",IF(AND(E2146=5,F2146&lt;=2,G2146&gt;=3),"Berpotensi",IF(AND(E2146&lt;=3,E2146&gt;=2,F2146&gt;=3),"Rawan",IF(AND(E2146&lt;=2,F2146&lt;=2),"Tidur","Umum"))))))</f>
        <v/>
      </c>
    </row>
    <row r="2147">
      <c r="B2147">
        <f>IF(A2147="","",$B$1-MAXIFS(Donasi!$A$2:$A$20000,Donasi!$B$2:$B$20000,A2147))</f>
        <v/>
      </c>
      <c r="C2147">
        <f>IF(A2147="","",COUNTIF(Donasi!$B$2:$B$20000,A2147))</f>
        <v/>
      </c>
      <c r="D2147">
        <f>IF(A2147="","",SUMIF(Donasi!$B$2:$B$20000,A2147,Donasi!$C$2:$C$20000))</f>
        <v/>
      </c>
      <c r="E2147">
        <f>IF(A2147="","",6-CEILING(PERCENTRANK.INC($B$3:$B$6000,B2147,4)*5+0.000001,1))</f>
        <v/>
      </c>
      <c r="F2147">
        <f>IF(A2147="","",MAX(1,CEILING(PERCENTRANK.INC($C$3:$C$6000,C2147,4)*5+0.000001,1)))</f>
        <v/>
      </c>
      <c r="G2147">
        <f>IF(A2147="","",MAX(1,CEILING(PERCENTRANK.INC($D$3:$D$6000,D2147,4)*5+0.000001,1)))</f>
        <v/>
      </c>
      <c r="H2147">
        <f>IF(A2147="","",E2147&amp;F2147&amp;G2147)</f>
        <v/>
      </c>
      <c r="I2147">
        <f>IF(A2147="","",IF(AND(E2147&gt;=4,F2147&gt;=4,G2147&gt;=4),"Juara",IF(AND(F2147&gt;=4,E2147&gt;=3),"Setia",IF(AND(E2147=5,F2147&lt;=2,G2147&gt;=3),"Berpotensi",IF(AND(E2147&lt;=3,E2147&gt;=2,F2147&gt;=3),"Rawan",IF(AND(E2147&lt;=2,F2147&lt;=2),"Tidur","Umum"))))))</f>
        <v/>
      </c>
    </row>
    <row r="2148">
      <c r="B2148">
        <f>IF(A2148="","",$B$1-MAXIFS(Donasi!$A$2:$A$20000,Donasi!$B$2:$B$20000,A2148))</f>
        <v/>
      </c>
      <c r="C2148">
        <f>IF(A2148="","",COUNTIF(Donasi!$B$2:$B$20000,A2148))</f>
        <v/>
      </c>
      <c r="D2148">
        <f>IF(A2148="","",SUMIF(Donasi!$B$2:$B$20000,A2148,Donasi!$C$2:$C$20000))</f>
        <v/>
      </c>
      <c r="E2148">
        <f>IF(A2148="","",6-CEILING(PERCENTRANK.INC($B$3:$B$6000,B2148,4)*5+0.000001,1))</f>
        <v/>
      </c>
      <c r="F2148">
        <f>IF(A2148="","",MAX(1,CEILING(PERCENTRANK.INC($C$3:$C$6000,C2148,4)*5+0.000001,1)))</f>
        <v/>
      </c>
      <c r="G2148">
        <f>IF(A2148="","",MAX(1,CEILING(PERCENTRANK.INC($D$3:$D$6000,D2148,4)*5+0.000001,1)))</f>
        <v/>
      </c>
      <c r="H2148">
        <f>IF(A2148="","",E2148&amp;F2148&amp;G2148)</f>
        <v/>
      </c>
      <c r="I2148">
        <f>IF(A2148="","",IF(AND(E2148&gt;=4,F2148&gt;=4,G2148&gt;=4),"Juara",IF(AND(F2148&gt;=4,E2148&gt;=3),"Setia",IF(AND(E2148=5,F2148&lt;=2,G2148&gt;=3),"Berpotensi",IF(AND(E2148&lt;=3,E2148&gt;=2,F2148&gt;=3),"Rawan",IF(AND(E2148&lt;=2,F2148&lt;=2),"Tidur","Umum"))))))</f>
        <v/>
      </c>
    </row>
    <row r="2149">
      <c r="B2149">
        <f>IF(A2149="","",$B$1-MAXIFS(Donasi!$A$2:$A$20000,Donasi!$B$2:$B$20000,A2149))</f>
        <v/>
      </c>
      <c r="C2149">
        <f>IF(A2149="","",COUNTIF(Donasi!$B$2:$B$20000,A2149))</f>
        <v/>
      </c>
      <c r="D2149">
        <f>IF(A2149="","",SUMIF(Donasi!$B$2:$B$20000,A2149,Donasi!$C$2:$C$20000))</f>
        <v/>
      </c>
      <c r="E2149">
        <f>IF(A2149="","",6-CEILING(PERCENTRANK.INC($B$3:$B$6000,B2149,4)*5+0.000001,1))</f>
        <v/>
      </c>
      <c r="F2149">
        <f>IF(A2149="","",MAX(1,CEILING(PERCENTRANK.INC($C$3:$C$6000,C2149,4)*5+0.000001,1)))</f>
        <v/>
      </c>
      <c r="G2149">
        <f>IF(A2149="","",MAX(1,CEILING(PERCENTRANK.INC($D$3:$D$6000,D2149,4)*5+0.000001,1)))</f>
        <v/>
      </c>
      <c r="H2149">
        <f>IF(A2149="","",E2149&amp;F2149&amp;G2149)</f>
        <v/>
      </c>
      <c r="I2149">
        <f>IF(A2149="","",IF(AND(E2149&gt;=4,F2149&gt;=4,G2149&gt;=4),"Juara",IF(AND(F2149&gt;=4,E2149&gt;=3),"Setia",IF(AND(E2149=5,F2149&lt;=2,G2149&gt;=3),"Berpotensi",IF(AND(E2149&lt;=3,E2149&gt;=2,F2149&gt;=3),"Rawan",IF(AND(E2149&lt;=2,F2149&lt;=2),"Tidur","Umum"))))))</f>
        <v/>
      </c>
    </row>
    <row r="2150">
      <c r="B2150">
        <f>IF(A2150="","",$B$1-MAXIFS(Donasi!$A$2:$A$20000,Donasi!$B$2:$B$20000,A2150))</f>
        <v/>
      </c>
      <c r="C2150">
        <f>IF(A2150="","",COUNTIF(Donasi!$B$2:$B$20000,A2150))</f>
        <v/>
      </c>
      <c r="D2150">
        <f>IF(A2150="","",SUMIF(Donasi!$B$2:$B$20000,A2150,Donasi!$C$2:$C$20000))</f>
        <v/>
      </c>
      <c r="E2150">
        <f>IF(A2150="","",6-CEILING(PERCENTRANK.INC($B$3:$B$6000,B2150,4)*5+0.000001,1))</f>
        <v/>
      </c>
      <c r="F2150">
        <f>IF(A2150="","",MAX(1,CEILING(PERCENTRANK.INC($C$3:$C$6000,C2150,4)*5+0.000001,1)))</f>
        <v/>
      </c>
      <c r="G2150">
        <f>IF(A2150="","",MAX(1,CEILING(PERCENTRANK.INC($D$3:$D$6000,D2150,4)*5+0.000001,1)))</f>
        <v/>
      </c>
      <c r="H2150">
        <f>IF(A2150="","",E2150&amp;F2150&amp;G2150)</f>
        <v/>
      </c>
      <c r="I2150">
        <f>IF(A2150="","",IF(AND(E2150&gt;=4,F2150&gt;=4,G2150&gt;=4),"Juara",IF(AND(F2150&gt;=4,E2150&gt;=3),"Setia",IF(AND(E2150=5,F2150&lt;=2,G2150&gt;=3),"Berpotensi",IF(AND(E2150&lt;=3,E2150&gt;=2,F2150&gt;=3),"Rawan",IF(AND(E2150&lt;=2,F2150&lt;=2),"Tidur","Umum"))))))</f>
        <v/>
      </c>
    </row>
    <row r="2151">
      <c r="B2151">
        <f>IF(A2151="","",$B$1-MAXIFS(Donasi!$A$2:$A$20000,Donasi!$B$2:$B$20000,A2151))</f>
        <v/>
      </c>
      <c r="C2151">
        <f>IF(A2151="","",COUNTIF(Donasi!$B$2:$B$20000,A2151))</f>
        <v/>
      </c>
      <c r="D2151">
        <f>IF(A2151="","",SUMIF(Donasi!$B$2:$B$20000,A2151,Donasi!$C$2:$C$20000))</f>
        <v/>
      </c>
      <c r="E2151">
        <f>IF(A2151="","",6-CEILING(PERCENTRANK.INC($B$3:$B$6000,B2151,4)*5+0.000001,1))</f>
        <v/>
      </c>
      <c r="F2151">
        <f>IF(A2151="","",MAX(1,CEILING(PERCENTRANK.INC($C$3:$C$6000,C2151,4)*5+0.000001,1)))</f>
        <v/>
      </c>
      <c r="G2151">
        <f>IF(A2151="","",MAX(1,CEILING(PERCENTRANK.INC($D$3:$D$6000,D2151,4)*5+0.000001,1)))</f>
        <v/>
      </c>
      <c r="H2151">
        <f>IF(A2151="","",E2151&amp;F2151&amp;G2151)</f>
        <v/>
      </c>
      <c r="I2151">
        <f>IF(A2151="","",IF(AND(E2151&gt;=4,F2151&gt;=4,G2151&gt;=4),"Juara",IF(AND(F2151&gt;=4,E2151&gt;=3),"Setia",IF(AND(E2151=5,F2151&lt;=2,G2151&gt;=3),"Berpotensi",IF(AND(E2151&lt;=3,E2151&gt;=2,F2151&gt;=3),"Rawan",IF(AND(E2151&lt;=2,F2151&lt;=2),"Tidur","Umum"))))))</f>
        <v/>
      </c>
    </row>
    <row r="2152">
      <c r="B2152">
        <f>IF(A2152="","",$B$1-MAXIFS(Donasi!$A$2:$A$20000,Donasi!$B$2:$B$20000,A2152))</f>
        <v/>
      </c>
      <c r="C2152">
        <f>IF(A2152="","",COUNTIF(Donasi!$B$2:$B$20000,A2152))</f>
        <v/>
      </c>
      <c r="D2152">
        <f>IF(A2152="","",SUMIF(Donasi!$B$2:$B$20000,A2152,Donasi!$C$2:$C$20000))</f>
        <v/>
      </c>
      <c r="E2152">
        <f>IF(A2152="","",6-CEILING(PERCENTRANK.INC($B$3:$B$6000,B2152,4)*5+0.000001,1))</f>
        <v/>
      </c>
      <c r="F2152">
        <f>IF(A2152="","",MAX(1,CEILING(PERCENTRANK.INC($C$3:$C$6000,C2152,4)*5+0.000001,1)))</f>
        <v/>
      </c>
      <c r="G2152">
        <f>IF(A2152="","",MAX(1,CEILING(PERCENTRANK.INC($D$3:$D$6000,D2152,4)*5+0.000001,1)))</f>
        <v/>
      </c>
      <c r="H2152">
        <f>IF(A2152="","",E2152&amp;F2152&amp;G2152)</f>
        <v/>
      </c>
      <c r="I2152">
        <f>IF(A2152="","",IF(AND(E2152&gt;=4,F2152&gt;=4,G2152&gt;=4),"Juara",IF(AND(F2152&gt;=4,E2152&gt;=3),"Setia",IF(AND(E2152=5,F2152&lt;=2,G2152&gt;=3),"Berpotensi",IF(AND(E2152&lt;=3,E2152&gt;=2,F2152&gt;=3),"Rawan",IF(AND(E2152&lt;=2,F2152&lt;=2),"Tidur","Umum"))))))</f>
        <v/>
      </c>
    </row>
    <row r="2153">
      <c r="B2153">
        <f>IF(A2153="","",$B$1-MAXIFS(Donasi!$A$2:$A$20000,Donasi!$B$2:$B$20000,A2153))</f>
        <v/>
      </c>
      <c r="C2153">
        <f>IF(A2153="","",COUNTIF(Donasi!$B$2:$B$20000,A2153))</f>
        <v/>
      </c>
      <c r="D2153">
        <f>IF(A2153="","",SUMIF(Donasi!$B$2:$B$20000,A2153,Donasi!$C$2:$C$20000))</f>
        <v/>
      </c>
      <c r="E2153">
        <f>IF(A2153="","",6-CEILING(PERCENTRANK.INC($B$3:$B$6000,B2153,4)*5+0.000001,1))</f>
        <v/>
      </c>
      <c r="F2153">
        <f>IF(A2153="","",MAX(1,CEILING(PERCENTRANK.INC($C$3:$C$6000,C2153,4)*5+0.000001,1)))</f>
        <v/>
      </c>
      <c r="G2153">
        <f>IF(A2153="","",MAX(1,CEILING(PERCENTRANK.INC($D$3:$D$6000,D2153,4)*5+0.000001,1)))</f>
        <v/>
      </c>
      <c r="H2153">
        <f>IF(A2153="","",E2153&amp;F2153&amp;G2153)</f>
        <v/>
      </c>
      <c r="I2153">
        <f>IF(A2153="","",IF(AND(E2153&gt;=4,F2153&gt;=4,G2153&gt;=4),"Juara",IF(AND(F2153&gt;=4,E2153&gt;=3),"Setia",IF(AND(E2153=5,F2153&lt;=2,G2153&gt;=3),"Berpotensi",IF(AND(E2153&lt;=3,E2153&gt;=2,F2153&gt;=3),"Rawan",IF(AND(E2153&lt;=2,F2153&lt;=2),"Tidur","Umum"))))))</f>
        <v/>
      </c>
    </row>
    <row r="2154">
      <c r="B2154">
        <f>IF(A2154="","",$B$1-MAXIFS(Donasi!$A$2:$A$20000,Donasi!$B$2:$B$20000,A2154))</f>
        <v/>
      </c>
      <c r="C2154">
        <f>IF(A2154="","",COUNTIF(Donasi!$B$2:$B$20000,A2154))</f>
        <v/>
      </c>
      <c r="D2154">
        <f>IF(A2154="","",SUMIF(Donasi!$B$2:$B$20000,A2154,Donasi!$C$2:$C$20000))</f>
        <v/>
      </c>
      <c r="E2154">
        <f>IF(A2154="","",6-CEILING(PERCENTRANK.INC($B$3:$B$6000,B2154,4)*5+0.000001,1))</f>
        <v/>
      </c>
      <c r="F2154">
        <f>IF(A2154="","",MAX(1,CEILING(PERCENTRANK.INC($C$3:$C$6000,C2154,4)*5+0.000001,1)))</f>
        <v/>
      </c>
      <c r="G2154">
        <f>IF(A2154="","",MAX(1,CEILING(PERCENTRANK.INC($D$3:$D$6000,D2154,4)*5+0.000001,1)))</f>
        <v/>
      </c>
      <c r="H2154">
        <f>IF(A2154="","",E2154&amp;F2154&amp;G2154)</f>
        <v/>
      </c>
      <c r="I2154">
        <f>IF(A2154="","",IF(AND(E2154&gt;=4,F2154&gt;=4,G2154&gt;=4),"Juara",IF(AND(F2154&gt;=4,E2154&gt;=3),"Setia",IF(AND(E2154=5,F2154&lt;=2,G2154&gt;=3),"Berpotensi",IF(AND(E2154&lt;=3,E2154&gt;=2,F2154&gt;=3),"Rawan",IF(AND(E2154&lt;=2,F2154&lt;=2),"Tidur","Umum"))))))</f>
        <v/>
      </c>
    </row>
    <row r="2155">
      <c r="B2155">
        <f>IF(A2155="","",$B$1-MAXIFS(Donasi!$A$2:$A$20000,Donasi!$B$2:$B$20000,A2155))</f>
        <v/>
      </c>
      <c r="C2155">
        <f>IF(A2155="","",COUNTIF(Donasi!$B$2:$B$20000,A2155))</f>
        <v/>
      </c>
      <c r="D2155">
        <f>IF(A2155="","",SUMIF(Donasi!$B$2:$B$20000,A2155,Donasi!$C$2:$C$20000))</f>
        <v/>
      </c>
      <c r="E2155">
        <f>IF(A2155="","",6-CEILING(PERCENTRANK.INC($B$3:$B$6000,B2155,4)*5+0.000001,1))</f>
        <v/>
      </c>
      <c r="F2155">
        <f>IF(A2155="","",MAX(1,CEILING(PERCENTRANK.INC($C$3:$C$6000,C2155,4)*5+0.000001,1)))</f>
        <v/>
      </c>
      <c r="G2155">
        <f>IF(A2155="","",MAX(1,CEILING(PERCENTRANK.INC($D$3:$D$6000,D2155,4)*5+0.000001,1)))</f>
        <v/>
      </c>
      <c r="H2155">
        <f>IF(A2155="","",E2155&amp;F2155&amp;G2155)</f>
        <v/>
      </c>
      <c r="I2155">
        <f>IF(A2155="","",IF(AND(E2155&gt;=4,F2155&gt;=4,G2155&gt;=4),"Juara",IF(AND(F2155&gt;=4,E2155&gt;=3),"Setia",IF(AND(E2155=5,F2155&lt;=2,G2155&gt;=3),"Berpotensi",IF(AND(E2155&lt;=3,E2155&gt;=2,F2155&gt;=3),"Rawan",IF(AND(E2155&lt;=2,F2155&lt;=2),"Tidur","Umum"))))))</f>
        <v/>
      </c>
    </row>
    <row r="2156">
      <c r="B2156">
        <f>IF(A2156="","",$B$1-MAXIFS(Donasi!$A$2:$A$20000,Donasi!$B$2:$B$20000,A2156))</f>
        <v/>
      </c>
      <c r="C2156">
        <f>IF(A2156="","",COUNTIF(Donasi!$B$2:$B$20000,A2156))</f>
        <v/>
      </c>
      <c r="D2156">
        <f>IF(A2156="","",SUMIF(Donasi!$B$2:$B$20000,A2156,Donasi!$C$2:$C$20000))</f>
        <v/>
      </c>
      <c r="E2156">
        <f>IF(A2156="","",6-CEILING(PERCENTRANK.INC($B$3:$B$6000,B2156,4)*5+0.000001,1))</f>
        <v/>
      </c>
      <c r="F2156">
        <f>IF(A2156="","",MAX(1,CEILING(PERCENTRANK.INC($C$3:$C$6000,C2156,4)*5+0.000001,1)))</f>
        <v/>
      </c>
      <c r="G2156">
        <f>IF(A2156="","",MAX(1,CEILING(PERCENTRANK.INC($D$3:$D$6000,D2156,4)*5+0.000001,1)))</f>
        <v/>
      </c>
      <c r="H2156">
        <f>IF(A2156="","",E2156&amp;F2156&amp;G2156)</f>
        <v/>
      </c>
      <c r="I2156">
        <f>IF(A2156="","",IF(AND(E2156&gt;=4,F2156&gt;=4,G2156&gt;=4),"Juara",IF(AND(F2156&gt;=4,E2156&gt;=3),"Setia",IF(AND(E2156=5,F2156&lt;=2,G2156&gt;=3),"Berpotensi",IF(AND(E2156&lt;=3,E2156&gt;=2,F2156&gt;=3),"Rawan",IF(AND(E2156&lt;=2,F2156&lt;=2),"Tidur","Umum"))))))</f>
        <v/>
      </c>
    </row>
    <row r="2157">
      <c r="B2157">
        <f>IF(A2157="","",$B$1-MAXIFS(Donasi!$A$2:$A$20000,Donasi!$B$2:$B$20000,A2157))</f>
        <v/>
      </c>
      <c r="C2157">
        <f>IF(A2157="","",COUNTIF(Donasi!$B$2:$B$20000,A2157))</f>
        <v/>
      </c>
      <c r="D2157">
        <f>IF(A2157="","",SUMIF(Donasi!$B$2:$B$20000,A2157,Donasi!$C$2:$C$20000))</f>
        <v/>
      </c>
      <c r="E2157">
        <f>IF(A2157="","",6-CEILING(PERCENTRANK.INC($B$3:$B$6000,B2157,4)*5+0.000001,1))</f>
        <v/>
      </c>
      <c r="F2157">
        <f>IF(A2157="","",MAX(1,CEILING(PERCENTRANK.INC($C$3:$C$6000,C2157,4)*5+0.000001,1)))</f>
        <v/>
      </c>
      <c r="G2157">
        <f>IF(A2157="","",MAX(1,CEILING(PERCENTRANK.INC($D$3:$D$6000,D2157,4)*5+0.000001,1)))</f>
        <v/>
      </c>
      <c r="H2157">
        <f>IF(A2157="","",E2157&amp;F2157&amp;G2157)</f>
        <v/>
      </c>
      <c r="I2157">
        <f>IF(A2157="","",IF(AND(E2157&gt;=4,F2157&gt;=4,G2157&gt;=4),"Juara",IF(AND(F2157&gt;=4,E2157&gt;=3),"Setia",IF(AND(E2157=5,F2157&lt;=2,G2157&gt;=3),"Berpotensi",IF(AND(E2157&lt;=3,E2157&gt;=2,F2157&gt;=3),"Rawan",IF(AND(E2157&lt;=2,F2157&lt;=2),"Tidur","Umum"))))))</f>
        <v/>
      </c>
    </row>
    <row r="2158">
      <c r="B2158">
        <f>IF(A2158="","",$B$1-MAXIFS(Donasi!$A$2:$A$20000,Donasi!$B$2:$B$20000,A2158))</f>
        <v/>
      </c>
      <c r="C2158">
        <f>IF(A2158="","",COUNTIF(Donasi!$B$2:$B$20000,A2158))</f>
        <v/>
      </c>
      <c r="D2158">
        <f>IF(A2158="","",SUMIF(Donasi!$B$2:$B$20000,A2158,Donasi!$C$2:$C$20000))</f>
        <v/>
      </c>
      <c r="E2158">
        <f>IF(A2158="","",6-CEILING(PERCENTRANK.INC($B$3:$B$6000,B2158,4)*5+0.000001,1))</f>
        <v/>
      </c>
      <c r="F2158">
        <f>IF(A2158="","",MAX(1,CEILING(PERCENTRANK.INC($C$3:$C$6000,C2158,4)*5+0.000001,1)))</f>
        <v/>
      </c>
      <c r="G2158">
        <f>IF(A2158="","",MAX(1,CEILING(PERCENTRANK.INC($D$3:$D$6000,D2158,4)*5+0.000001,1)))</f>
        <v/>
      </c>
      <c r="H2158">
        <f>IF(A2158="","",E2158&amp;F2158&amp;G2158)</f>
        <v/>
      </c>
      <c r="I2158">
        <f>IF(A2158="","",IF(AND(E2158&gt;=4,F2158&gt;=4,G2158&gt;=4),"Juara",IF(AND(F2158&gt;=4,E2158&gt;=3),"Setia",IF(AND(E2158=5,F2158&lt;=2,G2158&gt;=3),"Berpotensi",IF(AND(E2158&lt;=3,E2158&gt;=2,F2158&gt;=3),"Rawan",IF(AND(E2158&lt;=2,F2158&lt;=2),"Tidur","Umum"))))))</f>
        <v/>
      </c>
    </row>
    <row r="2159">
      <c r="B2159">
        <f>IF(A2159="","",$B$1-MAXIFS(Donasi!$A$2:$A$20000,Donasi!$B$2:$B$20000,A2159))</f>
        <v/>
      </c>
      <c r="C2159">
        <f>IF(A2159="","",COUNTIF(Donasi!$B$2:$B$20000,A2159))</f>
        <v/>
      </c>
      <c r="D2159">
        <f>IF(A2159="","",SUMIF(Donasi!$B$2:$B$20000,A2159,Donasi!$C$2:$C$20000))</f>
        <v/>
      </c>
      <c r="E2159">
        <f>IF(A2159="","",6-CEILING(PERCENTRANK.INC($B$3:$B$6000,B2159,4)*5+0.000001,1))</f>
        <v/>
      </c>
      <c r="F2159">
        <f>IF(A2159="","",MAX(1,CEILING(PERCENTRANK.INC($C$3:$C$6000,C2159,4)*5+0.000001,1)))</f>
        <v/>
      </c>
      <c r="G2159">
        <f>IF(A2159="","",MAX(1,CEILING(PERCENTRANK.INC($D$3:$D$6000,D2159,4)*5+0.000001,1)))</f>
        <v/>
      </c>
      <c r="H2159">
        <f>IF(A2159="","",E2159&amp;F2159&amp;G2159)</f>
        <v/>
      </c>
      <c r="I2159">
        <f>IF(A2159="","",IF(AND(E2159&gt;=4,F2159&gt;=4,G2159&gt;=4),"Juara",IF(AND(F2159&gt;=4,E2159&gt;=3),"Setia",IF(AND(E2159=5,F2159&lt;=2,G2159&gt;=3),"Berpotensi",IF(AND(E2159&lt;=3,E2159&gt;=2,F2159&gt;=3),"Rawan",IF(AND(E2159&lt;=2,F2159&lt;=2),"Tidur","Umum"))))))</f>
        <v/>
      </c>
    </row>
    <row r="2160">
      <c r="B2160">
        <f>IF(A2160="","",$B$1-MAXIFS(Donasi!$A$2:$A$20000,Donasi!$B$2:$B$20000,A2160))</f>
        <v/>
      </c>
      <c r="C2160">
        <f>IF(A2160="","",COUNTIF(Donasi!$B$2:$B$20000,A2160))</f>
        <v/>
      </c>
      <c r="D2160">
        <f>IF(A2160="","",SUMIF(Donasi!$B$2:$B$20000,A2160,Donasi!$C$2:$C$20000))</f>
        <v/>
      </c>
      <c r="E2160">
        <f>IF(A2160="","",6-CEILING(PERCENTRANK.INC($B$3:$B$6000,B2160,4)*5+0.000001,1))</f>
        <v/>
      </c>
      <c r="F2160">
        <f>IF(A2160="","",MAX(1,CEILING(PERCENTRANK.INC($C$3:$C$6000,C2160,4)*5+0.000001,1)))</f>
        <v/>
      </c>
      <c r="G2160">
        <f>IF(A2160="","",MAX(1,CEILING(PERCENTRANK.INC($D$3:$D$6000,D2160,4)*5+0.000001,1)))</f>
        <v/>
      </c>
      <c r="H2160">
        <f>IF(A2160="","",E2160&amp;F2160&amp;G2160)</f>
        <v/>
      </c>
      <c r="I2160">
        <f>IF(A2160="","",IF(AND(E2160&gt;=4,F2160&gt;=4,G2160&gt;=4),"Juara",IF(AND(F2160&gt;=4,E2160&gt;=3),"Setia",IF(AND(E2160=5,F2160&lt;=2,G2160&gt;=3),"Berpotensi",IF(AND(E2160&lt;=3,E2160&gt;=2,F2160&gt;=3),"Rawan",IF(AND(E2160&lt;=2,F2160&lt;=2),"Tidur","Umum"))))))</f>
        <v/>
      </c>
    </row>
    <row r="2161">
      <c r="B2161">
        <f>IF(A2161="","",$B$1-MAXIFS(Donasi!$A$2:$A$20000,Donasi!$B$2:$B$20000,A2161))</f>
        <v/>
      </c>
      <c r="C2161">
        <f>IF(A2161="","",COUNTIF(Donasi!$B$2:$B$20000,A2161))</f>
        <v/>
      </c>
      <c r="D2161">
        <f>IF(A2161="","",SUMIF(Donasi!$B$2:$B$20000,A2161,Donasi!$C$2:$C$20000))</f>
        <v/>
      </c>
      <c r="E2161">
        <f>IF(A2161="","",6-CEILING(PERCENTRANK.INC($B$3:$B$6000,B2161,4)*5+0.000001,1))</f>
        <v/>
      </c>
      <c r="F2161">
        <f>IF(A2161="","",MAX(1,CEILING(PERCENTRANK.INC($C$3:$C$6000,C2161,4)*5+0.000001,1)))</f>
        <v/>
      </c>
      <c r="G2161">
        <f>IF(A2161="","",MAX(1,CEILING(PERCENTRANK.INC($D$3:$D$6000,D2161,4)*5+0.000001,1)))</f>
        <v/>
      </c>
      <c r="H2161">
        <f>IF(A2161="","",E2161&amp;F2161&amp;G2161)</f>
        <v/>
      </c>
      <c r="I2161">
        <f>IF(A2161="","",IF(AND(E2161&gt;=4,F2161&gt;=4,G2161&gt;=4),"Juara",IF(AND(F2161&gt;=4,E2161&gt;=3),"Setia",IF(AND(E2161=5,F2161&lt;=2,G2161&gt;=3),"Berpotensi",IF(AND(E2161&lt;=3,E2161&gt;=2,F2161&gt;=3),"Rawan",IF(AND(E2161&lt;=2,F2161&lt;=2),"Tidur","Umum"))))))</f>
        <v/>
      </c>
    </row>
    <row r="2162">
      <c r="B2162">
        <f>IF(A2162="","",$B$1-MAXIFS(Donasi!$A$2:$A$20000,Donasi!$B$2:$B$20000,A2162))</f>
        <v/>
      </c>
      <c r="C2162">
        <f>IF(A2162="","",COUNTIF(Donasi!$B$2:$B$20000,A2162))</f>
        <v/>
      </c>
      <c r="D2162">
        <f>IF(A2162="","",SUMIF(Donasi!$B$2:$B$20000,A2162,Donasi!$C$2:$C$20000))</f>
        <v/>
      </c>
      <c r="E2162">
        <f>IF(A2162="","",6-CEILING(PERCENTRANK.INC($B$3:$B$6000,B2162,4)*5+0.000001,1))</f>
        <v/>
      </c>
      <c r="F2162">
        <f>IF(A2162="","",MAX(1,CEILING(PERCENTRANK.INC($C$3:$C$6000,C2162,4)*5+0.000001,1)))</f>
        <v/>
      </c>
      <c r="G2162">
        <f>IF(A2162="","",MAX(1,CEILING(PERCENTRANK.INC($D$3:$D$6000,D2162,4)*5+0.000001,1)))</f>
        <v/>
      </c>
      <c r="H2162">
        <f>IF(A2162="","",E2162&amp;F2162&amp;G2162)</f>
        <v/>
      </c>
      <c r="I2162">
        <f>IF(A2162="","",IF(AND(E2162&gt;=4,F2162&gt;=4,G2162&gt;=4),"Juara",IF(AND(F2162&gt;=4,E2162&gt;=3),"Setia",IF(AND(E2162=5,F2162&lt;=2,G2162&gt;=3),"Berpotensi",IF(AND(E2162&lt;=3,E2162&gt;=2,F2162&gt;=3),"Rawan",IF(AND(E2162&lt;=2,F2162&lt;=2),"Tidur","Umum"))))))</f>
        <v/>
      </c>
    </row>
    <row r="2163">
      <c r="B2163">
        <f>IF(A2163="","",$B$1-MAXIFS(Donasi!$A$2:$A$20000,Donasi!$B$2:$B$20000,A2163))</f>
        <v/>
      </c>
      <c r="C2163">
        <f>IF(A2163="","",COUNTIF(Donasi!$B$2:$B$20000,A2163))</f>
        <v/>
      </c>
      <c r="D2163">
        <f>IF(A2163="","",SUMIF(Donasi!$B$2:$B$20000,A2163,Donasi!$C$2:$C$20000))</f>
        <v/>
      </c>
      <c r="E2163">
        <f>IF(A2163="","",6-CEILING(PERCENTRANK.INC($B$3:$B$6000,B2163,4)*5+0.000001,1))</f>
        <v/>
      </c>
      <c r="F2163">
        <f>IF(A2163="","",MAX(1,CEILING(PERCENTRANK.INC($C$3:$C$6000,C2163,4)*5+0.000001,1)))</f>
        <v/>
      </c>
      <c r="G2163">
        <f>IF(A2163="","",MAX(1,CEILING(PERCENTRANK.INC($D$3:$D$6000,D2163,4)*5+0.000001,1)))</f>
        <v/>
      </c>
      <c r="H2163">
        <f>IF(A2163="","",E2163&amp;F2163&amp;G2163)</f>
        <v/>
      </c>
      <c r="I2163">
        <f>IF(A2163="","",IF(AND(E2163&gt;=4,F2163&gt;=4,G2163&gt;=4),"Juara",IF(AND(F2163&gt;=4,E2163&gt;=3),"Setia",IF(AND(E2163=5,F2163&lt;=2,G2163&gt;=3),"Berpotensi",IF(AND(E2163&lt;=3,E2163&gt;=2,F2163&gt;=3),"Rawan",IF(AND(E2163&lt;=2,F2163&lt;=2),"Tidur","Umum"))))))</f>
        <v/>
      </c>
    </row>
    <row r="2164">
      <c r="B2164">
        <f>IF(A2164="","",$B$1-MAXIFS(Donasi!$A$2:$A$20000,Donasi!$B$2:$B$20000,A2164))</f>
        <v/>
      </c>
      <c r="C2164">
        <f>IF(A2164="","",COUNTIF(Donasi!$B$2:$B$20000,A2164))</f>
        <v/>
      </c>
      <c r="D2164">
        <f>IF(A2164="","",SUMIF(Donasi!$B$2:$B$20000,A2164,Donasi!$C$2:$C$20000))</f>
        <v/>
      </c>
      <c r="E2164">
        <f>IF(A2164="","",6-CEILING(PERCENTRANK.INC($B$3:$B$6000,B2164,4)*5+0.000001,1))</f>
        <v/>
      </c>
      <c r="F2164">
        <f>IF(A2164="","",MAX(1,CEILING(PERCENTRANK.INC($C$3:$C$6000,C2164,4)*5+0.000001,1)))</f>
        <v/>
      </c>
      <c r="G2164">
        <f>IF(A2164="","",MAX(1,CEILING(PERCENTRANK.INC($D$3:$D$6000,D2164,4)*5+0.000001,1)))</f>
        <v/>
      </c>
      <c r="H2164">
        <f>IF(A2164="","",E2164&amp;F2164&amp;G2164)</f>
        <v/>
      </c>
      <c r="I2164">
        <f>IF(A2164="","",IF(AND(E2164&gt;=4,F2164&gt;=4,G2164&gt;=4),"Juara",IF(AND(F2164&gt;=4,E2164&gt;=3),"Setia",IF(AND(E2164=5,F2164&lt;=2,G2164&gt;=3),"Berpotensi",IF(AND(E2164&lt;=3,E2164&gt;=2,F2164&gt;=3),"Rawan",IF(AND(E2164&lt;=2,F2164&lt;=2),"Tidur","Umum"))))))</f>
        <v/>
      </c>
    </row>
    <row r="2165">
      <c r="B2165">
        <f>IF(A2165="","",$B$1-MAXIFS(Donasi!$A$2:$A$20000,Donasi!$B$2:$B$20000,A2165))</f>
        <v/>
      </c>
      <c r="C2165">
        <f>IF(A2165="","",COUNTIF(Donasi!$B$2:$B$20000,A2165))</f>
        <v/>
      </c>
      <c r="D2165">
        <f>IF(A2165="","",SUMIF(Donasi!$B$2:$B$20000,A2165,Donasi!$C$2:$C$20000))</f>
        <v/>
      </c>
      <c r="E2165">
        <f>IF(A2165="","",6-CEILING(PERCENTRANK.INC($B$3:$B$6000,B2165,4)*5+0.000001,1))</f>
        <v/>
      </c>
      <c r="F2165">
        <f>IF(A2165="","",MAX(1,CEILING(PERCENTRANK.INC($C$3:$C$6000,C2165,4)*5+0.000001,1)))</f>
        <v/>
      </c>
      <c r="G2165">
        <f>IF(A2165="","",MAX(1,CEILING(PERCENTRANK.INC($D$3:$D$6000,D2165,4)*5+0.000001,1)))</f>
        <v/>
      </c>
      <c r="H2165">
        <f>IF(A2165="","",E2165&amp;F2165&amp;G2165)</f>
        <v/>
      </c>
      <c r="I2165">
        <f>IF(A2165="","",IF(AND(E2165&gt;=4,F2165&gt;=4,G2165&gt;=4),"Juara",IF(AND(F2165&gt;=4,E2165&gt;=3),"Setia",IF(AND(E2165=5,F2165&lt;=2,G2165&gt;=3),"Berpotensi",IF(AND(E2165&lt;=3,E2165&gt;=2,F2165&gt;=3),"Rawan",IF(AND(E2165&lt;=2,F2165&lt;=2),"Tidur","Umum"))))))</f>
        <v/>
      </c>
    </row>
    <row r="2166">
      <c r="B2166">
        <f>IF(A2166="","",$B$1-MAXIFS(Donasi!$A$2:$A$20000,Donasi!$B$2:$B$20000,A2166))</f>
        <v/>
      </c>
      <c r="C2166">
        <f>IF(A2166="","",COUNTIF(Donasi!$B$2:$B$20000,A2166))</f>
        <v/>
      </c>
      <c r="D2166">
        <f>IF(A2166="","",SUMIF(Donasi!$B$2:$B$20000,A2166,Donasi!$C$2:$C$20000))</f>
        <v/>
      </c>
      <c r="E2166">
        <f>IF(A2166="","",6-CEILING(PERCENTRANK.INC($B$3:$B$6000,B2166,4)*5+0.000001,1))</f>
        <v/>
      </c>
      <c r="F2166">
        <f>IF(A2166="","",MAX(1,CEILING(PERCENTRANK.INC($C$3:$C$6000,C2166,4)*5+0.000001,1)))</f>
        <v/>
      </c>
      <c r="G2166">
        <f>IF(A2166="","",MAX(1,CEILING(PERCENTRANK.INC($D$3:$D$6000,D2166,4)*5+0.000001,1)))</f>
        <v/>
      </c>
      <c r="H2166">
        <f>IF(A2166="","",E2166&amp;F2166&amp;G2166)</f>
        <v/>
      </c>
      <c r="I2166">
        <f>IF(A2166="","",IF(AND(E2166&gt;=4,F2166&gt;=4,G2166&gt;=4),"Juara",IF(AND(F2166&gt;=4,E2166&gt;=3),"Setia",IF(AND(E2166=5,F2166&lt;=2,G2166&gt;=3),"Berpotensi",IF(AND(E2166&lt;=3,E2166&gt;=2,F2166&gt;=3),"Rawan",IF(AND(E2166&lt;=2,F2166&lt;=2),"Tidur","Umum"))))))</f>
        <v/>
      </c>
    </row>
    <row r="2167">
      <c r="B2167">
        <f>IF(A2167="","",$B$1-MAXIFS(Donasi!$A$2:$A$20000,Donasi!$B$2:$B$20000,A2167))</f>
        <v/>
      </c>
      <c r="C2167">
        <f>IF(A2167="","",COUNTIF(Donasi!$B$2:$B$20000,A2167))</f>
        <v/>
      </c>
      <c r="D2167">
        <f>IF(A2167="","",SUMIF(Donasi!$B$2:$B$20000,A2167,Donasi!$C$2:$C$20000))</f>
        <v/>
      </c>
      <c r="E2167">
        <f>IF(A2167="","",6-CEILING(PERCENTRANK.INC($B$3:$B$6000,B2167,4)*5+0.000001,1))</f>
        <v/>
      </c>
      <c r="F2167">
        <f>IF(A2167="","",MAX(1,CEILING(PERCENTRANK.INC($C$3:$C$6000,C2167,4)*5+0.000001,1)))</f>
        <v/>
      </c>
      <c r="G2167">
        <f>IF(A2167="","",MAX(1,CEILING(PERCENTRANK.INC($D$3:$D$6000,D2167,4)*5+0.000001,1)))</f>
        <v/>
      </c>
      <c r="H2167">
        <f>IF(A2167="","",E2167&amp;F2167&amp;G2167)</f>
        <v/>
      </c>
      <c r="I2167">
        <f>IF(A2167="","",IF(AND(E2167&gt;=4,F2167&gt;=4,G2167&gt;=4),"Juara",IF(AND(F2167&gt;=4,E2167&gt;=3),"Setia",IF(AND(E2167=5,F2167&lt;=2,G2167&gt;=3),"Berpotensi",IF(AND(E2167&lt;=3,E2167&gt;=2,F2167&gt;=3),"Rawan",IF(AND(E2167&lt;=2,F2167&lt;=2),"Tidur","Umum"))))))</f>
        <v/>
      </c>
    </row>
    <row r="2168">
      <c r="B2168">
        <f>IF(A2168="","",$B$1-MAXIFS(Donasi!$A$2:$A$20000,Donasi!$B$2:$B$20000,A2168))</f>
        <v/>
      </c>
      <c r="C2168">
        <f>IF(A2168="","",COUNTIF(Donasi!$B$2:$B$20000,A2168))</f>
        <v/>
      </c>
      <c r="D2168">
        <f>IF(A2168="","",SUMIF(Donasi!$B$2:$B$20000,A2168,Donasi!$C$2:$C$20000))</f>
        <v/>
      </c>
      <c r="E2168">
        <f>IF(A2168="","",6-CEILING(PERCENTRANK.INC($B$3:$B$6000,B2168,4)*5+0.000001,1))</f>
        <v/>
      </c>
      <c r="F2168">
        <f>IF(A2168="","",MAX(1,CEILING(PERCENTRANK.INC($C$3:$C$6000,C2168,4)*5+0.000001,1)))</f>
        <v/>
      </c>
      <c r="G2168">
        <f>IF(A2168="","",MAX(1,CEILING(PERCENTRANK.INC($D$3:$D$6000,D2168,4)*5+0.000001,1)))</f>
        <v/>
      </c>
      <c r="H2168">
        <f>IF(A2168="","",E2168&amp;F2168&amp;G2168)</f>
        <v/>
      </c>
      <c r="I2168">
        <f>IF(A2168="","",IF(AND(E2168&gt;=4,F2168&gt;=4,G2168&gt;=4),"Juara",IF(AND(F2168&gt;=4,E2168&gt;=3),"Setia",IF(AND(E2168=5,F2168&lt;=2,G2168&gt;=3),"Berpotensi",IF(AND(E2168&lt;=3,E2168&gt;=2,F2168&gt;=3),"Rawan",IF(AND(E2168&lt;=2,F2168&lt;=2),"Tidur","Umum"))))))</f>
        <v/>
      </c>
    </row>
    <row r="2169">
      <c r="B2169">
        <f>IF(A2169="","",$B$1-MAXIFS(Donasi!$A$2:$A$20000,Donasi!$B$2:$B$20000,A2169))</f>
        <v/>
      </c>
      <c r="C2169">
        <f>IF(A2169="","",COUNTIF(Donasi!$B$2:$B$20000,A2169))</f>
        <v/>
      </c>
      <c r="D2169">
        <f>IF(A2169="","",SUMIF(Donasi!$B$2:$B$20000,A2169,Donasi!$C$2:$C$20000))</f>
        <v/>
      </c>
      <c r="E2169">
        <f>IF(A2169="","",6-CEILING(PERCENTRANK.INC($B$3:$B$6000,B2169,4)*5+0.000001,1))</f>
        <v/>
      </c>
      <c r="F2169">
        <f>IF(A2169="","",MAX(1,CEILING(PERCENTRANK.INC($C$3:$C$6000,C2169,4)*5+0.000001,1)))</f>
        <v/>
      </c>
      <c r="G2169">
        <f>IF(A2169="","",MAX(1,CEILING(PERCENTRANK.INC($D$3:$D$6000,D2169,4)*5+0.000001,1)))</f>
        <v/>
      </c>
      <c r="H2169">
        <f>IF(A2169="","",E2169&amp;F2169&amp;G2169)</f>
        <v/>
      </c>
      <c r="I2169">
        <f>IF(A2169="","",IF(AND(E2169&gt;=4,F2169&gt;=4,G2169&gt;=4),"Juara",IF(AND(F2169&gt;=4,E2169&gt;=3),"Setia",IF(AND(E2169=5,F2169&lt;=2,G2169&gt;=3),"Berpotensi",IF(AND(E2169&lt;=3,E2169&gt;=2,F2169&gt;=3),"Rawan",IF(AND(E2169&lt;=2,F2169&lt;=2),"Tidur","Umum"))))))</f>
        <v/>
      </c>
    </row>
    <row r="2170">
      <c r="B2170">
        <f>IF(A2170="","",$B$1-MAXIFS(Donasi!$A$2:$A$20000,Donasi!$B$2:$B$20000,A2170))</f>
        <v/>
      </c>
      <c r="C2170">
        <f>IF(A2170="","",COUNTIF(Donasi!$B$2:$B$20000,A2170))</f>
        <v/>
      </c>
      <c r="D2170">
        <f>IF(A2170="","",SUMIF(Donasi!$B$2:$B$20000,A2170,Donasi!$C$2:$C$20000))</f>
        <v/>
      </c>
      <c r="E2170">
        <f>IF(A2170="","",6-CEILING(PERCENTRANK.INC($B$3:$B$6000,B2170,4)*5+0.000001,1))</f>
        <v/>
      </c>
      <c r="F2170">
        <f>IF(A2170="","",MAX(1,CEILING(PERCENTRANK.INC($C$3:$C$6000,C2170,4)*5+0.000001,1)))</f>
        <v/>
      </c>
      <c r="G2170">
        <f>IF(A2170="","",MAX(1,CEILING(PERCENTRANK.INC($D$3:$D$6000,D2170,4)*5+0.000001,1)))</f>
        <v/>
      </c>
      <c r="H2170">
        <f>IF(A2170="","",E2170&amp;F2170&amp;G2170)</f>
        <v/>
      </c>
      <c r="I2170">
        <f>IF(A2170="","",IF(AND(E2170&gt;=4,F2170&gt;=4,G2170&gt;=4),"Juara",IF(AND(F2170&gt;=4,E2170&gt;=3),"Setia",IF(AND(E2170=5,F2170&lt;=2,G2170&gt;=3),"Berpotensi",IF(AND(E2170&lt;=3,E2170&gt;=2,F2170&gt;=3),"Rawan",IF(AND(E2170&lt;=2,F2170&lt;=2),"Tidur","Umum"))))))</f>
        <v/>
      </c>
    </row>
    <row r="2171">
      <c r="B2171">
        <f>IF(A2171="","",$B$1-MAXIFS(Donasi!$A$2:$A$20000,Donasi!$B$2:$B$20000,A2171))</f>
        <v/>
      </c>
      <c r="C2171">
        <f>IF(A2171="","",COUNTIF(Donasi!$B$2:$B$20000,A2171))</f>
        <v/>
      </c>
      <c r="D2171">
        <f>IF(A2171="","",SUMIF(Donasi!$B$2:$B$20000,A2171,Donasi!$C$2:$C$20000))</f>
        <v/>
      </c>
      <c r="E2171">
        <f>IF(A2171="","",6-CEILING(PERCENTRANK.INC($B$3:$B$6000,B2171,4)*5+0.000001,1))</f>
        <v/>
      </c>
      <c r="F2171">
        <f>IF(A2171="","",MAX(1,CEILING(PERCENTRANK.INC($C$3:$C$6000,C2171,4)*5+0.000001,1)))</f>
        <v/>
      </c>
      <c r="G2171">
        <f>IF(A2171="","",MAX(1,CEILING(PERCENTRANK.INC($D$3:$D$6000,D2171,4)*5+0.000001,1)))</f>
        <v/>
      </c>
      <c r="H2171">
        <f>IF(A2171="","",E2171&amp;F2171&amp;G2171)</f>
        <v/>
      </c>
      <c r="I2171">
        <f>IF(A2171="","",IF(AND(E2171&gt;=4,F2171&gt;=4,G2171&gt;=4),"Juara",IF(AND(F2171&gt;=4,E2171&gt;=3),"Setia",IF(AND(E2171=5,F2171&lt;=2,G2171&gt;=3),"Berpotensi",IF(AND(E2171&lt;=3,E2171&gt;=2,F2171&gt;=3),"Rawan",IF(AND(E2171&lt;=2,F2171&lt;=2),"Tidur","Umum"))))))</f>
        <v/>
      </c>
    </row>
    <row r="2172">
      <c r="B2172">
        <f>IF(A2172="","",$B$1-MAXIFS(Donasi!$A$2:$A$20000,Donasi!$B$2:$B$20000,A2172))</f>
        <v/>
      </c>
      <c r="C2172">
        <f>IF(A2172="","",COUNTIF(Donasi!$B$2:$B$20000,A2172))</f>
        <v/>
      </c>
      <c r="D2172">
        <f>IF(A2172="","",SUMIF(Donasi!$B$2:$B$20000,A2172,Donasi!$C$2:$C$20000))</f>
        <v/>
      </c>
      <c r="E2172">
        <f>IF(A2172="","",6-CEILING(PERCENTRANK.INC($B$3:$B$6000,B2172,4)*5+0.000001,1))</f>
        <v/>
      </c>
      <c r="F2172">
        <f>IF(A2172="","",MAX(1,CEILING(PERCENTRANK.INC($C$3:$C$6000,C2172,4)*5+0.000001,1)))</f>
        <v/>
      </c>
      <c r="G2172">
        <f>IF(A2172="","",MAX(1,CEILING(PERCENTRANK.INC($D$3:$D$6000,D2172,4)*5+0.000001,1)))</f>
        <v/>
      </c>
      <c r="H2172">
        <f>IF(A2172="","",E2172&amp;F2172&amp;G2172)</f>
        <v/>
      </c>
      <c r="I2172">
        <f>IF(A2172="","",IF(AND(E2172&gt;=4,F2172&gt;=4,G2172&gt;=4),"Juara",IF(AND(F2172&gt;=4,E2172&gt;=3),"Setia",IF(AND(E2172=5,F2172&lt;=2,G2172&gt;=3),"Berpotensi",IF(AND(E2172&lt;=3,E2172&gt;=2,F2172&gt;=3),"Rawan",IF(AND(E2172&lt;=2,F2172&lt;=2),"Tidur","Umum"))))))</f>
        <v/>
      </c>
    </row>
    <row r="2173">
      <c r="B2173">
        <f>IF(A2173="","",$B$1-MAXIFS(Donasi!$A$2:$A$20000,Donasi!$B$2:$B$20000,A2173))</f>
        <v/>
      </c>
      <c r="C2173">
        <f>IF(A2173="","",COUNTIF(Donasi!$B$2:$B$20000,A2173))</f>
        <v/>
      </c>
      <c r="D2173">
        <f>IF(A2173="","",SUMIF(Donasi!$B$2:$B$20000,A2173,Donasi!$C$2:$C$20000))</f>
        <v/>
      </c>
      <c r="E2173">
        <f>IF(A2173="","",6-CEILING(PERCENTRANK.INC($B$3:$B$6000,B2173,4)*5+0.000001,1))</f>
        <v/>
      </c>
      <c r="F2173">
        <f>IF(A2173="","",MAX(1,CEILING(PERCENTRANK.INC($C$3:$C$6000,C2173,4)*5+0.000001,1)))</f>
        <v/>
      </c>
      <c r="G2173">
        <f>IF(A2173="","",MAX(1,CEILING(PERCENTRANK.INC($D$3:$D$6000,D2173,4)*5+0.000001,1)))</f>
        <v/>
      </c>
      <c r="H2173">
        <f>IF(A2173="","",E2173&amp;F2173&amp;G2173)</f>
        <v/>
      </c>
      <c r="I2173">
        <f>IF(A2173="","",IF(AND(E2173&gt;=4,F2173&gt;=4,G2173&gt;=4),"Juara",IF(AND(F2173&gt;=4,E2173&gt;=3),"Setia",IF(AND(E2173=5,F2173&lt;=2,G2173&gt;=3),"Berpotensi",IF(AND(E2173&lt;=3,E2173&gt;=2,F2173&gt;=3),"Rawan",IF(AND(E2173&lt;=2,F2173&lt;=2),"Tidur","Umum"))))))</f>
        <v/>
      </c>
    </row>
    <row r="2174">
      <c r="B2174">
        <f>IF(A2174="","",$B$1-MAXIFS(Donasi!$A$2:$A$20000,Donasi!$B$2:$B$20000,A2174))</f>
        <v/>
      </c>
      <c r="C2174">
        <f>IF(A2174="","",COUNTIF(Donasi!$B$2:$B$20000,A2174))</f>
        <v/>
      </c>
      <c r="D2174">
        <f>IF(A2174="","",SUMIF(Donasi!$B$2:$B$20000,A2174,Donasi!$C$2:$C$20000))</f>
        <v/>
      </c>
      <c r="E2174">
        <f>IF(A2174="","",6-CEILING(PERCENTRANK.INC($B$3:$B$6000,B2174,4)*5+0.000001,1))</f>
        <v/>
      </c>
      <c r="F2174">
        <f>IF(A2174="","",MAX(1,CEILING(PERCENTRANK.INC($C$3:$C$6000,C2174,4)*5+0.000001,1)))</f>
        <v/>
      </c>
      <c r="G2174">
        <f>IF(A2174="","",MAX(1,CEILING(PERCENTRANK.INC($D$3:$D$6000,D2174,4)*5+0.000001,1)))</f>
        <v/>
      </c>
      <c r="H2174">
        <f>IF(A2174="","",E2174&amp;F2174&amp;G2174)</f>
        <v/>
      </c>
      <c r="I2174">
        <f>IF(A2174="","",IF(AND(E2174&gt;=4,F2174&gt;=4,G2174&gt;=4),"Juara",IF(AND(F2174&gt;=4,E2174&gt;=3),"Setia",IF(AND(E2174=5,F2174&lt;=2,G2174&gt;=3),"Berpotensi",IF(AND(E2174&lt;=3,E2174&gt;=2,F2174&gt;=3),"Rawan",IF(AND(E2174&lt;=2,F2174&lt;=2),"Tidur","Umum"))))))</f>
        <v/>
      </c>
    </row>
    <row r="2175">
      <c r="B2175">
        <f>IF(A2175="","",$B$1-MAXIFS(Donasi!$A$2:$A$20000,Donasi!$B$2:$B$20000,A2175))</f>
        <v/>
      </c>
      <c r="C2175">
        <f>IF(A2175="","",COUNTIF(Donasi!$B$2:$B$20000,A2175))</f>
        <v/>
      </c>
      <c r="D2175">
        <f>IF(A2175="","",SUMIF(Donasi!$B$2:$B$20000,A2175,Donasi!$C$2:$C$20000))</f>
        <v/>
      </c>
      <c r="E2175">
        <f>IF(A2175="","",6-CEILING(PERCENTRANK.INC($B$3:$B$6000,B2175,4)*5+0.000001,1))</f>
        <v/>
      </c>
      <c r="F2175">
        <f>IF(A2175="","",MAX(1,CEILING(PERCENTRANK.INC($C$3:$C$6000,C2175,4)*5+0.000001,1)))</f>
        <v/>
      </c>
      <c r="G2175">
        <f>IF(A2175="","",MAX(1,CEILING(PERCENTRANK.INC($D$3:$D$6000,D2175,4)*5+0.000001,1)))</f>
        <v/>
      </c>
      <c r="H2175">
        <f>IF(A2175="","",E2175&amp;F2175&amp;G2175)</f>
        <v/>
      </c>
      <c r="I2175">
        <f>IF(A2175="","",IF(AND(E2175&gt;=4,F2175&gt;=4,G2175&gt;=4),"Juara",IF(AND(F2175&gt;=4,E2175&gt;=3),"Setia",IF(AND(E2175=5,F2175&lt;=2,G2175&gt;=3),"Berpotensi",IF(AND(E2175&lt;=3,E2175&gt;=2,F2175&gt;=3),"Rawan",IF(AND(E2175&lt;=2,F2175&lt;=2),"Tidur","Umum"))))))</f>
        <v/>
      </c>
    </row>
    <row r="2176">
      <c r="B2176">
        <f>IF(A2176="","",$B$1-MAXIFS(Donasi!$A$2:$A$20000,Donasi!$B$2:$B$20000,A2176))</f>
        <v/>
      </c>
      <c r="C2176">
        <f>IF(A2176="","",COUNTIF(Donasi!$B$2:$B$20000,A2176))</f>
        <v/>
      </c>
      <c r="D2176">
        <f>IF(A2176="","",SUMIF(Donasi!$B$2:$B$20000,A2176,Donasi!$C$2:$C$20000))</f>
        <v/>
      </c>
      <c r="E2176">
        <f>IF(A2176="","",6-CEILING(PERCENTRANK.INC($B$3:$B$6000,B2176,4)*5+0.000001,1))</f>
        <v/>
      </c>
      <c r="F2176">
        <f>IF(A2176="","",MAX(1,CEILING(PERCENTRANK.INC($C$3:$C$6000,C2176,4)*5+0.000001,1)))</f>
        <v/>
      </c>
      <c r="G2176">
        <f>IF(A2176="","",MAX(1,CEILING(PERCENTRANK.INC($D$3:$D$6000,D2176,4)*5+0.000001,1)))</f>
        <v/>
      </c>
      <c r="H2176">
        <f>IF(A2176="","",E2176&amp;F2176&amp;G2176)</f>
        <v/>
      </c>
      <c r="I2176">
        <f>IF(A2176="","",IF(AND(E2176&gt;=4,F2176&gt;=4,G2176&gt;=4),"Juara",IF(AND(F2176&gt;=4,E2176&gt;=3),"Setia",IF(AND(E2176=5,F2176&lt;=2,G2176&gt;=3),"Berpotensi",IF(AND(E2176&lt;=3,E2176&gt;=2,F2176&gt;=3),"Rawan",IF(AND(E2176&lt;=2,F2176&lt;=2),"Tidur","Umum"))))))</f>
        <v/>
      </c>
    </row>
    <row r="2177">
      <c r="B2177">
        <f>IF(A2177="","",$B$1-MAXIFS(Donasi!$A$2:$A$20000,Donasi!$B$2:$B$20000,A2177))</f>
        <v/>
      </c>
      <c r="C2177">
        <f>IF(A2177="","",COUNTIF(Donasi!$B$2:$B$20000,A2177))</f>
        <v/>
      </c>
      <c r="D2177">
        <f>IF(A2177="","",SUMIF(Donasi!$B$2:$B$20000,A2177,Donasi!$C$2:$C$20000))</f>
        <v/>
      </c>
      <c r="E2177">
        <f>IF(A2177="","",6-CEILING(PERCENTRANK.INC($B$3:$B$6000,B2177,4)*5+0.000001,1))</f>
        <v/>
      </c>
      <c r="F2177">
        <f>IF(A2177="","",MAX(1,CEILING(PERCENTRANK.INC($C$3:$C$6000,C2177,4)*5+0.000001,1)))</f>
        <v/>
      </c>
      <c r="G2177">
        <f>IF(A2177="","",MAX(1,CEILING(PERCENTRANK.INC($D$3:$D$6000,D2177,4)*5+0.000001,1)))</f>
        <v/>
      </c>
      <c r="H2177">
        <f>IF(A2177="","",E2177&amp;F2177&amp;G2177)</f>
        <v/>
      </c>
      <c r="I2177">
        <f>IF(A2177="","",IF(AND(E2177&gt;=4,F2177&gt;=4,G2177&gt;=4),"Juara",IF(AND(F2177&gt;=4,E2177&gt;=3),"Setia",IF(AND(E2177=5,F2177&lt;=2,G2177&gt;=3),"Berpotensi",IF(AND(E2177&lt;=3,E2177&gt;=2,F2177&gt;=3),"Rawan",IF(AND(E2177&lt;=2,F2177&lt;=2),"Tidur","Umum"))))))</f>
        <v/>
      </c>
    </row>
    <row r="2178">
      <c r="B2178">
        <f>IF(A2178="","",$B$1-MAXIFS(Donasi!$A$2:$A$20000,Donasi!$B$2:$B$20000,A2178))</f>
        <v/>
      </c>
      <c r="C2178">
        <f>IF(A2178="","",COUNTIF(Donasi!$B$2:$B$20000,A2178))</f>
        <v/>
      </c>
      <c r="D2178">
        <f>IF(A2178="","",SUMIF(Donasi!$B$2:$B$20000,A2178,Donasi!$C$2:$C$20000))</f>
        <v/>
      </c>
      <c r="E2178">
        <f>IF(A2178="","",6-CEILING(PERCENTRANK.INC($B$3:$B$6000,B2178,4)*5+0.000001,1))</f>
        <v/>
      </c>
      <c r="F2178">
        <f>IF(A2178="","",MAX(1,CEILING(PERCENTRANK.INC($C$3:$C$6000,C2178,4)*5+0.000001,1)))</f>
        <v/>
      </c>
      <c r="G2178">
        <f>IF(A2178="","",MAX(1,CEILING(PERCENTRANK.INC($D$3:$D$6000,D2178,4)*5+0.000001,1)))</f>
        <v/>
      </c>
      <c r="H2178">
        <f>IF(A2178="","",E2178&amp;F2178&amp;G2178)</f>
        <v/>
      </c>
      <c r="I2178">
        <f>IF(A2178="","",IF(AND(E2178&gt;=4,F2178&gt;=4,G2178&gt;=4),"Juara",IF(AND(F2178&gt;=4,E2178&gt;=3),"Setia",IF(AND(E2178=5,F2178&lt;=2,G2178&gt;=3),"Berpotensi",IF(AND(E2178&lt;=3,E2178&gt;=2,F2178&gt;=3),"Rawan",IF(AND(E2178&lt;=2,F2178&lt;=2),"Tidur","Umum"))))))</f>
        <v/>
      </c>
    </row>
    <row r="2179">
      <c r="B2179">
        <f>IF(A2179="","",$B$1-MAXIFS(Donasi!$A$2:$A$20000,Donasi!$B$2:$B$20000,A2179))</f>
        <v/>
      </c>
      <c r="C2179">
        <f>IF(A2179="","",COUNTIF(Donasi!$B$2:$B$20000,A2179))</f>
        <v/>
      </c>
      <c r="D2179">
        <f>IF(A2179="","",SUMIF(Donasi!$B$2:$B$20000,A2179,Donasi!$C$2:$C$20000))</f>
        <v/>
      </c>
      <c r="E2179">
        <f>IF(A2179="","",6-CEILING(PERCENTRANK.INC($B$3:$B$6000,B2179,4)*5+0.000001,1))</f>
        <v/>
      </c>
      <c r="F2179">
        <f>IF(A2179="","",MAX(1,CEILING(PERCENTRANK.INC($C$3:$C$6000,C2179,4)*5+0.000001,1)))</f>
        <v/>
      </c>
      <c r="G2179">
        <f>IF(A2179="","",MAX(1,CEILING(PERCENTRANK.INC($D$3:$D$6000,D2179,4)*5+0.000001,1)))</f>
        <v/>
      </c>
      <c r="H2179">
        <f>IF(A2179="","",E2179&amp;F2179&amp;G2179)</f>
        <v/>
      </c>
      <c r="I2179">
        <f>IF(A2179="","",IF(AND(E2179&gt;=4,F2179&gt;=4,G2179&gt;=4),"Juara",IF(AND(F2179&gt;=4,E2179&gt;=3),"Setia",IF(AND(E2179=5,F2179&lt;=2,G2179&gt;=3),"Berpotensi",IF(AND(E2179&lt;=3,E2179&gt;=2,F2179&gt;=3),"Rawan",IF(AND(E2179&lt;=2,F2179&lt;=2),"Tidur","Umum"))))))</f>
        <v/>
      </c>
    </row>
    <row r="2180">
      <c r="B2180">
        <f>IF(A2180="","",$B$1-MAXIFS(Donasi!$A$2:$A$20000,Donasi!$B$2:$B$20000,A2180))</f>
        <v/>
      </c>
      <c r="C2180">
        <f>IF(A2180="","",COUNTIF(Donasi!$B$2:$B$20000,A2180))</f>
        <v/>
      </c>
      <c r="D2180">
        <f>IF(A2180="","",SUMIF(Donasi!$B$2:$B$20000,A2180,Donasi!$C$2:$C$20000))</f>
        <v/>
      </c>
      <c r="E2180">
        <f>IF(A2180="","",6-CEILING(PERCENTRANK.INC($B$3:$B$6000,B2180,4)*5+0.000001,1))</f>
        <v/>
      </c>
      <c r="F2180">
        <f>IF(A2180="","",MAX(1,CEILING(PERCENTRANK.INC($C$3:$C$6000,C2180,4)*5+0.000001,1)))</f>
        <v/>
      </c>
      <c r="G2180">
        <f>IF(A2180="","",MAX(1,CEILING(PERCENTRANK.INC($D$3:$D$6000,D2180,4)*5+0.000001,1)))</f>
        <v/>
      </c>
      <c r="H2180">
        <f>IF(A2180="","",E2180&amp;F2180&amp;G2180)</f>
        <v/>
      </c>
      <c r="I2180">
        <f>IF(A2180="","",IF(AND(E2180&gt;=4,F2180&gt;=4,G2180&gt;=4),"Juara",IF(AND(F2180&gt;=4,E2180&gt;=3),"Setia",IF(AND(E2180=5,F2180&lt;=2,G2180&gt;=3),"Berpotensi",IF(AND(E2180&lt;=3,E2180&gt;=2,F2180&gt;=3),"Rawan",IF(AND(E2180&lt;=2,F2180&lt;=2),"Tidur","Umum"))))))</f>
        <v/>
      </c>
    </row>
    <row r="2181">
      <c r="B2181">
        <f>IF(A2181="","",$B$1-MAXIFS(Donasi!$A$2:$A$20000,Donasi!$B$2:$B$20000,A2181))</f>
        <v/>
      </c>
      <c r="C2181">
        <f>IF(A2181="","",COUNTIF(Donasi!$B$2:$B$20000,A2181))</f>
        <v/>
      </c>
      <c r="D2181">
        <f>IF(A2181="","",SUMIF(Donasi!$B$2:$B$20000,A2181,Donasi!$C$2:$C$20000))</f>
        <v/>
      </c>
      <c r="E2181">
        <f>IF(A2181="","",6-CEILING(PERCENTRANK.INC($B$3:$B$6000,B2181,4)*5+0.000001,1))</f>
        <v/>
      </c>
      <c r="F2181">
        <f>IF(A2181="","",MAX(1,CEILING(PERCENTRANK.INC($C$3:$C$6000,C2181,4)*5+0.000001,1)))</f>
        <v/>
      </c>
      <c r="G2181">
        <f>IF(A2181="","",MAX(1,CEILING(PERCENTRANK.INC($D$3:$D$6000,D2181,4)*5+0.000001,1)))</f>
        <v/>
      </c>
      <c r="H2181">
        <f>IF(A2181="","",E2181&amp;F2181&amp;G2181)</f>
        <v/>
      </c>
      <c r="I2181">
        <f>IF(A2181="","",IF(AND(E2181&gt;=4,F2181&gt;=4,G2181&gt;=4),"Juara",IF(AND(F2181&gt;=4,E2181&gt;=3),"Setia",IF(AND(E2181=5,F2181&lt;=2,G2181&gt;=3),"Berpotensi",IF(AND(E2181&lt;=3,E2181&gt;=2,F2181&gt;=3),"Rawan",IF(AND(E2181&lt;=2,F2181&lt;=2),"Tidur","Umum"))))))</f>
        <v/>
      </c>
    </row>
    <row r="2182">
      <c r="B2182">
        <f>IF(A2182="","",$B$1-MAXIFS(Donasi!$A$2:$A$20000,Donasi!$B$2:$B$20000,A2182))</f>
        <v/>
      </c>
      <c r="C2182">
        <f>IF(A2182="","",COUNTIF(Donasi!$B$2:$B$20000,A2182))</f>
        <v/>
      </c>
      <c r="D2182">
        <f>IF(A2182="","",SUMIF(Donasi!$B$2:$B$20000,A2182,Donasi!$C$2:$C$20000))</f>
        <v/>
      </c>
      <c r="E2182">
        <f>IF(A2182="","",6-CEILING(PERCENTRANK.INC($B$3:$B$6000,B2182,4)*5+0.000001,1))</f>
        <v/>
      </c>
      <c r="F2182">
        <f>IF(A2182="","",MAX(1,CEILING(PERCENTRANK.INC($C$3:$C$6000,C2182,4)*5+0.000001,1)))</f>
        <v/>
      </c>
      <c r="G2182">
        <f>IF(A2182="","",MAX(1,CEILING(PERCENTRANK.INC($D$3:$D$6000,D2182,4)*5+0.000001,1)))</f>
        <v/>
      </c>
      <c r="H2182">
        <f>IF(A2182="","",E2182&amp;F2182&amp;G2182)</f>
        <v/>
      </c>
      <c r="I2182">
        <f>IF(A2182="","",IF(AND(E2182&gt;=4,F2182&gt;=4,G2182&gt;=4),"Juara",IF(AND(F2182&gt;=4,E2182&gt;=3),"Setia",IF(AND(E2182=5,F2182&lt;=2,G2182&gt;=3),"Berpotensi",IF(AND(E2182&lt;=3,E2182&gt;=2,F2182&gt;=3),"Rawan",IF(AND(E2182&lt;=2,F2182&lt;=2),"Tidur","Umum"))))))</f>
        <v/>
      </c>
    </row>
    <row r="2183">
      <c r="B2183">
        <f>IF(A2183="","",$B$1-MAXIFS(Donasi!$A$2:$A$20000,Donasi!$B$2:$B$20000,A2183))</f>
        <v/>
      </c>
      <c r="C2183">
        <f>IF(A2183="","",COUNTIF(Donasi!$B$2:$B$20000,A2183))</f>
        <v/>
      </c>
      <c r="D2183">
        <f>IF(A2183="","",SUMIF(Donasi!$B$2:$B$20000,A2183,Donasi!$C$2:$C$20000))</f>
        <v/>
      </c>
      <c r="E2183">
        <f>IF(A2183="","",6-CEILING(PERCENTRANK.INC($B$3:$B$6000,B2183,4)*5+0.000001,1))</f>
        <v/>
      </c>
      <c r="F2183">
        <f>IF(A2183="","",MAX(1,CEILING(PERCENTRANK.INC($C$3:$C$6000,C2183,4)*5+0.000001,1)))</f>
        <v/>
      </c>
      <c r="G2183">
        <f>IF(A2183="","",MAX(1,CEILING(PERCENTRANK.INC($D$3:$D$6000,D2183,4)*5+0.000001,1)))</f>
        <v/>
      </c>
      <c r="H2183">
        <f>IF(A2183="","",E2183&amp;F2183&amp;G2183)</f>
        <v/>
      </c>
      <c r="I2183">
        <f>IF(A2183="","",IF(AND(E2183&gt;=4,F2183&gt;=4,G2183&gt;=4),"Juara",IF(AND(F2183&gt;=4,E2183&gt;=3),"Setia",IF(AND(E2183=5,F2183&lt;=2,G2183&gt;=3),"Berpotensi",IF(AND(E2183&lt;=3,E2183&gt;=2,F2183&gt;=3),"Rawan",IF(AND(E2183&lt;=2,F2183&lt;=2),"Tidur","Umum"))))))</f>
        <v/>
      </c>
    </row>
    <row r="2184">
      <c r="B2184">
        <f>IF(A2184="","",$B$1-MAXIFS(Donasi!$A$2:$A$20000,Donasi!$B$2:$B$20000,A2184))</f>
        <v/>
      </c>
      <c r="C2184">
        <f>IF(A2184="","",COUNTIF(Donasi!$B$2:$B$20000,A2184))</f>
        <v/>
      </c>
      <c r="D2184">
        <f>IF(A2184="","",SUMIF(Donasi!$B$2:$B$20000,A2184,Donasi!$C$2:$C$20000))</f>
        <v/>
      </c>
      <c r="E2184">
        <f>IF(A2184="","",6-CEILING(PERCENTRANK.INC($B$3:$B$6000,B2184,4)*5+0.000001,1))</f>
        <v/>
      </c>
      <c r="F2184">
        <f>IF(A2184="","",MAX(1,CEILING(PERCENTRANK.INC($C$3:$C$6000,C2184,4)*5+0.000001,1)))</f>
        <v/>
      </c>
      <c r="G2184">
        <f>IF(A2184="","",MAX(1,CEILING(PERCENTRANK.INC($D$3:$D$6000,D2184,4)*5+0.000001,1)))</f>
        <v/>
      </c>
      <c r="H2184">
        <f>IF(A2184="","",E2184&amp;F2184&amp;G2184)</f>
        <v/>
      </c>
      <c r="I2184">
        <f>IF(A2184="","",IF(AND(E2184&gt;=4,F2184&gt;=4,G2184&gt;=4),"Juara",IF(AND(F2184&gt;=4,E2184&gt;=3),"Setia",IF(AND(E2184=5,F2184&lt;=2,G2184&gt;=3),"Berpotensi",IF(AND(E2184&lt;=3,E2184&gt;=2,F2184&gt;=3),"Rawan",IF(AND(E2184&lt;=2,F2184&lt;=2),"Tidur","Umum"))))))</f>
        <v/>
      </c>
    </row>
    <row r="2185">
      <c r="B2185">
        <f>IF(A2185="","",$B$1-MAXIFS(Donasi!$A$2:$A$20000,Donasi!$B$2:$B$20000,A2185))</f>
        <v/>
      </c>
      <c r="C2185">
        <f>IF(A2185="","",COUNTIF(Donasi!$B$2:$B$20000,A2185))</f>
        <v/>
      </c>
      <c r="D2185">
        <f>IF(A2185="","",SUMIF(Donasi!$B$2:$B$20000,A2185,Donasi!$C$2:$C$20000))</f>
        <v/>
      </c>
      <c r="E2185">
        <f>IF(A2185="","",6-CEILING(PERCENTRANK.INC($B$3:$B$6000,B2185,4)*5+0.000001,1))</f>
        <v/>
      </c>
      <c r="F2185">
        <f>IF(A2185="","",MAX(1,CEILING(PERCENTRANK.INC($C$3:$C$6000,C2185,4)*5+0.000001,1)))</f>
        <v/>
      </c>
      <c r="G2185">
        <f>IF(A2185="","",MAX(1,CEILING(PERCENTRANK.INC($D$3:$D$6000,D2185,4)*5+0.000001,1)))</f>
        <v/>
      </c>
      <c r="H2185">
        <f>IF(A2185="","",E2185&amp;F2185&amp;G2185)</f>
        <v/>
      </c>
      <c r="I2185">
        <f>IF(A2185="","",IF(AND(E2185&gt;=4,F2185&gt;=4,G2185&gt;=4),"Juara",IF(AND(F2185&gt;=4,E2185&gt;=3),"Setia",IF(AND(E2185=5,F2185&lt;=2,G2185&gt;=3),"Berpotensi",IF(AND(E2185&lt;=3,E2185&gt;=2,F2185&gt;=3),"Rawan",IF(AND(E2185&lt;=2,F2185&lt;=2),"Tidur","Umum"))))))</f>
        <v/>
      </c>
    </row>
    <row r="2186">
      <c r="B2186">
        <f>IF(A2186="","",$B$1-MAXIFS(Donasi!$A$2:$A$20000,Donasi!$B$2:$B$20000,A2186))</f>
        <v/>
      </c>
      <c r="C2186">
        <f>IF(A2186="","",COUNTIF(Donasi!$B$2:$B$20000,A2186))</f>
        <v/>
      </c>
      <c r="D2186">
        <f>IF(A2186="","",SUMIF(Donasi!$B$2:$B$20000,A2186,Donasi!$C$2:$C$20000))</f>
        <v/>
      </c>
      <c r="E2186">
        <f>IF(A2186="","",6-CEILING(PERCENTRANK.INC($B$3:$B$6000,B2186,4)*5+0.000001,1))</f>
        <v/>
      </c>
      <c r="F2186">
        <f>IF(A2186="","",MAX(1,CEILING(PERCENTRANK.INC($C$3:$C$6000,C2186,4)*5+0.000001,1)))</f>
        <v/>
      </c>
      <c r="G2186">
        <f>IF(A2186="","",MAX(1,CEILING(PERCENTRANK.INC($D$3:$D$6000,D2186,4)*5+0.000001,1)))</f>
        <v/>
      </c>
      <c r="H2186">
        <f>IF(A2186="","",E2186&amp;F2186&amp;G2186)</f>
        <v/>
      </c>
      <c r="I2186">
        <f>IF(A2186="","",IF(AND(E2186&gt;=4,F2186&gt;=4,G2186&gt;=4),"Juara",IF(AND(F2186&gt;=4,E2186&gt;=3),"Setia",IF(AND(E2186=5,F2186&lt;=2,G2186&gt;=3),"Berpotensi",IF(AND(E2186&lt;=3,E2186&gt;=2,F2186&gt;=3),"Rawan",IF(AND(E2186&lt;=2,F2186&lt;=2),"Tidur","Umum"))))))</f>
        <v/>
      </c>
    </row>
    <row r="2187">
      <c r="B2187">
        <f>IF(A2187="","",$B$1-MAXIFS(Donasi!$A$2:$A$20000,Donasi!$B$2:$B$20000,A2187))</f>
        <v/>
      </c>
      <c r="C2187">
        <f>IF(A2187="","",COUNTIF(Donasi!$B$2:$B$20000,A2187))</f>
        <v/>
      </c>
      <c r="D2187">
        <f>IF(A2187="","",SUMIF(Donasi!$B$2:$B$20000,A2187,Donasi!$C$2:$C$20000))</f>
        <v/>
      </c>
      <c r="E2187">
        <f>IF(A2187="","",6-CEILING(PERCENTRANK.INC($B$3:$B$6000,B2187,4)*5+0.000001,1))</f>
        <v/>
      </c>
      <c r="F2187">
        <f>IF(A2187="","",MAX(1,CEILING(PERCENTRANK.INC($C$3:$C$6000,C2187,4)*5+0.000001,1)))</f>
        <v/>
      </c>
      <c r="G2187">
        <f>IF(A2187="","",MAX(1,CEILING(PERCENTRANK.INC($D$3:$D$6000,D2187,4)*5+0.000001,1)))</f>
        <v/>
      </c>
      <c r="H2187">
        <f>IF(A2187="","",E2187&amp;F2187&amp;G2187)</f>
        <v/>
      </c>
      <c r="I2187">
        <f>IF(A2187="","",IF(AND(E2187&gt;=4,F2187&gt;=4,G2187&gt;=4),"Juara",IF(AND(F2187&gt;=4,E2187&gt;=3),"Setia",IF(AND(E2187=5,F2187&lt;=2,G2187&gt;=3),"Berpotensi",IF(AND(E2187&lt;=3,E2187&gt;=2,F2187&gt;=3),"Rawan",IF(AND(E2187&lt;=2,F2187&lt;=2),"Tidur","Umum"))))))</f>
        <v/>
      </c>
    </row>
    <row r="2188">
      <c r="B2188">
        <f>IF(A2188="","",$B$1-MAXIFS(Donasi!$A$2:$A$20000,Donasi!$B$2:$B$20000,A2188))</f>
        <v/>
      </c>
      <c r="C2188">
        <f>IF(A2188="","",COUNTIF(Donasi!$B$2:$B$20000,A2188))</f>
        <v/>
      </c>
      <c r="D2188">
        <f>IF(A2188="","",SUMIF(Donasi!$B$2:$B$20000,A2188,Donasi!$C$2:$C$20000))</f>
        <v/>
      </c>
      <c r="E2188">
        <f>IF(A2188="","",6-CEILING(PERCENTRANK.INC($B$3:$B$6000,B2188,4)*5+0.000001,1))</f>
        <v/>
      </c>
      <c r="F2188">
        <f>IF(A2188="","",MAX(1,CEILING(PERCENTRANK.INC($C$3:$C$6000,C2188,4)*5+0.000001,1)))</f>
        <v/>
      </c>
      <c r="G2188">
        <f>IF(A2188="","",MAX(1,CEILING(PERCENTRANK.INC($D$3:$D$6000,D2188,4)*5+0.000001,1)))</f>
        <v/>
      </c>
      <c r="H2188">
        <f>IF(A2188="","",E2188&amp;F2188&amp;G2188)</f>
        <v/>
      </c>
      <c r="I2188">
        <f>IF(A2188="","",IF(AND(E2188&gt;=4,F2188&gt;=4,G2188&gt;=4),"Juara",IF(AND(F2188&gt;=4,E2188&gt;=3),"Setia",IF(AND(E2188=5,F2188&lt;=2,G2188&gt;=3),"Berpotensi",IF(AND(E2188&lt;=3,E2188&gt;=2,F2188&gt;=3),"Rawan",IF(AND(E2188&lt;=2,F2188&lt;=2),"Tidur","Umum"))))))</f>
        <v/>
      </c>
    </row>
    <row r="2189">
      <c r="B2189">
        <f>IF(A2189="","",$B$1-MAXIFS(Donasi!$A$2:$A$20000,Donasi!$B$2:$B$20000,A2189))</f>
        <v/>
      </c>
      <c r="C2189">
        <f>IF(A2189="","",COUNTIF(Donasi!$B$2:$B$20000,A2189))</f>
        <v/>
      </c>
      <c r="D2189">
        <f>IF(A2189="","",SUMIF(Donasi!$B$2:$B$20000,A2189,Donasi!$C$2:$C$20000))</f>
        <v/>
      </c>
      <c r="E2189">
        <f>IF(A2189="","",6-CEILING(PERCENTRANK.INC($B$3:$B$6000,B2189,4)*5+0.000001,1))</f>
        <v/>
      </c>
      <c r="F2189">
        <f>IF(A2189="","",MAX(1,CEILING(PERCENTRANK.INC($C$3:$C$6000,C2189,4)*5+0.000001,1)))</f>
        <v/>
      </c>
      <c r="G2189">
        <f>IF(A2189="","",MAX(1,CEILING(PERCENTRANK.INC($D$3:$D$6000,D2189,4)*5+0.000001,1)))</f>
        <v/>
      </c>
      <c r="H2189">
        <f>IF(A2189="","",E2189&amp;F2189&amp;G2189)</f>
        <v/>
      </c>
      <c r="I2189">
        <f>IF(A2189="","",IF(AND(E2189&gt;=4,F2189&gt;=4,G2189&gt;=4),"Juara",IF(AND(F2189&gt;=4,E2189&gt;=3),"Setia",IF(AND(E2189=5,F2189&lt;=2,G2189&gt;=3),"Berpotensi",IF(AND(E2189&lt;=3,E2189&gt;=2,F2189&gt;=3),"Rawan",IF(AND(E2189&lt;=2,F2189&lt;=2),"Tidur","Umum"))))))</f>
        <v/>
      </c>
    </row>
    <row r="2190">
      <c r="B2190">
        <f>IF(A2190="","",$B$1-MAXIFS(Donasi!$A$2:$A$20000,Donasi!$B$2:$B$20000,A2190))</f>
        <v/>
      </c>
      <c r="C2190">
        <f>IF(A2190="","",COUNTIF(Donasi!$B$2:$B$20000,A2190))</f>
        <v/>
      </c>
      <c r="D2190">
        <f>IF(A2190="","",SUMIF(Donasi!$B$2:$B$20000,A2190,Donasi!$C$2:$C$20000))</f>
        <v/>
      </c>
      <c r="E2190">
        <f>IF(A2190="","",6-CEILING(PERCENTRANK.INC($B$3:$B$6000,B2190,4)*5+0.000001,1))</f>
        <v/>
      </c>
      <c r="F2190">
        <f>IF(A2190="","",MAX(1,CEILING(PERCENTRANK.INC($C$3:$C$6000,C2190,4)*5+0.000001,1)))</f>
        <v/>
      </c>
      <c r="G2190">
        <f>IF(A2190="","",MAX(1,CEILING(PERCENTRANK.INC($D$3:$D$6000,D2190,4)*5+0.000001,1)))</f>
        <v/>
      </c>
      <c r="H2190">
        <f>IF(A2190="","",E2190&amp;F2190&amp;G2190)</f>
        <v/>
      </c>
      <c r="I2190">
        <f>IF(A2190="","",IF(AND(E2190&gt;=4,F2190&gt;=4,G2190&gt;=4),"Juara",IF(AND(F2190&gt;=4,E2190&gt;=3),"Setia",IF(AND(E2190=5,F2190&lt;=2,G2190&gt;=3),"Berpotensi",IF(AND(E2190&lt;=3,E2190&gt;=2,F2190&gt;=3),"Rawan",IF(AND(E2190&lt;=2,F2190&lt;=2),"Tidur","Umum"))))))</f>
        <v/>
      </c>
    </row>
    <row r="2191">
      <c r="B2191">
        <f>IF(A2191="","",$B$1-MAXIFS(Donasi!$A$2:$A$20000,Donasi!$B$2:$B$20000,A2191))</f>
        <v/>
      </c>
      <c r="C2191">
        <f>IF(A2191="","",COUNTIF(Donasi!$B$2:$B$20000,A2191))</f>
        <v/>
      </c>
      <c r="D2191">
        <f>IF(A2191="","",SUMIF(Donasi!$B$2:$B$20000,A2191,Donasi!$C$2:$C$20000))</f>
        <v/>
      </c>
      <c r="E2191">
        <f>IF(A2191="","",6-CEILING(PERCENTRANK.INC($B$3:$B$6000,B2191,4)*5+0.000001,1))</f>
        <v/>
      </c>
      <c r="F2191">
        <f>IF(A2191="","",MAX(1,CEILING(PERCENTRANK.INC($C$3:$C$6000,C2191,4)*5+0.000001,1)))</f>
        <v/>
      </c>
      <c r="G2191">
        <f>IF(A2191="","",MAX(1,CEILING(PERCENTRANK.INC($D$3:$D$6000,D2191,4)*5+0.000001,1)))</f>
        <v/>
      </c>
      <c r="H2191">
        <f>IF(A2191="","",E2191&amp;F2191&amp;G2191)</f>
        <v/>
      </c>
      <c r="I2191">
        <f>IF(A2191="","",IF(AND(E2191&gt;=4,F2191&gt;=4,G2191&gt;=4),"Juara",IF(AND(F2191&gt;=4,E2191&gt;=3),"Setia",IF(AND(E2191=5,F2191&lt;=2,G2191&gt;=3),"Berpotensi",IF(AND(E2191&lt;=3,E2191&gt;=2,F2191&gt;=3),"Rawan",IF(AND(E2191&lt;=2,F2191&lt;=2),"Tidur","Umum"))))))</f>
        <v/>
      </c>
    </row>
    <row r="2192">
      <c r="B2192">
        <f>IF(A2192="","",$B$1-MAXIFS(Donasi!$A$2:$A$20000,Donasi!$B$2:$B$20000,A2192))</f>
        <v/>
      </c>
      <c r="C2192">
        <f>IF(A2192="","",COUNTIF(Donasi!$B$2:$B$20000,A2192))</f>
        <v/>
      </c>
      <c r="D2192">
        <f>IF(A2192="","",SUMIF(Donasi!$B$2:$B$20000,A2192,Donasi!$C$2:$C$20000))</f>
        <v/>
      </c>
      <c r="E2192">
        <f>IF(A2192="","",6-CEILING(PERCENTRANK.INC($B$3:$B$6000,B2192,4)*5+0.000001,1))</f>
        <v/>
      </c>
      <c r="F2192">
        <f>IF(A2192="","",MAX(1,CEILING(PERCENTRANK.INC($C$3:$C$6000,C2192,4)*5+0.000001,1)))</f>
        <v/>
      </c>
      <c r="G2192">
        <f>IF(A2192="","",MAX(1,CEILING(PERCENTRANK.INC($D$3:$D$6000,D2192,4)*5+0.000001,1)))</f>
        <v/>
      </c>
      <c r="H2192">
        <f>IF(A2192="","",E2192&amp;F2192&amp;G2192)</f>
        <v/>
      </c>
      <c r="I2192">
        <f>IF(A2192="","",IF(AND(E2192&gt;=4,F2192&gt;=4,G2192&gt;=4),"Juara",IF(AND(F2192&gt;=4,E2192&gt;=3),"Setia",IF(AND(E2192=5,F2192&lt;=2,G2192&gt;=3),"Berpotensi",IF(AND(E2192&lt;=3,E2192&gt;=2,F2192&gt;=3),"Rawan",IF(AND(E2192&lt;=2,F2192&lt;=2),"Tidur","Umum"))))))</f>
        <v/>
      </c>
    </row>
    <row r="2193">
      <c r="B2193">
        <f>IF(A2193="","",$B$1-MAXIFS(Donasi!$A$2:$A$20000,Donasi!$B$2:$B$20000,A2193))</f>
        <v/>
      </c>
      <c r="C2193">
        <f>IF(A2193="","",COUNTIF(Donasi!$B$2:$B$20000,A2193))</f>
        <v/>
      </c>
      <c r="D2193">
        <f>IF(A2193="","",SUMIF(Donasi!$B$2:$B$20000,A2193,Donasi!$C$2:$C$20000))</f>
        <v/>
      </c>
      <c r="E2193">
        <f>IF(A2193="","",6-CEILING(PERCENTRANK.INC($B$3:$B$6000,B2193,4)*5+0.000001,1))</f>
        <v/>
      </c>
      <c r="F2193">
        <f>IF(A2193="","",MAX(1,CEILING(PERCENTRANK.INC($C$3:$C$6000,C2193,4)*5+0.000001,1)))</f>
        <v/>
      </c>
      <c r="G2193">
        <f>IF(A2193="","",MAX(1,CEILING(PERCENTRANK.INC($D$3:$D$6000,D2193,4)*5+0.000001,1)))</f>
        <v/>
      </c>
      <c r="H2193">
        <f>IF(A2193="","",E2193&amp;F2193&amp;G2193)</f>
        <v/>
      </c>
      <c r="I2193">
        <f>IF(A2193="","",IF(AND(E2193&gt;=4,F2193&gt;=4,G2193&gt;=4),"Juara",IF(AND(F2193&gt;=4,E2193&gt;=3),"Setia",IF(AND(E2193=5,F2193&lt;=2,G2193&gt;=3),"Berpotensi",IF(AND(E2193&lt;=3,E2193&gt;=2,F2193&gt;=3),"Rawan",IF(AND(E2193&lt;=2,F2193&lt;=2),"Tidur","Umum"))))))</f>
        <v/>
      </c>
    </row>
    <row r="2194">
      <c r="B2194">
        <f>IF(A2194="","",$B$1-MAXIFS(Donasi!$A$2:$A$20000,Donasi!$B$2:$B$20000,A2194))</f>
        <v/>
      </c>
      <c r="C2194">
        <f>IF(A2194="","",COUNTIF(Donasi!$B$2:$B$20000,A2194))</f>
        <v/>
      </c>
      <c r="D2194">
        <f>IF(A2194="","",SUMIF(Donasi!$B$2:$B$20000,A2194,Donasi!$C$2:$C$20000))</f>
        <v/>
      </c>
      <c r="E2194">
        <f>IF(A2194="","",6-CEILING(PERCENTRANK.INC($B$3:$B$6000,B2194,4)*5+0.000001,1))</f>
        <v/>
      </c>
      <c r="F2194">
        <f>IF(A2194="","",MAX(1,CEILING(PERCENTRANK.INC($C$3:$C$6000,C2194,4)*5+0.000001,1)))</f>
        <v/>
      </c>
      <c r="G2194">
        <f>IF(A2194="","",MAX(1,CEILING(PERCENTRANK.INC($D$3:$D$6000,D2194,4)*5+0.000001,1)))</f>
        <v/>
      </c>
      <c r="H2194">
        <f>IF(A2194="","",E2194&amp;F2194&amp;G2194)</f>
        <v/>
      </c>
      <c r="I2194">
        <f>IF(A2194="","",IF(AND(E2194&gt;=4,F2194&gt;=4,G2194&gt;=4),"Juara",IF(AND(F2194&gt;=4,E2194&gt;=3),"Setia",IF(AND(E2194=5,F2194&lt;=2,G2194&gt;=3),"Berpotensi",IF(AND(E2194&lt;=3,E2194&gt;=2,F2194&gt;=3),"Rawan",IF(AND(E2194&lt;=2,F2194&lt;=2),"Tidur","Umum"))))))</f>
        <v/>
      </c>
    </row>
    <row r="2195">
      <c r="B2195">
        <f>IF(A2195="","",$B$1-MAXIFS(Donasi!$A$2:$A$20000,Donasi!$B$2:$B$20000,A2195))</f>
        <v/>
      </c>
      <c r="C2195">
        <f>IF(A2195="","",COUNTIF(Donasi!$B$2:$B$20000,A2195))</f>
        <v/>
      </c>
      <c r="D2195">
        <f>IF(A2195="","",SUMIF(Donasi!$B$2:$B$20000,A2195,Donasi!$C$2:$C$20000))</f>
        <v/>
      </c>
      <c r="E2195">
        <f>IF(A2195="","",6-CEILING(PERCENTRANK.INC($B$3:$B$6000,B2195,4)*5+0.000001,1))</f>
        <v/>
      </c>
      <c r="F2195">
        <f>IF(A2195="","",MAX(1,CEILING(PERCENTRANK.INC($C$3:$C$6000,C2195,4)*5+0.000001,1)))</f>
        <v/>
      </c>
      <c r="G2195">
        <f>IF(A2195="","",MAX(1,CEILING(PERCENTRANK.INC($D$3:$D$6000,D2195,4)*5+0.000001,1)))</f>
        <v/>
      </c>
      <c r="H2195">
        <f>IF(A2195="","",E2195&amp;F2195&amp;G2195)</f>
        <v/>
      </c>
      <c r="I2195">
        <f>IF(A2195="","",IF(AND(E2195&gt;=4,F2195&gt;=4,G2195&gt;=4),"Juara",IF(AND(F2195&gt;=4,E2195&gt;=3),"Setia",IF(AND(E2195=5,F2195&lt;=2,G2195&gt;=3),"Berpotensi",IF(AND(E2195&lt;=3,E2195&gt;=2,F2195&gt;=3),"Rawan",IF(AND(E2195&lt;=2,F2195&lt;=2),"Tidur","Umum"))))))</f>
        <v/>
      </c>
    </row>
    <row r="2196">
      <c r="B2196">
        <f>IF(A2196="","",$B$1-MAXIFS(Donasi!$A$2:$A$20000,Donasi!$B$2:$B$20000,A2196))</f>
        <v/>
      </c>
      <c r="C2196">
        <f>IF(A2196="","",COUNTIF(Donasi!$B$2:$B$20000,A2196))</f>
        <v/>
      </c>
      <c r="D2196">
        <f>IF(A2196="","",SUMIF(Donasi!$B$2:$B$20000,A2196,Donasi!$C$2:$C$20000))</f>
        <v/>
      </c>
      <c r="E2196">
        <f>IF(A2196="","",6-CEILING(PERCENTRANK.INC($B$3:$B$6000,B2196,4)*5+0.000001,1))</f>
        <v/>
      </c>
      <c r="F2196">
        <f>IF(A2196="","",MAX(1,CEILING(PERCENTRANK.INC($C$3:$C$6000,C2196,4)*5+0.000001,1)))</f>
        <v/>
      </c>
      <c r="G2196">
        <f>IF(A2196="","",MAX(1,CEILING(PERCENTRANK.INC($D$3:$D$6000,D2196,4)*5+0.000001,1)))</f>
        <v/>
      </c>
      <c r="H2196">
        <f>IF(A2196="","",E2196&amp;F2196&amp;G2196)</f>
        <v/>
      </c>
      <c r="I2196">
        <f>IF(A2196="","",IF(AND(E2196&gt;=4,F2196&gt;=4,G2196&gt;=4),"Juara",IF(AND(F2196&gt;=4,E2196&gt;=3),"Setia",IF(AND(E2196=5,F2196&lt;=2,G2196&gt;=3),"Berpotensi",IF(AND(E2196&lt;=3,E2196&gt;=2,F2196&gt;=3),"Rawan",IF(AND(E2196&lt;=2,F2196&lt;=2),"Tidur","Umum"))))))</f>
        <v/>
      </c>
    </row>
    <row r="2197">
      <c r="B2197">
        <f>IF(A2197="","",$B$1-MAXIFS(Donasi!$A$2:$A$20000,Donasi!$B$2:$B$20000,A2197))</f>
        <v/>
      </c>
      <c r="C2197">
        <f>IF(A2197="","",COUNTIF(Donasi!$B$2:$B$20000,A2197))</f>
        <v/>
      </c>
      <c r="D2197">
        <f>IF(A2197="","",SUMIF(Donasi!$B$2:$B$20000,A2197,Donasi!$C$2:$C$20000))</f>
        <v/>
      </c>
      <c r="E2197">
        <f>IF(A2197="","",6-CEILING(PERCENTRANK.INC($B$3:$B$6000,B2197,4)*5+0.000001,1))</f>
        <v/>
      </c>
      <c r="F2197">
        <f>IF(A2197="","",MAX(1,CEILING(PERCENTRANK.INC($C$3:$C$6000,C2197,4)*5+0.000001,1)))</f>
        <v/>
      </c>
      <c r="G2197">
        <f>IF(A2197="","",MAX(1,CEILING(PERCENTRANK.INC($D$3:$D$6000,D2197,4)*5+0.000001,1)))</f>
        <v/>
      </c>
      <c r="H2197">
        <f>IF(A2197="","",E2197&amp;F2197&amp;G2197)</f>
        <v/>
      </c>
      <c r="I2197">
        <f>IF(A2197="","",IF(AND(E2197&gt;=4,F2197&gt;=4,G2197&gt;=4),"Juara",IF(AND(F2197&gt;=4,E2197&gt;=3),"Setia",IF(AND(E2197=5,F2197&lt;=2,G2197&gt;=3),"Berpotensi",IF(AND(E2197&lt;=3,E2197&gt;=2,F2197&gt;=3),"Rawan",IF(AND(E2197&lt;=2,F2197&lt;=2),"Tidur","Umum"))))))</f>
        <v/>
      </c>
    </row>
    <row r="2198">
      <c r="B2198">
        <f>IF(A2198="","",$B$1-MAXIFS(Donasi!$A$2:$A$20000,Donasi!$B$2:$B$20000,A2198))</f>
        <v/>
      </c>
      <c r="C2198">
        <f>IF(A2198="","",COUNTIF(Donasi!$B$2:$B$20000,A2198))</f>
        <v/>
      </c>
      <c r="D2198">
        <f>IF(A2198="","",SUMIF(Donasi!$B$2:$B$20000,A2198,Donasi!$C$2:$C$20000))</f>
        <v/>
      </c>
      <c r="E2198">
        <f>IF(A2198="","",6-CEILING(PERCENTRANK.INC($B$3:$B$6000,B2198,4)*5+0.000001,1))</f>
        <v/>
      </c>
      <c r="F2198">
        <f>IF(A2198="","",MAX(1,CEILING(PERCENTRANK.INC($C$3:$C$6000,C2198,4)*5+0.000001,1)))</f>
        <v/>
      </c>
      <c r="G2198">
        <f>IF(A2198="","",MAX(1,CEILING(PERCENTRANK.INC($D$3:$D$6000,D2198,4)*5+0.000001,1)))</f>
        <v/>
      </c>
      <c r="H2198">
        <f>IF(A2198="","",E2198&amp;F2198&amp;G2198)</f>
        <v/>
      </c>
      <c r="I2198">
        <f>IF(A2198="","",IF(AND(E2198&gt;=4,F2198&gt;=4,G2198&gt;=4),"Juara",IF(AND(F2198&gt;=4,E2198&gt;=3),"Setia",IF(AND(E2198=5,F2198&lt;=2,G2198&gt;=3),"Berpotensi",IF(AND(E2198&lt;=3,E2198&gt;=2,F2198&gt;=3),"Rawan",IF(AND(E2198&lt;=2,F2198&lt;=2),"Tidur","Umum"))))))</f>
        <v/>
      </c>
    </row>
    <row r="2199">
      <c r="B2199">
        <f>IF(A2199="","",$B$1-MAXIFS(Donasi!$A$2:$A$20000,Donasi!$B$2:$B$20000,A2199))</f>
        <v/>
      </c>
      <c r="C2199">
        <f>IF(A2199="","",COUNTIF(Donasi!$B$2:$B$20000,A2199))</f>
        <v/>
      </c>
      <c r="D2199">
        <f>IF(A2199="","",SUMIF(Donasi!$B$2:$B$20000,A2199,Donasi!$C$2:$C$20000))</f>
        <v/>
      </c>
      <c r="E2199">
        <f>IF(A2199="","",6-CEILING(PERCENTRANK.INC($B$3:$B$6000,B2199,4)*5+0.000001,1))</f>
        <v/>
      </c>
      <c r="F2199">
        <f>IF(A2199="","",MAX(1,CEILING(PERCENTRANK.INC($C$3:$C$6000,C2199,4)*5+0.000001,1)))</f>
        <v/>
      </c>
      <c r="G2199">
        <f>IF(A2199="","",MAX(1,CEILING(PERCENTRANK.INC($D$3:$D$6000,D2199,4)*5+0.000001,1)))</f>
        <v/>
      </c>
      <c r="H2199">
        <f>IF(A2199="","",E2199&amp;F2199&amp;G2199)</f>
        <v/>
      </c>
      <c r="I2199">
        <f>IF(A2199="","",IF(AND(E2199&gt;=4,F2199&gt;=4,G2199&gt;=4),"Juara",IF(AND(F2199&gt;=4,E2199&gt;=3),"Setia",IF(AND(E2199=5,F2199&lt;=2,G2199&gt;=3),"Berpotensi",IF(AND(E2199&lt;=3,E2199&gt;=2,F2199&gt;=3),"Rawan",IF(AND(E2199&lt;=2,F2199&lt;=2),"Tidur","Umum"))))))</f>
        <v/>
      </c>
    </row>
    <row r="2200">
      <c r="B2200">
        <f>IF(A2200="","",$B$1-MAXIFS(Donasi!$A$2:$A$20000,Donasi!$B$2:$B$20000,A2200))</f>
        <v/>
      </c>
      <c r="C2200">
        <f>IF(A2200="","",COUNTIF(Donasi!$B$2:$B$20000,A2200))</f>
        <v/>
      </c>
      <c r="D2200">
        <f>IF(A2200="","",SUMIF(Donasi!$B$2:$B$20000,A2200,Donasi!$C$2:$C$20000))</f>
        <v/>
      </c>
      <c r="E2200">
        <f>IF(A2200="","",6-CEILING(PERCENTRANK.INC($B$3:$B$6000,B2200,4)*5+0.000001,1))</f>
        <v/>
      </c>
      <c r="F2200">
        <f>IF(A2200="","",MAX(1,CEILING(PERCENTRANK.INC($C$3:$C$6000,C2200,4)*5+0.000001,1)))</f>
        <v/>
      </c>
      <c r="G2200">
        <f>IF(A2200="","",MAX(1,CEILING(PERCENTRANK.INC($D$3:$D$6000,D2200,4)*5+0.000001,1)))</f>
        <v/>
      </c>
      <c r="H2200">
        <f>IF(A2200="","",E2200&amp;F2200&amp;G2200)</f>
        <v/>
      </c>
      <c r="I2200">
        <f>IF(A2200="","",IF(AND(E2200&gt;=4,F2200&gt;=4,G2200&gt;=4),"Juara",IF(AND(F2200&gt;=4,E2200&gt;=3),"Setia",IF(AND(E2200=5,F2200&lt;=2,G2200&gt;=3),"Berpotensi",IF(AND(E2200&lt;=3,E2200&gt;=2,F2200&gt;=3),"Rawan",IF(AND(E2200&lt;=2,F2200&lt;=2),"Tidur","Umum"))))))</f>
        <v/>
      </c>
    </row>
    <row r="2201">
      <c r="B2201">
        <f>IF(A2201="","",$B$1-MAXIFS(Donasi!$A$2:$A$20000,Donasi!$B$2:$B$20000,A2201))</f>
        <v/>
      </c>
      <c r="C2201">
        <f>IF(A2201="","",COUNTIF(Donasi!$B$2:$B$20000,A2201))</f>
        <v/>
      </c>
      <c r="D2201">
        <f>IF(A2201="","",SUMIF(Donasi!$B$2:$B$20000,A2201,Donasi!$C$2:$C$20000))</f>
        <v/>
      </c>
      <c r="E2201">
        <f>IF(A2201="","",6-CEILING(PERCENTRANK.INC($B$3:$B$6000,B2201,4)*5+0.000001,1))</f>
        <v/>
      </c>
      <c r="F2201">
        <f>IF(A2201="","",MAX(1,CEILING(PERCENTRANK.INC($C$3:$C$6000,C2201,4)*5+0.000001,1)))</f>
        <v/>
      </c>
      <c r="G2201">
        <f>IF(A2201="","",MAX(1,CEILING(PERCENTRANK.INC($D$3:$D$6000,D2201,4)*5+0.000001,1)))</f>
        <v/>
      </c>
      <c r="H2201">
        <f>IF(A2201="","",E2201&amp;F2201&amp;G2201)</f>
        <v/>
      </c>
      <c r="I2201">
        <f>IF(A2201="","",IF(AND(E2201&gt;=4,F2201&gt;=4,G2201&gt;=4),"Juara",IF(AND(F2201&gt;=4,E2201&gt;=3),"Setia",IF(AND(E2201=5,F2201&lt;=2,G2201&gt;=3),"Berpotensi",IF(AND(E2201&lt;=3,E2201&gt;=2,F2201&gt;=3),"Rawan",IF(AND(E2201&lt;=2,F2201&lt;=2),"Tidur","Umum"))))))</f>
        <v/>
      </c>
    </row>
    <row r="2202">
      <c r="B2202">
        <f>IF(A2202="","",$B$1-MAXIFS(Donasi!$A$2:$A$20000,Donasi!$B$2:$B$20000,A2202))</f>
        <v/>
      </c>
      <c r="C2202">
        <f>IF(A2202="","",COUNTIF(Donasi!$B$2:$B$20000,A2202))</f>
        <v/>
      </c>
      <c r="D2202">
        <f>IF(A2202="","",SUMIF(Donasi!$B$2:$B$20000,A2202,Donasi!$C$2:$C$20000))</f>
        <v/>
      </c>
      <c r="E2202">
        <f>IF(A2202="","",6-CEILING(PERCENTRANK.INC($B$3:$B$6000,B2202,4)*5+0.000001,1))</f>
        <v/>
      </c>
      <c r="F2202">
        <f>IF(A2202="","",MAX(1,CEILING(PERCENTRANK.INC($C$3:$C$6000,C2202,4)*5+0.000001,1)))</f>
        <v/>
      </c>
      <c r="G2202">
        <f>IF(A2202="","",MAX(1,CEILING(PERCENTRANK.INC($D$3:$D$6000,D2202,4)*5+0.000001,1)))</f>
        <v/>
      </c>
      <c r="H2202">
        <f>IF(A2202="","",E2202&amp;F2202&amp;G2202)</f>
        <v/>
      </c>
      <c r="I2202">
        <f>IF(A2202="","",IF(AND(E2202&gt;=4,F2202&gt;=4,G2202&gt;=4),"Juara",IF(AND(F2202&gt;=4,E2202&gt;=3),"Setia",IF(AND(E2202=5,F2202&lt;=2,G2202&gt;=3),"Berpotensi",IF(AND(E2202&lt;=3,E2202&gt;=2,F2202&gt;=3),"Rawan",IF(AND(E2202&lt;=2,F2202&lt;=2),"Tidur","Umum"))))))</f>
        <v/>
      </c>
    </row>
    <row r="2203">
      <c r="B2203">
        <f>IF(A2203="","",$B$1-MAXIFS(Donasi!$A$2:$A$20000,Donasi!$B$2:$B$20000,A2203))</f>
        <v/>
      </c>
      <c r="C2203">
        <f>IF(A2203="","",COUNTIF(Donasi!$B$2:$B$20000,A2203))</f>
        <v/>
      </c>
      <c r="D2203">
        <f>IF(A2203="","",SUMIF(Donasi!$B$2:$B$20000,A2203,Donasi!$C$2:$C$20000))</f>
        <v/>
      </c>
      <c r="E2203">
        <f>IF(A2203="","",6-CEILING(PERCENTRANK.INC($B$3:$B$6000,B2203,4)*5+0.000001,1))</f>
        <v/>
      </c>
      <c r="F2203">
        <f>IF(A2203="","",MAX(1,CEILING(PERCENTRANK.INC($C$3:$C$6000,C2203,4)*5+0.000001,1)))</f>
        <v/>
      </c>
      <c r="G2203">
        <f>IF(A2203="","",MAX(1,CEILING(PERCENTRANK.INC($D$3:$D$6000,D2203,4)*5+0.000001,1)))</f>
        <v/>
      </c>
      <c r="H2203">
        <f>IF(A2203="","",E2203&amp;F2203&amp;G2203)</f>
        <v/>
      </c>
      <c r="I2203">
        <f>IF(A2203="","",IF(AND(E2203&gt;=4,F2203&gt;=4,G2203&gt;=4),"Juara",IF(AND(F2203&gt;=4,E2203&gt;=3),"Setia",IF(AND(E2203=5,F2203&lt;=2,G2203&gt;=3),"Berpotensi",IF(AND(E2203&lt;=3,E2203&gt;=2,F2203&gt;=3),"Rawan",IF(AND(E2203&lt;=2,F2203&lt;=2),"Tidur","Umum"))))))</f>
        <v/>
      </c>
    </row>
    <row r="2204">
      <c r="B2204">
        <f>IF(A2204="","",$B$1-MAXIFS(Donasi!$A$2:$A$20000,Donasi!$B$2:$B$20000,A2204))</f>
        <v/>
      </c>
      <c r="C2204">
        <f>IF(A2204="","",COUNTIF(Donasi!$B$2:$B$20000,A2204))</f>
        <v/>
      </c>
      <c r="D2204">
        <f>IF(A2204="","",SUMIF(Donasi!$B$2:$B$20000,A2204,Donasi!$C$2:$C$20000))</f>
        <v/>
      </c>
      <c r="E2204">
        <f>IF(A2204="","",6-CEILING(PERCENTRANK.INC($B$3:$B$6000,B2204,4)*5+0.000001,1))</f>
        <v/>
      </c>
      <c r="F2204">
        <f>IF(A2204="","",MAX(1,CEILING(PERCENTRANK.INC($C$3:$C$6000,C2204,4)*5+0.000001,1)))</f>
        <v/>
      </c>
      <c r="G2204">
        <f>IF(A2204="","",MAX(1,CEILING(PERCENTRANK.INC($D$3:$D$6000,D2204,4)*5+0.000001,1)))</f>
        <v/>
      </c>
      <c r="H2204">
        <f>IF(A2204="","",E2204&amp;F2204&amp;G2204)</f>
        <v/>
      </c>
      <c r="I2204">
        <f>IF(A2204="","",IF(AND(E2204&gt;=4,F2204&gt;=4,G2204&gt;=4),"Juara",IF(AND(F2204&gt;=4,E2204&gt;=3),"Setia",IF(AND(E2204=5,F2204&lt;=2,G2204&gt;=3),"Berpotensi",IF(AND(E2204&lt;=3,E2204&gt;=2,F2204&gt;=3),"Rawan",IF(AND(E2204&lt;=2,F2204&lt;=2),"Tidur","Umum"))))))</f>
        <v/>
      </c>
    </row>
    <row r="2205">
      <c r="B2205">
        <f>IF(A2205="","",$B$1-MAXIFS(Donasi!$A$2:$A$20000,Donasi!$B$2:$B$20000,A2205))</f>
        <v/>
      </c>
      <c r="C2205">
        <f>IF(A2205="","",COUNTIF(Donasi!$B$2:$B$20000,A2205))</f>
        <v/>
      </c>
      <c r="D2205">
        <f>IF(A2205="","",SUMIF(Donasi!$B$2:$B$20000,A2205,Donasi!$C$2:$C$20000))</f>
        <v/>
      </c>
      <c r="E2205">
        <f>IF(A2205="","",6-CEILING(PERCENTRANK.INC($B$3:$B$6000,B2205,4)*5+0.000001,1))</f>
        <v/>
      </c>
      <c r="F2205">
        <f>IF(A2205="","",MAX(1,CEILING(PERCENTRANK.INC($C$3:$C$6000,C2205,4)*5+0.000001,1)))</f>
        <v/>
      </c>
      <c r="G2205">
        <f>IF(A2205="","",MAX(1,CEILING(PERCENTRANK.INC($D$3:$D$6000,D2205,4)*5+0.000001,1)))</f>
        <v/>
      </c>
      <c r="H2205">
        <f>IF(A2205="","",E2205&amp;F2205&amp;G2205)</f>
        <v/>
      </c>
      <c r="I2205">
        <f>IF(A2205="","",IF(AND(E2205&gt;=4,F2205&gt;=4,G2205&gt;=4),"Juara",IF(AND(F2205&gt;=4,E2205&gt;=3),"Setia",IF(AND(E2205=5,F2205&lt;=2,G2205&gt;=3),"Berpotensi",IF(AND(E2205&lt;=3,E2205&gt;=2,F2205&gt;=3),"Rawan",IF(AND(E2205&lt;=2,F2205&lt;=2),"Tidur","Umum"))))))</f>
        <v/>
      </c>
    </row>
    <row r="2206">
      <c r="B2206">
        <f>IF(A2206="","",$B$1-MAXIFS(Donasi!$A$2:$A$20000,Donasi!$B$2:$B$20000,A2206))</f>
        <v/>
      </c>
      <c r="C2206">
        <f>IF(A2206="","",COUNTIF(Donasi!$B$2:$B$20000,A2206))</f>
        <v/>
      </c>
      <c r="D2206">
        <f>IF(A2206="","",SUMIF(Donasi!$B$2:$B$20000,A2206,Donasi!$C$2:$C$20000))</f>
        <v/>
      </c>
      <c r="E2206">
        <f>IF(A2206="","",6-CEILING(PERCENTRANK.INC($B$3:$B$6000,B2206,4)*5+0.000001,1))</f>
        <v/>
      </c>
      <c r="F2206">
        <f>IF(A2206="","",MAX(1,CEILING(PERCENTRANK.INC($C$3:$C$6000,C2206,4)*5+0.000001,1)))</f>
        <v/>
      </c>
      <c r="G2206">
        <f>IF(A2206="","",MAX(1,CEILING(PERCENTRANK.INC($D$3:$D$6000,D2206,4)*5+0.000001,1)))</f>
        <v/>
      </c>
      <c r="H2206">
        <f>IF(A2206="","",E2206&amp;F2206&amp;G2206)</f>
        <v/>
      </c>
      <c r="I2206">
        <f>IF(A2206="","",IF(AND(E2206&gt;=4,F2206&gt;=4,G2206&gt;=4),"Juara",IF(AND(F2206&gt;=4,E2206&gt;=3),"Setia",IF(AND(E2206=5,F2206&lt;=2,G2206&gt;=3),"Berpotensi",IF(AND(E2206&lt;=3,E2206&gt;=2,F2206&gt;=3),"Rawan",IF(AND(E2206&lt;=2,F2206&lt;=2),"Tidur","Umum"))))))</f>
        <v/>
      </c>
    </row>
    <row r="2207">
      <c r="B2207">
        <f>IF(A2207="","",$B$1-MAXIFS(Donasi!$A$2:$A$20000,Donasi!$B$2:$B$20000,A2207))</f>
        <v/>
      </c>
      <c r="C2207">
        <f>IF(A2207="","",COUNTIF(Donasi!$B$2:$B$20000,A2207))</f>
        <v/>
      </c>
      <c r="D2207">
        <f>IF(A2207="","",SUMIF(Donasi!$B$2:$B$20000,A2207,Donasi!$C$2:$C$20000))</f>
        <v/>
      </c>
      <c r="E2207">
        <f>IF(A2207="","",6-CEILING(PERCENTRANK.INC($B$3:$B$6000,B2207,4)*5+0.000001,1))</f>
        <v/>
      </c>
      <c r="F2207">
        <f>IF(A2207="","",MAX(1,CEILING(PERCENTRANK.INC($C$3:$C$6000,C2207,4)*5+0.000001,1)))</f>
        <v/>
      </c>
      <c r="G2207">
        <f>IF(A2207="","",MAX(1,CEILING(PERCENTRANK.INC($D$3:$D$6000,D2207,4)*5+0.000001,1)))</f>
        <v/>
      </c>
      <c r="H2207">
        <f>IF(A2207="","",E2207&amp;F2207&amp;G2207)</f>
        <v/>
      </c>
      <c r="I2207">
        <f>IF(A2207="","",IF(AND(E2207&gt;=4,F2207&gt;=4,G2207&gt;=4),"Juara",IF(AND(F2207&gt;=4,E2207&gt;=3),"Setia",IF(AND(E2207=5,F2207&lt;=2,G2207&gt;=3),"Berpotensi",IF(AND(E2207&lt;=3,E2207&gt;=2,F2207&gt;=3),"Rawan",IF(AND(E2207&lt;=2,F2207&lt;=2),"Tidur","Umum"))))))</f>
        <v/>
      </c>
    </row>
    <row r="2208">
      <c r="B2208">
        <f>IF(A2208="","",$B$1-MAXIFS(Donasi!$A$2:$A$20000,Donasi!$B$2:$B$20000,A2208))</f>
        <v/>
      </c>
      <c r="C2208">
        <f>IF(A2208="","",COUNTIF(Donasi!$B$2:$B$20000,A2208))</f>
        <v/>
      </c>
      <c r="D2208">
        <f>IF(A2208="","",SUMIF(Donasi!$B$2:$B$20000,A2208,Donasi!$C$2:$C$20000))</f>
        <v/>
      </c>
      <c r="E2208">
        <f>IF(A2208="","",6-CEILING(PERCENTRANK.INC($B$3:$B$6000,B2208,4)*5+0.000001,1))</f>
        <v/>
      </c>
      <c r="F2208">
        <f>IF(A2208="","",MAX(1,CEILING(PERCENTRANK.INC($C$3:$C$6000,C2208,4)*5+0.000001,1)))</f>
        <v/>
      </c>
      <c r="G2208">
        <f>IF(A2208="","",MAX(1,CEILING(PERCENTRANK.INC($D$3:$D$6000,D2208,4)*5+0.000001,1)))</f>
        <v/>
      </c>
      <c r="H2208">
        <f>IF(A2208="","",E2208&amp;F2208&amp;G2208)</f>
        <v/>
      </c>
      <c r="I2208">
        <f>IF(A2208="","",IF(AND(E2208&gt;=4,F2208&gt;=4,G2208&gt;=4),"Juara",IF(AND(F2208&gt;=4,E2208&gt;=3),"Setia",IF(AND(E2208=5,F2208&lt;=2,G2208&gt;=3),"Berpotensi",IF(AND(E2208&lt;=3,E2208&gt;=2,F2208&gt;=3),"Rawan",IF(AND(E2208&lt;=2,F2208&lt;=2),"Tidur","Umum"))))))</f>
        <v/>
      </c>
    </row>
    <row r="2209">
      <c r="B2209">
        <f>IF(A2209="","",$B$1-MAXIFS(Donasi!$A$2:$A$20000,Donasi!$B$2:$B$20000,A2209))</f>
        <v/>
      </c>
      <c r="C2209">
        <f>IF(A2209="","",COUNTIF(Donasi!$B$2:$B$20000,A2209))</f>
        <v/>
      </c>
      <c r="D2209">
        <f>IF(A2209="","",SUMIF(Donasi!$B$2:$B$20000,A2209,Donasi!$C$2:$C$20000))</f>
        <v/>
      </c>
      <c r="E2209">
        <f>IF(A2209="","",6-CEILING(PERCENTRANK.INC($B$3:$B$6000,B2209,4)*5+0.000001,1))</f>
        <v/>
      </c>
      <c r="F2209">
        <f>IF(A2209="","",MAX(1,CEILING(PERCENTRANK.INC($C$3:$C$6000,C2209,4)*5+0.000001,1)))</f>
        <v/>
      </c>
      <c r="G2209">
        <f>IF(A2209="","",MAX(1,CEILING(PERCENTRANK.INC($D$3:$D$6000,D2209,4)*5+0.000001,1)))</f>
        <v/>
      </c>
      <c r="H2209">
        <f>IF(A2209="","",E2209&amp;F2209&amp;G2209)</f>
        <v/>
      </c>
      <c r="I2209">
        <f>IF(A2209="","",IF(AND(E2209&gt;=4,F2209&gt;=4,G2209&gt;=4),"Juara",IF(AND(F2209&gt;=4,E2209&gt;=3),"Setia",IF(AND(E2209=5,F2209&lt;=2,G2209&gt;=3),"Berpotensi",IF(AND(E2209&lt;=3,E2209&gt;=2,F2209&gt;=3),"Rawan",IF(AND(E2209&lt;=2,F2209&lt;=2),"Tidur","Umum"))))))</f>
        <v/>
      </c>
    </row>
    <row r="2210">
      <c r="B2210">
        <f>IF(A2210="","",$B$1-MAXIFS(Donasi!$A$2:$A$20000,Donasi!$B$2:$B$20000,A2210))</f>
        <v/>
      </c>
      <c r="C2210">
        <f>IF(A2210="","",COUNTIF(Donasi!$B$2:$B$20000,A2210))</f>
        <v/>
      </c>
      <c r="D2210">
        <f>IF(A2210="","",SUMIF(Donasi!$B$2:$B$20000,A2210,Donasi!$C$2:$C$20000))</f>
        <v/>
      </c>
      <c r="E2210">
        <f>IF(A2210="","",6-CEILING(PERCENTRANK.INC($B$3:$B$6000,B2210,4)*5+0.000001,1))</f>
        <v/>
      </c>
      <c r="F2210">
        <f>IF(A2210="","",MAX(1,CEILING(PERCENTRANK.INC($C$3:$C$6000,C2210,4)*5+0.000001,1)))</f>
        <v/>
      </c>
      <c r="G2210">
        <f>IF(A2210="","",MAX(1,CEILING(PERCENTRANK.INC($D$3:$D$6000,D2210,4)*5+0.000001,1)))</f>
        <v/>
      </c>
      <c r="H2210">
        <f>IF(A2210="","",E2210&amp;F2210&amp;G2210)</f>
        <v/>
      </c>
      <c r="I2210">
        <f>IF(A2210="","",IF(AND(E2210&gt;=4,F2210&gt;=4,G2210&gt;=4),"Juara",IF(AND(F2210&gt;=4,E2210&gt;=3),"Setia",IF(AND(E2210=5,F2210&lt;=2,G2210&gt;=3),"Berpotensi",IF(AND(E2210&lt;=3,E2210&gt;=2,F2210&gt;=3),"Rawan",IF(AND(E2210&lt;=2,F2210&lt;=2),"Tidur","Umum"))))))</f>
        <v/>
      </c>
    </row>
    <row r="2211">
      <c r="B2211">
        <f>IF(A2211="","",$B$1-MAXIFS(Donasi!$A$2:$A$20000,Donasi!$B$2:$B$20000,A2211))</f>
        <v/>
      </c>
      <c r="C2211">
        <f>IF(A2211="","",COUNTIF(Donasi!$B$2:$B$20000,A2211))</f>
        <v/>
      </c>
      <c r="D2211">
        <f>IF(A2211="","",SUMIF(Donasi!$B$2:$B$20000,A2211,Donasi!$C$2:$C$20000))</f>
        <v/>
      </c>
      <c r="E2211">
        <f>IF(A2211="","",6-CEILING(PERCENTRANK.INC($B$3:$B$6000,B2211,4)*5+0.000001,1))</f>
        <v/>
      </c>
      <c r="F2211">
        <f>IF(A2211="","",MAX(1,CEILING(PERCENTRANK.INC($C$3:$C$6000,C2211,4)*5+0.000001,1)))</f>
        <v/>
      </c>
      <c r="G2211">
        <f>IF(A2211="","",MAX(1,CEILING(PERCENTRANK.INC($D$3:$D$6000,D2211,4)*5+0.000001,1)))</f>
        <v/>
      </c>
      <c r="H2211">
        <f>IF(A2211="","",E2211&amp;F2211&amp;G2211)</f>
        <v/>
      </c>
      <c r="I2211">
        <f>IF(A2211="","",IF(AND(E2211&gt;=4,F2211&gt;=4,G2211&gt;=4),"Juara",IF(AND(F2211&gt;=4,E2211&gt;=3),"Setia",IF(AND(E2211=5,F2211&lt;=2,G2211&gt;=3),"Berpotensi",IF(AND(E2211&lt;=3,E2211&gt;=2,F2211&gt;=3),"Rawan",IF(AND(E2211&lt;=2,F2211&lt;=2),"Tidur","Umum"))))))</f>
        <v/>
      </c>
    </row>
    <row r="2212">
      <c r="B2212">
        <f>IF(A2212="","",$B$1-MAXIFS(Donasi!$A$2:$A$20000,Donasi!$B$2:$B$20000,A2212))</f>
        <v/>
      </c>
      <c r="C2212">
        <f>IF(A2212="","",COUNTIF(Donasi!$B$2:$B$20000,A2212))</f>
        <v/>
      </c>
      <c r="D2212">
        <f>IF(A2212="","",SUMIF(Donasi!$B$2:$B$20000,A2212,Donasi!$C$2:$C$20000))</f>
        <v/>
      </c>
      <c r="E2212">
        <f>IF(A2212="","",6-CEILING(PERCENTRANK.INC($B$3:$B$6000,B2212,4)*5+0.000001,1))</f>
        <v/>
      </c>
      <c r="F2212">
        <f>IF(A2212="","",MAX(1,CEILING(PERCENTRANK.INC($C$3:$C$6000,C2212,4)*5+0.000001,1)))</f>
        <v/>
      </c>
      <c r="G2212">
        <f>IF(A2212="","",MAX(1,CEILING(PERCENTRANK.INC($D$3:$D$6000,D2212,4)*5+0.000001,1)))</f>
        <v/>
      </c>
      <c r="H2212">
        <f>IF(A2212="","",E2212&amp;F2212&amp;G2212)</f>
        <v/>
      </c>
      <c r="I2212">
        <f>IF(A2212="","",IF(AND(E2212&gt;=4,F2212&gt;=4,G2212&gt;=4),"Juara",IF(AND(F2212&gt;=4,E2212&gt;=3),"Setia",IF(AND(E2212=5,F2212&lt;=2,G2212&gt;=3),"Berpotensi",IF(AND(E2212&lt;=3,E2212&gt;=2,F2212&gt;=3),"Rawan",IF(AND(E2212&lt;=2,F2212&lt;=2),"Tidur","Umum"))))))</f>
        <v/>
      </c>
    </row>
    <row r="2213">
      <c r="B2213">
        <f>IF(A2213="","",$B$1-MAXIFS(Donasi!$A$2:$A$20000,Donasi!$B$2:$B$20000,A2213))</f>
        <v/>
      </c>
      <c r="C2213">
        <f>IF(A2213="","",COUNTIF(Donasi!$B$2:$B$20000,A2213))</f>
        <v/>
      </c>
      <c r="D2213">
        <f>IF(A2213="","",SUMIF(Donasi!$B$2:$B$20000,A2213,Donasi!$C$2:$C$20000))</f>
        <v/>
      </c>
      <c r="E2213">
        <f>IF(A2213="","",6-CEILING(PERCENTRANK.INC($B$3:$B$6000,B2213,4)*5+0.000001,1))</f>
        <v/>
      </c>
      <c r="F2213">
        <f>IF(A2213="","",MAX(1,CEILING(PERCENTRANK.INC($C$3:$C$6000,C2213,4)*5+0.000001,1)))</f>
        <v/>
      </c>
      <c r="G2213">
        <f>IF(A2213="","",MAX(1,CEILING(PERCENTRANK.INC($D$3:$D$6000,D2213,4)*5+0.000001,1)))</f>
        <v/>
      </c>
      <c r="H2213">
        <f>IF(A2213="","",E2213&amp;F2213&amp;G2213)</f>
        <v/>
      </c>
      <c r="I2213">
        <f>IF(A2213="","",IF(AND(E2213&gt;=4,F2213&gt;=4,G2213&gt;=4),"Juara",IF(AND(F2213&gt;=4,E2213&gt;=3),"Setia",IF(AND(E2213=5,F2213&lt;=2,G2213&gt;=3),"Berpotensi",IF(AND(E2213&lt;=3,E2213&gt;=2,F2213&gt;=3),"Rawan",IF(AND(E2213&lt;=2,F2213&lt;=2),"Tidur","Umum"))))))</f>
        <v/>
      </c>
    </row>
    <row r="2214">
      <c r="B2214">
        <f>IF(A2214="","",$B$1-MAXIFS(Donasi!$A$2:$A$20000,Donasi!$B$2:$B$20000,A2214))</f>
        <v/>
      </c>
      <c r="C2214">
        <f>IF(A2214="","",COUNTIF(Donasi!$B$2:$B$20000,A2214))</f>
        <v/>
      </c>
      <c r="D2214">
        <f>IF(A2214="","",SUMIF(Donasi!$B$2:$B$20000,A2214,Donasi!$C$2:$C$20000))</f>
        <v/>
      </c>
      <c r="E2214">
        <f>IF(A2214="","",6-CEILING(PERCENTRANK.INC($B$3:$B$6000,B2214,4)*5+0.000001,1))</f>
        <v/>
      </c>
      <c r="F2214">
        <f>IF(A2214="","",MAX(1,CEILING(PERCENTRANK.INC($C$3:$C$6000,C2214,4)*5+0.000001,1)))</f>
        <v/>
      </c>
      <c r="G2214">
        <f>IF(A2214="","",MAX(1,CEILING(PERCENTRANK.INC($D$3:$D$6000,D2214,4)*5+0.000001,1)))</f>
        <v/>
      </c>
      <c r="H2214">
        <f>IF(A2214="","",E2214&amp;F2214&amp;G2214)</f>
        <v/>
      </c>
      <c r="I2214">
        <f>IF(A2214="","",IF(AND(E2214&gt;=4,F2214&gt;=4,G2214&gt;=4),"Juara",IF(AND(F2214&gt;=4,E2214&gt;=3),"Setia",IF(AND(E2214=5,F2214&lt;=2,G2214&gt;=3),"Berpotensi",IF(AND(E2214&lt;=3,E2214&gt;=2,F2214&gt;=3),"Rawan",IF(AND(E2214&lt;=2,F2214&lt;=2),"Tidur","Umum"))))))</f>
        <v/>
      </c>
    </row>
    <row r="2215">
      <c r="B2215">
        <f>IF(A2215="","",$B$1-MAXIFS(Donasi!$A$2:$A$20000,Donasi!$B$2:$B$20000,A2215))</f>
        <v/>
      </c>
      <c r="C2215">
        <f>IF(A2215="","",COUNTIF(Donasi!$B$2:$B$20000,A2215))</f>
        <v/>
      </c>
      <c r="D2215">
        <f>IF(A2215="","",SUMIF(Donasi!$B$2:$B$20000,A2215,Donasi!$C$2:$C$20000))</f>
        <v/>
      </c>
      <c r="E2215">
        <f>IF(A2215="","",6-CEILING(PERCENTRANK.INC($B$3:$B$6000,B2215,4)*5+0.000001,1))</f>
        <v/>
      </c>
      <c r="F2215">
        <f>IF(A2215="","",MAX(1,CEILING(PERCENTRANK.INC($C$3:$C$6000,C2215,4)*5+0.000001,1)))</f>
        <v/>
      </c>
      <c r="G2215">
        <f>IF(A2215="","",MAX(1,CEILING(PERCENTRANK.INC($D$3:$D$6000,D2215,4)*5+0.000001,1)))</f>
        <v/>
      </c>
      <c r="H2215">
        <f>IF(A2215="","",E2215&amp;F2215&amp;G2215)</f>
        <v/>
      </c>
      <c r="I2215">
        <f>IF(A2215="","",IF(AND(E2215&gt;=4,F2215&gt;=4,G2215&gt;=4),"Juara",IF(AND(F2215&gt;=4,E2215&gt;=3),"Setia",IF(AND(E2215=5,F2215&lt;=2,G2215&gt;=3),"Berpotensi",IF(AND(E2215&lt;=3,E2215&gt;=2,F2215&gt;=3),"Rawan",IF(AND(E2215&lt;=2,F2215&lt;=2),"Tidur","Umum"))))))</f>
        <v/>
      </c>
    </row>
    <row r="2216">
      <c r="B2216">
        <f>IF(A2216="","",$B$1-MAXIFS(Donasi!$A$2:$A$20000,Donasi!$B$2:$B$20000,A2216))</f>
        <v/>
      </c>
      <c r="C2216">
        <f>IF(A2216="","",COUNTIF(Donasi!$B$2:$B$20000,A2216))</f>
        <v/>
      </c>
      <c r="D2216">
        <f>IF(A2216="","",SUMIF(Donasi!$B$2:$B$20000,A2216,Donasi!$C$2:$C$20000))</f>
        <v/>
      </c>
      <c r="E2216">
        <f>IF(A2216="","",6-CEILING(PERCENTRANK.INC($B$3:$B$6000,B2216,4)*5+0.000001,1))</f>
        <v/>
      </c>
      <c r="F2216">
        <f>IF(A2216="","",MAX(1,CEILING(PERCENTRANK.INC($C$3:$C$6000,C2216,4)*5+0.000001,1)))</f>
        <v/>
      </c>
      <c r="G2216">
        <f>IF(A2216="","",MAX(1,CEILING(PERCENTRANK.INC($D$3:$D$6000,D2216,4)*5+0.000001,1)))</f>
        <v/>
      </c>
      <c r="H2216">
        <f>IF(A2216="","",E2216&amp;F2216&amp;G2216)</f>
        <v/>
      </c>
      <c r="I2216">
        <f>IF(A2216="","",IF(AND(E2216&gt;=4,F2216&gt;=4,G2216&gt;=4),"Juara",IF(AND(F2216&gt;=4,E2216&gt;=3),"Setia",IF(AND(E2216=5,F2216&lt;=2,G2216&gt;=3),"Berpotensi",IF(AND(E2216&lt;=3,E2216&gt;=2,F2216&gt;=3),"Rawan",IF(AND(E2216&lt;=2,F2216&lt;=2),"Tidur","Umum"))))))</f>
        <v/>
      </c>
    </row>
    <row r="2217">
      <c r="B2217">
        <f>IF(A2217="","",$B$1-MAXIFS(Donasi!$A$2:$A$20000,Donasi!$B$2:$B$20000,A2217))</f>
        <v/>
      </c>
      <c r="C2217">
        <f>IF(A2217="","",COUNTIF(Donasi!$B$2:$B$20000,A2217))</f>
        <v/>
      </c>
      <c r="D2217">
        <f>IF(A2217="","",SUMIF(Donasi!$B$2:$B$20000,A2217,Donasi!$C$2:$C$20000))</f>
        <v/>
      </c>
      <c r="E2217">
        <f>IF(A2217="","",6-CEILING(PERCENTRANK.INC($B$3:$B$6000,B2217,4)*5+0.000001,1))</f>
        <v/>
      </c>
      <c r="F2217">
        <f>IF(A2217="","",MAX(1,CEILING(PERCENTRANK.INC($C$3:$C$6000,C2217,4)*5+0.000001,1)))</f>
        <v/>
      </c>
      <c r="G2217">
        <f>IF(A2217="","",MAX(1,CEILING(PERCENTRANK.INC($D$3:$D$6000,D2217,4)*5+0.000001,1)))</f>
        <v/>
      </c>
      <c r="H2217">
        <f>IF(A2217="","",E2217&amp;F2217&amp;G2217)</f>
        <v/>
      </c>
      <c r="I2217">
        <f>IF(A2217="","",IF(AND(E2217&gt;=4,F2217&gt;=4,G2217&gt;=4),"Juara",IF(AND(F2217&gt;=4,E2217&gt;=3),"Setia",IF(AND(E2217=5,F2217&lt;=2,G2217&gt;=3),"Berpotensi",IF(AND(E2217&lt;=3,E2217&gt;=2,F2217&gt;=3),"Rawan",IF(AND(E2217&lt;=2,F2217&lt;=2),"Tidur","Umum"))))))</f>
        <v/>
      </c>
    </row>
    <row r="2218">
      <c r="B2218">
        <f>IF(A2218="","",$B$1-MAXIFS(Donasi!$A$2:$A$20000,Donasi!$B$2:$B$20000,A2218))</f>
        <v/>
      </c>
      <c r="C2218">
        <f>IF(A2218="","",COUNTIF(Donasi!$B$2:$B$20000,A2218))</f>
        <v/>
      </c>
      <c r="D2218">
        <f>IF(A2218="","",SUMIF(Donasi!$B$2:$B$20000,A2218,Donasi!$C$2:$C$20000))</f>
        <v/>
      </c>
      <c r="E2218">
        <f>IF(A2218="","",6-CEILING(PERCENTRANK.INC($B$3:$B$6000,B2218,4)*5+0.000001,1))</f>
        <v/>
      </c>
      <c r="F2218">
        <f>IF(A2218="","",MAX(1,CEILING(PERCENTRANK.INC($C$3:$C$6000,C2218,4)*5+0.000001,1)))</f>
        <v/>
      </c>
      <c r="G2218">
        <f>IF(A2218="","",MAX(1,CEILING(PERCENTRANK.INC($D$3:$D$6000,D2218,4)*5+0.000001,1)))</f>
        <v/>
      </c>
      <c r="H2218">
        <f>IF(A2218="","",E2218&amp;F2218&amp;G2218)</f>
        <v/>
      </c>
      <c r="I2218">
        <f>IF(A2218="","",IF(AND(E2218&gt;=4,F2218&gt;=4,G2218&gt;=4),"Juara",IF(AND(F2218&gt;=4,E2218&gt;=3),"Setia",IF(AND(E2218=5,F2218&lt;=2,G2218&gt;=3),"Berpotensi",IF(AND(E2218&lt;=3,E2218&gt;=2,F2218&gt;=3),"Rawan",IF(AND(E2218&lt;=2,F2218&lt;=2),"Tidur","Umum"))))))</f>
        <v/>
      </c>
    </row>
    <row r="2219">
      <c r="B2219">
        <f>IF(A2219="","",$B$1-MAXIFS(Donasi!$A$2:$A$20000,Donasi!$B$2:$B$20000,A2219))</f>
        <v/>
      </c>
      <c r="C2219">
        <f>IF(A2219="","",COUNTIF(Donasi!$B$2:$B$20000,A2219))</f>
        <v/>
      </c>
      <c r="D2219">
        <f>IF(A2219="","",SUMIF(Donasi!$B$2:$B$20000,A2219,Donasi!$C$2:$C$20000))</f>
        <v/>
      </c>
      <c r="E2219">
        <f>IF(A2219="","",6-CEILING(PERCENTRANK.INC($B$3:$B$6000,B2219,4)*5+0.000001,1))</f>
        <v/>
      </c>
      <c r="F2219">
        <f>IF(A2219="","",MAX(1,CEILING(PERCENTRANK.INC($C$3:$C$6000,C2219,4)*5+0.000001,1)))</f>
        <v/>
      </c>
      <c r="G2219">
        <f>IF(A2219="","",MAX(1,CEILING(PERCENTRANK.INC($D$3:$D$6000,D2219,4)*5+0.000001,1)))</f>
        <v/>
      </c>
      <c r="H2219">
        <f>IF(A2219="","",E2219&amp;F2219&amp;G2219)</f>
        <v/>
      </c>
      <c r="I2219">
        <f>IF(A2219="","",IF(AND(E2219&gt;=4,F2219&gt;=4,G2219&gt;=4),"Juara",IF(AND(F2219&gt;=4,E2219&gt;=3),"Setia",IF(AND(E2219=5,F2219&lt;=2,G2219&gt;=3),"Berpotensi",IF(AND(E2219&lt;=3,E2219&gt;=2,F2219&gt;=3),"Rawan",IF(AND(E2219&lt;=2,F2219&lt;=2),"Tidur","Umum"))))))</f>
        <v/>
      </c>
    </row>
    <row r="2220">
      <c r="B2220">
        <f>IF(A2220="","",$B$1-MAXIFS(Donasi!$A$2:$A$20000,Donasi!$B$2:$B$20000,A2220))</f>
        <v/>
      </c>
      <c r="C2220">
        <f>IF(A2220="","",COUNTIF(Donasi!$B$2:$B$20000,A2220))</f>
        <v/>
      </c>
      <c r="D2220">
        <f>IF(A2220="","",SUMIF(Donasi!$B$2:$B$20000,A2220,Donasi!$C$2:$C$20000))</f>
        <v/>
      </c>
      <c r="E2220">
        <f>IF(A2220="","",6-CEILING(PERCENTRANK.INC($B$3:$B$6000,B2220,4)*5+0.000001,1))</f>
        <v/>
      </c>
      <c r="F2220">
        <f>IF(A2220="","",MAX(1,CEILING(PERCENTRANK.INC($C$3:$C$6000,C2220,4)*5+0.000001,1)))</f>
        <v/>
      </c>
      <c r="G2220">
        <f>IF(A2220="","",MAX(1,CEILING(PERCENTRANK.INC($D$3:$D$6000,D2220,4)*5+0.000001,1)))</f>
        <v/>
      </c>
      <c r="H2220">
        <f>IF(A2220="","",E2220&amp;F2220&amp;G2220)</f>
        <v/>
      </c>
      <c r="I2220">
        <f>IF(A2220="","",IF(AND(E2220&gt;=4,F2220&gt;=4,G2220&gt;=4),"Juara",IF(AND(F2220&gt;=4,E2220&gt;=3),"Setia",IF(AND(E2220=5,F2220&lt;=2,G2220&gt;=3),"Berpotensi",IF(AND(E2220&lt;=3,E2220&gt;=2,F2220&gt;=3),"Rawan",IF(AND(E2220&lt;=2,F2220&lt;=2),"Tidur","Umum"))))))</f>
        <v/>
      </c>
    </row>
    <row r="2221">
      <c r="B2221">
        <f>IF(A2221="","",$B$1-MAXIFS(Donasi!$A$2:$A$20000,Donasi!$B$2:$B$20000,A2221))</f>
        <v/>
      </c>
      <c r="C2221">
        <f>IF(A2221="","",COUNTIF(Donasi!$B$2:$B$20000,A2221))</f>
        <v/>
      </c>
      <c r="D2221">
        <f>IF(A2221="","",SUMIF(Donasi!$B$2:$B$20000,A2221,Donasi!$C$2:$C$20000))</f>
        <v/>
      </c>
      <c r="E2221">
        <f>IF(A2221="","",6-CEILING(PERCENTRANK.INC($B$3:$B$6000,B2221,4)*5+0.000001,1))</f>
        <v/>
      </c>
      <c r="F2221">
        <f>IF(A2221="","",MAX(1,CEILING(PERCENTRANK.INC($C$3:$C$6000,C2221,4)*5+0.000001,1)))</f>
        <v/>
      </c>
      <c r="G2221">
        <f>IF(A2221="","",MAX(1,CEILING(PERCENTRANK.INC($D$3:$D$6000,D2221,4)*5+0.000001,1)))</f>
        <v/>
      </c>
      <c r="H2221">
        <f>IF(A2221="","",E2221&amp;F2221&amp;G2221)</f>
        <v/>
      </c>
      <c r="I2221">
        <f>IF(A2221="","",IF(AND(E2221&gt;=4,F2221&gt;=4,G2221&gt;=4),"Juara",IF(AND(F2221&gt;=4,E2221&gt;=3),"Setia",IF(AND(E2221=5,F2221&lt;=2,G2221&gt;=3),"Berpotensi",IF(AND(E2221&lt;=3,E2221&gt;=2,F2221&gt;=3),"Rawan",IF(AND(E2221&lt;=2,F2221&lt;=2),"Tidur","Umum"))))))</f>
        <v/>
      </c>
    </row>
    <row r="2222">
      <c r="B2222">
        <f>IF(A2222="","",$B$1-MAXIFS(Donasi!$A$2:$A$20000,Donasi!$B$2:$B$20000,A2222))</f>
        <v/>
      </c>
      <c r="C2222">
        <f>IF(A2222="","",COUNTIF(Donasi!$B$2:$B$20000,A2222))</f>
        <v/>
      </c>
      <c r="D2222">
        <f>IF(A2222="","",SUMIF(Donasi!$B$2:$B$20000,A2222,Donasi!$C$2:$C$20000))</f>
        <v/>
      </c>
      <c r="E2222">
        <f>IF(A2222="","",6-CEILING(PERCENTRANK.INC($B$3:$B$6000,B2222,4)*5+0.000001,1))</f>
        <v/>
      </c>
      <c r="F2222">
        <f>IF(A2222="","",MAX(1,CEILING(PERCENTRANK.INC($C$3:$C$6000,C2222,4)*5+0.000001,1)))</f>
        <v/>
      </c>
      <c r="G2222">
        <f>IF(A2222="","",MAX(1,CEILING(PERCENTRANK.INC($D$3:$D$6000,D2222,4)*5+0.000001,1)))</f>
        <v/>
      </c>
      <c r="H2222">
        <f>IF(A2222="","",E2222&amp;F2222&amp;G2222)</f>
        <v/>
      </c>
      <c r="I2222">
        <f>IF(A2222="","",IF(AND(E2222&gt;=4,F2222&gt;=4,G2222&gt;=4),"Juara",IF(AND(F2222&gt;=4,E2222&gt;=3),"Setia",IF(AND(E2222=5,F2222&lt;=2,G2222&gt;=3),"Berpotensi",IF(AND(E2222&lt;=3,E2222&gt;=2,F2222&gt;=3),"Rawan",IF(AND(E2222&lt;=2,F2222&lt;=2),"Tidur","Umum"))))))</f>
        <v/>
      </c>
    </row>
    <row r="2223">
      <c r="B2223">
        <f>IF(A2223="","",$B$1-MAXIFS(Donasi!$A$2:$A$20000,Donasi!$B$2:$B$20000,A2223))</f>
        <v/>
      </c>
      <c r="C2223">
        <f>IF(A2223="","",COUNTIF(Donasi!$B$2:$B$20000,A2223))</f>
        <v/>
      </c>
      <c r="D2223">
        <f>IF(A2223="","",SUMIF(Donasi!$B$2:$B$20000,A2223,Donasi!$C$2:$C$20000))</f>
        <v/>
      </c>
      <c r="E2223">
        <f>IF(A2223="","",6-CEILING(PERCENTRANK.INC($B$3:$B$6000,B2223,4)*5+0.000001,1))</f>
        <v/>
      </c>
      <c r="F2223">
        <f>IF(A2223="","",MAX(1,CEILING(PERCENTRANK.INC($C$3:$C$6000,C2223,4)*5+0.000001,1)))</f>
        <v/>
      </c>
      <c r="G2223">
        <f>IF(A2223="","",MAX(1,CEILING(PERCENTRANK.INC($D$3:$D$6000,D2223,4)*5+0.000001,1)))</f>
        <v/>
      </c>
      <c r="H2223">
        <f>IF(A2223="","",E2223&amp;F2223&amp;G2223)</f>
        <v/>
      </c>
      <c r="I2223">
        <f>IF(A2223="","",IF(AND(E2223&gt;=4,F2223&gt;=4,G2223&gt;=4),"Juara",IF(AND(F2223&gt;=4,E2223&gt;=3),"Setia",IF(AND(E2223=5,F2223&lt;=2,G2223&gt;=3),"Berpotensi",IF(AND(E2223&lt;=3,E2223&gt;=2,F2223&gt;=3),"Rawan",IF(AND(E2223&lt;=2,F2223&lt;=2),"Tidur","Umum"))))))</f>
        <v/>
      </c>
    </row>
    <row r="2224">
      <c r="B2224">
        <f>IF(A2224="","",$B$1-MAXIFS(Donasi!$A$2:$A$20000,Donasi!$B$2:$B$20000,A2224))</f>
        <v/>
      </c>
      <c r="C2224">
        <f>IF(A2224="","",COUNTIF(Donasi!$B$2:$B$20000,A2224))</f>
        <v/>
      </c>
      <c r="D2224">
        <f>IF(A2224="","",SUMIF(Donasi!$B$2:$B$20000,A2224,Donasi!$C$2:$C$20000))</f>
        <v/>
      </c>
      <c r="E2224">
        <f>IF(A2224="","",6-CEILING(PERCENTRANK.INC($B$3:$B$6000,B2224,4)*5+0.000001,1))</f>
        <v/>
      </c>
      <c r="F2224">
        <f>IF(A2224="","",MAX(1,CEILING(PERCENTRANK.INC($C$3:$C$6000,C2224,4)*5+0.000001,1)))</f>
        <v/>
      </c>
      <c r="G2224">
        <f>IF(A2224="","",MAX(1,CEILING(PERCENTRANK.INC($D$3:$D$6000,D2224,4)*5+0.000001,1)))</f>
        <v/>
      </c>
      <c r="H2224">
        <f>IF(A2224="","",E2224&amp;F2224&amp;G2224)</f>
        <v/>
      </c>
      <c r="I2224">
        <f>IF(A2224="","",IF(AND(E2224&gt;=4,F2224&gt;=4,G2224&gt;=4),"Juara",IF(AND(F2224&gt;=4,E2224&gt;=3),"Setia",IF(AND(E2224=5,F2224&lt;=2,G2224&gt;=3),"Berpotensi",IF(AND(E2224&lt;=3,E2224&gt;=2,F2224&gt;=3),"Rawan",IF(AND(E2224&lt;=2,F2224&lt;=2),"Tidur","Umum"))))))</f>
        <v/>
      </c>
    </row>
    <row r="2225">
      <c r="B2225">
        <f>IF(A2225="","",$B$1-MAXIFS(Donasi!$A$2:$A$20000,Donasi!$B$2:$B$20000,A2225))</f>
        <v/>
      </c>
      <c r="C2225">
        <f>IF(A2225="","",COUNTIF(Donasi!$B$2:$B$20000,A2225))</f>
        <v/>
      </c>
      <c r="D2225">
        <f>IF(A2225="","",SUMIF(Donasi!$B$2:$B$20000,A2225,Donasi!$C$2:$C$20000))</f>
        <v/>
      </c>
      <c r="E2225">
        <f>IF(A2225="","",6-CEILING(PERCENTRANK.INC($B$3:$B$6000,B2225,4)*5+0.000001,1))</f>
        <v/>
      </c>
      <c r="F2225">
        <f>IF(A2225="","",MAX(1,CEILING(PERCENTRANK.INC($C$3:$C$6000,C2225,4)*5+0.000001,1)))</f>
        <v/>
      </c>
      <c r="G2225">
        <f>IF(A2225="","",MAX(1,CEILING(PERCENTRANK.INC($D$3:$D$6000,D2225,4)*5+0.000001,1)))</f>
        <v/>
      </c>
      <c r="H2225">
        <f>IF(A2225="","",E2225&amp;F2225&amp;G2225)</f>
        <v/>
      </c>
      <c r="I2225">
        <f>IF(A2225="","",IF(AND(E2225&gt;=4,F2225&gt;=4,G2225&gt;=4),"Juara",IF(AND(F2225&gt;=4,E2225&gt;=3),"Setia",IF(AND(E2225=5,F2225&lt;=2,G2225&gt;=3),"Berpotensi",IF(AND(E2225&lt;=3,E2225&gt;=2,F2225&gt;=3),"Rawan",IF(AND(E2225&lt;=2,F2225&lt;=2),"Tidur","Umum"))))))</f>
        <v/>
      </c>
    </row>
    <row r="2226">
      <c r="B2226">
        <f>IF(A2226="","",$B$1-MAXIFS(Donasi!$A$2:$A$20000,Donasi!$B$2:$B$20000,A2226))</f>
        <v/>
      </c>
      <c r="C2226">
        <f>IF(A2226="","",COUNTIF(Donasi!$B$2:$B$20000,A2226))</f>
        <v/>
      </c>
      <c r="D2226">
        <f>IF(A2226="","",SUMIF(Donasi!$B$2:$B$20000,A2226,Donasi!$C$2:$C$20000))</f>
        <v/>
      </c>
      <c r="E2226">
        <f>IF(A2226="","",6-CEILING(PERCENTRANK.INC($B$3:$B$6000,B2226,4)*5+0.000001,1))</f>
        <v/>
      </c>
      <c r="F2226">
        <f>IF(A2226="","",MAX(1,CEILING(PERCENTRANK.INC($C$3:$C$6000,C2226,4)*5+0.000001,1)))</f>
        <v/>
      </c>
      <c r="G2226">
        <f>IF(A2226="","",MAX(1,CEILING(PERCENTRANK.INC($D$3:$D$6000,D2226,4)*5+0.000001,1)))</f>
        <v/>
      </c>
      <c r="H2226">
        <f>IF(A2226="","",E2226&amp;F2226&amp;G2226)</f>
        <v/>
      </c>
      <c r="I2226">
        <f>IF(A2226="","",IF(AND(E2226&gt;=4,F2226&gt;=4,G2226&gt;=4),"Juara",IF(AND(F2226&gt;=4,E2226&gt;=3),"Setia",IF(AND(E2226=5,F2226&lt;=2,G2226&gt;=3),"Berpotensi",IF(AND(E2226&lt;=3,E2226&gt;=2,F2226&gt;=3),"Rawan",IF(AND(E2226&lt;=2,F2226&lt;=2),"Tidur","Umum"))))))</f>
        <v/>
      </c>
    </row>
    <row r="2227">
      <c r="B2227">
        <f>IF(A2227="","",$B$1-MAXIFS(Donasi!$A$2:$A$20000,Donasi!$B$2:$B$20000,A2227))</f>
        <v/>
      </c>
      <c r="C2227">
        <f>IF(A2227="","",COUNTIF(Donasi!$B$2:$B$20000,A2227))</f>
        <v/>
      </c>
      <c r="D2227">
        <f>IF(A2227="","",SUMIF(Donasi!$B$2:$B$20000,A2227,Donasi!$C$2:$C$20000))</f>
        <v/>
      </c>
      <c r="E2227">
        <f>IF(A2227="","",6-CEILING(PERCENTRANK.INC($B$3:$B$6000,B2227,4)*5+0.000001,1))</f>
        <v/>
      </c>
      <c r="F2227">
        <f>IF(A2227="","",MAX(1,CEILING(PERCENTRANK.INC($C$3:$C$6000,C2227,4)*5+0.000001,1)))</f>
        <v/>
      </c>
      <c r="G2227">
        <f>IF(A2227="","",MAX(1,CEILING(PERCENTRANK.INC($D$3:$D$6000,D2227,4)*5+0.000001,1)))</f>
        <v/>
      </c>
      <c r="H2227">
        <f>IF(A2227="","",E2227&amp;F2227&amp;G2227)</f>
        <v/>
      </c>
      <c r="I2227">
        <f>IF(A2227="","",IF(AND(E2227&gt;=4,F2227&gt;=4,G2227&gt;=4),"Juara",IF(AND(F2227&gt;=4,E2227&gt;=3),"Setia",IF(AND(E2227=5,F2227&lt;=2,G2227&gt;=3),"Berpotensi",IF(AND(E2227&lt;=3,E2227&gt;=2,F2227&gt;=3),"Rawan",IF(AND(E2227&lt;=2,F2227&lt;=2),"Tidur","Umum"))))))</f>
        <v/>
      </c>
    </row>
    <row r="2228">
      <c r="B2228">
        <f>IF(A2228="","",$B$1-MAXIFS(Donasi!$A$2:$A$20000,Donasi!$B$2:$B$20000,A2228))</f>
        <v/>
      </c>
      <c r="C2228">
        <f>IF(A2228="","",COUNTIF(Donasi!$B$2:$B$20000,A2228))</f>
        <v/>
      </c>
      <c r="D2228">
        <f>IF(A2228="","",SUMIF(Donasi!$B$2:$B$20000,A2228,Donasi!$C$2:$C$20000))</f>
        <v/>
      </c>
      <c r="E2228">
        <f>IF(A2228="","",6-CEILING(PERCENTRANK.INC($B$3:$B$6000,B2228,4)*5+0.000001,1))</f>
        <v/>
      </c>
      <c r="F2228">
        <f>IF(A2228="","",MAX(1,CEILING(PERCENTRANK.INC($C$3:$C$6000,C2228,4)*5+0.000001,1)))</f>
        <v/>
      </c>
      <c r="G2228">
        <f>IF(A2228="","",MAX(1,CEILING(PERCENTRANK.INC($D$3:$D$6000,D2228,4)*5+0.000001,1)))</f>
        <v/>
      </c>
      <c r="H2228">
        <f>IF(A2228="","",E2228&amp;F2228&amp;G2228)</f>
        <v/>
      </c>
      <c r="I2228">
        <f>IF(A2228="","",IF(AND(E2228&gt;=4,F2228&gt;=4,G2228&gt;=4),"Juara",IF(AND(F2228&gt;=4,E2228&gt;=3),"Setia",IF(AND(E2228=5,F2228&lt;=2,G2228&gt;=3),"Berpotensi",IF(AND(E2228&lt;=3,E2228&gt;=2,F2228&gt;=3),"Rawan",IF(AND(E2228&lt;=2,F2228&lt;=2),"Tidur","Umum"))))))</f>
        <v/>
      </c>
    </row>
    <row r="2229">
      <c r="B2229">
        <f>IF(A2229="","",$B$1-MAXIFS(Donasi!$A$2:$A$20000,Donasi!$B$2:$B$20000,A2229))</f>
        <v/>
      </c>
      <c r="C2229">
        <f>IF(A2229="","",COUNTIF(Donasi!$B$2:$B$20000,A2229))</f>
        <v/>
      </c>
      <c r="D2229">
        <f>IF(A2229="","",SUMIF(Donasi!$B$2:$B$20000,A2229,Donasi!$C$2:$C$20000))</f>
        <v/>
      </c>
      <c r="E2229">
        <f>IF(A2229="","",6-CEILING(PERCENTRANK.INC($B$3:$B$6000,B2229,4)*5+0.000001,1))</f>
        <v/>
      </c>
      <c r="F2229">
        <f>IF(A2229="","",MAX(1,CEILING(PERCENTRANK.INC($C$3:$C$6000,C2229,4)*5+0.000001,1)))</f>
        <v/>
      </c>
      <c r="G2229">
        <f>IF(A2229="","",MAX(1,CEILING(PERCENTRANK.INC($D$3:$D$6000,D2229,4)*5+0.000001,1)))</f>
        <v/>
      </c>
      <c r="H2229">
        <f>IF(A2229="","",E2229&amp;F2229&amp;G2229)</f>
        <v/>
      </c>
      <c r="I2229">
        <f>IF(A2229="","",IF(AND(E2229&gt;=4,F2229&gt;=4,G2229&gt;=4),"Juara",IF(AND(F2229&gt;=4,E2229&gt;=3),"Setia",IF(AND(E2229=5,F2229&lt;=2,G2229&gt;=3),"Berpotensi",IF(AND(E2229&lt;=3,E2229&gt;=2,F2229&gt;=3),"Rawan",IF(AND(E2229&lt;=2,F2229&lt;=2),"Tidur","Umum"))))))</f>
        <v/>
      </c>
    </row>
    <row r="2230">
      <c r="B2230">
        <f>IF(A2230="","",$B$1-MAXIFS(Donasi!$A$2:$A$20000,Donasi!$B$2:$B$20000,A2230))</f>
        <v/>
      </c>
      <c r="C2230">
        <f>IF(A2230="","",COUNTIF(Donasi!$B$2:$B$20000,A2230))</f>
        <v/>
      </c>
      <c r="D2230">
        <f>IF(A2230="","",SUMIF(Donasi!$B$2:$B$20000,A2230,Donasi!$C$2:$C$20000))</f>
        <v/>
      </c>
      <c r="E2230">
        <f>IF(A2230="","",6-CEILING(PERCENTRANK.INC($B$3:$B$6000,B2230,4)*5+0.000001,1))</f>
        <v/>
      </c>
      <c r="F2230">
        <f>IF(A2230="","",MAX(1,CEILING(PERCENTRANK.INC($C$3:$C$6000,C2230,4)*5+0.000001,1)))</f>
        <v/>
      </c>
      <c r="G2230">
        <f>IF(A2230="","",MAX(1,CEILING(PERCENTRANK.INC($D$3:$D$6000,D2230,4)*5+0.000001,1)))</f>
        <v/>
      </c>
      <c r="H2230">
        <f>IF(A2230="","",E2230&amp;F2230&amp;G2230)</f>
        <v/>
      </c>
      <c r="I2230">
        <f>IF(A2230="","",IF(AND(E2230&gt;=4,F2230&gt;=4,G2230&gt;=4),"Juara",IF(AND(F2230&gt;=4,E2230&gt;=3),"Setia",IF(AND(E2230=5,F2230&lt;=2,G2230&gt;=3),"Berpotensi",IF(AND(E2230&lt;=3,E2230&gt;=2,F2230&gt;=3),"Rawan",IF(AND(E2230&lt;=2,F2230&lt;=2),"Tidur","Umum"))))))</f>
        <v/>
      </c>
    </row>
    <row r="2231">
      <c r="B2231">
        <f>IF(A2231="","",$B$1-MAXIFS(Donasi!$A$2:$A$20000,Donasi!$B$2:$B$20000,A2231))</f>
        <v/>
      </c>
      <c r="C2231">
        <f>IF(A2231="","",COUNTIF(Donasi!$B$2:$B$20000,A2231))</f>
        <v/>
      </c>
      <c r="D2231">
        <f>IF(A2231="","",SUMIF(Donasi!$B$2:$B$20000,A2231,Donasi!$C$2:$C$20000))</f>
        <v/>
      </c>
      <c r="E2231">
        <f>IF(A2231="","",6-CEILING(PERCENTRANK.INC($B$3:$B$6000,B2231,4)*5+0.000001,1))</f>
        <v/>
      </c>
      <c r="F2231">
        <f>IF(A2231="","",MAX(1,CEILING(PERCENTRANK.INC($C$3:$C$6000,C2231,4)*5+0.000001,1)))</f>
        <v/>
      </c>
      <c r="G2231">
        <f>IF(A2231="","",MAX(1,CEILING(PERCENTRANK.INC($D$3:$D$6000,D2231,4)*5+0.000001,1)))</f>
        <v/>
      </c>
      <c r="H2231">
        <f>IF(A2231="","",E2231&amp;F2231&amp;G2231)</f>
        <v/>
      </c>
      <c r="I2231">
        <f>IF(A2231="","",IF(AND(E2231&gt;=4,F2231&gt;=4,G2231&gt;=4),"Juara",IF(AND(F2231&gt;=4,E2231&gt;=3),"Setia",IF(AND(E2231=5,F2231&lt;=2,G2231&gt;=3),"Berpotensi",IF(AND(E2231&lt;=3,E2231&gt;=2,F2231&gt;=3),"Rawan",IF(AND(E2231&lt;=2,F2231&lt;=2),"Tidur","Umum"))))))</f>
        <v/>
      </c>
    </row>
    <row r="2232">
      <c r="B2232">
        <f>IF(A2232="","",$B$1-MAXIFS(Donasi!$A$2:$A$20000,Donasi!$B$2:$B$20000,A2232))</f>
        <v/>
      </c>
      <c r="C2232">
        <f>IF(A2232="","",COUNTIF(Donasi!$B$2:$B$20000,A2232))</f>
        <v/>
      </c>
      <c r="D2232">
        <f>IF(A2232="","",SUMIF(Donasi!$B$2:$B$20000,A2232,Donasi!$C$2:$C$20000))</f>
        <v/>
      </c>
      <c r="E2232">
        <f>IF(A2232="","",6-CEILING(PERCENTRANK.INC($B$3:$B$6000,B2232,4)*5+0.000001,1))</f>
        <v/>
      </c>
      <c r="F2232">
        <f>IF(A2232="","",MAX(1,CEILING(PERCENTRANK.INC($C$3:$C$6000,C2232,4)*5+0.000001,1)))</f>
        <v/>
      </c>
      <c r="G2232">
        <f>IF(A2232="","",MAX(1,CEILING(PERCENTRANK.INC($D$3:$D$6000,D2232,4)*5+0.000001,1)))</f>
        <v/>
      </c>
      <c r="H2232">
        <f>IF(A2232="","",E2232&amp;F2232&amp;G2232)</f>
        <v/>
      </c>
      <c r="I2232">
        <f>IF(A2232="","",IF(AND(E2232&gt;=4,F2232&gt;=4,G2232&gt;=4),"Juara",IF(AND(F2232&gt;=4,E2232&gt;=3),"Setia",IF(AND(E2232=5,F2232&lt;=2,G2232&gt;=3),"Berpotensi",IF(AND(E2232&lt;=3,E2232&gt;=2,F2232&gt;=3),"Rawan",IF(AND(E2232&lt;=2,F2232&lt;=2),"Tidur","Umum"))))))</f>
        <v/>
      </c>
    </row>
    <row r="2233">
      <c r="B2233">
        <f>IF(A2233="","",$B$1-MAXIFS(Donasi!$A$2:$A$20000,Donasi!$B$2:$B$20000,A2233))</f>
        <v/>
      </c>
      <c r="C2233">
        <f>IF(A2233="","",COUNTIF(Donasi!$B$2:$B$20000,A2233))</f>
        <v/>
      </c>
      <c r="D2233">
        <f>IF(A2233="","",SUMIF(Donasi!$B$2:$B$20000,A2233,Donasi!$C$2:$C$20000))</f>
        <v/>
      </c>
      <c r="E2233">
        <f>IF(A2233="","",6-CEILING(PERCENTRANK.INC($B$3:$B$6000,B2233,4)*5+0.000001,1))</f>
        <v/>
      </c>
      <c r="F2233">
        <f>IF(A2233="","",MAX(1,CEILING(PERCENTRANK.INC($C$3:$C$6000,C2233,4)*5+0.000001,1)))</f>
        <v/>
      </c>
      <c r="G2233">
        <f>IF(A2233="","",MAX(1,CEILING(PERCENTRANK.INC($D$3:$D$6000,D2233,4)*5+0.000001,1)))</f>
        <v/>
      </c>
      <c r="H2233">
        <f>IF(A2233="","",E2233&amp;F2233&amp;G2233)</f>
        <v/>
      </c>
      <c r="I2233">
        <f>IF(A2233="","",IF(AND(E2233&gt;=4,F2233&gt;=4,G2233&gt;=4),"Juara",IF(AND(F2233&gt;=4,E2233&gt;=3),"Setia",IF(AND(E2233=5,F2233&lt;=2,G2233&gt;=3),"Berpotensi",IF(AND(E2233&lt;=3,E2233&gt;=2,F2233&gt;=3),"Rawan",IF(AND(E2233&lt;=2,F2233&lt;=2),"Tidur","Umum"))))))</f>
        <v/>
      </c>
    </row>
    <row r="2234">
      <c r="B2234">
        <f>IF(A2234="","",$B$1-MAXIFS(Donasi!$A$2:$A$20000,Donasi!$B$2:$B$20000,A2234))</f>
        <v/>
      </c>
      <c r="C2234">
        <f>IF(A2234="","",COUNTIF(Donasi!$B$2:$B$20000,A2234))</f>
        <v/>
      </c>
      <c r="D2234">
        <f>IF(A2234="","",SUMIF(Donasi!$B$2:$B$20000,A2234,Donasi!$C$2:$C$20000))</f>
        <v/>
      </c>
      <c r="E2234">
        <f>IF(A2234="","",6-CEILING(PERCENTRANK.INC($B$3:$B$6000,B2234,4)*5+0.000001,1))</f>
        <v/>
      </c>
      <c r="F2234">
        <f>IF(A2234="","",MAX(1,CEILING(PERCENTRANK.INC($C$3:$C$6000,C2234,4)*5+0.000001,1)))</f>
        <v/>
      </c>
      <c r="G2234">
        <f>IF(A2234="","",MAX(1,CEILING(PERCENTRANK.INC($D$3:$D$6000,D2234,4)*5+0.000001,1)))</f>
        <v/>
      </c>
      <c r="H2234">
        <f>IF(A2234="","",E2234&amp;F2234&amp;G2234)</f>
        <v/>
      </c>
      <c r="I2234">
        <f>IF(A2234="","",IF(AND(E2234&gt;=4,F2234&gt;=4,G2234&gt;=4),"Juara",IF(AND(F2234&gt;=4,E2234&gt;=3),"Setia",IF(AND(E2234=5,F2234&lt;=2,G2234&gt;=3),"Berpotensi",IF(AND(E2234&lt;=3,E2234&gt;=2,F2234&gt;=3),"Rawan",IF(AND(E2234&lt;=2,F2234&lt;=2),"Tidur","Umum"))))))</f>
        <v/>
      </c>
    </row>
    <row r="2235">
      <c r="B2235">
        <f>IF(A2235="","",$B$1-MAXIFS(Donasi!$A$2:$A$20000,Donasi!$B$2:$B$20000,A2235))</f>
        <v/>
      </c>
      <c r="C2235">
        <f>IF(A2235="","",COUNTIF(Donasi!$B$2:$B$20000,A2235))</f>
        <v/>
      </c>
      <c r="D2235">
        <f>IF(A2235="","",SUMIF(Donasi!$B$2:$B$20000,A2235,Donasi!$C$2:$C$20000))</f>
        <v/>
      </c>
      <c r="E2235">
        <f>IF(A2235="","",6-CEILING(PERCENTRANK.INC($B$3:$B$6000,B2235,4)*5+0.000001,1))</f>
        <v/>
      </c>
      <c r="F2235">
        <f>IF(A2235="","",MAX(1,CEILING(PERCENTRANK.INC($C$3:$C$6000,C2235,4)*5+0.000001,1)))</f>
        <v/>
      </c>
      <c r="G2235">
        <f>IF(A2235="","",MAX(1,CEILING(PERCENTRANK.INC($D$3:$D$6000,D2235,4)*5+0.000001,1)))</f>
        <v/>
      </c>
      <c r="H2235">
        <f>IF(A2235="","",E2235&amp;F2235&amp;G2235)</f>
        <v/>
      </c>
      <c r="I2235">
        <f>IF(A2235="","",IF(AND(E2235&gt;=4,F2235&gt;=4,G2235&gt;=4),"Juara",IF(AND(F2235&gt;=4,E2235&gt;=3),"Setia",IF(AND(E2235=5,F2235&lt;=2,G2235&gt;=3),"Berpotensi",IF(AND(E2235&lt;=3,E2235&gt;=2,F2235&gt;=3),"Rawan",IF(AND(E2235&lt;=2,F2235&lt;=2),"Tidur","Umum"))))))</f>
        <v/>
      </c>
    </row>
    <row r="2236">
      <c r="B2236">
        <f>IF(A2236="","",$B$1-MAXIFS(Donasi!$A$2:$A$20000,Donasi!$B$2:$B$20000,A2236))</f>
        <v/>
      </c>
      <c r="C2236">
        <f>IF(A2236="","",COUNTIF(Donasi!$B$2:$B$20000,A2236))</f>
        <v/>
      </c>
      <c r="D2236">
        <f>IF(A2236="","",SUMIF(Donasi!$B$2:$B$20000,A2236,Donasi!$C$2:$C$20000))</f>
        <v/>
      </c>
      <c r="E2236">
        <f>IF(A2236="","",6-CEILING(PERCENTRANK.INC($B$3:$B$6000,B2236,4)*5+0.000001,1))</f>
        <v/>
      </c>
      <c r="F2236">
        <f>IF(A2236="","",MAX(1,CEILING(PERCENTRANK.INC($C$3:$C$6000,C2236,4)*5+0.000001,1)))</f>
        <v/>
      </c>
      <c r="G2236">
        <f>IF(A2236="","",MAX(1,CEILING(PERCENTRANK.INC($D$3:$D$6000,D2236,4)*5+0.000001,1)))</f>
        <v/>
      </c>
      <c r="H2236">
        <f>IF(A2236="","",E2236&amp;F2236&amp;G2236)</f>
        <v/>
      </c>
      <c r="I2236">
        <f>IF(A2236="","",IF(AND(E2236&gt;=4,F2236&gt;=4,G2236&gt;=4),"Juara",IF(AND(F2236&gt;=4,E2236&gt;=3),"Setia",IF(AND(E2236=5,F2236&lt;=2,G2236&gt;=3),"Berpotensi",IF(AND(E2236&lt;=3,E2236&gt;=2,F2236&gt;=3),"Rawan",IF(AND(E2236&lt;=2,F2236&lt;=2),"Tidur","Umum"))))))</f>
        <v/>
      </c>
    </row>
    <row r="2237">
      <c r="B2237">
        <f>IF(A2237="","",$B$1-MAXIFS(Donasi!$A$2:$A$20000,Donasi!$B$2:$B$20000,A2237))</f>
        <v/>
      </c>
      <c r="C2237">
        <f>IF(A2237="","",COUNTIF(Donasi!$B$2:$B$20000,A2237))</f>
        <v/>
      </c>
      <c r="D2237">
        <f>IF(A2237="","",SUMIF(Donasi!$B$2:$B$20000,A2237,Donasi!$C$2:$C$20000))</f>
        <v/>
      </c>
      <c r="E2237">
        <f>IF(A2237="","",6-CEILING(PERCENTRANK.INC($B$3:$B$6000,B2237,4)*5+0.000001,1))</f>
        <v/>
      </c>
      <c r="F2237">
        <f>IF(A2237="","",MAX(1,CEILING(PERCENTRANK.INC($C$3:$C$6000,C2237,4)*5+0.000001,1)))</f>
        <v/>
      </c>
      <c r="G2237">
        <f>IF(A2237="","",MAX(1,CEILING(PERCENTRANK.INC($D$3:$D$6000,D2237,4)*5+0.000001,1)))</f>
        <v/>
      </c>
      <c r="H2237">
        <f>IF(A2237="","",E2237&amp;F2237&amp;G2237)</f>
        <v/>
      </c>
      <c r="I2237">
        <f>IF(A2237="","",IF(AND(E2237&gt;=4,F2237&gt;=4,G2237&gt;=4),"Juara",IF(AND(F2237&gt;=4,E2237&gt;=3),"Setia",IF(AND(E2237=5,F2237&lt;=2,G2237&gt;=3),"Berpotensi",IF(AND(E2237&lt;=3,E2237&gt;=2,F2237&gt;=3),"Rawan",IF(AND(E2237&lt;=2,F2237&lt;=2),"Tidur","Umum"))))))</f>
        <v/>
      </c>
    </row>
    <row r="2238">
      <c r="B2238">
        <f>IF(A2238="","",$B$1-MAXIFS(Donasi!$A$2:$A$20000,Donasi!$B$2:$B$20000,A2238))</f>
        <v/>
      </c>
      <c r="C2238">
        <f>IF(A2238="","",COUNTIF(Donasi!$B$2:$B$20000,A2238))</f>
        <v/>
      </c>
      <c r="D2238">
        <f>IF(A2238="","",SUMIF(Donasi!$B$2:$B$20000,A2238,Donasi!$C$2:$C$20000))</f>
        <v/>
      </c>
      <c r="E2238">
        <f>IF(A2238="","",6-CEILING(PERCENTRANK.INC($B$3:$B$6000,B2238,4)*5+0.000001,1))</f>
        <v/>
      </c>
      <c r="F2238">
        <f>IF(A2238="","",MAX(1,CEILING(PERCENTRANK.INC($C$3:$C$6000,C2238,4)*5+0.000001,1)))</f>
        <v/>
      </c>
      <c r="G2238">
        <f>IF(A2238="","",MAX(1,CEILING(PERCENTRANK.INC($D$3:$D$6000,D2238,4)*5+0.000001,1)))</f>
        <v/>
      </c>
      <c r="H2238">
        <f>IF(A2238="","",E2238&amp;F2238&amp;G2238)</f>
        <v/>
      </c>
      <c r="I2238">
        <f>IF(A2238="","",IF(AND(E2238&gt;=4,F2238&gt;=4,G2238&gt;=4),"Juara",IF(AND(F2238&gt;=4,E2238&gt;=3),"Setia",IF(AND(E2238=5,F2238&lt;=2,G2238&gt;=3),"Berpotensi",IF(AND(E2238&lt;=3,E2238&gt;=2,F2238&gt;=3),"Rawan",IF(AND(E2238&lt;=2,F2238&lt;=2),"Tidur","Umum"))))))</f>
        <v/>
      </c>
    </row>
    <row r="2239">
      <c r="B2239">
        <f>IF(A2239="","",$B$1-MAXIFS(Donasi!$A$2:$A$20000,Donasi!$B$2:$B$20000,A2239))</f>
        <v/>
      </c>
      <c r="C2239">
        <f>IF(A2239="","",COUNTIF(Donasi!$B$2:$B$20000,A2239))</f>
        <v/>
      </c>
      <c r="D2239">
        <f>IF(A2239="","",SUMIF(Donasi!$B$2:$B$20000,A2239,Donasi!$C$2:$C$20000))</f>
        <v/>
      </c>
      <c r="E2239">
        <f>IF(A2239="","",6-CEILING(PERCENTRANK.INC($B$3:$B$6000,B2239,4)*5+0.000001,1))</f>
        <v/>
      </c>
      <c r="F2239">
        <f>IF(A2239="","",MAX(1,CEILING(PERCENTRANK.INC($C$3:$C$6000,C2239,4)*5+0.000001,1)))</f>
        <v/>
      </c>
      <c r="G2239">
        <f>IF(A2239="","",MAX(1,CEILING(PERCENTRANK.INC($D$3:$D$6000,D2239,4)*5+0.000001,1)))</f>
        <v/>
      </c>
      <c r="H2239">
        <f>IF(A2239="","",E2239&amp;F2239&amp;G2239)</f>
        <v/>
      </c>
      <c r="I2239">
        <f>IF(A2239="","",IF(AND(E2239&gt;=4,F2239&gt;=4,G2239&gt;=4),"Juara",IF(AND(F2239&gt;=4,E2239&gt;=3),"Setia",IF(AND(E2239=5,F2239&lt;=2,G2239&gt;=3),"Berpotensi",IF(AND(E2239&lt;=3,E2239&gt;=2,F2239&gt;=3),"Rawan",IF(AND(E2239&lt;=2,F2239&lt;=2),"Tidur","Umum"))))))</f>
        <v/>
      </c>
    </row>
    <row r="2240">
      <c r="B2240">
        <f>IF(A2240="","",$B$1-MAXIFS(Donasi!$A$2:$A$20000,Donasi!$B$2:$B$20000,A2240))</f>
        <v/>
      </c>
      <c r="C2240">
        <f>IF(A2240="","",COUNTIF(Donasi!$B$2:$B$20000,A2240))</f>
        <v/>
      </c>
      <c r="D2240">
        <f>IF(A2240="","",SUMIF(Donasi!$B$2:$B$20000,A2240,Donasi!$C$2:$C$20000))</f>
        <v/>
      </c>
      <c r="E2240">
        <f>IF(A2240="","",6-CEILING(PERCENTRANK.INC($B$3:$B$6000,B2240,4)*5+0.000001,1))</f>
        <v/>
      </c>
      <c r="F2240">
        <f>IF(A2240="","",MAX(1,CEILING(PERCENTRANK.INC($C$3:$C$6000,C2240,4)*5+0.000001,1)))</f>
        <v/>
      </c>
      <c r="G2240">
        <f>IF(A2240="","",MAX(1,CEILING(PERCENTRANK.INC($D$3:$D$6000,D2240,4)*5+0.000001,1)))</f>
        <v/>
      </c>
      <c r="H2240">
        <f>IF(A2240="","",E2240&amp;F2240&amp;G2240)</f>
        <v/>
      </c>
      <c r="I2240">
        <f>IF(A2240="","",IF(AND(E2240&gt;=4,F2240&gt;=4,G2240&gt;=4),"Juara",IF(AND(F2240&gt;=4,E2240&gt;=3),"Setia",IF(AND(E2240=5,F2240&lt;=2,G2240&gt;=3),"Berpotensi",IF(AND(E2240&lt;=3,E2240&gt;=2,F2240&gt;=3),"Rawan",IF(AND(E2240&lt;=2,F2240&lt;=2),"Tidur","Umum"))))))</f>
        <v/>
      </c>
    </row>
    <row r="2241">
      <c r="B2241">
        <f>IF(A2241="","",$B$1-MAXIFS(Donasi!$A$2:$A$20000,Donasi!$B$2:$B$20000,A2241))</f>
        <v/>
      </c>
      <c r="C2241">
        <f>IF(A2241="","",COUNTIF(Donasi!$B$2:$B$20000,A2241))</f>
        <v/>
      </c>
      <c r="D2241">
        <f>IF(A2241="","",SUMIF(Donasi!$B$2:$B$20000,A2241,Donasi!$C$2:$C$20000))</f>
        <v/>
      </c>
      <c r="E2241">
        <f>IF(A2241="","",6-CEILING(PERCENTRANK.INC($B$3:$B$6000,B2241,4)*5+0.000001,1))</f>
        <v/>
      </c>
      <c r="F2241">
        <f>IF(A2241="","",MAX(1,CEILING(PERCENTRANK.INC($C$3:$C$6000,C2241,4)*5+0.000001,1)))</f>
        <v/>
      </c>
      <c r="G2241">
        <f>IF(A2241="","",MAX(1,CEILING(PERCENTRANK.INC($D$3:$D$6000,D2241,4)*5+0.000001,1)))</f>
        <v/>
      </c>
      <c r="H2241">
        <f>IF(A2241="","",E2241&amp;F2241&amp;G2241)</f>
        <v/>
      </c>
      <c r="I2241">
        <f>IF(A2241="","",IF(AND(E2241&gt;=4,F2241&gt;=4,G2241&gt;=4),"Juara",IF(AND(F2241&gt;=4,E2241&gt;=3),"Setia",IF(AND(E2241=5,F2241&lt;=2,G2241&gt;=3),"Berpotensi",IF(AND(E2241&lt;=3,E2241&gt;=2,F2241&gt;=3),"Rawan",IF(AND(E2241&lt;=2,F2241&lt;=2),"Tidur","Umum"))))))</f>
        <v/>
      </c>
    </row>
    <row r="2242">
      <c r="B2242">
        <f>IF(A2242="","",$B$1-MAXIFS(Donasi!$A$2:$A$20000,Donasi!$B$2:$B$20000,A2242))</f>
        <v/>
      </c>
      <c r="C2242">
        <f>IF(A2242="","",COUNTIF(Donasi!$B$2:$B$20000,A2242))</f>
        <v/>
      </c>
      <c r="D2242">
        <f>IF(A2242="","",SUMIF(Donasi!$B$2:$B$20000,A2242,Donasi!$C$2:$C$20000))</f>
        <v/>
      </c>
      <c r="E2242">
        <f>IF(A2242="","",6-CEILING(PERCENTRANK.INC($B$3:$B$6000,B2242,4)*5+0.000001,1))</f>
        <v/>
      </c>
      <c r="F2242">
        <f>IF(A2242="","",MAX(1,CEILING(PERCENTRANK.INC($C$3:$C$6000,C2242,4)*5+0.000001,1)))</f>
        <v/>
      </c>
      <c r="G2242">
        <f>IF(A2242="","",MAX(1,CEILING(PERCENTRANK.INC($D$3:$D$6000,D2242,4)*5+0.000001,1)))</f>
        <v/>
      </c>
      <c r="H2242">
        <f>IF(A2242="","",E2242&amp;F2242&amp;G2242)</f>
        <v/>
      </c>
      <c r="I2242">
        <f>IF(A2242="","",IF(AND(E2242&gt;=4,F2242&gt;=4,G2242&gt;=4),"Juara",IF(AND(F2242&gt;=4,E2242&gt;=3),"Setia",IF(AND(E2242=5,F2242&lt;=2,G2242&gt;=3),"Berpotensi",IF(AND(E2242&lt;=3,E2242&gt;=2,F2242&gt;=3),"Rawan",IF(AND(E2242&lt;=2,F2242&lt;=2),"Tidur","Umum"))))))</f>
        <v/>
      </c>
    </row>
    <row r="2243">
      <c r="B2243">
        <f>IF(A2243="","",$B$1-MAXIFS(Donasi!$A$2:$A$20000,Donasi!$B$2:$B$20000,A2243))</f>
        <v/>
      </c>
      <c r="C2243">
        <f>IF(A2243="","",COUNTIF(Donasi!$B$2:$B$20000,A2243))</f>
        <v/>
      </c>
      <c r="D2243">
        <f>IF(A2243="","",SUMIF(Donasi!$B$2:$B$20000,A2243,Donasi!$C$2:$C$20000))</f>
        <v/>
      </c>
      <c r="E2243">
        <f>IF(A2243="","",6-CEILING(PERCENTRANK.INC($B$3:$B$6000,B2243,4)*5+0.000001,1))</f>
        <v/>
      </c>
      <c r="F2243">
        <f>IF(A2243="","",MAX(1,CEILING(PERCENTRANK.INC($C$3:$C$6000,C2243,4)*5+0.000001,1)))</f>
        <v/>
      </c>
      <c r="G2243">
        <f>IF(A2243="","",MAX(1,CEILING(PERCENTRANK.INC($D$3:$D$6000,D2243,4)*5+0.000001,1)))</f>
        <v/>
      </c>
      <c r="H2243">
        <f>IF(A2243="","",E2243&amp;F2243&amp;G2243)</f>
        <v/>
      </c>
      <c r="I2243">
        <f>IF(A2243="","",IF(AND(E2243&gt;=4,F2243&gt;=4,G2243&gt;=4),"Juara",IF(AND(F2243&gt;=4,E2243&gt;=3),"Setia",IF(AND(E2243=5,F2243&lt;=2,G2243&gt;=3),"Berpotensi",IF(AND(E2243&lt;=3,E2243&gt;=2,F2243&gt;=3),"Rawan",IF(AND(E2243&lt;=2,F2243&lt;=2),"Tidur","Umum"))))))</f>
        <v/>
      </c>
    </row>
    <row r="2244">
      <c r="B2244">
        <f>IF(A2244="","",$B$1-MAXIFS(Donasi!$A$2:$A$20000,Donasi!$B$2:$B$20000,A2244))</f>
        <v/>
      </c>
      <c r="C2244">
        <f>IF(A2244="","",COUNTIF(Donasi!$B$2:$B$20000,A2244))</f>
        <v/>
      </c>
      <c r="D2244">
        <f>IF(A2244="","",SUMIF(Donasi!$B$2:$B$20000,A2244,Donasi!$C$2:$C$20000))</f>
        <v/>
      </c>
      <c r="E2244">
        <f>IF(A2244="","",6-CEILING(PERCENTRANK.INC($B$3:$B$6000,B2244,4)*5+0.000001,1))</f>
        <v/>
      </c>
      <c r="F2244">
        <f>IF(A2244="","",MAX(1,CEILING(PERCENTRANK.INC($C$3:$C$6000,C2244,4)*5+0.000001,1)))</f>
        <v/>
      </c>
      <c r="G2244">
        <f>IF(A2244="","",MAX(1,CEILING(PERCENTRANK.INC($D$3:$D$6000,D2244,4)*5+0.000001,1)))</f>
        <v/>
      </c>
      <c r="H2244">
        <f>IF(A2244="","",E2244&amp;F2244&amp;G2244)</f>
        <v/>
      </c>
      <c r="I2244">
        <f>IF(A2244="","",IF(AND(E2244&gt;=4,F2244&gt;=4,G2244&gt;=4),"Juara",IF(AND(F2244&gt;=4,E2244&gt;=3),"Setia",IF(AND(E2244=5,F2244&lt;=2,G2244&gt;=3),"Berpotensi",IF(AND(E2244&lt;=3,E2244&gt;=2,F2244&gt;=3),"Rawan",IF(AND(E2244&lt;=2,F2244&lt;=2),"Tidur","Umum"))))))</f>
        <v/>
      </c>
    </row>
    <row r="2245">
      <c r="B2245">
        <f>IF(A2245="","",$B$1-MAXIFS(Donasi!$A$2:$A$20000,Donasi!$B$2:$B$20000,A2245))</f>
        <v/>
      </c>
      <c r="C2245">
        <f>IF(A2245="","",COUNTIF(Donasi!$B$2:$B$20000,A2245))</f>
        <v/>
      </c>
      <c r="D2245">
        <f>IF(A2245="","",SUMIF(Donasi!$B$2:$B$20000,A2245,Donasi!$C$2:$C$20000))</f>
        <v/>
      </c>
      <c r="E2245">
        <f>IF(A2245="","",6-CEILING(PERCENTRANK.INC($B$3:$B$6000,B2245,4)*5+0.000001,1))</f>
        <v/>
      </c>
      <c r="F2245">
        <f>IF(A2245="","",MAX(1,CEILING(PERCENTRANK.INC($C$3:$C$6000,C2245,4)*5+0.000001,1)))</f>
        <v/>
      </c>
      <c r="G2245">
        <f>IF(A2245="","",MAX(1,CEILING(PERCENTRANK.INC($D$3:$D$6000,D2245,4)*5+0.000001,1)))</f>
        <v/>
      </c>
      <c r="H2245">
        <f>IF(A2245="","",E2245&amp;F2245&amp;G2245)</f>
        <v/>
      </c>
      <c r="I2245">
        <f>IF(A2245="","",IF(AND(E2245&gt;=4,F2245&gt;=4,G2245&gt;=4),"Juara",IF(AND(F2245&gt;=4,E2245&gt;=3),"Setia",IF(AND(E2245=5,F2245&lt;=2,G2245&gt;=3),"Berpotensi",IF(AND(E2245&lt;=3,E2245&gt;=2,F2245&gt;=3),"Rawan",IF(AND(E2245&lt;=2,F2245&lt;=2),"Tidur","Umum"))))))</f>
        <v/>
      </c>
    </row>
    <row r="2246">
      <c r="B2246">
        <f>IF(A2246="","",$B$1-MAXIFS(Donasi!$A$2:$A$20000,Donasi!$B$2:$B$20000,A2246))</f>
        <v/>
      </c>
      <c r="C2246">
        <f>IF(A2246="","",COUNTIF(Donasi!$B$2:$B$20000,A2246))</f>
        <v/>
      </c>
      <c r="D2246">
        <f>IF(A2246="","",SUMIF(Donasi!$B$2:$B$20000,A2246,Donasi!$C$2:$C$20000))</f>
        <v/>
      </c>
      <c r="E2246">
        <f>IF(A2246="","",6-CEILING(PERCENTRANK.INC($B$3:$B$6000,B2246,4)*5+0.000001,1))</f>
        <v/>
      </c>
      <c r="F2246">
        <f>IF(A2246="","",MAX(1,CEILING(PERCENTRANK.INC($C$3:$C$6000,C2246,4)*5+0.000001,1)))</f>
        <v/>
      </c>
      <c r="G2246">
        <f>IF(A2246="","",MAX(1,CEILING(PERCENTRANK.INC($D$3:$D$6000,D2246,4)*5+0.000001,1)))</f>
        <v/>
      </c>
      <c r="H2246">
        <f>IF(A2246="","",E2246&amp;F2246&amp;G2246)</f>
        <v/>
      </c>
      <c r="I2246">
        <f>IF(A2246="","",IF(AND(E2246&gt;=4,F2246&gt;=4,G2246&gt;=4),"Juara",IF(AND(F2246&gt;=4,E2246&gt;=3),"Setia",IF(AND(E2246=5,F2246&lt;=2,G2246&gt;=3),"Berpotensi",IF(AND(E2246&lt;=3,E2246&gt;=2,F2246&gt;=3),"Rawan",IF(AND(E2246&lt;=2,F2246&lt;=2),"Tidur","Umum"))))))</f>
        <v/>
      </c>
    </row>
    <row r="2247">
      <c r="B2247">
        <f>IF(A2247="","",$B$1-MAXIFS(Donasi!$A$2:$A$20000,Donasi!$B$2:$B$20000,A2247))</f>
        <v/>
      </c>
      <c r="C2247">
        <f>IF(A2247="","",COUNTIF(Donasi!$B$2:$B$20000,A2247))</f>
        <v/>
      </c>
      <c r="D2247">
        <f>IF(A2247="","",SUMIF(Donasi!$B$2:$B$20000,A2247,Donasi!$C$2:$C$20000))</f>
        <v/>
      </c>
      <c r="E2247">
        <f>IF(A2247="","",6-CEILING(PERCENTRANK.INC($B$3:$B$6000,B2247,4)*5+0.000001,1))</f>
        <v/>
      </c>
      <c r="F2247">
        <f>IF(A2247="","",MAX(1,CEILING(PERCENTRANK.INC($C$3:$C$6000,C2247,4)*5+0.000001,1)))</f>
        <v/>
      </c>
      <c r="G2247">
        <f>IF(A2247="","",MAX(1,CEILING(PERCENTRANK.INC($D$3:$D$6000,D2247,4)*5+0.000001,1)))</f>
        <v/>
      </c>
      <c r="H2247">
        <f>IF(A2247="","",E2247&amp;F2247&amp;G2247)</f>
        <v/>
      </c>
      <c r="I2247">
        <f>IF(A2247="","",IF(AND(E2247&gt;=4,F2247&gt;=4,G2247&gt;=4),"Juara",IF(AND(F2247&gt;=4,E2247&gt;=3),"Setia",IF(AND(E2247=5,F2247&lt;=2,G2247&gt;=3),"Berpotensi",IF(AND(E2247&lt;=3,E2247&gt;=2,F2247&gt;=3),"Rawan",IF(AND(E2247&lt;=2,F2247&lt;=2),"Tidur","Umum"))))))</f>
        <v/>
      </c>
    </row>
    <row r="2248">
      <c r="B2248">
        <f>IF(A2248="","",$B$1-MAXIFS(Donasi!$A$2:$A$20000,Donasi!$B$2:$B$20000,A2248))</f>
        <v/>
      </c>
      <c r="C2248">
        <f>IF(A2248="","",COUNTIF(Donasi!$B$2:$B$20000,A2248))</f>
        <v/>
      </c>
      <c r="D2248">
        <f>IF(A2248="","",SUMIF(Donasi!$B$2:$B$20000,A2248,Donasi!$C$2:$C$20000))</f>
        <v/>
      </c>
      <c r="E2248">
        <f>IF(A2248="","",6-CEILING(PERCENTRANK.INC($B$3:$B$6000,B2248,4)*5+0.000001,1))</f>
        <v/>
      </c>
      <c r="F2248">
        <f>IF(A2248="","",MAX(1,CEILING(PERCENTRANK.INC($C$3:$C$6000,C2248,4)*5+0.000001,1)))</f>
        <v/>
      </c>
      <c r="G2248">
        <f>IF(A2248="","",MAX(1,CEILING(PERCENTRANK.INC($D$3:$D$6000,D2248,4)*5+0.000001,1)))</f>
        <v/>
      </c>
      <c r="H2248">
        <f>IF(A2248="","",E2248&amp;F2248&amp;G2248)</f>
        <v/>
      </c>
      <c r="I2248">
        <f>IF(A2248="","",IF(AND(E2248&gt;=4,F2248&gt;=4,G2248&gt;=4),"Juara",IF(AND(F2248&gt;=4,E2248&gt;=3),"Setia",IF(AND(E2248=5,F2248&lt;=2,G2248&gt;=3),"Berpotensi",IF(AND(E2248&lt;=3,E2248&gt;=2,F2248&gt;=3),"Rawan",IF(AND(E2248&lt;=2,F2248&lt;=2),"Tidur","Umum"))))))</f>
        <v/>
      </c>
    </row>
    <row r="2249">
      <c r="B2249">
        <f>IF(A2249="","",$B$1-MAXIFS(Donasi!$A$2:$A$20000,Donasi!$B$2:$B$20000,A2249))</f>
        <v/>
      </c>
      <c r="C2249">
        <f>IF(A2249="","",COUNTIF(Donasi!$B$2:$B$20000,A2249))</f>
        <v/>
      </c>
      <c r="D2249">
        <f>IF(A2249="","",SUMIF(Donasi!$B$2:$B$20000,A2249,Donasi!$C$2:$C$20000))</f>
        <v/>
      </c>
      <c r="E2249">
        <f>IF(A2249="","",6-CEILING(PERCENTRANK.INC($B$3:$B$6000,B2249,4)*5+0.000001,1))</f>
        <v/>
      </c>
      <c r="F2249">
        <f>IF(A2249="","",MAX(1,CEILING(PERCENTRANK.INC($C$3:$C$6000,C2249,4)*5+0.000001,1)))</f>
        <v/>
      </c>
      <c r="G2249">
        <f>IF(A2249="","",MAX(1,CEILING(PERCENTRANK.INC($D$3:$D$6000,D2249,4)*5+0.000001,1)))</f>
        <v/>
      </c>
      <c r="H2249">
        <f>IF(A2249="","",E2249&amp;F2249&amp;G2249)</f>
        <v/>
      </c>
      <c r="I2249">
        <f>IF(A2249="","",IF(AND(E2249&gt;=4,F2249&gt;=4,G2249&gt;=4),"Juara",IF(AND(F2249&gt;=4,E2249&gt;=3),"Setia",IF(AND(E2249=5,F2249&lt;=2,G2249&gt;=3),"Berpotensi",IF(AND(E2249&lt;=3,E2249&gt;=2,F2249&gt;=3),"Rawan",IF(AND(E2249&lt;=2,F2249&lt;=2),"Tidur","Umum"))))))</f>
        <v/>
      </c>
    </row>
    <row r="2250">
      <c r="B2250">
        <f>IF(A2250="","",$B$1-MAXIFS(Donasi!$A$2:$A$20000,Donasi!$B$2:$B$20000,A2250))</f>
        <v/>
      </c>
      <c r="C2250">
        <f>IF(A2250="","",COUNTIF(Donasi!$B$2:$B$20000,A2250))</f>
        <v/>
      </c>
      <c r="D2250">
        <f>IF(A2250="","",SUMIF(Donasi!$B$2:$B$20000,A2250,Donasi!$C$2:$C$20000))</f>
        <v/>
      </c>
      <c r="E2250">
        <f>IF(A2250="","",6-CEILING(PERCENTRANK.INC($B$3:$B$6000,B2250,4)*5+0.000001,1))</f>
        <v/>
      </c>
      <c r="F2250">
        <f>IF(A2250="","",MAX(1,CEILING(PERCENTRANK.INC($C$3:$C$6000,C2250,4)*5+0.000001,1)))</f>
        <v/>
      </c>
      <c r="G2250">
        <f>IF(A2250="","",MAX(1,CEILING(PERCENTRANK.INC($D$3:$D$6000,D2250,4)*5+0.000001,1)))</f>
        <v/>
      </c>
      <c r="H2250">
        <f>IF(A2250="","",E2250&amp;F2250&amp;G2250)</f>
        <v/>
      </c>
      <c r="I2250">
        <f>IF(A2250="","",IF(AND(E2250&gt;=4,F2250&gt;=4,G2250&gt;=4),"Juara",IF(AND(F2250&gt;=4,E2250&gt;=3),"Setia",IF(AND(E2250=5,F2250&lt;=2,G2250&gt;=3),"Berpotensi",IF(AND(E2250&lt;=3,E2250&gt;=2,F2250&gt;=3),"Rawan",IF(AND(E2250&lt;=2,F2250&lt;=2),"Tidur","Umum"))))))</f>
        <v/>
      </c>
    </row>
    <row r="2251">
      <c r="B2251">
        <f>IF(A2251="","",$B$1-MAXIFS(Donasi!$A$2:$A$20000,Donasi!$B$2:$B$20000,A2251))</f>
        <v/>
      </c>
      <c r="C2251">
        <f>IF(A2251="","",COUNTIF(Donasi!$B$2:$B$20000,A2251))</f>
        <v/>
      </c>
      <c r="D2251">
        <f>IF(A2251="","",SUMIF(Donasi!$B$2:$B$20000,A2251,Donasi!$C$2:$C$20000))</f>
        <v/>
      </c>
      <c r="E2251">
        <f>IF(A2251="","",6-CEILING(PERCENTRANK.INC($B$3:$B$6000,B2251,4)*5+0.000001,1))</f>
        <v/>
      </c>
      <c r="F2251">
        <f>IF(A2251="","",MAX(1,CEILING(PERCENTRANK.INC($C$3:$C$6000,C2251,4)*5+0.000001,1)))</f>
        <v/>
      </c>
      <c r="G2251">
        <f>IF(A2251="","",MAX(1,CEILING(PERCENTRANK.INC($D$3:$D$6000,D2251,4)*5+0.000001,1)))</f>
        <v/>
      </c>
      <c r="H2251">
        <f>IF(A2251="","",E2251&amp;F2251&amp;G2251)</f>
        <v/>
      </c>
      <c r="I2251">
        <f>IF(A2251="","",IF(AND(E2251&gt;=4,F2251&gt;=4,G2251&gt;=4),"Juara",IF(AND(F2251&gt;=4,E2251&gt;=3),"Setia",IF(AND(E2251=5,F2251&lt;=2,G2251&gt;=3),"Berpotensi",IF(AND(E2251&lt;=3,E2251&gt;=2,F2251&gt;=3),"Rawan",IF(AND(E2251&lt;=2,F2251&lt;=2),"Tidur","Umum"))))))</f>
        <v/>
      </c>
    </row>
    <row r="2252">
      <c r="B2252">
        <f>IF(A2252="","",$B$1-MAXIFS(Donasi!$A$2:$A$20000,Donasi!$B$2:$B$20000,A2252))</f>
        <v/>
      </c>
      <c r="C2252">
        <f>IF(A2252="","",COUNTIF(Donasi!$B$2:$B$20000,A2252))</f>
        <v/>
      </c>
      <c r="D2252">
        <f>IF(A2252="","",SUMIF(Donasi!$B$2:$B$20000,A2252,Donasi!$C$2:$C$20000))</f>
        <v/>
      </c>
      <c r="E2252">
        <f>IF(A2252="","",6-CEILING(PERCENTRANK.INC($B$3:$B$6000,B2252,4)*5+0.000001,1))</f>
        <v/>
      </c>
      <c r="F2252">
        <f>IF(A2252="","",MAX(1,CEILING(PERCENTRANK.INC($C$3:$C$6000,C2252,4)*5+0.000001,1)))</f>
        <v/>
      </c>
      <c r="G2252">
        <f>IF(A2252="","",MAX(1,CEILING(PERCENTRANK.INC($D$3:$D$6000,D2252,4)*5+0.000001,1)))</f>
        <v/>
      </c>
      <c r="H2252">
        <f>IF(A2252="","",E2252&amp;F2252&amp;G2252)</f>
        <v/>
      </c>
      <c r="I2252">
        <f>IF(A2252="","",IF(AND(E2252&gt;=4,F2252&gt;=4,G2252&gt;=4),"Juara",IF(AND(F2252&gt;=4,E2252&gt;=3),"Setia",IF(AND(E2252=5,F2252&lt;=2,G2252&gt;=3),"Berpotensi",IF(AND(E2252&lt;=3,E2252&gt;=2,F2252&gt;=3),"Rawan",IF(AND(E2252&lt;=2,F2252&lt;=2),"Tidur","Umum"))))))</f>
        <v/>
      </c>
    </row>
    <row r="2253">
      <c r="B2253">
        <f>IF(A2253="","",$B$1-MAXIFS(Donasi!$A$2:$A$20000,Donasi!$B$2:$B$20000,A2253))</f>
        <v/>
      </c>
      <c r="C2253">
        <f>IF(A2253="","",COUNTIF(Donasi!$B$2:$B$20000,A2253))</f>
        <v/>
      </c>
      <c r="D2253">
        <f>IF(A2253="","",SUMIF(Donasi!$B$2:$B$20000,A2253,Donasi!$C$2:$C$20000))</f>
        <v/>
      </c>
      <c r="E2253">
        <f>IF(A2253="","",6-CEILING(PERCENTRANK.INC($B$3:$B$6000,B2253,4)*5+0.000001,1))</f>
        <v/>
      </c>
      <c r="F2253">
        <f>IF(A2253="","",MAX(1,CEILING(PERCENTRANK.INC($C$3:$C$6000,C2253,4)*5+0.000001,1)))</f>
        <v/>
      </c>
      <c r="G2253">
        <f>IF(A2253="","",MAX(1,CEILING(PERCENTRANK.INC($D$3:$D$6000,D2253,4)*5+0.000001,1)))</f>
        <v/>
      </c>
      <c r="H2253">
        <f>IF(A2253="","",E2253&amp;F2253&amp;G2253)</f>
        <v/>
      </c>
      <c r="I2253">
        <f>IF(A2253="","",IF(AND(E2253&gt;=4,F2253&gt;=4,G2253&gt;=4),"Juara",IF(AND(F2253&gt;=4,E2253&gt;=3),"Setia",IF(AND(E2253=5,F2253&lt;=2,G2253&gt;=3),"Berpotensi",IF(AND(E2253&lt;=3,E2253&gt;=2,F2253&gt;=3),"Rawan",IF(AND(E2253&lt;=2,F2253&lt;=2),"Tidur","Umum"))))))</f>
        <v/>
      </c>
    </row>
    <row r="2254">
      <c r="B2254">
        <f>IF(A2254="","",$B$1-MAXIFS(Donasi!$A$2:$A$20000,Donasi!$B$2:$B$20000,A2254))</f>
        <v/>
      </c>
      <c r="C2254">
        <f>IF(A2254="","",COUNTIF(Donasi!$B$2:$B$20000,A2254))</f>
        <v/>
      </c>
      <c r="D2254">
        <f>IF(A2254="","",SUMIF(Donasi!$B$2:$B$20000,A2254,Donasi!$C$2:$C$20000))</f>
        <v/>
      </c>
      <c r="E2254">
        <f>IF(A2254="","",6-CEILING(PERCENTRANK.INC($B$3:$B$6000,B2254,4)*5+0.000001,1))</f>
        <v/>
      </c>
      <c r="F2254">
        <f>IF(A2254="","",MAX(1,CEILING(PERCENTRANK.INC($C$3:$C$6000,C2254,4)*5+0.000001,1)))</f>
        <v/>
      </c>
      <c r="G2254">
        <f>IF(A2254="","",MAX(1,CEILING(PERCENTRANK.INC($D$3:$D$6000,D2254,4)*5+0.000001,1)))</f>
        <v/>
      </c>
      <c r="H2254">
        <f>IF(A2254="","",E2254&amp;F2254&amp;G2254)</f>
        <v/>
      </c>
      <c r="I2254">
        <f>IF(A2254="","",IF(AND(E2254&gt;=4,F2254&gt;=4,G2254&gt;=4),"Juara",IF(AND(F2254&gt;=4,E2254&gt;=3),"Setia",IF(AND(E2254=5,F2254&lt;=2,G2254&gt;=3),"Berpotensi",IF(AND(E2254&lt;=3,E2254&gt;=2,F2254&gt;=3),"Rawan",IF(AND(E2254&lt;=2,F2254&lt;=2),"Tidur","Umum"))))))</f>
        <v/>
      </c>
    </row>
    <row r="2255">
      <c r="B2255">
        <f>IF(A2255="","",$B$1-MAXIFS(Donasi!$A$2:$A$20000,Donasi!$B$2:$B$20000,A2255))</f>
        <v/>
      </c>
      <c r="C2255">
        <f>IF(A2255="","",COUNTIF(Donasi!$B$2:$B$20000,A2255))</f>
        <v/>
      </c>
      <c r="D2255">
        <f>IF(A2255="","",SUMIF(Donasi!$B$2:$B$20000,A2255,Donasi!$C$2:$C$20000))</f>
        <v/>
      </c>
      <c r="E2255">
        <f>IF(A2255="","",6-CEILING(PERCENTRANK.INC($B$3:$B$6000,B2255,4)*5+0.000001,1))</f>
        <v/>
      </c>
      <c r="F2255">
        <f>IF(A2255="","",MAX(1,CEILING(PERCENTRANK.INC($C$3:$C$6000,C2255,4)*5+0.000001,1)))</f>
        <v/>
      </c>
      <c r="G2255">
        <f>IF(A2255="","",MAX(1,CEILING(PERCENTRANK.INC($D$3:$D$6000,D2255,4)*5+0.000001,1)))</f>
        <v/>
      </c>
      <c r="H2255">
        <f>IF(A2255="","",E2255&amp;F2255&amp;G2255)</f>
        <v/>
      </c>
      <c r="I2255">
        <f>IF(A2255="","",IF(AND(E2255&gt;=4,F2255&gt;=4,G2255&gt;=4),"Juara",IF(AND(F2255&gt;=4,E2255&gt;=3),"Setia",IF(AND(E2255=5,F2255&lt;=2,G2255&gt;=3),"Berpotensi",IF(AND(E2255&lt;=3,E2255&gt;=2,F2255&gt;=3),"Rawan",IF(AND(E2255&lt;=2,F2255&lt;=2),"Tidur","Umum"))))))</f>
        <v/>
      </c>
    </row>
    <row r="2256">
      <c r="B2256">
        <f>IF(A2256="","",$B$1-MAXIFS(Donasi!$A$2:$A$20000,Donasi!$B$2:$B$20000,A2256))</f>
        <v/>
      </c>
      <c r="C2256">
        <f>IF(A2256="","",COUNTIF(Donasi!$B$2:$B$20000,A2256))</f>
        <v/>
      </c>
      <c r="D2256">
        <f>IF(A2256="","",SUMIF(Donasi!$B$2:$B$20000,A2256,Donasi!$C$2:$C$20000))</f>
        <v/>
      </c>
      <c r="E2256">
        <f>IF(A2256="","",6-CEILING(PERCENTRANK.INC($B$3:$B$6000,B2256,4)*5+0.000001,1))</f>
        <v/>
      </c>
      <c r="F2256">
        <f>IF(A2256="","",MAX(1,CEILING(PERCENTRANK.INC($C$3:$C$6000,C2256,4)*5+0.000001,1)))</f>
        <v/>
      </c>
      <c r="G2256">
        <f>IF(A2256="","",MAX(1,CEILING(PERCENTRANK.INC($D$3:$D$6000,D2256,4)*5+0.000001,1)))</f>
        <v/>
      </c>
      <c r="H2256">
        <f>IF(A2256="","",E2256&amp;F2256&amp;G2256)</f>
        <v/>
      </c>
      <c r="I2256">
        <f>IF(A2256="","",IF(AND(E2256&gt;=4,F2256&gt;=4,G2256&gt;=4),"Juara",IF(AND(F2256&gt;=4,E2256&gt;=3),"Setia",IF(AND(E2256=5,F2256&lt;=2,G2256&gt;=3),"Berpotensi",IF(AND(E2256&lt;=3,E2256&gt;=2,F2256&gt;=3),"Rawan",IF(AND(E2256&lt;=2,F2256&lt;=2),"Tidur","Umum"))))))</f>
        <v/>
      </c>
    </row>
    <row r="2257">
      <c r="B2257">
        <f>IF(A2257="","",$B$1-MAXIFS(Donasi!$A$2:$A$20000,Donasi!$B$2:$B$20000,A2257))</f>
        <v/>
      </c>
      <c r="C2257">
        <f>IF(A2257="","",COUNTIF(Donasi!$B$2:$B$20000,A2257))</f>
        <v/>
      </c>
      <c r="D2257">
        <f>IF(A2257="","",SUMIF(Donasi!$B$2:$B$20000,A2257,Donasi!$C$2:$C$20000))</f>
        <v/>
      </c>
      <c r="E2257">
        <f>IF(A2257="","",6-CEILING(PERCENTRANK.INC($B$3:$B$6000,B2257,4)*5+0.000001,1))</f>
        <v/>
      </c>
      <c r="F2257">
        <f>IF(A2257="","",MAX(1,CEILING(PERCENTRANK.INC($C$3:$C$6000,C2257,4)*5+0.000001,1)))</f>
        <v/>
      </c>
      <c r="G2257">
        <f>IF(A2257="","",MAX(1,CEILING(PERCENTRANK.INC($D$3:$D$6000,D2257,4)*5+0.000001,1)))</f>
        <v/>
      </c>
      <c r="H2257">
        <f>IF(A2257="","",E2257&amp;F2257&amp;G2257)</f>
        <v/>
      </c>
      <c r="I2257">
        <f>IF(A2257="","",IF(AND(E2257&gt;=4,F2257&gt;=4,G2257&gt;=4),"Juara",IF(AND(F2257&gt;=4,E2257&gt;=3),"Setia",IF(AND(E2257=5,F2257&lt;=2,G2257&gt;=3),"Berpotensi",IF(AND(E2257&lt;=3,E2257&gt;=2,F2257&gt;=3),"Rawan",IF(AND(E2257&lt;=2,F2257&lt;=2),"Tidur","Umum"))))))</f>
        <v/>
      </c>
    </row>
    <row r="2258">
      <c r="B2258">
        <f>IF(A2258="","",$B$1-MAXIFS(Donasi!$A$2:$A$20000,Donasi!$B$2:$B$20000,A2258))</f>
        <v/>
      </c>
      <c r="C2258">
        <f>IF(A2258="","",COUNTIF(Donasi!$B$2:$B$20000,A2258))</f>
        <v/>
      </c>
      <c r="D2258">
        <f>IF(A2258="","",SUMIF(Donasi!$B$2:$B$20000,A2258,Donasi!$C$2:$C$20000))</f>
        <v/>
      </c>
      <c r="E2258">
        <f>IF(A2258="","",6-CEILING(PERCENTRANK.INC($B$3:$B$6000,B2258,4)*5+0.000001,1))</f>
        <v/>
      </c>
      <c r="F2258">
        <f>IF(A2258="","",MAX(1,CEILING(PERCENTRANK.INC($C$3:$C$6000,C2258,4)*5+0.000001,1)))</f>
        <v/>
      </c>
      <c r="G2258">
        <f>IF(A2258="","",MAX(1,CEILING(PERCENTRANK.INC($D$3:$D$6000,D2258,4)*5+0.000001,1)))</f>
        <v/>
      </c>
      <c r="H2258">
        <f>IF(A2258="","",E2258&amp;F2258&amp;G2258)</f>
        <v/>
      </c>
      <c r="I2258">
        <f>IF(A2258="","",IF(AND(E2258&gt;=4,F2258&gt;=4,G2258&gt;=4),"Juara",IF(AND(F2258&gt;=4,E2258&gt;=3),"Setia",IF(AND(E2258=5,F2258&lt;=2,G2258&gt;=3),"Berpotensi",IF(AND(E2258&lt;=3,E2258&gt;=2,F2258&gt;=3),"Rawan",IF(AND(E2258&lt;=2,F2258&lt;=2),"Tidur","Umum"))))))</f>
        <v/>
      </c>
    </row>
    <row r="2259">
      <c r="B2259">
        <f>IF(A2259="","",$B$1-MAXIFS(Donasi!$A$2:$A$20000,Donasi!$B$2:$B$20000,A2259))</f>
        <v/>
      </c>
      <c r="C2259">
        <f>IF(A2259="","",COUNTIF(Donasi!$B$2:$B$20000,A2259))</f>
        <v/>
      </c>
      <c r="D2259">
        <f>IF(A2259="","",SUMIF(Donasi!$B$2:$B$20000,A2259,Donasi!$C$2:$C$20000))</f>
        <v/>
      </c>
      <c r="E2259">
        <f>IF(A2259="","",6-CEILING(PERCENTRANK.INC($B$3:$B$6000,B2259,4)*5+0.000001,1))</f>
        <v/>
      </c>
      <c r="F2259">
        <f>IF(A2259="","",MAX(1,CEILING(PERCENTRANK.INC($C$3:$C$6000,C2259,4)*5+0.000001,1)))</f>
        <v/>
      </c>
      <c r="G2259">
        <f>IF(A2259="","",MAX(1,CEILING(PERCENTRANK.INC($D$3:$D$6000,D2259,4)*5+0.000001,1)))</f>
        <v/>
      </c>
      <c r="H2259">
        <f>IF(A2259="","",E2259&amp;F2259&amp;G2259)</f>
        <v/>
      </c>
      <c r="I2259">
        <f>IF(A2259="","",IF(AND(E2259&gt;=4,F2259&gt;=4,G2259&gt;=4),"Juara",IF(AND(F2259&gt;=4,E2259&gt;=3),"Setia",IF(AND(E2259=5,F2259&lt;=2,G2259&gt;=3),"Berpotensi",IF(AND(E2259&lt;=3,E2259&gt;=2,F2259&gt;=3),"Rawan",IF(AND(E2259&lt;=2,F2259&lt;=2),"Tidur","Umum"))))))</f>
        <v/>
      </c>
    </row>
    <row r="2260">
      <c r="B2260">
        <f>IF(A2260="","",$B$1-MAXIFS(Donasi!$A$2:$A$20000,Donasi!$B$2:$B$20000,A2260))</f>
        <v/>
      </c>
      <c r="C2260">
        <f>IF(A2260="","",COUNTIF(Donasi!$B$2:$B$20000,A2260))</f>
        <v/>
      </c>
      <c r="D2260">
        <f>IF(A2260="","",SUMIF(Donasi!$B$2:$B$20000,A2260,Donasi!$C$2:$C$20000))</f>
        <v/>
      </c>
      <c r="E2260">
        <f>IF(A2260="","",6-CEILING(PERCENTRANK.INC($B$3:$B$6000,B2260,4)*5+0.000001,1))</f>
        <v/>
      </c>
      <c r="F2260">
        <f>IF(A2260="","",MAX(1,CEILING(PERCENTRANK.INC($C$3:$C$6000,C2260,4)*5+0.000001,1)))</f>
        <v/>
      </c>
      <c r="G2260">
        <f>IF(A2260="","",MAX(1,CEILING(PERCENTRANK.INC($D$3:$D$6000,D2260,4)*5+0.000001,1)))</f>
        <v/>
      </c>
      <c r="H2260">
        <f>IF(A2260="","",E2260&amp;F2260&amp;G2260)</f>
        <v/>
      </c>
      <c r="I2260">
        <f>IF(A2260="","",IF(AND(E2260&gt;=4,F2260&gt;=4,G2260&gt;=4),"Juara",IF(AND(F2260&gt;=4,E2260&gt;=3),"Setia",IF(AND(E2260=5,F2260&lt;=2,G2260&gt;=3),"Berpotensi",IF(AND(E2260&lt;=3,E2260&gt;=2,F2260&gt;=3),"Rawan",IF(AND(E2260&lt;=2,F2260&lt;=2),"Tidur","Umum"))))))</f>
        <v/>
      </c>
    </row>
    <row r="2261">
      <c r="B2261">
        <f>IF(A2261="","",$B$1-MAXIFS(Donasi!$A$2:$A$20000,Donasi!$B$2:$B$20000,A2261))</f>
        <v/>
      </c>
      <c r="C2261">
        <f>IF(A2261="","",COUNTIF(Donasi!$B$2:$B$20000,A2261))</f>
        <v/>
      </c>
      <c r="D2261">
        <f>IF(A2261="","",SUMIF(Donasi!$B$2:$B$20000,A2261,Donasi!$C$2:$C$20000))</f>
        <v/>
      </c>
      <c r="E2261">
        <f>IF(A2261="","",6-CEILING(PERCENTRANK.INC($B$3:$B$6000,B2261,4)*5+0.000001,1))</f>
        <v/>
      </c>
      <c r="F2261">
        <f>IF(A2261="","",MAX(1,CEILING(PERCENTRANK.INC($C$3:$C$6000,C2261,4)*5+0.000001,1)))</f>
        <v/>
      </c>
      <c r="G2261">
        <f>IF(A2261="","",MAX(1,CEILING(PERCENTRANK.INC($D$3:$D$6000,D2261,4)*5+0.000001,1)))</f>
        <v/>
      </c>
      <c r="H2261">
        <f>IF(A2261="","",E2261&amp;F2261&amp;G2261)</f>
        <v/>
      </c>
      <c r="I2261">
        <f>IF(A2261="","",IF(AND(E2261&gt;=4,F2261&gt;=4,G2261&gt;=4),"Juara",IF(AND(F2261&gt;=4,E2261&gt;=3),"Setia",IF(AND(E2261=5,F2261&lt;=2,G2261&gt;=3),"Berpotensi",IF(AND(E2261&lt;=3,E2261&gt;=2,F2261&gt;=3),"Rawan",IF(AND(E2261&lt;=2,F2261&lt;=2),"Tidur","Umum"))))))</f>
        <v/>
      </c>
    </row>
    <row r="2262">
      <c r="B2262">
        <f>IF(A2262="","",$B$1-MAXIFS(Donasi!$A$2:$A$20000,Donasi!$B$2:$B$20000,A2262))</f>
        <v/>
      </c>
      <c r="C2262">
        <f>IF(A2262="","",COUNTIF(Donasi!$B$2:$B$20000,A2262))</f>
        <v/>
      </c>
      <c r="D2262">
        <f>IF(A2262="","",SUMIF(Donasi!$B$2:$B$20000,A2262,Donasi!$C$2:$C$20000))</f>
        <v/>
      </c>
      <c r="E2262">
        <f>IF(A2262="","",6-CEILING(PERCENTRANK.INC($B$3:$B$6000,B2262,4)*5+0.000001,1))</f>
        <v/>
      </c>
      <c r="F2262">
        <f>IF(A2262="","",MAX(1,CEILING(PERCENTRANK.INC($C$3:$C$6000,C2262,4)*5+0.000001,1)))</f>
        <v/>
      </c>
      <c r="G2262">
        <f>IF(A2262="","",MAX(1,CEILING(PERCENTRANK.INC($D$3:$D$6000,D2262,4)*5+0.000001,1)))</f>
        <v/>
      </c>
      <c r="H2262">
        <f>IF(A2262="","",E2262&amp;F2262&amp;G2262)</f>
        <v/>
      </c>
      <c r="I2262">
        <f>IF(A2262="","",IF(AND(E2262&gt;=4,F2262&gt;=4,G2262&gt;=4),"Juara",IF(AND(F2262&gt;=4,E2262&gt;=3),"Setia",IF(AND(E2262=5,F2262&lt;=2,G2262&gt;=3),"Berpotensi",IF(AND(E2262&lt;=3,E2262&gt;=2,F2262&gt;=3),"Rawan",IF(AND(E2262&lt;=2,F2262&lt;=2),"Tidur","Umum"))))))</f>
        <v/>
      </c>
    </row>
    <row r="2263">
      <c r="B2263">
        <f>IF(A2263="","",$B$1-MAXIFS(Donasi!$A$2:$A$20000,Donasi!$B$2:$B$20000,A2263))</f>
        <v/>
      </c>
      <c r="C2263">
        <f>IF(A2263="","",COUNTIF(Donasi!$B$2:$B$20000,A2263))</f>
        <v/>
      </c>
      <c r="D2263">
        <f>IF(A2263="","",SUMIF(Donasi!$B$2:$B$20000,A2263,Donasi!$C$2:$C$20000))</f>
        <v/>
      </c>
      <c r="E2263">
        <f>IF(A2263="","",6-CEILING(PERCENTRANK.INC($B$3:$B$6000,B2263,4)*5+0.000001,1))</f>
        <v/>
      </c>
      <c r="F2263">
        <f>IF(A2263="","",MAX(1,CEILING(PERCENTRANK.INC($C$3:$C$6000,C2263,4)*5+0.000001,1)))</f>
        <v/>
      </c>
      <c r="G2263">
        <f>IF(A2263="","",MAX(1,CEILING(PERCENTRANK.INC($D$3:$D$6000,D2263,4)*5+0.000001,1)))</f>
        <v/>
      </c>
      <c r="H2263">
        <f>IF(A2263="","",E2263&amp;F2263&amp;G2263)</f>
        <v/>
      </c>
      <c r="I2263">
        <f>IF(A2263="","",IF(AND(E2263&gt;=4,F2263&gt;=4,G2263&gt;=4),"Juara",IF(AND(F2263&gt;=4,E2263&gt;=3),"Setia",IF(AND(E2263=5,F2263&lt;=2,G2263&gt;=3),"Berpotensi",IF(AND(E2263&lt;=3,E2263&gt;=2,F2263&gt;=3),"Rawan",IF(AND(E2263&lt;=2,F2263&lt;=2),"Tidur","Umum"))))))</f>
        <v/>
      </c>
    </row>
    <row r="2264">
      <c r="B2264">
        <f>IF(A2264="","",$B$1-MAXIFS(Donasi!$A$2:$A$20000,Donasi!$B$2:$B$20000,A2264))</f>
        <v/>
      </c>
      <c r="C2264">
        <f>IF(A2264="","",COUNTIF(Donasi!$B$2:$B$20000,A2264))</f>
        <v/>
      </c>
      <c r="D2264">
        <f>IF(A2264="","",SUMIF(Donasi!$B$2:$B$20000,A2264,Donasi!$C$2:$C$20000))</f>
        <v/>
      </c>
      <c r="E2264">
        <f>IF(A2264="","",6-CEILING(PERCENTRANK.INC($B$3:$B$6000,B2264,4)*5+0.000001,1))</f>
        <v/>
      </c>
      <c r="F2264">
        <f>IF(A2264="","",MAX(1,CEILING(PERCENTRANK.INC($C$3:$C$6000,C2264,4)*5+0.000001,1)))</f>
        <v/>
      </c>
      <c r="G2264">
        <f>IF(A2264="","",MAX(1,CEILING(PERCENTRANK.INC($D$3:$D$6000,D2264,4)*5+0.000001,1)))</f>
        <v/>
      </c>
      <c r="H2264">
        <f>IF(A2264="","",E2264&amp;F2264&amp;G2264)</f>
        <v/>
      </c>
      <c r="I2264">
        <f>IF(A2264="","",IF(AND(E2264&gt;=4,F2264&gt;=4,G2264&gt;=4),"Juara",IF(AND(F2264&gt;=4,E2264&gt;=3),"Setia",IF(AND(E2264=5,F2264&lt;=2,G2264&gt;=3),"Berpotensi",IF(AND(E2264&lt;=3,E2264&gt;=2,F2264&gt;=3),"Rawan",IF(AND(E2264&lt;=2,F2264&lt;=2),"Tidur","Umum"))))))</f>
        <v/>
      </c>
    </row>
    <row r="2265">
      <c r="B2265">
        <f>IF(A2265="","",$B$1-MAXIFS(Donasi!$A$2:$A$20000,Donasi!$B$2:$B$20000,A2265))</f>
        <v/>
      </c>
      <c r="C2265">
        <f>IF(A2265="","",COUNTIF(Donasi!$B$2:$B$20000,A2265))</f>
        <v/>
      </c>
      <c r="D2265">
        <f>IF(A2265="","",SUMIF(Donasi!$B$2:$B$20000,A2265,Donasi!$C$2:$C$20000))</f>
        <v/>
      </c>
      <c r="E2265">
        <f>IF(A2265="","",6-CEILING(PERCENTRANK.INC($B$3:$B$6000,B2265,4)*5+0.000001,1))</f>
        <v/>
      </c>
      <c r="F2265">
        <f>IF(A2265="","",MAX(1,CEILING(PERCENTRANK.INC($C$3:$C$6000,C2265,4)*5+0.000001,1)))</f>
        <v/>
      </c>
      <c r="G2265">
        <f>IF(A2265="","",MAX(1,CEILING(PERCENTRANK.INC($D$3:$D$6000,D2265,4)*5+0.000001,1)))</f>
        <v/>
      </c>
      <c r="H2265">
        <f>IF(A2265="","",E2265&amp;F2265&amp;G2265)</f>
        <v/>
      </c>
      <c r="I2265">
        <f>IF(A2265="","",IF(AND(E2265&gt;=4,F2265&gt;=4,G2265&gt;=4),"Juara",IF(AND(F2265&gt;=4,E2265&gt;=3),"Setia",IF(AND(E2265=5,F2265&lt;=2,G2265&gt;=3),"Berpotensi",IF(AND(E2265&lt;=3,E2265&gt;=2,F2265&gt;=3),"Rawan",IF(AND(E2265&lt;=2,F2265&lt;=2),"Tidur","Umum"))))))</f>
        <v/>
      </c>
    </row>
    <row r="2266">
      <c r="B2266">
        <f>IF(A2266="","",$B$1-MAXIFS(Donasi!$A$2:$A$20000,Donasi!$B$2:$B$20000,A2266))</f>
        <v/>
      </c>
      <c r="C2266">
        <f>IF(A2266="","",COUNTIF(Donasi!$B$2:$B$20000,A2266))</f>
        <v/>
      </c>
      <c r="D2266">
        <f>IF(A2266="","",SUMIF(Donasi!$B$2:$B$20000,A2266,Donasi!$C$2:$C$20000))</f>
        <v/>
      </c>
      <c r="E2266">
        <f>IF(A2266="","",6-CEILING(PERCENTRANK.INC($B$3:$B$6000,B2266,4)*5+0.000001,1))</f>
        <v/>
      </c>
      <c r="F2266">
        <f>IF(A2266="","",MAX(1,CEILING(PERCENTRANK.INC($C$3:$C$6000,C2266,4)*5+0.000001,1)))</f>
        <v/>
      </c>
      <c r="G2266">
        <f>IF(A2266="","",MAX(1,CEILING(PERCENTRANK.INC($D$3:$D$6000,D2266,4)*5+0.000001,1)))</f>
        <v/>
      </c>
      <c r="H2266">
        <f>IF(A2266="","",E2266&amp;F2266&amp;G2266)</f>
        <v/>
      </c>
      <c r="I2266">
        <f>IF(A2266="","",IF(AND(E2266&gt;=4,F2266&gt;=4,G2266&gt;=4),"Juara",IF(AND(F2266&gt;=4,E2266&gt;=3),"Setia",IF(AND(E2266=5,F2266&lt;=2,G2266&gt;=3),"Berpotensi",IF(AND(E2266&lt;=3,E2266&gt;=2,F2266&gt;=3),"Rawan",IF(AND(E2266&lt;=2,F2266&lt;=2),"Tidur","Umum"))))))</f>
        <v/>
      </c>
    </row>
    <row r="2267">
      <c r="B2267">
        <f>IF(A2267="","",$B$1-MAXIFS(Donasi!$A$2:$A$20000,Donasi!$B$2:$B$20000,A2267))</f>
        <v/>
      </c>
      <c r="C2267">
        <f>IF(A2267="","",COUNTIF(Donasi!$B$2:$B$20000,A2267))</f>
        <v/>
      </c>
      <c r="D2267">
        <f>IF(A2267="","",SUMIF(Donasi!$B$2:$B$20000,A2267,Donasi!$C$2:$C$20000))</f>
        <v/>
      </c>
      <c r="E2267">
        <f>IF(A2267="","",6-CEILING(PERCENTRANK.INC($B$3:$B$6000,B2267,4)*5+0.000001,1))</f>
        <v/>
      </c>
      <c r="F2267">
        <f>IF(A2267="","",MAX(1,CEILING(PERCENTRANK.INC($C$3:$C$6000,C2267,4)*5+0.000001,1)))</f>
        <v/>
      </c>
      <c r="G2267">
        <f>IF(A2267="","",MAX(1,CEILING(PERCENTRANK.INC($D$3:$D$6000,D2267,4)*5+0.000001,1)))</f>
        <v/>
      </c>
      <c r="H2267">
        <f>IF(A2267="","",E2267&amp;F2267&amp;G2267)</f>
        <v/>
      </c>
      <c r="I2267">
        <f>IF(A2267="","",IF(AND(E2267&gt;=4,F2267&gt;=4,G2267&gt;=4),"Juara",IF(AND(F2267&gt;=4,E2267&gt;=3),"Setia",IF(AND(E2267=5,F2267&lt;=2,G2267&gt;=3),"Berpotensi",IF(AND(E2267&lt;=3,E2267&gt;=2,F2267&gt;=3),"Rawan",IF(AND(E2267&lt;=2,F2267&lt;=2),"Tidur","Umum"))))))</f>
        <v/>
      </c>
    </row>
    <row r="2268">
      <c r="B2268">
        <f>IF(A2268="","",$B$1-MAXIFS(Donasi!$A$2:$A$20000,Donasi!$B$2:$B$20000,A2268))</f>
        <v/>
      </c>
      <c r="C2268">
        <f>IF(A2268="","",COUNTIF(Donasi!$B$2:$B$20000,A2268))</f>
        <v/>
      </c>
      <c r="D2268">
        <f>IF(A2268="","",SUMIF(Donasi!$B$2:$B$20000,A2268,Donasi!$C$2:$C$20000))</f>
        <v/>
      </c>
      <c r="E2268">
        <f>IF(A2268="","",6-CEILING(PERCENTRANK.INC($B$3:$B$6000,B2268,4)*5+0.000001,1))</f>
        <v/>
      </c>
      <c r="F2268">
        <f>IF(A2268="","",MAX(1,CEILING(PERCENTRANK.INC($C$3:$C$6000,C2268,4)*5+0.000001,1)))</f>
        <v/>
      </c>
      <c r="G2268">
        <f>IF(A2268="","",MAX(1,CEILING(PERCENTRANK.INC($D$3:$D$6000,D2268,4)*5+0.000001,1)))</f>
        <v/>
      </c>
      <c r="H2268">
        <f>IF(A2268="","",E2268&amp;F2268&amp;G2268)</f>
        <v/>
      </c>
      <c r="I2268">
        <f>IF(A2268="","",IF(AND(E2268&gt;=4,F2268&gt;=4,G2268&gt;=4),"Juara",IF(AND(F2268&gt;=4,E2268&gt;=3),"Setia",IF(AND(E2268=5,F2268&lt;=2,G2268&gt;=3),"Berpotensi",IF(AND(E2268&lt;=3,E2268&gt;=2,F2268&gt;=3),"Rawan",IF(AND(E2268&lt;=2,F2268&lt;=2),"Tidur","Umum"))))))</f>
        <v/>
      </c>
    </row>
    <row r="2269">
      <c r="B2269">
        <f>IF(A2269="","",$B$1-MAXIFS(Donasi!$A$2:$A$20000,Donasi!$B$2:$B$20000,A2269))</f>
        <v/>
      </c>
      <c r="C2269">
        <f>IF(A2269="","",COUNTIF(Donasi!$B$2:$B$20000,A2269))</f>
        <v/>
      </c>
      <c r="D2269">
        <f>IF(A2269="","",SUMIF(Donasi!$B$2:$B$20000,A2269,Donasi!$C$2:$C$20000))</f>
        <v/>
      </c>
      <c r="E2269">
        <f>IF(A2269="","",6-CEILING(PERCENTRANK.INC($B$3:$B$6000,B2269,4)*5+0.000001,1))</f>
        <v/>
      </c>
      <c r="F2269">
        <f>IF(A2269="","",MAX(1,CEILING(PERCENTRANK.INC($C$3:$C$6000,C2269,4)*5+0.000001,1)))</f>
        <v/>
      </c>
      <c r="G2269">
        <f>IF(A2269="","",MAX(1,CEILING(PERCENTRANK.INC($D$3:$D$6000,D2269,4)*5+0.000001,1)))</f>
        <v/>
      </c>
      <c r="H2269">
        <f>IF(A2269="","",E2269&amp;F2269&amp;G2269)</f>
        <v/>
      </c>
      <c r="I2269">
        <f>IF(A2269="","",IF(AND(E2269&gt;=4,F2269&gt;=4,G2269&gt;=4),"Juara",IF(AND(F2269&gt;=4,E2269&gt;=3),"Setia",IF(AND(E2269=5,F2269&lt;=2,G2269&gt;=3),"Berpotensi",IF(AND(E2269&lt;=3,E2269&gt;=2,F2269&gt;=3),"Rawan",IF(AND(E2269&lt;=2,F2269&lt;=2),"Tidur","Umum"))))))</f>
        <v/>
      </c>
    </row>
    <row r="2270">
      <c r="B2270">
        <f>IF(A2270="","",$B$1-MAXIFS(Donasi!$A$2:$A$20000,Donasi!$B$2:$B$20000,A2270))</f>
        <v/>
      </c>
      <c r="C2270">
        <f>IF(A2270="","",COUNTIF(Donasi!$B$2:$B$20000,A2270))</f>
        <v/>
      </c>
      <c r="D2270">
        <f>IF(A2270="","",SUMIF(Donasi!$B$2:$B$20000,A2270,Donasi!$C$2:$C$20000))</f>
        <v/>
      </c>
      <c r="E2270">
        <f>IF(A2270="","",6-CEILING(PERCENTRANK.INC($B$3:$B$6000,B2270,4)*5+0.000001,1))</f>
        <v/>
      </c>
      <c r="F2270">
        <f>IF(A2270="","",MAX(1,CEILING(PERCENTRANK.INC($C$3:$C$6000,C2270,4)*5+0.000001,1)))</f>
        <v/>
      </c>
      <c r="G2270">
        <f>IF(A2270="","",MAX(1,CEILING(PERCENTRANK.INC($D$3:$D$6000,D2270,4)*5+0.000001,1)))</f>
        <v/>
      </c>
      <c r="H2270">
        <f>IF(A2270="","",E2270&amp;F2270&amp;G2270)</f>
        <v/>
      </c>
      <c r="I2270">
        <f>IF(A2270="","",IF(AND(E2270&gt;=4,F2270&gt;=4,G2270&gt;=4),"Juara",IF(AND(F2270&gt;=4,E2270&gt;=3),"Setia",IF(AND(E2270=5,F2270&lt;=2,G2270&gt;=3),"Berpotensi",IF(AND(E2270&lt;=3,E2270&gt;=2,F2270&gt;=3),"Rawan",IF(AND(E2270&lt;=2,F2270&lt;=2),"Tidur","Umum"))))))</f>
        <v/>
      </c>
    </row>
    <row r="2271">
      <c r="B2271">
        <f>IF(A2271="","",$B$1-MAXIFS(Donasi!$A$2:$A$20000,Donasi!$B$2:$B$20000,A2271))</f>
        <v/>
      </c>
      <c r="C2271">
        <f>IF(A2271="","",COUNTIF(Donasi!$B$2:$B$20000,A2271))</f>
        <v/>
      </c>
      <c r="D2271">
        <f>IF(A2271="","",SUMIF(Donasi!$B$2:$B$20000,A2271,Donasi!$C$2:$C$20000))</f>
        <v/>
      </c>
      <c r="E2271">
        <f>IF(A2271="","",6-CEILING(PERCENTRANK.INC($B$3:$B$6000,B2271,4)*5+0.000001,1))</f>
        <v/>
      </c>
      <c r="F2271">
        <f>IF(A2271="","",MAX(1,CEILING(PERCENTRANK.INC($C$3:$C$6000,C2271,4)*5+0.000001,1)))</f>
        <v/>
      </c>
      <c r="G2271">
        <f>IF(A2271="","",MAX(1,CEILING(PERCENTRANK.INC($D$3:$D$6000,D2271,4)*5+0.000001,1)))</f>
        <v/>
      </c>
      <c r="H2271">
        <f>IF(A2271="","",E2271&amp;F2271&amp;G2271)</f>
        <v/>
      </c>
      <c r="I2271">
        <f>IF(A2271="","",IF(AND(E2271&gt;=4,F2271&gt;=4,G2271&gt;=4),"Juara",IF(AND(F2271&gt;=4,E2271&gt;=3),"Setia",IF(AND(E2271=5,F2271&lt;=2,G2271&gt;=3),"Berpotensi",IF(AND(E2271&lt;=3,E2271&gt;=2,F2271&gt;=3),"Rawan",IF(AND(E2271&lt;=2,F2271&lt;=2),"Tidur","Umum"))))))</f>
        <v/>
      </c>
    </row>
    <row r="2272">
      <c r="B2272">
        <f>IF(A2272="","",$B$1-MAXIFS(Donasi!$A$2:$A$20000,Donasi!$B$2:$B$20000,A2272))</f>
        <v/>
      </c>
      <c r="C2272">
        <f>IF(A2272="","",COUNTIF(Donasi!$B$2:$B$20000,A2272))</f>
        <v/>
      </c>
      <c r="D2272">
        <f>IF(A2272="","",SUMIF(Donasi!$B$2:$B$20000,A2272,Donasi!$C$2:$C$20000))</f>
        <v/>
      </c>
      <c r="E2272">
        <f>IF(A2272="","",6-CEILING(PERCENTRANK.INC($B$3:$B$6000,B2272,4)*5+0.000001,1))</f>
        <v/>
      </c>
      <c r="F2272">
        <f>IF(A2272="","",MAX(1,CEILING(PERCENTRANK.INC($C$3:$C$6000,C2272,4)*5+0.000001,1)))</f>
        <v/>
      </c>
      <c r="G2272">
        <f>IF(A2272="","",MAX(1,CEILING(PERCENTRANK.INC($D$3:$D$6000,D2272,4)*5+0.000001,1)))</f>
        <v/>
      </c>
      <c r="H2272">
        <f>IF(A2272="","",E2272&amp;F2272&amp;G2272)</f>
        <v/>
      </c>
      <c r="I2272">
        <f>IF(A2272="","",IF(AND(E2272&gt;=4,F2272&gt;=4,G2272&gt;=4),"Juara",IF(AND(F2272&gt;=4,E2272&gt;=3),"Setia",IF(AND(E2272=5,F2272&lt;=2,G2272&gt;=3),"Berpotensi",IF(AND(E2272&lt;=3,E2272&gt;=2,F2272&gt;=3),"Rawan",IF(AND(E2272&lt;=2,F2272&lt;=2),"Tidur","Umum"))))))</f>
        <v/>
      </c>
    </row>
    <row r="2273">
      <c r="B2273">
        <f>IF(A2273="","",$B$1-MAXIFS(Donasi!$A$2:$A$20000,Donasi!$B$2:$B$20000,A2273))</f>
        <v/>
      </c>
      <c r="C2273">
        <f>IF(A2273="","",COUNTIF(Donasi!$B$2:$B$20000,A2273))</f>
        <v/>
      </c>
      <c r="D2273">
        <f>IF(A2273="","",SUMIF(Donasi!$B$2:$B$20000,A2273,Donasi!$C$2:$C$20000))</f>
        <v/>
      </c>
      <c r="E2273">
        <f>IF(A2273="","",6-CEILING(PERCENTRANK.INC($B$3:$B$6000,B2273,4)*5+0.000001,1))</f>
        <v/>
      </c>
      <c r="F2273">
        <f>IF(A2273="","",MAX(1,CEILING(PERCENTRANK.INC($C$3:$C$6000,C2273,4)*5+0.000001,1)))</f>
        <v/>
      </c>
      <c r="G2273">
        <f>IF(A2273="","",MAX(1,CEILING(PERCENTRANK.INC($D$3:$D$6000,D2273,4)*5+0.000001,1)))</f>
        <v/>
      </c>
      <c r="H2273">
        <f>IF(A2273="","",E2273&amp;F2273&amp;G2273)</f>
        <v/>
      </c>
      <c r="I2273">
        <f>IF(A2273="","",IF(AND(E2273&gt;=4,F2273&gt;=4,G2273&gt;=4),"Juara",IF(AND(F2273&gt;=4,E2273&gt;=3),"Setia",IF(AND(E2273=5,F2273&lt;=2,G2273&gt;=3),"Berpotensi",IF(AND(E2273&lt;=3,E2273&gt;=2,F2273&gt;=3),"Rawan",IF(AND(E2273&lt;=2,F2273&lt;=2),"Tidur","Umum"))))))</f>
        <v/>
      </c>
    </row>
    <row r="2274">
      <c r="B2274">
        <f>IF(A2274="","",$B$1-MAXIFS(Donasi!$A$2:$A$20000,Donasi!$B$2:$B$20000,A2274))</f>
        <v/>
      </c>
      <c r="C2274">
        <f>IF(A2274="","",COUNTIF(Donasi!$B$2:$B$20000,A2274))</f>
        <v/>
      </c>
      <c r="D2274">
        <f>IF(A2274="","",SUMIF(Donasi!$B$2:$B$20000,A2274,Donasi!$C$2:$C$20000))</f>
        <v/>
      </c>
      <c r="E2274">
        <f>IF(A2274="","",6-CEILING(PERCENTRANK.INC($B$3:$B$6000,B2274,4)*5+0.000001,1))</f>
        <v/>
      </c>
      <c r="F2274">
        <f>IF(A2274="","",MAX(1,CEILING(PERCENTRANK.INC($C$3:$C$6000,C2274,4)*5+0.000001,1)))</f>
        <v/>
      </c>
      <c r="G2274">
        <f>IF(A2274="","",MAX(1,CEILING(PERCENTRANK.INC($D$3:$D$6000,D2274,4)*5+0.000001,1)))</f>
        <v/>
      </c>
      <c r="H2274">
        <f>IF(A2274="","",E2274&amp;F2274&amp;G2274)</f>
        <v/>
      </c>
      <c r="I2274">
        <f>IF(A2274="","",IF(AND(E2274&gt;=4,F2274&gt;=4,G2274&gt;=4),"Juara",IF(AND(F2274&gt;=4,E2274&gt;=3),"Setia",IF(AND(E2274=5,F2274&lt;=2,G2274&gt;=3),"Berpotensi",IF(AND(E2274&lt;=3,E2274&gt;=2,F2274&gt;=3),"Rawan",IF(AND(E2274&lt;=2,F2274&lt;=2),"Tidur","Umum"))))))</f>
        <v/>
      </c>
    </row>
    <row r="2275">
      <c r="B2275">
        <f>IF(A2275="","",$B$1-MAXIFS(Donasi!$A$2:$A$20000,Donasi!$B$2:$B$20000,A2275))</f>
        <v/>
      </c>
      <c r="C2275">
        <f>IF(A2275="","",COUNTIF(Donasi!$B$2:$B$20000,A2275))</f>
        <v/>
      </c>
      <c r="D2275">
        <f>IF(A2275="","",SUMIF(Donasi!$B$2:$B$20000,A2275,Donasi!$C$2:$C$20000))</f>
        <v/>
      </c>
      <c r="E2275">
        <f>IF(A2275="","",6-CEILING(PERCENTRANK.INC($B$3:$B$6000,B2275,4)*5+0.000001,1))</f>
        <v/>
      </c>
      <c r="F2275">
        <f>IF(A2275="","",MAX(1,CEILING(PERCENTRANK.INC($C$3:$C$6000,C2275,4)*5+0.000001,1)))</f>
        <v/>
      </c>
      <c r="G2275">
        <f>IF(A2275="","",MAX(1,CEILING(PERCENTRANK.INC($D$3:$D$6000,D2275,4)*5+0.000001,1)))</f>
        <v/>
      </c>
      <c r="H2275">
        <f>IF(A2275="","",E2275&amp;F2275&amp;G2275)</f>
        <v/>
      </c>
      <c r="I2275">
        <f>IF(A2275="","",IF(AND(E2275&gt;=4,F2275&gt;=4,G2275&gt;=4),"Juara",IF(AND(F2275&gt;=4,E2275&gt;=3),"Setia",IF(AND(E2275=5,F2275&lt;=2,G2275&gt;=3),"Berpotensi",IF(AND(E2275&lt;=3,E2275&gt;=2,F2275&gt;=3),"Rawan",IF(AND(E2275&lt;=2,F2275&lt;=2),"Tidur","Umum"))))))</f>
        <v/>
      </c>
    </row>
    <row r="2276">
      <c r="B2276">
        <f>IF(A2276="","",$B$1-MAXIFS(Donasi!$A$2:$A$20000,Donasi!$B$2:$B$20000,A2276))</f>
        <v/>
      </c>
      <c r="C2276">
        <f>IF(A2276="","",COUNTIF(Donasi!$B$2:$B$20000,A2276))</f>
        <v/>
      </c>
      <c r="D2276">
        <f>IF(A2276="","",SUMIF(Donasi!$B$2:$B$20000,A2276,Donasi!$C$2:$C$20000))</f>
        <v/>
      </c>
      <c r="E2276">
        <f>IF(A2276="","",6-CEILING(PERCENTRANK.INC($B$3:$B$6000,B2276,4)*5+0.000001,1))</f>
        <v/>
      </c>
      <c r="F2276">
        <f>IF(A2276="","",MAX(1,CEILING(PERCENTRANK.INC($C$3:$C$6000,C2276,4)*5+0.000001,1)))</f>
        <v/>
      </c>
      <c r="G2276">
        <f>IF(A2276="","",MAX(1,CEILING(PERCENTRANK.INC($D$3:$D$6000,D2276,4)*5+0.000001,1)))</f>
        <v/>
      </c>
      <c r="H2276">
        <f>IF(A2276="","",E2276&amp;F2276&amp;G2276)</f>
        <v/>
      </c>
      <c r="I2276">
        <f>IF(A2276="","",IF(AND(E2276&gt;=4,F2276&gt;=4,G2276&gt;=4),"Juara",IF(AND(F2276&gt;=4,E2276&gt;=3),"Setia",IF(AND(E2276=5,F2276&lt;=2,G2276&gt;=3),"Berpotensi",IF(AND(E2276&lt;=3,E2276&gt;=2,F2276&gt;=3),"Rawan",IF(AND(E2276&lt;=2,F2276&lt;=2),"Tidur","Umum"))))))</f>
        <v/>
      </c>
    </row>
    <row r="2277">
      <c r="B2277">
        <f>IF(A2277="","",$B$1-MAXIFS(Donasi!$A$2:$A$20000,Donasi!$B$2:$B$20000,A2277))</f>
        <v/>
      </c>
      <c r="C2277">
        <f>IF(A2277="","",COUNTIF(Donasi!$B$2:$B$20000,A2277))</f>
        <v/>
      </c>
      <c r="D2277">
        <f>IF(A2277="","",SUMIF(Donasi!$B$2:$B$20000,A2277,Donasi!$C$2:$C$20000))</f>
        <v/>
      </c>
      <c r="E2277">
        <f>IF(A2277="","",6-CEILING(PERCENTRANK.INC($B$3:$B$6000,B2277,4)*5+0.000001,1))</f>
        <v/>
      </c>
      <c r="F2277">
        <f>IF(A2277="","",MAX(1,CEILING(PERCENTRANK.INC($C$3:$C$6000,C2277,4)*5+0.000001,1)))</f>
        <v/>
      </c>
      <c r="G2277">
        <f>IF(A2277="","",MAX(1,CEILING(PERCENTRANK.INC($D$3:$D$6000,D2277,4)*5+0.000001,1)))</f>
        <v/>
      </c>
      <c r="H2277">
        <f>IF(A2277="","",E2277&amp;F2277&amp;G2277)</f>
        <v/>
      </c>
      <c r="I2277">
        <f>IF(A2277="","",IF(AND(E2277&gt;=4,F2277&gt;=4,G2277&gt;=4),"Juara",IF(AND(F2277&gt;=4,E2277&gt;=3),"Setia",IF(AND(E2277=5,F2277&lt;=2,G2277&gt;=3),"Berpotensi",IF(AND(E2277&lt;=3,E2277&gt;=2,F2277&gt;=3),"Rawan",IF(AND(E2277&lt;=2,F2277&lt;=2),"Tidur","Umum"))))))</f>
        <v/>
      </c>
    </row>
    <row r="2278">
      <c r="B2278">
        <f>IF(A2278="","",$B$1-MAXIFS(Donasi!$A$2:$A$20000,Donasi!$B$2:$B$20000,A2278))</f>
        <v/>
      </c>
      <c r="C2278">
        <f>IF(A2278="","",COUNTIF(Donasi!$B$2:$B$20000,A2278))</f>
        <v/>
      </c>
      <c r="D2278">
        <f>IF(A2278="","",SUMIF(Donasi!$B$2:$B$20000,A2278,Donasi!$C$2:$C$20000))</f>
        <v/>
      </c>
      <c r="E2278">
        <f>IF(A2278="","",6-CEILING(PERCENTRANK.INC($B$3:$B$6000,B2278,4)*5+0.000001,1))</f>
        <v/>
      </c>
      <c r="F2278">
        <f>IF(A2278="","",MAX(1,CEILING(PERCENTRANK.INC($C$3:$C$6000,C2278,4)*5+0.000001,1)))</f>
        <v/>
      </c>
      <c r="G2278">
        <f>IF(A2278="","",MAX(1,CEILING(PERCENTRANK.INC($D$3:$D$6000,D2278,4)*5+0.000001,1)))</f>
        <v/>
      </c>
      <c r="H2278">
        <f>IF(A2278="","",E2278&amp;F2278&amp;G2278)</f>
        <v/>
      </c>
      <c r="I2278">
        <f>IF(A2278="","",IF(AND(E2278&gt;=4,F2278&gt;=4,G2278&gt;=4),"Juara",IF(AND(F2278&gt;=4,E2278&gt;=3),"Setia",IF(AND(E2278=5,F2278&lt;=2,G2278&gt;=3),"Berpotensi",IF(AND(E2278&lt;=3,E2278&gt;=2,F2278&gt;=3),"Rawan",IF(AND(E2278&lt;=2,F2278&lt;=2),"Tidur","Umum"))))))</f>
        <v/>
      </c>
    </row>
    <row r="2279">
      <c r="B2279">
        <f>IF(A2279="","",$B$1-MAXIFS(Donasi!$A$2:$A$20000,Donasi!$B$2:$B$20000,A2279))</f>
        <v/>
      </c>
      <c r="C2279">
        <f>IF(A2279="","",COUNTIF(Donasi!$B$2:$B$20000,A2279))</f>
        <v/>
      </c>
      <c r="D2279">
        <f>IF(A2279="","",SUMIF(Donasi!$B$2:$B$20000,A2279,Donasi!$C$2:$C$20000))</f>
        <v/>
      </c>
      <c r="E2279">
        <f>IF(A2279="","",6-CEILING(PERCENTRANK.INC($B$3:$B$6000,B2279,4)*5+0.000001,1))</f>
        <v/>
      </c>
      <c r="F2279">
        <f>IF(A2279="","",MAX(1,CEILING(PERCENTRANK.INC($C$3:$C$6000,C2279,4)*5+0.000001,1)))</f>
        <v/>
      </c>
      <c r="G2279">
        <f>IF(A2279="","",MAX(1,CEILING(PERCENTRANK.INC($D$3:$D$6000,D2279,4)*5+0.000001,1)))</f>
        <v/>
      </c>
      <c r="H2279">
        <f>IF(A2279="","",E2279&amp;F2279&amp;G2279)</f>
        <v/>
      </c>
      <c r="I2279">
        <f>IF(A2279="","",IF(AND(E2279&gt;=4,F2279&gt;=4,G2279&gt;=4),"Juara",IF(AND(F2279&gt;=4,E2279&gt;=3),"Setia",IF(AND(E2279=5,F2279&lt;=2,G2279&gt;=3),"Berpotensi",IF(AND(E2279&lt;=3,E2279&gt;=2,F2279&gt;=3),"Rawan",IF(AND(E2279&lt;=2,F2279&lt;=2),"Tidur","Umum"))))))</f>
        <v/>
      </c>
    </row>
    <row r="2280">
      <c r="B2280">
        <f>IF(A2280="","",$B$1-MAXIFS(Donasi!$A$2:$A$20000,Donasi!$B$2:$B$20000,A2280))</f>
        <v/>
      </c>
      <c r="C2280">
        <f>IF(A2280="","",COUNTIF(Donasi!$B$2:$B$20000,A2280))</f>
        <v/>
      </c>
      <c r="D2280">
        <f>IF(A2280="","",SUMIF(Donasi!$B$2:$B$20000,A2280,Donasi!$C$2:$C$20000))</f>
        <v/>
      </c>
      <c r="E2280">
        <f>IF(A2280="","",6-CEILING(PERCENTRANK.INC($B$3:$B$6000,B2280,4)*5+0.000001,1))</f>
        <v/>
      </c>
      <c r="F2280">
        <f>IF(A2280="","",MAX(1,CEILING(PERCENTRANK.INC($C$3:$C$6000,C2280,4)*5+0.000001,1)))</f>
        <v/>
      </c>
      <c r="G2280">
        <f>IF(A2280="","",MAX(1,CEILING(PERCENTRANK.INC($D$3:$D$6000,D2280,4)*5+0.000001,1)))</f>
        <v/>
      </c>
      <c r="H2280">
        <f>IF(A2280="","",E2280&amp;F2280&amp;G2280)</f>
        <v/>
      </c>
      <c r="I2280">
        <f>IF(A2280="","",IF(AND(E2280&gt;=4,F2280&gt;=4,G2280&gt;=4),"Juara",IF(AND(F2280&gt;=4,E2280&gt;=3),"Setia",IF(AND(E2280=5,F2280&lt;=2,G2280&gt;=3),"Berpotensi",IF(AND(E2280&lt;=3,E2280&gt;=2,F2280&gt;=3),"Rawan",IF(AND(E2280&lt;=2,F2280&lt;=2),"Tidur","Umum"))))))</f>
        <v/>
      </c>
    </row>
    <row r="2281">
      <c r="B2281">
        <f>IF(A2281="","",$B$1-MAXIFS(Donasi!$A$2:$A$20000,Donasi!$B$2:$B$20000,A2281))</f>
        <v/>
      </c>
      <c r="C2281">
        <f>IF(A2281="","",COUNTIF(Donasi!$B$2:$B$20000,A2281))</f>
        <v/>
      </c>
      <c r="D2281">
        <f>IF(A2281="","",SUMIF(Donasi!$B$2:$B$20000,A2281,Donasi!$C$2:$C$20000))</f>
        <v/>
      </c>
      <c r="E2281">
        <f>IF(A2281="","",6-CEILING(PERCENTRANK.INC($B$3:$B$6000,B2281,4)*5+0.000001,1))</f>
        <v/>
      </c>
      <c r="F2281">
        <f>IF(A2281="","",MAX(1,CEILING(PERCENTRANK.INC($C$3:$C$6000,C2281,4)*5+0.000001,1)))</f>
        <v/>
      </c>
      <c r="G2281">
        <f>IF(A2281="","",MAX(1,CEILING(PERCENTRANK.INC($D$3:$D$6000,D2281,4)*5+0.000001,1)))</f>
        <v/>
      </c>
      <c r="H2281">
        <f>IF(A2281="","",E2281&amp;F2281&amp;G2281)</f>
        <v/>
      </c>
      <c r="I2281">
        <f>IF(A2281="","",IF(AND(E2281&gt;=4,F2281&gt;=4,G2281&gt;=4),"Juara",IF(AND(F2281&gt;=4,E2281&gt;=3),"Setia",IF(AND(E2281=5,F2281&lt;=2,G2281&gt;=3),"Berpotensi",IF(AND(E2281&lt;=3,E2281&gt;=2,F2281&gt;=3),"Rawan",IF(AND(E2281&lt;=2,F2281&lt;=2),"Tidur","Umum"))))))</f>
        <v/>
      </c>
    </row>
    <row r="2282">
      <c r="B2282">
        <f>IF(A2282="","",$B$1-MAXIFS(Donasi!$A$2:$A$20000,Donasi!$B$2:$B$20000,A2282))</f>
        <v/>
      </c>
      <c r="C2282">
        <f>IF(A2282="","",COUNTIF(Donasi!$B$2:$B$20000,A2282))</f>
        <v/>
      </c>
      <c r="D2282">
        <f>IF(A2282="","",SUMIF(Donasi!$B$2:$B$20000,A2282,Donasi!$C$2:$C$20000))</f>
        <v/>
      </c>
      <c r="E2282">
        <f>IF(A2282="","",6-CEILING(PERCENTRANK.INC($B$3:$B$6000,B2282,4)*5+0.000001,1))</f>
        <v/>
      </c>
      <c r="F2282">
        <f>IF(A2282="","",MAX(1,CEILING(PERCENTRANK.INC($C$3:$C$6000,C2282,4)*5+0.000001,1)))</f>
        <v/>
      </c>
      <c r="G2282">
        <f>IF(A2282="","",MAX(1,CEILING(PERCENTRANK.INC($D$3:$D$6000,D2282,4)*5+0.000001,1)))</f>
        <v/>
      </c>
      <c r="H2282">
        <f>IF(A2282="","",E2282&amp;F2282&amp;G2282)</f>
        <v/>
      </c>
      <c r="I2282">
        <f>IF(A2282="","",IF(AND(E2282&gt;=4,F2282&gt;=4,G2282&gt;=4),"Juara",IF(AND(F2282&gt;=4,E2282&gt;=3),"Setia",IF(AND(E2282=5,F2282&lt;=2,G2282&gt;=3),"Berpotensi",IF(AND(E2282&lt;=3,E2282&gt;=2,F2282&gt;=3),"Rawan",IF(AND(E2282&lt;=2,F2282&lt;=2),"Tidur","Umum"))))))</f>
        <v/>
      </c>
    </row>
    <row r="2283">
      <c r="B2283">
        <f>IF(A2283="","",$B$1-MAXIFS(Donasi!$A$2:$A$20000,Donasi!$B$2:$B$20000,A2283))</f>
        <v/>
      </c>
      <c r="C2283">
        <f>IF(A2283="","",COUNTIF(Donasi!$B$2:$B$20000,A2283))</f>
        <v/>
      </c>
      <c r="D2283">
        <f>IF(A2283="","",SUMIF(Donasi!$B$2:$B$20000,A2283,Donasi!$C$2:$C$20000))</f>
        <v/>
      </c>
      <c r="E2283">
        <f>IF(A2283="","",6-CEILING(PERCENTRANK.INC($B$3:$B$6000,B2283,4)*5+0.000001,1))</f>
        <v/>
      </c>
      <c r="F2283">
        <f>IF(A2283="","",MAX(1,CEILING(PERCENTRANK.INC($C$3:$C$6000,C2283,4)*5+0.000001,1)))</f>
        <v/>
      </c>
      <c r="G2283">
        <f>IF(A2283="","",MAX(1,CEILING(PERCENTRANK.INC($D$3:$D$6000,D2283,4)*5+0.000001,1)))</f>
        <v/>
      </c>
      <c r="H2283">
        <f>IF(A2283="","",E2283&amp;F2283&amp;G2283)</f>
        <v/>
      </c>
      <c r="I2283">
        <f>IF(A2283="","",IF(AND(E2283&gt;=4,F2283&gt;=4,G2283&gt;=4),"Juara",IF(AND(F2283&gt;=4,E2283&gt;=3),"Setia",IF(AND(E2283=5,F2283&lt;=2,G2283&gt;=3),"Berpotensi",IF(AND(E2283&lt;=3,E2283&gt;=2,F2283&gt;=3),"Rawan",IF(AND(E2283&lt;=2,F2283&lt;=2),"Tidur","Umum"))))))</f>
        <v/>
      </c>
    </row>
    <row r="2284">
      <c r="B2284">
        <f>IF(A2284="","",$B$1-MAXIFS(Donasi!$A$2:$A$20000,Donasi!$B$2:$B$20000,A2284))</f>
        <v/>
      </c>
      <c r="C2284">
        <f>IF(A2284="","",COUNTIF(Donasi!$B$2:$B$20000,A2284))</f>
        <v/>
      </c>
      <c r="D2284">
        <f>IF(A2284="","",SUMIF(Donasi!$B$2:$B$20000,A2284,Donasi!$C$2:$C$20000))</f>
        <v/>
      </c>
      <c r="E2284">
        <f>IF(A2284="","",6-CEILING(PERCENTRANK.INC($B$3:$B$6000,B2284,4)*5+0.000001,1))</f>
        <v/>
      </c>
      <c r="F2284">
        <f>IF(A2284="","",MAX(1,CEILING(PERCENTRANK.INC($C$3:$C$6000,C2284,4)*5+0.000001,1)))</f>
        <v/>
      </c>
      <c r="G2284">
        <f>IF(A2284="","",MAX(1,CEILING(PERCENTRANK.INC($D$3:$D$6000,D2284,4)*5+0.000001,1)))</f>
        <v/>
      </c>
      <c r="H2284">
        <f>IF(A2284="","",E2284&amp;F2284&amp;G2284)</f>
        <v/>
      </c>
      <c r="I2284">
        <f>IF(A2284="","",IF(AND(E2284&gt;=4,F2284&gt;=4,G2284&gt;=4),"Juara",IF(AND(F2284&gt;=4,E2284&gt;=3),"Setia",IF(AND(E2284=5,F2284&lt;=2,G2284&gt;=3),"Berpotensi",IF(AND(E2284&lt;=3,E2284&gt;=2,F2284&gt;=3),"Rawan",IF(AND(E2284&lt;=2,F2284&lt;=2),"Tidur","Umum"))))))</f>
        <v/>
      </c>
    </row>
    <row r="2285">
      <c r="B2285">
        <f>IF(A2285="","",$B$1-MAXIFS(Donasi!$A$2:$A$20000,Donasi!$B$2:$B$20000,A2285))</f>
        <v/>
      </c>
      <c r="C2285">
        <f>IF(A2285="","",COUNTIF(Donasi!$B$2:$B$20000,A2285))</f>
        <v/>
      </c>
      <c r="D2285">
        <f>IF(A2285="","",SUMIF(Donasi!$B$2:$B$20000,A2285,Donasi!$C$2:$C$20000))</f>
        <v/>
      </c>
      <c r="E2285">
        <f>IF(A2285="","",6-CEILING(PERCENTRANK.INC($B$3:$B$6000,B2285,4)*5+0.000001,1))</f>
        <v/>
      </c>
      <c r="F2285">
        <f>IF(A2285="","",MAX(1,CEILING(PERCENTRANK.INC($C$3:$C$6000,C2285,4)*5+0.000001,1)))</f>
        <v/>
      </c>
      <c r="G2285">
        <f>IF(A2285="","",MAX(1,CEILING(PERCENTRANK.INC($D$3:$D$6000,D2285,4)*5+0.000001,1)))</f>
        <v/>
      </c>
      <c r="H2285">
        <f>IF(A2285="","",E2285&amp;F2285&amp;G2285)</f>
        <v/>
      </c>
      <c r="I2285">
        <f>IF(A2285="","",IF(AND(E2285&gt;=4,F2285&gt;=4,G2285&gt;=4),"Juara",IF(AND(F2285&gt;=4,E2285&gt;=3),"Setia",IF(AND(E2285=5,F2285&lt;=2,G2285&gt;=3),"Berpotensi",IF(AND(E2285&lt;=3,E2285&gt;=2,F2285&gt;=3),"Rawan",IF(AND(E2285&lt;=2,F2285&lt;=2),"Tidur","Umum"))))))</f>
        <v/>
      </c>
    </row>
    <row r="2286">
      <c r="B2286">
        <f>IF(A2286="","",$B$1-MAXIFS(Donasi!$A$2:$A$20000,Donasi!$B$2:$B$20000,A2286))</f>
        <v/>
      </c>
      <c r="C2286">
        <f>IF(A2286="","",COUNTIF(Donasi!$B$2:$B$20000,A2286))</f>
        <v/>
      </c>
      <c r="D2286">
        <f>IF(A2286="","",SUMIF(Donasi!$B$2:$B$20000,A2286,Donasi!$C$2:$C$20000))</f>
        <v/>
      </c>
      <c r="E2286">
        <f>IF(A2286="","",6-CEILING(PERCENTRANK.INC($B$3:$B$6000,B2286,4)*5+0.000001,1))</f>
        <v/>
      </c>
      <c r="F2286">
        <f>IF(A2286="","",MAX(1,CEILING(PERCENTRANK.INC($C$3:$C$6000,C2286,4)*5+0.000001,1)))</f>
        <v/>
      </c>
      <c r="G2286">
        <f>IF(A2286="","",MAX(1,CEILING(PERCENTRANK.INC($D$3:$D$6000,D2286,4)*5+0.000001,1)))</f>
        <v/>
      </c>
      <c r="H2286">
        <f>IF(A2286="","",E2286&amp;F2286&amp;G2286)</f>
        <v/>
      </c>
      <c r="I2286">
        <f>IF(A2286="","",IF(AND(E2286&gt;=4,F2286&gt;=4,G2286&gt;=4),"Juara",IF(AND(F2286&gt;=4,E2286&gt;=3),"Setia",IF(AND(E2286=5,F2286&lt;=2,G2286&gt;=3),"Berpotensi",IF(AND(E2286&lt;=3,E2286&gt;=2,F2286&gt;=3),"Rawan",IF(AND(E2286&lt;=2,F2286&lt;=2),"Tidur","Umum"))))))</f>
        <v/>
      </c>
    </row>
    <row r="2287">
      <c r="B2287">
        <f>IF(A2287="","",$B$1-MAXIFS(Donasi!$A$2:$A$20000,Donasi!$B$2:$B$20000,A2287))</f>
        <v/>
      </c>
      <c r="C2287">
        <f>IF(A2287="","",COUNTIF(Donasi!$B$2:$B$20000,A2287))</f>
        <v/>
      </c>
      <c r="D2287">
        <f>IF(A2287="","",SUMIF(Donasi!$B$2:$B$20000,A2287,Donasi!$C$2:$C$20000))</f>
        <v/>
      </c>
      <c r="E2287">
        <f>IF(A2287="","",6-CEILING(PERCENTRANK.INC($B$3:$B$6000,B2287,4)*5+0.000001,1))</f>
        <v/>
      </c>
      <c r="F2287">
        <f>IF(A2287="","",MAX(1,CEILING(PERCENTRANK.INC($C$3:$C$6000,C2287,4)*5+0.000001,1)))</f>
        <v/>
      </c>
      <c r="G2287">
        <f>IF(A2287="","",MAX(1,CEILING(PERCENTRANK.INC($D$3:$D$6000,D2287,4)*5+0.000001,1)))</f>
        <v/>
      </c>
      <c r="H2287">
        <f>IF(A2287="","",E2287&amp;F2287&amp;G2287)</f>
        <v/>
      </c>
      <c r="I2287">
        <f>IF(A2287="","",IF(AND(E2287&gt;=4,F2287&gt;=4,G2287&gt;=4),"Juara",IF(AND(F2287&gt;=4,E2287&gt;=3),"Setia",IF(AND(E2287=5,F2287&lt;=2,G2287&gt;=3),"Berpotensi",IF(AND(E2287&lt;=3,E2287&gt;=2,F2287&gt;=3),"Rawan",IF(AND(E2287&lt;=2,F2287&lt;=2),"Tidur","Umum"))))))</f>
        <v/>
      </c>
    </row>
    <row r="2288">
      <c r="B2288">
        <f>IF(A2288="","",$B$1-MAXIFS(Donasi!$A$2:$A$20000,Donasi!$B$2:$B$20000,A2288))</f>
        <v/>
      </c>
      <c r="C2288">
        <f>IF(A2288="","",COUNTIF(Donasi!$B$2:$B$20000,A2288))</f>
        <v/>
      </c>
      <c r="D2288">
        <f>IF(A2288="","",SUMIF(Donasi!$B$2:$B$20000,A2288,Donasi!$C$2:$C$20000))</f>
        <v/>
      </c>
      <c r="E2288">
        <f>IF(A2288="","",6-CEILING(PERCENTRANK.INC($B$3:$B$6000,B2288,4)*5+0.000001,1))</f>
        <v/>
      </c>
      <c r="F2288">
        <f>IF(A2288="","",MAX(1,CEILING(PERCENTRANK.INC($C$3:$C$6000,C2288,4)*5+0.000001,1)))</f>
        <v/>
      </c>
      <c r="G2288">
        <f>IF(A2288="","",MAX(1,CEILING(PERCENTRANK.INC($D$3:$D$6000,D2288,4)*5+0.000001,1)))</f>
        <v/>
      </c>
      <c r="H2288">
        <f>IF(A2288="","",E2288&amp;F2288&amp;G2288)</f>
        <v/>
      </c>
      <c r="I2288">
        <f>IF(A2288="","",IF(AND(E2288&gt;=4,F2288&gt;=4,G2288&gt;=4),"Juara",IF(AND(F2288&gt;=4,E2288&gt;=3),"Setia",IF(AND(E2288=5,F2288&lt;=2,G2288&gt;=3),"Berpotensi",IF(AND(E2288&lt;=3,E2288&gt;=2,F2288&gt;=3),"Rawan",IF(AND(E2288&lt;=2,F2288&lt;=2),"Tidur","Umum"))))))</f>
        <v/>
      </c>
    </row>
    <row r="2289">
      <c r="B2289">
        <f>IF(A2289="","",$B$1-MAXIFS(Donasi!$A$2:$A$20000,Donasi!$B$2:$B$20000,A2289))</f>
        <v/>
      </c>
      <c r="C2289">
        <f>IF(A2289="","",COUNTIF(Donasi!$B$2:$B$20000,A2289))</f>
        <v/>
      </c>
      <c r="D2289">
        <f>IF(A2289="","",SUMIF(Donasi!$B$2:$B$20000,A2289,Donasi!$C$2:$C$20000))</f>
        <v/>
      </c>
      <c r="E2289">
        <f>IF(A2289="","",6-CEILING(PERCENTRANK.INC($B$3:$B$6000,B2289,4)*5+0.000001,1))</f>
        <v/>
      </c>
      <c r="F2289">
        <f>IF(A2289="","",MAX(1,CEILING(PERCENTRANK.INC($C$3:$C$6000,C2289,4)*5+0.000001,1)))</f>
        <v/>
      </c>
      <c r="G2289">
        <f>IF(A2289="","",MAX(1,CEILING(PERCENTRANK.INC($D$3:$D$6000,D2289,4)*5+0.000001,1)))</f>
        <v/>
      </c>
      <c r="H2289">
        <f>IF(A2289="","",E2289&amp;F2289&amp;G2289)</f>
        <v/>
      </c>
      <c r="I2289">
        <f>IF(A2289="","",IF(AND(E2289&gt;=4,F2289&gt;=4,G2289&gt;=4),"Juara",IF(AND(F2289&gt;=4,E2289&gt;=3),"Setia",IF(AND(E2289=5,F2289&lt;=2,G2289&gt;=3),"Berpotensi",IF(AND(E2289&lt;=3,E2289&gt;=2,F2289&gt;=3),"Rawan",IF(AND(E2289&lt;=2,F2289&lt;=2),"Tidur","Umum"))))))</f>
        <v/>
      </c>
    </row>
    <row r="2290">
      <c r="B2290">
        <f>IF(A2290="","",$B$1-MAXIFS(Donasi!$A$2:$A$20000,Donasi!$B$2:$B$20000,A2290))</f>
        <v/>
      </c>
      <c r="C2290">
        <f>IF(A2290="","",COUNTIF(Donasi!$B$2:$B$20000,A2290))</f>
        <v/>
      </c>
      <c r="D2290">
        <f>IF(A2290="","",SUMIF(Donasi!$B$2:$B$20000,A2290,Donasi!$C$2:$C$20000))</f>
        <v/>
      </c>
      <c r="E2290">
        <f>IF(A2290="","",6-CEILING(PERCENTRANK.INC($B$3:$B$6000,B2290,4)*5+0.000001,1))</f>
        <v/>
      </c>
      <c r="F2290">
        <f>IF(A2290="","",MAX(1,CEILING(PERCENTRANK.INC($C$3:$C$6000,C2290,4)*5+0.000001,1)))</f>
        <v/>
      </c>
      <c r="G2290">
        <f>IF(A2290="","",MAX(1,CEILING(PERCENTRANK.INC($D$3:$D$6000,D2290,4)*5+0.000001,1)))</f>
        <v/>
      </c>
      <c r="H2290">
        <f>IF(A2290="","",E2290&amp;F2290&amp;G2290)</f>
        <v/>
      </c>
      <c r="I2290">
        <f>IF(A2290="","",IF(AND(E2290&gt;=4,F2290&gt;=4,G2290&gt;=4),"Juara",IF(AND(F2290&gt;=4,E2290&gt;=3),"Setia",IF(AND(E2290=5,F2290&lt;=2,G2290&gt;=3),"Berpotensi",IF(AND(E2290&lt;=3,E2290&gt;=2,F2290&gt;=3),"Rawan",IF(AND(E2290&lt;=2,F2290&lt;=2),"Tidur","Umum"))))))</f>
        <v/>
      </c>
    </row>
    <row r="2291">
      <c r="B2291">
        <f>IF(A2291="","",$B$1-MAXIFS(Donasi!$A$2:$A$20000,Donasi!$B$2:$B$20000,A2291))</f>
        <v/>
      </c>
      <c r="C2291">
        <f>IF(A2291="","",COUNTIF(Donasi!$B$2:$B$20000,A2291))</f>
        <v/>
      </c>
      <c r="D2291">
        <f>IF(A2291="","",SUMIF(Donasi!$B$2:$B$20000,A2291,Donasi!$C$2:$C$20000))</f>
        <v/>
      </c>
      <c r="E2291">
        <f>IF(A2291="","",6-CEILING(PERCENTRANK.INC($B$3:$B$6000,B2291,4)*5+0.000001,1))</f>
        <v/>
      </c>
      <c r="F2291">
        <f>IF(A2291="","",MAX(1,CEILING(PERCENTRANK.INC($C$3:$C$6000,C2291,4)*5+0.000001,1)))</f>
        <v/>
      </c>
      <c r="G2291">
        <f>IF(A2291="","",MAX(1,CEILING(PERCENTRANK.INC($D$3:$D$6000,D2291,4)*5+0.000001,1)))</f>
        <v/>
      </c>
      <c r="H2291">
        <f>IF(A2291="","",E2291&amp;F2291&amp;G2291)</f>
        <v/>
      </c>
      <c r="I2291">
        <f>IF(A2291="","",IF(AND(E2291&gt;=4,F2291&gt;=4,G2291&gt;=4),"Juara",IF(AND(F2291&gt;=4,E2291&gt;=3),"Setia",IF(AND(E2291=5,F2291&lt;=2,G2291&gt;=3),"Berpotensi",IF(AND(E2291&lt;=3,E2291&gt;=2,F2291&gt;=3),"Rawan",IF(AND(E2291&lt;=2,F2291&lt;=2),"Tidur","Umum"))))))</f>
        <v/>
      </c>
    </row>
    <row r="2292">
      <c r="B2292">
        <f>IF(A2292="","",$B$1-MAXIFS(Donasi!$A$2:$A$20000,Donasi!$B$2:$B$20000,A2292))</f>
        <v/>
      </c>
      <c r="C2292">
        <f>IF(A2292="","",COUNTIF(Donasi!$B$2:$B$20000,A2292))</f>
        <v/>
      </c>
      <c r="D2292">
        <f>IF(A2292="","",SUMIF(Donasi!$B$2:$B$20000,A2292,Donasi!$C$2:$C$20000))</f>
        <v/>
      </c>
      <c r="E2292">
        <f>IF(A2292="","",6-CEILING(PERCENTRANK.INC($B$3:$B$6000,B2292,4)*5+0.000001,1))</f>
        <v/>
      </c>
      <c r="F2292">
        <f>IF(A2292="","",MAX(1,CEILING(PERCENTRANK.INC($C$3:$C$6000,C2292,4)*5+0.000001,1)))</f>
        <v/>
      </c>
      <c r="G2292">
        <f>IF(A2292="","",MAX(1,CEILING(PERCENTRANK.INC($D$3:$D$6000,D2292,4)*5+0.000001,1)))</f>
        <v/>
      </c>
      <c r="H2292">
        <f>IF(A2292="","",E2292&amp;F2292&amp;G2292)</f>
        <v/>
      </c>
      <c r="I2292">
        <f>IF(A2292="","",IF(AND(E2292&gt;=4,F2292&gt;=4,G2292&gt;=4),"Juara",IF(AND(F2292&gt;=4,E2292&gt;=3),"Setia",IF(AND(E2292=5,F2292&lt;=2,G2292&gt;=3),"Berpotensi",IF(AND(E2292&lt;=3,E2292&gt;=2,F2292&gt;=3),"Rawan",IF(AND(E2292&lt;=2,F2292&lt;=2),"Tidur","Umum"))))))</f>
        <v/>
      </c>
    </row>
    <row r="2293">
      <c r="B2293">
        <f>IF(A2293="","",$B$1-MAXIFS(Donasi!$A$2:$A$20000,Donasi!$B$2:$B$20000,A2293))</f>
        <v/>
      </c>
      <c r="C2293">
        <f>IF(A2293="","",COUNTIF(Donasi!$B$2:$B$20000,A2293))</f>
        <v/>
      </c>
      <c r="D2293">
        <f>IF(A2293="","",SUMIF(Donasi!$B$2:$B$20000,A2293,Donasi!$C$2:$C$20000))</f>
        <v/>
      </c>
      <c r="E2293">
        <f>IF(A2293="","",6-CEILING(PERCENTRANK.INC($B$3:$B$6000,B2293,4)*5+0.000001,1))</f>
        <v/>
      </c>
      <c r="F2293">
        <f>IF(A2293="","",MAX(1,CEILING(PERCENTRANK.INC($C$3:$C$6000,C2293,4)*5+0.000001,1)))</f>
        <v/>
      </c>
      <c r="G2293">
        <f>IF(A2293="","",MAX(1,CEILING(PERCENTRANK.INC($D$3:$D$6000,D2293,4)*5+0.000001,1)))</f>
        <v/>
      </c>
      <c r="H2293">
        <f>IF(A2293="","",E2293&amp;F2293&amp;G2293)</f>
        <v/>
      </c>
      <c r="I2293">
        <f>IF(A2293="","",IF(AND(E2293&gt;=4,F2293&gt;=4,G2293&gt;=4),"Juara",IF(AND(F2293&gt;=4,E2293&gt;=3),"Setia",IF(AND(E2293=5,F2293&lt;=2,G2293&gt;=3),"Berpotensi",IF(AND(E2293&lt;=3,E2293&gt;=2,F2293&gt;=3),"Rawan",IF(AND(E2293&lt;=2,F2293&lt;=2),"Tidur","Umum"))))))</f>
        <v/>
      </c>
    </row>
    <row r="2294">
      <c r="B2294">
        <f>IF(A2294="","",$B$1-MAXIFS(Donasi!$A$2:$A$20000,Donasi!$B$2:$B$20000,A2294))</f>
        <v/>
      </c>
      <c r="C2294">
        <f>IF(A2294="","",COUNTIF(Donasi!$B$2:$B$20000,A2294))</f>
        <v/>
      </c>
      <c r="D2294">
        <f>IF(A2294="","",SUMIF(Donasi!$B$2:$B$20000,A2294,Donasi!$C$2:$C$20000))</f>
        <v/>
      </c>
      <c r="E2294">
        <f>IF(A2294="","",6-CEILING(PERCENTRANK.INC($B$3:$B$6000,B2294,4)*5+0.000001,1))</f>
        <v/>
      </c>
      <c r="F2294">
        <f>IF(A2294="","",MAX(1,CEILING(PERCENTRANK.INC($C$3:$C$6000,C2294,4)*5+0.000001,1)))</f>
        <v/>
      </c>
      <c r="G2294">
        <f>IF(A2294="","",MAX(1,CEILING(PERCENTRANK.INC($D$3:$D$6000,D2294,4)*5+0.000001,1)))</f>
        <v/>
      </c>
      <c r="H2294">
        <f>IF(A2294="","",E2294&amp;F2294&amp;G2294)</f>
        <v/>
      </c>
      <c r="I2294">
        <f>IF(A2294="","",IF(AND(E2294&gt;=4,F2294&gt;=4,G2294&gt;=4),"Juara",IF(AND(F2294&gt;=4,E2294&gt;=3),"Setia",IF(AND(E2294=5,F2294&lt;=2,G2294&gt;=3),"Berpotensi",IF(AND(E2294&lt;=3,E2294&gt;=2,F2294&gt;=3),"Rawan",IF(AND(E2294&lt;=2,F2294&lt;=2),"Tidur","Umum"))))))</f>
        <v/>
      </c>
    </row>
    <row r="2295">
      <c r="B2295">
        <f>IF(A2295="","",$B$1-MAXIFS(Donasi!$A$2:$A$20000,Donasi!$B$2:$B$20000,A2295))</f>
        <v/>
      </c>
      <c r="C2295">
        <f>IF(A2295="","",COUNTIF(Donasi!$B$2:$B$20000,A2295))</f>
        <v/>
      </c>
      <c r="D2295">
        <f>IF(A2295="","",SUMIF(Donasi!$B$2:$B$20000,A2295,Donasi!$C$2:$C$20000))</f>
        <v/>
      </c>
      <c r="E2295">
        <f>IF(A2295="","",6-CEILING(PERCENTRANK.INC($B$3:$B$6000,B2295,4)*5+0.000001,1))</f>
        <v/>
      </c>
      <c r="F2295">
        <f>IF(A2295="","",MAX(1,CEILING(PERCENTRANK.INC($C$3:$C$6000,C2295,4)*5+0.000001,1)))</f>
        <v/>
      </c>
      <c r="G2295">
        <f>IF(A2295="","",MAX(1,CEILING(PERCENTRANK.INC($D$3:$D$6000,D2295,4)*5+0.000001,1)))</f>
        <v/>
      </c>
      <c r="H2295">
        <f>IF(A2295="","",E2295&amp;F2295&amp;G2295)</f>
        <v/>
      </c>
      <c r="I2295">
        <f>IF(A2295="","",IF(AND(E2295&gt;=4,F2295&gt;=4,G2295&gt;=4),"Juara",IF(AND(F2295&gt;=4,E2295&gt;=3),"Setia",IF(AND(E2295=5,F2295&lt;=2,G2295&gt;=3),"Berpotensi",IF(AND(E2295&lt;=3,E2295&gt;=2,F2295&gt;=3),"Rawan",IF(AND(E2295&lt;=2,F2295&lt;=2),"Tidur","Umum"))))))</f>
        <v/>
      </c>
    </row>
    <row r="2296">
      <c r="B2296">
        <f>IF(A2296="","",$B$1-MAXIFS(Donasi!$A$2:$A$20000,Donasi!$B$2:$B$20000,A2296))</f>
        <v/>
      </c>
      <c r="C2296">
        <f>IF(A2296="","",COUNTIF(Donasi!$B$2:$B$20000,A2296))</f>
        <v/>
      </c>
      <c r="D2296">
        <f>IF(A2296="","",SUMIF(Donasi!$B$2:$B$20000,A2296,Donasi!$C$2:$C$20000))</f>
        <v/>
      </c>
      <c r="E2296">
        <f>IF(A2296="","",6-CEILING(PERCENTRANK.INC($B$3:$B$6000,B2296,4)*5+0.000001,1))</f>
        <v/>
      </c>
      <c r="F2296">
        <f>IF(A2296="","",MAX(1,CEILING(PERCENTRANK.INC($C$3:$C$6000,C2296,4)*5+0.000001,1)))</f>
        <v/>
      </c>
      <c r="G2296">
        <f>IF(A2296="","",MAX(1,CEILING(PERCENTRANK.INC($D$3:$D$6000,D2296,4)*5+0.000001,1)))</f>
        <v/>
      </c>
      <c r="H2296">
        <f>IF(A2296="","",E2296&amp;F2296&amp;G2296)</f>
        <v/>
      </c>
      <c r="I2296">
        <f>IF(A2296="","",IF(AND(E2296&gt;=4,F2296&gt;=4,G2296&gt;=4),"Juara",IF(AND(F2296&gt;=4,E2296&gt;=3),"Setia",IF(AND(E2296=5,F2296&lt;=2,G2296&gt;=3),"Berpotensi",IF(AND(E2296&lt;=3,E2296&gt;=2,F2296&gt;=3),"Rawan",IF(AND(E2296&lt;=2,F2296&lt;=2),"Tidur","Umum"))))))</f>
        <v/>
      </c>
    </row>
    <row r="2297">
      <c r="B2297">
        <f>IF(A2297="","",$B$1-MAXIFS(Donasi!$A$2:$A$20000,Donasi!$B$2:$B$20000,A2297))</f>
        <v/>
      </c>
      <c r="C2297">
        <f>IF(A2297="","",COUNTIF(Donasi!$B$2:$B$20000,A2297))</f>
        <v/>
      </c>
      <c r="D2297">
        <f>IF(A2297="","",SUMIF(Donasi!$B$2:$B$20000,A2297,Donasi!$C$2:$C$20000))</f>
        <v/>
      </c>
      <c r="E2297">
        <f>IF(A2297="","",6-CEILING(PERCENTRANK.INC($B$3:$B$6000,B2297,4)*5+0.000001,1))</f>
        <v/>
      </c>
      <c r="F2297">
        <f>IF(A2297="","",MAX(1,CEILING(PERCENTRANK.INC($C$3:$C$6000,C2297,4)*5+0.000001,1)))</f>
        <v/>
      </c>
      <c r="G2297">
        <f>IF(A2297="","",MAX(1,CEILING(PERCENTRANK.INC($D$3:$D$6000,D2297,4)*5+0.000001,1)))</f>
        <v/>
      </c>
      <c r="H2297">
        <f>IF(A2297="","",E2297&amp;F2297&amp;G2297)</f>
        <v/>
      </c>
      <c r="I2297">
        <f>IF(A2297="","",IF(AND(E2297&gt;=4,F2297&gt;=4,G2297&gt;=4),"Juara",IF(AND(F2297&gt;=4,E2297&gt;=3),"Setia",IF(AND(E2297=5,F2297&lt;=2,G2297&gt;=3),"Berpotensi",IF(AND(E2297&lt;=3,E2297&gt;=2,F2297&gt;=3),"Rawan",IF(AND(E2297&lt;=2,F2297&lt;=2),"Tidur","Umum"))))))</f>
        <v/>
      </c>
    </row>
    <row r="2298">
      <c r="B2298">
        <f>IF(A2298="","",$B$1-MAXIFS(Donasi!$A$2:$A$20000,Donasi!$B$2:$B$20000,A2298))</f>
        <v/>
      </c>
      <c r="C2298">
        <f>IF(A2298="","",COUNTIF(Donasi!$B$2:$B$20000,A2298))</f>
        <v/>
      </c>
      <c r="D2298">
        <f>IF(A2298="","",SUMIF(Donasi!$B$2:$B$20000,A2298,Donasi!$C$2:$C$20000))</f>
        <v/>
      </c>
      <c r="E2298">
        <f>IF(A2298="","",6-CEILING(PERCENTRANK.INC($B$3:$B$6000,B2298,4)*5+0.000001,1))</f>
        <v/>
      </c>
      <c r="F2298">
        <f>IF(A2298="","",MAX(1,CEILING(PERCENTRANK.INC($C$3:$C$6000,C2298,4)*5+0.000001,1)))</f>
        <v/>
      </c>
      <c r="G2298">
        <f>IF(A2298="","",MAX(1,CEILING(PERCENTRANK.INC($D$3:$D$6000,D2298,4)*5+0.000001,1)))</f>
        <v/>
      </c>
      <c r="H2298">
        <f>IF(A2298="","",E2298&amp;F2298&amp;G2298)</f>
        <v/>
      </c>
      <c r="I2298">
        <f>IF(A2298="","",IF(AND(E2298&gt;=4,F2298&gt;=4,G2298&gt;=4),"Juara",IF(AND(F2298&gt;=4,E2298&gt;=3),"Setia",IF(AND(E2298=5,F2298&lt;=2,G2298&gt;=3),"Berpotensi",IF(AND(E2298&lt;=3,E2298&gt;=2,F2298&gt;=3),"Rawan",IF(AND(E2298&lt;=2,F2298&lt;=2),"Tidur","Umum"))))))</f>
        <v/>
      </c>
    </row>
    <row r="2299">
      <c r="B2299">
        <f>IF(A2299="","",$B$1-MAXIFS(Donasi!$A$2:$A$20000,Donasi!$B$2:$B$20000,A2299))</f>
        <v/>
      </c>
      <c r="C2299">
        <f>IF(A2299="","",COUNTIF(Donasi!$B$2:$B$20000,A2299))</f>
        <v/>
      </c>
      <c r="D2299">
        <f>IF(A2299="","",SUMIF(Donasi!$B$2:$B$20000,A2299,Donasi!$C$2:$C$20000))</f>
        <v/>
      </c>
      <c r="E2299">
        <f>IF(A2299="","",6-CEILING(PERCENTRANK.INC($B$3:$B$6000,B2299,4)*5+0.000001,1))</f>
        <v/>
      </c>
      <c r="F2299">
        <f>IF(A2299="","",MAX(1,CEILING(PERCENTRANK.INC($C$3:$C$6000,C2299,4)*5+0.000001,1)))</f>
        <v/>
      </c>
      <c r="G2299">
        <f>IF(A2299="","",MAX(1,CEILING(PERCENTRANK.INC($D$3:$D$6000,D2299,4)*5+0.000001,1)))</f>
        <v/>
      </c>
      <c r="H2299">
        <f>IF(A2299="","",E2299&amp;F2299&amp;G2299)</f>
        <v/>
      </c>
      <c r="I2299">
        <f>IF(A2299="","",IF(AND(E2299&gt;=4,F2299&gt;=4,G2299&gt;=4),"Juara",IF(AND(F2299&gt;=4,E2299&gt;=3),"Setia",IF(AND(E2299=5,F2299&lt;=2,G2299&gt;=3),"Berpotensi",IF(AND(E2299&lt;=3,E2299&gt;=2,F2299&gt;=3),"Rawan",IF(AND(E2299&lt;=2,F2299&lt;=2),"Tidur","Umum"))))))</f>
        <v/>
      </c>
    </row>
    <row r="2300">
      <c r="B2300">
        <f>IF(A2300="","",$B$1-MAXIFS(Donasi!$A$2:$A$20000,Donasi!$B$2:$B$20000,A2300))</f>
        <v/>
      </c>
      <c r="C2300">
        <f>IF(A2300="","",COUNTIF(Donasi!$B$2:$B$20000,A2300))</f>
        <v/>
      </c>
      <c r="D2300">
        <f>IF(A2300="","",SUMIF(Donasi!$B$2:$B$20000,A2300,Donasi!$C$2:$C$20000))</f>
        <v/>
      </c>
      <c r="E2300">
        <f>IF(A2300="","",6-CEILING(PERCENTRANK.INC($B$3:$B$6000,B2300,4)*5+0.000001,1))</f>
        <v/>
      </c>
      <c r="F2300">
        <f>IF(A2300="","",MAX(1,CEILING(PERCENTRANK.INC($C$3:$C$6000,C2300,4)*5+0.000001,1)))</f>
        <v/>
      </c>
      <c r="G2300">
        <f>IF(A2300="","",MAX(1,CEILING(PERCENTRANK.INC($D$3:$D$6000,D2300,4)*5+0.000001,1)))</f>
        <v/>
      </c>
      <c r="H2300">
        <f>IF(A2300="","",E2300&amp;F2300&amp;G2300)</f>
        <v/>
      </c>
      <c r="I2300">
        <f>IF(A2300="","",IF(AND(E2300&gt;=4,F2300&gt;=4,G2300&gt;=4),"Juara",IF(AND(F2300&gt;=4,E2300&gt;=3),"Setia",IF(AND(E2300=5,F2300&lt;=2,G2300&gt;=3),"Berpotensi",IF(AND(E2300&lt;=3,E2300&gt;=2,F2300&gt;=3),"Rawan",IF(AND(E2300&lt;=2,F2300&lt;=2),"Tidur","Umum"))))))</f>
        <v/>
      </c>
    </row>
    <row r="2301">
      <c r="B2301">
        <f>IF(A2301="","",$B$1-MAXIFS(Donasi!$A$2:$A$20000,Donasi!$B$2:$B$20000,A2301))</f>
        <v/>
      </c>
      <c r="C2301">
        <f>IF(A2301="","",COUNTIF(Donasi!$B$2:$B$20000,A2301))</f>
        <v/>
      </c>
      <c r="D2301">
        <f>IF(A2301="","",SUMIF(Donasi!$B$2:$B$20000,A2301,Donasi!$C$2:$C$20000))</f>
        <v/>
      </c>
      <c r="E2301">
        <f>IF(A2301="","",6-CEILING(PERCENTRANK.INC($B$3:$B$6000,B2301,4)*5+0.000001,1))</f>
        <v/>
      </c>
      <c r="F2301">
        <f>IF(A2301="","",MAX(1,CEILING(PERCENTRANK.INC($C$3:$C$6000,C2301,4)*5+0.000001,1)))</f>
        <v/>
      </c>
      <c r="G2301">
        <f>IF(A2301="","",MAX(1,CEILING(PERCENTRANK.INC($D$3:$D$6000,D2301,4)*5+0.000001,1)))</f>
        <v/>
      </c>
      <c r="H2301">
        <f>IF(A2301="","",E2301&amp;F2301&amp;G2301)</f>
        <v/>
      </c>
      <c r="I2301">
        <f>IF(A2301="","",IF(AND(E2301&gt;=4,F2301&gt;=4,G2301&gt;=4),"Juara",IF(AND(F2301&gt;=4,E2301&gt;=3),"Setia",IF(AND(E2301=5,F2301&lt;=2,G2301&gt;=3),"Berpotensi",IF(AND(E2301&lt;=3,E2301&gt;=2,F2301&gt;=3),"Rawan",IF(AND(E2301&lt;=2,F2301&lt;=2),"Tidur","Umum"))))))</f>
        <v/>
      </c>
    </row>
    <row r="2302">
      <c r="B2302">
        <f>IF(A2302="","",$B$1-MAXIFS(Donasi!$A$2:$A$20000,Donasi!$B$2:$B$20000,A2302))</f>
        <v/>
      </c>
      <c r="C2302">
        <f>IF(A2302="","",COUNTIF(Donasi!$B$2:$B$20000,A2302))</f>
        <v/>
      </c>
      <c r="D2302">
        <f>IF(A2302="","",SUMIF(Donasi!$B$2:$B$20000,A2302,Donasi!$C$2:$C$20000))</f>
        <v/>
      </c>
      <c r="E2302">
        <f>IF(A2302="","",6-CEILING(PERCENTRANK.INC($B$3:$B$6000,B2302,4)*5+0.000001,1))</f>
        <v/>
      </c>
      <c r="F2302">
        <f>IF(A2302="","",MAX(1,CEILING(PERCENTRANK.INC($C$3:$C$6000,C2302,4)*5+0.000001,1)))</f>
        <v/>
      </c>
      <c r="G2302">
        <f>IF(A2302="","",MAX(1,CEILING(PERCENTRANK.INC($D$3:$D$6000,D2302,4)*5+0.000001,1)))</f>
        <v/>
      </c>
      <c r="H2302">
        <f>IF(A2302="","",E2302&amp;F2302&amp;G2302)</f>
        <v/>
      </c>
      <c r="I2302">
        <f>IF(A2302="","",IF(AND(E2302&gt;=4,F2302&gt;=4,G2302&gt;=4),"Juara",IF(AND(F2302&gt;=4,E2302&gt;=3),"Setia",IF(AND(E2302=5,F2302&lt;=2,G2302&gt;=3),"Berpotensi",IF(AND(E2302&lt;=3,E2302&gt;=2,F2302&gt;=3),"Rawan",IF(AND(E2302&lt;=2,F2302&lt;=2),"Tidur","Umum"))))))</f>
        <v/>
      </c>
    </row>
    <row r="2303">
      <c r="B2303">
        <f>IF(A2303="","",$B$1-MAXIFS(Donasi!$A$2:$A$20000,Donasi!$B$2:$B$20000,A2303))</f>
        <v/>
      </c>
      <c r="C2303">
        <f>IF(A2303="","",COUNTIF(Donasi!$B$2:$B$20000,A2303))</f>
        <v/>
      </c>
      <c r="D2303">
        <f>IF(A2303="","",SUMIF(Donasi!$B$2:$B$20000,A2303,Donasi!$C$2:$C$20000))</f>
        <v/>
      </c>
      <c r="E2303">
        <f>IF(A2303="","",6-CEILING(PERCENTRANK.INC($B$3:$B$6000,B2303,4)*5+0.000001,1))</f>
        <v/>
      </c>
      <c r="F2303">
        <f>IF(A2303="","",MAX(1,CEILING(PERCENTRANK.INC($C$3:$C$6000,C2303,4)*5+0.000001,1)))</f>
        <v/>
      </c>
      <c r="G2303">
        <f>IF(A2303="","",MAX(1,CEILING(PERCENTRANK.INC($D$3:$D$6000,D2303,4)*5+0.000001,1)))</f>
        <v/>
      </c>
      <c r="H2303">
        <f>IF(A2303="","",E2303&amp;F2303&amp;G2303)</f>
        <v/>
      </c>
      <c r="I2303">
        <f>IF(A2303="","",IF(AND(E2303&gt;=4,F2303&gt;=4,G2303&gt;=4),"Juara",IF(AND(F2303&gt;=4,E2303&gt;=3),"Setia",IF(AND(E2303=5,F2303&lt;=2,G2303&gt;=3),"Berpotensi",IF(AND(E2303&lt;=3,E2303&gt;=2,F2303&gt;=3),"Rawan",IF(AND(E2303&lt;=2,F2303&lt;=2),"Tidur","Umum"))))))</f>
        <v/>
      </c>
    </row>
    <row r="2304">
      <c r="B2304">
        <f>IF(A2304="","",$B$1-MAXIFS(Donasi!$A$2:$A$20000,Donasi!$B$2:$B$20000,A2304))</f>
        <v/>
      </c>
      <c r="C2304">
        <f>IF(A2304="","",COUNTIF(Donasi!$B$2:$B$20000,A2304))</f>
        <v/>
      </c>
      <c r="D2304">
        <f>IF(A2304="","",SUMIF(Donasi!$B$2:$B$20000,A2304,Donasi!$C$2:$C$20000))</f>
        <v/>
      </c>
      <c r="E2304">
        <f>IF(A2304="","",6-CEILING(PERCENTRANK.INC($B$3:$B$6000,B2304,4)*5+0.000001,1))</f>
        <v/>
      </c>
      <c r="F2304">
        <f>IF(A2304="","",MAX(1,CEILING(PERCENTRANK.INC($C$3:$C$6000,C2304,4)*5+0.000001,1)))</f>
        <v/>
      </c>
      <c r="G2304">
        <f>IF(A2304="","",MAX(1,CEILING(PERCENTRANK.INC($D$3:$D$6000,D2304,4)*5+0.000001,1)))</f>
        <v/>
      </c>
      <c r="H2304">
        <f>IF(A2304="","",E2304&amp;F2304&amp;G2304)</f>
        <v/>
      </c>
      <c r="I2304">
        <f>IF(A2304="","",IF(AND(E2304&gt;=4,F2304&gt;=4,G2304&gt;=4),"Juara",IF(AND(F2304&gt;=4,E2304&gt;=3),"Setia",IF(AND(E2304=5,F2304&lt;=2,G2304&gt;=3),"Berpotensi",IF(AND(E2304&lt;=3,E2304&gt;=2,F2304&gt;=3),"Rawan",IF(AND(E2304&lt;=2,F2304&lt;=2),"Tidur","Umum"))))))</f>
        <v/>
      </c>
    </row>
    <row r="2305">
      <c r="B2305">
        <f>IF(A2305="","",$B$1-MAXIFS(Donasi!$A$2:$A$20000,Donasi!$B$2:$B$20000,A2305))</f>
        <v/>
      </c>
      <c r="C2305">
        <f>IF(A2305="","",COUNTIF(Donasi!$B$2:$B$20000,A2305))</f>
        <v/>
      </c>
      <c r="D2305">
        <f>IF(A2305="","",SUMIF(Donasi!$B$2:$B$20000,A2305,Donasi!$C$2:$C$20000))</f>
        <v/>
      </c>
      <c r="E2305">
        <f>IF(A2305="","",6-CEILING(PERCENTRANK.INC($B$3:$B$6000,B2305,4)*5+0.000001,1))</f>
        <v/>
      </c>
      <c r="F2305">
        <f>IF(A2305="","",MAX(1,CEILING(PERCENTRANK.INC($C$3:$C$6000,C2305,4)*5+0.000001,1)))</f>
        <v/>
      </c>
      <c r="G2305">
        <f>IF(A2305="","",MAX(1,CEILING(PERCENTRANK.INC($D$3:$D$6000,D2305,4)*5+0.000001,1)))</f>
        <v/>
      </c>
      <c r="H2305">
        <f>IF(A2305="","",E2305&amp;F2305&amp;G2305)</f>
        <v/>
      </c>
      <c r="I2305">
        <f>IF(A2305="","",IF(AND(E2305&gt;=4,F2305&gt;=4,G2305&gt;=4),"Juara",IF(AND(F2305&gt;=4,E2305&gt;=3),"Setia",IF(AND(E2305=5,F2305&lt;=2,G2305&gt;=3),"Berpotensi",IF(AND(E2305&lt;=3,E2305&gt;=2,F2305&gt;=3),"Rawan",IF(AND(E2305&lt;=2,F2305&lt;=2),"Tidur","Umum"))))))</f>
        <v/>
      </c>
    </row>
    <row r="2306">
      <c r="B2306">
        <f>IF(A2306="","",$B$1-MAXIFS(Donasi!$A$2:$A$20000,Donasi!$B$2:$B$20000,A2306))</f>
        <v/>
      </c>
      <c r="C2306">
        <f>IF(A2306="","",COUNTIF(Donasi!$B$2:$B$20000,A2306))</f>
        <v/>
      </c>
      <c r="D2306">
        <f>IF(A2306="","",SUMIF(Donasi!$B$2:$B$20000,A2306,Donasi!$C$2:$C$20000))</f>
        <v/>
      </c>
      <c r="E2306">
        <f>IF(A2306="","",6-CEILING(PERCENTRANK.INC($B$3:$B$6000,B2306,4)*5+0.000001,1))</f>
        <v/>
      </c>
      <c r="F2306">
        <f>IF(A2306="","",MAX(1,CEILING(PERCENTRANK.INC($C$3:$C$6000,C2306,4)*5+0.000001,1)))</f>
        <v/>
      </c>
      <c r="G2306">
        <f>IF(A2306="","",MAX(1,CEILING(PERCENTRANK.INC($D$3:$D$6000,D2306,4)*5+0.000001,1)))</f>
        <v/>
      </c>
      <c r="H2306">
        <f>IF(A2306="","",E2306&amp;F2306&amp;G2306)</f>
        <v/>
      </c>
      <c r="I2306">
        <f>IF(A2306="","",IF(AND(E2306&gt;=4,F2306&gt;=4,G2306&gt;=4),"Juara",IF(AND(F2306&gt;=4,E2306&gt;=3),"Setia",IF(AND(E2306=5,F2306&lt;=2,G2306&gt;=3),"Berpotensi",IF(AND(E2306&lt;=3,E2306&gt;=2,F2306&gt;=3),"Rawan",IF(AND(E2306&lt;=2,F2306&lt;=2),"Tidur","Umum"))))))</f>
        <v/>
      </c>
    </row>
    <row r="2307">
      <c r="B2307">
        <f>IF(A2307="","",$B$1-MAXIFS(Donasi!$A$2:$A$20000,Donasi!$B$2:$B$20000,A2307))</f>
        <v/>
      </c>
      <c r="C2307">
        <f>IF(A2307="","",COUNTIF(Donasi!$B$2:$B$20000,A2307))</f>
        <v/>
      </c>
      <c r="D2307">
        <f>IF(A2307="","",SUMIF(Donasi!$B$2:$B$20000,A2307,Donasi!$C$2:$C$20000))</f>
        <v/>
      </c>
      <c r="E2307">
        <f>IF(A2307="","",6-CEILING(PERCENTRANK.INC($B$3:$B$6000,B2307,4)*5+0.000001,1))</f>
        <v/>
      </c>
      <c r="F2307">
        <f>IF(A2307="","",MAX(1,CEILING(PERCENTRANK.INC($C$3:$C$6000,C2307,4)*5+0.000001,1)))</f>
        <v/>
      </c>
      <c r="G2307">
        <f>IF(A2307="","",MAX(1,CEILING(PERCENTRANK.INC($D$3:$D$6000,D2307,4)*5+0.000001,1)))</f>
        <v/>
      </c>
      <c r="H2307">
        <f>IF(A2307="","",E2307&amp;F2307&amp;G2307)</f>
        <v/>
      </c>
      <c r="I2307">
        <f>IF(A2307="","",IF(AND(E2307&gt;=4,F2307&gt;=4,G2307&gt;=4),"Juara",IF(AND(F2307&gt;=4,E2307&gt;=3),"Setia",IF(AND(E2307=5,F2307&lt;=2,G2307&gt;=3),"Berpotensi",IF(AND(E2307&lt;=3,E2307&gt;=2,F2307&gt;=3),"Rawan",IF(AND(E2307&lt;=2,F2307&lt;=2),"Tidur","Umum"))))))</f>
        <v/>
      </c>
    </row>
    <row r="2308">
      <c r="B2308">
        <f>IF(A2308="","",$B$1-MAXIFS(Donasi!$A$2:$A$20000,Donasi!$B$2:$B$20000,A2308))</f>
        <v/>
      </c>
      <c r="C2308">
        <f>IF(A2308="","",COUNTIF(Donasi!$B$2:$B$20000,A2308))</f>
        <v/>
      </c>
      <c r="D2308">
        <f>IF(A2308="","",SUMIF(Donasi!$B$2:$B$20000,A2308,Donasi!$C$2:$C$20000))</f>
        <v/>
      </c>
      <c r="E2308">
        <f>IF(A2308="","",6-CEILING(PERCENTRANK.INC($B$3:$B$6000,B2308,4)*5+0.000001,1))</f>
        <v/>
      </c>
      <c r="F2308">
        <f>IF(A2308="","",MAX(1,CEILING(PERCENTRANK.INC($C$3:$C$6000,C2308,4)*5+0.000001,1)))</f>
        <v/>
      </c>
      <c r="G2308">
        <f>IF(A2308="","",MAX(1,CEILING(PERCENTRANK.INC($D$3:$D$6000,D2308,4)*5+0.000001,1)))</f>
        <v/>
      </c>
      <c r="H2308">
        <f>IF(A2308="","",E2308&amp;F2308&amp;G2308)</f>
        <v/>
      </c>
      <c r="I2308">
        <f>IF(A2308="","",IF(AND(E2308&gt;=4,F2308&gt;=4,G2308&gt;=4),"Juara",IF(AND(F2308&gt;=4,E2308&gt;=3),"Setia",IF(AND(E2308=5,F2308&lt;=2,G2308&gt;=3),"Berpotensi",IF(AND(E2308&lt;=3,E2308&gt;=2,F2308&gt;=3),"Rawan",IF(AND(E2308&lt;=2,F2308&lt;=2),"Tidur","Umum"))))))</f>
        <v/>
      </c>
    </row>
    <row r="2309">
      <c r="B2309">
        <f>IF(A2309="","",$B$1-MAXIFS(Donasi!$A$2:$A$20000,Donasi!$B$2:$B$20000,A2309))</f>
        <v/>
      </c>
      <c r="C2309">
        <f>IF(A2309="","",COUNTIF(Donasi!$B$2:$B$20000,A2309))</f>
        <v/>
      </c>
      <c r="D2309">
        <f>IF(A2309="","",SUMIF(Donasi!$B$2:$B$20000,A2309,Donasi!$C$2:$C$20000))</f>
        <v/>
      </c>
      <c r="E2309">
        <f>IF(A2309="","",6-CEILING(PERCENTRANK.INC($B$3:$B$6000,B2309,4)*5+0.000001,1))</f>
        <v/>
      </c>
      <c r="F2309">
        <f>IF(A2309="","",MAX(1,CEILING(PERCENTRANK.INC($C$3:$C$6000,C2309,4)*5+0.000001,1)))</f>
        <v/>
      </c>
      <c r="G2309">
        <f>IF(A2309="","",MAX(1,CEILING(PERCENTRANK.INC($D$3:$D$6000,D2309,4)*5+0.000001,1)))</f>
        <v/>
      </c>
      <c r="H2309">
        <f>IF(A2309="","",E2309&amp;F2309&amp;G2309)</f>
        <v/>
      </c>
      <c r="I2309">
        <f>IF(A2309="","",IF(AND(E2309&gt;=4,F2309&gt;=4,G2309&gt;=4),"Juara",IF(AND(F2309&gt;=4,E2309&gt;=3),"Setia",IF(AND(E2309=5,F2309&lt;=2,G2309&gt;=3),"Berpotensi",IF(AND(E2309&lt;=3,E2309&gt;=2,F2309&gt;=3),"Rawan",IF(AND(E2309&lt;=2,F2309&lt;=2),"Tidur","Umum"))))))</f>
        <v/>
      </c>
    </row>
    <row r="2310">
      <c r="B2310">
        <f>IF(A2310="","",$B$1-MAXIFS(Donasi!$A$2:$A$20000,Donasi!$B$2:$B$20000,A2310))</f>
        <v/>
      </c>
      <c r="C2310">
        <f>IF(A2310="","",COUNTIF(Donasi!$B$2:$B$20000,A2310))</f>
        <v/>
      </c>
      <c r="D2310">
        <f>IF(A2310="","",SUMIF(Donasi!$B$2:$B$20000,A2310,Donasi!$C$2:$C$20000))</f>
        <v/>
      </c>
      <c r="E2310">
        <f>IF(A2310="","",6-CEILING(PERCENTRANK.INC($B$3:$B$6000,B2310,4)*5+0.000001,1))</f>
        <v/>
      </c>
      <c r="F2310">
        <f>IF(A2310="","",MAX(1,CEILING(PERCENTRANK.INC($C$3:$C$6000,C2310,4)*5+0.000001,1)))</f>
        <v/>
      </c>
      <c r="G2310">
        <f>IF(A2310="","",MAX(1,CEILING(PERCENTRANK.INC($D$3:$D$6000,D2310,4)*5+0.000001,1)))</f>
        <v/>
      </c>
      <c r="H2310">
        <f>IF(A2310="","",E2310&amp;F2310&amp;G2310)</f>
        <v/>
      </c>
      <c r="I2310">
        <f>IF(A2310="","",IF(AND(E2310&gt;=4,F2310&gt;=4,G2310&gt;=4),"Juara",IF(AND(F2310&gt;=4,E2310&gt;=3),"Setia",IF(AND(E2310=5,F2310&lt;=2,G2310&gt;=3),"Berpotensi",IF(AND(E2310&lt;=3,E2310&gt;=2,F2310&gt;=3),"Rawan",IF(AND(E2310&lt;=2,F2310&lt;=2),"Tidur","Umum"))))))</f>
        <v/>
      </c>
    </row>
    <row r="2311">
      <c r="B2311">
        <f>IF(A2311="","",$B$1-MAXIFS(Donasi!$A$2:$A$20000,Donasi!$B$2:$B$20000,A2311))</f>
        <v/>
      </c>
      <c r="C2311">
        <f>IF(A2311="","",COUNTIF(Donasi!$B$2:$B$20000,A2311))</f>
        <v/>
      </c>
      <c r="D2311">
        <f>IF(A2311="","",SUMIF(Donasi!$B$2:$B$20000,A2311,Donasi!$C$2:$C$20000))</f>
        <v/>
      </c>
      <c r="E2311">
        <f>IF(A2311="","",6-CEILING(PERCENTRANK.INC($B$3:$B$6000,B2311,4)*5+0.000001,1))</f>
        <v/>
      </c>
      <c r="F2311">
        <f>IF(A2311="","",MAX(1,CEILING(PERCENTRANK.INC($C$3:$C$6000,C2311,4)*5+0.000001,1)))</f>
        <v/>
      </c>
      <c r="G2311">
        <f>IF(A2311="","",MAX(1,CEILING(PERCENTRANK.INC($D$3:$D$6000,D2311,4)*5+0.000001,1)))</f>
        <v/>
      </c>
      <c r="H2311">
        <f>IF(A2311="","",E2311&amp;F2311&amp;G2311)</f>
        <v/>
      </c>
      <c r="I2311">
        <f>IF(A2311="","",IF(AND(E2311&gt;=4,F2311&gt;=4,G2311&gt;=4),"Juara",IF(AND(F2311&gt;=4,E2311&gt;=3),"Setia",IF(AND(E2311=5,F2311&lt;=2,G2311&gt;=3),"Berpotensi",IF(AND(E2311&lt;=3,E2311&gt;=2,F2311&gt;=3),"Rawan",IF(AND(E2311&lt;=2,F2311&lt;=2),"Tidur","Umum"))))))</f>
        <v/>
      </c>
    </row>
    <row r="2312">
      <c r="B2312">
        <f>IF(A2312="","",$B$1-MAXIFS(Donasi!$A$2:$A$20000,Donasi!$B$2:$B$20000,A2312))</f>
        <v/>
      </c>
      <c r="C2312">
        <f>IF(A2312="","",COUNTIF(Donasi!$B$2:$B$20000,A2312))</f>
        <v/>
      </c>
      <c r="D2312">
        <f>IF(A2312="","",SUMIF(Donasi!$B$2:$B$20000,A2312,Donasi!$C$2:$C$20000))</f>
        <v/>
      </c>
      <c r="E2312">
        <f>IF(A2312="","",6-CEILING(PERCENTRANK.INC($B$3:$B$6000,B2312,4)*5+0.000001,1))</f>
        <v/>
      </c>
      <c r="F2312">
        <f>IF(A2312="","",MAX(1,CEILING(PERCENTRANK.INC($C$3:$C$6000,C2312,4)*5+0.000001,1)))</f>
        <v/>
      </c>
      <c r="G2312">
        <f>IF(A2312="","",MAX(1,CEILING(PERCENTRANK.INC($D$3:$D$6000,D2312,4)*5+0.000001,1)))</f>
        <v/>
      </c>
      <c r="H2312">
        <f>IF(A2312="","",E2312&amp;F2312&amp;G2312)</f>
        <v/>
      </c>
      <c r="I2312">
        <f>IF(A2312="","",IF(AND(E2312&gt;=4,F2312&gt;=4,G2312&gt;=4),"Juara",IF(AND(F2312&gt;=4,E2312&gt;=3),"Setia",IF(AND(E2312=5,F2312&lt;=2,G2312&gt;=3),"Berpotensi",IF(AND(E2312&lt;=3,E2312&gt;=2,F2312&gt;=3),"Rawan",IF(AND(E2312&lt;=2,F2312&lt;=2),"Tidur","Umum"))))))</f>
        <v/>
      </c>
    </row>
    <row r="2313">
      <c r="B2313">
        <f>IF(A2313="","",$B$1-MAXIFS(Donasi!$A$2:$A$20000,Donasi!$B$2:$B$20000,A2313))</f>
        <v/>
      </c>
      <c r="C2313">
        <f>IF(A2313="","",COUNTIF(Donasi!$B$2:$B$20000,A2313))</f>
        <v/>
      </c>
      <c r="D2313">
        <f>IF(A2313="","",SUMIF(Donasi!$B$2:$B$20000,A2313,Donasi!$C$2:$C$20000))</f>
        <v/>
      </c>
      <c r="E2313">
        <f>IF(A2313="","",6-CEILING(PERCENTRANK.INC($B$3:$B$6000,B2313,4)*5+0.000001,1))</f>
        <v/>
      </c>
      <c r="F2313">
        <f>IF(A2313="","",MAX(1,CEILING(PERCENTRANK.INC($C$3:$C$6000,C2313,4)*5+0.000001,1)))</f>
        <v/>
      </c>
      <c r="G2313">
        <f>IF(A2313="","",MAX(1,CEILING(PERCENTRANK.INC($D$3:$D$6000,D2313,4)*5+0.000001,1)))</f>
        <v/>
      </c>
      <c r="H2313">
        <f>IF(A2313="","",E2313&amp;F2313&amp;G2313)</f>
        <v/>
      </c>
      <c r="I2313">
        <f>IF(A2313="","",IF(AND(E2313&gt;=4,F2313&gt;=4,G2313&gt;=4),"Juara",IF(AND(F2313&gt;=4,E2313&gt;=3),"Setia",IF(AND(E2313=5,F2313&lt;=2,G2313&gt;=3),"Berpotensi",IF(AND(E2313&lt;=3,E2313&gt;=2,F2313&gt;=3),"Rawan",IF(AND(E2313&lt;=2,F2313&lt;=2),"Tidur","Umum"))))))</f>
        <v/>
      </c>
    </row>
    <row r="2314">
      <c r="B2314">
        <f>IF(A2314="","",$B$1-MAXIFS(Donasi!$A$2:$A$20000,Donasi!$B$2:$B$20000,A2314))</f>
        <v/>
      </c>
      <c r="C2314">
        <f>IF(A2314="","",COUNTIF(Donasi!$B$2:$B$20000,A2314))</f>
        <v/>
      </c>
      <c r="D2314">
        <f>IF(A2314="","",SUMIF(Donasi!$B$2:$B$20000,A2314,Donasi!$C$2:$C$20000))</f>
        <v/>
      </c>
      <c r="E2314">
        <f>IF(A2314="","",6-CEILING(PERCENTRANK.INC($B$3:$B$6000,B2314,4)*5+0.000001,1))</f>
        <v/>
      </c>
      <c r="F2314">
        <f>IF(A2314="","",MAX(1,CEILING(PERCENTRANK.INC($C$3:$C$6000,C2314,4)*5+0.000001,1)))</f>
        <v/>
      </c>
      <c r="G2314">
        <f>IF(A2314="","",MAX(1,CEILING(PERCENTRANK.INC($D$3:$D$6000,D2314,4)*5+0.000001,1)))</f>
        <v/>
      </c>
      <c r="H2314">
        <f>IF(A2314="","",E2314&amp;F2314&amp;G2314)</f>
        <v/>
      </c>
      <c r="I2314">
        <f>IF(A2314="","",IF(AND(E2314&gt;=4,F2314&gt;=4,G2314&gt;=4),"Juara",IF(AND(F2314&gt;=4,E2314&gt;=3),"Setia",IF(AND(E2314=5,F2314&lt;=2,G2314&gt;=3),"Berpotensi",IF(AND(E2314&lt;=3,E2314&gt;=2,F2314&gt;=3),"Rawan",IF(AND(E2314&lt;=2,F2314&lt;=2),"Tidur","Umum"))))))</f>
        <v/>
      </c>
    </row>
    <row r="2315">
      <c r="B2315">
        <f>IF(A2315="","",$B$1-MAXIFS(Donasi!$A$2:$A$20000,Donasi!$B$2:$B$20000,A2315))</f>
        <v/>
      </c>
      <c r="C2315">
        <f>IF(A2315="","",COUNTIF(Donasi!$B$2:$B$20000,A2315))</f>
        <v/>
      </c>
      <c r="D2315">
        <f>IF(A2315="","",SUMIF(Donasi!$B$2:$B$20000,A2315,Donasi!$C$2:$C$20000))</f>
        <v/>
      </c>
      <c r="E2315">
        <f>IF(A2315="","",6-CEILING(PERCENTRANK.INC($B$3:$B$6000,B2315,4)*5+0.000001,1))</f>
        <v/>
      </c>
      <c r="F2315">
        <f>IF(A2315="","",MAX(1,CEILING(PERCENTRANK.INC($C$3:$C$6000,C2315,4)*5+0.000001,1)))</f>
        <v/>
      </c>
      <c r="G2315">
        <f>IF(A2315="","",MAX(1,CEILING(PERCENTRANK.INC($D$3:$D$6000,D2315,4)*5+0.000001,1)))</f>
        <v/>
      </c>
      <c r="H2315">
        <f>IF(A2315="","",E2315&amp;F2315&amp;G2315)</f>
        <v/>
      </c>
      <c r="I2315">
        <f>IF(A2315="","",IF(AND(E2315&gt;=4,F2315&gt;=4,G2315&gt;=4),"Juara",IF(AND(F2315&gt;=4,E2315&gt;=3),"Setia",IF(AND(E2315=5,F2315&lt;=2,G2315&gt;=3),"Berpotensi",IF(AND(E2315&lt;=3,E2315&gt;=2,F2315&gt;=3),"Rawan",IF(AND(E2315&lt;=2,F2315&lt;=2),"Tidur","Umum"))))))</f>
        <v/>
      </c>
    </row>
    <row r="2316">
      <c r="B2316">
        <f>IF(A2316="","",$B$1-MAXIFS(Donasi!$A$2:$A$20000,Donasi!$B$2:$B$20000,A2316))</f>
        <v/>
      </c>
      <c r="C2316">
        <f>IF(A2316="","",COUNTIF(Donasi!$B$2:$B$20000,A2316))</f>
        <v/>
      </c>
      <c r="D2316">
        <f>IF(A2316="","",SUMIF(Donasi!$B$2:$B$20000,A2316,Donasi!$C$2:$C$20000))</f>
        <v/>
      </c>
      <c r="E2316">
        <f>IF(A2316="","",6-CEILING(PERCENTRANK.INC($B$3:$B$6000,B2316,4)*5+0.000001,1))</f>
        <v/>
      </c>
      <c r="F2316">
        <f>IF(A2316="","",MAX(1,CEILING(PERCENTRANK.INC($C$3:$C$6000,C2316,4)*5+0.000001,1)))</f>
        <v/>
      </c>
      <c r="G2316">
        <f>IF(A2316="","",MAX(1,CEILING(PERCENTRANK.INC($D$3:$D$6000,D2316,4)*5+0.000001,1)))</f>
        <v/>
      </c>
      <c r="H2316">
        <f>IF(A2316="","",E2316&amp;F2316&amp;G2316)</f>
        <v/>
      </c>
      <c r="I2316">
        <f>IF(A2316="","",IF(AND(E2316&gt;=4,F2316&gt;=4,G2316&gt;=4),"Juara",IF(AND(F2316&gt;=4,E2316&gt;=3),"Setia",IF(AND(E2316=5,F2316&lt;=2,G2316&gt;=3),"Berpotensi",IF(AND(E2316&lt;=3,E2316&gt;=2,F2316&gt;=3),"Rawan",IF(AND(E2316&lt;=2,F2316&lt;=2),"Tidur","Umum"))))))</f>
        <v/>
      </c>
    </row>
    <row r="2317">
      <c r="B2317">
        <f>IF(A2317="","",$B$1-MAXIFS(Donasi!$A$2:$A$20000,Donasi!$B$2:$B$20000,A2317))</f>
        <v/>
      </c>
      <c r="C2317">
        <f>IF(A2317="","",COUNTIF(Donasi!$B$2:$B$20000,A2317))</f>
        <v/>
      </c>
      <c r="D2317">
        <f>IF(A2317="","",SUMIF(Donasi!$B$2:$B$20000,A2317,Donasi!$C$2:$C$20000))</f>
        <v/>
      </c>
      <c r="E2317">
        <f>IF(A2317="","",6-CEILING(PERCENTRANK.INC($B$3:$B$6000,B2317,4)*5+0.000001,1))</f>
        <v/>
      </c>
      <c r="F2317">
        <f>IF(A2317="","",MAX(1,CEILING(PERCENTRANK.INC($C$3:$C$6000,C2317,4)*5+0.000001,1)))</f>
        <v/>
      </c>
      <c r="G2317">
        <f>IF(A2317="","",MAX(1,CEILING(PERCENTRANK.INC($D$3:$D$6000,D2317,4)*5+0.000001,1)))</f>
        <v/>
      </c>
      <c r="H2317">
        <f>IF(A2317="","",E2317&amp;F2317&amp;G2317)</f>
        <v/>
      </c>
      <c r="I2317">
        <f>IF(A2317="","",IF(AND(E2317&gt;=4,F2317&gt;=4,G2317&gt;=4),"Juara",IF(AND(F2317&gt;=4,E2317&gt;=3),"Setia",IF(AND(E2317=5,F2317&lt;=2,G2317&gt;=3),"Berpotensi",IF(AND(E2317&lt;=3,E2317&gt;=2,F2317&gt;=3),"Rawan",IF(AND(E2317&lt;=2,F2317&lt;=2),"Tidur","Umum"))))))</f>
        <v/>
      </c>
    </row>
    <row r="2318">
      <c r="B2318">
        <f>IF(A2318="","",$B$1-MAXIFS(Donasi!$A$2:$A$20000,Donasi!$B$2:$B$20000,A2318))</f>
        <v/>
      </c>
      <c r="C2318">
        <f>IF(A2318="","",COUNTIF(Donasi!$B$2:$B$20000,A2318))</f>
        <v/>
      </c>
      <c r="D2318">
        <f>IF(A2318="","",SUMIF(Donasi!$B$2:$B$20000,A2318,Donasi!$C$2:$C$20000))</f>
        <v/>
      </c>
      <c r="E2318">
        <f>IF(A2318="","",6-CEILING(PERCENTRANK.INC($B$3:$B$6000,B2318,4)*5+0.000001,1))</f>
        <v/>
      </c>
      <c r="F2318">
        <f>IF(A2318="","",MAX(1,CEILING(PERCENTRANK.INC($C$3:$C$6000,C2318,4)*5+0.000001,1)))</f>
        <v/>
      </c>
      <c r="G2318">
        <f>IF(A2318="","",MAX(1,CEILING(PERCENTRANK.INC($D$3:$D$6000,D2318,4)*5+0.000001,1)))</f>
        <v/>
      </c>
      <c r="H2318">
        <f>IF(A2318="","",E2318&amp;F2318&amp;G2318)</f>
        <v/>
      </c>
      <c r="I2318">
        <f>IF(A2318="","",IF(AND(E2318&gt;=4,F2318&gt;=4,G2318&gt;=4),"Juara",IF(AND(F2318&gt;=4,E2318&gt;=3),"Setia",IF(AND(E2318=5,F2318&lt;=2,G2318&gt;=3),"Berpotensi",IF(AND(E2318&lt;=3,E2318&gt;=2,F2318&gt;=3),"Rawan",IF(AND(E2318&lt;=2,F2318&lt;=2),"Tidur","Umum"))))))</f>
        <v/>
      </c>
    </row>
    <row r="2319">
      <c r="B2319">
        <f>IF(A2319="","",$B$1-MAXIFS(Donasi!$A$2:$A$20000,Donasi!$B$2:$B$20000,A2319))</f>
        <v/>
      </c>
      <c r="C2319">
        <f>IF(A2319="","",COUNTIF(Donasi!$B$2:$B$20000,A2319))</f>
        <v/>
      </c>
      <c r="D2319">
        <f>IF(A2319="","",SUMIF(Donasi!$B$2:$B$20000,A2319,Donasi!$C$2:$C$20000))</f>
        <v/>
      </c>
      <c r="E2319">
        <f>IF(A2319="","",6-CEILING(PERCENTRANK.INC($B$3:$B$6000,B2319,4)*5+0.000001,1))</f>
        <v/>
      </c>
      <c r="F2319">
        <f>IF(A2319="","",MAX(1,CEILING(PERCENTRANK.INC($C$3:$C$6000,C2319,4)*5+0.000001,1)))</f>
        <v/>
      </c>
      <c r="G2319">
        <f>IF(A2319="","",MAX(1,CEILING(PERCENTRANK.INC($D$3:$D$6000,D2319,4)*5+0.000001,1)))</f>
        <v/>
      </c>
      <c r="H2319">
        <f>IF(A2319="","",E2319&amp;F2319&amp;G2319)</f>
        <v/>
      </c>
      <c r="I2319">
        <f>IF(A2319="","",IF(AND(E2319&gt;=4,F2319&gt;=4,G2319&gt;=4),"Juara",IF(AND(F2319&gt;=4,E2319&gt;=3),"Setia",IF(AND(E2319=5,F2319&lt;=2,G2319&gt;=3),"Berpotensi",IF(AND(E2319&lt;=3,E2319&gt;=2,F2319&gt;=3),"Rawan",IF(AND(E2319&lt;=2,F2319&lt;=2),"Tidur","Umum"))))))</f>
        <v/>
      </c>
    </row>
    <row r="2320">
      <c r="B2320">
        <f>IF(A2320="","",$B$1-MAXIFS(Donasi!$A$2:$A$20000,Donasi!$B$2:$B$20000,A2320))</f>
        <v/>
      </c>
      <c r="C2320">
        <f>IF(A2320="","",COUNTIF(Donasi!$B$2:$B$20000,A2320))</f>
        <v/>
      </c>
      <c r="D2320">
        <f>IF(A2320="","",SUMIF(Donasi!$B$2:$B$20000,A2320,Donasi!$C$2:$C$20000))</f>
        <v/>
      </c>
      <c r="E2320">
        <f>IF(A2320="","",6-CEILING(PERCENTRANK.INC($B$3:$B$6000,B2320,4)*5+0.000001,1))</f>
        <v/>
      </c>
      <c r="F2320">
        <f>IF(A2320="","",MAX(1,CEILING(PERCENTRANK.INC($C$3:$C$6000,C2320,4)*5+0.000001,1)))</f>
        <v/>
      </c>
      <c r="G2320">
        <f>IF(A2320="","",MAX(1,CEILING(PERCENTRANK.INC($D$3:$D$6000,D2320,4)*5+0.000001,1)))</f>
        <v/>
      </c>
      <c r="H2320">
        <f>IF(A2320="","",E2320&amp;F2320&amp;G2320)</f>
        <v/>
      </c>
      <c r="I2320">
        <f>IF(A2320="","",IF(AND(E2320&gt;=4,F2320&gt;=4,G2320&gt;=4),"Juara",IF(AND(F2320&gt;=4,E2320&gt;=3),"Setia",IF(AND(E2320=5,F2320&lt;=2,G2320&gt;=3),"Berpotensi",IF(AND(E2320&lt;=3,E2320&gt;=2,F2320&gt;=3),"Rawan",IF(AND(E2320&lt;=2,F2320&lt;=2),"Tidur","Umum"))))))</f>
        <v/>
      </c>
    </row>
    <row r="2321">
      <c r="B2321">
        <f>IF(A2321="","",$B$1-MAXIFS(Donasi!$A$2:$A$20000,Donasi!$B$2:$B$20000,A2321))</f>
        <v/>
      </c>
      <c r="C2321">
        <f>IF(A2321="","",COUNTIF(Donasi!$B$2:$B$20000,A2321))</f>
        <v/>
      </c>
      <c r="D2321">
        <f>IF(A2321="","",SUMIF(Donasi!$B$2:$B$20000,A2321,Donasi!$C$2:$C$20000))</f>
        <v/>
      </c>
      <c r="E2321">
        <f>IF(A2321="","",6-CEILING(PERCENTRANK.INC($B$3:$B$6000,B2321,4)*5+0.000001,1))</f>
        <v/>
      </c>
      <c r="F2321">
        <f>IF(A2321="","",MAX(1,CEILING(PERCENTRANK.INC($C$3:$C$6000,C2321,4)*5+0.000001,1)))</f>
        <v/>
      </c>
      <c r="G2321">
        <f>IF(A2321="","",MAX(1,CEILING(PERCENTRANK.INC($D$3:$D$6000,D2321,4)*5+0.000001,1)))</f>
        <v/>
      </c>
      <c r="H2321">
        <f>IF(A2321="","",E2321&amp;F2321&amp;G2321)</f>
        <v/>
      </c>
      <c r="I2321">
        <f>IF(A2321="","",IF(AND(E2321&gt;=4,F2321&gt;=4,G2321&gt;=4),"Juara",IF(AND(F2321&gt;=4,E2321&gt;=3),"Setia",IF(AND(E2321=5,F2321&lt;=2,G2321&gt;=3),"Berpotensi",IF(AND(E2321&lt;=3,E2321&gt;=2,F2321&gt;=3),"Rawan",IF(AND(E2321&lt;=2,F2321&lt;=2),"Tidur","Umum"))))))</f>
        <v/>
      </c>
    </row>
    <row r="2322">
      <c r="B2322">
        <f>IF(A2322="","",$B$1-MAXIFS(Donasi!$A$2:$A$20000,Donasi!$B$2:$B$20000,A2322))</f>
        <v/>
      </c>
      <c r="C2322">
        <f>IF(A2322="","",COUNTIF(Donasi!$B$2:$B$20000,A2322))</f>
        <v/>
      </c>
      <c r="D2322">
        <f>IF(A2322="","",SUMIF(Donasi!$B$2:$B$20000,A2322,Donasi!$C$2:$C$20000))</f>
        <v/>
      </c>
      <c r="E2322">
        <f>IF(A2322="","",6-CEILING(PERCENTRANK.INC($B$3:$B$6000,B2322,4)*5+0.000001,1))</f>
        <v/>
      </c>
      <c r="F2322">
        <f>IF(A2322="","",MAX(1,CEILING(PERCENTRANK.INC($C$3:$C$6000,C2322,4)*5+0.000001,1)))</f>
        <v/>
      </c>
      <c r="G2322">
        <f>IF(A2322="","",MAX(1,CEILING(PERCENTRANK.INC($D$3:$D$6000,D2322,4)*5+0.000001,1)))</f>
        <v/>
      </c>
      <c r="H2322">
        <f>IF(A2322="","",E2322&amp;F2322&amp;G2322)</f>
        <v/>
      </c>
      <c r="I2322">
        <f>IF(A2322="","",IF(AND(E2322&gt;=4,F2322&gt;=4,G2322&gt;=4),"Juara",IF(AND(F2322&gt;=4,E2322&gt;=3),"Setia",IF(AND(E2322=5,F2322&lt;=2,G2322&gt;=3),"Berpotensi",IF(AND(E2322&lt;=3,E2322&gt;=2,F2322&gt;=3),"Rawan",IF(AND(E2322&lt;=2,F2322&lt;=2),"Tidur","Umum"))))))</f>
        <v/>
      </c>
    </row>
    <row r="2323">
      <c r="B2323">
        <f>IF(A2323="","",$B$1-MAXIFS(Donasi!$A$2:$A$20000,Donasi!$B$2:$B$20000,A2323))</f>
        <v/>
      </c>
      <c r="C2323">
        <f>IF(A2323="","",COUNTIF(Donasi!$B$2:$B$20000,A2323))</f>
        <v/>
      </c>
      <c r="D2323">
        <f>IF(A2323="","",SUMIF(Donasi!$B$2:$B$20000,A2323,Donasi!$C$2:$C$20000))</f>
        <v/>
      </c>
      <c r="E2323">
        <f>IF(A2323="","",6-CEILING(PERCENTRANK.INC($B$3:$B$6000,B2323,4)*5+0.000001,1))</f>
        <v/>
      </c>
      <c r="F2323">
        <f>IF(A2323="","",MAX(1,CEILING(PERCENTRANK.INC($C$3:$C$6000,C2323,4)*5+0.000001,1)))</f>
        <v/>
      </c>
      <c r="G2323">
        <f>IF(A2323="","",MAX(1,CEILING(PERCENTRANK.INC($D$3:$D$6000,D2323,4)*5+0.000001,1)))</f>
        <v/>
      </c>
      <c r="H2323">
        <f>IF(A2323="","",E2323&amp;F2323&amp;G2323)</f>
        <v/>
      </c>
      <c r="I2323">
        <f>IF(A2323="","",IF(AND(E2323&gt;=4,F2323&gt;=4,G2323&gt;=4),"Juara",IF(AND(F2323&gt;=4,E2323&gt;=3),"Setia",IF(AND(E2323=5,F2323&lt;=2,G2323&gt;=3),"Berpotensi",IF(AND(E2323&lt;=3,E2323&gt;=2,F2323&gt;=3),"Rawan",IF(AND(E2323&lt;=2,F2323&lt;=2),"Tidur","Umum"))))))</f>
        <v/>
      </c>
    </row>
    <row r="2324">
      <c r="B2324">
        <f>IF(A2324="","",$B$1-MAXIFS(Donasi!$A$2:$A$20000,Donasi!$B$2:$B$20000,A2324))</f>
        <v/>
      </c>
      <c r="C2324">
        <f>IF(A2324="","",COUNTIF(Donasi!$B$2:$B$20000,A2324))</f>
        <v/>
      </c>
      <c r="D2324">
        <f>IF(A2324="","",SUMIF(Donasi!$B$2:$B$20000,A2324,Donasi!$C$2:$C$20000))</f>
        <v/>
      </c>
      <c r="E2324">
        <f>IF(A2324="","",6-CEILING(PERCENTRANK.INC($B$3:$B$6000,B2324,4)*5+0.000001,1))</f>
        <v/>
      </c>
      <c r="F2324">
        <f>IF(A2324="","",MAX(1,CEILING(PERCENTRANK.INC($C$3:$C$6000,C2324,4)*5+0.000001,1)))</f>
        <v/>
      </c>
      <c r="G2324">
        <f>IF(A2324="","",MAX(1,CEILING(PERCENTRANK.INC($D$3:$D$6000,D2324,4)*5+0.000001,1)))</f>
        <v/>
      </c>
      <c r="H2324">
        <f>IF(A2324="","",E2324&amp;F2324&amp;G2324)</f>
        <v/>
      </c>
      <c r="I2324">
        <f>IF(A2324="","",IF(AND(E2324&gt;=4,F2324&gt;=4,G2324&gt;=4),"Juara",IF(AND(F2324&gt;=4,E2324&gt;=3),"Setia",IF(AND(E2324=5,F2324&lt;=2,G2324&gt;=3),"Berpotensi",IF(AND(E2324&lt;=3,E2324&gt;=2,F2324&gt;=3),"Rawan",IF(AND(E2324&lt;=2,F2324&lt;=2),"Tidur","Umum"))))))</f>
        <v/>
      </c>
    </row>
    <row r="2325">
      <c r="B2325">
        <f>IF(A2325="","",$B$1-MAXIFS(Donasi!$A$2:$A$20000,Donasi!$B$2:$B$20000,A2325))</f>
        <v/>
      </c>
      <c r="C2325">
        <f>IF(A2325="","",COUNTIF(Donasi!$B$2:$B$20000,A2325))</f>
        <v/>
      </c>
      <c r="D2325">
        <f>IF(A2325="","",SUMIF(Donasi!$B$2:$B$20000,A2325,Donasi!$C$2:$C$20000))</f>
        <v/>
      </c>
      <c r="E2325">
        <f>IF(A2325="","",6-CEILING(PERCENTRANK.INC($B$3:$B$6000,B2325,4)*5+0.000001,1))</f>
        <v/>
      </c>
      <c r="F2325">
        <f>IF(A2325="","",MAX(1,CEILING(PERCENTRANK.INC($C$3:$C$6000,C2325,4)*5+0.000001,1)))</f>
        <v/>
      </c>
      <c r="G2325">
        <f>IF(A2325="","",MAX(1,CEILING(PERCENTRANK.INC($D$3:$D$6000,D2325,4)*5+0.000001,1)))</f>
        <v/>
      </c>
      <c r="H2325">
        <f>IF(A2325="","",E2325&amp;F2325&amp;G2325)</f>
        <v/>
      </c>
      <c r="I2325">
        <f>IF(A2325="","",IF(AND(E2325&gt;=4,F2325&gt;=4,G2325&gt;=4),"Juara",IF(AND(F2325&gt;=4,E2325&gt;=3),"Setia",IF(AND(E2325=5,F2325&lt;=2,G2325&gt;=3),"Berpotensi",IF(AND(E2325&lt;=3,E2325&gt;=2,F2325&gt;=3),"Rawan",IF(AND(E2325&lt;=2,F2325&lt;=2),"Tidur","Umum"))))))</f>
        <v/>
      </c>
    </row>
    <row r="2326">
      <c r="B2326">
        <f>IF(A2326="","",$B$1-MAXIFS(Donasi!$A$2:$A$20000,Donasi!$B$2:$B$20000,A2326))</f>
        <v/>
      </c>
      <c r="C2326">
        <f>IF(A2326="","",COUNTIF(Donasi!$B$2:$B$20000,A2326))</f>
        <v/>
      </c>
      <c r="D2326">
        <f>IF(A2326="","",SUMIF(Donasi!$B$2:$B$20000,A2326,Donasi!$C$2:$C$20000))</f>
        <v/>
      </c>
      <c r="E2326">
        <f>IF(A2326="","",6-CEILING(PERCENTRANK.INC($B$3:$B$6000,B2326,4)*5+0.000001,1))</f>
        <v/>
      </c>
      <c r="F2326">
        <f>IF(A2326="","",MAX(1,CEILING(PERCENTRANK.INC($C$3:$C$6000,C2326,4)*5+0.000001,1)))</f>
        <v/>
      </c>
      <c r="G2326">
        <f>IF(A2326="","",MAX(1,CEILING(PERCENTRANK.INC($D$3:$D$6000,D2326,4)*5+0.000001,1)))</f>
        <v/>
      </c>
      <c r="H2326">
        <f>IF(A2326="","",E2326&amp;F2326&amp;G2326)</f>
        <v/>
      </c>
      <c r="I2326">
        <f>IF(A2326="","",IF(AND(E2326&gt;=4,F2326&gt;=4,G2326&gt;=4),"Juara",IF(AND(F2326&gt;=4,E2326&gt;=3),"Setia",IF(AND(E2326=5,F2326&lt;=2,G2326&gt;=3),"Berpotensi",IF(AND(E2326&lt;=3,E2326&gt;=2,F2326&gt;=3),"Rawan",IF(AND(E2326&lt;=2,F2326&lt;=2),"Tidur","Umum"))))))</f>
        <v/>
      </c>
    </row>
    <row r="2327">
      <c r="B2327">
        <f>IF(A2327="","",$B$1-MAXIFS(Donasi!$A$2:$A$20000,Donasi!$B$2:$B$20000,A2327))</f>
        <v/>
      </c>
      <c r="C2327">
        <f>IF(A2327="","",COUNTIF(Donasi!$B$2:$B$20000,A2327))</f>
        <v/>
      </c>
      <c r="D2327">
        <f>IF(A2327="","",SUMIF(Donasi!$B$2:$B$20000,A2327,Donasi!$C$2:$C$20000))</f>
        <v/>
      </c>
      <c r="E2327">
        <f>IF(A2327="","",6-CEILING(PERCENTRANK.INC($B$3:$B$6000,B2327,4)*5+0.000001,1))</f>
        <v/>
      </c>
      <c r="F2327">
        <f>IF(A2327="","",MAX(1,CEILING(PERCENTRANK.INC($C$3:$C$6000,C2327,4)*5+0.000001,1)))</f>
        <v/>
      </c>
      <c r="G2327">
        <f>IF(A2327="","",MAX(1,CEILING(PERCENTRANK.INC($D$3:$D$6000,D2327,4)*5+0.000001,1)))</f>
        <v/>
      </c>
      <c r="H2327">
        <f>IF(A2327="","",E2327&amp;F2327&amp;G2327)</f>
        <v/>
      </c>
      <c r="I2327">
        <f>IF(A2327="","",IF(AND(E2327&gt;=4,F2327&gt;=4,G2327&gt;=4),"Juara",IF(AND(F2327&gt;=4,E2327&gt;=3),"Setia",IF(AND(E2327=5,F2327&lt;=2,G2327&gt;=3),"Berpotensi",IF(AND(E2327&lt;=3,E2327&gt;=2,F2327&gt;=3),"Rawan",IF(AND(E2327&lt;=2,F2327&lt;=2),"Tidur","Umum"))))))</f>
        <v/>
      </c>
    </row>
    <row r="2328">
      <c r="B2328">
        <f>IF(A2328="","",$B$1-MAXIFS(Donasi!$A$2:$A$20000,Donasi!$B$2:$B$20000,A2328))</f>
        <v/>
      </c>
      <c r="C2328">
        <f>IF(A2328="","",COUNTIF(Donasi!$B$2:$B$20000,A2328))</f>
        <v/>
      </c>
      <c r="D2328">
        <f>IF(A2328="","",SUMIF(Donasi!$B$2:$B$20000,A2328,Donasi!$C$2:$C$20000))</f>
        <v/>
      </c>
      <c r="E2328">
        <f>IF(A2328="","",6-CEILING(PERCENTRANK.INC($B$3:$B$6000,B2328,4)*5+0.000001,1))</f>
        <v/>
      </c>
      <c r="F2328">
        <f>IF(A2328="","",MAX(1,CEILING(PERCENTRANK.INC($C$3:$C$6000,C2328,4)*5+0.000001,1)))</f>
        <v/>
      </c>
      <c r="G2328">
        <f>IF(A2328="","",MAX(1,CEILING(PERCENTRANK.INC($D$3:$D$6000,D2328,4)*5+0.000001,1)))</f>
        <v/>
      </c>
      <c r="H2328">
        <f>IF(A2328="","",E2328&amp;F2328&amp;G2328)</f>
        <v/>
      </c>
      <c r="I2328">
        <f>IF(A2328="","",IF(AND(E2328&gt;=4,F2328&gt;=4,G2328&gt;=4),"Juara",IF(AND(F2328&gt;=4,E2328&gt;=3),"Setia",IF(AND(E2328=5,F2328&lt;=2,G2328&gt;=3),"Berpotensi",IF(AND(E2328&lt;=3,E2328&gt;=2,F2328&gt;=3),"Rawan",IF(AND(E2328&lt;=2,F2328&lt;=2),"Tidur","Umum"))))))</f>
        <v/>
      </c>
    </row>
    <row r="2329">
      <c r="B2329">
        <f>IF(A2329="","",$B$1-MAXIFS(Donasi!$A$2:$A$20000,Donasi!$B$2:$B$20000,A2329))</f>
        <v/>
      </c>
      <c r="C2329">
        <f>IF(A2329="","",COUNTIF(Donasi!$B$2:$B$20000,A2329))</f>
        <v/>
      </c>
      <c r="D2329">
        <f>IF(A2329="","",SUMIF(Donasi!$B$2:$B$20000,A2329,Donasi!$C$2:$C$20000))</f>
        <v/>
      </c>
      <c r="E2329">
        <f>IF(A2329="","",6-CEILING(PERCENTRANK.INC($B$3:$B$6000,B2329,4)*5+0.000001,1))</f>
        <v/>
      </c>
      <c r="F2329">
        <f>IF(A2329="","",MAX(1,CEILING(PERCENTRANK.INC($C$3:$C$6000,C2329,4)*5+0.000001,1)))</f>
        <v/>
      </c>
      <c r="G2329">
        <f>IF(A2329="","",MAX(1,CEILING(PERCENTRANK.INC($D$3:$D$6000,D2329,4)*5+0.000001,1)))</f>
        <v/>
      </c>
      <c r="H2329">
        <f>IF(A2329="","",E2329&amp;F2329&amp;G2329)</f>
        <v/>
      </c>
      <c r="I2329">
        <f>IF(A2329="","",IF(AND(E2329&gt;=4,F2329&gt;=4,G2329&gt;=4),"Juara",IF(AND(F2329&gt;=4,E2329&gt;=3),"Setia",IF(AND(E2329=5,F2329&lt;=2,G2329&gt;=3),"Berpotensi",IF(AND(E2329&lt;=3,E2329&gt;=2,F2329&gt;=3),"Rawan",IF(AND(E2329&lt;=2,F2329&lt;=2),"Tidur","Umum"))))))</f>
        <v/>
      </c>
    </row>
    <row r="2330">
      <c r="B2330">
        <f>IF(A2330="","",$B$1-MAXIFS(Donasi!$A$2:$A$20000,Donasi!$B$2:$B$20000,A2330))</f>
        <v/>
      </c>
      <c r="C2330">
        <f>IF(A2330="","",COUNTIF(Donasi!$B$2:$B$20000,A2330))</f>
        <v/>
      </c>
      <c r="D2330">
        <f>IF(A2330="","",SUMIF(Donasi!$B$2:$B$20000,A2330,Donasi!$C$2:$C$20000))</f>
        <v/>
      </c>
      <c r="E2330">
        <f>IF(A2330="","",6-CEILING(PERCENTRANK.INC($B$3:$B$6000,B2330,4)*5+0.000001,1))</f>
        <v/>
      </c>
      <c r="F2330">
        <f>IF(A2330="","",MAX(1,CEILING(PERCENTRANK.INC($C$3:$C$6000,C2330,4)*5+0.000001,1)))</f>
        <v/>
      </c>
      <c r="G2330">
        <f>IF(A2330="","",MAX(1,CEILING(PERCENTRANK.INC($D$3:$D$6000,D2330,4)*5+0.000001,1)))</f>
        <v/>
      </c>
      <c r="H2330">
        <f>IF(A2330="","",E2330&amp;F2330&amp;G2330)</f>
        <v/>
      </c>
      <c r="I2330">
        <f>IF(A2330="","",IF(AND(E2330&gt;=4,F2330&gt;=4,G2330&gt;=4),"Juara",IF(AND(F2330&gt;=4,E2330&gt;=3),"Setia",IF(AND(E2330=5,F2330&lt;=2,G2330&gt;=3),"Berpotensi",IF(AND(E2330&lt;=3,E2330&gt;=2,F2330&gt;=3),"Rawan",IF(AND(E2330&lt;=2,F2330&lt;=2),"Tidur","Umum"))))))</f>
        <v/>
      </c>
    </row>
    <row r="2331">
      <c r="B2331">
        <f>IF(A2331="","",$B$1-MAXIFS(Donasi!$A$2:$A$20000,Donasi!$B$2:$B$20000,A2331))</f>
        <v/>
      </c>
      <c r="C2331">
        <f>IF(A2331="","",COUNTIF(Donasi!$B$2:$B$20000,A2331))</f>
        <v/>
      </c>
      <c r="D2331">
        <f>IF(A2331="","",SUMIF(Donasi!$B$2:$B$20000,A2331,Donasi!$C$2:$C$20000))</f>
        <v/>
      </c>
      <c r="E2331">
        <f>IF(A2331="","",6-CEILING(PERCENTRANK.INC($B$3:$B$6000,B2331,4)*5+0.000001,1))</f>
        <v/>
      </c>
      <c r="F2331">
        <f>IF(A2331="","",MAX(1,CEILING(PERCENTRANK.INC($C$3:$C$6000,C2331,4)*5+0.000001,1)))</f>
        <v/>
      </c>
      <c r="G2331">
        <f>IF(A2331="","",MAX(1,CEILING(PERCENTRANK.INC($D$3:$D$6000,D2331,4)*5+0.000001,1)))</f>
        <v/>
      </c>
      <c r="H2331">
        <f>IF(A2331="","",E2331&amp;F2331&amp;G2331)</f>
        <v/>
      </c>
      <c r="I2331">
        <f>IF(A2331="","",IF(AND(E2331&gt;=4,F2331&gt;=4,G2331&gt;=4),"Juara",IF(AND(F2331&gt;=4,E2331&gt;=3),"Setia",IF(AND(E2331=5,F2331&lt;=2,G2331&gt;=3),"Berpotensi",IF(AND(E2331&lt;=3,E2331&gt;=2,F2331&gt;=3),"Rawan",IF(AND(E2331&lt;=2,F2331&lt;=2),"Tidur","Umum"))))))</f>
        <v/>
      </c>
    </row>
    <row r="2332">
      <c r="B2332">
        <f>IF(A2332="","",$B$1-MAXIFS(Donasi!$A$2:$A$20000,Donasi!$B$2:$B$20000,A2332))</f>
        <v/>
      </c>
      <c r="C2332">
        <f>IF(A2332="","",COUNTIF(Donasi!$B$2:$B$20000,A2332))</f>
        <v/>
      </c>
      <c r="D2332">
        <f>IF(A2332="","",SUMIF(Donasi!$B$2:$B$20000,A2332,Donasi!$C$2:$C$20000))</f>
        <v/>
      </c>
      <c r="E2332">
        <f>IF(A2332="","",6-CEILING(PERCENTRANK.INC($B$3:$B$6000,B2332,4)*5+0.000001,1))</f>
        <v/>
      </c>
      <c r="F2332">
        <f>IF(A2332="","",MAX(1,CEILING(PERCENTRANK.INC($C$3:$C$6000,C2332,4)*5+0.000001,1)))</f>
        <v/>
      </c>
      <c r="G2332">
        <f>IF(A2332="","",MAX(1,CEILING(PERCENTRANK.INC($D$3:$D$6000,D2332,4)*5+0.000001,1)))</f>
        <v/>
      </c>
      <c r="H2332">
        <f>IF(A2332="","",E2332&amp;F2332&amp;G2332)</f>
        <v/>
      </c>
      <c r="I2332">
        <f>IF(A2332="","",IF(AND(E2332&gt;=4,F2332&gt;=4,G2332&gt;=4),"Juara",IF(AND(F2332&gt;=4,E2332&gt;=3),"Setia",IF(AND(E2332=5,F2332&lt;=2,G2332&gt;=3),"Berpotensi",IF(AND(E2332&lt;=3,E2332&gt;=2,F2332&gt;=3),"Rawan",IF(AND(E2332&lt;=2,F2332&lt;=2),"Tidur","Umum"))))))</f>
        <v/>
      </c>
    </row>
    <row r="2333">
      <c r="B2333">
        <f>IF(A2333="","",$B$1-MAXIFS(Donasi!$A$2:$A$20000,Donasi!$B$2:$B$20000,A2333))</f>
        <v/>
      </c>
      <c r="C2333">
        <f>IF(A2333="","",COUNTIF(Donasi!$B$2:$B$20000,A2333))</f>
        <v/>
      </c>
      <c r="D2333">
        <f>IF(A2333="","",SUMIF(Donasi!$B$2:$B$20000,A2333,Donasi!$C$2:$C$20000))</f>
        <v/>
      </c>
      <c r="E2333">
        <f>IF(A2333="","",6-CEILING(PERCENTRANK.INC($B$3:$B$6000,B2333,4)*5+0.000001,1))</f>
        <v/>
      </c>
      <c r="F2333">
        <f>IF(A2333="","",MAX(1,CEILING(PERCENTRANK.INC($C$3:$C$6000,C2333,4)*5+0.000001,1)))</f>
        <v/>
      </c>
      <c r="G2333">
        <f>IF(A2333="","",MAX(1,CEILING(PERCENTRANK.INC($D$3:$D$6000,D2333,4)*5+0.000001,1)))</f>
        <v/>
      </c>
      <c r="H2333">
        <f>IF(A2333="","",E2333&amp;F2333&amp;G2333)</f>
        <v/>
      </c>
      <c r="I2333">
        <f>IF(A2333="","",IF(AND(E2333&gt;=4,F2333&gt;=4,G2333&gt;=4),"Juara",IF(AND(F2333&gt;=4,E2333&gt;=3),"Setia",IF(AND(E2333=5,F2333&lt;=2,G2333&gt;=3),"Berpotensi",IF(AND(E2333&lt;=3,E2333&gt;=2,F2333&gt;=3),"Rawan",IF(AND(E2333&lt;=2,F2333&lt;=2),"Tidur","Umum"))))))</f>
        <v/>
      </c>
    </row>
    <row r="2334">
      <c r="B2334">
        <f>IF(A2334="","",$B$1-MAXIFS(Donasi!$A$2:$A$20000,Donasi!$B$2:$B$20000,A2334))</f>
        <v/>
      </c>
      <c r="C2334">
        <f>IF(A2334="","",COUNTIF(Donasi!$B$2:$B$20000,A2334))</f>
        <v/>
      </c>
      <c r="D2334">
        <f>IF(A2334="","",SUMIF(Donasi!$B$2:$B$20000,A2334,Donasi!$C$2:$C$20000))</f>
        <v/>
      </c>
      <c r="E2334">
        <f>IF(A2334="","",6-CEILING(PERCENTRANK.INC($B$3:$B$6000,B2334,4)*5+0.000001,1))</f>
        <v/>
      </c>
      <c r="F2334">
        <f>IF(A2334="","",MAX(1,CEILING(PERCENTRANK.INC($C$3:$C$6000,C2334,4)*5+0.000001,1)))</f>
        <v/>
      </c>
      <c r="G2334">
        <f>IF(A2334="","",MAX(1,CEILING(PERCENTRANK.INC($D$3:$D$6000,D2334,4)*5+0.000001,1)))</f>
        <v/>
      </c>
      <c r="H2334">
        <f>IF(A2334="","",E2334&amp;F2334&amp;G2334)</f>
        <v/>
      </c>
      <c r="I2334">
        <f>IF(A2334="","",IF(AND(E2334&gt;=4,F2334&gt;=4,G2334&gt;=4),"Juara",IF(AND(F2334&gt;=4,E2334&gt;=3),"Setia",IF(AND(E2334=5,F2334&lt;=2,G2334&gt;=3),"Berpotensi",IF(AND(E2334&lt;=3,E2334&gt;=2,F2334&gt;=3),"Rawan",IF(AND(E2334&lt;=2,F2334&lt;=2),"Tidur","Umum"))))))</f>
        <v/>
      </c>
    </row>
    <row r="2335">
      <c r="B2335">
        <f>IF(A2335="","",$B$1-MAXIFS(Donasi!$A$2:$A$20000,Donasi!$B$2:$B$20000,A2335))</f>
        <v/>
      </c>
      <c r="C2335">
        <f>IF(A2335="","",COUNTIF(Donasi!$B$2:$B$20000,A2335))</f>
        <v/>
      </c>
      <c r="D2335">
        <f>IF(A2335="","",SUMIF(Donasi!$B$2:$B$20000,A2335,Donasi!$C$2:$C$20000))</f>
        <v/>
      </c>
      <c r="E2335">
        <f>IF(A2335="","",6-CEILING(PERCENTRANK.INC($B$3:$B$6000,B2335,4)*5+0.000001,1))</f>
        <v/>
      </c>
      <c r="F2335">
        <f>IF(A2335="","",MAX(1,CEILING(PERCENTRANK.INC($C$3:$C$6000,C2335,4)*5+0.000001,1)))</f>
        <v/>
      </c>
      <c r="G2335">
        <f>IF(A2335="","",MAX(1,CEILING(PERCENTRANK.INC($D$3:$D$6000,D2335,4)*5+0.000001,1)))</f>
        <v/>
      </c>
      <c r="H2335">
        <f>IF(A2335="","",E2335&amp;F2335&amp;G2335)</f>
        <v/>
      </c>
      <c r="I2335">
        <f>IF(A2335="","",IF(AND(E2335&gt;=4,F2335&gt;=4,G2335&gt;=4),"Juara",IF(AND(F2335&gt;=4,E2335&gt;=3),"Setia",IF(AND(E2335=5,F2335&lt;=2,G2335&gt;=3),"Berpotensi",IF(AND(E2335&lt;=3,E2335&gt;=2,F2335&gt;=3),"Rawan",IF(AND(E2335&lt;=2,F2335&lt;=2),"Tidur","Umum"))))))</f>
        <v/>
      </c>
    </row>
    <row r="2336">
      <c r="B2336">
        <f>IF(A2336="","",$B$1-MAXIFS(Donasi!$A$2:$A$20000,Donasi!$B$2:$B$20000,A2336))</f>
        <v/>
      </c>
      <c r="C2336">
        <f>IF(A2336="","",COUNTIF(Donasi!$B$2:$B$20000,A2336))</f>
        <v/>
      </c>
      <c r="D2336">
        <f>IF(A2336="","",SUMIF(Donasi!$B$2:$B$20000,A2336,Donasi!$C$2:$C$20000))</f>
        <v/>
      </c>
      <c r="E2336">
        <f>IF(A2336="","",6-CEILING(PERCENTRANK.INC($B$3:$B$6000,B2336,4)*5+0.000001,1))</f>
        <v/>
      </c>
      <c r="F2336">
        <f>IF(A2336="","",MAX(1,CEILING(PERCENTRANK.INC($C$3:$C$6000,C2336,4)*5+0.000001,1)))</f>
        <v/>
      </c>
      <c r="G2336">
        <f>IF(A2336="","",MAX(1,CEILING(PERCENTRANK.INC($D$3:$D$6000,D2336,4)*5+0.000001,1)))</f>
        <v/>
      </c>
      <c r="H2336">
        <f>IF(A2336="","",E2336&amp;F2336&amp;G2336)</f>
        <v/>
      </c>
      <c r="I2336">
        <f>IF(A2336="","",IF(AND(E2336&gt;=4,F2336&gt;=4,G2336&gt;=4),"Juara",IF(AND(F2336&gt;=4,E2336&gt;=3),"Setia",IF(AND(E2336=5,F2336&lt;=2,G2336&gt;=3),"Berpotensi",IF(AND(E2336&lt;=3,E2336&gt;=2,F2336&gt;=3),"Rawan",IF(AND(E2336&lt;=2,F2336&lt;=2),"Tidur","Umum"))))))</f>
        <v/>
      </c>
    </row>
    <row r="2337">
      <c r="B2337">
        <f>IF(A2337="","",$B$1-MAXIFS(Donasi!$A$2:$A$20000,Donasi!$B$2:$B$20000,A2337))</f>
        <v/>
      </c>
      <c r="C2337">
        <f>IF(A2337="","",COUNTIF(Donasi!$B$2:$B$20000,A2337))</f>
        <v/>
      </c>
      <c r="D2337">
        <f>IF(A2337="","",SUMIF(Donasi!$B$2:$B$20000,A2337,Donasi!$C$2:$C$20000))</f>
        <v/>
      </c>
      <c r="E2337">
        <f>IF(A2337="","",6-CEILING(PERCENTRANK.INC($B$3:$B$6000,B2337,4)*5+0.000001,1))</f>
        <v/>
      </c>
      <c r="F2337">
        <f>IF(A2337="","",MAX(1,CEILING(PERCENTRANK.INC($C$3:$C$6000,C2337,4)*5+0.000001,1)))</f>
        <v/>
      </c>
      <c r="G2337">
        <f>IF(A2337="","",MAX(1,CEILING(PERCENTRANK.INC($D$3:$D$6000,D2337,4)*5+0.000001,1)))</f>
        <v/>
      </c>
      <c r="H2337">
        <f>IF(A2337="","",E2337&amp;F2337&amp;G2337)</f>
        <v/>
      </c>
      <c r="I2337">
        <f>IF(A2337="","",IF(AND(E2337&gt;=4,F2337&gt;=4,G2337&gt;=4),"Juara",IF(AND(F2337&gt;=4,E2337&gt;=3),"Setia",IF(AND(E2337=5,F2337&lt;=2,G2337&gt;=3),"Berpotensi",IF(AND(E2337&lt;=3,E2337&gt;=2,F2337&gt;=3),"Rawan",IF(AND(E2337&lt;=2,F2337&lt;=2),"Tidur","Umum"))))))</f>
        <v/>
      </c>
    </row>
    <row r="2338">
      <c r="B2338">
        <f>IF(A2338="","",$B$1-MAXIFS(Donasi!$A$2:$A$20000,Donasi!$B$2:$B$20000,A2338))</f>
        <v/>
      </c>
      <c r="C2338">
        <f>IF(A2338="","",COUNTIF(Donasi!$B$2:$B$20000,A2338))</f>
        <v/>
      </c>
      <c r="D2338">
        <f>IF(A2338="","",SUMIF(Donasi!$B$2:$B$20000,A2338,Donasi!$C$2:$C$20000))</f>
        <v/>
      </c>
      <c r="E2338">
        <f>IF(A2338="","",6-CEILING(PERCENTRANK.INC($B$3:$B$6000,B2338,4)*5+0.000001,1))</f>
        <v/>
      </c>
      <c r="F2338">
        <f>IF(A2338="","",MAX(1,CEILING(PERCENTRANK.INC($C$3:$C$6000,C2338,4)*5+0.000001,1)))</f>
        <v/>
      </c>
      <c r="G2338">
        <f>IF(A2338="","",MAX(1,CEILING(PERCENTRANK.INC($D$3:$D$6000,D2338,4)*5+0.000001,1)))</f>
        <v/>
      </c>
      <c r="H2338">
        <f>IF(A2338="","",E2338&amp;F2338&amp;G2338)</f>
        <v/>
      </c>
      <c r="I2338">
        <f>IF(A2338="","",IF(AND(E2338&gt;=4,F2338&gt;=4,G2338&gt;=4),"Juara",IF(AND(F2338&gt;=4,E2338&gt;=3),"Setia",IF(AND(E2338=5,F2338&lt;=2,G2338&gt;=3),"Berpotensi",IF(AND(E2338&lt;=3,E2338&gt;=2,F2338&gt;=3),"Rawan",IF(AND(E2338&lt;=2,F2338&lt;=2),"Tidur","Umum"))))))</f>
        <v/>
      </c>
    </row>
    <row r="2339">
      <c r="B2339">
        <f>IF(A2339="","",$B$1-MAXIFS(Donasi!$A$2:$A$20000,Donasi!$B$2:$B$20000,A2339))</f>
        <v/>
      </c>
      <c r="C2339">
        <f>IF(A2339="","",COUNTIF(Donasi!$B$2:$B$20000,A2339))</f>
        <v/>
      </c>
      <c r="D2339">
        <f>IF(A2339="","",SUMIF(Donasi!$B$2:$B$20000,A2339,Donasi!$C$2:$C$20000))</f>
        <v/>
      </c>
      <c r="E2339">
        <f>IF(A2339="","",6-CEILING(PERCENTRANK.INC($B$3:$B$6000,B2339,4)*5+0.000001,1))</f>
        <v/>
      </c>
      <c r="F2339">
        <f>IF(A2339="","",MAX(1,CEILING(PERCENTRANK.INC($C$3:$C$6000,C2339,4)*5+0.000001,1)))</f>
        <v/>
      </c>
      <c r="G2339">
        <f>IF(A2339="","",MAX(1,CEILING(PERCENTRANK.INC($D$3:$D$6000,D2339,4)*5+0.000001,1)))</f>
        <v/>
      </c>
      <c r="H2339">
        <f>IF(A2339="","",E2339&amp;F2339&amp;G2339)</f>
        <v/>
      </c>
      <c r="I2339">
        <f>IF(A2339="","",IF(AND(E2339&gt;=4,F2339&gt;=4,G2339&gt;=4),"Juara",IF(AND(F2339&gt;=4,E2339&gt;=3),"Setia",IF(AND(E2339=5,F2339&lt;=2,G2339&gt;=3),"Berpotensi",IF(AND(E2339&lt;=3,E2339&gt;=2,F2339&gt;=3),"Rawan",IF(AND(E2339&lt;=2,F2339&lt;=2),"Tidur","Umum"))))))</f>
        <v/>
      </c>
    </row>
    <row r="2340">
      <c r="B2340">
        <f>IF(A2340="","",$B$1-MAXIFS(Donasi!$A$2:$A$20000,Donasi!$B$2:$B$20000,A2340))</f>
        <v/>
      </c>
      <c r="C2340">
        <f>IF(A2340="","",COUNTIF(Donasi!$B$2:$B$20000,A2340))</f>
        <v/>
      </c>
      <c r="D2340">
        <f>IF(A2340="","",SUMIF(Donasi!$B$2:$B$20000,A2340,Donasi!$C$2:$C$20000))</f>
        <v/>
      </c>
      <c r="E2340">
        <f>IF(A2340="","",6-CEILING(PERCENTRANK.INC($B$3:$B$6000,B2340,4)*5+0.000001,1))</f>
        <v/>
      </c>
      <c r="F2340">
        <f>IF(A2340="","",MAX(1,CEILING(PERCENTRANK.INC($C$3:$C$6000,C2340,4)*5+0.000001,1)))</f>
        <v/>
      </c>
      <c r="G2340">
        <f>IF(A2340="","",MAX(1,CEILING(PERCENTRANK.INC($D$3:$D$6000,D2340,4)*5+0.000001,1)))</f>
        <v/>
      </c>
      <c r="H2340">
        <f>IF(A2340="","",E2340&amp;F2340&amp;G2340)</f>
        <v/>
      </c>
      <c r="I2340">
        <f>IF(A2340="","",IF(AND(E2340&gt;=4,F2340&gt;=4,G2340&gt;=4),"Juara",IF(AND(F2340&gt;=4,E2340&gt;=3),"Setia",IF(AND(E2340=5,F2340&lt;=2,G2340&gt;=3),"Berpotensi",IF(AND(E2340&lt;=3,E2340&gt;=2,F2340&gt;=3),"Rawan",IF(AND(E2340&lt;=2,F2340&lt;=2),"Tidur","Umum"))))))</f>
        <v/>
      </c>
    </row>
    <row r="2341">
      <c r="B2341">
        <f>IF(A2341="","",$B$1-MAXIFS(Donasi!$A$2:$A$20000,Donasi!$B$2:$B$20000,A2341))</f>
        <v/>
      </c>
      <c r="C2341">
        <f>IF(A2341="","",COUNTIF(Donasi!$B$2:$B$20000,A2341))</f>
        <v/>
      </c>
      <c r="D2341">
        <f>IF(A2341="","",SUMIF(Donasi!$B$2:$B$20000,A2341,Donasi!$C$2:$C$20000))</f>
        <v/>
      </c>
      <c r="E2341">
        <f>IF(A2341="","",6-CEILING(PERCENTRANK.INC($B$3:$B$6000,B2341,4)*5+0.000001,1))</f>
        <v/>
      </c>
      <c r="F2341">
        <f>IF(A2341="","",MAX(1,CEILING(PERCENTRANK.INC($C$3:$C$6000,C2341,4)*5+0.000001,1)))</f>
        <v/>
      </c>
      <c r="G2341">
        <f>IF(A2341="","",MAX(1,CEILING(PERCENTRANK.INC($D$3:$D$6000,D2341,4)*5+0.000001,1)))</f>
        <v/>
      </c>
      <c r="H2341">
        <f>IF(A2341="","",E2341&amp;F2341&amp;G2341)</f>
        <v/>
      </c>
      <c r="I2341">
        <f>IF(A2341="","",IF(AND(E2341&gt;=4,F2341&gt;=4,G2341&gt;=4),"Juara",IF(AND(F2341&gt;=4,E2341&gt;=3),"Setia",IF(AND(E2341=5,F2341&lt;=2,G2341&gt;=3),"Berpotensi",IF(AND(E2341&lt;=3,E2341&gt;=2,F2341&gt;=3),"Rawan",IF(AND(E2341&lt;=2,F2341&lt;=2),"Tidur","Umum"))))))</f>
        <v/>
      </c>
    </row>
    <row r="2342">
      <c r="B2342">
        <f>IF(A2342="","",$B$1-MAXIFS(Donasi!$A$2:$A$20000,Donasi!$B$2:$B$20000,A2342))</f>
        <v/>
      </c>
      <c r="C2342">
        <f>IF(A2342="","",COUNTIF(Donasi!$B$2:$B$20000,A2342))</f>
        <v/>
      </c>
      <c r="D2342">
        <f>IF(A2342="","",SUMIF(Donasi!$B$2:$B$20000,A2342,Donasi!$C$2:$C$20000))</f>
        <v/>
      </c>
      <c r="E2342">
        <f>IF(A2342="","",6-CEILING(PERCENTRANK.INC($B$3:$B$6000,B2342,4)*5+0.000001,1))</f>
        <v/>
      </c>
      <c r="F2342">
        <f>IF(A2342="","",MAX(1,CEILING(PERCENTRANK.INC($C$3:$C$6000,C2342,4)*5+0.000001,1)))</f>
        <v/>
      </c>
      <c r="G2342">
        <f>IF(A2342="","",MAX(1,CEILING(PERCENTRANK.INC($D$3:$D$6000,D2342,4)*5+0.000001,1)))</f>
        <v/>
      </c>
      <c r="H2342">
        <f>IF(A2342="","",E2342&amp;F2342&amp;G2342)</f>
        <v/>
      </c>
      <c r="I2342">
        <f>IF(A2342="","",IF(AND(E2342&gt;=4,F2342&gt;=4,G2342&gt;=4),"Juara",IF(AND(F2342&gt;=4,E2342&gt;=3),"Setia",IF(AND(E2342=5,F2342&lt;=2,G2342&gt;=3),"Berpotensi",IF(AND(E2342&lt;=3,E2342&gt;=2,F2342&gt;=3),"Rawan",IF(AND(E2342&lt;=2,F2342&lt;=2),"Tidur","Umum"))))))</f>
        <v/>
      </c>
    </row>
    <row r="2343">
      <c r="B2343">
        <f>IF(A2343="","",$B$1-MAXIFS(Donasi!$A$2:$A$20000,Donasi!$B$2:$B$20000,A2343))</f>
        <v/>
      </c>
      <c r="C2343">
        <f>IF(A2343="","",COUNTIF(Donasi!$B$2:$B$20000,A2343))</f>
        <v/>
      </c>
      <c r="D2343">
        <f>IF(A2343="","",SUMIF(Donasi!$B$2:$B$20000,A2343,Donasi!$C$2:$C$20000))</f>
        <v/>
      </c>
      <c r="E2343">
        <f>IF(A2343="","",6-CEILING(PERCENTRANK.INC($B$3:$B$6000,B2343,4)*5+0.000001,1))</f>
        <v/>
      </c>
      <c r="F2343">
        <f>IF(A2343="","",MAX(1,CEILING(PERCENTRANK.INC($C$3:$C$6000,C2343,4)*5+0.000001,1)))</f>
        <v/>
      </c>
      <c r="G2343">
        <f>IF(A2343="","",MAX(1,CEILING(PERCENTRANK.INC($D$3:$D$6000,D2343,4)*5+0.000001,1)))</f>
        <v/>
      </c>
      <c r="H2343">
        <f>IF(A2343="","",E2343&amp;F2343&amp;G2343)</f>
        <v/>
      </c>
      <c r="I2343">
        <f>IF(A2343="","",IF(AND(E2343&gt;=4,F2343&gt;=4,G2343&gt;=4),"Juara",IF(AND(F2343&gt;=4,E2343&gt;=3),"Setia",IF(AND(E2343=5,F2343&lt;=2,G2343&gt;=3),"Berpotensi",IF(AND(E2343&lt;=3,E2343&gt;=2,F2343&gt;=3),"Rawan",IF(AND(E2343&lt;=2,F2343&lt;=2),"Tidur","Umum"))))))</f>
        <v/>
      </c>
    </row>
    <row r="2344">
      <c r="B2344">
        <f>IF(A2344="","",$B$1-MAXIFS(Donasi!$A$2:$A$20000,Donasi!$B$2:$B$20000,A2344))</f>
        <v/>
      </c>
      <c r="C2344">
        <f>IF(A2344="","",COUNTIF(Donasi!$B$2:$B$20000,A2344))</f>
        <v/>
      </c>
      <c r="D2344">
        <f>IF(A2344="","",SUMIF(Donasi!$B$2:$B$20000,A2344,Donasi!$C$2:$C$20000))</f>
        <v/>
      </c>
      <c r="E2344">
        <f>IF(A2344="","",6-CEILING(PERCENTRANK.INC($B$3:$B$6000,B2344,4)*5+0.000001,1))</f>
        <v/>
      </c>
      <c r="F2344">
        <f>IF(A2344="","",MAX(1,CEILING(PERCENTRANK.INC($C$3:$C$6000,C2344,4)*5+0.000001,1)))</f>
        <v/>
      </c>
      <c r="G2344">
        <f>IF(A2344="","",MAX(1,CEILING(PERCENTRANK.INC($D$3:$D$6000,D2344,4)*5+0.000001,1)))</f>
        <v/>
      </c>
      <c r="H2344">
        <f>IF(A2344="","",E2344&amp;F2344&amp;G2344)</f>
        <v/>
      </c>
      <c r="I2344">
        <f>IF(A2344="","",IF(AND(E2344&gt;=4,F2344&gt;=4,G2344&gt;=4),"Juara",IF(AND(F2344&gt;=4,E2344&gt;=3),"Setia",IF(AND(E2344=5,F2344&lt;=2,G2344&gt;=3),"Berpotensi",IF(AND(E2344&lt;=3,E2344&gt;=2,F2344&gt;=3),"Rawan",IF(AND(E2344&lt;=2,F2344&lt;=2),"Tidur","Umum"))))))</f>
        <v/>
      </c>
    </row>
    <row r="2345">
      <c r="B2345">
        <f>IF(A2345="","",$B$1-MAXIFS(Donasi!$A$2:$A$20000,Donasi!$B$2:$B$20000,A2345))</f>
        <v/>
      </c>
      <c r="C2345">
        <f>IF(A2345="","",COUNTIF(Donasi!$B$2:$B$20000,A2345))</f>
        <v/>
      </c>
      <c r="D2345">
        <f>IF(A2345="","",SUMIF(Donasi!$B$2:$B$20000,A2345,Donasi!$C$2:$C$20000))</f>
        <v/>
      </c>
      <c r="E2345">
        <f>IF(A2345="","",6-CEILING(PERCENTRANK.INC($B$3:$B$6000,B2345,4)*5+0.000001,1))</f>
        <v/>
      </c>
      <c r="F2345">
        <f>IF(A2345="","",MAX(1,CEILING(PERCENTRANK.INC($C$3:$C$6000,C2345,4)*5+0.000001,1)))</f>
        <v/>
      </c>
      <c r="G2345">
        <f>IF(A2345="","",MAX(1,CEILING(PERCENTRANK.INC($D$3:$D$6000,D2345,4)*5+0.000001,1)))</f>
        <v/>
      </c>
      <c r="H2345">
        <f>IF(A2345="","",E2345&amp;F2345&amp;G2345)</f>
        <v/>
      </c>
      <c r="I2345">
        <f>IF(A2345="","",IF(AND(E2345&gt;=4,F2345&gt;=4,G2345&gt;=4),"Juara",IF(AND(F2345&gt;=4,E2345&gt;=3),"Setia",IF(AND(E2345=5,F2345&lt;=2,G2345&gt;=3),"Berpotensi",IF(AND(E2345&lt;=3,E2345&gt;=2,F2345&gt;=3),"Rawan",IF(AND(E2345&lt;=2,F2345&lt;=2),"Tidur","Umum"))))))</f>
        <v/>
      </c>
    </row>
    <row r="2346">
      <c r="B2346">
        <f>IF(A2346="","",$B$1-MAXIFS(Donasi!$A$2:$A$20000,Donasi!$B$2:$B$20000,A2346))</f>
        <v/>
      </c>
      <c r="C2346">
        <f>IF(A2346="","",COUNTIF(Donasi!$B$2:$B$20000,A2346))</f>
        <v/>
      </c>
      <c r="D2346">
        <f>IF(A2346="","",SUMIF(Donasi!$B$2:$B$20000,A2346,Donasi!$C$2:$C$20000))</f>
        <v/>
      </c>
      <c r="E2346">
        <f>IF(A2346="","",6-CEILING(PERCENTRANK.INC($B$3:$B$6000,B2346,4)*5+0.000001,1))</f>
        <v/>
      </c>
      <c r="F2346">
        <f>IF(A2346="","",MAX(1,CEILING(PERCENTRANK.INC($C$3:$C$6000,C2346,4)*5+0.000001,1)))</f>
        <v/>
      </c>
      <c r="G2346">
        <f>IF(A2346="","",MAX(1,CEILING(PERCENTRANK.INC($D$3:$D$6000,D2346,4)*5+0.000001,1)))</f>
        <v/>
      </c>
      <c r="H2346">
        <f>IF(A2346="","",E2346&amp;F2346&amp;G2346)</f>
        <v/>
      </c>
      <c r="I2346">
        <f>IF(A2346="","",IF(AND(E2346&gt;=4,F2346&gt;=4,G2346&gt;=4),"Juara",IF(AND(F2346&gt;=4,E2346&gt;=3),"Setia",IF(AND(E2346=5,F2346&lt;=2,G2346&gt;=3),"Berpotensi",IF(AND(E2346&lt;=3,E2346&gt;=2,F2346&gt;=3),"Rawan",IF(AND(E2346&lt;=2,F2346&lt;=2),"Tidur","Umum"))))))</f>
        <v/>
      </c>
    </row>
    <row r="2347">
      <c r="B2347">
        <f>IF(A2347="","",$B$1-MAXIFS(Donasi!$A$2:$A$20000,Donasi!$B$2:$B$20000,A2347))</f>
        <v/>
      </c>
      <c r="C2347">
        <f>IF(A2347="","",COUNTIF(Donasi!$B$2:$B$20000,A2347))</f>
        <v/>
      </c>
      <c r="D2347">
        <f>IF(A2347="","",SUMIF(Donasi!$B$2:$B$20000,A2347,Donasi!$C$2:$C$20000))</f>
        <v/>
      </c>
      <c r="E2347">
        <f>IF(A2347="","",6-CEILING(PERCENTRANK.INC($B$3:$B$6000,B2347,4)*5+0.000001,1))</f>
        <v/>
      </c>
      <c r="F2347">
        <f>IF(A2347="","",MAX(1,CEILING(PERCENTRANK.INC($C$3:$C$6000,C2347,4)*5+0.000001,1)))</f>
        <v/>
      </c>
      <c r="G2347">
        <f>IF(A2347="","",MAX(1,CEILING(PERCENTRANK.INC($D$3:$D$6000,D2347,4)*5+0.000001,1)))</f>
        <v/>
      </c>
      <c r="H2347">
        <f>IF(A2347="","",E2347&amp;F2347&amp;G2347)</f>
        <v/>
      </c>
      <c r="I2347">
        <f>IF(A2347="","",IF(AND(E2347&gt;=4,F2347&gt;=4,G2347&gt;=4),"Juara",IF(AND(F2347&gt;=4,E2347&gt;=3),"Setia",IF(AND(E2347=5,F2347&lt;=2,G2347&gt;=3),"Berpotensi",IF(AND(E2347&lt;=3,E2347&gt;=2,F2347&gt;=3),"Rawan",IF(AND(E2347&lt;=2,F2347&lt;=2),"Tidur","Umum"))))))</f>
        <v/>
      </c>
    </row>
    <row r="2348">
      <c r="B2348">
        <f>IF(A2348="","",$B$1-MAXIFS(Donasi!$A$2:$A$20000,Donasi!$B$2:$B$20000,A2348))</f>
        <v/>
      </c>
      <c r="C2348">
        <f>IF(A2348="","",COUNTIF(Donasi!$B$2:$B$20000,A2348))</f>
        <v/>
      </c>
      <c r="D2348">
        <f>IF(A2348="","",SUMIF(Donasi!$B$2:$B$20000,A2348,Donasi!$C$2:$C$20000))</f>
        <v/>
      </c>
      <c r="E2348">
        <f>IF(A2348="","",6-CEILING(PERCENTRANK.INC($B$3:$B$6000,B2348,4)*5+0.000001,1))</f>
        <v/>
      </c>
      <c r="F2348">
        <f>IF(A2348="","",MAX(1,CEILING(PERCENTRANK.INC($C$3:$C$6000,C2348,4)*5+0.000001,1)))</f>
        <v/>
      </c>
      <c r="G2348">
        <f>IF(A2348="","",MAX(1,CEILING(PERCENTRANK.INC($D$3:$D$6000,D2348,4)*5+0.000001,1)))</f>
        <v/>
      </c>
      <c r="H2348">
        <f>IF(A2348="","",E2348&amp;F2348&amp;G2348)</f>
        <v/>
      </c>
      <c r="I2348">
        <f>IF(A2348="","",IF(AND(E2348&gt;=4,F2348&gt;=4,G2348&gt;=4),"Juara",IF(AND(F2348&gt;=4,E2348&gt;=3),"Setia",IF(AND(E2348=5,F2348&lt;=2,G2348&gt;=3),"Berpotensi",IF(AND(E2348&lt;=3,E2348&gt;=2,F2348&gt;=3),"Rawan",IF(AND(E2348&lt;=2,F2348&lt;=2),"Tidur","Umum"))))))</f>
        <v/>
      </c>
    </row>
    <row r="2349">
      <c r="B2349">
        <f>IF(A2349="","",$B$1-MAXIFS(Donasi!$A$2:$A$20000,Donasi!$B$2:$B$20000,A2349))</f>
        <v/>
      </c>
      <c r="C2349">
        <f>IF(A2349="","",COUNTIF(Donasi!$B$2:$B$20000,A2349))</f>
        <v/>
      </c>
      <c r="D2349">
        <f>IF(A2349="","",SUMIF(Donasi!$B$2:$B$20000,A2349,Donasi!$C$2:$C$20000))</f>
        <v/>
      </c>
      <c r="E2349">
        <f>IF(A2349="","",6-CEILING(PERCENTRANK.INC($B$3:$B$6000,B2349,4)*5+0.000001,1))</f>
        <v/>
      </c>
      <c r="F2349">
        <f>IF(A2349="","",MAX(1,CEILING(PERCENTRANK.INC($C$3:$C$6000,C2349,4)*5+0.000001,1)))</f>
        <v/>
      </c>
      <c r="G2349">
        <f>IF(A2349="","",MAX(1,CEILING(PERCENTRANK.INC($D$3:$D$6000,D2349,4)*5+0.000001,1)))</f>
        <v/>
      </c>
      <c r="H2349">
        <f>IF(A2349="","",E2349&amp;F2349&amp;G2349)</f>
        <v/>
      </c>
      <c r="I2349">
        <f>IF(A2349="","",IF(AND(E2349&gt;=4,F2349&gt;=4,G2349&gt;=4),"Juara",IF(AND(F2349&gt;=4,E2349&gt;=3),"Setia",IF(AND(E2349=5,F2349&lt;=2,G2349&gt;=3),"Berpotensi",IF(AND(E2349&lt;=3,E2349&gt;=2,F2349&gt;=3),"Rawan",IF(AND(E2349&lt;=2,F2349&lt;=2),"Tidur","Umum"))))))</f>
        <v/>
      </c>
    </row>
    <row r="2350">
      <c r="B2350">
        <f>IF(A2350="","",$B$1-MAXIFS(Donasi!$A$2:$A$20000,Donasi!$B$2:$B$20000,A2350))</f>
        <v/>
      </c>
      <c r="C2350">
        <f>IF(A2350="","",COUNTIF(Donasi!$B$2:$B$20000,A2350))</f>
        <v/>
      </c>
      <c r="D2350">
        <f>IF(A2350="","",SUMIF(Donasi!$B$2:$B$20000,A2350,Donasi!$C$2:$C$20000))</f>
        <v/>
      </c>
      <c r="E2350">
        <f>IF(A2350="","",6-CEILING(PERCENTRANK.INC($B$3:$B$6000,B2350,4)*5+0.000001,1))</f>
        <v/>
      </c>
      <c r="F2350">
        <f>IF(A2350="","",MAX(1,CEILING(PERCENTRANK.INC($C$3:$C$6000,C2350,4)*5+0.000001,1)))</f>
        <v/>
      </c>
      <c r="G2350">
        <f>IF(A2350="","",MAX(1,CEILING(PERCENTRANK.INC($D$3:$D$6000,D2350,4)*5+0.000001,1)))</f>
        <v/>
      </c>
      <c r="H2350">
        <f>IF(A2350="","",E2350&amp;F2350&amp;G2350)</f>
        <v/>
      </c>
      <c r="I2350">
        <f>IF(A2350="","",IF(AND(E2350&gt;=4,F2350&gt;=4,G2350&gt;=4),"Juara",IF(AND(F2350&gt;=4,E2350&gt;=3),"Setia",IF(AND(E2350=5,F2350&lt;=2,G2350&gt;=3),"Berpotensi",IF(AND(E2350&lt;=3,E2350&gt;=2,F2350&gt;=3),"Rawan",IF(AND(E2350&lt;=2,F2350&lt;=2),"Tidur","Umum"))))))</f>
        <v/>
      </c>
    </row>
    <row r="2351">
      <c r="B2351">
        <f>IF(A2351="","",$B$1-MAXIFS(Donasi!$A$2:$A$20000,Donasi!$B$2:$B$20000,A2351))</f>
        <v/>
      </c>
      <c r="C2351">
        <f>IF(A2351="","",COUNTIF(Donasi!$B$2:$B$20000,A2351))</f>
        <v/>
      </c>
      <c r="D2351">
        <f>IF(A2351="","",SUMIF(Donasi!$B$2:$B$20000,A2351,Donasi!$C$2:$C$20000))</f>
        <v/>
      </c>
      <c r="E2351">
        <f>IF(A2351="","",6-CEILING(PERCENTRANK.INC($B$3:$B$6000,B2351,4)*5+0.000001,1))</f>
        <v/>
      </c>
      <c r="F2351">
        <f>IF(A2351="","",MAX(1,CEILING(PERCENTRANK.INC($C$3:$C$6000,C2351,4)*5+0.000001,1)))</f>
        <v/>
      </c>
      <c r="G2351">
        <f>IF(A2351="","",MAX(1,CEILING(PERCENTRANK.INC($D$3:$D$6000,D2351,4)*5+0.000001,1)))</f>
        <v/>
      </c>
      <c r="H2351">
        <f>IF(A2351="","",E2351&amp;F2351&amp;G2351)</f>
        <v/>
      </c>
      <c r="I2351">
        <f>IF(A2351="","",IF(AND(E2351&gt;=4,F2351&gt;=4,G2351&gt;=4),"Juara",IF(AND(F2351&gt;=4,E2351&gt;=3),"Setia",IF(AND(E2351=5,F2351&lt;=2,G2351&gt;=3),"Berpotensi",IF(AND(E2351&lt;=3,E2351&gt;=2,F2351&gt;=3),"Rawan",IF(AND(E2351&lt;=2,F2351&lt;=2),"Tidur","Umum"))))))</f>
        <v/>
      </c>
    </row>
    <row r="2352">
      <c r="B2352">
        <f>IF(A2352="","",$B$1-MAXIFS(Donasi!$A$2:$A$20000,Donasi!$B$2:$B$20000,A2352))</f>
        <v/>
      </c>
      <c r="C2352">
        <f>IF(A2352="","",COUNTIF(Donasi!$B$2:$B$20000,A2352))</f>
        <v/>
      </c>
      <c r="D2352">
        <f>IF(A2352="","",SUMIF(Donasi!$B$2:$B$20000,A2352,Donasi!$C$2:$C$20000))</f>
        <v/>
      </c>
      <c r="E2352">
        <f>IF(A2352="","",6-CEILING(PERCENTRANK.INC($B$3:$B$6000,B2352,4)*5+0.000001,1))</f>
        <v/>
      </c>
      <c r="F2352">
        <f>IF(A2352="","",MAX(1,CEILING(PERCENTRANK.INC($C$3:$C$6000,C2352,4)*5+0.000001,1)))</f>
        <v/>
      </c>
      <c r="G2352">
        <f>IF(A2352="","",MAX(1,CEILING(PERCENTRANK.INC($D$3:$D$6000,D2352,4)*5+0.000001,1)))</f>
        <v/>
      </c>
      <c r="H2352">
        <f>IF(A2352="","",E2352&amp;F2352&amp;G2352)</f>
        <v/>
      </c>
      <c r="I2352">
        <f>IF(A2352="","",IF(AND(E2352&gt;=4,F2352&gt;=4,G2352&gt;=4),"Juara",IF(AND(F2352&gt;=4,E2352&gt;=3),"Setia",IF(AND(E2352=5,F2352&lt;=2,G2352&gt;=3),"Berpotensi",IF(AND(E2352&lt;=3,E2352&gt;=2,F2352&gt;=3),"Rawan",IF(AND(E2352&lt;=2,F2352&lt;=2),"Tidur","Umum"))))))</f>
        <v/>
      </c>
    </row>
    <row r="2353">
      <c r="B2353">
        <f>IF(A2353="","",$B$1-MAXIFS(Donasi!$A$2:$A$20000,Donasi!$B$2:$B$20000,A2353))</f>
        <v/>
      </c>
      <c r="C2353">
        <f>IF(A2353="","",COUNTIF(Donasi!$B$2:$B$20000,A2353))</f>
        <v/>
      </c>
      <c r="D2353">
        <f>IF(A2353="","",SUMIF(Donasi!$B$2:$B$20000,A2353,Donasi!$C$2:$C$20000))</f>
        <v/>
      </c>
      <c r="E2353">
        <f>IF(A2353="","",6-CEILING(PERCENTRANK.INC($B$3:$B$6000,B2353,4)*5+0.000001,1))</f>
        <v/>
      </c>
      <c r="F2353">
        <f>IF(A2353="","",MAX(1,CEILING(PERCENTRANK.INC($C$3:$C$6000,C2353,4)*5+0.000001,1)))</f>
        <v/>
      </c>
      <c r="G2353">
        <f>IF(A2353="","",MAX(1,CEILING(PERCENTRANK.INC($D$3:$D$6000,D2353,4)*5+0.000001,1)))</f>
        <v/>
      </c>
      <c r="H2353">
        <f>IF(A2353="","",E2353&amp;F2353&amp;G2353)</f>
        <v/>
      </c>
      <c r="I2353">
        <f>IF(A2353="","",IF(AND(E2353&gt;=4,F2353&gt;=4,G2353&gt;=4),"Juara",IF(AND(F2353&gt;=4,E2353&gt;=3),"Setia",IF(AND(E2353=5,F2353&lt;=2,G2353&gt;=3),"Berpotensi",IF(AND(E2353&lt;=3,E2353&gt;=2,F2353&gt;=3),"Rawan",IF(AND(E2353&lt;=2,F2353&lt;=2),"Tidur","Umum"))))))</f>
        <v/>
      </c>
    </row>
    <row r="2354">
      <c r="B2354">
        <f>IF(A2354="","",$B$1-MAXIFS(Donasi!$A$2:$A$20000,Donasi!$B$2:$B$20000,A2354))</f>
        <v/>
      </c>
      <c r="C2354">
        <f>IF(A2354="","",COUNTIF(Donasi!$B$2:$B$20000,A2354))</f>
        <v/>
      </c>
      <c r="D2354">
        <f>IF(A2354="","",SUMIF(Donasi!$B$2:$B$20000,A2354,Donasi!$C$2:$C$20000))</f>
        <v/>
      </c>
      <c r="E2354">
        <f>IF(A2354="","",6-CEILING(PERCENTRANK.INC($B$3:$B$6000,B2354,4)*5+0.000001,1))</f>
        <v/>
      </c>
      <c r="F2354">
        <f>IF(A2354="","",MAX(1,CEILING(PERCENTRANK.INC($C$3:$C$6000,C2354,4)*5+0.000001,1)))</f>
        <v/>
      </c>
      <c r="G2354">
        <f>IF(A2354="","",MAX(1,CEILING(PERCENTRANK.INC($D$3:$D$6000,D2354,4)*5+0.000001,1)))</f>
        <v/>
      </c>
      <c r="H2354">
        <f>IF(A2354="","",E2354&amp;F2354&amp;G2354)</f>
        <v/>
      </c>
      <c r="I2354">
        <f>IF(A2354="","",IF(AND(E2354&gt;=4,F2354&gt;=4,G2354&gt;=4),"Juara",IF(AND(F2354&gt;=4,E2354&gt;=3),"Setia",IF(AND(E2354=5,F2354&lt;=2,G2354&gt;=3),"Berpotensi",IF(AND(E2354&lt;=3,E2354&gt;=2,F2354&gt;=3),"Rawan",IF(AND(E2354&lt;=2,F2354&lt;=2),"Tidur","Umum"))))))</f>
        <v/>
      </c>
    </row>
    <row r="2355">
      <c r="B2355">
        <f>IF(A2355="","",$B$1-MAXIFS(Donasi!$A$2:$A$20000,Donasi!$B$2:$B$20000,A2355))</f>
        <v/>
      </c>
      <c r="C2355">
        <f>IF(A2355="","",COUNTIF(Donasi!$B$2:$B$20000,A2355))</f>
        <v/>
      </c>
      <c r="D2355">
        <f>IF(A2355="","",SUMIF(Donasi!$B$2:$B$20000,A2355,Donasi!$C$2:$C$20000))</f>
        <v/>
      </c>
      <c r="E2355">
        <f>IF(A2355="","",6-CEILING(PERCENTRANK.INC($B$3:$B$6000,B2355,4)*5+0.000001,1))</f>
        <v/>
      </c>
      <c r="F2355">
        <f>IF(A2355="","",MAX(1,CEILING(PERCENTRANK.INC($C$3:$C$6000,C2355,4)*5+0.000001,1)))</f>
        <v/>
      </c>
      <c r="G2355">
        <f>IF(A2355="","",MAX(1,CEILING(PERCENTRANK.INC($D$3:$D$6000,D2355,4)*5+0.000001,1)))</f>
        <v/>
      </c>
      <c r="H2355">
        <f>IF(A2355="","",E2355&amp;F2355&amp;G2355)</f>
        <v/>
      </c>
      <c r="I2355">
        <f>IF(A2355="","",IF(AND(E2355&gt;=4,F2355&gt;=4,G2355&gt;=4),"Juara",IF(AND(F2355&gt;=4,E2355&gt;=3),"Setia",IF(AND(E2355=5,F2355&lt;=2,G2355&gt;=3),"Berpotensi",IF(AND(E2355&lt;=3,E2355&gt;=2,F2355&gt;=3),"Rawan",IF(AND(E2355&lt;=2,F2355&lt;=2),"Tidur","Umum"))))))</f>
        <v/>
      </c>
    </row>
    <row r="2356">
      <c r="B2356">
        <f>IF(A2356="","",$B$1-MAXIFS(Donasi!$A$2:$A$20000,Donasi!$B$2:$B$20000,A2356))</f>
        <v/>
      </c>
      <c r="C2356">
        <f>IF(A2356="","",COUNTIF(Donasi!$B$2:$B$20000,A2356))</f>
        <v/>
      </c>
      <c r="D2356">
        <f>IF(A2356="","",SUMIF(Donasi!$B$2:$B$20000,A2356,Donasi!$C$2:$C$20000))</f>
        <v/>
      </c>
      <c r="E2356">
        <f>IF(A2356="","",6-CEILING(PERCENTRANK.INC($B$3:$B$6000,B2356,4)*5+0.000001,1))</f>
        <v/>
      </c>
      <c r="F2356">
        <f>IF(A2356="","",MAX(1,CEILING(PERCENTRANK.INC($C$3:$C$6000,C2356,4)*5+0.000001,1)))</f>
        <v/>
      </c>
      <c r="G2356">
        <f>IF(A2356="","",MAX(1,CEILING(PERCENTRANK.INC($D$3:$D$6000,D2356,4)*5+0.000001,1)))</f>
        <v/>
      </c>
      <c r="H2356">
        <f>IF(A2356="","",E2356&amp;F2356&amp;G2356)</f>
        <v/>
      </c>
      <c r="I2356">
        <f>IF(A2356="","",IF(AND(E2356&gt;=4,F2356&gt;=4,G2356&gt;=4),"Juara",IF(AND(F2356&gt;=4,E2356&gt;=3),"Setia",IF(AND(E2356=5,F2356&lt;=2,G2356&gt;=3),"Berpotensi",IF(AND(E2356&lt;=3,E2356&gt;=2,F2356&gt;=3),"Rawan",IF(AND(E2356&lt;=2,F2356&lt;=2),"Tidur","Umum"))))))</f>
        <v/>
      </c>
    </row>
    <row r="2357">
      <c r="B2357">
        <f>IF(A2357="","",$B$1-MAXIFS(Donasi!$A$2:$A$20000,Donasi!$B$2:$B$20000,A2357))</f>
        <v/>
      </c>
      <c r="C2357">
        <f>IF(A2357="","",COUNTIF(Donasi!$B$2:$B$20000,A2357))</f>
        <v/>
      </c>
      <c r="D2357">
        <f>IF(A2357="","",SUMIF(Donasi!$B$2:$B$20000,A2357,Donasi!$C$2:$C$20000))</f>
        <v/>
      </c>
      <c r="E2357">
        <f>IF(A2357="","",6-CEILING(PERCENTRANK.INC($B$3:$B$6000,B2357,4)*5+0.000001,1))</f>
        <v/>
      </c>
      <c r="F2357">
        <f>IF(A2357="","",MAX(1,CEILING(PERCENTRANK.INC($C$3:$C$6000,C2357,4)*5+0.000001,1)))</f>
        <v/>
      </c>
      <c r="G2357">
        <f>IF(A2357="","",MAX(1,CEILING(PERCENTRANK.INC($D$3:$D$6000,D2357,4)*5+0.000001,1)))</f>
        <v/>
      </c>
      <c r="H2357">
        <f>IF(A2357="","",E2357&amp;F2357&amp;G2357)</f>
        <v/>
      </c>
      <c r="I2357">
        <f>IF(A2357="","",IF(AND(E2357&gt;=4,F2357&gt;=4,G2357&gt;=4),"Juara",IF(AND(F2357&gt;=4,E2357&gt;=3),"Setia",IF(AND(E2357=5,F2357&lt;=2,G2357&gt;=3),"Berpotensi",IF(AND(E2357&lt;=3,E2357&gt;=2,F2357&gt;=3),"Rawan",IF(AND(E2357&lt;=2,F2357&lt;=2),"Tidur","Umum"))))))</f>
        <v/>
      </c>
    </row>
    <row r="2358">
      <c r="B2358">
        <f>IF(A2358="","",$B$1-MAXIFS(Donasi!$A$2:$A$20000,Donasi!$B$2:$B$20000,A2358))</f>
        <v/>
      </c>
      <c r="C2358">
        <f>IF(A2358="","",COUNTIF(Donasi!$B$2:$B$20000,A2358))</f>
        <v/>
      </c>
      <c r="D2358">
        <f>IF(A2358="","",SUMIF(Donasi!$B$2:$B$20000,A2358,Donasi!$C$2:$C$20000))</f>
        <v/>
      </c>
      <c r="E2358">
        <f>IF(A2358="","",6-CEILING(PERCENTRANK.INC($B$3:$B$6000,B2358,4)*5+0.000001,1))</f>
        <v/>
      </c>
      <c r="F2358">
        <f>IF(A2358="","",MAX(1,CEILING(PERCENTRANK.INC($C$3:$C$6000,C2358,4)*5+0.000001,1)))</f>
        <v/>
      </c>
      <c r="G2358">
        <f>IF(A2358="","",MAX(1,CEILING(PERCENTRANK.INC($D$3:$D$6000,D2358,4)*5+0.000001,1)))</f>
        <v/>
      </c>
      <c r="H2358">
        <f>IF(A2358="","",E2358&amp;F2358&amp;G2358)</f>
        <v/>
      </c>
      <c r="I2358">
        <f>IF(A2358="","",IF(AND(E2358&gt;=4,F2358&gt;=4,G2358&gt;=4),"Juara",IF(AND(F2358&gt;=4,E2358&gt;=3),"Setia",IF(AND(E2358=5,F2358&lt;=2,G2358&gt;=3),"Berpotensi",IF(AND(E2358&lt;=3,E2358&gt;=2,F2358&gt;=3),"Rawan",IF(AND(E2358&lt;=2,F2358&lt;=2),"Tidur","Umum"))))))</f>
        <v/>
      </c>
    </row>
    <row r="2359">
      <c r="B2359">
        <f>IF(A2359="","",$B$1-MAXIFS(Donasi!$A$2:$A$20000,Donasi!$B$2:$B$20000,A2359))</f>
        <v/>
      </c>
      <c r="C2359">
        <f>IF(A2359="","",COUNTIF(Donasi!$B$2:$B$20000,A2359))</f>
        <v/>
      </c>
      <c r="D2359">
        <f>IF(A2359="","",SUMIF(Donasi!$B$2:$B$20000,A2359,Donasi!$C$2:$C$20000))</f>
        <v/>
      </c>
      <c r="E2359">
        <f>IF(A2359="","",6-CEILING(PERCENTRANK.INC($B$3:$B$6000,B2359,4)*5+0.000001,1))</f>
        <v/>
      </c>
      <c r="F2359">
        <f>IF(A2359="","",MAX(1,CEILING(PERCENTRANK.INC($C$3:$C$6000,C2359,4)*5+0.000001,1)))</f>
        <v/>
      </c>
      <c r="G2359">
        <f>IF(A2359="","",MAX(1,CEILING(PERCENTRANK.INC($D$3:$D$6000,D2359,4)*5+0.000001,1)))</f>
        <v/>
      </c>
      <c r="H2359">
        <f>IF(A2359="","",E2359&amp;F2359&amp;G2359)</f>
        <v/>
      </c>
      <c r="I2359">
        <f>IF(A2359="","",IF(AND(E2359&gt;=4,F2359&gt;=4,G2359&gt;=4),"Juara",IF(AND(F2359&gt;=4,E2359&gt;=3),"Setia",IF(AND(E2359=5,F2359&lt;=2,G2359&gt;=3),"Berpotensi",IF(AND(E2359&lt;=3,E2359&gt;=2,F2359&gt;=3),"Rawan",IF(AND(E2359&lt;=2,F2359&lt;=2),"Tidur","Umum"))))))</f>
        <v/>
      </c>
    </row>
    <row r="2360">
      <c r="B2360">
        <f>IF(A2360="","",$B$1-MAXIFS(Donasi!$A$2:$A$20000,Donasi!$B$2:$B$20000,A2360))</f>
        <v/>
      </c>
      <c r="C2360">
        <f>IF(A2360="","",COUNTIF(Donasi!$B$2:$B$20000,A2360))</f>
        <v/>
      </c>
      <c r="D2360">
        <f>IF(A2360="","",SUMIF(Donasi!$B$2:$B$20000,A2360,Donasi!$C$2:$C$20000))</f>
        <v/>
      </c>
      <c r="E2360">
        <f>IF(A2360="","",6-CEILING(PERCENTRANK.INC($B$3:$B$6000,B2360,4)*5+0.000001,1))</f>
        <v/>
      </c>
      <c r="F2360">
        <f>IF(A2360="","",MAX(1,CEILING(PERCENTRANK.INC($C$3:$C$6000,C2360,4)*5+0.000001,1)))</f>
        <v/>
      </c>
      <c r="G2360">
        <f>IF(A2360="","",MAX(1,CEILING(PERCENTRANK.INC($D$3:$D$6000,D2360,4)*5+0.000001,1)))</f>
        <v/>
      </c>
      <c r="H2360">
        <f>IF(A2360="","",E2360&amp;F2360&amp;G2360)</f>
        <v/>
      </c>
      <c r="I2360">
        <f>IF(A2360="","",IF(AND(E2360&gt;=4,F2360&gt;=4,G2360&gt;=4),"Juara",IF(AND(F2360&gt;=4,E2360&gt;=3),"Setia",IF(AND(E2360=5,F2360&lt;=2,G2360&gt;=3),"Berpotensi",IF(AND(E2360&lt;=3,E2360&gt;=2,F2360&gt;=3),"Rawan",IF(AND(E2360&lt;=2,F2360&lt;=2),"Tidur","Umum"))))))</f>
        <v/>
      </c>
    </row>
    <row r="2361">
      <c r="B2361">
        <f>IF(A2361="","",$B$1-MAXIFS(Donasi!$A$2:$A$20000,Donasi!$B$2:$B$20000,A2361))</f>
        <v/>
      </c>
      <c r="C2361">
        <f>IF(A2361="","",COUNTIF(Donasi!$B$2:$B$20000,A2361))</f>
        <v/>
      </c>
      <c r="D2361">
        <f>IF(A2361="","",SUMIF(Donasi!$B$2:$B$20000,A2361,Donasi!$C$2:$C$20000))</f>
        <v/>
      </c>
      <c r="E2361">
        <f>IF(A2361="","",6-CEILING(PERCENTRANK.INC($B$3:$B$6000,B2361,4)*5+0.000001,1))</f>
        <v/>
      </c>
      <c r="F2361">
        <f>IF(A2361="","",MAX(1,CEILING(PERCENTRANK.INC($C$3:$C$6000,C2361,4)*5+0.000001,1)))</f>
        <v/>
      </c>
      <c r="G2361">
        <f>IF(A2361="","",MAX(1,CEILING(PERCENTRANK.INC($D$3:$D$6000,D2361,4)*5+0.000001,1)))</f>
        <v/>
      </c>
      <c r="H2361">
        <f>IF(A2361="","",E2361&amp;F2361&amp;G2361)</f>
        <v/>
      </c>
      <c r="I2361">
        <f>IF(A2361="","",IF(AND(E2361&gt;=4,F2361&gt;=4,G2361&gt;=4),"Juara",IF(AND(F2361&gt;=4,E2361&gt;=3),"Setia",IF(AND(E2361=5,F2361&lt;=2,G2361&gt;=3),"Berpotensi",IF(AND(E2361&lt;=3,E2361&gt;=2,F2361&gt;=3),"Rawan",IF(AND(E2361&lt;=2,F2361&lt;=2),"Tidur","Umum"))))))</f>
        <v/>
      </c>
    </row>
    <row r="2362">
      <c r="B2362">
        <f>IF(A2362="","",$B$1-MAXIFS(Donasi!$A$2:$A$20000,Donasi!$B$2:$B$20000,A2362))</f>
        <v/>
      </c>
      <c r="C2362">
        <f>IF(A2362="","",COUNTIF(Donasi!$B$2:$B$20000,A2362))</f>
        <v/>
      </c>
      <c r="D2362">
        <f>IF(A2362="","",SUMIF(Donasi!$B$2:$B$20000,A2362,Donasi!$C$2:$C$20000))</f>
        <v/>
      </c>
      <c r="E2362">
        <f>IF(A2362="","",6-CEILING(PERCENTRANK.INC($B$3:$B$6000,B2362,4)*5+0.000001,1))</f>
        <v/>
      </c>
      <c r="F2362">
        <f>IF(A2362="","",MAX(1,CEILING(PERCENTRANK.INC($C$3:$C$6000,C2362,4)*5+0.000001,1)))</f>
        <v/>
      </c>
      <c r="G2362">
        <f>IF(A2362="","",MAX(1,CEILING(PERCENTRANK.INC($D$3:$D$6000,D2362,4)*5+0.000001,1)))</f>
        <v/>
      </c>
      <c r="H2362">
        <f>IF(A2362="","",E2362&amp;F2362&amp;G2362)</f>
        <v/>
      </c>
      <c r="I2362">
        <f>IF(A2362="","",IF(AND(E2362&gt;=4,F2362&gt;=4,G2362&gt;=4),"Juara",IF(AND(F2362&gt;=4,E2362&gt;=3),"Setia",IF(AND(E2362=5,F2362&lt;=2,G2362&gt;=3),"Berpotensi",IF(AND(E2362&lt;=3,E2362&gt;=2,F2362&gt;=3),"Rawan",IF(AND(E2362&lt;=2,F2362&lt;=2),"Tidur","Umum"))))))</f>
        <v/>
      </c>
    </row>
    <row r="2363">
      <c r="B2363">
        <f>IF(A2363="","",$B$1-MAXIFS(Donasi!$A$2:$A$20000,Donasi!$B$2:$B$20000,A2363))</f>
        <v/>
      </c>
      <c r="C2363">
        <f>IF(A2363="","",COUNTIF(Donasi!$B$2:$B$20000,A2363))</f>
        <v/>
      </c>
      <c r="D2363">
        <f>IF(A2363="","",SUMIF(Donasi!$B$2:$B$20000,A2363,Donasi!$C$2:$C$20000))</f>
        <v/>
      </c>
      <c r="E2363">
        <f>IF(A2363="","",6-CEILING(PERCENTRANK.INC($B$3:$B$6000,B2363,4)*5+0.000001,1))</f>
        <v/>
      </c>
      <c r="F2363">
        <f>IF(A2363="","",MAX(1,CEILING(PERCENTRANK.INC($C$3:$C$6000,C2363,4)*5+0.000001,1)))</f>
        <v/>
      </c>
      <c r="G2363">
        <f>IF(A2363="","",MAX(1,CEILING(PERCENTRANK.INC($D$3:$D$6000,D2363,4)*5+0.000001,1)))</f>
        <v/>
      </c>
      <c r="H2363">
        <f>IF(A2363="","",E2363&amp;F2363&amp;G2363)</f>
        <v/>
      </c>
      <c r="I2363">
        <f>IF(A2363="","",IF(AND(E2363&gt;=4,F2363&gt;=4,G2363&gt;=4),"Juara",IF(AND(F2363&gt;=4,E2363&gt;=3),"Setia",IF(AND(E2363=5,F2363&lt;=2,G2363&gt;=3),"Berpotensi",IF(AND(E2363&lt;=3,E2363&gt;=2,F2363&gt;=3),"Rawan",IF(AND(E2363&lt;=2,F2363&lt;=2),"Tidur","Umum"))))))</f>
        <v/>
      </c>
    </row>
    <row r="2364">
      <c r="B2364">
        <f>IF(A2364="","",$B$1-MAXIFS(Donasi!$A$2:$A$20000,Donasi!$B$2:$B$20000,A2364))</f>
        <v/>
      </c>
      <c r="C2364">
        <f>IF(A2364="","",COUNTIF(Donasi!$B$2:$B$20000,A2364))</f>
        <v/>
      </c>
      <c r="D2364">
        <f>IF(A2364="","",SUMIF(Donasi!$B$2:$B$20000,A2364,Donasi!$C$2:$C$20000))</f>
        <v/>
      </c>
      <c r="E2364">
        <f>IF(A2364="","",6-CEILING(PERCENTRANK.INC($B$3:$B$6000,B2364,4)*5+0.000001,1))</f>
        <v/>
      </c>
      <c r="F2364">
        <f>IF(A2364="","",MAX(1,CEILING(PERCENTRANK.INC($C$3:$C$6000,C2364,4)*5+0.000001,1)))</f>
        <v/>
      </c>
      <c r="G2364">
        <f>IF(A2364="","",MAX(1,CEILING(PERCENTRANK.INC($D$3:$D$6000,D2364,4)*5+0.000001,1)))</f>
        <v/>
      </c>
      <c r="H2364">
        <f>IF(A2364="","",E2364&amp;F2364&amp;G2364)</f>
        <v/>
      </c>
      <c r="I2364">
        <f>IF(A2364="","",IF(AND(E2364&gt;=4,F2364&gt;=4,G2364&gt;=4),"Juara",IF(AND(F2364&gt;=4,E2364&gt;=3),"Setia",IF(AND(E2364=5,F2364&lt;=2,G2364&gt;=3),"Berpotensi",IF(AND(E2364&lt;=3,E2364&gt;=2,F2364&gt;=3),"Rawan",IF(AND(E2364&lt;=2,F2364&lt;=2),"Tidur","Umum"))))))</f>
        <v/>
      </c>
    </row>
    <row r="2365">
      <c r="B2365">
        <f>IF(A2365="","",$B$1-MAXIFS(Donasi!$A$2:$A$20000,Donasi!$B$2:$B$20000,A2365))</f>
        <v/>
      </c>
      <c r="C2365">
        <f>IF(A2365="","",COUNTIF(Donasi!$B$2:$B$20000,A2365))</f>
        <v/>
      </c>
      <c r="D2365">
        <f>IF(A2365="","",SUMIF(Donasi!$B$2:$B$20000,A2365,Donasi!$C$2:$C$20000))</f>
        <v/>
      </c>
      <c r="E2365">
        <f>IF(A2365="","",6-CEILING(PERCENTRANK.INC($B$3:$B$6000,B2365,4)*5+0.000001,1))</f>
        <v/>
      </c>
      <c r="F2365">
        <f>IF(A2365="","",MAX(1,CEILING(PERCENTRANK.INC($C$3:$C$6000,C2365,4)*5+0.000001,1)))</f>
        <v/>
      </c>
      <c r="G2365">
        <f>IF(A2365="","",MAX(1,CEILING(PERCENTRANK.INC($D$3:$D$6000,D2365,4)*5+0.000001,1)))</f>
        <v/>
      </c>
      <c r="H2365">
        <f>IF(A2365="","",E2365&amp;F2365&amp;G2365)</f>
        <v/>
      </c>
      <c r="I2365">
        <f>IF(A2365="","",IF(AND(E2365&gt;=4,F2365&gt;=4,G2365&gt;=4),"Juara",IF(AND(F2365&gt;=4,E2365&gt;=3),"Setia",IF(AND(E2365=5,F2365&lt;=2,G2365&gt;=3),"Berpotensi",IF(AND(E2365&lt;=3,E2365&gt;=2,F2365&gt;=3),"Rawan",IF(AND(E2365&lt;=2,F2365&lt;=2),"Tidur","Umum"))))))</f>
        <v/>
      </c>
    </row>
    <row r="2366">
      <c r="B2366">
        <f>IF(A2366="","",$B$1-MAXIFS(Donasi!$A$2:$A$20000,Donasi!$B$2:$B$20000,A2366))</f>
        <v/>
      </c>
      <c r="C2366">
        <f>IF(A2366="","",COUNTIF(Donasi!$B$2:$B$20000,A2366))</f>
        <v/>
      </c>
      <c r="D2366">
        <f>IF(A2366="","",SUMIF(Donasi!$B$2:$B$20000,A2366,Donasi!$C$2:$C$20000))</f>
        <v/>
      </c>
      <c r="E2366">
        <f>IF(A2366="","",6-CEILING(PERCENTRANK.INC($B$3:$B$6000,B2366,4)*5+0.000001,1))</f>
        <v/>
      </c>
      <c r="F2366">
        <f>IF(A2366="","",MAX(1,CEILING(PERCENTRANK.INC($C$3:$C$6000,C2366,4)*5+0.000001,1)))</f>
        <v/>
      </c>
      <c r="G2366">
        <f>IF(A2366="","",MAX(1,CEILING(PERCENTRANK.INC($D$3:$D$6000,D2366,4)*5+0.000001,1)))</f>
        <v/>
      </c>
      <c r="H2366">
        <f>IF(A2366="","",E2366&amp;F2366&amp;G2366)</f>
        <v/>
      </c>
      <c r="I2366">
        <f>IF(A2366="","",IF(AND(E2366&gt;=4,F2366&gt;=4,G2366&gt;=4),"Juara",IF(AND(F2366&gt;=4,E2366&gt;=3),"Setia",IF(AND(E2366=5,F2366&lt;=2,G2366&gt;=3),"Berpotensi",IF(AND(E2366&lt;=3,E2366&gt;=2,F2366&gt;=3),"Rawan",IF(AND(E2366&lt;=2,F2366&lt;=2),"Tidur","Umum"))))))</f>
        <v/>
      </c>
    </row>
    <row r="2367">
      <c r="B2367">
        <f>IF(A2367="","",$B$1-MAXIFS(Donasi!$A$2:$A$20000,Donasi!$B$2:$B$20000,A2367))</f>
        <v/>
      </c>
      <c r="C2367">
        <f>IF(A2367="","",COUNTIF(Donasi!$B$2:$B$20000,A2367))</f>
        <v/>
      </c>
      <c r="D2367">
        <f>IF(A2367="","",SUMIF(Donasi!$B$2:$B$20000,A2367,Donasi!$C$2:$C$20000))</f>
        <v/>
      </c>
      <c r="E2367">
        <f>IF(A2367="","",6-CEILING(PERCENTRANK.INC($B$3:$B$6000,B2367,4)*5+0.000001,1))</f>
        <v/>
      </c>
      <c r="F2367">
        <f>IF(A2367="","",MAX(1,CEILING(PERCENTRANK.INC($C$3:$C$6000,C2367,4)*5+0.000001,1)))</f>
        <v/>
      </c>
      <c r="G2367">
        <f>IF(A2367="","",MAX(1,CEILING(PERCENTRANK.INC($D$3:$D$6000,D2367,4)*5+0.000001,1)))</f>
        <v/>
      </c>
      <c r="H2367">
        <f>IF(A2367="","",E2367&amp;F2367&amp;G2367)</f>
        <v/>
      </c>
      <c r="I2367">
        <f>IF(A2367="","",IF(AND(E2367&gt;=4,F2367&gt;=4,G2367&gt;=4),"Juara",IF(AND(F2367&gt;=4,E2367&gt;=3),"Setia",IF(AND(E2367=5,F2367&lt;=2,G2367&gt;=3),"Berpotensi",IF(AND(E2367&lt;=3,E2367&gt;=2,F2367&gt;=3),"Rawan",IF(AND(E2367&lt;=2,F2367&lt;=2),"Tidur","Umum"))))))</f>
        <v/>
      </c>
    </row>
    <row r="2368">
      <c r="B2368">
        <f>IF(A2368="","",$B$1-MAXIFS(Donasi!$A$2:$A$20000,Donasi!$B$2:$B$20000,A2368))</f>
        <v/>
      </c>
      <c r="C2368">
        <f>IF(A2368="","",COUNTIF(Donasi!$B$2:$B$20000,A2368))</f>
        <v/>
      </c>
      <c r="D2368">
        <f>IF(A2368="","",SUMIF(Donasi!$B$2:$B$20000,A2368,Donasi!$C$2:$C$20000))</f>
        <v/>
      </c>
      <c r="E2368">
        <f>IF(A2368="","",6-CEILING(PERCENTRANK.INC($B$3:$B$6000,B2368,4)*5+0.000001,1))</f>
        <v/>
      </c>
      <c r="F2368">
        <f>IF(A2368="","",MAX(1,CEILING(PERCENTRANK.INC($C$3:$C$6000,C2368,4)*5+0.000001,1)))</f>
        <v/>
      </c>
      <c r="G2368">
        <f>IF(A2368="","",MAX(1,CEILING(PERCENTRANK.INC($D$3:$D$6000,D2368,4)*5+0.000001,1)))</f>
        <v/>
      </c>
      <c r="H2368">
        <f>IF(A2368="","",E2368&amp;F2368&amp;G2368)</f>
        <v/>
      </c>
      <c r="I2368">
        <f>IF(A2368="","",IF(AND(E2368&gt;=4,F2368&gt;=4,G2368&gt;=4),"Juara",IF(AND(F2368&gt;=4,E2368&gt;=3),"Setia",IF(AND(E2368=5,F2368&lt;=2,G2368&gt;=3),"Berpotensi",IF(AND(E2368&lt;=3,E2368&gt;=2,F2368&gt;=3),"Rawan",IF(AND(E2368&lt;=2,F2368&lt;=2),"Tidur","Umum"))))))</f>
        <v/>
      </c>
    </row>
    <row r="2369">
      <c r="B2369">
        <f>IF(A2369="","",$B$1-MAXIFS(Donasi!$A$2:$A$20000,Donasi!$B$2:$B$20000,A2369))</f>
        <v/>
      </c>
      <c r="C2369">
        <f>IF(A2369="","",COUNTIF(Donasi!$B$2:$B$20000,A2369))</f>
        <v/>
      </c>
      <c r="D2369">
        <f>IF(A2369="","",SUMIF(Donasi!$B$2:$B$20000,A2369,Donasi!$C$2:$C$20000))</f>
        <v/>
      </c>
      <c r="E2369">
        <f>IF(A2369="","",6-CEILING(PERCENTRANK.INC($B$3:$B$6000,B2369,4)*5+0.000001,1))</f>
        <v/>
      </c>
      <c r="F2369">
        <f>IF(A2369="","",MAX(1,CEILING(PERCENTRANK.INC($C$3:$C$6000,C2369,4)*5+0.000001,1)))</f>
        <v/>
      </c>
      <c r="G2369">
        <f>IF(A2369="","",MAX(1,CEILING(PERCENTRANK.INC($D$3:$D$6000,D2369,4)*5+0.000001,1)))</f>
        <v/>
      </c>
      <c r="H2369">
        <f>IF(A2369="","",E2369&amp;F2369&amp;G2369)</f>
        <v/>
      </c>
      <c r="I2369">
        <f>IF(A2369="","",IF(AND(E2369&gt;=4,F2369&gt;=4,G2369&gt;=4),"Juara",IF(AND(F2369&gt;=4,E2369&gt;=3),"Setia",IF(AND(E2369=5,F2369&lt;=2,G2369&gt;=3),"Berpotensi",IF(AND(E2369&lt;=3,E2369&gt;=2,F2369&gt;=3),"Rawan",IF(AND(E2369&lt;=2,F2369&lt;=2),"Tidur","Umum"))))))</f>
        <v/>
      </c>
    </row>
    <row r="2370">
      <c r="B2370">
        <f>IF(A2370="","",$B$1-MAXIFS(Donasi!$A$2:$A$20000,Donasi!$B$2:$B$20000,A2370))</f>
        <v/>
      </c>
      <c r="C2370">
        <f>IF(A2370="","",COUNTIF(Donasi!$B$2:$B$20000,A2370))</f>
        <v/>
      </c>
      <c r="D2370">
        <f>IF(A2370="","",SUMIF(Donasi!$B$2:$B$20000,A2370,Donasi!$C$2:$C$20000))</f>
        <v/>
      </c>
      <c r="E2370">
        <f>IF(A2370="","",6-CEILING(PERCENTRANK.INC($B$3:$B$6000,B2370,4)*5+0.000001,1))</f>
        <v/>
      </c>
      <c r="F2370">
        <f>IF(A2370="","",MAX(1,CEILING(PERCENTRANK.INC($C$3:$C$6000,C2370,4)*5+0.000001,1)))</f>
        <v/>
      </c>
      <c r="G2370">
        <f>IF(A2370="","",MAX(1,CEILING(PERCENTRANK.INC($D$3:$D$6000,D2370,4)*5+0.000001,1)))</f>
        <v/>
      </c>
      <c r="H2370">
        <f>IF(A2370="","",E2370&amp;F2370&amp;G2370)</f>
        <v/>
      </c>
      <c r="I2370">
        <f>IF(A2370="","",IF(AND(E2370&gt;=4,F2370&gt;=4,G2370&gt;=4),"Juara",IF(AND(F2370&gt;=4,E2370&gt;=3),"Setia",IF(AND(E2370=5,F2370&lt;=2,G2370&gt;=3),"Berpotensi",IF(AND(E2370&lt;=3,E2370&gt;=2,F2370&gt;=3),"Rawan",IF(AND(E2370&lt;=2,F2370&lt;=2),"Tidur","Umum"))))))</f>
        <v/>
      </c>
    </row>
    <row r="2371">
      <c r="B2371">
        <f>IF(A2371="","",$B$1-MAXIFS(Donasi!$A$2:$A$20000,Donasi!$B$2:$B$20000,A2371))</f>
        <v/>
      </c>
      <c r="C2371">
        <f>IF(A2371="","",COUNTIF(Donasi!$B$2:$B$20000,A2371))</f>
        <v/>
      </c>
      <c r="D2371">
        <f>IF(A2371="","",SUMIF(Donasi!$B$2:$B$20000,A2371,Donasi!$C$2:$C$20000))</f>
        <v/>
      </c>
      <c r="E2371">
        <f>IF(A2371="","",6-CEILING(PERCENTRANK.INC($B$3:$B$6000,B2371,4)*5+0.000001,1))</f>
        <v/>
      </c>
      <c r="F2371">
        <f>IF(A2371="","",MAX(1,CEILING(PERCENTRANK.INC($C$3:$C$6000,C2371,4)*5+0.000001,1)))</f>
        <v/>
      </c>
      <c r="G2371">
        <f>IF(A2371="","",MAX(1,CEILING(PERCENTRANK.INC($D$3:$D$6000,D2371,4)*5+0.000001,1)))</f>
        <v/>
      </c>
      <c r="H2371">
        <f>IF(A2371="","",E2371&amp;F2371&amp;G2371)</f>
        <v/>
      </c>
      <c r="I2371">
        <f>IF(A2371="","",IF(AND(E2371&gt;=4,F2371&gt;=4,G2371&gt;=4),"Juara",IF(AND(F2371&gt;=4,E2371&gt;=3),"Setia",IF(AND(E2371=5,F2371&lt;=2,G2371&gt;=3),"Berpotensi",IF(AND(E2371&lt;=3,E2371&gt;=2,F2371&gt;=3),"Rawan",IF(AND(E2371&lt;=2,F2371&lt;=2),"Tidur","Umum"))))))</f>
        <v/>
      </c>
    </row>
    <row r="2372">
      <c r="B2372">
        <f>IF(A2372="","",$B$1-MAXIFS(Donasi!$A$2:$A$20000,Donasi!$B$2:$B$20000,A2372))</f>
        <v/>
      </c>
      <c r="C2372">
        <f>IF(A2372="","",COUNTIF(Donasi!$B$2:$B$20000,A2372))</f>
        <v/>
      </c>
      <c r="D2372">
        <f>IF(A2372="","",SUMIF(Donasi!$B$2:$B$20000,A2372,Donasi!$C$2:$C$20000))</f>
        <v/>
      </c>
      <c r="E2372">
        <f>IF(A2372="","",6-CEILING(PERCENTRANK.INC($B$3:$B$6000,B2372,4)*5+0.000001,1))</f>
        <v/>
      </c>
      <c r="F2372">
        <f>IF(A2372="","",MAX(1,CEILING(PERCENTRANK.INC($C$3:$C$6000,C2372,4)*5+0.000001,1)))</f>
        <v/>
      </c>
      <c r="G2372">
        <f>IF(A2372="","",MAX(1,CEILING(PERCENTRANK.INC($D$3:$D$6000,D2372,4)*5+0.000001,1)))</f>
        <v/>
      </c>
      <c r="H2372">
        <f>IF(A2372="","",E2372&amp;F2372&amp;G2372)</f>
        <v/>
      </c>
      <c r="I2372">
        <f>IF(A2372="","",IF(AND(E2372&gt;=4,F2372&gt;=4,G2372&gt;=4),"Juara",IF(AND(F2372&gt;=4,E2372&gt;=3),"Setia",IF(AND(E2372=5,F2372&lt;=2,G2372&gt;=3),"Berpotensi",IF(AND(E2372&lt;=3,E2372&gt;=2,F2372&gt;=3),"Rawan",IF(AND(E2372&lt;=2,F2372&lt;=2),"Tidur","Umum"))))))</f>
        <v/>
      </c>
    </row>
    <row r="2373">
      <c r="B2373">
        <f>IF(A2373="","",$B$1-MAXIFS(Donasi!$A$2:$A$20000,Donasi!$B$2:$B$20000,A2373))</f>
        <v/>
      </c>
      <c r="C2373">
        <f>IF(A2373="","",COUNTIF(Donasi!$B$2:$B$20000,A2373))</f>
        <v/>
      </c>
      <c r="D2373">
        <f>IF(A2373="","",SUMIF(Donasi!$B$2:$B$20000,A2373,Donasi!$C$2:$C$20000))</f>
        <v/>
      </c>
      <c r="E2373">
        <f>IF(A2373="","",6-CEILING(PERCENTRANK.INC($B$3:$B$6000,B2373,4)*5+0.000001,1))</f>
        <v/>
      </c>
      <c r="F2373">
        <f>IF(A2373="","",MAX(1,CEILING(PERCENTRANK.INC($C$3:$C$6000,C2373,4)*5+0.000001,1)))</f>
        <v/>
      </c>
      <c r="G2373">
        <f>IF(A2373="","",MAX(1,CEILING(PERCENTRANK.INC($D$3:$D$6000,D2373,4)*5+0.000001,1)))</f>
        <v/>
      </c>
      <c r="H2373">
        <f>IF(A2373="","",E2373&amp;F2373&amp;G2373)</f>
        <v/>
      </c>
      <c r="I2373">
        <f>IF(A2373="","",IF(AND(E2373&gt;=4,F2373&gt;=4,G2373&gt;=4),"Juara",IF(AND(F2373&gt;=4,E2373&gt;=3),"Setia",IF(AND(E2373=5,F2373&lt;=2,G2373&gt;=3),"Berpotensi",IF(AND(E2373&lt;=3,E2373&gt;=2,F2373&gt;=3),"Rawan",IF(AND(E2373&lt;=2,F2373&lt;=2),"Tidur","Umum"))))))</f>
        <v/>
      </c>
    </row>
    <row r="2374">
      <c r="B2374">
        <f>IF(A2374="","",$B$1-MAXIFS(Donasi!$A$2:$A$20000,Donasi!$B$2:$B$20000,A2374))</f>
        <v/>
      </c>
      <c r="C2374">
        <f>IF(A2374="","",COUNTIF(Donasi!$B$2:$B$20000,A2374))</f>
        <v/>
      </c>
      <c r="D2374">
        <f>IF(A2374="","",SUMIF(Donasi!$B$2:$B$20000,A2374,Donasi!$C$2:$C$20000))</f>
        <v/>
      </c>
      <c r="E2374">
        <f>IF(A2374="","",6-CEILING(PERCENTRANK.INC($B$3:$B$6000,B2374,4)*5+0.000001,1))</f>
        <v/>
      </c>
      <c r="F2374">
        <f>IF(A2374="","",MAX(1,CEILING(PERCENTRANK.INC($C$3:$C$6000,C2374,4)*5+0.000001,1)))</f>
        <v/>
      </c>
      <c r="G2374">
        <f>IF(A2374="","",MAX(1,CEILING(PERCENTRANK.INC($D$3:$D$6000,D2374,4)*5+0.000001,1)))</f>
        <v/>
      </c>
      <c r="H2374">
        <f>IF(A2374="","",E2374&amp;F2374&amp;G2374)</f>
        <v/>
      </c>
      <c r="I2374">
        <f>IF(A2374="","",IF(AND(E2374&gt;=4,F2374&gt;=4,G2374&gt;=4),"Juara",IF(AND(F2374&gt;=4,E2374&gt;=3),"Setia",IF(AND(E2374=5,F2374&lt;=2,G2374&gt;=3),"Berpotensi",IF(AND(E2374&lt;=3,E2374&gt;=2,F2374&gt;=3),"Rawan",IF(AND(E2374&lt;=2,F2374&lt;=2),"Tidur","Umum"))))))</f>
        <v/>
      </c>
    </row>
    <row r="2375">
      <c r="B2375">
        <f>IF(A2375="","",$B$1-MAXIFS(Donasi!$A$2:$A$20000,Donasi!$B$2:$B$20000,A2375))</f>
        <v/>
      </c>
      <c r="C2375">
        <f>IF(A2375="","",COUNTIF(Donasi!$B$2:$B$20000,A2375))</f>
        <v/>
      </c>
      <c r="D2375">
        <f>IF(A2375="","",SUMIF(Donasi!$B$2:$B$20000,A2375,Donasi!$C$2:$C$20000))</f>
        <v/>
      </c>
      <c r="E2375">
        <f>IF(A2375="","",6-CEILING(PERCENTRANK.INC($B$3:$B$6000,B2375,4)*5+0.000001,1))</f>
        <v/>
      </c>
      <c r="F2375">
        <f>IF(A2375="","",MAX(1,CEILING(PERCENTRANK.INC($C$3:$C$6000,C2375,4)*5+0.000001,1)))</f>
        <v/>
      </c>
      <c r="G2375">
        <f>IF(A2375="","",MAX(1,CEILING(PERCENTRANK.INC($D$3:$D$6000,D2375,4)*5+0.000001,1)))</f>
        <v/>
      </c>
      <c r="H2375">
        <f>IF(A2375="","",E2375&amp;F2375&amp;G2375)</f>
        <v/>
      </c>
      <c r="I2375">
        <f>IF(A2375="","",IF(AND(E2375&gt;=4,F2375&gt;=4,G2375&gt;=4),"Juara",IF(AND(F2375&gt;=4,E2375&gt;=3),"Setia",IF(AND(E2375=5,F2375&lt;=2,G2375&gt;=3),"Berpotensi",IF(AND(E2375&lt;=3,E2375&gt;=2,F2375&gt;=3),"Rawan",IF(AND(E2375&lt;=2,F2375&lt;=2),"Tidur","Umum"))))))</f>
        <v/>
      </c>
    </row>
    <row r="2376">
      <c r="B2376">
        <f>IF(A2376="","",$B$1-MAXIFS(Donasi!$A$2:$A$20000,Donasi!$B$2:$B$20000,A2376))</f>
        <v/>
      </c>
      <c r="C2376">
        <f>IF(A2376="","",COUNTIF(Donasi!$B$2:$B$20000,A2376))</f>
        <v/>
      </c>
      <c r="D2376">
        <f>IF(A2376="","",SUMIF(Donasi!$B$2:$B$20000,A2376,Donasi!$C$2:$C$20000))</f>
        <v/>
      </c>
      <c r="E2376">
        <f>IF(A2376="","",6-CEILING(PERCENTRANK.INC($B$3:$B$6000,B2376,4)*5+0.000001,1))</f>
        <v/>
      </c>
      <c r="F2376">
        <f>IF(A2376="","",MAX(1,CEILING(PERCENTRANK.INC($C$3:$C$6000,C2376,4)*5+0.000001,1)))</f>
        <v/>
      </c>
      <c r="G2376">
        <f>IF(A2376="","",MAX(1,CEILING(PERCENTRANK.INC($D$3:$D$6000,D2376,4)*5+0.000001,1)))</f>
        <v/>
      </c>
      <c r="H2376">
        <f>IF(A2376="","",E2376&amp;F2376&amp;G2376)</f>
        <v/>
      </c>
      <c r="I2376">
        <f>IF(A2376="","",IF(AND(E2376&gt;=4,F2376&gt;=4,G2376&gt;=4),"Juara",IF(AND(F2376&gt;=4,E2376&gt;=3),"Setia",IF(AND(E2376=5,F2376&lt;=2,G2376&gt;=3),"Berpotensi",IF(AND(E2376&lt;=3,E2376&gt;=2,F2376&gt;=3),"Rawan",IF(AND(E2376&lt;=2,F2376&lt;=2),"Tidur","Umum"))))))</f>
        <v/>
      </c>
    </row>
    <row r="2377">
      <c r="B2377">
        <f>IF(A2377="","",$B$1-MAXIFS(Donasi!$A$2:$A$20000,Donasi!$B$2:$B$20000,A2377))</f>
        <v/>
      </c>
      <c r="C2377">
        <f>IF(A2377="","",COUNTIF(Donasi!$B$2:$B$20000,A2377))</f>
        <v/>
      </c>
      <c r="D2377">
        <f>IF(A2377="","",SUMIF(Donasi!$B$2:$B$20000,A2377,Donasi!$C$2:$C$20000))</f>
        <v/>
      </c>
      <c r="E2377">
        <f>IF(A2377="","",6-CEILING(PERCENTRANK.INC($B$3:$B$6000,B2377,4)*5+0.000001,1))</f>
        <v/>
      </c>
      <c r="F2377">
        <f>IF(A2377="","",MAX(1,CEILING(PERCENTRANK.INC($C$3:$C$6000,C2377,4)*5+0.000001,1)))</f>
        <v/>
      </c>
      <c r="G2377">
        <f>IF(A2377="","",MAX(1,CEILING(PERCENTRANK.INC($D$3:$D$6000,D2377,4)*5+0.000001,1)))</f>
        <v/>
      </c>
      <c r="H2377">
        <f>IF(A2377="","",E2377&amp;F2377&amp;G2377)</f>
        <v/>
      </c>
      <c r="I2377">
        <f>IF(A2377="","",IF(AND(E2377&gt;=4,F2377&gt;=4,G2377&gt;=4),"Juara",IF(AND(F2377&gt;=4,E2377&gt;=3),"Setia",IF(AND(E2377=5,F2377&lt;=2,G2377&gt;=3),"Berpotensi",IF(AND(E2377&lt;=3,E2377&gt;=2,F2377&gt;=3),"Rawan",IF(AND(E2377&lt;=2,F2377&lt;=2),"Tidur","Umum"))))))</f>
        <v/>
      </c>
    </row>
    <row r="2378">
      <c r="B2378">
        <f>IF(A2378="","",$B$1-MAXIFS(Donasi!$A$2:$A$20000,Donasi!$B$2:$B$20000,A2378))</f>
        <v/>
      </c>
      <c r="C2378">
        <f>IF(A2378="","",COUNTIF(Donasi!$B$2:$B$20000,A2378))</f>
        <v/>
      </c>
      <c r="D2378">
        <f>IF(A2378="","",SUMIF(Donasi!$B$2:$B$20000,A2378,Donasi!$C$2:$C$20000))</f>
        <v/>
      </c>
      <c r="E2378">
        <f>IF(A2378="","",6-CEILING(PERCENTRANK.INC($B$3:$B$6000,B2378,4)*5+0.000001,1))</f>
        <v/>
      </c>
      <c r="F2378">
        <f>IF(A2378="","",MAX(1,CEILING(PERCENTRANK.INC($C$3:$C$6000,C2378,4)*5+0.000001,1)))</f>
        <v/>
      </c>
      <c r="G2378">
        <f>IF(A2378="","",MAX(1,CEILING(PERCENTRANK.INC($D$3:$D$6000,D2378,4)*5+0.000001,1)))</f>
        <v/>
      </c>
      <c r="H2378">
        <f>IF(A2378="","",E2378&amp;F2378&amp;G2378)</f>
        <v/>
      </c>
      <c r="I2378">
        <f>IF(A2378="","",IF(AND(E2378&gt;=4,F2378&gt;=4,G2378&gt;=4),"Juara",IF(AND(F2378&gt;=4,E2378&gt;=3),"Setia",IF(AND(E2378=5,F2378&lt;=2,G2378&gt;=3),"Berpotensi",IF(AND(E2378&lt;=3,E2378&gt;=2,F2378&gt;=3),"Rawan",IF(AND(E2378&lt;=2,F2378&lt;=2),"Tidur","Umum"))))))</f>
        <v/>
      </c>
    </row>
    <row r="2379">
      <c r="B2379">
        <f>IF(A2379="","",$B$1-MAXIFS(Donasi!$A$2:$A$20000,Donasi!$B$2:$B$20000,A2379))</f>
        <v/>
      </c>
      <c r="C2379">
        <f>IF(A2379="","",COUNTIF(Donasi!$B$2:$B$20000,A2379))</f>
        <v/>
      </c>
      <c r="D2379">
        <f>IF(A2379="","",SUMIF(Donasi!$B$2:$B$20000,A2379,Donasi!$C$2:$C$20000))</f>
        <v/>
      </c>
      <c r="E2379">
        <f>IF(A2379="","",6-CEILING(PERCENTRANK.INC($B$3:$B$6000,B2379,4)*5+0.000001,1))</f>
        <v/>
      </c>
      <c r="F2379">
        <f>IF(A2379="","",MAX(1,CEILING(PERCENTRANK.INC($C$3:$C$6000,C2379,4)*5+0.000001,1)))</f>
        <v/>
      </c>
      <c r="G2379">
        <f>IF(A2379="","",MAX(1,CEILING(PERCENTRANK.INC($D$3:$D$6000,D2379,4)*5+0.000001,1)))</f>
        <v/>
      </c>
      <c r="H2379">
        <f>IF(A2379="","",E2379&amp;F2379&amp;G2379)</f>
        <v/>
      </c>
      <c r="I2379">
        <f>IF(A2379="","",IF(AND(E2379&gt;=4,F2379&gt;=4,G2379&gt;=4),"Juara",IF(AND(F2379&gt;=4,E2379&gt;=3),"Setia",IF(AND(E2379=5,F2379&lt;=2,G2379&gt;=3),"Berpotensi",IF(AND(E2379&lt;=3,E2379&gt;=2,F2379&gt;=3),"Rawan",IF(AND(E2379&lt;=2,F2379&lt;=2),"Tidur","Umum"))))))</f>
        <v/>
      </c>
    </row>
    <row r="2380">
      <c r="B2380">
        <f>IF(A2380="","",$B$1-MAXIFS(Donasi!$A$2:$A$20000,Donasi!$B$2:$B$20000,A2380))</f>
        <v/>
      </c>
      <c r="C2380">
        <f>IF(A2380="","",COUNTIF(Donasi!$B$2:$B$20000,A2380))</f>
        <v/>
      </c>
      <c r="D2380">
        <f>IF(A2380="","",SUMIF(Donasi!$B$2:$B$20000,A2380,Donasi!$C$2:$C$20000))</f>
        <v/>
      </c>
      <c r="E2380">
        <f>IF(A2380="","",6-CEILING(PERCENTRANK.INC($B$3:$B$6000,B2380,4)*5+0.000001,1))</f>
        <v/>
      </c>
      <c r="F2380">
        <f>IF(A2380="","",MAX(1,CEILING(PERCENTRANK.INC($C$3:$C$6000,C2380,4)*5+0.000001,1)))</f>
        <v/>
      </c>
      <c r="G2380">
        <f>IF(A2380="","",MAX(1,CEILING(PERCENTRANK.INC($D$3:$D$6000,D2380,4)*5+0.000001,1)))</f>
        <v/>
      </c>
      <c r="H2380">
        <f>IF(A2380="","",E2380&amp;F2380&amp;G2380)</f>
        <v/>
      </c>
      <c r="I2380">
        <f>IF(A2380="","",IF(AND(E2380&gt;=4,F2380&gt;=4,G2380&gt;=4),"Juara",IF(AND(F2380&gt;=4,E2380&gt;=3),"Setia",IF(AND(E2380=5,F2380&lt;=2,G2380&gt;=3),"Berpotensi",IF(AND(E2380&lt;=3,E2380&gt;=2,F2380&gt;=3),"Rawan",IF(AND(E2380&lt;=2,F2380&lt;=2),"Tidur","Umum"))))))</f>
        <v/>
      </c>
    </row>
    <row r="2381">
      <c r="B2381">
        <f>IF(A2381="","",$B$1-MAXIFS(Donasi!$A$2:$A$20000,Donasi!$B$2:$B$20000,A2381))</f>
        <v/>
      </c>
      <c r="C2381">
        <f>IF(A2381="","",COUNTIF(Donasi!$B$2:$B$20000,A2381))</f>
        <v/>
      </c>
      <c r="D2381">
        <f>IF(A2381="","",SUMIF(Donasi!$B$2:$B$20000,A2381,Donasi!$C$2:$C$20000))</f>
        <v/>
      </c>
      <c r="E2381">
        <f>IF(A2381="","",6-CEILING(PERCENTRANK.INC($B$3:$B$6000,B2381,4)*5+0.000001,1))</f>
        <v/>
      </c>
      <c r="F2381">
        <f>IF(A2381="","",MAX(1,CEILING(PERCENTRANK.INC($C$3:$C$6000,C2381,4)*5+0.000001,1)))</f>
        <v/>
      </c>
      <c r="G2381">
        <f>IF(A2381="","",MAX(1,CEILING(PERCENTRANK.INC($D$3:$D$6000,D2381,4)*5+0.000001,1)))</f>
        <v/>
      </c>
      <c r="H2381">
        <f>IF(A2381="","",E2381&amp;F2381&amp;G2381)</f>
        <v/>
      </c>
      <c r="I2381">
        <f>IF(A2381="","",IF(AND(E2381&gt;=4,F2381&gt;=4,G2381&gt;=4),"Juara",IF(AND(F2381&gt;=4,E2381&gt;=3),"Setia",IF(AND(E2381=5,F2381&lt;=2,G2381&gt;=3),"Berpotensi",IF(AND(E2381&lt;=3,E2381&gt;=2,F2381&gt;=3),"Rawan",IF(AND(E2381&lt;=2,F2381&lt;=2),"Tidur","Umum"))))))</f>
        <v/>
      </c>
    </row>
    <row r="2382">
      <c r="B2382">
        <f>IF(A2382="","",$B$1-MAXIFS(Donasi!$A$2:$A$20000,Donasi!$B$2:$B$20000,A2382))</f>
        <v/>
      </c>
      <c r="C2382">
        <f>IF(A2382="","",COUNTIF(Donasi!$B$2:$B$20000,A2382))</f>
        <v/>
      </c>
      <c r="D2382">
        <f>IF(A2382="","",SUMIF(Donasi!$B$2:$B$20000,A2382,Donasi!$C$2:$C$20000))</f>
        <v/>
      </c>
      <c r="E2382">
        <f>IF(A2382="","",6-CEILING(PERCENTRANK.INC($B$3:$B$6000,B2382,4)*5+0.000001,1))</f>
        <v/>
      </c>
      <c r="F2382">
        <f>IF(A2382="","",MAX(1,CEILING(PERCENTRANK.INC($C$3:$C$6000,C2382,4)*5+0.000001,1)))</f>
        <v/>
      </c>
      <c r="G2382">
        <f>IF(A2382="","",MAX(1,CEILING(PERCENTRANK.INC($D$3:$D$6000,D2382,4)*5+0.000001,1)))</f>
        <v/>
      </c>
      <c r="H2382">
        <f>IF(A2382="","",E2382&amp;F2382&amp;G2382)</f>
        <v/>
      </c>
      <c r="I2382">
        <f>IF(A2382="","",IF(AND(E2382&gt;=4,F2382&gt;=4,G2382&gt;=4),"Juara",IF(AND(F2382&gt;=4,E2382&gt;=3),"Setia",IF(AND(E2382=5,F2382&lt;=2,G2382&gt;=3),"Berpotensi",IF(AND(E2382&lt;=3,E2382&gt;=2,F2382&gt;=3),"Rawan",IF(AND(E2382&lt;=2,F2382&lt;=2),"Tidur","Umum"))))))</f>
        <v/>
      </c>
    </row>
    <row r="2383">
      <c r="B2383">
        <f>IF(A2383="","",$B$1-MAXIFS(Donasi!$A$2:$A$20000,Donasi!$B$2:$B$20000,A2383))</f>
        <v/>
      </c>
      <c r="C2383">
        <f>IF(A2383="","",COUNTIF(Donasi!$B$2:$B$20000,A2383))</f>
        <v/>
      </c>
      <c r="D2383">
        <f>IF(A2383="","",SUMIF(Donasi!$B$2:$B$20000,A2383,Donasi!$C$2:$C$20000))</f>
        <v/>
      </c>
      <c r="E2383">
        <f>IF(A2383="","",6-CEILING(PERCENTRANK.INC($B$3:$B$6000,B2383,4)*5+0.000001,1))</f>
        <v/>
      </c>
      <c r="F2383">
        <f>IF(A2383="","",MAX(1,CEILING(PERCENTRANK.INC($C$3:$C$6000,C2383,4)*5+0.000001,1)))</f>
        <v/>
      </c>
      <c r="G2383">
        <f>IF(A2383="","",MAX(1,CEILING(PERCENTRANK.INC($D$3:$D$6000,D2383,4)*5+0.000001,1)))</f>
        <v/>
      </c>
      <c r="H2383">
        <f>IF(A2383="","",E2383&amp;F2383&amp;G2383)</f>
        <v/>
      </c>
      <c r="I2383">
        <f>IF(A2383="","",IF(AND(E2383&gt;=4,F2383&gt;=4,G2383&gt;=4),"Juara",IF(AND(F2383&gt;=4,E2383&gt;=3),"Setia",IF(AND(E2383=5,F2383&lt;=2,G2383&gt;=3),"Berpotensi",IF(AND(E2383&lt;=3,E2383&gt;=2,F2383&gt;=3),"Rawan",IF(AND(E2383&lt;=2,F2383&lt;=2),"Tidur","Umum"))))))</f>
        <v/>
      </c>
    </row>
    <row r="2384">
      <c r="B2384">
        <f>IF(A2384="","",$B$1-MAXIFS(Donasi!$A$2:$A$20000,Donasi!$B$2:$B$20000,A2384))</f>
        <v/>
      </c>
      <c r="C2384">
        <f>IF(A2384="","",COUNTIF(Donasi!$B$2:$B$20000,A2384))</f>
        <v/>
      </c>
      <c r="D2384">
        <f>IF(A2384="","",SUMIF(Donasi!$B$2:$B$20000,A2384,Donasi!$C$2:$C$20000))</f>
        <v/>
      </c>
      <c r="E2384">
        <f>IF(A2384="","",6-CEILING(PERCENTRANK.INC($B$3:$B$6000,B2384,4)*5+0.000001,1))</f>
        <v/>
      </c>
      <c r="F2384">
        <f>IF(A2384="","",MAX(1,CEILING(PERCENTRANK.INC($C$3:$C$6000,C2384,4)*5+0.000001,1)))</f>
        <v/>
      </c>
      <c r="G2384">
        <f>IF(A2384="","",MAX(1,CEILING(PERCENTRANK.INC($D$3:$D$6000,D2384,4)*5+0.000001,1)))</f>
        <v/>
      </c>
      <c r="H2384">
        <f>IF(A2384="","",E2384&amp;F2384&amp;G2384)</f>
        <v/>
      </c>
      <c r="I2384">
        <f>IF(A2384="","",IF(AND(E2384&gt;=4,F2384&gt;=4,G2384&gt;=4),"Juara",IF(AND(F2384&gt;=4,E2384&gt;=3),"Setia",IF(AND(E2384=5,F2384&lt;=2,G2384&gt;=3),"Berpotensi",IF(AND(E2384&lt;=3,E2384&gt;=2,F2384&gt;=3),"Rawan",IF(AND(E2384&lt;=2,F2384&lt;=2),"Tidur","Umum"))))))</f>
        <v/>
      </c>
    </row>
    <row r="2385">
      <c r="B2385">
        <f>IF(A2385="","",$B$1-MAXIFS(Donasi!$A$2:$A$20000,Donasi!$B$2:$B$20000,A2385))</f>
        <v/>
      </c>
      <c r="C2385">
        <f>IF(A2385="","",COUNTIF(Donasi!$B$2:$B$20000,A2385))</f>
        <v/>
      </c>
      <c r="D2385">
        <f>IF(A2385="","",SUMIF(Donasi!$B$2:$B$20000,A2385,Donasi!$C$2:$C$20000))</f>
        <v/>
      </c>
      <c r="E2385">
        <f>IF(A2385="","",6-CEILING(PERCENTRANK.INC($B$3:$B$6000,B2385,4)*5+0.000001,1))</f>
        <v/>
      </c>
      <c r="F2385">
        <f>IF(A2385="","",MAX(1,CEILING(PERCENTRANK.INC($C$3:$C$6000,C2385,4)*5+0.000001,1)))</f>
        <v/>
      </c>
      <c r="G2385">
        <f>IF(A2385="","",MAX(1,CEILING(PERCENTRANK.INC($D$3:$D$6000,D2385,4)*5+0.000001,1)))</f>
        <v/>
      </c>
      <c r="H2385">
        <f>IF(A2385="","",E2385&amp;F2385&amp;G2385)</f>
        <v/>
      </c>
      <c r="I2385">
        <f>IF(A2385="","",IF(AND(E2385&gt;=4,F2385&gt;=4,G2385&gt;=4),"Juara",IF(AND(F2385&gt;=4,E2385&gt;=3),"Setia",IF(AND(E2385=5,F2385&lt;=2,G2385&gt;=3),"Berpotensi",IF(AND(E2385&lt;=3,E2385&gt;=2,F2385&gt;=3),"Rawan",IF(AND(E2385&lt;=2,F2385&lt;=2),"Tidur","Umum"))))))</f>
        <v/>
      </c>
    </row>
    <row r="2386">
      <c r="B2386">
        <f>IF(A2386="","",$B$1-MAXIFS(Donasi!$A$2:$A$20000,Donasi!$B$2:$B$20000,A2386))</f>
        <v/>
      </c>
      <c r="C2386">
        <f>IF(A2386="","",COUNTIF(Donasi!$B$2:$B$20000,A2386))</f>
        <v/>
      </c>
      <c r="D2386">
        <f>IF(A2386="","",SUMIF(Donasi!$B$2:$B$20000,A2386,Donasi!$C$2:$C$20000))</f>
        <v/>
      </c>
      <c r="E2386">
        <f>IF(A2386="","",6-CEILING(PERCENTRANK.INC($B$3:$B$6000,B2386,4)*5+0.000001,1))</f>
        <v/>
      </c>
      <c r="F2386">
        <f>IF(A2386="","",MAX(1,CEILING(PERCENTRANK.INC($C$3:$C$6000,C2386,4)*5+0.000001,1)))</f>
        <v/>
      </c>
      <c r="G2386">
        <f>IF(A2386="","",MAX(1,CEILING(PERCENTRANK.INC($D$3:$D$6000,D2386,4)*5+0.000001,1)))</f>
        <v/>
      </c>
      <c r="H2386">
        <f>IF(A2386="","",E2386&amp;F2386&amp;G2386)</f>
        <v/>
      </c>
      <c r="I2386">
        <f>IF(A2386="","",IF(AND(E2386&gt;=4,F2386&gt;=4,G2386&gt;=4),"Juara",IF(AND(F2386&gt;=4,E2386&gt;=3),"Setia",IF(AND(E2386=5,F2386&lt;=2,G2386&gt;=3),"Berpotensi",IF(AND(E2386&lt;=3,E2386&gt;=2,F2386&gt;=3),"Rawan",IF(AND(E2386&lt;=2,F2386&lt;=2),"Tidur","Umum"))))))</f>
        <v/>
      </c>
    </row>
    <row r="2387">
      <c r="B2387">
        <f>IF(A2387="","",$B$1-MAXIFS(Donasi!$A$2:$A$20000,Donasi!$B$2:$B$20000,A2387))</f>
        <v/>
      </c>
      <c r="C2387">
        <f>IF(A2387="","",COUNTIF(Donasi!$B$2:$B$20000,A2387))</f>
        <v/>
      </c>
      <c r="D2387">
        <f>IF(A2387="","",SUMIF(Donasi!$B$2:$B$20000,A2387,Donasi!$C$2:$C$20000))</f>
        <v/>
      </c>
      <c r="E2387">
        <f>IF(A2387="","",6-CEILING(PERCENTRANK.INC($B$3:$B$6000,B2387,4)*5+0.000001,1))</f>
        <v/>
      </c>
      <c r="F2387">
        <f>IF(A2387="","",MAX(1,CEILING(PERCENTRANK.INC($C$3:$C$6000,C2387,4)*5+0.000001,1)))</f>
        <v/>
      </c>
      <c r="G2387">
        <f>IF(A2387="","",MAX(1,CEILING(PERCENTRANK.INC($D$3:$D$6000,D2387,4)*5+0.000001,1)))</f>
        <v/>
      </c>
      <c r="H2387">
        <f>IF(A2387="","",E2387&amp;F2387&amp;G2387)</f>
        <v/>
      </c>
      <c r="I2387">
        <f>IF(A2387="","",IF(AND(E2387&gt;=4,F2387&gt;=4,G2387&gt;=4),"Juara",IF(AND(F2387&gt;=4,E2387&gt;=3),"Setia",IF(AND(E2387=5,F2387&lt;=2,G2387&gt;=3),"Berpotensi",IF(AND(E2387&lt;=3,E2387&gt;=2,F2387&gt;=3),"Rawan",IF(AND(E2387&lt;=2,F2387&lt;=2),"Tidur","Umum"))))))</f>
        <v/>
      </c>
    </row>
    <row r="2388">
      <c r="B2388">
        <f>IF(A2388="","",$B$1-MAXIFS(Donasi!$A$2:$A$20000,Donasi!$B$2:$B$20000,A2388))</f>
        <v/>
      </c>
      <c r="C2388">
        <f>IF(A2388="","",COUNTIF(Donasi!$B$2:$B$20000,A2388))</f>
        <v/>
      </c>
      <c r="D2388">
        <f>IF(A2388="","",SUMIF(Donasi!$B$2:$B$20000,A2388,Donasi!$C$2:$C$20000))</f>
        <v/>
      </c>
      <c r="E2388">
        <f>IF(A2388="","",6-CEILING(PERCENTRANK.INC($B$3:$B$6000,B2388,4)*5+0.000001,1))</f>
        <v/>
      </c>
      <c r="F2388">
        <f>IF(A2388="","",MAX(1,CEILING(PERCENTRANK.INC($C$3:$C$6000,C2388,4)*5+0.000001,1)))</f>
        <v/>
      </c>
      <c r="G2388">
        <f>IF(A2388="","",MAX(1,CEILING(PERCENTRANK.INC($D$3:$D$6000,D2388,4)*5+0.000001,1)))</f>
        <v/>
      </c>
      <c r="H2388">
        <f>IF(A2388="","",E2388&amp;F2388&amp;G2388)</f>
        <v/>
      </c>
      <c r="I2388">
        <f>IF(A2388="","",IF(AND(E2388&gt;=4,F2388&gt;=4,G2388&gt;=4),"Juara",IF(AND(F2388&gt;=4,E2388&gt;=3),"Setia",IF(AND(E2388=5,F2388&lt;=2,G2388&gt;=3),"Berpotensi",IF(AND(E2388&lt;=3,E2388&gt;=2,F2388&gt;=3),"Rawan",IF(AND(E2388&lt;=2,F2388&lt;=2),"Tidur","Umum"))))))</f>
        <v/>
      </c>
    </row>
    <row r="2389">
      <c r="B2389">
        <f>IF(A2389="","",$B$1-MAXIFS(Donasi!$A$2:$A$20000,Donasi!$B$2:$B$20000,A2389))</f>
        <v/>
      </c>
      <c r="C2389">
        <f>IF(A2389="","",COUNTIF(Donasi!$B$2:$B$20000,A2389))</f>
        <v/>
      </c>
      <c r="D2389">
        <f>IF(A2389="","",SUMIF(Donasi!$B$2:$B$20000,A2389,Donasi!$C$2:$C$20000))</f>
        <v/>
      </c>
      <c r="E2389">
        <f>IF(A2389="","",6-CEILING(PERCENTRANK.INC($B$3:$B$6000,B2389,4)*5+0.000001,1))</f>
        <v/>
      </c>
      <c r="F2389">
        <f>IF(A2389="","",MAX(1,CEILING(PERCENTRANK.INC($C$3:$C$6000,C2389,4)*5+0.000001,1)))</f>
        <v/>
      </c>
      <c r="G2389">
        <f>IF(A2389="","",MAX(1,CEILING(PERCENTRANK.INC($D$3:$D$6000,D2389,4)*5+0.000001,1)))</f>
        <v/>
      </c>
      <c r="H2389">
        <f>IF(A2389="","",E2389&amp;F2389&amp;G2389)</f>
        <v/>
      </c>
      <c r="I2389">
        <f>IF(A2389="","",IF(AND(E2389&gt;=4,F2389&gt;=4,G2389&gt;=4),"Juara",IF(AND(F2389&gt;=4,E2389&gt;=3),"Setia",IF(AND(E2389=5,F2389&lt;=2,G2389&gt;=3),"Berpotensi",IF(AND(E2389&lt;=3,E2389&gt;=2,F2389&gt;=3),"Rawan",IF(AND(E2389&lt;=2,F2389&lt;=2),"Tidur","Umum"))))))</f>
        <v/>
      </c>
    </row>
    <row r="2390">
      <c r="B2390">
        <f>IF(A2390="","",$B$1-MAXIFS(Donasi!$A$2:$A$20000,Donasi!$B$2:$B$20000,A2390))</f>
        <v/>
      </c>
      <c r="C2390">
        <f>IF(A2390="","",COUNTIF(Donasi!$B$2:$B$20000,A2390))</f>
        <v/>
      </c>
      <c r="D2390">
        <f>IF(A2390="","",SUMIF(Donasi!$B$2:$B$20000,A2390,Donasi!$C$2:$C$20000))</f>
        <v/>
      </c>
      <c r="E2390">
        <f>IF(A2390="","",6-CEILING(PERCENTRANK.INC($B$3:$B$6000,B2390,4)*5+0.000001,1))</f>
        <v/>
      </c>
      <c r="F2390">
        <f>IF(A2390="","",MAX(1,CEILING(PERCENTRANK.INC($C$3:$C$6000,C2390,4)*5+0.000001,1)))</f>
        <v/>
      </c>
      <c r="G2390">
        <f>IF(A2390="","",MAX(1,CEILING(PERCENTRANK.INC($D$3:$D$6000,D2390,4)*5+0.000001,1)))</f>
        <v/>
      </c>
      <c r="H2390">
        <f>IF(A2390="","",E2390&amp;F2390&amp;G2390)</f>
        <v/>
      </c>
      <c r="I2390">
        <f>IF(A2390="","",IF(AND(E2390&gt;=4,F2390&gt;=4,G2390&gt;=4),"Juara",IF(AND(F2390&gt;=4,E2390&gt;=3),"Setia",IF(AND(E2390=5,F2390&lt;=2,G2390&gt;=3),"Berpotensi",IF(AND(E2390&lt;=3,E2390&gt;=2,F2390&gt;=3),"Rawan",IF(AND(E2390&lt;=2,F2390&lt;=2),"Tidur","Umum"))))))</f>
        <v/>
      </c>
    </row>
    <row r="2391">
      <c r="B2391">
        <f>IF(A2391="","",$B$1-MAXIFS(Donasi!$A$2:$A$20000,Donasi!$B$2:$B$20000,A2391))</f>
        <v/>
      </c>
      <c r="C2391">
        <f>IF(A2391="","",COUNTIF(Donasi!$B$2:$B$20000,A2391))</f>
        <v/>
      </c>
      <c r="D2391">
        <f>IF(A2391="","",SUMIF(Donasi!$B$2:$B$20000,A2391,Donasi!$C$2:$C$20000))</f>
        <v/>
      </c>
      <c r="E2391">
        <f>IF(A2391="","",6-CEILING(PERCENTRANK.INC($B$3:$B$6000,B2391,4)*5+0.000001,1))</f>
        <v/>
      </c>
      <c r="F2391">
        <f>IF(A2391="","",MAX(1,CEILING(PERCENTRANK.INC($C$3:$C$6000,C2391,4)*5+0.000001,1)))</f>
        <v/>
      </c>
      <c r="G2391">
        <f>IF(A2391="","",MAX(1,CEILING(PERCENTRANK.INC($D$3:$D$6000,D2391,4)*5+0.000001,1)))</f>
        <v/>
      </c>
      <c r="H2391">
        <f>IF(A2391="","",E2391&amp;F2391&amp;G2391)</f>
        <v/>
      </c>
      <c r="I2391">
        <f>IF(A2391="","",IF(AND(E2391&gt;=4,F2391&gt;=4,G2391&gt;=4),"Juara",IF(AND(F2391&gt;=4,E2391&gt;=3),"Setia",IF(AND(E2391=5,F2391&lt;=2,G2391&gt;=3),"Berpotensi",IF(AND(E2391&lt;=3,E2391&gt;=2,F2391&gt;=3),"Rawan",IF(AND(E2391&lt;=2,F2391&lt;=2),"Tidur","Umum"))))))</f>
        <v/>
      </c>
    </row>
    <row r="2392">
      <c r="B2392">
        <f>IF(A2392="","",$B$1-MAXIFS(Donasi!$A$2:$A$20000,Donasi!$B$2:$B$20000,A2392))</f>
        <v/>
      </c>
      <c r="C2392">
        <f>IF(A2392="","",COUNTIF(Donasi!$B$2:$B$20000,A2392))</f>
        <v/>
      </c>
      <c r="D2392">
        <f>IF(A2392="","",SUMIF(Donasi!$B$2:$B$20000,A2392,Donasi!$C$2:$C$20000))</f>
        <v/>
      </c>
      <c r="E2392">
        <f>IF(A2392="","",6-CEILING(PERCENTRANK.INC($B$3:$B$6000,B2392,4)*5+0.000001,1))</f>
        <v/>
      </c>
      <c r="F2392">
        <f>IF(A2392="","",MAX(1,CEILING(PERCENTRANK.INC($C$3:$C$6000,C2392,4)*5+0.000001,1)))</f>
        <v/>
      </c>
      <c r="G2392">
        <f>IF(A2392="","",MAX(1,CEILING(PERCENTRANK.INC($D$3:$D$6000,D2392,4)*5+0.000001,1)))</f>
        <v/>
      </c>
      <c r="H2392">
        <f>IF(A2392="","",E2392&amp;F2392&amp;G2392)</f>
        <v/>
      </c>
      <c r="I2392">
        <f>IF(A2392="","",IF(AND(E2392&gt;=4,F2392&gt;=4,G2392&gt;=4),"Juara",IF(AND(F2392&gt;=4,E2392&gt;=3),"Setia",IF(AND(E2392=5,F2392&lt;=2,G2392&gt;=3),"Berpotensi",IF(AND(E2392&lt;=3,E2392&gt;=2,F2392&gt;=3),"Rawan",IF(AND(E2392&lt;=2,F2392&lt;=2),"Tidur","Umum"))))))</f>
        <v/>
      </c>
    </row>
    <row r="2393">
      <c r="B2393">
        <f>IF(A2393="","",$B$1-MAXIFS(Donasi!$A$2:$A$20000,Donasi!$B$2:$B$20000,A2393))</f>
        <v/>
      </c>
      <c r="C2393">
        <f>IF(A2393="","",COUNTIF(Donasi!$B$2:$B$20000,A2393))</f>
        <v/>
      </c>
      <c r="D2393">
        <f>IF(A2393="","",SUMIF(Donasi!$B$2:$B$20000,A2393,Donasi!$C$2:$C$20000))</f>
        <v/>
      </c>
      <c r="E2393">
        <f>IF(A2393="","",6-CEILING(PERCENTRANK.INC($B$3:$B$6000,B2393,4)*5+0.000001,1))</f>
        <v/>
      </c>
      <c r="F2393">
        <f>IF(A2393="","",MAX(1,CEILING(PERCENTRANK.INC($C$3:$C$6000,C2393,4)*5+0.000001,1)))</f>
        <v/>
      </c>
      <c r="G2393">
        <f>IF(A2393="","",MAX(1,CEILING(PERCENTRANK.INC($D$3:$D$6000,D2393,4)*5+0.000001,1)))</f>
        <v/>
      </c>
      <c r="H2393">
        <f>IF(A2393="","",E2393&amp;F2393&amp;G2393)</f>
        <v/>
      </c>
      <c r="I2393">
        <f>IF(A2393="","",IF(AND(E2393&gt;=4,F2393&gt;=4,G2393&gt;=4),"Juara",IF(AND(F2393&gt;=4,E2393&gt;=3),"Setia",IF(AND(E2393=5,F2393&lt;=2,G2393&gt;=3),"Berpotensi",IF(AND(E2393&lt;=3,E2393&gt;=2,F2393&gt;=3),"Rawan",IF(AND(E2393&lt;=2,F2393&lt;=2),"Tidur","Umum"))))))</f>
        <v/>
      </c>
    </row>
    <row r="2394">
      <c r="B2394">
        <f>IF(A2394="","",$B$1-MAXIFS(Donasi!$A$2:$A$20000,Donasi!$B$2:$B$20000,A2394))</f>
        <v/>
      </c>
      <c r="C2394">
        <f>IF(A2394="","",COUNTIF(Donasi!$B$2:$B$20000,A2394))</f>
        <v/>
      </c>
      <c r="D2394">
        <f>IF(A2394="","",SUMIF(Donasi!$B$2:$B$20000,A2394,Donasi!$C$2:$C$20000))</f>
        <v/>
      </c>
      <c r="E2394">
        <f>IF(A2394="","",6-CEILING(PERCENTRANK.INC($B$3:$B$6000,B2394,4)*5+0.000001,1))</f>
        <v/>
      </c>
      <c r="F2394">
        <f>IF(A2394="","",MAX(1,CEILING(PERCENTRANK.INC($C$3:$C$6000,C2394,4)*5+0.000001,1)))</f>
        <v/>
      </c>
      <c r="G2394">
        <f>IF(A2394="","",MAX(1,CEILING(PERCENTRANK.INC($D$3:$D$6000,D2394,4)*5+0.000001,1)))</f>
        <v/>
      </c>
      <c r="H2394">
        <f>IF(A2394="","",E2394&amp;F2394&amp;G2394)</f>
        <v/>
      </c>
      <c r="I2394">
        <f>IF(A2394="","",IF(AND(E2394&gt;=4,F2394&gt;=4,G2394&gt;=4),"Juara",IF(AND(F2394&gt;=4,E2394&gt;=3),"Setia",IF(AND(E2394=5,F2394&lt;=2,G2394&gt;=3),"Berpotensi",IF(AND(E2394&lt;=3,E2394&gt;=2,F2394&gt;=3),"Rawan",IF(AND(E2394&lt;=2,F2394&lt;=2),"Tidur","Umum"))))))</f>
        <v/>
      </c>
    </row>
    <row r="2395">
      <c r="B2395">
        <f>IF(A2395="","",$B$1-MAXIFS(Donasi!$A$2:$A$20000,Donasi!$B$2:$B$20000,A2395))</f>
        <v/>
      </c>
      <c r="C2395">
        <f>IF(A2395="","",COUNTIF(Donasi!$B$2:$B$20000,A2395))</f>
        <v/>
      </c>
      <c r="D2395">
        <f>IF(A2395="","",SUMIF(Donasi!$B$2:$B$20000,A2395,Donasi!$C$2:$C$20000))</f>
        <v/>
      </c>
      <c r="E2395">
        <f>IF(A2395="","",6-CEILING(PERCENTRANK.INC($B$3:$B$6000,B2395,4)*5+0.000001,1))</f>
        <v/>
      </c>
      <c r="F2395">
        <f>IF(A2395="","",MAX(1,CEILING(PERCENTRANK.INC($C$3:$C$6000,C2395,4)*5+0.000001,1)))</f>
        <v/>
      </c>
      <c r="G2395">
        <f>IF(A2395="","",MAX(1,CEILING(PERCENTRANK.INC($D$3:$D$6000,D2395,4)*5+0.000001,1)))</f>
        <v/>
      </c>
      <c r="H2395">
        <f>IF(A2395="","",E2395&amp;F2395&amp;G2395)</f>
        <v/>
      </c>
      <c r="I2395">
        <f>IF(A2395="","",IF(AND(E2395&gt;=4,F2395&gt;=4,G2395&gt;=4),"Juara",IF(AND(F2395&gt;=4,E2395&gt;=3),"Setia",IF(AND(E2395=5,F2395&lt;=2,G2395&gt;=3),"Berpotensi",IF(AND(E2395&lt;=3,E2395&gt;=2,F2395&gt;=3),"Rawan",IF(AND(E2395&lt;=2,F2395&lt;=2),"Tidur","Umum"))))))</f>
        <v/>
      </c>
    </row>
    <row r="2396">
      <c r="B2396">
        <f>IF(A2396="","",$B$1-MAXIFS(Donasi!$A$2:$A$20000,Donasi!$B$2:$B$20000,A2396))</f>
        <v/>
      </c>
      <c r="C2396">
        <f>IF(A2396="","",COUNTIF(Donasi!$B$2:$B$20000,A2396))</f>
        <v/>
      </c>
      <c r="D2396">
        <f>IF(A2396="","",SUMIF(Donasi!$B$2:$B$20000,A2396,Donasi!$C$2:$C$20000))</f>
        <v/>
      </c>
      <c r="E2396">
        <f>IF(A2396="","",6-CEILING(PERCENTRANK.INC($B$3:$B$6000,B2396,4)*5+0.000001,1))</f>
        <v/>
      </c>
      <c r="F2396">
        <f>IF(A2396="","",MAX(1,CEILING(PERCENTRANK.INC($C$3:$C$6000,C2396,4)*5+0.000001,1)))</f>
        <v/>
      </c>
      <c r="G2396">
        <f>IF(A2396="","",MAX(1,CEILING(PERCENTRANK.INC($D$3:$D$6000,D2396,4)*5+0.000001,1)))</f>
        <v/>
      </c>
      <c r="H2396">
        <f>IF(A2396="","",E2396&amp;F2396&amp;G2396)</f>
        <v/>
      </c>
      <c r="I2396">
        <f>IF(A2396="","",IF(AND(E2396&gt;=4,F2396&gt;=4,G2396&gt;=4),"Juara",IF(AND(F2396&gt;=4,E2396&gt;=3),"Setia",IF(AND(E2396=5,F2396&lt;=2,G2396&gt;=3),"Berpotensi",IF(AND(E2396&lt;=3,E2396&gt;=2,F2396&gt;=3),"Rawan",IF(AND(E2396&lt;=2,F2396&lt;=2),"Tidur","Umum"))))))</f>
        <v/>
      </c>
    </row>
    <row r="2397">
      <c r="B2397">
        <f>IF(A2397="","",$B$1-MAXIFS(Donasi!$A$2:$A$20000,Donasi!$B$2:$B$20000,A2397))</f>
        <v/>
      </c>
      <c r="C2397">
        <f>IF(A2397="","",COUNTIF(Donasi!$B$2:$B$20000,A2397))</f>
        <v/>
      </c>
      <c r="D2397">
        <f>IF(A2397="","",SUMIF(Donasi!$B$2:$B$20000,A2397,Donasi!$C$2:$C$20000))</f>
        <v/>
      </c>
      <c r="E2397">
        <f>IF(A2397="","",6-CEILING(PERCENTRANK.INC($B$3:$B$6000,B2397,4)*5+0.000001,1))</f>
        <v/>
      </c>
      <c r="F2397">
        <f>IF(A2397="","",MAX(1,CEILING(PERCENTRANK.INC($C$3:$C$6000,C2397,4)*5+0.000001,1)))</f>
        <v/>
      </c>
      <c r="G2397">
        <f>IF(A2397="","",MAX(1,CEILING(PERCENTRANK.INC($D$3:$D$6000,D2397,4)*5+0.000001,1)))</f>
        <v/>
      </c>
      <c r="H2397">
        <f>IF(A2397="","",E2397&amp;F2397&amp;G2397)</f>
        <v/>
      </c>
      <c r="I2397">
        <f>IF(A2397="","",IF(AND(E2397&gt;=4,F2397&gt;=4,G2397&gt;=4),"Juara",IF(AND(F2397&gt;=4,E2397&gt;=3),"Setia",IF(AND(E2397=5,F2397&lt;=2,G2397&gt;=3),"Berpotensi",IF(AND(E2397&lt;=3,E2397&gt;=2,F2397&gt;=3),"Rawan",IF(AND(E2397&lt;=2,F2397&lt;=2),"Tidur","Umum"))))))</f>
        <v/>
      </c>
    </row>
    <row r="2398">
      <c r="B2398">
        <f>IF(A2398="","",$B$1-MAXIFS(Donasi!$A$2:$A$20000,Donasi!$B$2:$B$20000,A2398))</f>
        <v/>
      </c>
      <c r="C2398">
        <f>IF(A2398="","",COUNTIF(Donasi!$B$2:$B$20000,A2398))</f>
        <v/>
      </c>
      <c r="D2398">
        <f>IF(A2398="","",SUMIF(Donasi!$B$2:$B$20000,A2398,Donasi!$C$2:$C$20000))</f>
        <v/>
      </c>
      <c r="E2398">
        <f>IF(A2398="","",6-CEILING(PERCENTRANK.INC($B$3:$B$6000,B2398,4)*5+0.000001,1))</f>
        <v/>
      </c>
      <c r="F2398">
        <f>IF(A2398="","",MAX(1,CEILING(PERCENTRANK.INC($C$3:$C$6000,C2398,4)*5+0.000001,1)))</f>
        <v/>
      </c>
      <c r="G2398">
        <f>IF(A2398="","",MAX(1,CEILING(PERCENTRANK.INC($D$3:$D$6000,D2398,4)*5+0.000001,1)))</f>
        <v/>
      </c>
      <c r="H2398">
        <f>IF(A2398="","",E2398&amp;F2398&amp;G2398)</f>
        <v/>
      </c>
      <c r="I2398">
        <f>IF(A2398="","",IF(AND(E2398&gt;=4,F2398&gt;=4,G2398&gt;=4),"Juara",IF(AND(F2398&gt;=4,E2398&gt;=3),"Setia",IF(AND(E2398=5,F2398&lt;=2,G2398&gt;=3),"Berpotensi",IF(AND(E2398&lt;=3,E2398&gt;=2,F2398&gt;=3),"Rawan",IF(AND(E2398&lt;=2,F2398&lt;=2),"Tidur","Umum"))))))</f>
        <v/>
      </c>
    </row>
    <row r="2399">
      <c r="B2399">
        <f>IF(A2399="","",$B$1-MAXIFS(Donasi!$A$2:$A$20000,Donasi!$B$2:$B$20000,A2399))</f>
        <v/>
      </c>
      <c r="C2399">
        <f>IF(A2399="","",COUNTIF(Donasi!$B$2:$B$20000,A2399))</f>
        <v/>
      </c>
      <c r="D2399">
        <f>IF(A2399="","",SUMIF(Donasi!$B$2:$B$20000,A2399,Donasi!$C$2:$C$20000))</f>
        <v/>
      </c>
      <c r="E2399">
        <f>IF(A2399="","",6-CEILING(PERCENTRANK.INC($B$3:$B$6000,B2399,4)*5+0.000001,1))</f>
        <v/>
      </c>
      <c r="F2399">
        <f>IF(A2399="","",MAX(1,CEILING(PERCENTRANK.INC($C$3:$C$6000,C2399,4)*5+0.000001,1)))</f>
        <v/>
      </c>
      <c r="G2399">
        <f>IF(A2399="","",MAX(1,CEILING(PERCENTRANK.INC($D$3:$D$6000,D2399,4)*5+0.000001,1)))</f>
        <v/>
      </c>
      <c r="H2399">
        <f>IF(A2399="","",E2399&amp;F2399&amp;G2399)</f>
        <v/>
      </c>
      <c r="I2399">
        <f>IF(A2399="","",IF(AND(E2399&gt;=4,F2399&gt;=4,G2399&gt;=4),"Juara",IF(AND(F2399&gt;=4,E2399&gt;=3),"Setia",IF(AND(E2399=5,F2399&lt;=2,G2399&gt;=3),"Berpotensi",IF(AND(E2399&lt;=3,E2399&gt;=2,F2399&gt;=3),"Rawan",IF(AND(E2399&lt;=2,F2399&lt;=2),"Tidur","Umum"))))))</f>
        <v/>
      </c>
    </row>
    <row r="2400">
      <c r="B2400">
        <f>IF(A2400="","",$B$1-MAXIFS(Donasi!$A$2:$A$20000,Donasi!$B$2:$B$20000,A2400))</f>
        <v/>
      </c>
      <c r="C2400">
        <f>IF(A2400="","",COUNTIF(Donasi!$B$2:$B$20000,A2400))</f>
        <v/>
      </c>
      <c r="D2400">
        <f>IF(A2400="","",SUMIF(Donasi!$B$2:$B$20000,A2400,Donasi!$C$2:$C$20000))</f>
        <v/>
      </c>
      <c r="E2400">
        <f>IF(A2400="","",6-CEILING(PERCENTRANK.INC($B$3:$B$6000,B2400,4)*5+0.000001,1))</f>
        <v/>
      </c>
      <c r="F2400">
        <f>IF(A2400="","",MAX(1,CEILING(PERCENTRANK.INC($C$3:$C$6000,C2400,4)*5+0.000001,1)))</f>
        <v/>
      </c>
      <c r="G2400">
        <f>IF(A2400="","",MAX(1,CEILING(PERCENTRANK.INC($D$3:$D$6000,D2400,4)*5+0.000001,1)))</f>
        <v/>
      </c>
      <c r="H2400">
        <f>IF(A2400="","",E2400&amp;F2400&amp;G2400)</f>
        <v/>
      </c>
      <c r="I2400">
        <f>IF(A2400="","",IF(AND(E2400&gt;=4,F2400&gt;=4,G2400&gt;=4),"Juara",IF(AND(F2400&gt;=4,E2400&gt;=3),"Setia",IF(AND(E2400=5,F2400&lt;=2,G2400&gt;=3),"Berpotensi",IF(AND(E2400&lt;=3,E2400&gt;=2,F2400&gt;=3),"Rawan",IF(AND(E2400&lt;=2,F2400&lt;=2),"Tidur","Umum"))))))</f>
        <v/>
      </c>
    </row>
    <row r="2401">
      <c r="B2401">
        <f>IF(A2401="","",$B$1-MAXIFS(Donasi!$A$2:$A$20000,Donasi!$B$2:$B$20000,A2401))</f>
        <v/>
      </c>
      <c r="C2401">
        <f>IF(A2401="","",COUNTIF(Donasi!$B$2:$B$20000,A2401))</f>
        <v/>
      </c>
      <c r="D2401">
        <f>IF(A2401="","",SUMIF(Donasi!$B$2:$B$20000,A2401,Donasi!$C$2:$C$20000))</f>
        <v/>
      </c>
      <c r="E2401">
        <f>IF(A2401="","",6-CEILING(PERCENTRANK.INC($B$3:$B$6000,B2401,4)*5+0.000001,1))</f>
        <v/>
      </c>
      <c r="F2401">
        <f>IF(A2401="","",MAX(1,CEILING(PERCENTRANK.INC($C$3:$C$6000,C2401,4)*5+0.000001,1)))</f>
        <v/>
      </c>
      <c r="G2401">
        <f>IF(A2401="","",MAX(1,CEILING(PERCENTRANK.INC($D$3:$D$6000,D2401,4)*5+0.000001,1)))</f>
        <v/>
      </c>
      <c r="H2401">
        <f>IF(A2401="","",E2401&amp;F2401&amp;G2401)</f>
        <v/>
      </c>
      <c r="I2401">
        <f>IF(A2401="","",IF(AND(E2401&gt;=4,F2401&gt;=4,G2401&gt;=4),"Juara",IF(AND(F2401&gt;=4,E2401&gt;=3),"Setia",IF(AND(E2401=5,F2401&lt;=2,G2401&gt;=3),"Berpotensi",IF(AND(E2401&lt;=3,E2401&gt;=2,F2401&gt;=3),"Rawan",IF(AND(E2401&lt;=2,F2401&lt;=2),"Tidur","Umum"))))))</f>
        <v/>
      </c>
    </row>
    <row r="2402">
      <c r="B2402">
        <f>IF(A2402="","",$B$1-MAXIFS(Donasi!$A$2:$A$20000,Donasi!$B$2:$B$20000,A2402))</f>
        <v/>
      </c>
      <c r="C2402">
        <f>IF(A2402="","",COUNTIF(Donasi!$B$2:$B$20000,A2402))</f>
        <v/>
      </c>
      <c r="D2402">
        <f>IF(A2402="","",SUMIF(Donasi!$B$2:$B$20000,A2402,Donasi!$C$2:$C$20000))</f>
        <v/>
      </c>
      <c r="E2402">
        <f>IF(A2402="","",6-CEILING(PERCENTRANK.INC($B$3:$B$6000,B2402,4)*5+0.000001,1))</f>
        <v/>
      </c>
      <c r="F2402">
        <f>IF(A2402="","",MAX(1,CEILING(PERCENTRANK.INC($C$3:$C$6000,C2402,4)*5+0.000001,1)))</f>
        <v/>
      </c>
      <c r="G2402">
        <f>IF(A2402="","",MAX(1,CEILING(PERCENTRANK.INC($D$3:$D$6000,D2402,4)*5+0.000001,1)))</f>
        <v/>
      </c>
      <c r="H2402">
        <f>IF(A2402="","",E2402&amp;F2402&amp;G2402)</f>
        <v/>
      </c>
      <c r="I2402">
        <f>IF(A2402="","",IF(AND(E2402&gt;=4,F2402&gt;=4,G2402&gt;=4),"Juara",IF(AND(F2402&gt;=4,E2402&gt;=3),"Setia",IF(AND(E2402=5,F2402&lt;=2,G2402&gt;=3),"Berpotensi",IF(AND(E2402&lt;=3,E2402&gt;=2,F2402&gt;=3),"Rawan",IF(AND(E2402&lt;=2,F2402&lt;=2),"Tidur","Umum"))))))</f>
        <v/>
      </c>
    </row>
    <row r="2403">
      <c r="B2403">
        <f>IF(A2403="","",$B$1-MAXIFS(Donasi!$A$2:$A$20000,Donasi!$B$2:$B$20000,A2403))</f>
        <v/>
      </c>
      <c r="C2403">
        <f>IF(A2403="","",COUNTIF(Donasi!$B$2:$B$20000,A2403))</f>
        <v/>
      </c>
      <c r="D2403">
        <f>IF(A2403="","",SUMIF(Donasi!$B$2:$B$20000,A2403,Donasi!$C$2:$C$20000))</f>
        <v/>
      </c>
      <c r="E2403">
        <f>IF(A2403="","",6-CEILING(PERCENTRANK.INC($B$3:$B$6000,B2403,4)*5+0.000001,1))</f>
        <v/>
      </c>
      <c r="F2403">
        <f>IF(A2403="","",MAX(1,CEILING(PERCENTRANK.INC($C$3:$C$6000,C2403,4)*5+0.000001,1)))</f>
        <v/>
      </c>
      <c r="G2403">
        <f>IF(A2403="","",MAX(1,CEILING(PERCENTRANK.INC($D$3:$D$6000,D2403,4)*5+0.000001,1)))</f>
        <v/>
      </c>
      <c r="H2403">
        <f>IF(A2403="","",E2403&amp;F2403&amp;G2403)</f>
        <v/>
      </c>
      <c r="I2403">
        <f>IF(A2403="","",IF(AND(E2403&gt;=4,F2403&gt;=4,G2403&gt;=4),"Juara",IF(AND(F2403&gt;=4,E2403&gt;=3),"Setia",IF(AND(E2403=5,F2403&lt;=2,G2403&gt;=3),"Berpotensi",IF(AND(E2403&lt;=3,E2403&gt;=2,F2403&gt;=3),"Rawan",IF(AND(E2403&lt;=2,F2403&lt;=2),"Tidur","Umum"))))))</f>
        <v/>
      </c>
    </row>
    <row r="2404">
      <c r="B2404">
        <f>IF(A2404="","",$B$1-MAXIFS(Donasi!$A$2:$A$20000,Donasi!$B$2:$B$20000,A2404))</f>
        <v/>
      </c>
      <c r="C2404">
        <f>IF(A2404="","",COUNTIF(Donasi!$B$2:$B$20000,A2404))</f>
        <v/>
      </c>
      <c r="D2404">
        <f>IF(A2404="","",SUMIF(Donasi!$B$2:$B$20000,A2404,Donasi!$C$2:$C$20000))</f>
        <v/>
      </c>
      <c r="E2404">
        <f>IF(A2404="","",6-CEILING(PERCENTRANK.INC($B$3:$B$6000,B2404,4)*5+0.000001,1))</f>
        <v/>
      </c>
      <c r="F2404">
        <f>IF(A2404="","",MAX(1,CEILING(PERCENTRANK.INC($C$3:$C$6000,C2404,4)*5+0.000001,1)))</f>
        <v/>
      </c>
      <c r="G2404">
        <f>IF(A2404="","",MAX(1,CEILING(PERCENTRANK.INC($D$3:$D$6000,D2404,4)*5+0.000001,1)))</f>
        <v/>
      </c>
      <c r="H2404">
        <f>IF(A2404="","",E2404&amp;F2404&amp;G2404)</f>
        <v/>
      </c>
      <c r="I2404">
        <f>IF(A2404="","",IF(AND(E2404&gt;=4,F2404&gt;=4,G2404&gt;=4),"Juara",IF(AND(F2404&gt;=4,E2404&gt;=3),"Setia",IF(AND(E2404=5,F2404&lt;=2,G2404&gt;=3),"Berpotensi",IF(AND(E2404&lt;=3,E2404&gt;=2,F2404&gt;=3),"Rawan",IF(AND(E2404&lt;=2,F2404&lt;=2),"Tidur","Umum"))))))</f>
        <v/>
      </c>
    </row>
    <row r="2405">
      <c r="B2405">
        <f>IF(A2405="","",$B$1-MAXIFS(Donasi!$A$2:$A$20000,Donasi!$B$2:$B$20000,A2405))</f>
        <v/>
      </c>
      <c r="C2405">
        <f>IF(A2405="","",COUNTIF(Donasi!$B$2:$B$20000,A2405))</f>
        <v/>
      </c>
      <c r="D2405">
        <f>IF(A2405="","",SUMIF(Donasi!$B$2:$B$20000,A2405,Donasi!$C$2:$C$20000))</f>
        <v/>
      </c>
      <c r="E2405">
        <f>IF(A2405="","",6-CEILING(PERCENTRANK.INC($B$3:$B$6000,B2405,4)*5+0.000001,1))</f>
        <v/>
      </c>
      <c r="F2405">
        <f>IF(A2405="","",MAX(1,CEILING(PERCENTRANK.INC($C$3:$C$6000,C2405,4)*5+0.000001,1)))</f>
        <v/>
      </c>
      <c r="G2405">
        <f>IF(A2405="","",MAX(1,CEILING(PERCENTRANK.INC($D$3:$D$6000,D2405,4)*5+0.000001,1)))</f>
        <v/>
      </c>
      <c r="H2405">
        <f>IF(A2405="","",E2405&amp;F2405&amp;G2405)</f>
        <v/>
      </c>
      <c r="I2405">
        <f>IF(A2405="","",IF(AND(E2405&gt;=4,F2405&gt;=4,G2405&gt;=4),"Juara",IF(AND(F2405&gt;=4,E2405&gt;=3),"Setia",IF(AND(E2405=5,F2405&lt;=2,G2405&gt;=3),"Berpotensi",IF(AND(E2405&lt;=3,E2405&gt;=2,F2405&gt;=3),"Rawan",IF(AND(E2405&lt;=2,F2405&lt;=2),"Tidur","Umum"))))))</f>
        <v/>
      </c>
    </row>
    <row r="2406">
      <c r="B2406">
        <f>IF(A2406="","",$B$1-MAXIFS(Donasi!$A$2:$A$20000,Donasi!$B$2:$B$20000,A2406))</f>
        <v/>
      </c>
      <c r="C2406">
        <f>IF(A2406="","",COUNTIF(Donasi!$B$2:$B$20000,A2406))</f>
        <v/>
      </c>
      <c r="D2406">
        <f>IF(A2406="","",SUMIF(Donasi!$B$2:$B$20000,A2406,Donasi!$C$2:$C$20000))</f>
        <v/>
      </c>
      <c r="E2406">
        <f>IF(A2406="","",6-CEILING(PERCENTRANK.INC($B$3:$B$6000,B2406,4)*5+0.000001,1))</f>
        <v/>
      </c>
      <c r="F2406">
        <f>IF(A2406="","",MAX(1,CEILING(PERCENTRANK.INC($C$3:$C$6000,C2406,4)*5+0.000001,1)))</f>
        <v/>
      </c>
      <c r="G2406">
        <f>IF(A2406="","",MAX(1,CEILING(PERCENTRANK.INC($D$3:$D$6000,D2406,4)*5+0.000001,1)))</f>
        <v/>
      </c>
      <c r="H2406">
        <f>IF(A2406="","",E2406&amp;F2406&amp;G2406)</f>
        <v/>
      </c>
      <c r="I2406">
        <f>IF(A2406="","",IF(AND(E2406&gt;=4,F2406&gt;=4,G2406&gt;=4),"Juara",IF(AND(F2406&gt;=4,E2406&gt;=3),"Setia",IF(AND(E2406=5,F2406&lt;=2,G2406&gt;=3),"Berpotensi",IF(AND(E2406&lt;=3,E2406&gt;=2,F2406&gt;=3),"Rawan",IF(AND(E2406&lt;=2,F2406&lt;=2),"Tidur","Umum"))))))</f>
        <v/>
      </c>
    </row>
    <row r="2407">
      <c r="B2407">
        <f>IF(A2407="","",$B$1-MAXIFS(Donasi!$A$2:$A$20000,Donasi!$B$2:$B$20000,A2407))</f>
        <v/>
      </c>
      <c r="C2407">
        <f>IF(A2407="","",COUNTIF(Donasi!$B$2:$B$20000,A2407))</f>
        <v/>
      </c>
      <c r="D2407">
        <f>IF(A2407="","",SUMIF(Donasi!$B$2:$B$20000,A2407,Donasi!$C$2:$C$20000))</f>
        <v/>
      </c>
      <c r="E2407">
        <f>IF(A2407="","",6-CEILING(PERCENTRANK.INC($B$3:$B$6000,B2407,4)*5+0.000001,1))</f>
        <v/>
      </c>
      <c r="F2407">
        <f>IF(A2407="","",MAX(1,CEILING(PERCENTRANK.INC($C$3:$C$6000,C2407,4)*5+0.000001,1)))</f>
        <v/>
      </c>
      <c r="G2407">
        <f>IF(A2407="","",MAX(1,CEILING(PERCENTRANK.INC($D$3:$D$6000,D2407,4)*5+0.000001,1)))</f>
        <v/>
      </c>
      <c r="H2407">
        <f>IF(A2407="","",E2407&amp;F2407&amp;G2407)</f>
        <v/>
      </c>
      <c r="I2407">
        <f>IF(A2407="","",IF(AND(E2407&gt;=4,F2407&gt;=4,G2407&gt;=4),"Juara",IF(AND(F2407&gt;=4,E2407&gt;=3),"Setia",IF(AND(E2407=5,F2407&lt;=2,G2407&gt;=3),"Berpotensi",IF(AND(E2407&lt;=3,E2407&gt;=2,F2407&gt;=3),"Rawan",IF(AND(E2407&lt;=2,F2407&lt;=2),"Tidur","Umum"))))))</f>
        <v/>
      </c>
    </row>
    <row r="2408">
      <c r="B2408">
        <f>IF(A2408="","",$B$1-MAXIFS(Donasi!$A$2:$A$20000,Donasi!$B$2:$B$20000,A2408))</f>
        <v/>
      </c>
      <c r="C2408">
        <f>IF(A2408="","",COUNTIF(Donasi!$B$2:$B$20000,A2408))</f>
        <v/>
      </c>
      <c r="D2408">
        <f>IF(A2408="","",SUMIF(Donasi!$B$2:$B$20000,A2408,Donasi!$C$2:$C$20000))</f>
        <v/>
      </c>
      <c r="E2408">
        <f>IF(A2408="","",6-CEILING(PERCENTRANK.INC($B$3:$B$6000,B2408,4)*5+0.000001,1))</f>
        <v/>
      </c>
      <c r="F2408">
        <f>IF(A2408="","",MAX(1,CEILING(PERCENTRANK.INC($C$3:$C$6000,C2408,4)*5+0.000001,1)))</f>
        <v/>
      </c>
      <c r="G2408">
        <f>IF(A2408="","",MAX(1,CEILING(PERCENTRANK.INC($D$3:$D$6000,D2408,4)*5+0.000001,1)))</f>
        <v/>
      </c>
      <c r="H2408">
        <f>IF(A2408="","",E2408&amp;F2408&amp;G2408)</f>
        <v/>
      </c>
      <c r="I2408">
        <f>IF(A2408="","",IF(AND(E2408&gt;=4,F2408&gt;=4,G2408&gt;=4),"Juara",IF(AND(F2408&gt;=4,E2408&gt;=3),"Setia",IF(AND(E2408=5,F2408&lt;=2,G2408&gt;=3),"Berpotensi",IF(AND(E2408&lt;=3,E2408&gt;=2,F2408&gt;=3),"Rawan",IF(AND(E2408&lt;=2,F2408&lt;=2),"Tidur","Umum"))))))</f>
        <v/>
      </c>
    </row>
    <row r="2409">
      <c r="B2409">
        <f>IF(A2409="","",$B$1-MAXIFS(Donasi!$A$2:$A$20000,Donasi!$B$2:$B$20000,A2409))</f>
        <v/>
      </c>
      <c r="C2409">
        <f>IF(A2409="","",COUNTIF(Donasi!$B$2:$B$20000,A2409))</f>
        <v/>
      </c>
      <c r="D2409">
        <f>IF(A2409="","",SUMIF(Donasi!$B$2:$B$20000,A2409,Donasi!$C$2:$C$20000))</f>
        <v/>
      </c>
      <c r="E2409">
        <f>IF(A2409="","",6-CEILING(PERCENTRANK.INC($B$3:$B$6000,B2409,4)*5+0.000001,1))</f>
        <v/>
      </c>
      <c r="F2409">
        <f>IF(A2409="","",MAX(1,CEILING(PERCENTRANK.INC($C$3:$C$6000,C2409,4)*5+0.000001,1)))</f>
        <v/>
      </c>
      <c r="G2409">
        <f>IF(A2409="","",MAX(1,CEILING(PERCENTRANK.INC($D$3:$D$6000,D2409,4)*5+0.000001,1)))</f>
        <v/>
      </c>
      <c r="H2409">
        <f>IF(A2409="","",E2409&amp;F2409&amp;G2409)</f>
        <v/>
      </c>
      <c r="I2409">
        <f>IF(A2409="","",IF(AND(E2409&gt;=4,F2409&gt;=4,G2409&gt;=4),"Juara",IF(AND(F2409&gt;=4,E2409&gt;=3),"Setia",IF(AND(E2409=5,F2409&lt;=2,G2409&gt;=3),"Berpotensi",IF(AND(E2409&lt;=3,E2409&gt;=2,F2409&gt;=3),"Rawan",IF(AND(E2409&lt;=2,F2409&lt;=2),"Tidur","Umum"))))))</f>
        <v/>
      </c>
    </row>
    <row r="2410">
      <c r="B2410">
        <f>IF(A2410="","",$B$1-MAXIFS(Donasi!$A$2:$A$20000,Donasi!$B$2:$B$20000,A2410))</f>
        <v/>
      </c>
      <c r="C2410">
        <f>IF(A2410="","",COUNTIF(Donasi!$B$2:$B$20000,A2410))</f>
        <v/>
      </c>
      <c r="D2410">
        <f>IF(A2410="","",SUMIF(Donasi!$B$2:$B$20000,A2410,Donasi!$C$2:$C$20000))</f>
        <v/>
      </c>
      <c r="E2410">
        <f>IF(A2410="","",6-CEILING(PERCENTRANK.INC($B$3:$B$6000,B2410,4)*5+0.000001,1))</f>
        <v/>
      </c>
      <c r="F2410">
        <f>IF(A2410="","",MAX(1,CEILING(PERCENTRANK.INC($C$3:$C$6000,C2410,4)*5+0.000001,1)))</f>
        <v/>
      </c>
      <c r="G2410">
        <f>IF(A2410="","",MAX(1,CEILING(PERCENTRANK.INC($D$3:$D$6000,D2410,4)*5+0.000001,1)))</f>
        <v/>
      </c>
      <c r="H2410">
        <f>IF(A2410="","",E2410&amp;F2410&amp;G2410)</f>
        <v/>
      </c>
      <c r="I2410">
        <f>IF(A2410="","",IF(AND(E2410&gt;=4,F2410&gt;=4,G2410&gt;=4),"Juara",IF(AND(F2410&gt;=4,E2410&gt;=3),"Setia",IF(AND(E2410=5,F2410&lt;=2,G2410&gt;=3),"Berpotensi",IF(AND(E2410&lt;=3,E2410&gt;=2,F2410&gt;=3),"Rawan",IF(AND(E2410&lt;=2,F2410&lt;=2),"Tidur","Umum"))))))</f>
        <v/>
      </c>
    </row>
    <row r="2411">
      <c r="B2411">
        <f>IF(A2411="","",$B$1-MAXIFS(Donasi!$A$2:$A$20000,Donasi!$B$2:$B$20000,A2411))</f>
        <v/>
      </c>
      <c r="C2411">
        <f>IF(A2411="","",COUNTIF(Donasi!$B$2:$B$20000,A2411))</f>
        <v/>
      </c>
      <c r="D2411">
        <f>IF(A2411="","",SUMIF(Donasi!$B$2:$B$20000,A2411,Donasi!$C$2:$C$20000))</f>
        <v/>
      </c>
      <c r="E2411">
        <f>IF(A2411="","",6-CEILING(PERCENTRANK.INC($B$3:$B$6000,B2411,4)*5+0.000001,1))</f>
        <v/>
      </c>
      <c r="F2411">
        <f>IF(A2411="","",MAX(1,CEILING(PERCENTRANK.INC($C$3:$C$6000,C2411,4)*5+0.000001,1)))</f>
        <v/>
      </c>
      <c r="G2411">
        <f>IF(A2411="","",MAX(1,CEILING(PERCENTRANK.INC($D$3:$D$6000,D2411,4)*5+0.000001,1)))</f>
        <v/>
      </c>
      <c r="H2411">
        <f>IF(A2411="","",E2411&amp;F2411&amp;G2411)</f>
        <v/>
      </c>
      <c r="I2411">
        <f>IF(A2411="","",IF(AND(E2411&gt;=4,F2411&gt;=4,G2411&gt;=4),"Juara",IF(AND(F2411&gt;=4,E2411&gt;=3),"Setia",IF(AND(E2411=5,F2411&lt;=2,G2411&gt;=3),"Berpotensi",IF(AND(E2411&lt;=3,E2411&gt;=2,F2411&gt;=3),"Rawan",IF(AND(E2411&lt;=2,F2411&lt;=2),"Tidur","Umum"))))))</f>
        <v/>
      </c>
    </row>
    <row r="2412">
      <c r="B2412">
        <f>IF(A2412="","",$B$1-MAXIFS(Donasi!$A$2:$A$20000,Donasi!$B$2:$B$20000,A2412))</f>
        <v/>
      </c>
      <c r="C2412">
        <f>IF(A2412="","",COUNTIF(Donasi!$B$2:$B$20000,A2412))</f>
        <v/>
      </c>
      <c r="D2412">
        <f>IF(A2412="","",SUMIF(Donasi!$B$2:$B$20000,A2412,Donasi!$C$2:$C$20000))</f>
        <v/>
      </c>
      <c r="E2412">
        <f>IF(A2412="","",6-CEILING(PERCENTRANK.INC($B$3:$B$6000,B2412,4)*5+0.000001,1))</f>
        <v/>
      </c>
      <c r="F2412">
        <f>IF(A2412="","",MAX(1,CEILING(PERCENTRANK.INC($C$3:$C$6000,C2412,4)*5+0.000001,1)))</f>
        <v/>
      </c>
      <c r="G2412">
        <f>IF(A2412="","",MAX(1,CEILING(PERCENTRANK.INC($D$3:$D$6000,D2412,4)*5+0.000001,1)))</f>
        <v/>
      </c>
      <c r="H2412">
        <f>IF(A2412="","",E2412&amp;F2412&amp;G2412)</f>
        <v/>
      </c>
      <c r="I2412">
        <f>IF(A2412="","",IF(AND(E2412&gt;=4,F2412&gt;=4,G2412&gt;=4),"Juara",IF(AND(F2412&gt;=4,E2412&gt;=3),"Setia",IF(AND(E2412=5,F2412&lt;=2,G2412&gt;=3),"Berpotensi",IF(AND(E2412&lt;=3,E2412&gt;=2,F2412&gt;=3),"Rawan",IF(AND(E2412&lt;=2,F2412&lt;=2),"Tidur","Umum"))))))</f>
        <v/>
      </c>
    </row>
    <row r="2413">
      <c r="B2413">
        <f>IF(A2413="","",$B$1-MAXIFS(Donasi!$A$2:$A$20000,Donasi!$B$2:$B$20000,A2413))</f>
        <v/>
      </c>
      <c r="C2413">
        <f>IF(A2413="","",COUNTIF(Donasi!$B$2:$B$20000,A2413))</f>
        <v/>
      </c>
      <c r="D2413">
        <f>IF(A2413="","",SUMIF(Donasi!$B$2:$B$20000,A2413,Donasi!$C$2:$C$20000))</f>
        <v/>
      </c>
      <c r="E2413">
        <f>IF(A2413="","",6-CEILING(PERCENTRANK.INC($B$3:$B$6000,B2413,4)*5+0.000001,1))</f>
        <v/>
      </c>
      <c r="F2413">
        <f>IF(A2413="","",MAX(1,CEILING(PERCENTRANK.INC($C$3:$C$6000,C2413,4)*5+0.000001,1)))</f>
        <v/>
      </c>
      <c r="G2413">
        <f>IF(A2413="","",MAX(1,CEILING(PERCENTRANK.INC($D$3:$D$6000,D2413,4)*5+0.000001,1)))</f>
        <v/>
      </c>
      <c r="H2413">
        <f>IF(A2413="","",E2413&amp;F2413&amp;G2413)</f>
        <v/>
      </c>
      <c r="I2413">
        <f>IF(A2413="","",IF(AND(E2413&gt;=4,F2413&gt;=4,G2413&gt;=4),"Juara",IF(AND(F2413&gt;=4,E2413&gt;=3),"Setia",IF(AND(E2413=5,F2413&lt;=2,G2413&gt;=3),"Berpotensi",IF(AND(E2413&lt;=3,E2413&gt;=2,F2413&gt;=3),"Rawan",IF(AND(E2413&lt;=2,F2413&lt;=2),"Tidur","Umum"))))))</f>
        <v/>
      </c>
    </row>
    <row r="2414">
      <c r="B2414">
        <f>IF(A2414="","",$B$1-MAXIFS(Donasi!$A$2:$A$20000,Donasi!$B$2:$B$20000,A2414))</f>
        <v/>
      </c>
      <c r="C2414">
        <f>IF(A2414="","",COUNTIF(Donasi!$B$2:$B$20000,A2414))</f>
        <v/>
      </c>
      <c r="D2414">
        <f>IF(A2414="","",SUMIF(Donasi!$B$2:$B$20000,A2414,Donasi!$C$2:$C$20000))</f>
        <v/>
      </c>
      <c r="E2414">
        <f>IF(A2414="","",6-CEILING(PERCENTRANK.INC($B$3:$B$6000,B2414,4)*5+0.000001,1))</f>
        <v/>
      </c>
      <c r="F2414">
        <f>IF(A2414="","",MAX(1,CEILING(PERCENTRANK.INC($C$3:$C$6000,C2414,4)*5+0.000001,1)))</f>
        <v/>
      </c>
      <c r="G2414">
        <f>IF(A2414="","",MAX(1,CEILING(PERCENTRANK.INC($D$3:$D$6000,D2414,4)*5+0.000001,1)))</f>
        <v/>
      </c>
      <c r="H2414">
        <f>IF(A2414="","",E2414&amp;F2414&amp;G2414)</f>
        <v/>
      </c>
      <c r="I2414">
        <f>IF(A2414="","",IF(AND(E2414&gt;=4,F2414&gt;=4,G2414&gt;=4),"Juara",IF(AND(F2414&gt;=4,E2414&gt;=3),"Setia",IF(AND(E2414=5,F2414&lt;=2,G2414&gt;=3),"Berpotensi",IF(AND(E2414&lt;=3,E2414&gt;=2,F2414&gt;=3),"Rawan",IF(AND(E2414&lt;=2,F2414&lt;=2),"Tidur","Umum"))))))</f>
        <v/>
      </c>
    </row>
    <row r="2415">
      <c r="B2415">
        <f>IF(A2415="","",$B$1-MAXIFS(Donasi!$A$2:$A$20000,Donasi!$B$2:$B$20000,A2415))</f>
        <v/>
      </c>
      <c r="C2415">
        <f>IF(A2415="","",COUNTIF(Donasi!$B$2:$B$20000,A2415))</f>
        <v/>
      </c>
      <c r="D2415">
        <f>IF(A2415="","",SUMIF(Donasi!$B$2:$B$20000,A2415,Donasi!$C$2:$C$20000))</f>
        <v/>
      </c>
      <c r="E2415">
        <f>IF(A2415="","",6-CEILING(PERCENTRANK.INC($B$3:$B$6000,B2415,4)*5+0.000001,1))</f>
        <v/>
      </c>
      <c r="F2415">
        <f>IF(A2415="","",MAX(1,CEILING(PERCENTRANK.INC($C$3:$C$6000,C2415,4)*5+0.000001,1)))</f>
        <v/>
      </c>
      <c r="G2415">
        <f>IF(A2415="","",MAX(1,CEILING(PERCENTRANK.INC($D$3:$D$6000,D2415,4)*5+0.000001,1)))</f>
        <v/>
      </c>
      <c r="H2415">
        <f>IF(A2415="","",E2415&amp;F2415&amp;G2415)</f>
        <v/>
      </c>
      <c r="I2415">
        <f>IF(A2415="","",IF(AND(E2415&gt;=4,F2415&gt;=4,G2415&gt;=4),"Juara",IF(AND(F2415&gt;=4,E2415&gt;=3),"Setia",IF(AND(E2415=5,F2415&lt;=2,G2415&gt;=3),"Berpotensi",IF(AND(E2415&lt;=3,E2415&gt;=2,F2415&gt;=3),"Rawan",IF(AND(E2415&lt;=2,F2415&lt;=2),"Tidur","Umum"))))))</f>
        <v/>
      </c>
    </row>
    <row r="2416">
      <c r="B2416">
        <f>IF(A2416="","",$B$1-MAXIFS(Donasi!$A$2:$A$20000,Donasi!$B$2:$B$20000,A2416))</f>
        <v/>
      </c>
      <c r="C2416">
        <f>IF(A2416="","",COUNTIF(Donasi!$B$2:$B$20000,A2416))</f>
        <v/>
      </c>
      <c r="D2416">
        <f>IF(A2416="","",SUMIF(Donasi!$B$2:$B$20000,A2416,Donasi!$C$2:$C$20000))</f>
        <v/>
      </c>
      <c r="E2416">
        <f>IF(A2416="","",6-CEILING(PERCENTRANK.INC($B$3:$B$6000,B2416,4)*5+0.000001,1))</f>
        <v/>
      </c>
      <c r="F2416">
        <f>IF(A2416="","",MAX(1,CEILING(PERCENTRANK.INC($C$3:$C$6000,C2416,4)*5+0.000001,1)))</f>
        <v/>
      </c>
      <c r="G2416">
        <f>IF(A2416="","",MAX(1,CEILING(PERCENTRANK.INC($D$3:$D$6000,D2416,4)*5+0.000001,1)))</f>
        <v/>
      </c>
      <c r="H2416">
        <f>IF(A2416="","",E2416&amp;F2416&amp;G2416)</f>
        <v/>
      </c>
      <c r="I2416">
        <f>IF(A2416="","",IF(AND(E2416&gt;=4,F2416&gt;=4,G2416&gt;=4),"Juara",IF(AND(F2416&gt;=4,E2416&gt;=3),"Setia",IF(AND(E2416=5,F2416&lt;=2,G2416&gt;=3),"Berpotensi",IF(AND(E2416&lt;=3,E2416&gt;=2,F2416&gt;=3),"Rawan",IF(AND(E2416&lt;=2,F2416&lt;=2),"Tidur","Umum"))))))</f>
        <v/>
      </c>
    </row>
    <row r="2417">
      <c r="B2417">
        <f>IF(A2417="","",$B$1-MAXIFS(Donasi!$A$2:$A$20000,Donasi!$B$2:$B$20000,A2417))</f>
        <v/>
      </c>
      <c r="C2417">
        <f>IF(A2417="","",COUNTIF(Donasi!$B$2:$B$20000,A2417))</f>
        <v/>
      </c>
      <c r="D2417">
        <f>IF(A2417="","",SUMIF(Donasi!$B$2:$B$20000,A2417,Donasi!$C$2:$C$20000))</f>
        <v/>
      </c>
      <c r="E2417">
        <f>IF(A2417="","",6-CEILING(PERCENTRANK.INC($B$3:$B$6000,B2417,4)*5+0.000001,1))</f>
        <v/>
      </c>
      <c r="F2417">
        <f>IF(A2417="","",MAX(1,CEILING(PERCENTRANK.INC($C$3:$C$6000,C2417,4)*5+0.000001,1)))</f>
        <v/>
      </c>
      <c r="G2417">
        <f>IF(A2417="","",MAX(1,CEILING(PERCENTRANK.INC($D$3:$D$6000,D2417,4)*5+0.000001,1)))</f>
        <v/>
      </c>
      <c r="H2417">
        <f>IF(A2417="","",E2417&amp;F2417&amp;G2417)</f>
        <v/>
      </c>
      <c r="I2417">
        <f>IF(A2417="","",IF(AND(E2417&gt;=4,F2417&gt;=4,G2417&gt;=4),"Juara",IF(AND(F2417&gt;=4,E2417&gt;=3),"Setia",IF(AND(E2417=5,F2417&lt;=2,G2417&gt;=3),"Berpotensi",IF(AND(E2417&lt;=3,E2417&gt;=2,F2417&gt;=3),"Rawan",IF(AND(E2417&lt;=2,F2417&lt;=2),"Tidur","Umum"))))))</f>
        <v/>
      </c>
    </row>
    <row r="2418">
      <c r="B2418">
        <f>IF(A2418="","",$B$1-MAXIFS(Donasi!$A$2:$A$20000,Donasi!$B$2:$B$20000,A2418))</f>
        <v/>
      </c>
      <c r="C2418">
        <f>IF(A2418="","",COUNTIF(Donasi!$B$2:$B$20000,A2418))</f>
        <v/>
      </c>
      <c r="D2418">
        <f>IF(A2418="","",SUMIF(Donasi!$B$2:$B$20000,A2418,Donasi!$C$2:$C$20000))</f>
        <v/>
      </c>
      <c r="E2418">
        <f>IF(A2418="","",6-CEILING(PERCENTRANK.INC($B$3:$B$6000,B2418,4)*5+0.000001,1))</f>
        <v/>
      </c>
      <c r="F2418">
        <f>IF(A2418="","",MAX(1,CEILING(PERCENTRANK.INC($C$3:$C$6000,C2418,4)*5+0.000001,1)))</f>
        <v/>
      </c>
      <c r="G2418">
        <f>IF(A2418="","",MAX(1,CEILING(PERCENTRANK.INC($D$3:$D$6000,D2418,4)*5+0.000001,1)))</f>
        <v/>
      </c>
      <c r="H2418">
        <f>IF(A2418="","",E2418&amp;F2418&amp;G2418)</f>
        <v/>
      </c>
      <c r="I2418">
        <f>IF(A2418="","",IF(AND(E2418&gt;=4,F2418&gt;=4,G2418&gt;=4),"Juara",IF(AND(F2418&gt;=4,E2418&gt;=3),"Setia",IF(AND(E2418=5,F2418&lt;=2,G2418&gt;=3),"Berpotensi",IF(AND(E2418&lt;=3,E2418&gt;=2,F2418&gt;=3),"Rawan",IF(AND(E2418&lt;=2,F2418&lt;=2),"Tidur","Umum"))))))</f>
        <v/>
      </c>
    </row>
    <row r="2419">
      <c r="B2419">
        <f>IF(A2419="","",$B$1-MAXIFS(Donasi!$A$2:$A$20000,Donasi!$B$2:$B$20000,A2419))</f>
        <v/>
      </c>
      <c r="C2419">
        <f>IF(A2419="","",COUNTIF(Donasi!$B$2:$B$20000,A2419))</f>
        <v/>
      </c>
      <c r="D2419">
        <f>IF(A2419="","",SUMIF(Donasi!$B$2:$B$20000,A2419,Donasi!$C$2:$C$20000))</f>
        <v/>
      </c>
      <c r="E2419">
        <f>IF(A2419="","",6-CEILING(PERCENTRANK.INC($B$3:$B$6000,B2419,4)*5+0.000001,1))</f>
        <v/>
      </c>
      <c r="F2419">
        <f>IF(A2419="","",MAX(1,CEILING(PERCENTRANK.INC($C$3:$C$6000,C2419,4)*5+0.000001,1)))</f>
        <v/>
      </c>
      <c r="G2419">
        <f>IF(A2419="","",MAX(1,CEILING(PERCENTRANK.INC($D$3:$D$6000,D2419,4)*5+0.000001,1)))</f>
        <v/>
      </c>
      <c r="H2419">
        <f>IF(A2419="","",E2419&amp;F2419&amp;G2419)</f>
        <v/>
      </c>
      <c r="I2419">
        <f>IF(A2419="","",IF(AND(E2419&gt;=4,F2419&gt;=4,G2419&gt;=4),"Juara",IF(AND(F2419&gt;=4,E2419&gt;=3),"Setia",IF(AND(E2419=5,F2419&lt;=2,G2419&gt;=3),"Berpotensi",IF(AND(E2419&lt;=3,E2419&gt;=2,F2419&gt;=3),"Rawan",IF(AND(E2419&lt;=2,F2419&lt;=2),"Tidur","Umum"))))))</f>
        <v/>
      </c>
    </row>
    <row r="2420">
      <c r="B2420">
        <f>IF(A2420="","",$B$1-MAXIFS(Donasi!$A$2:$A$20000,Donasi!$B$2:$B$20000,A2420))</f>
        <v/>
      </c>
      <c r="C2420">
        <f>IF(A2420="","",COUNTIF(Donasi!$B$2:$B$20000,A2420))</f>
        <v/>
      </c>
      <c r="D2420">
        <f>IF(A2420="","",SUMIF(Donasi!$B$2:$B$20000,A2420,Donasi!$C$2:$C$20000))</f>
        <v/>
      </c>
      <c r="E2420">
        <f>IF(A2420="","",6-CEILING(PERCENTRANK.INC($B$3:$B$6000,B2420,4)*5+0.000001,1))</f>
        <v/>
      </c>
      <c r="F2420">
        <f>IF(A2420="","",MAX(1,CEILING(PERCENTRANK.INC($C$3:$C$6000,C2420,4)*5+0.000001,1)))</f>
        <v/>
      </c>
      <c r="G2420">
        <f>IF(A2420="","",MAX(1,CEILING(PERCENTRANK.INC($D$3:$D$6000,D2420,4)*5+0.000001,1)))</f>
        <v/>
      </c>
      <c r="H2420">
        <f>IF(A2420="","",E2420&amp;F2420&amp;G2420)</f>
        <v/>
      </c>
      <c r="I2420">
        <f>IF(A2420="","",IF(AND(E2420&gt;=4,F2420&gt;=4,G2420&gt;=4),"Juara",IF(AND(F2420&gt;=4,E2420&gt;=3),"Setia",IF(AND(E2420=5,F2420&lt;=2,G2420&gt;=3),"Berpotensi",IF(AND(E2420&lt;=3,E2420&gt;=2,F2420&gt;=3),"Rawan",IF(AND(E2420&lt;=2,F2420&lt;=2),"Tidur","Umum"))))))</f>
        <v/>
      </c>
    </row>
    <row r="2421">
      <c r="B2421">
        <f>IF(A2421="","",$B$1-MAXIFS(Donasi!$A$2:$A$20000,Donasi!$B$2:$B$20000,A2421))</f>
        <v/>
      </c>
      <c r="C2421">
        <f>IF(A2421="","",COUNTIF(Donasi!$B$2:$B$20000,A2421))</f>
        <v/>
      </c>
      <c r="D2421">
        <f>IF(A2421="","",SUMIF(Donasi!$B$2:$B$20000,A2421,Donasi!$C$2:$C$20000))</f>
        <v/>
      </c>
      <c r="E2421">
        <f>IF(A2421="","",6-CEILING(PERCENTRANK.INC($B$3:$B$6000,B2421,4)*5+0.000001,1))</f>
        <v/>
      </c>
      <c r="F2421">
        <f>IF(A2421="","",MAX(1,CEILING(PERCENTRANK.INC($C$3:$C$6000,C2421,4)*5+0.000001,1)))</f>
        <v/>
      </c>
      <c r="G2421">
        <f>IF(A2421="","",MAX(1,CEILING(PERCENTRANK.INC($D$3:$D$6000,D2421,4)*5+0.000001,1)))</f>
        <v/>
      </c>
      <c r="H2421">
        <f>IF(A2421="","",E2421&amp;F2421&amp;G2421)</f>
        <v/>
      </c>
      <c r="I2421">
        <f>IF(A2421="","",IF(AND(E2421&gt;=4,F2421&gt;=4,G2421&gt;=4),"Juara",IF(AND(F2421&gt;=4,E2421&gt;=3),"Setia",IF(AND(E2421=5,F2421&lt;=2,G2421&gt;=3),"Berpotensi",IF(AND(E2421&lt;=3,E2421&gt;=2,F2421&gt;=3),"Rawan",IF(AND(E2421&lt;=2,F2421&lt;=2),"Tidur","Umum"))))))</f>
        <v/>
      </c>
    </row>
    <row r="2422">
      <c r="B2422">
        <f>IF(A2422="","",$B$1-MAXIFS(Donasi!$A$2:$A$20000,Donasi!$B$2:$B$20000,A2422))</f>
        <v/>
      </c>
      <c r="C2422">
        <f>IF(A2422="","",COUNTIF(Donasi!$B$2:$B$20000,A2422))</f>
        <v/>
      </c>
      <c r="D2422">
        <f>IF(A2422="","",SUMIF(Donasi!$B$2:$B$20000,A2422,Donasi!$C$2:$C$20000))</f>
        <v/>
      </c>
      <c r="E2422">
        <f>IF(A2422="","",6-CEILING(PERCENTRANK.INC($B$3:$B$6000,B2422,4)*5+0.000001,1))</f>
        <v/>
      </c>
      <c r="F2422">
        <f>IF(A2422="","",MAX(1,CEILING(PERCENTRANK.INC($C$3:$C$6000,C2422,4)*5+0.000001,1)))</f>
        <v/>
      </c>
      <c r="G2422">
        <f>IF(A2422="","",MAX(1,CEILING(PERCENTRANK.INC($D$3:$D$6000,D2422,4)*5+0.000001,1)))</f>
        <v/>
      </c>
      <c r="H2422">
        <f>IF(A2422="","",E2422&amp;F2422&amp;G2422)</f>
        <v/>
      </c>
      <c r="I2422">
        <f>IF(A2422="","",IF(AND(E2422&gt;=4,F2422&gt;=4,G2422&gt;=4),"Juara",IF(AND(F2422&gt;=4,E2422&gt;=3),"Setia",IF(AND(E2422=5,F2422&lt;=2,G2422&gt;=3),"Berpotensi",IF(AND(E2422&lt;=3,E2422&gt;=2,F2422&gt;=3),"Rawan",IF(AND(E2422&lt;=2,F2422&lt;=2),"Tidur","Umum"))))))</f>
        <v/>
      </c>
    </row>
    <row r="2423">
      <c r="B2423">
        <f>IF(A2423="","",$B$1-MAXIFS(Donasi!$A$2:$A$20000,Donasi!$B$2:$B$20000,A2423))</f>
        <v/>
      </c>
      <c r="C2423">
        <f>IF(A2423="","",COUNTIF(Donasi!$B$2:$B$20000,A2423))</f>
        <v/>
      </c>
      <c r="D2423">
        <f>IF(A2423="","",SUMIF(Donasi!$B$2:$B$20000,A2423,Donasi!$C$2:$C$20000))</f>
        <v/>
      </c>
      <c r="E2423">
        <f>IF(A2423="","",6-CEILING(PERCENTRANK.INC($B$3:$B$6000,B2423,4)*5+0.000001,1))</f>
        <v/>
      </c>
      <c r="F2423">
        <f>IF(A2423="","",MAX(1,CEILING(PERCENTRANK.INC($C$3:$C$6000,C2423,4)*5+0.000001,1)))</f>
        <v/>
      </c>
      <c r="G2423">
        <f>IF(A2423="","",MAX(1,CEILING(PERCENTRANK.INC($D$3:$D$6000,D2423,4)*5+0.000001,1)))</f>
        <v/>
      </c>
      <c r="H2423">
        <f>IF(A2423="","",E2423&amp;F2423&amp;G2423)</f>
        <v/>
      </c>
      <c r="I2423">
        <f>IF(A2423="","",IF(AND(E2423&gt;=4,F2423&gt;=4,G2423&gt;=4),"Juara",IF(AND(F2423&gt;=4,E2423&gt;=3),"Setia",IF(AND(E2423=5,F2423&lt;=2,G2423&gt;=3),"Berpotensi",IF(AND(E2423&lt;=3,E2423&gt;=2,F2423&gt;=3),"Rawan",IF(AND(E2423&lt;=2,F2423&lt;=2),"Tidur","Umum"))))))</f>
        <v/>
      </c>
    </row>
    <row r="2424">
      <c r="B2424">
        <f>IF(A2424="","",$B$1-MAXIFS(Donasi!$A$2:$A$20000,Donasi!$B$2:$B$20000,A2424))</f>
        <v/>
      </c>
      <c r="C2424">
        <f>IF(A2424="","",COUNTIF(Donasi!$B$2:$B$20000,A2424))</f>
        <v/>
      </c>
      <c r="D2424">
        <f>IF(A2424="","",SUMIF(Donasi!$B$2:$B$20000,A2424,Donasi!$C$2:$C$20000))</f>
        <v/>
      </c>
      <c r="E2424">
        <f>IF(A2424="","",6-CEILING(PERCENTRANK.INC($B$3:$B$6000,B2424,4)*5+0.000001,1))</f>
        <v/>
      </c>
      <c r="F2424">
        <f>IF(A2424="","",MAX(1,CEILING(PERCENTRANK.INC($C$3:$C$6000,C2424,4)*5+0.000001,1)))</f>
        <v/>
      </c>
      <c r="G2424">
        <f>IF(A2424="","",MAX(1,CEILING(PERCENTRANK.INC($D$3:$D$6000,D2424,4)*5+0.000001,1)))</f>
        <v/>
      </c>
      <c r="H2424">
        <f>IF(A2424="","",E2424&amp;F2424&amp;G2424)</f>
        <v/>
      </c>
      <c r="I2424">
        <f>IF(A2424="","",IF(AND(E2424&gt;=4,F2424&gt;=4,G2424&gt;=4),"Juara",IF(AND(F2424&gt;=4,E2424&gt;=3),"Setia",IF(AND(E2424=5,F2424&lt;=2,G2424&gt;=3),"Berpotensi",IF(AND(E2424&lt;=3,E2424&gt;=2,F2424&gt;=3),"Rawan",IF(AND(E2424&lt;=2,F2424&lt;=2),"Tidur","Umum"))))))</f>
        <v/>
      </c>
    </row>
    <row r="2425">
      <c r="B2425">
        <f>IF(A2425="","",$B$1-MAXIFS(Donasi!$A$2:$A$20000,Donasi!$B$2:$B$20000,A2425))</f>
        <v/>
      </c>
      <c r="C2425">
        <f>IF(A2425="","",COUNTIF(Donasi!$B$2:$B$20000,A2425))</f>
        <v/>
      </c>
      <c r="D2425">
        <f>IF(A2425="","",SUMIF(Donasi!$B$2:$B$20000,A2425,Donasi!$C$2:$C$20000))</f>
        <v/>
      </c>
      <c r="E2425">
        <f>IF(A2425="","",6-CEILING(PERCENTRANK.INC($B$3:$B$6000,B2425,4)*5+0.000001,1))</f>
        <v/>
      </c>
      <c r="F2425">
        <f>IF(A2425="","",MAX(1,CEILING(PERCENTRANK.INC($C$3:$C$6000,C2425,4)*5+0.000001,1)))</f>
        <v/>
      </c>
      <c r="G2425">
        <f>IF(A2425="","",MAX(1,CEILING(PERCENTRANK.INC($D$3:$D$6000,D2425,4)*5+0.000001,1)))</f>
        <v/>
      </c>
      <c r="H2425">
        <f>IF(A2425="","",E2425&amp;F2425&amp;G2425)</f>
        <v/>
      </c>
      <c r="I2425">
        <f>IF(A2425="","",IF(AND(E2425&gt;=4,F2425&gt;=4,G2425&gt;=4),"Juara",IF(AND(F2425&gt;=4,E2425&gt;=3),"Setia",IF(AND(E2425=5,F2425&lt;=2,G2425&gt;=3),"Berpotensi",IF(AND(E2425&lt;=3,E2425&gt;=2,F2425&gt;=3),"Rawan",IF(AND(E2425&lt;=2,F2425&lt;=2),"Tidur","Umum"))))))</f>
        <v/>
      </c>
    </row>
    <row r="2426">
      <c r="B2426">
        <f>IF(A2426="","",$B$1-MAXIFS(Donasi!$A$2:$A$20000,Donasi!$B$2:$B$20000,A2426))</f>
        <v/>
      </c>
      <c r="C2426">
        <f>IF(A2426="","",COUNTIF(Donasi!$B$2:$B$20000,A2426))</f>
        <v/>
      </c>
      <c r="D2426">
        <f>IF(A2426="","",SUMIF(Donasi!$B$2:$B$20000,A2426,Donasi!$C$2:$C$20000))</f>
        <v/>
      </c>
      <c r="E2426">
        <f>IF(A2426="","",6-CEILING(PERCENTRANK.INC($B$3:$B$6000,B2426,4)*5+0.000001,1))</f>
        <v/>
      </c>
      <c r="F2426">
        <f>IF(A2426="","",MAX(1,CEILING(PERCENTRANK.INC($C$3:$C$6000,C2426,4)*5+0.000001,1)))</f>
        <v/>
      </c>
      <c r="G2426">
        <f>IF(A2426="","",MAX(1,CEILING(PERCENTRANK.INC($D$3:$D$6000,D2426,4)*5+0.000001,1)))</f>
        <v/>
      </c>
      <c r="H2426">
        <f>IF(A2426="","",E2426&amp;F2426&amp;G2426)</f>
        <v/>
      </c>
      <c r="I2426">
        <f>IF(A2426="","",IF(AND(E2426&gt;=4,F2426&gt;=4,G2426&gt;=4),"Juara",IF(AND(F2426&gt;=4,E2426&gt;=3),"Setia",IF(AND(E2426=5,F2426&lt;=2,G2426&gt;=3),"Berpotensi",IF(AND(E2426&lt;=3,E2426&gt;=2,F2426&gt;=3),"Rawan",IF(AND(E2426&lt;=2,F2426&lt;=2),"Tidur","Umum"))))))</f>
        <v/>
      </c>
    </row>
    <row r="2427">
      <c r="B2427">
        <f>IF(A2427="","",$B$1-MAXIFS(Donasi!$A$2:$A$20000,Donasi!$B$2:$B$20000,A2427))</f>
        <v/>
      </c>
      <c r="C2427">
        <f>IF(A2427="","",COUNTIF(Donasi!$B$2:$B$20000,A2427))</f>
        <v/>
      </c>
      <c r="D2427">
        <f>IF(A2427="","",SUMIF(Donasi!$B$2:$B$20000,A2427,Donasi!$C$2:$C$20000))</f>
        <v/>
      </c>
      <c r="E2427">
        <f>IF(A2427="","",6-CEILING(PERCENTRANK.INC($B$3:$B$6000,B2427,4)*5+0.000001,1))</f>
        <v/>
      </c>
      <c r="F2427">
        <f>IF(A2427="","",MAX(1,CEILING(PERCENTRANK.INC($C$3:$C$6000,C2427,4)*5+0.000001,1)))</f>
        <v/>
      </c>
      <c r="G2427">
        <f>IF(A2427="","",MAX(1,CEILING(PERCENTRANK.INC($D$3:$D$6000,D2427,4)*5+0.000001,1)))</f>
        <v/>
      </c>
      <c r="H2427">
        <f>IF(A2427="","",E2427&amp;F2427&amp;G2427)</f>
        <v/>
      </c>
      <c r="I2427">
        <f>IF(A2427="","",IF(AND(E2427&gt;=4,F2427&gt;=4,G2427&gt;=4),"Juara",IF(AND(F2427&gt;=4,E2427&gt;=3),"Setia",IF(AND(E2427=5,F2427&lt;=2,G2427&gt;=3),"Berpotensi",IF(AND(E2427&lt;=3,E2427&gt;=2,F2427&gt;=3),"Rawan",IF(AND(E2427&lt;=2,F2427&lt;=2),"Tidur","Umum"))))))</f>
        <v/>
      </c>
    </row>
    <row r="2428">
      <c r="B2428">
        <f>IF(A2428="","",$B$1-MAXIFS(Donasi!$A$2:$A$20000,Donasi!$B$2:$B$20000,A2428))</f>
        <v/>
      </c>
      <c r="C2428">
        <f>IF(A2428="","",COUNTIF(Donasi!$B$2:$B$20000,A2428))</f>
        <v/>
      </c>
      <c r="D2428">
        <f>IF(A2428="","",SUMIF(Donasi!$B$2:$B$20000,A2428,Donasi!$C$2:$C$20000))</f>
        <v/>
      </c>
      <c r="E2428">
        <f>IF(A2428="","",6-CEILING(PERCENTRANK.INC($B$3:$B$6000,B2428,4)*5+0.000001,1))</f>
        <v/>
      </c>
      <c r="F2428">
        <f>IF(A2428="","",MAX(1,CEILING(PERCENTRANK.INC($C$3:$C$6000,C2428,4)*5+0.000001,1)))</f>
        <v/>
      </c>
      <c r="G2428">
        <f>IF(A2428="","",MAX(1,CEILING(PERCENTRANK.INC($D$3:$D$6000,D2428,4)*5+0.000001,1)))</f>
        <v/>
      </c>
      <c r="H2428">
        <f>IF(A2428="","",E2428&amp;F2428&amp;G2428)</f>
        <v/>
      </c>
      <c r="I2428">
        <f>IF(A2428="","",IF(AND(E2428&gt;=4,F2428&gt;=4,G2428&gt;=4),"Juara",IF(AND(F2428&gt;=4,E2428&gt;=3),"Setia",IF(AND(E2428=5,F2428&lt;=2,G2428&gt;=3),"Berpotensi",IF(AND(E2428&lt;=3,E2428&gt;=2,F2428&gt;=3),"Rawan",IF(AND(E2428&lt;=2,F2428&lt;=2),"Tidur","Umum"))))))</f>
        <v/>
      </c>
    </row>
    <row r="2429">
      <c r="B2429">
        <f>IF(A2429="","",$B$1-MAXIFS(Donasi!$A$2:$A$20000,Donasi!$B$2:$B$20000,A2429))</f>
        <v/>
      </c>
      <c r="C2429">
        <f>IF(A2429="","",COUNTIF(Donasi!$B$2:$B$20000,A2429))</f>
        <v/>
      </c>
      <c r="D2429">
        <f>IF(A2429="","",SUMIF(Donasi!$B$2:$B$20000,A2429,Donasi!$C$2:$C$20000))</f>
        <v/>
      </c>
      <c r="E2429">
        <f>IF(A2429="","",6-CEILING(PERCENTRANK.INC($B$3:$B$6000,B2429,4)*5+0.000001,1))</f>
        <v/>
      </c>
      <c r="F2429">
        <f>IF(A2429="","",MAX(1,CEILING(PERCENTRANK.INC($C$3:$C$6000,C2429,4)*5+0.000001,1)))</f>
        <v/>
      </c>
      <c r="G2429">
        <f>IF(A2429="","",MAX(1,CEILING(PERCENTRANK.INC($D$3:$D$6000,D2429,4)*5+0.000001,1)))</f>
        <v/>
      </c>
      <c r="H2429">
        <f>IF(A2429="","",E2429&amp;F2429&amp;G2429)</f>
        <v/>
      </c>
      <c r="I2429">
        <f>IF(A2429="","",IF(AND(E2429&gt;=4,F2429&gt;=4,G2429&gt;=4),"Juara",IF(AND(F2429&gt;=4,E2429&gt;=3),"Setia",IF(AND(E2429=5,F2429&lt;=2,G2429&gt;=3),"Berpotensi",IF(AND(E2429&lt;=3,E2429&gt;=2,F2429&gt;=3),"Rawan",IF(AND(E2429&lt;=2,F2429&lt;=2),"Tidur","Umum"))))))</f>
        <v/>
      </c>
    </row>
    <row r="2430">
      <c r="B2430">
        <f>IF(A2430="","",$B$1-MAXIFS(Donasi!$A$2:$A$20000,Donasi!$B$2:$B$20000,A2430))</f>
        <v/>
      </c>
      <c r="C2430">
        <f>IF(A2430="","",COUNTIF(Donasi!$B$2:$B$20000,A2430))</f>
        <v/>
      </c>
      <c r="D2430">
        <f>IF(A2430="","",SUMIF(Donasi!$B$2:$B$20000,A2430,Donasi!$C$2:$C$20000))</f>
        <v/>
      </c>
      <c r="E2430">
        <f>IF(A2430="","",6-CEILING(PERCENTRANK.INC($B$3:$B$6000,B2430,4)*5+0.000001,1))</f>
        <v/>
      </c>
      <c r="F2430">
        <f>IF(A2430="","",MAX(1,CEILING(PERCENTRANK.INC($C$3:$C$6000,C2430,4)*5+0.000001,1)))</f>
        <v/>
      </c>
      <c r="G2430">
        <f>IF(A2430="","",MAX(1,CEILING(PERCENTRANK.INC($D$3:$D$6000,D2430,4)*5+0.000001,1)))</f>
        <v/>
      </c>
      <c r="H2430">
        <f>IF(A2430="","",E2430&amp;F2430&amp;G2430)</f>
        <v/>
      </c>
      <c r="I2430">
        <f>IF(A2430="","",IF(AND(E2430&gt;=4,F2430&gt;=4,G2430&gt;=4),"Juara",IF(AND(F2430&gt;=4,E2430&gt;=3),"Setia",IF(AND(E2430=5,F2430&lt;=2,G2430&gt;=3),"Berpotensi",IF(AND(E2430&lt;=3,E2430&gt;=2,F2430&gt;=3),"Rawan",IF(AND(E2430&lt;=2,F2430&lt;=2),"Tidur","Umum"))))))</f>
        <v/>
      </c>
    </row>
    <row r="2431">
      <c r="B2431">
        <f>IF(A2431="","",$B$1-MAXIFS(Donasi!$A$2:$A$20000,Donasi!$B$2:$B$20000,A2431))</f>
        <v/>
      </c>
      <c r="C2431">
        <f>IF(A2431="","",COUNTIF(Donasi!$B$2:$B$20000,A2431))</f>
        <v/>
      </c>
      <c r="D2431">
        <f>IF(A2431="","",SUMIF(Donasi!$B$2:$B$20000,A2431,Donasi!$C$2:$C$20000))</f>
        <v/>
      </c>
      <c r="E2431">
        <f>IF(A2431="","",6-CEILING(PERCENTRANK.INC($B$3:$B$6000,B2431,4)*5+0.000001,1))</f>
        <v/>
      </c>
      <c r="F2431">
        <f>IF(A2431="","",MAX(1,CEILING(PERCENTRANK.INC($C$3:$C$6000,C2431,4)*5+0.000001,1)))</f>
        <v/>
      </c>
      <c r="G2431">
        <f>IF(A2431="","",MAX(1,CEILING(PERCENTRANK.INC($D$3:$D$6000,D2431,4)*5+0.000001,1)))</f>
        <v/>
      </c>
      <c r="H2431">
        <f>IF(A2431="","",E2431&amp;F2431&amp;G2431)</f>
        <v/>
      </c>
      <c r="I2431">
        <f>IF(A2431="","",IF(AND(E2431&gt;=4,F2431&gt;=4,G2431&gt;=4),"Juara",IF(AND(F2431&gt;=4,E2431&gt;=3),"Setia",IF(AND(E2431=5,F2431&lt;=2,G2431&gt;=3),"Berpotensi",IF(AND(E2431&lt;=3,E2431&gt;=2,F2431&gt;=3),"Rawan",IF(AND(E2431&lt;=2,F2431&lt;=2),"Tidur","Umum"))))))</f>
        <v/>
      </c>
    </row>
    <row r="2432">
      <c r="B2432">
        <f>IF(A2432="","",$B$1-MAXIFS(Donasi!$A$2:$A$20000,Donasi!$B$2:$B$20000,A2432))</f>
        <v/>
      </c>
      <c r="C2432">
        <f>IF(A2432="","",COUNTIF(Donasi!$B$2:$B$20000,A2432))</f>
        <v/>
      </c>
      <c r="D2432">
        <f>IF(A2432="","",SUMIF(Donasi!$B$2:$B$20000,A2432,Donasi!$C$2:$C$20000))</f>
        <v/>
      </c>
      <c r="E2432">
        <f>IF(A2432="","",6-CEILING(PERCENTRANK.INC($B$3:$B$6000,B2432,4)*5+0.000001,1))</f>
        <v/>
      </c>
      <c r="F2432">
        <f>IF(A2432="","",MAX(1,CEILING(PERCENTRANK.INC($C$3:$C$6000,C2432,4)*5+0.000001,1)))</f>
        <v/>
      </c>
      <c r="G2432">
        <f>IF(A2432="","",MAX(1,CEILING(PERCENTRANK.INC($D$3:$D$6000,D2432,4)*5+0.000001,1)))</f>
        <v/>
      </c>
      <c r="H2432">
        <f>IF(A2432="","",E2432&amp;F2432&amp;G2432)</f>
        <v/>
      </c>
      <c r="I2432">
        <f>IF(A2432="","",IF(AND(E2432&gt;=4,F2432&gt;=4,G2432&gt;=4),"Juara",IF(AND(F2432&gt;=4,E2432&gt;=3),"Setia",IF(AND(E2432=5,F2432&lt;=2,G2432&gt;=3),"Berpotensi",IF(AND(E2432&lt;=3,E2432&gt;=2,F2432&gt;=3),"Rawan",IF(AND(E2432&lt;=2,F2432&lt;=2),"Tidur","Umum"))))))</f>
        <v/>
      </c>
    </row>
    <row r="2433">
      <c r="B2433">
        <f>IF(A2433="","",$B$1-MAXIFS(Donasi!$A$2:$A$20000,Donasi!$B$2:$B$20000,A2433))</f>
        <v/>
      </c>
      <c r="C2433">
        <f>IF(A2433="","",COUNTIF(Donasi!$B$2:$B$20000,A2433))</f>
        <v/>
      </c>
      <c r="D2433">
        <f>IF(A2433="","",SUMIF(Donasi!$B$2:$B$20000,A2433,Donasi!$C$2:$C$20000))</f>
        <v/>
      </c>
      <c r="E2433">
        <f>IF(A2433="","",6-CEILING(PERCENTRANK.INC($B$3:$B$6000,B2433,4)*5+0.000001,1))</f>
        <v/>
      </c>
      <c r="F2433">
        <f>IF(A2433="","",MAX(1,CEILING(PERCENTRANK.INC($C$3:$C$6000,C2433,4)*5+0.000001,1)))</f>
        <v/>
      </c>
      <c r="G2433">
        <f>IF(A2433="","",MAX(1,CEILING(PERCENTRANK.INC($D$3:$D$6000,D2433,4)*5+0.000001,1)))</f>
        <v/>
      </c>
      <c r="H2433">
        <f>IF(A2433="","",E2433&amp;F2433&amp;G2433)</f>
        <v/>
      </c>
      <c r="I2433">
        <f>IF(A2433="","",IF(AND(E2433&gt;=4,F2433&gt;=4,G2433&gt;=4),"Juara",IF(AND(F2433&gt;=4,E2433&gt;=3),"Setia",IF(AND(E2433=5,F2433&lt;=2,G2433&gt;=3),"Berpotensi",IF(AND(E2433&lt;=3,E2433&gt;=2,F2433&gt;=3),"Rawan",IF(AND(E2433&lt;=2,F2433&lt;=2),"Tidur","Umum"))))))</f>
        <v/>
      </c>
    </row>
    <row r="2434">
      <c r="B2434">
        <f>IF(A2434="","",$B$1-MAXIFS(Donasi!$A$2:$A$20000,Donasi!$B$2:$B$20000,A2434))</f>
        <v/>
      </c>
      <c r="C2434">
        <f>IF(A2434="","",COUNTIF(Donasi!$B$2:$B$20000,A2434))</f>
        <v/>
      </c>
      <c r="D2434">
        <f>IF(A2434="","",SUMIF(Donasi!$B$2:$B$20000,A2434,Donasi!$C$2:$C$20000))</f>
        <v/>
      </c>
      <c r="E2434">
        <f>IF(A2434="","",6-CEILING(PERCENTRANK.INC($B$3:$B$6000,B2434,4)*5+0.000001,1))</f>
        <v/>
      </c>
      <c r="F2434">
        <f>IF(A2434="","",MAX(1,CEILING(PERCENTRANK.INC($C$3:$C$6000,C2434,4)*5+0.000001,1)))</f>
        <v/>
      </c>
      <c r="G2434">
        <f>IF(A2434="","",MAX(1,CEILING(PERCENTRANK.INC($D$3:$D$6000,D2434,4)*5+0.000001,1)))</f>
        <v/>
      </c>
      <c r="H2434">
        <f>IF(A2434="","",E2434&amp;F2434&amp;G2434)</f>
        <v/>
      </c>
      <c r="I2434">
        <f>IF(A2434="","",IF(AND(E2434&gt;=4,F2434&gt;=4,G2434&gt;=4),"Juara",IF(AND(F2434&gt;=4,E2434&gt;=3),"Setia",IF(AND(E2434=5,F2434&lt;=2,G2434&gt;=3),"Berpotensi",IF(AND(E2434&lt;=3,E2434&gt;=2,F2434&gt;=3),"Rawan",IF(AND(E2434&lt;=2,F2434&lt;=2),"Tidur","Umum"))))))</f>
        <v/>
      </c>
    </row>
    <row r="2435">
      <c r="B2435">
        <f>IF(A2435="","",$B$1-MAXIFS(Donasi!$A$2:$A$20000,Donasi!$B$2:$B$20000,A2435))</f>
        <v/>
      </c>
      <c r="C2435">
        <f>IF(A2435="","",COUNTIF(Donasi!$B$2:$B$20000,A2435))</f>
        <v/>
      </c>
      <c r="D2435">
        <f>IF(A2435="","",SUMIF(Donasi!$B$2:$B$20000,A2435,Donasi!$C$2:$C$20000))</f>
        <v/>
      </c>
      <c r="E2435">
        <f>IF(A2435="","",6-CEILING(PERCENTRANK.INC($B$3:$B$6000,B2435,4)*5+0.000001,1))</f>
        <v/>
      </c>
      <c r="F2435">
        <f>IF(A2435="","",MAX(1,CEILING(PERCENTRANK.INC($C$3:$C$6000,C2435,4)*5+0.000001,1)))</f>
        <v/>
      </c>
      <c r="G2435">
        <f>IF(A2435="","",MAX(1,CEILING(PERCENTRANK.INC($D$3:$D$6000,D2435,4)*5+0.000001,1)))</f>
        <v/>
      </c>
      <c r="H2435">
        <f>IF(A2435="","",E2435&amp;F2435&amp;G2435)</f>
        <v/>
      </c>
      <c r="I2435">
        <f>IF(A2435="","",IF(AND(E2435&gt;=4,F2435&gt;=4,G2435&gt;=4),"Juara",IF(AND(F2435&gt;=4,E2435&gt;=3),"Setia",IF(AND(E2435=5,F2435&lt;=2,G2435&gt;=3),"Berpotensi",IF(AND(E2435&lt;=3,E2435&gt;=2,F2435&gt;=3),"Rawan",IF(AND(E2435&lt;=2,F2435&lt;=2),"Tidur","Umum"))))))</f>
        <v/>
      </c>
    </row>
    <row r="2436">
      <c r="B2436">
        <f>IF(A2436="","",$B$1-MAXIFS(Donasi!$A$2:$A$20000,Donasi!$B$2:$B$20000,A2436))</f>
        <v/>
      </c>
      <c r="C2436">
        <f>IF(A2436="","",COUNTIF(Donasi!$B$2:$B$20000,A2436))</f>
        <v/>
      </c>
      <c r="D2436">
        <f>IF(A2436="","",SUMIF(Donasi!$B$2:$B$20000,A2436,Donasi!$C$2:$C$20000))</f>
        <v/>
      </c>
      <c r="E2436">
        <f>IF(A2436="","",6-CEILING(PERCENTRANK.INC($B$3:$B$6000,B2436,4)*5+0.000001,1))</f>
        <v/>
      </c>
      <c r="F2436">
        <f>IF(A2436="","",MAX(1,CEILING(PERCENTRANK.INC($C$3:$C$6000,C2436,4)*5+0.000001,1)))</f>
        <v/>
      </c>
      <c r="G2436">
        <f>IF(A2436="","",MAX(1,CEILING(PERCENTRANK.INC($D$3:$D$6000,D2436,4)*5+0.000001,1)))</f>
        <v/>
      </c>
      <c r="H2436">
        <f>IF(A2436="","",E2436&amp;F2436&amp;G2436)</f>
        <v/>
      </c>
      <c r="I2436">
        <f>IF(A2436="","",IF(AND(E2436&gt;=4,F2436&gt;=4,G2436&gt;=4),"Juara",IF(AND(F2436&gt;=4,E2436&gt;=3),"Setia",IF(AND(E2436=5,F2436&lt;=2,G2436&gt;=3),"Berpotensi",IF(AND(E2436&lt;=3,E2436&gt;=2,F2436&gt;=3),"Rawan",IF(AND(E2436&lt;=2,F2436&lt;=2),"Tidur","Umum"))))))</f>
        <v/>
      </c>
    </row>
    <row r="2437">
      <c r="B2437">
        <f>IF(A2437="","",$B$1-MAXIFS(Donasi!$A$2:$A$20000,Donasi!$B$2:$B$20000,A2437))</f>
        <v/>
      </c>
      <c r="C2437">
        <f>IF(A2437="","",COUNTIF(Donasi!$B$2:$B$20000,A2437))</f>
        <v/>
      </c>
      <c r="D2437">
        <f>IF(A2437="","",SUMIF(Donasi!$B$2:$B$20000,A2437,Donasi!$C$2:$C$20000))</f>
        <v/>
      </c>
      <c r="E2437">
        <f>IF(A2437="","",6-CEILING(PERCENTRANK.INC($B$3:$B$6000,B2437,4)*5+0.000001,1))</f>
        <v/>
      </c>
      <c r="F2437">
        <f>IF(A2437="","",MAX(1,CEILING(PERCENTRANK.INC($C$3:$C$6000,C2437,4)*5+0.000001,1)))</f>
        <v/>
      </c>
      <c r="G2437">
        <f>IF(A2437="","",MAX(1,CEILING(PERCENTRANK.INC($D$3:$D$6000,D2437,4)*5+0.000001,1)))</f>
        <v/>
      </c>
      <c r="H2437">
        <f>IF(A2437="","",E2437&amp;F2437&amp;G2437)</f>
        <v/>
      </c>
      <c r="I2437">
        <f>IF(A2437="","",IF(AND(E2437&gt;=4,F2437&gt;=4,G2437&gt;=4),"Juara",IF(AND(F2437&gt;=4,E2437&gt;=3),"Setia",IF(AND(E2437=5,F2437&lt;=2,G2437&gt;=3),"Berpotensi",IF(AND(E2437&lt;=3,E2437&gt;=2,F2437&gt;=3),"Rawan",IF(AND(E2437&lt;=2,F2437&lt;=2),"Tidur","Umum"))))))</f>
        <v/>
      </c>
    </row>
    <row r="2438">
      <c r="B2438">
        <f>IF(A2438="","",$B$1-MAXIFS(Donasi!$A$2:$A$20000,Donasi!$B$2:$B$20000,A2438))</f>
        <v/>
      </c>
      <c r="C2438">
        <f>IF(A2438="","",COUNTIF(Donasi!$B$2:$B$20000,A2438))</f>
        <v/>
      </c>
      <c r="D2438">
        <f>IF(A2438="","",SUMIF(Donasi!$B$2:$B$20000,A2438,Donasi!$C$2:$C$20000))</f>
        <v/>
      </c>
      <c r="E2438">
        <f>IF(A2438="","",6-CEILING(PERCENTRANK.INC($B$3:$B$6000,B2438,4)*5+0.000001,1))</f>
        <v/>
      </c>
      <c r="F2438">
        <f>IF(A2438="","",MAX(1,CEILING(PERCENTRANK.INC($C$3:$C$6000,C2438,4)*5+0.000001,1)))</f>
        <v/>
      </c>
      <c r="G2438">
        <f>IF(A2438="","",MAX(1,CEILING(PERCENTRANK.INC($D$3:$D$6000,D2438,4)*5+0.000001,1)))</f>
        <v/>
      </c>
      <c r="H2438">
        <f>IF(A2438="","",E2438&amp;F2438&amp;G2438)</f>
        <v/>
      </c>
      <c r="I2438">
        <f>IF(A2438="","",IF(AND(E2438&gt;=4,F2438&gt;=4,G2438&gt;=4),"Juara",IF(AND(F2438&gt;=4,E2438&gt;=3),"Setia",IF(AND(E2438=5,F2438&lt;=2,G2438&gt;=3),"Berpotensi",IF(AND(E2438&lt;=3,E2438&gt;=2,F2438&gt;=3),"Rawan",IF(AND(E2438&lt;=2,F2438&lt;=2),"Tidur","Umum"))))))</f>
        <v/>
      </c>
    </row>
    <row r="2439">
      <c r="B2439">
        <f>IF(A2439="","",$B$1-MAXIFS(Donasi!$A$2:$A$20000,Donasi!$B$2:$B$20000,A2439))</f>
        <v/>
      </c>
      <c r="C2439">
        <f>IF(A2439="","",COUNTIF(Donasi!$B$2:$B$20000,A2439))</f>
        <v/>
      </c>
      <c r="D2439">
        <f>IF(A2439="","",SUMIF(Donasi!$B$2:$B$20000,A2439,Donasi!$C$2:$C$20000))</f>
        <v/>
      </c>
      <c r="E2439">
        <f>IF(A2439="","",6-CEILING(PERCENTRANK.INC($B$3:$B$6000,B2439,4)*5+0.000001,1))</f>
        <v/>
      </c>
      <c r="F2439">
        <f>IF(A2439="","",MAX(1,CEILING(PERCENTRANK.INC($C$3:$C$6000,C2439,4)*5+0.000001,1)))</f>
        <v/>
      </c>
      <c r="G2439">
        <f>IF(A2439="","",MAX(1,CEILING(PERCENTRANK.INC($D$3:$D$6000,D2439,4)*5+0.000001,1)))</f>
        <v/>
      </c>
      <c r="H2439">
        <f>IF(A2439="","",E2439&amp;F2439&amp;G2439)</f>
        <v/>
      </c>
      <c r="I2439">
        <f>IF(A2439="","",IF(AND(E2439&gt;=4,F2439&gt;=4,G2439&gt;=4),"Juara",IF(AND(F2439&gt;=4,E2439&gt;=3),"Setia",IF(AND(E2439=5,F2439&lt;=2,G2439&gt;=3),"Berpotensi",IF(AND(E2439&lt;=3,E2439&gt;=2,F2439&gt;=3),"Rawan",IF(AND(E2439&lt;=2,F2439&lt;=2),"Tidur","Umum"))))))</f>
        <v/>
      </c>
    </row>
    <row r="2440">
      <c r="B2440">
        <f>IF(A2440="","",$B$1-MAXIFS(Donasi!$A$2:$A$20000,Donasi!$B$2:$B$20000,A2440))</f>
        <v/>
      </c>
      <c r="C2440">
        <f>IF(A2440="","",COUNTIF(Donasi!$B$2:$B$20000,A2440))</f>
        <v/>
      </c>
      <c r="D2440">
        <f>IF(A2440="","",SUMIF(Donasi!$B$2:$B$20000,A2440,Donasi!$C$2:$C$20000))</f>
        <v/>
      </c>
      <c r="E2440">
        <f>IF(A2440="","",6-CEILING(PERCENTRANK.INC($B$3:$B$6000,B2440,4)*5+0.000001,1))</f>
        <v/>
      </c>
      <c r="F2440">
        <f>IF(A2440="","",MAX(1,CEILING(PERCENTRANK.INC($C$3:$C$6000,C2440,4)*5+0.000001,1)))</f>
        <v/>
      </c>
      <c r="G2440">
        <f>IF(A2440="","",MAX(1,CEILING(PERCENTRANK.INC($D$3:$D$6000,D2440,4)*5+0.000001,1)))</f>
        <v/>
      </c>
      <c r="H2440">
        <f>IF(A2440="","",E2440&amp;F2440&amp;G2440)</f>
        <v/>
      </c>
      <c r="I2440">
        <f>IF(A2440="","",IF(AND(E2440&gt;=4,F2440&gt;=4,G2440&gt;=4),"Juara",IF(AND(F2440&gt;=4,E2440&gt;=3),"Setia",IF(AND(E2440=5,F2440&lt;=2,G2440&gt;=3),"Berpotensi",IF(AND(E2440&lt;=3,E2440&gt;=2,F2440&gt;=3),"Rawan",IF(AND(E2440&lt;=2,F2440&lt;=2),"Tidur","Umum"))))))</f>
        <v/>
      </c>
    </row>
    <row r="2441">
      <c r="B2441">
        <f>IF(A2441="","",$B$1-MAXIFS(Donasi!$A$2:$A$20000,Donasi!$B$2:$B$20000,A2441))</f>
        <v/>
      </c>
      <c r="C2441">
        <f>IF(A2441="","",COUNTIF(Donasi!$B$2:$B$20000,A2441))</f>
        <v/>
      </c>
      <c r="D2441">
        <f>IF(A2441="","",SUMIF(Donasi!$B$2:$B$20000,A2441,Donasi!$C$2:$C$20000))</f>
        <v/>
      </c>
      <c r="E2441">
        <f>IF(A2441="","",6-CEILING(PERCENTRANK.INC($B$3:$B$6000,B2441,4)*5+0.000001,1))</f>
        <v/>
      </c>
      <c r="F2441">
        <f>IF(A2441="","",MAX(1,CEILING(PERCENTRANK.INC($C$3:$C$6000,C2441,4)*5+0.000001,1)))</f>
        <v/>
      </c>
      <c r="G2441">
        <f>IF(A2441="","",MAX(1,CEILING(PERCENTRANK.INC($D$3:$D$6000,D2441,4)*5+0.000001,1)))</f>
        <v/>
      </c>
      <c r="H2441">
        <f>IF(A2441="","",E2441&amp;F2441&amp;G2441)</f>
        <v/>
      </c>
      <c r="I2441">
        <f>IF(A2441="","",IF(AND(E2441&gt;=4,F2441&gt;=4,G2441&gt;=4),"Juara",IF(AND(F2441&gt;=4,E2441&gt;=3),"Setia",IF(AND(E2441=5,F2441&lt;=2,G2441&gt;=3),"Berpotensi",IF(AND(E2441&lt;=3,E2441&gt;=2,F2441&gt;=3),"Rawan",IF(AND(E2441&lt;=2,F2441&lt;=2),"Tidur","Umum"))))))</f>
        <v/>
      </c>
    </row>
    <row r="2442">
      <c r="B2442">
        <f>IF(A2442="","",$B$1-MAXIFS(Donasi!$A$2:$A$20000,Donasi!$B$2:$B$20000,A2442))</f>
        <v/>
      </c>
      <c r="C2442">
        <f>IF(A2442="","",COUNTIF(Donasi!$B$2:$B$20000,A2442))</f>
        <v/>
      </c>
      <c r="D2442">
        <f>IF(A2442="","",SUMIF(Donasi!$B$2:$B$20000,A2442,Donasi!$C$2:$C$20000))</f>
        <v/>
      </c>
      <c r="E2442">
        <f>IF(A2442="","",6-CEILING(PERCENTRANK.INC($B$3:$B$6000,B2442,4)*5+0.000001,1))</f>
        <v/>
      </c>
      <c r="F2442">
        <f>IF(A2442="","",MAX(1,CEILING(PERCENTRANK.INC($C$3:$C$6000,C2442,4)*5+0.000001,1)))</f>
        <v/>
      </c>
      <c r="G2442">
        <f>IF(A2442="","",MAX(1,CEILING(PERCENTRANK.INC($D$3:$D$6000,D2442,4)*5+0.000001,1)))</f>
        <v/>
      </c>
      <c r="H2442">
        <f>IF(A2442="","",E2442&amp;F2442&amp;G2442)</f>
        <v/>
      </c>
      <c r="I2442">
        <f>IF(A2442="","",IF(AND(E2442&gt;=4,F2442&gt;=4,G2442&gt;=4),"Juara",IF(AND(F2442&gt;=4,E2442&gt;=3),"Setia",IF(AND(E2442=5,F2442&lt;=2,G2442&gt;=3),"Berpotensi",IF(AND(E2442&lt;=3,E2442&gt;=2,F2442&gt;=3),"Rawan",IF(AND(E2442&lt;=2,F2442&lt;=2),"Tidur","Umum"))))))</f>
        <v/>
      </c>
    </row>
    <row r="2443">
      <c r="B2443">
        <f>IF(A2443="","",$B$1-MAXIFS(Donasi!$A$2:$A$20000,Donasi!$B$2:$B$20000,A2443))</f>
        <v/>
      </c>
      <c r="C2443">
        <f>IF(A2443="","",COUNTIF(Donasi!$B$2:$B$20000,A2443))</f>
        <v/>
      </c>
      <c r="D2443">
        <f>IF(A2443="","",SUMIF(Donasi!$B$2:$B$20000,A2443,Donasi!$C$2:$C$20000))</f>
        <v/>
      </c>
      <c r="E2443">
        <f>IF(A2443="","",6-CEILING(PERCENTRANK.INC($B$3:$B$6000,B2443,4)*5+0.000001,1))</f>
        <v/>
      </c>
      <c r="F2443">
        <f>IF(A2443="","",MAX(1,CEILING(PERCENTRANK.INC($C$3:$C$6000,C2443,4)*5+0.000001,1)))</f>
        <v/>
      </c>
      <c r="G2443">
        <f>IF(A2443="","",MAX(1,CEILING(PERCENTRANK.INC($D$3:$D$6000,D2443,4)*5+0.000001,1)))</f>
        <v/>
      </c>
      <c r="H2443">
        <f>IF(A2443="","",E2443&amp;F2443&amp;G2443)</f>
        <v/>
      </c>
      <c r="I2443">
        <f>IF(A2443="","",IF(AND(E2443&gt;=4,F2443&gt;=4,G2443&gt;=4),"Juara",IF(AND(F2443&gt;=4,E2443&gt;=3),"Setia",IF(AND(E2443=5,F2443&lt;=2,G2443&gt;=3),"Berpotensi",IF(AND(E2443&lt;=3,E2443&gt;=2,F2443&gt;=3),"Rawan",IF(AND(E2443&lt;=2,F2443&lt;=2),"Tidur","Umum"))))))</f>
        <v/>
      </c>
    </row>
    <row r="2444">
      <c r="B2444">
        <f>IF(A2444="","",$B$1-MAXIFS(Donasi!$A$2:$A$20000,Donasi!$B$2:$B$20000,A2444))</f>
        <v/>
      </c>
      <c r="C2444">
        <f>IF(A2444="","",COUNTIF(Donasi!$B$2:$B$20000,A2444))</f>
        <v/>
      </c>
      <c r="D2444">
        <f>IF(A2444="","",SUMIF(Donasi!$B$2:$B$20000,A2444,Donasi!$C$2:$C$20000))</f>
        <v/>
      </c>
      <c r="E2444">
        <f>IF(A2444="","",6-CEILING(PERCENTRANK.INC($B$3:$B$6000,B2444,4)*5+0.000001,1))</f>
        <v/>
      </c>
      <c r="F2444">
        <f>IF(A2444="","",MAX(1,CEILING(PERCENTRANK.INC($C$3:$C$6000,C2444,4)*5+0.000001,1)))</f>
        <v/>
      </c>
      <c r="G2444">
        <f>IF(A2444="","",MAX(1,CEILING(PERCENTRANK.INC($D$3:$D$6000,D2444,4)*5+0.000001,1)))</f>
        <v/>
      </c>
      <c r="H2444">
        <f>IF(A2444="","",E2444&amp;F2444&amp;G2444)</f>
        <v/>
      </c>
      <c r="I2444">
        <f>IF(A2444="","",IF(AND(E2444&gt;=4,F2444&gt;=4,G2444&gt;=4),"Juara",IF(AND(F2444&gt;=4,E2444&gt;=3),"Setia",IF(AND(E2444=5,F2444&lt;=2,G2444&gt;=3),"Berpotensi",IF(AND(E2444&lt;=3,E2444&gt;=2,F2444&gt;=3),"Rawan",IF(AND(E2444&lt;=2,F2444&lt;=2),"Tidur","Umum"))))))</f>
        <v/>
      </c>
    </row>
    <row r="2445">
      <c r="B2445">
        <f>IF(A2445="","",$B$1-MAXIFS(Donasi!$A$2:$A$20000,Donasi!$B$2:$B$20000,A2445))</f>
        <v/>
      </c>
      <c r="C2445">
        <f>IF(A2445="","",COUNTIF(Donasi!$B$2:$B$20000,A2445))</f>
        <v/>
      </c>
      <c r="D2445">
        <f>IF(A2445="","",SUMIF(Donasi!$B$2:$B$20000,A2445,Donasi!$C$2:$C$20000))</f>
        <v/>
      </c>
      <c r="E2445">
        <f>IF(A2445="","",6-CEILING(PERCENTRANK.INC($B$3:$B$6000,B2445,4)*5+0.000001,1))</f>
        <v/>
      </c>
      <c r="F2445">
        <f>IF(A2445="","",MAX(1,CEILING(PERCENTRANK.INC($C$3:$C$6000,C2445,4)*5+0.000001,1)))</f>
        <v/>
      </c>
      <c r="G2445">
        <f>IF(A2445="","",MAX(1,CEILING(PERCENTRANK.INC($D$3:$D$6000,D2445,4)*5+0.000001,1)))</f>
        <v/>
      </c>
      <c r="H2445">
        <f>IF(A2445="","",E2445&amp;F2445&amp;G2445)</f>
        <v/>
      </c>
      <c r="I2445">
        <f>IF(A2445="","",IF(AND(E2445&gt;=4,F2445&gt;=4,G2445&gt;=4),"Juara",IF(AND(F2445&gt;=4,E2445&gt;=3),"Setia",IF(AND(E2445=5,F2445&lt;=2,G2445&gt;=3),"Berpotensi",IF(AND(E2445&lt;=3,E2445&gt;=2,F2445&gt;=3),"Rawan",IF(AND(E2445&lt;=2,F2445&lt;=2),"Tidur","Umum"))))))</f>
        <v/>
      </c>
    </row>
    <row r="2446">
      <c r="B2446">
        <f>IF(A2446="","",$B$1-MAXIFS(Donasi!$A$2:$A$20000,Donasi!$B$2:$B$20000,A2446))</f>
        <v/>
      </c>
      <c r="C2446">
        <f>IF(A2446="","",COUNTIF(Donasi!$B$2:$B$20000,A2446))</f>
        <v/>
      </c>
      <c r="D2446">
        <f>IF(A2446="","",SUMIF(Donasi!$B$2:$B$20000,A2446,Donasi!$C$2:$C$20000))</f>
        <v/>
      </c>
      <c r="E2446">
        <f>IF(A2446="","",6-CEILING(PERCENTRANK.INC($B$3:$B$6000,B2446,4)*5+0.000001,1))</f>
        <v/>
      </c>
      <c r="F2446">
        <f>IF(A2446="","",MAX(1,CEILING(PERCENTRANK.INC($C$3:$C$6000,C2446,4)*5+0.000001,1)))</f>
        <v/>
      </c>
      <c r="G2446">
        <f>IF(A2446="","",MAX(1,CEILING(PERCENTRANK.INC($D$3:$D$6000,D2446,4)*5+0.000001,1)))</f>
        <v/>
      </c>
      <c r="H2446">
        <f>IF(A2446="","",E2446&amp;F2446&amp;G2446)</f>
        <v/>
      </c>
      <c r="I2446">
        <f>IF(A2446="","",IF(AND(E2446&gt;=4,F2446&gt;=4,G2446&gt;=4),"Juara",IF(AND(F2446&gt;=4,E2446&gt;=3),"Setia",IF(AND(E2446=5,F2446&lt;=2,G2446&gt;=3),"Berpotensi",IF(AND(E2446&lt;=3,E2446&gt;=2,F2446&gt;=3),"Rawan",IF(AND(E2446&lt;=2,F2446&lt;=2),"Tidur","Umum"))))))</f>
        <v/>
      </c>
    </row>
    <row r="2447">
      <c r="B2447">
        <f>IF(A2447="","",$B$1-MAXIFS(Donasi!$A$2:$A$20000,Donasi!$B$2:$B$20000,A2447))</f>
        <v/>
      </c>
      <c r="C2447">
        <f>IF(A2447="","",COUNTIF(Donasi!$B$2:$B$20000,A2447))</f>
        <v/>
      </c>
      <c r="D2447">
        <f>IF(A2447="","",SUMIF(Donasi!$B$2:$B$20000,A2447,Donasi!$C$2:$C$20000))</f>
        <v/>
      </c>
      <c r="E2447">
        <f>IF(A2447="","",6-CEILING(PERCENTRANK.INC($B$3:$B$6000,B2447,4)*5+0.000001,1))</f>
        <v/>
      </c>
      <c r="F2447">
        <f>IF(A2447="","",MAX(1,CEILING(PERCENTRANK.INC($C$3:$C$6000,C2447,4)*5+0.000001,1)))</f>
        <v/>
      </c>
      <c r="G2447">
        <f>IF(A2447="","",MAX(1,CEILING(PERCENTRANK.INC($D$3:$D$6000,D2447,4)*5+0.000001,1)))</f>
        <v/>
      </c>
      <c r="H2447">
        <f>IF(A2447="","",E2447&amp;F2447&amp;G2447)</f>
        <v/>
      </c>
      <c r="I2447">
        <f>IF(A2447="","",IF(AND(E2447&gt;=4,F2447&gt;=4,G2447&gt;=4),"Juara",IF(AND(F2447&gt;=4,E2447&gt;=3),"Setia",IF(AND(E2447=5,F2447&lt;=2,G2447&gt;=3),"Berpotensi",IF(AND(E2447&lt;=3,E2447&gt;=2,F2447&gt;=3),"Rawan",IF(AND(E2447&lt;=2,F2447&lt;=2),"Tidur","Umum"))))))</f>
        <v/>
      </c>
    </row>
    <row r="2448">
      <c r="B2448">
        <f>IF(A2448="","",$B$1-MAXIFS(Donasi!$A$2:$A$20000,Donasi!$B$2:$B$20000,A2448))</f>
        <v/>
      </c>
      <c r="C2448">
        <f>IF(A2448="","",COUNTIF(Donasi!$B$2:$B$20000,A2448))</f>
        <v/>
      </c>
      <c r="D2448">
        <f>IF(A2448="","",SUMIF(Donasi!$B$2:$B$20000,A2448,Donasi!$C$2:$C$20000))</f>
        <v/>
      </c>
      <c r="E2448">
        <f>IF(A2448="","",6-CEILING(PERCENTRANK.INC($B$3:$B$6000,B2448,4)*5+0.000001,1))</f>
        <v/>
      </c>
      <c r="F2448">
        <f>IF(A2448="","",MAX(1,CEILING(PERCENTRANK.INC($C$3:$C$6000,C2448,4)*5+0.000001,1)))</f>
        <v/>
      </c>
      <c r="G2448">
        <f>IF(A2448="","",MAX(1,CEILING(PERCENTRANK.INC($D$3:$D$6000,D2448,4)*5+0.000001,1)))</f>
        <v/>
      </c>
      <c r="H2448">
        <f>IF(A2448="","",E2448&amp;F2448&amp;G2448)</f>
        <v/>
      </c>
      <c r="I2448">
        <f>IF(A2448="","",IF(AND(E2448&gt;=4,F2448&gt;=4,G2448&gt;=4),"Juara",IF(AND(F2448&gt;=4,E2448&gt;=3),"Setia",IF(AND(E2448=5,F2448&lt;=2,G2448&gt;=3),"Berpotensi",IF(AND(E2448&lt;=3,E2448&gt;=2,F2448&gt;=3),"Rawan",IF(AND(E2448&lt;=2,F2448&lt;=2),"Tidur","Umum"))))))</f>
        <v/>
      </c>
    </row>
    <row r="2449">
      <c r="B2449">
        <f>IF(A2449="","",$B$1-MAXIFS(Donasi!$A$2:$A$20000,Donasi!$B$2:$B$20000,A2449))</f>
        <v/>
      </c>
      <c r="C2449">
        <f>IF(A2449="","",COUNTIF(Donasi!$B$2:$B$20000,A2449))</f>
        <v/>
      </c>
      <c r="D2449">
        <f>IF(A2449="","",SUMIF(Donasi!$B$2:$B$20000,A2449,Donasi!$C$2:$C$20000))</f>
        <v/>
      </c>
      <c r="E2449">
        <f>IF(A2449="","",6-CEILING(PERCENTRANK.INC($B$3:$B$6000,B2449,4)*5+0.000001,1))</f>
        <v/>
      </c>
      <c r="F2449">
        <f>IF(A2449="","",MAX(1,CEILING(PERCENTRANK.INC($C$3:$C$6000,C2449,4)*5+0.000001,1)))</f>
        <v/>
      </c>
      <c r="G2449">
        <f>IF(A2449="","",MAX(1,CEILING(PERCENTRANK.INC($D$3:$D$6000,D2449,4)*5+0.000001,1)))</f>
        <v/>
      </c>
      <c r="H2449">
        <f>IF(A2449="","",E2449&amp;F2449&amp;G2449)</f>
        <v/>
      </c>
      <c r="I2449">
        <f>IF(A2449="","",IF(AND(E2449&gt;=4,F2449&gt;=4,G2449&gt;=4),"Juara",IF(AND(F2449&gt;=4,E2449&gt;=3),"Setia",IF(AND(E2449=5,F2449&lt;=2,G2449&gt;=3),"Berpotensi",IF(AND(E2449&lt;=3,E2449&gt;=2,F2449&gt;=3),"Rawan",IF(AND(E2449&lt;=2,F2449&lt;=2),"Tidur","Umum"))))))</f>
        <v/>
      </c>
    </row>
    <row r="2450">
      <c r="B2450">
        <f>IF(A2450="","",$B$1-MAXIFS(Donasi!$A$2:$A$20000,Donasi!$B$2:$B$20000,A2450))</f>
        <v/>
      </c>
      <c r="C2450">
        <f>IF(A2450="","",COUNTIF(Donasi!$B$2:$B$20000,A2450))</f>
        <v/>
      </c>
      <c r="D2450">
        <f>IF(A2450="","",SUMIF(Donasi!$B$2:$B$20000,A2450,Donasi!$C$2:$C$20000))</f>
        <v/>
      </c>
      <c r="E2450">
        <f>IF(A2450="","",6-CEILING(PERCENTRANK.INC($B$3:$B$6000,B2450,4)*5+0.000001,1))</f>
        <v/>
      </c>
      <c r="F2450">
        <f>IF(A2450="","",MAX(1,CEILING(PERCENTRANK.INC($C$3:$C$6000,C2450,4)*5+0.000001,1)))</f>
        <v/>
      </c>
      <c r="G2450">
        <f>IF(A2450="","",MAX(1,CEILING(PERCENTRANK.INC($D$3:$D$6000,D2450,4)*5+0.000001,1)))</f>
        <v/>
      </c>
      <c r="H2450">
        <f>IF(A2450="","",E2450&amp;F2450&amp;G2450)</f>
        <v/>
      </c>
      <c r="I2450">
        <f>IF(A2450="","",IF(AND(E2450&gt;=4,F2450&gt;=4,G2450&gt;=4),"Juara",IF(AND(F2450&gt;=4,E2450&gt;=3),"Setia",IF(AND(E2450=5,F2450&lt;=2,G2450&gt;=3),"Berpotensi",IF(AND(E2450&lt;=3,E2450&gt;=2,F2450&gt;=3),"Rawan",IF(AND(E2450&lt;=2,F2450&lt;=2),"Tidur","Umum"))))))</f>
        <v/>
      </c>
    </row>
    <row r="2451">
      <c r="B2451">
        <f>IF(A2451="","",$B$1-MAXIFS(Donasi!$A$2:$A$20000,Donasi!$B$2:$B$20000,A2451))</f>
        <v/>
      </c>
      <c r="C2451">
        <f>IF(A2451="","",COUNTIF(Donasi!$B$2:$B$20000,A2451))</f>
        <v/>
      </c>
      <c r="D2451">
        <f>IF(A2451="","",SUMIF(Donasi!$B$2:$B$20000,A2451,Donasi!$C$2:$C$20000))</f>
        <v/>
      </c>
      <c r="E2451">
        <f>IF(A2451="","",6-CEILING(PERCENTRANK.INC($B$3:$B$6000,B2451,4)*5+0.000001,1))</f>
        <v/>
      </c>
      <c r="F2451">
        <f>IF(A2451="","",MAX(1,CEILING(PERCENTRANK.INC($C$3:$C$6000,C2451,4)*5+0.000001,1)))</f>
        <v/>
      </c>
      <c r="G2451">
        <f>IF(A2451="","",MAX(1,CEILING(PERCENTRANK.INC($D$3:$D$6000,D2451,4)*5+0.000001,1)))</f>
        <v/>
      </c>
      <c r="H2451">
        <f>IF(A2451="","",E2451&amp;F2451&amp;G2451)</f>
        <v/>
      </c>
      <c r="I2451">
        <f>IF(A2451="","",IF(AND(E2451&gt;=4,F2451&gt;=4,G2451&gt;=4),"Juara",IF(AND(F2451&gt;=4,E2451&gt;=3),"Setia",IF(AND(E2451=5,F2451&lt;=2,G2451&gt;=3),"Berpotensi",IF(AND(E2451&lt;=3,E2451&gt;=2,F2451&gt;=3),"Rawan",IF(AND(E2451&lt;=2,F2451&lt;=2),"Tidur","Umum"))))))</f>
        <v/>
      </c>
    </row>
    <row r="2452">
      <c r="B2452">
        <f>IF(A2452="","",$B$1-MAXIFS(Donasi!$A$2:$A$20000,Donasi!$B$2:$B$20000,A2452))</f>
        <v/>
      </c>
      <c r="C2452">
        <f>IF(A2452="","",COUNTIF(Donasi!$B$2:$B$20000,A2452))</f>
        <v/>
      </c>
      <c r="D2452">
        <f>IF(A2452="","",SUMIF(Donasi!$B$2:$B$20000,A2452,Donasi!$C$2:$C$20000))</f>
        <v/>
      </c>
      <c r="E2452">
        <f>IF(A2452="","",6-CEILING(PERCENTRANK.INC($B$3:$B$6000,B2452,4)*5+0.000001,1))</f>
        <v/>
      </c>
      <c r="F2452">
        <f>IF(A2452="","",MAX(1,CEILING(PERCENTRANK.INC($C$3:$C$6000,C2452,4)*5+0.000001,1)))</f>
        <v/>
      </c>
      <c r="G2452">
        <f>IF(A2452="","",MAX(1,CEILING(PERCENTRANK.INC($D$3:$D$6000,D2452,4)*5+0.000001,1)))</f>
        <v/>
      </c>
      <c r="H2452">
        <f>IF(A2452="","",E2452&amp;F2452&amp;G2452)</f>
        <v/>
      </c>
      <c r="I2452">
        <f>IF(A2452="","",IF(AND(E2452&gt;=4,F2452&gt;=4,G2452&gt;=4),"Juara",IF(AND(F2452&gt;=4,E2452&gt;=3),"Setia",IF(AND(E2452=5,F2452&lt;=2,G2452&gt;=3),"Berpotensi",IF(AND(E2452&lt;=3,E2452&gt;=2,F2452&gt;=3),"Rawan",IF(AND(E2452&lt;=2,F2452&lt;=2),"Tidur","Umum"))))))</f>
        <v/>
      </c>
    </row>
    <row r="2453">
      <c r="B2453">
        <f>IF(A2453="","",$B$1-MAXIFS(Donasi!$A$2:$A$20000,Donasi!$B$2:$B$20000,A2453))</f>
        <v/>
      </c>
      <c r="C2453">
        <f>IF(A2453="","",COUNTIF(Donasi!$B$2:$B$20000,A2453))</f>
        <v/>
      </c>
      <c r="D2453">
        <f>IF(A2453="","",SUMIF(Donasi!$B$2:$B$20000,A2453,Donasi!$C$2:$C$20000))</f>
        <v/>
      </c>
      <c r="E2453">
        <f>IF(A2453="","",6-CEILING(PERCENTRANK.INC($B$3:$B$6000,B2453,4)*5+0.000001,1))</f>
        <v/>
      </c>
      <c r="F2453">
        <f>IF(A2453="","",MAX(1,CEILING(PERCENTRANK.INC($C$3:$C$6000,C2453,4)*5+0.000001,1)))</f>
        <v/>
      </c>
      <c r="G2453">
        <f>IF(A2453="","",MAX(1,CEILING(PERCENTRANK.INC($D$3:$D$6000,D2453,4)*5+0.000001,1)))</f>
        <v/>
      </c>
      <c r="H2453">
        <f>IF(A2453="","",E2453&amp;F2453&amp;G2453)</f>
        <v/>
      </c>
      <c r="I2453">
        <f>IF(A2453="","",IF(AND(E2453&gt;=4,F2453&gt;=4,G2453&gt;=4),"Juara",IF(AND(F2453&gt;=4,E2453&gt;=3),"Setia",IF(AND(E2453=5,F2453&lt;=2,G2453&gt;=3),"Berpotensi",IF(AND(E2453&lt;=3,E2453&gt;=2,F2453&gt;=3),"Rawan",IF(AND(E2453&lt;=2,F2453&lt;=2),"Tidur","Umum"))))))</f>
        <v/>
      </c>
    </row>
    <row r="2454">
      <c r="B2454">
        <f>IF(A2454="","",$B$1-MAXIFS(Donasi!$A$2:$A$20000,Donasi!$B$2:$B$20000,A2454))</f>
        <v/>
      </c>
      <c r="C2454">
        <f>IF(A2454="","",COUNTIF(Donasi!$B$2:$B$20000,A2454))</f>
        <v/>
      </c>
      <c r="D2454">
        <f>IF(A2454="","",SUMIF(Donasi!$B$2:$B$20000,A2454,Donasi!$C$2:$C$20000))</f>
        <v/>
      </c>
      <c r="E2454">
        <f>IF(A2454="","",6-CEILING(PERCENTRANK.INC($B$3:$B$6000,B2454,4)*5+0.000001,1))</f>
        <v/>
      </c>
      <c r="F2454">
        <f>IF(A2454="","",MAX(1,CEILING(PERCENTRANK.INC($C$3:$C$6000,C2454,4)*5+0.000001,1)))</f>
        <v/>
      </c>
      <c r="G2454">
        <f>IF(A2454="","",MAX(1,CEILING(PERCENTRANK.INC($D$3:$D$6000,D2454,4)*5+0.000001,1)))</f>
        <v/>
      </c>
      <c r="H2454">
        <f>IF(A2454="","",E2454&amp;F2454&amp;G2454)</f>
        <v/>
      </c>
      <c r="I2454">
        <f>IF(A2454="","",IF(AND(E2454&gt;=4,F2454&gt;=4,G2454&gt;=4),"Juara",IF(AND(F2454&gt;=4,E2454&gt;=3),"Setia",IF(AND(E2454=5,F2454&lt;=2,G2454&gt;=3),"Berpotensi",IF(AND(E2454&lt;=3,E2454&gt;=2,F2454&gt;=3),"Rawan",IF(AND(E2454&lt;=2,F2454&lt;=2),"Tidur","Umum"))))))</f>
        <v/>
      </c>
    </row>
    <row r="2455">
      <c r="B2455">
        <f>IF(A2455="","",$B$1-MAXIFS(Donasi!$A$2:$A$20000,Donasi!$B$2:$B$20000,A2455))</f>
        <v/>
      </c>
      <c r="C2455">
        <f>IF(A2455="","",COUNTIF(Donasi!$B$2:$B$20000,A2455))</f>
        <v/>
      </c>
      <c r="D2455">
        <f>IF(A2455="","",SUMIF(Donasi!$B$2:$B$20000,A2455,Donasi!$C$2:$C$20000))</f>
        <v/>
      </c>
      <c r="E2455">
        <f>IF(A2455="","",6-CEILING(PERCENTRANK.INC($B$3:$B$6000,B2455,4)*5+0.000001,1))</f>
        <v/>
      </c>
      <c r="F2455">
        <f>IF(A2455="","",MAX(1,CEILING(PERCENTRANK.INC($C$3:$C$6000,C2455,4)*5+0.000001,1)))</f>
        <v/>
      </c>
      <c r="G2455">
        <f>IF(A2455="","",MAX(1,CEILING(PERCENTRANK.INC($D$3:$D$6000,D2455,4)*5+0.000001,1)))</f>
        <v/>
      </c>
      <c r="H2455">
        <f>IF(A2455="","",E2455&amp;F2455&amp;G2455)</f>
        <v/>
      </c>
      <c r="I2455">
        <f>IF(A2455="","",IF(AND(E2455&gt;=4,F2455&gt;=4,G2455&gt;=4),"Juara",IF(AND(F2455&gt;=4,E2455&gt;=3),"Setia",IF(AND(E2455=5,F2455&lt;=2,G2455&gt;=3),"Berpotensi",IF(AND(E2455&lt;=3,E2455&gt;=2,F2455&gt;=3),"Rawan",IF(AND(E2455&lt;=2,F2455&lt;=2),"Tidur","Umum"))))))</f>
        <v/>
      </c>
    </row>
    <row r="2456">
      <c r="B2456">
        <f>IF(A2456="","",$B$1-MAXIFS(Donasi!$A$2:$A$20000,Donasi!$B$2:$B$20000,A2456))</f>
        <v/>
      </c>
      <c r="C2456">
        <f>IF(A2456="","",COUNTIF(Donasi!$B$2:$B$20000,A2456))</f>
        <v/>
      </c>
      <c r="D2456">
        <f>IF(A2456="","",SUMIF(Donasi!$B$2:$B$20000,A2456,Donasi!$C$2:$C$20000))</f>
        <v/>
      </c>
      <c r="E2456">
        <f>IF(A2456="","",6-CEILING(PERCENTRANK.INC($B$3:$B$6000,B2456,4)*5+0.000001,1))</f>
        <v/>
      </c>
      <c r="F2456">
        <f>IF(A2456="","",MAX(1,CEILING(PERCENTRANK.INC($C$3:$C$6000,C2456,4)*5+0.000001,1)))</f>
        <v/>
      </c>
      <c r="G2456">
        <f>IF(A2456="","",MAX(1,CEILING(PERCENTRANK.INC($D$3:$D$6000,D2456,4)*5+0.000001,1)))</f>
        <v/>
      </c>
      <c r="H2456">
        <f>IF(A2456="","",E2456&amp;F2456&amp;G2456)</f>
        <v/>
      </c>
      <c r="I2456">
        <f>IF(A2456="","",IF(AND(E2456&gt;=4,F2456&gt;=4,G2456&gt;=4),"Juara",IF(AND(F2456&gt;=4,E2456&gt;=3),"Setia",IF(AND(E2456=5,F2456&lt;=2,G2456&gt;=3),"Berpotensi",IF(AND(E2456&lt;=3,E2456&gt;=2,F2456&gt;=3),"Rawan",IF(AND(E2456&lt;=2,F2456&lt;=2),"Tidur","Umum"))))))</f>
        <v/>
      </c>
    </row>
    <row r="2457">
      <c r="B2457">
        <f>IF(A2457="","",$B$1-MAXIFS(Donasi!$A$2:$A$20000,Donasi!$B$2:$B$20000,A2457))</f>
        <v/>
      </c>
      <c r="C2457">
        <f>IF(A2457="","",COUNTIF(Donasi!$B$2:$B$20000,A2457))</f>
        <v/>
      </c>
      <c r="D2457">
        <f>IF(A2457="","",SUMIF(Donasi!$B$2:$B$20000,A2457,Donasi!$C$2:$C$20000))</f>
        <v/>
      </c>
      <c r="E2457">
        <f>IF(A2457="","",6-CEILING(PERCENTRANK.INC($B$3:$B$6000,B2457,4)*5+0.000001,1))</f>
        <v/>
      </c>
      <c r="F2457">
        <f>IF(A2457="","",MAX(1,CEILING(PERCENTRANK.INC($C$3:$C$6000,C2457,4)*5+0.000001,1)))</f>
        <v/>
      </c>
      <c r="G2457">
        <f>IF(A2457="","",MAX(1,CEILING(PERCENTRANK.INC($D$3:$D$6000,D2457,4)*5+0.000001,1)))</f>
        <v/>
      </c>
      <c r="H2457">
        <f>IF(A2457="","",E2457&amp;F2457&amp;G2457)</f>
        <v/>
      </c>
      <c r="I2457">
        <f>IF(A2457="","",IF(AND(E2457&gt;=4,F2457&gt;=4,G2457&gt;=4),"Juara",IF(AND(F2457&gt;=4,E2457&gt;=3),"Setia",IF(AND(E2457=5,F2457&lt;=2,G2457&gt;=3),"Berpotensi",IF(AND(E2457&lt;=3,E2457&gt;=2,F2457&gt;=3),"Rawan",IF(AND(E2457&lt;=2,F2457&lt;=2),"Tidur","Umum"))))))</f>
        <v/>
      </c>
    </row>
    <row r="2458">
      <c r="B2458">
        <f>IF(A2458="","",$B$1-MAXIFS(Donasi!$A$2:$A$20000,Donasi!$B$2:$B$20000,A2458))</f>
        <v/>
      </c>
      <c r="C2458">
        <f>IF(A2458="","",COUNTIF(Donasi!$B$2:$B$20000,A2458))</f>
        <v/>
      </c>
      <c r="D2458">
        <f>IF(A2458="","",SUMIF(Donasi!$B$2:$B$20000,A2458,Donasi!$C$2:$C$20000))</f>
        <v/>
      </c>
      <c r="E2458">
        <f>IF(A2458="","",6-CEILING(PERCENTRANK.INC($B$3:$B$6000,B2458,4)*5+0.000001,1))</f>
        <v/>
      </c>
      <c r="F2458">
        <f>IF(A2458="","",MAX(1,CEILING(PERCENTRANK.INC($C$3:$C$6000,C2458,4)*5+0.000001,1)))</f>
        <v/>
      </c>
      <c r="G2458">
        <f>IF(A2458="","",MAX(1,CEILING(PERCENTRANK.INC($D$3:$D$6000,D2458,4)*5+0.000001,1)))</f>
        <v/>
      </c>
      <c r="H2458">
        <f>IF(A2458="","",E2458&amp;F2458&amp;G2458)</f>
        <v/>
      </c>
      <c r="I2458">
        <f>IF(A2458="","",IF(AND(E2458&gt;=4,F2458&gt;=4,G2458&gt;=4),"Juara",IF(AND(F2458&gt;=4,E2458&gt;=3),"Setia",IF(AND(E2458=5,F2458&lt;=2,G2458&gt;=3),"Berpotensi",IF(AND(E2458&lt;=3,E2458&gt;=2,F2458&gt;=3),"Rawan",IF(AND(E2458&lt;=2,F2458&lt;=2),"Tidur","Umum"))))))</f>
        <v/>
      </c>
    </row>
    <row r="2459">
      <c r="B2459">
        <f>IF(A2459="","",$B$1-MAXIFS(Donasi!$A$2:$A$20000,Donasi!$B$2:$B$20000,A2459))</f>
        <v/>
      </c>
      <c r="C2459">
        <f>IF(A2459="","",COUNTIF(Donasi!$B$2:$B$20000,A2459))</f>
        <v/>
      </c>
      <c r="D2459">
        <f>IF(A2459="","",SUMIF(Donasi!$B$2:$B$20000,A2459,Donasi!$C$2:$C$20000))</f>
        <v/>
      </c>
      <c r="E2459">
        <f>IF(A2459="","",6-CEILING(PERCENTRANK.INC($B$3:$B$6000,B2459,4)*5+0.000001,1))</f>
        <v/>
      </c>
      <c r="F2459">
        <f>IF(A2459="","",MAX(1,CEILING(PERCENTRANK.INC($C$3:$C$6000,C2459,4)*5+0.000001,1)))</f>
        <v/>
      </c>
      <c r="G2459">
        <f>IF(A2459="","",MAX(1,CEILING(PERCENTRANK.INC($D$3:$D$6000,D2459,4)*5+0.000001,1)))</f>
        <v/>
      </c>
      <c r="H2459">
        <f>IF(A2459="","",E2459&amp;F2459&amp;G2459)</f>
        <v/>
      </c>
      <c r="I2459">
        <f>IF(A2459="","",IF(AND(E2459&gt;=4,F2459&gt;=4,G2459&gt;=4),"Juara",IF(AND(F2459&gt;=4,E2459&gt;=3),"Setia",IF(AND(E2459=5,F2459&lt;=2,G2459&gt;=3),"Berpotensi",IF(AND(E2459&lt;=3,E2459&gt;=2,F2459&gt;=3),"Rawan",IF(AND(E2459&lt;=2,F2459&lt;=2),"Tidur","Umum"))))))</f>
        <v/>
      </c>
    </row>
    <row r="2460">
      <c r="B2460">
        <f>IF(A2460="","",$B$1-MAXIFS(Donasi!$A$2:$A$20000,Donasi!$B$2:$B$20000,A2460))</f>
        <v/>
      </c>
      <c r="C2460">
        <f>IF(A2460="","",COUNTIF(Donasi!$B$2:$B$20000,A2460))</f>
        <v/>
      </c>
      <c r="D2460">
        <f>IF(A2460="","",SUMIF(Donasi!$B$2:$B$20000,A2460,Donasi!$C$2:$C$20000))</f>
        <v/>
      </c>
      <c r="E2460">
        <f>IF(A2460="","",6-CEILING(PERCENTRANK.INC($B$3:$B$6000,B2460,4)*5+0.000001,1))</f>
        <v/>
      </c>
      <c r="F2460">
        <f>IF(A2460="","",MAX(1,CEILING(PERCENTRANK.INC($C$3:$C$6000,C2460,4)*5+0.000001,1)))</f>
        <v/>
      </c>
      <c r="G2460">
        <f>IF(A2460="","",MAX(1,CEILING(PERCENTRANK.INC($D$3:$D$6000,D2460,4)*5+0.000001,1)))</f>
        <v/>
      </c>
      <c r="H2460">
        <f>IF(A2460="","",E2460&amp;F2460&amp;G2460)</f>
        <v/>
      </c>
      <c r="I2460">
        <f>IF(A2460="","",IF(AND(E2460&gt;=4,F2460&gt;=4,G2460&gt;=4),"Juara",IF(AND(F2460&gt;=4,E2460&gt;=3),"Setia",IF(AND(E2460=5,F2460&lt;=2,G2460&gt;=3),"Berpotensi",IF(AND(E2460&lt;=3,E2460&gt;=2,F2460&gt;=3),"Rawan",IF(AND(E2460&lt;=2,F2460&lt;=2),"Tidur","Umum"))))))</f>
        <v/>
      </c>
    </row>
    <row r="2461">
      <c r="B2461">
        <f>IF(A2461="","",$B$1-MAXIFS(Donasi!$A$2:$A$20000,Donasi!$B$2:$B$20000,A2461))</f>
        <v/>
      </c>
      <c r="C2461">
        <f>IF(A2461="","",COUNTIF(Donasi!$B$2:$B$20000,A2461))</f>
        <v/>
      </c>
      <c r="D2461">
        <f>IF(A2461="","",SUMIF(Donasi!$B$2:$B$20000,A2461,Donasi!$C$2:$C$20000))</f>
        <v/>
      </c>
      <c r="E2461">
        <f>IF(A2461="","",6-CEILING(PERCENTRANK.INC($B$3:$B$6000,B2461,4)*5+0.000001,1))</f>
        <v/>
      </c>
      <c r="F2461">
        <f>IF(A2461="","",MAX(1,CEILING(PERCENTRANK.INC($C$3:$C$6000,C2461,4)*5+0.000001,1)))</f>
        <v/>
      </c>
      <c r="G2461">
        <f>IF(A2461="","",MAX(1,CEILING(PERCENTRANK.INC($D$3:$D$6000,D2461,4)*5+0.000001,1)))</f>
        <v/>
      </c>
      <c r="H2461">
        <f>IF(A2461="","",E2461&amp;F2461&amp;G2461)</f>
        <v/>
      </c>
      <c r="I2461">
        <f>IF(A2461="","",IF(AND(E2461&gt;=4,F2461&gt;=4,G2461&gt;=4),"Juara",IF(AND(F2461&gt;=4,E2461&gt;=3),"Setia",IF(AND(E2461=5,F2461&lt;=2,G2461&gt;=3),"Berpotensi",IF(AND(E2461&lt;=3,E2461&gt;=2,F2461&gt;=3),"Rawan",IF(AND(E2461&lt;=2,F2461&lt;=2),"Tidur","Umum"))))))</f>
        <v/>
      </c>
    </row>
    <row r="2462">
      <c r="B2462">
        <f>IF(A2462="","",$B$1-MAXIFS(Donasi!$A$2:$A$20000,Donasi!$B$2:$B$20000,A2462))</f>
        <v/>
      </c>
      <c r="C2462">
        <f>IF(A2462="","",COUNTIF(Donasi!$B$2:$B$20000,A2462))</f>
        <v/>
      </c>
      <c r="D2462">
        <f>IF(A2462="","",SUMIF(Donasi!$B$2:$B$20000,A2462,Donasi!$C$2:$C$20000))</f>
        <v/>
      </c>
      <c r="E2462">
        <f>IF(A2462="","",6-CEILING(PERCENTRANK.INC($B$3:$B$6000,B2462,4)*5+0.000001,1))</f>
        <v/>
      </c>
      <c r="F2462">
        <f>IF(A2462="","",MAX(1,CEILING(PERCENTRANK.INC($C$3:$C$6000,C2462,4)*5+0.000001,1)))</f>
        <v/>
      </c>
      <c r="G2462">
        <f>IF(A2462="","",MAX(1,CEILING(PERCENTRANK.INC($D$3:$D$6000,D2462,4)*5+0.000001,1)))</f>
        <v/>
      </c>
      <c r="H2462">
        <f>IF(A2462="","",E2462&amp;F2462&amp;G2462)</f>
        <v/>
      </c>
      <c r="I2462">
        <f>IF(A2462="","",IF(AND(E2462&gt;=4,F2462&gt;=4,G2462&gt;=4),"Juara",IF(AND(F2462&gt;=4,E2462&gt;=3),"Setia",IF(AND(E2462=5,F2462&lt;=2,G2462&gt;=3),"Berpotensi",IF(AND(E2462&lt;=3,E2462&gt;=2,F2462&gt;=3),"Rawan",IF(AND(E2462&lt;=2,F2462&lt;=2),"Tidur","Umum"))))))</f>
        <v/>
      </c>
    </row>
    <row r="2463">
      <c r="B2463">
        <f>IF(A2463="","",$B$1-MAXIFS(Donasi!$A$2:$A$20000,Donasi!$B$2:$B$20000,A2463))</f>
        <v/>
      </c>
      <c r="C2463">
        <f>IF(A2463="","",COUNTIF(Donasi!$B$2:$B$20000,A2463))</f>
        <v/>
      </c>
      <c r="D2463">
        <f>IF(A2463="","",SUMIF(Donasi!$B$2:$B$20000,A2463,Donasi!$C$2:$C$20000))</f>
        <v/>
      </c>
      <c r="E2463">
        <f>IF(A2463="","",6-CEILING(PERCENTRANK.INC($B$3:$B$6000,B2463,4)*5+0.000001,1))</f>
        <v/>
      </c>
      <c r="F2463">
        <f>IF(A2463="","",MAX(1,CEILING(PERCENTRANK.INC($C$3:$C$6000,C2463,4)*5+0.000001,1)))</f>
        <v/>
      </c>
      <c r="G2463">
        <f>IF(A2463="","",MAX(1,CEILING(PERCENTRANK.INC($D$3:$D$6000,D2463,4)*5+0.000001,1)))</f>
        <v/>
      </c>
      <c r="H2463">
        <f>IF(A2463="","",E2463&amp;F2463&amp;G2463)</f>
        <v/>
      </c>
      <c r="I2463">
        <f>IF(A2463="","",IF(AND(E2463&gt;=4,F2463&gt;=4,G2463&gt;=4),"Juara",IF(AND(F2463&gt;=4,E2463&gt;=3),"Setia",IF(AND(E2463=5,F2463&lt;=2,G2463&gt;=3),"Berpotensi",IF(AND(E2463&lt;=3,E2463&gt;=2,F2463&gt;=3),"Rawan",IF(AND(E2463&lt;=2,F2463&lt;=2),"Tidur","Umum"))))))</f>
        <v/>
      </c>
    </row>
    <row r="2464">
      <c r="B2464">
        <f>IF(A2464="","",$B$1-MAXIFS(Donasi!$A$2:$A$20000,Donasi!$B$2:$B$20000,A2464))</f>
        <v/>
      </c>
      <c r="C2464">
        <f>IF(A2464="","",COUNTIF(Donasi!$B$2:$B$20000,A2464))</f>
        <v/>
      </c>
      <c r="D2464">
        <f>IF(A2464="","",SUMIF(Donasi!$B$2:$B$20000,A2464,Donasi!$C$2:$C$20000))</f>
        <v/>
      </c>
      <c r="E2464">
        <f>IF(A2464="","",6-CEILING(PERCENTRANK.INC($B$3:$B$6000,B2464,4)*5+0.000001,1))</f>
        <v/>
      </c>
      <c r="F2464">
        <f>IF(A2464="","",MAX(1,CEILING(PERCENTRANK.INC($C$3:$C$6000,C2464,4)*5+0.000001,1)))</f>
        <v/>
      </c>
      <c r="G2464">
        <f>IF(A2464="","",MAX(1,CEILING(PERCENTRANK.INC($D$3:$D$6000,D2464,4)*5+0.000001,1)))</f>
        <v/>
      </c>
      <c r="H2464">
        <f>IF(A2464="","",E2464&amp;F2464&amp;G2464)</f>
        <v/>
      </c>
      <c r="I2464">
        <f>IF(A2464="","",IF(AND(E2464&gt;=4,F2464&gt;=4,G2464&gt;=4),"Juara",IF(AND(F2464&gt;=4,E2464&gt;=3),"Setia",IF(AND(E2464=5,F2464&lt;=2,G2464&gt;=3),"Berpotensi",IF(AND(E2464&lt;=3,E2464&gt;=2,F2464&gt;=3),"Rawan",IF(AND(E2464&lt;=2,F2464&lt;=2),"Tidur","Umum"))))))</f>
        <v/>
      </c>
    </row>
    <row r="2465">
      <c r="B2465">
        <f>IF(A2465="","",$B$1-MAXIFS(Donasi!$A$2:$A$20000,Donasi!$B$2:$B$20000,A2465))</f>
        <v/>
      </c>
      <c r="C2465">
        <f>IF(A2465="","",COUNTIF(Donasi!$B$2:$B$20000,A2465))</f>
        <v/>
      </c>
      <c r="D2465">
        <f>IF(A2465="","",SUMIF(Donasi!$B$2:$B$20000,A2465,Donasi!$C$2:$C$20000))</f>
        <v/>
      </c>
      <c r="E2465">
        <f>IF(A2465="","",6-CEILING(PERCENTRANK.INC($B$3:$B$6000,B2465,4)*5+0.000001,1))</f>
        <v/>
      </c>
      <c r="F2465">
        <f>IF(A2465="","",MAX(1,CEILING(PERCENTRANK.INC($C$3:$C$6000,C2465,4)*5+0.000001,1)))</f>
        <v/>
      </c>
      <c r="G2465">
        <f>IF(A2465="","",MAX(1,CEILING(PERCENTRANK.INC($D$3:$D$6000,D2465,4)*5+0.000001,1)))</f>
        <v/>
      </c>
      <c r="H2465">
        <f>IF(A2465="","",E2465&amp;F2465&amp;G2465)</f>
        <v/>
      </c>
      <c r="I2465">
        <f>IF(A2465="","",IF(AND(E2465&gt;=4,F2465&gt;=4,G2465&gt;=4),"Juara",IF(AND(F2465&gt;=4,E2465&gt;=3),"Setia",IF(AND(E2465=5,F2465&lt;=2,G2465&gt;=3),"Berpotensi",IF(AND(E2465&lt;=3,E2465&gt;=2,F2465&gt;=3),"Rawan",IF(AND(E2465&lt;=2,F2465&lt;=2),"Tidur","Umum"))))))</f>
        <v/>
      </c>
    </row>
    <row r="2466">
      <c r="B2466">
        <f>IF(A2466="","",$B$1-MAXIFS(Donasi!$A$2:$A$20000,Donasi!$B$2:$B$20000,A2466))</f>
        <v/>
      </c>
      <c r="C2466">
        <f>IF(A2466="","",COUNTIF(Donasi!$B$2:$B$20000,A2466))</f>
        <v/>
      </c>
      <c r="D2466">
        <f>IF(A2466="","",SUMIF(Donasi!$B$2:$B$20000,A2466,Donasi!$C$2:$C$20000))</f>
        <v/>
      </c>
      <c r="E2466">
        <f>IF(A2466="","",6-CEILING(PERCENTRANK.INC($B$3:$B$6000,B2466,4)*5+0.000001,1))</f>
        <v/>
      </c>
      <c r="F2466">
        <f>IF(A2466="","",MAX(1,CEILING(PERCENTRANK.INC($C$3:$C$6000,C2466,4)*5+0.000001,1)))</f>
        <v/>
      </c>
      <c r="G2466">
        <f>IF(A2466="","",MAX(1,CEILING(PERCENTRANK.INC($D$3:$D$6000,D2466,4)*5+0.000001,1)))</f>
        <v/>
      </c>
      <c r="H2466">
        <f>IF(A2466="","",E2466&amp;F2466&amp;G2466)</f>
        <v/>
      </c>
      <c r="I2466">
        <f>IF(A2466="","",IF(AND(E2466&gt;=4,F2466&gt;=4,G2466&gt;=4),"Juara",IF(AND(F2466&gt;=4,E2466&gt;=3),"Setia",IF(AND(E2466=5,F2466&lt;=2,G2466&gt;=3),"Berpotensi",IF(AND(E2466&lt;=3,E2466&gt;=2,F2466&gt;=3),"Rawan",IF(AND(E2466&lt;=2,F2466&lt;=2),"Tidur","Umum"))))))</f>
        <v/>
      </c>
    </row>
    <row r="2467">
      <c r="B2467">
        <f>IF(A2467="","",$B$1-MAXIFS(Donasi!$A$2:$A$20000,Donasi!$B$2:$B$20000,A2467))</f>
        <v/>
      </c>
      <c r="C2467">
        <f>IF(A2467="","",COUNTIF(Donasi!$B$2:$B$20000,A2467))</f>
        <v/>
      </c>
      <c r="D2467">
        <f>IF(A2467="","",SUMIF(Donasi!$B$2:$B$20000,A2467,Donasi!$C$2:$C$20000))</f>
        <v/>
      </c>
      <c r="E2467">
        <f>IF(A2467="","",6-CEILING(PERCENTRANK.INC($B$3:$B$6000,B2467,4)*5+0.000001,1))</f>
        <v/>
      </c>
      <c r="F2467">
        <f>IF(A2467="","",MAX(1,CEILING(PERCENTRANK.INC($C$3:$C$6000,C2467,4)*5+0.000001,1)))</f>
        <v/>
      </c>
      <c r="G2467">
        <f>IF(A2467="","",MAX(1,CEILING(PERCENTRANK.INC($D$3:$D$6000,D2467,4)*5+0.000001,1)))</f>
        <v/>
      </c>
      <c r="H2467">
        <f>IF(A2467="","",E2467&amp;F2467&amp;G2467)</f>
        <v/>
      </c>
      <c r="I2467">
        <f>IF(A2467="","",IF(AND(E2467&gt;=4,F2467&gt;=4,G2467&gt;=4),"Juara",IF(AND(F2467&gt;=4,E2467&gt;=3),"Setia",IF(AND(E2467=5,F2467&lt;=2,G2467&gt;=3),"Berpotensi",IF(AND(E2467&lt;=3,E2467&gt;=2,F2467&gt;=3),"Rawan",IF(AND(E2467&lt;=2,F2467&lt;=2),"Tidur","Umum"))))))</f>
        <v/>
      </c>
    </row>
    <row r="2468">
      <c r="B2468">
        <f>IF(A2468="","",$B$1-MAXIFS(Donasi!$A$2:$A$20000,Donasi!$B$2:$B$20000,A2468))</f>
        <v/>
      </c>
      <c r="C2468">
        <f>IF(A2468="","",COUNTIF(Donasi!$B$2:$B$20000,A2468))</f>
        <v/>
      </c>
      <c r="D2468">
        <f>IF(A2468="","",SUMIF(Donasi!$B$2:$B$20000,A2468,Donasi!$C$2:$C$20000))</f>
        <v/>
      </c>
      <c r="E2468">
        <f>IF(A2468="","",6-CEILING(PERCENTRANK.INC($B$3:$B$6000,B2468,4)*5+0.000001,1))</f>
        <v/>
      </c>
      <c r="F2468">
        <f>IF(A2468="","",MAX(1,CEILING(PERCENTRANK.INC($C$3:$C$6000,C2468,4)*5+0.000001,1)))</f>
        <v/>
      </c>
      <c r="G2468">
        <f>IF(A2468="","",MAX(1,CEILING(PERCENTRANK.INC($D$3:$D$6000,D2468,4)*5+0.000001,1)))</f>
        <v/>
      </c>
      <c r="H2468">
        <f>IF(A2468="","",E2468&amp;F2468&amp;G2468)</f>
        <v/>
      </c>
      <c r="I2468">
        <f>IF(A2468="","",IF(AND(E2468&gt;=4,F2468&gt;=4,G2468&gt;=4),"Juara",IF(AND(F2468&gt;=4,E2468&gt;=3),"Setia",IF(AND(E2468=5,F2468&lt;=2,G2468&gt;=3),"Berpotensi",IF(AND(E2468&lt;=3,E2468&gt;=2,F2468&gt;=3),"Rawan",IF(AND(E2468&lt;=2,F2468&lt;=2),"Tidur","Umum"))))))</f>
        <v/>
      </c>
    </row>
    <row r="2469">
      <c r="B2469">
        <f>IF(A2469="","",$B$1-MAXIFS(Donasi!$A$2:$A$20000,Donasi!$B$2:$B$20000,A2469))</f>
        <v/>
      </c>
      <c r="C2469">
        <f>IF(A2469="","",COUNTIF(Donasi!$B$2:$B$20000,A2469))</f>
        <v/>
      </c>
      <c r="D2469">
        <f>IF(A2469="","",SUMIF(Donasi!$B$2:$B$20000,A2469,Donasi!$C$2:$C$20000))</f>
        <v/>
      </c>
      <c r="E2469">
        <f>IF(A2469="","",6-CEILING(PERCENTRANK.INC($B$3:$B$6000,B2469,4)*5+0.000001,1))</f>
        <v/>
      </c>
      <c r="F2469">
        <f>IF(A2469="","",MAX(1,CEILING(PERCENTRANK.INC($C$3:$C$6000,C2469,4)*5+0.000001,1)))</f>
        <v/>
      </c>
      <c r="G2469">
        <f>IF(A2469="","",MAX(1,CEILING(PERCENTRANK.INC($D$3:$D$6000,D2469,4)*5+0.000001,1)))</f>
        <v/>
      </c>
      <c r="H2469">
        <f>IF(A2469="","",E2469&amp;F2469&amp;G2469)</f>
        <v/>
      </c>
      <c r="I2469">
        <f>IF(A2469="","",IF(AND(E2469&gt;=4,F2469&gt;=4,G2469&gt;=4),"Juara",IF(AND(F2469&gt;=4,E2469&gt;=3),"Setia",IF(AND(E2469=5,F2469&lt;=2,G2469&gt;=3),"Berpotensi",IF(AND(E2469&lt;=3,E2469&gt;=2,F2469&gt;=3),"Rawan",IF(AND(E2469&lt;=2,F2469&lt;=2),"Tidur","Umum"))))))</f>
        <v/>
      </c>
    </row>
    <row r="2470">
      <c r="B2470">
        <f>IF(A2470="","",$B$1-MAXIFS(Donasi!$A$2:$A$20000,Donasi!$B$2:$B$20000,A2470))</f>
        <v/>
      </c>
      <c r="C2470">
        <f>IF(A2470="","",COUNTIF(Donasi!$B$2:$B$20000,A2470))</f>
        <v/>
      </c>
      <c r="D2470">
        <f>IF(A2470="","",SUMIF(Donasi!$B$2:$B$20000,A2470,Donasi!$C$2:$C$20000))</f>
        <v/>
      </c>
      <c r="E2470">
        <f>IF(A2470="","",6-CEILING(PERCENTRANK.INC($B$3:$B$6000,B2470,4)*5+0.000001,1))</f>
        <v/>
      </c>
      <c r="F2470">
        <f>IF(A2470="","",MAX(1,CEILING(PERCENTRANK.INC($C$3:$C$6000,C2470,4)*5+0.000001,1)))</f>
        <v/>
      </c>
      <c r="G2470">
        <f>IF(A2470="","",MAX(1,CEILING(PERCENTRANK.INC($D$3:$D$6000,D2470,4)*5+0.000001,1)))</f>
        <v/>
      </c>
      <c r="H2470">
        <f>IF(A2470="","",E2470&amp;F2470&amp;G2470)</f>
        <v/>
      </c>
      <c r="I2470">
        <f>IF(A2470="","",IF(AND(E2470&gt;=4,F2470&gt;=4,G2470&gt;=4),"Juara",IF(AND(F2470&gt;=4,E2470&gt;=3),"Setia",IF(AND(E2470=5,F2470&lt;=2,G2470&gt;=3),"Berpotensi",IF(AND(E2470&lt;=3,E2470&gt;=2,F2470&gt;=3),"Rawan",IF(AND(E2470&lt;=2,F2470&lt;=2),"Tidur","Umum"))))))</f>
        <v/>
      </c>
    </row>
    <row r="2471">
      <c r="B2471">
        <f>IF(A2471="","",$B$1-MAXIFS(Donasi!$A$2:$A$20000,Donasi!$B$2:$B$20000,A2471))</f>
        <v/>
      </c>
      <c r="C2471">
        <f>IF(A2471="","",COUNTIF(Donasi!$B$2:$B$20000,A2471))</f>
        <v/>
      </c>
      <c r="D2471">
        <f>IF(A2471="","",SUMIF(Donasi!$B$2:$B$20000,A2471,Donasi!$C$2:$C$20000))</f>
        <v/>
      </c>
      <c r="E2471">
        <f>IF(A2471="","",6-CEILING(PERCENTRANK.INC($B$3:$B$6000,B2471,4)*5+0.000001,1))</f>
        <v/>
      </c>
      <c r="F2471">
        <f>IF(A2471="","",MAX(1,CEILING(PERCENTRANK.INC($C$3:$C$6000,C2471,4)*5+0.000001,1)))</f>
        <v/>
      </c>
      <c r="G2471">
        <f>IF(A2471="","",MAX(1,CEILING(PERCENTRANK.INC($D$3:$D$6000,D2471,4)*5+0.000001,1)))</f>
        <v/>
      </c>
      <c r="H2471">
        <f>IF(A2471="","",E2471&amp;F2471&amp;G2471)</f>
        <v/>
      </c>
      <c r="I2471">
        <f>IF(A2471="","",IF(AND(E2471&gt;=4,F2471&gt;=4,G2471&gt;=4),"Juara",IF(AND(F2471&gt;=4,E2471&gt;=3),"Setia",IF(AND(E2471=5,F2471&lt;=2,G2471&gt;=3),"Berpotensi",IF(AND(E2471&lt;=3,E2471&gt;=2,F2471&gt;=3),"Rawan",IF(AND(E2471&lt;=2,F2471&lt;=2),"Tidur","Umum"))))))</f>
        <v/>
      </c>
    </row>
    <row r="2472">
      <c r="B2472">
        <f>IF(A2472="","",$B$1-MAXIFS(Donasi!$A$2:$A$20000,Donasi!$B$2:$B$20000,A2472))</f>
        <v/>
      </c>
      <c r="C2472">
        <f>IF(A2472="","",COUNTIF(Donasi!$B$2:$B$20000,A2472))</f>
        <v/>
      </c>
      <c r="D2472">
        <f>IF(A2472="","",SUMIF(Donasi!$B$2:$B$20000,A2472,Donasi!$C$2:$C$20000))</f>
        <v/>
      </c>
      <c r="E2472">
        <f>IF(A2472="","",6-CEILING(PERCENTRANK.INC($B$3:$B$6000,B2472,4)*5+0.000001,1))</f>
        <v/>
      </c>
      <c r="F2472">
        <f>IF(A2472="","",MAX(1,CEILING(PERCENTRANK.INC($C$3:$C$6000,C2472,4)*5+0.000001,1)))</f>
        <v/>
      </c>
      <c r="G2472">
        <f>IF(A2472="","",MAX(1,CEILING(PERCENTRANK.INC($D$3:$D$6000,D2472,4)*5+0.000001,1)))</f>
        <v/>
      </c>
      <c r="H2472">
        <f>IF(A2472="","",E2472&amp;F2472&amp;G2472)</f>
        <v/>
      </c>
      <c r="I2472">
        <f>IF(A2472="","",IF(AND(E2472&gt;=4,F2472&gt;=4,G2472&gt;=4),"Juara",IF(AND(F2472&gt;=4,E2472&gt;=3),"Setia",IF(AND(E2472=5,F2472&lt;=2,G2472&gt;=3),"Berpotensi",IF(AND(E2472&lt;=3,E2472&gt;=2,F2472&gt;=3),"Rawan",IF(AND(E2472&lt;=2,F2472&lt;=2),"Tidur","Umum"))))))</f>
        <v/>
      </c>
    </row>
    <row r="2473">
      <c r="B2473">
        <f>IF(A2473="","",$B$1-MAXIFS(Donasi!$A$2:$A$20000,Donasi!$B$2:$B$20000,A2473))</f>
        <v/>
      </c>
      <c r="C2473">
        <f>IF(A2473="","",COUNTIF(Donasi!$B$2:$B$20000,A2473))</f>
        <v/>
      </c>
      <c r="D2473">
        <f>IF(A2473="","",SUMIF(Donasi!$B$2:$B$20000,A2473,Donasi!$C$2:$C$20000))</f>
        <v/>
      </c>
      <c r="E2473">
        <f>IF(A2473="","",6-CEILING(PERCENTRANK.INC($B$3:$B$6000,B2473,4)*5+0.000001,1))</f>
        <v/>
      </c>
      <c r="F2473">
        <f>IF(A2473="","",MAX(1,CEILING(PERCENTRANK.INC($C$3:$C$6000,C2473,4)*5+0.000001,1)))</f>
        <v/>
      </c>
      <c r="G2473">
        <f>IF(A2473="","",MAX(1,CEILING(PERCENTRANK.INC($D$3:$D$6000,D2473,4)*5+0.000001,1)))</f>
        <v/>
      </c>
      <c r="H2473">
        <f>IF(A2473="","",E2473&amp;F2473&amp;G2473)</f>
        <v/>
      </c>
      <c r="I2473">
        <f>IF(A2473="","",IF(AND(E2473&gt;=4,F2473&gt;=4,G2473&gt;=4),"Juara",IF(AND(F2473&gt;=4,E2473&gt;=3),"Setia",IF(AND(E2473=5,F2473&lt;=2,G2473&gt;=3),"Berpotensi",IF(AND(E2473&lt;=3,E2473&gt;=2,F2473&gt;=3),"Rawan",IF(AND(E2473&lt;=2,F2473&lt;=2),"Tidur","Umum"))))))</f>
        <v/>
      </c>
    </row>
    <row r="2474">
      <c r="B2474">
        <f>IF(A2474="","",$B$1-MAXIFS(Donasi!$A$2:$A$20000,Donasi!$B$2:$B$20000,A2474))</f>
        <v/>
      </c>
      <c r="C2474">
        <f>IF(A2474="","",COUNTIF(Donasi!$B$2:$B$20000,A2474))</f>
        <v/>
      </c>
      <c r="D2474">
        <f>IF(A2474="","",SUMIF(Donasi!$B$2:$B$20000,A2474,Donasi!$C$2:$C$20000))</f>
        <v/>
      </c>
      <c r="E2474">
        <f>IF(A2474="","",6-CEILING(PERCENTRANK.INC($B$3:$B$6000,B2474,4)*5+0.000001,1))</f>
        <v/>
      </c>
      <c r="F2474">
        <f>IF(A2474="","",MAX(1,CEILING(PERCENTRANK.INC($C$3:$C$6000,C2474,4)*5+0.000001,1)))</f>
        <v/>
      </c>
      <c r="G2474">
        <f>IF(A2474="","",MAX(1,CEILING(PERCENTRANK.INC($D$3:$D$6000,D2474,4)*5+0.000001,1)))</f>
        <v/>
      </c>
      <c r="H2474">
        <f>IF(A2474="","",E2474&amp;F2474&amp;G2474)</f>
        <v/>
      </c>
      <c r="I2474">
        <f>IF(A2474="","",IF(AND(E2474&gt;=4,F2474&gt;=4,G2474&gt;=4),"Juara",IF(AND(F2474&gt;=4,E2474&gt;=3),"Setia",IF(AND(E2474=5,F2474&lt;=2,G2474&gt;=3),"Berpotensi",IF(AND(E2474&lt;=3,E2474&gt;=2,F2474&gt;=3),"Rawan",IF(AND(E2474&lt;=2,F2474&lt;=2),"Tidur","Umum"))))))</f>
        <v/>
      </c>
    </row>
    <row r="2475">
      <c r="B2475">
        <f>IF(A2475="","",$B$1-MAXIFS(Donasi!$A$2:$A$20000,Donasi!$B$2:$B$20000,A2475))</f>
        <v/>
      </c>
      <c r="C2475">
        <f>IF(A2475="","",COUNTIF(Donasi!$B$2:$B$20000,A2475))</f>
        <v/>
      </c>
      <c r="D2475">
        <f>IF(A2475="","",SUMIF(Donasi!$B$2:$B$20000,A2475,Donasi!$C$2:$C$20000))</f>
        <v/>
      </c>
      <c r="E2475">
        <f>IF(A2475="","",6-CEILING(PERCENTRANK.INC($B$3:$B$6000,B2475,4)*5+0.000001,1))</f>
        <v/>
      </c>
      <c r="F2475">
        <f>IF(A2475="","",MAX(1,CEILING(PERCENTRANK.INC($C$3:$C$6000,C2475,4)*5+0.000001,1)))</f>
        <v/>
      </c>
      <c r="G2475">
        <f>IF(A2475="","",MAX(1,CEILING(PERCENTRANK.INC($D$3:$D$6000,D2475,4)*5+0.000001,1)))</f>
        <v/>
      </c>
      <c r="H2475">
        <f>IF(A2475="","",E2475&amp;F2475&amp;G2475)</f>
        <v/>
      </c>
      <c r="I2475">
        <f>IF(A2475="","",IF(AND(E2475&gt;=4,F2475&gt;=4,G2475&gt;=4),"Juara",IF(AND(F2475&gt;=4,E2475&gt;=3),"Setia",IF(AND(E2475=5,F2475&lt;=2,G2475&gt;=3),"Berpotensi",IF(AND(E2475&lt;=3,E2475&gt;=2,F2475&gt;=3),"Rawan",IF(AND(E2475&lt;=2,F2475&lt;=2),"Tidur","Umum"))))))</f>
        <v/>
      </c>
    </row>
    <row r="2476">
      <c r="B2476">
        <f>IF(A2476="","",$B$1-MAXIFS(Donasi!$A$2:$A$20000,Donasi!$B$2:$B$20000,A2476))</f>
        <v/>
      </c>
      <c r="C2476">
        <f>IF(A2476="","",COUNTIF(Donasi!$B$2:$B$20000,A2476))</f>
        <v/>
      </c>
      <c r="D2476">
        <f>IF(A2476="","",SUMIF(Donasi!$B$2:$B$20000,A2476,Donasi!$C$2:$C$20000))</f>
        <v/>
      </c>
      <c r="E2476">
        <f>IF(A2476="","",6-CEILING(PERCENTRANK.INC($B$3:$B$6000,B2476,4)*5+0.000001,1))</f>
        <v/>
      </c>
      <c r="F2476">
        <f>IF(A2476="","",MAX(1,CEILING(PERCENTRANK.INC($C$3:$C$6000,C2476,4)*5+0.000001,1)))</f>
        <v/>
      </c>
      <c r="G2476">
        <f>IF(A2476="","",MAX(1,CEILING(PERCENTRANK.INC($D$3:$D$6000,D2476,4)*5+0.000001,1)))</f>
        <v/>
      </c>
      <c r="H2476">
        <f>IF(A2476="","",E2476&amp;F2476&amp;G2476)</f>
        <v/>
      </c>
      <c r="I2476">
        <f>IF(A2476="","",IF(AND(E2476&gt;=4,F2476&gt;=4,G2476&gt;=4),"Juara",IF(AND(F2476&gt;=4,E2476&gt;=3),"Setia",IF(AND(E2476=5,F2476&lt;=2,G2476&gt;=3),"Berpotensi",IF(AND(E2476&lt;=3,E2476&gt;=2,F2476&gt;=3),"Rawan",IF(AND(E2476&lt;=2,F2476&lt;=2),"Tidur","Umum"))))))</f>
        <v/>
      </c>
    </row>
    <row r="2477">
      <c r="B2477">
        <f>IF(A2477="","",$B$1-MAXIFS(Donasi!$A$2:$A$20000,Donasi!$B$2:$B$20000,A2477))</f>
        <v/>
      </c>
      <c r="C2477">
        <f>IF(A2477="","",COUNTIF(Donasi!$B$2:$B$20000,A2477))</f>
        <v/>
      </c>
      <c r="D2477">
        <f>IF(A2477="","",SUMIF(Donasi!$B$2:$B$20000,A2477,Donasi!$C$2:$C$20000))</f>
        <v/>
      </c>
      <c r="E2477">
        <f>IF(A2477="","",6-CEILING(PERCENTRANK.INC($B$3:$B$6000,B2477,4)*5+0.000001,1))</f>
        <v/>
      </c>
      <c r="F2477">
        <f>IF(A2477="","",MAX(1,CEILING(PERCENTRANK.INC($C$3:$C$6000,C2477,4)*5+0.000001,1)))</f>
        <v/>
      </c>
      <c r="G2477">
        <f>IF(A2477="","",MAX(1,CEILING(PERCENTRANK.INC($D$3:$D$6000,D2477,4)*5+0.000001,1)))</f>
        <v/>
      </c>
      <c r="H2477">
        <f>IF(A2477="","",E2477&amp;F2477&amp;G2477)</f>
        <v/>
      </c>
      <c r="I2477">
        <f>IF(A2477="","",IF(AND(E2477&gt;=4,F2477&gt;=4,G2477&gt;=4),"Juara",IF(AND(F2477&gt;=4,E2477&gt;=3),"Setia",IF(AND(E2477=5,F2477&lt;=2,G2477&gt;=3),"Berpotensi",IF(AND(E2477&lt;=3,E2477&gt;=2,F2477&gt;=3),"Rawan",IF(AND(E2477&lt;=2,F2477&lt;=2),"Tidur","Umum"))))))</f>
        <v/>
      </c>
    </row>
    <row r="2478">
      <c r="B2478">
        <f>IF(A2478="","",$B$1-MAXIFS(Donasi!$A$2:$A$20000,Donasi!$B$2:$B$20000,A2478))</f>
        <v/>
      </c>
      <c r="C2478">
        <f>IF(A2478="","",COUNTIF(Donasi!$B$2:$B$20000,A2478))</f>
        <v/>
      </c>
      <c r="D2478">
        <f>IF(A2478="","",SUMIF(Donasi!$B$2:$B$20000,A2478,Donasi!$C$2:$C$20000))</f>
        <v/>
      </c>
      <c r="E2478">
        <f>IF(A2478="","",6-CEILING(PERCENTRANK.INC($B$3:$B$6000,B2478,4)*5+0.000001,1))</f>
        <v/>
      </c>
      <c r="F2478">
        <f>IF(A2478="","",MAX(1,CEILING(PERCENTRANK.INC($C$3:$C$6000,C2478,4)*5+0.000001,1)))</f>
        <v/>
      </c>
      <c r="G2478">
        <f>IF(A2478="","",MAX(1,CEILING(PERCENTRANK.INC($D$3:$D$6000,D2478,4)*5+0.000001,1)))</f>
        <v/>
      </c>
      <c r="H2478">
        <f>IF(A2478="","",E2478&amp;F2478&amp;G2478)</f>
        <v/>
      </c>
      <c r="I2478">
        <f>IF(A2478="","",IF(AND(E2478&gt;=4,F2478&gt;=4,G2478&gt;=4),"Juara",IF(AND(F2478&gt;=4,E2478&gt;=3),"Setia",IF(AND(E2478=5,F2478&lt;=2,G2478&gt;=3),"Berpotensi",IF(AND(E2478&lt;=3,E2478&gt;=2,F2478&gt;=3),"Rawan",IF(AND(E2478&lt;=2,F2478&lt;=2),"Tidur","Umum"))))))</f>
        <v/>
      </c>
    </row>
    <row r="2479">
      <c r="B2479">
        <f>IF(A2479="","",$B$1-MAXIFS(Donasi!$A$2:$A$20000,Donasi!$B$2:$B$20000,A2479))</f>
        <v/>
      </c>
      <c r="C2479">
        <f>IF(A2479="","",COUNTIF(Donasi!$B$2:$B$20000,A2479))</f>
        <v/>
      </c>
      <c r="D2479">
        <f>IF(A2479="","",SUMIF(Donasi!$B$2:$B$20000,A2479,Donasi!$C$2:$C$20000))</f>
        <v/>
      </c>
      <c r="E2479">
        <f>IF(A2479="","",6-CEILING(PERCENTRANK.INC($B$3:$B$6000,B2479,4)*5+0.000001,1))</f>
        <v/>
      </c>
      <c r="F2479">
        <f>IF(A2479="","",MAX(1,CEILING(PERCENTRANK.INC($C$3:$C$6000,C2479,4)*5+0.000001,1)))</f>
        <v/>
      </c>
      <c r="G2479">
        <f>IF(A2479="","",MAX(1,CEILING(PERCENTRANK.INC($D$3:$D$6000,D2479,4)*5+0.000001,1)))</f>
        <v/>
      </c>
      <c r="H2479">
        <f>IF(A2479="","",E2479&amp;F2479&amp;G2479)</f>
        <v/>
      </c>
      <c r="I2479">
        <f>IF(A2479="","",IF(AND(E2479&gt;=4,F2479&gt;=4,G2479&gt;=4),"Juara",IF(AND(F2479&gt;=4,E2479&gt;=3),"Setia",IF(AND(E2479=5,F2479&lt;=2,G2479&gt;=3),"Berpotensi",IF(AND(E2479&lt;=3,E2479&gt;=2,F2479&gt;=3),"Rawan",IF(AND(E2479&lt;=2,F2479&lt;=2),"Tidur","Umum"))))))</f>
        <v/>
      </c>
    </row>
    <row r="2480">
      <c r="B2480">
        <f>IF(A2480="","",$B$1-MAXIFS(Donasi!$A$2:$A$20000,Donasi!$B$2:$B$20000,A2480))</f>
        <v/>
      </c>
      <c r="C2480">
        <f>IF(A2480="","",COUNTIF(Donasi!$B$2:$B$20000,A2480))</f>
        <v/>
      </c>
      <c r="D2480">
        <f>IF(A2480="","",SUMIF(Donasi!$B$2:$B$20000,A2480,Donasi!$C$2:$C$20000))</f>
        <v/>
      </c>
      <c r="E2480">
        <f>IF(A2480="","",6-CEILING(PERCENTRANK.INC($B$3:$B$6000,B2480,4)*5+0.000001,1))</f>
        <v/>
      </c>
      <c r="F2480">
        <f>IF(A2480="","",MAX(1,CEILING(PERCENTRANK.INC($C$3:$C$6000,C2480,4)*5+0.000001,1)))</f>
        <v/>
      </c>
      <c r="G2480">
        <f>IF(A2480="","",MAX(1,CEILING(PERCENTRANK.INC($D$3:$D$6000,D2480,4)*5+0.000001,1)))</f>
        <v/>
      </c>
      <c r="H2480">
        <f>IF(A2480="","",E2480&amp;F2480&amp;G2480)</f>
        <v/>
      </c>
      <c r="I2480">
        <f>IF(A2480="","",IF(AND(E2480&gt;=4,F2480&gt;=4,G2480&gt;=4),"Juara",IF(AND(F2480&gt;=4,E2480&gt;=3),"Setia",IF(AND(E2480=5,F2480&lt;=2,G2480&gt;=3),"Berpotensi",IF(AND(E2480&lt;=3,E2480&gt;=2,F2480&gt;=3),"Rawan",IF(AND(E2480&lt;=2,F2480&lt;=2),"Tidur","Umum"))))))</f>
        <v/>
      </c>
    </row>
    <row r="2481">
      <c r="B2481">
        <f>IF(A2481="","",$B$1-MAXIFS(Donasi!$A$2:$A$20000,Donasi!$B$2:$B$20000,A2481))</f>
        <v/>
      </c>
      <c r="C2481">
        <f>IF(A2481="","",COUNTIF(Donasi!$B$2:$B$20000,A2481))</f>
        <v/>
      </c>
      <c r="D2481">
        <f>IF(A2481="","",SUMIF(Donasi!$B$2:$B$20000,A2481,Donasi!$C$2:$C$20000))</f>
        <v/>
      </c>
      <c r="E2481">
        <f>IF(A2481="","",6-CEILING(PERCENTRANK.INC($B$3:$B$6000,B2481,4)*5+0.000001,1))</f>
        <v/>
      </c>
      <c r="F2481">
        <f>IF(A2481="","",MAX(1,CEILING(PERCENTRANK.INC($C$3:$C$6000,C2481,4)*5+0.000001,1)))</f>
        <v/>
      </c>
      <c r="G2481">
        <f>IF(A2481="","",MAX(1,CEILING(PERCENTRANK.INC($D$3:$D$6000,D2481,4)*5+0.000001,1)))</f>
        <v/>
      </c>
      <c r="H2481">
        <f>IF(A2481="","",E2481&amp;F2481&amp;G2481)</f>
        <v/>
      </c>
      <c r="I2481">
        <f>IF(A2481="","",IF(AND(E2481&gt;=4,F2481&gt;=4,G2481&gt;=4),"Juara",IF(AND(F2481&gt;=4,E2481&gt;=3),"Setia",IF(AND(E2481=5,F2481&lt;=2,G2481&gt;=3),"Berpotensi",IF(AND(E2481&lt;=3,E2481&gt;=2,F2481&gt;=3),"Rawan",IF(AND(E2481&lt;=2,F2481&lt;=2),"Tidur","Umum"))))))</f>
        <v/>
      </c>
    </row>
    <row r="2482">
      <c r="B2482">
        <f>IF(A2482="","",$B$1-MAXIFS(Donasi!$A$2:$A$20000,Donasi!$B$2:$B$20000,A2482))</f>
        <v/>
      </c>
      <c r="C2482">
        <f>IF(A2482="","",COUNTIF(Donasi!$B$2:$B$20000,A2482))</f>
        <v/>
      </c>
      <c r="D2482">
        <f>IF(A2482="","",SUMIF(Donasi!$B$2:$B$20000,A2482,Donasi!$C$2:$C$20000))</f>
        <v/>
      </c>
      <c r="E2482">
        <f>IF(A2482="","",6-CEILING(PERCENTRANK.INC($B$3:$B$6000,B2482,4)*5+0.000001,1))</f>
        <v/>
      </c>
      <c r="F2482">
        <f>IF(A2482="","",MAX(1,CEILING(PERCENTRANK.INC($C$3:$C$6000,C2482,4)*5+0.000001,1)))</f>
        <v/>
      </c>
      <c r="G2482">
        <f>IF(A2482="","",MAX(1,CEILING(PERCENTRANK.INC($D$3:$D$6000,D2482,4)*5+0.000001,1)))</f>
        <v/>
      </c>
      <c r="H2482">
        <f>IF(A2482="","",E2482&amp;F2482&amp;G2482)</f>
        <v/>
      </c>
      <c r="I2482">
        <f>IF(A2482="","",IF(AND(E2482&gt;=4,F2482&gt;=4,G2482&gt;=4),"Juara",IF(AND(F2482&gt;=4,E2482&gt;=3),"Setia",IF(AND(E2482=5,F2482&lt;=2,G2482&gt;=3),"Berpotensi",IF(AND(E2482&lt;=3,E2482&gt;=2,F2482&gt;=3),"Rawan",IF(AND(E2482&lt;=2,F2482&lt;=2),"Tidur","Umum"))))))</f>
        <v/>
      </c>
    </row>
    <row r="2483">
      <c r="B2483">
        <f>IF(A2483="","",$B$1-MAXIFS(Donasi!$A$2:$A$20000,Donasi!$B$2:$B$20000,A2483))</f>
        <v/>
      </c>
      <c r="C2483">
        <f>IF(A2483="","",COUNTIF(Donasi!$B$2:$B$20000,A2483))</f>
        <v/>
      </c>
      <c r="D2483">
        <f>IF(A2483="","",SUMIF(Donasi!$B$2:$B$20000,A2483,Donasi!$C$2:$C$20000))</f>
        <v/>
      </c>
      <c r="E2483">
        <f>IF(A2483="","",6-CEILING(PERCENTRANK.INC($B$3:$B$6000,B2483,4)*5+0.000001,1))</f>
        <v/>
      </c>
      <c r="F2483">
        <f>IF(A2483="","",MAX(1,CEILING(PERCENTRANK.INC($C$3:$C$6000,C2483,4)*5+0.000001,1)))</f>
        <v/>
      </c>
      <c r="G2483">
        <f>IF(A2483="","",MAX(1,CEILING(PERCENTRANK.INC($D$3:$D$6000,D2483,4)*5+0.000001,1)))</f>
        <v/>
      </c>
      <c r="H2483">
        <f>IF(A2483="","",E2483&amp;F2483&amp;G2483)</f>
        <v/>
      </c>
      <c r="I2483">
        <f>IF(A2483="","",IF(AND(E2483&gt;=4,F2483&gt;=4,G2483&gt;=4),"Juara",IF(AND(F2483&gt;=4,E2483&gt;=3),"Setia",IF(AND(E2483=5,F2483&lt;=2,G2483&gt;=3),"Berpotensi",IF(AND(E2483&lt;=3,E2483&gt;=2,F2483&gt;=3),"Rawan",IF(AND(E2483&lt;=2,F2483&lt;=2),"Tidur","Umum"))))))</f>
        <v/>
      </c>
    </row>
    <row r="2484">
      <c r="B2484">
        <f>IF(A2484="","",$B$1-MAXIFS(Donasi!$A$2:$A$20000,Donasi!$B$2:$B$20000,A2484))</f>
        <v/>
      </c>
      <c r="C2484">
        <f>IF(A2484="","",COUNTIF(Donasi!$B$2:$B$20000,A2484))</f>
        <v/>
      </c>
      <c r="D2484">
        <f>IF(A2484="","",SUMIF(Donasi!$B$2:$B$20000,A2484,Donasi!$C$2:$C$20000))</f>
        <v/>
      </c>
      <c r="E2484">
        <f>IF(A2484="","",6-CEILING(PERCENTRANK.INC($B$3:$B$6000,B2484,4)*5+0.000001,1))</f>
        <v/>
      </c>
      <c r="F2484">
        <f>IF(A2484="","",MAX(1,CEILING(PERCENTRANK.INC($C$3:$C$6000,C2484,4)*5+0.000001,1)))</f>
        <v/>
      </c>
      <c r="G2484">
        <f>IF(A2484="","",MAX(1,CEILING(PERCENTRANK.INC($D$3:$D$6000,D2484,4)*5+0.000001,1)))</f>
        <v/>
      </c>
      <c r="H2484">
        <f>IF(A2484="","",E2484&amp;F2484&amp;G2484)</f>
        <v/>
      </c>
      <c r="I2484">
        <f>IF(A2484="","",IF(AND(E2484&gt;=4,F2484&gt;=4,G2484&gt;=4),"Juara",IF(AND(F2484&gt;=4,E2484&gt;=3),"Setia",IF(AND(E2484=5,F2484&lt;=2,G2484&gt;=3),"Berpotensi",IF(AND(E2484&lt;=3,E2484&gt;=2,F2484&gt;=3),"Rawan",IF(AND(E2484&lt;=2,F2484&lt;=2),"Tidur","Umum"))))))</f>
        <v/>
      </c>
    </row>
    <row r="2485">
      <c r="B2485">
        <f>IF(A2485="","",$B$1-MAXIFS(Donasi!$A$2:$A$20000,Donasi!$B$2:$B$20000,A2485))</f>
        <v/>
      </c>
      <c r="C2485">
        <f>IF(A2485="","",COUNTIF(Donasi!$B$2:$B$20000,A2485))</f>
        <v/>
      </c>
      <c r="D2485">
        <f>IF(A2485="","",SUMIF(Donasi!$B$2:$B$20000,A2485,Donasi!$C$2:$C$20000))</f>
        <v/>
      </c>
      <c r="E2485">
        <f>IF(A2485="","",6-CEILING(PERCENTRANK.INC($B$3:$B$6000,B2485,4)*5+0.000001,1))</f>
        <v/>
      </c>
      <c r="F2485">
        <f>IF(A2485="","",MAX(1,CEILING(PERCENTRANK.INC($C$3:$C$6000,C2485,4)*5+0.000001,1)))</f>
        <v/>
      </c>
      <c r="G2485">
        <f>IF(A2485="","",MAX(1,CEILING(PERCENTRANK.INC($D$3:$D$6000,D2485,4)*5+0.000001,1)))</f>
        <v/>
      </c>
      <c r="H2485">
        <f>IF(A2485="","",E2485&amp;F2485&amp;G2485)</f>
        <v/>
      </c>
      <c r="I2485">
        <f>IF(A2485="","",IF(AND(E2485&gt;=4,F2485&gt;=4,G2485&gt;=4),"Juara",IF(AND(F2485&gt;=4,E2485&gt;=3),"Setia",IF(AND(E2485=5,F2485&lt;=2,G2485&gt;=3),"Berpotensi",IF(AND(E2485&lt;=3,E2485&gt;=2,F2485&gt;=3),"Rawan",IF(AND(E2485&lt;=2,F2485&lt;=2),"Tidur","Umum"))))))</f>
        <v/>
      </c>
    </row>
    <row r="2486">
      <c r="B2486">
        <f>IF(A2486="","",$B$1-MAXIFS(Donasi!$A$2:$A$20000,Donasi!$B$2:$B$20000,A2486))</f>
        <v/>
      </c>
      <c r="C2486">
        <f>IF(A2486="","",COUNTIF(Donasi!$B$2:$B$20000,A2486))</f>
        <v/>
      </c>
      <c r="D2486">
        <f>IF(A2486="","",SUMIF(Donasi!$B$2:$B$20000,A2486,Donasi!$C$2:$C$20000))</f>
        <v/>
      </c>
      <c r="E2486">
        <f>IF(A2486="","",6-CEILING(PERCENTRANK.INC($B$3:$B$6000,B2486,4)*5+0.000001,1))</f>
        <v/>
      </c>
      <c r="F2486">
        <f>IF(A2486="","",MAX(1,CEILING(PERCENTRANK.INC($C$3:$C$6000,C2486,4)*5+0.000001,1)))</f>
        <v/>
      </c>
      <c r="G2486">
        <f>IF(A2486="","",MAX(1,CEILING(PERCENTRANK.INC($D$3:$D$6000,D2486,4)*5+0.000001,1)))</f>
        <v/>
      </c>
      <c r="H2486">
        <f>IF(A2486="","",E2486&amp;F2486&amp;G2486)</f>
        <v/>
      </c>
      <c r="I2486">
        <f>IF(A2486="","",IF(AND(E2486&gt;=4,F2486&gt;=4,G2486&gt;=4),"Juara",IF(AND(F2486&gt;=4,E2486&gt;=3),"Setia",IF(AND(E2486=5,F2486&lt;=2,G2486&gt;=3),"Berpotensi",IF(AND(E2486&lt;=3,E2486&gt;=2,F2486&gt;=3),"Rawan",IF(AND(E2486&lt;=2,F2486&lt;=2),"Tidur","Umum"))))))</f>
        <v/>
      </c>
    </row>
    <row r="2487">
      <c r="B2487">
        <f>IF(A2487="","",$B$1-MAXIFS(Donasi!$A$2:$A$20000,Donasi!$B$2:$B$20000,A2487))</f>
        <v/>
      </c>
      <c r="C2487">
        <f>IF(A2487="","",COUNTIF(Donasi!$B$2:$B$20000,A2487))</f>
        <v/>
      </c>
      <c r="D2487">
        <f>IF(A2487="","",SUMIF(Donasi!$B$2:$B$20000,A2487,Donasi!$C$2:$C$20000))</f>
        <v/>
      </c>
      <c r="E2487">
        <f>IF(A2487="","",6-CEILING(PERCENTRANK.INC($B$3:$B$6000,B2487,4)*5+0.000001,1))</f>
        <v/>
      </c>
      <c r="F2487">
        <f>IF(A2487="","",MAX(1,CEILING(PERCENTRANK.INC($C$3:$C$6000,C2487,4)*5+0.000001,1)))</f>
        <v/>
      </c>
      <c r="G2487">
        <f>IF(A2487="","",MAX(1,CEILING(PERCENTRANK.INC($D$3:$D$6000,D2487,4)*5+0.000001,1)))</f>
        <v/>
      </c>
      <c r="H2487">
        <f>IF(A2487="","",E2487&amp;F2487&amp;G2487)</f>
        <v/>
      </c>
      <c r="I2487">
        <f>IF(A2487="","",IF(AND(E2487&gt;=4,F2487&gt;=4,G2487&gt;=4),"Juara",IF(AND(F2487&gt;=4,E2487&gt;=3),"Setia",IF(AND(E2487=5,F2487&lt;=2,G2487&gt;=3),"Berpotensi",IF(AND(E2487&lt;=3,E2487&gt;=2,F2487&gt;=3),"Rawan",IF(AND(E2487&lt;=2,F2487&lt;=2),"Tidur","Umum"))))))</f>
        <v/>
      </c>
    </row>
    <row r="2488">
      <c r="B2488">
        <f>IF(A2488="","",$B$1-MAXIFS(Donasi!$A$2:$A$20000,Donasi!$B$2:$B$20000,A2488))</f>
        <v/>
      </c>
      <c r="C2488">
        <f>IF(A2488="","",COUNTIF(Donasi!$B$2:$B$20000,A2488))</f>
        <v/>
      </c>
      <c r="D2488">
        <f>IF(A2488="","",SUMIF(Donasi!$B$2:$B$20000,A2488,Donasi!$C$2:$C$20000))</f>
        <v/>
      </c>
      <c r="E2488">
        <f>IF(A2488="","",6-CEILING(PERCENTRANK.INC($B$3:$B$6000,B2488,4)*5+0.000001,1))</f>
        <v/>
      </c>
      <c r="F2488">
        <f>IF(A2488="","",MAX(1,CEILING(PERCENTRANK.INC($C$3:$C$6000,C2488,4)*5+0.000001,1)))</f>
        <v/>
      </c>
      <c r="G2488">
        <f>IF(A2488="","",MAX(1,CEILING(PERCENTRANK.INC($D$3:$D$6000,D2488,4)*5+0.000001,1)))</f>
        <v/>
      </c>
      <c r="H2488">
        <f>IF(A2488="","",E2488&amp;F2488&amp;G2488)</f>
        <v/>
      </c>
      <c r="I2488">
        <f>IF(A2488="","",IF(AND(E2488&gt;=4,F2488&gt;=4,G2488&gt;=4),"Juara",IF(AND(F2488&gt;=4,E2488&gt;=3),"Setia",IF(AND(E2488=5,F2488&lt;=2,G2488&gt;=3),"Berpotensi",IF(AND(E2488&lt;=3,E2488&gt;=2,F2488&gt;=3),"Rawan",IF(AND(E2488&lt;=2,F2488&lt;=2),"Tidur","Umum"))))))</f>
        <v/>
      </c>
    </row>
    <row r="2489">
      <c r="B2489">
        <f>IF(A2489="","",$B$1-MAXIFS(Donasi!$A$2:$A$20000,Donasi!$B$2:$B$20000,A2489))</f>
        <v/>
      </c>
      <c r="C2489">
        <f>IF(A2489="","",COUNTIF(Donasi!$B$2:$B$20000,A2489))</f>
        <v/>
      </c>
      <c r="D2489">
        <f>IF(A2489="","",SUMIF(Donasi!$B$2:$B$20000,A2489,Donasi!$C$2:$C$20000))</f>
        <v/>
      </c>
      <c r="E2489">
        <f>IF(A2489="","",6-CEILING(PERCENTRANK.INC($B$3:$B$6000,B2489,4)*5+0.000001,1))</f>
        <v/>
      </c>
      <c r="F2489">
        <f>IF(A2489="","",MAX(1,CEILING(PERCENTRANK.INC($C$3:$C$6000,C2489,4)*5+0.000001,1)))</f>
        <v/>
      </c>
      <c r="G2489">
        <f>IF(A2489="","",MAX(1,CEILING(PERCENTRANK.INC($D$3:$D$6000,D2489,4)*5+0.000001,1)))</f>
        <v/>
      </c>
      <c r="H2489">
        <f>IF(A2489="","",E2489&amp;F2489&amp;G2489)</f>
        <v/>
      </c>
      <c r="I2489">
        <f>IF(A2489="","",IF(AND(E2489&gt;=4,F2489&gt;=4,G2489&gt;=4),"Juara",IF(AND(F2489&gt;=4,E2489&gt;=3),"Setia",IF(AND(E2489=5,F2489&lt;=2,G2489&gt;=3),"Berpotensi",IF(AND(E2489&lt;=3,E2489&gt;=2,F2489&gt;=3),"Rawan",IF(AND(E2489&lt;=2,F2489&lt;=2),"Tidur","Umum"))))))</f>
        <v/>
      </c>
    </row>
    <row r="2490">
      <c r="B2490">
        <f>IF(A2490="","",$B$1-MAXIFS(Donasi!$A$2:$A$20000,Donasi!$B$2:$B$20000,A2490))</f>
        <v/>
      </c>
      <c r="C2490">
        <f>IF(A2490="","",COUNTIF(Donasi!$B$2:$B$20000,A2490))</f>
        <v/>
      </c>
      <c r="D2490">
        <f>IF(A2490="","",SUMIF(Donasi!$B$2:$B$20000,A2490,Donasi!$C$2:$C$20000))</f>
        <v/>
      </c>
      <c r="E2490">
        <f>IF(A2490="","",6-CEILING(PERCENTRANK.INC($B$3:$B$6000,B2490,4)*5+0.000001,1))</f>
        <v/>
      </c>
      <c r="F2490">
        <f>IF(A2490="","",MAX(1,CEILING(PERCENTRANK.INC($C$3:$C$6000,C2490,4)*5+0.000001,1)))</f>
        <v/>
      </c>
      <c r="G2490">
        <f>IF(A2490="","",MAX(1,CEILING(PERCENTRANK.INC($D$3:$D$6000,D2490,4)*5+0.000001,1)))</f>
        <v/>
      </c>
      <c r="H2490">
        <f>IF(A2490="","",E2490&amp;F2490&amp;G2490)</f>
        <v/>
      </c>
      <c r="I2490">
        <f>IF(A2490="","",IF(AND(E2490&gt;=4,F2490&gt;=4,G2490&gt;=4),"Juara",IF(AND(F2490&gt;=4,E2490&gt;=3),"Setia",IF(AND(E2490=5,F2490&lt;=2,G2490&gt;=3),"Berpotensi",IF(AND(E2490&lt;=3,E2490&gt;=2,F2490&gt;=3),"Rawan",IF(AND(E2490&lt;=2,F2490&lt;=2),"Tidur","Umum"))))))</f>
        <v/>
      </c>
    </row>
    <row r="2491">
      <c r="B2491">
        <f>IF(A2491="","",$B$1-MAXIFS(Donasi!$A$2:$A$20000,Donasi!$B$2:$B$20000,A2491))</f>
        <v/>
      </c>
      <c r="C2491">
        <f>IF(A2491="","",COUNTIF(Donasi!$B$2:$B$20000,A2491))</f>
        <v/>
      </c>
      <c r="D2491">
        <f>IF(A2491="","",SUMIF(Donasi!$B$2:$B$20000,A2491,Donasi!$C$2:$C$20000))</f>
        <v/>
      </c>
      <c r="E2491">
        <f>IF(A2491="","",6-CEILING(PERCENTRANK.INC($B$3:$B$6000,B2491,4)*5+0.000001,1))</f>
        <v/>
      </c>
      <c r="F2491">
        <f>IF(A2491="","",MAX(1,CEILING(PERCENTRANK.INC($C$3:$C$6000,C2491,4)*5+0.000001,1)))</f>
        <v/>
      </c>
      <c r="G2491">
        <f>IF(A2491="","",MAX(1,CEILING(PERCENTRANK.INC($D$3:$D$6000,D2491,4)*5+0.000001,1)))</f>
        <v/>
      </c>
      <c r="H2491">
        <f>IF(A2491="","",E2491&amp;F2491&amp;G2491)</f>
        <v/>
      </c>
      <c r="I2491">
        <f>IF(A2491="","",IF(AND(E2491&gt;=4,F2491&gt;=4,G2491&gt;=4),"Juara",IF(AND(F2491&gt;=4,E2491&gt;=3),"Setia",IF(AND(E2491=5,F2491&lt;=2,G2491&gt;=3),"Berpotensi",IF(AND(E2491&lt;=3,E2491&gt;=2,F2491&gt;=3),"Rawan",IF(AND(E2491&lt;=2,F2491&lt;=2),"Tidur","Umum"))))))</f>
        <v/>
      </c>
    </row>
    <row r="2492">
      <c r="B2492">
        <f>IF(A2492="","",$B$1-MAXIFS(Donasi!$A$2:$A$20000,Donasi!$B$2:$B$20000,A2492))</f>
        <v/>
      </c>
      <c r="C2492">
        <f>IF(A2492="","",COUNTIF(Donasi!$B$2:$B$20000,A2492))</f>
        <v/>
      </c>
      <c r="D2492">
        <f>IF(A2492="","",SUMIF(Donasi!$B$2:$B$20000,A2492,Donasi!$C$2:$C$20000))</f>
        <v/>
      </c>
      <c r="E2492">
        <f>IF(A2492="","",6-CEILING(PERCENTRANK.INC($B$3:$B$6000,B2492,4)*5+0.000001,1))</f>
        <v/>
      </c>
      <c r="F2492">
        <f>IF(A2492="","",MAX(1,CEILING(PERCENTRANK.INC($C$3:$C$6000,C2492,4)*5+0.000001,1)))</f>
        <v/>
      </c>
      <c r="G2492">
        <f>IF(A2492="","",MAX(1,CEILING(PERCENTRANK.INC($D$3:$D$6000,D2492,4)*5+0.000001,1)))</f>
        <v/>
      </c>
      <c r="H2492">
        <f>IF(A2492="","",E2492&amp;F2492&amp;G2492)</f>
        <v/>
      </c>
      <c r="I2492">
        <f>IF(A2492="","",IF(AND(E2492&gt;=4,F2492&gt;=4,G2492&gt;=4),"Juara",IF(AND(F2492&gt;=4,E2492&gt;=3),"Setia",IF(AND(E2492=5,F2492&lt;=2,G2492&gt;=3),"Berpotensi",IF(AND(E2492&lt;=3,E2492&gt;=2,F2492&gt;=3),"Rawan",IF(AND(E2492&lt;=2,F2492&lt;=2),"Tidur","Umum"))))))</f>
        <v/>
      </c>
    </row>
    <row r="2493">
      <c r="B2493">
        <f>IF(A2493="","",$B$1-MAXIFS(Donasi!$A$2:$A$20000,Donasi!$B$2:$B$20000,A2493))</f>
        <v/>
      </c>
      <c r="C2493">
        <f>IF(A2493="","",COUNTIF(Donasi!$B$2:$B$20000,A2493))</f>
        <v/>
      </c>
      <c r="D2493">
        <f>IF(A2493="","",SUMIF(Donasi!$B$2:$B$20000,A2493,Donasi!$C$2:$C$20000))</f>
        <v/>
      </c>
      <c r="E2493">
        <f>IF(A2493="","",6-CEILING(PERCENTRANK.INC($B$3:$B$6000,B2493,4)*5+0.000001,1))</f>
        <v/>
      </c>
      <c r="F2493">
        <f>IF(A2493="","",MAX(1,CEILING(PERCENTRANK.INC($C$3:$C$6000,C2493,4)*5+0.000001,1)))</f>
        <v/>
      </c>
      <c r="G2493">
        <f>IF(A2493="","",MAX(1,CEILING(PERCENTRANK.INC($D$3:$D$6000,D2493,4)*5+0.000001,1)))</f>
        <v/>
      </c>
      <c r="H2493">
        <f>IF(A2493="","",E2493&amp;F2493&amp;G2493)</f>
        <v/>
      </c>
      <c r="I2493">
        <f>IF(A2493="","",IF(AND(E2493&gt;=4,F2493&gt;=4,G2493&gt;=4),"Juara",IF(AND(F2493&gt;=4,E2493&gt;=3),"Setia",IF(AND(E2493=5,F2493&lt;=2,G2493&gt;=3),"Berpotensi",IF(AND(E2493&lt;=3,E2493&gt;=2,F2493&gt;=3),"Rawan",IF(AND(E2493&lt;=2,F2493&lt;=2),"Tidur","Umum"))))))</f>
        <v/>
      </c>
    </row>
    <row r="2494">
      <c r="B2494">
        <f>IF(A2494="","",$B$1-MAXIFS(Donasi!$A$2:$A$20000,Donasi!$B$2:$B$20000,A2494))</f>
        <v/>
      </c>
      <c r="C2494">
        <f>IF(A2494="","",COUNTIF(Donasi!$B$2:$B$20000,A2494))</f>
        <v/>
      </c>
      <c r="D2494">
        <f>IF(A2494="","",SUMIF(Donasi!$B$2:$B$20000,A2494,Donasi!$C$2:$C$20000))</f>
        <v/>
      </c>
      <c r="E2494">
        <f>IF(A2494="","",6-CEILING(PERCENTRANK.INC($B$3:$B$6000,B2494,4)*5+0.000001,1))</f>
        <v/>
      </c>
      <c r="F2494">
        <f>IF(A2494="","",MAX(1,CEILING(PERCENTRANK.INC($C$3:$C$6000,C2494,4)*5+0.000001,1)))</f>
        <v/>
      </c>
      <c r="G2494">
        <f>IF(A2494="","",MAX(1,CEILING(PERCENTRANK.INC($D$3:$D$6000,D2494,4)*5+0.000001,1)))</f>
        <v/>
      </c>
      <c r="H2494">
        <f>IF(A2494="","",E2494&amp;F2494&amp;G2494)</f>
        <v/>
      </c>
      <c r="I2494">
        <f>IF(A2494="","",IF(AND(E2494&gt;=4,F2494&gt;=4,G2494&gt;=4),"Juara",IF(AND(F2494&gt;=4,E2494&gt;=3),"Setia",IF(AND(E2494=5,F2494&lt;=2,G2494&gt;=3),"Berpotensi",IF(AND(E2494&lt;=3,E2494&gt;=2,F2494&gt;=3),"Rawan",IF(AND(E2494&lt;=2,F2494&lt;=2),"Tidur","Umum"))))))</f>
        <v/>
      </c>
    </row>
    <row r="2495">
      <c r="B2495">
        <f>IF(A2495="","",$B$1-MAXIFS(Donasi!$A$2:$A$20000,Donasi!$B$2:$B$20000,A2495))</f>
        <v/>
      </c>
      <c r="C2495">
        <f>IF(A2495="","",COUNTIF(Donasi!$B$2:$B$20000,A2495))</f>
        <v/>
      </c>
      <c r="D2495">
        <f>IF(A2495="","",SUMIF(Donasi!$B$2:$B$20000,A2495,Donasi!$C$2:$C$20000))</f>
        <v/>
      </c>
      <c r="E2495">
        <f>IF(A2495="","",6-CEILING(PERCENTRANK.INC($B$3:$B$6000,B2495,4)*5+0.000001,1))</f>
        <v/>
      </c>
      <c r="F2495">
        <f>IF(A2495="","",MAX(1,CEILING(PERCENTRANK.INC($C$3:$C$6000,C2495,4)*5+0.000001,1)))</f>
        <v/>
      </c>
      <c r="G2495">
        <f>IF(A2495="","",MAX(1,CEILING(PERCENTRANK.INC($D$3:$D$6000,D2495,4)*5+0.000001,1)))</f>
        <v/>
      </c>
      <c r="H2495">
        <f>IF(A2495="","",E2495&amp;F2495&amp;G2495)</f>
        <v/>
      </c>
      <c r="I2495">
        <f>IF(A2495="","",IF(AND(E2495&gt;=4,F2495&gt;=4,G2495&gt;=4),"Juara",IF(AND(F2495&gt;=4,E2495&gt;=3),"Setia",IF(AND(E2495=5,F2495&lt;=2,G2495&gt;=3),"Berpotensi",IF(AND(E2495&lt;=3,E2495&gt;=2,F2495&gt;=3),"Rawan",IF(AND(E2495&lt;=2,F2495&lt;=2),"Tidur","Umum"))))))</f>
        <v/>
      </c>
    </row>
    <row r="2496">
      <c r="B2496">
        <f>IF(A2496="","",$B$1-MAXIFS(Donasi!$A$2:$A$20000,Donasi!$B$2:$B$20000,A2496))</f>
        <v/>
      </c>
      <c r="C2496">
        <f>IF(A2496="","",COUNTIF(Donasi!$B$2:$B$20000,A2496))</f>
        <v/>
      </c>
      <c r="D2496">
        <f>IF(A2496="","",SUMIF(Donasi!$B$2:$B$20000,A2496,Donasi!$C$2:$C$20000))</f>
        <v/>
      </c>
      <c r="E2496">
        <f>IF(A2496="","",6-CEILING(PERCENTRANK.INC($B$3:$B$6000,B2496,4)*5+0.000001,1))</f>
        <v/>
      </c>
      <c r="F2496">
        <f>IF(A2496="","",MAX(1,CEILING(PERCENTRANK.INC($C$3:$C$6000,C2496,4)*5+0.000001,1)))</f>
        <v/>
      </c>
      <c r="G2496">
        <f>IF(A2496="","",MAX(1,CEILING(PERCENTRANK.INC($D$3:$D$6000,D2496,4)*5+0.000001,1)))</f>
        <v/>
      </c>
      <c r="H2496">
        <f>IF(A2496="","",E2496&amp;F2496&amp;G2496)</f>
        <v/>
      </c>
      <c r="I2496">
        <f>IF(A2496="","",IF(AND(E2496&gt;=4,F2496&gt;=4,G2496&gt;=4),"Juara",IF(AND(F2496&gt;=4,E2496&gt;=3),"Setia",IF(AND(E2496=5,F2496&lt;=2,G2496&gt;=3),"Berpotensi",IF(AND(E2496&lt;=3,E2496&gt;=2,F2496&gt;=3),"Rawan",IF(AND(E2496&lt;=2,F2496&lt;=2),"Tidur","Umum"))))))</f>
        <v/>
      </c>
    </row>
    <row r="2497">
      <c r="B2497">
        <f>IF(A2497="","",$B$1-MAXIFS(Donasi!$A$2:$A$20000,Donasi!$B$2:$B$20000,A2497))</f>
        <v/>
      </c>
      <c r="C2497">
        <f>IF(A2497="","",COUNTIF(Donasi!$B$2:$B$20000,A2497))</f>
        <v/>
      </c>
      <c r="D2497">
        <f>IF(A2497="","",SUMIF(Donasi!$B$2:$B$20000,A2497,Donasi!$C$2:$C$20000))</f>
        <v/>
      </c>
      <c r="E2497">
        <f>IF(A2497="","",6-CEILING(PERCENTRANK.INC($B$3:$B$6000,B2497,4)*5+0.000001,1))</f>
        <v/>
      </c>
      <c r="F2497">
        <f>IF(A2497="","",MAX(1,CEILING(PERCENTRANK.INC($C$3:$C$6000,C2497,4)*5+0.000001,1)))</f>
        <v/>
      </c>
      <c r="G2497">
        <f>IF(A2497="","",MAX(1,CEILING(PERCENTRANK.INC($D$3:$D$6000,D2497,4)*5+0.000001,1)))</f>
        <v/>
      </c>
      <c r="H2497">
        <f>IF(A2497="","",E2497&amp;F2497&amp;G2497)</f>
        <v/>
      </c>
      <c r="I2497">
        <f>IF(A2497="","",IF(AND(E2497&gt;=4,F2497&gt;=4,G2497&gt;=4),"Juara",IF(AND(F2497&gt;=4,E2497&gt;=3),"Setia",IF(AND(E2497=5,F2497&lt;=2,G2497&gt;=3),"Berpotensi",IF(AND(E2497&lt;=3,E2497&gt;=2,F2497&gt;=3),"Rawan",IF(AND(E2497&lt;=2,F2497&lt;=2),"Tidur","Umum"))))))</f>
        <v/>
      </c>
    </row>
    <row r="2498">
      <c r="B2498">
        <f>IF(A2498="","",$B$1-MAXIFS(Donasi!$A$2:$A$20000,Donasi!$B$2:$B$20000,A2498))</f>
        <v/>
      </c>
      <c r="C2498">
        <f>IF(A2498="","",COUNTIF(Donasi!$B$2:$B$20000,A2498))</f>
        <v/>
      </c>
      <c r="D2498">
        <f>IF(A2498="","",SUMIF(Donasi!$B$2:$B$20000,A2498,Donasi!$C$2:$C$20000))</f>
        <v/>
      </c>
      <c r="E2498">
        <f>IF(A2498="","",6-CEILING(PERCENTRANK.INC($B$3:$B$6000,B2498,4)*5+0.000001,1))</f>
        <v/>
      </c>
      <c r="F2498">
        <f>IF(A2498="","",MAX(1,CEILING(PERCENTRANK.INC($C$3:$C$6000,C2498,4)*5+0.000001,1)))</f>
        <v/>
      </c>
      <c r="G2498">
        <f>IF(A2498="","",MAX(1,CEILING(PERCENTRANK.INC($D$3:$D$6000,D2498,4)*5+0.000001,1)))</f>
        <v/>
      </c>
      <c r="H2498">
        <f>IF(A2498="","",E2498&amp;F2498&amp;G2498)</f>
        <v/>
      </c>
      <c r="I2498">
        <f>IF(A2498="","",IF(AND(E2498&gt;=4,F2498&gt;=4,G2498&gt;=4),"Juara",IF(AND(F2498&gt;=4,E2498&gt;=3),"Setia",IF(AND(E2498=5,F2498&lt;=2,G2498&gt;=3),"Berpotensi",IF(AND(E2498&lt;=3,E2498&gt;=2,F2498&gt;=3),"Rawan",IF(AND(E2498&lt;=2,F2498&lt;=2),"Tidur","Umum"))))))</f>
        <v/>
      </c>
    </row>
    <row r="2499">
      <c r="B2499">
        <f>IF(A2499="","",$B$1-MAXIFS(Donasi!$A$2:$A$20000,Donasi!$B$2:$B$20000,A2499))</f>
        <v/>
      </c>
      <c r="C2499">
        <f>IF(A2499="","",COUNTIF(Donasi!$B$2:$B$20000,A2499))</f>
        <v/>
      </c>
      <c r="D2499">
        <f>IF(A2499="","",SUMIF(Donasi!$B$2:$B$20000,A2499,Donasi!$C$2:$C$20000))</f>
        <v/>
      </c>
      <c r="E2499">
        <f>IF(A2499="","",6-CEILING(PERCENTRANK.INC($B$3:$B$6000,B2499,4)*5+0.000001,1))</f>
        <v/>
      </c>
      <c r="F2499">
        <f>IF(A2499="","",MAX(1,CEILING(PERCENTRANK.INC($C$3:$C$6000,C2499,4)*5+0.000001,1)))</f>
        <v/>
      </c>
      <c r="G2499">
        <f>IF(A2499="","",MAX(1,CEILING(PERCENTRANK.INC($D$3:$D$6000,D2499,4)*5+0.000001,1)))</f>
        <v/>
      </c>
      <c r="H2499">
        <f>IF(A2499="","",E2499&amp;F2499&amp;G2499)</f>
        <v/>
      </c>
      <c r="I2499">
        <f>IF(A2499="","",IF(AND(E2499&gt;=4,F2499&gt;=4,G2499&gt;=4),"Juara",IF(AND(F2499&gt;=4,E2499&gt;=3),"Setia",IF(AND(E2499=5,F2499&lt;=2,G2499&gt;=3),"Berpotensi",IF(AND(E2499&lt;=3,E2499&gt;=2,F2499&gt;=3),"Rawan",IF(AND(E2499&lt;=2,F2499&lt;=2),"Tidur","Umum"))))))</f>
        <v/>
      </c>
    </row>
    <row r="2500">
      <c r="B2500">
        <f>IF(A2500="","",$B$1-MAXIFS(Donasi!$A$2:$A$20000,Donasi!$B$2:$B$20000,A2500))</f>
        <v/>
      </c>
      <c r="C2500">
        <f>IF(A2500="","",COUNTIF(Donasi!$B$2:$B$20000,A2500))</f>
        <v/>
      </c>
      <c r="D2500">
        <f>IF(A2500="","",SUMIF(Donasi!$B$2:$B$20000,A2500,Donasi!$C$2:$C$20000))</f>
        <v/>
      </c>
      <c r="E2500">
        <f>IF(A2500="","",6-CEILING(PERCENTRANK.INC($B$3:$B$6000,B2500,4)*5+0.000001,1))</f>
        <v/>
      </c>
      <c r="F2500">
        <f>IF(A2500="","",MAX(1,CEILING(PERCENTRANK.INC($C$3:$C$6000,C2500,4)*5+0.000001,1)))</f>
        <v/>
      </c>
      <c r="G2500">
        <f>IF(A2500="","",MAX(1,CEILING(PERCENTRANK.INC($D$3:$D$6000,D2500,4)*5+0.000001,1)))</f>
        <v/>
      </c>
      <c r="H2500">
        <f>IF(A2500="","",E2500&amp;F2500&amp;G2500)</f>
        <v/>
      </c>
      <c r="I2500">
        <f>IF(A2500="","",IF(AND(E2500&gt;=4,F2500&gt;=4,G2500&gt;=4),"Juara",IF(AND(F2500&gt;=4,E2500&gt;=3),"Setia",IF(AND(E2500=5,F2500&lt;=2,G2500&gt;=3),"Berpotensi",IF(AND(E2500&lt;=3,E2500&gt;=2,F2500&gt;=3),"Rawan",IF(AND(E2500&lt;=2,F2500&lt;=2),"Tidur","Umum"))))))</f>
        <v/>
      </c>
    </row>
    <row r="2501">
      <c r="B2501">
        <f>IF(A2501="","",$B$1-MAXIFS(Donasi!$A$2:$A$20000,Donasi!$B$2:$B$20000,A2501))</f>
        <v/>
      </c>
      <c r="C2501">
        <f>IF(A2501="","",COUNTIF(Donasi!$B$2:$B$20000,A2501))</f>
        <v/>
      </c>
      <c r="D2501">
        <f>IF(A2501="","",SUMIF(Donasi!$B$2:$B$20000,A2501,Donasi!$C$2:$C$20000))</f>
        <v/>
      </c>
      <c r="E2501">
        <f>IF(A2501="","",6-CEILING(PERCENTRANK.INC($B$3:$B$6000,B2501,4)*5+0.000001,1))</f>
        <v/>
      </c>
      <c r="F2501">
        <f>IF(A2501="","",MAX(1,CEILING(PERCENTRANK.INC($C$3:$C$6000,C2501,4)*5+0.000001,1)))</f>
        <v/>
      </c>
      <c r="G2501">
        <f>IF(A2501="","",MAX(1,CEILING(PERCENTRANK.INC($D$3:$D$6000,D2501,4)*5+0.000001,1)))</f>
        <v/>
      </c>
      <c r="H2501">
        <f>IF(A2501="","",E2501&amp;F2501&amp;G2501)</f>
        <v/>
      </c>
      <c r="I2501">
        <f>IF(A2501="","",IF(AND(E2501&gt;=4,F2501&gt;=4,G2501&gt;=4),"Juara",IF(AND(F2501&gt;=4,E2501&gt;=3),"Setia",IF(AND(E2501=5,F2501&lt;=2,G2501&gt;=3),"Berpotensi",IF(AND(E2501&lt;=3,E2501&gt;=2,F2501&gt;=3),"Rawan",IF(AND(E2501&lt;=2,F2501&lt;=2),"Tidur","Umum"))))))</f>
        <v/>
      </c>
    </row>
    <row r="2502">
      <c r="B2502">
        <f>IF(A2502="","",$B$1-MAXIFS(Donasi!$A$2:$A$20000,Donasi!$B$2:$B$20000,A2502))</f>
        <v/>
      </c>
      <c r="C2502">
        <f>IF(A2502="","",COUNTIF(Donasi!$B$2:$B$20000,A2502))</f>
        <v/>
      </c>
      <c r="D2502">
        <f>IF(A2502="","",SUMIF(Donasi!$B$2:$B$20000,A2502,Donasi!$C$2:$C$20000))</f>
        <v/>
      </c>
      <c r="E2502">
        <f>IF(A2502="","",6-CEILING(PERCENTRANK.INC($B$3:$B$6000,B2502,4)*5+0.000001,1))</f>
        <v/>
      </c>
      <c r="F2502">
        <f>IF(A2502="","",MAX(1,CEILING(PERCENTRANK.INC($C$3:$C$6000,C2502,4)*5+0.000001,1)))</f>
        <v/>
      </c>
      <c r="G2502">
        <f>IF(A2502="","",MAX(1,CEILING(PERCENTRANK.INC($D$3:$D$6000,D2502,4)*5+0.000001,1)))</f>
        <v/>
      </c>
      <c r="H2502">
        <f>IF(A2502="","",E2502&amp;F2502&amp;G2502)</f>
        <v/>
      </c>
      <c r="I2502">
        <f>IF(A2502="","",IF(AND(E2502&gt;=4,F2502&gt;=4,G2502&gt;=4),"Juara",IF(AND(F2502&gt;=4,E2502&gt;=3),"Setia",IF(AND(E2502=5,F2502&lt;=2,G2502&gt;=3),"Berpotensi",IF(AND(E2502&lt;=3,E2502&gt;=2,F2502&gt;=3),"Rawan",IF(AND(E2502&lt;=2,F2502&lt;=2),"Tidur","Umum"))))))</f>
        <v/>
      </c>
    </row>
    <row r="2503">
      <c r="B2503">
        <f>IF(A2503="","",$B$1-MAXIFS(Donasi!$A$2:$A$20000,Donasi!$B$2:$B$20000,A2503))</f>
        <v/>
      </c>
      <c r="C2503">
        <f>IF(A2503="","",COUNTIF(Donasi!$B$2:$B$20000,A2503))</f>
        <v/>
      </c>
      <c r="D2503">
        <f>IF(A2503="","",SUMIF(Donasi!$B$2:$B$20000,A2503,Donasi!$C$2:$C$20000))</f>
        <v/>
      </c>
      <c r="E2503">
        <f>IF(A2503="","",6-CEILING(PERCENTRANK.INC($B$3:$B$6000,B2503,4)*5+0.000001,1))</f>
        <v/>
      </c>
      <c r="F2503">
        <f>IF(A2503="","",MAX(1,CEILING(PERCENTRANK.INC($C$3:$C$6000,C2503,4)*5+0.000001,1)))</f>
        <v/>
      </c>
      <c r="G2503">
        <f>IF(A2503="","",MAX(1,CEILING(PERCENTRANK.INC($D$3:$D$6000,D2503,4)*5+0.000001,1)))</f>
        <v/>
      </c>
      <c r="H2503">
        <f>IF(A2503="","",E2503&amp;F2503&amp;G2503)</f>
        <v/>
      </c>
      <c r="I2503">
        <f>IF(A2503="","",IF(AND(E2503&gt;=4,F2503&gt;=4,G2503&gt;=4),"Juara",IF(AND(F2503&gt;=4,E2503&gt;=3),"Setia",IF(AND(E2503=5,F2503&lt;=2,G2503&gt;=3),"Berpotensi",IF(AND(E2503&lt;=3,E2503&gt;=2,F2503&gt;=3),"Rawan",IF(AND(E2503&lt;=2,F2503&lt;=2),"Tidur","Umum"))))))</f>
        <v/>
      </c>
    </row>
    <row r="2504">
      <c r="B2504">
        <f>IF(A2504="","",$B$1-MAXIFS(Donasi!$A$2:$A$20000,Donasi!$B$2:$B$20000,A2504))</f>
        <v/>
      </c>
      <c r="C2504">
        <f>IF(A2504="","",COUNTIF(Donasi!$B$2:$B$20000,A2504))</f>
        <v/>
      </c>
      <c r="D2504">
        <f>IF(A2504="","",SUMIF(Donasi!$B$2:$B$20000,A2504,Donasi!$C$2:$C$20000))</f>
        <v/>
      </c>
      <c r="E2504">
        <f>IF(A2504="","",6-CEILING(PERCENTRANK.INC($B$3:$B$6000,B2504,4)*5+0.000001,1))</f>
        <v/>
      </c>
      <c r="F2504">
        <f>IF(A2504="","",MAX(1,CEILING(PERCENTRANK.INC($C$3:$C$6000,C2504,4)*5+0.000001,1)))</f>
        <v/>
      </c>
      <c r="G2504">
        <f>IF(A2504="","",MAX(1,CEILING(PERCENTRANK.INC($D$3:$D$6000,D2504,4)*5+0.000001,1)))</f>
        <v/>
      </c>
      <c r="H2504">
        <f>IF(A2504="","",E2504&amp;F2504&amp;G2504)</f>
        <v/>
      </c>
      <c r="I2504">
        <f>IF(A2504="","",IF(AND(E2504&gt;=4,F2504&gt;=4,G2504&gt;=4),"Juara",IF(AND(F2504&gt;=4,E2504&gt;=3),"Setia",IF(AND(E2504=5,F2504&lt;=2,G2504&gt;=3),"Berpotensi",IF(AND(E2504&lt;=3,E2504&gt;=2,F2504&gt;=3),"Rawan",IF(AND(E2504&lt;=2,F2504&lt;=2),"Tidur","Umum"))))))</f>
        <v/>
      </c>
    </row>
    <row r="2505">
      <c r="B2505">
        <f>IF(A2505="","",$B$1-MAXIFS(Donasi!$A$2:$A$20000,Donasi!$B$2:$B$20000,A2505))</f>
        <v/>
      </c>
      <c r="C2505">
        <f>IF(A2505="","",COUNTIF(Donasi!$B$2:$B$20000,A2505))</f>
        <v/>
      </c>
      <c r="D2505">
        <f>IF(A2505="","",SUMIF(Donasi!$B$2:$B$20000,A2505,Donasi!$C$2:$C$20000))</f>
        <v/>
      </c>
      <c r="E2505">
        <f>IF(A2505="","",6-CEILING(PERCENTRANK.INC($B$3:$B$6000,B2505,4)*5+0.000001,1))</f>
        <v/>
      </c>
      <c r="F2505">
        <f>IF(A2505="","",MAX(1,CEILING(PERCENTRANK.INC($C$3:$C$6000,C2505,4)*5+0.000001,1)))</f>
        <v/>
      </c>
      <c r="G2505">
        <f>IF(A2505="","",MAX(1,CEILING(PERCENTRANK.INC($D$3:$D$6000,D2505,4)*5+0.000001,1)))</f>
        <v/>
      </c>
      <c r="H2505">
        <f>IF(A2505="","",E2505&amp;F2505&amp;G2505)</f>
        <v/>
      </c>
      <c r="I2505">
        <f>IF(A2505="","",IF(AND(E2505&gt;=4,F2505&gt;=4,G2505&gt;=4),"Juara",IF(AND(F2505&gt;=4,E2505&gt;=3),"Setia",IF(AND(E2505=5,F2505&lt;=2,G2505&gt;=3),"Berpotensi",IF(AND(E2505&lt;=3,E2505&gt;=2,F2505&gt;=3),"Rawan",IF(AND(E2505&lt;=2,F2505&lt;=2),"Tidur","Umum"))))))</f>
        <v/>
      </c>
    </row>
    <row r="2506">
      <c r="B2506">
        <f>IF(A2506="","",$B$1-MAXIFS(Donasi!$A$2:$A$20000,Donasi!$B$2:$B$20000,A2506))</f>
        <v/>
      </c>
      <c r="C2506">
        <f>IF(A2506="","",COUNTIF(Donasi!$B$2:$B$20000,A2506))</f>
        <v/>
      </c>
      <c r="D2506">
        <f>IF(A2506="","",SUMIF(Donasi!$B$2:$B$20000,A2506,Donasi!$C$2:$C$20000))</f>
        <v/>
      </c>
      <c r="E2506">
        <f>IF(A2506="","",6-CEILING(PERCENTRANK.INC($B$3:$B$6000,B2506,4)*5+0.000001,1))</f>
        <v/>
      </c>
      <c r="F2506">
        <f>IF(A2506="","",MAX(1,CEILING(PERCENTRANK.INC($C$3:$C$6000,C2506,4)*5+0.000001,1)))</f>
        <v/>
      </c>
      <c r="G2506">
        <f>IF(A2506="","",MAX(1,CEILING(PERCENTRANK.INC($D$3:$D$6000,D2506,4)*5+0.000001,1)))</f>
        <v/>
      </c>
      <c r="H2506">
        <f>IF(A2506="","",E2506&amp;F2506&amp;G2506)</f>
        <v/>
      </c>
      <c r="I2506">
        <f>IF(A2506="","",IF(AND(E2506&gt;=4,F2506&gt;=4,G2506&gt;=4),"Juara",IF(AND(F2506&gt;=4,E2506&gt;=3),"Setia",IF(AND(E2506=5,F2506&lt;=2,G2506&gt;=3),"Berpotensi",IF(AND(E2506&lt;=3,E2506&gt;=2,F2506&gt;=3),"Rawan",IF(AND(E2506&lt;=2,F2506&lt;=2),"Tidur","Umum"))))))</f>
        <v/>
      </c>
    </row>
    <row r="2507">
      <c r="B2507">
        <f>IF(A2507="","",$B$1-MAXIFS(Donasi!$A$2:$A$20000,Donasi!$B$2:$B$20000,A2507))</f>
        <v/>
      </c>
      <c r="C2507">
        <f>IF(A2507="","",COUNTIF(Donasi!$B$2:$B$20000,A2507))</f>
        <v/>
      </c>
      <c r="D2507">
        <f>IF(A2507="","",SUMIF(Donasi!$B$2:$B$20000,A2507,Donasi!$C$2:$C$20000))</f>
        <v/>
      </c>
      <c r="E2507">
        <f>IF(A2507="","",6-CEILING(PERCENTRANK.INC($B$3:$B$6000,B2507,4)*5+0.000001,1))</f>
        <v/>
      </c>
      <c r="F2507">
        <f>IF(A2507="","",MAX(1,CEILING(PERCENTRANK.INC($C$3:$C$6000,C2507,4)*5+0.000001,1)))</f>
        <v/>
      </c>
      <c r="G2507">
        <f>IF(A2507="","",MAX(1,CEILING(PERCENTRANK.INC($D$3:$D$6000,D2507,4)*5+0.000001,1)))</f>
        <v/>
      </c>
      <c r="H2507">
        <f>IF(A2507="","",E2507&amp;F2507&amp;G2507)</f>
        <v/>
      </c>
      <c r="I2507">
        <f>IF(A2507="","",IF(AND(E2507&gt;=4,F2507&gt;=4,G2507&gt;=4),"Juara",IF(AND(F2507&gt;=4,E2507&gt;=3),"Setia",IF(AND(E2507=5,F2507&lt;=2,G2507&gt;=3),"Berpotensi",IF(AND(E2507&lt;=3,E2507&gt;=2,F2507&gt;=3),"Rawan",IF(AND(E2507&lt;=2,F2507&lt;=2),"Tidur","Umum"))))))</f>
        <v/>
      </c>
    </row>
    <row r="2508">
      <c r="B2508">
        <f>IF(A2508="","",$B$1-MAXIFS(Donasi!$A$2:$A$20000,Donasi!$B$2:$B$20000,A2508))</f>
        <v/>
      </c>
      <c r="C2508">
        <f>IF(A2508="","",COUNTIF(Donasi!$B$2:$B$20000,A2508))</f>
        <v/>
      </c>
      <c r="D2508">
        <f>IF(A2508="","",SUMIF(Donasi!$B$2:$B$20000,A2508,Donasi!$C$2:$C$20000))</f>
        <v/>
      </c>
      <c r="E2508">
        <f>IF(A2508="","",6-CEILING(PERCENTRANK.INC($B$3:$B$6000,B2508,4)*5+0.000001,1))</f>
        <v/>
      </c>
      <c r="F2508">
        <f>IF(A2508="","",MAX(1,CEILING(PERCENTRANK.INC($C$3:$C$6000,C2508,4)*5+0.000001,1)))</f>
        <v/>
      </c>
      <c r="G2508">
        <f>IF(A2508="","",MAX(1,CEILING(PERCENTRANK.INC($D$3:$D$6000,D2508,4)*5+0.000001,1)))</f>
        <v/>
      </c>
      <c r="H2508">
        <f>IF(A2508="","",E2508&amp;F2508&amp;G2508)</f>
        <v/>
      </c>
      <c r="I2508">
        <f>IF(A2508="","",IF(AND(E2508&gt;=4,F2508&gt;=4,G2508&gt;=4),"Juara",IF(AND(F2508&gt;=4,E2508&gt;=3),"Setia",IF(AND(E2508=5,F2508&lt;=2,G2508&gt;=3),"Berpotensi",IF(AND(E2508&lt;=3,E2508&gt;=2,F2508&gt;=3),"Rawan",IF(AND(E2508&lt;=2,F2508&lt;=2),"Tidur","Umum"))))))</f>
        <v/>
      </c>
    </row>
    <row r="2509">
      <c r="B2509">
        <f>IF(A2509="","",$B$1-MAXIFS(Donasi!$A$2:$A$20000,Donasi!$B$2:$B$20000,A2509))</f>
        <v/>
      </c>
      <c r="C2509">
        <f>IF(A2509="","",COUNTIF(Donasi!$B$2:$B$20000,A2509))</f>
        <v/>
      </c>
      <c r="D2509">
        <f>IF(A2509="","",SUMIF(Donasi!$B$2:$B$20000,A2509,Donasi!$C$2:$C$20000))</f>
        <v/>
      </c>
      <c r="E2509">
        <f>IF(A2509="","",6-CEILING(PERCENTRANK.INC($B$3:$B$6000,B2509,4)*5+0.000001,1))</f>
        <v/>
      </c>
      <c r="F2509">
        <f>IF(A2509="","",MAX(1,CEILING(PERCENTRANK.INC($C$3:$C$6000,C2509,4)*5+0.000001,1)))</f>
        <v/>
      </c>
      <c r="G2509">
        <f>IF(A2509="","",MAX(1,CEILING(PERCENTRANK.INC($D$3:$D$6000,D2509,4)*5+0.000001,1)))</f>
        <v/>
      </c>
      <c r="H2509">
        <f>IF(A2509="","",E2509&amp;F2509&amp;G2509)</f>
        <v/>
      </c>
      <c r="I2509">
        <f>IF(A2509="","",IF(AND(E2509&gt;=4,F2509&gt;=4,G2509&gt;=4),"Juara",IF(AND(F2509&gt;=4,E2509&gt;=3),"Setia",IF(AND(E2509=5,F2509&lt;=2,G2509&gt;=3),"Berpotensi",IF(AND(E2509&lt;=3,E2509&gt;=2,F2509&gt;=3),"Rawan",IF(AND(E2509&lt;=2,F2509&lt;=2),"Tidur","Umum"))))))</f>
        <v/>
      </c>
    </row>
    <row r="2510">
      <c r="B2510">
        <f>IF(A2510="","",$B$1-MAXIFS(Donasi!$A$2:$A$20000,Donasi!$B$2:$B$20000,A2510))</f>
        <v/>
      </c>
      <c r="C2510">
        <f>IF(A2510="","",COUNTIF(Donasi!$B$2:$B$20000,A2510))</f>
        <v/>
      </c>
      <c r="D2510">
        <f>IF(A2510="","",SUMIF(Donasi!$B$2:$B$20000,A2510,Donasi!$C$2:$C$20000))</f>
        <v/>
      </c>
      <c r="E2510">
        <f>IF(A2510="","",6-CEILING(PERCENTRANK.INC($B$3:$B$6000,B2510,4)*5+0.000001,1))</f>
        <v/>
      </c>
      <c r="F2510">
        <f>IF(A2510="","",MAX(1,CEILING(PERCENTRANK.INC($C$3:$C$6000,C2510,4)*5+0.000001,1)))</f>
        <v/>
      </c>
      <c r="G2510">
        <f>IF(A2510="","",MAX(1,CEILING(PERCENTRANK.INC($D$3:$D$6000,D2510,4)*5+0.000001,1)))</f>
        <v/>
      </c>
      <c r="H2510">
        <f>IF(A2510="","",E2510&amp;F2510&amp;G2510)</f>
        <v/>
      </c>
      <c r="I2510">
        <f>IF(A2510="","",IF(AND(E2510&gt;=4,F2510&gt;=4,G2510&gt;=4),"Juara",IF(AND(F2510&gt;=4,E2510&gt;=3),"Setia",IF(AND(E2510=5,F2510&lt;=2,G2510&gt;=3),"Berpotensi",IF(AND(E2510&lt;=3,E2510&gt;=2,F2510&gt;=3),"Rawan",IF(AND(E2510&lt;=2,F2510&lt;=2),"Tidur","Umum"))))))</f>
        <v/>
      </c>
    </row>
    <row r="2511">
      <c r="B2511">
        <f>IF(A2511="","",$B$1-MAXIFS(Donasi!$A$2:$A$20000,Donasi!$B$2:$B$20000,A2511))</f>
        <v/>
      </c>
      <c r="C2511">
        <f>IF(A2511="","",COUNTIF(Donasi!$B$2:$B$20000,A2511))</f>
        <v/>
      </c>
      <c r="D2511">
        <f>IF(A2511="","",SUMIF(Donasi!$B$2:$B$20000,A2511,Donasi!$C$2:$C$20000))</f>
        <v/>
      </c>
      <c r="E2511">
        <f>IF(A2511="","",6-CEILING(PERCENTRANK.INC($B$3:$B$6000,B2511,4)*5+0.000001,1))</f>
        <v/>
      </c>
      <c r="F2511">
        <f>IF(A2511="","",MAX(1,CEILING(PERCENTRANK.INC($C$3:$C$6000,C2511,4)*5+0.000001,1)))</f>
        <v/>
      </c>
      <c r="G2511">
        <f>IF(A2511="","",MAX(1,CEILING(PERCENTRANK.INC($D$3:$D$6000,D2511,4)*5+0.000001,1)))</f>
        <v/>
      </c>
      <c r="H2511">
        <f>IF(A2511="","",E2511&amp;F2511&amp;G2511)</f>
        <v/>
      </c>
      <c r="I2511">
        <f>IF(A2511="","",IF(AND(E2511&gt;=4,F2511&gt;=4,G2511&gt;=4),"Juara",IF(AND(F2511&gt;=4,E2511&gt;=3),"Setia",IF(AND(E2511=5,F2511&lt;=2,G2511&gt;=3),"Berpotensi",IF(AND(E2511&lt;=3,E2511&gt;=2,F2511&gt;=3),"Rawan",IF(AND(E2511&lt;=2,F2511&lt;=2),"Tidur","Umum"))))))</f>
        <v/>
      </c>
    </row>
    <row r="2512">
      <c r="B2512">
        <f>IF(A2512="","",$B$1-MAXIFS(Donasi!$A$2:$A$20000,Donasi!$B$2:$B$20000,A2512))</f>
        <v/>
      </c>
      <c r="C2512">
        <f>IF(A2512="","",COUNTIF(Donasi!$B$2:$B$20000,A2512))</f>
        <v/>
      </c>
      <c r="D2512">
        <f>IF(A2512="","",SUMIF(Donasi!$B$2:$B$20000,A2512,Donasi!$C$2:$C$20000))</f>
        <v/>
      </c>
      <c r="E2512">
        <f>IF(A2512="","",6-CEILING(PERCENTRANK.INC($B$3:$B$6000,B2512,4)*5+0.000001,1))</f>
        <v/>
      </c>
      <c r="F2512">
        <f>IF(A2512="","",MAX(1,CEILING(PERCENTRANK.INC($C$3:$C$6000,C2512,4)*5+0.000001,1)))</f>
        <v/>
      </c>
      <c r="G2512">
        <f>IF(A2512="","",MAX(1,CEILING(PERCENTRANK.INC($D$3:$D$6000,D2512,4)*5+0.000001,1)))</f>
        <v/>
      </c>
      <c r="H2512">
        <f>IF(A2512="","",E2512&amp;F2512&amp;G2512)</f>
        <v/>
      </c>
      <c r="I2512">
        <f>IF(A2512="","",IF(AND(E2512&gt;=4,F2512&gt;=4,G2512&gt;=4),"Juara",IF(AND(F2512&gt;=4,E2512&gt;=3),"Setia",IF(AND(E2512=5,F2512&lt;=2,G2512&gt;=3),"Berpotensi",IF(AND(E2512&lt;=3,E2512&gt;=2,F2512&gt;=3),"Rawan",IF(AND(E2512&lt;=2,F2512&lt;=2),"Tidur","Umum"))))))</f>
        <v/>
      </c>
    </row>
    <row r="2513">
      <c r="B2513">
        <f>IF(A2513="","",$B$1-MAXIFS(Donasi!$A$2:$A$20000,Donasi!$B$2:$B$20000,A2513))</f>
        <v/>
      </c>
      <c r="C2513">
        <f>IF(A2513="","",COUNTIF(Donasi!$B$2:$B$20000,A2513))</f>
        <v/>
      </c>
      <c r="D2513">
        <f>IF(A2513="","",SUMIF(Donasi!$B$2:$B$20000,A2513,Donasi!$C$2:$C$20000))</f>
        <v/>
      </c>
      <c r="E2513">
        <f>IF(A2513="","",6-CEILING(PERCENTRANK.INC($B$3:$B$6000,B2513,4)*5+0.000001,1))</f>
        <v/>
      </c>
      <c r="F2513">
        <f>IF(A2513="","",MAX(1,CEILING(PERCENTRANK.INC($C$3:$C$6000,C2513,4)*5+0.000001,1)))</f>
        <v/>
      </c>
      <c r="G2513">
        <f>IF(A2513="","",MAX(1,CEILING(PERCENTRANK.INC($D$3:$D$6000,D2513,4)*5+0.000001,1)))</f>
        <v/>
      </c>
      <c r="H2513">
        <f>IF(A2513="","",E2513&amp;F2513&amp;G2513)</f>
        <v/>
      </c>
      <c r="I2513">
        <f>IF(A2513="","",IF(AND(E2513&gt;=4,F2513&gt;=4,G2513&gt;=4),"Juara",IF(AND(F2513&gt;=4,E2513&gt;=3),"Setia",IF(AND(E2513=5,F2513&lt;=2,G2513&gt;=3),"Berpotensi",IF(AND(E2513&lt;=3,E2513&gt;=2,F2513&gt;=3),"Rawan",IF(AND(E2513&lt;=2,F2513&lt;=2),"Tidur","Umum"))))))</f>
        <v/>
      </c>
    </row>
    <row r="2514">
      <c r="B2514">
        <f>IF(A2514="","",$B$1-MAXIFS(Donasi!$A$2:$A$20000,Donasi!$B$2:$B$20000,A2514))</f>
        <v/>
      </c>
      <c r="C2514">
        <f>IF(A2514="","",COUNTIF(Donasi!$B$2:$B$20000,A2514))</f>
        <v/>
      </c>
      <c r="D2514">
        <f>IF(A2514="","",SUMIF(Donasi!$B$2:$B$20000,A2514,Donasi!$C$2:$C$20000))</f>
        <v/>
      </c>
      <c r="E2514">
        <f>IF(A2514="","",6-CEILING(PERCENTRANK.INC($B$3:$B$6000,B2514,4)*5+0.000001,1))</f>
        <v/>
      </c>
      <c r="F2514">
        <f>IF(A2514="","",MAX(1,CEILING(PERCENTRANK.INC($C$3:$C$6000,C2514,4)*5+0.000001,1)))</f>
        <v/>
      </c>
      <c r="G2514">
        <f>IF(A2514="","",MAX(1,CEILING(PERCENTRANK.INC($D$3:$D$6000,D2514,4)*5+0.000001,1)))</f>
        <v/>
      </c>
      <c r="H2514">
        <f>IF(A2514="","",E2514&amp;F2514&amp;G2514)</f>
        <v/>
      </c>
      <c r="I2514">
        <f>IF(A2514="","",IF(AND(E2514&gt;=4,F2514&gt;=4,G2514&gt;=4),"Juara",IF(AND(F2514&gt;=4,E2514&gt;=3),"Setia",IF(AND(E2514=5,F2514&lt;=2,G2514&gt;=3),"Berpotensi",IF(AND(E2514&lt;=3,E2514&gt;=2,F2514&gt;=3),"Rawan",IF(AND(E2514&lt;=2,F2514&lt;=2),"Tidur","Umum"))))))</f>
        <v/>
      </c>
    </row>
    <row r="2515">
      <c r="B2515">
        <f>IF(A2515="","",$B$1-MAXIFS(Donasi!$A$2:$A$20000,Donasi!$B$2:$B$20000,A2515))</f>
        <v/>
      </c>
      <c r="C2515">
        <f>IF(A2515="","",COUNTIF(Donasi!$B$2:$B$20000,A2515))</f>
        <v/>
      </c>
      <c r="D2515">
        <f>IF(A2515="","",SUMIF(Donasi!$B$2:$B$20000,A2515,Donasi!$C$2:$C$20000))</f>
        <v/>
      </c>
      <c r="E2515">
        <f>IF(A2515="","",6-CEILING(PERCENTRANK.INC($B$3:$B$6000,B2515,4)*5+0.000001,1))</f>
        <v/>
      </c>
      <c r="F2515">
        <f>IF(A2515="","",MAX(1,CEILING(PERCENTRANK.INC($C$3:$C$6000,C2515,4)*5+0.000001,1)))</f>
        <v/>
      </c>
      <c r="G2515">
        <f>IF(A2515="","",MAX(1,CEILING(PERCENTRANK.INC($D$3:$D$6000,D2515,4)*5+0.000001,1)))</f>
        <v/>
      </c>
      <c r="H2515">
        <f>IF(A2515="","",E2515&amp;F2515&amp;G2515)</f>
        <v/>
      </c>
      <c r="I2515">
        <f>IF(A2515="","",IF(AND(E2515&gt;=4,F2515&gt;=4,G2515&gt;=4),"Juara",IF(AND(F2515&gt;=4,E2515&gt;=3),"Setia",IF(AND(E2515=5,F2515&lt;=2,G2515&gt;=3),"Berpotensi",IF(AND(E2515&lt;=3,E2515&gt;=2,F2515&gt;=3),"Rawan",IF(AND(E2515&lt;=2,F2515&lt;=2),"Tidur","Umum"))))))</f>
        <v/>
      </c>
    </row>
    <row r="2516">
      <c r="B2516">
        <f>IF(A2516="","",$B$1-MAXIFS(Donasi!$A$2:$A$20000,Donasi!$B$2:$B$20000,A2516))</f>
        <v/>
      </c>
      <c r="C2516">
        <f>IF(A2516="","",COUNTIF(Donasi!$B$2:$B$20000,A2516))</f>
        <v/>
      </c>
      <c r="D2516">
        <f>IF(A2516="","",SUMIF(Donasi!$B$2:$B$20000,A2516,Donasi!$C$2:$C$20000))</f>
        <v/>
      </c>
      <c r="E2516">
        <f>IF(A2516="","",6-CEILING(PERCENTRANK.INC($B$3:$B$6000,B2516,4)*5+0.000001,1))</f>
        <v/>
      </c>
      <c r="F2516">
        <f>IF(A2516="","",MAX(1,CEILING(PERCENTRANK.INC($C$3:$C$6000,C2516,4)*5+0.000001,1)))</f>
        <v/>
      </c>
      <c r="G2516">
        <f>IF(A2516="","",MAX(1,CEILING(PERCENTRANK.INC($D$3:$D$6000,D2516,4)*5+0.000001,1)))</f>
        <v/>
      </c>
      <c r="H2516">
        <f>IF(A2516="","",E2516&amp;F2516&amp;G2516)</f>
        <v/>
      </c>
      <c r="I2516">
        <f>IF(A2516="","",IF(AND(E2516&gt;=4,F2516&gt;=4,G2516&gt;=4),"Juara",IF(AND(F2516&gt;=4,E2516&gt;=3),"Setia",IF(AND(E2516=5,F2516&lt;=2,G2516&gt;=3),"Berpotensi",IF(AND(E2516&lt;=3,E2516&gt;=2,F2516&gt;=3),"Rawan",IF(AND(E2516&lt;=2,F2516&lt;=2),"Tidur","Umum"))))))</f>
        <v/>
      </c>
    </row>
    <row r="2517">
      <c r="B2517">
        <f>IF(A2517="","",$B$1-MAXIFS(Donasi!$A$2:$A$20000,Donasi!$B$2:$B$20000,A2517))</f>
        <v/>
      </c>
      <c r="C2517">
        <f>IF(A2517="","",COUNTIF(Donasi!$B$2:$B$20000,A2517))</f>
        <v/>
      </c>
      <c r="D2517">
        <f>IF(A2517="","",SUMIF(Donasi!$B$2:$B$20000,A2517,Donasi!$C$2:$C$20000))</f>
        <v/>
      </c>
      <c r="E2517">
        <f>IF(A2517="","",6-CEILING(PERCENTRANK.INC($B$3:$B$6000,B2517,4)*5+0.000001,1))</f>
        <v/>
      </c>
      <c r="F2517">
        <f>IF(A2517="","",MAX(1,CEILING(PERCENTRANK.INC($C$3:$C$6000,C2517,4)*5+0.000001,1)))</f>
        <v/>
      </c>
      <c r="G2517">
        <f>IF(A2517="","",MAX(1,CEILING(PERCENTRANK.INC($D$3:$D$6000,D2517,4)*5+0.000001,1)))</f>
        <v/>
      </c>
      <c r="H2517">
        <f>IF(A2517="","",E2517&amp;F2517&amp;G2517)</f>
        <v/>
      </c>
      <c r="I2517">
        <f>IF(A2517="","",IF(AND(E2517&gt;=4,F2517&gt;=4,G2517&gt;=4),"Juara",IF(AND(F2517&gt;=4,E2517&gt;=3),"Setia",IF(AND(E2517=5,F2517&lt;=2,G2517&gt;=3),"Berpotensi",IF(AND(E2517&lt;=3,E2517&gt;=2,F2517&gt;=3),"Rawan",IF(AND(E2517&lt;=2,F2517&lt;=2),"Tidur","Umum"))))))</f>
        <v/>
      </c>
    </row>
    <row r="2518">
      <c r="B2518">
        <f>IF(A2518="","",$B$1-MAXIFS(Donasi!$A$2:$A$20000,Donasi!$B$2:$B$20000,A2518))</f>
        <v/>
      </c>
      <c r="C2518">
        <f>IF(A2518="","",COUNTIF(Donasi!$B$2:$B$20000,A2518))</f>
        <v/>
      </c>
      <c r="D2518">
        <f>IF(A2518="","",SUMIF(Donasi!$B$2:$B$20000,A2518,Donasi!$C$2:$C$20000))</f>
        <v/>
      </c>
      <c r="E2518">
        <f>IF(A2518="","",6-CEILING(PERCENTRANK.INC($B$3:$B$6000,B2518,4)*5+0.000001,1))</f>
        <v/>
      </c>
      <c r="F2518">
        <f>IF(A2518="","",MAX(1,CEILING(PERCENTRANK.INC($C$3:$C$6000,C2518,4)*5+0.000001,1)))</f>
        <v/>
      </c>
      <c r="G2518">
        <f>IF(A2518="","",MAX(1,CEILING(PERCENTRANK.INC($D$3:$D$6000,D2518,4)*5+0.000001,1)))</f>
        <v/>
      </c>
      <c r="H2518">
        <f>IF(A2518="","",E2518&amp;F2518&amp;G2518)</f>
        <v/>
      </c>
      <c r="I2518">
        <f>IF(A2518="","",IF(AND(E2518&gt;=4,F2518&gt;=4,G2518&gt;=4),"Juara",IF(AND(F2518&gt;=4,E2518&gt;=3),"Setia",IF(AND(E2518=5,F2518&lt;=2,G2518&gt;=3),"Berpotensi",IF(AND(E2518&lt;=3,E2518&gt;=2,F2518&gt;=3),"Rawan",IF(AND(E2518&lt;=2,F2518&lt;=2),"Tidur","Umum"))))))</f>
        <v/>
      </c>
    </row>
    <row r="2519">
      <c r="B2519">
        <f>IF(A2519="","",$B$1-MAXIFS(Donasi!$A$2:$A$20000,Donasi!$B$2:$B$20000,A2519))</f>
        <v/>
      </c>
      <c r="C2519">
        <f>IF(A2519="","",COUNTIF(Donasi!$B$2:$B$20000,A2519))</f>
        <v/>
      </c>
      <c r="D2519">
        <f>IF(A2519="","",SUMIF(Donasi!$B$2:$B$20000,A2519,Donasi!$C$2:$C$20000))</f>
        <v/>
      </c>
      <c r="E2519">
        <f>IF(A2519="","",6-CEILING(PERCENTRANK.INC($B$3:$B$6000,B2519,4)*5+0.000001,1))</f>
        <v/>
      </c>
      <c r="F2519">
        <f>IF(A2519="","",MAX(1,CEILING(PERCENTRANK.INC($C$3:$C$6000,C2519,4)*5+0.000001,1)))</f>
        <v/>
      </c>
      <c r="G2519">
        <f>IF(A2519="","",MAX(1,CEILING(PERCENTRANK.INC($D$3:$D$6000,D2519,4)*5+0.000001,1)))</f>
        <v/>
      </c>
      <c r="H2519">
        <f>IF(A2519="","",E2519&amp;F2519&amp;G2519)</f>
        <v/>
      </c>
      <c r="I2519">
        <f>IF(A2519="","",IF(AND(E2519&gt;=4,F2519&gt;=4,G2519&gt;=4),"Juara",IF(AND(F2519&gt;=4,E2519&gt;=3),"Setia",IF(AND(E2519=5,F2519&lt;=2,G2519&gt;=3),"Berpotensi",IF(AND(E2519&lt;=3,E2519&gt;=2,F2519&gt;=3),"Rawan",IF(AND(E2519&lt;=2,F2519&lt;=2),"Tidur","Umum"))))))</f>
        <v/>
      </c>
    </row>
    <row r="2520">
      <c r="B2520">
        <f>IF(A2520="","",$B$1-MAXIFS(Donasi!$A$2:$A$20000,Donasi!$B$2:$B$20000,A2520))</f>
        <v/>
      </c>
      <c r="C2520">
        <f>IF(A2520="","",COUNTIF(Donasi!$B$2:$B$20000,A2520))</f>
        <v/>
      </c>
      <c r="D2520">
        <f>IF(A2520="","",SUMIF(Donasi!$B$2:$B$20000,A2520,Donasi!$C$2:$C$20000))</f>
        <v/>
      </c>
      <c r="E2520">
        <f>IF(A2520="","",6-CEILING(PERCENTRANK.INC($B$3:$B$6000,B2520,4)*5+0.000001,1))</f>
        <v/>
      </c>
      <c r="F2520">
        <f>IF(A2520="","",MAX(1,CEILING(PERCENTRANK.INC($C$3:$C$6000,C2520,4)*5+0.000001,1)))</f>
        <v/>
      </c>
      <c r="G2520">
        <f>IF(A2520="","",MAX(1,CEILING(PERCENTRANK.INC($D$3:$D$6000,D2520,4)*5+0.000001,1)))</f>
        <v/>
      </c>
      <c r="H2520">
        <f>IF(A2520="","",E2520&amp;F2520&amp;G2520)</f>
        <v/>
      </c>
      <c r="I2520">
        <f>IF(A2520="","",IF(AND(E2520&gt;=4,F2520&gt;=4,G2520&gt;=4),"Juara",IF(AND(F2520&gt;=4,E2520&gt;=3),"Setia",IF(AND(E2520=5,F2520&lt;=2,G2520&gt;=3),"Berpotensi",IF(AND(E2520&lt;=3,E2520&gt;=2,F2520&gt;=3),"Rawan",IF(AND(E2520&lt;=2,F2520&lt;=2),"Tidur","Umum"))))))</f>
        <v/>
      </c>
    </row>
    <row r="2521">
      <c r="B2521">
        <f>IF(A2521="","",$B$1-MAXIFS(Donasi!$A$2:$A$20000,Donasi!$B$2:$B$20000,A2521))</f>
        <v/>
      </c>
      <c r="C2521">
        <f>IF(A2521="","",COUNTIF(Donasi!$B$2:$B$20000,A2521))</f>
        <v/>
      </c>
      <c r="D2521">
        <f>IF(A2521="","",SUMIF(Donasi!$B$2:$B$20000,A2521,Donasi!$C$2:$C$20000))</f>
        <v/>
      </c>
      <c r="E2521">
        <f>IF(A2521="","",6-CEILING(PERCENTRANK.INC($B$3:$B$6000,B2521,4)*5+0.000001,1))</f>
        <v/>
      </c>
      <c r="F2521">
        <f>IF(A2521="","",MAX(1,CEILING(PERCENTRANK.INC($C$3:$C$6000,C2521,4)*5+0.000001,1)))</f>
        <v/>
      </c>
      <c r="G2521">
        <f>IF(A2521="","",MAX(1,CEILING(PERCENTRANK.INC($D$3:$D$6000,D2521,4)*5+0.000001,1)))</f>
        <v/>
      </c>
      <c r="H2521">
        <f>IF(A2521="","",E2521&amp;F2521&amp;G2521)</f>
        <v/>
      </c>
      <c r="I2521">
        <f>IF(A2521="","",IF(AND(E2521&gt;=4,F2521&gt;=4,G2521&gt;=4),"Juara",IF(AND(F2521&gt;=4,E2521&gt;=3),"Setia",IF(AND(E2521=5,F2521&lt;=2,G2521&gt;=3),"Berpotensi",IF(AND(E2521&lt;=3,E2521&gt;=2,F2521&gt;=3),"Rawan",IF(AND(E2521&lt;=2,F2521&lt;=2),"Tidur","Umum"))))))</f>
        <v/>
      </c>
    </row>
    <row r="2522">
      <c r="B2522">
        <f>IF(A2522="","",$B$1-MAXIFS(Donasi!$A$2:$A$20000,Donasi!$B$2:$B$20000,A2522))</f>
        <v/>
      </c>
      <c r="C2522">
        <f>IF(A2522="","",COUNTIF(Donasi!$B$2:$B$20000,A2522))</f>
        <v/>
      </c>
      <c r="D2522">
        <f>IF(A2522="","",SUMIF(Donasi!$B$2:$B$20000,A2522,Donasi!$C$2:$C$20000))</f>
        <v/>
      </c>
      <c r="E2522">
        <f>IF(A2522="","",6-CEILING(PERCENTRANK.INC($B$3:$B$6000,B2522,4)*5+0.000001,1))</f>
        <v/>
      </c>
      <c r="F2522">
        <f>IF(A2522="","",MAX(1,CEILING(PERCENTRANK.INC($C$3:$C$6000,C2522,4)*5+0.000001,1)))</f>
        <v/>
      </c>
      <c r="G2522">
        <f>IF(A2522="","",MAX(1,CEILING(PERCENTRANK.INC($D$3:$D$6000,D2522,4)*5+0.000001,1)))</f>
        <v/>
      </c>
      <c r="H2522">
        <f>IF(A2522="","",E2522&amp;F2522&amp;G2522)</f>
        <v/>
      </c>
      <c r="I2522">
        <f>IF(A2522="","",IF(AND(E2522&gt;=4,F2522&gt;=4,G2522&gt;=4),"Juara",IF(AND(F2522&gt;=4,E2522&gt;=3),"Setia",IF(AND(E2522=5,F2522&lt;=2,G2522&gt;=3),"Berpotensi",IF(AND(E2522&lt;=3,E2522&gt;=2,F2522&gt;=3),"Rawan",IF(AND(E2522&lt;=2,F2522&lt;=2),"Tidur","Umum"))))))</f>
        <v/>
      </c>
    </row>
    <row r="2523">
      <c r="B2523">
        <f>IF(A2523="","",$B$1-MAXIFS(Donasi!$A$2:$A$20000,Donasi!$B$2:$B$20000,A2523))</f>
        <v/>
      </c>
      <c r="C2523">
        <f>IF(A2523="","",COUNTIF(Donasi!$B$2:$B$20000,A2523))</f>
        <v/>
      </c>
      <c r="D2523">
        <f>IF(A2523="","",SUMIF(Donasi!$B$2:$B$20000,A2523,Donasi!$C$2:$C$20000))</f>
        <v/>
      </c>
      <c r="E2523">
        <f>IF(A2523="","",6-CEILING(PERCENTRANK.INC($B$3:$B$6000,B2523,4)*5+0.000001,1))</f>
        <v/>
      </c>
      <c r="F2523">
        <f>IF(A2523="","",MAX(1,CEILING(PERCENTRANK.INC($C$3:$C$6000,C2523,4)*5+0.000001,1)))</f>
        <v/>
      </c>
      <c r="G2523">
        <f>IF(A2523="","",MAX(1,CEILING(PERCENTRANK.INC($D$3:$D$6000,D2523,4)*5+0.000001,1)))</f>
        <v/>
      </c>
      <c r="H2523">
        <f>IF(A2523="","",E2523&amp;F2523&amp;G2523)</f>
        <v/>
      </c>
      <c r="I2523">
        <f>IF(A2523="","",IF(AND(E2523&gt;=4,F2523&gt;=4,G2523&gt;=4),"Juara",IF(AND(F2523&gt;=4,E2523&gt;=3),"Setia",IF(AND(E2523=5,F2523&lt;=2,G2523&gt;=3),"Berpotensi",IF(AND(E2523&lt;=3,E2523&gt;=2,F2523&gt;=3),"Rawan",IF(AND(E2523&lt;=2,F2523&lt;=2),"Tidur","Umum"))))))</f>
        <v/>
      </c>
    </row>
    <row r="2524">
      <c r="B2524">
        <f>IF(A2524="","",$B$1-MAXIFS(Donasi!$A$2:$A$20000,Donasi!$B$2:$B$20000,A2524))</f>
        <v/>
      </c>
      <c r="C2524">
        <f>IF(A2524="","",COUNTIF(Donasi!$B$2:$B$20000,A2524))</f>
        <v/>
      </c>
      <c r="D2524">
        <f>IF(A2524="","",SUMIF(Donasi!$B$2:$B$20000,A2524,Donasi!$C$2:$C$20000))</f>
        <v/>
      </c>
      <c r="E2524">
        <f>IF(A2524="","",6-CEILING(PERCENTRANK.INC($B$3:$B$6000,B2524,4)*5+0.000001,1))</f>
        <v/>
      </c>
      <c r="F2524">
        <f>IF(A2524="","",MAX(1,CEILING(PERCENTRANK.INC($C$3:$C$6000,C2524,4)*5+0.000001,1)))</f>
        <v/>
      </c>
      <c r="G2524">
        <f>IF(A2524="","",MAX(1,CEILING(PERCENTRANK.INC($D$3:$D$6000,D2524,4)*5+0.000001,1)))</f>
        <v/>
      </c>
      <c r="H2524">
        <f>IF(A2524="","",E2524&amp;F2524&amp;G2524)</f>
        <v/>
      </c>
      <c r="I2524">
        <f>IF(A2524="","",IF(AND(E2524&gt;=4,F2524&gt;=4,G2524&gt;=4),"Juara",IF(AND(F2524&gt;=4,E2524&gt;=3),"Setia",IF(AND(E2524=5,F2524&lt;=2,G2524&gt;=3),"Berpotensi",IF(AND(E2524&lt;=3,E2524&gt;=2,F2524&gt;=3),"Rawan",IF(AND(E2524&lt;=2,F2524&lt;=2),"Tidur","Umum"))))))</f>
        <v/>
      </c>
    </row>
    <row r="2525">
      <c r="B2525">
        <f>IF(A2525="","",$B$1-MAXIFS(Donasi!$A$2:$A$20000,Donasi!$B$2:$B$20000,A2525))</f>
        <v/>
      </c>
      <c r="C2525">
        <f>IF(A2525="","",COUNTIF(Donasi!$B$2:$B$20000,A2525))</f>
        <v/>
      </c>
      <c r="D2525">
        <f>IF(A2525="","",SUMIF(Donasi!$B$2:$B$20000,A2525,Donasi!$C$2:$C$20000))</f>
        <v/>
      </c>
      <c r="E2525">
        <f>IF(A2525="","",6-CEILING(PERCENTRANK.INC($B$3:$B$6000,B2525,4)*5+0.000001,1))</f>
        <v/>
      </c>
      <c r="F2525">
        <f>IF(A2525="","",MAX(1,CEILING(PERCENTRANK.INC($C$3:$C$6000,C2525,4)*5+0.000001,1)))</f>
        <v/>
      </c>
      <c r="G2525">
        <f>IF(A2525="","",MAX(1,CEILING(PERCENTRANK.INC($D$3:$D$6000,D2525,4)*5+0.000001,1)))</f>
        <v/>
      </c>
      <c r="H2525">
        <f>IF(A2525="","",E2525&amp;F2525&amp;G2525)</f>
        <v/>
      </c>
      <c r="I2525">
        <f>IF(A2525="","",IF(AND(E2525&gt;=4,F2525&gt;=4,G2525&gt;=4),"Juara",IF(AND(F2525&gt;=4,E2525&gt;=3),"Setia",IF(AND(E2525=5,F2525&lt;=2,G2525&gt;=3),"Berpotensi",IF(AND(E2525&lt;=3,E2525&gt;=2,F2525&gt;=3),"Rawan",IF(AND(E2525&lt;=2,F2525&lt;=2),"Tidur","Umum"))))))</f>
        <v/>
      </c>
    </row>
    <row r="2526">
      <c r="B2526">
        <f>IF(A2526="","",$B$1-MAXIFS(Donasi!$A$2:$A$20000,Donasi!$B$2:$B$20000,A2526))</f>
        <v/>
      </c>
      <c r="C2526">
        <f>IF(A2526="","",COUNTIF(Donasi!$B$2:$B$20000,A2526))</f>
        <v/>
      </c>
      <c r="D2526">
        <f>IF(A2526="","",SUMIF(Donasi!$B$2:$B$20000,A2526,Donasi!$C$2:$C$20000))</f>
        <v/>
      </c>
      <c r="E2526">
        <f>IF(A2526="","",6-CEILING(PERCENTRANK.INC($B$3:$B$6000,B2526,4)*5+0.000001,1))</f>
        <v/>
      </c>
      <c r="F2526">
        <f>IF(A2526="","",MAX(1,CEILING(PERCENTRANK.INC($C$3:$C$6000,C2526,4)*5+0.000001,1)))</f>
        <v/>
      </c>
      <c r="G2526">
        <f>IF(A2526="","",MAX(1,CEILING(PERCENTRANK.INC($D$3:$D$6000,D2526,4)*5+0.000001,1)))</f>
        <v/>
      </c>
      <c r="H2526">
        <f>IF(A2526="","",E2526&amp;F2526&amp;G2526)</f>
        <v/>
      </c>
      <c r="I2526">
        <f>IF(A2526="","",IF(AND(E2526&gt;=4,F2526&gt;=4,G2526&gt;=4),"Juara",IF(AND(F2526&gt;=4,E2526&gt;=3),"Setia",IF(AND(E2526=5,F2526&lt;=2,G2526&gt;=3),"Berpotensi",IF(AND(E2526&lt;=3,E2526&gt;=2,F2526&gt;=3),"Rawan",IF(AND(E2526&lt;=2,F2526&lt;=2),"Tidur","Umum"))))))</f>
        <v/>
      </c>
    </row>
    <row r="2527">
      <c r="B2527">
        <f>IF(A2527="","",$B$1-MAXIFS(Donasi!$A$2:$A$20000,Donasi!$B$2:$B$20000,A2527))</f>
        <v/>
      </c>
      <c r="C2527">
        <f>IF(A2527="","",COUNTIF(Donasi!$B$2:$B$20000,A2527))</f>
        <v/>
      </c>
      <c r="D2527">
        <f>IF(A2527="","",SUMIF(Donasi!$B$2:$B$20000,A2527,Donasi!$C$2:$C$20000))</f>
        <v/>
      </c>
      <c r="E2527">
        <f>IF(A2527="","",6-CEILING(PERCENTRANK.INC($B$3:$B$6000,B2527,4)*5+0.000001,1))</f>
        <v/>
      </c>
      <c r="F2527">
        <f>IF(A2527="","",MAX(1,CEILING(PERCENTRANK.INC($C$3:$C$6000,C2527,4)*5+0.000001,1)))</f>
        <v/>
      </c>
      <c r="G2527">
        <f>IF(A2527="","",MAX(1,CEILING(PERCENTRANK.INC($D$3:$D$6000,D2527,4)*5+0.000001,1)))</f>
        <v/>
      </c>
      <c r="H2527">
        <f>IF(A2527="","",E2527&amp;F2527&amp;G2527)</f>
        <v/>
      </c>
      <c r="I2527">
        <f>IF(A2527="","",IF(AND(E2527&gt;=4,F2527&gt;=4,G2527&gt;=4),"Juara",IF(AND(F2527&gt;=4,E2527&gt;=3),"Setia",IF(AND(E2527=5,F2527&lt;=2,G2527&gt;=3),"Berpotensi",IF(AND(E2527&lt;=3,E2527&gt;=2,F2527&gt;=3),"Rawan",IF(AND(E2527&lt;=2,F2527&lt;=2),"Tidur","Umum"))))))</f>
        <v/>
      </c>
    </row>
    <row r="2528">
      <c r="B2528">
        <f>IF(A2528="","",$B$1-MAXIFS(Donasi!$A$2:$A$20000,Donasi!$B$2:$B$20000,A2528))</f>
        <v/>
      </c>
      <c r="C2528">
        <f>IF(A2528="","",COUNTIF(Donasi!$B$2:$B$20000,A2528))</f>
        <v/>
      </c>
      <c r="D2528">
        <f>IF(A2528="","",SUMIF(Donasi!$B$2:$B$20000,A2528,Donasi!$C$2:$C$20000))</f>
        <v/>
      </c>
      <c r="E2528">
        <f>IF(A2528="","",6-CEILING(PERCENTRANK.INC($B$3:$B$6000,B2528,4)*5+0.000001,1))</f>
        <v/>
      </c>
      <c r="F2528">
        <f>IF(A2528="","",MAX(1,CEILING(PERCENTRANK.INC($C$3:$C$6000,C2528,4)*5+0.000001,1)))</f>
        <v/>
      </c>
      <c r="G2528">
        <f>IF(A2528="","",MAX(1,CEILING(PERCENTRANK.INC($D$3:$D$6000,D2528,4)*5+0.000001,1)))</f>
        <v/>
      </c>
      <c r="H2528">
        <f>IF(A2528="","",E2528&amp;F2528&amp;G2528)</f>
        <v/>
      </c>
      <c r="I2528">
        <f>IF(A2528="","",IF(AND(E2528&gt;=4,F2528&gt;=4,G2528&gt;=4),"Juara",IF(AND(F2528&gt;=4,E2528&gt;=3),"Setia",IF(AND(E2528=5,F2528&lt;=2,G2528&gt;=3),"Berpotensi",IF(AND(E2528&lt;=3,E2528&gt;=2,F2528&gt;=3),"Rawan",IF(AND(E2528&lt;=2,F2528&lt;=2),"Tidur","Umum"))))))</f>
        <v/>
      </c>
    </row>
    <row r="2529">
      <c r="B2529">
        <f>IF(A2529="","",$B$1-MAXIFS(Donasi!$A$2:$A$20000,Donasi!$B$2:$B$20000,A2529))</f>
        <v/>
      </c>
      <c r="C2529">
        <f>IF(A2529="","",COUNTIF(Donasi!$B$2:$B$20000,A2529))</f>
        <v/>
      </c>
      <c r="D2529">
        <f>IF(A2529="","",SUMIF(Donasi!$B$2:$B$20000,A2529,Donasi!$C$2:$C$20000))</f>
        <v/>
      </c>
      <c r="E2529">
        <f>IF(A2529="","",6-CEILING(PERCENTRANK.INC($B$3:$B$6000,B2529,4)*5+0.000001,1))</f>
        <v/>
      </c>
      <c r="F2529">
        <f>IF(A2529="","",MAX(1,CEILING(PERCENTRANK.INC($C$3:$C$6000,C2529,4)*5+0.000001,1)))</f>
        <v/>
      </c>
      <c r="G2529">
        <f>IF(A2529="","",MAX(1,CEILING(PERCENTRANK.INC($D$3:$D$6000,D2529,4)*5+0.000001,1)))</f>
        <v/>
      </c>
      <c r="H2529">
        <f>IF(A2529="","",E2529&amp;F2529&amp;G2529)</f>
        <v/>
      </c>
      <c r="I2529">
        <f>IF(A2529="","",IF(AND(E2529&gt;=4,F2529&gt;=4,G2529&gt;=4),"Juara",IF(AND(F2529&gt;=4,E2529&gt;=3),"Setia",IF(AND(E2529=5,F2529&lt;=2,G2529&gt;=3),"Berpotensi",IF(AND(E2529&lt;=3,E2529&gt;=2,F2529&gt;=3),"Rawan",IF(AND(E2529&lt;=2,F2529&lt;=2),"Tidur","Umum"))))))</f>
        <v/>
      </c>
    </row>
    <row r="2530">
      <c r="B2530">
        <f>IF(A2530="","",$B$1-MAXIFS(Donasi!$A$2:$A$20000,Donasi!$B$2:$B$20000,A2530))</f>
        <v/>
      </c>
      <c r="C2530">
        <f>IF(A2530="","",COUNTIF(Donasi!$B$2:$B$20000,A2530))</f>
        <v/>
      </c>
      <c r="D2530">
        <f>IF(A2530="","",SUMIF(Donasi!$B$2:$B$20000,A2530,Donasi!$C$2:$C$20000))</f>
        <v/>
      </c>
      <c r="E2530">
        <f>IF(A2530="","",6-CEILING(PERCENTRANK.INC($B$3:$B$6000,B2530,4)*5+0.000001,1))</f>
        <v/>
      </c>
      <c r="F2530">
        <f>IF(A2530="","",MAX(1,CEILING(PERCENTRANK.INC($C$3:$C$6000,C2530,4)*5+0.000001,1)))</f>
        <v/>
      </c>
      <c r="G2530">
        <f>IF(A2530="","",MAX(1,CEILING(PERCENTRANK.INC($D$3:$D$6000,D2530,4)*5+0.000001,1)))</f>
        <v/>
      </c>
      <c r="H2530">
        <f>IF(A2530="","",E2530&amp;F2530&amp;G2530)</f>
        <v/>
      </c>
      <c r="I2530">
        <f>IF(A2530="","",IF(AND(E2530&gt;=4,F2530&gt;=4,G2530&gt;=4),"Juara",IF(AND(F2530&gt;=4,E2530&gt;=3),"Setia",IF(AND(E2530=5,F2530&lt;=2,G2530&gt;=3),"Berpotensi",IF(AND(E2530&lt;=3,E2530&gt;=2,F2530&gt;=3),"Rawan",IF(AND(E2530&lt;=2,F2530&lt;=2),"Tidur","Umum"))))))</f>
        <v/>
      </c>
    </row>
    <row r="2531">
      <c r="B2531">
        <f>IF(A2531="","",$B$1-MAXIFS(Donasi!$A$2:$A$20000,Donasi!$B$2:$B$20000,A2531))</f>
        <v/>
      </c>
      <c r="C2531">
        <f>IF(A2531="","",COUNTIF(Donasi!$B$2:$B$20000,A2531))</f>
        <v/>
      </c>
      <c r="D2531">
        <f>IF(A2531="","",SUMIF(Donasi!$B$2:$B$20000,A2531,Donasi!$C$2:$C$20000))</f>
        <v/>
      </c>
      <c r="E2531">
        <f>IF(A2531="","",6-CEILING(PERCENTRANK.INC($B$3:$B$6000,B2531,4)*5+0.000001,1))</f>
        <v/>
      </c>
      <c r="F2531">
        <f>IF(A2531="","",MAX(1,CEILING(PERCENTRANK.INC($C$3:$C$6000,C2531,4)*5+0.000001,1)))</f>
        <v/>
      </c>
      <c r="G2531">
        <f>IF(A2531="","",MAX(1,CEILING(PERCENTRANK.INC($D$3:$D$6000,D2531,4)*5+0.000001,1)))</f>
        <v/>
      </c>
      <c r="H2531">
        <f>IF(A2531="","",E2531&amp;F2531&amp;G2531)</f>
        <v/>
      </c>
      <c r="I2531">
        <f>IF(A2531="","",IF(AND(E2531&gt;=4,F2531&gt;=4,G2531&gt;=4),"Juara",IF(AND(F2531&gt;=4,E2531&gt;=3),"Setia",IF(AND(E2531=5,F2531&lt;=2,G2531&gt;=3),"Berpotensi",IF(AND(E2531&lt;=3,E2531&gt;=2,F2531&gt;=3),"Rawan",IF(AND(E2531&lt;=2,F2531&lt;=2),"Tidur","Umum"))))))</f>
        <v/>
      </c>
    </row>
    <row r="2532">
      <c r="B2532">
        <f>IF(A2532="","",$B$1-MAXIFS(Donasi!$A$2:$A$20000,Donasi!$B$2:$B$20000,A2532))</f>
        <v/>
      </c>
      <c r="C2532">
        <f>IF(A2532="","",COUNTIF(Donasi!$B$2:$B$20000,A2532))</f>
        <v/>
      </c>
      <c r="D2532">
        <f>IF(A2532="","",SUMIF(Donasi!$B$2:$B$20000,A2532,Donasi!$C$2:$C$20000))</f>
        <v/>
      </c>
      <c r="E2532">
        <f>IF(A2532="","",6-CEILING(PERCENTRANK.INC($B$3:$B$6000,B2532,4)*5+0.000001,1))</f>
        <v/>
      </c>
      <c r="F2532">
        <f>IF(A2532="","",MAX(1,CEILING(PERCENTRANK.INC($C$3:$C$6000,C2532,4)*5+0.000001,1)))</f>
        <v/>
      </c>
      <c r="G2532">
        <f>IF(A2532="","",MAX(1,CEILING(PERCENTRANK.INC($D$3:$D$6000,D2532,4)*5+0.000001,1)))</f>
        <v/>
      </c>
      <c r="H2532">
        <f>IF(A2532="","",E2532&amp;F2532&amp;G2532)</f>
        <v/>
      </c>
      <c r="I2532">
        <f>IF(A2532="","",IF(AND(E2532&gt;=4,F2532&gt;=4,G2532&gt;=4),"Juara",IF(AND(F2532&gt;=4,E2532&gt;=3),"Setia",IF(AND(E2532=5,F2532&lt;=2,G2532&gt;=3),"Berpotensi",IF(AND(E2532&lt;=3,E2532&gt;=2,F2532&gt;=3),"Rawan",IF(AND(E2532&lt;=2,F2532&lt;=2),"Tidur","Umum"))))))</f>
        <v/>
      </c>
    </row>
    <row r="2533">
      <c r="B2533">
        <f>IF(A2533="","",$B$1-MAXIFS(Donasi!$A$2:$A$20000,Donasi!$B$2:$B$20000,A2533))</f>
        <v/>
      </c>
      <c r="C2533">
        <f>IF(A2533="","",COUNTIF(Donasi!$B$2:$B$20000,A2533))</f>
        <v/>
      </c>
      <c r="D2533">
        <f>IF(A2533="","",SUMIF(Donasi!$B$2:$B$20000,A2533,Donasi!$C$2:$C$20000))</f>
        <v/>
      </c>
      <c r="E2533">
        <f>IF(A2533="","",6-CEILING(PERCENTRANK.INC($B$3:$B$6000,B2533,4)*5+0.000001,1))</f>
        <v/>
      </c>
      <c r="F2533">
        <f>IF(A2533="","",MAX(1,CEILING(PERCENTRANK.INC($C$3:$C$6000,C2533,4)*5+0.000001,1)))</f>
        <v/>
      </c>
      <c r="G2533">
        <f>IF(A2533="","",MAX(1,CEILING(PERCENTRANK.INC($D$3:$D$6000,D2533,4)*5+0.000001,1)))</f>
        <v/>
      </c>
      <c r="H2533">
        <f>IF(A2533="","",E2533&amp;F2533&amp;G2533)</f>
        <v/>
      </c>
      <c r="I2533">
        <f>IF(A2533="","",IF(AND(E2533&gt;=4,F2533&gt;=4,G2533&gt;=4),"Juara",IF(AND(F2533&gt;=4,E2533&gt;=3),"Setia",IF(AND(E2533=5,F2533&lt;=2,G2533&gt;=3),"Berpotensi",IF(AND(E2533&lt;=3,E2533&gt;=2,F2533&gt;=3),"Rawan",IF(AND(E2533&lt;=2,F2533&lt;=2),"Tidur","Umum"))))))</f>
        <v/>
      </c>
    </row>
    <row r="2534">
      <c r="B2534">
        <f>IF(A2534="","",$B$1-MAXIFS(Donasi!$A$2:$A$20000,Donasi!$B$2:$B$20000,A2534))</f>
        <v/>
      </c>
      <c r="C2534">
        <f>IF(A2534="","",COUNTIF(Donasi!$B$2:$B$20000,A2534))</f>
        <v/>
      </c>
      <c r="D2534">
        <f>IF(A2534="","",SUMIF(Donasi!$B$2:$B$20000,A2534,Donasi!$C$2:$C$20000))</f>
        <v/>
      </c>
      <c r="E2534">
        <f>IF(A2534="","",6-CEILING(PERCENTRANK.INC($B$3:$B$6000,B2534,4)*5+0.000001,1))</f>
        <v/>
      </c>
      <c r="F2534">
        <f>IF(A2534="","",MAX(1,CEILING(PERCENTRANK.INC($C$3:$C$6000,C2534,4)*5+0.000001,1)))</f>
        <v/>
      </c>
      <c r="G2534">
        <f>IF(A2534="","",MAX(1,CEILING(PERCENTRANK.INC($D$3:$D$6000,D2534,4)*5+0.000001,1)))</f>
        <v/>
      </c>
      <c r="H2534">
        <f>IF(A2534="","",E2534&amp;F2534&amp;G2534)</f>
        <v/>
      </c>
      <c r="I2534">
        <f>IF(A2534="","",IF(AND(E2534&gt;=4,F2534&gt;=4,G2534&gt;=4),"Juara",IF(AND(F2534&gt;=4,E2534&gt;=3),"Setia",IF(AND(E2534=5,F2534&lt;=2,G2534&gt;=3),"Berpotensi",IF(AND(E2534&lt;=3,E2534&gt;=2,F2534&gt;=3),"Rawan",IF(AND(E2534&lt;=2,F2534&lt;=2),"Tidur","Umum"))))))</f>
        <v/>
      </c>
    </row>
    <row r="2535">
      <c r="B2535">
        <f>IF(A2535="","",$B$1-MAXIFS(Donasi!$A$2:$A$20000,Donasi!$B$2:$B$20000,A2535))</f>
        <v/>
      </c>
      <c r="C2535">
        <f>IF(A2535="","",COUNTIF(Donasi!$B$2:$B$20000,A2535))</f>
        <v/>
      </c>
      <c r="D2535">
        <f>IF(A2535="","",SUMIF(Donasi!$B$2:$B$20000,A2535,Donasi!$C$2:$C$20000))</f>
        <v/>
      </c>
      <c r="E2535">
        <f>IF(A2535="","",6-CEILING(PERCENTRANK.INC($B$3:$B$6000,B2535,4)*5+0.000001,1))</f>
        <v/>
      </c>
      <c r="F2535">
        <f>IF(A2535="","",MAX(1,CEILING(PERCENTRANK.INC($C$3:$C$6000,C2535,4)*5+0.000001,1)))</f>
        <v/>
      </c>
      <c r="G2535">
        <f>IF(A2535="","",MAX(1,CEILING(PERCENTRANK.INC($D$3:$D$6000,D2535,4)*5+0.000001,1)))</f>
        <v/>
      </c>
      <c r="H2535">
        <f>IF(A2535="","",E2535&amp;F2535&amp;G2535)</f>
        <v/>
      </c>
      <c r="I2535">
        <f>IF(A2535="","",IF(AND(E2535&gt;=4,F2535&gt;=4,G2535&gt;=4),"Juara",IF(AND(F2535&gt;=4,E2535&gt;=3),"Setia",IF(AND(E2535=5,F2535&lt;=2,G2535&gt;=3),"Berpotensi",IF(AND(E2535&lt;=3,E2535&gt;=2,F2535&gt;=3),"Rawan",IF(AND(E2535&lt;=2,F2535&lt;=2),"Tidur","Umum"))))))</f>
        <v/>
      </c>
    </row>
    <row r="2536">
      <c r="B2536">
        <f>IF(A2536="","",$B$1-MAXIFS(Donasi!$A$2:$A$20000,Donasi!$B$2:$B$20000,A2536))</f>
        <v/>
      </c>
      <c r="C2536">
        <f>IF(A2536="","",COUNTIF(Donasi!$B$2:$B$20000,A2536))</f>
        <v/>
      </c>
      <c r="D2536">
        <f>IF(A2536="","",SUMIF(Donasi!$B$2:$B$20000,A2536,Donasi!$C$2:$C$20000))</f>
        <v/>
      </c>
      <c r="E2536">
        <f>IF(A2536="","",6-CEILING(PERCENTRANK.INC($B$3:$B$6000,B2536,4)*5+0.000001,1))</f>
        <v/>
      </c>
      <c r="F2536">
        <f>IF(A2536="","",MAX(1,CEILING(PERCENTRANK.INC($C$3:$C$6000,C2536,4)*5+0.000001,1)))</f>
        <v/>
      </c>
      <c r="G2536">
        <f>IF(A2536="","",MAX(1,CEILING(PERCENTRANK.INC($D$3:$D$6000,D2536,4)*5+0.000001,1)))</f>
        <v/>
      </c>
      <c r="H2536">
        <f>IF(A2536="","",E2536&amp;F2536&amp;G2536)</f>
        <v/>
      </c>
      <c r="I2536">
        <f>IF(A2536="","",IF(AND(E2536&gt;=4,F2536&gt;=4,G2536&gt;=4),"Juara",IF(AND(F2536&gt;=4,E2536&gt;=3),"Setia",IF(AND(E2536=5,F2536&lt;=2,G2536&gt;=3),"Berpotensi",IF(AND(E2536&lt;=3,E2536&gt;=2,F2536&gt;=3),"Rawan",IF(AND(E2536&lt;=2,F2536&lt;=2),"Tidur","Umum"))))))</f>
        <v/>
      </c>
    </row>
    <row r="2537">
      <c r="B2537">
        <f>IF(A2537="","",$B$1-MAXIFS(Donasi!$A$2:$A$20000,Donasi!$B$2:$B$20000,A2537))</f>
        <v/>
      </c>
      <c r="C2537">
        <f>IF(A2537="","",COUNTIF(Donasi!$B$2:$B$20000,A2537))</f>
        <v/>
      </c>
      <c r="D2537">
        <f>IF(A2537="","",SUMIF(Donasi!$B$2:$B$20000,A2537,Donasi!$C$2:$C$20000))</f>
        <v/>
      </c>
      <c r="E2537">
        <f>IF(A2537="","",6-CEILING(PERCENTRANK.INC($B$3:$B$6000,B2537,4)*5+0.000001,1))</f>
        <v/>
      </c>
      <c r="F2537">
        <f>IF(A2537="","",MAX(1,CEILING(PERCENTRANK.INC($C$3:$C$6000,C2537,4)*5+0.000001,1)))</f>
        <v/>
      </c>
      <c r="G2537">
        <f>IF(A2537="","",MAX(1,CEILING(PERCENTRANK.INC($D$3:$D$6000,D2537,4)*5+0.000001,1)))</f>
        <v/>
      </c>
      <c r="H2537">
        <f>IF(A2537="","",E2537&amp;F2537&amp;G2537)</f>
        <v/>
      </c>
      <c r="I2537">
        <f>IF(A2537="","",IF(AND(E2537&gt;=4,F2537&gt;=4,G2537&gt;=4),"Juara",IF(AND(F2537&gt;=4,E2537&gt;=3),"Setia",IF(AND(E2537=5,F2537&lt;=2,G2537&gt;=3),"Berpotensi",IF(AND(E2537&lt;=3,E2537&gt;=2,F2537&gt;=3),"Rawan",IF(AND(E2537&lt;=2,F2537&lt;=2),"Tidur","Umum"))))))</f>
        <v/>
      </c>
    </row>
    <row r="2538">
      <c r="B2538">
        <f>IF(A2538="","",$B$1-MAXIFS(Donasi!$A$2:$A$20000,Donasi!$B$2:$B$20000,A2538))</f>
        <v/>
      </c>
      <c r="C2538">
        <f>IF(A2538="","",COUNTIF(Donasi!$B$2:$B$20000,A2538))</f>
        <v/>
      </c>
      <c r="D2538">
        <f>IF(A2538="","",SUMIF(Donasi!$B$2:$B$20000,A2538,Donasi!$C$2:$C$20000))</f>
        <v/>
      </c>
      <c r="E2538">
        <f>IF(A2538="","",6-CEILING(PERCENTRANK.INC($B$3:$B$6000,B2538,4)*5+0.000001,1))</f>
        <v/>
      </c>
      <c r="F2538">
        <f>IF(A2538="","",MAX(1,CEILING(PERCENTRANK.INC($C$3:$C$6000,C2538,4)*5+0.000001,1)))</f>
        <v/>
      </c>
      <c r="G2538">
        <f>IF(A2538="","",MAX(1,CEILING(PERCENTRANK.INC($D$3:$D$6000,D2538,4)*5+0.000001,1)))</f>
        <v/>
      </c>
      <c r="H2538">
        <f>IF(A2538="","",E2538&amp;F2538&amp;G2538)</f>
        <v/>
      </c>
      <c r="I2538">
        <f>IF(A2538="","",IF(AND(E2538&gt;=4,F2538&gt;=4,G2538&gt;=4),"Juara",IF(AND(F2538&gt;=4,E2538&gt;=3),"Setia",IF(AND(E2538=5,F2538&lt;=2,G2538&gt;=3),"Berpotensi",IF(AND(E2538&lt;=3,E2538&gt;=2,F2538&gt;=3),"Rawan",IF(AND(E2538&lt;=2,F2538&lt;=2),"Tidur","Umum"))))))</f>
        <v/>
      </c>
    </row>
    <row r="2539">
      <c r="B2539">
        <f>IF(A2539="","",$B$1-MAXIFS(Donasi!$A$2:$A$20000,Donasi!$B$2:$B$20000,A2539))</f>
        <v/>
      </c>
      <c r="C2539">
        <f>IF(A2539="","",COUNTIF(Donasi!$B$2:$B$20000,A2539))</f>
        <v/>
      </c>
      <c r="D2539">
        <f>IF(A2539="","",SUMIF(Donasi!$B$2:$B$20000,A2539,Donasi!$C$2:$C$20000))</f>
        <v/>
      </c>
      <c r="E2539">
        <f>IF(A2539="","",6-CEILING(PERCENTRANK.INC($B$3:$B$6000,B2539,4)*5+0.000001,1))</f>
        <v/>
      </c>
      <c r="F2539">
        <f>IF(A2539="","",MAX(1,CEILING(PERCENTRANK.INC($C$3:$C$6000,C2539,4)*5+0.000001,1)))</f>
        <v/>
      </c>
      <c r="G2539">
        <f>IF(A2539="","",MAX(1,CEILING(PERCENTRANK.INC($D$3:$D$6000,D2539,4)*5+0.000001,1)))</f>
        <v/>
      </c>
      <c r="H2539">
        <f>IF(A2539="","",E2539&amp;F2539&amp;G2539)</f>
        <v/>
      </c>
      <c r="I2539">
        <f>IF(A2539="","",IF(AND(E2539&gt;=4,F2539&gt;=4,G2539&gt;=4),"Juara",IF(AND(F2539&gt;=4,E2539&gt;=3),"Setia",IF(AND(E2539=5,F2539&lt;=2,G2539&gt;=3),"Berpotensi",IF(AND(E2539&lt;=3,E2539&gt;=2,F2539&gt;=3),"Rawan",IF(AND(E2539&lt;=2,F2539&lt;=2),"Tidur","Umum"))))))</f>
        <v/>
      </c>
    </row>
    <row r="2540">
      <c r="B2540">
        <f>IF(A2540="","",$B$1-MAXIFS(Donasi!$A$2:$A$20000,Donasi!$B$2:$B$20000,A2540))</f>
        <v/>
      </c>
      <c r="C2540">
        <f>IF(A2540="","",COUNTIF(Donasi!$B$2:$B$20000,A2540))</f>
        <v/>
      </c>
      <c r="D2540">
        <f>IF(A2540="","",SUMIF(Donasi!$B$2:$B$20000,A2540,Donasi!$C$2:$C$20000))</f>
        <v/>
      </c>
      <c r="E2540">
        <f>IF(A2540="","",6-CEILING(PERCENTRANK.INC($B$3:$B$6000,B2540,4)*5+0.000001,1))</f>
        <v/>
      </c>
      <c r="F2540">
        <f>IF(A2540="","",MAX(1,CEILING(PERCENTRANK.INC($C$3:$C$6000,C2540,4)*5+0.000001,1)))</f>
        <v/>
      </c>
      <c r="G2540">
        <f>IF(A2540="","",MAX(1,CEILING(PERCENTRANK.INC($D$3:$D$6000,D2540,4)*5+0.000001,1)))</f>
        <v/>
      </c>
      <c r="H2540">
        <f>IF(A2540="","",E2540&amp;F2540&amp;G2540)</f>
        <v/>
      </c>
      <c r="I2540">
        <f>IF(A2540="","",IF(AND(E2540&gt;=4,F2540&gt;=4,G2540&gt;=4),"Juara",IF(AND(F2540&gt;=4,E2540&gt;=3),"Setia",IF(AND(E2540=5,F2540&lt;=2,G2540&gt;=3),"Berpotensi",IF(AND(E2540&lt;=3,E2540&gt;=2,F2540&gt;=3),"Rawan",IF(AND(E2540&lt;=2,F2540&lt;=2),"Tidur","Umum"))))))</f>
        <v/>
      </c>
    </row>
    <row r="2541">
      <c r="B2541">
        <f>IF(A2541="","",$B$1-MAXIFS(Donasi!$A$2:$A$20000,Donasi!$B$2:$B$20000,A2541))</f>
        <v/>
      </c>
      <c r="C2541">
        <f>IF(A2541="","",COUNTIF(Donasi!$B$2:$B$20000,A2541))</f>
        <v/>
      </c>
      <c r="D2541">
        <f>IF(A2541="","",SUMIF(Donasi!$B$2:$B$20000,A2541,Donasi!$C$2:$C$20000))</f>
        <v/>
      </c>
      <c r="E2541">
        <f>IF(A2541="","",6-CEILING(PERCENTRANK.INC($B$3:$B$6000,B2541,4)*5+0.000001,1))</f>
        <v/>
      </c>
      <c r="F2541">
        <f>IF(A2541="","",MAX(1,CEILING(PERCENTRANK.INC($C$3:$C$6000,C2541,4)*5+0.000001,1)))</f>
        <v/>
      </c>
      <c r="G2541">
        <f>IF(A2541="","",MAX(1,CEILING(PERCENTRANK.INC($D$3:$D$6000,D2541,4)*5+0.000001,1)))</f>
        <v/>
      </c>
      <c r="H2541">
        <f>IF(A2541="","",E2541&amp;F2541&amp;G2541)</f>
        <v/>
      </c>
      <c r="I2541">
        <f>IF(A2541="","",IF(AND(E2541&gt;=4,F2541&gt;=4,G2541&gt;=4),"Juara",IF(AND(F2541&gt;=4,E2541&gt;=3),"Setia",IF(AND(E2541=5,F2541&lt;=2,G2541&gt;=3),"Berpotensi",IF(AND(E2541&lt;=3,E2541&gt;=2,F2541&gt;=3),"Rawan",IF(AND(E2541&lt;=2,F2541&lt;=2),"Tidur","Umum"))))))</f>
        <v/>
      </c>
    </row>
    <row r="2542">
      <c r="B2542">
        <f>IF(A2542="","",$B$1-MAXIFS(Donasi!$A$2:$A$20000,Donasi!$B$2:$B$20000,A2542))</f>
        <v/>
      </c>
      <c r="C2542">
        <f>IF(A2542="","",COUNTIF(Donasi!$B$2:$B$20000,A2542))</f>
        <v/>
      </c>
      <c r="D2542">
        <f>IF(A2542="","",SUMIF(Donasi!$B$2:$B$20000,A2542,Donasi!$C$2:$C$20000))</f>
        <v/>
      </c>
      <c r="E2542">
        <f>IF(A2542="","",6-CEILING(PERCENTRANK.INC($B$3:$B$6000,B2542,4)*5+0.000001,1))</f>
        <v/>
      </c>
      <c r="F2542">
        <f>IF(A2542="","",MAX(1,CEILING(PERCENTRANK.INC($C$3:$C$6000,C2542,4)*5+0.000001,1)))</f>
        <v/>
      </c>
      <c r="G2542">
        <f>IF(A2542="","",MAX(1,CEILING(PERCENTRANK.INC($D$3:$D$6000,D2542,4)*5+0.000001,1)))</f>
        <v/>
      </c>
      <c r="H2542">
        <f>IF(A2542="","",E2542&amp;F2542&amp;G2542)</f>
        <v/>
      </c>
      <c r="I2542">
        <f>IF(A2542="","",IF(AND(E2542&gt;=4,F2542&gt;=4,G2542&gt;=4),"Juara",IF(AND(F2542&gt;=4,E2542&gt;=3),"Setia",IF(AND(E2542=5,F2542&lt;=2,G2542&gt;=3),"Berpotensi",IF(AND(E2542&lt;=3,E2542&gt;=2,F2542&gt;=3),"Rawan",IF(AND(E2542&lt;=2,F2542&lt;=2),"Tidur","Umum"))))))</f>
        <v/>
      </c>
    </row>
    <row r="2543">
      <c r="B2543">
        <f>IF(A2543="","",$B$1-MAXIFS(Donasi!$A$2:$A$20000,Donasi!$B$2:$B$20000,A2543))</f>
        <v/>
      </c>
      <c r="C2543">
        <f>IF(A2543="","",COUNTIF(Donasi!$B$2:$B$20000,A2543))</f>
        <v/>
      </c>
      <c r="D2543">
        <f>IF(A2543="","",SUMIF(Donasi!$B$2:$B$20000,A2543,Donasi!$C$2:$C$20000))</f>
        <v/>
      </c>
      <c r="E2543">
        <f>IF(A2543="","",6-CEILING(PERCENTRANK.INC($B$3:$B$6000,B2543,4)*5+0.000001,1))</f>
        <v/>
      </c>
      <c r="F2543">
        <f>IF(A2543="","",MAX(1,CEILING(PERCENTRANK.INC($C$3:$C$6000,C2543,4)*5+0.000001,1)))</f>
        <v/>
      </c>
      <c r="G2543">
        <f>IF(A2543="","",MAX(1,CEILING(PERCENTRANK.INC($D$3:$D$6000,D2543,4)*5+0.000001,1)))</f>
        <v/>
      </c>
      <c r="H2543">
        <f>IF(A2543="","",E2543&amp;F2543&amp;G2543)</f>
        <v/>
      </c>
      <c r="I2543">
        <f>IF(A2543="","",IF(AND(E2543&gt;=4,F2543&gt;=4,G2543&gt;=4),"Juara",IF(AND(F2543&gt;=4,E2543&gt;=3),"Setia",IF(AND(E2543=5,F2543&lt;=2,G2543&gt;=3),"Berpotensi",IF(AND(E2543&lt;=3,E2543&gt;=2,F2543&gt;=3),"Rawan",IF(AND(E2543&lt;=2,F2543&lt;=2),"Tidur","Umum"))))))</f>
        <v/>
      </c>
    </row>
    <row r="2544">
      <c r="B2544">
        <f>IF(A2544="","",$B$1-MAXIFS(Donasi!$A$2:$A$20000,Donasi!$B$2:$B$20000,A2544))</f>
        <v/>
      </c>
      <c r="C2544">
        <f>IF(A2544="","",COUNTIF(Donasi!$B$2:$B$20000,A2544))</f>
        <v/>
      </c>
      <c r="D2544">
        <f>IF(A2544="","",SUMIF(Donasi!$B$2:$B$20000,A2544,Donasi!$C$2:$C$20000))</f>
        <v/>
      </c>
      <c r="E2544">
        <f>IF(A2544="","",6-CEILING(PERCENTRANK.INC($B$3:$B$6000,B2544,4)*5+0.000001,1))</f>
        <v/>
      </c>
      <c r="F2544">
        <f>IF(A2544="","",MAX(1,CEILING(PERCENTRANK.INC($C$3:$C$6000,C2544,4)*5+0.000001,1)))</f>
        <v/>
      </c>
      <c r="G2544">
        <f>IF(A2544="","",MAX(1,CEILING(PERCENTRANK.INC($D$3:$D$6000,D2544,4)*5+0.000001,1)))</f>
        <v/>
      </c>
      <c r="H2544">
        <f>IF(A2544="","",E2544&amp;F2544&amp;G2544)</f>
        <v/>
      </c>
      <c r="I2544">
        <f>IF(A2544="","",IF(AND(E2544&gt;=4,F2544&gt;=4,G2544&gt;=4),"Juara",IF(AND(F2544&gt;=4,E2544&gt;=3),"Setia",IF(AND(E2544=5,F2544&lt;=2,G2544&gt;=3),"Berpotensi",IF(AND(E2544&lt;=3,E2544&gt;=2,F2544&gt;=3),"Rawan",IF(AND(E2544&lt;=2,F2544&lt;=2),"Tidur","Umum"))))))</f>
        <v/>
      </c>
    </row>
    <row r="2545">
      <c r="B2545">
        <f>IF(A2545="","",$B$1-MAXIFS(Donasi!$A$2:$A$20000,Donasi!$B$2:$B$20000,A2545))</f>
        <v/>
      </c>
      <c r="C2545">
        <f>IF(A2545="","",COUNTIF(Donasi!$B$2:$B$20000,A2545))</f>
        <v/>
      </c>
      <c r="D2545">
        <f>IF(A2545="","",SUMIF(Donasi!$B$2:$B$20000,A2545,Donasi!$C$2:$C$20000))</f>
        <v/>
      </c>
      <c r="E2545">
        <f>IF(A2545="","",6-CEILING(PERCENTRANK.INC($B$3:$B$6000,B2545,4)*5+0.000001,1))</f>
        <v/>
      </c>
      <c r="F2545">
        <f>IF(A2545="","",MAX(1,CEILING(PERCENTRANK.INC($C$3:$C$6000,C2545,4)*5+0.000001,1)))</f>
        <v/>
      </c>
      <c r="G2545">
        <f>IF(A2545="","",MAX(1,CEILING(PERCENTRANK.INC($D$3:$D$6000,D2545,4)*5+0.000001,1)))</f>
        <v/>
      </c>
      <c r="H2545">
        <f>IF(A2545="","",E2545&amp;F2545&amp;G2545)</f>
        <v/>
      </c>
      <c r="I2545">
        <f>IF(A2545="","",IF(AND(E2545&gt;=4,F2545&gt;=4,G2545&gt;=4),"Juara",IF(AND(F2545&gt;=4,E2545&gt;=3),"Setia",IF(AND(E2545=5,F2545&lt;=2,G2545&gt;=3),"Berpotensi",IF(AND(E2545&lt;=3,E2545&gt;=2,F2545&gt;=3),"Rawan",IF(AND(E2545&lt;=2,F2545&lt;=2),"Tidur","Umum"))))))</f>
        <v/>
      </c>
    </row>
    <row r="2546">
      <c r="B2546">
        <f>IF(A2546="","",$B$1-MAXIFS(Donasi!$A$2:$A$20000,Donasi!$B$2:$B$20000,A2546))</f>
        <v/>
      </c>
      <c r="C2546">
        <f>IF(A2546="","",COUNTIF(Donasi!$B$2:$B$20000,A2546))</f>
        <v/>
      </c>
      <c r="D2546">
        <f>IF(A2546="","",SUMIF(Donasi!$B$2:$B$20000,A2546,Donasi!$C$2:$C$20000))</f>
        <v/>
      </c>
      <c r="E2546">
        <f>IF(A2546="","",6-CEILING(PERCENTRANK.INC($B$3:$B$6000,B2546,4)*5+0.000001,1))</f>
        <v/>
      </c>
      <c r="F2546">
        <f>IF(A2546="","",MAX(1,CEILING(PERCENTRANK.INC($C$3:$C$6000,C2546,4)*5+0.000001,1)))</f>
        <v/>
      </c>
      <c r="G2546">
        <f>IF(A2546="","",MAX(1,CEILING(PERCENTRANK.INC($D$3:$D$6000,D2546,4)*5+0.000001,1)))</f>
        <v/>
      </c>
      <c r="H2546">
        <f>IF(A2546="","",E2546&amp;F2546&amp;G2546)</f>
        <v/>
      </c>
      <c r="I2546">
        <f>IF(A2546="","",IF(AND(E2546&gt;=4,F2546&gt;=4,G2546&gt;=4),"Juara",IF(AND(F2546&gt;=4,E2546&gt;=3),"Setia",IF(AND(E2546=5,F2546&lt;=2,G2546&gt;=3),"Berpotensi",IF(AND(E2546&lt;=3,E2546&gt;=2,F2546&gt;=3),"Rawan",IF(AND(E2546&lt;=2,F2546&lt;=2),"Tidur","Umum"))))))</f>
        <v/>
      </c>
    </row>
    <row r="2547">
      <c r="B2547">
        <f>IF(A2547="","",$B$1-MAXIFS(Donasi!$A$2:$A$20000,Donasi!$B$2:$B$20000,A2547))</f>
        <v/>
      </c>
      <c r="C2547">
        <f>IF(A2547="","",COUNTIF(Donasi!$B$2:$B$20000,A2547))</f>
        <v/>
      </c>
      <c r="D2547">
        <f>IF(A2547="","",SUMIF(Donasi!$B$2:$B$20000,A2547,Donasi!$C$2:$C$20000))</f>
        <v/>
      </c>
      <c r="E2547">
        <f>IF(A2547="","",6-CEILING(PERCENTRANK.INC($B$3:$B$6000,B2547,4)*5+0.000001,1))</f>
        <v/>
      </c>
      <c r="F2547">
        <f>IF(A2547="","",MAX(1,CEILING(PERCENTRANK.INC($C$3:$C$6000,C2547,4)*5+0.000001,1)))</f>
        <v/>
      </c>
      <c r="G2547">
        <f>IF(A2547="","",MAX(1,CEILING(PERCENTRANK.INC($D$3:$D$6000,D2547,4)*5+0.000001,1)))</f>
        <v/>
      </c>
      <c r="H2547">
        <f>IF(A2547="","",E2547&amp;F2547&amp;G2547)</f>
        <v/>
      </c>
      <c r="I2547">
        <f>IF(A2547="","",IF(AND(E2547&gt;=4,F2547&gt;=4,G2547&gt;=4),"Juara",IF(AND(F2547&gt;=4,E2547&gt;=3),"Setia",IF(AND(E2547=5,F2547&lt;=2,G2547&gt;=3),"Berpotensi",IF(AND(E2547&lt;=3,E2547&gt;=2,F2547&gt;=3),"Rawan",IF(AND(E2547&lt;=2,F2547&lt;=2),"Tidur","Umum"))))))</f>
        <v/>
      </c>
    </row>
    <row r="2548">
      <c r="B2548">
        <f>IF(A2548="","",$B$1-MAXIFS(Donasi!$A$2:$A$20000,Donasi!$B$2:$B$20000,A2548))</f>
        <v/>
      </c>
      <c r="C2548">
        <f>IF(A2548="","",COUNTIF(Donasi!$B$2:$B$20000,A2548))</f>
        <v/>
      </c>
      <c r="D2548">
        <f>IF(A2548="","",SUMIF(Donasi!$B$2:$B$20000,A2548,Donasi!$C$2:$C$20000))</f>
        <v/>
      </c>
      <c r="E2548">
        <f>IF(A2548="","",6-CEILING(PERCENTRANK.INC($B$3:$B$6000,B2548,4)*5+0.000001,1))</f>
        <v/>
      </c>
      <c r="F2548">
        <f>IF(A2548="","",MAX(1,CEILING(PERCENTRANK.INC($C$3:$C$6000,C2548,4)*5+0.000001,1)))</f>
        <v/>
      </c>
      <c r="G2548">
        <f>IF(A2548="","",MAX(1,CEILING(PERCENTRANK.INC($D$3:$D$6000,D2548,4)*5+0.000001,1)))</f>
        <v/>
      </c>
      <c r="H2548">
        <f>IF(A2548="","",E2548&amp;F2548&amp;G2548)</f>
        <v/>
      </c>
      <c r="I2548">
        <f>IF(A2548="","",IF(AND(E2548&gt;=4,F2548&gt;=4,G2548&gt;=4),"Juara",IF(AND(F2548&gt;=4,E2548&gt;=3),"Setia",IF(AND(E2548=5,F2548&lt;=2,G2548&gt;=3),"Berpotensi",IF(AND(E2548&lt;=3,E2548&gt;=2,F2548&gt;=3),"Rawan",IF(AND(E2548&lt;=2,F2548&lt;=2),"Tidur","Umum"))))))</f>
        <v/>
      </c>
    </row>
    <row r="2549">
      <c r="B2549">
        <f>IF(A2549="","",$B$1-MAXIFS(Donasi!$A$2:$A$20000,Donasi!$B$2:$B$20000,A2549))</f>
        <v/>
      </c>
      <c r="C2549">
        <f>IF(A2549="","",COUNTIF(Donasi!$B$2:$B$20000,A2549))</f>
        <v/>
      </c>
      <c r="D2549">
        <f>IF(A2549="","",SUMIF(Donasi!$B$2:$B$20000,A2549,Donasi!$C$2:$C$20000))</f>
        <v/>
      </c>
      <c r="E2549">
        <f>IF(A2549="","",6-CEILING(PERCENTRANK.INC($B$3:$B$6000,B2549,4)*5+0.000001,1))</f>
        <v/>
      </c>
      <c r="F2549">
        <f>IF(A2549="","",MAX(1,CEILING(PERCENTRANK.INC($C$3:$C$6000,C2549,4)*5+0.000001,1)))</f>
        <v/>
      </c>
      <c r="G2549">
        <f>IF(A2549="","",MAX(1,CEILING(PERCENTRANK.INC($D$3:$D$6000,D2549,4)*5+0.000001,1)))</f>
        <v/>
      </c>
      <c r="H2549">
        <f>IF(A2549="","",E2549&amp;F2549&amp;G2549)</f>
        <v/>
      </c>
      <c r="I2549">
        <f>IF(A2549="","",IF(AND(E2549&gt;=4,F2549&gt;=4,G2549&gt;=4),"Juara",IF(AND(F2549&gt;=4,E2549&gt;=3),"Setia",IF(AND(E2549=5,F2549&lt;=2,G2549&gt;=3),"Berpotensi",IF(AND(E2549&lt;=3,E2549&gt;=2,F2549&gt;=3),"Rawan",IF(AND(E2549&lt;=2,F2549&lt;=2),"Tidur","Umum"))))))</f>
        <v/>
      </c>
    </row>
    <row r="2550">
      <c r="B2550">
        <f>IF(A2550="","",$B$1-MAXIFS(Donasi!$A$2:$A$20000,Donasi!$B$2:$B$20000,A2550))</f>
        <v/>
      </c>
      <c r="C2550">
        <f>IF(A2550="","",COUNTIF(Donasi!$B$2:$B$20000,A2550))</f>
        <v/>
      </c>
      <c r="D2550">
        <f>IF(A2550="","",SUMIF(Donasi!$B$2:$B$20000,A2550,Donasi!$C$2:$C$20000))</f>
        <v/>
      </c>
      <c r="E2550">
        <f>IF(A2550="","",6-CEILING(PERCENTRANK.INC($B$3:$B$6000,B2550,4)*5+0.000001,1))</f>
        <v/>
      </c>
      <c r="F2550">
        <f>IF(A2550="","",MAX(1,CEILING(PERCENTRANK.INC($C$3:$C$6000,C2550,4)*5+0.000001,1)))</f>
        <v/>
      </c>
      <c r="G2550">
        <f>IF(A2550="","",MAX(1,CEILING(PERCENTRANK.INC($D$3:$D$6000,D2550,4)*5+0.000001,1)))</f>
        <v/>
      </c>
      <c r="H2550">
        <f>IF(A2550="","",E2550&amp;F2550&amp;G2550)</f>
        <v/>
      </c>
      <c r="I2550">
        <f>IF(A2550="","",IF(AND(E2550&gt;=4,F2550&gt;=4,G2550&gt;=4),"Juara",IF(AND(F2550&gt;=4,E2550&gt;=3),"Setia",IF(AND(E2550=5,F2550&lt;=2,G2550&gt;=3),"Berpotensi",IF(AND(E2550&lt;=3,E2550&gt;=2,F2550&gt;=3),"Rawan",IF(AND(E2550&lt;=2,F2550&lt;=2),"Tidur","Umum"))))))</f>
        <v/>
      </c>
    </row>
    <row r="2551">
      <c r="B2551">
        <f>IF(A2551="","",$B$1-MAXIFS(Donasi!$A$2:$A$20000,Donasi!$B$2:$B$20000,A2551))</f>
        <v/>
      </c>
      <c r="C2551">
        <f>IF(A2551="","",COUNTIF(Donasi!$B$2:$B$20000,A2551))</f>
        <v/>
      </c>
      <c r="D2551">
        <f>IF(A2551="","",SUMIF(Donasi!$B$2:$B$20000,A2551,Donasi!$C$2:$C$20000))</f>
        <v/>
      </c>
      <c r="E2551">
        <f>IF(A2551="","",6-CEILING(PERCENTRANK.INC($B$3:$B$6000,B2551,4)*5+0.000001,1))</f>
        <v/>
      </c>
      <c r="F2551">
        <f>IF(A2551="","",MAX(1,CEILING(PERCENTRANK.INC($C$3:$C$6000,C2551,4)*5+0.000001,1)))</f>
        <v/>
      </c>
      <c r="G2551">
        <f>IF(A2551="","",MAX(1,CEILING(PERCENTRANK.INC($D$3:$D$6000,D2551,4)*5+0.000001,1)))</f>
        <v/>
      </c>
      <c r="H2551">
        <f>IF(A2551="","",E2551&amp;F2551&amp;G2551)</f>
        <v/>
      </c>
      <c r="I2551">
        <f>IF(A2551="","",IF(AND(E2551&gt;=4,F2551&gt;=4,G2551&gt;=4),"Juara",IF(AND(F2551&gt;=4,E2551&gt;=3),"Setia",IF(AND(E2551=5,F2551&lt;=2,G2551&gt;=3),"Berpotensi",IF(AND(E2551&lt;=3,E2551&gt;=2,F2551&gt;=3),"Rawan",IF(AND(E2551&lt;=2,F2551&lt;=2),"Tidur","Umum"))))))</f>
        <v/>
      </c>
    </row>
    <row r="2552">
      <c r="B2552">
        <f>IF(A2552="","",$B$1-MAXIFS(Donasi!$A$2:$A$20000,Donasi!$B$2:$B$20000,A2552))</f>
        <v/>
      </c>
      <c r="C2552">
        <f>IF(A2552="","",COUNTIF(Donasi!$B$2:$B$20000,A2552))</f>
        <v/>
      </c>
      <c r="D2552">
        <f>IF(A2552="","",SUMIF(Donasi!$B$2:$B$20000,A2552,Donasi!$C$2:$C$20000))</f>
        <v/>
      </c>
      <c r="E2552">
        <f>IF(A2552="","",6-CEILING(PERCENTRANK.INC($B$3:$B$6000,B2552,4)*5+0.000001,1))</f>
        <v/>
      </c>
      <c r="F2552">
        <f>IF(A2552="","",MAX(1,CEILING(PERCENTRANK.INC($C$3:$C$6000,C2552,4)*5+0.000001,1)))</f>
        <v/>
      </c>
      <c r="G2552">
        <f>IF(A2552="","",MAX(1,CEILING(PERCENTRANK.INC($D$3:$D$6000,D2552,4)*5+0.000001,1)))</f>
        <v/>
      </c>
      <c r="H2552">
        <f>IF(A2552="","",E2552&amp;F2552&amp;G2552)</f>
        <v/>
      </c>
      <c r="I2552">
        <f>IF(A2552="","",IF(AND(E2552&gt;=4,F2552&gt;=4,G2552&gt;=4),"Juara",IF(AND(F2552&gt;=4,E2552&gt;=3),"Setia",IF(AND(E2552=5,F2552&lt;=2,G2552&gt;=3),"Berpotensi",IF(AND(E2552&lt;=3,E2552&gt;=2,F2552&gt;=3),"Rawan",IF(AND(E2552&lt;=2,F2552&lt;=2),"Tidur","Umum"))))))</f>
        <v/>
      </c>
    </row>
    <row r="2553">
      <c r="B2553">
        <f>IF(A2553="","",$B$1-MAXIFS(Donasi!$A$2:$A$20000,Donasi!$B$2:$B$20000,A2553))</f>
        <v/>
      </c>
      <c r="C2553">
        <f>IF(A2553="","",COUNTIF(Donasi!$B$2:$B$20000,A2553))</f>
        <v/>
      </c>
      <c r="D2553">
        <f>IF(A2553="","",SUMIF(Donasi!$B$2:$B$20000,A2553,Donasi!$C$2:$C$20000))</f>
        <v/>
      </c>
      <c r="E2553">
        <f>IF(A2553="","",6-CEILING(PERCENTRANK.INC($B$3:$B$6000,B2553,4)*5+0.000001,1))</f>
        <v/>
      </c>
      <c r="F2553">
        <f>IF(A2553="","",MAX(1,CEILING(PERCENTRANK.INC($C$3:$C$6000,C2553,4)*5+0.000001,1)))</f>
        <v/>
      </c>
      <c r="G2553">
        <f>IF(A2553="","",MAX(1,CEILING(PERCENTRANK.INC($D$3:$D$6000,D2553,4)*5+0.000001,1)))</f>
        <v/>
      </c>
      <c r="H2553">
        <f>IF(A2553="","",E2553&amp;F2553&amp;G2553)</f>
        <v/>
      </c>
      <c r="I2553">
        <f>IF(A2553="","",IF(AND(E2553&gt;=4,F2553&gt;=4,G2553&gt;=4),"Juara",IF(AND(F2553&gt;=4,E2553&gt;=3),"Setia",IF(AND(E2553=5,F2553&lt;=2,G2553&gt;=3),"Berpotensi",IF(AND(E2553&lt;=3,E2553&gt;=2,F2553&gt;=3),"Rawan",IF(AND(E2553&lt;=2,F2553&lt;=2),"Tidur","Umum"))))))</f>
        <v/>
      </c>
    </row>
    <row r="2554">
      <c r="B2554">
        <f>IF(A2554="","",$B$1-MAXIFS(Donasi!$A$2:$A$20000,Donasi!$B$2:$B$20000,A2554))</f>
        <v/>
      </c>
      <c r="C2554">
        <f>IF(A2554="","",COUNTIF(Donasi!$B$2:$B$20000,A2554))</f>
        <v/>
      </c>
      <c r="D2554">
        <f>IF(A2554="","",SUMIF(Donasi!$B$2:$B$20000,A2554,Donasi!$C$2:$C$20000))</f>
        <v/>
      </c>
      <c r="E2554">
        <f>IF(A2554="","",6-CEILING(PERCENTRANK.INC($B$3:$B$6000,B2554,4)*5+0.000001,1))</f>
        <v/>
      </c>
      <c r="F2554">
        <f>IF(A2554="","",MAX(1,CEILING(PERCENTRANK.INC($C$3:$C$6000,C2554,4)*5+0.000001,1)))</f>
        <v/>
      </c>
      <c r="G2554">
        <f>IF(A2554="","",MAX(1,CEILING(PERCENTRANK.INC($D$3:$D$6000,D2554,4)*5+0.000001,1)))</f>
        <v/>
      </c>
      <c r="H2554">
        <f>IF(A2554="","",E2554&amp;F2554&amp;G2554)</f>
        <v/>
      </c>
      <c r="I2554">
        <f>IF(A2554="","",IF(AND(E2554&gt;=4,F2554&gt;=4,G2554&gt;=4),"Juara",IF(AND(F2554&gt;=4,E2554&gt;=3),"Setia",IF(AND(E2554=5,F2554&lt;=2,G2554&gt;=3),"Berpotensi",IF(AND(E2554&lt;=3,E2554&gt;=2,F2554&gt;=3),"Rawan",IF(AND(E2554&lt;=2,F2554&lt;=2),"Tidur","Umum"))))))</f>
        <v/>
      </c>
    </row>
    <row r="2555">
      <c r="B2555">
        <f>IF(A2555="","",$B$1-MAXIFS(Donasi!$A$2:$A$20000,Donasi!$B$2:$B$20000,A2555))</f>
        <v/>
      </c>
      <c r="C2555">
        <f>IF(A2555="","",COUNTIF(Donasi!$B$2:$B$20000,A2555))</f>
        <v/>
      </c>
      <c r="D2555">
        <f>IF(A2555="","",SUMIF(Donasi!$B$2:$B$20000,A2555,Donasi!$C$2:$C$20000))</f>
        <v/>
      </c>
      <c r="E2555">
        <f>IF(A2555="","",6-CEILING(PERCENTRANK.INC($B$3:$B$6000,B2555,4)*5+0.000001,1))</f>
        <v/>
      </c>
      <c r="F2555">
        <f>IF(A2555="","",MAX(1,CEILING(PERCENTRANK.INC($C$3:$C$6000,C2555,4)*5+0.000001,1)))</f>
        <v/>
      </c>
      <c r="G2555">
        <f>IF(A2555="","",MAX(1,CEILING(PERCENTRANK.INC($D$3:$D$6000,D2555,4)*5+0.000001,1)))</f>
        <v/>
      </c>
      <c r="H2555">
        <f>IF(A2555="","",E2555&amp;F2555&amp;G2555)</f>
        <v/>
      </c>
      <c r="I2555">
        <f>IF(A2555="","",IF(AND(E2555&gt;=4,F2555&gt;=4,G2555&gt;=4),"Juara",IF(AND(F2555&gt;=4,E2555&gt;=3),"Setia",IF(AND(E2555=5,F2555&lt;=2,G2555&gt;=3),"Berpotensi",IF(AND(E2555&lt;=3,E2555&gt;=2,F2555&gt;=3),"Rawan",IF(AND(E2555&lt;=2,F2555&lt;=2),"Tidur","Umum"))))))</f>
        <v/>
      </c>
    </row>
    <row r="2556">
      <c r="B2556">
        <f>IF(A2556="","",$B$1-MAXIFS(Donasi!$A$2:$A$20000,Donasi!$B$2:$B$20000,A2556))</f>
        <v/>
      </c>
      <c r="C2556">
        <f>IF(A2556="","",COUNTIF(Donasi!$B$2:$B$20000,A2556))</f>
        <v/>
      </c>
      <c r="D2556">
        <f>IF(A2556="","",SUMIF(Donasi!$B$2:$B$20000,A2556,Donasi!$C$2:$C$20000))</f>
        <v/>
      </c>
      <c r="E2556">
        <f>IF(A2556="","",6-CEILING(PERCENTRANK.INC($B$3:$B$6000,B2556,4)*5+0.000001,1))</f>
        <v/>
      </c>
      <c r="F2556">
        <f>IF(A2556="","",MAX(1,CEILING(PERCENTRANK.INC($C$3:$C$6000,C2556,4)*5+0.000001,1)))</f>
        <v/>
      </c>
      <c r="G2556">
        <f>IF(A2556="","",MAX(1,CEILING(PERCENTRANK.INC($D$3:$D$6000,D2556,4)*5+0.000001,1)))</f>
        <v/>
      </c>
      <c r="H2556">
        <f>IF(A2556="","",E2556&amp;F2556&amp;G2556)</f>
        <v/>
      </c>
      <c r="I2556">
        <f>IF(A2556="","",IF(AND(E2556&gt;=4,F2556&gt;=4,G2556&gt;=4),"Juara",IF(AND(F2556&gt;=4,E2556&gt;=3),"Setia",IF(AND(E2556=5,F2556&lt;=2,G2556&gt;=3),"Berpotensi",IF(AND(E2556&lt;=3,E2556&gt;=2,F2556&gt;=3),"Rawan",IF(AND(E2556&lt;=2,F2556&lt;=2),"Tidur","Umum"))))))</f>
        <v/>
      </c>
    </row>
    <row r="2557">
      <c r="B2557">
        <f>IF(A2557="","",$B$1-MAXIFS(Donasi!$A$2:$A$20000,Donasi!$B$2:$B$20000,A2557))</f>
        <v/>
      </c>
      <c r="C2557">
        <f>IF(A2557="","",COUNTIF(Donasi!$B$2:$B$20000,A2557))</f>
        <v/>
      </c>
      <c r="D2557">
        <f>IF(A2557="","",SUMIF(Donasi!$B$2:$B$20000,A2557,Donasi!$C$2:$C$20000))</f>
        <v/>
      </c>
      <c r="E2557">
        <f>IF(A2557="","",6-CEILING(PERCENTRANK.INC($B$3:$B$6000,B2557,4)*5+0.000001,1))</f>
        <v/>
      </c>
      <c r="F2557">
        <f>IF(A2557="","",MAX(1,CEILING(PERCENTRANK.INC($C$3:$C$6000,C2557,4)*5+0.000001,1)))</f>
        <v/>
      </c>
      <c r="G2557">
        <f>IF(A2557="","",MAX(1,CEILING(PERCENTRANK.INC($D$3:$D$6000,D2557,4)*5+0.000001,1)))</f>
        <v/>
      </c>
      <c r="H2557">
        <f>IF(A2557="","",E2557&amp;F2557&amp;G2557)</f>
        <v/>
      </c>
      <c r="I2557">
        <f>IF(A2557="","",IF(AND(E2557&gt;=4,F2557&gt;=4,G2557&gt;=4),"Juara",IF(AND(F2557&gt;=4,E2557&gt;=3),"Setia",IF(AND(E2557=5,F2557&lt;=2,G2557&gt;=3),"Berpotensi",IF(AND(E2557&lt;=3,E2557&gt;=2,F2557&gt;=3),"Rawan",IF(AND(E2557&lt;=2,F2557&lt;=2),"Tidur","Umum"))))))</f>
        <v/>
      </c>
    </row>
    <row r="2558">
      <c r="B2558">
        <f>IF(A2558="","",$B$1-MAXIFS(Donasi!$A$2:$A$20000,Donasi!$B$2:$B$20000,A2558))</f>
        <v/>
      </c>
      <c r="C2558">
        <f>IF(A2558="","",COUNTIF(Donasi!$B$2:$B$20000,A2558))</f>
        <v/>
      </c>
      <c r="D2558">
        <f>IF(A2558="","",SUMIF(Donasi!$B$2:$B$20000,A2558,Donasi!$C$2:$C$20000))</f>
        <v/>
      </c>
      <c r="E2558">
        <f>IF(A2558="","",6-CEILING(PERCENTRANK.INC($B$3:$B$6000,B2558,4)*5+0.000001,1))</f>
        <v/>
      </c>
      <c r="F2558">
        <f>IF(A2558="","",MAX(1,CEILING(PERCENTRANK.INC($C$3:$C$6000,C2558,4)*5+0.000001,1)))</f>
        <v/>
      </c>
      <c r="G2558">
        <f>IF(A2558="","",MAX(1,CEILING(PERCENTRANK.INC($D$3:$D$6000,D2558,4)*5+0.000001,1)))</f>
        <v/>
      </c>
      <c r="H2558">
        <f>IF(A2558="","",E2558&amp;F2558&amp;G2558)</f>
        <v/>
      </c>
      <c r="I2558">
        <f>IF(A2558="","",IF(AND(E2558&gt;=4,F2558&gt;=4,G2558&gt;=4),"Juara",IF(AND(F2558&gt;=4,E2558&gt;=3),"Setia",IF(AND(E2558=5,F2558&lt;=2,G2558&gt;=3),"Berpotensi",IF(AND(E2558&lt;=3,E2558&gt;=2,F2558&gt;=3),"Rawan",IF(AND(E2558&lt;=2,F2558&lt;=2),"Tidur","Umum"))))))</f>
        <v/>
      </c>
    </row>
    <row r="2559">
      <c r="B2559">
        <f>IF(A2559="","",$B$1-MAXIFS(Donasi!$A$2:$A$20000,Donasi!$B$2:$B$20000,A2559))</f>
        <v/>
      </c>
      <c r="C2559">
        <f>IF(A2559="","",COUNTIF(Donasi!$B$2:$B$20000,A2559))</f>
        <v/>
      </c>
      <c r="D2559">
        <f>IF(A2559="","",SUMIF(Donasi!$B$2:$B$20000,A2559,Donasi!$C$2:$C$20000))</f>
        <v/>
      </c>
      <c r="E2559">
        <f>IF(A2559="","",6-CEILING(PERCENTRANK.INC($B$3:$B$6000,B2559,4)*5+0.000001,1))</f>
        <v/>
      </c>
      <c r="F2559">
        <f>IF(A2559="","",MAX(1,CEILING(PERCENTRANK.INC($C$3:$C$6000,C2559,4)*5+0.000001,1)))</f>
        <v/>
      </c>
      <c r="G2559">
        <f>IF(A2559="","",MAX(1,CEILING(PERCENTRANK.INC($D$3:$D$6000,D2559,4)*5+0.000001,1)))</f>
        <v/>
      </c>
      <c r="H2559">
        <f>IF(A2559="","",E2559&amp;F2559&amp;G2559)</f>
        <v/>
      </c>
      <c r="I2559">
        <f>IF(A2559="","",IF(AND(E2559&gt;=4,F2559&gt;=4,G2559&gt;=4),"Juara",IF(AND(F2559&gt;=4,E2559&gt;=3),"Setia",IF(AND(E2559=5,F2559&lt;=2,G2559&gt;=3),"Berpotensi",IF(AND(E2559&lt;=3,E2559&gt;=2,F2559&gt;=3),"Rawan",IF(AND(E2559&lt;=2,F2559&lt;=2),"Tidur","Umum"))))))</f>
        <v/>
      </c>
    </row>
    <row r="2560">
      <c r="B2560">
        <f>IF(A2560="","",$B$1-MAXIFS(Donasi!$A$2:$A$20000,Donasi!$B$2:$B$20000,A2560))</f>
        <v/>
      </c>
      <c r="C2560">
        <f>IF(A2560="","",COUNTIF(Donasi!$B$2:$B$20000,A2560))</f>
        <v/>
      </c>
      <c r="D2560">
        <f>IF(A2560="","",SUMIF(Donasi!$B$2:$B$20000,A2560,Donasi!$C$2:$C$20000))</f>
        <v/>
      </c>
      <c r="E2560">
        <f>IF(A2560="","",6-CEILING(PERCENTRANK.INC($B$3:$B$6000,B2560,4)*5+0.000001,1))</f>
        <v/>
      </c>
      <c r="F2560">
        <f>IF(A2560="","",MAX(1,CEILING(PERCENTRANK.INC($C$3:$C$6000,C2560,4)*5+0.000001,1)))</f>
        <v/>
      </c>
      <c r="G2560">
        <f>IF(A2560="","",MAX(1,CEILING(PERCENTRANK.INC($D$3:$D$6000,D2560,4)*5+0.000001,1)))</f>
        <v/>
      </c>
      <c r="H2560">
        <f>IF(A2560="","",E2560&amp;F2560&amp;G2560)</f>
        <v/>
      </c>
      <c r="I2560">
        <f>IF(A2560="","",IF(AND(E2560&gt;=4,F2560&gt;=4,G2560&gt;=4),"Juara",IF(AND(F2560&gt;=4,E2560&gt;=3),"Setia",IF(AND(E2560=5,F2560&lt;=2,G2560&gt;=3),"Berpotensi",IF(AND(E2560&lt;=3,E2560&gt;=2,F2560&gt;=3),"Rawan",IF(AND(E2560&lt;=2,F2560&lt;=2),"Tidur","Umum"))))))</f>
        <v/>
      </c>
    </row>
    <row r="2561">
      <c r="B2561">
        <f>IF(A2561="","",$B$1-MAXIFS(Donasi!$A$2:$A$20000,Donasi!$B$2:$B$20000,A2561))</f>
        <v/>
      </c>
      <c r="C2561">
        <f>IF(A2561="","",COUNTIF(Donasi!$B$2:$B$20000,A2561))</f>
        <v/>
      </c>
      <c r="D2561">
        <f>IF(A2561="","",SUMIF(Donasi!$B$2:$B$20000,A2561,Donasi!$C$2:$C$20000))</f>
        <v/>
      </c>
      <c r="E2561">
        <f>IF(A2561="","",6-CEILING(PERCENTRANK.INC($B$3:$B$6000,B2561,4)*5+0.000001,1))</f>
        <v/>
      </c>
      <c r="F2561">
        <f>IF(A2561="","",MAX(1,CEILING(PERCENTRANK.INC($C$3:$C$6000,C2561,4)*5+0.000001,1)))</f>
        <v/>
      </c>
      <c r="G2561">
        <f>IF(A2561="","",MAX(1,CEILING(PERCENTRANK.INC($D$3:$D$6000,D2561,4)*5+0.000001,1)))</f>
        <v/>
      </c>
      <c r="H2561">
        <f>IF(A2561="","",E2561&amp;F2561&amp;G2561)</f>
        <v/>
      </c>
      <c r="I2561">
        <f>IF(A2561="","",IF(AND(E2561&gt;=4,F2561&gt;=4,G2561&gt;=4),"Juara",IF(AND(F2561&gt;=4,E2561&gt;=3),"Setia",IF(AND(E2561=5,F2561&lt;=2,G2561&gt;=3),"Berpotensi",IF(AND(E2561&lt;=3,E2561&gt;=2,F2561&gt;=3),"Rawan",IF(AND(E2561&lt;=2,F2561&lt;=2),"Tidur","Umum"))))))</f>
        <v/>
      </c>
    </row>
    <row r="2562">
      <c r="B2562">
        <f>IF(A2562="","",$B$1-MAXIFS(Donasi!$A$2:$A$20000,Donasi!$B$2:$B$20000,A2562))</f>
        <v/>
      </c>
      <c r="C2562">
        <f>IF(A2562="","",COUNTIF(Donasi!$B$2:$B$20000,A2562))</f>
        <v/>
      </c>
      <c r="D2562">
        <f>IF(A2562="","",SUMIF(Donasi!$B$2:$B$20000,A2562,Donasi!$C$2:$C$20000))</f>
        <v/>
      </c>
      <c r="E2562">
        <f>IF(A2562="","",6-CEILING(PERCENTRANK.INC($B$3:$B$6000,B2562,4)*5+0.000001,1))</f>
        <v/>
      </c>
      <c r="F2562">
        <f>IF(A2562="","",MAX(1,CEILING(PERCENTRANK.INC($C$3:$C$6000,C2562,4)*5+0.000001,1)))</f>
        <v/>
      </c>
      <c r="G2562">
        <f>IF(A2562="","",MAX(1,CEILING(PERCENTRANK.INC($D$3:$D$6000,D2562,4)*5+0.000001,1)))</f>
        <v/>
      </c>
      <c r="H2562">
        <f>IF(A2562="","",E2562&amp;F2562&amp;G2562)</f>
        <v/>
      </c>
      <c r="I2562">
        <f>IF(A2562="","",IF(AND(E2562&gt;=4,F2562&gt;=4,G2562&gt;=4),"Juara",IF(AND(F2562&gt;=4,E2562&gt;=3),"Setia",IF(AND(E2562=5,F2562&lt;=2,G2562&gt;=3),"Berpotensi",IF(AND(E2562&lt;=3,E2562&gt;=2,F2562&gt;=3),"Rawan",IF(AND(E2562&lt;=2,F2562&lt;=2),"Tidur","Umum"))))))</f>
        <v/>
      </c>
    </row>
    <row r="2563">
      <c r="B2563">
        <f>IF(A2563="","",$B$1-MAXIFS(Donasi!$A$2:$A$20000,Donasi!$B$2:$B$20000,A2563))</f>
        <v/>
      </c>
      <c r="C2563">
        <f>IF(A2563="","",COUNTIF(Donasi!$B$2:$B$20000,A2563))</f>
        <v/>
      </c>
      <c r="D2563">
        <f>IF(A2563="","",SUMIF(Donasi!$B$2:$B$20000,A2563,Donasi!$C$2:$C$20000))</f>
        <v/>
      </c>
      <c r="E2563">
        <f>IF(A2563="","",6-CEILING(PERCENTRANK.INC($B$3:$B$6000,B2563,4)*5+0.000001,1))</f>
        <v/>
      </c>
      <c r="F2563">
        <f>IF(A2563="","",MAX(1,CEILING(PERCENTRANK.INC($C$3:$C$6000,C2563,4)*5+0.000001,1)))</f>
        <v/>
      </c>
      <c r="G2563">
        <f>IF(A2563="","",MAX(1,CEILING(PERCENTRANK.INC($D$3:$D$6000,D2563,4)*5+0.000001,1)))</f>
        <v/>
      </c>
      <c r="H2563">
        <f>IF(A2563="","",E2563&amp;F2563&amp;G2563)</f>
        <v/>
      </c>
      <c r="I2563">
        <f>IF(A2563="","",IF(AND(E2563&gt;=4,F2563&gt;=4,G2563&gt;=4),"Juara",IF(AND(F2563&gt;=4,E2563&gt;=3),"Setia",IF(AND(E2563=5,F2563&lt;=2,G2563&gt;=3),"Berpotensi",IF(AND(E2563&lt;=3,E2563&gt;=2,F2563&gt;=3),"Rawan",IF(AND(E2563&lt;=2,F2563&lt;=2),"Tidur","Umum"))))))</f>
        <v/>
      </c>
    </row>
    <row r="2564">
      <c r="B2564">
        <f>IF(A2564="","",$B$1-MAXIFS(Donasi!$A$2:$A$20000,Donasi!$B$2:$B$20000,A2564))</f>
        <v/>
      </c>
      <c r="C2564">
        <f>IF(A2564="","",COUNTIF(Donasi!$B$2:$B$20000,A2564))</f>
        <v/>
      </c>
      <c r="D2564">
        <f>IF(A2564="","",SUMIF(Donasi!$B$2:$B$20000,A2564,Donasi!$C$2:$C$20000))</f>
        <v/>
      </c>
      <c r="E2564">
        <f>IF(A2564="","",6-CEILING(PERCENTRANK.INC($B$3:$B$6000,B2564,4)*5+0.000001,1))</f>
        <v/>
      </c>
      <c r="F2564">
        <f>IF(A2564="","",MAX(1,CEILING(PERCENTRANK.INC($C$3:$C$6000,C2564,4)*5+0.000001,1)))</f>
        <v/>
      </c>
      <c r="G2564">
        <f>IF(A2564="","",MAX(1,CEILING(PERCENTRANK.INC($D$3:$D$6000,D2564,4)*5+0.000001,1)))</f>
        <v/>
      </c>
      <c r="H2564">
        <f>IF(A2564="","",E2564&amp;F2564&amp;G2564)</f>
        <v/>
      </c>
      <c r="I2564">
        <f>IF(A2564="","",IF(AND(E2564&gt;=4,F2564&gt;=4,G2564&gt;=4),"Juara",IF(AND(F2564&gt;=4,E2564&gt;=3),"Setia",IF(AND(E2564=5,F2564&lt;=2,G2564&gt;=3),"Berpotensi",IF(AND(E2564&lt;=3,E2564&gt;=2,F2564&gt;=3),"Rawan",IF(AND(E2564&lt;=2,F2564&lt;=2),"Tidur","Umum"))))))</f>
        <v/>
      </c>
    </row>
    <row r="2565">
      <c r="B2565">
        <f>IF(A2565="","",$B$1-MAXIFS(Donasi!$A$2:$A$20000,Donasi!$B$2:$B$20000,A2565))</f>
        <v/>
      </c>
      <c r="C2565">
        <f>IF(A2565="","",COUNTIF(Donasi!$B$2:$B$20000,A2565))</f>
        <v/>
      </c>
      <c r="D2565">
        <f>IF(A2565="","",SUMIF(Donasi!$B$2:$B$20000,A2565,Donasi!$C$2:$C$20000))</f>
        <v/>
      </c>
      <c r="E2565">
        <f>IF(A2565="","",6-CEILING(PERCENTRANK.INC($B$3:$B$6000,B2565,4)*5+0.000001,1))</f>
        <v/>
      </c>
      <c r="F2565">
        <f>IF(A2565="","",MAX(1,CEILING(PERCENTRANK.INC($C$3:$C$6000,C2565,4)*5+0.000001,1)))</f>
        <v/>
      </c>
      <c r="G2565">
        <f>IF(A2565="","",MAX(1,CEILING(PERCENTRANK.INC($D$3:$D$6000,D2565,4)*5+0.000001,1)))</f>
        <v/>
      </c>
      <c r="H2565">
        <f>IF(A2565="","",E2565&amp;F2565&amp;G2565)</f>
        <v/>
      </c>
      <c r="I2565">
        <f>IF(A2565="","",IF(AND(E2565&gt;=4,F2565&gt;=4,G2565&gt;=4),"Juara",IF(AND(F2565&gt;=4,E2565&gt;=3),"Setia",IF(AND(E2565=5,F2565&lt;=2,G2565&gt;=3),"Berpotensi",IF(AND(E2565&lt;=3,E2565&gt;=2,F2565&gt;=3),"Rawan",IF(AND(E2565&lt;=2,F2565&lt;=2),"Tidur","Umum"))))))</f>
        <v/>
      </c>
    </row>
    <row r="2566">
      <c r="B2566">
        <f>IF(A2566="","",$B$1-MAXIFS(Donasi!$A$2:$A$20000,Donasi!$B$2:$B$20000,A2566))</f>
        <v/>
      </c>
      <c r="C2566">
        <f>IF(A2566="","",COUNTIF(Donasi!$B$2:$B$20000,A2566))</f>
        <v/>
      </c>
      <c r="D2566">
        <f>IF(A2566="","",SUMIF(Donasi!$B$2:$B$20000,A2566,Donasi!$C$2:$C$20000))</f>
        <v/>
      </c>
      <c r="E2566">
        <f>IF(A2566="","",6-CEILING(PERCENTRANK.INC($B$3:$B$6000,B2566,4)*5+0.000001,1))</f>
        <v/>
      </c>
      <c r="F2566">
        <f>IF(A2566="","",MAX(1,CEILING(PERCENTRANK.INC($C$3:$C$6000,C2566,4)*5+0.000001,1)))</f>
        <v/>
      </c>
      <c r="G2566">
        <f>IF(A2566="","",MAX(1,CEILING(PERCENTRANK.INC($D$3:$D$6000,D2566,4)*5+0.000001,1)))</f>
        <v/>
      </c>
      <c r="H2566">
        <f>IF(A2566="","",E2566&amp;F2566&amp;G2566)</f>
        <v/>
      </c>
      <c r="I2566">
        <f>IF(A2566="","",IF(AND(E2566&gt;=4,F2566&gt;=4,G2566&gt;=4),"Juara",IF(AND(F2566&gt;=4,E2566&gt;=3),"Setia",IF(AND(E2566=5,F2566&lt;=2,G2566&gt;=3),"Berpotensi",IF(AND(E2566&lt;=3,E2566&gt;=2,F2566&gt;=3),"Rawan",IF(AND(E2566&lt;=2,F2566&lt;=2),"Tidur","Umum"))))))</f>
        <v/>
      </c>
    </row>
    <row r="2567">
      <c r="B2567">
        <f>IF(A2567="","",$B$1-MAXIFS(Donasi!$A$2:$A$20000,Donasi!$B$2:$B$20000,A2567))</f>
        <v/>
      </c>
      <c r="C2567">
        <f>IF(A2567="","",COUNTIF(Donasi!$B$2:$B$20000,A2567))</f>
        <v/>
      </c>
      <c r="D2567">
        <f>IF(A2567="","",SUMIF(Donasi!$B$2:$B$20000,A2567,Donasi!$C$2:$C$20000))</f>
        <v/>
      </c>
      <c r="E2567">
        <f>IF(A2567="","",6-CEILING(PERCENTRANK.INC($B$3:$B$6000,B2567,4)*5+0.000001,1))</f>
        <v/>
      </c>
      <c r="F2567">
        <f>IF(A2567="","",MAX(1,CEILING(PERCENTRANK.INC($C$3:$C$6000,C2567,4)*5+0.000001,1)))</f>
        <v/>
      </c>
      <c r="G2567">
        <f>IF(A2567="","",MAX(1,CEILING(PERCENTRANK.INC($D$3:$D$6000,D2567,4)*5+0.000001,1)))</f>
        <v/>
      </c>
      <c r="H2567">
        <f>IF(A2567="","",E2567&amp;F2567&amp;G2567)</f>
        <v/>
      </c>
      <c r="I2567">
        <f>IF(A2567="","",IF(AND(E2567&gt;=4,F2567&gt;=4,G2567&gt;=4),"Juara",IF(AND(F2567&gt;=4,E2567&gt;=3),"Setia",IF(AND(E2567=5,F2567&lt;=2,G2567&gt;=3),"Berpotensi",IF(AND(E2567&lt;=3,E2567&gt;=2,F2567&gt;=3),"Rawan",IF(AND(E2567&lt;=2,F2567&lt;=2),"Tidur","Umum"))))))</f>
        <v/>
      </c>
    </row>
    <row r="2568">
      <c r="B2568">
        <f>IF(A2568="","",$B$1-MAXIFS(Donasi!$A$2:$A$20000,Donasi!$B$2:$B$20000,A2568))</f>
        <v/>
      </c>
      <c r="C2568">
        <f>IF(A2568="","",COUNTIF(Donasi!$B$2:$B$20000,A2568))</f>
        <v/>
      </c>
      <c r="D2568">
        <f>IF(A2568="","",SUMIF(Donasi!$B$2:$B$20000,A2568,Donasi!$C$2:$C$20000))</f>
        <v/>
      </c>
      <c r="E2568">
        <f>IF(A2568="","",6-CEILING(PERCENTRANK.INC($B$3:$B$6000,B2568,4)*5+0.000001,1))</f>
        <v/>
      </c>
      <c r="F2568">
        <f>IF(A2568="","",MAX(1,CEILING(PERCENTRANK.INC($C$3:$C$6000,C2568,4)*5+0.000001,1)))</f>
        <v/>
      </c>
      <c r="G2568">
        <f>IF(A2568="","",MAX(1,CEILING(PERCENTRANK.INC($D$3:$D$6000,D2568,4)*5+0.000001,1)))</f>
        <v/>
      </c>
      <c r="H2568">
        <f>IF(A2568="","",E2568&amp;F2568&amp;G2568)</f>
        <v/>
      </c>
      <c r="I2568">
        <f>IF(A2568="","",IF(AND(E2568&gt;=4,F2568&gt;=4,G2568&gt;=4),"Juara",IF(AND(F2568&gt;=4,E2568&gt;=3),"Setia",IF(AND(E2568=5,F2568&lt;=2,G2568&gt;=3),"Berpotensi",IF(AND(E2568&lt;=3,E2568&gt;=2,F2568&gt;=3),"Rawan",IF(AND(E2568&lt;=2,F2568&lt;=2),"Tidur","Umum"))))))</f>
        <v/>
      </c>
    </row>
    <row r="2569">
      <c r="B2569">
        <f>IF(A2569="","",$B$1-MAXIFS(Donasi!$A$2:$A$20000,Donasi!$B$2:$B$20000,A2569))</f>
        <v/>
      </c>
      <c r="C2569">
        <f>IF(A2569="","",COUNTIF(Donasi!$B$2:$B$20000,A2569))</f>
        <v/>
      </c>
      <c r="D2569">
        <f>IF(A2569="","",SUMIF(Donasi!$B$2:$B$20000,A2569,Donasi!$C$2:$C$20000))</f>
        <v/>
      </c>
      <c r="E2569">
        <f>IF(A2569="","",6-CEILING(PERCENTRANK.INC($B$3:$B$6000,B2569,4)*5+0.000001,1))</f>
        <v/>
      </c>
      <c r="F2569">
        <f>IF(A2569="","",MAX(1,CEILING(PERCENTRANK.INC($C$3:$C$6000,C2569,4)*5+0.000001,1)))</f>
        <v/>
      </c>
      <c r="G2569">
        <f>IF(A2569="","",MAX(1,CEILING(PERCENTRANK.INC($D$3:$D$6000,D2569,4)*5+0.000001,1)))</f>
        <v/>
      </c>
      <c r="H2569">
        <f>IF(A2569="","",E2569&amp;F2569&amp;G2569)</f>
        <v/>
      </c>
      <c r="I2569">
        <f>IF(A2569="","",IF(AND(E2569&gt;=4,F2569&gt;=4,G2569&gt;=4),"Juara",IF(AND(F2569&gt;=4,E2569&gt;=3),"Setia",IF(AND(E2569=5,F2569&lt;=2,G2569&gt;=3),"Berpotensi",IF(AND(E2569&lt;=3,E2569&gt;=2,F2569&gt;=3),"Rawan",IF(AND(E2569&lt;=2,F2569&lt;=2),"Tidur","Umum"))))))</f>
        <v/>
      </c>
    </row>
    <row r="2570">
      <c r="B2570">
        <f>IF(A2570="","",$B$1-MAXIFS(Donasi!$A$2:$A$20000,Donasi!$B$2:$B$20000,A2570))</f>
        <v/>
      </c>
      <c r="C2570">
        <f>IF(A2570="","",COUNTIF(Donasi!$B$2:$B$20000,A2570))</f>
        <v/>
      </c>
      <c r="D2570">
        <f>IF(A2570="","",SUMIF(Donasi!$B$2:$B$20000,A2570,Donasi!$C$2:$C$20000))</f>
        <v/>
      </c>
      <c r="E2570">
        <f>IF(A2570="","",6-CEILING(PERCENTRANK.INC($B$3:$B$6000,B2570,4)*5+0.000001,1))</f>
        <v/>
      </c>
      <c r="F2570">
        <f>IF(A2570="","",MAX(1,CEILING(PERCENTRANK.INC($C$3:$C$6000,C2570,4)*5+0.000001,1)))</f>
        <v/>
      </c>
      <c r="G2570">
        <f>IF(A2570="","",MAX(1,CEILING(PERCENTRANK.INC($D$3:$D$6000,D2570,4)*5+0.000001,1)))</f>
        <v/>
      </c>
      <c r="H2570">
        <f>IF(A2570="","",E2570&amp;F2570&amp;G2570)</f>
        <v/>
      </c>
      <c r="I2570">
        <f>IF(A2570="","",IF(AND(E2570&gt;=4,F2570&gt;=4,G2570&gt;=4),"Juara",IF(AND(F2570&gt;=4,E2570&gt;=3),"Setia",IF(AND(E2570=5,F2570&lt;=2,G2570&gt;=3),"Berpotensi",IF(AND(E2570&lt;=3,E2570&gt;=2,F2570&gt;=3),"Rawan",IF(AND(E2570&lt;=2,F2570&lt;=2),"Tidur","Umum"))))))</f>
        <v/>
      </c>
    </row>
    <row r="2571">
      <c r="B2571">
        <f>IF(A2571="","",$B$1-MAXIFS(Donasi!$A$2:$A$20000,Donasi!$B$2:$B$20000,A2571))</f>
        <v/>
      </c>
      <c r="C2571">
        <f>IF(A2571="","",COUNTIF(Donasi!$B$2:$B$20000,A2571))</f>
        <v/>
      </c>
      <c r="D2571">
        <f>IF(A2571="","",SUMIF(Donasi!$B$2:$B$20000,A2571,Donasi!$C$2:$C$20000))</f>
        <v/>
      </c>
      <c r="E2571">
        <f>IF(A2571="","",6-CEILING(PERCENTRANK.INC($B$3:$B$6000,B2571,4)*5+0.000001,1))</f>
        <v/>
      </c>
      <c r="F2571">
        <f>IF(A2571="","",MAX(1,CEILING(PERCENTRANK.INC($C$3:$C$6000,C2571,4)*5+0.000001,1)))</f>
        <v/>
      </c>
      <c r="G2571">
        <f>IF(A2571="","",MAX(1,CEILING(PERCENTRANK.INC($D$3:$D$6000,D2571,4)*5+0.000001,1)))</f>
        <v/>
      </c>
      <c r="H2571">
        <f>IF(A2571="","",E2571&amp;F2571&amp;G2571)</f>
        <v/>
      </c>
      <c r="I2571">
        <f>IF(A2571="","",IF(AND(E2571&gt;=4,F2571&gt;=4,G2571&gt;=4),"Juara",IF(AND(F2571&gt;=4,E2571&gt;=3),"Setia",IF(AND(E2571=5,F2571&lt;=2,G2571&gt;=3),"Berpotensi",IF(AND(E2571&lt;=3,E2571&gt;=2,F2571&gt;=3),"Rawan",IF(AND(E2571&lt;=2,F2571&lt;=2),"Tidur","Umum"))))))</f>
        <v/>
      </c>
    </row>
    <row r="2572">
      <c r="B2572">
        <f>IF(A2572="","",$B$1-MAXIFS(Donasi!$A$2:$A$20000,Donasi!$B$2:$B$20000,A2572))</f>
        <v/>
      </c>
      <c r="C2572">
        <f>IF(A2572="","",COUNTIF(Donasi!$B$2:$B$20000,A2572))</f>
        <v/>
      </c>
      <c r="D2572">
        <f>IF(A2572="","",SUMIF(Donasi!$B$2:$B$20000,A2572,Donasi!$C$2:$C$20000))</f>
        <v/>
      </c>
      <c r="E2572">
        <f>IF(A2572="","",6-CEILING(PERCENTRANK.INC($B$3:$B$6000,B2572,4)*5+0.000001,1))</f>
        <v/>
      </c>
      <c r="F2572">
        <f>IF(A2572="","",MAX(1,CEILING(PERCENTRANK.INC($C$3:$C$6000,C2572,4)*5+0.000001,1)))</f>
        <v/>
      </c>
      <c r="G2572">
        <f>IF(A2572="","",MAX(1,CEILING(PERCENTRANK.INC($D$3:$D$6000,D2572,4)*5+0.000001,1)))</f>
        <v/>
      </c>
      <c r="H2572">
        <f>IF(A2572="","",E2572&amp;F2572&amp;G2572)</f>
        <v/>
      </c>
      <c r="I2572">
        <f>IF(A2572="","",IF(AND(E2572&gt;=4,F2572&gt;=4,G2572&gt;=4),"Juara",IF(AND(F2572&gt;=4,E2572&gt;=3),"Setia",IF(AND(E2572=5,F2572&lt;=2,G2572&gt;=3),"Berpotensi",IF(AND(E2572&lt;=3,E2572&gt;=2,F2572&gt;=3),"Rawan",IF(AND(E2572&lt;=2,F2572&lt;=2),"Tidur","Umum"))))))</f>
        <v/>
      </c>
    </row>
    <row r="2573">
      <c r="B2573">
        <f>IF(A2573="","",$B$1-MAXIFS(Donasi!$A$2:$A$20000,Donasi!$B$2:$B$20000,A2573))</f>
        <v/>
      </c>
      <c r="C2573">
        <f>IF(A2573="","",COUNTIF(Donasi!$B$2:$B$20000,A2573))</f>
        <v/>
      </c>
      <c r="D2573">
        <f>IF(A2573="","",SUMIF(Donasi!$B$2:$B$20000,A2573,Donasi!$C$2:$C$20000))</f>
        <v/>
      </c>
      <c r="E2573">
        <f>IF(A2573="","",6-CEILING(PERCENTRANK.INC($B$3:$B$6000,B2573,4)*5+0.000001,1))</f>
        <v/>
      </c>
      <c r="F2573">
        <f>IF(A2573="","",MAX(1,CEILING(PERCENTRANK.INC($C$3:$C$6000,C2573,4)*5+0.000001,1)))</f>
        <v/>
      </c>
      <c r="G2573">
        <f>IF(A2573="","",MAX(1,CEILING(PERCENTRANK.INC($D$3:$D$6000,D2573,4)*5+0.000001,1)))</f>
        <v/>
      </c>
      <c r="H2573">
        <f>IF(A2573="","",E2573&amp;F2573&amp;G2573)</f>
        <v/>
      </c>
      <c r="I2573">
        <f>IF(A2573="","",IF(AND(E2573&gt;=4,F2573&gt;=4,G2573&gt;=4),"Juara",IF(AND(F2573&gt;=4,E2573&gt;=3),"Setia",IF(AND(E2573=5,F2573&lt;=2,G2573&gt;=3),"Berpotensi",IF(AND(E2573&lt;=3,E2573&gt;=2,F2573&gt;=3),"Rawan",IF(AND(E2573&lt;=2,F2573&lt;=2),"Tidur","Umum"))))))</f>
        <v/>
      </c>
    </row>
    <row r="2574">
      <c r="B2574">
        <f>IF(A2574="","",$B$1-MAXIFS(Donasi!$A$2:$A$20000,Donasi!$B$2:$B$20000,A2574))</f>
        <v/>
      </c>
      <c r="C2574">
        <f>IF(A2574="","",COUNTIF(Donasi!$B$2:$B$20000,A2574))</f>
        <v/>
      </c>
      <c r="D2574">
        <f>IF(A2574="","",SUMIF(Donasi!$B$2:$B$20000,A2574,Donasi!$C$2:$C$20000))</f>
        <v/>
      </c>
      <c r="E2574">
        <f>IF(A2574="","",6-CEILING(PERCENTRANK.INC($B$3:$B$6000,B2574,4)*5+0.000001,1))</f>
        <v/>
      </c>
      <c r="F2574">
        <f>IF(A2574="","",MAX(1,CEILING(PERCENTRANK.INC($C$3:$C$6000,C2574,4)*5+0.000001,1)))</f>
        <v/>
      </c>
      <c r="G2574">
        <f>IF(A2574="","",MAX(1,CEILING(PERCENTRANK.INC($D$3:$D$6000,D2574,4)*5+0.000001,1)))</f>
        <v/>
      </c>
      <c r="H2574">
        <f>IF(A2574="","",E2574&amp;F2574&amp;G2574)</f>
        <v/>
      </c>
      <c r="I2574">
        <f>IF(A2574="","",IF(AND(E2574&gt;=4,F2574&gt;=4,G2574&gt;=4),"Juara",IF(AND(F2574&gt;=4,E2574&gt;=3),"Setia",IF(AND(E2574=5,F2574&lt;=2,G2574&gt;=3),"Berpotensi",IF(AND(E2574&lt;=3,E2574&gt;=2,F2574&gt;=3),"Rawan",IF(AND(E2574&lt;=2,F2574&lt;=2),"Tidur","Umum"))))))</f>
        <v/>
      </c>
    </row>
    <row r="2575">
      <c r="B2575">
        <f>IF(A2575="","",$B$1-MAXIFS(Donasi!$A$2:$A$20000,Donasi!$B$2:$B$20000,A2575))</f>
        <v/>
      </c>
      <c r="C2575">
        <f>IF(A2575="","",COUNTIF(Donasi!$B$2:$B$20000,A2575))</f>
        <v/>
      </c>
      <c r="D2575">
        <f>IF(A2575="","",SUMIF(Donasi!$B$2:$B$20000,A2575,Donasi!$C$2:$C$20000))</f>
        <v/>
      </c>
      <c r="E2575">
        <f>IF(A2575="","",6-CEILING(PERCENTRANK.INC($B$3:$B$6000,B2575,4)*5+0.000001,1))</f>
        <v/>
      </c>
      <c r="F2575">
        <f>IF(A2575="","",MAX(1,CEILING(PERCENTRANK.INC($C$3:$C$6000,C2575,4)*5+0.000001,1)))</f>
        <v/>
      </c>
      <c r="G2575">
        <f>IF(A2575="","",MAX(1,CEILING(PERCENTRANK.INC($D$3:$D$6000,D2575,4)*5+0.000001,1)))</f>
        <v/>
      </c>
      <c r="H2575">
        <f>IF(A2575="","",E2575&amp;F2575&amp;G2575)</f>
        <v/>
      </c>
      <c r="I2575">
        <f>IF(A2575="","",IF(AND(E2575&gt;=4,F2575&gt;=4,G2575&gt;=4),"Juara",IF(AND(F2575&gt;=4,E2575&gt;=3),"Setia",IF(AND(E2575=5,F2575&lt;=2,G2575&gt;=3),"Berpotensi",IF(AND(E2575&lt;=3,E2575&gt;=2,F2575&gt;=3),"Rawan",IF(AND(E2575&lt;=2,F2575&lt;=2),"Tidur","Umum"))))))</f>
        <v/>
      </c>
    </row>
    <row r="2576">
      <c r="B2576">
        <f>IF(A2576="","",$B$1-MAXIFS(Donasi!$A$2:$A$20000,Donasi!$B$2:$B$20000,A2576))</f>
        <v/>
      </c>
      <c r="C2576">
        <f>IF(A2576="","",COUNTIF(Donasi!$B$2:$B$20000,A2576))</f>
        <v/>
      </c>
      <c r="D2576">
        <f>IF(A2576="","",SUMIF(Donasi!$B$2:$B$20000,A2576,Donasi!$C$2:$C$20000))</f>
        <v/>
      </c>
      <c r="E2576">
        <f>IF(A2576="","",6-CEILING(PERCENTRANK.INC($B$3:$B$6000,B2576,4)*5+0.000001,1))</f>
        <v/>
      </c>
      <c r="F2576">
        <f>IF(A2576="","",MAX(1,CEILING(PERCENTRANK.INC($C$3:$C$6000,C2576,4)*5+0.000001,1)))</f>
        <v/>
      </c>
      <c r="G2576">
        <f>IF(A2576="","",MAX(1,CEILING(PERCENTRANK.INC($D$3:$D$6000,D2576,4)*5+0.000001,1)))</f>
        <v/>
      </c>
      <c r="H2576">
        <f>IF(A2576="","",E2576&amp;F2576&amp;G2576)</f>
        <v/>
      </c>
      <c r="I2576">
        <f>IF(A2576="","",IF(AND(E2576&gt;=4,F2576&gt;=4,G2576&gt;=4),"Juara",IF(AND(F2576&gt;=4,E2576&gt;=3),"Setia",IF(AND(E2576=5,F2576&lt;=2,G2576&gt;=3),"Berpotensi",IF(AND(E2576&lt;=3,E2576&gt;=2,F2576&gt;=3),"Rawan",IF(AND(E2576&lt;=2,F2576&lt;=2),"Tidur","Umum"))))))</f>
        <v/>
      </c>
    </row>
    <row r="2577">
      <c r="B2577">
        <f>IF(A2577="","",$B$1-MAXIFS(Donasi!$A$2:$A$20000,Donasi!$B$2:$B$20000,A2577))</f>
        <v/>
      </c>
      <c r="C2577">
        <f>IF(A2577="","",COUNTIF(Donasi!$B$2:$B$20000,A2577))</f>
        <v/>
      </c>
      <c r="D2577">
        <f>IF(A2577="","",SUMIF(Donasi!$B$2:$B$20000,A2577,Donasi!$C$2:$C$20000))</f>
        <v/>
      </c>
      <c r="E2577">
        <f>IF(A2577="","",6-CEILING(PERCENTRANK.INC($B$3:$B$6000,B2577,4)*5+0.000001,1))</f>
        <v/>
      </c>
      <c r="F2577">
        <f>IF(A2577="","",MAX(1,CEILING(PERCENTRANK.INC($C$3:$C$6000,C2577,4)*5+0.000001,1)))</f>
        <v/>
      </c>
      <c r="G2577">
        <f>IF(A2577="","",MAX(1,CEILING(PERCENTRANK.INC($D$3:$D$6000,D2577,4)*5+0.000001,1)))</f>
        <v/>
      </c>
      <c r="H2577">
        <f>IF(A2577="","",E2577&amp;F2577&amp;G2577)</f>
        <v/>
      </c>
      <c r="I2577">
        <f>IF(A2577="","",IF(AND(E2577&gt;=4,F2577&gt;=4,G2577&gt;=4),"Juara",IF(AND(F2577&gt;=4,E2577&gt;=3),"Setia",IF(AND(E2577=5,F2577&lt;=2,G2577&gt;=3),"Berpotensi",IF(AND(E2577&lt;=3,E2577&gt;=2,F2577&gt;=3),"Rawan",IF(AND(E2577&lt;=2,F2577&lt;=2),"Tidur","Umum"))))))</f>
        <v/>
      </c>
    </row>
    <row r="2578">
      <c r="B2578">
        <f>IF(A2578="","",$B$1-MAXIFS(Donasi!$A$2:$A$20000,Donasi!$B$2:$B$20000,A2578))</f>
        <v/>
      </c>
      <c r="C2578">
        <f>IF(A2578="","",COUNTIF(Donasi!$B$2:$B$20000,A2578))</f>
        <v/>
      </c>
      <c r="D2578">
        <f>IF(A2578="","",SUMIF(Donasi!$B$2:$B$20000,A2578,Donasi!$C$2:$C$20000))</f>
        <v/>
      </c>
      <c r="E2578">
        <f>IF(A2578="","",6-CEILING(PERCENTRANK.INC($B$3:$B$6000,B2578,4)*5+0.000001,1))</f>
        <v/>
      </c>
      <c r="F2578">
        <f>IF(A2578="","",MAX(1,CEILING(PERCENTRANK.INC($C$3:$C$6000,C2578,4)*5+0.000001,1)))</f>
        <v/>
      </c>
      <c r="G2578">
        <f>IF(A2578="","",MAX(1,CEILING(PERCENTRANK.INC($D$3:$D$6000,D2578,4)*5+0.000001,1)))</f>
        <v/>
      </c>
      <c r="H2578">
        <f>IF(A2578="","",E2578&amp;F2578&amp;G2578)</f>
        <v/>
      </c>
      <c r="I2578">
        <f>IF(A2578="","",IF(AND(E2578&gt;=4,F2578&gt;=4,G2578&gt;=4),"Juara",IF(AND(F2578&gt;=4,E2578&gt;=3),"Setia",IF(AND(E2578=5,F2578&lt;=2,G2578&gt;=3),"Berpotensi",IF(AND(E2578&lt;=3,E2578&gt;=2,F2578&gt;=3),"Rawan",IF(AND(E2578&lt;=2,F2578&lt;=2),"Tidur","Umum"))))))</f>
        <v/>
      </c>
    </row>
    <row r="2579">
      <c r="B2579">
        <f>IF(A2579="","",$B$1-MAXIFS(Donasi!$A$2:$A$20000,Donasi!$B$2:$B$20000,A2579))</f>
        <v/>
      </c>
      <c r="C2579">
        <f>IF(A2579="","",COUNTIF(Donasi!$B$2:$B$20000,A2579))</f>
        <v/>
      </c>
      <c r="D2579">
        <f>IF(A2579="","",SUMIF(Donasi!$B$2:$B$20000,A2579,Donasi!$C$2:$C$20000))</f>
        <v/>
      </c>
      <c r="E2579">
        <f>IF(A2579="","",6-CEILING(PERCENTRANK.INC($B$3:$B$6000,B2579,4)*5+0.000001,1))</f>
        <v/>
      </c>
      <c r="F2579">
        <f>IF(A2579="","",MAX(1,CEILING(PERCENTRANK.INC($C$3:$C$6000,C2579,4)*5+0.000001,1)))</f>
        <v/>
      </c>
      <c r="G2579">
        <f>IF(A2579="","",MAX(1,CEILING(PERCENTRANK.INC($D$3:$D$6000,D2579,4)*5+0.000001,1)))</f>
        <v/>
      </c>
      <c r="H2579">
        <f>IF(A2579="","",E2579&amp;F2579&amp;G2579)</f>
        <v/>
      </c>
      <c r="I2579">
        <f>IF(A2579="","",IF(AND(E2579&gt;=4,F2579&gt;=4,G2579&gt;=4),"Juara",IF(AND(F2579&gt;=4,E2579&gt;=3),"Setia",IF(AND(E2579=5,F2579&lt;=2,G2579&gt;=3),"Berpotensi",IF(AND(E2579&lt;=3,E2579&gt;=2,F2579&gt;=3),"Rawan",IF(AND(E2579&lt;=2,F2579&lt;=2),"Tidur","Umum"))))))</f>
        <v/>
      </c>
    </row>
    <row r="2580">
      <c r="B2580">
        <f>IF(A2580="","",$B$1-MAXIFS(Donasi!$A$2:$A$20000,Donasi!$B$2:$B$20000,A2580))</f>
        <v/>
      </c>
      <c r="C2580">
        <f>IF(A2580="","",COUNTIF(Donasi!$B$2:$B$20000,A2580))</f>
        <v/>
      </c>
      <c r="D2580">
        <f>IF(A2580="","",SUMIF(Donasi!$B$2:$B$20000,A2580,Donasi!$C$2:$C$20000))</f>
        <v/>
      </c>
      <c r="E2580">
        <f>IF(A2580="","",6-CEILING(PERCENTRANK.INC($B$3:$B$6000,B2580,4)*5+0.000001,1))</f>
        <v/>
      </c>
      <c r="F2580">
        <f>IF(A2580="","",MAX(1,CEILING(PERCENTRANK.INC($C$3:$C$6000,C2580,4)*5+0.000001,1)))</f>
        <v/>
      </c>
      <c r="G2580">
        <f>IF(A2580="","",MAX(1,CEILING(PERCENTRANK.INC($D$3:$D$6000,D2580,4)*5+0.000001,1)))</f>
        <v/>
      </c>
      <c r="H2580">
        <f>IF(A2580="","",E2580&amp;F2580&amp;G2580)</f>
        <v/>
      </c>
      <c r="I2580">
        <f>IF(A2580="","",IF(AND(E2580&gt;=4,F2580&gt;=4,G2580&gt;=4),"Juara",IF(AND(F2580&gt;=4,E2580&gt;=3),"Setia",IF(AND(E2580=5,F2580&lt;=2,G2580&gt;=3),"Berpotensi",IF(AND(E2580&lt;=3,E2580&gt;=2,F2580&gt;=3),"Rawan",IF(AND(E2580&lt;=2,F2580&lt;=2),"Tidur","Umum"))))))</f>
        <v/>
      </c>
    </row>
    <row r="2581">
      <c r="B2581">
        <f>IF(A2581="","",$B$1-MAXIFS(Donasi!$A$2:$A$20000,Donasi!$B$2:$B$20000,A2581))</f>
        <v/>
      </c>
      <c r="C2581">
        <f>IF(A2581="","",COUNTIF(Donasi!$B$2:$B$20000,A2581))</f>
        <v/>
      </c>
      <c r="D2581">
        <f>IF(A2581="","",SUMIF(Donasi!$B$2:$B$20000,A2581,Donasi!$C$2:$C$20000))</f>
        <v/>
      </c>
      <c r="E2581">
        <f>IF(A2581="","",6-CEILING(PERCENTRANK.INC($B$3:$B$6000,B2581,4)*5+0.000001,1))</f>
        <v/>
      </c>
      <c r="F2581">
        <f>IF(A2581="","",MAX(1,CEILING(PERCENTRANK.INC($C$3:$C$6000,C2581,4)*5+0.000001,1)))</f>
        <v/>
      </c>
      <c r="G2581">
        <f>IF(A2581="","",MAX(1,CEILING(PERCENTRANK.INC($D$3:$D$6000,D2581,4)*5+0.000001,1)))</f>
        <v/>
      </c>
      <c r="H2581">
        <f>IF(A2581="","",E2581&amp;F2581&amp;G2581)</f>
        <v/>
      </c>
      <c r="I2581">
        <f>IF(A2581="","",IF(AND(E2581&gt;=4,F2581&gt;=4,G2581&gt;=4),"Juara",IF(AND(F2581&gt;=4,E2581&gt;=3),"Setia",IF(AND(E2581=5,F2581&lt;=2,G2581&gt;=3),"Berpotensi",IF(AND(E2581&lt;=3,E2581&gt;=2,F2581&gt;=3),"Rawan",IF(AND(E2581&lt;=2,F2581&lt;=2),"Tidur","Umum"))))))</f>
        <v/>
      </c>
    </row>
    <row r="2582">
      <c r="B2582">
        <f>IF(A2582="","",$B$1-MAXIFS(Donasi!$A$2:$A$20000,Donasi!$B$2:$B$20000,A2582))</f>
        <v/>
      </c>
      <c r="C2582">
        <f>IF(A2582="","",COUNTIF(Donasi!$B$2:$B$20000,A2582))</f>
        <v/>
      </c>
      <c r="D2582">
        <f>IF(A2582="","",SUMIF(Donasi!$B$2:$B$20000,A2582,Donasi!$C$2:$C$20000))</f>
        <v/>
      </c>
      <c r="E2582">
        <f>IF(A2582="","",6-CEILING(PERCENTRANK.INC($B$3:$B$6000,B2582,4)*5+0.000001,1))</f>
        <v/>
      </c>
      <c r="F2582">
        <f>IF(A2582="","",MAX(1,CEILING(PERCENTRANK.INC($C$3:$C$6000,C2582,4)*5+0.000001,1)))</f>
        <v/>
      </c>
      <c r="G2582">
        <f>IF(A2582="","",MAX(1,CEILING(PERCENTRANK.INC($D$3:$D$6000,D2582,4)*5+0.000001,1)))</f>
        <v/>
      </c>
      <c r="H2582">
        <f>IF(A2582="","",E2582&amp;F2582&amp;G2582)</f>
        <v/>
      </c>
      <c r="I2582">
        <f>IF(A2582="","",IF(AND(E2582&gt;=4,F2582&gt;=4,G2582&gt;=4),"Juara",IF(AND(F2582&gt;=4,E2582&gt;=3),"Setia",IF(AND(E2582=5,F2582&lt;=2,G2582&gt;=3),"Berpotensi",IF(AND(E2582&lt;=3,E2582&gt;=2,F2582&gt;=3),"Rawan",IF(AND(E2582&lt;=2,F2582&lt;=2),"Tidur","Umum"))))))</f>
        <v/>
      </c>
    </row>
    <row r="2583">
      <c r="B2583">
        <f>IF(A2583="","",$B$1-MAXIFS(Donasi!$A$2:$A$20000,Donasi!$B$2:$B$20000,A2583))</f>
        <v/>
      </c>
      <c r="C2583">
        <f>IF(A2583="","",COUNTIF(Donasi!$B$2:$B$20000,A2583))</f>
        <v/>
      </c>
      <c r="D2583">
        <f>IF(A2583="","",SUMIF(Donasi!$B$2:$B$20000,A2583,Donasi!$C$2:$C$20000))</f>
        <v/>
      </c>
      <c r="E2583">
        <f>IF(A2583="","",6-CEILING(PERCENTRANK.INC($B$3:$B$6000,B2583,4)*5+0.000001,1))</f>
        <v/>
      </c>
      <c r="F2583">
        <f>IF(A2583="","",MAX(1,CEILING(PERCENTRANK.INC($C$3:$C$6000,C2583,4)*5+0.000001,1)))</f>
        <v/>
      </c>
      <c r="G2583">
        <f>IF(A2583="","",MAX(1,CEILING(PERCENTRANK.INC($D$3:$D$6000,D2583,4)*5+0.000001,1)))</f>
        <v/>
      </c>
      <c r="H2583">
        <f>IF(A2583="","",E2583&amp;F2583&amp;G2583)</f>
        <v/>
      </c>
      <c r="I2583">
        <f>IF(A2583="","",IF(AND(E2583&gt;=4,F2583&gt;=4,G2583&gt;=4),"Juara",IF(AND(F2583&gt;=4,E2583&gt;=3),"Setia",IF(AND(E2583=5,F2583&lt;=2,G2583&gt;=3),"Berpotensi",IF(AND(E2583&lt;=3,E2583&gt;=2,F2583&gt;=3),"Rawan",IF(AND(E2583&lt;=2,F2583&lt;=2),"Tidur","Umum"))))))</f>
        <v/>
      </c>
    </row>
    <row r="2584">
      <c r="B2584">
        <f>IF(A2584="","",$B$1-MAXIFS(Donasi!$A$2:$A$20000,Donasi!$B$2:$B$20000,A2584))</f>
        <v/>
      </c>
      <c r="C2584">
        <f>IF(A2584="","",COUNTIF(Donasi!$B$2:$B$20000,A2584))</f>
        <v/>
      </c>
      <c r="D2584">
        <f>IF(A2584="","",SUMIF(Donasi!$B$2:$B$20000,A2584,Donasi!$C$2:$C$20000))</f>
        <v/>
      </c>
      <c r="E2584">
        <f>IF(A2584="","",6-CEILING(PERCENTRANK.INC($B$3:$B$6000,B2584,4)*5+0.000001,1))</f>
        <v/>
      </c>
      <c r="F2584">
        <f>IF(A2584="","",MAX(1,CEILING(PERCENTRANK.INC($C$3:$C$6000,C2584,4)*5+0.000001,1)))</f>
        <v/>
      </c>
      <c r="G2584">
        <f>IF(A2584="","",MAX(1,CEILING(PERCENTRANK.INC($D$3:$D$6000,D2584,4)*5+0.000001,1)))</f>
        <v/>
      </c>
      <c r="H2584">
        <f>IF(A2584="","",E2584&amp;F2584&amp;G2584)</f>
        <v/>
      </c>
      <c r="I2584">
        <f>IF(A2584="","",IF(AND(E2584&gt;=4,F2584&gt;=4,G2584&gt;=4),"Juara",IF(AND(F2584&gt;=4,E2584&gt;=3),"Setia",IF(AND(E2584=5,F2584&lt;=2,G2584&gt;=3),"Berpotensi",IF(AND(E2584&lt;=3,E2584&gt;=2,F2584&gt;=3),"Rawan",IF(AND(E2584&lt;=2,F2584&lt;=2),"Tidur","Umum"))))))</f>
        <v/>
      </c>
    </row>
    <row r="2585">
      <c r="B2585">
        <f>IF(A2585="","",$B$1-MAXIFS(Donasi!$A$2:$A$20000,Donasi!$B$2:$B$20000,A2585))</f>
        <v/>
      </c>
      <c r="C2585">
        <f>IF(A2585="","",COUNTIF(Donasi!$B$2:$B$20000,A2585))</f>
        <v/>
      </c>
      <c r="D2585">
        <f>IF(A2585="","",SUMIF(Donasi!$B$2:$B$20000,A2585,Donasi!$C$2:$C$20000))</f>
        <v/>
      </c>
      <c r="E2585">
        <f>IF(A2585="","",6-CEILING(PERCENTRANK.INC($B$3:$B$6000,B2585,4)*5+0.000001,1))</f>
        <v/>
      </c>
      <c r="F2585">
        <f>IF(A2585="","",MAX(1,CEILING(PERCENTRANK.INC($C$3:$C$6000,C2585,4)*5+0.000001,1)))</f>
        <v/>
      </c>
      <c r="G2585">
        <f>IF(A2585="","",MAX(1,CEILING(PERCENTRANK.INC($D$3:$D$6000,D2585,4)*5+0.000001,1)))</f>
        <v/>
      </c>
      <c r="H2585">
        <f>IF(A2585="","",E2585&amp;F2585&amp;G2585)</f>
        <v/>
      </c>
      <c r="I2585">
        <f>IF(A2585="","",IF(AND(E2585&gt;=4,F2585&gt;=4,G2585&gt;=4),"Juara",IF(AND(F2585&gt;=4,E2585&gt;=3),"Setia",IF(AND(E2585=5,F2585&lt;=2,G2585&gt;=3),"Berpotensi",IF(AND(E2585&lt;=3,E2585&gt;=2,F2585&gt;=3),"Rawan",IF(AND(E2585&lt;=2,F2585&lt;=2),"Tidur","Umum"))))))</f>
        <v/>
      </c>
    </row>
    <row r="2586">
      <c r="B2586">
        <f>IF(A2586="","",$B$1-MAXIFS(Donasi!$A$2:$A$20000,Donasi!$B$2:$B$20000,A2586))</f>
        <v/>
      </c>
      <c r="C2586">
        <f>IF(A2586="","",COUNTIF(Donasi!$B$2:$B$20000,A2586))</f>
        <v/>
      </c>
      <c r="D2586">
        <f>IF(A2586="","",SUMIF(Donasi!$B$2:$B$20000,A2586,Donasi!$C$2:$C$20000))</f>
        <v/>
      </c>
      <c r="E2586">
        <f>IF(A2586="","",6-CEILING(PERCENTRANK.INC($B$3:$B$6000,B2586,4)*5+0.000001,1))</f>
        <v/>
      </c>
      <c r="F2586">
        <f>IF(A2586="","",MAX(1,CEILING(PERCENTRANK.INC($C$3:$C$6000,C2586,4)*5+0.000001,1)))</f>
        <v/>
      </c>
      <c r="G2586">
        <f>IF(A2586="","",MAX(1,CEILING(PERCENTRANK.INC($D$3:$D$6000,D2586,4)*5+0.000001,1)))</f>
        <v/>
      </c>
      <c r="H2586">
        <f>IF(A2586="","",E2586&amp;F2586&amp;G2586)</f>
        <v/>
      </c>
      <c r="I2586">
        <f>IF(A2586="","",IF(AND(E2586&gt;=4,F2586&gt;=4,G2586&gt;=4),"Juara",IF(AND(F2586&gt;=4,E2586&gt;=3),"Setia",IF(AND(E2586=5,F2586&lt;=2,G2586&gt;=3),"Berpotensi",IF(AND(E2586&lt;=3,E2586&gt;=2,F2586&gt;=3),"Rawan",IF(AND(E2586&lt;=2,F2586&lt;=2),"Tidur","Umum"))))))</f>
        <v/>
      </c>
    </row>
    <row r="2587">
      <c r="B2587">
        <f>IF(A2587="","",$B$1-MAXIFS(Donasi!$A$2:$A$20000,Donasi!$B$2:$B$20000,A2587))</f>
        <v/>
      </c>
      <c r="C2587">
        <f>IF(A2587="","",COUNTIF(Donasi!$B$2:$B$20000,A2587))</f>
        <v/>
      </c>
      <c r="D2587">
        <f>IF(A2587="","",SUMIF(Donasi!$B$2:$B$20000,A2587,Donasi!$C$2:$C$20000))</f>
        <v/>
      </c>
      <c r="E2587">
        <f>IF(A2587="","",6-CEILING(PERCENTRANK.INC($B$3:$B$6000,B2587,4)*5+0.000001,1))</f>
        <v/>
      </c>
      <c r="F2587">
        <f>IF(A2587="","",MAX(1,CEILING(PERCENTRANK.INC($C$3:$C$6000,C2587,4)*5+0.000001,1)))</f>
        <v/>
      </c>
      <c r="G2587">
        <f>IF(A2587="","",MAX(1,CEILING(PERCENTRANK.INC($D$3:$D$6000,D2587,4)*5+0.000001,1)))</f>
        <v/>
      </c>
      <c r="H2587">
        <f>IF(A2587="","",E2587&amp;F2587&amp;G2587)</f>
        <v/>
      </c>
      <c r="I2587">
        <f>IF(A2587="","",IF(AND(E2587&gt;=4,F2587&gt;=4,G2587&gt;=4),"Juara",IF(AND(F2587&gt;=4,E2587&gt;=3),"Setia",IF(AND(E2587=5,F2587&lt;=2,G2587&gt;=3),"Berpotensi",IF(AND(E2587&lt;=3,E2587&gt;=2,F2587&gt;=3),"Rawan",IF(AND(E2587&lt;=2,F2587&lt;=2),"Tidur","Umum"))))))</f>
        <v/>
      </c>
    </row>
    <row r="2588">
      <c r="B2588">
        <f>IF(A2588="","",$B$1-MAXIFS(Donasi!$A$2:$A$20000,Donasi!$B$2:$B$20000,A2588))</f>
        <v/>
      </c>
      <c r="C2588">
        <f>IF(A2588="","",COUNTIF(Donasi!$B$2:$B$20000,A2588))</f>
        <v/>
      </c>
      <c r="D2588">
        <f>IF(A2588="","",SUMIF(Donasi!$B$2:$B$20000,A2588,Donasi!$C$2:$C$20000))</f>
        <v/>
      </c>
      <c r="E2588">
        <f>IF(A2588="","",6-CEILING(PERCENTRANK.INC($B$3:$B$6000,B2588,4)*5+0.000001,1))</f>
        <v/>
      </c>
      <c r="F2588">
        <f>IF(A2588="","",MAX(1,CEILING(PERCENTRANK.INC($C$3:$C$6000,C2588,4)*5+0.000001,1)))</f>
        <v/>
      </c>
      <c r="G2588">
        <f>IF(A2588="","",MAX(1,CEILING(PERCENTRANK.INC($D$3:$D$6000,D2588,4)*5+0.000001,1)))</f>
        <v/>
      </c>
      <c r="H2588">
        <f>IF(A2588="","",E2588&amp;F2588&amp;G2588)</f>
        <v/>
      </c>
      <c r="I2588">
        <f>IF(A2588="","",IF(AND(E2588&gt;=4,F2588&gt;=4,G2588&gt;=4),"Juara",IF(AND(F2588&gt;=4,E2588&gt;=3),"Setia",IF(AND(E2588=5,F2588&lt;=2,G2588&gt;=3),"Berpotensi",IF(AND(E2588&lt;=3,E2588&gt;=2,F2588&gt;=3),"Rawan",IF(AND(E2588&lt;=2,F2588&lt;=2),"Tidur","Umum"))))))</f>
        <v/>
      </c>
    </row>
    <row r="2589">
      <c r="B2589">
        <f>IF(A2589="","",$B$1-MAXIFS(Donasi!$A$2:$A$20000,Donasi!$B$2:$B$20000,A2589))</f>
        <v/>
      </c>
      <c r="C2589">
        <f>IF(A2589="","",COUNTIF(Donasi!$B$2:$B$20000,A2589))</f>
        <v/>
      </c>
      <c r="D2589">
        <f>IF(A2589="","",SUMIF(Donasi!$B$2:$B$20000,A2589,Donasi!$C$2:$C$20000))</f>
        <v/>
      </c>
      <c r="E2589">
        <f>IF(A2589="","",6-CEILING(PERCENTRANK.INC($B$3:$B$6000,B2589,4)*5+0.000001,1))</f>
        <v/>
      </c>
      <c r="F2589">
        <f>IF(A2589="","",MAX(1,CEILING(PERCENTRANK.INC($C$3:$C$6000,C2589,4)*5+0.000001,1)))</f>
        <v/>
      </c>
      <c r="G2589">
        <f>IF(A2589="","",MAX(1,CEILING(PERCENTRANK.INC($D$3:$D$6000,D2589,4)*5+0.000001,1)))</f>
        <v/>
      </c>
      <c r="H2589">
        <f>IF(A2589="","",E2589&amp;F2589&amp;G2589)</f>
        <v/>
      </c>
      <c r="I2589">
        <f>IF(A2589="","",IF(AND(E2589&gt;=4,F2589&gt;=4,G2589&gt;=4),"Juara",IF(AND(F2589&gt;=4,E2589&gt;=3),"Setia",IF(AND(E2589=5,F2589&lt;=2,G2589&gt;=3),"Berpotensi",IF(AND(E2589&lt;=3,E2589&gt;=2,F2589&gt;=3),"Rawan",IF(AND(E2589&lt;=2,F2589&lt;=2),"Tidur","Umum"))))))</f>
        <v/>
      </c>
    </row>
    <row r="2590">
      <c r="B2590">
        <f>IF(A2590="","",$B$1-MAXIFS(Donasi!$A$2:$A$20000,Donasi!$B$2:$B$20000,A2590))</f>
        <v/>
      </c>
      <c r="C2590">
        <f>IF(A2590="","",COUNTIF(Donasi!$B$2:$B$20000,A2590))</f>
        <v/>
      </c>
      <c r="D2590">
        <f>IF(A2590="","",SUMIF(Donasi!$B$2:$B$20000,A2590,Donasi!$C$2:$C$20000))</f>
        <v/>
      </c>
      <c r="E2590">
        <f>IF(A2590="","",6-CEILING(PERCENTRANK.INC($B$3:$B$6000,B2590,4)*5+0.000001,1))</f>
        <v/>
      </c>
      <c r="F2590">
        <f>IF(A2590="","",MAX(1,CEILING(PERCENTRANK.INC($C$3:$C$6000,C2590,4)*5+0.000001,1)))</f>
        <v/>
      </c>
      <c r="G2590">
        <f>IF(A2590="","",MAX(1,CEILING(PERCENTRANK.INC($D$3:$D$6000,D2590,4)*5+0.000001,1)))</f>
        <v/>
      </c>
      <c r="H2590">
        <f>IF(A2590="","",E2590&amp;F2590&amp;G2590)</f>
        <v/>
      </c>
      <c r="I2590">
        <f>IF(A2590="","",IF(AND(E2590&gt;=4,F2590&gt;=4,G2590&gt;=4),"Juara",IF(AND(F2590&gt;=4,E2590&gt;=3),"Setia",IF(AND(E2590=5,F2590&lt;=2,G2590&gt;=3),"Berpotensi",IF(AND(E2590&lt;=3,E2590&gt;=2,F2590&gt;=3),"Rawan",IF(AND(E2590&lt;=2,F2590&lt;=2),"Tidur","Umum"))))))</f>
        <v/>
      </c>
    </row>
    <row r="2591">
      <c r="B2591">
        <f>IF(A2591="","",$B$1-MAXIFS(Donasi!$A$2:$A$20000,Donasi!$B$2:$B$20000,A2591))</f>
        <v/>
      </c>
      <c r="C2591">
        <f>IF(A2591="","",COUNTIF(Donasi!$B$2:$B$20000,A2591))</f>
        <v/>
      </c>
      <c r="D2591">
        <f>IF(A2591="","",SUMIF(Donasi!$B$2:$B$20000,A2591,Donasi!$C$2:$C$20000))</f>
        <v/>
      </c>
      <c r="E2591">
        <f>IF(A2591="","",6-CEILING(PERCENTRANK.INC($B$3:$B$6000,B2591,4)*5+0.000001,1))</f>
        <v/>
      </c>
      <c r="F2591">
        <f>IF(A2591="","",MAX(1,CEILING(PERCENTRANK.INC($C$3:$C$6000,C2591,4)*5+0.000001,1)))</f>
        <v/>
      </c>
      <c r="G2591">
        <f>IF(A2591="","",MAX(1,CEILING(PERCENTRANK.INC($D$3:$D$6000,D2591,4)*5+0.000001,1)))</f>
        <v/>
      </c>
      <c r="H2591">
        <f>IF(A2591="","",E2591&amp;F2591&amp;G2591)</f>
        <v/>
      </c>
      <c r="I2591">
        <f>IF(A2591="","",IF(AND(E2591&gt;=4,F2591&gt;=4,G2591&gt;=4),"Juara",IF(AND(F2591&gt;=4,E2591&gt;=3),"Setia",IF(AND(E2591=5,F2591&lt;=2,G2591&gt;=3),"Berpotensi",IF(AND(E2591&lt;=3,E2591&gt;=2,F2591&gt;=3),"Rawan",IF(AND(E2591&lt;=2,F2591&lt;=2),"Tidur","Umum"))))))</f>
        <v/>
      </c>
    </row>
    <row r="2592">
      <c r="B2592">
        <f>IF(A2592="","",$B$1-MAXIFS(Donasi!$A$2:$A$20000,Donasi!$B$2:$B$20000,A2592))</f>
        <v/>
      </c>
      <c r="C2592">
        <f>IF(A2592="","",COUNTIF(Donasi!$B$2:$B$20000,A2592))</f>
        <v/>
      </c>
      <c r="D2592">
        <f>IF(A2592="","",SUMIF(Donasi!$B$2:$B$20000,A2592,Donasi!$C$2:$C$20000))</f>
        <v/>
      </c>
      <c r="E2592">
        <f>IF(A2592="","",6-CEILING(PERCENTRANK.INC($B$3:$B$6000,B2592,4)*5+0.000001,1))</f>
        <v/>
      </c>
      <c r="F2592">
        <f>IF(A2592="","",MAX(1,CEILING(PERCENTRANK.INC($C$3:$C$6000,C2592,4)*5+0.000001,1)))</f>
        <v/>
      </c>
      <c r="G2592">
        <f>IF(A2592="","",MAX(1,CEILING(PERCENTRANK.INC($D$3:$D$6000,D2592,4)*5+0.000001,1)))</f>
        <v/>
      </c>
      <c r="H2592">
        <f>IF(A2592="","",E2592&amp;F2592&amp;G2592)</f>
        <v/>
      </c>
      <c r="I2592">
        <f>IF(A2592="","",IF(AND(E2592&gt;=4,F2592&gt;=4,G2592&gt;=4),"Juara",IF(AND(F2592&gt;=4,E2592&gt;=3),"Setia",IF(AND(E2592=5,F2592&lt;=2,G2592&gt;=3),"Berpotensi",IF(AND(E2592&lt;=3,E2592&gt;=2,F2592&gt;=3),"Rawan",IF(AND(E2592&lt;=2,F2592&lt;=2),"Tidur","Umum"))))))</f>
        <v/>
      </c>
    </row>
    <row r="2593">
      <c r="B2593">
        <f>IF(A2593="","",$B$1-MAXIFS(Donasi!$A$2:$A$20000,Donasi!$B$2:$B$20000,A2593))</f>
        <v/>
      </c>
      <c r="C2593">
        <f>IF(A2593="","",COUNTIF(Donasi!$B$2:$B$20000,A2593))</f>
        <v/>
      </c>
      <c r="D2593">
        <f>IF(A2593="","",SUMIF(Donasi!$B$2:$B$20000,A2593,Donasi!$C$2:$C$20000))</f>
        <v/>
      </c>
      <c r="E2593">
        <f>IF(A2593="","",6-CEILING(PERCENTRANK.INC($B$3:$B$6000,B2593,4)*5+0.000001,1))</f>
        <v/>
      </c>
      <c r="F2593">
        <f>IF(A2593="","",MAX(1,CEILING(PERCENTRANK.INC($C$3:$C$6000,C2593,4)*5+0.000001,1)))</f>
        <v/>
      </c>
      <c r="G2593">
        <f>IF(A2593="","",MAX(1,CEILING(PERCENTRANK.INC($D$3:$D$6000,D2593,4)*5+0.000001,1)))</f>
        <v/>
      </c>
      <c r="H2593">
        <f>IF(A2593="","",E2593&amp;F2593&amp;G2593)</f>
        <v/>
      </c>
      <c r="I2593">
        <f>IF(A2593="","",IF(AND(E2593&gt;=4,F2593&gt;=4,G2593&gt;=4),"Juara",IF(AND(F2593&gt;=4,E2593&gt;=3),"Setia",IF(AND(E2593=5,F2593&lt;=2,G2593&gt;=3),"Berpotensi",IF(AND(E2593&lt;=3,E2593&gt;=2,F2593&gt;=3),"Rawan",IF(AND(E2593&lt;=2,F2593&lt;=2),"Tidur","Umum"))))))</f>
        <v/>
      </c>
    </row>
    <row r="2594">
      <c r="B2594">
        <f>IF(A2594="","",$B$1-MAXIFS(Donasi!$A$2:$A$20000,Donasi!$B$2:$B$20000,A2594))</f>
        <v/>
      </c>
      <c r="C2594">
        <f>IF(A2594="","",COUNTIF(Donasi!$B$2:$B$20000,A2594))</f>
        <v/>
      </c>
      <c r="D2594">
        <f>IF(A2594="","",SUMIF(Donasi!$B$2:$B$20000,A2594,Donasi!$C$2:$C$20000))</f>
        <v/>
      </c>
      <c r="E2594">
        <f>IF(A2594="","",6-CEILING(PERCENTRANK.INC($B$3:$B$6000,B2594,4)*5+0.000001,1))</f>
        <v/>
      </c>
      <c r="F2594">
        <f>IF(A2594="","",MAX(1,CEILING(PERCENTRANK.INC($C$3:$C$6000,C2594,4)*5+0.000001,1)))</f>
        <v/>
      </c>
      <c r="G2594">
        <f>IF(A2594="","",MAX(1,CEILING(PERCENTRANK.INC($D$3:$D$6000,D2594,4)*5+0.000001,1)))</f>
        <v/>
      </c>
      <c r="H2594">
        <f>IF(A2594="","",E2594&amp;F2594&amp;G2594)</f>
        <v/>
      </c>
      <c r="I2594">
        <f>IF(A2594="","",IF(AND(E2594&gt;=4,F2594&gt;=4,G2594&gt;=4),"Juara",IF(AND(F2594&gt;=4,E2594&gt;=3),"Setia",IF(AND(E2594=5,F2594&lt;=2,G2594&gt;=3),"Berpotensi",IF(AND(E2594&lt;=3,E2594&gt;=2,F2594&gt;=3),"Rawan",IF(AND(E2594&lt;=2,F2594&lt;=2),"Tidur","Umum"))))))</f>
        <v/>
      </c>
    </row>
    <row r="2595">
      <c r="B2595">
        <f>IF(A2595="","",$B$1-MAXIFS(Donasi!$A$2:$A$20000,Donasi!$B$2:$B$20000,A2595))</f>
        <v/>
      </c>
      <c r="C2595">
        <f>IF(A2595="","",COUNTIF(Donasi!$B$2:$B$20000,A2595))</f>
        <v/>
      </c>
      <c r="D2595">
        <f>IF(A2595="","",SUMIF(Donasi!$B$2:$B$20000,A2595,Donasi!$C$2:$C$20000))</f>
        <v/>
      </c>
      <c r="E2595">
        <f>IF(A2595="","",6-CEILING(PERCENTRANK.INC($B$3:$B$6000,B2595,4)*5+0.000001,1))</f>
        <v/>
      </c>
      <c r="F2595">
        <f>IF(A2595="","",MAX(1,CEILING(PERCENTRANK.INC($C$3:$C$6000,C2595,4)*5+0.000001,1)))</f>
        <v/>
      </c>
      <c r="G2595">
        <f>IF(A2595="","",MAX(1,CEILING(PERCENTRANK.INC($D$3:$D$6000,D2595,4)*5+0.000001,1)))</f>
        <v/>
      </c>
      <c r="H2595">
        <f>IF(A2595="","",E2595&amp;F2595&amp;G2595)</f>
        <v/>
      </c>
      <c r="I2595">
        <f>IF(A2595="","",IF(AND(E2595&gt;=4,F2595&gt;=4,G2595&gt;=4),"Juara",IF(AND(F2595&gt;=4,E2595&gt;=3),"Setia",IF(AND(E2595=5,F2595&lt;=2,G2595&gt;=3),"Berpotensi",IF(AND(E2595&lt;=3,E2595&gt;=2,F2595&gt;=3),"Rawan",IF(AND(E2595&lt;=2,F2595&lt;=2),"Tidur","Umum"))))))</f>
        <v/>
      </c>
    </row>
    <row r="2596">
      <c r="B2596">
        <f>IF(A2596="","",$B$1-MAXIFS(Donasi!$A$2:$A$20000,Donasi!$B$2:$B$20000,A2596))</f>
        <v/>
      </c>
      <c r="C2596">
        <f>IF(A2596="","",COUNTIF(Donasi!$B$2:$B$20000,A2596))</f>
        <v/>
      </c>
      <c r="D2596">
        <f>IF(A2596="","",SUMIF(Donasi!$B$2:$B$20000,A2596,Donasi!$C$2:$C$20000))</f>
        <v/>
      </c>
      <c r="E2596">
        <f>IF(A2596="","",6-CEILING(PERCENTRANK.INC($B$3:$B$6000,B2596,4)*5+0.000001,1))</f>
        <v/>
      </c>
      <c r="F2596">
        <f>IF(A2596="","",MAX(1,CEILING(PERCENTRANK.INC($C$3:$C$6000,C2596,4)*5+0.000001,1)))</f>
        <v/>
      </c>
      <c r="G2596">
        <f>IF(A2596="","",MAX(1,CEILING(PERCENTRANK.INC($D$3:$D$6000,D2596,4)*5+0.000001,1)))</f>
        <v/>
      </c>
      <c r="H2596">
        <f>IF(A2596="","",E2596&amp;F2596&amp;G2596)</f>
        <v/>
      </c>
      <c r="I2596">
        <f>IF(A2596="","",IF(AND(E2596&gt;=4,F2596&gt;=4,G2596&gt;=4),"Juara",IF(AND(F2596&gt;=4,E2596&gt;=3),"Setia",IF(AND(E2596=5,F2596&lt;=2,G2596&gt;=3),"Berpotensi",IF(AND(E2596&lt;=3,E2596&gt;=2,F2596&gt;=3),"Rawan",IF(AND(E2596&lt;=2,F2596&lt;=2),"Tidur","Umum"))))))</f>
        <v/>
      </c>
    </row>
    <row r="2597">
      <c r="B2597">
        <f>IF(A2597="","",$B$1-MAXIFS(Donasi!$A$2:$A$20000,Donasi!$B$2:$B$20000,A2597))</f>
        <v/>
      </c>
      <c r="C2597">
        <f>IF(A2597="","",COUNTIF(Donasi!$B$2:$B$20000,A2597))</f>
        <v/>
      </c>
      <c r="D2597">
        <f>IF(A2597="","",SUMIF(Donasi!$B$2:$B$20000,A2597,Donasi!$C$2:$C$20000))</f>
        <v/>
      </c>
      <c r="E2597">
        <f>IF(A2597="","",6-CEILING(PERCENTRANK.INC($B$3:$B$6000,B2597,4)*5+0.000001,1))</f>
        <v/>
      </c>
      <c r="F2597">
        <f>IF(A2597="","",MAX(1,CEILING(PERCENTRANK.INC($C$3:$C$6000,C2597,4)*5+0.000001,1)))</f>
        <v/>
      </c>
      <c r="G2597">
        <f>IF(A2597="","",MAX(1,CEILING(PERCENTRANK.INC($D$3:$D$6000,D2597,4)*5+0.000001,1)))</f>
        <v/>
      </c>
      <c r="H2597">
        <f>IF(A2597="","",E2597&amp;F2597&amp;G2597)</f>
        <v/>
      </c>
      <c r="I2597">
        <f>IF(A2597="","",IF(AND(E2597&gt;=4,F2597&gt;=4,G2597&gt;=4),"Juara",IF(AND(F2597&gt;=4,E2597&gt;=3),"Setia",IF(AND(E2597=5,F2597&lt;=2,G2597&gt;=3),"Berpotensi",IF(AND(E2597&lt;=3,E2597&gt;=2,F2597&gt;=3),"Rawan",IF(AND(E2597&lt;=2,F2597&lt;=2),"Tidur","Umum"))))))</f>
        <v/>
      </c>
    </row>
    <row r="2598">
      <c r="B2598">
        <f>IF(A2598="","",$B$1-MAXIFS(Donasi!$A$2:$A$20000,Donasi!$B$2:$B$20000,A2598))</f>
        <v/>
      </c>
      <c r="C2598">
        <f>IF(A2598="","",COUNTIF(Donasi!$B$2:$B$20000,A2598))</f>
        <v/>
      </c>
      <c r="D2598">
        <f>IF(A2598="","",SUMIF(Donasi!$B$2:$B$20000,A2598,Donasi!$C$2:$C$20000))</f>
        <v/>
      </c>
      <c r="E2598">
        <f>IF(A2598="","",6-CEILING(PERCENTRANK.INC($B$3:$B$6000,B2598,4)*5+0.000001,1))</f>
        <v/>
      </c>
      <c r="F2598">
        <f>IF(A2598="","",MAX(1,CEILING(PERCENTRANK.INC($C$3:$C$6000,C2598,4)*5+0.000001,1)))</f>
        <v/>
      </c>
      <c r="G2598">
        <f>IF(A2598="","",MAX(1,CEILING(PERCENTRANK.INC($D$3:$D$6000,D2598,4)*5+0.000001,1)))</f>
        <v/>
      </c>
      <c r="H2598">
        <f>IF(A2598="","",E2598&amp;F2598&amp;G2598)</f>
        <v/>
      </c>
      <c r="I2598">
        <f>IF(A2598="","",IF(AND(E2598&gt;=4,F2598&gt;=4,G2598&gt;=4),"Juara",IF(AND(F2598&gt;=4,E2598&gt;=3),"Setia",IF(AND(E2598=5,F2598&lt;=2,G2598&gt;=3),"Berpotensi",IF(AND(E2598&lt;=3,E2598&gt;=2,F2598&gt;=3),"Rawan",IF(AND(E2598&lt;=2,F2598&lt;=2),"Tidur","Umum"))))))</f>
        <v/>
      </c>
    </row>
    <row r="2599">
      <c r="B2599">
        <f>IF(A2599="","",$B$1-MAXIFS(Donasi!$A$2:$A$20000,Donasi!$B$2:$B$20000,A2599))</f>
        <v/>
      </c>
      <c r="C2599">
        <f>IF(A2599="","",COUNTIF(Donasi!$B$2:$B$20000,A2599))</f>
        <v/>
      </c>
      <c r="D2599">
        <f>IF(A2599="","",SUMIF(Donasi!$B$2:$B$20000,A2599,Donasi!$C$2:$C$20000))</f>
        <v/>
      </c>
      <c r="E2599">
        <f>IF(A2599="","",6-CEILING(PERCENTRANK.INC($B$3:$B$6000,B2599,4)*5+0.000001,1))</f>
        <v/>
      </c>
      <c r="F2599">
        <f>IF(A2599="","",MAX(1,CEILING(PERCENTRANK.INC($C$3:$C$6000,C2599,4)*5+0.000001,1)))</f>
        <v/>
      </c>
      <c r="G2599">
        <f>IF(A2599="","",MAX(1,CEILING(PERCENTRANK.INC($D$3:$D$6000,D2599,4)*5+0.000001,1)))</f>
        <v/>
      </c>
      <c r="H2599">
        <f>IF(A2599="","",E2599&amp;F2599&amp;G2599)</f>
        <v/>
      </c>
      <c r="I2599">
        <f>IF(A2599="","",IF(AND(E2599&gt;=4,F2599&gt;=4,G2599&gt;=4),"Juara",IF(AND(F2599&gt;=4,E2599&gt;=3),"Setia",IF(AND(E2599=5,F2599&lt;=2,G2599&gt;=3),"Berpotensi",IF(AND(E2599&lt;=3,E2599&gt;=2,F2599&gt;=3),"Rawan",IF(AND(E2599&lt;=2,F2599&lt;=2),"Tidur","Umum"))))))</f>
        <v/>
      </c>
    </row>
    <row r="2600">
      <c r="B2600">
        <f>IF(A2600="","",$B$1-MAXIFS(Donasi!$A$2:$A$20000,Donasi!$B$2:$B$20000,A2600))</f>
        <v/>
      </c>
      <c r="C2600">
        <f>IF(A2600="","",COUNTIF(Donasi!$B$2:$B$20000,A2600))</f>
        <v/>
      </c>
      <c r="D2600">
        <f>IF(A2600="","",SUMIF(Donasi!$B$2:$B$20000,A2600,Donasi!$C$2:$C$20000))</f>
        <v/>
      </c>
      <c r="E2600">
        <f>IF(A2600="","",6-CEILING(PERCENTRANK.INC($B$3:$B$6000,B2600,4)*5+0.000001,1))</f>
        <v/>
      </c>
      <c r="F2600">
        <f>IF(A2600="","",MAX(1,CEILING(PERCENTRANK.INC($C$3:$C$6000,C2600,4)*5+0.000001,1)))</f>
        <v/>
      </c>
      <c r="G2600">
        <f>IF(A2600="","",MAX(1,CEILING(PERCENTRANK.INC($D$3:$D$6000,D2600,4)*5+0.000001,1)))</f>
        <v/>
      </c>
      <c r="H2600">
        <f>IF(A2600="","",E2600&amp;F2600&amp;G2600)</f>
        <v/>
      </c>
      <c r="I2600">
        <f>IF(A2600="","",IF(AND(E2600&gt;=4,F2600&gt;=4,G2600&gt;=4),"Juara",IF(AND(F2600&gt;=4,E2600&gt;=3),"Setia",IF(AND(E2600=5,F2600&lt;=2,G2600&gt;=3),"Berpotensi",IF(AND(E2600&lt;=3,E2600&gt;=2,F2600&gt;=3),"Rawan",IF(AND(E2600&lt;=2,F2600&lt;=2),"Tidur","Umum"))))))</f>
        <v/>
      </c>
    </row>
    <row r="2601">
      <c r="B2601">
        <f>IF(A2601="","",$B$1-MAXIFS(Donasi!$A$2:$A$20000,Donasi!$B$2:$B$20000,A2601))</f>
        <v/>
      </c>
      <c r="C2601">
        <f>IF(A2601="","",COUNTIF(Donasi!$B$2:$B$20000,A2601))</f>
        <v/>
      </c>
      <c r="D2601">
        <f>IF(A2601="","",SUMIF(Donasi!$B$2:$B$20000,A2601,Donasi!$C$2:$C$20000))</f>
        <v/>
      </c>
      <c r="E2601">
        <f>IF(A2601="","",6-CEILING(PERCENTRANK.INC($B$3:$B$6000,B2601,4)*5+0.000001,1))</f>
        <v/>
      </c>
      <c r="F2601">
        <f>IF(A2601="","",MAX(1,CEILING(PERCENTRANK.INC($C$3:$C$6000,C2601,4)*5+0.000001,1)))</f>
        <v/>
      </c>
      <c r="G2601">
        <f>IF(A2601="","",MAX(1,CEILING(PERCENTRANK.INC($D$3:$D$6000,D2601,4)*5+0.000001,1)))</f>
        <v/>
      </c>
      <c r="H2601">
        <f>IF(A2601="","",E2601&amp;F2601&amp;G2601)</f>
        <v/>
      </c>
      <c r="I2601">
        <f>IF(A2601="","",IF(AND(E2601&gt;=4,F2601&gt;=4,G2601&gt;=4),"Juara",IF(AND(F2601&gt;=4,E2601&gt;=3),"Setia",IF(AND(E2601=5,F2601&lt;=2,G2601&gt;=3),"Berpotensi",IF(AND(E2601&lt;=3,E2601&gt;=2,F2601&gt;=3),"Rawan",IF(AND(E2601&lt;=2,F2601&lt;=2),"Tidur","Umum"))))))</f>
        <v/>
      </c>
    </row>
    <row r="2602">
      <c r="B2602">
        <f>IF(A2602="","",$B$1-MAXIFS(Donasi!$A$2:$A$20000,Donasi!$B$2:$B$20000,A2602))</f>
        <v/>
      </c>
      <c r="C2602">
        <f>IF(A2602="","",COUNTIF(Donasi!$B$2:$B$20000,A2602))</f>
        <v/>
      </c>
      <c r="D2602">
        <f>IF(A2602="","",SUMIF(Donasi!$B$2:$B$20000,A2602,Donasi!$C$2:$C$20000))</f>
        <v/>
      </c>
      <c r="E2602">
        <f>IF(A2602="","",6-CEILING(PERCENTRANK.INC($B$3:$B$6000,B2602,4)*5+0.000001,1))</f>
        <v/>
      </c>
      <c r="F2602">
        <f>IF(A2602="","",MAX(1,CEILING(PERCENTRANK.INC($C$3:$C$6000,C2602,4)*5+0.000001,1)))</f>
        <v/>
      </c>
      <c r="G2602">
        <f>IF(A2602="","",MAX(1,CEILING(PERCENTRANK.INC($D$3:$D$6000,D2602,4)*5+0.000001,1)))</f>
        <v/>
      </c>
      <c r="H2602">
        <f>IF(A2602="","",E2602&amp;F2602&amp;G2602)</f>
        <v/>
      </c>
      <c r="I2602">
        <f>IF(A2602="","",IF(AND(E2602&gt;=4,F2602&gt;=4,G2602&gt;=4),"Juara",IF(AND(F2602&gt;=4,E2602&gt;=3),"Setia",IF(AND(E2602=5,F2602&lt;=2,G2602&gt;=3),"Berpotensi",IF(AND(E2602&lt;=3,E2602&gt;=2,F2602&gt;=3),"Rawan",IF(AND(E2602&lt;=2,F2602&lt;=2),"Tidur","Umum"))))))</f>
        <v/>
      </c>
    </row>
    <row r="2603">
      <c r="B2603">
        <f>IF(A2603="","",$B$1-MAXIFS(Donasi!$A$2:$A$20000,Donasi!$B$2:$B$20000,A2603))</f>
        <v/>
      </c>
      <c r="C2603">
        <f>IF(A2603="","",COUNTIF(Donasi!$B$2:$B$20000,A2603))</f>
        <v/>
      </c>
      <c r="D2603">
        <f>IF(A2603="","",SUMIF(Donasi!$B$2:$B$20000,A2603,Donasi!$C$2:$C$20000))</f>
        <v/>
      </c>
      <c r="E2603">
        <f>IF(A2603="","",6-CEILING(PERCENTRANK.INC($B$3:$B$6000,B2603,4)*5+0.000001,1))</f>
        <v/>
      </c>
      <c r="F2603">
        <f>IF(A2603="","",MAX(1,CEILING(PERCENTRANK.INC($C$3:$C$6000,C2603,4)*5+0.000001,1)))</f>
        <v/>
      </c>
      <c r="G2603">
        <f>IF(A2603="","",MAX(1,CEILING(PERCENTRANK.INC($D$3:$D$6000,D2603,4)*5+0.000001,1)))</f>
        <v/>
      </c>
      <c r="H2603">
        <f>IF(A2603="","",E2603&amp;F2603&amp;G2603)</f>
        <v/>
      </c>
      <c r="I2603">
        <f>IF(A2603="","",IF(AND(E2603&gt;=4,F2603&gt;=4,G2603&gt;=4),"Juara",IF(AND(F2603&gt;=4,E2603&gt;=3),"Setia",IF(AND(E2603=5,F2603&lt;=2,G2603&gt;=3),"Berpotensi",IF(AND(E2603&lt;=3,E2603&gt;=2,F2603&gt;=3),"Rawan",IF(AND(E2603&lt;=2,F2603&lt;=2),"Tidur","Umum"))))))</f>
        <v/>
      </c>
    </row>
    <row r="2604">
      <c r="B2604">
        <f>IF(A2604="","",$B$1-MAXIFS(Donasi!$A$2:$A$20000,Donasi!$B$2:$B$20000,A2604))</f>
        <v/>
      </c>
      <c r="C2604">
        <f>IF(A2604="","",COUNTIF(Donasi!$B$2:$B$20000,A2604))</f>
        <v/>
      </c>
      <c r="D2604">
        <f>IF(A2604="","",SUMIF(Donasi!$B$2:$B$20000,A2604,Donasi!$C$2:$C$20000))</f>
        <v/>
      </c>
      <c r="E2604">
        <f>IF(A2604="","",6-CEILING(PERCENTRANK.INC($B$3:$B$6000,B2604,4)*5+0.000001,1))</f>
        <v/>
      </c>
      <c r="F2604">
        <f>IF(A2604="","",MAX(1,CEILING(PERCENTRANK.INC($C$3:$C$6000,C2604,4)*5+0.000001,1)))</f>
        <v/>
      </c>
      <c r="G2604">
        <f>IF(A2604="","",MAX(1,CEILING(PERCENTRANK.INC($D$3:$D$6000,D2604,4)*5+0.000001,1)))</f>
        <v/>
      </c>
      <c r="H2604">
        <f>IF(A2604="","",E2604&amp;F2604&amp;G2604)</f>
        <v/>
      </c>
      <c r="I2604">
        <f>IF(A2604="","",IF(AND(E2604&gt;=4,F2604&gt;=4,G2604&gt;=4),"Juara",IF(AND(F2604&gt;=4,E2604&gt;=3),"Setia",IF(AND(E2604=5,F2604&lt;=2,G2604&gt;=3),"Berpotensi",IF(AND(E2604&lt;=3,E2604&gt;=2,F2604&gt;=3),"Rawan",IF(AND(E2604&lt;=2,F2604&lt;=2),"Tidur","Umum"))))))</f>
        <v/>
      </c>
    </row>
    <row r="2605">
      <c r="B2605">
        <f>IF(A2605="","",$B$1-MAXIFS(Donasi!$A$2:$A$20000,Donasi!$B$2:$B$20000,A2605))</f>
        <v/>
      </c>
      <c r="C2605">
        <f>IF(A2605="","",COUNTIF(Donasi!$B$2:$B$20000,A2605))</f>
        <v/>
      </c>
      <c r="D2605">
        <f>IF(A2605="","",SUMIF(Donasi!$B$2:$B$20000,A2605,Donasi!$C$2:$C$20000))</f>
        <v/>
      </c>
      <c r="E2605">
        <f>IF(A2605="","",6-CEILING(PERCENTRANK.INC($B$3:$B$6000,B2605,4)*5+0.000001,1))</f>
        <v/>
      </c>
      <c r="F2605">
        <f>IF(A2605="","",MAX(1,CEILING(PERCENTRANK.INC($C$3:$C$6000,C2605,4)*5+0.000001,1)))</f>
        <v/>
      </c>
      <c r="G2605">
        <f>IF(A2605="","",MAX(1,CEILING(PERCENTRANK.INC($D$3:$D$6000,D2605,4)*5+0.000001,1)))</f>
        <v/>
      </c>
      <c r="H2605">
        <f>IF(A2605="","",E2605&amp;F2605&amp;G2605)</f>
        <v/>
      </c>
      <c r="I2605">
        <f>IF(A2605="","",IF(AND(E2605&gt;=4,F2605&gt;=4,G2605&gt;=4),"Juara",IF(AND(F2605&gt;=4,E2605&gt;=3),"Setia",IF(AND(E2605=5,F2605&lt;=2,G2605&gt;=3),"Berpotensi",IF(AND(E2605&lt;=3,E2605&gt;=2,F2605&gt;=3),"Rawan",IF(AND(E2605&lt;=2,F2605&lt;=2),"Tidur","Umum"))))))</f>
        <v/>
      </c>
    </row>
    <row r="2606">
      <c r="B2606">
        <f>IF(A2606="","",$B$1-MAXIFS(Donasi!$A$2:$A$20000,Donasi!$B$2:$B$20000,A2606))</f>
        <v/>
      </c>
      <c r="C2606">
        <f>IF(A2606="","",COUNTIF(Donasi!$B$2:$B$20000,A2606))</f>
        <v/>
      </c>
      <c r="D2606">
        <f>IF(A2606="","",SUMIF(Donasi!$B$2:$B$20000,A2606,Donasi!$C$2:$C$20000))</f>
        <v/>
      </c>
      <c r="E2606">
        <f>IF(A2606="","",6-CEILING(PERCENTRANK.INC($B$3:$B$6000,B2606,4)*5+0.000001,1))</f>
        <v/>
      </c>
      <c r="F2606">
        <f>IF(A2606="","",MAX(1,CEILING(PERCENTRANK.INC($C$3:$C$6000,C2606,4)*5+0.000001,1)))</f>
        <v/>
      </c>
      <c r="G2606">
        <f>IF(A2606="","",MAX(1,CEILING(PERCENTRANK.INC($D$3:$D$6000,D2606,4)*5+0.000001,1)))</f>
        <v/>
      </c>
      <c r="H2606">
        <f>IF(A2606="","",E2606&amp;F2606&amp;G2606)</f>
        <v/>
      </c>
      <c r="I2606">
        <f>IF(A2606="","",IF(AND(E2606&gt;=4,F2606&gt;=4,G2606&gt;=4),"Juara",IF(AND(F2606&gt;=4,E2606&gt;=3),"Setia",IF(AND(E2606=5,F2606&lt;=2,G2606&gt;=3),"Berpotensi",IF(AND(E2606&lt;=3,E2606&gt;=2,F2606&gt;=3),"Rawan",IF(AND(E2606&lt;=2,F2606&lt;=2),"Tidur","Umum"))))))</f>
        <v/>
      </c>
    </row>
    <row r="2607">
      <c r="B2607">
        <f>IF(A2607="","",$B$1-MAXIFS(Donasi!$A$2:$A$20000,Donasi!$B$2:$B$20000,A2607))</f>
        <v/>
      </c>
      <c r="C2607">
        <f>IF(A2607="","",COUNTIF(Donasi!$B$2:$B$20000,A2607))</f>
        <v/>
      </c>
      <c r="D2607">
        <f>IF(A2607="","",SUMIF(Donasi!$B$2:$B$20000,A2607,Donasi!$C$2:$C$20000))</f>
        <v/>
      </c>
      <c r="E2607">
        <f>IF(A2607="","",6-CEILING(PERCENTRANK.INC($B$3:$B$6000,B2607,4)*5+0.000001,1))</f>
        <v/>
      </c>
      <c r="F2607">
        <f>IF(A2607="","",MAX(1,CEILING(PERCENTRANK.INC($C$3:$C$6000,C2607,4)*5+0.000001,1)))</f>
        <v/>
      </c>
      <c r="G2607">
        <f>IF(A2607="","",MAX(1,CEILING(PERCENTRANK.INC($D$3:$D$6000,D2607,4)*5+0.000001,1)))</f>
        <v/>
      </c>
      <c r="H2607">
        <f>IF(A2607="","",E2607&amp;F2607&amp;G2607)</f>
        <v/>
      </c>
      <c r="I2607">
        <f>IF(A2607="","",IF(AND(E2607&gt;=4,F2607&gt;=4,G2607&gt;=4),"Juara",IF(AND(F2607&gt;=4,E2607&gt;=3),"Setia",IF(AND(E2607=5,F2607&lt;=2,G2607&gt;=3),"Berpotensi",IF(AND(E2607&lt;=3,E2607&gt;=2,F2607&gt;=3),"Rawan",IF(AND(E2607&lt;=2,F2607&lt;=2),"Tidur","Umum"))))))</f>
        <v/>
      </c>
    </row>
    <row r="2608">
      <c r="B2608">
        <f>IF(A2608="","",$B$1-MAXIFS(Donasi!$A$2:$A$20000,Donasi!$B$2:$B$20000,A2608))</f>
        <v/>
      </c>
      <c r="C2608">
        <f>IF(A2608="","",COUNTIF(Donasi!$B$2:$B$20000,A2608))</f>
        <v/>
      </c>
      <c r="D2608">
        <f>IF(A2608="","",SUMIF(Donasi!$B$2:$B$20000,A2608,Donasi!$C$2:$C$20000))</f>
        <v/>
      </c>
      <c r="E2608">
        <f>IF(A2608="","",6-CEILING(PERCENTRANK.INC($B$3:$B$6000,B2608,4)*5+0.000001,1))</f>
        <v/>
      </c>
      <c r="F2608">
        <f>IF(A2608="","",MAX(1,CEILING(PERCENTRANK.INC($C$3:$C$6000,C2608,4)*5+0.000001,1)))</f>
        <v/>
      </c>
      <c r="G2608">
        <f>IF(A2608="","",MAX(1,CEILING(PERCENTRANK.INC($D$3:$D$6000,D2608,4)*5+0.000001,1)))</f>
        <v/>
      </c>
      <c r="H2608">
        <f>IF(A2608="","",E2608&amp;F2608&amp;G2608)</f>
        <v/>
      </c>
      <c r="I2608">
        <f>IF(A2608="","",IF(AND(E2608&gt;=4,F2608&gt;=4,G2608&gt;=4),"Juara",IF(AND(F2608&gt;=4,E2608&gt;=3),"Setia",IF(AND(E2608=5,F2608&lt;=2,G2608&gt;=3),"Berpotensi",IF(AND(E2608&lt;=3,E2608&gt;=2,F2608&gt;=3),"Rawan",IF(AND(E2608&lt;=2,F2608&lt;=2),"Tidur","Umum"))))))</f>
        <v/>
      </c>
    </row>
    <row r="2609">
      <c r="B2609">
        <f>IF(A2609="","",$B$1-MAXIFS(Donasi!$A$2:$A$20000,Donasi!$B$2:$B$20000,A2609))</f>
        <v/>
      </c>
      <c r="C2609">
        <f>IF(A2609="","",COUNTIF(Donasi!$B$2:$B$20000,A2609))</f>
        <v/>
      </c>
      <c r="D2609">
        <f>IF(A2609="","",SUMIF(Donasi!$B$2:$B$20000,A2609,Donasi!$C$2:$C$20000))</f>
        <v/>
      </c>
      <c r="E2609">
        <f>IF(A2609="","",6-CEILING(PERCENTRANK.INC($B$3:$B$6000,B2609,4)*5+0.000001,1))</f>
        <v/>
      </c>
      <c r="F2609">
        <f>IF(A2609="","",MAX(1,CEILING(PERCENTRANK.INC($C$3:$C$6000,C2609,4)*5+0.000001,1)))</f>
        <v/>
      </c>
      <c r="G2609">
        <f>IF(A2609="","",MAX(1,CEILING(PERCENTRANK.INC($D$3:$D$6000,D2609,4)*5+0.000001,1)))</f>
        <v/>
      </c>
      <c r="H2609">
        <f>IF(A2609="","",E2609&amp;F2609&amp;G2609)</f>
        <v/>
      </c>
      <c r="I2609">
        <f>IF(A2609="","",IF(AND(E2609&gt;=4,F2609&gt;=4,G2609&gt;=4),"Juara",IF(AND(F2609&gt;=4,E2609&gt;=3),"Setia",IF(AND(E2609=5,F2609&lt;=2,G2609&gt;=3),"Berpotensi",IF(AND(E2609&lt;=3,E2609&gt;=2,F2609&gt;=3),"Rawan",IF(AND(E2609&lt;=2,F2609&lt;=2),"Tidur","Umum"))))))</f>
        <v/>
      </c>
    </row>
    <row r="2610">
      <c r="B2610">
        <f>IF(A2610="","",$B$1-MAXIFS(Donasi!$A$2:$A$20000,Donasi!$B$2:$B$20000,A2610))</f>
        <v/>
      </c>
      <c r="C2610">
        <f>IF(A2610="","",COUNTIF(Donasi!$B$2:$B$20000,A2610))</f>
        <v/>
      </c>
      <c r="D2610">
        <f>IF(A2610="","",SUMIF(Donasi!$B$2:$B$20000,A2610,Donasi!$C$2:$C$20000))</f>
        <v/>
      </c>
      <c r="E2610">
        <f>IF(A2610="","",6-CEILING(PERCENTRANK.INC($B$3:$B$6000,B2610,4)*5+0.000001,1))</f>
        <v/>
      </c>
      <c r="F2610">
        <f>IF(A2610="","",MAX(1,CEILING(PERCENTRANK.INC($C$3:$C$6000,C2610,4)*5+0.000001,1)))</f>
        <v/>
      </c>
      <c r="G2610">
        <f>IF(A2610="","",MAX(1,CEILING(PERCENTRANK.INC($D$3:$D$6000,D2610,4)*5+0.000001,1)))</f>
        <v/>
      </c>
      <c r="H2610">
        <f>IF(A2610="","",E2610&amp;F2610&amp;G2610)</f>
        <v/>
      </c>
      <c r="I2610">
        <f>IF(A2610="","",IF(AND(E2610&gt;=4,F2610&gt;=4,G2610&gt;=4),"Juara",IF(AND(F2610&gt;=4,E2610&gt;=3),"Setia",IF(AND(E2610=5,F2610&lt;=2,G2610&gt;=3),"Berpotensi",IF(AND(E2610&lt;=3,E2610&gt;=2,F2610&gt;=3),"Rawan",IF(AND(E2610&lt;=2,F2610&lt;=2),"Tidur","Umum"))))))</f>
        <v/>
      </c>
    </row>
    <row r="2611">
      <c r="B2611">
        <f>IF(A2611="","",$B$1-MAXIFS(Donasi!$A$2:$A$20000,Donasi!$B$2:$B$20000,A2611))</f>
        <v/>
      </c>
      <c r="C2611">
        <f>IF(A2611="","",COUNTIF(Donasi!$B$2:$B$20000,A2611))</f>
        <v/>
      </c>
      <c r="D2611">
        <f>IF(A2611="","",SUMIF(Donasi!$B$2:$B$20000,A2611,Donasi!$C$2:$C$20000))</f>
        <v/>
      </c>
      <c r="E2611">
        <f>IF(A2611="","",6-CEILING(PERCENTRANK.INC($B$3:$B$6000,B2611,4)*5+0.000001,1))</f>
        <v/>
      </c>
      <c r="F2611">
        <f>IF(A2611="","",MAX(1,CEILING(PERCENTRANK.INC($C$3:$C$6000,C2611,4)*5+0.000001,1)))</f>
        <v/>
      </c>
      <c r="G2611">
        <f>IF(A2611="","",MAX(1,CEILING(PERCENTRANK.INC($D$3:$D$6000,D2611,4)*5+0.000001,1)))</f>
        <v/>
      </c>
      <c r="H2611">
        <f>IF(A2611="","",E2611&amp;F2611&amp;G2611)</f>
        <v/>
      </c>
      <c r="I2611">
        <f>IF(A2611="","",IF(AND(E2611&gt;=4,F2611&gt;=4,G2611&gt;=4),"Juara",IF(AND(F2611&gt;=4,E2611&gt;=3),"Setia",IF(AND(E2611=5,F2611&lt;=2,G2611&gt;=3),"Berpotensi",IF(AND(E2611&lt;=3,E2611&gt;=2,F2611&gt;=3),"Rawan",IF(AND(E2611&lt;=2,F2611&lt;=2),"Tidur","Umum"))))))</f>
        <v/>
      </c>
    </row>
    <row r="2612">
      <c r="B2612">
        <f>IF(A2612="","",$B$1-MAXIFS(Donasi!$A$2:$A$20000,Donasi!$B$2:$B$20000,A2612))</f>
        <v/>
      </c>
      <c r="C2612">
        <f>IF(A2612="","",COUNTIF(Donasi!$B$2:$B$20000,A2612))</f>
        <v/>
      </c>
      <c r="D2612">
        <f>IF(A2612="","",SUMIF(Donasi!$B$2:$B$20000,A2612,Donasi!$C$2:$C$20000))</f>
        <v/>
      </c>
      <c r="E2612">
        <f>IF(A2612="","",6-CEILING(PERCENTRANK.INC($B$3:$B$6000,B2612,4)*5+0.000001,1))</f>
        <v/>
      </c>
      <c r="F2612">
        <f>IF(A2612="","",MAX(1,CEILING(PERCENTRANK.INC($C$3:$C$6000,C2612,4)*5+0.000001,1)))</f>
        <v/>
      </c>
      <c r="G2612">
        <f>IF(A2612="","",MAX(1,CEILING(PERCENTRANK.INC($D$3:$D$6000,D2612,4)*5+0.000001,1)))</f>
        <v/>
      </c>
      <c r="H2612">
        <f>IF(A2612="","",E2612&amp;F2612&amp;G2612)</f>
        <v/>
      </c>
      <c r="I2612">
        <f>IF(A2612="","",IF(AND(E2612&gt;=4,F2612&gt;=4,G2612&gt;=4),"Juara",IF(AND(F2612&gt;=4,E2612&gt;=3),"Setia",IF(AND(E2612=5,F2612&lt;=2,G2612&gt;=3),"Berpotensi",IF(AND(E2612&lt;=3,E2612&gt;=2,F2612&gt;=3),"Rawan",IF(AND(E2612&lt;=2,F2612&lt;=2),"Tidur","Umum"))))))</f>
        <v/>
      </c>
    </row>
    <row r="2613">
      <c r="B2613">
        <f>IF(A2613="","",$B$1-MAXIFS(Donasi!$A$2:$A$20000,Donasi!$B$2:$B$20000,A2613))</f>
        <v/>
      </c>
      <c r="C2613">
        <f>IF(A2613="","",COUNTIF(Donasi!$B$2:$B$20000,A2613))</f>
        <v/>
      </c>
      <c r="D2613">
        <f>IF(A2613="","",SUMIF(Donasi!$B$2:$B$20000,A2613,Donasi!$C$2:$C$20000))</f>
        <v/>
      </c>
      <c r="E2613">
        <f>IF(A2613="","",6-CEILING(PERCENTRANK.INC($B$3:$B$6000,B2613,4)*5+0.000001,1))</f>
        <v/>
      </c>
      <c r="F2613">
        <f>IF(A2613="","",MAX(1,CEILING(PERCENTRANK.INC($C$3:$C$6000,C2613,4)*5+0.000001,1)))</f>
        <v/>
      </c>
      <c r="G2613">
        <f>IF(A2613="","",MAX(1,CEILING(PERCENTRANK.INC($D$3:$D$6000,D2613,4)*5+0.000001,1)))</f>
        <v/>
      </c>
      <c r="H2613">
        <f>IF(A2613="","",E2613&amp;F2613&amp;G2613)</f>
        <v/>
      </c>
      <c r="I2613">
        <f>IF(A2613="","",IF(AND(E2613&gt;=4,F2613&gt;=4,G2613&gt;=4),"Juara",IF(AND(F2613&gt;=4,E2613&gt;=3),"Setia",IF(AND(E2613=5,F2613&lt;=2,G2613&gt;=3),"Berpotensi",IF(AND(E2613&lt;=3,E2613&gt;=2,F2613&gt;=3),"Rawan",IF(AND(E2613&lt;=2,F2613&lt;=2),"Tidur","Umum"))))))</f>
        <v/>
      </c>
    </row>
    <row r="2614">
      <c r="B2614">
        <f>IF(A2614="","",$B$1-MAXIFS(Donasi!$A$2:$A$20000,Donasi!$B$2:$B$20000,A2614))</f>
        <v/>
      </c>
      <c r="C2614">
        <f>IF(A2614="","",COUNTIF(Donasi!$B$2:$B$20000,A2614))</f>
        <v/>
      </c>
      <c r="D2614">
        <f>IF(A2614="","",SUMIF(Donasi!$B$2:$B$20000,A2614,Donasi!$C$2:$C$20000))</f>
        <v/>
      </c>
      <c r="E2614">
        <f>IF(A2614="","",6-CEILING(PERCENTRANK.INC($B$3:$B$6000,B2614,4)*5+0.000001,1))</f>
        <v/>
      </c>
      <c r="F2614">
        <f>IF(A2614="","",MAX(1,CEILING(PERCENTRANK.INC($C$3:$C$6000,C2614,4)*5+0.000001,1)))</f>
        <v/>
      </c>
      <c r="G2614">
        <f>IF(A2614="","",MAX(1,CEILING(PERCENTRANK.INC($D$3:$D$6000,D2614,4)*5+0.000001,1)))</f>
        <v/>
      </c>
      <c r="H2614">
        <f>IF(A2614="","",E2614&amp;F2614&amp;G2614)</f>
        <v/>
      </c>
      <c r="I2614">
        <f>IF(A2614="","",IF(AND(E2614&gt;=4,F2614&gt;=4,G2614&gt;=4),"Juara",IF(AND(F2614&gt;=4,E2614&gt;=3),"Setia",IF(AND(E2614=5,F2614&lt;=2,G2614&gt;=3),"Berpotensi",IF(AND(E2614&lt;=3,E2614&gt;=2,F2614&gt;=3),"Rawan",IF(AND(E2614&lt;=2,F2614&lt;=2),"Tidur","Umum"))))))</f>
        <v/>
      </c>
    </row>
    <row r="2615">
      <c r="B2615">
        <f>IF(A2615="","",$B$1-MAXIFS(Donasi!$A$2:$A$20000,Donasi!$B$2:$B$20000,A2615))</f>
        <v/>
      </c>
      <c r="C2615">
        <f>IF(A2615="","",COUNTIF(Donasi!$B$2:$B$20000,A2615))</f>
        <v/>
      </c>
      <c r="D2615">
        <f>IF(A2615="","",SUMIF(Donasi!$B$2:$B$20000,A2615,Donasi!$C$2:$C$20000))</f>
        <v/>
      </c>
      <c r="E2615">
        <f>IF(A2615="","",6-CEILING(PERCENTRANK.INC($B$3:$B$6000,B2615,4)*5+0.000001,1))</f>
        <v/>
      </c>
      <c r="F2615">
        <f>IF(A2615="","",MAX(1,CEILING(PERCENTRANK.INC($C$3:$C$6000,C2615,4)*5+0.000001,1)))</f>
        <v/>
      </c>
      <c r="G2615">
        <f>IF(A2615="","",MAX(1,CEILING(PERCENTRANK.INC($D$3:$D$6000,D2615,4)*5+0.000001,1)))</f>
        <v/>
      </c>
      <c r="H2615">
        <f>IF(A2615="","",E2615&amp;F2615&amp;G2615)</f>
        <v/>
      </c>
      <c r="I2615">
        <f>IF(A2615="","",IF(AND(E2615&gt;=4,F2615&gt;=4,G2615&gt;=4),"Juara",IF(AND(F2615&gt;=4,E2615&gt;=3),"Setia",IF(AND(E2615=5,F2615&lt;=2,G2615&gt;=3),"Berpotensi",IF(AND(E2615&lt;=3,E2615&gt;=2,F2615&gt;=3),"Rawan",IF(AND(E2615&lt;=2,F2615&lt;=2),"Tidur","Umum"))))))</f>
        <v/>
      </c>
    </row>
    <row r="2616">
      <c r="B2616">
        <f>IF(A2616="","",$B$1-MAXIFS(Donasi!$A$2:$A$20000,Donasi!$B$2:$B$20000,A2616))</f>
        <v/>
      </c>
      <c r="C2616">
        <f>IF(A2616="","",COUNTIF(Donasi!$B$2:$B$20000,A2616))</f>
        <v/>
      </c>
      <c r="D2616">
        <f>IF(A2616="","",SUMIF(Donasi!$B$2:$B$20000,A2616,Donasi!$C$2:$C$20000))</f>
        <v/>
      </c>
      <c r="E2616">
        <f>IF(A2616="","",6-CEILING(PERCENTRANK.INC($B$3:$B$6000,B2616,4)*5+0.000001,1))</f>
        <v/>
      </c>
      <c r="F2616">
        <f>IF(A2616="","",MAX(1,CEILING(PERCENTRANK.INC($C$3:$C$6000,C2616,4)*5+0.000001,1)))</f>
        <v/>
      </c>
      <c r="G2616">
        <f>IF(A2616="","",MAX(1,CEILING(PERCENTRANK.INC($D$3:$D$6000,D2616,4)*5+0.000001,1)))</f>
        <v/>
      </c>
      <c r="H2616">
        <f>IF(A2616="","",E2616&amp;F2616&amp;G2616)</f>
        <v/>
      </c>
      <c r="I2616">
        <f>IF(A2616="","",IF(AND(E2616&gt;=4,F2616&gt;=4,G2616&gt;=4),"Juara",IF(AND(F2616&gt;=4,E2616&gt;=3),"Setia",IF(AND(E2616=5,F2616&lt;=2,G2616&gt;=3),"Berpotensi",IF(AND(E2616&lt;=3,E2616&gt;=2,F2616&gt;=3),"Rawan",IF(AND(E2616&lt;=2,F2616&lt;=2),"Tidur","Umum"))))))</f>
        <v/>
      </c>
    </row>
    <row r="2617">
      <c r="B2617">
        <f>IF(A2617="","",$B$1-MAXIFS(Donasi!$A$2:$A$20000,Donasi!$B$2:$B$20000,A2617))</f>
        <v/>
      </c>
      <c r="C2617">
        <f>IF(A2617="","",COUNTIF(Donasi!$B$2:$B$20000,A2617))</f>
        <v/>
      </c>
      <c r="D2617">
        <f>IF(A2617="","",SUMIF(Donasi!$B$2:$B$20000,A2617,Donasi!$C$2:$C$20000))</f>
        <v/>
      </c>
      <c r="E2617">
        <f>IF(A2617="","",6-CEILING(PERCENTRANK.INC($B$3:$B$6000,B2617,4)*5+0.000001,1))</f>
        <v/>
      </c>
      <c r="F2617">
        <f>IF(A2617="","",MAX(1,CEILING(PERCENTRANK.INC($C$3:$C$6000,C2617,4)*5+0.000001,1)))</f>
        <v/>
      </c>
      <c r="G2617">
        <f>IF(A2617="","",MAX(1,CEILING(PERCENTRANK.INC($D$3:$D$6000,D2617,4)*5+0.000001,1)))</f>
        <v/>
      </c>
      <c r="H2617">
        <f>IF(A2617="","",E2617&amp;F2617&amp;G2617)</f>
        <v/>
      </c>
      <c r="I2617">
        <f>IF(A2617="","",IF(AND(E2617&gt;=4,F2617&gt;=4,G2617&gt;=4),"Juara",IF(AND(F2617&gt;=4,E2617&gt;=3),"Setia",IF(AND(E2617=5,F2617&lt;=2,G2617&gt;=3),"Berpotensi",IF(AND(E2617&lt;=3,E2617&gt;=2,F2617&gt;=3),"Rawan",IF(AND(E2617&lt;=2,F2617&lt;=2),"Tidur","Umum"))))))</f>
        <v/>
      </c>
    </row>
    <row r="2618">
      <c r="B2618">
        <f>IF(A2618="","",$B$1-MAXIFS(Donasi!$A$2:$A$20000,Donasi!$B$2:$B$20000,A2618))</f>
        <v/>
      </c>
      <c r="C2618">
        <f>IF(A2618="","",COUNTIF(Donasi!$B$2:$B$20000,A2618))</f>
        <v/>
      </c>
      <c r="D2618">
        <f>IF(A2618="","",SUMIF(Donasi!$B$2:$B$20000,A2618,Donasi!$C$2:$C$20000))</f>
        <v/>
      </c>
      <c r="E2618">
        <f>IF(A2618="","",6-CEILING(PERCENTRANK.INC($B$3:$B$6000,B2618,4)*5+0.000001,1))</f>
        <v/>
      </c>
      <c r="F2618">
        <f>IF(A2618="","",MAX(1,CEILING(PERCENTRANK.INC($C$3:$C$6000,C2618,4)*5+0.000001,1)))</f>
        <v/>
      </c>
      <c r="G2618">
        <f>IF(A2618="","",MAX(1,CEILING(PERCENTRANK.INC($D$3:$D$6000,D2618,4)*5+0.000001,1)))</f>
        <v/>
      </c>
      <c r="H2618">
        <f>IF(A2618="","",E2618&amp;F2618&amp;G2618)</f>
        <v/>
      </c>
      <c r="I2618">
        <f>IF(A2618="","",IF(AND(E2618&gt;=4,F2618&gt;=4,G2618&gt;=4),"Juara",IF(AND(F2618&gt;=4,E2618&gt;=3),"Setia",IF(AND(E2618=5,F2618&lt;=2,G2618&gt;=3),"Berpotensi",IF(AND(E2618&lt;=3,E2618&gt;=2,F2618&gt;=3),"Rawan",IF(AND(E2618&lt;=2,F2618&lt;=2),"Tidur","Umum"))))))</f>
        <v/>
      </c>
    </row>
    <row r="2619">
      <c r="B2619">
        <f>IF(A2619="","",$B$1-MAXIFS(Donasi!$A$2:$A$20000,Donasi!$B$2:$B$20000,A2619))</f>
        <v/>
      </c>
      <c r="C2619">
        <f>IF(A2619="","",COUNTIF(Donasi!$B$2:$B$20000,A2619))</f>
        <v/>
      </c>
      <c r="D2619">
        <f>IF(A2619="","",SUMIF(Donasi!$B$2:$B$20000,A2619,Donasi!$C$2:$C$20000))</f>
        <v/>
      </c>
      <c r="E2619">
        <f>IF(A2619="","",6-CEILING(PERCENTRANK.INC($B$3:$B$6000,B2619,4)*5+0.000001,1))</f>
        <v/>
      </c>
      <c r="F2619">
        <f>IF(A2619="","",MAX(1,CEILING(PERCENTRANK.INC($C$3:$C$6000,C2619,4)*5+0.000001,1)))</f>
        <v/>
      </c>
      <c r="G2619">
        <f>IF(A2619="","",MAX(1,CEILING(PERCENTRANK.INC($D$3:$D$6000,D2619,4)*5+0.000001,1)))</f>
        <v/>
      </c>
      <c r="H2619">
        <f>IF(A2619="","",E2619&amp;F2619&amp;G2619)</f>
        <v/>
      </c>
      <c r="I2619">
        <f>IF(A2619="","",IF(AND(E2619&gt;=4,F2619&gt;=4,G2619&gt;=4),"Juara",IF(AND(F2619&gt;=4,E2619&gt;=3),"Setia",IF(AND(E2619=5,F2619&lt;=2,G2619&gt;=3),"Berpotensi",IF(AND(E2619&lt;=3,E2619&gt;=2,F2619&gt;=3),"Rawan",IF(AND(E2619&lt;=2,F2619&lt;=2),"Tidur","Umum"))))))</f>
        <v/>
      </c>
    </row>
    <row r="2620">
      <c r="B2620">
        <f>IF(A2620="","",$B$1-MAXIFS(Donasi!$A$2:$A$20000,Donasi!$B$2:$B$20000,A2620))</f>
        <v/>
      </c>
      <c r="C2620">
        <f>IF(A2620="","",COUNTIF(Donasi!$B$2:$B$20000,A2620))</f>
        <v/>
      </c>
      <c r="D2620">
        <f>IF(A2620="","",SUMIF(Donasi!$B$2:$B$20000,A2620,Donasi!$C$2:$C$20000))</f>
        <v/>
      </c>
      <c r="E2620">
        <f>IF(A2620="","",6-CEILING(PERCENTRANK.INC($B$3:$B$6000,B2620,4)*5+0.000001,1))</f>
        <v/>
      </c>
      <c r="F2620">
        <f>IF(A2620="","",MAX(1,CEILING(PERCENTRANK.INC($C$3:$C$6000,C2620,4)*5+0.000001,1)))</f>
        <v/>
      </c>
      <c r="G2620">
        <f>IF(A2620="","",MAX(1,CEILING(PERCENTRANK.INC($D$3:$D$6000,D2620,4)*5+0.000001,1)))</f>
        <v/>
      </c>
      <c r="H2620">
        <f>IF(A2620="","",E2620&amp;F2620&amp;G2620)</f>
        <v/>
      </c>
      <c r="I2620">
        <f>IF(A2620="","",IF(AND(E2620&gt;=4,F2620&gt;=4,G2620&gt;=4),"Juara",IF(AND(F2620&gt;=4,E2620&gt;=3),"Setia",IF(AND(E2620=5,F2620&lt;=2,G2620&gt;=3),"Berpotensi",IF(AND(E2620&lt;=3,E2620&gt;=2,F2620&gt;=3),"Rawan",IF(AND(E2620&lt;=2,F2620&lt;=2),"Tidur","Umum"))))))</f>
        <v/>
      </c>
    </row>
    <row r="2621">
      <c r="B2621">
        <f>IF(A2621="","",$B$1-MAXIFS(Donasi!$A$2:$A$20000,Donasi!$B$2:$B$20000,A2621))</f>
        <v/>
      </c>
      <c r="C2621">
        <f>IF(A2621="","",COUNTIF(Donasi!$B$2:$B$20000,A2621))</f>
        <v/>
      </c>
      <c r="D2621">
        <f>IF(A2621="","",SUMIF(Donasi!$B$2:$B$20000,A2621,Donasi!$C$2:$C$20000))</f>
        <v/>
      </c>
      <c r="E2621">
        <f>IF(A2621="","",6-CEILING(PERCENTRANK.INC($B$3:$B$6000,B2621,4)*5+0.000001,1))</f>
        <v/>
      </c>
      <c r="F2621">
        <f>IF(A2621="","",MAX(1,CEILING(PERCENTRANK.INC($C$3:$C$6000,C2621,4)*5+0.000001,1)))</f>
        <v/>
      </c>
      <c r="G2621">
        <f>IF(A2621="","",MAX(1,CEILING(PERCENTRANK.INC($D$3:$D$6000,D2621,4)*5+0.000001,1)))</f>
        <v/>
      </c>
      <c r="H2621">
        <f>IF(A2621="","",E2621&amp;F2621&amp;G2621)</f>
        <v/>
      </c>
      <c r="I2621">
        <f>IF(A2621="","",IF(AND(E2621&gt;=4,F2621&gt;=4,G2621&gt;=4),"Juara",IF(AND(F2621&gt;=4,E2621&gt;=3),"Setia",IF(AND(E2621=5,F2621&lt;=2,G2621&gt;=3),"Berpotensi",IF(AND(E2621&lt;=3,E2621&gt;=2,F2621&gt;=3),"Rawan",IF(AND(E2621&lt;=2,F2621&lt;=2),"Tidur","Umum"))))))</f>
        <v/>
      </c>
    </row>
    <row r="2622">
      <c r="B2622">
        <f>IF(A2622="","",$B$1-MAXIFS(Donasi!$A$2:$A$20000,Donasi!$B$2:$B$20000,A2622))</f>
        <v/>
      </c>
      <c r="C2622">
        <f>IF(A2622="","",COUNTIF(Donasi!$B$2:$B$20000,A2622))</f>
        <v/>
      </c>
      <c r="D2622">
        <f>IF(A2622="","",SUMIF(Donasi!$B$2:$B$20000,A2622,Donasi!$C$2:$C$20000))</f>
        <v/>
      </c>
      <c r="E2622">
        <f>IF(A2622="","",6-CEILING(PERCENTRANK.INC($B$3:$B$6000,B2622,4)*5+0.000001,1))</f>
        <v/>
      </c>
      <c r="F2622">
        <f>IF(A2622="","",MAX(1,CEILING(PERCENTRANK.INC($C$3:$C$6000,C2622,4)*5+0.000001,1)))</f>
        <v/>
      </c>
      <c r="G2622">
        <f>IF(A2622="","",MAX(1,CEILING(PERCENTRANK.INC($D$3:$D$6000,D2622,4)*5+0.000001,1)))</f>
        <v/>
      </c>
      <c r="H2622">
        <f>IF(A2622="","",E2622&amp;F2622&amp;G2622)</f>
        <v/>
      </c>
      <c r="I2622">
        <f>IF(A2622="","",IF(AND(E2622&gt;=4,F2622&gt;=4,G2622&gt;=4),"Juara",IF(AND(F2622&gt;=4,E2622&gt;=3),"Setia",IF(AND(E2622=5,F2622&lt;=2,G2622&gt;=3),"Berpotensi",IF(AND(E2622&lt;=3,E2622&gt;=2,F2622&gt;=3),"Rawan",IF(AND(E2622&lt;=2,F2622&lt;=2),"Tidur","Umum"))))))</f>
        <v/>
      </c>
    </row>
    <row r="2623">
      <c r="B2623">
        <f>IF(A2623="","",$B$1-MAXIFS(Donasi!$A$2:$A$20000,Donasi!$B$2:$B$20000,A2623))</f>
        <v/>
      </c>
      <c r="C2623">
        <f>IF(A2623="","",COUNTIF(Donasi!$B$2:$B$20000,A2623))</f>
        <v/>
      </c>
      <c r="D2623">
        <f>IF(A2623="","",SUMIF(Donasi!$B$2:$B$20000,A2623,Donasi!$C$2:$C$20000))</f>
        <v/>
      </c>
      <c r="E2623">
        <f>IF(A2623="","",6-CEILING(PERCENTRANK.INC($B$3:$B$6000,B2623,4)*5+0.000001,1))</f>
        <v/>
      </c>
      <c r="F2623">
        <f>IF(A2623="","",MAX(1,CEILING(PERCENTRANK.INC($C$3:$C$6000,C2623,4)*5+0.000001,1)))</f>
        <v/>
      </c>
      <c r="G2623">
        <f>IF(A2623="","",MAX(1,CEILING(PERCENTRANK.INC($D$3:$D$6000,D2623,4)*5+0.000001,1)))</f>
        <v/>
      </c>
      <c r="H2623">
        <f>IF(A2623="","",E2623&amp;F2623&amp;G2623)</f>
        <v/>
      </c>
      <c r="I2623">
        <f>IF(A2623="","",IF(AND(E2623&gt;=4,F2623&gt;=4,G2623&gt;=4),"Juara",IF(AND(F2623&gt;=4,E2623&gt;=3),"Setia",IF(AND(E2623=5,F2623&lt;=2,G2623&gt;=3),"Berpotensi",IF(AND(E2623&lt;=3,E2623&gt;=2,F2623&gt;=3),"Rawan",IF(AND(E2623&lt;=2,F2623&lt;=2),"Tidur","Umum"))))))</f>
        <v/>
      </c>
    </row>
    <row r="2624">
      <c r="B2624">
        <f>IF(A2624="","",$B$1-MAXIFS(Donasi!$A$2:$A$20000,Donasi!$B$2:$B$20000,A2624))</f>
        <v/>
      </c>
      <c r="C2624">
        <f>IF(A2624="","",COUNTIF(Donasi!$B$2:$B$20000,A2624))</f>
        <v/>
      </c>
      <c r="D2624">
        <f>IF(A2624="","",SUMIF(Donasi!$B$2:$B$20000,A2624,Donasi!$C$2:$C$20000))</f>
        <v/>
      </c>
      <c r="E2624">
        <f>IF(A2624="","",6-CEILING(PERCENTRANK.INC($B$3:$B$6000,B2624,4)*5+0.000001,1))</f>
        <v/>
      </c>
      <c r="F2624">
        <f>IF(A2624="","",MAX(1,CEILING(PERCENTRANK.INC($C$3:$C$6000,C2624,4)*5+0.000001,1)))</f>
        <v/>
      </c>
      <c r="G2624">
        <f>IF(A2624="","",MAX(1,CEILING(PERCENTRANK.INC($D$3:$D$6000,D2624,4)*5+0.000001,1)))</f>
        <v/>
      </c>
      <c r="H2624">
        <f>IF(A2624="","",E2624&amp;F2624&amp;G2624)</f>
        <v/>
      </c>
      <c r="I2624">
        <f>IF(A2624="","",IF(AND(E2624&gt;=4,F2624&gt;=4,G2624&gt;=4),"Juara",IF(AND(F2624&gt;=4,E2624&gt;=3),"Setia",IF(AND(E2624=5,F2624&lt;=2,G2624&gt;=3),"Berpotensi",IF(AND(E2624&lt;=3,E2624&gt;=2,F2624&gt;=3),"Rawan",IF(AND(E2624&lt;=2,F2624&lt;=2),"Tidur","Umum"))))))</f>
        <v/>
      </c>
    </row>
    <row r="2625">
      <c r="B2625">
        <f>IF(A2625="","",$B$1-MAXIFS(Donasi!$A$2:$A$20000,Donasi!$B$2:$B$20000,A2625))</f>
        <v/>
      </c>
      <c r="C2625">
        <f>IF(A2625="","",COUNTIF(Donasi!$B$2:$B$20000,A2625))</f>
        <v/>
      </c>
      <c r="D2625">
        <f>IF(A2625="","",SUMIF(Donasi!$B$2:$B$20000,A2625,Donasi!$C$2:$C$20000))</f>
        <v/>
      </c>
      <c r="E2625">
        <f>IF(A2625="","",6-CEILING(PERCENTRANK.INC($B$3:$B$6000,B2625,4)*5+0.000001,1))</f>
        <v/>
      </c>
      <c r="F2625">
        <f>IF(A2625="","",MAX(1,CEILING(PERCENTRANK.INC($C$3:$C$6000,C2625,4)*5+0.000001,1)))</f>
        <v/>
      </c>
      <c r="G2625">
        <f>IF(A2625="","",MAX(1,CEILING(PERCENTRANK.INC($D$3:$D$6000,D2625,4)*5+0.000001,1)))</f>
        <v/>
      </c>
      <c r="H2625">
        <f>IF(A2625="","",E2625&amp;F2625&amp;G2625)</f>
        <v/>
      </c>
      <c r="I2625">
        <f>IF(A2625="","",IF(AND(E2625&gt;=4,F2625&gt;=4,G2625&gt;=4),"Juara",IF(AND(F2625&gt;=4,E2625&gt;=3),"Setia",IF(AND(E2625=5,F2625&lt;=2,G2625&gt;=3),"Berpotensi",IF(AND(E2625&lt;=3,E2625&gt;=2,F2625&gt;=3),"Rawan",IF(AND(E2625&lt;=2,F2625&lt;=2),"Tidur","Umum"))))))</f>
        <v/>
      </c>
    </row>
    <row r="2626">
      <c r="B2626">
        <f>IF(A2626="","",$B$1-MAXIFS(Donasi!$A$2:$A$20000,Donasi!$B$2:$B$20000,A2626))</f>
        <v/>
      </c>
      <c r="C2626">
        <f>IF(A2626="","",COUNTIF(Donasi!$B$2:$B$20000,A2626))</f>
        <v/>
      </c>
      <c r="D2626">
        <f>IF(A2626="","",SUMIF(Donasi!$B$2:$B$20000,A2626,Donasi!$C$2:$C$20000))</f>
        <v/>
      </c>
      <c r="E2626">
        <f>IF(A2626="","",6-CEILING(PERCENTRANK.INC($B$3:$B$6000,B2626,4)*5+0.000001,1))</f>
        <v/>
      </c>
      <c r="F2626">
        <f>IF(A2626="","",MAX(1,CEILING(PERCENTRANK.INC($C$3:$C$6000,C2626,4)*5+0.000001,1)))</f>
        <v/>
      </c>
      <c r="G2626">
        <f>IF(A2626="","",MAX(1,CEILING(PERCENTRANK.INC($D$3:$D$6000,D2626,4)*5+0.000001,1)))</f>
        <v/>
      </c>
      <c r="H2626">
        <f>IF(A2626="","",E2626&amp;F2626&amp;G2626)</f>
        <v/>
      </c>
      <c r="I2626">
        <f>IF(A2626="","",IF(AND(E2626&gt;=4,F2626&gt;=4,G2626&gt;=4),"Juara",IF(AND(F2626&gt;=4,E2626&gt;=3),"Setia",IF(AND(E2626=5,F2626&lt;=2,G2626&gt;=3),"Berpotensi",IF(AND(E2626&lt;=3,E2626&gt;=2,F2626&gt;=3),"Rawan",IF(AND(E2626&lt;=2,F2626&lt;=2),"Tidur","Umum"))))))</f>
        <v/>
      </c>
    </row>
    <row r="2627">
      <c r="B2627">
        <f>IF(A2627="","",$B$1-MAXIFS(Donasi!$A$2:$A$20000,Donasi!$B$2:$B$20000,A2627))</f>
        <v/>
      </c>
      <c r="C2627">
        <f>IF(A2627="","",COUNTIF(Donasi!$B$2:$B$20000,A2627))</f>
        <v/>
      </c>
      <c r="D2627">
        <f>IF(A2627="","",SUMIF(Donasi!$B$2:$B$20000,A2627,Donasi!$C$2:$C$20000))</f>
        <v/>
      </c>
      <c r="E2627">
        <f>IF(A2627="","",6-CEILING(PERCENTRANK.INC($B$3:$B$6000,B2627,4)*5+0.000001,1))</f>
        <v/>
      </c>
      <c r="F2627">
        <f>IF(A2627="","",MAX(1,CEILING(PERCENTRANK.INC($C$3:$C$6000,C2627,4)*5+0.000001,1)))</f>
        <v/>
      </c>
      <c r="G2627">
        <f>IF(A2627="","",MAX(1,CEILING(PERCENTRANK.INC($D$3:$D$6000,D2627,4)*5+0.000001,1)))</f>
        <v/>
      </c>
      <c r="H2627">
        <f>IF(A2627="","",E2627&amp;F2627&amp;G2627)</f>
        <v/>
      </c>
      <c r="I2627">
        <f>IF(A2627="","",IF(AND(E2627&gt;=4,F2627&gt;=4,G2627&gt;=4),"Juara",IF(AND(F2627&gt;=4,E2627&gt;=3),"Setia",IF(AND(E2627=5,F2627&lt;=2,G2627&gt;=3),"Berpotensi",IF(AND(E2627&lt;=3,E2627&gt;=2,F2627&gt;=3),"Rawan",IF(AND(E2627&lt;=2,F2627&lt;=2),"Tidur","Umum"))))))</f>
        <v/>
      </c>
    </row>
    <row r="2628">
      <c r="B2628">
        <f>IF(A2628="","",$B$1-MAXIFS(Donasi!$A$2:$A$20000,Donasi!$B$2:$B$20000,A2628))</f>
        <v/>
      </c>
      <c r="C2628">
        <f>IF(A2628="","",COUNTIF(Donasi!$B$2:$B$20000,A2628))</f>
        <v/>
      </c>
      <c r="D2628">
        <f>IF(A2628="","",SUMIF(Donasi!$B$2:$B$20000,A2628,Donasi!$C$2:$C$20000))</f>
        <v/>
      </c>
      <c r="E2628">
        <f>IF(A2628="","",6-CEILING(PERCENTRANK.INC($B$3:$B$6000,B2628,4)*5+0.000001,1))</f>
        <v/>
      </c>
      <c r="F2628">
        <f>IF(A2628="","",MAX(1,CEILING(PERCENTRANK.INC($C$3:$C$6000,C2628,4)*5+0.000001,1)))</f>
        <v/>
      </c>
      <c r="G2628">
        <f>IF(A2628="","",MAX(1,CEILING(PERCENTRANK.INC($D$3:$D$6000,D2628,4)*5+0.000001,1)))</f>
        <v/>
      </c>
      <c r="H2628">
        <f>IF(A2628="","",E2628&amp;F2628&amp;G2628)</f>
        <v/>
      </c>
      <c r="I2628">
        <f>IF(A2628="","",IF(AND(E2628&gt;=4,F2628&gt;=4,G2628&gt;=4),"Juara",IF(AND(F2628&gt;=4,E2628&gt;=3),"Setia",IF(AND(E2628=5,F2628&lt;=2,G2628&gt;=3),"Berpotensi",IF(AND(E2628&lt;=3,E2628&gt;=2,F2628&gt;=3),"Rawan",IF(AND(E2628&lt;=2,F2628&lt;=2),"Tidur","Umum"))))))</f>
        <v/>
      </c>
    </row>
    <row r="2629">
      <c r="B2629">
        <f>IF(A2629="","",$B$1-MAXIFS(Donasi!$A$2:$A$20000,Donasi!$B$2:$B$20000,A2629))</f>
        <v/>
      </c>
      <c r="C2629">
        <f>IF(A2629="","",COUNTIF(Donasi!$B$2:$B$20000,A2629))</f>
        <v/>
      </c>
      <c r="D2629">
        <f>IF(A2629="","",SUMIF(Donasi!$B$2:$B$20000,A2629,Donasi!$C$2:$C$20000))</f>
        <v/>
      </c>
      <c r="E2629">
        <f>IF(A2629="","",6-CEILING(PERCENTRANK.INC($B$3:$B$6000,B2629,4)*5+0.000001,1))</f>
        <v/>
      </c>
      <c r="F2629">
        <f>IF(A2629="","",MAX(1,CEILING(PERCENTRANK.INC($C$3:$C$6000,C2629,4)*5+0.000001,1)))</f>
        <v/>
      </c>
      <c r="G2629">
        <f>IF(A2629="","",MAX(1,CEILING(PERCENTRANK.INC($D$3:$D$6000,D2629,4)*5+0.000001,1)))</f>
        <v/>
      </c>
      <c r="H2629">
        <f>IF(A2629="","",E2629&amp;F2629&amp;G2629)</f>
        <v/>
      </c>
      <c r="I2629">
        <f>IF(A2629="","",IF(AND(E2629&gt;=4,F2629&gt;=4,G2629&gt;=4),"Juara",IF(AND(F2629&gt;=4,E2629&gt;=3),"Setia",IF(AND(E2629=5,F2629&lt;=2,G2629&gt;=3),"Berpotensi",IF(AND(E2629&lt;=3,E2629&gt;=2,F2629&gt;=3),"Rawan",IF(AND(E2629&lt;=2,F2629&lt;=2),"Tidur","Umum"))))))</f>
        <v/>
      </c>
    </row>
    <row r="2630">
      <c r="B2630">
        <f>IF(A2630="","",$B$1-MAXIFS(Donasi!$A$2:$A$20000,Donasi!$B$2:$B$20000,A2630))</f>
        <v/>
      </c>
      <c r="C2630">
        <f>IF(A2630="","",COUNTIF(Donasi!$B$2:$B$20000,A2630))</f>
        <v/>
      </c>
      <c r="D2630">
        <f>IF(A2630="","",SUMIF(Donasi!$B$2:$B$20000,A2630,Donasi!$C$2:$C$20000))</f>
        <v/>
      </c>
      <c r="E2630">
        <f>IF(A2630="","",6-CEILING(PERCENTRANK.INC($B$3:$B$6000,B2630,4)*5+0.000001,1))</f>
        <v/>
      </c>
      <c r="F2630">
        <f>IF(A2630="","",MAX(1,CEILING(PERCENTRANK.INC($C$3:$C$6000,C2630,4)*5+0.000001,1)))</f>
        <v/>
      </c>
      <c r="G2630">
        <f>IF(A2630="","",MAX(1,CEILING(PERCENTRANK.INC($D$3:$D$6000,D2630,4)*5+0.000001,1)))</f>
        <v/>
      </c>
      <c r="H2630">
        <f>IF(A2630="","",E2630&amp;F2630&amp;G2630)</f>
        <v/>
      </c>
      <c r="I2630">
        <f>IF(A2630="","",IF(AND(E2630&gt;=4,F2630&gt;=4,G2630&gt;=4),"Juara",IF(AND(F2630&gt;=4,E2630&gt;=3),"Setia",IF(AND(E2630=5,F2630&lt;=2,G2630&gt;=3),"Berpotensi",IF(AND(E2630&lt;=3,E2630&gt;=2,F2630&gt;=3),"Rawan",IF(AND(E2630&lt;=2,F2630&lt;=2),"Tidur","Umum"))))))</f>
        <v/>
      </c>
    </row>
    <row r="2631">
      <c r="B2631">
        <f>IF(A2631="","",$B$1-MAXIFS(Donasi!$A$2:$A$20000,Donasi!$B$2:$B$20000,A2631))</f>
        <v/>
      </c>
      <c r="C2631">
        <f>IF(A2631="","",COUNTIF(Donasi!$B$2:$B$20000,A2631))</f>
        <v/>
      </c>
      <c r="D2631">
        <f>IF(A2631="","",SUMIF(Donasi!$B$2:$B$20000,A2631,Donasi!$C$2:$C$20000))</f>
        <v/>
      </c>
      <c r="E2631">
        <f>IF(A2631="","",6-CEILING(PERCENTRANK.INC($B$3:$B$6000,B2631,4)*5+0.000001,1))</f>
        <v/>
      </c>
      <c r="F2631">
        <f>IF(A2631="","",MAX(1,CEILING(PERCENTRANK.INC($C$3:$C$6000,C2631,4)*5+0.000001,1)))</f>
        <v/>
      </c>
      <c r="G2631">
        <f>IF(A2631="","",MAX(1,CEILING(PERCENTRANK.INC($D$3:$D$6000,D2631,4)*5+0.000001,1)))</f>
        <v/>
      </c>
      <c r="H2631">
        <f>IF(A2631="","",E2631&amp;F2631&amp;G2631)</f>
        <v/>
      </c>
      <c r="I2631">
        <f>IF(A2631="","",IF(AND(E2631&gt;=4,F2631&gt;=4,G2631&gt;=4),"Juara",IF(AND(F2631&gt;=4,E2631&gt;=3),"Setia",IF(AND(E2631=5,F2631&lt;=2,G2631&gt;=3),"Berpotensi",IF(AND(E2631&lt;=3,E2631&gt;=2,F2631&gt;=3),"Rawan",IF(AND(E2631&lt;=2,F2631&lt;=2),"Tidur","Umum"))))))</f>
        <v/>
      </c>
    </row>
    <row r="2632">
      <c r="B2632">
        <f>IF(A2632="","",$B$1-MAXIFS(Donasi!$A$2:$A$20000,Donasi!$B$2:$B$20000,A2632))</f>
        <v/>
      </c>
      <c r="C2632">
        <f>IF(A2632="","",COUNTIF(Donasi!$B$2:$B$20000,A2632))</f>
        <v/>
      </c>
      <c r="D2632">
        <f>IF(A2632="","",SUMIF(Donasi!$B$2:$B$20000,A2632,Donasi!$C$2:$C$20000))</f>
        <v/>
      </c>
      <c r="E2632">
        <f>IF(A2632="","",6-CEILING(PERCENTRANK.INC($B$3:$B$6000,B2632,4)*5+0.000001,1))</f>
        <v/>
      </c>
      <c r="F2632">
        <f>IF(A2632="","",MAX(1,CEILING(PERCENTRANK.INC($C$3:$C$6000,C2632,4)*5+0.000001,1)))</f>
        <v/>
      </c>
      <c r="G2632">
        <f>IF(A2632="","",MAX(1,CEILING(PERCENTRANK.INC($D$3:$D$6000,D2632,4)*5+0.000001,1)))</f>
        <v/>
      </c>
      <c r="H2632">
        <f>IF(A2632="","",E2632&amp;F2632&amp;G2632)</f>
        <v/>
      </c>
      <c r="I2632">
        <f>IF(A2632="","",IF(AND(E2632&gt;=4,F2632&gt;=4,G2632&gt;=4),"Juara",IF(AND(F2632&gt;=4,E2632&gt;=3),"Setia",IF(AND(E2632=5,F2632&lt;=2,G2632&gt;=3),"Berpotensi",IF(AND(E2632&lt;=3,E2632&gt;=2,F2632&gt;=3),"Rawan",IF(AND(E2632&lt;=2,F2632&lt;=2),"Tidur","Umum"))))))</f>
        <v/>
      </c>
    </row>
    <row r="2633">
      <c r="B2633">
        <f>IF(A2633="","",$B$1-MAXIFS(Donasi!$A$2:$A$20000,Donasi!$B$2:$B$20000,A2633))</f>
        <v/>
      </c>
      <c r="C2633">
        <f>IF(A2633="","",COUNTIF(Donasi!$B$2:$B$20000,A2633))</f>
        <v/>
      </c>
      <c r="D2633">
        <f>IF(A2633="","",SUMIF(Donasi!$B$2:$B$20000,A2633,Donasi!$C$2:$C$20000))</f>
        <v/>
      </c>
      <c r="E2633">
        <f>IF(A2633="","",6-CEILING(PERCENTRANK.INC($B$3:$B$6000,B2633,4)*5+0.000001,1))</f>
        <v/>
      </c>
      <c r="F2633">
        <f>IF(A2633="","",MAX(1,CEILING(PERCENTRANK.INC($C$3:$C$6000,C2633,4)*5+0.000001,1)))</f>
        <v/>
      </c>
      <c r="G2633">
        <f>IF(A2633="","",MAX(1,CEILING(PERCENTRANK.INC($D$3:$D$6000,D2633,4)*5+0.000001,1)))</f>
        <v/>
      </c>
      <c r="H2633">
        <f>IF(A2633="","",E2633&amp;F2633&amp;G2633)</f>
        <v/>
      </c>
      <c r="I2633">
        <f>IF(A2633="","",IF(AND(E2633&gt;=4,F2633&gt;=4,G2633&gt;=4),"Juara",IF(AND(F2633&gt;=4,E2633&gt;=3),"Setia",IF(AND(E2633=5,F2633&lt;=2,G2633&gt;=3),"Berpotensi",IF(AND(E2633&lt;=3,E2633&gt;=2,F2633&gt;=3),"Rawan",IF(AND(E2633&lt;=2,F2633&lt;=2),"Tidur","Umum"))))))</f>
        <v/>
      </c>
    </row>
    <row r="2634">
      <c r="B2634">
        <f>IF(A2634="","",$B$1-MAXIFS(Donasi!$A$2:$A$20000,Donasi!$B$2:$B$20000,A2634))</f>
        <v/>
      </c>
      <c r="C2634">
        <f>IF(A2634="","",COUNTIF(Donasi!$B$2:$B$20000,A2634))</f>
        <v/>
      </c>
      <c r="D2634">
        <f>IF(A2634="","",SUMIF(Donasi!$B$2:$B$20000,A2634,Donasi!$C$2:$C$20000))</f>
        <v/>
      </c>
      <c r="E2634">
        <f>IF(A2634="","",6-CEILING(PERCENTRANK.INC($B$3:$B$6000,B2634,4)*5+0.000001,1))</f>
        <v/>
      </c>
      <c r="F2634">
        <f>IF(A2634="","",MAX(1,CEILING(PERCENTRANK.INC($C$3:$C$6000,C2634,4)*5+0.000001,1)))</f>
        <v/>
      </c>
      <c r="G2634">
        <f>IF(A2634="","",MAX(1,CEILING(PERCENTRANK.INC($D$3:$D$6000,D2634,4)*5+0.000001,1)))</f>
        <v/>
      </c>
      <c r="H2634">
        <f>IF(A2634="","",E2634&amp;F2634&amp;G2634)</f>
        <v/>
      </c>
      <c r="I2634">
        <f>IF(A2634="","",IF(AND(E2634&gt;=4,F2634&gt;=4,G2634&gt;=4),"Juara",IF(AND(F2634&gt;=4,E2634&gt;=3),"Setia",IF(AND(E2634=5,F2634&lt;=2,G2634&gt;=3),"Berpotensi",IF(AND(E2634&lt;=3,E2634&gt;=2,F2634&gt;=3),"Rawan",IF(AND(E2634&lt;=2,F2634&lt;=2),"Tidur","Umum"))))))</f>
        <v/>
      </c>
    </row>
    <row r="2635">
      <c r="B2635">
        <f>IF(A2635="","",$B$1-MAXIFS(Donasi!$A$2:$A$20000,Donasi!$B$2:$B$20000,A2635))</f>
        <v/>
      </c>
      <c r="C2635">
        <f>IF(A2635="","",COUNTIF(Donasi!$B$2:$B$20000,A2635))</f>
        <v/>
      </c>
      <c r="D2635">
        <f>IF(A2635="","",SUMIF(Donasi!$B$2:$B$20000,A2635,Donasi!$C$2:$C$20000))</f>
        <v/>
      </c>
      <c r="E2635">
        <f>IF(A2635="","",6-CEILING(PERCENTRANK.INC($B$3:$B$6000,B2635,4)*5+0.000001,1))</f>
        <v/>
      </c>
      <c r="F2635">
        <f>IF(A2635="","",MAX(1,CEILING(PERCENTRANK.INC($C$3:$C$6000,C2635,4)*5+0.000001,1)))</f>
        <v/>
      </c>
      <c r="G2635">
        <f>IF(A2635="","",MAX(1,CEILING(PERCENTRANK.INC($D$3:$D$6000,D2635,4)*5+0.000001,1)))</f>
        <v/>
      </c>
      <c r="H2635">
        <f>IF(A2635="","",E2635&amp;F2635&amp;G2635)</f>
        <v/>
      </c>
      <c r="I2635">
        <f>IF(A2635="","",IF(AND(E2635&gt;=4,F2635&gt;=4,G2635&gt;=4),"Juara",IF(AND(F2635&gt;=4,E2635&gt;=3),"Setia",IF(AND(E2635=5,F2635&lt;=2,G2635&gt;=3),"Berpotensi",IF(AND(E2635&lt;=3,E2635&gt;=2,F2635&gt;=3),"Rawan",IF(AND(E2635&lt;=2,F2635&lt;=2),"Tidur","Umum"))))))</f>
        <v/>
      </c>
    </row>
    <row r="2636">
      <c r="B2636">
        <f>IF(A2636="","",$B$1-MAXIFS(Donasi!$A$2:$A$20000,Donasi!$B$2:$B$20000,A2636))</f>
        <v/>
      </c>
      <c r="C2636">
        <f>IF(A2636="","",COUNTIF(Donasi!$B$2:$B$20000,A2636))</f>
        <v/>
      </c>
      <c r="D2636">
        <f>IF(A2636="","",SUMIF(Donasi!$B$2:$B$20000,A2636,Donasi!$C$2:$C$20000))</f>
        <v/>
      </c>
      <c r="E2636">
        <f>IF(A2636="","",6-CEILING(PERCENTRANK.INC($B$3:$B$6000,B2636,4)*5+0.000001,1))</f>
        <v/>
      </c>
      <c r="F2636">
        <f>IF(A2636="","",MAX(1,CEILING(PERCENTRANK.INC($C$3:$C$6000,C2636,4)*5+0.000001,1)))</f>
        <v/>
      </c>
      <c r="G2636">
        <f>IF(A2636="","",MAX(1,CEILING(PERCENTRANK.INC($D$3:$D$6000,D2636,4)*5+0.000001,1)))</f>
        <v/>
      </c>
      <c r="H2636">
        <f>IF(A2636="","",E2636&amp;F2636&amp;G2636)</f>
        <v/>
      </c>
      <c r="I2636">
        <f>IF(A2636="","",IF(AND(E2636&gt;=4,F2636&gt;=4,G2636&gt;=4),"Juara",IF(AND(F2636&gt;=4,E2636&gt;=3),"Setia",IF(AND(E2636=5,F2636&lt;=2,G2636&gt;=3),"Berpotensi",IF(AND(E2636&lt;=3,E2636&gt;=2,F2636&gt;=3),"Rawan",IF(AND(E2636&lt;=2,F2636&lt;=2),"Tidur","Umum"))))))</f>
        <v/>
      </c>
    </row>
    <row r="2637">
      <c r="B2637">
        <f>IF(A2637="","",$B$1-MAXIFS(Donasi!$A$2:$A$20000,Donasi!$B$2:$B$20000,A2637))</f>
        <v/>
      </c>
      <c r="C2637">
        <f>IF(A2637="","",COUNTIF(Donasi!$B$2:$B$20000,A2637))</f>
        <v/>
      </c>
      <c r="D2637">
        <f>IF(A2637="","",SUMIF(Donasi!$B$2:$B$20000,A2637,Donasi!$C$2:$C$20000))</f>
        <v/>
      </c>
      <c r="E2637">
        <f>IF(A2637="","",6-CEILING(PERCENTRANK.INC($B$3:$B$6000,B2637,4)*5+0.000001,1))</f>
        <v/>
      </c>
      <c r="F2637">
        <f>IF(A2637="","",MAX(1,CEILING(PERCENTRANK.INC($C$3:$C$6000,C2637,4)*5+0.000001,1)))</f>
        <v/>
      </c>
      <c r="G2637">
        <f>IF(A2637="","",MAX(1,CEILING(PERCENTRANK.INC($D$3:$D$6000,D2637,4)*5+0.000001,1)))</f>
        <v/>
      </c>
      <c r="H2637">
        <f>IF(A2637="","",E2637&amp;F2637&amp;G2637)</f>
        <v/>
      </c>
      <c r="I2637">
        <f>IF(A2637="","",IF(AND(E2637&gt;=4,F2637&gt;=4,G2637&gt;=4),"Juara",IF(AND(F2637&gt;=4,E2637&gt;=3),"Setia",IF(AND(E2637=5,F2637&lt;=2,G2637&gt;=3),"Berpotensi",IF(AND(E2637&lt;=3,E2637&gt;=2,F2637&gt;=3),"Rawan",IF(AND(E2637&lt;=2,F2637&lt;=2),"Tidur","Umum"))))))</f>
        <v/>
      </c>
    </row>
    <row r="2638">
      <c r="B2638">
        <f>IF(A2638="","",$B$1-MAXIFS(Donasi!$A$2:$A$20000,Donasi!$B$2:$B$20000,A2638))</f>
        <v/>
      </c>
      <c r="C2638">
        <f>IF(A2638="","",COUNTIF(Donasi!$B$2:$B$20000,A2638))</f>
        <v/>
      </c>
      <c r="D2638">
        <f>IF(A2638="","",SUMIF(Donasi!$B$2:$B$20000,A2638,Donasi!$C$2:$C$20000))</f>
        <v/>
      </c>
      <c r="E2638">
        <f>IF(A2638="","",6-CEILING(PERCENTRANK.INC($B$3:$B$6000,B2638,4)*5+0.000001,1))</f>
        <v/>
      </c>
      <c r="F2638">
        <f>IF(A2638="","",MAX(1,CEILING(PERCENTRANK.INC($C$3:$C$6000,C2638,4)*5+0.000001,1)))</f>
        <v/>
      </c>
      <c r="G2638">
        <f>IF(A2638="","",MAX(1,CEILING(PERCENTRANK.INC($D$3:$D$6000,D2638,4)*5+0.000001,1)))</f>
        <v/>
      </c>
      <c r="H2638">
        <f>IF(A2638="","",E2638&amp;F2638&amp;G2638)</f>
        <v/>
      </c>
      <c r="I2638">
        <f>IF(A2638="","",IF(AND(E2638&gt;=4,F2638&gt;=4,G2638&gt;=4),"Juara",IF(AND(F2638&gt;=4,E2638&gt;=3),"Setia",IF(AND(E2638=5,F2638&lt;=2,G2638&gt;=3),"Berpotensi",IF(AND(E2638&lt;=3,E2638&gt;=2,F2638&gt;=3),"Rawan",IF(AND(E2638&lt;=2,F2638&lt;=2),"Tidur","Umum"))))))</f>
        <v/>
      </c>
    </row>
    <row r="2639">
      <c r="B2639">
        <f>IF(A2639="","",$B$1-MAXIFS(Donasi!$A$2:$A$20000,Donasi!$B$2:$B$20000,A2639))</f>
        <v/>
      </c>
      <c r="C2639">
        <f>IF(A2639="","",COUNTIF(Donasi!$B$2:$B$20000,A2639))</f>
        <v/>
      </c>
      <c r="D2639">
        <f>IF(A2639="","",SUMIF(Donasi!$B$2:$B$20000,A2639,Donasi!$C$2:$C$20000))</f>
        <v/>
      </c>
      <c r="E2639">
        <f>IF(A2639="","",6-CEILING(PERCENTRANK.INC($B$3:$B$6000,B2639,4)*5+0.000001,1))</f>
        <v/>
      </c>
      <c r="F2639">
        <f>IF(A2639="","",MAX(1,CEILING(PERCENTRANK.INC($C$3:$C$6000,C2639,4)*5+0.000001,1)))</f>
        <v/>
      </c>
      <c r="G2639">
        <f>IF(A2639="","",MAX(1,CEILING(PERCENTRANK.INC($D$3:$D$6000,D2639,4)*5+0.000001,1)))</f>
        <v/>
      </c>
      <c r="H2639">
        <f>IF(A2639="","",E2639&amp;F2639&amp;G2639)</f>
        <v/>
      </c>
      <c r="I2639">
        <f>IF(A2639="","",IF(AND(E2639&gt;=4,F2639&gt;=4,G2639&gt;=4),"Juara",IF(AND(F2639&gt;=4,E2639&gt;=3),"Setia",IF(AND(E2639=5,F2639&lt;=2,G2639&gt;=3),"Berpotensi",IF(AND(E2639&lt;=3,E2639&gt;=2,F2639&gt;=3),"Rawan",IF(AND(E2639&lt;=2,F2639&lt;=2),"Tidur","Umum"))))))</f>
        <v/>
      </c>
    </row>
    <row r="2640">
      <c r="B2640">
        <f>IF(A2640="","",$B$1-MAXIFS(Donasi!$A$2:$A$20000,Donasi!$B$2:$B$20000,A2640))</f>
        <v/>
      </c>
      <c r="C2640">
        <f>IF(A2640="","",COUNTIF(Donasi!$B$2:$B$20000,A2640))</f>
        <v/>
      </c>
      <c r="D2640">
        <f>IF(A2640="","",SUMIF(Donasi!$B$2:$B$20000,A2640,Donasi!$C$2:$C$20000))</f>
        <v/>
      </c>
      <c r="E2640">
        <f>IF(A2640="","",6-CEILING(PERCENTRANK.INC($B$3:$B$6000,B2640,4)*5+0.000001,1))</f>
        <v/>
      </c>
      <c r="F2640">
        <f>IF(A2640="","",MAX(1,CEILING(PERCENTRANK.INC($C$3:$C$6000,C2640,4)*5+0.000001,1)))</f>
        <v/>
      </c>
      <c r="G2640">
        <f>IF(A2640="","",MAX(1,CEILING(PERCENTRANK.INC($D$3:$D$6000,D2640,4)*5+0.000001,1)))</f>
        <v/>
      </c>
      <c r="H2640">
        <f>IF(A2640="","",E2640&amp;F2640&amp;G2640)</f>
        <v/>
      </c>
      <c r="I2640">
        <f>IF(A2640="","",IF(AND(E2640&gt;=4,F2640&gt;=4,G2640&gt;=4),"Juara",IF(AND(F2640&gt;=4,E2640&gt;=3),"Setia",IF(AND(E2640=5,F2640&lt;=2,G2640&gt;=3),"Berpotensi",IF(AND(E2640&lt;=3,E2640&gt;=2,F2640&gt;=3),"Rawan",IF(AND(E2640&lt;=2,F2640&lt;=2),"Tidur","Umum"))))))</f>
        <v/>
      </c>
    </row>
    <row r="2641">
      <c r="B2641">
        <f>IF(A2641="","",$B$1-MAXIFS(Donasi!$A$2:$A$20000,Donasi!$B$2:$B$20000,A2641))</f>
        <v/>
      </c>
      <c r="C2641">
        <f>IF(A2641="","",COUNTIF(Donasi!$B$2:$B$20000,A2641))</f>
        <v/>
      </c>
      <c r="D2641">
        <f>IF(A2641="","",SUMIF(Donasi!$B$2:$B$20000,A2641,Donasi!$C$2:$C$20000))</f>
        <v/>
      </c>
      <c r="E2641">
        <f>IF(A2641="","",6-CEILING(PERCENTRANK.INC($B$3:$B$6000,B2641,4)*5+0.000001,1))</f>
        <v/>
      </c>
      <c r="F2641">
        <f>IF(A2641="","",MAX(1,CEILING(PERCENTRANK.INC($C$3:$C$6000,C2641,4)*5+0.000001,1)))</f>
        <v/>
      </c>
      <c r="G2641">
        <f>IF(A2641="","",MAX(1,CEILING(PERCENTRANK.INC($D$3:$D$6000,D2641,4)*5+0.000001,1)))</f>
        <v/>
      </c>
      <c r="H2641">
        <f>IF(A2641="","",E2641&amp;F2641&amp;G2641)</f>
        <v/>
      </c>
      <c r="I2641">
        <f>IF(A2641="","",IF(AND(E2641&gt;=4,F2641&gt;=4,G2641&gt;=4),"Juara",IF(AND(F2641&gt;=4,E2641&gt;=3),"Setia",IF(AND(E2641=5,F2641&lt;=2,G2641&gt;=3),"Berpotensi",IF(AND(E2641&lt;=3,E2641&gt;=2,F2641&gt;=3),"Rawan",IF(AND(E2641&lt;=2,F2641&lt;=2),"Tidur","Umum"))))))</f>
        <v/>
      </c>
    </row>
    <row r="2642">
      <c r="B2642">
        <f>IF(A2642="","",$B$1-MAXIFS(Donasi!$A$2:$A$20000,Donasi!$B$2:$B$20000,A2642))</f>
        <v/>
      </c>
      <c r="C2642">
        <f>IF(A2642="","",COUNTIF(Donasi!$B$2:$B$20000,A2642))</f>
        <v/>
      </c>
      <c r="D2642">
        <f>IF(A2642="","",SUMIF(Donasi!$B$2:$B$20000,A2642,Donasi!$C$2:$C$20000))</f>
        <v/>
      </c>
      <c r="E2642">
        <f>IF(A2642="","",6-CEILING(PERCENTRANK.INC($B$3:$B$6000,B2642,4)*5+0.000001,1))</f>
        <v/>
      </c>
      <c r="F2642">
        <f>IF(A2642="","",MAX(1,CEILING(PERCENTRANK.INC($C$3:$C$6000,C2642,4)*5+0.000001,1)))</f>
        <v/>
      </c>
      <c r="G2642">
        <f>IF(A2642="","",MAX(1,CEILING(PERCENTRANK.INC($D$3:$D$6000,D2642,4)*5+0.000001,1)))</f>
        <v/>
      </c>
      <c r="H2642">
        <f>IF(A2642="","",E2642&amp;F2642&amp;G2642)</f>
        <v/>
      </c>
      <c r="I2642">
        <f>IF(A2642="","",IF(AND(E2642&gt;=4,F2642&gt;=4,G2642&gt;=4),"Juara",IF(AND(F2642&gt;=4,E2642&gt;=3),"Setia",IF(AND(E2642=5,F2642&lt;=2,G2642&gt;=3),"Berpotensi",IF(AND(E2642&lt;=3,E2642&gt;=2,F2642&gt;=3),"Rawan",IF(AND(E2642&lt;=2,F2642&lt;=2),"Tidur","Umum"))))))</f>
        <v/>
      </c>
    </row>
    <row r="2643">
      <c r="B2643">
        <f>IF(A2643="","",$B$1-MAXIFS(Donasi!$A$2:$A$20000,Donasi!$B$2:$B$20000,A2643))</f>
        <v/>
      </c>
      <c r="C2643">
        <f>IF(A2643="","",COUNTIF(Donasi!$B$2:$B$20000,A2643))</f>
        <v/>
      </c>
      <c r="D2643">
        <f>IF(A2643="","",SUMIF(Donasi!$B$2:$B$20000,A2643,Donasi!$C$2:$C$20000))</f>
        <v/>
      </c>
      <c r="E2643">
        <f>IF(A2643="","",6-CEILING(PERCENTRANK.INC($B$3:$B$6000,B2643,4)*5+0.000001,1))</f>
        <v/>
      </c>
      <c r="F2643">
        <f>IF(A2643="","",MAX(1,CEILING(PERCENTRANK.INC($C$3:$C$6000,C2643,4)*5+0.000001,1)))</f>
        <v/>
      </c>
      <c r="G2643">
        <f>IF(A2643="","",MAX(1,CEILING(PERCENTRANK.INC($D$3:$D$6000,D2643,4)*5+0.000001,1)))</f>
        <v/>
      </c>
      <c r="H2643">
        <f>IF(A2643="","",E2643&amp;F2643&amp;G2643)</f>
        <v/>
      </c>
      <c r="I2643">
        <f>IF(A2643="","",IF(AND(E2643&gt;=4,F2643&gt;=4,G2643&gt;=4),"Juara",IF(AND(F2643&gt;=4,E2643&gt;=3),"Setia",IF(AND(E2643=5,F2643&lt;=2,G2643&gt;=3),"Berpotensi",IF(AND(E2643&lt;=3,E2643&gt;=2,F2643&gt;=3),"Rawan",IF(AND(E2643&lt;=2,F2643&lt;=2),"Tidur","Umum"))))))</f>
        <v/>
      </c>
    </row>
    <row r="2644">
      <c r="B2644">
        <f>IF(A2644="","",$B$1-MAXIFS(Donasi!$A$2:$A$20000,Donasi!$B$2:$B$20000,A2644))</f>
        <v/>
      </c>
      <c r="C2644">
        <f>IF(A2644="","",COUNTIF(Donasi!$B$2:$B$20000,A2644))</f>
        <v/>
      </c>
      <c r="D2644">
        <f>IF(A2644="","",SUMIF(Donasi!$B$2:$B$20000,A2644,Donasi!$C$2:$C$20000))</f>
        <v/>
      </c>
      <c r="E2644">
        <f>IF(A2644="","",6-CEILING(PERCENTRANK.INC($B$3:$B$6000,B2644,4)*5+0.000001,1))</f>
        <v/>
      </c>
      <c r="F2644">
        <f>IF(A2644="","",MAX(1,CEILING(PERCENTRANK.INC($C$3:$C$6000,C2644,4)*5+0.000001,1)))</f>
        <v/>
      </c>
      <c r="G2644">
        <f>IF(A2644="","",MAX(1,CEILING(PERCENTRANK.INC($D$3:$D$6000,D2644,4)*5+0.000001,1)))</f>
        <v/>
      </c>
      <c r="H2644">
        <f>IF(A2644="","",E2644&amp;F2644&amp;G2644)</f>
        <v/>
      </c>
      <c r="I2644">
        <f>IF(A2644="","",IF(AND(E2644&gt;=4,F2644&gt;=4,G2644&gt;=4),"Juara",IF(AND(F2644&gt;=4,E2644&gt;=3),"Setia",IF(AND(E2644=5,F2644&lt;=2,G2644&gt;=3),"Berpotensi",IF(AND(E2644&lt;=3,E2644&gt;=2,F2644&gt;=3),"Rawan",IF(AND(E2644&lt;=2,F2644&lt;=2),"Tidur","Umum"))))))</f>
        <v/>
      </c>
    </row>
    <row r="2645">
      <c r="B2645">
        <f>IF(A2645="","",$B$1-MAXIFS(Donasi!$A$2:$A$20000,Donasi!$B$2:$B$20000,A2645))</f>
        <v/>
      </c>
      <c r="C2645">
        <f>IF(A2645="","",COUNTIF(Donasi!$B$2:$B$20000,A2645))</f>
        <v/>
      </c>
      <c r="D2645">
        <f>IF(A2645="","",SUMIF(Donasi!$B$2:$B$20000,A2645,Donasi!$C$2:$C$20000))</f>
        <v/>
      </c>
      <c r="E2645">
        <f>IF(A2645="","",6-CEILING(PERCENTRANK.INC($B$3:$B$6000,B2645,4)*5+0.000001,1))</f>
        <v/>
      </c>
      <c r="F2645">
        <f>IF(A2645="","",MAX(1,CEILING(PERCENTRANK.INC($C$3:$C$6000,C2645,4)*5+0.000001,1)))</f>
        <v/>
      </c>
      <c r="G2645">
        <f>IF(A2645="","",MAX(1,CEILING(PERCENTRANK.INC($D$3:$D$6000,D2645,4)*5+0.000001,1)))</f>
        <v/>
      </c>
      <c r="H2645">
        <f>IF(A2645="","",E2645&amp;F2645&amp;G2645)</f>
        <v/>
      </c>
      <c r="I2645">
        <f>IF(A2645="","",IF(AND(E2645&gt;=4,F2645&gt;=4,G2645&gt;=4),"Juara",IF(AND(F2645&gt;=4,E2645&gt;=3),"Setia",IF(AND(E2645=5,F2645&lt;=2,G2645&gt;=3),"Berpotensi",IF(AND(E2645&lt;=3,E2645&gt;=2,F2645&gt;=3),"Rawan",IF(AND(E2645&lt;=2,F2645&lt;=2),"Tidur","Umum"))))))</f>
        <v/>
      </c>
    </row>
    <row r="2646">
      <c r="B2646">
        <f>IF(A2646="","",$B$1-MAXIFS(Donasi!$A$2:$A$20000,Donasi!$B$2:$B$20000,A2646))</f>
        <v/>
      </c>
      <c r="C2646">
        <f>IF(A2646="","",COUNTIF(Donasi!$B$2:$B$20000,A2646))</f>
        <v/>
      </c>
      <c r="D2646">
        <f>IF(A2646="","",SUMIF(Donasi!$B$2:$B$20000,A2646,Donasi!$C$2:$C$20000))</f>
        <v/>
      </c>
      <c r="E2646">
        <f>IF(A2646="","",6-CEILING(PERCENTRANK.INC($B$3:$B$6000,B2646,4)*5+0.000001,1))</f>
        <v/>
      </c>
      <c r="F2646">
        <f>IF(A2646="","",MAX(1,CEILING(PERCENTRANK.INC($C$3:$C$6000,C2646,4)*5+0.000001,1)))</f>
        <v/>
      </c>
      <c r="G2646">
        <f>IF(A2646="","",MAX(1,CEILING(PERCENTRANK.INC($D$3:$D$6000,D2646,4)*5+0.000001,1)))</f>
        <v/>
      </c>
      <c r="H2646">
        <f>IF(A2646="","",E2646&amp;F2646&amp;G2646)</f>
        <v/>
      </c>
      <c r="I2646">
        <f>IF(A2646="","",IF(AND(E2646&gt;=4,F2646&gt;=4,G2646&gt;=4),"Juara",IF(AND(F2646&gt;=4,E2646&gt;=3),"Setia",IF(AND(E2646=5,F2646&lt;=2,G2646&gt;=3),"Berpotensi",IF(AND(E2646&lt;=3,E2646&gt;=2,F2646&gt;=3),"Rawan",IF(AND(E2646&lt;=2,F2646&lt;=2),"Tidur","Umum"))))))</f>
        <v/>
      </c>
    </row>
    <row r="2647">
      <c r="B2647">
        <f>IF(A2647="","",$B$1-MAXIFS(Donasi!$A$2:$A$20000,Donasi!$B$2:$B$20000,A2647))</f>
        <v/>
      </c>
      <c r="C2647">
        <f>IF(A2647="","",COUNTIF(Donasi!$B$2:$B$20000,A2647))</f>
        <v/>
      </c>
      <c r="D2647">
        <f>IF(A2647="","",SUMIF(Donasi!$B$2:$B$20000,A2647,Donasi!$C$2:$C$20000))</f>
        <v/>
      </c>
      <c r="E2647">
        <f>IF(A2647="","",6-CEILING(PERCENTRANK.INC($B$3:$B$6000,B2647,4)*5+0.000001,1))</f>
        <v/>
      </c>
      <c r="F2647">
        <f>IF(A2647="","",MAX(1,CEILING(PERCENTRANK.INC($C$3:$C$6000,C2647,4)*5+0.000001,1)))</f>
        <v/>
      </c>
      <c r="G2647">
        <f>IF(A2647="","",MAX(1,CEILING(PERCENTRANK.INC($D$3:$D$6000,D2647,4)*5+0.000001,1)))</f>
        <v/>
      </c>
      <c r="H2647">
        <f>IF(A2647="","",E2647&amp;F2647&amp;G2647)</f>
        <v/>
      </c>
      <c r="I2647">
        <f>IF(A2647="","",IF(AND(E2647&gt;=4,F2647&gt;=4,G2647&gt;=4),"Juara",IF(AND(F2647&gt;=4,E2647&gt;=3),"Setia",IF(AND(E2647=5,F2647&lt;=2,G2647&gt;=3),"Berpotensi",IF(AND(E2647&lt;=3,E2647&gt;=2,F2647&gt;=3),"Rawan",IF(AND(E2647&lt;=2,F2647&lt;=2),"Tidur","Umum"))))))</f>
        <v/>
      </c>
    </row>
    <row r="2648">
      <c r="B2648">
        <f>IF(A2648="","",$B$1-MAXIFS(Donasi!$A$2:$A$20000,Donasi!$B$2:$B$20000,A2648))</f>
        <v/>
      </c>
      <c r="C2648">
        <f>IF(A2648="","",COUNTIF(Donasi!$B$2:$B$20000,A2648))</f>
        <v/>
      </c>
      <c r="D2648">
        <f>IF(A2648="","",SUMIF(Donasi!$B$2:$B$20000,A2648,Donasi!$C$2:$C$20000))</f>
        <v/>
      </c>
      <c r="E2648">
        <f>IF(A2648="","",6-CEILING(PERCENTRANK.INC($B$3:$B$6000,B2648,4)*5+0.000001,1))</f>
        <v/>
      </c>
      <c r="F2648">
        <f>IF(A2648="","",MAX(1,CEILING(PERCENTRANK.INC($C$3:$C$6000,C2648,4)*5+0.000001,1)))</f>
        <v/>
      </c>
      <c r="G2648">
        <f>IF(A2648="","",MAX(1,CEILING(PERCENTRANK.INC($D$3:$D$6000,D2648,4)*5+0.000001,1)))</f>
        <v/>
      </c>
      <c r="H2648">
        <f>IF(A2648="","",E2648&amp;F2648&amp;G2648)</f>
        <v/>
      </c>
      <c r="I2648">
        <f>IF(A2648="","",IF(AND(E2648&gt;=4,F2648&gt;=4,G2648&gt;=4),"Juara",IF(AND(F2648&gt;=4,E2648&gt;=3),"Setia",IF(AND(E2648=5,F2648&lt;=2,G2648&gt;=3),"Berpotensi",IF(AND(E2648&lt;=3,E2648&gt;=2,F2648&gt;=3),"Rawan",IF(AND(E2648&lt;=2,F2648&lt;=2),"Tidur","Umum"))))))</f>
        <v/>
      </c>
    </row>
    <row r="2649">
      <c r="B2649">
        <f>IF(A2649="","",$B$1-MAXIFS(Donasi!$A$2:$A$20000,Donasi!$B$2:$B$20000,A2649))</f>
        <v/>
      </c>
      <c r="C2649">
        <f>IF(A2649="","",COUNTIF(Donasi!$B$2:$B$20000,A2649))</f>
        <v/>
      </c>
      <c r="D2649">
        <f>IF(A2649="","",SUMIF(Donasi!$B$2:$B$20000,A2649,Donasi!$C$2:$C$20000))</f>
        <v/>
      </c>
      <c r="E2649">
        <f>IF(A2649="","",6-CEILING(PERCENTRANK.INC($B$3:$B$6000,B2649,4)*5+0.000001,1))</f>
        <v/>
      </c>
      <c r="F2649">
        <f>IF(A2649="","",MAX(1,CEILING(PERCENTRANK.INC($C$3:$C$6000,C2649,4)*5+0.000001,1)))</f>
        <v/>
      </c>
      <c r="G2649">
        <f>IF(A2649="","",MAX(1,CEILING(PERCENTRANK.INC($D$3:$D$6000,D2649,4)*5+0.000001,1)))</f>
        <v/>
      </c>
      <c r="H2649">
        <f>IF(A2649="","",E2649&amp;F2649&amp;G2649)</f>
        <v/>
      </c>
      <c r="I2649">
        <f>IF(A2649="","",IF(AND(E2649&gt;=4,F2649&gt;=4,G2649&gt;=4),"Juara",IF(AND(F2649&gt;=4,E2649&gt;=3),"Setia",IF(AND(E2649=5,F2649&lt;=2,G2649&gt;=3),"Berpotensi",IF(AND(E2649&lt;=3,E2649&gt;=2,F2649&gt;=3),"Rawan",IF(AND(E2649&lt;=2,F2649&lt;=2),"Tidur","Umum"))))))</f>
        <v/>
      </c>
    </row>
    <row r="2650">
      <c r="B2650">
        <f>IF(A2650="","",$B$1-MAXIFS(Donasi!$A$2:$A$20000,Donasi!$B$2:$B$20000,A2650))</f>
        <v/>
      </c>
      <c r="C2650">
        <f>IF(A2650="","",COUNTIF(Donasi!$B$2:$B$20000,A2650))</f>
        <v/>
      </c>
      <c r="D2650">
        <f>IF(A2650="","",SUMIF(Donasi!$B$2:$B$20000,A2650,Donasi!$C$2:$C$20000))</f>
        <v/>
      </c>
      <c r="E2650">
        <f>IF(A2650="","",6-CEILING(PERCENTRANK.INC($B$3:$B$6000,B2650,4)*5+0.000001,1))</f>
        <v/>
      </c>
      <c r="F2650">
        <f>IF(A2650="","",MAX(1,CEILING(PERCENTRANK.INC($C$3:$C$6000,C2650,4)*5+0.000001,1)))</f>
        <v/>
      </c>
      <c r="G2650">
        <f>IF(A2650="","",MAX(1,CEILING(PERCENTRANK.INC($D$3:$D$6000,D2650,4)*5+0.000001,1)))</f>
        <v/>
      </c>
      <c r="H2650">
        <f>IF(A2650="","",E2650&amp;F2650&amp;G2650)</f>
        <v/>
      </c>
      <c r="I2650">
        <f>IF(A2650="","",IF(AND(E2650&gt;=4,F2650&gt;=4,G2650&gt;=4),"Juara",IF(AND(F2650&gt;=4,E2650&gt;=3),"Setia",IF(AND(E2650=5,F2650&lt;=2,G2650&gt;=3),"Berpotensi",IF(AND(E2650&lt;=3,E2650&gt;=2,F2650&gt;=3),"Rawan",IF(AND(E2650&lt;=2,F2650&lt;=2),"Tidur","Umum"))))))</f>
        <v/>
      </c>
    </row>
    <row r="2651">
      <c r="B2651">
        <f>IF(A2651="","",$B$1-MAXIFS(Donasi!$A$2:$A$20000,Donasi!$B$2:$B$20000,A2651))</f>
        <v/>
      </c>
      <c r="C2651">
        <f>IF(A2651="","",COUNTIF(Donasi!$B$2:$B$20000,A2651))</f>
        <v/>
      </c>
      <c r="D2651">
        <f>IF(A2651="","",SUMIF(Donasi!$B$2:$B$20000,A2651,Donasi!$C$2:$C$20000))</f>
        <v/>
      </c>
      <c r="E2651">
        <f>IF(A2651="","",6-CEILING(PERCENTRANK.INC($B$3:$B$6000,B2651,4)*5+0.000001,1))</f>
        <v/>
      </c>
      <c r="F2651">
        <f>IF(A2651="","",MAX(1,CEILING(PERCENTRANK.INC($C$3:$C$6000,C2651,4)*5+0.000001,1)))</f>
        <v/>
      </c>
      <c r="G2651">
        <f>IF(A2651="","",MAX(1,CEILING(PERCENTRANK.INC($D$3:$D$6000,D2651,4)*5+0.000001,1)))</f>
        <v/>
      </c>
      <c r="H2651">
        <f>IF(A2651="","",E2651&amp;F2651&amp;G2651)</f>
        <v/>
      </c>
      <c r="I2651">
        <f>IF(A2651="","",IF(AND(E2651&gt;=4,F2651&gt;=4,G2651&gt;=4),"Juara",IF(AND(F2651&gt;=4,E2651&gt;=3),"Setia",IF(AND(E2651=5,F2651&lt;=2,G2651&gt;=3),"Berpotensi",IF(AND(E2651&lt;=3,E2651&gt;=2,F2651&gt;=3),"Rawan",IF(AND(E2651&lt;=2,F2651&lt;=2),"Tidur","Umum"))))))</f>
        <v/>
      </c>
    </row>
    <row r="2652">
      <c r="B2652">
        <f>IF(A2652="","",$B$1-MAXIFS(Donasi!$A$2:$A$20000,Donasi!$B$2:$B$20000,A2652))</f>
        <v/>
      </c>
      <c r="C2652">
        <f>IF(A2652="","",COUNTIF(Donasi!$B$2:$B$20000,A2652))</f>
        <v/>
      </c>
      <c r="D2652">
        <f>IF(A2652="","",SUMIF(Donasi!$B$2:$B$20000,A2652,Donasi!$C$2:$C$20000))</f>
        <v/>
      </c>
      <c r="E2652">
        <f>IF(A2652="","",6-CEILING(PERCENTRANK.INC($B$3:$B$6000,B2652,4)*5+0.000001,1))</f>
        <v/>
      </c>
      <c r="F2652">
        <f>IF(A2652="","",MAX(1,CEILING(PERCENTRANK.INC($C$3:$C$6000,C2652,4)*5+0.000001,1)))</f>
        <v/>
      </c>
      <c r="G2652">
        <f>IF(A2652="","",MAX(1,CEILING(PERCENTRANK.INC($D$3:$D$6000,D2652,4)*5+0.000001,1)))</f>
        <v/>
      </c>
      <c r="H2652">
        <f>IF(A2652="","",E2652&amp;F2652&amp;G2652)</f>
        <v/>
      </c>
      <c r="I2652">
        <f>IF(A2652="","",IF(AND(E2652&gt;=4,F2652&gt;=4,G2652&gt;=4),"Juara",IF(AND(F2652&gt;=4,E2652&gt;=3),"Setia",IF(AND(E2652=5,F2652&lt;=2,G2652&gt;=3),"Berpotensi",IF(AND(E2652&lt;=3,E2652&gt;=2,F2652&gt;=3),"Rawan",IF(AND(E2652&lt;=2,F2652&lt;=2),"Tidur","Umum"))))))</f>
        <v/>
      </c>
    </row>
    <row r="2653">
      <c r="B2653">
        <f>IF(A2653="","",$B$1-MAXIFS(Donasi!$A$2:$A$20000,Donasi!$B$2:$B$20000,A2653))</f>
        <v/>
      </c>
      <c r="C2653">
        <f>IF(A2653="","",COUNTIF(Donasi!$B$2:$B$20000,A2653))</f>
        <v/>
      </c>
      <c r="D2653">
        <f>IF(A2653="","",SUMIF(Donasi!$B$2:$B$20000,A2653,Donasi!$C$2:$C$20000))</f>
        <v/>
      </c>
      <c r="E2653">
        <f>IF(A2653="","",6-CEILING(PERCENTRANK.INC($B$3:$B$6000,B2653,4)*5+0.000001,1))</f>
        <v/>
      </c>
      <c r="F2653">
        <f>IF(A2653="","",MAX(1,CEILING(PERCENTRANK.INC($C$3:$C$6000,C2653,4)*5+0.000001,1)))</f>
        <v/>
      </c>
      <c r="G2653">
        <f>IF(A2653="","",MAX(1,CEILING(PERCENTRANK.INC($D$3:$D$6000,D2653,4)*5+0.000001,1)))</f>
        <v/>
      </c>
      <c r="H2653">
        <f>IF(A2653="","",E2653&amp;F2653&amp;G2653)</f>
        <v/>
      </c>
      <c r="I2653">
        <f>IF(A2653="","",IF(AND(E2653&gt;=4,F2653&gt;=4,G2653&gt;=4),"Juara",IF(AND(F2653&gt;=4,E2653&gt;=3),"Setia",IF(AND(E2653=5,F2653&lt;=2,G2653&gt;=3),"Berpotensi",IF(AND(E2653&lt;=3,E2653&gt;=2,F2653&gt;=3),"Rawan",IF(AND(E2653&lt;=2,F2653&lt;=2),"Tidur","Umum"))))))</f>
        <v/>
      </c>
    </row>
    <row r="2654">
      <c r="B2654">
        <f>IF(A2654="","",$B$1-MAXIFS(Donasi!$A$2:$A$20000,Donasi!$B$2:$B$20000,A2654))</f>
        <v/>
      </c>
      <c r="C2654">
        <f>IF(A2654="","",COUNTIF(Donasi!$B$2:$B$20000,A2654))</f>
        <v/>
      </c>
      <c r="D2654">
        <f>IF(A2654="","",SUMIF(Donasi!$B$2:$B$20000,A2654,Donasi!$C$2:$C$20000))</f>
        <v/>
      </c>
      <c r="E2654">
        <f>IF(A2654="","",6-CEILING(PERCENTRANK.INC($B$3:$B$6000,B2654,4)*5+0.000001,1))</f>
        <v/>
      </c>
      <c r="F2654">
        <f>IF(A2654="","",MAX(1,CEILING(PERCENTRANK.INC($C$3:$C$6000,C2654,4)*5+0.000001,1)))</f>
        <v/>
      </c>
      <c r="G2654">
        <f>IF(A2654="","",MAX(1,CEILING(PERCENTRANK.INC($D$3:$D$6000,D2654,4)*5+0.000001,1)))</f>
        <v/>
      </c>
      <c r="H2654">
        <f>IF(A2654="","",E2654&amp;F2654&amp;G2654)</f>
        <v/>
      </c>
      <c r="I2654">
        <f>IF(A2654="","",IF(AND(E2654&gt;=4,F2654&gt;=4,G2654&gt;=4),"Juara",IF(AND(F2654&gt;=4,E2654&gt;=3),"Setia",IF(AND(E2654=5,F2654&lt;=2,G2654&gt;=3),"Berpotensi",IF(AND(E2654&lt;=3,E2654&gt;=2,F2654&gt;=3),"Rawan",IF(AND(E2654&lt;=2,F2654&lt;=2),"Tidur","Umum"))))))</f>
        <v/>
      </c>
    </row>
    <row r="2655">
      <c r="B2655">
        <f>IF(A2655="","",$B$1-MAXIFS(Donasi!$A$2:$A$20000,Donasi!$B$2:$B$20000,A2655))</f>
        <v/>
      </c>
      <c r="C2655">
        <f>IF(A2655="","",COUNTIF(Donasi!$B$2:$B$20000,A2655))</f>
        <v/>
      </c>
      <c r="D2655">
        <f>IF(A2655="","",SUMIF(Donasi!$B$2:$B$20000,A2655,Donasi!$C$2:$C$20000))</f>
        <v/>
      </c>
      <c r="E2655">
        <f>IF(A2655="","",6-CEILING(PERCENTRANK.INC($B$3:$B$6000,B2655,4)*5+0.000001,1))</f>
        <v/>
      </c>
      <c r="F2655">
        <f>IF(A2655="","",MAX(1,CEILING(PERCENTRANK.INC($C$3:$C$6000,C2655,4)*5+0.000001,1)))</f>
        <v/>
      </c>
      <c r="G2655">
        <f>IF(A2655="","",MAX(1,CEILING(PERCENTRANK.INC($D$3:$D$6000,D2655,4)*5+0.000001,1)))</f>
        <v/>
      </c>
      <c r="H2655">
        <f>IF(A2655="","",E2655&amp;F2655&amp;G2655)</f>
        <v/>
      </c>
      <c r="I2655">
        <f>IF(A2655="","",IF(AND(E2655&gt;=4,F2655&gt;=4,G2655&gt;=4),"Juara",IF(AND(F2655&gt;=4,E2655&gt;=3),"Setia",IF(AND(E2655=5,F2655&lt;=2,G2655&gt;=3),"Berpotensi",IF(AND(E2655&lt;=3,E2655&gt;=2,F2655&gt;=3),"Rawan",IF(AND(E2655&lt;=2,F2655&lt;=2),"Tidur","Umum"))))))</f>
        <v/>
      </c>
    </row>
    <row r="2656">
      <c r="B2656">
        <f>IF(A2656="","",$B$1-MAXIFS(Donasi!$A$2:$A$20000,Donasi!$B$2:$B$20000,A2656))</f>
        <v/>
      </c>
      <c r="C2656">
        <f>IF(A2656="","",COUNTIF(Donasi!$B$2:$B$20000,A2656))</f>
        <v/>
      </c>
      <c r="D2656">
        <f>IF(A2656="","",SUMIF(Donasi!$B$2:$B$20000,A2656,Donasi!$C$2:$C$20000))</f>
        <v/>
      </c>
      <c r="E2656">
        <f>IF(A2656="","",6-CEILING(PERCENTRANK.INC($B$3:$B$6000,B2656,4)*5+0.000001,1))</f>
        <v/>
      </c>
      <c r="F2656">
        <f>IF(A2656="","",MAX(1,CEILING(PERCENTRANK.INC($C$3:$C$6000,C2656,4)*5+0.000001,1)))</f>
        <v/>
      </c>
      <c r="G2656">
        <f>IF(A2656="","",MAX(1,CEILING(PERCENTRANK.INC($D$3:$D$6000,D2656,4)*5+0.000001,1)))</f>
        <v/>
      </c>
      <c r="H2656">
        <f>IF(A2656="","",E2656&amp;F2656&amp;G2656)</f>
        <v/>
      </c>
      <c r="I2656">
        <f>IF(A2656="","",IF(AND(E2656&gt;=4,F2656&gt;=4,G2656&gt;=4),"Juara",IF(AND(F2656&gt;=4,E2656&gt;=3),"Setia",IF(AND(E2656=5,F2656&lt;=2,G2656&gt;=3),"Berpotensi",IF(AND(E2656&lt;=3,E2656&gt;=2,F2656&gt;=3),"Rawan",IF(AND(E2656&lt;=2,F2656&lt;=2),"Tidur","Umum"))))))</f>
        <v/>
      </c>
    </row>
    <row r="2657">
      <c r="B2657">
        <f>IF(A2657="","",$B$1-MAXIFS(Donasi!$A$2:$A$20000,Donasi!$B$2:$B$20000,A2657))</f>
        <v/>
      </c>
      <c r="C2657">
        <f>IF(A2657="","",COUNTIF(Donasi!$B$2:$B$20000,A2657))</f>
        <v/>
      </c>
      <c r="D2657">
        <f>IF(A2657="","",SUMIF(Donasi!$B$2:$B$20000,A2657,Donasi!$C$2:$C$20000))</f>
        <v/>
      </c>
      <c r="E2657">
        <f>IF(A2657="","",6-CEILING(PERCENTRANK.INC($B$3:$B$6000,B2657,4)*5+0.000001,1))</f>
        <v/>
      </c>
      <c r="F2657">
        <f>IF(A2657="","",MAX(1,CEILING(PERCENTRANK.INC($C$3:$C$6000,C2657,4)*5+0.000001,1)))</f>
        <v/>
      </c>
      <c r="G2657">
        <f>IF(A2657="","",MAX(1,CEILING(PERCENTRANK.INC($D$3:$D$6000,D2657,4)*5+0.000001,1)))</f>
        <v/>
      </c>
      <c r="H2657">
        <f>IF(A2657="","",E2657&amp;F2657&amp;G2657)</f>
        <v/>
      </c>
      <c r="I2657">
        <f>IF(A2657="","",IF(AND(E2657&gt;=4,F2657&gt;=4,G2657&gt;=4),"Juara",IF(AND(F2657&gt;=4,E2657&gt;=3),"Setia",IF(AND(E2657=5,F2657&lt;=2,G2657&gt;=3),"Berpotensi",IF(AND(E2657&lt;=3,E2657&gt;=2,F2657&gt;=3),"Rawan",IF(AND(E2657&lt;=2,F2657&lt;=2),"Tidur","Umum"))))))</f>
        <v/>
      </c>
    </row>
    <row r="2658">
      <c r="B2658">
        <f>IF(A2658="","",$B$1-MAXIFS(Donasi!$A$2:$A$20000,Donasi!$B$2:$B$20000,A2658))</f>
        <v/>
      </c>
      <c r="C2658">
        <f>IF(A2658="","",COUNTIF(Donasi!$B$2:$B$20000,A2658))</f>
        <v/>
      </c>
      <c r="D2658">
        <f>IF(A2658="","",SUMIF(Donasi!$B$2:$B$20000,A2658,Donasi!$C$2:$C$20000))</f>
        <v/>
      </c>
      <c r="E2658">
        <f>IF(A2658="","",6-CEILING(PERCENTRANK.INC($B$3:$B$6000,B2658,4)*5+0.000001,1))</f>
        <v/>
      </c>
      <c r="F2658">
        <f>IF(A2658="","",MAX(1,CEILING(PERCENTRANK.INC($C$3:$C$6000,C2658,4)*5+0.000001,1)))</f>
        <v/>
      </c>
      <c r="G2658">
        <f>IF(A2658="","",MAX(1,CEILING(PERCENTRANK.INC($D$3:$D$6000,D2658,4)*5+0.000001,1)))</f>
        <v/>
      </c>
      <c r="H2658">
        <f>IF(A2658="","",E2658&amp;F2658&amp;G2658)</f>
        <v/>
      </c>
      <c r="I2658">
        <f>IF(A2658="","",IF(AND(E2658&gt;=4,F2658&gt;=4,G2658&gt;=4),"Juara",IF(AND(F2658&gt;=4,E2658&gt;=3),"Setia",IF(AND(E2658=5,F2658&lt;=2,G2658&gt;=3),"Berpotensi",IF(AND(E2658&lt;=3,E2658&gt;=2,F2658&gt;=3),"Rawan",IF(AND(E2658&lt;=2,F2658&lt;=2),"Tidur","Umum"))))))</f>
        <v/>
      </c>
    </row>
    <row r="2659">
      <c r="B2659">
        <f>IF(A2659="","",$B$1-MAXIFS(Donasi!$A$2:$A$20000,Donasi!$B$2:$B$20000,A2659))</f>
        <v/>
      </c>
      <c r="C2659">
        <f>IF(A2659="","",COUNTIF(Donasi!$B$2:$B$20000,A2659))</f>
        <v/>
      </c>
      <c r="D2659">
        <f>IF(A2659="","",SUMIF(Donasi!$B$2:$B$20000,A2659,Donasi!$C$2:$C$20000))</f>
        <v/>
      </c>
      <c r="E2659">
        <f>IF(A2659="","",6-CEILING(PERCENTRANK.INC($B$3:$B$6000,B2659,4)*5+0.000001,1))</f>
        <v/>
      </c>
      <c r="F2659">
        <f>IF(A2659="","",MAX(1,CEILING(PERCENTRANK.INC($C$3:$C$6000,C2659,4)*5+0.000001,1)))</f>
        <v/>
      </c>
      <c r="G2659">
        <f>IF(A2659="","",MAX(1,CEILING(PERCENTRANK.INC($D$3:$D$6000,D2659,4)*5+0.000001,1)))</f>
        <v/>
      </c>
      <c r="H2659">
        <f>IF(A2659="","",E2659&amp;F2659&amp;G2659)</f>
        <v/>
      </c>
      <c r="I2659">
        <f>IF(A2659="","",IF(AND(E2659&gt;=4,F2659&gt;=4,G2659&gt;=4),"Juara",IF(AND(F2659&gt;=4,E2659&gt;=3),"Setia",IF(AND(E2659=5,F2659&lt;=2,G2659&gt;=3),"Berpotensi",IF(AND(E2659&lt;=3,E2659&gt;=2,F2659&gt;=3),"Rawan",IF(AND(E2659&lt;=2,F2659&lt;=2),"Tidur","Umum"))))))</f>
        <v/>
      </c>
    </row>
    <row r="2660">
      <c r="B2660">
        <f>IF(A2660="","",$B$1-MAXIFS(Donasi!$A$2:$A$20000,Donasi!$B$2:$B$20000,A2660))</f>
        <v/>
      </c>
      <c r="C2660">
        <f>IF(A2660="","",COUNTIF(Donasi!$B$2:$B$20000,A2660))</f>
        <v/>
      </c>
      <c r="D2660">
        <f>IF(A2660="","",SUMIF(Donasi!$B$2:$B$20000,A2660,Donasi!$C$2:$C$20000))</f>
        <v/>
      </c>
      <c r="E2660">
        <f>IF(A2660="","",6-CEILING(PERCENTRANK.INC($B$3:$B$6000,B2660,4)*5+0.000001,1))</f>
        <v/>
      </c>
      <c r="F2660">
        <f>IF(A2660="","",MAX(1,CEILING(PERCENTRANK.INC($C$3:$C$6000,C2660,4)*5+0.000001,1)))</f>
        <v/>
      </c>
      <c r="G2660">
        <f>IF(A2660="","",MAX(1,CEILING(PERCENTRANK.INC($D$3:$D$6000,D2660,4)*5+0.000001,1)))</f>
        <v/>
      </c>
      <c r="H2660">
        <f>IF(A2660="","",E2660&amp;F2660&amp;G2660)</f>
        <v/>
      </c>
      <c r="I2660">
        <f>IF(A2660="","",IF(AND(E2660&gt;=4,F2660&gt;=4,G2660&gt;=4),"Juara",IF(AND(F2660&gt;=4,E2660&gt;=3),"Setia",IF(AND(E2660=5,F2660&lt;=2,G2660&gt;=3),"Berpotensi",IF(AND(E2660&lt;=3,E2660&gt;=2,F2660&gt;=3),"Rawan",IF(AND(E2660&lt;=2,F2660&lt;=2),"Tidur","Umum"))))))</f>
        <v/>
      </c>
    </row>
    <row r="2661">
      <c r="B2661">
        <f>IF(A2661="","",$B$1-MAXIFS(Donasi!$A$2:$A$20000,Donasi!$B$2:$B$20000,A2661))</f>
        <v/>
      </c>
      <c r="C2661">
        <f>IF(A2661="","",COUNTIF(Donasi!$B$2:$B$20000,A2661))</f>
        <v/>
      </c>
      <c r="D2661">
        <f>IF(A2661="","",SUMIF(Donasi!$B$2:$B$20000,A2661,Donasi!$C$2:$C$20000))</f>
        <v/>
      </c>
      <c r="E2661">
        <f>IF(A2661="","",6-CEILING(PERCENTRANK.INC($B$3:$B$6000,B2661,4)*5+0.000001,1))</f>
        <v/>
      </c>
      <c r="F2661">
        <f>IF(A2661="","",MAX(1,CEILING(PERCENTRANK.INC($C$3:$C$6000,C2661,4)*5+0.000001,1)))</f>
        <v/>
      </c>
      <c r="G2661">
        <f>IF(A2661="","",MAX(1,CEILING(PERCENTRANK.INC($D$3:$D$6000,D2661,4)*5+0.000001,1)))</f>
        <v/>
      </c>
      <c r="H2661">
        <f>IF(A2661="","",E2661&amp;F2661&amp;G2661)</f>
        <v/>
      </c>
      <c r="I2661">
        <f>IF(A2661="","",IF(AND(E2661&gt;=4,F2661&gt;=4,G2661&gt;=4),"Juara",IF(AND(F2661&gt;=4,E2661&gt;=3),"Setia",IF(AND(E2661=5,F2661&lt;=2,G2661&gt;=3),"Berpotensi",IF(AND(E2661&lt;=3,E2661&gt;=2,F2661&gt;=3),"Rawan",IF(AND(E2661&lt;=2,F2661&lt;=2),"Tidur","Umum"))))))</f>
        <v/>
      </c>
    </row>
    <row r="2662">
      <c r="B2662">
        <f>IF(A2662="","",$B$1-MAXIFS(Donasi!$A$2:$A$20000,Donasi!$B$2:$B$20000,A2662))</f>
        <v/>
      </c>
      <c r="C2662">
        <f>IF(A2662="","",COUNTIF(Donasi!$B$2:$B$20000,A2662))</f>
        <v/>
      </c>
      <c r="D2662">
        <f>IF(A2662="","",SUMIF(Donasi!$B$2:$B$20000,A2662,Donasi!$C$2:$C$20000))</f>
        <v/>
      </c>
      <c r="E2662">
        <f>IF(A2662="","",6-CEILING(PERCENTRANK.INC($B$3:$B$6000,B2662,4)*5+0.000001,1))</f>
        <v/>
      </c>
      <c r="F2662">
        <f>IF(A2662="","",MAX(1,CEILING(PERCENTRANK.INC($C$3:$C$6000,C2662,4)*5+0.000001,1)))</f>
        <v/>
      </c>
      <c r="G2662">
        <f>IF(A2662="","",MAX(1,CEILING(PERCENTRANK.INC($D$3:$D$6000,D2662,4)*5+0.000001,1)))</f>
        <v/>
      </c>
      <c r="H2662">
        <f>IF(A2662="","",E2662&amp;F2662&amp;G2662)</f>
        <v/>
      </c>
      <c r="I2662">
        <f>IF(A2662="","",IF(AND(E2662&gt;=4,F2662&gt;=4,G2662&gt;=4),"Juara",IF(AND(F2662&gt;=4,E2662&gt;=3),"Setia",IF(AND(E2662=5,F2662&lt;=2,G2662&gt;=3),"Berpotensi",IF(AND(E2662&lt;=3,E2662&gt;=2,F2662&gt;=3),"Rawan",IF(AND(E2662&lt;=2,F2662&lt;=2),"Tidur","Umum"))))))</f>
        <v/>
      </c>
    </row>
    <row r="2663">
      <c r="B2663">
        <f>IF(A2663="","",$B$1-MAXIFS(Donasi!$A$2:$A$20000,Donasi!$B$2:$B$20000,A2663))</f>
        <v/>
      </c>
      <c r="C2663">
        <f>IF(A2663="","",COUNTIF(Donasi!$B$2:$B$20000,A2663))</f>
        <v/>
      </c>
      <c r="D2663">
        <f>IF(A2663="","",SUMIF(Donasi!$B$2:$B$20000,A2663,Donasi!$C$2:$C$20000))</f>
        <v/>
      </c>
      <c r="E2663">
        <f>IF(A2663="","",6-CEILING(PERCENTRANK.INC($B$3:$B$6000,B2663,4)*5+0.000001,1))</f>
        <v/>
      </c>
      <c r="F2663">
        <f>IF(A2663="","",MAX(1,CEILING(PERCENTRANK.INC($C$3:$C$6000,C2663,4)*5+0.000001,1)))</f>
        <v/>
      </c>
      <c r="G2663">
        <f>IF(A2663="","",MAX(1,CEILING(PERCENTRANK.INC($D$3:$D$6000,D2663,4)*5+0.000001,1)))</f>
        <v/>
      </c>
      <c r="H2663">
        <f>IF(A2663="","",E2663&amp;F2663&amp;G2663)</f>
        <v/>
      </c>
      <c r="I2663">
        <f>IF(A2663="","",IF(AND(E2663&gt;=4,F2663&gt;=4,G2663&gt;=4),"Juara",IF(AND(F2663&gt;=4,E2663&gt;=3),"Setia",IF(AND(E2663=5,F2663&lt;=2,G2663&gt;=3),"Berpotensi",IF(AND(E2663&lt;=3,E2663&gt;=2,F2663&gt;=3),"Rawan",IF(AND(E2663&lt;=2,F2663&lt;=2),"Tidur","Umum"))))))</f>
        <v/>
      </c>
    </row>
    <row r="2664">
      <c r="B2664">
        <f>IF(A2664="","",$B$1-MAXIFS(Donasi!$A$2:$A$20000,Donasi!$B$2:$B$20000,A2664))</f>
        <v/>
      </c>
      <c r="C2664">
        <f>IF(A2664="","",COUNTIF(Donasi!$B$2:$B$20000,A2664))</f>
        <v/>
      </c>
      <c r="D2664">
        <f>IF(A2664="","",SUMIF(Donasi!$B$2:$B$20000,A2664,Donasi!$C$2:$C$20000))</f>
        <v/>
      </c>
      <c r="E2664">
        <f>IF(A2664="","",6-CEILING(PERCENTRANK.INC($B$3:$B$6000,B2664,4)*5+0.000001,1))</f>
        <v/>
      </c>
      <c r="F2664">
        <f>IF(A2664="","",MAX(1,CEILING(PERCENTRANK.INC($C$3:$C$6000,C2664,4)*5+0.000001,1)))</f>
        <v/>
      </c>
      <c r="G2664">
        <f>IF(A2664="","",MAX(1,CEILING(PERCENTRANK.INC($D$3:$D$6000,D2664,4)*5+0.000001,1)))</f>
        <v/>
      </c>
      <c r="H2664">
        <f>IF(A2664="","",E2664&amp;F2664&amp;G2664)</f>
        <v/>
      </c>
      <c r="I2664">
        <f>IF(A2664="","",IF(AND(E2664&gt;=4,F2664&gt;=4,G2664&gt;=4),"Juara",IF(AND(F2664&gt;=4,E2664&gt;=3),"Setia",IF(AND(E2664=5,F2664&lt;=2,G2664&gt;=3),"Berpotensi",IF(AND(E2664&lt;=3,E2664&gt;=2,F2664&gt;=3),"Rawan",IF(AND(E2664&lt;=2,F2664&lt;=2),"Tidur","Umum"))))))</f>
        <v/>
      </c>
    </row>
    <row r="2665">
      <c r="B2665">
        <f>IF(A2665="","",$B$1-MAXIFS(Donasi!$A$2:$A$20000,Donasi!$B$2:$B$20000,A2665))</f>
        <v/>
      </c>
      <c r="C2665">
        <f>IF(A2665="","",COUNTIF(Donasi!$B$2:$B$20000,A2665))</f>
        <v/>
      </c>
      <c r="D2665">
        <f>IF(A2665="","",SUMIF(Donasi!$B$2:$B$20000,A2665,Donasi!$C$2:$C$20000))</f>
        <v/>
      </c>
      <c r="E2665">
        <f>IF(A2665="","",6-CEILING(PERCENTRANK.INC($B$3:$B$6000,B2665,4)*5+0.000001,1))</f>
        <v/>
      </c>
      <c r="F2665">
        <f>IF(A2665="","",MAX(1,CEILING(PERCENTRANK.INC($C$3:$C$6000,C2665,4)*5+0.000001,1)))</f>
        <v/>
      </c>
      <c r="G2665">
        <f>IF(A2665="","",MAX(1,CEILING(PERCENTRANK.INC($D$3:$D$6000,D2665,4)*5+0.000001,1)))</f>
        <v/>
      </c>
      <c r="H2665">
        <f>IF(A2665="","",E2665&amp;F2665&amp;G2665)</f>
        <v/>
      </c>
      <c r="I2665">
        <f>IF(A2665="","",IF(AND(E2665&gt;=4,F2665&gt;=4,G2665&gt;=4),"Juara",IF(AND(F2665&gt;=4,E2665&gt;=3),"Setia",IF(AND(E2665=5,F2665&lt;=2,G2665&gt;=3),"Berpotensi",IF(AND(E2665&lt;=3,E2665&gt;=2,F2665&gt;=3),"Rawan",IF(AND(E2665&lt;=2,F2665&lt;=2),"Tidur","Umum"))))))</f>
        <v/>
      </c>
    </row>
    <row r="2666">
      <c r="B2666">
        <f>IF(A2666="","",$B$1-MAXIFS(Donasi!$A$2:$A$20000,Donasi!$B$2:$B$20000,A2666))</f>
        <v/>
      </c>
      <c r="C2666">
        <f>IF(A2666="","",COUNTIF(Donasi!$B$2:$B$20000,A2666))</f>
        <v/>
      </c>
      <c r="D2666">
        <f>IF(A2666="","",SUMIF(Donasi!$B$2:$B$20000,A2666,Donasi!$C$2:$C$20000))</f>
        <v/>
      </c>
      <c r="E2666">
        <f>IF(A2666="","",6-CEILING(PERCENTRANK.INC($B$3:$B$6000,B2666,4)*5+0.000001,1))</f>
        <v/>
      </c>
      <c r="F2666">
        <f>IF(A2666="","",MAX(1,CEILING(PERCENTRANK.INC($C$3:$C$6000,C2666,4)*5+0.000001,1)))</f>
        <v/>
      </c>
      <c r="G2666">
        <f>IF(A2666="","",MAX(1,CEILING(PERCENTRANK.INC($D$3:$D$6000,D2666,4)*5+0.000001,1)))</f>
        <v/>
      </c>
      <c r="H2666">
        <f>IF(A2666="","",E2666&amp;F2666&amp;G2666)</f>
        <v/>
      </c>
      <c r="I2666">
        <f>IF(A2666="","",IF(AND(E2666&gt;=4,F2666&gt;=4,G2666&gt;=4),"Juara",IF(AND(F2666&gt;=4,E2666&gt;=3),"Setia",IF(AND(E2666=5,F2666&lt;=2,G2666&gt;=3),"Berpotensi",IF(AND(E2666&lt;=3,E2666&gt;=2,F2666&gt;=3),"Rawan",IF(AND(E2666&lt;=2,F2666&lt;=2),"Tidur","Umum"))))))</f>
        <v/>
      </c>
    </row>
    <row r="2667">
      <c r="B2667">
        <f>IF(A2667="","",$B$1-MAXIFS(Donasi!$A$2:$A$20000,Donasi!$B$2:$B$20000,A2667))</f>
        <v/>
      </c>
      <c r="C2667">
        <f>IF(A2667="","",COUNTIF(Donasi!$B$2:$B$20000,A2667))</f>
        <v/>
      </c>
      <c r="D2667">
        <f>IF(A2667="","",SUMIF(Donasi!$B$2:$B$20000,A2667,Donasi!$C$2:$C$20000))</f>
        <v/>
      </c>
      <c r="E2667">
        <f>IF(A2667="","",6-CEILING(PERCENTRANK.INC($B$3:$B$6000,B2667,4)*5+0.000001,1))</f>
        <v/>
      </c>
      <c r="F2667">
        <f>IF(A2667="","",MAX(1,CEILING(PERCENTRANK.INC($C$3:$C$6000,C2667,4)*5+0.000001,1)))</f>
        <v/>
      </c>
      <c r="G2667">
        <f>IF(A2667="","",MAX(1,CEILING(PERCENTRANK.INC($D$3:$D$6000,D2667,4)*5+0.000001,1)))</f>
        <v/>
      </c>
      <c r="H2667">
        <f>IF(A2667="","",E2667&amp;F2667&amp;G2667)</f>
        <v/>
      </c>
      <c r="I2667">
        <f>IF(A2667="","",IF(AND(E2667&gt;=4,F2667&gt;=4,G2667&gt;=4),"Juara",IF(AND(F2667&gt;=4,E2667&gt;=3),"Setia",IF(AND(E2667=5,F2667&lt;=2,G2667&gt;=3),"Berpotensi",IF(AND(E2667&lt;=3,E2667&gt;=2,F2667&gt;=3),"Rawan",IF(AND(E2667&lt;=2,F2667&lt;=2),"Tidur","Umum"))))))</f>
        <v/>
      </c>
    </row>
    <row r="2668">
      <c r="B2668">
        <f>IF(A2668="","",$B$1-MAXIFS(Donasi!$A$2:$A$20000,Donasi!$B$2:$B$20000,A2668))</f>
        <v/>
      </c>
      <c r="C2668">
        <f>IF(A2668="","",COUNTIF(Donasi!$B$2:$B$20000,A2668))</f>
        <v/>
      </c>
      <c r="D2668">
        <f>IF(A2668="","",SUMIF(Donasi!$B$2:$B$20000,A2668,Donasi!$C$2:$C$20000))</f>
        <v/>
      </c>
      <c r="E2668">
        <f>IF(A2668="","",6-CEILING(PERCENTRANK.INC($B$3:$B$6000,B2668,4)*5+0.000001,1))</f>
        <v/>
      </c>
      <c r="F2668">
        <f>IF(A2668="","",MAX(1,CEILING(PERCENTRANK.INC($C$3:$C$6000,C2668,4)*5+0.000001,1)))</f>
        <v/>
      </c>
      <c r="G2668">
        <f>IF(A2668="","",MAX(1,CEILING(PERCENTRANK.INC($D$3:$D$6000,D2668,4)*5+0.000001,1)))</f>
        <v/>
      </c>
      <c r="H2668">
        <f>IF(A2668="","",E2668&amp;F2668&amp;G2668)</f>
        <v/>
      </c>
      <c r="I2668">
        <f>IF(A2668="","",IF(AND(E2668&gt;=4,F2668&gt;=4,G2668&gt;=4),"Juara",IF(AND(F2668&gt;=4,E2668&gt;=3),"Setia",IF(AND(E2668=5,F2668&lt;=2,G2668&gt;=3),"Berpotensi",IF(AND(E2668&lt;=3,E2668&gt;=2,F2668&gt;=3),"Rawan",IF(AND(E2668&lt;=2,F2668&lt;=2),"Tidur","Umum"))))))</f>
        <v/>
      </c>
    </row>
    <row r="2669">
      <c r="B2669">
        <f>IF(A2669="","",$B$1-MAXIFS(Donasi!$A$2:$A$20000,Donasi!$B$2:$B$20000,A2669))</f>
        <v/>
      </c>
      <c r="C2669">
        <f>IF(A2669="","",COUNTIF(Donasi!$B$2:$B$20000,A2669))</f>
        <v/>
      </c>
      <c r="D2669">
        <f>IF(A2669="","",SUMIF(Donasi!$B$2:$B$20000,A2669,Donasi!$C$2:$C$20000))</f>
        <v/>
      </c>
      <c r="E2669">
        <f>IF(A2669="","",6-CEILING(PERCENTRANK.INC($B$3:$B$6000,B2669,4)*5+0.000001,1))</f>
        <v/>
      </c>
      <c r="F2669">
        <f>IF(A2669="","",MAX(1,CEILING(PERCENTRANK.INC($C$3:$C$6000,C2669,4)*5+0.000001,1)))</f>
        <v/>
      </c>
      <c r="G2669">
        <f>IF(A2669="","",MAX(1,CEILING(PERCENTRANK.INC($D$3:$D$6000,D2669,4)*5+0.000001,1)))</f>
        <v/>
      </c>
      <c r="H2669">
        <f>IF(A2669="","",E2669&amp;F2669&amp;G2669)</f>
        <v/>
      </c>
      <c r="I2669">
        <f>IF(A2669="","",IF(AND(E2669&gt;=4,F2669&gt;=4,G2669&gt;=4),"Juara",IF(AND(F2669&gt;=4,E2669&gt;=3),"Setia",IF(AND(E2669=5,F2669&lt;=2,G2669&gt;=3),"Berpotensi",IF(AND(E2669&lt;=3,E2669&gt;=2,F2669&gt;=3),"Rawan",IF(AND(E2669&lt;=2,F2669&lt;=2),"Tidur","Umum"))))))</f>
        <v/>
      </c>
    </row>
    <row r="2670">
      <c r="B2670">
        <f>IF(A2670="","",$B$1-MAXIFS(Donasi!$A$2:$A$20000,Donasi!$B$2:$B$20000,A2670))</f>
        <v/>
      </c>
      <c r="C2670">
        <f>IF(A2670="","",COUNTIF(Donasi!$B$2:$B$20000,A2670))</f>
        <v/>
      </c>
      <c r="D2670">
        <f>IF(A2670="","",SUMIF(Donasi!$B$2:$B$20000,A2670,Donasi!$C$2:$C$20000))</f>
        <v/>
      </c>
      <c r="E2670">
        <f>IF(A2670="","",6-CEILING(PERCENTRANK.INC($B$3:$B$6000,B2670,4)*5+0.000001,1))</f>
        <v/>
      </c>
      <c r="F2670">
        <f>IF(A2670="","",MAX(1,CEILING(PERCENTRANK.INC($C$3:$C$6000,C2670,4)*5+0.000001,1)))</f>
        <v/>
      </c>
      <c r="G2670">
        <f>IF(A2670="","",MAX(1,CEILING(PERCENTRANK.INC($D$3:$D$6000,D2670,4)*5+0.000001,1)))</f>
        <v/>
      </c>
      <c r="H2670">
        <f>IF(A2670="","",E2670&amp;F2670&amp;G2670)</f>
        <v/>
      </c>
      <c r="I2670">
        <f>IF(A2670="","",IF(AND(E2670&gt;=4,F2670&gt;=4,G2670&gt;=4),"Juara",IF(AND(F2670&gt;=4,E2670&gt;=3),"Setia",IF(AND(E2670=5,F2670&lt;=2,G2670&gt;=3),"Berpotensi",IF(AND(E2670&lt;=3,E2670&gt;=2,F2670&gt;=3),"Rawan",IF(AND(E2670&lt;=2,F2670&lt;=2),"Tidur","Umum"))))))</f>
        <v/>
      </c>
    </row>
    <row r="2671">
      <c r="B2671">
        <f>IF(A2671="","",$B$1-MAXIFS(Donasi!$A$2:$A$20000,Donasi!$B$2:$B$20000,A2671))</f>
        <v/>
      </c>
      <c r="C2671">
        <f>IF(A2671="","",COUNTIF(Donasi!$B$2:$B$20000,A2671))</f>
        <v/>
      </c>
      <c r="D2671">
        <f>IF(A2671="","",SUMIF(Donasi!$B$2:$B$20000,A2671,Donasi!$C$2:$C$20000))</f>
        <v/>
      </c>
      <c r="E2671">
        <f>IF(A2671="","",6-CEILING(PERCENTRANK.INC($B$3:$B$6000,B2671,4)*5+0.000001,1))</f>
        <v/>
      </c>
      <c r="F2671">
        <f>IF(A2671="","",MAX(1,CEILING(PERCENTRANK.INC($C$3:$C$6000,C2671,4)*5+0.000001,1)))</f>
        <v/>
      </c>
      <c r="G2671">
        <f>IF(A2671="","",MAX(1,CEILING(PERCENTRANK.INC($D$3:$D$6000,D2671,4)*5+0.000001,1)))</f>
        <v/>
      </c>
      <c r="H2671">
        <f>IF(A2671="","",E2671&amp;F2671&amp;G2671)</f>
        <v/>
      </c>
      <c r="I2671">
        <f>IF(A2671="","",IF(AND(E2671&gt;=4,F2671&gt;=4,G2671&gt;=4),"Juara",IF(AND(F2671&gt;=4,E2671&gt;=3),"Setia",IF(AND(E2671=5,F2671&lt;=2,G2671&gt;=3),"Berpotensi",IF(AND(E2671&lt;=3,E2671&gt;=2,F2671&gt;=3),"Rawan",IF(AND(E2671&lt;=2,F2671&lt;=2),"Tidur","Umum"))))))</f>
        <v/>
      </c>
    </row>
    <row r="2672">
      <c r="B2672">
        <f>IF(A2672="","",$B$1-MAXIFS(Donasi!$A$2:$A$20000,Donasi!$B$2:$B$20000,A2672))</f>
        <v/>
      </c>
      <c r="C2672">
        <f>IF(A2672="","",COUNTIF(Donasi!$B$2:$B$20000,A2672))</f>
        <v/>
      </c>
      <c r="D2672">
        <f>IF(A2672="","",SUMIF(Donasi!$B$2:$B$20000,A2672,Donasi!$C$2:$C$20000))</f>
        <v/>
      </c>
      <c r="E2672">
        <f>IF(A2672="","",6-CEILING(PERCENTRANK.INC($B$3:$B$6000,B2672,4)*5+0.000001,1))</f>
        <v/>
      </c>
      <c r="F2672">
        <f>IF(A2672="","",MAX(1,CEILING(PERCENTRANK.INC($C$3:$C$6000,C2672,4)*5+0.000001,1)))</f>
        <v/>
      </c>
      <c r="G2672">
        <f>IF(A2672="","",MAX(1,CEILING(PERCENTRANK.INC($D$3:$D$6000,D2672,4)*5+0.000001,1)))</f>
        <v/>
      </c>
      <c r="H2672">
        <f>IF(A2672="","",E2672&amp;F2672&amp;G2672)</f>
        <v/>
      </c>
      <c r="I2672">
        <f>IF(A2672="","",IF(AND(E2672&gt;=4,F2672&gt;=4,G2672&gt;=4),"Juara",IF(AND(F2672&gt;=4,E2672&gt;=3),"Setia",IF(AND(E2672=5,F2672&lt;=2,G2672&gt;=3),"Berpotensi",IF(AND(E2672&lt;=3,E2672&gt;=2,F2672&gt;=3),"Rawan",IF(AND(E2672&lt;=2,F2672&lt;=2),"Tidur","Umum"))))))</f>
        <v/>
      </c>
    </row>
    <row r="2673">
      <c r="B2673">
        <f>IF(A2673="","",$B$1-MAXIFS(Donasi!$A$2:$A$20000,Donasi!$B$2:$B$20000,A2673))</f>
        <v/>
      </c>
      <c r="C2673">
        <f>IF(A2673="","",COUNTIF(Donasi!$B$2:$B$20000,A2673))</f>
        <v/>
      </c>
      <c r="D2673">
        <f>IF(A2673="","",SUMIF(Donasi!$B$2:$B$20000,A2673,Donasi!$C$2:$C$20000))</f>
        <v/>
      </c>
      <c r="E2673">
        <f>IF(A2673="","",6-CEILING(PERCENTRANK.INC($B$3:$B$6000,B2673,4)*5+0.000001,1))</f>
        <v/>
      </c>
      <c r="F2673">
        <f>IF(A2673="","",MAX(1,CEILING(PERCENTRANK.INC($C$3:$C$6000,C2673,4)*5+0.000001,1)))</f>
        <v/>
      </c>
      <c r="G2673">
        <f>IF(A2673="","",MAX(1,CEILING(PERCENTRANK.INC($D$3:$D$6000,D2673,4)*5+0.000001,1)))</f>
        <v/>
      </c>
      <c r="H2673">
        <f>IF(A2673="","",E2673&amp;F2673&amp;G2673)</f>
        <v/>
      </c>
      <c r="I2673">
        <f>IF(A2673="","",IF(AND(E2673&gt;=4,F2673&gt;=4,G2673&gt;=4),"Juara",IF(AND(F2673&gt;=4,E2673&gt;=3),"Setia",IF(AND(E2673=5,F2673&lt;=2,G2673&gt;=3),"Berpotensi",IF(AND(E2673&lt;=3,E2673&gt;=2,F2673&gt;=3),"Rawan",IF(AND(E2673&lt;=2,F2673&lt;=2),"Tidur","Umum"))))))</f>
        <v/>
      </c>
    </row>
    <row r="2674">
      <c r="B2674">
        <f>IF(A2674="","",$B$1-MAXIFS(Donasi!$A$2:$A$20000,Donasi!$B$2:$B$20000,A2674))</f>
        <v/>
      </c>
      <c r="C2674">
        <f>IF(A2674="","",COUNTIF(Donasi!$B$2:$B$20000,A2674))</f>
        <v/>
      </c>
      <c r="D2674">
        <f>IF(A2674="","",SUMIF(Donasi!$B$2:$B$20000,A2674,Donasi!$C$2:$C$20000))</f>
        <v/>
      </c>
      <c r="E2674">
        <f>IF(A2674="","",6-CEILING(PERCENTRANK.INC($B$3:$B$6000,B2674,4)*5+0.000001,1))</f>
        <v/>
      </c>
      <c r="F2674">
        <f>IF(A2674="","",MAX(1,CEILING(PERCENTRANK.INC($C$3:$C$6000,C2674,4)*5+0.000001,1)))</f>
        <v/>
      </c>
      <c r="G2674">
        <f>IF(A2674="","",MAX(1,CEILING(PERCENTRANK.INC($D$3:$D$6000,D2674,4)*5+0.000001,1)))</f>
        <v/>
      </c>
      <c r="H2674">
        <f>IF(A2674="","",E2674&amp;F2674&amp;G2674)</f>
        <v/>
      </c>
      <c r="I2674">
        <f>IF(A2674="","",IF(AND(E2674&gt;=4,F2674&gt;=4,G2674&gt;=4),"Juara",IF(AND(F2674&gt;=4,E2674&gt;=3),"Setia",IF(AND(E2674=5,F2674&lt;=2,G2674&gt;=3),"Berpotensi",IF(AND(E2674&lt;=3,E2674&gt;=2,F2674&gt;=3),"Rawan",IF(AND(E2674&lt;=2,F2674&lt;=2),"Tidur","Umum"))))))</f>
        <v/>
      </c>
    </row>
    <row r="2675">
      <c r="B2675">
        <f>IF(A2675="","",$B$1-MAXIFS(Donasi!$A$2:$A$20000,Donasi!$B$2:$B$20000,A2675))</f>
        <v/>
      </c>
      <c r="C2675">
        <f>IF(A2675="","",COUNTIF(Donasi!$B$2:$B$20000,A2675))</f>
        <v/>
      </c>
      <c r="D2675">
        <f>IF(A2675="","",SUMIF(Donasi!$B$2:$B$20000,A2675,Donasi!$C$2:$C$20000))</f>
        <v/>
      </c>
      <c r="E2675">
        <f>IF(A2675="","",6-CEILING(PERCENTRANK.INC($B$3:$B$6000,B2675,4)*5+0.000001,1))</f>
        <v/>
      </c>
      <c r="F2675">
        <f>IF(A2675="","",MAX(1,CEILING(PERCENTRANK.INC($C$3:$C$6000,C2675,4)*5+0.000001,1)))</f>
        <v/>
      </c>
      <c r="G2675">
        <f>IF(A2675="","",MAX(1,CEILING(PERCENTRANK.INC($D$3:$D$6000,D2675,4)*5+0.000001,1)))</f>
        <v/>
      </c>
      <c r="H2675">
        <f>IF(A2675="","",E2675&amp;F2675&amp;G2675)</f>
        <v/>
      </c>
      <c r="I2675">
        <f>IF(A2675="","",IF(AND(E2675&gt;=4,F2675&gt;=4,G2675&gt;=4),"Juara",IF(AND(F2675&gt;=4,E2675&gt;=3),"Setia",IF(AND(E2675=5,F2675&lt;=2,G2675&gt;=3),"Berpotensi",IF(AND(E2675&lt;=3,E2675&gt;=2,F2675&gt;=3),"Rawan",IF(AND(E2675&lt;=2,F2675&lt;=2),"Tidur","Umum"))))))</f>
        <v/>
      </c>
    </row>
    <row r="2676">
      <c r="B2676">
        <f>IF(A2676="","",$B$1-MAXIFS(Donasi!$A$2:$A$20000,Donasi!$B$2:$B$20000,A2676))</f>
        <v/>
      </c>
      <c r="C2676">
        <f>IF(A2676="","",COUNTIF(Donasi!$B$2:$B$20000,A2676))</f>
        <v/>
      </c>
      <c r="D2676">
        <f>IF(A2676="","",SUMIF(Donasi!$B$2:$B$20000,A2676,Donasi!$C$2:$C$20000))</f>
        <v/>
      </c>
      <c r="E2676">
        <f>IF(A2676="","",6-CEILING(PERCENTRANK.INC($B$3:$B$6000,B2676,4)*5+0.000001,1))</f>
        <v/>
      </c>
      <c r="F2676">
        <f>IF(A2676="","",MAX(1,CEILING(PERCENTRANK.INC($C$3:$C$6000,C2676,4)*5+0.000001,1)))</f>
        <v/>
      </c>
      <c r="G2676">
        <f>IF(A2676="","",MAX(1,CEILING(PERCENTRANK.INC($D$3:$D$6000,D2676,4)*5+0.000001,1)))</f>
        <v/>
      </c>
      <c r="H2676">
        <f>IF(A2676="","",E2676&amp;F2676&amp;G2676)</f>
        <v/>
      </c>
      <c r="I2676">
        <f>IF(A2676="","",IF(AND(E2676&gt;=4,F2676&gt;=4,G2676&gt;=4),"Juara",IF(AND(F2676&gt;=4,E2676&gt;=3),"Setia",IF(AND(E2676=5,F2676&lt;=2,G2676&gt;=3),"Berpotensi",IF(AND(E2676&lt;=3,E2676&gt;=2,F2676&gt;=3),"Rawan",IF(AND(E2676&lt;=2,F2676&lt;=2),"Tidur","Umum"))))))</f>
        <v/>
      </c>
    </row>
    <row r="2677">
      <c r="B2677">
        <f>IF(A2677="","",$B$1-MAXIFS(Donasi!$A$2:$A$20000,Donasi!$B$2:$B$20000,A2677))</f>
        <v/>
      </c>
      <c r="C2677">
        <f>IF(A2677="","",COUNTIF(Donasi!$B$2:$B$20000,A2677))</f>
        <v/>
      </c>
      <c r="D2677">
        <f>IF(A2677="","",SUMIF(Donasi!$B$2:$B$20000,A2677,Donasi!$C$2:$C$20000))</f>
        <v/>
      </c>
      <c r="E2677">
        <f>IF(A2677="","",6-CEILING(PERCENTRANK.INC($B$3:$B$6000,B2677,4)*5+0.000001,1))</f>
        <v/>
      </c>
      <c r="F2677">
        <f>IF(A2677="","",MAX(1,CEILING(PERCENTRANK.INC($C$3:$C$6000,C2677,4)*5+0.000001,1)))</f>
        <v/>
      </c>
      <c r="G2677">
        <f>IF(A2677="","",MAX(1,CEILING(PERCENTRANK.INC($D$3:$D$6000,D2677,4)*5+0.000001,1)))</f>
        <v/>
      </c>
      <c r="H2677">
        <f>IF(A2677="","",E2677&amp;F2677&amp;G2677)</f>
        <v/>
      </c>
      <c r="I2677">
        <f>IF(A2677="","",IF(AND(E2677&gt;=4,F2677&gt;=4,G2677&gt;=4),"Juara",IF(AND(F2677&gt;=4,E2677&gt;=3),"Setia",IF(AND(E2677=5,F2677&lt;=2,G2677&gt;=3),"Berpotensi",IF(AND(E2677&lt;=3,E2677&gt;=2,F2677&gt;=3),"Rawan",IF(AND(E2677&lt;=2,F2677&lt;=2),"Tidur","Umum"))))))</f>
        <v/>
      </c>
    </row>
    <row r="2678">
      <c r="B2678">
        <f>IF(A2678="","",$B$1-MAXIFS(Donasi!$A$2:$A$20000,Donasi!$B$2:$B$20000,A2678))</f>
        <v/>
      </c>
      <c r="C2678">
        <f>IF(A2678="","",COUNTIF(Donasi!$B$2:$B$20000,A2678))</f>
        <v/>
      </c>
      <c r="D2678">
        <f>IF(A2678="","",SUMIF(Donasi!$B$2:$B$20000,A2678,Donasi!$C$2:$C$20000))</f>
        <v/>
      </c>
      <c r="E2678">
        <f>IF(A2678="","",6-CEILING(PERCENTRANK.INC($B$3:$B$6000,B2678,4)*5+0.000001,1))</f>
        <v/>
      </c>
      <c r="F2678">
        <f>IF(A2678="","",MAX(1,CEILING(PERCENTRANK.INC($C$3:$C$6000,C2678,4)*5+0.000001,1)))</f>
        <v/>
      </c>
      <c r="G2678">
        <f>IF(A2678="","",MAX(1,CEILING(PERCENTRANK.INC($D$3:$D$6000,D2678,4)*5+0.000001,1)))</f>
        <v/>
      </c>
      <c r="H2678">
        <f>IF(A2678="","",E2678&amp;F2678&amp;G2678)</f>
        <v/>
      </c>
      <c r="I2678">
        <f>IF(A2678="","",IF(AND(E2678&gt;=4,F2678&gt;=4,G2678&gt;=4),"Juara",IF(AND(F2678&gt;=4,E2678&gt;=3),"Setia",IF(AND(E2678=5,F2678&lt;=2,G2678&gt;=3),"Berpotensi",IF(AND(E2678&lt;=3,E2678&gt;=2,F2678&gt;=3),"Rawan",IF(AND(E2678&lt;=2,F2678&lt;=2),"Tidur","Umum"))))))</f>
        <v/>
      </c>
    </row>
    <row r="2679">
      <c r="B2679">
        <f>IF(A2679="","",$B$1-MAXIFS(Donasi!$A$2:$A$20000,Donasi!$B$2:$B$20000,A2679))</f>
        <v/>
      </c>
      <c r="C2679">
        <f>IF(A2679="","",COUNTIF(Donasi!$B$2:$B$20000,A2679))</f>
        <v/>
      </c>
      <c r="D2679">
        <f>IF(A2679="","",SUMIF(Donasi!$B$2:$B$20000,A2679,Donasi!$C$2:$C$20000))</f>
        <v/>
      </c>
      <c r="E2679">
        <f>IF(A2679="","",6-CEILING(PERCENTRANK.INC($B$3:$B$6000,B2679,4)*5+0.000001,1))</f>
        <v/>
      </c>
      <c r="F2679">
        <f>IF(A2679="","",MAX(1,CEILING(PERCENTRANK.INC($C$3:$C$6000,C2679,4)*5+0.000001,1)))</f>
        <v/>
      </c>
      <c r="G2679">
        <f>IF(A2679="","",MAX(1,CEILING(PERCENTRANK.INC($D$3:$D$6000,D2679,4)*5+0.000001,1)))</f>
        <v/>
      </c>
      <c r="H2679">
        <f>IF(A2679="","",E2679&amp;F2679&amp;G2679)</f>
        <v/>
      </c>
      <c r="I2679">
        <f>IF(A2679="","",IF(AND(E2679&gt;=4,F2679&gt;=4,G2679&gt;=4),"Juara",IF(AND(F2679&gt;=4,E2679&gt;=3),"Setia",IF(AND(E2679=5,F2679&lt;=2,G2679&gt;=3),"Berpotensi",IF(AND(E2679&lt;=3,E2679&gt;=2,F2679&gt;=3),"Rawan",IF(AND(E2679&lt;=2,F2679&lt;=2),"Tidur","Umum"))))))</f>
        <v/>
      </c>
    </row>
    <row r="2680">
      <c r="B2680">
        <f>IF(A2680="","",$B$1-MAXIFS(Donasi!$A$2:$A$20000,Donasi!$B$2:$B$20000,A2680))</f>
        <v/>
      </c>
      <c r="C2680">
        <f>IF(A2680="","",COUNTIF(Donasi!$B$2:$B$20000,A2680))</f>
        <v/>
      </c>
      <c r="D2680">
        <f>IF(A2680="","",SUMIF(Donasi!$B$2:$B$20000,A2680,Donasi!$C$2:$C$20000))</f>
        <v/>
      </c>
      <c r="E2680">
        <f>IF(A2680="","",6-CEILING(PERCENTRANK.INC($B$3:$B$6000,B2680,4)*5+0.000001,1))</f>
        <v/>
      </c>
      <c r="F2680">
        <f>IF(A2680="","",MAX(1,CEILING(PERCENTRANK.INC($C$3:$C$6000,C2680,4)*5+0.000001,1)))</f>
        <v/>
      </c>
      <c r="G2680">
        <f>IF(A2680="","",MAX(1,CEILING(PERCENTRANK.INC($D$3:$D$6000,D2680,4)*5+0.000001,1)))</f>
        <v/>
      </c>
      <c r="H2680">
        <f>IF(A2680="","",E2680&amp;F2680&amp;G2680)</f>
        <v/>
      </c>
      <c r="I2680">
        <f>IF(A2680="","",IF(AND(E2680&gt;=4,F2680&gt;=4,G2680&gt;=4),"Juara",IF(AND(F2680&gt;=4,E2680&gt;=3),"Setia",IF(AND(E2680=5,F2680&lt;=2,G2680&gt;=3),"Berpotensi",IF(AND(E2680&lt;=3,E2680&gt;=2,F2680&gt;=3),"Rawan",IF(AND(E2680&lt;=2,F2680&lt;=2),"Tidur","Umum"))))))</f>
        <v/>
      </c>
    </row>
    <row r="2681">
      <c r="B2681">
        <f>IF(A2681="","",$B$1-MAXIFS(Donasi!$A$2:$A$20000,Donasi!$B$2:$B$20000,A2681))</f>
        <v/>
      </c>
      <c r="C2681">
        <f>IF(A2681="","",COUNTIF(Donasi!$B$2:$B$20000,A2681))</f>
        <v/>
      </c>
      <c r="D2681">
        <f>IF(A2681="","",SUMIF(Donasi!$B$2:$B$20000,A2681,Donasi!$C$2:$C$20000))</f>
        <v/>
      </c>
      <c r="E2681">
        <f>IF(A2681="","",6-CEILING(PERCENTRANK.INC($B$3:$B$6000,B2681,4)*5+0.000001,1))</f>
        <v/>
      </c>
      <c r="F2681">
        <f>IF(A2681="","",MAX(1,CEILING(PERCENTRANK.INC($C$3:$C$6000,C2681,4)*5+0.000001,1)))</f>
        <v/>
      </c>
      <c r="G2681">
        <f>IF(A2681="","",MAX(1,CEILING(PERCENTRANK.INC($D$3:$D$6000,D2681,4)*5+0.000001,1)))</f>
        <v/>
      </c>
      <c r="H2681">
        <f>IF(A2681="","",E2681&amp;F2681&amp;G2681)</f>
        <v/>
      </c>
      <c r="I2681">
        <f>IF(A2681="","",IF(AND(E2681&gt;=4,F2681&gt;=4,G2681&gt;=4),"Juara",IF(AND(F2681&gt;=4,E2681&gt;=3),"Setia",IF(AND(E2681=5,F2681&lt;=2,G2681&gt;=3),"Berpotensi",IF(AND(E2681&lt;=3,E2681&gt;=2,F2681&gt;=3),"Rawan",IF(AND(E2681&lt;=2,F2681&lt;=2),"Tidur","Umum"))))))</f>
        <v/>
      </c>
    </row>
    <row r="2682">
      <c r="B2682">
        <f>IF(A2682="","",$B$1-MAXIFS(Donasi!$A$2:$A$20000,Donasi!$B$2:$B$20000,A2682))</f>
        <v/>
      </c>
      <c r="C2682">
        <f>IF(A2682="","",COUNTIF(Donasi!$B$2:$B$20000,A2682))</f>
        <v/>
      </c>
      <c r="D2682">
        <f>IF(A2682="","",SUMIF(Donasi!$B$2:$B$20000,A2682,Donasi!$C$2:$C$20000))</f>
        <v/>
      </c>
      <c r="E2682">
        <f>IF(A2682="","",6-CEILING(PERCENTRANK.INC($B$3:$B$6000,B2682,4)*5+0.000001,1))</f>
        <v/>
      </c>
      <c r="F2682">
        <f>IF(A2682="","",MAX(1,CEILING(PERCENTRANK.INC($C$3:$C$6000,C2682,4)*5+0.000001,1)))</f>
        <v/>
      </c>
      <c r="G2682">
        <f>IF(A2682="","",MAX(1,CEILING(PERCENTRANK.INC($D$3:$D$6000,D2682,4)*5+0.000001,1)))</f>
        <v/>
      </c>
      <c r="H2682">
        <f>IF(A2682="","",E2682&amp;F2682&amp;G2682)</f>
        <v/>
      </c>
      <c r="I2682">
        <f>IF(A2682="","",IF(AND(E2682&gt;=4,F2682&gt;=4,G2682&gt;=4),"Juara",IF(AND(F2682&gt;=4,E2682&gt;=3),"Setia",IF(AND(E2682=5,F2682&lt;=2,G2682&gt;=3),"Berpotensi",IF(AND(E2682&lt;=3,E2682&gt;=2,F2682&gt;=3),"Rawan",IF(AND(E2682&lt;=2,F2682&lt;=2),"Tidur","Umum"))))))</f>
        <v/>
      </c>
    </row>
    <row r="2683">
      <c r="B2683">
        <f>IF(A2683="","",$B$1-MAXIFS(Donasi!$A$2:$A$20000,Donasi!$B$2:$B$20000,A2683))</f>
        <v/>
      </c>
      <c r="C2683">
        <f>IF(A2683="","",COUNTIF(Donasi!$B$2:$B$20000,A2683))</f>
        <v/>
      </c>
      <c r="D2683">
        <f>IF(A2683="","",SUMIF(Donasi!$B$2:$B$20000,A2683,Donasi!$C$2:$C$20000))</f>
        <v/>
      </c>
      <c r="E2683">
        <f>IF(A2683="","",6-CEILING(PERCENTRANK.INC($B$3:$B$6000,B2683,4)*5+0.000001,1))</f>
        <v/>
      </c>
      <c r="F2683">
        <f>IF(A2683="","",MAX(1,CEILING(PERCENTRANK.INC($C$3:$C$6000,C2683,4)*5+0.000001,1)))</f>
        <v/>
      </c>
      <c r="G2683">
        <f>IF(A2683="","",MAX(1,CEILING(PERCENTRANK.INC($D$3:$D$6000,D2683,4)*5+0.000001,1)))</f>
        <v/>
      </c>
      <c r="H2683">
        <f>IF(A2683="","",E2683&amp;F2683&amp;G2683)</f>
        <v/>
      </c>
      <c r="I2683">
        <f>IF(A2683="","",IF(AND(E2683&gt;=4,F2683&gt;=4,G2683&gt;=4),"Juara",IF(AND(F2683&gt;=4,E2683&gt;=3),"Setia",IF(AND(E2683=5,F2683&lt;=2,G2683&gt;=3),"Berpotensi",IF(AND(E2683&lt;=3,E2683&gt;=2,F2683&gt;=3),"Rawan",IF(AND(E2683&lt;=2,F2683&lt;=2),"Tidur","Umum"))))))</f>
        <v/>
      </c>
    </row>
    <row r="2684">
      <c r="B2684">
        <f>IF(A2684="","",$B$1-MAXIFS(Donasi!$A$2:$A$20000,Donasi!$B$2:$B$20000,A2684))</f>
        <v/>
      </c>
      <c r="C2684">
        <f>IF(A2684="","",COUNTIF(Donasi!$B$2:$B$20000,A2684))</f>
        <v/>
      </c>
      <c r="D2684">
        <f>IF(A2684="","",SUMIF(Donasi!$B$2:$B$20000,A2684,Donasi!$C$2:$C$20000))</f>
        <v/>
      </c>
      <c r="E2684">
        <f>IF(A2684="","",6-CEILING(PERCENTRANK.INC($B$3:$B$6000,B2684,4)*5+0.000001,1))</f>
        <v/>
      </c>
      <c r="F2684">
        <f>IF(A2684="","",MAX(1,CEILING(PERCENTRANK.INC($C$3:$C$6000,C2684,4)*5+0.000001,1)))</f>
        <v/>
      </c>
      <c r="G2684">
        <f>IF(A2684="","",MAX(1,CEILING(PERCENTRANK.INC($D$3:$D$6000,D2684,4)*5+0.000001,1)))</f>
        <v/>
      </c>
      <c r="H2684">
        <f>IF(A2684="","",E2684&amp;F2684&amp;G2684)</f>
        <v/>
      </c>
      <c r="I2684">
        <f>IF(A2684="","",IF(AND(E2684&gt;=4,F2684&gt;=4,G2684&gt;=4),"Juara",IF(AND(F2684&gt;=4,E2684&gt;=3),"Setia",IF(AND(E2684=5,F2684&lt;=2,G2684&gt;=3),"Berpotensi",IF(AND(E2684&lt;=3,E2684&gt;=2,F2684&gt;=3),"Rawan",IF(AND(E2684&lt;=2,F2684&lt;=2),"Tidur","Umum"))))))</f>
        <v/>
      </c>
    </row>
    <row r="2685">
      <c r="B2685">
        <f>IF(A2685="","",$B$1-MAXIFS(Donasi!$A$2:$A$20000,Donasi!$B$2:$B$20000,A2685))</f>
        <v/>
      </c>
      <c r="C2685">
        <f>IF(A2685="","",COUNTIF(Donasi!$B$2:$B$20000,A2685))</f>
        <v/>
      </c>
      <c r="D2685">
        <f>IF(A2685="","",SUMIF(Donasi!$B$2:$B$20000,A2685,Donasi!$C$2:$C$20000))</f>
        <v/>
      </c>
      <c r="E2685">
        <f>IF(A2685="","",6-CEILING(PERCENTRANK.INC($B$3:$B$6000,B2685,4)*5+0.000001,1))</f>
        <v/>
      </c>
      <c r="F2685">
        <f>IF(A2685="","",MAX(1,CEILING(PERCENTRANK.INC($C$3:$C$6000,C2685,4)*5+0.000001,1)))</f>
        <v/>
      </c>
      <c r="G2685">
        <f>IF(A2685="","",MAX(1,CEILING(PERCENTRANK.INC($D$3:$D$6000,D2685,4)*5+0.000001,1)))</f>
        <v/>
      </c>
      <c r="H2685">
        <f>IF(A2685="","",E2685&amp;F2685&amp;G2685)</f>
        <v/>
      </c>
      <c r="I2685">
        <f>IF(A2685="","",IF(AND(E2685&gt;=4,F2685&gt;=4,G2685&gt;=4),"Juara",IF(AND(F2685&gt;=4,E2685&gt;=3),"Setia",IF(AND(E2685=5,F2685&lt;=2,G2685&gt;=3),"Berpotensi",IF(AND(E2685&lt;=3,E2685&gt;=2,F2685&gt;=3),"Rawan",IF(AND(E2685&lt;=2,F2685&lt;=2),"Tidur","Umum"))))))</f>
        <v/>
      </c>
    </row>
    <row r="2686">
      <c r="B2686">
        <f>IF(A2686="","",$B$1-MAXIFS(Donasi!$A$2:$A$20000,Donasi!$B$2:$B$20000,A2686))</f>
        <v/>
      </c>
      <c r="C2686">
        <f>IF(A2686="","",COUNTIF(Donasi!$B$2:$B$20000,A2686))</f>
        <v/>
      </c>
      <c r="D2686">
        <f>IF(A2686="","",SUMIF(Donasi!$B$2:$B$20000,A2686,Donasi!$C$2:$C$20000))</f>
        <v/>
      </c>
      <c r="E2686">
        <f>IF(A2686="","",6-CEILING(PERCENTRANK.INC($B$3:$B$6000,B2686,4)*5+0.000001,1))</f>
        <v/>
      </c>
      <c r="F2686">
        <f>IF(A2686="","",MAX(1,CEILING(PERCENTRANK.INC($C$3:$C$6000,C2686,4)*5+0.000001,1)))</f>
        <v/>
      </c>
      <c r="G2686">
        <f>IF(A2686="","",MAX(1,CEILING(PERCENTRANK.INC($D$3:$D$6000,D2686,4)*5+0.000001,1)))</f>
        <v/>
      </c>
      <c r="H2686">
        <f>IF(A2686="","",E2686&amp;F2686&amp;G2686)</f>
        <v/>
      </c>
      <c r="I2686">
        <f>IF(A2686="","",IF(AND(E2686&gt;=4,F2686&gt;=4,G2686&gt;=4),"Juara",IF(AND(F2686&gt;=4,E2686&gt;=3),"Setia",IF(AND(E2686=5,F2686&lt;=2,G2686&gt;=3),"Berpotensi",IF(AND(E2686&lt;=3,E2686&gt;=2,F2686&gt;=3),"Rawan",IF(AND(E2686&lt;=2,F2686&lt;=2),"Tidur","Umum"))))))</f>
        <v/>
      </c>
    </row>
    <row r="2687">
      <c r="B2687">
        <f>IF(A2687="","",$B$1-MAXIFS(Donasi!$A$2:$A$20000,Donasi!$B$2:$B$20000,A2687))</f>
        <v/>
      </c>
      <c r="C2687">
        <f>IF(A2687="","",COUNTIF(Donasi!$B$2:$B$20000,A2687))</f>
        <v/>
      </c>
      <c r="D2687">
        <f>IF(A2687="","",SUMIF(Donasi!$B$2:$B$20000,A2687,Donasi!$C$2:$C$20000))</f>
        <v/>
      </c>
      <c r="E2687">
        <f>IF(A2687="","",6-CEILING(PERCENTRANK.INC($B$3:$B$6000,B2687,4)*5+0.000001,1))</f>
        <v/>
      </c>
      <c r="F2687">
        <f>IF(A2687="","",MAX(1,CEILING(PERCENTRANK.INC($C$3:$C$6000,C2687,4)*5+0.000001,1)))</f>
        <v/>
      </c>
      <c r="G2687">
        <f>IF(A2687="","",MAX(1,CEILING(PERCENTRANK.INC($D$3:$D$6000,D2687,4)*5+0.000001,1)))</f>
        <v/>
      </c>
      <c r="H2687">
        <f>IF(A2687="","",E2687&amp;F2687&amp;G2687)</f>
        <v/>
      </c>
      <c r="I2687">
        <f>IF(A2687="","",IF(AND(E2687&gt;=4,F2687&gt;=4,G2687&gt;=4),"Juara",IF(AND(F2687&gt;=4,E2687&gt;=3),"Setia",IF(AND(E2687=5,F2687&lt;=2,G2687&gt;=3),"Berpotensi",IF(AND(E2687&lt;=3,E2687&gt;=2,F2687&gt;=3),"Rawan",IF(AND(E2687&lt;=2,F2687&lt;=2),"Tidur","Umum"))))))</f>
        <v/>
      </c>
    </row>
    <row r="2688">
      <c r="B2688">
        <f>IF(A2688="","",$B$1-MAXIFS(Donasi!$A$2:$A$20000,Donasi!$B$2:$B$20000,A2688))</f>
        <v/>
      </c>
      <c r="C2688">
        <f>IF(A2688="","",COUNTIF(Donasi!$B$2:$B$20000,A2688))</f>
        <v/>
      </c>
      <c r="D2688">
        <f>IF(A2688="","",SUMIF(Donasi!$B$2:$B$20000,A2688,Donasi!$C$2:$C$20000))</f>
        <v/>
      </c>
      <c r="E2688">
        <f>IF(A2688="","",6-CEILING(PERCENTRANK.INC($B$3:$B$6000,B2688,4)*5+0.000001,1))</f>
        <v/>
      </c>
      <c r="F2688">
        <f>IF(A2688="","",MAX(1,CEILING(PERCENTRANK.INC($C$3:$C$6000,C2688,4)*5+0.000001,1)))</f>
        <v/>
      </c>
      <c r="G2688">
        <f>IF(A2688="","",MAX(1,CEILING(PERCENTRANK.INC($D$3:$D$6000,D2688,4)*5+0.000001,1)))</f>
        <v/>
      </c>
      <c r="H2688">
        <f>IF(A2688="","",E2688&amp;F2688&amp;G2688)</f>
        <v/>
      </c>
      <c r="I2688">
        <f>IF(A2688="","",IF(AND(E2688&gt;=4,F2688&gt;=4,G2688&gt;=4),"Juara",IF(AND(F2688&gt;=4,E2688&gt;=3),"Setia",IF(AND(E2688=5,F2688&lt;=2,G2688&gt;=3),"Berpotensi",IF(AND(E2688&lt;=3,E2688&gt;=2,F2688&gt;=3),"Rawan",IF(AND(E2688&lt;=2,F2688&lt;=2),"Tidur","Umum"))))))</f>
        <v/>
      </c>
    </row>
    <row r="2689">
      <c r="B2689">
        <f>IF(A2689="","",$B$1-MAXIFS(Donasi!$A$2:$A$20000,Donasi!$B$2:$B$20000,A2689))</f>
        <v/>
      </c>
      <c r="C2689">
        <f>IF(A2689="","",COUNTIF(Donasi!$B$2:$B$20000,A2689))</f>
        <v/>
      </c>
      <c r="D2689">
        <f>IF(A2689="","",SUMIF(Donasi!$B$2:$B$20000,A2689,Donasi!$C$2:$C$20000))</f>
        <v/>
      </c>
      <c r="E2689">
        <f>IF(A2689="","",6-CEILING(PERCENTRANK.INC($B$3:$B$6000,B2689,4)*5+0.000001,1))</f>
        <v/>
      </c>
      <c r="F2689">
        <f>IF(A2689="","",MAX(1,CEILING(PERCENTRANK.INC($C$3:$C$6000,C2689,4)*5+0.000001,1)))</f>
        <v/>
      </c>
      <c r="G2689">
        <f>IF(A2689="","",MAX(1,CEILING(PERCENTRANK.INC($D$3:$D$6000,D2689,4)*5+0.000001,1)))</f>
        <v/>
      </c>
      <c r="H2689">
        <f>IF(A2689="","",E2689&amp;F2689&amp;G2689)</f>
        <v/>
      </c>
      <c r="I2689">
        <f>IF(A2689="","",IF(AND(E2689&gt;=4,F2689&gt;=4,G2689&gt;=4),"Juara",IF(AND(F2689&gt;=4,E2689&gt;=3),"Setia",IF(AND(E2689=5,F2689&lt;=2,G2689&gt;=3),"Berpotensi",IF(AND(E2689&lt;=3,E2689&gt;=2,F2689&gt;=3),"Rawan",IF(AND(E2689&lt;=2,F2689&lt;=2),"Tidur","Umum"))))))</f>
        <v/>
      </c>
    </row>
    <row r="2690">
      <c r="B2690">
        <f>IF(A2690="","",$B$1-MAXIFS(Donasi!$A$2:$A$20000,Donasi!$B$2:$B$20000,A2690))</f>
        <v/>
      </c>
      <c r="C2690">
        <f>IF(A2690="","",COUNTIF(Donasi!$B$2:$B$20000,A2690))</f>
        <v/>
      </c>
      <c r="D2690">
        <f>IF(A2690="","",SUMIF(Donasi!$B$2:$B$20000,A2690,Donasi!$C$2:$C$20000))</f>
        <v/>
      </c>
      <c r="E2690">
        <f>IF(A2690="","",6-CEILING(PERCENTRANK.INC($B$3:$B$6000,B2690,4)*5+0.000001,1))</f>
        <v/>
      </c>
      <c r="F2690">
        <f>IF(A2690="","",MAX(1,CEILING(PERCENTRANK.INC($C$3:$C$6000,C2690,4)*5+0.000001,1)))</f>
        <v/>
      </c>
      <c r="G2690">
        <f>IF(A2690="","",MAX(1,CEILING(PERCENTRANK.INC($D$3:$D$6000,D2690,4)*5+0.000001,1)))</f>
        <v/>
      </c>
      <c r="H2690">
        <f>IF(A2690="","",E2690&amp;F2690&amp;G2690)</f>
        <v/>
      </c>
      <c r="I2690">
        <f>IF(A2690="","",IF(AND(E2690&gt;=4,F2690&gt;=4,G2690&gt;=4),"Juara",IF(AND(F2690&gt;=4,E2690&gt;=3),"Setia",IF(AND(E2690=5,F2690&lt;=2,G2690&gt;=3),"Berpotensi",IF(AND(E2690&lt;=3,E2690&gt;=2,F2690&gt;=3),"Rawan",IF(AND(E2690&lt;=2,F2690&lt;=2),"Tidur","Umum"))))))</f>
        <v/>
      </c>
    </row>
    <row r="2691">
      <c r="B2691">
        <f>IF(A2691="","",$B$1-MAXIFS(Donasi!$A$2:$A$20000,Donasi!$B$2:$B$20000,A2691))</f>
        <v/>
      </c>
      <c r="C2691">
        <f>IF(A2691="","",COUNTIF(Donasi!$B$2:$B$20000,A2691))</f>
        <v/>
      </c>
      <c r="D2691">
        <f>IF(A2691="","",SUMIF(Donasi!$B$2:$B$20000,A2691,Donasi!$C$2:$C$20000))</f>
        <v/>
      </c>
      <c r="E2691">
        <f>IF(A2691="","",6-CEILING(PERCENTRANK.INC($B$3:$B$6000,B2691,4)*5+0.000001,1))</f>
        <v/>
      </c>
      <c r="F2691">
        <f>IF(A2691="","",MAX(1,CEILING(PERCENTRANK.INC($C$3:$C$6000,C2691,4)*5+0.000001,1)))</f>
        <v/>
      </c>
      <c r="G2691">
        <f>IF(A2691="","",MAX(1,CEILING(PERCENTRANK.INC($D$3:$D$6000,D2691,4)*5+0.000001,1)))</f>
        <v/>
      </c>
      <c r="H2691">
        <f>IF(A2691="","",E2691&amp;F2691&amp;G2691)</f>
        <v/>
      </c>
      <c r="I2691">
        <f>IF(A2691="","",IF(AND(E2691&gt;=4,F2691&gt;=4,G2691&gt;=4),"Juara",IF(AND(F2691&gt;=4,E2691&gt;=3),"Setia",IF(AND(E2691=5,F2691&lt;=2,G2691&gt;=3),"Berpotensi",IF(AND(E2691&lt;=3,E2691&gt;=2,F2691&gt;=3),"Rawan",IF(AND(E2691&lt;=2,F2691&lt;=2),"Tidur","Umum"))))))</f>
        <v/>
      </c>
    </row>
    <row r="2692">
      <c r="B2692">
        <f>IF(A2692="","",$B$1-MAXIFS(Donasi!$A$2:$A$20000,Donasi!$B$2:$B$20000,A2692))</f>
        <v/>
      </c>
      <c r="C2692">
        <f>IF(A2692="","",COUNTIF(Donasi!$B$2:$B$20000,A2692))</f>
        <v/>
      </c>
      <c r="D2692">
        <f>IF(A2692="","",SUMIF(Donasi!$B$2:$B$20000,A2692,Donasi!$C$2:$C$20000))</f>
        <v/>
      </c>
      <c r="E2692">
        <f>IF(A2692="","",6-CEILING(PERCENTRANK.INC($B$3:$B$6000,B2692,4)*5+0.000001,1))</f>
        <v/>
      </c>
      <c r="F2692">
        <f>IF(A2692="","",MAX(1,CEILING(PERCENTRANK.INC($C$3:$C$6000,C2692,4)*5+0.000001,1)))</f>
        <v/>
      </c>
      <c r="G2692">
        <f>IF(A2692="","",MAX(1,CEILING(PERCENTRANK.INC($D$3:$D$6000,D2692,4)*5+0.000001,1)))</f>
        <v/>
      </c>
      <c r="H2692">
        <f>IF(A2692="","",E2692&amp;F2692&amp;G2692)</f>
        <v/>
      </c>
      <c r="I2692">
        <f>IF(A2692="","",IF(AND(E2692&gt;=4,F2692&gt;=4,G2692&gt;=4),"Juara",IF(AND(F2692&gt;=4,E2692&gt;=3),"Setia",IF(AND(E2692=5,F2692&lt;=2,G2692&gt;=3),"Berpotensi",IF(AND(E2692&lt;=3,E2692&gt;=2,F2692&gt;=3),"Rawan",IF(AND(E2692&lt;=2,F2692&lt;=2),"Tidur","Umum"))))))</f>
        <v/>
      </c>
    </row>
    <row r="2693">
      <c r="B2693">
        <f>IF(A2693="","",$B$1-MAXIFS(Donasi!$A$2:$A$20000,Donasi!$B$2:$B$20000,A2693))</f>
        <v/>
      </c>
      <c r="C2693">
        <f>IF(A2693="","",COUNTIF(Donasi!$B$2:$B$20000,A2693))</f>
        <v/>
      </c>
      <c r="D2693">
        <f>IF(A2693="","",SUMIF(Donasi!$B$2:$B$20000,A2693,Donasi!$C$2:$C$20000))</f>
        <v/>
      </c>
      <c r="E2693">
        <f>IF(A2693="","",6-CEILING(PERCENTRANK.INC($B$3:$B$6000,B2693,4)*5+0.000001,1))</f>
        <v/>
      </c>
      <c r="F2693">
        <f>IF(A2693="","",MAX(1,CEILING(PERCENTRANK.INC($C$3:$C$6000,C2693,4)*5+0.000001,1)))</f>
        <v/>
      </c>
      <c r="G2693">
        <f>IF(A2693="","",MAX(1,CEILING(PERCENTRANK.INC($D$3:$D$6000,D2693,4)*5+0.000001,1)))</f>
        <v/>
      </c>
      <c r="H2693">
        <f>IF(A2693="","",E2693&amp;F2693&amp;G2693)</f>
        <v/>
      </c>
      <c r="I2693">
        <f>IF(A2693="","",IF(AND(E2693&gt;=4,F2693&gt;=4,G2693&gt;=4),"Juara",IF(AND(F2693&gt;=4,E2693&gt;=3),"Setia",IF(AND(E2693=5,F2693&lt;=2,G2693&gt;=3),"Berpotensi",IF(AND(E2693&lt;=3,E2693&gt;=2,F2693&gt;=3),"Rawan",IF(AND(E2693&lt;=2,F2693&lt;=2),"Tidur","Umum"))))))</f>
        <v/>
      </c>
    </row>
    <row r="2694">
      <c r="B2694">
        <f>IF(A2694="","",$B$1-MAXIFS(Donasi!$A$2:$A$20000,Donasi!$B$2:$B$20000,A2694))</f>
        <v/>
      </c>
      <c r="C2694">
        <f>IF(A2694="","",COUNTIF(Donasi!$B$2:$B$20000,A2694))</f>
        <v/>
      </c>
      <c r="D2694">
        <f>IF(A2694="","",SUMIF(Donasi!$B$2:$B$20000,A2694,Donasi!$C$2:$C$20000))</f>
        <v/>
      </c>
      <c r="E2694">
        <f>IF(A2694="","",6-CEILING(PERCENTRANK.INC($B$3:$B$6000,B2694,4)*5+0.000001,1))</f>
        <v/>
      </c>
      <c r="F2694">
        <f>IF(A2694="","",MAX(1,CEILING(PERCENTRANK.INC($C$3:$C$6000,C2694,4)*5+0.000001,1)))</f>
        <v/>
      </c>
      <c r="G2694">
        <f>IF(A2694="","",MAX(1,CEILING(PERCENTRANK.INC($D$3:$D$6000,D2694,4)*5+0.000001,1)))</f>
        <v/>
      </c>
      <c r="H2694">
        <f>IF(A2694="","",E2694&amp;F2694&amp;G2694)</f>
        <v/>
      </c>
      <c r="I2694">
        <f>IF(A2694="","",IF(AND(E2694&gt;=4,F2694&gt;=4,G2694&gt;=4),"Juara",IF(AND(F2694&gt;=4,E2694&gt;=3),"Setia",IF(AND(E2694=5,F2694&lt;=2,G2694&gt;=3),"Berpotensi",IF(AND(E2694&lt;=3,E2694&gt;=2,F2694&gt;=3),"Rawan",IF(AND(E2694&lt;=2,F2694&lt;=2),"Tidur","Umum"))))))</f>
        <v/>
      </c>
    </row>
    <row r="2695">
      <c r="B2695">
        <f>IF(A2695="","",$B$1-MAXIFS(Donasi!$A$2:$A$20000,Donasi!$B$2:$B$20000,A2695))</f>
        <v/>
      </c>
      <c r="C2695">
        <f>IF(A2695="","",COUNTIF(Donasi!$B$2:$B$20000,A2695))</f>
        <v/>
      </c>
      <c r="D2695">
        <f>IF(A2695="","",SUMIF(Donasi!$B$2:$B$20000,A2695,Donasi!$C$2:$C$20000))</f>
        <v/>
      </c>
      <c r="E2695">
        <f>IF(A2695="","",6-CEILING(PERCENTRANK.INC($B$3:$B$6000,B2695,4)*5+0.000001,1))</f>
        <v/>
      </c>
      <c r="F2695">
        <f>IF(A2695="","",MAX(1,CEILING(PERCENTRANK.INC($C$3:$C$6000,C2695,4)*5+0.000001,1)))</f>
        <v/>
      </c>
      <c r="G2695">
        <f>IF(A2695="","",MAX(1,CEILING(PERCENTRANK.INC($D$3:$D$6000,D2695,4)*5+0.000001,1)))</f>
        <v/>
      </c>
      <c r="H2695">
        <f>IF(A2695="","",E2695&amp;F2695&amp;G2695)</f>
        <v/>
      </c>
      <c r="I2695">
        <f>IF(A2695="","",IF(AND(E2695&gt;=4,F2695&gt;=4,G2695&gt;=4),"Juara",IF(AND(F2695&gt;=4,E2695&gt;=3),"Setia",IF(AND(E2695=5,F2695&lt;=2,G2695&gt;=3),"Berpotensi",IF(AND(E2695&lt;=3,E2695&gt;=2,F2695&gt;=3),"Rawan",IF(AND(E2695&lt;=2,F2695&lt;=2),"Tidur","Umum"))))))</f>
        <v/>
      </c>
    </row>
    <row r="2696">
      <c r="B2696">
        <f>IF(A2696="","",$B$1-MAXIFS(Donasi!$A$2:$A$20000,Donasi!$B$2:$B$20000,A2696))</f>
        <v/>
      </c>
      <c r="C2696">
        <f>IF(A2696="","",COUNTIF(Donasi!$B$2:$B$20000,A2696))</f>
        <v/>
      </c>
      <c r="D2696">
        <f>IF(A2696="","",SUMIF(Donasi!$B$2:$B$20000,A2696,Donasi!$C$2:$C$20000))</f>
        <v/>
      </c>
      <c r="E2696">
        <f>IF(A2696="","",6-CEILING(PERCENTRANK.INC($B$3:$B$6000,B2696,4)*5+0.000001,1))</f>
        <v/>
      </c>
      <c r="F2696">
        <f>IF(A2696="","",MAX(1,CEILING(PERCENTRANK.INC($C$3:$C$6000,C2696,4)*5+0.000001,1)))</f>
        <v/>
      </c>
      <c r="G2696">
        <f>IF(A2696="","",MAX(1,CEILING(PERCENTRANK.INC($D$3:$D$6000,D2696,4)*5+0.000001,1)))</f>
        <v/>
      </c>
      <c r="H2696">
        <f>IF(A2696="","",E2696&amp;F2696&amp;G2696)</f>
        <v/>
      </c>
      <c r="I2696">
        <f>IF(A2696="","",IF(AND(E2696&gt;=4,F2696&gt;=4,G2696&gt;=4),"Juara",IF(AND(F2696&gt;=4,E2696&gt;=3),"Setia",IF(AND(E2696=5,F2696&lt;=2,G2696&gt;=3),"Berpotensi",IF(AND(E2696&lt;=3,E2696&gt;=2,F2696&gt;=3),"Rawan",IF(AND(E2696&lt;=2,F2696&lt;=2),"Tidur","Umum"))))))</f>
        <v/>
      </c>
    </row>
    <row r="2697">
      <c r="B2697">
        <f>IF(A2697="","",$B$1-MAXIFS(Donasi!$A$2:$A$20000,Donasi!$B$2:$B$20000,A2697))</f>
        <v/>
      </c>
      <c r="C2697">
        <f>IF(A2697="","",COUNTIF(Donasi!$B$2:$B$20000,A2697))</f>
        <v/>
      </c>
      <c r="D2697">
        <f>IF(A2697="","",SUMIF(Donasi!$B$2:$B$20000,A2697,Donasi!$C$2:$C$20000))</f>
        <v/>
      </c>
      <c r="E2697">
        <f>IF(A2697="","",6-CEILING(PERCENTRANK.INC($B$3:$B$6000,B2697,4)*5+0.000001,1))</f>
        <v/>
      </c>
      <c r="F2697">
        <f>IF(A2697="","",MAX(1,CEILING(PERCENTRANK.INC($C$3:$C$6000,C2697,4)*5+0.000001,1)))</f>
        <v/>
      </c>
      <c r="G2697">
        <f>IF(A2697="","",MAX(1,CEILING(PERCENTRANK.INC($D$3:$D$6000,D2697,4)*5+0.000001,1)))</f>
        <v/>
      </c>
      <c r="H2697">
        <f>IF(A2697="","",E2697&amp;F2697&amp;G2697)</f>
        <v/>
      </c>
      <c r="I2697">
        <f>IF(A2697="","",IF(AND(E2697&gt;=4,F2697&gt;=4,G2697&gt;=4),"Juara",IF(AND(F2697&gt;=4,E2697&gt;=3),"Setia",IF(AND(E2697=5,F2697&lt;=2,G2697&gt;=3),"Berpotensi",IF(AND(E2697&lt;=3,E2697&gt;=2,F2697&gt;=3),"Rawan",IF(AND(E2697&lt;=2,F2697&lt;=2),"Tidur","Umum"))))))</f>
        <v/>
      </c>
    </row>
    <row r="2698">
      <c r="B2698">
        <f>IF(A2698="","",$B$1-MAXIFS(Donasi!$A$2:$A$20000,Donasi!$B$2:$B$20000,A2698))</f>
        <v/>
      </c>
      <c r="C2698">
        <f>IF(A2698="","",COUNTIF(Donasi!$B$2:$B$20000,A2698))</f>
        <v/>
      </c>
      <c r="D2698">
        <f>IF(A2698="","",SUMIF(Donasi!$B$2:$B$20000,A2698,Donasi!$C$2:$C$20000))</f>
        <v/>
      </c>
      <c r="E2698">
        <f>IF(A2698="","",6-CEILING(PERCENTRANK.INC($B$3:$B$6000,B2698,4)*5+0.000001,1))</f>
        <v/>
      </c>
      <c r="F2698">
        <f>IF(A2698="","",MAX(1,CEILING(PERCENTRANK.INC($C$3:$C$6000,C2698,4)*5+0.000001,1)))</f>
        <v/>
      </c>
      <c r="G2698">
        <f>IF(A2698="","",MAX(1,CEILING(PERCENTRANK.INC($D$3:$D$6000,D2698,4)*5+0.000001,1)))</f>
        <v/>
      </c>
      <c r="H2698">
        <f>IF(A2698="","",E2698&amp;F2698&amp;G2698)</f>
        <v/>
      </c>
      <c r="I2698">
        <f>IF(A2698="","",IF(AND(E2698&gt;=4,F2698&gt;=4,G2698&gt;=4),"Juara",IF(AND(F2698&gt;=4,E2698&gt;=3),"Setia",IF(AND(E2698=5,F2698&lt;=2,G2698&gt;=3),"Berpotensi",IF(AND(E2698&lt;=3,E2698&gt;=2,F2698&gt;=3),"Rawan",IF(AND(E2698&lt;=2,F2698&lt;=2),"Tidur","Umum"))))))</f>
        <v/>
      </c>
    </row>
    <row r="2699">
      <c r="B2699">
        <f>IF(A2699="","",$B$1-MAXIFS(Donasi!$A$2:$A$20000,Donasi!$B$2:$B$20000,A2699))</f>
        <v/>
      </c>
      <c r="C2699">
        <f>IF(A2699="","",COUNTIF(Donasi!$B$2:$B$20000,A2699))</f>
        <v/>
      </c>
      <c r="D2699">
        <f>IF(A2699="","",SUMIF(Donasi!$B$2:$B$20000,A2699,Donasi!$C$2:$C$20000))</f>
        <v/>
      </c>
      <c r="E2699">
        <f>IF(A2699="","",6-CEILING(PERCENTRANK.INC($B$3:$B$6000,B2699,4)*5+0.000001,1))</f>
        <v/>
      </c>
      <c r="F2699">
        <f>IF(A2699="","",MAX(1,CEILING(PERCENTRANK.INC($C$3:$C$6000,C2699,4)*5+0.000001,1)))</f>
        <v/>
      </c>
      <c r="G2699">
        <f>IF(A2699="","",MAX(1,CEILING(PERCENTRANK.INC($D$3:$D$6000,D2699,4)*5+0.000001,1)))</f>
        <v/>
      </c>
      <c r="H2699">
        <f>IF(A2699="","",E2699&amp;F2699&amp;G2699)</f>
        <v/>
      </c>
      <c r="I2699">
        <f>IF(A2699="","",IF(AND(E2699&gt;=4,F2699&gt;=4,G2699&gt;=4),"Juara",IF(AND(F2699&gt;=4,E2699&gt;=3),"Setia",IF(AND(E2699=5,F2699&lt;=2,G2699&gt;=3),"Berpotensi",IF(AND(E2699&lt;=3,E2699&gt;=2,F2699&gt;=3),"Rawan",IF(AND(E2699&lt;=2,F2699&lt;=2),"Tidur","Umum"))))))</f>
        <v/>
      </c>
    </row>
    <row r="2700">
      <c r="B2700">
        <f>IF(A2700="","",$B$1-MAXIFS(Donasi!$A$2:$A$20000,Donasi!$B$2:$B$20000,A2700))</f>
        <v/>
      </c>
      <c r="C2700">
        <f>IF(A2700="","",COUNTIF(Donasi!$B$2:$B$20000,A2700))</f>
        <v/>
      </c>
      <c r="D2700">
        <f>IF(A2700="","",SUMIF(Donasi!$B$2:$B$20000,A2700,Donasi!$C$2:$C$20000))</f>
        <v/>
      </c>
      <c r="E2700">
        <f>IF(A2700="","",6-CEILING(PERCENTRANK.INC($B$3:$B$6000,B2700,4)*5+0.000001,1))</f>
        <v/>
      </c>
      <c r="F2700">
        <f>IF(A2700="","",MAX(1,CEILING(PERCENTRANK.INC($C$3:$C$6000,C2700,4)*5+0.000001,1)))</f>
        <v/>
      </c>
      <c r="G2700">
        <f>IF(A2700="","",MAX(1,CEILING(PERCENTRANK.INC($D$3:$D$6000,D2700,4)*5+0.000001,1)))</f>
        <v/>
      </c>
      <c r="H2700">
        <f>IF(A2700="","",E2700&amp;F2700&amp;G2700)</f>
        <v/>
      </c>
      <c r="I2700">
        <f>IF(A2700="","",IF(AND(E2700&gt;=4,F2700&gt;=4,G2700&gt;=4),"Juara",IF(AND(F2700&gt;=4,E2700&gt;=3),"Setia",IF(AND(E2700=5,F2700&lt;=2,G2700&gt;=3),"Berpotensi",IF(AND(E2700&lt;=3,E2700&gt;=2,F2700&gt;=3),"Rawan",IF(AND(E2700&lt;=2,F2700&lt;=2),"Tidur","Umum"))))))</f>
        <v/>
      </c>
    </row>
    <row r="2701">
      <c r="B2701">
        <f>IF(A2701="","",$B$1-MAXIFS(Donasi!$A$2:$A$20000,Donasi!$B$2:$B$20000,A2701))</f>
        <v/>
      </c>
      <c r="C2701">
        <f>IF(A2701="","",COUNTIF(Donasi!$B$2:$B$20000,A2701))</f>
        <v/>
      </c>
      <c r="D2701">
        <f>IF(A2701="","",SUMIF(Donasi!$B$2:$B$20000,A2701,Donasi!$C$2:$C$20000))</f>
        <v/>
      </c>
      <c r="E2701">
        <f>IF(A2701="","",6-CEILING(PERCENTRANK.INC($B$3:$B$6000,B2701,4)*5+0.000001,1))</f>
        <v/>
      </c>
      <c r="F2701">
        <f>IF(A2701="","",MAX(1,CEILING(PERCENTRANK.INC($C$3:$C$6000,C2701,4)*5+0.000001,1)))</f>
        <v/>
      </c>
      <c r="G2701">
        <f>IF(A2701="","",MAX(1,CEILING(PERCENTRANK.INC($D$3:$D$6000,D2701,4)*5+0.000001,1)))</f>
        <v/>
      </c>
      <c r="H2701">
        <f>IF(A2701="","",E2701&amp;F2701&amp;G2701)</f>
        <v/>
      </c>
      <c r="I2701">
        <f>IF(A2701="","",IF(AND(E2701&gt;=4,F2701&gt;=4,G2701&gt;=4),"Juara",IF(AND(F2701&gt;=4,E2701&gt;=3),"Setia",IF(AND(E2701=5,F2701&lt;=2,G2701&gt;=3),"Berpotensi",IF(AND(E2701&lt;=3,E2701&gt;=2,F2701&gt;=3),"Rawan",IF(AND(E2701&lt;=2,F2701&lt;=2),"Tidur","Umum"))))))</f>
        <v/>
      </c>
    </row>
    <row r="2702">
      <c r="B2702">
        <f>IF(A2702="","",$B$1-MAXIFS(Donasi!$A$2:$A$20000,Donasi!$B$2:$B$20000,A2702))</f>
        <v/>
      </c>
      <c r="C2702">
        <f>IF(A2702="","",COUNTIF(Donasi!$B$2:$B$20000,A2702))</f>
        <v/>
      </c>
      <c r="D2702">
        <f>IF(A2702="","",SUMIF(Donasi!$B$2:$B$20000,A2702,Donasi!$C$2:$C$20000))</f>
        <v/>
      </c>
      <c r="E2702">
        <f>IF(A2702="","",6-CEILING(PERCENTRANK.INC($B$3:$B$6000,B2702,4)*5+0.000001,1))</f>
        <v/>
      </c>
      <c r="F2702">
        <f>IF(A2702="","",MAX(1,CEILING(PERCENTRANK.INC($C$3:$C$6000,C2702,4)*5+0.000001,1)))</f>
        <v/>
      </c>
      <c r="G2702">
        <f>IF(A2702="","",MAX(1,CEILING(PERCENTRANK.INC($D$3:$D$6000,D2702,4)*5+0.000001,1)))</f>
        <v/>
      </c>
      <c r="H2702">
        <f>IF(A2702="","",E2702&amp;F2702&amp;G2702)</f>
        <v/>
      </c>
      <c r="I2702">
        <f>IF(A2702="","",IF(AND(E2702&gt;=4,F2702&gt;=4,G2702&gt;=4),"Juara",IF(AND(F2702&gt;=4,E2702&gt;=3),"Setia",IF(AND(E2702=5,F2702&lt;=2,G2702&gt;=3),"Berpotensi",IF(AND(E2702&lt;=3,E2702&gt;=2,F2702&gt;=3),"Rawan",IF(AND(E2702&lt;=2,F2702&lt;=2),"Tidur","Umum"))))))</f>
        <v/>
      </c>
    </row>
    <row r="2703">
      <c r="B2703">
        <f>IF(A2703="","",$B$1-MAXIFS(Donasi!$A$2:$A$20000,Donasi!$B$2:$B$20000,A2703))</f>
        <v/>
      </c>
      <c r="C2703">
        <f>IF(A2703="","",COUNTIF(Donasi!$B$2:$B$20000,A2703))</f>
        <v/>
      </c>
      <c r="D2703">
        <f>IF(A2703="","",SUMIF(Donasi!$B$2:$B$20000,A2703,Donasi!$C$2:$C$20000))</f>
        <v/>
      </c>
      <c r="E2703">
        <f>IF(A2703="","",6-CEILING(PERCENTRANK.INC($B$3:$B$6000,B2703,4)*5+0.000001,1))</f>
        <v/>
      </c>
      <c r="F2703">
        <f>IF(A2703="","",MAX(1,CEILING(PERCENTRANK.INC($C$3:$C$6000,C2703,4)*5+0.000001,1)))</f>
        <v/>
      </c>
      <c r="G2703">
        <f>IF(A2703="","",MAX(1,CEILING(PERCENTRANK.INC($D$3:$D$6000,D2703,4)*5+0.000001,1)))</f>
        <v/>
      </c>
      <c r="H2703">
        <f>IF(A2703="","",E2703&amp;F2703&amp;G2703)</f>
        <v/>
      </c>
      <c r="I2703">
        <f>IF(A2703="","",IF(AND(E2703&gt;=4,F2703&gt;=4,G2703&gt;=4),"Juara",IF(AND(F2703&gt;=4,E2703&gt;=3),"Setia",IF(AND(E2703=5,F2703&lt;=2,G2703&gt;=3),"Berpotensi",IF(AND(E2703&lt;=3,E2703&gt;=2,F2703&gt;=3),"Rawan",IF(AND(E2703&lt;=2,F2703&lt;=2),"Tidur","Umum"))))))</f>
        <v/>
      </c>
    </row>
    <row r="2704">
      <c r="B2704">
        <f>IF(A2704="","",$B$1-MAXIFS(Donasi!$A$2:$A$20000,Donasi!$B$2:$B$20000,A2704))</f>
        <v/>
      </c>
      <c r="C2704">
        <f>IF(A2704="","",COUNTIF(Donasi!$B$2:$B$20000,A2704))</f>
        <v/>
      </c>
      <c r="D2704">
        <f>IF(A2704="","",SUMIF(Donasi!$B$2:$B$20000,A2704,Donasi!$C$2:$C$20000))</f>
        <v/>
      </c>
      <c r="E2704">
        <f>IF(A2704="","",6-CEILING(PERCENTRANK.INC($B$3:$B$6000,B2704,4)*5+0.000001,1))</f>
        <v/>
      </c>
      <c r="F2704">
        <f>IF(A2704="","",MAX(1,CEILING(PERCENTRANK.INC($C$3:$C$6000,C2704,4)*5+0.000001,1)))</f>
        <v/>
      </c>
      <c r="G2704">
        <f>IF(A2704="","",MAX(1,CEILING(PERCENTRANK.INC($D$3:$D$6000,D2704,4)*5+0.000001,1)))</f>
        <v/>
      </c>
      <c r="H2704">
        <f>IF(A2704="","",E2704&amp;F2704&amp;G2704)</f>
        <v/>
      </c>
      <c r="I2704">
        <f>IF(A2704="","",IF(AND(E2704&gt;=4,F2704&gt;=4,G2704&gt;=4),"Juara",IF(AND(F2704&gt;=4,E2704&gt;=3),"Setia",IF(AND(E2704=5,F2704&lt;=2,G2704&gt;=3),"Berpotensi",IF(AND(E2704&lt;=3,E2704&gt;=2,F2704&gt;=3),"Rawan",IF(AND(E2704&lt;=2,F2704&lt;=2),"Tidur","Umum"))))))</f>
        <v/>
      </c>
    </row>
    <row r="2705">
      <c r="B2705">
        <f>IF(A2705="","",$B$1-MAXIFS(Donasi!$A$2:$A$20000,Donasi!$B$2:$B$20000,A2705))</f>
        <v/>
      </c>
      <c r="C2705">
        <f>IF(A2705="","",COUNTIF(Donasi!$B$2:$B$20000,A2705))</f>
        <v/>
      </c>
      <c r="D2705">
        <f>IF(A2705="","",SUMIF(Donasi!$B$2:$B$20000,A2705,Donasi!$C$2:$C$20000))</f>
        <v/>
      </c>
      <c r="E2705">
        <f>IF(A2705="","",6-CEILING(PERCENTRANK.INC($B$3:$B$6000,B2705,4)*5+0.000001,1))</f>
        <v/>
      </c>
      <c r="F2705">
        <f>IF(A2705="","",MAX(1,CEILING(PERCENTRANK.INC($C$3:$C$6000,C2705,4)*5+0.000001,1)))</f>
        <v/>
      </c>
      <c r="G2705">
        <f>IF(A2705="","",MAX(1,CEILING(PERCENTRANK.INC($D$3:$D$6000,D2705,4)*5+0.000001,1)))</f>
        <v/>
      </c>
      <c r="H2705">
        <f>IF(A2705="","",E2705&amp;F2705&amp;G2705)</f>
        <v/>
      </c>
      <c r="I2705">
        <f>IF(A2705="","",IF(AND(E2705&gt;=4,F2705&gt;=4,G2705&gt;=4),"Juara",IF(AND(F2705&gt;=4,E2705&gt;=3),"Setia",IF(AND(E2705=5,F2705&lt;=2,G2705&gt;=3),"Berpotensi",IF(AND(E2705&lt;=3,E2705&gt;=2,F2705&gt;=3),"Rawan",IF(AND(E2705&lt;=2,F2705&lt;=2),"Tidur","Umum"))))))</f>
        <v/>
      </c>
    </row>
    <row r="2706">
      <c r="B2706">
        <f>IF(A2706="","",$B$1-MAXIFS(Donasi!$A$2:$A$20000,Donasi!$B$2:$B$20000,A2706))</f>
        <v/>
      </c>
      <c r="C2706">
        <f>IF(A2706="","",COUNTIF(Donasi!$B$2:$B$20000,A2706))</f>
        <v/>
      </c>
      <c r="D2706">
        <f>IF(A2706="","",SUMIF(Donasi!$B$2:$B$20000,A2706,Donasi!$C$2:$C$20000))</f>
        <v/>
      </c>
      <c r="E2706">
        <f>IF(A2706="","",6-CEILING(PERCENTRANK.INC($B$3:$B$6000,B2706,4)*5+0.000001,1))</f>
        <v/>
      </c>
      <c r="F2706">
        <f>IF(A2706="","",MAX(1,CEILING(PERCENTRANK.INC($C$3:$C$6000,C2706,4)*5+0.000001,1)))</f>
        <v/>
      </c>
      <c r="G2706">
        <f>IF(A2706="","",MAX(1,CEILING(PERCENTRANK.INC($D$3:$D$6000,D2706,4)*5+0.000001,1)))</f>
        <v/>
      </c>
      <c r="H2706">
        <f>IF(A2706="","",E2706&amp;F2706&amp;G2706)</f>
        <v/>
      </c>
      <c r="I2706">
        <f>IF(A2706="","",IF(AND(E2706&gt;=4,F2706&gt;=4,G2706&gt;=4),"Juara",IF(AND(F2706&gt;=4,E2706&gt;=3),"Setia",IF(AND(E2706=5,F2706&lt;=2,G2706&gt;=3),"Berpotensi",IF(AND(E2706&lt;=3,E2706&gt;=2,F2706&gt;=3),"Rawan",IF(AND(E2706&lt;=2,F2706&lt;=2),"Tidur","Umum"))))))</f>
        <v/>
      </c>
    </row>
    <row r="2707">
      <c r="B2707">
        <f>IF(A2707="","",$B$1-MAXIFS(Donasi!$A$2:$A$20000,Donasi!$B$2:$B$20000,A2707))</f>
        <v/>
      </c>
      <c r="C2707">
        <f>IF(A2707="","",COUNTIF(Donasi!$B$2:$B$20000,A2707))</f>
        <v/>
      </c>
      <c r="D2707">
        <f>IF(A2707="","",SUMIF(Donasi!$B$2:$B$20000,A2707,Donasi!$C$2:$C$20000))</f>
        <v/>
      </c>
      <c r="E2707">
        <f>IF(A2707="","",6-CEILING(PERCENTRANK.INC($B$3:$B$6000,B2707,4)*5+0.000001,1))</f>
        <v/>
      </c>
      <c r="F2707">
        <f>IF(A2707="","",MAX(1,CEILING(PERCENTRANK.INC($C$3:$C$6000,C2707,4)*5+0.000001,1)))</f>
        <v/>
      </c>
      <c r="G2707">
        <f>IF(A2707="","",MAX(1,CEILING(PERCENTRANK.INC($D$3:$D$6000,D2707,4)*5+0.000001,1)))</f>
        <v/>
      </c>
      <c r="H2707">
        <f>IF(A2707="","",E2707&amp;F2707&amp;G2707)</f>
        <v/>
      </c>
      <c r="I2707">
        <f>IF(A2707="","",IF(AND(E2707&gt;=4,F2707&gt;=4,G2707&gt;=4),"Juara",IF(AND(F2707&gt;=4,E2707&gt;=3),"Setia",IF(AND(E2707=5,F2707&lt;=2,G2707&gt;=3),"Berpotensi",IF(AND(E2707&lt;=3,E2707&gt;=2,F2707&gt;=3),"Rawan",IF(AND(E2707&lt;=2,F2707&lt;=2),"Tidur","Umum"))))))</f>
        <v/>
      </c>
    </row>
    <row r="2708">
      <c r="B2708">
        <f>IF(A2708="","",$B$1-MAXIFS(Donasi!$A$2:$A$20000,Donasi!$B$2:$B$20000,A2708))</f>
        <v/>
      </c>
      <c r="C2708">
        <f>IF(A2708="","",COUNTIF(Donasi!$B$2:$B$20000,A2708))</f>
        <v/>
      </c>
      <c r="D2708">
        <f>IF(A2708="","",SUMIF(Donasi!$B$2:$B$20000,A2708,Donasi!$C$2:$C$20000))</f>
        <v/>
      </c>
      <c r="E2708">
        <f>IF(A2708="","",6-CEILING(PERCENTRANK.INC($B$3:$B$6000,B2708,4)*5+0.000001,1))</f>
        <v/>
      </c>
      <c r="F2708">
        <f>IF(A2708="","",MAX(1,CEILING(PERCENTRANK.INC($C$3:$C$6000,C2708,4)*5+0.000001,1)))</f>
        <v/>
      </c>
      <c r="G2708">
        <f>IF(A2708="","",MAX(1,CEILING(PERCENTRANK.INC($D$3:$D$6000,D2708,4)*5+0.000001,1)))</f>
        <v/>
      </c>
      <c r="H2708">
        <f>IF(A2708="","",E2708&amp;F2708&amp;G2708)</f>
        <v/>
      </c>
      <c r="I2708">
        <f>IF(A2708="","",IF(AND(E2708&gt;=4,F2708&gt;=4,G2708&gt;=4),"Juara",IF(AND(F2708&gt;=4,E2708&gt;=3),"Setia",IF(AND(E2708=5,F2708&lt;=2,G2708&gt;=3),"Berpotensi",IF(AND(E2708&lt;=3,E2708&gt;=2,F2708&gt;=3),"Rawan",IF(AND(E2708&lt;=2,F2708&lt;=2),"Tidur","Umum"))))))</f>
        <v/>
      </c>
    </row>
    <row r="2709">
      <c r="B2709">
        <f>IF(A2709="","",$B$1-MAXIFS(Donasi!$A$2:$A$20000,Donasi!$B$2:$B$20000,A2709))</f>
        <v/>
      </c>
      <c r="C2709">
        <f>IF(A2709="","",COUNTIF(Donasi!$B$2:$B$20000,A2709))</f>
        <v/>
      </c>
      <c r="D2709">
        <f>IF(A2709="","",SUMIF(Donasi!$B$2:$B$20000,A2709,Donasi!$C$2:$C$20000))</f>
        <v/>
      </c>
      <c r="E2709">
        <f>IF(A2709="","",6-CEILING(PERCENTRANK.INC($B$3:$B$6000,B2709,4)*5+0.000001,1))</f>
        <v/>
      </c>
      <c r="F2709">
        <f>IF(A2709="","",MAX(1,CEILING(PERCENTRANK.INC($C$3:$C$6000,C2709,4)*5+0.000001,1)))</f>
        <v/>
      </c>
      <c r="G2709">
        <f>IF(A2709="","",MAX(1,CEILING(PERCENTRANK.INC($D$3:$D$6000,D2709,4)*5+0.000001,1)))</f>
        <v/>
      </c>
      <c r="H2709">
        <f>IF(A2709="","",E2709&amp;F2709&amp;G2709)</f>
        <v/>
      </c>
      <c r="I2709">
        <f>IF(A2709="","",IF(AND(E2709&gt;=4,F2709&gt;=4,G2709&gt;=4),"Juara",IF(AND(F2709&gt;=4,E2709&gt;=3),"Setia",IF(AND(E2709=5,F2709&lt;=2,G2709&gt;=3),"Berpotensi",IF(AND(E2709&lt;=3,E2709&gt;=2,F2709&gt;=3),"Rawan",IF(AND(E2709&lt;=2,F2709&lt;=2),"Tidur","Umum"))))))</f>
        <v/>
      </c>
    </row>
    <row r="2710">
      <c r="B2710">
        <f>IF(A2710="","",$B$1-MAXIFS(Donasi!$A$2:$A$20000,Donasi!$B$2:$B$20000,A2710))</f>
        <v/>
      </c>
      <c r="C2710">
        <f>IF(A2710="","",COUNTIF(Donasi!$B$2:$B$20000,A2710))</f>
        <v/>
      </c>
      <c r="D2710">
        <f>IF(A2710="","",SUMIF(Donasi!$B$2:$B$20000,A2710,Donasi!$C$2:$C$20000))</f>
        <v/>
      </c>
      <c r="E2710">
        <f>IF(A2710="","",6-CEILING(PERCENTRANK.INC($B$3:$B$6000,B2710,4)*5+0.000001,1))</f>
        <v/>
      </c>
      <c r="F2710">
        <f>IF(A2710="","",MAX(1,CEILING(PERCENTRANK.INC($C$3:$C$6000,C2710,4)*5+0.000001,1)))</f>
        <v/>
      </c>
      <c r="G2710">
        <f>IF(A2710="","",MAX(1,CEILING(PERCENTRANK.INC($D$3:$D$6000,D2710,4)*5+0.000001,1)))</f>
        <v/>
      </c>
      <c r="H2710">
        <f>IF(A2710="","",E2710&amp;F2710&amp;G2710)</f>
        <v/>
      </c>
      <c r="I2710">
        <f>IF(A2710="","",IF(AND(E2710&gt;=4,F2710&gt;=4,G2710&gt;=4),"Juara",IF(AND(F2710&gt;=4,E2710&gt;=3),"Setia",IF(AND(E2710=5,F2710&lt;=2,G2710&gt;=3),"Berpotensi",IF(AND(E2710&lt;=3,E2710&gt;=2,F2710&gt;=3),"Rawan",IF(AND(E2710&lt;=2,F2710&lt;=2),"Tidur","Umum"))))))</f>
        <v/>
      </c>
    </row>
    <row r="2711">
      <c r="B2711">
        <f>IF(A2711="","",$B$1-MAXIFS(Donasi!$A$2:$A$20000,Donasi!$B$2:$B$20000,A2711))</f>
        <v/>
      </c>
      <c r="C2711">
        <f>IF(A2711="","",COUNTIF(Donasi!$B$2:$B$20000,A2711))</f>
        <v/>
      </c>
      <c r="D2711">
        <f>IF(A2711="","",SUMIF(Donasi!$B$2:$B$20000,A2711,Donasi!$C$2:$C$20000))</f>
        <v/>
      </c>
      <c r="E2711">
        <f>IF(A2711="","",6-CEILING(PERCENTRANK.INC($B$3:$B$6000,B2711,4)*5+0.000001,1))</f>
        <v/>
      </c>
      <c r="F2711">
        <f>IF(A2711="","",MAX(1,CEILING(PERCENTRANK.INC($C$3:$C$6000,C2711,4)*5+0.000001,1)))</f>
        <v/>
      </c>
      <c r="G2711">
        <f>IF(A2711="","",MAX(1,CEILING(PERCENTRANK.INC($D$3:$D$6000,D2711,4)*5+0.000001,1)))</f>
        <v/>
      </c>
      <c r="H2711">
        <f>IF(A2711="","",E2711&amp;F2711&amp;G2711)</f>
        <v/>
      </c>
      <c r="I2711">
        <f>IF(A2711="","",IF(AND(E2711&gt;=4,F2711&gt;=4,G2711&gt;=4),"Juara",IF(AND(F2711&gt;=4,E2711&gt;=3),"Setia",IF(AND(E2711=5,F2711&lt;=2,G2711&gt;=3),"Berpotensi",IF(AND(E2711&lt;=3,E2711&gt;=2,F2711&gt;=3),"Rawan",IF(AND(E2711&lt;=2,F2711&lt;=2),"Tidur","Umum"))))))</f>
        <v/>
      </c>
    </row>
    <row r="2712">
      <c r="B2712">
        <f>IF(A2712="","",$B$1-MAXIFS(Donasi!$A$2:$A$20000,Donasi!$B$2:$B$20000,A2712))</f>
        <v/>
      </c>
      <c r="C2712">
        <f>IF(A2712="","",COUNTIF(Donasi!$B$2:$B$20000,A2712))</f>
        <v/>
      </c>
      <c r="D2712">
        <f>IF(A2712="","",SUMIF(Donasi!$B$2:$B$20000,A2712,Donasi!$C$2:$C$20000))</f>
        <v/>
      </c>
      <c r="E2712">
        <f>IF(A2712="","",6-CEILING(PERCENTRANK.INC($B$3:$B$6000,B2712,4)*5+0.000001,1))</f>
        <v/>
      </c>
      <c r="F2712">
        <f>IF(A2712="","",MAX(1,CEILING(PERCENTRANK.INC($C$3:$C$6000,C2712,4)*5+0.000001,1)))</f>
        <v/>
      </c>
      <c r="G2712">
        <f>IF(A2712="","",MAX(1,CEILING(PERCENTRANK.INC($D$3:$D$6000,D2712,4)*5+0.000001,1)))</f>
        <v/>
      </c>
      <c r="H2712">
        <f>IF(A2712="","",E2712&amp;F2712&amp;G2712)</f>
        <v/>
      </c>
      <c r="I2712">
        <f>IF(A2712="","",IF(AND(E2712&gt;=4,F2712&gt;=4,G2712&gt;=4),"Juara",IF(AND(F2712&gt;=4,E2712&gt;=3),"Setia",IF(AND(E2712=5,F2712&lt;=2,G2712&gt;=3),"Berpotensi",IF(AND(E2712&lt;=3,E2712&gt;=2,F2712&gt;=3),"Rawan",IF(AND(E2712&lt;=2,F2712&lt;=2),"Tidur","Umum"))))))</f>
        <v/>
      </c>
    </row>
    <row r="2713">
      <c r="B2713">
        <f>IF(A2713="","",$B$1-MAXIFS(Donasi!$A$2:$A$20000,Donasi!$B$2:$B$20000,A2713))</f>
        <v/>
      </c>
      <c r="C2713">
        <f>IF(A2713="","",COUNTIF(Donasi!$B$2:$B$20000,A2713))</f>
        <v/>
      </c>
      <c r="D2713">
        <f>IF(A2713="","",SUMIF(Donasi!$B$2:$B$20000,A2713,Donasi!$C$2:$C$20000))</f>
        <v/>
      </c>
      <c r="E2713">
        <f>IF(A2713="","",6-CEILING(PERCENTRANK.INC($B$3:$B$6000,B2713,4)*5+0.000001,1))</f>
        <v/>
      </c>
      <c r="F2713">
        <f>IF(A2713="","",MAX(1,CEILING(PERCENTRANK.INC($C$3:$C$6000,C2713,4)*5+0.000001,1)))</f>
        <v/>
      </c>
      <c r="G2713">
        <f>IF(A2713="","",MAX(1,CEILING(PERCENTRANK.INC($D$3:$D$6000,D2713,4)*5+0.000001,1)))</f>
        <v/>
      </c>
      <c r="H2713">
        <f>IF(A2713="","",E2713&amp;F2713&amp;G2713)</f>
        <v/>
      </c>
      <c r="I2713">
        <f>IF(A2713="","",IF(AND(E2713&gt;=4,F2713&gt;=4,G2713&gt;=4),"Juara",IF(AND(F2713&gt;=4,E2713&gt;=3),"Setia",IF(AND(E2713=5,F2713&lt;=2,G2713&gt;=3),"Berpotensi",IF(AND(E2713&lt;=3,E2713&gt;=2,F2713&gt;=3),"Rawan",IF(AND(E2713&lt;=2,F2713&lt;=2),"Tidur","Umum"))))))</f>
        <v/>
      </c>
    </row>
    <row r="2714">
      <c r="B2714">
        <f>IF(A2714="","",$B$1-MAXIFS(Donasi!$A$2:$A$20000,Donasi!$B$2:$B$20000,A2714))</f>
        <v/>
      </c>
      <c r="C2714">
        <f>IF(A2714="","",COUNTIF(Donasi!$B$2:$B$20000,A2714))</f>
        <v/>
      </c>
      <c r="D2714">
        <f>IF(A2714="","",SUMIF(Donasi!$B$2:$B$20000,A2714,Donasi!$C$2:$C$20000))</f>
        <v/>
      </c>
      <c r="E2714">
        <f>IF(A2714="","",6-CEILING(PERCENTRANK.INC($B$3:$B$6000,B2714,4)*5+0.000001,1))</f>
        <v/>
      </c>
      <c r="F2714">
        <f>IF(A2714="","",MAX(1,CEILING(PERCENTRANK.INC($C$3:$C$6000,C2714,4)*5+0.000001,1)))</f>
        <v/>
      </c>
      <c r="G2714">
        <f>IF(A2714="","",MAX(1,CEILING(PERCENTRANK.INC($D$3:$D$6000,D2714,4)*5+0.000001,1)))</f>
        <v/>
      </c>
      <c r="H2714">
        <f>IF(A2714="","",E2714&amp;F2714&amp;G2714)</f>
        <v/>
      </c>
      <c r="I2714">
        <f>IF(A2714="","",IF(AND(E2714&gt;=4,F2714&gt;=4,G2714&gt;=4),"Juara",IF(AND(F2714&gt;=4,E2714&gt;=3),"Setia",IF(AND(E2714=5,F2714&lt;=2,G2714&gt;=3),"Berpotensi",IF(AND(E2714&lt;=3,E2714&gt;=2,F2714&gt;=3),"Rawan",IF(AND(E2714&lt;=2,F2714&lt;=2),"Tidur","Umum"))))))</f>
        <v/>
      </c>
    </row>
    <row r="2715">
      <c r="B2715">
        <f>IF(A2715="","",$B$1-MAXIFS(Donasi!$A$2:$A$20000,Donasi!$B$2:$B$20000,A2715))</f>
        <v/>
      </c>
      <c r="C2715">
        <f>IF(A2715="","",COUNTIF(Donasi!$B$2:$B$20000,A2715))</f>
        <v/>
      </c>
      <c r="D2715">
        <f>IF(A2715="","",SUMIF(Donasi!$B$2:$B$20000,A2715,Donasi!$C$2:$C$20000))</f>
        <v/>
      </c>
      <c r="E2715">
        <f>IF(A2715="","",6-CEILING(PERCENTRANK.INC($B$3:$B$6000,B2715,4)*5+0.000001,1))</f>
        <v/>
      </c>
      <c r="F2715">
        <f>IF(A2715="","",MAX(1,CEILING(PERCENTRANK.INC($C$3:$C$6000,C2715,4)*5+0.000001,1)))</f>
        <v/>
      </c>
      <c r="G2715">
        <f>IF(A2715="","",MAX(1,CEILING(PERCENTRANK.INC($D$3:$D$6000,D2715,4)*5+0.000001,1)))</f>
        <v/>
      </c>
      <c r="H2715">
        <f>IF(A2715="","",E2715&amp;F2715&amp;G2715)</f>
        <v/>
      </c>
      <c r="I2715">
        <f>IF(A2715="","",IF(AND(E2715&gt;=4,F2715&gt;=4,G2715&gt;=4),"Juara",IF(AND(F2715&gt;=4,E2715&gt;=3),"Setia",IF(AND(E2715=5,F2715&lt;=2,G2715&gt;=3),"Berpotensi",IF(AND(E2715&lt;=3,E2715&gt;=2,F2715&gt;=3),"Rawan",IF(AND(E2715&lt;=2,F2715&lt;=2),"Tidur","Umum"))))))</f>
        <v/>
      </c>
    </row>
    <row r="2716">
      <c r="B2716">
        <f>IF(A2716="","",$B$1-MAXIFS(Donasi!$A$2:$A$20000,Donasi!$B$2:$B$20000,A2716))</f>
        <v/>
      </c>
      <c r="C2716">
        <f>IF(A2716="","",COUNTIF(Donasi!$B$2:$B$20000,A2716))</f>
        <v/>
      </c>
      <c r="D2716">
        <f>IF(A2716="","",SUMIF(Donasi!$B$2:$B$20000,A2716,Donasi!$C$2:$C$20000))</f>
        <v/>
      </c>
      <c r="E2716">
        <f>IF(A2716="","",6-CEILING(PERCENTRANK.INC($B$3:$B$6000,B2716,4)*5+0.000001,1))</f>
        <v/>
      </c>
      <c r="F2716">
        <f>IF(A2716="","",MAX(1,CEILING(PERCENTRANK.INC($C$3:$C$6000,C2716,4)*5+0.000001,1)))</f>
        <v/>
      </c>
      <c r="G2716">
        <f>IF(A2716="","",MAX(1,CEILING(PERCENTRANK.INC($D$3:$D$6000,D2716,4)*5+0.000001,1)))</f>
        <v/>
      </c>
      <c r="H2716">
        <f>IF(A2716="","",E2716&amp;F2716&amp;G2716)</f>
        <v/>
      </c>
      <c r="I2716">
        <f>IF(A2716="","",IF(AND(E2716&gt;=4,F2716&gt;=4,G2716&gt;=4),"Juara",IF(AND(F2716&gt;=4,E2716&gt;=3),"Setia",IF(AND(E2716=5,F2716&lt;=2,G2716&gt;=3),"Berpotensi",IF(AND(E2716&lt;=3,E2716&gt;=2,F2716&gt;=3),"Rawan",IF(AND(E2716&lt;=2,F2716&lt;=2),"Tidur","Umum"))))))</f>
        <v/>
      </c>
    </row>
    <row r="2717">
      <c r="B2717">
        <f>IF(A2717="","",$B$1-MAXIFS(Donasi!$A$2:$A$20000,Donasi!$B$2:$B$20000,A2717))</f>
        <v/>
      </c>
      <c r="C2717">
        <f>IF(A2717="","",COUNTIF(Donasi!$B$2:$B$20000,A2717))</f>
        <v/>
      </c>
      <c r="D2717">
        <f>IF(A2717="","",SUMIF(Donasi!$B$2:$B$20000,A2717,Donasi!$C$2:$C$20000))</f>
        <v/>
      </c>
      <c r="E2717">
        <f>IF(A2717="","",6-CEILING(PERCENTRANK.INC($B$3:$B$6000,B2717,4)*5+0.000001,1))</f>
        <v/>
      </c>
      <c r="F2717">
        <f>IF(A2717="","",MAX(1,CEILING(PERCENTRANK.INC($C$3:$C$6000,C2717,4)*5+0.000001,1)))</f>
        <v/>
      </c>
      <c r="G2717">
        <f>IF(A2717="","",MAX(1,CEILING(PERCENTRANK.INC($D$3:$D$6000,D2717,4)*5+0.000001,1)))</f>
        <v/>
      </c>
      <c r="H2717">
        <f>IF(A2717="","",E2717&amp;F2717&amp;G2717)</f>
        <v/>
      </c>
      <c r="I2717">
        <f>IF(A2717="","",IF(AND(E2717&gt;=4,F2717&gt;=4,G2717&gt;=4),"Juara",IF(AND(F2717&gt;=4,E2717&gt;=3),"Setia",IF(AND(E2717=5,F2717&lt;=2,G2717&gt;=3),"Berpotensi",IF(AND(E2717&lt;=3,E2717&gt;=2,F2717&gt;=3),"Rawan",IF(AND(E2717&lt;=2,F2717&lt;=2),"Tidur","Umum"))))))</f>
        <v/>
      </c>
    </row>
    <row r="2718">
      <c r="B2718">
        <f>IF(A2718="","",$B$1-MAXIFS(Donasi!$A$2:$A$20000,Donasi!$B$2:$B$20000,A2718))</f>
        <v/>
      </c>
      <c r="C2718">
        <f>IF(A2718="","",COUNTIF(Donasi!$B$2:$B$20000,A2718))</f>
        <v/>
      </c>
      <c r="D2718">
        <f>IF(A2718="","",SUMIF(Donasi!$B$2:$B$20000,A2718,Donasi!$C$2:$C$20000))</f>
        <v/>
      </c>
      <c r="E2718">
        <f>IF(A2718="","",6-CEILING(PERCENTRANK.INC($B$3:$B$6000,B2718,4)*5+0.000001,1))</f>
        <v/>
      </c>
      <c r="F2718">
        <f>IF(A2718="","",MAX(1,CEILING(PERCENTRANK.INC($C$3:$C$6000,C2718,4)*5+0.000001,1)))</f>
        <v/>
      </c>
      <c r="G2718">
        <f>IF(A2718="","",MAX(1,CEILING(PERCENTRANK.INC($D$3:$D$6000,D2718,4)*5+0.000001,1)))</f>
        <v/>
      </c>
      <c r="H2718">
        <f>IF(A2718="","",E2718&amp;F2718&amp;G2718)</f>
        <v/>
      </c>
      <c r="I2718">
        <f>IF(A2718="","",IF(AND(E2718&gt;=4,F2718&gt;=4,G2718&gt;=4),"Juara",IF(AND(F2718&gt;=4,E2718&gt;=3),"Setia",IF(AND(E2718=5,F2718&lt;=2,G2718&gt;=3),"Berpotensi",IF(AND(E2718&lt;=3,E2718&gt;=2,F2718&gt;=3),"Rawan",IF(AND(E2718&lt;=2,F2718&lt;=2),"Tidur","Umum"))))))</f>
        <v/>
      </c>
    </row>
    <row r="2719">
      <c r="B2719">
        <f>IF(A2719="","",$B$1-MAXIFS(Donasi!$A$2:$A$20000,Donasi!$B$2:$B$20000,A2719))</f>
        <v/>
      </c>
      <c r="C2719">
        <f>IF(A2719="","",COUNTIF(Donasi!$B$2:$B$20000,A2719))</f>
        <v/>
      </c>
      <c r="D2719">
        <f>IF(A2719="","",SUMIF(Donasi!$B$2:$B$20000,A2719,Donasi!$C$2:$C$20000))</f>
        <v/>
      </c>
      <c r="E2719">
        <f>IF(A2719="","",6-CEILING(PERCENTRANK.INC($B$3:$B$6000,B2719,4)*5+0.000001,1))</f>
        <v/>
      </c>
      <c r="F2719">
        <f>IF(A2719="","",MAX(1,CEILING(PERCENTRANK.INC($C$3:$C$6000,C2719,4)*5+0.000001,1)))</f>
        <v/>
      </c>
      <c r="G2719">
        <f>IF(A2719="","",MAX(1,CEILING(PERCENTRANK.INC($D$3:$D$6000,D2719,4)*5+0.000001,1)))</f>
        <v/>
      </c>
      <c r="H2719">
        <f>IF(A2719="","",E2719&amp;F2719&amp;G2719)</f>
        <v/>
      </c>
      <c r="I2719">
        <f>IF(A2719="","",IF(AND(E2719&gt;=4,F2719&gt;=4,G2719&gt;=4),"Juara",IF(AND(F2719&gt;=4,E2719&gt;=3),"Setia",IF(AND(E2719=5,F2719&lt;=2,G2719&gt;=3),"Berpotensi",IF(AND(E2719&lt;=3,E2719&gt;=2,F2719&gt;=3),"Rawan",IF(AND(E2719&lt;=2,F2719&lt;=2),"Tidur","Umum"))))))</f>
        <v/>
      </c>
    </row>
    <row r="2720">
      <c r="B2720">
        <f>IF(A2720="","",$B$1-MAXIFS(Donasi!$A$2:$A$20000,Donasi!$B$2:$B$20000,A2720))</f>
        <v/>
      </c>
      <c r="C2720">
        <f>IF(A2720="","",COUNTIF(Donasi!$B$2:$B$20000,A2720))</f>
        <v/>
      </c>
      <c r="D2720">
        <f>IF(A2720="","",SUMIF(Donasi!$B$2:$B$20000,A2720,Donasi!$C$2:$C$20000))</f>
        <v/>
      </c>
      <c r="E2720">
        <f>IF(A2720="","",6-CEILING(PERCENTRANK.INC($B$3:$B$6000,B2720,4)*5+0.000001,1))</f>
        <v/>
      </c>
      <c r="F2720">
        <f>IF(A2720="","",MAX(1,CEILING(PERCENTRANK.INC($C$3:$C$6000,C2720,4)*5+0.000001,1)))</f>
        <v/>
      </c>
      <c r="G2720">
        <f>IF(A2720="","",MAX(1,CEILING(PERCENTRANK.INC($D$3:$D$6000,D2720,4)*5+0.000001,1)))</f>
        <v/>
      </c>
      <c r="H2720">
        <f>IF(A2720="","",E2720&amp;F2720&amp;G2720)</f>
        <v/>
      </c>
      <c r="I2720">
        <f>IF(A2720="","",IF(AND(E2720&gt;=4,F2720&gt;=4,G2720&gt;=4),"Juara",IF(AND(F2720&gt;=4,E2720&gt;=3),"Setia",IF(AND(E2720=5,F2720&lt;=2,G2720&gt;=3),"Berpotensi",IF(AND(E2720&lt;=3,E2720&gt;=2,F2720&gt;=3),"Rawan",IF(AND(E2720&lt;=2,F2720&lt;=2),"Tidur","Umum"))))))</f>
        <v/>
      </c>
    </row>
    <row r="2721">
      <c r="B2721">
        <f>IF(A2721="","",$B$1-MAXIFS(Donasi!$A$2:$A$20000,Donasi!$B$2:$B$20000,A2721))</f>
        <v/>
      </c>
      <c r="C2721">
        <f>IF(A2721="","",COUNTIF(Donasi!$B$2:$B$20000,A2721))</f>
        <v/>
      </c>
      <c r="D2721">
        <f>IF(A2721="","",SUMIF(Donasi!$B$2:$B$20000,A2721,Donasi!$C$2:$C$20000))</f>
        <v/>
      </c>
      <c r="E2721">
        <f>IF(A2721="","",6-CEILING(PERCENTRANK.INC($B$3:$B$6000,B2721,4)*5+0.000001,1))</f>
        <v/>
      </c>
      <c r="F2721">
        <f>IF(A2721="","",MAX(1,CEILING(PERCENTRANK.INC($C$3:$C$6000,C2721,4)*5+0.000001,1)))</f>
        <v/>
      </c>
      <c r="G2721">
        <f>IF(A2721="","",MAX(1,CEILING(PERCENTRANK.INC($D$3:$D$6000,D2721,4)*5+0.000001,1)))</f>
        <v/>
      </c>
      <c r="H2721">
        <f>IF(A2721="","",E2721&amp;F2721&amp;G2721)</f>
        <v/>
      </c>
      <c r="I2721">
        <f>IF(A2721="","",IF(AND(E2721&gt;=4,F2721&gt;=4,G2721&gt;=4),"Juara",IF(AND(F2721&gt;=4,E2721&gt;=3),"Setia",IF(AND(E2721=5,F2721&lt;=2,G2721&gt;=3),"Berpotensi",IF(AND(E2721&lt;=3,E2721&gt;=2,F2721&gt;=3),"Rawan",IF(AND(E2721&lt;=2,F2721&lt;=2),"Tidur","Umum"))))))</f>
        <v/>
      </c>
    </row>
    <row r="2722">
      <c r="B2722">
        <f>IF(A2722="","",$B$1-MAXIFS(Donasi!$A$2:$A$20000,Donasi!$B$2:$B$20000,A2722))</f>
        <v/>
      </c>
      <c r="C2722">
        <f>IF(A2722="","",COUNTIF(Donasi!$B$2:$B$20000,A2722))</f>
        <v/>
      </c>
      <c r="D2722">
        <f>IF(A2722="","",SUMIF(Donasi!$B$2:$B$20000,A2722,Donasi!$C$2:$C$20000))</f>
        <v/>
      </c>
      <c r="E2722">
        <f>IF(A2722="","",6-CEILING(PERCENTRANK.INC($B$3:$B$6000,B2722,4)*5+0.000001,1))</f>
        <v/>
      </c>
      <c r="F2722">
        <f>IF(A2722="","",MAX(1,CEILING(PERCENTRANK.INC($C$3:$C$6000,C2722,4)*5+0.000001,1)))</f>
        <v/>
      </c>
      <c r="G2722">
        <f>IF(A2722="","",MAX(1,CEILING(PERCENTRANK.INC($D$3:$D$6000,D2722,4)*5+0.000001,1)))</f>
        <v/>
      </c>
      <c r="H2722">
        <f>IF(A2722="","",E2722&amp;F2722&amp;G2722)</f>
        <v/>
      </c>
      <c r="I2722">
        <f>IF(A2722="","",IF(AND(E2722&gt;=4,F2722&gt;=4,G2722&gt;=4),"Juara",IF(AND(F2722&gt;=4,E2722&gt;=3),"Setia",IF(AND(E2722=5,F2722&lt;=2,G2722&gt;=3),"Berpotensi",IF(AND(E2722&lt;=3,E2722&gt;=2,F2722&gt;=3),"Rawan",IF(AND(E2722&lt;=2,F2722&lt;=2),"Tidur","Umum"))))))</f>
        <v/>
      </c>
    </row>
    <row r="2723">
      <c r="B2723">
        <f>IF(A2723="","",$B$1-MAXIFS(Donasi!$A$2:$A$20000,Donasi!$B$2:$B$20000,A2723))</f>
        <v/>
      </c>
      <c r="C2723">
        <f>IF(A2723="","",COUNTIF(Donasi!$B$2:$B$20000,A2723))</f>
        <v/>
      </c>
      <c r="D2723">
        <f>IF(A2723="","",SUMIF(Donasi!$B$2:$B$20000,A2723,Donasi!$C$2:$C$20000))</f>
        <v/>
      </c>
      <c r="E2723">
        <f>IF(A2723="","",6-CEILING(PERCENTRANK.INC($B$3:$B$6000,B2723,4)*5+0.000001,1))</f>
        <v/>
      </c>
      <c r="F2723">
        <f>IF(A2723="","",MAX(1,CEILING(PERCENTRANK.INC($C$3:$C$6000,C2723,4)*5+0.000001,1)))</f>
        <v/>
      </c>
      <c r="G2723">
        <f>IF(A2723="","",MAX(1,CEILING(PERCENTRANK.INC($D$3:$D$6000,D2723,4)*5+0.000001,1)))</f>
        <v/>
      </c>
      <c r="H2723">
        <f>IF(A2723="","",E2723&amp;F2723&amp;G2723)</f>
        <v/>
      </c>
      <c r="I2723">
        <f>IF(A2723="","",IF(AND(E2723&gt;=4,F2723&gt;=4,G2723&gt;=4),"Juara",IF(AND(F2723&gt;=4,E2723&gt;=3),"Setia",IF(AND(E2723=5,F2723&lt;=2,G2723&gt;=3),"Berpotensi",IF(AND(E2723&lt;=3,E2723&gt;=2,F2723&gt;=3),"Rawan",IF(AND(E2723&lt;=2,F2723&lt;=2),"Tidur","Umum"))))))</f>
        <v/>
      </c>
    </row>
    <row r="2724">
      <c r="B2724">
        <f>IF(A2724="","",$B$1-MAXIFS(Donasi!$A$2:$A$20000,Donasi!$B$2:$B$20000,A2724))</f>
        <v/>
      </c>
      <c r="C2724">
        <f>IF(A2724="","",COUNTIF(Donasi!$B$2:$B$20000,A2724))</f>
        <v/>
      </c>
      <c r="D2724">
        <f>IF(A2724="","",SUMIF(Donasi!$B$2:$B$20000,A2724,Donasi!$C$2:$C$20000))</f>
        <v/>
      </c>
      <c r="E2724">
        <f>IF(A2724="","",6-CEILING(PERCENTRANK.INC($B$3:$B$6000,B2724,4)*5+0.000001,1))</f>
        <v/>
      </c>
      <c r="F2724">
        <f>IF(A2724="","",MAX(1,CEILING(PERCENTRANK.INC($C$3:$C$6000,C2724,4)*5+0.000001,1)))</f>
        <v/>
      </c>
      <c r="G2724">
        <f>IF(A2724="","",MAX(1,CEILING(PERCENTRANK.INC($D$3:$D$6000,D2724,4)*5+0.000001,1)))</f>
        <v/>
      </c>
      <c r="H2724">
        <f>IF(A2724="","",E2724&amp;F2724&amp;G2724)</f>
        <v/>
      </c>
      <c r="I2724">
        <f>IF(A2724="","",IF(AND(E2724&gt;=4,F2724&gt;=4,G2724&gt;=4),"Juara",IF(AND(F2724&gt;=4,E2724&gt;=3),"Setia",IF(AND(E2724=5,F2724&lt;=2,G2724&gt;=3),"Berpotensi",IF(AND(E2724&lt;=3,E2724&gt;=2,F2724&gt;=3),"Rawan",IF(AND(E2724&lt;=2,F2724&lt;=2),"Tidur","Umum"))))))</f>
        <v/>
      </c>
    </row>
    <row r="2725">
      <c r="B2725">
        <f>IF(A2725="","",$B$1-MAXIFS(Donasi!$A$2:$A$20000,Donasi!$B$2:$B$20000,A2725))</f>
        <v/>
      </c>
      <c r="C2725">
        <f>IF(A2725="","",COUNTIF(Donasi!$B$2:$B$20000,A2725))</f>
        <v/>
      </c>
      <c r="D2725">
        <f>IF(A2725="","",SUMIF(Donasi!$B$2:$B$20000,A2725,Donasi!$C$2:$C$20000))</f>
        <v/>
      </c>
      <c r="E2725">
        <f>IF(A2725="","",6-CEILING(PERCENTRANK.INC($B$3:$B$6000,B2725,4)*5+0.000001,1))</f>
        <v/>
      </c>
      <c r="F2725">
        <f>IF(A2725="","",MAX(1,CEILING(PERCENTRANK.INC($C$3:$C$6000,C2725,4)*5+0.000001,1)))</f>
        <v/>
      </c>
      <c r="G2725">
        <f>IF(A2725="","",MAX(1,CEILING(PERCENTRANK.INC($D$3:$D$6000,D2725,4)*5+0.000001,1)))</f>
        <v/>
      </c>
      <c r="H2725">
        <f>IF(A2725="","",E2725&amp;F2725&amp;G2725)</f>
        <v/>
      </c>
      <c r="I2725">
        <f>IF(A2725="","",IF(AND(E2725&gt;=4,F2725&gt;=4,G2725&gt;=4),"Juara",IF(AND(F2725&gt;=4,E2725&gt;=3),"Setia",IF(AND(E2725=5,F2725&lt;=2,G2725&gt;=3),"Berpotensi",IF(AND(E2725&lt;=3,E2725&gt;=2,F2725&gt;=3),"Rawan",IF(AND(E2725&lt;=2,F2725&lt;=2),"Tidur","Umum"))))))</f>
        <v/>
      </c>
    </row>
    <row r="2726">
      <c r="B2726">
        <f>IF(A2726="","",$B$1-MAXIFS(Donasi!$A$2:$A$20000,Donasi!$B$2:$B$20000,A2726))</f>
        <v/>
      </c>
      <c r="C2726">
        <f>IF(A2726="","",COUNTIF(Donasi!$B$2:$B$20000,A2726))</f>
        <v/>
      </c>
      <c r="D2726">
        <f>IF(A2726="","",SUMIF(Donasi!$B$2:$B$20000,A2726,Donasi!$C$2:$C$20000))</f>
        <v/>
      </c>
      <c r="E2726">
        <f>IF(A2726="","",6-CEILING(PERCENTRANK.INC($B$3:$B$6000,B2726,4)*5+0.000001,1))</f>
        <v/>
      </c>
      <c r="F2726">
        <f>IF(A2726="","",MAX(1,CEILING(PERCENTRANK.INC($C$3:$C$6000,C2726,4)*5+0.000001,1)))</f>
        <v/>
      </c>
      <c r="G2726">
        <f>IF(A2726="","",MAX(1,CEILING(PERCENTRANK.INC($D$3:$D$6000,D2726,4)*5+0.000001,1)))</f>
        <v/>
      </c>
      <c r="H2726">
        <f>IF(A2726="","",E2726&amp;F2726&amp;G2726)</f>
        <v/>
      </c>
      <c r="I2726">
        <f>IF(A2726="","",IF(AND(E2726&gt;=4,F2726&gt;=4,G2726&gt;=4),"Juara",IF(AND(F2726&gt;=4,E2726&gt;=3),"Setia",IF(AND(E2726=5,F2726&lt;=2,G2726&gt;=3),"Berpotensi",IF(AND(E2726&lt;=3,E2726&gt;=2,F2726&gt;=3),"Rawan",IF(AND(E2726&lt;=2,F2726&lt;=2),"Tidur","Umum"))))))</f>
        <v/>
      </c>
    </row>
    <row r="2727">
      <c r="B2727">
        <f>IF(A2727="","",$B$1-MAXIFS(Donasi!$A$2:$A$20000,Donasi!$B$2:$B$20000,A2727))</f>
        <v/>
      </c>
      <c r="C2727">
        <f>IF(A2727="","",COUNTIF(Donasi!$B$2:$B$20000,A2727))</f>
        <v/>
      </c>
      <c r="D2727">
        <f>IF(A2727="","",SUMIF(Donasi!$B$2:$B$20000,A2727,Donasi!$C$2:$C$20000))</f>
        <v/>
      </c>
      <c r="E2727">
        <f>IF(A2727="","",6-CEILING(PERCENTRANK.INC($B$3:$B$6000,B2727,4)*5+0.000001,1))</f>
        <v/>
      </c>
      <c r="F2727">
        <f>IF(A2727="","",MAX(1,CEILING(PERCENTRANK.INC($C$3:$C$6000,C2727,4)*5+0.000001,1)))</f>
        <v/>
      </c>
      <c r="G2727">
        <f>IF(A2727="","",MAX(1,CEILING(PERCENTRANK.INC($D$3:$D$6000,D2727,4)*5+0.000001,1)))</f>
        <v/>
      </c>
      <c r="H2727">
        <f>IF(A2727="","",E2727&amp;F2727&amp;G2727)</f>
        <v/>
      </c>
      <c r="I2727">
        <f>IF(A2727="","",IF(AND(E2727&gt;=4,F2727&gt;=4,G2727&gt;=4),"Juara",IF(AND(F2727&gt;=4,E2727&gt;=3),"Setia",IF(AND(E2727=5,F2727&lt;=2,G2727&gt;=3),"Berpotensi",IF(AND(E2727&lt;=3,E2727&gt;=2,F2727&gt;=3),"Rawan",IF(AND(E2727&lt;=2,F2727&lt;=2),"Tidur","Umum"))))))</f>
        <v/>
      </c>
    </row>
    <row r="2728">
      <c r="B2728">
        <f>IF(A2728="","",$B$1-MAXIFS(Donasi!$A$2:$A$20000,Donasi!$B$2:$B$20000,A2728))</f>
        <v/>
      </c>
      <c r="C2728">
        <f>IF(A2728="","",COUNTIF(Donasi!$B$2:$B$20000,A2728))</f>
        <v/>
      </c>
      <c r="D2728">
        <f>IF(A2728="","",SUMIF(Donasi!$B$2:$B$20000,A2728,Donasi!$C$2:$C$20000))</f>
        <v/>
      </c>
      <c r="E2728">
        <f>IF(A2728="","",6-CEILING(PERCENTRANK.INC($B$3:$B$6000,B2728,4)*5+0.000001,1))</f>
        <v/>
      </c>
      <c r="F2728">
        <f>IF(A2728="","",MAX(1,CEILING(PERCENTRANK.INC($C$3:$C$6000,C2728,4)*5+0.000001,1)))</f>
        <v/>
      </c>
      <c r="G2728">
        <f>IF(A2728="","",MAX(1,CEILING(PERCENTRANK.INC($D$3:$D$6000,D2728,4)*5+0.000001,1)))</f>
        <v/>
      </c>
      <c r="H2728">
        <f>IF(A2728="","",E2728&amp;F2728&amp;G2728)</f>
        <v/>
      </c>
      <c r="I2728">
        <f>IF(A2728="","",IF(AND(E2728&gt;=4,F2728&gt;=4,G2728&gt;=4),"Juara",IF(AND(F2728&gt;=4,E2728&gt;=3),"Setia",IF(AND(E2728=5,F2728&lt;=2,G2728&gt;=3),"Berpotensi",IF(AND(E2728&lt;=3,E2728&gt;=2,F2728&gt;=3),"Rawan",IF(AND(E2728&lt;=2,F2728&lt;=2),"Tidur","Umum"))))))</f>
        <v/>
      </c>
    </row>
    <row r="2729">
      <c r="B2729">
        <f>IF(A2729="","",$B$1-MAXIFS(Donasi!$A$2:$A$20000,Donasi!$B$2:$B$20000,A2729))</f>
        <v/>
      </c>
      <c r="C2729">
        <f>IF(A2729="","",COUNTIF(Donasi!$B$2:$B$20000,A2729))</f>
        <v/>
      </c>
      <c r="D2729">
        <f>IF(A2729="","",SUMIF(Donasi!$B$2:$B$20000,A2729,Donasi!$C$2:$C$20000))</f>
        <v/>
      </c>
      <c r="E2729">
        <f>IF(A2729="","",6-CEILING(PERCENTRANK.INC($B$3:$B$6000,B2729,4)*5+0.000001,1))</f>
        <v/>
      </c>
      <c r="F2729">
        <f>IF(A2729="","",MAX(1,CEILING(PERCENTRANK.INC($C$3:$C$6000,C2729,4)*5+0.000001,1)))</f>
        <v/>
      </c>
      <c r="G2729">
        <f>IF(A2729="","",MAX(1,CEILING(PERCENTRANK.INC($D$3:$D$6000,D2729,4)*5+0.000001,1)))</f>
        <v/>
      </c>
      <c r="H2729">
        <f>IF(A2729="","",E2729&amp;F2729&amp;G2729)</f>
        <v/>
      </c>
      <c r="I2729">
        <f>IF(A2729="","",IF(AND(E2729&gt;=4,F2729&gt;=4,G2729&gt;=4),"Juara",IF(AND(F2729&gt;=4,E2729&gt;=3),"Setia",IF(AND(E2729=5,F2729&lt;=2,G2729&gt;=3),"Berpotensi",IF(AND(E2729&lt;=3,E2729&gt;=2,F2729&gt;=3),"Rawan",IF(AND(E2729&lt;=2,F2729&lt;=2),"Tidur","Umum"))))))</f>
        <v/>
      </c>
    </row>
    <row r="2730">
      <c r="B2730">
        <f>IF(A2730="","",$B$1-MAXIFS(Donasi!$A$2:$A$20000,Donasi!$B$2:$B$20000,A2730))</f>
        <v/>
      </c>
      <c r="C2730">
        <f>IF(A2730="","",COUNTIF(Donasi!$B$2:$B$20000,A2730))</f>
        <v/>
      </c>
      <c r="D2730">
        <f>IF(A2730="","",SUMIF(Donasi!$B$2:$B$20000,A2730,Donasi!$C$2:$C$20000))</f>
        <v/>
      </c>
      <c r="E2730">
        <f>IF(A2730="","",6-CEILING(PERCENTRANK.INC($B$3:$B$6000,B2730,4)*5+0.000001,1))</f>
        <v/>
      </c>
      <c r="F2730">
        <f>IF(A2730="","",MAX(1,CEILING(PERCENTRANK.INC($C$3:$C$6000,C2730,4)*5+0.000001,1)))</f>
        <v/>
      </c>
      <c r="G2730">
        <f>IF(A2730="","",MAX(1,CEILING(PERCENTRANK.INC($D$3:$D$6000,D2730,4)*5+0.000001,1)))</f>
        <v/>
      </c>
      <c r="H2730">
        <f>IF(A2730="","",E2730&amp;F2730&amp;G2730)</f>
        <v/>
      </c>
      <c r="I2730">
        <f>IF(A2730="","",IF(AND(E2730&gt;=4,F2730&gt;=4,G2730&gt;=4),"Juara",IF(AND(F2730&gt;=4,E2730&gt;=3),"Setia",IF(AND(E2730=5,F2730&lt;=2,G2730&gt;=3),"Berpotensi",IF(AND(E2730&lt;=3,E2730&gt;=2,F2730&gt;=3),"Rawan",IF(AND(E2730&lt;=2,F2730&lt;=2),"Tidur","Umum"))))))</f>
        <v/>
      </c>
    </row>
    <row r="2731">
      <c r="B2731">
        <f>IF(A2731="","",$B$1-MAXIFS(Donasi!$A$2:$A$20000,Donasi!$B$2:$B$20000,A2731))</f>
        <v/>
      </c>
      <c r="C2731">
        <f>IF(A2731="","",COUNTIF(Donasi!$B$2:$B$20000,A2731))</f>
        <v/>
      </c>
      <c r="D2731">
        <f>IF(A2731="","",SUMIF(Donasi!$B$2:$B$20000,A2731,Donasi!$C$2:$C$20000))</f>
        <v/>
      </c>
      <c r="E2731">
        <f>IF(A2731="","",6-CEILING(PERCENTRANK.INC($B$3:$B$6000,B2731,4)*5+0.000001,1))</f>
        <v/>
      </c>
      <c r="F2731">
        <f>IF(A2731="","",MAX(1,CEILING(PERCENTRANK.INC($C$3:$C$6000,C2731,4)*5+0.000001,1)))</f>
        <v/>
      </c>
      <c r="G2731">
        <f>IF(A2731="","",MAX(1,CEILING(PERCENTRANK.INC($D$3:$D$6000,D2731,4)*5+0.000001,1)))</f>
        <v/>
      </c>
      <c r="H2731">
        <f>IF(A2731="","",E2731&amp;F2731&amp;G2731)</f>
        <v/>
      </c>
      <c r="I2731">
        <f>IF(A2731="","",IF(AND(E2731&gt;=4,F2731&gt;=4,G2731&gt;=4),"Juara",IF(AND(F2731&gt;=4,E2731&gt;=3),"Setia",IF(AND(E2731=5,F2731&lt;=2,G2731&gt;=3),"Berpotensi",IF(AND(E2731&lt;=3,E2731&gt;=2,F2731&gt;=3),"Rawan",IF(AND(E2731&lt;=2,F2731&lt;=2),"Tidur","Umum"))))))</f>
        <v/>
      </c>
    </row>
    <row r="2732">
      <c r="B2732">
        <f>IF(A2732="","",$B$1-MAXIFS(Donasi!$A$2:$A$20000,Donasi!$B$2:$B$20000,A2732))</f>
        <v/>
      </c>
      <c r="C2732">
        <f>IF(A2732="","",COUNTIF(Donasi!$B$2:$B$20000,A2732))</f>
        <v/>
      </c>
      <c r="D2732">
        <f>IF(A2732="","",SUMIF(Donasi!$B$2:$B$20000,A2732,Donasi!$C$2:$C$20000))</f>
        <v/>
      </c>
      <c r="E2732">
        <f>IF(A2732="","",6-CEILING(PERCENTRANK.INC($B$3:$B$6000,B2732,4)*5+0.000001,1))</f>
        <v/>
      </c>
      <c r="F2732">
        <f>IF(A2732="","",MAX(1,CEILING(PERCENTRANK.INC($C$3:$C$6000,C2732,4)*5+0.000001,1)))</f>
        <v/>
      </c>
      <c r="G2732">
        <f>IF(A2732="","",MAX(1,CEILING(PERCENTRANK.INC($D$3:$D$6000,D2732,4)*5+0.000001,1)))</f>
        <v/>
      </c>
      <c r="H2732">
        <f>IF(A2732="","",E2732&amp;F2732&amp;G2732)</f>
        <v/>
      </c>
      <c r="I2732">
        <f>IF(A2732="","",IF(AND(E2732&gt;=4,F2732&gt;=4,G2732&gt;=4),"Juara",IF(AND(F2732&gt;=4,E2732&gt;=3),"Setia",IF(AND(E2732=5,F2732&lt;=2,G2732&gt;=3),"Berpotensi",IF(AND(E2732&lt;=3,E2732&gt;=2,F2732&gt;=3),"Rawan",IF(AND(E2732&lt;=2,F2732&lt;=2),"Tidur","Umum"))))))</f>
        <v/>
      </c>
    </row>
    <row r="2733">
      <c r="B2733">
        <f>IF(A2733="","",$B$1-MAXIFS(Donasi!$A$2:$A$20000,Donasi!$B$2:$B$20000,A2733))</f>
        <v/>
      </c>
      <c r="C2733">
        <f>IF(A2733="","",COUNTIF(Donasi!$B$2:$B$20000,A2733))</f>
        <v/>
      </c>
      <c r="D2733">
        <f>IF(A2733="","",SUMIF(Donasi!$B$2:$B$20000,A2733,Donasi!$C$2:$C$20000))</f>
        <v/>
      </c>
      <c r="E2733">
        <f>IF(A2733="","",6-CEILING(PERCENTRANK.INC($B$3:$B$6000,B2733,4)*5+0.000001,1))</f>
        <v/>
      </c>
      <c r="F2733">
        <f>IF(A2733="","",MAX(1,CEILING(PERCENTRANK.INC($C$3:$C$6000,C2733,4)*5+0.000001,1)))</f>
        <v/>
      </c>
      <c r="G2733">
        <f>IF(A2733="","",MAX(1,CEILING(PERCENTRANK.INC($D$3:$D$6000,D2733,4)*5+0.000001,1)))</f>
        <v/>
      </c>
      <c r="H2733">
        <f>IF(A2733="","",E2733&amp;F2733&amp;G2733)</f>
        <v/>
      </c>
      <c r="I2733">
        <f>IF(A2733="","",IF(AND(E2733&gt;=4,F2733&gt;=4,G2733&gt;=4),"Juara",IF(AND(F2733&gt;=4,E2733&gt;=3),"Setia",IF(AND(E2733=5,F2733&lt;=2,G2733&gt;=3),"Berpotensi",IF(AND(E2733&lt;=3,E2733&gt;=2,F2733&gt;=3),"Rawan",IF(AND(E2733&lt;=2,F2733&lt;=2),"Tidur","Umum"))))))</f>
        <v/>
      </c>
    </row>
    <row r="2734">
      <c r="B2734">
        <f>IF(A2734="","",$B$1-MAXIFS(Donasi!$A$2:$A$20000,Donasi!$B$2:$B$20000,A2734))</f>
        <v/>
      </c>
      <c r="C2734">
        <f>IF(A2734="","",COUNTIF(Donasi!$B$2:$B$20000,A2734))</f>
        <v/>
      </c>
      <c r="D2734">
        <f>IF(A2734="","",SUMIF(Donasi!$B$2:$B$20000,A2734,Donasi!$C$2:$C$20000))</f>
        <v/>
      </c>
      <c r="E2734">
        <f>IF(A2734="","",6-CEILING(PERCENTRANK.INC($B$3:$B$6000,B2734,4)*5+0.000001,1))</f>
        <v/>
      </c>
      <c r="F2734">
        <f>IF(A2734="","",MAX(1,CEILING(PERCENTRANK.INC($C$3:$C$6000,C2734,4)*5+0.000001,1)))</f>
        <v/>
      </c>
      <c r="G2734">
        <f>IF(A2734="","",MAX(1,CEILING(PERCENTRANK.INC($D$3:$D$6000,D2734,4)*5+0.000001,1)))</f>
        <v/>
      </c>
      <c r="H2734">
        <f>IF(A2734="","",E2734&amp;F2734&amp;G2734)</f>
        <v/>
      </c>
      <c r="I2734">
        <f>IF(A2734="","",IF(AND(E2734&gt;=4,F2734&gt;=4,G2734&gt;=4),"Juara",IF(AND(F2734&gt;=4,E2734&gt;=3),"Setia",IF(AND(E2734=5,F2734&lt;=2,G2734&gt;=3),"Berpotensi",IF(AND(E2734&lt;=3,E2734&gt;=2,F2734&gt;=3),"Rawan",IF(AND(E2734&lt;=2,F2734&lt;=2),"Tidur","Umum"))))))</f>
        <v/>
      </c>
    </row>
    <row r="2735">
      <c r="B2735">
        <f>IF(A2735="","",$B$1-MAXIFS(Donasi!$A$2:$A$20000,Donasi!$B$2:$B$20000,A2735))</f>
        <v/>
      </c>
      <c r="C2735">
        <f>IF(A2735="","",COUNTIF(Donasi!$B$2:$B$20000,A2735))</f>
        <v/>
      </c>
      <c r="D2735">
        <f>IF(A2735="","",SUMIF(Donasi!$B$2:$B$20000,A2735,Donasi!$C$2:$C$20000))</f>
        <v/>
      </c>
      <c r="E2735">
        <f>IF(A2735="","",6-CEILING(PERCENTRANK.INC($B$3:$B$6000,B2735,4)*5+0.000001,1))</f>
        <v/>
      </c>
      <c r="F2735">
        <f>IF(A2735="","",MAX(1,CEILING(PERCENTRANK.INC($C$3:$C$6000,C2735,4)*5+0.000001,1)))</f>
        <v/>
      </c>
      <c r="G2735">
        <f>IF(A2735="","",MAX(1,CEILING(PERCENTRANK.INC($D$3:$D$6000,D2735,4)*5+0.000001,1)))</f>
        <v/>
      </c>
      <c r="H2735">
        <f>IF(A2735="","",E2735&amp;F2735&amp;G2735)</f>
        <v/>
      </c>
      <c r="I2735">
        <f>IF(A2735="","",IF(AND(E2735&gt;=4,F2735&gt;=4,G2735&gt;=4),"Juara",IF(AND(F2735&gt;=4,E2735&gt;=3),"Setia",IF(AND(E2735=5,F2735&lt;=2,G2735&gt;=3),"Berpotensi",IF(AND(E2735&lt;=3,E2735&gt;=2,F2735&gt;=3),"Rawan",IF(AND(E2735&lt;=2,F2735&lt;=2),"Tidur","Umum"))))))</f>
        <v/>
      </c>
    </row>
    <row r="2736">
      <c r="B2736">
        <f>IF(A2736="","",$B$1-MAXIFS(Donasi!$A$2:$A$20000,Donasi!$B$2:$B$20000,A2736))</f>
        <v/>
      </c>
      <c r="C2736">
        <f>IF(A2736="","",COUNTIF(Donasi!$B$2:$B$20000,A2736))</f>
        <v/>
      </c>
      <c r="D2736">
        <f>IF(A2736="","",SUMIF(Donasi!$B$2:$B$20000,A2736,Donasi!$C$2:$C$20000))</f>
        <v/>
      </c>
      <c r="E2736">
        <f>IF(A2736="","",6-CEILING(PERCENTRANK.INC($B$3:$B$6000,B2736,4)*5+0.000001,1))</f>
        <v/>
      </c>
      <c r="F2736">
        <f>IF(A2736="","",MAX(1,CEILING(PERCENTRANK.INC($C$3:$C$6000,C2736,4)*5+0.000001,1)))</f>
        <v/>
      </c>
      <c r="G2736">
        <f>IF(A2736="","",MAX(1,CEILING(PERCENTRANK.INC($D$3:$D$6000,D2736,4)*5+0.000001,1)))</f>
        <v/>
      </c>
      <c r="H2736">
        <f>IF(A2736="","",E2736&amp;F2736&amp;G2736)</f>
        <v/>
      </c>
      <c r="I2736">
        <f>IF(A2736="","",IF(AND(E2736&gt;=4,F2736&gt;=4,G2736&gt;=4),"Juara",IF(AND(F2736&gt;=4,E2736&gt;=3),"Setia",IF(AND(E2736=5,F2736&lt;=2,G2736&gt;=3),"Berpotensi",IF(AND(E2736&lt;=3,E2736&gt;=2,F2736&gt;=3),"Rawan",IF(AND(E2736&lt;=2,F2736&lt;=2),"Tidur","Umum"))))))</f>
        <v/>
      </c>
    </row>
    <row r="2737">
      <c r="B2737">
        <f>IF(A2737="","",$B$1-MAXIFS(Donasi!$A$2:$A$20000,Donasi!$B$2:$B$20000,A2737))</f>
        <v/>
      </c>
      <c r="C2737">
        <f>IF(A2737="","",COUNTIF(Donasi!$B$2:$B$20000,A2737))</f>
        <v/>
      </c>
      <c r="D2737">
        <f>IF(A2737="","",SUMIF(Donasi!$B$2:$B$20000,A2737,Donasi!$C$2:$C$20000))</f>
        <v/>
      </c>
      <c r="E2737">
        <f>IF(A2737="","",6-CEILING(PERCENTRANK.INC($B$3:$B$6000,B2737,4)*5+0.000001,1))</f>
        <v/>
      </c>
      <c r="F2737">
        <f>IF(A2737="","",MAX(1,CEILING(PERCENTRANK.INC($C$3:$C$6000,C2737,4)*5+0.000001,1)))</f>
        <v/>
      </c>
      <c r="G2737">
        <f>IF(A2737="","",MAX(1,CEILING(PERCENTRANK.INC($D$3:$D$6000,D2737,4)*5+0.000001,1)))</f>
        <v/>
      </c>
      <c r="H2737">
        <f>IF(A2737="","",E2737&amp;F2737&amp;G2737)</f>
        <v/>
      </c>
      <c r="I2737">
        <f>IF(A2737="","",IF(AND(E2737&gt;=4,F2737&gt;=4,G2737&gt;=4),"Juara",IF(AND(F2737&gt;=4,E2737&gt;=3),"Setia",IF(AND(E2737=5,F2737&lt;=2,G2737&gt;=3),"Berpotensi",IF(AND(E2737&lt;=3,E2737&gt;=2,F2737&gt;=3),"Rawan",IF(AND(E2737&lt;=2,F2737&lt;=2),"Tidur","Umum"))))))</f>
        <v/>
      </c>
    </row>
    <row r="2738">
      <c r="B2738">
        <f>IF(A2738="","",$B$1-MAXIFS(Donasi!$A$2:$A$20000,Donasi!$B$2:$B$20000,A2738))</f>
        <v/>
      </c>
      <c r="C2738">
        <f>IF(A2738="","",COUNTIF(Donasi!$B$2:$B$20000,A2738))</f>
        <v/>
      </c>
      <c r="D2738">
        <f>IF(A2738="","",SUMIF(Donasi!$B$2:$B$20000,A2738,Donasi!$C$2:$C$20000))</f>
        <v/>
      </c>
      <c r="E2738">
        <f>IF(A2738="","",6-CEILING(PERCENTRANK.INC($B$3:$B$6000,B2738,4)*5+0.000001,1))</f>
        <v/>
      </c>
      <c r="F2738">
        <f>IF(A2738="","",MAX(1,CEILING(PERCENTRANK.INC($C$3:$C$6000,C2738,4)*5+0.000001,1)))</f>
        <v/>
      </c>
      <c r="G2738">
        <f>IF(A2738="","",MAX(1,CEILING(PERCENTRANK.INC($D$3:$D$6000,D2738,4)*5+0.000001,1)))</f>
        <v/>
      </c>
      <c r="H2738">
        <f>IF(A2738="","",E2738&amp;F2738&amp;G2738)</f>
        <v/>
      </c>
      <c r="I2738">
        <f>IF(A2738="","",IF(AND(E2738&gt;=4,F2738&gt;=4,G2738&gt;=4),"Juara",IF(AND(F2738&gt;=4,E2738&gt;=3),"Setia",IF(AND(E2738=5,F2738&lt;=2,G2738&gt;=3),"Berpotensi",IF(AND(E2738&lt;=3,E2738&gt;=2,F2738&gt;=3),"Rawan",IF(AND(E2738&lt;=2,F2738&lt;=2),"Tidur","Umum"))))))</f>
        <v/>
      </c>
    </row>
    <row r="2739">
      <c r="B2739">
        <f>IF(A2739="","",$B$1-MAXIFS(Donasi!$A$2:$A$20000,Donasi!$B$2:$B$20000,A2739))</f>
        <v/>
      </c>
      <c r="C2739">
        <f>IF(A2739="","",COUNTIF(Donasi!$B$2:$B$20000,A2739))</f>
        <v/>
      </c>
      <c r="D2739">
        <f>IF(A2739="","",SUMIF(Donasi!$B$2:$B$20000,A2739,Donasi!$C$2:$C$20000))</f>
        <v/>
      </c>
      <c r="E2739">
        <f>IF(A2739="","",6-CEILING(PERCENTRANK.INC($B$3:$B$6000,B2739,4)*5+0.000001,1))</f>
        <v/>
      </c>
      <c r="F2739">
        <f>IF(A2739="","",MAX(1,CEILING(PERCENTRANK.INC($C$3:$C$6000,C2739,4)*5+0.000001,1)))</f>
        <v/>
      </c>
      <c r="G2739">
        <f>IF(A2739="","",MAX(1,CEILING(PERCENTRANK.INC($D$3:$D$6000,D2739,4)*5+0.000001,1)))</f>
        <v/>
      </c>
      <c r="H2739">
        <f>IF(A2739="","",E2739&amp;F2739&amp;G2739)</f>
        <v/>
      </c>
      <c r="I2739">
        <f>IF(A2739="","",IF(AND(E2739&gt;=4,F2739&gt;=4,G2739&gt;=4),"Juara",IF(AND(F2739&gt;=4,E2739&gt;=3),"Setia",IF(AND(E2739=5,F2739&lt;=2,G2739&gt;=3),"Berpotensi",IF(AND(E2739&lt;=3,E2739&gt;=2,F2739&gt;=3),"Rawan",IF(AND(E2739&lt;=2,F2739&lt;=2),"Tidur","Umum"))))))</f>
        <v/>
      </c>
    </row>
    <row r="2740">
      <c r="B2740">
        <f>IF(A2740="","",$B$1-MAXIFS(Donasi!$A$2:$A$20000,Donasi!$B$2:$B$20000,A2740))</f>
        <v/>
      </c>
      <c r="C2740">
        <f>IF(A2740="","",COUNTIF(Donasi!$B$2:$B$20000,A2740))</f>
        <v/>
      </c>
      <c r="D2740">
        <f>IF(A2740="","",SUMIF(Donasi!$B$2:$B$20000,A2740,Donasi!$C$2:$C$20000))</f>
        <v/>
      </c>
      <c r="E2740">
        <f>IF(A2740="","",6-CEILING(PERCENTRANK.INC($B$3:$B$6000,B2740,4)*5+0.000001,1))</f>
        <v/>
      </c>
      <c r="F2740">
        <f>IF(A2740="","",MAX(1,CEILING(PERCENTRANK.INC($C$3:$C$6000,C2740,4)*5+0.000001,1)))</f>
        <v/>
      </c>
      <c r="G2740">
        <f>IF(A2740="","",MAX(1,CEILING(PERCENTRANK.INC($D$3:$D$6000,D2740,4)*5+0.000001,1)))</f>
        <v/>
      </c>
      <c r="H2740">
        <f>IF(A2740="","",E2740&amp;F2740&amp;G2740)</f>
        <v/>
      </c>
      <c r="I2740">
        <f>IF(A2740="","",IF(AND(E2740&gt;=4,F2740&gt;=4,G2740&gt;=4),"Juara",IF(AND(F2740&gt;=4,E2740&gt;=3),"Setia",IF(AND(E2740=5,F2740&lt;=2,G2740&gt;=3),"Berpotensi",IF(AND(E2740&lt;=3,E2740&gt;=2,F2740&gt;=3),"Rawan",IF(AND(E2740&lt;=2,F2740&lt;=2),"Tidur","Umum"))))))</f>
        <v/>
      </c>
    </row>
    <row r="2741">
      <c r="B2741">
        <f>IF(A2741="","",$B$1-MAXIFS(Donasi!$A$2:$A$20000,Donasi!$B$2:$B$20000,A2741))</f>
        <v/>
      </c>
      <c r="C2741">
        <f>IF(A2741="","",COUNTIF(Donasi!$B$2:$B$20000,A2741))</f>
        <v/>
      </c>
      <c r="D2741">
        <f>IF(A2741="","",SUMIF(Donasi!$B$2:$B$20000,A2741,Donasi!$C$2:$C$20000))</f>
        <v/>
      </c>
      <c r="E2741">
        <f>IF(A2741="","",6-CEILING(PERCENTRANK.INC($B$3:$B$6000,B2741,4)*5+0.000001,1))</f>
        <v/>
      </c>
      <c r="F2741">
        <f>IF(A2741="","",MAX(1,CEILING(PERCENTRANK.INC($C$3:$C$6000,C2741,4)*5+0.000001,1)))</f>
        <v/>
      </c>
      <c r="G2741">
        <f>IF(A2741="","",MAX(1,CEILING(PERCENTRANK.INC($D$3:$D$6000,D2741,4)*5+0.000001,1)))</f>
        <v/>
      </c>
      <c r="H2741">
        <f>IF(A2741="","",E2741&amp;F2741&amp;G2741)</f>
        <v/>
      </c>
      <c r="I2741">
        <f>IF(A2741="","",IF(AND(E2741&gt;=4,F2741&gt;=4,G2741&gt;=4),"Juara",IF(AND(F2741&gt;=4,E2741&gt;=3),"Setia",IF(AND(E2741=5,F2741&lt;=2,G2741&gt;=3),"Berpotensi",IF(AND(E2741&lt;=3,E2741&gt;=2,F2741&gt;=3),"Rawan",IF(AND(E2741&lt;=2,F2741&lt;=2),"Tidur","Umum"))))))</f>
        <v/>
      </c>
    </row>
    <row r="2742">
      <c r="B2742">
        <f>IF(A2742="","",$B$1-MAXIFS(Donasi!$A$2:$A$20000,Donasi!$B$2:$B$20000,A2742))</f>
        <v/>
      </c>
      <c r="C2742">
        <f>IF(A2742="","",COUNTIF(Donasi!$B$2:$B$20000,A2742))</f>
        <v/>
      </c>
      <c r="D2742">
        <f>IF(A2742="","",SUMIF(Donasi!$B$2:$B$20000,A2742,Donasi!$C$2:$C$20000))</f>
        <v/>
      </c>
      <c r="E2742">
        <f>IF(A2742="","",6-CEILING(PERCENTRANK.INC($B$3:$B$6000,B2742,4)*5+0.000001,1))</f>
        <v/>
      </c>
      <c r="F2742">
        <f>IF(A2742="","",MAX(1,CEILING(PERCENTRANK.INC($C$3:$C$6000,C2742,4)*5+0.000001,1)))</f>
        <v/>
      </c>
      <c r="G2742">
        <f>IF(A2742="","",MAX(1,CEILING(PERCENTRANK.INC($D$3:$D$6000,D2742,4)*5+0.000001,1)))</f>
        <v/>
      </c>
      <c r="H2742">
        <f>IF(A2742="","",E2742&amp;F2742&amp;G2742)</f>
        <v/>
      </c>
      <c r="I2742">
        <f>IF(A2742="","",IF(AND(E2742&gt;=4,F2742&gt;=4,G2742&gt;=4),"Juara",IF(AND(F2742&gt;=4,E2742&gt;=3),"Setia",IF(AND(E2742=5,F2742&lt;=2,G2742&gt;=3),"Berpotensi",IF(AND(E2742&lt;=3,E2742&gt;=2,F2742&gt;=3),"Rawan",IF(AND(E2742&lt;=2,F2742&lt;=2),"Tidur","Umum"))))))</f>
        <v/>
      </c>
    </row>
    <row r="2743">
      <c r="B2743">
        <f>IF(A2743="","",$B$1-MAXIFS(Donasi!$A$2:$A$20000,Donasi!$B$2:$B$20000,A2743))</f>
        <v/>
      </c>
      <c r="C2743">
        <f>IF(A2743="","",COUNTIF(Donasi!$B$2:$B$20000,A2743))</f>
        <v/>
      </c>
      <c r="D2743">
        <f>IF(A2743="","",SUMIF(Donasi!$B$2:$B$20000,A2743,Donasi!$C$2:$C$20000))</f>
        <v/>
      </c>
      <c r="E2743">
        <f>IF(A2743="","",6-CEILING(PERCENTRANK.INC($B$3:$B$6000,B2743,4)*5+0.000001,1))</f>
        <v/>
      </c>
      <c r="F2743">
        <f>IF(A2743="","",MAX(1,CEILING(PERCENTRANK.INC($C$3:$C$6000,C2743,4)*5+0.000001,1)))</f>
        <v/>
      </c>
      <c r="G2743">
        <f>IF(A2743="","",MAX(1,CEILING(PERCENTRANK.INC($D$3:$D$6000,D2743,4)*5+0.000001,1)))</f>
        <v/>
      </c>
      <c r="H2743">
        <f>IF(A2743="","",E2743&amp;F2743&amp;G2743)</f>
        <v/>
      </c>
      <c r="I2743">
        <f>IF(A2743="","",IF(AND(E2743&gt;=4,F2743&gt;=4,G2743&gt;=4),"Juara",IF(AND(F2743&gt;=4,E2743&gt;=3),"Setia",IF(AND(E2743=5,F2743&lt;=2,G2743&gt;=3),"Berpotensi",IF(AND(E2743&lt;=3,E2743&gt;=2,F2743&gt;=3),"Rawan",IF(AND(E2743&lt;=2,F2743&lt;=2),"Tidur","Umum"))))))</f>
        <v/>
      </c>
    </row>
    <row r="2744">
      <c r="B2744">
        <f>IF(A2744="","",$B$1-MAXIFS(Donasi!$A$2:$A$20000,Donasi!$B$2:$B$20000,A2744))</f>
        <v/>
      </c>
      <c r="C2744">
        <f>IF(A2744="","",COUNTIF(Donasi!$B$2:$B$20000,A2744))</f>
        <v/>
      </c>
      <c r="D2744">
        <f>IF(A2744="","",SUMIF(Donasi!$B$2:$B$20000,A2744,Donasi!$C$2:$C$20000))</f>
        <v/>
      </c>
      <c r="E2744">
        <f>IF(A2744="","",6-CEILING(PERCENTRANK.INC($B$3:$B$6000,B2744,4)*5+0.000001,1))</f>
        <v/>
      </c>
      <c r="F2744">
        <f>IF(A2744="","",MAX(1,CEILING(PERCENTRANK.INC($C$3:$C$6000,C2744,4)*5+0.000001,1)))</f>
        <v/>
      </c>
      <c r="G2744">
        <f>IF(A2744="","",MAX(1,CEILING(PERCENTRANK.INC($D$3:$D$6000,D2744,4)*5+0.000001,1)))</f>
        <v/>
      </c>
      <c r="H2744">
        <f>IF(A2744="","",E2744&amp;F2744&amp;G2744)</f>
        <v/>
      </c>
      <c r="I2744">
        <f>IF(A2744="","",IF(AND(E2744&gt;=4,F2744&gt;=4,G2744&gt;=4),"Juara",IF(AND(F2744&gt;=4,E2744&gt;=3),"Setia",IF(AND(E2744=5,F2744&lt;=2,G2744&gt;=3),"Berpotensi",IF(AND(E2744&lt;=3,E2744&gt;=2,F2744&gt;=3),"Rawan",IF(AND(E2744&lt;=2,F2744&lt;=2),"Tidur","Umum"))))))</f>
        <v/>
      </c>
    </row>
    <row r="2745">
      <c r="B2745">
        <f>IF(A2745="","",$B$1-MAXIFS(Donasi!$A$2:$A$20000,Donasi!$B$2:$B$20000,A2745))</f>
        <v/>
      </c>
      <c r="C2745">
        <f>IF(A2745="","",COUNTIF(Donasi!$B$2:$B$20000,A2745))</f>
        <v/>
      </c>
      <c r="D2745">
        <f>IF(A2745="","",SUMIF(Donasi!$B$2:$B$20000,A2745,Donasi!$C$2:$C$20000))</f>
        <v/>
      </c>
      <c r="E2745">
        <f>IF(A2745="","",6-CEILING(PERCENTRANK.INC($B$3:$B$6000,B2745,4)*5+0.000001,1))</f>
        <v/>
      </c>
      <c r="F2745">
        <f>IF(A2745="","",MAX(1,CEILING(PERCENTRANK.INC($C$3:$C$6000,C2745,4)*5+0.000001,1)))</f>
        <v/>
      </c>
      <c r="G2745">
        <f>IF(A2745="","",MAX(1,CEILING(PERCENTRANK.INC($D$3:$D$6000,D2745,4)*5+0.000001,1)))</f>
        <v/>
      </c>
      <c r="H2745">
        <f>IF(A2745="","",E2745&amp;F2745&amp;G2745)</f>
        <v/>
      </c>
      <c r="I2745">
        <f>IF(A2745="","",IF(AND(E2745&gt;=4,F2745&gt;=4,G2745&gt;=4),"Juara",IF(AND(F2745&gt;=4,E2745&gt;=3),"Setia",IF(AND(E2745=5,F2745&lt;=2,G2745&gt;=3),"Berpotensi",IF(AND(E2745&lt;=3,E2745&gt;=2,F2745&gt;=3),"Rawan",IF(AND(E2745&lt;=2,F2745&lt;=2),"Tidur","Umum"))))))</f>
        <v/>
      </c>
    </row>
    <row r="2746">
      <c r="B2746">
        <f>IF(A2746="","",$B$1-MAXIFS(Donasi!$A$2:$A$20000,Donasi!$B$2:$B$20000,A2746))</f>
        <v/>
      </c>
      <c r="C2746">
        <f>IF(A2746="","",COUNTIF(Donasi!$B$2:$B$20000,A2746))</f>
        <v/>
      </c>
      <c r="D2746">
        <f>IF(A2746="","",SUMIF(Donasi!$B$2:$B$20000,A2746,Donasi!$C$2:$C$20000))</f>
        <v/>
      </c>
      <c r="E2746">
        <f>IF(A2746="","",6-CEILING(PERCENTRANK.INC($B$3:$B$6000,B2746,4)*5+0.000001,1))</f>
        <v/>
      </c>
      <c r="F2746">
        <f>IF(A2746="","",MAX(1,CEILING(PERCENTRANK.INC($C$3:$C$6000,C2746,4)*5+0.000001,1)))</f>
        <v/>
      </c>
      <c r="G2746">
        <f>IF(A2746="","",MAX(1,CEILING(PERCENTRANK.INC($D$3:$D$6000,D2746,4)*5+0.000001,1)))</f>
        <v/>
      </c>
      <c r="H2746">
        <f>IF(A2746="","",E2746&amp;F2746&amp;G2746)</f>
        <v/>
      </c>
      <c r="I2746">
        <f>IF(A2746="","",IF(AND(E2746&gt;=4,F2746&gt;=4,G2746&gt;=4),"Juara",IF(AND(F2746&gt;=4,E2746&gt;=3),"Setia",IF(AND(E2746=5,F2746&lt;=2,G2746&gt;=3),"Berpotensi",IF(AND(E2746&lt;=3,E2746&gt;=2,F2746&gt;=3),"Rawan",IF(AND(E2746&lt;=2,F2746&lt;=2),"Tidur","Umum"))))))</f>
        <v/>
      </c>
    </row>
    <row r="2747">
      <c r="B2747">
        <f>IF(A2747="","",$B$1-MAXIFS(Donasi!$A$2:$A$20000,Donasi!$B$2:$B$20000,A2747))</f>
        <v/>
      </c>
      <c r="C2747">
        <f>IF(A2747="","",COUNTIF(Donasi!$B$2:$B$20000,A2747))</f>
        <v/>
      </c>
      <c r="D2747">
        <f>IF(A2747="","",SUMIF(Donasi!$B$2:$B$20000,A2747,Donasi!$C$2:$C$20000))</f>
        <v/>
      </c>
      <c r="E2747">
        <f>IF(A2747="","",6-CEILING(PERCENTRANK.INC($B$3:$B$6000,B2747,4)*5+0.000001,1))</f>
        <v/>
      </c>
      <c r="F2747">
        <f>IF(A2747="","",MAX(1,CEILING(PERCENTRANK.INC($C$3:$C$6000,C2747,4)*5+0.000001,1)))</f>
        <v/>
      </c>
      <c r="G2747">
        <f>IF(A2747="","",MAX(1,CEILING(PERCENTRANK.INC($D$3:$D$6000,D2747,4)*5+0.000001,1)))</f>
        <v/>
      </c>
      <c r="H2747">
        <f>IF(A2747="","",E2747&amp;F2747&amp;G2747)</f>
        <v/>
      </c>
      <c r="I2747">
        <f>IF(A2747="","",IF(AND(E2747&gt;=4,F2747&gt;=4,G2747&gt;=4),"Juara",IF(AND(F2747&gt;=4,E2747&gt;=3),"Setia",IF(AND(E2747=5,F2747&lt;=2,G2747&gt;=3),"Berpotensi",IF(AND(E2747&lt;=3,E2747&gt;=2,F2747&gt;=3),"Rawan",IF(AND(E2747&lt;=2,F2747&lt;=2),"Tidur","Umum"))))))</f>
        <v/>
      </c>
    </row>
    <row r="2748">
      <c r="B2748">
        <f>IF(A2748="","",$B$1-MAXIFS(Donasi!$A$2:$A$20000,Donasi!$B$2:$B$20000,A2748))</f>
        <v/>
      </c>
      <c r="C2748">
        <f>IF(A2748="","",COUNTIF(Donasi!$B$2:$B$20000,A2748))</f>
        <v/>
      </c>
      <c r="D2748">
        <f>IF(A2748="","",SUMIF(Donasi!$B$2:$B$20000,A2748,Donasi!$C$2:$C$20000))</f>
        <v/>
      </c>
      <c r="E2748">
        <f>IF(A2748="","",6-CEILING(PERCENTRANK.INC($B$3:$B$6000,B2748,4)*5+0.000001,1))</f>
        <v/>
      </c>
      <c r="F2748">
        <f>IF(A2748="","",MAX(1,CEILING(PERCENTRANK.INC($C$3:$C$6000,C2748,4)*5+0.000001,1)))</f>
        <v/>
      </c>
      <c r="G2748">
        <f>IF(A2748="","",MAX(1,CEILING(PERCENTRANK.INC($D$3:$D$6000,D2748,4)*5+0.000001,1)))</f>
        <v/>
      </c>
      <c r="H2748">
        <f>IF(A2748="","",E2748&amp;F2748&amp;G2748)</f>
        <v/>
      </c>
      <c r="I2748">
        <f>IF(A2748="","",IF(AND(E2748&gt;=4,F2748&gt;=4,G2748&gt;=4),"Juara",IF(AND(F2748&gt;=4,E2748&gt;=3),"Setia",IF(AND(E2748=5,F2748&lt;=2,G2748&gt;=3),"Berpotensi",IF(AND(E2748&lt;=3,E2748&gt;=2,F2748&gt;=3),"Rawan",IF(AND(E2748&lt;=2,F2748&lt;=2),"Tidur","Umum"))))))</f>
        <v/>
      </c>
    </row>
    <row r="2749">
      <c r="B2749">
        <f>IF(A2749="","",$B$1-MAXIFS(Donasi!$A$2:$A$20000,Donasi!$B$2:$B$20000,A2749))</f>
        <v/>
      </c>
      <c r="C2749">
        <f>IF(A2749="","",COUNTIF(Donasi!$B$2:$B$20000,A2749))</f>
        <v/>
      </c>
      <c r="D2749">
        <f>IF(A2749="","",SUMIF(Donasi!$B$2:$B$20000,A2749,Donasi!$C$2:$C$20000))</f>
        <v/>
      </c>
      <c r="E2749">
        <f>IF(A2749="","",6-CEILING(PERCENTRANK.INC($B$3:$B$6000,B2749,4)*5+0.000001,1))</f>
        <v/>
      </c>
      <c r="F2749">
        <f>IF(A2749="","",MAX(1,CEILING(PERCENTRANK.INC($C$3:$C$6000,C2749,4)*5+0.000001,1)))</f>
        <v/>
      </c>
      <c r="G2749">
        <f>IF(A2749="","",MAX(1,CEILING(PERCENTRANK.INC($D$3:$D$6000,D2749,4)*5+0.000001,1)))</f>
        <v/>
      </c>
      <c r="H2749">
        <f>IF(A2749="","",E2749&amp;F2749&amp;G2749)</f>
        <v/>
      </c>
      <c r="I2749">
        <f>IF(A2749="","",IF(AND(E2749&gt;=4,F2749&gt;=4,G2749&gt;=4),"Juara",IF(AND(F2749&gt;=4,E2749&gt;=3),"Setia",IF(AND(E2749=5,F2749&lt;=2,G2749&gt;=3),"Berpotensi",IF(AND(E2749&lt;=3,E2749&gt;=2,F2749&gt;=3),"Rawan",IF(AND(E2749&lt;=2,F2749&lt;=2),"Tidur","Umum"))))))</f>
        <v/>
      </c>
    </row>
    <row r="2750">
      <c r="B2750">
        <f>IF(A2750="","",$B$1-MAXIFS(Donasi!$A$2:$A$20000,Donasi!$B$2:$B$20000,A2750))</f>
        <v/>
      </c>
      <c r="C2750">
        <f>IF(A2750="","",COUNTIF(Donasi!$B$2:$B$20000,A2750))</f>
        <v/>
      </c>
      <c r="D2750">
        <f>IF(A2750="","",SUMIF(Donasi!$B$2:$B$20000,A2750,Donasi!$C$2:$C$20000))</f>
        <v/>
      </c>
      <c r="E2750">
        <f>IF(A2750="","",6-CEILING(PERCENTRANK.INC($B$3:$B$6000,B2750,4)*5+0.000001,1))</f>
        <v/>
      </c>
      <c r="F2750">
        <f>IF(A2750="","",MAX(1,CEILING(PERCENTRANK.INC($C$3:$C$6000,C2750,4)*5+0.000001,1)))</f>
        <v/>
      </c>
      <c r="G2750">
        <f>IF(A2750="","",MAX(1,CEILING(PERCENTRANK.INC($D$3:$D$6000,D2750,4)*5+0.000001,1)))</f>
        <v/>
      </c>
      <c r="H2750">
        <f>IF(A2750="","",E2750&amp;F2750&amp;G2750)</f>
        <v/>
      </c>
      <c r="I2750">
        <f>IF(A2750="","",IF(AND(E2750&gt;=4,F2750&gt;=4,G2750&gt;=4),"Juara",IF(AND(F2750&gt;=4,E2750&gt;=3),"Setia",IF(AND(E2750=5,F2750&lt;=2,G2750&gt;=3),"Berpotensi",IF(AND(E2750&lt;=3,E2750&gt;=2,F2750&gt;=3),"Rawan",IF(AND(E2750&lt;=2,F2750&lt;=2),"Tidur","Umum"))))))</f>
        <v/>
      </c>
    </row>
    <row r="2751">
      <c r="B2751">
        <f>IF(A2751="","",$B$1-MAXIFS(Donasi!$A$2:$A$20000,Donasi!$B$2:$B$20000,A2751))</f>
        <v/>
      </c>
      <c r="C2751">
        <f>IF(A2751="","",COUNTIF(Donasi!$B$2:$B$20000,A2751))</f>
        <v/>
      </c>
      <c r="D2751">
        <f>IF(A2751="","",SUMIF(Donasi!$B$2:$B$20000,A2751,Donasi!$C$2:$C$20000))</f>
        <v/>
      </c>
      <c r="E2751">
        <f>IF(A2751="","",6-CEILING(PERCENTRANK.INC($B$3:$B$6000,B2751,4)*5+0.000001,1))</f>
        <v/>
      </c>
      <c r="F2751">
        <f>IF(A2751="","",MAX(1,CEILING(PERCENTRANK.INC($C$3:$C$6000,C2751,4)*5+0.000001,1)))</f>
        <v/>
      </c>
      <c r="G2751">
        <f>IF(A2751="","",MAX(1,CEILING(PERCENTRANK.INC($D$3:$D$6000,D2751,4)*5+0.000001,1)))</f>
        <v/>
      </c>
      <c r="H2751">
        <f>IF(A2751="","",E2751&amp;F2751&amp;G2751)</f>
        <v/>
      </c>
      <c r="I2751">
        <f>IF(A2751="","",IF(AND(E2751&gt;=4,F2751&gt;=4,G2751&gt;=4),"Juara",IF(AND(F2751&gt;=4,E2751&gt;=3),"Setia",IF(AND(E2751=5,F2751&lt;=2,G2751&gt;=3),"Berpotensi",IF(AND(E2751&lt;=3,E2751&gt;=2,F2751&gt;=3),"Rawan",IF(AND(E2751&lt;=2,F2751&lt;=2),"Tidur","Umum"))))))</f>
        <v/>
      </c>
    </row>
    <row r="2752">
      <c r="B2752">
        <f>IF(A2752="","",$B$1-MAXIFS(Donasi!$A$2:$A$20000,Donasi!$B$2:$B$20000,A2752))</f>
        <v/>
      </c>
      <c r="C2752">
        <f>IF(A2752="","",COUNTIF(Donasi!$B$2:$B$20000,A2752))</f>
        <v/>
      </c>
      <c r="D2752">
        <f>IF(A2752="","",SUMIF(Donasi!$B$2:$B$20000,A2752,Donasi!$C$2:$C$20000))</f>
        <v/>
      </c>
      <c r="E2752">
        <f>IF(A2752="","",6-CEILING(PERCENTRANK.INC($B$3:$B$6000,B2752,4)*5+0.000001,1))</f>
        <v/>
      </c>
      <c r="F2752">
        <f>IF(A2752="","",MAX(1,CEILING(PERCENTRANK.INC($C$3:$C$6000,C2752,4)*5+0.000001,1)))</f>
        <v/>
      </c>
      <c r="G2752">
        <f>IF(A2752="","",MAX(1,CEILING(PERCENTRANK.INC($D$3:$D$6000,D2752,4)*5+0.000001,1)))</f>
        <v/>
      </c>
      <c r="H2752">
        <f>IF(A2752="","",E2752&amp;F2752&amp;G2752)</f>
        <v/>
      </c>
      <c r="I2752">
        <f>IF(A2752="","",IF(AND(E2752&gt;=4,F2752&gt;=4,G2752&gt;=4),"Juara",IF(AND(F2752&gt;=4,E2752&gt;=3),"Setia",IF(AND(E2752=5,F2752&lt;=2,G2752&gt;=3),"Berpotensi",IF(AND(E2752&lt;=3,E2752&gt;=2,F2752&gt;=3),"Rawan",IF(AND(E2752&lt;=2,F2752&lt;=2),"Tidur","Umum"))))))</f>
        <v/>
      </c>
    </row>
    <row r="2753">
      <c r="B2753">
        <f>IF(A2753="","",$B$1-MAXIFS(Donasi!$A$2:$A$20000,Donasi!$B$2:$B$20000,A2753))</f>
        <v/>
      </c>
      <c r="C2753">
        <f>IF(A2753="","",COUNTIF(Donasi!$B$2:$B$20000,A2753))</f>
        <v/>
      </c>
      <c r="D2753">
        <f>IF(A2753="","",SUMIF(Donasi!$B$2:$B$20000,A2753,Donasi!$C$2:$C$20000))</f>
        <v/>
      </c>
      <c r="E2753">
        <f>IF(A2753="","",6-CEILING(PERCENTRANK.INC($B$3:$B$6000,B2753,4)*5+0.000001,1))</f>
        <v/>
      </c>
      <c r="F2753">
        <f>IF(A2753="","",MAX(1,CEILING(PERCENTRANK.INC($C$3:$C$6000,C2753,4)*5+0.000001,1)))</f>
        <v/>
      </c>
      <c r="G2753">
        <f>IF(A2753="","",MAX(1,CEILING(PERCENTRANK.INC($D$3:$D$6000,D2753,4)*5+0.000001,1)))</f>
        <v/>
      </c>
      <c r="H2753">
        <f>IF(A2753="","",E2753&amp;F2753&amp;G2753)</f>
        <v/>
      </c>
      <c r="I2753">
        <f>IF(A2753="","",IF(AND(E2753&gt;=4,F2753&gt;=4,G2753&gt;=4),"Juara",IF(AND(F2753&gt;=4,E2753&gt;=3),"Setia",IF(AND(E2753=5,F2753&lt;=2,G2753&gt;=3),"Berpotensi",IF(AND(E2753&lt;=3,E2753&gt;=2,F2753&gt;=3),"Rawan",IF(AND(E2753&lt;=2,F2753&lt;=2),"Tidur","Umum"))))))</f>
        <v/>
      </c>
    </row>
    <row r="2754">
      <c r="B2754">
        <f>IF(A2754="","",$B$1-MAXIFS(Donasi!$A$2:$A$20000,Donasi!$B$2:$B$20000,A2754))</f>
        <v/>
      </c>
      <c r="C2754">
        <f>IF(A2754="","",COUNTIF(Donasi!$B$2:$B$20000,A2754))</f>
        <v/>
      </c>
      <c r="D2754">
        <f>IF(A2754="","",SUMIF(Donasi!$B$2:$B$20000,A2754,Donasi!$C$2:$C$20000))</f>
        <v/>
      </c>
      <c r="E2754">
        <f>IF(A2754="","",6-CEILING(PERCENTRANK.INC($B$3:$B$6000,B2754,4)*5+0.000001,1))</f>
        <v/>
      </c>
      <c r="F2754">
        <f>IF(A2754="","",MAX(1,CEILING(PERCENTRANK.INC($C$3:$C$6000,C2754,4)*5+0.000001,1)))</f>
        <v/>
      </c>
      <c r="G2754">
        <f>IF(A2754="","",MAX(1,CEILING(PERCENTRANK.INC($D$3:$D$6000,D2754,4)*5+0.000001,1)))</f>
        <v/>
      </c>
      <c r="H2754">
        <f>IF(A2754="","",E2754&amp;F2754&amp;G2754)</f>
        <v/>
      </c>
      <c r="I2754">
        <f>IF(A2754="","",IF(AND(E2754&gt;=4,F2754&gt;=4,G2754&gt;=4),"Juara",IF(AND(F2754&gt;=4,E2754&gt;=3),"Setia",IF(AND(E2754=5,F2754&lt;=2,G2754&gt;=3),"Berpotensi",IF(AND(E2754&lt;=3,E2754&gt;=2,F2754&gt;=3),"Rawan",IF(AND(E2754&lt;=2,F2754&lt;=2),"Tidur","Umum"))))))</f>
        <v/>
      </c>
    </row>
    <row r="2755">
      <c r="B2755">
        <f>IF(A2755="","",$B$1-MAXIFS(Donasi!$A$2:$A$20000,Donasi!$B$2:$B$20000,A2755))</f>
        <v/>
      </c>
      <c r="C2755">
        <f>IF(A2755="","",COUNTIF(Donasi!$B$2:$B$20000,A2755))</f>
        <v/>
      </c>
      <c r="D2755">
        <f>IF(A2755="","",SUMIF(Donasi!$B$2:$B$20000,A2755,Donasi!$C$2:$C$20000))</f>
        <v/>
      </c>
      <c r="E2755">
        <f>IF(A2755="","",6-CEILING(PERCENTRANK.INC($B$3:$B$6000,B2755,4)*5+0.000001,1))</f>
        <v/>
      </c>
      <c r="F2755">
        <f>IF(A2755="","",MAX(1,CEILING(PERCENTRANK.INC($C$3:$C$6000,C2755,4)*5+0.000001,1)))</f>
        <v/>
      </c>
      <c r="G2755">
        <f>IF(A2755="","",MAX(1,CEILING(PERCENTRANK.INC($D$3:$D$6000,D2755,4)*5+0.000001,1)))</f>
        <v/>
      </c>
      <c r="H2755">
        <f>IF(A2755="","",E2755&amp;F2755&amp;G2755)</f>
        <v/>
      </c>
      <c r="I2755">
        <f>IF(A2755="","",IF(AND(E2755&gt;=4,F2755&gt;=4,G2755&gt;=4),"Juara",IF(AND(F2755&gt;=4,E2755&gt;=3),"Setia",IF(AND(E2755=5,F2755&lt;=2,G2755&gt;=3),"Berpotensi",IF(AND(E2755&lt;=3,E2755&gt;=2,F2755&gt;=3),"Rawan",IF(AND(E2755&lt;=2,F2755&lt;=2),"Tidur","Umum"))))))</f>
        <v/>
      </c>
    </row>
    <row r="2756">
      <c r="B2756">
        <f>IF(A2756="","",$B$1-MAXIFS(Donasi!$A$2:$A$20000,Donasi!$B$2:$B$20000,A2756))</f>
        <v/>
      </c>
      <c r="C2756">
        <f>IF(A2756="","",COUNTIF(Donasi!$B$2:$B$20000,A2756))</f>
        <v/>
      </c>
      <c r="D2756">
        <f>IF(A2756="","",SUMIF(Donasi!$B$2:$B$20000,A2756,Donasi!$C$2:$C$20000))</f>
        <v/>
      </c>
      <c r="E2756">
        <f>IF(A2756="","",6-CEILING(PERCENTRANK.INC($B$3:$B$6000,B2756,4)*5+0.000001,1))</f>
        <v/>
      </c>
      <c r="F2756">
        <f>IF(A2756="","",MAX(1,CEILING(PERCENTRANK.INC($C$3:$C$6000,C2756,4)*5+0.000001,1)))</f>
        <v/>
      </c>
      <c r="G2756">
        <f>IF(A2756="","",MAX(1,CEILING(PERCENTRANK.INC($D$3:$D$6000,D2756,4)*5+0.000001,1)))</f>
        <v/>
      </c>
      <c r="H2756">
        <f>IF(A2756="","",E2756&amp;F2756&amp;G2756)</f>
        <v/>
      </c>
      <c r="I2756">
        <f>IF(A2756="","",IF(AND(E2756&gt;=4,F2756&gt;=4,G2756&gt;=4),"Juara",IF(AND(F2756&gt;=4,E2756&gt;=3),"Setia",IF(AND(E2756=5,F2756&lt;=2,G2756&gt;=3),"Berpotensi",IF(AND(E2756&lt;=3,E2756&gt;=2,F2756&gt;=3),"Rawan",IF(AND(E2756&lt;=2,F2756&lt;=2),"Tidur","Umum"))))))</f>
        <v/>
      </c>
    </row>
    <row r="2757">
      <c r="B2757">
        <f>IF(A2757="","",$B$1-MAXIFS(Donasi!$A$2:$A$20000,Donasi!$B$2:$B$20000,A2757))</f>
        <v/>
      </c>
      <c r="C2757">
        <f>IF(A2757="","",COUNTIF(Donasi!$B$2:$B$20000,A2757))</f>
        <v/>
      </c>
      <c r="D2757">
        <f>IF(A2757="","",SUMIF(Donasi!$B$2:$B$20000,A2757,Donasi!$C$2:$C$20000))</f>
        <v/>
      </c>
      <c r="E2757">
        <f>IF(A2757="","",6-CEILING(PERCENTRANK.INC($B$3:$B$6000,B2757,4)*5+0.000001,1))</f>
        <v/>
      </c>
      <c r="F2757">
        <f>IF(A2757="","",MAX(1,CEILING(PERCENTRANK.INC($C$3:$C$6000,C2757,4)*5+0.000001,1)))</f>
        <v/>
      </c>
      <c r="G2757">
        <f>IF(A2757="","",MAX(1,CEILING(PERCENTRANK.INC($D$3:$D$6000,D2757,4)*5+0.000001,1)))</f>
        <v/>
      </c>
      <c r="H2757">
        <f>IF(A2757="","",E2757&amp;F2757&amp;G2757)</f>
        <v/>
      </c>
      <c r="I2757">
        <f>IF(A2757="","",IF(AND(E2757&gt;=4,F2757&gt;=4,G2757&gt;=4),"Juara",IF(AND(F2757&gt;=4,E2757&gt;=3),"Setia",IF(AND(E2757=5,F2757&lt;=2,G2757&gt;=3),"Berpotensi",IF(AND(E2757&lt;=3,E2757&gt;=2,F2757&gt;=3),"Rawan",IF(AND(E2757&lt;=2,F2757&lt;=2),"Tidur","Umum"))))))</f>
        <v/>
      </c>
    </row>
    <row r="2758">
      <c r="B2758">
        <f>IF(A2758="","",$B$1-MAXIFS(Donasi!$A$2:$A$20000,Donasi!$B$2:$B$20000,A2758))</f>
        <v/>
      </c>
      <c r="C2758">
        <f>IF(A2758="","",COUNTIF(Donasi!$B$2:$B$20000,A2758))</f>
        <v/>
      </c>
      <c r="D2758">
        <f>IF(A2758="","",SUMIF(Donasi!$B$2:$B$20000,A2758,Donasi!$C$2:$C$20000))</f>
        <v/>
      </c>
      <c r="E2758">
        <f>IF(A2758="","",6-CEILING(PERCENTRANK.INC($B$3:$B$6000,B2758,4)*5+0.000001,1))</f>
        <v/>
      </c>
      <c r="F2758">
        <f>IF(A2758="","",MAX(1,CEILING(PERCENTRANK.INC($C$3:$C$6000,C2758,4)*5+0.000001,1)))</f>
        <v/>
      </c>
      <c r="G2758">
        <f>IF(A2758="","",MAX(1,CEILING(PERCENTRANK.INC($D$3:$D$6000,D2758,4)*5+0.000001,1)))</f>
        <v/>
      </c>
      <c r="H2758">
        <f>IF(A2758="","",E2758&amp;F2758&amp;G2758)</f>
        <v/>
      </c>
      <c r="I2758">
        <f>IF(A2758="","",IF(AND(E2758&gt;=4,F2758&gt;=4,G2758&gt;=4),"Juara",IF(AND(F2758&gt;=4,E2758&gt;=3),"Setia",IF(AND(E2758=5,F2758&lt;=2,G2758&gt;=3),"Berpotensi",IF(AND(E2758&lt;=3,E2758&gt;=2,F2758&gt;=3),"Rawan",IF(AND(E2758&lt;=2,F2758&lt;=2),"Tidur","Umum"))))))</f>
        <v/>
      </c>
    </row>
    <row r="2759">
      <c r="B2759">
        <f>IF(A2759="","",$B$1-MAXIFS(Donasi!$A$2:$A$20000,Donasi!$B$2:$B$20000,A2759))</f>
        <v/>
      </c>
      <c r="C2759">
        <f>IF(A2759="","",COUNTIF(Donasi!$B$2:$B$20000,A2759))</f>
        <v/>
      </c>
      <c r="D2759">
        <f>IF(A2759="","",SUMIF(Donasi!$B$2:$B$20000,A2759,Donasi!$C$2:$C$20000))</f>
        <v/>
      </c>
      <c r="E2759">
        <f>IF(A2759="","",6-CEILING(PERCENTRANK.INC($B$3:$B$6000,B2759,4)*5+0.000001,1))</f>
        <v/>
      </c>
      <c r="F2759">
        <f>IF(A2759="","",MAX(1,CEILING(PERCENTRANK.INC($C$3:$C$6000,C2759,4)*5+0.000001,1)))</f>
        <v/>
      </c>
      <c r="G2759">
        <f>IF(A2759="","",MAX(1,CEILING(PERCENTRANK.INC($D$3:$D$6000,D2759,4)*5+0.000001,1)))</f>
        <v/>
      </c>
      <c r="H2759">
        <f>IF(A2759="","",E2759&amp;F2759&amp;G2759)</f>
        <v/>
      </c>
      <c r="I2759">
        <f>IF(A2759="","",IF(AND(E2759&gt;=4,F2759&gt;=4,G2759&gt;=4),"Juara",IF(AND(F2759&gt;=4,E2759&gt;=3),"Setia",IF(AND(E2759=5,F2759&lt;=2,G2759&gt;=3),"Berpotensi",IF(AND(E2759&lt;=3,E2759&gt;=2,F2759&gt;=3),"Rawan",IF(AND(E2759&lt;=2,F2759&lt;=2),"Tidur","Umum"))))))</f>
        <v/>
      </c>
    </row>
    <row r="2760">
      <c r="B2760">
        <f>IF(A2760="","",$B$1-MAXIFS(Donasi!$A$2:$A$20000,Donasi!$B$2:$B$20000,A2760))</f>
        <v/>
      </c>
      <c r="C2760">
        <f>IF(A2760="","",COUNTIF(Donasi!$B$2:$B$20000,A2760))</f>
        <v/>
      </c>
      <c r="D2760">
        <f>IF(A2760="","",SUMIF(Donasi!$B$2:$B$20000,A2760,Donasi!$C$2:$C$20000))</f>
        <v/>
      </c>
      <c r="E2760">
        <f>IF(A2760="","",6-CEILING(PERCENTRANK.INC($B$3:$B$6000,B2760,4)*5+0.000001,1))</f>
        <v/>
      </c>
      <c r="F2760">
        <f>IF(A2760="","",MAX(1,CEILING(PERCENTRANK.INC($C$3:$C$6000,C2760,4)*5+0.000001,1)))</f>
        <v/>
      </c>
      <c r="G2760">
        <f>IF(A2760="","",MAX(1,CEILING(PERCENTRANK.INC($D$3:$D$6000,D2760,4)*5+0.000001,1)))</f>
        <v/>
      </c>
      <c r="H2760">
        <f>IF(A2760="","",E2760&amp;F2760&amp;G2760)</f>
        <v/>
      </c>
      <c r="I2760">
        <f>IF(A2760="","",IF(AND(E2760&gt;=4,F2760&gt;=4,G2760&gt;=4),"Juara",IF(AND(F2760&gt;=4,E2760&gt;=3),"Setia",IF(AND(E2760=5,F2760&lt;=2,G2760&gt;=3),"Berpotensi",IF(AND(E2760&lt;=3,E2760&gt;=2,F2760&gt;=3),"Rawan",IF(AND(E2760&lt;=2,F2760&lt;=2),"Tidur","Umum"))))))</f>
        <v/>
      </c>
    </row>
    <row r="2761">
      <c r="B2761">
        <f>IF(A2761="","",$B$1-MAXIFS(Donasi!$A$2:$A$20000,Donasi!$B$2:$B$20000,A2761))</f>
        <v/>
      </c>
      <c r="C2761">
        <f>IF(A2761="","",COUNTIF(Donasi!$B$2:$B$20000,A2761))</f>
        <v/>
      </c>
      <c r="D2761">
        <f>IF(A2761="","",SUMIF(Donasi!$B$2:$B$20000,A2761,Donasi!$C$2:$C$20000))</f>
        <v/>
      </c>
      <c r="E2761">
        <f>IF(A2761="","",6-CEILING(PERCENTRANK.INC($B$3:$B$6000,B2761,4)*5+0.000001,1))</f>
        <v/>
      </c>
      <c r="F2761">
        <f>IF(A2761="","",MAX(1,CEILING(PERCENTRANK.INC($C$3:$C$6000,C2761,4)*5+0.000001,1)))</f>
        <v/>
      </c>
      <c r="G2761">
        <f>IF(A2761="","",MAX(1,CEILING(PERCENTRANK.INC($D$3:$D$6000,D2761,4)*5+0.000001,1)))</f>
        <v/>
      </c>
      <c r="H2761">
        <f>IF(A2761="","",E2761&amp;F2761&amp;G2761)</f>
        <v/>
      </c>
      <c r="I2761">
        <f>IF(A2761="","",IF(AND(E2761&gt;=4,F2761&gt;=4,G2761&gt;=4),"Juara",IF(AND(F2761&gt;=4,E2761&gt;=3),"Setia",IF(AND(E2761=5,F2761&lt;=2,G2761&gt;=3),"Berpotensi",IF(AND(E2761&lt;=3,E2761&gt;=2,F2761&gt;=3),"Rawan",IF(AND(E2761&lt;=2,F2761&lt;=2),"Tidur","Umum"))))))</f>
        <v/>
      </c>
    </row>
    <row r="2762">
      <c r="B2762">
        <f>IF(A2762="","",$B$1-MAXIFS(Donasi!$A$2:$A$20000,Donasi!$B$2:$B$20000,A2762))</f>
        <v/>
      </c>
      <c r="C2762">
        <f>IF(A2762="","",COUNTIF(Donasi!$B$2:$B$20000,A2762))</f>
        <v/>
      </c>
      <c r="D2762">
        <f>IF(A2762="","",SUMIF(Donasi!$B$2:$B$20000,A2762,Donasi!$C$2:$C$20000))</f>
        <v/>
      </c>
      <c r="E2762">
        <f>IF(A2762="","",6-CEILING(PERCENTRANK.INC($B$3:$B$6000,B2762,4)*5+0.000001,1))</f>
        <v/>
      </c>
      <c r="F2762">
        <f>IF(A2762="","",MAX(1,CEILING(PERCENTRANK.INC($C$3:$C$6000,C2762,4)*5+0.000001,1)))</f>
        <v/>
      </c>
      <c r="G2762">
        <f>IF(A2762="","",MAX(1,CEILING(PERCENTRANK.INC($D$3:$D$6000,D2762,4)*5+0.000001,1)))</f>
        <v/>
      </c>
      <c r="H2762">
        <f>IF(A2762="","",E2762&amp;F2762&amp;G2762)</f>
        <v/>
      </c>
      <c r="I2762">
        <f>IF(A2762="","",IF(AND(E2762&gt;=4,F2762&gt;=4,G2762&gt;=4),"Juara",IF(AND(F2762&gt;=4,E2762&gt;=3),"Setia",IF(AND(E2762=5,F2762&lt;=2,G2762&gt;=3),"Berpotensi",IF(AND(E2762&lt;=3,E2762&gt;=2,F2762&gt;=3),"Rawan",IF(AND(E2762&lt;=2,F2762&lt;=2),"Tidur","Umum"))))))</f>
        <v/>
      </c>
    </row>
    <row r="2763">
      <c r="B2763">
        <f>IF(A2763="","",$B$1-MAXIFS(Donasi!$A$2:$A$20000,Donasi!$B$2:$B$20000,A2763))</f>
        <v/>
      </c>
      <c r="C2763">
        <f>IF(A2763="","",COUNTIF(Donasi!$B$2:$B$20000,A2763))</f>
        <v/>
      </c>
      <c r="D2763">
        <f>IF(A2763="","",SUMIF(Donasi!$B$2:$B$20000,A2763,Donasi!$C$2:$C$20000))</f>
        <v/>
      </c>
      <c r="E2763">
        <f>IF(A2763="","",6-CEILING(PERCENTRANK.INC($B$3:$B$6000,B2763,4)*5+0.000001,1))</f>
        <v/>
      </c>
      <c r="F2763">
        <f>IF(A2763="","",MAX(1,CEILING(PERCENTRANK.INC($C$3:$C$6000,C2763,4)*5+0.000001,1)))</f>
        <v/>
      </c>
      <c r="G2763">
        <f>IF(A2763="","",MAX(1,CEILING(PERCENTRANK.INC($D$3:$D$6000,D2763,4)*5+0.000001,1)))</f>
        <v/>
      </c>
      <c r="H2763">
        <f>IF(A2763="","",E2763&amp;F2763&amp;G2763)</f>
        <v/>
      </c>
      <c r="I2763">
        <f>IF(A2763="","",IF(AND(E2763&gt;=4,F2763&gt;=4,G2763&gt;=4),"Juara",IF(AND(F2763&gt;=4,E2763&gt;=3),"Setia",IF(AND(E2763=5,F2763&lt;=2,G2763&gt;=3),"Berpotensi",IF(AND(E2763&lt;=3,E2763&gt;=2,F2763&gt;=3),"Rawan",IF(AND(E2763&lt;=2,F2763&lt;=2),"Tidur","Umum"))))))</f>
        <v/>
      </c>
    </row>
    <row r="2764">
      <c r="B2764">
        <f>IF(A2764="","",$B$1-MAXIFS(Donasi!$A$2:$A$20000,Donasi!$B$2:$B$20000,A2764))</f>
        <v/>
      </c>
      <c r="C2764">
        <f>IF(A2764="","",COUNTIF(Donasi!$B$2:$B$20000,A2764))</f>
        <v/>
      </c>
      <c r="D2764">
        <f>IF(A2764="","",SUMIF(Donasi!$B$2:$B$20000,A2764,Donasi!$C$2:$C$20000))</f>
        <v/>
      </c>
      <c r="E2764">
        <f>IF(A2764="","",6-CEILING(PERCENTRANK.INC($B$3:$B$6000,B2764,4)*5+0.000001,1))</f>
        <v/>
      </c>
      <c r="F2764">
        <f>IF(A2764="","",MAX(1,CEILING(PERCENTRANK.INC($C$3:$C$6000,C2764,4)*5+0.000001,1)))</f>
        <v/>
      </c>
      <c r="G2764">
        <f>IF(A2764="","",MAX(1,CEILING(PERCENTRANK.INC($D$3:$D$6000,D2764,4)*5+0.000001,1)))</f>
        <v/>
      </c>
      <c r="H2764">
        <f>IF(A2764="","",E2764&amp;F2764&amp;G2764)</f>
        <v/>
      </c>
      <c r="I2764">
        <f>IF(A2764="","",IF(AND(E2764&gt;=4,F2764&gt;=4,G2764&gt;=4),"Juara",IF(AND(F2764&gt;=4,E2764&gt;=3),"Setia",IF(AND(E2764=5,F2764&lt;=2,G2764&gt;=3),"Berpotensi",IF(AND(E2764&lt;=3,E2764&gt;=2,F2764&gt;=3),"Rawan",IF(AND(E2764&lt;=2,F2764&lt;=2),"Tidur","Umum"))))))</f>
        <v/>
      </c>
    </row>
    <row r="2765">
      <c r="B2765">
        <f>IF(A2765="","",$B$1-MAXIFS(Donasi!$A$2:$A$20000,Donasi!$B$2:$B$20000,A2765))</f>
        <v/>
      </c>
      <c r="C2765">
        <f>IF(A2765="","",COUNTIF(Donasi!$B$2:$B$20000,A2765))</f>
        <v/>
      </c>
      <c r="D2765">
        <f>IF(A2765="","",SUMIF(Donasi!$B$2:$B$20000,A2765,Donasi!$C$2:$C$20000))</f>
        <v/>
      </c>
      <c r="E2765">
        <f>IF(A2765="","",6-CEILING(PERCENTRANK.INC($B$3:$B$6000,B2765,4)*5+0.000001,1))</f>
        <v/>
      </c>
      <c r="F2765">
        <f>IF(A2765="","",MAX(1,CEILING(PERCENTRANK.INC($C$3:$C$6000,C2765,4)*5+0.000001,1)))</f>
        <v/>
      </c>
      <c r="G2765">
        <f>IF(A2765="","",MAX(1,CEILING(PERCENTRANK.INC($D$3:$D$6000,D2765,4)*5+0.000001,1)))</f>
        <v/>
      </c>
      <c r="H2765">
        <f>IF(A2765="","",E2765&amp;F2765&amp;G2765)</f>
        <v/>
      </c>
      <c r="I2765">
        <f>IF(A2765="","",IF(AND(E2765&gt;=4,F2765&gt;=4,G2765&gt;=4),"Juara",IF(AND(F2765&gt;=4,E2765&gt;=3),"Setia",IF(AND(E2765=5,F2765&lt;=2,G2765&gt;=3),"Berpotensi",IF(AND(E2765&lt;=3,E2765&gt;=2,F2765&gt;=3),"Rawan",IF(AND(E2765&lt;=2,F2765&lt;=2),"Tidur","Umum"))))))</f>
        <v/>
      </c>
    </row>
    <row r="2766">
      <c r="B2766">
        <f>IF(A2766="","",$B$1-MAXIFS(Donasi!$A$2:$A$20000,Donasi!$B$2:$B$20000,A2766))</f>
        <v/>
      </c>
      <c r="C2766">
        <f>IF(A2766="","",COUNTIF(Donasi!$B$2:$B$20000,A2766))</f>
        <v/>
      </c>
      <c r="D2766">
        <f>IF(A2766="","",SUMIF(Donasi!$B$2:$B$20000,A2766,Donasi!$C$2:$C$20000))</f>
        <v/>
      </c>
      <c r="E2766">
        <f>IF(A2766="","",6-CEILING(PERCENTRANK.INC($B$3:$B$6000,B2766,4)*5+0.000001,1))</f>
        <v/>
      </c>
      <c r="F2766">
        <f>IF(A2766="","",MAX(1,CEILING(PERCENTRANK.INC($C$3:$C$6000,C2766,4)*5+0.000001,1)))</f>
        <v/>
      </c>
      <c r="G2766">
        <f>IF(A2766="","",MAX(1,CEILING(PERCENTRANK.INC($D$3:$D$6000,D2766,4)*5+0.000001,1)))</f>
        <v/>
      </c>
      <c r="H2766">
        <f>IF(A2766="","",E2766&amp;F2766&amp;G2766)</f>
        <v/>
      </c>
      <c r="I2766">
        <f>IF(A2766="","",IF(AND(E2766&gt;=4,F2766&gt;=4,G2766&gt;=4),"Juara",IF(AND(F2766&gt;=4,E2766&gt;=3),"Setia",IF(AND(E2766=5,F2766&lt;=2,G2766&gt;=3),"Berpotensi",IF(AND(E2766&lt;=3,E2766&gt;=2,F2766&gt;=3),"Rawan",IF(AND(E2766&lt;=2,F2766&lt;=2),"Tidur","Umum"))))))</f>
        <v/>
      </c>
    </row>
    <row r="2767">
      <c r="B2767">
        <f>IF(A2767="","",$B$1-MAXIFS(Donasi!$A$2:$A$20000,Donasi!$B$2:$B$20000,A2767))</f>
        <v/>
      </c>
      <c r="C2767">
        <f>IF(A2767="","",COUNTIF(Donasi!$B$2:$B$20000,A2767))</f>
        <v/>
      </c>
      <c r="D2767">
        <f>IF(A2767="","",SUMIF(Donasi!$B$2:$B$20000,A2767,Donasi!$C$2:$C$20000))</f>
        <v/>
      </c>
      <c r="E2767">
        <f>IF(A2767="","",6-CEILING(PERCENTRANK.INC($B$3:$B$6000,B2767,4)*5+0.000001,1))</f>
        <v/>
      </c>
      <c r="F2767">
        <f>IF(A2767="","",MAX(1,CEILING(PERCENTRANK.INC($C$3:$C$6000,C2767,4)*5+0.000001,1)))</f>
        <v/>
      </c>
      <c r="G2767">
        <f>IF(A2767="","",MAX(1,CEILING(PERCENTRANK.INC($D$3:$D$6000,D2767,4)*5+0.000001,1)))</f>
        <v/>
      </c>
      <c r="H2767">
        <f>IF(A2767="","",E2767&amp;F2767&amp;G2767)</f>
        <v/>
      </c>
      <c r="I2767">
        <f>IF(A2767="","",IF(AND(E2767&gt;=4,F2767&gt;=4,G2767&gt;=4),"Juara",IF(AND(F2767&gt;=4,E2767&gt;=3),"Setia",IF(AND(E2767=5,F2767&lt;=2,G2767&gt;=3),"Berpotensi",IF(AND(E2767&lt;=3,E2767&gt;=2,F2767&gt;=3),"Rawan",IF(AND(E2767&lt;=2,F2767&lt;=2),"Tidur","Umum"))))))</f>
        <v/>
      </c>
    </row>
    <row r="2768">
      <c r="B2768">
        <f>IF(A2768="","",$B$1-MAXIFS(Donasi!$A$2:$A$20000,Donasi!$B$2:$B$20000,A2768))</f>
        <v/>
      </c>
      <c r="C2768">
        <f>IF(A2768="","",COUNTIF(Donasi!$B$2:$B$20000,A2768))</f>
        <v/>
      </c>
      <c r="D2768">
        <f>IF(A2768="","",SUMIF(Donasi!$B$2:$B$20000,A2768,Donasi!$C$2:$C$20000))</f>
        <v/>
      </c>
      <c r="E2768">
        <f>IF(A2768="","",6-CEILING(PERCENTRANK.INC($B$3:$B$6000,B2768,4)*5+0.000001,1))</f>
        <v/>
      </c>
      <c r="F2768">
        <f>IF(A2768="","",MAX(1,CEILING(PERCENTRANK.INC($C$3:$C$6000,C2768,4)*5+0.000001,1)))</f>
        <v/>
      </c>
      <c r="G2768">
        <f>IF(A2768="","",MAX(1,CEILING(PERCENTRANK.INC($D$3:$D$6000,D2768,4)*5+0.000001,1)))</f>
        <v/>
      </c>
      <c r="H2768">
        <f>IF(A2768="","",E2768&amp;F2768&amp;G2768)</f>
        <v/>
      </c>
      <c r="I2768">
        <f>IF(A2768="","",IF(AND(E2768&gt;=4,F2768&gt;=4,G2768&gt;=4),"Juara",IF(AND(F2768&gt;=4,E2768&gt;=3),"Setia",IF(AND(E2768=5,F2768&lt;=2,G2768&gt;=3),"Berpotensi",IF(AND(E2768&lt;=3,E2768&gt;=2,F2768&gt;=3),"Rawan",IF(AND(E2768&lt;=2,F2768&lt;=2),"Tidur","Umum"))))))</f>
        <v/>
      </c>
    </row>
    <row r="2769">
      <c r="B2769">
        <f>IF(A2769="","",$B$1-MAXIFS(Donasi!$A$2:$A$20000,Donasi!$B$2:$B$20000,A2769))</f>
        <v/>
      </c>
      <c r="C2769">
        <f>IF(A2769="","",COUNTIF(Donasi!$B$2:$B$20000,A2769))</f>
        <v/>
      </c>
      <c r="D2769">
        <f>IF(A2769="","",SUMIF(Donasi!$B$2:$B$20000,A2769,Donasi!$C$2:$C$20000))</f>
        <v/>
      </c>
      <c r="E2769">
        <f>IF(A2769="","",6-CEILING(PERCENTRANK.INC($B$3:$B$6000,B2769,4)*5+0.000001,1))</f>
        <v/>
      </c>
      <c r="F2769">
        <f>IF(A2769="","",MAX(1,CEILING(PERCENTRANK.INC($C$3:$C$6000,C2769,4)*5+0.000001,1)))</f>
        <v/>
      </c>
      <c r="G2769">
        <f>IF(A2769="","",MAX(1,CEILING(PERCENTRANK.INC($D$3:$D$6000,D2769,4)*5+0.000001,1)))</f>
        <v/>
      </c>
      <c r="H2769">
        <f>IF(A2769="","",E2769&amp;F2769&amp;G2769)</f>
        <v/>
      </c>
      <c r="I2769">
        <f>IF(A2769="","",IF(AND(E2769&gt;=4,F2769&gt;=4,G2769&gt;=4),"Juara",IF(AND(F2769&gt;=4,E2769&gt;=3),"Setia",IF(AND(E2769=5,F2769&lt;=2,G2769&gt;=3),"Berpotensi",IF(AND(E2769&lt;=3,E2769&gt;=2,F2769&gt;=3),"Rawan",IF(AND(E2769&lt;=2,F2769&lt;=2),"Tidur","Umum"))))))</f>
        <v/>
      </c>
    </row>
    <row r="2770">
      <c r="B2770">
        <f>IF(A2770="","",$B$1-MAXIFS(Donasi!$A$2:$A$20000,Donasi!$B$2:$B$20000,A2770))</f>
        <v/>
      </c>
      <c r="C2770">
        <f>IF(A2770="","",COUNTIF(Donasi!$B$2:$B$20000,A2770))</f>
        <v/>
      </c>
      <c r="D2770">
        <f>IF(A2770="","",SUMIF(Donasi!$B$2:$B$20000,A2770,Donasi!$C$2:$C$20000))</f>
        <v/>
      </c>
      <c r="E2770">
        <f>IF(A2770="","",6-CEILING(PERCENTRANK.INC($B$3:$B$6000,B2770,4)*5+0.000001,1))</f>
        <v/>
      </c>
      <c r="F2770">
        <f>IF(A2770="","",MAX(1,CEILING(PERCENTRANK.INC($C$3:$C$6000,C2770,4)*5+0.000001,1)))</f>
        <v/>
      </c>
      <c r="G2770">
        <f>IF(A2770="","",MAX(1,CEILING(PERCENTRANK.INC($D$3:$D$6000,D2770,4)*5+0.000001,1)))</f>
        <v/>
      </c>
      <c r="H2770">
        <f>IF(A2770="","",E2770&amp;F2770&amp;G2770)</f>
        <v/>
      </c>
      <c r="I2770">
        <f>IF(A2770="","",IF(AND(E2770&gt;=4,F2770&gt;=4,G2770&gt;=4),"Juara",IF(AND(F2770&gt;=4,E2770&gt;=3),"Setia",IF(AND(E2770=5,F2770&lt;=2,G2770&gt;=3),"Berpotensi",IF(AND(E2770&lt;=3,E2770&gt;=2,F2770&gt;=3),"Rawan",IF(AND(E2770&lt;=2,F2770&lt;=2),"Tidur","Umum"))))))</f>
        <v/>
      </c>
    </row>
    <row r="2771">
      <c r="B2771">
        <f>IF(A2771="","",$B$1-MAXIFS(Donasi!$A$2:$A$20000,Donasi!$B$2:$B$20000,A2771))</f>
        <v/>
      </c>
      <c r="C2771">
        <f>IF(A2771="","",COUNTIF(Donasi!$B$2:$B$20000,A2771))</f>
        <v/>
      </c>
      <c r="D2771">
        <f>IF(A2771="","",SUMIF(Donasi!$B$2:$B$20000,A2771,Donasi!$C$2:$C$20000))</f>
        <v/>
      </c>
      <c r="E2771">
        <f>IF(A2771="","",6-CEILING(PERCENTRANK.INC($B$3:$B$6000,B2771,4)*5+0.000001,1))</f>
        <v/>
      </c>
      <c r="F2771">
        <f>IF(A2771="","",MAX(1,CEILING(PERCENTRANK.INC($C$3:$C$6000,C2771,4)*5+0.000001,1)))</f>
        <v/>
      </c>
      <c r="G2771">
        <f>IF(A2771="","",MAX(1,CEILING(PERCENTRANK.INC($D$3:$D$6000,D2771,4)*5+0.000001,1)))</f>
        <v/>
      </c>
      <c r="H2771">
        <f>IF(A2771="","",E2771&amp;F2771&amp;G2771)</f>
        <v/>
      </c>
      <c r="I2771">
        <f>IF(A2771="","",IF(AND(E2771&gt;=4,F2771&gt;=4,G2771&gt;=4),"Juara",IF(AND(F2771&gt;=4,E2771&gt;=3),"Setia",IF(AND(E2771=5,F2771&lt;=2,G2771&gt;=3),"Berpotensi",IF(AND(E2771&lt;=3,E2771&gt;=2,F2771&gt;=3),"Rawan",IF(AND(E2771&lt;=2,F2771&lt;=2),"Tidur","Umum"))))))</f>
        <v/>
      </c>
    </row>
    <row r="2772">
      <c r="B2772">
        <f>IF(A2772="","",$B$1-MAXIFS(Donasi!$A$2:$A$20000,Donasi!$B$2:$B$20000,A2772))</f>
        <v/>
      </c>
      <c r="C2772">
        <f>IF(A2772="","",COUNTIF(Donasi!$B$2:$B$20000,A2772))</f>
        <v/>
      </c>
      <c r="D2772">
        <f>IF(A2772="","",SUMIF(Donasi!$B$2:$B$20000,A2772,Donasi!$C$2:$C$20000))</f>
        <v/>
      </c>
      <c r="E2772">
        <f>IF(A2772="","",6-CEILING(PERCENTRANK.INC($B$3:$B$6000,B2772,4)*5+0.000001,1))</f>
        <v/>
      </c>
      <c r="F2772">
        <f>IF(A2772="","",MAX(1,CEILING(PERCENTRANK.INC($C$3:$C$6000,C2772,4)*5+0.000001,1)))</f>
        <v/>
      </c>
      <c r="G2772">
        <f>IF(A2772="","",MAX(1,CEILING(PERCENTRANK.INC($D$3:$D$6000,D2772,4)*5+0.000001,1)))</f>
        <v/>
      </c>
      <c r="H2772">
        <f>IF(A2772="","",E2772&amp;F2772&amp;G2772)</f>
        <v/>
      </c>
      <c r="I2772">
        <f>IF(A2772="","",IF(AND(E2772&gt;=4,F2772&gt;=4,G2772&gt;=4),"Juara",IF(AND(F2772&gt;=4,E2772&gt;=3),"Setia",IF(AND(E2772=5,F2772&lt;=2,G2772&gt;=3),"Berpotensi",IF(AND(E2772&lt;=3,E2772&gt;=2,F2772&gt;=3),"Rawan",IF(AND(E2772&lt;=2,F2772&lt;=2),"Tidur","Umum"))))))</f>
        <v/>
      </c>
    </row>
    <row r="2773">
      <c r="B2773">
        <f>IF(A2773="","",$B$1-MAXIFS(Donasi!$A$2:$A$20000,Donasi!$B$2:$B$20000,A2773))</f>
        <v/>
      </c>
      <c r="C2773">
        <f>IF(A2773="","",COUNTIF(Donasi!$B$2:$B$20000,A2773))</f>
        <v/>
      </c>
      <c r="D2773">
        <f>IF(A2773="","",SUMIF(Donasi!$B$2:$B$20000,A2773,Donasi!$C$2:$C$20000))</f>
        <v/>
      </c>
      <c r="E2773">
        <f>IF(A2773="","",6-CEILING(PERCENTRANK.INC($B$3:$B$6000,B2773,4)*5+0.000001,1))</f>
        <v/>
      </c>
      <c r="F2773">
        <f>IF(A2773="","",MAX(1,CEILING(PERCENTRANK.INC($C$3:$C$6000,C2773,4)*5+0.000001,1)))</f>
        <v/>
      </c>
      <c r="G2773">
        <f>IF(A2773="","",MAX(1,CEILING(PERCENTRANK.INC($D$3:$D$6000,D2773,4)*5+0.000001,1)))</f>
        <v/>
      </c>
      <c r="H2773">
        <f>IF(A2773="","",E2773&amp;F2773&amp;G2773)</f>
        <v/>
      </c>
      <c r="I2773">
        <f>IF(A2773="","",IF(AND(E2773&gt;=4,F2773&gt;=4,G2773&gt;=4),"Juara",IF(AND(F2773&gt;=4,E2773&gt;=3),"Setia",IF(AND(E2773=5,F2773&lt;=2,G2773&gt;=3),"Berpotensi",IF(AND(E2773&lt;=3,E2773&gt;=2,F2773&gt;=3),"Rawan",IF(AND(E2773&lt;=2,F2773&lt;=2),"Tidur","Umum"))))))</f>
        <v/>
      </c>
    </row>
    <row r="2774">
      <c r="B2774">
        <f>IF(A2774="","",$B$1-MAXIFS(Donasi!$A$2:$A$20000,Donasi!$B$2:$B$20000,A2774))</f>
        <v/>
      </c>
      <c r="C2774">
        <f>IF(A2774="","",COUNTIF(Donasi!$B$2:$B$20000,A2774))</f>
        <v/>
      </c>
      <c r="D2774">
        <f>IF(A2774="","",SUMIF(Donasi!$B$2:$B$20000,A2774,Donasi!$C$2:$C$20000))</f>
        <v/>
      </c>
      <c r="E2774">
        <f>IF(A2774="","",6-CEILING(PERCENTRANK.INC($B$3:$B$6000,B2774,4)*5+0.000001,1))</f>
        <v/>
      </c>
      <c r="F2774">
        <f>IF(A2774="","",MAX(1,CEILING(PERCENTRANK.INC($C$3:$C$6000,C2774,4)*5+0.000001,1)))</f>
        <v/>
      </c>
      <c r="G2774">
        <f>IF(A2774="","",MAX(1,CEILING(PERCENTRANK.INC($D$3:$D$6000,D2774,4)*5+0.000001,1)))</f>
        <v/>
      </c>
      <c r="H2774">
        <f>IF(A2774="","",E2774&amp;F2774&amp;G2774)</f>
        <v/>
      </c>
      <c r="I2774">
        <f>IF(A2774="","",IF(AND(E2774&gt;=4,F2774&gt;=4,G2774&gt;=4),"Juara",IF(AND(F2774&gt;=4,E2774&gt;=3),"Setia",IF(AND(E2774=5,F2774&lt;=2,G2774&gt;=3),"Berpotensi",IF(AND(E2774&lt;=3,E2774&gt;=2,F2774&gt;=3),"Rawan",IF(AND(E2774&lt;=2,F2774&lt;=2),"Tidur","Umum"))))))</f>
        <v/>
      </c>
    </row>
    <row r="2775">
      <c r="B2775">
        <f>IF(A2775="","",$B$1-MAXIFS(Donasi!$A$2:$A$20000,Donasi!$B$2:$B$20000,A2775))</f>
        <v/>
      </c>
      <c r="C2775">
        <f>IF(A2775="","",COUNTIF(Donasi!$B$2:$B$20000,A2775))</f>
        <v/>
      </c>
      <c r="D2775">
        <f>IF(A2775="","",SUMIF(Donasi!$B$2:$B$20000,A2775,Donasi!$C$2:$C$20000))</f>
        <v/>
      </c>
      <c r="E2775">
        <f>IF(A2775="","",6-CEILING(PERCENTRANK.INC($B$3:$B$6000,B2775,4)*5+0.000001,1))</f>
        <v/>
      </c>
      <c r="F2775">
        <f>IF(A2775="","",MAX(1,CEILING(PERCENTRANK.INC($C$3:$C$6000,C2775,4)*5+0.000001,1)))</f>
        <v/>
      </c>
      <c r="G2775">
        <f>IF(A2775="","",MAX(1,CEILING(PERCENTRANK.INC($D$3:$D$6000,D2775,4)*5+0.000001,1)))</f>
        <v/>
      </c>
      <c r="H2775">
        <f>IF(A2775="","",E2775&amp;F2775&amp;G2775)</f>
        <v/>
      </c>
      <c r="I2775">
        <f>IF(A2775="","",IF(AND(E2775&gt;=4,F2775&gt;=4,G2775&gt;=4),"Juara",IF(AND(F2775&gt;=4,E2775&gt;=3),"Setia",IF(AND(E2775=5,F2775&lt;=2,G2775&gt;=3),"Berpotensi",IF(AND(E2775&lt;=3,E2775&gt;=2,F2775&gt;=3),"Rawan",IF(AND(E2775&lt;=2,F2775&lt;=2),"Tidur","Umum"))))))</f>
        <v/>
      </c>
    </row>
    <row r="2776">
      <c r="B2776">
        <f>IF(A2776="","",$B$1-MAXIFS(Donasi!$A$2:$A$20000,Donasi!$B$2:$B$20000,A2776))</f>
        <v/>
      </c>
      <c r="C2776">
        <f>IF(A2776="","",COUNTIF(Donasi!$B$2:$B$20000,A2776))</f>
        <v/>
      </c>
      <c r="D2776">
        <f>IF(A2776="","",SUMIF(Donasi!$B$2:$B$20000,A2776,Donasi!$C$2:$C$20000))</f>
        <v/>
      </c>
      <c r="E2776">
        <f>IF(A2776="","",6-CEILING(PERCENTRANK.INC($B$3:$B$6000,B2776,4)*5+0.000001,1))</f>
        <v/>
      </c>
      <c r="F2776">
        <f>IF(A2776="","",MAX(1,CEILING(PERCENTRANK.INC($C$3:$C$6000,C2776,4)*5+0.000001,1)))</f>
        <v/>
      </c>
      <c r="G2776">
        <f>IF(A2776="","",MAX(1,CEILING(PERCENTRANK.INC($D$3:$D$6000,D2776,4)*5+0.000001,1)))</f>
        <v/>
      </c>
      <c r="H2776">
        <f>IF(A2776="","",E2776&amp;F2776&amp;G2776)</f>
        <v/>
      </c>
      <c r="I2776">
        <f>IF(A2776="","",IF(AND(E2776&gt;=4,F2776&gt;=4,G2776&gt;=4),"Juara",IF(AND(F2776&gt;=4,E2776&gt;=3),"Setia",IF(AND(E2776=5,F2776&lt;=2,G2776&gt;=3),"Berpotensi",IF(AND(E2776&lt;=3,E2776&gt;=2,F2776&gt;=3),"Rawan",IF(AND(E2776&lt;=2,F2776&lt;=2),"Tidur","Umum"))))))</f>
        <v/>
      </c>
    </row>
    <row r="2777">
      <c r="B2777">
        <f>IF(A2777="","",$B$1-MAXIFS(Donasi!$A$2:$A$20000,Donasi!$B$2:$B$20000,A2777))</f>
        <v/>
      </c>
      <c r="C2777">
        <f>IF(A2777="","",COUNTIF(Donasi!$B$2:$B$20000,A2777))</f>
        <v/>
      </c>
      <c r="D2777">
        <f>IF(A2777="","",SUMIF(Donasi!$B$2:$B$20000,A2777,Donasi!$C$2:$C$20000))</f>
        <v/>
      </c>
      <c r="E2777">
        <f>IF(A2777="","",6-CEILING(PERCENTRANK.INC($B$3:$B$6000,B2777,4)*5+0.000001,1))</f>
        <v/>
      </c>
      <c r="F2777">
        <f>IF(A2777="","",MAX(1,CEILING(PERCENTRANK.INC($C$3:$C$6000,C2777,4)*5+0.000001,1)))</f>
        <v/>
      </c>
      <c r="G2777">
        <f>IF(A2777="","",MAX(1,CEILING(PERCENTRANK.INC($D$3:$D$6000,D2777,4)*5+0.000001,1)))</f>
        <v/>
      </c>
      <c r="H2777">
        <f>IF(A2777="","",E2777&amp;F2777&amp;G2777)</f>
        <v/>
      </c>
      <c r="I2777">
        <f>IF(A2777="","",IF(AND(E2777&gt;=4,F2777&gt;=4,G2777&gt;=4),"Juara",IF(AND(F2777&gt;=4,E2777&gt;=3),"Setia",IF(AND(E2777=5,F2777&lt;=2,G2777&gt;=3),"Berpotensi",IF(AND(E2777&lt;=3,E2777&gt;=2,F2777&gt;=3),"Rawan",IF(AND(E2777&lt;=2,F2777&lt;=2),"Tidur","Umum"))))))</f>
        <v/>
      </c>
    </row>
    <row r="2778">
      <c r="B2778">
        <f>IF(A2778="","",$B$1-MAXIFS(Donasi!$A$2:$A$20000,Donasi!$B$2:$B$20000,A2778))</f>
        <v/>
      </c>
      <c r="C2778">
        <f>IF(A2778="","",COUNTIF(Donasi!$B$2:$B$20000,A2778))</f>
        <v/>
      </c>
      <c r="D2778">
        <f>IF(A2778="","",SUMIF(Donasi!$B$2:$B$20000,A2778,Donasi!$C$2:$C$20000))</f>
        <v/>
      </c>
      <c r="E2778">
        <f>IF(A2778="","",6-CEILING(PERCENTRANK.INC($B$3:$B$6000,B2778,4)*5+0.000001,1))</f>
        <v/>
      </c>
      <c r="F2778">
        <f>IF(A2778="","",MAX(1,CEILING(PERCENTRANK.INC($C$3:$C$6000,C2778,4)*5+0.000001,1)))</f>
        <v/>
      </c>
      <c r="G2778">
        <f>IF(A2778="","",MAX(1,CEILING(PERCENTRANK.INC($D$3:$D$6000,D2778,4)*5+0.000001,1)))</f>
        <v/>
      </c>
      <c r="H2778">
        <f>IF(A2778="","",E2778&amp;F2778&amp;G2778)</f>
        <v/>
      </c>
      <c r="I2778">
        <f>IF(A2778="","",IF(AND(E2778&gt;=4,F2778&gt;=4,G2778&gt;=4),"Juara",IF(AND(F2778&gt;=4,E2778&gt;=3),"Setia",IF(AND(E2778=5,F2778&lt;=2,G2778&gt;=3),"Berpotensi",IF(AND(E2778&lt;=3,E2778&gt;=2,F2778&gt;=3),"Rawan",IF(AND(E2778&lt;=2,F2778&lt;=2),"Tidur","Umum"))))))</f>
        <v/>
      </c>
    </row>
    <row r="2779">
      <c r="B2779">
        <f>IF(A2779="","",$B$1-MAXIFS(Donasi!$A$2:$A$20000,Donasi!$B$2:$B$20000,A2779))</f>
        <v/>
      </c>
      <c r="C2779">
        <f>IF(A2779="","",COUNTIF(Donasi!$B$2:$B$20000,A2779))</f>
        <v/>
      </c>
      <c r="D2779">
        <f>IF(A2779="","",SUMIF(Donasi!$B$2:$B$20000,A2779,Donasi!$C$2:$C$20000))</f>
        <v/>
      </c>
      <c r="E2779">
        <f>IF(A2779="","",6-CEILING(PERCENTRANK.INC($B$3:$B$6000,B2779,4)*5+0.000001,1))</f>
        <v/>
      </c>
      <c r="F2779">
        <f>IF(A2779="","",MAX(1,CEILING(PERCENTRANK.INC($C$3:$C$6000,C2779,4)*5+0.000001,1)))</f>
        <v/>
      </c>
      <c r="G2779">
        <f>IF(A2779="","",MAX(1,CEILING(PERCENTRANK.INC($D$3:$D$6000,D2779,4)*5+0.000001,1)))</f>
        <v/>
      </c>
      <c r="H2779">
        <f>IF(A2779="","",E2779&amp;F2779&amp;G2779)</f>
        <v/>
      </c>
      <c r="I2779">
        <f>IF(A2779="","",IF(AND(E2779&gt;=4,F2779&gt;=4,G2779&gt;=4),"Juara",IF(AND(F2779&gt;=4,E2779&gt;=3),"Setia",IF(AND(E2779=5,F2779&lt;=2,G2779&gt;=3),"Berpotensi",IF(AND(E2779&lt;=3,E2779&gt;=2,F2779&gt;=3),"Rawan",IF(AND(E2779&lt;=2,F2779&lt;=2),"Tidur","Umum"))))))</f>
        <v/>
      </c>
    </row>
    <row r="2780">
      <c r="B2780">
        <f>IF(A2780="","",$B$1-MAXIFS(Donasi!$A$2:$A$20000,Donasi!$B$2:$B$20000,A2780))</f>
        <v/>
      </c>
      <c r="C2780">
        <f>IF(A2780="","",COUNTIF(Donasi!$B$2:$B$20000,A2780))</f>
        <v/>
      </c>
      <c r="D2780">
        <f>IF(A2780="","",SUMIF(Donasi!$B$2:$B$20000,A2780,Donasi!$C$2:$C$20000))</f>
        <v/>
      </c>
      <c r="E2780">
        <f>IF(A2780="","",6-CEILING(PERCENTRANK.INC($B$3:$B$6000,B2780,4)*5+0.000001,1))</f>
        <v/>
      </c>
      <c r="F2780">
        <f>IF(A2780="","",MAX(1,CEILING(PERCENTRANK.INC($C$3:$C$6000,C2780,4)*5+0.000001,1)))</f>
        <v/>
      </c>
      <c r="G2780">
        <f>IF(A2780="","",MAX(1,CEILING(PERCENTRANK.INC($D$3:$D$6000,D2780,4)*5+0.000001,1)))</f>
        <v/>
      </c>
      <c r="H2780">
        <f>IF(A2780="","",E2780&amp;F2780&amp;G2780)</f>
        <v/>
      </c>
      <c r="I2780">
        <f>IF(A2780="","",IF(AND(E2780&gt;=4,F2780&gt;=4,G2780&gt;=4),"Juara",IF(AND(F2780&gt;=4,E2780&gt;=3),"Setia",IF(AND(E2780=5,F2780&lt;=2,G2780&gt;=3),"Berpotensi",IF(AND(E2780&lt;=3,E2780&gt;=2,F2780&gt;=3),"Rawan",IF(AND(E2780&lt;=2,F2780&lt;=2),"Tidur","Umum"))))))</f>
        <v/>
      </c>
    </row>
    <row r="2781">
      <c r="B2781">
        <f>IF(A2781="","",$B$1-MAXIFS(Donasi!$A$2:$A$20000,Donasi!$B$2:$B$20000,A2781))</f>
        <v/>
      </c>
      <c r="C2781">
        <f>IF(A2781="","",COUNTIF(Donasi!$B$2:$B$20000,A2781))</f>
        <v/>
      </c>
      <c r="D2781">
        <f>IF(A2781="","",SUMIF(Donasi!$B$2:$B$20000,A2781,Donasi!$C$2:$C$20000))</f>
        <v/>
      </c>
      <c r="E2781">
        <f>IF(A2781="","",6-CEILING(PERCENTRANK.INC($B$3:$B$6000,B2781,4)*5+0.000001,1))</f>
        <v/>
      </c>
      <c r="F2781">
        <f>IF(A2781="","",MAX(1,CEILING(PERCENTRANK.INC($C$3:$C$6000,C2781,4)*5+0.000001,1)))</f>
        <v/>
      </c>
      <c r="G2781">
        <f>IF(A2781="","",MAX(1,CEILING(PERCENTRANK.INC($D$3:$D$6000,D2781,4)*5+0.000001,1)))</f>
        <v/>
      </c>
      <c r="H2781">
        <f>IF(A2781="","",E2781&amp;F2781&amp;G2781)</f>
        <v/>
      </c>
      <c r="I2781">
        <f>IF(A2781="","",IF(AND(E2781&gt;=4,F2781&gt;=4,G2781&gt;=4),"Juara",IF(AND(F2781&gt;=4,E2781&gt;=3),"Setia",IF(AND(E2781=5,F2781&lt;=2,G2781&gt;=3),"Berpotensi",IF(AND(E2781&lt;=3,E2781&gt;=2,F2781&gt;=3),"Rawan",IF(AND(E2781&lt;=2,F2781&lt;=2),"Tidur","Umum"))))))</f>
        <v/>
      </c>
    </row>
    <row r="2782">
      <c r="B2782">
        <f>IF(A2782="","",$B$1-MAXIFS(Donasi!$A$2:$A$20000,Donasi!$B$2:$B$20000,A2782))</f>
        <v/>
      </c>
      <c r="C2782">
        <f>IF(A2782="","",COUNTIF(Donasi!$B$2:$B$20000,A2782))</f>
        <v/>
      </c>
      <c r="D2782">
        <f>IF(A2782="","",SUMIF(Donasi!$B$2:$B$20000,A2782,Donasi!$C$2:$C$20000))</f>
        <v/>
      </c>
      <c r="E2782">
        <f>IF(A2782="","",6-CEILING(PERCENTRANK.INC($B$3:$B$6000,B2782,4)*5+0.000001,1))</f>
        <v/>
      </c>
      <c r="F2782">
        <f>IF(A2782="","",MAX(1,CEILING(PERCENTRANK.INC($C$3:$C$6000,C2782,4)*5+0.000001,1)))</f>
        <v/>
      </c>
      <c r="G2782">
        <f>IF(A2782="","",MAX(1,CEILING(PERCENTRANK.INC($D$3:$D$6000,D2782,4)*5+0.000001,1)))</f>
        <v/>
      </c>
      <c r="H2782">
        <f>IF(A2782="","",E2782&amp;F2782&amp;G2782)</f>
        <v/>
      </c>
      <c r="I2782">
        <f>IF(A2782="","",IF(AND(E2782&gt;=4,F2782&gt;=4,G2782&gt;=4),"Juara",IF(AND(F2782&gt;=4,E2782&gt;=3),"Setia",IF(AND(E2782=5,F2782&lt;=2,G2782&gt;=3),"Berpotensi",IF(AND(E2782&lt;=3,E2782&gt;=2,F2782&gt;=3),"Rawan",IF(AND(E2782&lt;=2,F2782&lt;=2),"Tidur","Umum"))))))</f>
        <v/>
      </c>
    </row>
    <row r="2783">
      <c r="B2783">
        <f>IF(A2783="","",$B$1-MAXIFS(Donasi!$A$2:$A$20000,Donasi!$B$2:$B$20000,A2783))</f>
        <v/>
      </c>
      <c r="C2783">
        <f>IF(A2783="","",COUNTIF(Donasi!$B$2:$B$20000,A2783))</f>
        <v/>
      </c>
      <c r="D2783">
        <f>IF(A2783="","",SUMIF(Donasi!$B$2:$B$20000,A2783,Donasi!$C$2:$C$20000))</f>
        <v/>
      </c>
      <c r="E2783">
        <f>IF(A2783="","",6-CEILING(PERCENTRANK.INC($B$3:$B$6000,B2783,4)*5+0.000001,1))</f>
        <v/>
      </c>
      <c r="F2783">
        <f>IF(A2783="","",MAX(1,CEILING(PERCENTRANK.INC($C$3:$C$6000,C2783,4)*5+0.000001,1)))</f>
        <v/>
      </c>
      <c r="G2783">
        <f>IF(A2783="","",MAX(1,CEILING(PERCENTRANK.INC($D$3:$D$6000,D2783,4)*5+0.000001,1)))</f>
        <v/>
      </c>
      <c r="H2783">
        <f>IF(A2783="","",E2783&amp;F2783&amp;G2783)</f>
        <v/>
      </c>
      <c r="I2783">
        <f>IF(A2783="","",IF(AND(E2783&gt;=4,F2783&gt;=4,G2783&gt;=4),"Juara",IF(AND(F2783&gt;=4,E2783&gt;=3),"Setia",IF(AND(E2783=5,F2783&lt;=2,G2783&gt;=3),"Berpotensi",IF(AND(E2783&lt;=3,E2783&gt;=2,F2783&gt;=3),"Rawan",IF(AND(E2783&lt;=2,F2783&lt;=2),"Tidur","Umum"))))))</f>
        <v/>
      </c>
    </row>
    <row r="2784">
      <c r="B2784">
        <f>IF(A2784="","",$B$1-MAXIFS(Donasi!$A$2:$A$20000,Donasi!$B$2:$B$20000,A2784))</f>
        <v/>
      </c>
      <c r="C2784">
        <f>IF(A2784="","",COUNTIF(Donasi!$B$2:$B$20000,A2784))</f>
        <v/>
      </c>
      <c r="D2784">
        <f>IF(A2784="","",SUMIF(Donasi!$B$2:$B$20000,A2784,Donasi!$C$2:$C$20000))</f>
        <v/>
      </c>
      <c r="E2784">
        <f>IF(A2784="","",6-CEILING(PERCENTRANK.INC($B$3:$B$6000,B2784,4)*5+0.000001,1))</f>
        <v/>
      </c>
      <c r="F2784">
        <f>IF(A2784="","",MAX(1,CEILING(PERCENTRANK.INC($C$3:$C$6000,C2784,4)*5+0.000001,1)))</f>
        <v/>
      </c>
      <c r="G2784">
        <f>IF(A2784="","",MAX(1,CEILING(PERCENTRANK.INC($D$3:$D$6000,D2784,4)*5+0.000001,1)))</f>
        <v/>
      </c>
      <c r="H2784">
        <f>IF(A2784="","",E2784&amp;F2784&amp;G2784)</f>
        <v/>
      </c>
      <c r="I2784">
        <f>IF(A2784="","",IF(AND(E2784&gt;=4,F2784&gt;=4,G2784&gt;=4),"Juara",IF(AND(F2784&gt;=4,E2784&gt;=3),"Setia",IF(AND(E2784=5,F2784&lt;=2,G2784&gt;=3),"Berpotensi",IF(AND(E2784&lt;=3,E2784&gt;=2,F2784&gt;=3),"Rawan",IF(AND(E2784&lt;=2,F2784&lt;=2),"Tidur","Umum"))))))</f>
        <v/>
      </c>
    </row>
    <row r="2785">
      <c r="B2785">
        <f>IF(A2785="","",$B$1-MAXIFS(Donasi!$A$2:$A$20000,Donasi!$B$2:$B$20000,A2785))</f>
        <v/>
      </c>
      <c r="C2785">
        <f>IF(A2785="","",COUNTIF(Donasi!$B$2:$B$20000,A2785))</f>
        <v/>
      </c>
      <c r="D2785">
        <f>IF(A2785="","",SUMIF(Donasi!$B$2:$B$20000,A2785,Donasi!$C$2:$C$20000))</f>
        <v/>
      </c>
      <c r="E2785">
        <f>IF(A2785="","",6-CEILING(PERCENTRANK.INC($B$3:$B$6000,B2785,4)*5+0.000001,1))</f>
        <v/>
      </c>
      <c r="F2785">
        <f>IF(A2785="","",MAX(1,CEILING(PERCENTRANK.INC($C$3:$C$6000,C2785,4)*5+0.000001,1)))</f>
        <v/>
      </c>
      <c r="G2785">
        <f>IF(A2785="","",MAX(1,CEILING(PERCENTRANK.INC($D$3:$D$6000,D2785,4)*5+0.000001,1)))</f>
        <v/>
      </c>
      <c r="H2785">
        <f>IF(A2785="","",E2785&amp;F2785&amp;G2785)</f>
        <v/>
      </c>
      <c r="I2785">
        <f>IF(A2785="","",IF(AND(E2785&gt;=4,F2785&gt;=4,G2785&gt;=4),"Juara",IF(AND(F2785&gt;=4,E2785&gt;=3),"Setia",IF(AND(E2785=5,F2785&lt;=2,G2785&gt;=3),"Berpotensi",IF(AND(E2785&lt;=3,E2785&gt;=2,F2785&gt;=3),"Rawan",IF(AND(E2785&lt;=2,F2785&lt;=2),"Tidur","Umum"))))))</f>
        <v/>
      </c>
    </row>
    <row r="2786">
      <c r="B2786">
        <f>IF(A2786="","",$B$1-MAXIFS(Donasi!$A$2:$A$20000,Donasi!$B$2:$B$20000,A2786))</f>
        <v/>
      </c>
      <c r="C2786">
        <f>IF(A2786="","",COUNTIF(Donasi!$B$2:$B$20000,A2786))</f>
        <v/>
      </c>
      <c r="D2786">
        <f>IF(A2786="","",SUMIF(Donasi!$B$2:$B$20000,A2786,Donasi!$C$2:$C$20000))</f>
        <v/>
      </c>
      <c r="E2786">
        <f>IF(A2786="","",6-CEILING(PERCENTRANK.INC($B$3:$B$6000,B2786,4)*5+0.000001,1))</f>
        <v/>
      </c>
      <c r="F2786">
        <f>IF(A2786="","",MAX(1,CEILING(PERCENTRANK.INC($C$3:$C$6000,C2786,4)*5+0.000001,1)))</f>
        <v/>
      </c>
      <c r="G2786">
        <f>IF(A2786="","",MAX(1,CEILING(PERCENTRANK.INC($D$3:$D$6000,D2786,4)*5+0.000001,1)))</f>
        <v/>
      </c>
      <c r="H2786">
        <f>IF(A2786="","",E2786&amp;F2786&amp;G2786)</f>
        <v/>
      </c>
      <c r="I2786">
        <f>IF(A2786="","",IF(AND(E2786&gt;=4,F2786&gt;=4,G2786&gt;=4),"Juara",IF(AND(F2786&gt;=4,E2786&gt;=3),"Setia",IF(AND(E2786=5,F2786&lt;=2,G2786&gt;=3),"Berpotensi",IF(AND(E2786&lt;=3,E2786&gt;=2,F2786&gt;=3),"Rawan",IF(AND(E2786&lt;=2,F2786&lt;=2),"Tidur","Umum"))))))</f>
        <v/>
      </c>
    </row>
    <row r="2787">
      <c r="B2787">
        <f>IF(A2787="","",$B$1-MAXIFS(Donasi!$A$2:$A$20000,Donasi!$B$2:$B$20000,A2787))</f>
        <v/>
      </c>
      <c r="C2787">
        <f>IF(A2787="","",COUNTIF(Donasi!$B$2:$B$20000,A2787))</f>
        <v/>
      </c>
      <c r="D2787">
        <f>IF(A2787="","",SUMIF(Donasi!$B$2:$B$20000,A2787,Donasi!$C$2:$C$20000))</f>
        <v/>
      </c>
      <c r="E2787">
        <f>IF(A2787="","",6-CEILING(PERCENTRANK.INC($B$3:$B$6000,B2787,4)*5+0.000001,1))</f>
        <v/>
      </c>
      <c r="F2787">
        <f>IF(A2787="","",MAX(1,CEILING(PERCENTRANK.INC($C$3:$C$6000,C2787,4)*5+0.000001,1)))</f>
        <v/>
      </c>
      <c r="G2787">
        <f>IF(A2787="","",MAX(1,CEILING(PERCENTRANK.INC($D$3:$D$6000,D2787,4)*5+0.000001,1)))</f>
        <v/>
      </c>
      <c r="H2787">
        <f>IF(A2787="","",E2787&amp;F2787&amp;G2787)</f>
        <v/>
      </c>
      <c r="I2787">
        <f>IF(A2787="","",IF(AND(E2787&gt;=4,F2787&gt;=4,G2787&gt;=4),"Juara",IF(AND(F2787&gt;=4,E2787&gt;=3),"Setia",IF(AND(E2787=5,F2787&lt;=2,G2787&gt;=3),"Berpotensi",IF(AND(E2787&lt;=3,E2787&gt;=2,F2787&gt;=3),"Rawan",IF(AND(E2787&lt;=2,F2787&lt;=2),"Tidur","Umum"))))))</f>
        <v/>
      </c>
    </row>
    <row r="2788">
      <c r="B2788">
        <f>IF(A2788="","",$B$1-MAXIFS(Donasi!$A$2:$A$20000,Donasi!$B$2:$B$20000,A2788))</f>
        <v/>
      </c>
      <c r="C2788">
        <f>IF(A2788="","",COUNTIF(Donasi!$B$2:$B$20000,A2788))</f>
        <v/>
      </c>
      <c r="D2788">
        <f>IF(A2788="","",SUMIF(Donasi!$B$2:$B$20000,A2788,Donasi!$C$2:$C$20000))</f>
        <v/>
      </c>
      <c r="E2788">
        <f>IF(A2788="","",6-CEILING(PERCENTRANK.INC($B$3:$B$6000,B2788,4)*5+0.000001,1))</f>
        <v/>
      </c>
      <c r="F2788">
        <f>IF(A2788="","",MAX(1,CEILING(PERCENTRANK.INC($C$3:$C$6000,C2788,4)*5+0.000001,1)))</f>
        <v/>
      </c>
      <c r="G2788">
        <f>IF(A2788="","",MAX(1,CEILING(PERCENTRANK.INC($D$3:$D$6000,D2788,4)*5+0.000001,1)))</f>
        <v/>
      </c>
      <c r="H2788">
        <f>IF(A2788="","",E2788&amp;F2788&amp;G2788)</f>
        <v/>
      </c>
      <c r="I2788">
        <f>IF(A2788="","",IF(AND(E2788&gt;=4,F2788&gt;=4,G2788&gt;=4),"Juara",IF(AND(F2788&gt;=4,E2788&gt;=3),"Setia",IF(AND(E2788=5,F2788&lt;=2,G2788&gt;=3),"Berpotensi",IF(AND(E2788&lt;=3,E2788&gt;=2,F2788&gt;=3),"Rawan",IF(AND(E2788&lt;=2,F2788&lt;=2),"Tidur","Umum"))))))</f>
        <v/>
      </c>
    </row>
    <row r="2789">
      <c r="B2789">
        <f>IF(A2789="","",$B$1-MAXIFS(Donasi!$A$2:$A$20000,Donasi!$B$2:$B$20000,A2789))</f>
        <v/>
      </c>
      <c r="C2789">
        <f>IF(A2789="","",COUNTIF(Donasi!$B$2:$B$20000,A2789))</f>
        <v/>
      </c>
      <c r="D2789">
        <f>IF(A2789="","",SUMIF(Donasi!$B$2:$B$20000,A2789,Donasi!$C$2:$C$20000))</f>
        <v/>
      </c>
      <c r="E2789">
        <f>IF(A2789="","",6-CEILING(PERCENTRANK.INC($B$3:$B$6000,B2789,4)*5+0.000001,1))</f>
        <v/>
      </c>
      <c r="F2789">
        <f>IF(A2789="","",MAX(1,CEILING(PERCENTRANK.INC($C$3:$C$6000,C2789,4)*5+0.000001,1)))</f>
        <v/>
      </c>
      <c r="G2789">
        <f>IF(A2789="","",MAX(1,CEILING(PERCENTRANK.INC($D$3:$D$6000,D2789,4)*5+0.000001,1)))</f>
        <v/>
      </c>
      <c r="H2789">
        <f>IF(A2789="","",E2789&amp;F2789&amp;G2789)</f>
        <v/>
      </c>
      <c r="I2789">
        <f>IF(A2789="","",IF(AND(E2789&gt;=4,F2789&gt;=4,G2789&gt;=4),"Juara",IF(AND(F2789&gt;=4,E2789&gt;=3),"Setia",IF(AND(E2789=5,F2789&lt;=2,G2789&gt;=3),"Berpotensi",IF(AND(E2789&lt;=3,E2789&gt;=2,F2789&gt;=3),"Rawan",IF(AND(E2789&lt;=2,F2789&lt;=2),"Tidur","Umum"))))))</f>
        <v/>
      </c>
    </row>
    <row r="2790">
      <c r="B2790">
        <f>IF(A2790="","",$B$1-MAXIFS(Donasi!$A$2:$A$20000,Donasi!$B$2:$B$20000,A2790))</f>
        <v/>
      </c>
      <c r="C2790">
        <f>IF(A2790="","",COUNTIF(Donasi!$B$2:$B$20000,A2790))</f>
        <v/>
      </c>
      <c r="D2790">
        <f>IF(A2790="","",SUMIF(Donasi!$B$2:$B$20000,A2790,Donasi!$C$2:$C$20000))</f>
        <v/>
      </c>
      <c r="E2790">
        <f>IF(A2790="","",6-CEILING(PERCENTRANK.INC($B$3:$B$6000,B2790,4)*5+0.000001,1))</f>
        <v/>
      </c>
      <c r="F2790">
        <f>IF(A2790="","",MAX(1,CEILING(PERCENTRANK.INC($C$3:$C$6000,C2790,4)*5+0.000001,1)))</f>
        <v/>
      </c>
      <c r="G2790">
        <f>IF(A2790="","",MAX(1,CEILING(PERCENTRANK.INC($D$3:$D$6000,D2790,4)*5+0.000001,1)))</f>
        <v/>
      </c>
      <c r="H2790">
        <f>IF(A2790="","",E2790&amp;F2790&amp;G2790)</f>
        <v/>
      </c>
      <c r="I2790">
        <f>IF(A2790="","",IF(AND(E2790&gt;=4,F2790&gt;=4,G2790&gt;=4),"Juara",IF(AND(F2790&gt;=4,E2790&gt;=3),"Setia",IF(AND(E2790=5,F2790&lt;=2,G2790&gt;=3),"Berpotensi",IF(AND(E2790&lt;=3,E2790&gt;=2,F2790&gt;=3),"Rawan",IF(AND(E2790&lt;=2,F2790&lt;=2),"Tidur","Umum"))))))</f>
        <v/>
      </c>
    </row>
    <row r="2791">
      <c r="B2791">
        <f>IF(A2791="","",$B$1-MAXIFS(Donasi!$A$2:$A$20000,Donasi!$B$2:$B$20000,A2791))</f>
        <v/>
      </c>
      <c r="C2791">
        <f>IF(A2791="","",COUNTIF(Donasi!$B$2:$B$20000,A2791))</f>
        <v/>
      </c>
      <c r="D2791">
        <f>IF(A2791="","",SUMIF(Donasi!$B$2:$B$20000,A2791,Donasi!$C$2:$C$20000))</f>
        <v/>
      </c>
      <c r="E2791">
        <f>IF(A2791="","",6-CEILING(PERCENTRANK.INC($B$3:$B$6000,B2791,4)*5+0.000001,1))</f>
        <v/>
      </c>
      <c r="F2791">
        <f>IF(A2791="","",MAX(1,CEILING(PERCENTRANK.INC($C$3:$C$6000,C2791,4)*5+0.000001,1)))</f>
        <v/>
      </c>
      <c r="G2791">
        <f>IF(A2791="","",MAX(1,CEILING(PERCENTRANK.INC($D$3:$D$6000,D2791,4)*5+0.000001,1)))</f>
        <v/>
      </c>
      <c r="H2791">
        <f>IF(A2791="","",E2791&amp;F2791&amp;G2791)</f>
        <v/>
      </c>
      <c r="I2791">
        <f>IF(A2791="","",IF(AND(E2791&gt;=4,F2791&gt;=4,G2791&gt;=4),"Juara",IF(AND(F2791&gt;=4,E2791&gt;=3),"Setia",IF(AND(E2791=5,F2791&lt;=2,G2791&gt;=3),"Berpotensi",IF(AND(E2791&lt;=3,E2791&gt;=2,F2791&gt;=3),"Rawan",IF(AND(E2791&lt;=2,F2791&lt;=2),"Tidur","Umum"))))))</f>
        <v/>
      </c>
    </row>
    <row r="2792">
      <c r="B2792">
        <f>IF(A2792="","",$B$1-MAXIFS(Donasi!$A$2:$A$20000,Donasi!$B$2:$B$20000,A2792))</f>
        <v/>
      </c>
      <c r="C2792">
        <f>IF(A2792="","",COUNTIF(Donasi!$B$2:$B$20000,A2792))</f>
        <v/>
      </c>
      <c r="D2792">
        <f>IF(A2792="","",SUMIF(Donasi!$B$2:$B$20000,A2792,Donasi!$C$2:$C$20000))</f>
        <v/>
      </c>
      <c r="E2792">
        <f>IF(A2792="","",6-CEILING(PERCENTRANK.INC($B$3:$B$6000,B2792,4)*5+0.000001,1))</f>
        <v/>
      </c>
      <c r="F2792">
        <f>IF(A2792="","",MAX(1,CEILING(PERCENTRANK.INC($C$3:$C$6000,C2792,4)*5+0.000001,1)))</f>
        <v/>
      </c>
      <c r="G2792">
        <f>IF(A2792="","",MAX(1,CEILING(PERCENTRANK.INC($D$3:$D$6000,D2792,4)*5+0.000001,1)))</f>
        <v/>
      </c>
      <c r="H2792">
        <f>IF(A2792="","",E2792&amp;F2792&amp;G2792)</f>
        <v/>
      </c>
      <c r="I2792">
        <f>IF(A2792="","",IF(AND(E2792&gt;=4,F2792&gt;=4,G2792&gt;=4),"Juara",IF(AND(F2792&gt;=4,E2792&gt;=3),"Setia",IF(AND(E2792=5,F2792&lt;=2,G2792&gt;=3),"Berpotensi",IF(AND(E2792&lt;=3,E2792&gt;=2,F2792&gt;=3),"Rawan",IF(AND(E2792&lt;=2,F2792&lt;=2),"Tidur","Umum"))))))</f>
        <v/>
      </c>
    </row>
    <row r="2793">
      <c r="B2793">
        <f>IF(A2793="","",$B$1-MAXIFS(Donasi!$A$2:$A$20000,Donasi!$B$2:$B$20000,A2793))</f>
        <v/>
      </c>
      <c r="C2793">
        <f>IF(A2793="","",COUNTIF(Donasi!$B$2:$B$20000,A2793))</f>
        <v/>
      </c>
      <c r="D2793">
        <f>IF(A2793="","",SUMIF(Donasi!$B$2:$B$20000,A2793,Donasi!$C$2:$C$20000))</f>
        <v/>
      </c>
      <c r="E2793">
        <f>IF(A2793="","",6-CEILING(PERCENTRANK.INC($B$3:$B$6000,B2793,4)*5+0.000001,1))</f>
        <v/>
      </c>
      <c r="F2793">
        <f>IF(A2793="","",MAX(1,CEILING(PERCENTRANK.INC($C$3:$C$6000,C2793,4)*5+0.000001,1)))</f>
        <v/>
      </c>
      <c r="G2793">
        <f>IF(A2793="","",MAX(1,CEILING(PERCENTRANK.INC($D$3:$D$6000,D2793,4)*5+0.000001,1)))</f>
        <v/>
      </c>
      <c r="H2793">
        <f>IF(A2793="","",E2793&amp;F2793&amp;G2793)</f>
        <v/>
      </c>
      <c r="I2793">
        <f>IF(A2793="","",IF(AND(E2793&gt;=4,F2793&gt;=4,G2793&gt;=4),"Juara",IF(AND(F2793&gt;=4,E2793&gt;=3),"Setia",IF(AND(E2793=5,F2793&lt;=2,G2793&gt;=3),"Berpotensi",IF(AND(E2793&lt;=3,E2793&gt;=2,F2793&gt;=3),"Rawan",IF(AND(E2793&lt;=2,F2793&lt;=2),"Tidur","Umum"))))))</f>
        <v/>
      </c>
    </row>
    <row r="2794">
      <c r="B2794">
        <f>IF(A2794="","",$B$1-MAXIFS(Donasi!$A$2:$A$20000,Donasi!$B$2:$B$20000,A2794))</f>
        <v/>
      </c>
      <c r="C2794">
        <f>IF(A2794="","",COUNTIF(Donasi!$B$2:$B$20000,A2794))</f>
        <v/>
      </c>
      <c r="D2794">
        <f>IF(A2794="","",SUMIF(Donasi!$B$2:$B$20000,A2794,Donasi!$C$2:$C$20000))</f>
        <v/>
      </c>
      <c r="E2794">
        <f>IF(A2794="","",6-CEILING(PERCENTRANK.INC($B$3:$B$6000,B2794,4)*5+0.000001,1))</f>
        <v/>
      </c>
      <c r="F2794">
        <f>IF(A2794="","",MAX(1,CEILING(PERCENTRANK.INC($C$3:$C$6000,C2794,4)*5+0.000001,1)))</f>
        <v/>
      </c>
      <c r="G2794">
        <f>IF(A2794="","",MAX(1,CEILING(PERCENTRANK.INC($D$3:$D$6000,D2794,4)*5+0.000001,1)))</f>
        <v/>
      </c>
      <c r="H2794">
        <f>IF(A2794="","",E2794&amp;F2794&amp;G2794)</f>
        <v/>
      </c>
      <c r="I2794">
        <f>IF(A2794="","",IF(AND(E2794&gt;=4,F2794&gt;=4,G2794&gt;=4),"Juara",IF(AND(F2794&gt;=4,E2794&gt;=3),"Setia",IF(AND(E2794=5,F2794&lt;=2,G2794&gt;=3),"Berpotensi",IF(AND(E2794&lt;=3,E2794&gt;=2,F2794&gt;=3),"Rawan",IF(AND(E2794&lt;=2,F2794&lt;=2),"Tidur","Umum"))))))</f>
        <v/>
      </c>
    </row>
    <row r="2795">
      <c r="B2795">
        <f>IF(A2795="","",$B$1-MAXIFS(Donasi!$A$2:$A$20000,Donasi!$B$2:$B$20000,A2795))</f>
        <v/>
      </c>
      <c r="C2795">
        <f>IF(A2795="","",COUNTIF(Donasi!$B$2:$B$20000,A2795))</f>
        <v/>
      </c>
      <c r="D2795">
        <f>IF(A2795="","",SUMIF(Donasi!$B$2:$B$20000,A2795,Donasi!$C$2:$C$20000))</f>
        <v/>
      </c>
      <c r="E2795">
        <f>IF(A2795="","",6-CEILING(PERCENTRANK.INC($B$3:$B$6000,B2795,4)*5+0.000001,1))</f>
        <v/>
      </c>
      <c r="F2795">
        <f>IF(A2795="","",MAX(1,CEILING(PERCENTRANK.INC($C$3:$C$6000,C2795,4)*5+0.000001,1)))</f>
        <v/>
      </c>
      <c r="G2795">
        <f>IF(A2795="","",MAX(1,CEILING(PERCENTRANK.INC($D$3:$D$6000,D2795,4)*5+0.000001,1)))</f>
        <v/>
      </c>
      <c r="H2795">
        <f>IF(A2795="","",E2795&amp;F2795&amp;G2795)</f>
        <v/>
      </c>
      <c r="I2795">
        <f>IF(A2795="","",IF(AND(E2795&gt;=4,F2795&gt;=4,G2795&gt;=4),"Juara",IF(AND(F2795&gt;=4,E2795&gt;=3),"Setia",IF(AND(E2795=5,F2795&lt;=2,G2795&gt;=3),"Berpotensi",IF(AND(E2795&lt;=3,E2795&gt;=2,F2795&gt;=3),"Rawan",IF(AND(E2795&lt;=2,F2795&lt;=2),"Tidur","Umum"))))))</f>
        <v/>
      </c>
    </row>
    <row r="2796">
      <c r="B2796">
        <f>IF(A2796="","",$B$1-MAXIFS(Donasi!$A$2:$A$20000,Donasi!$B$2:$B$20000,A2796))</f>
        <v/>
      </c>
      <c r="C2796">
        <f>IF(A2796="","",COUNTIF(Donasi!$B$2:$B$20000,A2796))</f>
        <v/>
      </c>
      <c r="D2796">
        <f>IF(A2796="","",SUMIF(Donasi!$B$2:$B$20000,A2796,Donasi!$C$2:$C$20000))</f>
        <v/>
      </c>
      <c r="E2796">
        <f>IF(A2796="","",6-CEILING(PERCENTRANK.INC($B$3:$B$6000,B2796,4)*5+0.000001,1))</f>
        <v/>
      </c>
      <c r="F2796">
        <f>IF(A2796="","",MAX(1,CEILING(PERCENTRANK.INC($C$3:$C$6000,C2796,4)*5+0.000001,1)))</f>
        <v/>
      </c>
      <c r="G2796">
        <f>IF(A2796="","",MAX(1,CEILING(PERCENTRANK.INC($D$3:$D$6000,D2796,4)*5+0.000001,1)))</f>
        <v/>
      </c>
      <c r="H2796">
        <f>IF(A2796="","",E2796&amp;F2796&amp;G2796)</f>
        <v/>
      </c>
      <c r="I2796">
        <f>IF(A2796="","",IF(AND(E2796&gt;=4,F2796&gt;=4,G2796&gt;=4),"Juara",IF(AND(F2796&gt;=4,E2796&gt;=3),"Setia",IF(AND(E2796=5,F2796&lt;=2,G2796&gt;=3),"Berpotensi",IF(AND(E2796&lt;=3,E2796&gt;=2,F2796&gt;=3),"Rawan",IF(AND(E2796&lt;=2,F2796&lt;=2),"Tidur","Umum"))))))</f>
        <v/>
      </c>
    </row>
    <row r="2797">
      <c r="B2797">
        <f>IF(A2797="","",$B$1-MAXIFS(Donasi!$A$2:$A$20000,Donasi!$B$2:$B$20000,A2797))</f>
        <v/>
      </c>
      <c r="C2797">
        <f>IF(A2797="","",COUNTIF(Donasi!$B$2:$B$20000,A2797))</f>
        <v/>
      </c>
      <c r="D2797">
        <f>IF(A2797="","",SUMIF(Donasi!$B$2:$B$20000,A2797,Donasi!$C$2:$C$20000))</f>
        <v/>
      </c>
      <c r="E2797">
        <f>IF(A2797="","",6-CEILING(PERCENTRANK.INC($B$3:$B$6000,B2797,4)*5+0.000001,1))</f>
        <v/>
      </c>
      <c r="F2797">
        <f>IF(A2797="","",MAX(1,CEILING(PERCENTRANK.INC($C$3:$C$6000,C2797,4)*5+0.000001,1)))</f>
        <v/>
      </c>
      <c r="G2797">
        <f>IF(A2797="","",MAX(1,CEILING(PERCENTRANK.INC($D$3:$D$6000,D2797,4)*5+0.000001,1)))</f>
        <v/>
      </c>
      <c r="H2797">
        <f>IF(A2797="","",E2797&amp;F2797&amp;G2797)</f>
        <v/>
      </c>
      <c r="I2797">
        <f>IF(A2797="","",IF(AND(E2797&gt;=4,F2797&gt;=4,G2797&gt;=4),"Juara",IF(AND(F2797&gt;=4,E2797&gt;=3),"Setia",IF(AND(E2797=5,F2797&lt;=2,G2797&gt;=3),"Berpotensi",IF(AND(E2797&lt;=3,E2797&gt;=2,F2797&gt;=3),"Rawan",IF(AND(E2797&lt;=2,F2797&lt;=2),"Tidur","Umum"))))))</f>
        <v/>
      </c>
    </row>
    <row r="2798">
      <c r="B2798">
        <f>IF(A2798="","",$B$1-MAXIFS(Donasi!$A$2:$A$20000,Donasi!$B$2:$B$20000,A2798))</f>
        <v/>
      </c>
      <c r="C2798">
        <f>IF(A2798="","",COUNTIF(Donasi!$B$2:$B$20000,A2798))</f>
        <v/>
      </c>
      <c r="D2798">
        <f>IF(A2798="","",SUMIF(Donasi!$B$2:$B$20000,A2798,Donasi!$C$2:$C$20000))</f>
        <v/>
      </c>
      <c r="E2798">
        <f>IF(A2798="","",6-CEILING(PERCENTRANK.INC($B$3:$B$6000,B2798,4)*5+0.000001,1))</f>
        <v/>
      </c>
      <c r="F2798">
        <f>IF(A2798="","",MAX(1,CEILING(PERCENTRANK.INC($C$3:$C$6000,C2798,4)*5+0.000001,1)))</f>
        <v/>
      </c>
      <c r="G2798">
        <f>IF(A2798="","",MAX(1,CEILING(PERCENTRANK.INC($D$3:$D$6000,D2798,4)*5+0.000001,1)))</f>
        <v/>
      </c>
      <c r="H2798">
        <f>IF(A2798="","",E2798&amp;F2798&amp;G2798)</f>
        <v/>
      </c>
      <c r="I2798">
        <f>IF(A2798="","",IF(AND(E2798&gt;=4,F2798&gt;=4,G2798&gt;=4),"Juara",IF(AND(F2798&gt;=4,E2798&gt;=3),"Setia",IF(AND(E2798=5,F2798&lt;=2,G2798&gt;=3),"Berpotensi",IF(AND(E2798&lt;=3,E2798&gt;=2,F2798&gt;=3),"Rawan",IF(AND(E2798&lt;=2,F2798&lt;=2),"Tidur","Umum"))))))</f>
        <v/>
      </c>
    </row>
    <row r="2799">
      <c r="B2799">
        <f>IF(A2799="","",$B$1-MAXIFS(Donasi!$A$2:$A$20000,Donasi!$B$2:$B$20000,A2799))</f>
        <v/>
      </c>
      <c r="C2799">
        <f>IF(A2799="","",COUNTIF(Donasi!$B$2:$B$20000,A2799))</f>
        <v/>
      </c>
      <c r="D2799">
        <f>IF(A2799="","",SUMIF(Donasi!$B$2:$B$20000,A2799,Donasi!$C$2:$C$20000))</f>
        <v/>
      </c>
      <c r="E2799">
        <f>IF(A2799="","",6-CEILING(PERCENTRANK.INC($B$3:$B$6000,B2799,4)*5+0.000001,1))</f>
        <v/>
      </c>
      <c r="F2799">
        <f>IF(A2799="","",MAX(1,CEILING(PERCENTRANK.INC($C$3:$C$6000,C2799,4)*5+0.000001,1)))</f>
        <v/>
      </c>
      <c r="G2799">
        <f>IF(A2799="","",MAX(1,CEILING(PERCENTRANK.INC($D$3:$D$6000,D2799,4)*5+0.000001,1)))</f>
        <v/>
      </c>
      <c r="H2799">
        <f>IF(A2799="","",E2799&amp;F2799&amp;G2799)</f>
        <v/>
      </c>
      <c r="I2799">
        <f>IF(A2799="","",IF(AND(E2799&gt;=4,F2799&gt;=4,G2799&gt;=4),"Juara",IF(AND(F2799&gt;=4,E2799&gt;=3),"Setia",IF(AND(E2799=5,F2799&lt;=2,G2799&gt;=3),"Berpotensi",IF(AND(E2799&lt;=3,E2799&gt;=2,F2799&gt;=3),"Rawan",IF(AND(E2799&lt;=2,F2799&lt;=2),"Tidur","Umum"))))))</f>
        <v/>
      </c>
    </row>
    <row r="2800">
      <c r="B2800">
        <f>IF(A2800="","",$B$1-MAXIFS(Donasi!$A$2:$A$20000,Donasi!$B$2:$B$20000,A2800))</f>
        <v/>
      </c>
      <c r="C2800">
        <f>IF(A2800="","",COUNTIF(Donasi!$B$2:$B$20000,A2800))</f>
        <v/>
      </c>
      <c r="D2800">
        <f>IF(A2800="","",SUMIF(Donasi!$B$2:$B$20000,A2800,Donasi!$C$2:$C$20000))</f>
        <v/>
      </c>
      <c r="E2800">
        <f>IF(A2800="","",6-CEILING(PERCENTRANK.INC($B$3:$B$6000,B2800,4)*5+0.000001,1))</f>
        <v/>
      </c>
      <c r="F2800">
        <f>IF(A2800="","",MAX(1,CEILING(PERCENTRANK.INC($C$3:$C$6000,C2800,4)*5+0.000001,1)))</f>
        <v/>
      </c>
      <c r="G2800">
        <f>IF(A2800="","",MAX(1,CEILING(PERCENTRANK.INC($D$3:$D$6000,D2800,4)*5+0.000001,1)))</f>
        <v/>
      </c>
      <c r="H2800">
        <f>IF(A2800="","",E2800&amp;F2800&amp;G2800)</f>
        <v/>
      </c>
      <c r="I2800">
        <f>IF(A2800="","",IF(AND(E2800&gt;=4,F2800&gt;=4,G2800&gt;=4),"Juara",IF(AND(F2800&gt;=4,E2800&gt;=3),"Setia",IF(AND(E2800=5,F2800&lt;=2,G2800&gt;=3),"Berpotensi",IF(AND(E2800&lt;=3,E2800&gt;=2,F2800&gt;=3),"Rawan",IF(AND(E2800&lt;=2,F2800&lt;=2),"Tidur","Umum"))))))</f>
        <v/>
      </c>
    </row>
    <row r="2801">
      <c r="B2801">
        <f>IF(A2801="","",$B$1-MAXIFS(Donasi!$A$2:$A$20000,Donasi!$B$2:$B$20000,A2801))</f>
        <v/>
      </c>
      <c r="C2801">
        <f>IF(A2801="","",COUNTIF(Donasi!$B$2:$B$20000,A2801))</f>
        <v/>
      </c>
      <c r="D2801">
        <f>IF(A2801="","",SUMIF(Donasi!$B$2:$B$20000,A2801,Donasi!$C$2:$C$20000))</f>
        <v/>
      </c>
      <c r="E2801">
        <f>IF(A2801="","",6-CEILING(PERCENTRANK.INC($B$3:$B$6000,B2801,4)*5+0.000001,1))</f>
        <v/>
      </c>
      <c r="F2801">
        <f>IF(A2801="","",MAX(1,CEILING(PERCENTRANK.INC($C$3:$C$6000,C2801,4)*5+0.000001,1)))</f>
        <v/>
      </c>
      <c r="G2801">
        <f>IF(A2801="","",MAX(1,CEILING(PERCENTRANK.INC($D$3:$D$6000,D2801,4)*5+0.000001,1)))</f>
        <v/>
      </c>
      <c r="H2801">
        <f>IF(A2801="","",E2801&amp;F2801&amp;G2801)</f>
        <v/>
      </c>
      <c r="I2801">
        <f>IF(A2801="","",IF(AND(E2801&gt;=4,F2801&gt;=4,G2801&gt;=4),"Juara",IF(AND(F2801&gt;=4,E2801&gt;=3),"Setia",IF(AND(E2801=5,F2801&lt;=2,G2801&gt;=3),"Berpotensi",IF(AND(E2801&lt;=3,E2801&gt;=2,F2801&gt;=3),"Rawan",IF(AND(E2801&lt;=2,F2801&lt;=2),"Tidur","Umum"))))))</f>
        <v/>
      </c>
    </row>
    <row r="2802">
      <c r="B2802">
        <f>IF(A2802="","",$B$1-MAXIFS(Donasi!$A$2:$A$20000,Donasi!$B$2:$B$20000,A2802))</f>
        <v/>
      </c>
      <c r="C2802">
        <f>IF(A2802="","",COUNTIF(Donasi!$B$2:$B$20000,A2802))</f>
        <v/>
      </c>
      <c r="D2802">
        <f>IF(A2802="","",SUMIF(Donasi!$B$2:$B$20000,A2802,Donasi!$C$2:$C$20000))</f>
        <v/>
      </c>
      <c r="E2802">
        <f>IF(A2802="","",6-CEILING(PERCENTRANK.INC($B$3:$B$6000,B2802,4)*5+0.000001,1))</f>
        <v/>
      </c>
      <c r="F2802">
        <f>IF(A2802="","",MAX(1,CEILING(PERCENTRANK.INC($C$3:$C$6000,C2802,4)*5+0.000001,1)))</f>
        <v/>
      </c>
      <c r="G2802">
        <f>IF(A2802="","",MAX(1,CEILING(PERCENTRANK.INC($D$3:$D$6000,D2802,4)*5+0.000001,1)))</f>
        <v/>
      </c>
      <c r="H2802">
        <f>IF(A2802="","",E2802&amp;F2802&amp;G2802)</f>
        <v/>
      </c>
      <c r="I2802">
        <f>IF(A2802="","",IF(AND(E2802&gt;=4,F2802&gt;=4,G2802&gt;=4),"Juara",IF(AND(F2802&gt;=4,E2802&gt;=3),"Setia",IF(AND(E2802=5,F2802&lt;=2,G2802&gt;=3),"Berpotensi",IF(AND(E2802&lt;=3,E2802&gt;=2,F2802&gt;=3),"Rawan",IF(AND(E2802&lt;=2,F2802&lt;=2),"Tidur","Umum"))))))</f>
        <v/>
      </c>
    </row>
    <row r="2803">
      <c r="B2803">
        <f>IF(A2803="","",$B$1-MAXIFS(Donasi!$A$2:$A$20000,Donasi!$B$2:$B$20000,A2803))</f>
        <v/>
      </c>
      <c r="C2803">
        <f>IF(A2803="","",COUNTIF(Donasi!$B$2:$B$20000,A2803))</f>
        <v/>
      </c>
      <c r="D2803">
        <f>IF(A2803="","",SUMIF(Donasi!$B$2:$B$20000,A2803,Donasi!$C$2:$C$20000))</f>
        <v/>
      </c>
      <c r="E2803">
        <f>IF(A2803="","",6-CEILING(PERCENTRANK.INC($B$3:$B$6000,B2803,4)*5+0.000001,1))</f>
        <v/>
      </c>
      <c r="F2803">
        <f>IF(A2803="","",MAX(1,CEILING(PERCENTRANK.INC($C$3:$C$6000,C2803,4)*5+0.000001,1)))</f>
        <v/>
      </c>
      <c r="G2803">
        <f>IF(A2803="","",MAX(1,CEILING(PERCENTRANK.INC($D$3:$D$6000,D2803,4)*5+0.000001,1)))</f>
        <v/>
      </c>
      <c r="H2803">
        <f>IF(A2803="","",E2803&amp;F2803&amp;G2803)</f>
        <v/>
      </c>
      <c r="I2803">
        <f>IF(A2803="","",IF(AND(E2803&gt;=4,F2803&gt;=4,G2803&gt;=4),"Juara",IF(AND(F2803&gt;=4,E2803&gt;=3),"Setia",IF(AND(E2803=5,F2803&lt;=2,G2803&gt;=3),"Berpotensi",IF(AND(E2803&lt;=3,E2803&gt;=2,F2803&gt;=3),"Rawan",IF(AND(E2803&lt;=2,F2803&lt;=2),"Tidur","Umum"))))))</f>
        <v/>
      </c>
    </row>
    <row r="2804">
      <c r="B2804">
        <f>IF(A2804="","",$B$1-MAXIFS(Donasi!$A$2:$A$20000,Donasi!$B$2:$B$20000,A2804))</f>
        <v/>
      </c>
      <c r="C2804">
        <f>IF(A2804="","",COUNTIF(Donasi!$B$2:$B$20000,A2804))</f>
        <v/>
      </c>
      <c r="D2804">
        <f>IF(A2804="","",SUMIF(Donasi!$B$2:$B$20000,A2804,Donasi!$C$2:$C$20000))</f>
        <v/>
      </c>
      <c r="E2804">
        <f>IF(A2804="","",6-CEILING(PERCENTRANK.INC($B$3:$B$6000,B2804,4)*5+0.000001,1))</f>
        <v/>
      </c>
      <c r="F2804">
        <f>IF(A2804="","",MAX(1,CEILING(PERCENTRANK.INC($C$3:$C$6000,C2804,4)*5+0.000001,1)))</f>
        <v/>
      </c>
      <c r="G2804">
        <f>IF(A2804="","",MAX(1,CEILING(PERCENTRANK.INC($D$3:$D$6000,D2804,4)*5+0.000001,1)))</f>
        <v/>
      </c>
      <c r="H2804">
        <f>IF(A2804="","",E2804&amp;F2804&amp;G2804)</f>
        <v/>
      </c>
      <c r="I2804">
        <f>IF(A2804="","",IF(AND(E2804&gt;=4,F2804&gt;=4,G2804&gt;=4),"Juara",IF(AND(F2804&gt;=4,E2804&gt;=3),"Setia",IF(AND(E2804=5,F2804&lt;=2,G2804&gt;=3),"Berpotensi",IF(AND(E2804&lt;=3,E2804&gt;=2,F2804&gt;=3),"Rawan",IF(AND(E2804&lt;=2,F2804&lt;=2),"Tidur","Umum"))))))</f>
        <v/>
      </c>
    </row>
    <row r="2805">
      <c r="B2805">
        <f>IF(A2805="","",$B$1-MAXIFS(Donasi!$A$2:$A$20000,Donasi!$B$2:$B$20000,A2805))</f>
        <v/>
      </c>
      <c r="C2805">
        <f>IF(A2805="","",COUNTIF(Donasi!$B$2:$B$20000,A2805))</f>
        <v/>
      </c>
      <c r="D2805">
        <f>IF(A2805="","",SUMIF(Donasi!$B$2:$B$20000,A2805,Donasi!$C$2:$C$20000))</f>
        <v/>
      </c>
      <c r="E2805">
        <f>IF(A2805="","",6-CEILING(PERCENTRANK.INC($B$3:$B$6000,B2805,4)*5+0.000001,1))</f>
        <v/>
      </c>
      <c r="F2805">
        <f>IF(A2805="","",MAX(1,CEILING(PERCENTRANK.INC($C$3:$C$6000,C2805,4)*5+0.000001,1)))</f>
        <v/>
      </c>
      <c r="G2805">
        <f>IF(A2805="","",MAX(1,CEILING(PERCENTRANK.INC($D$3:$D$6000,D2805,4)*5+0.000001,1)))</f>
        <v/>
      </c>
      <c r="H2805">
        <f>IF(A2805="","",E2805&amp;F2805&amp;G2805)</f>
        <v/>
      </c>
      <c r="I2805">
        <f>IF(A2805="","",IF(AND(E2805&gt;=4,F2805&gt;=4,G2805&gt;=4),"Juara",IF(AND(F2805&gt;=4,E2805&gt;=3),"Setia",IF(AND(E2805=5,F2805&lt;=2,G2805&gt;=3),"Berpotensi",IF(AND(E2805&lt;=3,E2805&gt;=2,F2805&gt;=3),"Rawan",IF(AND(E2805&lt;=2,F2805&lt;=2),"Tidur","Umum"))))))</f>
        <v/>
      </c>
    </row>
    <row r="2806">
      <c r="B2806">
        <f>IF(A2806="","",$B$1-MAXIFS(Donasi!$A$2:$A$20000,Donasi!$B$2:$B$20000,A2806))</f>
        <v/>
      </c>
      <c r="C2806">
        <f>IF(A2806="","",COUNTIF(Donasi!$B$2:$B$20000,A2806))</f>
        <v/>
      </c>
      <c r="D2806">
        <f>IF(A2806="","",SUMIF(Donasi!$B$2:$B$20000,A2806,Donasi!$C$2:$C$20000))</f>
        <v/>
      </c>
      <c r="E2806">
        <f>IF(A2806="","",6-CEILING(PERCENTRANK.INC($B$3:$B$6000,B2806,4)*5+0.000001,1))</f>
        <v/>
      </c>
      <c r="F2806">
        <f>IF(A2806="","",MAX(1,CEILING(PERCENTRANK.INC($C$3:$C$6000,C2806,4)*5+0.000001,1)))</f>
        <v/>
      </c>
      <c r="G2806">
        <f>IF(A2806="","",MAX(1,CEILING(PERCENTRANK.INC($D$3:$D$6000,D2806,4)*5+0.000001,1)))</f>
        <v/>
      </c>
      <c r="H2806">
        <f>IF(A2806="","",E2806&amp;F2806&amp;G2806)</f>
        <v/>
      </c>
      <c r="I2806">
        <f>IF(A2806="","",IF(AND(E2806&gt;=4,F2806&gt;=4,G2806&gt;=4),"Juara",IF(AND(F2806&gt;=4,E2806&gt;=3),"Setia",IF(AND(E2806=5,F2806&lt;=2,G2806&gt;=3),"Berpotensi",IF(AND(E2806&lt;=3,E2806&gt;=2,F2806&gt;=3),"Rawan",IF(AND(E2806&lt;=2,F2806&lt;=2),"Tidur","Umum"))))))</f>
        <v/>
      </c>
    </row>
    <row r="2807">
      <c r="B2807">
        <f>IF(A2807="","",$B$1-MAXIFS(Donasi!$A$2:$A$20000,Donasi!$B$2:$B$20000,A2807))</f>
        <v/>
      </c>
      <c r="C2807">
        <f>IF(A2807="","",COUNTIF(Donasi!$B$2:$B$20000,A2807))</f>
        <v/>
      </c>
      <c r="D2807">
        <f>IF(A2807="","",SUMIF(Donasi!$B$2:$B$20000,A2807,Donasi!$C$2:$C$20000))</f>
        <v/>
      </c>
      <c r="E2807">
        <f>IF(A2807="","",6-CEILING(PERCENTRANK.INC($B$3:$B$6000,B2807,4)*5+0.000001,1))</f>
        <v/>
      </c>
      <c r="F2807">
        <f>IF(A2807="","",MAX(1,CEILING(PERCENTRANK.INC($C$3:$C$6000,C2807,4)*5+0.000001,1)))</f>
        <v/>
      </c>
      <c r="G2807">
        <f>IF(A2807="","",MAX(1,CEILING(PERCENTRANK.INC($D$3:$D$6000,D2807,4)*5+0.000001,1)))</f>
        <v/>
      </c>
      <c r="H2807">
        <f>IF(A2807="","",E2807&amp;F2807&amp;G2807)</f>
        <v/>
      </c>
      <c r="I2807">
        <f>IF(A2807="","",IF(AND(E2807&gt;=4,F2807&gt;=4,G2807&gt;=4),"Juara",IF(AND(F2807&gt;=4,E2807&gt;=3),"Setia",IF(AND(E2807=5,F2807&lt;=2,G2807&gt;=3),"Berpotensi",IF(AND(E2807&lt;=3,E2807&gt;=2,F2807&gt;=3),"Rawan",IF(AND(E2807&lt;=2,F2807&lt;=2),"Tidur","Umum"))))))</f>
        <v/>
      </c>
    </row>
    <row r="2808">
      <c r="B2808">
        <f>IF(A2808="","",$B$1-MAXIFS(Donasi!$A$2:$A$20000,Donasi!$B$2:$B$20000,A2808))</f>
        <v/>
      </c>
      <c r="C2808">
        <f>IF(A2808="","",COUNTIF(Donasi!$B$2:$B$20000,A2808))</f>
        <v/>
      </c>
      <c r="D2808">
        <f>IF(A2808="","",SUMIF(Donasi!$B$2:$B$20000,A2808,Donasi!$C$2:$C$20000))</f>
        <v/>
      </c>
      <c r="E2808">
        <f>IF(A2808="","",6-CEILING(PERCENTRANK.INC($B$3:$B$6000,B2808,4)*5+0.000001,1))</f>
        <v/>
      </c>
      <c r="F2808">
        <f>IF(A2808="","",MAX(1,CEILING(PERCENTRANK.INC($C$3:$C$6000,C2808,4)*5+0.000001,1)))</f>
        <v/>
      </c>
      <c r="G2808">
        <f>IF(A2808="","",MAX(1,CEILING(PERCENTRANK.INC($D$3:$D$6000,D2808,4)*5+0.000001,1)))</f>
        <v/>
      </c>
      <c r="H2808">
        <f>IF(A2808="","",E2808&amp;F2808&amp;G2808)</f>
        <v/>
      </c>
      <c r="I2808">
        <f>IF(A2808="","",IF(AND(E2808&gt;=4,F2808&gt;=4,G2808&gt;=4),"Juara",IF(AND(F2808&gt;=4,E2808&gt;=3),"Setia",IF(AND(E2808=5,F2808&lt;=2,G2808&gt;=3),"Berpotensi",IF(AND(E2808&lt;=3,E2808&gt;=2,F2808&gt;=3),"Rawan",IF(AND(E2808&lt;=2,F2808&lt;=2),"Tidur","Umum"))))))</f>
        <v/>
      </c>
    </row>
    <row r="2809">
      <c r="B2809">
        <f>IF(A2809="","",$B$1-MAXIFS(Donasi!$A$2:$A$20000,Donasi!$B$2:$B$20000,A2809))</f>
        <v/>
      </c>
      <c r="C2809">
        <f>IF(A2809="","",COUNTIF(Donasi!$B$2:$B$20000,A2809))</f>
        <v/>
      </c>
      <c r="D2809">
        <f>IF(A2809="","",SUMIF(Donasi!$B$2:$B$20000,A2809,Donasi!$C$2:$C$20000))</f>
        <v/>
      </c>
      <c r="E2809">
        <f>IF(A2809="","",6-CEILING(PERCENTRANK.INC($B$3:$B$6000,B2809,4)*5+0.000001,1))</f>
        <v/>
      </c>
      <c r="F2809">
        <f>IF(A2809="","",MAX(1,CEILING(PERCENTRANK.INC($C$3:$C$6000,C2809,4)*5+0.000001,1)))</f>
        <v/>
      </c>
      <c r="G2809">
        <f>IF(A2809="","",MAX(1,CEILING(PERCENTRANK.INC($D$3:$D$6000,D2809,4)*5+0.000001,1)))</f>
        <v/>
      </c>
      <c r="H2809">
        <f>IF(A2809="","",E2809&amp;F2809&amp;G2809)</f>
        <v/>
      </c>
      <c r="I2809">
        <f>IF(A2809="","",IF(AND(E2809&gt;=4,F2809&gt;=4,G2809&gt;=4),"Juara",IF(AND(F2809&gt;=4,E2809&gt;=3),"Setia",IF(AND(E2809=5,F2809&lt;=2,G2809&gt;=3),"Berpotensi",IF(AND(E2809&lt;=3,E2809&gt;=2,F2809&gt;=3),"Rawan",IF(AND(E2809&lt;=2,F2809&lt;=2),"Tidur","Umum"))))))</f>
        <v/>
      </c>
    </row>
    <row r="2810">
      <c r="B2810">
        <f>IF(A2810="","",$B$1-MAXIFS(Donasi!$A$2:$A$20000,Donasi!$B$2:$B$20000,A2810))</f>
        <v/>
      </c>
      <c r="C2810">
        <f>IF(A2810="","",COUNTIF(Donasi!$B$2:$B$20000,A2810))</f>
        <v/>
      </c>
      <c r="D2810">
        <f>IF(A2810="","",SUMIF(Donasi!$B$2:$B$20000,A2810,Donasi!$C$2:$C$20000))</f>
        <v/>
      </c>
      <c r="E2810">
        <f>IF(A2810="","",6-CEILING(PERCENTRANK.INC($B$3:$B$6000,B2810,4)*5+0.000001,1))</f>
        <v/>
      </c>
      <c r="F2810">
        <f>IF(A2810="","",MAX(1,CEILING(PERCENTRANK.INC($C$3:$C$6000,C2810,4)*5+0.000001,1)))</f>
        <v/>
      </c>
      <c r="G2810">
        <f>IF(A2810="","",MAX(1,CEILING(PERCENTRANK.INC($D$3:$D$6000,D2810,4)*5+0.000001,1)))</f>
        <v/>
      </c>
      <c r="H2810">
        <f>IF(A2810="","",E2810&amp;F2810&amp;G2810)</f>
        <v/>
      </c>
      <c r="I2810">
        <f>IF(A2810="","",IF(AND(E2810&gt;=4,F2810&gt;=4,G2810&gt;=4),"Juara",IF(AND(F2810&gt;=4,E2810&gt;=3),"Setia",IF(AND(E2810=5,F2810&lt;=2,G2810&gt;=3),"Berpotensi",IF(AND(E2810&lt;=3,E2810&gt;=2,F2810&gt;=3),"Rawan",IF(AND(E2810&lt;=2,F2810&lt;=2),"Tidur","Umum"))))))</f>
        <v/>
      </c>
    </row>
    <row r="2811">
      <c r="B2811">
        <f>IF(A2811="","",$B$1-MAXIFS(Donasi!$A$2:$A$20000,Donasi!$B$2:$B$20000,A2811))</f>
        <v/>
      </c>
      <c r="C2811">
        <f>IF(A2811="","",COUNTIF(Donasi!$B$2:$B$20000,A2811))</f>
        <v/>
      </c>
      <c r="D2811">
        <f>IF(A2811="","",SUMIF(Donasi!$B$2:$B$20000,A2811,Donasi!$C$2:$C$20000))</f>
        <v/>
      </c>
      <c r="E2811">
        <f>IF(A2811="","",6-CEILING(PERCENTRANK.INC($B$3:$B$6000,B2811,4)*5+0.000001,1))</f>
        <v/>
      </c>
      <c r="F2811">
        <f>IF(A2811="","",MAX(1,CEILING(PERCENTRANK.INC($C$3:$C$6000,C2811,4)*5+0.000001,1)))</f>
        <v/>
      </c>
      <c r="G2811">
        <f>IF(A2811="","",MAX(1,CEILING(PERCENTRANK.INC($D$3:$D$6000,D2811,4)*5+0.000001,1)))</f>
        <v/>
      </c>
      <c r="H2811">
        <f>IF(A2811="","",E2811&amp;F2811&amp;G2811)</f>
        <v/>
      </c>
      <c r="I2811">
        <f>IF(A2811="","",IF(AND(E2811&gt;=4,F2811&gt;=4,G2811&gt;=4),"Juara",IF(AND(F2811&gt;=4,E2811&gt;=3),"Setia",IF(AND(E2811=5,F2811&lt;=2,G2811&gt;=3),"Berpotensi",IF(AND(E2811&lt;=3,E2811&gt;=2,F2811&gt;=3),"Rawan",IF(AND(E2811&lt;=2,F2811&lt;=2),"Tidur","Umum"))))))</f>
        <v/>
      </c>
    </row>
    <row r="2812">
      <c r="B2812">
        <f>IF(A2812="","",$B$1-MAXIFS(Donasi!$A$2:$A$20000,Donasi!$B$2:$B$20000,A2812))</f>
        <v/>
      </c>
      <c r="C2812">
        <f>IF(A2812="","",COUNTIF(Donasi!$B$2:$B$20000,A2812))</f>
        <v/>
      </c>
      <c r="D2812">
        <f>IF(A2812="","",SUMIF(Donasi!$B$2:$B$20000,A2812,Donasi!$C$2:$C$20000))</f>
        <v/>
      </c>
      <c r="E2812">
        <f>IF(A2812="","",6-CEILING(PERCENTRANK.INC($B$3:$B$6000,B2812,4)*5+0.000001,1))</f>
        <v/>
      </c>
      <c r="F2812">
        <f>IF(A2812="","",MAX(1,CEILING(PERCENTRANK.INC($C$3:$C$6000,C2812,4)*5+0.000001,1)))</f>
        <v/>
      </c>
      <c r="G2812">
        <f>IF(A2812="","",MAX(1,CEILING(PERCENTRANK.INC($D$3:$D$6000,D2812,4)*5+0.000001,1)))</f>
        <v/>
      </c>
      <c r="H2812">
        <f>IF(A2812="","",E2812&amp;F2812&amp;G2812)</f>
        <v/>
      </c>
      <c r="I2812">
        <f>IF(A2812="","",IF(AND(E2812&gt;=4,F2812&gt;=4,G2812&gt;=4),"Juara",IF(AND(F2812&gt;=4,E2812&gt;=3),"Setia",IF(AND(E2812=5,F2812&lt;=2,G2812&gt;=3),"Berpotensi",IF(AND(E2812&lt;=3,E2812&gt;=2,F2812&gt;=3),"Rawan",IF(AND(E2812&lt;=2,F2812&lt;=2),"Tidur","Umum"))))))</f>
        <v/>
      </c>
    </row>
    <row r="2813">
      <c r="B2813">
        <f>IF(A2813="","",$B$1-MAXIFS(Donasi!$A$2:$A$20000,Donasi!$B$2:$B$20000,A2813))</f>
        <v/>
      </c>
      <c r="C2813">
        <f>IF(A2813="","",COUNTIF(Donasi!$B$2:$B$20000,A2813))</f>
        <v/>
      </c>
      <c r="D2813">
        <f>IF(A2813="","",SUMIF(Donasi!$B$2:$B$20000,A2813,Donasi!$C$2:$C$20000))</f>
        <v/>
      </c>
      <c r="E2813">
        <f>IF(A2813="","",6-CEILING(PERCENTRANK.INC($B$3:$B$6000,B2813,4)*5+0.000001,1))</f>
        <v/>
      </c>
      <c r="F2813">
        <f>IF(A2813="","",MAX(1,CEILING(PERCENTRANK.INC($C$3:$C$6000,C2813,4)*5+0.000001,1)))</f>
        <v/>
      </c>
      <c r="G2813">
        <f>IF(A2813="","",MAX(1,CEILING(PERCENTRANK.INC($D$3:$D$6000,D2813,4)*5+0.000001,1)))</f>
        <v/>
      </c>
      <c r="H2813">
        <f>IF(A2813="","",E2813&amp;F2813&amp;G2813)</f>
        <v/>
      </c>
      <c r="I2813">
        <f>IF(A2813="","",IF(AND(E2813&gt;=4,F2813&gt;=4,G2813&gt;=4),"Juara",IF(AND(F2813&gt;=4,E2813&gt;=3),"Setia",IF(AND(E2813=5,F2813&lt;=2,G2813&gt;=3),"Berpotensi",IF(AND(E2813&lt;=3,E2813&gt;=2,F2813&gt;=3),"Rawan",IF(AND(E2813&lt;=2,F2813&lt;=2),"Tidur","Umum"))))))</f>
        <v/>
      </c>
    </row>
    <row r="2814">
      <c r="B2814">
        <f>IF(A2814="","",$B$1-MAXIFS(Donasi!$A$2:$A$20000,Donasi!$B$2:$B$20000,A2814))</f>
        <v/>
      </c>
      <c r="C2814">
        <f>IF(A2814="","",COUNTIF(Donasi!$B$2:$B$20000,A2814))</f>
        <v/>
      </c>
      <c r="D2814">
        <f>IF(A2814="","",SUMIF(Donasi!$B$2:$B$20000,A2814,Donasi!$C$2:$C$20000))</f>
        <v/>
      </c>
      <c r="E2814">
        <f>IF(A2814="","",6-CEILING(PERCENTRANK.INC($B$3:$B$6000,B2814,4)*5+0.000001,1))</f>
        <v/>
      </c>
      <c r="F2814">
        <f>IF(A2814="","",MAX(1,CEILING(PERCENTRANK.INC($C$3:$C$6000,C2814,4)*5+0.000001,1)))</f>
        <v/>
      </c>
      <c r="G2814">
        <f>IF(A2814="","",MAX(1,CEILING(PERCENTRANK.INC($D$3:$D$6000,D2814,4)*5+0.000001,1)))</f>
        <v/>
      </c>
      <c r="H2814">
        <f>IF(A2814="","",E2814&amp;F2814&amp;G2814)</f>
        <v/>
      </c>
      <c r="I2814">
        <f>IF(A2814="","",IF(AND(E2814&gt;=4,F2814&gt;=4,G2814&gt;=4),"Juara",IF(AND(F2814&gt;=4,E2814&gt;=3),"Setia",IF(AND(E2814=5,F2814&lt;=2,G2814&gt;=3),"Berpotensi",IF(AND(E2814&lt;=3,E2814&gt;=2,F2814&gt;=3),"Rawan",IF(AND(E2814&lt;=2,F2814&lt;=2),"Tidur","Umum"))))))</f>
        <v/>
      </c>
    </row>
    <row r="2815">
      <c r="B2815">
        <f>IF(A2815="","",$B$1-MAXIFS(Donasi!$A$2:$A$20000,Donasi!$B$2:$B$20000,A2815))</f>
        <v/>
      </c>
      <c r="C2815">
        <f>IF(A2815="","",COUNTIF(Donasi!$B$2:$B$20000,A2815))</f>
        <v/>
      </c>
      <c r="D2815">
        <f>IF(A2815="","",SUMIF(Donasi!$B$2:$B$20000,A2815,Donasi!$C$2:$C$20000))</f>
        <v/>
      </c>
      <c r="E2815">
        <f>IF(A2815="","",6-CEILING(PERCENTRANK.INC($B$3:$B$6000,B2815,4)*5+0.000001,1))</f>
        <v/>
      </c>
      <c r="F2815">
        <f>IF(A2815="","",MAX(1,CEILING(PERCENTRANK.INC($C$3:$C$6000,C2815,4)*5+0.000001,1)))</f>
        <v/>
      </c>
      <c r="G2815">
        <f>IF(A2815="","",MAX(1,CEILING(PERCENTRANK.INC($D$3:$D$6000,D2815,4)*5+0.000001,1)))</f>
        <v/>
      </c>
      <c r="H2815">
        <f>IF(A2815="","",E2815&amp;F2815&amp;G2815)</f>
        <v/>
      </c>
      <c r="I2815">
        <f>IF(A2815="","",IF(AND(E2815&gt;=4,F2815&gt;=4,G2815&gt;=4),"Juara",IF(AND(F2815&gt;=4,E2815&gt;=3),"Setia",IF(AND(E2815=5,F2815&lt;=2,G2815&gt;=3),"Berpotensi",IF(AND(E2815&lt;=3,E2815&gt;=2,F2815&gt;=3),"Rawan",IF(AND(E2815&lt;=2,F2815&lt;=2),"Tidur","Umum"))))))</f>
        <v/>
      </c>
    </row>
    <row r="2816">
      <c r="B2816">
        <f>IF(A2816="","",$B$1-MAXIFS(Donasi!$A$2:$A$20000,Donasi!$B$2:$B$20000,A2816))</f>
        <v/>
      </c>
      <c r="C2816">
        <f>IF(A2816="","",COUNTIF(Donasi!$B$2:$B$20000,A2816))</f>
        <v/>
      </c>
      <c r="D2816">
        <f>IF(A2816="","",SUMIF(Donasi!$B$2:$B$20000,A2816,Donasi!$C$2:$C$20000))</f>
        <v/>
      </c>
      <c r="E2816">
        <f>IF(A2816="","",6-CEILING(PERCENTRANK.INC($B$3:$B$6000,B2816,4)*5+0.000001,1))</f>
        <v/>
      </c>
      <c r="F2816">
        <f>IF(A2816="","",MAX(1,CEILING(PERCENTRANK.INC($C$3:$C$6000,C2816,4)*5+0.000001,1)))</f>
        <v/>
      </c>
      <c r="G2816">
        <f>IF(A2816="","",MAX(1,CEILING(PERCENTRANK.INC($D$3:$D$6000,D2816,4)*5+0.000001,1)))</f>
        <v/>
      </c>
      <c r="H2816">
        <f>IF(A2816="","",E2816&amp;F2816&amp;G2816)</f>
        <v/>
      </c>
      <c r="I2816">
        <f>IF(A2816="","",IF(AND(E2816&gt;=4,F2816&gt;=4,G2816&gt;=4),"Juara",IF(AND(F2816&gt;=4,E2816&gt;=3),"Setia",IF(AND(E2816=5,F2816&lt;=2,G2816&gt;=3),"Berpotensi",IF(AND(E2816&lt;=3,E2816&gt;=2,F2816&gt;=3),"Rawan",IF(AND(E2816&lt;=2,F2816&lt;=2),"Tidur","Umum"))))))</f>
        <v/>
      </c>
    </row>
    <row r="2817">
      <c r="B2817">
        <f>IF(A2817="","",$B$1-MAXIFS(Donasi!$A$2:$A$20000,Donasi!$B$2:$B$20000,A2817))</f>
        <v/>
      </c>
      <c r="C2817">
        <f>IF(A2817="","",COUNTIF(Donasi!$B$2:$B$20000,A2817))</f>
        <v/>
      </c>
      <c r="D2817">
        <f>IF(A2817="","",SUMIF(Donasi!$B$2:$B$20000,A2817,Donasi!$C$2:$C$20000))</f>
        <v/>
      </c>
      <c r="E2817">
        <f>IF(A2817="","",6-CEILING(PERCENTRANK.INC($B$3:$B$6000,B2817,4)*5+0.000001,1))</f>
        <v/>
      </c>
      <c r="F2817">
        <f>IF(A2817="","",MAX(1,CEILING(PERCENTRANK.INC($C$3:$C$6000,C2817,4)*5+0.000001,1)))</f>
        <v/>
      </c>
      <c r="G2817">
        <f>IF(A2817="","",MAX(1,CEILING(PERCENTRANK.INC($D$3:$D$6000,D2817,4)*5+0.000001,1)))</f>
        <v/>
      </c>
      <c r="H2817">
        <f>IF(A2817="","",E2817&amp;F2817&amp;G2817)</f>
        <v/>
      </c>
      <c r="I2817">
        <f>IF(A2817="","",IF(AND(E2817&gt;=4,F2817&gt;=4,G2817&gt;=4),"Juara",IF(AND(F2817&gt;=4,E2817&gt;=3),"Setia",IF(AND(E2817=5,F2817&lt;=2,G2817&gt;=3),"Berpotensi",IF(AND(E2817&lt;=3,E2817&gt;=2,F2817&gt;=3),"Rawan",IF(AND(E2817&lt;=2,F2817&lt;=2),"Tidur","Umum"))))))</f>
        <v/>
      </c>
    </row>
    <row r="2818">
      <c r="B2818">
        <f>IF(A2818="","",$B$1-MAXIFS(Donasi!$A$2:$A$20000,Donasi!$B$2:$B$20000,A2818))</f>
        <v/>
      </c>
      <c r="C2818">
        <f>IF(A2818="","",COUNTIF(Donasi!$B$2:$B$20000,A2818))</f>
        <v/>
      </c>
      <c r="D2818">
        <f>IF(A2818="","",SUMIF(Donasi!$B$2:$B$20000,A2818,Donasi!$C$2:$C$20000))</f>
        <v/>
      </c>
      <c r="E2818">
        <f>IF(A2818="","",6-CEILING(PERCENTRANK.INC($B$3:$B$6000,B2818,4)*5+0.000001,1))</f>
        <v/>
      </c>
      <c r="F2818">
        <f>IF(A2818="","",MAX(1,CEILING(PERCENTRANK.INC($C$3:$C$6000,C2818,4)*5+0.000001,1)))</f>
        <v/>
      </c>
      <c r="G2818">
        <f>IF(A2818="","",MAX(1,CEILING(PERCENTRANK.INC($D$3:$D$6000,D2818,4)*5+0.000001,1)))</f>
        <v/>
      </c>
      <c r="H2818">
        <f>IF(A2818="","",E2818&amp;F2818&amp;G2818)</f>
        <v/>
      </c>
      <c r="I2818">
        <f>IF(A2818="","",IF(AND(E2818&gt;=4,F2818&gt;=4,G2818&gt;=4),"Juara",IF(AND(F2818&gt;=4,E2818&gt;=3),"Setia",IF(AND(E2818=5,F2818&lt;=2,G2818&gt;=3),"Berpotensi",IF(AND(E2818&lt;=3,E2818&gt;=2,F2818&gt;=3),"Rawan",IF(AND(E2818&lt;=2,F2818&lt;=2),"Tidur","Umum"))))))</f>
        <v/>
      </c>
    </row>
    <row r="2819">
      <c r="B2819">
        <f>IF(A2819="","",$B$1-MAXIFS(Donasi!$A$2:$A$20000,Donasi!$B$2:$B$20000,A2819))</f>
        <v/>
      </c>
      <c r="C2819">
        <f>IF(A2819="","",COUNTIF(Donasi!$B$2:$B$20000,A2819))</f>
        <v/>
      </c>
      <c r="D2819">
        <f>IF(A2819="","",SUMIF(Donasi!$B$2:$B$20000,A2819,Donasi!$C$2:$C$20000))</f>
        <v/>
      </c>
      <c r="E2819">
        <f>IF(A2819="","",6-CEILING(PERCENTRANK.INC($B$3:$B$6000,B2819,4)*5+0.000001,1))</f>
        <v/>
      </c>
      <c r="F2819">
        <f>IF(A2819="","",MAX(1,CEILING(PERCENTRANK.INC($C$3:$C$6000,C2819,4)*5+0.000001,1)))</f>
        <v/>
      </c>
      <c r="G2819">
        <f>IF(A2819="","",MAX(1,CEILING(PERCENTRANK.INC($D$3:$D$6000,D2819,4)*5+0.000001,1)))</f>
        <v/>
      </c>
      <c r="H2819">
        <f>IF(A2819="","",E2819&amp;F2819&amp;G2819)</f>
        <v/>
      </c>
      <c r="I2819">
        <f>IF(A2819="","",IF(AND(E2819&gt;=4,F2819&gt;=4,G2819&gt;=4),"Juara",IF(AND(F2819&gt;=4,E2819&gt;=3),"Setia",IF(AND(E2819=5,F2819&lt;=2,G2819&gt;=3),"Berpotensi",IF(AND(E2819&lt;=3,E2819&gt;=2,F2819&gt;=3),"Rawan",IF(AND(E2819&lt;=2,F2819&lt;=2),"Tidur","Umum"))))))</f>
        <v/>
      </c>
    </row>
    <row r="2820">
      <c r="B2820">
        <f>IF(A2820="","",$B$1-MAXIFS(Donasi!$A$2:$A$20000,Donasi!$B$2:$B$20000,A2820))</f>
        <v/>
      </c>
      <c r="C2820">
        <f>IF(A2820="","",COUNTIF(Donasi!$B$2:$B$20000,A2820))</f>
        <v/>
      </c>
      <c r="D2820">
        <f>IF(A2820="","",SUMIF(Donasi!$B$2:$B$20000,A2820,Donasi!$C$2:$C$20000))</f>
        <v/>
      </c>
      <c r="E2820">
        <f>IF(A2820="","",6-CEILING(PERCENTRANK.INC($B$3:$B$6000,B2820,4)*5+0.000001,1))</f>
        <v/>
      </c>
      <c r="F2820">
        <f>IF(A2820="","",MAX(1,CEILING(PERCENTRANK.INC($C$3:$C$6000,C2820,4)*5+0.000001,1)))</f>
        <v/>
      </c>
      <c r="G2820">
        <f>IF(A2820="","",MAX(1,CEILING(PERCENTRANK.INC($D$3:$D$6000,D2820,4)*5+0.000001,1)))</f>
        <v/>
      </c>
      <c r="H2820">
        <f>IF(A2820="","",E2820&amp;F2820&amp;G2820)</f>
        <v/>
      </c>
      <c r="I2820">
        <f>IF(A2820="","",IF(AND(E2820&gt;=4,F2820&gt;=4,G2820&gt;=4),"Juara",IF(AND(F2820&gt;=4,E2820&gt;=3),"Setia",IF(AND(E2820=5,F2820&lt;=2,G2820&gt;=3),"Berpotensi",IF(AND(E2820&lt;=3,E2820&gt;=2,F2820&gt;=3),"Rawan",IF(AND(E2820&lt;=2,F2820&lt;=2),"Tidur","Umum"))))))</f>
        <v/>
      </c>
    </row>
    <row r="2821">
      <c r="B2821">
        <f>IF(A2821="","",$B$1-MAXIFS(Donasi!$A$2:$A$20000,Donasi!$B$2:$B$20000,A2821))</f>
        <v/>
      </c>
      <c r="C2821">
        <f>IF(A2821="","",COUNTIF(Donasi!$B$2:$B$20000,A2821))</f>
        <v/>
      </c>
      <c r="D2821">
        <f>IF(A2821="","",SUMIF(Donasi!$B$2:$B$20000,A2821,Donasi!$C$2:$C$20000))</f>
        <v/>
      </c>
      <c r="E2821">
        <f>IF(A2821="","",6-CEILING(PERCENTRANK.INC($B$3:$B$6000,B2821,4)*5+0.000001,1))</f>
        <v/>
      </c>
      <c r="F2821">
        <f>IF(A2821="","",MAX(1,CEILING(PERCENTRANK.INC($C$3:$C$6000,C2821,4)*5+0.000001,1)))</f>
        <v/>
      </c>
      <c r="G2821">
        <f>IF(A2821="","",MAX(1,CEILING(PERCENTRANK.INC($D$3:$D$6000,D2821,4)*5+0.000001,1)))</f>
        <v/>
      </c>
      <c r="H2821">
        <f>IF(A2821="","",E2821&amp;F2821&amp;G2821)</f>
        <v/>
      </c>
      <c r="I2821">
        <f>IF(A2821="","",IF(AND(E2821&gt;=4,F2821&gt;=4,G2821&gt;=4),"Juara",IF(AND(F2821&gt;=4,E2821&gt;=3),"Setia",IF(AND(E2821=5,F2821&lt;=2,G2821&gt;=3),"Berpotensi",IF(AND(E2821&lt;=3,E2821&gt;=2,F2821&gt;=3),"Rawan",IF(AND(E2821&lt;=2,F2821&lt;=2),"Tidur","Umum"))))))</f>
        <v/>
      </c>
    </row>
    <row r="2822">
      <c r="B2822">
        <f>IF(A2822="","",$B$1-MAXIFS(Donasi!$A$2:$A$20000,Donasi!$B$2:$B$20000,A2822))</f>
        <v/>
      </c>
      <c r="C2822">
        <f>IF(A2822="","",COUNTIF(Donasi!$B$2:$B$20000,A2822))</f>
        <v/>
      </c>
      <c r="D2822">
        <f>IF(A2822="","",SUMIF(Donasi!$B$2:$B$20000,A2822,Donasi!$C$2:$C$20000))</f>
        <v/>
      </c>
      <c r="E2822">
        <f>IF(A2822="","",6-CEILING(PERCENTRANK.INC($B$3:$B$6000,B2822,4)*5+0.000001,1))</f>
        <v/>
      </c>
      <c r="F2822">
        <f>IF(A2822="","",MAX(1,CEILING(PERCENTRANK.INC($C$3:$C$6000,C2822,4)*5+0.000001,1)))</f>
        <v/>
      </c>
      <c r="G2822">
        <f>IF(A2822="","",MAX(1,CEILING(PERCENTRANK.INC($D$3:$D$6000,D2822,4)*5+0.000001,1)))</f>
        <v/>
      </c>
      <c r="H2822">
        <f>IF(A2822="","",E2822&amp;F2822&amp;G2822)</f>
        <v/>
      </c>
      <c r="I2822">
        <f>IF(A2822="","",IF(AND(E2822&gt;=4,F2822&gt;=4,G2822&gt;=4),"Juara",IF(AND(F2822&gt;=4,E2822&gt;=3),"Setia",IF(AND(E2822=5,F2822&lt;=2,G2822&gt;=3),"Berpotensi",IF(AND(E2822&lt;=3,E2822&gt;=2,F2822&gt;=3),"Rawan",IF(AND(E2822&lt;=2,F2822&lt;=2),"Tidur","Umum"))))))</f>
        <v/>
      </c>
    </row>
    <row r="2823">
      <c r="B2823">
        <f>IF(A2823="","",$B$1-MAXIFS(Donasi!$A$2:$A$20000,Donasi!$B$2:$B$20000,A2823))</f>
        <v/>
      </c>
      <c r="C2823">
        <f>IF(A2823="","",COUNTIF(Donasi!$B$2:$B$20000,A2823))</f>
        <v/>
      </c>
      <c r="D2823">
        <f>IF(A2823="","",SUMIF(Donasi!$B$2:$B$20000,A2823,Donasi!$C$2:$C$20000))</f>
        <v/>
      </c>
      <c r="E2823">
        <f>IF(A2823="","",6-CEILING(PERCENTRANK.INC($B$3:$B$6000,B2823,4)*5+0.000001,1))</f>
        <v/>
      </c>
      <c r="F2823">
        <f>IF(A2823="","",MAX(1,CEILING(PERCENTRANK.INC($C$3:$C$6000,C2823,4)*5+0.000001,1)))</f>
        <v/>
      </c>
      <c r="G2823">
        <f>IF(A2823="","",MAX(1,CEILING(PERCENTRANK.INC($D$3:$D$6000,D2823,4)*5+0.000001,1)))</f>
        <v/>
      </c>
      <c r="H2823">
        <f>IF(A2823="","",E2823&amp;F2823&amp;G2823)</f>
        <v/>
      </c>
      <c r="I2823">
        <f>IF(A2823="","",IF(AND(E2823&gt;=4,F2823&gt;=4,G2823&gt;=4),"Juara",IF(AND(F2823&gt;=4,E2823&gt;=3),"Setia",IF(AND(E2823=5,F2823&lt;=2,G2823&gt;=3),"Berpotensi",IF(AND(E2823&lt;=3,E2823&gt;=2,F2823&gt;=3),"Rawan",IF(AND(E2823&lt;=2,F2823&lt;=2),"Tidur","Umum"))))))</f>
        <v/>
      </c>
    </row>
    <row r="2824">
      <c r="B2824">
        <f>IF(A2824="","",$B$1-MAXIFS(Donasi!$A$2:$A$20000,Donasi!$B$2:$B$20000,A2824))</f>
        <v/>
      </c>
      <c r="C2824">
        <f>IF(A2824="","",COUNTIF(Donasi!$B$2:$B$20000,A2824))</f>
        <v/>
      </c>
      <c r="D2824">
        <f>IF(A2824="","",SUMIF(Donasi!$B$2:$B$20000,A2824,Donasi!$C$2:$C$20000))</f>
        <v/>
      </c>
      <c r="E2824">
        <f>IF(A2824="","",6-CEILING(PERCENTRANK.INC($B$3:$B$6000,B2824,4)*5+0.000001,1))</f>
        <v/>
      </c>
      <c r="F2824">
        <f>IF(A2824="","",MAX(1,CEILING(PERCENTRANK.INC($C$3:$C$6000,C2824,4)*5+0.000001,1)))</f>
        <v/>
      </c>
      <c r="G2824">
        <f>IF(A2824="","",MAX(1,CEILING(PERCENTRANK.INC($D$3:$D$6000,D2824,4)*5+0.000001,1)))</f>
        <v/>
      </c>
      <c r="H2824">
        <f>IF(A2824="","",E2824&amp;F2824&amp;G2824)</f>
        <v/>
      </c>
      <c r="I2824">
        <f>IF(A2824="","",IF(AND(E2824&gt;=4,F2824&gt;=4,G2824&gt;=4),"Juara",IF(AND(F2824&gt;=4,E2824&gt;=3),"Setia",IF(AND(E2824=5,F2824&lt;=2,G2824&gt;=3),"Berpotensi",IF(AND(E2824&lt;=3,E2824&gt;=2,F2824&gt;=3),"Rawan",IF(AND(E2824&lt;=2,F2824&lt;=2),"Tidur","Umum"))))))</f>
        <v/>
      </c>
    </row>
    <row r="2825">
      <c r="B2825">
        <f>IF(A2825="","",$B$1-MAXIFS(Donasi!$A$2:$A$20000,Donasi!$B$2:$B$20000,A2825))</f>
        <v/>
      </c>
      <c r="C2825">
        <f>IF(A2825="","",COUNTIF(Donasi!$B$2:$B$20000,A2825))</f>
        <v/>
      </c>
      <c r="D2825">
        <f>IF(A2825="","",SUMIF(Donasi!$B$2:$B$20000,A2825,Donasi!$C$2:$C$20000))</f>
        <v/>
      </c>
      <c r="E2825">
        <f>IF(A2825="","",6-CEILING(PERCENTRANK.INC($B$3:$B$6000,B2825,4)*5+0.000001,1))</f>
        <v/>
      </c>
      <c r="F2825">
        <f>IF(A2825="","",MAX(1,CEILING(PERCENTRANK.INC($C$3:$C$6000,C2825,4)*5+0.000001,1)))</f>
        <v/>
      </c>
      <c r="G2825">
        <f>IF(A2825="","",MAX(1,CEILING(PERCENTRANK.INC($D$3:$D$6000,D2825,4)*5+0.000001,1)))</f>
        <v/>
      </c>
      <c r="H2825">
        <f>IF(A2825="","",E2825&amp;F2825&amp;G2825)</f>
        <v/>
      </c>
      <c r="I2825">
        <f>IF(A2825="","",IF(AND(E2825&gt;=4,F2825&gt;=4,G2825&gt;=4),"Juara",IF(AND(F2825&gt;=4,E2825&gt;=3),"Setia",IF(AND(E2825=5,F2825&lt;=2,G2825&gt;=3),"Berpotensi",IF(AND(E2825&lt;=3,E2825&gt;=2,F2825&gt;=3),"Rawan",IF(AND(E2825&lt;=2,F2825&lt;=2),"Tidur","Umum"))))))</f>
        <v/>
      </c>
    </row>
    <row r="2826">
      <c r="B2826">
        <f>IF(A2826="","",$B$1-MAXIFS(Donasi!$A$2:$A$20000,Donasi!$B$2:$B$20000,A2826))</f>
        <v/>
      </c>
      <c r="C2826">
        <f>IF(A2826="","",COUNTIF(Donasi!$B$2:$B$20000,A2826))</f>
        <v/>
      </c>
      <c r="D2826">
        <f>IF(A2826="","",SUMIF(Donasi!$B$2:$B$20000,A2826,Donasi!$C$2:$C$20000))</f>
        <v/>
      </c>
      <c r="E2826">
        <f>IF(A2826="","",6-CEILING(PERCENTRANK.INC($B$3:$B$6000,B2826,4)*5+0.000001,1))</f>
        <v/>
      </c>
      <c r="F2826">
        <f>IF(A2826="","",MAX(1,CEILING(PERCENTRANK.INC($C$3:$C$6000,C2826,4)*5+0.000001,1)))</f>
        <v/>
      </c>
      <c r="G2826">
        <f>IF(A2826="","",MAX(1,CEILING(PERCENTRANK.INC($D$3:$D$6000,D2826,4)*5+0.000001,1)))</f>
        <v/>
      </c>
      <c r="H2826">
        <f>IF(A2826="","",E2826&amp;F2826&amp;G2826)</f>
        <v/>
      </c>
      <c r="I2826">
        <f>IF(A2826="","",IF(AND(E2826&gt;=4,F2826&gt;=4,G2826&gt;=4),"Juara",IF(AND(F2826&gt;=4,E2826&gt;=3),"Setia",IF(AND(E2826=5,F2826&lt;=2,G2826&gt;=3),"Berpotensi",IF(AND(E2826&lt;=3,E2826&gt;=2,F2826&gt;=3),"Rawan",IF(AND(E2826&lt;=2,F2826&lt;=2),"Tidur","Umum"))))))</f>
        <v/>
      </c>
    </row>
    <row r="2827">
      <c r="B2827">
        <f>IF(A2827="","",$B$1-MAXIFS(Donasi!$A$2:$A$20000,Donasi!$B$2:$B$20000,A2827))</f>
        <v/>
      </c>
      <c r="C2827">
        <f>IF(A2827="","",COUNTIF(Donasi!$B$2:$B$20000,A2827))</f>
        <v/>
      </c>
      <c r="D2827">
        <f>IF(A2827="","",SUMIF(Donasi!$B$2:$B$20000,A2827,Donasi!$C$2:$C$20000))</f>
        <v/>
      </c>
      <c r="E2827">
        <f>IF(A2827="","",6-CEILING(PERCENTRANK.INC($B$3:$B$6000,B2827,4)*5+0.000001,1))</f>
        <v/>
      </c>
      <c r="F2827">
        <f>IF(A2827="","",MAX(1,CEILING(PERCENTRANK.INC($C$3:$C$6000,C2827,4)*5+0.000001,1)))</f>
        <v/>
      </c>
      <c r="G2827">
        <f>IF(A2827="","",MAX(1,CEILING(PERCENTRANK.INC($D$3:$D$6000,D2827,4)*5+0.000001,1)))</f>
        <v/>
      </c>
      <c r="H2827">
        <f>IF(A2827="","",E2827&amp;F2827&amp;G2827)</f>
        <v/>
      </c>
      <c r="I2827">
        <f>IF(A2827="","",IF(AND(E2827&gt;=4,F2827&gt;=4,G2827&gt;=4),"Juara",IF(AND(F2827&gt;=4,E2827&gt;=3),"Setia",IF(AND(E2827=5,F2827&lt;=2,G2827&gt;=3),"Berpotensi",IF(AND(E2827&lt;=3,E2827&gt;=2,F2827&gt;=3),"Rawan",IF(AND(E2827&lt;=2,F2827&lt;=2),"Tidur","Umum"))))))</f>
        <v/>
      </c>
    </row>
    <row r="2828">
      <c r="B2828">
        <f>IF(A2828="","",$B$1-MAXIFS(Donasi!$A$2:$A$20000,Donasi!$B$2:$B$20000,A2828))</f>
        <v/>
      </c>
      <c r="C2828">
        <f>IF(A2828="","",COUNTIF(Donasi!$B$2:$B$20000,A2828))</f>
        <v/>
      </c>
      <c r="D2828">
        <f>IF(A2828="","",SUMIF(Donasi!$B$2:$B$20000,A2828,Donasi!$C$2:$C$20000))</f>
        <v/>
      </c>
      <c r="E2828">
        <f>IF(A2828="","",6-CEILING(PERCENTRANK.INC($B$3:$B$6000,B2828,4)*5+0.000001,1))</f>
        <v/>
      </c>
      <c r="F2828">
        <f>IF(A2828="","",MAX(1,CEILING(PERCENTRANK.INC($C$3:$C$6000,C2828,4)*5+0.000001,1)))</f>
        <v/>
      </c>
      <c r="G2828">
        <f>IF(A2828="","",MAX(1,CEILING(PERCENTRANK.INC($D$3:$D$6000,D2828,4)*5+0.000001,1)))</f>
        <v/>
      </c>
      <c r="H2828">
        <f>IF(A2828="","",E2828&amp;F2828&amp;G2828)</f>
        <v/>
      </c>
      <c r="I2828">
        <f>IF(A2828="","",IF(AND(E2828&gt;=4,F2828&gt;=4,G2828&gt;=4),"Juara",IF(AND(F2828&gt;=4,E2828&gt;=3),"Setia",IF(AND(E2828=5,F2828&lt;=2,G2828&gt;=3),"Berpotensi",IF(AND(E2828&lt;=3,E2828&gt;=2,F2828&gt;=3),"Rawan",IF(AND(E2828&lt;=2,F2828&lt;=2),"Tidur","Umum"))))))</f>
        <v/>
      </c>
    </row>
    <row r="2829">
      <c r="B2829">
        <f>IF(A2829="","",$B$1-MAXIFS(Donasi!$A$2:$A$20000,Donasi!$B$2:$B$20000,A2829))</f>
        <v/>
      </c>
      <c r="C2829">
        <f>IF(A2829="","",COUNTIF(Donasi!$B$2:$B$20000,A2829))</f>
        <v/>
      </c>
      <c r="D2829">
        <f>IF(A2829="","",SUMIF(Donasi!$B$2:$B$20000,A2829,Donasi!$C$2:$C$20000))</f>
        <v/>
      </c>
      <c r="E2829">
        <f>IF(A2829="","",6-CEILING(PERCENTRANK.INC($B$3:$B$6000,B2829,4)*5+0.000001,1))</f>
        <v/>
      </c>
      <c r="F2829">
        <f>IF(A2829="","",MAX(1,CEILING(PERCENTRANK.INC($C$3:$C$6000,C2829,4)*5+0.000001,1)))</f>
        <v/>
      </c>
      <c r="G2829">
        <f>IF(A2829="","",MAX(1,CEILING(PERCENTRANK.INC($D$3:$D$6000,D2829,4)*5+0.000001,1)))</f>
        <v/>
      </c>
      <c r="H2829">
        <f>IF(A2829="","",E2829&amp;F2829&amp;G2829)</f>
        <v/>
      </c>
      <c r="I2829">
        <f>IF(A2829="","",IF(AND(E2829&gt;=4,F2829&gt;=4,G2829&gt;=4),"Juara",IF(AND(F2829&gt;=4,E2829&gt;=3),"Setia",IF(AND(E2829=5,F2829&lt;=2,G2829&gt;=3),"Berpotensi",IF(AND(E2829&lt;=3,E2829&gt;=2,F2829&gt;=3),"Rawan",IF(AND(E2829&lt;=2,F2829&lt;=2),"Tidur","Umum"))))))</f>
        <v/>
      </c>
    </row>
    <row r="2830">
      <c r="B2830">
        <f>IF(A2830="","",$B$1-MAXIFS(Donasi!$A$2:$A$20000,Donasi!$B$2:$B$20000,A2830))</f>
        <v/>
      </c>
      <c r="C2830">
        <f>IF(A2830="","",COUNTIF(Donasi!$B$2:$B$20000,A2830))</f>
        <v/>
      </c>
      <c r="D2830">
        <f>IF(A2830="","",SUMIF(Donasi!$B$2:$B$20000,A2830,Donasi!$C$2:$C$20000))</f>
        <v/>
      </c>
      <c r="E2830">
        <f>IF(A2830="","",6-CEILING(PERCENTRANK.INC($B$3:$B$6000,B2830,4)*5+0.000001,1))</f>
        <v/>
      </c>
      <c r="F2830">
        <f>IF(A2830="","",MAX(1,CEILING(PERCENTRANK.INC($C$3:$C$6000,C2830,4)*5+0.000001,1)))</f>
        <v/>
      </c>
      <c r="G2830">
        <f>IF(A2830="","",MAX(1,CEILING(PERCENTRANK.INC($D$3:$D$6000,D2830,4)*5+0.000001,1)))</f>
        <v/>
      </c>
      <c r="H2830">
        <f>IF(A2830="","",E2830&amp;F2830&amp;G2830)</f>
        <v/>
      </c>
      <c r="I2830">
        <f>IF(A2830="","",IF(AND(E2830&gt;=4,F2830&gt;=4,G2830&gt;=4),"Juara",IF(AND(F2830&gt;=4,E2830&gt;=3),"Setia",IF(AND(E2830=5,F2830&lt;=2,G2830&gt;=3),"Berpotensi",IF(AND(E2830&lt;=3,E2830&gt;=2,F2830&gt;=3),"Rawan",IF(AND(E2830&lt;=2,F2830&lt;=2),"Tidur","Umum"))))))</f>
        <v/>
      </c>
    </row>
    <row r="2831">
      <c r="B2831">
        <f>IF(A2831="","",$B$1-MAXIFS(Donasi!$A$2:$A$20000,Donasi!$B$2:$B$20000,A2831))</f>
        <v/>
      </c>
      <c r="C2831">
        <f>IF(A2831="","",COUNTIF(Donasi!$B$2:$B$20000,A2831))</f>
        <v/>
      </c>
      <c r="D2831">
        <f>IF(A2831="","",SUMIF(Donasi!$B$2:$B$20000,A2831,Donasi!$C$2:$C$20000))</f>
        <v/>
      </c>
      <c r="E2831">
        <f>IF(A2831="","",6-CEILING(PERCENTRANK.INC($B$3:$B$6000,B2831,4)*5+0.000001,1))</f>
        <v/>
      </c>
      <c r="F2831">
        <f>IF(A2831="","",MAX(1,CEILING(PERCENTRANK.INC($C$3:$C$6000,C2831,4)*5+0.000001,1)))</f>
        <v/>
      </c>
      <c r="G2831">
        <f>IF(A2831="","",MAX(1,CEILING(PERCENTRANK.INC($D$3:$D$6000,D2831,4)*5+0.000001,1)))</f>
        <v/>
      </c>
      <c r="H2831">
        <f>IF(A2831="","",E2831&amp;F2831&amp;G2831)</f>
        <v/>
      </c>
      <c r="I2831">
        <f>IF(A2831="","",IF(AND(E2831&gt;=4,F2831&gt;=4,G2831&gt;=4),"Juara",IF(AND(F2831&gt;=4,E2831&gt;=3),"Setia",IF(AND(E2831=5,F2831&lt;=2,G2831&gt;=3),"Berpotensi",IF(AND(E2831&lt;=3,E2831&gt;=2,F2831&gt;=3),"Rawan",IF(AND(E2831&lt;=2,F2831&lt;=2),"Tidur","Umum"))))))</f>
        <v/>
      </c>
    </row>
    <row r="2832">
      <c r="B2832">
        <f>IF(A2832="","",$B$1-MAXIFS(Donasi!$A$2:$A$20000,Donasi!$B$2:$B$20000,A2832))</f>
        <v/>
      </c>
      <c r="C2832">
        <f>IF(A2832="","",COUNTIF(Donasi!$B$2:$B$20000,A2832))</f>
        <v/>
      </c>
      <c r="D2832">
        <f>IF(A2832="","",SUMIF(Donasi!$B$2:$B$20000,A2832,Donasi!$C$2:$C$20000))</f>
        <v/>
      </c>
      <c r="E2832">
        <f>IF(A2832="","",6-CEILING(PERCENTRANK.INC($B$3:$B$6000,B2832,4)*5+0.000001,1))</f>
        <v/>
      </c>
      <c r="F2832">
        <f>IF(A2832="","",MAX(1,CEILING(PERCENTRANK.INC($C$3:$C$6000,C2832,4)*5+0.000001,1)))</f>
        <v/>
      </c>
      <c r="G2832">
        <f>IF(A2832="","",MAX(1,CEILING(PERCENTRANK.INC($D$3:$D$6000,D2832,4)*5+0.000001,1)))</f>
        <v/>
      </c>
      <c r="H2832">
        <f>IF(A2832="","",E2832&amp;F2832&amp;G2832)</f>
        <v/>
      </c>
      <c r="I2832">
        <f>IF(A2832="","",IF(AND(E2832&gt;=4,F2832&gt;=4,G2832&gt;=4),"Juara",IF(AND(F2832&gt;=4,E2832&gt;=3),"Setia",IF(AND(E2832=5,F2832&lt;=2,G2832&gt;=3),"Berpotensi",IF(AND(E2832&lt;=3,E2832&gt;=2,F2832&gt;=3),"Rawan",IF(AND(E2832&lt;=2,F2832&lt;=2),"Tidur","Umum"))))))</f>
        <v/>
      </c>
    </row>
    <row r="2833">
      <c r="B2833">
        <f>IF(A2833="","",$B$1-MAXIFS(Donasi!$A$2:$A$20000,Donasi!$B$2:$B$20000,A2833))</f>
        <v/>
      </c>
      <c r="C2833">
        <f>IF(A2833="","",COUNTIF(Donasi!$B$2:$B$20000,A2833))</f>
        <v/>
      </c>
      <c r="D2833">
        <f>IF(A2833="","",SUMIF(Donasi!$B$2:$B$20000,A2833,Donasi!$C$2:$C$20000))</f>
        <v/>
      </c>
      <c r="E2833">
        <f>IF(A2833="","",6-CEILING(PERCENTRANK.INC($B$3:$B$6000,B2833,4)*5+0.000001,1))</f>
        <v/>
      </c>
      <c r="F2833">
        <f>IF(A2833="","",MAX(1,CEILING(PERCENTRANK.INC($C$3:$C$6000,C2833,4)*5+0.000001,1)))</f>
        <v/>
      </c>
      <c r="G2833">
        <f>IF(A2833="","",MAX(1,CEILING(PERCENTRANK.INC($D$3:$D$6000,D2833,4)*5+0.000001,1)))</f>
        <v/>
      </c>
      <c r="H2833">
        <f>IF(A2833="","",E2833&amp;F2833&amp;G2833)</f>
        <v/>
      </c>
      <c r="I2833">
        <f>IF(A2833="","",IF(AND(E2833&gt;=4,F2833&gt;=4,G2833&gt;=4),"Juara",IF(AND(F2833&gt;=4,E2833&gt;=3),"Setia",IF(AND(E2833=5,F2833&lt;=2,G2833&gt;=3),"Berpotensi",IF(AND(E2833&lt;=3,E2833&gt;=2,F2833&gt;=3),"Rawan",IF(AND(E2833&lt;=2,F2833&lt;=2),"Tidur","Umum"))))))</f>
        <v/>
      </c>
    </row>
    <row r="2834">
      <c r="B2834">
        <f>IF(A2834="","",$B$1-MAXIFS(Donasi!$A$2:$A$20000,Donasi!$B$2:$B$20000,A2834))</f>
        <v/>
      </c>
      <c r="C2834">
        <f>IF(A2834="","",COUNTIF(Donasi!$B$2:$B$20000,A2834))</f>
        <v/>
      </c>
      <c r="D2834">
        <f>IF(A2834="","",SUMIF(Donasi!$B$2:$B$20000,A2834,Donasi!$C$2:$C$20000))</f>
        <v/>
      </c>
      <c r="E2834">
        <f>IF(A2834="","",6-CEILING(PERCENTRANK.INC($B$3:$B$6000,B2834,4)*5+0.000001,1))</f>
        <v/>
      </c>
      <c r="F2834">
        <f>IF(A2834="","",MAX(1,CEILING(PERCENTRANK.INC($C$3:$C$6000,C2834,4)*5+0.000001,1)))</f>
        <v/>
      </c>
      <c r="G2834">
        <f>IF(A2834="","",MAX(1,CEILING(PERCENTRANK.INC($D$3:$D$6000,D2834,4)*5+0.000001,1)))</f>
        <v/>
      </c>
      <c r="H2834">
        <f>IF(A2834="","",E2834&amp;F2834&amp;G2834)</f>
        <v/>
      </c>
      <c r="I2834">
        <f>IF(A2834="","",IF(AND(E2834&gt;=4,F2834&gt;=4,G2834&gt;=4),"Juara",IF(AND(F2834&gt;=4,E2834&gt;=3),"Setia",IF(AND(E2834=5,F2834&lt;=2,G2834&gt;=3),"Berpotensi",IF(AND(E2834&lt;=3,E2834&gt;=2,F2834&gt;=3),"Rawan",IF(AND(E2834&lt;=2,F2834&lt;=2),"Tidur","Umum"))))))</f>
        <v/>
      </c>
    </row>
    <row r="2835">
      <c r="B2835">
        <f>IF(A2835="","",$B$1-MAXIFS(Donasi!$A$2:$A$20000,Donasi!$B$2:$B$20000,A2835))</f>
        <v/>
      </c>
      <c r="C2835">
        <f>IF(A2835="","",COUNTIF(Donasi!$B$2:$B$20000,A2835))</f>
        <v/>
      </c>
      <c r="D2835">
        <f>IF(A2835="","",SUMIF(Donasi!$B$2:$B$20000,A2835,Donasi!$C$2:$C$20000))</f>
        <v/>
      </c>
      <c r="E2835">
        <f>IF(A2835="","",6-CEILING(PERCENTRANK.INC($B$3:$B$6000,B2835,4)*5+0.000001,1))</f>
        <v/>
      </c>
      <c r="F2835">
        <f>IF(A2835="","",MAX(1,CEILING(PERCENTRANK.INC($C$3:$C$6000,C2835,4)*5+0.000001,1)))</f>
        <v/>
      </c>
      <c r="G2835">
        <f>IF(A2835="","",MAX(1,CEILING(PERCENTRANK.INC($D$3:$D$6000,D2835,4)*5+0.000001,1)))</f>
        <v/>
      </c>
      <c r="H2835">
        <f>IF(A2835="","",E2835&amp;F2835&amp;G2835)</f>
        <v/>
      </c>
      <c r="I2835">
        <f>IF(A2835="","",IF(AND(E2835&gt;=4,F2835&gt;=4,G2835&gt;=4),"Juara",IF(AND(F2835&gt;=4,E2835&gt;=3),"Setia",IF(AND(E2835=5,F2835&lt;=2,G2835&gt;=3),"Berpotensi",IF(AND(E2835&lt;=3,E2835&gt;=2,F2835&gt;=3),"Rawan",IF(AND(E2835&lt;=2,F2835&lt;=2),"Tidur","Umum"))))))</f>
        <v/>
      </c>
    </row>
    <row r="2836">
      <c r="B2836">
        <f>IF(A2836="","",$B$1-MAXIFS(Donasi!$A$2:$A$20000,Donasi!$B$2:$B$20000,A2836))</f>
        <v/>
      </c>
      <c r="C2836">
        <f>IF(A2836="","",COUNTIF(Donasi!$B$2:$B$20000,A2836))</f>
        <v/>
      </c>
      <c r="D2836">
        <f>IF(A2836="","",SUMIF(Donasi!$B$2:$B$20000,A2836,Donasi!$C$2:$C$20000))</f>
        <v/>
      </c>
      <c r="E2836">
        <f>IF(A2836="","",6-CEILING(PERCENTRANK.INC($B$3:$B$6000,B2836,4)*5+0.000001,1))</f>
        <v/>
      </c>
      <c r="F2836">
        <f>IF(A2836="","",MAX(1,CEILING(PERCENTRANK.INC($C$3:$C$6000,C2836,4)*5+0.000001,1)))</f>
        <v/>
      </c>
      <c r="G2836">
        <f>IF(A2836="","",MAX(1,CEILING(PERCENTRANK.INC($D$3:$D$6000,D2836,4)*5+0.000001,1)))</f>
        <v/>
      </c>
      <c r="H2836">
        <f>IF(A2836="","",E2836&amp;F2836&amp;G2836)</f>
        <v/>
      </c>
      <c r="I2836">
        <f>IF(A2836="","",IF(AND(E2836&gt;=4,F2836&gt;=4,G2836&gt;=4),"Juara",IF(AND(F2836&gt;=4,E2836&gt;=3),"Setia",IF(AND(E2836=5,F2836&lt;=2,G2836&gt;=3),"Berpotensi",IF(AND(E2836&lt;=3,E2836&gt;=2,F2836&gt;=3),"Rawan",IF(AND(E2836&lt;=2,F2836&lt;=2),"Tidur","Umum"))))))</f>
        <v/>
      </c>
    </row>
    <row r="2837">
      <c r="B2837">
        <f>IF(A2837="","",$B$1-MAXIFS(Donasi!$A$2:$A$20000,Donasi!$B$2:$B$20000,A2837))</f>
        <v/>
      </c>
      <c r="C2837">
        <f>IF(A2837="","",COUNTIF(Donasi!$B$2:$B$20000,A2837))</f>
        <v/>
      </c>
      <c r="D2837">
        <f>IF(A2837="","",SUMIF(Donasi!$B$2:$B$20000,A2837,Donasi!$C$2:$C$20000))</f>
        <v/>
      </c>
      <c r="E2837">
        <f>IF(A2837="","",6-CEILING(PERCENTRANK.INC($B$3:$B$6000,B2837,4)*5+0.000001,1))</f>
        <v/>
      </c>
      <c r="F2837">
        <f>IF(A2837="","",MAX(1,CEILING(PERCENTRANK.INC($C$3:$C$6000,C2837,4)*5+0.000001,1)))</f>
        <v/>
      </c>
      <c r="G2837">
        <f>IF(A2837="","",MAX(1,CEILING(PERCENTRANK.INC($D$3:$D$6000,D2837,4)*5+0.000001,1)))</f>
        <v/>
      </c>
      <c r="H2837">
        <f>IF(A2837="","",E2837&amp;F2837&amp;G2837)</f>
        <v/>
      </c>
      <c r="I2837">
        <f>IF(A2837="","",IF(AND(E2837&gt;=4,F2837&gt;=4,G2837&gt;=4),"Juara",IF(AND(F2837&gt;=4,E2837&gt;=3),"Setia",IF(AND(E2837=5,F2837&lt;=2,G2837&gt;=3),"Berpotensi",IF(AND(E2837&lt;=3,E2837&gt;=2,F2837&gt;=3),"Rawan",IF(AND(E2837&lt;=2,F2837&lt;=2),"Tidur","Umum"))))))</f>
        <v/>
      </c>
    </row>
    <row r="2838">
      <c r="B2838">
        <f>IF(A2838="","",$B$1-MAXIFS(Donasi!$A$2:$A$20000,Donasi!$B$2:$B$20000,A2838))</f>
        <v/>
      </c>
      <c r="C2838">
        <f>IF(A2838="","",COUNTIF(Donasi!$B$2:$B$20000,A2838))</f>
        <v/>
      </c>
      <c r="D2838">
        <f>IF(A2838="","",SUMIF(Donasi!$B$2:$B$20000,A2838,Donasi!$C$2:$C$20000))</f>
        <v/>
      </c>
      <c r="E2838">
        <f>IF(A2838="","",6-CEILING(PERCENTRANK.INC($B$3:$B$6000,B2838,4)*5+0.000001,1))</f>
        <v/>
      </c>
      <c r="F2838">
        <f>IF(A2838="","",MAX(1,CEILING(PERCENTRANK.INC($C$3:$C$6000,C2838,4)*5+0.000001,1)))</f>
        <v/>
      </c>
      <c r="G2838">
        <f>IF(A2838="","",MAX(1,CEILING(PERCENTRANK.INC($D$3:$D$6000,D2838,4)*5+0.000001,1)))</f>
        <v/>
      </c>
      <c r="H2838">
        <f>IF(A2838="","",E2838&amp;F2838&amp;G2838)</f>
        <v/>
      </c>
      <c r="I2838">
        <f>IF(A2838="","",IF(AND(E2838&gt;=4,F2838&gt;=4,G2838&gt;=4),"Juara",IF(AND(F2838&gt;=4,E2838&gt;=3),"Setia",IF(AND(E2838=5,F2838&lt;=2,G2838&gt;=3),"Berpotensi",IF(AND(E2838&lt;=3,E2838&gt;=2,F2838&gt;=3),"Rawan",IF(AND(E2838&lt;=2,F2838&lt;=2),"Tidur","Umum"))))))</f>
        <v/>
      </c>
    </row>
    <row r="2839">
      <c r="B2839">
        <f>IF(A2839="","",$B$1-MAXIFS(Donasi!$A$2:$A$20000,Donasi!$B$2:$B$20000,A2839))</f>
        <v/>
      </c>
      <c r="C2839">
        <f>IF(A2839="","",COUNTIF(Donasi!$B$2:$B$20000,A2839))</f>
        <v/>
      </c>
      <c r="D2839">
        <f>IF(A2839="","",SUMIF(Donasi!$B$2:$B$20000,A2839,Donasi!$C$2:$C$20000))</f>
        <v/>
      </c>
      <c r="E2839">
        <f>IF(A2839="","",6-CEILING(PERCENTRANK.INC($B$3:$B$6000,B2839,4)*5+0.000001,1))</f>
        <v/>
      </c>
      <c r="F2839">
        <f>IF(A2839="","",MAX(1,CEILING(PERCENTRANK.INC($C$3:$C$6000,C2839,4)*5+0.000001,1)))</f>
        <v/>
      </c>
      <c r="G2839">
        <f>IF(A2839="","",MAX(1,CEILING(PERCENTRANK.INC($D$3:$D$6000,D2839,4)*5+0.000001,1)))</f>
        <v/>
      </c>
      <c r="H2839">
        <f>IF(A2839="","",E2839&amp;F2839&amp;G2839)</f>
        <v/>
      </c>
      <c r="I2839">
        <f>IF(A2839="","",IF(AND(E2839&gt;=4,F2839&gt;=4,G2839&gt;=4),"Juara",IF(AND(F2839&gt;=4,E2839&gt;=3),"Setia",IF(AND(E2839=5,F2839&lt;=2,G2839&gt;=3),"Berpotensi",IF(AND(E2839&lt;=3,E2839&gt;=2,F2839&gt;=3),"Rawan",IF(AND(E2839&lt;=2,F2839&lt;=2),"Tidur","Umum"))))))</f>
        <v/>
      </c>
    </row>
    <row r="2840">
      <c r="B2840">
        <f>IF(A2840="","",$B$1-MAXIFS(Donasi!$A$2:$A$20000,Donasi!$B$2:$B$20000,A2840))</f>
        <v/>
      </c>
      <c r="C2840">
        <f>IF(A2840="","",COUNTIF(Donasi!$B$2:$B$20000,A2840))</f>
        <v/>
      </c>
      <c r="D2840">
        <f>IF(A2840="","",SUMIF(Donasi!$B$2:$B$20000,A2840,Donasi!$C$2:$C$20000))</f>
        <v/>
      </c>
      <c r="E2840">
        <f>IF(A2840="","",6-CEILING(PERCENTRANK.INC($B$3:$B$6000,B2840,4)*5+0.000001,1))</f>
        <v/>
      </c>
      <c r="F2840">
        <f>IF(A2840="","",MAX(1,CEILING(PERCENTRANK.INC($C$3:$C$6000,C2840,4)*5+0.000001,1)))</f>
        <v/>
      </c>
      <c r="G2840">
        <f>IF(A2840="","",MAX(1,CEILING(PERCENTRANK.INC($D$3:$D$6000,D2840,4)*5+0.000001,1)))</f>
        <v/>
      </c>
      <c r="H2840">
        <f>IF(A2840="","",E2840&amp;F2840&amp;G2840)</f>
        <v/>
      </c>
      <c r="I2840">
        <f>IF(A2840="","",IF(AND(E2840&gt;=4,F2840&gt;=4,G2840&gt;=4),"Juara",IF(AND(F2840&gt;=4,E2840&gt;=3),"Setia",IF(AND(E2840=5,F2840&lt;=2,G2840&gt;=3),"Berpotensi",IF(AND(E2840&lt;=3,E2840&gt;=2,F2840&gt;=3),"Rawan",IF(AND(E2840&lt;=2,F2840&lt;=2),"Tidur","Umum"))))))</f>
        <v/>
      </c>
    </row>
    <row r="2841">
      <c r="B2841">
        <f>IF(A2841="","",$B$1-MAXIFS(Donasi!$A$2:$A$20000,Donasi!$B$2:$B$20000,A2841))</f>
        <v/>
      </c>
      <c r="C2841">
        <f>IF(A2841="","",COUNTIF(Donasi!$B$2:$B$20000,A2841))</f>
        <v/>
      </c>
      <c r="D2841">
        <f>IF(A2841="","",SUMIF(Donasi!$B$2:$B$20000,A2841,Donasi!$C$2:$C$20000))</f>
        <v/>
      </c>
      <c r="E2841">
        <f>IF(A2841="","",6-CEILING(PERCENTRANK.INC($B$3:$B$6000,B2841,4)*5+0.000001,1))</f>
        <v/>
      </c>
      <c r="F2841">
        <f>IF(A2841="","",MAX(1,CEILING(PERCENTRANK.INC($C$3:$C$6000,C2841,4)*5+0.000001,1)))</f>
        <v/>
      </c>
      <c r="G2841">
        <f>IF(A2841="","",MAX(1,CEILING(PERCENTRANK.INC($D$3:$D$6000,D2841,4)*5+0.000001,1)))</f>
        <v/>
      </c>
      <c r="H2841">
        <f>IF(A2841="","",E2841&amp;F2841&amp;G2841)</f>
        <v/>
      </c>
      <c r="I2841">
        <f>IF(A2841="","",IF(AND(E2841&gt;=4,F2841&gt;=4,G2841&gt;=4),"Juara",IF(AND(F2841&gt;=4,E2841&gt;=3),"Setia",IF(AND(E2841=5,F2841&lt;=2,G2841&gt;=3),"Berpotensi",IF(AND(E2841&lt;=3,E2841&gt;=2,F2841&gt;=3),"Rawan",IF(AND(E2841&lt;=2,F2841&lt;=2),"Tidur","Umum"))))))</f>
        <v/>
      </c>
    </row>
    <row r="2842">
      <c r="B2842">
        <f>IF(A2842="","",$B$1-MAXIFS(Donasi!$A$2:$A$20000,Donasi!$B$2:$B$20000,A2842))</f>
        <v/>
      </c>
      <c r="C2842">
        <f>IF(A2842="","",COUNTIF(Donasi!$B$2:$B$20000,A2842))</f>
        <v/>
      </c>
      <c r="D2842">
        <f>IF(A2842="","",SUMIF(Donasi!$B$2:$B$20000,A2842,Donasi!$C$2:$C$20000))</f>
        <v/>
      </c>
      <c r="E2842">
        <f>IF(A2842="","",6-CEILING(PERCENTRANK.INC($B$3:$B$6000,B2842,4)*5+0.000001,1))</f>
        <v/>
      </c>
      <c r="F2842">
        <f>IF(A2842="","",MAX(1,CEILING(PERCENTRANK.INC($C$3:$C$6000,C2842,4)*5+0.000001,1)))</f>
        <v/>
      </c>
      <c r="G2842">
        <f>IF(A2842="","",MAX(1,CEILING(PERCENTRANK.INC($D$3:$D$6000,D2842,4)*5+0.000001,1)))</f>
        <v/>
      </c>
      <c r="H2842">
        <f>IF(A2842="","",E2842&amp;F2842&amp;G2842)</f>
        <v/>
      </c>
      <c r="I2842">
        <f>IF(A2842="","",IF(AND(E2842&gt;=4,F2842&gt;=4,G2842&gt;=4),"Juara",IF(AND(F2842&gt;=4,E2842&gt;=3),"Setia",IF(AND(E2842=5,F2842&lt;=2,G2842&gt;=3),"Berpotensi",IF(AND(E2842&lt;=3,E2842&gt;=2,F2842&gt;=3),"Rawan",IF(AND(E2842&lt;=2,F2842&lt;=2),"Tidur","Umum"))))))</f>
        <v/>
      </c>
    </row>
    <row r="2843">
      <c r="B2843">
        <f>IF(A2843="","",$B$1-MAXIFS(Donasi!$A$2:$A$20000,Donasi!$B$2:$B$20000,A2843))</f>
        <v/>
      </c>
      <c r="C2843">
        <f>IF(A2843="","",COUNTIF(Donasi!$B$2:$B$20000,A2843))</f>
        <v/>
      </c>
      <c r="D2843">
        <f>IF(A2843="","",SUMIF(Donasi!$B$2:$B$20000,A2843,Donasi!$C$2:$C$20000))</f>
        <v/>
      </c>
      <c r="E2843">
        <f>IF(A2843="","",6-CEILING(PERCENTRANK.INC($B$3:$B$6000,B2843,4)*5+0.000001,1))</f>
        <v/>
      </c>
      <c r="F2843">
        <f>IF(A2843="","",MAX(1,CEILING(PERCENTRANK.INC($C$3:$C$6000,C2843,4)*5+0.000001,1)))</f>
        <v/>
      </c>
      <c r="G2843">
        <f>IF(A2843="","",MAX(1,CEILING(PERCENTRANK.INC($D$3:$D$6000,D2843,4)*5+0.000001,1)))</f>
        <v/>
      </c>
      <c r="H2843">
        <f>IF(A2843="","",E2843&amp;F2843&amp;G2843)</f>
        <v/>
      </c>
      <c r="I2843">
        <f>IF(A2843="","",IF(AND(E2843&gt;=4,F2843&gt;=4,G2843&gt;=4),"Juara",IF(AND(F2843&gt;=4,E2843&gt;=3),"Setia",IF(AND(E2843=5,F2843&lt;=2,G2843&gt;=3),"Berpotensi",IF(AND(E2843&lt;=3,E2843&gt;=2,F2843&gt;=3),"Rawan",IF(AND(E2843&lt;=2,F2843&lt;=2),"Tidur","Umum"))))))</f>
        <v/>
      </c>
    </row>
    <row r="2844">
      <c r="B2844">
        <f>IF(A2844="","",$B$1-MAXIFS(Donasi!$A$2:$A$20000,Donasi!$B$2:$B$20000,A2844))</f>
        <v/>
      </c>
      <c r="C2844">
        <f>IF(A2844="","",COUNTIF(Donasi!$B$2:$B$20000,A2844))</f>
        <v/>
      </c>
      <c r="D2844">
        <f>IF(A2844="","",SUMIF(Donasi!$B$2:$B$20000,A2844,Donasi!$C$2:$C$20000))</f>
        <v/>
      </c>
      <c r="E2844">
        <f>IF(A2844="","",6-CEILING(PERCENTRANK.INC($B$3:$B$6000,B2844,4)*5+0.000001,1))</f>
        <v/>
      </c>
      <c r="F2844">
        <f>IF(A2844="","",MAX(1,CEILING(PERCENTRANK.INC($C$3:$C$6000,C2844,4)*5+0.000001,1)))</f>
        <v/>
      </c>
      <c r="G2844">
        <f>IF(A2844="","",MAX(1,CEILING(PERCENTRANK.INC($D$3:$D$6000,D2844,4)*5+0.000001,1)))</f>
        <v/>
      </c>
      <c r="H2844">
        <f>IF(A2844="","",E2844&amp;F2844&amp;G2844)</f>
        <v/>
      </c>
      <c r="I2844">
        <f>IF(A2844="","",IF(AND(E2844&gt;=4,F2844&gt;=4,G2844&gt;=4),"Juara",IF(AND(F2844&gt;=4,E2844&gt;=3),"Setia",IF(AND(E2844=5,F2844&lt;=2,G2844&gt;=3),"Berpotensi",IF(AND(E2844&lt;=3,E2844&gt;=2,F2844&gt;=3),"Rawan",IF(AND(E2844&lt;=2,F2844&lt;=2),"Tidur","Umum"))))))</f>
        <v/>
      </c>
    </row>
    <row r="2845">
      <c r="B2845">
        <f>IF(A2845="","",$B$1-MAXIFS(Donasi!$A$2:$A$20000,Donasi!$B$2:$B$20000,A2845))</f>
        <v/>
      </c>
      <c r="C2845">
        <f>IF(A2845="","",COUNTIF(Donasi!$B$2:$B$20000,A2845))</f>
        <v/>
      </c>
      <c r="D2845">
        <f>IF(A2845="","",SUMIF(Donasi!$B$2:$B$20000,A2845,Donasi!$C$2:$C$20000))</f>
        <v/>
      </c>
      <c r="E2845">
        <f>IF(A2845="","",6-CEILING(PERCENTRANK.INC($B$3:$B$6000,B2845,4)*5+0.000001,1))</f>
        <v/>
      </c>
      <c r="F2845">
        <f>IF(A2845="","",MAX(1,CEILING(PERCENTRANK.INC($C$3:$C$6000,C2845,4)*5+0.000001,1)))</f>
        <v/>
      </c>
      <c r="G2845">
        <f>IF(A2845="","",MAX(1,CEILING(PERCENTRANK.INC($D$3:$D$6000,D2845,4)*5+0.000001,1)))</f>
        <v/>
      </c>
      <c r="H2845">
        <f>IF(A2845="","",E2845&amp;F2845&amp;G2845)</f>
        <v/>
      </c>
      <c r="I2845">
        <f>IF(A2845="","",IF(AND(E2845&gt;=4,F2845&gt;=4,G2845&gt;=4),"Juara",IF(AND(F2845&gt;=4,E2845&gt;=3),"Setia",IF(AND(E2845=5,F2845&lt;=2,G2845&gt;=3),"Berpotensi",IF(AND(E2845&lt;=3,E2845&gt;=2,F2845&gt;=3),"Rawan",IF(AND(E2845&lt;=2,F2845&lt;=2),"Tidur","Umum"))))))</f>
        <v/>
      </c>
    </row>
    <row r="2846">
      <c r="B2846">
        <f>IF(A2846="","",$B$1-MAXIFS(Donasi!$A$2:$A$20000,Donasi!$B$2:$B$20000,A2846))</f>
        <v/>
      </c>
      <c r="C2846">
        <f>IF(A2846="","",COUNTIF(Donasi!$B$2:$B$20000,A2846))</f>
        <v/>
      </c>
      <c r="D2846">
        <f>IF(A2846="","",SUMIF(Donasi!$B$2:$B$20000,A2846,Donasi!$C$2:$C$20000))</f>
        <v/>
      </c>
      <c r="E2846">
        <f>IF(A2846="","",6-CEILING(PERCENTRANK.INC($B$3:$B$6000,B2846,4)*5+0.000001,1))</f>
        <v/>
      </c>
      <c r="F2846">
        <f>IF(A2846="","",MAX(1,CEILING(PERCENTRANK.INC($C$3:$C$6000,C2846,4)*5+0.000001,1)))</f>
        <v/>
      </c>
      <c r="G2846">
        <f>IF(A2846="","",MAX(1,CEILING(PERCENTRANK.INC($D$3:$D$6000,D2846,4)*5+0.000001,1)))</f>
        <v/>
      </c>
      <c r="H2846">
        <f>IF(A2846="","",E2846&amp;F2846&amp;G2846)</f>
        <v/>
      </c>
      <c r="I2846">
        <f>IF(A2846="","",IF(AND(E2846&gt;=4,F2846&gt;=4,G2846&gt;=4),"Juara",IF(AND(F2846&gt;=4,E2846&gt;=3),"Setia",IF(AND(E2846=5,F2846&lt;=2,G2846&gt;=3),"Berpotensi",IF(AND(E2846&lt;=3,E2846&gt;=2,F2846&gt;=3),"Rawan",IF(AND(E2846&lt;=2,F2846&lt;=2),"Tidur","Umum"))))))</f>
        <v/>
      </c>
    </row>
    <row r="2847">
      <c r="B2847">
        <f>IF(A2847="","",$B$1-MAXIFS(Donasi!$A$2:$A$20000,Donasi!$B$2:$B$20000,A2847))</f>
        <v/>
      </c>
      <c r="C2847">
        <f>IF(A2847="","",COUNTIF(Donasi!$B$2:$B$20000,A2847))</f>
        <v/>
      </c>
      <c r="D2847">
        <f>IF(A2847="","",SUMIF(Donasi!$B$2:$B$20000,A2847,Donasi!$C$2:$C$20000))</f>
        <v/>
      </c>
      <c r="E2847">
        <f>IF(A2847="","",6-CEILING(PERCENTRANK.INC($B$3:$B$6000,B2847,4)*5+0.000001,1))</f>
        <v/>
      </c>
      <c r="F2847">
        <f>IF(A2847="","",MAX(1,CEILING(PERCENTRANK.INC($C$3:$C$6000,C2847,4)*5+0.000001,1)))</f>
        <v/>
      </c>
      <c r="G2847">
        <f>IF(A2847="","",MAX(1,CEILING(PERCENTRANK.INC($D$3:$D$6000,D2847,4)*5+0.000001,1)))</f>
        <v/>
      </c>
      <c r="H2847">
        <f>IF(A2847="","",E2847&amp;F2847&amp;G2847)</f>
        <v/>
      </c>
      <c r="I2847">
        <f>IF(A2847="","",IF(AND(E2847&gt;=4,F2847&gt;=4,G2847&gt;=4),"Juara",IF(AND(F2847&gt;=4,E2847&gt;=3),"Setia",IF(AND(E2847=5,F2847&lt;=2,G2847&gt;=3),"Berpotensi",IF(AND(E2847&lt;=3,E2847&gt;=2,F2847&gt;=3),"Rawan",IF(AND(E2847&lt;=2,F2847&lt;=2),"Tidur","Umum"))))))</f>
        <v/>
      </c>
    </row>
    <row r="2848">
      <c r="B2848">
        <f>IF(A2848="","",$B$1-MAXIFS(Donasi!$A$2:$A$20000,Donasi!$B$2:$B$20000,A2848))</f>
        <v/>
      </c>
      <c r="C2848">
        <f>IF(A2848="","",COUNTIF(Donasi!$B$2:$B$20000,A2848))</f>
        <v/>
      </c>
      <c r="D2848">
        <f>IF(A2848="","",SUMIF(Donasi!$B$2:$B$20000,A2848,Donasi!$C$2:$C$20000))</f>
        <v/>
      </c>
      <c r="E2848">
        <f>IF(A2848="","",6-CEILING(PERCENTRANK.INC($B$3:$B$6000,B2848,4)*5+0.000001,1))</f>
        <v/>
      </c>
      <c r="F2848">
        <f>IF(A2848="","",MAX(1,CEILING(PERCENTRANK.INC($C$3:$C$6000,C2848,4)*5+0.000001,1)))</f>
        <v/>
      </c>
      <c r="G2848">
        <f>IF(A2848="","",MAX(1,CEILING(PERCENTRANK.INC($D$3:$D$6000,D2848,4)*5+0.000001,1)))</f>
        <v/>
      </c>
      <c r="H2848">
        <f>IF(A2848="","",E2848&amp;F2848&amp;G2848)</f>
        <v/>
      </c>
      <c r="I2848">
        <f>IF(A2848="","",IF(AND(E2848&gt;=4,F2848&gt;=4,G2848&gt;=4),"Juara",IF(AND(F2848&gt;=4,E2848&gt;=3),"Setia",IF(AND(E2848=5,F2848&lt;=2,G2848&gt;=3),"Berpotensi",IF(AND(E2848&lt;=3,E2848&gt;=2,F2848&gt;=3),"Rawan",IF(AND(E2848&lt;=2,F2848&lt;=2),"Tidur","Umum"))))))</f>
        <v/>
      </c>
    </row>
    <row r="2849">
      <c r="B2849">
        <f>IF(A2849="","",$B$1-MAXIFS(Donasi!$A$2:$A$20000,Donasi!$B$2:$B$20000,A2849))</f>
        <v/>
      </c>
      <c r="C2849">
        <f>IF(A2849="","",COUNTIF(Donasi!$B$2:$B$20000,A2849))</f>
        <v/>
      </c>
      <c r="D2849">
        <f>IF(A2849="","",SUMIF(Donasi!$B$2:$B$20000,A2849,Donasi!$C$2:$C$20000))</f>
        <v/>
      </c>
      <c r="E2849">
        <f>IF(A2849="","",6-CEILING(PERCENTRANK.INC($B$3:$B$6000,B2849,4)*5+0.000001,1))</f>
        <v/>
      </c>
      <c r="F2849">
        <f>IF(A2849="","",MAX(1,CEILING(PERCENTRANK.INC($C$3:$C$6000,C2849,4)*5+0.000001,1)))</f>
        <v/>
      </c>
      <c r="G2849">
        <f>IF(A2849="","",MAX(1,CEILING(PERCENTRANK.INC($D$3:$D$6000,D2849,4)*5+0.000001,1)))</f>
        <v/>
      </c>
      <c r="H2849">
        <f>IF(A2849="","",E2849&amp;F2849&amp;G2849)</f>
        <v/>
      </c>
      <c r="I2849">
        <f>IF(A2849="","",IF(AND(E2849&gt;=4,F2849&gt;=4,G2849&gt;=4),"Juara",IF(AND(F2849&gt;=4,E2849&gt;=3),"Setia",IF(AND(E2849=5,F2849&lt;=2,G2849&gt;=3),"Berpotensi",IF(AND(E2849&lt;=3,E2849&gt;=2,F2849&gt;=3),"Rawan",IF(AND(E2849&lt;=2,F2849&lt;=2),"Tidur","Umum"))))))</f>
        <v/>
      </c>
    </row>
    <row r="2850">
      <c r="B2850">
        <f>IF(A2850="","",$B$1-MAXIFS(Donasi!$A$2:$A$20000,Donasi!$B$2:$B$20000,A2850))</f>
        <v/>
      </c>
      <c r="C2850">
        <f>IF(A2850="","",COUNTIF(Donasi!$B$2:$B$20000,A2850))</f>
        <v/>
      </c>
      <c r="D2850">
        <f>IF(A2850="","",SUMIF(Donasi!$B$2:$B$20000,A2850,Donasi!$C$2:$C$20000))</f>
        <v/>
      </c>
      <c r="E2850">
        <f>IF(A2850="","",6-CEILING(PERCENTRANK.INC($B$3:$B$6000,B2850,4)*5+0.000001,1))</f>
        <v/>
      </c>
      <c r="F2850">
        <f>IF(A2850="","",MAX(1,CEILING(PERCENTRANK.INC($C$3:$C$6000,C2850,4)*5+0.000001,1)))</f>
        <v/>
      </c>
      <c r="G2850">
        <f>IF(A2850="","",MAX(1,CEILING(PERCENTRANK.INC($D$3:$D$6000,D2850,4)*5+0.000001,1)))</f>
        <v/>
      </c>
      <c r="H2850">
        <f>IF(A2850="","",E2850&amp;F2850&amp;G2850)</f>
        <v/>
      </c>
      <c r="I2850">
        <f>IF(A2850="","",IF(AND(E2850&gt;=4,F2850&gt;=4,G2850&gt;=4),"Juara",IF(AND(F2850&gt;=4,E2850&gt;=3),"Setia",IF(AND(E2850=5,F2850&lt;=2,G2850&gt;=3),"Berpotensi",IF(AND(E2850&lt;=3,E2850&gt;=2,F2850&gt;=3),"Rawan",IF(AND(E2850&lt;=2,F2850&lt;=2),"Tidur","Umum"))))))</f>
        <v/>
      </c>
    </row>
    <row r="2851">
      <c r="B2851">
        <f>IF(A2851="","",$B$1-MAXIFS(Donasi!$A$2:$A$20000,Donasi!$B$2:$B$20000,A2851))</f>
        <v/>
      </c>
      <c r="C2851">
        <f>IF(A2851="","",COUNTIF(Donasi!$B$2:$B$20000,A2851))</f>
        <v/>
      </c>
      <c r="D2851">
        <f>IF(A2851="","",SUMIF(Donasi!$B$2:$B$20000,A2851,Donasi!$C$2:$C$20000))</f>
        <v/>
      </c>
      <c r="E2851">
        <f>IF(A2851="","",6-CEILING(PERCENTRANK.INC($B$3:$B$6000,B2851,4)*5+0.000001,1))</f>
        <v/>
      </c>
      <c r="F2851">
        <f>IF(A2851="","",MAX(1,CEILING(PERCENTRANK.INC($C$3:$C$6000,C2851,4)*5+0.000001,1)))</f>
        <v/>
      </c>
      <c r="G2851">
        <f>IF(A2851="","",MAX(1,CEILING(PERCENTRANK.INC($D$3:$D$6000,D2851,4)*5+0.000001,1)))</f>
        <v/>
      </c>
      <c r="H2851">
        <f>IF(A2851="","",E2851&amp;F2851&amp;G2851)</f>
        <v/>
      </c>
      <c r="I2851">
        <f>IF(A2851="","",IF(AND(E2851&gt;=4,F2851&gt;=4,G2851&gt;=4),"Juara",IF(AND(F2851&gt;=4,E2851&gt;=3),"Setia",IF(AND(E2851=5,F2851&lt;=2,G2851&gt;=3),"Berpotensi",IF(AND(E2851&lt;=3,E2851&gt;=2,F2851&gt;=3),"Rawan",IF(AND(E2851&lt;=2,F2851&lt;=2),"Tidur","Umum"))))))</f>
        <v/>
      </c>
    </row>
    <row r="2852">
      <c r="B2852">
        <f>IF(A2852="","",$B$1-MAXIFS(Donasi!$A$2:$A$20000,Donasi!$B$2:$B$20000,A2852))</f>
        <v/>
      </c>
      <c r="C2852">
        <f>IF(A2852="","",COUNTIF(Donasi!$B$2:$B$20000,A2852))</f>
        <v/>
      </c>
      <c r="D2852">
        <f>IF(A2852="","",SUMIF(Donasi!$B$2:$B$20000,A2852,Donasi!$C$2:$C$20000))</f>
        <v/>
      </c>
      <c r="E2852">
        <f>IF(A2852="","",6-CEILING(PERCENTRANK.INC($B$3:$B$6000,B2852,4)*5+0.000001,1))</f>
        <v/>
      </c>
      <c r="F2852">
        <f>IF(A2852="","",MAX(1,CEILING(PERCENTRANK.INC($C$3:$C$6000,C2852,4)*5+0.000001,1)))</f>
        <v/>
      </c>
      <c r="G2852">
        <f>IF(A2852="","",MAX(1,CEILING(PERCENTRANK.INC($D$3:$D$6000,D2852,4)*5+0.000001,1)))</f>
        <v/>
      </c>
      <c r="H2852">
        <f>IF(A2852="","",E2852&amp;F2852&amp;G2852)</f>
        <v/>
      </c>
      <c r="I2852">
        <f>IF(A2852="","",IF(AND(E2852&gt;=4,F2852&gt;=4,G2852&gt;=4),"Juara",IF(AND(F2852&gt;=4,E2852&gt;=3),"Setia",IF(AND(E2852=5,F2852&lt;=2,G2852&gt;=3),"Berpotensi",IF(AND(E2852&lt;=3,E2852&gt;=2,F2852&gt;=3),"Rawan",IF(AND(E2852&lt;=2,F2852&lt;=2),"Tidur","Umum"))))))</f>
        <v/>
      </c>
    </row>
    <row r="2853">
      <c r="B2853">
        <f>IF(A2853="","",$B$1-MAXIFS(Donasi!$A$2:$A$20000,Donasi!$B$2:$B$20000,A2853))</f>
        <v/>
      </c>
      <c r="C2853">
        <f>IF(A2853="","",COUNTIF(Donasi!$B$2:$B$20000,A2853))</f>
        <v/>
      </c>
      <c r="D2853">
        <f>IF(A2853="","",SUMIF(Donasi!$B$2:$B$20000,A2853,Donasi!$C$2:$C$20000))</f>
        <v/>
      </c>
      <c r="E2853">
        <f>IF(A2853="","",6-CEILING(PERCENTRANK.INC($B$3:$B$6000,B2853,4)*5+0.000001,1))</f>
        <v/>
      </c>
      <c r="F2853">
        <f>IF(A2853="","",MAX(1,CEILING(PERCENTRANK.INC($C$3:$C$6000,C2853,4)*5+0.000001,1)))</f>
        <v/>
      </c>
      <c r="G2853">
        <f>IF(A2853="","",MAX(1,CEILING(PERCENTRANK.INC($D$3:$D$6000,D2853,4)*5+0.000001,1)))</f>
        <v/>
      </c>
      <c r="H2853">
        <f>IF(A2853="","",E2853&amp;F2853&amp;G2853)</f>
        <v/>
      </c>
      <c r="I2853">
        <f>IF(A2853="","",IF(AND(E2853&gt;=4,F2853&gt;=4,G2853&gt;=4),"Juara",IF(AND(F2853&gt;=4,E2853&gt;=3),"Setia",IF(AND(E2853=5,F2853&lt;=2,G2853&gt;=3),"Berpotensi",IF(AND(E2853&lt;=3,E2853&gt;=2,F2853&gt;=3),"Rawan",IF(AND(E2853&lt;=2,F2853&lt;=2),"Tidur","Umum"))))))</f>
        <v/>
      </c>
    </row>
    <row r="2854">
      <c r="B2854">
        <f>IF(A2854="","",$B$1-MAXIFS(Donasi!$A$2:$A$20000,Donasi!$B$2:$B$20000,A2854))</f>
        <v/>
      </c>
      <c r="C2854">
        <f>IF(A2854="","",COUNTIF(Donasi!$B$2:$B$20000,A2854))</f>
        <v/>
      </c>
      <c r="D2854">
        <f>IF(A2854="","",SUMIF(Donasi!$B$2:$B$20000,A2854,Donasi!$C$2:$C$20000))</f>
        <v/>
      </c>
      <c r="E2854">
        <f>IF(A2854="","",6-CEILING(PERCENTRANK.INC($B$3:$B$6000,B2854,4)*5+0.000001,1))</f>
        <v/>
      </c>
      <c r="F2854">
        <f>IF(A2854="","",MAX(1,CEILING(PERCENTRANK.INC($C$3:$C$6000,C2854,4)*5+0.000001,1)))</f>
        <v/>
      </c>
      <c r="G2854">
        <f>IF(A2854="","",MAX(1,CEILING(PERCENTRANK.INC($D$3:$D$6000,D2854,4)*5+0.000001,1)))</f>
        <v/>
      </c>
      <c r="H2854">
        <f>IF(A2854="","",E2854&amp;F2854&amp;G2854)</f>
        <v/>
      </c>
      <c r="I2854">
        <f>IF(A2854="","",IF(AND(E2854&gt;=4,F2854&gt;=4,G2854&gt;=4),"Juara",IF(AND(F2854&gt;=4,E2854&gt;=3),"Setia",IF(AND(E2854=5,F2854&lt;=2,G2854&gt;=3),"Berpotensi",IF(AND(E2854&lt;=3,E2854&gt;=2,F2854&gt;=3),"Rawan",IF(AND(E2854&lt;=2,F2854&lt;=2),"Tidur","Umum"))))))</f>
        <v/>
      </c>
    </row>
    <row r="2855">
      <c r="B2855">
        <f>IF(A2855="","",$B$1-MAXIFS(Donasi!$A$2:$A$20000,Donasi!$B$2:$B$20000,A2855))</f>
        <v/>
      </c>
      <c r="C2855">
        <f>IF(A2855="","",COUNTIF(Donasi!$B$2:$B$20000,A2855))</f>
        <v/>
      </c>
      <c r="D2855">
        <f>IF(A2855="","",SUMIF(Donasi!$B$2:$B$20000,A2855,Donasi!$C$2:$C$20000))</f>
        <v/>
      </c>
      <c r="E2855">
        <f>IF(A2855="","",6-CEILING(PERCENTRANK.INC($B$3:$B$6000,B2855,4)*5+0.000001,1))</f>
        <v/>
      </c>
      <c r="F2855">
        <f>IF(A2855="","",MAX(1,CEILING(PERCENTRANK.INC($C$3:$C$6000,C2855,4)*5+0.000001,1)))</f>
        <v/>
      </c>
      <c r="G2855">
        <f>IF(A2855="","",MAX(1,CEILING(PERCENTRANK.INC($D$3:$D$6000,D2855,4)*5+0.000001,1)))</f>
        <v/>
      </c>
      <c r="H2855">
        <f>IF(A2855="","",E2855&amp;F2855&amp;G2855)</f>
        <v/>
      </c>
      <c r="I2855">
        <f>IF(A2855="","",IF(AND(E2855&gt;=4,F2855&gt;=4,G2855&gt;=4),"Juara",IF(AND(F2855&gt;=4,E2855&gt;=3),"Setia",IF(AND(E2855=5,F2855&lt;=2,G2855&gt;=3),"Berpotensi",IF(AND(E2855&lt;=3,E2855&gt;=2,F2855&gt;=3),"Rawan",IF(AND(E2855&lt;=2,F2855&lt;=2),"Tidur","Umum"))))))</f>
        <v/>
      </c>
    </row>
    <row r="2856">
      <c r="B2856">
        <f>IF(A2856="","",$B$1-MAXIFS(Donasi!$A$2:$A$20000,Donasi!$B$2:$B$20000,A2856))</f>
        <v/>
      </c>
      <c r="C2856">
        <f>IF(A2856="","",COUNTIF(Donasi!$B$2:$B$20000,A2856))</f>
        <v/>
      </c>
      <c r="D2856">
        <f>IF(A2856="","",SUMIF(Donasi!$B$2:$B$20000,A2856,Donasi!$C$2:$C$20000))</f>
        <v/>
      </c>
      <c r="E2856">
        <f>IF(A2856="","",6-CEILING(PERCENTRANK.INC($B$3:$B$6000,B2856,4)*5+0.000001,1))</f>
        <v/>
      </c>
      <c r="F2856">
        <f>IF(A2856="","",MAX(1,CEILING(PERCENTRANK.INC($C$3:$C$6000,C2856,4)*5+0.000001,1)))</f>
        <v/>
      </c>
      <c r="G2856">
        <f>IF(A2856="","",MAX(1,CEILING(PERCENTRANK.INC($D$3:$D$6000,D2856,4)*5+0.000001,1)))</f>
        <v/>
      </c>
      <c r="H2856">
        <f>IF(A2856="","",E2856&amp;F2856&amp;G2856)</f>
        <v/>
      </c>
      <c r="I2856">
        <f>IF(A2856="","",IF(AND(E2856&gt;=4,F2856&gt;=4,G2856&gt;=4),"Juara",IF(AND(F2856&gt;=4,E2856&gt;=3),"Setia",IF(AND(E2856=5,F2856&lt;=2,G2856&gt;=3),"Berpotensi",IF(AND(E2856&lt;=3,E2856&gt;=2,F2856&gt;=3),"Rawan",IF(AND(E2856&lt;=2,F2856&lt;=2),"Tidur","Umum"))))))</f>
        <v/>
      </c>
    </row>
    <row r="2857">
      <c r="B2857">
        <f>IF(A2857="","",$B$1-MAXIFS(Donasi!$A$2:$A$20000,Donasi!$B$2:$B$20000,A2857))</f>
        <v/>
      </c>
      <c r="C2857">
        <f>IF(A2857="","",COUNTIF(Donasi!$B$2:$B$20000,A2857))</f>
        <v/>
      </c>
      <c r="D2857">
        <f>IF(A2857="","",SUMIF(Donasi!$B$2:$B$20000,A2857,Donasi!$C$2:$C$20000))</f>
        <v/>
      </c>
      <c r="E2857">
        <f>IF(A2857="","",6-CEILING(PERCENTRANK.INC($B$3:$B$6000,B2857,4)*5+0.000001,1))</f>
        <v/>
      </c>
      <c r="F2857">
        <f>IF(A2857="","",MAX(1,CEILING(PERCENTRANK.INC($C$3:$C$6000,C2857,4)*5+0.000001,1)))</f>
        <v/>
      </c>
      <c r="G2857">
        <f>IF(A2857="","",MAX(1,CEILING(PERCENTRANK.INC($D$3:$D$6000,D2857,4)*5+0.000001,1)))</f>
        <v/>
      </c>
      <c r="H2857">
        <f>IF(A2857="","",E2857&amp;F2857&amp;G2857)</f>
        <v/>
      </c>
      <c r="I2857">
        <f>IF(A2857="","",IF(AND(E2857&gt;=4,F2857&gt;=4,G2857&gt;=4),"Juara",IF(AND(F2857&gt;=4,E2857&gt;=3),"Setia",IF(AND(E2857=5,F2857&lt;=2,G2857&gt;=3),"Berpotensi",IF(AND(E2857&lt;=3,E2857&gt;=2,F2857&gt;=3),"Rawan",IF(AND(E2857&lt;=2,F2857&lt;=2),"Tidur","Umum"))))))</f>
        <v/>
      </c>
    </row>
    <row r="2858">
      <c r="B2858">
        <f>IF(A2858="","",$B$1-MAXIFS(Donasi!$A$2:$A$20000,Donasi!$B$2:$B$20000,A2858))</f>
        <v/>
      </c>
      <c r="C2858">
        <f>IF(A2858="","",COUNTIF(Donasi!$B$2:$B$20000,A2858))</f>
        <v/>
      </c>
      <c r="D2858">
        <f>IF(A2858="","",SUMIF(Donasi!$B$2:$B$20000,A2858,Donasi!$C$2:$C$20000))</f>
        <v/>
      </c>
      <c r="E2858">
        <f>IF(A2858="","",6-CEILING(PERCENTRANK.INC($B$3:$B$6000,B2858,4)*5+0.000001,1))</f>
        <v/>
      </c>
      <c r="F2858">
        <f>IF(A2858="","",MAX(1,CEILING(PERCENTRANK.INC($C$3:$C$6000,C2858,4)*5+0.000001,1)))</f>
        <v/>
      </c>
      <c r="G2858">
        <f>IF(A2858="","",MAX(1,CEILING(PERCENTRANK.INC($D$3:$D$6000,D2858,4)*5+0.000001,1)))</f>
        <v/>
      </c>
      <c r="H2858">
        <f>IF(A2858="","",E2858&amp;F2858&amp;G2858)</f>
        <v/>
      </c>
      <c r="I2858">
        <f>IF(A2858="","",IF(AND(E2858&gt;=4,F2858&gt;=4,G2858&gt;=4),"Juara",IF(AND(F2858&gt;=4,E2858&gt;=3),"Setia",IF(AND(E2858=5,F2858&lt;=2,G2858&gt;=3),"Berpotensi",IF(AND(E2858&lt;=3,E2858&gt;=2,F2858&gt;=3),"Rawan",IF(AND(E2858&lt;=2,F2858&lt;=2),"Tidur","Umum"))))))</f>
        <v/>
      </c>
    </row>
    <row r="2859">
      <c r="B2859">
        <f>IF(A2859="","",$B$1-MAXIFS(Donasi!$A$2:$A$20000,Donasi!$B$2:$B$20000,A2859))</f>
        <v/>
      </c>
      <c r="C2859">
        <f>IF(A2859="","",COUNTIF(Donasi!$B$2:$B$20000,A2859))</f>
        <v/>
      </c>
      <c r="D2859">
        <f>IF(A2859="","",SUMIF(Donasi!$B$2:$B$20000,A2859,Donasi!$C$2:$C$20000))</f>
        <v/>
      </c>
      <c r="E2859">
        <f>IF(A2859="","",6-CEILING(PERCENTRANK.INC($B$3:$B$6000,B2859,4)*5+0.000001,1))</f>
        <v/>
      </c>
      <c r="F2859">
        <f>IF(A2859="","",MAX(1,CEILING(PERCENTRANK.INC($C$3:$C$6000,C2859,4)*5+0.000001,1)))</f>
        <v/>
      </c>
      <c r="G2859">
        <f>IF(A2859="","",MAX(1,CEILING(PERCENTRANK.INC($D$3:$D$6000,D2859,4)*5+0.000001,1)))</f>
        <v/>
      </c>
      <c r="H2859">
        <f>IF(A2859="","",E2859&amp;F2859&amp;G2859)</f>
        <v/>
      </c>
      <c r="I2859">
        <f>IF(A2859="","",IF(AND(E2859&gt;=4,F2859&gt;=4,G2859&gt;=4),"Juara",IF(AND(F2859&gt;=4,E2859&gt;=3),"Setia",IF(AND(E2859=5,F2859&lt;=2,G2859&gt;=3),"Berpotensi",IF(AND(E2859&lt;=3,E2859&gt;=2,F2859&gt;=3),"Rawan",IF(AND(E2859&lt;=2,F2859&lt;=2),"Tidur","Umum"))))))</f>
        <v/>
      </c>
    </row>
    <row r="2860">
      <c r="B2860">
        <f>IF(A2860="","",$B$1-MAXIFS(Donasi!$A$2:$A$20000,Donasi!$B$2:$B$20000,A2860))</f>
        <v/>
      </c>
      <c r="C2860">
        <f>IF(A2860="","",COUNTIF(Donasi!$B$2:$B$20000,A2860))</f>
        <v/>
      </c>
      <c r="D2860">
        <f>IF(A2860="","",SUMIF(Donasi!$B$2:$B$20000,A2860,Donasi!$C$2:$C$20000))</f>
        <v/>
      </c>
      <c r="E2860">
        <f>IF(A2860="","",6-CEILING(PERCENTRANK.INC($B$3:$B$6000,B2860,4)*5+0.000001,1))</f>
        <v/>
      </c>
      <c r="F2860">
        <f>IF(A2860="","",MAX(1,CEILING(PERCENTRANK.INC($C$3:$C$6000,C2860,4)*5+0.000001,1)))</f>
        <v/>
      </c>
      <c r="G2860">
        <f>IF(A2860="","",MAX(1,CEILING(PERCENTRANK.INC($D$3:$D$6000,D2860,4)*5+0.000001,1)))</f>
        <v/>
      </c>
      <c r="H2860">
        <f>IF(A2860="","",E2860&amp;F2860&amp;G2860)</f>
        <v/>
      </c>
      <c r="I2860">
        <f>IF(A2860="","",IF(AND(E2860&gt;=4,F2860&gt;=4,G2860&gt;=4),"Juara",IF(AND(F2860&gt;=4,E2860&gt;=3),"Setia",IF(AND(E2860=5,F2860&lt;=2,G2860&gt;=3),"Berpotensi",IF(AND(E2860&lt;=3,E2860&gt;=2,F2860&gt;=3),"Rawan",IF(AND(E2860&lt;=2,F2860&lt;=2),"Tidur","Umum"))))))</f>
        <v/>
      </c>
    </row>
    <row r="2861">
      <c r="B2861">
        <f>IF(A2861="","",$B$1-MAXIFS(Donasi!$A$2:$A$20000,Donasi!$B$2:$B$20000,A2861))</f>
        <v/>
      </c>
      <c r="C2861">
        <f>IF(A2861="","",COUNTIF(Donasi!$B$2:$B$20000,A2861))</f>
        <v/>
      </c>
      <c r="D2861">
        <f>IF(A2861="","",SUMIF(Donasi!$B$2:$B$20000,A2861,Donasi!$C$2:$C$20000))</f>
        <v/>
      </c>
      <c r="E2861">
        <f>IF(A2861="","",6-CEILING(PERCENTRANK.INC($B$3:$B$6000,B2861,4)*5+0.000001,1))</f>
        <v/>
      </c>
      <c r="F2861">
        <f>IF(A2861="","",MAX(1,CEILING(PERCENTRANK.INC($C$3:$C$6000,C2861,4)*5+0.000001,1)))</f>
        <v/>
      </c>
      <c r="G2861">
        <f>IF(A2861="","",MAX(1,CEILING(PERCENTRANK.INC($D$3:$D$6000,D2861,4)*5+0.000001,1)))</f>
        <v/>
      </c>
      <c r="H2861">
        <f>IF(A2861="","",E2861&amp;F2861&amp;G2861)</f>
        <v/>
      </c>
      <c r="I2861">
        <f>IF(A2861="","",IF(AND(E2861&gt;=4,F2861&gt;=4,G2861&gt;=4),"Juara",IF(AND(F2861&gt;=4,E2861&gt;=3),"Setia",IF(AND(E2861=5,F2861&lt;=2,G2861&gt;=3),"Berpotensi",IF(AND(E2861&lt;=3,E2861&gt;=2,F2861&gt;=3),"Rawan",IF(AND(E2861&lt;=2,F2861&lt;=2),"Tidur","Umum"))))))</f>
        <v/>
      </c>
    </row>
    <row r="2862">
      <c r="B2862">
        <f>IF(A2862="","",$B$1-MAXIFS(Donasi!$A$2:$A$20000,Donasi!$B$2:$B$20000,A2862))</f>
        <v/>
      </c>
      <c r="C2862">
        <f>IF(A2862="","",COUNTIF(Donasi!$B$2:$B$20000,A2862))</f>
        <v/>
      </c>
      <c r="D2862">
        <f>IF(A2862="","",SUMIF(Donasi!$B$2:$B$20000,A2862,Donasi!$C$2:$C$20000))</f>
        <v/>
      </c>
      <c r="E2862">
        <f>IF(A2862="","",6-CEILING(PERCENTRANK.INC($B$3:$B$6000,B2862,4)*5+0.000001,1))</f>
        <v/>
      </c>
      <c r="F2862">
        <f>IF(A2862="","",MAX(1,CEILING(PERCENTRANK.INC($C$3:$C$6000,C2862,4)*5+0.000001,1)))</f>
        <v/>
      </c>
      <c r="G2862">
        <f>IF(A2862="","",MAX(1,CEILING(PERCENTRANK.INC($D$3:$D$6000,D2862,4)*5+0.000001,1)))</f>
        <v/>
      </c>
      <c r="H2862">
        <f>IF(A2862="","",E2862&amp;F2862&amp;G2862)</f>
        <v/>
      </c>
      <c r="I2862">
        <f>IF(A2862="","",IF(AND(E2862&gt;=4,F2862&gt;=4,G2862&gt;=4),"Juara",IF(AND(F2862&gt;=4,E2862&gt;=3),"Setia",IF(AND(E2862=5,F2862&lt;=2,G2862&gt;=3),"Berpotensi",IF(AND(E2862&lt;=3,E2862&gt;=2,F2862&gt;=3),"Rawan",IF(AND(E2862&lt;=2,F2862&lt;=2),"Tidur","Umum"))))))</f>
        <v/>
      </c>
    </row>
    <row r="2863">
      <c r="B2863">
        <f>IF(A2863="","",$B$1-MAXIFS(Donasi!$A$2:$A$20000,Donasi!$B$2:$B$20000,A2863))</f>
        <v/>
      </c>
      <c r="C2863">
        <f>IF(A2863="","",COUNTIF(Donasi!$B$2:$B$20000,A2863))</f>
        <v/>
      </c>
      <c r="D2863">
        <f>IF(A2863="","",SUMIF(Donasi!$B$2:$B$20000,A2863,Donasi!$C$2:$C$20000))</f>
        <v/>
      </c>
      <c r="E2863">
        <f>IF(A2863="","",6-CEILING(PERCENTRANK.INC($B$3:$B$6000,B2863,4)*5+0.000001,1))</f>
        <v/>
      </c>
      <c r="F2863">
        <f>IF(A2863="","",MAX(1,CEILING(PERCENTRANK.INC($C$3:$C$6000,C2863,4)*5+0.000001,1)))</f>
        <v/>
      </c>
      <c r="G2863">
        <f>IF(A2863="","",MAX(1,CEILING(PERCENTRANK.INC($D$3:$D$6000,D2863,4)*5+0.000001,1)))</f>
        <v/>
      </c>
      <c r="H2863">
        <f>IF(A2863="","",E2863&amp;F2863&amp;G2863)</f>
        <v/>
      </c>
      <c r="I2863">
        <f>IF(A2863="","",IF(AND(E2863&gt;=4,F2863&gt;=4,G2863&gt;=4),"Juara",IF(AND(F2863&gt;=4,E2863&gt;=3),"Setia",IF(AND(E2863=5,F2863&lt;=2,G2863&gt;=3),"Berpotensi",IF(AND(E2863&lt;=3,E2863&gt;=2,F2863&gt;=3),"Rawan",IF(AND(E2863&lt;=2,F2863&lt;=2),"Tidur","Umum"))))))</f>
        <v/>
      </c>
    </row>
    <row r="2864">
      <c r="B2864">
        <f>IF(A2864="","",$B$1-MAXIFS(Donasi!$A$2:$A$20000,Donasi!$B$2:$B$20000,A2864))</f>
        <v/>
      </c>
      <c r="C2864">
        <f>IF(A2864="","",COUNTIF(Donasi!$B$2:$B$20000,A2864))</f>
        <v/>
      </c>
      <c r="D2864">
        <f>IF(A2864="","",SUMIF(Donasi!$B$2:$B$20000,A2864,Donasi!$C$2:$C$20000))</f>
        <v/>
      </c>
      <c r="E2864">
        <f>IF(A2864="","",6-CEILING(PERCENTRANK.INC($B$3:$B$6000,B2864,4)*5+0.000001,1))</f>
        <v/>
      </c>
      <c r="F2864">
        <f>IF(A2864="","",MAX(1,CEILING(PERCENTRANK.INC($C$3:$C$6000,C2864,4)*5+0.000001,1)))</f>
        <v/>
      </c>
      <c r="G2864">
        <f>IF(A2864="","",MAX(1,CEILING(PERCENTRANK.INC($D$3:$D$6000,D2864,4)*5+0.000001,1)))</f>
        <v/>
      </c>
      <c r="H2864">
        <f>IF(A2864="","",E2864&amp;F2864&amp;G2864)</f>
        <v/>
      </c>
      <c r="I2864">
        <f>IF(A2864="","",IF(AND(E2864&gt;=4,F2864&gt;=4,G2864&gt;=4),"Juara",IF(AND(F2864&gt;=4,E2864&gt;=3),"Setia",IF(AND(E2864=5,F2864&lt;=2,G2864&gt;=3),"Berpotensi",IF(AND(E2864&lt;=3,E2864&gt;=2,F2864&gt;=3),"Rawan",IF(AND(E2864&lt;=2,F2864&lt;=2),"Tidur","Umum"))))))</f>
        <v/>
      </c>
    </row>
    <row r="2865">
      <c r="B2865">
        <f>IF(A2865="","",$B$1-MAXIFS(Donasi!$A$2:$A$20000,Donasi!$B$2:$B$20000,A2865))</f>
        <v/>
      </c>
      <c r="C2865">
        <f>IF(A2865="","",COUNTIF(Donasi!$B$2:$B$20000,A2865))</f>
        <v/>
      </c>
      <c r="D2865">
        <f>IF(A2865="","",SUMIF(Donasi!$B$2:$B$20000,A2865,Donasi!$C$2:$C$20000))</f>
        <v/>
      </c>
      <c r="E2865">
        <f>IF(A2865="","",6-CEILING(PERCENTRANK.INC($B$3:$B$6000,B2865,4)*5+0.000001,1))</f>
        <v/>
      </c>
      <c r="F2865">
        <f>IF(A2865="","",MAX(1,CEILING(PERCENTRANK.INC($C$3:$C$6000,C2865,4)*5+0.000001,1)))</f>
        <v/>
      </c>
      <c r="G2865">
        <f>IF(A2865="","",MAX(1,CEILING(PERCENTRANK.INC($D$3:$D$6000,D2865,4)*5+0.000001,1)))</f>
        <v/>
      </c>
      <c r="H2865">
        <f>IF(A2865="","",E2865&amp;F2865&amp;G2865)</f>
        <v/>
      </c>
      <c r="I2865">
        <f>IF(A2865="","",IF(AND(E2865&gt;=4,F2865&gt;=4,G2865&gt;=4),"Juara",IF(AND(F2865&gt;=4,E2865&gt;=3),"Setia",IF(AND(E2865=5,F2865&lt;=2,G2865&gt;=3),"Berpotensi",IF(AND(E2865&lt;=3,E2865&gt;=2,F2865&gt;=3),"Rawan",IF(AND(E2865&lt;=2,F2865&lt;=2),"Tidur","Umum"))))))</f>
        <v/>
      </c>
    </row>
    <row r="2866">
      <c r="B2866">
        <f>IF(A2866="","",$B$1-MAXIFS(Donasi!$A$2:$A$20000,Donasi!$B$2:$B$20000,A2866))</f>
        <v/>
      </c>
      <c r="C2866">
        <f>IF(A2866="","",COUNTIF(Donasi!$B$2:$B$20000,A2866))</f>
        <v/>
      </c>
      <c r="D2866">
        <f>IF(A2866="","",SUMIF(Donasi!$B$2:$B$20000,A2866,Donasi!$C$2:$C$20000))</f>
        <v/>
      </c>
      <c r="E2866">
        <f>IF(A2866="","",6-CEILING(PERCENTRANK.INC($B$3:$B$6000,B2866,4)*5+0.000001,1))</f>
        <v/>
      </c>
      <c r="F2866">
        <f>IF(A2866="","",MAX(1,CEILING(PERCENTRANK.INC($C$3:$C$6000,C2866,4)*5+0.000001,1)))</f>
        <v/>
      </c>
      <c r="G2866">
        <f>IF(A2866="","",MAX(1,CEILING(PERCENTRANK.INC($D$3:$D$6000,D2866,4)*5+0.000001,1)))</f>
        <v/>
      </c>
      <c r="H2866">
        <f>IF(A2866="","",E2866&amp;F2866&amp;G2866)</f>
        <v/>
      </c>
      <c r="I2866">
        <f>IF(A2866="","",IF(AND(E2866&gt;=4,F2866&gt;=4,G2866&gt;=4),"Juara",IF(AND(F2866&gt;=4,E2866&gt;=3),"Setia",IF(AND(E2866=5,F2866&lt;=2,G2866&gt;=3),"Berpotensi",IF(AND(E2866&lt;=3,E2866&gt;=2,F2866&gt;=3),"Rawan",IF(AND(E2866&lt;=2,F2866&lt;=2),"Tidur","Umum"))))))</f>
        <v/>
      </c>
    </row>
    <row r="2867">
      <c r="B2867">
        <f>IF(A2867="","",$B$1-MAXIFS(Donasi!$A$2:$A$20000,Donasi!$B$2:$B$20000,A2867))</f>
        <v/>
      </c>
      <c r="C2867">
        <f>IF(A2867="","",COUNTIF(Donasi!$B$2:$B$20000,A2867))</f>
        <v/>
      </c>
      <c r="D2867">
        <f>IF(A2867="","",SUMIF(Donasi!$B$2:$B$20000,A2867,Donasi!$C$2:$C$20000))</f>
        <v/>
      </c>
      <c r="E2867">
        <f>IF(A2867="","",6-CEILING(PERCENTRANK.INC($B$3:$B$6000,B2867,4)*5+0.000001,1))</f>
        <v/>
      </c>
      <c r="F2867">
        <f>IF(A2867="","",MAX(1,CEILING(PERCENTRANK.INC($C$3:$C$6000,C2867,4)*5+0.000001,1)))</f>
        <v/>
      </c>
      <c r="G2867">
        <f>IF(A2867="","",MAX(1,CEILING(PERCENTRANK.INC($D$3:$D$6000,D2867,4)*5+0.000001,1)))</f>
        <v/>
      </c>
      <c r="H2867">
        <f>IF(A2867="","",E2867&amp;F2867&amp;G2867)</f>
        <v/>
      </c>
      <c r="I2867">
        <f>IF(A2867="","",IF(AND(E2867&gt;=4,F2867&gt;=4,G2867&gt;=4),"Juara",IF(AND(F2867&gt;=4,E2867&gt;=3),"Setia",IF(AND(E2867=5,F2867&lt;=2,G2867&gt;=3),"Berpotensi",IF(AND(E2867&lt;=3,E2867&gt;=2,F2867&gt;=3),"Rawan",IF(AND(E2867&lt;=2,F2867&lt;=2),"Tidur","Umum"))))))</f>
        <v/>
      </c>
    </row>
    <row r="2868">
      <c r="B2868">
        <f>IF(A2868="","",$B$1-MAXIFS(Donasi!$A$2:$A$20000,Donasi!$B$2:$B$20000,A2868))</f>
        <v/>
      </c>
      <c r="C2868">
        <f>IF(A2868="","",COUNTIF(Donasi!$B$2:$B$20000,A2868))</f>
        <v/>
      </c>
      <c r="D2868">
        <f>IF(A2868="","",SUMIF(Donasi!$B$2:$B$20000,A2868,Donasi!$C$2:$C$20000))</f>
        <v/>
      </c>
      <c r="E2868">
        <f>IF(A2868="","",6-CEILING(PERCENTRANK.INC($B$3:$B$6000,B2868,4)*5+0.000001,1))</f>
        <v/>
      </c>
      <c r="F2868">
        <f>IF(A2868="","",MAX(1,CEILING(PERCENTRANK.INC($C$3:$C$6000,C2868,4)*5+0.000001,1)))</f>
        <v/>
      </c>
      <c r="G2868">
        <f>IF(A2868="","",MAX(1,CEILING(PERCENTRANK.INC($D$3:$D$6000,D2868,4)*5+0.000001,1)))</f>
        <v/>
      </c>
      <c r="H2868">
        <f>IF(A2868="","",E2868&amp;F2868&amp;G2868)</f>
        <v/>
      </c>
      <c r="I2868">
        <f>IF(A2868="","",IF(AND(E2868&gt;=4,F2868&gt;=4,G2868&gt;=4),"Juara",IF(AND(F2868&gt;=4,E2868&gt;=3),"Setia",IF(AND(E2868=5,F2868&lt;=2,G2868&gt;=3),"Berpotensi",IF(AND(E2868&lt;=3,E2868&gt;=2,F2868&gt;=3),"Rawan",IF(AND(E2868&lt;=2,F2868&lt;=2),"Tidur","Umum"))))))</f>
        <v/>
      </c>
    </row>
    <row r="2869">
      <c r="B2869">
        <f>IF(A2869="","",$B$1-MAXIFS(Donasi!$A$2:$A$20000,Donasi!$B$2:$B$20000,A2869))</f>
        <v/>
      </c>
      <c r="C2869">
        <f>IF(A2869="","",COUNTIF(Donasi!$B$2:$B$20000,A2869))</f>
        <v/>
      </c>
      <c r="D2869">
        <f>IF(A2869="","",SUMIF(Donasi!$B$2:$B$20000,A2869,Donasi!$C$2:$C$20000))</f>
        <v/>
      </c>
      <c r="E2869">
        <f>IF(A2869="","",6-CEILING(PERCENTRANK.INC($B$3:$B$6000,B2869,4)*5+0.000001,1))</f>
        <v/>
      </c>
      <c r="F2869">
        <f>IF(A2869="","",MAX(1,CEILING(PERCENTRANK.INC($C$3:$C$6000,C2869,4)*5+0.000001,1)))</f>
        <v/>
      </c>
      <c r="G2869">
        <f>IF(A2869="","",MAX(1,CEILING(PERCENTRANK.INC($D$3:$D$6000,D2869,4)*5+0.000001,1)))</f>
        <v/>
      </c>
      <c r="H2869">
        <f>IF(A2869="","",E2869&amp;F2869&amp;G2869)</f>
        <v/>
      </c>
      <c r="I2869">
        <f>IF(A2869="","",IF(AND(E2869&gt;=4,F2869&gt;=4,G2869&gt;=4),"Juara",IF(AND(F2869&gt;=4,E2869&gt;=3),"Setia",IF(AND(E2869=5,F2869&lt;=2,G2869&gt;=3),"Berpotensi",IF(AND(E2869&lt;=3,E2869&gt;=2,F2869&gt;=3),"Rawan",IF(AND(E2869&lt;=2,F2869&lt;=2),"Tidur","Umum"))))))</f>
        <v/>
      </c>
    </row>
    <row r="2870">
      <c r="B2870">
        <f>IF(A2870="","",$B$1-MAXIFS(Donasi!$A$2:$A$20000,Donasi!$B$2:$B$20000,A2870))</f>
        <v/>
      </c>
      <c r="C2870">
        <f>IF(A2870="","",COUNTIF(Donasi!$B$2:$B$20000,A2870))</f>
        <v/>
      </c>
      <c r="D2870">
        <f>IF(A2870="","",SUMIF(Donasi!$B$2:$B$20000,A2870,Donasi!$C$2:$C$20000))</f>
        <v/>
      </c>
      <c r="E2870">
        <f>IF(A2870="","",6-CEILING(PERCENTRANK.INC($B$3:$B$6000,B2870,4)*5+0.000001,1))</f>
        <v/>
      </c>
      <c r="F2870">
        <f>IF(A2870="","",MAX(1,CEILING(PERCENTRANK.INC($C$3:$C$6000,C2870,4)*5+0.000001,1)))</f>
        <v/>
      </c>
      <c r="G2870">
        <f>IF(A2870="","",MAX(1,CEILING(PERCENTRANK.INC($D$3:$D$6000,D2870,4)*5+0.000001,1)))</f>
        <v/>
      </c>
      <c r="H2870">
        <f>IF(A2870="","",E2870&amp;F2870&amp;G2870)</f>
        <v/>
      </c>
      <c r="I2870">
        <f>IF(A2870="","",IF(AND(E2870&gt;=4,F2870&gt;=4,G2870&gt;=4),"Juara",IF(AND(F2870&gt;=4,E2870&gt;=3),"Setia",IF(AND(E2870=5,F2870&lt;=2,G2870&gt;=3),"Berpotensi",IF(AND(E2870&lt;=3,E2870&gt;=2,F2870&gt;=3),"Rawan",IF(AND(E2870&lt;=2,F2870&lt;=2),"Tidur","Umum"))))))</f>
        <v/>
      </c>
    </row>
    <row r="2871">
      <c r="B2871">
        <f>IF(A2871="","",$B$1-MAXIFS(Donasi!$A$2:$A$20000,Donasi!$B$2:$B$20000,A2871))</f>
        <v/>
      </c>
      <c r="C2871">
        <f>IF(A2871="","",COUNTIF(Donasi!$B$2:$B$20000,A2871))</f>
        <v/>
      </c>
      <c r="D2871">
        <f>IF(A2871="","",SUMIF(Donasi!$B$2:$B$20000,A2871,Donasi!$C$2:$C$20000))</f>
        <v/>
      </c>
      <c r="E2871">
        <f>IF(A2871="","",6-CEILING(PERCENTRANK.INC($B$3:$B$6000,B2871,4)*5+0.000001,1))</f>
        <v/>
      </c>
      <c r="F2871">
        <f>IF(A2871="","",MAX(1,CEILING(PERCENTRANK.INC($C$3:$C$6000,C2871,4)*5+0.000001,1)))</f>
        <v/>
      </c>
      <c r="G2871">
        <f>IF(A2871="","",MAX(1,CEILING(PERCENTRANK.INC($D$3:$D$6000,D2871,4)*5+0.000001,1)))</f>
        <v/>
      </c>
      <c r="H2871">
        <f>IF(A2871="","",E2871&amp;F2871&amp;G2871)</f>
        <v/>
      </c>
      <c r="I2871">
        <f>IF(A2871="","",IF(AND(E2871&gt;=4,F2871&gt;=4,G2871&gt;=4),"Juara",IF(AND(F2871&gt;=4,E2871&gt;=3),"Setia",IF(AND(E2871=5,F2871&lt;=2,G2871&gt;=3),"Berpotensi",IF(AND(E2871&lt;=3,E2871&gt;=2,F2871&gt;=3),"Rawan",IF(AND(E2871&lt;=2,F2871&lt;=2),"Tidur","Umum"))))))</f>
        <v/>
      </c>
    </row>
    <row r="2872">
      <c r="B2872">
        <f>IF(A2872="","",$B$1-MAXIFS(Donasi!$A$2:$A$20000,Donasi!$B$2:$B$20000,A2872))</f>
        <v/>
      </c>
      <c r="C2872">
        <f>IF(A2872="","",COUNTIF(Donasi!$B$2:$B$20000,A2872))</f>
        <v/>
      </c>
      <c r="D2872">
        <f>IF(A2872="","",SUMIF(Donasi!$B$2:$B$20000,A2872,Donasi!$C$2:$C$20000))</f>
        <v/>
      </c>
      <c r="E2872">
        <f>IF(A2872="","",6-CEILING(PERCENTRANK.INC($B$3:$B$6000,B2872,4)*5+0.000001,1))</f>
        <v/>
      </c>
      <c r="F2872">
        <f>IF(A2872="","",MAX(1,CEILING(PERCENTRANK.INC($C$3:$C$6000,C2872,4)*5+0.000001,1)))</f>
        <v/>
      </c>
      <c r="G2872">
        <f>IF(A2872="","",MAX(1,CEILING(PERCENTRANK.INC($D$3:$D$6000,D2872,4)*5+0.000001,1)))</f>
        <v/>
      </c>
      <c r="H2872">
        <f>IF(A2872="","",E2872&amp;F2872&amp;G2872)</f>
        <v/>
      </c>
      <c r="I2872">
        <f>IF(A2872="","",IF(AND(E2872&gt;=4,F2872&gt;=4,G2872&gt;=4),"Juara",IF(AND(F2872&gt;=4,E2872&gt;=3),"Setia",IF(AND(E2872=5,F2872&lt;=2,G2872&gt;=3),"Berpotensi",IF(AND(E2872&lt;=3,E2872&gt;=2,F2872&gt;=3),"Rawan",IF(AND(E2872&lt;=2,F2872&lt;=2),"Tidur","Umum"))))))</f>
        <v/>
      </c>
    </row>
    <row r="2873">
      <c r="B2873">
        <f>IF(A2873="","",$B$1-MAXIFS(Donasi!$A$2:$A$20000,Donasi!$B$2:$B$20000,A2873))</f>
        <v/>
      </c>
      <c r="C2873">
        <f>IF(A2873="","",COUNTIF(Donasi!$B$2:$B$20000,A2873))</f>
        <v/>
      </c>
      <c r="D2873">
        <f>IF(A2873="","",SUMIF(Donasi!$B$2:$B$20000,A2873,Donasi!$C$2:$C$20000))</f>
        <v/>
      </c>
      <c r="E2873">
        <f>IF(A2873="","",6-CEILING(PERCENTRANK.INC($B$3:$B$6000,B2873,4)*5+0.000001,1))</f>
        <v/>
      </c>
      <c r="F2873">
        <f>IF(A2873="","",MAX(1,CEILING(PERCENTRANK.INC($C$3:$C$6000,C2873,4)*5+0.000001,1)))</f>
        <v/>
      </c>
      <c r="G2873">
        <f>IF(A2873="","",MAX(1,CEILING(PERCENTRANK.INC($D$3:$D$6000,D2873,4)*5+0.000001,1)))</f>
        <v/>
      </c>
      <c r="H2873">
        <f>IF(A2873="","",E2873&amp;F2873&amp;G2873)</f>
        <v/>
      </c>
      <c r="I2873">
        <f>IF(A2873="","",IF(AND(E2873&gt;=4,F2873&gt;=4,G2873&gt;=4),"Juara",IF(AND(F2873&gt;=4,E2873&gt;=3),"Setia",IF(AND(E2873=5,F2873&lt;=2,G2873&gt;=3),"Berpotensi",IF(AND(E2873&lt;=3,E2873&gt;=2,F2873&gt;=3),"Rawan",IF(AND(E2873&lt;=2,F2873&lt;=2),"Tidur","Umum"))))))</f>
        <v/>
      </c>
    </row>
    <row r="2874">
      <c r="B2874">
        <f>IF(A2874="","",$B$1-MAXIFS(Donasi!$A$2:$A$20000,Donasi!$B$2:$B$20000,A2874))</f>
        <v/>
      </c>
      <c r="C2874">
        <f>IF(A2874="","",COUNTIF(Donasi!$B$2:$B$20000,A2874))</f>
        <v/>
      </c>
      <c r="D2874">
        <f>IF(A2874="","",SUMIF(Donasi!$B$2:$B$20000,A2874,Donasi!$C$2:$C$20000))</f>
        <v/>
      </c>
      <c r="E2874">
        <f>IF(A2874="","",6-CEILING(PERCENTRANK.INC($B$3:$B$6000,B2874,4)*5+0.000001,1))</f>
        <v/>
      </c>
      <c r="F2874">
        <f>IF(A2874="","",MAX(1,CEILING(PERCENTRANK.INC($C$3:$C$6000,C2874,4)*5+0.000001,1)))</f>
        <v/>
      </c>
      <c r="G2874">
        <f>IF(A2874="","",MAX(1,CEILING(PERCENTRANK.INC($D$3:$D$6000,D2874,4)*5+0.000001,1)))</f>
        <v/>
      </c>
      <c r="H2874">
        <f>IF(A2874="","",E2874&amp;F2874&amp;G2874)</f>
        <v/>
      </c>
      <c r="I2874">
        <f>IF(A2874="","",IF(AND(E2874&gt;=4,F2874&gt;=4,G2874&gt;=4),"Juara",IF(AND(F2874&gt;=4,E2874&gt;=3),"Setia",IF(AND(E2874=5,F2874&lt;=2,G2874&gt;=3),"Berpotensi",IF(AND(E2874&lt;=3,E2874&gt;=2,F2874&gt;=3),"Rawan",IF(AND(E2874&lt;=2,F2874&lt;=2),"Tidur","Umum"))))))</f>
        <v/>
      </c>
    </row>
    <row r="2875">
      <c r="B2875">
        <f>IF(A2875="","",$B$1-MAXIFS(Donasi!$A$2:$A$20000,Donasi!$B$2:$B$20000,A2875))</f>
        <v/>
      </c>
      <c r="C2875">
        <f>IF(A2875="","",COUNTIF(Donasi!$B$2:$B$20000,A2875))</f>
        <v/>
      </c>
      <c r="D2875">
        <f>IF(A2875="","",SUMIF(Donasi!$B$2:$B$20000,A2875,Donasi!$C$2:$C$20000))</f>
        <v/>
      </c>
      <c r="E2875">
        <f>IF(A2875="","",6-CEILING(PERCENTRANK.INC($B$3:$B$6000,B2875,4)*5+0.000001,1))</f>
        <v/>
      </c>
      <c r="F2875">
        <f>IF(A2875="","",MAX(1,CEILING(PERCENTRANK.INC($C$3:$C$6000,C2875,4)*5+0.000001,1)))</f>
        <v/>
      </c>
      <c r="G2875">
        <f>IF(A2875="","",MAX(1,CEILING(PERCENTRANK.INC($D$3:$D$6000,D2875,4)*5+0.000001,1)))</f>
        <v/>
      </c>
      <c r="H2875">
        <f>IF(A2875="","",E2875&amp;F2875&amp;G2875)</f>
        <v/>
      </c>
      <c r="I2875">
        <f>IF(A2875="","",IF(AND(E2875&gt;=4,F2875&gt;=4,G2875&gt;=4),"Juara",IF(AND(F2875&gt;=4,E2875&gt;=3),"Setia",IF(AND(E2875=5,F2875&lt;=2,G2875&gt;=3),"Berpotensi",IF(AND(E2875&lt;=3,E2875&gt;=2,F2875&gt;=3),"Rawan",IF(AND(E2875&lt;=2,F2875&lt;=2),"Tidur","Umum"))))))</f>
        <v/>
      </c>
    </row>
    <row r="2876">
      <c r="B2876">
        <f>IF(A2876="","",$B$1-MAXIFS(Donasi!$A$2:$A$20000,Donasi!$B$2:$B$20000,A2876))</f>
        <v/>
      </c>
      <c r="C2876">
        <f>IF(A2876="","",COUNTIF(Donasi!$B$2:$B$20000,A2876))</f>
        <v/>
      </c>
      <c r="D2876">
        <f>IF(A2876="","",SUMIF(Donasi!$B$2:$B$20000,A2876,Donasi!$C$2:$C$20000))</f>
        <v/>
      </c>
      <c r="E2876">
        <f>IF(A2876="","",6-CEILING(PERCENTRANK.INC($B$3:$B$6000,B2876,4)*5+0.000001,1))</f>
        <v/>
      </c>
      <c r="F2876">
        <f>IF(A2876="","",MAX(1,CEILING(PERCENTRANK.INC($C$3:$C$6000,C2876,4)*5+0.000001,1)))</f>
        <v/>
      </c>
      <c r="G2876">
        <f>IF(A2876="","",MAX(1,CEILING(PERCENTRANK.INC($D$3:$D$6000,D2876,4)*5+0.000001,1)))</f>
        <v/>
      </c>
      <c r="H2876">
        <f>IF(A2876="","",E2876&amp;F2876&amp;G2876)</f>
        <v/>
      </c>
      <c r="I2876">
        <f>IF(A2876="","",IF(AND(E2876&gt;=4,F2876&gt;=4,G2876&gt;=4),"Juara",IF(AND(F2876&gt;=4,E2876&gt;=3),"Setia",IF(AND(E2876=5,F2876&lt;=2,G2876&gt;=3),"Berpotensi",IF(AND(E2876&lt;=3,E2876&gt;=2,F2876&gt;=3),"Rawan",IF(AND(E2876&lt;=2,F2876&lt;=2),"Tidur","Umum"))))))</f>
        <v/>
      </c>
    </row>
    <row r="2877">
      <c r="B2877">
        <f>IF(A2877="","",$B$1-MAXIFS(Donasi!$A$2:$A$20000,Donasi!$B$2:$B$20000,A2877))</f>
        <v/>
      </c>
      <c r="C2877">
        <f>IF(A2877="","",COUNTIF(Donasi!$B$2:$B$20000,A2877))</f>
        <v/>
      </c>
      <c r="D2877">
        <f>IF(A2877="","",SUMIF(Donasi!$B$2:$B$20000,A2877,Donasi!$C$2:$C$20000))</f>
        <v/>
      </c>
      <c r="E2877">
        <f>IF(A2877="","",6-CEILING(PERCENTRANK.INC($B$3:$B$6000,B2877,4)*5+0.000001,1))</f>
        <v/>
      </c>
      <c r="F2877">
        <f>IF(A2877="","",MAX(1,CEILING(PERCENTRANK.INC($C$3:$C$6000,C2877,4)*5+0.000001,1)))</f>
        <v/>
      </c>
      <c r="G2877">
        <f>IF(A2877="","",MAX(1,CEILING(PERCENTRANK.INC($D$3:$D$6000,D2877,4)*5+0.000001,1)))</f>
        <v/>
      </c>
      <c r="H2877">
        <f>IF(A2877="","",E2877&amp;F2877&amp;G2877)</f>
        <v/>
      </c>
      <c r="I2877">
        <f>IF(A2877="","",IF(AND(E2877&gt;=4,F2877&gt;=4,G2877&gt;=4),"Juara",IF(AND(F2877&gt;=4,E2877&gt;=3),"Setia",IF(AND(E2877=5,F2877&lt;=2,G2877&gt;=3),"Berpotensi",IF(AND(E2877&lt;=3,E2877&gt;=2,F2877&gt;=3),"Rawan",IF(AND(E2877&lt;=2,F2877&lt;=2),"Tidur","Umum"))))))</f>
        <v/>
      </c>
    </row>
    <row r="2878">
      <c r="B2878">
        <f>IF(A2878="","",$B$1-MAXIFS(Donasi!$A$2:$A$20000,Donasi!$B$2:$B$20000,A2878))</f>
        <v/>
      </c>
      <c r="C2878">
        <f>IF(A2878="","",COUNTIF(Donasi!$B$2:$B$20000,A2878))</f>
        <v/>
      </c>
      <c r="D2878">
        <f>IF(A2878="","",SUMIF(Donasi!$B$2:$B$20000,A2878,Donasi!$C$2:$C$20000))</f>
        <v/>
      </c>
      <c r="E2878">
        <f>IF(A2878="","",6-CEILING(PERCENTRANK.INC($B$3:$B$6000,B2878,4)*5+0.000001,1))</f>
        <v/>
      </c>
      <c r="F2878">
        <f>IF(A2878="","",MAX(1,CEILING(PERCENTRANK.INC($C$3:$C$6000,C2878,4)*5+0.000001,1)))</f>
        <v/>
      </c>
      <c r="G2878">
        <f>IF(A2878="","",MAX(1,CEILING(PERCENTRANK.INC($D$3:$D$6000,D2878,4)*5+0.000001,1)))</f>
        <v/>
      </c>
      <c r="H2878">
        <f>IF(A2878="","",E2878&amp;F2878&amp;G2878)</f>
        <v/>
      </c>
      <c r="I2878">
        <f>IF(A2878="","",IF(AND(E2878&gt;=4,F2878&gt;=4,G2878&gt;=4),"Juara",IF(AND(F2878&gt;=4,E2878&gt;=3),"Setia",IF(AND(E2878=5,F2878&lt;=2,G2878&gt;=3),"Berpotensi",IF(AND(E2878&lt;=3,E2878&gt;=2,F2878&gt;=3),"Rawan",IF(AND(E2878&lt;=2,F2878&lt;=2),"Tidur","Umum"))))))</f>
        <v/>
      </c>
    </row>
    <row r="2879">
      <c r="B2879">
        <f>IF(A2879="","",$B$1-MAXIFS(Donasi!$A$2:$A$20000,Donasi!$B$2:$B$20000,A2879))</f>
        <v/>
      </c>
      <c r="C2879">
        <f>IF(A2879="","",COUNTIF(Donasi!$B$2:$B$20000,A2879))</f>
        <v/>
      </c>
      <c r="D2879">
        <f>IF(A2879="","",SUMIF(Donasi!$B$2:$B$20000,A2879,Donasi!$C$2:$C$20000))</f>
        <v/>
      </c>
      <c r="E2879">
        <f>IF(A2879="","",6-CEILING(PERCENTRANK.INC($B$3:$B$6000,B2879,4)*5+0.000001,1))</f>
        <v/>
      </c>
      <c r="F2879">
        <f>IF(A2879="","",MAX(1,CEILING(PERCENTRANK.INC($C$3:$C$6000,C2879,4)*5+0.000001,1)))</f>
        <v/>
      </c>
      <c r="G2879">
        <f>IF(A2879="","",MAX(1,CEILING(PERCENTRANK.INC($D$3:$D$6000,D2879,4)*5+0.000001,1)))</f>
        <v/>
      </c>
      <c r="H2879">
        <f>IF(A2879="","",E2879&amp;F2879&amp;G2879)</f>
        <v/>
      </c>
      <c r="I2879">
        <f>IF(A2879="","",IF(AND(E2879&gt;=4,F2879&gt;=4,G2879&gt;=4),"Juara",IF(AND(F2879&gt;=4,E2879&gt;=3),"Setia",IF(AND(E2879=5,F2879&lt;=2,G2879&gt;=3),"Berpotensi",IF(AND(E2879&lt;=3,E2879&gt;=2,F2879&gt;=3),"Rawan",IF(AND(E2879&lt;=2,F2879&lt;=2),"Tidur","Umum"))))))</f>
        <v/>
      </c>
    </row>
    <row r="2880">
      <c r="B2880">
        <f>IF(A2880="","",$B$1-MAXIFS(Donasi!$A$2:$A$20000,Donasi!$B$2:$B$20000,A2880))</f>
        <v/>
      </c>
      <c r="C2880">
        <f>IF(A2880="","",COUNTIF(Donasi!$B$2:$B$20000,A2880))</f>
        <v/>
      </c>
      <c r="D2880">
        <f>IF(A2880="","",SUMIF(Donasi!$B$2:$B$20000,A2880,Donasi!$C$2:$C$20000))</f>
        <v/>
      </c>
      <c r="E2880">
        <f>IF(A2880="","",6-CEILING(PERCENTRANK.INC($B$3:$B$6000,B2880,4)*5+0.000001,1))</f>
        <v/>
      </c>
      <c r="F2880">
        <f>IF(A2880="","",MAX(1,CEILING(PERCENTRANK.INC($C$3:$C$6000,C2880,4)*5+0.000001,1)))</f>
        <v/>
      </c>
      <c r="G2880">
        <f>IF(A2880="","",MAX(1,CEILING(PERCENTRANK.INC($D$3:$D$6000,D2880,4)*5+0.000001,1)))</f>
        <v/>
      </c>
      <c r="H2880">
        <f>IF(A2880="","",E2880&amp;F2880&amp;G2880)</f>
        <v/>
      </c>
      <c r="I2880">
        <f>IF(A2880="","",IF(AND(E2880&gt;=4,F2880&gt;=4,G2880&gt;=4),"Juara",IF(AND(F2880&gt;=4,E2880&gt;=3),"Setia",IF(AND(E2880=5,F2880&lt;=2,G2880&gt;=3),"Berpotensi",IF(AND(E2880&lt;=3,E2880&gt;=2,F2880&gt;=3),"Rawan",IF(AND(E2880&lt;=2,F2880&lt;=2),"Tidur","Umum"))))))</f>
        <v/>
      </c>
    </row>
    <row r="2881">
      <c r="B2881">
        <f>IF(A2881="","",$B$1-MAXIFS(Donasi!$A$2:$A$20000,Donasi!$B$2:$B$20000,A2881))</f>
        <v/>
      </c>
      <c r="C2881">
        <f>IF(A2881="","",COUNTIF(Donasi!$B$2:$B$20000,A2881))</f>
        <v/>
      </c>
      <c r="D2881">
        <f>IF(A2881="","",SUMIF(Donasi!$B$2:$B$20000,A2881,Donasi!$C$2:$C$20000))</f>
        <v/>
      </c>
      <c r="E2881">
        <f>IF(A2881="","",6-CEILING(PERCENTRANK.INC($B$3:$B$6000,B2881,4)*5+0.000001,1))</f>
        <v/>
      </c>
      <c r="F2881">
        <f>IF(A2881="","",MAX(1,CEILING(PERCENTRANK.INC($C$3:$C$6000,C2881,4)*5+0.000001,1)))</f>
        <v/>
      </c>
      <c r="G2881">
        <f>IF(A2881="","",MAX(1,CEILING(PERCENTRANK.INC($D$3:$D$6000,D2881,4)*5+0.000001,1)))</f>
        <v/>
      </c>
      <c r="H2881">
        <f>IF(A2881="","",E2881&amp;F2881&amp;G2881)</f>
        <v/>
      </c>
      <c r="I2881">
        <f>IF(A2881="","",IF(AND(E2881&gt;=4,F2881&gt;=4,G2881&gt;=4),"Juara",IF(AND(F2881&gt;=4,E2881&gt;=3),"Setia",IF(AND(E2881=5,F2881&lt;=2,G2881&gt;=3),"Berpotensi",IF(AND(E2881&lt;=3,E2881&gt;=2,F2881&gt;=3),"Rawan",IF(AND(E2881&lt;=2,F2881&lt;=2),"Tidur","Umum"))))))</f>
        <v/>
      </c>
    </row>
    <row r="2882">
      <c r="B2882">
        <f>IF(A2882="","",$B$1-MAXIFS(Donasi!$A$2:$A$20000,Donasi!$B$2:$B$20000,A2882))</f>
        <v/>
      </c>
      <c r="C2882">
        <f>IF(A2882="","",COUNTIF(Donasi!$B$2:$B$20000,A2882))</f>
        <v/>
      </c>
      <c r="D2882">
        <f>IF(A2882="","",SUMIF(Donasi!$B$2:$B$20000,A2882,Donasi!$C$2:$C$20000))</f>
        <v/>
      </c>
      <c r="E2882">
        <f>IF(A2882="","",6-CEILING(PERCENTRANK.INC($B$3:$B$6000,B2882,4)*5+0.000001,1))</f>
        <v/>
      </c>
      <c r="F2882">
        <f>IF(A2882="","",MAX(1,CEILING(PERCENTRANK.INC($C$3:$C$6000,C2882,4)*5+0.000001,1)))</f>
        <v/>
      </c>
      <c r="G2882">
        <f>IF(A2882="","",MAX(1,CEILING(PERCENTRANK.INC($D$3:$D$6000,D2882,4)*5+0.000001,1)))</f>
        <v/>
      </c>
      <c r="H2882">
        <f>IF(A2882="","",E2882&amp;F2882&amp;G2882)</f>
        <v/>
      </c>
      <c r="I2882">
        <f>IF(A2882="","",IF(AND(E2882&gt;=4,F2882&gt;=4,G2882&gt;=4),"Juara",IF(AND(F2882&gt;=4,E2882&gt;=3),"Setia",IF(AND(E2882=5,F2882&lt;=2,G2882&gt;=3),"Berpotensi",IF(AND(E2882&lt;=3,E2882&gt;=2,F2882&gt;=3),"Rawan",IF(AND(E2882&lt;=2,F2882&lt;=2),"Tidur","Umum"))))))</f>
        <v/>
      </c>
    </row>
    <row r="2883">
      <c r="B2883">
        <f>IF(A2883="","",$B$1-MAXIFS(Donasi!$A$2:$A$20000,Donasi!$B$2:$B$20000,A2883))</f>
        <v/>
      </c>
      <c r="C2883">
        <f>IF(A2883="","",COUNTIF(Donasi!$B$2:$B$20000,A2883))</f>
        <v/>
      </c>
      <c r="D2883">
        <f>IF(A2883="","",SUMIF(Donasi!$B$2:$B$20000,A2883,Donasi!$C$2:$C$20000))</f>
        <v/>
      </c>
      <c r="E2883">
        <f>IF(A2883="","",6-CEILING(PERCENTRANK.INC($B$3:$B$6000,B2883,4)*5+0.000001,1))</f>
        <v/>
      </c>
      <c r="F2883">
        <f>IF(A2883="","",MAX(1,CEILING(PERCENTRANK.INC($C$3:$C$6000,C2883,4)*5+0.000001,1)))</f>
        <v/>
      </c>
      <c r="G2883">
        <f>IF(A2883="","",MAX(1,CEILING(PERCENTRANK.INC($D$3:$D$6000,D2883,4)*5+0.000001,1)))</f>
        <v/>
      </c>
      <c r="H2883">
        <f>IF(A2883="","",E2883&amp;F2883&amp;G2883)</f>
        <v/>
      </c>
      <c r="I2883">
        <f>IF(A2883="","",IF(AND(E2883&gt;=4,F2883&gt;=4,G2883&gt;=4),"Juara",IF(AND(F2883&gt;=4,E2883&gt;=3),"Setia",IF(AND(E2883=5,F2883&lt;=2,G2883&gt;=3),"Berpotensi",IF(AND(E2883&lt;=3,E2883&gt;=2,F2883&gt;=3),"Rawan",IF(AND(E2883&lt;=2,F2883&lt;=2),"Tidur","Umum"))))))</f>
        <v/>
      </c>
    </row>
    <row r="2884">
      <c r="B2884">
        <f>IF(A2884="","",$B$1-MAXIFS(Donasi!$A$2:$A$20000,Donasi!$B$2:$B$20000,A2884))</f>
        <v/>
      </c>
      <c r="C2884">
        <f>IF(A2884="","",COUNTIF(Donasi!$B$2:$B$20000,A2884))</f>
        <v/>
      </c>
      <c r="D2884">
        <f>IF(A2884="","",SUMIF(Donasi!$B$2:$B$20000,A2884,Donasi!$C$2:$C$20000))</f>
        <v/>
      </c>
      <c r="E2884">
        <f>IF(A2884="","",6-CEILING(PERCENTRANK.INC($B$3:$B$6000,B2884,4)*5+0.000001,1))</f>
        <v/>
      </c>
      <c r="F2884">
        <f>IF(A2884="","",MAX(1,CEILING(PERCENTRANK.INC($C$3:$C$6000,C2884,4)*5+0.000001,1)))</f>
        <v/>
      </c>
      <c r="G2884">
        <f>IF(A2884="","",MAX(1,CEILING(PERCENTRANK.INC($D$3:$D$6000,D2884,4)*5+0.000001,1)))</f>
        <v/>
      </c>
      <c r="H2884">
        <f>IF(A2884="","",E2884&amp;F2884&amp;G2884)</f>
        <v/>
      </c>
      <c r="I2884">
        <f>IF(A2884="","",IF(AND(E2884&gt;=4,F2884&gt;=4,G2884&gt;=4),"Juara",IF(AND(F2884&gt;=4,E2884&gt;=3),"Setia",IF(AND(E2884=5,F2884&lt;=2,G2884&gt;=3),"Berpotensi",IF(AND(E2884&lt;=3,E2884&gt;=2,F2884&gt;=3),"Rawan",IF(AND(E2884&lt;=2,F2884&lt;=2),"Tidur","Umum"))))))</f>
        <v/>
      </c>
    </row>
    <row r="2885">
      <c r="B2885">
        <f>IF(A2885="","",$B$1-MAXIFS(Donasi!$A$2:$A$20000,Donasi!$B$2:$B$20000,A2885))</f>
        <v/>
      </c>
      <c r="C2885">
        <f>IF(A2885="","",COUNTIF(Donasi!$B$2:$B$20000,A2885))</f>
        <v/>
      </c>
      <c r="D2885">
        <f>IF(A2885="","",SUMIF(Donasi!$B$2:$B$20000,A2885,Donasi!$C$2:$C$20000))</f>
        <v/>
      </c>
      <c r="E2885">
        <f>IF(A2885="","",6-CEILING(PERCENTRANK.INC($B$3:$B$6000,B2885,4)*5+0.000001,1))</f>
        <v/>
      </c>
      <c r="F2885">
        <f>IF(A2885="","",MAX(1,CEILING(PERCENTRANK.INC($C$3:$C$6000,C2885,4)*5+0.000001,1)))</f>
        <v/>
      </c>
      <c r="G2885">
        <f>IF(A2885="","",MAX(1,CEILING(PERCENTRANK.INC($D$3:$D$6000,D2885,4)*5+0.000001,1)))</f>
        <v/>
      </c>
      <c r="H2885">
        <f>IF(A2885="","",E2885&amp;F2885&amp;G2885)</f>
        <v/>
      </c>
      <c r="I2885">
        <f>IF(A2885="","",IF(AND(E2885&gt;=4,F2885&gt;=4,G2885&gt;=4),"Juara",IF(AND(F2885&gt;=4,E2885&gt;=3),"Setia",IF(AND(E2885=5,F2885&lt;=2,G2885&gt;=3),"Berpotensi",IF(AND(E2885&lt;=3,E2885&gt;=2,F2885&gt;=3),"Rawan",IF(AND(E2885&lt;=2,F2885&lt;=2),"Tidur","Umum"))))))</f>
        <v/>
      </c>
    </row>
    <row r="2886">
      <c r="B2886">
        <f>IF(A2886="","",$B$1-MAXIFS(Donasi!$A$2:$A$20000,Donasi!$B$2:$B$20000,A2886))</f>
        <v/>
      </c>
      <c r="C2886">
        <f>IF(A2886="","",COUNTIF(Donasi!$B$2:$B$20000,A2886))</f>
        <v/>
      </c>
      <c r="D2886">
        <f>IF(A2886="","",SUMIF(Donasi!$B$2:$B$20000,A2886,Donasi!$C$2:$C$20000))</f>
        <v/>
      </c>
      <c r="E2886">
        <f>IF(A2886="","",6-CEILING(PERCENTRANK.INC($B$3:$B$6000,B2886,4)*5+0.000001,1))</f>
        <v/>
      </c>
      <c r="F2886">
        <f>IF(A2886="","",MAX(1,CEILING(PERCENTRANK.INC($C$3:$C$6000,C2886,4)*5+0.000001,1)))</f>
        <v/>
      </c>
      <c r="G2886">
        <f>IF(A2886="","",MAX(1,CEILING(PERCENTRANK.INC($D$3:$D$6000,D2886,4)*5+0.000001,1)))</f>
        <v/>
      </c>
      <c r="H2886">
        <f>IF(A2886="","",E2886&amp;F2886&amp;G2886)</f>
        <v/>
      </c>
      <c r="I2886">
        <f>IF(A2886="","",IF(AND(E2886&gt;=4,F2886&gt;=4,G2886&gt;=4),"Juara",IF(AND(F2886&gt;=4,E2886&gt;=3),"Setia",IF(AND(E2886=5,F2886&lt;=2,G2886&gt;=3),"Berpotensi",IF(AND(E2886&lt;=3,E2886&gt;=2,F2886&gt;=3),"Rawan",IF(AND(E2886&lt;=2,F2886&lt;=2),"Tidur","Umum"))))))</f>
        <v/>
      </c>
    </row>
    <row r="2887">
      <c r="B2887">
        <f>IF(A2887="","",$B$1-MAXIFS(Donasi!$A$2:$A$20000,Donasi!$B$2:$B$20000,A2887))</f>
        <v/>
      </c>
      <c r="C2887">
        <f>IF(A2887="","",COUNTIF(Donasi!$B$2:$B$20000,A2887))</f>
        <v/>
      </c>
      <c r="D2887">
        <f>IF(A2887="","",SUMIF(Donasi!$B$2:$B$20000,A2887,Donasi!$C$2:$C$20000))</f>
        <v/>
      </c>
      <c r="E2887">
        <f>IF(A2887="","",6-CEILING(PERCENTRANK.INC($B$3:$B$6000,B2887,4)*5+0.000001,1))</f>
        <v/>
      </c>
      <c r="F2887">
        <f>IF(A2887="","",MAX(1,CEILING(PERCENTRANK.INC($C$3:$C$6000,C2887,4)*5+0.000001,1)))</f>
        <v/>
      </c>
      <c r="G2887">
        <f>IF(A2887="","",MAX(1,CEILING(PERCENTRANK.INC($D$3:$D$6000,D2887,4)*5+0.000001,1)))</f>
        <v/>
      </c>
      <c r="H2887">
        <f>IF(A2887="","",E2887&amp;F2887&amp;G2887)</f>
        <v/>
      </c>
      <c r="I2887">
        <f>IF(A2887="","",IF(AND(E2887&gt;=4,F2887&gt;=4,G2887&gt;=4),"Juara",IF(AND(F2887&gt;=4,E2887&gt;=3),"Setia",IF(AND(E2887=5,F2887&lt;=2,G2887&gt;=3),"Berpotensi",IF(AND(E2887&lt;=3,E2887&gt;=2,F2887&gt;=3),"Rawan",IF(AND(E2887&lt;=2,F2887&lt;=2),"Tidur","Umum"))))))</f>
        <v/>
      </c>
    </row>
    <row r="2888">
      <c r="B2888">
        <f>IF(A2888="","",$B$1-MAXIFS(Donasi!$A$2:$A$20000,Donasi!$B$2:$B$20000,A2888))</f>
        <v/>
      </c>
      <c r="C2888">
        <f>IF(A2888="","",COUNTIF(Donasi!$B$2:$B$20000,A2888))</f>
        <v/>
      </c>
      <c r="D2888">
        <f>IF(A2888="","",SUMIF(Donasi!$B$2:$B$20000,A2888,Donasi!$C$2:$C$20000))</f>
        <v/>
      </c>
      <c r="E2888">
        <f>IF(A2888="","",6-CEILING(PERCENTRANK.INC($B$3:$B$6000,B2888,4)*5+0.000001,1))</f>
        <v/>
      </c>
      <c r="F2888">
        <f>IF(A2888="","",MAX(1,CEILING(PERCENTRANK.INC($C$3:$C$6000,C2888,4)*5+0.000001,1)))</f>
        <v/>
      </c>
      <c r="G2888">
        <f>IF(A2888="","",MAX(1,CEILING(PERCENTRANK.INC($D$3:$D$6000,D2888,4)*5+0.000001,1)))</f>
        <v/>
      </c>
      <c r="H2888">
        <f>IF(A2888="","",E2888&amp;F2888&amp;G2888)</f>
        <v/>
      </c>
      <c r="I2888">
        <f>IF(A2888="","",IF(AND(E2888&gt;=4,F2888&gt;=4,G2888&gt;=4),"Juara",IF(AND(F2888&gt;=4,E2888&gt;=3),"Setia",IF(AND(E2888=5,F2888&lt;=2,G2888&gt;=3),"Berpotensi",IF(AND(E2888&lt;=3,E2888&gt;=2,F2888&gt;=3),"Rawan",IF(AND(E2888&lt;=2,F2888&lt;=2),"Tidur","Umum"))))))</f>
        <v/>
      </c>
    </row>
    <row r="2889">
      <c r="B2889">
        <f>IF(A2889="","",$B$1-MAXIFS(Donasi!$A$2:$A$20000,Donasi!$B$2:$B$20000,A2889))</f>
        <v/>
      </c>
      <c r="C2889">
        <f>IF(A2889="","",COUNTIF(Donasi!$B$2:$B$20000,A2889))</f>
        <v/>
      </c>
      <c r="D2889">
        <f>IF(A2889="","",SUMIF(Donasi!$B$2:$B$20000,A2889,Donasi!$C$2:$C$20000))</f>
        <v/>
      </c>
      <c r="E2889">
        <f>IF(A2889="","",6-CEILING(PERCENTRANK.INC($B$3:$B$6000,B2889,4)*5+0.000001,1))</f>
        <v/>
      </c>
      <c r="F2889">
        <f>IF(A2889="","",MAX(1,CEILING(PERCENTRANK.INC($C$3:$C$6000,C2889,4)*5+0.000001,1)))</f>
        <v/>
      </c>
      <c r="G2889">
        <f>IF(A2889="","",MAX(1,CEILING(PERCENTRANK.INC($D$3:$D$6000,D2889,4)*5+0.000001,1)))</f>
        <v/>
      </c>
      <c r="H2889">
        <f>IF(A2889="","",E2889&amp;F2889&amp;G2889)</f>
        <v/>
      </c>
      <c r="I2889">
        <f>IF(A2889="","",IF(AND(E2889&gt;=4,F2889&gt;=4,G2889&gt;=4),"Juara",IF(AND(F2889&gt;=4,E2889&gt;=3),"Setia",IF(AND(E2889=5,F2889&lt;=2,G2889&gt;=3),"Berpotensi",IF(AND(E2889&lt;=3,E2889&gt;=2,F2889&gt;=3),"Rawan",IF(AND(E2889&lt;=2,F2889&lt;=2),"Tidur","Umum"))))))</f>
        <v/>
      </c>
    </row>
    <row r="2890">
      <c r="B2890">
        <f>IF(A2890="","",$B$1-MAXIFS(Donasi!$A$2:$A$20000,Donasi!$B$2:$B$20000,A2890))</f>
        <v/>
      </c>
      <c r="C2890">
        <f>IF(A2890="","",COUNTIF(Donasi!$B$2:$B$20000,A2890))</f>
        <v/>
      </c>
      <c r="D2890">
        <f>IF(A2890="","",SUMIF(Donasi!$B$2:$B$20000,A2890,Donasi!$C$2:$C$20000))</f>
        <v/>
      </c>
      <c r="E2890">
        <f>IF(A2890="","",6-CEILING(PERCENTRANK.INC($B$3:$B$6000,B2890,4)*5+0.000001,1))</f>
        <v/>
      </c>
      <c r="F2890">
        <f>IF(A2890="","",MAX(1,CEILING(PERCENTRANK.INC($C$3:$C$6000,C2890,4)*5+0.000001,1)))</f>
        <v/>
      </c>
      <c r="G2890">
        <f>IF(A2890="","",MAX(1,CEILING(PERCENTRANK.INC($D$3:$D$6000,D2890,4)*5+0.000001,1)))</f>
        <v/>
      </c>
      <c r="H2890">
        <f>IF(A2890="","",E2890&amp;F2890&amp;G2890)</f>
        <v/>
      </c>
      <c r="I2890">
        <f>IF(A2890="","",IF(AND(E2890&gt;=4,F2890&gt;=4,G2890&gt;=4),"Juara",IF(AND(F2890&gt;=4,E2890&gt;=3),"Setia",IF(AND(E2890=5,F2890&lt;=2,G2890&gt;=3),"Berpotensi",IF(AND(E2890&lt;=3,E2890&gt;=2,F2890&gt;=3),"Rawan",IF(AND(E2890&lt;=2,F2890&lt;=2),"Tidur","Umum"))))))</f>
        <v/>
      </c>
    </row>
    <row r="2891">
      <c r="B2891">
        <f>IF(A2891="","",$B$1-MAXIFS(Donasi!$A$2:$A$20000,Donasi!$B$2:$B$20000,A2891))</f>
        <v/>
      </c>
      <c r="C2891">
        <f>IF(A2891="","",COUNTIF(Donasi!$B$2:$B$20000,A2891))</f>
        <v/>
      </c>
      <c r="D2891">
        <f>IF(A2891="","",SUMIF(Donasi!$B$2:$B$20000,A2891,Donasi!$C$2:$C$20000))</f>
        <v/>
      </c>
      <c r="E2891">
        <f>IF(A2891="","",6-CEILING(PERCENTRANK.INC($B$3:$B$6000,B2891,4)*5+0.000001,1))</f>
        <v/>
      </c>
      <c r="F2891">
        <f>IF(A2891="","",MAX(1,CEILING(PERCENTRANK.INC($C$3:$C$6000,C2891,4)*5+0.000001,1)))</f>
        <v/>
      </c>
      <c r="G2891">
        <f>IF(A2891="","",MAX(1,CEILING(PERCENTRANK.INC($D$3:$D$6000,D2891,4)*5+0.000001,1)))</f>
        <v/>
      </c>
      <c r="H2891">
        <f>IF(A2891="","",E2891&amp;F2891&amp;G2891)</f>
        <v/>
      </c>
      <c r="I2891">
        <f>IF(A2891="","",IF(AND(E2891&gt;=4,F2891&gt;=4,G2891&gt;=4),"Juara",IF(AND(F2891&gt;=4,E2891&gt;=3),"Setia",IF(AND(E2891=5,F2891&lt;=2,G2891&gt;=3),"Berpotensi",IF(AND(E2891&lt;=3,E2891&gt;=2,F2891&gt;=3),"Rawan",IF(AND(E2891&lt;=2,F2891&lt;=2),"Tidur","Umum"))))))</f>
        <v/>
      </c>
    </row>
    <row r="2892">
      <c r="B2892">
        <f>IF(A2892="","",$B$1-MAXIFS(Donasi!$A$2:$A$20000,Donasi!$B$2:$B$20000,A2892))</f>
        <v/>
      </c>
      <c r="C2892">
        <f>IF(A2892="","",COUNTIF(Donasi!$B$2:$B$20000,A2892))</f>
        <v/>
      </c>
      <c r="D2892">
        <f>IF(A2892="","",SUMIF(Donasi!$B$2:$B$20000,A2892,Donasi!$C$2:$C$20000))</f>
        <v/>
      </c>
      <c r="E2892">
        <f>IF(A2892="","",6-CEILING(PERCENTRANK.INC($B$3:$B$6000,B2892,4)*5+0.000001,1))</f>
        <v/>
      </c>
      <c r="F2892">
        <f>IF(A2892="","",MAX(1,CEILING(PERCENTRANK.INC($C$3:$C$6000,C2892,4)*5+0.000001,1)))</f>
        <v/>
      </c>
      <c r="G2892">
        <f>IF(A2892="","",MAX(1,CEILING(PERCENTRANK.INC($D$3:$D$6000,D2892,4)*5+0.000001,1)))</f>
        <v/>
      </c>
      <c r="H2892">
        <f>IF(A2892="","",E2892&amp;F2892&amp;G2892)</f>
        <v/>
      </c>
      <c r="I2892">
        <f>IF(A2892="","",IF(AND(E2892&gt;=4,F2892&gt;=4,G2892&gt;=4),"Juara",IF(AND(F2892&gt;=4,E2892&gt;=3),"Setia",IF(AND(E2892=5,F2892&lt;=2,G2892&gt;=3),"Berpotensi",IF(AND(E2892&lt;=3,E2892&gt;=2,F2892&gt;=3),"Rawan",IF(AND(E2892&lt;=2,F2892&lt;=2),"Tidur","Umum"))))))</f>
        <v/>
      </c>
    </row>
    <row r="2893">
      <c r="B2893">
        <f>IF(A2893="","",$B$1-MAXIFS(Donasi!$A$2:$A$20000,Donasi!$B$2:$B$20000,A2893))</f>
        <v/>
      </c>
      <c r="C2893">
        <f>IF(A2893="","",COUNTIF(Donasi!$B$2:$B$20000,A2893))</f>
        <v/>
      </c>
      <c r="D2893">
        <f>IF(A2893="","",SUMIF(Donasi!$B$2:$B$20000,A2893,Donasi!$C$2:$C$20000))</f>
        <v/>
      </c>
      <c r="E2893">
        <f>IF(A2893="","",6-CEILING(PERCENTRANK.INC($B$3:$B$6000,B2893,4)*5+0.000001,1))</f>
        <v/>
      </c>
      <c r="F2893">
        <f>IF(A2893="","",MAX(1,CEILING(PERCENTRANK.INC($C$3:$C$6000,C2893,4)*5+0.000001,1)))</f>
        <v/>
      </c>
      <c r="G2893">
        <f>IF(A2893="","",MAX(1,CEILING(PERCENTRANK.INC($D$3:$D$6000,D2893,4)*5+0.000001,1)))</f>
        <v/>
      </c>
      <c r="H2893">
        <f>IF(A2893="","",E2893&amp;F2893&amp;G2893)</f>
        <v/>
      </c>
      <c r="I2893">
        <f>IF(A2893="","",IF(AND(E2893&gt;=4,F2893&gt;=4,G2893&gt;=4),"Juara",IF(AND(F2893&gt;=4,E2893&gt;=3),"Setia",IF(AND(E2893=5,F2893&lt;=2,G2893&gt;=3),"Berpotensi",IF(AND(E2893&lt;=3,E2893&gt;=2,F2893&gt;=3),"Rawan",IF(AND(E2893&lt;=2,F2893&lt;=2),"Tidur","Umum"))))))</f>
        <v/>
      </c>
    </row>
    <row r="2894">
      <c r="B2894">
        <f>IF(A2894="","",$B$1-MAXIFS(Donasi!$A$2:$A$20000,Donasi!$B$2:$B$20000,A2894))</f>
        <v/>
      </c>
      <c r="C2894">
        <f>IF(A2894="","",COUNTIF(Donasi!$B$2:$B$20000,A2894))</f>
        <v/>
      </c>
      <c r="D2894">
        <f>IF(A2894="","",SUMIF(Donasi!$B$2:$B$20000,A2894,Donasi!$C$2:$C$20000))</f>
        <v/>
      </c>
      <c r="E2894">
        <f>IF(A2894="","",6-CEILING(PERCENTRANK.INC($B$3:$B$6000,B2894,4)*5+0.000001,1))</f>
        <v/>
      </c>
      <c r="F2894">
        <f>IF(A2894="","",MAX(1,CEILING(PERCENTRANK.INC($C$3:$C$6000,C2894,4)*5+0.000001,1)))</f>
        <v/>
      </c>
      <c r="G2894">
        <f>IF(A2894="","",MAX(1,CEILING(PERCENTRANK.INC($D$3:$D$6000,D2894,4)*5+0.000001,1)))</f>
        <v/>
      </c>
      <c r="H2894">
        <f>IF(A2894="","",E2894&amp;F2894&amp;G2894)</f>
        <v/>
      </c>
      <c r="I2894">
        <f>IF(A2894="","",IF(AND(E2894&gt;=4,F2894&gt;=4,G2894&gt;=4),"Juara",IF(AND(F2894&gt;=4,E2894&gt;=3),"Setia",IF(AND(E2894=5,F2894&lt;=2,G2894&gt;=3),"Berpotensi",IF(AND(E2894&lt;=3,E2894&gt;=2,F2894&gt;=3),"Rawan",IF(AND(E2894&lt;=2,F2894&lt;=2),"Tidur","Umum"))))))</f>
        <v/>
      </c>
    </row>
    <row r="2895">
      <c r="B2895">
        <f>IF(A2895="","",$B$1-MAXIFS(Donasi!$A$2:$A$20000,Donasi!$B$2:$B$20000,A2895))</f>
        <v/>
      </c>
      <c r="C2895">
        <f>IF(A2895="","",COUNTIF(Donasi!$B$2:$B$20000,A2895))</f>
        <v/>
      </c>
      <c r="D2895">
        <f>IF(A2895="","",SUMIF(Donasi!$B$2:$B$20000,A2895,Donasi!$C$2:$C$20000))</f>
        <v/>
      </c>
      <c r="E2895">
        <f>IF(A2895="","",6-CEILING(PERCENTRANK.INC($B$3:$B$6000,B2895,4)*5+0.000001,1))</f>
        <v/>
      </c>
      <c r="F2895">
        <f>IF(A2895="","",MAX(1,CEILING(PERCENTRANK.INC($C$3:$C$6000,C2895,4)*5+0.000001,1)))</f>
        <v/>
      </c>
      <c r="G2895">
        <f>IF(A2895="","",MAX(1,CEILING(PERCENTRANK.INC($D$3:$D$6000,D2895,4)*5+0.000001,1)))</f>
        <v/>
      </c>
      <c r="H2895">
        <f>IF(A2895="","",E2895&amp;F2895&amp;G2895)</f>
        <v/>
      </c>
      <c r="I2895">
        <f>IF(A2895="","",IF(AND(E2895&gt;=4,F2895&gt;=4,G2895&gt;=4),"Juara",IF(AND(F2895&gt;=4,E2895&gt;=3),"Setia",IF(AND(E2895=5,F2895&lt;=2,G2895&gt;=3),"Berpotensi",IF(AND(E2895&lt;=3,E2895&gt;=2,F2895&gt;=3),"Rawan",IF(AND(E2895&lt;=2,F2895&lt;=2),"Tidur","Umum"))))))</f>
        <v/>
      </c>
    </row>
    <row r="2896">
      <c r="B2896">
        <f>IF(A2896="","",$B$1-MAXIFS(Donasi!$A$2:$A$20000,Donasi!$B$2:$B$20000,A2896))</f>
        <v/>
      </c>
      <c r="C2896">
        <f>IF(A2896="","",COUNTIF(Donasi!$B$2:$B$20000,A2896))</f>
        <v/>
      </c>
      <c r="D2896">
        <f>IF(A2896="","",SUMIF(Donasi!$B$2:$B$20000,A2896,Donasi!$C$2:$C$20000))</f>
        <v/>
      </c>
      <c r="E2896">
        <f>IF(A2896="","",6-CEILING(PERCENTRANK.INC($B$3:$B$6000,B2896,4)*5+0.000001,1))</f>
        <v/>
      </c>
      <c r="F2896">
        <f>IF(A2896="","",MAX(1,CEILING(PERCENTRANK.INC($C$3:$C$6000,C2896,4)*5+0.000001,1)))</f>
        <v/>
      </c>
      <c r="G2896">
        <f>IF(A2896="","",MAX(1,CEILING(PERCENTRANK.INC($D$3:$D$6000,D2896,4)*5+0.000001,1)))</f>
        <v/>
      </c>
      <c r="H2896">
        <f>IF(A2896="","",E2896&amp;F2896&amp;G2896)</f>
        <v/>
      </c>
      <c r="I2896">
        <f>IF(A2896="","",IF(AND(E2896&gt;=4,F2896&gt;=4,G2896&gt;=4),"Juara",IF(AND(F2896&gt;=4,E2896&gt;=3),"Setia",IF(AND(E2896=5,F2896&lt;=2,G2896&gt;=3),"Berpotensi",IF(AND(E2896&lt;=3,E2896&gt;=2,F2896&gt;=3),"Rawan",IF(AND(E2896&lt;=2,F2896&lt;=2),"Tidur","Umum"))))))</f>
        <v/>
      </c>
    </row>
    <row r="2897">
      <c r="B2897">
        <f>IF(A2897="","",$B$1-MAXIFS(Donasi!$A$2:$A$20000,Donasi!$B$2:$B$20000,A2897))</f>
        <v/>
      </c>
      <c r="C2897">
        <f>IF(A2897="","",COUNTIF(Donasi!$B$2:$B$20000,A2897))</f>
        <v/>
      </c>
      <c r="D2897">
        <f>IF(A2897="","",SUMIF(Donasi!$B$2:$B$20000,A2897,Donasi!$C$2:$C$20000))</f>
        <v/>
      </c>
      <c r="E2897">
        <f>IF(A2897="","",6-CEILING(PERCENTRANK.INC($B$3:$B$6000,B2897,4)*5+0.000001,1))</f>
        <v/>
      </c>
      <c r="F2897">
        <f>IF(A2897="","",MAX(1,CEILING(PERCENTRANK.INC($C$3:$C$6000,C2897,4)*5+0.000001,1)))</f>
        <v/>
      </c>
      <c r="G2897">
        <f>IF(A2897="","",MAX(1,CEILING(PERCENTRANK.INC($D$3:$D$6000,D2897,4)*5+0.000001,1)))</f>
        <v/>
      </c>
      <c r="H2897">
        <f>IF(A2897="","",E2897&amp;F2897&amp;G2897)</f>
        <v/>
      </c>
      <c r="I2897">
        <f>IF(A2897="","",IF(AND(E2897&gt;=4,F2897&gt;=4,G2897&gt;=4),"Juara",IF(AND(F2897&gt;=4,E2897&gt;=3),"Setia",IF(AND(E2897=5,F2897&lt;=2,G2897&gt;=3),"Berpotensi",IF(AND(E2897&lt;=3,E2897&gt;=2,F2897&gt;=3),"Rawan",IF(AND(E2897&lt;=2,F2897&lt;=2),"Tidur","Umum"))))))</f>
        <v/>
      </c>
    </row>
    <row r="2898">
      <c r="B2898">
        <f>IF(A2898="","",$B$1-MAXIFS(Donasi!$A$2:$A$20000,Donasi!$B$2:$B$20000,A2898))</f>
        <v/>
      </c>
      <c r="C2898">
        <f>IF(A2898="","",COUNTIF(Donasi!$B$2:$B$20000,A2898))</f>
        <v/>
      </c>
      <c r="D2898">
        <f>IF(A2898="","",SUMIF(Donasi!$B$2:$B$20000,A2898,Donasi!$C$2:$C$20000))</f>
        <v/>
      </c>
      <c r="E2898">
        <f>IF(A2898="","",6-CEILING(PERCENTRANK.INC($B$3:$B$6000,B2898,4)*5+0.000001,1))</f>
        <v/>
      </c>
      <c r="F2898">
        <f>IF(A2898="","",MAX(1,CEILING(PERCENTRANK.INC($C$3:$C$6000,C2898,4)*5+0.000001,1)))</f>
        <v/>
      </c>
      <c r="G2898">
        <f>IF(A2898="","",MAX(1,CEILING(PERCENTRANK.INC($D$3:$D$6000,D2898,4)*5+0.000001,1)))</f>
        <v/>
      </c>
      <c r="H2898">
        <f>IF(A2898="","",E2898&amp;F2898&amp;G2898)</f>
        <v/>
      </c>
      <c r="I2898">
        <f>IF(A2898="","",IF(AND(E2898&gt;=4,F2898&gt;=4,G2898&gt;=4),"Juara",IF(AND(F2898&gt;=4,E2898&gt;=3),"Setia",IF(AND(E2898=5,F2898&lt;=2,G2898&gt;=3),"Berpotensi",IF(AND(E2898&lt;=3,E2898&gt;=2,F2898&gt;=3),"Rawan",IF(AND(E2898&lt;=2,F2898&lt;=2),"Tidur","Umum"))))))</f>
        <v/>
      </c>
    </row>
    <row r="2899">
      <c r="B2899">
        <f>IF(A2899="","",$B$1-MAXIFS(Donasi!$A$2:$A$20000,Donasi!$B$2:$B$20000,A2899))</f>
        <v/>
      </c>
      <c r="C2899">
        <f>IF(A2899="","",COUNTIF(Donasi!$B$2:$B$20000,A2899))</f>
        <v/>
      </c>
      <c r="D2899">
        <f>IF(A2899="","",SUMIF(Donasi!$B$2:$B$20000,A2899,Donasi!$C$2:$C$20000))</f>
        <v/>
      </c>
      <c r="E2899">
        <f>IF(A2899="","",6-CEILING(PERCENTRANK.INC($B$3:$B$6000,B2899,4)*5+0.000001,1))</f>
        <v/>
      </c>
      <c r="F2899">
        <f>IF(A2899="","",MAX(1,CEILING(PERCENTRANK.INC($C$3:$C$6000,C2899,4)*5+0.000001,1)))</f>
        <v/>
      </c>
      <c r="G2899">
        <f>IF(A2899="","",MAX(1,CEILING(PERCENTRANK.INC($D$3:$D$6000,D2899,4)*5+0.000001,1)))</f>
        <v/>
      </c>
      <c r="H2899">
        <f>IF(A2899="","",E2899&amp;F2899&amp;G2899)</f>
        <v/>
      </c>
      <c r="I2899">
        <f>IF(A2899="","",IF(AND(E2899&gt;=4,F2899&gt;=4,G2899&gt;=4),"Juara",IF(AND(F2899&gt;=4,E2899&gt;=3),"Setia",IF(AND(E2899=5,F2899&lt;=2,G2899&gt;=3),"Berpotensi",IF(AND(E2899&lt;=3,E2899&gt;=2,F2899&gt;=3),"Rawan",IF(AND(E2899&lt;=2,F2899&lt;=2),"Tidur","Umum"))))))</f>
        <v/>
      </c>
    </row>
    <row r="2900">
      <c r="B2900">
        <f>IF(A2900="","",$B$1-MAXIFS(Donasi!$A$2:$A$20000,Donasi!$B$2:$B$20000,A2900))</f>
        <v/>
      </c>
      <c r="C2900">
        <f>IF(A2900="","",COUNTIF(Donasi!$B$2:$B$20000,A2900))</f>
        <v/>
      </c>
      <c r="D2900">
        <f>IF(A2900="","",SUMIF(Donasi!$B$2:$B$20000,A2900,Donasi!$C$2:$C$20000))</f>
        <v/>
      </c>
      <c r="E2900">
        <f>IF(A2900="","",6-CEILING(PERCENTRANK.INC($B$3:$B$6000,B2900,4)*5+0.000001,1))</f>
        <v/>
      </c>
      <c r="F2900">
        <f>IF(A2900="","",MAX(1,CEILING(PERCENTRANK.INC($C$3:$C$6000,C2900,4)*5+0.000001,1)))</f>
        <v/>
      </c>
      <c r="G2900">
        <f>IF(A2900="","",MAX(1,CEILING(PERCENTRANK.INC($D$3:$D$6000,D2900,4)*5+0.000001,1)))</f>
        <v/>
      </c>
      <c r="H2900">
        <f>IF(A2900="","",E2900&amp;F2900&amp;G2900)</f>
        <v/>
      </c>
      <c r="I2900">
        <f>IF(A2900="","",IF(AND(E2900&gt;=4,F2900&gt;=4,G2900&gt;=4),"Juara",IF(AND(F2900&gt;=4,E2900&gt;=3),"Setia",IF(AND(E2900=5,F2900&lt;=2,G2900&gt;=3),"Berpotensi",IF(AND(E2900&lt;=3,E2900&gt;=2,F2900&gt;=3),"Rawan",IF(AND(E2900&lt;=2,F2900&lt;=2),"Tidur","Umum"))))))</f>
        <v/>
      </c>
    </row>
    <row r="2901">
      <c r="B2901">
        <f>IF(A2901="","",$B$1-MAXIFS(Donasi!$A$2:$A$20000,Donasi!$B$2:$B$20000,A2901))</f>
        <v/>
      </c>
      <c r="C2901">
        <f>IF(A2901="","",COUNTIF(Donasi!$B$2:$B$20000,A2901))</f>
        <v/>
      </c>
      <c r="D2901">
        <f>IF(A2901="","",SUMIF(Donasi!$B$2:$B$20000,A2901,Donasi!$C$2:$C$20000))</f>
        <v/>
      </c>
      <c r="E2901">
        <f>IF(A2901="","",6-CEILING(PERCENTRANK.INC($B$3:$B$6000,B2901,4)*5+0.000001,1))</f>
        <v/>
      </c>
      <c r="F2901">
        <f>IF(A2901="","",MAX(1,CEILING(PERCENTRANK.INC($C$3:$C$6000,C2901,4)*5+0.000001,1)))</f>
        <v/>
      </c>
      <c r="G2901">
        <f>IF(A2901="","",MAX(1,CEILING(PERCENTRANK.INC($D$3:$D$6000,D2901,4)*5+0.000001,1)))</f>
        <v/>
      </c>
      <c r="H2901">
        <f>IF(A2901="","",E2901&amp;F2901&amp;G2901)</f>
        <v/>
      </c>
      <c r="I2901">
        <f>IF(A2901="","",IF(AND(E2901&gt;=4,F2901&gt;=4,G2901&gt;=4),"Juara",IF(AND(F2901&gt;=4,E2901&gt;=3),"Setia",IF(AND(E2901=5,F2901&lt;=2,G2901&gt;=3),"Berpotensi",IF(AND(E2901&lt;=3,E2901&gt;=2,F2901&gt;=3),"Rawan",IF(AND(E2901&lt;=2,F2901&lt;=2),"Tidur","Umum"))))))</f>
        <v/>
      </c>
    </row>
    <row r="2902">
      <c r="B2902">
        <f>IF(A2902="","",$B$1-MAXIFS(Donasi!$A$2:$A$20000,Donasi!$B$2:$B$20000,A2902))</f>
        <v/>
      </c>
      <c r="C2902">
        <f>IF(A2902="","",COUNTIF(Donasi!$B$2:$B$20000,A2902))</f>
        <v/>
      </c>
      <c r="D2902">
        <f>IF(A2902="","",SUMIF(Donasi!$B$2:$B$20000,A2902,Donasi!$C$2:$C$20000))</f>
        <v/>
      </c>
      <c r="E2902">
        <f>IF(A2902="","",6-CEILING(PERCENTRANK.INC($B$3:$B$6000,B2902,4)*5+0.000001,1))</f>
        <v/>
      </c>
      <c r="F2902">
        <f>IF(A2902="","",MAX(1,CEILING(PERCENTRANK.INC($C$3:$C$6000,C2902,4)*5+0.000001,1)))</f>
        <v/>
      </c>
      <c r="G2902">
        <f>IF(A2902="","",MAX(1,CEILING(PERCENTRANK.INC($D$3:$D$6000,D2902,4)*5+0.000001,1)))</f>
        <v/>
      </c>
      <c r="H2902">
        <f>IF(A2902="","",E2902&amp;F2902&amp;G2902)</f>
        <v/>
      </c>
      <c r="I2902">
        <f>IF(A2902="","",IF(AND(E2902&gt;=4,F2902&gt;=4,G2902&gt;=4),"Juara",IF(AND(F2902&gt;=4,E2902&gt;=3),"Setia",IF(AND(E2902=5,F2902&lt;=2,G2902&gt;=3),"Berpotensi",IF(AND(E2902&lt;=3,E2902&gt;=2,F2902&gt;=3),"Rawan",IF(AND(E2902&lt;=2,F2902&lt;=2),"Tidur","Umum"))))))</f>
        <v/>
      </c>
    </row>
    <row r="2903">
      <c r="B2903">
        <f>IF(A2903="","",$B$1-MAXIFS(Donasi!$A$2:$A$20000,Donasi!$B$2:$B$20000,A2903))</f>
        <v/>
      </c>
      <c r="C2903">
        <f>IF(A2903="","",COUNTIF(Donasi!$B$2:$B$20000,A2903))</f>
        <v/>
      </c>
      <c r="D2903">
        <f>IF(A2903="","",SUMIF(Donasi!$B$2:$B$20000,A2903,Donasi!$C$2:$C$20000))</f>
        <v/>
      </c>
      <c r="E2903">
        <f>IF(A2903="","",6-CEILING(PERCENTRANK.INC($B$3:$B$6000,B2903,4)*5+0.000001,1))</f>
        <v/>
      </c>
      <c r="F2903">
        <f>IF(A2903="","",MAX(1,CEILING(PERCENTRANK.INC($C$3:$C$6000,C2903,4)*5+0.000001,1)))</f>
        <v/>
      </c>
      <c r="G2903">
        <f>IF(A2903="","",MAX(1,CEILING(PERCENTRANK.INC($D$3:$D$6000,D2903,4)*5+0.000001,1)))</f>
        <v/>
      </c>
      <c r="H2903">
        <f>IF(A2903="","",E2903&amp;F2903&amp;G2903)</f>
        <v/>
      </c>
      <c r="I2903">
        <f>IF(A2903="","",IF(AND(E2903&gt;=4,F2903&gt;=4,G2903&gt;=4),"Juara",IF(AND(F2903&gt;=4,E2903&gt;=3),"Setia",IF(AND(E2903=5,F2903&lt;=2,G2903&gt;=3),"Berpotensi",IF(AND(E2903&lt;=3,E2903&gt;=2,F2903&gt;=3),"Rawan",IF(AND(E2903&lt;=2,F2903&lt;=2),"Tidur","Umum"))))))</f>
        <v/>
      </c>
    </row>
    <row r="2904">
      <c r="B2904">
        <f>IF(A2904="","",$B$1-MAXIFS(Donasi!$A$2:$A$20000,Donasi!$B$2:$B$20000,A2904))</f>
        <v/>
      </c>
      <c r="C2904">
        <f>IF(A2904="","",COUNTIF(Donasi!$B$2:$B$20000,A2904))</f>
        <v/>
      </c>
      <c r="D2904">
        <f>IF(A2904="","",SUMIF(Donasi!$B$2:$B$20000,A2904,Donasi!$C$2:$C$20000))</f>
        <v/>
      </c>
      <c r="E2904">
        <f>IF(A2904="","",6-CEILING(PERCENTRANK.INC($B$3:$B$6000,B2904,4)*5+0.000001,1))</f>
        <v/>
      </c>
      <c r="F2904">
        <f>IF(A2904="","",MAX(1,CEILING(PERCENTRANK.INC($C$3:$C$6000,C2904,4)*5+0.000001,1)))</f>
        <v/>
      </c>
      <c r="G2904">
        <f>IF(A2904="","",MAX(1,CEILING(PERCENTRANK.INC($D$3:$D$6000,D2904,4)*5+0.000001,1)))</f>
        <v/>
      </c>
      <c r="H2904">
        <f>IF(A2904="","",E2904&amp;F2904&amp;G2904)</f>
        <v/>
      </c>
      <c r="I2904">
        <f>IF(A2904="","",IF(AND(E2904&gt;=4,F2904&gt;=4,G2904&gt;=4),"Juara",IF(AND(F2904&gt;=4,E2904&gt;=3),"Setia",IF(AND(E2904=5,F2904&lt;=2,G2904&gt;=3),"Berpotensi",IF(AND(E2904&lt;=3,E2904&gt;=2,F2904&gt;=3),"Rawan",IF(AND(E2904&lt;=2,F2904&lt;=2),"Tidur","Umum"))))))</f>
        <v/>
      </c>
    </row>
    <row r="2905">
      <c r="B2905">
        <f>IF(A2905="","",$B$1-MAXIFS(Donasi!$A$2:$A$20000,Donasi!$B$2:$B$20000,A2905))</f>
        <v/>
      </c>
      <c r="C2905">
        <f>IF(A2905="","",COUNTIF(Donasi!$B$2:$B$20000,A2905))</f>
        <v/>
      </c>
      <c r="D2905">
        <f>IF(A2905="","",SUMIF(Donasi!$B$2:$B$20000,A2905,Donasi!$C$2:$C$20000))</f>
        <v/>
      </c>
      <c r="E2905">
        <f>IF(A2905="","",6-CEILING(PERCENTRANK.INC($B$3:$B$6000,B2905,4)*5+0.000001,1))</f>
        <v/>
      </c>
      <c r="F2905">
        <f>IF(A2905="","",MAX(1,CEILING(PERCENTRANK.INC($C$3:$C$6000,C2905,4)*5+0.000001,1)))</f>
        <v/>
      </c>
      <c r="G2905">
        <f>IF(A2905="","",MAX(1,CEILING(PERCENTRANK.INC($D$3:$D$6000,D2905,4)*5+0.000001,1)))</f>
        <v/>
      </c>
      <c r="H2905">
        <f>IF(A2905="","",E2905&amp;F2905&amp;G2905)</f>
        <v/>
      </c>
      <c r="I2905">
        <f>IF(A2905="","",IF(AND(E2905&gt;=4,F2905&gt;=4,G2905&gt;=4),"Juara",IF(AND(F2905&gt;=4,E2905&gt;=3),"Setia",IF(AND(E2905=5,F2905&lt;=2,G2905&gt;=3),"Berpotensi",IF(AND(E2905&lt;=3,E2905&gt;=2,F2905&gt;=3),"Rawan",IF(AND(E2905&lt;=2,F2905&lt;=2),"Tidur","Umum"))))))</f>
        <v/>
      </c>
    </row>
    <row r="2906">
      <c r="B2906">
        <f>IF(A2906="","",$B$1-MAXIFS(Donasi!$A$2:$A$20000,Donasi!$B$2:$B$20000,A2906))</f>
        <v/>
      </c>
      <c r="C2906">
        <f>IF(A2906="","",COUNTIF(Donasi!$B$2:$B$20000,A2906))</f>
        <v/>
      </c>
      <c r="D2906">
        <f>IF(A2906="","",SUMIF(Donasi!$B$2:$B$20000,A2906,Donasi!$C$2:$C$20000))</f>
        <v/>
      </c>
      <c r="E2906">
        <f>IF(A2906="","",6-CEILING(PERCENTRANK.INC($B$3:$B$6000,B2906,4)*5+0.000001,1))</f>
        <v/>
      </c>
      <c r="F2906">
        <f>IF(A2906="","",MAX(1,CEILING(PERCENTRANK.INC($C$3:$C$6000,C2906,4)*5+0.000001,1)))</f>
        <v/>
      </c>
      <c r="G2906">
        <f>IF(A2906="","",MAX(1,CEILING(PERCENTRANK.INC($D$3:$D$6000,D2906,4)*5+0.000001,1)))</f>
        <v/>
      </c>
      <c r="H2906">
        <f>IF(A2906="","",E2906&amp;F2906&amp;G2906)</f>
        <v/>
      </c>
      <c r="I2906">
        <f>IF(A2906="","",IF(AND(E2906&gt;=4,F2906&gt;=4,G2906&gt;=4),"Juara",IF(AND(F2906&gt;=4,E2906&gt;=3),"Setia",IF(AND(E2906=5,F2906&lt;=2,G2906&gt;=3),"Berpotensi",IF(AND(E2906&lt;=3,E2906&gt;=2,F2906&gt;=3),"Rawan",IF(AND(E2906&lt;=2,F2906&lt;=2),"Tidur","Umum"))))))</f>
        <v/>
      </c>
    </row>
    <row r="2907">
      <c r="B2907">
        <f>IF(A2907="","",$B$1-MAXIFS(Donasi!$A$2:$A$20000,Donasi!$B$2:$B$20000,A2907))</f>
        <v/>
      </c>
      <c r="C2907">
        <f>IF(A2907="","",COUNTIF(Donasi!$B$2:$B$20000,A2907))</f>
        <v/>
      </c>
      <c r="D2907">
        <f>IF(A2907="","",SUMIF(Donasi!$B$2:$B$20000,A2907,Donasi!$C$2:$C$20000))</f>
        <v/>
      </c>
      <c r="E2907">
        <f>IF(A2907="","",6-CEILING(PERCENTRANK.INC($B$3:$B$6000,B2907,4)*5+0.000001,1))</f>
        <v/>
      </c>
      <c r="F2907">
        <f>IF(A2907="","",MAX(1,CEILING(PERCENTRANK.INC($C$3:$C$6000,C2907,4)*5+0.000001,1)))</f>
        <v/>
      </c>
      <c r="G2907">
        <f>IF(A2907="","",MAX(1,CEILING(PERCENTRANK.INC($D$3:$D$6000,D2907,4)*5+0.000001,1)))</f>
        <v/>
      </c>
      <c r="H2907">
        <f>IF(A2907="","",E2907&amp;F2907&amp;G2907)</f>
        <v/>
      </c>
      <c r="I2907">
        <f>IF(A2907="","",IF(AND(E2907&gt;=4,F2907&gt;=4,G2907&gt;=4),"Juara",IF(AND(F2907&gt;=4,E2907&gt;=3),"Setia",IF(AND(E2907=5,F2907&lt;=2,G2907&gt;=3),"Berpotensi",IF(AND(E2907&lt;=3,E2907&gt;=2,F2907&gt;=3),"Rawan",IF(AND(E2907&lt;=2,F2907&lt;=2),"Tidur","Umum"))))))</f>
        <v/>
      </c>
    </row>
    <row r="2908">
      <c r="B2908">
        <f>IF(A2908="","",$B$1-MAXIFS(Donasi!$A$2:$A$20000,Donasi!$B$2:$B$20000,A2908))</f>
        <v/>
      </c>
      <c r="C2908">
        <f>IF(A2908="","",COUNTIF(Donasi!$B$2:$B$20000,A2908))</f>
        <v/>
      </c>
      <c r="D2908">
        <f>IF(A2908="","",SUMIF(Donasi!$B$2:$B$20000,A2908,Donasi!$C$2:$C$20000))</f>
        <v/>
      </c>
      <c r="E2908">
        <f>IF(A2908="","",6-CEILING(PERCENTRANK.INC($B$3:$B$6000,B2908,4)*5+0.000001,1))</f>
        <v/>
      </c>
      <c r="F2908">
        <f>IF(A2908="","",MAX(1,CEILING(PERCENTRANK.INC($C$3:$C$6000,C2908,4)*5+0.000001,1)))</f>
        <v/>
      </c>
      <c r="G2908">
        <f>IF(A2908="","",MAX(1,CEILING(PERCENTRANK.INC($D$3:$D$6000,D2908,4)*5+0.000001,1)))</f>
        <v/>
      </c>
      <c r="H2908">
        <f>IF(A2908="","",E2908&amp;F2908&amp;G2908)</f>
        <v/>
      </c>
      <c r="I2908">
        <f>IF(A2908="","",IF(AND(E2908&gt;=4,F2908&gt;=4,G2908&gt;=4),"Juara",IF(AND(F2908&gt;=4,E2908&gt;=3),"Setia",IF(AND(E2908=5,F2908&lt;=2,G2908&gt;=3),"Berpotensi",IF(AND(E2908&lt;=3,E2908&gt;=2,F2908&gt;=3),"Rawan",IF(AND(E2908&lt;=2,F2908&lt;=2),"Tidur","Umum"))))))</f>
        <v/>
      </c>
    </row>
    <row r="2909">
      <c r="B2909">
        <f>IF(A2909="","",$B$1-MAXIFS(Donasi!$A$2:$A$20000,Donasi!$B$2:$B$20000,A2909))</f>
        <v/>
      </c>
      <c r="C2909">
        <f>IF(A2909="","",COUNTIF(Donasi!$B$2:$B$20000,A2909))</f>
        <v/>
      </c>
      <c r="D2909">
        <f>IF(A2909="","",SUMIF(Donasi!$B$2:$B$20000,A2909,Donasi!$C$2:$C$20000))</f>
        <v/>
      </c>
      <c r="E2909">
        <f>IF(A2909="","",6-CEILING(PERCENTRANK.INC($B$3:$B$6000,B2909,4)*5+0.000001,1))</f>
        <v/>
      </c>
      <c r="F2909">
        <f>IF(A2909="","",MAX(1,CEILING(PERCENTRANK.INC($C$3:$C$6000,C2909,4)*5+0.000001,1)))</f>
        <v/>
      </c>
      <c r="G2909">
        <f>IF(A2909="","",MAX(1,CEILING(PERCENTRANK.INC($D$3:$D$6000,D2909,4)*5+0.000001,1)))</f>
        <v/>
      </c>
      <c r="H2909">
        <f>IF(A2909="","",E2909&amp;F2909&amp;G2909)</f>
        <v/>
      </c>
      <c r="I2909">
        <f>IF(A2909="","",IF(AND(E2909&gt;=4,F2909&gt;=4,G2909&gt;=4),"Juara",IF(AND(F2909&gt;=4,E2909&gt;=3),"Setia",IF(AND(E2909=5,F2909&lt;=2,G2909&gt;=3),"Berpotensi",IF(AND(E2909&lt;=3,E2909&gt;=2,F2909&gt;=3),"Rawan",IF(AND(E2909&lt;=2,F2909&lt;=2),"Tidur","Umum"))))))</f>
        <v/>
      </c>
    </row>
    <row r="2910">
      <c r="B2910">
        <f>IF(A2910="","",$B$1-MAXIFS(Donasi!$A$2:$A$20000,Donasi!$B$2:$B$20000,A2910))</f>
        <v/>
      </c>
      <c r="C2910">
        <f>IF(A2910="","",COUNTIF(Donasi!$B$2:$B$20000,A2910))</f>
        <v/>
      </c>
      <c r="D2910">
        <f>IF(A2910="","",SUMIF(Donasi!$B$2:$B$20000,A2910,Donasi!$C$2:$C$20000))</f>
        <v/>
      </c>
      <c r="E2910">
        <f>IF(A2910="","",6-CEILING(PERCENTRANK.INC($B$3:$B$6000,B2910,4)*5+0.000001,1))</f>
        <v/>
      </c>
      <c r="F2910">
        <f>IF(A2910="","",MAX(1,CEILING(PERCENTRANK.INC($C$3:$C$6000,C2910,4)*5+0.000001,1)))</f>
        <v/>
      </c>
      <c r="G2910">
        <f>IF(A2910="","",MAX(1,CEILING(PERCENTRANK.INC($D$3:$D$6000,D2910,4)*5+0.000001,1)))</f>
        <v/>
      </c>
      <c r="H2910">
        <f>IF(A2910="","",E2910&amp;F2910&amp;G2910)</f>
        <v/>
      </c>
      <c r="I2910">
        <f>IF(A2910="","",IF(AND(E2910&gt;=4,F2910&gt;=4,G2910&gt;=4),"Juara",IF(AND(F2910&gt;=4,E2910&gt;=3),"Setia",IF(AND(E2910=5,F2910&lt;=2,G2910&gt;=3),"Berpotensi",IF(AND(E2910&lt;=3,E2910&gt;=2,F2910&gt;=3),"Rawan",IF(AND(E2910&lt;=2,F2910&lt;=2),"Tidur","Umum"))))))</f>
        <v/>
      </c>
    </row>
    <row r="2911">
      <c r="B2911">
        <f>IF(A2911="","",$B$1-MAXIFS(Donasi!$A$2:$A$20000,Donasi!$B$2:$B$20000,A2911))</f>
        <v/>
      </c>
      <c r="C2911">
        <f>IF(A2911="","",COUNTIF(Donasi!$B$2:$B$20000,A2911))</f>
        <v/>
      </c>
      <c r="D2911">
        <f>IF(A2911="","",SUMIF(Donasi!$B$2:$B$20000,A2911,Donasi!$C$2:$C$20000))</f>
        <v/>
      </c>
      <c r="E2911">
        <f>IF(A2911="","",6-CEILING(PERCENTRANK.INC($B$3:$B$6000,B2911,4)*5+0.000001,1))</f>
        <v/>
      </c>
      <c r="F2911">
        <f>IF(A2911="","",MAX(1,CEILING(PERCENTRANK.INC($C$3:$C$6000,C2911,4)*5+0.000001,1)))</f>
        <v/>
      </c>
      <c r="G2911">
        <f>IF(A2911="","",MAX(1,CEILING(PERCENTRANK.INC($D$3:$D$6000,D2911,4)*5+0.000001,1)))</f>
        <v/>
      </c>
      <c r="H2911">
        <f>IF(A2911="","",E2911&amp;F2911&amp;G2911)</f>
        <v/>
      </c>
      <c r="I2911">
        <f>IF(A2911="","",IF(AND(E2911&gt;=4,F2911&gt;=4,G2911&gt;=4),"Juara",IF(AND(F2911&gt;=4,E2911&gt;=3),"Setia",IF(AND(E2911=5,F2911&lt;=2,G2911&gt;=3),"Berpotensi",IF(AND(E2911&lt;=3,E2911&gt;=2,F2911&gt;=3),"Rawan",IF(AND(E2911&lt;=2,F2911&lt;=2),"Tidur","Umum"))))))</f>
        <v/>
      </c>
    </row>
    <row r="2912">
      <c r="B2912">
        <f>IF(A2912="","",$B$1-MAXIFS(Donasi!$A$2:$A$20000,Donasi!$B$2:$B$20000,A2912))</f>
        <v/>
      </c>
      <c r="C2912">
        <f>IF(A2912="","",COUNTIF(Donasi!$B$2:$B$20000,A2912))</f>
        <v/>
      </c>
      <c r="D2912">
        <f>IF(A2912="","",SUMIF(Donasi!$B$2:$B$20000,A2912,Donasi!$C$2:$C$20000))</f>
        <v/>
      </c>
      <c r="E2912">
        <f>IF(A2912="","",6-CEILING(PERCENTRANK.INC($B$3:$B$6000,B2912,4)*5+0.000001,1))</f>
        <v/>
      </c>
      <c r="F2912">
        <f>IF(A2912="","",MAX(1,CEILING(PERCENTRANK.INC($C$3:$C$6000,C2912,4)*5+0.000001,1)))</f>
        <v/>
      </c>
      <c r="G2912">
        <f>IF(A2912="","",MAX(1,CEILING(PERCENTRANK.INC($D$3:$D$6000,D2912,4)*5+0.000001,1)))</f>
        <v/>
      </c>
      <c r="H2912">
        <f>IF(A2912="","",E2912&amp;F2912&amp;G2912)</f>
        <v/>
      </c>
      <c r="I2912">
        <f>IF(A2912="","",IF(AND(E2912&gt;=4,F2912&gt;=4,G2912&gt;=4),"Juara",IF(AND(F2912&gt;=4,E2912&gt;=3),"Setia",IF(AND(E2912=5,F2912&lt;=2,G2912&gt;=3),"Berpotensi",IF(AND(E2912&lt;=3,E2912&gt;=2,F2912&gt;=3),"Rawan",IF(AND(E2912&lt;=2,F2912&lt;=2),"Tidur","Umum"))))))</f>
        <v/>
      </c>
    </row>
    <row r="2913">
      <c r="B2913">
        <f>IF(A2913="","",$B$1-MAXIFS(Donasi!$A$2:$A$20000,Donasi!$B$2:$B$20000,A2913))</f>
        <v/>
      </c>
      <c r="C2913">
        <f>IF(A2913="","",COUNTIF(Donasi!$B$2:$B$20000,A2913))</f>
        <v/>
      </c>
      <c r="D2913">
        <f>IF(A2913="","",SUMIF(Donasi!$B$2:$B$20000,A2913,Donasi!$C$2:$C$20000))</f>
        <v/>
      </c>
      <c r="E2913">
        <f>IF(A2913="","",6-CEILING(PERCENTRANK.INC($B$3:$B$6000,B2913,4)*5+0.000001,1))</f>
        <v/>
      </c>
      <c r="F2913">
        <f>IF(A2913="","",MAX(1,CEILING(PERCENTRANK.INC($C$3:$C$6000,C2913,4)*5+0.000001,1)))</f>
        <v/>
      </c>
      <c r="G2913">
        <f>IF(A2913="","",MAX(1,CEILING(PERCENTRANK.INC($D$3:$D$6000,D2913,4)*5+0.000001,1)))</f>
        <v/>
      </c>
      <c r="H2913">
        <f>IF(A2913="","",E2913&amp;F2913&amp;G2913)</f>
        <v/>
      </c>
      <c r="I2913">
        <f>IF(A2913="","",IF(AND(E2913&gt;=4,F2913&gt;=4,G2913&gt;=4),"Juara",IF(AND(F2913&gt;=4,E2913&gt;=3),"Setia",IF(AND(E2913=5,F2913&lt;=2,G2913&gt;=3),"Berpotensi",IF(AND(E2913&lt;=3,E2913&gt;=2,F2913&gt;=3),"Rawan",IF(AND(E2913&lt;=2,F2913&lt;=2),"Tidur","Umum"))))))</f>
        <v/>
      </c>
    </row>
    <row r="2914">
      <c r="B2914">
        <f>IF(A2914="","",$B$1-MAXIFS(Donasi!$A$2:$A$20000,Donasi!$B$2:$B$20000,A2914))</f>
        <v/>
      </c>
      <c r="C2914">
        <f>IF(A2914="","",COUNTIF(Donasi!$B$2:$B$20000,A2914))</f>
        <v/>
      </c>
      <c r="D2914">
        <f>IF(A2914="","",SUMIF(Donasi!$B$2:$B$20000,A2914,Donasi!$C$2:$C$20000))</f>
        <v/>
      </c>
      <c r="E2914">
        <f>IF(A2914="","",6-CEILING(PERCENTRANK.INC($B$3:$B$6000,B2914,4)*5+0.000001,1))</f>
        <v/>
      </c>
      <c r="F2914">
        <f>IF(A2914="","",MAX(1,CEILING(PERCENTRANK.INC($C$3:$C$6000,C2914,4)*5+0.000001,1)))</f>
        <v/>
      </c>
      <c r="G2914">
        <f>IF(A2914="","",MAX(1,CEILING(PERCENTRANK.INC($D$3:$D$6000,D2914,4)*5+0.000001,1)))</f>
        <v/>
      </c>
      <c r="H2914">
        <f>IF(A2914="","",E2914&amp;F2914&amp;G2914)</f>
        <v/>
      </c>
      <c r="I2914">
        <f>IF(A2914="","",IF(AND(E2914&gt;=4,F2914&gt;=4,G2914&gt;=4),"Juara",IF(AND(F2914&gt;=4,E2914&gt;=3),"Setia",IF(AND(E2914=5,F2914&lt;=2,G2914&gt;=3),"Berpotensi",IF(AND(E2914&lt;=3,E2914&gt;=2,F2914&gt;=3),"Rawan",IF(AND(E2914&lt;=2,F2914&lt;=2),"Tidur","Umum"))))))</f>
        <v/>
      </c>
    </row>
    <row r="2915">
      <c r="B2915">
        <f>IF(A2915="","",$B$1-MAXIFS(Donasi!$A$2:$A$20000,Donasi!$B$2:$B$20000,A2915))</f>
        <v/>
      </c>
      <c r="C2915">
        <f>IF(A2915="","",COUNTIF(Donasi!$B$2:$B$20000,A2915))</f>
        <v/>
      </c>
      <c r="D2915">
        <f>IF(A2915="","",SUMIF(Donasi!$B$2:$B$20000,A2915,Donasi!$C$2:$C$20000))</f>
        <v/>
      </c>
      <c r="E2915">
        <f>IF(A2915="","",6-CEILING(PERCENTRANK.INC($B$3:$B$6000,B2915,4)*5+0.000001,1))</f>
        <v/>
      </c>
      <c r="F2915">
        <f>IF(A2915="","",MAX(1,CEILING(PERCENTRANK.INC($C$3:$C$6000,C2915,4)*5+0.000001,1)))</f>
        <v/>
      </c>
      <c r="G2915">
        <f>IF(A2915="","",MAX(1,CEILING(PERCENTRANK.INC($D$3:$D$6000,D2915,4)*5+0.000001,1)))</f>
        <v/>
      </c>
      <c r="H2915">
        <f>IF(A2915="","",E2915&amp;F2915&amp;G2915)</f>
        <v/>
      </c>
      <c r="I2915">
        <f>IF(A2915="","",IF(AND(E2915&gt;=4,F2915&gt;=4,G2915&gt;=4),"Juara",IF(AND(F2915&gt;=4,E2915&gt;=3),"Setia",IF(AND(E2915=5,F2915&lt;=2,G2915&gt;=3),"Berpotensi",IF(AND(E2915&lt;=3,E2915&gt;=2,F2915&gt;=3),"Rawan",IF(AND(E2915&lt;=2,F2915&lt;=2),"Tidur","Umum"))))))</f>
        <v/>
      </c>
    </row>
    <row r="2916">
      <c r="B2916">
        <f>IF(A2916="","",$B$1-MAXIFS(Donasi!$A$2:$A$20000,Donasi!$B$2:$B$20000,A2916))</f>
        <v/>
      </c>
      <c r="C2916">
        <f>IF(A2916="","",COUNTIF(Donasi!$B$2:$B$20000,A2916))</f>
        <v/>
      </c>
      <c r="D2916">
        <f>IF(A2916="","",SUMIF(Donasi!$B$2:$B$20000,A2916,Donasi!$C$2:$C$20000))</f>
        <v/>
      </c>
      <c r="E2916">
        <f>IF(A2916="","",6-CEILING(PERCENTRANK.INC($B$3:$B$6000,B2916,4)*5+0.000001,1))</f>
        <v/>
      </c>
      <c r="F2916">
        <f>IF(A2916="","",MAX(1,CEILING(PERCENTRANK.INC($C$3:$C$6000,C2916,4)*5+0.000001,1)))</f>
        <v/>
      </c>
      <c r="G2916">
        <f>IF(A2916="","",MAX(1,CEILING(PERCENTRANK.INC($D$3:$D$6000,D2916,4)*5+0.000001,1)))</f>
        <v/>
      </c>
      <c r="H2916">
        <f>IF(A2916="","",E2916&amp;F2916&amp;G2916)</f>
        <v/>
      </c>
      <c r="I2916">
        <f>IF(A2916="","",IF(AND(E2916&gt;=4,F2916&gt;=4,G2916&gt;=4),"Juara",IF(AND(F2916&gt;=4,E2916&gt;=3),"Setia",IF(AND(E2916=5,F2916&lt;=2,G2916&gt;=3),"Berpotensi",IF(AND(E2916&lt;=3,E2916&gt;=2,F2916&gt;=3),"Rawan",IF(AND(E2916&lt;=2,F2916&lt;=2),"Tidur","Umum"))))))</f>
        <v/>
      </c>
    </row>
    <row r="2917">
      <c r="B2917">
        <f>IF(A2917="","",$B$1-MAXIFS(Donasi!$A$2:$A$20000,Donasi!$B$2:$B$20000,A2917))</f>
        <v/>
      </c>
      <c r="C2917">
        <f>IF(A2917="","",COUNTIF(Donasi!$B$2:$B$20000,A2917))</f>
        <v/>
      </c>
      <c r="D2917">
        <f>IF(A2917="","",SUMIF(Donasi!$B$2:$B$20000,A2917,Donasi!$C$2:$C$20000))</f>
        <v/>
      </c>
      <c r="E2917">
        <f>IF(A2917="","",6-CEILING(PERCENTRANK.INC($B$3:$B$6000,B2917,4)*5+0.000001,1))</f>
        <v/>
      </c>
      <c r="F2917">
        <f>IF(A2917="","",MAX(1,CEILING(PERCENTRANK.INC($C$3:$C$6000,C2917,4)*5+0.000001,1)))</f>
        <v/>
      </c>
      <c r="G2917">
        <f>IF(A2917="","",MAX(1,CEILING(PERCENTRANK.INC($D$3:$D$6000,D2917,4)*5+0.000001,1)))</f>
        <v/>
      </c>
      <c r="H2917">
        <f>IF(A2917="","",E2917&amp;F2917&amp;G2917)</f>
        <v/>
      </c>
      <c r="I2917">
        <f>IF(A2917="","",IF(AND(E2917&gt;=4,F2917&gt;=4,G2917&gt;=4),"Juara",IF(AND(F2917&gt;=4,E2917&gt;=3),"Setia",IF(AND(E2917=5,F2917&lt;=2,G2917&gt;=3),"Berpotensi",IF(AND(E2917&lt;=3,E2917&gt;=2,F2917&gt;=3),"Rawan",IF(AND(E2917&lt;=2,F2917&lt;=2),"Tidur","Umum"))))))</f>
        <v/>
      </c>
    </row>
    <row r="2918">
      <c r="B2918">
        <f>IF(A2918="","",$B$1-MAXIFS(Donasi!$A$2:$A$20000,Donasi!$B$2:$B$20000,A2918))</f>
        <v/>
      </c>
      <c r="C2918">
        <f>IF(A2918="","",COUNTIF(Donasi!$B$2:$B$20000,A2918))</f>
        <v/>
      </c>
      <c r="D2918">
        <f>IF(A2918="","",SUMIF(Donasi!$B$2:$B$20000,A2918,Donasi!$C$2:$C$20000))</f>
        <v/>
      </c>
      <c r="E2918">
        <f>IF(A2918="","",6-CEILING(PERCENTRANK.INC($B$3:$B$6000,B2918,4)*5+0.000001,1))</f>
        <v/>
      </c>
      <c r="F2918">
        <f>IF(A2918="","",MAX(1,CEILING(PERCENTRANK.INC($C$3:$C$6000,C2918,4)*5+0.000001,1)))</f>
        <v/>
      </c>
      <c r="G2918">
        <f>IF(A2918="","",MAX(1,CEILING(PERCENTRANK.INC($D$3:$D$6000,D2918,4)*5+0.000001,1)))</f>
        <v/>
      </c>
      <c r="H2918">
        <f>IF(A2918="","",E2918&amp;F2918&amp;G2918)</f>
        <v/>
      </c>
      <c r="I2918">
        <f>IF(A2918="","",IF(AND(E2918&gt;=4,F2918&gt;=4,G2918&gt;=4),"Juara",IF(AND(F2918&gt;=4,E2918&gt;=3),"Setia",IF(AND(E2918=5,F2918&lt;=2,G2918&gt;=3),"Berpotensi",IF(AND(E2918&lt;=3,E2918&gt;=2,F2918&gt;=3),"Rawan",IF(AND(E2918&lt;=2,F2918&lt;=2),"Tidur","Umum"))))))</f>
        <v/>
      </c>
    </row>
    <row r="2919">
      <c r="B2919">
        <f>IF(A2919="","",$B$1-MAXIFS(Donasi!$A$2:$A$20000,Donasi!$B$2:$B$20000,A2919))</f>
        <v/>
      </c>
      <c r="C2919">
        <f>IF(A2919="","",COUNTIF(Donasi!$B$2:$B$20000,A2919))</f>
        <v/>
      </c>
      <c r="D2919">
        <f>IF(A2919="","",SUMIF(Donasi!$B$2:$B$20000,A2919,Donasi!$C$2:$C$20000))</f>
        <v/>
      </c>
      <c r="E2919">
        <f>IF(A2919="","",6-CEILING(PERCENTRANK.INC($B$3:$B$6000,B2919,4)*5+0.000001,1))</f>
        <v/>
      </c>
      <c r="F2919">
        <f>IF(A2919="","",MAX(1,CEILING(PERCENTRANK.INC($C$3:$C$6000,C2919,4)*5+0.000001,1)))</f>
        <v/>
      </c>
      <c r="G2919">
        <f>IF(A2919="","",MAX(1,CEILING(PERCENTRANK.INC($D$3:$D$6000,D2919,4)*5+0.000001,1)))</f>
        <v/>
      </c>
      <c r="H2919">
        <f>IF(A2919="","",E2919&amp;F2919&amp;G2919)</f>
        <v/>
      </c>
      <c r="I2919">
        <f>IF(A2919="","",IF(AND(E2919&gt;=4,F2919&gt;=4,G2919&gt;=4),"Juara",IF(AND(F2919&gt;=4,E2919&gt;=3),"Setia",IF(AND(E2919=5,F2919&lt;=2,G2919&gt;=3),"Berpotensi",IF(AND(E2919&lt;=3,E2919&gt;=2,F2919&gt;=3),"Rawan",IF(AND(E2919&lt;=2,F2919&lt;=2),"Tidur","Umum"))))))</f>
        <v/>
      </c>
    </row>
    <row r="2920">
      <c r="B2920">
        <f>IF(A2920="","",$B$1-MAXIFS(Donasi!$A$2:$A$20000,Donasi!$B$2:$B$20000,A2920))</f>
        <v/>
      </c>
      <c r="C2920">
        <f>IF(A2920="","",COUNTIF(Donasi!$B$2:$B$20000,A2920))</f>
        <v/>
      </c>
      <c r="D2920">
        <f>IF(A2920="","",SUMIF(Donasi!$B$2:$B$20000,A2920,Donasi!$C$2:$C$20000))</f>
        <v/>
      </c>
      <c r="E2920">
        <f>IF(A2920="","",6-CEILING(PERCENTRANK.INC($B$3:$B$6000,B2920,4)*5+0.000001,1))</f>
        <v/>
      </c>
      <c r="F2920">
        <f>IF(A2920="","",MAX(1,CEILING(PERCENTRANK.INC($C$3:$C$6000,C2920,4)*5+0.000001,1)))</f>
        <v/>
      </c>
      <c r="G2920">
        <f>IF(A2920="","",MAX(1,CEILING(PERCENTRANK.INC($D$3:$D$6000,D2920,4)*5+0.000001,1)))</f>
        <v/>
      </c>
      <c r="H2920">
        <f>IF(A2920="","",E2920&amp;F2920&amp;G2920)</f>
        <v/>
      </c>
      <c r="I2920">
        <f>IF(A2920="","",IF(AND(E2920&gt;=4,F2920&gt;=4,G2920&gt;=4),"Juara",IF(AND(F2920&gt;=4,E2920&gt;=3),"Setia",IF(AND(E2920=5,F2920&lt;=2,G2920&gt;=3),"Berpotensi",IF(AND(E2920&lt;=3,E2920&gt;=2,F2920&gt;=3),"Rawan",IF(AND(E2920&lt;=2,F2920&lt;=2),"Tidur","Umum"))))))</f>
        <v/>
      </c>
    </row>
    <row r="2921">
      <c r="B2921">
        <f>IF(A2921="","",$B$1-MAXIFS(Donasi!$A$2:$A$20000,Donasi!$B$2:$B$20000,A2921))</f>
        <v/>
      </c>
      <c r="C2921">
        <f>IF(A2921="","",COUNTIF(Donasi!$B$2:$B$20000,A2921))</f>
        <v/>
      </c>
      <c r="D2921">
        <f>IF(A2921="","",SUMIF(Donasi!$B$2:$B$20000,A2921,Donasi!$C$2:$C$20000))</f>
        <v/>
      </c>
      <c r="E2921">
        <f>IF(A2921="","",6-CEILING(PERCENTRANK.INC($B$3:$B$6000,B2921,4)*5+0.000001,1))</f>
        <v/>
      </c>
      <c r="F2921">
        <f>IF(A2921="","",MAX(1,CEILING(PERCENTRANK.INC($C$3:$C$6000,C2921,4)*5+0.000001,1)))</f>
        <v/>
      </c>
      <c r="G2921">
        <f>IF(A2921="","",MAX(1,CEILING(PERCENTRANK.INC($D$3:$D$6000,D2921,4)*5+0.000001,1)))</f>
        <v/>
      </c>
      <c r="H2921">
        <f>IF(A2921="","",E2921&amp;F2921&amp;G2921)</f>
        <v/>
      </c>
      <c r="I2921">
        <f>IF(A2921="","",IF(AND(E2921&gt;=4,F2921&gt;=4,G2921&gt;=4),"Juara",IF(AND(F2921&gt;=4,E2921&gt;=3),"Setia",IF(AND(E2921=5,F2921&lt;=2,G2921&gt;=3),"Berpotensi",IF(AND(E2921&lt;=3,E2921&gt;=2,F2921&gt;=3),"Rawan",IF(AND(E2921&lt;=2,F2921&lt;=2),"Tidur","Umum"))))))</f>
        <v/>
      </c>
    </row>
    <row r="2922">
      <c r="B2922">
        <f>IF(A2922="","",$B$1-MAXIFS(Donasi!$A$2:$A$20000,Donasi!$B$2:$B$20000,A2922))</f>
        <v/>
      </c>
      <c r="C2922">
        <f>IF(A2922="","",COUNTIF(Donasi!$B$2:$B$20000,A2922))</f>
        <v/>
      </c>
      <c r="D2922">
        <f>IF(A2922="","",SUMIF(Donasi!$B$2:$B$20000,A2922,Donasi!$C$2:$C$20000))</f>
        <v/>
      </c>
      <c r="E2922">
        <f>IF(A2922="","",6-CEILING(PERCENTRANK.INC($B$3:$B$6000,B2922,4)*5+0.000001,1))</f>
        <v/>
      </c>
      <c r="F2922">
        <f>IF(A2922="","",MAX(1,CEILING(PERCENTRANK.INC($C$3:$C$6000,C2922,4)*5+0.000001,1)))</f>
        <v/>
      </c>
      <c r="G2922">
        <f>IF(A2922="","",MAX(1,CEILING(PERCENTRANK.INC($D$3:$D$6000,D2922,4)*5+0.000001,1)))</f>
        <v/>
      </c>
      <c r="H2922">
        <f>IF(A2922="","",E2922&amp;F2922&amp;G2922)</f>
        <v/>
      </c>
      <c r="I2922">
        <f>IF(A2922="","",IF(AND(E2922&gt;=4,F2922&gt;=4,G2922&gt;=4),"Juara",IF(AND(F2922&gt;=4,E2922&gt;=3),"Setia",IF(AND(E2922=5,F2922&lt;=2,G2922&gt;=3),"Berpotensi",IF(AND(E2922&lt;=3,E2922&gt;=2,F2922&gt;=3),"Rawan",IF(AND(E2922&lt;=2,F2922&lt;=2),"Tidur","Umum"))))))</f>
        <v/>
      </c>
    </row>
    <row r="2923">
      <c r="B2923">
        <f>IF(A2923="","",$B$1-MAXIFS(Donasi!$A$2:$A$20000,Donasi!$B$2:$B$20000,A2923))</f>
        <v/>
      </c>
      <c r="C2923">
        <f>IF(A2923="","",COUNTIF(Donasi!$B$2:$B$20000,A2923))</f>
        <v/>
      </c>
      <c r="D2923">
        <f>IF(A2923="","",SUMIF(Donasi!$B$2:$B$20000,A2923,Donasi!$C$2:$C$20000))</f>
        <v/>
      </c>
      <c r="E2923">
        <f>IF(A2923="","",6-CEILING(PERCENTRANK.INC($B$3:$B$6000,B2923,4)*5+0.000001,1))</f>
        <v/>
      </c>
      <c r="F2923">
        <f>IF(A2923="","",MAX(1,CEILING(PERCENTRANK.INC($C$3:$C$6000,C2923,4)*5+0.000001,1)))</f>
        <v/>
      </c>
      <c r="G2923">
        <f>IF(A2923="","",MAX(1,CEILING(PERCENTRANK.INC($D$3:$D$6000,D2923,4)*5+0.000001,1)))</f>
        <v/>
      </c>
      <c r="H2923">
        <f>IF(A2923="","",E2923&amp;F2923&amp;G2923)</f>
        <v/>
      </c>
      <c r="I2923">
        <f>IF(A2923="","",IF(AND(E2923&gt;=4,F2923&gt;=4,G2923&gt;=4),"Juara",IF(AND(F2923&gt;=4,E2923&gt;=3),"Setia",IF(AND(E2923=5,F2923&lt;=2,G2923&gt;=3),"Berpotensi",IF(AND(E2923&lt;=3,E2923&gt;=2,F2923&gt;=3),"Rawan",IF(AND(E2923&lt;=2,F2923&lt;=2),"Tidur","Umum"))))))</f>
        <v/>
      </c>
    </row>
    <row r="2924">
      <c r="B2924">
        <f>IF(A2924="","",$B$1-MAXIFS(Donasi!$A$2:$A$20000,Donasi!$B$2:$B$20000,A2924))</f>
        <v/>
      </c>
      <c r="C2924">
        <f>IF(A2924="","",COUNTIF(Donasi!$B$2:$B$20000,A2924))</f>
        <v/>
      </c>
      <c r="D2924">
        <f>IF(A2924="","",SUMIF(Donasi!$B$2:$B$20000,A2924,Donasi!$C$2:$C$20000))</f>
        <v/>
      </c>
      <c r="E2924">
        <f>IF(A2924="","",6-CEILING(PERCENTRANK.INC($B$3:$B$6000,B2924,4)*5+0.000001,1))</f>
        <v/>
      </c>
      <c r="F2924">
        <f>IF(A2924="","",MAX(1,CEILING(PERCENTRANK.INC($C$3:$C$6000,C2924,4)*5+0.000001,1)))</f>
        <v/>
      </c>
      <c r="G2924">
        <f>IF(A2924="","",MAX(1,CEILING(PERCENTRANK.INC($D$3:$D$6000,D2924,4)*5+0.000001,1)))</f>
        <v/>
      </c>
      <c r="H2924">
        <f>IF(A2924="","",E2924&amp;F2924&amp;G2924)</f>
        <v/>
      </c>
      <c r="I2924">
        <f>IF(A2924="","",IF(AND(E2924&gt;=4,F2924&gt;=4,G2924&gt;=4),"Juara",IF(AND(F2924&gt;=4,E2924&gt;=3),"Setia",IF(AND(E2924=5,F2924&lt;=2,G2924&gt;=3),"Berpotensi",IF(AND(E2924&lt;=3,E2924&gt;=2,F2924&gt;=3),"Rawan",IF(AND(E2924&lt;=2,F2924&lt;=2),"Tidur","Umum"))))))</f>
        <v/>
      </c>
    </row>
    <row r="2925">
      <c r="B2925">
        <f>IF(A2925="","",$B$1-MAXIFS(Donasi!$A$2:$A$20000,Donasi!$B$2:$B$20000,A2925))</f>
        <v/>
      </c>
      <c r="C2925">
        <f>IF(A2925="","",COUNTIF(Donasi!$B$2:$B$20000,A2925))</f>
        <v/>
      </c>
      <c r="D2925">
        <f>IF(A2925="","",SUMIF(Donasi!$B$2:$B$20000,A2925,Donasi!$C$2:$C$20000))</f>
        <v/>
      </c>
      <c r="E2925">
        <f>IF(A2925="","",6-CEILING(PERCENTRANK.INC($B$3:$B$6000,B2925,4)*5+0.000001,1))</f>
        <v/>
      </c>
      <c r="F2925">
        <f>IF(A2925="","",MAX(1,CEILING(PERCENTRANK.INC($C$3:$C$6000,C2925,4)*5+0.000001,1)))</f>
        <v/>
      </c>
      <c r="G2925">
        <f>IF(A2925="","",MAX(1,CEILING(PERCENTRANK.INC($D$3:$D$6000,D2925,4)*5+0.000001,1)))</f>
        <v/>
      </c>
      <c r="H2925">
        <f>IF(A2925="","",E2925&amp;F2925&amp;G2925)</f>
        <v/>
      </c>
      <c r="I2925">
        <f>IF(A2925="","",IF(AND(E2925&gt;=4,F2925&gt;=4,G2925&gt;=4),"Juara",IF(AND(F2925&gt;=4,E2925&gt;=3),"Setia",IF(AND(E2925=5,F2925&lt;=2,G2925&gt;=3),"Berpotensi",IF(AND(E2925&lt;=3,E2925&gt;=2,F2925&gt;=3),"Rawan",IF(AND(E2925&lt;=2,F2925&lt;=2),"Tidur","Umum"))))))</f>
        <v/>
      </c>
    </row>
    <row r="2926">
      <c r="B2926">
        <f>IF(A2926="","",$B$1-MAXIFS(Donasi!$A$2:$A$20000,Donasi!$B$2:$B$20000,A2926))</f>
        <v/>
      </c>
      <c r="C2926">
        <f>IF(A2926="","",COUNTIF(Donasi!$B$2:$B$20000,A2926))</f>
        <v/>
      </c>
      <c r="D2926">
        <f>IF(A2926="","",SUMIF(Donasi!$B$2:$B$20000,A2926,Donasi!$C$2:$C$20000))</f>
        <v/>
      </c>
      <c r="E2926">
        <f>IF(A2926="","",6-CEILING(PERCENTRANK.INC($B$3:$B$6000,B2926,4)*5+0.000001,1))</f>
        <v/>
      </c>
      <c r="F2926">
        <f>IF(A2926="","",MAX(1,CEILING(PERCENTRANK.INC($C$3:$C$6000,C2926,4)*5+0.000001,1)))</f>
        <v/>
      </c>
      <c r="G2926">
        <f>IF(A2926="","",MAX(1,CEILING(PERCENTRANK.INC($D$3:$D$6000,D2926,4)*5+0.000001,1)))</f>
        <v/>
      </c>
      <c r="H2926">
        <f>IF(A2926="","",E2926&amp;F2926&amp;G2926)</f>
        <v/>
      </c>
      <c r="I2926">
        <f>IF(A2926="","",IF(AND(E2926&gt;=4,F2926&gt;=4,G2926&gt;=4),"Juara",IF(AND(F2926&gt;=4,E2926&gt;=3),"Setia",IF(AND(E2926=5,F2926&lt;=2,G2926&gt;=3),"Berpotensi",IF(AND(E2926&lt;=3,E2926&gt;=2,F2926&gt;=3),"Rawan",IF(AND(E2926&lt;=2,F2926&lt;=2),"Tidur","Umum"))))))</f>
        <v/>
      </c>
    </row>
    <row r="2927">
      <c r="B2927">
        <f>IF(A2927="","",$B$1-MAXIFS(Donasi!$A$2:$A$20000,Donasi!$B$2:$B$20000,A2927))</f>
        <v/>
      </c>
      <c r="C2927">
        <f>IF(A2927="","",COUNTIF(Donasi!$B$2:$B$20000,A2927))</f>
        <v/>
      </c>
      <c r="D2927">
        <f>IF(A2927="","",SUMIF(Donasi!$B$2:$B$20000,A2927,Donasi!$C$2:$C$20000))</f>
        <v/>
      </c>
      <c r="E2927">
        <f>IF(A2927="","",6-CEILING(PERCENTRANK.INC($B$3:$B$6000,B2927,4)*5+0.000001,1))</f>
        <v/>
      </c>
      <c r="F2927">
        <f>IF(A2927="","",MAX(1,CEILING(PERCENTRANK.INC($C$3:$C$6000,C2927,4)*5+0.000001,1)))</f>
        <v/>
      </c>
      <c r="G2927">
        <f>IF(A2927="","",MAX(1,CEILING(PERCENTRANK.INC($D$3:$D$6000,D2927,4)*5+0.000001,1)))</f>
        <v/>
      </c>
      <c r="H2927">
        <f>IF(A2927="","",E2927&amp;F2927&amp;G2927)</f>
        <v/>
      </c>
      <c r="I2927">
        <f>IF(A2927="","",IF(AND(E2927&gt;=4,F2927&gt;=4,G2927&gt;=4),"Juara",IF(AND(F2927&gt;=4,E2927&gt;=3),"Setia",IF(AND(E2927=5,F2927&lt;=2,G2927&gt;=3),"Berpotensi",IF(AND(E2927&lt;=3,E2927&gt;=2,F2927&gt;=3),"Rawan",IF(AND(E2927&lt;=2,F2927&lt;=2),"Tidur","Umum"))))))</f>
        <v/>
      </c>
    </row>
    <row r="2928">
      <c r="B2928">
        <f>IF(A2928="","",$B$1-MAXIFS(Donasi!$A$2:$A$20000,Donasi!$B$2:$B$20000,A2928))</f>
        <v/>
      </c>
      <c r="C2928">
        <f>IF(A2928="","",COUNTIF(Donasi!$B$2:$B$20000,A2928))</f>
        <v/>
      </c>
      <c r="D2928">
        <f>IF(A2928="","",SUMIF(Donasi!$B$2:$B$20000,A2928,Donasi!$C$2:$C$20000))</f>
        <v/>
      </c>
      <c r="E2928">
        <f>IF(A2928="","",6-CEILING(PERCENTRANK.INC($B$3:$B$6000,B2928,4)*5+0.000001,1))</f>
        <v/>
      </c>
      <c r="F2928">
        <f>IF(A2928="","",MAX(1,CEILING(PERCENTRANK.INC($C$3:$C$6000,C2928,4)*5+0.000001,1)))</f>
        <v/>
      </c>
      <c r="G2928">
        <f>IF(A2928="","",MAX(1,CEILING(PERCENTRANK.INC($D$3:$D$6000,D2928,4)*5+0.000001,1)))</f>
        <v/>
      </c>
      <c r="H2928">
        <f>IF(A2928="","",E2928&amp;F2928&amp;G2928)</f>
        <v/>
      </c>
      <c r="I2928">
        <f>IF(A2928="","",IF(AND(E2928&gt;=4,F2928&gt;=4,G2928&gt;=4),"Juara",IF(AND(F2928&gt;=4,E2928&gt;=3),"Setia",IF(AND(E2928=5,F2928&lt;=2,G2928&gt;=3),"Berpotensi",IF(AND(E2928&lt;=3,E2928&gt;=2,F2928&gt;=3),"Rawan",IF(AND(E2928&lt;=2,F2928&lt;=2),"Tidur","Umum"))))))</f>
        <v/>
      </c>
    </row>
    <row r="2929">
      <c r="B2929">
        <f>IF(A2929="","",$B$1-MAXIFS(Donasi!$A$2:$A$20000,Donasi!$B$2:$B$20000,A2929))</f>
        <v/>
      </c>
      <c r="C2929">
        <f>IF(A2929="","",COUNTIF(Donasi!$B$2:$B$20000,A2929))</f>
        <v/>
      </c>
      <c r="D2929">
        <f>IF(A2929="","",SUMIF(Donasi!$B$2:$B$20000,A2929,Donasi!$C$2:$C$20000))</f>
        <v/>
      </c>
      <c r="E2929">
        <f>IF(A2929="","",6-CEILING(PERCENTRANK.INC($B$3:$B$6000,B2929,4)*5+0.000001,1))</f>
        <v/>
      </c>
      <c r="F2929">
        <f>IF(A2929="","",MAX(1,CEILING(PERCENTRANK.INC($C$3:$C$6000,C2929,4)*5+0.000001,1)))</f>
        <v/>
      </c>
      <c r="G2929">
        <f>IF(A2929="","",MAX(1,CEILING(PERCENTRANK.INC($D$3:$D$6000,D2929,4)*5+0.000001,1)))</f>
        <v/>
      </c>
      <c r="H2929">
        <f>IF(A2929="","",E2929&amp;F2929&amp;G2929)</f>
        <v/>
      </c>
      <c r="I2929">
        <f>IF(A2929="","",IF(AND(E2929&gt;=4,F2929&gt;=4,G2929&gt;=4),"Juara",IF(AND(F2929&gt;=4,E2929&gt;=3),"Setia",IF(AND(E2929=5,F2929&lt;=2,G2929&gt;=3),"Berpotensi",IF(AND(E2929&lt;=3,E2929&gt;=2,F2929&gt;=3),"Rawan",IF(AND(E2929&lt;=2,F2929&lt;=2),"Tidur","Umum"))))))</f>
        <v/>
      </c>
    </row>
    <row r="2930">
      <c r="B2930">
        <f>IF(A2930="","",$B$1-MAXIFS(Donasi!$A$2:$A$20000,Donasi!$B$2:$B$20000,A2930))</f>
        <v/>
      </c>
      <c r="C2930">
        <f>IF(A2930="","",COUNTIF(Donasi!$B$2:$B$20000,A2930))</f>
        <v/>
      </c>
      <c r="D2930">
        <f>IF(A2930="","",SUMIF(Donasi!$B$2:$B$20000,A2930,Donasi!$C$2:$C$20000))</f>
        <v/>
      </c>
      <c r="E2930">
        <f>IF(A2930="","",6-CEILING(PERCENTRANK.INC($B$3:$B$6000,B2930,4)*5+0.000001,1))</f>
        <v/>
      </c>
      <c r="F2930">
        <f>IF(A2930="","",MAX(1,CEILING(PERCENTRANK.INC($C$3:$C$6000,C2930,4)*5+0.000001,1)))</f>
        <v/>
      </c>
      <c r="G2930">
        <f>IF(A2930="","",MAX(1,CEILING(PERCENTRANK.INC($D$3:$D$6000,D2930,4)*5+0.000001,1)))</f>
        <v/>
      </c>
      <c r="H2930">
        <f>IF(A2930="","",E2930&amp;F2930&amp;G2930)</f>
        <v/>
      </c>
      <c r="I2930">
        <f>IF(A2930="","",IF(AND(E2930&gt;=4,F2930&gt;=4,G2930&gt;=4),"Juara",IF(AND(F2930&gt;=4,E2930&gt;=3),"Setia",IF(AND(E2930=5,F2930&lt;=2,G2930&gt;=3),"Berpotensi",IF(AND(E2930&lt;=3,E2930&gt;=2,F2930&gt;=3),"Rawan",IF(AND(E2930&lt;=2,F2930&lt;=2),"Tidur","Umum"))))))</f>
        <v/>
      </c>
    </row>
    <row r="2931">
      <c r="B2931">
        <f>IF(A2931="","",$B$1-MAXIFS(Donasi!$A$2:$A$20000,Donasi!$B$2:$B$20000,A2931))</f>
        <v/>
      </c>
      <c r="C2931">
        <f>IF(A2931="","",COUNTIF(Donasi!$B$2:$B$20000,A2931))</f>
        <v/>
      </c>
      <c r="D2931">
        <f>IF(A2931="","",SUMIF(Donasi!$B$2:$B$20000,A2931,Donasi!$C$2:$C$20000))</f>
        <v/>
      </c>
      <c r="E2931">
        <f>IF(A2931="","",6-CEILING(PERCENTRANK.INC($B$3:$B$6000,B2931,4)*5+0.000001,1))</f>
        <v/>
      </c>
      <c r="F2931">
        <f>IF(A2931="","",MAX(1,CEILING(PERCENTRANK.INC($C$3:$C$6000,C2931,4)*5+0.000001,1)))</f>
        <v/>
      </c>
      <c r="G2931">
        <f>IF(A2931="","",MAX(1,CEILING(PERCENTRANK.INC($D$3:$D$6000,D2931,4)*5+0.000001,1)))</f>
        <v/>
      </c>
      <c r="H2931">
        <f>IF(A2931="","",E2931&amp;F2931&amp;G2931)</f>
        <v/>
      </c>
      <c r="I2931">
        <f>IF(A2931="","",IF(AND(E2931&gt;=4,F2931&gt;=4,G2931&gt;=4),"Juara",IF(AND(F2931&gt;=4,E2931&gt;=3),"Setia",IF(AND(E2931=5,F2931&lt;=2,G2931&gt;=3),"Berpotensi",IF(AND(E2931&lt;=3,E2931&gt;=2,F2931&gt;=3),"Rawan",IF(AND(E2931&lt;=2,F2931&lt;=2),"Tidur","Umum"))))))</f>
        <v/>
      </c>
    </row>
    <row r="2932">
      <c r="B2932">
        <f>IF(A2932="","",$B$1-MAXIFS(Donasi!$A$2:$A$20000,Donasi!$B$2:$B$20000,A2932))</f>
        <v/>
      </c>
      <c r="C2932">
        <f>IF(A2932="","",COUNTIF(Donasi!$B$2:$B$20000,A2932))</f>
        <v/>
      </c>
      <c r="D2932">
        <f>IF(A2932="","",SUMIF(Donasi!$B$2:$B$20000,A2932,Donasi!$C$2:$C$20000))</f>
        <v/>
      </c>
      <c r="E2932">
        <f>IF(A2932="","",6-CEILING(PERCENTRANK.INC($B$3:$B$6000,B2932,4)*5+0.000001,1))</f>
        <v/>
      </c>
      <c r="F2932">
        <f>IF(A2932="","",MAX(1,CEILING(PERCENTRANK.INC($C$3:$C$6000,C2932,4)*5+0.000001,1)))</f>
        <v/>
      </c>
      <c r="G2932">
        <f>IF(A2932="","",MAX(1,CEILING(PERCENTRANK.INC($D$3:$D$6000,D2932,4)*5+0.000001,1)))</f>
        <v/>
      </c>
      <c r="H2932">
        <f>IF(A2932="","",E2932&amp;F2932&amp;G2932)</f>
        <v/>
      </c>
      <c r="I2932">
        <f>IF(A2932="","",IF(AND(E2932&gt;=4,F2932&gt;=4,G2932&gt;=4),"Juara",IF(AND(F2932&gt;=4,E2932&gt;=3),"Setia",IF(AND(E2932=5,F2932&lt;=2,G2932&gt;=3),"Berpotensi",IF(AND(E2932&lt;=3,E2932&gt;=2,F2932&gt;=3),"Rawan",IF(AND(E2932&lt;=2,F2932&lt;=2),"Tidur","Umum"))))))</f>
        <v/>
      </c>
    </row>
    <row r="2933">
      <c r="B2933">
        <f>IF(A2933="","",$B$1-MAXIFS(Donasi!$A$2:$A$20000,Donasi!$B$2:$B$20000,A2933))</f>
        <v/>
      </c>
      <c r="C2933">
        <f>IF(A2933="","",COUNTIF(Donasi!$B$2:$B$20000,A2933))</f>
        <v/>
      </c>
      <c r="D2933">
        <f>IF(A2933="","",SUMIF(Donasi!$B$2:$B$20000,A2933,Donasi!$C$2:$C$20000))</f>
        <v/>
      </c>
      <c r="E2933">
        <f>IF(A2933="","",6-CEILING(PERCENTRANK.INC($B$3:$B$6000,B2933,4)*5+0.000001,1))</f>
        <v/>
      </c>
      <c r="F2933">
        <f>IF(A2933="","",MAX(1,CEILING(PERCENTRANK.INC($C$3:$C$6000,C2933,4)*5+0.000001,1)))</f>
        <v/>
      </c>
      <c r="G2933">
        <f>IF(A2933="","",MAX(1,CEILING(PERCENTRANK.INC($D$3:$D$6000,D2933,4)*5+0.000001,1)))</f>
        <v/>
      </c>
      <c r="H2933">
        <f>IF(A2933="","",E2933&amp;F2933&amp;G2933)</f>
        <v/>
      </c>
      <c r="I2933">
        <f>IF(A2933="","",IF(AND(E2933&gt;=4,F2933&gt;=4,G2933&gt;=4),"Juara",IF(AND(F2933&gt;=4,E2933&gt;=3),"Setia",IF(AND(E2933=5,F2933&lt;=2,G2933&gt;=3),"Berpotensi",IF(AND(E2933&lt;=3,E2933&gt;=2,F2933&gt;=3),"Rawan",IF(AND(E2933&lt;=2,F2933&lt;=2),"Tidur","Umum"))))))</f>
        <v/>
      </c>
    </row>
    <row r="2934">
      <c r="B2934">
        <f>IF(A2934="","",$B$1-MAXIFS(Donasi!$A$2:$A$20000,Donasi!$B$2:$B$20000,A2934))</f>
        <v/>
      </c>
      <c r="C2934">
        <f>IF(A2934="","",COUNTIF(Donasi!$B$2:$B$20000,A2934))</f>
        <v/>
      </c>
      <c r="D2934">
        <f>IF(A2934="","",SUMIF(Donasi!$B$2:$B$20000,A2934,Donasi!$C$2:$C$20000))</f>
        <v/>
      </c>
      <c r="E2934">
        <f>IF(A2934="","",6-CEILING(PERCENTRANK.INC($B$3:$B$6000,B2934,4)*5+0.000001,1))</f>
        <v/>
      </c>
      <c r="F2934">
        <f>IF(A2934="","",MAX(1,CEILING(PERCENTRANK.INC($C$3:$C$6000,C2934,4)*5+0.000001,1)))</f>
        <v/>
      </c>
      <c r="G2934">
        <f>IF(A2934="","",MAX(1,CEILING(PERCENTRANK.INC($D$3:$D$6000,D2934,4)*5+0.000001,1)))</f>
        <v/>
      </c>
      <c r="H2934">
        <f>IF(A2934="","",E2934&amp;F2934&amp;G2934)</f>
        <v/>
      </c>
      <c r="I2934">
        <f>IF(A2934="","",IF(AND(E2934&gt;=4,F2934&gt;=4,G2934&gt;=4),"Juara",IF(AND(F2934&gt;=4,E2934&gt;=3),"Setia",IF(AND(E2934=5,F2934&lt;=2,G2934&gt;=3),"Berpotensi",IF(AND(E2934&lt;=3,E2934&gt;=2,F2934&gt;=3),"Rawan",IF(AND(E2934&lt;=2,F2934&lt;=2),"Tidur","Umum"))))))</f>
        <v/>
      </c>
    </row>
    <row r="2935">
      <c r="B2935">
        <f>IF(A2935="","",$B$1-MAXIFS(Donasi!$A$2:$A$20000,Donasi!$B$2:$B$20000,A2935))</f>
        <v/>
      </c>
      <c r="C2935">
        <f>IF(A2935="","",COUNTIF(Donasi!$B$2:$B$20000,A2935))</f>
        <v/>
      </c>
      <c r="D2935">
        <f>IF(A2935="","",SUMIF(Donasi!$B$2:$B$20000,A2935,Donasi!$C$2:$C$20000))</f>
        <v/>
      </c>
      <c r="E2935">
        <f>IF(A2935="","",6-CEILING(PERCENTRANK.INC($B$3:$B$6000,B2935,4)*5+0.000001,1))</f>
        <v/>
      </c>
      <c r="F2935">
        <f>IF(A2935="","",MAX(1,CEILING(PERCENTRANK.INC($C$3:$C$6000,C2935,4)*5+0.000001,1)))</f>
        <v/>
      </c>
      <c r="G2935">
        <f>IF(A2935="","",MAX(1,CEILING(PERCENTRANK.INC($D$3:$D$6000,D2935,4)*5+0.000001,1)))</f>
        <v/>
      </c>
      <c r="H2935">
        <f>IF(A2935="","",E2935&amp;F2935&amp;G2935)</f>
        <v/>
      </c>
      <c r="I2935">
        <f>IF(A2935="","",IF(AND(E2935&gt;=4,F2935&gt;=4,G2935&gt;=4),"Juara",IF(AND(F2935&gt;=4,E2935&gt;=3),"Setia",IF(AND(E2935=5,F2935&lt;=2,G2935&gt;=3),"Berpotensi",IF(AND(E2935&lt;=3,E2935&gt;=2,F2935&gt;=3),"Rawan",IF(AND(E2935&lt;=2,F2935&lt;=2),"Tidur","Umum"))))))</f>
        <v/>
      </c>
    </row>
    <row r="2936">
      <c r="B2936">
        <f>IF(A2936="","",$B$1-MAXIFS(Donasi!$A$2:$A$20000,Donasi!$B$2:$B$20000,A2936))</f>
        <v/>
      </c>
      <c r="C2936">
        <f>IF(A2936="","",COUNTIF(Donasi!$B$2:$B$20000,A2936))</f>
        <v/>
      </c>
      <c r="D2936">
        <f>IF(A2936="","",SUMIF(Donasi!$B$2:$B$20000,A2936,Donasi!$C$2:$C$20000))</f>
        <v/>
      </c>
      <c r="E2936">
        <f>IF(A2936="","",6-CEILING(PERCENTRANK.INC($B$3:$B$6000,B2936,4)*5+0.000001,1))</f>
        <v/>
      </c>
      <c r="F2936">
        <f>IF(A2936="","",MAX(1,CEILING(PERCENTRANK.INC($C$3:$C$6000,C2936,4)*5+0.000001,1)))</f>
        <v/>
      </c>
      <c r="G2936">
        <f>IF(A2936="","",MAX(1,CEILING(PERCENTRANK.INC($D$3:$D$6000,D2936,4)*5+0.000001,1)))</f>
        <v/>
      </c>
      <c r="H2936">
        <f>IF(A2936="","",E2936&amp;F2936&amp;G2936)</f>
        <v/>
      </c>
      <c r="I2936">
        <f>IF(A2936="","",IF(AND(E2936&gt;=4,F2936&gt;=4,G2936&gt;=4),"Juara",IF(AND(F2936&gt;=4,E2936&gt;=3),"Setia",IF(AND(E2936=5,F2936&lt;=2,G2936&gt;=3),"Berpotensi",IF(AND(E2936&lt;=3,E2936&gt;=2,F2936&gt;=3),"Rawan",IF(AND(E2936&lt;=2,F2936&lt;=2),"Tidur","Umum"))))))</f>
        <v/>
      </c>
    </row>
    <row r="2937">
      <c r="B2937">
        <f>IF(A2937="","",$B$1-MAXIFS(Donasi!$A$2:$A$20000,Donasi!$B$2:$B$20000,A2937))</f>
        <v/>
      </c>
      <c r="C2937">
        <f>IF(A2937="","",COUNTIF(Donasi!$B$2:$B$20000,A2937))</f>
        <v/>
      </c>
      <c r="D2937">
        <f>IF(A2937="","",SUMIF(Donasi!$B$2:$B$20000,A2937,Donasi!$C$2:$C$20000))</f>
        <v/>
      </c>
      <c r="E2937">
        <f>IF(A2937="","",6-CEILING(PERCENTRANK.INC($B$3:$B$6000,B2937,4)*5+0.000001,1))</f>
        <v/>
      </c>
      <c r="F2937">
        <f>IF(A2937="","",MAX(1,CEILING(PERCENTRANK.INC($C$3:$C$6000,C2937,4)*5+0.000001,1)))</f>
        <v/>
      </c>
      <c r="G2937">
        <f>IF(A2937="","",MAX(1,CEILING(PERCENTRANK.INC($D$3:$D$6000,D2937,4)*5+0.000001,1)))</f>
        <v/>
      </c>
      <c r="H2937">
        <f>IF(A2937="","",E2937&amp;F2937&amp;G2937)</f>
        <v/>
      </c>
      <c r="I2937">
        <f>IF(A2937="","",IF(AND(E2937&gt;=4,F2937&gt;=4,G2937&gt;=4),"Juara",IF(AND(F2937&gt;=4,E2937&gt;=3),"Setia",IF(AND(E2937=5,F2937&lt;=2,G2937&gt;=3),"Berpotensi",IF(AND(E2937&lt;=3,E2937&gt;=2,F2937&gt;=3),"Rawan",IF(AND(E2937&lt;=2,F2937&lt;=2),"Tidur","Umum"))))))</f>
        <v/>
      </c>
    </row>
    <row r="2938">
      <c r="B2938">
        <f>IF(A2938="","",$B$1-MAXIFS(Donasi!$A$2:$A$20000,Donasi!$B$2:$B$20000,A2938))</f>
        <v/>
      </c>
      <c r="C2938">
        <f>IF(A2938="","",COUNTIF(Donasi!$B$2:$B$20000,A2938))</f>
        <v/>
      </c>
      <c r="D2938">
        <f>IF(A2938="","",SUMIF(Donasi!$B$2:$B$20000,A2938,Donasi!$C$2:$C$20000))</f>
        <v/>
      </c>
      <c r="E2938">
        <f>IF(A2938="","",6-CEILING(PERCENTRANK.INC($B$3:$B$6000,B2938,4)*5+0.000001,1))</f>
        <v/>
      </c>
      <c r="F2938">
        <f>IF(A2938="","",MAX(1,CEILING(PERCENTRANK.INC($C$3:$C$6000,C2938,4)*5+0.000001,1)))</f>
        <v/>
      </c>
      <c r="G2938">
        <f>IF(A2938="","",MAX(1,CEILING(PERCENTRANK.INC($D$3:$D$6000,D2938,4)*5+0.000001,1)))</f>
        <v/>
      </c>
      <c r="H2938">
        <f>IF(A2938="","",E2938&amp;F2938&amp;G2938)</f>
        <v/>
      </c>
      <c r="I2938">
        <f>IF(A2938="","",IF(AND(E2938&gt;=4,F2938&gt;=4,G2938&gt;=4),"Juara",IF(AND(F2938&gt;=4,E2938&gt;=3),"Setia",IF(AND(E2938=5,F2938&lt;=2,G2938&gt;=3),"Berpotensi",IF(AND(E2938&lt;=3,E2938&gt;=2,F2938&gt;=3),"Rawan",IF(AND(E2938&lt;=2,F2938&lt;=2),"Tidur","Umum"))))))</f>
        <v/>
      </c>
    </row>
    <row r="2939">
      <c r="B2939">
        <f>IF(A2939="","",$B$1-MAXIFS(Donasi!$A$2:$A$20000,Donasi!$B$2:$B$20000,A2939))</f>
        <v/>
      </c>
      <c r="C2939">
        <f>IF(A2939="","",COUNTIF(Donasi!$B$2:$B$20000,A2939))</f>
        <v/>
      </c>
      <c r="D2939">
        <f>IF(A2939="","",SUMIF(Donasi!$B$2:$B$20000,A2939,Donasi!$C$2:$C$20000))</f>
        <v/>
      </c>
      <c r="E2939">
        <f>IF(A2939="","",6-CEILING(PERCENTRANK.INC($B$3:$B$6000,B2939,4)*5+0.000001,1))</f>
        <v/>
      </c>
      <c r="F2939">
        <f>IF(A2939="","",MAX(1,CEILING(PERCENTRANK.INC($C$3:$C$6000,C2939,4)*5+0.000001,1)))</f>
        <v/>
      </c>
      <c r="G2939">
        <f>IF(A2939="","",MAX(1,CEILING(PERCENTRANK.INC($D$3:$D$6000,D2939,4)*5+0.000001,1)))</f>
        <v/>
      </c>
      <c r="H2939">
        <f>IF(A2939="","",E2939&amp;F2939&amp;G2939)</f>
        <v/>
      </c>
      <c r="I2939">
        <f>IF(A2939="","",IF(AND(E2939&gt;=4,F2939&gt;=4,G2939&gt;=4),"Juara",IF(AND(F2939&gt;=4,E2939&gt;=3),"Setia",IF(AND(E2939=5,F2939&lt;=2,G2939&gt;=3),"Berpotensi",IF(AND(E2939&lt;=3,E2939&gt;=2,F2939&gt;=3),"Rawan",IF(AND(E2939&lt;=2,F2939&lt;=2),"Tidur","Umum"))))))</f>
        <v/>
      </c>
    </row>
    <row r="2940">
      <c r="B2940">
        <f>IF(A2940="","",$B$1-MAXIFS(Donasi!$A$2:$A$20000,Donasi!$B$2:$B$20000,A2940))</f>
        <v/>
      </c>
      <c r="C2940">
        <f>IF(A2940="","",COUNTIF(Donasi!$B$2:$B$20000,A2940))</f>
        <v/>
      </c>
      <c r="D2940">
        <f>IF(A2940="","",SUMIF(Donasi!$B$2:$B$20000,A2940,Donasi!$C$2:$C$20000))</f>
        <v/>
      </c>
      <c r="E2940">
        <f>IF(A2940="","",6-CEILING(PERCENTRANK.INC($B$3:$B$6000,B2940,4)*5+0.000001,1))</f>
        <v/>
      </c>
      <c r="F2940">
        <f>IF(A2940="","",MAX(1,CEILING(PERCENTRANK.INC($C$3:$C$6000,C2940,4)*5+0.000001,1)))</f>
        <v/>
      </c>
      <c r="G2940">
        <f>IF(A2940="","",MAX(1,CEILING(PERCENTRANK.INC($D$3:$D$6000,D2940,4)*5+0.000001,1)))</f>
        <v/>
      </c>
      <c r="H2940">
        <f>IF(A2940="","",E2940&amp;F2940&amp;G2940)</f>
        <v/>
      </c>
      <c r="I2940">
        <f>IF(A2940="","",IF(AND(E2940&gt;=4,F2940&gt;=4,G2940&gt;=4),"Juara",IF(AND(F2940&gt;=4,E2940&gt;=3),"Setia",IF(AND(E2940=5,F2940&lt;=2,G2940&gt;=3),"Berpotensi",IF(AND(E2940&lt;=3,E2940&gt;=2,F2940&gt;=3),"Rawan",IF(AND(E2940&lt;=2,F2940&lt;=2),"Tidur","Umum"))))))</f>
        <v/>
      </c>
    </row>
    <row r="2941">
      <c r="B2941">
        <f>IF(A2941="","",$B$1-MAXIFS(Donasi!$A$2:$A$20000,Donasi!$B$2:$B$20000,A2941))</f>
        <v/>
      </c>
      <c r="C2941">
        <f>IF(A2941="","",COUNTIF(Donasi!$B$2:$B$20000,A2941))</f>
        <v/>
      </c>
      <c r="D2941">
        <f>IF(A2941="","",SUMIF(Donasi!$B$2:$B$20000,A2941,Donasi!$C$2:$C$20000))</f>
        <v/>
      </c>
      <c r="E2941">
        <f>IF(A2941="","",6-CEILING(PERCENTRANK.INC($B$3:$B$6000,B2941,4)*5+0.000001,1))</f>
        <v/>
      </c>
      <c r="F2941">
        <f>IF(A2941="","",MAX(1,CEILING(PERCENTRANK.INC($C$3:$C$6000,C2941,4)*5+0.000001,1)))</f>
        <v/>
      </c>
      <c r="G2941">
        <f>IF(A2941="","",MAX(1,CEILING(PERCENTRANK.INC($D$3:$D$6000,D2941,4)*5+0.000001,1)))</f>
        <v/>
      </c>
      <c r="H2941">
        <f>IF(A2941="","",E2941&amp;F2941&amp;G2941)</f>
        <v/>
      </c>
      <c r="I2941">
        <f>IF(A2941="","",IF(AND(E2941&gt;=4,F2941&gt;=4,G2941&gt;=4),"Juara",IF(AND(F2941&gt;=4,E2941&gt;=3),"Setia",IF(AND(E2941=5,F2941&lt;=2,G2941&gt;=3),"Berpotensi",IF(AND(E2941&lt;=3,E2941&gt;=2,F2941&gt;=3),"Rawan",IF(AND(E2941&lt;=2,F2941&lt;=2),"Tidur","Umum"))))))</f>
        <v/>
      </c>
    </row>
    <row r="2942">
      <c r="B2942">
        <f>IF(A2942="","",$B$1-MAXIFS(Donasi!$A$2:$A$20000,Donasi!$B$2:$B$20000,A2942))</f>
        <v/>
      </c>
      <c r="C2942">
        <f>IF(A2942="","",COUNTIF(Donasi!$B$2:$B$20000,A2942))</f>
        <v/>
      </c>
      <c r="D2942">
        <f>IF(A2942="","",SUMIF(Donasi!$B$2:$B$20000,A2942,Donasi!$C$2:$C$20000))</f>
        <v/>
      </c>
      <c r="E2942">
        <f>IF(A2942="","",6-CEILING(PERCENTRANK.INC($B$3:$B$6000,B2942,4)*5+0.000001,1))</f>
        <v/>
      </c>
      <c r="F2942">
        <f>IF(A2942="","",MAX(1,CEILING(PERCENTRANK.INC($C$3:$C$6000,C2942,4)*5+0.000001,1)))</f>
        <v/>
      </c>
      <c r="G2942">
        <f>IF(A2942="","",MAX(1,CEILING(PERCENTRANK.INC($D$3:$D$6000,D2942,4)*5+0.000001,1)))</f>
        <v/>
      </c>
      <c r="H2942">
        <f>IF(A2942="","",E2942&amp;F2942&amp;G2942)</f>
        <v/>
      </c>
      <c r="I2942">
        <f>IF(A2942="","",IF(AND(E2942&gt;=4,F2942&gt;=4,G2942&gt;=4),"Juara",IF(AND(F2942&gt;=4,E2942&gt;=3),"Setia",IF(AND(E2942=5,F2942&lt;=2,G2942&gt;=3),"Berpotensi",IF(AND(E2942&lt;=3,E2942&gt;=2,F2942&gt;=3),"Rawan",IF(AND(E2942&lt;=2,F2942&lt;=2),"Tidur","Umum"))))))</f>
        <v/>
      </c>
    </row>
    <row r="2943">
      <c r="B2943">
        <f>IF(A2943="","",$B$1-MAXIFS(Donasi!$A$2:$A$20000,Donasi!$B$2:$B$20000,A2943))</f>
        <v/>
      </c>
      <c r="C2943">
        <f>IF(A2943="","",COUNTIF(Donasi!$B$2:$B$20000,A2943))</f>
        <v/>
      </c>
      <c r="D2943">
        <f>IF(A2943="","",SUMIF(Donasi!$B$2:$B$20000,A2943,Donasi!$C$2:$C$20000))</f>
        <v/>
      </c>
      <c r="E2943">
        <f>IF(A2943="","",6-CEILING(PERCENTRANK.INC($B$3:$B$6000,B2943,4)*5+0.000001,1))</f>
        <v/>
      </c>
      <c r="F2943">
        <f>IF(A2943="","",MAX(1,CEILING(PERCENTRANK.INC($C$3:$C$6000,C2943,4)*5+0.000001,1)))</f>
        <v/>
      </c>
      <c r="G2943">
        <f>IF(A2943="","",MAX(1,CEILING(PERCENTRANK.INC($D$3:$D$6000,D2943,4)*5+0.000001,1)))</f>
        <v/>
      </c>
      <c r="H2943">
        <f>IF(A2943="","",E2943&amp;F2943&amp;G2943)</f>
        <v/>
      </c>
      <c r="I2943">
        <f>IF(A2943="","",IF(AND(E2943&gt;=4,F2943&gt;=4,G2943&gt;=4),"Juara",IF(AND(F2943&gt;=4,E2943&gt;=3),"Setia",IF(AND(E2943=5,F2943&lt;=2,G2943&gt;=3),"Berpotensi",IF(AND(E2943&lt;=3,E2943&gt;=2,F2943&gt;=3),"Rawan",IF(AND(E2943&lt;=2,F2943&lt;=2),"Tidur","Umum"))))))</f>
        <v/>
      </c>
    </row>
    <row r="2944">
      <c r="B2944">
        <f>IF(A2944="","",$B$1-MAXIFS(Donasi!$A$2:$A$20000,Donasi!$B$2:$B$20000,A2944))</f>
        <v/>
      </c>
      <c r="C2944">
        <f>IF(A2944="","",COUNTIF(Donasi!$B$2:$B$20000,A2944))</f>
        <v/>
      </c>
      <c r="D2944">
        <f>IF(A2944="","",SUMIF(Donasi!$B$2:$B$20000,A2944,Donasi!$C$2:$C$20000))</f>
        <v/>
      </c>
      <c r="E2944">
        <f>IF(A2944="","",6-CEILING(PERCENTRANK.INC($B$3:$B$6000,B2944,4)*5+0.000001,1))</f>
        <v/>
      </c>
      <c r="F2944">
        <f>IF(A2944="","",MAX(1,CEILING(PERCENTRANK.INC($C$3:$C$6000,C2944,4)*5+0.000001,1)))</f>
        <v/>
      </c>
      <c r="G2944">
        <f>IF(A2944="","",MAX(1,CEILING(PERCENTRANK.INC($D$3:$D$6000,D2944,4)*5+0.000001,1)))</f>
        <v/>
      </c>
      <c r="H2944">
        <f>IF(A2944="","",E2944&amp;F2944&amp;G2944)</f>
        <v/>
      </c>
      <c r="I2944">
        <f>IF(A2944="","",IF(AND(E2944&gt;=4,F2944&gt;=4,G2944&gt;=4),"Juara",IF(AND(F2944&gt;=4,E2944&gt;=3),"Setia",IF(AND(E2944=5,F2944&lt;=2,G2944&gt;=3),"Berpotensi",IF(AND(E2944&lt;=3,E2944&gt;=2,F2944&gt;=3),"Rawan",IF(AND(E2944&lt;=2,F2944&lt;=2),"Tidur","Umum"))))))</f>
        <v/>
      </c>
    </row>
    <row r="2945">
      <c r="B2945">
        <f>IF(A2945="","",$B$1-MAXIFS(Donasi!$A$2:$A$20000,Donasi!$B$2:$B$20000,A2945))</f>
        <v/>
      </c>
      <c r="C2945">
        <f>IF(A2945="","",COUNTIF(Donasi!$B$2:$B$20000,A2945))</f>
        <v/>
      </c>
      <c r="D2945">
        <f>IF(A2945="","",SUMIF(Donasi!$B$2:$B$20000,A2945,Donasi!$C$2:$C$20000))</f>
        <v/>
      </c>
      <c r="E2945">
        <f>IF(A2945="","",6-CEILING(PERCENTRANK.INC($B$3:$B$6000,B2945,4)*5+0.000001,1))</f>
        <v/>
      </c>
      <c r="F2945">
        <f>IF(A2945="","",MAX(1,CEILING(PERCENTRANK.INC($C$3:$C$6000,C2945,4)*5+0.000001,1)))</f>
        <v/>
      </c>
      <c r="G2945">
        <f>IF(A2945="","",MAX(1,CEILING(PERCENTRANK.INC($D$3:$D$6000,D2945,4)*5+0.000001,1)))</f>
        <v/>
      </c>
      <c r="H2945">
        <f>IF(A2945="","",E2945&amp;F2945&amp;G2945)</f>
        <v/>
      </c>
      <c r="I2945">
        <f>IF(A2945="","",IF(AND(E2945&gt;=4,F2945&gt;=4,G2945&gt;=4),"Juara",IF(AND(F2945&gt;=4,E2945&gt;=3),"Setia",IF(AND(E2945=5,F2945&lt;=2,G2945&gt;=3),"Berpotensi",IF(AND(E2945&lt;=3,E2945&gt;=2,F2945&gt;=3),"Rawan",IF(AND(E2945&lt;=2,F2945&lt;=2),"Tidur","Umum"))))))</f>
        <v/>
      </c>
    </row>
    <row r="2946">
      <c r="B2946">
        <f>IF(A2946="","",$B$1-MAXIFS(Donasi!$A$2:$A$20000,Donasi!$B$2:$B$20000,A2946))</f>
        <v/>
      </c>
      <c r="C2946">
        <f>IF(A2946="","",COUNTIF(Donasi!$B$2:$B$20000,A2946))</f>
        <v/>
      </c>
      <c r="D2946">
        <f>IF(A2946="","",SUMIF(Donasi!$B$2:$B$20000,A2946,Donasi!$C$2:$C$20000))</f>
        <v/>
      </c>
      <c r="E2946">
        <f>IF(A2946="","",6-CEILING(PERCENTRANK.INC($B$3:$B$6000,B2946,4)*5+0.000001,1))</f>
        <v/>
      </c>
      <c r="F2946">
        <f>IF(A2946="","",MAX(1,CEILING(PERCENTRANK.INC($C$3:$C$6000,C2946,4)*5+0.000001,1)))</f>
        <v/>
      </c>
      <c r="G2946">
        <f>IF(A2946="","",MAX(1,CEILING(PERCENTRANK.INC($D$3:$D$6000,D2946,4)*5+0.000001,1)))</f>
        <v/>
      </c>
      <c r="H2946">
        <f>IF(A2946="","",E2946&amp;F2946&amp;G2946)</f>
        <v/>
      </c>
      <c r="I2946">
        <f>IF(A2946="","",IF(AND(E2946&gt;=4,F2946&gt;=4,G2946&gt;=4),"Juara",IF(AND(F2946&gt;=4,E2946&gt;=3),"Setia",IF(AND(E2946=5,F2946&lt;=2,G2946&gt;=3),"Berpotensi",IF(AND(E2946&lt;=3,E2946&gt;=2,F2946&gt;=3),"Rawan",IF(AND(E2946&lt;=2,F2946&lt;=2),"Tidur","Umum"))))))</f>
        <v/>
      </c>
    </row>
    <row r="2947">
      <c r="B2947">
        <f>IF(A2947="","",$B$1-MAXIFS(Donasi!$A$2:$A$20000,Donasi!$B$2:$B$20000,A2947))</f>
        <v/>
      </c>
      <c r="C2947">
        <f>IF(A2947="","",COUNTIF(Donasi!$B$2:$B$20000,A2947))</f>
        <v/>
      </c>
      <c r="D2947">
        <f>IF(A2947="","",SUMIF(Donasi!$B$2:$B$20000,A2947,Donasi!$C$2:$C$20000))</f>
        <v/>
      </c>
      <c r="E2947">
        <f>IF(A2947="","",6-CEILING(PERCENTRANK.INC($B$3:$B$6000,B2947,4)*5+0.000001,1))</f>
        <v/>
      </c>
      <c r="F2947">
        <f>IF(A2947="","",MAX(1,CEILING(PERCENTRANK.INC($C$3:$C$6000,C2947,4)*5+0.000001,1)))</f>
        <v/>
      </c>
      <c r="G2947">
        <f>IF(A2947="","",MAX(1,CEILING(PERCENTRANK.INC($D$3:$D$6000,D2947,4)*5+0.000001,1)))</f>
        <v/>
      </c>
      <c r="H2947">
        <f>IF(A2947="","",E2947&amp;F2947&amp;G2947)</f>
        <v/>
      </c>
      <c r="I2947">
        <f>IF(A2947="","",IF(AND(E2947&gt;=4,F2947&gt;=4,G2947&gt;=4),"Juara",IF(AND(F2947&gt;=4,E2947&gt;=3),"Setia",IF(AND(E2947=5,F2947&lt;=2,G2947&gt;=3),"Berpotensi",IF(AND(E2947&lt;=3,E2947&gt;=2,F2947&gt;=3),"Rawan",IF(AND(E2947&lt;=2,F2947&lt;=2),"Tidur","Umum"))))))</f>
        <v/>
      </c>
    </row>
    <row r="2948">
      <c r="B2948">
        <f>IF(A2948="","",$B$1-MAXIFS(Donasi!$A$2:$A$20000,Donasi!$B$2:$B$20000,A2948))</f>
        <v/>
      </c>
      <c r="C2948">
        <f>IF(A2948="","",COUNTIF(Donasi!$B$2:$B$20000,A2948))</f>
        <v/>
      </c>
      <c r="D2948">
        <f>IF(A2948="","",SUMIF(Donasi!$B$2:$B$20000,A2948,Donasi!$C$2:$C$20000))</f>
        <v/>
      </c>
      <c r="E2948">
        <f>IF(A2948="","",6-CEILING(PERCENTRANK.INC($B$3:$B$6000,B2948,4)*5+0.000001,1))</f>
        <v/>
      </c>
      <c r="F2948">
        <f>IF(A2948="","",MAX(1,CEILING(PERCENTRANK.INC($C$3:$C$6000,C2948,4)*5+0.000001,1)))</f>
        <v/>
      </c>
      <c r="G2948">
        <f>IF(A2948="","",MAX(1,CEILING(PERCENTRANK.INC($D$3:$D$6000,D2948,4)*5+0.000001,1)))</f>
        <v/>
      </c>
      <c r="H2948">
        <f>IF(A2948="","",E2948&amp;F2948&amp;G2948)</f>
        <v/>
      </c>
      <c r="I2948">
        <f>IF(A2948="","",IF(AND(E2948&gt;=4,F2948&gt;=4,G2948&gt;=4),"Juara",IF(AND(F2948&gt;=4,E2948&gt;=3),"Setia",IF(AND(E2948=5,F2948&lt;=2,G2948&gt;=3),"Berpotensi",IF(AND(E2948&lt;=3,E2948&gt;=2,F2948&gt;=3),"Rawan",IF(AND(E2948&lt;=2,F2948&lt;=2),"Tidur","Umum"))))))</f>
        <v/>
      </c>
    </row>
    <row r="2949">
      <c r="B2949">
        <f>IF(A2949="","",$B$1-MAXIFS(Donasi!$A$2:$A$20000,Donasi!$B$2:$B$20000,A2949))</f>
        <v/>
      </c>
      <c r="C2949">
        <f>IF(A2949="","",COUNTIF(Donasi!$B$2:$B$20000,A2949))</f>
        <v/>
      </c>
      <c r="D2949">
        <f>IF(A2949="","",SUMIF(Donasi!$B$2:$B$20000,A2949,Donasi!$C$2:$C$20000))</f>
        <v/>
      </c>
      <c r="E2949">
        <f>IF(A2949="","",6-CEILING(PERCENTRANK.INC($B$3:$B$6000,B2949,4)*5+0.000001,1))</f>
        <v/>
      </c>
      <c r="F2949">
        <f>IF(A2949="","",MAX(1,CEILING(PERCENTRANK.INC($C$3:$C$6000,C2949,4)*5+0.000001,1)))</f>
        <v/>
      </c>
      <c r="G2949">
        <f>IF(A2949="","",MAX(1,CEILING(PERCENTRANK.INC($D$3:$D$6000,D2949,4)*5+0.000001,1)))</f>
        <v/>
      </c>
      <c r="H2949">
        <f>IF(A2949="","",E2949&amp;F2949&amp;G2949)</f>
        <v/>
      </c>
      <c r="I2949">
        <f>IF(A2949="","",IF(AND(E2949&gt;=4,F2949&gt;=4,G2949&gt;=4),"Juara",IF(AND(F2949&gt;=4,E2949&gt;=3),"Setia",IF(AND(E2949=5,F2949&lt;=2,G2949&gt;=3),"Berpotensi",IF(AND(E2949&lt;=3,E2949&gt;=2,F2949&gt;=3),"Rawan",IF(AND(E2949&lt;=2,F2949&lt;=2),"Tidur","Umum"))))))</f>
        <v/>
      </c>
    </row>
    <row r="2950">
      <c r="B2950">
        <f>IF(A2950="","",$B$1-MAXIFS(Donasi!$A$2:$A$20000,Donasi!$B$2:$B$20000,A2950))</f>
        <v/>
      </c>
      <c r="C2950">
        <f>IF(A2950="","",COUNTIF(Donasi!$B$2:$B$20000,A2950))</f>
        <v/>
      </c>
      <c r="D2950">
        <f>IF(A2950="","",SUMIF(Donasi!$B$2:$B$20000,A2950,Donasi!$C$2:$C$20000))</f>
        <v/>
      </c>
      <c r="E2950">
        <f>IF(A2950="","",6-CEILING(PERCENTRANK.INC($B$3:$B$6000,B2950,4)*5+0.000001,1))</f>
        <v/>
      </c>
      <c r="F2950">
        <f>IF(A2950="","",MAX(1,CEILING(PERCENTRANK.INC($C$3:$C$6000,C2950,4)*5+0.000001,1)))</f>
        <v/>
      </c>
      <c r="G2950">
        <f>IF(A2950="","",MAX(1,CEILING(PERCENTRANK.INC($D$3:$D$6000,D2950,4)*5+0.000001,1)))</f>
        <v/>
      </c>
      <c r="H2950">
        <f>IF(A2950="","",E2950&amp;F2950&amp;G2950)</f>
        <v/>
      </c>
      <c r="I2950">
        <f>IF(A2950="","",IF(AND(E2950&gt;=4,F2950&gt;=4,G2950&gt;=4),"Juara",IF(AND(F2950&gt;=4,E2950&gt;=3),"Setia",IF(AND(E2950=5,F2950&lt;=2,G2950&gt;=3),"Berpotensi",IF(AND(E2950&lt;=3,E2950&gt;=2,F2950&gt;=3),"Rawan",IF(AND(E2950&lt;=2,F2950&lt;=2),"Tidur","Umum"))))))</f>
        <v/>
      </c>
    </row>
    <row r="2951">
      <c r="B2951">
        <f>IF(A2951="","",$B$1-MAXIFS(Donasi!$A$2:$A$20000,Donasi!$B$2:$B$20000,A2951))</f>
        <v/>
      </c>
      <c r="C2951">
        <f>IF(A2951="","",COUNTIF(Donasi!$B$2:$B$20000,A2951))</f>
        <v/>
      </c>
      <c r="D2951">
        <f>IF(A2951="","",SUMIF(Donasi!$B$2:$B$20000,A2951,Donasi!$C$2:$C$20000))</f>
        <v/>
      </c>
      <c r="E2951">
        <f>IF(A2951="","",6-CEILING(PERCENTRANK.INC($B$3:$B$6000,B2951,4)*5+0.000001,1))</f>
        <v/>
      </c>
      <c r="F2951">
        <f>IF(A2951="","",MAX(1,CEILING(PERCENTRANK.INC($C$3:$C$6000,C2951,4)*5+0.000001,1)))</f>
        <v/>
      </c>
      <c r="G2951">
        <f>IF(A2951="","",MAX(1,CEILING(PERCENTRANK.INC($D$3:$D$6000,D2951,4)*5+0.000001,1)))</f>
        <v/>
      </c>
      <c r="H2951">
        <f>IF(A2951="","",E2951&amp;F2951&amp;G2951)</f>
        <v/>
      </c>
      <c r="I2951">
        <f>IF(A2951="","",IF(AND(E2951&gt;=4,F2951&gt;=4,G2951&gt;=4),"Juara",IF(AND(F2951&gt;=4,E2951&gt;=3),"Setia",IF(AND(E2951=5,F2951&lt;=2,G2951&gt;=3),"Berpotensi",IF(AND(E2951&lt;=3,E2951&gt;=2,F2951&gt;=3),"Rawan",IF(AND(E2951&lt;=2,F2951&lt;=2),"Tidur","Umum"))))))</f>
        <v/>
      </c>
    </row>
    <row r="2952">
      <c r="B2952">
        <f>IF(A2952="","",$B$1-MAXIFS(Donasi!$A$2:$A$20000,Donasi!$B$2:$B$20000,A2952))</f>
        <v/>
      </c>
      <c r="C2952">
        <f>IF(A2952="","",COUNTIF(Donasi!$B$2:$B$20000,A2952))</f>
        <v/>
      </c>
      <c r="D2952">
        <f>IF(A2952="","",SUMIF(Donasi!$B$2:$B$20000,A2952,Donasi!$C$2:$C$20000))</f>
        <v/>
      </c>
      <c r="E2952">
        <f>IF(A2952="","",6-CEILING(PERCENTRANK.INC($B$3:$B$6000,B2952,4)*5+0.000001,1))</f>
        <v/>
      </c>
      <c r="F2952">
        <f>IF(A2952="","",MAX(1,CEILING(PERCENTRANK.INC($C$3:$C$6000,C2952,4)*5+0.000001,1)))</f>
        <v/>
      </c>
      <c r="G2952">
        <f>IF(A2952="","",MAX(1,CEILING(PERCENTRANK.INC($D$3:$D$6000,D2952,4)*5+0.000001,1)))</f>
        <v/>
      </c>
      <c r="H2952">
        <f>IF(A2952="","",E2952&amp;F2952&amp;G2952)</f>
        <v/>
      </c>
      <c r="I2952">
        <f>IF(A2952="","",IF(AND(E2952&gt;=4,F2952&gt;=4,G2952&gt;=4),"Juara",IF(AND(F2952&gt;=4,E2952&gt;=3),"Setia",IF(AND(E2952=5,F2952&lt;=2,G2952&gt;=3),"Berpotensi",IF(AND(E2952&lt;=3,E2952&gt;=2,F2952&gt;=3),"Rawan",IF(AND(E2952&lt;=2,F2952&lt;=2),"Tidur","Umum"))))))</f>
        <v/>
      </c>
    </row>
    <row r="2953">
      <c r="B2953">
        <f>IF(A2953="","",$B$1-MAXIFS(Donasi!$A$2:$A$20000,Donasi!$B$2:$B$20000,A2953))</f>
        <v/>
      </c>
      <c r="C2953">
        <f>IF(A2953="","",COUNTIF(Donasi!$B$2:$B$20000,A2953))</f>
        <v/>
      </c>
      <c r="D2953">
        <f>IF(A2953="","",SUMIF(Donasi!$B$2:$B$20000,A2953,Donasi!$C$2:$C$20000))</f>
        <v/>
      </c>
      <c r="E2953">
        <f>IF(A2953="","",6-CEILING(PERCENTRANK.INC($B$3:$B$6000,B2953,4)*5+0.000001,1))</f>
        <v/>
      </c>
      <c r="F2953">
        <f>IF(A2953="","",MAX(1,CEILING(PERCENTRANK.INC($C$3:$C$6000,C2953,4)*5+0.000001,1)))</f>
        <v/>
      </c>
      <c r="G2953">
        <f>IF(A2953="","",MAX(1,CEILING(PERCENTRANK.INC($D$3:$D$6000,D2953,4)*5+0.000001,1)))</f>
        <v/>
      </c>
      <c r="H2953">
        <f>IF(A2953="","",E2953&amp;F2953&amp;G2953)</f>
        <v/>
      </c>
      <c r="I2953">
        <f>IF(A2953="","",IF(AND(E2953&gt;=4,F2953&gt;=4,G2953&gt;=4),"Juara",IF(AND(F2953&gt;=4,E2953&gt;=3),"Setia",IF(AND(E2953=5,F2953&lt;=2,G2953&gt;=3),"Berpotensi",IF(AND(E2953&lt;=3,E2953&gt;=2,F2953&gt;=3),"Rawan",IF(AND(E2953&lt;=2,F2953&lt;=2),"Tidur","Umum"))))))</f>
        <v/>
      </c>
    </row>
    <row r="2954">
      <c r="B2954">
        <f>IF(A2954="","",$B$1-MAXIFS(Donasi!$A$2:$A$20000,Donasi!$B$2:$B$20000,A2954))</f>
        <v/>
      </c>
      <c r="C2954">
        <f>IF(A2954="","",COUNTIF(Donasi!$B$2:$B$20000,A2954))</f>
        <v/>
      </c>
      <c r="D2954">
        <f>IF(A2954="","",SUMIF(Donasi!$B$2:$B$20000,A2954,Donasi!$C$2:$C$20000))</f>
        <v/>
      </c>
      <c r="E2954">
        <f>IF(A2954="","",6-CEILING(PERCENTRANK.INC($B$3:$B$6000,B2954,4)*5+0.000001,1))</f>
        <v/>
      </c>
      <c r="F2954">
        <f>IF(A2954="","",MAX(1,CEILING(PERCENTRANK.INC($C$3:$C$6000,C2954,4)*5+0.000001,1)))</f>
        <v/>
      </c>
      <c r="G2954">
        <f>IF(A2954="","",MAX(1,CEILING(PERCENTRANK.INC($D$3:$D$6000,D2954,4)*5+0.000001,1)))</f>
        <v/>
      </c>
      <c r="H2954">
        <f>IF(A2954="","",E2954&amp;F2954&amp;G2954)</f>
        <v/>
      </c>
      <c r="I2954">
        <f>IF(A2954="","",IF(AND(E2954&gt;=4,F2954&gt;=4,G2954&gt;=4),"Juara",IF(AND(F2954&gt;=4,E2954&gt;=3),"Setia",IF(AND(E2954=5,F2954&lt;=2,G2954&gt;=3),"Berpotensi",IF(AND(E2954&lt;=3,E2954&gt;=2,F2954&gt;=3),"Rawan",IF(AND(E2954&lt;=2,F2954&lt;=2),"Tidur","Umum"))))))</f>
        <v/>
      </c>
    </row>
    <row r="2955">
      <c r="B2955">
        <f>IF(A2955="","",$B$1-MAXIFS(Donasi!$A$2:$A$20000,Donasi!$B$2:$B$20000,A2955))</f>
        <v/>
      </c>
      <c r="C2955">
        <f>IF(A2955="","",COUNTIF(Donasi!$B$2:$B$20000,A2955))</f>
        <v/>
      </c>
      <c r="D2955">
        <f>IF(A2955="","",SUMIF(Donasi!$B$2:$B$20000,A2955,Donasi!$C$2:$C$20000))</f>
        <v/>
      </c>
      <c r="E2955">
        <f>IF(A2955="","",6-CEILING(PERCENTRANK.INC($B$3:$B$6000,B2955,4)*5+0.000001,1))</f>
        <v/>
      </c>
      <c r="F2955">
        <f>IF(A2955="","",MAX(1,CEILING(PERCENTRANK.INC($C$3:$C$6000,C2955,4)*5+0.000001,1)))</f>
        <v/>
      </c>
      <c r="G2955">
        <f>IF(A2955="","",MAX(1,CEILING(PERCENTRANK.INC($D$3:$D$6000,D2955,4)*5+0.000001,1)))</f>
        <v/>
      </c>
      <c r="H2955">
        <f>IF(A2955="","",E2955&amp;F2955&amp;G2955)</f>
        <v/>
      </c>
      <c r="I2955">
        <f>IF(A2955="","",IF(AND(E2955&gt;=4,F2955&gt;=4,G2955&gt;=4),"Juara",IF(AND(F2955&gt;=4,E2955&gt;=3),"Setia",IF(AND(E2955=5,F2955&lt;=2,G2955&gt;=3),"Berpotensi",IF(AND(E2955&lt;=3,E2955&gt;=2,F2955&gt;=3),"Rawan",IF(AND(E2955&lt;=2,F2955&lt;=2),"Tidur","Umum"))))))</f>
        <v/>
      </c>
    </row>
    <row r="2956">
      <c r="B2956">
        <f>IF(A2956="","",$B$1-MAXIFS(Donasi!$A$2:$A$20000,Donasi!$B$2:$B$20000,A2956))</f>
        <v/>
      </c>
      <c r="C2956">
        <f>IF(A2956="","",COUNTIF(Donasi!$B$2:$B$20000,A2956))</f>
        <v/>
      </c>
      <c r="D2956">
        <f>IF(A2956="","",SUMIF(Donasi!$B$2:$B$20000,A2956,Donasi!$C$2:$C$20000))</f>
        <v/>
      </c>
      <c r="E2956">
        <f>IF(A2956="","",6-CEILING(PERCENTRANK.INC($B$3:$B$6000,B2956,4)*5+0.000001,1))</f>
        <v/>
      </c>
      <c r="F2956">
        <f>IF(A2956="","",MAX(1,CEILING(PERCENTRANK.INC($C$3:$C$6000,C2956,4)*5+0.000001,1)))</f>
        <v/>
      </c>
      <c r="G2956">
        <f>IF(A2956="","",MAX(1,CEILING(PERCENTRANK.INC($D$3:$D$6000,D2956,4)*5+0.000001,1)))</f>
        <v/>
      </c>
      <c r="H2956">
        <f>IF(A2956="","",E2956&amp;F2956&amp;G2956)</f>
        <v/>
      </c>
      <c r="I2956">
        <f>IF(A2956="","",IF(AND(E2956&gt;=4,F2956&gt;=4,G2956&gt;=4),"Juara",IF(AND(F2956&gt;=4,E2956&gt;=3),"Setia",IF(AND(E2956=5,F2956&lt;=2,G2956&gt;=3),"Berpotensi",IF(AND(E2956&lt;=3,E2956&gt;=2,F2956&gt;=3),"Rawan",IF(AND(E2956&lt;=2,F2956&lt;=2),"Tidur","Umum"))))))</f>
        <v/>
      </c>
    </row>
    <row r="2957">
      <c r="B2957">
        <f>IF(A2957="","",$B$1-MAXIFS(Donasi!$A$2:$A$20000,Donasi!$B$2:$B$20000,A2957))</f>
        <v/>
      </c>
      <c r="C2957">
        <f>IF(A2957="","",COUNTIF(Donasi!$B$2:$B$20000,A2957))</f>
        <v/>
      </c>
      <c r="D2957">
        <f>IF(A2957="","",SUMIF(Donasi!$B$2:$B$20000,A2957,Donasi!$C$2:$C$20000))</f>
        <v/>
      </c>
      <c r="E2957">
        <f>IF(A2957="","",6-CEILING(PERCENTRANK.INC($B$3:$B$6000,B2957,4)*5+0.000001,1))</f>
        <v/>
      </c>
      <c r="F2957">
        <f>IF(A2957="","",MAX(1,CEILING(PERCENTRANK.INC($C$3:$C$6000,C2957,4)*5+0.000001,1)))</f>
        <v/>
      </c>
      <c r="G2957">
        <f>IF(A2957="","",MAX(1,CEILING(PERCENTRANK.INC($D$3:$D$6000,D2957,4)*5+0.000001,1)))</f>
        <v/>
      </c>
      <c r="H2957">
        <f>IF(A2957="","",E2957&amp;F2957&amp;G2957)</f>
        <v/>
      </c>
      <c r="I2957">
        <f>IF(A2957="","",IF(AND(E2957&gt;=4,F2957&gt;=4,G2957&gt;=4),"Juara",IF(AND(F2957&gt;=4,E2957&gt;=3),"Setia",IF(AND(E2957=5,F2957&lt;=2,G2957&gt;=3),"Berpotensi",IF(AND(E2957&lt;=3,E2957&gt;=2,F2957&gt;=3),"Rawan",IF(AND(E2957&lt;=2,F2957&lt;=2),"Tidur","Umum"))))))</f>
        <v/>
      </c>
    </row>
    <row r="2958">
      <c r="B2958">
        <f>IF(A2958="","",$B$1-MAXIFS(Donasi!$A$2:$A$20000,Donasi!$B$2:$B$20000,A2958))</f>
        <v/>
      </c>
      <c r="C2958">
        <f>IF(A2958="","",COUNTIF(Donasi!$B$2:$B$20000,A2958))</f>
        <v/>
      </c>
      <c r="D2958">
        <f>IF(A2958="","",SUMIF(Donasi!$B$2:$B$20000,A2958,Donasi!$C$2:$C$20000))</f>
        <v/>
      </c>
      <c r="E2958">
        <f>IF(A2958="","",6-CEILING(PERCENTRANK.INC($B$3:$B$6000,B2958,4)*5+0.000001,1))</f>
        <v/>
      </c>
      <c r="F2958">
        <f>IF(A2958="","",MAX(1,CEILING(PERCENTRANK.INC($C$3:$C$6000,C2958,4)*5+0.000001,1)))</f>
        <v/>
      </c>
      <c r="G2958">
        <f>IF(A2958="","",MAX(1,CEILING(PERCENTRANK.INC($D$3:$D$6000,D2958,4)*5+0.000001,1)))</f>
        <v/>
      </c>
      <c r="H2958">
        <f>IF(A2958="","",E2958&amp;F2958&amp;G2958)</f>
        <v/>
      </c>
      <c r="I2958">
        <f>IF(A2958="","",IF(AND(E2958&gt;=4,F2958&gt;=4,G2958&gt;=4),"Juara",IF(AND(F2958&gt;=4,E2958&gt;=3),"Setia",IF(AND(E2958=5,F2958&lt;=2,G2958&gt;=3),"Berpotensi",IF(AND(E2958&lt;=3,E2958&gt;=2,F2958&gt;=3),"Rawan",IF(AND(E2958&lt;=2,F2958&lt;=2),"Tidur","Umum"))))))</f>
        <v/>
      </c>
    </row>
    <row r="2959">
      <c r="B2959">
        <f>IF(A2959="","",$B$1-MAXIFS(Donasi!$A$2:$A$20000,Donasi!$B$2:$B$20000,A2959))</f>
        <v/>
      </c>
      <c r="C2959">
        <f>IF(A2959="","",COUNTIF(Donasi!$B$2:$B$20000,A2959))</f>
        <v/>
      </c>
      <c r="D2959">
        <f>IF(A2959="","",SUMIF(Donasi!$B$2:$B$20000,A2959,Donasi!$C$2:$C$20000))</f>
        <v/>
      </c>
      <c r="E2959">
        <f>IF(A2959="","",6-CEILING(PERCENTRANK.INC($B$3:$B$6000,B2959,4)*5+0.000001,1))</f>
        <v/>
      </c>
      <c r="F2959">
        <f>IF(A2959="","",MAX(1,CEILING(PERCENTRANK.INC($C$3:$C$6000,C2959,4)*5+0.000001,1)))</f>
        <v/>
      </c>
      <c r="G2959">
        <f>IF(A2959="","",MAX(1,CEILING(PERCENTRANK.INC($D$3:$D$6000,D2959,4)*5+0.000001,1)))</f>
        <v/>
      </c>
      <c r="H2959">
        <f>IF(A2959="","",E2959&amp;F2959&amp;G2959)</f>
        <v/>
      </c>
      <c r="I2959">
        <f>IF(A2959="","",IF(AND(E2959&gt;=4,F2959&gt;=4,G2959&gt;=4),"Juara",IF(AND(F2959&gt;=4,E2959&gt;=3),"Setia",IF(AND(E2959=5,F2959&lt;=2,G2959&gt;=3),"Berpotensi",IF(AND(E2959&lt;=3,E2959&gt;=2,F2959&gt;=3),"Rawan",IF(AND(E2959&lt;=2,F2959&lt;=2),"Tidur","Umum"))))))</f>
        <v/>
      </c>
    </row>
    <row r="2960">
      <c r="B2960">
        <f>IF(A2960="","",$B$1-MAXIFS(Donasi!$A$2:$A$20000,Donasi!$B$2:$B$20000,A2960))</f>
        <v/>
      </c>
      <c r="C2960">
        <f>IF(A2960="","",COUNTIF(Donasi!$B$2:$B$20000,A2960))</f>
        <v/>
      </c>
      <c r="D2960">
        <f>IF(A2960="","",SUMIF(Donasi!$B$2:$B$20000,A2960,Donasi!$C$2:$C$20000))</f>
        <v/>
      </c>
      <c r="E2960">
        <f>IF(A2960="","",6-CEILING(PERCENTRANK.INC($B$3:$B$6000,B2960,4)*5+0.000001,1))</f>
        <v/>
      </c>
      <c r="F2960">
        <f>IF(A2960="","",MAX(1,CEILING(PERCENTRANK.INC($C$3:$C$6000,C2960,4)*5+0.000001,1)))</f>
        <v/>
      </c>
      <c r="G2960">
        <f>IF(A2960="","",MAX(1,CEILING(PERCENTRANK.INC($D$3:$D$6000,D2960,4)*5+0.000001,1)))</f>
        <v/>
      </c>
      <c r="H2960">
        <f>IF(A2960="","",E2960&amp;F2960&amp;G2960)</f>
        <v/>
      </c>
      <c r="I2960">
        <f>IF(A2960="","",IF(AND(E2960&gt;=4,F2960&gt;=4,G2960&gt;=4),"Juara",IF(AND(F2960&gt;=4,E2960&gt;=3),"Setia",IF(AND(E2960=5,F2960&lt;=2,G2960&gt;=3),"Berpotensi",IF(AND(E2960&lt;=3,E2960&gt;=2,F2960&gt;=3),"Rawan",IF(AND(E2960&lt;=2,F2960&lt;=2),"Tidur","Umum"))))))</f>
        <v/>
      </c>
    </row>
    <row r="2961">
      <c r="B2961">
        <f>IF(A2961="","",$B$1-MAXIFS(Donasi!$A$2:$A$20000,Donasi!$B$2:$B$20000,A2961))</f>
        <v/>
      </c>
      <c r="C2961">
        <f>IF(A2961="","",COUNTIF(Donasi!$B$2:$B$20000,A2961))</f>
        <v/>
      </c>
      <c r="D2961">
        <f>IF(A2961="","",SUMIF(Donasi!$B$2:$B$20000,A2961,Donasi!$C$2:$C$20000))</f>
        <v/>
      </c>
      <c r="E2961">
        <f>IF(A2961="","",6-CEILING(PERCENTRANK.INC($B$3:$B$6000,B2961,4)*5+0.000001,1))</f>
        <v/>
      </c>
      <c r="F2961">
        <f>IF(A2961="","",MAX(1,CEILING(PERCENTRANK.INC($C$3:$C$6000,C2961,4)*5+0.000001,1)))</f>
        <v/>
      </c>
      <c r="G2961">
        <f>IF(A2961="","",MAX(1,CEILING(PERCENTRANK.INC($D$3:$D$6000,D2961,4)*5+0.000001,1)))</f>
        <v/>
      </c>
      <c r="H2961">
        <f>IF(A2961="","",E2961&amp;F2961&amp;G2961)</f>
        <v/>
      </c>
      <c r="I2961">
        <f>IF(A2961="","",IF(AND(E2961&gt;=4,F2961&gt;=4,G2961&gt;=4),"Juara",IF(AND(F2961&gt;=4,E2961&gt;=3),"Setia",IF(AND(E2961=5,F2961&lt;=2,G2961&gt;=3),"Berpotensi",IF(AND(E2961&lt;=3,E2961&gt;=2,F2961&gt;=3),"Rawan",IF(AND(E2961&lt;=2,F2961&lt;=2),"Tidur","Umum"))))))</f>
        <v/>
      </c>
    </row>
    <row r="2962">
      <c r="B2962">
        <f>IF(A2962="","",$B$1-MAXIFS(Donasi!$A$2:$A$20000,Donasi!$B$2:$B$20000,A2962))</f>
        <v/>
      </c>
      <c r="C2962">
        <f>IF(A2962="","",COUNTIF(Donasi!$B$2:$B$20000,A2962))</f>
        <v/>
      </c>
      <c r="D2962">
        <f>IF(A2962="","",SUMIF(Donasi!$B$2:$B$20000,A2962,Donasi!$C$2:$C$20000))</f>
        <v/>
      </c>
      <c r="E2962">
        <f>IF(A2962="","",6-CEILING(PERCENTRANK.INC($B$3:$B$6000,B2962,4)*5+0.000001,1))</f>
        <v/>
      </c>
      <c r="F2962">
        <f>IF(A2962="","",MAX(1,CEILING(PERCENTRANK.INC($C$3:$C$6000,C2962,4)*5+0.000001,1)))</f>
        <v/>
      </c>
      <c r="G2962">
        <f>IF(A2962="","",MAX(1,CEILING(PERCENTRANK.INC($D$3:$D$6000,D2962,4)*5+0.000001,1)))</f>
        <v/>
      </c>
      <c r="H2962">
        <f>IF(A2962="","",E2962&amp;F2962&amp;G2962)</f>
        <v/>
      </c>
      <c r="I2962">
        <f>IF(A2962="","",IF(AND(E2962&gt;=4,F2962&gt;=4,G2962&gt;=4),"Juara",IF(AND(F2962&gt;=4,E2962&gt;=3),"Setia",IF(AND(E2962=5,F2962&lt;=2,G2962&gt;=3),"Berpotensi",IF(AND(E2962&lt;=3,E2962&gt;=2,F2962&gt;=3),"Rawan",IF(AND(E2962&lt;=2,F2962&lt;=2),"Tidur","Umum"))))))</f>
        <v/>
      </c>
    </row>
    <row r="2963">
      <c r="B2963">
        <f>IF(A2963="","",$B$1-MAXIFS(Donasi!$A$2:$A$20000,Donasi!$B$2:$B$20000,A2963))</f>
        <v/>
      </c>
      <c r="C2963">
        <f>IF(A2963="","",COUNTIF(Donasi!$B$2:$B$20000,A2963))</f>
        <v/>
      </c>
      <c r="D2963">
        <f>IF(A2963="","",SUMIF(Donasi!$B$2:$B$20000,A2963,Donasi!$C$2:$C$20000))</f>
        <v/>
      </c>
      <c r="E2963">
        <f>IF(A2963="","",6-CEILING(PERCENTRANK.INC($B$3:$B$6000,B2963,4)*5+0.000001,1))</f>
        <v/>
      </c>
      <c r="F2963">
        <f>IF(A2963="","",MAX(1,CEILING(PERCENTRANK.INC($C$3:$C$6000,C2963,4)*5+0.000001,1)))</f>
        <v/>
      </c>
      <c r="G2963">
        <f>IF(A2963="","",MAX(1,CEILING(PERCENTRANK.INC($D$3:$D$6000,D2963,4)*5+0.000001,1)))</f>
        <v/>
      </c>
      <c r="H2963">
        <f>IF(A2963="","",E2963&amp;F2963&amp;G2963)</f>
        <v/>
      </c>
      <c r="I2963">
        <f>IF(A2963="","",IF(AND(E2963&gt;=4,F2963&gt;=4,G2963&gt;=4),"Juara",IF(AND(F2963&gt;=4,E2963&gt;=3),"Setia",IF(AND(E2963=5,F2963&lt;=2,G2963&gt;=3),"Berpotensi",IF(AND(E2963&lt;=3,E2963&gt;=2,F2963&gt;=3),"Rawan",IF(AND(E2963&lt;=2,F2963&lt;=2),"Tidur","Umum"))))))</f>
        <v/>
      </c>
    </row>
    <row r="2964">
      <c r="B2964">
        <f>IF(A2964="","",$B$1-MAXIFS(Donasi!$A$2:$A$20000,Donasi!$B$2:$B$20000,A2964))</f>
        <v/>
      </c>
      <c r="C2964">
        <f>IF(A2964="","",COUNTIF(Donasi!$B$2:$B$20000,A2964))</f>
        <v/>
      </c>
      <c r="D2964">
        <f>IF(A2964="","",SUMIF(Donasi!$B$2:$B$20000,A2964,Donasi!$C$2:$C$20000))</f>
        <v/>
      </c>
      <c r="E2964">
        <f>IF(A2964="","",6-CEILING(PERCENTRANK.INC($B$3:$B$6000,B2964,4)*5+0.000001,1))</f>
        <v/>
      </c>
      <c r="F2964">
        <f>IF(A2964="","",MAX(1,CEILING(PERCENTRANK.INC($C$3:$C$6000,C2964,4)*5+0.000001,1)))</f>
        <v/>
      </c>
      <c r="G2964">
        <f>IF(A2964="","",MAX(1,CEILING(PERCENTRANK.INC($D$3:$D$6000,D2964,4)*5+0.000001,1)))</f>
        <v/>
      </c>
      <c r="H2964">
        <f>IF(A2964="","",E2964&amp;F2964&amp;G2964)</f>
        <v/>
      </c>
      <c r="I2964">
        <f>IF(A2964="","",IF(AND(E2964&gt;=4,F2964&gt;=4,G2964&gt;=4),"Juara",IF(AND(F2964&gt;=4,E2964&gt;=3),"Setia",IF(AND(E2964=5,F2964&lt;=2,G2964&gt;=3),"Berpotensi",IF(AND(E2964&lt;=3,E2964&gt;=2,F2964&gt;=3),"Rawan",IF(AND(E2964&lt;=2,F2964&lt;=2),"Tidur","Umum"))))))</f>
        <v/>
      </c>
    </row>
    <row r="2965">
      <c r="B2965">
        <f>IF(A2965="","",$B$1-MAXIFS(Donasi!$A$2:$A$20000,Donasi!$B$2:$B$20000,A2965))</f>
        <v/>
      </c>
      <c r="C2965">
        <f>IF(A2965="","",COUNTIF(Donasi!$B$2:$B$20000,A2965))</f>
        <v/>
      </c>
      <c r="D2965">
        <f>IF(A2965="","",SUMIF(Donasi!$B$2:$B$20000,A2965,Donasi!$C$2:$C$20000))</f>
        <v/>
      </c>
      <c r="E2965">
        <f>IF(A2965="","",6-CEILING(PERCENTRANK.INC($B$3:$B$6000,B2965,4)*5+0.000001,1))</f>
        <v/>
      </c>
      <c r="F2965">
        <f>IF(A2965="","",MAX(1,CEILING(PERCENTRANK.INC($C$3:$C$6000,C2965,4)*5+0.000001,1)))</f>
        <v/>
      </c>
      <c r="G2965">
        <f>IF(A2965="","",MAX(1,CEILING(PERCENTRANK.INC($D$3:$D$6000,D2965,4)*5+0.000001,1)))</f>
        <v/>
      </c>
      <c r="H2965">
        <f>IF(A2965="","",E2965&amp;F2965&amp;G2965)</f>
        <v/>
      </c>
      <c r="I2965">
        <f>IF(A2965="","",IF(AND(E2965&gt;=4,F2965&gt;=4,G2965&gt;=4),"Juara",IF(AND(F2965&gt;=4,E2965&gt;=3),"Setia",IF(AND(E2965=5,F2965&lt;=2,G2965&gt;=3),"Berpotensi",IF(AND(E2965&lt;=3,E2965&gt;=2,F2965&gt;=3),"Rawan",IF(AND(E2965&lt;=2,F2965&lt;=2),"Tidur","Umum"))))))</f>
        <v/>
      </c>
    </row>
    <row r="2966">
      <c r="B2966">
        <f>IF(A2966="","",$B$1-MAXIFS(Donasi!$A$2:$A$20000,Donasi!$B$2:$B$20000,A2966))</f>
        <v/>
      </c>
      <c r="C2966">
        <f>IF(A2966="","",COUNTIF(Donasi!$B$2:$B$20000,A2966))</f>
        <v/>
      </c>
      <c r="D2966">
        <f>IF(A2966="","",SUMIF(Donasi!$B$2:$B$20000,A2966,Donasi!$C$2:$C$20000))</f>
        <v/>
      </c>
      <c r="E2966">
        <f>IF(A2966="","",6-CEILING(PERCENTRANK.INC($B$3:$B$6000,B2966,4)*5+0.000001,1))</f>
        <v/>
      </c>
      <c r="F2966">
        <f>IF(A2966="","",MAX(1,CEILING(PERCENTRANK.INC($C$3:$C$6000,C2966,4)*5+0.000001,1)))</f>
        <v/>
      </c>
      <c r="G2966">
        <f>IF(A2966="","",MAX(1,CEILING(PERCENTRANK.INC($D$3:$D$6000,D2966,4)*5+0.000001,1)))</f>
        <v/>
      </c>
      <c r="H2966">
        <f>IF(A2966="","",E2966&amp;F2966&amp;G2966)</f>
        <v/>
      </c>
      <c r="I2966">
        <f>IF(A2966="","",IF(AND(E2966&gt;=4,F2966&gt;=4,G2966&gt;=4),"Juara",IF(AND(F2966&gt;=4,E2966&gt;=3),"Setia",IF(AND(E2966=5,F2966&lt;=2,G2966&gt;=3),"Berpotensi",IF(AND(E2966&lt;=3,E2966&gt;=2,F2966&gt;=3),"Rawan",IF(AND(E2966&lt;=2,F2966&lt;=2),"Tidur","Umum"))))))</f>
        <v/>
      </c>
    </row>
    <row r="2967">
      <c r="B2967">
        <f>IF(A2967="","",$B$1-MAXIFS(Donasi!$A$2:$A$20000,Donasi!$B$2:$B$20000,A2967))</f>
        <v/>
      </c>
      <c r="C2967">
        <f>IF(A2967="","",COUNTIF(Donasi!$B$2:$B$20000,A2967))</f>
        <v/>
      </c>
      <c r="D2967">
        <f>IF(A2967="","",SUMIF(Donasi!$B$2:$B$20000,A2967,Donasi!$C$2:$C$20000))</f>
        <v/>
      </c>
      <c r="E2967">
        <f>IF(A2967="","",6-CEILING(PERCENTRANK.INC($B$3:$B$6000,B2967,4)*5+0.000001,1))</f>
        <v/>
      </c>
      <c r="F2967">
        <f>IF(A2967="","",MAX(1,CEILING(PERCENTRANK.INC($C$3:$C$6000,C2967,4)*5+0.000001,1)))</f>
        <v/>
      </c>
      <c r="G2967">
        <f>IF(A2967="","",MAX(1,CEILING(PERCENTRANK.INC($D$3:$D$6000,D2967,4)*5+0.000001,1)))</f>
        <v/>
      </c>
      <c r="H2967">
        <f>IF(A2967="","",E2967&amp;F2967&amp;G2967)</f>
        <v/>
      </c>
      <c r="I2967">
        <f>IF(A2967="","",IF(AND(E2967&gt;=4,F2967&gt;=4,G2967&gt;=4),"Juara",IF(AND(F2967&gt;=4,E2967&gt;=3),"Setia",IF(AND(E2967=5,F2967&lt;=2,G2967&gt;=3),"Berpotensi",IF(AND(E2967&lt;=3,E2967&gt;=2,F2967&gt;=3),"Rawan",IF(AND(E2967&lt;=2,F2967&lt;=2),"Tidur","Umum"))))))</f>
        <v/>
      </c>
    </row>
    <row r="2968">
      <c r="B2968">
        <f>IF(A2968="","",$B$1-MAXIFS(Donasi!$A$2:$A$20000,Donasi!$B$2:$B$20000,A2968))</f>
        <v/>
      </c>
      <c r="C2968">
        <f>IF(A2968="","",COUNTIF(Donasi!$B$2:$B$20000,A2968))</f>
        <v/>
      </c>
      <c r="D2968">
        <f>IF(A2968="","",SUMIF(Donasi!$B$2:$B$20000,A2968,Donasi!$C$2:$C$20000))</f>
        <v/>
      </c>
      <c r="E2968">
        <f>IF(A2968="","",6-CEILING(PERCENTRANK.INC($B$3:$B$6000,B2968,4)*5+0.000001,1))</f>
        <v/>
      </c>
      <c r="F2968">
        <f>IF(A2968="","",MAX(1,CEILING(PERCENTRANK.INC($C$3:$C$6000,C2968,4)*5+0.000001,1)))</f>
        <v/>
      </c>
      <c r="G2968">
        <f>IF(A2968="","",MAX(1,CEILING(PERCENTRANK.INC($D$3:$D$6000,D2968,4)*5+0.000001,1)))</f>
        <v/>
      </c>
      <c r="H2968">
        <f>IF(A2968="","",E2968&amp;F2968&amp;G2968)</f>
        <v/>
      </c>
      <c r="I2968">
        <f>IF(A2968="","",IF(AND(E2968&gt;=4,F2968&gt;=4,G2968&gt;=4),"Juara",IF(AND(F2968&gt;=4,E2968&gt;=3),"Setia",IF(AND(E2968=5,F2968&lt;=2,G2968&gt;=3),"Berpotensi",IF(AND(E2968&lt;=3,E2968&gt;=2,F2968&gt;=3),"Rawan",IF(AND(E2968&lt;=2,F2968&lt;=2),"Tidur","Umum"))))))</f>
        <v/>
      </c>
    </row>
    <row r="2969">
      <c r="B2969">
        <f>IF(A2969="","",$B$1-MAXIFS(Donasi!$A$2:$A$20000,Donasi!$B$2:$B$20000,A2969))</f>
        <v/>
      </c>
      <c r="C2969">
        <f>IF(A2969="","",COUNTIF(Donasi!$B$2:$B$20000,A2969))</f>
        <v/>
      </c>
      <c r="D2969">
        <f>IF(A2969="","",SUMIF(Donasi!$B$2:$B$20000,A2969,Donasi!$C$2:$C$20000))</f>
        <v/>
      </c>
      <c r="E2969">
        <f>IF(A2969="","",6-CEILING(PERCENTRANK.INC($B$3:$B$6000,B2969,4)*5+0.000001,1))</f>
        <v/>
      </c>
      <c r="F2969">
        <f>IF(A2969="","",MAX(1,CEILING(PERCENTRANK.INC($C$3:$C$6000,C2969,4)*5+0.000001,1)))</f>
        <v/>
      </c>
      <c r="G2969">
        <f>IF(A2969="","",MAX(1,CEILING(PERCENTRANK.INC($D$3:$D$6000,D2969,4)*5+0.000001,1)))</f>
        <v/>
      </c>
      <c r="H2969">
        <f>IF(A2969="","",E2969&amp;F2969&amp;G2969)</f>
        <v/>
      </c>
      <c r="I2969">
        <f>IF(A2969="","",IF(AND(E2969&gt;=4,F2969&gt;=4,G2969&gt;=4),"Juara",IF(AND(F2969&gt;=4,E2969&gt;=3),"Setia",IF(AND(E2969=5,F2969&lt;=2,G2969&gt;=3),"Berpotensi",IF(AND(E2969&lt;=3,E2969&gt;=2,F2969&gt;=3),"Rawan",IF(AND(E2969&lt;=2,F2969&lt;=2),"Tidur","Umum"))))))</f>
        <v/>
      </c>
    </row>
    <row r="2970">
      <c r="B2970">
        <f>IF(A2970="","",$B$1-MAXIFS(Donasi!$A$2:$A$20000,Donasi!$B$2:$B$20000,A2970))</f>
        <v/>
      </c>
      <c r="C2970">
        <f>IF(A2970="","",COUNTIF(Donasi!$B$2:$B$20000,A2970))</f>
        <v/>
      </c>
      <c r="D2970">
        <f>IF(A2970="","",SUMIF(Donasi!$B$2:$B$20000,A2970,Donasi!$C$2:$C$20000))</f>
        <v/>
      </c>
      <c r="E2970">
        <f>IF(A2970="","",6-CEILING(PERCENTRANK.INC($B$3:$B$6000,B2970,4)*5+0.000001,1))</f>
        <v/>
      </c>
      <c r="F2970">
        <f>IF(A2970="","",MAX(1,CEILING(PERCENTRANK.INC($C$3:$C$6000,C2970,4)*5+0.000001,1)))</f>
        <v/>
      </c>
      <c r="G2970">
        <f>IF(A2970="","",MAX(1,CEILING(PERCENTRANK.INC($D$3:$D$6000,D2970,4)*5+0.000001,1)))</f>
        <v/>
      </c>
      <c r="H2970">
        <f>IF(A2970="","",E2970&amp;F2970&amp;G2970)</f>
        <v/>
      </c>
      <c r="I2970">
        <f>IF(A2970="","",IF(AND(E2970&gt;=4,F2970&gt;=4,G2970&gt;=4),"Juara",IF(AND(F2970&gt;=4,E2970&gt;=3),"Setia",IF(AND(E2970=5,F2970&lt;=2,G2970&gt;=3),"Berpotensi",IF(AND(E2970&lt;=3,E2970&gt;=2,F2970&gt;=3),"Rawan",IF(AND(E2970&lt;=2,F2970&lt;=2),"Tidur","Umum"))))))</f>
        <v/>
      </c>
    </row>
    <row r="2971">
      <c r="B2971">
        <f>IF(A2971="","",$B$1-MAXIFS(Donasi!$A$2:$A$20000,Donasi!$B$2:$B$20000,A2971))</f>
        <v/>
      </c>
      <c r="C2971">
        <f>IF(A2971="","",COUNTIF(Donasi!$B$2:$B$20000,A2971))</f>
        <v/>
      </c>
      <c r="D2971">
        <f>IF(A2971="","",SUMIF(Donasi!$B$2:$B$20000,A2971,Donasi!$C$2:$C$20000))</f>
        <v/>
      </c>
      <c r="E2971">
        <f>IF(A2971="","",6-CEILING(PERCENTRANK.INC($B$3:$B$6000,B2971,4)*5+0.000001,1))</f>
        <v/>
      </c>
      <c r="F2971">
        <f>IF(A2971="","",MAX(1,CEILING(PERCENTRANK.INC($C$3:$C$6000,C2971,4)*5+0.000001,1)))</f>
        <v/>
      </c>
      <c r="G2971">
        <f>IF(A2971="","",MAX(1,CEILING(PERCENTRANK.INC($D$3:$D$6000,D2971,4)*5+0.000001,1)))</f>
        <v/>
      </c>
      <c r="H2971">
        <f>IF(A2971="","",E2971&amp;F2971&amp;G2971)</f>
        <v/>
      </c>
      <c r="I2971">
        <f>IF(A2971="","",IF(AND(E2971&gt;=4,F2971&gt;=4,G2971&gt;=4),"Juara",IF(AND(F2971&gt;=4,E2971&gt;=3),"Setia",IF(AND(E2971=5,F2971&lt;=2,G2971&gt;=3),"Berpotensi",IF(AND(E2971&lt;=3,E2971&gt;=2,F2971&gt;=3),"Rawan",IF(AND(E2971&lt;=2,F2971&lt;=2),"Tidur","Umum"))))))</f>
        <v/>
      </c>
    </row>
    <row r="2972">
      <c r="B2972">
        <f>IF(A2972="","",$B$1-MAXIFS(Donasi!$A$2:$A$20000,Donasi!$B$2:$B$20000,A2972))</f>
        <v/>
      </c>
      <c r="C2972">
        <f>IF(A2972="","",COUNTIF(Donasi!$B$2:$B$20000,A2972))</f>
        <v/>
      </c>
      <c r="D2972">
        <f>IF(A2972="","",SUMIF(Donasi!$B$2:$B$20000,A2972,Donasi!$C$2:$C$20000))</f>
        <v/>
      </c>
      <c r="E2972">
        <f>IF(A2972="","",6-CEILING(PERCENTRANK.INC($B$3:$B$6000,B2972,4)*5+0.000001,1))</f>
        <v/>
      </c>
      <c r="F2972">
        <f>IF(A2972="","",MAX(1,CEILING(PERCENTRANK.INC($C$3:$C$6000,C2972,4)*5+0.000001,1)))</f>
        <v/>
      </c>
      <c r="G2972">
        <f>IF(A2972="","",MAX(1,CEILING(PERCENTRANK.INC($D$3:$D$6000,D2972,4)*5+0.000001,1)))</f>
        <v/>
      </c>
      <c r="H2972">
        <f>IF(A2972="","",E2972&amp;F2972&amp;G2972)</f>
        <v/>
      </c>
      <c r="I2972">
        <f>IF(A2972="","",IF(AND(E2972&gt;=4,F2972&gt;=4,G2972&gt;=4),"Juara",IF(AND(F2972&gt;=4,E2972&gt;=3),"Setia",IF(AND(E2972=5,F2972&lt;=2,G2972&gt;=3),"Berpotensi",IF(AND(E2972&lt;=3,E2972&gt;=2,F2972&gt;=3),"Rawan",IF(AND(E2972&lt;=2,F2972&lt;=2),"Tidur","Umum"))))))</f>
        <v/>
      </c>
    </row>
    <row r="2973">
      <c r="B2973">
        <f>IF(A2973="","",$B$1-MAXIFS(Donasi!$A$2:$A$20000,Donasi!$B$2:$B$20000,A2973))</f>
        <v/>
      </c>
      <c r="C2973">
        <f>IF(A2973="","",COUNTIF(Donasi!$B$2:$B$20000,A2973))</f>
        <v/>
      </c>
      <c r="D2973">
        <f>IF(A2973="","",SUMIF(Donasi!$B$2:$B$20000,A2973,Donasi!$C$2:$C$20000))</f>
        <v/>
      </c>
      <c r="E2973">
        <f>IF(A2973="","",6-CEILING(PERCENTRANK.INC($B$3:$B$6000,B2973,4)*5+0.000001,1))</f>
        <v/>
      </c>
      <c r="F2973">
        <f>IF(A2973="","",MAX(1,CEILING(PERCENTRANK.INC($C$3:$C$6000,C2973,4)*5+0.000001,1)))</f>
        <v/>
      </c>
      <c r="G2973">
        <f>IF(A2973="","",MAX(1,CEILING(PERCENTRANK.INC($D$3:$D$6000,D2973,4)*5+0.000001,1)))</f>
        <v/>
      </c>
      <c r="H2973">
        <f>IF(A2973="","",E2973&amp;F2973&amp;G2973)</f>
        <v/>
      </c>
      <c r="I2973">
        <f>IF(A2973="","",IF(AND(E2973&gt;=4,F2973&gt;=4,G2973&gt;=4),"Juara",IF(AND(F2973&gt;=4,E2973&gt;=3),"Setia",IF(AND(E2973=5,F2973&lt;=2,G2973&gt;=3),"Berpotensi",IF(AND(E2973&lt;=3,E2973&gt;=2,F2973&gt;=3),"Rawan",IF(AND(E2973&lt;=2,F2973&lt;=2),"Tidur","Umum"))))))</f>
        <v/>
      </c>
    </row>
    <row r="2974">
      <c r="B2974">
        <f>IF(A2974="","",$B$1-MAXIFS(Donasi!$A$2:$A$20000,Donasi!$B$2:$B$20000,A2974))</f>
        <v/>
      </c>
      <c r="C2974">
        <f>IF(A2974="","",COUNTIF(Donasi!$B$2:$B$20000,A2974))</f>
        <v/>
      </c>
      <c r="D2974">
        <f>IF(A2974="","",SUMIF(Donasi!$B$2:$B$20000,A2974,Donasi!$C$2:$C$20000))</f>
        <v/>
      </c>
      <c r="E2974">
        <f>IF(A2974="","",6-CEILING(PERCENTRANK.INC($B$3:$B$6000,B2974,4)*5+0.000001,1))</f>
        <v/>
      </c>
      <c r="F2974">
        <f>IF(A2974="","",MAX(1,CEILING(PERCENTRANK.INC($C$3:$C$6000,C2974,4)*5+0.000001,1)))</f>
        <v/>
      </c>
      <c r="G2974">
        <f>IF(A2974="","",MAX(1,CEILING(PERCENTRANK.INC($D$3:$D$6000,D2974,4)*5+0.000001,1)))</f>
        <v/>
      </c>
      <c r="H2974">
        <f>IF(A2974="","",E2974&amp;F2974&amp;G2974)</f>
        <v/>
      </c>
      <c r="I2974">
        <f>IF(A2974="","",IF(AND(E2974&gt;=4,F2974&gt;=4,G2974&gt;=4),"Juara",IF(AND(F2974&gt;=4,E2974&gt;=3),"Setia",IF(AND(E2974=5,F2974&lt;=2,G2974&gt;=3),"Berpotensi",IF(AND(E2974&lt;=3,E2974&gt;=2,F2974&gt;=3),"Rawan",IF(AND(E2974&lt;=2,F2974&lt;=2),"Tidur","Umum"))))))</f>
        <v/>
      </c>
    </row>
    <row r="2975">
      <c r="B2975">
        <f>IF(A2975="","",$B$1-MAXIFS(Donasi!$A$2:$A$20000,Donasi!$B$2:$B$20000,A2975))</f>
        <v/>
      </c>
      <c r="C2975">
        <f>IF(A2975="","",COUNTIF(Donasi!$B$2:$B$20000,A2975))</f>
        <v/>
      </c>
      <c r="D2975">
        <f>IF(A2975="","",SUMIF(Donasi!$B$2:$B$20000,A2975,Donasi!$C$2:$C$20000))</f>
        <v/>
      </c>
      <c r="E2975">
        <f>IF(A2975="","",6-CEILING(PERCENTRANK.INC($B$3:$B$6000,B2975,4)*5+0.000001,1))</f>
        <v/>
      </c>
      <c r="F2975">
        <f>IF(A2975="","",MAX(1,CEILING(PERCENTRANK.INC($C$3:$C$6000,C2975,4)*5+0.000001,1)))</f>
        <v/>
      </c>
      <c r="G2975">
        <f>IF(A2975="","",MAX(1,CEILING(PERCENTRANK.INC($D$3:$D$6000,D2975,4)*5+0.000001,1)))</f>
        <v/>
      </c>
      <c r="H2975">
        <f>IF(A2975="","",E2975&amp;F2975&amp;G2975)</f>
        <v/>
      </c>
      <c r="I2975">
        <f>IF(A2975="","",IF(AND(E2975&gt;=4,F2975&gt;=4,G2975&gt;=4),"Juara",IF(AND(F2975&gt;=4,E2975&gt;=3),"Setia",IF(AND(E2975=5,F2975&lt;=2,G2975&gt;=3),"Berpotensi",IF(AND(E2975&lt;=3,E2975&gt;=2,F2975&gt;=3),"Rawan",IF(AND(E2975&lt;=2,F2975&lt;=2),"Tidur","Umum"))))))</f>
        <v/>
      </c>
    </row>
    <row r="2976">
      <c r="B2976">
        <f>IF(A2976="","",$B$1-MAXIFS(Donasi!$A$2:$A$20000,Donasi!$B$2:$B$20000,A2976))</f>
        <v/>
      </c>
      <c r="C2976">
        <f>IF(A2976="","",COUNTIF(Donasi!$B$2:$B$20000,A2976))</f>
        <v/>
      </c>
      <c r="D2976">
        <f>IF(A2976="","",SUMIF(Donasi!$B$2:$B$20000,A2976,Donasi!$C$2:$C$20000))</f>
        <v/>
      </c>
      <c r="E2976">
        <f>IF(A2976="","",6-CEILING(PERCENTRANK.INC($B$3:$B$6000,B2976,4)*5+0.000001,1))</f>
        <v/>
      </c>
      <c r="F2976">
        <f>IF(A2976="","",MAX(1,CEILING(PERCENTRANK.INC($C$3:$C$6000,C2976,4)*5+0.000001,1)))</f>
        <v/>
      </c>
      <c r="G2976">
        <f>IF(A2976="","",MAX(1,CEILING(PERCENTRANK.INC($D$3:$D$6000,D2976,4)*5+0.000001,1)))</f>
        <v/>
      </c>
      <c r="H2976">
        <f>IF(A2976="","",E2976&amp;F2976&amp;G2976)</f>
        <v/>
      </c>
      <c r="I2976">
        <f>IF(A2976="","",IF(AND(E2976&gt;=4,F2976&gt;=4,G2976&gt;=4),"Juara",IF(AND(F2976&gt;=4,E2976&gt;=3),"Setia",IF(AND(E2976=5,F2976&lt;=2,G2976&gt;=3),"Berpotensi",IF(AND(E2976&lt;=3,E2976&gt;=2,F2976&gt;=3),"Rawan",IF(AND(E2976&lt;=2,F2976&lt;=2),"Tidur","Umum"))))))</f>
        <v/>
      </c>
    </row>
    <row r="2977">
      <c r="B2977">
        <f>IF(A2977="","",$B$1-MAXIFS(Donasi!$A$2:$A$20000,Donasi!$B$2:$B$20000,A2977))</f>
        <v/>
      </c>
      <c r="C2977">
        <f>IF(A2977="","",COUNTIF(Donasi!$B$2:$B$20000,A2977))</f>
        <v/>
      </c>
      <c r="D2977">
        <f>IF(A2977="","",SUMIF(Donasi!$B$2:$B$20000,A2977,Donasi!$C$2:$C$20000))</f>
        <v/>
      </c>
      <c r="E2977">
        <f>IF(A2977="","",6-CEILING(PERCENTRANK.INC($B$3:$B$6000,B2977,4)*5+0.000001,1))</f>
        <v/>
      </c>
      <c r="F2977">
        <f>IF(A2977="","",MAX(1,CEILING(PERCENTRANK.INC($C$3:$C$6000,C2977,4)*5+0.000001,1)))</f>
        <v/>
      </c>
      <c r="G2977">
        <f>IF(A2977="","",MAX(1,CEILING(PERCENTRANK.INC($D$3:$D$6000,D2977,4)*5+0.000001,1)))</f>
        <v/>
      </c>
      <c r="H2977">
        <f>IF(A2977="","",E2977&amp;F2977&amp;G2977)</f>
        <v/>
      </c>
      <c r="I2977">
        <f>IF(A2977="","",IF(AND(E2977&gt;=4,F2977&gt;=4,G2977&gt;=4),"Juara",IF(AND(F2977&gt;=4,E2977&gt;=3),"Setia",IF(AND(E2977=5,F2977&lt;=2,G2977&gt;=3),"Berpotensi",IF(AND(E2977&lt;=3,E2977&gt;=2,F2977&gt;=3),"Rawan",IF(AND(E2977&lt;=2,F2977&lt;=2),"Tidur","Umum"))))))</f>
        <v/>
      </c>
    </row>
    <row r="2978">
      <c r="B2978">
        <f>IF(A2978="","",$B$1-MAXIFS(Donasi!$A$2:$A$20000,Donasi!$B$2:$B$20000,A2978))</f>
        <v/>
      </c>
      <c r="C2978">
        <f>IF(A2978="","",COUNTIF(Donasi!$B$2:$B$20000,A2978))</f>
        <v/>
      </c>
      <c r="D2978">
        <f>IF(A2978="","",SUMIF(Donasi!$B$2:$B$20000,A2978,Donasi!$C$2:$C$20000))</f>
        <v/>
      </c>
      <c r="E2978">
        <f>IF(A2978="","",6-CEILING(PERCENTRANK.INC($B$3:$B$6000,B2978,4)*5+0.000001,1))</f>
        <v/>
      </c>
      <c r="F2978">
        <f>IF(A2978="","",MAX(1,CEILING(PERCENTRANK.INC($C$3:$C$6000,C2978,4)*5+0.000001,1)))</f>
        <v/>
      </c>
      <c r="G2978">
        <f>IF(A2978="","",MAX(1,CEILING(PERCENTRANK.INC($D$3:$D$6000,D2978,4)*5+0.000001,1)))</f>
        <v/>
      </c>
      <c r="H2978">
        <f>IF(A2978="","",E2978&amp;F2978&amp;G2978)</f>
        <v/>
      </c>
      <c r="I2978">
        <f>IF(A2978="","",IF(AND(E2978&gt;=4,F2978&gt;=4,G2978&gt;=4),"Juara",IF(AND(F2978&gt;=4,E2978&gt;=3),"Setia",IF(AND(E2978=5,F2978&lt;=2,G2978&gt;=3),"Berpotensi",IF(AND(E2978&lt;=3,E2978&gt;=2,F2978&gt;=3),"Rawan",IF(AND(E2978&lt;=2,F2978&lt;=2),"Tidur","Umum"))))))</f>
        <v/>
      </c>
    </row>
    <row r="2979">
      <c r="B2979">
        <f>IF(A2979="","",$B$1-MAXIFS(Donasi!$A$2:$A$20000,Donasi!$B$2:$B$20000,A2979))</f>
        <v/>
      </c>
      <c r="C2979">
        <f>IF(A2979="","",COUNTIF(Donasi!$B$2:$B$20000,A2979))</f>
        <v/>
      </c>
      <c r="D2979">
        <f>IF(A2979="","",SUMIF(Donasi!$B$2:$B$20000,A2979,Donasi!$C$2:$C$20000))</f>
        <v/>
      </c>
      <c r="E2979">
        <f>IF(A2979="","",6-CEILING(PERCENTRANK.INC($B$3:$B$6000,B2979,4)*5+0.000001,1))</f>
        <v/>
      </c>
      <c r="F2979">
        <f>IF(A2979="","",MAX(1,CEILING(PERCENTRANK.INC($C$3:$C$6000,C2979,4)*5+0.000001,1)))</f>
        <v/>
      </c>
      <c r="G2979">
        <f>IF(A2979="","",MAX(1,CEILING(PERCENTRANK.INC($D$3:$D$6000,D2979,4)*5+0.000001,1)))</f>
        <v/>
      </c>
      <c r="H2979">
        <f>IF(A2979="","",E2979&amp;F2979&amp;G2979)</f>
        <v/>
      </c>
      <c r="I2979">
        <f>IF(A2979="","",IF(AND(E2979&gt;=4,F2979&gt;=4,G2979&gt;=4),"Juara",IF(AND(F2979&gt;=4,E2979&gt;=3),"Setia",IF(AND(E2979=5,F2979&lt;=2,G2979&gt;=3),"Berpotensi",IF(AND(E2979&lt;=3,E2979&gt;=2,F2979&gt;=3),"Rawan",IF(AND(E2979&lt;=2,F2979&lt;=2),"Tidur","Umum"))))))</f>
        <v/>
      </c>
    </row>
    <row r="2980">
      <c r="B2980">
        <f>IF(A2980="","",$B$1-MAXIFS(Donasi!$A$2:$A$20000,Donasi!$B$2:$B$20000,A2980))</f>
        <v/>
      </c>
      <c r="C2980">
        <f>IF(A2980="","",COUNTIF(Donasi!$B$2:$B$20000,A2980))</f>
        <v/>
      </c>
      <c r="D2980">
        <f>IF(A2980="","",SUMIF(Donasi!$B$2:$B$20000,A2980,Donasi!$C$2:$C$20000))</f>
        <v/>
      </c>
      <c r="E2980">
        <f>IF(A2980="","",6-CEILING(PERCENTRANK.INC($B$3:$B$6000,B2980,4)*5+0.000001,1))</f>
        <v/>
      </c>
      <c r="F2980">
        <f>IF(A2980="","",MAX(1,CEILING(PERCENTRANK.INC($C$3:$C$6000,C2980,4)*5+0.000001,1)))</f>
        <v/>
      </c>
      <c r="G2980">
        <f>IF(A2980="","",MAX(1,CEILING(PERCENTRANK.INC($D$3:$D$6000,D2980,4)*5+0.000001,1)))</f>
        <v/>
      </c>
      <c r="H2980">
        <f>IF(A2980="","",E2980&amp;F2980&amp;G2980)</f>
        <v/>
      </c>
      <c r="I2980">
        <f>IF(A2980="","",IF(AND(E2980&gt;=4,F2980&gt;=4,G2980&gt;=4),"Juara",IF(AND(F2980&gt;=4,E2980&gt;=3),"Setia",IF(AND(E2980=5,F2980&lt;=2,G2980&gt;=3),"Berpotensi",IF(AND(E2980&lt;=3,E2980&gt;=2,F2980&gt;=3),"Rawan",IF(AND(E2980&lt;=2,F2980&lt;=2),"Tidur","Umum"))))))</f>
        <v/>
      </c>
    </row>
    <row r="2981">
      <c r="B2981">
        <f>IF(A2981="","",$B$1-MAXIFS(Donasi!$A$2:$A$20000,Donasi!$B$2:$B$20000,A2981))</f>
        <v/>
      </c>
      <c r="C2981">
        <f>IF(A2981="","",COUNTIF(Donasi!$B$2:$B$20000,A2981))</f>
        <v/>
      </c>
      <c r="D2981">
        <f>IF(A2981="","",SUMIF(Donasi!$B$2:$B$20000,A2981,Donasi!$C$2:$C$20000))</f>
        <v/>
      </c>
      <c r="E2981">
        <f>IF(A2981="","",6-CEILING(PERCENTRANK.INC($B$3:$B$6000,B2981,4)*5+0.000001,1))</f>
        <v/>
      </c>
      <c r="F2981">
        <f>IF(A2981="","",MAX(1,CEILING(PERCENTRANK.INC($C$3:$C$6000,C2981,4)*5+0.000001,1)))</f>
        <v/>
      </c>
      <c r="G2981">
        <f>IF(A2981="","",MAX(1,CEILING(PERCENTRANK.INC($D$3:$D$6000,D2981,4)*5+0.000001,1)))</f>
        <v/>
      </c>
      <c r="H2981">
        <f>IF(A2981="","",E2981&amp;F2981&amp;G2981)</f>
        <v/>
      </c>
      <c r="I2981">
        <f>IF(A2981="","",IF(AND(E2981&gt;=4,F2981&gt;=4,G2981&gt;=4),"Juara",IF(AND(F2981&gt;=4,E2981&gt;=3),"Setia",IF(AND(E2981=5,F2981&lt;=2,G2981&gt;=3),"Berpotensi",IF(AND(E2981&lt;=3,E2981&gt;=2,F2981&gt;=3),"Rawan",IF(AND(E2981&lt;=2,F2981&lt;=2),"Tidur","Umum"))))))</f>
        <v/>
      </c>
    </row>
    <row r="2982">
      <c r="B2982">
        <f>IF(A2982="","",$B$1-MAXIFS(Donasi!$A$2:$A$20000,Donasi!$B$2:$B$20000,A2982))</f>
        <v/>
      </c>
      <c r="C2982">
        <f>IF(A2982="","",COUNTIF(Donasi!$B$2:$B$20000,A2982))</f>
        <v/>
      </c>
      <c r="D2982">
        <f>IF(A2982="","",SUMIF(Donasi!$B$2:$B$20000,A2982,Donasi!$C$2:$C$20000))</f>
        <v/>
      </c>
      <c r="E2982">
        <f>IF(A2982="","",6-CEILING(PERCENTRANK.INC($B$3:$B$6000,B2982,4)*5+0.000001,1))</f>
        <v/>
      </c>
      <c r="F2982">
        <f>IF(A2982="","",MAX(1,CEILING(PERCENTRANK.INC($C$3:$C$6000,C2982,4)*5+0.000001,1)))</f>
        <v/>
      </c>
      <c r="G2982">
        <f>IF(A2982="","",MAX(1,CEILING(PERCENTRANK.INC($D$3:$D$6000,D2982,4)*5+0.000001,1)))</f>
        <v/>
      </c>
      <c r="H2982">
        <f>IF(A2982="","",E2982&amp;F2982&amp;G2982)</f>
        <v/>
      </c>
      <c r="I2982">
        <f>IF(A2982="","",IF(AND(E2982&gt;=4,F2982&gt;=4,G2982&gt;=4),"Juara",IF(AND(F2982&gt;=4,E2982&gt;=3),"Setia",IF(AND(E2982=5,F2982&lt;=2,G2982&gt;=3),"Berpotensi",IF(AND(E2982&lt;=3,E2982&gt;=2,F2982&gt;=3),"Rawan",IF(AND(E2982&lt;=2,F2982&lt;=2),"Tidur","Umum"))))))</f>
        <v/>
      </c>
    </row>
    <row r="2983">
      <c r="B2983">
        <f>IF(A2983="","",$B$1-MAXIFS(Donasi!$A$2:$A$20000,Donasi!$B$2:$B$20000,A2983))</f>
        <v/>
      </c>
      <c r="C2983">
        <f>IF(A2983="","",COUNTIF(Donasi!$B$2:$B$20000,A2983))</f>
        <v/>
      </c>
      <c r="D2983">
        <f>IF(A2983="","",SUMIF(Donasi!$B$2:$B$20000,A2983,Donasi!$C$2:$C$20000))</f>
        <v/>
      </c>
      <c r="E2983">
        <f>IF(A2983="","",6-CEILING(PERCENTRANK.INC($B$3:$B$6000,B2983,4)*5+0.000001,1))</f>
        <v/>
      </c>
      <c r="F2983">
        <f>IF(A2983="","",MAX(1,CEILING(PERCENTRANK.INC($C$3:$C$6000,C2983,4)*5+0.000001,1)))</f>
        <v/>
      </c>
      <c r="G2983">
        <f>IF(A2983="","",MAX(1,CEILING(PERCENTRANK.INC($D$3:$D$6000,D2983,4)*5+0.000001,1)))</f>
        <v/>
      </c>
      <c r="H2983">
        <f>IF(A2983="","",E2983&amp;F2983&amp;G2983)</f>
        <v/>
      </c>
      <c r="I2983">
        <f>IF(A2983="","",IF(AND(E2983&gt;=4,F2983&gt;=4,G2983&gt;=4),"Juara",IF(AND(F2983&gt;=4,E2983&gt;=3),"Setia",IF(AND(E2983=5,F2983&lt;=2,G2983&gt;=3),"Berpotensi",IF(AND(E2983&lt;=3,E2983&gt;=2,F2983&gt;=3),"Rawan",IF(AND(E2983&lt;=2,F2983&lt;=2),"Tidur","Umum"))))))</f>
        <v/>
      </c>
    </row>
    <row r="2984">
      <c r="B2984">
        <f>IF(A2984="","",$B$1-MAXIFS(Donasi!$A$2:$A$20000,Donasi!$B$2:$B$20000,A2984))</f>
        <v/>
      </c>
      <c r="C2984">
        <f>IF(A2984="","",COUNTIF(Donasi!$B$2:$B$20000,A2984))</f>
        <v/>
      </c>
      <c r="D2984">
        <f>IF(A2984="","",SUMIF(Donasi!$B$2:$B$20000,A2984,Donasi!$C$2:$C$20000))</f>
        <v/>
      </c>
      <c r="E2984">
        <f>IF(A2984="","",6-CEILING(PERCENTRANK.INC($B$3:$B$6000,B2984,4)*5+0.000001,1))</f>
        <v/>
      </c>
      <c r="F2984">
        <f>IF(A2984="","",MAX(1,CEILING(PERCENTRANK.INC($C$3:$C$6000,C2984,4)*5+0.000001,1)))</f>
        <v/>
      </c>
      <c r="G2984">
        <f>IF(A2984="","",MAX(1,CEILING(PERCENTRANK.INC($D$3:$D$6000,D2984,4)*5+0.000001,1)))</f>
        <v/>
      </c>
      <c r="H2984">
        <f>IF(A2984="","",E2984&amp;F2984&amp;G2984)</f>
        <v/>
      </c>
      <c r="I2984">
        <f>IF(A2984="","",IF(AND(E2984&gt;=4,F2984&gt;=4,G2984&gt;=4),"Juara",IF(AND(F2984&gt;=4,E2984&gt;=3),"Setia",IF(AND(E2984=5,F2984&lt;=2,G2984&gt;=3),"Berpotensi",IF(AND(E2984&lt;=3,E2984&gt;=2,F2984&gt;=3),"Rawan",IF(AND(E2984&lt;=2,F2984&lt;=2),"Tidur","Umum"))))))</f>
        <v/>
      </c>
    </row>
    <row r="2985">
      <c r="B2985">
        <f>IF(A2985="","",$B$1-MAXIFS(Donasi!$A$2:$A$20000,Donasi!$B$2:$B$20000,A2985))</f>
        <v/>
      </c>
      <c r="C2985">
        <f>IF(A2985="","",COUNTIF(Donasi!$B$2:$B$20000,A2985))</f>
        <v/>
      </c>
      <c r="D2985">
        <f>IF(A2985="","",SUMIF(Donasi!$B$2:$B$20000,A2985,Donasi!$C$2:$C$20000))</f>
        <v/>
      </c>
      <c r="E2985">
        <f>IF(A2985="","",6-CEILING(PERCENTRANK.INC($B$3:$B$6000,B2985,4)*5+0.000001,1))</f>
        <v/>
      </c>
      <c r="F2985">
        <f>IF(A2985="","",MAX(1,CEILING(PERCENTRANK.INC($C$3:$C$6000,C2985,4)*5+0.000001,1)))</f>
        <v/>
      </c>
      <c r="G2985">
        <f>IF(A2985="","",MAX(1,CEILING(PERCENTRANK.INC($D$3:$D$6000,D2985,4)*5+0.000001,1)))</f>
        <v/>
      </c>
      <c r="H2985">
        <f>IF(A2985="","",E2985&amp;F2985&amp;G2985)</f>
        <v/>
      </c>
      <c r="I2985">
        <f>IF(A2985="","",IF(AND(E2985&gt;=4,F2985&gt;=4,G2985&gt;=4),"Juara",IF(AND(F2985&gt;=4,E2985&gt;=3),"Setia",IF(AND(E2985=5,F2985&lt;=2,G2985&gt;=3),"Berpotensi",IF(AND(E2985&lt;=3,E2985&gt;=2,F2985&gt;=3),"Rawan",IF(AND(E2985&lt;=2,F2985&lt;=2),"Tidur","Umum"))))))</f>
        <v/>
      </c>
    </row>
    <row r="2986">
      <c r="B2986">
        <f>IF(A2986="","",$B$1-MAXIFS(Donasi!$A$2:$A$20000,Donasi!$B$2:$B$20000,A2986))</f>
        <v/>
      </c>
      <c r="C2986">
        <f>IF(A2986="","",COUNTIF(Donasi!$B$2:$B$20000,A2986))</f>
        <v/>
      </c>
      <c r="D2986">
        <f>IF(A2986="","",SUMIF(Donasi!$B$2:$B$20000,A2986,Donasi!$C$2:$C$20000))</f>
        <v/>
      </c>
      <c r="E2986">
        <f>IF(A2986="","",6-CEILING(PERCENTRANK.INC($B$3:$B$6000,B2986,4)*5+0.000001,1))</f>
        <v/>
      </c>
      <c r="F2986">
        <f>IF(A2986="","",MAX(1,CEILING(PERCENTRANK.INC($C$3:$C$6000,C2986,4)*5+0.000001,1)))</f>
        <v/>
      </c>
      <c r="G2986">
        <f>IF(A2986="","",MAX(1,CEILING(PERCENTRANK.INC($D$3:$D$6000,D2986,4)*5+0.000001,1)))</f>
        <v/>
      </c>
      <c r="H2986">
        <f>IF(A2986="","",E2986&amp;F2986&amp;G2986)</f>
        <v/>
      </c>
      <c r="I2986">
        <f>IF(A2986="","",IF(AND(E2986&gt;=4,F2986&gt;=4,G2986&gt;=4),"Juara",IF(AND(F2986&gt;=4,E2986&gt;=3),"Setia",IF(AND(E2986=5,F2986&lt;=2,G2986&gt;=3),"Berpotensi",IF(AND(E2986&lt;=3,E2986&gt;=2,F2986&gt;=3),"Rawan",IF(AND(E2986&lt;=2,F2986&lt;=2),"Tidur","Umum"))))))</f>
        <v/>
      </c>
    </row>
    <row r="2987">
      <c r="B2987">
        <f>IF(A2987="","",$B$1-MAXIFS(Donasi!$A$2:$A$20000,Donasi!$B$2:$B$20000,A2987))</f>
        <v/>
      </c>
      <c r="C2987">
        <f>IF(A2987="","",COUNTIF(Donasi!$B$2:$B$20000,A2987))</f>
        <v/>
      </c>
      <c r="D2987">
        <f>IF(A2987="","",SUMIF(Donasi!$B$2:$B$20000,A2987,Donasi!$C$2:$C$20000))</f>
        <v/>
      </c>
      <c r="E2987">
        <f>IF(A2987="","",6-CEILING(PERCENTRANK.INC($B$3:$B$6000,B2987,4)*5+0.000001,1))</f>
        <v/>
      </c>
      <c r="F2987">
        <f>IF(A2987="","",MAX(1,CEILING(PERCENTRANK.INC($C$3:$C$6000,C2987,4)*5+0.000001,1)))</f>
        <v/>
      </c>
      <c r="G2987">
        <f>IF(A2987="","",MAX(1,CEILING(PERCENTRANK.INC($D$3:$D$6000,D2987,4)*5+0.000001,1)))</f>
        <v/>
      </c>
      <c r="H2987">
        <f>IF(A2987="","",E2987&amp;F2987&amp;G2987)</f>
        <v/>
      </c>
      <c r="I2987">
        <f>IF(A2987="","",IF(AND(E2987&gt;=4,F2987&gt;=4,G2987&gt;=4),"Juara",IF(AND(F2987&gt;=4,E2987&gt;=3),"Setia",IF(AND(E2987=5,F2987&lt;=2,G2987&gt;=3),"Berpotensi",IF(AND(E2987&lt;=3,E2987&gt;=2,F2987&gt;=3),"Rawan",IF(AND(E2987&lt;=2,F2987&lt;=2),"Tidur","Umum"))))))</f>
        <v/>
      </c>
    </row>
    <row r="2988">
      <c r="B2988">
        <f>IF(A2988="","",$B$1-MAXIFS(Donasi!$A$2:$A$20000,Donasi!$B$2:$B$20000,A2988))</f>
        <v/>
      </c>
      <c r="C2988">
        <f>IF(A2988="","",COUNTIF(Donasi!$B$2:$B$20000,A2988))</f>
        <v/>
      </c>
      <c r="D2988">
        <f>IF(A2988="","",SUMIF(Donasi!$B$2:$B$20000,A2988,Donasi!$C$2:$C$20000))</f>
        <v/>
      </c>
      <c r="E2988">
        <f>IF(A2988="","",6-CEILING(PERCENTRANK.INC($B$3:$B$6000,B2988,4)*5+0.000001,1))</f>
        <v/>
      </c>
      <c r="F2988">
        <f>IF(A2988="","",MAX(1,CEILING(PERCENTRANK.INC($C$3:$C$6000,C2988,4)*5+0.000001,1)))</f>
        <v/>
      </c>
      <c r="G2988">
        <f>IF(A2988="","",MAX(1,CEILING(PERCENTRANK.INC($D$3:$D$6000,D2988,4)*5+0.000001,1)))</f>
        <v/>
      </c>
      <c r="H2988">
        <f>IF(A2988="","",E2988&amp;F2988&amp;G2988)</f>
        <v/>
      </c>
      <c r="I2988">
        <f>IF(A2988="","",IF(AND(E2988&gt;=4,F2988&gt;=4,G2988&gt;=4),"Juara",IF(AND(F2988&gt;=4,E2988&gt;=3),"Setia",IF(AND(E2988=5,F2988&lt;=2,G2988&gt;=3),"Berpotensi",IF(AND(E2988&lt;=3,E2988&gt;=2,F2988&gt;=3),"Rawan",IF(AND(E2988&lt;=2,F2988&lt;=2),"Tidur","Umum"))))))</f>
        <v/>
      </c>
    </row>
    <row r="2989">
      <c r="B2989">
        <f>IF(A2989="","",$B$1-MAXIFS(Donasi!$A$2:$A$20000,Donasi!$B$2:$B$20000,A2989))</f>
        <v/>
      </c>
      <c r="C2989">
        <f>IF(A2989="","",COUNTIF(Donasi!$B$2:$B$20000,A2989))</f>
        <v/>
      </c>
      <c r="D2989">
        <f>IF(A2989="","",SUMIF(Donasi!$B$2:$B$20000,A2989,Donasi!$C$2:$C$20000))</f>
        <v/>
      </c>
      <c r="E2989">
        <f>IF(A2989="","",6-CEILING(PERCENTRANK.INC($B$3:$B$6000,B2989,4)*5+0.000001,1))</f>
        <v/>
      </c>
      <c r="F2989">
        <f>IF(A2989="","",MAX(1,CEILING(PERCENTRANK.INC($C$3:$C$6000,C2989,4)*5+0.000001,1)))</f>
        <v/>
      </c>
      <c r="G2989">
        <f>IF(A2989="","",MAX(1,CEILING(PERCENTRANK.INC($D$3:$D$6000,D2989,4)*5+0.000001,1)))</f>
        <v/>
      </c>
      <c r="H2989">
        <f>IF(A2989="","",E2989&amp;F2989&amp;G2989)</f>
        <v/>
      </c>
      <c r="I2989">
        <f>IF(A2989="","",IF(AND(E2989&gt;=4,F2989&gt;=4,G2989&gt;=4),"Juara",IF(AND(F2989&gt;=4,E2989&gt;=3),"Setia",IF(AND(E2989=5,F2989&lt;=2,G2989&gt;=3),"Berpotensi",IF(AND(E2989&lt;=3,E2989&gt;=2,F2989&gt;=3),"Rawan",IF(AND(E2989&lt;=2,F2989&lt;=2),"Tidur","Umum"))))))</f>
        <v/>
      </c>
    </row>
    <row r="2990">
      <c r="B2990">
        <f>IF(A2990="","",$B$1-MAXIFS(Donasi!$A$2:$A$20000,Donasi!$B$2:$B$20000,A2990))</f>
        <v/>
      </c>
      <c r="C2990">
        <f>IF(A2990="","",COUNTIF(Donasi!$B$2:$B$20000,A2990))</f>
        <v/>
      </c>
      <c r="D2990">
        <f>IF(A2990="","",SUMIF(Donasi!$B$2:$B$20000,A2990,Donasi!$C$2:$C$20000))</f>
        <v/>
      </c>
      <c r="E2990">
        <f>IF(A2990="","",6-CEILING(PERCENTRANK.INC($B$3:$B$6000,B2990,4)*5+0.000001,1))</f>
        <v/>
      </c>
      <c r="F2990">
        <f>IF(A2990="","",MAX(1,CEILING(PERCENTRANK.INC($C$3:$C$6000,C2990,4)*5+0.000001,1)))</f>
        <v/>
      </c>
      <c r="G2990">
        <f>IF(A2990="","",MAX(1,CEILING(PERCENTRANK.INC($D$3:$D$6000,D2990,4)*5+0.000001,1)))</f>
        <v/>
      </c>
      <c r="H2990">
        <f>IF(A2990="","",E2990&amp;F2990&amp;G2990)</f>
        <v/>
      </c>
      <c r="I2990">
        <f>IF(A2990="","",IF(AND(E2990&gt;=4,F2990&gt;=4,G2990&gt;=4),"Juara",IF(AND(F2990&gt;=4,E2990&gt;=3),"Setia",IF(AND(E2990=5,F2990&lt;=2,G2990&gt;=3),"Berpotensi",IF(AND(E2990&lt;=3,E2990&gt;=2,F2990&gt;=3),"Rawan",IF(AND(E2990&lt;=2,F2990&lt;=2),"Tidur","Umum"))))))</f>
        <v/>
      </c>
    </row>
    <row r="2991">
      <c r="B2991">
        <f>IF(A2991="","",$B$1-MAXIFS(Donasi!$A$2:$A$20000,Donasi!$B$2:$B$20000,A2991))</f>
        <v/>
      </c>
      <c r="C2991">
        <f>IF(A2991="","",COUNTIF(Donasi!$B$2:$B$20000,A2991))</f>
        <v/>
      </c>
      <c r="D2991">
        <f>IF(A2991="","",SUMIF(Donasi!$B$2:$B$20000,A2991,Donasi!$C$2:$C$20000))</f>
        <v/>
      </c>
      <c r="E2991">
        <f>IF(A2991="","",6-CEILING(PERCENTRANK.INC($B$3:$B$6000,B2991,4)*5+0.000001,1))</f>
        <v/>
      </c>
      <c r="F2991">
        <f>IF(A2991="","",MAX(1,CEILING(PERCENTRANK.INC($C$3:$C$6000,C2991,4)*5+0.000001,1)))</f>
        <v/>
      </c>
      <c r="G2991">
        <f>IF(A2991="","",MAX(1,CEILING(PERCENTRANK.INC($D$3:$D$6000,D2991,4)*5+0.000001,1)))</f>
        <v/>
      </c>
      <c r="H2991">
        <f>IF(A2991="","",E2991&amp;F2991&amp;G2991)</f>
        <v/>
      </c>
      <c r="I2991">
        <f>IF(A2991="","",IF(AND(E2991&gt;=4,F2991&gt;=4,G2991&gt;=4),"Juara",IF(AND(F2991&gt;=4,E2991&gt;=3),"Setia",IF(AND(E2991=5,F2991&lt;=2,G2991&gt;=3),"Berpotensi",IF(AND(E2991&lt;=3,E2991&gt;=2,F2991&gt;=3),"Rawan",IF(AND(E2991&lt;=2,F2991&lt;=2),"Tidur","Umum"))))))</f>
        <v/>
      </c>
    </row>
    <row r="2992">
      <c r="B2992">
        <f>IF(A2992="","",$B$1-MAXIFS(Donasi!$A$2:$A$20000,Donasi!$B$2:$B$20000,A2992))</f>
        <v/>
      </c>
      <c r="C2992">
        <f>IF(A2992="","",COUNTIF(Donasi!$B$2:$B$20000,A2992))</f>
        <v/>
      </c>
      <c r="D2992">
        <f>IF(A2992="","",SUMIF(Donasi!$B$2:$B$20000,A2992,Donasi!$C$2:$C$20000))</f>
        <v/>
      </c>
      <c r="E2992">
        <f>IF(A2992="","",6-CEILING(PERCENTRANK.INC($B$3:$B$6000,B2992,4)*5+0.000001,1))</f>
        <v/>
      </c>
      <c r="F2992">
        <f>IF(A2992="","",MAX(1,CEILING(PERCENTRANK.INC($C$3:$C$6000,C2992,4)*5+0.000001,1)))</f>
        <v/>
      </c>
      <c r="G2992">
        <f>IF(A2992="","",MAX(1,CEILING(PERCENTRANK.INC($D$3:$D$6000,D2992,4)*5+0.000001,1)))</f>
        <v/>
      </c>
      <c r="H2992">
        <f>IF(A2992="","",E2992&amp;F2992&amp;G2992)</f>
        <v/>
      </c>
      <c r="I2992">
        <f>IF(A2992="","",IF(AND(E2992&gt;=4,F2992&gt;=4,G2992&gt;=4),"Juara",IF(AND(F2992&gt;=4,E2992&gt;=3),"Setia",IF(AND(E2992=5,F2992&lt;=2,G2992&gt;=3),"Berpotensi",IF(AND(E2992&lt;=3,E2992&gt;=2,F2992&gt;=3),"Rawan",IF(AND(E2992&lt;=2,F2992&lt;=2),"Tidur","Umum"))))))</f>
        <v/>
      </c>
    </row>
    <row r="2993">
      <c r="B2993">
        <f>IF(A2993="","",$B$1-MAXIFS(Donasi!$A$2:$A$20000,Donasi!$B$2:$B$20000,A2993))</f>
        <v/>
      </c>
      <c r="C2993">
        <f>IF(A2993="","",COUNTIF(Donasi!$B$2:$B$20000,A2993))</f>
        <v/>
      </c>
      <c r="D2993">
        <f>IF(A2993="","",SUMIF(Donasi!$B$2:$B$20000,A2993,Donasi!$C$2:$C$20000))</f>
        <v/>
      </c>
      <c r="E2993">
        <f>IF(A2993="","",6-CEILING(PERCENTRANK.INC($B$3:$B$6000,B2993,4)*5+0.000001,1))</f>
        <v/>
      </c>
      <c r="F2993">
        <f>IF(A2993="","",MAX(1,CEILING(PERCENTRANK.INC($C$3:$C$6000,C2993,4)*5+0.000001,1)))</f>
        <v/>
      </c>
      <c r="G2993">
        <f>IF(A2993="","",MAX(1,CEILING(PERCENTRANK.INC($D$3:$D$6000,D2993,4)*5+0.000001,1)))</f>
        <v/>
      </c>
      <c r="H2993">
        <f>IF(A2993="","",E2993&amp;F2993&amp;G2993)</f>
        <v/>
      </c>
      <c r="I2993">
        <f>IF(A2993="","",IF(AND(E2993&gt;=4,F2993&gt;=4,G2993&gt;=4),"Juara",IF(AND(F2993&gt;=4,E2993&gt;=3),"Setia",IF(AND(E2993=5,F2993&lt;=2,G2993&gt;=3),"Berpotensi",IF(AND(E2993&lt;=3,E2993&gt;=2,F2993&gt;=3),"Rawan",IF(AND(E2993&lt;=2,F2993&lt;=2),"Tidur","Umum"))))))</f>
        <v/>
      </c>
    </row>
    <row r="2994">
      <c r="B2994">
        <f>IF(A2994="","",$B$1-MAXIFS(Donasi!$A$2:$A$20000,Donasi!$B$2:$B$20000,A2994))</f>
        <v/>
      </c>
      <c r="C2994">
        <f>IF(A2994="","",COUNTIF(Donasi!$B$2:$B$20000,A2994))</f>
        <v/>
      </c>
      <c r="D2994">
        <f>IF(A2994="","",SUMIF(Donasi!$B$2:$B$20000,A2994,Donasi!$C$2:$C$20000))</f>
        <v/>
      </c>
      <c r="E2994">
        <f>IF(A2994="","",6-CEILING(PERCENTRANK.INC($B$3:$B$6000,B2994,4)*5+0.000001,1))</f>
        <v/>
      </c>
      <c r="F2994">
        <f>IF(A2994="","",MAX(1,CEILING(PERCENTRANK.INC($C$3:$C$6000,C2994,4)*5+0.000001,1)))</f>
        <v/>
      </c>
      <c r="G2994">
        <f>IF(A2994="","",MAX(1,CEILING(PERCENTRANK.INC($D$3:$D$6000,D2994,4)*5+0.000001,1)))</f>
        <v/>
      </c>
      <c r="H2994">
        <f>IF(A2994="","",E2994&amp;F2994&amp;G2994)</f>
        <v/>
      </c>
      <c r="I2994">
        <f>IF(A2994="","",IF(AND(E2994&gt;=4,F2994&gt;=4,G2994&gt;=4),"Juara",IF(AND(F2994&gt;=4,E2994&gt;=3),"Setia",IF(AND(E2994=5,F2994&lt;=2,G2994&gt;=3),"Berpotensi",IF(AND(E2994&lt;=3,E2994&gt;=2,F2994&gt;=3),"Rawan",IF(AND(E2994&lt;=2,F2994&lt;=2),"Tidur","Umum"))))))</f>
        <v/>
      </c>
    </row>
    <row r="2995">
      <c r="B2995">
        <f>IF(A2995="","",$B$1-MAXIFS(Donasi!$A$2:$A$20000,Donasi!$B$2:$B$20000,A2995))</f>
        <v/>
      </c>
      <c r="C2995">
        <f>IF(A2995="","",COUNTIF(Donasi!$B$2:$B$20000,A2995))</f>
        <v/>
      </c>
      <c r="D2995">
        <f>IF(A2995="","",SUMIF(Donasi!$B$2:$B$20000,A2995,Donasi!$C$2:$C$20000))</f>
        <v/>
      </c>
      <c r="E2995">
        <f>IF(A2995="","",6-CEILING(PERCENTRANK.INC($B$3:$B$6000,B2995,4)*5+0.000001,1))</f>
        <v/>
      </c>
      <c r="F2995">
        <f>IF(A2995="","",MAX(1,CEILING(PERCENTRANK.INC($C$3:$C$6000,C2995,4)*5+0.000001,1)))</f>
        <v/>
      </c>
      <c r="G2995">
        <f>IF(A2995="","",MAX(1,CEILING(PERCENTRANK.INC($D$3:$D$6000,D2995,4)*5+0.000001,1)))</f>
        <v/>
      </c>
      <c r="H2995">
        <f>IF(A2995="","",E2995&amp;F2995&amp;G2995)</f>
        <v/>
      </c>
      <c r="I2995">
        <f>IF(A2995="","",IF(AND(E2995&gt;=4,F2995&gt;=4,G2995&gt;=4),"Juara",IF(AND(F2995&gt;=4,E2995&gt;=3),"Setia",IF(AND(E2995=5,F2995&lt;=2,G2995&gt;=3),"Berpotensi",IF(AND(E2995&lt;=3,E2995&gt;=2,F2995&gt;=3),"Rawan",IF(AND(E2995&lt;=2,F2995&lt;=2),"Tidur","Umum"))))))</f>
        <v/>
      </c>
    </row>
    <row r="2996">
      <c r="B2996">
        <f>IF(A2996="","",$B$1-MAXIFS(Donasi!$A$2:$A$20000,Donasi!$B$2:$B$20000,A2996))</f>
        <v/>
      </c>
      <c r="C2996">
        <f>IF(A2996="","",COUNTIF(Donasi!$B$2:$B$20000,A2996))</f>
        <v/>
      </c>
      <c r="D2996">
        <f>IF(A2996="","",SUMIF(Donasi!$B$2:$B$20000,A2996,Donasi!$C$2:$C$20000))</f>
        <v/>
      </c>
      <c r="E2996">
        <f>IF(A2996="","",6-CEILING(PERCENTRANK.INC($B$3:$B$6000,B2996,4)*5+0.000001,1))</f>
        <v/>
      </c>
      <c r="F2996">
        <f>IF(A2996="","",MAX(1,CEILING(PERCENTRANK.INC($C$3:$C$6000,C2996,4)*5+0.000001,1)))</f>
        <v/>
      </c>
      <c r="G2996">
        <f>IF(A2996="","",MAX(1,CEILING(PERCENTRANK.INC($D$3:$D$6000,D2996,4)*5+0.000001,1)))</f>
        <v/>
      </c>
      <c r="H2996">
        <f>IF(A2996="","",E2996&amp;F2996&amp;G2996)</f>
        <v/>
      </c>
      <c r="I2996">
        <f>IF(A2996="","",IF(AND(E2996&gt;=4,F2996&gt;=4,G2996&gt;=4),"Juara",IF(AND(F2996&gt;=4,E2996&gt;=3),"Setia",IF(AND(E2996=5,F2996&lt;=2,G2996&gt;=3),"Berpotensi",IF(AND(E2996&lt;=3,E2996&gt;=2,F2996&gt;=3),"Rawan",IF(AND(E2996&lt;=2,F2996&lt;=2),"Tidur","Umum"))))))</f>
        <v/>
      </c>
    </row>
    <row r="2997">
      <c r="B2997">
        <f>IF(A2997="","",$B$1-MAXIFS(Donasi!$A$2:$A$20000,Donasi!$B$2:$B$20000,A2997))</f>
        <v/>
      </c>
      <c r="C2997">
        <f>IF(A2997="","",COUNTIF(Donasi!$B$2:$B$20000,A2997))</f>
        <v/>
      </c>
      <c r="D2997">
        <f>IF(A2997="","",SUMIF(Donasi!$B$2:$B$20000,A2997,Donasi!$C$2:$C$20000))</f>
        <v/>
      </c>
      <c r="E2997">
        <f>IF(A2997="","",6-CEILING(PERCENTRANK.INC($B$3:$B$6000,B2997,4)*5+0.000001,1))</f>
        <v/>
      </c>
      <c r="F2997">
        <f>IF(A2997="","",MAX(1,CEILING(PERCENTRANK.INC($C$3:$C$6000,C2997,4)*5+0.000001,1)))</f>
        <v/>
      </c>
      <c r="G2997">
        <f>IF(A2997="","",MAX(1,CEILING(PERCENTRANK.INC($D$3:$D$6000,D2997,4)*5+0.000001,1)))</f>
        <v/>
      </c>
      <c r="H2997">
        <f>IF(A2997="","",E2997&amp;F2997&amp;G2997)</f>
        <v/>
      </c>
      <c r="I2997">
        <f>IF(A2997="","",IF(AND(E2997&gt;=4,F2997&gt;=4,G2997&gt;=4),"Juara",IF(AND(F2997&gt;=4,E2997&gt;=3),"Setia",IF(AND(E2997=5,F2997&lt;=2,G2997&gt;=3),"Berpotensi",IF(AND(E2997&lt;=3,E2997&gt;=2,F2997&gt;=3),"Rawan",IF(AND(E2997&lt;=2,F2997&lt;=2),"Tidur","Umum"))))))</f>
        <v/>
      </c>
    </row>
    <row r="2998">
      <c r="B2998">
        <f>IF(A2998="","",$B$1-MAXIFS(Donasi!$A$2:$A$20000,Donasi!$B$2:$B$20000,A2998))</f>
        <v/>
      </c>
      <c r="C2998">
        <f>IF(A2998="","",COUNTIF(Donasi!$B$2:$B$20000,A2998))</f>
        <v/>
      </c>
      <c r="D2998">
        <f>IF(A2998="","",SUMIF(Donasi!$B$2:$B$20000,A2998,Donasi!$C$2:$C$20000))</f>
        <v/>
      </c>
      <c r="E2998">
        <f>IF(A2998="","",6-CEILING(PERCENTRANK.INC($B$3:$B$6000,B2998,4)*5+0.000001,1))</f>
        <v/>
      </c>
      <c r="F2998">
        <f>IF(A2998="","",MAX(1,CEILING(PERCENTRANK.INC($C$3:$C$6000,C2998,4)*5+0.000001,1)))</f>
        <v/>
      </c>
      <c r="G2998">
        <f>IF(A2998="","",MAX(1,CEILING(PERCENTRANK.INC($D$3:$D$6000,D2998,4)*5+0.000001,1)))</f>
        <v/>
      </c>
      <c r="H2998">
        <f>IF(A2998="","",E2998&amp;F2998&amp;G2998)</f>
        <v/>
      </c>
      <c r="I2998">
        <f>IF(A2998="","",IF(AND(E2998&gt;=4,F2998&gt;=4,G2998&gt;=4),"Juara",IF(AND(F2998&gt;=4,E2998&gt;=3),"Setia",IF(AND(E2998=5,F2998&lt;=2,G2998&gt;=3),"Berpotensi",IF(AND(E2998&lt;=3,E2998&gt;=2,F2998&gt;=3),"Rawan",IF(AND(E2998&lt;=2,F2998&lt;=2),"Tidur","Umum"))))))</f>
        <v/>
      </c>
    </row>
    <row r="2999">
      <c r="B2999">
        <f>IF(A2999="","",$B$1-MAXIFS(Donasi!$A$2:$A$20000,Donasi!$B$2:$B$20000,A2999))</f>
        <v/>
      </c>
      <c r="C2999">
        <f>IF(A2999="","",COUNTIF(Donasi!$B$2:$B$20000,A2999))</f>
        <v/>
      </c>
      <c r="D2999">
        <f>IF(A2999="","",SUMIF(Donasi!$B$2:$B$20000,A2999,Donasi!$C$2:$C$20000))</f>
        <v/>
      </c>
      <c r="E2999">
        <f>IF(A2999="","",6-CEILING(PERCENTRANK.INC($B$3:$B$6000,B2999,4)*5+0.000001,1))</f>
        <v/>
      </c>
      <c r="F2999">
        <f>IF(A2999="","",MAX(1,CEILING(PERCENTRANK.INC($C$3:$C$6000,C2999,4)*5+0.000001,1)))</f>
        <v/>
      </c>
      <c r="G2999">
        <f>IF(A2999="","",MAX(1,CEILING(PERCENTRANK.INC($D$3:$D$6000,D2999,4)*5+0.000001,1)))</f>
        <v/>
      </c>
      <c r="H2999">
        <f>IF(A2999="","",E2999&amp;F2999&amp;G2999)</f>
        <v/>
      </c>
      <c r="I2999">
        <f>IF(A2999="","",IF(AND(E2999&gt;=4,F2999&gt;=4,G2999&gt;=4),"Juara",IF(AND(F2999&gt;=4,E2999&gt;=3),"Setia",IF(AND(E2999=5,F2999&lt;=2,G2999&gt;=3),"Berpotensi",IF(AND(E2999&lt;=3,E2999&gt;=2,F2999&gt;=3),"Rawan",IF(AND(E2999&lt;=2,F2999&lt;=2),"Tidur","Umum"))))))</f>
        <v/>
      </c>
    </row>
    <row r="3000">
      <c r="B3000">
        <f>IF(A3000="","",$B$1-MAXIFS(Donasi!$A$2:$A$20000,Donasi!$B$2:$B$20000,A3000))</f>
        <v/>
      </c>
      <c r="C3000">
        <f>IF(A3000="","",COUNTIF(Donasi!$B$2:$B$20000,A3000))</f>
        <v/>
      </c>
      <c r="D3000">
        <f>IF(A3000="","",SUMIF(Donasi!$B$2:$B$20000,A3000,Donasi!$C$2:$C$20000))</f>
        <v/>
      </c>
      <c r="E3000">
        <f>IF(A3000="","",6-CEILING(PERCENTRANK.INC($B$3:$B$6000,B3000,4)*5+0.000001,1))</f>
        <v/>
      </c>
      <c r="F3000">
        <f>IF(A3000="","",MAX(1,CEILING(PERCENTRANK.INC($C$3:$C$6000,C3000,4)*5+0.000001,1)))</f>
        <v/>
      </c>
      <c r="G3000">
        <f>IF(A3000="","",MAX(1,CEILING(PERCENTRANK.INC($D$3:$D$6000,D3000,4)*5+0.000001,1)))</f>
        <v/>
      </c>
      <c r="H3000">
        <f>IF(A3000="","",E3000&amp;F3000&amp;G3000)</f>
        <v/>
      </c>
      <c r="I3000">
        <f>IF(A3000="","",IF(AND(E3000&gt;=4,F3000&gt;=4,G3000&gt;=4),"Juara",IF(AND(F3000&gt;=4,E3000&gt;=3),"Setia",IF(AND(E3000=5,F3000&lt;=2,G3000&gt;=3),"Berpotensi",IF(AND(E3000&lt;=3,E3000&gt;=2,F3000&gt;=3),"Rawan",IF(AND(E3000&lt;=2,F3000&lt;=2),"Tidur","Umum"))))))</f>
        <v/>
      </c>
    </row>
    <row r="3001">
      <c r="B3001">
        <f>IF(A3001="","",$B$1-MAXIFS(Donasi!$A$2:$A$20000,Donasi!$B$2:$B$20000,A3001))</f>
        <v/>
      </c>
      <c r="C3001">
        <f>IF(A3001="","",COUNTIF(Donasi!$B$2:$B$20000,A3001))</f>
        <v/>
      </c>
      <c r="D3001">
        <f>IF(A3001="","",SUMIF(Donasi!$B$2:$B$20000,A3001,Donasi!$C$2:$C$20000))</f>
        <v/>
      </c>
      <c r="E3001">
        <f>IF(A3001="","",6-CEILING(PERCENTRANK.INC($B$3:$B$6000,B3001,4)*5+0.000001,1))</f>
        <v/>
      </c>
      <c r="F3001">
        <f>IF(A3001="","",MAX(1,CEILING(PERCENTRANK.INC($C$3:$C$6000,C3001,4)*5+0.000001,1)))</f>
        <v/>
      </c>
      <c r="G3001">
        <f>IF(A3001="","",MAX(1,CEILING(PERCENTRANK.INC($D$3:$D$6000,D3001,4)*5+0.000001,1)))</f>
        <v/>
      </c>
      <c r="H3001">
        <f>IF(A3001="","",E3001&amp;F3001&amp;G3001)</f>
        <v/>
      </c>
      <c r="I3001">
        <f>IF(A3001="","",IF(AND(E3001&gt;=4,F3001&gt;=4,G3001&gt;=4),"Juara",IF(AND(F3001&gt;=4,E3001&gt;=3),"Setia",IF(AND(E3001=5,F3001&lt;=2,G3001&gt;=3),"Berpotensi",IF(AND(E3001&lt;=3,E3001&gt;=2,F3001&gt;=3),"Rawan",IF(AND(E3001&lt;=2,F3001&lt;=2),"Tidur","Umum"))))))</f>
        <v/>
      </c>
    </row>
    <row r="3002">
      <c r="B3002">
        <f>IF(A3002="","",$B$1-MAXIFS(Donasi!$A$2:$A$20000,Donasi!$B$2:$B$20000,A3002))</f>
        <v/>
      </c>
      <c r="C3002">
        <f>IF(A3002="","",COUNTIF(Donasi!$B$2:$B$20000,A3002))</f>
        <v/>
      </c>
      <c r="D3002">
        <f>IF(A3002="","",SUMIF(Donasi!$B$2:$B$20000,A3002,Donasi!$C$2:$C$20000))</f>
        <v/>
      </c>
      <c r="E3002">
        <f>IF(A3002="","",6-CEILING(PERCENTRANK.INC($B$3:$B$6000,B3002,4)*5+0.000001,1))</f>
        <v/>
      </c>
      <c r="F3002">
        <f>IF(A3002="","",MAX(1,CEILING(PERCENTRANK.INC($C$3:$C$6000,C3002,4)*5+0.000001,1)))</f>
        <v/>
      </c>
      <c r="G3002">
        <f>IF(A3002="","",MAX(1,CEILING(PERCENTRANK.INC($D$3:$D$6000,D3002,4)*5+0.000001,1)))</f>
        <v/>
      </c>
      <c r="H3002">
        <f>IF(A3002="","",E3002&amp;F3002&amp;G3002)</f>
        <v/>
      </c>
      <c r="I3002">
        <f>IF(A3002="","",IF(AND(E3002&gt;=4,F3002&gt;=4,G3002&gt;=4),"Juara",IF(AND(F3002&gt;=4,E3002&gt;=3),"Setia",IF(AND(E3002=5,F3002&lt;=2,G3002&gt;=3),"Berpotensi",IF(AND(E3002&lt;=3,E3002&gt;=2,F3002&gt;=3),"Rawan",IF(AND(E3002&lt;=2,F3002&lt;=2),"Tidur","Umum"))))))</f>
        <v/>
      </c>
    </row>
    <row r="3003">
      <c r="B3003">
        <f>IF(A3003="","",$B$1-MAXIFS(Donasi!$A$2:$A$20000,Donasi!$B$2:$B$20000,A3003))</f>
        <v/>
      </c>
      <c r="C3003">
        <f>IF(A3003="","",COUNTIF(Donasi!$B$2:$B$20000,A3003))</f>
        <v/>
      </c>
      <c r="D3003">
        <f>IF(A3003="","",SUMIF(Donasi!$B$2:$B$20000,A3003,Donasi!$C$2:$C$20000))</f>
        <v/>
      </c>
      <c r="E3003">
        <f>IF(A3003="","",6-CEILING(PERCENTRANK.INC($B$3:$B$6000,B3003,4)*5+0.000001,1))</f>
        <v/>
      </c>
      <c r="F3003">
        <f>IF(A3003="","",MAX(1,CEILING(PERCENTRANK.INC($C$3:$C$6000,C3003,4)*5+0.000001,1)))</f>
        <v/>
      </c>
      <c r="G3003">
        <f>IF(A3003="","",MAX(1,CEILING(PERCENTRANK.INC($D$3:$D$6000,D3003,4)*5+0.000001,1)))</f>
        <v/>
      </c>
      <c r="H3003">
        <f>IF(A3003="","",E3003&amp;F3003&amp;G3003)</f>
        <v/>
      </c>
      <c r="I3003">
        <f>IF(A3003="","",IF(AND(E3003&gt;=4,F3003&gt;=4,G3003&gt;=4),"Juara",IF(AND(F3003&gt;=4,E3003&gt;=3),"Setia",IF(AND(E3003=5,F3003&lt;=2,G3003&gt;=3),"Berpotensi",IF(AND(E3003&lt;=3,E3003&gt;=2,F3003&gt;=3),"Rawan",IF(AND(E3003&lt;=2,F3003&lt;=2),"Tidur","Umum"))))))</f>
        <v/>
      </c>
    </row>
    <row r="3004">
      <c r="B3004">
        <f>IF(A3004="","",$B$1-MAXIFS(Donasi!$A$2:$A$20000,Donasi!$B$2:$B$20000,A3004))</f>
        <v/>
      </c>
      <c r="C3004">
        <f>IF(A3004="","",COUNTIF(Donasi!$B$2:$B$20000,A3004))</f>
        <v/>
      </c>
      <c r="D3004">
        <f>IF(A3004="","",SUMIF(Donasi!$B$2:$B$20000,A3004,Donasi!$C$2:$C$20000))</f>
        <v/>
      </c>
      <c r="E3004">
        <f>IF(A3004="","",6-CEILING(PERCENTRANK.INC($B$3:$B$6000,B3004,4)*5+0.000001,1))</f>
        <v/>
      </c>
      <c r="F3004">
        <f>IF(A3004="","",MAX(1,CEILING(PERCENTRANK.INC($C$3:$C$6000,C3004,4)*5+0.000001,1)))</f>
        <v/>
      </c>
      <c r="G3004">
        <f>IF(A3004="","",MAX(1,CEILING(PERCENTRANK.INC($D$3:$D$6000,D3004,4)*5+0.000001,1)))</f>
        <v/>
      </c>
      <c r="H3004">
        <f>IF(A3004="","",E3004&amp;F3004&amp;G3004)</f>
        <v/>
      </c>
      <c r="I3004">
        <f>IF(A3004="","",IF(AND(E3004&gt;=4,F3004&gt;=4,G3004&gt;=4),"Juara",IF(AND(F3004&gt;=4,E3004&gt;=3),"Setia",IF(AND(E3004=5,F3004&lt;=2,G3004&gt;=3),"Berpotensi",IF(AND(E3004&lt;=3,E3004&gt;=2,F3004&gt;=3),"Rawan",IF(AND(E3004&lt;=2,F3004&lt;=2),"Tidur","Umum"))))))</f>
        <v/>
      </c>
    </row>
    <row r="3005">
      <c r="B3005">
        <f>IF(A3005="","",$B$1-MAXIFS(Donasi!$A$2:$A$20000,Donasi!$B$2:$B$20000,A3005))</f>
        <v/>
      </c>
      <c r="C3005">
        <f>IF(A3005="","",COUNTIF(Donasi!$B$2:$B$20000,A3005))</f>
        <v/>
      </c>
      <c r="D3005">
        <f>IF(A3005="","",SUMIF(Donasi!$B$2:$B$20000,A3005,Donasi!$C$2:$C$20000))</f>
        <v/>
      </c>
      <c r="E3005">
        <f>IF(A3005="","",6-CEILING(PERCENTRANK.INC($B$3:$B$6000,B3005,4)*5+0.000001,1))</f>
        <v/>
      </c>
      <c r="F3005">
        <f>IF(A3005="","",MAX(1,CEILING(PERCENTRANK.INC($C$3:$C$6000,C3005,4)*5+0.000001,1)))</f>
        <v/>
      </c>
      <c r="G3005">
        <f>IF(A3005="","",MAX(1,CEILING(PERCENTRANK.INC($D$3:$D$6000,D3005,4)*5+0.000001,1)))</f>
        <v/>
      </c>
      <c r="H3005">
        <f>IF(A3005="","",E3005&amp;F3005&amp;G3005)</f>
        <v/>
      </c>
      <c r="I3005">
        <f>IF(A3005="","",IF(AND(E3005&gt;=4,F3005&gt;=4,G3005&gt;=4),"Juara",IF(AND(F3005&gt;=4,E3005&gt;=3),"Setia",IF(AND(E3005=5,F3005&lt;=2,G3005&gt;=3),"Berpotensi",IF(AND(E3005&lt;=3,E3005&gt;=2,F3005&gt;=3),"Rawan",IF(AND(E3005&lt;=2,F3005&lt;=2),"Tidur","Umum"))))))</f>
        <v/>
      </c>
    </row>
    <row r="3006">
      <c r="B3006">
        <f>IF(A3006="","",$B$1-MAXIFS(Donasi!$A$2:$A$20000,Donasi!$B$2:$B$20000,A3006))</f>
        <v/>
      </c>
      <c r="C3006">
        <f>IF(A3006="","",COUNTIF(Donasi!$B$2:$B$20000,A3006))</f>
        <v/>
      </c>
      <c r="D3006">
        <f>IF(A3006="","",SUMIF(Donasi!$B$2:$B$20000,A3006,Donasi!$C$2:$C$20000))</f>
        <v/>
      </c>
      <c r="E3006">
        <f>IF(A3006="","",6-CEILING(PERCENTRANK.INC($B$3:$B$6000,B3006,4)*5+0.000001,1))</f>
        <v/>
      </c>
      <c r="F3006">
        <f>IF(A3006="","",MAX(1,CEILING(PERCENTRANK.INC($C$3:$C$6000,C3006,4)*5+0.000001,1)))</f>
        <v/>
      </c>
      <c r="G3006">
        <f>IF(A3006="","",MAX(1,CEILING(PERCENTRANK.INC($D$3:$D$6000,D3006,4)*5+0.000001,1)))</f>
        <v/>
      </c>
      <c r="H3006">
        <f>IF(A3006="","",E3006&amp;F3006&amp;G3006)</f>
        <v/>
      </c>
      <c r="I3006">
        <f>IF(A3006="","",IF(AND(E3006&gt;=4,F3006&gt;=4,G3006&gt;=4),"Juara",IF(AND(F3006&gt;=4,E3006&gt;=3),"Setia",IF(AND(E3006=5,F3006&lt;=2,G3006&gt;=3),"Berpotensi",IF(AND(E3006&lt;=3,E3006&gt;=2,F3006&gt;=3),"Rawan",IF(AND(E3006&lt;=2,F3006&lt;=2),"Tidur","Umum"))))))</f>
        <v/>
      </c>
    </row>
    <row r="3007">
      <c r="B3007">
        <f>IF(A3007="","",$B$1-MAXIFS(Donasi!$A$2:$A$20000,Donasi!$B$2:$B$20000,A3007))</f>
        <v/>
      </c>
      <c r="C3007">
        <f>IF(A3007="","",COUNTIF(Donasi!$B$2:$B$20000,A3007))</f>
        <v/>
      </c>
      <c r="D3007">
        <f>IF(A3007="","",SUMIF(Donasi!$B$2:$B$20000,A3007,Donasi!$C$2:$C$20000))</f>
        <v/>
      </c>
      <c r="E3007">
        <f>IF(A3007="","",6-CEILING(PERCENTRANK.INC($B$3:$B$6000,B3007,4)*5+0.000001,1))</f>
        <v/>
      </c>
      <c r="F3007">
        <f>IF(A3007="","",MAX(1,CEILING(PERCENTRANK.INC($C$3:$C$6000,C3007,4)*5+0.000001,1)))</f>
        <v/>
      </c>
      <c r="G3007">
        <f>IF(A3007="","",MAX(1,CEILING(PERCENTRANK.INC($D$3:$D$6000,D3007,4)*5+0.000001,1)))</f>
        <v/>
      </c>
      <c r="H3007">
        <f>IF(A3007="","",E3007&amp;F3007&amp;G3007)</f>
        <v/>
      </c>
      <c r="I3007">
        <f>IF(A3007="","",IF(AND(E3007&gt;=4,F3007&gt;=4,G3007&gt;=4),"Juara",IF(AND(F3007&gt;=4,E3007&gt;=3),"Setia",IF(AND(E3007=5,F3007&lt;=2,G3007&gt;=3),"Berpotensi",IF(AND(E3007&lt;=3,E3007&gt;=2,F3007&gt;=3),"Rawan",IF(AND(E3007&lt;=2,F3007&lt;=2),"Tidur","Umum"))))))</f>
        <v/>
      </c>
    </row>
    <row r="3008">
      <c r="B3008">
        <f>IF(A3008="","",$B$1-MAXIFS(Donasi!$A$2:$A$20000,Donasi!$B$2:$B$20000,A3008))</f>
        <v/>
      </c>
      <c r="C3008">
        <f>IF(A3008="","",COUNTIF(Donasi!$B$2:$B$20000,A3008))</f>
        <v/>
      </c>
      <c r="D3008">
        <f>IF(A3008="","",SUMIF(Donasi!$B$2:$B$20000,A3008,Donasi!$C$2:$C$20000))</f>
        <v/>
      </c>
      <c r="E3008">
        <f>IF(A3008="","",6-CEILING(PERCENTRANK.INC($B$3:$B$6000,B3008,4)*5+0.000001,1))</f>
        <v/>
      </c>
      <c r="F3008">
        <f>IF(A3008="","",MAX(1,CEILING(PERCENTRANK.INC($C$3:$C$6000,C3008,4)*5+0.000001,1)))</f>
        <v/>
      </c>
      <c r="G3008">
        <f>IF(A3008="","",MAX(1,CEILING(PERCENTRANK.INC($D$3:$D$6000,D3008,4)*5+0.000001,1)))</f>
        <v/>
      </c>
      <c r="H3008">
        <f>IF(A3008="","",E3008&amp;F3008&amp;G3008)</f>
        <v/>
      </c>
      <c r="I3008">
        <f>IF(A3008="","",IF(AND(E3008&gt;=4,F3008&gt;=4,G3008&gt;=4),"Juara",IF(AND(F3008&gt;=4,E3008&gt;=3),"Setia",IF(AND(E3008=5,F3008&lt;=2,G3008&gt;=3),"Berpotensi",IF(AND(E3008&lt;=3,E3008&gt;=2,F3008&gt;=3),"Rawan",IF(AND(E3008&lt;=2,F3008&lt;=2),"Tidur","Umum"))))))</f>
        <v/>
      </c>
    </row>
    <row r="3009">
      <c r="B3009">
        <f>IF(A3009="","",$B$1-MAXIFS(Donasi!$A$2:$A$20000,Donasi!$B$2:$B$20000,A3009))</f>
        <v/>
      </c>
      <c r="C3009">
        <f>IF(A3009="","",COUNTIF(Donasi!$B$2:$B$20000,A3009))</f>
        <v/>
      </c>
      <c r="D3009">
        <f>IF(A3009="","",SUMIF(Donasi!$B$2:$B$20000,A3009,Donasi!$C$2:$C$20000))</f>
        <v/>
      </c>
      <c r="E3009">
        <f>IF(A3009="","",6-CEILING(PERCENTRANK.INC($B$3:$B$6000,B3009,4)*5+0.000001,1))</f>
        <v/>
      </c>
      <c r="F3009">
        <f>IF(A3009="","",MAX(1,CEILING(PERCENTRANK.INC($C$3:$C$6000,C3009,4)*5+0.000001,1)))</f>
        <v/>
      </c>
      <c r="G3009">
        <f>IF(A3009="","",MAX(1,CEILING(PERCENTRANK.INC($D$3:$D$6000,D3009,4)*5+0.000001,1)))</f>
        <v/>
      </c>
      <c r="H3009">
        <f>IF(A3009="","",E3009&amp;F3009&amp;G3009)</f>
        <v/>
      </c>
      <c r="I3009">
        <f>IF(A3009="","",IF(AND(E3009&gt;=4,F3009&gt;=4,G3009&gt;=4),"Juara",IF(AND(F3009&gt;=4,E3009&gt;=3),"Setia",IF(AND(E3009=5,F3009&lt;=2,G3009&gt;=3),"Berpotensi",IF(AND(E3009&lt;=3,E3009&gt;=2,F3009&gt;=3),"Rawan",IF(AND(E3009&lt;=2,F3009&lt;=2),"Tidur","Umum"))))))</f>
        <v/>
      </c>
    </row>
    <row r="3010">
      <c r="B3010">
        <f>IF(A3010="","",$B$1-MAXIFS(Donasi!$A$2:$A$20000,Donasi!$B$2:$B$20000,A3010))</f>
        <v/>
      </c>
      <c r="C3010">
        <f>IF(A3010="","",COUNTIF(Donasi!$B$2:$B$20000,A3010))</f>
        <v/>
      </c>
      <c r="D3010">
        <f>IF(A3010="","",SUMIF(Donasi!$B$2:$B$20000,A3010,Donasi!$C$2:$C$20000))</f>
        <v/>
      </c>
      <c r="E3010">
        <f>IF(A3010="","",6-CEILING(PERCENTRANK.INC($B$3:$B$6000,B3010,4)*5+0.000001,1))</f>
        <v/>
      </c>
      <c r="F3010">
        <f>IF(A3010="","",MAX(1,CEILING(PERCENTRANK.INC($C$3:$C$6000,C3010,4)*5+0.000001,1)))</f>
        <v/>
      </c>
      <c r="G3010">
        <f>IF(A3010="","",MAX(1,CEILING(PERCENTRANK.INC($D$3:$D$6000,D3010,4)*5+0.000001,1)))</f>
        <v/>
      </c>
      <c r="H3010">
        <f>IF(A3010="","",E3010&amp;F3010&amp;G3010)</f>
        <v/>
      </c>
      <c r="I3010">
        <f>IF(A3010="","",IF(AND(E3010&gt;=4,F3010&gt;=4,G3010&gt;=4),"Juara",IF(AND(F3010&gt;=4,E3010&gt;=3),"Setia",IF(AND(E3010=5,F3010&lt;=2,G3010&gt;=3),"Berpotensi",IF(AND(E3010&lt;=3,E3010&gt;=2,F3010&gt;=3),"Rawan",IF(AND(E3010&lt;=2,F3010&lt;=2),"Tidur","Umum"))))))</f>
        <v/>
      </c>
    </row>
    <row r="3011">
      <c r="B3011">
        <f>IF(A3011="","",$B$1-MAXIFS(Donasi!$A$2:$A$20000,Donasi!$B$2:$B$20000,A3011))</f>
        <v/>
      </c>
      <c r="C3011">
        <f>IF(A3011="","",COUNTIF(Donasi!$B$2:$B$20000,A3011))</f>
        <v/>
      </c>
      <c r="D3011">
        <f>IF(A3011="","",SUMIF(Donasi!$B$2:$B$20000,A3011,Donasi!$C$2:$C$20000))</f>
        <v/>
      </c>
      <c r="E3011">
        <f>IF(A3011="","",6-CEILING(PERCENTRANK.INC($B$3:$B$6000,B3011,4)*5+0.000001,1))</f>
        <v/>
      </c>
      <c r="F3011">
        <f>IF(A3011="","",MAX(1,CEILING(PERCENTRANK.INC($C$3:$C$6000,C3011,4)*5+0.000001,1)))</f>
        <v/>
      </c>
      <c r="G3011">
        <f>IF(A3011="","",MAX(1,CEILING(PERCENTRANK.INC($D$3:$D$6000,D3011,4)*5+0.000001,1)))</f>
        <v/>
      </c>
      <c r="H3011">
        <f>IF(A3011="","",E3011&amp;F3011&amp;G3011)</f>
        <v/>
      </c>
      <c r="I3011">
        <f>IF(A3011="","",IF(AND(E3011&gt;=4,F3011&gt;=4,G3011&gt;=4),"Juara",IF(AND(F3011&gt;=4,E3011&gt;=3),"Setia",IF(AND(E3011=5,F3011&lt;=2,G3011&gt;=3),"Berpotensi",IF(AND(E3011&lt;=3,E3011&gt;=2,F3011&gt;=3),"Rawan",IF(AND(E3011&lt;=2,F3011&lt;=2),"Tidur","Umum"))))))</f>
        <v/>
      </c>
    </row>
    <row r="3012">
      <c r="B3012">
        <f>IF(A3012="","",$B$1-MAXIFS(Donasi!$A$2:$A$20000,Donasi!$B$2:$B$20000,A3012))</f>
        <v/>
      </c>
      <c r="C3012">
        <f>IF(A3012="","",COUNTIF(Donasi!$B$2:$B$20000,A3012))</f>
        <v/>
      </c>
      <c r="D3012">
        <f>IF(A3012="","",SUMIF(Donasi!$B$2:$B$20000,A3012,Donasi!$C$2:$C$20000))</f>
        <v/>
      </c>
      <c r="E3012">
        <f>IF(A3012="","",6-CEILING(PERCENTRANK.INC($B$3:$B$6000,B3012,4)*5+0.000001,1))</f>
        <v/>
      </c>
      <c r="F3012">
        <f>IF(A3012="","",MAX(1,CEILING(PERCENTRANK.INC($C$3:$C$6000,C3012,4)*5+0.000001,1)))</f>
        <v/>
      </c>
      <c r="G3012">
        <f>IF(A3012="","",MAX(1,CEILING(PERCENTRANK.INC($D$3:$D$6000,D3012,4)*5+0.000001,1)))</f>
        <v/>
      </c>
      <c r="H3012">
        <f>IF(A3012="","",E3012&amp;F3012&amp;G3012)</f>
        <v/>
      </c>
      <c r="I3012">
        <f>IF(A3012="","",IF(AND(E3012&gt;=4,F3012&gt;=4,G3012&gt;=4),"Juara",IF(AND(F3012&gt;=4,E3012&gt;=3),"Setia",IF(AND(E3012=5,F3012&lt;=2,G3012&gt;=3),"Berpotensi",IF(AND(E3012&lt;=3,E3012&gt;=2,F3012&gt;=3),"Rawan",IF(AND(E3012&lt;=2,F3012&lt;=2),"Tidur","Umum"))))))</f>
        <v/>
      </c>
    </row>
    <row r="3013">
      <c r="B3013">
        <f>IF(A3013="","",$B$1-MAXIFS(Donasi!$A$2:$A$20000,Donasi!$B$2:$B$20000,A3013))</f>
        <v/>
      </c>
      <c r="C3013">
        <f>IF(A3013="","",COUNTIF(Donasi!$B$2:$B$20000,A3013))</f>
        <v/>
      </c>
      <c r="D3013">
        <f>IF(A3013="","",SUMIF(Donasi!$B$2:$B$20000,A3013,Donasi!$C$2:$C$20000))</f>
        <v/>
      </c>
      <c r="E3013">
        <f>IF(A3013="","",6-CEILING(PERCENTRANK.INC($B$3:$B$6000,B3013,4)*5+0.000001,1))</f>
        <v/>
      </c>
      <c r="F3013">
        <f>IF(A3013="","",MAX(1,CEILING(PERCENTRANK.INC($C$3:$C$6000,C3013,4)*5+0.000001,1)))</f>
        <v/>
      </c>
      <c r="G3013">
        <f>IF(A3013="","",MAX(1,CEILING(PERCENTRANK.INC($D$3:$D$6000,D3013,4)*5+0.000001,1)))</f>
        <v/>
      </c>
      <c r="H3013">
        <f>IF(A3013="","",E3013&amp;F3013&amp;G3013)</f>
        <v/>
      </c>
      <c r="I3013">
        <f>IF(A3013="","",IF(AND(E3013&gt;=4,F3013&gt;=4,G3013&gt;=4),"Juara",IF(AND(F3013&gt;=4,E3013&gt;=3),"Setia",IF(AND(E3013=5,F3013&lt;=2,G3013&gt;=3),"Berpotensi",IF(AND(E3013&lt;=3,E3013&gt;=2,F3013&gt;=3),"Rawan",IF(AND(E3013&lt;=2,F3013&lt;=2),"Tidur","Umum"))))))</f>
        <v/>
      </c>
    </row>
    <row r="3014">
      <c r="B3014">
        <f>IF(A3014="","",$B$1-MAXIFS(Donasi!$A$2:$A$20000,Donasi!$B$2:$B$20000,A3014))</f>
        <v/>
      </c>
      <c r="C3014">
        <f>IF(A3014="","",COUNTIF(Donasi!$B$2:$B$20000,A3014))</f>
        <v/>
      </c>
      <c r="D3014">
        <f>IF(A3014="","",SUMIF(Donasi!$B$2:$B$20000,A3014,Donasi!$C$2:$C$20000))</f>
        <v/>
      </c>
      <c r="E3014">
        <f>IF(A3014="","",6-CEILING(PERCENTRANK.INC($B$3:$B$6000,B3014,4)*5+0.000001,1))</f>
        <v/>
      </c>
      <c r="F3014">
        <f>IF(A3014="","",MAX(1,CEILING(PERCENTRANK.INC($C$3:$C$6000,C3014,4)*5+0.000001,1)))</f>
        <v/>
      </c>
      <c r="G3014">
        <f>IF(A3014="","",MAX(1,CEILING(PERCENTRANK.INC($D$3:$D$6000,D3014,4)*5+0.000001,1)))</f>
        <v/>
      </c>
      <c r="H3014">
        <f>IF(A3014="","",E3014&amp;F3014&amp;G3014)</f>
        <v/>
      </c>
      <c r="I3014">
        <f>IF(A3014="","",IF(AND(E3014&gt;=4,F3014&gt;=4,G3014&gt;=4),"Juara",IF(AND(F3014&gt;=4,E3014&gt;=3),"Setia",IF(AND(E3014=5,F3014&lt;=2,G3014&gt;=3),"Berpotensi",IF(AND(E3014&lt;=3,E3014&gt;=2,F3014&gt;=3),"Rawan",IF(AND(E3014&lt;=2,F3014&lt;=2),"Tidur","Umum"))))))</f>
        <v/>
      </c>
    </row>
    <row r="3015">
      <c r="B3015">
        <f>IF(A3015="","",$B$1-MAXIFS(Donasi!$A$2:$A$20000,Donasi!$B$2:$B$20000,A3015))</f>
        <v/>
      </c>
      <c r="C3015">
        <f>IF(A3015="","",COUNTIF(Donasi!$B$2:$B$20000,A3015))</f>
        <v/>
      </c>
      <c r="D3015">
        <f>IF(A3015="","",SUMIF(Donasi!$B$2:$B$20000,A3015,Donasi!$C$2:$C$20000))</f>
        <v/>
      </c>
      <c r="E3015">
        <f>IF(A3015="","",6-CEILING(PERCENTRANK.INC($B$3:$B$6000,B3015,4)*5+0.000001,1))</f>
        <v/>
      </c>
      <c r="F3015">
        <f>IF(A3015="","",MAX(1,CEILING(PERCENTRANK.INC($C$3:$C$6000,C3015,4)*5+0.000001,1)))</f>
        <v/>
      </c>
      <c r="G3015">
        <f>IF(A3015="","",MAX(1,CEILING(PERCENTRANK.INC($D$3:$D$6000,D3015,4)*5+0.000001,1)))</f>
        <v/>
      </c>
      <c r="H3015">
        <f>IF(A3015="","",E3015&amp;F3015&amp;G3015)</f>
        <v/>
      </c>
      <c r="I3015">
        <f>IF(A3015="","",IF(AND(E3015&gt;=4,F3015&gt;=4,G3015&gt;=4),"Juara",IF(AND(F3015&gt;=4,E3015&gt;=3),"Setia",IF(AND(E3015=5,F3015&lt;=2,G3015&gt;=3),"Berpotensi",IF(AND(E3015&lt;=3,E3015&gt;=2,F3015&gt;=3),"Rawan",IF(AND(E3015&lt;=2,F3015&lt;=2),"Tidur","Umum"))))))</f>
        <v/>
      </c>
    </row>
    <row r="3016">
      <c r="B3016">
        <f>IF(A3016="","",$B$1-MAXIFS(Donasi!$A$2:$A$20000,Donasi!$B$2:$B$20000,A3016))</f>
        <v/>
      </c>
      <c r="C3016">
        <f>IF(A3016="","",COUNTIF(Donasi!$B$2:$B$20000,A3016))</f>
        <v/>
      </c>
      <c r="D3016">
        <f>IF(A3016="","",SUMIF(Donasi!$B$2:$B$20000,A3016,Donasi!$C$2:$C$20000))</f>
        <v/>
      </c>
      <c r="E3016">
        <f>IF(A3016="","",6-CEILING(PERCENTRANK.INC($B$3:$B$6000,B3016,4)*5+0.000001,1))</f>
        <v/>
      </c>
      <c r="F3016">
        <f>IF(A3016="","",MAX(1,CEILING(PERCENTRANK.INC($C$3:$C$6000,C3016,4)*5+0.000001,1)))</f>
        <v/>
      </c>
      <c r="G3016">
        <f>IF(A3016="","",MAX(1,CEILING(PERCENTRANK.INC($D$3:$D$6000,D3016,4)*5+0.000001,1)))</f>
        <v/>
      </c>
      <c r="H3016">
        <f>IF(A3016="","",E3016&amp;F3016&amp;G3016)</f>
        <v/>
      </c>
      <c r="I3016">
        <f>IF(A3016="","",IF(AND(E3016&gt;=4,F3016&gt;=4,G3016&gt;=4),"Juara",IF(AND(F3016&gt;=4,E3016&gt;=3),"Setia",IF(AND(E3016=5,F3016&lt;=2,G3016&gt;=3),"Berpotensi",IF(AND(E3016&lt;=3,E3016&gt;=2,F3016&gt;=3),"Rawan",IF(AND(E3016&lt;=2,F3016&lt;=2),"Tidur","Umum"))))))</f>
        <v/>
      </c>
    </row>
    <row r="3017">
      <c r="B3017">
        <f>IF(A3017="","",$B$1-MAXIFS(Donasi!$A$2:$A$20000,Donasi!$B$2:$B$20000,A3017))</f>
        <v/>
      </c>
      <c r="C3017">
        <f>IF(A3017="","",COUNTIF(Donasi!$B$2:$B$20000,A3017))</f>
        <v/>
      </c>
      <c r="D3017">
        <f>IF(A3017="","",SUMIF(Donasi!$B$2:$B$20000,A3017,Donasi!$C$2:$C$20000))</f>
        <v/>
      </c>
      <c r="E3017">
        <f>IF(A3017="","",6-CEILING(PERCENTRANK.INC($B$3:$B$6000,B3017,4)*5+0.000001,1))</f>
        <v/>
      </c>
      <c r="F3017">
        <f>IF(A3017="","",MAX(1,CEILING(PERCENTRANK.INC($C$3:$C$6000,C3017,4)*5+0.000001,1)))</f>
        <v/>
      </c>
      <c r="G3017">
        <f>IF(A3017="","",MAX(1,CEILING(PERCENTRANK.INC($D$3:$D$6000,D3017,4)*5+0.000001,1)))</f>
        <v/>
      </c>
      <c r="H3017">
        <f>IF(A3017="","",E3017&amp;F3017&amp;G3017)</f>
        <v/>
      </c>
      <c r="I3017">
        <f>IF(A3017="","",IF(AND(E3017&gt;=4,F3017&gt;=4,G3017&gt;=4),"Juara",IF(AND(F3017&gt;=4,E3017&gt;=3),"Setia",IF(AND(E3017=5,F3017&lt;=2,G3017&gt;=3),"Berpotensi",IF(AND(E3017&lt;=3,E3017&gt;=2,F3017&gt;=3),"Rawan",IF(AND(E3017&lt;=2,F3017&lt;=2),"Tidur","Umum"))))))</f>
        <v/>
      </c>
    </row>
    <row r="3018">
      <c r="B3018">
        <f>IF(A3018="","",$B$1-MAXIFS(Donasi!$A$2:$A$20000,Donasi!$B$2:$B$20000,A3018))</f>
        <v/>
      </c>
      <c r="C3018">
        <f>IF(A3018="","",COUNTIF(Donasi!$B$2:$B$20000,A3018))</f>
        <v/>
      </c>
      <c r="D3018">
        <f>IF(A3018="","",SUMIF(Donasi!$B$2:$B$20000,A3018,Donasi!$C$2:$C$20000))</f>
        <v/>
      </c>
      <c r="E3018">
        <f>IF(A3018="","",6-CEILING(PERCENTRANK.INC($B$3:$B$6000,B3018,4)*5+0.000001,1))</f>
        <v/>
      </c>
      <c r="F3018">
        <f>IF(A3018="","",MAX(1,CEILING(PERCENTRANK.INC($C$3:$C$6000,C3018,4)*5+0.000001,1)))</f>
        <v/>
      </c>
      <c r="G3018">
        <f>IF(A3018="","",MAX(1,CEILING(PERCENTRANK.INC($D$3:$D$6000,D3018,4)*5+0.000001,1)))</f>
        <v/>
      </c>
      <c r="H3018">
        <f>IF(A3018="","",E3018&amp;F3018&amp;G3018)</f>
        <v/>
      </c>
      <c r="I3018">
        <f>IF(A3018="","",IF(AND(E3018&gt;=4,F3018&gt;=4,G3018&gt;=4),"Juara",IF(AND(F3018&gt;=4,E3018&gt;=3),"Setia",IF(AND(E3018=5,F3018&lt;=2,G3018&gt;=3),"Berpotensi",IF(AND(E3018&lt;=3,E3018&gt;=2,F3018&gt;=3),"Rawan",IF(AND(E3018&lt;=2,F3018&lt;=2),"Tidur","Umum"))))))</f>
        <v/>
      </c>
    </row>
    <row r="3019">
      <c r="B3019">
        <f>IF(A3019="","",$B$1-MAXIFS(Donasi!$A$2:$A$20000,Donasi!$B$2:$B$20000,A3019))</f>
        <v/>
      </c>
      <c r="C3019">
        <f>IF(A3019="","",COUNTIF(Donasi!$B$2:$B$20000,A3019))</f>
        <v/>
      </c>
      <c r="D3019">
        <f>IF(A3019="","",SUMIF(Donasi!$B$2:$B$20000,A3019,Donasi!$C$2:$C$20000))</f>
        <v/>
      </c>
      <c r="E3019">
        <f>IF(A3019="","",6-CEILING(PERCENTRANK.INC($B$3:$B$6000,B3019,4)*5+0.000001,1))</f>
        <v/>
      </c>
      <c r="F3019">
        <f>IF(A3019="","",MAX(1,CEILING(PERCENTRANK.INC($C$3:$C$6000,C3019,4)*5+0.000001,1)))</f>
        <v/>
      </c>
      <c r="G3019">
        <f>IF(A3019="","",MAX(1,CEILING(PERCENTRANK.INC($D$3:$D$6000,D3019,4)*5+0.000001,1)))</f>
        <v/>
      </c>
      <c r="H3019">
        <f>IF(A3019="","",E3019&amp;F3019&amp;G3019)</f>
        <v/>
      </c>
      <c r="I3019">
        <f>IF(A3019="","",IF(AND(E3019&gt;=4,F3019&gt;=4,G3019&gt;=4),"Juara",IF(AND(F3019&gt;=4,E3019&gt;=3),"Setia",IF(AND(E3019=5,F3019&lt;=2,G3019&gt;=3),"Berpotensi",IF(AND(E3019&lt;=3,E3019&gt;=2,F3019&gt;=3),"Rawan",IF(AND(E3019&lt;=2,F3019&lt;=2),"Tidur","Umum"))))))</f>
        <v/>
      </c>
    </row>
    <row r="3020">
      <c r="B3020">
        <f>IF(A3020="","",$B$1-MAXIFS(Donasi!$A$2:$A$20000,Donasi!$B$2:$B$20000,A3020))</f>
        <v/>
      </c>
      <c r="C3020">
        <f>IF(A3020="","",COUNTIF(Donasi!$B$2:$B$20000,A3020))</f>
        <v/>
      </c>
      <c r="D3020">
        <f>IF(A3020="","",SUMIF(Donasi!$B$2:$B$20000,A3020,Donasi!$C$2:$C$20000))</f>
        <v/>
      </c>
      <c r="E3020">
        <f>IF(A3020="","",6-CEILING(PERCENTRANK.INC($B$3:$B$6000,B3020,4)*5+0.000001,1))</f>
        <v/>
      </c>
      <c r="F3020">
        <f>IF(A3020="","",MAX(1,CEILING(PERCENTRANK.INC($C$3:$C$6000,C3020,4)*5+0.000001,1)))</f>
        <v/>
      </c>
      <c r="G3020">
        <f>IF(A3020="","",MAX(1,CEILING(PERCENTRANK.INC($D$3:$D$6000,D3020,4)*5+0.000001,1)))</f>
        <v/>
      </c>
      <c r="H3020">
        <f>IF(A3020="","",E3020&amp;F3020&amp;G3020)</f>
        <v/>
      </c>
      <c r="I3020">
        <f>IF(A3020="","",IF(AND(E3020&gt;=4,F3020&gt;=4,G3020&gt;=4),"Juara",IF(AND(F3020&gt;=4,E3020&gt;=3),"Setia",IF(AND(E3020=5,F3020&lt;=2,G3020&gt;=3),"Berpotensi",IF(AND(E3020&lt;=3,E3020&gt;=2,F3020&gt;=3),"Rawan",IF(AND(E3020&lt;=2,F3020&lt;=2),"Tidur","Umum"))))))</f>
        <v/>
      </c>
    </row>
    <row r="3021">
      <c r="B3021">
        <f>IF(A3021="","",$B$1-MAXIFS(Donasi!$A$2:$A$20000,Donasi!$B$2:$B$20000,A3021))</f>
        <v/>
      </c>
      <c r="C3021">
        <f>IF(A3021="","",COUNTIF(Donasi!$B$2:$B$20000,A3021))</f>
        <v/>
      </c>
      <c r="D3021">
        <f>IF(A3021="","",SUMIF(Donasi!$B$2:$B$20000,A3021,Donasi!$C$2:$C$20000))</f>
        <v/>
      </c>
      <c r="E3021">
        <f>IF(A3021="","",6-CEILING(PERCENTRANK.INC($B$3:$B$6000,B3021,4)*5+0.000001,1))</f>
        <v/>
      </c>
      <c r="F3021">
        <f>IF(A3021="","",MAX(1,CEILING(PERCENTRANK.INC($C$3:$C$6000,C3021,4)*5+0.000001,1)))</f>
        <v/>
      </c>
      <c r="G3021">
        <f>IF(A3021="","",MAX(1,CEILING(PERCENTRANK.INC($D$3:$D$6000,D3021,4)*5+0.000001,1)))</f>
        <v/>
      </c>
      <c r="H3021">
        <f>IF(A3021="","",E3021&amp;F3021&amp;G3021)</f>
        <v/>
      </c>
      <c r="I3021">
        <f>IF(A3021="","",IF(AND(E3021&gt;=4,F3021&gt;=4,G3021&gt;=4),"Juara",IF(AND(F3021&gt;=4,E3021&gt;=3),"Setia",IF(AND(E3021=5,F3021&lt;=2,G3021&gt;=3),"Berpotensi",IF(AND(E3021&lt;=3,E3021&gt;=2,F3021&gt;=3),"Rawan",IF(AND(E3021&lt;=2,F3021&lt;=2),"Tidur","Umum"))))))</f>
        <v/>
      </c>
    </row>
    <row r="3022">
      <c r="B3022">
        <f>IF(A3022="","",$B$1-MAXIFS(Donasi!$A$2:$A$20000,Donasi!$B$2:$B$20000,A3022))</f>
        <v/>
      </c>
      <c r="C3022">
        <f>IF(A3022="","",COUNTIF(Donasi!$B$2:$B$20000,A3022))</f>
        <v/>
      </c>
      <c r="D3022">
        <f>IF(A3022="","",SUMIF(Donasi!$B$2:$B$20000,A3022,Donasi!$C$2:$C$20000))</f>
        <v/>
      </c>
      <c r="E3022">
        <f>IF(A3022="","",6-CEILING(PERCENTRANK.INC($B$3:$B$6000,B3022,4)*5+0.000001,1))</f>
        <v/>
      </c>
      <c r="F3022">
        <f>IF(A3022="","",MAX(1,CEILING(PERCENTRANK.INC($C$3:$C$6000,C3022,4)*5+0.000001,1)))</f>
        <v/>
      </c>
      <c r="G3022">
        <f>IF(A3022="","",MAX(1,CEILING(PERCENTRANK.INC($D$3:$D$6000,D3022,4)*5+0.000001,1)))</f>
        <v/>
      </c>
      <c r="H3022">
        <f>IF(A3022="","",E3022&amp;F3022&amp;G3022)</f>
        <v/>
      </c>
      <c r="I3022">
        <f>IF(A3022="","",IF(AND(E3022&gt;=4,F3022&gt;=4,G3022&gt;=4),"Juara",IF(AND(F3022&gt;=4,E3022&gt;=3),"Setia",IF(AND(E3022=5,F3022&lt;=2,G3022&gt;=3),"Berpotensi",IF(AND(E3022&lt;=3,E3022&gt;=2,F3022&gt;=3),"Rawan",IF(AND(E3022&lt;=2,F3022&lt;=2),"Tidur","Umum"))))))</f>
        <v/>
      </c>
    </row>
    <row r="3023">
      <c r="B3023">
        <f>IF(A3023="","",$B$1-MAXIFS(Donasi!$A$2:$A$20000,Donasi!$B$2:$B$20000,A3023))</f>
        <v/>
      </c>
      <c r="C3023">
        <f>IF(A3023="","",COUNTIF(Donasi!$B$2:$B$20000,A3023))</f>
        <v/>
      </c>
      <c r="D3023">
        <f>IF(A3023="","",SUMIF(Donasi!$B$2:$B$20000,A3023,Donasi!$C$2:$C$20000))</f>
        <v/>
      </c>
      <c r="E3023">
        <f>IF(A3023="","",6-CEILING(PERCENTRANK.INC($B$3:$B$6000,B3023,4)*5+0.000001,1))</f>
        <v/>
      </c>
      <c r="F3023">
        <f>IF(A3023="","",MAX(1,CEILING(PERCENTRANK.INC($C$3:$C$6000,C3023,4)*5+0.000001,1)))</f>
        <v/>
      </c>
      <c r="G3023">
        <f>IF(A3023="","",MAX(1,CEILING(PERCENTRANK.INC($D$3:$D$6000,D3023,4)*5+0.000001,1)))</f>
        <v/>
      </c>
      <c r="H3023">
        <f>IF(A3023="","",E3023&amp;F3023&amp;G3023)</f>
        <v/>
      </c>
      <c r="I3023">
        <f>IF(A3023="","",IF(AND(E3023&gt;=4,F3023&gt;=4,G3023&gt;=4),"Juara",IF(AND(F3023&gt;=4,E3023&gt;=3),"Setia",IF(AND(E3023=5,F3023&lt;=2,G3023&gt;=3),"Berpotensi",IF(AND(E3023&lt;=3,E3023&gt;=2,F3023&gt;=3),"Rawan",IF(AND(E3023&lt;=2,F3023&lt;=2),"Tidur","Umum"))))))</f>
        <v/>
      </c>
    </row>
    <row r="3024">
      <c r="B3024">
        <f>IF(A3024="","",$B$1-MAXIFS(Donasi!$A$2:$A$20000,Donasi!$B$2:$B$20000,A3024))</f>
        <v/>
      </c>
      <c r="C3024">
        <f>IF(A3024="","",COUNTIF(Donasi!$B$2:$B$20000,A3024))</f>
        <v/>
      </c>
      <c r="D3024">
        <f>IF(A3024="","",SUMIF(Donasi!$B$2:$B$20000,A3024,Donasi!$C$2:$C$20000))</f>
        <v/>
      </c>
      <c r="E3024">
        <f>IF(A3024="","",6-CEILING(PERCENTRANK.INC($B$3:$B$6000,B3024,4)*5+0.000001,1))</f>
        <v/>
      </c>
      <c r="F3024">
        <f>IF(A3024="","",MAX(1,CEILING(PERCENTRANK.INC($C$3:$C$6000,C3024,4)*5+0.000001,1)))</f>
        <v/>
      </c>
      <c r="G3024">
        <f>IF(A3024="","",MAX(1,CEILING(PERCENTRANK.INC($D$3:$D$6000,D3024,4)*5+0.000001,1)))</f>
        <v/>
      </c>
      <c r="H3024">
        <f>IF(A3024="","",E3024&amp;F3024&amp;G3024)</f>
        <v/>
      </c>
      <c r="I3024">
        <f>IF(A3024="","",IF(AND(E3024&gt;=4,F3024&gt;=4,G3024&gt;=4),"Juara",IF(AND(F3024&gt;=4,E3024&gt;=3),"Setia",IF(AND(E3024=5,F3024&lt;=2,G3024&gt;=3),"Berpotensi",IF(AND(E3024&lt;=3,E3024&gt;=2,F3024&gt;=3),"Rawan",IF(AND(E3024&lt;=2,F3024&lt;=2),"Tidur","Umum"))))))</f>
        <v/>
      </c>
    </row>
    <row r="3025">
      <c r="B3025">
        <f>IF(A3025="","",$B$1-MAXIFS(Donasi!$A$2:$A$20000,Donasi!$B$2:$B$20000,A3025))</f>
        <v/>
      </c>
      <c r="C3025">
        <f>IF(A3025="","",COUNTIF(Donasi!$B$2:$B$20000,A3025))</f>
        <v/>
      </c>
      <c r="D3025">
        <f>IF(A3025="","",SUMIF(Donasi!$B$2:$B$20000,A3025,Donasi!$C$2:$C$20000))</f>
        <v/>
      </c>
      <c r="E3025">
        <f>IF(A3025="","",6-CEILING(PERCENTRANK.INC($B$3:$B$6000,B3025,4)*5+0.000001,1))</f>
        <v/>
      </c>
      <c r="F3025">
        <f>IF(A3025="","",MAX(1,CEILING(PERCENTRANK.INC($C$3:$C$6000,C3025,4)*5+0.000001,1)))</f>
        <v/>
      </c>
      <c r="G3025">
        <f>IF(A3025="","",MAX(1,CEILING(PERCENTRANK.INC($D$3:$D$6000,D3025,4)*5+0.000001,1)))</f>
        <v/>
      </c>
      <c r="H3025">
        <f>IF(A3025="","",E3025&amp;F3025&amp;G3025)</f>
        <v/>
      </c>
      <c r="I3025">
        <f>IF(A3025="","",IF(AND(E3025&gt;=4,F3025&gt;=4,G3025&gt;=4),"Juara",IF(AND(F3025&gt;=4,E3025&gt;=3),"Setia",IF(AND(E3025=5,F3025&lt;=2,G3025&gt;=3),"Berpotensi",IF(AND(E3025&lt;=3,E3025&gt;=2,F3025&gt;=3),"Rawan",IF(AND(E3025&lt;=2,F3025&lt;=2),"Tidur","Umum"))))))</f>
        <v/>
      </c>
    </row>
    <row r="3026">
      <c r="B3026">
        <f>IF(A3026="","",$B$1-MAXIFS(Donasi!$A$2:$A$20000,Donasi!$B$2:$B$20000,A3026))</f>
        <v/>
      </c>
      <c r="C3026">
        <f>IF(A3026="","",COUNTIF(Donasi!$B$2:$B$20000,A3026))</f>
        <v/>
      </c>
      <c r="D3026">
        <f>IF(A3026="","",SUMIF(Donasi!$B$2:$B$20000,A3026,Donasi!$C$2:$C$20000))</f>
        <v/>
      </c>
      <c r="E3026">
        <f>IF(A3026="","",6-CEILING(PERCENTRANK.INC($B$3:$B$6000,B3026,4)*5+0.000001,1))</f>
        <v/>
      </c>
      <c r="F3026">
        <f>IF(A3026="","",MAX(1,CEILING(PERCENTRANK.INC($C$3:$C$6000,C3026,4)*5+0.000001,1)))</f>
        <v/>
      </c>
      <c r="G3026">
        <f>IF(A3026="","",MAX(1,CEILING(PERCENTRANK.INC($D$3:$D$6000,D3026,4)*5+0.000001,1)))</f>
        <v/>
      </c>
      <c r="H3026">
        <f>IF(A3026="","",E3026&amp;F3026&amp;G3026)</f>
        <v/>
      </c>
      <c r="I3026">
        <f>IF(A3026="","",IF(AND(E3026&gt;=4,F3026&gt;=4,G3026&gt;=4),"Juara",IF(AND(F3026&gt;=4,E3026&gt;=3),"Setia",IF(AND(E3026=5,F3026&lt;=2,G3026&gt;=3),"Berpotensi",IF(AND(E3026&lt;=3,E3026&gt;=2,F3026&gt;=3),"Rawan",IF(AND(E3026&lt;=2,F3026&lt;=2),"Tidur","Umum"))))))</f>
        <v/>
      </c>
    </row>
    <row r="3027">
      <c r="B3027">
        <f>IF(A3027="","",$B$1-MAXIFS(Donasi!$A$2:$A$20000,Donasi!$B$2:$B$20000,A3027))</f>
        <v/>
      </c>
      <c r="C3027">
        <f>IF(A3027="","",COUNTIF(Donasi!$B$2:$B$20000,A3027))</f>
        <v/>
      </c>
      <c r="D3027">
        <f>IF(A3027="","",SUMIF(Donasi!$B$2:$B$20000,A3027,Donasi!$C$2:$C$20000))</f>
        <v/>
      </c>
      <c r="E3027">
        <f>IF(A3027="","",6-CEILING(PERCENTRANK.INC($B$3:$B$6000,B3027,4)*5+0.000001,1))</f>
        <v/>
      </c>
      <c r="F3027">
        <f>IF(A3027="","",MAX(1,CEILING(PERCENTRANK.INC($C$3:$C$6000,C3027,4)*5+0.000001,1)))</f>
        <v/>
      </c>
      <c r="G3027">
        <f>IF(A3027="","",MAX(1,CEILING(PERCENTRANK.INC($D$3:$D$6000,D3027,4)*5+0.000001,1)))</f>
        <v/>
      </c>
      <c r="H3027">
        <f>IF(A3027="","",E3027&amp;F3027&amp;G3027)</f>
        <v/>
      </c>
      <c r="I3027">
        <f>IF(A3027="","",IF(AND(E3027&gt;=4,F3027&gt;=4,G3027&gt;=4),"Juara",IF(AND(F3027&gt;=4,E3027&gt;=3),"Setia",IF(AND(E3027=5,F3027&lt;=2,G3027&gt;=3),"Berpotensi",IF(AND(E3027&lt;=3,E3027&gt;=2,F3027&gt;=3),"Rawan",IF(AND(E3027&lt;=2,F3027&lt;=2),"Tidur","Umum"))))))</f>
        <v/>
      </c>
    </row>
    <row r="3028">
      <c r="B3028">
        <f>IF(A3028="","",$B$1-MAXIFS(Donasi!$A$2:$A$20000,Donasi!$B$2:$B$20000,A3028))</f>
        <v/>
      </c>
      <c r="C3028">
        <f>IF(A3028="","",COUNTIF(Donasi!$B$2:$B$20000,A3028))</f>
        <v/>
      </c>
      <c r="D3028">
        <f>IF(A3028="","",SUMIF(Donasi!$B$2:$B$20000,A3028,Donasi!$C$2:$C$20000))</f>
        <v/>
      </c>
      <c r="E3028">
        <f>IF(A3028="","",6-CEILING(PERCENTRANK.INC($B$3:$B$6000,B3028,4)*5+0.000001,1))</f>
        <v/>
      </c>
      <c r="F3028">
        <f>IF(A3028="","",MAX(1,CEILING(PERCENTRANK.INC($C$3:$C$6000,C3028,4)*5+0.000001,1)))</f>
        <v/>
      </c>
      <c r="G3028">
        <f>IF(A3028="","",MAX(1,CEILING(PERCENTRANK.INC($D$3:$D$6000,D3028,4)*5+0.000001,1)))</f>
        <v/>
      </c>
      <c r="H3028">
        <f>IF(A3028="","",E3028&amp;F3028&amp;G3028)</f>
        <v/>
      </c>
      <c r="I3028">
        <f>IF(A3028="","",IF(AND(E3028&gt;=4,F3028&gt;=4,G3028&gt;=4),"Juara",IF(AND(F3028&gt;=4,E3028&gt;=3),"Setia",IF(AND(E3028=5,F3028&lt;=2,G3028&gt;=3),"Berpotensi",IF(AND(E3028&lt;=3,E3028&gt;=2,F3028&gt;=3),"Rawan",IF(AND(E3028&lt;=2,F3028&lt;=2),"Tidur","Umum"))))))</f>
        <v/>
      </c>
    </row>
    <row r="3029">
      <c r="B3029">
        <f>IF(A3029="","",$B$1-MAXIFS(Donasi!$A$2:$A$20000,Donasi!$B$2:$B$20000,A3029))</f>
        <v/>
      </c>
      <c r="C3029">
        <f>IF(A3029="","",COUNTIF(Donasi!$B$2:$B$20000,A3029))</f>
        <v/>
      </c>
      <c r="D3029">
        <f>IF(A3029="","",SUMIF(Donasi!$B$2:$B$20000,A3029,Donasi!$C$2:$C$20000))</f>
        <v/>
      </c>
      <c r="E3029">
        <f>IF(A3029="","",6-CEILING(PERCENTRANK.INC($B$3:$B$6000,B3029,4)*5+0.000001,1))</f>
        <v/>
      </c>
      <c r="F3029">
        <f>IF(A3029="","",MAX(1,CEILING(PERCENTRANK.INC($C$3:$C$6000,C3029,4)*5+0.000001,1)))</f>
        <v/>
      </c>
      <c r="G3029">
        <f>IF(A3029="","",MAX(1,CEILING(PERCENTRANK.INC($D$3:$D$6000,D3029,4)*5+0.000001,1)))</f>
        <v/>
      </c>
      <c r="H3029">
        <f>IF(A3029="","",E3029&amp;F3029&amp;G3029)</f>
        <v/>
      </c>
      <c r="I3029">
        <f>IF(A3029="","",IF(AND(E3029&gt;=4,F3029&gt;=4,G3029&gt;=4),"Juara",IF(AND(F3029&gt;=4,E3029&gt;=3),"Setia",IF(AND(E3029=5,F3029&lt;=2,G3029&gt;=3),"Berpotensi",IF(AND(E3029&lt;=3,E3029&gt;=2,F3029&gt;=3),"Rawan",IF(AND(E3029&lt;=2,F3029&lt;=2),"Tidur","Umum"))))))</f>
        <v/>
      </c>
    </row>
    <row r="3030">
      <c r="B3030">
        <f>IF(A3030="","",$B$1-MAXIFS(Donasi!$A$2:$A$20000,Donasi!$B$2:$B$20000,A3030))</f>
        <v/>
      </c>
      <c r="C3030">
        <f>IF(A3030="","",COUNTIF(Donasi!$B$2:$B$20000,A3030))</f>
        <v/>
      </c>
      <c r="D3030">
        <f>IF(A3030="","",SUMIF(Donasi!$B$2:$B$20000,A3030,Donasi!$C$2:$C$20000))</f>
        <v/>
      </c>
      <c r="E3030">
        <f>IF(A3030="","",6-CEILING(PERCENTRANK.INC($B$3:$B$6000,B3030,4)*5+0.000001,1))</f>
        <v/>
      </c>
      <c r="F3030">
        <f>IF(A3030="","",MAX(1,CEILING(PERCENTRANK.INC($C$3:$C$6000,C3030,4)*5+0.000001,1)))</f>
        <v/>
      </c>
      <c r="G3030">
        <f>IF(A3030="","",MAX(1,CEILING(PERCENTRANK.INC($D$3:$D$6000,D3030,4)*5+0.000001,1)))</f>
        <v/>
      </c>
      <c r="H3030">
        <f>IF(A3030="","",E3030&amp;F3030&amp;G3030)</f>
        <v/>
      </c>
      <c r="I3030">
        <f>IF(A3030="","",IF(AND(E3030&gt;=4,F3030&gt;=4,G3030&gt;=4),"Juara",IF(AND(F3030&gt;=4,E3030&gt;=3),"Setia",IF(AND(E3030=5,F3030&lt;=2,G3030&gt;=3),"Berpotensi",IF(AND(E3030&lt;=3,E3030&gt;=2,F3030&gt;=3),"Rawan",IF(AND(E3030&lt;=2,F3030&lt;=2),"Tidur","Umum"))))))</f>
        <v/>
      </c>
    </row>
    <row r="3031">
      <c r="B3031">
        <f>IF(A3031="","",$B$1-MAXIFS(Donasi!$A$2:$A$20000,Donasi!$B$2:$B$20000,A3031))</f>
        <v/>
      </c>
      <c r="C3031">
        <f>IF(A3031="","",COUNTIF(Donasi!$B$2:$B$20000,A3031))</f>
        <v/>
      </c>
      <c r="D3031">
        <f>IF(A3031="","",SUMIF(Donasi!$B$2:$B$20000,A3031,Donasi!$C$2:$C$20000))</f>
        <v/>
      </c>
      <c r="E3031">
        <f>IF(A3031="","",6-CEILING(PERCENTRANK.INC($B$3:$B$6000,B3031,4)*5+0.000001,1))</f>
        <v/>
      </c>
      <c r="F3031">
        <f>IF(A3031="","",MAX(1,CEILING(PERCENTRANK.INC($C$3:$C$6000,C3031,4)*5+0.000001,1)))</f>
        <v/>
      </c>
      <c r="G3031">
        <f>IF(A3031="","",MAX(1,CEILING(PERCENTRANK.INC($D$3:$D$6000,D3031,4)*5+0.000001,1)))</f>
        <v/>
      </c>
      <c r="H3031">
        <f>IF(A3031="","",E3031&amp;F3031&amp;G3031)</f>
        <v/>
      </c>
      <c r="I3031">
        <f>IF(A3031="","",IF(AND(E3031&gt;=4,F3031&gt;=4,G3031&gt;=4),"Juara",IF(AND(F3031&gt;=4,E3031&gt;=3),"Setia",IF(AND(E3031=5,F3031&lt;=2,G3031&gt;=3),"Berpotensi",IF(AND(E3031&lt;=3,E3031&gt;=2,F3031&gt;=3),"Rawan",IF(AND(E3031&lt;=2,F3031&lt;=2),"Tidur","Umum"))))))</f>
        <v/>
      </c>
    </row>
    <row r="3032">
      <c r="B3032">
        <f>IF(A3032="","",$B$1-MAXIFS(Donasi!$A$2:$A$20000,Donasi!$B$2:$B$20000,A3032))</f>
        <v/>
      </c>
      <c r="C3032">
        <f>IF(A3032="","",COUNTIF(Donasi!$B$2:$B$20000,A3032))</f>
        <v/>
      </c>
      <c r="D3032">
        <f>IF(A3032="","",SUMIF(Donasi!$B$2:$B$20000,A3032,Donasi!$C$2:$C$20000))</f>
        <v/>
      </c>
      <c r="E3032">
        <f>IF(A3032="","",6-CEILING(PERCENTRANK.INC($B$3:$B$6000,B3032,4)*5+0.000001,1))</f>
        <v/>
      </c>
      <c r="F3032">
        <f>IF(A3032="","",MAX(1,CEILING(PERCENTRANK.INC($C$3:$C$6000,C3032,4)*5+0.000001,1)))</f>
        <v/>
      </c>
      <c r="G3032">
        <f>IF(A3032="","",MAX(1,CEILING(PERCENTRANK.INC($D$3:$D$6000,D3032,4)*5+0.000001,1)))</f>
        <v/>
      </c>
      <c r="H3032">
        <f>IF(A3032="","",E3032&amp;F3032&amp;G3032)</f>
        <v/>
      </c>
      <c r="I3032">
        <f>IF(A3032="","",IF(AND(E3032&gt;=4,F3032&gt;=4,G3032&gt;=4),"Juara",IF(AND(F3032&gt;=4,E3032&gt;=3),"Setia",IF(AND(E3032=5,F3032&lt;=2,G3032&gt;=3),"Berpotensi",IF(AND(E3032&lt;=3,E3032&gt;=2,F3032&gt;=3),"Rawan",IF(AND(E3032&lt;=2,F3032&lt;=2),"Tidur","Umum"))))))</f>
        <v/>
      </c>
    </row>
    <row r="3033">
      <c r="B3033">
        <f>IF(A3033="","",$B$1-MAXIFS(Donasi!$A$2:$A$20000,Donasi!$B$2:$B$20000,A3033))</f>
        <v/>
      </c>
      <c r="C3033">
        <f>IF(A3033="","",COUNTIF(Donasi!$B$2:$B$20000,A3033))</f>
        <v/>
      </c>
      <c r="D3033">
        <f>IF(A3033="","",SUMIF(Donasi!$B$2:$B$20000,A3033,Donasi!$C$2:$C$20000))</f>
        <v/>
      </c>
      <c r="E3033">
        <f>IF(A3033="","",6-CEILING(PERCENTRANK.INC($B$3:$B$6000,B3033,4)*5+0.000001,1))</f>
        <v/>
      </c>
      <c r="F3033">
        <f>IF(A3033="","",MAX(1,CEILING(PERCENTRANK.INC($C$3:$C$6000,C3033,4)*5+0.000001,1)))</f>
        <v/>
      </c>
      <c r="G3033">
        <f>IF(A3033="","",MAX(1,CEILING(PERCENTRANK.INC($D$3:$D$6000,D3033,4)*5+0.000001,1)))</f>
        <v/>
      </c>
      <c r="H3033">
        <f>IF(A3033="","",E3033&amp;F3033&amp;G3033)</f>
        <v/>
      </c>
      <c r="I3033">
        <f>IF(A3033="","",IF(AND(E3033&gt;=4,F3033&gt;=4,G3033&gt;=4),"Juara",IF(AND(F3033&gt;=4,E3033&gt;=3),"Setia",IF(AND(E3033=5,F3033&lt;=2,G3033&gt;=3),"Berpotensi",IF(AND(E3033&lt;=3,E3033&gt;=2,F3033&gt;=3),"Rawan",IF(AND(E3033&lt;=2,F3033&lt;=2),"Tidur","Umum"))))))</f>
        <v/>
      </c>
    </row>
    <row r="3034">
      <c r="B3034">
        <f>IF(A3034="","",$B$1-MAXIFS(Donasi!$A$2:$A$20000,Donasi!$B$2:$B$20000,A3034))</f>
        <v/>
      </c>
      <c r="C3034">
        <f>IF(A3034="","",COUNTIF(Donasi!$B$2:$B$20000,A3034))</f>
        <v/>
      </c>
      <c r="D3034">
        <f>IF(A3034="","",SUMIF(Donasi!$B$2:$B$20000,A3034,Donasi!$C$2:$C$20000))</f>
        <v/>
      </c>
      <c r="E3034">
        <f>IF(A3034="","",6-CEILING(PERCENTRANK.INC($B$3:$B$6000,B3034,4)*5+0.000001,1))</f>
        <v/>
      </c>
      <c r="F3034">
        <f>IF(A3034="","",MAX(1,CEILING(PERCENTRANK.INC($C$3:$C$6000,C3034,4)*5+0.000001,1)))</f>
        <v/>
      </c>
      <c r="G3034">
        <f>IF(A3034="","",MAX(1,CEILING(PERCENTRANK.INC($D$3:$D$6000,D3034,4)*5+0.000001,1)))</f>
        <v/>
      </c>
      <c r="H3034">
        <f>IF(A3034="","",E3034&amp;F3034&amp;G3034)</f>
        <v/>
      </c>
      <c r="I3034">
        <f>IF(A3034="","",IF(AND(E3034&gt;=4,F3034&gt;=4,G3034&gt;=4),"Juara",IF(AND(F3034&gt;=4,E3034&gt;=3),"Setia",IF(AND(E3034=5,F3034&lt;=2,G3034&gt;=3),"Berpotensi",IF(AND(E3034&lt;=3,E3034&gt;=2,F3034&gt;=3),"Rawan",IF(AND(E3034&lt;=2,F3034&lt;=2),"Tidur","Umum"))))))</f>
        <v/>
      </c>
    </row>
    <row r="3035">
      <c r="B3035">
        <f>IF(A3035="","",$B$1-MAXIFS(Donasi!$A$2:$A$20000,Donasi!$B$2:$B$20000,A3035))</f>
        <v/>
      </c>
      <c r="C3035">
        <f>IF(A3035="","",COUNTIF(Donasi!$B$2:$B$20000,A3035))</f>
        <v/>
      </c>
      <c r="D3035">
        <f>IF(A3035="","",SUMIF(Donasi!$B$2:$B$20000,A3035,Donasi!$C$2:$C$20000))</f>
        <v/>
      </c>
      <c r="E3035">
        <f>IF(A3035="","",6-CEILING(PERCENTRANK.INC($B$3:$B$6000,B3035,4)*5+0.000001,1))</f>
        <v/>
      </c>
      <c r="F3035">
        <f>IF(A3035="","",MAX(1,CEILING(PERCENTRANK.INC($C$3:$C$6000,C3035,4)*5+0.000001,1)))</f>
        <v/>
      </c>
      <c r="G3035">
        <f>IF(A3035="","",MAX(1,CEILING(PERCENTRANK.INC($D$3:$D$6000,D3035,4)*5+0.000001,1)))</f>
        <v/>
      </c>
      <c r="H3035">
        <f>IF(A3035="","",E3035&amp;F3035&amp;G3035)</f>
        <v/>
      </c>
      <c r="I3035">
        <f>IF(A3035="","",IF(AND(E3035&gt;=4,F3035&gt;=4,G3035&gt;=4),"Juara",IF(AND(F3035&gt;=4,E3035&gt;=3),"Setia",IF(AND(E3035=5,F3035&lt;=2,G3035&gt;=3),"Berpotensi",IF(AND(E3035&lt;=3,E3035&gt;=2,F3035&gt;=3),"Rawan",IF(AND(E3035&lt;=2,F3035&lt;=2),"Tidur","Umum"))))))</f>
        <v/>
      </c>
    </row>
    <row r="3036">
      <c r="B3036">
        <f>IF(A3036="","",$B$1-MAXIFS(Donasi!$A$2:$A$20000,Donasi!$B$2:$B$20000,A3036))</f>
        <v/>
      </c>
      <c r="C3036">
        <f>IF(A3036="","",COUNTIF(Donasi!$B$2:$B$20000,A3036))</f>
        <v/>
      </c>
      <c r="D3036">
        <f>IF(A3036="","",SUMIF(Donasi!$B$2:$B$20000,A3036,Donasi!$C$2:$C$20000))</f>
        <v/>
      </c>
      <c r="E3036">
        <f>IF(A3036="","",6-CEILING(PERCENTRANK.INC($B$3:$B$6000,B3036,4)*5+0.000001,1))</f>
        <v/>
      </c>
      <c r="F3036">
        <f>IF(A3036="","",MAX(1,CEILING(PERCENTRANK.INC($C$3:$C$6000,C3036,4)*5+0.000001,1)))</f>
        <v/>
      </c>
      <c r="G3036">
        <f>IF(A3036="","",MAX(1,CEILING(PERCENTRANK.INC($D$3:$D$6000,D3036,4)*5+0.000001,1)))</f>
        <v/>
      </c>
      <c r="H3036">
        <f>IF(A3036="","",E3036&amp;F3036&amp;G3036)</f>
        <v/>
      </c>
      <c r="I3036">
        <f>IF(A3036="","",IF(AND(E3036&gt;=4,F3036&gt;=4,G3036&gt;=4),"Juara",IF(AND(F3036&gt;=4,E3036&gt;=3),"Setia",IF(AND(E3036=5,F3036&lt;=2,G3036&gt;=3),"Berpotensi",IF(AND(E3036&lt;=3,E3036&gt;=2,F3036&gt;=3),"Rawan",IF(AND(E3036&lt;=2,F3036&lt;=2),"Tidur","Umum"))))))</f>
        <v/>
      </c>
    </row>
    <row r="3037">
      <c r="B3037">
        <f>IF(A3037="","",$B$1-MAXIFS(Donasi!$A$2:$A$20000,Donasi!$B$2:$B$20000,A3037))</f>
        <v/>
      </c>
      <c r="C3037">
        <f>IF(A3037="","",COUNTIF(Donasi!$B$2:$B$20000,A3037))</f>
        <v/>
      </c>
      <c r="D3037">
        <f>IF(A3037="","",SUMIF(Donasi!$B$2:$B$20000,A3037,Donasi!$C$2:$C$20000))</f>
        <v/>
      </c>
      <c r="E3037">
        <f>IF(A3037="","",6-CEILING(PERCENTRANK.INC($B$3:$B$6000,B3037,4)*5+0.000001,1))</f>
        <v/>
      </c>
      <c r="F3037">
        <f>IF(A3037="","",MAX(1,CEILING(PERCENTRANK.INC($C$3:$C$6000,C3037,4)*5+0.000001,1)))</f>
        <v/>
      </c>
      <c r="G3037">
        <f>IF(A3037="","",MAX(1,CEILING(PERCENTRANK.INC($D$3:$D$6000,D3037,4)*5+0.000001,1)))</f>
        <v/>
      </c>
      <c r="H3037">
        <f>IF(A3037="","",E3037&amp;F3037&amp;G3037)</f>
        <v/>
      </c>
      <c r="I3037">
        <f>IF(A3037="","",IF(AND(E3037&gt;=4,F3037&gt;=4,G3037&gt;=4),"Juara",IF(AND(F3037&gt;=4,E3037&gt;=3),"Setia",IF(AND(E3037=5,F3037&lt;=2,G3037&gt;=3),"Berpotensi",IF(AND(E3037&lt;=3,E3037&gt;=2,F3037&gt;=3),"Rawan",IF(AND(E3037&lt;=2,F3037&lt;=2),"Tidur","Umum"))))))</f>
        <v/>
      </c>
    </row>
    <row r="3038">
      <c r="B3038">
        <f>IF(A3038="","",$B$1-MAXIFS(Donasi!$A$2:$A$20000,Donasi!$B$2:$B$20000,A3038))</f>
        <v/>
      </c>
      <c r="C3038">
        <f>IF(A3038="","",COUNTIF(Donasi!$B$2:$B$20000,A3038))</f>
        <v/>
      </c>
      <c r="D3038">
        <f>IF(A3038="","",SUMIF(Donasi!$B$2:$B$20000,A3038,Donasi!$C$2:$C$20000))</f>
        <v/>
      </c>
      <c r="E3038">
        <f>IF(A3038="","",6-CEILING(PERCENTRANK.INC($B$3:$B$6000,B3038,4)*5+0.000001,1))</f>
        <v/>
      </c>
      <c r="F3038">
        <f>IF(A3038="","",MAX(1,CEILING(PERCENTRANK.INC($C$3:$C$6000,C3038,4)*5+0.000001,1)))</f>
        <v/>
      </c>
      <c r="G3038">
        <f>IF(A3038="","",MAX(1,CEILING(PERCENTRANK.INC($D$3:$D$6000,D3038,4)*5+0.000001,1)))</f>
        <v/>
      </c>
      <c r="H3038">
        <f>IF(A3038="","",E3038&amp;F3038&amp;G3038)</f>
        <v/>
      </c>
      <c r="I3038">
        <f>IF(A3038="","",IF(AND(E3038&gt;=4,F3038&gt;=4,G3038&gt;=4),"Juara",IF(AND(F3038&gt;=4,E3038&gt;=3),"Setia",IF(AND(E3038=5,F3038&lt;=2,G3038&gt;=3),"Berpotensi",IF(AND(E3038&lt;=3,E3038&gt;=2,F3038&gt;=3),"Rawan",IF(AND(E3038&lt;=2,F3038&lt;=2),"Tidur","Umum"))))))</f>
        <v/>
      </c>
    </row>
    <row r="3039">
      <c r="B3039">
        <f>IF(A3039="","",$B$1-MAXIFS(Donasi!$A$2:$A$20000,Donasi!$B$2:$B$20000,A3039))</f>
        <v/>
      </c>
      <c r="C3039">
        <f>IF(A3039="","",COUNTIF(Donasi!$B$2:$B$20000,A3039))</f>
        <v/>
      </c>
      <c r="D3039">
        <f>IF(A3039="","",SUMIF(Donasi!$B$2:$B$20000,A3039,Donasi!$C$2:$C$20000))</f>
        <v/>
      </c>
      <c r="E3039">
        <f>IF(A3039="","",6-CEILING(PERCENTRANK.INC($B$3:$B$6000,B3039,4)*5+0.000001,1))</f>
        <v/>
      </c>
      <c r="F3039">
        <f>IF(A3039="","",MAX(1,CEILING(PERCENTRANK.INC($C$3:$C$6000,C3039,4)*5+0.000001,1)))</f>
        <v/>
      </c>
      <c r="G3039">
        <f>IF(A3039="","",MAX(1,CEILING(PERCENTRANK.INC($D$3:$D$6000,D3039,4)*5+0.000001,1)))</f>
        <v/>
      </c>
      <c r="H3039">
        <f>IF(A3039="","",E3039&amp;F3039&amp;G3039)</f>
        <v/>
      </c>
      <c r="I3039">
        <f>IF(A3039="","",IF(AND(E3039&gt;=4,F3039&gt;=4,G3039&gt;=4),"Juara",IF(AND(F3039&gt;=4,E3039&gt;=3),"Setia",IF(AND(E3039=5,F3039&lt;=2,G3039&gt;=3),"Berpotensi",IF(AND(E3039&lt;=3,E3039&gt;=2,F3039&gt;=3),"Rawan",IF(AND(E3039&lt;=2,F3039&lt;=2),"Tidur","Umum"))))))</f>
        <v/>
      </c>
    </row>
    <row r="3040">
      <c r="B3040">
        <f>IF(A3040="","",$B$1-MAXIFS(Donasi!$A$2:$A$20000,Donasi!$B$2:$B$20000,A3040))</f>
        <v/>
      </c>
      <c r="C3040">
        <f>IF(A3040="","",COUNTIF(Donasi!$B$2:$B$20000,A3040))</f>
        <v/>
      </c>
      <c r="D3040">
        <f>IF(A3040="","",SUMIF(Donasi!$B$2:$B$20000,A3040,Donasi!$C$2:$C$20000))</f>
        <v/>
      </c>
      <c r="E3040">
        <f>IF(A3040="","",6-CEILING(PERCENTRANK.INC($B$3:$B$6000,B3040,4)*5+0.000001,1))</f>
        <v/>
      </c>
      <c r="F3040">
        <f>IF(A3040="","",MAX(1,CEILING(PERCENTRANK.INC($C$3:$C$6000,C3040,4)*5+0.000001,1)))</f>
        <v/>
      </c>
      <c r="G3040">
        <f>IF(A3040="","",MAX(1,CEILING(PERCENTRANK.INC($D$3:$D$6000,D3040,4)*5+0.000001,1)))</f>
        <v/>
      </c>
      <c r="H3040">
        <f>IF(A3040="","",E3040&amp;F3040&amp;G3040)</f>
        <v/>
      </c>
      <c r="I3040">
        <f>IF(A3040="","",IF(AND(E3040&gt;=4,F3040&gt;=4,G3040&gt;=4),"Juara",IF(AND(F3040&gt;=4,E3040&gt;=3),"Setia",IF(AND(E3040=5,F3040&lt;=2,G3040&gt;=3),"Berpotensi",IF(AND(E3040&lt;=3,E3040&gt;=2,F3040&gt;=3),"Rawan",IF(AND(E3040&lt;=2,F3040&lt;=2),"Tidur","Umum"))))))</f>
        <v/>
      </c>
    </row>
    <row r="3041">
      <c r="B3041">
        <f>IF(A3041="","",$B$1-MAXIFS(Donasi!$A$2:$A$20000,Donasi!$B$2:$B$20000,A3041))</f>
        <v/>
      </c>
      <c r="C3041">
        <f>IF(A3041="","",COUNTIF(Donasi!$B$2:$B$20000,A3041))</f>
        <v/>
      </c>
      <c r="D3041">
        <f>IF(A3041="","",SUMIF(Donasi!$B$2:$B$20000,A3041,Donasi!$C$2:$C$20000))</f>
        <v/>
      </c>
      <c r="E3041">
        <f>IF(A3041="","",6-CEILING(PERCENTRANK.INC($B$3:$B$6000,B3041,4)*5+0.000001,1))</f>
        <v/>
      </c>
      <c r="F3041">
        <f>IF(A3041="","",MAX(1,CEILING(PERCENTRANK.INC($C$3:$C$6000,C3041,4)*5+0.000001,1)))</f>
        <v/>
      </c>
      <c r="G3041">
        <f>IF(A3041="","",MAX(1,CEILING(PERCENTRANK.INC($D$3:$D$6000,D3041,4)*5+0.000001,1)))</f>
        <v/>
      </c>
      <c r="H3041">
        <f>IF(A3041="","",E3041&amp;F3041&amp;G3041)</f>
        <v/>
      </c>
      <c r="I3041">
        <f>IF(A3041="","",IF(AND(E3041&gt;=4,F3041&gt;=4,G3041&gt;=4),"Juara",IF(AND(F3041&gt;=4,E3041&gt;=3),"Setia",IF(AND(E3041=5,F3041&lt;=2,G3041&gt;=3),"Berpotensi",IF(AND(E3041&lt;=3,E3041&gt;=2,F3041&gt;=3),"Rawan",IF(AND(E3041&lt;=2,F3041&lt;=2),"Tidur","Umum"))))))</f>
        <v/>
      </c>
    </row>
    <row r="3042">
      <c r="B3042">
        <f>IF(A3042="","",$B$1-MAXIFS(Donasi!$A$2:$A$20000,Donasi!$B$2:$B$20000,A3042))</f>
        <v/>
      </c>
      <c r="C3042">
        <f>IF(A3042="","",COUNTIF(Donasi!$B$2:$B$20000,A3042))</f>
        <v/>
      </c>
      <c r="D3042">
        <f>IF(A3042="","",SUMIF(Donasi!$B$2:$B$20000,A3042,Donasi!$C$2:$C$20000))</f>
        <v/>
      </c>
      <c r="E3042">
        <f>IF(A3042="","",6-CEILING(PERCENTRANK.INC($B$3:$B$6000,B3042,4)*5+0.000001,1))</f>
        <v/>
      </c>
      <c r="F3042">
        <f>IF(A3042="","",MAX(1,CEILING(PERCENTRANK.INC($C$3:$C$6000,C3042,4)*5+0.000001,1)))</f>
        <v/>
      </c>
      <c r="G3042">
        <f>IF(A3042="","",MAX(1,CEILING(PERCENTRANK.INC($D$3:$D$6000,D3042,4)*5+0.000001,1)))</f>
        <v/>
      </c>
      <c r="H3042">
        <f>IF(A3042="","",E3042&amp;F3042&amp;G3042)</f>
        <v/>
      </c>
      <c r="I3042">
        <f>IF(A3042="","",IF(AND(E3042&gt;=4,F3042&gt;=4,G3042&gt;=4),"Juara",IF(AND(F3042&gt;=4,E3042&gt;=3),"Setia",IF(AND(E3042=5,F3042&lt;=2,G3042&gt;=3),"Berpotensi",IF(AND(E3042&lt;=3,E3042&gt;=2,F3042&gt;=3),"Rawan",IF(AND(E3042&lt;=2,F3042&lt;=2),"Tidur","Umum"))))))</f>
        <v/>
      </c>
    </row>
    <row r="3043">
      <c r="B3043">
        <f>IF(A3043="","",$B$1-MAXIFS(Donasi!$A$2:$A$20000,Donasi!$B$2:$B$20000,A3043))</f>
        <v/>
      </c>
      <c r="C3043">
        <f>IF(A3043="","",COUNTIF(Donasi!$B$2:$B$20000,A3043))</f>
        <v/>
      </c>
      <c r="D3043">
        <f>IF(A3043="","",SUMIF(Donasi!$B$2:$B$20000,A3043,Donasi!$C$2:$C$20000))</f>
        <v/>
      </c>
      <c r="E3043">
        <f>IF(A3043="","",6-CEILING(PERCENTRANK.INC($B$3:$B$6000,B3043,4)*5+0.000001,1))</f>
        <v/>
      </c>
      <c r="F3043">
        <f>IF(A3043="","",MAX(1,CEILING(PERCENTRANK.INC($C$3:$C$6000,C3043,4)*5+0.000001,1)))</f>
        <v/>
      </c>
      <c r="G3043">
        <f>IF(A3043="","",MAX(1,CEILING(PERCENTRANK.INC($D$3:$D$6000,D3043,4)*5+0.000001,1)))</f>
        <v/>
      </c>
      <c r="H3043">
        <f>IF(A3043="","",E3043&amp;F3043&amp;G3043)</f>
        <v/>
      </c>
      <c r="I3043">
        <f>IF(A3043="","",IF(AND(E3043&gt;=4,F3043&gt;=4,G3043&gt;=4),"Juara",IF(AND(F3043&gt;=4,E3043&gt;=3),"Setia",IF(AND(E3043=5,F3043&lt;=2,G3043&gt;=3),"Berpotensi",IF(AND(E3043&lt;=3,E3043&gt;=2,F3043&gt;=3),"Rawan",IF(AND(E3043&lt;=2,F3043&lt;=2),"Tidur","Umum"))))))</f>
        <v/>
      </c>
    </row>
    <row r="3044">
      <c r="B3044">
        <f>IF(A3044="","",$B$1-MAXIFS(Donasi!$A$2:$A$20000,Donasi!$B$2:$B$20000,A3044))</f>
        <v/>
      </c>
      <c r="C3044">
        <f>IF(A3044="","",COUNTIF(Donasi!$B$2:$B$20000,A3044))</f>
        <v/>
      </c>
      <c r="D3044">
        <f>IF(A3044="","",SUMIF(Donasi!$B$2:$B$20000,A3044,Donasi!$C$2:$C$20000))</f>
        <v/>
      </c>
      <c r="E3044">
        <f>IF(A3044="","",6-CEILING(PERCENTRANK.INC($B$3:$B$6000,B3044,4)*5+0.000001,1))</f>
        <v/>
      </c>
      <c r="F3044">
        <f>IF(A3044="","",MAX(1,CEILING(PERCENTRANK.INC($C$3:$C$6000,C3044,4)*5+0.000001,1)))</f>
        <v/>
      </c>
      <c r="G3044">
        <f>IF(A3044="","",MAX(1,CEILING(PERCENTRANK.INC($D$3:$D$6000,D3044,4)*5+0.000001,1)))</f>
        <v/>
      </c>
      <c r="H3044">
        <f>IF(A3044="","",E3044&amp;F3044&amp;G3044)</f>
        <v/>
      </c>
      <c r="I3044">
        <f>IF(A3044="","",IF(AND(E3044&gt;=4,F3044&gt;=4,G3044&gt;=4),"Juara",IF(AND(F3044&gt;=4,E3044&gt;=3),"Setia",IF(AND(E3044=5,F3044&lt;=2,G3044&gt;=3),"Berpotensi",IF(AND(E3044&lt;=3,E3044&gt;=2,F3044&gt;=3),"Rawan",IF(AND(E3044&lt;=2,F3044&lt;=2),"Tidur","Umum"))))))</f>
        <v/>
      </c>
    </row>
    <row r="3045">
      <c r="B3045">
        <f>IF(A3045="","",$B$1-MAXIFS(Donasi!$A$2:$A$20000,Donasi!$B$2:$B$20000,A3045))</f>
        <v/>
      </c>
      <c r="C3045">
        <f>IF(A3045="","",COUNTIF(Donasi!$B$2:$B$20000,A3045))</f>
        <v/>
      </c>
      <c r="D3045">
        <f>IF(A3045="","",SUMIF(Donasi!$B$2:$B$20000,A3045,Donasi!$C$2:$C$20000))</f>
        <v/>
      </c>
      <c r="E3045">
        <f>IF(A3045="","",6-CEILING(PERCENTRANK.INC($B$3:$B$6000,B3045,4)*5+0.000001,1))</f>
        <v/>
      </c>
      <c r="F3045">
        <f>IF(A3045="","",MAX(1,CEILING(PERCENTRANK.INC($C$3:$C$6000,C3045,4)*5+0.000001,1)))</f>
        <v/>
      </c>
      <c r="G3045">
        <f>IF(A3045="","",MAX(1,CEILING(PERCENTRANK.INC($D$3:$D$6000,D3045,4)*5+0.000001,1)))</f>
        <v/>
      </c>
      <c r="H3045">
        <f>IF(A3045="","",E3045&amp;F3045&amp;G3045)</f>
        <v/>
      </c>
      <c r="I3045">
        <f>IF(A3045="","",IF(AND(E3045&gt;=4,F3045&gt;=4,G3045&gt;=4),"Juara",IF(AND(F3045&gt;=4,E3045&gt;=3),"Setia",IF(AND(E3045=5,F3045&lt;=2,G3045&gt;=3),"Berpotensi",IF(AND(E3045&lt;=3,E3045&gt;=2,F3045&gt;=3),"Rawan",IF(AND(E3045&lt;=2,F3045&lt;=2),"Tidur","Umum"))))))</f>
        <v/>
      </c>
    </row>
    <row r="3046">
      <c r="B3046">
        <f>IF(A3046="","",$B$1-MAXIFS(Donasi!$A$2:$A$20000,Donasi!$B$2:$B$20000,A3046))</f>
        <v/>
      </c>
      <c r="C3046">
        <f>IF(A3046="","",COUNTIF(Donasi!$B$2:$B$20000,A3046))</f>
        <v/>
      </c>
      <c r="D3046">
        <f>IF(A3046="","",SUMIF(Donasi!$B$2:$B$20000,A3046,Donasi!$C$2:$C$20000))</f>
        <v/>
      </c>
      <c r="E3046">
        <f>IF(A3046="","",6-CEILING(PERCENTRANK.INC($B$3:$B$6000,B3046,4)*5+0.000001,1))</f>
        <v/>
      </c>
      <c r="F3046">
        <f>IF(A3046="","",MAX(1,CEILING(PERCENTRANK.INC($C$3:$C$6000,C3046,4)*5+0.000001,1)))</f>
        <v/>
      </c>
      <c r="G3046">
        <f>IF(A3046="","",MAX(1,CEILING(PERCENTRANK.INC($D$3:$D$6000,D3046,4)*5+0.000001,1)))</f>
        <v/>
      </c>
      <c r="H3046">
        <f>IF(A3046="","",E3046&amp;F3046&amp;G3046)</f>
        <v/>
      </c>
      <c r="I3046">
        <f>IF(A3046="","",IF(AND(E3046&gt;=4,F3046&gt;=4,G3046&gt;=4),"Juara",IF(AND(F3046&gt;=4,E3046&gt;=3),"Setia",IF(AND(E3046=5,F3046&lt;=2,G3046&gt;=3),"Berpotensi",IF(AND(E3046&lt;=3,E3046&gt;=2,F3046&gt;=3),"Rawan",IF(AND(E3046&lt;=2,F3046&lt;=2),"Tidur","Umum"))))))</f>
        <v/>
      </c>
    </row>
    <row r="3047">
      <c r="B3047">
        <f>IF(A3047="","",$B$1-MAXIFS(Donasi!$A$2:$A$20000,Donasi!$B$2:$B$20000,A3047))</f>
        <v/>
      </c>
      <c r="C3047">
        <f>IF(A3047="","",COUNTIF(Donasi!$B$2:$B$20000,A3047))</f>
        <v/>
      </c>
      <c r="D3047">
        <f>IF(A3047="","",SUMIF(Donasi!$B$2:$B$20000,A3047,Donasi!$C$2:$C$20000))</f>
        <v/>
      </c>
      <c r="E3047">
        <f>IF(A3047="","",6-CEILING(PERCENTRANK.INC($B$3:$B$6000,B3047,4)*5+0.000001,1))</f>
        <v/>
      </c>
      <c r="F3047">
        <f>IF(A3047="","",MAX(1,CEILING(PERCENTRANK.INC($C$3:$C$6000,C3047,4)*5+0.000001,1)))</f>
        <v/>
      </c>
      <c r="G3047">
        <f>IF(A3047="","",MAX(1,CEILING(PERCENTRANK.INC($D$3:$D$6000,D3047,4)*5+0.000001,1)))</f>
        <v/>
      </c>
      <c r="H3047">
        <f>IF(A3047="","",E3047&amp;F3047&amp;G3047)</f>
        <v/>
      </c>
      <c r="I3047">
        <f>IF(A3047="","",IF(AND(E3047&gt;=4,F3047&gt;=4,G3047&gt;=4),"Juara",IF(AND(F3047&gt;=4,E3047&gt;=3),"Setia",IF(AND(E3047=5,F3047&lt;=2,G3047&gt;=3),"Berpotensi",IF(AND(E3047&lt;=3,E3047&gt;=2,F3047&gt;=3),"Rawan",IF(AND(E3047&lt;=2,F3047&lt;=2),"Tidur","Umum"))))))</f>
        <v/>
      </c>
    </row>
    <row r="3048">
      <c r="B3048">
        <f>IF(A3048="","",$B$1-MAXIFS(Donasi!$A$2:$A$20000,Donasi!$B$2:$B$20000,A3048))</f>
        <v/>
      </c>
      <c r="C3048">
        <f>IF(A3048="","",COUNTIF(Donasi!$B$2:$B$20000,A3048))</f>
        <v/>
      </c>
      <c r="D3048">
        <f>IF(A3048="","",SUMIF(Donasi!$B$2:$B$20000,A3048,Donasi!$C$2:$C$20000))</f>
        <v/>
      </c>
      <c r="E3048">
        <f>IF(A3048="","",6-CEILING(PERCENTRANK.INC($B$3:$B$6000,B3048,4)*5+0.000001,1))</f>
        <v/>
      </c>
      <c r="F3048">
        <f>IF(A3048="","",MAX(1,CEILING(PERCENTRANK.INC($C$3:$C$6000,C3048,4)*5+0.000001,1)))</f>
        <v/>
      </c>
      <c r="G3048">
        <f>IF(A3048="","",MAX(1,CEILING(PERCENTRANK.INC($D$3:$D$6000,D3048,4)*5+0.000001,1)))</f>
        <v/>
      </c>
      <c r="H3048">
        <f>IF(A3048="","",E3048&amp;F3048&amp;G3048)</f>
        <v/>
      </c>
      <c r="I3048">
        <f>IF(A3048="","",IF(AND(E3048&gt;=4,F3048&gt;=4,G3048&gt;=4),"Juara",IF(AND(F3048&gt;=4,E3048&gt;=3),"Setia",IF(AND(E3048=5,F3048&lt;=2,G3048&gt;=3),"Berpotensi",IF(AND(E3048&lt;=3,E3048&gt;=2,F3048&gt;=3),"Rawan",IF(AND(E3048&lt;=2,F3048&lt;=2),"Tidur","Umum"))))))</f>
        <v/>
      </c>
    </row>
    <row r="3049">
      <c r="B3049">
        <f>IF(A3049="","",$B$1-MAXIFS(Donasi!$A$2:$A$20000,Donasi!$B$2:$B$20000,A3049))</f>
        <v/>
      </c>
      <c r="C3049">
        <f>IF(A3049="","",COUNTIF(Donasi!$B$2:$B$20000,A3049))</f>
        <v/>
      </c>
      <c r="D3049">
        <f>IF(A3049="","",SUMIF(Donasi!$B$2:$B$20000,A3049,Donasi!$C$2:$C$20000))</f>
        <v/>
      </c>
      <c r="E3049">
        <f>IF(A3049="","",6-CEILING(PERCENTRANK.INC($B$3:$B$6000,B3049,4)*5+0.000001,1))</f>
        <v/>
      </c>
      <c r="F3049">
        <f>IF(A3049="","",MAX(1,CEILING(PERCENTRANK.INC($C$3:$C$6000,C3049,4)*5+0.000001,1)))</f>
        <v/>
      </c>
      <c r="G3049">
        <f>IF(A3049="","",MAX(1,CEILING(PERCENTRANK.INC($D$3:$D$6000,D3049,4)*5+0.000001,1)))</f>
        <v/>
      </c>
      <c r="H3049">
        <f>IF(A3049="","",E3049&amp;F3049&amp;G3049)</f>
        <v/>
      </c>
      <c r="I3049">
        <f>IF(A3049="","",IF(AND(E3049&gt;=4,F3049&gt;=4,G3049&gt;=4),"Juara",IF(AND(F3049&gt;=4,E3049&gt;=3),"Setia",IF(AND(E3049=5,F3049&lt;=2,G3049&gt;=3),"Berpotensi",IF(AND(E3049&lt;=3,E3049&gt;=2,F3049&gt;=3),"Rawan",IF(AND(E3049&lt;=2,F3049&lt;=2),"Tidur","Umum"))))))</f>
        <v/>
      </c>
    </row>
    <row r="3050">
      <c r="B3050">
        <f>IF(A3050="","",$B$1-MAXIFS(Donasi!$A$2:$A$20000,Donasi!$B$2:$B$20000,A3050))</f>
        <v/>
      </c>
      <c r="C3050">
        <f>IF(A3050="","",COUNTIF(Donasi!$B$2:$B$20000,A3050))</f>
        <v/>
      </c>
      <c r="D3050">
        <f>IF(A3050="","",SUMIF(Donasi!$B$2:$B$20000,A3050,Donasi!$C$2:$C$20000))</f>
        <v/>
      </c>
      <c r="E3050">
        <f>IF(A3050="","",6-CEILING(PERCENTRANK.INC($B$3:$B$6000,B3050,4)*5+0.000001,1))</f>
        <v/>
      </c>
      <c r="F3050">
        <f>IF(A3050="","",MAX(1,CEILING(PERCENTRANK.INC($C$3:$C$6000,C3050,4)*5+0.000001,1)))</f>
        <v/>
      </c>
      <c r="G3050">
        <f>IF(A3050="","",MAX(1,CEILING(PERCENTRANK.INC($D$3:$D$6000,D3050,4)*5+0.000001,1)))</f>
        <v/>
      </c>
      <c r="H3050">
        <f>IF(A3050="","",E3050&amp;F3050&amp;G3050)</f>
        <v/>
      </c>
      <c r="I3050">
        <f>IF(A3050="","",IF(AND(E3050&gt;=4,F3050&gt;=4,G3050&gt;=4),"Juara",IF(AND(F3050&gt;=4,E3050&gt;=3),"Setia",IF(AND(E3050=5,F3050&lt;=2,G3050&gt;=3),"Berpotensi",IF(AND(E3050&lt;=3,E3050&gt;=2,F3050&gt;=3),"Rawan",IF(AND(E3050&lt;=2,F3050&lt;=2),"Tidur","Umum"))))))</f>
        <v/>
      </c>
    </row>
    <row r="3051">
      <c r="B3051">
        <f>IF(A3051="","",$B$1-MAXIFS(Donasi!$A$2:$A$20000,Donasi!$B$2:$B$20000,A3051))</f>
        <v/>
      </c>
      <c r="C3051">
        <f>IF(A3051="","",COUNTIF(Donasi!$B$2:$B$20000,A3051))</f>
        <v/>
      </c>
      <c r="D3051">
        <f>IF(A3051="","",SUMIF(Donasi!$B$2:$B$20000,A3051,Donasi!$C$2:$C$20000))</f>
        <v/>
      </c>
      <c r="E3051">
        <f>IF(A3051="","",6-CEILING(PERCENTRANK.INC($B$3:$B$6000,B3051,4)*5+0.000001,1))</f>
        <v/>
      </c>
      <c r="F3051">
        <f>IF(A3051="","",MAX(1,CEILING(PERCENTRANK.INC($C$3:$C$6000,C3051,4)*5+0.000001,1)))</f>
        <v/>
      </c>
      <c r="G3051">
        <f>IF(A3051="","",MAX(1,CEILING(PERCENTRANK.INC($D$3:$D$6000,D3051,4)*5+0.000001,1)))</f>
        <v/>
      </c>
      <c r="H3051">
        <f>IF(A3051="","",E3051&amp;F3051&amp;G3051)</f>
        <v/>
      </c>
      <c r="I3051">
        <f>IF(A3051="","",IF(AND(E3051&gt;=4,F3051&gt;=4,G3051&gt;=4),"Juara",IF(AND(F3051&gt;=4,E3051&gt;=3),"Setia",IF(AND(E3051=5,F3051&lt;=2,G3051&gt;=3),"Berpotensi",IF(AND(E3051&lt;=3,E3051&gt;=2,F3051&gt;=3),"Rawan",IF(AND(E3051&lt;=2,F3051&lt;=2),"Tidur","Umum"))))))</f>
        <v/>
      </c>
    </row>
    <row r="3052">
      <c r="B3052">
        <f>IF(A3052="","",$B$1-MAXIFS(Donasi!$A$2:$A$20000,Donasi!$B$2:$B$20000,A3052))</f>
        <v/>
      </c>
      <c r="C3052">
        <f>IF(A3052="","",COUNTIF(Donasi!$B$2:$B$20000,A3052))</f>
        <v/>
      </c>
      <c r="D3052">
        <f>IF(A3052="","",SUMIF(Donasi!$B$2:$B$20000,A3052,Donasi!$C$2:$C$20000))</f>
        <v/>
      </c>
      <c r="E3052">
        <f>IF(A3052="","",6-CEILING(PERCENTRANK.INC($B$3:$B$6000,B3052,4)*5+0.000001,1))</f>
        <v/>
      </c>
      <c r="F3052">
        <f>IF(A3052="","",MAX(1,CEILING(PERCENTRANK.INC($C$3:$C$6000,C3052,4)*5+0.000001,1)))</f>
        <v/>
      </c>
      <c r="G3052">
        <f>IF(A3052="","",MAX(1,CEILING(PERCENTRANK.INC($D$3:$D$6000,D3052,4)*5+0.000001,1)))</f>
        <v/>
      </c>
      <c r="H3052">
        <f>IF(A3052="","",E3052&amp;F3052&amp;G3052)</f>
        <v/>
      </c>
      <c r="I3052">
        <f>IF(A3052="","",IF(AND(E3052&gt;=4,F3052&gt;=4,G3052&gt;=4),"Juara",IF(AND(F3052&gt;=4,E3052&gt;=3),"Setia",IF(AND(E3052=5,F3052&lt;=2,G3052&gt;=3),"Berpotensi",IF(AND(E3052&lt;=3,E3052&gt;=2,F3052&gt;=3),"Rawan",IF(AND(E3052&lt;=2,F3052&lt;=2),"Tidur","Umum"))))))</f>
        <v/>
      </c>
    </row>
    <row r="3053">
      <c r="B3053">
        <f>IF(A3053="","",$B$1-MAXIFS(Donasi!$A$2:$A$20000,Donasi!$B$2:$B$20000,A3053))</f>
        <v/>
      </c>
      <c r="C3053">
        <f>IF(A3053="","",COUNTIF(Donasi!$B$2:$B$20000,A3053))</f>
        <v/>
      </c>
      <c r="D3053">
        <f>IF(A3053="","",SUMIF(Donasi!$B$2:$B$20000,A3053,Donasi!$C$2:$C$20000))</f>
        <v/>
      </c>
      <c r="E3053">
        <f>IF(A3053="","",6-CEILING(PERCENTRANK.INC($B$3:$B$6000,B3053,4)*5+0.000001,1))</f>
        <v/>
      </c>
      <c r="F3053">
        <f>IF(A3053="","",MAX(1,CEILING(PERCENTRANK.INC($C$3:$C$6000,C3053,4)*5+0.000001,1)))</f>
        <v/>
      </c>
      <c r="G3053">
        <f>IF(A3053="","",MAX(1,CEILING(PERCENTRANK.INC($D$3:$D$6000,D3053,4)*5+0.000001,1)))</f>
        <v/>
      </c>
      <c r="H3053">
        <f>IF(A3053="","",E3053&amp;F3053&amp;G3053)</f>
        <v/>
      </c>
      <c r="I3053">
        <f>IF(A3053="","",IF(AND(E3053&gt;=4,F3053&gt;=4,G3053&gt;=4),"Juara",IF(AND(F3053&gt;=4,E3053&gt;=3),"Setia",IF(AND(E3053=5,F3053&lt;=2,G3053&gt;=3),"Berpotensi",IF(AND(E3053&lt;=3,E3053&gt;=2,F3053&gt;=3),"Rawan",IF(AND(E3053&lt;=2,F3053&lt;=2),"Tidur","Umum"))))))</f>
        <v/>
      </c>
    </row>
    <row r="3054">
      <c r="B3054">
        <f>IF(A3054="","",$B$1-MAXIFS(Donasi!$A$2:$A$20000,Donasi!$B$2:$B$20000,A3054))</f>
        <v/>
      </c>
      <c r="C3054">
        <f>IF(A3054="","",COUNTIF(Donasi!$B$2:$B$20000,A3054))</f>
        <v/>
      </c>
      <c r="D3054">
        <f>IF(A3054="","",SUMIF(Donasi!$B$2:$B$20000,A3054,Donasi!$C$2:$C$20000))</f>
        <v/>
      </c>
      <c r="E3054">
        <f>IF(A3054="","",6-CEILING(PERCENTRANK.INC($B$3:$B$6000,B3054,4)*5+0.000001,1))</f>
        <v/>
      </c>
      <c r="F3054">
        <f>IF(A3054="","",MAX(1,CEILING(PERCENTRANK.INC($C$3:$C$6000,C3054,4)*5+0.000001,1)))</f>
        <v/>
      </c>
      <c r="G3054">
        <f>IF(A3054="","",MAX(1,CEILING(PERCENTRANK.INC($D$3:$D$6000,D3054,4)*5+0.000001,1)))</f>
        <v/>
      </c>
      <c r="H3054">
        <f>IF(A3054="","",E3054&amp;F3054&amp;G3054)</f>
        <v/>
      </c>
      <c r="I3054">
        <f>IF(A3054="","",IF(AND(E3054&gt;=4,F3054&gt;=4,G3054&gt;=4),"Juara",IF(AND(F3054&gt;=4,E3054&gt;=3),"Setia",IF(AND(E3054=5,F3054&lt;=2,G3054&gt;=3),"Berpotensi",IF(AND(E3054&lt;=3,E3054&gt;=2,F3054&gt;=3),"Rawan",IF(AND(E3054&lt;=2,F3054&lt;=2),"Tidur","Umum"))))))</f>
        <v/>
      </c>
    </row>
    <row r="3055">
      <c r="B3055">
        <f>IF(A3055="","",$B$1-MAXIFS(Donasi!$A$2:$A$20000,Donasi!$B$2:$B$20000,A3055))</f>
        <v/>
      </c>
      <c r="C3055">
        <f>IF(A3055="","",COUNTIF(Donasi!$B$2:$B$20000,A3055))</f>
        <v/>
      </c>
      <c r="D3055">
        <f>IF(A3055="","",SUMIF(Donasi!$B$2:$B$20000,A3055,Donasi!$C$2:$C$20000))</f>
        <v/>
      </c>
      <c r="E3055">
        <f>IF(A3055="","",6-CEILING(PERCENTRANK.INC($B$3:$B$6000,B3055,4)*5+0.000001,1))</f>
        <v/>
      </c>
      <c r="F3055">
        <f>IF(A3055="","",MAX(1,CEILING(PERCENTRANK.INC($C$3:$C$6000,C3055,4)*5+0.000001,1)))</f>
        <v/>
      </c>
      <c r="G3055">
        <f>IF(A3055="","",MAX(1,CEILING(PERCENTRANK.INC($D$3:$D$6000,D3055,4)*5+0.000001,1)))</f>
        <v/>
      </c>
      <c r="H3055">
        <f>IF(A3055="","",E3055&amp;F3055&amp;G3055)</f>
        <v/>
      </c>
      <c r="I3055">
        <f>IF(A3055="","",IF(AND(E3055&gt;=4,F3055&gt;=4,G3055&gt;=4),"Juara",IF(AND(F3055&gt;=4,E3055&gt;=3),"Setia",IF(AND(E3055=5,F3055&lt;=2,G3055&gt;=3),"Berpotensi",IF(AND(E3055&lt;=3,E3055&gt;=2,F3055&gt;=3),"Rawan",IF(AND(E3055&lt;=2,F3055&lt;=2),"Tidur","Umum"))))))</f>
        <v/>
      </c>
    </row>
    <row r="3056">
      <c r="B3056">
        <f>IF(A3056="","",$B$1-MAXIFS(Donasi!$A$2:$A$20000,Donasi!$B$2:$B$20000,A3056))</f>
        <v/>
      </c>
      <c r="C3056">
        <f>IF(A3056="","",COUNTIF(Donasi!$B$2:$B$20000,A3056))</f>
        <v/>
      </c>
      <c r="D3056">
        <f>IF(A3056="","",SUMIF(Donasi!$B$2:$B$20000,A3056,Donasi!$C$2:$C$20000))</f>
        <v/>
      </c>
      <c r="E3056">
        <f>IF(A3056="","",6-CEILING(PERCENTRANK.INC($B$3:$B$6000,B3056,4)*5+0.000001,1))</f>
        <v/>
      </c>
      <c r="F3056">
        <f>IF(A3056="","",MAX(1,CEILING(PERCENTRANK.INC($C$3:$C$6000,C3056,4)*5+0.000001,1)))</f>
        <v/>
      </c>
      <c r="G3056">
        <f>IF(A3056="","",MAX(1,CEILING(PERCENTRANK.INC($D$3:$D$6000,D3056,4)*5+0.000001,1)))</f>
        <v/>
      </c>
      <c r="H3056">
        <f>IF(A3056="","",E3056&amp;F3056&amp;G3056)</f>
        <v/>
      </c>
      <c r="I3056">
        <f>IF(A3056="","",IF(AND(E3056&gt;=4,F3056&gt;=4,G3056&gt;=4),"Juara",IF(AND(F3056&gt;=4,E3056&gt;=3),"Setia",IF(AND(E3056=5,F3056&lt;=2,G3056&gt;=3),"Berpotensi",IF(AND(E3056&lt;=3,E3056&gt;=2,F3056&gt;=3),"Rawan",IF(AND(E3056&lt;=2,F3056&lt;=2),"Tidur","Umum"))))))</f>
        <v/>
      </c>
    </row>
    <row r="3057">
      <c r="B3057">
        <f>IF(A3057="","",$B$1-MAXIFS(Donasi!$A$2:$A$20000,Donasi!$B$2:$B$20000,A3057))</f>
        <v/>
      </c>
      <c r="C3057">
        <f>IF(A3057="","",COUNTIF(Donasi!$B$2:$B$20000,A3057))</f>
        <v/>
      </c>
      <c r="D3057">
        <f>IF(A3057="","",SUMIF(Donasi!$B$2:$B$20000,A3057,Donasi!$C$2:$C$20000))</f>
        <v/>
      </c>
      <c r="E3057">
        <f>IF(A3057="","",6-CEILING(PERCENTRANK.INC($B$3:$B$6000,B3057,4)*5+0.000001,1))</f>
        <v/>
      </c>
      <c r="F3057">
        <f>IF(A3057="","",MAX(1,CEILING(PERCENTRANK.INC($C$3:$C$6000,C3057,4)*5+0.000001,1)))</f>
        <v/>
      </c>
      <c r="G3057">
        <f>IF(A3057="","",MAX(1,CEILING(PERCENTRANK.INC($D$3:$D$6000,D3057,4)*5+0.000001,1)))</f>
        <v/>
      </c>
      <c r="H3057">
        <f>IF(A3057="","",E3057&amp;F3057&amp;G3057)</f>
        <v/>
      </c>
      <c r="I3057">
        <f>IF(A3057="","",IF(AND(E3057&gt;=4,F3057&gt;=4,G3057&gt;=4),"Juara",IF(AND(F3057&gt;=4,E3057&gt;=3),"Setia",IF(AND(E3057=5,F3057&lt;=2,G3057&gt;=3),"Berpotensi",IF(AND(E3057&lt;=3,E3057&gt;=2,F3057&gt;=3),"Rawan",IF(AND(E3057&lt;=2,F3057&lt;=2),"Tidur","Umum"))))))</f>
        <v/>
      </c>
    </row>
    <row r="3058">
      <c r="B3058">
        <f>IF(A3058="","",$B$1-MAXIFS(Donasi!$A$2:$A$20000,Donasi!$B$2:$B$20000,A3058))</f>
        <v/>
      </c>
      <c r="C3058">
        <f>IF(A3058="","",COUNTIF(Donasi!$B$2:$B$20000,A3058))</f>
        <v/>
      </c>
      <c r="D3058">
        <f>IF(A3058="","",SUMIF(Donasi!$B$2:$B$20000,A3058,Donasi!$C$2:$C$20000))</f>
        <v/>
      </c>
      <c r="E3058">
        <f>IF(A3058="","",6-CEILING(PERCENTRANK.INC($B$3:$B$6000,B3058,4)*5+0.000001,1))</f>
        <v/>
      </c>
      <c r="F3058">
        <f>IF(A3058="","",MAX(1,CEILING(PERCENTRANK.INC($C$3:$C$6000,C3058,4)*5+0.000001,1)))</f>
        <v/>
      </c>
      <c r="G3058">
        <f>IF(A3058="","",MAX(1,CEILING(PERCENTRANK.INC($D$3:$D$6000,D3058,4)*5+0.000001,1)))</f>
        <v/>
      </c>
      <c r="H3058">
        <f>IF(A3058="","",E3058&amp;F3058&amp;G3058)</f>
        <v/>
      </c>
      <c r="I3058">
        <f>IF(A3058="","",IF(AND(E3058&gt;=4,F3058&gt;=4,G3058&gt;=4),"Juara",IF(AND(F3058&gt;=4,E3058&gt;=3),"Setia",IF(AND(E3058=5,F3058&lt;=2,G3058&gt;=3),"Berpotensi",IF(AND(E3058&lt;=3,E3058&gt;=2,F3058&gt;=3),"Rawan",IF(AND(E3058&lt;=2,F3058&lt;=2),"Tidur","Umum"))))))</f>
        <v/>
      </c>
    </row>
    <row r="3059">
      <c r="B3059">
        <f>IF(A3059="","",$B$1-MAXIFS(Donasi!$A$2:$A$20000,Donasi!$B$2:$B$20000,A3059))</f>
        <v/>
      </c>
      <c r="C3059">
        <f>IF(A3059="","",COUNTIF(Donasi!$B$2:$B$20000,A3059))</f>
        <v/>
      </c>
      <c r="D3059">
        <f>IF(A3059="","",SUMIF(Donasi!$B$2:$B$20000,A3059,Donasi!$C$2:$C$20000))</f>
        <v/>
      </c>
      <c r="E3059">
        <f>IF(A3059="","",6-CEILING(PERCENTRANK.INC($B$3:$B$6000,B3059,4)*5+0.000001,1))</f>
        <v/>
      </c>
      <c r="F3059">
        <f>IF(A3059="","",MAX(1,CEILING(PERCENTRANK.INC($C$3:$C$6000,C3059,4)*5+0.000001,1)))</f>
        <v/>
      </c>
      <c r="G3059">
        <f>IF(A3059="","",MAX(1,CEILING(PERCENTRANK.INC($D$3:$D$6000,D3059,4)*5+0.000001,1)))</f>
        <v/>
      </c>
      <c r="H3059">
        <f>IF(A3059="","",E3059&amp;F3059&amp;G3059)</f>
        <v/>
      </c>
      <c r="I3059">
        <f>IF(A3059="","",IF(AND(E3059&gt;=4,F3059&gt;=4,G3059&gt;=4),"Juara",IF(AND(F3059&gt;=4,E3059&gt;=3),"Setia",IF(AND(E3059=5,F3059&lt;=2,G3059&gt;=3),"Berpotensi",IF(AND(E3059&lt;=3,E3059&gt;=2,F3059&gt;=3),"Rawan",IF(AND(E3059&lt;=2,F3059&lt;=2),"Tidur","Umum"))))))</f>
        <v/>
      </c>
    </row>
    <row r="3060">
      <c r="B3060">
        <f>IF(A3060="","",$B$1-MAXIFS(Donasi!$A$2:$A$20000,Donasi!$B$2:$B$20000,A3060))</f>
        <v/>
      </c>
      <c r="C3060">
        <f>IF(A3060="","",COUNTIF(Donasi!$B$2:$B$20000,A3060))</f>
        <v/>
      </c>
      <c r="D3060">
        <f>IF(A3060="","",SUMIF(Donasi!$B$2:$B$20000,A3060,Donasi!$C$2:$C$20000))</f>
        <v/>
      </c>
      <c r="E3060">
        <f>IF(A3060="","",6-CEILING(PERCENTRANK.INC($B$3:$B$6000,B3060,4)*5+0.000001,1))</f>
        <v/>
      </c>
      <c r="F3060">
        <f>IF(A3060="","",MAX(1,CEILING(PERCENTRANK.INC($C$3:$C$6000,C3060,4)*5+0.000001,1)))</f>
        <v/>
      </c>
      <c r="G3060">
        <f>IF(A3060="","",MAX(1,CEILING(PERCENTRANK.INC($D$3:$D$6000,D3060,4)*5+0.000001,1)))</f>
        <v/>
      </c>
      <c r="H3060">
        <f>IF(A3060="","",E3060&amp;F3060&amp;G3060)</f>
        <v/>
      </c>
      <c r="I3060">
        <f>IF(A3060="","",IF(AND(E3060&gt;=4,F3060&gt;=4,G3060&gt;=4),"Juara",IF(AND(F3060&gt;=4,E3060&gt;=3),"Setia",IF(AND(E3060=5,F3060&lt;=2,G3060&gt;=3),"Berpotensi",IF(AND(E3060&lt;=3,E3060&gt;=2,F3060&gt;=3),"Rawan",IF(AND(E3060&lt;=2,F3060&lt;=2),"Tidur","Umum"))))))</f>
        <v/>
      </c>
    </row>
    <row r="3061">
      <c r="B3061">
        <f>IF(A3061="","",$B$1-MAXIFS(Donasi!$A$2:$A$20000,Donasi!$B$2:$B$20000,A3061))</f>
        <v/>
      </c>
      <c r="C3061">
        <f>IF(A3061="","",COUNTIF(Donasi!$B$2:$B$20000,A3061))</f>
        <v/>
      </c>
      <c r="D3061">
        <f>IF(A3061="","",SUMIF(Donasi!$B$2:$B$20000,A3061,Donasi!$C$2:$C$20000))</f>
        <v/>
      </c>
      <c r="E3061">
        <f>IF(A3061="","",6-CEILING(PERCENTRANK.INC($B$3:$B$6000,B3061,4)*5+0.000001,1))</f>
        <v/>
      </c>
      <c r="F3061">
        <f>IF(A3061="","",MAX(1,CEILING(PERCENTRANK.INC($C$3:$C$6000,C3061,4)*5+0.000001,1)))</f>
        <v/>
      </c>
      <c r="G3061">
        <f>IF(A3061="","",MAX(1,CEILING(PERCENTRANK.INC($D$3:$D$6000,D3061,4)*5+0.000001,1)))</f>
        <v/>
      </c>
      <c r="H3061">
        <f>IF(A3061="","",E3061&amp;F3061&amp;G3061)</f>
        <v/>
      </c>
      <c r="I3061">
        <f>IF(A3061="","",IF(AND(E3061&gt;=4,F3061&gt;=4,G3061&gt;=4),"Juara",IF(AND(F3061&gt;=4,E3061&gt;=3),"Setia",IF(AND(E3061=5,F3061&lt;=2,G3061&gt;=3),"Berpotensi",IF(AND(E3061&lt;=3,E3061&gt;=2,F3061&gt;=3),"Rawan",IF(AND(E3061&lt;=2,F3061&lt;=2),"Tidur","Umum"))))))</f>
        <v/>
      </c>
    </row>
    <row r="3062">
      <c r="B3062">
        <f>IF(A3062="","",$B$1-MAXIFS(Donasi!$A$2:$A$20000,Donasi!$B$2:$B$20000,A3062))</f>
        <v/>
      </c>
      <c r="C3062">
        <f>IF(A3062="","",COUNTIF(Donasi!$B$2:$B$20000,A3062))</f>
        <v/>
      </c>
      <c r="D3062">
        <f>IF(A3062="","",SUMIF(Donasi!$B$2:$B$20000,A3062,Donasi!$C$2:$C$20000))</f>
        <v/>
      </c>
      <c r="E3062">
        <f>IF(A3062="","",6-CEILING(PERCENTRANK.INC($B$3:$B$6000,B3062,4)*5+0.000001,1))</f>
        <v/>
      </c>
      <c r="F3062">
        <f>IF(A3062="","",MAX(1,CEILING(PERCENTRANK.INC($C$3:$C$6000,C3062,4)*5+0.000001,1)))</f>
        <v/>
      </c>
      <c r="G3062">
        <f>IF(A3062="","",MAX(1,CEILING(PERCENTRANK.INC($D$3:$D$6000,D3062,4)*5+0.000001,1)))</f>
        <v/>
      </c>
      <c r="H3062">
        <f>IF(A3062="","",E3062&amp;F3062&amp;G3062)</f>
        <v/>
      </c>
      <c r="I3062">
        <f>IF(A3062="","",IF(AND(E3062&gt;=4,F3062&gt;=4,G3062&gt;=4),"Juara",IF(AND(F3062&gt;=4,E3062&gt;=3),"Setia",IF(AND(E3062=5,F3062&lt;=2,G3062&gt;=3),"Berpotensi",IF(AND(E3062&lt;=3,E3062&gt;=2,F3062&gt;=3),"Rawan",IF(AND(E3062&lt;=2,F3062&lt;=2),"Tidur","Umum"))))))</f>
        <v/>
      </c>
    </row>
    <row r="3063">
      <c r="B3063">
        <f>IF(A3063="","",$B$1-MAXIFS(Donasi!$A$2:$A$20000,Donasi!$B$2:$B$20000,A3063))</f>
        <v/>
      </c>
      <c r="C3063">
        <f>IF(A3063="","",COUNTIF(Donasi!$B$2:$B$20000,A3063))</f>
        <v/>
      </c>
      <c r="D3063">
        <f>IF(A3063="","",SUMIF(Donasi!$B$2:$B$20000,A3063,Donasi!$C$2:$C$20000))</f>
        <v/>
      </c>
      <c r="E3063">
        <f>IF(A3063="","",6-CEILING(PERCENTRANK.INC($B$3:$B$6000,B3063,4)*5+0.000001,1))</f>
        <v/>
      </c>
      <c r="F3063">
        <f>IF(A3063="","",MAX(1,CEILING(PERCENTRANK.INC($C$3:$C$6000,C3063,4)*5+0.000001,1)))</f>
        <v/>
      </c>
      <c r="G3063">
        <f>IF(A3063="","",MAX(1,CEILING(PERCENTRANK.INC($D$3:$D$6000,D3063,4)*5+0.000001,1)))</f>
        <v/>
      </c>
      <c r="H3063">
        <f>IF(A3063="","",E3063&amp;F3063&amp;G3063)</f>
        <v/>
      </c>
      <c r="I3063">
        <f>IF(A3063="","",IF(AND(E3063&gt;=4,F3063&gt;=4,G3063&gt;=4),"Juara",IF(AND(F3063&gt;=4,E3063&gt;=3),"Setia",IF(AND(E3063=5,F3063&lt;=2,G3063&gt;=3),"Berpotensi",IF(AND(E3063&lt;=3,E3063&gt;=2,F3063&gt;=3),"Rawan",IF(AND(E3063&lt;=2,F3063&lt;=2),"Tidur","Umum"))))))</f>
        <v/>
      </c>
    </row>
    <row r="3064">
      <c r="B3064">
        <f>IF(A3064="","",$B$1-MAXIFS(Donasi!$A$2:$A$20000,Donasi!$B$2:$B$20000,A3064))</f>
        <v/>
      </c>
      <c r="C3064">
        <f>IF(A3064="","",COUNTIF(Donasi!$B$2:$B$20000,A3064))</f>
        <v/>
      </c>
      <c r="D3064">
        <f>IF(A3064="","",SUMIF(Donasi!$B$2:$B$20000,A3064,Donasi!$C$2:$C$20000))</f>
        <v/>
      </c>
      <c r="E3064">
        <f>IF(A3064="","",6-CEILING(PERCENTRANK.INC($B$3:$B$6000,B3064,4)*5+0.000001,1))</f>
        <v/>
      </c>
      <c r="F3064">
        <f>IF(A3064="","",MAX(1,CEILING(PERCENTRANK.INC($C$3:$C$6000,C3064,4)*5+0.000001,1)))</f>
        <v/>
      </c>
      <c r="G3064">
        <f>IF(A3064="","",MAX(1,CEILING(PERCENTRANK.INC($D$3:$D$6000,D3064,4)*5+0.000001,1)))</f>
        <v/>
      </c>
      <c r="H3064">
        <f>IF(A3064="","",E3064&amp;F3064&amp;G3064)</f>
        <v/>
      </c>
      <c r="I3064">
        <f>IF(A3064="","",IF(AND(E3064&gt;=4,F3064&gt;=4,G3064&gt;=4),"Juara",IF(AND(F3064&gt;=4,E3064&gt;=3),"Setia",IF(AND(E3064=5,F3064&lt;=2,G3064&gt;=3),"Berpotensi",IF(AND(E3064&lt;=3,E3064&gt;=2,F3064&gt;=3),"Rawan",IF(AND(E3064&lt;=2,F3064&lt;=2),"Tidur","Umum"))))))</f>
        <v/>
      </c>
    </row>
    <row r="3065">
      <c r="B3065">
        <f>IF(A3065="","",$B$1-MAXIFS(Donasi!$A$2:$A$20000,Donasi!$B$2:$B$20000,A3065))</f>
        <v/>
      </c>
      <c r="C3065">
        <f>IF(A3065="","",COUNTIF(Donasi!$B$2:$B$20000,A3065))</f>
        <v/>
      </c>
      <c r="D3065">
        <f>IF(A3065="","",SUMIF(Donasi!$B$2:$B$20000,A3065,Donasi!$C$2:$C$20000))</f>
        <v/>
      </c>
      <c r="E3065">
        <f>IF(A3065="","",6-CEILING(PERCENTRANK.INC($B$3:$B$6000,B3065,4)*5+0.000001,1))</f>
        <v/>
      </c>
      <c r="F3065">
        <f>IF(A3065="","",MAX(1,CEILING(PERCENTRANK.INC($C$3:$C$6000,C3065,4)*5+0.000001,1)))</f>
        <v/>
      </c>
      <c r="G3065">
        <f>IF(A3065="","",MAX(1,CEILING(PERCENTRANK.INC($D$3:$D$6000,D3065,4)*5+0.000001,1)))</f>
        <v/>
      </c>
      <c r="H3065">
        <f>IF(A3065="","",E3065&amp;F3065&amp;G3065)</f>
        <v/>
      </c>
      <c r="I3065">
        <f>IF(A3065="","",IF(AND(E3065&gt;=4,F3065&gt;=4,G3065&gt;=4),"Juara",IF(AND(F3065&gt;=4,E3065&gt;=3),"Setia",IF(AND(E3065=5,F3065&lt;=2,G3065&gt;=3),"Berpotensi",IF(AND(E3065&lt;=3,E3065&gt;=2,F3065&gt;=3),"Rawan",IF(AND(E3065&lt;=2,F3065&lt;=2),"Tidur","Umum"))))))</f>
        <v/>
      </c>
    </row>
    <row r="3066">
      <c r="B3066">
        <f>IF(A3066="","",$B$1-MAXIFS(Donasi!$A$2:$A$20000,Donasi!$B$2:$B$20000,A3066))</f>
        <v/>
      </c>
      <c r="C3066">
        <f>IF(A3066="","",COUNTIF(Donasi!$B$2:$B$20000,A3066))</f>
        <v/>
      </c>
      <c r="D3066">
        <f>IF(A3066="","",SUMIF(Donasi!$B$2:$B$20000,A3066,Donasi!$C$2:$C$20000))</f>
        <v/>
      </c>
      <c r="E3066">
        <f>IF(A3066="","",6-CEILING(PERCENTRANK.INC($B$3:$B$6000,B3066,4)*5+0.000001,1))</f>
        <v/>
      </c>
      <c r="F3066">
        <f>IF(A3066="","",MAX(1,CEILING(PERCENTRANK.INC($C$3:$C$6000,C3066,4)*5+0.000001,1)))</f>
        <v/>
      </c>
      <c r="G3066">
        <f>IF(A3066="","",MAX(1,CEILING(PERCENTRANK.INC($D$3:$D$6000,D3066,4)*5+0.000001,1)))</f>
        <v/>
      </c>
      <c r="H3066">
        <f>IF(A3066="","",E3066&amp;F3066&amp;G3066)</f>
        <v/>
      </c>
      <c r="I3066">
        <f>IF(A3066="","",IF(AND(E3066&gt;=4,F3066&gt;=4,G3066&gt;=4),"Juara",IF(AND(F3066&gt;=4,E3066&gt;=3),"Setia",IF(AND(E3066=5,F3066&lt;=2,G3066&gt;=3),"Berpotensi",IF(AND(E3066&lt;=3,E3066&gt;=2,F3066&gt;=3),"Rawan",IF(AND(E3066&lt;=2,F3066&lt;=2),"Tidur","Umum"))))))</f>
        <v/>
      </c>
    </row>
    <row r="3067">
      <c r="B3067">
        <f>IF(A3067="","",$B$1-MAXIFS(Donasi!$A$2:$A$20000,Donasi!$B$2:$B$20000,A3067))</f>
        <v/>
      </c>
      <c r="C3067">
        <f>IF(A3067="","",COUNTIF(Donasi!$B$2:$B$20000,A3067))</f>
        <v/>
      </c>
      <c r="D3067">
        <f>IF(A3067="","",SUMIF(Donasi!$B$2:$B$20000,A3067,Donasi!$C$2:$C$20000))</f>
        <v/>
      </c>
      <c r="E3067">
        <f>IF(A3067="","",6-CEILING(PERCENTRANK.INC($B$3:$B$6000,B3067,4)*5+0.000001,1))</f>
        <v/>
      </c>
      <c r="F3067">
        <f>IF(A3067="","",MAX(1,CEILING(PERCENTRANK.INC($C$3:$C$6000,C3067,4)*5+0.000001,1)))</f>
        <v/>
      </c>
      <c r="G3067">
        <f>IF(A3067="","",MAX(1,CEILING(PERCENTRANK.INC($D$3:$D$6000,D3067,4)*5+0.000001,1)))</f>
        <v/>
      </c>
      <c r="H3067">
        <f>IF(A3067="","",E3067&amp;F3067&amp;G3067)</f>
        <v/>
      </c>
      <c r="I3067">
        <f>IF(A3067="","",IF(AND(E3067&gt;=4,F3067&gt;=4,G3067&gt;=4),"Juara",IF(AND(F3067&gt;=4,E3067&gt;=3),"Setia",IF(AND(E3067=5,F3067&lt;=2,G3067&gt;=3),"Berpotensi",IF(AND(E3067&lt;=3,E3067&gt;=2,F3067&gt;=3),"Rawan",IF(AND(E3067&lt;=2,F3067&lt;=2),"Tidur","Umum"))))))</f>
        <v/>
      </c>
    </row>
    <row r="3068">
      <c r="B3068">
        <f>IF(A3068="","",$B$1-MAXIFS(Donasi!$A$2:$A$20000,Donasi!$B$2:$B$20000,A3068))</f>
        <v/>
      </c>
      <c r="C3068">
        <f>IF(A3068="","",COUNTIF(Donasi!$B$2:$B$20000,A3068))</f>
        <v/>
      </c>
      <c r="D3068">
        <f>IF(A3068="","",SUMIF(Donasi!$B$2:$B$20000,A3068,Donasi!$C$2:$C$20000))</f>
        <v/>
      </c>
      <c r="E3068">
        <f>IF(A3068="","",6-CEILING(PERCENTRANK.INC($B$3:$B$6000,B3068,4)*5+0.000001,1))</f>
        <v/>
      </c>
      <c r="F3068">
        <f>IF(A3068="","",MAX(1,CEILING(PERCENTRANK.INC($C$3:$C$6000,C3068,4)*5+0.000001,1)))</f>
        <v/>
      </c>
      <c r="G3068">
        <f>IF(A3068="","",MAX(1,CEILING(PERCENTRANK.INC($D$3:$D$6000,D3068,4)*5+0.000001,1)))</f>
        <v/>
      </c>
      <c r="H3068">
        <f>IF(A3068="","",E3068&amp;F3068&amp;G3068)</f>
        <v/>
      </c>
      <c r="I3068">
        <f>IF(A3068="","",IF(AND(E3068&gt;=4,F3068&gt;=4,G3068&gt;=4),"Juara",IF(AND(F3068&gt;=4,E3068&gt;=3),"Setia",IF(AND(E3068=5,F3068&lt;=2,G3068&gt;=3),"Berpotensi",IF(AND(E3068&lt;=3,E3068&gt;=2,F3068&gt;=3),"Rawan",IF(AND(E3068&lt;=2,F3068&lt;=2),"Tidur","Umum"))))))</f>
        <v/>
      </c>
    </row>
    <row r="3069">
      <c r="B3069">
        <f>IF(A3069="","",$B$1-MAXIFS(Donasi!$A$2:$A$20000,Donasi!$B$2:$B$20000,A3069))</f>
        <v/>
      </c>
      <c r="C3069">
        <f>IF(A3069="","",COUNTIF(Donasi!$B$2:$B$20000,A3069))</f>
        <v/>
      </c>
      <c r="D3069">
        <f>IF(A3069="","",SUMIF(Donasi!$B$2:$B$20000,A3069,Donasi!$C$2:$C$20000))</f>
        <v/>
      </c>
      <c r="E3069">
        <f>IF(A3069="","",6-CEILING(PERCENTRANK.INC($B$3:$B$6000,B3069,4)*5+0.000001,1))</f>
        <v/>
      </c>
      <c r="F3069">
        <f>IF(A3069="","",MAX(1,CEILING(PERCENTRANK.INC($C$3:$C$6000,C3069,4)*5+0.000001,1)))</f>
        <v/>
      </c>
      <c r="G3069">
        <f>IF(A3069="","",MAX(1,CEILING(PERCENTRANK.INC($D$3:$D$6000,D3069,4)*5+0.000001,1)))</f>
        <v/>
      </c>
      <c r="H3069">
        <f>IF(A3069="","",E3069&amp;F3069&amp;G3069)</f>
        <v/>
      </c>
      <c r="I3069">
        <f>IF(A3069="","",IF(AND(E3069&gt;=4,F3069&gt;=4,G3069&gt;=4),"Juara",IF(AND(F3069&gt;=4,E3069&gt;=3),"Setia",IF(AND(E3069=5,F3069&lt;=2,G3069&gt;=3),"Berpotensi",IF(AND(E3069&lt;=3,E3069&gt;=2,F3069&gt;=3),"Rawan",IF(AND(E3069&lt;=2,F3069&lt;=2),"Tidur","Umum"))))))</f>
        <v/>
      </c>
    </row>
    <row r="3070">
      <c r="B3070">
        <f>IF(A3070="","",$B$1-MAXIFS(Donasi!$A$2:$A$20000,Donasi!$B$2:$B$20000,A3070))</f>
        <v/>
      </c>
      <c r="C3070">
        <f>IF(A3070="","",COUNTIF(Donasi!$B$2:$B$20000,A3070))</f>
        <v/>
      </c>
      <c r="D3070">
        <f>IF(A3070="","",SUMIF(Donasi!$B$2:$B$20000,A3070,Donasi!$C$2:$C$20000))</f>
        <v/>
      </c>
      <c r="E3070">
        <f>IF(A3070="","",6-CEILING(PERCENTRANK.INC($B$3:$B$6000,B3070,4)*5+0.000001,1))</f>
        <v/>
      </c>
      <c r="F3070">
        <f>IF(A3070="","",MAX(1,CEILING(PERCENTRANK.INC($C$3:$C$6000,C3070,4)*5+0.000001,1)))</f>
        <v/>
      </c>
      <c r="G3070">
        <f>IF(A3070="","",MAX(1,CEILING(PERCENTRANK.INC($D$3:$D$6000,D3070,4)*5+0.000001,1)))</f>
        <v/>
      </c>
      <c r="H3070">
        <f>IF(A3070="","",E3070&amp;F3070&amp;G3070)</f>
        <v/>
      </c>
      <c r="I3070">
        <f>IF(A3070="","",IF(AND(E3070&gt;=4,F3070&gt;=4,G3070&gt;=4),"Juara",IF(AND(F3070&gt;=4,E3070&gt;=3),"Setia",IF(AND(E3070=5,F3070&lt;=2,G3070&gt;=3),"Berpotensi",IF(AND(E3070&lt;=3,E3070&gt;=2,F3070&gt;=3),"Rawan",IF(AND(E3070&lt;=2,F3070&lt;=2),"Tidur","Umum"))))))</f>
        <v/>
      </c>
    </row>
    <row r="3071">
      <c r="B3071">
        <f>IF(A3071="","",$B$1-MAXIFS(Donasi!$A$2:$A$20000,Donasi!$B$2:$B$20000,A3071))</f>
        <v/>
      </c>
      <c r="C3071">
        <f>IF(A3071="","",COUNTIF(Donasi!$B$2:$B$20000,A3071))</f>
        <v/>
      </c>
      <c r="D3071">
        <f>IF(A3071="","",SUMIF(Donasi!$B$2:$B$20000,A3071,Donasi!$C$2:$C$20000))</f>
        <v/>
      </c>
      <c r="E3071">
        <f>IF(A3071="","",6-CEILING(PERCENTRANK.INC($B$3:$B$6000,B3071,4)*5+0.000001,1))</f>
        <v/>
      </c>
      <c r="F3071">
        <f>IF(A3071="","",MAX(1,CEILING(PERCENTRANK.INC($C$3:$C$6000,C3071,4)*5+0.000001,1)))</f>
        <v/>
      </c>
      <c r="G3071">
        <f>IF(A3071="","",MAX(1,CEILING(PERCENTRANK.INC($D$3:$D$6000,D3071,4)*5+0.000001,1)))</f>
        <v/>
      </c>
      <c r="H3071">
        <f>IF(A3071="","",E3071&amp;F3071&amp;G3071)</f>
        <v/>
      </c>
      <c r="I3071">
        <f>IF(A3071="","",IF(AND(E3071&gt;=4,F3071&gt;=4,G3071&gt;=4),"Juara",IF(AND(F3071&gt;=4,E3071&gt;=3),"Setia",IF(AND(E3071=5,F3071&lt;=2,G3071&gt;=3),"Berpotensi",IF(AND(E3071&lt;=3,E3071&gt;=2,F3071&gt;=3),"Rawan",IF(AND(E3071&lt;=2,F3071&lt;=2),"Tidur","Umum"))))))</f>
        <v/>
      </c>
    </row>
    <row r="3072">
      <c r="B3072">
        <f>IF(A3072="","",$B$1-MAXIFS(Donasi!$A$2:$A$20000,Donasi!$B$2:$B$20000,A3072))</f>
        <v/>
      </c>
      <c r="C3072">
        <f>IF(A3072="","",COUNTIF(Donasi!$B$2:$B$20000,A3072))</f>
        <v/>
      </c>
      <c r="D3072">
        <f>IF(A3072="","",SUMIF(Donasi!$B$2:$B$20000,A3072,Donasi!$C$2:$C$20000))</f>
        <v/>
      </c>
      <c r="E3072">
        <f>IF(A3072="","",6-CEILING(PERCENTRANK.INC($B$3:$B$6000,B3072,4)*5+0.000001,1))</f>
        <v/>
      </c>
      <c r="F3072">
        <f>IF(A3072="","",MAX(1,CEILING(PERCENTRANK.INC($C$3:$C$6000,C3072,4)*5+0.000001,1)))</f>
        <v/>
      </c>
      <c r="G3072">
        <f>IF(A3072="","",MAX(1,CEILING(PERCENTRANK.INC($D$3:$D$6000,D3072,4)*5+0.000001,1)))</f>
        <v/>
      </c>
      <c r="H3072">
        <f>IF(A3072="","",E3072&amp;F3072&amp;G3072)</f>
        <v/>
      </c>
      <c r="I3072">
        <f>IF(A3072="","",IF(AND(E3072&gt;=4,F3072&gt;=4,G3072&gt;=4),"Juara",IF(AND(F3072&gt;=4,E3072&gt;=3),"Setia",IF(AND(E3072=5,F3072&lt;=2,G3072&gt;=3),"Berpotensi",IF(AND(E3072&lt;=3,E3072&gt;=2,F3072&gt;=3),"Rawan",IF(AND(E3072&lt;=2,F3072&lt;=2),"Tidur","Umum"))))))</f>
        <v/>
      </c>
    </row>
    <row r="3073">
      <c r="B3073">
        <f>IF(A3073="","",$B$1-MAXIFS(Donasi!$A$2:$A$20000,Donasi!$B$2:$B$20000,A3073))</f>
        <v/>
      </c>
      <c r="C3073">
        <f>IF(A3073="","",COUNTIF(Donasi!$B$2:$B$20000,A3073))</f>
        <v/>
      </c>
      <c r="D3073">
        <f>IF(A3073="","",SUMIF(Donasi!$B$2:$B$20000,A3073,Donasi!$C$2:$C$20000))</f>
        <v/>
      </c>
      <c r="E3073">
        <f>IF(A3073="","",6-CEILING(PERCENTRANK.INC($B$3:$B$6000,B3073,4)*5+0.000001,1))</f>
        <v/>
      </c>
      <c r="F3073">
        <f>IF(A3073="","",MAX(1,CEILING(PERCENTRANK.INC($C$3:$C$6000,C3073,4)*5+0.000001,1)))</f>
        <v/>
      </c>
      <c r="G3073">
        <f>IF(A3073="","",MAX(1,CEILING(PERCENTRANK.INC($D$3:$D$6000,D3073,4)*5+0.000001,1)))</f>
        <v/>
      </c>
      <c r="H3073">
        <f>IF(A3073="","",E3073&amp;F3073&amp;G3073)</f>
        <v/>
      </c>
      <c r="I3073">
        <f>IF(A3073="","",IF(AND(E3073&gt;=4,F3073&gt;=4,G3073&gt;=4),"Juara",IF(AND(F3073&gt;=4,E3073&gt;=3),"Setia",IF(AND(E3073=5,F3073&lt;=2,G3073&gt;=3),"Berpotensi",IF(AND(E3073&lt;=3,E3073&gt;=2,F3073&gt;=3),"Rawan",IF(AND(E3073&lt;=2,F3073&lt;=2),"Tidur","Umum"))))))</f>
        <v/>
      </c>
    </row>
    <row r="3074">
      <c r="B3074">
        <f>IF(A3074="","",$B$1-MAXIFS(Donasi!$A$2:$A$20000,Donasi!$B$2:$B$20000,A3074))</f>
        <v/>
      </c>
      <c r="C3074">
        <f>IF(A3074="","",COUNTIF(Donasi!$B$2:$B$20000,A3074))</f>
        <v/>
      </c>
      <c r="D3074">
        <f>IF(A3074="","",SUMIF(Donasi!$B$2:$B$20000,A3074,Donasi!$C$2:$C$20000))</f>
        <v/>
      </c>
      <c r="E3074">
        <f>IF(A3074="","",6-CEILING(PERCENTRANK.INC($B$3:$B$6000,B3074,4)*5+0.000001,1))</f>
        <v/>
      </c>
      <c r="F3074">
        <f>IF(A3074="","",MAX(1,CEILING(PERCENTRANK.INC($C$3:$C$6000,C3074,4)*5+0.000001,1)))</f>
        <v/>
      </c>
      <c r="G3074">
        <f>IF(A3074="","",MAX(1,CEILING(PERCENTRANK.INC($D$3:$D$6000,D3074,4)*5+0.000001,1)))</f>
        <v/>
      </c>
      <c r="H3074">
        <f>IF(A3074="","",E3074&amp;F3074&amp;G3074)</f>
        <v/>
      </c>
      <c r="I3074">
        <f>IF(A3074="","",IF(AND(E3074&gt;=4,F3074&gt;=4,G3074&gt;=4),"Juara",IF(AND(F3074&gt;=4,E3074&gt;=3),"Setia",IF(AND(E3074=5,F3074&lt;=2,G3074&gt;=3),"Berpotensi",IF(AND(E3074&lt;=3,E3074&gt;=2,F3074&gt;=3),"Rawan",IF(AND(E3074&lt;=2,F3074&lt;=2),"Tidur","Umum"))))))</f>
        <v/>
      </c>
    </row>
    <row r="3075">
      <c r="B3075">
        <f>IF(A3075="","",$B$1-MAXIFS(Donasi!$A$2:$A$20000,Donasi!$B$2:$B$20000,A3075))</f>
        <v/>
      </c>
      <c r="C3075">
        <f>IF(A3075="","",COUNTIF(Donasi!$B$2:$B$20000,A3075))</f>
        <v/>
      </c>
      <c r="D3075">
        <f>IF(A3075="","",SUMIF(Donasi!$B$2:$B$20000,A3075,Donasi!$C$2:$C$20000))</f>
        <v/>
      </c>
      <c r="E3075">
        <f>IF(A3075="","",6-CEILING(PERCENTRANK.INC($B$3:$B$6000,B3075,4)*5+0.000001,1))</f>
        <v/>
      </c>
      <c r="F3075">
        <f>IF(A3075="","",MAX(1,CEILING(PERCENTRANK.INC($C$3:$C$6000,C3075,4)*5+0.000001,1)))</f>
        <v/>
      </c>
      <c r="G3075">
        <f>IF(A3075="","",MAX(1,CEILING(PERCENTRANK.INC($D$3:$D$6000,D3075,4)*5+0.000001,1)))</f>
        <v/>
      </c>
      <c r="H3075">
        <f>IF(A3075="","",E3075&amp;F3075&amp;G3075)</f>
        <v/>
      </c>
      <c r="I3075">
        <f>IF(A3075="","",IF(AND(E3075&gt;=4,F3075&gt;=4,G3075&gt;=4),"Juara",IF(AND(F3075&gt;=4,E3075&gt;=3),"Setia",IF(AND(E3075=5,F3075&lt;=2,G3075&gt;=3),"Berpotensi",IF(AND(E3075&lt;=3,E3075&gt;=2,F3075&gt;=3),"Rawan",IF(AND(E3075&lt;=2,F3075&lt;=2),"Tidur","Umum"))))))</f>
        <v/>
      </c>
    </row>
    <row r="3076">
      <c r="B3076">
        <f>IF(A3076="","",$B$1-MAXIFS(Donasi!$A$2:$A$20000,Donasi!$B$2:$B$20000,A3076))</f>
        <v/>
      </c>
      <c r="C3076">
        <f>IF(A3076="","",COUNTIF(Donasi!$B$2:$B$20000,A3076))</f>
        <v/>
      </c>
      <c r="D3076">
        <f>IF(A3076="","",SUMIF(Donasi!$B$2:$B$20000,A3076,Donasi!$C$2:$C$20000))</f>
        <v/>
      </c>
      <c r="E3076">
        <f>IF(A3076="","",6-CEILING(PERCENTRANK.INC($B$3:$B$6000,B3076,4)*5+0.000001,1))</f>
        <v/>
      </c>
      <c r="F3076">
        <f>IF(A3076="","",MAX(1,CEILING(PERCENTRANK.INC($C$3:$C$6000,C3076,4)*5+0.000001,1)))</f>
        <v/>
      </c>
      <c r="G3076">
        <f>IF(A3076="","",MAX(1,CEILING(PERCENTRANK.INC($D$3:$D$6000,D3076,4)*5+0.000001,1)))</f>
        <v/>
      </c>
      <c r="H3076">
        <f>IF(A3076="","",E3076&amp;F3076&amp;G3076)</f>
        <v/>
      </c>
      <c r="I3076">
        <f>IF(A3076="","",IF(AND(E3076&gt;=4,F3076&gt;=4,G3076&gt;=4),"Juara",IF(AND(F3076&gt;=4,E3076&gt;=3),"Setia",IF(AND(E3076=5,F3076&lt;=2,G3076&gt;=3),"Berpotensi",IF(AND(E3076&lt;=3,E3076&gt;=2,F3076&gt;=3),"Rawan",IF(AND(E3076&lt;=2,F3076&lt;=2),"Tidur","Umum"))))))</f>
        <v/>
      </c>
    </row>
    <row r="3077">
      <c r="B3077">
        <f>IF(A3077="","",$B$1-MAXIFS(Donasi!$A$2:$A$20000,Donasi!$B$2:$B$20000,A3077))</f>
        <v/>
      </c>
      <c r="C3077">
        <f>IF(A3077="","",COUNTIF(Donasi!$B$2:$B$20000,A3077))</f>
        <v/>
      </c>
      <c r="D3077">
        <f>IF(A3077="","",SUMIF(Donasi!$B$2:$B$20000,A3077,Donasi!$C$2:$C$20000))</f>
        <v/>
      </c>
      <c r="E3077">
        <f>IF(A3077="","",6-CEILING(PERCENTRANK.INC($B$3:$B$6000,B3077,4)*5+0.000001,1))</f>
        <v/>
      </c>
      <c r="F3077">
        <f>IF(A3077="","",MAX(1,CEILING(PERCENTRANK.INC($C$3:$C$6000,C3077,4)*5+0.000001,1)))</f>
        <v/>
      </c>
      <c r="G3077">
        <f>IF(A3077="","",MAX(1,CEILING(PERCENTRANK.INC($D$3:$D$6000,D3077,4)*5+0.000001,1)))</f>
        <v/>
      </c>
      <c r="H3077">
        <f>IF(A3077="","",E3077&amp;F3077&amp;G3077)</f>
        <v/>
      </c>
      <c r="I3077">
        <f>IF(A3077="","",IF(AND(E3077&gt;=4,F3077&gt;=4,G3077&gt;=4),"Juara",IF(AND(F3077&gt;=4,E3077&gt;=3),"Setia",IF(AND(E3077=5,F3077&lt;=2,G3077&gt;=3),"Berpotensi",IF(AND(E3077&lt;=3,E3077&gt;=2,F3077&gt;=3),"Rawan",IF(AND(E3077&lt;=2,F3077&lt;=2),"Tidur","Umum"))))))</f>
        <v/>
      </c>
    </row>
    <row r="3078">
      <c r="B3078">
        <f>IF(A3078="","",$B$1-MAXIFS(Donasi!$A$2:$A$20000,Donasi!$B$2:$B$20000,A3078))</f>
        <v/>
      </c>
      <c r="C3078">
        <f>IF(A3078="","",COUNTIF(Donasi!$B$2:$B$20000,A3078))</f>
        <v/>
      </c>
      <c r="D3078">
        <f>IF(A3078="","",SUMIF(Donasi!$B$2:$B$20000,A3078,Donasi!$C$2:$C$20000))</f>
        <v/>
      </c>
      <c r="E3078">
        <f>IF(A3078="","",6-CEILING(PERCENTRANK.INC($B$3:$B$6000,B3078,4)*5+0.000001,1))</f>
        <v/>
      </c>
      <c r="F3078">
        <f>IF(A3078="","",MAX(1,CEILING(PERCENTRANK.INC($C$3:$C$6000,C3078,4)*5+0.000001,1)))</f>
        <v/>
      </c>
      <c r="G3078">
        <f>IF(A3078="","",MAX(1,CEILING(PERCENTRANK.INC($D$3:$D$6000,D3078,4)*5+0.000001,1)))</f>
        <v/>
      </c>
      <c r="H3078">
        <f>IF(A3078="","",E3078&amp;F3078&amp;G3078)</f>
        <v/>
      </c>
      <c r="I3078">
        <f>IF(A3078="","",IF(AND(E3078&gt;=4,F3078&gt;=4,G3078&gt;=4),"Juara",IF(AND(F3078&gt;=4,E3078&gt;=3),"Setia",IF(AND(E3078=5,F3078&lt;=2,G3078&gt;=3),"Berpotensi",IF(AND(E3078&lt;=3,E3078&gt;=2,F3078&gt;=3),"Rawan",IF(AND(E3078&lt;=2,F3078&lt;=2),"Tidur","Umum"))))))</f>
        <v/>
      </c>
    </row>
    <row r="3079">
      <c r="B3079">
        <f>IF(A3079="","",$B$1-MAXIFS(Donasi!$A$2:$A$20000,Donasi!$B$2:$B$20000,A3079))</f>
        <v/>
      </c>
      <c r="C3079">
        <f>IF(A3079="","",COUNTIF(Donasi!$B$2:$B$20000,A3079))</f>
        <v/>
      </c>
      <c r="D3079">
        <f>IF(A3079="","",SUMIF(Donasi!$B$2:$B$20000,A3079,Donasi!$C$2:$C$20000))</f>
        <v/>
      </c>
      <c r="E3079">
        <f>IF(A3079="","",6-CEILING(PERCENTRANK.INC($B$3:$B$6000,B3079,4)*5+0.000001,1))</f>
        <v/>
      </c>
      <c r="F3079">
        <f>IF(A3079="","",MAX(1,CEILING(PERCENTRANK.INC($C$3:$C$6000,C3079,4)*5+0.000001,1)))</f>
        <v/>
      </c>
      <c r="G3079">
        <f>IF(A3079="","",MAX(1,CEILING(PERCENTRANK.INC($D$3:$D$6000,D3079,4)*5+0.000001,1)))</f>
        <v/>
      </c>
      <c r="H3079">
        <f>IF(A3079="","",E3079&amp;F3079&amp;G3079)</f>
        <v/>
      </c>
      <c r="I3079">
        <f>IF(A3079="","",IF(AND(E3079&gt;=4,F3079&gt;=4,G3079&gt;=4),"Juara",IF(AND(F3079&gt;=4,E3079&gt;=3),"Setia",IF(AND(E3079=5,F3079&lt;=2,G3079&gt;=3),"Berpotensi",IF(AND(E3079&lt;=3,E3079&gt;=2,F3079&gt;=3),"Rawan",IF(AND(E3079&lt;=2,F3079&lt;=2),"Tidur","Umum"))))))</f>
        <v/>
      </c>
    </row>
    <row r="3080">
      <c r="B3080">
        <f>IF(A3080="","",$B$1-MAXIFS(Donasi!$A$2:$A$20000,Donasi!$B$2:$B$20000,A3080))</f>
        <v/>
      </c>
      <c r="C3080">
        <f>IF(A3080="","",COUNTIF(Donasi!$B$2:$B$20000,A3080))</f>
        <v/>
      </c>
      <c r="D3080">
        <f>IF(A3080="","",SUMIF(Donasi!$B$2:$B$20000,A3080,Donasi!$C$2:$C$20000))</f>
        <v/>
      </c>
      <c r="E3080">
        <f>IF(A3080="","",6-CEILING(PERCENTRANK.INC($B$3:$B$6000,B3080,4)*5+0.000001,1))</f>
        <v/>
      </c>
      <c r="F3080">
        <f>IF(A3080="","",MAX(1,CEILING(PERCENTRANK.INC($C$3:$C$6000,C3080,4)*5+0.000001,1)))</f>
        <v/>
      </c>
      <c r="G3080">
        <f>IF(A3080="","",MAX(1,CEILING(PERCENTRANK.INC($D$3:$D$6000,D3080,4)*5+0.000001,1)))</f>
        <v/>
      </c>
      <c r="H3080">
        <f>IF(A3080="","",E3080&amp;F3080&amp;G3080)</f>
        <v/>
      </c>
      <c r="I3080">
        <f>IF(A3080="","",IF(AND(E3080&gt;=4,F3080&gt;=4,G3080&gt;=4),"Juara",IF(AND(F3080&gt;=4,E3080&gt;=3),"Setia",IF(AND(E3080=5,F3080&lt;=2,G3080&gt;=3),"Berpotensi",IF(AND(E3080&lt;=3,E3080&gt;=2,F3080&gt;=3),"Rawan",IF(AND(E3080&lt;=2,F3080&lt;=2),"Tidur","Umum"))))))</f>
        <v/>
      </c>
    </row>
    <row r="3081">
      <c r="B3081">
        <f>IF(A3081="","",$B$1-MAXIFS(Donasi!$A$2:$A$20000,Donasi!$B$2:$B$20000,A3081))</f>
        <v/>
      </c>
      <c r="C3081">
        <f>IF(A3081="","",COUNTIF(Donasi!$B$2:$B$20000,A3081))</f>
        <v/>
      </c>
      <c r="D3081">
        <f>IF(A3081="","",SUMIF(Donasi!$B$2:$B$20000,A3081,Donasi!$C$2:$C$20000))</f>
        <v/>
      </c>
      <c r="E3081">
        <f>IF(A3081="","",6-CEILING(PERCENTRANK.INC($B$3:$B$6000,B3081,4)*5+0.000001,1))</f>
        <v/>
      </c>
      <c r="F3081">
        <f>IF(A3081="","",MAX(1,CEILING(PERCENTRANK.INC($C$3:$C$6000,C3081,4)*5+0.000001,1)))</f>
        <v/>
      </c>
      <c r="G3081">
        <f>IF(A3081="","",MAX(1,CEILING(PERCENTRANK.INC($D$3:$D$6000,D3081,4)*5+0.000001,1)))</f>
        <v/>
      </c>
      <c r="H3081">
        <f>IF(A3081="","",E3081&amp;F3081&amp;G3081)</f>
        <v/>
      </c>
      <c r="I3081">
        <f>IF(A3081="","",IF(AND(E3081&gt;=4,F3081&gt;=4,G3081&gt;=4),"Juara",IF(AND(F3081&gt;=4,E3081&gt;=3),"Setia",IF(AND(E3081=5,F3081&lt;=2,G3081&gt;=3),"Berpotensi",IF(AND(E3081&lt;=3,E3081&gt;=2,F3081&gt;=3),"Rawan",IF(AND(E3081&lt;=2,F3081&lt;=2),"Tidur","Umum"))))))</f>
        <v/>
      </c>
    </row>
    <row r="3082">
      <c r="B3082">
        <f>IF(A3082="","",$B$1-MAXIFS(Donasi!$A$2:$A$20000,Donasi!$B$2:$B$20000,A3082))</f>
        <v/>
      </c>
      <c r="C3082">
        <f>IF(A3082="","",COUNTIF(Donasi!$B$2:$B$20000,A3082))</f>
        <v/>
      </c>
      <c r="D3082">
        <f>IF(A3082="","",SUMIF(Donasi!$B$2:$B$20000,A3082,Donasi!$C$2:$C$20000))</f>
        <v/>
      </c>
      <c r="E3082">
        <f>IF(A3082="","",6-CEILING(PERCENTRANK.INC($B$3:$B$6000,B3082,4)*5+0.000001,1))</f>
        <v/>
      </c>
      <c r="F3082">
        <f>IF(A3082="","",MAX(1,CEILING(PERCENTRANK.INC($C$3:$C$6000,C3082,4)*5+0.000001,1)))</f>
        <v/>
      </c>
      <c r="G3082">
        <f>IF(A3082="","",MAX(1,CEILING(PERCENTRANK.INC($D$3:$D$6000,D3082,4)*5+0.000001,1)))</f>
        <v/>
      </c>
      <c r="H3082">
        <f>IF(A3082="","",E3082&amp;F3082&amp;G3082)</f>
        <v/>
      </c>
      <c r="I3082">
        <f>IF(A3082="","",IF(AND(E3082&gt;=4,F3082&gt;=4,G3082&gt;=4),"Juara",IF(AND(F3082&gt;=4,E3082&gt;=3),"Setia",IF(AND(E3082=5,F3082&lt;=2,G3082&gt;=3),"Berpotensi",IF(AND(E3082&lt;=3,E3082&gt;=2,F3082&gt;=3),"Rawan",IF(AND(E3082&lt;=2,F3082&lt;=2),"Tidur","Umum"))))))</f>
        <v/>
      </c>
    </row>
    <row r="3083">
      <c r="B3083">
        <f>IF(A3083="","",$B$1-MAXIFS(Donasi!$A$2:$A$20000,Donasi!$B$2:$B$20000,A3083))</f>
        <v/>
      </c>
      <c r="C3083">
        <f>IF(A3083="","",COUNTIF(Donasi!$B$2:$B$20000,A3083))</f>
        <v/>
      </c>
      <c r="D3083">
        <f>IF(A3083="","",SUMIF(Donasi!$B$2:$B$20000,A3083,Donasi!$C$2:$C$20000))</f>
        <v/>
      </c>
      <c r="E3083">
        <f>IF(A3083="","",6-CEILING(PERCENTRANK.INC($B$3:$B$6000,B3083,4)*5+0.000001,1))</f>
        <v/>
      </c>
      <c r="F3083">
        <f>IF(A3083="","",MAX(1,CEILING(PERCENTRANK.INC($C$3:$C$6000,C3083,4)*5+0.000001,1)))</f>
        <v/>
      </c>
      <c r="G3083">
        <f>IF(A3083="","",MAX(1,CEILING(PERCENTRANK.INC($D$3:$D$6000,D3083,4)*5+0.000001,1)))</f>
        <v/>
      </c>
      <c r="H3083">
        <f>IF(A3083="","",E3083&amp;F3083&amp;G3083)</f>
        <v/>
      </c>
      <c r="I3083">
        <f>IF(A3083="","",IF(AND(E3083&gt;=4,F3083&gt;=4,G3083&gt;=4),"Juara",IF(AND(F3083&gt;=4,E3083&gt;=3),"Setia",IF(AND(E3083=5,F3083&lt;=2,G3083&gt;=3),"Berpotensi",IF(AND(E3083&lt;=3,E3083&gt;=2,F3083&gt;=3),"Rawan",IF(AND(E3083&lt;=2,F3083&lt;=2),"Tidur","Umum"))))))</f>
        <v/>
      </c>
    </row>
    <row r="3084">
      <c r="B3084">
        <f>IF(A3084="","",$B$1-MAXIFS(Donasi!$A$2:$A$20000,Donasi!$B$2:$B$20000,A3084))</f>
        <v/>
      </c>
      <c r="C3084">
        <f>IF(A3084="","",COUNTIF(Donasi!$B$2:$B$20000,A3084))</f>
        <v/>
      </c>
      <c r="D3084">
        <f>IF(A3084="","",SUMIF(Donasi!$B$2:$B$20000,A3084,Donasi!$C$2:$C$20000))</f>
        <v/>
      </c>
      <c r="E3084">
        <f>IF(A3084="","",6-CEILING(PERCENTRANK.INC($B$3:$B$6000,B3084,4)*5+0.000001,1))</f>
        <v/>
      </c>
      <c r="F3084">
        <f>IF(A3084="","",MAX(1,CEILING(PERCENTRANK.INC($C$3:$C$6000,C3084,4)*5+0.000001,1)))</f>
        <v/>
      </c>
      <c r="G3084">
        <f>IF(A3084="","",MAX(1,CEILING(PERCENTRANK.INC($D$3:$D$6000,D3084,4)*5+0.000001,1)))</f>
        <v/>
      </c>
      <c r="H3084">
        <f>IF(A3084="","",E3084&amp;F3084&amp;G3084)</f>
        <v/>
      </c>
      <c r="I3084">
        <f>IF(A3084="","",IF(AND(E3084&gt;=4,F3084&gt;=4,G3084&gt;=4),"Juara",IF(AND(F3084&gt;=4,E3084&gt;=3),"Setia",IF(AND(E3084=5,F3084&lt;=2,G3084&gt;=3),"Berpotensi",IF(AND(E3084&lt;=3,E3084&gt;=2,F3084&gt;=3),"Rawan",IF(AND(E3084&lt;=2,F3084&lt;=2),"Tidur","Umum"))))))</f>
        <v/>
      </c>
    </row>
    <row r="3085">
      <c r="B3085">
        <f>IF(A3085="","",$B$1-MAXIFS(Donasi!$A$2:$A$20000,Donasi!$B$2:$B$20000,A3085))</f>
        <v/>
      </c>
      <c r="C3085">
        <f>IF(A3085="","",COUNTIF(Donasi!$B$2:$B$20000,A3085))</f>
        <v/>
      </c>
      <c r="D3085">
        <f>IF(A3085="","",SUMIF(Donasi!$B$2:$B$20000,A3085,Donasi!$C$2:$C$20000))</f>
        <v/>
      </c>
      <c r="E3085">
        <f>IF(A3085="","",6-CEILING(PERCENTRANK.INC($B$3:$B$6000,B3085,4)*5+0.000001,1))</f>
        <v/>
      </c>
      <c r="F3085">
        <f>IF(A3085="","",MAX(1,CEILING(PERCENTRANK.INC($C$3:$C$6000,C3085,4)*5+0.000001,1)))</f>
        <v/>
      </c>
      <c r="G3085">
        <f>IF(A3085="","",MAX(1,CEILING(PERCENTRANK.INC($D$3:$D$6000,D3085,4)*5+0.000001,1)))</f>
        <v/>
      </c>
      <c r="H3085">
        <f>IF(A3085="","",E3085&amp;F3085&amp;G3085)</f>
        <v/>
      </c>
      <c r="I3085">
        <f>IF(A3085="","",IF(AND(E3085&gt;=4,F3085&gt;=4,G3085&gt;=4),"Juara",IF(AND(F3085&gt;=4,E3085&gt;=3),"Setia",IF(AND(E3085=5,F3085&lt;=2,G3085&gt;=3),"Berpotensi",IF(AND(E3085&lt;=3,E3085&gt;=2,F3085&gt;=3),"Rawan",IF(AND(E3085&lt;=2,F3085&lt;=2),"Tidur","Umum"))))))</f>
        <v/>
      </c>
    </row>
    <row r="3086">
      <c r="B3086">
        <f>IF(A3086="","",$B$1-MAXIFS(Donasi!$A$2:$A$20000,Donasi!$B$2:$B$20000,A3086))</f>
        <v/>
      </c>
      <c r="C3086">
        <f>IF(A3086="","",COUNTIF(Donasi!$B$2:$B$20000,A3086))</f>
        <v/>
      </c>
      <c r="D3086">
        <f>IF(A3086="","",SUMIF(Donasi!$B$2:$B$20000,A3086,Donasi!$C$2:$C$20000))</f>
        <v/>
      </c>
      <c r="E3086">
        <f>IF(A3086="","",6-CEILING(PERCENTRANK.INC($B$3:$B$6000,B3086,4)*5+0.000001,1))</f>
        <v/>
      </c>
      <c r="F3086">
        <f>IF(A3086="","",MAX(1,CEILING(PERCENTRANK.INC($C$3:$C$6000,C3086,4)*5+0.000001,1)))</f>
        <v/>
      </c>
      <c r="G3086">
        <f>IF(A3086="","",MAX(1,CEILING(PERCENTRANK.INC($D$3:$D$6000,D3086,4)*5+0.000001,1)))</f>
        <v/>
      </c>
      <c r="H3086">
        <f>IF(A3086="","",E3086&amp;F3086&amp;G3086)</f>
        <v/>
      </c>
      <c r="I3086">
        <f>IF(A3086="","",IF(AND(E3086&gt;=4,F3086&gt;=4,G3086&gt;=4),"Juara",IF(AND(F3086&gt;=4,E3086&gt;=3),"Setia",IF(AND(E3086=5,F3086&lt;=2,G3086&gt;=3),"Berpotensi",IF(AND(E3086&lt;=3,E3086&gt;=2,F3086&gt;=3),"Rawan",IF(AND(E3086&lt;=2,F3086&lt;=2),"Tidur","Umum"))))))</f>
        <v/>
      </c>
    </row>
    <row r="3087">
      <c r="B3087">
        <f>IF(A3087="","",$B$1-MAXIFS(Donasi!$A$2:$A$20000,Donasi!$B$2:$B$20000,A3087))</f>
        <v/>
      </c>
      <c r="C3087">
        <f>IF(A3087="","",COUNTIF(Donasi!$B$2:$B$20000,A3087))</f>
        <v/>
      </c>
      <c r="D3087">
        <f>IF(A3087="","",SUMIF(Donasi!$B$2:$B$20000,A3087,Donasi!$C$2:$C$20000))</f>
        <v/>
      </c>
      <c r="E3087">
        <f>IF(A3087="","",6-CEILING(PERCENTRANK.INC($B$3:$B$6000,B3087,4)*5+0.000001,1))</f>
        <v/>
      </c>
      <c r="F3087">
        <f>IF(A3087="","",MAX(1,CEILING(PERCENTRANK.INC($C$3:$C$6000,C3087,4)*5+0.000001,1)))</f>
        <v/>
      </c>
      <c r="G3087">
        <f>IF(A3087="","",MAX(1,CEILING(PERCENTRANK.INC($D$3:$D$6000,D3087,4)*5+0.000001,1)))</f>
        <v/>
      </c>
      <c r="H3087">
        <f>IF(A3087="","",E3087&amp;F3087&amp;G3087)</f>
        <v/>
      </c>
      <c r="I3087">
        <f>IF(A3087="","",IF(AND(E3087&gt;=4,F3087&gt;=4,G3087&gt;=4),"Juara",IF(AND(F3087&gt;=4,E3087&gt;=3),"Setia",IF(AND(E3087=5,F3087&lt;=2,G3087&gt;=3),"Berpotensi",IF(AND(E3087&lt;=3,E3087&gt;=2,F3087&gt;=3),"Rawan",IF(AND(E3087&lt;=2,F3087&lt;=2),"Tidur","Umum"))))))</f>
        <v/>
      </c>
    </row>
    <row r="3088">
      <c r="B3088">
        <f>IF(A3088="","",$B$1-MAXIFS(Donasi!$A$2:$A$20000,Donasi!$B$2:$B$20000,A3088))</f>
        <v/>
      </c>
      <c r="C3088">
        <f>IF(A3088="","",COUNTIF(Donasi!$B$2:$B$20000,A3088))</f>
        <v/>
      </c>
      <c r="D3088">
        <f>IF(A3088="","",SUMIF(Donasi!$B$2:$B$20000,A3088,Donasi!$C$2:$C$20000))</f>
        <v/>
      </c>
      <c r="E3088">
        <f>IF(A3088="","",6-CEILING(PERCENTRANK.INC($B$3:$B$6000,B3088,4)*5+0.000001,1))</f>
        <v/>
      </c>
      <c r="F3088">
        <f>IF(A3088="","",MAX(1,CEILING(PERCENTRANK.INC($C$3:$C$6000,C3088,4)*5+0.000001,1)))</f>
        <v/>
      </c>
      <c r="G3088">
        <f>IF(A3088="","",MAX(1,CEILING(PERCENTRANK.INC($D$3:$D$6000,D3088,4)*5+0.000001,1)))</f>
        <v/>
      </c>
      <c r="H3088">
        <f>IF(A3088="","",E3088&amp;F3088&amp;G3088)</f>
        <v/>
      </c>
      <c r="I3088">
        <f>IF(A3088="","",IF(AND(E3088&gt;=4,F3088&gt;=4,G3088&gt;=4),"Juara",IF(AND(F3088&gt;=4,E3088&gt;=3),"Setia",IF(AND(E3088=5,F3088&lt;=2,G3088&gt;=3),"Berpotensi",IF(AND(E3088&lt;=3,E3088&gt;=2,F3088&gt;=3),"Rawan",IF(AND(E3088&lt;=2,F3088&lt;=2),"Tidur","Umum"))))))</f>
        <v/>
      </c>
    </row>
    <row r="3089">
      <c r="B3089">
        <f>IF(A3089="","",$B$1-MAXIFS(Donasi!$A$2:$A$20000,Donasi!$B$2:$B$20000,A3089))</f>
        <v/>
      </c>
      <c r="C3089">
        <f>IF(A3089="","",COUNTIF(Donasi!$B$2:$B$20000,A3089))</f>
        <v/>
      </c>
      <c r="D3089">
        <f>IF(A3089="","",SUMIF(Donasi!$B$2:$B$20000,A3089,Donasi!$C$2:$C$20000))</f>
        <v/>
      </c>
      <c r="E3089">
        <f>IF(A3089="","",6-CEILING(PERCENTRANK.INC($B$3:$B$6000,B3089,4)*5+0.000001,1))</f>
        <v/>
      </c>
      <c r="F3089">
        <f>IF(A3089="","",MAX(1,CEILING(PERCENTRANK.INC($C$3:$C$6000,C3089,4)*5+0.000001,1)))</f>
        <v/>
      </c>
      <c r="G3089">
        <f>IF(A3089="","",MAX(1,CEILING(PERCENTRANK.INC($D$3:$D$6000,D3089,4)*5+0.000001,1)))</f>
        <v/>
      </c>
      <c r="H3089">
        <f>IF(A3089="","",E3089&amp;F3089&amp;G3089)</f>
        <v/>
      </c>
      <c r="I3089">
        <f>IF(A3089="","",IF(AND(E3089&gt;=4,F3089&gt;=4,G3089&gt;=4),"Juara",IF(AND(F3089&gt;=4,E3089&gt;=3),"Setia",IF(AND(E3089=5,F3089&lt;=2,G3089&gt;=3),"Berpotensi",IF(AND(E3089&lt;=3,E3089&gt;=2,F3089&gt;=3),"Rawan",IF(AND(E3089&lt;=2,F3089&lt;=2),"Tidur","Umum"))))))</f>
        <v/>
      </c>
    </row>
    <row r="3090">
      <c r="B3090">
        <f>IF(A3090="","",$B$1-MAXIFS(Donasi!$A$2:$A$20000,Donasi!$B$2:$B$20000,A3090))</f>
        <v/>
      </c>
      <c r="C3090">
        <f>IF(A3090="","",COUNTIF(Donasi!$B$2:$B$20000,A3090))</f>
        <v/>
      </c>
      <c r="D3090">
        <f>IF(A3090="","",SUMIF(Donasi!$B$2:$B$20000,A3090,Donasi!$C$2:$C$20000))</f>
        <v/>
      </c>
      <c r="E3090">
        <f>IF(A3090="","",6-CEILING(PERCENTRANK.INC($B$3:$B$6000,B3090,4)*5+0.000001,1))</f>
        <v/>
      </c>
      <c r="F3090">
        <f>IF(A3090="","",MAX(1,CEILING(PERCENTRANK.INC($C$3:$C$6000,C3090,4)*5+0.000001,1)))</f>
        <v/>
      </c>
      <c r="G3090">
        <f>IF(A3090="","",MAX(1,CEILING(PERCENTRANK.INC($D$3:$D$6000,D3090,4)*5+0.000001,1)))</f>
        <v/>
      </c>
      <c r="H3090">
        <f>IF(A3090="","",E3090&amp;F3090&amp;G3090)</f>
        <v/>
      </c>
      <c r="I3090">
        <f>IF(A3090="","",IF(AND(E3090&gt;=4,F3090&gt;=4,G3090&gt;=4),"Juara",IF(AND(F3090&gt;=4,E3090&gt;=3),"Setia",IF(AND(E3090=5,F3090&lt;=2,G3090&gt;=3),"Berpotensi",IF(AND(E3090&lt;=3,E3090&gt;=2,F3090&gt;=3),"Rawan",IF(AND(E3090&lt;=2,F3090&lt;=2),"Tidur","Umum"))))))</f>
        <v/>
      </c>
    </row>
    <row r="3091">
      <c r="B3091">
        <f>IF(A3091="","",$B$1-MAXIFS(Donasi!$A$2:$A$20000,Donasi!$B$2:$B$20000,A3091))</f>
        <v/>
      </c>
      <c r="C3091">
        <f>IF(A3091="","",COUNTIF(Donasi!$B$2:$B$20000,A3091))</f>
        <v/>
      </c>
      <c r="D3091">
        <f>IF(A3091="","",SUMIF(Donasi!$B$2:$B$20000,A3091,Donasi!$C$2:$C$20000))</f>
        <v/>
      </c>
      <c r="E3091">
        <f>IF(A3091="","",6-CEILING(PERCENTRANK.INC($B$3:$B$6000,B3091,4)*5+0.000001,1))</f>
        <v/>
      </c>
      <c r="F3091">
        <f>IF(A3091="","",MAX(1,CEILING(PERCENTRANK.INC($C$3:$C$6000,C3091,4)*5+0.000001,1)))</f>
        <v/>
      </c>
      <c r="G3091">
        <f>IF(A3091="","",MAX(1,CEILING(PERCENTRANK.INC($D$3:$D$6000,D3091,4)*5+0.000001,1)))</f>
        <v/>
      </c>
      <c r="H3091">
        <f>IF(A3091="","",E3091&amp;F3091&amp;G3091)</f>
        <v/>
      </c>
      <c r="I3091">
        <f>IF(A3091="","",IF(AND(E3091&gt;=4,F3091&gt;=4,G3091&gt;=4),"Juara",IF(AND(F3091&gt;=4,E3091&gt;=3),"Setia",IF(AND(E3091=5,F3091&lt;=2,G3091&gt;=3),"Berpotensi",IF(AND(E3091&lt;=3,E3091&gt;=2,F3091&gt;=3),"Rawan",IF(AND(E3091&lt;=2,F3091&lt;=2),"Tidur","Umum"))))))</f>
        <v/>
      </c>
    </row>
    <row r="3092">
      <c r="B3092">
        <f>IF(A3092="","",$B$1-MAXIFS(Donasi!$A$2:$A$20000,Donasi!$B$2:$B$20000,A3092))</f>
        <v/>
      </c>
      <c r="C3092">
        <f>IF(A3092="","",COUNTIF(Donasi!$B$2:$B$20000,A3092))</f>
        <v/>
      </c>
      <c r="D3092">
        <f>IF(A3092="","",SUMIF(Donasi!$B$2:$B$20000,A3092,Donasi!$C$2:$C$20000))</f>
        <v/>
      </c>
      <c r="E3092">
        <f>IF(A3092="","",6-CEILING(PERCENTRANK.INC($B$3:$B$6000,B3092,4)*5+0.000001,1))</f>
        <v/>
      </c>
      <c r="F3092">
        <f>IF(A3092="","",MAX(1,CEILING(PERCENTRANK.INC($C$3:$C$6000,C3092,4)*5+0.000001,1)))</f>
        <v/>
      </c>
      <c r="G3092">
        <f>IF(A3092="","",MAX(1,CEILING(PERCENTRANK.INC($D$3:$D$6000,D3092,4)*5+0.000001,1)))</f>
        <v/>
      </c>
      <c r="H3092">
        <f>IF(A3092="","",E3092&amp;F3092&amp;G3092)</f>
        <v/>
      </c>
      <c r="I3092">
        <f>IF(A3092="","",IF(AND(E3092&gt;=4,F3092&gt;=4,G3092&gt;=4),"Juara",IF(AND(F3092&gt;=4,E3092&gt;=3),"Setia",IF(AND(E3092=5,F3092&lt;=2,G3092&gt;=3),"Berpotensi",IF(AND(E3092&lt;=3,E3092&gt;=2,F3092&gt;=3),"Rawan",IF(AND(E3092&lt;=2,F3092&lt;=2),"Tidur","Umum"))))))</f>
        <v/>
      </c>
    </row>
    <row r="3093">
      <c r="B3093">
        <f>IF(A3093="","",$B$1-MAXIFS(Donasi!$A$2:$A$20000,Donasi!$B$2:$B$20000,A3093))</f>
        <v/>
      </c>
      <c r="C3093">
        <f>IF(A3093="","",COUNTIF(Donasi!$B$2:$B$20000,A3093))</f>
        <v/>
      </c>
      <c r="D3093">
        <f>IF(A3093="","",SUMIF(Donasi!$B$2:$B$20000,A3093,Donasi!$C$2:$C$20000))</f>
        <v/>
      </c>
      <c r="E3093">
        <f>IF(A3093="","",6-CEILING(PERCENTRANK.INC($B$3:$B$6000,B3093,4)*5+0.000001,1))</f>
        <v/>
      </c>
      <c r="F3093">
        <f>IF(A3093="","",MAX(1,CEILING(PERCENTRANK.INC($C$3:$C$6000,C3093,4)*5+0.000001,1)))</f>
        <v/>
      </c>
      <c r="G3093">
        <f>IF(A3093="","",MAX(1,CEILING(PERCENTRANK.INC($D$3:$D$6000,D3093,4)*5+0.000001,1)))</f>
        <v/>
      </c>
      <c r="H3093">
        <f>IF(A3093="","",E3093&amp;F3093&amp;G3093)</f>
        <v/>
      </c>
      <c r="I3093">
        <f>IF(A3093="","",IF(AND(E3093&gt;=4,F3093&gt;=4,G3093&gt;=4),"Juara",IF(AND(F3093&gt;=4,E3093&gt;=3),"Setia",IF(AND(E3093=5,F3093&lt;=2,G3093&gt;=3),"Berpotensi",IF(AND(E3093&lt;=3,E3093&gt;=2,F3093&gt;=3),"Rawan",IF(AND(E3093&lt;=2,F3093&lt;=2),"Tidur","Umum"))))))</f>
        <v/>
      </c>
    </row>
    <row r="3094">
      <c r="B3094">
        <f>IF(A3094="","",$B$1-MAXIFS(Donasi!$A$2:$A$20000,Donasi!$B$2:$B$20000,A3094))</f>
        <v/>
      </c>
      <c r="C3094">
        <f>IF(A3094="","",COUNTIF(Donasi!$B$2:$B$20000,A3094))</f>
        <v/>
      </c>
      <c r="D3094">
        <f>IF(A3094="","",SUMIF(Donasi!$B$2:$B$20000,A3094,Donasi!$C$2:$C$20000))</f>
        <v/>
      </c>
      <c r="E3094">
        <f>IF(A3094="","",6-CEILING(PERCENTRANK.INC($B$3:$B$6000,B3094,4)*5+0.000001,1))</f>
        <v/>
      </c>
      <c r="F3094">
        <f>IF(A3094="","",MAX(1,CEILING(PERCENTRANK.INC($C$3:$C$6000,C3094,4)*5+0.000001,1)))</f>
        <v/>
      </c>
      <c r="G3094">
        <f>IF(A3094="","",MAX(1,CEILING(PERCENTRANK.INC($D$3:$D$6000,D3094,4)*5+0.000001,1)))</f>
        <v/>
      </c>
      <c r="H3094">
        <f>IF(A3094="","",E3094&amp;F3094&amp;G3094)</f>
        <v/>
      </c>
      <c r="I3094">
        <f>IF(A3094="","",IF(AND(E3094&gt;=4,F3094&gt;=4,G3094&gt;=4),"Juara",IF(AND(F3094&gt;=4,E3094&gt;=3),"Setia",IF(AND(E3094=5,F3094&lt;=2,G3094&gt;=3),"Berpotensi",IF(AND(E3094&lt;=3,E3094&gt;=2,F3094&gt;=3),"Rawan",IF(AND(E3094&lt;=2,F3094&lt;=2),"Tidur","Umum"))))))</f>
        <v/>
      </c>
    </row>
    <row r="3095">
      <c r="B3095">
        <f>IF(A3095="","",$B$1-MAXIFS(Donasi!$A$2:$A$20000,Donasi!$B$2:$B$20000,A3095))</f>
        <v/>
      </c>
      <c r="C3095">
        <f>IF(A3095="","",COUNTIF(Donasi!$B$2:$B$20000,A3095))</f>
        <v/>
      </c>
      <c r="D3095">
        <f>IF(A3095="","",SUMIF(Donasi!$B$2:$B$20000,A3095,Donasi!$C$2:$C$20000))</f>
        <v/>
      </c>
      <c r="E3095">
        <f>IF(A3095="","",6-CEILING(PERCENTRANK.INC($B$3:$B$6000,B3095,4)*5+0.000001,1))</f>
        <v/>
      </c>
      <c r="F3095">
        <f>IF(A3095="","",MAX(1,CEILING(PERCENTRANK.INC($C$3:$C$6000,C3095,4)*5+0.000001,1)))</f>
        <v/>
      </c>
      <c r="G3095">
        <f>IF(A3095="","",MAX(1,CEILING(PERCENTRANK.INC($D$3:$D$6000,D3095,4)*5+0.000001,1)))</f>
        <v/>
      </c>
      <c r="H3095">
        <f>IF(A3095="","",E3095&amp;F3095&amp;G3095)</f>
        <v/>
      </c>
      <c r="I3095">
        <f>IF(A3095="","",IF(AND(E3095&gt;=4,F3095&gt;=4,G3095&gt;=4),"Juara",IF(AND(F3095&gt;=4,E3095&gt;=3),"Setia",IF(AND(E3095=5,F3095&lt;=2,G3095&gt;=3),"Berpotensi",IF(AND(E3095&lt;=3,E3095&gt;=2,F3095&gt;=3),"Rawan",IF(AND(E3095&lt;=2,F3095&lt;=2),"Tidur","Umum"))))))</f>
        <v/>
      </c>
    </row>
    <row r="3096">
      <c r="B3096">
        <f>IF(A3096="","",$B$1-MAXIFS(Donasi!$A$2:$A$20000,Donasi!$B$2:$B$20000,A3096))</f>
        <v/>
      </c>
      <c r="C3096">
        <f>IF(A3096="","",COUNTIF(Donasi!$B$2:$B$20000,A3096))</f>
        <v/>
      </c>
      <c r="D3096">
        <f>IF(A3096="","",SUMIF(Donasi!$B$2:$B$20000,A3096,Donasi!$C$2:$C$20000))</f>
        <v/>
      </c>
      <c r="E3096">
        <f>IF(A3096="","",6-CEILING(PERCENTRANK.INC($B$3:$B$6000,B3096,4)*5+0.000001,1))</f>
        <v/>
      </c>
      <c r="F3096">
        <f>IF(A3096="","",MAX(1,CEILING(PERCENTRANK.INC($C$3:$C$6000,C3096,4)*5+0.000001,1)))</f>
        <v/>
      </c>
      <c r="G3096">
        <f>IF(A3096="","",MAX(1,CEILING(PERCENTRANK.INC($D$3:$D$6000,D3096,4)*5+0.000001,1)))</f>
        <v/>
      </c>
      <c r="H3096">
        <f>IF(A3096="","",E3096&amp;F3096&amp;G3096)</f>
        <v/>
      </c>
      <c r="I3096">
        <f>IF(A3096="","",IF(AND(E3096&gt;=4,F3096&gt;=4,G3096&gt;=4),"Juara",IF(AND(F3096&gt;=4,E3096&gt;=3),"Setia",IF(AND(E3096=5,F3096&lt;=2,G3096&gt;=3),"Berpotensi",IF(AND(E3096&lt;=3,E3096&gt;=2,F3096&gt;=3),"Rawan",IF(AND(E3096&lt;=2,F3096&lt;=2),"Tidur","Umum"))))))</f>
        <v/>
      </c>
    </row>
    <row r="3097">
      <c r="B3097">
        <f>IF(A3097="","",$B$1-MAXIFS(Donasi!$A$2:$A$20000,Donasi!$B$2:$B$20000,A3097))</f>
        <v/>
      </c>
      <c r="C3097">
        <f>IF(A3097="","",COUNTIF(Donasi!$B$2:$B$20000,A3097))</f>
        <v/>
      </c>
      <c r="D3097">
        <f>IF(A3097="","",SUMIF(Donasi!$B$2:$B$20000,A3097,Donasi!$C$2:$C$20000))</f>
        <v/>
      </c>
      <c r="E3097">
        <f>IF(A3097="","",6-CEILING(PERCENTRANK.INC($B$3:$B$6000,B3097,4)*5+0.000001,1))</f>
        <v/>
      </c>
      <c r="F3097">
        <f>IF(A3097="","",MAX(1,CEILING(PERCENTRANK.INC($C$3:$C$6000,C3097,4)*5+0.000001,1)))</f>
        <v/>
      </c>
      <c r="G3097">
        <f>IF(A3097="","",MAX(1,CEILING(PERCENTRANK.INC($D$3:$D$6000,D3097,4)*5+0.000001,1)))</f>
        <v/>
      </c>
      <c r="H3097">
        <f>IF(A3097="","",E3097&amp;F3097&amp;G3097)</f>
        <v/>
      </c>
      <c r="I3097">
        <f>IF(A3097="","",IF(AND(E3097&gt;=4,F3097&gt;=4,G3097&gt;=4),"Juara",IF(AND(F3097&gt;=4,E3097&gt;=3),"Setia",IF(AND(E3097=5,F3097&lt;=2,G3097&gt;=3),"Berpotensi",IF(AND(E3097&lt;=3,E3097&gt;=2,F3097&gt;=3),"Rawan",IF(AND(E3097&lt;=2,F3097&lt;=2),"Tidur","Umum"))))))</f>
        <v/>
      </c>
    </row>
    <row r="3098">
      <c r="B3098">
        <f>IF(A3098="","",$B$1-MAXIFS(Donasi!$A$2:$A$20000,Donasi!$B$2:$B$20000,A3098))</f>
        <v/>
      </c>
      <c r="C3098">
        <f>IF(A3098="","",COUNTIF(Donasi!$B$2:$B$20000,A3098))</f>
        <v/>
      </c>
      <c r="D3098">
        <f>IF(A3098="","",SUMIF(Donasi!$B$2:$B$20000,A3098,Donasi!$C$2:$C$20000))</f>
        <v/>
      </c>
      <c r="E3098">
        <f>IF(A3098="","",6-CEILING(PERCENTRANK.INC($B$3:$B$6000,B3098,4)*5+0.000001,1))</f>
        <v/>
      </c>
      <c r="F3098">
        <f>IF(A3098="","",MAX(1,CEILING(PERCENTRANK.INC($C$3:$C$6000,C3098,4)*5+0.000001,1)))</f>
        <v/>
      </c>
      <c r="G3098">
        <f>IF(A3098="","",MAX(1,CEILING(PERCENTRANK.INC($D$3:$D$6000,D3098,4)*5+0.000001,1)))</f>
        <v/>
      </c>
      <c r="H3098">
        <f>IF(A3098="","",E3098&amp;F3098&amp;G3098)</f>
        <v/>
      </c>
      <c r="I3098">
        <f>IF(A3098="","",IF(AND(E3098&gt;=4,F3098&gt;=4,G3098&gt;=4),"Juara",IF(AND(F3098&gt;=4,E3098&gt;=3),"Setia",IF(AND(E3098=5,F3098&lt;=2,G3098&gt;=3),"Berpotensi",IF(AND(E3098&lt;=3,E3098&gt;=2,F3098&gt;=3),"Rawan",IF(AND(E3098&lt;=2,F3098&lt;=2),"Tidur","Umum"))))))</f>
        <v/>
      </c>
    </row>
    <row r="3099">
      <c r="B3099">
        <f>IF(A3099="","",$B$1-MAXIFS(Donasi!$A$2:$A$20000,Donasi!$B$2:$B$20000,A3099))</f>
        <v/>
      </c>
      <c r="C3099">
        <f>IF(A3099="","",COUNTIF(Donasi!$B$2:$B$20000,A3099))</f>
        <v/>
      </c>
      <c r="D3099">
        <f>IF(A3099="","",SUMIF(Donasi!$B$2:$B$20000,A3099,Donasi!$C$2:$C$20000))</f>
        <v/>
      </c>
      <c r="E3099">
        <f>IF(A3099="","",6-CEILING(PERCENTRANK.INC($B$3:$B$6000,B3099,4)*5+0.000001,1))</f>
        <v/>
      </c>
      <c r="F3099">
        <f>IF(A3099="","",MAX(1,CEILING(PERCENTRANK.INC($C$3:$C$6000,C3099,4)*5+0.000001,1)))</f>
        <v/>
      </c>
      <c r="G3099">
        <f>IF(A3099="","",MAX(1,CEILING(PERCENTRANK.INC($D$3:$D$6000,D3099,4)*5+0.000001,1)))</f>
        <v/>
      </c>
      <c r="H3099">
        <f>IF(A3099="","",E3099&amp;F3099&amp;G3099)</f>
        <v/>
      </c>
      <c r="I3099">
        <f>IF(A3099="","",IF(AND(E3099&gt;=4,F3099&gt;=4,G3099&gt;=4),"Juara",IF(AND(F3099&gt;=4,E3099&gt;=3),"Setia",IF(AND(E3099=5,F3099&lt;=2,G3099&gt;=3),"Berpotensi",IF(AND(E3099&lt;=3,E3099&gt;=2,F3099&gt;=3),"Rawan",IF(AND(E3099&lt;=2,F3099&lt;=2),"Tidur","Umum"))))))</f>
        <v/>
      </c>
    </row>
    <row r="3100">
      <c r="B3100">
        <f>IF(A3100="","",$B$1-MAXIFS(Donasi!$A$2:$A$20000,Donasi!$B$2:$B$20000,A3100))</f>
        <v/>
      </c>
      <c r="C3100">
        <f>IF(A3100="","",COUNTIF(Donasi!$B$2:$B$20000,A3100))</f>
        <v/>
      </c>
      <c r="D3100">
        <f>IF(A3100="","",SUMIF(Donasi!$B$2:$B$20000,A3100,Donasi!$C$2:$C$20000))</f>
        <v/>
      </c>
      <c r="E3100">
        <f>IF(A3100="","",6-CEILING(PERCENTRANK.INC($B$3:$B$6000,B3100,4)*5+0.000001,1))</f>
        <v/>
      </c>
      <c r="F3100">
        <f>IF(A3100="","",MAX(1,CEILING(PERCENTRANK.INC($C$3:$C$6000,C3100,4)*5+0.000001,1)))</f>
        <v/>
      </c>
      <c r="G3100">
        <f>IF(A3100="","",MAX(1,CEILING(PERCENTRANK.INC($D$3:$D$6000,D3100,4)*5+0.000001,1)))</f>
        <v/>
      </c>
      <c r="H3100">
        <f>IF(A3100="","",E3100&amp;F3100&amp;G3100)</f>
        <v/>
      </c>
      <c r="I3100">
        <f>IF(A3100="","",IF(AND(E3100&gt;=4,F3100&gt;=4,G3100&gt;=4),"Juara",IF(AND(F3100&gt;=4,E3100&gt;=3),"Setia",IF(AND(E3100=5,F3100&lt;=2,G3100&gt;=3),"Berpotensi",IF(AND(E3100&lt;=3,E3100&gt;=2,F3100&gt;=3),"Rawan",IF(AND(E3100&lt;=2,F3100&lt;=2),"Tidur","Umum"))))))</f>
        <v/>
      </c>
    </row>
    <row r="3101">
      <c r="B3101">
        <f>IF(A3101="","",$B$1-MAXIFS(Donasi!$A$2:$A$20000,Donasi!$B$2:$B$20000,A3101))</f>
        <v/>
      </c>
      <c r="C3101">
        <f>IF(A3101="","",COUNTIF(Donasi!$B$2:$B$20000,A3101))</f>
        <v/>
      </c>
      <c r="D3101">
        <f>IF(A3101="","",SUMIF(Donasi!$B$2:$B$20000,A3101,Donasi!$C$2:$C$20000))</f>
        <v/>
      </c>
      <c r="E3101">
        <f>IF(A3101="","",6-CEILING(PERCENTRANK.INC($B$3:$B$6000,B3101,4)*5+0.000001,1))</f>
        <v/>
      </c>
      <c r="F3101">
        <f>IF(A3101="","",MAX(1,CEILING(PERCENTRANK.INC($C$3:$C$6000,C3101,4)*5+0.000001,1)))</f>
        <v/>
      </c>
      <c r="G3101">
        <f>IF(A3101="","",MAX(1,CEILING(PERCENTRANK.INC($D$3:$D$6000,D3101,4)*5+0.000001,1)))</f>
        <v/>
      </c>
      <c r="H3101">
        <f>IF(A3101="","",E3101&amp;F3101&amp;G3101)</f>
        <v/>
      </c>
      <c r="I3101">
        <f>IF(A3101="","",IF(AND(E3101&gt;=4,F3101&gt;=4,G3101&gt;=4),"Juara",IF(AND(F3101&gt;=4,E3101&gt;=3),"Setia",IF(AND(E3101=5,F3101&lt;=2,G3101&gt;=3),"Berpotensi",IF(AND(E3101&lt;=3,E3101&gt;=2,F3101&gt;=3),"Rawan",IF(AND(E3101&lt;=2,F3101&lt;=2),"Tidur","Umum"))))))</f>
        <v/>
      </c>
    </row>
    <row r="3102">
      <c r="B3102">
        <f>IF(A3102="","",$B$1-MAXIFS(Donasi!$A$2:$A$20000,Donasi!$B$2:$B$20000,A3102))</f>
        <v/>
      </c>
      <c r="C3102">
        <f>IF(A3102="","",COUNTIF(Donasi!$B$2:$B$20000,A3102))</f>
        <v/>
      </c>
      <c r="D3102">
        <f>IF(A3102="","",SUMIF(Donasi!$B$2:$B$20000,A3102,Donasi!$C$2:$C$20000))</f>
        <v/>
      </c>
      <c r="E3102">
        <f>IF(A3102="","",6-CEILING(PERCENTRANK.INC($B$3:$B$6000,B3102,4)*5+0.000001,1))</f>
        <v/>
      </c>
      <c r="F3102">
        <f>IF(A3102="","",MAX(1,CEILING(PERCENTRANK.INC($C$3:$C$6000,C3102,4)*5+0.000001,1)))</f>
        <v/>
      </c>
      <c r="G3102">
        <f>IF(A3102="","",MAX(1,CEILING(PERCENTRANK.INC($D$3:$D$6000,D3102,4)*5+0.000001,1)))</f>
        <v/>
      </c>
      <c r="H3102">
        <f>IF(A3102="","",E3102&amp;F3102&amp;G3102)</f>
        <v/>
      </c>
      <c r="I3102">
        <f>IF(A3102="","",IF(AND(E3102&gt;=4,F3102&gt;=4,G3102&gt;=4),"Juara",IF(AND(F3102&gt;=4,E3102&gt;=3),"Setia",IF(AND(E3102=5,F3102&lt;=2,G3102&gt;=3),"Berpotensi",IF(AND(E3102&lt;=3,E3102&gt;=2,F3102&gt;=3),"Rawan",IF(AND(E3102&lt;=2,F3102&lt;=2),"Tidur","Umum"))))))</f>
        <v/>
      </c>
    </row>
    <row r="3103">
      <c r="B3103">
        <f>IF(A3103="","",$B$1-MAXIFS(Donasi!$A$2:$A$20000,Donasi!$B$2:$B$20000,A3103))</f>
        <v/>
      </c>
      <c r="C3103">
        <f>IF(A3103="","",COUNTIF(Donasi!$B$2:$B$20000,A3103))</f>
        <v/>
      </c>
      <c r="D3103">
        <f>IF(A3103="","",SUMIF(Donasi!$B$2:$B$20000,A3103,Donasi!$C$2:$C$20000))</f>
        <v/>
      </c>
      <c r="E3103">
        <f>IF(A3103="","",6-CEILING(PERCENTRANK.INC($B$3:$B$6000,B3103,4)*5+0.000001,1))</f>
        <v/>
      </c>
      <c r="F3103">
        <f>IF(A3103="","",MAX(1,CEILING(PERCENTRANK.INC($C$3:$C$6000,C3103,4)*5+0.000001,1)))</f>
        <v/>
      </c>
      <c r="G3103">
        <f>IF(A3103="","",MAX(1,CEILING(PERCENTRANK.INC($D$3:$D$6000,D3103,4)*5+0.000001,1)))</f>
        <v/>
      </c>
      <c r="H3103">
        <f>IF(A3103="","",E3103&amp;F3103&amp;G3103)</f>
        <v/>
      </c>
      <c r="I3103">
        <f>IF(A3103="","",IF(AND(E3103&gt;=4,F3103&gt;=4,G3103&gt;=4),"Juara",IF(AND(F3103&gt;=4,E3103&gt;=3),"Setia",IF(AND(E3103=5,F3103&lt;=2,G3103&gt;=3),"Berpotensi",IF(AND(E3103&lt;=3,E3103&gt;=2,F3103&gt;=3),"Rawan",IF(AND(E3103&lt;=2,F3103&lt;=2),"Tidur","Umum"))))))</f>
        <v/>
      </c>
    </row>
    <row r="3104">
      <c r="B3104">
        <f>IF(A3104="","",$B$1-MAXIFS(Donasi!$A$2:$A$20000,Donasi!$B$2:$B$20000,A3104))</f>
        <v/>
      </c>
      <c r="C3104">
        <f>IF(A3104="","",COUNTIF(Donasi!$B$2:$B$20000,A3104))</f>
        <v/>
      </c>
      <c r="D3104">
        <f>IF(A3104="","",SUMIF(Donasi!$B$2:$B$20000,A3104,Donasi!$C$2:$C$20000))</f>
        <v/>
      </c>
      <c r="E3104">
        <f>IF(A3104="","",6-CEILING(PERCENTRANK.INC($B$3:$B$6000,B3104,4)*5+0.000001,1))</f>
        <v/>
      </c>
      <c r="F3104">
        <f>IF(A3104="","",MAX(1,CEILING(PERCENTRANK.INC($C$3:$C$6000,C3104,4)*5+0.000001,1)))</f>
        <v/>
      </c>
      <c r="G3104">
        <f>IF(A3104="","",MAX(1,CEILING(PERCENTRANK.INC($D$3:$D$6000,D3104,4)*5+0.000001,1)))</f>
        <v/>
      </c>
      <c r="H3104">
        <f>IF(A3104="","",E3104&amp;F3104&amp;G3104)</f>
        <v/>
      </c>
      <c r="I3104">
        <f>IF(A3104="","",IF(AND(E3104&gt;=4,F3104&gt;=4,G3104&gt;=4),"Juara",IF(AND(F3104&gt;=4,E3104&gt;=3),"Setia",IF(AND(E3104=5,F3104&lt;=2,G3104&gt;=3),"Berpotensi",IF(AND(E3104&lt;=3,E3104&gt;=2,F3104&gt;=3),"Rawan",IF(AND(E3104&lt;=2,F3104&lt;=2),"Tidur","Umum"))))))</f>
        <v/>
      </c>
    </row>
    <row r="3105">
      <c r="B3105">
        <f>IF(A3105="","",$B$1-MAXIFS(Donasi!$A$2:$A$20000,Donasi!$B$2:$B$20000,A3105))</f>
        <v/>
      </c>
      <c r="C3105">
        <f>IF(A3105="","",COUNTIF(Donasi!$B$2:$B$20000,A3105))</f>
        <v/>
      </c>
      <c r="D3105">
        <f>IF(A3105="","",SUMIF(Donasi!$B$2:$B$20000,A3105,Donasi!$C$2:$C$20000))</f>
        <v/>
      </c>
      <c r="E3105">
        <f>IF(A3105="","",6-CEILING(PERCENTRANK.INC($B$3:$B$6000,B3105,4)*5+0.000001,1))</f>
        <v/>
      </c>
      <c r="F3105">
        <f>IF(A3105="","",MAX(1,CEILING(PERCENTRANK.INC($C$3:$C$6000,C3105,4)*5+0.000001,1)))</f>
        <v/>
      </c>
      <c r="G3105">
        <f>IF(A3105="","",MAX(1,CEILING(PERCENTRANK.INC($D$3:$D$6000,D3105,4)*5+0.000001,1)))</f>
        <v/>
      </c>
      <c r="H3105">
        <f>IF(A3105="","",E3105&amp;F3105&amp;G3105)</f>
        <v/>
      </c>
      <c r="I3105">
        <f>IF(A3105="","",IF(AND(E3105&gt;=4,F3105&gt;=4,G3105&gt;=4),"Juara",IF(AND(F3105&gt;=4,E3105&gt;=3),"Setia",IF(AND(E3105=5,F3105&lt;=2,G3105&gt;=3),"Berpotensi",IF(AND(E3105&lt;=3,E3105&gt;=2,F3105&gt;=3),"Rawan",IF(AND(E3105&lt;=2,F3105&lt;=2),"Tidur","Umum"))))))</f>
        <v/>
      </c>
    </row>
    <row r="3106">
      <c r="B3106">
        <f>IF(A3106="","",$B$1-MAXIFS(Donasi!$A$2:$A$20000,Donasi!$B$2:$B$20000,A3106))</f>
        <v/>
      </c>
      <c r="C3106">
        <f>IF(A3106="","",COUNTIF(Donasi!$B$2:$B$20000,A3106))</f>
        <v/>
      </c>
      <c r="D3106">
        <f>IF(A3106="","",SUMIF(Donasi!$B$2:$B$20000,A3106,Donasi!$C$2:$C$20000))</f>
        <v/>
      </c>
      <c r="E3106">
        <f>IF(A3106="","",6-CEILING(PERCENTRANK.INC($B$3:$B$6000,B3106,4)*5+0.000001,1))</f>
        <v/>
      </c>
      <c r="F3106">
        <f>IF(A3106="","",MAX(1,CEILING(PERCENTRANK.INC($C$3:$C$6000,C3106,4)*5+0.000001,1)))</f>
        <v/>
      </c>
      <c r="G3106">
        <f>IF(A3106="","",MAX(1,CEILING(PERCENTRANK.INC($D$3:$D$6000,D3106,4)*5+0.000001,1)))</f>
        <v/>
      </c>
      <c r="H3106">
        <f>IF(A3106="","",E3106&amp;F3106&amp;G3106)</f>
        <v/>
      </c>
      <c r="I3106">
        <f>IF(A3106="","",IF(AND(E3106&gt;=4,F3106&gt;=4,G3106&gt;=4),"Juara",IF(AND(F3106&gt;=4,E3106&gt;=3),"Setia",IF(AND(E3106=5,F3106&lt;=2,G3106&gt;=3),"Berpotensi",IF(AND(E3106&lt;=3,E3106&gt;=2,F3106&gt;=3),"Rawan",IF(AND(E3106&lt;=2,F3106&lt;=2),"Tidur","Umum"))))))</f>
        <v/>
      </c>
    </row>
    <row r="3107">
      <c r="B3107">
        <f>IF(A3107="","",$B$1-MAXIFS(Donasi!$A$2:$A$20000,Donasi!$B$2:$B$20000,A3107))</f>
        <v/>
      </c>
      <c r="C3107">
        <f>IF(A3107="","",COUNTIF(Donasi!$B$2:$B$20000,A3107))</f>
        <v/>
      </c>
      <c r="D3107">
        <f>IF(A3107="","",SUMIF(Donasi!$B$2:$B$20000,A3107,Donasi!$C$2:$C$20000))</f>
        <v/>
      </c>
      <c r="E3107">
        <f>IF(A3107="","",6-CEILING(PERCENTRANK.INC($B$3:$B$6000,B3107,4)*5+0.000001,1))</f>
        <v/>
      </c>
      <c r="F3107">
        <f>IF(A3107="","",MAX(1,CEILING(PERCENTRANK.INC($C$3:$C$6000,C3107,4)*5+0.000001,1)))</f>
        <v/>
      </c>
      <c r="G3107">
        <f>IF(A3107="","",MAX(1,CEILING(PERCENTRANK.INC($D$3:$D$6000,D3107,4)*5+0.000001,1)))</f>
        <v/>
      </c>
      <c r="H3107">
        <f>IF(A3107="","",E3107&amp;F3107&amp;G3107)</f>
        <v/>
      </c>
      <c r="I3107">
        <f>IF(A3107="","",IF(AND(E3107&gt;=4,F3107&gt;=4,G3107&gt;=4),"Juara",IF(AND(F3107&gt;=4,E3107&gt;=3),"Setia",IF(AND(E3107=5,F3107&lt;=2,G3107&gt;=3),"Berpotensi",IF(AND(E3107&lt;=3,E3107&gt;=2,F3107&gt;=3),"Rawan",IF(AND(E3107&lt;=2,F3107&lt;=2),"Tidur","Umum"))))))</f>
        <v/>
      </c>
    </row>
    <row r="3108">
      <c r="B3108">
        <f>IF(A3108="","",$B$1-MAXIFS(Donasi!$A$2:$A$20000,Donasi!$B$2:$B$20000,A3108))</f>
        <v/>
      </c>
      <c r="C3108">
        <f>IF(A3108="","",COUNTIF(Donasi!$B$2:$B$20000,A3108))</f>
        <v/>
      </c>
      <c r="D3108">
        <f>IF(A3108="","",SUMIF(Donasi!$B$2:$B$20000,A3108,Donasi!$C$2:$C$20000))</f>
        <v/>
      </c>
      <c r="E3108">
        <f>IF(A3108="","",6-CEILING(PERCENTRANK.INC($B$3:$B$6000,B3108,4)*5+0.000001,1))</f>
        <v/>
      </c>
      <c r="F3108">
        <f>IF(A3108="","",MAX(1,CEILING(PERCENTRANK.INC($C$3:$C$6000,C3108,4)*5+0.000001,1)))</f>
        <v/>
      </c>
      <c r="G3108">
        <f>IF(A3108="","",MAX(1,CEILING(PERCENTRANK.INC($D$3:$D$6000,D3108,4)*5+0.000001,1)))</f>
        <v/>
      </c>
      <c r="H3108">
        <f>IF(A3108="","",E3108&amp;F3108&amp;G3108)</f>
        <v/>
      </c>
      <c r="I3108">
        <f>IF(A3108="","",IF(AND(E3108&gt;=4,F3108&gt;=4,G3108&gt;=4),"Juara",IF(AND(F3108&gt;=4,E3108&gt;=3),"Setia",IF(AND(E3108=5,F3108&lt;=2,G3108&gt;=3),"Berpotensi",IF(AND(E3108&lt;=3,E3108&gt;=2,F3108&gt;=3),"Rawan",IF(AND(E3108&lt;=2,F3108&lt;=2),"Tidur","Umum"))))))</f>
        <v/>
      </c>
    </row>
    <row r="3109">
      <c r="B3109">
        <f>IF(A3109="","",$B$1-MAXIFS(Donasi!$A$2:$A$20000,Donasi!$B$2:$B$20000,A3109))</f>
        <v/>
      </c>
      <c r="C3109">
        <f>IF(A3109="","",COUNTIF(Donasi!$B$2:$B$20000,A3109))</f>
        <v/>
      </c>
      <c r="D3109">
        <f>IF(A3109="","",SUMIF(Donasi!$B$2:$B$20000,A3109,Donasi!$C$2:$C$20000))</f>
        <v/>
      </c>
      <c r="E3109">
        <f>IF(A3109="","",6-CEILING(PERCENTRANK.INC($B$3:$B$6000,B3109,4)*5+0.000001,1))</f>
        <v/>
      </c>
      <c r="F3109">
        <f>IF(A3109="","",MAX(1,CEILING(PERCENTRANK.INC($C$3:$C$6000,C3109,4)*5+0.000001,1)))</f>
        <v/>
      </c>
      <c r="G3109">
        <f>IF(A3109="","",MAX(1,CEILING(PERCENTRANK.INC($D$3:$D$6000,D3109,4)*5+0.000001,1)))</f>
        <v/>
      </c>
      <c r="H3109">
        <f>IF(A3109="","",E3109&amp;F3109&amp;G3109)</f>
        <v/>
      </c>
      <c r="I3109">
        <f>IF(A3109="","",IF(AND(E3109&gt;=4,F3109&gt;=4,G3109&gt;=4),"Juara",IF(AND(F3109&gt;=4,E3109&gt;=3),"Setia",IF(AND(E3109=5,F3109&lt;=2,G3109&gt;=3),"Berpotensi",IF(AND(E3109&lt;=3,E3109&gt;=2,F3109&gt;=3),"Rawan",IF(AND(E3109&lt;=2,F3109&lt;=2),"Tidur","Umum"))))))</f>
        <v/>
      </c>
    </row>
    <row r="3110">
      <c r="B3110">
        <f>IF(A3110="","",$B$1-MAXIFS(Donasi!$A$2:$A$20000,Donasi!$B$2:$B$20000,A3110))</f>
        <v/>
      </c>
      <c r="C3110">
        <f>IF(A3110="","",COUNTIF(Donasi!$B$2:$B$20000,A3110))</f>
        <v/>
      </c>
      <c r="D3110">
        <f>IF(A3110="","",SUMIF(Donasi!$B$2:$B$20000,A3110,Donasi!$C$2:$C$20000))</f>
        <v/>
      </c>
      <c r="E3110">
        <f>IF(A3110="","",6-CEILING(PERCENTRANK.INC($B$3:$B$6000,B3110,4)*5+0.000001,1))</f>
        <v/>
      </c>
      <c r="F3110">
        <f>IF(A3110="","",MAX(1,CEILING(PERCENTRANK.INC($C$3:$C$6000,C3110,4)*5+0.000001,1)))</f>
        <v/>
      </c>
      <c r="G3110">
        <f>IF(A3110="","",MAX(1,CEILING(PERCENTRANK.INC($D$3:$D$6000,D3110,4)*5+0.000001,1)))</f>
        <v/>
      </c>
      <c r="H3110">
        <f>IF(A3110="","",E3110&amp;F3110&amp;G3110)</f>
        <v/>
      </c>
      <c r="I3110">
        <f>IF(A3110="","",IF(AND(E3110&gt;=4,F3110&gt;=4,G3110&gt;=4),"Juara",IF(AND(F3110&gt;=4,E3110&gt;=3),"Setia",IF(AND(E3110=5,F3110&lt;=2,G3110&gt;=3),"Berpotensi",IF(AND(E3110&lt;=3,E3110&gt;=2,F3110&gt;=3),"Rawan",IF(AND(E3110&lt;=2,F3110&lt;=2),"Tidur","Umum"))))))</f>
        <v/>
      </c>
    </row>
    <row r="3111">
      <c r="B3111">
        <f>IF(A3111="","",$B$1-MAXIFS(Donasi!$A$2:$A$20000,Donasi!$B$2:$B$20000,A3111))</f>
        <v/>
      </c>
      <c r="C3111">
        <f>IF(A3111="","",COUNTIF(Donasi!$B$2:$B$20000,A3111))</f>
        <v/>
      </c>
      <c r="D3111">
        <f>IF(A3111="","",SUMIF(Donasi!$B$2:$B$20000,A3111,Donasi!$C$2:$C$20000))</f>
        <v/>
      </c>
      <c r="E3111">
        <f>IF(A3111="","",6-CEILING(PERCENTRANK.INC($B$3:$B$6000,B3111,4)*5+0.000001,1))</f>
        <v/>
      </c>
      <c r="F3111">
        <f>IF(A3111="","",MAX(1,CEILING(PERCENTRANK.INC($C$3:$C$6000,C3111,4)*5+0.000001,1)))</f>
        <v/>
      </c>
      <c r="G3111">
        <f>IF(A3111="","",MAX(1,CEILING(PERCENTRANK.INC($D$3:$D$6000,D3111,4)*5+0.000001,1)))</f>
        <v/>
      </c>
      <c r="H3111">
        <f>IF(A3111="","",E3111&amp;F3111&amp;G3111)</f>
        <v/>
      </c>
      <c r="I3111">
        <f>IF(A3111="","",IF(AND(E3111&gt;=4,F3111&gt;=4,G3111&gt;=4),"Juara",IF(AND(F3111&gt;=4,E3111&gt;=3),"Setia",IF(AND(E3111=5,F3111&lt;=2,G3111&gt;=3),"Berpotensi",IF(AND(E3111&lt;=3,E3111&gt;=2,F3111&gt;=3),"Rawan",IF(AND(E3111&lt;=2,F3111&lt;=2),"Tidur","Umum"))))))</f>
        <v/>
      </c>
    </row>
    <row r="3112">
      <c r="B3112">
        <f>IF(A3112="","",$B$1-MAXIFS(Donasi!$A$2:$A$20000,Donasi!$B$2:$B$20000,A3112))</f>
        <v/>
      </c>
      <c r="C3112">
        <f>IF(A3112="","",COUNTIF(Donasi!$B$2:$B$20000,A3112))</f>
        <v/>
      </c>
      <c r="D3112">
        <f>IF(A3112="","",SUMIF(Donasi!$B$2:$B$20000,A3112,Donasi!$C$2:$C$20000))</f>
        <v/>
      </c>
      <c r="E3112">
        <f>IF(A3112="","",6-CEILING(PERCENTRANK.INC($B$3:$B$6000,B3112,4)*5+0.000001,1))</f>
        <v/>
      </c>
      <c r="F3112">
        <f>IF(A3112="","",MAX(1,CEILING(PERCENTRANK.INC($C$3:$C$6000,C3112,4)*5+0.000001,1)))</f>
        <v/>
      </c>
      <c r="G3112">
        <f>IF(A3112="","",MAX(1,CEILING(PERCENTRANK.INC($D$3:$D$6000,D3112,4)*5+0.000001,1)))</f>
        <v/>
      </c>
      <c r="H3112">
        <f>IF(A3112="","",E3112&amp;F3112&amp;G3112)</f>
        <v/>
      </c>
      <c r="I3112">
        <f>IF(A3112="","",IF(AND(E3112&gt;=4,F3112&gt;=4,G3112&gt;=4),"Juara",IF(AND(F3112&gt;=4,E3112&gt;=3),"Setia",IF(AND(E3112=5,F3112&lt;=2,G3112&gt;=3),"Berpotensi",IF(AND(E3112&lt;=3,E3112&gt;=2,F3112&gt;=3),"Rawan",IF(AND(E3112&lt;=2,F3112&lt;=2),"Tidur","Umum"))))))</f>
        <v/>
      </c>
    </row>
    <row r="3113">
      <c r="B3113">
        <f>IF(A3113="","",$B$1-MAXIFS(Donasi!$A$2:$A$20000,Donasi!$B$2:$B$20000,A3113))</f>
        <v/>
      </c>
      <c r="C3113">
        <f>IF(A3113="","",COUNTIF(Donasi!$B$2:$B$20000,A3113))</f>
        <v/>
      </c>
      <c r="D3113">
        <f>IF(A3113="","",SUMIF(Donasi!$B$2:$B$20000,A3113,Donasi!$C$2:$C$20000))</f>
        <v/>
      </c>
      <c r="E3113">
        <f>IF(A3113="","",6-CEILING(PERCENTRANK.INC($B$3:$B$6000,B3113,4)*5+0.000001,1))</f>
        <v/>
      </c>
      <c r="F3113">
        <f>IF(A3113="","",MAX(1,CEILING(PERCENTRANK.INC($C$3:$C$6000,C3113,4)*5+0.000001,1)))</f>
        <v/>
      </c>
      <c r="G3113">
        <f>IF(A3113="","",MAX(1,CEILING(PERCENTRANK.INC($D$3:$D$6000,D3113,4)*5+0.000001,1)))</f>
        <v/>
      </c>
      <c r="H3113">
        <f>IF(A3113="","",E3113&amp;F3113&amp;G3113)</f>
        <v/>
      </c>
      <c r="I3113">
        <f>IF(A3113="","",IF(AND(E3113&gt;=4,F3113&gt;=4,G3113&gt;=4),"Juara",IF(AND(F3113&gt;=4,E3113&gt;=3),"Setia",IF(AND(E3113=5,F3113&lt;=2,G3113&gt;=3),"Berpotensi",IF(AND(E3113&lt;=3,E3113&gt;=2,F3113&gt;=3),"Rawan",IF(AND(E3113&lt;=2,F3113&lt;=2),"Tidur","Umum"))))))</f>
        <v/>
      </c>
    </row>
    <row r="3114">
      <c r="B3114">
        <f>IF(A3114="","",$B$1-MAXIFS(Donasi!$A$2:$A$20000,Donasi!$B$2:$B$20000,A3114))</f>
        <v/>
      </c>
      <c r="C3114">
        <f>IF(A3114="","",COUNTIF(Donasi!$B$2:$B$20000,A3114))</f>
        <v/>
      </c>
      <c r="D3114">
        <f>IF(A3114="","",SUMIF(Donasi!$B$2:$B$20000,A3114,Donasi!$C$2:$C$20000))</f>
        <v/>
      </c>
      <c r="E3114">
        <f>IF(A3114="","",6-CEILING(PERCENTRANK.INC($B$3:$B$6000,B3114,4)*5+0.000001,1))</f>
        <v/>
      </c>
      <c r="F3114">
        <f>IF(A3114="","",MAX(1,CEILING(PERCENTRANK.INC($C$3:$C$6000,C3114,4)*5+0.000001,1)))</f>
        <v/>
      </c>
      <c r="G3114">
        <f>IF(A3114="","",MAX(1,CEILING(PERCENTRANK.INC($D$3:$D$6000,D3114,4)*5+0.000001,1)))</f>
        <v/>
      </c>
      <c r="H3114">
        <f>IF(A3114="","",E3114&amp;F3114&amp;G3114)</f>
        <v/>
      </c>
      <c r="I3114">
        <f>IF(A3114="","",IF(AND(E3114&gt;=4,F3114&gt;=4,G3114&gt;=4),"Juara",IF(AND(F3114&gt;=4,E3114&gt;=3),"Setia",IF(AND(E3114=5,F3114&lt;=2,G3114&gt;=3),"Berpotensi",IF(AND(E3114&lt;=3,E3114&gt;=2,F3114&gt;=3),"Rawan",IF(AND(E3114&lt;=2,F3114&lt;=2),"Tidur","Umum"))))))</f>
        <v/>
      </c>
    </row>
    <row r="3115">
      <c r="B3115">
        <f>IF(A3115="","",$B$1-MAXIFS(Donasi!$A$2:$A$20000,Donasi!$B$2:$B$20000,A3115))</f>
        <v/>
      </c>
      <c r="C3115">
        <f>IF(A3115="","",COUNTIF(Donasi!$B$2:$B$20000,A3115))</f>
        <v/>
      </c>
      <c r="D3115">
        <f>IF(A3115="","",SUMIF(Donasi!$B$2:$B$20000,A3115,Donasi!$C$2:$C$20000))</f>
        <v/>
      </c>
      <c r="E3115">
        <f>IF(A3115="","",6-CEILING(PERCENTRANK.INC($B$3:$B$6000,B3115,4)*5+0.000001,1))</f>
        <v/>
      </c>
      <c r="F3115">
        <f>IF(A3115="","",MAX(1,CEILING(PERCENTRANK.INC($C$3:$C$6000,C3115,4)*5+0.000001,1)))</f>
        <v/>
      </c>
      <c r="G3115">
        <f>IF(A3115="","",MAX(1,CEILING(PERCENTRANK.INC($D$3:$D$6000,D3115,4)*5+0.000001,1)))</f>
        <v/>
      </c>
      <c r="H3115">
        <f>IF(A3115="","",E3115&amp;F3115&amp;G3115)</f>
        <v/>
      </c>
      <c r="I3115">
        <f>IF(A3115="","",IF(AND(E3115&gt;=4,F3115&gt;=4,G3115&gt;=4),"Juara",IF(AND(F3115&gt;=4,E3115&gt;=3),"Setia",IF(AND(E3115=5,F3115&lt;=2,G3115&gt;=3),"Berpotensi",IF(AND(E3115&lt;=3,E3115&gt;=2,F3115&gt;=3),"Rawan",IF(AND(E3115&lt;=2,F3115&lt;=2),"Tidur","Umum"))))))</f>
        <v/>
      </c>
    </row>
    <row r="3116">
      <c r="B3116">
        <f>IF(A3116="","",$B$1-MAXIFS(Donasi!$A$2:$A$20000,Donasi!$B$2:$B$20000,A3116))</f>
        <v/>
      </c>
      <c r="C3116">
        <f>IF(A3116="","",COUNTIF(Donasi!$B$2:$B$20000,A3116))</f>
        <v/>
      </c>
      <c r="D3116">
        <f>IF(A3116="","",SUMIF(Donasi!$B$2:$B$20000,A3116,Donasi!$C$2:$C$20000))</f>
        <v/>
      </c>
      <c r="E3116">
        <f>IF(A3116="","",6-CEILING(PERCENTRANK.INC($B$3:$B$6000,B3116,4)*5+0.000001,1))</f>
        <v/>
      </c>
      <c r="F3116">
        <f>IF(A3116="","",MAX(1,CEILING(PERCENTRANK.INC($C$3:$C$6000,C3116,4)*5+0.000001,1)))</f>
        <v/>
      </c>
      <c r="G3116">
        <f>IF(A3116="","",MAX(1,CEILING(PERCENTRANK.INC($D$3:$D$6000,D3116,4)*5+0.000001,1)))</f>
        <v/>
      </c>
      <c r="H3116">
        <f>IF(A3116="","",E3116&amp;F3116&amp;G3116)</f>
        <v/>
      </c>
      <c r="I3116">
        <f>IF(A3116="","",IF(AND(E3116&gt;=4,F3116&gt;=4,G3116&gt;=4),"Juara",IF(AND(F3116&gt;=4,E3116&gt;=3),"Setia",IF(AND(E3116=5,F3116&lt;=2,G3116&gt;=3),"Berpotensi",IF(AND(E3116&lt;=3,E3116&gt;=2,F3116&gt;=3),"Rawan",IF(AND(E3116&lt;=2,F3116&lt;=2),"Tidur","Umum"))))))</f>
        <v/>
      </c>
    </row>
    <row r="3117">
      <c r="B3117">
        <f>IF(A3117="","",$B$1-MAXIFS(Donasi!$A$2:$A$20000,Donasi!$B$2:$B$20000,A3117))</f>
        <v/>
      </c>
      <c r="C3117">
        <f>IF(A3117="","",COUNTIF(Donasi!$B$2:$B$20000,A3117))</f>
        <v/>
      </c>
      <c r="D3117">
        <f>IF(A3117="","",SUMIF(Donasi!$B$2:$B$20000,A3117,Donasi!$C$2:$C$20000))</f>
        <v/>
      </c>
      <c r="E3117">
        <f>IF(A3117="","",6-CEILING(PERCENTRANK.INC($B$3:$B$6000,B3117,4)*5+0.000001,1))</f>
        <v/>
      </c>
      <c r="F3117">
        <f>IF(A3117="","",MAX(1,CEILING(PERCENTRANK.INC($C$3:$C$6000,C3117,4)*5+0.000001,1)))</f>
        <v/>
      </c>
      <c r="G3117">
        <f>IF(A3117="","",MAX(1,CEILING(PERCENTRANK.INC($D$3:$D$6000,D3117,4)*5+0.000001,1)))</f>
        <v/>
      </c>
      <c r="H3117">
        <f>IF(A3117="","",E3117&amp;F3117&amp;G3117)</f>
        <v/>
      </c>
      <c r="I3117">
        <f>IF(A3117="","",IF(AND(E3117&gt;=4,F3117&gt;=4,G3117&gt;=4),"Juara",IF(AND(F3117&gt;=4,E3117&gt;=3),"Setia",IF(AND(E3117=5,F3117&lt;=2,G3117&gt;=3),"Berpotensi",IF(AND(E3117&lt;=3,E3117&gt;=2,F3117&gt;=3),"Rawan",IF(AND(E3117&lt;=2,F3117&lt;=2),"Tidur","Umum"))))))</f>
        <v/>
      </c>
    </row>
    <row r="3118">
      <c r="B3118">
        <f>IF(A3118="","",$B$1-MAXIFS(Donasi!$A$2:$A$20000,Donasi!$B$2:$B$20000,A3118))</f>
        <v/>
      </c>
      <c r="C3118">
        <f>IF(A3118="","",COUNTIF(Donasi!$B$2:$B$20000,A3118))</f>
        <v/>
      </c>
      <c r="D3118">
        <f>IF(A3118="","",SUMIF(Donasi!$B$2:$B$20000,A3118,Donasi!$C$2:$C$20000))</f>
        <v/>
      </c>
      <c r="E3118">
        <f>IF(A3118="","",6-CEILING(PERCENTRANK.INC($B$3:$B$6000,B3118,4)*5+0.000001,1))</f>
        <v/>
      </c>
      <c r="F3118">
        <f>IF(A3118="","",MAX(1,CEILING(PERCENTRANK.INC($C$3:$C$6000,C3118,4)*5+0.000001,1)))</f>
        <v/>
      </c>
      <c r="G3118">
        <f>IF(A3118="","",MAX(1,CEILING(PERCENTRANK.INC($D$3:$D$6000,D3118,4)*5+0.000001,1)))</f>
        <v/>
      </c>
      <c r="H3118">
        <f>IF(A3118="","",E3118&amp;F3118&amp;G3118)</f>
        <v/>
      </c>
      <c r="I3118">
        <f>IF(A3118="","",IF(AND(E3118&gt;=4,F3118&gt;=4,G3118&gt;=4),"Juara",IF(AND(F3118&gt;=4,E3118&gt;=3),"Setia",IF(AND(E3118=5,F3118&lt;=2,G3118&gt;=3),"Berpotensi",IF(AND(E3118&lt;=3,E3118&gt;=2,F3118&gt;=3),"Rawan",IF(AND(E3118&lt;=2,F3118&lt;=2),"Tidur","Umum"))))))</f>
        <v/>
      </c>
    </row>
    <row r="3119">
      <c r="B3119">
        <f>IF(A3119="","",$B$1-MAXIFS(Donasi!$A$2:$A$20000,Donasi!$B$2:$B$20000,A3119))</f>
        <v/>
      </c>
      <c r="C3119">
        <f>IF(A3119="","",COUNTIF(Donasi!$B$2:$B$20000,A3119))</f>
        <v/>
      </c>
      <c r="D3119">
        <f>IF(A3119="","",SUMIF(Donasi!$B$2:$B$20000,A3119,Donasi!$C$2:$C$20000))</f>
        <v/>
      </c>
      <c r="E3119">
        <f>IF(A3119="","",6-CEILING(PERCENTRANK.INC($B$3:$B$6000,B3119,4)*5+0.000001,1))</f>
        <v/>
      </c>
      <c r="F3119">
        <f>IF(A3119="","",MAX(1,CEILING(PERCENTRANK.INC($C$3:$C$6000,C3119,4)*5+0.000001,1)))</f>
        <v/>
      </c>
      <c r="G3119">
        <f>IF(A3119="","",MAX(1,CEILING(PERCENTRANK.INC($D$3:$D$6000,D3119,4)*5+0.000001,1)))</f>
        <v/>
      </c>
      <c r="H3119">
        <f>IF(A3119="","",E3119&amp;F3119&amp;G3119)</f>
        <v/>
      </c>
      <c r="I3119">
        <f>IF(A3119="","",IF(AND(E3119&gt;=4,F3119&gt;=4,G3119&gt;=4),"Juara",IF(AND(F3119&gt;=4,E3119&gt;=3),"Setia",IF(AND(E3119=5,F3119&lt;=2,G3119&gt;=3),"Berpotensi",IF(AND(E3119&lt;=3,E3119&gt;=2,F3119&gt;=3),"Rawan",IF(AND(E3119&lt;=2,F3119&lt;=2),"Tidur","Umum"))))))</f>
        <v/>
      </c>
    </row>
    <row r="3120">
      <c r="B3120">
        <f>IF(A3120="","",$B$1-MAXIFS(Donasi!$A$2:$A$20000,Donasi!$B$2:$B$20000,A3120))</f>
        <v/>
      </c>
      <c r="C3120">
        <f>IF(A3120="","",COUNTIF(Donasi!$B$2:$B$20000,A3120))</f>
        <v/>
      </c>
      <c r="D3120">
        <f>IF(A3120="","",SUMIF(Donasi!$B$2:$B$20000,A3120,Donasi!$C$2:$C$20000))</f>
        <v/>
      </c>
      <c r="E3120">
        <f>IF(A3120="","",6-CEILING(PERCENTRANK.INC($B$3:$B$6000,B3120,4)*5+0.000001,1))</f>
        <v/>
      </c>
      <c r="F3120">
        <f>IF(A3120="","",MAX(1,CEILING(PERCENTRANK.INC($C$3:$C$6000,C3120,4)*5+0.000001,1)))</f>
        <v/>
      </c>
      <c r="G3120">
        <f>IF(A3120="","",MAX(1,CEILING(PERCENTRANK.INC($D$3:$D$6000,D3120,4)*5+0.000001,1)))</f>
        <v/>
      </c>
      <c r="H3120">
        <f>IF(A3120="","",E3120&amp;F3120&amp;G3120)</f>
        <v/>
      </c>
      <c r="I3120">
        <f>IF(A3120="","",IF(AND(E3120&gt;=4,F3120&gt;=4,G3120&gt;=4),"Juara",IF(AND(F3120&gt;=4,E3120&gt;=3),"Setia",IF(AND(E3120=5,F3120&lt;=2,G3120&gt;=3),"Berpotensi",IF(AND(E3120&lt;=3,E3120&gt;=2,F3120&gt;=3),"Rawan",IF(AND(E3120&lt;=2,F3120&lt;=2),"Tidur","Umum"))))))</f>
        <v/>
      </c>
    </row>
    <row r="3121">
      <c r="B3121">
        <f>IF(A3121="","",$B$1-MAXIFS(Donasi!$A$2:$A$20000,Donasi!$B$2:$B$20000,A3121))</f>
        <v/>
      </c>
      <c r="C3121">
        <f>IF(A3121="","",COUNTIF(Donasi!$B$2:$B$20000,A3121))</f>
        <v/>
      </c>
      <c r="D3121">
        <f>IF(A3121="","",SUMIF(Donasi!$B$2:$B$20000,A3121,Donasi!$C$2:$C$20000))</f>
        <v/>
      </c>
      <c r="E3121">
        <f>IF(A3121="","",6-CEILING(PERCENTRANK.INC($B$3:$B$6000,B3121,4)*5+0.000001,1))</f>
        <v/>
      </c>
      <c r="F3121">
        <f>IF(A3121="","",MAX(1,CEILING(PERCENTRANK.INC($C$3:$C$6000,C3121,4)*5+0.000001,1)))</f>
        <v/>
      </c>
      <c r="G3121">
        <f>IF(A3121="","",MAX(1,CEILING(PERCENTRANK.INC($D$3:$D$6000,D3121,4)*5+0.000001,1)))</f>
        <v/>
      </c>
      <c r="H3121">
        <f>IF(A3121="","",E3121&amp;F3121&amp;G3121)</f>
        <v/>
      </c>
      <c r="I3121">
        <f>IF(A3121="","",IF(AND(E3121&gt;=4,F3121&gt;=4,G3121&gt;=4),"Juara",IF(AND(F3121&gt;=4,E3121&gt;=3),"Setia",IF(AND(E3121=5,F3121&lt;=2,G3121&gt;=3),"Berpotensi",IF(AND(E3121&lt;=3,E3121&gt;=2,F3121&gt;=3),"Rawan",IF(AND(E3121&lt;=2,F3121&lt;=2),"Tidur","Umum"))))))</f>
        <v/>
      </c>
    </row>
    <row r="3122">
      <c r="B3122">
        <f>IF(A3122="","",$B$1-MAXIFS(Donasi!$A$2:$A$20000,Donasi!$B$2:$B$20000,A3122))</f>
        <v/>
      </c>
      <c r="C3122">
        <f>IF(A3122="","",COUNTIF(Donasi!$B$2:$B$20000,A3122))</f>
        <v/>
      </c>
      <c r="D3122">
        <f>IF(A3122="","",SUMIF(Donasi!$B$2:$B$20000,A3122,Donasi!$C$2:$C$20000))</f>
        <v/>
      </c>
      <c r="E3122">
        <f>IF(A3122="","",6-CEILING(PERCENTRANK.INC($B$3:$B$6000,B3122,4)*5+0.000001,1))</f>
        <v/>
      </c>
      <c r="F3122">
        <f>IF(A3122="","",MAX(1,CEILING(PERCENTRANK.INC($C$3:$C$6000,C3122,4)*5+0.000001,1)))</f>
        <v/>
      </c>
      <c r="G3122">
        <f>IF(A3122="","",MAX(1,CEILING(PERCENTRANK.INC($D$3:$D$6000,D3122,4)*5+0.000001,1)))</f>
        <v/>
      </c>
      <c r="H3122">
        <f>IF(A3122="","",E3122&amp;F3122&amp;G3122)</f>
        <v/>
      </c>
      <c r="I3122">
        <f>IF(A3122="","",IF(AND(E3122&gt;=4,F3122&gt;=4,G3122&gt;=4),"Juara",IF(AND(F3122&gt;=4,E3122&gt;=3),"Setia",IF(AND(E3122=5,F3122&lt;=2,G3122&gt;=3),"Berpotensi",IF(AND(E3122&lt;=3,E3122&gt;=2,F3122&gt;=3),"Rawan",IF(AND(E3122&lt;=2,F3122&lt;=2),"Tidur","Umum"))))))</f>
        <v/>
      </c>
    </row>
    <row r="3123">
      <c r="B3123">
        <f>IF(A3123="","",$B$1-MAXIFS(Donasi!$A$2:$A$20000,Donasi!$B$2:$B$20000,A3123))</f>
        <v/>
      </c>
      <c r="C3123">
        <f>IF(A3123="","",COUNTIF(Donasi!$B$2:$B$20000,A3123))</f>
        <v/>
      </c>
      <c r="D3123">
        <f>IF(A3123="","",SUMIF(Donasi!$B$2:$B$20000,A3123,Donasi!$C$2:$C$20000))</f>
        <v/>
      </c>
      <c r="E3123">
        <f>IF(A3123="","",6-CEILING(PERCENTRANK.INC($B$3:$B$6000,B3123,4)*5+0.000001,1))</f>
        <v/>
      </c>
      <c r="F3123">
        <f>IF(A3123="","",MAX(1,CEILING(PERCENTRANK.INC($C$3:$C$6000,C3123,4)*5+0.000001,1)))</f>
        <v/>
      </c>
      <c r="G3123">
        <f>IF(A3123="","",MAX(1,CEILING(PERCENTRANK.INC($D$3:$D$6000,D3123,4)*5+0.000001,1)))</f>
        <v/>
      </c>
      <c r="H3123">
        <f>IF(A3123="","",E3123&amp;F3123&amp;G3123)</f>
        <v/>
      </c>
      <c r="I3123">
        <f>IF(A3123="","",IF(AND(E3123&gt;=4,F3123&gt;=4,G3123&gt;=4),"Juara",IF(AND(F3123&gt;=4,E3123&gt;=3),"Setia",IF(AND(E3123=5,F3123&lt;=2,G3123&gt;=3),"Berpotensi",IF(AND(E3123&lt;=3,E3123&gt;=2,F3123&gt;=3),"Rawan",IF(AND(E3123&lt;=2,F3123&lt;=2),"Tidur","Umum"))))))</f>
        <v/>
      </c>
    </row>
    <row r="3124">
      <c r="B3124">
        <f>IF(A3124="","",$B$1-MAXIFS(Donasi!$A$2:$A$20000,Donasi!$B$2:$B$20000,A3124))</f>
        <v/>
      </c>
      <c r="C3124">
        <f>IF(A3124="","",COUNTIF(Donasi!$B$2:$B$20000,A3124))</f>
        <v/>
      </c>
      <c r="D3124">
        <f>IF(A3124="","",SUMIF(Donasi!$B$2:$B$20000,A3124,Donasi!$C$2:$C$20000))</f>
        <v/>
      </c>
      <c r="E3124">
        <f>IF(A3124="","",6-CEILING(PERCENTRANK.INC($B$3:$B$6000,B3124,4)*5+0.000001,1))</f>
        <v/>
      </c>
      <c r="F3124">
        <f>IF(A3124="","",MAX(1,CEILING(PERCENTRANK.INC($C$3:$C$6000,C3124,4)*5+0.000001,1)))</f>
        <v/>
      </c>
      <c r="G3124">
        <f>IF(A3124="","",MAX(1,CEILING(PERCENTRANK.INC($D$3:$D$6000,D3124,4)*5+0.000001,1)))</f>
        <v/>
      </c>
      <c r="H3124">
        <f>IF(A3124="","",E3124&amp;F3124&amp;G3124)</f>
        <v/>
      </c>
      <c r="I3124">
        <f>IF(A3124="","",IF(AND(E3124&gt;=4,F3124&gt;=4,G3124&gt;=4),"Juara",IF(AND(F3124&gt;=4,E3124&gt;=3),"Setia",IF(AND(E3124=5,F3124&lt;=2,G3124&gt;=3),"Berpotensi",IF(AND(E3124&lt;=3,E3124&gt;=2,F3124&gt;=3),"Rawan",IF(AND(E3124&lt;=2,F3124&lt;=2),"Tidur","Umum"))))))</f>
        <v/>
      </c>
    </row>
    <row r="3125">
      <c r="B3125">
        <f>IF(A3125="","",$B$1-MAXIFS(Donasi!$A$2:$A$20000,Donasi!$B$2:$B$20000,A3125))</f>
        <v/>
      </c>
      <c r="C3125">
        <f>IF(A3125="","",COUNTIF(Donasi!$B$2:$B$20000,A3125))</f>
        <v/>
      </c>
      <c r="D3125">
        <f>IF(A3125="","",SUMIF(Donasi!$B$2:$B$20000,A3125,Donasi!$C$2:$C$20000))</f>
        <v/>
      </c>
      <c r="E3125">
        <f>IF(A3125="","",6-CEILING(PERCENTRANK.INC($B$3:$B$6000,B3125,4)*5+0.000001,1))</f>
        <v/>
      </c>
      <c r="F3125">
        <f>IF(A3125="","",MAX(1,CEILING(PERCENTRANK.INC($C$3:$C$6000,C3125,4)*5+0.000001,1)))</f>
        <v/>
      </c>
      <c r="G3125">
        <f>IF(A3125="","",MAX(1,CEILING(PERCENTRANK.INC($D$3:$D$6000,D3125,4)*5+0.000001,1)))</f>
        <v/>
      </c>
      <c r="H3125">
        <f>IF(A3125="","",E3125&amp;F3125&amp;G3125)</f>
        <v/>
      </c>
      <c r="I3125">
        <f>IF(A3125="","",IF(AND(E3125&gt;=4,F3125&gt;=4,G3125&gt;=4),"Juara",IF(AND(F3125&gt;=4,E3125&gt;=3),"Setia",IF(AND(E3125=5,F3125&lt;=2,G3125&gt;=3),"Berpotensi",IF(AND(E3125&lt;=3,E3125&gt;=2,F3125&gt;=3),"Rawan",IF(AND(E3125&lt;=2,F3125&lt;=2),"Tidur","Umum"))))))</f>
        <v/>
      </c>
    </row>
    <row r="3126">
      <c r="B3126">
        <f>IF(A3126="","",$B$1-MAXIFS(Donasi!$A$2:$A$20000,Donasi!$B$2:$B$20000,A3126))</f>
        <v/>
      </c>
      <c r="C3126">
        <f>IF(A3126="","",COUNTIF(Donasi!$B$2:$B$20000,A3126))</f>
        <v/>
      </c>
      <c r="D3126">
        <f>IF(A3126="","",SUMIF(Donasi!$B$2:$B$20000,A3126,Donasi!$C$2:$C$20000))</f>
        <v/>
      </c>
      <c r="E3126">
        <f>IF(A3126="","",6-CEILING(PERCENTRANK.INC($B$3:$B$6000,B3126,4)*5+0.000001,1))</f>
        <v/>
      </c>
      <c r="F3126">
        <f>IF(A3126="","",MAX(1,CEILING(PERCENTRANK.INC($C$3:$C$6000,C3126,4)*5+0.000001,1)))</f>
        <v/>
      </c>
      <c r="G3126">
        <f>IF(A3126="","",MAX(1,CEILING(PERCENTRANK.INC($D$3:$D$6000,D3126,4)*5+0.000001,1)))</f>
        <v/>
      </c>
      <c r="H3126">
        <f>IF(A3126="","",E3126&amp;F3126&amp;G3126)</f>
        <v/>
      </c>
      <c r="I3126">
        <f>IF(A3126="","",IF(AND(E3126&gt;=4,F3126&gt;=4,G3126&gt;=4),"Juara",IF(AND(F3126&gt;=4,E3126&gt;=3),"Setia",IF(AND(E3126=5,F3126&lt;=2,G3126&gt;=3),"Berpotensi",IF(AND(E3126&lt;=3,E3126&gt;=2,F3126&gt;=3),"Rawan",IF(AND(E3126&lt;=2,F3126&lt;=2),"Tidur","Umum"))))))</f>
        <v/>
      </c>
    </row>
    <row r="3127">
      <c r="B3127">
        <f>IF(A3127="","",$B$1-MAXIFS(Donasi!$A$2:$A$20000,Donasi!$B$2:$B$20000,A3127))</f>
        <v/>
      </c>
      <c r="C3127">
        <f>IF(A3127="","",COUNTIF(Donasi!$B$2:$B$20000,A3127))</f>
        <v/>
      </c>
      <c r="D3127">
        <f>IF(A3127="","",SUMIF(Donasi!$B$2:$B$20000,A3127,Donasi!$C$2:$C$20000))</f>
        <v/>
      </c>
      <c r="E3127">
        <f>IF(A3127="","",6-CEILING(PERCENTRANK.INC($B$3:$B$6000,B3127,4)*5+0.000001,1))</f>
        <v/>
      </c>
      <c r="F3127">
        <f>IF(A3127="","",MAX(1,CEILING(PERCENTRANK.INC($C$3:$C$6000,C3127,4)*5+0.000001,1)))</f>
        <v/>
      </c>
      <c r="G3127">
        <f>IF(A3127="","",MAX(1,CEILING(PERCENTRANK.INC($D$3:$D$6000,D3127,4)*5+0.000001,1)))</f>
        <v/>
      </c>
      <c r="H3127">
        <f>IF(A3127="","",E3127&amp;F3127&amp;G3127)</f>
        <v/>
      </c>
      <c r="I3127">
        <f>IF(A3127="","",IF(AND(E3127&gt;=4,F3127&gt;=4,G3127&gt;=4),"Juara",IF(AND(F3127&gt;=4,E3127&gt;=3),"Setia",IF(AND(E3127=5,F3127&lt;=2,G3127&gt;=3),"Berpotensi",IF(AND(E3127&lt;=3,E3127&gt;=2,F3127&gt;=3),"Rawan",IF(AND(E3127&lt;=2,F3127&lt;=2),"Tidur","Umum"))))))</f>
        <v/>
      </c>
    </row>
    <row r="3128">
      <c r="B3128">
        <f>IF(A3128="","",$B$1-MAXIFS(Donasi!$A$2:$A$20000,Donasi!$B$2:$B$20000,A3128))</f>
        <v/>
      </c>
      <c r="C3128">
        <f>IF(A3128="","",COUNTIF(Donasi!$B$2:$B$20000,A3128))</f>
        <v/>
      </c>
      <c r="D3128">
        <f>IF(A3128="","",SUMIF(Donasi!$B$2:$B$20000,A3128,Donasi!$C$2:$C$20000))</f>
        <v/>
      </c>
      <c r="E3128">
        <f>IF(A3128="","",6-CEILING(PERCENTRANK.INC($B$3:$B$6000,B3128,4)*5+0.000001,1))</f>
        <v/>
      </c>
      <c r="F3128">
        <f>IF(A3128="","",MAX(1,CEILING(PERCENTRANK.INC($C$3:$C$6000,C3128,4)*5+0.000001,1)))</f>
        <v/>
      </c>
      <c r="G3128">
        <f>IF(A3128="","",MAX(1,CEILING(PERCENTRANK.INC($D$3:$D$6000,D3128,4)*5+0.000001,1)))</f>
        <v/>
      </c>
      <c r="H3128">
        <f>IF(A3128="","",E3128&amp;F3128&amp;G3128)</f>
        <v/>
      </c>
      <c r="I3128">
        <f>IF(A3128="","",IF(AND(E3128&gt;=4,F3128&gt;=4,G3128&gt;=4),"Juara",IF(AND(F3128&gt;=4,E3128&gt;=3),"Setia",IF(AND(E3128=5,F3128&lt;=2,G3128&gt;=3),"Berpotensi",IF(AND(E3128&lt;=3,E3128&gt;=2,F3128&gt;=3),"Rawan",IF(AND(E3128&lt;=2,F3128&lt;=2),"Tidur","Umum"))))))</f>
        <v/>
      </c>
    </row>
    <row r="3129">
      <c r="B3129">
        <f>IF(A3129="","",$B$1-MAXIFS(Donasi!$A$2:$A$20000,Donasi!$B$2:$B$20000,A3129))</f>
        <v/>
      </c>
      <c r="C3129">
        <f>IF(A3129="","",COUNTIF(Donasi!$B$2:$B$20000,A3129))</f>
        <v/>
      </c>
      <c r="D3129">
        <f>IF(A3129="","",SUMIF(Donasi!$B$2:$B$20000,A3129,Donasi!$C$2:$C$20000))</f>
        <v/>
      </c>
      <c r="E3129">
        <f>IF(A3129="","",6-CEILING(PERCENTRANK.INC($B$3:$B$6000,B3129,4)*5+0.000001,1))</f>
        <v/>
      </c>
      <c r="F3129">
        <f>IF(A3129="","",MAX(1,CEILING(PERCENTRANK.INC($C$3:$C$6000,C3129,4)*5+0.000001,1)))</f>
        <v/>
      </c>
      <c r="G3129">
        <f>IF(A3129="","",MAX(1,CEILING(PERCENTRANK.INC($D$3:$D$6000,D3129,4)*5+0.000001,1)))</f>
        <v/>
      </c>
      <c r="H3129">
        <f>IF(A3129="","",E3129&amp;F3129&amp;G3129)</f>
        <v/>
      </c>
      <c r="I3129">
        <f>IF(A3129="","",IF(AND(E3129&gt;=4,F3129&gt;=4,G3129&gt;=4),"Juara",IF(AND(F3129&gt;=4,E3129&gt;=3),"Setia",IF(AND(E3129=5,F3129&lt;=2,G3129&gt;=3),"Berpotensi",IF(AND(E3129&lt;=3,E3129&gt;=2,F3129&gt;=3),"Rawan",IF(AND(E3129&lt;=2,F3129&lt;=2),"Tidur","Umum"))))))</f>
        <v/>
      </c>
    </row>
    <row r="3130">
      <c r="B3130">
        <f>IF(A3130="","",$B$1-MAXIFS(Donasi!$A$2:$A$20000,Donasi!$B$2:$B$20000,A3130))</f>
        <v/>
      </c>
      <c r="C3130">
        <f>IF(A3130="","",COUNTIF(Donasi!$B$2:$B$20000,A3130))</f>
        <v/>
      </c>
      <c r="D3130">
        <f>IF(A3130="","",SUMIF(Donasi!$B$2:$B$20000,A3130,Donasi!$C$2:$C$20000))</f>
        <v/>
      </c>
      <c r="E3130">
        <f>IF(A3130="","",6-CEILING(PERCENTRANK.INC($B$3:$B$6000,B3130,4)*5+0.000001,1))</f>
        <v/>
      </c>
      <c r="F3130">
        <f>IF(A3130="","",MAX(1,CEILING(PERCENTRANK.INC($C$3:$C$6000,C3130,4)*5+0.000001,1)))</f>
        <v/>
      </c>
      <c r="G3130">
        <f>IF(A3130="","",MAX(1,CEILING(PERCENTRANK.INC($D$3:$D$6000,D3130,4)*5+0.000001,1)))</f>
        <v/>
      </c>
      <c r="H3130">
        <f>IF(A3130="","",E3130&amp;F3130&amp;G3130)</f>
        <v/>
      </c>
      <c r="I3130">
        <f>IF(A3130="","",IF(AND(E3130&gt;=4,F3130&gt;=4,G3130&gt;=4),"Juara",IF(AND(F3130&gt;=4,E3130&gt;=3),"Setia",IF(AND(E3130=5,F3130&lt;=2,G3130&gt;=3),"Berpotensi",IF(AND(E3130&lt;=3,E3130&gt;=2,F3130&gt;=3),"Rawan",IF(AND(E3130&lt;=2,F3130&lt;=2),"Tidur","Umum"))))))</f>
        <v/>
      </c>
    </row>
    <row r="3131">
      <c r="B3131">
        <f>IF(A3131="","",$B$1-MAXIFS(Donasi!$A$2:$A$20000,Donasi!$B$2:$B$20000,A3131))</f>
        <v/>
      </c>
      <c r="C3131">
        <f>IF(A3131="","",COUNTIF(Donasi!$B$2:$B$20000,A3131))</f>
        <v/>
      </c>
      <c r="D3131">
        <f>IF(A3131="","",SUMIF(Donasi!$B$2:$B$20000,A3131,Donasi!$C$2:$C$20000))</f>
        <v/>
      </c>
      <c r="E3131">
        <f>IF(A3131="","",6-CEILING(PERCENTRANK.INC($B$3:$B$6000,B3131,4)*5+0.000001,1))</f>
        <v/>
      </c>
      <c r="F3131">
        <f>IF(A3131="","",MAX(1,CEILING(PERCENTRANK.INC($C$3:$C$6000,C3131,4)*5+0.000001,1)))</f>
        <v/>
      </c>
      <c r="G3131">
        <f>IF(A3131="","",MAX(1,CEILING(PERCENTRANK.INC($D$3:$D$6000,D3131,4)*5+0.000001,1)))</f>
        <v/>
      </c>
      <c r="H3131">
        <f>IF(A3131="","",E3131&amp;F3131&amp;G3131)</f>
        <v/>
      </c>
      <c r="I3131">
        <f>IF(A3131="","",IF(AND(E3131&gt;=4,F3131&gt;=4,G3131&gt;=4),"Juara",IF(AND(F3131&gt;=4,E3131&gt;=3),"Setia",IF(AND(E3131=5,F3131&lt;=2,G3131&gt;=3),"Berpotensi",IF(AND(E3131&lt;=3,E3131&gt;=2,F3131&gt;=3),"Rawan",IF(AND(E3131&lt;=2,F3131&lt;=2),"Tidur","Umum"))))))</f>
        <v/>
      </c>
    </row>
    <row r="3132">
      <c r="B3132">
        <f>IF(A3132="","",$B$1-MAXIFS(Donasi!$A$2:$A$20000,Donasi!$B$2:$B$20000,A3132))</f>
        <v/>
      </c>
      <c r="C3132">
        <f>IF(A3132="","",COUNTIF(Donasi!$B$2:$B$20000,A3132))</f>
        <v/>
      </c>
      <c r="D3132">
        <f>IF(A3132="","",SUMIF(Donasi!$B$2:$B$20000,A3132,Donasi!$C$2:$C$20000))</f>
        <v/>
      </c>
      <c r="E3132">
        <f>IF(A3132="","",6-CEILING(PERCENTRANK.INC($B$3:$B$6000,B3132,4)*5+0.000001,1))</f>
        <v/>
      </c>
      <c r="F3132">
        <f>IF(A3132="","",MAX(1,CEILING(PERCENTRANK.INC($C$3:$C$6000,C3132,4)*5+0.000001,1)))</f>
        <v/>
      </c>
      <c r="G3132">
        <f>IF(A3132="","",MAX(1,CEILING(PERCENTRANK.INC($D$3:$D$6000,D3132,4)*5+0.000001,1)))</f>
        <v/>
      </c>
      <c r="H3132">
        <f>IF(A3132="","",E3132&amp;F3132&amp;G3132)</f>
        <v/>
      </c>
      <c r="I3132">
        <f>IF(A3132="","",IF(AND(E3132&gt;=4,F3132&gt;=4,G3132&gt;=4),"Juara",IF(AND(F3132&gt;=4,E3132&gt;=3),"Setia",IF(AND(E3132=5,F3132&lt;=2,G3132&gt;=3),"Berpotensi",IF(AND(E3132&lt;=3,E3132&gt;=2,F3132&gt;=3),"Rawan",IF(AND(E3132&lt;=2,F3132&lt;=2),"Tidur","Umum"))))))</f>
        <v/>
      </c>
    </row>
    <row r="3133">
      <c r="B3133">
        <f>IF(A3133="","",$B$1-MAXIFS(Donasi!$A$2:$A$20000,Donasi!$B$2:$B$20000,A3133))</f>
        <v/>
      </c>
      <c r="C3133">
        <f>IF(A3133="","",COUNTIF(Donasi!$B$2:$B$20000,A3133))</f>
        <v/>
      </c>
      <c r="D3133">
        <f>IF(A3133="","",SUMIF(Donasi!$B$2:$B$20000,A3133,Donasi!$C$2:$C$20000))</f>
        <v/>
      </c>
      <c r="E3133">
        <f>IF(A3133="","",6-CEILING(PERCENTRANK.INC($B$3:$B$6000,B3133,4)*5+0.000001,1))</f>
        <v/>
      </c>
      <c r="F3133">
        <f>IF(A3133="","",MAX(1,CEILING(PERCENTRANK.INC($C$3:$C$6000,C3133,4)*5+0.000001,1)))</f>
        <v/>
      </c>
      <c r="G3133">
        <f>IF(A3133="","",MAX(1,CEILING(PERCENTRANK.INC($D$3:$D$6000,D3133,4)*5+0.000001,1)))</f>
        <v/>
      </c>
      <c r="H3133">
        <f>IF(A3133="","",E3133&amp;F3133&amp;G3133)</f>
        <v/>
      </c>
      <c r="I3133">
        <f>IF(A3133="","",IF(AND(E3133&gt;=4,F3133&gt;=4,G3133&gt;=4),"Juara",IF(AND(F3133&gt;=4,E3133&gt;=3),"Setia",IF(AND(E3133=5,F3133&lt;=2,G3133&gt;=3),"Berpotensi",IF(AND(E3133&lt;=3,E3133&gt;=2,F3133&gt;=3),"Rawan",IF(AND(E3133&lt;=2,F3133&lt;=2),"Tidur","Umum"))))))</f>
        <v/>
      </c>
    </row>
    <row r="3134">
      <c r="B3134">
        <f>IF(A3134="","",$B$1-MAXIFS(Donasi!$A$2:$A$20000,Donasi!$B$2:$B$20000,A3134))</f>
        <v/>
      </c>
      <c r="C3134">
        <f>IF(A3134="","",COUNTIF(Donasi!$B$2:$B$20000,A3134))</f>
        <v/>
      </c>
      <c r="D3134">
        <f>IF(A3134="","",SUMIF(Donasi!$B$2:$B$20000,A3134,Donasi!$C$2:$C$20000))</f>
        <v/>
      </c>
      <c r="E3134">
        <f>IF(A3134="","",6-CEILING(PERCENTRANK.INC($B$3:$B$6000,B3134,4)*5+0.000001,1))</f>
        <v/>
      </c>
      <c r="F3134">
        <f>IF(A3134="","",MAX(1,CEILING(PERCENTRANK.INC($C$3:$C$6000,C3134,4)*5+0.000001,1)))</f>
        <v/>
      </c>
      <c r="G3134">
        <f>IF(A3134="","",MAX(1,CEILING(PERCENTRANK.INC($D$3:$D$6000,D3134,4)*5+0.000001,1)))</f>
        <v/>
      </c>
      <c r="H3134">
        <f>IF(A3134="","",E3134&amp;F3134&amp;G3134)</f>
        <v/>
      </c>
      <c r="I3134">
        <f>IF(A3134="","",IF(AND(E3134&gt;=4,F3134&gt;=4,G3134&gt;=4),"Juara",IF(AND(F3134&gt;=4,E3134&gt;=3),"Setia",IF(AND(E3134=5,F3134&lt;=2,G3134&gt;=3),"Berpotensi",IF(AND(E3134&lt;=3,E3134&gt;=2,F3134&gt;=3),"Rawan",IF(AND(E3134&lt;=2,F3134&lt;=2),"Tidur","Umum"))))))</f>
        <v/>
      </c>
    </row>
    <row r="3135">
      <c r="B3135">
        <f>IF(A3135="","",$B$1-MAXIFS(Donasi!$A$2:$A$20000,Donasi!$B$2:$B$20000,A3135))</f>
        <v/>
      </c>
      <c r="C3135">
        <f>IF(A3135="","",COUNTIF(Donasi!$B$2:$B$20000,A3135))</f>
        <v/>
      </c>
      <c r="D3135">
        <f>IF(A3135="","",SUMIF(Donasi!$B$2:$B$20000,A3135,Donasi!$C$2:$C$20000))</f>
        <v/>
      </c>
      <c r="E3135">
        <f>IF(A3135="","",6-CEILING(PERCENTRANK.INC($B$3:$B$6000,B3135,4)*5+0.000001,1))</f>
        <v/>
      </c>
      <c r="F3135">
        <f>IF(A3135="","",MAX(1,CEILING(PERCENTRANK.INC($C$3:$C$6000,C3135,4)*5+0.000001,1)))</f>
        <v/>
      </c>
      <c r="G3135">
        <f>IF(A3135="","",MAX(1,CEILING(PERCENTRANK.INC($D$3:$D$6000,D3135,4)*5+0.000001,1)))</f>
        <v/>
      </c>
      <c r="H3135">
        <f>IF(A3135="","",E3135&amp;F3135&amp;G3135)</f>
        <v/>
      </c>
      <c r="I3135">
        <f>IF(A3135="","",IF(AND(E3135&gt;=4,F3135&gt;=4,G3135&gt;=4),"Juara",IF(AND(F3135&gt;=4,E3135&gt;=3),"Setia",IF(AND(E3135=5,F3135&lt;=2,G3135&gt;=3),"Berpotensi",IF(AND(E3135&lt;=3,E3135&gt;=2,F3135&gt;=3),"Rawan",IF(AND(E3135&lt;=2,F3135&lt;=2),"Tidur","Umum"))))))</f>
        <v/>
      </c>
    </row>
    <row r="3136">
      <c r="B3136">
        <f>IF(A3136="","",$B$1-MAXIFS(Donasi!$A$2:$A$20000,Donasi!$B$2:$B$20000,A3136))</f>
        <v/>
      </c>
      <c r="C3136">
        <f>IF(A3136="","",COUNTIF(Donasi!$B$2:$B$20000,A3136))</f>
        <v/>
      </c>
      <c r="D3136">
        <f>IF(A3136="","",SUMIF(Donasi!$B$2:$B$20000,A3136,Donasi!$C$2:$C$20000))</f>
        <v/>
      </c>
      <c r="E3136">
        <f>IF(A3136="","",6-CEILING(PERCENTRANK.INC($B$3:$B$6000,B3136,4)*5+0.000001,1))</f>
        <v/>
      </c>
      <c r="F3136">
        <f>IF(A3136="","",MAX(1,CEILING(PERCENTRANK.INC($C$3:$C$6000,C3136,4)*5+0.000001,1)))</f>
        <v/>
      </c>
      <c r="G3136">
        <f>IF(A3136="","",MAX(1,CEILING(PERCENTRANK.INC($D$3:$D$6000,D3136,4)*5+0.000001,1)))</f>
        <v/>
      </c>
      <c r="H3136">
        <f>IF(A3136="","",E3136&amp;F3136&amp;G3136)</f>
        <v/>
      </c>
      <c r="I3136">
        <f>IF(A3136="","",IF(AND(E3136&gt;=4,F3136&gt;=4,G3136&gt;=4),"Juara",IF(AND(F3136&gt;=4,E3136&gt;=3),"Setia",IF(AND(E3136=5,F3136&lt;=2,G3136&gt;=3),"Berpotensi",IF(AND(E3136&lt;=3,E3136&gt;=2,F3136&gt;=3),"Rawan",IF(AND(E3136&lt;=2,F3136&lt;=2),"Tidur","Umum"))))))</f>
        <v/>
      </c>
    </row>
    <row r="3137">
      <c r="B3137">
        <f>IF(A3137="","",$B$1-MAXIFS(Donasi!$A$2:$A$20000,Donasi!$B$2:$B$20000,A3137))</f>
        <v/>
      </c>
      <c r="C3137">
        <f>IF(A3137="","",COUNTIF(Donasi!$B$2:$B$20000,A3137))</f>
        <v/>
      </c>
      <c r="D3137">
        <f>IF(A3137="","",SUMIF(Donasi!$B$2:$B$20000,A3137,Donasi!$C$2:$C$20000))</f>
        <v/>
      </c>
      <c r="E3137">
        <f>IF(A3137="","",6-CEILING(PERCENTRANK.INC($B$3:$B$6000,B3137,4)*5+0.000001,1))</f>
        <v/>
      </c>
      <c r="F3137">
        <f>IF(A3137="","",MAX(1,CEILING(PERCENTRANK.INC($C$3:$C$6000,C3137,4)*5+0.000001,1)))</f>
        <v/>
      </c>
      <c r="G3137">
        <f>IF(A3137="","",MAX(1,CEILING(PERCENTRANK.INC($D$3:$D$6000,D3137,4)*5+0.000001,1)))</f>
        <v/>
      </c>
      <c r="H3137">
        <f>IF(A3137="","",E3137&amp;F3137&amp;G3137)</f>
        <v/>
      </c>
      <c r="I3137">
        <f>IF(A3137="","",IF(AND(E3137&gt;=4,F3137&gt;=4,G3137&gt;=4),"Juara",IF(AND(F3137&gt;=4,E3137&gt;=3),"Setia",IF(AND(E3137=5,F3137&lt;=2,G3137&gt;=3),"Berpotensi",IF(AND(E3137&lt;=3,E3137&gt;=2,F3137&gt;=3),"Rawan",IF(AND(E3137&lt;=2,F3137&lt;=2),"Tidur","Umum"))))))</f>
        <v/>
      </c>
    </row>
    <row r="3138">
      <c r="B3138">
        <f>IF(A3138="","",$B$1-MAXIFS(Donasi!$A$2:$A$20000,Donasi!$B$2:$B$20000,A3138))</f>
        <v/>
      </c>
      <c r="C3138">
        <f>IF(A3138="","",COUNTIF(Donasi!$B$2:$B$20000,A3138))</f>
        <v/>
      </c>
      <c r="D3138">
        <f>IF(A3138="","",SUMIF(Donasi!$B$2:$B$20000,A3138,Donasi!$C$2:$C$20000))</f>
        <v/>
      </c>
      <c r="E3138">
        <f>IF(A3138="","",6-CEILING(PERCENTRANK.INC($B$3:$B$6000,B3138,4)*5+0.000001,1))</f>
        <v/>
      </c>
      <c r="F3138">
        <f>IF(A3138="","",MAX(1,CEILING(PERCENTRANK.INC($C$3:$C$6000,C3138,4)*5+0.000001,1)))</f>
        <v/>
      </c>
      <c r="G3138">
        <f>IF(A3138="","",MAX(1,CEILING(PERCENTRANK.INC($D$3:$D$6000,D3138,4)*5+0.000001,1)))</f>
        <v/>
      </c>
      <c r="H3138">
        <f>IF(A3138="","",E3138&amp;F3138&amp;G3138)</f>
        <v/>
      </c>
      <c r="I3138">
        <f>IF(A3138="","",IF(AND(E3138&gt;=4,F3138&gt;=4,G3138&gt;=4),"Juara",IF(AND(F3138&gt;=4,E3138&gt;=3),"Setia",IF(AND(E3138=5,F3138&lt;=2,G3138&gt;=3),"Berpotensi",IF(AND(E3138&lt;=3,E3138&gt;=2,F3138&gt;=3),"Rawan",IF(AND(E3138&lt;=2,F3138&lt;=2),"Tidur","Umum"))))))</f>
        <v/>
      </c>
    </row>
    <row r="3139">
      <c r="B3139">
        <f>IF(A3139="","",$B$1-MAXIFS(Donasi!$A$2:$A$20000,Donasi!$B$2:$B$20000,A3139))</f>
        <v/>
      </c>
      <c r="C3139">
        <f>IF(A3139="","",COUNTIF(Donasi!$B$2:$B$20000,A3139))</f>
        <v/>
      </c>
      <c r="D3139">
        <f>IF(A3139="","",SUMIF(Donasi!$B$2:$B$20000,A3139,Donasi!$C$2:$C$20000))</f>
        <v/>
      </c>
      <c r="E3139">
        <f>IF(A3139="","",6-CEILING(PERCENTRANK.INC($B$3:$B$6000,B3139,4)*5+0.000001,1))</f>
        <v/>
      </c>
      <c r="F3139">
        <f>IF(A3139="","",MAX(1,CEILING(PERCENTRANK.INC($C$3:$C$6000,C3139,4)*5+0.000001,1)))</f>
        <v/>
      </c>
      <c r="G3139">
        <f>IF(A3139="","",MAX(1,CEILING(PERCENTRANK.INC($D$3:$D$6000,D3139,4)*5+0.000001,1)))</f>
        <v/>
      </c>
      <c r="H3139">
        <f>IF(A3139="","",E3139&amp;F3139&amp;G3139)</f>
        <v/>
      </c>
      <c r="I3139">
        <f>IF(A3139="","",IF(AND(E3139&gt;=4,F3139&gt;=4,G3139&gt;=4),"Juara",IF(AND(F3139&gt;=4,E3139&gt;=3),"Setia",IF(AND(E3139=5,F3139&lt;=2,G3139&gt;=3),"Berpotensi",IF(AND(E3139&lt;=3,E3139&gt;=2,F3139&gt;=3),"Rawan",IF(AND(E3139&lt;=2,F3139&lt;=2),"Tidur","Umum"))))))</f>
        <v/>
      </c>
    </row>
    <row r="3140">
      <c r="B3140">
        <f>IF(A3140="","",$B$1-MAXIFS(Donasi!$A$2:$A$20000,Donasi!$B$2:$B$20000,A3140))</f>
        <v/>
      </c>
      <c r="C3140">
        <f>IF(A3140="","",COUNTIF(Donasi!$B$2:$B$20000,A3140))</f>
        <v/>
      </c>
      <c r="D3140">
        <f>IF(A3140="","",SUMIF(Donasi!$B$2:$B$20000,A3140,Donasi!$C$2:$C$20000))</f>
        <v/>
      </c>
      <c r="E3140">
        <f>IF(A3140="","",6-CEILING(PERCENTRANK.INC($B$3:$B$6000,B3140,4)*5+0.000001,1))</f>
        <v/>
      </c>
      <c r="F3140">
        <f>IF(A3140="","",MAX(1,CEILING(PERCENTRANK.INC($C$3:$C$6000,C3140,4)*5+0.000001,1)))</f>
        <v/>
      </c>
      <c r="G3140">
        <f>IF(A3140="","",MAX(1,CEILING(PERCENTRANK.INC($D$3:$D$6000,D3140,4)*5+0.000001,1)))</f>
        <v/>
      </c>
      <c r="H3140">
        <f>IF(A3140="","",E3140&amp;F3140&amp;G3140)</f>
        <v/>
      </c>
      <c r="I3140">
        <f>IF(A3140="","",IF(AND(E3140&gt;=4,F3140&gt;=4,G3140&gt;=4),"Juara",IF(AND(F3140&gt;=4,E3140&gt;=3),"Setia",IF(AND(E3140=5,F3140&lt;=2,G3140&gt;=3),"Berpotensi",IF(AND(E3140&lt;=3,E3140&gt;=2,F3140&gt;=3),"Rawan",IF(AND(E3140&lt;=2,F3140&lt;=2),"Tidur","Umum"))))))</f>
        <v/>
      </c>
    </row>
    <row r="3141">
      <c r="B3141">
        <f>IF(A3141="","",$B$1-MAXIFS(Donasi!$A$2:$A$20000,Donasi!$B$2:$B$20000,A3141))</f>
        <v/>
      </c>
      <c r="C3141">
        <f>IF(A3141="","",COUNTIF(Donasi!$B$2:$B$20000,A3141))</f>
        <v/>
      </c>
      <c r="D3141">
        <f>IF(A3141="","",SUMIF(Donasi!$B$2:$B$20000,A3141,Donasi!$C$2:$C$20000))</f>
        <v/>
      </c>
      <c r="E3141">
        <f>IF(A3141="","",6-CEILING(PERCENTRANK.INC($B$3:$B$6000,B3141,4)*5+0.000001,1))</f>
        <v/>
      </c>
      <c r="F3141">
        <f>IF(A3141="","",MAX(1,CEILING(PERCENTRANK.INC($C$3:$C$6000,C3141,4)*5+0.000001,1)))</f>
        <v/>
      </c>
      <c r="G3141">
        <f>IF(A3141="","",MAX(1,CEILING(PERCENTRANK.INC($D$3:$D$6000,D3141,4)*5+0.000001,1)))</f>
        <v/>
      </c>
      <c r="H3141">
        <f>IF(A3141="","",E3141&amp;F3141&amp;G3141)</f>
        <v/>
      </c>
      <c r="I3141">
        <f>IF(A3141="","",IF(AND(E3141&gt;=4,F3141&gt;=4,G3141&gt;=4),"Juara",IF(AND(F3141&gt;=4,E3141&gt;=3),"Setia",IF(AND(E3141=5,F3141&lt;=2,G3141&gt;=3),"Berpotensi",IF(AND(E3141&lt;=3,E3141&gt;=2,F3141&gt;=3),"Rawan",IF(AND(E3141&lt;=2,F3141&lt;=2),"Tidur","Umum"))))))</f>
        <v/>
      </c>
    </row>
    <row r="3142">
      <c r="B3142">
        <f>IF(A3142="","",$B$1-MAXIFS(Donasi!$A$2:$A$20000,Donasi!$B$2:$B$20000,A3142))</f>
        <v/>
      </c>
      <c r="C3142">
        <f>IF(A3142="","",COUNTIF(Donasi!$B$2:$B$20000,A3142))</f>
        <v/>
      </c>
      <c r="D3142">
        <f>IF(A3142="","",SUMIF(Donasi!$B$2:$B$20000,A3142,Donasi!$C$2:$C$20000))</f>
        <v/>
      </c>
      <c r="E3142">
        <f>IF(A3142="","",6-CEILING(PERCENTRANK.INC($B$3:$B$6000,B3142,4)*5+0.000001,1))</f>
        <v/>
      </c>
      <c r="F3142">
        <f>IF(A3142="","",MAX(1,CEILING(PERCENTRANK.INC($C$3:$C$6000,C3142,4)*5+0.000001,1)))</f>
        <v/>
      </c>
      <c r="G3142">
        <f>IF(A3142="","",MAX(1,CEILING(PERCENTRANK.INC($D$3:$D$6000,D3142,4)*5+0.000001,1)))</f>
        <v/>
      </c>
      <c r="H3142">
        <f>IF(A3142="","",E3142&amp;F3142&amp;G3142)</f>
        <v/>
      </c>
      <c r="I3142">
        <f>IF(A3142="","",IF(AND(E3142&gt;=4,F3142&gt;=4,G3142&gt;=4),"Juara",IF(AND(F3142&gt;=4,E3142&gt;=3),"Setia",IF(AND(E3142=5,F3142&lt;=2,G3142&gt;=3),"Berpotensi",IF(AND(E3142&lt;=3,E3142&gt;=2,F3142&gt;=3),"Rawan",IF(AND(E3142&lt;=2,F3142&lt;=2),"Tidur","Umum"))))))</f>
        <v/>
      </c>
    </row>
    <row r="3143">
      <c r="B3143">
        <f>IF(A3143="","",$B$1-MAXIFS(Donasi!$A$2:$A$20000,Donasi!$B$2:$B$20000,A3143))</f>
        <v/>
      </c>
      <c r="C3143">
        <f>IF(A3143="","",COUNTIF(Donasi!$B$2:$B$20000,A3143))</f>
        <v/>
      </c>
      <c r="D3143">
        <f>IF(A3143="","",SUMIF(Donasi!$B$2:$B$20000,A3143,Donasi!$C$2:$C$20000))</f>
        <v/>
      </c>
      <c r="E3143">
        <f>IF(A3143="","",6-CEILING(PERCENTRANK.INC($B$3:$B$6000,B3143,4)*5+0.000001,1))</f>
        <v/>
      </c>
      <c r="F3143">
        <f>IF(A3143="","",MAX(1,CEILING(PERCENTRANK.INC($C$3:$C$6000,C3143,4)*5+0.000001,1)))</f>
        <v/>
      </c>
      <c r="G3143">
        <f>IF(A3143="","",MAX(1,CEILING(PERCENTRANK.INC($D$3:$D$6000,D3143,4)*5+0.000001,1)))</f>
        <v/>
      </c>
      <c r="H3143">
        <f>IF(A3143="","",E3143&amp;F3143&amp;G3143)</f>
        <v/>
      </c>
      <c r="I3143">
        <f>IF(A3143="","",IF(AND(E3143&gt;=4,F3143&gt;=4,G3143&gt;=4),"Juara",IF(AND(F3143&gt;=4,E3143&gt;=3),"Setia",IF(AND(E3143=5,F3143&lt;=2,G3143&gt;=3),"Berpotensi",IF(AND(E3143&lt;=3,E3143&gt;=2,F3143&gt;=3),"Rawan",IF(AND(E3143&lt;=2,F3143&lt;=2),"Tidur","Umum"))))))</f>
        <v/>
      </c>
    </row>
    <row r="3144">
      <c r="B3144">
        <f>IF(A3144="","",$B$1-MAXIFS(Donasi!$A$2:$A$20000,Donasi!$B$2:$B$20000,A3144))</f>
        <v/>
      </c>
      <c r="C3144">
        <f>IF(A3144="","",COUNTIF(Donasi!$B$2:$B$20000,A3144))</f>
        <v/>
      </c>
      <c r="D3144">
        <f>IF(A3144="","",SUMIF(Donasi!$B$2:$B$20000,A3144,Donasi!$C$2:$C$20000))</f>
        <v/>
      </c>
      <c r="E3144">
        <f>IF(A3144="","",6-CEILING(PERCENTRANK.INC($B$3:$B$6000,B3144,4)*5+0.000001,1))</f>
        <v/>
      </c>
      <c r="F3144">
        <f>IF(A3144="","",MAX(1,CEILING(PERCENTRANK.INC($C$3:$C$6000,C3144,4)*5+0.000001,1)))</f>
        <v/>
      </c>
      <c r="G3144">
        <f>IF(A3144="","",MAX(1,CEILING(PERCENTRANK.INC($D$3:$D$6000,D3144,4)*5+0.000001,1)))</f>
        <v/>
      </c>
      <c r="H3144">
        <f>IF(A3144="","",E3144&amp;F3144&amp;G3144)</f>
        <v/>
      </c>
      <c r="I3144">
        <f>IF(A3144="","",IF(AND(E3144&gt;=4,F3144&gt;=4,G3144&gt;=4),"Juara",IF(AND(F3144&gt;=4,E3144&gt;=3),"Setia",IF(AND(E3144=5,F3144&lt;=2,G3144&gt;=3),"Berpotensi",IF(AND(E3144&lt;=3,E3144&gt;=2,F3144&gt;=3),"Rawan",IF(AND(E3144&lt;=2,F3144&lt;=2),"Tidur","Umum"))))))</f>
        <v/>
      </c>
    </row>
    <row r="3145">
      <c r="B3145">
        <f>IF(A3145="","",$B$1-MAXIFS(Donasi!$A$2:$A$20000,Donasi!$B$2:$B$20000,A3145))</f>
        <v/>
      </c>
      <c r="C3145">
        <f>IF(A3145="","",COUNTIF(Donasi!$B$2:$B$20000,A3145))</f>
        <v/>
      </c>
      <c r="D3145">
        <f>IF(A3145="","",SUMIF(Donasi!$B$2:$B$20000,A3145,Donasi!$C$2:$C$20000))</f>
        <v/>
      </c>
      <c r="E3145">
        <f>IF(A3145="","",6-CEILING(PERCENTRANK.INC($B$3:$B$6000,B3145,4)*5+0.000001,1))</f>
        <v/>
      </c>
      <c r="F3145">
        <f>IF(A3145="","",MAX(1,CEILING(PERCENTRANK.INC($C$3:$C$6000,C3145,4)*5+0.000001,1)))</f>
        <v/>
      </c>
      <c r="G3145">
        <f>IF(A3145="","",MAX(1,CEILING(PERCENTRANK.INC($D$3:$D$6000,D3145,4)*5+0.000001,1)))</f>
        <v/>
      </c>
      <c r="H3145">
        <f>IF(A3145="","",E3145&amp;F3145&amp;G3145)</f>
        <v/>
      </c>
      <c r="I3145">
        <f>IF(A3145="","",IF(AND(E3145&gt;=4,F3145&gt;=4,G3145&gt;=4),"Juara",IF(AND(F3145&gt;=4,E3145&gt;=3),"Setia",IF(AND(E3145=5,F3145&lt;=2,G3145&gt;=3),"Berpotensi",IF(AND(E3145&lt;=3,E3145&gt;=2,F3145&gt;=3),"Rawan",IF(AND(E3145&lt;=2,F3145&lt;=2),"Tidur","Umum"))))))</f>
        <v/>
      </c>
    </row>
    <row r="3146">
      <c r="B3146">
        <f>IF(A3146="","",$B$1-MAXIFS(Donasi!$A$2:$A$20000,Donasi!$B$2:$B$20000,A3146))</f>
        <v/>
      </c>
      <c r="C3146">
        <f>IF(A3146="","",COUNTIF(Donasi!$B$2:$B$20000,A3146))</f>
        <v/>
      </c>
      <c r="D3146">
        <f>IF(A3146="","",SUMIF(Donasi!$B$2:$B$20000,A3146,Donasi!$C$2:$C$20000))</f>
        <v/>
      </c>
      <c r="E3146">
        <f>IF(A3146="","",6-CEILING(PERCENTRANK.INC($B$3:$B$6000,B3146,4)*5+0.000001,1))</f>
        <v/>
      </c>
      <c r="F3146">
        <f>IF(A3146="","",MAX(1,CEILING(PERCENTRANK.INC($C$3:$C$6000,C3146,4)*5+0.000001,1)))</f>
        <v/>
      </c>
      <c r="G3146">
        <f>IF(A3146="","",MAX(1,CEILING(PERCENTRANK.INC($D$3:$D$6000,D3146,4)*5+0.000001,1)))</f>
        <v/>
      </c>
      <c r="H3146">
        <f>IF(A3146="","",E3146&amp;F3146&amp;G3146)</f>
        <v/>
      </c>
      <c r="I3146">
        <f>IF(A3146="","",IF(AND(E3146&gt;=4,F3146&gt;=4,G3146&gt;=4),"Juara",IF(AND(F3146&gt;=4,E3146&gt;=3),"Setia",IF(AND(E3146=5,F3146&lt;=2,G3146&gt;=3),"Berpotensi",IF(AND(E3146&lt;=3,E3146&gt;=2,F3146&gt;=3),"Rawan",IF(AND(E3146&lt;=2,F3146&lt;=2),"Tidur","Umum"))))))</f>
        <v/>
      </c>
    </row>
    <row r="3147">
      <c r="B3147">
        <f>IF(A3147="","",$B$1-MAXIFS(Donasi!$A$2:$A$20000,Donasi!$B$2:$B$20000,A3147))</f>
        <v/>
      </c>
      <c r="C3147">
        <f>IF(A3147="","",COUNTIF(Donasi!$B$2:$B$20000,A3147))</f>
        <v/>
      </c>
      <c r="D3147">
        <f>IF(A3147="","",SUMIF(Donasi!$B$2:$B$20000,A3147,Donasi!$C$2:$C$20000))</f>
        <v/>
      </c>
      <c r="E3147">
        <f>IF(A3147="","",6-CEILING(PERCENTRANK.INC($B$3:$B$6000,B3147,4)*5+0.000001,1))</f>
        <v/>
      </c>
      <c r="F3147">
        <f>IF(A3147="","",MAX(1,CEILING(PERCENTRANK.INC($C$3:$C$6000,C3147,4)*5+0.000001,1)))</f>
        <v/>
      </c>
      <c r="G3147">
        <f>IF(A3147="","",MAX(1,CEILING(PERCENTRANK.INC($D$3:$D$6000,D3147,4)*5+0.000001,1)))</f>
        <v/>
      </c>
      <c r="H3147">
        <f>IF(A3147="","",E3147&amp;F3147&amp;G3147)</f>
        <v/>
      </c>
      <c r="I3147">
        <f>IF(A3147="","",IF(AND(E3147&gt;=4,F3147&gt;=4,G3147&gt;=4),"Juara",IF(AND(F3147&gt;=4,E3147&gt;=3),"Setia",IF(AND(E3147=5,F3147&lt;=2,G3147&gt;=3),"Berpotensi",IF(AND(E3147&lt;=3,E3147&gt;=2,F3147&gt;=3),"Rawan",IF(AND(E3147&lt;=2,F3147&lt;=2),"Tidur","Umum"))))))</f>
        <v/>
      </c>
    </row>
    <row r="3148">
      <c r="B3148">
        <f>IF(A3148="","",$B$1-MAXIFS(Donasi!$A$2:$A$20000,Donasi!$B$2:$B$20000,A3148))</f>
        <v/>
      </c>
      <c r="C3148">
        <f>IF(A3148="","",COUNTIF(Donasi!$B$2:$B$20000,A3148))</f>
        <v/>
      </c>
      <c r="D3148">
        <f>IF(A3148="","",SUMIF(Donasi!$B$2:$B$20000,A3148,Donasi!$C$2:$C$20000))</f>
        <v/>
      </c>
      <c r="E3148">
        <f>IF(A3148="","",6-CEILING(PERCENTRANK.INC($B$3:$B$6000,B3148,4)*5+0.000001,1))</f>
        <v/>
      </c>
      <c r="F3148">
        <f>IF(A3148="","",MAX(1,CEILING(PERCENTRANK.INC($C$3:$C$6000,C3148,4)*5+0.000001,1)))</f>
        <v/>
      </c>
      <c r="G3148">
        <f>IF(A3148="","",MAX(1,CEILING(PERCENTRANK.INC($D$3:$D$6000,D3148,4)*5+0.000001,1)))</f>
        <v/>
      </c>
      <c r="H3148">
        <f>IF(A3148="","",E3148&amp;F3148&amp;G3148)</f>
        <v/>
      </c>
      <c r="I3148">
        <f>IF(A3148="","",IF(AND(E3148&gt;=4,F3148&gt;=4,G3148&gt;=4),"Juara",IF(AND(F3148&gt;=4,E3148&gt;=3),"Setia",IF(AND(E3148=5,F3148&lt;=2,G3148&gt;=3),"Berpotensi",IF(AND(E3148&lt;=3,E3148&gt;=2,F3148&gt;=3),"Rawan",IF(AND(E3148&lt;=2,F3148&lt;=2),"Tidur","Umum"))))))</f>
        <v/>
      </c>
    </row>
    <row r="3149">
      <c r="B3149">
        <f>IF(A3149="","",$B$1-MAXIFS(Donasi!$A$2:$A$20000,Donasi!$B$2:$B$20000,A3149))</f>
        <v/>
      </c>
      <c r="C3149">
        <f>IF(A3149="","",COUNTIF(Donasi!$B$2:$B$20000,A3149))</f>
        <v/>
      </c>
      <c r="D3149">
        <f>IF(A3149="","",SUMIF(Donasi!$B$2:$B$20000,A3149,Donasi!$C$2:$C$20000))</f>
        <v/>
      </c>
      <c r="E3149">
        <f>IF(A3149="","",6-CEILING(PERCENTRANK.INC($B$3:$B$6000,B3149,4)*5+0.000001,1))</f>
        <v/>
      </c>
      <c r="F3149">
        <f>IF(A3149="","",MAX(1,CEILING(PERCENTRANK.INC($C$3:$C$6000,C3149,4)*5+0.000001,1)))</f>
        <v/>
      </c>
      <c r="G3149">
        <f>IF(A3149="","",MAX(1,CEILING(PERCENTRANK.INC($D$3:$D$6000,D3149,4)*5+0.000001,1)))</f>
        <v/>
      </c>
      <c r="H3149">
        <f>IF(A3149="","",E3149&amp;F3149&amp;G3149)</f>
        <v/>
      </c>
      <c r="I3149">
        <f>IF(A3149="","",IF(AND(E3149&gt;=4,F3149&gt;=4,G3149&gt;=4),"Juara",IF(AND(F3149&gt;=4,E3149&gt;=3),"Setia",IF(AND(E3149=5,F3149&lt;=2,G3149&gt;=3),"Berpotensi",IF(AND(E3149&lt;=3,E3149&gt;=2,F3149&gt;=3),"Rawan",IF(AND(E3149&lt;=2,F3149&lt;=2),"Tidur","Umum"))))))</f>
        <v/>
      </c>
    </row>
    <row r="3150">
      <c r="B3150">
        <f>IF(A3150="","",$B$1-MAXIFS(Donasi!$A$2:$A$20000,Donasi!$B$2:$B$20000,A3150))</f>
        <v/>
      </c>
      <c r="C3150">
        <f>IF(A3150="","",COUNTIF(Donasi!$B$2:$B$20000,A3150))</f>
        <v/>
      </c>
      <c r="D3150">
        <f>IF(A3150="","",SUMIF(Donasi!$B$2:$B$20000,A3150,Donasi!$C$2:$C$20000))</f>
        <v/>
      </c>
      <c r="E3150">
        <f>IF(A3150="","",6-CEILING(PERCENTRANK.INC($B$3:$B$6000,B3150,4)*5+0.000001,1))</f>
        <v/>
      </c>
      <c r="F3150">
        <f>IF(A3150="","",MAX(1,CEILING(PERCENTRANK.INC($C$3:$C$6000,C3150,4)*5+0.000001,1)))</f>
        <v/>
      </c>
      <c r="G3150">
        <f>IF(A3150="","",MAX(1,CEILING(PERCENTRANK.INC($D$3:$D$6000,D3150,4)*5+0.000001,1)))</f>
        <v/>
      </c>
      <c r="H3150">
        <f>IF(A3150="","",E3150&amp;F3150&amp;G3150)</f>
        <v/>
      </c>
      <c r="I3150">
        <f>IF(A3150="","",IF(AND(E3150&gt;=4,F3150&gt;=4,G3150&gt;=4),"Juara",IF(AND(F3150&gt;=4,E3150&gt;=3),"Setia",IF(AND(E3150=5,F3150&lt;=2,G3150&gt;=3),"Berpotensi",IF(AND(E3150&lt;=3,E3150&gt;=2,F3150&gt;=3),"Rawan",IF(AND(E3150&lt;=2,F3150&lt;=2),"Tidur","Umum"))))))</f>
        <v/>
      </c>
    </row>
    <row r="3151">
      <c r="B3151">
        <f>IF(A3151="","",$B$1-MAXIFS(Donasi!$A$2:$A$20000,Donasi!$B$2:$B$20000,A3151))</f>
        <v/>
      </c>
      <c r="C3151">
        <f>IF(A3151="","",COUNTIF(Donasi!$B$2:$B$20000,A3151))</f>
        <v/>
      </c>
      <c r="D3151">
        <f>IF(A3151="","",SUMIF(Donasi!$B$2:$B$20000,A3151,Donasi!$C$2:$C$20000))</f>
        <v/>
      </c>
      <c r="E3151">
        <f>IF(A3151="","",6-CEILING(PERCENTRANK.INC($B$3:$B$6000,B3151,4)*5+0.000001,1))</f>
        <v/>
      </c>
      <c r="F3151">
        <f>IF(A3151="","",MAX(1,CEILING(PERCENTRANK.INC($C$3:$C$6000,C3151,4)*5+0.000001,1)))</f>
        <v/>
      </c>
      <c r="G3151">
        <f>IF(A3151="","",MAX(1,CEILING(PERCENTRANK.INC($D$3:$D$6000,D3151,4)*5+0.000001,1)))</f>
        <v/>
      </c>
      <c r="H3151">
        <f>IF(A3151="","",E3151&amp;F3151&amp;G3151)</f>
        <v/>
      </c>
      <c r="I3151">
        <f>IF(A3151="","",IF(AND(E3151&gt;=4,F3151&gt;=4,G3151&gt;=4),"Juara",IF(AND(F3151&gt;=4,E3151&gt;=3),"Setia",IF(AND(E3151=5,F3151&lt;=2,G3151&gt;=3),"Berpotensi",IF(AND(E3151&lt;=3,E3151&gt;=2,F3151&gt;=3),"Rawan",IF(AND(E3151&lt;=2,F3151&lt;=2),"Tidur","Umum"))))))</f>
        <v/>
      </c>
    </row>
    <row r="3152">
      <c r="B3152">
        <f>IF(A3152="","",$B$1-MAXIFS(Donasi!$A$2:$A$20000,Donasi!$B$2:$B$20000,A3152))</f>
        <v/>
      </c>
      <c r="C3152">
        <f>IF(A3152="","",COUNTIF(Donasi!$B$2:$B$20000,A3152))</f>
        <v/>
      </c>
      <c r="D3152">
        <f>IF(A3152="","",SUMIF(Donasi!$B$2:$B$20000,A3152,Donasi!$C$2:$C$20000))</f>
        <v/>
      </c>
      <c r="E3152">
        <f>IF(A3152="","",6-CEILING(PERCENTRANK.INC($B$3:$B$6000,B3152,4)*5+0.000001,1))</f>
        <v/>
      </c>
      <c r="F3152">
        <f>IF(A3152="","",MAX(1,CEILING(PERCENTRANK.INC($C$3:$C$6000,C3152,4)*5+0.000001,1)))</f>
        <v/>
      </c>
      <c r="G3152">
        <f>IF(A3152="","",MAX(1,CEILING(PERCENTRANK.INC($D$3:$D$6000,D3152,4)*5+0.000001,1)))</f>
        <v/>
      </c>
      <c r="H3152">
        <f>IF(A3152="","",E3152&amp;F3152&amp;G3152)</f>
        <v/>
      </c>
      <c r="I3152">
        <f>IF(A3152="","",IF(AND(E3152&gt;=4,F3152&gt;=4,G3152&gt;=4),"Juara",IF(AND(F3152&gt;=4,E3152&gt;=3),"Setia",IF(AND(E3152=5,F3152&lt;=2,G3152&gt;=3),"Berpotensi",IF(AND(E3152&lt;=3,E3152&gt;=2,F3152&gt;=3),"Rawan",IF(AND(E3152&lt;=2,F3152&lt;=2),"Tidur","Umum"))))))</f>
        <v/>
      </c>
    </row>
    <row r="3153">
      <c r="B3153">
        <f>IF(A3153="","",$B$1-MAXIFS(Donasi!$A$2:$A$20000,Donasi!$B$2:$B$20000,A3153))</f>
        <v/>
      </c>
      <c r="C3153">
        <f>IF(A3153="","",COUNTIF(Donasi!$B$2:$B$20000,A3153))</f>
        <v/>
      </c>
      <c r="D3153">
        <f>IF(A3153="","",SUMIF(Donasi!$B$2:$B$20000,A3153,Donasi!$C$2:$C$20000))</f>
        <v/>
      </c>
      <c r="E3153">
        <f>IF(A3153="","",6-CEILING(PERCENTRANK.INC($B$3:$B$6000,B3153,4)*5+0.000001,1))</f>
        <v/>
      </c>
      <c r="F3153">
        <f>IF(A3153="","",MAX(1,CEILING(PERCENTRANK.INC($C$3:$C$6000,C3153,4)*5+0.000001,1)))</f>
        <v/>
      </c>
      <c r="G3153">
        <f>IF(A3153="","",MAX(1,CEILING(PERCENTRANK.INC($D$3:$D$6000,D3153,4)*5+0.000001,1)))</f>
        <v/>
      </c>
      <c r="H3153">
        <f>IF(A3153="","",E3153&amp;F3153&amp;G3153)</f>
        <v/>
      </c>
      <c r="I3153">
        <f>IF(A3153="","",IF(AND(E3153&gt;=4,F3153&gt;=4,G3153&gt;=4),"Juara",IF(AND(F3153&gt;=4,E3153&gt;=3),"Setia",IF(AND(E3153=5,F3153&lt;=2,G3153&gt;=3),"Berpotensi",IF(AND(E3153&lt;=3,E3153&gt;=2,F3153&gt;=3),"Rawan",IF(AND(E3153&lt;=2,F3153&lt;=2),"Tidur","Umum"))))))</f>
        <v/>
      </c>
    </row>
    <row r="3154">
      <c r="B3154">
        <f>IF(A3154="","",$B$1-MAXIFS(Donasi!$A$2:$A$20000,Donasi!$B$2:$B$20000,A3154))</f>
        <v/>
      </c>
      <c r="C3154">
        <f>IF(A3154="","",COUNTIF(Donasi!$B$2:$B$20000,A3154))</f>
        <v/>
      </c>
      <c r="D3154">
        <f>IF(A3154="","",SUMIF(Donasi!$B$2:$B$20000,A3154,Donasi!$C$2:$C$20000))</f>
        <v/>
      </c>
      <c r="E3154">
        <f>IF(A3154="","",6-CEILING(PERCENTRANK.INC($B$3:$B$6000,B3154,4)*5+0.000001,1))</f>
        <v/>
      </c>
      <c r="F3154">
        <f>IF(A3154="","",MAX(1,CEILING(PERCENTRANK.INC($C$3:$C$6000,C3154,4)*5+0.000001,1)))</f>
        <v/>
      </c>
      <c r="G3154">
        <f>IF(A3154="","",MAX(1,CEILING(PERCENTRANK.INC($D$3:$D$6000,D3154,4)*5+0.000001,1)))</f>
        <v/>
      </c>
      <c r="H3154">
        <f>IF(A3154="","",E3154&amp;F3154&amp;G3154)</f>
        <v/>
      </c>
      <c r="I3154">
        <f>IF(A3154="","",IF(AND(E3154&gt;=4,F3154&gt;=4,G3154&gt;=4),"Juara",IF(AND(F3154&gt;=4,E3154&gt;=3),"Setia",IF(AND(E3154=5,F3154&lt;=2,G3154&gt;=3),"Berpotensi",IF(AND(E3154&lt;=3,E3154&gt;=2,F3154&gt;=3),"Rawan",IF(AND(E3154&lt;=2,F3154&lt;=2),"Tidur","Umum"))))))</f>
        <v/>
      </c>
    </row>
    <row r="3155">
      <c r="B3155">
        <f>IF(A3155="","",$B$1-MAXIFS(Donasi!$A$2:$A$20000,Donasi!$B$2:$B$20000,A3155))</f>
        <v/>
      </c>
      <c r="C3155">
        <f>IF(A3155="","",COUNTIF(Donasi!$B$2:$B$20000,A3155))</f>
        <v/>
      </c>
      <c r="D3155">
        <f>IF(A3155="","",SUMIF(Donasi!$B$2:$B$20000,A3155,Donasi!$C$2:$C$20000))</f>
        <v/>
      </c>
      <c r="E3155">
        <f>IF(A3155="","",6-CEILING(PERCENTRANK.INC($B$3:$B$6000,B3155,4)*5+0.000001,1))</f>
        <v/>
      </c>
      <c r="F3155">
        <f>IF(A3155="","",MAX(1,CEILING(PERCENTRANK.INC($C$3:$C$6000,C3155,4)*5+0.000001,1)))</f>
        <v/>
      </c>
      <c r="G3155">
        <f>IF(A3155="","",MAX(1,CEILING(PERCENTRANK.INC($D$3:$D$6000,D3155,4)*5+0.000001,1)))</f>
        <v/>
      </c>
      <c r="H3155">
        <f>IF(A3155="","",E3155&amp;F3155&amp;G3155)</f>
        <v/>
      </c>
      <c r="I3155">
        <f>IF(A3155="","",IF(AND(E3155&gt;=4,F3155&gt;=4,G3155&gt;=4),"Juara",IF(AND(F3155&gt;=4,E3155&gt;=3),"Setia",IF(AND(E3155=5,F3155&lt;=2,G3155&gt;=3),"Berpotensi",IF(AND(E3155&lt;=3,E3155&gt;=2,F3155&gt;=3),"Rawan",IF(AND(E3155&lt;=2,F3155&lt;=2),"Tidur","Umum"))))))</f>
        <v/>
      </c>
    </row>
    <row r="3156">
      <c r="B3156">
        <f>IF(A3156="","",$B$1-MAXIFS(Donasi!$A$2:$A$20000,Donasi!$B$2:$B$20000,A3156))</f>
        <v/>
      </c>
      <c r="C3156">
        <f>IF(A3156="","",COUNTIF(Donasi!$B$2:$B$20000,A3156))</f>
        <v/>
      </c>
      <c r="D3156">
        <f>IF(A3156="","",SUMIF(Donasi!$B$2:$B$20000,A3156,Donasi!$C$2:$C$20000))</f>
        <v/>
      </c>
      <c r="E3156">
        <f>IF(A3156="","",6-CEILING(PERCENTRANK.INC($B$3:$B$6000,B3156,4)*5+0.000001,1))</f>
        <v/>
      </c>
      <c r="F3156">
        <f>IF(A3156="","",MAX(1,CEILING(PERCENTRANK.INC($C$3:$C$6000,C3156,4)*5+0.000001,1)))</f>
        <v/>
      </c>
      <c r="G3156">
        <f>IF(A3156="","",MAX(1,CEILING(PERCENTRANK.INC($D$3:$D$6000,D3156,4)*5+0.000001,1)))</f>
        <v/>
      </c>
      <c r="H3156">
        <f>IF(A3156="","",E3156&amp;F3156&amp;G3156)</f>
        <v/>
      </c>
      <c r="I3156">
        <f>IF(A3156="","",IF(AND(E3156&gt;=4,F3156&gt;=4,G3156&gt;=4),"Juara",IF(AND(F3156&gt;=4,E3156&gt;=3),"Setia",IF(AND(E3156=5,F3156&lt;=2,G3156&gt;=3),"Berpotensi",IF(AND(E3156&lt;=3,E3156&gt;=2,F3156&gt;=3),"Rawan",IF(AND(E3156&lt;=2,F3156&lt;=2),"Tidur","Umum"))))))</f>
        <v/>
      </c>
    </row>
    <row r="3157">
      <c r="B3157">
        <f>IF(A3157="","",$B$1-MAXIFS(Donasi!$A$2:$A$20000,Donasi!$B$2:$B$20000,A3157))</f>
        <v/>
      </c>
      <c r="C3157">
        <f>IF(A3157="","",COUNTIF(Donasi!$B$2:$B$20000,A3157))</f>
        <v/>
      </c>
      <c r="D3157">
        <f>IF(A3157="","",SUMIF(Donasi!$B$2:$B$20000,A3157,Donasi!$C$2:$C$20000))</f>
        <v/>
      </c>
      <c r="E3157">
        <f>IF(A3157="","",6-CEILING(PERCENTRANK.INC($B$3:$B$6000,B3157,4)*5+0.000001,1))</f>
        <v/>
      </c>
      <c r="F3157">
        <f>IF(A3157="","",MAX(1,CEILING(PERCENTRANK.INC($C$3:$C$6000,C3157,4)*5+0.000001,1)))</f>
        <v/>
      </c>
      <c r="G3157">
        <f>IF(A3157="","",MAX(1,CEILING(PERCENTRANK.INC($D$3:$D$6000,D3157,4)*5+0.000001,1)))</f>
        <v/>
      </c>
      <c r="H3157">
        <f>IF(A3157="","",E3157&amp;F3157&amp;G3157)</f>
        <v/>
      </c>
      <c r="I3157">
        <f>IF(A3157="","",IF(AND(E3157&gt;=4,F3157&gt;=4,G3157&gt;=4),"Juara",IF(AND(F3157&gt;=4,E3157&gt;=3),"Setia",IF(AND(E3157=5,F3157&lt;=2,G3157&gt;=3),"Berpotensi",IF(AND(E3157&lt;=3,E3157&gt;=2,F3157&gt;=3),"Rawan",IF(AND(E3157&lt;=2,F3157&lt;=2),"Tidur","Umum"))))))</f>
        <v/>
      </c>
    </row>
    <row r="3158">
      <c r="B3158">
        <f>IF(A3158="","",$B$1-MAXIFS(Donasi!$A$2:$A$20000,Donasi!$B$2:$B$20000,A3158))</f>
        <v/>
      </c>
      <c r="C3158">
        <f>IF(A3158="","",COUNTIF(Donasi!$B$2:$B$20000,A3158))</f>
        <v/>
      </c>
      <c r="D3158">
        <f>IF(A3158="","",SUMIF(Donasi!$B$2:$B$20000,A3158,Donasi!$C$2:$C$20000))</f>
        <v/>
      </c>
      <c r="E3158">
        <f>IF(A3158="","",6-CEILING(PERCENTRANK.INC($B$3:$B$6000,B3158,4)*5+0.000001,1))</f>
        <v/>
      </c>
      <c r="F3158">
        <f>IF(A3158="","",MAX(1,CEILING(PERCENTRANK.INC($C$3:$C$6000,C3158,4)*5+0.000001,1)))</f>
        <v/>
      </c>
      <c r="G3158">
        <f>IF(A3158="","",MAX(1,CEILING(PERCENTRANK.INC($D$3:$D$6000,D3158,4)*5+0.000001,1)))</f>
        <v/>
      </c>
      <c r="H3158">
        <f>IF(A3158="","",E3158&amp;F3158&amp;G3158)</f>
        <v/>
      </c>
      <c r="I3158">
        <f>IF(A3158="","",IF(AND(E3158&gt;=4,F3158&gt;=4,G3158&gt;=4),"Juara",IF(AND(F3158&gt;=4,E3158&gt;=3),"Setia",IF(AND(E3158=5,F3158&lt;=2,G3158&gt;=3),"Berpotensi",IF(AND(E3158&lt;=3,E3158&gt;=2,F3158&gt;=3),"Rawan",IF(AND(E3158&lt;=2,F3158&lt;=2),"Tidur","Umum"))))))</f>
        <v/>
      </c>
    </row>
    <row r="3159">
      <c r="B3159">
        <f>IF(A3159="","",$B$1-MAXIFS(Donasi!$A$2:$A$20000,Donasi!$B$2:$B$20000,A3159))</f>
        <v/>
      </c>
      <c r="C3159">
        <f>IF(A3159="","",COUNTIF(Donasi!$B$2:$B$20000,A3159))</f>
        <v/>
      </c>
      <c r="D3159">
        <f>IF(A3159="","",SUMIF(Donasi!$B$2:$B$20000,A3159,Donasi!$C$2:$C$20000))</f>
        <v/>
      </c>
      <c r="E3159">
        <f>IF(A3159="","",6-CEILING(PERCENTRANK.INC($B$3:$B$6000,B3159,4)*5+0.000001,1))</f>
        <v/>
      </c>
      <c r="F3159">
        <f>IF(A3159="","",MAX(1,CEILING(PERCENTRANK.INC($C$3:$C$6000,C3159,4)*5+0.000001,1)))</f>
        <v/>
      </c>
      <c r="G3159">
        <f>IF(A3159="","",MAX(1,CEILING(PERCENTRANK.INC($D$3:$D$6000,D3159,4)*5+0.000001,1)))</f>
        <v/>
      </c>
      <c r="H3159">
        <f>IF(A3159="","",E3159&amp;F3159&amp;G3159)</f>
        <v/>
      </c>
      <c r="I3159">
        <f>IF(A3159="","",IF(AND(E3159&gt;=4,F3159&gt;=4,G3159&gt;=4),"Juara",IF(AND(F3159&gt;=4,E3159&gt;=3),"Setia",IF(AND(E3159=5,F3159&lt;=2,G3159&gt;=3),"Berpotensi",IF(AND(E3159&lt;=3,E3159&gt;=2,F3159&gt;=3),"Rawan",IF(AND(E3159&lt;=2,F3159&lt;=2),"Tidur","Umum"))))))</f>
        <v/>
      </c>
    </row>
    <row r="3160">
      <c r="B3160">
        <f>IF(A3160="","",$B$1-MAXIFS(Donasi!$A$2:$A$20000,Donasi!$B$2:$B$20000,A3160))</f>
        <v/>
      </c>
      <c r="C3160">
        <f>IF(A3160="","",COUNTIF(Donasi!$B$2:$B$20000,A3160))</f>
        <v/>
      </c>
      <c r="D3160">
        <f>IF(A3160="","",SUMIF(Donasi!$B$2:$B$20000,A3160,Donasi!$C$2:$C$20000))</f>
        <v/>
      </c>
      <c r="E3160">
        <f>IF(A3160="","",6-CEILING(PERCENTRANK.INC($B$3:$B$6000,B3160,4)*5+0.000001,1))</f>
        <v/>
      </c>
      <c r="F3160">
        <f>IF(A3160="","",MAX(1,CEILING(PERCENTRANK.INC($C$3:$C$6000,C3160,4)*5+0.000001,1)))</f>
        <v/>
      </c>
      <c r="G3160">
        <f>IF(A3160="","",MAX(1,CEILING(PERCENTRANK.INC($D$3:$D$6000,D3160,4)*5+0.000001,1)))</f>
        <v/>
      </c>
      <c r="H3160">
        <f>IF(A3160="","",E3160&amp;F3160&amp;G3160)</f>
        <v/>
      </c>
      <c r="I3160">
        <f>IF(A3160="","",IF(AND(E3160&gt;=4,F3160&gt;=4,G3160&gt;=4),"Juara",IF(AND(F3160&gt;=4,E3160&gt;=3),"Setia",IF(AND(E3160=5,F3160&lt;=2,G3160&gt;=3),"Berpotensi",IF(AND(E3160&lt;=3,E3160&gt;=2,F3160&gt;=3),"Rawan",IF(AND(E3160&lt;=2,F3160&lt;=2),"Tidur","Umum"))))))</f>
        <v/>
      </c>
    </row>
    <row r="3161">
      <c r="B3161">
        <f>IF(A3161="","",$B$1-MAXIFS(Donasi!$A$2:$A$20000,Donasi!$B$2:$B$20000,A3161))</f>
        <v/>
      </c>
      <c r="C3161">
        <f>IF(A3161="","",COUNTIF(Donasi!$B$2:$B$20000,A3161))</f>
        <v/>
      </c>
      <c r="D3161">
        <f>IF(A3161="","",SUMIF(Donasi!$B$2:$B$20000,A3161,Donasi!$C$2:$C$20000))</f>
        <v/>
      </c>
      <c r="E3161">
        <f>IF(A3161="","",6-CEILING(PERCENTRANK.INC($B$3:$B$6000,B3161,4)*5+0.000001,1))</f>
        <v/>
      </c>
      <c r="F3161">
        <f>IF(A3161="","",MAX(1,CEILING(PERCENTRANK.INC($C$3:$C$6000,C3161,4)*5+0.000001,1)))</f>
        <v/>
      </c>
      <c r="G3161">
        <f>IF(A3161="","",MAX(1,CEILING(PERCENTRANK.INC($D$3:$D$6000,D3161,4)*5+0.000001,1)))</f>
        <v/>
      </c>
      <c r="H3161">
        <f>IF(A3161="","",E3161&amp;F3161&amp;G3161)</f>
        <v/>
      </c>
      <c r="I3161">
        <f>IF(A3161="","",IF(AND(E3161&gt;=4,F3161&gt;=4,G3161&gt;=4),"Juara",IF(AND(F3161&gt;=4,E3161&gt;=3),"Setia",IF(AND(E3161=5,F3161&lt;=2,G3161&gt;=3),"Berpotensi",IF(AND(E3161&lt;=3,E3161&gt;=2,F3161&gt;=3),"Rawan",IF(AND(E3161&lt;=2,F3161&lt;=2),"Tidur","Umum"))))))</f>
        <v/>
      </c>
    </row>
    <row r="3162">
      <c r="B3162">
        <f>IF(A3162="","",$B$1-MAXIFS(Donasi!$A$2:$A$20000,Donasi!$B$2:$B$20000,A3162))</f>
        <v/>
      </c>
      <c r="C3162">
        <f>IF(A3162="","",COUNTIF(Donasi!$B$2:$B$20000,A3162))</f>
        <v/>
      </c>
      <c r="D3162">
        <f>IF(A3162="","",SUMIF(Donasi!$B$2:$B$20000,A3162,Donasi!$C$2:$C$20000))</f>
        <v/>
      </c>
      <c r="E3162">
        <f>IF(A3162="","",6-CEILING(PERCENTRANK.INC($B$3:$B$6000,B3162,4)*5+0.000001,1))</f>
        <v/>
      </c>
      <c r="F3162">
        <f>IF(A3162="","",MAX(1,CEILING(PERCENTRANK.INC($C$3:$C$6000,C3162,4)*5+0.000001,1)))</f>
        <v/>
      </c>
      <c r="G3162">
        <f>IF(A3162="","",MAX(1,CEILING(PERCENTRANK.INC($D$3:$D$6000,D3162,4)*5+0.000001,1)))</f>
        <v/>
      </c>
      <c r="H3162">
        <f>IF(A3162="","",E3162&amp;F3162&amp;G3162)</f>
        <v/>
      </c>
      <c r="I3162">
        <f>IF(A3162="","",IF(AND(E3162&gt;=4,F3162&gt;=4,G3162&gt;=4),"Juara",IF(AND(F3162&gt;=4,E3162&gt;=3),"Setia",IF(AND(E3162=5,F3162&lt;=2,G3162&gt;=3),"Berpotensi",IF(AND(E3162&lt;=3,E3162&gt;=2,F3162&gt;=3),"Rawan",IF(AND(E3162&lt;=2,F3162&lt;=2),"Tidur","Umum"))))))</f>
        <v/>
      </c>
    </row>
    <row r="3163">
      <c r="B3163">
        <f>IF(A3163="","",$B$1-MAXIFS(Donasi!$A$2:$A$20000,Donasi!$B$2:$B$20000,A3163))</f>
        <v/>
      </c>
      <c r="C3163">
        <f>IF(A3163="","",COUNTIF(Donasi!$B$2:$B$20000,A3163))</f>
        <v/>
      </c>
      <c r="D3163">
        <f>IF(A3163="","",SUMIF(Donasi!$B$2:$B$20000,A3163,Donasi!$C$2:$C$20000))</f>
        <v/>
      </c>
      <c r="E3163">
        <f>IF(A3163="","",6-CEILING(PERCENTRANK.INC($B$3:$B$6000,B3163,4)*5+0.000001,1))</f>
        <v/>
      </c>
      <c r="F3163">
        <f>IF(A3163="","",MAX(1,CEILING(PERCENTRANK.INC($C$3:$C$6000,C3163,4)*5+0.000001,1)))</f>
        <v/>
      </c>
      <c r="G3163">
        <f>IF(A3163="","",MAX(1,CEILING(PERCENTRANK.INC($D$3:$D$6000,D3163,4)*5+0.000001,1)))</f>
        <v/>
      </c>
      <c r="H3163">
        <f>IF(A3163="","",E3163&amp;F3163&amp;G3163)</f>
        <v/>
      </c>
      <c r="I3163">
        <f>IF(A3163="","",IF(AND(E3163&gt;=4,F3163&gt;=4,G3163&gt;=4),"Juara",IF(AND(F3163&gt;=4,E3163&gt;=3),"Setia",IF(AND(E3163=5,F3163&lt;=2,G3163&gt;=3),"Berpotensi",IF(AND(E3163&lt;=3,E3163&gt;=2,F3163&gt;=3),"Rawan",IF(AND(E3163&lt;=2,F3163&lt;=2),"Tidur","Umum"))))))</f>
        <v/>
      </c>
    </row>
    <row r="3164">
      <c r="B3164">
        <f>IF(A3164="","",$B$1-MAXIFS(Donasi!$A$2:$A$20000,Donasi!$B$2:$B$20000,A3164))</f>
        <v/>
      </c>
      <c r="C3164">
        <f>IF(A3164="","",COUNTIF(Donasi!$B$2:$B$20000,A3164))</f>
        <v/>
      </c>
      <c r="D3164">
        <f>IF(A3164="","",SUMIF(Donasi!$B$2:$B$20000,A3164,Donasi!$C$2:$C$20000))</f>
        <v/>
      </c>
      <c r="E3164">
        <f>IF(A3164="","",6-CEILING(PERCENTRANK.INC($B$3:$B$6000,B3164,4)*5+0.000001,1))</f>
        <v/>
      </c>
      <c r="F3164">
        <f>IF(A3164="","",MAX(1,CEILING(PERCENTRANK.INC($C$3:$C$6000,C3164,4)*5+0.000001,1)))</f>
        <v/>
      </c>
      <c r="G3164">
        <f>IF(A3164="","",MAX(1,CEILING(PERCENTRANK.INC($D$3:$D$6000,D3164,4)*5+0.000001,1)))</f>
        <v/>
      </c>
      <c r="H3164">
        <f>IF(A3164="","",E3164&amp;F3164&amp;G3164)</f>
        <v/>
      </c>
      <c r="I3164">
        <f>IF(A3164="","",IF(AND(E3164&gt;=4,F3164&gt;=4,G3164&gt;=4),"Juara",IF(AND(F3164&gt;=4,E3164&gt;=3),"Setia",IF(AND(E3164=5,F3164&lt;=2,G3164&gt;=3),"Berpotensi",IF(AND(E3164&lt;=3,E3164&gt;=2,F3164&gt;=3),"Rawan",IF(AND(E3164&lt;=2,F3164&lt;=2),"Tidur","Umum"))))))</f>
        <v/>
      </c>
    </row>
    <row r="3165">
      <c r="B3165">
        <f>IF(A3165="","",$B$1-MAXIFS(Donasi!$A$2:$A$20000,Donasi!$B$2:$B$20000,A3165))</f>
        <v/>
      </c>
      <c r="C3165">
        <f>IF(A3165="","",COUNTIF(Donasi!$B$2:$B$20000,A3165))</f>
        <v/>
      </c>
      <c r="D3165">
        <f>IF(A3165="","",SUMIF(Donasi!$B$2:$B$20000,A3165,Donasi!$C$2:$C$20000))</f>
        <v/>
      </c>
      <c r="E3165">
        <f>IF(A3165="","",6-CEILING(PERCENTRANK.INC($B$3:$B$6000,B3165,4)*5+0.000001,1))</f>
        <v/>
      </c>
      <c r="F3165">
        <f>IF(A3165="","",MAX(1,CEILING(PERCENTRANK.INC($C$3:$C$6000,C3165,4)*5+0.000001,1)))</f>
        <v/>
      </c>
      <c r="G3165">
        <f>IF(A3165="","",MAX(1,CEILING(PERCENTRANK.INC($D$3:$D$6000,D3165,4)*5+0.000001,1)))</f>
        <v/>
      </c>
      <c r="H3165">
        <f>IF(A3165="","",E3165&amp;F3165&amp;G3165)</f>
        <v/>
      </c>
      <c r="I3165">
        <f>IF(A3165="","",IF(AND(E3165&gt;=4,F3165&gt;=4,G3165&gt;=4),"Juara",IF(AND(F3165&gt;=4,E3165&gt;=3),"Setia",IF(AND(E3165=5,F3165&lt;=2,G3165&gt;=3),"Berpotensi",IF(AND(E3165&lt;=3,E3165&gt;=2,F3165&gt;=3),"Rawan",IF(AND(E3165&lt;=2,F3165&lt;=2),"Tidur","Umum"))))))</f>
        <v/>
      </c>
    </row>
    <row r="3166">
      <c r="B3166">
        <f>IF(A3166="","",$B$1-MAXIFS(Donasi!$A$2:$A$20000,Donasi!$B$2:$B$20000,A3166))</f>
        <v/>
      </c>
      <c r="C3166">
        <f>IF(A3166="","",COUNTIF(Donasi!$B$2:$B$20000,A3166))</f>
        <v/>
      </c>
      <c r="D3166">
        <f>IF(A3166="","",SUMIF(Donasi!$B$2:$B$20000,A3166,Donasi!$C$2:$C$20000))</f>
        <v/>
      </c>
      <c r="E3166">
        <f>IF(A3166="","",6-CEILING(PERCENTRANK.INC($B$3:$B$6000,B3166,4)*5+0.000001,1))</f>
        <v/>
      </c>
      <c r="F3166">
        <f>IF(A3166="","",MAX(1,CEILING(PERCENTRANK.INC($C$3:$C$6000,C3166,4)*5+0.000001,1)))</f>
        <v/>
      </c>
      <c r="G3166">
        <f>IF(A3166="","",MAX(1,CEILING(PERCENTRANK.INC($D$3:$D$6000,D3166,4)*5+0.000001,1)))</f>
        <v/>
      </c>
      <c r="H3166">
        <f>IF(A3166="","",E3166&amp;F3166&amp;G3166)</f>
        <v/>
      </c>
      <c r="I3166">
        <f>IF(A3166="","",IF(AND(E3166&gt;=4,F3166&gt;=4,G3166&gt;=4),"Juara",IF(AND(F3166&gt;=4,E3166&gt;=3),"Setia",IF(AND(E3166=5,F3166&lt;=2,G3166&gt;=3),"Berpotensi",IF(AND(E3166&lt;=3,E3166&gt;=2,F3166&gt;=3),"Rawan",IF(AND(E3166&lt;=2,F3166&lt;=2),"Tidur","Umum"))))))</f>
        <v/>
      </c>
    </row>
    <row r="3167">
      <c r="B3167">
        <f>IF(A3167="","",$B$1-MAXIFS(Donasi!$A$2:$A$20000,Donasi!$B$2:$B$20000,A3167))</f>
        <v/>
      </c>
      <c r="C3167">
        <f>IF(A3167="","",COUNTIF(Donasi!$B$2:$B$20000,A3167))</f>
        <v/>
      </c>
      <c r="D3167">
        <f>IF(A3167="","",SUMIF(Donasi!$B$2:$B$20000,A3167,Donasi!$C$2:$C$20000))</f>
        <v/>
      </c>
      <c r="E3167">
        <f>IF(A3167="","",6-CEILING(PERCENTRANK.INC($B$3:$B$6000,B3167,4)*5+0.000001,1))</f>
        <v/>
      </c>
      <c r="F3167">
        <f>IF(A3167="","",MAX(1,CEILING(PERCENTRANK.INC($C$3:$C$6000,C3167,4)*5+0.000001,1)))</f>
        <v/>
      </c>
      <c r="G3167">
        <f>IF(A3167="","",MAX(1,CEILING(PERCENTRANK.INC($D$3:$D$6000,D3167,4)*5+0.000001,1)))</f>
        <v/>
      </c>
      <c r="H3167">
        <f>IF(A3167="","",E3167&amp;F3167&amp;G3167)</f>
        <v/>
      </c>
      <c r="I3167">
        <f>IF(A3167="","",IF(AND(E3167&gt;=4,F3167&gt;=4,G3167&gt;=4),"Juara",IF(AND(F3167&gt;=4,E3167&gt;=3),"Setia",IF(AND(E3167=5,F3167&lt;=2,G3167&gt;=3),"Berpotensi",IF(AND(E3167&lt;=3,E3167&gt;=2,F3167&gt;=3),"Rawan",IF(AND(E3167&lt;=2,F3167&lt;=2),"Tidur","Umum"))))))</f>
        <v/>
      </c>
    </row>
    <row r="3168">
      <c r="B3168">
        <f>IF(A3168="","",$B$1-MAXIFS(Donasi!$A$2:$A$20000,Donasi!$B$2:$B$20000,A3168))</f>
        <v/>
      </c>
      <c r="C3168">
        <f>IF(A3168="","",COUNTIF(Donasi!$B$2:$B$20000,A3168))</f>
        <v/>
      </c>
      <c r="D3168">
        <f>IF(A3168="","",SUMIF(Donasi!$B$2:$B$20000,A3168,Donasi!$C$2:$C$20000))</f>
        <v/>
      </c>
      <c r="E3168">
        <f>IF(A3168="","",6-CEILING(PERCENTRANK.INC($B$3:$B$6000,B3168,4)*5+0.000001,1))</f>
        <v/>
      </c>
      <c r="F3168">
        <f>IF(A3168="","",MAX(1,CEILING(PERCENTRANK.INC($C$3:$C$6000,C3168,4)*5+0.000001,1)))</f>
        <v/>
      </c>
      <c r="G3168">
        <f>IF(A3168="","",MAX(1,CEILING(PERCENTRANK.INC($D$3:$D$6000,D3168,4)*5+0.000001,1)))</f>
        <v/>
      </c>
      <c r="H3168">
        <f>IF(A3168="","",E3168&amp;F3168&amp;G3168)</f>
        <v/>
      </c>
      <c r="I3168">
        <f>IF(A3168="","",IF(AND(E3168&gt;=4,F3168&gt;=4,G3168&gt;=4),"Juara",IF(AND(F3168&gt;=4,E3168&gt;=3),"Setia",IF(AND(E3168=5,F3168&lt;=2,G3168&gt;=3),"Berpotensi",IF(AND(E3168&lt;=3,E3168&gt;=2,F3168&gt;=3),"Rawan",IF(AND(E3168&lt;=2,F3168&lt;=2),"Tidur","Umum"))))))</f>
        <v/>
      </c>
    </row>
    <row r="3169">
      <c r="B3169">
        <f>IF(A3169="","",$B$1-MAXIFS(Donasi!$A$2:$A$20000,Donasi!$B$2:$B$20000,A3169))</f>
        <v/>
      </c>
      <c r="C3169">
        <f>IF(A3169="","",COUNTIF(Donasi!$B$2:$B$20000,A3169))</f>
        <v/>
      </c>
      <c r="D3169">
        <f>IF(A3169="","",SUMIF(Donasi!$B$2:$B$20000,A3169,Donasi!$C$2:$C$20000))</f>
        <v/>
      </c>
      <c r="E3169">
        <f>IF(A3169="","",6-CEILING(PERCENTRANK.INC($B$3:$B$6000,B3169,4)*5+0.000001,1))</f>
        <v/>
      </c>
      <c r="F3169">
        <f>IF(A3169="","",MAX(1,CEILING(PERCENTRANK.INC($C$3:$C$6000,C3169,4)*5+0.000001,1)))</f>
        <v/>
      </c>
      <c r="G3169">
        <f>IF(A3169="","",MAX(1,CEILING(PERCENTRANK.INC($D$3:$D$6000,D3169,4)*5+0.000001,1)))</f>
        <v/>
      </c>
      <c r="H3169">
        <f>IF(A3169="","",E3169&amp;F3169&amp;G3169)</f>
        <v/>
      </c>
      <c r="I3169">
        <f>IF(A3169="","",IF(AND(E3169&gt;=4,F3169&gt;=4,G3169&gt;=4),"Juara",IF(AND(F3169&gt;=4,E3169&gt;=3),"Setia",IF(AND(E3169=5,F3169&lt;=2,G3169&gt;=3),"Berpotensi",IF(AND(E3169&lt;=3,E3169&gt;=2,F3169&gt;=3),"Rawan",IF(AND(E3169&lt;=2,F3169&lt;=2),"Tidur","Umum"))))))</f>
        <v/>
      </c>
    </row>
    <row r="3170">
      <c r="B3170">
        <f>IF(A3170="","",$B$1-MAXIFS(Donasi!$A$2:$A$20000,Donasi!$B$2:$B$20000,A3170))</f>
        <v/>
      </c>
      <c r="C3170">
        <f>IF(A3170="","",COUNTIF(Donasi!$B$2:$B$20000,A3170))</f>
        <v/>
      </c>
      <c r="D3170">
        <f>IF(A3170="","",SUMIF(Donasi!$B$2:$B$20000,A3170,Donasi!$C$2:$C$20000))</f>
        <v/>
      </c>
      <c r="E3170">
        <f>IF(A3170="","",6-CEILING(PERCENTRANK.INC($B$3:$B$6000,B3170,4)*5+0.000001,1))</f>
        <v/>
      </c>
      <c r="F3170">
        <f>IF(A3170="","",MAX(1,CEILING(PERCENTRANK.INC($C$3:$C$6000,C3170,4)*5+0.000001,1)))</f>
        <v/>
      </c>
      <c r="G3170">
        <f>IF(A3170="","",MAX(1,CEILING(PERCENTRANK.INC($D$3:$D$6000,D3170,4)*5+0.000001,1)))</f>
        <v/>
      </c>
      <c r="H3170">
        <f>IF(A3170="","",E3170&amp;F3170&amp;G3170)</f>
        <v/>
      </c>
      <c r="I3170">
        <f>IF(A3170="","",IF(AND(E3170&gt;=4,F3170&gt;=4,G3170&gt;=4),"Juara",IF(AND(F3170&gt;=4,E3170&gt;=3),"Setia",IF(AND(E3170=5,F3170&lt;=2,G3170&gt;=3),"Berpotensi",IF(AND(E3170&lt;=3,E3170&gt;=2,F3170&gt;=3),"Rawan",IF(AND(E3170&lt;=2,F3170&lt;=2),"Tidur","Umum"))))))</f>
        <v/>
      </c>
    </row>
    <row r="3171">
      <c r="B3171">
        <f>IF(A3171="","",$B$1-MAXIFS(Donasi!$A$2:$A$20000,Donasi!$B$2:$B$20000,A3171))</f>
        <v/>
      </c>
      <c r="C3171">
        <f>IF(A3171="","",COUNTIF(Donasi!$B$2:$B$20000,A3171))</f>
        <v/>
      </c>
      <c r="D3171">
        <f>IF(A3171="","",SUMIF(Donasi!$B$2:$B$20000,A3171,Donasi!$C$2:$C$20000))</f>
        <v/>
      </c>
      <c r="E3171">
        <f>IF(A3171="","",6-CEILING(PERCENTRANK.INC($B$3:$B$6000,B3171,4)*5+0.000001,1))</f>
        <v/>
      </c>
      <c r="F3171">
        <f>IF(A3171="","",MAX(1,CEILING(PERCENTRANK.INC($C$3:$C$6000,C3171,4)*5+0.000001,1)))</f>
        <v/>
      </c>
      <c r="G3171">
        <f>IF(A3171="","",MAX(1,CEILING(PERCENTRANK.INC($D$3:$D$6000,D3171,4)*5+0.000001,1)))</f>
        <v/>
      </c>
      <c r="H3171">
        <f>IF(A3171="","",E3171&amp;F3171&amp;G3171)</f>
        <v/>
      </c>
      <c r="I3171">
        <f>IF(A3171="","",IF(AND(E3171&gt;=4,F3171&gt;=4,G3171&gt;=4),"Juara",IF(AND(F3171&gt;=4,E3171&gt;=3),"Setia",IF(AND(E3171=5,F3171&lt;=2,G3171&gt;=3),"Berpotensi",IF(AND(E3171&lt;=3,E3171&gt;=2,F3171&gt;=3),"Rawan",IF(AND(E3171&lt;=2,F3171&lt;=2),"Tidur","Umum"))))))</f>
        <v/>
      </c>
    </row>
    <row r="3172">
      <c r="B3172">
        <f>IF(A3172="","",$B$1-MAXIFS(Donasi!$A$2:$A$20000,Donasi!$B$2:$B$20000,A3172))</f>
        <v/>
      </c>
      <c r="C3172">
        <f>IF(A3172="","",COUNTIF(Donasi!$B$2:$B$20000,A3172))</f>
        <v/>
      </c>
      <c r="D3172">
        <f>IF(A3172="","",SUMIF(Donasi!$B$2:$B$20000,A3172,Donasi!$C$2:$C$20000))</f>
        <v/>
      </c>
      <c r="E3172">
        <f>IF(A3172="","",6-CEILING(PERCENTRANK.INC($B$3:$B$6000,B3172,4)*5+0.000001,1))</f>
        <v/>
      </c>
      <c r="F3172">
        <f>IF(A3172="","",MAX(1,CEILING(PERCENTRANK.INC($C$3:$C$6000,C3172,4)*5+0.000001,1)))</f>
        <v/>
      </c>
      <c r="G3172">
        <f>IF(A3172="","",MAX(1,CEILING(PERCENTRANK.INC($D$3:$D$6000,D3172,4)*5+0.000001,1)))</f>
        <v/>
      </c>
      <c r="H3172">
        <f>IF(A3172="","",E3172&amp;F3172&amp;G3172)</f>
        <v/>
      </c>
      <c r="I3172">
        <f>IF(A3172="","",IF(AND(E3172&gt;=4,F3172&gt;=4,G3172&gt;=4),"Juara",IF(AND(F3172&gt;=4,E3172&gt;=3),"Setia",IF(AND(E3172=5,F3172&lt;=2,G3172&gt;=3),"Berpotensi",IF(AND(E3172&lt;=3,E3172&gt;=2,F3172&gt;=3),"Rawan",IF(AND(E3172&lt;=2,F3172&lt;=2),"Tidur","Umum"))))))</f>
        <v/>
      </c>
    </row>
    <row r="3173">
      <c r="B3173">
        <f>IF(A3173="","",$B$1-MAXIFS(Donasi!$A$2:$A$20000,Donasi!$B$2:$B$20000,A3173))</f>
        <v/>
      </c>
      <c r="C3173">
        <f>IF(A3173="","",COUNTIF(Donasi!$B$2:$B$20000,A3173))</f>
        <v/>
      </c>
      <c r="D3173">
        <f>IF(A3173="","",SUMIF(Donasi!$B$2:$B$20000,A3173,Donasi!$C$2:$C$20000))</f>
        <v/>
      </c>
      <c r="E3173">
        <f>IF(A3173="","",6-CEILING(PERCENTRANK.INC($B$3:$B$6000,B3173,4)*5+0.000001,1))</f>
        <v/>
      </c>
      <c r="F3173">
        <f>IF(A3173="","",MAX(1,CEILING(PERCENTRANK.INC($C$3:$C$6000,C3173,4)*5+0.000001,1)))</f>
        <v/>
      </c>
      <c r="G3173">
        <f>IF(A3173="","",MAX(1,CEILING(PERCENTRANK.INC($D$3:$D$6000,D3173,4)*5+0.000001,1)))</f>
        <v/>
      </c>
      <c r="H3173">
        <f>IF(A3173="","",E3173&amp;F3173&amp;G3173)</f>
        <v/>
      </c>
      <c r="I3173">
        <f>IF(A3173="","",IF(AND(E3173&gt;=4,F3173&gt;=4,G3173&gt;=4),"Juara",IF(AND(F3173&gt;=4,E3173&gt;=3),"Setia",IF(AND(E3173=5,F3173&lt;=2,G3173&gt;=3),"Berpotensi",IF(AND(E3173&lt;=3,E3173&gt;=2,F3173&gt;=3),"Rawan",IF(AND(E3173&lt;=2,F3173&lt;=2),"Tidur","Umum"))))))</f>
        <v/>
      </c>
    </row>
    <row r="3174">
      <c r="B3174">
        <f>IF(A3174="","",$B$1-MAXIFS(Donasi!$A$2:$A$20000,Donasi!$B$2:$B$20000,A3174))</f>
        <v/>
      </c>
      <c r="C3174">
        <f>IF(A3174="","",COUNTIF(Donasi!$B$2:$B$20000,A3174))</f>
        <v/>
      </c>
      <c r="D3174">
        <f>IF(A3174="","",SUMIF(Donasi!$B$2:$B$20000,A3174,Donasi!$C$2:$C$20000))</f>
        <v/>
      </c>
      <c r="E3174">
        <f>IF(A3174="","",6-CEILING(PERCENTRANK.INC($B$3:$B$6000,B3174,4)*5+0.000001,1))</f>
        <v/>
      </c>
      <c r="F3174">
        <f>IF(A3174="","",MAX(1,CEILING(PERCENTRANK.INC($C$3:$C$6000,C3174,4)*5+0.000001,1)))</f>
        <v/>
      </c>
      <c r="G3174">
        <f>IF(A3174="","",MAX(1,CEILING(PERCENTRANK.INC($D$3:$D$6000,D3174,4)*5+0.000001,1)))</f>
        <v/>
      </c>
      <c r="H3174">
        <f>IF(A3174="","",E3174&amp;F3174&amp;G3174)</f>
        <v/>
      </c>
      <c r="I3174">
        <f>IF(A3174="","",IF(AND(E3174&gt;=4,F3174&gt;=4,G3174&gt;=4),"Juara",IF(AND(F3174&gt;=4,E3174&gt;=3),"Setia",IF(AND(E3174=5,F3174&lt;=2,G3174&gt;=3),"Berpotensi",IF(AND(E3174&lt;=3,E3174&gt;=2,F3174&gt;=3),"Rawan",IF(AND(E3174&lt;=2,F3174&lt;=2),"Tidur","Umum"))))))</f>
        <v/>
      </c>
    </row>
    <row r="3175">
      <c r="B3175">
        <f>IF(A3175="","",$B$1-MAXIFS(Donasi!$A$2:$A$20000,Donasi!$B$2:$B$20000,A3175))</f>
        <v/>
      </c>
      <c r="C3175">
        <f>IF(A3175="","",COUNTIF(Donasi!$B$2:$B$20000,A3175))</f>
        <v/>
      </c>
      <c r="D3175">
        <f>IF(A3175="","",SUMIF(Donasi!$B$2:$B$20000,A3175,Donasi!$C$2:$C$20000))</f>
        <v/>
      </c>
      <c r="E3175">
        <f>IF(A3175="","",6-CEILING(PERCENTRANK.INC($B$3:$B$6000,B3175,4)*5+0.000001,1))</f>
        <v/>
      </c>
      <c r="F3175">
        <f>IF(A3175="","",MAX(1,CEILING(PERCENTRANK.INC($C$3:$C$6000,C3175,4)*5+0.000001,1)))</f>
        <v/>
      </c>
      <c r="G3175">
        <f>IF(A3175="","",MAX(1,CEILING(PERCENTRANK.INC($D$3:$D$6000,D3175,4)*5+0.000001,1)))</f>
        <v/>
      </c>
      <c r="H3175">
        <f>IF(A3175="","",E3175&amp;F3175&amp;G3175)</f>
        <v/>
      </c>
      <c r="I3175">
        <f>IF(A3175="","",IF(AND(E3175&gt;=4,F3175&gt;=4,G3175&gt;=4),"Juara",IF(AND(F3175&gt;=4,E3175&gt;=3),"Setia",IF(AND(E3175=5,F3175&lt;=2,G3175&gt;=3),"Berpotensi",IF(AND(E3175&lt;=3,E3175&gt;=2,F3175&gt;=3),"Rawan",IF(AND(E3175&lt;=2,F3175&lt;=2),"Tidur","Umum"))))))</f>
        <v/>
      </c>
    </row>
    <row r="3176">
      <c r="B3176">
        <f>IF(A3176="","",$B$1-MAXIFS(Donasi!$A$2:$A$20000,Donasi!$B$2:$B$20000,A3176))</f>
        <v/>
      </c>
      <c r="C3176">
        <f>IF(A3176="","",COUNTIF(Donasi!$B$2:$B$20000,A3176))</f>
        <v/>
      </c>
      <c r="D3176">
        <f>IF(A3176="","",SUMIF(Donasi!$B$2:$B$20000,A3176,Donasi!$C$2:$C$20000))</f>
        <v/>
      </c>
      <c r="E3176">
        <f>IF(A3176="","",6-CEILING(PERCENTRANK.INC($B$3:$B$6000,B3176,4)*5+0.000001,1))</f>
        <v/>
      </c>
      <c r="F3176">
        <f>IF(A3176="","",MAX(1,CEILING(PERCENTRANK.INC($C$3:$C$6000,C3176,4)*5+0.000001,1)))</f>
        <v/>
      </c>
      <c r="G3176">
        <f>IF(A3176="","",MAX(1,CEILING(PERCENTRANK.INC($D$3:$D$6000,D3176,4)*5+0.000001,1)))</f>
        <v/>
      </c>
      <c r="H3176">
        <f>IF(A3176="","",E3176&amp;F3176&amp;G3176)</f>
        <v/>
      </c>
      <c r="I3176">
        <f>IF(A3176="","",IF(AND(E3176&gt;=4,F3176&gt;=4,G3176&gt;=4),"Juara",IF(AND(F3176&gt;=4,E3176&gt;=3),"Setia",IF(AND(E3176=5,F3176&lt;=2,G3176&gt;=3),"Berpotensi",IF(AND(E3176&lt;=3,E3176&gt;=2,F3176&gt;=3),"Rawan",IF(AND(E3176&lt;=2,F3176&lt;=2),"Tidur","Umum"))))))</f>
        <v/>
      </c>
    </row>
    <row r="3177">
      <c r="B3177">
        <f>IF(A3177="","",$B$1-MAXIFS(Donasi!$A$2:$A$20000,Donasi!$B$2:$B$20000,A3177))</f>
        <v/>
      </c>
      <c r="C3177">
        <f>IF(A3177="","",COUNTIF(Donasi!$B$2:$B$20000,A3177))</f>
        <v/>
      </c>
      <c r="D3177">
        <f>IF(A3177="","",SUMIF(Donasi!$B$2:$B$20000,A3177,Donasi!$C$2:$C$20000))</f>
        <v/>
      </c>
      <c r="E3177">
        <f>IF(A3177="","",6-CEILING(PERCENTRANK.INC($B$3:$B$6000,B3177,4)*5+0.000001,1))</f>
        <v/>
      </c>
      <c r="F3177">
        <f>IF(A3177="","",MAX(1,CEILING(PERCENTRANK.INC($C$3:$C$6000,C3177,4)*5+0.000001,1)))</f>
        <v/>
      </c>
      <c r="G3177">
        <f>IF(A3177="","",MAX(1,CEILING(PERCENTRANK.INC($D$3:$D$6000,D3177,4)*5+0.000001,1)))</f>
        <v/>
      </c>
      <c r="H3177">
        <f>IF(A3177="","",E3177&amp;F3177&amp;G3177)</f>
        <v/>
      </c>
      <c r="I3177">
        <f>IF(A3177="","",IF(AND(E3177&gt;=4,F3177&gt;=4,G3177&gt;=4),"Juara",IF(AND(F3177&gt;=4,E3177&gt;=3),"Setia",IF(AND(E3177=5,F3177&lt;=2,G3177&gt;=3),"Berpotensi",IF(AND(E3177&lt;=3,E3177&gt;=2,F3177&gt;=3),"Rawan",IF(AND(E3177&lt;=2,F3177&lt;=2),"Tidur","Umum"))))))</f>
        <v/>
      </c>
    </row>
    <row r="3178">
      <c r="B3178">
        <f>IF(A3178="","",$B$1-MAXIFS(Donasi!$A$2:$A$20000,Donasi!$B$2:$B$20000,A3178))</f>
        <v/>
      </c>
      <c r="C3178">
        <f>IF(A3178="","",COUNTIF(Donasi!$B$2:$B$20000,A3178))</f>
        <v/>
      </c>
      <c r="D3178">
        <f>IF(A3178="","",SUMIF(Donasi!$B$2:$B$20000,A3178,Donasi!$C$2:$C$20000))</f>
        <v/>
      </c>
      <c r="E3178">
        <f>IF(A3178="","",6-CEILING(PERCENTRANK.INC($B$3:$B$6000,B3178,4)*5+0.000001,1))</f>
        <v/>
      </c>
      <c r="F3178">
        <f>IF(A3178="","",MAX(1,CEILING(PERCENTRANK.INC($C$3:$C$6000,C3178,4)*5+0.000001,1)))</f>
        <v/>
      </c>
      <c r="G3178">
        <f>IF(A3178="","",MAX(1,CEILING(PERCENTRANK.INC($D$3:$D$6000,D3178,4)*5+0.000001,1)))</f>
        <v/>
      </c>
      <c r="H3178">
        <f>IF(A3178="","",E3178&amp;F3178&amp;G3178)</f>
        <v/>
      </c>
      <c r="I3178">
        <f>IF(A3178="","",IF(AND(E3178&gt;=4,F3178&gt;=4,G3178&gt;=4),"Juara",IF(AND(F3178&gt;=4,E3178&gt;=3),"Setia",IF(AND(E3178=5,F3178&lt;=2,G3178&gt;=3),"Berpotensi",IF(AND(E3178&lt;=3,E3178&gt;=2,F3178&gt;=3),"Rawan",IF(AND(E3178&lt;=2,F3178&lt;=2),"Tidur","Umum"))))))</f>
        <v/>
      </c>
    </row>
    <row r="3179">
      <c r="B3179">
        <f>IF(A3179="","",$B$1-MAXIFS(Donasi!$A$2:$A$20000,Donasi!$B$2:$B$20000,A3179))</f>
        <v/>
      </c>
      <c r="C3179">
        <f>IF(A3179="","",COUNTIF(Donasi!$B$2:$B$20000,A3179))</f>
        <v/>
      </c>
      <c r="D3179">
        <f>IF(A3179="","",SUMIF(Donasi!$B$2:$B$20000,A3179,Donasi!$C$2:$C$20000))</f>
        <v/>
      </c>
      <c r="E3179">
        <f>IF(A3179="","",6-CEILING(PERCENTRANK.INC($B$3:$B$6000,B3179,4)*5+0.000001,1))</f>
        <v/>
      </c>
      <c r="F3179">
        <f>IF(A3179="","",MAX(1,CEILING(PERCENTRANK.INC($C$3:$C$6000,C3179,4)*5+0.000001,1)))</f>
        <v/>
      </c>
      <c r="G3179">
        <f>IF(A3179="","",MAX(1,CEILING(PERCENTRANK.INC($D$3:$D$6000,D3179,4)*5+0.000001,1)))</f>
        <v/>
      </c>
      <c r="H3179">
        <f>IF(A3179="","",E3179&amp;F3179&amp;G3179)</f>
        <v/>
      </c>
      <c r="I3179">
        <f>IF(A3179="","",IF(AND(E3179&gt;=4,F3179&gt;=4,G3179&gt;=4),"Juara",IF(AND(F3179&gt;=4,E3179&gt;=3),"Setia",IF(AND(E3179=5,F3179&lt;=2,G3179&gt;=3),"Berpotensi",IF(AND(E3179&lt;=3,E3179&gt;=2,F3179&gt;=3),"Rawan",IF(AND(E3179&lt;=2,F3179&lt;=2),"Tidur","Umum"))))))</f>
        <v/>
      </c>
    </row>
    <row r="3180">
      <c r="B3180">
        <f>IF(A3180="","",$B$1-MAXIFS(Donasi!$A$2:$A$20000,Donasi!$B$2:$B$20000,A3180))</f>
        <v/>
      </c>
      <c r="C3180">
        <f>IF(A3180="","",COUNTIF(Donasi!$B$2:$B$20000,A3180))</f>
        <v/>
      </c>
      <c r="D3180">
        <f>IF(A3180="","",SUMIF(Donasi!$B$2:$B$20000,A3180,Donasi!$C$2:$C$20000))</f>
        <v/>
      </c>
      <c r="E3180">
        <f>IF(A3180="","",6-CEILING(PERCENTRANK.INC($B$3:$B$6000,B3180,4)*5+0.000001,1))</f>
        <v/>
      </c>
      <c r="F3180">
        <f>IF(A3180="","",MAX(1,CEILING(PERCENTRANK.INC($C$3:$C$6000,C3180,4)*5+0.000001,1)))</f>
        <v/>
      </c>
      <c r="G3180">
        <f>IF(A3180="","",MAX(1,CEILING(PERCENTRANK.INC($D$3:$D$6000,D3180,4)*5+0.000001,1)))</f>
        <v/>
      </c>
      <c r="H3180">
        <f>IF(A3180="","",E3180&amp;F3180&amp;G3180)</f>
        <v/>
      </c>
      <c r="I3180">
        <f>IF(A3180="","",IF(AND(E3180&gt;=4,F3180&gt;=4,G3180&gt;=4),"Juara",IF(AND(F3180&gt;=4,E3180&gt;=3),"Setia",IF(AND(E3180=5,F3180&lt;=2,G3180&gt;=3),"Berpotensi",IF(AND(E3180&lt;=3,E3180&gt;=2,F3180&gt;=3),"Rawan",IF(AND(E3180&lt;=2,F3180&lt;=2),"Tidur","Umum"))))))</f>
        <v/>
      </c>
    </row>
    <row r="3181">
      <c r="B3181">
        <f>IF(A3181="","",$B$1-MAXIFS(Donasi!$A$2:$A$20000,Donasi!$B$2:$B$20000,A3181))</f>
        <v/>
      </c>
      <c r="C3181">
        <f>IF(A3181="","",COUNTIF(Donasi!$B$2:$B$20000,A3181))</f>
        <v/>
      </c>
      <c r="D3181">
        <f>IF(A3181="","",SUMIF(Donasi!$B$2:$B$20000,A3181,Donasi!$C$2:$C$20000))</f>
        <v/>
      </c>
      <c r="E3181">
        <f>IF(A3181="","",6-CEILING(PERCENTRANK.INC($B$3:$B$6000,B3181,4)*5+0.000001,1))</f>
        <v/>
      </c>
      <c r="F3181">
        <f>IF(A3181="","",MAX(1,CEILING(PERCENTRANK.INC($C$3:$C$6000,C3181,4)*5+0.000001,1)))</f>
        <v/>
      </c>
      <c r="G3181">
        <f>IF(A3181="","",MAX(1,CEILING(PERCENTRANK.INC($D$3:$D$6000,D3181,4)*5+0.000001,1)))</f>
        <v/>
      </c>
      <c r="H3181">
        <f>IF(A3181="","",E3181&amp;F3181&amp;G3181)</f>
        <v/>
      </c>
      <c r="I3181">
        <f>IF(A3181="","",IF(AND(E3181&gt;=4,F3181&gt;=4,G3181&gt;=4),"Juara",IF(AND(F3181&gt;=4,E3181&gt;=3),"Setia",IF(AND(E3181=5,F3181&lt;=2,G3181&gt;=3),"Berpotensi",IF(AND(E3181&lt;=3,E3181&gt;=2,F3181&gt;=3),"Rawan",IF(AND(E3181&lt;=2,F3181&lt;=2),"Tidur","Umum"))))))</f>
        <v/>
      </c>
    </row>
    <row r="3182">
      <c r="B3182">
        <f>IF(A3182="","",$B$1-MAXIFS(Donasi!$A$2:$A$20000,Donasi!$B$2:$B$20000,A3182))</f>
        <v/>
      </c>
      <c r="C3182">
        <f>IF(A3182="","",COUNTIF(Donasi!$B$2:$B$20000,A3182))</f>
        <v/>
      </c>
      <c r="D3182">
        <f>IF(A3182="","",SUMIF(Donasi!$B$2:$B$20000,A3182,Donasi!$C$2:$C$20000))</f>
        <v/>
      </c>
      <c r="E3182">
        <f>IF(A3182="","",6-CEILING(PERCENTRANK.INC($B$3:$B$6000,B3182,4)*5+0.000001,1))</f>
        <v/>
      </c>
      <c r="F3182">
        <f>IF(A3182="","",MAX(1,CEILING(PERCENTRANK.INC($C$3:$C$6000,C3182,4)*5+0.000001,1)))</f>
        <v/>
      </c>
      <c r="G3182">
        <f>IF(A3182="","",MAX(1,CEILING(PERCENTRANK.INC($D$3:$D$6000,D3182,4)*5+0.000001,1)))</f>
        <v/>
      </c>
      <c r="H3182">
        <f>IF(A3182="","",E3182&amp;F3182&amp;G3182)</f>
        <v/>
      </c>
      <c r="I3182">
        <f>IF(A3182="","",IF(AND(E3182&gt;=4,F3182&gt;=4,G3182&gt;=4),"Juara",IF(AND(F3182&gt;=4,E3182&gt;=3),"Setia",IF(AND(E3182=5,F3182&lt;=2,G3182&gt;=3),"Berpotensi",IF(AND(E3182&lt;=3,E3182&gt;=2,F3182&gt;=3),"Rawan",IF(AND(E3182&lt;=2,F3182&lt;=2),"Tidur","Umum"))))))</f>
        <v/>
      </c>
    </row>
    <row r="3183">
      <c r="B3183">
        <f>IF(A3183="","",$B$1-MAXIFS(Donasi!$A$2:$A$20000,Donasi!$B$2:$B$20000,A3183))</f>
        <v/>
      </c>
      <c r="C3183">
        <f>IF(A3183="","",COUNTIF(Donasi!$B$2:$B$20000,A3183))</f>
        <v/>
      </c>
      <c r="D3183">
        <f>IF(A3183="","",SUMIF(Donasi!$B$2:$B$20000,A3183,Donasi!$C$2:$C$20000))</f>
        <v/>
      </c>
      <c r="E3183">
        <f>IF(A3183="","",6-CEILING(PERCENTRANK.INC($B$3:$B$6000,B3183,4)*5+0.000001,1))</f>
        <v/>
      </c>
      <c r="F3183">
        <f>IF(A3183="","",MAX(1,CEILING(PERCENTRANK.INC($C$3:$C$6000,C3183,4)*5+0.000001,1)))</f>
        <v/>
      </c>
      <c r="G3183">
        <f>IF(A3183="","",MAX(1,CEILING(PERCENTRANK.INC($D$3:$D$6000,D3183,4)*5+0.000001,1)))</f>
        <v/>
      </c>
      <c r="H3183">
        <f>IF(A3183="","",E3183&amp;F3183&amp;G3183)</f>
        <v/>
      </c>
      <c r="I3183">
        <f>IF(A3183="","",IF(AND(E3183&gt;=4,F3183&gt;=4,G3183&gt;=4),"Juara",IF(AND(F3183&gt;=4,E3183&gt;=3),"Setia",IF(AND(E3183=5,F3183&lt;=2,G3183&gt;=3),"Berpotensi",IF(AND(E3183&lt;=3,E3183&gt;=2,F3183&gt;=3),"Rawan",IF(AND(E3183&lt;=2,F3183&lt;=2),"Tidur","Umum"))))))</f>
        <v/>
      </c>
    </row>
    <row r="3184">
      <c r="B3184">
        <f>IF(A3184="","",$B$1-MAXIFS(Donasi!$A$2:$A$20000,Donasi!$B$2:$B$20000,A3184))</f>
        <v/>
      </c>
      <c r="C3184">
        <f>IF(A3184="","",COUNTIF(Donasi!$B$2:$B$20000,A3184))</f>
        <v/>
      </c>
      <c r="D3184">
        <f>IF(A3184="","",SUMIF(Donasi!$B$2:$B$20000,A3184,Donasi!$C$2:$C$20000))</f>
        <v/>
      </c>
      <c r="E3184">
        <f>IF(A3184="","",6-CEILING(PERCENTRANK.INC($B$3:$B$6000,B3184,4)*5+0.000001,1))</f>
        <v/>
      </c>
      <c r="F3184">
        <f>IF(A3184="","",MAX(1,CEILING(PERCENTRANK.INC($C$3:$C$6000,C3184,4)*5+0.000001,1)))</f>
        <v/>
      </c>
      <c r="G3184">
        <f>IF(A3184="","",MAX(1,CEILING(PERCENTRANK.INC($D$3:$D$6000,D3184,4)*5+0.000001,1)))</f>
        <v/>
      </c>
      <c r="H3184">
        <f>IF(A3184="","",E3184&amp;F3184&amp;G3184)</f>
        <v/>
      </c>
      <c r="I3184">
        <f>IF(A3184="","",IF(AND(E3184&gt;=4,F3184&gt;=4,G3184&gt;=4),"Juara",IF(AND(F3184&gt;=4,E3184&gt;=3),"Setia",IF(AND(E3184=5,F3184&lt;=2,G3184&gt;=3),"Berpotensi",IF(AND(E3184&lt;=3,E3184&gt;=2,F3184&gt;=3),"Rawan",IF(AND(E3184&lt;=2,F3184&lt;=2),"Tidur","Umum"))))))</f>
        <v/>
      </c>
    </row>
    <row r="3185">
      <c r="B3185">
        <f>IF(A3185="","",$B$1-MAXIFS(Donasi!$A$2:$A$20000,Donasi!$B$2:$B$20000,A3185))</f>
        <v/>
      </c>
      <c r="C3185">
        <f>IF(A3185="","",COUNTIF(Donasi!$B$2:$B$20000,A3185))</f>
        <v/>
      </c>
      <c r="D3185">
        <f>IF(A3185="","",SUMIF(Donasi!$B$2:$B$20000,A3185,Donasi!$C$2:$C$20000))</f>
        <v/>
      </c>
      <c r="E3185">
        <f>IF(A3185="","",6-CEILING(PERCENTRANK.INC($B$3:$B$6000,B3185,4)*5+0.000001,1))</f>
        <v/>
      </c>
      <c r="F3185">
        <f>IF(A3185="","",MAX(1,CEILING(PERCENTRANK.INC($C$3:$C$6000,C3185,4)*5+0.000001,1)))</f>
        <v/>
      </c>
      <c r="G3185">
        <f>IF(A3185="","",MAX(1,CEILING(PERCENTRANK.INC($D$3:$D$6000,D3185,4)*5+0.000001,1)))</f>
        <v/>
      </c>
      <c r="H3185">
        <f>IF(A3185="","",E3185&amp;F3185&amp;G3185)</f>
        <v/>
      </c>
      <c r="I3185">
        <f>IF(A3185="","",IF(AND(E3185&gt;=4,F3185&gt;=4,G3185&gt;=4),"Juara",IF(AND(F3185&gt;=4,E3185&gt;=3),"Setia",IF(AND(E3185=5,F3185&lt;=2,G3185&gt;=3),"Berpotensi",IF(AND(E3185&lt;=3,E3185&gt;=2,F3185&gt;=3),"Rawan",IF(AND(E3185&lt;=2,F3185&lt;=2),"Tidur","Umum"))))))</f>
        <v/>
      </c>
    </row>
    <row r="3186">
      <c r="B3186">
        <f>IF(A3186="","",$B$1-MAXIFS(Donasi!$A$2:$A$20000,Donasi!$B$2:$B$20000,A3186))</f>
        <v/>
      </c>
      <c r="C3186">
        <f>IF(A3186="","",COUNTIF(Donasi!$B$2:$B$20000,A3186))</f>
        <v/>
      </c>
      <c r="D3186">
        <f>IF(A3186="","",SUMIF(Donasi!$B$2:$B$20000,A3186,Donasi!$C$2:$C$20000))</f>
        <v/>
      </c>
      <c r="E3186">
        <f>IF(A3186="","",6-CEILING(PERCENTRANK.INC($B$3:$B$6000,B3186,4)*5+0.000001,1))</f>
        <v/>
      </c>
      <c r="F3186">
        <f>IF(A3186="","",MAX(1,CEILING(PERCENTRANK.INC($C$3:$C$6000,C3186,4)*5+0.000001,1)))</f>
        <v/>
      </c>
      <c r="G3186">
        <f>IF(A3186="","",MAX(1,CEILING(PERCENTRANK.INC($D$3:$D$6000,D3186,4)*5+0.000001,1)))</f>
        <v/>
      </c>
      <c r="H3186">
        <f>IF(A3186="","",E3186&amp;F3186&amp;G3186)</f>
        <v/>
      </c>
      <c r="I3186">
        <f>IF(A3186="","",IF(AND(E3186&gt;=4,F3186&gt;=4,G3186&gt;=4),"Juara",IF(AND(F3186&gt;=4,E3186&gt;=3),"Setia",IF(AND(E3186=5,F3186&lt;=2,G3186&gt;=3),"Berpotensi",IF(AND(E3186&lt;=3,E3186&gt;=2,F3186&gt;=3),"Rawan",IF(AND(E3186&lt;=2,F3186&lt;=2),"Tidur","Umum"))))))</f>
        <v/>
      </c>
    </row>
    <row r="3187">
      <c r="B3187">
        <f>IF(A3187="","",$B$1-MAXIFS(Donasi!$A$2:$A$20000,Donasi!$B$2:$B$20000,A3187))</f>
        <v/>
      </c>
      <c r="C3187">
        <f>IF(A3187="","",COUNTIF(Donasi!$B$2:$B$20000,A3187))</f>
        <v/>
      </c>
      <c r="D3187">
        <f>IF(A3187="","",SUMIF(Donasi!$B$2:$B$20000,A3187,Donasi!$C$2:$C$20000))</f>
        <v/>
      </c>
      <c r="E3187">
        <f>IF(A3187="","",6-CEILING(PERCENTRANK.INC($B$3:$B$6000,B3187,4)*5+0.000001,1))</f>
        <v/>
      </c>
      <c r="F3187">
        <f>IF(A3187="","",MAX(1,CEILING(PERCENTRANK.INC($C$3:$C$6000,C3187,4)*5+0.000001,1)))</f>
        <v/>
      </c>
      <c r="G3187">
        <f>IF(A3187="","",MAX(1,CEILING(PERCENTRANK.INC($D$3:$D$6000,D3187,4)*5+0.000001,1)))</f>
        <v/>
      </c>
      <c r="H3187">
        <f>IF(A3187="","",E3187&amp;F3187&amp;G3187)</f>
        <v/>
      </c>
      <c r="I3187">
        <f>IF(A3187="","",IF(AND(E3187&gt;=4,F3187&gt;=4,G3187&gt;=4),"Juara",IF(AND(F3187&gt;=4,E3187&gt;=3),"Setia",IF(AND(E3187=5,F3187&lt;=2,G3187&gt;=3),"Berpotensi",IF(AND(E3187&lt;=3,E3187&gt;=2,F3187&gt;=3),"Rawan",IF(AND(E3187&lt;=2,F3187&lt;=2),"Tidur","Umum"))))))</f>
        <v/>
      </c>
    </row>
    <row r="3188">
      <c r="B3188">
        <f>IF(A3188="","",$B$1-MAXIFS(Donasi!$A$2:$A$20000,Donasi!$B$2:$B$20000,A3188))</f>
        <v/>
      </c>
      <c r="C3188">
        <f>IF(A3188="","",COUNTIF(Donasi!$B$2:$B$20000,A3188))</f>
        <v/>
      </c>
      <c r="D3188">
        <f>IF(A3188="","",SUMIF(Donasi!$B$2:$B$20000,A3188,Donasi!$C$2:$C$20000))</f>
        <v/>
      </c>
      <c r="E3188">
        <f>IF(A3188="","",6-CEILING(PERCENTRANK.INC($B$3:$B$6000,B3188,4)*5+0.000001,1))</f>
        <v/>
      </c>
      <c r="F3188">
        <f>IF(A3188="","",MAX(1,CEILING(PERCENTRANK.INC($C$3:$C$6000,C3188,4)*5+0.000001,1)))</f>
        <v/>
      </c>
      <c r="G3188">
        <f>IF(A3188="","",MAX(1,CEILING(PERCENTRANK.INC($D$3:$D$6000,D3188,4)*5+0.000001,1)))</f>
        <v/>
      </c>
      <c r="H3188">
        <f>IF(A3188="","",E3188&amp;F3188&amp;G3188)</f>
        <v/>
      </c>
      <c r="I3188">
        <f>IF(A3188="","",IF(AND(E3188&gt;=4,F3188&gt;=4,G3188&gt;=4),"Juara",IF(AND(F3188&gt;=4,E3188&gt;=3),"Setia",IF(AND(E3188=5,F3188&lt;=2,G3188&gt;=3),"Berpotensi",IF(AND(E3188&lt;=3,E3188&gt;=2,F3188&gt;=3),"Rawan",IF(AND(E3188&lt;=2,F3188&lt;=2),"Tidur","Umum"))))))</f>
        <v/>
      </c>
    </row>
    <row r="3189">
      <c r="B3189">
        <f>IF(A3189="","",$B$1-MAXIFS(Donasi!$A$2:$A$20000,Donasi!$B$2:$B$20000,A3189))</f>
        <v/>
      </c>
      <c r="C3189">
        <f>IF(A3189="","",COUNTIF(Donasi!$B$2:$B$20000,A3189))</f>
        <v/>
      </c>
      <c r="D3189">
        <f>IF(A3189="","",SUMIF(Donasi!$B$2:$B$20000,A3189,Donasi!$C$2:$C$20000))</f>
        <v/>
      </c>
      <c r="E3189">
        <f>IF(A3189="","",6-CEILING(PERCENTRANK.INC($B$3:$B$6000,B3189,4)*5+0.000001,1))</f>
        <v/>
      </c>
      <c r="F3189">
        <f>IF(A3189="","",MAX(1,CEILING(PERCENTRANK.INC($C$3:$C$6000,C3189,4)*5+0.000001,1)))</f>
        <v/>
      </c>
      <c r="G3189">
        <f>IF(A3189="","",MAX(1,CEILING(PERCENTRANK.INC($D$3:$D$6000,D3189,4)*5+0.000001,1)))</f>
        <v/>
      </c>
      <c r="H3189">
        <f>IF(A3189="","",E3189&amp;F3189&amp;G3189)</f>
        <v/>
      </c>
      <c r="I3189">
        <f>IF(A3189="","",IF(AND(E3189&gt;=4,F3189&gt;=4,G3189&gt;=4),"Juara",IF(AND(F3189&gt;=4,E3189&gt;=3),"Setia",IF(AND(E3189=5,F3189&lt;=2,G3189&gt;=3),"Berpotensi",IF(AND(E3189&lt;=3,E3189&gt;=2,F3189&gt;=3),"Rawan",IF(AND(E3189&lt;=2,F3189&lt;=2),"Tidur","Umum"))))))</f>
        <v/>
      </c>
    </row>
    <row r="3190">
      <c r="B3190">
        <f>IF(A3190="","",$B$1-MAXIFS(Donasi!$A$2:$A$20000,Donasi!$B$2:$B$20000,A3190))</f>
        <v/>
      </c>
      <c r="C3190">
        <f>IF(A3190="","",COUNTIF(Donasi!$B$2:$B$20000,A3190))</f>
        <v/>
      </c>
      <c r="D3190">
        <f>IF(A3190="","",SUMIF(Donasi!$B$2:$B$20000,A3190,Donasi!$C$2:$C$20000))</f>
        <v/>
      </c>
      <c r="E3190">
        <f>IF(A3190="","",6-CEILING(PERCENTRANK.INC($B$3:$B$6000,B3190,4)*5+0.000001,1))</f>
        <v/>
      </c>
      <c r="F3190">
        <f>IF(A3190="","",MAX(1,CEILING(PERCENTRANK.INC($C$3:$C$6000,C3190,4)*5+0.000001,1)))</f>
        <v/>
      </c>
      <c r="G3190">
        <f>IF(A3190="","",MAX(1,CEILING(PERCENTRANK.INC($D$3:$D$6000,D3190,4)*5+0.000001,1)))</f>
        <v/>
      </c>
      <c r="H3190">
        <f>IF(A3190="","",E3190&amp;F3190&amp;G3190)</f>
        <v/>
      </c>
      <c r="I3190">
        <f>IF(A3190="","",IF(AND(E3190&gt;=4,F3190&gt;=4,G3190&gt;=4),"Juara",IF(AND(F3190&gt;=4,E3190&gt;=3),"Setia",IF(AND(E3190=5,F3190&lt;=2,G3190&gt;=3),"Berpotensi",IF(AND(E3190&lt;=3,E3190&gt;=2,F3190&gt;=3),"Rawan",IF(AND(E3190&lt;=2,F3190&lt;=2),"Tidur","Umum"))))))</f>
        <v/>
      </c>
    </row>
    <row r="3191">
      <c r="B3191">
        <f>IF(A3191="","",$B$1-MAXIFS(Donasi!$A$2:$A$20000,Donasi!$B$2:$B$20000,A3191))</f>
        <v/>
      </c>
      <c r="C3191">
        <f>IF(A3191="","",COUNTIF(Donasi!$B$2:$B$20000,A3191))</f>
        <v/>
      </c>
      <c r="D3191">
        <f>IF(A3191="","",SUMIF(Donasi!$B$2:$B$20000,A3191,Donasi!$C$2:$C$20000))</f>
        <v/>
      </c>
      <c r="E3191">
        <f>IF(A3191="","",6-CEILING(PERCENTRANK.INC($B$3:$B$6000,B3191,4)*5+0.000001,1))</f>
        <v/>
      </c>
      <c r="F3191">
        <f>IF(A3191="","",MAX(1,CEILING(PERCENTRANK.INC($C$3:$C$6000,C3191,4)*5+0.000001,1)))</f>
        <v/>
      </c>
      <c r="G3191">
        <f>IF(A3191="","",MAX(1,CEILING(PERCENTRANK.INC($D$3:$D$6000,D3191,4)*5+0.000001,1)))</f>
        <v/>
      </c>
      <c r="H3191">
        <f>IF(A3191="","",E3191&amp;F3191&amp;G3191)</f>
        <v/>
      </c>
      <c r="I3191">
        <f>IF(A3191="","",IF(AND(E3191&gt;=4,F3191&gt;=4,G3191&gt;=4),"Juara",IF(AND(F3191&gt;=4,E3191&gt;=3),"Setia",IF(AND(E3191=5,F3191&lt;=2,G3191&gt;=3),"Berpotensi",IF(AND(E3191&lt;=3,E3191&gt;=2,F3191&gt;=3),"Rawan",IF(AND(E3191&lt;=2,F3191&lt;=2),"Tidur","Umum"))))))</f>
        <v/>
      </c>
    </row>
    <row r="3192">
      <c r="B3192">
        <f>IF(A3192="","",$B$1-MAXIFS(Donasi!$A$2:$A$20000,Donasi!$B$2:$B$20000,A3192))</f>
        <v/>
      </c>
      <c r="C3192">
        <f>IF(A3192="","",COUNTIF(Donasi!$B$2:$B$20000,A3192))</f>
        <v/>
      </c>
      <c r="D3192">
        <f>IF(A3192="","",SUMIF(Donasi!$B$2:$B$20000,A3192,Donasi!$C$2:$C$20000))</f>
        <v/>
      </c>
      <c r="E3192">
        <f>IF(A3192="","",6-CEILING(PERCENTRANK.INC($B$3:$B$6000,B3192,4)*5+0.000001,1))</f>
        <v/>
      </c>
      <c r="F3192">
        <f>IF(A3192="","",MAX(1,CEILING(PERCENTRANK.INC($C$3:$C$6000,C3192,4)*5+0.000001,1)))</f>
        <v/>
      </c>
      <c r="G3192">
        <f>IF(A3192="","",MAX(1,CEILING(PERCENTRANK.INC($D$3:$D$6000,D3192,4)*5+0.000001,1)))</f>
        <v/>
      </c>
      <c r="H3192">
        <f>IF(A3192="","",E3192&amp;F3192&amp;G3192)</f>
        <v/>
      </c>
      <c r="I3192">
        <f>IF(A3192="","",IF(AND(E3192&gt;=4,F3192&gt;=4,G3192&gt;=4),"Juara",IF(AND(F3192&gt;=4,E3192&gt;=3),"Setia",IF(AND(E3192=5,F3192&lt;=2,G3192&gt;=3),"Berpotensi",IF(AND(E3192&lt;=3,E3192&gt;=2,F3192&gt;=3),"Rawan",IF(AND(E3192&lt;=2,F3192&lt;=2),"Tidur","Umum"))))))</f>
        <v/>
      </c>
    </row>
    <row r="3193">
      <c r="B3193">
        <f>IF(A3193="","",$B$1-MAXIFS(Donasi!$A$2:$A$20000,Donasi!$B$2:$B$20000,A3193))</f>
        <v/>
      </c>
      <c r="C3193">
        <f>IF(A3193="","",COUNTIF(Donasi!$B$2:$B$20000,A3193))</f>
        <v/>
      </c>
      <c r="D3193">
        <f>IF(A3193="","",SUMIF(Donasi!$B$2:$B$20000,A3193,Donasi!$C$2:$C$20000))</f>
        <v/>
      </c>
      <c r="E3193">
        <f>IF(A3193="","",6-CEILING(PERCENTRANK.INC($B$3:$B$6000,B3193,4)*5+0.000001,1))</f>
        <v/>
      </c>
      <c r="F3193">
        <f>IF(A3193="","",MAX(1,CEILING(PERCENTRANK.INC($C$3:$C$6000,C3193,4)*5+0.000001,1)))</f>
        <v/>
      </c>
      <c r="G3193">
        <f>IF(A3193="","",MAX(1,CEILING(PERCENTRANK.INC($D$3:$D$6000,D3193,4)*5+0.000001,1)))</f>
        <v/>
      </c>
      <c r="H3193">
        <f>IF(A3193="","",E3193&amp;F3193&amp;G3193)</f>
        <v/>
      </c>
      <c r="I3193">
        <f>IF(A3193="","",IF(AND(E3193&gt;=4,F3193&gt;=4,G3193&gt;=4),"Juara",IF(AND(F3193&gt;=4,E3193&gt;=3),"Setia",IF(AND(E3193=5,F3193&lt;=2,G3193&gt;=3),"Berpotensi",IF(AND(E3193&lt;=3,E3193&gt;=2,F3193&gt;=3),"Rawan",IF(AND(E3193&lt;=2,F3193&lt;=2),"Tidur","Umum"))))))</f>
        <v/>
      </c>
    </row>
    <row r="3194">
      <c r="B3194">
        <f>IF(A3194="","",$B$1-MAXIFS(Donasi!$A$2:$A$20000,Donasi!$B$2:$B$20000,A3194))</f>
        <v/>
      </c>
      <c r="C3194">
        <f>IF(A3194="","",COUNTIF(Donasi!$B$2:$B$20000,A3194))</f>
        <v/>
      </c>
      <c r="D3194">
        <f>IF(A3194="","",SUMIF(Donasi!$B$2:$B$20000,A3194,Donasi!$C$2:$C$20000))</f>
        <v/>
      </c>
      <c r="E3194">
        <f>IF(A3194="","",6-CEILING(PERCENTRANK.INC($B$3:$B$6000,B3194,4)*5+0.000001,1))</f>
        <v/>
      </c>
      <c r="F3194">
        <f>IF(A3194="","",MAX(1,CEILING(PERCENTRANK.INC($C$3:$C$6000,C3194,4)*5+0.000001,1)))</f>
        <v/>
      </c>
      <c r="G3194">
        <f>IF(A3194="","",MAX(1,CEILING(PERCENTRANK.INC($D$3:$D$6000,D3194,4)*5+0.000001,1)))</f>
        <v/>
      </c>
      <c r="H3194">
        <f>IF(A3194="","",E3194&amp;F3194&amp;G3194)</f>
        <v/>
      </c>
      <c r="I3194">
        <f>IF(A3194="","",IF(AND(E3194&gt;=4,F3194&gt;=4,G3194&gt;=4),"Juara",IF(AND(F3194&gt;=4,E3194&gt;=3),"Setia",IF(AND(E3194=5,F3194&lt;=2,G3194&gt;=3),"Berpotensi",IF(AND(E3194&lt;=3,E3194&gt;=2,F3194&gt;=3),"Rawan",IF(AND(E3194&lt;=2,F3194&lt;=2),"Tidur","Umum"))))))</f>
        <v/>
      </c>
    </row>
    <row r="3195">
      <c r="B3195">
        <f>IF(A3195="","",$B$1-MAXIFS(Donasi!$A$2:$A$20000,Donasi!$B$2:$B$20000,A3195))</f>
        <v/>
      </c>
      <c r="C3195">
        <f>IF(A3195="","",COUNTIF(Donasi!$B$2:$B$20000,A3195))</f>
        <v/>
      </c>
      <c r="D3195">
        <f>IF(A3195="","",SUMIF(Donasi!$B$2:$B$20000,A3195,Donasi!$C$2:$C$20000))</f>
        <v/>
      </c>
      <c r="E3195">
        <f>IF(A3195="","",6-CEILING(PERCENTRANK.INC($B$3:$B$6000,B3195,4)*5+0.000001,1))</f>
        <v/>
      </c>
      <c r="F3195">
        <f>IF(A3195="","",MAX(1,CEILING(PERCENTRANK.INC($C$3:$C$6000,C3195,4)*5+0.000001,1)))</f>
        <v/>
      </c>
      <c r="G3195">
        <f>IF(A3195="","",MAX(1,CEILING(PERCENTRANK.INC($D$3:$D$6000,D3195,4)*5+0.000001,1)))</f>
        <v/>
      </c>
      <c r="H3195">
        <f>IF(A3195="","",E3195&amp;F3195&amp;G3195)</f>
        <v/>
      </c>
      <c r="I3195">
        <f>IF(A3195="","",IF(AND(E3195&gt;=4,F3195&gt;=4,G3195&gt;=4),"Juara",IF(AND(F3195&gt;=4,E3195&gt;=3),"Setia",IF(AND(E3195=5,F3195&lt;=2,G3195&gt;=3),"Berpotensi",IF(AND(E3195&lt;=3,E3195&gt;=2,F3195&gt;=3),"Rawan",IF(AND(E3195&lt;=2,F3195&lt;=2),"Tidur","Umum"))))))</f>
        <v/>
      </c>
    </row>
    <row r="3196">
      <c r="B3196">
        <f>IF(A3196="","",$B$1-MAXIFS(Donasi!$A$2:$A$20000,Donasi!$B$2:$B$20000,A3196))</f>
        <v/>
      </c>
      <c r="C3196">
        <f>IF(A3196="","",COUNTIF(Donasi!$B$2:$B$20000,A3196))</f>
        <v/>
      </c>
      <c r="D3196">
        <f>IF(A3196="","",SUMIF(Donasi!$B$2:$B$20000,A3196,Donasi!$C$2:$C$20000))</f>
        <v/>
      </c>
      <c r="E3196">
        <f>IF(A3196="","",6-CEILING(PERCENTRANK.INC($B$3:$B$6000,B3196,4)*5+0.000001,1))</f>
        <v/>
      </c>
      <c r="F3196">
        <f>IF(A3196="","",MAX(1,CEILING(PERCENTRANK.INC($C$3:$C$6000,C3196,4)*5+0.000001,1)))</f>
        <v/>
      </c>
      <c r="G3196">
        <f>IF(A3196="","",MAX(1,CEILING(PERCENTRANK.INC($D$3:$D$6000,D3196,4)*5+0.000001,1)))</f>
        <v/>
      </c>
      <c r="H3196">
        <f>IF(A3196="","",E3196&amp;F3196&amp;G3196)</f>
        <v/>
      </c>
      <c r="I3196">
        <f>IF(A3196="","",IF(AND(E3196&gt;=4,F3196&gt;=4,G3196&gt;=4),"Juara",IF(AND(F3196&gt;=4,E3196&gt;=3),"Setia",IF(AND(E3196=5,F3196&lt;=2,G3196&gt;=3),"Berpotensi",IF(AND(E3196&lt;=3,E3196&gt;=2,F3196&gt;=3),"Rawan",IF(AND(E3196&lt;=2,F3196&lt;=2),"Tidur","Umum"))))))</f>
        <v/>
      </c>
    </row>
    <row r="3197">
      <c r="B3197">
        <f>IF(A3197="","",$B$1-MAXIFS(Donasi!$A$2:$A$20000,Donasi!$B$2:$B$20000,A3197))</f>
        <v/>
      </c>
      <c r="C3197">
        <f>IF(A3197="","",COUNTIF(Donasi!$B$2:$B$20000,A3197))</f>
        <v/>
      </c>
      <c r="D3197">
        <f>IF(A3197="","",SUMIF(Donasi!$B$2:$B$20000,A3197,Donasi!$C$2:$C$20000))</f>
        <v/>
      </c>
      <c r="E3197">
        <f>IF(A3197="","",6-CEILING(PERCENTRANK.INC($B$3:$B$6000,B3197,4)*5+0.000001,1))</f>
        <v/>
      </c>
      <c r="F3197">
        <f>IF(A3197="","",MAX(1,CEILING(PERCENTRANK.INC($C$3:$C$6000,C3197,4)*5+0.000001,1)))</f>
        <v/>
      </c>
      <c r="G3197">
        <f>IF(A3197="","",MAX(1,CEILING(PERCENTRANK.INC($D$3:$D$6000,D3197,4)*5+0.000001,1)))</f>
        <v/>
      </c>
      <c r="H3197">
        <f>IF(A3197="","",E3197&amp;F3197&amp;G3197)</f>
        <v/>
      </c>
      <c r="I3197">
        <f>IF(A3197="","",IF(AND(E3197&gt;=4,F3197&gt;=4,G3197&gt;=4),"Juara",IF(AND(F3197&gt;=4,E3197&gt;=3),"Setia",IF(AND(E3197=5,F3197&lt;=2,G3197&gt;=3),"Berpotensi",IF(AND(E3197&lt;=3,E3197&gt;=2,F3197&gt;=3),"Rawan",IF(AND(E3197&lt;=2,F3197&lt;=2),"Tidur","Umum"))))))</f>
        <v/>
      </c>
    </row>
    <row r="3198">
      <c r="B3198">
        <f>IF(A3198="","",$B$1-MAXIFS(Donasi!$A$2:$A$20000,Donasi!$B$2:$B$20000,A3198))</f>
        <v/>
      </c>
      <c r="C3198">
        <f>IF(A3198="","",COUNTIF(Donasi!$B$2:$B$20000,A3198))</f>
        <v/>
      </c>
      <c r="D3198">
        <f>IF(A3198="","",SUMIF(Donasi!$B$2:$B$20000,A3198,Donasi!$C$2:$C$20000))</f>
        <v/>
      </c>
      <c r="E3198">
        <f>IF(A3198="","",6-CEILING(PERCENTRANK.INC($B$3:$B$6000,B3198,4)*5+0.000001,1))</f>
        <v/>
      </c>
      <c r="F3198">
        <f>IF(A3198="","",MAX(1,CEILING(PERCENTRANK.INC($C$3:$C$6000,C3198,4)*5+0.000001,1)))</f>
        <v/>
      </c>
      <c r="G3198">
        <f>IF(A3198="","",MAX(1,CEILING(PERCENTRANK.INC($D$3:$D$6000,D3198,4)*5+0.000001,1)))</f>
        <v/>
      </c>
      <c r="H3198">
        <f>IF(A3198="","",E3198&amp;F3198&amp;G3198)</f>
        <v/>
      </c>
      <c r="I3198">
        <f>IF(A3198="","",IF(AND(E3198&gt;=4,F3198&gt;=4,G3198&gt;=4),"Juara",IF(AND(F3198&gt;=4,E3198&gt;=3),"Setia",IF(AND(E3198=5,F3198&lt;=2,G3198&gt;=3),"Berpotensi",IF(AND(E3198&lt;=3,E3198&gt;=2,F3198&gt;=3),"Rawan",IF(AND(E3198&lt;=2,F3198&lt;=2),"Tidur","Umum"))))))</f>
        <v/>
      </c>
    </row>
    <row r="3199">
      <c r="B3199">
        <f>IF(A3199="","",$B$1-MAXIFS(Donasi!$A$2:$A$20000,Donasi!$B$2:$B$20000,A3199))</f>
        <v/>
      </c>
      <c r="C3199">
        <f>IF(A3199="","",COUNTIF(Donasi!$B$2:$B$20000,A3199))</f>
        <v/>
      </c>
      <c r="D3199">
        <f>IF(A3199="","",SUMIF(Donasi!$B$2:$B$20000,A3199,Donasi!$C$2:$C$20000))</f>
        <v/>
      </c>
      <c r="E3199">
        <f>IF(A3199="","",6-CEILING(PERCENTRANK.INC($B$3:$B$6000,B3199,4)*5+0.000001,1))</f>
        <v/>
      </c>
      <c r="F3199">
        <f>IF(A3199="","",MAX(1,CEILING(PERCENTRANK.INC($C$3:$C$6000,C3199,4)*5+0.000001,1)))</f>
        <v/>
      </c>
      <c r="G3199">
        <f>IF(A3199="","",MAX(1,CEILING(PERCENTRANK.INC($D$3:$D$6000,D3199,4)*5+0.000001,1)))</f>
        <v/>
      </c>
      <c r="H3199">
        <f>IF(A3199="","",E3199&amp;F3199&amp;G3199)</f>
        <v/>
      </c>
      <c r="I3199">
        <f>IF(A3199="","",IF(AND(E3199&gt;=4,F3199&gt;=4,G3199&gt;=4),"Juara",IF(AND(F3199&gt;=4,E3199&gt;=3),"Setia",IF(AND(E3199=5,F3199&lt;=2,G3199&gt;=3),"Berpotensi",IF(AND(E3199&lt;=3,E3199&gt;=2,F3199&gt;=3),"Rawan",IF(AND(E3199&lt;=2,F3199&lt;=2),"Tidur","Umum"))))))</f>
        <v/>
      </c>
    </row>
    <row r="3200">
      <c r="B3200">
        <f>IF(A3200="","",$B$1-MAXIFS(Donasi!$A$2:$A$20000,Donasi!$B$2:$B$20000,A3200))</f>
        <v/>
      </c>
      <c r="C3200">
        <f>IF(A3200="","",COUNTIF(Donasi!$B$2:$B$20000,A3200))</f>
        <v/>
      </c>
      <c r="D3200">
        <f>IF(A3200="","",SUMIF(Donasi!$B$2:$B$20000,A3200,Donasi!$C$2:$C$20000))</f>
        <v/>
      </c>
      <c r="E3200">
        <f>IF(A3200="","",6-CEILING(PERCENTRANK.INC($B$3:$B$6000,B3200,4)*5+0.000001,1))</f>
        <v/>
      </c>
      <c r="F3200">
        <f>IF(A3200="","",MAX(1,CEILING(PERCENTRANK.INC($C$3:$C$6000,C3200,4)*5+0.000001,1)))</f>
        <v/>
      </c>
      <c r="G3200">
        <f>IF(A3200="","",MAX(1,CEILING(PERCENTRANK.INC($D$3:$D$6000,D3200,4)*5+0.000001,1)))</f>
        <v/>
      </c>
      <c r="H3200">
        <f>IF(A3200="","",E3200&amp;F3200&amp;G3200)</f>
        <v/>
      </c>
      <c r="I3200">
        <f>IF(A3200="","",IF(AND(E3200&gt;=4,F3200&gt;=4,G3200&gt;=4),"Juara",IF(AND(F3200&gt;=4,E3200&gt;=3),"Setia",IF(AND(E3200=5,F3200&lt;=2,G3200&gt;=3),"Berpotensi",IF(AND(E3200&lt;=3,E3200&gt;=2,F3200&gt;=3),"Rawan",IF(AND(E3200&lt;=2,F3200&lt;=2),"Tidur","Umum"))))))</f>
        <v/>
      </c>
    </row>
    <row r="3201">
      <c r="B3201">
        <f>IF(A3201="","",$B$1-MAXIFS(Donasi!$A$2:$A$20000,Donasi!$B$2:$B$20000,A3201))</f>
        <v/>
      </c>
      <c r="C3201">
        <f>IF(A3201="","",COUNTIF(Donasi!$B$2:$B$20000,A3201))</f>
        <v/>
      </c>
      <c r="D3201">
        <f>IF(A3201="","",SUMIF(Donasi!$B$2:$B$20000,A3201,Donasi!$C$2:$C$20000))</f>
        <v/>
      </c>
      <c r="E3201">
        <f>IF(A3201="","",6-CEILING(PERCENTRANK.INC($B$3:$B$6000,B3201,4)*5+0.000001,1))</f>
        <v/>
      </c>
      <c r="F3201">
        <f>IF(A3201="","",MAX(1,CEILING(PERCENTRANK.INC($C$3:$C$6000,C3201,4)*5+0.000001,1)))</f>
        <v/>
      </c>
      <c r="G3201">
        <f>IF(A3201="","",MAX(1,CEILING(PERCENTRANK.INC($D$3:$D$6000,D3201,4)*5+0.000001,1)))</f>
        <v/>
      </c>
      <c r="H3201">
        <f>IF(A3201="","",E3201&amp;F3201&amp;G3201)</f>
        <v/>
      </c>
      <c r="I3201">
        <f>IF(A3201="","",IF(AND(E3201&gt;=4,F3201&gt;=4,G3201&gt;=4),"Juara",IF(AND(F3201&gt;=4,E3201&gt;=3),"Setia",IF(AND(E3201=5,F3201&lt;=2,G3201&gt;=3),"Berpotensi",IF(AND(E3201&lt;=3,E3201&gt;=2,F3201&gt;=3),"Rawan",IF(AND(E3201&lt;=2,F3201&lt;=2),"Tidur","Umum"))))))</f>
        <v/>
      </c>
    </row>
    <row r="3202">
      <c r="B3202">
        <f>IF(A3202="","",$B$1-MAXIFS(Donasi!$A$2:$A$20000,Donasi!$B$2:$B$20000,A3202))</f>
        <v/>
      </c>
      <c r="C3202">
        <f>IF(A3202="","",COUNTIF(Donasi!$B$2:$B$20000,A3202))</f>
        <v/>
      </c>
      <c r="D3202">
        <f>IF(A3202="","",SUMIF(Donasi!$B$2:$B$20000,A3202,Donasi!$C$2:$C$20000))</f>
        <v/>
      </c>
      <c r="E3202">
        <f>IF(A3202="","",6-CEILING(PERCENTRANK.INC($B$3:$B$6000,B3202,4)*5+0.000001,1))</f>
        <v/>
      </c>
      <c r="F3202">
        <f>IF(A3202="","",MAX(1,CEILING(PERCENTRANK.INC($C$3:$C$6000,C3202,4)*5+0.000001,1)))</f>
        <v/>
      </c>
      <c r="G3202">
        <f>IF(A3202="","",MAX(1,CEILING(PERCENTRANK.INC($D$3:$D$6000,D3202,4)*5+0.000001,1)))</f>
        <v/>
      </c>
      <c r="H3202">
        <f>IF(A3202="","",E3202&amp;F3202&amp;G3202)</f>
        <v/>
      </c>
      <c r="I3202">
        <f>IF(A3202="","",IF(AND(E3202&gt;=4,F3202&gt;=4,G3202&gt;=4),"Juara",IF(AND(F3202&gt;=4,E3202&gt;=3),"Setia",IF(AND(E3202=5,F3202&lt;=2,G3202&gt;=3),"Berpotensi",IF(AND(E3202&lt;=3,E3202&gt;=2,F3202&gt;=3),"Rawan",IF(AND(E3202&lt;=2,F3202&lt;=2),"Tidur","Umum"))))))</f>
        <v/>
      </c>
    </row>
    <row r="3203">
      <c r="B3203">
        <f>IF(A3203="","",$B$1-MAXIFS(Donasi!$A$2:$A$20000,Donasi!$B$2:$B$20000,A3203))</f>
        <v/>
      </c>
      <c r="C3203">
        <f>IF(A3203="","",COUNTIF(Donasi!$B$2:$B$20000,A3203))</f>
        <v/>
      </c>
      <c r="D3203">
        <f>IF(A3203="","",SUMIF(Donasi!$B$2:$B$20000,A3203,Donasi!$C$2:$C$20000))</f>
        <v/>
      </c>
      <c r="E3203">
        <f>IF(A3203="","",6-CEILING(PERCENTRANK.INC($B$3:$B$6000,B3203,4)*5+0.000001,1))</f>
        <v/>
      </c>
      <c r="F3203">
        <f>IF(A3203="","",MAX(1,CEILING(PERCENTRANK.INC($C$3:$C$6000,C3203,4)*5+0.000001,1)))</f>
        <v/>
      </c>
      <c r="G3203">
        <f>IF(A3203="","",MAX(1,CEILING(PERCENTRANK.INC($D$3:$D$6000,D3203,4)*5+0.000001,1)))</f>
        <v/>
      </c>
      <c r="H3203">
        <f>IF(A3203="","",E3203&amp;F3203&amp;G3203)</f>
        <v/>
      </c>
      <c r="I3203">
        <f>IF(A3203="","",IF(AND(E3203&gt;=4,F3203&gt;=4,G3203&gt;=4),"Juara",IF(AND(F3203&gt;=4,E3203&gt;=3),"Setia",IF(AND(E3203=5,F3203&lt;=2,G3203&gt;=3),"Berpotensi",IF(AND(E3203&lt;=3,E3203&gt;=2,F3203&gt;=3),"Rawan",IF(AND(E3203&lt;=2,F3203&lt;=2),"Tidur","Umum"))))))</f>
        <v/>
      </c>
    </row>
    <row r="3204">
      <c r="B3204">
        <f>IF(A3204="","",$B$1-MAXIFS(Donasi!$A$2:$A$20000,Donasi!$B$2:$B$20000,A3204))</f>
        <v/>
      </c>
      <c r="C3204">
        <f>IF(A3204="","",COUNTIF(Donasi!$B$2:$B$20000,A3204))</f>
        <v/>
      </c>
      <c r="D3204">
        <f>IF(A3204="","",SUMIF(Donasi!$B$2:$B$20000,A3204,Donasi!$C$2:$C$20000))</f>
        <v/>
      </c>
      <c r="E3204">
        <f>IF(A3204="","",6-CEILING(PERCENTRANK.INC($B$3:$B$6000,B3204,4)*5+0.000001,1))</f>
        <v/>
      </c>
      <c r="F3204">
        <f>IF(A3204="","",MAX(1,CEILING(PERCENTRANK.INC($C$3:$C$6000,C3204,4)*5+0.000001,1)))</f>
        <v/>
      </c>
      <c r="G3204">
        <f>IF(A3204="","",MAX(1,CEILING(PERCENTRANK.INC($D$3:$D$6000,D3204,4)*5+0.000001,1)))</f>
        <v/>
      </c>
      <c r="H3204">
        <f>IF(A3204="","",E3204&amp;F3204&amp;G3204)</f>
        <v/>
      </c>
      <c r="I3204">
        <f>IF(A3204="","",IF(AND(E3204&gt;=4,F3204&gt;=4,G3204&gt;=4),"Juara",IF(AND(F3204&gt;=4,E3204&gt;=3),"Setia",IF(AND(E3204=5,F3204&lt;=2,G3204&gt;=3),"Berpotensi",IF(AND(E3204&lt;=3,E3204&gt;=2,F3204&gt;=3),"Rawan",IF(AND(E3204&lt;=2,F3204&lt;=2),"Tidur","Umum"))))))</f>
        <v/>
      </c>
    </row>
    <row r="3205">
      <c r="B3205">
        <f>IF(A3205="","",$B$1-MAXIFS(Donasi!$A$2:$A$20000,Donasi!$B$2:$B$20000,A3205))</f>
        <v/>
      </c>
      <c r="C3205">
        <f>IF(A3205="","",COUNTIF(Donasi!$B$2:$B$20000,A3205))</f>
        <v/>
      </c>
      <c r="D3205">
        <f>IF(A3205="","",SUMIF(Donasi!$B$2:$B$20000,A3205,Donasi!$C$2:$C$20000))</f>
        <v/>
      </c>
      <c r="E3205">
        <f>IF(A3205="","",6-CEILING(PERCENTRANK.INC($B$3:$B$6000,B3205,4)*5+0.000001,1))</f>
        <v/>
      </c>
      <c r="F3205">
        <f>IF(A3205="","",MAX(1,CEILING(PERCENTRANK.INC($C$3:$C$6000,C3205,4)*5+0.000001,1)))</f>
        <v/>
      </c>
      <c r="G3205">
        <f>IF(A3205="","",MAX(1,CEILING(PERCENTRANK.INC($D$3:$D$6000,D3205,4)*5+0.000001,1)))</f>
        <v/>
      </c>
      <c r="H3205">
        <f>IF(A3205="","",E3205&amp;F3205&amp;G3205)</f>
        <v/>
      </c>
      <c r="I3205">
        <f>IF(A3205="","",IF(AND(E3205&gt;=4,F3205&gt;=4,G3205&gt;=4),"Juara",IF(AND(F3205&gt;=4,E3205&gt;=3),"Setia",IF(AND(E3205=5,F3205&lt;=2,G3205&gt;=3),"Berpotensi",IF(AND(E3205&lt;=3,E3205&gt;=2,F3205&gt;=3),"Rawan",IF(AND(E3205&lt;=2,F3205&lt;=2),"Tidur","Umum"))))))</f>
        <v/>
      </c>
    </row>
    <row r="3206">
      <c r="B3206">
        <f>IF(A3206="","",$B$1-MAXIFS(Donasi!$A$2:$A$20000,Donasi!$B$2:$B$20000,A3206))</f>
        <v/>
      </c>
      <c r="C3206">
        <f>IF(A3206="","",COUNTIF(Donasi!$B$2:$B$20000,A3206))</f>
        <v/>
      </c>
      <c r="D3206">
        <f>IF(A3206="","",SUMIF(Donasi!$B$2:$B$20000,A3206,Donasi!$C$2:$C$20000))</f>
        <v/>
      </c>
      <c r="E3206">
        <f>IF(A3206="","",6-CEILING(PERCENTRANK.INC($B$3:$B$6000,B3206,4)*5+0.000001,1))</f>
        <v/>
      </c>
      <c r="F3206">
        <f>IF(A3206="","",MAX(1,CEILING(PERCENTRANK.INC($C$3:$C$6000,C3206,4)*5+0.000001,1)))</f>
        <v/>
      </c>
      <c r="G3206">
        <f>IF(A3206="","",MAX(1,CEILING(PERCENTRANK.INC($D$3:$D$6000,D3206,4)*5+0.000001,1)))</f>
        <v/>
      </c>
      <c r="H3206">
        <f>IF(A3206="","",E3206&amp;F3206&amp;G3206)</f>
        <v/>
      </c>
      <c r="I3206">
        <f>IF(A3206="","",IF(AND(E3206&gt;=4,F3206&gt;=4,G3206&gt;=4),"Juara",IF(AND(F3206&gt;=4,E3206&gt;=3),"Setia",IF(AND(E3206=5,F3206&lt;=2,G3206&gt;=3),"Berpotensi",IF(AND(E3206&lt;=3,E3206&gt;=2,F3206&gt;=3),"Rawan",IF(AND(E3206&lt;=2,F3206&lt;=2),"Tidur","Umum"))))))</f>
        <v/>
      </c>
    </row>
    <row r="3207">
      <c r="B3207">
        <f>IF(A3207="","",$B$1-MAXIFS(Donasi!$A$2:$A$20000,Donasi!$B$2:$B$20000,A3207))</f>
        <v/>
      </c>
      <c r="C3207">
        <f>IF(A3207="","",COUNTIF(Donasi!$B$2:$B$20000,A3207))</f>
        <v/>
      </c>
      <c r="D3207">
        <f>IF(A3207="","",SUMIF(Donasi!$B$2:$B$20000,A3207,Donasi!$C$2:$C$20000))</f>
        <v/>
      </c>
      <c r="E3207">
        <f>IF(A3207="","",6-CEILING(PERCENTRANK.INC($B$3:$B$6000,B3207,4)*5+0.000001,1))</f>
        <v/>
      </c>
      <c r="F3207">
        <f>IF(A3207="","",MAX(1,CEILING(PERCENTRANK.INC($C$3:$C$6000,C3207,4)*5+0.000001,1)))</f>
        <v/>
      </c>
      <c r="G3207">
        <f>IF(A3207="","",MAX(1,CEILING(PERCENTRANK.INC($D$3:$D$6000,D3207,4)*5+0.000001,1)))</f>
        <v/>
      </c>
      <c r="H3207">
        <f>IF(A3207="","",E3207&amp;F3207&amp;G3207)</f>
        <v/>
      </c>
      <c r="I3207">
        <f>IF(A3207="","",IF(AND(E3207&gt;=4,F3207&gt;=4,G3207&gt;=4),"Juara",IF(AND(F3207&gt;=4,E3207&gt;=3),"Setia",IF(AND(E3207=5,F3207&lt;=2,G3207&gt;=3),"Berpotensi",IF(AND(E3207&lt;=3,E3207&gt;=2,F3207&gt;=3),"Rawan",IF(AND(E3207&lt;=2,F3207&lt;=2),"Tidur","Umum"))))))</f>
        <v/>
      </c>
    </row>
    <row r="3208">
      <c r="B3208">
        <f>IF(A3208="","",$B$1-MAXIFS(Donasi!$A$2:$A$20000,Donasi!$B$2:$B$20000,A3208))</f>
        <v/>
      </c>
      <c r="C3208">
        <f>IF(A3208="","",COUNTIF(Donasi!$B$2:$B$20000,A3208))</f>
        <v/>
      </c>
      <c r="D3208">
        <f>IF(A3208="","",SUMIF(Donasi!$B$2:$B$20000,A3208,Donasi!$C$2:$C$20000))</f>
        <v/>
      </c>
      <c r="E3208">
        <f>IF(A3208="","",6-CEILING(PERCENTRANK.INC($B$3:$B$6000,B3208,4)*5+0.000001,1))</f>
        <v/>
      </c>
      <c r="F3208">
        <f>IF(A3208="","",MAX(1,CEILING(PERCENTRANK.INC($C$3:$C$6000,C3208,4)*5+0.000001,1)))</f>
        <v/>
      </c>
      <c r="G3208">
        <f>IF(A3208="","",MAX(1,CEILING(PERCENTRANK.INC($D$3:$D$6000,D3208,4)*5+0.000001,1)))</f>
        <v/>
      </c>
      <c r="H3208">
        <f>IF(A3208="","",E3208&amp;F3208&amp;G3208)</f>
        <v/>
      </c>
      <c r="I3208">
        <f>IF(A3208="","",IF(AND(E3208&gt;=4,F3208&gt;=4,G3208&gt;=4),"Juara",IF(AND(F3208&gt;=4,E3208&gt;=3),"Setia",IF(AND(E3208=5,F3208&lt;=2,G3208&gt;=3),"Berpotensi",IF(AND(E3208&lt;=3,E3208&gt;=2,F3208&gt;=3),"Rawan",IF(AND(E3208&lt;=2,F3208&lt;=2),"Tidur","Umum"))))))</f>
        <v/>
      </c>
    </row>
    <row r="3209">
      <c r="B3209">
        <f>IF(A3209="","",$B$1-MAXIFS(Donasi!$A$2:$A$20000,Donasi!$B$2:$B$20000,A3209))</f>
        <v/>
      </c>
      <c r="C3209">
        <f>IF(A3209="","",COUNTIF(Donasi!$B$2:$B$20000,A3209))</f>
        <v/>
      </c>
      <c r="D3209">
        <f>IF(A3209="","",SUMIF(Donasi!$B$2:$B$20000,A3209,Donasi!$C$2:$C$20000))</f>
        <v/>
      </c>
      <c r="E3209">
        <f>IF(A3209="","",6-CEILING(PERCENTRANK.INC($B$3:$B$6000,B3209,4)*5+0.000001,1))</f>
        <v/>
      </c>
      <c r="F3209">
        <f>IF(A3209="","",MAX(1,CEILING(PERCENTRANK.INC($C$3:$C$6000,C3209,4)*5+0.000001,1)))</f>
        <v/>
      </c>
      <c r="G3209">
        <f>IF(A3209="","",MAX(1,CEILING(PERCENTRANK.INC($D$3:$D$6000,D3209,4)*5+0.000001,1)))</f>
        <v/>
      </c>
      <c r="H3209">
        <f>IF(A3209="","",E3209&amp;F3209&amp;G3209)</f>
        <v/>
      </c>
      <c r="I3209">
        <f>IF(A3209="","",IF(AND(E3209&gt;=4,F3209&gt;=4,G3209&gt;=4),"Juara",IF(AND(F3209&gt;=4,E3209&gt;=3),"Setia",IF(AND(E3209=5,F3209&lt;=2,G3209&gt;=3),"Berpotensi",IF(AND(E3209&lt;=3,E3209&gt;=2,F3209&gt;=3),"Rawan",IF(AND(E3209&lt;=2,F3209&lt;=2),"Tidur","Umum"))))))</f>
        <v/>
      </c>
    </row>
    <row r="3210">
      <c r="B3210">
        <f>IF(A3210="","",$B$1-MAXIFS(Donasi!$A$2:$A$20000,Donasi!$B$2:$B$20000,A3210))</f>
        <v/>
      </c>
      <c r="C3210">
        <f>IF(A3210="","",COUNTIF(Donasi!$B$2:$B$20000,A3210))</f>
        <v/>
      </c>
      <c r="D3210">
        <f>IF(A3210="","",SUMIF(Donasi!$B$2:$B$20000,A3210,Donasi!$C$2:$C$20000))</f>
        <v/>
      </c>
      <c r="E3210">
        <f>IF(A3210="","",6-CEILING(PERCENTRANK.INC($B$3:$B$6000,B3210,4)*5+0.000001,1))</f>
        <v/>
      </c>
      <c r="F3210">
        <f>IF(A3210="","",MAX(1,CEILING(PERCENTRANK.INC($C$3:$C$6000,C3210,4)*5+0.000001,1)))</f>
        <v/>
      </c>
      <c r="G3210">
        <f>IF(A3210="","",MAX(1,CEILING(PERCENTRANK.INC($D$3:$D$6000,D3210,4)*5+0.000001,1)))</f>
        <v/>
      </c>
      <c r="H3210">
        <f>IF(A3210="","",E3210&amp;F3210&amp;G3210)</f>
        <v/>
      </c>
      <c r="I3210">
        <f>IF(A3210="","",IF(AND(E3210&gt;=4,F3210&gt;=4,G3210&gt;=4),"Juara",IF(AND(F3210&gt;=4,E3210&gt;=3),"Setia",IF(AND(E3210=5,F3210&lt;=2,G3210&gt;=3),"Berpotensi",IF(AND(E3210&lt;=3,E3210&gt;=2,F3210&gt;=3),"Rawan",IF(AND(E3210&lt;=2,F3210&lt;=2),"Tidur","Umum"))))))</f>
        <v/>
      </c>
    </row>
    <row r="3211">
      <c r="B3211">
        <f>IF(A3211="","",$B$1-MAXIFS(Donasi!$A$2:$A$20000,Donasi!$B$2:$B$20000,A3211))</f>
        <v/>
      </c>
      <c r="C3211">
        <f>IF(A3211="","",COUNTIF(Donasi!$B$2:$B$20000,A3211))</f>
        <v/>
      </c>
      <c r="D3211">
        <f>IF(A3211="","",SUMIF(Donasi!$B$2:$B$20000,A3211,Donasi!$C$2:$C$20000))</f>
        <v/>
      </c>
      <c r="E3211">
        <f>IF(A3211="","",6-CEILING(PERCENTRANK.INC($B$3:$B$6000,B3211,4)*5+0.000001,1))</f>
        <v/>
      </c>
      <c r="F3211">
        <f>IF(A3211="","",MAX(1,CEILING(PERCENTRANK.INC($C$3:$C$6000,C3211,4)*5+0.000001,1)))</f>
        <v/>
      </c>
      <c r="G3211">
        <f>IF(A3211="","",MAX(1,CEILING(PERCENTRANK.INC($D$3:$D$6000,D3211,4)*5+0.000001,1)))</f>
        <v/>
      </c>
      <c r="H3211">
        <f>IF(A3211="","",E3211&amp;F3211&amp;G3211)</f>
        <v/>
      </c>
      <c r="I3211">
        <f>IF(A3211="","",IF(AND(E3211&gt;=4,F3211&gt;=4,G3211&gt;=4),"Juara",IF(AND(F3211&gt;=4,E3211&gt;=3),"Setia",IF(AND(E3211=5,F3211&lt;=2,G3211&gt;=3),"Berpotensi",IF(AND(E3211&lt;=3,E3211&gt;=2,F3211&gt;=3),"Rawan",IF(AND(E3211&lt;=2,F3211&lt;=2),"Tidur","Umum"))))))</f>
        <v/>
      </c>
    </row>
    <row r="3212">
      <c r="B3212">
        <f>IF(A3212="","",$B$1-MAXIFS(Donasi!$A$2:$A$20000,Donasi!$B$2:$B$20000,A3212))</f>
        <v/>
      </c>
      <c r="C3212">
        <f>IF(A3212="","",COUNTIF(Donasi!$B$2:$B$20000,A3212))</f>
        <v/>
      </c>
      <c r="D3212">
        <f>IF(A3212="","",SUMIF(Donasi!$B$2:$B$20000,A3212,Donasi!$C$2:$C$20000))</f>
        <v/>
      </c>
      <c r="E3212">
        <f>IF(A3212="","",6-CEILING(PERCENTRANK.INC($B$3:$B$6000,B3212,4)*5+0.000001,1))</f>
        <v/>
      </c>
      <c r="F3212">
        <f>IF(A3212="","",MAX(1,CEILING(PERCENTRANK.INC($C$3:$C$6000,C3212,4)*5+0.000001,1)))</f>
        <v/>
      </c>
      <c r="G3212">
        <f>IF(A3212="","",MAX(1,CEILING(PERCENTRANK.INC($D$3:$D$6000,D3212,4)*5+0.000001,1)))</f>
        <v/>
      </c>
      <c r="H3212">
        <f>IF(A3212="","",E3212&amp;F3212&amp;G3212)</f>
        <v/>
      </c>
      <c r="I3212">
        <f>IF(A3212="","",IF(AND(E3212&gt;=4,F3212&gt;=4,G3212&gt;=4),"Juara",IF(AND(F3212&gt;=4,E3212&gt;=3),"Setia",IF(AND(E3212=5,F3212&lt;=2,G3212&gt;=3),"Berpotensi",IF(AND(E3212&lt;=3,E3212&gt;=2,F3212&gt;=3),"Rawan",IF(AND(E3212&lt;=2,F3212&lt;=2),"Tidur","Umum"))))))</f>
        <v/>
      </c>
    </row>
    <row r="3213">
      <c r="B3213">
        <f>IF(A3213="","",$B$1-MAXIFS(Donasi!$A$2:$A$20000,Donasi!$B$2:$B$20000,A3213))</f>
        <v/>
      </c>
      <c r="C3213">
        <f>IF(A3213="","",COUNTIF(Donasi!$B$2:$B$20000,A3213))</f>
        <v/>
      </c>
      <c r="D3213">
        <f>IF(A3213="","",SUMIF(Donasi!$B$2:$B$20000,A3213,Donasi!$C$2:$C$20000))</f>
        <v/>
      </c>
      <c r="E3213">
        <f>IF(A3213="","",6-CEILING(PERCENTRANK.INC($B$3:$B$6000,B3213,4)*5+0.000001,1))</f>
        <v/>
      </c>
      <c r="F3213">
        <f>IF(A3213="","",MAX(1,CEILING(PERCENTRANK.INC($C$3:$C$6000,C3213,4)*5+0.000001,1)))</f>
        <v/>
      </c>
      <c r="G3213">
        <f>IF(A3213="","",MAX(1,CEILING(PERCENTRANK.INC($D$3:$D$6000,D3213,4)*5+0.000001,1)))</f>
        <v/>
      </c>
      <c r="H3213">
        <f>IF(A3213="","",E3213&amp;F3213&amp;G3213)</f>
        <v/>
      </c>
      <c r="I3213">
        <f>IF(A3213="","",IF(AND(E3213&gt;=4,F3213&gt;=4,G3213&gt;=4),"Juara",IF(AND(F3213&gt;=4,E3213&gt;=3),"Setia",IF(AND(E3213=5,F3213&lt;=2,G3213&gt;=3),"Berpotensi",IF(AND(E3213&lt;=3,E3213&gt;=2,F3213&gt;=3),"Rawan",IF(AND(E3213&lt;=2,F3213&lt;=2),"Tidur","Umum"))))))</f>
        <v/>
      </c>
    </row>
    <row r="3214">
      <c r="B3214">
        <f>IF(A3214="","",$B$1-MAXIFS(Donasi!$A$2:$A$20000,Donasi!$B$2:$B$20000,A3214))</f>
        <v/>
      </c>
      <c r="C3214">
        <f>IF(A3214="","",COUNTIF(Donasi!$B$2:$B$20000,A3214))</f>
        <v/>
      </c>
      <c r="D3214">
        <f>IF(A3214="","",SUMIF(Donasi!$B$2:$B$20000,A3214,Donasi!$C$2:$C$20000))</f>
        <v/>
      </c>
      <c r="E3214">
        <f>IF(A3214="","",6-CEILING(PERCENTRANK.INC($B$3:$B$6000,B3214,4)*5+0.000001,1))</f>
        <v/>
      </c>
      <c r="F3214">
        <f>IF(A3214="","",MAX(1,CEILING(PERCENTRANK.INC($C$3:$C$6000,C3214,4)*5+0.000001,1)))</f>
        <v/>
      </c>
      <c r="G3214">
        <f>IF(A3214="","",MAX(1,CEILING(PERCENTRANK.INC($D$3:$D$6000,D3214,4)*5+0.000001,1)))</f>
        <v/>
      </c>
      <c r="H3214">
        <f>IF(A3214="","",E3214&amp;F3214&amp;G3214)</f>
        <v/>
      </c>
      <c r="I3214">
        <f>IF(A3214="","",IF(AND(E3214&gt;=4,F3214&gt;=4,G3214&gt;=4),"Juara",IF(AND(F3214&gt;=4,E3214&gt;=3),"Setia",IF(AND(E3214=5,F3214&lt;=2,G3214&gt;=3),"Berpotensi",IF(AND(E3214&lt;=3,E3214&gt;=2,F3214&gt;=3),"Rawan",IF(AND(E3214&lt;=2,F3214&lt;=2),"Tidur","Umum"))))))</f>
        <v/>
      </c>
    </row>
    <row r="3215">
      <c r="B3215">
        <f>IF(A3215="","",$B$1-MAXIFS(Donasi!$A$2:$A$20000,Donasi!$B$2:$B$20000,A3215))</f>
        <v/>
      </c>
      <c r="C3215">
        <f>IF(A3215="","",COUNTIF(Donasi!$B$2:$B$20000,A3215))</f>
        <v/>
      </c>
      <c r="D3215">
        <f>IF(A3215="","",SUMIF(Donasi!$B$2:$B$20000,A3215,Donasi!$C$2:$C$20000))</f>
        <v/>
      </c>
      <c r="E3215">
        <f>IF(A3215="","",6-CEILING(PERCENTRANK.INC($B$3:$B$6000,B3215,4)*5+0.000001,1))</f>
        <v/>
      </c>
      <c r="F3215">
        <f>IF(A3215="","",MAX(1,CEILING(PERCENTRANK.INC($C$3:$C$6000,C3215,4)*5+0.000001,1)))</f>
        <v/>
      </c>
      <c r="G3215">
        <f>IF(A3215="","",MAX(1,CEILING(PERCENTRANK.INC($D$3:$D$6000,D3215,4)*5+0.000001,1)))</f>
        <v/>
      </c>
      <c r="H3215">
        <f>IF(A3215="","",E3215&amp;F3215&amp;G3215)</f>
        <v/>
      </c>
      <c r="I3215">
        <f>IF(A3215="","",IF(AND(E3215&gt;=4,F3215&gt;=4,G3215&gt;=4),"Juara",IF(AND(F3215&gt;=4,E3215&gt;=3),"Setia",IF(AND(E3215=5,F3215&lt;=2,G3215&gt;=3),"Berpotensi",IF(AND(E3215&lt;=3,E3215&gt;=2,F3215&gt;=3),"Rawan",IF(AND(E3215&lt;=2,F3215&lt;=2),"Tidur","Umum"))))))</f>
        <v/>
      </c>
    </row>
    <row r="3216">
      <c r="B3216">
        <f>IF(A3216="","",$B$1-MAXIFS(Donasi!$A$2:$A$20000,Donasi!$B$2:$B$20000,A3216))</f>
        <v/>
      </c>
      <c r="C3216">
        <f>IF(A3216="","",COUNTIF(Donasi!$B$2:$B$20000,A3216))</f>
        <v/>
      </c>
      <c r="D3216">
        <f>IF(A3216="","",SUMIF(Donasi!$B$2:$B$20000,A3216,Donasi!$C$2:$C$20000))</f>
        <v/>
      </c>
      <c r="E3216">
        <f>IF(A3216="","",6-CEILING(PERCENTRANK.INC($B$3:$B$6000,B3216,4)*5+0.000001,1))</f>
        <v/>
      </c>
      <c r="F3216">
        <f>IF(A3216="","",MAX(1,CEILING(PERCENTRANK.INC($C$3:$C$6000,C3216,4)*5+0.000001,1)))</f>
        <v/>
      </c>
      <c r="G3216">
        <f>IF(A3216="","",MAX(1,CEILING(PERCENTRANK.INC($D$3:$D$6000,D3216,4)*5+0.000001,1)))</f>
        <v/>
      </c>
      <c r="H3216">
        <f>IF(A3216="","",E3216&amp;F3216&amp;G3216)</f>
        <v/>
      </c>
      <c r="I3216">
        <f>IF(A3216="","",IF(AND(E3216&gt;=4,F3216&gt;=4,G3216&gt;=4),"Juara",IF(AND(F3216&gt;=4,E3216&gt;=3),"Setia",IF(AND(E3216=5,F3216&lt;=2,G3216&gt;=3),"Berpotensi",IF(AND(E3216&lt;=3,E3216&gt;=2,F3216&gt;=3),"Rawan",IF(AND(E3216&lt;=2,F3216&lt;=2),"Tidur","Umum"))))))</f>
        <v/>
      </c>
    </row>
    <row r="3217">
      <c r="B3217">
        <f>IF(A3217="","",$B$1-MAXIFS(Donasi!$A$2:$A$20000,Donasi!$B$2:$B$20000,A3217))</f>
        <v/>
      </c>
      <c r="C3217">
        <f>IF(A3217="","",COUNTIF(Donasi!$B$2:$B$20000,A3217))</f>
        <v/>
      </c>
      <c r="D3217">
        <f>IF(A3217="","",SUMIF(Donasi!$B$2:$B$20000,A3217,Donasi!$C$2:$C$20000))</f>
        <v/>
      </c>
      <c r="E3217">
        <f>IF(A3217="","",6-CEILING(PERCENTRANK.INC($B$3:$B$6000,B3217,4)*5+0.000001,1))</f>
        <v/>
      </c>
      <c r="F3217">
        <f>IF(A3217="","",MAX(1,CEILING(PERCENTRANK.INC($C$3:$C$6000,C3217,4)*5+0.000001,1)))</f>
        <v/>
      </c>
      <c r="G3217">
        <f>IF(A3217="","",MAX(1,CEILING(PERCENTRANK.INC($D$3:$D$6000,D3217,4)*5+0.000001,1)))</f>
        <v/>
      </c>
      <c r="H3217">
        <f>IF(A3217="","",E3217&amp;F3217&amp;G3217)</f>
        <v/>
      </c>
      <c r="I3217">
        <f>IF(A3217="","",IF(AND(E3217&gt;=4,F3217&gt;=4,G3217&gt;=4),"Juara",IF(AND(F3217&gt;=4,E3217&gt;=3),"Setia",IF(AND(E3217=5,F3217&lt;=2,G3217&gt;=3),"Berpotensi",IF(AND(E3217&lt;=3,E3217&gt;=2,F3217&gt;=3),"Rawan",IF(AND(E3217&lt;=2,F3217&lt;=2),"Tidur","Umum"))))))</f>
        <v/>
      </c>
    </row>
    <row r="3218">
      <c r="B3218">
        <f>IF(A3218="","",$B$1-MAXIFS(Donasi!$A$2:$A$20000,Donasi!$B$2:$B$20000,A3218))</f>
        <v/>
      </c>
      <c r="C3218">
        <f>IF(A3218="","",COUNTIF(Donasi!$B$2:$B$20000,A3218))</f>
        <v/>
      </c>
      <c r="D3218">
        <f>IF(A3218="","",SUMIF(Donasi!$B$2:$B$20000,A3218,Donasi!$C$2:$C$20000))</f>
        <v/>
      </c>
      <c r="E3218">
        <f>IF(A3218="","",6-CEILING(PERCENTRANK.INC($B$3:$B$6000,B3218,4)*5+0.000001,1))</f>
        <v/>
      </c>
      <c r="F3218">
        <f>IF(A3218="","",MAX(1,CEILING(PERCENTRANK.INC($C$3:$C$6000,C3218,4)*5+0.000001,1)))</f>
        <v/>
      </c>
      <c r="G3218">
        <f>IF(A3218="","",MAX(1,CEILING(PERCENTRANK.INC($D$3:$D$6000,D3218,4)*5+0.000001,1)))</f>
        <v/>
      </c>
      <c r="H3218">
        <f>IF(A3218="","",E3218&amp;F3218&amp;G3218)</f>
        <v/>
      </c>
      <c r="I3218">
        <f>IF(A3218="","",IF(AND(E3218&gt;=4,F3218&gt;=4,G3218&gt;=4),"Juara",IF(AND(F3218&gt;=4,E3218&gt;=3),"Setia",IF(AND(E3218=5,F3218&lt;=2,G3218&gt;=3),"Berpotensi",IF(AND(E3218&lt;=3,E3218&gt;=2,F3218&gt;=3),"Rawan",IF(AND(E3218&lt;=2,F3218&lt;=2),"Tidur","Umum"))))))</f>
        <v/>
      </c>
    </row>
    <row r="3219">
      <c r="B3219">
        <f>IF(A3219="","",$B$1-MAXIFS(Donasi!$A$2:$A$20000,Donasi!$B$2:$B$20000,A3219))</f>
        <v/>
      </c>
      <c r="C3219">
        <f>IF(A3219="","",COUNTIF(Donasi!$B$2:$B$20000,A3219))</f>
        <v/>
      </c>
      <c r="D3219">
        <f>IF(A3219="","",SUMIF(Donasi!$B$2:$B$20000,A3219,Donasi!$C$2:$C$20000))</f>
        <v/>
      </c>
      <c r="E3219">
        <f>IF(A3219="","",6-CEILING(PERCENTRANK.INC($B$3:$B$6000,B3219,4)*5+0.000001,1))</f>
        <v/>
      </c>
      <c r="F3219">
        <f>IF(A3219="","",MAX(1,CEILING(PERCENTRANK.INC($C$3:$C$6000,C3219,4)*5+0.000001,1)))</f>
        <v/>
      </c>
      <c r="G3219">
        <f>IF(A3219="","",MAX(1,CEILING(PERCENTRANK.INC($D$3:$D$6000,D3219,4)*5+0.000001,1)))</f>
        <v/>
      </c>
      <c r="H3219">
        <f>IF(A3219="","",E3219&amp;F3219&amp;G3219)</f>
        <v/>
      </c>
      <c r="I3219">
        <f>IF(A3219="","",IF(AND(E3219&gt;=4,F3219&gt;=4,G3219&gt;=4),"Juara",IF(AND(F3219&gt;=4,E3219&gt;=3),"Setia",IF(AND(E3219=5,F3219&lt;=2,G3219&gt;=3),"Berpotensi",IF(AND(E3219&lt;=3,E3219&gt;=2,F3219&gt;=3),"Rawan",IF(AND(E3219&lt;=2,F3219&lt;=2),"Tidur","Umum"))))))</f>
        <v/>
      </c>
    </row>
    <row r="3220">
      <c r="B3220">
        <f>IF(A3220="","",$B$1-MAXIFS(Donasi!$A$2:$A$20000,Donasi!$B$2:$B$20000,A3220))</f>
        <v/>
      </c>
      <c r="C3220">
        <f>IF(A3220="","",COUNTIF(Donasi!$B$2:$B$20000,A3220))</f>
        <v/>
      </c>
      <c r="D3220">
        <f>IF(A3220="","",SUMIF(Donasi!$B$2:$B$20000,A3220,Donasi!$C$2:$C$20000))</f>
        <v/>
      </c>
      <c r="E3220">
        <f>IF(A3220="","",6-CEILING(PERCENTRANK.INC($B$3:$B$6000,B3220,4)*5+0.000001,1))</f>
        <v/>
      </c>
      <c r="F3220">
        <f>IF(A3220="","",MAX(1,CEILING(PERCENTRANK.INC($C$3:$C$6000,C3220,4)*5+0.000001,1)))</f>
        <v/>
      </c>
      <c r="G3220">
        <f>IF(A3220="","",MAX(1,CEILING(PERCENTRANK.INC($D$3:$D$6000,D3220,4)*5+0.000001,1)))</f>
        <v/>
      </c>
      <c r="H3220">
        <f>IF(A3220="","",E3220&amp;F3220&amp;G3220)</f>
        <v/>
      </c>
      <c r="I3220">
        <f>IF(A3220="","",IF(AND(E3220&gt;=4,F3220&gt;=4,G3220&gt;=4),"Juara",IF(AND(F3220&gt;=4,E3220&gt;=3),"Setia",IF(AND(E3220=5,F3220&lt;=2,G3220&gt;=3),"Berpotensi",IF(AND(E3220&lt;=3,E3220&gt;=2,F3220&gt;=3),"Rawan",IF(AND(E3220&lt;=2,F3220&lt;=2),"Tidur","Umum"))))))</f>
        <v/>
      </c>
    </row>
    <row r="3221">
      <c r="B3221">
        <f>IF(A3221="","",$B$1-MAXIFS(Donasi!$A$2:$A$20000,Donasi!$B$2:$B$20000,A3221))</f>
        <v/>
      </c>
      <c r="C3221">
        <f>IF(A3221="","",COUNTIF(Donasi!$B$2:$B$20000,A3221))</f>
        <v/>
      </c>
      <c r="D3221">
        <f>IF(A3221="","",SUMIF(Donasi!$B$2:$B$20000,A3221,Donasi!$C$2:$C$20000))</f>
        <v/>
      </c>
      <c r="E3221">
        <f>IF(A3221="","",6-CEILING(PERCENTRANK.INC($B$3:$B$6000,B3221,4)*5+0.000001,1))</f>
        <v/>
      </c>
      <c r="F3221">
        <f>IF(A3221="","",MAX(1,CEILING(PERCENTRANK.INC($C$3:$C$6000,C3221,4)*5+0.000001,1)))</f>
        <v/>
      </c>
      <c r="G3221">
        <f>IF(A3221="","",MAX(1,CEILING(PERCENTRANK.INC($D$3:$D$6000,D3221,4)*5+0.000001,1)))</f>
        <v/>
      </c>
      <c r="H3221">
        <f>IF(A3221="","",E3221&amp;F3221&amp;G3221)</f>
        <v/>
      </c>
      <c r="I3221">
        <f>IF(A3221="","",IF(AND(E3221&gt;=4,F3221&gt;=4,G3221&gt;=4),"Juara",IF(AND(F3221&gt;=4,E3221&gt;=3),"Setia",IF(AND(E3221=5,F3221&lt;=2,G3221&gt;=3),"Berpotensi",IF(AND(E3221&lt;=3,E3221&gt;=2,F3221&gt;=3),"Rawan",IF(AND(E3221&lt;=2,F3221&lt;=2),"Tidur","Umum"))))))</f>
        <v/>
      </c>
    </row>
    <row r="3222">
      <c r="B3222">
        <f>IF(A3222="","",$B$1-MAXIFS(Donasi!$A$2:$A$20000,Donasi!$B$2:$B$20000,A3222))</f>
        <v/>
      </c>
      <c r="C3222">
        <f>IF(A3222="","",COUNTIF(Donasi!$B$2:$B$20000,A3222))</f>
        <v/>
      </c>
      <c r="D3222">
        <f>IF(A3222="","",SUMIF(Donasi!$B$2:$B$20000,A3222,Donasi!$C$2:$C$20000))</f>
        <v/>
      </c>
      <c r="E3222">
        <f>IF(A3222="","",6-CEILING(PERCENTRANK.INC($B$3:$B$6000,B3222,4)*5+0.000001,1))</f>
        <v/>
      </c>
      <c r="F3222">
        <f>IF(A3222="","",MAX(1,CEILING(PERCENTRANK.INC($C$3:$C$6000,C3222,4)*5+0.000001,1)))</f>
        <v/>
      </c>
      <c r="G3222">
        <f>IF(A3222="","",MAX(1,CEILING(PERCENTRANK.INC($D$3:$D$6000,D3222,4)*5+0.000001,1)))</f>
        <v/>
      </c>
      <c r="H3222">
        <f>IF(A3222="","",E3222&amp;F3222&amp;G3222)</f>
        <v/>
      </c>
      <c r="I3222">
        <f>IF(A3222="","",IF(AND(E3222&gt;=4,F3222&gt;=4,G3222&gt;=4),"Juara",IF(AND(F3222&gt;=4,E3222&gt;=3),"Setia",IF(AND(E3222=5,F3222&lt;=2,G3222&gt;=3),"Berpotensi",IF(AND(E3222&lt;=3,E3222&gt;=2,F3222&gt;=3),"Rawan",IF(AND(E3222&lt;=2,F3222&lt;=2),"Tidur","Umum"))))))</f>
        <v/>
      </c>
    </row>
    <row r="3223">
      <c r="B3223">
        <f>IF(A3223="","",$B$1-MAXIFS(Donasi!$A$2:$A$20000,Donasi!$B$2:$B$20000,A3223))</f>
        <v/>
      </c>
      <c r="C3223">
        <f>IF(A3223="","",COUNTIF(Donasi!$B$2:$B$20000,A3223))</f>
        <v/>
      </c>
      <c r="D3223">
        <f>IF(A3223="","",SUMIF(Donasi!$B$2:$B$20000,A3223,Donasi!$C$2:$C$20000))</f>
        <v/>
      </c>
      <c r="E3223">
        <f>IF(A3223="","",6-CEILING(PERCENTRANK.INC($B$3:$B$6000,B3223,4)*5+0.000001,1))</f>
        <v/>
      </c>
      <c r="F3223">
        <f>IF(A3223="","",MAX(1,CEILING(PERCENTRANK.INC($C$3:$C$6000,C3223,4)*5+0.000001,1)))</f>
        <v/>
      </c>
      <c r="G3223">
        <f>IF(A3223="","",MAX(1,CEILING(PERCENTRANK.INC($D$3:$D$6000,D3223,4)*5+0.000001,1)))</f>
        <v/>
      </c>
      <c r="H3223">
        <f>IF(A3223="","",E3223&amp;F3223&amp;G3223)</f>
        <v/>
      </c>
      <c r="I3223">
        <f>IF(A3223="","",IF(AND(E3223&gt;=4,F3223&gt;=4,G3223&gt;=4),"Juara",IF(AND(F3223&gt;=4,E3223&gt;=3),"Setia",IF(AND(E3223=5,F3223&lt;=2,G3223&gt;=3),"Berpotensi",IF(AND(E3223&lt;=3,E3223&gt;=2,F3223&gt;=3),"Rawan",IF(AND(E3223&lt;=2,F3223&lt;=2),"Tidur","Umum"))))))</f>
        <v/>
      </c>
    </row>
    <row r="3224">
      <c r="B3224">
        <f>IF(A3224="","",$B$1-MAXIFS(Donasi!$A$2:$A$20000,Donasi!$B$2:$B$20000,A3224))</f>
        <v/>
      </c>
      <c r="C3224">
        <f>IF(A3224="","",COUNTIF(Donasi!$B$2:$B$20000,A3224))</f>
        <v/>
      </c>
      <c r="D3224">
        <f>IF(A3224="","",SUMIF(Donasi!$B$2:$B$20000,A3224,Donasi!$C$2:$C$20000))</f>
        <v/>
      </c>
      <c r="E3224">
        <f>IF(A3224="","",6-CEILING(PERCENTRANK.INC($B$3:$B$6000,B3224,4)*5+0.000001,1))</f>
        <v/>
      </c>
      <c r="F3224">
        <f>IF(A3224="","",MAX(1,CEILING(PERCENTRANK.INC($C$3:$C$6000,C3224,4)*5+0.000001,1)))</f>
        <v/>
      </c>
      <c r="G3224">
        <f>IF(A3224="","",MAX(1,CEILING(PERCENTRANK.INC($D$3:$D$6000,D3224,4)*5+0.000001,1)))</f>
        <v/>
      </c>
      <c r="H3224">
        <f>IF(A3224="","",E3224&amp;F3224&amp;G3224)</f>
        <v/>
      </c>
      <c r="I3224">
        <f>IF(A3224="","",IF(AND(E3224&gt;=4,F3224&gt;=4,G3224&gt;=4),"Juara",IF(AND(F3224&gt;=4,E3224&gt;=3),"Setia",IF(AND(E3224=5,F3224&lt;=2,G3224&gt;=3),"Berpotensi",IF(AND(E3224&lt;=3,E3224&gt;=2,F3224&gt;=3),"Rawan",IF(AND(E3224&lt;=2,F3224&lt;=2),"Tidur","Umum"))))))</f>
        <v/>
      </c>
    </row>
    <row r="3225">
      <c r="B3225">
        <f>IF(A3225="","",$B$1-MAXIFS(Donasi!$A$2:$A$20000,Donasi!$B$2:$B$20000,A3225))</f>
        <v/>
      </c>
      <c r="C3225">
        <f>IF(A3225="","",COUNTIF(Donasi!$B$2:$B$20000,A3225))</f>
        <v/>
      </c>
      <c r="D3225">
        <f>IF(A3225="","",SUMIF(Donasi!$B$2:$B$20000,A3225,Donasi!$C$2:$C$20000))</f>
        <v/>
      </c>
      <c r="E3225">
        <f>IF(A3225="","",6-CEILING(PERCENTRANK.INC($B$3:$B$6000,B3225,4)*5+0.000001,1))</f>
        <v/>
      </c>
      <c r="F3225">
        <f>IF(A3225="","",MAX(1,CEILING(PERCENTRANK.INC($C$3:$C$6000,C3225,4)*5+0.000001,1)))</f>
        <v/>
      </c>
      <c r="G3225">
        <f>IF(A3225="","",MAX(1,CEILING(PERCENTRANK.INC($D$3:$D$6000,D3225,4)*5+0.000001,1)))</f>
        <v/>
      </c>
      <c r="H3225">
        <f>IF(A3225="","",E3225&amp;F3225&amp;G3225)</f>
        <v/>
      </c>
      <c r="I3225">
        <f>IF(A3225="","",IF(AND(E3225&gt;=4,F3225&gt;=4,G3225&gt;=4),"Juara",IF(AND(F3225&gt;=4,E3225&gt;=3),"Setia",IF(AND(E3225=5,F3225&lt;=2,G3225&gt;=3),"Berpotensi",IF(AND(E3225&lt;=3,E3225&gt;=2,F3225&gt;=3),"Rawan",IF(AND(E3225&lt;=2,F3225&lt;=2),"Tidur","Umum"))))))</f>
        <v/>
      </c>
    </row>
    <row r="3226">
      <c r="B3226">
        <f>IF(A3226="","",$B$1-MAXIFS(Donasi!$A$2:$A$20000,Donasi!$B$2:$B$20000,A3226))</f>
        <v/>
      </c>
      <c r="C3226">
        <f>IF(A3226="","",COUNTIF(Donasi!$B$2:$B$20000,A3226))</f>
        <v/>
      </c>
      <c r="D3226">
        <f>IF(A3226="","",SUMIF(Donasi!$B$2:$B$20000,A3226,Donasi!$C$2:$C$20000))</f>
        <v/>
      </c>
      <c r="E3226">
        <f>IF(A3226="","",6-CEILING(PERCENTRANK.INC($B$3:$B$6000,B3226,4)*5+0.000001,1))</f>
        <v/>
      </c>
      <c r="F3226">
        <f>IF(A3226="","",MAX(1,CEILING(PERCENTRANK.INC($C$3:$C$6000,C3226,4)*5+0.000001,1)))</f>
        <v/>
      </c>
      <c r="G3226">
        <f>IF(A3226="","",MAX(1,CEILING(PERCENTRANK.INC($D$3:$D$6000,D3226,4)*5+0.000001,1)))</f>
        <v/>
      </c>
      <c r="H3226">
        <f>IF(A3226="","",E3226&amp;F3226&amp;G3226)</f>
        <v/>
      </c>
      <c r="I3226">
        <f>IF(A3226="","",IF(AND(E3226&gt;=4,F3226&gt;=4,G3226&gt;=4),"Juara",IF(AND(F3226&gt;=4,E3226&gt;=3),"Setia",IF(AND(E3226=5,F3226&lt;=2,G3226&gt;=3),"Berpotensi",IF(AND(E3226&lt;=3,E3226&gt;=2,F3226&gt;=3),"Rawan",IF(AND(E3226&lt;=2,F3226&lt;=2),"Tidur","Umum"))))))</f>
        <v/>
      </c>
    </row>
    <row r="3227">
      <c r="B3227">
        <f>IF(A3227="","",$B$1-MAXIFS(Donasi!$A$2:$A$20000,Donasi!$B$2:$B$20000,A3227))</f>
        <v/>
      </c>
      <c r="C3227">
        <f>IF(A3227="","",COUNTIF(Donasi!$B$2:$B$20000,A3227))</f>
        <v/>
      </c>
      <c r="D3227">
        <f>IF(A3227="","",SUMIF(Donasi!$B$2:$B$20000,A3227,Donasi!$C$2:$C$20000))</f>
        <v/>
      </c>
      <c r="E3227">
        <f>IF(A3227="","",6-CEILING(PERCENTRANK.INC($B$3:$B$6000,B3227,4)*5+0.000001,1))</f>
        <v/>
      </c>
      <c r="F3227">
        <f>IF(A3227="","",MAX(1,CEILING(PERCENTRANK.INC($C$3:$C$6000,C3227,4)*5+0.000001,1)))</f>
        <v/>
      </c>
      <c r="G3227">
        <f>IF(A3227="","",MAX(1,CEILING(PERCENTRANK.INC($D$3:$D$6000,D3227,4)*5+0.000001,1)))</f>
        <v/>
      </c>
      <c r="H3227">
        <f>IF(A3227="","",E3227&amp;F3227&amp;G3227)</f>
        <v/>
      </c>
      <c r="I3227">
        <f>IF(A3227="","",IF(AND(E3227&gt;=4,F3227&gt;=4,G3227&gt;=4),"Juara",IF(AND(F3227&gt;=4,E3227&gt;=3),"Setia",IF(AND(E3227=5,F3227&lt;=2,G3227&gt;=3),"Berpotensi",IF(AND(E3227&lt;=3,E3227&gt;=2,F3227&gt;=3),"Rawan",IF(AND(E3227&lt;=2,F3227&lt;=2),"Tidur","Umum"))))))</f>
        <v/>
      </c>
    </row>
    <row r="3228">
      <c r="B3228">
        <f>IF(A3228="","",$B$1-MAXIFS(Donasi!$A$2:$A$20000,Donasi!$B$2:$B$20000,A3228))</f>
        <v/>
      </c>
      <c r="C3228">
        <f>IF(A3228="","",COUNTIF(Donasi!$B$2:$B$20000,A3228))</f>
        <v/>
      </c>
      <c r="D3228">
        <f>IF(A3228="","",SUMIF(Donasi!$B$2:$B$20000,A3228,Donasi!$C$2:$C$20000))</f>
        <v/>
      </c>
      <c r="E3228">
        <f>IF(A3228="","",6-CEILING(PERCENTRANK.INC($B$3:$B$6000,B3228,4)*5+0.000001,1))</f>
        <v/>
      </c>
      <c r="F3228">
        <f>IF(A3228="","",MAX(1,CEILING(PERCENTRANK.INC($C$3:$C$6000,C3228,4)*5+0.000001,1)))</f>
        <v/>
      </c>
      <c r="G3228">
        <f>IF(A3228="","",MAX(1,CEILING(PERCENTRANK.INC($D$3:$D$6000,D3228,4)*5+0.000001,1)))</f>
        <v/>
      </c>
      <c r="H3228">
        <f>IF(A3228="","",E3228&amp;F3228&amp;G3228)</f>
        <v/>
      </c>
      <c r="I3228">
        <f>IF(A3228="","",IF(AND(E3228&gt;=4,F3228&gt;=4,G3228&gt;=4),"Juara",IF(AND(F3228&gt;=4,E3228&gt;=3),"Setia",IF(AND(E3228=5,F3228&lt;=2,G3228&gt;=3),"Berpotensi",IF(AND(E3228&lt;=3,E3228&gt;=2,F3228&gt;=3),"Rawan",IF(AND(E3228&lt;=2,F3228&lt;=2),"Tidur","Umum"))))))</f>
        <v/>
      </c>
    </row>
    <row r="3229">
      <c r="B3229">
        <f>IF(A3229="","",$B$1-MAXIFS(Donasi!$A$2:$A$20000,Donasi!$B$2:$B$20000,A3229))</f>
        <v/>
      </c>
      <c r="C3229">
        <f>IF(A3229="","",COUNTIF(Donasi!$B$2:$B$20000,A3229))</f>
        <v/>
      </c>
      <c r="D3229">
        <f>IF(A3229="","",SUMIF(Donasi!$B$2:$B$20000,A3229,Donasi!$C$2:$C$20000))</f>
        <v/>
      </c>
      <c r="E3229">
        <f>IF(A3229="","",6-CEILING(PERCENTRANK.INC($B$3:$B$6000,B3229,4)*5+0.000001,1))</f>
        <v/>
      </c>
      <c r="F3229">
        <f>IF(A3229="","",MAX(1,CEILING(PERCENTRANK.INC($C$3:$C$6000,C3229,4)*5+0.000001,1)))</f>
        <v/>
      </c>
      <c r="G3229">
        <f>IF(A3229="","",MAX(1,CEILING(PERCENTRANK.INC($D$3:$D$6000,D3229,4)*5+0.000001,1)))</f>
        <v/>
      </c>
      <c r="H3229">
        <f>IF(A3229="","",E3229&amp;F3229&amp;G3229)</f>
        <v/>
      </c>
      <c r="I3229">
        <f>IF(A3229="","",IF(AND(E3229&gt;=4,F3229&gt;=4,G3229&gt;=4),"Juara",IF(AND(F3229&gt;=4,E3229&gt;=3),"Setia",IF(AND(E3229=5,F3229&lt;=2,G3229&gt;=3),"Berpotensi",IF(AND(E3229&lt;=3,E3229&gt;=2,F3229&gt;=3),"Rawan",IF(AND(E3229&lt;=2,F3229&lt;=2),"Tidur","Umum"))))))</f>
        <v/>
      </c>
    </row>
    <row r="3230">
      <c r="B3230">
        <f>IF(A3230="","",$B$1-MAXIFS(Donasi!$A$2:$A$20000,Donasi!$B$2:$B$20000,A3230))</f>
        <v/>
      </c>
      <c r="C3230">
        <f>IF(A3230="","",COUNTIF(Donasi!$B$2:$B$20000,A3230))</f>
        <v/>
      </c>
      <c r="D3230">
        <f>IF(A3230="","",SUMIF(Donasi!$B$2:$B$20000,A3230,Donasi!$C$2:$C$20000))</f>
        <v/>
      </c>
      <c r="E3230">
        <f>IF(A3230="","",6-CEILING(PERCENTRANK.INC($B$3:$B$6000,B3230,4)*5+0.000001,1))</f>
        <v/>
      </c>
      <c r="F3230">
        <f>IF(A3230="","",MAX(1,CEILING(PERCENTRANK.INC($C$3:$C$6000,C3230,4)*5+0.000001,1)))</f>
        <v/>
      </c>
      <c r="G3230">
        <f>IF(A3230="","",MAX(1,CEILING(PERCENTRANK.INC($D$3:$D$6000,D3230,4)*5+0.000001,1)))</f>
        <v/>
      </c>
      <c r="H3230">
        <f>IF(A3230="","",E3230&amp;F3230&amp;G3230)</f>
        <v/>
      </c>
      <c r="I3230">
        <f>IF(A3230="","",IF(AND(E3230&gt;=4,F3230&gt;=4,G3230&gt;=4),"Juara",IF(AND(F3230&gt;=4,E3230&gt;=3),"Setia",IF(AND(E3230=5,F3230&lt;=2,G3230&gt;=3),"Berpotensi",IF(AND(E3230&lt;=3,E3230&gt;=2,F3230&gt;=3),"Rawan",IF(AND(E3230&lt;=2,F3230&lt;=2),"Tidur","Umum"))))))</f>
        <v/>
      </c>
    </row>
    <row r="3231">
      <c r="B3231">
        <f>IF(A3231="","",$B$1-MAXIFS(Donasi!$A$2:$A$20000,Donasi!$B$2:$B$20000,A3231))</f>
        <v/>
      </c>
      <c r="C3231">
        <f>IF(A3231="","",COUNTIF(Donasi!$B$2:$B$20000,A3231))</f>
        <v/>
      </c>
      <c r="D3231">
        <f>IF(A3231="","",SUMIF(Donasi!$B$2:$B$20000,A3231,Donasi!$C$2:$C$20000))</f>
        <v/>
      </c>
      <c r="E3231">
        <f>IF(A3231="","",6-CEILING(PERCENTRANK.INC($B$3:$B$6000,B3231,4)*5+0.000001,1))</f>
        <v/>
      </c>
      <c r="F3231">
        <f>IF(A3231="","",MAX(1,CEILING(PERCENTRANK.INC($C$3:$C$6000,C3231,4)*5+0.000001,1)))</f>
        <v/>
      </c>
      <c r="G3231">
        <f>IF(A3231="","",MAX(1,CEILING(PERCENTRANK.INC($D$3:$D$6000,D3231,4)*5+0.000001,1)))</f>
        <v/>
      </c>
      <c r="H3231">
        <f>IF(A3231="","",E3231&amp;F3231&amp;G3231)</f>
        <v/>
      </c>
      <c r="I3231">
        <f>IF(A3231="","",IF(AND(E3231&gt;=4,F3231&gt;=4,G3231&gt;=4),"Juara",IF(AND(F3231&gt;=4,E3231&gt;=3),"Setia",IF(AND(E3231=5,F3231&lt;=2,G3231&gt;=3),"Berpotensi",IF(AND(E3231&lt;=3,E3231&gt;=2,F3231&gt;=3),"Rawan",IF(AND(E3231&lt;=2,F3231&lt;=2),"Tidur","Umum"))))))</f>
        <v/>
      </c>
    </row>
    <row r="3232">
      <c r="B3232">
        <f>IF(A3232="","",$B$1-MAXIFS(Donasi!$A$2:$A$20000,Donasi!$B$2:$B$20000,A3232))</f>
        <v/>
      </c>
      <c r="C3232">
        <f>IF(A3232="","",COUNTIF(Donasi!$B$2:$B$20000,A3232))</f>
        <v/>
      </c>
      <c r="D3232">
        <f>IF(A3232="","",SUMIF(Donasi!$B$2:$B$20000,A3232,Donasi!$C$2:$C$20000))</f>
        <v/>
      </c>
      <c r="E3232">
        <f>IF(A3232="","",6-CEILING(PERCENTRANK.INC($B$3:$B$6000,B3232,4)*5+0.000001,1))</f>
        <v/>
      </c>
      <c r="F3232">
        <f>IF(A3232="","",MAX(1,CEILING(PERCENTRANK.INC($C$3:$C$6000,C3232,4)*5+0.000001,1)))</f>
        <v/>
      </c>
      <c r="G3232">
        <f>IF(A3232="","",MAX(1,CEILING(PERCENTRANK.INC($D$3:$D$6000,D3232,4)*5+0.000001,1)))</f>
        <v/>
      </c>
      <c r="H3232">
        <f>IF(A3232="","",E3232&amp;F3232&amp;G3232)</f>
        <v/>
      </c>
      <c r="I3232">
        <f>IF(A3232="","",IF(AND(E3232&gt;=4,F3232&gt;=4,G3232&gt;=4),"Juara",IF(AND(F3232&gt;=4,E3232&gt;=3),"Setia",IF(AND(E3232=5,F3232&lt;=2,G3232&gt;=3),"Berpotensi",IF(AND(E3232&lt;=3,E3232&gt;=2,F3232&gt;=3),"Rawan",IF(AND(E3232&lt;=2,F3232&lt;=2),"Tidur","Umum"))))))</f>
        <v/>
      </c>
    </row>
    <row r="3233">
      <c r="B3233">
        <f>IF(A3233="","",$B$1-MAXIFS(Donasi!$A$2:$A$20000,Donasi!$B$2:$B$20000,A3233))</f>
        <v/>
      </c>
      <c r="C3233">
        <f>IF(A3233="","",COUNTIF(Donasi!$B$2:$B$20000,A3233))</f>
        <v/>
      </c>
      <c r="D3233">
        <f>IF(A3233="","",SUMIF(Donasi!$B$2:$B$20000,A3233,Donasi!$C$2:$C$20000))</f>
        <v/>
      </c>
      <c r="E3233">
        <f>IF(A3233="","",6-CEILING(PERCENTRANK.INC($B$3:$B$6000,B3233,4)*5+0.000001,1))</f>
        <v/>
      </c>
      <c r="F3233">
        <f>IF(A3233="","",MAX(1,CEILING(PERCENTRANK.INC($C$3:$C$6000,C3233,4)*5+0.000001,1)))</f>
        <v/>
      </c>
      <c r="G3233">
        <f>IF(A3233="","",MAX(1,CEILING(PERCENTRANK.INC($D$3:$D$6000,D3233,4)*5+0.000001,1)))</f>
        <v/>
      </c>
      <c r="H3233">
        <f>IF(A3233="","",E3233&amp;F3233&amp;G3233)</f>
        <v/>
      </c>
      <c r="I3233">
        <f>IF(A3233="","",IF(AND(E3233&gt;=4,F3233&gt;=4,G3233&gt;=4),"Juara",IF(AND(F3233&gt;=4,E3233&gt;=3),"Setia",IF(AND(E3233=5,F3233&lt;=2,G3233&gt;=3),"Berpotensi",IF(AND(E3233&lt;=3,E3233&gt;=2,F3233&gt;=3),"Rawan",IF(AND(E3233&lt;=2,F3233&lt;=2),"Tidur","Umum"))))))</f>
        <v/>
      </c>
    </row>
    <row r="3234">
      <c r="B3234">
        <f>IF(A3234="","",$B$1-MAXIFS(Donasi!$A$2:$A$20000,Donasi!$B$2:$B$20000,A3234))</f>
        <v/>
      </c>
      <c r="C3234">
        <f>IF(A3234="","",COUNTIF(Donasi!$B$2:$B$20000,A3234))</f>
        <v/>
      </c>
      <c r="D3234">
        <f>IF(A3234="","",SUMIF(Donasi!$B$2:$B$20000,A3234,Donasi!$C$2:$C$20000))</f>
        <v/>
      </c>
      <c r="E3234">
        <f>IF(A3234="","",6-CEILING(PERCENTRANK.INC($B$3:$B$6000,B3234,4)*5+0.000001,1))</f>
        <v/>
      </c>
      <c r="F3234">
        <f>IF(A3234="","",MAX(1,CEILING(PERCENTRANK.INC($C$3:$C$6000,C3234,4)*5+0.000001,1)))</f>
        <v/>
      </c>
      <c r="G3234">
        <f>IF(A3234="","",MAX(1,CEILING(PERCENTRANK.INC($D$3:$D$6000,D3234,4)*5+0.000001,1)))</f>
        <v/>
      </c>
      <c r="H3234">
        <f>IF(A3234="","",E3234&amp;F3234&amp;G3234)</f>
        <v/>
      </c>
      <c r="I3234">
        <f>IF(A3234="","",IF(AND(E3234&gt;=4,F3234&gt;=4,G3234&gt;=4),"Juara",IF(AND(F3234&gt;=4,E3234&gt;=3),"Setia",IF(AND(E3234=5,F3234&lt;=2,G3234&gt;=3),"Berpotensi",IF(AND(E3234&lt;=3,E3234&gt;=2,F3234&gt;=3),"Rawan",IF(AND(E3234&lt;=2,F3234&lt;=2),"Tidur","Umum"))))))</f>
        <v/>
      </c>
    </row>
    <row r="3235">
      <c r="B3235">
        <f>IF(A3235="","",$B$1-MAXIFS(Donasi!$A$2:$A$20000,Donasi!$B$2:$B$20000,A3235))</f>
        <v/>
      </c>
      <c r="C3235">
        <f>IF(A3235="","",COUNTIF(Donasi!$B$2:$B$20000,A3235))</f>
        <v/>
      </c>
      <c r="D3235">
        <f>IF(A3235="","",SUMIF(Donasi!$B$2:$B$20000,A3235,Donasi!$C$2:$C$20000))</f>
        <v/>
      </c>
      <c r="E3235">
        <f>IF(A3235="","",6-CEILING(PERCENTRANK.INC($B$3:$B$6000,B3235,4)*5+0.000001,1))</f>
        <v/>
      </c>
      <c r="F3235">
        <f>IF(A3235="","",MAX(1,CEILING(PERCENTRANK.INC($C$3:$C$6000,C3235,4)*5+0.000001,1)))</f>
        <v/>
      </c>
      <c r="G3235">
        <f>IF(A3235="","",MAX(1,CEILING(PERCENTRANK.INC($D$3:$D$6000,D3235,4)*5+0.000001,1)))</f>
        <v/>
      </c>
      <c r="H3235">
        <f>IF(A3235="","",E3235&amp;F3235&amp;G3235)</f>
        <v/>
      </c>
      <c r="I3235">
        <f>IF(A3235="","",IF(AND(E3235&gt;=4,F3235&gt;=4,G3235&gt;=4),"Juara",IF(AND(F3235&gt;=4,E3235&gt;=3),"Setia",IF(AND(E3235=5,F3235&lt;=2,G3235&gt;=3),"Berpotensi",IF(AND(E3235&lt;=3,E3235&gt;=2,F3235&gt;=3),"Rawan",IF(AND(E3235&lt;=2,F3235&lt;=2),"Tidur","Umum"))))))</f>
        <v/>
      </c>
    </row>
    <row r="3236">
      <c r="B3236">
        <f>IF(A3236="","",$B$1-MAXIFS(Donasi!$A$2:$A$20000,Donasi!$B$2:$B$20000,A3236))</f>
        <v/>
      </c>
      <c r="C3236">
        <f>IF(A3236="","",COUNTIF(Donasi!$B$2:$B$20000,A3236))</f>
        <v/>
      </c>
      <c r="D3236">
        <f>IF(A3236="","",SUMIF(Donasi!$B$2:$B$20000,A3236,Donasi!$C$2:$C$20000))</f>
        <v/>
      </c>
      <c r="E3236">
        <f>IF(A3236="","",6-CEILING(PERCENTRANK.INC($B$3:$B$6000,B3236,4)*5+0.000001,1))</f>
        <v/>
      </c>
      <c r="F3236">
        <f>IF(A3236="","",MAX(1,CEILING(PERCENTRANK.INC($C$3:$C$6000,C3236,4)*5+0.000001,1)))</f>
        <v/>
      </c>
      <c r="G3236">
        <f>IF(A3236="","",MAX(1,CEILING(PERCENTRANK.INC($D$3:$D$6000,D3236,4)*5+0.000001,1)))</f>
        <v/>
      </c>
      <c r="H3236">
        <f>IF(A3236="","",E3236&amp;F3236&amp;G3236)</f>
        <v/>
      </c>
      <c r="I3236">
        <f>IF(A3236="","",IF(AND(E3236&gt;=4,F3236&gt;=4,G3236&gt;=4),"Juara",IF(AND(F3236&gt;=4,E3236&gt;=3),"Setia",IF(AND(E3236=5,F3236&lt;=2,G3236&gt;=3),"Berpotensi",IF(AND(E3236&lt;=3,E3236&gt;=2,F3236&gt;=3),"Rawan",IF(AND(E3236&lt;=2,F3236&lt;=2),"Tidur","Umum"))))))</f>
        <v/>
      </c>
    </row>
    <row r="3237">
      <c r="B3237">
        <f>IF(A3237="","",$B$1-MAXIFS(Donasi!$A$2:$A$20000,Donasi!$B$2:$B$20000,A3237))</f>
        <v/>
      </c>
      <c r="C3237">
        <f>IF(A3237="","",COUNTIF(Donasi!$B$2:$B$20000,A3237))</f>
        <v/>
      </c>
      <c r="D3237">
        <f>IF(A3237="","",SUMIF(Donasi!$B$2:$B$20000,A3237,Donasi!$C$2:$C$20000))</f>
        <v/>
      </c>
      <c r="E3237">
        <f>IF(A3237="","",6-CEILING(PERCENTRANK.INC($B$3:$B$6000,B3237,4)*5+0.000001,1))</f>
        <v/>
      </c>
      <c r="F3237">
        <f>IF(A3237="","",MAX(1,CEILING(PERCENTRANK.INC($C$3:$C$6000,C3237,4)*5+0.000001,1)))</f>
        <v/>
      </c>
      <c r="G3237">
        <f>IF(A3237="","",MAX(1,CEILING(PERCENTRANK.INC($D$3:$D$6000,D3237,4)*5+0.000001,1)))</f>
        <v/>
      </c>
      <c r="H3237">
        <f>IF(A3237="","",E3237&amp;F3237&amp;G3237)</f>
        <v/>
      </c>
      <c r="I3237">
        <f>IF(A3237="","",IF(AND(E3237&gt;=4,F3237&gt;=4,G3237&gt;=4),"Juara",IF(AND(F3237&gt;=4,E3237&gt;=3),"Setia",IF(AND(E3237=5,F3237&lt;=2,G3237&gt;=3),"Berpotensi",IF(AND(E3237&lt;=3,E3237&gt;=2,F3237&gt;=3),"Rawan",IF(AND(E3237&lt;=2,F3237&lt;=2),"Tidur","Umum"))))))</f>
        <v/>
      </c>
    </row>
    <row r="3238">
      <c r="B3238">
        <f>IF(A3238="","",$B$1-MAXIFS(Donasi!$A$2:$A$20000,Donasi!$B$2:$B$20000,A3238))</f>
        <v/>
      </c>
      <c r="C3238">
        <f>IF(A3238="","",COUNTIF(Donasi!$B$2:$B$20000,A3238))</f>
        <v/>
      </c>
      <c r="D3238">
        <f>IF(A3238="","",SUMIF(Donasi!$B$2:$B$20000,A3238,Donasi!$C$2:$C$20000))</f>
        <v/>
      </c>
      <c r="E3238">
        <f>IF(A3238="","",6-CEILING(PERCENTRANK.INC($B$3:$B$6000,B3238,4)*5+0.000001,1))</f>
        <v/>
      </c>
      <c r="F3238">
        <f>IF(A3238="","",MAX(1,CEILING(PERCENTRANK.INC($C$3:$C$6000,C3238,4)*5+0.000001,1)))</f>
        <v/>
      </c>
      <c r="G3238">
        <f>IF(A3238="","",MAX(1,CEILING(PERCENTRANK.INC($D$3:$D$6000,D3238,4)*5+0.000001,1)))</f>
        <v/>
      </c>
      <c r="H3238">
        <f>IF(A3238="","",E3238&amp;F3238&amp;G3238)</f>
        <v/>
      </c>
      <c r="I3238">
        <f>IF(A3238="","",IF(AND(E3238&gt;=4,F3238&gt;=4,G3238&gt;=4),"Juara",IF(AND(F3238&gt;=4,E3238&gt;=3),"Setia",IF(AND(E3238=5,F3238&lt;=2,G3238&gt;=3),"Berpotensi",IF(AND(E3238&lt;=3,E3238&gt;=2,F3238&gt;=3),"Rawan",IF(AND(E3238&lt;=2,F3238&lt;=2),"Tidur","Umum"))))))</f>
        <v/>
      </c>
    </row>
    <row r="3239">
      <c r="B3239">
        <f>IF(A3239="","",$B$1-MAXIFS(Donasi!$A$2:$A$20000,Donasi!$B$2:$B$20000,A3239))</f>
        <v/>
      </c>
      <c r="C3239">
        <f>IF(A3239="","",COUNTIF(Donasi!$B$2:$B$20000,A3239))</f>
        <v/>
      </c>
      <c r="D3239">
        <f>IF(A3239="","",SUMIF(Donasi!$B$2:$B$20000,A3239,Donasi!$C$2:$C$20000))</f>
        <v/>
      </c>
      <c r="E3239">
        <f>IF(A3239="","",6-CEILING(PERCENTRANK.INC($B$3:$B$6000,B3239,4)*5+0.000001,1))</f>
        <v/>
      </c>
      <c r="F3239">
        <f>IF(A3239="","",MAX(1,CEILING(PERCENTRANK.INC($C$3:$C$6000,C3239,4)*5+0.000001,1)))</f>
        <v/>
      </c>
      <c r="G3239">
        <f>IF(A3239="","",MAX(1,CEILING(PERCENTRANK.INC($D$3:$D$6000,D3239,4)*5+0.000001,1)))</f>
        <v/>
      </c>
      <c r="H3239">
        <f>IF(A3239="","",E3239&amp;F3239&amp;G3239)</f>
        <v/>
      </c>
      <c r="I3239">
        <f>IF(A3239="","",IF(AND(E3239&gt;=4,F3239&gt;=4,G3239&gt;=4),"Juara",IF(AND(F3239&gt;=4,E3239&gt;=3),"Setia",IF(AND(E3239=5,F3239&lt;=2,G3239&gt;=3),"Berpotensi",IF(AND(E3239&lt;=3,E3239&gt;=2,F3239&gt;=3),"Rawan",IF(AND(E3239&lt;=2,F3239&lt;=2),"Tidur","Umum"))))))</f>
        <v/>
      </c>
    </row>
    <row r="3240">
      <c r="B3240">
        <f>IF(A3240="","",$B$1-MAXIFS(Donasi!$A$2:$A$20000,Donasi!$B$2:$B$20000,A3240))</f>
        <v/>
      </c>
      <c r="C3240">
        <f>IF(A3240="","",COUNTIF(Donasi!$B$2:$B$20000,A3240))</f>
        <v/>
      </c>
      <c r="D3240">
        <f>IF(A3240="","",SUMIF(Donasi!$B$2:$B$20000,A3240,Donasi!$C$2:$C$20000))</f>
        <v/>
      </c>
      <c r="E3240">
        <f>IF(A3240="","",6-CEILING(PERCENTRANK.INC($B$3:$B$6000,B3240,4)*5+0.000001,1))</f>
        <v/>
      </c>
      <c r="F3240">
        <f>IF(A3240="","",MAX(1,CEILING(PERCENTRANK.INC($C$3:$C$6000,C3240,4)*5+0.000001,1)))</f>
        <v/>
      </c>
      <c r="G3240">
        <f>IF(A3240="","",MAX(1,CEILING(PERCENTRANK.INC($D$3:$D$6000,D3240,4)*5+0.000001,1)))</f>
        <v/>
      </c>
      <c r="H3240">
        <f>IF(A3240="","",E3240&amp;F3240&amp;G3240)</f>
        <v/>
      </c>
      <c r="I3240">
        <f>IF(A3240="","",IF(AND(E3240&gt;=4,F3240&gt;=4,G3240&gt;=4),"Juara",IF(AND(F3240&gt;=4,E3240&gt;=3),"Setia",IF(AND(E3240=5,F3240&lt;=2,G3240&gt;=3),"Berpotensi",IF(AND(E3240&lt;=3,E3240&gt;=2,F3240&gt;=3),"Rawan",IF(AND(E3240&lt;=2,F3240&lt;=2),"Tidur","Umum"))))))</f>
        <v/>
      </c>
    </row>
    <row r="3241">
      <c r="B3241">
        <f>IF(A3241="","",$B$1-MAXIFS(Donasi!$A$2:$A$20000,Donasi!$B$2:$B$20000,A3241))</f>
        <v/>
      </c>
      <c r="C3241">
        <f>IF(A3241="","",COUNTIF(Donasi!$B$2:$B$20000,A3241))</f>
        <v/>
      </c>
      <c r="D3241">
        <f>IF(A3241="","",SUMIF(Donasi!$B$2:$B$20000,A3241,Donasi!$C$2:$C$20000))</f>
        <v/>
      </c>
      <c r="E3241">
        <f>IF(A3241="","",6-CEILING(PERCENTRANK.INC($B$3:$B$6000,B3241,4)*5+0.000001,1))</f>
        <v/>
      </c>
      <c r="F3241">
        <f>IF(A3241="","",MAX(1,CEILING(PERCENTRANK.INC($C$3:$C$6000,C3241,4)*5+0.000001,1)))</f>
        <v/>
      </c>
      <c r="G3241">
        <f>IF(A3241="","",MAX(1,CEILING(PERCENTRANK.INC($D$3:$D$6000,D3241,4)*5+0.000001,1)))</f>
        <v/>
      </c>
      <c r="H3241">
        <f>IF(A3241="","",E3241&amp;F3241&amp;G3241)</f>
        <v/>
      </c>
      <c r="I3241">
        <f>IF(A3241="","",IF(AND(E3241&gt;=4,F3241&gt;=4,G3241&gt;=4),"Juara",IF(AND(F3241&gt;=4,E3241&gt;=3),"Setia",IF(AND(E3241=5,F3241&lt;=2,G3241&gt;=3),"Berpotensi",IF(AND(E3241&lt;=3,E3241&gt;=2,F3241&gt;=3),"Rawan",IF(AND(E3241&lt;=2,F3241&lt;=2),"Tidur","Umum"))))))</f>
        <v/>
      </c>
    </row>
    <row r="3242">
      <c r="B3242">
        <f>IF(A3242="","",$B$1-MAXIFS(Donasi!$A$2:$A$20000,Donasi!$B$2:$B$20000,A3242))</f>
        <v/>
      </c>
      <c r="C3242">
        <f>IF(A3242="","",COUNTIF(Donasi!$B$2:$B$20000,A3242))</f>
        <v/>
      </c>
      <c r="D3242">
        <f>IF(A3242="","",SUMIF(Donasi!$B$2:$B$20000,A3242,Donasi!$C$2:$C$20000))</f>
        <v/>
      </c>
      <c r="E3242">
        <f>IF(A3242="","",6-CEILING(PERCENTRANK.INC($B$3:$B$6000,B3242,4)*5+0.000001,1))</f>
        <v/>
      </c>
      <c r="F3242">
        <f>IF(A3242="","",MAX(1,CEILING(PERCENTRANK.INC($C$3:$C$6000,C3242,4)*5+0.000001,1)))</f>
        <v/>
      </c>
      <c r="G3242">
        <f>IF(A3242="","",MAX(1,CEILING(PERCENTRANK.INC($D$3:$D$6000,D3242,4)*5+0.000001,1)))</f>
        <v/>
      </c>
      <c r="H3242">
        <f>IF(A3242="","",E3242&amp;F3242&amp;G3242)</f>
        <v/>
      </c>
      <c r="I3242">
        <f>IF(A3242="","",IF(AND(E3242&gt;=4,F3242&gt;=4,G3242&gt;=4),"Juara",IF(AND(F3242&gt;=4,E3242&gt;=3),"Setia",IF(AND(E3242=5,F3242&lt;=2,G3242&gt;=3),"Berpotensi",IF(AND(E3242&lt;=3,E3242&gt;=2,F3242&gt;=3),"Rawan",IF(AND(E3242&lt;=2,F3242&lt;=2),"Tidur","Umum"))))))</f>
        <v/>
      </c>
    </row>
    <row r="3243">
      <c r="B3243">
        <f>IF(A3243="","",$B$1-MAXIFS(Donasi!$A$2:$A$20000,Donasi!$B$2:$B$20000,A3243))</f>
        <v/>
      </c>
      <c r="C3243">
        <f>IF(A3243="","",COUNTIF(Donasi!$B$2:$B$20000,A3243))</f>
        <v/>
      </c>
      <c r="D3243">
        <f>IF(A3243="","",SUMIF(Donasi!$B$2:$B$20000,A3243,Donasi!$C$2:$C$20000))</f>
        <v/>
      </c>
      <c r="E3243">
        <f>IF(A3243="","",6-CEILING(PERCENTRANK.INC($B$3:$B$6000,B3243,4)*5+0.000001,1))</f>
        <v/>
      </c>
      <c r="F3243">
        <f>IF(A3243="","",MAX(1,CEILING(PERCENTRANK.INC($C$3:$C$6000,C3243,4)*5+0.000001,1)))</f>
        <v/>
      </c>
      <c r="G3243">
        <f>IF(A3243="","",MAX(1,CEILING(PERCENTRANK.INC($D$3:$D$6000,D3243,4)*5+0.000001,1)))</f>
        <v/>
      </c>
      <c r="H3243">
        <f>IF(A3243="","",E3243&amp;F3243&amp;G3243)</f>
        <v/>
      </c>
      <c r="I3243">
        <f>IF(A3243="","",IF(AND(E3243&gt;=4,F3243&gt;=4,G3243&gt;=4),"Juara",IF(AND(F3243&gt;=4,E3243&gt;=3),"Setia",IF(AND(E3243=5,F3243&lt;=2,G3243&gt;=3),"Berpotensi",IF(AND(E3243&lt;=3,E3243&gt;=2,F3243&gt;=3),"Rawan",IF(AND(E3243&lt;=2,F3243&lt;=2),"Tidur","Umum"))))))</f>
        <v/>
      </c>
    </row>
    <row r="3244">
      <c r="B3244">
        <f>IF(A3244="","",$B$1-MAXIFS(Donasi!$A$2:$A$20000,Donasi!$B$2:$B$20000,A3244))</f>
        <v/>
      </c>
      <c r="C3244">
        <f>IF(A3244="","",COUNTIF(Donasi!$B$2:$B$20000,A3244))</f>
        <v/>
      </c>
      <c r="D3244">
        <f>IF(A3244="","",SUMIF(Donasi!$B$2:$B$20000,A3244,Donasi!$C$2:$C$20000))</f>
        <v/>
      </c>
      <c r="E3244">
        <f>IF(A3244="","",6-CEILING(PERCENTRANK.INC($B$3:$B$6000,B3244,4)*5+0.000001,1))</f>
        <v/>
      </c>
      <c r="F3244">
        <f>IF(A3244="","",MAX(1,CEILING(PERCENTRANK.INC($C$3:$C$6000,C3244,4)*5+0.000001,1)))</f>
        <v/>
      </c>
      <c r="G3244">
        <f>IF(A3244="","",MAX(1,CEILING(PERCENTRANK.INC($D$3:$D$6000,D3244,4)*5+0.000001,1)))</f>
        <v/>
      </c>
      <c r="H3244">
        <f>IF(A3244="","",E3244&amp;F3244&amp;G3244)</f>
        <v/>
      </c>
      <c r="I3244">
        <f>IF(A3244="","",IF(AND(E3244&gt;=4,F3244&gt;=4,G3244&gt;=4),"Juara",IF(AND(F3244&gt;=4,E3244&gt;=3),"Setia",IF(AND(E3244=5,F3244&lt;=2,G3244&gt;=3),"Berpotensi",IF(AND(E3244&lt;=3,E3244&gt;=2,F3244&gt;=3),"Rawan",IF(AND(E3244&lt;=2,F3244&lt;=2),"Tidur","Umum"))))))</f>
        <v/>
      </c>
    </row>
    <row r="3245">
      <c r="B3245">
        <f>IF(A3245="","",$B$1-MAXIFS(Donasi!$A$2:$A$20000,Donasi!$B$2:$B$20000,A3245))</f>
        <v/>
      </c>
      <c r="C3245">
        <f>IF(A3245="","",COUNTIF(Donasi!$B$2:$B$20000,A3245))</f>
        <v/>
      </c>
      <c r="D3245">
        <f>IF(A3245="","",SUMIF(Donasi!$B$2:$B$20000,A3245,Donasi!$C$2:$C$20000))</f>
        <v/>
      </c>
      <c r="E3245">
        <f>IF(A3245="","",6-CEILING(PERCENTRANK.INC($B$3:$B$6000,B3245,4)*5+0.000001,1))</f>
        <v/>
      </c>
      <c r="F3245">
        <f>IF(A3245="","",MAX(1,CEILING(PERCENTRANK.INC($C$3:$C$6000,C3245,4)*5+0.000001,1)))</f>
        <v/>
      </c>
      <c r="G3245">
        <f>IF(A3245="","",MAX(1,CEILING(PERCENTRANK.INC($D$3:$D$6000,D3245,4)*5+0.000001,1)))</f>
        <v/>
      </c>
      <c r="H3245">
        <f>IF(A3245="","",E3245&amp;F3245&amp;G3245)</f>
        <v/>
      </c>
      <c r="I3245">
        <f>IF(A3245="","",IF(AND(E3245&gt;=4,F3245&gt;=4,G3245&gt;=4),"Juara",IF(AND(F3245&gt;=4,E3245&gt;=3),"Setia",IF(AND(E3245=5,F3245&lt;=2,G3245&gt;=3),"Berpotensi",IF(AND(E3245&lt;=3,E3245&gt;=2,F3245&gt;=3),"Rawan",IF(AND(E3245&lt;=2,F3245&lt;=2),"Tidur","Umum"))))))</f>
        <v/>
      </c>
    </row>
    <row r="3246">
      <c r="B3246">
        <f>IF(A3246="","",$B$1-MAXIFS(Donasi!$A$2:$A$20000,Donasi!$B$2:$B$20000,A3246))</f>
        <v/>
      </c>
      <c r="C3246">
        <f>IF(A3246="","",COUNTIF(Donasi!$B$2:$B$20000,A3246))</f>
        <v/>
      </c>
      <c r="D3246">
        <f>IF(A3246="","",SUMIF(Donasi!$B$2:$B$20000,A3246,Donasi!$C$2:$C$20000))</f>
        <v/>
      </c>
      <c r="E3246">
        <f>IF(A3246="","",6-CEILING(PERCENTRANK.INC($B$3:$B$6000,B3246,4)*5+0.000001,1))</f>
        <v/>
      </c>
      <c r="F3246">
        <f>IF(A3246="","",MAX(1,CEILING(PERCENTRANK.INC($C$3:$C$6000,C3246,4)*5+0.000001,1)))</f>
        <v/>
      </c>
      <c r="G3246">
        <f>IF(A3246="","",MAX(1,CEILING(PERCENTRANK.INC($D$3:$D$6000,D3246,4)*5+0.000001,1)))</f>
        <v/>
      </c>
      <c r="H3246">
        <f>IF(A3246="","",E3246&amp;F3246&amp;G3246)</f>
        <v/>
      </c>
      <c r="I3246">
        <f>IF(A3246="","",IF(AND(E3246&gt;=4,F3246&gt;=4,G3246&gt;=4),"Juara",IF(AND(F3246&gt;=4,E3246&gt;=3),"Setia",IF(AND(E3246=5,F3246&lt;=2,G3246&gt;=3),"Berpotensi",IF(AND(E3246&lt;=3,E3246&gt;=2,F3246&gt;=3),"Rawan",IF(AND(E3246&lt;=2,F3246&lt;=2),"Tidur","Umum"))))))</f>
        <v/>
      </c>
    </row>
    <row r="3247">
      <c r="B3247">
        <f>IF(A3247="","",$B$1-MAXIFS(Donasi!$A$2:$A$20000,Donasi!$B$2:$B$20000,A3247))</f>
        <v/>
      </c>
      <c r="C3247">
        <f>IF(A3247="","",COUNTIF(Donasi!$B$2:$B$20000,A3247))</f>
        <v/>
      </c>
      <c r="D3247">
        <f>IF(A3247="","",SUMIF(Donasi!$B$2:$B$20000,A3247,Donasi!$C$2:$C$20000))</f>
        <v/>
      </c>
      <c r="E3247">
        <f>IF(A3247="","",6-CEILING(PERCENTRANK.INC($B$3:$B$6000,B3247,4)*5+0.000001,1))</f>
        <v/>
      </c>
      <c r="F3247">
        <f>IF(A3247="","",MAX(1,CEILING(PERCENTRANK.INC($C$3:$C$6000,C3247,4)*5+0.000001,1)))</f>
        <v/>
      </c>
      <c r="G3247">
        <f>IF(A3247="","",MAX(1,CEILING(PERCENTRANK.INC($D$3:$D$6000,D3247,4)*5+0.000001,1)))</f>
        <v/>
      </c>
      <c r="H3247">
        <f>IF(A3247="","",E3247&amp;F3247&amp;G3247)</f>
        <v/>
      </c>
      <c r="I3247">
        <f>IF(A3247="","",IF(AND(E3247&gt;=4,F3247&gt;=4,G3247&gt;=4),"Juara",IF(AND(F3247&gt;=4,E3247&gt;=3),"Setia",IF(AND(E3247=5,F3247&lt;=2,G3247&gt;=3),"Berpotensi",IF(AND(E3247&lt;=3,E3247&gt;=2,F3247&gt;=3),"Rawan",IF(AND(E3247&lt;=2,F3247&lt;=2),"Tidur","Umum"))))))</f>
        <v/>
      </c>
    </row>
    <row r="3248">
      <c r="B3248">
        <f>IF(A3248="","",$B$1-MAXIFS(Donasi!$A$2:$A$20000,Donasi!$B$2:$B$20000,A3248))</f>
        <v/>
      </c>
      <c r="C3248">
        <f>IF(A3248="","",COUNTIF(Donasi!$B$2:$B$20000,A3248))</f>
        <v/>
      </c>
      <c r="D3248">
        <f>IF(A3248="","",SUMIF(Donasi!$B$2:$B$20000,A3248,Donasi!$C$2:$C$20000))</f>
        <v/>
      </c>
      <c r="E3248">
        <f>IF(A3248="","",6-CEILING(PERCENTRANK.INC($B$3:$B$6000,B3248,4)*5+0.000001,1))</f>
        <v/>
      </c>
      <c r="F3248">
        <f>IF(A3248="","",MAX(1,CEILING(PERCENTRANK.INC($C$3:$C$6000,C3248,4)*5+0.000001,1)))</f>
        <v/>
      </c>
      <c r="G3248">
        <f>IF(A3248="","",MAX(1,CEILING(PERCENTRANK.INC($D$3:$D$6000,D3248,4)*5+0.000001,1)))</f>
        <v/>
      </c>
      <c r="H3248">
        <f>IF(A3248="","",E3248&amp;F3248&amp;G3248)</f>
        <v/>
      </c>
      <c r="I3248">
        <f>IF(A3248="","",IF(AND(E3248&gt;=4,F3248&gt;=4,G3248&gt;=4),"Juara",IF(AND(F3248&gt;=4,E3248&gt;=3),"Setia",IF(AND(E3248=5,F3248&lt;=2,G3248&gt;=3),"Berpotensi",IF(AND(E3248&lt;=3,E3248&gt;=2,F3248&gt;=3),"Rawan",IF(AND(E3248&lt;=2,F3248&lt;=2),"Tidur","Umum"))))))</f>
        <v/>
      </c>
    </row>
    <row r="3249">
      <c r="B3249">
        <f>IF(A3249="","",$B$1-MAXIFS(Donasi!$A$2:$A$20000,Donasi!$B$2:$B$20000,A3249))</f>
        <v/>
      </c>
      <c r="C3249">
        <f>IF(A3249="","",COUNTIF(Donasi!$B$2:$B$20000,A3249))</f>
        <v/>
      </c>
      <c r="D3249">
        <f>IF(A3249="","",SUMIF(Donasi!$B$2:$B$20000,A3249,Donasi!$C$2:$C$20000))</f>
        <v/>
      </c>
      <c r="E3249">
        <f>IF(A3249="","",6-CEILING(PERCENTRANK.INC($B$3:$B$6000,B3249,4)*5+0.000001,1))</f>
        <v/>
      </c>
      <c r="F3249">
        <f>IF(A3249="","",MAX(1,CEILING(PERCENTRANK.INC($C$3:$C$6000,C3249,4)*5+0.000001,1)))</f>
        <v/>
      </c>
      <c r="G3249">
        <f>IF(A3249="","",MAX(1,CEILING(PERCENTRANK.INC($D$3:$D$6000,D3249,4)*5+0.000001,1)))</f>
        <v/>
      </c>
      <c r="H3249">
        <f>IF(A3249="","",E3249&amp;F3249&amp;G3249)</f>
        <v/>
      </c>
      <c r="I3249">
        <f>IF(A3249="","",IF(AND(E3249&gt;=4,F3249&gt;=4,G3249&gt;=4),"Juara",IF(AND(F3249&gt;=4,E3249&gt;=3),"Setia",IF(AND(E3249=5,F3249&lt;=2,G3249&gt;=3),"Berpotensi",IF(AND(E3249&lt;=3,E3249&gt;=2,F3249&gt;=3),"Rawan",IF(AND(E3249&lt;=2,F3249&lt;=2),"Tidur","Umum"))))))</f>
        <v/>
      </c>
    </row>
    <row r="3250">
      <c r="B3250">
        <f>IF(A3250="","",$B$1-MAXIFS(Donasi!$A$2:$A$20000,Donasi!$B$2:$B$20000,A3250))</f>
        <v/>
      </c>
      <c r="C3250">
        <f>IF(A3250="","",COUNTIF(Donasi!$B$2:$B$20000,A3250))</f>
        <v/>
      </c>
      <c r="D3250">
        <f>IF(A3250="","",SUMIF(Donasi!$B$2:$B$20000,A3250,Donasi!$C$2:$C$20000))</f>
        <v/>
      </c>
      <c r="E3250">
        <f>IF(A3250="","",6-CEILING(PERCENTRANK.INC($B$3:$B$6000,B3250,4)*5+0.000001,1))</f>
        <v/>
      </c>
      <c r="F3250">
        <f>IF(A3250="","",MAX(1,CEILING(PERCENTRANK.INC($C$3:$C$6000,C3250,4)*5+0.000001,1)))</f>
        <v/>
      </c>
      <c r="G3250">
        <f>IF(A3250="","",MAX(1,CEILING(PERCENTRANK.INC($D$3:$D$6000,D3250,4)*5+0.000001,1)))</f>
        <v/>
      </c>
      <c r="H3250">
        <f>IF(A3250="","",E3250&amp;F3250&amp;G3250)</f>
        <v/>
      </c>
      <c r="I3250">
        <f>IF(A3250="","",IF(AND(E3250&gt;=4,F3250&gt;=4,G3250&gt;=4),"Juara",IF(AND(F3250&gt;=4,E3250&gt;=3),"Setia",IF(AND(E3250=5,F3250&lt;=2,G3250&gt;=3),"Berpotensi",IF(AND(E3250&lt;=3,E3250&gt;=2,F3250&gt;=3),"Rawan",IF(AND(E3250&lt;=2,F3250&lt;=2),"Tidur","Umum"))))))</f>
        <v/>
      </c>
    </row>
    <row r="3251">
      <c r="B3251">
        <f>IF(A3251="","",$B$1-MAXIFS(Donasi!$A$2:$A$20000,Donasi!$B$2:$B$20000,A3251))</f>
        <v/>
      </c>
      <c r="C3251">
        <f>IF(A3251="","",COUNTIF(Donasi!$B$2:$B$20000,A3251))</f>
        <v/>
      </c>
      <c r="D3251">
        <f>IF(A3251="","",SUMIF(Donasi!$B$2:$B$20000,A3251,Donasi!$C$2:$C$20000))</f>
        <v/>
      </c>
      <c r="E3251">
        <f>IF(A3251="","",6-CEILING(PERCENTRANK.INC($B$3:$B$6000,B3251,4)*5+0.000001,1))</f>
        <v/>
      </c>
      <c r="F3251">
        <f>IF(A3251="","",MAX(1,CEILING(PERCENTRANK.INC($C$3:$C$6000,C3251,4)*5+0.000001,1)))</f>
        <v/>
      </c>
      <c r="G3251">
        <f>IF(A3251="","",MAX(1,CEILING(PERCENTRANK.INC($D$3:$D$6000,D3251,4)*5+0.000001,1)))</f>
        <v/>
      </c>
      <c r="H3251">
        <f>IF(A3251="","",E3251&amp;F3251&amp;G3251)</f>
        <v/>
      </c>
      <c r="I3251">
        <f>IF(A3251="","",IF(AND(E3251&gt;=4,F3251&gt;=4,G3251&gt;=4),"Juara",IF(AND(F3251&gt;=4,E3251&gt;=3),"Setia",IF(AND(E3251=5,F3251&lt;=2,G3251&gt;=3),"Berpotensi",IF(AND(E3251&lt;=3,E3251&gt;=2,F3251&gt;=3),"Rawan",IF(AND(E3251&lt;=2,F3251&lt;=2),"Tidur","Umum"))))))</f>
        <v/>
      </c>
    </row>
    <row r="3252">
      <c r="B3252">
        <f>IF(A3252="","",$B$1-MAXIFS(Donasi!$A$2:$A$20000,Donasi!$B$2:$B$20000,A3252))</f>
        <v/>
      </c>
      <c r="C3252">
        <f>IF(A3252="","",COUNTIF(Donasi!$B$2:$B$20000,A3252))</f>
        <v/>
      </c>
      <c r="D3252">
        <f>IF(A3252="","",SUMIF(Donasi!$B$2:$B$20000,A3252,Donasi!$C$2:$C$20000))</f>
        <v/>
      </c>
      <c r="E3252">
        <f>IF(A3252="","",6-CEILING(PERCENTRANK.INC($B$3:$B$6000,B3252,4)*5+0.000001,1))</f>
        <v/>
      </c>
      <c r="F3252">
        <f>IF(A3252="","",MAX(1,CEILING(PERCENTRANK.INC($C$3:$C$6000,C3252,4)*5+0.000001,1)))</f>
        <v/>
      </c>
      <c r="G3252">
        <f>IF(A3252="","",MAX(1,CEILING(PERCENTRANK.INC($D$3:$D$6000,D3252,4)*5+0.000001,1)))</f>
        <v/>
      </c>
      <c r="H3252">
        <f>IF(A3252="","",E3252&amp;F3252&amp;G3252)</f>
        <v/>
      </c>
      <c r="I3252">
        <f>IF(A3252="","",IF(AND(E3252&gt;=4,F3252&gt;=4,G3252&gt;=4),"Juara",IF(AND(F3252&gt;=4,E3252&gt;=3),"Setia",IF(AND(E3252=5,F3252&lt;=2,G3252&gt;=3),"Berpotensi",IF(AND(E3252&lt;=3,E3252&gt;=2,F3252&gt;=3),"Rawan",IF(AND(E3252&lt;=2,F3252&lt;=2),"Tidur","Umum"))))))</f>
        <v/>
      </c>
    </row>
    <row r="3253">
      <c r="B3253">
        <f>IF(A3253="","",$B$1-MAXIFS(Donasi!$A$2:$A$20000,Donasi!$B$2:$B$20000,A3253))</f>
        <v/>
      </c>
      <c r="C3253">
        <f>IF(A3253="","",COUNTIF(Donasi!$B$2:$B$20000,A3253))</f>
        <v/>
      </c>
      <c r="D3253">
        <f>IF(A3253="","",SUMIF(Donasi!$B$2:$B$20000,A3253,Donasi!$C$2:$C$20000))</f>
        <v/>
      </c>
      <c r="E3253">
        <f>IF(A3253="","",6-CEILING(PERCENTRANK.INC($B$3:$B$6000,B3253,4)*5+0.000001,1))</f>
        <v/>
      </c>
      <c r="F3253">
        <f>IF(A3253="","",MAX(1,CEILING(PERCENTRANK.INC($C$3:$C$6000,C3253,4)*5+0.000001,1)))</f>
        <v/>
      </c>
      <c r="G3253">
        <f>IF(A3253="","",MAX(1,CEILING(PERCENTRANK.INC($D$3:$D$6000,D3253,4)*5+0.000001,1)))</f>
        <v/>
      </c>
      <c r="H3253">
        <f>IF(A3253="","",E3253&amp;F3253&amp;G3253)</f>
        <v/>
      </c>
      <c r="I3253">
        <f>IF(A3253="","",IF(AND(E3253&gt;=4,F3253&gt;=4,G3253&gt;=4),"Juara",IF(AND(F3253&gt;=4,E3253&gt;=3),"Setia",IF(AND(E3253=5,F3253&lt;=2,G3253&gt;=3),"Berpotensi",IF(AND(E3253&lt;=3,E3253&gt;=2,F3253&gt;=3),"Rawan",IF(AND(E3253&lt;=2,F3253&lt;=2),"Tidur","Umum"))))))</f>
        <v/>
      </c>
    </row>
    <row r="3254">
      <c r="B3254">
        <f>IF(A3254="","",$B$1-MAXIFS(Donasi!$A$2:$A$20000,Donasi!$B$2:$B$20000,A3254))</f>
        <v/>
      </c>
      <c r="C3254">
        <f>IF(A3254="","",COUNTIF(Donasi!$B$2:$B$20000,A3254))</f>
        <v/>
      </c>
      <c r="D3254">
        <f>IF(A3254="","",SUMIF(Donasi!$B$2:$B$20000,A3254,Donasi!$C$2:$C$20000))</f>
        <v/>
      </c>
      <c r="E3254">
        <f>IF(A3254="","",6-CEILING(PERCENTRANK.INC($B$3:$B$6000,B3254,4)*5+0.000001,1))</f>
        <v/>
      </c>
      <c r="F3254">
        <f>IF(A3254="","",MAX(1,CEILING(PERCENTRANK.INC($C$3:$C$6000,C3254,4)*5+0.000001,1)))</f>
        <v/>
      </c>
      <c r="G3254">
        <f>IF(A3254="","",MAX(1,CEILING(PERCENTRANK.INC($D$3:$D$6000,D3254,4)*5+0.000001,1)))</f>
        <v/>
      </c>
      <c r="H3254">
        <f>IF(A3254="","",E3254&amp;F3254&amp;G3254)</f>
        <v/>
      </c>
      <c r="I3254">
        <f>IF(A3254="","",IF(AND(E3254&gt;=4,F3254&gt;=4,G3254&gt;=4),"Juara",IF(AND(F3254&gt;=4,E3254&gt;=3),"Setia",IF(AND(E3254=5,F3254&lt;=2,G3254&gt;=3),"Berpotensi",IF(AND(E3254&lt;=3,E3254&gt;=2,F3254&gt;=3),"Rawan",IF(AND(E3254&lt;=2,F3254&lt;=2),"Tidur","Umum"))))))</f>
        <v/>
      </c>
    </row>
    <row r="3255">
      <c r="B3255">
        <f>IF(A3255="","",$B$1-MAXIFS(Donasi!$A$2:$A$20000,Donasi!$B$2:$B$20000,A3255))</f>
        <v/>
      </c>
      <c r="C3255">
        <f>IF(A3255="","",COUNTIF(Donasi!$B$2:$B$20000,A3255))</f>
        <v/>
      </c>
      <c r="D3255">
        <f>IF(A3255="","",SUMIF(Donasi!$B$2:$B$20000,A3255,Donasi!$C$2:$C$20000))</f>
        <v/>
      </c>
      <c r="E3255">
        <f>IF(A3255="","",6-CEILING(PERCENTRANK.INC($B$3:$B$6000,B3255,4)*5+0.000001,1))</f>
        <v/>
      </c>
      <c r="F3255">
        <f>IF(A3255="","",MAX(1,CEILING(PERCENTRANK.INC($C$3:$C$6000,C3255,4)*5+0.000001,1)))</f>
        <v/>
      </c>
      <c r="G3255">
        <f>IF(A3255="","",MAX(1,CEILING(PERCENTRANK.INC($D$3:$D$6000,D3255,4)*5+0.000001,1)))</f>
        <v/>
      </c>
      <c r="H3255">
        <f>IF(A3255="","",E3255&amp;F3255&amp;G3255)</f>
        <v/>
      </c>
      <c r="I3255">
        <f>IF(A3255="","",IF(AND(E3255&gt;=4,F3255&gt;=4,G3255&gt;=4),"Juara",IF(AND(F3255&gt;=4,E3255&gt;=3),"Setia",IF(AND(E3255=5,F3255&lt;=2,G3255&gt;=3),"Berpotensi",IF(AND(E3255&lt;=3,E3255&gt;=2,F3255&gt;=3),"Rawan",IF(AND(E3255&lt;=2,F3255&lt;=2),"Tidur","Umum"))))))</f>
        <v/>
      </c>
    </row>
    <row r="3256">
      <c r="B3256">
        <f>IF(A3256="","",$B$1-MAXIFS(Donasi!$A$2:$A$20000,Donasi!$B$2:$B$20000,A3256))</f>
        <v/>
      </c>
      <c r="C3256">
        <f>IF(A3256="","",COUNTIF(Donasi!$B$2:$B$20000,A3256))</f>
        <v/>
      </c>
      <c r="D3256">
        <f>IF(A3256="","",SUMIF(Donasi!$B$2:$B$20000,A3256,Donasi!$C$2:$C$20000))</f>
        <v/>
      </c>
      <c r="E3256">
        <f>IF(A3256="","",6-CEILING(PERCENTRANK.INC($B$3:$B$6000,B3256,4)*5+0.000001,1))</f>
        <v/>
      </c>
      <c r="F3256">
        <f>IF(A3256="","",MAX(1,CEILING(PERCENTRANK.INC($C$3:$C$6000,C3256,4)*5+0.000001,1)))</f>
        <v/>
      </c>
      <c r="G3256">
        <f>IF(A3256="","",MAX(1,CEILING(PERCENTRANK.INC($D$3:$D$6000,D3256,4)*5+0.000001,1)))</f>
        <v/>
      </c>
      <c r="H3256">
        <f>IF(A3256="","",E3256&amp;F3256&amp;G3256)</f>
        <v/>
      </c>
      <c r="I3256">
        <f>IF(A3256="","",IF(AND(E3256&gt;=4,F3256&gt;=4,G3256&gt;=4),"Juara",IF(AND(F3256&gt;=4,E3256&gt;=3),"Setia",IF(AND(E3256=5,F3256&lt;=2,G3256&gt;=3),"Berpotensi",IF(AND(E3256&lt;=3,E3256&gt;=2,F3256&gt;=3),"Rawan",IF(AND(E3256&lt;=2,F3256&lt;=2),"Tidur","Umum"))))))</f>
        <v/>
      </c>
    </row>
    <row r="3257">
      <c r="B3257">
        <f>IF(A3257="","",$B$1-MAXIFS(Donasi!$A$2:$A$20000,Donasi!$B$2:$B$20000,A3257))</f>
        <v/>
      </c>
      <c r="C3257">
        <f>IF(A3257="","",COUNTIF(Donasi!$B$2:$B$20000,A3257))</f>
        <v/>
      </c>
      <c r="D3257">
        <f>IF(A3257="","",SUMIF(Donasi!$B$2:$B$20000,A3257,Donasi!$C$2:$C$20000))</f>
        <v/>
      </c>
      <c r="E3257">
        <f>IF(A3257="","",6-CEILING(PERCENTRANK.INC($B$3:$B$6000,B3257,4)*5+0.000001,1))</f>
        <v/>
      </c>
      <c r="F3257">
        <f>IF(A3257="","",MAX(1,CEILING(PERCENTRANK.INC($C$3:$C$6000,C3257,4)*5+0.000001,1)))</f>
        <v/>
      </c>
      <c r="G3257">
        <f>IF(A3257="","",MAX(1,CEILING(PERCENTRANK.INC($D$3:$D$6000,D3257,4)*5+0.000001,1)))</f>
        <v/>
      </c>
      <c r="H3257">
        <f>IF(A3257="","",E3257&amp;F3257&amp;G3257)</f>
        <v/>
      </c>
      <c r="I3257">
        <f>IF(A3257="","",IF(AND(E3257&gt;=4,F3257&gt;=4,G3257&gt;=4),"Juara",IF(AND(F3257&gt;=4,E3257&gt;=3),"Setia",IF(AND(E3257=5,F3257&lt;=2,G3257&gt;=3),"Berpotensi",IF(AND(E3257&lt;=3,E3257&gt;=2,F3257&gt;=3),"Rawan",IF(AND(E3257&lt;=2,F3257&lt;=2),"Tidur","Umum"))))))</f>
        <v/>
      </c>
    </row>
    <row r="3258">
      <c r="B3258">
        <f>IF(A3258="","",$B$1-MAXIFS(Donasi!$A$2:$A$20000,Donasi!$B$2:$B$20000,A3258))</f>
        <v/>
      </c>
      <c r="C3258">
        <f>IF(A3258="","",COUNTIF(Donasi!$B$2:$B$20000,A3258))</f>
        <v/>
      </c>
      <c r="D3258">
        <f>IF(A3258="","",SUMIF(Donasi!$B$2:$B$20000,A3258,Donasi!$C$2:$C$20000))</f>
        <v/>
      </c>
      <c r="E3258">
        <f>IF(A3258="","",6-CEILING(PERCENTRANK.INC($B$3:$B$6000,B3258,4)*5+0.000001,1))</f>
        <v/>
      </c>
      <c r="F3258">
        <f>IF(A3258="","",MAX(1,CEILING(PERCENTRANK.INC($C$3:$C$6000,C3258,4)*5+0.000001,1)))</f>
        <v/>
      </c>
      <c r="G3258">
        <f>IF(A3258="","",MAX(1,CEILING(PERCENTRANK.INC($D$3:$D$6000,D3258,4)*5+0.000001,1)))</f>
        <v/>
      </c>
      <c r="H3258">
        <f>IF(A3258="","",E3258&amp;F3258&amp;G3258)</f>
        <v/>
      </c>
      <c r="I3258">
        <f>IF(A3258="","",IF(AND(E3258&gt;=4,F3258&gt;=4,G3258&gt;=4),"Juara",IF(AND(F3258&gt;=4,E3258&gt;=3),"Setia",IF(AND(E3258=5,F3258&lt;=2,G3258&gt;=3),"Berpotensi",IF(AND(E3258&lt;=3,E3258&gt;=2,F3258&gt;=3),"Rawan",IF(AND(E3258&lt;=2,F3258&lt;=2),"Tidur","Umum"))))))</f>
        <v/>
      </c>
    </row>
    <row r="3259">
      <c r="B3259">
        <f>IF(A3259="","",$B$1-MAXIFS(Donasi!$A$2:$A$20000,Donasi!$B$2:$B$20000,A3259))</f>
        <v/>
      </c>
      <c r="C3259">
        <f>IF(A3259="","",COUNTIF(Donasi!$B$2:$B$20000,A3259))</f>
        <v/>
      </c>
      <c r="D3259">
        <f>IF(A3259="","",SUMIF(Donasi!$B$2:$B$20000,A3259,Donasi!$C$2:$C$20000))</f>
        <v/>
      </c>
      <c r="E3259">
        <f>IF(A3259="","",6-CEILING(PERCENTRANK.INC($B$3:$B$6000,B3259,4)*5+0.000001,1))</f>
        <v/>
      </c>
      <c r="F3259">
        <f>IF(A3259="","",MAX(1,CEILING(PERCENTRANK.INC($C$3:$C$6000,C3259,4)*5+0.000001,1)))</f>
        <v/>
      </c>
      <c r="G3259">
        <f>IF(A3259="","",MAX(1,CEILING(PERCENTRANK.INC($D$3:$D$6000,D3259,4)*5+0.000001,1)))</f>
        <v/>
      </c>
      <c r="H3259">
        <f>IF(A3259="","",E3259&amp;F3259&amp;G3259)</f>
        <v/>
      </c>
      <c r="I3259">
        <f>IF(A3259="","",IF(AND(E3259&gt;=4,F3259&gt;=4,G3259&gt;=4),"Juara",IF(AND(F3259&gt;=4,E3259&gt;=3),"Setia",IF(AND(E3259=5,F3259&lt;=2,G3259&gt;=3),"Berpotensi",IF(AND(E3259&lt;=3,E3259&gt;=2,F3259&gt;=3),"Rawan",IF(AND(E3259&lt;=2,F3259&lt;=2),"Tidur","Umum"))))))</f>
        <v/>
      </c>
    </row>
    <row r="3260">
      <c r="B3260">
        <f>IF(A3260="","",$B$1-MAXIFS(Donasi!$A$2:$A$20000,Donasi!$B$2:$B$20000,A3260))</f>
        <v/>
      </c>
      <c r="C3260">
        <f>IF(A3260="","",COUNTIF(Donasi!$B$2:$B$20000,A3260))</f>
        <v/>
      </c>
      <c r="D3260">
        <f>IF(A3260="","",SUMIF(Donasi!$B$2:$B$20000,A3260,Donasi!$C$2:$C$20000))</f>
        <v/>
      </c>
      <c r="E3260">
        <f>IF(A3260="","",6-CEILING(PERCENTRANK.INC($B$3:$B$6000,B3260,4)*5+0.000001,1))</f>
        <v/>
      </c>
      <c r="F3260">
        <f>IF(A3260="","",MAX(1,CEILING(PERCENTRANK.INC($C$3:$C$6000,C3260,4)*5+0.000001,1)))</f>
        <v/>
      </c>
      <c r="G3260">
        <f>IF(A3260="","",MAX(1,CEILING(PERCENTRANK.INC($D$3:$D$6000,D3260,4)*5+0.000001,1)))</f>
        <v/>
      </c>
      <c r="H3260">
        <f>IF(A3260="","",E3260&amp;F3260&amp;G3260)</f>
        <v/>
      </c>
      <c r="I3260">
        <f>IF(A3260="","",IF(AND(E3260&gt;=4,F3260&gt;=4,G3260&gt;=4),"Juara",IF(AND(F3260&gt;=4,E3260&gt;=3),"Setia",IF(AND(E3260=5,F3260&lt;=2,G3260&gt;=3),"Berpotensi",IF(AND(E3260&lt;=3,E3260&gt;=2,F3260&gt;=3),"Rawan",IF(AND(E3260&lt;=2,F3260&lt;=2),"Tidur","Umum"))))))</f>
        <v/>
      </c>
    </row>
    <row r="3261">
      <c r="B3261">
        <f>IF(A3261="","",$B$1-MAXIFS(Donasi!$A$2:$A$20000,Donasi!$B$2:$B$20000,A3261))</f>
        <v/>
      </c>
      <c r="C3261">
        <f>IF(A3261="","",COUNTIF(Donasi!$B$2:$B$20000,A3261))</f>
        <v/>
      </c>
      <c r="D3261">
        <f>IF(A3261="","",SUMIF(Donasi!$B$2:$B$20000,A3261,Donasi!$C$2:$C$20000))</f>
        <v/>
      </c>
      <c r="E3261">
        <f>IF(A3261="","",6-CEILING(PERCENTRANK.INC($B$3:$B$6000,B3261,4)*5+0.000001,1))</f>
        <v/>
      </c>
      <c r="F3261">
        <f>IF(A3261="","",MAX(1,CEILING(PERCENTRANK.INC($C$3:$C$6000,C3261,4)*5+0.000001,1)))</f>
        <v/>
      </c>
      <c r="G3261">
        <f>IF(A3261="","",MAX(1,CEILING(PERCENTRANK.INC($D$3:$D$6000,D3261,4)*5+0.000001,1)))</f>
        <v/>
      </c>
      <c r="H3261">
        <f>IF(A3261="","",E3261&amp;F3261&amp;G3261)</f>
        <v/>
      </c>
      <c r="I3261">
        <f>IF(A3261="","",IF(AND(E3261&gt;=4,F3261&gt;=4,G3261&gt;=4),"Juara",IF(AND(F3261&gt;=4,E3261&gt;=3),"Setia",IF(AND(E3261=5,F3261&lt;=2,G3261&gt;=3),"Berpotensi",IF(AND(E3261&lt;=3,E3261&gt;=2,F3261&gt;=3),"Rawan",IF(AND(E3261&lt;=2,F3261&lt;=2),"Tidur","Umum"))))))</f>
        <v/>
      </c>
    </row>
    <row r="3262">
      <c r="B3262">
        <f>IF(A3262="","",$B$1-MAXIFS(Donasi!$A$2:$A$20000,Donasi!$B$2:$B$20000,A3262))</f>
        <v/>
      </c>
      <c r="C3262">
        <f>IF(A3262="","",COUNTIF(Donasi!$B$2:$B$20000,A3262))</f>
        <v/>
      </c>
      <c r="D3262">
        <f>IF(A3262="","",SUMIF(Donasi!$B$2:$B$20000,A3262,Donasi!$C$2:$C$20000))</f>
        <v/>
      </c>
      <c r="E3262">
        <f>IF(A3262="","",6-CEILING(PERCENTRANK.INC($B$3:$B$6000,B3262,4)*5+0.000001,1))</f>
        <v/>
      </c>
      <c r="F3262">
        <f>IF(A3262="","",MAX(1,CEILING(PERCENTRANK.INC($C$3:$C$6000,C3262,4)*5+0.000001,1)))</f>
        <v/>
      </c>
      <c r="G3262">
        <f>IF(A3262="","",MAX(1,CEILING(PERCENTRANK.INC($D$3:$D$6000,D3262,4)*5+0.000001,1)))</f>
        <v/>
      </c>
      <c r="H3262">
        <f>IF(A3262="","",E3262&amp;F3262&amp;G3262)</f>
        <v/>
      </c>
      <c r="I3262">
        <f>IF(A3262="","",IF(AND(E3262&gt;=4,F3262&gt;=4,G3262&gt;=4),"Juara",IF(AND(F3262&gt;=4,E3262&gt;=3),"Setia",IF(AND(E3262=5,F3262&lt;=2,G3262&gt;=3),"Berpotensi",IF(AND(E3262&lt;=3,E3262&gt;=2,F3262&gt;=3),"Rawan",IF(AND(E3262&lt;=2,F3262&lt;=2),"Tidur","Umum"))))))</f>
        <v/>
      </c>
    </row>
    <row r="3263">
      <c r="B3263">
        <f>IF(A3263="","",$B$1-MAXIFS(Donasi!$A$2:$A$20000,Donasi!$B$2:$B$20000,A3263))</f>
        <v/>
      </c>
      <c r="C3263">
        <f>IF(A3263="","",COUNTIF(Donasi!$B$2:$B$20000,A3263))</f>
        <v/>
      </c>
      <c r="D3263">
        <f>IF(A3263="","",SUMIF(Donasi!$B$2:$B$20000,A3263,Donasi!$C$2:$C$20000))</f>
        <v/>
      </c>
      <c r="E3263">
        <f>IF(A3263="","",6-CEILING(PERCENTRANK.INC($B$3:$B$6000,B3263,4)*5+0.000001,1))</f>
        <v/>
      </c>
      <c r="F3263">
        <f>IF(A3263="","",MAX(1,CEILING(PERCENTRANK.INC($C$3:$C$6000,C3263,4)*5+0.000001,1)))</f>
        <v/>
      </c>
      <c r="G3263">
        <f>IF(A3263="","",MAX(1,CEILING(PERCENTRANK.INC($D$3:$D$6000,D3263,4)*5+0.000001,1)))</f>
        <v/>
      </c>
      <c r="H3263">
        <f>IF(A3263="","",E3263&amp;F3263&amp;G3263)</f>
        <v/>
      </c>
      <c r="I3263">
        <f>IF(A3263="","",IF(AND(E3263&gt;=4,F3263&gt;=4,G3263&gt;=4),"Juara",IF(AND(F3263&gt;=4,E3263&gt;=3),"Setia",IF(AND(E3263=5,F3263&lt;=2,G3263&gt;=3),"Berpotensi",IF(AND(E3263&lt;=3,E3263&gt;=2,F3263&gt;=3),"Rawan",IF(AND(E3263&lt;=2,F3263&lt;=2),"Tidur","Umum"))))))</f>
        <v/>
      </c>
    </row>
    <row r="3264">
      <c r="B3264">
        <f>IF(A3264="","",$B$1-MAXIFS(Donasi!$A$2:$A$20000,Donasi!$B$2:$B$20000,A3264))</f>
        <v/>
      </c>
      <c r="C3264">
        <f>IF(A3264="","",COUNTIF(Donasi!$B$2:$B$20000,A3264))</f>
        <v/>
      </c>
      <c r="D3264">
        <f>IF(A3264="","",SUMIF(Donasi!$B$2:$B$20000,A3264,Donasi!$C$2:$C$20000))</f>
        <v/>
      </c>
      <c r="E3264">
        <f>IF(A3264="","",6-CEILING(PERCENTRANK.INC($B$3:$B$6000,B3264,4)*5+0.000001,1))</f>
        <v/>
      </c>
      <c r="F3264">
        <f>IF(A3264="","",MAX(1,CEILING(PERCENTRANK.INC($C$3:$C$6000,C3264,4)*5+0.000001,1)))</f>
        <v/>
      </c>
      <c r="G3264">
        <f>IF(A3264="","",MAX(1,CEILING(PERCENTRANK.INC($D$3:$D$6000,D3264,4)*5+0.000001,1)))</f>
        <v/>
      </c>
      <c r="H3264">
        <f>IF(A3264="","",E3264&amp;F3264&amp;G3264)</f>
        <v/>
      </c>
      <c r="I3264">
        <f>IF(A3264="","",IF(AND(E3264&gt;=4,F3264&gt;=4,G3264&gt;=4),"Juara",IF(AND(F3264&gt;=4,E3264&gt;=3),"Setia",IF(AND(E3264=5,F3264&lt;=2,G3264&gt;=3),"Berpotensi",IF(AND(E3264&lt;=3,E3264&gt;=2,F3264&gt;=3),"Rawan",IF(AND(E3264&lt;=2,F3264&lt;=2),"Tidur","Umum"))))))</f>
        <v/>
      </c>
    </row>
    <row r="3265">
      <c r="B3265">
        <f>IF(A3265="","",$B$1-MAXIFS(Donasi!$A$2:$A$20000,Donasi!$B$2:$B$20000,A3265))</f>
        <v/>
      </c>
      <c r="C3265">
        <f>IF(A3265="","",COUNTIF(Donasi!$B$2:$B$20000,A3265))</f>
        <v/>
      </c>
      <c r="D3265">
        <f>IF(A3265="","",SUMIF(Donasi!$B$2:$B$20000,A3265,Donasi!$C$2:$C$20000))</f>
        <v/>
      </c>
      <c r="E3265">
        <f>IF(A3265="","",6-CEILING(PERCENTRANK.INC($B$3:$B$6000,B3265,4)*5+0.000001,1))</f>
        <v/>
      </c>
      <c r="F3265">
        <f>IF(A3265="","",MAX(1,CEILING(PERCENTRANK.INC($C$3:$C$6000,C3265,4)*5+0.000001,1)))</f>
        <v/>
      </c>
      <c r="G3265">
        <f>IF(A3265="","",MAX(1,CEILING(PERCENTRANK.INC($D$3:$D$6000,D3265,4)*5+0.000001,1)))</f>
        <v/>
      </c>
      <c r="H3265">
        <f>IF(A3265="","",E3265&amp;F3265&amp;G3265)</f>
        <v/>
      </c>
      <c r="I3265">
        <f>IF(A3265="","",IF(AND(E3265&gt;=4,F3265&gt;=4,G3265&gt;=4),"Juara",IF(AND(F3265&gt;=4,E3265&gt;=3),"Setia",IF(AND(E3265=5,F3265&lt;=2,G3265&gt;=3),"Berpotensi",IF(AND(E3265&lt;=3,E3265&gt;=2,F3265&gt;=3),"Rawan",IF(AND(E3265&lt;=2,F3265&lt;=2),"Tidur","Umum"))))))</f>
        <v/>
      </c>
    </row>
    <row r="3266">
      <c r="B3266">
        <f>IF(A3266="","",$B$1-MAXIFS(Donasi!$A$2:$A$20000,Donasi!$B$2:$B$20000,A3266))</f>
        <v/>
      </c>
      <c r="C3266">
        <f>IF(A3266="","",COUNTIF(Donasi!$B$2:$B$20000,A3266))</f>
        <v/>
      </c>
      <c r="D3266">
        <f>IF(A3266="","",SUMIF(Donasi!$B$2:$B$20000,A3266,Donasi!$C$2:$C$20000))</f>
        <v/>
      </c>
      <c r="E3266">
        <f>IF(A3266="","",6-CEILING(PERCENTRANK.INC($B$3:$B$6000,B3266,4)*5+0.000001,1))</f>
        <v/>
      </c>
      <c r="F3266">
        <f>IF(A3266="","",MAX(1,CEILING(PERCENTRANK.INC($C$3:$C$6000,C3266,4)*5+0.000001,1)))</f>
        <v/>
      </c>
      <c r="G3266">
        <f>IF(A3266="","",MAX(1,CEILING(PERCENTRANK.INC($D$3:$D$6000,D3266,4)*5+0.000001,1)))</f>
        <v/>
      </c>
      <c r="H3266">
        <f>IF(A3266="","",E3266&amp;F3266&amp;G3266)</f>
        <v/>
      </c>
      <c r="I3266">
        <f>IF(A3266="","",IF(AND(E3266&gt;=4,F3266&gt;=4,G3266&gt;=4),"Juara",IF(AND(F3266&gt;=4,E3266&gt;=3),"Setia",IF(AND(E3266=5,F3266&lt;=2,G3266&gt;=3),"Berpotensi",IF(AND(E3266&lt;=3,E3266&gt;=2,F3266&gt;=3),"Rawan",IF(AND(E3266&lt;=2,F3266&lt;=2),"Tidur","Umum"))))))</f>
        <v/>
      </c>
    </row>
    <row r="3267">
      <c r="B3267">
        <f>IF(A3267="","",$B$1-MAXIFS(Donasi!$A$2:$A$20000,Donasi!$B$2:$B$20000,A3267))</f>
        <v/>
      </c>
      <c r="C3267">
        <f>IF(A3267="","",COUNTIF(Donasi!$B$2:$B$20000,A3267))</f>
        <v/>
      </c>
      <c r="D3267">
        <f>IF(A3267="","",SUMIF(Donasi!$B$2:$B$20000,A3267,Donasi!$C$2:$C$20000))</f>
        <v/>
      </c>
      <c r="E3267">
        <f>IF(A3267="","",6-CEILING(PERCENTRANK.INC($B$3:$B$6000,B3267,4)*5+0.000001,1))</f>
        <v/>
      </c>
      <c r="F3267">
        <f>IF(A3267="","",MAX(1,CEILING(PERCENTRANK.INC($C$3:$C$6000,C3267,4)*5+0.000001,1)))</f>
        <v/>
      </c>
      <c r="G3267">
        <f>IF(A3267="","",MAX(1,CEILING(PERCENTRANK.INC($D$3:$D$6000,D3267,4)*5+0.000001,1)))</f>
        <v/>
      </c>
      <c r="H3267">
        <f>IF(A3267="","",E3267&amp;F3267&amp;G3267)</f>
        <v/>
      </c>
      <c r="I3267">
        <f>IF(A3267="","",IF(AND(E3267&gt;=4,F3267&gt;=4,G3267&gt;=4),"Juara",IF(AND(F3267&gt;=4,E3267&gt;=3),"Setia",IF(AND(E3267=5,F3267&lt;=2,G3267&gt;=3),"Berpotensi",IF(AND(E3267&lt;=3,E3267&gt;=2,F3267&gt;=3),"Rawan",IF(AND(E3267&lt;=2,F3267&lt;=2),"Tidur","Umum"))))))</f>
        <v/>
      </c>
    </row>
    <row r="3268">
      <c r="B3268">
        <f>IF(A3268="","",$B$1-MAXIFS(Donasi!$A$2:$A$20000,Donasi!$B$2:$B$20000,A3268))</f>
        <v/>
      </c>
      <c r="C3268">
        <f>IF(A3268="","",COUNTIF(Donasi!$B$2:$B$20000,A3268))</f>
        <v/>
      </c>
      <c r="D3268">
        <f>IF(A3268="","",SUMIF(Donasi!$B$2:$B$20000,A3268,Donasi!$C$2:$C$20000))</f>
        <v/>
      </c>
      <c r="E3268">
        <f>IF(A3268="","",6-CEILING(PERCENTRANK.INC($B$3:$B$6000,B3268,4)*5+0.000001,1))</f>
        <v/>
      </c>
      <c r="F3268">
        <f>IF(A3268="","",MAX(1,CEILING(PERCENTRANK.INC($C$3:$C$6000,C3268,4)*5+0.000001,1)))</f>
        <v/>
      </c>
      <c r="G3268">
        <f>IF(A3268="","",MAX(1,CEILING(PERCENTRANK.INC($D$3:$D$6000,D3268,4)*5+0.000001,1)))</f>
        <v/>
      </c>
      <c r="H3268">
        <f>IF(A3268="","",E3268&amp;F3268&amp;G3268)</f>
        <v/>
      </c>
      <c r="I3268">
        <f>IF(A3268="","",IF(AND(E3268&gt;=4,F3268&gt;=4,G3268&gt;=4),"Juara",IF(AND(F3268&gt;=4,E3268&gt;=3),"Setia",IF(AND(E3268=5,F3268&lt;=2,G3268&gt;=3),"Berpotensi",IF(AND(E3268&lt;=3,E3268&gt;=2,F3268&gt;=3),"Rawan",IF(AND(E3268&lt;=2,F3268&lt;=2),"Tidur","Umum"))))))</f>
        <v/>
      </c>
    </row>
    <row r="3269">
      <c r="B3269">
        <f>IF(A3269="","",$B$1-MAXIFS(Donasi!$A$2:$A$20000,Donasi!$B$2:$B$20000,A3269))</f>
        <v/>
      </c>
      <c r="C3269">
        <f>IF(A3269="","",COUNTIF(Donasi!$B$2:$B$20000,A3269))</f>
        <v/>
      </c>
      <c r="D3269">
        <f>IF(A3269="","",SUMIF(Donasi!$B$2:$B$20000,A3269,Donasi!$C$2:$C$20000))</f>
        <v/>
      </c>
      <c r="E3269">
        <f>IF(A3269="","",6-CEILING(PERCENTRANK.INC($B$3:$B$6000,B3269,4)*5+0.000001,1))</f>
        <v/>
      </c>
      <c r="F3269">
        <f>IF(A3269="","",MAX(1,CEILING(PERCENTRANK.INC($C$3:$C$6000,C3269,4)*5+0.000001,1)))</f>
        <v/>
      </c>
      <c r="G3269">
        <f>IF(A3269="","",MAX(1,CEILING(PERCENTRANK.INC($D$3:$D$6000,D3269,4)*5+0.000001,1)))</f>
        <v/>
      </c>
      <c r="H3269">
        <f>IF(A3269="","",E3269&amp;F3269&amp;G3269)</f>
        <v/>
      </c>
      <c r="I3269">
        <f>IF(A3269="","",IF(AND(E3269&gt;=4,F3269&gt;=4,G3269&gt;=4),"Juara",IF(AND(F3269&gt;=4,E3269&gt;=3),"Setia",IF(AND(E3269=5,F3269&lt;=2,G3269&gt;=3),"Berpotensi",IF(AND(E3269&lt;=3,E3269&gt;=2,F3269&gt;=3),"Rawan",IF(AND(E3269&lt;=2,F3269&lt;=2),"Tidur","Umum"))))))</f>
        <v/>
      </c>
    </row>
    <row r="3270">
      <c r="B3270">
        <f>IF(A3270="","",$B$1-MAXIFS(Donasi!$A$2:$A$20000,Donasi!$B$2:$B$20000,A3270))</f>
        <v/>
      </c>
      <c r="C3270">
        <f>IF(A3270="","",COUNTIF(Donasi!$B$2:$B$20000,A3270))</f>
        <v/>
      </c>
      <c r="D3270">
        <f>IF(A3270="","",SUMIF(Donasi!$B$2:$B$20000,A3270,Donasi!$C$2:$C$20000))</f>
        <v/>
      </c>
      <c r="E3270">
        <f>IF(A3270="","",6-CEILING(PERCENTRANK.INC($B$3:$B$6000,B3270,4)*5+0.000001,1))</f>
        <v/>
      </c>
      <c r="F3270">
        <f>IF(A3270="","",MAX(1,CEILING(PERCENTRANK.INC($C$3:$C$6000,C3270,4)*5+0.000001,1)))</f>
        <v/>
      </c>
      <c r="G3270">
        <f>IF(A3270="","",MAX(1,CEILING(PERCENTRANK.INC($D$3:$D$6000,D3270,4)*5+0.000001,1)))</f>
        <v/>
      </c>
      <c r="H3270">
        <f>IF(A3270="","",E3270&amp;F3270&amp;G3270)</f>
        <v/>
      </c>
      <c r="I3270">
        <f>IF(A3270="","",IF(AND(E3270&gt;=4,F3270&gt;=4,G3270&gt;=4),"Juara",IF(AND(F3270&gt;=4,E3270&gt;=3),"Setia",IF(AND(E3270=5,F3270&lt;=2,G3270&gt;=3),"Berpotensi",IF(AND(E3270&lt;=3,E3270&gt;=2,F3270&gt;=3),"Rawan",IF(AND(E3270&lt;=2,F3270&lt;=2),"Tidur","Umum"))))))</f>
        <v/>
      </c>
    </row>
    <row r="3271">
      <c r="B3271">
        <f>IF(A3271="","",$B$1-MAXIFS(Donasi!$A$2:$A$20000,Donasi!$B$2:$B$20000,A3271))</f>
        <v/>
      </c>
      <c r="C3271">
        <f>IF(A3271="","",COUNTIF(Donasi!$B$2:$B$20000,A3271))</f>
        <v/>
      </c>
      <c r="D3271">
        <f>IF(A3271="","",SUMIF(Donasi!$B$2:$B$20000,A3271,Donasi!$C$2:$C$20000))</f>
        <v/>
      </c>
      <c r="E3271">
        <f>IF(A3271="","",6-CEILING(PERCENTRANK.INC($B$3:$B$6000,B3271,4)*5+0.000001,1))</f>
        <v/>
      </c>
      <c r="F3271">
        <f>IF(A3271="","",MAX(1,CEILING(PERCENTRANK.INC($C$3:$C$6000,C3271,4)*5+0.000001,1)))</f>
        <v/>
      </c>
      <c r="G3271">
        <f>IF(A3271="","",MAX(1,CEILING(PERCENTRANK.INC($D$3:$D$6000,D3271,4)*5+0.000001,1)))</f>
        <v/>
      </c>
      <c r="H3271">
        <f>IF(A3271="","",E3271&amp;F3271&amp;G3271)</f>
        <v/>
      </c>
      <c r="I3271">
        <f>IF(A3271="","",IF(AND(E3271&gt;=4,F3271&gt;=4,G3271&gt;=4),"Juara",IF(AND(F3271&gt;=4,E3271&gt;=3),"Setia",IF(AND(E3271=5,F3271&lt;=2,G3271&gt;=3),"Berpotensi",IF(AND(E3271&lt;=3,E3271&gt;=2,F3271&gt;=3),"Rawan",IF(AND(E3271&lt;=2,F3271&lt;=2),"Tidur","Umum"))))))</f>
        <v/>
      </c>
    </row>
    <row r="3272">
      <c r="B3272">
        <f>IF(A3272="","",$B$1-MAXIFS(Donasi!$A$2:$A$20000,Donasi!$B$2:$B$20000,A3272))</f>
        <v/>
      </c>
      <c r="C3272">
        <f>IF(A3272="","",COUNTIF(Donasi!$B$2:$B$20000,A3272))</f>
        <v/>
      </c>
      <c r="D3272">
        <f>IF(A3272="","",SUMIF(Donasi!$B$2:$B$20000,A3272,Donasi!$C$2:$C$20000))</f>
        <v/>
      </c>
      <c r="E3272">
        <f>IF(A3272="","",6-CEILING(PERCENTRANK.INC($B$3:$B$6000,B3272,4)*5+0.000001,1))</f>
        <v/>
      </c>
      <c r="F3272">
        <f>IF(A3272="","",MAX(1,CEILING(PERCENTRANK.INC($C$3:$C$6000,C3272,4)*5+0.000001,1)))</f>
        <v/>
      </c>
      <c r="G3272">
        <f>IF(A3272="","",MAX(1,CEILING(PERCENTRANK.INC($D$3:$D$6000,D3272,4)*5+0.000001,1)))</f>
        <v/>
      </c>
      <c r="H3272">
        <f>IF(A3272="","",E3272&amp;F3272&amp;G3272)</f>
        <v/>
      </c>
      <c r="I3272">
        <f>IF(A3272="","",IF(AND(E3272&gt;=4,F3272&gt;=4,G3272&gt;=4),"Juara",IF(AND(F3272&gt;=4,E3272&gt;=3),"Setia",IF(AND(E3272=5,F3272&lt;=2,G3272&gt;=3),"Berpotensi",IF(AND(E3272&lt;=3,E3272&gt;=2,F3272&gt;=3),"Rawan",IF(AND(E3272&lt;=2,F3272&lt;=2),"Tidur","Umum"))))))</f>
        <v/>
      </c>
    </row>
    <row r="3273">
      <c r="B3273">
        <f>IF(A3273="","",$B$1-MAXIFS(Donasi!$A$2:$A$20000,Donasi!$B$2:$B$20000,A3273))</f>
        <v/>
      </c>
      <c r="C3273">
        <f>IF(A3273="","",COUNTIF(Donasi!$B$2:$B$20000,A3273))</f>
        <v/>
      </c>
      <c r="D3273">
        <f>IF(A3273="","",SUMIF(Donasi!$B$2:$B$20000,A3273,Donasi!$C$2:$C$20000))</f>
        <v/>
      </c>
      <c r="E3273">
        <f>IF(A3273="","",6-CEILING(PERCENTRANK.INC($B$3:$B$6000,B3273,4)*5+0.000001,1))</f>
        <v/>
      </c>
      <c r="F3273">
        <f>IF(A3273="","",MAX(1,CEILING(PERCENTRANK.INC($C$3:$C$6000,C3273,4)*5+0.000001,1)))</f>
        <v/>
      </c>
      <c r="G3273">
        <f>IF(A3273="","",MAX(1,CEILING(PERCENTRANK.INC($D$3:$D$6000,D3273,4)*5+0.000001,1)))</f>
        <v/>
      </c>
      <c r="H3273">
        <f>IF(A3273="","",E3273&amp;F3273&amp;G3273)</f>
        <v/>
      </c>
      <c r="I3273">
        <f>IF(A3273="","",IF(AND(E3273&gt;=4,F3273&gt;=4,G3273&gt;=4),"Juara",IF(AND(F3273&gt;=4,E3273&gt;=3),"Setia",IF(AND(E3273=5,F3273&lt;=2,G3273&gt;=3),"Berpotensi",IF(AND(E3273&lt;=3,E3273&gt;=2,F3273&gt;=3),"Rawan",IF(AND(E3273&lt;=2,F3273&lt;=2),"Tidur","Umum"))))))</f>
        <v/>
      </c>
    </row>
    <row r="3274">
      <c r="B3274">
        <f>IF(A3274="","",$B$1-MAXIFS(Donasi!$A$2:$A$20000,Donasi!$B$2:$B$20000,A3274))</f>
        <v/>
      </c>
      <c r="C3274">
        <f>IF(A3274="","",COUNTIF(Donasi!$B$2:$B$20000,A3274))</f>
        <v/>
      </c>
      <c r="D3274">
        <f>IF(A3274="","",SUMIF(Donasi!$B$2:$B$20000,A3274,Donasi!$C$2:$C$20000))</f>
        <v/>
      </c>
      <c r="E3274">
        <f>IF(A3274="","",6-CEILING(PERCENTRANK.INC($B$3:$B$6000,B3274,4)*5+0.000001,1))</f>
        <v/>
      </c>
      <c r="F3274">
        <f>IF(A3274="","",MAX(1,CEILING(PERCENTRANK.INC($C$3:$C$6000,C3274,4)*5+0.000001,1)))</f>
        <v/>
      </c>
      <c r="G3274">
        <f>IF(A3274="","",MAX(1,CEILING(PERCENTRANK.INC($D$3:$D$6000,D3274,4)*5+0.000001,1)))</f>
        <v/>
      </c>
      <c r="H3274">
        <f>IF(A3274="","",E3274&amp;F3274&amp;G3274)</f>
        <v/>
      </c>
      <c r="I3274">
        <f>IF(A3274="","",IF(AND(E3274&gt;=4,F3274&gt;=4,G3274&gt;=4),"Juara",IF(AND(F3274&gt;=4,E3274&gt;=3),"Setia",IF(AND(E3274=5,F3274&lt;=2,G3274&gt;=3),"Berpotensi",IF(AND(E3274&lt;=3,E3274&gt;=2,F3274&gt;=3),"Rawan",IF(AND(E3274&lt;=2,F3274&lt;=2),"Tidur","Umum"))))))</f>
        <v/>
      </c>
    </row>
    <row r="3275">
      <c r="B3275">
        <f>IF(A3275="","",$B$1-MAXIFS(Donasi!$A$2:$A$20000,Donasi!$B$2:$B$20000,A3275))</f>
        <v/>
      </c>
      <c r="C3275">
        <f>IF(A3275="","",COUNTIF(Donasi!$B$2:$B$20000,A3275))</f>
        <v/>
      </c>
      <c r="D3275">
        <f>IF(A3275="","",SUMIF(Donasi!$B$2:$B$20000,A3275,Donasi!$C$2:$C$20000))</f>
        <v/>
      </c>
      <c r="E3275">
        <f>IF(A3275="","",6-CEILING(PERCENTRANK.INC($B$3:$B$6000,B3275,4)*5+0.000001,1))</f>
        <v/>
      </c>
      <c r="F3275">
        <f>IF(A3275="","",MAX(1,CEILING(PERCENTRANK.INC($C$3:$C$6000,C3275,4)*5+0.000001,1)))</f>
        <v/>
      </c>
      <c r="G3275">
        <f>IF(A3275="","",MAX(1,CEILING(PERCENTRANK.INC($D$3:$D$6000,D3275,4)*5+0.000001,1)))</f>
        <v/>
      </c>
      <c r="H3275">
        <f>IF(A3275="","",E3275&amp;F3275&amp;G3275)</f>
        <v/>
      </c>
      <c r="I3275">
        <f>IF(A3275="","",IF(AND(E3275&gt;=4,F3275&gt;=4,G3275&gt;=4),"Juara",IF(AND(F3275&gt;=4,E3275&gt;=3),"Setia",IF(AND(E3275=5,F3275&lt;=2,G3275&gt;=3),"Berpotensi",IF(AND(E3275&lt;=3,E3275&gt;=2,F3275&gt;=3),"Rawan",IF(AND(E3275&lt;=2,F3275&lt;=2),"Tidur","Umum"))))))</f>
        <v/>
      </c>
    </row>
    <row r="3276">
      <c r="B3276">
        <f>IF(A3276="","",$B$1-MAXIFS(Donasi!$A$2:$A$20000,Donasi!$B$2:$B$20000,A3276))</f>
        <v/>
      </c>
      <c r="C3276">
        <f>IF(A3276="","",COUNTIF(Donasi!$B$2:$B$20000,A3276))</f>
        <v/>
      </c>
      <c r="D3276">
        <f>IF(A3276="","",SUMIF(Donasi!$B$2:$B$20000,A3276,Donasi!$C$2:$C$20000))</f>
        <v/>
      </c>
      <c r="E3276">
        <f>IF(A3276="","",6-CEILING(PERCENTRANK.INC($B$3:$B$6000,B3276,4)*5+0.000001,1))</f>
        <v/>
      </c>
      <c r="F3276">
        <f>IF(A3276="","",MAX(1,CEILING(PERCENTRANK.INC($C$3:$C$6000,C3276,4)*5+0.000001,1)))</f>
        <v/>
      </c>
      <c r="G3276">
        <f>IF(A3276="","",MAX(1,CEILING(PERCENTRANK.INC($D$3:$D$6000,D3276,4)*5+0.000001,1)))</f>
        <v/>
      </c>
      <c r="H3276">
        <f>IF(A3276="","",E3276&amp;F3276&amp;G3276)</f>
        <v/>
      </c>
      <c r="I3276">
        <f>IF(A3276="","",IF(AND(E3276&gt;=4,F3276&gt;=4,G3276&gt;=4),"Juara",IF(AND(F3276&gt;=4,E3276&gt;=3),"Setia",IF(AND(E3276=5,F3276&lt;=2,G3276&gt;=3),"Berpotensi",IF(AND(E3276&lt;=3,E3276&gt;=2,F3276&gt;=3),"Rawan",IF(AND(E3276&lt;=2,F3276&lt;=2),"Tidur","Umum"))))))</f>
        <v/>
      </c>
    </row>
    <row r="3277">
      <c r="B3277">
        <f>IF(A3277="","",$B$1-MAXIFS(Donasi!$A$2:$A$20000,Donasi!$B$2:$B$20000,A3277))</f>
        <v/>
      </c>
      <c r="C3277">
        <f>IF(A3277="","",COUNTIF(Donasi!$B$2:$B$20000,A3277))</f>
        <v/>
      </c>
      <c r="D3277">
        <f>IF(A3277="","",SUMIF(Donasi!$B$2:$B$20000,A3277,Donasi!$C$2:$C$20000))</f>
        <v/>
      </c>
      <c r="E3277">
        <f>IF(A3277="","",6-CEILING(PERCENTRANK.INC($B$3:$B$6000,B3277,4)*5+0.000001,1))</f>
        <v/>
      </c>
      <c r="F3277">
        <f>IF(A3277="","",MAX(1,CEILING(PERCENTRANK.INC($C$3:$C$6000,C3277,4)*5+0.000001,1)))</f>
        <v/>
      </c>
      <c r="G3277">
        <f>IF(A3277="","",MAX(1,CEILING(PERCENTRANK.INC($D$3:$D$6000,D3277,4)*5+0.000001,1)))</f>
        <v/>
      </c>
      <c r="H3277">
        <f>IF(A3277="","",E3277&amp;F3277&amp;G3277)</f>
        <v/>
      </c>
      <c r="I3277">
        <f>IF(A3277="","",IF(AND(E3277&gt;=4,F3277&gt;=4,G3277&gt;=4),"Juara",IF(AND(F3277&gt;=4,E3277&gt;=3),"Setia",IF(AND(E3277=5,F3277&lt;=2,G3277&gt;=3),"Berpotensi",IF(AND(E3277&lt;=3,E3277&gt;=2,F3277&gt;=3),"Rawan",IF(AND(E3277&lt;=2,F3277&lt;=2),"Tidur","Umum"))))))</f>
        <v/>
      </c>
    </row>
    <row r="3278">
      <c r="B3278">
        <f>IF(A3278="","",$B$1-MAXIFS(Donasi!$A$2:$A$20000,Donasi!$B$2:$B$20000,A3278))</f>
        <v/>
      </c>
      <c r="C3278">
        <f>IF(A3278="","",COUNTIF(Donasi!$B$2:$B$20000,A3278))</f>
        <v/>
      </c>
      <c r="D3278">
        <f>IF(A3278="","",SUMIF(Donasi!$B$2:$B$20000,A3278,Donasi!$C$2:$C$20000))</f>
        <v/>
      </c>
      <c r="E3278">
        <f>IF(A3278="","",6-CEILING(PERCENTRANK.INC($B$3:$B$6000,B3278,4)*5+0.000001,1))</f>
        <v/>
      </c>
      <c r="F3278">
        <f>IF(A3278="","",MAX(1,CEILING(PERCENTRANK.INC($C$3:$C$6000,C3278,4)*5+0.000001,1)))</f>
        <v/>
      </c>
      <c r="G3278">
        <f>IF(A3278="","",MAX(1,CEILING(PERCENTRANK.INC($D$3:$D$6000,D3278,4)*5+0.000001,1)))</f>
        <v/>
      </c>
      <c r="H3278">
        <f>IF(A3278="","",E3278&amp;F3278&amp;G3278)</f>
        <v/>
      </c>
      <c r="I3278">
        <f>IF(A3278="","",IF(AND(E3278&gt;=4,F3278&gt;=4,G3278&gt;=4),"Juara",IF(AND(F3278&gt;=4,E3278&gt;=3),"Setia",IF(AND(E3278=5,F3278&lt;=2,G3278&gt;=3),"Berpotensi",IF(AND(E3278&lt;=3,E3278&gt;=2,F3278&gt;=3),"Rawan",IF(AND(E3278&lt;=2,F3278&lt;=2),"Tidur","Umum"))))))</f>
        <v/>
      </c>
    </row>
    <row r="3279">
      <c r="B3279">
        <f>IF(A3279="","",$B$1-MAXIFS(Donasi!$A$2:$A$20000,Donasi!$B$2:$B$20000,A3279))</f>
        <v/>
      </c>
      <c r="C3279">
        <f>IF(A3279="","",COUNTIF(Donasi!$B$2:$B$20000,A3279))</f>
        <v/>
      </c>
      <c r="D3279">
        <f>IF(A3279="","",SUMIF(Donasi!$B$2:$B$20000,A3279,Donasi!$C$2:$C$20000))</f>
        <v/>
      </c>
      <c r="E3279">
        <f>IF(A3279="","",6-CEILING(PERCENTRANK.INC($B$3:$B$6000,B3279,4)*5+0.000001,1))</f>
        <v/>
      </c>
      <c r="F3279">
        <f>IF(A3279="","",MAX(1,CEILING(PERCENTRANK.INC($C$3:$C$6000,C3279,4)*5+0.000001,1)))</f>
        <v/>
      </c>
      <c r="G3279">
        <f>IF(A3279="","",MAX(1,CEILING(PERCENTRANK.INC($D$3:$D$6000,D3279,4)*5+0.000001,1)))</f>
        <v/>
      </c>
      <c r="H3279">
        <f>IF(A3279="","",E3279&amp;F3279&amp;G3279)</f>
        <v/>
      </c>
      <c r="I3279">
        <f>IF(A3279="","",IF(AND(E3279&gt;=4,F3279&gt;=4,G3279&gt;=4),"Juara",IF(AND(F3279&gt;=4,E3279&gt;=3),"Setia",IF(AND(E3279=5,F3279&lt;=2,G3279&gt;=3),"Berpotensi",IF(AND(E3279&lt;=3,E3279&gt;=2,F3279&gt;=3),"Rawan",IF(AND(E3279&lt;=2,F3279&lt;=2),"Tidur","Umum"))))))</f>
        <v/>
      </c>
    </row>
    <row r="3280">
      <c r="B3280">
        <f>IF(A3280="","",$B$1-MAXIFS(Donasi!$A$2:$A$20000,Donasi!$B$2:$B$20000,A3280))</f>
        <v/>
      </c>
      <c r="C3280">
        <f>IF(A3280="","",COUNTIF(Donasi!$B$2:$B$20000,A3280))</f>
        <v/>
      </c>
      <c r="D3280">
        <f>IF(A3280="","",SUMIF(Donasi!$B$2:$B$20000,A3280,Donasi!$C$2:$C$20000))</f>
        <v/>
      </c>
      <c r="E3280">
        <f>IF(A3280="","",6-CEILING(PERCENTRANK.INC($B$3:$B$6000,B3280,4)*5+0.000001,1))</f>
        <v/>
      </c>
      <c r="F3280">
        <f>IF(A3280="","",MAX(1,CEILING(PERCENTRANK.INC($C$3:$C$6000,C3280,4)*5+0.000001,1)))</f>
        <v/>
      </c>
      <c r="G3280">
        <f>IF(A3280="","",MAX(1,CEILING(PERCENTRANK.INC($D$3:$D$6000,D3280,4)*5+0.000001,1)))</f>
        <v/>
      </c>
      <c r="H3280">
        <f>IF(A3280="","",E3280&amp;F3280&amp;G3280)</f>
        <v/>
      </c>
      <c r="I3280">
        <f>IF(A3280="","",IF(AND(E3280&gt;=4,F3280&gt;=4,G3280&gt;=4),"Juara",IF(AND(F3280&gt;=4,E3280&gt;=3),"Setia",IF(AND(E3280=5,F3280&lt;=2,G3280&gt;=3),"Berpotensi",IF(AND(E3280&lt;=3,E3280&gt;=2,F3280&gt;=3),"Rawan",IF(AND(E3280&lt;=2,F3280&lt;=2),"Tidur","Umum"))))))</f>
        <v/>
      </c>
    </row>
    <row r="3281">
      <c r="B3281">
        <f>IF(A3281="","",$B$1-MAXIFS(Donasi!$A$2:$A$20000,Donasi!$B$2:$B$20000,A3281))</f>
        <v/>
      </c>
      <c r="C3281">
        <f>IF(A3281="","",COUNTIF(Donasi!$B$2:$B$20000,A3281))</f>
        <v/>
      </c>
      <c r="D3281">
        <f>IF(A3281="","",SUMIF(Donasi!$B$2:$B$20000,A3281,Donasi!$C$2:$C$20000))</f>
        <v/>
      </c>
      <c r="E3281">
        <f>IF(A3281="","",6-CEILING(PERCENTRANK.INC($B$3:$B$6000,B3281,4)*5+0.000001,1))</f>
        <v/>
      </c>
      <c r="F3281">
        <f>IF(A3281="","",MAX(1,CEILING(PERCENTRANK.INC($C$3:$C$6000,C3281,4)*5+0.000001,1)))</f>
        <v/>
      </c>
      <c r="G3281">
        <f>IF(A3281="","",MAX(1,CEILING(PERCENTRANK.INC($D$3:$D$6000,D3281,4)*5+0.000001,1)))</f>
        <v/>
      </c>
      <c r="H3281">
        <f>IF(A3281="","",E3281&amp;F3281&amp;G3281)</f>
        <v/>
      </c>
      <c r="I3281">
        <f>IF(A3281="","",IF(AND(E3281&gt;=4,F3281&gt;=4,G3281&gt;=4),"Juara",IF(AND(F3281&gt;=4,E3281&gt;=3),"Setia",IF(AND(E3281=5,F3281&lt;=2,G3281&gt;=3),"Berpotensi",IF(AND(E3281&lt;=3,E3281&gt;=2,F3281&gt;=3),"Rawan",IF(AND(E3281&lt;=2,F3281&lt;=2),"Tidur","Umum"))))))</f>
        <v/>
      </c>
    </row>
    <row r="3282">
      <c r="B3282">
        <f>IF(A3282="","",$B$1-MAXIFS(Donasi!$A$2:$A$20000,Donasi!$B$2:$B$20000,A3282))</f>
        <v/>
      </c>
      <c r="C3282">
        <f>IF(A3282="","",COUNTIF(Donasi!$B$2:$B$20000,A3282))</f>
        <v/>
      </c>
      <c r="D3282">
        <f>IF(A3282="","",SUMIF(Donasi!$B$2:$B$20000,A3282,Donasi!$C$2:$C$20000))</f>
        <v/>
      </c>
      <c r="E3282">
        <f>IF(A3282="","",6-CEILING(PERCENTRANK.INC($B$3:$B$6000,B3282,4)*5+0.000001,1))</f>
        <v/>
      </c>
      <c r="F3282">
        <f>IF(A3282="","",MAX(1,CEILING(PERCENTRANK.INC($C$3:$C$6000,C3282,4)*5+0.000001,1)))</f>
        <v/>
      </c>
      <c r="G3282">
        <f>IF(A3282="","",MAX(1,CEILING(PERCENTRANK.INC($D$3:$D$6000,D3282,4)*5+0.000001,1)))</f>
        <v/>
      </c>
      <c r="H3282">
        <f>IF(A3282="","",E3282&amp;F3282&amp;G3282)</f>
        <v/>
      </c>
      <c r="I3282">
        <f>IF(A3282="","",IF(AND(E3282&gt;=4,F3282&gt;=4,G3282&gt;=4),"Juara",IF(AND(F3282&gt;=4,E3282&gt;=3),"Setia",IF(AND(E3282=5,F3282&lt;=2,G3282&gt;=3),"Berpotensi",IF(AND(E3282&lt;=3,E3282&gt;=2,F3282&gt;=3),"Rawan",IF(AND(E3282&lt;=2,F3282&lt;=2),"Tidur","Umum"))))))</f>
        <v/>
      </c>
    </row>
    <row r="3283">
      <c r="B3283">
        <f>IF(A3283="","",$B$1-MAXIFS(Donasi!$A$2:$A$20000,Donasi!$B$2:$B$20000,A3283))</f>
        <v/>
      </c>
      <c r="C3283">
        <f>IF(A3283="","",COUNTIF(Donasi!$B$2:$B$20000,A3283))</f>
        <v/>
      </c>
      <c r="D3283">
        <f>IF(A3283="","",SUMIF(Donasi!$B$2:$B$20000,A3283,Donasi!$C$2:$C$20000))</f>
        <v/>
      </c>
      <c r="E3283">
        <f>IF(A3283="","",6-CEILING(PERCENTRANK.INC($B$3:$B$6000,B3283,4)*5+0.000001,1))</f>
        <v/>
      </c>
      <c r="F3283">
        <f>IF(A3283="","",MAX(1,CEILING(PERCENTRANK.INC($C$3:$C$6000,C3283,4)*5+0.000001,1)))</f>
        <v/>
      </c>
      <c r="G3283">
        <f>IF(A3283="","",MAX(1,CEILING(PERCENTRANK.INC($D$3:$D$6000,D3283,4)*5+0.000001,1)))</f>
        <v/>
      </c>
      <c r="H3283">
        <f>IF(A3283="","",E3283&amp;F3283&amp;G3283)</f>
        <v/>
      </c>
      <c r="I3283">
        <f>IF(A3283="","",IF(AND(E3283&gt;=4,F3283&gt;=4,G3283&gt;=4),"Juara",IF(AND(F3283&gt;=4,E3283&gt;=3),"Setia",IF(AND(E3283=5,F3283&lt;=2,G3283&gt;=3),"Berpotensi",IF(AND(E3283&lt;=3,E3283&gt;=2,F3283&gt;=3),"Rawan",IF(AND(E3283&lt;=2,F3283&lt;=2),"Tidur","Umum"))))))</f>
        <v/>
      </c>
    </row>
    <row r="3284">
      <c r="B3284">
        <f>IF(A3284="","",$B$1-MAXIFS(Donasi!$A$2:$A$20000,Donasi!$B$2:$B$20000,A3284))</f>
        <v/>
      </c>
      <c r="C3284">
        <f>IF(A3284="","",COUNTIF(Donasi!$B$2:$B$20000,A3284))</f>
        <v/>
      </c>
      <c r="D3284">
        <f>IF(A3284="","",SUMIF(Donasi!$B$2:$B$20000,A3284,Donasi!$C$2:$C$20000))</f>
        <v/>
      </c>
      <c r="E3284">
        <f>IF(A3284="","",6-CEILING(PERCENTRANK.INC($B$3:$B$6000,B3284,4)*5+0.000001,1))</f>
        <v/>
      </c>
      <c r="F3284">
        <f>IF(A3284="","",MAX(1,CEILING(PERCENTRANK.INC($C$3:$C$6000,C3284,4)*5+0.000001,1)))</f>
        <v/>
      </c>
      <c r="G3284">
        <f>IF(A3284="","",MAX(1,CEILING(PERCENTRANK.INC($D$3:$D$6000,D3284,4)*5+0.000001,1)))</f>
        <v/>
      </c>
      <c r="H3284">
        <f>IF(A3284="","",E3284&amp;F3284&amp;G3284)</f>
        <v/>
      </c>
      <c r="I3284">
        <f>IF(A3284="","",IF(AND(E3284&gt;=4,F3284&gt;=4,G3284&gt;=4),"Juara",IF(AND(F3284&gt;=4,E3284&gt;=3),"Setia",IF(AND(E3284=5,F3284&lt;=2,G3284&gt;=3),"Berpotensi",IF(AND(E3284&lt;=3,E3284&gt;=2,F3284&gt;=3),"Rawan",IF(AND(E3284&lt;=2,F3284&lt;=2),"Tidur","Umum"))))))</f>
        <v/>
      </c>
    </row>
    <row r="3285">
      <c r="B3285">
        <f>IF(A3285="","",$B$1-MAXIFS(Donasi!$A$2:$A$20000,Donasi!$B$2:$B$20000,A3285))</f>
        <v/>
      </c>
      <c r="C3285">
        <f>IF(A3285="","",COUNTIF(Donasi!$B$2:$B$20000,A3285))</f>
        <v/>
      </c>
      <c r="D3285">
        <f>IF(A3285="","",SUMIF(Donasi!$B$2:$B$20000,A3285,Donasi!$C$2:$C$20000))</f>
        <v/>
      </c>
      <c r="E3285">
        <f>IF(A3285="","",6-CEILING(PERCENTRANK.INC($B$3:$B$6000,B3285,4)*5+0.000001,1))</f>
        <v/>
      </c>
      <c r="F3285">
        <f>IF(A3285="","",MAX(1,CEILING(PERCENTRANK.INC($C$3:$C$6000,C3285,4)*5+0.000001,1)))</f>
        <v/>
      </c>
      <c r="G3285">
        <f>IF(A3285="","",MAX(1,CEILING(PERCENTRANK.INC($D$3:$D$6000,D3285,4)*5+0.000001,1)))</f>
        <v/>
      </c>
      <c r="H3285">
        <f>IF(A3285="","",E3285&amp;F3285&amp;G3285)</f>
        <v/>
      </c>
      <c r="I3285">
        <f>IF(A3285="","",IF(AND(E3285&gt;=4,F3285&gt;=4,G3285&gt;=4),"Juara",IF(AND(F3285&gt;=4,E3285&gt;=3),"Setia",IF(AND(E3285=5,F3285&lt;=2,G3285&gt;=3),"Berpotensi",IF(AND(E3285&lt;=3,E3285&gt;=2,F3285&gt;=3),"Rawan",IF(AND(E3285&lt;=2,F3285&lt;=2),"Tidur","Umum"))))))</f>
        <v/>
      </c>
    </row>
    <row r="3286">
      <c r="B3286">
        <f>IF(A3286="","",$B$1-MAXIFS(Donasi!$A$2:$A$20000,Donasi!$B$2:$B$20000,A3286))</f>
        <v/>
      </c>
      <c r="C3286">
        <f>IF(A3286="","",COUNTIF(Donasi!$B$2:$B$20000,A3286))</f>
        <v/>
      </c>
      <c r="D3286">
        <f>IF(A3286="","",SUMIF(Donasi!$B$2:$B$20000,A3286,Donasi!$C$2:$C$20000))</f>
        <v/>
      </c>
      <c r="E3286">
        <f>IF(A3286="","",6-CEILING(PERCENTRANK.INC($B$3:$B$6000,B3286,4)*5+0.000001,1))</f>
        <v/>
      </c>
      <c r="F3286">
        <f>IF(A3286="","",MAX(1,CEILING(PERCENTRANK.INC($C$3:$C$6000,C3286,4)*5+0.000001,1)))</f>
        <v/>
      </c>
      <c r="G3286">
        <f>IF(A3286="","",MAX(1,CEILING(PERCENTRANK.INC($D$3:$D$6000,D3286,4)*5+0.000001,1)))</f>
        <v/>
      </c>
      <c r="H3286">
        <f>IF(A3286="","",E3286&amp;F3286&amp;G3286)</f>
        <v/>
      </c>
      <c r="I3286">
        <f>IF(A3286="","",IF(AND(E3286&gt;=4,F3286&gt;=4,G3286&gt;=4),"Juara",IF(AND(F3286&gt;=4,E3286&gt;=3),"Setia",IF(AND(E3286=5,F3286&lt;=2,G3286&gt;=3),"Berpotensi",IF(AND(E3286&lt;=3,E3286&gt;=2,F3286&gt;=3),"Rawan",IF(AND(E3286&lt;=2,F3286&lt;=2),"Tidur","Umum"))))))</f>
        <v/>
      </c>
    </row>
    <row r="3287">
      <c r="B3287">
        <f>IF(A3287="","",$B$1-MAXIFS(Donasi!$A$2:$A$20000,Donasi!$B$2:$B$20000,A3287))</f>
        <v/>
      </c>
      <c r="C3287">
        <f>IF(A3287="","",COUNTIF(Donasi!$B$2:$B$20000,A3287))</f>
        <v/>
      </c>
      <c r="D3287">
        <f>IF(A3287="","",SUMIF(Donasi!$B$2:$B$20000,A3287,Donasi!$C$2:$C$20000))</f>
        <v/>
      </c>
      <c r="E3287">
        <f>IF(A3287="","",6-CEILING(PERCENTRANK.INC($B$3:$B$6000,B3287,4)*5+0.000001,1))</f>
        <v/>
      </c>
      <c r="F3287">
        <f>IF(A3287="","",MAX(1,CEILING(PERCENTRANK.INC($C$3:$C$6000,C3287,4)*5+0.000001,1)))</f>
        <v/>
      </c>
      <c r="G3287">
        <f>IF(A3287="","",MAX(1,CEILING(PERCENTRANK.INC($D$3:$D$6000,D3287,4)*5+0.000001,1)))</f>
        <v/>
      </c>
      <c r="H3287">
        <f>IF(A3287="","",E3287&amp;F3287&amp;G3287)</f>
        <v/>
      </c>
      <c r="I3287">
        <f>IF(A3287="","",IF(AND(E3287&gt;=4,F3287&gt;=4,G3287&gt;=4),"Juara",IF(AND(F3287&gt;=4,E3287&gt;=3),"Setia",IF(AND(E3287=5,F3287&lt;=2,G3287&gt;=3),"Berpotensi",IF(AND(E3287&lt;=3,E3287&gt;=2,F3287&gt;=3),"Rawan",IF(AND(E3287&lt;=2,F3287&lt;=2),"Tidur","Umum"))))))</f>
        <v/>
      </c>
    </row>
    <row r="3288">
      <c r="B3288">
        <f>IF(A3288="","",$B$1-MAXIFS(Donasi!$A$2:$A$20000,Donasi!$B$2:$B$20000,A3288))</f>
        <v/>
      </c>
      <c r="C3288">
        <f>IF(A3288="","",COUNTIF(Donasi!$B$2:$B$20000,A3288))</f>
        <v/>
      </c>
      <c r="D3288">
        <f>IF(A3288="","",SUMIF(Donasi!$B$2:$B$20000,A3288,Donasi!$C$2:$C$20000))</f>
        <v/>
      </c>
      <c r="E3288">
        <f>IF(A3288="","",6-CEILING(PERCENTRANK.INC($B$3:$B$6000,B3288,4)*5+0.000001,1))</f>
        <v/>
      </c>
      <c r="F3288">
        <f>IF(A3288="","",MAX(1,CEILING(PERCENTRANK.INC($C$3:$C$6000,C3288,4)*5+0.000001,1)))</f>
        <v/>
      </c>
      <c r="G3288">
        <f>IF(A3288="","",MAX(1,CEILING(PERCENTRANK.INC($D$3:$D$6000,D3288,4)*5+0.000001,1)))</f>
        <v/>
      </c>
      <c r="H3288">
        <f>IF(A3288="","",E3288&amp;F3288&amp;G3288)</f>
        <v/>
      </c>
      <c r="I3288">
        <f>IF(A3288="","",IF(AND(E3288&gt;=4,F3288&gt;=4,G3288&gt;=4),"Juara",IF(AND(F3288&gt;=4,E3288&gt;=3),"Setia",IF(AND(E3288=5,F3288&lt;=2,G3288&gt;=3),"Berpotensi",IF(AND(E3288&lt;=3,E3288&gt;=2,F3288&gt;=3),"Rawan",IF(AND(E3288&lt;=2,F3288&lt;=2),"Tidur","Umum"))))))</f>
        <v/>
      </c>
    </row>
    <row r="3289">
      <c r="B3289">
        <f>IF(A3289="","",$B$1-MAXIFS(Donasi!$A$2:$A$20000,Donasi!$B$2:$B$20000,A3289))</f>
        <v/>
      </c>
      <c r="C3289">
        <f>IF(A3289="","",COUNTIF(Donasi!$B$2:$B$20000,A3289))</f>
        <v/>
      </c>
      <c r="D3289">
        <f>IF(A3289="","",SUMIF(Donasi!$B$2:$B$20000,A3289,Donasi!$C$2:$C$20000))</f>
        <v/>
      </c>
      <c r="E3289">
        <f>IF(A3289="","",6-CEILING(PERCENTRANK.INC($B$3:$B$6000,B3289,4)*5+0.000001,1))</f>
        <v/>
      </c>
      <c r="F3289">
        <f>IF(A3289="","",MAX(1,CEILING(PERCENTRANK.INC($C$3:$C$6000,C3289,4)*5+0.000001,1)))</f>
        <v/>
      </c>
      <c r="G3289">
        <f>IF(A3289="","",MAX(1,CEILING(PERCENTRANK.INC($D$3:$D$6000,D3289,4)*5+0.000001,1)))</f>
        <v/>
      </c>
      <c r="H3289">
        <f>IF(A3289="","",E3289&amp;F3289&amp;G3289)</f>
        <v/>
      </c>
      <c r="I3289">
        <f>IF(A3289="","",IF(AND(E3289&gt;=4,F3289&gt;=4,G3289&gt;=4),"Juara",IF(AND(F3289&gt;=4,E3289&gt;=3),"Setia",IF(AND(E3289=5,F3289&lt;=2,G3289&gt;=3),"Berpotensi",IF(AND(E3289&lt;=3,E3289&gt;=2,F3289&gt;=3),"Rawan",IF(AND(E3289&lt;=2,F3289&lt;=2),"Tidur","Umum"))))))</f>
        <v/>
      </c>
    </row>
    <row r="3290">
      <c r="B3290">
        <f>IF(A3290="","",$B$1-MAXIFS(Donasi!$A$2:$A$20000,Donasi!$B$2:$B$20000,A3290))</f>
        <v/>
      </c>
      <c r="C3290">
        <f>IF(A3290="","",COUNTIF(Donasi!$B$2:$B$20000,A3290))</f>
        <v/>
      </c>
      <c r="D3290">
        <f>IF(A3290="","",SUMIF(Donasi!$B$2:$B$20000,A3290,Donasi!$C$2:$C$20000))</f>
        <v/>
      </c>
      <c r="E3290">
        <f>IF(A3290="","",6-CEILING(PERCENTRANK.INC($B$3:$B$6000,B3290,4)*5+0.000001,1))</f>
        <v/>
      </c>
      <c r="F3290">
        <f>IF(A3290="","",MAX(1,CEILING(PERCENTRANK.INC($C$3:$C$6000,C3290,4)*5+0.000001,1)))</f>
        <v/>
      </c>
      <c r="G3290">
        <f>IF(A3290="","",MAX(1,CEILING(PERCENTRANK.INC($D$3:$D$6000,D3290,4)*5+0.000001,1)))</f>
        <v/>
      </c>
      <c r="H3290">
        <f>IF(A3290="","",E3290&amp;F3290&amp;G3290)</f>
        <v/>
      </c>
      <c r="I3290">
        <f>IF(A3290="","",IF(AND(E3290&gt;=4,F3290&gt;=4,G3290&gt;=4),"Juara",IF(AND(F3290&gt;=4,E3290&gt;=3),"Setia",IF(AND(E3290=5,F3290&lt;=2,G3290&gt;=3),"Berpotensi",IF(AND(E3290&lt;=3,E3290&gt;=2,F3290&gt;=3),"Rawan",IF(AND(E3290&lt;=2,F3290&lt;=2),"Tidur","Umum"))))))</f>
        <v/>
      </c>
    </row>
    <row r="3291">
      <c r="B3291">
        <f>IF(A3291="","",$B$1-MAXIFS(Donasi!$A$2:$A$20000,Donasi!$B$2:$B$20000,A3291))</f>
        <v/>
      </c>
      <c r="C3291">
        <f>IF(A3291="","",COUNTIF(Donasi!$B$2:$B$20000,A3291))</f>
        <v/>
      </c>
      <c r="D3291">
        <f>IF(A3291="","",SUMIF(Donasi!$B$2:$B$20000,A3291,Donasi!$C$2:$C$20000))</f>
        <v/>
      </c>
      <c r="E3291">
        <f>IF(A3291="","",6-CEILING(PERCENTRANK.INC($B$3:$B$6000,B3291,4)*5+0.000001,1))</f>
        <v/>
      </c>
      <c r="F3291">
        <f>IF(A3291="","",MAX(1,CEILING(PERCENTRANK.INC($C$3:$C$6000,C3291,4)*5+0.000001,1)))</f>
        <v/>
      </c>
      <c r="G3291">
        <f>IF(A3291="","",MAX(1,CEILING(PERCENTRANK.INC($D$3:$D$6000,D3291,4)*5+0.000001,1)))</f>
        <v/>
      </c>
      <c r="H3291">
        <f>IF(A3291="","",E3291&amp;F3291&amp;G3291)</f>
        <v/>
      </c>
      <c r="I3291">
        <f>IF(A3291="","",IF(AND(E3291&gt;=4,F3291&gt;=4,G3291&gt;=4),"Juara",IF(AND(F3291&gt;=4,E3291&gt;=3),"Setia",IF(AND(E3291=5,F3291&lt;=2,G3291&gt;=3),"Berpotensi",IF(AND(E3291&lt;=3,E3291&gt;=2,F3291&gt;=3),"Rawan",IF(AND(E3291&lt;=2,F3291&lt;=2),"Tidur","Umum"))))))</f>
        <v/>
      </c>
    </row>
    <row r="3292">
      <c r="B3292">
        <f>IF(A3292="","",$B$1-MAXIFS(Donasi!$A$2:$A$20000,Donasi!$B$2:$B$20000,A3292))</f>
        <v/>
      </c>
      <c r="C3292">
        <f>IF(A3292="","",COUNTIF(Donasi!$B$2:$B$20000,A3292))</f>
        <v/>
      </c>
      <c r="D3292">
        <f>IF(A3292="","",SUMIF(Donasi!$B$2:$B$20000,A3292,Donasi!$C$2:$C$20000))</f>
        <v/>
      </c>
      <c r="E3292">
        <f>IF(A3292="","",6-CEILING(PERCENTRANK.INC($B$3:$B$6000,B3292,4)*5+0.000001,1))</f>
        <v/>
      </c>
      <c r="F3292">
        <f>IF(A3292="","",MAX(1,CEILING(PERCENTRANK.INC($C$3:$C$6000,C3292,4)*5+0.000001,1)))</f>
        <v/>
      </c>
      <c r="G3292">
        <f>IF(A3292="","",MAX(1,CEILING(PERCENTRANK.INC($D$3:$D$6000,D3292,4)*5+0.000001,1)))</f>
        <v/>
      </c>
      <c r="H3292">
        <f>IF(A3292="","",E3292&amp;F3292&amp;G3292)</f>
        <v/>
      </c>
      <c r="I3292">
        <f>IF(A3292="","",IF(AND(E3292&gt;=4,F3292&gt;=4,G3292&gt;=4),"Juara",IF(AND(F3292&gt;=4,E3292&gt;=3),"Setia",IF(AND(E3292=5,F3292&lt;=2,G3292&gt;=3),"Berpotensi",IF(AND(E3292&lt;=3,E3292&gt;=2,F3292&gt;=3),"Rawan",IF(AND(E3292&lt;=2,F3292&lt;=2),"Tidur","Umum"))))))</f>
        <v/>
      </c>
    </row>
    <row r="3293">
      <c r="B3293">
        <f>IF(A3293="","",$B$1-MAXIFS(Donasi!$A$2:$A$20000,Donasi!$B$2:$B$20000,A3293))</f>
        <v/>
      </c>
      <c r="C3293">
        <f>IF(A3293="","",COUNTIF(Donasi!$B$2:$B$20000,A3293))</f>
        <v/>
      </c>
      <c r="D3293">
        <f>IF(A3293="","",SUMIF(Donasi!$B$2:$B$20000,A3293,Donasi!$C$2:$C$20000))</f>
        <v/>
      </c>
      <c r="E3293">
        <f>IF(A3293="","",6-CEILING(PERCENTRANK.INC($B$3:$B$6000,B3293,4)*5+0.000001,1))</f>
        <v/>
      </c>
      <c r="F3293">
        <f>IF(A3293="","",MAX(1,CEILING(PERCENTRANK.INC($C$3:$C$6000,C3293,4)*5+0.000001,1)))</f>
        <v/>
      </c>
      <c r="G3293">
        <f>IF(A3293="","",MAX(1,CEILING(PERCENTRANK.INC($D$3:$D$6000,D3293,4)*5+0.000001,1)))</f>
        <v/>
      </c>
      <c r="H3293">
        <f>IF(A3293="","",E3293&amp;F3293&amp;G3293)</f>
        <v/>
      </c>
      <c r="I3293">
        <f>IF(A3293="","",IF(AND(E3293&gt;=4,F3293&gt;=4,G3293&gt;=4),"Juara",IF(AND(F3293&gt;=4,E3293&gt;=3),"Setia",IF(AND(E3293=5,F3293&lt;=2,G3293&gt;=3),"Berpotensi",IF(AND(E3293&lt;=3,E3293&gt;=2,F3293&gt;=3),"Rawan",IF(AND(E3293&lt;=2,F3293&lt;=2),"Tidur","Umum"))))))</f>
        <v/>
      </c>
    </row>
    <row r="3294">
      <c r="B3294">
        <f>IF(A3294="","",$B$1-MAXIFS(Donasi!$A$2:$A$20000,Donasi!$B$2:$B$20000,A3294))</f>
        <v/>
      </c>
      <c r="C3294">
        <f>IF(A3294="","",COUNTIF(Donasi!$B$2:$B$20000,A3294))</f>
        <v/>
      </c>
      <c r="D3294">
        <f>IF(A3294="","",SUMIF(Donasi!$B$2:$B$20000,A3294,Donasi!$C$2:$C$20000))</f>
        <v/>
      </c>
      <c r="E3294">
        <f>IF(A3294="","",6-CEILING(PERCENTRANK.INC($B$3:$B$6000,B3294,4)*5+0.000001,1))</f>
        <v/>
      </c>
      <c r="F3294">
        <f>IF(A3294="","",MAX(1,CEILING(PERCENTRANK.INC($C$3:$C$6000,C3294,4)*5+0.000001,1)))</f>
        <v/>
      </c>
      <c r="G3294">
        <f>IF(A3294="","",MAX(1,CEILING(PERCENTRANK.INC($D$3:$D$6000,D3294,4)*5+0.000001,1)))</f>
        <v/>
      </c>
      <c r="H3294">
        <f>IF(A3294="","",E3294&amp;F3294&amp;G3294)</f>
        <v/>
      </c>
      <c r="I3294">
        <f>IF(A3294="","",IF(AND(E3294&gt;=4,F3294&gt;=4,G3294&gt;=4),"Juara",IF(AND(F3294&gt;=4,E3294&gt;=3),"Setia",IF(AND(E3294=5,F3294&lt;=2,G3294&gt;=3),"Berpotensi",IF(AND(E3294&lt;=3,E3294&gt;=2,F3294&gt;=3),"Rawan",IF(AND(E3294&lt;=2,F3294&lt;=2),"Tidur","Umum"))))))</f>
        <v/>
      </c>
    </row>
    <row r="3295">
      <c r="B3295">
        <f>IF(A3295="","",$B$1-MAXIFS(Donasi!$A$2:$A$20000,Donasi!$B$2:$B$20000,A3295))</f>
        <v/>
      </c>
      <c r="C3295">
        <f>IF(A3295="","",COUNTIF(Donasi!$B$2:$B$20000,A3295))</f>
        <v/>
      </c>
      <c r="D3295">
        <f>IF(A3295="","",SUMIF(Donasi!$B$2:$B$20000,A3295,Donasi!$C$2:$C$20000))</f>
        <v/>
      </c>
      <c r="E3295">
        <f>IF(A3295="","",6-CEILING(PERCENTRANK.INC($B$3:$B$6000,B3295,4)*5+0.000001,1))</f>
        <v/>
      </c>
      <c r="F3295">
        <f>IF(A3295="","",MAX(1,CEILING(PERCENTRANK.INC($C$3:$C$6000,C3295,4)*5+0.000001,1)))</f>
        <v/>
      </c>
      <c r="G3295">
        <f>IF(A3295="","",MAX(1,CEILING(PERCENTRANK.INC($D$3:$D$6000,D3295,4)*5+0.000001,1)))</f>
        <v/>
      </c>
      <c r="H3295">
        <f>IF(A3295="","",E3295&amp;F3295&amp;G3295)</f>
        <v/>
      </c>
      <c r="I3295">
        <f>IF(A3295="","",IF(AND(E3295&gt;=4,F3295&gt;=4,G3295&gt;=4),"Juara",IF(AND(F3295&gt;=4,E3295&gt;=3),"Setia",IF(AND(E3295=5,F3295&lt;=2,G3295&gt;=3),"Berpotensi",IF(AND(E3295&lt;=3,E3295&gt;=2,F3295&gt;=3),"Rawan",IF(AND(E3295&lt;=2,F3295&lt;=2),"Tidur","Umum"))))))</f>
        <v/>
      </c>
    </row>
    <row r="3296">
      <c r="B3296">
        <f>IF(A3296="","",$B$1-MAXIFS(Donasi!$A$2:$A$20000,Donasi!$B$2:$B$20000,A3296))</f>
        <v/>
      </c>
      <c r="C3296">
        <f>IF(A3296="","",COUNTIF(Donasi!$B$2:$B$20000,A3296))</f>
        <v/>
      </c>
      <c r="D3296">
        <f>IF(A3296="","",SUMIF(Donasi!$B$2:$B$20000,A3296,Donasi!$C$2:$C$20000))</f>
        <v/>
      </c>
      <c r="E3296">
        <f>IF(A3296="","",6-CEILING(PERCENTRANK.INC($B$3:$B$6000,B3296,4)*5+0.000001,1))</f>
        <v/>
      </c>
      <c r="F3296">
        <f>IF(A3296="","",MAX(1,CEILING(PERCENTRANK.INC($C$3:$C$6000,C3296,4)*5+0.000001,1)))</f>
        <v/>
      </c>
      <c r="G3296">
        <f>IF(A3296="","",MAX(1,CEILING(PERCENTRANK.INC($D$3:$D$6000,D3296,4)*5+0.000001,1)))</f>
        <v/>
      </c>
      <c r="H3296">
        <f>IF(A3296="","",E3296&amp;F3296&amp;G3296)</f>
        <v/>
      </c>
      <c r="I3296">
        <f>IF(A3296="","",IF(AND(E3296&gt;=4,F3296&gt;=4,G3296&gt;=4),"Juara",IF(AND(F3296&gt;=4,E3296&gt;=3),"Setia",IF(AND(E3296=5,F3296&lt;=2,G3296&gt;=3),"Berpotensi",IF(AND(E3296&lt;=3,E3296&gt;=2,F3296&gt;=3),"Rawan",IF(AND(E3296&lt;=2,F3296&lt;=2),"Tidur","Umum"))))))</f>
        <v/>
      </c>
    </row>
    <row r="3297">
      <c r="B3297">
        <f>IF(A3297="","",$B$1-MAXIFS(Donasi!$A$2:$A$20000,Donasi!$B$2:$B$20000,A3297))</f>
        <v/>
      </c>
      <c r="C3297">
        <f>IF(A3297="","",COUNTIF(Donasi!$B$2:$B$20000,A3297))</f>
        <v/>
      </c>
      <c r="D3297">
        <f>IF(A3297="","",SUMIF(Donasi!$B$2:$B$20000,A3297,Donasi!$C$2:$C$20000))</f>
        <v/>
      </c>
      <c r="E3297">
        <f>IF(A3297="","",6-CEILING(PERCENTRANK.INC($B$3:$B$6000,B3297,4)*5+0.000001,1))</f>
        <v/>
      </c>
      <c r="F3297">
        <f>IF(A3297="","",MAX(1,CEILING(PERCENTRANK.INC($C$3:$C$6000,C3297,4)*5+0.000001,1)))</f>
        <v/>
      </c>
      <c r="G3297">
        <f>IF(A3297="","",MAX(1,CEILING(PERCENTRANK.INC($D$3:$D$6000,D3297,4)*5+0.000001,1)))</f>
        <v/>
      </c>
      <c r="H3297">
        <f>IF(A3297="","",E3297&amp;F3297&amp;G3297)</f>
        <v/>
      </c>
      <c r="I3297">
        <f>IF(A3297="","",IF(AND(E3297&gt;=4,F3297&gt;=4,G3297&gt;=4),"Juara",IF(AND(F3297&gt;=4,E3297&gt;=3),"Setia",IF(AND(E3297=5,F3297&lt;=2,G3297&gt;=3),"Berpotensi",IF(AND(E3297&lt;=3,E3297&gt;=2,F3297&gt;=3),"Rawan",IF(AND(E3297&lt;=2,F3297&lt;=2),"Tidur","Umum"))))))</f>
        <v/>
      </c>
    </row>
    <row r="3298">
      <c r="B3298">
        <f>IF(A3298="","",$B$1-MAXIFS(Donasi!$A$2:$A$20000,Donasi!$B$2:$B$20000,A3298))</f>
        <v/>
      </c>
      <c r="C3298">
        <f>IF(A3298="","",COUNTIF(Donasi!$B$2:$B$20000,A3298))</f>
        <v/>
      </c>
      <c r="D3298">
        <f>IF(A3298="","",SUMIF(Donasi!$B$2:$B$20000,A3298,Donasi!$C$2:$C$20000))</f>
        <v/>
      </c>
      <c r="E3298">
        <f>IF(A3298="","",6-CEILING(PERCENTRANK.INC($B$3:$B$6000,B3298,4)*5+0.000001,1))</f>
        <v/>
      </c>
      <c r="F3298">
        <f>IF(A3298="","",MAX(1,CEILING(PERCENTRANK.INC($C$3:$C$6000,C3298,4)*5+0.000001,1)))</f>
        <v/>
      </c>
      <c r="G3298">
        <f>IF(A3298="","",MAX(1,CEILING(PERCENTRANK.INC($D$3:$D$6000,D3298,4)*5+0.000001,1)))</f>
        <v/>
      </c>
      <c r="H3298">
        <f>IF(A3298="","",E3298&amp;F3298&amp;G3298)</f>
        <v/>
      </c>
      <c r="I3298">
        <f>IF(A3298="","",IF(AND(E3298&gt;=4,F3298&gt;=4,G3298&gt;=4),"Juara",IF(AND(F3298&gt;=4,E3298&gt;=3),"Setia",IF(AND(E3298=5,F3298&lt;=2,G3298&gt;=3),"Berpotensi",IF(AND(E3298&lt;=3,E3298&gt;=2,F3298&gt;=3),"Rawan",IF(AND(E3298&lt;=2,F3298&lt;=2),"Tidur","Umum"))))))</f>
        <v/>
      </c>
    </row>
    <row r="3299">
      <c r="B3299">
        <f>IF(A3299="","",$B$1-MAXIFS(Donasi!$A$2:$A$20000,Donasi!$B$2:$B$20000,A3299))</f>
        <v/>
      </c>
      <c r="C3299">
        <f>IF(A3299="","",COUNTIF(Donasi!$B$2:$B$20000,A3299))</f>
        <v/>
      </c>
      <c r="D3299">
        <f>IF(A3299="","",SUMIF(Donasi!$B$2:$B$20000,A3299,Donasi!$C$2:$C$20000))</f>
        <v/>
      </c>
      <c r="E3299">
        <f>IF(A3299="","",6-CEILING(PERCENTRANK.INC($B$3:$B$6000,B3299,4)*5+0.000001,1))</f>
        <v/>
      </c>
      <c r="F3299">
        <f>IF(A3299="","",MAX(1,CEILING(PERCENTRANK.INC($C$3:$C$6000,C3299,4)*5+0.000001,1)))</f>
        <v/>
      </c>
      <c r="G3299">
        <f>IF(A3299="","",MAX(1,CEILING(PERCENTRANK.INC($D$3:$D$6000,D3299,4)*5+0.000001,1)))</f>
        <v/>
      </c>
      <c r="H3299">
        <f>IF(A3299="","",E3299&amp;F3299&amp;G3299)</f>
        <v/>
      </c>
      <c r="I3299">
        <f>IF(A3299="","",IF(AND(E3299&gt;=4,F3299&gt;=4,G3299&gt;=4),"Juara",IF(AND(F3299&gt;=4,E3299&gt;=3),"Setia",IF(AND(E3299=5,F3299&lt;=2,G3299&gt;=3),"Berpotensi",IF(AND(E3299&lt;=3,E3299&gt;=2,F3299&gt;=3),"Rawan",IF(AND(E3299&lt;=2,F3299&lt;=2),"Tidur","Umum"))))))</f>
        <v/>
      </c>
    </row>
    <row r="3300">
      <c r="B3300">
        <f>IF(A3300="","",$B$1-MAXIFS(Donasi!$A$2:$A$20000,Donasi!$B$2:$B$20000,A3300))</f>
        <v/>
      </c>
      <c r="C3300">
        <f>IF(A3300="","",COUNTIF(Donasi!$B$2:$B$20000,A3300))</f>
        <v/>
      </c>
      <c r="D3300">
        <f>IF(A3300="","",SUMIF(Donasi!$B$2:$B$20000,A3300,Donasi!$C$2:$C$20000))</f>
        <v/>
      </c>
      <c r="E3300">
        <f>IF(A3300="","",6-CEILING(PERCENTRANK.INC($B$3:$B$6000,B3300,4)*5+0.000001,1))</f>
        <v/>
      </c>
      <c r="F3300">
        <f>IF(A3300="","",MAX(1,CEILING(PERCENTRANK.INC($C$3:$C$6000,C3300,4)*5+0.000001,1)))</f>
        <v/>
      </c>
      <c r="G3300">
        <f>IF(A3300="","",MAX(1,CEILING(PERCENTRANK.INC($D$3:$D$6000,D3300,4)*5+0.000001,1)))</f>
        <v/>
      </c>
      <c r="H3300">
        <f>IF(A3300="","",E3300&amp;F3300&amp;G3300)</f>
        <v/>
      </c>
      <c r="I3300">
        <f>IF(A3300="","",IF(AND(E3300&gt;=4,F3300&gt;=4,G3300&gt;=4),"Juara",IF(AND(F3300&gt;=4,E3300&gt;=3),"Setia",IF(AND(E3300=5,F3300&lt;=2,G3300&gt;=3),"Berpotensi",IF(AND(E3300&lt;=3,E3300&gt;=2,F3300&gt;=3),"Rawan",IF(AND(E3300&lt;=2,F3300&lt;=2),"Tidur","Umum"))))))</f>
        <v/>
      </c>
    </row>
    <row r="3301">
      <c r="B3301">
        <f>IF(A3301="","",$B$1-MAXIFS(Donasi!$A$2:$A$20000,Donasi!$B$2:$B$20000,A3301))</f>
        <v/>
      </c>
      <c r="C3301">
        <f>IF(A3301="","",COUNTIF(Donasi!$B$2:$B$20000,A3301))</f>
        <v/>
      </c>
      <c r="D3301">
        <f>IF(A3301="","",SUMIF(Donasi!$B$2:$B$20000,A3301,Donasi!$C$2:$C$20000))</f>
        <v/>
      </c>
      <c r="E3301">
        <f>IF(A3301="","",6-CEILING(PERCENTRANK.INC($B$3:$B$6000,B3301,4)*5+0.000001,1))</f>
        <v/>
      </c>
      <c r="F3301">
        <f>IF(A3301="","",MAX(1,CEILING(PERCENTRANK.INC($C$3:$C$6000,C3301,4)*5+0.000001,1)))</f>
        <v/>
      </c>
      <c r="G3301">
        <f>IF(A3301="","",MAX(1,CEILING(PERCENTRANK.INC($D$3:$D$6000,D3301,4)*5+0.000001,1)))</f>
        <v/>
      </c>
      <c r="H3301">
        <f>IF(A3301="","",E3301&amp;F3301&amp;G3301)</f>
        <v/>
      </c>
      <c r="I3301">
        <f>IF(A3301="","",IF(AND(E3301&gt;=4,F3301&gt;=4,G3301&gt;=4),"Juara",IF(AND(F3301&gt;=4,E3301&gt;=3),"Setia",IF(AND(E3301=5,F3301&lt;=2,G3301&gt;=3),"Berpotensi",IF(AND(E3301&lt;=3,E3301&gt;=2,F3301&gt;=3),"Rawan",IF(AND(E3301&lt;=2,F3301&lt;=2),"Tidur","Umum"))))))</f>
        <v/>
      </c>
    </row>
    <row r="3302">
      <c r="B3302">
        <f>IF(A3302="","",$B$1-MAXIFS(Donasi!$A$2:$A$20000,Donasi!$B$2:$B$20000,A3302))</f>
        <v/>
      </c>
      <c r="C3302">
        <f>IF(A3302="","",COUNTIF(Donasi!$B$2:$B$20000,A3302))</f>
        <v/>
      </c>
      <c r="D3302">
        <f>IF(A3302="","",SUMIF(Donasi!$B$2:$B$20000,A3302,Donasi!$C$2:$C$20000))</f>
        <v/>
      </c>
      <c r="E3302">
        <f>IF(A3302="","",6-CEILING(PERCENTRANK.INC($B$3:$B$6000,B3302,4)*5+0.000001,1))</f>
        <v/>
      </c>
      <c r="F3302">
        <f>IF(A3302="","",MAX(1,CEILING(PERCENTRANK.INC($C$3:$C$6000,C3302,4)*5+0.000001,1)))</f>
        <v/>
      </c>
      <c r="G3302">
        <f>IF(A3302="","",MAX(1,CEILING(PERCENTRANK.INC($D$3:$D$6000,D3302,4)*5+0.000001,1)))</f>
        <v/>
      </c>
      <c r="H3302">
        <f>IF(A3302="","",E3302&amp;F3302&amp;G3302)</f>
        <v/>
      </c>
      <c r="I3302">
        <f>IF(A3302="","",IF(AND(E3302&gt;=4,F3302&gt;=4,G3302&gt;=4),"Juara",IF(AND(F3302&gt;=4,E3302&gt;=3),"Setia",IF(AND(E3302=5,F3302&lt;=2,G3302&gt;=3),"Berpotensi",IF(AND(E3302&lt;=3,E3302&gt;=2,F3302&gt;=3),"Rawan",IF(AND(E3302&lt;=2,F3302&lt;=2),"Tidur","Umum"))))))</f>
        <v/>
      </c>
    </row>
    <row r="3303">
      <c r="B3303">
        <f>IF(A3303="","",$B$1-MAXIFS(Donasi!$A$2:$A$20000,Donasi!$B$2:$B$20000,A3303))</f>
        <v/>
      </c>
      <c r="C3303">
        <f>IF(A3303="","",COUNTIF(Donasi!$B$2:$B$20000,A3303))</f>
        <v/>
      </c>
      <c r="D3303">
        <f>IF(A3303="","",SUMIF(Donasi!$B$2:$B$20000,A3303,Donasi!$C$2:$C$20000))</f>
        <v/>
      </c>
      <c r="E3303">
        <f>IF(A3303="","",6-CEILING(PERCENTRANK.INC($B$3:$B$6000,B3303,4)*5+0.000001,1))</f>
        <v/>
      </c>
      <c r="F3303">
        <f>IF(A3303="","",MAX(1,CEILING(PERCENTRANK.INC($C$3:$C$6000,C3303,4)*5+0.000001,1)))</f>
        <v/>
      </c>
      <c r="G3303">
        <f>IF(A3303="","",MAX(1,CEILING(PERCENTRANK.INC($D$3:$D$6000,D3303,4)*5+0.000001,1)))</f>
        <v/>
      </c>
      <c r="H3303">
        <f>IF(A3303="","",E3303&amp;F3303&amp;G3303)</f>
        <v/>
      </c>
      <c r="I3303">
        <f>IF(A3303="","",IF(AND(E3303&gt;=4,F3303&gt;=4,G3303&gt;=4),"Juara",IF(AND(F3303&gt;=4,E3303&gt;=3),"Setia",IF(AND(E3303=5,F3303&lt;=2,G3303&gt;=3),"Berpotensi",IF(AND(E3303&lt;=3,E3303&gt;=2,F3303&gt;=3),"Rawan",IF(AND(E3303&lt;=2,F3303&lt;=2),"Tidur","Umum"))))))</f>
        <v/>
      </c>
    </row>
    <row r="3304">
      <c r="B3304">
        <f>IF(A3304="","",$B$1-MAXIFS(Donasi!$A$2:$A$20000,Donasi!$B$2:$B$20000,A3304))</f>
        <v/>
      </c>
      <c r="C3304">
        <f>IF(A3304="","",COUNTIF(Donasi!$B$2:$B$20000,A3304))</f>
        <v/>
      </c>
      <c r="D3304">
        <f>IF(A3304="","",SUMIF(Donasi!$B$2:$B$20000,A3304,Donasi!$C$2:$C$20000))</f>
        <v/>
      </c>
      <c r="E3304">
        <f>IF(A3304="","",6-CEILING(PERCENTRANK.INC($B$3:$B$6000,B3304,4)*5+0.000001,1))</f>
        <v/>
      </c>
      <c r="F3304">
        <f>IF(A3304="","",MAX(1,CEILING(PERCENTRANK.INC($C$3:$C$6000,C3304,4)*5+0.000001,1)))</f>
        <v/>
      </c>
      <c r="G3304">
        <f>IF(A3304="","",MAX(1,CEILING(PERCENTRANK.INC($D$3:$D$6000,D3304,4)*5+0.000001,1)))</f>
        <v/>
      </c>
      <c r="H3304">
        <f>IF(A3304="","",E3304&amp;F3304&amp;G3304)</f>
        <v/>
      </c>
      <c r="I3304">
        <f>IF(A3304="","",IF(AND(E3304&gt;=4,F3304&gt;=4,G3304&gt;=4),"Juara",IF(AND(F3304&gt;=4,E3304&gt;=3),"Setia",IF(AND(E3304=5,F3304&lt;=2,G3304&gt;=3),"Berpotensi",IF(AND(E3304&lt;=3,E3304&gt;=2,F3304&gt;=3),"Rawan",IF(AND(E3304&lt;=2,F3304&lt;=2),"Tidur","Umum"))))))</f>
        <v/>
      </c>
    </row>
    <row r="3305">
      <c r="B3305">
        <f>IF(A3305="","",$B$1-MAXIFS(Donasi!$A$2:$A$20000,Donasi!$B$2:$B$20000,A3305))</f>
        <v/>
      </c>
      <c r="C3305">
        <f>IF(A3305="","",COUNTIF(Donasi!$B$2:$B$20000,A3305))</f>
        <v/>
      </c>
      <c r="D3305">
        <f>IF(A3305="","",SUMIF(Donasi!$B$2:$B$20000,A3305,Donasi!$C$2:$C$20000))</f>
        <v/>
      </c>
      <c r="E3305">
        <f>IF(A3305="","",6-CEILING(PERCENTRANK.INC($B$3:$B$6000,B3305,4)*5+0.000001,1))</f>
        <v/>
      </c>
      <c r="F3305">
        <f>IF(A3305="","",MAX(1,CEILING(PERCENTRANK.INC($C$3:$C$6000,C3305,4)*5+0.000001,1)))</f>
        <v/>
      </c>
      <c r="G3305">
        <f>IF(A3305="","",MAX(1,CEILING(PERCENTRANK.INC($D$3:$D$6000,D3305,4)*5+0.000001,1)))</f>
        <v/>
      </c>
      <c r="H3305">
        <f>IF(A3305="","",E3305&amp;F3305&amp;G3305)</f>
        <v/>
      </c>
      <c r="I3305">
        <f>IF(A3305="","",IF(AND(E3305&gt;=4,F3305&gt;=4,G3305&gt;=4),"Juara",IF(AND(F3305&gt;=4,E3305&gt;=3),"Setia",IF(AND(E3305=5,F3305&lt;=2,G3305&gt;=3),"Berpotensi",IF(AND(E3305&lt;=3,E3305&gt;=2,F3305&gt;=3),"Rawan",IF(AND(E3305&lt;=2,F3305&lt;=2),"Tidur","Umum"))))))</f>
        <v/>
      </c>
    </row>
    <row r="3306">
      <c r="B3306">
        <f>IF(A3306="","",$B$1-MAXIFS(Donasi!$A$2:$A$20000,Donasi!$B$2:$B$20000,A3306))</f>
        <v/>
      </c>
      <c r="C3306">
        <f>IF(A3306="","",COUNTIF(Donasi!$B$2:$B$20000,A3306))</f>
        <v/>
      </c>
      <c r="D3306">
        <f>IF(A3306="","",SUMIF(Donasi!$B$2:$B$20000,A3306,Donasi!$C$2:$C$20000))</f>
        <v/>
      </c>
      <c r="E3306">
        <f>IF(A3306="","",6-CEILING(PERCENTRANK.INC($B$3:$B$6000,B3306,4)*5+0.000001,1))</f>
        <v/>
      </c>
      <c r="F3306">
        <f>IF(A3306="","",MAX(1,CEILING(PERCENTRANK.INC($C$3:$C$6000,C3306,4)*5+0.000001,1)))</f>
        <v/>
      </c>
      <c r="G3306">
        <f>IF(A3306="","",MAX(1,CEILING(PERCENTRANK.INC($D$3:$D$6000,D3306,4)*5+0.000001,1)))</f>
        <v/>
      </c>
      <c r="H3306">
        <f>IF(A3306="","",E3306&amp;F3306&amp;G3306)</f>
        <v/>
      </c>
      <c r="I3306">
        <f>IF(A3306="","",IF(AND(E3306&gt;=4,F3306&gt;=4,G3306&gt;=4),"Juara",IF(AND(F3306&gt;=4,E3306&gt;=3),"Setia",IF(AND(E3306=5,F3306&lt;=2,G3306&gt;=3),"Berpotensi",IF(AND(E3306&lt;=3,E3306&gt;=2,F3306&gt;=3),"Rawan",IF(AND(E3306&lt;=2,F3306&lt;=2),"Tidur","Umum"))))))</f>
        <v/>
      </c>
    </row>
    <row r="3307">
      <c r="B3307">
        <f>IF(A3307="","",$B$1-MAXIFS(Donasi!$A$2:$A$20000,Donasi!$B$2:$B$20000,A3307))</f>
        <v/>
      </c>
      <c r="C3307">
        <f>IF(A3307="","",COUNTIF(Donasi!$B$2:$B$20000,A3307))</f>
        <v/>
      </c>
      <c r="D3307">
        <f>IF(A3307="","",SUMIF(Donasi!$B$2:$B$20000,A3307,Donasi!$C$2:$C$20000))</f>
        <v/>
      </c>
      <c r="E3307">
        <f>IF(A3307="","",6-CEILING(PERCENTRANK.INC($B$3:$B$6000,B3307,4)*5+0.000001,1))</f>
        <v/>
      </c>
      <c r="F3307">
        <f>IF(A3307="","",MAX(1,CEILING(PERCENTRANK.INC($C$3:$C$6000,C3307,4)*5+0.000001,1)))</f>
        <v/>
      </c>
      <c r="G3307">
        <f>IF(A3307="","",MAX(1,CEILING(PERCENTRANK.INC($D$3:$D$6000,D3307,4)*5+0.000001,1)))</f>
        <v/>
      </c>
      <c r="H3307">
        <f>IF(A3307="","",E3307&amp;F3307&amp;G3307)</f>
        <v/>
      </c>
      <c r="I3307">
        <f>IF(A3307="","",IF(AND(E3307&gt;=4,F3307&gt;=4,G3307&gt;=4),"Juara",IF(AND(F3307&gt;=4,E3307&gt;=3),"Setia",IF(AND(E3307=5,F3307&lt;=2,G3307&gt;=3),"Berpotensi",IF(AND(E3307&lt;=3,E3307&gt;=2,F3307&gt;=3),"Rawan",IF(AND(E3307&lt;=2,F3307&lt;=2),"Tidur","Umum"))))))</f>
        <v/>
      </c>
    </row>
    <row r="3308">
      <c r="B3308">
        <f>IF(A3308="","",$B$1-MAXIFS(Donasi!$A$2:$A$20000,Donasi!$B$2:$B$20000,A3308))</f>
        <v/>
      </c>
      <c r="C3308">
        <f>IF(A3308="","",COUNTIF(Donasi!$B$2:$B$20000,A3308))</f>
        <v/>
      </c>
      <c r="D3308">
        <f>IF(A3308="","",SUMIF(Donasi!$B$2:$B$20000,A3308,Donasi!$C$2:$C$20000))</f>
        <v/>
      </c>
      <c r="E3308">
        <f>IF(A3308="","",6-CEILING(PERCENTRANK.INC($B$3:$B$6000,B3308,4)*5+0.000001,1))</f>
        <v/>
      </c>
      <c r="F3308">
        <f>IF(A3308="","",MAX(1,CEILING(PERCENTRANK.INC($C$3:$C$6000,C3308,4)*5+0.000001,1)))</f>
        <v/>
      </c>
      <c r="G3308">
        <f>IF(A3308="","",MAX(1,CEILING(PERCENTRANK.INC($D$3:$D$6000,D3308,4)*5+0.000001,1)))</f>
        <v/>
      </c>
      <c r="H3308">
        <f>IF(A3308="","",E3308&amp;F3308&amp;G3308)</f>
        <v/>
      </c>
      <c r="I3308">
        <f>IF(A3308="","",IF(AND(E3308&gt;=4,F3308&gt;=4,G3308&gt;=4),"Juara",IF(AND(F3308&gt;=4,E3308&gt;=3),"Setia",IF(AND(E3308=5,F3308&lt;=2,G3308&gt;=3),"Berpotensi",IF(AND(E3308&lt;=3,E3308&gt;=2,F3308&gt;=3),"Rawan",IF(AND(E3308&lt;=2,F3308&lt;=2),"Tidur","Umum"))))))</f>
        <v/>
      </c>
    </row>
    <row r="3309">
      <c r="B3309">
        <f>IF(A3309="","",$B$1-MAXIFS(Donasi!$A$2:$A$20000,Donasi!$B$2:$B$20000,A3309))</f>
        <v/>
      </c>
      <c r="C3309">
        <f>IF(A3309="","",COUNTIF(Donasi!$B$2:$B$20000,A3309))</f>
        <v/>
      </c>
      <c r="D3309">
        <f>IF(A3309="","",SUMIF(Donasi!$B$2:$B$20000,A3309,Donasi!$C$2:$C$20000))</f>
        <v/>
      </c>
      <c r="E3309">
        <f>IF(A3309="","",6-CEILING(PERCENTRANK.INC($B$3:$B$6000,B3309,4)*5+0.000001,1))</f>
        <v/>
      </c>
      <c r="F3309">
        <f>IF(A3309="","",MAX(1,CEILING(PERCENTRANK.INC($C$3:$C$6000,C3309,4)*5+0.000001,1)))</f>
        <v/>
      </c>
      <c r="G3309">
        <f>IF(A3309="","",MAX(1,CEILING(PERCENTRANK.INC($D$3:$D$6000,D3309,4)*5+0.000001,1)))</f>
        <v/>
      </c>
      <c r="H3309">
        <f>IF(A3309="","",E3309&amp;F3309&amp;G3309)</f>
        <v/>
      </c>
      <c r="I3309">
        <f>IF(A3309="","",IF(AND(E3309&gt;=4,F3309&gt;=4,G3309&gt;=4),"Juara",IF(AND(F3309&gt;=4,E3309&gt;=3),"Setia",IF(AND(E3309=5,F3309&lt;=2,G3309&gt;=3),"Berpotensi",IF(AND(E3309&lt;=3,E3309&gt;=2,F3309&gt;=3),"Rawan",IF(AND(E3309&lt;=2,F3309&lt;=2),"Tidur","Umum"))))))</f>
        <v/>
      </c>
    </row>
    <row r="3310">
      <c r="B3310">
        <f>IF(A3310="","",$B$1-MAXIFS(Donasi!$A$2:$A$20000,Donasi!$B$2:$B$20000,A3310))</f>
        <v/>
      </c>
      <c r="C3310">
        <f>IF(A3310="","",COUNTIF(Donasi!$B$2:$B$20000,A3310))</f>
        <v/>
      </c>
      <c r="D3310">
        <f>IF(A3310="","",SUMIF(Donasi!$B$2:$B$20000,A3310,Donasi!$C$2:$C$20000))</f>
        <v/>
      </c>
      <c r="E3310">
        <f>IF(A3310="","",6-CEILING(PERCENTRANK.INC($B$3:$B$6000,B3310,4)*5+0.000001,1))</f>
        <v/>
      </c>
      <c r="F3310">
        <f>IF(A3310="","",MAX(1,CEILING(PERCENTRANK.INC($C$3:$C$6000,C3310,4)*5+0.000001,1)))</f>
        <v/>
      </c>
      <c r="G3310">
        <f>IF(A3310="","",MAX(1,CEILING(PERCENTRANK.INC($D$3:$D$6000,D3310,4)*5+0.000001,1)))</f>
        <v/>
      </c>
      <c r="H3310">
        <f>IF(A3310="","",E3310&amp;F3310&amp;G3310)</f>
        <v/>
      </c>
      <c r="I3310">
        <f>IF(A3310="","",IF(AND(E3310&gt;=4,F3310&gt;=4,G3310&gt;=4),"Juara",IF(AND(F3310&gt;=4,E3310&gt;=3),"Setia",IF(AND(E3310=5,F3310&lt;=2,G3310&gt;=3),"Berpotensi",IF(AND(E3310&lt;=3,E3310&gt;=2,F3310&gt;=3),"Rawan",IF(AND(E3310&lt;=2,F3310&lt;=2),"Tidur","Umum"))))))</f>
        <v/>
      </c>
    </row>
    <row r="3311">
      <c r="B3311">
        <f>IF(A3311="","",$B$1-MAXIFS(Donasi!$A$2:$A$20000,Donasi!$B$2:$B$20000,A3311))</f>
        <v/>
      </c>
      <c r="C3311">
        <f>IF(A3311="","",COUNTIF(Donasi!$B$2:$B$20000,A3311))</f>
        <v/>
      </c>
      <c r="D3311">
        <f>IF(A3311="","",SUMIF(Donasi!$B$2:$B$20000,A3311,Donasi!$C$2:$C$20000))</f>
        <v/>
      </c>
      <c r="E3311">
        <f>IF(A3311="","",6-CEILING(PERCENTRANK.INC($B$3:$B$6000,B3311,4)*5+0.000001,1))</f>
        <v/>
      </c>
      <c r="F3311">
        <f>IF(A3311="","",MAX(1,CEILING(PERCENTRANK.INC($C$3:$C$6000,C3311,4)*5+0.000001,1)))</f>
        <v/>
      </c>
      <c r="G3311">
        <f>IF(A3311="","",MAX(1,CEILING(PERCENTRANK.INC($D$3:$D$6000,D3311,4)*5+0.000001,1)))</f>
        <v/>
      </c>
      <c r="H3311">
        <f>IF(A3311="","",E3311&amp;F3311&amp;G3311)</f>
        <v/>
      </c>
      <c r="I3311">
        <f>IF(A3311="","",IF(AND(E3311&gt;=4,F3311&gt;=4,G3311&gt;=4),"Juara",IF(AND(F3311&gt;=4,E3311&gt;=3),"Setia",IF(AND(E3311=5,F3311&lt;=2,G3311&gt;=3),"Berpotensi",IF(AND(E3311&lt;=3,E3311&gt;=2,F3311&gt;=3),"Rawan",IF(AND(E3311&lt;=2,F3311&lt;=2),"Tidur","Umum"))))))</f>
        <v/>
      </c>
    </row>
    <row r="3312">
      <c r="B3312">
        <f>IF(A3312="","",$B$1-MAXIFS(Donasi!$A$2:$A$20000,Donasi!$B$2:$B$20000,A3312))</f>
        <v/>
      </c>
      <c r="C3312">
        <f>IF(A3312="","",COUNTIF(Donasi!$B$2:$B$20000,A3312))</f>
        <v/>
      </c>
      <c r="D3312">
        <f>IF(A3312="","",SUMIF(Donasi!$B$2:$B$20000,A3312,Donasi!$C$2:$C$20000))</f>
        <v/>
      </c>
      <c r="E3312">
        <f>IF(A3312="","",6-CEILING(PERCENTRANK.INC($B$3:$B$6000,B3312,4)*5+0.000001,1))</f>
        <v/>
      </c>
      <c r="F3312">
        <f>IF(A3312="","",MAX(1,CEILING(PERCENTRANK.INC($C$3:$C$6000,C3312,4)*5+0.000001,1)))</f>
        <v/>
      </c>
      <c r="G3312">
        <f>IF(A3312="","",MAX(1,CEILING(PERCENTRANK.INC($D$3:$D$6000,D3312,4)*5+0.000001,1)))</f>
        <v/>
      </c>
      <c r="H3312">
        <f>IF(A3312="","",E3312&amp;F3312&amp;G3312)</f>
        <v/>
      </c>
      <c r="I3312">
        <f>IF(A3312="","",IF(AND(E3312&gt;=4,F3312&gt;=4,G3312&gt;=4),"Juara",IF(AND(F3312&gt;=4,E3312&gt;=3),"Setia",IF(AND(E3312=5,F3312&lt;=2,G3312&gt;=3),"Berpotensi",IF(AND(E3312&lt;=3,E3312&gt;=2,F3312&gt;=3),"Rawan",IF(AND(E3312&lt;=2,F3312&lt;=2),"Tidur","Umum"))))))</f>
        <v/>
      </c>
    </row>
    <row r="3313">
      <c r="B3313">
        <f>IF(A3313="","",$B$1-MAXIFS(Donasi!$A$2:$A$20000,Donasi!$B$2:$B$20000,A3313))</f>
        <v/>
      </c>
      <c r="C3313">
        <f>IF(A3313="","",COUNTIF(Donasi!$B$2:$B$20000,A3313))</f>
        <v/>
      </c>
      <c r="D3313">
        <f>IF(A3313="","",SUMIF(Donasi!$B$2:$B$20000,A3313,Donasi!$C$2:$C$20000))</f>
        <v/>
      </c>
      <c r="E3313">
        <f>IF(A3313="","",6-CEILING(PERCENTRANK.INC($B$3:$B$6000,B3313,4)*5+0.000001,1))</f>
        <v/>
      </c>
      <c r="F3313">
        <f>IF(A3313="","",MAX(1,CEILING(PERCENTRANK.INC($C$3:$C$6000,C3313,4)*5+0.000001,1)))</f>
        <v/>
      </c>
      <c r="G3313">
        <f>IF(A3313="","",MAX(1,CEILING(PERCENTRANK.INC($D$3:$D$6000,D3313,4)*5+0.000001,1)))</f>
        <v/>
      </c>
      <c r="H3313">
        <f>IF(A3313="","",E3313&amp;F3313&amp;G3313)</f>
        <v/>
      </c>
      <c r="I3313">
        <f>IF(A3313="","",IF(AND(E3313&gt;=4,F3313&gt;=4,G3313&gt;=4),"Juara",IF(AND(F3313&gt;=4,E3313&gt;=3),"Setia",IF(AND(E3313=5,F3313&lt;=2,G3313&gt;=3),"Berpotensi",IF(AND(E3313&lt;=3,E3313&gt;=2,F3313&gt;=3),"Rawan",IF(AND(E3313&lt;=2,F3313&lt;=2),"Tidur","Umum"))))))</f>
        <v/>
      </c>
    </row>
    <row r="3314">
      <c r="B3314">
        <f>IF(A3314="","",$B$1-MAXIFS(Donasi!$A$2:$A$20000,Donasi!$B$2:$B$20000,A3314))</f>
        <v/>
      </c>
      <c r="C3314">
        <f>IF(A3314="","",COUNTIF(Donasi!$B$2:$B$20000,A3314))</f>
        <v/>
      </c>
      <c r="D3314">
        <f>IF(A3314="","",SUMIF(Donasi!$B$2:$B$20000,A3314,Donasi!$C$2:$C$20000))</f>
        <v/>
      </c>
      <c r="E3314">
        <f>IF(A3314="","",6-CEILING(PERCENTRANK.INC($B$3:$B$6000,B3314,4)*5+0.000001,1))</f>
        <v/>
      </c>
      <c r="F3314">
        <f>IF(A3314="","",MAX(1,CEILING(PERCENTRANK.INC($C$3:$C$6000,C3314,4)*5+0.000001,1)))</f>
        <v/>
      </c>
      <c r="G3314">
        <f>IF(A3314="","",MAX(1,CEILING(PERCENTRANK.INC($D$3:$D$6000,D3314,4)*5+0.000001,1)))</f>
        <v/>
      </c>
      <c r="H3314">
        <f>IF(A3314="","",E3314&amp;F3314&amp;G3314)</f>
        <v/>
      </c>
      <c r="I3314">
        <f>IF(A3314="","",IF(AND(E3314&gt;=4,F3314&gt;=4,G3314&gt;=4),"Juara",IF(AND(F3314&gt;=4,E3314&gt;=3),"Setia",IF(AND(E3314=5,F3314&lt;=2,G3314&gt;=3),"Berpotensi",IF(AND(E3314&lt;=3,E3314&gt;=2,F3314&gt;=3),"Rawan",IF(AND(E3314&lt;=2,F3314&lt;=2),"Tidur","Umum"))))))</f>
        <v/>
      </c>
    </row>
    <row r="3315">
      <c r="B3315">
        <f>IF(A3315="","",$B$1-MAXIFS(Donasi!$A$2:$A$20000,Donasi!$B$2:$B$20000,A3315))</f>
        <v/>
      </c>
      <c r="C3315">
        <f>IF(A3315="","",COUNTIF(Donasi!$B$2:$B$20000,A3315))</f>
        <v/>
      </c>
      <c r="D3315">
        <f>IF(A3315="","",SUMIF(Donasi!$B$2:$B$20000,A3315,Donasi!$C$2:$C$20000))</f>
        <v/>
      </c>
      <c r="E3315">
        <f>IF(A3315="","",6-CEILING(PERCENTRANK.INC($B$3:$B$6000,B3315,4)*5+0.000001,1))</f>
        <v/>
      </c>
      <c r="F3315">
        <f>IF(A3315="","",MAX(1,CEILING(PERCENTRANK.INC($C$3:$C$6000,C3315,4)*5+0.000001,1)))</f>
        <v/>
      </c>
      <c r="G3315">
        <f>IF(A3315="","",MAX(1,CEILING(PERCENTRANK.INC($D$3:$D$6000,D3315,4)*5+0.000001,1)))</f>
        <v/>
      </c>
      <c r="H3315">
        <f>IF(A3315="","",E3315&amp;F3315&amp;G3315)</f>
        <v/>
      </c>
      <c r="I3315">
        <f>IF(A3315="","",IF(AND(E3315&gt;=4,F3315&gt;=4,G3315&gt;=4),"Juara",IF(AND(F3315&gt;=4,E3315&gt;=3),"Setia",IF(AND(E3315=5,F3315&lt;=2,G3315&gt;=3),"Berpotensi",IF(AND(E3315&lt;=3,E3315&gt;=2,F3315&gt;=3),"Rawan",IF(AND(E3315&lt;=2,F3315&lt;=2),"Tidur","Umum"))))))</f>
        <v/>
      </c>
    </row>
    <row r="3316">
      <c r="B3316">
        <f>IF(A3316="","",$B$1-MAXIFS(Donasi!$A$2:$A$20000,Donasi!$B$2:$B$20000,A3316))</f>
        <v/>
      </c>
      <c r="C3316">
        <f>IF(A3316="","",COUNTIF(Donasi!$B$2:$B$20000,A3316))</f>
        <v/>
      </c>
      <c r="D3316">
        <f>IF(A3316="","",SUMIF(Donasi!$B$2:$B$20000,A3316,Donasi!$C$2:$C$20000))</f>
        <v/>
      </c>
      <c r="E3316">
        <f>IF(A3316="","",6-CEILING(PERCENTRANK.INC($B$3:$B$6000,B3316,4)*5+0.000001,1))</f>
        <v/>
      </c>
      <c r="F3316">
        <f>IF(A3316="","",MAX(1,CEILING(PERCENTRANK.INC($C$3:$C$6000,C3316,4)*5+0.000001,1)))</f>
        <v/>
      </c>
      <c r="G3316">
        <f>IF(A3316="","",MAX(1,CEILING(PERCENTRANK.INC($D$3:$D$6000,D3316,4)*5+0.000001,1)))</f>
        <v/>
      </c>
      <c r="H3316">
        <f>IF(A3316="","",E3316&amp;F3316&amp;G3316)</f>
        <v/>
      </c>
      <c r="I3316">
        <f>IF(A3316="","",IF(AND(E3316&gt;=4,F3316&gt;=4,G3316&gt;=4),"Juara",IF(AND(F3316&gt;=4,E3316&gt;=3),"Setia",IF(AND(E3316=5,F3316&lt;=2,G3316&gt;=3),"Berpotensi",IF(AND(E3316&lt;=3,E3316&gt;=2,F3316&gt;=3),"Rawan",IF(AND(E3316&lt;=2,F3316&lt;=2),"Tidur","Umum"))))))</f>
        <v/>
      </c>
    </row>
    <row r="3317">
      <c r="B3317">
        <f>IF(A3317="","",$B$1-MAXIFS(Donasi!$A$2:$A$20000,Donasi!$B$2:$B$20000,A3317))</f>
        <v/>
      </c>
      <c r="C3317">
        <f>IF(A3317="","",COUNTIF(Donasi!$B$2:$B$20000,A3317))</f>
        <v/>
      </c>
      <c r="D3317">
        <f>IF(A3317="","",SUMIF(Donasi!$B$2:$B$20000,A3317,Donasi!$C$2:$C$20000))</f>
        <v/>
      </c>
      <c r="E3317">
        <f>IF(A3317="","",6-CEILING(PERCENTRANK.INC($B$3:$B$6000,B3317,4)*5+0.000001,1))</f>
        <v/>
      </c>
      <c r="F3317">
        <f>IF(A3317="","",MAX(1,CEILING(PERCENTRANK.INC($C$3:$C$6000,C3317,4)*5+0.000001,1)))</f>
        <v/>
      </c>
      <c r="G3317">
        <f>IF(A3317="","",MAX(1,CEILING(PERCENTRANK.INC($D$3:$D$6000,D3317,4)*5+0.000001,1)))</f>
        <v/>
      </c>
      <c r="H3317">
        <f>IF(A3317="","",E3317&amp;F3317&amp;G3317)</f>
        <v/>
      </c>
      <c r="I3317">
        <f>IF(A3317="","",IF(AND(E3317&gt;=4,F3317&gt;=4,G3317&gt;=4),"Juara",IF(AND(F3317&gt;=4,E3317&gt;=3),"Setia",IF(AND(E3317=5,F3317&lt;=2,G3317&gt;=3),"Berpotensi",IF(AND(E3317&lt;=3,E3317&gt;=2,F3317&gt;=3),"Rawan",IF(AND(E3317&lt;=2,F3317&lt;=2),"Tidur","Umum"))))))</f>
        <v/>
      </c>
    </row>
    <row r="3318">
      <c r="B3318">
        <f>IF(A3318="","",$B$1-MAXIFS(Donasi!$A$2:$A$20000,Donasi!$B$2:$B$20000,A3318))</f>
        <v/>
      </c>
      <c r="C3318">
        <f>IF(A3318="","",COUNTIF(Donasi!$B$2:$B$20000,A3318))</f>
        <v/>
      </c>
      <c r="D3318">
        <f>IF(A3318="","",SUMIF(Donasi!$B$2:$B$20000,A3318,Donasi!$C$2:$C$20000))</f>
        <v/>
      </c>
      <c r="E3318">
        <f>IF(A3318="","",6-CEILING(PERCENTRANK.INC($B$3:$B$6000,B3318,4)*5+0.000001,1))</f>
        <v/>
      </c>
      <c r="F3318">
        <f>IF(A3318="","",MAX(1,CEILING(PERCENTRANK.INC($C$3:$C$6000,C3318,4)*5+0.000001,1)))</f>
        <v/>
      </c>
      <c r="G3318">
        <f>IF(A3318="","",MAX(1,CEILING(PERCENTRANK.INC($D$3:$D$6000,D3318,4)*5+0.000001,1)))</f>
        <v/>
      </c>
      <c r="H3318">
        <f>IF(A3318="","",E3318&amp;F3318&amp;G3318)</f>
        <v/>
      </c>
      <c r="I3318">
        <f>IF(A3318="","",IF(AND(E3318&gt;=4,F3318&gt;=4,G3318&gt;=4),"Juara",IF(AND(F3318&gt;=4,E3318&gt;=3),"Setia",IF(AND(E3318=5,F3318&lt;=2,G3318&gt;=3),"Berpotensi",IF(AND(E3318&lt;=3,E3318&gt;=2,F3318&gt;=3),"Rawan",IF(AND(E3318&lt;=2,F3318&lt;=2),"Tidur","Umum"))))))</f>
        <v/>
      </c>
    </row>
    <row r="3319">
      <c r="B3319">
        <f>IF(A3319="","",$B$1-MAXIFS(Donasi!$A$2:$A$20000,Donasi!$B$2:$B$20000,A3319))</f>
        <v/>
      </c>
      <c r="C3319">
        <f>IF(A3319="","",COUNTIF(Donasi!$B$2:$B$20000,A3319))</f>
        <v/>
      </c>
      <c r="D3319">
        <f>IF(A3319="","",SUMIF(Donasi!$B$2:$B$20000,A3319,Donasi!$C$2:$C$20000))</f>
        <v/>
      </c>
      <c r="E3319">
        <f>IF(A3319="","",6-CEILING(PERCENTRANK.INC($B$3:$B$6000,B3319,4)*5+0.000001,1))</f>
        <v/>
      </c>
      <c r="F3319">
        <f>IF(A3319="","",MAX(1,CEILING(PERCENTRANK.INC($C$3:$C$6000,C3319,4)*5+0.000001,1)))</f>
        <v/>
      </c>
      <c r="G3319">
        <f>IF(A3319="","",MAX(1,CEILING(PERCENTRANK.INC($D$3:$D$6000,D3319,4)*5+0.000001,1)))</f>
        <v/>
      </c>
      <c r="H3319">
        <f>IF(A3319="","",E3319&amp;F3319&amp;G3319)</f>
        <v/>
      </c>
      <c r="I3319">
        <f>IF(A3319="","",IF(AND(E3319&gt;=4,F3319&gt;=4,G3319&gt;=4),"Juara",IF(AND(F3319&gt;=4,E3319&gt;=3),"Setia",IF(AND(E3319=5,F3319&lt;=2,G3319&gt;=3),"Berpotensi",IF(AND(E3319&lt;=3,E3319&gt;=2,F3319&gt;=3),"Rawan",IF(AND(E3319&lt;=2,F3319&lt;=2),"Tidur","Umum"))))))</f>
        <v/>
      </c>
    </row>
    <row r="3320">
      <c r="B3320">
        <f>IF(A3320="","",$B$1-MAXIFS(Donasi!$A$2:$A$20000,Donasi!$B$2:$B$20000,A3320))</f>
        <v/>
      </c>
      <c r="C3320">
        <f>IF(A3320="","",COUNTIF(Donasi!$B$2:$B$20000,A3320))</f>
        <v/>
      </c>
      <c r="D3320">
        <f>IF(A3320="","",SUMIF(Donasi!$B$2:$B$20000,A3320,Donasi!$C$2:$C$20000))</f>
        <v/>
      </c>
      <c r="E3320">
        <f>IF(A3320="","",6-CEILING(PERCENTRANK.INC($B$3:$B$6000,B3320,4)*5+0.000001,1))</f>
        <v/>
      </c>
      <c r="F3320">
        <f>IF(A3320="","",MAX(1,CEILING(PERCENTRANK.INC($C$3:$C$6000,C3320,4)*5+0.000001,1)))</f>
        <v/>
      </c>
      <c r="G3320">
        <f>IF(A3320="","",MAX(1,CEILING(PERCENTRANK.INC($D$3:$D$6000,D3320,4)*5+0.000001,1)))</f>
        <v/>
      </c>
      <c r="H3320">
        <f>IF(A3320="","",E3320&amp;F3320&amp;G3320)</f>
        <v/>
      </c>
      <c r="I3320">
        <f>IF(A3320="","",IF(AND(E3320&gt;=4,F3320&gt;=4,G3320&gt;=4),"Juara",IF(AND(F3320&gt;=4,E3320&gt;=3),"Setia",IF(AND(E3320=5,F3320&lt;=2,G3320&gt;=3),"Berpotensi",IF(AND(E3320&lt;=3,E3320&gt;=2,F3320&gt;=3),"Rawan",IF(AND(E3320&lt;=2,F3320&lt;=2),"Tidur","Umum"))))))</f>
        <v/>
      </c>
    </row>
    <row r="3321">
      <c r="B3321">
        <f>IF(A3321="","",$B$1-MAXIFS(Donasi!$A$2:$A$20000,Donasi!$B$2:$B$20000,A3321))</f>
        <v/>
      </c>
      <c r="C3321">
        <f>IF(A3321="","",COUNTIF(Donasi!$B$2:$B$20000,A3321))</f>
        <v/>
      </c>
      <c r="D3321">
        <f>IF(A3321="","",SUMIF(Donasi!$B$2:$B$20000,A3321,Donasi!$C$2:$C$20000))</f>
        <v/>
      </c>
      <c r="E3321">
        <f>IF(A3321="","",6-CEILING(PERCENTRANK.INC($B$3:$B$6000,B3321,4)*5+0.000001,1))</f>
        <v/>
      </c>
      <c r="F3321">
        <f>IF(A3321="","",MAX(1,CEILING(PERCENTRANK.INC($C$3:$C$6000,C3321,4)*5+0.000001,1)))</f>
        <v/>
      </c>
      <c r="G3321">
        <f>IF(A3321="","",MAX(1,CEILING(PERCENTRANK.INC($D$3:$D$6000,D3321,4)*5+0.000001,1)))</f>
        <v/>
      </c>
      <c r="H3321">
        <f>IF(A3321="","",E3321&amp;F3321&amp;G3321)</f>
        <v/>
      </c>
      <c r="I3321">
        <f>IF(A3321="","",IF(AND(E3321&gt;=4,F3321&gt;=4,G3321&gt;=4),"Juara",IF(AND(F3321&gt;=4,E3321&gt;=3),"Setia",IF(AND(E3321=5,F3321&lt;=2,G3321&gt;=3),"Berpotensi",IF(AND(E3321&lt;=3,E3321&gt;=2,F3321&gt;=3),"Rawan",IF(AND(E3321&lt;=2,F3321&lt;=2),"Tidur","Umum"))))))</f>
        <v/>
      </c>
    </row>
    <row r="3322">
      <c r="B3322">
        <f>IF(A3322="","",$B$1-MAXIFS(Donasi!$A$2:$A$20000,Donasi!$B$2:$B$20000,A3322))</f>
        <v/>
      </c>
      <c r="C3322">
        <f>IF(A3322="","",COUNTIF(Donasi!$B$2:$B$20000,A3322))</f>
        <v/>
      </c>
      <c r="D3322">
        <f>IF(A3322="","",SUMIF(Donasi!$B$2:$B$20000,A3322,Donasi!$C$2:$C$20000))</f>
        <v/>
      </c>
      <c r="E3322">
        <f>IF(A3322="","",6-CEILING(PERCENTRANK.INC($B$3:$B$6000,B3322,4)*5+0.000001,1))</f>
        <v/>
      </c>
      <c r="F3322">
        <f>IF(A3322="","",MAX(1,CEILING(PERCENTRANK.INC($C$3:$C$6000,C3322,4)*5+0.000001,1)))</f>
        <v/>
      </c>
      <c r="G3322">
        <f>IF(A3322="","",MAX(1,CEILING(PERCENTRANK.INC($D$3:$D$6000,D3322,4)*5+0.000001,1)))</f>
        <v/>
      </c>
      <c r="H3322">
        <f>IF(A3322="","",E3322&amp;F3322&amp;G3322)</f>
        <v/>
      </c>
      <c r="I3322">
        <f>IF(A3322="","",IF(AND(E3322&gt;=4,F3322&gt;=4,G3322&gt;=4),"Juara",IF(AND(F3322&gt;=4,E3322&gt;=3),"Setia",IF(AND(E3322=5,F3322&lt;=2,G3322&gt;=3),"Berpotensi",IF(AND(E3322&lt;=3,E3322&gt;=2,F3322&gt;=3),"Rawan",IF(AND(E3322&lt;=2,F3322&lt;=2),"Tidur","Umum"))))))</f>
        <v/>
      </c>
    </row>
    <row r="3323">
      <c r="B3323">
        <f>IF(A3323="","",$B$1-MAXIFS(Donasi!$A$2:$A$20000,Donasi!$B$2:$B$20000,A3323))</f>
        <v/>
      </c>
      <c r="C3323">
        <f>IF(A3323="","",COUNTIF(Donasi!$B$2:$B$20000,A3323))</f>
        <v/>
      </c>
      <c r="D3323">
        <f>IF(A3323="","",SUMIF(Donasi!$B$2:$B$20000,A3323,Donasi!$C$2:$C$20000))</f>
        <v/>
      </c>
      <c r="E3323">
        <f>IF(A3323="","",6-CEILING(PERCENTRANK.INC($B$3:$B$6000,B3323,4)*5+0.000001,1))</f>
        <v/>
      </c>
      <c r="F3323">
        <f>IF(A3323="","",MAX(1,CEILING(PERCENTRANK.INC($C$3:$C$6000,C3323,4)*5+0.000001,1)))</f>
        <v/>
      </c>
      <c r="G3323">
        <f>IF(A3323="","",MAX(1,CEILING(PERCENTRANK.INC($D$3:$D$6000,D3323,4)*5+0.000001,1)))</f>
        <v/>
      </c>
      <c r="H3323">
        <f>IF(A3323="","",E3323&amp;F3323&amp;G3323)</f>
        <v/>
      </c>
      <c r="I3323">
        <f>IF(A3323="","",IF(AND(E3323&gt;=4,F3323&gt;=4,G3323&gt;=4),"Juara",IF(AND(F3323&gt;=4,E3323&gt;=3),"Setia",IF(AND(E3323=5,F3323&lt;=2,G3323&gt;=3),"Berpotensi",IF(AND(E3323&lt;=3,E3323&gt;=2,F3323&gt;=3),"Rawan",IF(AND(E3323&lt;=2,F3323&lt;=2),"Tidur","Umum"))))))</f>
        <v/>
      </c>
    </row>
    <row r="3324">
      <c r="B3324">
        <f>IF(A3324="","",$B$1-MAXIFS(Donasi!$A$2:$A$20000,Donasi!$B$2:$B$20000,A3324))</f>
        <v/>
      </c>
      <c r="C3324">
        <f>IF(A3324="","",COUNTIF(Donasi!$B$2:$B$20000,A3324))</f>
        <v/>
      </c>
      <c r="D3324">
        <f>IF(A3324="","",SUMIF(Donasi!$B$2:$B$20000,A3324,Donasi!$C$2:$C$20000))</f>
        <v/>
      </c>
      <c r="E3324">
        <f>IF(A3324="","",6-CEILING(PERCENTRANK.INC($B$3:$B$6000,B3324,4)*5+0.000001,1))</f>
        <v/>
      </c>
      <c r="F3324">
        <f>IF(A3324="","",MAX(1,CEILING(PERCENTRANK.INC($C$3:$C$6000,C3324,4)*5+0.000001,1)))</f>
        <v/>
      </c>
      <c r="G3324">
        <f>IF(A3324="","",MAX(1,CEILING(PERCENTRANK.INC($D$3:$D$6000,D3324,4)*5+0.000001,1)))</f>
        <v/>
      </c>
      <c r="H3324">
        <f>IF(A3324="","",E3324&amp;F3324&amp;G3324)</f>
        <v/>
      </c>
      <c r="I3324">
        <f>IF(A3324="","",IF(AND(E3324&gt;=4,F3324&gt;=4,G3324&gt;=4),"Juara",IF(AND(F3324&gt;=4,E3324&gt;=3),"Setia",IF(AND(E3324=5,F3324&lt;=2,G3324&gt;=3),"Berpotensi",IF(AND(E3324&lt;=3,E3324&gt;=2,F3324&gt;=3),"Rawan",IF(AND(E3324&lt;=2,F3324&lt;=2),"Tidur","Umum"))))))</f>
        <v/>
      </c>
    </row>
    <row r="3325">
      <c r="B3325">
        <f>IF(A3325="","",$B$1-MAXIFS(Donasi!$A$2:$A$20000,Donasi!$B$2:$B$20000,A3325))</f>
        <v/>
      </c>
      <c r="C3325">
        <f>IF(A3325="","",COUNTIF(Donasi!$B$2:$B$20000,A3325))</f>
        <v/>
      </c>
      <c r="D3325">
        <f>IF(A3325="","",SUMIF(Donasi!$B$2:$B$20000,A3325,Donasi!$C$2:$C$20000))</f>
        <v/>
      </c>
      <c r="E3325">
        <f>IF(A3325="","",6-CEILING(PERCENTRANK.INC($B$3:$B$6000,B3325,4)*5+0.000001,1))</f>
        <v/>
      </c>
      <c r="F3325">
        <f>IF(A3325="","",MAX(1,CEILING(PERCENTRANK.INC($C$3:$C$6000,C3325,4)*5+0.000001,1)))</f>
        <v/>
      </c>
      <c r="G3325">
        <f>IF(A3325="","",MAX(1,CEILING(PERCENTRANK.INC($D$3:$D$6000,D3325,4)*5+0.000001,1)))</f>
        <v/>
      </c>
      <c r="H3325">
        <f>IF(A3325="","",E3325&amp;F3325&amp;G3325)</f>
        <v/>
      </c>
      <c r="I3325">
        <f>IF(A3325="","",IF(AND(E3325&gt;=4,F3325&gt;=4,G3325&gt;=4),"Juara",IF(AND(F3325&gt;=4,E3325&gt;=3),"Setia",IF(AND(E3325=5,F3325&lt;=2,G3325&gt;=3),"Berpotensi",IF(AND(E3325&lt;=3,E3325&gt;=2,F3325&gt;=3),"Rawan",IF(AND(E3325&lt;=2,F3325&lt;=2),"Tidur","Umum"))))))</f>
        <v/>
      </c>
    </row>
    <row r="3326">
      <c r="B3326">
        <f>IF(A3326="","",$B$1-MAXIFS(Donasi!$A$2:$A$20000,Donasi!$B$2:$B$20000,A3326))</f>
        <v/>
      </c>
      <c r="C3326">
        <f>IF(A3326="","",COUNTIF(Donasi!$B$2:$B$20000,A3326))</f>
        <v/>
      </c>
      <c r="D3326">
        <f>IF(A3326="","",SUMIF(Donasi!$B$2:$B$20000,A3326,Donasi!$C$2:$C$20000))</f>
        <v/>
      </c>
      <c r="E3326">
        <f>IF(A3326="","",6-CEILING(PERCENTRANK.INC($B$3:$B$6000,B3326,4)*5+0.000001,1))</f>
        <v/>
      </c>
      <c r="F3326">
        <f>IF(A3326="","",MAX(1,CEILING(PERCENTRANK.INC($C$3:$C$6000,C3326,4)*5+0.000001,1)))</f>
        <v/>
      </c>
      <c r="G3326">
        <f>IF(A3326="","",MAX(1,CEILING(PERCENTRANK.INC($D$3:$D$6000,D3326,4)*5+0.000001,1)))</f>
        <v/>
      </c>
      <c r="H3326">
        <f>IF(A3326="","",E3326&amp;F3326&amp;G3326)</f>
        <v/>
      </c>
      <c r="I3326">
        <f>IF(A3326="","",IF(AND(E3326&gt;=4,F3326&gt;=4,G3326&gt;=4),"Juara",IF(AND(F3326&gt;=4,E3326&gt;=3),"Setia",IF(AND(E3326=5,F3326&lt;=2,G3326&gt;=3),"Berpotensi",IF(AND(E3326&lt;=3,E3326&gt;=2,F3326&gt;=3),"Rawan",IF(AND(E3326&lt;=2,F3326&lt;=2),"Tidur","Umum"))))))</f>
        <v/>
      </c>
    </row>
    <row r="3327">
      <c r="B3327">
        <f>IF(A3327="","",$B$1-MAXIFS(Donasi!$A$2:$A$20000,Donasi!$B$2:$B$20000,A3327))</f>
        <v/>
      </c>
      <c r="C3327">
        <f>IF(A3327="","",COUNTIF(Donasi!$B$2:$B$20000,A3327))</f>
        <v/>
      </c>
      <c r="D3327">
        <f>IF(A3327="","",SUMIF(Donasi!$B$2:$B$20000,A3327,Donasi!$C$2:$C$20000))</f>
        <v/>
      </c>
      <c r="E3327">
        <f>IF(A3327="","",6-CEILING(PERCENTRANK.INC($B$3:$B$6000,B3327,4)*5+0.000001,1))</f>
        <v/>
      </c>
      <c r="F3327">
        <f>IF(A3327="","",MAX(1,CEILING(PERCENTRANK.INC($C$3:$C$6000,C3327,4)*5+0.000001,1)))</f>
        <v/>
      </c>
      <c r="G3327">
        <f>IF(A3327="","",MAX(1,CEILING(PERCENTRANK.INC($D$3:$D$6000,D3327,4)*5+0.000001,1)))</f>
        <v/>
      </c>
      <c r="H3327">
        <f>IF(A3327="","",E3327&amp;F3327&amp;G3327)</f>
        <v/>
      </c>
      <c r="I3327">
        <f>IF(A3327="","",IF(AND(E3327&gt;=4,F3327&gt;=4,G3327&gt;=4),"Juara",IF(AND(F3327&gt;=4,E3327&gt;=3),"Setia",IF(AND(E3327=5,F3327&lt;=2,G3327&gt;=3),"Berpotensi",IF(AND(E3327&lt;=3,E3327&gt;=2,F3327&gt;=3),"Rawan",IF(AND(E3327&lt;=2,F3327&lt;=2),"Tidur","Umum"))))))</f>
        <v/>
      </c>
    </row>
    <row r="3328">
      <c r="B3328">
        <f>IF(A3328="","",$B$1-MAXIFS(Donasi!$A$2:$A$20000,Donasi!$B$2:$B$20000,A3328))</f>
        <v/>
      </c>
      <c r="C3328">
        <f>IF(A3328="","",COUNTIF(Donasi!$B$2:$B$20000,A3328))</f>
        <v/>
      </c>
      <c r="D3328">
        <f>IF(A3328="","",SUMIF(Donasi!$B$2:$B$20000,A3328,Donasi!$C$2:$C$20000))</f>
        <v/>
      </c>
      <c r="E3328">
        <f>IF(A3328="","",6-CEILING(PERCENTRANK.INC($B$3:$B$6000,B3328,4)*5+0.000001,1))</f>
        <v/>
      </c>
      <c r="F3328">
        <f>IF(A3328="","",MAX(1,CEILING(PERCENTRANK.INC($C$3:$C$6000,C3328,4)*5+0.000001,1)))</f>
        <v/>
      </c>
      <c r="G3328">
        <f>IF(A3328="","",MAX(1,CEILING(PERCENTRANK.INC($D$3:$D$6000,D3328,4)*5+0.000001,1)))</f>
        <v/>
      </c>
      <c r="H3328">
        <f>IF(A3328="","",E3328&amp;F3328&amp;G3328)</f>
        <v/>
      </c>
      <c r="I3328">
        <f>IF(A3328="","",IF(AND(E3328&gt;=4,F3328&gt;=4,G3328&gt;=4),"Juara",IF(AND(F3328&gt;=4,E3328&gt;=3),"Setia",IF(AND(E3328=5,F3328&lt;=2,G3328&gt;=3),"Berpotensi",IF(AND(E3328&lt;=3,E3328&gt;=2,F3328&gt;=3),"Rawan",IF(AND(E3328&lt;=2,F3328&lt;=2),"Tidur","Umum"))))))</f>
        <v/>
      </c>
    </row>
    <row r="3329">
      <c r="B3329">
        <f>IF(A3329="","",$B$1-MAXIFS(Donasi!$A$2:$A$20000,Donasi!$B$2:$B$20000,A3329))</f>
        <v/>
      </c>
      <c r="C3329">
        <f>IF(A3329="","",COUNTIF(Donasi!$B$2:$B$20000,A3329))</f>
        <v/>
      </c>
      <c r="D3329">
        <f>IF(A3329="","",SUMIF(Donasi!$B$2:$B$20000,A3329,Donasi!$C$2:$C$20000))</f>
        <v/>
      </c>
      <c r="E3329">
        <f>IF(A3329="","",6-CEILING(PERCENTRANK.INC($B$3:$B$6000,B3329,4)*5+0.000001,1))</f>
        <v/>
      </c>
      <c r="F3329">
        <f>IF(A3329="","",MAX(1,CEILING(PERCENTRANK.INC($C$3:$C$6000,C3329,4)*5+0.000001,1)))</f>
        <v/>
      </c>
      <c r="G3329">
        <f>IF(A3329="","",MAX(1,CEILING(PERCENTRANK.INC($D$3:$D$6000,D3329,4)*5+0.000001,1)))</f>
        <v/>
      </c>
      <c r="H3329">
        <f>IF(A3329="","",E3329&amp;F3329&amp;G3329)</f>
        <v/>
      </c>
      <c r="I3329">
        <f>IF(A3329="","",IF(AND(E3329&gt;=4,F3329&gt;=4,G3329&gt;=4),"Juara",IF(AND(F3329&gt;=4,E3329&gt;=3),"Setia",IF(AND(E3329=5,F3329&lt;=2,G3329&gt;=3),"Berpotensi",IF(AND(E3329&lt;=3,E3329&gt;=2,F3329&gt;=3),"Rawan",IF(AND(E3329&lt;=2,F3329&lt;=2),"Tidur","Umum"))))))</f>
        <v/>
      </c>
    </row>
    <row r="3330">
      <c r="B3330">
        <f>IF(A3330="","",$B$1-MAXIFS(Donasi!$A$2:$A$20000,Donasi!$B$2:$B$20000,A3330))</f>
        <v/>
      </c>
      <c r="C3330">
        <f>IF(A3330="","",COUNTIF(Donasi!$B$2:$B$20000,A3330))</f>
        <v/>
      </c>
      <c r="D3330">
        <f>IF(A3330="","",SUMIF(Donasi!$B$2:$B$20000,A3330,Donasi!$C$2:$C$20000))</f>
        <v/>
      </c>
      <c r="E3330">
        <f>IF(A3330="","",6-CEILING(PERCENTRANK.INC($B$3:$B$6000,B3330,4)*5+0.000001,1))</f>
        <v/>
      </c>
      <c r="F3330">
        <f>IF(A3330="","",MAX(1,CEILING(PERCENTRANK.INC($C$3:$C$6000,C3330,4)*5+0.000001,1)))</f>
        <v/>
      </c>
      <c r="G3330">
        <f>IF(A3330="","",MAX(1,CEILING(PERCENTRANK.INC($D$3:$D$6000,D3330,4)*5+0.000001,1)))</f>
        <v/>
      </c>
      <c r="H3330">
        <f>IF(A3330="","",E3330&amp;F3330&amp;G3330)</f>
        <v/>
      </c>
      <c r="I3330">
        <f>IF(A3330="","",IF(AND(E3330&gt;=4,F3330&gt;=4,G3330&gt;=4),"Juara",IF(AND(F3330&gt;=4,E3330&gt;=3),"Setia",IF(AND(E3330=5,F3330&lt;=2,G3330&gt;=3),"Berpotensi",IF(AND(E3330&lt;=3,E3330&gt;=2,F3330&gt;=3),"Rawan",IF(AND(E3330&lt;=2,F3330&lt;=2),"Tidur","Umum"))))))</f>
        <v/>
      </c>
    </row>
    <row r="3331">
      <c r="B3331">
        <f>IF(A3331="","",$B$1-MAXIFS(Donasi!$A$2:$A$20000,Donasi!$B$2:$B$20000,A3331))</f>
        <v/>
      </c>
      <c r="C3331">
        <f>IF(A3331="","",COUNTIF(Donasi!$B$2:$B$20000,A3331))</f>
        <v/>
      </c>
      <c r="D3331">
        <f>IF(A3331="","",SUMIF(Donasi!$B$2:$B$20000,A3331,Donasi!$C$2:$C$20000))</f>
        <v/>
      </c>
      <c r="E3331">
        <f>IF(A3331="","",6-CEILING(PERCENTRANK.INC($B$3:$B$6000,B3331,4)*5+0.000001,1))</f>
        <v/>
      </c>
      <c r="F3331">
        <f>IF(A3331="","",MAX(1,CEILING(PERCENTRANK.INC($C$3:$C$6000,C3331,4)*5+0.000001,1)))</f>
        <v/>
      </c>
      <c r="G3331">
        <f>IF(A3331="","",MAX(1,CEILING(PERCENTRANK.INC($D$3:$D$6000,D3331,4)*5+0.000001,1)))</f>
        <v/>
      </c>
      <c r="H3331">
        <f>IF(A3331="","",E3331&amp;F3331&amp;G3331)</f>
        <v/>
      </c>
      <c r="I3331">
        <f>IF(A3331="","",IF(AND(E3331&gt;=4,F3331&gt;=4,G3331&gt;=4),"Juara",IF(AND(F3331&gt;=4,E3331&gt;=3),"Setia",IF(AND(E3331=5,F3331&lt;=2,G3331&gt;=3),"Berpotensi",IF(AND(E3331&lt;=3,E3331&gt;=2,F3331&gt;=3),"Rawan",IF(AND(E3331&lt;=2,F3331&lt;=2),"Tidur","Umum"))))))</f>
        <v/>
      </c>
    </row>
    <row r="3332">
      <c r="B3332">
        <f>IF(A3332="","",$B$1-MAXIFS(Donasi!$A$2:$A$20000,Donasi!$B$2:$B$20000,A3332))</f>
        <v/>
      </c>
      <c r="C3332">
        <f>IF(A3332="","",COUNTIF(Donasi!$B$2:$B$20000,A3332))</f>
        <v/>
      </c>
      <c r="D3332">
        <f>IF(A3332="","",SUMIF(Donasi!$B$2:$B$20000,A3332,Donasi!$C$2:$C$20000))</f>
        <v/>
      </c>
      <c r="E3332">
        <f>IF(A3332="","",6-CEILING(PERCENTRANK.INC($B$3:$B$6000,B3332,4)*5+0.000001,1))</f>
        <v/>
      </c>
      <c r="F3332">
        <f>IF(A3332="","",MAX(1,CEILING(PERCENTRANK.INC($C$3:$C$6000,C3332,4)*5+0.000001,1)))</f>
        <v/>
      </c>
      <c r="G3332">
        <f>IF(A3332="","",MAX(1,CEILING(PERCENTRANK.INC($D$3:$D$6000,D3332,4)*5+0.000001,1)))</f>
        <v/>
      </c>
      <c r="H3332">
        <f>IF(A3332="","",E3332&amp;F3332&amp;G3332)</f>
        <v/>
      </c>
      <c r="I3332">
        <f>IF(A3332="","",IF(AND(E3332&gt;=4,F3332&gt;=4,G3332&gt;=4),"Juara",IF(AND(F3332&gt;=4,E3332&gt;=3),"Setia",IF(AND(E3332=5,F3332&lt;=2,G3332&gt;=3),"Berpotensi",IF(AND(E3332&lt;=3,E3332&gt;=2,F3332&gt;=3),"Rawan",IF(AND(E3332&lt;=2,F3332&lt;=2),"Tidur","Umum"))))))</f>
        <v/>
      </c>
    </row>
    <row r="3333">
      <c r="B3333">
        <f>IF(A3333="","",$B$1-MAXIFS(Donasi!$A$2:$A$20000,Donasi!$B$2:$B$20000,A3333))</f>
        <v/>
      </c>
      <c r="C3333">
        <f>IF(A3333="","",COUNTIF(Donasi!$B$2:$B$20000,A3333))</f>
        <v/>
      </c>
      <c r="D3333">
        <f>IF(A3333="","",SUMIF(Donasi!$B$2:$B$20000,A3333,Donasi!$C$2:$C$20000))</f>
        <v/>
      </c>
      <c r="E3333">
        <f>IF(A3333="","",6-CEILING(PERCENTRANK.INC($B$3:$B$6000,B3333,4)*5+0.000001,1))</f>
        <v/>
      </c>
      <c r="F3333">
        <f>IF(A3333="","",MAX(1,CEILING(PERCENTRANK.INC($C$3:$C$6000,C3333,4)*5+0.000001,1)))</f>
        <v/>
      </c>
      <c r="G3333">
        <f>IF(A3333="","",MAX(1,CEILING(PERCENTRANK.INC($D$3:$D$6000,D3333,4)*5+0.000001,1)))</f>
        <v/>
      </c>
      <c r="H3333">
        <f>IF(A3333="","",E3333&amp;F3333&amp;G3333)</f>
        <v/>
      </c>
      <c r="I3333">
        <f>IF(A3333="","",IF(AND(E3333&gt;=4,F3333&gt;=4,G3333&gt;=4),"Juara",IF(AND(F3333&gt;=4,E3333&gt;=3),"Setia",IF(AND(E3333=5,F3333&lt;=2,G3333&gt;=3),"Berpotensi",IF(AND(E3333&lt;=3,E3333&gt;=2,F3333&gt;=3),"Rawan",IF(AND(E3333&lt;=2,F3333&lt;=2),"Tidur","Umum"))))))</f>
        <v/>
      </c>
    </row>
    <row r="3334">
      <c r="B3334">
        <f>IF(A3334="","",$B$1-MAXIFS(Donasi!$A$2:$A$20000,Donasi!$B$2:$B$20000,A3334))</f>
        <v/>
      </c>
      <c r="C3334">
        <f>IF(A3334="","",COUNTIF(Donasi!$B$2:$B$20000,A3334))</f>
        <v/>
      </c>
      <c r="D3334">
        <f>IF(A3334="","",SUMIF(Donasi!$B$2:$B$20000,A3334,Donasi!$C$2:$C$20000))</f>
        <v/>
      </c>
      <c r="E3334">
        <f>IF(A3334="","",6-CEILING(PERCENTRANK.INC($B$3:$B$6000,B3334,4)*5+0.000001,1))</f>
        <v/>
      </c>
      <c r="F3334">
        <f>IF(A3334="","",MAX(1,CEILING(PERCENTRANK.INC($C$3:$C$6000,C3334,4)*5+0.000001,1)))</f>
        <v/>
      </c>
      <c r="G3334">
        <f>IF(A3334="","",MAX(1,CEILING(PERCENTRANK.INC($D$3:$D$6000,D3334,4)*5+0.000001,1)))</f>
        <v/>
      </c>
      <c r="H3334">
        <f>IF(A3334="","",E3334&amp;F3334&amp;G3334)</f>
        <v/>
      </c>
      <c r="I3334">
        <f>IF(A3334="","",IF(AND(E3334&gt;=4,F3334&gt;=4,G3334&gt;=4),"Juara",IF(AND(F3334&gt;=4,E3334&gt;=3),"Setia",IF(AND(E3334=5,F3334&lt;=2,G3334&gt;=3),"Berpotensi",IF(AND(E3334&lt;=3,E3334&gt;=2,F3334&gt;=3),"Rawan",IF(AND(E3334&lt;=2,F3334&lt;=2),"Tidur","Umum"))))))</f>
        <v/>
      </c>
    </row>
    <row r="3335">
      <c r="B3335">
        <f>IF(A3335="","",$B$1-MAXIFS(Donasi!$A$2:$A$20000,Donasi!$B$2:$B$20000,A3335))</f>
        <v/>
      </c>
      <c r="C3335">
        <f>IF(A3335="","",COUNTIF(Donasi!$B$2:$B$20000,A3335))</f>
        <v/>
      </c>
      <c r="D3335">
        <f>IF(A3335="","",SUMIF(Donasi!$B$2:$B$20000,A3335,Donasi!$C$2:$C$20000))</f>
        <v/>
      </c>
      <c r="E3335">
        <f>IF(A3335="","",6-CEILING(PERCENTRANK.INC($B$3:$B$6000,B3335,4)*5+0.000001,1))</f>
        <v/>
      </c>
      <c r="F3335">
        <f>IF(A3335="","",MAX(1,CEILING(PERCENTRANK.INC($C$3:$C$6000,C3335,4)*5+0.000001,1)))</f>
        <v/>
      </c>
      <c r="G3335">
        <f>IF(A3335="","",MAX(1,CEILING(PERCENTRANK.INC($D$3:$D$6000,D3335,4)*5+0.000001,1)))</f>
        <v/>
      </c>
      <c r="H3335">
        <f>IF(A3335="","",E3335&amp;F3335&amp;G3335)</f>
        <v/>
      </c>
      <c r="I3335">
        <f>IF(A3335="","",IF(AND(E3335&gt;=4,F3335&gt;=4,G3335&gt;=4),"Juara",IF(AND(F3335&gt;=4,E3335&gt;=3),"Setia",IF(AND(E3335=5,F3335&lt;=2,G3335&gt;=3),"Berpotensi",IF(AND(E3335&lt;=3,E3335&gt;=2,F3335&gt;=3),"Rawan",IF(AND(E3335&lt;=2,F3335&lt;=2),"Tidur","Umum"))))))</f>
        <v/>
      </c>
    </row>
    <row r="3336">
      <c r="B3336">
        <f>IF(A3336="","",$B$1-MAXIFS(Donasi!$A$2:$A$20000,Donasi!$B$2:$B$20000,A3336))</f>
        <v/>
      </c>
      <c r="C3336">
        <f>IF(A3336="","",COUNTIF(Donasi!$B$2:$B$20000,A3336))</f>
        <v/>
      </c>
      <c r="D3336">
        <f>IF(A3336="","",SUMIF(Donasi!$B$2:$B$20000,A3336,Donasi!$C$2:$C$20000))</f>
        <v/>
      </c>
      <c r="E3336">
        <f>IF(A3336="","",6-CEILING(PERCENTRANK.INC($B$3:$B$6000,B3336,4)*5+0.000001,1))</f>
        <v/>
      </c>
      <c r="F3336">
        <f>IF(A3336="","",MAX(1,CEILING(PERCENTRANK.INC($C$3:$C$6000,C3336,4)*5+0.000001,1)))</f>
        <v/>
      </c>
      <c r="G3336">
        <f>IF(A3336="","",MAX(1,CEILING(PERCENTRANK.INC($D$3:$D$6000,D3336,4)*5+0.000001,1)))</f>
        <v/>
      </c>
      <c r="H3336">
        <f>IF(A3336="","",E3336&amp;F3336&amp;G3336)</f>
        <v/>
      </c>
      <c r="I3336">
        <f>IF(A3336="","",IF(AND(E3336&gt;=4,F3336&gt;=4,G3336&gt;=4),"Juara",IF(AND(F3336&gt;=4,E3336&gt;=3),"Setia",IF(AND(E3336=5,F3336&lt;=2,G3336&gt;=3),"Berpotensi",IF(AND(E3336&lt;=3,E3336&gt;=2,F3336&gt;=3),"Rawan",IF(AND(E3336&lt;=2,F3336&lt;=2),"Tidur","Umum"))))))</f>
        <v/>
      </c>
    </row>
    <row r="3337">
      <c r="B3337">
        <f>IF(A3337="","",$B$1-MAXIFS(Donasi!$A$2:$A$20000,Donasi!$B$2:$B$20000,A3337))</f>
        <v/>
      </c>
      <c r="C3337">
        <f>IF(A3337="","",COUNTIF(Donasi!$B$2:$B$20000,A3337))</f>
        <v/>
      </c>
      <c r="D3337">
        <f>IF(A3337="","",SUMIF(Donasi!$B$2:$B$20000,A3337,Donasi!$C$2:$C$20000))</f>
        <v/>
      </c>
      <c r="E3337">
        <f>IF(A3337="","",6-CEILING(PERCENTRANK.INC($B$3:$B$6000,B3337,4)*5+0.000001,1))</f>
        <v/>
      </c>
      <c r="F3337">
        <f>IF(A3337="","",MAX(1,CEILING(PERCENTRANK.INC($C$3:$C$6000,C3337,4)*5+0.000001,1)))</f>
        <v/>
      </c>
      <c r="G3337">
        <f>IF(A3337="","",MAX(1,CEILING(PERCENTRANK.INC($D$3:$D$6000,D3337,4)*5+0.000001,1)))</f>
        <v/>
      </c>
      <c r="H3337">
        <f>IF(A3337="","",E3337&amp;F3337&amp;G3337)</f>
        <v/>
      </c>
      <c r="I3337">
        <f>IF(A3337="","",IF(AND(E3337&gt;=4,F3337&gt;=4,G3337&gt;=4),"Juara",IF(AND(F3337&gt;=4,E3337&gt;=3),"Setia",IF(AND(E3337=5,F3337&lt;=2,G3337&gt;=3),"Berpotensi",IF(AND(E3337&lt;=3,E3337&gt;=2,F3337&gt;=3),"Rawan",IF(AND(E3337&lt;=2,F3337&lt;=2),"Tidur","Umum"))))))</f>
        <v/>
      </c>
    </row>
    <row r="3338">
      <c r="B3338">
        <f>IF(A3338="","",$B$1-MAXIFS(Donasi!$A$2:$A$20000,Donasi!$B$2:$B$20000,A3338))</f>
        <v/>
      </c>
      <c r="C3338">
        <f>IF(A3338="","",COUNTIF(Donasi!$B$2:$B$20000,A3338))</f>
        <v/>
      </c>
      <c r="D3338">
        <f>IF(A3338="","",SUMIF(Donasi!$B$2:$B$20000,A3338,Donasi!$C$2:$C$20000))</f>
        <v/>
      </c>
      <c r="E3338">
        <f>IF(A3338="","",6-CEILING(PERCENTRANK.INC($B$3:$B$6000,B3338,4)*5+0.000001,1))</f>
        <v/>
      </c>
      <c r="F3338">
        <f>IF(A3338="","",MAX(1,CEILING(PERCENTRANK.INC($C$3:$C$6000,C3338,4)*5+0.000001,1)))</f>
        <v/>
      </c>
      <c r="G3338">
        <f>IF(A3338="","",MAX(1,CEILING(PERCENTRANK.INC($D$3:$D$6000,D3338,4)*5+0.000001,1)))</f>
        <v/>
      </c>
      <c r="H3338">
        <f>IF(A3338="","",E3338&amp;F3338&amp;G3338)</f>
        <v/>
      </c>
      <c r="I3338">
        <f>IF(A3338="","",IF(AND(E3338&gt;=4,F3338&gt;=4,G3338&gt;=4),"Juara",IF(AND(F3338&gt;=4,E3338&gt;=3),"Setia",IF(AND(E3338=5,F3338&lt;=2,G3338&gt;=3),"Berpotensi",IF(AND(E3338&lt;=3,E3338&gt;=2,F3338&gt;=3),"Rawan",IF(AND(E3338&lt;=2,F3338&lt;=2),"Tidur","Umum"))))))</f>
        <v/>
      </c>
    </row>
    <row r="3339">
      <c r="B3339">
        <f>IF(A3339="","",$B$1-MAXIFS(Donasi!$A$2:$A$20000,Donasi!$B$2:$B$20000,A3339))</f>
        <v/>
      </c>
      <c r="C3339">
        <f>IF(A3339="","",COUNTIF(Donasi!$B$2:$B$20000,A3339))</f>
        <v/>
      </c>
      <c r="D3339">
        <f>IF(A3339="","",SUMIF(Donasi!$B$2:$B$20000,A3339,Donasi!$C$2:$C$20000))</f>
        <v/>
      </c>
      <c r="E3339">
        <f>IF(A3339="","",6-CEILING(PERCENTRANK.INC($B$3:$B$6000,B3339,4)*5+0.000001,1))</f>
        <v/>
      </c>
      <c r="F3339">
        <f>IF(A3339="","",MAX(1,CEILING(PERCENTRANK.INC($C$3:$C$6000,C3339,4)*5+0.000001,1)))</f>
        <v/>
      </c>
      <c r="G3339">
        <f>IF(A3339="","",MAX(1,CEILING(PERCENTRANK.INC($D$3:$D$6000,D3339,4)*5+0.000001,1)))</f>
        <v/>
      </c>
      <c r="H3339">
        <f>IF(A3339="","",E3339&amp;F3339&amp;G3339)</f>
        <v/>
      </c>
      <c r="I3339">
        <f>IF(A3339="","",IF(AND(E3339&gt;=4,F3339&gt;=4,G3339&gt;=4),"Juara",IF(AND(F3339&gt;=4,E3339&gt;=3),"Setia",IF(AND(E3339=5,F3339&lt;=2,G3339&gt;=3),"Berpotensi",IF(AND(E3339&lt;=3,E3339&gt;=2,F3339&gt;=3),"Rawan",IF(AND(E3339&lt;=2,F3339&lt;=2),"Tidur","Umum"))))))</f>
        <v/>
      </c>
    </row>
    <row r="3340">
      <c r="B3340">
        <f>IF(A3340="","",$B$1-MAXIFS(Donasi!$A$2:$A$20000,Donasi!$B$2:$B$20000,A3340))</f>
        <v/>
      </c>
      <c r="C3340">
        <f>IF(A3340="","",COUNTIF(Donasi!$B$2:$B$20000,A3340))</f>
        <v/>
      </c>
      <c r="D3340">
        <f>IF(A3340="","",SUMIF(Donasi!$B$2:$B$20000,A3340,Donasi!$C$2:$C$20000))</f>
        <v/>
      </c>
      <c r="E3340">
        <f>IF(A3340="","",6-CEILING(PERCENTRANK.INC($B$3:$B$6000,B3340,4)*5+0.000001,1))</f>
        <v/>
      </c>
      <c r="F3340">
        <f>IF(A3340="","",MAX(1,CEILING(PERCENTRANK.INC($C$3:$C$6000,C3340,4)*5+0.000001,1)))</f>
        <v/>
      </c>
      <c r="G3340">
        <f>IF(A3340="","",MAX(1,CEILING(PERCENTRANK.INC($D$3:$D$6000,D3340,4)*5+0.000001,1)))</f>
        <v/>
      </c>
      <c r="H3340">
        <f>IF(A3340="","",E3340&amp;F3340&amp;G3340)</f>
        <v/>
      </c>
      <c r="I3340">
        <f>IF(A3340="","",IF(AND(E3340&gt;=4,F3340&gt;=4,G3340&gt;=4),"Juara",IF(AND(F3340&gt;=4,E3340&gt;=3),"Setia",IF(AND(E3340=5,F3340&lt;=2,G3340&gt;=3),"Berpotensi",IF(AND(E3340&lt;=3,E3340&gt;=2,F3340&gt;=3),"Rawan",IF(AND(E3340&lt;=2,F3340&lt;=2),"Tidur","Umum"))))))</f>
        <v/>
      </c>
    </row>
    <row r="3341">
      <c r="B3341">
        <f>IF(A3341="","",$B$1-MAXIFS(Donasi!$A$2:$A$20000,Donasi!$B$2:$B$20000,A3341))</f>
        <v/>
      </c>
      <c r="C3341">
        <f>IF(A3341="","",COUNTIF(Donasi!$B$2:$B$20000,A3341))</f>
        <v/>
      </c>
      <c r="D3341">
        <f>IF(A3341="","",SUMIF(Donasi!$B$2:$B$20000,A3341,Donasi!$C$2:$C$20000))</f>
        <v/>
      </c>
      <c r="E3341">
        <f>IF(A3341="","",6-CEILING(PERCENTRANK.INC($B$3:$B$6000,B3341,4)*5+0.000001,1))</f>
        <v/>
      </c>
      <c r="F3341">
        <f>IF(A3341="","",MAX(1,CEILING(PERCENTRANK.INC($C$3:$C$6000,C3341,4)*5+0.000001,1)))</f>
        <v/>
      </c>
      <c r="G3341">
        <f>IF(A3341="","",MAX(1,CEILING(PERCENTRANK.INC($D$3:$D$6000,D3341,4)*5+0.000001,1)))</f>
        <v/>
      </c>
      <c r="H3341">
        <f>IF(A3341="","",E3341&amp;F3341&amp;G3341)</f>
        <v/>
      </c>
      <c r="I3341">
        <f>IF(A3341="","",IF(AND(E3341&gt;=4,F3341&gt;=4,G3341&gt;=4),"Juara",IF(AND(F3341&gt;=4,E3341&gt;=3),"Setia",IF(AND(E3341=5,F3341&lt;=2,G3341&gt;=3),"Berpotensi",IF(AND(E3341&lt;=3,E3341&gt;=2,F3341&gt;=3),"Rawan",IF(AND(E3341&lt;=2,F3341&lt;=2),"Tidur","Umum"))))))</f>
        <v/>
      </c>
    </row>
    <row r="3342">
      <c r="B3342">
        <f>IF(A3342="","",$B$1-MAXIFS(Donasi!$A$2:$A$20000,Donasi!$B$2:$B$20000,A3342))</f>
        <v/>
      </c>
      <c r="C3342">
        <f>IF(A3342="","",COUNTIF(Donasi!$B$2:$B$20000,A3342))</f>
        <v/>
      </c>
      <c r="D3342">
        <f>IF(A3342="","",SUMIF(Donasi!$B$2:$B$20000,A3342,Donasi!$C$2:$C$20000))</f>
        <v/>
      </c>
      <c r="E3342">
        <f>IF(A3342="","",6-CEILING(PERCENTRANK.INC($B$3:$B$6000,B3342,4)*5+0.000001,1))</f>
        <v/>
      </c>
      <c r="F3342">
        <f>IF(A3342="","",MAX(1,CEILING(PERCENTRANK.INC($C$3:$C$6000,C3342,4)*5+0.000001,1)))</f>
        <v/>
      </c>
      <c r="G3342">
        <f>IF(A3342="","",MAX(1,CEILING(PERCENTRANK.INC($D$3:$D$6000,D3342,4)*5+0.000001,1)))</f>
        <v/>
      </c>
      <c r="H3342">
        <f>IF(A3342="","",E3342&amp;F3342&amp;G3342)</f>
        <v/>
      </c>
      <c r="I3342">
        <f>IF(A3342="","",IF(AND(E3342&gt;=4,F3342&gt;=4,G3342&gt;=4),"Juara",IF(AND(F3342&gt;=4,E3342&gt;=3),"Setia",IF(AND(E3342=5,F3342&lt;=2,G3342&gt;=3),"Berpotensi",IF(AND(E3342&lt;=3,E3342&gt;=2,F3342&gt;=3),"Rawan",IF(AND(E3342&lt;=2,F3342&lt;=2),"Tidur","Umum"))))))</f>
        <v/>
      </c>
    </row>
    <row r="3343">
      <c r="B3343">
        <f>IF(A3343="","",$B$1-MAXIFS(Donasi!$A$2:$A$20000,Donasi!$B$2:$B$20000,A3343))</f>
        <v/>
      </c>
      <c r="C3343">
        <f>IF(A3343="","",COUNTIF(Donasi!$B$2:$B$20000,A3343))</f>
        <v/>
      </c>
      <c r="D3343">
        <f>IF(A3343="","",SUMIF(Donasi!$B$2:$B$20000,A3343,Donasi!$C$2:$C$20000))</f>
        <v/>
      </c>
      <c r="E3343">
        <f>IF(A3343="","",6-CEILING(PERCENTRANK.INC($B$3:$B$6000,B3343,4)*5+0.000001,1))</f>
        <v/>
      </c>
      <c r="F3343">
        <f>IF(A3343="","",MAX(1,CEILING(PERCENTRANK.INC($C$3:$C$6000,C3343,4)*5+0.000001,1)))</f>
        <v/>
      </c>
      <c r="G3343">
        <f>IF(A3343="","",MAX(1,CEILING(PERCENTRANK.INC($D$3:$D$6000,D3343,4)*5+0.000001,1)))</f>
        <v/>
      </c>
      <c r="H3343">
        <f>IF(A3343="","",E3343&amp;F3343&amp;G3343)</f>
        <v/>
      </c>
      <c r="I3343">
        <f>IF(A3343="","",IF(AND(E3343&gt;=4,F3343&gt;=4,G3343&gt;=4),"Juara",IF(AND(F3343&gt;=4,E3343&gt;=3),"Setia",IF(AND(E3343=5,F3343&lt;=2,G3343&gt;=3),"Berpotensi",IF(AND(E3343&lt;=3,E3343&gt;=2,F3343&gt;=3),"Rawan",IF(AND(E3343&lt;=2,F3343&lt;=2),"Tidur","Umum"))))))</f>
        <v/>
      </c>
    </row>
    <row r="3344">
      <c r="B3344">
        <f>IF(A3344="","",$B$1-MAXIFS(Donasi!$A$2:$A$20000,Donasi!$B$2:$B$20000,A3344))</f>
        <v/>
      </c>
      <c r="C3344">
        <f>IF(A3344="","",COUNTIF(Donasi!$B$2:$B$20000,A3344))</f>
        <v/>
      </c>
      <c r="D3344">
        <f>IF(A3344="","",SUMIF(Donasi!$B$2:$B$20000,A3344,Donasi!$C$2:$C$20000))</f>
        <v/>
      </c>
      <c r="E3344">
        <f>IF(A3344="","",6-CEILING(PERCENTRANK.INC($B$3:$B$6000,B3344,4)*5+0.000001,1))</f>
        <v/>
      </c>
      <c r="F3344">
        <f>IF(A3344="","",MAX(1,CEILING(PERCENTRANK.INC($C$3:$C$6000,C3344,4)*5+0.000001,1)))</f>
        <v/>
      </c>
      <c r="G3344">
        <f>IF(A3344="","",MAX(1,CEILING(PERCENTRANK.INC($D$3:$D$6000,D3344,4)*5+0.000001,1)))</f>
        <v/>
      </c>
      <c r="H3344">
        <f>IF(A3344="","",E3344&amp;F3344&amp;G3344)</f>
        <v/>
      </c>
      <c r="I3344">
        <f>IF(A3344="","",IF(AND(E3344&gt;=4,F3344&gt;=4,G3344&gt;=4),"Juara",IF(AND(F3344&gt;=4,E3344&gt;=3),"Setia",IF(AND(E3344=5,F3344&lt;=2,G3344&gt;=3),"Berpotensi",IF(AND(E3344&lt;=3,E3344&gt;=2,F3344&gt;=3),"Rawan",IF(AND(E3344&lt;=2,F3344&lt;=2),"Tidur","Umum"))))))</f>
        <v/>
      </c>
    </row>
    <row r="3345">
      <c r="B3345">
        <f>IF(A3345="","",$B$1-MAXIFS(Donasi!$A$2:$A$20000,Donasi!$B$2:$B$20000,A3345))</f>
        <v/>
      </c>
      <c r="C3345">
        <f>IF(A3345="","",COUNTIF(Donasi!$B$2:$B$20000,A3345))</f>
        <v/>
      </c>
      <c r="D3345">
        <f>IF(A3345="","",SUMIF(Donasi!$B$2:$B$20000,A3345,Donasi!$C$2:$C$20000))</f>
        <v/>
      </c>
      <c r="E3345">
        <f>IF(A3345="","",6-CEILING(PERCENTRANK.INC($B$3:$B$6000,B3345,4)*5+0.000001,1))</f>
        <v/>
      </c>
      <c r="F3345">
        <f>IF(A3345="","",MAX(1,CEILING(PERCENTRANK.INC($C$3:$C$6000,C3345,4)*5+0.000001,1)))</f>
        <v/>
      </c>
      <c r="G3345">
        <f>IF(A3345="","",MAX(1,CEILING(PERCENTRANK.INC($D$3:$D$6000,D3345,4)*5+0.000001,1)))</f>
        <v/>
      </c>
      <c r="H3345">
        <f>IF(A3345="","",E3345&amp;F3345&amp;G3345)</f>
        <v/>
      </c>
      <c r="I3345">
        <f>IF(A3345="","",IF(AND(E3345&gt;=4,F3345&gt;=4,G3345&gt;=4),"Juara",IF(AND(F3345&gt;=4,E3345&gt;=3),"Setia",IF(AND(E3345=5,F3345&lt;=2,G3345&gt;=3),"Berpotensi",IF(AND(E3345&lt;=3,E3345&gt;=2,F3345&gt;=3),"Rawan",IF(AND(E3345&lt;=2,F3345&lt;=2),"Tidur","Umum"))))))</f>
        <v/>
      </c>
    </row>
    <row r="3346">
      <c r="B3346">
        <f>IF(A3346="","",$B$1-MAXIFS(Donasi!$A$2:$A$20000,Donasi!$B$2:$B$20000,A3346))</f>
        <v/>
      </c>
      <c r="C3346">
        <f>IF(A3346="","",COUNTIF(Donasi!$B$2:$B$20000,A3346))</f>
        <v/>
      </c>
      <c r="D3346">
        <f>IF(A3346="","",SUMIF(Donasi!$B$2:$B$20000,A3346,Donasi!$C$2:$C$20000))</f>
        <v/>
      </c>
      <c r="E3346">
        <f>IF(A3346="","",6-CEILING(PERCENTRANK.INC($B$3:$B$6000,B3346,4)*5+0.000001,1))</f>
        <v/>
      </c>
      <c r="F3346">
        <f>IF(A3346="","",MAX(1,CEILING(PERCENTRANK.INC($C$3:$C$6000,C3346,4)*5+0.000001,1)))</f>
        <v/>
      </c>
      <c r="G3346">
        <f>IF(A3346="","",MAX(1,CEILING(PERCENTRANK.INC($D$3:$D$6000,D3346,4)*5+0.000001,1)))</f>
        <v/>
      </c>
      <c r="H3346">
        <f>IF(A3346="","",E3346&amp;F3346&amp;G3346)</f>
        <v/>
      </c>
      <c r="I3346">
        <f>IF(A3346="","",IF(AND(E3346&gt;=4,F3346&gt;=4,G3346&gt;=4),"Juara",IF(AND(F3346&gt;=4,E3346&gt;=3),"Setia",IF(AND(E3346=5,F3346&lt;=2,G3346&gt;=3),"Berpotensi",IF(AND(E3346&lt;=3,E3346&gt;=2,F3346&gt;=3),"Rawan",IF(AND(E3346&lt;=2,F3346&lt;=2),"Tidur","Umum"))))))</f>
        <v/>
      </c>
    </row>
    <row r="3347">
      <c r="B3347">
        <f>IF(A3347="","",$B$1-MAXIFS(Donasi!$A$2:$A$20000,Donasi!$B$2:$B$20000,A3347))</f>
        <v/>
      </c>
      <c r="C3347">
        <f>IF(A3347="","",COUNTIF(Donasi!$B$2:$B$20000,A3347))</f>
        <v/>
      </c>
      <c r="D3347">
        <f>IF(A3347="","",SUMIF(Donasi!$B$2:$B$20000,A3347,Donasi!$C$2:$C$20000))</f>
        <v/>
      </c>
      <c r="E3347">
        <f>IF(A3347="","",6-CEILING(PERCENTRANK.INC($B$3:$B$6000,B3347,4)*5+0.000001,1))</f>
        <v/>
      </c>
      <c r="F3347">
        <f>IF(A3347="","",MAX(1,CEILING(PERCENTRANK.INC($C$3:$C$6000,C3347,4)*5+0.000001,1)))</f>
        <v/>
      </c>
      <c r="G3347">
        <f>IF(A3347="","",MAX(1,CEILING(PERCENTRANK.INC($D$3:$D$6000,D3347,4)*5+0.000001,1)))</f>
        <v/>
      </c>
      <c r="H3347">
        <f>IF(A3347="","",E3347&amp;F3347&amp;G3347)</f>
        <v/>
      </c>
      <c r="I3347">
        <f>IF(A3347="","",IF(AND(E3347&gt;=4,F3347&gt;=4,G3347&gt;=4),"Juara",IF(AND(F3347&gt;=4,E3347&gt;=3),"Setia",IF(AND(E3347=5,F3347&lt;=2,G3347&gt;=3),"Berpotensi",IF(AND(E3347&lt;=3,E3347&gt;=2,F3347&gt;=3),"Rawan",IF(AND(E3347&lt;=2,F3347&lt;=2),"Tidur","Umum"))))))</f>
        <v/>
      </c>
    </row>
    <row r="3348">
      <c r="B3348">
        <f>IF(A3348="","",$B$1-MAXIFS(Donasi!$A$2:$A$20000,Donasi!$B$2:$B$20000,A3348))</f>
        <v/>
      </c>
      <c r="C3348">
        <f>IF(A3348="","",COUNTIF(Donasi!$B$2:$B$20000,A3348))</f>
        <v/>
      </c>
      <c r="D3348">
        <f>IF(A3348="","",SUMIF(Donasi!$B$2:$B$20000,A3348,Donasi!$C$2:$C$20000))</f>
        <v/>
      </c>
      <c r="E3348">
        <f>IF(A3348="","",6-CEILING(PERCENTRANK.INC($B$3:$B$6000,B3348,4)*5+0.000001,1))</f>
        <v/>
      </c>
      <c r="F3348">
        <f>IF(A3348="","",MAX(1,CEILING(PERCENTRANK.INC($C$3:$C$6000,C3348,4)*5+0.000001,1)))</f>
        <v/>
      </c>
      <c r="G3348">
        <f>IF(A3348="","",MAX(1,CEILING(PERCENTRANK.INC($D$3:$D$6000,D3348,4)*5+0.000001,1)))</f>
        <v/>
      </c>
      <c r="H3348">
        <f>IF(A3348="","",E3348&amp;F3348&amp;G3348)</f>
        <v/>
      </c>
      <c r="I3348">
        <f>IF(A3348="","",IF(AND(E3348&gt;=4,F3348&gt;=4,G3348&gt;=4),"Juara",IF(AND(F3348&gt;=4,E3348&gt;=3),"Setia",IF(AND(E3348=5,F3348&lt;=2,G3348&gt;=3),"Berpotensi",IF(AND(E3348&lt;=3,E3348&gt;=2,F3348&gt;=3),"Rawan",IF(AND(E3348&lt;=2,F3348&lt;=2),"Tidur","Umum"))))))</f>
        <v/>
      </c>
    </row>
    <row r="3349">
      <c r="B3349">
        <f>IF(A3349="","",$B$1-MAXIFS(Donasi!$A$2:$A$20000,Donasi!$B$2:$B$20000,A3349))</f>
        <v/>
      </c>
      <c r="C3349">
        <f>IF(A3349="","",COUNTIF(Donasi!$B$2:$B$20000,A3349))</f>
        <v/>
      </c>
      <c r="D3349">
        <f>IF(A3349="","",SUMIF(Donasi!$B$2:$B$20000,A3349,Donasi!$C$2:$C$20000))</f>
        <v/>
      </c>
      <c r="E3349">
        <f>IF(A3349="","",6-CEILING(PERCENTRANK.INC($B$3:$B$6000,B3349,4)*5+0.000001,1))</f>
        <v/>
      </c>
      <c r="F3349">
        <f>IF(A3349="","",MAX(1,CEILING(PERCENTRANK.INC($C$3:$C$6000,C3349,4)*5+0.000001,1)))</f>
        <v/>
      </c>
      <c r="G3349">
        <f>IF(A3349="","",MAX(1,CEILING(PERCENTRANK.INC($D$3:$D$6000,D3349,4)*5+0.000001,1)))</f>
        <v/>
      </c>
      <c r="H3349">
        <f>IF(A3349="","",E3349&amp;F3349&amp;G3349)</f>
        <v/>
      </c>
      <c r="I3349">
        <f>IF(A3349="","",IF(AND(E3349&gt;=4,F3349&gt;=4,G3349&gt;=4),"Juara",IF(AND(F3349&gt;=4,E3349&gt;=3),"Setia",IF(AND(E3349=5,F3349&lt;=2,G3349&gt;=3),"Berpotensi",IF(AND(E3349&lt;=3,E3349&gt;=2,F3349&gt;=3),"Rawan",IF(AND(E3349&lt;=2,F3349&lt;=2),"Tidur","Umum"))))))</f>
        <v/>
      </c>
    </row>
    <row r="3350">
      <c r="B3350">
        <f>IF(A3350="","",$B$1-MAXIFS(Donasi!$A$2:$A$20000,Donasi!$B$2:$B$20000,A3350))</f>
        <v/>
      </c>
      <c r="C3350">
        <f>IF(A3350="","",COUNTIF(Donasi!$B$2:$B$20000,A3350))</f>
        <v/>
      </c>
      <c r="D3350">
        <f>IF(A3350="","",SUMIF(Donasi!$B$2:$B$20000,A3350,Donasi!$C$2:$C$20000))</f>
        <v/>
      </c>
      <c r="E3350">
        <f>IF(A3350="","",6-CEILING(PERCENTRANK.INC($B$3:$B$6000,B3350,4)*5+0.000001,1))</f>
        <v/>
      </c>
      <c r="F3350">
        <f>IF(A3350="","",MAX(1,CEILING(PERCENTRANK.INC($C$3:$C$6000,C3350,4)*5+0.000001,1)))</f>
        <v/>
      </c>
      <c r="G3350">
        <f>IF(A3350="","",MAX(1,CEILING(PERCENTRANK.INC($D$3:$D$6000,D3350,4)*5+0.000001,1)))</f>
        <v/>
      </c>
      <c r="H3350">
        <f>IF(A3350="","",E3350&amp;F3350&amp;G3350)</f>
        <v/>
      </c>
      <c r="I3350">
        <f>IF(A3350="","",IF(AND(E3350&gt;=4,F3350&gt;=4,G3350&gt;=4),"Juara",IF(AND(F3350&gt;=4,E3350&gt;=3),"Setia",IF(AND(E3350=5,F3350&lt;=2,G3350&gt;=3),"Berpotensi",IF(AND(E3350&lt;=3,E3350&gt;=2,F3350&gt;=3),"Rawan",IF(AND(E3350&lt;=2,F3350&lt;=2),"Tidur","Umum"))))))</f>
        <v/>
      </c>
    </row>
    <row r="3351">
      <c r="B3351">
        <f>IF(A3351="","",$B$1-MAXIFS(Donasi!$A$2:$A$20000,Donasi!$B$2:$B$20000,A3351))</f>
        <v/>
      </c>
      <c r="C3351">
        <f>IF(A3351="","",COUNTIF(Donasi!$B$2:$B$20000,A3351))</f>
        <v/>
      </c>
      <c r="D3351">
        <f>IF(A3351="","",SUMIF(Donasi!$B$2:$B$20000,A3351,Donasi!$C$2:$C$20000))</f>
        <v/>
      </c>
      <c r="E3351">
        <f>IF(A3351="","",6-CEILING(PERCENTRANK.INC($B$3:$B$6000,B3351,4)*5+0.000001,1))</f>
        <v/>
      </c>
      <c r="F3351">
        <f>IF(A3351="","",MAX(1,CEILING(PERCENTRANK.INC($C$3:$C$6000,C3351,4)*5+0.000001,1)))</f>
        <v/>
      </c>
      <c r="G3351">
        <f>IF(A3351="","",MAX(1,CEILING(PERCENTRANK.INC($D$3:$D$6000,D3351,4)*5+0.000001,1)))</f>
        <v/>
      </c>
      <c r="H3351">
        <f>IF(A3351="","",E3351&amp;F3351&amp;G3351)</f>
        <v/>
      </c>
      <c r="I3351">
        <f>IF(A3351="","",IF(AND(E3351&gt;=4,F3351&gt;=4,G3351&gt;=4),"Juara",IF(AND(F3351&gt;=4,E3351&gt;=3),"Setia",IF(AND(E3351=5,F3351&lt;=2,G3351&gt;=3),"Berpotensi",IF(AND(E3351&lt;=3,E3351&gt;=2,F3351&gt;=3),"Rawan",IF(AND(E3351&lt;=2,F3351&lt;=2),"Tidur","Umum"))))))</f>
        <v/>
      </c>
    </row>
    <row r="3352">
      <c r="B3352">
        <f>IF(A3352="","",$B$1-MAXIFS(Donasi!$A$2:$A$20000,Donasi!$B$2:$B$20000,A3352))</f>
        <v/>
      </c>
      <c r="C3352">
        <f>IF(A3352="","",COUNTIF(Donasi!$B$2:$B$20000,A3352))</f>
        <v/>
      </c>
      <c r="D3352">
        <f>IF(A3352="","",SUMIF(Donasi!$B$2:$B$20000,A3352,Donasi!$C$2:$C$20000))</f>
        <v/>
      </c>
      <c r="E3352">
        <f>IF(A3352="","",6-CEILING(PERCENTRANK.INC($B$3:$B$6000,B3352,4)*5+0.000001,1))</f>
        <v/>
      </c>
      <c r="F3352">
        <f>IF(A3352="","",MAX(1,CEILING(PERCENTRANK.INC($C$3:$C$6000,C3352,4)*5+0.000001,1)))</f>
        <v/>
      </c>
      <c r="G3352">
        <f>IF(A3352="","",MAX(1,CEILING(PERCENTRANK.INC($D$3:$D$6000,D3352,4)*5+0.000001,1)))</f>
        <v/>
      </c>
      <c r="H3352">
        <f>IF(A3352="","",E3352&amp;F3352&amp;G3352)</f>
        <v/>
      </c>
      <c r="I3352">
        <f>IF(A3352="","",IF(AND(E3352&gt;=4,F3352&gt;=4,G3352&gt;=4),"Juara",IF(AND(F3352&gt;=4,E3352&gt;=3),"Setia",IF(AND(E3352=5,F3352&lt;=2,G3352&gt;=3),"Berpotensi",IF(AND(E3352&lt;=3,E3352&gt;=2,F3352&gt;=3),"Rawan",IF(AND(E3352&lt;=2,F3352&lt;=2),"Tidur","Umum"))))))</f>
        <v/>
      </c>
    </row>
    <row r="3353">
      <c r="B3353">
        <f>IF(A3353="","",$B$1-MAXIFS(Donasi!$A$2:$A$20000,Donasi!$B$2:$B$20000,A3353))</f>
        <v/>
      </c>
      <c r="C3353">
        <f>IF(A3353="","",COUNTIF(Donasi!$B$2:$B$20000,A3353))</f>
        <v/>
      </c>
      <c r="D3353">
        <f>IF(A3353="","",SUMIF(Donasi!$B$2:$B$20000,A3353,Donasi!$C$2:$C$20000))</f>
        <v/>
      </c>
      <c r="E3353">
        <f>IF(A3353="","",6-CEILING(PERCENTRANK.INC($B$3:$B$6000,B3353,4)*5+0.000001,1))</f>
        <v/>
      </c>
      <c r="F3353">
        <f>IF(A3353="","",MAX(1,CEILING(PERCENTRANK.INC($C$3:$C$6000,C3353,4)*5+0.000001,1)))</f>
        <v/>
      </c>
      <c r="G3353">
        <f>IF(A3353="","",MAX(1,CEILING(PERCENTRANK.INC($D$3:$D$6000,D3353,4)*5+0.000001,1)))</f>
        <v/>
      </c>
      <c r="H3353">
        <f>IF(A3353="","",E3353&amp;F3353&amp;G3353)</f>
        <v/>
      </c>
      <c r="I3353">
        <f>IF(A3353="","",IF(AND(E3353&gt;=4,F3353&gt;=4,G3353&gt;=4),"Juara",IF(AND(F3353&gt;=4,E3353&gt;=3),"Setia",IF(AND(E3353=5,F3353&lt;=2,G3353&gt;=3),"Berpotensi",IF(AND(E3353&lt;=3,E3353&gt;=2,F3353&gt;=3),"Rawan",IF(AND(E3353&lt;=2,F3353&lt;=2),"Tidur","Umum"))))))</f>
        <v/>
      </c>
    </row>
    <row r="3354">
      <c r="B3354">
        <f>IF(A3354="","",$B$1-MAXIFS(Donasi!$A$2:$A$20000,Donasi!$B$2:$B$20000,A3354))</f>
        <v/>
      </c>
      <c r="C3354">
        <f>IF(A3354="","",COUNTIF(Donasi!$B$2:$B$20000,A3354))</f>
        <v/>
      </c>
      <c r="D3354">
        <f>IF(A3354="","",SUMIF(Donasi!$B$2:$B$20000,A3354,Donasi!$C$2:$C$20000))</f>
        <v/>
      </c>
      <c r="E3354">
        <f>IF(A3354="","",6-CEILING(PERCENTRANK.INC($B$3:$B$6000,B3354,4)*5+0.000001,1))</f>
        <v/>
      </c>
      <c r="F3354">
        <f>IF(A3354="","",MAX(1,CEILING(PERCENTRANK.INC($C$3:$C$6000,C3354,4)*5+0.000001,1)))</f>
        <v/>
      </c>
      <c r="G3354">
        <f>IF(A3354="","",MAX(1,CEILING(PERCENTRANK.INC($D$3:$D$6000,D3354,4)*5+0.000001,1)))</f>
        <v/>
      </c>
      <c r="H3354">
        <f>IF(A3354="","",E3354&amp;F3354&amp;G3354)</f>
        <v/>
      </c>
      <c r="I3354">
        <f>IF(A3354="","",IF(AND(E3354&gt;=4,F3354&gt;=4,G3354&gt;=4),"Juara",IF(AND(F3354&gt;=4,E3354&gt;=3),"Setia",IF(AND(E3354=5,F3354&lt;=2,G3354&gt;=3),"Berpotensi",IF(AND(E3354&lt;=3,E3354&gt;=2,F3354&gt;=3),"Rawan",IF(AND(E3354&lt;=2,F3354&lt;=2),"Tidur","Umum"))))))</f>
        <v/>
      </c>
    </row>
    <row r="3355">
      <c r="B3355">
        <f>IF(A3355="","",$B$1-MAXIFS(Donasi!$A$2:$A$20000,Donasi!$B$2:$B$20000,A3355))</f>
        <v/>
      </c>
      <c r="C3355">
        <f>IF(A3355="","",COUNTIF(Donasi!$B$2:$B$20000,A3355))</f>
        <v/>
      </c>
      <c r="D3355">
        <f>IF(A3355="","",SUMIF(Donasi!$B$2:$B$20000,A3355,Donasi!$C$2:$C$20000))</f>
        <v/>
      </c>
      <c r="E3355">
        <f>IF(A3355="","",6-CEILING(PERCENTRANK.INC($B$3:$B$6000,B3355,4)*5+0.000001,1))</f>
        <v/>
      </c>
      <c r="F3355">
        <f>IF(A3355="","",MAX(1,CEILING(PERCENTRANK.INC($C$3:$C$6000,C3355,4)*5+0.000001,1)))</f>
        <v/>
      </c>
      <c r="G3355">
        <f>IF(A3355="","",MAX(1,CEILING(PERCENTRANK.INC($D$3:$D$6000,D3355,4)*5+0.000001,1)))</f>
        <v/>
      </c>
      <c r="H3355">
        <f>IF(A3355="","",E3355&amp;F3355&amp;G3355)</f>
        <v/>
      </c>
      <c r="I3355">
        <f>IF(A3355="","",IF(AND(E3355&gt;=4,F3355&gt;=4,G3355&gt;=4),"Juara",IF(AND(F3355&gt;=4,E3355&gt;=3),"Setia",IF(AND(E3355=5,F3355&lt;=2,G3355&gt;=3),"Berpotensi",IF(AND(E3355&lt;=3,E3355&gt;=2,F3355&gt;=3),"Rawan",IF(AND(E3355&lt;=2,F3355&lt;=2),"Tidur","Umum"))))))</f>
        <v/>
      </c>
    </row>
    <row r="3356">
      <c r="B3356">
        <f>IF(A3356="","",$B$1-MAXIFS(Donasi!$A$2:$A$20000,Donasi!$B$2:$B$20000,A3356))</f>
        <v/>
      </c>
      <c r="C3356">
        <f>IF(A3356="","",COUNTIF(Donasi!$B$2:$B$20000,A3356))</f>
        <v/>
      </c>
      <c r="D3356">
        <f>IF(A3356="","",SUMIF(Donasi!$B$2:$B$20000,A3356,Donasi!$C$2:$C$20000))</f>
        <v/>
      </c>
      <c r="E3356">
        <f>IF(A3356="","",6-CEILING(PERCENTRANK.INC($B$3:$B$6000,B3356,4)*5+0.000001,1))</f>
        <v/>
      </c>
      <c r="F3356">
        <f>IF(A3356="","",MAX(1,CEILING(PERCENTRANK.INC($C$3:$C$6000,C3356,4)*5+0.000001,1)))</f>
        <v/>
      </c>
      <c r="G3356">
        <f>IF(A3356="","",MAX(1,CEILING(PERCENTRANK.INC($D$3:$D$6000,D3356,4)*5+0.000001,1)))</f>
        <v/>
      </c>
      <c r="H3356">
        <f>IF(A3356="","",E3356&amp;F3356&amp;G3356)</f>
        <v/>
      </c>
      <c r="I3356">
        <f>IF(A3356="","",IF(AND(E3356&gt;=4,F3356&gt;=4,G3356&gt;=4),"Juara",IF(AND(F3356&gt;=4,E3356&gt;=3),"Setia",IF(AND(E3356=5,F3356&lt;=2,G3356&gt;=3),"Berpotensi",IF(AND(E3356&lt;=3,E3356&gt;=2,F3356&gt;=3),"Rawan",IF(AND(E3356&lt;=2,F3356&lt;=2),"Tidur","Umum"))))))</f>
        <v/>
      </c>
    </row>
    <row r="3357">
      <c r="B3357">
        <f>IF(A3357="","",$B$1-MAXIFS(Donasi!$A$2:$A$20000,Donasi!$B$2:$B$20000,A3357))</f>
        <v/>
      </c>
      <c r="C3357">
        <f>IF(A3357="","",COUNTIF(Donasi!$B$2:$B$20000,A3357))</f>
        <v/>
      </c>
      <c r="D3357">
        <f>IF(A3357="","",SUMIF(Donasi!$B$2:$B$20000,A3357,Donasi!$C$2:$C$20000))</f>
        <v/>
      </c>
      <c r="E3357">
        <f>IF(A3357="","",6-CEILING(PERCENTRANK.INC($B$3:$B$6000,B3357,4)*5+0.000001,1))</f>
        <v/>
      </c>
      <c r="F3357">
        <f>IF(A3357="","",MAX(1,CEILING(PERCENTRANK.INC($C$3:$C$6000,C3357,4)*5+0.000001,1)))</f>
        <v/>
      </c>
      <c r="G3357">
        <f>IF(A3357="","",MAX(1,CEILING(PERCENTRANK.INC($D$3:$D$6000,D3357,4)*5+0.000001,1)))</f>
        <v/>
      </c>
      <c r="H3357">
        <f>IF(A3357="","",E3357&amp;F3357&amp;G3357)</f>
        <v/>
      </c>
      <c r="I3357">
        <f>IF(A3357="","",IF(AND(E3357&gt;=4,F3357&gt;=4,G3357&gt;=4),"Juara",IF(AND(F3357&gt;=4,E3357&gt;=3),"Setia",IF(AND(E3357=5,F3357&lt;=2,G3357&gt;=3),"Berpotensi",IF(AND(E3357&lt;=3,E3357&gt;=2,F3357&gt;=3),"Rawan",IF(AND(E3357&lt;=2,F3357&lt;=2),"Tidur","Umum"))))))</f>
        <v/>
      </c>
    </row>
    <row r="3358">
      <c r="B3358">
        <f>IF(A3358="","",$B$1-MAXIFS(Donasi!$A$2:$A$20000,Donasi!$B$2:$B$20000,A3358))</f>
        <v/>
      </c>
      <c r="C3358">
        <f>IF(A3358="","",COUNTIF(Donasi!$B$2:$B$20000,A3358))</f>
        <v/>
      </c>
      <c r="D3358">
        <f>IF(A3358="","",SUMIF(Donasi!$B$2:$B$20000,A3358,Donasi!$C$2:$C$20000))</f>
        <v/>
      </c>
      <c r="E3358">
        <f>IF(A3358="","",6-CEILING(PERCENTRANK.INC($B$3:$B$6000,B3358,4)*5+0.000001,1))</f>
        <v/>
      </c>
      <c r="F3358">
        <f>IF(A3358="","",MAX(1,CEILING(PERCENTRANK.INC($C$3:$C$6000,C3358,4)*5+0.000001,1)))</f>
        <v/>
      </c>
      <c r="G3358">
        <f>IF(A3358="","",MAX(1,CEILING(PERCENTRANK.INC($D$3:$D$6000,D3358,4)*5+0.000001,1)))</f>
        <v/>
      </c>
      <c r="H3358">
        <f>IF(A3358="","",E3358&amp;F3358&amp;G3358)</f>
        <v/>
      </c>
      <c r="I3358">
        <f>IF(A3358="","",IF(AND(E3358&gt;=4,F3358&gt;=4,G3358&gt;=4),"Juara",IF(AND(F3358&gt;=4,E3358&gt;=3),"Setia",IF(AND(E3358=5,F3358&lt;=2,G3358&gt;=3),"Berpotensi",IF(AND(E3358&lt;=3,E3358&gt;=2,F3358&gt;=3),"Rawan",IF(AND(E3358&lt;=2,F3358&lt;=2),"Tidur","Umum"))))))</f>
        <v/>
      </c>
    </row>
    <row r="3359">
      <c r="B3359">
        <f>IF(A3359="","",$B$1-MAXIFS(Donasi!$A$2:$A$20000,Donasi!$B$2:$B$20000,A3359))</f>
        <v/>
      </c>
      <c r="C3359">
        <f>IF(A3359="","",COUNTIF(Donasi!$B$2:$B$20000,A3359))</f>
        <v/>
      </c>
      <c r="D3359">
        <f>IF(A3359="","",SUMIF(Donasi!$B$2:$B$20000,A3359,Donasi!$C$2:$C$20000))</f>
        <v/>
      </c>
      <c r="E3359">
        <f>IF(A3359="","",6-CEILING(PERCENTRANK.INC($B$3:$B$6000,B3359,4)*5+0.000001,1))</f>
        <v/>
      </c>
      <c r="F3359">
        <f>IF(A3359="","",MAX(1,CEILING(PERCENTRANK.INC($C$3:$C$6000,C3359,4)*5+0.000001,1)))</f>
        <v/>
      </c>
      <c r="G3359">
        <f>IF(A3359="","",MAX(1,CEILING(PERCENTRANK.INC($D$3:$D$6000,D3359,4)*5+0.000001,1)))</f>
        <v/>
      </c>
      <c r="H3359">
        <f>IF(A3359="","",E3359&amp;F3359&amp;G3359)</f>
        <v/>
      </c>
      <c r="I3359">
        <f>IF(A3359="","",IF(AND(E3359&gt;=4,F3359&gt;=4,G3359&gt;=4),"Juara",IF(AND(F3359&gt;=4,E3359&gt;=3),"Setia",IF(AND(E3359=5,F3359&lt;=2,G3359&gt;=3),"Berpotensi",IF(AND(E3359&lt;=3,E3359&gt;=2,F3359&gt;=3),"Rawan",IF(AND(E3359&lt;=2,F3359&lt;=2),"Tidur","Umum"))))))</f>
        <v/>
      </c>
    </row>
    <row r="3360">
      <c r="B3360">
        <f>IF(A3360="","",$B$1-MAXIFS(Donasi!$A$2:$A$20000,Donasi!$B$2:$B$20000,A3360))</f>
        <v/>
      </c>
      <c r="C3360">
        <f>IF(A3360="","",COUNTIF(Donasi!$B$2:$B$20000,A3360))</f>
        <v/>
      </c>
      <c r="D3360">
        <f>IF(A3360="","",SUMIF(Donasi!$B$2:$B$20000,A3360,Donasi!$C$2:$C$20000))</f>
        <v/>
      </c>
      <c r="E3360">
        <f>IF(A3360="","",6-CEILING(PERCENTRANK.INC($B$3:$B$6000,B3360,4)*5+0.000001,1))</f>
        <v/>
      </c>
      <c r="F3360">
        <f>IF(A3360="","",MAX(1,CEILING(PERCENTRANK.INC($C$3:$C$6000,C3360,4)*5+0.000001,1)))</f>
        <v/>
      </c>
      <c r="G3360">
        <f>IF(A3360="","",MAX(1,CEILING(PERCENTRANK.INC($D$3:$D$6000,D3360,4)*5+0.000001,1)))</f>
        <v/>
      </c>
      <c r="H3360">
        <f>IF(A3360="","",E3360&amp;F3360&amp;G3360)</f>
        <v/>
      </c>
      <c r="I3360">
        <f>IF(A3360="","",IF(AND(E3360&gt;=4,F3360&gt;=4,G3360&gt;=4),"Juara",IF(AND(F3360&gt;=4,E3360&gt;=3),"Setia",IF(AND(E3360=5,F3360&lt;=2,G3360&gt;=3),"Berpotensi",IF(AND(E3360&lt;=3,E3360&gt;=2,F3360&gt;=3),"Rawan",IF(AND(E3360&lt;=2,F3360&lt;=2),"Tidur","Umum"))))))</f>
        <v/>
      </c>
    </row>
    <row r="3361">
      <c r="B3361">
        <f>IF(A3361="","",$B$1-MAXIFS(Donasi!$A$2:$A$20000,Donasi!$B$2:$B$20000,A3361))</f>
        <v/>
      </c>
      <c r="C3361">
        <f>IF(A3361="","",COUNTIF(Donasi!$B$2:$B$20000,A3361))</f>
        <v/>
      </c>
      <c r="D3361">
        <f>IF(A3361="","",SUMIF(Donasi!$B$2:$B$20000,A3361,Donasi!$C$2:$C$20000))</f>
        <v/>
      </c>
      <c r="E3361">
        <f>IF(A3361="","",6-CEILING(PERCENTRANK.INC($B$3:$B$6000,B3361,4)*5+0.000001,1))</f>
        <v/>
      </c>
      <c r="F3361">
        <f>IF(A3361="","",MAX(1,CEILING(PERCENTRANK.INC($C$3:$C$6000,C3361,4)*5+0.000001,1)))</f>
        <v/>
      </c>
      <c r="G3361">
        <f>IF(A3361="","",MAX(1,CEILING(PERCENTRANK.INC($D$3:$D$6000,D3361,4)*5+0.000001,1)))</f>
        <v/>
      </c>
      <c r="H3361">
        <f>IF(A3361="","",E3361&amp;F3361&amp;G3361)</f>
        <v/>
      </c>
      <c r="I3361">
        <f>IF(A3361="","",IF(AND(E3361&gt;=4,F3361&gt;=4,G3361&gt;=4),"Juara",IF(AND(F3361&gt;=4,E3361&gt;=3),"Setia",IF(AND(E3361=5,F3361&lt;=2,G3361&gt;=3),"Berpotensi",IF(AND(E3361&lt;=3,E3361&gt;=2,F3361&gt;=3),"Rawan",IF(AND(E3361&lt;=2,F3361&lt;=2),"Tidur","Umum"))))))</f>
        <v/>
      </c>
    </row>
    <row r="3362">
      <c r="B3362">
        <f>IF(A3362="","",$B$1-MAXIFS(Donasi!$A$2:$A$20000,Donasi!$B$2:$B$20000,A3362))</f>
        <v/>
      </c>
      <c r="C3362">
        <f>IF(A3362="","",COUNTIF(Donasi!$B$2:$B$20000,A3362))</f>
        <v/>
      </c>
      <c r="D3362">
        <f>IF(A3362="","",SUMIF(Donasi!$B$2:$B$20000,A3362,Donasi!$C$2:$C$20000))</f>
        <v/>
      </c>
      <c r="E3362">
        <f>IF(A3362="","",6-CEILING(PERCENTRANK.INC($B$3:$B$6000,B3362,4)*5+0.000001,1))</f>
        <v/>
      </c>
      <c r="F3362">
        <f>IF(A3362="","",MAX(1,CEILING(PERCENTRANK.INC($C$3:$C$6000,C3362,4)*5+0.000001,1)))</f>
        <v/>
      </c>
      <c r="G3362">
        <f>IF(A3362="","",MAX(1,CEILING(PERCENTRANK.INC($D$3:$D$6000,D3362,4)*5+0.000001,1)))</f>
        <v/>
      </c>
      <c r="H3362">
        <f>IF(A3362="","",E3362&amp;F3362&amp;G3362)</f>
        <v/>
      </c>
      <c r="I3362">
        <f>IF(A3362="","",IF(AND(E3362&gt;=4,F3362&gt;=4,G3362&gt;=4),"Juara",IF(AND(F3362&gt;=4,E3362&gt;=3),"Setia",IF(AND(E3362=5,F3362&lt;=2,G3362&gt;=3),"Berpotensi",IF(AND(E3362&lt;=3,E3362&gt;=2,F3362&gt;=3),"Rawan",IF(AND(E3362&lt;=2,F3362&lt;=2),"Tidur","Umum"))))))</f>
        <v/>
      </c>
    </row>
    <row r="3363">
      <c r="B3363">
        <f>IF(A3363="","",$B$1-MAXIFS(Donasi!$A$2:$A$20000,Donasi!$B$2:$B$20000,A3363))</f>
        <v/>
      </c>
      <c r="C3363">
        <f>IF(A3363="","",COUNTIF(Donasi!$B$2:$B$20000,A3363))</f>
        <v/>
      </c>
      <c r="D3363">
        <f>IF(A3363="","",SUMIF(Donasi!$B$2:$B$20000,A3363,Donasi!$C$2:$C$20000))</f>
        <v/>
      </c>
      <c r="E3363">
        <f>IF(A3363="","",6-CEILING(PERCENTRANK.INC($B$3:$B$6000,B3363,4)*5+0.000001,1))</f>
        <v/>
      </c>
      <c r="F3363">
        <f>IF(A3363="","",MAX(1,CEILING(PERCENTRANK.INC($C$3:$C$6000,C3363,4)*5+0.000001,1)))</f>
        <v/>
      </c>
      <c r="G3363">
        <f>IF(A3363="","",MAX(1,CEILING(PERCENTRANK.INC($D$3:$D$6000,D3363,4)*5+0.000001,1)))</f>
        <v/>
      </c>
      <c r="H3363">
        <f>IF(A3363="","",E3363&amp;F3363&amp;G3363)</f>
        <v/>
      </c>
      <c r="I3363">
        <f>IF(A3363="","",IF(AND(E3363&gt;=4,F3363&gt;=4,G3363&gt;=4),"Juara",IF(AND(F3363&gt;=4,E3363&gt;=3),"Setia",IF(AND(E3363=5,F3363&lt;=2,G3363&gt;=3),"Berpotensi",IF(AND(E3363&lt;=3,E3363&gt;=2,F3363&gt;=3),"Rawan",IF(AND(E3363&lt;=2,F3363&lt;=2),"Tidur","Umum"))))))</f>
        <v/>
      </c>
    </row>
    <row r="3364">
      <c r="B3364">
        <f>IF(A3364="","",$B$1-MAXIFS(Donasi!$A$2:$A$20000,Donasi!$B$2:$B$20000,A3364))</f>
        <v/>
      </c>
      <c r="C3364">
        <f>IF(A3364="","",COUNTIF(Donasi!$B$2:$B$20000,A3364))</f>
        <v/>
      </c>
      <c r="D3364">
        <f>IF(A3364="","",SUMIF(Donasi!$B$2:$B$20000,A3364,Donasi!$C$2:$C$20000))</f>
        <v/>
      </c>
      <c r="E3364">
        <f>IF(A3364="","",6-CEILING(PERCENTRANK.INC($B$3:$B$6000,B3364,4)*5+0.000001,1))</f>
        <v/>
      </c>
      <c r="F3364">
        <f>IF(A3364="","",MAX(1,CEILING(PERCENTRANK.INC($C$3:$C$6000,C3364,4)*5+0.000001,1)))</f>
        <v/>
      </c>
      <c r="G3364">
        <f>IF(A3364="","",MAX(1,CEILING(PERCENTRANK.INC($D$3:$D$6000,D3364,4)*5+0.000001,1)))</f>
        <v/>
      </c>
      <c r="H3364">
        <f>IF(A3364="","",E3364&amp;F3364&amp;G3364)</f>
        <v/>
      </c>
      <c r="I3364">
        <f>IF(A3364="","",IF(AND(E3364&gt;=4,F3364&gt;=4,G3364&gt;=4),"Juara",IF(AND(F3364&gt;=4,E3364&gt;=3),"Setia",IF(AND(E3364=5,F3364&lt;=2,G3364&gt;=3),"Berpotensi",IF(AND(E3364&lt;=3,E3364&gt;=2,F3364&gt;=3),"Rawan",IF(AND(E3364&lt;=2,F3364&lt;=2),"Tidur","Umum"))))))</f>
        <v/>
      </c>
    </row>
    <row r="3365">
      <c r="B3365">
        <f>IF(A3365="","",$B$1-MAXIFS(Donasi!$A$2:$A$20000,Donasi!$B$2:$B$20000,A3365))</f>
        <v/>
      </c>
      <c r="C3365">
        <f>IF(A3365="","",COUNTIF(Donasi!$B$2:$B$20000,A3365))</f>
        <v/>
      </c>
      <c r="D3365">
        <f>IF(A3365="","",SUMIF(Donasi!$B$2:$B$20000,A3365,Donasi!$C$2:$C$20000))</f>
        <v/>
      </c>
      <c r="E3365">
        <f>IF(A3365="","",6-CEILING(PERCENTRANK.INC($B$3:$B$6000,B3365,4)*5+0.000001,1))</f>
        <v/>
      </c>
      <c r="F3365">
        <f>IF(A3365="","",MAX(1,CEILING(PERCENTRANK.INC($C$3:$C$6000,C3365,4)*5+0.000001,1)))</f>
        <v/>
      </c>
      <c r="G3365">
        <f>IF(A3365="","",MAX(1,CEILING(PERCENTRANK.INC($D$3:$D$6000,D3365,4)*5+0.000001,1)))</f>
        <v/>
      </c>
      <c r="H3365">
        <f>IF(A3365="","",E3365&amp;F3365&amp;G3365)</f>
        <v/>
      </c>
      <c r="I3365">
        <f>IF(A3365="","",IF(AND(E3365&gt;=4,F3365&gt;=4,G3365&gt;=4),"Juara",IF(AND(F3365&gt;=4,E3365&gt;=3),"Setia",IF(AND(E3365=5,F3365&lt;=2,G3365&gt;=3),"Berpotensi",IF(AND(E3365&lt;=3,E3365&gt;=2,F3365&gt;=3),"Rawan",IF(AND(E3365&lt;=2,F3365&lt;=2),"Tidur","Umum"))))))</f>
        <v/>
      </c>
    </row>
    <row r="3366">
      <c r="B3366">
        <f>IF(A3366="","",$B$1-MAXIFS(Donasi!$A$2:$A$20000,Donasi!$B$2:$B$20000,A3366))</f>
        <v/>
      </c>
      <c r="C3366">
        <f>IF(A3366="","",COUNTIF(Donasi!$B$2:$B$20000,A3366))</f>
        <v/>
      </c>
      <c r="D3366">
        <f>IF(A3366="","",SUMIF(Donasi!$B$2:$B$20000,A3366,Donasi!$C$2:$C$20000))</f>
        <v/>
      </c>
      <c r="E3366">
        <f>IF(A3366="","",6-CEILING(PERCENTRANK.INC($B$3:$B$6000,B3366,4)*5+0.000001,1))</f>
        <v/>
      </c>
      <c r="F3366">
        <f>IF(A3366="","",MAX(1,CEILING(PERCENTRANK.INC($C$3:$C$6000,C3366,4)*5+0.000001,1)))</f>
        <v/>
      </c>
      <c r="G3366">
        <f>IF(A3366="","",MAX(1,CEILING(PERCENTRANK.INC($D$3:$D$6000,D3366,4)*5+0.000001,1)))</f>
        <v/>
      </c>
      <c r="H3366">
        <f>IF(A3366="","",E3366&amp;F3366&amp;G3366)</f>
        <v/>
      </c>
      <c r="I3366">
        <f>IF(A3366="","",IF(AND(E3366&gt;=4,F3366&gt;=4,G3366&gt;=4),"Juara",IF(AND(F3366&gt;=4,E3366&gt;=3),"Setia",IF(AND(E3366=5,F3366&lt;=2,G3366&gt;=3),"Berpotensi",IF(AND(E3366&lt;=3,E3366&gt;=2,F3366&gt;=3),"Rawan",IF(AND(E3366&lt;=2,F3366&lt;=2),"Tidur","Umum"))))))</f>
        <v/>
      </c>
    </row>
    <row r="3367">
      <c r="B3367">
        <f>IF(A3367="","",$B$1-MAXIFS(Donasi!$A$2:$A$20000,Donasi!$B$2:$B$20000,A3367))</f>
        <v/>
      </c>
      <c r="C3367">
        <f>IF(A3367="","",COUNTIF(Donasi!$B$2:$B$20000,A3367))</f>
        <v/>
      </c>
      <c r="D3367">
        <f>IF(A3367="","",SUMIF(Donasi!$B$2:$B$20000,A3367,Donasi!$C$2:$C$20000))</f>
        <v/>
      </c>
      <c r="E3367">
        <f>IF(A3367="","",6-CEILING(PERCENTRANK.INC($B$3:$B$6000,B3367,4)*5+0.000001,1))</f>
        <v/>
      </c>
      <c r="F3367">
        <f>IF(A3367="","",MAX(1,CEILING(PERCENTRANK.INC($C$3:$C$6000,C3367,4)*5+0.000001,1)))</f>
        <v/>
      </c>
      <c r="G3367">
        <f>IF(A3367="","",MAX(1,CEILING(PERCENTRANK.INC($D$3:$D$6000,D3367,4)*5+0.000001,1)))</f>
        <v/>
      </c>
      <c r="H3367">
        <f>IF(A3367="","",E3367&amp;F3367&amp;G3367)</f>
        <v/>
      </c>
      <c r="I3367">
        <f>IF(A3367="","",IF(AND(E3367&gt;=4,F3367&gt;=4,G3367&gt;=4),"Juara",IF(AND(F3367&gt;=4,E3367&gt;=3),"Setia",IF(AND(E3367=5,F3367&lt;=2,G3367&gt;=3),"Berpotensi",IF(AND(E3367&lt;=3,E3367&gt;=2,F3367&gt;=3),"Rawan",IF(AND(E3367&lt;=2,F3367&lt;=2),"Tidur","Umum"))))))</f>
        <v/>
      </c>
    </row>
    <row r="3368">
      <c r="B3368">
        <f>IF(A3368="","",$B$1-MAXIFS(Donasi!$A$2:$A$20000,Donasi!$B$2:$B$20000,A3368))</f>
        <v/>
      </c>
      <c r="C3368">
        <f>IF(A3368="","",COUNTIF(Donasi!$B$2:$B$20000,A3368))</f>
        <v/>
      </c>
      <c r="D3368">
        <f>IF(A3368="","",SUMIF(Donasi!$B$2:$B$20000,A3368,Donasi!$C$2:$C$20000))</f>
        <v/>
      </c>
      <c r="E3368">
        <f>IF(A3368="","",6-CEILING(PERCENTRANK.INC($B$3:$B$6000,B3368,4)*5+0.000001,1))</f>
        <v/>
      </c>
      <c r="F3368">
        <f>IF(A3368="","",MAX(1,CEILING(PERCENTRANK.INC($C$3:$C$6000,C3368,4)*5+0.000001,1)))</f>
        <v/>
      </c>
      <c r="G3368">
        <f>IF(A3368="","",MAX(1,CEILING(PERCENTRANK.INC($D$3:$D$6000,D3368,4)*5+0.000001,1)))</f>
        <v/>
      </c>
      <c r="H3368">
        <f>IF(A3368="","",E3368&amp;F3368&amp;G3368)</f>
        <v/>
      </c>
      <c r="I3368">
        <f>IF(A3368="","",IF(AND(E3368&gt;=4,F3368&gt;=4,G3368&gt;=4),"Juara",IF(AND(F3368&gt;=4,E3368&gt;=3),"Setia",IF(AND(E3368=5,F3368&lt;=2,G3368&gt;=3),"Berpotensi",IF(AND(E3368&lt;=3,E3368&gt;=2,F3368&gt;=3),"Rawan",IF(AND(E3368&lt;=2,F3368&lt;=2),"Tidur","Umum"))))))</f>
        <v/>
      </c>
    </row>
    <row r="3369">
      <c r="B3369">
        <f>IF(A3369="","",$B$1-MAXIFS(Donasi!$A$2:$A$20000,Donasi!$B$2:$B$20000,A3369))</f>
        <v/>
      </c>
      <c r="C3369">
        <f>IF(A3369="","",COUNTIF(Donasi!$B$2:$B$20000,A3369))</f>
        <v/>
      </c>
      <c r="D3369">
        <f>IF(A3369="","",SUMIF(Donasi!$B$2:$B$20000,A3369,Donasi!$C$2:$C$20000))</f>
        <v/>
      </c>
      <c r="E3369">
        <f>IF(A3369="","",6-CEILING(PERCENTRANK.INC($B$3:$B$6000,B3369,4)*5+0.000001,1))</f>
        <v/>
      </c>
      <c r="F3369">
        <f>IF(A3369="","",MAX(1,CEILING(PERCENTRANK.INC($C$3:$C$6000,C3369,4)*5+0.000001,1)))</f>
        <v/>
      </c>
      <c r="G3369">
        <f>IF(A3369="","",MAX(1,CEILING(PERCENTRANK.INC($D$3:$D$6000,D3369,4)*5+0.000001,1)))</f>
        <v/>
      </c>
      <c r="H3369">
        <f>IF(A3369="","",E3369&amp;F3369&amp;G3369)</f>
        <v/>
      </c>
      <c r="I3369">
        <f>IF(A3369="","",IF(AND(E3369&gt;=4,F3369&gt;=4,G3369&gt;=4),"Juara",IF(AND(F3369&gt;=4,E3369&gt;=3),"Setia",IF(AND(E3369=5,F3369&lt;=2,G3369&gt;=3),"Berpotensi",IF(AND(E3369&lt;=3,E3369&gt;=2,F3369&gt;=3),"Rawan",IF(AND(E3369&lt;=2,F3369&lt;=2),"Tidur","Umum"))))))</f>
        <v/>
      </c>
    </row>
    <row r="3370">
      <c r="B3370">
        <f>IF(A3370="","",$B$1-MAXIFS(Donasi!$A$2:$A$20000,Donasi!$B$2:$B$20000,A3370))</f>
        <v/>
      </c>
      <c r="C3370">
        <f>IF(A3370="","",COUNTIF(Donasi!$B$2:$B$20000,A3370))</f>
        <v/>
      </c>
      <c r="D3370">
        <f>IF(A3370="","",SUMIF(Donasi!$B$2:$B$20000,A3370,Donasi!$C$2:$C$20000))</f>
        <v/>
      </c>
      <c r="E3370">
        <f>IF(A3370="","",6-CEILING(PERCENTRANK.INC($B$3:$B$6000,B3370,4)*5+0.000001,1))</f>
        <v/>
      </c>
      <c r="F3370">
        <f>IF(A3370="","",MAX(1,CEILING(PERCENTRANK.INC($C$3:$C$6000,C3370,4)*5+0.000001,1)))</f>
        <v/>
      </c>
      <c r="G3370">
        <f>IF(A3370="","",MAX(1,CEILING(PERCENTRANK.INC($D$3:$D$6000,D3370,4)*5+0.000001,1)))</f>
        <v/>
      </c>
      <c r="H3370">
        <f>IF(A3370="","",E3370&amp;F3370&amp;G3370)</f>
        <v/>
      </c>
      <c r="I3370">
        <f>IF(A3370="","",IF(AND(E3370&gt;=4,F3370&gt;=4,G3370&gt;=4),"Juara",IF(AND(F3370&gt;=4,E3370&gt;=3),"Setia",IF(AND(E3370=5,F3370&lt;=2,G3370&gt;=3),"Berpotensi",IF(AND(E3370&lt;=3,E3370&gt;=2,F3370&gt;=3),"Rawan",IF(AND(E3370&lt;=2,F3370&lt;=2),"Tidur","Umum"))))))</f>
        <v/>
      </c>
    </row>
    <row r="3371">
      <c r="B3371">
        <f>IF(A3371="","",$B$1-MAXIFS(Donasi!$A$2:$A$20000,Donasi!$B$2:$B$20000,A3371))</f>
        <v/>
      </c>
      <c r="C3371">
        <f>IF(A3371="","",COUNTIF(Donasi!$B$2:$B$20000,A3371))</f>
        <v/>
      </c>
      <c r="D3371">
        <f>IF(A3371="","",SUMIF(Donasi!$B$2:$B$20000,A3371,Donasi!$C$2:$C$20000))</f>
        <v/>
      </c>
      <c r="E3371">
        <f>IF(A3371="","",6-CEILING(PERCENTRANK.INC($B$3:$B$6000,B3371,4)*5+0.000001,1))</f>
        <v/>
      </c>
      <c r="F3371">
        <f>IF(A3371="","",MAX(1,CEILING(PERCENTRANK.INC($C$3:$C$6000,C3371,4)*5+0.000001,1)))</f>
        <v/>
      </c>
      <c r="G3371">
        <f>IF(A3371="","",MAX(1,CEILING(PERCENTRANK.INC($D$3:$D$6000,D3371,4)*5+0.000001,1)))</f>
        <v/>
      </c>
      <c r="H3371">
        <f>IF(A3371="","",E3371&amp;F3371&amp;G3371)</f>
        <v/>
      </c>
      <c r="I3371">
        <f>IF(A3371="","",IF(AND(E3371&gt;=4,F3371&gt;=4,G3371&gt;=4),"Juara",IF(AND(F3371&gt;=4,E3371&gt;=3),"Setia",IF(AND(E3371=5,F3371&lt;=2,G3371&gt;=3),"Berpotensi",IF(AND(E3371&lt;=3,E3371&gt;=2,F3371&gt;=3),"Rawan",IF(AND(E3371&lt;=2,F3371&lt;=2),"Tidur","Umum"))))))</f>
        <v/>
      </c>
    </row>
    <row r="3372">
      <c r="B3372">
        <f>IF(A3372="","",$B$1-MAXIFS(Donasi!$A$2:$A$20000,Donasi!$B$2:$B$20000,A3372))</f>
        <v/>
      </c>
      <c r="C3372">
        <f>IF(A3372="","",COUNTIF(Donasi!$B$2:$B$20000,A3372))</f>
        <v/>
      </c>
      <c r="D3372">
        <f>IF(A3372="","",SUMIF(Donasi!$B$2:$B$20000,A3372,Donasi!$C$2:$C$20000))</f>
        <v/>
      </c>
      <c r="E3372">
        <f>IF(A3372="","",6-CEILING(PERCENTRANK.INC($B$3:$B$6000,B3372,4)*5+0.000001,1))</f>
        <v/>
      </c>
      <c r="F3372">
        <f>IF(A3372="","",MAX(1,CEILING(PERCENTRANK.INC($C$3:$C$6000,C3372,4)*5+0.000001,1)))</f>
        <v/>
      </c>
      <c r="G3372">
        <f>IF(A3372="","",MAX(1,CEILING(PERCENTRANK.INC($D$3:$D$6000,D3372,4)*5+0.000001,1)))</f>
        <v/>
      </c>
      <c r="H3372">
        <f>IF(A3372="","",E3372&amp;F3372&amp;G3372)</f>
        <v/>
      </c>
      <c r="I3372">
        <f>IF(A3372="","",IF(AND(E3372&gt;=4,F3372&gt;=4,G3372&gt;=4),"Juara",IF(AND(F3372&gt;=4,E3372&gt;=3),"Setia",IF(AND(E3372=5,F3372&lt;=2,G3372&gt;=3),"Berpotensi",IF(AND(E3372&lt;=3,E3372&gt;=2,F3372&gt;=3),"Rawan",IF(AND(E3372&lt;=2,F3372&lt;=2),"Tidur","Umum"))))))</f>
        <v/>
      </c>
    </row>
    <row r="3373">
      <c r="B3373">
        <f>IF(A3373="","",$B$1-MAXIFS(Donasi!$A$2:$A$20000,Donasi!$B$2:$B$20000,A3373))</f>
        <v/>
      </c>
      <c r="C3373">
        <f>IF(A3373="","",COUNTIF(Donasi!$B$2:$B$20000,A3373))</f>
        <v/>
      </c>
      <c r="D3373">
        <f>IF(A3373="","",SUMIF(Donasi!$B$2:$B$20000,A3373,Donasi!$C$2:$C$20000))</f>
        <v/>
      </c>
      <c r="E3373">
        <f>IF(A3373="","",6-CEILING(PERCENTRANK.INC($B$3:$B$6000,B3373,4)*5+0.000001,1))</f>
        <v/>
      </c>
      <c r="F3373">
        <f>IF(A3373="","",MAX(1,CEILING(PERCENTRANK.INC($C$3:$C$6000,C3373,4)*5+0.000001,1)))</f>
        <v/>
      </c>
      <c r="G3373">
        <f>IF(A3373="","",MAX(1,CEILING(PERCENTRANK.INC($D$3:$D$6000,D3373,4)*5+0.000001,1)))</f>
        <v/>
      </c>
      <c r="H3373">
        <f>IF(A3373="","",E3373&amp;F3373&amp;G3373)</f>
        <v/>
      </c>
      <c r="I3373">
        <f>IF(A3373="","",IF(AND(E3373&gt;=4,F3373&gt;=4,G3373&gt;=4),"Juara",IF(AND(F3373&gt;=4,E3373&gt;=3),"Setia",IF(AND(E3373=5,F3373&lt;=2,G3373&gt;=3),"Berpotensi",IF(AND(E3373&lt;=3,E3373&gt;=2,F3373&gt;=3),"Rawan",IF(AND(E3373&lt;=2,F3373&lt;=2),"Tidur","Umum"))))))</f>
        <v/>
      </c>
    </row>
    <row r="3374">
      <c r="B3374">
        <f>IF(A3374="","",$B$1-MAXIFS(Donasi!$A$2:$A$20000,Donasi!$B$2:$B$20000,A3374))</f>
        <v/>
      </c>
      <c r="C3374">
        <f>IF(A3374="","",COUNTIF(Donasi!$B$2:$B$20000,A3374))</f>
        <v/>
      </c>
      <c r="D3374">
        <f>IF(A3374="","",SUMIF(Donasi!$B$2:$B$20000,A3374,Donasi!$C$2:$C$20000))</f>
        <v/>
      </c>
      <c r="E3374">
        <f>IF(A3374="","",6-CEILING(PERCENTRANK.INC($B$3:$B$6000,B3374,4)*5+0.000001,1))</f>
        <v/>
      </c>
      <c r="F3374">
        <f>IF(A3374="","",MAX(1,CEILING(PERCENTRANK.INC($C$3:$C$6000,C3374,4)*5+0.000001,1)))</f>
        <v/>
      </c>
      <c r="G3374">
        <f>IF(A3374="","",MAX(1,CEILING(PERCENTRANK.INC($D$3:$D$6000,D3374,4)*5+0.000001,1)))</f>
        <v/>
      </c>
      <c r="H3374">
        <f>IF(A3374="","",E3374&amp;F3374&amp;G3374)</f>
        <v/>
      </c>
      <c r="I3374">
        <f>IF(A3374="","",IF(AND(E3374&gt;=4,F3374&gt;=4,G3374&gt;=4),"Juara",IF(AND(F3374&gt;=4,E3374&gt;=3),"Setia",IF(AND(E3374=5,F3374&lt;=2,G3374&gt;=3),"Berpotensi",IF(AND(E3374&lt;=3,E3374&gt;=2,F3374&gt;=3),"Rawan",IF(AND(E3374&lt;=2,F3374&lt;=2),"Tidur","Umum"))))))</f>
        <v/>
      </c>
    </row>
    <row r="3375">
      <c r="B3375">
        <f>IF(A3375="","",$B$1-MAXIFS(Donasi!$A$2:$A$20000,Donasi!$B$2:$B$20000,A3375))</f>
        <v/>
      </c>
      <c r="C3375">
        <f>IF(A3375="","",COUNTIF(Donasi!$B$2:$B$20000,A3375))</f>
        <v/>
      </c>
      <c r="D3375">
        <f>IF(A3375="","",SUMIF(Donasi!$B$2:$B$20000,A3375,Donasi!$C$2:$C$20000))</f>
        <v/>
      </c>
      <c r="E3375">
        <f>IF(A3375="","",6-CEILING(PERCENTRANK.INC($B$3:$B$6000,B3375,4)*5+0.000001,1))</f>
        <v/>
      </c>
      <c r="F3375">
        <f>IF(A3375="","",MAX(1,CEILING(PERCENTRANK.INC($C$3:$C$6000,C3375,4)*5+0.000001,1)))</f>
        <v/>
      </c>
      <c r="G3375">
        <f>IF(A3375="","",MAX(1,CEILING(PERCENTRANK.INC($D$3:$D$6000,D3375,4)*5+0.000001,1)))</f>
        <v/>
      </c>
      <c r="H3375">
        <f>IF(A3375="","",E3375&amp;F3375&amp;G3375)</f>
        <v/>
      </c>
      <c r="I3375">
        <f>IF(A3375="","",IF(AND(E3375&gt;=4,F3375&gt;=4,G3375&gt;=4),"Juara",IF(AND(F3375&gt;=4,E3375&gt;=3),"Setia",IF(AND(E3375=5,F3375&lt;=2,G3375&gt;=3),"Berpotensi",IF(AND(E3375&lt;=3,E3375&gt;=2,F3375&gt;=3),"Rawan",IF(AND(E3375&lt;=2,F3375&lt;=2),"Tidur","Umum"))))))</f>
        <v/>
      </c>
    </row>
    <row r="3376">
      <c r="B3376">
        <f>IF(A3376="","",$B$1-MAXIFS(Donasi!$A$2:$A$20000,Donasi!$B$2:$B$20000,A3376))</f>
        <v/>
      </c>
      <c r="C3376">
        <f>IF(A3376="","",COUNTIF(Donasi!$B$2:$B$20000,A3376))</f>
        <v/>
      </c>
      <c r="D3376">
        <f>IF(A3376="","",SUMIF(Donasi!$B$2:$B$20000,A3376,Donasi!$C$2:$C$20000))</f>
        <v/>
      </c>
      <c r="E3376">
        <f>IF(A3376="","",6-CEILING(PERCENTRANK.INC($B$3:$B$6000,B3376,4)*5+0.000001,1))</f>
        <v/>
      </c>
      <c r="F3376">
        <f>IF(A3376="","",MAX(1,CEILING(PERCENTRANK.INC($C$3:$C$6000,C3376,4)*5+0.000001,1)))</f>
        <v/>
      </c>
      <c r="G3376">
        <f>IF(A3376="","",MAX(1,CEILING(PERCENTRANK.INC($D$3:$D$6000,D3376,4)*5+0.000001,1)))</f>
        <v/>
      </c>
      <c r="H3376">
        <f>IF(A3376="","",E3376&amp;F3376&amp;G3376)</f>
        <v/>
      </c>
      <c r="I3376">
        <f>IF(A3376="","",IF(AND(E3376&gt;=4,F3376&gt;=4,G3376&gt;=4),"Juara",IF(AND(F3376&gt;=4,E3376&gt;=3),"Setia",IF(AND(E3376=5,F3376&lt;=2,G3376&gt;=3),"Berpotensi",IF(AND(E3376&lt;=3,E3376&gt;=2,F3376&gt;=3),"Rawan",IF(AND(E3376&lt;=2,F3376&lt;=2),"Tidur","Umum"))))))</f>
        <v/>
      </c>
    </row>
    <row r="3377">
      <c r="B3377">
        <f>IF(A3377="","",$B$1-MAXIFS(Donasi!$A$2:$A$20000,Donasi!$B$2:$B$20000,A3377))</f>
        <v/>
      </c>
      <c r="C3377">
        <f>IF(A3377="","",COUNTIF(Donasi!$B$2:$B$20000,A3377))</f>
        <v/>
      </c>
      <c r="D3377">
        <f>IF(A3377="","",SUMIF(Donasi!$B$2:$B$20000,A3377,Donasi!$C$2:$C$20000))</f>
        <v/>
      </c>
      <c r="E3377">
        <f>IF(A3377="","",6-CEILING(PERCENTRANK.INC($B$3:$B$6000,B3377,4)*5+0.000001,1))</f>
        <v/>
      </c>
      <c r="F3377">
        <f>IF(A3377="","",MAX(1,CEILING(PERCENTRANK.INC($C$3:$C$6000,C3377,4)*5+0.000001,1)))</f>
        <v/>
      </c>
      <c r="G3377">
        <f>IF(A3377="","",MAX(1,CEILING(PERCENTRANK.INC($D$3:$D$6000,D3377,4)*5+0.000001,1)))</f>
        <v/>
      </c>
      <c r="H3377">
        <f>IF(A3377="","",E3377&amp;F3377&amp;G3377)</f>
        <v/>
      </c>
      <c r="I3377">
        <f>IF(A3377="","",IF(AND(E3377&gt;=4,F3377&gt;=4,G3377&gt;=4),"Juara",IF(AND(F3377&gt;=4,E3377&gt;=3),"Setia",IF(AND(E3377=5,F3377&lt;=2,G3377&gt;=3),"Berpotensi",IF(AND(E3377&lt;=3,E3377&gt;=2,F3377&gt;=3),"Rawan",IF(AND(E3377&lt;=2,F3377&lt;=2),"Tidur","Umum"))))))</f>
        <v/>
      </c>
    </row>
    <row r="3378">
      <c r="B3378">
        <f>IF(A3378="","",$B$1-MAXIFS(Donasi!$A$2:$A$20000,Donasi!$B$2:$B$20000,A3378))</f>
        <v/>
      </c>
      <c r="C3378">
        <f>IF(A3378="","",COUNTIF(Donasi!$B$2:$B$20000,A3378))</f>
        <v/>
      </c>
      <c r="D3378">
        <f>IF(A3378="","",SUMIF(Donasi!$B$2:$B$20000,A3378,Donasi!$C$2:$C$20000))</f>
        <v/>
      </c>
      <c r="E3378">
        <f>IF(A3378="","",6-CEILING(PERCENTRANK.INC($B$3:$B$6000,B3378,4)*5+0.000001,1))</f>
        <v/>
      </c>
      <c r="F3378">
        <f>IF(A3378="","",MAX(1,CEILING(PERCENTRANK.INC($C$3:$C$6000,C3378,4)*5+0.000001,1)))</f>
        <v/>
      </c>
      <c r="G3378">
        <f>IF(A3378="","",MAX(1,CEILING(PERCENTRANK.INC($D$3:$D$6000,D3378,4)*5+0.000001,1)))</f>
        <v/>
      </c>
      <c r="H3378">
        <f>IF(A3378="","",E3378&amp;F3378&amp;G3378)</f>
        <v/>
      </c>
      <c r="I3378">
        <f>IF(A3378="","",IF(AND(E3378&gt;=4,F3378&gt;=4,G3378&gt;=4),"Juara",IF(AND(F3378&gt;=4,E3378&gt;=3),"Setia",IF(AND(E3378=5,F3378&lt;=2,G3378&gt;=3),"Berpotensi",IF(AND(E3378&lt;=3,E3378&gt;=2,F3378&gt;=3),"Rawan",IF(AND(E3378&lt;=2,F3378&lt;=2),"Tidur","Umum"))))))</f>
        <v/>
      </c>
    </row>
    <row r="3379">
      <c r="B3379">
        <f>IF(A3379="","",$B$1-MAXIFS(Donasi!$A$2:$A$20000,Donasi!$B$2:$B$20000,A3379))</f>
        <v/>
      </c>
      <c r="C3379">
        <f>IF(A3379="","",COUNTIF(Donasi!$B$2:$B$20000,A3379))</f>
        <v/>
      </c>
      <c r="D3379">
        <f>IF(A3379="","",SUMIF(Donasi!$B$2:$B$20000,A3379,Donasi!$C$2:$C$20000))</f>
        <v/>
      </c>
      <c r="E3379">
        <f>IF(A3379="","",6-CEILING(PERCENTRANK.INC($B$3:$B$6000,B3379,4)*5+0.000001,1))</f>
        <v/>
      </c>
      <c r="F3379">
        <f>IF(A3379="","",MAX(1,CEILING(PERCENTRANK.INC($C$3:$C$6000,C3379,4)*5+0.000001,1)))</f>
        <v/>
      </c>
      <c r="G3379">
        <f>IF(A3379="","",MAX(1,CEILING(PERCENTRANK.INC($D$3:$D$6000,D3379,4)*5+0.000001,1)))</f>
        <v/>
      </c>
      <c r="H3379">
        <f>IF(A3379="","",E3379&amp;F3379&amp;G3379)</f>
        <v/>
      </c>
      <c r="I3379">
        <f>IF(A3379="","",IF(AND(E3379&gt;=4,F3379&gt;=4,G3379&gt;=4),"Juara",IF(AND(F3379&gt;=4,E3379&gt;=3),"Setia",IF(AND(E3379=5,F3379&lt;=2,G3379&gt;=3),"Berpotensi",IF(AND(E3379&lt;=3,E3379&gt;=2,F3379&gt;=3),"Rawan",IF(AND(E3379&lt;=2,F3379&lt;=2),"Tidur","Umum"))))))</f>
        <v/>
      </c>
    </row>
    <row r="3380">
      <c r="B3380">
        <f>IF(A3380="","",$B$1-MAXIFS(Donasi!$A$2:$A$20000,Donasi!$B$2:$B$20000,A3380))</f>
        <v/>
      </c>
      <c r="C3380">
        <f>IF(A3380="","",COUNTIF(Donasi!$B$2:$B$20000,A3380))</f>
        <v/>
      </c>
      <c r="D3380">
        <f>IF(A3380="","",SUMIF(Donasi!$B$2:$B$20000,A3380,Donasi!$C$2:$C$20000))</f>
        <v/>
      </c>
      <c r="E3380">
        <f>IF(A3380="","",6-CEILING(PERCENTRANK.INC($B$3:$B$6000,B3380,4)*5+0.000001,1))</f>
        <v/>
      </c>
      <c r="F3380">
        <f>IF(A3380="","",MAX(1,CEILING(PERCENTRANK.INC($C$3:$C$6000,C3380,4)*5+0.000001,1)))</f>
        <v/>
      </c>
      <c r="G3380">
        <f>IF(A3380="","",MAX(1,CEILING(PERCENTRANK.INC($D$3:$D$6000,D3380,4)*5+0.000001,1)))</f>
        <v/>
      </c>
      <c r="H3380">
        <f>IF(A3380="","",E3380&amp;F3380&amp;G3380)</f>
        <v/>
      </c>
      <c r="I3380">
        <f>IF(A3380="","",IF(AND(E3380&gt;=4,F3380&gt;=4,G3380&gt;=4),"Juara",IF(AND(F3380&gt;=4,E3380&gt;=3),"Setia",IF(AND(E3380=5,F3380&lt;=2,G3380&gt;=3),"Berpotensi",IF(AND(E3380&lt;=3,E3380&gt;=2,F3380&gt;=3),"Rawan",IF(AND(E3380&lt;=2,F3380&lt;=2),"Tidur","Umum"))))))</f>
        <v/>
      </c>
    </row>
    <row r="3381">
      <c r="B3381">
        <f>IF(A3381="","",$B$1-MAXIFS(Donasi!$A$2:$A$20000,Donasi!$B$2:$B$20000,A3381))</f>
        <v/>
      </c>
      <c r="C3381">
        <f>IF(A3381="","",COUNTIF(Donasi!$B$2:$B$20000,A3381))</f>
        <v/>
      </c>
      <c r="D3381">
        <f>IF(A3381="","",SUMIF(Donasi!$B$2:$B$20000,A3381,Donasi!$C$2:$C$20000))</f>
        <v/>
      </c>
      <c r="E3381">
        <f>IF(A3381="","",6-CEILING(PERCENTRANK.INC($B$3:$B$6000,B3381,4)*5+0.000001,1))</f>
        <v/>
      </c>
      <c r="F3381">
        <f>IF(A3381="","",MAX(1,CEILING(PERCENTRANK.INC($C$3:$C$6000,C3381,4)*5+0.000001,1)))</f>
        <v/>
      </c>
      <c r="G3381">
        <f>IF(A3381="","",MAX(1,CEILING(PERCENTRANK.INC($D$3:$D$6000,D3381,4)*5+0.000001,1)))</f>
        <v/>
      </c>
      <c r="H3381">
        <f>IF(A3381="","",E3381&amp;F3381&amp;G3381)</f>
        <v/>
      </c>
      <c r="I3381">
        <f>IF(A3381="","",IF(AND(E3381&gt;=4,F3381&gt;=4,G3381&gt;=4),"Juara",IF(AND(F3381&gt;=4,E3381&gt;=3),"Setia",IF(AND(E3381=5,F3381&lt;=2,G3381&gt;=3),"Berpotensi",IF(AND(E3381&lt;=3,E3381&gt;=2,F3381&gt;=3),"Rawan",IF(AND(E3381&lt;=2,F3381&lt;=2),"Tidur","Umum"))))))</f>
        <v/>
      </c>
    </row>
    <row r="3382">
      <c r="B3382">
        <f>IF(A3382="","",$B$1-MAXIFS(Donasi!$A$2:$A$20000,Donasi!$B$2:$B$20000,A3382))</f>
        <v/>
      </c>
      <c r="C3382">
        <f>IF(A3382="","",COUNTIF(Donasi!$B$2:$B$20000,A3382))</f>
        <v/>
      </c>
      <c r="D3382">
        <f>IF(A3382="","",SUMIF(Donasi!$B$2:$B$20000,A3382,Donasi!$C$2:$C$20000))</f>
        <v/>
      </c>
      <c r="E3382">
        <f>IF(A3382="","",6-CEILING(PERCENTRANK.INC($B$3:$B$6000,B3382,4)*5+0.000001,1))</f>
        <v/>
      </c>
      <c r="F3382">
        <f>IF(A3382="","",MAX(1,CEILING(PERCENTRANK.INC($C$3:$C$6000,C3382,4)*5+0.000001,1)))</f>
        <v/>
      </c>
      <c r="G3382">
        <f>IF(A3382="","",MAX(1,CEILING(PERCENTRANK.INC($D$3:$D$6000,D3382,4)*5+0.000001,1)))</f>
        <v/>
      </c>
      <c r="H3382">
        <f>IF(A3382="","",E3382&amp;F3382&amp;G3382)</f>
        <v/>
      </c>
      <c r="I3382">
        <f>IF(A3382="","",IF(AND(E3382&gt;=4,F3382&gt;=4,G3382&gt;=4),"Juara",IF(AND(F3382&gt;=4,E3382&gt;=3),"Setia",IF(AND(E3382=5,F3382&lt;=2,G3382&gt;=3),"Berpotensi",IF(AND(E3382&lt;=3,E3382&gt;=2,F3382&gt;=3),"Rawan",IF(AND(E3382&lt;=2,F3382&lt;=2),"Tidur","Umum"))))))</f>
        <v/>
      </c>
    </row>
    <row r="3383">
      <c r="B3383">
        <f>IF(A3383="","",$B$1-MAXIFS(Donasi!$A$2:$A$20000,Donasi!$B$2:$B$20000,A3383))</f>
        <v/>
      </c>
      <c r="C3383">
        <f>IF(A3383="","",COUNTIF(Donasi!$B$2:$B$20000,A3383))</f>
        <v/>
      </c>
      <c r="D3383">
        <f>IF(A3383="","",SUMIF(Donasi!$B$2:$B$20000,A3383,Donasi!$C$2:$C$20000))</f>
        <v/>
      </c>
      <c r="E3383">
        <f>IF(A3383="","",6-CEILING(PERCENTRANK.INC($B$3:$B$6000,B3383,4)*5+0.000001,1))</f>
        <v/>
      </c>
      <c r="F3383">
        <f>IF(A3383="","",MAX(1,CEILING(PERCENTRANK.INC($C$3:$C$6000,C3383,4)*5+0.000001,1)))</f>
        <v/>
      </c>
      <c r="G3383">
        <f>IF(A3383="","",MAX(1,CEILING(PERCENTRANK.INC($D$3:$D$6000,D3383,4)*5+0.000001,1)))</f>
        <v/>
      </c>
      <c r="H3383">
        <f>IF(A3383="","",E3383&amp;F3383&amp;G3383)</f>
        <v/>
      </c>
      <c r="I3383">
        <f>IF(A3383="","",IF(AND(E3383&gt;=4,F3383&gt;=4,G3383&gt;=4),"Juara",IF(AND(F3383&gt;=4,E3383&gt;=3),"Setia",IF(AND(E3383=5,F3383&lt;=2,G3383&gt;=3),"Berpotensi",IF(AND(E3383&lt;=3,E3383&gt;=2,F3383&gt;=3),"Rawan",IF(AND(E3383&lt;=2,F3383&lt;=2),"Tidur","Umum"))))))</f>
        <v/>
      </c>
    </row>
    <row r="3384">
      <c r="B3384">
        <f>IF(A3384="","",$B$1-MAXIFS(Donasi!$A$2:$A$20000,Donasi!$B$2:$B$20000,A3384))</f>
        <v/>
      </c>
      <c r="C3384">
        <f>IF(A3384="","",COUNTIF(Donasi!$B$2:$B$20000,A3384))</f>
        <v/>
      </c>
      <c r="D3384">
        <f>IF(A3384="","",SUMIF(Donasi!$B$2:$B$20000,A3384,Donasi!$C$2:$C$20000))</f>
        <v/>
      </c>
      <c r="E3384">
        <f>IF(A3384="","",6-CEILING(PERCENTRANK.INC($B$3:$B$6000,B3384,4)*5+0.000001,1))</f>
        <v/>
      </c>
      <c r="F3384">
        <f>IF(A3384="","",MAX(1,CEILING(PERCENTRANK.INC($C$3:$C$6000,C3384,4)*5+0.000001,1)))</f>
        <v/>
      </c>
      <c r="G3384">
        <f>IF(A3384="","",MAX(1,CEILING(PERCENTRANK.INC($D$3:$D$6000,D3384,4)*5+0.000001,1)))</f>
        <v/>
      </c>
      <c r="H3384">
        <f>IF(A3384="","",E3384&amp;F3384&amp;G3384)</f>
        <v/>
      </c>
      <c r="I3384">
        <f>IF(A3384="","",IF(AND(E3384&gt;=4,F3384&gt;=4,G3384&gt;=4),"Juara",IF(AND(F3384&gt;=4,E3384&gt;=3),"Setia",IF(AND(E3384=5,F3384&lt;=2,G3384&gt;=3),"Berpotensi",IF(AND(E3384&lt;=3,E3384&gt;=2,F3384&gt;=3),"Rawan",IF(AND(E3384&lt;=2,F3384&lt;=2),"Tidur","Umum"))))))</f>
        <v/>
      </c>
    </row>
    <row r="3385">
      <c r="B3385">
        <f>IF(A3385="","",$B$1-MAXIFS(Donasi!$A$2:$A$20000,Donasi!$B$2:$B$20000,A3385))</f>
        <v/>
      </c>
      <c r="C3385">
        <f>IF(A3385="","",COUNTIF(Donasi!$B$2:$B$20000,A3385))</f>
        <v/>
      </c>
      <c r="D3385">
        <f>IF(A3385="","",SUMIF(Donasi!$B$2:$B$20000,A3385,Donasi!$C$2:$C$20000))</f>
        <v/>
      </c>
      <c r="E3385">
        <f>IF(A3385="","",6-CEILING(PERCENTRANK.INC($B$3:$B$6000,B3385,4)*5+0.000001,1))</f>
        <v/>
      </c>
      <c r="F3385">
        <f>IF(A3385="","",MAX(1,CEILING(PERCENTRANK.INC($C$3:$C$6000,C3385,4)*5+0.000001,1)))</f>
        <v/>
      </c>
      <c r="G3385">
        <f>IF(A3385="","",MAX(1,CEILING(PERCENTRANK.INC($D$3:$D$6000,D3385,4)*5+0.000001,1)))</f>
        <v/>
      </c>
      <c r="H3385">
        <f>IF(A3385="","",E3385&amp;F3385&amp;G3385)</f>
        <v/>
      </c>
      <c r="I3385">
        <f>IF(A3385="","",IF(AND(E3385&gt;=4,F3385&gt;=4,G3385&gt;=4),"Juara",IF(AND(F3385&gt;=4,E3385&gt;=3),"Setia",IF(AND(E3385=5,F3385&lt;=2,G3385&gt;=3),"Berpotensi",IF(AND(E3385&lt;=3,E3385&gt;=2,F3385&gt;=3),"Rawan",IF(AND(E3385&lt;=2,F3385&lt;=2),"Tidur","Umum"))))))</f>
        <v/>
      </c>
    </row>
    <row r="3386">
      <c r="B3386">
        <f>IF(A3386="","",$B$1-MAXIFS(Donasi!$A$2:$A$20000,Donasi!$B$2:$B$20000,A3386))</f>
        <v/>
      </c>
      <c r="C3386">
        <f>IF(A3386="","",COUNTIF(Donasi!$B$2:$B$20000,A3386))</f>
        <v/>
      </c>
      <c r="D3386">
        <f>IF(A3386="","",SUMIF(Donasi!$B$2:$B$20000,A3386,Donasi!$C$2:$C$20000))</f>
        <v/>
      </c>
      <c r="E3386">
        <f>IF(A3386="","",6-CEILING(PERCENTRANK.INC($B$3:$B$6000,B3386,4)*5+0.000001,1))</f>
        <v/>
      </c>
      <c r="F3386">
        <f>IF(A3386="","",MAX(1,CEILING(PERCENTRANK.INC($C$3:$C$6000,C3386,4)*5+0.000001,1)))</f>
        <v/>
      </c>
      <c r="G3386">
        <f>IF(A3386="","",MAX(1,CEILING(PERCENTRANK.INC($D$3:$D$6000,D3386,4)*5+0.000001,1)))</f>
        <v/>
      </c>
      <c r="H3386">
        <f>IF(A3386="","",E3386&amp;F3386&amp;G3386)</f>
        <v/>
      </c>
      <c r="I3386">
        <f>IF(A3386="","",IF(AND(E3386&gt;=4,F3386&gt;=4,G3386&gt;=4),"Juara",IF(AND(F3386&gt;=4,E3386&gt;=3),"Setia",IF(AND(E3386=5,F3386&lt;=2,G3386&gt;=3),"Berpotensi",IF(AND(E3386&lt;=3,E3386&gt;=2,F3386&gt;=3),"Rawan",IF(AND(E3386&lt;=2,F3386&lt;=2),"Tidur","Umum"))))))</f>
        <v/>
      </c>
    </row>
    <row r="3387">
      <c r="B3387">
        <f>IF(A3387="","",$B$1-MAXIFS(Donasi!$A$2:$A$20000,Donasi!$B$2:$B$20000,A3387))</f>
        <v/>
      </c>
      <c r="C3387">
        <f>IF(A3387="","",COUNTIF(Donasi!$B$2:$B$20000,A3387))</f>
        <v/>
      </c>
      <c r="D3387">
        <f>IF(A3387="","",SUMIF(Donasi!$B$2:$B$20000,A3387,Donasi!$C$2:$C$20000))</f>
        <v/>
      </c>
      <c r="E3387">
        <f>IF(A3387="","",6-CEILING(PERCENTRANK.INC($B$3:$B$6000,B3387,4)*5+0.000001,1))</f>
        <v/>
      </c>
      <c r="F3387">
        <f>IF(A3387="","",MAX(1,CEILING(PERCENTRANK.INC($C$3:$C$6000,C3387,4)*5+0.000001,1)))</f>
        <v/>
      </c>
      <c r="G3387">
        <f>IF(A3387="","",MAX(1,CEILING(PERCENTRANK.INC($D$3:$D$6000,D3387,4)*5+0.000001,1)))</f>
        <v/>
      </c>
      <c r="H3387">
        <f>IF(A3387="","",E3387&amp;F3387&amp;G3387)</f>
        <v/>
      </c>
      <c r="I3387">
        <f>IF(A3387="","",IF(AND(E3387&gt;=4,F3387&gt;=4,G3387&gt;=4),"Juara",IF(AND(F3387&gt;=4,E3387&gt;=3),"Setia",IF(AND(E3387=5,F3387&lt;=2,G3387&gt;=3),"Berpotensi",IF(AND(E3387&lt;=3,E3387&gt;=2,F3387&gt;=3),"Rawan",IF(AND(E3387&lt;=2,F3387&lt;=2),"Tidur","Umum"))))))</f>
        <v/>
      </c>
    </row>
    <row r="3388">
      <c r="B3388">
        <f>IF(A3388="","",$B$1-MAXIFS(Donasi!$A$2:$A$20000,Donasi!$B$2:$B$20000,A3388))</f>
        <v/>
      </c>
      <c r="C3388">
        <f>IF(A3388="","",COUNTIF(Donasi!$B$2:$B$20000,A3388))</f>
        <v/>
      </c>
      <c r="D3388">
        <f>IF(A3388="","",SUMIF(Donasi!$B$2:$B$20000,A3388,Donasi!$C$2:$C$20000))</f>
        <v/>
      </c>
      <c r="E3388">
        <f>IF(A3388="","",6-CEILING(PERCENTRANK.INC($B$3:$B$6000,B3388,4)*5+0.000001,1))</f>
        <v/>
      </c>
      <c r="F3388">
        <f>IF(A3388="","",MAX(1,CEILING(PERCENTRANK.INC($C$3:$C$6000,C3388,4)*5+0.000001,1)))</f>
        <v/>
      </c>
      <c r="G3388">
        <f>IF(A3388="","",MAX(1,CEILING(PERCENTRANK.INC($D$3:$D$6000,D3388,4)*5+0.000001,1)))</f>
        <v/>
      </c>
      <c r="H3388">
        <f>IF(A3388="","",E3388&amp;F3388&amp;G3388)</f>
        <v/>
      </c>
      <c r="I3388">
        <f>IF(A3388="","",IF(AND(E3388&gt;=4,F3388&gt;=4,G3388&gt;=4),"Juara",IF(AND(F3388&gt;=4,E3388&gt;=3),"Setia",IF(AND(E3388=5,F3388&lt;=2,G3388&gt;=3),"Berpotensi",IF(AND(E3388&lt;=3,E3388&gt;=2,F3388&gt;=3),"Rawan",IF(AND(E3388&lt;=2,F3388&lt;=2),"Tidur","Umum"))))))</f>
        <v/>
      </c>
    </row>
    <row r="3389">
      <c r="B3389">
        <f>IF(A3389="","",$B$1-MAXIFS(Donasi!$A$2:$A$20000,Donasi!$B$2:$B$20000,A3389))</f>
        <v/>
      </c>
      <c r="C3389">
        <f>IF(A3389="","",COUNTIF(Donasi!$B$2:$B$20000,A3389))</f>
        <v/>
      </c>
      <c r="D3389">
        <f>IF(A3389="","",SUMIF(Donasi!$B$2:$B$20000,A3389,Donasi!$C$2:$C$20000))</f>
        <v/>
      </c>
      <c r="E3389">
        <f>IF(A3389="","",6-CEILING(PERCENTRANK.INC($B$3:$B$6000,B3389,4)*5+0.000001,1))</f>
        <v/>
      </c>
      <c r="F3389">
        <f>IF(A3389="","",MAX(1,CEILING(PERCENTRANK.INC($C$3:$C$6000,C3389,4)*5+0.000001,1)))</f>
        <v/>
      </c>
      <c r="G3389">
        <f>IF(A3389="","",MAX(1,CEILING(PERCENTRANK.INC($D$3:$D$6000,D3389,4)*5+0.000001,1)))</f>
        <v/>
      </c>
      <c r="H3389">
        <f>IF(A3389="","",E3389&amp;F3389&amp;G3389)</f>
        <v/>
      </c>
      <c r="I3389">
        <f>IF(A3389="","",IF(AND(E3389&gt;=4,F3389&gt;=4,G3389&gt;=4),"Juara",IF(AND(F3389&gt;=4,E3389&gt;=3),"Setia",IF(AND(E3389=5,F3389&lt;=2,G3389&gt;=3),"Berpotensi",IF(AND(E3389&lt;=3,E3389&gt;=2,F3389&gt;=3),"Rawan",IF(AND(E3389&lt;=2,F3389&lt;=2),"Tidur","Umum"))))))</f>
        <v/>
      </c>
    </row>
    <row r="3390">
      <c r="B3390">
        <f>IF(A3390="","",$B$1-MAXIFS(Donasi!$A$2:$A$20000,Donasi!$B$2:$B$20000,A3390))</f>
        <v/>
      </c>
      <c r="C3390">
        <f>IF(A3390="","",COUNTIF(Donasi!$B$2:$B$20000,A3390))</f>
        <v/>
      </c>
      <c r="D3390">
        <f>IF(A3390="","",SUMIF(Donasi!$B$2:$B$20000,A3390,Donasi!$C$2:$C$20000))</f>
        <v/>
      </c>
      <c r="E3390">
        <f>IF(A3390="","",6-CEILING(PERCENTRANK.INC($B$3:$B$6000,B3390,4)*5+0.000001,1))</f>
        <v/>
      </c>
      <c r="F3390">
        <f>IF(A3390="","",MAX(1,CEILING(PERCENTRANK.INC($C$3:$C$6000,C3390,4)*5+0.000001,1)))</f>
        <v/>
      </c>
      <c r="G3390">
        <f>IF(A3390="","",MAX(1,CEILING(PERCENTRANK.INC($D$3:$D$6000,D3390,4)*5+0.000001,1)))</f>
        <v/>
      </c>
      <c r="H3390">
        <f>IF(A3390="","",E3390&amp;F3390&amp;G3390)</f>
        <v/>
      </c>
      <c r="I3390">
        <f>IF(A3390="","",IF(AND(E3390&gt;=4,F3390&gt;=4,G3390&gt;=4),"Juara",IF(AND(F3390&gt;=4,E3390&gt;=3),"Setia",IF(AND(E3390=5,F3390&lt;=2,G3390&gt;=3),"Berpotensi",IF(AND(E3390&lt;=3,E3390&gt;=2,F3390&gt;=3),"Rawan",IF(AND(E3390&lt;=2,F3390&lt;=2),"Tidur","Umum"))))))</f>
        <v/>
      </c>
    </row>
    <row r="3391">
      <c r="B3391">
        <f>IF(A3391="","",$B$1-MAXIFS(Donasi!$A$2:$A$20000,Donasi!$B$2:$B$20000,A3391))</f>
        <v/>
      </c>
      <c r="C3391">
        <f>IF(A3391="","",COUNTIF(Donasi!$B$2:$B$20000,A3391))</f>
        <v/>
      </c>
      <c r="D3391">
        <f>IF(A3391="","",SUMIF(Donasi!$B$2:$B$20000,A3391,Donasi!$C$2:$C$20000))</f>
        <v/>
      </c>
      <c r="E3391">
        <f>IF(A3391="","",6-CEILING(PERCENTRANK.INC($B$3:$B$6000,B3391,4)*5+0.000001,1))</f>
        <v/>
      </c>
      <c r="F3391">
        <f>IF(A3391="","",MAX(1,CEILING(PERCENTRANK.INC($C$3:$C$6000,C3391,4)*5+0.000001,1)))</f>
        <v/>
      </c>
      <c r="G3391">
        <f>IF(A3391="","",MAX(1,CEILING(PERCENTRANK.INC($D$3:$D$6000,D3391,4)*5+0.000001,1)))</f>
        <v/>
      </c>
      <c r="H3391">
        <f>IF(A3391="","",E3391&amp;F3391&amp;G3391)</f>
        <v/>
      </c>
      <c r="I3391">
        <f>IF(A3391="","",IF(AND(E3391&gt;=4,F3391&gt;=4,G3391&gt;=4),"Juara",IF(AND(F3391&gt;=4,E3391&gt;=3),"Setia",IF(AND(E3391=5,F3391&lt;=2,G3391&gt;=3),"Berpotensi",IF(AND(E3391&lt;=3,E3391&gt;=2,F3391&gt;=3),"Rawan",IF(AND(E3391&lt;=2,F3391&lt;=2),"Tidur","Umum"))))))</f>
        <v/>
      </c>
    </row>
    <row r="3392">
      <c r="B3392">
        <f>IF(A3392="","",$B$1-MAXIFS(Donasi!$A$2:$A$20000,Donasi!$B$2:$B$20000,A3392))</f>
        <v/>
      </c>
      <c r="C3392">
        <f>IF(A3392="","",COUNTIF(Donasi!$B$2:$B$20000,A3392))</f>
        <v/>
      </c>
      <c r="D3392">
        <f>IF(A3392="","",SUMIF(Donasi!$B$2:$B$20000,A3392,Donasi!$C$2:$C$20000))</f>
        <v/>
      </c>
      <c r="E3392">
        <f>IF(A3392="","",6-CEILING(PERCENTRANK.INC($B$3:$B$6000,B3392,4)*5+0.000001,1))</f>
        <v/>
      </c>
      <c r="F3392">
        <f>IF(A3392="","",MAX(1,CEILING(PERCENTRANK.INC($C$3:$C$6000,C3392,4)*5+0.000001,1)))</f>
        <v/>
      </c>
      <c r="G3392">
        <f>IF(A3392="","",MAX(1,CEILING(PERCENTRANK.INC($D$3:$D$6000,D3392,4)*5+0.000001,1)))</f>
        <v/>
      </c>
      <c r="H3392">
        <f>IF(A3392="","",E3392&amp;F3392&amp;G3392)</f>
        <v/>
      </c>
      <c r="I3392">
        <f>IF(A3392="","",IF(AND(E3392&gt;=4,F3392&gt;=4,G3392&gt;=4),"Juara",IF(AND(F3392&gt;=4,E3392&gt;=3),"Setia",IF(AND(E3392=5,F3392&lt;=2,G3392&gt;=3),"Berpotensi",IF(AND(E3392&lt;=3,E3392&gt;=2,F3392&gt;=3),"Rawan",IF(AND(E3392&lt;=2,F3392&lt;=2),"Tidur","Umum"))))))</f>
        <v/>
      </c>
    </row>
    <row r="3393">
      <c r="B3393">
        <f>IF(A3393="","",$B$1-MAXIFS(Donasi!$A$2:$A$20000,Donasi!$B$2:$B$20000,A3393))</f>
        <v/>
      </c>
      <c r="C3393">
        <f>IF(A3393="","",COUNTIF(Donasi!$B$2:$B$20000,A3393))</f>
        <v/>
      </c>
      <c r="D3393">
        <f>IF(A3393="","",SUMIF(Donasi!$B$2:$B$20000,A3393,Donasi!$C$2:$C$20000))</f>
        <v/>
      </c>
      <c r="E3393">
        <f>IF(A3393="","",6-CEILING(PERCENTRANK.INC($B$3:$B$6000,B3393,4)*5+0.000001,1))</f>
        <v/>
      </c>
      <c r="F3393">
        <f>IF(A3393="","",MAX(1,CEILING(PERCENTRANK.INC($C$3:$C$6000,C3393,4)*5+0.000001,1)))</f>
        <v/>
      </c>
      <c r="G3393">
        <f>IF(A3393="","",MAX(1,CEILING(PERCENTRANK.INC($D$3:$D$6000,D3393,4)*5+0.000001,1)))</f>
        <v/>
      </c>
      <c r="H3393">
        <f>IF(A3393="","",E3393&amp;F3393&amp;G3393)</f>
        <v/>
      </c>
      <c r="I3393">
        <f>IF(A3393="","",IF(AND(E3393&gt;=4,F3393&gt;=4,G3393&gt;=4),"Juara",IF(AND(F3393&gt;=4,E3393&gt;=3),"Setia",IF(AND(E3393=5,F3393&lt;=2,G3393&gt;=3),"Berpotensi",IF(AND(E3393&lt;=3,E3393&gt;=2,F3393&gt;=3),"Rawan",IF(AND(E3393&lt;=2,F3393&lt;=2),"Tidur","Umum"))))))</f>
        <v/>
      </c>
    </row>
    <row r="3394">
      <c r="B3394">
        <f>IF(A3394="","",$B$1-MAXIFS(Donasi!$A$2:$A$20000,Donasi!$B$2:$B$20000,A3394))</f>
        <v/>
      </c>
      <c r="C3394">
        <f>IF(A3394="","",COUNTIF(Donasi!$B$2:$B$20000,A3394))</f>
        <v/>
      </c>
      <c r="D3394">
        <f>IF(A3394="","",SUMIF(Donasi!$B$2:$B$20000,A3394,Donasi!$C$2:$C$20000))</f>
        <v/>
      </c>
      <c r="E3394">
        <f>IF(A3394="","",6-CEILING(PERCENTRANK.INC($B$3:$B$6000,B3394,4)*5+0.000001,1))</f>
        <v/>
      </c>
      <c r="F3394">
        <f>IF(A3394="","",MAX(1,CEILING(PERCENTRANK.INC($C$3:$C$6000,C3394,4)*5+0.000001,1)))</f>
        <v/>
      </c>
      <c r="G3394">
        <f>IF(A3394="","",MAX(1,CEILING(PERCENTRANK.INC($D$3:$D$6000,D3394,4)*5+0.000001,1)))</f>
        <v/>
      </c>
      <c r="H3394">
        <f>IF(A3394="","",E3394&amp;F3394&amp;G3394)</f>
        <v/>
      </c>
      <c r="I3394">
        <f>IF(A3394="","",IF(AND(E3394&gt;=4,F3394&gt;=4,G3394&gt;=4),"Juara",IF(AND(F3394&gt;=4,E3394&gt;=3),"Setia",IF(AND(E3394=5,F3394&lt;=2,G3394&gt;=3),"Berpotensi",IF(AND(E3394&lt;=3,E3394&gt;=2,F3394&gt;=3),"Rawan",IF(AND(E3394&lt;=2,F3394&lt;=2),"Tidur","Umum"))))))</f>
        <v/>
      </c>
    </row>
    <row r="3395">
      <c r="B3395">
        <f>IF(A3395="","",$B$1-MAXIFS(Donasi!$A$2:$A$20000,Donasi!$B$2:$B$20000,A3395))</f>
        <v/>
      </c>
      <c r="C3395">
        <f>IF(A3395="","",COUNTIF(Donasi!$B$2:$B$20000,A3395))</f>
        <v/>
      </c>
      <c r="D3395">
        <f>IF(A3395="","",SUMIF(Donasi!$B$2:$B$20000,A3395,Donasi!$C$2:$C$20000))</f>
        <v/>
      </c>
      <c r="E3395">
        <f>IF(A3395="","",6-CEILING(PERCENTRANK.INC($B$3:$B$6000,B3395,4)*5+0.000001,1))</f>
        <v/>
      </c>
      <c r="F3395">
        <f>IF(A3395="","",MAX(1,CEILING(PERCENTRANK.INC($C$3:$C$6000,C3395,4)*5+0.000001,1)))</f>
        <v/>
      </c>
      <c r="G3395">
        <f>IF(A3395="","",MAX(1,CEILING(PERCENTRANK.INC($D$3:$D$6000,D3395,4)*5+0.000001,1)))</f>
        <v/>
      </c>
      <c r="H3395">
        <f>IF(A3395="","",E3395&amp;F3395&amp;G3395)</f>
        <v/>
      </c>
      <c r="I3395">
        <f>IF(A3395="","",IF(AND(E3395&gt;=4,F3395&gt;=4,G3395&gt;=4),"Juara",IF(AND(F3395&gt;=4,E3395&gt;=3),"Setia",IF(AND(E3395=5,F3395&lt;=2,G3395&gt;=3),"Berpotensi",IF(AND(E3395&lt;=3,E3395&gt;=2,F3395&gt;=3),"Rawan",IF(AND(E3395&lt;=2,F3395&lt;=2),"Tidur","Umum"))))))</f>
        <v/>
      </c>
    </row>
    <row r="3396">
      <c r="B3396">
        <f>IF(A3396="","",$B$1-MAXIFS(Donasi!$A$2:$A$20000,Donasi!$B$2:$B$20000,A3396))</f>
        <v/>
      </c>
      <c r="C3396">
        <f>IF(A3396="","",COUNTIF(Donasi!$B$2:$B$20000,A3396))</f>
        <v/>
      </c>
      <c r="D3396">
        <f>IF(A3396="","",SUMIF(Donasi!$B$2:$B$20000,A3396,Donasi!$C$2:$C$20000))</f>
        <v/>
      </c>
      <c r="E3396">
        <f>IF(A3396="","",6-CEILING(PERCENTRANK.INC($B$3:$B$6000,B3396,4)*5+0.000001,1))</f>
        <v/>
      </c>
      <c r="F3396">
        <f>IF(A3396="","",MAX(1,CEILING(PERCENTRANK.INC($C$3:$C$6000,C3396,4)*5+0.000001,1)))</f>
        <v/>
      </c>
      <c r="G3396">
        <f>IF(A3396="","",MAX(1,CEILING(PERCENTRANK.INC($D$3:$D$6000,D3396,4)*5+0.000001,1)))</f>
        <v/>
      </c>
      <c r="H3396">
        <f>IF(A3396="","",E3396&amp;F3396&amp;G3396)</f>
        <v/>
      </c>
      <c r="I3396">
        <f>IF(A3396="","",IF(AND(E3396&gt;=4,F3396&gt;=4,G3396&gt;=4),"Juara",IF(AND(F3396&gt;=4,E3396&gt;=3),"Setia",IF(AND(E3396=5,F3396&lt;=2,G3396&gt;=3),"Berpotensi",IF(AND(E3396&lt;=3,E3396&gt;=2,F3396&gt;=3),"Rawan",IF(AND(E3396&lt;=2,F3396&lt;=2),"Tidur","Umum"))))))</f>
        <v/>
      </c>
    </row>
    <row r="3397">
      <c r="B3397">
        <f>IF(A3397="","",$B$1-MAXIFS(Donasi!$A$2:$A$20000,Donasi!$B$2:$B$20000,A3397))</f>
        <v/>
      </c>
      <c r="C3397">
        <f>IF(A3397="","",COUNTIF(Donasi!$B$2:$B$20000,A3397))</f>
        <v/>
      </c>
      <c r="D3397">
        <f>IF(A3397="","",SUMIF(Donasi!$B$2:$B$20000,A3397,Donasi!$C$2:$C$20000))</f>
        <v/>
      </c>
      <c r="E3397">
        <f>IF(A3397="","",6-CEILING(PERCENTRANK.INC($B$3:$B$6000,B3397,4)*5+0.000001,1))</f>
        <v/>
      </c>
      <c r="F3397">
        <f>IF(A3397="","",MAX(1,CEILING(PERCENTRANK.INC($C$3:$C$6000,C3397,4)*5+0.000001,1)))</f>
        <v/>
      </c>
      <c r="G3397">
        <f>IF(A3397="","",MAX(1,CEILING(PERCENTRANK.INC($D$3:$D$6000,D3397,4)*5+0.000001,1)))</f>
        <v/>
      </c>
      <c r="H3397">
        <f>IF(A3397="","",E3397&amp;F3397&amp;G3397)</f>
        <v/>
      </c>
      <c r="I3397">
        <f>IF(A3397="","",IF(AND(E3397&gt;=4,F3397&gt;=4,G3397&gt;=4),"Juara",IF(AND(F3397&gt;=4,E3397&gt;=3),"Setia",IF(AND(E3397=5,F3397&lt;=2,G3397&gt;=3),"Berpotensi",IF(AND(E3397&lt;=3,E3397&gt;=2,F3397&gt;=3),"Rawan",IF(AND(E3397&lt;=2,F3397&lt;=2),"Tidur","Umum"))))))</f>
        <v/>
      </c>
    </row>
    <row r="3398">
      <c r="B3398">
        <f>IF(A3398="","",$B$1-MAXIFS(Donasi!$A$2:$A$20000,Donasi!$B$2:$B$20000,A3398))</f>
        <v/>
      </c>
      <c r="C3398">
        <f>IF(A3398="","",COUNTIF(Donasi!$B$2:$B$20000,A3398))</f>
        <v/>
      </c>
      <c r="D3398">
        <f>IF(A3398="","",SUMIF(Donasi!$B$2:$B$20000,A3398,Donasi!$C$2:$C$20000))</f>
        <v/>
      </c>
      <c r="E3398">
        <f>IF(A3398="","",6-CEILING(PERCENTRANK.INC($B$3:$B$6000,B3398,4)*5+0.000001,1))</f>
        <v/>
      </c>
      <c r="F3398">
        <f>IF(A3398="","",MAX(1,CEILING(PERCENTRANK.INC($C$3:$C$6000,C3398,4)*5+0.000001,1)))</f>
        <v/>
      </c>
      <c r="G3398">
        <f>IF(A3398="","",MAX(1,CEILING(PERCENTRANK.INC($D$3:$D$6000,D3398,4)*5+0.000001,1)))</f>
        <v/>
      </c>
      <c r="H3398">
        <f>IF(A3398="","",E3398&amp;F3398&amp;G3398)</f>
        <v/>
      </c>
      <c r="I3398">
        <f>IF(A3398="","",IF(AND(E3398&gt;=4,F3398&gt;=4,G3398&gt;=4),"Juara",IF(AND(F3398&gt;=4,E3398&gt;=3),"Setia",IF(AND(E3398=5,F3398&lt;=2,G3398&gt;=3),"Berpotensi",IF(AND(E3398&lt;=3,E3398&gt;=2,F3398&gt;=3),"Rawan",IF(AND(E3398&lt;=2,F3398&lt;=2),"Tidur","Umum"))))))</f>
        <v/>
      </c>
    </row>
    <row r="3399">
      <c r="B3399">
        <f>IF(A3399="","",$B$1-MAXIFS(Donasi!$A$2:$A$20000,Donasi!$B$2:$B$20000,A3399))</f>
        <v/>
      </c>
      <c r="C3399">
        <f>IF(A3399="","",COUNTIF(Donasi!$B$2:$B$20000,A3399))</f>
        <v/>
      </c>
      <c r="D3399">
        <f>IF(A3399="","",SUMIF(Donasi!$B$2:$B$20000,A3399,Donasi!$C$2:$C$20000))</f>
        <v/>
      </c>
      <c r="E3399">
        <f>IF(A3399="","",6-CEILING(PERCENTRANK.INC($B$3:$B$6000,B3399,4)*5+0.000001,1))</f>
        <v/>
      </c>
      <c r="F3399">
        <f>IF(A3399="","",MAX(1,CEILING(PERCENTRANK.INC($C$3:$C$6000,C3399,4)*5+0.000001,1)))</f>
        <v/>
      </c>
      <c r="G3399">
        <f>IF(A3399="","",MAX(1,CEILING(PERCENTRANK.INC($D$3:$D$6000,D3399,4)*5+0.000001,1)))</f>
        <v/>
      </c>
      <c r="H3399">
        <f>IF(A3399="","",E3399&amp;F3399&amp;G3399)</f>
        <v/>
      </c>
      <c r="I3399">
        <f>IF(A3399="","",IF(AND(E3399&gt;=4,F3399&gt;=4,G3399&gt;=4),"Juara",IF(AND(F3399&gt;=4,E3399&gt;=3),"Setia",IF(AND(E3399=5,F3399&lt;=2,G3399&gt;=3),"Berpotensi",IF(AND(E3399&lt;=3,E3399&gt;=2,F3399&gt;=3),"Rawan",IF(AND(E3399&lt;=2,F3399&lt;=2),"Tidur","Umum"))))))</f>
        <v/>
      </c>
    </row>
    <row r="3400">
      <c r="B3400">
        <f>IF(A3400="","",$B$1-MAXIFS(Donasi!$A$2:$A$20000,Donasi!$B$2:$B$20000,A3400))</f>
        <v/>
      </c>
      <c r="C3400">
        <f>IF(A3400="","",COUNTIF(Donasi!$B$2:$B$20000,A3400))</f>
        <v/>
      </c>
      <c r="D3400">
        <f>IF(A3400="","",SUMIF(Donasi!$B$2:$B$20000,A3400,Donasi!$C$2:$C$20000))</f>
        <v/>
      </c>
      <c r="E3400">
        <f>IF(A3400="","",6-CEILING(PERCENTRANK.INC($B$3:$B$6000,B3400,4)*5+0.000001,1))</f>
        <v/>
      </c>
      <c r="F3400">
        <f>IF(A3400="","",MAX(1,CEILING(PERCENTRANK.INC($C$3:$C$6000,C3400,4)*5+0.000001,1)))</f>
        <v/>
      </c>
      <c r="G3400">
        <f>IF(A3400="","",MAX(1,CEILING(PERCENTRANK.INC($D$3:$D$6000,D3400,4)*5+0.000001,1)))</f>
        <v/>
      </c>
      <c r="H3400">
        <f>IF(A3400="","",E3400&amp;F3400&amp;G3400)</f>
        <v/>
      </c>
      <c r="I3400">
        <f>IF(A3400="","",IF(AND(E3400&gt;=4,F3400&gt;=4,G3400&gt;=4),"Juara",IF(AND(F3400&gt;=4,E3400&gt;=3),"Setia",IF(AND(E3400=5,F3400&lt;=2,G3400&gt;=3),"Berpotensi",IF(AND(E3400&lt;=3,E3400&gt;=2,F3400&gt;=3),"Rawan",IF(AND(E3400&lt;=2,F3400&lt;=2),"Tidur","Umum"))))))</f>
        <v/>
      </c>
    </row>
    <row r="3401">
      <c r="B3401">
        <f>IF(A3401="","",$B$1-MAXIFS(Donasi!$A$2:$A$20000,Donasi!$B$2:$B$20000,A3401))</f>
        <v/>
      </c>
      <c r="C3401">
        <f>IF(A3401="","",COUNTIF(Donasi!$B$2:$B$20000,A3401))</f>
        <v/>
      </c>
      <c r="D3401">
        <f>IF(A3401="","",SUMIF(Donasi!$B$2:$B$20000,A3401,Donasi!$C$2:$C$20000))</f>
        <v/>
      </c>
      <c r="E3401">
        <f>IF(A3401="","",6-CEILING(PERCENTRANK.INC($B$3:$B$6000,B3401,4)*5+0.000001,1))</f>
        <v/>
      </c>
      <c r="F3401">
        <f>IF(A3401="","",MAX(1,CEILING(PERCENTRANK.INC($C$3:$C$6000,C3401,4)*5+0.000001,1)))</f>
        <v/>
      </c>
      <c r="G3401">
        <f>IF(A3401="","",MAX(1,CEILING(PERCENTRANK.INC($D$3:$D$6000,D3401,4)*5+0.000001,1)))</f>
        <v/>
      </c>
      <c r="H3401">
        <f>IF(A3401="","",E3401&amp;F3401&amp;G3401)</f>
        <v/>
      </c>
      <c r="I3401">
        <f>IF(A3401="","",IF(AND(E3401&gt;=4,F3401&gt;=4,G3401&gt;=4),"Juara",IF(AND(F3401&gt;=4,E3401&gt;=3),"Setia",IF(AND(E3401=5,F3401&lt;=2,G3401&gt;=3),"Berpotensi",IF(AND(E3401&lt;=3,E3401&gt;=2,F3401&gt;=3),"Rawan",IF(AND(E3401&lt;=2,F3401&lt;=2),"Tidur","Umum"))))))</f>
        <v/>
      </c>
    </row>
    <row r="3402">
      <c r="B3402">
        <f>IF(A3402="","",$B$1-MAXIFS(Donasi!$A$2:$A$20000,Donasi!$B$2:$B$20000,A3402))</f>
        <v/>
      </c>
      <c r="C3402">
        <f>IF(A3402="","",COUNTIF(Donasi!$B$2:$B$20000,A3402))</f>
        <v/>
      </c>
      <c r="D3402">
        <f>IF(A3402="","",SUMIF(Donasi!$B$2:$B$20000,A3402,Donasi!$C$2:$C$20000))</f>
        <v/>
      </c>
      <c r="E3402">
        <f>IF(A3402="","",6-CEILING(PERCENTRANK.INC($B$3:$B$6000,B3402,4)*5+0.000001,1))</f>
        <v/>
      </c>
      <c r="F3402">
        <f>IF(A3402="","",MAX(1,CEILING(PERCENTRANK.INC($C$3:$C$6000,C3402,4)*5+0.000001,1)))</f>
        <v/>
      </c>
      <c r="G3402">
        <f>IF(A3402="","",MAX(1,CEILING(PERCENTRANK.INC($D$3:$D$6000,D3402,4)*5+0.000001,1)))</f>
        <v/>
      </c>
      <c r="H3402">
        <f>IF(A3402="","",E3402&amp;F3402&amp;G3402)</f>
        <v/>
      </c>
      <c r="I3402">
        <f>IF(A3402="","",IF(AND(E3402&gt;=4,F3402&gt;=4,G3402&gt;=4),"Juara",IF(AND(F3402&gt;=4,E3402&gt;=3),"Setia",IF(AND(E3402=5,F3402&lt;=2,G3402&gt;=3),"Berpotensi",IF(AND(E3402&lt;=3,E3402&gt;=2,F3402&gt;=3),"Rawan",IF(AND(E3402&lt;=2,F3402&lt;=2),"Tidur","Umum"))))))</f>
        <v/>
      </c>
    </row>
    <row r="3403">
      <c r="B3403">
        <f>IF(A3403="","",$B$1-MAXIFS(Donasi!$A$2:$A$20000,Donasi!$B$2:$B$20000,A3403))</f>
        <v/>
      </c>
      <c r="C3403">
        <f>IF(A3403="","",COUNTIF(Donasi!$B$2:$B$20000,A3403))</f>
        <v/>
      </c>
      <c r="D3403">
        <f>IF(A3403="","",SUMIF(Donasi!$B$2:$B$20000,A3403,Donasi!$C$2:$C$20000))</f>
        <v/>
      </c>
      <c r="E3403">
        <f>IF(A3403="","",6-CEILING(PERCENTRANK.INC($B$3:$B$6000,B3403,4)*5+0.000001,1))</f>
        <v/>
      </c>
      <c r="F3403">
        <f>IF(A3403="","",MAX(1,CEILING(PERCENTRANK.INC($C$3:$C$6000,C3403,4)*5+0.000001,1)))</f>
        <v/>
      </c>
      <c r="G3403">
        <f>IF(A3403="","",MAX(1,CEILING(PERCENTRANK.INC($D$3:$D$6000,D3403,4)*5+0.000001,1)))</f>
        <v/>
      </c>
      <c r="H3403">
        <f>IF(A3403="","",E3403&amp;F3403&amp;G3403)</f>
        <v/>
      </c>
      <c r="I3403">
        <f>IF(A3403="","",IF(AND(E3403&gt;=4,F3403&gt;=4,G3403&gt;=4),"Juara",IF(AND(F3403&gt;=4,E3403&gt;=3),"Setia",IF(AND(E3403=5,F3403&lt;=2,G3403&gt;=3),"Berpotensi",IF(AND(E3403&lt;=3,E3403&gt;=2,F3403&gt;=3),"Rawan",IF(AND(E3403&lt;=2,F3403&lt;=2),"Tidur","Umum"))))))</f>
        <v/>
      </c>
    </row>
    <row r="3404">
      <c r="B3404">
        <f>IF(A3404="","",$B$1-MAXIFS(Donasi!$A$2:$A$20000,Donasi!$B$2:$B$20000,A3404))</f>
        <v/>
      </c>
      <c r="C3404">
        <f>IF(A3404="","",COUNTIF(Donasi!$B$2:$B$20000,A3404))</f>
        <v/>
      </c>
      <c r="D3404">
        <f>IF(A3404="","",SUMIF(Donasi!$B$2:$B$20000,A3404,Donasi!$C$2:$C$20000))</f>
        <v/>
      </c>
      <c r="E3404">
        <f>IF(A3404="","",6-CEILING(PERCENTRANK.INC($B$3:$B$6000,B3404,4)*5+0.000001,1))</f>
        <v/>
      </c>
      <c r="F3404">
        <f>IF(A3404="","",MAX(1,CEILING(PERCENTRANK.INC($C$3:$C$6000,C3404,4)*5+0.000001,1)))</f>
        <v/>
      </c>
      <c r="G3404">
        <f>IF(A3404="","",MAX(1,CEILING(PERCENTRANK.INC($D$3:$D$6000,D3404,4)*5+0.000001,1)))</f>
        <v/>
      </c>
      <c r="H3404">
        <f>IF(A3404="","",E3404&amp;F3404&amp;G3404)</f>
        <v/>
      </c>
      <c r="I3404">
        <f>IF(A3404="","",IF(AND(E3404&gt;=4,F3404&gt;=4,G3404&gt;=4),"Juara",IF(AND(F3404&gt;=4,E3404&gt;=3),"Setia",IF(AND(E3404=5,F3404&lt;=2,G3404&gt;=3),"Berpotensi",IF(AND(E3404&lt;=3,E3404&gt;=2,F3404&gt;=3),"Rawan",IF(AND(E3404&lt;=2,F3404&lt;=2),"Tidur","Umum"))))))</f>
        <v/>
      </c>
    </row>
    <row r="3405">
      <c r="B3405">
        <f>IF(A3405="","",$B$1-MAXIFS(Donasi!$A$2:$A$20000,Donasi!$B$2:$B$20000,A3405))</f>
        <v/>
      </c>
      <c r="C3405">
        <f>IF(A3405="","",COUNTIF(Donasi!$B$2:$B$20000,A3405))</f>
        <v/>
      </c>
      <c r="D3405">
        <f>IF(A3405="","",SUMIF(Donasi!$B$2:$B$20000,A3405,Donasi!$C$2:$C$20000))</f>
        <v/>
      </c>
      <c r="E3405">
        <f>IF(A3405="","",6-CEILING(PERCENTRANK.INC($B$3:$B$6000,B3405,4)*5+0.000001,1))</f>
        <v/>
      </c>
      <c r="F3405">
        <f>IF(A3405="","",MAX(1,CEILING(PERCENTRANK.INC($C$3:$C$6000,C3405,4)*5+0.000001,1)))</f>
        <v/>
      </c>
      <c r="G3405">
        <f>IF(A3405="","",MAX(1,CEILING(PERCENTRANK.INC($D$3:$D$6000,D3405,4)*5+0.000001,1)))</f>
        <v/>
      </c>
      <c r="H3405">
        <f>IF(A3405="","",E3405&amp;F3405&amp;G3405)</f>
        <v/>
      </c>
      <c r="I3405">
        <f>IF(A3405="","",IF(AND(E3405&gt;=4,F3405&gt;=4,G3405&gt;=4),"Juara",IF(AND(F3405&gt;=4,E3405&gt;=3),"Setia",IF(AND(E3405=5,F3405&lt;=2,G3405&gt;=3),"Berpotensi",IF(AND(E3405&lt;=3,E3405&gt;=2,F3405&gt;=3),"Rawan",IF(AND(E3405&lt;=2,F3405&lt;=2),"Tidur","Umum"))))))</f>
        <v/>
      </c>
    </row>
    <row r="3406">
      <c r="B3406">
        <f>IF(A3406="","",$B$1-MAXIFS(Donasi!$A$2:$A$20000,Donasi!$B$2:$B$20000,A3406))</f>
        <v/>
      </c>
      <c r="C3406">
        <f>IF(A3406="","",COUNTIF(Donasi!$B$2:$B$20000,A3406))</f>
        <v/>
      </c>
      <c r="D3406">
        <f>IF(A3406="","",SUMIF(Donasi!$B$2:$B$20000,A3406,Donasi!$C$2:$C$20000))</f>
        <v/>
      </c>
      <c r="E3406">
        <f>IF(A3406="","",6-CEILING(PERCENTRANK.INC($B$3:$B$6000,B3406,4)*5+0.000001,1))</f>
        <v/>
      </c>
      <c r="F3406">
        <f>IF(A3406="","",MAX(1,CEILING(PERCENTRANK.INC($C$3:$C$6000,C3406,4)*5+0.000001,1)))</f>
        <v/>
      </c>
      <c r="G3406">
        <f>IF(A3406="","",MAX(1,CEILING(PERCENTRANK.INC($D$3:$D$6000,D3406,4)*5+0.000001,1)))</f>
        <v/>
      </c>
      <c r="H3406">
        <f>IF(A3406="","",E3406&amp;F3406&amp;G3406)</f>
        <v/>
      </c>
      <c r="I3406">
        <f>IF(A3406="","",IF(AND(E3406&gt;=4,F3406&gt;=4,G3406&gt;=4),"Juara",IF(AND(F3406&gt;=4,E3406&gt;=3),"Setia",IF(AND(E3406=5,F3406&lt;=2,G3406&gt;=3),"Berpotensi",IF(AND(E3406&lt;=3,E3406&gt;=2,F3406&gt;=3),"Rawan",IF(AND(E3406&lt;=2,F3406&lt;=2),"Tidur","Umum"))))))</f>
        <v/>
      </c>
    </row>
    <row r="3407">
      <c r="B3407">
        <f>IF(A3407="","",$B$1-MAXIFS(Donasi!$A$2:$A$20000,Donasi!$B$2:$B$20000,A3407))</f>
        <v/>
      </c>
      <c r="C3407">
        <f>IF(A3407="","",COUNTIF(Donasi!$B$2:$B$20000,A3407))</f>
        <v/>
      </c>
      <c r="D3407">
        <f>IF(A3407="","",SUMIF(Donasi!$B$2:$B$20000,A3407,Donasi!$C$2:$C$20000))</f>
        <v/>
      </c>
      <c r="E3407">
        <f>IF(A3407="","",6-CEILING(PERCENTRANK.INC($B$3:$B$6000,B3407,4)*5+0.000001,1))</f>
        <v/>
      </c>
      <c r="F3407">
        <f>IF(A3407="","",MAX(1,CEILING(PERCENTRANK.INC($C$3:$C$6000,C3407,4)*5+0.000001,1)))</f>
        <v/>
      </c>
      <c r="G3407">
        <f>IF(A3407="","",MAX(1,CEILING(PERCENTRANK.INC($D$3:$D$6000,D3407,4)*5+0.000001,1)))</f>
        <v/>
      </c>
      <c r="H3407">
        <f>IF(A3407="","",E3407&amp;F3407&amp;G3407)</f>
        <v/>
      </c>
      <c r="I3407">
        <f>IF(A3407="","",IF(AND(E3407&gt;=4,F3407&gt;=4,G3407&gt;=4),"Juara",IF(AND(F3407&gt;=4,E3407&gt;=3),"Setia",IF(AND(E3407=5,F3407&lt;=2,G3407&gt;=3),"Berpotensi",IF(AND(E3407&lt;=3,E3407&gt;=2,F3407&gt;=3),"Rawan",IF(AND(E3407&lt;=2,F3407&lt;=2),"Tidur","Umum"))))))</f>
        <v/>
      </c>
    </row>
    <row r="3408">
      <c r="B3408">
        <f>IF(A3408="","",$B$1-MAXIFS(Donasi!$A$2:$A$20000,Donasi!$B$2:$B$20000,A3408))</f>
        <v/>
      </c>
      <c r="C3408">
        <f>IF(A3408="","",COUNTIF(Donasi!$B$2:$B$20000,A3408))</f>
        <v/>
      </c>
      <c r="D3408">
        <f>IF(A3408="","",SUMIF(Donasi!$B$2:$B$20000,A3408,Donasi!$C$2:$C$20000))</f>
        <v/>
      </c>
      <c r="E3408">
        <f>IF(A3408="","",6-CEILING(PERCENTRANK.INC($B$3:$B$6000,B3408,4)*5+0.000001,1))</f>
        <v/>
      </c>
      <c r="F3408">
        <f>IF(A3408="","",MAX(1,CEILING(PERCENTRANK.INC($C$3:$C$6000,C3408,4)*5+0.000001,1)))</f>
        <v/>
      </c>
      <c r="G3408">
        <f>IF(A3408="","",MAX(1,CEILING(PERCENTRANK.INC($D$3:$D$6000,D3408,4)*5+0.000001,1)))</f>
        <v/>
      </c>
      <c r="H3408">
        <f>IF(A3408="","",E3408&amp;F3408&amp;G3408)</f>
        <v/>
      </c>
      <c r="I3408">
        <f>IF(A3408="","",IF(AND(E3408&gt;=4,F3408&gt;=4,G3408&gt;=4),"Juara",IF(AND(F3408&gt;=4,E3408&gt;=3),"Setia",IF(AND(E3408=5,F3408&lt;=2,G3408&gt;=3),"Berpotensi",IF(AND(E3408&lt;=3,E3408&gt;=2,F3408&gt;=3),"Rawan",IF(AND(E3408&lt;=2,F3408&lt;=2),"Tidur","Umum"))))))</f>
        <v/>
      </c>
    </row>
    <row r="3409">
      <c r="B3409">
        <f>IF(A3409="","",$B$1-MAXIFS(Donasi!$A$2:$A$20000,Donasi!$B$2:$B$20000,A3409))</f>
        <v/>
      </c>
      <c r="C3409">
        <f>IF(A3409="","",COUNTIF(Donasi!$B$2:$B$20000,A3409))</f>
        <v/>
      </c>
      <c r="D3409">
        <f>IF(A3409="","",SUMIF(Donasi!$B$2:$B$20000,A3409,Donasi!$C$2:$C$20000))</f>
        <v/>
      </c>
      <c r="E3409">
        <f>IF(A3409="","",6-CEILING(PERCENTRANK.INC($B$3:$B$6000,B3409,4)*5+0.000001,1))</f>
        <v/>
      </c>
      <c r="F3409">
        <f>IF(A3409="","",MAX(1,CEILING(PERCENTRANK.INC($C$3:$C$6000,C3409,4)*5+0.000001,1)))</f>
        <v/>
      </c>
      <c r="G3409">
        <f>IF(A3409="","",MAX(1,CEILING(PERCENTRANK.INC($D$3:$D$6000,D3409,4)*5+0.000001,1)))</f>
        <v/>
      </c>
      <c r="H3409">
        <f>IF(A3409="","",E3409&amp;F3409&amp;G3409)</f>
        <v/>
      </c>
      <c r="I3409">
        <f>IF(A3409="","",IF(AND(E3409&gt;=4,F3409&gt;=4,G3409&gt;=4),"Juara",IF(AND(F3409&gt;=4,E3409&gt;=3),"Setia",IF(AND(E3409=5,F3409&lt;=2,G3409&gt;=3),"Berpotensi",IF(AND(E3409&lt;=3,E3409&gt;=2,F3409&gt;=3),"Rawan",IF(AND(E3409&lt;=2,F3409&lt;=2),"Tidur","Umum"))))))</f>
        <v/>
      </c>
    </row>
    <row r="3410">
      <c r="B3410">
        <f>IF(A3410="","",$B$1-MAXIFS(Donasi!$A$2:$A$20000,Donasi!$B$2:$B$20000,A3410))</f>
        <v/>
      </c>
      <c r="C3410">
        <f>IF(A3410="","",COUNTIF(Donasi!$B$2:$B$20000,A3410))</f>
        <v/>
      </c>
      <c r="D3410">
        <f>IF(A3410="","",SUMIF(Donasi!$B$2:$B$20000,A3410,Donasi!$C$2:$C$20000))</f>
        <v/>
      </c>
      <c r="E3410">
        <f>IF(A3410="","",6-CEILING(PERCENTRANK.INC($B$3:$B$6000,B3410,4)*5+0.000001,1))</f>
        <v/>
      </c>
      <c r="F3410">
        <f>IF(A3410="","",MAX(1,CEILING(PERCENTRANK.INC($C$3:$C$6000,C3410,4)*5+0.000001,1)))</f>
        <v/>
      </c>
      <c r="G3410">
        <f>IF(A3410="","",MAX(1,CEILING(PERCENTRANK.INC($D$3:$D$6000,D3410,4)*5+0.000001,1)))</f>
        <v/>
      </c>
      <c r="H3410">
        <f>IF(A3410="","",E3410&amp;F3410&amp;G3410)</f>
        <v/>
      </c>
      <c r="I3410">
        <f>IF(A3410="","",IF(AND(E3410&gt;=4,F3410&gt;=4,G3410&gt;=4),"Juara",IF(AND(F3410&gt;=4,E3410&gt;=3),"Setia",IF(AND(E3410=5,F3410&lt;=2,G3410&gt;=3),"Berpotensi",IF(AND(E3410&lt;=3,E3410&gt;=2,F3410&gt;=3),"Rawan",IF(AND(E3410&lt;=2,F3410&lt;=2),"Tidur","Umum"))))))</f>
        <v/>
      </c>
    </row>
    <row r="3411">
      <c r="B3411">
        <f>IF(A3411="","",$B$1-MAXIFS(Donasi!$A$2:$A$20000,Donasi!$B$2:$B$20000,A3411))</f>
        <v/>
      </c>
      <c r="C3411">
        <f>IF(A3411="","",COUNTIF(Donasi!$B$2:$B$20000,A3411))</f>
        <v/>
      </c>
      <c r="D3411">
        <f>IF(A3411="","",SUMIF(Donasi!$B$2:$B$20000,A3411,Donasi!$C$2:$C$20000))</f>
        <v/>
      </c>
      <c r="E3411">
        <f>IF(A3411="","",6-CEILING(PERCENTRANK.INC($B$3:$B$6000,B3411,4)*5+0.000001,1))</f>
        <v/>
      </c>
      <c r="F3411">
        <f>IF(A3411="","",MAX(1,CEILING(PERCENTRANK.INC($C$3:$C$6000,C3411,4)*5+0.000001,1)))</f>
        <v/>
      </c>
      <c r="G3411">
        <f>IF(A3411="","",MAX(1,CEILING(PERCENTRANK.INC($D$3:$D$6000,D3411,4)*5+0.000001,1)))</f>
        <v/>
      </c>
      <c r="H3411">
        <f>IF(A3411="","",E3411&amp;F3411&amp;G3411)</f>
        <v/>
      </c>
      <c r="I3411">
        <f>IF(A3411="","",IF(AND(E3411&gt;=4,F3411&gt;=4,G3411&gt;=4),"Juara",IF(AND(F3411&gt;=4,E3411&gt;=3),"Setia",IF(AND(E3411=5,F3411&lt;=2,G3411&gt;=3),"Berpotensi",IF(AND(E3411&lt;=3,E3411&gt;=2,F3411&gt;=3),"Rawan",IF(AND(E3411&lt;=2,F3411&lt;=2),"Tidur","Umum"))))))</f>
        <v/>
      </c>
    </row>
    <row r="3412">
      <c r="B3412">
        <f>IF(A3412="","",$B$1-MAXIFS(Donasi!$A$2:$A$20000,Donasi!$B$2:$B$20000,A3412))</f>
        <v/>
      </c>
      <c r="C3412">
        <f>IF(A3412="","",COUNTIF(Donasi!$B$2:$B$20000,A3412))</f>
        <v/>
      </c>
      <c r="D3412">
        <f>IF(A3412="","",SUMIF(Donasi!$B$2:$B$20000,A3412,Donasi!$C$2:$C$20000))</f>
        <v/>
      </c>
      <c r="E3412">
        <f>IF(A3412="","",6-CEILING(PERCENTRANK.INC($B$3:$B$6000,B3412,4)*5+0.000001,1))</f>
        <v/>
      </c>
      <c r="F3412">
        <f>IF(A3412="","",MAX(1,CEILING(PERCENTRANK.INC($C$3:$C$6000,C3412,4)*5+0.000001,1)))</f>
        <v/>
      </c>
      <c r="G3412">
        <f>IF(A3412="","",MAX(1,CEILING(PERCENTRANK.INC($D$3:$D$6000,D3412,4)*5+0.000001,1)))</f>
        <v/>
      </c>
      <c r="H3412">
        <f>IF(A3412="","",E3412&amp;F3412&amp;G3412)</f>
        <v/>
      </c>
      <c r="I3412">
        <f>IF(A3412="","",IF(AND(E3412&gt;=4,F3412&gt;=4,G3412&gt;=4),"Juara",IF(AND(F3412&gt;=4,E3412&gt;=3),"Setia",IF(AND(E3412=5,F3412&lt;=2,G3412&gt;=3),"Berpotensi",IF(AND(E3412&lt;=3,E3412&gt;=2,F3412&gt;=3),"Rawan",IF(AND(E3412&lt;=2,F3412&lt;=2),"Tidur","Umum"))))))</f>
        <v/>
      </c>
    </row>
    <row r="3413">
      <c r="B3413">
        <f>IF(A3413="","",$B$1-MAXIFS(Donasi!$A$2:$A$20000,Donasi!$B$2:$B$20000,A3413))</f>
        <v/>
      </c>
      <c r="C3413">
        <f>IF(A3413="","",COUNTIF(Donasi!$B$2:$B$20000,A3413))</f>
        <v/>
      </c>
      <c r="D3413">
        <f>IF(A3413="","",SUMIF(Donasi!$B$2:$B$20000,A3413,Donasi!$C$2:$C$20000))</f>
        <v/>
      </c>
      <c r="E3413">
        <f>IF(A3413="","",6-CEILING(PERCENTRANK.INC($B$3:$B$6000,B3413,4)*5+0.000001,1))</f>
        <v/>
      </c>
      <c r="F3413">
        <f>IF(A3413="","",MAX(1,CEILING(PERCENTRANK.INC($C$3:$C$6000,C3413,4)*5+0.000001,1)))</f>
        <v/>
      </c>
      <c r="G3413">
        <f>IF(A3413="","",MAX(1,CEILING(PERCENTRANK.INC($D$3:$D$6000,D3413,4)*5+0.000001,1)))</f>
        <v/>
      </c>
      <c r="H3413">
        <f>IF(A3413="","",E3413&amp;F3413&amp;G3413)</f>
        <v/>
      </c>
      <c r="I3413">
        <f>IF(A3413="","",IF(AND(E3413&gt;=4,F3413&gt;=4,G3413&gt;=4),"Juara",IF(AND(F3413&gt;=4,E3413&gt;=3),"Setia",IF(AND(E3413=5,F3413&lt;=2,G3413&gt;=3),"Berpotensi",IF(AND(E3413&lt;=3,E3413&gt;=2,F3413&gt;=3),"Rawan",IF(AND(E3413&lt;=2,F3413&lt;=2),"Tidur","Umum"))))))</f>
        <v/>
      </c>
    </row>
    <row r="3414">
      <c r="B3414">
        <f>IF(A3414="","",$B$1-MAXIFS(Donasi!$A$2:$A$20000,Donasi!$B$2:$B$20000,A3414))</f>
        <v/>
      </c>
      <c r="C3414">
        <f>IF(A3414="","",COUNTIF(Donasi!$B$2:$B$20000,A3414))</f>
        <v/>
      </c>
      <c r="D3414">
        <f>IF(A3414="","",SUMIF(Donasi!$B$2:$B$20000,A3414,Donasi!$C$2:$C$20000))</f>
        <v/>
      </c>
      <c r="E3414">
        <f>IF(A3414="","",6-CEILING(PERCENTRANK.INC($B$3:$B$6000,B3414,4)*5+0.000001,1))</f>
        <v/>
      </c>
      <c r="F3414">
        <f>IF(A3414="","",MAX(1,CEILING(PERCENTRANK.INC($C$3:$C$6000,C3414,4)*5+0.000001,1)))</f>
        <v/>
      </c>
      <c r="G3414">
        <f>IF(A3414="","",MAX(1,CEILING(PERCENTRANK.INC($D$3:$D$6000,D3414,4)*5+0.000001,1)))</f>
        <v/>
      </c>
      <c r="H3414">
        <f>IF(A3414="","",E3414&amp;F3414&amp;G3414)</f>
        <v/>
      </c>
      <c r="I3414">
        <f>IF(A3414="","",IF(AND(E3414&gt;=4,F3414&gt;=4,G3414&gt;=4),"Juara",IF(AND(F3414&gt;=4,E3414&gt;=3),"Setia",IF(AND(E3414=5,F3414&lt;=2,G3414&gt;=3),"Berpotensi",IF(AND(E3414&lt;=3,E3414&gt;=2,F3414&gt;=3),"Rawan",IF(AND(E3414&lt;=2,F3414&lt;=2),"Tidur","Umum"))))))</f>
        <v/>
      </c>
    </row>
    <row r="3415">
      <c r="B3415">
        <f>IF(A3415="","",$B$1-MAXIFS(Donasi!$A$2:$A$20000,Donasi!$B$2:$B$20000,A3415))</f>
        <v/>
      </c>
      <c r="C3415">
        <f>IF(A3415="","",COUNTIF(Donasi!$B$2:$B$20000,A3415))</f>
        <v/>
      </c>
      <c r="D3415">
        <f>IF(A3415="","",SUMIF(Donasi!$B$2:$B$20000,A3415,Donasi!$C$2:$C$20000))</f>
        <v/>
      </c>
      <c r="E3415">
        <f>IF(A3415="","",6-CEILING(PERCENTRANK.INC($B$3:$B$6000,B3415,4)*5+0.000001,1))</f>
        <v/>
      </c>
      <c r="F3415">
        <f>IF(A3415="","",MAX(1,CEILING(PERCENTRANK.INC($C$3:$C$6000,C3415,4)*5+0.000001,1)))</f>
        <v/>
      </c>
      <c r="G3415">
        <f>IF(A3415="","",MAX(1,CEILING(PERCENTRANK.INC($D$3:$D$6000,D3415,4)*5+0.000001,1)))</f>
        <v/>
      </c>
      <c r="H3415">
        <f>IF(A3415="","",E3415&amp;F3415&amp;G3415)</f>
        <v/>
      </c>
      <c r="I3415">
        <f>IF(A3415="","",IF(AND(E3415&gt;=4,F3415&gt;=4,G3415&gt;=4),"Juara",IF(AND(F3415&gt;=4,E3415&gt;=3),"Setia",IF(AND(E3415=5,F3415&lt;=2,G3415&gt;=3),"Berpotensi",IF(AND(E3415&lt;=3,E3415&gt;=2,F3415&gt;=3),"Rawan",IF(AND(E3415&lt;=2,F3415&lt;=2),"Tidur","Umum"))))))</f>
        <v/>
      </c>
    </row>
    <row r="3416">
      <c r="B3416">
        <f>IF(A3416="","",$B$1-MAXIFS(Donasi!$A$2:$A$20000,Donasi!$B$2:$B$20000,A3416))</f>
        <v/>
      </c>
      <c r="C3416">
        <f>IF(A3416="","",COUNTIF(Donasi!$B$2:$B$20000,A3416))</f>
        <v/>
      </c>
      <c r="D3416">
        <f>IF(A3416="","",SUMIF(Donasi!$B$2:$B$20000,A3416,Donasi!$C$2:$C$20000))</f>
        <v/>
      </c>
      <c r="E3416">
        <f>IF(A3416="","",6-CEILING(PERCENTRANK.INC($B$3:$B$6000,B3416,4)*5+0.000001,1))</f>
        <v/>
      </c>
      <c r="F3416">
        <f>IF(A3416="","",MAX(1,CEILING(PERCENTRANK.INC($C$3:$C$6000,C3416,4)*5+0.000001,1)))</f>
        <v/>
      </c>
      <c r="G3416">
        <f>IF(A3416="","",MAX(1,CEILING(PERCENTRANK.INC($D$3:$D$6000,D3416,4)*5+0.000001,1)))</f>
        <v/>
      </c>
      <c r="H3416">
        <f>IF(A3416="","",E3416&amp;F3416&amp;G3416)</f>
        <v/>
      </c>
      <c r="I3416">
        <f>IF(A3416="","",IF(AND(E3416&gt;=4,F3416&gt;=4,G3416&gt;=4),"Juara",IF(AND(F3416&gt;=4,E3416&gt;=3),"Setia",IF(AND(E3416=5,F3416&lt;=2,G3416&gt;=3),"Berpotensi",IF(AND(E3416&lt;=3,E3416&gt;=2,F3416&gt;=3),"Rawan",IF(AND(E3416&lt;=2,F3416&lt;=2),"Tidur","Umum"))))))</f>
        <v/>
      </c>
    </row>
    <row r="3417">
      <c r="B3417">
        <f>IF(A3417="","",$B$1-MAXIFS(Donasi!$A$2:$A$20000,Donasi!$B$2:$B$20000,A3417))</f>
        <v/>
      </c>
      <c r="C3417">
        <f>IF(A3417="","",COUNTIF(Donasi!$B$2:$B$20000,A3417))</f>
        <v/>
      </c>
      <c r="D3417">
        <f>IF(A3417="","",SUMIF(Donasi!$B$2:$B$20000,A3417,Donasi!$C$2:$C$20000))</f>
        <v/>
      </c>
      <c r="E3417">
        <f>IF(A3417="","",6-CEILING(PERCENTRANK.INC($B$3:$B$6000,B3417,4)*5+0.000001,1))</f>
        <v/>
      </c>
      <c r="F3417">
        <f>IF(A3417="","",MAX(1,CEILING(PERCENTRANK.INC($C$3:$C$6000,C3417,4)*5+0.000001,1)))</f>
        <v/>
      </c>
      <c r="G3417">
        <f>IF(A3417="","",MAX(1,CEILING(PERCENTRANK.INC($D$3:$D$6000,D3417,4)*5+0.000001,1)))</f>
        <v/>
      </c>
      <c r="H3417">
        <f>IF(A3417="","",E3417&amp;F3417&amp;G3417)</f>
        <v/>
      </c>
      <c r="I3417">
        <f>IF(A3417="","",IF(AND(E3417&gt;=4,F3417&gt;=4,G3417&gt;=4),"Juara",IF(AND(F3417&gt;=4,E3417&gt;=3),"Setia",IF(AND(E3417=5,F3417&lt;=2,G3417&gt;=3),"Berpotensi",IF(AND(E3417&lt;=3,E3417&gt;=2,F3417&gt;=3),"Rawan",IF(AND(E3417&lt;=2,F3417&lt;=2),"Tidur","Umum"))))))</f>
        <v/>
      </c>
    </row>
    <row r="3418">
      <c r="B3418">
        <f>IF(A3418="","",$B$1-MAXIFS(Donasi!$A$2:$A$20000,Donasi!$B$2:$B$20000,A3418))</f>
        <v/>
      </c>
      <c r="C3418">
        <f>IF(A3418="","",COUNTIF(Donasi!$B$2:$B$20000,A3418))</f>
        <v/>
      </c>
      <c r="D3418">
        <f>IF(A3418="","",SUMIF(Donasi!$B$2:$B$20000,A3418,Donasi!$C$2:$C$20000))</f>
        <v/>
      </c>
      <c r="E3418">
        <f>IF(A3418="","",6-CEILING(PERCENTRANK.INC($B$3:$B$6000,B3418,4)*5+0.000001,1))</f>
        <v/>
      </c>
      <c r="F3418">
        <f>IF(A3418="","",MAX(1,CEILING(PERCENTRANK.INC($C$3:$C$6000,C3418,4)*5+0.000001,1)))</f>
        <v/>
      </c>
      <c r="G3418">
        <f>IF(A3418="","",MAX(1,CEILING(PERCENTRANK.INC($D$3:$D$6000,D3418,4)*5+0.000001,1)))</f>
        <v/>
      </c>
      <c r="H3418">
        <f>IF(A3418="","",E3418&amp;F3418&amp;G3418)</f>
        <v/>
      </c>
      <c r="I3418">
        <f>IF(A3418="","",IF(AND(E3418&gt;=4,F3418&gt;=4,G3418&gt;=4),"Juara",IF(AND(F3418&gt;=4,E3418&gt;=3),"Setia",IF(AND(E3418=5,F3418&lt;=2,G3418&gt;=3),"Berpotensi",IF(AND(E3418&lt;=3,E3418&gt;=2,F3418&gt;=3),"Rawan",IF(AND(E3418&lt;=2,F3418&lt;=2),"Tidur","Umum"))))))</f>
        <v/>
      </c>
    </row>
    <row r="3419">
      <c r="B3419">
        <f>IF(A3419="","",$B$1-MAXIFS(Donasi!$A$2:$A$20000,Donasi!$B$2:$B$20000,A3419))</f>
        <v/>
      </c>
      <c r="C3419">
        <f>IF(A3419="","",COUNTIF(Donasi!$B$2:$B$20000,A3419))</f>
        <v/>
      </c>
      <c r="D3419">
        <f>IF(A3419="","",SUMIF(Donasi!$B$2:$B$20000,A3419,Donasi!$C$2:$C$20000))</f>
        <v/>
      </c>
      <c r="E3419">
        <f>IF(A3419="","",6-CEILING(PERCENTRANK.INC($B$3:$B$6000,B3419,4)*5+0.000001,1))</f>
        <v/>
      </c>
      <c r="F3419">
        <f>IF(A3419="","",MAX(1,CEILING(PERCENTRANK.INC($C$3:$C$6000,C3419,4)*5+0.000001,1)))</f>
        <v/>
      </c>
      <c r="G3419">
        <f>IF(A3419="","",MAX(1,CEILING(PERCENTRANK.INC($D$3:$D$6000,D3419,4)*5+0.000001,1)))</f>
        <v/>
      </c>
      <c r="H3419">
        <f>IF(A3419="","",E3419&amp;F3419&amp;G3419)</f>
        <v/>
      </c>
      <c r="I3419">
        <f>IF(A3419="","",IF(AND(E3419&gt;=4,F3419&gt;=4,G3419&gt;=4),"Juara",IF(AND(F3419&gt;=4,E3419&gt;=3),"Setia",IF(AND(E3419=5,F3419&lt;=2,G3419&gt;=3),"Berpotensi",IF(AND(E3419&lt;=3,E3419&gt;=2,F3419&gt;=3),"Rawan",IF(AND(E3419&lt;=2,F3419&lt;=2),"Tidur","Umum"))))))</f>
        <v/>
      </c>
    </row>
    <row r="3420">
      <c r="B3420">
        <f>IF(A3420="","",$B$1-MAXIFS(Donasi!$A$2:$A$20000,Donasi!$B$2:$B$20000,A3420))</f>
        <v/>
      </c>
      <c r="C3420">
        <f>IF(A3420="","",COUNTIF(Donasi!$B$2:$B$20000,A3420))</f>
        <v/>
      </c>
      <c r="D3420">
        <f>IF(A3420="","",SUMIF(Donasi!$B$2:$B$20000,A3420,Donasi!$C$2:$C$20000))</f>
        <v/>
      </c>
      <c r="E3420">
        <f>IF(A3420="","",6-CEILING(PERCENTRANK.INC($B$3:$B$6000,B3420,4)*5+0.000001,1))</f>
        <v/>
      </c>
      <c r="F3420">
        <f>IF(A3420="","",MAX(1,CEILING(PERCENTRANK.INC($C$3:$C$6000,C3420,4)*5+0.000001,1)))</f>
        <v/>
      </c>
      <c r="G3420">
        <f>IF(A3420="","",MAX(1,CEILING(PERCENTRANK.INC($D$3:$D$6000,D3420,4)*5+0.000001,1)))</f>
        <v/>
      </c>
      <c r="H3420">
        <f>IF(A3420="","",E3420&amp;F3420&amp;G3420)</f>
        <v/>
      </c>
      <c r="I3420">
        <f>IF(A3420="","",IF(AND(E3420&gt;=4,F3420&gt;=4,G3420&gt;=4),"Juara",IF(AND(F3420&gt;=4,E3420&gt;=3),"Setia",IF(AND(E3420=5,F3420&lt;=2,G3420&gt;=3),"Berpotensi",IF(AND(E3420&lt;=3,E3420&gt;=2,F3420&gt;=3),"Rawan",IF(AND(E3420&lt;=2,F3420&lt;=2),"Tidur","Umum"))))))</f>
        <v/>
      </c>
    </row>
    <row r="3421">
      <c r="B3421">
        <f>IF(A3421="","",$B$1-MAXIFS(Donasi!$A$2:$A$20000,Donasi!$B$2:$B$20000,A3421))</f>
        <v/>
      </c>
      <c r="C3421">
        <f>IF(A3421="","",COUNTIF(Donasi!$B$2:$B$20000,A3421))</f>
        <v/>
      </c>
      <c r="D3421">
        <f>IF(A3421="","",SUMIF(Donasi!$B$2:$B$20000,A3421,Donasi!$C$2:$C$20000))</f>
        <v/>
      </c>
      <c r="E3421">
        <f>IF(A3421="","",6-CEILING(PERCENTRANK.INC($B$3:$B$6000,B3421,4)*5+0.000001,1))</f>
        <v/>
      </c>
      <c r="F3421">
        <f>IF(A3421="","",MAX(1,CEILING(PERCENTRANK.INC($C$3:$C$6000,C3421,4)*5+0.000001,1)))</f>
        <v/>
      </c>
      <c r="G3421">
        <f>IF(A3421="","",MAX(1,CEILING(PERCENTRANK.INC($D$3:$D$6000,D3421,4)*5+0.000001,1)))</f>
        <v/>
      </c>
      <c r="H3421">
        <f>IF(A3421="","",E3421&amp;F3421&amp;G3421)</f>
        <v/>
      </c>
      <c r="I3421">
        <f>IF(A3421="","",IF(AND(E3421&gt;=4,F3421&gt;=4,G3421&gt;=4),"Juara",IF(AND(F3421&gt;=4,E3421&gt;=3),"Setia",IF(AND(E3421=5,F3421&lt;=2,G3421&gt;=3),"Berpotensi",IF(AND(E3421&lt;=3,E3421&gt;=2,F3421&gt;=3),"Rawan",IF(AND(E3421&lt;=2,F3421&lt;=2),"Tidur","Umum"))))))</f>
        <v/>
      </c>
    </row>
    <row r="3422">
      <c r="B3422">
        <f>IF(A3422="","",$B$1-MAXIFS(Donasi!$A$2:$A$20000,Donasi!$B$2:$B$20000,A3422))</f>
        <v/>
      </c>
      <c r="C3422">
        <f>IF(A3422="","",COUNTIF(Donasi!$B$2:$B$20000,A3422))</f>
        <v/>
      </c>
      <c r="D3422">
        <f>IF(A3422="","",SUMIF(Donasi!$B$2:$B$20000,A3422,Donasi!$C$2:$C$20000))</f>
        <v/>
      </c>
      <c r="E3422">
        <f>IF(A3422="","",6-CEILING(PERCENTRANK.INC($B$3:$B$6000,B3422,4)*5+0.000001,1))</f>
        <v/>
      </c>
      <c r="F3422">
        <f>IF(A3422="","",MAX(1,CEILING(PERCENTRANK.INC($C$3:$C$6000,C3422,4)*5+0.000001,1)))</f>
        <v/>
      </c>
      <c r="G3422">
        <f>IF(A3422="","",MAX(1,CEILING(PERCENTRANK.INC($D$3:$D$6000,D3422,4)*5+0.000001,1)))</f>
        <v/>
      </c>
      <c r="H3422">
        <f>IF(A3422="","",E3422&amp;F3422&amp;G3422)</f>
        <v/>
      </c>
      <c r="I3422">
        <f>IF(A3422="","",IF(AND(E3422&gt;=4,F3422&gt;=4,G3422&gt;=4),"Juara",IF(AND(F3422&gt;=4,E3422&gt;=3),"Setia",IF(AND(E3422=5,F3422&lt;=2,G3422&gt;=3),"Berpotensi",IF(AND(E3422&lt;=3,E3422&gt;=2,F3422&gt;=3),"Rawan",IF(AND(E3422&lt;=2,F3422&lt;=2),"Tidur","Umum"))))))</f>
        <v/>
      </c>
    </row>
    <row r="3423">
      <c r="B3423">
        <f>IF(A3423="","",$B$1-MAXIFS(Donasi!$A$2:$A$20000,Donasi!$B$2:$B$20000,A3423))</f>
        <v/>
      </c>
      <c r="C3423">
        <f>IF(A3423="","",COUNTIF(Donasi!$B$2:$B$20000,A3423))</f>
        <v/>
      </c>
      <c r="D3423">
        <f>IF(A3423="","",SUMIF(Donasi!$B$2:$B$20000,A3423,Donasi!$C$2:$C$20000))</f>
        <v/>
      </c>
      <c r="E3423">
        <f>IF(A3423="","",6-CEILING(PERCENTRANK.INC($B$3:$B$6000,B3423,4)*5+0.000001,1))</f>
        <v/>
      </c>
      <c r="F3423">
        <f>IF(A3423="","",MAX(1,CEILING(PERCENTRANK.INC($C$3:$C$6000,C3423,4)*5+0.000001,1)))</f>
        <v/>
      </c>
      <c r="G3423">
        <f>IF(A3423="","",MAX(1,CEILING(PERCENTRANK.INC($D$3:$D$6000,D3423,4)*5+0.000001,1)))</f>
        <v/>
      </c>
      <c r="H3423">
        <f>IF(A3423="","",E3423&amp;F3423&amp;G3423)</f>
        <v/>
      </c>
      <c r="I3423">
        <f>IF(A3423="","",IF(AND(E3423&gt;=4,F3423&gt;=4,G3423&gt;=4),"Juara",IF(AND(F3423&gt;=4,E3423&gt;=3),"Setia",IF(AND(E3423=5,F3423&lt;=2,G3423&gt;=3),"Berpotensi",IF(AND(E3423&lt;=3,E3423&gt;=2,F3423&gt;=3),"Rawan",IF(AND(E3423&lt;=2,F3423&lt;=2),"Tidur","Umum"))))))</f>
        <v/>
      </c>
    </row>
    <row r="3424">
      <c r="B3424">
        <f>IF(A3424="","",$B$1-MAXIFS(Donasi!$A$2:$A$20000,Donasi!$B$2:$B$20000,A3424))</f>
        <v/>
      </c>
      <c r="C3424">
        <f>IF(A3424="","",COUNTIF(Donasi!$B$2:$B$20000,A3424))</f>
        <v/>
      </c>
      <c r="D3424">
        <f>IF(A3424="","",SUMIF(Donasi!$B$2:$B$20000,A3424,Donasi!$C$2:$C$20000))</f>
        <v/>
      </c>
      <c r="E3424">
        <f>IF(A3424="","",6-CEILING(PERCENTRANK.INC($B$3:$B$6000,B3424,4)*5+0.000001,1))</f>
        <v/>
      </c>
      <c r="F3424">
        <f>IF(A3424="","",MAX(1,CEILING(PERCENTRANK.INC($C$3:$C$6000,C3424,4)*5+0.000001,1)))</f>
        <v/>
      </c>
      <c r="G3424">
        <f>IF(A3424="","",MAX(1,CEILING(PERCENTRANK.INC($D$3:$D$6000,D3424,4)*5+0.000001,1)))</f>
        <v/>
      </c>
      <c r="H3424">
        <f>IF(A3424="","",E3424&amp;F3424&amp;G3424)</f>
        <v/>
      </c>
      <c r="I3424">
        <f>IF(A3424="","",IF(AND(E3424&gt;=4,F3424&gt;=4,G3424&gt;=4),"Juara",IF(AND(F3424&gt;=4,E3424&gt;=3),"Setia",IF(AND(E3424=5,F3424&lt;=2,G3424&gt;=3),"Berpotensi",IF(AND(E3424&lt;=3,E3424&gt;=2,F3424&gt;=3),"Rawan",IF(AND(E3424&lt;=2,F3424&lt;=2),"Tidur","Umum"))))))</f>
        <v/>
      </c>
    </row>
    <row r="3425">
      <c r="B3425">
        <f>IF(A3425="","",$B$1-MAXIFS(Donasi!$A$2:$A$20000,Donasi!$B$2:$B$20000,A3425))</f>
        <v/>
      </c>
      <c r="C3425">
        <f>IF(A3425="","",COUNTIF(Donasi!$B$2:$B$20000,A3425))</f>
        <v/>
      </c>
      <c r="D3425">
        <f>IF(A3425="","",SUMIF(Donasi!$B$2:$B$20000,A3425,Donasi!$C$2:$C$20000))</f>
        <v/>
      </c>
      <c r="E3425">
        <f>IF(A3425="","",6-CEILING(PERCENTRANK.INC($B$3:$B$6000,B3425,4)*5+0.000001,1))</f>
        <v/>
      </c>
      <c r="F3425">
        <f>IF(A3425="","",MAX(1,CEILING(PERCENTRANK.INC($C$3:$C$6000,C3425,4)*5+0.000001,1)))</f>
        <v/>
      </c>
      <c r="G3425">
        <f>IF(A3425="","",MAX(1,CEILING(PERCENTRANK.INC($D$3:$D$6000,D3425,4)*5+0.000001,1)))</f>
        <v/>
      </c>
      <c r="H3425">
        <f>IF(A3425="","",E3425&amp;F3425&amp;G3425)</f>
        <v/>
      </c>
      <c r="I3425">
        <f>IF(A3425="","",IF(AND(E3425&gt;=4,F3425&gt;=4,G3425&gt;=4),"Juara",IF(AND(F3425&gt;=4,E3425&gt;=3),"Setia",IF(AND(E3425=5,F3425&lt;=2,G3425&gt;=3),"Berpotensi",IF(AND(E3425&lt;=3,E3425&gt;=2,F3425&gt;=3),"Rawan",IF(AND(E3425&lt;=2,F3425&lt;=2),"Tidur","Umum"))))))</f>
        <v/>
      </c>
    </row>
    <row r="3426">
      <c r="B3426">
        <f>IF(A3426="","",$B$1-MAXIFS(Donasi!$A$2:$A$20000,Donasi!$B$2:$B$20000,A3426))</f>
        <v/>
      </c>
      <c r="C3426">
        <f>IF(A3426="","",COUNTIF(Donasi!$B$2:$B$20000,A3426))</f>
        <v/>
      </c>
      <c r="D3426">
        <f>IF(A3426="","",SUMIF(Donasi!$B$2:$B$20000,A3426,Donasi!$C$2:$C$20000))</f>
        <v/>
      </c>
      <c r="E3426">
        <f>IF(A3426="","",6-CEILING(PERCENTRANK.INC($B$3:$B$6000,B3426,4)*5+0.000001,1))</f>
        <v/>
      </c>
      <c r="F3426">
        <f>IF(A3426="","",MAX(1,CEILING(PERCENTRANK.INC($C$3:$C$6000,C3426,4)*5+0.000001,1)))</f>
        <v/>
      </c>
      <c r="G3426">
        <f>IF(A3426="","",MAX(1,CEILING(PERCENTRANK.INC($D$3:$D$6000,D3426,4)*5+0.000001,1)))</f>
        <v/>
      </c>
      <c r="H3426">
        <f>IF(A3426="","",E3426&amp;F3426&amp;G3426)</f>
        <v/>
      </c>
      <c r="I3426">
        <f>IF(A3426="","",IF(AND(E3426&gt;=4,F3426&gt;=4,G3426&gt;=4),"Juara",IF(AND(F3426&gt;=4,E3426&gt;=3),"Setia",IF(AND(E3426=5,F3426&lt;=2,G3426&gt;=3),"Berpotensi",IF(AND(E3426&lt;=3,E3426&gt;=2,F3426&gt;=3),"Rawan",IF(AND(E3426&lt;=2,F3426&lt;=2),"Tidur","Umum"))))))</f>
        <v/>
      </c>
    </row>
    <row r="3427">
      <c r="B3427">
        <f>IF(A3427="","",$B$1-MAXIFS(Donasi!$A$2:$A$20000,Donasi!$B$2:$B$20000,A3427))</f>
        <v/>
      </c>
      <c r="C3427">
        <f>IF(A3427="","",COUNTIF(Donasi!$B$2:$B$20000,A3427))</f>
        <v/>
      </c>
      <c r="D3427">
        <f>IF(A3427="","",SUMIF(Donasi!$B$2:$B$20000,A3427,Donasi!$C$2:$C$20000))</f>
        <v/>
      </c>
      <c r="E3427">
        <f>IF(A3427="","",6-CEILING(PERCENTRANK.INC($B$3:$B$6000,B3427,4)*5+0.000001,1))</f>
        <v/>
      </c>
      <c r="F3427">
        <f>IF(A3427="","",MAX(1,CEILING(PERCENTRANK.INC($C$3:$C$6000,C3427,4)*5+0.000001,1)))</f>
        <v/>
      </c>
      <c r="G3427">
        <f>IF(A3427="","",MAX(1,CEILING(PERCENTRANK.INC($D$3:$D$6000,D3427,4)*5+0.000001,1)))</f>
        <v/>
      </c>
      <c r="H3427">
        <f>IF(A3427="","",E3427&amp;F3427&amp;G3427)</f>
        <v/>
      </c>
      <c r="I3427">
        <f>IF(A3427="","",IF(AND(E3427&gt;=4,F3427&gt;=4,G3427&gt;=4),"Juara",IF(AND(F3427&gt;=4,E3427&gt;=3),"Setia",IF(AND(E3427=5,F3427&lt;=2,G3427&gt;=3),"Berpotensi",IF(AND(E3427&lt;=3,E3427&gt;=2,F3427&gt;=3),"Rawan",IF(AND(E3427&lt;=2,F3427&lt;=2),"Tidur","Umum"))))))</f>
        <v/>
      </c>
    </row>
    <row r="3428">
      <c r="B3428">
        <f>IF(A3428="","",$B$1-MAXIFS(Donasi!$A$2:$A$20000,Donasi!$B$2:$B$20000,A3428))</f>
        <v/>
      </c>
      <c r="C3428">
        <f>IF(A3428="","",COUNTIF(Donasi!$B$2:$B$20000,A3428))</f>
        <v/>
      </c>
      <c r="D3428">
        <f>IF(A3428="","",SUMIF(Donasi!$B$2:$B$20000,A3428,Donasi!$C$2:$C$20000))</f>
        <v/>
      </c>
      <c r="E3428">
        <f>IF(A3428="","",6-CEILING(PERCENTRANK.INC($B$3:$B$6000,B3428,4)*5+0.000001,1))</f>
        <v/>
      </c>
      <c r="F3428">
        <f>IF(A3428="","",MAX(1,CEILING(PERCENTRANK.INC($C$3:$C$6000,C3428,4)*5+0.000001,1)))</f>
        <v/>
      </c>
      <c r="G3428">
        <f>IF(A3428="","",MAX(1,CEILING(PERCENTRANK.INC($D$3:$D$6000,D3428,4)*5+0.000001,1)))</f>
        <v/>
      </c>
      <c r="H3428">
        <f>IF(A3428="","",E3428&amp;F3428&amp;G3428)</f>
        <v/>
      </c>
      <c r="I3428">
        <f>IF(A3428="","",IF(AND(E3428&gt;=4,F3428&gt;=4,G3428&gt;=4),"Juara",IF(AND(F3428&gt;=4,E3428&gt;=3),"Setia",IF(AND(E3428=5,F3428&lt;=2,G3428&gt;=3),"Berpotensi",IF(AND(E3428&lt;=3,E3428&gt;=2,F3428&gt;=3),"Rawan",IF(AND(E3428&lt;=2,F3428&lt;=2),"Tidur","Umum"))))))</f>
        <v/>
      </c>
    </row>
    <row r="3429">
      <c r="B3429">
        <f>IF(A3429="","",$B$1-MAXIFS(Donasi!$A$2:$A$20000,Donasi!$B$2:$B$20000,A3429))</f>
        <v/>
      </c>
      <c r="C3429">
        <f>IF(A3429="","",COUNTIF(Donasi!$B$2:$B$20000,A3429))</f>
        <v/>
      </c>
      <c r="D3429">
        <f>IF(A3429="","",SUMIF(Donasi!$B$2:$B$20000,A3429,Donasi!$C$2:$C$20000))</f>
        <v/>
      </c>
      <c r="E3429">
        <f>IF(A3429="","",6-CEILING(PERCENTRANK.INC($B$3:$B$6000,B3429,4)*5+0.000001,1))</f>
        <v/>
      </c>
      <c r="F3429">
        <f>IF(A3429="","",MAX(1,CEILING(PERCENTRANK.INC($C$3:$C$6000,C3429,4)*5+0.000001,1)))</f>
        <v/>
      </c>
      <c r="G3429">
        <f>IF(A3429="","",MAX(1,CEILING(PERCENTRANK.INC($D$3:$D$6000,D3429,4)*5+0.000001,1)))</f>
        <v/>
      </c>
      <c r="H3429">
        <f>IF(A3429="","",E3429&amp;F3429&amp;G3429)</f>
        <v/>
      </c>
      <c r="I3429">
        <f>IF(A3429="","",IF(AND(E3429&gt;=4,F3429&gt;=4,G3429&gt;=4),"Juara",IF(AND(F3429&gt;=4,E3429&gt;=3),"Setia",IF(AND(E3429=5,F3429&lt;=2,G3429&gt;=3),"Berpotensi",IF(AND(E3429&lt;=3,E3429&gt;=2,F3429&gt;=3),"Rawan",IF(AND(E3429&lt;=2,F3429&lt;=2),"Tidur","Umum"))))))</f>
        <v/>
      </c>
    </row>
    <row r="3430">
      <c r="B3430">
        <f>IF(A3430="","",$B$1-MAXIFS(Donasi!$A$2:$A$20000,Donasi!$B$2:$B$20000,A3430))</f>
        <v/>
      </c>
      <c r="C3430">
        <f>IF(A3430="","",COUNTIF(Donasi!$B$2:$B$20000,A3430))</f>
        <v/>
      </c>
      <c r="D3430">
        <f>IF(A3430="","",SUMIF(Donasi!$B$2:$B$20000,A3430,Donasi!$C$2:$C$20000))</f>
        <v/>
      </c>
      <c r="E3430">
        <f>IF(A3430="","",6-CEILING(PERCENTRANK.INC($B$3:$B$6000,B3430,4)*5+0.000001,1))</f>
        <v/>
      </c>
      <c r="F3430">
        <f>IF(A3430="","",MAX(1,CEILING(PERCENTRANK.INC($C$3:$C$6000,C3430,4)*5+0.000001,1)))</f>
        <v/>
      </c>
      <c r="G3430">
        <f>IF(A3430="","",MAX(1,CEILING(PERCENTRANK.INC($D$3:$D$6000,D3430,4)*5+0.000001,1)))</f>
        <v/>
      </c>
      <c r="H3430">
        <f>IF(A3430="","",E3430&amp;F3430&amp;G3430)</f>
        <v/>
      </c>
      <c r="I3430">
        <f>IF(A3430="","",IF(AND(E3430&gt;=4,F3430&gt;=4,G3430&gt;=4),"Juara",IF(AND(F3430&gt;=4,E3430&gt;=3),"Setia",IF(AND(E3430=5,F3430&lt;=2,G3430&gt;=3),"Berpotensi",IF(AND(E3430&lt;=3,E3430&gt;=2,F3430&gt;=3),"Rawan",IF(AND(E3430&lt;=2,F3430&lt;=2),"Tidur","Umum"))))))</f>
        <v/>
      </c>
    </row>
    <row r="3431">
      <c r="B3431">
        <f>IF(A3431="","",$B$1-MAXIFS(Donasi!$A$2:$A$20000,Donasi!$B$2:$B$20000,A3431))</f>
        <v/>
      </c>
      <c r="C3431">
        <f>IF(A3431="","",COUNTIF(Donasi!$B$2:$B$20000,A3431))</f>
        <v/>
      </c>
      <c r="D3431">
        <f>IF(A3431="","",SUMIF(Donasi!$B$2:$B$20000,A3431,Donasi!$C$2:$C$20000))</f>
        <v/>
      </c>
      <c r="E3431">
        <f>IF(A3431="","",6-CEILING(PERCENTRANK.INC($B$3:$B$6000,B3431,4)*5+0.000001,1))</f>
        <v/>
      </c>
      <c r="F3431">
        <f>IF(A3431="","",MAX(1,CEILING(PERCENTRANK.INC($C$3:$C$6000,C3431,4)*5+0.000001,1)))</f>
        <v/>
      </c>
      <c r="G3431">
        <f>IF(A3431="","",MAX(1,CEILING(PERCENTRANK.INC($D$3:$D$6000,D3431,4)*5+0.000001,1)))</f>
        <v/>
      </c>
      <c r="H3431">
        <f>IF(A3431="","",E3431&amp;F3431&amp;G3431)</f>
        <v/>
      </c>
      <c r="I3431">
        <f>IF(A3431="","",IF(AND(E3431&gt;=4,F3431&gt;=4,G3431&gt;=4),"Juara",IF(AND(F3431&gt;=4,E3431&gt;=3),"Setia",IF(AND(E3431=5,F3431&lt;=2,G3431&gt;=3),"Berpotensi",IF(AND(E3431&lt;=3,E3431&gt;=2,F3431&gt;=3),"Rawan",IF(AND(E3431&lt;=2,F3431&lt;=2),"Tidur","Umum"))))))</f>
        <v/>
      </c>
    </row>
    <row r="3432">
      <c r="B3432">
        <f>IF(A3432="","",$B$1-MAXIFS(Donasi!$A$2:$A$20000,Donasi!$B$2:$B$20000,A3432))</f>
        <v/>
      </c>
      <c r="C3432">
        <f>IF(A3432="","",COUNTIF(Donasi!$B$2:$B$20000,A3432))</f>
        <v/>
      </c>
      <c r="D3432">
        <f>IF(A3432="","",SUMIF(Donasi!$B$2:$B$20000,A3432,Donasi!$C$2:$C$20000))</f>
        <v/>
      </c>
      <c r="E3432">
        <f>IF(A3432="","",6-CEILING(PERCENTRANK.INC($B$3:$B$6000,B3432,4)*5+0.000001,1))</f>
        <v/>
      </c>
      <c r="F3432">
        <f>IF(A3432="","",MAX(1,CEILING(PERCENTRANK.INC($C$3:$C$6000,C3432,4)*5+0.000001,1)))</f>
        <v/>
      </c>
      <c r="G3432">
        <f>IF(A3432="","",MAX(1,CEILING(PERCENTRANK.INC($D$3:$D$6000,D3432,4)*5+0.000001,1)))</f>
        <v/>
      </c>
      <c r="H3432">
        <f>IF(A3432="","",E3432&amp;F3432&amp;G3432)</f>
        <v/>
      </c>
      <c r="I3432">
        <f>IF(A3432="","",IF(AND(E3432&gt;=4,F3432&gt;=4,G3432&gt;=4),"Juara",IF(AND(F3432&gt;=4,E3432&gt;=3),"Setia",IF(AND(E3432=5,F3432&lt;=2,G3432&gt;=3),"Berpotensi",IF(AND(E3432&lt;=3,E3432&gt;=2,F3432&gt;=3),"Rawan",IF(AND(E3432&lt;=2,F3432&lt;=2),"Tidur","Umum"))))))</f>
        <v/>
      </c>
    </row>
    <row r="3433">
      <c r="B3433">
        <f>IF(A3433="","",$B$1-MAXIFS(Donasi!$A$2:$A$20000,Donasi!$B$2:$B$20000,A3433))</f>
        <v/>
      </c>
      <c r="C3433">
        <f>IF(A3433="","",COUNTIF(Donasi!$B$2:$B$20000,A3433))</f>
        <v/>
      </c>
      <c r="D3433">
        <f>IF(A3433="","",SUMIF(Donasi!$B$2:$B$20000,A3433,Donasi!$C$2:$C$20000))</f>
        <v/>
      </c>
      <c r="E3433">
        <f>IF(A3433="","",6-CEILING(PERCENTRANK.INC($B$3:$B$6000,B3433,4)*5+0.000001,1))</f>
        <v/>
      </c>
      <c r="F3433">
        <f>IF(A3433="","",MAX(1,CEILING(PERCENTRANK.INC($C$3:$C$6000,C3433,4)*5+0.000001,1)))</f>
        <v/>
      </c>
      <c r="G3433">
        <f>IF(A3433="","",MAX(1,CEILING(PERCENTRANK.INC($D$3:$D$6000,D3433,4)*5+0.000001,1)))</f>
        <v/>
      </c>
      <c r="H3433">
        <f>IF(A3433="","",E3433&amp;F3433&amp;G3433)</f>
        <v/>
      </c>
      <c r="I3433">
        <f>IF(A3433="","",IF(AND(E3433&gt;=4,F3433&gt;=4,G3433&gt;=4),"Juara",IF(AND(F3433&gt;=4,E3433&gt;=3),"Setia",IF(AND(E3433=5,F3433&lt;=2,G3433&gt;=3),"Berpotensi",IF(AND(E3433&lt;=3,E3433&gt;=2,F3433&gt;=3),"Rawan",IF(AND(E3433&lt;=2,F3433&lt;=2),"Tidur","Umum"))))))</f>
        <v/>
      </c>
    </row>
    <row r="3434">
      <c r="B3434">
        <f>IF(A3434="","",$B$1-MAXIFS(Donasi!$A$2:$A$20000,Donasi!$B$2:$B$20000,A3434))</f>
        <v/>
      </c>
      <c r="C3434">
        <f>IF(A3434="","",COUNTIF(Donasi!$B$2:$B$20000,A3434))</f>
        <v/>
      </c>
      <c r="D3434">
        <f>IF(A3434="","",SUMIF(Donasi!$B$2:$B$20000,A3434,Donasi!$C$2:$C$20000))</f>
        <v/>
      </c>
      <c r="E3434">
        <f>IF(A3434="","",6-CEILING(PERCENTRANK.INC($B$3:$B$6000,B3434,4)*5+0.000001,1))</f>
        <v/>
      </c>
      <c r="F3434">
        <f>IF(A3434="","",MAX(1,CEILING(PERCENTRANK.INC($C$3:$C$6000,C3434,4)*5+0.000001,1)))</f>
        <v/>
      </c>
      <c r="G3434">
        <f>IF(A3434="","",MAX(1,CEILING(PERCENTRANK.INC($D$3:$D$6000,D3434,4)*5+0.000001,1)))</f>
        <v/>
      </c>
      <c r="H3434">
        <f>IF(A3434="","",E3434&amp;F3434&amp;G3434)</f>
        <v/>
      </c>
      <c r="I3434">
        <f>IF(A3434="","",IF(AND(E3434&gt;=4,F3434&gt;=4,G3434&gt;=4),"Juara",IF(AND(F3434&gt;=4,E3434&gt;=3),"Setia",IF(AND(E3434=5,F3434&lt;=2,G3434&gt;=3),"Berpotensi",IF(AND(E3434&lt;=3,E3434&gt;=2,F3434&gt;=3),"Rawan",IF(AND(E3434&lt;=2,F3434&lt;=2),"Tidur","Umum"))))))</f>
        <v/>
      </c>
    </row>
    <row r="3435">
      <c r="B3435">
        <f>IF(A3435="","",$B$1-MAXIFS(Donasi!$A$2:$A$20000,Donasi!$B$2:$B$20000,A3435))</f>
        <v/>
      </c>
      <c r="C3435">
        <f>IF(A3435="","",COUNTIF(Donasi!$B$2:$B$20000,A3435))</f>
        <v/>
      </c>
      <c r="D3435">
        <f>IF(A3435="","",SUMIF(Donasi!$B$2:$B$20000,A3435,Donasi!$C$2:$C$20000))</f>
        <v/>
      </c>
      <c r="E3435">
        <f>IF(A3435="","",6-CEILING(PERCENTRANK.INC($B$3:$B$6000,B3435,4)*5+0.000001,1))</f>
        <v/>
      </c>
      <c r="F3435">
        <f>IF(A3435="","",MAX(1,CEILING(PERCENTRANK.INC($C$3:$C$6000,C3435,4)*5+0.000001,1)))</f>
        <v/>
      </c>
      <c r="G3435">
        <f>IF(A3435="","",MAX(1,CEILING(PERCENTRANK.INC($D$3:$D$6000,D3435,4)*5+0.000001,1)))</f>
        <v/>
      </c>
      <c r="H3435">
        <f>IF(A3435="","",E3435&amp;F3435&amp;G3435)</f>
        <v/>
      </c>
      <c r="I3435">
        <f>IF(A3435="","",IF(AND(E3435&gt;=4,F3435&gt;=4,G3435&gt;=4),"Juara",IF(AND(F3435&gt;=4,E3435&gt;=3),"Setia",IF(AND(E3435=5,F3435&lt;=2,G3435&gt;=3),"Berpotensi",IF(AND(E3435&lt;=3,E3435&gt;=2,F3435&gt;=3),"Rawan",IF(AND(E3435&lt;=2,F3435&lt;=2),"Tidur","Umum"))))))</f>
        <v/>
      </c>
    </row>
    <row r="3436">
      <c r="B3436">
        <f>IF(A3436="","",$B$1-MAXIFS(Donasi!$A$2:$A$20000,Donasi!$B$2:$B$20000,A3436))</f>
        <v/>
      </c>
      <c r="C3436">
        <f>IF(A3436="","",COUNTIF(Donasi!$B$2:$B$20000,A3436))</f>
        <v/>
      </c>
      <c r="D3436">
        <f>IF(A3436="","",SUMIF(Donasi!$B$2:$B$20000,A3436,Donasi!$C$2:$C$20000))</f>
        <v/>
      </c>
      <c r="E3436">
        <f>IF(A3436="","",6-CEILING(PERCENTRANK.INC($B$3:$B$6000,B3436,4)*5+0.000001,1))</f>
        <v/>
      </c>
      <c r="F3436">
        <f>IF(A3436="","",MAX(1,CEILING(PERCENTRANK.INC($C$3:$C$6000,C3436,4)*5+0.000001,1)))</f>
        <v/>
      </c>
      <c r="G3436">
        <f>IF(A3436="","",MAX(1,CEILING(PERCENTRANK.INC($D$3:$D$6000,D3436,4)*5+0.000001,1)))</f>
        <v/>
      </c>
      <c r="H3436">
        <f>IF(A3436="","",E3436&amp;F3436&amp;G3436)</f>
        <v/>
      </c>
      <c r="I3436">
        <f>IF(A3436="","",IF(AND(E3436&gt;=4,F3436&gt;=4,G3436&gt;=4),"Juara",IF(AND(F3436&gt;=4,E3436&gt;=3),"Setia",IF(AND(E3436=5,F3436&lt;=2,G3436&gt;=3),"Berpotensi",IF(AND(E3436&lt;=3,E3436&gt;=2,F3436&gt;=3),"Rawan",IF(AND(E3436&lt;=2,F3436&lt;=2),"Tidur","Umum"))))))</f>
        <v/>
      </c>
    </row>
    <row r="3437">
      <c r="B3437">
        <f>IF(A3437="","",$B$1-MAXIFS(Donasi!$A$2:$A$20000,Donasi!$B$2:$B$20000,A3437))</f>
        <v/>
      </c>
      <c r="C3437">
        <f>IF(A3437="","",COUNTIF(Donasi!$B$2:$B$20000,A3437))</f>
        <v/>
      </c>
      <c r="D3437">
        <f>IF(A3437="","",SUMIF(Donasi!$B$2:$B$20000,A3437,Donasi!$C$2:$C$20000))</f>
        <v/>
      </c>
      <c r="E3437">
        <f>IF(A3437="","",6-CEILING(PERCENTRANK.INC($B$3:$B$6000,B3437,4)*5+0.000001,1))</f>
        <v/>
      </c>
      <c r="F3437">
        <f>IF(A3437="","",MAX(1,CEILING(PERCENTRANK.INC($C$3:$C$6000,C3437,4)*5+0.000001,1)))</f>
        <v/>
      </c>
      <c r="G3437">
        <f>IF(A3437="","",MAX(1,CEILING(PERCENTRANK.INC($D$3:$D$6000,D3437,4)*5+0.000001,1)))</f>
        <v/>
      </c>
      <c r="H3437">
        <f>IF(A3437="","",E3437&amp;F3437&amp;G3437)</f>
        <v/>
      </c>
      <c r="I3437">
        <f>IF(A3437="","",IF(AND(E3437&gt;=4,F3437&gt;=4,G3437&gt;=4),"Juara",IF(AND(F3437&gt;=4,E3437&gt;=3),"Setia",IF(AND(E3437=5,F3437&lt;=2,G3437&gt;=3),"Berpotensi",IF(AND(E3437&lt;=3,E3437&gt;=2,F3437&gt;=3),"Rawan",IF(AND(E3437&lt;=2,F3437&lt;=2),"Tidur","Umum"))))))</f>
        <v/>
      </c>
    </row>
    <row r="3438">
      <c r="B3438">
        <f>IF(A3438="","",$B$1-MAXIFS(Donasi!$A$2:$A$20000,Donasi!$B$2:$B$20000,A3438))</f>
        <v/>
      </c>
      <c r="C3438">
        <f>IF(A3438="","",COUNTIF(Donasi!$B$2:$B$20000,A3438))</f>
        <v/>
      </c>
      <c r="D3438">
        <f>IF(A3438="","",SUMIF(Donasi!$B$2:$B$20000,A3438,Donasi!$C$2:$C$20000))</f>
        <v/>
      </c>
      <c r="E3438">
        <f>IF(A3438="","",6-CEILING(PERCENTRANK.INC($B$3:$B$6000,B3438,4)*5+0.000001,1))</f>
        <v/>
      </c>
      <c r="F3438">
        <f>IF(A3438="","",MAX(1,CEILING(PERCENTRANK.INC($C$3:$C$6000,C3438,4)*5+0.000001,1)))</f>
        <v/>
      </c>
      <c r="G3438">
        <f>IF(A3438="","",MAX(1,CEILING(PERCENTRANK.INC($D$3:$D$6000,D3438,4)*5+0.000001,1)))</f>
        <v/>
      </c>
      <c r="H3438">
        <f>IF(A3438="","",E3438&amp;F3438&amp;G3438)</f>
        <v/>
      </c>
      <c r="I3438">
        <f>IF(A3438="","",IF(AND(E3438&gt;=4,F3438&gt;=4,G3438&gt;=4),"Juara",IF(AND(F3438&gt;=4,E3438&gt;=3),"Setia",IF(AND(E3438=5,F3438&lt;=2,G3438&gt;=3),"Berpotensi",IF(AND(E3438&lt;=3,E3438&gt;=2,F3438&gt;=3),"Rawan",IF(AND(E3438&lt;=2,F3438&lt;=2),"Tidur","Umum"))))))</f>
        <v/>
      </c>
    </row>
    <row r="3439">
      <c r="B3439">
        <f>IF(A3439="","",$B$1-MAXIFS(Donasi!$A$2:$A$20000,Donasi!$B$2:$B$20000,A3439))</f>
        <v/>
      </c>
      <c r="C3439">
        <f>IF(A3439="","",COUNTIF(Donasi!$B$2:$B$20000,A3439))</f>
        <v/>
      </c>
      <c r="D3439">
        <f>IF(A3439="","",SUMIF(Donasi!$B$2:$B$20000,A3439,Donasi!$C$2:$C$20000))</f>
        <v/>
      </c>
      <c r="E3439">
        <f>IF(A3439="","",6-CEILING(PERCENTRANK.INC($B$3:$B$6000,B3439,4)*5+0.000001,1))</f>
        <v/>
      </c>
      <c r="F3439">
        <f>IF(A3439="","",MAX(1,CEILING(PERCENTRANK.INC($C$3:$C$6000,C3439,4)*5+0.000001,1)))</f>
        <v/>
      </c>
      <c r="G3439">
        <f>IF(A3439="","",MAX(1,CEILING(PERCENTRANK.INC($D$3:$D$6000,D3439,4)*5+0.000001,1)))</f>
        <v/>
      </c>
      <c r="H3439">
        <f>IF(A3439="","",E3439&amp;F3439&amp;G3439)</f>
        <v/>
      </c>
      <c r="I3439">
        <f>IF(A3439="","",IF(AND(E3439&gt;=4,F3439&gt;=4,G3439&gt;=4),"Juara",IF(AND(F3439&gt;=4,E3439&gt;=3),"Setia",IF(AND(E3439=5,F3439&lt;=2,G3439&gt;=3),"Berpotensi",IF(AND(E3439&lt;=3,E3439&gt;=2,F3439&gt;=3),"Rawan",IF(AND(E3439&lt;=2,F3439&lt;=2),"Tidur","Umum"))))))</f>
        <v/>
      </c>
    </row>
    <row r="3440">
      <c r="B3440">
        <f>IF(A3440="","",$B$1-MAXIFS(Donasi!$A$2:$A$20000,Donasi!$B$2:$B$20000,A3440))</f>
        <v/>
      </c>
      <c r="C3440">
        <f>IF(A3440="","",COUNTIF(Donasi!$B$2:$B$20000,A3440))</f>
        <v/>
      </c>
      <c r="D3440">
        <f>IF(A3440="","",SUMIF(Donasi!$B$2:$B$20000,A3440,Donasi!$C$2:$C$20000))</f>
        <v/>
      </c>
      <c r="E3440">
        <f>IF(A3440="","",6-CEILING(PERCENTRANK.INC($B$3:$B$6000,B3440,4)*5+0.000001,1))</f>
        <v/>
      </c>
      <c r="F3440">
        <f>IF(A3440="","",MAX(1,CEILING(PERCENTRANK.INC($C$3:$C$6000,C3440,4)*5+0.000001,1)))</f>
        <v/>
      </c>
      <c r="G3440">
        <f>IF(A3440="","",MAX(1,CEILING(PERCENTRANK.INC($D$3:$D$6000,D3440,4)*5+0.000001,1)))</f>
        <v/>
      </c>
      <c r="H3440">
        <f>IF(A3440="","",E3440&amp;F3440&amp;G3440)</f>
        <v/>
      </c>
      <c r="I3440">
        <f>IF(A3440="","",IF(AND(E3440&gt;=4,F3440&gt;=4,G3440&gt;=4),"Juara",IF(AND(F3440&gt;=4,E3440&gt;=3),"Setia",IF(AND(E3440=5,F3440&lt;=2,G3440&gt;=3),"Berpotensi",IF(AND(E3440&lt;=3,E3440&gt;=2,F3440&gt;=3),"Rawan",IF(AND(E3440&lt;=2,F3440&lt;=2),"Tidur","Umum"))))))</f>
        <v/>
      </c>
    </row>
    <row r="3441">
      <c r="B3441">
        <f>IF(A3441="","",$B$1-MAXIFS(Donasi!$A$2:$A$20000,Donasi!$B$2:$B$20000,A3441))</f>
        <v/>
      </c>
      <c r="C3441">
        <f>IF(A3441="","",COUNTIF(Donasi!$B$2:$B$20000,A3441))</f>
        <v/>
      </c>
      <c r="D3441">
        <f>IF(A3441="","",SUMIF(Donasi!$B$2:$B$20000,A3441,Donasi!$C$2:$C$20000))</f>
        <v/>
      </c>
      <c r="E3441">
        <f>IF(A3441="","",6-CEILING(PERCENTRANK.INC($B$3:$B$6000,B3441,4)*5+0.000001,1))</f>
        <v/>
      </c>
      <c r="F3441">
        <f>IF(A3441="","",MAX(1,CEILING(PERCENTRANK.INC($C$3:$C$6000,C3441,4)*5+0.000001,1)))</f>
        <v/>
      </c>
      <c r="G3441">
        <f>IF(A3441="","",MAX(1,CEILING(PERCENTRANK.INC($D$3:$D$6000,D3441,4)*5+0.000001,1)))</f>
        <v/>
      </c>
      <c r="H3441">
        <f>IF(A3441="","",E3441&amp;F3441&amp;G3441)</f>
        <v/>
      </c>
      <c r="I3441">
        <f>IF(A3441="","",IF(AND(E3441&gt;=4,F3441&gt;=4,G3441&gt;=4),"Juara",IF(AND(F3441&gt;=4,E3441&gt;=3),"Setia",IF(AND(E3441=5,F3441&lt;=2,G3441&gt;=3),"Berpotensi",IF(AND(E3441&lt;=3,E3441&gt;=2,F3441&gt;=3),"Rawan",IF(AND(E3441&lt;=2,F3441&lt;=2),"Tidur","Umum"))))))</f>
        <v/>
      </c>
    </row>
    <row r="3442">
      <c r="B3442">
        <f>IF(A3442="","",$B$1-MAXIFS(Donasi!$A$2:$A$20000,Donasi!$B$2:$B$20000,A3442))</f>
        <v/>
      </c>
      <c r="C3442">
        <f>IF(A3442="","",COUNTIF(Donasi!$B$2:$B$20000,A3442))</f>
        <v/>
      </c>
      <c r="D3442">
        <f>IF(A3442="","",SUMIF(Donasi!$B$2:$B$20000,A3442,Donasi!$C$2:$C$20000))</f>
        <v/>
      </c>
      <c r="E3442">
        <f>IF(A3442="","",6-CEILING(PERCENTRANK.INC($B$3:$B$6000,B3442,4)*5+0.000001,1))</f>
        <v/>
      </c>
      <c r="F3442">
        <f>IF(A3442="","",MAX(1,CEILING(PERCENTRANK.INC($C$3:$C$6000,C3442,4)*5+0.000001,1)))</f>
        <v/>
      </c>
      <c r="G3442">
        <f>IF(A3442="","",MAX(1,CEILING(PERCENTRANK.INC($D$3:$D$6000,D3442,4)*5+0.000001,1)))</f>
        <v/>
      </c>
      <c r="H3442">
        <f>IF(A3442="","",E3442&amp;F3442&amp;G3442)</f>
        <v/>
      </c>
      <c r="I3442">
        <f>IF(A3442="","",IF(AND(E3442&gt;=4,F3442&gt;=4,G3442&gt;=4),"Juara",IF(AND(F3442&gt;=4,E3442&gt;=3),"Setia",IF(AND(E3442=5,F3442&lt;=2,G3442&gt;=3),"Berpotensi",IF(AND(E3442&lt;=3,E3442&gt;=2,F3442&gt;=3),"Rawan",IF(AND(E3442&lt;=2,F3442&lt;=2),"Tidur","Umum"))))))</f>
        <v/>
      </c>
    </row>
    <row r="3443">
      <c r="B3443">
        <f>IF(A3443="","",$B$1-MAXIFS(Donasi!$A$2:$A$20000,Donasi!$B$2:$B$20000,A3443))</f>
        <v/>
      </c>
      <c r="C3443">
        <f>IF(A3443="","",COUNTIF(Donasi!$B$2:$B$20000,A3443))</f>
        <v/>
      </c>
      <c r="D3443">
        <f>IF(A3443="","",SUMIF(Donasi!$B$2:$B$20000,A3443,Donasi!$C$2:$C$20000))</f>
        <v/>
      </c>
      <c r="E3443">
        <f>IF(A3443="","",6-CEILING(PERCENTRANK.INC($B$3:$B$6000,B3443,4)*5+0.000001,1))</f>
        <v/>
      </c>
      <c r="F3443">
        <f>IF(A3443="","",MAX(1,CEILING(PERCENTRANK.INC($C$3:$C$6000,C3443,4)*5+0.000001,1)))</f>
        <v/>
      </c>
      <c r="G3443">
        <f>IF(A3443="","",MAX(1,CEILING(PERCENTRANK.INC($D$3:$D$6000,D3443,4)*5+0.000001,1)))</f>
        <v/>
      </c>
      <c r="H3443">
        <f>IF(A3443="","",E3443&amp;F3443&amp;G3443)</f>
        <v/>
      </c>
      <c r="I3443">
        <f>IF(A3443="","",IF(AND(E3443&gt;=4,F3443&gt;=4,G3443&gt;=4),"Juara",IF(AND(F3443&gt;=4,E3443&gt;=3),"Setia",IF(AND(E3443=5,F3443&lt;=2,G3443&gt;=3),"Berpotensi",IF(AND(E3443&lt;=3,E3443&gt;=2,F3443&gt;=3),"Rawan",IF(AND(E3443&lt;=2,F3443&lt;=2),"Tidur","Umum"))))))</f>
        <v/>
      </c>
    </row>
    <row r="3444">
      <c r="B3444">
        <f>IF(A3444="","",$B$1-MAXIFS(Donasi!$A$2:$A$20000,Donasi!$B$2:$B$20000,A3444))</f>
        <v/>
      </c>
      <c r="C3444">
        <f>IF(A3444="","",COUNTIF(Donasi!$B$2:$B$20000,A3444))</f>
        <v/>
      </c>
      <c r="D3444">
        <f>IF(A3444="","",SUMIF(Donasi!$B$2:$B$20000,A3444,Donasi!$C$2:$C$20000))</f>
        <v/>
      </c>
      <c r="E3444">
        <f>IF(A3444="","",6-CEILING(PERCENTRANK.INC($B$3:$B$6000,B3444,4)*5+0.000001,1))</f>
        <v/>
      </c>
      <c r="F3444">
        <f>IF(A3444="","",MAX(1,CEILING(PERCENTRANK.INC($C$3:$C$6000,C3444,4)*5+0.000001,1)))</f>
        <v/>
      </c>
      <c r="G3444">
        <f>IF(A3444="","",MAX(1,CEILING(PERCENTRANK.INC($D$3:$D$6000,D3444,4)*5+0.000001,1)))</f>
        <v/>
      </c>
      <c r="H3444">
        <f>IF(A3444="","",E3444&amp;F3444&amp;G3444)</f>
        <v/>
      </c>
      <c r="I3444">
        <f>IF(A3444="","",IF(AND(E3444&gt;=4,F3444&gt;=4,G3444&gt;=4),"Juara",IF(AND(F3444&gt;=4,E3444&gt;=3),"Setia",IF(AND(E3444=5,F3444&lt;=2,G3444&gt;=3),"Berpotensi",IF(AND(E3444&lt;=3,E3444&gt;=2,F3444&gt;=3),"Rawan",IF(AND(E3444&lt;=2,F3444&lt;=2),"Tidur","Umum"))))))</f>
        <v/>
      </c>
    </row>
    <row r="3445">
      <c r="B3445">
        <f>IF(A3445="","",$B$1-MAXIFS(Donasi!$A$2:$A$20000,Donasi!$B$2:$B$20000,A3445))</f>
        <v/>
      </c>
      <c r="C3445">
        <f>IF(A3445="","",COUNTIF(Donasi!$B$2:$B$20000,A3445))</f>
        <v/>
      </c>
      <c r="D3445">
        <f>IF(A3445="","",SUMIF(Donasi!$B$2:$B$20000,A3445,Donasi!$C$2:$C$20000))</f>
        <v/>
      </c>
      <c r="E3445">
        <f>IF(A3445="","",6-CEILING(PERCENTRANK.INC($B$3:$B$6000,B3445,4)*5+0.000001,1))</f>
        <v/>
      </c>
      <c r="F3445">
        <f>IF(A3445="","",MAX(1,CEILING(PERCENTRANK.INC($C$3:$C$6000,C3445,4)*5+0.000001,1)))</f>
        <v/>
      </c>
      <c r="G3445">
        <f>IF(A3445="","",MAX(1,CEILING(PERCENTRANK.INC($D$3:$D$6000,D3445,4)*5+0.000001,1)))</f>
        <v/>
      </c>
      <c r="H3445">
        <f>IF(A3445="","",E3445&amp;F3445&amp;G3445)</f>
        <v/>
      </c>
      <c r="I3445">
        <f>IF(A3445="","",IF(AND(E3445&gt;=4,F3445&gt;=4,G3445&gt;=4),"Juara",IF(AND(F3445&gt;=4,E3445&gt;=3),"Setia",IF(AND(E3445=5,F3445&lt;=2,G3445&gt;=3),"Berpotensi",IF(AND(E3445&lt;=3,E3445&gt;=2,F3445&gt;=3),"Rawan",IF(AND(E3445&lt;=2,F3445&lt;=2),"Tidur","Umum"))))))</f>
        <v/>
      </c>
    </row>
    <row r="3446">
      <c r="B3446">
        <f>IF(A3446="","",$B$1-MAXIFS(Donasi!$A$2:$A$20000,Donasi!$B$2:$B$20000,A3446))</f>
        <v/>
      </c>
      <c r="C3446">
        <f>IF(A3446="","",COUNTIF(Donasi!$B$2:$B$20000,A3446))</f>
        <v/>
      </c>
      <c r="D3446">
        <f>IF(A3446="","",SUMIF(Donasi!$B$2:$B$20000,A3446,Donasi!$C$2:$C$20000))</f>
        <v/>
      </c>
      <c r="E3446">
        <f>IF(A3446="","",6-CEILING(PERCENTRANK.INC($B$3:$B$6000,B3446,4)*5+0.000001,1))</f>
        <v/>
      </c>
      <c r="F3446">
        <f>IF(A3446="","",MAX(1,CEILING(PERCENTRANK.INC($C$3:$C$6000,C3446,4)*5+0.000001,1)))</f>
        <v/>
      </c>
      <c r="G3446">
        <f>IF(A3446="","",MAX(1,CEILING(PERCENTRANK.INC($D$3:$D$6000,D3446,4)*5+0.000001,1)))</f>
        <v/>
      </c>
      <c r="H3446">
        <f>IF(A3446="","",E3446&amp;F3446&amp;G3446)</f>
        <v/>
      </c>
      <c r="I3446">
        <f>IF(A3446="","",IF(AND(E3446&gt;=4,F3446&gt;=4,G3446&gt;=4),"Juara",IF(AND(F3446&gt;=4,E3446&gt;=3),"Setia",IF(AND(E3446=5,F3446&lt;=2,G3446&gt;=3),"Berpotensi",IF(AND(E3446&lt;=3,E3446&gt;=2,F3446&gt;=3),"Rawan",IF(AND(E3446&lt;=2,F3446&lt;=2),"Tidur","Umum"))))))</f>
        <v/>
      </c>
    </row>
    <row r="3447">
      <c r="B3447">
        <f>IF(A3447="","",$B$1-MAXIFS(Donasi!$A$2:$A$20000,Donasi!$B$2:$B$20000,A3447))</f>
        <v/>
      </c>
      <c r="C3447">
        <f>IF(A3447="","",COUNTIF(Donasi!$B$2:$B$20000,A3447))</f>
        <v/>
      </c>
      <c r="D3447">
        <f>IF(A3447="","",SUMIF(Donasi!$B$2:$B$20000,A3447,Donasi!$C$2:$C$20000))</f>
        <v/>
      </c>
      <c r="E3447">
        <f>IF(A3447="","",6-CEILING(PERCENTRANK.INC($B$3:$B$6000,B3447,4)*5+0.000001,1))</f>
        <v/>
      </c>
      <c r="F3447">
        <f>IF(A3447="","",MAX(1,CEILING(PERCENTRANK.INC($C$3:$C$6000,C3447,4)*5+0.000001,1)))</f>
        <v/>
      </c>
      <c r="G3447">
        <f>IF(A3447="","",MAX(1,CEILING(PERCENTRANK.INC($D$3:$D$6000,D3447,4)*5+0.000001,1)))</f>
        <v/>
      </c>
      <c r="H3447">
        <f>IF(A3447="","",E3447&amp;F3447&amp;G3447)</f>
        <v/>
      </c>
      <c r="I3447">
        <f>IF(A3447="","",IF(AND(E3447&gt;=4,F3447&gt;=4,G3447&gt;=4),"Juara",IF(AND(F3447&gt;=4,E3447&gt;=3),"Setia",IF(AND(E3447=5,F3447&lt;=2,G3447&gt;=3),"Berpotensi",IF(AND(E3447&lt;=3,E3447&gt;=2,F3447&gt;=3),"Rawan",IF(AND(E3447&lt;=2,F3447&lt;=2),"Tidur","Umum"))))))</f>
        <v/>
      </c>
    </row>
    <row r="3448">
      <c r="B3448">
        <f>IF(A3448="","",$B$1-MAXIFS(Donasi!$A$2:$A$20000,Donasi!$B$2:$B$20000,A3448))</f>
        <v/>
      </c>
      <c r="C3448">
        <f>IF(A3448="","",COUNTIF(Donasi!$B$2:$B$20000,A3448))</f>
        <v/>
      </c>
      <c r="D3448">
        <f>IF(A3448="","",SUMIF(Donasi!$B$2:$B$20000,A3448,Donasi!$C$2:$C$20000))</f>
        <v/>
      </c>
      <c r="E3448">
        <f>IF(A3448="","",6-CEILING(PERCENTRANK.INC($B$3:$B$6000,B3448,4)*5+0.000001,1))</f>
        <v/>
      </c>
      <c r="F3448">
        <f>IF(A3448="","",MAX(1,CEILING(PERCENTRANK.INC($C$3:$C$6000,C3448,4)*5+0.000001,1)))</f>
        <v/>
      </c>
      <c r="G3448">
        <f>IF(A3448="","",MAX(1,CEILING(PERCENTRANK.INC($D$3:$D$6000,D3448,4)*5+0.000001,1)))</f>
        <v/>
      </c>
      <c r="H3448">
        <f>IF(A3448="","",E3448&amp;F3448&amp;G3448)</f>
        <v/>
      </c>
      <c r="I3448">
        <f>IF(A3448="","",IF(AND(E3448&gt;=4,F3448&gt;=4,G3448&gt;=4),"Juara",IF(AND(F3448&gt;=4,E3448&gt;=3),"Setia",IF(AND(E3448=5,F3448&lt;=2,G3448&gt;=3),"Berpotensi",IF(AND(E3448&lt;=3,E3448&gt;=2,F3448&gt;=3),"Rawan",IF(AND(E3448&lt;=2,F3448&lt;=2),"Tidur","Umum"))))))</f>
        <v/>
      </c>
    </row>
    <row r="3449">
      <c r="B3449">
        <f>IF(A3449="","",$B$1-MAXIFS(Donasi!$A$2:$A$20000,Donasi!$B$2:$B$20000,A3449))</f>
        <v/>
      </c>
      <c r="C3449">
        <f>IF(A3449="","",COUNTIF(Donasi!$B$2:$B$20000,A3449))</f>
        <v/>
      </c>
      <c r="D3449">
        <f>IF(A3449="","",SUMIF(Donasi!$B$2:$B$20000,A3449,Donasi!$C$2:$C$20000))</f>
        <v/>
      </c>
      <c r="E3449">
        <f>IF(A3449="","",6-CEILING(PERCENTRANK.INC($B$3:$B$6000,B3449,4)*5+0.000001,1))</f>
        <v/>
      </c>
      <c r="F3449">
        <f>IF(A3449="","",MAX(1,CEILING(PERCENTRANK.INC($C$3:$C$6000,C3449,4)*5+0.000001,1)))</f>
        <v/>
      </c>
      <c r="G3449">
        <f>IF(A3449="","",MAX(1,CEILING(PERCENTRANK.INC($D$3:$D$6000,D3449,4)*5+0.000001,1)))</f>
        <v/>
      </c>
      <c r="H3449">
        <f>IF(A3449="","",E3449&amp;F3449&amp;G3449)</f>
        <v/>
      </c>
      <c r="I3449">
        <f>IF(A3449="","",IF(AND(E3449&gt;=4,F3449&gt;=4,G3449&gt;=4),"Juara",IF(AND(F3449&gt;=4,E3449&gt;=3),"Setia",IF(AND(E3449=5,F3449&lt;=2,G3449&gt;=3),"Berpotensi",IF(AND(E3449&lt;=3,E3449&gt;=2,F3449&gt;=3),"Rawan",IF(AND(E3449&lt;=2,F3449&lt;=2),"Tidur","Umum"))))))</f>
        <v/>
      </c>
    </row>
    <row r="3450">
      <c r="B3450">
        <f>IF(A3450="","",$B$1-MAXIFS(Donasi!$A$2:$A$20000,Donasi!$B$2:$B$20000,A3450))</f>
        <v/>
      </c>
      <c r="C3450">
        <f>IF(A3450="","",COUNTIF(Donasi!$B$2:$B$20000,A3450))</f>
        <v/>
      </c>
      <c r="D3450">
        <f>IF(A3450="","",SUMIF(Donasi!$B$2:$B$20000,A3450,Donasi!$C$2:$C$20000))</f>
        <v/>
      </c>
      <c r="E3450">
        <f>IF(A3450="","",6-CEILING(PERCENTRANK.INC($B$3:$B$6000,B3450,4)*5+0.000001,1))</f>
        <v/>
      </c>
      <c r="F3450">
        <f>IF(A3450="","",MAX(1,CEILING(PERCENTRANK.INC($C$3:$C$6000,C3450,4)*5+0.000001,1)))</f>
        <v/>
      </c>
      <c r="G3450">
        <f>IF(A3450="","",MAX(1,CEILING(PERCENTRANK.INC($D$3:$D$6000,D3450,4)*5+0.000001,1)))</f>
        <v/>
      </c>
      <c r="H3450">
        <f>IF(A3450="","",E3450&amp;F3450&amp;G3450)</f>
        <v/>
      </c>
      <c r="I3450">
        <f>IF(A3450="","",IF(AND(E3450&gt;=4,F3450&gt;=4,G3450&gt;=4),"Juara",IF(AND(F3450&gt;=4,E3450&gt;=3),"Setia",IF(AND(E3450=5,F3450&lt;=2,G3450&gt;=3),"Berpotensi",IF(AND(E3450&lt;=3,E3450&gt;=2,F3450&gt;=3),"Rawan",IF(AND(E3450&lt;=2,F3450&lt;=2),"Tidur","Umum"))))))</f>
        <v/>
      </c>
    </row>
    <row r="3451">
      <c r="B3451">
        <f>IF(A3451="","",$B$1-MAXIFS(Donasi!$A$2:$A$20000,Donasi!$B$2:$B$20000,A3451))</f>
        <v/>
      </c>
      <c r="C3451">
        <f>IF(A3451="","",COUNTIF(Donasi!$B$2:$B$20000,A3451))</f>
        <v/>
      </c>
      <c r="D3451">
        <f>IF(A3451="","",SUMIF(Donasi!$B$2:$B$20000,A3451,Donasi!$C$2:$C$20000))</f>
        <v/>
      </c>
      <c r="E3451">
        <f>IF(A3451="","",6-CEILING(PERCENTRANK.INC($B$3:$B$6000,B3451,4)*5+0.000001,1))</f>
        <v/>
      </c>
      <c r="F3451">
        <f>IF(A3451="","",MAX(1,CEILING(PERCENTRANK.INC($C$3:$C$6000,C3451,4)*5+0.000001,1)))</f>
        <v/>
      </c>
      <c r="G3451">
        <f>IF(A3451="","",MAX(1,CEILING(PERCENTRANK.INC($D$3:$D$6000,D3451,4)*5+0.000001,1)))</f>
        <v/>
      </c>
      <c r="H3451">
        <f>IF(A3451="","",E3451&amp;F3451&amp;G3451)</f>
        <v/>
      </c>
      <c r="I3451">
        <f>IF(A3451="","",IF(AND(E3451&gt;=4,F3451&gt;=4,G3451&gt;=4),"Juara",IF(AND(F3451&gt;=4,E3451&gt;=3),"Setia",IF(AND(E3451=5,F3451&lt;=2,G3451&gt;=3),"Berpotensi",IF(AND(E3451&lt;=3,E3451&gt;=2,F3451&gt;=3),"Rawan",IF(AND(E3451&lt;=2,F3451&lt;=2),"Tidur","Umum"))))))</f>
        <v/>
      </c>
    </row>
    <row r="3452">
      <c r="B3452">
        <f>IF(A3452="","",$B$1-MAXIFS(Donasi!$A$2:$A$20000,Donasi!$B$2:$B$20000,A3452))</f>
        <v/>
      </c>
      <c r="C3452">
        <f>IF(A3452="","",COUNTIF(Donasi!$B$2:$B$20000,A3452))</f>
        <v/>
      </c>
      <c r="D3452">
        <f>IF(A3452="","",SUMIF(Donasi!$B$2:$B$20000,A3452,Donasi!$C$2:$C$20000))</f>
        <v/>
      </c>
      <c r="E3452">
        <f>IF(A3452="","",6-CEILING(PERCENTRANK.INC($B$3:$B$6000,B3452,4)*5+0.000001,1))</f>
        <v/>
      </c>
      <c r="F3452">
        <f>IF(A3452="","",MAX(1,CEILING(PERCENTRANK.INC($C$3:$C$6000,C3452,4)*5+0.000001,1)))</f>
        <v/>
      </c>
      <c r="G3452">
        <f>IF(A3452="","",MAX(1,CEILING(PERCENTRANK.INC($D$3:$D$6000,D3452,4)*5+0.000001,1)))</f>
        <v/>
      </c>
      <c r="H3452">
        <f>IF(A3452="","",E3452&amp;F3452&amp;G3452)</f>
        <v/>
      </c>
      <c r="I3452">
        <f>IF(A3452="","",IF(AND(E3452&gt;=4,F3452&gt;=4,G3452&gt;=4),"Juara",IF(AND(F3452&gt;=4,E3452&gt;=3),"Setia",IF(AND(E3452=5,F3452&lt;=2,G3452&gt;=3),"Berpotensi",IF(AND(E3452&lt;=3,E3452&gt;=2,F3452&gt;=3),"Rawan",IF(AND(E3452&lt;=2,F3452&lt;=2),"Tidur","Umum"))))))</f>
        <v/>
      </c>
    </row>
    <row r="3453">
      <c r="B3453">
        <f>IF(A3453="","",$B$1-MAXIFS(Donasi!$A$2:$A$20000,Donasi!$B$2:$B$20000,A3453))</f>
        <v/>
      </c>
      <c r="C3453">
        <f>IF(A3453="","",COUNTIF(Donasi!$B$2:$B$20000,A3453))</f>
        <v/>
      </c>
      <c r="D3453">
        <f>IF(A3453="","",SUMIF(Donasi!$B$2:$B$20000,A3453,Donasi!$C$2:$C$20000))</f>
        <v/>
      </c>
      <c r="E3453">
        <f>IF(A3453="","",6-CEILING(PERCENTRANK.INC($B$3:$B$6000,B3453,4)*5+0.000001,1))</f>
        <v/>
      </c>
      <c r="F3453">
        <f>IF(A3453="","",MAX(1,CEILING(PERCENTRANK.INC($C$3:$C$6000,C3453,4)*5+0.000001,1)))</f>
        <v/>
      </c>
      <c r="G3453">
        <f>IF(A3453="","",MAX(1,CEILING(PERCENTRANK.INC($D$3:$D$6000,D3453,4)*5+0.000001,1)))</f>
        <v/>
      </c>
      <c r="H3453">
        <f>IF(A3453="","",E3453&amp;F3453&amp;G3453)</f>
        <v/>
      </c>
      <c r="I3453">
        <f>IF(A3453="","",IF(AND(E3453&gt;=4,F3453&gt;=4,G3453&gt;=4),"Juara",IF(AND(F3453&gt;=4,E3453&gt;=3),"Setia",IF(AND(E3453=5,F3453&lt;=2,G3453&gt;=3),"Berpotensi",IF(AND(E3453&lt;=3,E3453&gt;=2,F3453&gt;=3),"Rawan",IF(AND(E3453&lt;=2,F3453&lt;=2),"Tidur","Umum"))))))</f>
        <v/>
      </c>
    </row>
    <row r="3454">
      <c r="B3454">
        <f>IF(A3454="","",$B$1-MAXIFS(Donasi!$A$2:$A$20000,Donasi!$B$2:$B$20000,A3454))</f>
        <v/>
      </c>
      <c r="C3454">
        <f>IF(A3454="","",COUNTIF(Donasi!$B$2:$B$20000,A3454))</f>
        <v/>
      </c>
      <c r="D3454">
        <f>IF(A3454="","",SUMIF(Donasi!$B$2:$B$20000,A3454,Donasi!$C$2:$C$20000))</f>
        <v/>
      </c>
      <c r="E3454">
        <f>IF(A3454="","",6-CEILING(PERCENTRANK.INC($B$3:$B$6000,B3454,4)*5+0.000001,1))</f>
        <v/>
      </c>
      <c r="F3454">
        <f>IF(A3454="","",MAX(1,CEILING(PERCENTRANK.INC($C$3:$C$6000,C3454,4)*5+0.000001,1)))</f>
        <v/>
      </c>
      <c r="G3454">
        <f>IF(A3454="","",MAX(1,CEILING(PERCENTRANK.INC($D$3:$D$6000,D3454,4)*5+0.000001,1)))</f>
        <v/>
      </c>
      <c r="H3454">
        <f>IF(A3454="","",E3454&amp;F3454&amp;G3454)</f>
        <v/>
      </c>
      <c r="I3454">
        <f>IF(A3454="","",IF(AND(E3454&gt;=4,F3454&gt;=4,G3454&gt;=4),"Juara",IF(AND(F3454&gt;=4,E3454&gt;=3),"Setia",IF(AND(E3454=5,F3454&lt;=2,G3454&gt;=3),"Berpotensi",IF(AND(E3454&lt;=3,E3454&gt;=2,F3454&gt;=3),"Rawan",IF(AND(E3454&lt;=2,F3454&lt;=2),"Tidur","Umum"))))))</f>
        <v/>
      </c>
    </row>
    <row r="3455">
      <c r="B3455">
        <f>IF(A3455="","",$B$1-MAXIFS(Donasi!$A$2:$A$20000,Donasi!$B$2:$B$20000,A3455))</f>
        <v/>
      </c>
      <c r="C3455">
        <f>IF(A3455="","",COUNTIF(Donasi!$B$2:$B$20000,A3455))</f>
        <v/>
      </c>
      <c r="D3455">
        <f>IF(A3455="","",SUMIF(Donasi!$B$2:$B$20000,A3455,Donasi!$C$2:$C$20000))</f>
        <v/>
      </c>
      <c r="E3455">
        <f>IF(A3455="","",6-CEILING(PERCENTRANK.INC($B$3:$B$6000,B3455,4)*5+0.000001,1))</f>
        <v/>
      </c>
      <c r="F3455">
        <f>IF(A3455="","",MAX(1,CEILING(PERCENTRANK.INC($C$3:$C$6000,C3455,4)*5+0.000001,1)))</f>
        <v/>
      </c>
      <c r="G3455">
        <f>IF(A3455="","",MAX(1,CEILING(PERCENTRANK.INC($D$3:$D$6000,D3455,4)*5+0.000001,1)))</f>
        <v/>
      </c>
      <c r="H3455">
        <f>IF(A3455="","",E3455&amp;F3455&amp;G3455)</f>
        <v/>
      </c>
      <c r="I3455">
        <f>IF(A3455="","",IF(AND(E3455&gt;=4,F3455&gt;=4,G3455&gt;=4),"Juara",IF(AND(F3455&gt;=4,E3455&gt;=3),"Setia",IF(AND(E3455=5,F3455&lt;=2,G3455&gt;=3),"Berpotensi",IF(AND(E3455&lt;=3,E3455&gt;=2,F3455&gt;=3),"Rawan",IF(AND(E3455&lt;=2,F3455&lt;=2),"Tidur","Umum"))))))</f>
        <v/>
      </c>
    </row>
    <row r="3456">
      <c r="B3456">
        <f>IF(A3456="","",$B$1-MAXIFS(Donasi!$A$2:$A$20000,Donasi!$B$2:$B$20000,A3456))</f>
        <v/>
      </c>
      <c r="C3456">
        <f>IF(A3456="","",COUNTIF(Donasi!$B$2:$B$20000,A3456))</f>
        <v/>
      </c>
      <c r="D3456">
        <f>IF(A3456="","",SUMIF(Donasi!$B$2:$B$20000,A3456,Donasi!$C$2:$C$20000))</f>
        <v/>
      </c>
      <c r="E3456">
        <f>IF(A3456="","",6-CEILING(PERCENTRANK.INC($B$3:$B$6000,B3456,4)*5+0.000001,1))</f>
        <v/>
      </c>
      <c r="F3456">
        <f>IF(A3456="","",MAX(1,CEILING(PERCENTRANK.INC($C$3:$C$6000,C3456,4)*5+0.000001,1)))</f>
        <v/>
      </c>
      <c r="G3456">
        <f>IF(A3456="","",MAX(1,CEILING(PERCENTRANK.INC($D$3:$D$6000,D3456,4)*5+0.000001,1)))</f>
        <v/>
      </c>
      <c r="H3456">
        <f>IF(A3456="","",E3456&amp;F3456&amp;G3456)</f>
        <v/>
      </c>
      <c r="I3456">
        <f>IF(A3456="","",IF(AND(E3456&gt;=4,F3456&gt;=4,G3456&gt;=4),"Juara",IF(AND(F3456&gt;=4,E3456&gt;=3),"Setia",IF(AND(E3456=5,F3456&lt;=2,G3456&gt;=3),"Berpotensi",IF(AND(E3456&lt;=3,E3456&gt;=2,F3456&gt;=3),"Rawan",IF(AND(E3456&lt;=2,F3456&lt;=2),"Tidur","Umum"))))))</f>
        <v/>
      </c>
    </row>
    <row r="3457">
      <c r="B3457">
        <f>IF(A3457="","",$B$1-MAXIFS(Donasi!$A$2:$A$20000,Donasi!$B$2:$B$20000,A3457))</f>
        <v/>
      </c>
      <c r="C3457">
        <f>IF(A3457="","",COUNTIF(Donasi!$B$2:$B$20000,A3457))</f>
        <v/>
      </c>
      <c r="D3457">
        <f>IF(A3457="","",SUMIF(Donasi!$B$2:$B$20000,A3457,Donasi!$C$2:$C$20000))</f>
        <v/>
      </c>
      <c r="E3457">
        <f>IF(A3457="","",6-CEILING(PERCENTRANK.INC($B$3:$B$6000,B3457,4)*5+0.000001,1))</f>
        <v/>
      </c>
      <c r="F3457">
        <f>IF(A3457="","",MAX(1,CEILING(PERCENTRANK.INC($C$3:$C$6000,C3457,4)*5+0.000001,1)))</f>
        <v/>
      </c>
      <c r="G3457">
        <f>IF(A3457="","",MAX(1,CEILING(PERCENTRANK.INC($D$3:$D$6000,D3457,4)*5+0.000001,1)))</f>
        <v/>
      </c>
      <c r="H3457">
        <f>IF(A3457="","",E3457&amp;F3457&amp;G3457)</f>
        <v/>
      </c>
      <c r="I3457">
        <f>IF(A3457="","",IF(AND(E3457&gt;=4,F3457&gt;=4,G3457&gt;=4),"Juara",IF(AND(F3457&gt;=4,E3457&gt;=3),"Setia",IF(AND(E3457=5,F3457&lt;=2,G3457&gt;=3),"Berpotensi",IF(AND(E3457&lt;=3,E3457&gt;=2,F3457&gt;=3),"Rawan",IF(AND(E3457&lt;=2,F3457&lt;=2),"Tidur","Umum"))))))</f>
        <v/>
      </c>
    </row>
    <row r="3458">
      <c r="B3458">
        <f>IF(A3458="","",$B$1-MAXIFS(Donasi!$A$2:$A$20000,Donasi!$B$2:$B$20000,A3458))</f>
        <v/>
      </c>
      <c r="C3458">
        <f>IF(A3458="","",COUNTIF(Donasi!$B$2:$B$20000,A3458))</f>
        <v/>
      </c>
      <c r="D3458">
        <f>IF(A3458="","",SUMIF(Donasi!$B$2:$B$20000,A3458,Donasi!$C$2:$C$20000))</f>
        <v/>
      </c>
      <c r="E3458">
        <f>IF(A3458="","",6-CEILING(PERCENTRANK.INC($B$3:$B$6000,B3458,4)*5+0.000001,1))</f>
        <v/>
      </c>
      <c r="F3458">
        <f>IF(A3458="","",MAX(1,CEILING(PERCENTRANK.INC($C$3:$C$6000,C3458,4)*5+0.000001,1)))</f>
        <v/>
      </c>
      <c r="G3458">
        <f>IF(A3458="","",MAX(1,CEILING(PERCENTRANK.INC($D$3:$D$6000,D3458,4)*5+0.000001,1)))</f>
        <v/>
      </c>
      <c r="H3458">
        <f>IF(A3458="","",E3458&amp;F3458&amp;G3458)</f>
        <v/>
      </c>
      <c r="I3458">
        <f>IF(A3458="","",IF(AND(E3458&gt;=4,F3458&gt;=4,G3458&gt;=4),"Juara",IF(AND(F3458&gt;=4,E3458&gt;=3),"Setia",IF(AND(E3458=5,F3458&lt;=2,G3458&gt;=3),"Berpotensi",IF(AND(E3458&lt;=3,E3458&gt;=2,F3458&gt;=3),"Rawan",IF(AND(E3458&lt;=2,F3458&lt;=2),"Tidur","Umum"))))))</f>
        <v/>
      </c>
    </row>
    <row r="3459">
      <c r="B3459">
        <f>IF(A3459="","",$B$1-MAXIFS(Donasi!$A$2:$A$20000,Donasi!$B$2:$B$20000,A3459))</f>
        <v/>
      </c>
      <c r="C3459">
        <f>IF(A3459="","",COUNTIF(Donasi!$B$2:$B$20000,A3459))</f>
        <v/>
      </c>
      <c r="D3459">
        <f>IF(A3459="","",SUMIF(Donasi!$B$2:$B$20000,A3459,Donasi!$C$2:$C$20000))</f>
        <v/>
      </c>
      <c r="E3459">
        <f>IF(A3459="","",6-CEILING(PERCENTRANK.INC($B$3:$B$6000,B3459,4)*5+0.000001,1))</f>
        <v/>
      </c>
      <c r="F3459">
        <f>IF(A3459="","",MAX(1,CEILING(PERCENTRANK.INC($C$3:$C$6000,C3459,4)*5+0.000001,1)))</f>
        <v/>
      </c>
      <c r="G3459">
        <f>IF(A3459="","",MAX(1,CEILING(PERCENTRANK.INC($D$3:$D$6000,D3459,4)*5+0.000001,1)))</f>
        <v/>
      </c>
      <c r="H3459">
        <f>IF(A3459="","",E3459&amp;F3459&amp;G3459)</f>
        <v/>
      </c>
      <c r="I3459">
        <f>IF(A3459="","",IF(AND(E3459&gt;=4,F3459&gt;=4,G3459&gt;=4),"Juara",IF(AND(F3459&gt;=4,E3459&gt;=3),"Setia",IF(AND(E3459=5,F3459&lt;=2,G3459&gt;=3),"Berpotensi",IF(AND(E3459&lt;=3,E3459&gt;=2,F3459&gt;=3),"Rawan",IF(AND(E3459&lt;=2,F3459&lt;=2),"Tidur","Umum"))))))</f>
        <v/>
      </c>
    </row>
    <row r="3460">
      <c r="B3460">
        <f>IF(A3460="","",$B$1-MAXIFS(Donasi!$A$2:$A$20000,Donasi!$B$2:$B$20000,A3460))</f>
        <v/>
      </c>
      <c r="C3460">
        <f>IF(A3460="","",COUNTIF(Donasi!$B$2:$B$20000,A3460))</f>
        <v/>
      </c>
      <c r="D3460">
        <f>IF(A3460="","",SUMIF(Donasi!$B$2:$B$20000,A3460,Donasi!$C$2:$C$20000))</f>
        <v/>
      </c>
      <c r="E3460">
        <f>IF(A3460="","",6-CEILING(PERCENTRANK.INC($B$3:$B$6000,B3460,4)*5+0.000001,1))</f>
        <v/>
      </c>
      <c r="F3460">
        <f>IF(A3460="","",MAX(1,CEILING(PERCENTRANK.INC($C$3:$C$6000,C3460,4)*5+0.000001,1)))</f>
        <v/>
      </c>
      <c r="G3460">
        <f>IF(A3460="","",MAX(1,CEILING(PERCENTRANK.INC($D$3:$D$6000,D3460,4)*5+0.000001,1)))</f>
        <v/>
      </c>
      <c r="H3460">
        <f>IF(A3460="","",E3460&amp;F3460&amp;G3460)</f>
        <v/>
      </c>
      <c r="I3460">
        <f>IF(A3460="","",IF(AND(E3460&gt;=4,F3460&gt;=4,G3460&gt;=4),"Juara",IF(AND(F3460&gt;=4,E3460&gt;=3),"Setia",IF(AND(E3460=5,F3460&lt;=2,G3460&gt;=3),"Berpotensi",IF(AND(E3460&lt;=3,E3460&gt;=2,F3460&gt;=3),"Rawan",IF(AND(E3460&lt;=2,F3460&lt;=2),"Tidur","Umum"))))))</f>
        <v/>
      </c>
    </row>
    <row r="3461">
      <c r="B3461">
        <f>IF(A3461="","",$B$1-MAXIFS(Donasi!$A$2:$A$20000,Donasi!$B$2:$B$20000,A3461))</f>
        <v/>
      </c>
      <c r="C3461">
        <f>IF(A3461="","",COUNTIF(Donasi!$B$2:$B$20000,A3461))</f>
        <v/>
      </c>
      <c r="D3461">
        <f>IF(A3461="","",SUMIF(Donasi!$B$2:$B$20000,A3461,Donasi!$C$2:$C$20000))</f>
        <v/>
      </c>
      <c r="E3461">
        <f>IF(A3461="","",6-CEILING(PERCENTRANK.INC($B$3:$B$6000,B3461,4)*5+0.000001,1))</f>
        <v/>
      </c>
      <c r="F3461">
        <f>IF(A3461="","",MAX(1,CEILING(PERCENTRANK.INC($C$3:$C$6000,C3461,4)*5+0.000001,1)))</f>
        <v/>
      </c>
      <c r="G3461">
        <f>IF(A3461="","",MAX(1,CEILING(PERCENTRANK.INC($D$3:$D$6000,D3461,4)*5+0.000001,1)))</f>
        <v/>
      </c>
      <c r="H3461">
        <f>IF(A3461="","",E3461&amp;F3461&amp;G3461)</f>
        <v/>
      </c>
      <c r="I3461">
        <f>IF(A3461="","",IF(AND(E3461&gt;=4,F3461&gt;=4,G3461&gt;=4),"Juara",IF(AND(F3461&gt;=4,E3461&gt;=3),"Setia",IF(AND(E3461=5,F3461&lt;=2,G3461&gt;=3),"Berpotensi",IF(AND(E3461&lt;=3,E3461&gt;=2,F3461&gt;=3),"Rawan",IF(AND(E3461&lt;=2,F3461&lt;=2),"Tidur","Umum"))))))</f>
        <v/>
      </c>
    </row>
    <row r="3462">
      <c r="B3462">
        <f>IF(A3462="","",$B$1-MAXIFS(Donasi!$A$2:$A$20000,Donasi!$B$2:$B$20000,A3462))</f>
        <v/>
      </c>
      <c r="C3462">
        <f>IF(A3462="","",COUNTIF(Donasi!$B$2:$B$20000,A3462))</f>
        <v/>
      </c>
      <c r="D3462">
        <f>IF(A3462="","",SUMIF(Donasi!$B$2:$B$20000,A3462,Donasi!$C$2:$C$20000))</f>
        <v/>
      </c>
      <c r="E3462">
        <f>IF(A3462="","",6-CEILING(PERCENTRANK.INC($B$3:$B$6000,B3462,4)*5+0.000001,1))</f>
        <v/>
      </c>
      <c r="F3462">
        <f>IF(A3462="","",MAX(1,CEILING(PERCENTRANK.INC($C$3:$C$6000,C3462,4)*5+0.000001,1)))</f>
        <v/>
      </c>
      <c r="G3462">
        <f>IF(A3462="","",MAX(1,CEILING(PERCENTRANK.INC($D$3:$D$6000,D3462,4)*5+0.000001,1)))</f>
        <v/>
      </c>
      <c r="H3462">
        <f>IF(A3462="","",E3462&amp;F3462&amp;G3462)</f>
        <v/>
      </c>
      <c r="I3462">
        <f>IF(A3462="","",IF(AND(E3462&gt;=4,F3462&gt;=4,G3462&gt;=4),"Juara",IF(AND(F3462&gt;=4,E3462&gt;=3),"Setia",IF(AND(E3462=5,F3462&lt;=2,G3462&gt;=3),"Berpotensi",IF(AND(E3462&lt;=3,E3462&gt;=2,F3462&gt;=3),"Rawan",IF(AND(E3462&lt;=2,F3462&lt;=2),"Tidur","Umum"))))))</f>
        <v/>
      </c>
    </row>
    <row r="3463">
      <c r="B3463">
        <f>IF(A3463="","",$B$1-MAXIFS(Donasi!$A$2:$A$20000,Donasi!$B$2:$B$20000,A3463))</f>
        <v/>
      </c>
      <c r="C3463">
        <f>IF(A3463="","",COUNTIF(Donasi!$B$2:$B$20000,A3463))</f>
        <v/>
      </c>
      <c r="D3463">
        <f>IF(A3463="","",SUMIF(Donasi!$B$2:$B$20000,A3463,Donasi!$C$2:$C$20000))</f>
        <v/>
      </c>
      <c r="E3463">
        <f>IF(A3463="","",6-CEILING(PERCENTRANK.INC($B$3:$B$6000,B3463,4)*5+0.000001,1))</f>
        <v/>
      </c>
      <c r="F3463">
        <f>IF(A3463="","",MAX(1,CEILING(PERCENTRANK.INC($C$3:$C$6000,C3463,4)*5+0.000001,1)))</f>
        <v/>
      </c>
      <c r="G3463">
        <f>IF(A3463="","",MAX(1,CEILING(PERCENTRANK.INC($D$3:$D$6000,D3463,4)*5+0.000001,1)))</f>
        <v/>
      </c>
      <c r="H3463">
        <f>IF(A3463="","",E3463&amp;F3463&amp;G3463)</f>
        <v/>
      </c>
      <c r="I3463">
        <f>IF(A3463="","",IF(AND(E3463&gt;=4,F3463&gt;=4,G3463&gt;=4),"Juara",IF(AND(F3463&gt;=4,E3463&gt;=3),"Setia",IF(AND(E3463=5,F3463&lt;=2,G3463&gt;=3),"Berpotensi",IF(AND(E3463&lt;=3,E3463&gt;=2,F3463&gt;=3),"Rawan",IF(AND(E3463&lt;=2,F3463&lt;=2),"Tidur","Umum"))))))</f>
        <v/>
      </c>
    </row>
    <row r="3464">
      <c r="B3464">
        <f>IF(A3464="","",$B$1-MAXIFS(Donasi!$A$2:$A$20000,Donasi!$B$2:$B$20000,A3464))</f>
        <v/>
      </c>
      <c r="C3464">
        <f>IF(A3464="","",COUNTIF(Donasi!$B$2:$B$20000,A3464))</f>
        <v/>
      </c>
      <c r="D3464">
        <f>IF(A3464="","",SUMIF(Donasi!$B$2:$B$20000,A3464,Donasi!$C$2:$C$20000))</f>
        <v/>
      </c>
      <c r="E3464">
        <f>IF(A3464="","",6-CEILING(PERCENTRANK.INC($B$3:$B$6000,B3464,4)*5+0.000001,1))</f>
        <v/>
      </c>
      <c r="F3464">
        <f>IF(A3464="","",MAX(1,CEILING(PERCENTRANK.INC($C$3:$C$6000,C3464,4)*5+0.000001,1)))</f>
        <v/>
      </c>
      <c r="G3464">
        <f>IF(A3464="","",MAX(1,CEILING(PERCENTRANK.INC($D$3:$D$6000,D3464,4)*5+0.000001,1)))</f>
        <v/>
      </c>
      <c r="H3464">
        <f>IF(A3464="","",E3464&amp;F3464&amp;G3464)</f>
        <v/>
      </c>
      <c r="I3464">
        <f>IF(A3464="","",IF(AND(E3464&gt;=4,F3464&gt;=4,G3464&gt;=4),"Juara",IF(AND(F3464&gt;=4,E3464&gt;=3),"Setia",IF(AND(E3464=5,F3464&lt;=2,G3464&gt;=3),"Berpotensi",IF(AND(E3464&lt;=3,E3464&gt;=2,F3464&gt;=3),"Rawan",IF(AND(E3464&lt;=2,F3464&lt;=2),"Tidur","Umum"))))))</f>
        <v/>
      </c>
    </row>
    <row r="3465">
      <c r="B3465">
        <f>IF(A3465="","",$B$1-MAXIFS(Donasi!$A$2:$A$20000,Donasi!$B$2:$B$20000,A3465))</f>
        <v/>
      </c>
      <c r="C3465">
        <f>IF(A3465="","",COUNTIF(Donasi!$B$2:$B$20000,A3465))</f>
        <v/>
      </c>
      <c r="D3465">
        <f>IF(A3465="","",SUMIF(Donasi!$B$2:$B$20000,A3465,Donasi!$C$2:$C$20000))</f>
        <v/>
      </c>
      <c r="E3465">
        <f>IF(A3465="","",6-CEILING(PERCENTRANK.INC($B$3:$B$6000,B3465,4)*5+0.000001,1))</f>
        <v/>
      </c>
      <c r="F3465">
        <f>IF(A3465="","",MAX(1,CEILING(PERCENTRANK.INC($C$3:$C$6000,C3465,4)*5+0.000001,1)))</f>
        <v/>
      </c>
      <c r="G3465">
        <f>IF(A3465="","",MAX(1,CEILING(PERCENTRANK.INC($D$3:$D$6000,D3465,4)*5+0.000001,1)))</f>
        <v/>
      </c>
      <c r="H3465">
        <f>IF(A3465="","",E3465&amp;F3465&amp;G3465)</f>
        <v/>
      </c>
      <c r="I3465">
        <f>IF(A3465="","",IF(AND(E3465&gt;=4,F3465&gt;=4,G3465&gt;=4),"Juara",IF(AND(F3465&gt;=4,E3465&gt;=3),"Setia",IF(AND(E3465=5,F3465&lt;=2,G3465&gt;=3),"Berpotensi",IF(AND(E3465&lt;=3,E3465&gt;=2,F3465&gt;=3),"Rawan",IF(AND(E3465&lt;=2,F3465&lt;=2),"Tidur","Umum"))))))</f>
        <v/>
      </c>
    </row>
    <row r="3466">
      <c r="B3466">
        <f>IF(A3466="","",$B$1-MAXIFS(Donasi!$A$2:$A$20000,Donasi!$B$2:$B$20000,A3466))</f>
        <v/>
      </c>
      <c r="C3466">
        <f>IF(A3466="","",COUNTIF(Donasi!$B$2:$B$20000,A3466))</f>
        <v/>
      </c>
      <c r="D3466">
        <f>IF(A3466="","",SUMIF(Donasi!$B$2:$B$20000,A3466,Donasi!$C$2:$C$20000))</f>
        <v/>
      </c>
      <c r="E3466">
        <f>IF(A3466="","",6-CEILING(PERCENTRANK.INC($B$3:$B$6000,B3466,4)*5+0.000001,1))</f>
        <v/>
      </c>
      <c r="F3466">
        <f>IF(A3466="","",MAX(1,CEILING(PERCENTRANK.INC($C$3:$C$6000,C3466,4)*5+0.000001,1)))</f>
        <v/>
      </c>
      <c r="G3466">
        <f>IF(A3466="","",MAX(1,CEILING(PERCENTRANK.INC($D$3:$D$6000,D3466,4)*5+0.000001,1)))</f>
        <v/>
      </c>
      <c r="H3466">
        <f>IF(A3466="","",E3466&amp;F3466&amp;G3466)</f>
        <v/>
      </c>
      <c r="I3466">
        <f>IF(A3466="","",IF(AND(E3466&gt;=4,F3466&gt;=4,G3466&gt;=4),"Juara",IF(AND(F3466&gt;=4,E3466&gt;=3),"Setia",IF(AND(E3466=5,F3466&lt;=2,G3466&gt;=3),"Berpotensi",IF(AND(E3466&lt;=3,E3466&gt;=2,F3466&gt;=3),"Rawan",IF(AND(E3466&lt;=2,F3466&lt;=2),"Tidur","Umum"))))))</f>
        <v/>
      </c>
    </row>
    <row r="3467">
      <c r="B3467">
        <f>IF(A3467="","",$B$1-MAXIFS(Donasi!$A$2:$A$20000,Donasi!$B$2:$B$20000,A3467))</f>
        <v/>
      </c>
      <c r="C3467">
        <f>IF(A3467="","",COUNTIF(Donasi!$B$2:$B$20000,A3467))</f>
        <v/>
      </c>
      <c r="D3467">
        <f>IF(A3467="","",SUMIF(Donasi!$B$2:$B$20000,A3467,Donasi!$C$2:$C$20000))</f>
        <v/>
      </c>
      <c r="E3467">
        <f>IF(A3467="","",6-CEILING(PERCENTRANK.INC($B$3:$B$6000,B3467,4)*5+0.000001,1))</f>
        <v/>
      </c>
      <c r="F3467">
        <f>IF(A3467="","",MAX(1,CEILING(PERCENTRANK.INC($C$3:$C$6000,C3467,4)*5+0.000001,1)))</f>
        <v/>
      </c>
      <c r="G3467">
        <f>IF(A3467="","",MAX(1,CEILING(PERCENTRANK.INC($D$3:$D$6000,D3467,4)*5+0.000001,1)))</f>
        <v/>
      </c>
      <c r="H3467">
        <f>IF(A3467="","",E3467&amp;F3467&amp;G3467)</f>
        <v/>
      </c>
      <c r="I3467">
        <f>IF(A3467="","",IF(AND(E3467&gt;=4,F3467&gt;=4,G3467&gt;=4),"Juara",IF(AND(F3467&gt;=4,E3467&gt;=3),"Setia",IF(AND(E3467=5,F3467&lt;=2,G3467&gt;=3),"Berpotensi",IF(AND(E3467&lt;=3,E3467&gt;=2,F3467&gt;=3),"Rawan",IF(AND(E3467&lt;=2,F3467&lt;=2),"Tidur","Umum"))))))</f>
        <v/>
      </c>
    </row>
    <row r="3468">
      <c r="B3468">
        <f>IF(A3468="","",$B$1-MAXIFS(Donasi!$A$2:$A$20000,Donasi!$B$2:$B$20000,A3468))</f>
        <v/>
      </c>
      <c r="C3468">
        <f>IF(A3468="","",COUNTIF(Donasi!$B$2:$B$20000,A3468))</f>
        <v/>
      </c>
      <c r="D3468">
        <f>IF(A3468="","",SUMIF(Donasi!$B$2:$B$20000,A3468,Donasi!$C$2:$C$20000))</f>
        <v/>
      </c>
      <c r="E3468">
        <f>IF(A3468="","",6-CEILING(PERCENTRANK.INC($B$3:$B$6000,B3468,4)*5+0.000001,1))</f>
        <v/>
      </c>
      <c r="F3468">
        <f>IF(A3468="","",MAX(1,CEILING(PERCENTRANK.INC($C$3:$C$6000,C3468,4)*5+0.000001,1)))</f>
        <v/>
      </c>
      <c r="G3468">
        <f>IF(A3468="","",MAX(1,CEILING(PERCENTRANK.INC($D$3:$D$6000,D3468,4)*5+0.000001,1)))</f>
        <v/>
      </c>
      <c r="H3468">
        <f>IF(A3468="","",E3468&amp;F3468&amp;G3468)</f>
        <v/>
      </c>
      <c r="I3468">
        <f>IF(A3468="","",IF(AND(E3468&gt;=4,F3468&gt;=4,G3468&gt;=4),"Juara",IF(AND(F3468&gt;=4,E3468&gt;=3),"Setia",IF(AND(E3468=5,F3468&lt;=2,G3468&gt;=3),"Berpotensi",IF(AND(E3468&lt;=3,E3468&gt;=2,F3468&gt;=3),"Rawan",IF(AND(E3468&lt;=2,F3468&lt;=2),"Tidur","Umum"))))))</f>
        <v/>
      </c>
    </row>
    <row r="3469">
      <c r="B3469">
        <f>IF(A3469="","",$B$1-MAXIFS(Donasi!$A$2:$A$20000,Donasi!$B$2:$B$20000,A3469))</f>
        <v/>
      </c>
      <c r="C3469">
        <f>IF(A3469="","",COUNTIF(Donasi!$B$2:$B$20000,A3469))</f>
        <v/>
      </c>
      <c r="D3469">
        <f>IF(A3469="","",SUMIF(Donasi!$B$2:$B$20000,A3469,Donasi!$C$2:$C$20000))</f>
        <v/>
      </c>
      <c r="E3469">
        <f>IF(A3469="","",6-CEILING(PERCENTRANK.INC($B$3:$B$6000,B3469,4)*5+0.000001,1))</f>
        <v/>
      </c>
      <c r="F3469">
        <f>IF(A3469="","",MAX(1,CEILING(PERCENTRANK.INC($C$3:$C$6000,C3469,4)*5+0.000001,1)))</f>
        <v/>
      </c>
      <c r="G3469">
        <f>IF(A3469="","",MAX(1,CEILING(PERCENTRANK.INC($D$3:$D$6000,D3469,4)*5+0.000001,1)))</f>
        <v/>
      </c>
      <c r="H3469">
        <f>IF(A3469="","",E3469&amp;F3469&amp;G3469)</f>
        <v/>
      </c>
      <c r="I3469">
        <f>IF(A3469="","",IF(AND(E3469&gt;=4,F3469&gt;=4,G3469&gt;=4),"Juara",IF(AND(F3469&gt;=4,E3469&gt;=3),"Setia",IF(AND(E3469=5,F3469&lt;=2,G3469&gt;=3),"Berpotensi",IF(AND(E3469&lt;=3,E3469&gt;=2,F3469&gt;=3),"Rawan",IF(AND(E3469&lt;=2,F3469&lt;=2),"Tidur","Umum"))))))</f>
        <v/>
      </c>
    </row>
    <row r="3470">
      <c r="B3470">
        <f>IF(A3470="","",$B$1-MAXIFS(Donasi!$A$2:$A$20000,Donasi!$B$2:$B$20000,A3470))</f>
        <v/>
      </c>
      <c r="C3470">
        <f>IF(A3470="","",COUNTIF(Donasi!$B$2:$B$20000,A3470))</f>
        <v/>
      </c>
      <c r="D3470">
        <f>IF(A3470="","",SUMIF(Donasi!$B$2:$B$20000,A3470,Donasi!$C$2:$C$20000))</f>
        <v/>
      </c>
      <c r="E3470">
        <f>IF(A3470="","",6-CEILING(PERCENTRANK.INC($B$3:$B$6000,B3470,4)*5+0.000001,1))</f>
        <v/>
      </c>
      <c r="F3470">
        <f>IF(A3470="","",MAX(1,CEILING(PERCENTRANK.INC($C$3:$C$6000,C3470,4)*5+0.000001,1)))</f>
        <v/>
      </c>
      <c r="G3470">
        <f>IF(A3470="","",MAX(1,CEILING(PERCENTRANK.INC($D$3:$D$6000,D3470,4)*5+0.000001,1)))</f>
        <v/>
      </c>
      <c r="H3470">
        <f>IF(A3470="","",E3470&amp;F3470&amp;G3470)</f>
        <v/>
      </c>
      <c r="I3470">
        <f>IF(A3470="","",IF(AND(E3470&gt;=4,F3470&gt;=4,G3470&gt;=4),"Juara",IF(AND(F3470&gt;=4,E3470&gt;=3),"Setia",IF(AND(E3470=5,F3470&lt;=2,G3470&gt;=3),"Berpotensi",IF(AND(E3470&lt;=3,E3470&gt;=2,F3470&gt;=3),"Rawan",IF(AND(E3470&lt;=2,F3470&lt;=2),"Tidur","Umum"))))))</f>
        <v/>
      </c>
    </row>
    <row r="3471">
      <c r="B3471">
        <f>IF(A3471="","",$B$1-MAXIFS(Donasi!$A$2:$A$20000,Donasi!$B$2:$B$20000,A3471))</f>
        <v/>
      </c>
      <c r="C3471">
        <f>IF(A3471="","",COUNTIF(Donasi!$B$2:$B$20000,A3471))</f>
        <v/>
      </c>
      <c r="D3471">
        <f>IF(A3471="","",SUMIF(Donasi!$B$2:$B$20000,A3471,Donasi!$C$2:$C$20000))</f>
        <v/>
      </c>
      <c r="E3471">
        <f>IF(A3471="","",6-CEILING(PERCENTRANK.INC($B$3:$B$6000,B3471,4)*5+0.000001,1))</f>
        <v/>
      </c>
      <c r="F3471">
        <f>IF(A3471="","",MAX(1,CEILING(PERCENTRANK.INC($C$3:$C$6000,C3471,4)*5+0.000001,1)))</f>
        <v/>
      </c>
      <c r="G3471">
        <f>IF(A3471="","",MAX(1,CEILING(PERCENTRANK.INC($D$3:$D$6000,D3471,4)*5+0.000001,1)))</f>
        <v/>
      </c>
      <c r="H3471">
        <f>IF(A3471="","",E3471&amp;F3471&amp;G3471)</f>
        <v/>
      </c>
      <c r="I3471">
        <f>IF(A3471="","",IF(AND(E3471&gt;=4,F3471&gt;=4,G3471&gt;=4),"Juara",IF(AND(F3471&gt;=4,E3471&gt;=3),"Setia",IF(AND(E3471=5,F3471&lt;=2,G3471&gt;=3),"Berpotensi",IF(AND(E3471&lt;=3,E3471&gt;=2,F3471&gt;=3),"Rawan",IF(AND(E3471&lt;=2,F3471&lt;=2),"Tidur","Umum"))))))</f>
        <v/>
      </c>
    </row>
    <row r="3472">
      <c r="B3472">
        <f>IF(A3472="","",$B$1-MAXIFS(Donasi!$A$2:$A$20000,Donasi!$B$2:$B$20000,A3472))</f>
        <v/>
      </c>
      <c r="C3472">
        <f>IF(A3472="","",COUNTIF(Donasi!$B$2:$B$20000,A3472))</f>
        <v/>
      </c>
      <c r="D3472">
        <f>IF(A3472="","",SUMIF(Donasi!$B$2:$B$20000,A3472,Donasi!$C$2:$C$20000))</f>
        <v/>
      </c>
      <c r="E3472">
        <f>IF(A3472="","",6-CEILING(PERCENTRANK.INC($B$3:$B$6000,B3472,4)*5+0.000001,1))</f>
        <v/>
      </c>
      <c r="F3472">
        <f>IF(A3472="","",MAX(1,CEILING(PERCENTRANK.INC($C$3:$C$6000,C3472,4)*5+0.000001,1)))</f>
        <v/>
      </c>
      <c r="G3472">
        <f>IF(A3472="","",MAX(1,CEILING(PERCENTRANK.INC($D$3:$D$6000,D3472,4)*5+0.000001,1)))</f>
        <v/>
      </c>
      <c r="H3472">
        <f>IF(A3472="","",E3472&amp;F3472&amp;G3472)</f>
        <v/>
      </c>
      <c r="I3472">
        <f>IF(A3472="","",IF(AND(E3472&gt;=4,F3472&gt;=4,G3472&gt;=4),"Juara",IF(AND(F3472&gt;=4,E3472&gt;=3),"Setia",IF(AND(E3472=5,F3472&lt;=2,G3472&gt;=3),"Berpotensi",IF(AND(E3472&lt;=3,E3472&gt;=2,F3472&gt;=3),"Rawan",IF(AND(E3472&lt;=2,F3472&lt;=2),"Tidur","Umum"))))))</f>
        <v/>
      </c>
    </row>
    <row r="3473">
      <c r="B3473">
        <f>IF(A3473="","",$B$1-MAXIFS(Donasi!$A$2:$A$20000,Donasi!$B$2:$B$20000,A3473))</f>
        <v/>
      </c>
      <c r="C3473">
        <f>IF(A3473="","",COUNTIF(Donasi!$B$2:$B$20000,A3473))</f>
        <v/>
      </c>
      <c r="D3473">
        <f>IF(A3473="","",SUMIF(Donasi!$B$2:$B$20000,A3473,Donasi!$C$2:$C$20000))</f>
        <v/>
      </c>
      <c r="E3473">
        <f>IF(A3473="","",6-CEILING(PERCENTRANK.INC($B$3:$B$6000,B3473,4)*5+0.000001,1))</f>
        <v/>
      </c>
      <c r="F3473">
        <f>IF(A3473="","",MAX(1,CEILING(PERCENTRANK.INC($C$3:$C$6000,C3473,4)*5+0.000001,1)))</f>
        <v/>
      </c>
      <c r="G3473">
        <f>IF(A3473="","",MAX(1,CEILING(PERCENTRANK.INC($D$3:$D$6000,D3473,4)*5+0.000001,1)))</f>
        <v/>
      </c>
      <c r="H3473">
        <f>IF(A3473="","",E3473&amp;F3473&amp;G3473)</f>
        <v/>
      </c>
      <c r="I3473">
        <f>IF(A3473="","",IF(AND(E3473&gt;=4,F3473&gt;=4,G3473&gt;=4),"Juara",IF(AND(F3473&gt;=4,E3473&gt;=3),"Setia",IF(AND(E3473=5,F3473&lt;=2,G3473&gt;=3),"Berpotensi",IF(AND(E3473&lt;=3,E3473&gt;=2,F3473&gt;=3),"Rawan",IF(AND(E3473&lt;=2,F3473&lt;=2),"Tidur","Umum"))))))</f>
        <v/>
      </c>
    </row>
    <row r="3474">
      <c r="B3474">
        <f>IF(A3474="","",$B$1-MAXIFS(Donasi!$A$2:$A$20000,Donasi!$B$2:$B$20000,A3474))</f>
        <v/>
      </c>
      <c r="C3474">
        <f>IF(A3474="","",COUNTIF(Donasi!$B$2:$B$20000,A3474))</f>
        <v/>
      </c>
      <c r="D3474">
        <f>IF(A3474="","",SUMIF(Donasi!$B$2:$B$20000,A3474,Donasi!$C$2:$C$20000))</f>
        <v/>
      </c>
      <c r="E3474">
        <f>IF(A3474="","",6-CEILING(PERCENTRANK.INC($B$3:$B$6000,B3474,4)*5+0.000001,1))</f>
        <v/>
      </c>
      <c r="F3474">
        <f>IF(A3474="","",MAX(1,CEILING(PERCENTRANK.INC($C$3:$C$6000,C3474,4)*5+0.000001,1)))</f>
        <v/>
      </c>
      <c r="G3474">
        <f>IF(A3474="","",MAX(1,CEILING(PERCENTRANK.INC($D$3:$D$6000,D3474,4)*5+0.000001,1)))</f>
        <v/>
      </c>
      <c r="H3474">
        <f>IF(A3474="","",E3474&amp;F3474&amp;G3474)</f>
        <v/>
      </c>
      <c r="I3474">
        <f>IF(A3474="","",IF(AND(E3474&gt;=4,F3474&gt;=4,G3474&gt;=4),"Juara",IF(AND(F3474&gt;=4,E3474&gt;=3),"Setia",IF(AND(E3474=5,F3474&lt;=2,G3474&gt;=3),"Berpotensi",IF(AND(E3474&lt;=3,E3474&gt;=2,F3474&gt;=3),"Rawan",IF(AND(E3474&lt;=2,F3474&lt;=2),"Tidur","Umum"))))))</f>
        <v/>
      </c>
    </row>
    <row r="3475">
      <c r="B3475">
        <f>IF(A3475="","",$B$1-MAXIFS(Donasi!$A$2:$A$20000,Donasi!$B$2:$B$20000,A3475))</f>
        <v/>
      </c>
      <c r="C3475">
        <f>IF(A3475="","",COUNTIF(Donasi!$B$2:$B$20000,A3475))</f>
        <v/>
      </c>
      <c r="D3475">
        <f>IF(A3475="","",SUMIF(Donasi!$B$2:$B$20000,A3475,Donasi!$C$2:$C$20000))</f>
        <v/>
      </c>
      <c r="E3475">
        <f>IF(A3475="","",6-CEILING(PERCENTRANK.INC($B$3:$B$6000,B3475,4)*5+0.000001,1))</f>
        <v/>
      </c>
      <c r="F3475">
        <f>IF(A3475="","",MAX(1,CEILING(PERCENTRANK.INC($C$3:$C$6000,C3475,4)*5+0.000001,1)))</f>
        <v/>
      </c>
      <c r="G3475">
        <f>IF(A3475="","",MAX(1,CEILING(PERCENTRANK.INC($D$3:$D$6000,D3475,4)*5+0.000001,1)))</f>
        <v/>
      </c>
      <c r="H3475">
        <f>IF(A3475="","",E3475&amp;F3475&amp;G3475)</f>
        <v/>
      </c>
      <c r="I3475">
        <f>IF(A3475="","",IF(AND(E3475&gt;=4,F3475&gt;=4,G3475&gt;=4),"Juara",IF(AND(F3475&gt;=4,E3475&gt;=3),"Setia",IF(AND(E3475=5,F3475&lt;=2,G3475&gt;=3),"Berpotensi",IF(AND(E3475&lt;=3,E3475&gt;=2,F3475&gt;=3),"Rawan",IF(AND(E3475&lt;=2,F3475&lt;=2),"Tidur","Umum"))))))</f>
        <v/>
      </c>
    </row>
    <row r="3476">
      <c r="B3476">
        <f>IF(A3476="","",$B$1-MAXIFS(Donasi!$A$2:$A$20000,Donasi!$B$2:$B$20000,A3476))</f>
        <v/>
      </c>
      <c r="C3476">
        <f>IF(A3476="","",COUNTIF(Donasi!$B$2:$B$20000,A3476))</f>
        <v/>
      </c>
      <c r="D3476">
        <f>IF(A3476="","",SUMIF(Donasi!$B$2:$B$20000,A3476,Donasi!$C$2:$C$20000))</f>
        <v/>
      </c>
      <c r="E3476">
        <f>IF(A3476="","",6-CEILING(PERCENTRANK.INC($B$3:$B$6000,B3476,4)*5+0.000001,1))</f>
        <v/>
      </c>
      <c r="F3476">
        <f>IF(A3476="","",MAX(1,CEILING(PERCENTRANK.INC($C$3:$C$6000,C3476,4)*5+0.000001,1)))</f>
        <v/>
      </c>
      <c r="G3476">
        <f>IF(A3476="","",MAX(1,CEILING(PERCENTRANK.INC($D$3:$D$6000,D3476,4)*5+0.000001,1)))</f>
        <v/>
      </c>
      <c r="H3476">
        <f>IF(A3476="","",E3476&amp;F3476&amp;G3476)</f>
        <v/>
      </c>
      <c r="I3476">
        <f>IF(A3476="","",IF(AND(E3476&gt;=4,F3476&gt;=4,G3476&gt;=4),"Juara",IF(AND(F3476&gt;=4,E3476&gt;=3),"Setia",IF(AND(E3476=5,F3476&lt;=2,G3476&gt;=3),"Berpotensi",IF(AND(E3476&lt;=3,E3476&gt;=2,F3476&gt;=3),"Rawan",IF(AND(E3476&lt;=2,F3476&lt;=2),"Tidur","Umum"))))))</f>
        <v/>
      </c>
    </row>
    <row r="3477">
      <c r="B3477">
        <f>IF(A3477="","",$B$1-MAXIFS(Donasi!$A$2:$A$20000,Donasi!$B$2:$B$20000,A3477))</f>
        <v/>
      </c>
      <c r="C3477">
        <f>IF(A3477="","",COUNTIF(Donasi!$B$2:$B$20000,A3477))</f>
        <v/>
      </c>
      <c r="D3477">
        <f>IF(A3477="","",SUMIF(Donasi!$B$2:$B$20000,A3477,Donasi!$C$2:$C$20000))</f>
        <v/>
      </c>
      <c r="E3477">
        <f>IF(A3477="","",6-CEILING(PERCENTRANK.INC($B$3:$B$6000,B3477,4)*5+0.000001,1))</f>
        <v/>
      </c>
      <c r="F3477">
        <f>IF(A3477="","",MAX(1,CEILING(PERCENTRANK.INC($C$3:$C$6000,C3477,4)*5+0.000001,1)))</f>
        <v/>
      </c>
      <c r="G3477">
        <f>IF(A3477="","",MAX(1,CEILING(PERCENTRANK.INC($D$3:$D$6000,D3477,4)*5+0.000001,1)))</f>
        <v/>
      </c>
      <c r="H3477">
        <f>IF(A3477="","",E3477&amp;F3477&amp;G3477)</f>
        <v/>
      </c>
      <c r="I3477">
        <f>IF(A3477="","",IF(AND(E3477&gt;=4,F3477&gt;=4,G3477&gt;=4),"Juara",IF(AND(F3477&gt;=4,E3477&gt;=3),"Setia",IF(AND(E3477=5,F3477&lt;=2,G3477&gt;=3),"Berpotensi",IF(AND(E3477&lt;=3,E3477&gt;=2,F3477&gt;=3),"Rawan",IF(AND(E3477&lt;=2,F3477&lt;=2),"Tidur","Umum"))))))</f>
        <v/>
      </c>
    </row>
    <row r="3478">
      <c r="B3478">
        <f>IF(A3478="","",$B$1-MAXIFS(Donasi!$A$2:$A$20000,Donasi!$B$2:$B$20000,A3478))</f>
        <v/>
      </c>
      <c r="C3478">
        <f>IF(A3478="","",COUNTIF(Donasi!$B$2:$B$20000,A3478))</f>
        <v/>
      </c>
      <c r="D3478">
        <f>IF(A3478="","",SUMIF(Donasi!$B$2:$B$20000,A3478,Donasi!$C$2:$C$20000))</f>
        <v/>
      </c>
      <c r="E3478">
        <f>IF(A3478="","",6-CEILING(PERCENTRANK.INC($B$3:$B$6000,B3478,4)*5+0.000001,1))</f>
        <v/>
      </c>
      <c r="F3478">
        <f>IF(A3478="","",MAX(1,CEILING(PERCENTRANK.INC($C$3:$C$6000,C3478,4)*5+0.000001,1)))</f>
        <v/>
      </c>
      <c r="G3478">
        <f>IF(A3478="","",MAX(1,CEILING(PERCENTRANK.INC($D$3:$D$6000,D3478,4)*5+0.000001,1)))</f>
        <v/>
      </c>
      <c r="H3478">
        <f>IF(A3478="","",E3478&amp;F3478&amp;G3478)</f>
        <v/>
      </c>
      <c r="I3478">
        <f>IF(A3478="","",IF(AND(E3478&gt;=4,F3478&gt;=4,G3478&gt;=4),"Juara",IF(AND(F3478&gt;=4,E3478&gt;=3),"Setia",IF(AND(E3478=5,F3478&lt;=2,G3478&gt;=3),"Berpotensi",IF(AND(E3478&lt;=3,E3478&gt;=2,F3478&gt;=3),"Rawan",IF(AND(E3478&lt;=2,F3478&lt;=2),"Tidur","Umum"))))))</f>
        <v/>
      </c>
    </row>
    <row r="3479">
      <c r="B3479">
        <f>IF(A3479="","",$B$1-MAXIFS(Donasi!$A$2:$A$20000,Donasi!$B$2:$B$20000,A3479))</f>
        <v/>
      </c>
      <c r="C3479">
        <f>IF(A3479="","",COUNTIF(Donasi!$B$2:$B$20000,A3479))</f>
        <v/>
      </c>
      <c r="D3479">
        <f>IF(A3479="","",SUMIF(Donasi!$B$2:$B$20000,A3479,Donasi!$C$2:$C$20000))</f>
        <v/>
      </c>
      <c r="E3479">
        <f>IF(A3479="","",6-CEILING(PERCENTRANK.INC($B$3:$B$6000,B3479,4)*5+0.000001,1))</f>
        <v/>
      </c>
      <c r="F3479">
        <f>IF(A3479="","",MAX(1,CEILING(PERCENTRANK.INC($C$3:$C$6000,C3479,4)*5+0.000001,1)))</f>
        <v/>
      </c>
      <c r="G3479">
        <f>IF(A3479="","",MAX(1,CEILING(PERCENTRANK.INC($D$3:$D$6000,D3479,4)*5+0.000001,1)))</f>
        <v/>
      </c>
      <c r="H3479">
        <f>IF(A3479="","",E3479&amp;F3479&amp;G3479)</f>
        <v/>
      </c>
      <c r="I3479">
        <f>IF(A3479="","",IF(AND(E3479&gt;=4,F3479&gt;=4,G3479&gt;=4),"Juara",IF(AND(F3479&gt;=4,E3479&gt;=3),"Setia",IF(AND(E3479=5,F3479&lt;=2,G3479&gt;=3),"Berpotensi",IF(AND(E3479&lt;=3,E3479&gt;=2,F3479&gt;=3),"Rawan",IF(AND(E3479&lt;=2,F3479&lt;=2),"Tidur","Umum"))))))</f>
        <v/>
      </c>
    </row>
    <row r="3480">
      <c r="B3480">
        <f>IF(A3480="","",$B$1-MAXIFS(Donasi!$A$2:$A$20000,Donasi!$B$2:$B$20000,A3480))</f>
        <v/>
      </c>
      <c r="C3480">
        <f>IF(A3480="","",COUNTIF(Donasi!$B$2:$B$20000,A3480))</f>
        <v/>
      </c>
      <c r="D3480">
        <f>IF(A3480="","",SUMIF(Donasi!$B$2:$B$20000,A3480,Donasi!$C$2:$C$20000))</f>
        <v/>
      </c>
      <c r="E3480">
        <f>IF(A3480="","",6-CEILING(PERCENTRANK.INC($B$3:$B$6000,B3480,4)*5+0.000001,1))</f>
        <v/>
      </c>
      <c r="F3480">
        <f>IF(A3480="","",MAX(1,CEILING(PERCENTRANK.INC($C$3:$C$6000,C3480,4)*5+0.000001,1)))</f>
        <v/>
      </c>
      <c r="G3480">
        <f>IF(A3480="","",MAX(1,CEILING(PERCENTRANK.INC($D$3:$D$6000,D3480,4)*5+0.000001,1)))</f>
        <v/>
      </c>
      <c r="H3480">
        <f>IF(A3480="","",E3480&amp;F3480&amp;G3480)</f>
        <v/>
      </c>
      <c r="I3480">
        <f>IF(A3480="","",IF(AND(E3480&gt;=4,F3480&gt;=4,G3480&gt;=4),"Juara",IF(AND(F3480&gt;=4,E3480&gt;=3),"Setia",IF(AND(E3480=5,F3480&lt;=2,G3480&gt;=3),"Berpotensi",IF(AND(E3480&lt;=3,E3480&gt;=2,F3480&gt;=3),"Rawan",IF(AND(E3480&lt;=2,F3480&lt;=2),"Tidur","Umum"))))))</f>
        <v/>
      </c>
    </row>
    <row r="3481">
      <c r="B3481">
        <f>IF(A3481="","",$B$1-MAXIFS(Donasi!$A$2:$A$20000,Donasi!$B$2:$B$20000,A3481))</f>
        <v/>
      </c>
      <c r="C3481">
        <f>IF(A3481="","",COUNTIF(Donasi!$B$2:$B$20000,A3481))</f>
        <v/>
      </c>
      <c r="D3481">
        <f>IF(A3481="","",SUMIF(Donasi!$B$2:$B$20000,A3481,Donasi!$C$2:$C$20000))</f>
        <v/>
      </c>
      <c r="E3481">
        <f>IF(A3481="","",6-CEILING(PERCENTRANK.INC($B$3:$B$6000,B3481,4)*5+0.000001,1))</f>
        <v/>
      </c>
      <c r="F3481">
        <f>IF(A3481="","",MAX(1,CEILING(PERCENTRANK.INC($C$3:$C$6000,C3481,4)*5+0.000001,1)))</f>
        <v/>
      </c>
      <c r="G3481">
        <f>IF(A3481="","",MAX(1,CEILING(PERCENTRANK.INC($D$3:$D$6000,D3481,4)*5+0.000001,1)))</f>
        <v/>
      </c>
      <c r="H3481">
        <f>IF(A3481="","",E3481&amp;F3481&amp;G3481)</f>
        <v/>
      </c>
      <c r="I3481">
        <f>IF(A3481="","",IF(AND(E3481&gt;=4,F3481&gt;=4,G3481&gt;=4),"Juara",IF(AND(F3481&gt;=4,E3481&gt;=3),"Setia",IF(AND(E3481=5,F3481&lt;=2,G3481&gt;=3),"Berpotensi",IF(AND(E3481&lt;=3,E3481&gt;=2,F3481&gt;=3),"Rawan",IF(AND(E3481&lt;=2,F3481&lt;=2),"Tidur","Umum"))))))</f>
        <v/>
      </c>
    </row>
    <row r="3482">
      <c r="B3482">
        <f>IF(A3482="","",$B$1-MAXIFS(Donasi!$A$2:$A$20000,Donasi!$B$2:$B$20000,A3482))</f>
        <v/>
      </c>
      <c r="C3482">
        <f>IF(A3482="","",COUNTIF(Donasi!$B$2:$B$20000,A3482))</f>
        <v/>
      </c>
      <c r="D3482">
        <f>IF(A3482="","",SUMIF(Donasi!$B$2:$B$20000,A3482,Donasi!$C$2:$C$20000))</f>
        <v/>
      </c>
      <c r="E3482">
        <f>IF(A3482="","",6-CEILING(PERCENTRANK.INC($B$3:$B$6000,B3482,4)*5+0.000001,1))</f>
        <v/>
      </c>
      <c r="F3482">
        <f>IF(A3482="","",MAX(1,CEILING(PERCENTRANK.INC($C$3:$C$6000,C3482,4)*5+0.000001,1)))</f>
        <v/>
      </c>
      <c r="G3482">
        <f>IF(A3482="","",MAX(1,CEILING(PERCENTRANK.INC($D$3:$D$6000,D3482,4)*5+0.000001,1)))</f>
        <v/>
      </c>
      <c r="H3482">
        <f>IF(A3482="","",E3482&amp;F3482&amp;G3482)</f>
        <v/>
      </c>
      <c r="I3482">
        <f>IF(A3482="","",IF(AND(E3482&gt;=4,F3482&gt;=4,G3482&gt;=4),"Juara",IF(AND(F3482&gt;=4,E3482&gt;=3),"Setia",IF(AND(E3482=5,F3482&lt;=2,G3482&gt;=3),"Berpotensi",IF(AND(E3482&lt;=3,E3482&gt;=2,F3482&gt;=3),"Rawan",IF(AND(E3482&lt;=2,F3482&lt;=2),"Tidur","Umum"))))))</f>
        <v/>
      </c>
    </row>
    <row r="3483">
      <c r="B3483">
        <f>IF(A3483="","",$B$1-MAXIFS(Donasi!$A$2:$A$20000,Donasi!$B$2:$B$20000,A3483))</f>
        <v/>
      </c>
      <c r="C3483">
        <f>IF(A3483="","",COUNTIF(Donasi!$B$2:$B$20000,A3483))</f>
        <v/>
      </c>
      <c r="D3483">
        <f>IF(A3483="","",SUMIF(Donasi!$B$2:$B$20000,A3483,Donasi!$C$2:$C$20000))</f>
        <v/>
      </c>
      <c r="E3483">
        <f>IF(A3483="","",6-CEILING(PERCENTRANK.INC($B$3:$B$6000,B3483,4)*5+0.000001,1))</f>
        <v/>
      </c>
      <c r="F3483">
        <f>IF(A3483="","",MAX(1,CEILING(PERCENTRANK.INC($C$3:$C$6000,C3483,4)*5+0.000001,1)))</f>
        <v/>
      </c>
      <c r="G3483">
        <f>IF(A3483="","",MAX(1,CEILING(PERCENTRANK.INC($D$3:$D$6000,D3483,4)*5+0.000001,1)))</f>
        <v/>
      </c>
      <c r="H3483">
        <f>IF(A3483="","",E3483&amp;F3483&amp;G3483)</f>
        <v/>
      </c>
      <c r="I3483">
        <f>IF(A3483="","",IF(AND(E3483&gt;=4,F3483&gt;=4,G3483&gt;=4),"Juara",IF(AND(F3483&gt;=4,E3483&gt;=3),"Setia",IF(AND(E3483=5,F3483&lt;=2,G3483&gt;=3),"Berpotensi",IF(AND(E3483&lt;=3,E3483&gt;=2,F3483&gt;=3),"Rawan",IF(AND(E3483&lt;=2,F3483&lt;=2),"Tidur","Umum"))))))</f>
        <v/>
      </c>
    </row>
    <row r="3484">
      <c r="B3484">
        <f>IF(A3484="","",$B$1-MAXIFS(Donasi!$A$2:$A$20000,Donasi!$B$2:$B$20000,A3484))</f>
        <v/>
      </c>
      <c r="C3484">
        <f>IF(A3484="","",COUNTIF(Donasi!$B$2:$B$20000,A3484))</f>
        <v/>
      </c>
      <c r="D3484">
        <f>IF(A3484="","",SUMIF(Donasi!$B$2:$B$20000,A3484,Donasi!$C$2:$C$20000))</f>
        <v/>
      </c>
      <c r="E3484">
        <f>IF(A3484="","",6-CEILING(PERCENTRANK.INC($B$3:$B$6000,B3484,4)*5+0.000001,1))</f>
        <v/>
      </c>
      <c r="F3484">
        <f>IF(A3484="","",MAX(1,CEILING(PERCENTRANK.INC($C$3:$C$6000,C3484,4)*5+0.000001,1)))</f>
        <v/>
      </c>
      <c r="G3484">
        <f>IF(A3484="","",MAX(1,CEILING(PERCENTRANK.INC($D$3:$D$6000,D3484,4)*5+0.000001,1)))</f>
        <v/>
      </c>
      <c r="H3484">
        <f>IF(A3484="","",E3484&amp;F3484&amp;G3484)</f>
        <v/>
      </c>
      <c r="I3484">
        <f>IF(A3484="","",IF(AND(E3484&gt;=4,F3484&gt;=4,G3484&gt;=4),"Juara",IF(AND(F3484&gt;=4,E3484&gt;=3),"Setia",IF(AND(E3484=5,F3484&lt;=2,G3484&gt;=3),"Berpotensi",IF(AND(E3484&lt;=3,E3484&gt;=2,F3484&gt;=3),"Rawan",IF(AND(E3484&lt;=2,F3484&lt;=2),"Tidur","Umum"))))))</f>
        <v/>
      </c>
    </row>
    <row r="3485">
      <c r="B3485">
        <f>IF(A3485="","",$B$1-MAXIFS(Donasi!$A$2:$A$20000,Donasi!$B$2:$B$20000,A3485))</f>
        <v/>
      </c>
      <c r="C3485">
        <f>IF(A3485="","",COUNTIF(Donasi!$B$2:$B$20000,A3485))</f>
        <v/>
      </c>
      <c r="D3485">
        <f>IF(A3485="","",SUMIF(Donasi!$B$2:$B$20000,A3485,Donasi!$C$2:$C$20000))</f>
        <v/>
      </c>
      <c r="E3485">
        <f>IF(A3485="","",6-CEILING(PERCENTRANK.INC($B$3:$B$6000,B3485,4)*5+0.000001,1))</f>
        <v/>
      </c>
      <c r="F3485">
        <f>IF(A3485="","",MAX(1,CEILING(PERCENTRANK.INC($C$3:$C$6000,C3485,4)*5+0.000001,1)))</f>
        <v/>
      </c>
      <c r="G3485">
        <f>IF(A3485="","",MAX(1,CEILING(PERCENTRANK.INC($D$3:$D$6000,D3485,4)*5+0.000001,1)))</f>
        <v/>
      </c>
      <c r="H3485">
        <f>IF(A3485="","",E3485&amp;F3485&amp;G3485)</f>
        <v/>
      </c>
      <c r="I3485">
        <f>IF(A3485="","",IF(AND(E3485&gt;=4,F3485&gt;=4,G3485&gt;=4),"Juara",IF(AND(F3485&gt;=4,E3485&gt;=3),"Setia",IF(AND(E3485=5,F3485&lt;=2,G3485&gt;=3),"Berpotensi",IF(AND(E3485&lt;=3,E3485&gt;=2,F3485&gt;=3),"Rawan",IF(AND(E3485&lt;=2,F3485&lt;=2),"Tidur","Umum"))))))</f>
        <v/>
      </c>
    </row>
    <row r="3486">
      <c r="B3486">
        <f>IF(A3486="","",$B$1-MAXIFS(Donasi!$A$2:$A$20000,Donasi!$B$2:$B$20000,A3486))</f>
        <v/>
      </c>
      <c r="C3486">
        <f>IF(A3486="","",COUNTIF(Donasi!$B$2:$B$20000,A3486))</f>
        <v/>
      </c>
      <c r="D3486">
        <f>IF(A3486="","",SUMIF(Donasi!$B$2:$B$20000,A3486,Donasi!$C$2:$C$20000))</f>
        <v/>
      </c>
      <c r="E3486">
        <f>IF(A3486="","",6-CEILING(PERCENTRANK.INC($B$3:$B$6000,B3486,4)*5+0.000001,1))</f>
        <v/>
      </c>
      <c r="F3486">
        <f>IF(A3486="","",MAX(1,CEILING(PERCENTRANK.INC($C$3:$C$6000,C3486,4)*5+0.000001,1)))</f>
        <v/>
      </c>
      <c r="G3486">
        <f>IF(A3486="","",MAX(1,CEILING(PERCENTRANK.INC($D$3:$D$6000,D3486,4)*5+0.000001,1)))</f>
        <v/>
      </c>
      <c r="H3486">
        <f>IF(A3486="","",E3486&amp;F3486&amp;G3486)</f>
        <v/>
      </c>
      <c r="I3486">
        <f>IF(A3486="","",IF(AND(E3486&gt;=4,F3486&gt;=4,G3486&gt;=4),"Juara",IF(AND(F3486&gt;=4,E3486&gt;=3),"Setia",IF(AND(E3486=5,F3486&lt;=2,G3486&gt;=3),"Berpotensi",IF(AND(E3486&lt;=3,E3486&gt;=2,F3486&gt;=3),"Rawan",IF(AND(E3486&lt;=2,F3486&lt;=2),"Tidur","Umum"))))))</f>
        <v/>
      </c>
    </row>
    <row r="3487">
      <c r="B3487">
        <f>IF(A3487="","",$B$1-MAXIFS(Donasi!$A$2:$A$20000,Donasi!$B$2:$B$20000,A3487))</f>
        <v/>
      </c>
      <c r="C3487">
        <f>IF(A3487="","",COUNTIF(Donasi!$B$2:$B$20000,A3487))</f>
        <v/>
      </c>
      <c r="D3487">
        <f>IF(A3487="","",SUMIF(Donasi!$B$2:$B$20000,A3487,Donasi!$C$2:$C$20000))</f>
        <v/>
      </c>
      <c r="E3487">
        <f>IF(A3487="","",6-CEILING(PERCENTRANK.INC($B$3:$B$6000,B3487,4)*5+0.000001,1))</f>
        <v/>
      </c>
      <c r="F3487">
        <f>IF(A3487="","",MAX(1,CEILING(PERCENTRANK.INC($C$3:$C$6000,C3487,4)*5+0.000001,1)))</f>
        <v/>
      </c>
      <c r="G3487">
        <f>IF(A3487="","",MAX(1,CEILING(PERCENTRANK.INC($D$3:$D$6000,D3487,4)*5+0.000001,1)))</f>
        <v/>
      </c>
      <c r="H3487">
        <f>IF(A3487="","",E3487&amp;F3487&amp;G3487)</f>
        <v/>
      </c>
      <c r="I3487">
        <f>IF(A3487="","",IF(AND(E3487&gt;=4,F3487&gt;=4,G3487&gt;=4),"Juara",IF(AND(F3487&gt;=4,E3487&gt;=3),"Setia",IF(AND(E3487=5,F3487&lt;=2,G3487&gt;=3),"Berpotensi",IF(AND(E3487&lt;=3,E3487&gt;=2,F3487&gt;=3),"Rawan",IF(AND(E3487&lt;=2,F3487&lt;=2),"Tidur","Umum"))))))</f>
        <v/>
      </c>
    </row>
    <row r="3488">
      <c r="B3488">
        <f>IF(A3488="","",$B$1-MAXIFS(Donasi!$A$2:$A$20000,Donasi!$B$2:$B$20000,A3488))</f>
        <v/>
      </c>
      <c r="C3488">
        <f>IF(A3488="","",COUNTIF(Donasi!$B$2:$B$20000,A3488))</f>
        <v/>
      </c>
      <c r="D3488">
        <f>IF(A3488="","",SUMIF(Donasi!$B$2:$B$20000,A3488,Donasi!$C$2:$C$20000))</f>
        <v/>
      </c>
      <c r="E3488">
        <f>IF(A3488="","",6-CEILING(PERCENTRANK.INC($B$3:$B$6000,B3488,4)*5+0.000001,1))</f>
        <v/>
      </c>
      <c r="F3488">
        <f>IF(A3488="","",MAX(1,CEILING(PERCENTRANK.INC($C$3:$C$6000,C3488,4)*5+0.000001,1)))</f>
        <v/>
      </c>
      <c r="G3488">
        <f>IF(A3488="","",MAX(1,CEILING(PERCENTRANK.INC($D$3:$D$6000,D3488,4)*5+0.000001,1)))</f>
        <v/>
      </c>
      <c r="H3488">
        <f>IF(A3488="","",E3488&amp;F3488&amp;G3488)</f>
        <v/>
      </c>
      <c r="I3488">
        <f>IF(A3488="","",IF(AND(E3488&gt;=4,F3488&gt;=4,G3488&gt;=4),"Juara",IF(AND(F3488&gt;=4,E3488&gt;=3),"Setia",IF(AND(E3488=5,F3488&lt;=2,G3488&gt;=3),"Berpotensi",IF(AND(E3488&lt;=3,E3488&gt;=2,F3488&gt;=3),"Rawan",IF(AND(E3488&lt;=2,F3488&lt;=2),"Tidur","Umum"))))))</f>
        <v/>
      </c>
    </row>
    <row r="3489">
      <c r="B3489">
        <f>IF(A3489="","",$B$1-MAXIFS(Donasi!$A$2:$A$20000,Donasi!$B$2:$B$20000,A3489))</f>
        <v/>
      </c>
      <c r="C3489">
        <f>IF(A3489="","",COUNTIF(Donasi!$B$2:$B$20000,A3489))</f>
        <v/>
      </c>
      <c r="D3489">
        <f>IF(A3489="","",SUMIF(Donasi!$B$2:$B$20000,A3489,Donasi!$C$2:$C$20000))</f>
        <v/>
      </c>
      <c r="E3489">
        <f>IF(A3489="","",6-CEILING(PERCENTRANK.INC($B$3:$B$6000,B3489,4)*5+0.000001,1))</f>
        <v/>
      </c>
      <c r="F3489">
        <f>IF(A3489="","",MAX(1,CEILING(PERCENTRANK.INC($C$3:$C$6000,C3489,4)*5+0.000001,1)))</f>
        <v/>
      </c>
      <c r="G3489">
        <f>IF(A3489="","",MAX(1,CEILING(PERCENTRANK.INC($D$3:$D$6000,D3489,4)*5+0.000001,1)))</f>
        <v/>
      </c>
      <c r="H3489">
        <f>IF(A3489="","",E3489&amp;F3489&amp;G3489)</f>
        <v/>
      </c>
      <c r="I3489">
        <f>IF(A3489="","",IF(AND(E3489&gt;=4,F3489&gt;=4,G3489&gt;=4),"Juara",IF(AND(F3489&gt;=4,E3489&gt;=3),"Setia",IF(AND(E3489=5,F3489&lt;=2,G3489&gt;=3),"Berpotensi",IF(AND(E3489&lt;=3,E3489&gt;=2,F3489&gt;=3),"Rawan",IF(AND(E3489&lt;=2,F3489&lt;=2),"Tidur","Umum"))))))</f>
        <v/>
      </c>
    </row>
    <row r="3490">
      <c r="B3490">
        <f>IF(A3490="","",$B$1-MAXIFS(Donasi!$A$2:$A$20000,Donasi!$B$2:$B$20000,A3490))</f>
        <v/>
      </c>
      <c r="C3490">
        <f>IF(A3490="","",COUNTIF(Donasi!$B$2:$B$20000,A3490))</f>
        <v/>
      </c>
      <c r="D3490">
        <f>IF(A3490="","",SUMIF(Donasi!$B$2:$B$20000,A3490,Donasi!$C$2:$C$20000))</f>
        <v/>
      </c>
      <c r="E3490">
        <f>IF(A3490="","",6-CEILING(PERCENTRANK.INC($B$3:$B$6000,B3490,4)*5+0.000001,1))</f>
        <v/>
      </c>
      <c r="F3490">
        <f>IF(A3490="","",MAX(1,CEILING(PERCENTRANK.INC($C$3:$C$6000,C3490,4)*5+0.000001,1)))</f>
        <v/>
      </c>
      <c r="G3490">
        <f>IF(A3490="","",MAX(1,CEILING(PERCENTRANK.INC($D$3:$D$6000,D3490,4)*5+0.000001,1)))</f>
        <v/>
      </c>
      <c r="H3490">
        <f>IF(A3490="","",E3490&amp;F3490&amp;G3490)</f>
        <v/>
      </c>
      <c r="I3490">
        <f>IF(A3490="","",IF(AND(E3490&gt;=4,F3490&gt;=4,G3490&gt;=4),"Juara",IF(AND(F3490&gt;=4,E3490&gt;=3),"Setia",IF(AND(E3490=5,F3490&lt;=2,G3490&gt;=3),"Berpotensi",IF(AND(E3490&lt;=3,E3490&gt;=2,F3490&gt;=3),"Rawan",IF(AND(E3490&lt;=2,F3490&lt;=2),"Tidur","Umum"))))))</f>
        <v/>
      </c>
    </row>
    <row r="3491">
      <c r="B3491">
        <f>IF(A3491="","",$B$1-MAXIFS(Donasi!$A$2:$A$20000,Donasi!$B$2:$B$20000,A3491))</f>
        <v/>
      </c>
      <c r="C3491">
        <f>IF(A3491="","",COUNTIF(Donasi!$B$2:$B$20000,A3491))</f>
        <v/>
      </c>
      <c r="D3491">
        <f>IF(A3491="","",SUMIF(Donasi!$B$2:$B$20000,A3491,Donasi!$C$2:$C$20000))</f>
        <v/>
      </c>
      <c r="E3491">
        <f>IF(A3491="","",6-CEILING(PERCENTRANK.INC($B$3:$B$6000,B3491,4)*5+0.000001,1))</f>
        <v/>
      </c>
      <c r="F3491">
        <f>IF(A3491="","",MAX(1,CEILING(PERCENTRANK.INC($C$3:$C$6000,C3491,4)*5+0.000001,1)))</f>
        <v/>
      </c>
      <c r="G3491">
        <f>IF(A3491="","",MAX(1,CEILING(PERCENTRANK.INC($D$3:$D$6000,D3491,4)*5+0.000001,1)))</f>
        <v/>
      </c>
      <c r="H3491">
        <f>IF(A3491="","",E3491&amp;F3491&amp;G3491)</f>
        <v/>
      </c>
      <c r="I3491">
        <f>IF(A3491="","",IF(AND(E3491&gt;=4,F3491&gt;=4,G3491&gt;=4),"Juara",IF(AND(F3491&gt;=4,E3491&gt;=3),"Setia",IF(AND(E3491=5,F3491&lt;=2,G3491&gt;=3),"Berpotensi",IF(AND(E3491&lt;=3,E3491&gt;=2,F3491&gt;=3),"Rawan",IF(AND(E3491&lt;=2,F3491&lt;=2),"Tidur","Umum"))))))</f>
        <v/>
      </c>
    </row>
    <row r="3492">
      <c r="B3492">
        <f>IF(A3492="","",$B$1-MAXIFS(Donasi!$A$2:$A$20000,Donasi!$B$2:$B$20000,A3492))</f>
        <v/>
      </c>
      <c r="C3492">
        <f>IF(A3492="","",COUNTIF(Donasi!$B$2:$B$20000,A3492))</f>
        <v/>
      </c>
      <c r="D3492">
        <f>IF(A3492="","",SUMIF(Donasi!$B$2:$B$20000,A3492,Donasi!$C$2:$C$20000))</f>
        <v/>
      </c>
      <c r="E3492">
        <f>IF(A3492="","",6-CEILING(PERCENTRANK.INC($B$3:$B$6000,B3492,4)*5+0.000001,1))</f>
        <v/>
      </c>
      <c r="F3492">
        <f>IF(A3492="","",MAX(1,CEILING(PERCENTRANK.INC($C$3:$C$6000,C3492,4)*5+0.000001,1)))</f>
        <v/>
      </c>
      <c r="G3492">
        <f>IF(A3492="","",MAX(1,CEILING(PERCENTRANK.INC($D$3:$D$6000,D3492,4)*5+0.000001,1)))</f>
        <v/>
      </c>
      <c r="H3492">
        <f>IF(A3492="","",E3492&amp;F3492&amp;G3492)</f>
        <v/>
      </c>
      <c r="I3492">
        <f>IF(A3492="","",IF(AND(E3492&gt;=4,F3492&gt;=4,G3492&gt;=4),"Juara",IF(AND(F3492&gt;=4,E3492&gt;=3),"Setia",IF(AND(E3492=5,F3492&lt;=2,G3492&gt;=3),"Berpotensi",IF(AND(E3492&lt;=3,E3492&gt;=2,F3492&gt;=3),"Rawan",IF(AND(E3492&lt;=2,F3492&lt;=2),"Tidur","Umum"))))))</f>
        <v/>
      </c>
    </row>
    <row r="3493">
      <c r="B3493">
        <f>IF(A3493="","",$B$1-MAXIFS(Donasi!$A$2:$A$20000,Donasi!$B$2:$B$20000,A3493))</f>
        <v/>
      </c>
      <c r="C3493">
        <f>IF(A3493="","",COUNTIF(Donasi!$B$2:$B$20000,A3493))</f>
        <v/>
      </c>
      <c r="D3493">
        <f>IF(A3493="","",SUMIF(Donasi!$B$2:$B$20000,A3493,Donasi!$C$2:$C$20000))</f>
        <v/>
      </c>
      <c r="E3493">
        <f>IF(A3493="","",6-CEILING(PERCENTRANK.INC($B$3:$B$6000,B3493,4)*5+0.000001,1))</f>
        <v/>
      </c>
      <c r="F3493">
        <f>IF(A3493="","",MAX(1,CEILING(PERCENTRANK.INC($C$3:$C$6000,C3493,4)*5+0.000001,1)))</f>
        <v/>
      </c>
      <c r="G3493">
        <f>IF(A3493="","",MAX(1,CEILING(PERCENTRANK.INC($D$3:$D$6000,D3493,4)*5+0.000001,1)))</f>
        <v/>
      </c>
      <c r="H3493">
        <f>IF(A3493="","",E3493&amp;F3493&amp;G3493)</f>
        <v/>
      </c>
      <c r="I3493">
        <f>IF(A3493="","",IF(AND(E3493&gt;=4,F3493&gt;=4,G3493&gt;=4),"Juara",IF(AND(F3493&gt;=4,E3493&gt;=3),"Setia",IF(AND(E3493=5,F3493&lt;=2,G3493&gt;=3),"Berpotensi",IF(AND(E3493&lt;=3,E3493&gt;=2,F3493&gt;=3),"Rawan",IF(AND(E3493&lt;=2,F3493&lt;=2),"Tidur","Umum"))))))</f>
        <v/>
      </c>
    </row>
    <row r="3494">
      <c r="B3494">
        <f>IF(A3494="","",$B$1-MAXIFS(Donasi!$A$2:$A$20000,Donasi!$B$2:$B$20000,A3494))</f>
        <v/>
      </c>
      <c r="C3494">
        <f>IF(A3494="","",COUNTIF(Donasi!$B$2:$B$20000,A3494))</f>
        <v/>
      </c>
      <c r="D3494">
        <f>IF(A3494="","",SUMIF(Donasi!$B$2:$B$20000,A3494,Donasi!$C$2:$C$20000))</f>
        <v/>
      </c>
      <c r="E3494">
        <f>IF(A3494="","",6-CEILING(PERCENTRANK.INC($B$3:$B$6000,B3494,4)*5+0.000001,1))</f>
        <v/>
      </c>
      <c r="F3494">
        <f>IF(A3494="","",MAX(1,CEILING(PERCENTRANK.INC($C$3:$C$6000,C3494,4)*5+0.000001,1)))</f>
        <v/>
      </c>
      <c r="G3494">
        <f>IF(A3494="","",MAX(1,CEILING(PERCENTRANK.INC($D$3:$D$6000,D3494,4)*5+0.000001,1)))</f>
        <v/>
      </c>
      <c r="H3494">
        <f>IF(A3494="","",E3494&amp;F3494&amp;G3494)</f>
        <v/>
      </c>
      <c r="I3494">
        <f>IF(A3494="","",IF(AND(E3494&gt;=4,F3494&gt;=4,G3494&gt;=4),"Juara",IF(AND(F3494&gt;=4,E3494&gt;=3),"Setia",IF(AND(E3494=5,F3494&lt;=2,G3494&gt;=3),"Berpotensi",IF(AND(E3494&lt;=3,E3494&gt;=2,F3494&gt;=3),"Rawan",IF(AND(E3494&lt;=2,F3494&lt;=2),"Tidur","Umum"))))))</f>
        <v/>
      </c>
    </row>
    <row r="3495">
      <c r="B3495">
        <f>IF(A3495="","",$B$1-MAXIFS(Donasi!$A$2:$A$20000,Donasi!$B$2:$B$20000,A3495))</f>
        <v/>
      </c>
      <c r="C3495">
        <f>IF(A3495="","",COUNTIF(Donasi!$B$2:$B$20000,A3495))</f>
        <v/>
      </c>
      <c r="D3495">
        <f>IF(A3495="","",SUMIF(Donasi!$B$2:$B$20000,A3495,Donasi!$C$2:$C$20000))</f>
        <v/>
      </c>
      <c r="E3495">
        <f>IF(A3495="","",6-CEILING(PERCENTRANK.INC($B$3:$B$6000,B3495,4)*5+0.000001,1))</f>
        <v/>
      </c>
      <c r="F3495">
        <f>IF(A3495="","",MAX(1,CEILING(PERCENTRANK.INC($C$3:$C$6000,C3495,4)*5+0.000001,1)))</f>
        <v/>
      </c>
      <c r="G3495">
        <f>IF(A3495="","",MAX(1,CEILING(PERCENTRANK.INC($D$3:$D$6000,D3495,4)*5+0.000001,1)))</f>
        <v/>
      </c>
      <c r="H3495">
        <f>IF(A3495="","",E3495&amp;F3495&amp;G3495)</f>
        <v/>
      </c>
      <c r="I3495">
        <f>IF(A3495="","",IF(AND(E3495&gt;=4,F3495&gt;=4,G3495&gt;=4),"Juara",IF(AND(F3495&gt;=4,E3495&gt;=3),"Setia",IF(AND(E3495=5,F3495&lt;=2,G3495&gt;=3),"Berpotensi",IF(AND(E3495&lt;=3,E3495&gt;=2,F3495&gt;=3),"Rawan",IF(AND(E3495&lt;=2,F3495&lt;=2),"Tidur","Umum"))))))</f>
        <v/>
      </c>
    </row>
    <row r="3496">
      <c r="B3496">
        <f>IF(A3496="","",$B$1-MAXIFS(Donasi!$A$2:$A$20000,Donasi!$B$2:$B$20000,A3496))</f>
        <v/>
      </c>
      <c r="C3496">
        <f>IF(A3496="","",COUNTIF(Donasi!$B$2:$B$20000,A3496))</f>
        <v/>
      </c>
      <c r="D3496">
        <f>IF(A3496="","",SUMIF(Donasi!$B$2:$B$20000,A3496,Donasi!$C$2:$C$20000))</f>
        <v/>
      </c>
      <c r="E3496">
        <f>IF(A3496="","",6-CEILING(PERCENTRANK.INC($B$3:$B$6000,B3496,4)*5+0.000001,1))</f>
        <v/>
      </c>
      <c r="F3496">
        <f>IF(A3496="","",MAX(1,CEILING(PERCENTRANK.INC($C$3:$C$6000,C3496,4)*5+0.000001,1)))</f>
        <v/>
      </c>
      <c r="G3496">
        <f>IF(A3496="","",MAX(1,CEILING(PERCENTRANK.INC($D$3:$D$6000,D3496,4)*5+0.000001,1)))</f>
        <v/>
      </c>
      <c r="H3496">
        <f>IF(A3496="","",E3496&amp;F3496&amp;G3496)</f>
        <v/>
      </c>
      <c r="I3496">
        <f>IF(A3496="","",IF(AND(E3496&gt;=4,F3496&gt;=4,G3496&gt;=4),"Juara",IF(AND(F3496&gt;=4,E3496&gt;=3),"Setia",IF(AND(E3496=5,F3496&lt;=2,G3496&gt;=3),"Berpotensi",IF(AND(E3496&lt;=3,E3496&gt;=2,F3496&gt;=3),"Rawan",IF(AND(E3496&lt;=2,F3496&lt;=2),"Tidur","Umum"))))))</f>
        <v/>
      </c>
    </row>
    <row r="3497">
      <c r="B3497">
        <f>IF(A3497="","",$B$1-MAXIFS(Donasi!$A$2:$A$20000,Donasi!$B$2:$B$20000,A3497))</f>
        <v/>
      </c>
      <c r="C3497">
        <f>IF(A3497="","",COUNTIF(Donasi!$B$2:$B$20000,A3497))</f>
        <v/>
      </c>
      <c r="D3497">
        <f>IF(A3497="","",SUMIF(Donasi!$B$2:$B$20000,A3497,Donasi!$C$2:$C$20000))</f>
        <v/>
      </c>
      <c r="E3497">
        <f>IF(A3497="","",6-CEILING(PERCENTRANK.INC($B$3:$B$6000,B3497,4)*5+0.000001,1))</f>
        <v/>
      </c>
      <c r="F3497">
        <f>IF(A3497="","",MAX(1,CEILING(PERCENTRANK.INC($C$3:$C$6000,C3497,4)*5+0.000001,1)))</f>
        <v/>
      </c>
      <c r="G3497">
        <f>IF(A3497="","",MAX(1,CEILING(PERCENTRANK.INC($D$3:$D$6000,D3497,4)*5+0.000001,1)))</f>
        <v/>
      </c>
      <c r="H3497">
        <f>IF(A3497="","",E3497&amp;F3497&amp;G3497)</f>
        <v/>
      </c>
      <c r="I3497">
        <f>IF(A3497="","",IF(AND(E3497&gt;=4,F3497&gt;=4,G3497&gt;=4),"Juara",IF(AND(F3497&gt;=4,E3497&gt;=3),"Setia",IF(AND(E3497=5,F3497&lt;=2,G3497&gt;=3),"Berpotensi",IF(AND(E3497&lt;=3,E3497&gt;=2,F3497&gt;=3),"Rawan",IF(AND(E3497&lt;=2,F3497&lt;=2),"Tidur","Umum"))))))</f>
        <v/>
      </c>
    </row>
    <row r="3498">
      <c r="B3498">
        <f>IF(A3498="","",$B$1-MAXIFS(Donasi!$A$2:$A$20000,Donasi!$B$2:$B$20000,A3498))</f>
        <v/>
      </c>
      <c r="C3498">
        <f>IF(A3498="","",COUNTIF(Donasi!$B$2:$B$20000,A3498))</f>
        <v/>
      </c>
      <c r="D3498">
        <f>IF(A3498="","",SUMIF(Donasi!$B$2:$B$20000,A3498,Donasi!$C$2:$C$20000))</f>
        <v/>
      </c>
      <c r="E3498">
        <f>IF(A3498="","",6-CEILING(PERCENTRANK.INC($B$3:$B$6000,B3498,4)*5+0.000001,1))</f>
        <v/>
      </c>
      <c r="F3498">
        <f>IF(A3498="","",MAX(1,CEILING(PERCENTRANK.INC($C$3:$C$6000,C3498,4)*5+0.000001,1)))</f>
        <v/>
      </c>
      <c r="G3498">
        <f>IF(A3498="","",MAX(1,CEILING(PERCENTRANK.INC($D$3:$D$6000,D3498,4)*5+0.000001,1)))</f>
        <v/>
      </c>
      <c r="H3498">
        <f>IF(A3498="","",E3498&amp;F3498&amp;G3498)</f>
        <v/>
      </c>
      <c r="I3498">
        <f>IF(A3498="","",IF(AND(E3498&gt;=4,F3498&gt;=4,G3498&gt;=4),"Juara",IF(AND(F3498&gt;=4,E3498&gt;=3),"Setia",IF(AND(E3498=5,F3498&lt;=2,G3498&gt;=3),"Berpotensi",IF(AND(E3498&lt;=3,E3498&gt;=2,F3498&gt;=3),"Rawan",IF(AND(E3498&lt;=2,F3498&lt;=2),"Tidur","Umum"))))))</f>
        <v/>
      </c>
    </row>
    <row r="3499">
      <c r="B3499">
        <f>IF(A3499="","",$B$1-MAXIFS(Donasi!$A$2:$A$20000,Donasi!$B$2:$B$20000,A3499))</f>
        <v/>
      </c>
      <c r="C3499">
        <f>IF(A3499="","",COUNTIF(Donasi!$B$2:$B$20000,A3499))</f>
        <v/>
      </c>
      <c r="D3499">
        <f>IF(A3499="","",SUMIF(Donasi!$B$2:$B$20000,A3499,Donasi!$C$2:$C$20000))</f>
        <v/>
      </c>
      <c r="E3499">
        <f>IF(A3499="","",6-CEILING(PERCENTRANK.INC($B$3:$B$6000,B3499,4)*5+0.000001,1))</f>
        <v/>
      </c>
      <c r="F3499">
        <f>IF(A3499="","",MAX(1,CEILING(PERCENTRANK.INC($C$3:$C$6000,C3499,4)*5+0.000001,1)))</f>
        <v/>
      </c>
      <c r="G3499">
        <f>IF(A3499="","",MAX(1,CEILING(PERCENTRANK.INC($D$3:$D$6000,D3499,4)*5+0.000001,1)))</f>
        <v/>
      </c>
      <c r="H3499">
        <f>IF(A3499="","",E3499&amp;F3499&amp;G3499)</f>
        <v/>
      </c>
      <c r="I3499">
        <f>IF(A3499="","",IF(AND(E3499&gt;=4,F3499&gt;=4,G3499&gt;=4),"Juara",IF(AND(F3499&gt;=4,E3499&gt;=3),"Setia",IF(AND(E3499=5,F3499&lt;=2,G3499&gt;=3),"Berpotensi",IF(AND(E3499&lt;=3,E3499&gt;=2,F3499&gt;=3),"Rawan",IF(AND(E3499&lt;=2,F3499&lt;=2),"Tidur","Umum"))))))</f>
        <v/>
      </c>
    </row>
    <row r="3500">
      <c r="B3500">
        <f>IF(A3500="","",$B$1-MAXIFS(Donasi!$A$2:$A$20000,Donasi!$B$2:$B$20000,A3500))</f>
        <v/>
      </c>
      <c r="C3500">
        <f>IF(A3500="","",COUNTIF(Donasi!$B$2:$B$20000,A3500))</f>
        <v/>
      </c>
      <c r="D3500">
        <f>IF(A3500="","",SUMIF(Donasi!$B$2:$B$20000,A3500,Donasi!$C$2:$C$20000))</f>
        <v/>
      </c>
      <c r="E3500">
        <f>IF(A3500="","",6-CEILING(PERCENTRANK.INC($B$3:$B$6000,B3500,4)*5+0.000001,1))</f>
        <v/>
      </c>
      <c r="F3500">
        <f>IF(A3500="","",MAX(1,CEILING(PERCENTRANK.INC($C$3:$C$6000,C3500,4)*5+0.000001,1)))</f>
        <v/>
      </c>
      <c r="G3500">
        <f>IF(A3500="","",MAX(1,CEILING(PERCENTRANK.INC($D$3:$D$6000,D3500,4)*5+0.000001,1)))</f>
        <v/>
      </c>
      <c r="H3500">
        <f>IF(A3500="","",E3500&amp;F3500&amp;G3500)</f>
        <v/>
      </c>
      <c r="I3500">
        <f>IF(A3500="","",IF(AND(E3500&gt;=4,F3500&gt;=4,G3500&gt;=4),"Juara",IF(AND(F3500&gt;=4,E3500&gt;=3),"Setia",IF(AND(E3500=5,F3500&lt;=2,G3500&gt;=3),"Berpotensi",IF(AND(E3500&lt;=3,E3500&gt;=2,F3500&gt;=3),"Rawan",IF(AND(E3500&lt;=2,F3500&lt;=2),"Tidur","Umum"))))))</f>
        <v/>
      </c>
    </row>
    <row r="3501">
      <c r="B3501">
        <f>IF(A3501="","",$B$1-MAXIFS(Donasi!$A$2:$A$20000,Donasi!$B$2:$B$20000,A3501))</f>
        <v/>
      </c>
      <c r="C3501">
        <f>IF(A3501="","",COUNTIF(Donasi!$B$2:$B$20000,A3501))</f>
        <v/>
      </c>
      <c r="D3501">
        <f>IF(A3501="","",SUMIF(Donasi!$B$2:$B$20000,A3501,Donasi!$C$2:$C$20000))</f>
        <v/>
      </c>
      <c r="E3501">
        <f>IF(A3501="","",6-CEILING(PERCENTRANK.INC($B$3:$B$6000,B3501,4)*5+0.000001,1))</f>
        <v/>
      </c>
      <c r="F3501">
        <f>IF(A3501="","",MAX(1,CEILING(PERCENTRANK.INC($C$3:$C$6000,C3501,4)*5+0.000001,1)))</f>
        <v/>
      </c>
      <c r="G3501">
        <f>IF(A3501="","",MAX(1,CEILING(PERCENTRANK.INC($D$3:$D$6000,D3501,4)*5+0.000001,1)))</f>
        <v/>
      </c>
      <c r="H3501">
        <f>IF(A3501="","",E3501&amp;F3501&amp;G3501)</f>
        <v/>
      </c>
      <c r="I3501">
        <f>IF(A3501="","",IF(AND(E3501&gt;=4,F3501&gt;=4,G3501&gt;=4),"Juara",IF(AND(F3501&gt;=4,E3501&gt;=3),"Setia",IF(AND(E3501=5,F3501&lt;=2,G3501&gt;=3),"Berpotensi",IF(AND(E3501&lt;=3,E3501&gt;=2,F3501&gt;=3),"Rawan",IF(AND(E3501&lt;=2,F3501&lt;=2),"Tidur","Umum"))))))</f>
        <v/>
      </c>
    </row>
    <row r="3502">
      <c r="B3502">
        <f>IF(A3502="","",$B$1-MAXIFS(Donasi!$A$2:$A$20000,Donasi!$B$2:$B$20000,A3502))</f>
        <v/>
      </c>
      <c r="C3502">
        <f>IF(A3502="","",COUNTIF(Donasi!$B$2:$B$20000,A3502))</f>
        <v/>
      </c>
      <c r="D3502">
        <f>IF(A3502="","",SUMIF(Donasi!$B$2:$B$20000,A3502,Donasi!$C$2:$C$20000))</f>
        <v/>
      </c>
      <c r="E3502">
        <f>IF(A3502="","",6-CEILING(PERCENTRANK.INC($B$3:$B$6000,B3502,4)*5+0.000001,1))</f>
        <v/>
      </c>
      <c r="F3502">
        <f>IF(A3502="","",MAX(1,CEILING(PERCENTRANK.INC($C$3:$C$6000,C3502,4)*5+0.000001,1)))</f>
        <v/>
      </c>
      <c r="G3502">
        <f>IF(A3502="","",MAX(1,CEILING(PERCENTRANK.INC($D$3:$D$6000,D3502,4)*5+0.000001,1)))</f>
        <v/>
      </c>
      <c r="H3502">
        <f>IF(A3502="","",E3502&amp;F3502&amp;G3502)</f>
        <v/>
      </c>
      <c r="I3502">
        <f>IF(A3502="","",IF(AND(E3502&gt;=4,F3502&gt;=4,G3502&gt;=4),"Juara",IF(AND(F3502&gt;=4,E3502&gt;=3),"Setia",IF(AND(E3502=5,F3502&lt;=2,G3502&gt;=3),"Berpotensi",IF(AND(E3502&lt;=3,E3502&gt;=2,F3502&gt;=3),"Rawan",IF(AND(E3502&lt;=2,F3502&lt;=2),"Tidur","Umum"))))))</f>
        <v/>
      </c>
    </row>
    <row r="3503">
      <c r="B3503">
        <f>IF(A3503="","",$B$1-MAXIFS(Donasi!$A$2:$A$20000,Donasi!$B$2:$B$20000,A3503))</f>
        <v/>
      </c>
      <c r="C3503">
        <f>IF(A3503="","",COUNTIF(Donasi!$B$2:$B$20000,A3503))</f>
        <v/>
      </c>
      <c r="D3503">
        <f>IF(A3503="","",SUMIF(Donasi!$B$2:$B$20000,A3503,Donasi!$C$2:$C$20000))</f>
        <v/>
      </c>
      <c r="E3503">
        <f>IF(A3503="","",6-CEILING(PERCENTRANK.INC($B$3:$B$6000,B3503,4)*5+0.000001,1))</f>
        <v/>
      </c>
      <c r="F3503">
        <f>IF(A3503="","",MAX(1,CEILING(PERCENTRANK.INC($C$3:$C$6000,C3503,4)*5+0.000001,1)))</f>
        <v/>
      </c>
      <c r="G3503">
        <f>IF(A3503="","",MAX(1,CEILING(PERCENTRANK.INC($D$3:$D$6000,D3503,4)*5+0.000001,1)))</f>
        <v/>
      </c>
      <c r="H3503">
        <f>IF(A3503="","",E3503&amp;F3503&amp;G3503)</f>
        <v/>
      </c>
      <c r="I3503">
        <f>IF(A3503="","",IF(AND(E3503&gt;=4,F3503&gt;=4,G3503&gt;=4),"Juara",IF(AND(F3503&gt;=4,E3503&gt;=3),"Setia",IF(AND(E3503=5,F3503&lt;=2,G3503&gt;=3),"Berpotensi",IF(AND(E3503&lt;=3,E3503&gt;=2,F3503&gt;=3),"Rawan",IF(AND(E3503&lt;=2,F3503&lt;=2),"Tidur","Umum"))))))</f>
        <v/>
      </c>
    </row>
    <row r="3504">
      <c r="B3504">
        <f>IF(A3504="","",$B$1-MAXIFS(Donasi!$A$2:$A$20000,Donasi!$B$2:$B$20000,A3504))</f>
        <v/>
      </c>
      <c r="C3504">
        <f>IF(A3504="","",COUNTIF(Donasi!$B$2:$B$20000,A3504))</f>
        <v/>
      </c>
      <c r="D3504">
        <f>IF(A3504="","",SUMIF(Donasi!$B$2:$B$20000,A3504,Donasi!$C$2:$C$20000))</f>
        <v/>
      </c>
      <c r="E3504">
        <f>IF(A3504="","",6-CEILING(PERCENTRANK.INC($B$3:$B$6000,B3504,4)*5+0.000001,1))</f>
        <v/>
      </c>
      <c r="F3504">
        <f>IF(A3504="","",MAX(1,CEILING(PERCENTRANK.INC($C$3:$C$6000,C3504,4)*5+0.000001,1)))</f>
        <v/>
      </c>
      <c r="G3504">
        <f>IF(A3504="","",MAX(1,CEILING(PERCENTRANK.INC($D$3:$D$6000,D3504,4)*5+0.000001,1)))</f>
        <v/>
      </c>
      <c r="H3504">
        <f>IF(A3504="","",E3504&amp;F3504&amp;G3504)</f>
        <v/>
      </c>
      <c r="I3504">
        <f>IF(A3504="","",IF(AND(E3504&gt;=4,F3504&gt;=4,G3504&gt;=4),"Juara",IF(AND(F3504&gt;=4,E3504&gt;=3),"Setia",IF(AND(E3504=5,F3504&lt;=2,G3504&gt;=3),"Berpotensi",IF(AND(E3504&lt;=3,E3504&gt;=2,F3504&gt;=3),"Rawan",IF(AND(E3504&lt;=2,F3504&lt;=2),"Tidur","Umum"))))))</f>
        <v/>
      </c>
    </row>
    <row r="3505">
      <c r="B3505">
        <f>IF(A3505="","",$B$1-MAXIFS(Donasi!$A$2:$A$20000,Donasi!$B$2:$B$20000,A3505))</f>
        <v/>
      </c>
      <c r="C3505">
        <f>IF(A3505="","",COUNTIF(Donasi!$B$2:$B$20000,A3505))</f>
        <v/>
      </c>
      <c r="D3505">
        <f>IF(A3505="","",SUMIF(Donasi!$B$2:$B$20000,A3505,Donasi!$C$2:$C$20000))</f>
        <v/>
      </c>
      <c r="E3505">
        <f>IF(A3505="","",6-CEILING(PERCENTRANK.INC($B$3:$B$6000,B3505,4)*5+0.000001,1))</f>
        <v/>
      </c>
      <c r="F3505">
        <f>IF(A3505="","",MAX(1,CEILING(PERCENTRANK.INC($C$3:$C$6000,C3505,4)*5+0.000001,1)))</f>
        <v/>
      </c>
      <c r="G3505">
        <f>IF(A3505="","",MAX(1,CEILING(PERCENTRANK.INC($D$3:$D$6000,D3505,4)*5+0.000001,1)))</f>
        <v/>
      </c>
      <c r="H3505">
        <f>IF(A3505="","",E3505&amp;F3505&amp;G3505)</f>
        <v/>
      </c>
      <c r="I3505">
        <f>IF(A3505="","",IF(AND(E3505&gt;=4,F3505&gt;=4,G3505&gt;=4),"Juara",IF(AND(F3505&gt;=4,E3505&gt;=3),"Setia",IF(AND(E3505=5,F3505&lt;=2,G3505&gt;=3),"Berpotensi",IF(AND(E3505&lt;=3,E3505&gt;=2,F3505&gt;=3),"Rawan",IF(AND(E3505&lt;=2,F3505&lt;=2),"Tidur","Umum"))))))</f>
        <v/>
      </c>
    </row>
    <row r="3506">
      <c r="B3506">
        <f>IF(A3506="","",$B$1-MAXIFS(Donasi!$A$2:$A$20000,Donasi!$B$2:$B$20000,A3506))</f>
        <v/>
      </c>
      <c r="C3506">
        <f>IF(A3506="","",COUNTIF(Donasi!$B$2:$B$20000,A3506))</f>
        <v/>
      </c>
      <c r="D3506">
        <f>IF(A3506="","",SUMIF(Donasi!$B$2:$B$20000,A3506,Donasi!$C$2:$C$20000))</f>
        <v/>
      </c>
      <c r="E3506">
        <f>IF(A3506="","",6-CEILING(PERCENTRANK.INC($B$3:$B$6000,B3506,4)*5+0.000001,1))</f>
        <v/>
      </c>
      <c r="F3506">
        <f>IF(A3506="","",MAX(1,CEILING(PERCENTRANK.INC($C$3:$C$6000,C3506,4)*5+0.000001,1)))</f>
        <v/>
      </c>
      <c r="G3506">
        <f>IF(A3506="","",MAX(1,CEILING(PERCENTRANK.INC($D$3:$D$6000,D3506,4)*5+0.000001,1)))</f>
        <v/>
      </c>
      <c r="H3506">
        <f>IF(A3506="","",E3506&amp;F3506&amp;G3506)</f>
        <v/>
      </c>
      <c r="I3506">
        <f>IF(A3506="","",IF(AND(E3506&gt;=4,F3506&gt;=4,G3506&gt;=4),"Juara",IF(AND(F3506&gt;=4,E3506&gt;=3),"Setia",IF(AND(E3506=5,F3506&lt;=2,G3506&gt;=3),"Berpotensi",IF(AND(E3506&lt;=3,E3506&gt;=2,F3506&gt;=3),"Rawan",IF(AND(E3506&lt;=2,F3506&lt;=2),"Tidur","Umum"))))))</f>
        <v/>
      </c>
    </row>
    <row r="3507">
      <c r="B3507">
        <f>IF(A3507="","",$B$1-MAXIFS(Donasi!$A$2:$A$20000,Donasi!$B$2:$B$20000,A3507))</f>
        <v/>
      </c>
      <c r="C3507">
        <f>IF(A3507="","",COUNTIF(Donasi!$B$2:$B$20000,A3507))</f>
        <v/>
      </c>
      <c r="D3507">
        <f>IF(A3507="","",SUMIF(Donasi!$B$2:$B$20000,A3507,Donasi!$C$2:$C$20000))</f>
        <v/>
      </c>
      <c r="E3507">
        <f>IF(A3507="","",6-CEILING(PERCENTRANK.INC($B$3:$B$6000,B3507,4)*5+0.000001,1))</f>
        <v/>
      </c>
      <c r="F3507">
        <f>IF(A3507="","",MAX(1,CEILING(PERCENTRANK.INC($C$3:$C$6000,C3507,4)*5+0.000001,1)))</f>
        <v/>
      </c>
      <c r="G3507">
        <f>IF(A3507="","",MAX(1,CEILING(PERCENTRANK.INC($D$3:$D$6000,D3507,4)*5+0.000001,1)))</f>
        <v/>
      </c>
      <c r="H3507">
        <f>IF(A3507="","",E3507&amp;F3507&amp;G3507)</f>
        <v/>
      </c>
      <c r="I3507">
        <f>IF(A3507="","",IF(AND(E3507&gt;=4,F3507&gt;=4,G3507&gt;=4),"Juara",IF(AND(F3507&gt;=4,E3507&gt;=3),"Setia",IF(AND(E3507=5,F3507&lt;=2,G3507&gt;=3),"Berpotensi",IF(AND(E3507&lt;=3,E3507&gt;=2,F3507&gt;=3),"Rawan",IF(AND(E3507&lt;=2,F3507&lt;=2),"Tidur","Umum"))))))</f>
        <v/>
      </c>
    </row>
    <row r="3508">
      <c r="B3508">
        <f>IF(A3508="","",$B$1-MAXIFS(Donasi!$A$2:$A$20000,Donasi!$B$2:$B$20000,A3508))</f>
        <v/>
      </c>
      <c r="C3508">
        <f>IF(A3508="","",COUNTIF(Donasi!$B$2:$B$20000,A3508))</f>
        <v/>
      </c>
      <c r="D3508">
        <f>IF(A3508="","",SUMIF(Donasi!$B$2:$B$20000,A3508,Donasi!$C$2:$C$20000))</f>
        <v/>
      </c>
      <c r="E3508">
        <f>IF(A3508="","",6-CEILING(PERCENTRANK.INC($B$3:$B$6000,B3508,4)*5+0.000001,1))</f>
        <v/>
      </c>
      <c r="F3508">
        <f>IF(A3508="","",MAX(1,CEILING(PERCENTRANK.INC($C$3:$C$6000,C3508,4)*5+0.000001,1)))</f>
        <v/>
      </c>
      <c r="G3508">
        <f>IF(A3508="","",MAX(1,CEILING(PERCENTRANK.INC($D$3:$D$6000,D3508,4)*5+0.000001,1)))</f>
        <v/>
      </c>
      <c r="H3508">
        <f>IF(A3508="","",E3508&amp;F3508&amp;G3508)</f>
        <v/>
      </c>
      <c r="I3508">
        <f>IF(A3508="","",IF(AND(E3508&gt;=4,F3508&gt;=4,G3508&gt;=4),"Juara",IF(AND(F3508&gt;=4,E3508&gt;=3),"Setia",IF(AND(E3508=5,F3508&lt;=2,G3508&gt;=3),"Berpotensi",IF(AND(E3508&lt;=3,E3508&gt;=2,F3508&gt;=3),"Rawan",IF(AND(E3508&lt;=2,F3508&lt;=2),"Tidur","Umum"))))))</f>
        <v/>
      </c>
    </row>
    <row r="3509">
      <c r="B3509">
        <f>IF(A3509="","",$B$1-MAXIFS(Donasi!$A$2:$A$20000,Donasi!$B$2:$B$20000,A3509))</f>
        <v/>
      </c>
      <c r="C3509">
        <f>IF(A3509="","",COUNTIF(Donasi!$B$2:$B$20000,A3509))</f>
        <v/>
      </c>
      <c r="D3509">
        <f>IF(A3509="","",SUMIF(Donasi!$B$2:$B$20000,A3509,Donasi!$C$2:$C$20000))</f>
        <v/>
      </c>
      <c r="E3509">
        <f>IF(A3509="","",6-CEILING(PERCENTRANK.INC($B$3:$B$6000,B3509,4)*5+0.000001,1))</f>
        <v/>
      </c>
      <c r="F3509">
        <f>IF(A3509="","",MAX(1,CEILING(PERCENTRANK.INC($C$3:$C$6000,C3509,4)*5+0.000001,1)))</f>
        <v/>
      </c>
      <c r="G3509">
        <f>IF(A3509="","",MAX(1,CEILING(PERCENTRANK.INC($D$3:$D$6000,D3509,4)*5+0.000001,1)))</f>
        <v/>
      </c>
      <c r="H3509">
        <f>IF(A3509="","",E3509&amp;F3509&amp;G3509)</f>
        <v/>
      </c>
      <c r="I3509">
        <f>IF(A3509="","",IF(AND(E3509&gt;=4,F3509&gt;=4,G3509&gt;=4),"Juara",IF(AND(F3509&gt;=4,E3509&gt;=3),"Setia",IF(AND(E3509=5,F3509&lt;=2,G3509&gt;=3),"Berpotensi",IF(AND(E3509&lt;=3,E3509&gt;=2,F3509&gt;=3),"Rawan",IF(AND(E3509&lt;=2,F3509&lt;=2),"Tidur","Umum"))))))</f>
        <v/>
      </c>
    </row>
    <row r="3510">
      <c r="B3510">
        <f>IF(A3510="","",$B$1-MAXIFS(Donasi!$A$2:$A$20000,Donasi!$B$2:$B$20000,A3510))</f>
        <v/>
      </c>
      <c r="C3510">
        <f>IF(A3510="","",COUNTIF(Donasi!$B$2:$B$20000,A3510))</f>
        <v/>
      </c>
      <c r="D3510">
        <f>IF(A3510="","",SUMIF(Donasi!$B$2:$B$20000,A3510,Donasi!$C$2:$C$20000))</f>
        <v/>
      </c>
      <c r="E3510">
        <f>IF(A3510="","",6-CEILING(PERCENTRANK.INC($B$3:$B$6000,B3510,4)*5+0.000001,1))</f>
        <v/>
      </c>
      <c r="F3510">
        <f>IF(A3510="","",MAX(1,CEILING(PERCENTRANK.INC($C$3:$C$6000,C3510,4)*5+0.000001,1)))</f>
        <v/>
      </c>
      <c r="G3510">
        <f>IF(A3510="","",MAX(1,CEILING(PERCENTRANK.INC($D$3:$D$6000,D3510,4)*5+0.000001,1)))</f>
        <v/>
      </c>
      <c r="H3510">
        <f>IF(A3510="","",E3510&amp;F3510&amp;G3510)</f>
        <v/>
      </c>
      <c r="I3510">
        <f>IF(A3510="","",IF(AND(E3510&gt;=4,F3510&gt;=4,G3510&gt;=4),"Juara",IF(AND(F3510&gt;=4,E3510&gt;=3),"Setia",IF(AND(E3510=5,F3510&lt;=2,G3510&gt;=3),"Berpotensi",IF(AND(E3510&lt;=3,E3510&gt;=2,F3510&gt;=3),"Rawan",IF(AND(E3510&lt;=2,F3510&lt;=2),"Tidur","Umum"))))))</f>
        <v/>
      </c>
    </row>
    <row r="3511">
      <c r="B3511">
        <f>IF(A3511="","",$B$1-MAXIFS(Donasi!$A$2:$A$20000,Donasi!$B$2:$B$20000,A3511))</f>
        <v/>
      </c>
      <c r="C3511">
        <f>IF(A3511="","",COUNTIF(Donasi!$B$2:$B$20000,A3511))</f>
        <v/>
      </c>
      <c r="D3511">
        <f>IF(A3511="","",SUMIF(Donasi!$B$2:$B$20000,A3511,Donasi!$C$2:$C$20000))</f>
        <v/>
      </c>
      <c r="E3511">
        <f>IF(A3511="","",6-CEILING(PERCENTRANK.INC($B$3:$B$6000,B3511,4)*5+0.000001,1))</f>
        <v/>
      </c>
      <c r="F3511">
        <f>IF(A3511="","",MAX(1,CEILING(PERCENTRANK.INC($C$3:$C$6000,C3511,4)*5+0.000001,1)))</f>
        <v/>
      </c>
      <c r="G3511">
        <f>IF(A3511="","",MAX(1,CEILING(PERCENTRANK.INC($D$3:$D$6000,D3511,4)*5+0.000001,1)))</f>
        <v/>
      </c>
      <c r="H3511">
        <f>IF(A3511="","",E3511&amp;F3511&amp;G3511)</f>
        <v/>
      </c>
      <c r="I3511">
        <f>IF(A3511="","",IF(AND(E3511&gt;=4,F3511&gt;=4,G3511&gt;=4),"Juara",IF(AND(F3511&gt;=4,E3511&gt;=3),"Setia",IF(AND(E3511=5,F3511&lt;=2,G3511&gt;=3),"Berpotensi",IF(AND(E3511&lt;=3,E3511&gt;=2,F3511&gt;=3),"Rawan",IF(AND(E3511&lt;=2,F3511&lt;=2),"Tidur","Umum"))))))</f>
        <v/>
      </c>
    </row>
    <row r="3512">
      <c r="B3512">
        <f>IF(A3512="","",$B$1-MAXIFS(Donasi!$A$2:$A$20000,Donasi!$B$2:$B$20000,A3512))</f>
        <v/>
      </c>
      <c r="C3512">
        <f>IF(A3512="","",COUNTIF(Donasi!$B$2:$B$20000,A3512))</f>
        <v/>
      </c>
      <c r="D3512">
        <f>IF(A3512="","",SUMIF(Donasi!$B$2:$B$20000,A3512,Donasi!$C$2:$C$20000))</f>
        <v/>
      </c>
      <c r="E3512">
        <f>IF(A3512="","",6-CEILING(PERCENTRANK.INC($B$3:$B$6000,B3512,4)*5+0.000001,1))</f>
        <v/>
      </c>
      <c r="F3512">
        <f>IF(A3512="","",MAX(1,CEILING(PERCENTRANK.INC($C$3:$C$6000,C3512,4)*5+0.000001,1)))</f>
        <v/>
      </c>
      <c r="G3512">
        <f>IF(A3512="","",MAX(1,CEILING(PERCENTRANK.INC($D$3:$D$6000,D3512,4)*5+0.000001,1)))</f>
        <v/>
      </c>
      <c r="H3512">
        <f>IF(A3512="","",E3512&amp;F3512&amp;G3512)</f>
        <v/>
      </c>
      <c r="I3512">
        <f>IF(A3512="","",IF(AND(E3512&gt;=4,F3512&gt;=4,G3512&gt;=4),"Juara",IF(AND(F3512&gt;=4,E3512&gt;=3),"Setia",IF(AND(E3512=5,F3512&lt;=2,G3512&gt;=3),"Berpotensi",IF(AND(E3512&lt;=3,E3512&gt;=2,F3512&gt;=3),"Rawan",IF(AND(E3512&lt;=2,F3512&lt;=2),"Tidur","Umum"))))))</f>
        <v/>
      </c>
    </row>
    <row r="3513">
      <c r="B3513">
        <f>IF(A3513="","",$B$1-MAXIFS(Donasi!$A$2:$A$20000,Donasi!$B$2:$B$20000,A3513))</f>
        <v/>
      </c>
      <c r="C3513">
        <f>IF(A3513="","",COUNTIF(Donasi!$B$2:$B$20000,A3513))</f>
        <v/>
      </c>
      <c r="D3513">
        <f>IF(A3513="","",SUMIF(Donasi!$B$2:$B$20000,A3513,Donasi!$C$2:$C$20000))</f>
        <v/>
      </c>
      <c r="E3513">
        <f>IF(A3513="","",6-CEILING(PERCENTRANK.INC($B$3:$B$6000,B3513,4)*5+0.000001,1))</f>
        <v/>
      </c>
      <c r="F3513">
        <f>IF(A3513="","",MAX(1,CEILING(PERCENTRANK.INC($C$3:$C$6000,C3513,4)*5+0.000001,1)))</f>
        <v/>
      </c>
      <c r="G3513">
        <f>IF(A3513="","",MAX(1,CEILING(PERCENTRANK.INC($D$3:$D$6000,D3513,4)*5+0.000001,1)))</f>
        <v/>
      </c>
      <c r="H3513">
        <f>IF(A3513="","",E3513&amp;F3513&amp;G3513)</f>
        <v/>
      </c>
      <c r="I3513">
        <f>IF(A3513="","",IF(AND(E3513&gt;=4,F3513&gt;=4,G3513&gt;=4),"Juara",IF(AND(F3513&gt;=4,E3513&gt;=3),"Setia",IF(AND(E3513=5,F3513&lt;=2,G3513&gt;=3),"Berpotensi",IF(AND(E3513&lt;=3,E3513&gt;=2,F3513&gt;=3),"Rawan",IF(AND(E3513&lt;=2,F3513&lt;=2),"Tidur","Umum"))))))</f>
        <v/>
      </c>
    </row>
    <row r="3514">
      <c r="B3514">
        <f>IF(A3514="","",$B$1-MAXIFS(Donasi!$A$2:$A$20000,Donasi!$B$2:$B$20000,A3514))</f>
        <v/>
      </c>
      <c r="C3514">
        <f>IF(A3514="","",COUNTIF(Donasi!$B$2:$B$20000,A3514))</f>
        <v/>
      </c>
      <c r="D3514">
        <f>IF(A3514="","",SUMIF(Donasi!$B$2:$B$20000,A3514,Donasi!$C$2:$C$20000))</f>
        <v/>
      </c>
      <c r="E3514">
        <f>IF(A3514="","",6-CEILING(PERCENTRANK.INC($B$3:$B$6000,B3514,4)*5+0.000001,1))</f>
        <v/>
      </c>
      <c r="F3514">
        <f>IF(A3514="","",MAX(1,CEILING(PERCENTRANK.INC($C$3:$C$6000,C3514,4)*5+0.000001,1)))</f>
        <v/>
      </c>
      <c r="G3514">
        <f>IF(A3514="","",MAX(1,CEILING(PERCENTRANK.INC($D$3:$D$6000,D3514,4)*5+0.000001,1)))</f>
        <v/>
      </c>
      <c r="H3514">
        <f>IF(A3514="","",E3514&amp;F3514&amp;G3514)</f>
        <v/>
      </c>
      <c r="I3514">
        <f>IF(A3514="","",IF(AND(E3514&gt;=4,F3514&gt;=4,G3514&gt;=4),"Juara",IF(AND(F3514&gt;=4,E3514&gt;=3),"Setia",IF(AND(E3514=5,F3514&lt;=2,G3514&gt;=3),"Berpotensi",IF(AND(E3514&lt;=3,E3514&gt;=2,F3514&gt;=3),"Rawan",IF(AND(E3514&lt;=2,F3514&lt;=2),"Tidur","Umum"))))))</f>
        <v/>
      </c>
    </row>
    <row r="3515">
      <c r="B3515">
        <f>IF(A3515="","",$B$1-MAXIFS(Donasi!$A$2:$A$20000,Donasi!$B$2:$B$20000,A3515))</f>
        <v/>
      </c>
      <c r="C3515">
        <f>IF(A3515="","",COUNTIF(Donasi!$B$2:$B$20000,A3515))</f>
        <v/>
      </c>
      <c r="D3515">
        <f>IF(A3515="","",SUMIF(Donasi!$B$2:$B$20000,A3515,Donasi!$C$2:$C$20000))</f>
        <v/>
      </c>
      <c r="E3515">
        <f>IF(A3515="","",6-CEILING(PERCENTRANK.INC($B$3:$B$6000,B3515,4)*5+0.000001,1))</f>
        <v/>
      </c>
      <c r="F3515">
        <f>IF(A3515="","",MAX(1,CEILING(PERCENTRANK.INC($C$3:$C$6000,C3515,4)*5+0.000001,1)))</f>
        <v/>
      </c>
      <c r="G3515">
        <f>IF(A3515="","",MAX(1,CEILING(PERCENTRANK.INC($D$3:$D$6000,D3515,4)*5+0.000001,1)))</f>
        <v/>
      </c>
      <c r="H3515">
        <f>IF(A3515="","",E3515&amp;F3515&amp;G3515)</f>
        <v/>
      </c>
      <c r="I3515">
        <f>IF(A3515="","",IF(AND(E3515&gt;=4,F3515&gt;=4,G3515&gt;=4),"Juara",IF(AND(F3515&gt;=4,E3515&gt;=3),"Setia",IF(AND(E3515=5,F3515&lt;=2,G3515&gt;=3),"Berpotensi",IF(AND(E3515&lt;=3,E3515&gt;=2,F3515&gt;=3),"Rawan",IF(AND(E3515&lt;=2,F3515&lt;=2),"Tidur","Umum"))))))</f>
        <v/>
      </c>
    </row>
    <row r="3516">
      <c r="B3516">
        <f>IF(A3516="","",$B$1-MAXIFS(Donasi!$A$2:$A$20000,Donasi!$B$2:$B$20000,A3516))</f>
        <v/>
      </c>
      <c r="C3516">
        <f>IF(A3516="","",COUNTIF(Donasi!$B$2:$B$20000,A3516))</f>
        <v/>
      </c>
      <c r="D3516">
        <f>IF(A3516="","",SUMIF(Donasi!$B$2:$B$20000,A3516,Donasi!$C$2:$C$20000))</f>
        <v/>
      </c>
      <c r="E3516">
        <f>IF(A3516="","",6-CEILING(PERCENTRANK.INC($B$3:$B$6000,B3516,4)*5+0.000001,1))</f>
        <v/>
      </c>
      <c r="F3516">
        <f>IF(A3516="","",MAX(1,CEILING(PERCENTRANK.INC($C$3:$C$6000,C3516,4)*5+0.000001,1)))</f>
        <v/>
      </c>
      <c r="G3516">
        <f>IF(A3516="","",MAX(1,CEILING(PERCENTRANK.INC($D$3:$D$6000,D3516,4)*5+0.000001,1)))</f>
        <v/>
      </c>
      <c r="H3516">
        <f>IF(A3516="","",E3516&amp;F3516&amp;G3516)</f>
        <v/>
      </c>
      <c r="I3516">
        <f>IF(A3516="","",IF(AND(E3516&gt;=4,F3516&gt;=4,G3516&gt;=4),"Juara",IF(AND(F3516&gt;=4,E3516&gt;=3),"Setia",IF(AND(E3516=5,F3516&lt;=2,G3516&gt;=3),"Berpotensi",IF(AND(E3516&lt;=3,E3516&gt;=2,F3516&gt;=3),"Rawan",IF(AND(E3516&lt;=2,F3516&lt;=2),"Tidur","Umum"))))))</f>
        <v/>
      </c>
    </row>
    <row r="3517">
      <c r="B3517">
        <f>IF(A3517="","",$B$1-MAXIFS(Donasi!$A$2:$A$20000,Donasi!$B$2:$B$20000,A3517))</f>
        <v/>
      </c>
      <c r="C3517">
        <f>IF(A3517="","",COUNTIF(Donasi!$B$2:$B$20000,A3517))</f>
        <v/>
      </c>
      <c r="D3517">
        <f>IF(A3517="","",SUMIF(Donasi!$B$2:$B$20000,A3517,Donasi!$C$2:$C$20000))</f>
        <v/>
      </c>
      <c r="E3517">
        <f>IF(A3517="","",6-CEILING(PERCENTRANK.INC($B$3:$B$6000,B3517,4)*5+0.000001,1))</f>
        <v/>
      </c>
      <c r="F3517">
        <f>IF(A3517="","",MAX(1,CEILING(PERCENTRANK.INC($C$3:$C$6000,C3517,4)*5+0.000001,1)))</f>
        <v/>
      </c>
      <c r="G3517">
        <f>IF(A3517="","",MAX(1,CEILING(PERCENTRANK.INC($D$3:$D$6000,D3517,4)*5+0.000001,1)))</f>
        <v/>
      </c>
      <c r="H3517">
        <f>IF(A3517="","",E3517&amp;F3517&amp;G3517)</f>
        <v/>
      </c>
      <c r="I3517">
        <f>IF(A3517="","",IF(AND(E3517&gt;=4,F3517&gt;=4,G3517&gt;=4),"Juara",IF(AND(F3517&gt;=4,E3517&gt;=3),"Setia",IF(AND(E3517=5,F3517&lt;=2,G3517&gt;=3),"Berpotensi",IF(AND(E3517&lt;=3,E3517&gt;=2,F3517&gt;=3),"Rawan",IF(AND(E3517&lt;=2,F3517&lt;=2),"Tidur","Umum"))))))</f>
        <v/>
      </c>
    </row>
    <row r="3518">
      <c r="B3518">
        <f>IF(A3518="","",$B$1-MAXIFS(Donasi!$A$2:$A$20000,Donasi!$B$2:$B$20000,A3518))</f>
        <v/>
      </c>
      <c r="C3518">
        <f>IF(A3518="","",COUNTIF(Donasi!$B$2:$B$20000,A3518))</f>
        <v/>
      </c>
      <c r="D3518">
        <f>IF(A3518="","",SUMIF(Donasi!$B$2:$B$20000,A3518,Donasi!$C$2:$C$20000))</f>
        <v/>
      </c>
      <c r="E3518">
        <f>IF(A3518="","",6-CEILING(PERCENTRANK.INC($B$3:$B$6000,B3518,4)*5+0.000001,1))</f>
        <v/>
      </c>
      <c r="F3518">
        <f>IF(A3518="","",MAX(1,CEILING(PERCENTRANK.INC($C$3:$C$6000,C3518,4)*5+0.000001,1)))</f>
        <v/>
      </c>
      <c r="G3518">
        <f>IF(A3518="","",MAX(1,CEILING(PERCENTRANK.INC($D$3:$D$6000,D3518,4)*5+0.000001,1)))</f>
        <v/>
      </c>
      <c r="H3518">
        <f>IF(A3518="","",E3518&amp;F3518&amp;G3518)</f>
        <v/>
      </c>
      <c r="I3518">
        <f>IF(A3518="","",IF(AND(E3518&gt;=4,F3518&gt;=4,G3518&gt;=4),"Juara",IF(AND(F3518&gt;=4,E3518&gt;=3),"Setia",IF(AND(E3518=5,F3518&lt;=2,G3518&gt;=3),"Berpotensi",IF(AND(E3518&lt;=3,E3518&gt;=2,F3518&gt;=3),"Rawan",IF(AND(E3518&lt;=2,F3518&lt;=2),"Tidur","Umum"))))))</f>
        <v/>
      </c>
    </row>
    <row r="3519">
      <c r="B3519">
        <f>IF(A3519="","",$B$1-MAXIFS(Donasi!$A$2:$A$20000,Donasi!$B$2:$B$20000,A3519))</f>
        <v/>
      </c>
      <c r="C3519">
        <f>IF(A3519="","",COUNTIF(Donasi!$B$2:$B$20000,A3519))</f>
        <v/>
      </c>
      <c r="D3519">
        <f>IF(A3519="","",SUMIF(Donasi!$B$2:$B$20000,A3519,Donasi!$C$2:$C$20000))</f>
        <v/>
      </c>
      <c r="E3519">
        <f>IF(A3519="","",6-CEILING(PERCENTRANK.INC($B$3:$B$6000,B3519,4)*5+0.000001,1))</f>
        <v/>
      </c>
      <c r="F3519">
        <f>IF(A3519="","",MAX(1,CEILING(PERCENTRANK.INC($C$3:$C$6000,C3519,4)*5+0.000001,1)))</f>
        <v/>
      </c>
      <c r="G3519">
        <f>IF(A3519="","",MAX(1,CEILING(PERCENTRANK.INC($D$3:$D$6000,D3519,4)*5+0.000001,1)))</f>
        <v/>
      </c>
      <c r="H3519">
        <f>IF(A3519="","",E3519&amp;F3519&amp;G3519)</f>
        <v/>
      </c>
      <c r="I3519">
        <f>IF(A3519="","",IF(AND(E3519&gt;=4,F3519&gt;=4,G3519&gt;=4),"Juara",IF(AND(F3519&gt;=4,E3519&gt;=3),"Setia",IF(AND(E3519=5,F3519&lt;=2,G3519&gt;=3),"Berpotensi",IF(AND(E3519&lt;=3,E3519&gt;=2,F3519&gt;=3),"Rawan",IF(AND(E3519&lt;=2,F3519&lt;=2),"Tidur","Umum"))))))</f>
        <v/>
      </c>
    </row>
    <row r="3520">
      <c r="B3520">
        <f>IF(A3520="","",$B$1-MAXIFS(Donasi!$A$2:$A$20000,Donasi!$B$2:$B$20000,A3520))</f>
        <v/>
      </c>
      <c r="C3520">
        <f>IF(A3520="","",COUNTIF(Donasi!$B$2:$B$20000,A3520))</f>
        <v/>
      </c>
      <c r="D3520">
        <f>IF(A3520="","",SUMIF(Donasi!$B$2:$B$20000,A3520,Donasi!$C$2:$C$20000))</f>
        <v/>
      </c>
      <c r="E3520">
        <f>IF(A3520="","",6-CEILING(PERCENTRANK.INC($B$3:$B$6000,B3520,4)*5+0.000001,1))</f>
        <v/>
      </c>
      <c r="F3520">
        <f>IF(A3520="","",MAX(1,CEILING(PERCENTRANK.INC($C$3:$C$6000,C3520,4)*5+0.000001,1)))</f>
        <v/>
      </c>
      <c r="G3520">
        <f>IF(A3520="","",MAX(1,CEILING(PERCENTRANK.INC($D$3:$D$6000,D3520,4)*5+0.000001,1)))</f>
        <v/>
      </c>
      <c r="H3520">
        <f>IF(A3520="","",E3520&amp;F3520&amp;G3520)</f>
        <v/>
      </c>
      <c r="I3520">
        <f>IF(A3520="","",IF(AND(E3520&gt;=4,F3520&gt;=4,G3520&gt;=4),"Juara",IF(AND(F3520&gt;=4,E3520&gt;=3),"Setia",IF(AND(E3520=5,F3520&lt;=2,G3520&gt;=3),"Berpotensi",IF(AND(E3520&lt;=3,E3520&gt;=2,F3520&gt;=3),"Rawan",IF(AND(E3520&lt;=2,F3520&lt;=2),"Tidur","Umum"))))))</f>
        <v/>
      </c>
    </row>
    <row r="3521">
      <c r="B3521">
        <f>IF(A3521="","",$B$1-MAXIFS(Donasi!$A$2:$A$20000,Donasi!$B$2:$B$20000,A3521))</f>
        <v/>
      </c>
      <c r="C3521">
        <f>IF(A3521="","",COUNTIF(Donasi!$B$2:$B$20000,A3521))</f>
        <v/>
      </c>
      <c r="D3521">
        <f>IF(A3521="","",SUMIF(Donasi!$B$2:$B$20000,A3521,Donasi!$C$2:$C$20000))</f>
        <v/>
      </c>
      <c r="E3521">
        <f>IF(A3521="","",6-CEILING(PERCENTRANK.INC($B$3:$B$6000,B3521,4)*5+0.000001,1))</f>
        <v/>
      </c>
      <c r="F3521">
        <f>IF(A3521="","",MAX(1,CEILING(PERCENTRANK.INC($C$3:$C$6000,C3521,4)*5+0.000001,1)))</f>
        <v/>
      </c>
      <c r="G3521">
        <f>IF(A3521="","",MAX(1,CEILING(PERCENTRANK.INC($D$3:$D$6000,D3521,4)*5+0.000001,1)))</f>
        <v/>
      </c>
      <c r="H3521">
        <f>IF(A3521="","",E3521&amp;F3521&amp;G3521)</f>
        <v/>
      </c>
      <c r="I3521">
        <f>IF(A3521="","",IF(AND(E3521&gt;=4,F3521&gt;=4,G3521&gt;=4),"Juara",IF(AND(F3521&gt;=4,E3521&gt;=3),"Setia",IF(AND(E3521=5,F3521&lt;=2,G3521&gt;=3),"Berpotensi",IF(AND(E3521&lt;=3,E3521&gt;=2,F3521&gt;=3),"Rawan",IF(AND(E3521&lt;=2,F3521&lt;=2),"Tidur","Umum"))))))</f>
        <v/>
      </c>
    </row>
    <row r="3522">
      <c r="B3522">
        <f>IF(A3522="","",$B$1-MAXIFS(Donasi!$A$2:$A$20000,Donasi!$B$2:$B$20000,A3522))</f>
        <v/>
      </c>
      <c r="C3522">
        <f>IF(A3522="","",COUNTIF(Donasi!$B$2:$B$20000,A3522))</f>
        <v/>
      </c>
      <c r="D3522">
        <f>IF(A3522="","",SUMIF(Donasi!$B$2:$B$20000,A3522,Donasi!$C$2:$C$20000))</f>
        <v/>
      </c>
      <c r="E3522">
        <f>IF(A3522="","",6-CEILING(PERCENTRANK.INC($B$3:$B$6000,B3522,4)*5+0.000001,1))</f>
        <v/>
      </c>
      <c r="F3522">
        <f>IF(A3522="","",MAX(1,CEILING(PERCENTRANK.INC($C$3:$C$6000,C3522,4)*5+0.000001,1)))</f>
        <v/>
      </c>
      <c r="G3522">
        <f>IF(A3522="","",MAX(1,CEILING(PERCENTRANK.INC($D$3:$D$6000,D3522,4)*5+0.000001,1)))</f>
        <v/>
      </c>
      <c r="H3522">
        <f>IF(A3522="","",E3522&amp;F3522&amp;G3522)</f>
        <v/>
      </c>
      <c r="I3522">
        <f>IF(A3522="","",IF(AND(E3522&gt;=4,F3522&gt;=4,G3522&gt;=4),"Juara",IF(AND(F3522&gt;=4,E3522&gt;=3),"Setia",IF(AND(E3522=5,F3522&lt;=2,G3522&gt;=3),"Berpotensi",IF(AND(E3522&lt;=3,E3522&gt;=2,F3522&gt;=3),"Rawan",IF(AND(E3522&lt;=2,F3522&lt;=2),"Tidur","Umum"))))))</f>
        <v/>
      </c>
    </row>
    <row r="3523">
      <c r="B3523">
        <f>IF(A3523="","",$B$1-MAXIFS(Donasi!$A$2:$A$20000,Donasi!$B$2:$B$20000,A3523))</f>
        <v/>
      </c>
      <c r="C3523">
        <f>IF(A3523="","",COUNTIF(Donasi!$B$2:$B$20000,A3523))</f>
        <v/>
      </c>
      <c r="D3523">
        <f>IF(A3523="","",SUMIF(Donasi!$B$2:$B$20000,A3523,Donasi!$C$2:$C$20000))</f>
        <v/>
      </c>
      <c r="E3523">
        <f>IF(A3523="","",6-CEILING(PERCENTRANK.INC($B$3:$B$6000,B3523,4)*5+0.000001,1))</f>
        <v/>
      </c>
      <c r="F3523">
        <f>IF(A3523="","",MAX(1,CEILING(PERCENTRANK.INC($C$3:$C$6000,C3523,4)*5+0.000001,1)))</f>
        <v/>
      </c>
      <c r="G3523">
        <f>IF(A3523="","",MAX(1,CEILING(PERCENTRANK.INC($D$3:$D$6000,D3523,4)*5+0.000001,1)))</f>
        <v/>
      </c>
      <c r="H3523">
        <f>IF(A3523="","",E3523&amp;F3523&amp;G3523)</f>
        <v/>
      </c>
      <c r="I3523">
        <f>IF(A3523="","",IF(AND(E3523&gt;=4,F3523&gt;=4,G3523&gt;=4),"Juara",IF(AND(F3523&gt;=4,E3523&gt;=3),"Setia",IF(AND(E3523=5,F3523&lt;=2,G3523&gt;=3),"Berpotensi",IF(AND(E3523&lt;=3,E3523&gt;=2,F3523&gt;=3),"Rawan",IF(AND(E3523&lt;=2,F3523&lt;=2),"Tidur","Umum"))))))</f>
        <v/>
      </c>
    </row>
    <row r="3524">
      <c r="B3524">
        <f>IF(A3524="","",$B$1-MAXIFS(Donasi!$A$2:$A$20000,Donasi!$B$2:$B$20000,A3524))</f>
        <v/>
      </c>
      <c r="C3524">
        <f>IF(A3524="","",COUNTIF(Donasi!$B$2:$B$20000,A3524))</f>
        <v/>
      </c>
      <c r="D3524">
        <f>IF(A3524="","",SUMIF(Donasi!$B$2:$B$20000,A3524,Donasi!$C$2:$C$20000))</f>
        <v/>
      </c>
      <c r="E3524">
        <f>IF(A3524="","",6-CEILING(PERCENTRANK.INC($B$3:$B$6000,B3524,4)*5+0.000001,1))</f>
        <v/>
      </c>
      <c r="F3524">
        <f>IF(A3524="","",MAX(1,CEILING(PERCENTRANK.INC($C$3:$C$6000,C3524,4)*5+0.000001,1)))</f>
        <v/>
      </c>
      <c r="G3524">
        <f>IF(A3524="","",MAX(1,CEILING(PERCENTRANK.INC($D$3:$D$6000,D3524,4)*5+0.000001,1)))</f>
        <v/>
      </c>
      <c r="H3524">
        <f>IF(A3524="","",E3524&amp;F3524&amp;G3524)</f>
        <v/>
      </c>
      <c r="I3524">
        <f>IF(A3524="","",IF(AND(E3524&gt;=4,F3524&gt;=4,G3524&gt;=4),"Juara",IF(AND(F3524&gt;=4,E3524&gt;=3),"Setia",IF(AND(E3524=5,F3524&lt;=2,G3524&gt;=3),"Berpotensi",IF(AND(E3524&lt;=3,E3524&gt;=2,F3524&gt;=3),"Rawan",IF(AND(E3524&lt;=2,F3524&lt;=2),"Tidur","Umum"))))))</f>
        <v/>
      </c>
    </row>
    <row r="3525">
      <c r="B3525">
        <f>IF(A3525="","",$B$1-MAXIFS(Donasi!$A$2:$A$20000,Donasi!$B$2:$B$20000,A3525))</f>
        <v/>
      </c>
      <c r="C3525">
        <f>IF(A3525="","",COUNTIF(Donasi!$B$2:$B$20000,A3525))</f>
        <v/>
      </c>
      <c r="D3525">
        <f>IF(A3525="","",SUMIF(Donasi!$B$2:$B$20000,A3525,Donasi!$C$2:$C$20000))</f>
        <v/>
      </c>
      <c r="E3525">
        <f>IF(A3525="","",6-CEILING(PERCENTRANK.INC($B$3:$B$6000,B3525,4)*5+0.000001,1))</f>
        <v/>
      </c>
      <c r="F3525">
        <f>IF(A3525="","",MAX(1,CEILING(PERCENTRANK.INC($C$3:$C$6000,C3525,4)*5+0.000001,1)))</f>
        <v/>
      </c>
      <c r="G3525">
        <f>IF(A3525="","",MAX(1,CEILING(PERCENTRANK.INC($D$3:$D$6000,D3525,4)*5+0.000001,1)))</f>
        <v/>
      </c>
      <c r="H3525">
        <f>IF(A3525="","",E3525&amp;F3525&amp;G3525)</f>
        <v/>
      </c>
      <c r="I3525">
        <f>IF(A3525="","",IF(AND(E3525&gt;=4,F3525&gt;=4,G3525&gt;=4),"Juara",IF(AND(F3525&gt;=4,E3525&gt;=3),"Setia",IF(AND(E3525=5,F3525&lt;=2,G3525&gt;=3),"Berpotensi",IF(AND(E3525&lt;=3,E3525&gt;=2,F3525&gt;=3),"Rawan",IF(AND(E3525&lt;=2,F3525&lt;=2),"Tidur","Umum"))))))</f>
        <v/>
      </c>
    </row>
    <row r="3526">
      <c r="B3526">
        <f>IF(A3526="","",$B$1-MAXIFS(Donasi!$A$2:$A$20000,Donasi!$B$2:$B$20000,A3526))</f>
        <v/>
      </c>
      <c r="C3526">
        <f>IF(A3526="","",COUNTIF(Donasi!$B$2:$B$20000,A3526))</f>
        <v/>
      </c>
      <c r="D3526">
        <f>IF(A3526="","",SUMIF(Donasi!$B$2:$B$20000,A3526,Donasi!$C$2:$C$20000))</f>
        <v/>
      </c>
      <c r="E3526">
        <f>IF(A3526="","",6-CEILING(PERCENTRANK.INC($B$3:$B$6000,B3526,4)*5+0.000001,1))</f>
        <v/>
      </c>
      <c r="F3526">
        <f>IF(A3526="","",MAX(1,CEILING(PERCENTRANK.INC($C$3:$C$6000,C3526,4)*5+0.000001,1)))</f>
        <v/>
      </c>
      <c r="G3526">
        <f>IF(A3526="","",MAX(1,CEILING(PERCENTRANK.INC($D$3:$D$6000,D3526,4)*5+0.000001,1)))</f>
        <v/>
      </c>
      <c r="H3526">
        <f>IF(A3526="","",E3526&amp;F3526&amp;G3526)</f>
        <v/>
      </c>
      <c r="I3526">
        <f>IF(A3526="","",IF(AND(E3526&gt;=4,F3526&gt;=4,G3526&gt;=4),"Juara",IF(AND(F3526&gt;=4,E3526&gt;=3),"Setia",IF(AND(E3526=5,F3526&lt;=2,G3526&gt;=3),"Berpotensi",IF(AND(E3526&lt;=3,E3526&gt;=2,F3526&gt;=3),"Rawan",IF(AND(E3526&lt;=2,F3526&lt;=2),"Tidur","Umum"))))))</f>
        <v/>
      </c>
    </row>
    <row r="3527">
      <c r="B3527">
        <f>IF(A3527="","",$B$1-MAXIFS(Donasi!$A$2:$A$20000,Donasi!$B$2:$B$20000,A3527))</f>
        <v/>
      </c>
      <c r="C3527">
        <f>IF(A3527="","",COUNTIF(Donasi!$B$2:$B$20000,A3527))</f>
        <v/>
      </c>
      <c r="D3527">
        <f>IF(A3527="","",SUMIF(Donasi!$B$2:$B$20000,A3527,Donasi!$C$2:$C$20000))</f>
        <v/>
      </c>
      <c r="E3527">
        <f>IF(A3527="","",6-CEILING(PERCENTRANK.INC($B$3:$B$6000,B3527,4)*5+0.000001,1))</f>
        <v/>
      </c>
      <c r="F3527">
        <f>IF(A3527="","",MAX(1,CEILING(PERCENTRANK.INC($C$3:$C$6000,C3527,4)*5+0.000001,1)))</f>
        <v/>
      </c>
      <c r="G3527">
        <f>IF(A3527="","",MAX(1,CEILING(PERCENTRANK.INC($D$3:$D$6000,D3527,4)*5+0.000001,1)))</f>
        <v/>
      </c>
      <c r="H3527">
        <f>IF(A3527="","",E3527&amp;F3527&amp;G3527)</f>
        <v/>
      </c>
      <c r="I3527">
        <f>IF(A3527="","",IF(AND(E3527&gt;=4,F3527&gt;=4,G3527&gt;=4),"Juara",IF(AND(F3527&gt;=4,E3527&gt;=3),"Setia",IF(AND(E3527=5,F3527&lt;=2,G3527&gt;=3),"Berpotensi",IF(AND(E3527&lt;=3,E3527&gt;=2,F3527&gt;=3),"Rawan",IF(AND(E3527&lt;=2,F3527&lt;=2),"Tidur","Umum"))))))</f>
        <v/>
      </c>
    </row>
    <row r="3528">
      <c r="B3528">
        <f>IF(A3528="","",$B$1-MAXIFS(Donasi!$A$2:$A$20000,Donasi!$B$2:$B$20000,A3528))</f>
        <v/>
      </c>
      <c r="C3528">
        <f>IF(A3528="","",COUNTIF(Donasi!$B$2:$B$20000,A3528))</f>
        <v/>
      </c>
      <c r="D3528">
        <f>IF(A3528="","",SUMIF(Donasi!$B$2:$B$20000,A3528,Donasi!$C$2:$C$20000))</f>
        <v/>
      </c>
      <c r="E3528">
        <f>IF(A3528="","",6-CEILING(PERCENTRANK.INC($B$3:$B$6000,B3528,4)*5+0.000001,1))</f>
        <v/>
      </c>
      <c r="F3528">
        <f>IF(A3528="","",MAX(1,CEILING(PERCENTRANK.INC($C$3:$C$6000,C3528,4)*5+0.000001,1)))</f>
        <v/>
      </c>
      <c r="G3528">
        <f>IF(A3528="","",MAX(1,CEILING(PERCENTRANK.INC($D$3:$D$6000,D3528,4)*5+0.000001,1)))</f>
        <v/>
      </c>
      <c r="H3528">
        <f>IF(A3528="","",E3528&amp;F3528&amp;G3528)</f>
        <v/>
      </c>
      <c r="I3528">
        <f>IF(A3528="","",IF(AND(E3528&gt;=4,F3528&gt;=4,G3528&gt;=4),"Juara",IF(AND(F3528&gt;=4,E3528&gt;=3),"Setia",IF(AND(E3528=5,F3528&lt;=2,G3528&gt;=3),"Berpotensi",IF(AND(E3528&lt;=3,E3528&gt;=2,F3528&gt;=3),"Rawan",IF(AND(E3528&lt;=2,F3528&lt;=2),"Tidur","Umum"))))))</f>
        <v/>
      </c>
    </row>
    <row r="3529">
      <c r="B3529">
        <f>IF(A3529="","",$B$1-MAXIFS(Donasi!$A$2:$A$20000,Donasi!$B$2:$B$20000,A3529))</f>
        <v/>
      </c>
      <c r="C3529">
        <f>IF(A3529="","",COUNTIF(Donasi!$B$2:$B$20000,A3529))</f>
        <v/>
      </c>
      <c r="D3529">
        <f>IF(A3529="","",SUMIF(Donasi!$B$2:$B$20000,A3529,Donasi!$C$2:$C$20000))</f>
        <v/>
      </c>
      <c r="E3529">
        <f>IF(A3529="","",6-CEILING(PERCENTRANK.INC($B$3:$B$6000,B3529,4)*5+0.000001,1))</f>
        <v/>
      </c>
      <c r="F3529">
        <f>IF(A3529="","",MAX(1,CEILING(PERCENTRANK.INC($C$3:$C$6000,C3529,4)*5+0.000001,1)))</f>
        <v/>
      </c>
      <c r="G3529">
        <f>IF(A3529="","",MAX(1,CEILING(PERCENTRANK.INC($D$3:$D$6000,D3529,4)*5+0.000001,1)))</f>
        <v/>
      </c>
      <c r="H3529">
        <f>IF(A3529="","",E3529&amp;F3529&amp;G3529)</f>
        <v/>
      </c>
      <c r="I3529">
        <f>IF(A3529="","",IF(AND(E3529&gt;=4,F3529&gt;=4,G3529&gt;=4),"Juara",IF(AND(F3529&gt;=4,E3529&gt;=3),"Setia",IF(AND(E3529=5,F3529&lt;=2,G3529&gt;=3),"Berpotensi",IF(AND(E3529&lt;=3,E3529&gt;=2,F3529&gt;=3),"Rawan",IF(AND(E3529&lt;=2,F3529&lt;=2),"Tidur","Umum"))))))</f>
        <v/>
      </c>
    </row>
    <row r="3530">
      <c r="B3530">
        <f>IF(A3530="","",$B$1-MAXIFS(Donasi!$A$2:$A$20000,Donasi!$B$2:$B$20000,A3530))</f>
        <v/>
      </c>
      <c r="C3530">
        <f>IF(A3530="","",COUNTIF(Donasi!$B$2:$B$20000,A3530))</f>
        <v/>
      </c>
      <c r="D3530">
        <f>IF(A3530="","",SUMIF(Donasi!$B$2:$B$20000,A3530,Donasi!$C$2:$C$20000))</f>
        <v/>
      </c>
      <c r="E3530">
        <f>IF(A3530="","",6-CEILING(PERCENTRANK.INC($B$3:$B$6000,B3530,4)*5+0.000001,1))</f>
        <v/>
      </c>
      <c r="F3530">
        <f>IF(A3530="","",MAX(1,CEILING(PERCENTRANK.INC($C$3:$C$6000,C3530,4)*5+0.000001,1)))</f>
        <v/>
      </c>
      <c r="G3530">
        <f>IF(A3530="","",MAX(1,CEILING(PERCENTRANK.INC($D$3:$D$6000,D3530,4)*5+0.000001,1)))</f>
        <v/>
      </c>
      <c r="H3530">
        <f>IF(A3530="","",E3530&amp;F3530&amp;G3530)</f>
        <v/>
      </c>
      <c r="I3530">
        <f>IF(A3530="","",IF(AND(E3530&gt;=4,F3530&gt;=4,G3530&gt;=4),"Juara",IF(AND(F3530&gt;=4,E3530&gt;=3),"Setia",IF(AND(E3530=5,F3530&lt;=2,G3530&gt;=3),"Berpotensi",IF(AND(E3530&lt;=3,E3530&gt;=2,F3530&gt;=3),"Rawan",IF(AND(E3530&lt;=2,F3530&lt;=2),"Tidur","Umum"))))))</f>
        <v/>
      </c>
    </row>
    <row r="3531">
      <c r="B3531">
        <f>IF(A3531="","",$B$1-MAXIFS(Donasi!$A$2:$A$20000,Donasi!$B$2:$B$20000,A3531))</f>
        <v/>
      </c>
      <c r="C3531">
        <f>IF(A3531="","",COUNTIF(Donasi!$B$2:$B$20000,A3531))</f>
        <v/>
      </c>
      <c r="D3531">
        <f>IF(A3531="","",SUMIF(Donasi!$B$2:$B$20000,A3531,Donasi!$C$2:$C$20000))</f>
        <v/>
      </c>
      <c r="E3531">
        <f>IF(A3531="","",6-CEILING(PERCENTRANK.INC($B$3:$B$6000,B3531,4)*5+0.000001,1))</f>
        <v/>
      </c>
      <c r="F3531">
        <f>IF(A3531="","",MAX(1,CEILING(PERCENTRANK.INC($C$3:$C$6000,C3531,4)*5+0.000001,1)))</f>
        <v/>
      </c>
      <c r="G3531">
        <f>IF(A3531="","",MAX(1,CEILING(PERCENTRANK.INC($D$3:$D$6000,D3531,4)*5+0.000001,1)))</f>
        <v/>
      </c>
      <c r="H3531">
        <f>IF(A3531="","",E3531&amp;F3531&amp;G3531)</f>
        <v/>
      </c>
      <c r="I3531">
        <f>IF(A3531="","",IF(AND(E3531&gt;=4,F3531&gt;=4,G3531&gt;=4),"Juara",IF(AND(F3531&gt;=4,E3531&gt;=3),"Setia",IF(AND(E3531=5,F3531&lt;=2,G3531&gt;=3),"Berpotensi",IF(AND(E3531&lt;=3,E3531&gt;=2,F3531&gt;=3),"Rawan",IF(AND(E3531&lt;=2,F3531&lt;=2),"Tidur","Umum"))))))</f>
        <v/>
      </c>
    </row>
    <row r="3532">
      <c r="B3532">
        <f>IF(A3532="","",$B$1-MAXIFS(Donasi!$A$2:$A$20000,Donasi!$B$2:$B$20000,A3532))</f>
        <v/>
      </c>
      <c r="C3532">
        <f>IF(A3532="","",COUNTIF(Donasi!$B$2:$B$20000,A3532))</f>
        <v/>
      </c>
      <c r="D3532">
        <f>IF(A3532="","",SUMIF(Donasi!$B$2:$B$20000,A3532,Donasi!$C$2:$C$20000))</f>
        <v/>
      </c>
      <c r="E3532">
        <f>IF(A3532="","",6-CEILING(PERCENTRANK.INC($B$3:$B$6000,B3532,4)*5+0.000001,1))</f>
        <v/>
      </c>
      <c r="F3532">
        <f>IF(A3532="","",MAX(1,CEILING(PERCENTRANK.INC($C$3:$C$6000,C3532,4)*5+0.000001,1)))</f>
        <v/>
      </c>
      <c r="G3532">
        <f>IF(A3532="","",MAX(1,CEILING(PERCENTRANK.INC($D$3:$D$6000,D3532,4)*5+0.000001,1)))</f>
        <v/>
      </c>
      <c r="H3532">
        <f>IF(A3532="","",E3532&amp;F3532&amp;G3532)</f>
        <v/>
      </c>
      <c r="I3532">
        <f>IF(A3532="","",IF(AND(E3532&gt;=4,F3532&gt;=4,G3532&gt;=4),"Juara",IF(AND(F3532&gt;=4,E3532&gt;=3),"Setia",IF(AND(E3532=5,F3532&lt;=2,G3532&gt;=3),"Berpotensi",IF(AND(E3532&lt;=3,E3532&gt;=2,F3532&gt;=3),"Rawan",IF(AND(E3532&lt;=2,F3532&lt;=2),"Tidur","Umum"))))))</f>
        <v/>
      </c>
    </row>
    <row r="3533">
      <c r="B3533">
        <f>IF(A3533="","",$B$1-MAXIFS(Donasi!$A$2:$A$20000,Donasi!$B$2:$B$20000,A3533))</f>
        <v/>
      </c>
      <c r="C3533">
        <f>IF(A3533="","",COUNTIF(Donasi!$B$2:$B$20000,A3533))</f>
        <v/>
      </c>
      <c r="D3533">
        <f>IF(A3533="","",SUMIF(Donasi!$B$2:$B$20000,A3533,Donasi!$C$2:$C$20000))</f>
        <v/>
      </c>
      <c r="E3533">
        <f>IF(A3533="","",6-CEILING(PERCENTRANK.INC($B$3:$B$6000,B3533,4)*5+0.000001,1))</f>
        <v/>
      </c>
      <c r="F3533">
        <f>IF(A3533="","",MAX(1,CEILING(PERCENTRANK.INC($C$3:$C$6000,C3533,4)*5+0.000001,1)))</f>
        <v/>
      </c>
      <c r="G3533">
        <f>IF(A3533="","",MAX(1,CEILING(PERCENTRANK.INC($D$3:$D$6000,D3533,4)*5+0.000001,1)))</f>
        <v/>
      </c>
      <c r="H3533">
        <f>IF(A3533="","",E3533&amp;F3533&amp;G3533)</f>
        <v/>
      </c>
      <c r="I3533">
        <f>IF(A3533="","",IF(AND(E3533&gt;=4,F3533&gt;=4,G3533&gt;=4),"Juara",IF(AND(F3533&gt;=4,E3533&gt;=3),"Setia",IF(AND(E3533=5,F3533&lt;=2,G3533&gt;=3),"Berpotensi",IF(AND(E3533&lt;=3,E3533&gt;=2,F3533&gt;=3),"Rawan",IF(AND(E3533&lt;=2,F3533&lt;=2),"Tidur","Umum"))))))</f>
        <v/>
      </c>
    </row>
    <row r="3534">
      <c r="B3534">
        <f>IF(A3534="","",$B$1-MAXIFS(Donasi!$A$2:$A$20000,Donasi!$B$2:$B$20000,A3534))</f>
        <v/>
      </c>
      <c r="C3534">
        <f>IF(A3534="","",COUNTIF(Donasi!$B$2:$B$20000,A3534))</f>
        <v/>
      </c>
      <c r="D3534">
        <f>IF(A3534="","",SUMIF(Donasi!$B$2:$B$20000,A3534,Donasi!$C$2:$C$20000))</f>
        <v/>
      </c>
      <c r="E3534">
        <f>IF(A3534="","",6-CEILING(PERCENTRANK.INC($B$3:$B$6000,B3534,4)*5+0.000001,1))</f>
        <v/>
      </c>
      <c r="F3534">
        <f>IF(A3534="","",MAX(1,CEILING(PERCENTRANK.INC($C$3:$C$6000,C3534,4)*5+0.000001,1)))</f>
        <v/>
      </c>
      <c r="G3534">
        <f>IF(A3534="","",MAX(1,CEILING(PERCENTRANK.INC($D$3:$D$6000,D3534,4)*5+0.000001,1)))</f>
        <v/>
      </c>
      <c r="H3534">
        <f>IF(A3534="","",E3534&amp;F3534&amp;G3534)</f>
        <v/>
      </c>
      <c r="I3534">
        <f>IF(A3534="","",IF(AND(E3534&gt;=4,F3534&gt;=4,G3534&gt;=4),"Juara",IF(AND(F3534&gt;=4,E3534&gt;=3),"Setia",IF(AND(E3534=5,F3534&lt;=2,G3534&gt;=3),"Berpotensi",IF(AND(E3534&lt;=3,E3534&gt;=2,F3534&gt;=3),"Rawan",IF(AND(E3534&lt;=2,F3534&lt;=2),"Tidur","Umum"))))))</f>
        <v/>
      </c>
    </row>
    <row r="3535">
      <c r="B3535">
        <f>IF(A3535="","",$B$1-MAXIFS(Donasi!$A$2:$A$20000,Donasi!$B$2:$B$20000,A3535))</f>
        <v/>
      </c>
      <c r="C3535">
        <f>IF(A3535="","",COUNTIF(Donasi!$B$2:$B$20000,A3535))</f>
        <v/>
      </c>
      <c r="D3535">
        <f>IF(A3535="","",SUMIF(Donasi!$B$2:$B$20000,A3535,Donasi!$C$2:$C$20000))</f>
        <v/>
      </c>
      <c r="E3535">
        <f>IF(A3535="","",6-CEILING(PERCENTRANK.INC($B$3:$B$6000,B3535,4)*5+0.000001,1))</f>
        <v/>
      </c>
      <c r="F3535">
        <f>IF(A3535="","",MAX(1,CEILING(PERCENTRANK.INC($C$3:$C$6000,C3535,4)*5+0.000001,1)))</f>
        <v/>
      </c>
      <c r="G3535">
        <f>IF(A3535="","",MAX(1,CEILING(PERCENTRANK.INC($D$3:$D$6000,D3535,4)*5+0.000001,1)))</f>
        <v/>
      </c>
      <c r="H3535">
        <f>IF(A3535="","",E3535&amp;F3535&amp;G3535)</f>
        <v/>
      </c>
      <c r="I3535">
        <f>IF(A3535="","",IF(AND(E3535&gt;=4,F3535&gt;=4,G3535&gt;=4),"Juara",IF(AND(F3535&gt;=4,E3535&gt;=3),"Setia",IF(AND(E3535=5,F3535&lt;=2,G3535&gt;=3),"Berpotensi",IF(AND(E3535&lt;=3,E3535&gt;=2,F3535&gt;=3),"Rawan",IF(AND(E3535&lt;=2,F3535&lt;=2),"Tidur","Umum"))))))</f>
        <v/>
      </c>
    </row>
    <row r="3536">
      <c r="B3536">
        <f>IF(A3536="","",$B$1-MAXIFS(Donasi!$A$2:$A$20000,Donasi!$B$2:$B$20000,A3536))</f>
        <v/>
      </c>
      <c r="C3536">
        <f>IF(A3536="","",COUNTIF(Donasi!$B$2:$B$20000,A3536))</f>
        <v/>
      </c>
      <c r="D3536">
        <f>IF(A3536="","",SUMIF(Donasi!$B$2:$B$20000,A3536,Donasi!$C$2:$C$20000))</f>
        <v/>
      </c>
      <c r="E3536">
        <f>IF(A3536="","",6-CEILING(PERCENTRANK.INC($B$3:$B$6000,B3536,4)*5+0.000001,1))</f>
        <v/>
      </c>
      <c r="F3536">
        <f>IF(A3536="","",MAX(1,CEILING(PERCENTRANK.INC($C$3:$C$6000,C3536,4)*5+0.000001,1)))</f>
        <v/>
      </c>
      <c r="G3536">
        <f>IF(A3536="","",MAX(1,CEILING(PERCENTRANK.INC($D$3:$D$6000,D3536,4)*5+0.000001,1)))</f>
        <v/>
      </c>
      <c r="H3536">
        <f>IF(A3536="","",E3536&amp;F3536&amp;G3536)</f>
        <v/>
      </c>
      <c r="I3536">
        <f>IF(A3536="","",IF(AND(E3536&gt;=4,F3536&gt;=4,G3536&gt;=4),"Juara",IF(AND(F3536&gt;=4,E3536&gt;=3),"Setia",IF(AND(E3536=5,F3536&lt;=2,G3536&gt;=3),"Berpotensi",IF(AND(E3536&lt;=3,E3536&gt;=2,F3536&gt;=3),"Rawan",IF(AND(E3536&lt;=2,F3536&lt;=2),"Tidur","Umum"))))))</f>
        <v/>
      </c>
    </row>
    <row r="3537">
      <c r="B3537">
        <f>IF(A3537="","",$B$1-MAXIFS(Donasi!$A$2:$A$20000,Donasi!$B$2:$B$20000,A3537))</f>
        <v/>
      </c>
      <c r="C3537">
        <f>IF(A3537="","",COUNTIF(Donasi!$B$2:$B$20000,A3537))</f>
        <v/>
      </c>
      <c r="D3537">
        <f>IF(A3537="","",SUMIF(Donasi!$B$2:$B$20000,A3537,Donasi!$C$2:$C$20000))</f>
        <v/>
      </c>
      <c r="E3537">
        <f>IF(A3537="","",6-CEILING(PERCENTRANK.INC($B$3:$B$6000,B3537,4)*5+0.000001,1))</f>
        <v/>
      </c>
      <c r="F3537">
        <f>IF(A3537="","",MAX(1,CEILING(PERCENTRANK.INC($C$3:$C$6000,C3537,4)*5+0.000001,1)))</f>
        <v/>
      </c>
      <c r="G3537">
        <f>IF(A3537="","",MAX(1,CEILING(PERCENTRANK.INC($D$3:$D$6000,D3537,4)*5+0.000001,1)))</f>
        <v/>
      </c>
      <c r="H3537">
        <f>IF(A3537="","",E3537&amp;F3537&amp;G3537)</f>
        <v/>
      </c>
      <c r="I3537">
        <f>IF(A3537="","",IF(AND(E3537&gt;=4,F3537&gt;=4,G3537&gt;=4),"Juara",IF(AND(F3537&gt;=4,E3537&gt;=3),"Setia",IF(AND(E3537=5,F3537&lt;=2,G3537&gt;=3),"Berpotensi",IF(AND(E3537&lt;=3,E3537&gt;=2,F3537&gt;=3),"Rawan",IF(AND(E3537&lt;=2,F3537&lt;=2),"Tidur","Umum"))))))</f>
        <v/>
      </c>
    </row>
    <row r="3538">
      <c r="B3538">
        <f>IF(A3538="","",$B$1-MAXIFS(Donasi!$A$2:$A$20000,Donasi!$B$2:$B$20000,A3538))</f>
        <v/>
      </c>
      <c r="C3538">
        <f>IF(A3538="","",COUNTIF(Donasi!$B$2:$B$20000,A3538))</f>
        <v/>
      </c>
      <c r="D3538">
        <f>IF(A3538="","",SUMIF(Donasi!$B$2:$B$20000,A3538,Donasi!$C$2:$C$20000))</f>
        <v/>
      </c>
      <c r="E3538">
        <f>IF(A3538="","",6-CEILING(PERCENTRANK.INC($B$3:$B$6000,B3538,4)*5+0.000001,1))</f>
        <v/>
      </c>
      <c r="F3538">
        <f>IF(A3538="","",MAX(1,CEILING(PERCENTRANK.INC($C$3:$C$6000,C3538,4)*5+0.000001,1)))</f>
        <v/>
      </c>
      <c r="G3538">
        <f>IF(A3538="","",MAX(1,CEILING(PERCENTRANK.INC($D$3:$D$6000,D3538,4)*5+0.000001,1)))</f>
        <v/>
      </c>
      <c r="H3538">
        <f>IF(A3538="","",E3538&amp;F3538&amp;G3538)</f>
        <v/>
      </c>
      <c r="I3538">
        <f>IF(A3538="","",IF(AND(E3538&gt;=4,F3538&gt;=4,G3538&gt;=4),"Juara",IF(AND(F3538&gt;=4,E3538&gt;=3),"Setia",IF(AND(E3538=5,F3538&lt;=2,G3538&gt;=3),"Berpotensi",IF(AND(E3538&lt;=3,E3538&gt;=2,F3538&gt;=3),"Rawan",IF(AND(E3538&lt;=2,F3538&lt;=2),"Tidur","Umum"))))))</f>
        <v/>
      </c>
    </row>
    <row r="3539">
      <c r="B3539">
        <f>IF(A3539="","",$B$1-MAXIFS(Donasi!$A$2:$A$20000,Donasi!$B$2:$B$20000,A3539))</f>
        <v/>
      </c>
      <c r="C3539">
        <f>IF(A3539="","",COUNTIF(Donasi!$B$2:$B$20000,A3539))</f>
        <v/>
      </c>
      <c r="D3539">
        <f>IF(A3539="","",SUMIF(Donasi!$B$2:$B$20000,A3539,Donasi!$C$2:$C$20000))</f>
        <v/>
      </c>
      <c r="E3539">
        <f>IF(A3539="","",6-CEILING(PERCENTRANK.INC($B$3:$B$6000,B3539,4)*5+0.000001,1))</f>
        <v/>
      </c>
      <c r="F3539">
        <f>IF(A3539="","",MAX(1,CEILING(PERCENTRANK.INC($C$3:$C$6000,C3539,4)*5+0.000001,1)))</f>
        <v/>
      </c>
      <c r="G3539">
        <f>IF(A3539="","",MAX(1,CEILING(PERCENTRANK.INC($D$3:$D$6000,D3539,4)*5+0.000001,1)))</f>
        <v/>
      </c>
      <c r="H3539">
        <f>IF(A3539="","",E3539&amp;F3539&amp;G3539)</f>
        <v/>
      </c>
      <c r="I3539">
        <f>IF(A3539="","",IF(AND(E3539&gt;=4,F3539&gt;=4,G3539&gt;=4),"Juara",IF(AND(F3539&gt;=4,E3539&gt;=3),"Setia",IF(AND(E3539=5,F3539&lt;=2,G3539&gt;=3),"Berpotensi",IF(AND(E3539&lt;=3,E3539&gt;=2,F3539&gt;=3),"Rawan",IF(AND(E3539&lt;=2,F3539&lt;=2),"Tidur","Umum"))))))</f>
        <v/>
      </c>
    </row>
    <row r="3540">
      <c r="B3540">
        <f>IF(A3540="","",$B$1-MAXIFS(Donasi!$A$2:$A$20000,Donasi!$B$2:$B$20000,A3540))</f>
        <v/>
      </c>
      <c r="C3540">
        <f>IF(A3540="","",COUNTIF(Donasi!$B$2:$B$20000,A3540))</f>
        <v/>
      </c>
      <c r="D3540">
        <f>IF(A3540="","",SUMIF(Donasi!$B$2:$B$20000,A3540,Donasi!$C$2:$C$20000))</f>
        <v/>
      </c>
      <c r="E3540">
        <f>IF(A3540="","",6-CEILING(PERCENTRANK.INC($B$3:$B$6000,B3540,4)*5+0.000001,1))</f>
        <v/>
      </c>
      <c r="F3540">
        <f>IF(A3540="","",MAX(1,CEILING(PERCENTRANK.INC($C$3:$C$6000,C3540,4)*5+0.000001,1)))</f>
        <v/>
      </c>
      <c r="G3540">
        <f>IF(A3540="","",MAX(1,CEILING(PERCENTRANK.INC($D$3:$D$6000,D3540,4)*5+0.000001,1)))</f>
        <v/>
      </c>
      <c r="H3540">
        <f>IF(A3540="","",E3540&amp;F3540&amp;G3540)</f>
        <v/>
      </c>
      <c r="I3540">
        <f>IF(A3540="","",IF(AND(E3540&gt;=4,F3540&gt;=4,G3540&gt;=4),"Juara",IF(AND(F3540&gt;=4,E3540&gt;=3),"Setia",IF(AND(E3540=5,F3540&lt;=2,G3540&gt;=3),"Berpotensi",IF(AND(E3540&lt;=3,E3540&gt;=2,F3540&gt;=3),"Rawan",IF(AND(E3540&lt;=2,F3540&lt;=2),"Tidur","Umum"))))))</f>
        <v/>
      </c>
    </row>
    <row r="3541">
      <c r="B3541">
        <f>IF(A3541="","",$B$1-MAXIFS(Donasi!$A$2:$A$20000,Donasi!$B$2:$B$20000,A3541))</f>
        <v/>
      </c>
      <c r="C3541">
        <f>IF(A3541="","",COUNTIF(Donasi!$B$2:$B$20000,A3541))</f>
        <v/>
      </c>
      <c r="D3541">
        <f>IF(A3541="","",SUMIF(Donasi!$B$2:$B$20000,A3541,Donasi!$C$2:$C$20000))</f>
        <v/>
      </c>
      <c r="E3541">
        <f>IF(A3541="","",6-CEILING(PERCENTRANK.INC($B$3:$B$6000,B3541,4)*5+0.000001,1))</f>
        <v/>
      </c>
      <c r="F3541">
        <f>IF(A3541="","",MAX(1,CEILING(PERCENTRANK.INC($C$3:$C$6000,C3541,4)*5+0.000001,1)))</f>
        <v/>
      </c>
      <c r="G3541">
        <f>IF(A3541="","",MAX(1,CEILING(PERCENTRANK.INC($D$3:$D$6000,D3541,4)*5+0.000001,1)))</f>
        <v/>
      </c>
      <c r="H3541">
        <f>IF(A3541="","",E3541&amp;F3541&amp;G3541)</f>
        <v/>
      </c>
      <c r="I3541">
        <f>IF(A3541="","",IF(AND(E3541&gt;=4,F3541&gt;=4,G3541&gt;=4),"Juara",IF(AND(F3541&gt;=4,E3541&gt;=3),"Setia",IF(AND(E3541=5,F3541&lt;=2,G3541&gt;=3),"Berpotensi",IF(AND(E3541&lt;=3,E3541&gt;=2,F3541&gt;=3),"Rawan",IF(AND(E3541&lt;=2,F3541&lt;=2),"Tidur","Umum"))))))</f>
        <v/>
      </c>
    </row>
    <row r="3542">
      <c r="B3542">
        <f>IF(A3542="","",$B$1-MAXIFS(Donasi!$A$2:$A$20000,Donasi!$B$2:$B$20000,A3542))</f>
        <v/>
      </c>
      <c r="C3542">
        <f>IF(A3542="","",COUNTIF(Donasi!$B$2:$B$20000,A3542))</f>
        <v/>
      </c>
      <c r="D3542">
        <f>IF(A3542="","",SUMIF(Donasi!$B$2:$B$20000,A3542,Donasi!$C$2:$C$20000))</f>
        <v/>
      </c>
      <c r="E3542">
        <f>IF(A3542="","",6-CEILING(PERCENTRANK.INC($B$3:$B$6000,B3542,4)*5+0.000001,1))</f>
        <v/>
      </c>
      <c r="F3542">
        <f>IF(A3542="","",MAX(1,CEILING(PERCENTRANK.INC($C$3:$C$6000,C3542,4)*5+0.000001,1)))</f>
        <v/>
      </c>
      <c r="G3542">
        <f>IF(A3542="","",MAX(1,CEILING(PERCENTRANK.INC($D$3:$D$6000,D3542,4)*5+0.000001,1)))</f>
        <v/>
      </c>
      <c r="H3542">
        <f>IF(A3542="","",E3542&amp;F3542&amp;G3542)</f>
        <v/>
      </c>
      <c r="I3542">
        <f>IF(A3542="","",IF(AND(E3542&gt;=4,F3542&gt;=4,G3542&gt;=4),"Juara",IF(AND(F3542&gt;=4,E3542&gt;=3),"Setia",IF(AND(E3542=5,F3542&lt;=2,G3542&gt;=3),"Berpotensi",IF(AND(E3542&lt;=3,E3542&gt;=2,F3542&gt;=3),"Rawan",IF(AND(E3542&lt;=2,F3542&lt;=2),"Tidur","Umum"))))))</f>
        <v/>
      </c>
    </row>
    <row r="3543">
      <c r="B3543">
        <f>IF(A3543="","",$B$1-MAXIFS(Donasi!$A$2:$A$20000,Donasi!$B$2:$B$20000,A3543))</f>
        <v/>
      </c>
      <c r="C3543">
        <f>IF(A3543="","",COUNTIF(Donasi!$B$2:$B$20000,A3543))</f>
        <v/>
      </c>
      <c r="D3543">
        <f>IF(A3543="","",SUMIF(Donasi!$B$2:$B$20000,A3543,Donasi!$C$2:$C$20000))</f>
        <v/>
      </c>
      <c r="E3543">
        <f>IF(A3543="","",6-CEILING(PERCENTRANK.INC($B$3:$B$6000,B3543,4)*5+0.000001,1))</f>
        <v/>
      </c>
      <c r="F3543">
        <f>IF(A3543="","",MAX(1,CEILING(PERCENTRANK.INC($C$3:$C$6000,C3543,4)*5+0.000001,1)))</f>
        <v/>
      </c>
      <c r="G3543">
        <f>IF(A3543="","",MAX(1,CEILING(PERCENTRANK.INC($D$3:$D$6000,D3543,4)*5+0.000001,1)))</f>
        <v/>
      </c>
      <c r="H3543">
        <f>IF(A3543="","",E3543&amp;F3543&amp;G3543)</f>
        <v/>
      </c>
      <c r="I3543">
        <f>IF(A3543="","",IF(AND(E3543&gt;=4,F3543&gt;=4,G3543&gt;=4),"Juara",IF(AND(F3543&gt;=4,E3543&gt;=3),"Setia",IF(AND(E3543=5,F3543&lt;=2,G3543&gt;=3),"Berpotensi",IF(AND(E3543&lt;=3,E3543&gt;=2,F3543&gt;=3),"Rawan",IF(AND(E3543&lt;=2,F3543&lt;=2),"Tidur","Umum"))))))</f>
        <v/>
      </c>
    </row>
    <row r="3544">
      <c r="B3544">
        <f>IF(A3544="","",$B$1-MAXIFS(Donasi!$A$2:$A$20000,Donasi!$B$2:$B$20000,A3544))</f>
        <v/>
      </c>
      <c r="C3544">
        <f>IF(A3544="","",COUNTIF(Donasi!$B$2:$B$20000,A3544))</f>
        <v/>
      </c>
      <c r="D3544">
        <f>IF(A3544="","",SUMIF(Donasi!$B$2:$B$20000,A3544,Donasi!$C$2:$C$20000))</f>
        <v/>
      </c>
      <c r="E3544">
        <f>IF(A3544="","",6-CEILING(PERCENTRANK.INC($B$3:$B$6000,B3544,4)*5+0.000001,1))</f>
        <v/>
      </c>
      <c r="F3544">
        <f>IF(A3544="","",MAX(1,CEILING(PERCENTRANK.INC($C$3:$C$6000,C3544,4)*5+0.000001,1)))</f>
        <v/>
      </c>
      <c r="G3544">
        <f>IF(A3544="","",MAX(1,CEILING(PERCENTRANK.INC($D$3:$D$6000,D3544,4)*5+0.000001,1)))</f>
        <v/>
      </c>
      <c r="H3544">
        <f>IF(A3544="","",E3544&amp;F3544&amp;G3544)</f>
        <v/>
      </c>
      <c r="I3544">
        <f>IF(A3544="","",IF(AND(E3544&gt;=4,F3544&gt;=4,G3544&gt;=4),"Juara",IF(AND(F3544&gt;=4,E3544&gt;=3),"Setia",IF(AND(E3544=5,F3544&lt;=2,G3544&gt;=3),"Berpotensi",IF(AND(E3544&lt;=3,E3544&gt;=2,F3544&gt;=3),"Rawan",IF(AND(E3544&lt;=2,F3544&lt;=2),"Tidur","Umum"))))))</f>
        <v/>
      </c>
    </row>
    <row r="3545">
      <c r="B3545">
        <f>IF(A3545="","",$B$1-MAXIFS(Donasi!$A$2:$A$20000,Donasi!$B$2:$B$20000,A3545))</f>
        <v/>
      </c>
      <c r="C3545">
        <f>IF(A3545="","",COUNTIF(Donasi!$B$2:$B$20000,A3545))</f>
        <v/>
      </c>
      <c r="D3545">
        <f>IF(A3545="","",SUMIF(Donasi!$B$2:$B$20000,A3545,Donasi!$C$2:$C$20000))</f>
        <v/>
      </c>
      <c r="E3545">
        <f>IF(A3545="","",6-CEILING(PERCENTRANK.INC($B$3:$B$6000,B3545,4)*5+0.000001,1))</f>
        <v/>
      </c>
      <c r="F3545">
        <f>IF(A3545="","",MAX(1,CEILING(PERCENTRANK.INC($C$3:$C$6000,C3545,4)*5+0.000001,1)))</f>
        <v/>
      </c>
      <c r="G3545">
        <f>IF(A3545="","",MAX(1,CEILING(PERCENTRANK.INC($D$3:$D$6000,D3545,4)*5+0.000001,1)))</f>
        <v/>
      </c>
      <c r="H3545">
        <f>IF(A3545="","",E3545&amp;F3545&amp;G3545)</f>
        <v/>
      </c>
      <c r="I3545">
        <f>IF(A3545="","",IF(AND(E3545&gt;=4,F3545&gt;=4,G3545&gt;=4),"Juara",IF(AND(F3545&gt;=4,E3545&gt;=3),"Setia",IF(AND(E3545=5,F3545&lt;=2,G3545&gt;=3),"Berpotensi",IF(AND(E3545&lt;=3,E3545&gt;=2,F3545&gt;=3),"Rawan",IF(AND(E3545&lt;=2,F3545&lt;=2),"Tidur","Umum"))))))</f>
        <v/>
      </c>
    </row>
    <row r="3546">
      <c r="B3546">
        <f>IF(A3546="","",$B$1-MAXIFS(Donasi!$A$2:$A$20000,Donasi!$B$2:$B$20000,A3546))</f>
        <v/>
      </c>
      <c r="C3546">
        <f>IF(A3546="","",COUNTIF(Donasi!$B$2:$B$20000,A3546))</f>
        <v/>
      </c>
      <c r="D3546">
        <f>IF(A3546="","",SUMIF(Donasi!$B$2:$B$20000,A3546,Donasi!$C$2:$C$20000))</f>
        <v/>
      </c>
      <c r="E3546">
        <f>IF(A3546="","",6-CEILING(PERCENTRANK.INC($B$3:$B$6000,B3546,4)*5+0.000001,1))</f>
        <v/>
      </c>
      <c r="F3546">
        <f>IF(A3546="","",MAX(1,CEILING(PERCENTRANK.INC($C$3:$C$6000,C3546,4)*5+0.000001,1)))</f>
        <v/>
      </c>
      <c r="G3546">
        <f>IF(A3546="","",MAX(1,CEILING(PERCENTRANK.INC($D$3:$D$6000,D3546,4)*5+0.000001,1)))</f>
        <v/>
      </c>
      <c r="H3546">
        <f>IF(A3546="","",E3546&amp;F3546&amp;G3546)</f>
        <v/>
      </c>
      <c r="I3546">
        <f>IF(A3546="","",IF(AND(E3546&gt;=4,F3546&gt;=4,G3546&gt;=4),"Juara",IF(AND(F3546&gt;=4,E3546&gt;=3),"Setia",IF(AND(E3546=5,F3546&lt;=2,G3546&gt;=3),"Berpotensi",IF(AND(E3546&lt;=3,E3546&gt;=2,F3546&gt;=3),"Rawan",IF(AND(E3546&lt;=2,F3546&lt;=2),"Tidur","Umum"))))))</f>
        <v/>
      </c>
    </row>
    <row r="3547">
      <c r="B3547">
        <f>IF(A3547="","",$B$1-MAXIFS(Donasi!$A$2:$A$20000,Donasi!$B$2:$B$20000,A3547))</f>
        <v/>
      </c>
      <c r="C3547">
        <f>IF(A3547="","",COUNTIF(Donasi!$B$2:$B$20000,A3547))</f>
        <v/>
      </c>
      <c r="D3547">
        <f>IF(A3547="","",SUMIF(Donasi!$B$2:$B$20000,A3547,Donasi!$C$2:$C$20000))</f>
        <v/>
      </c>
      <c r="E3547">
        <f>IF(A3547="","",6-CEILING(PERCENTRANK.INC($B$3:$B$6000,B3547,4)*5+0.000001,1))</f>
        <v/>
      </c>
      <c r="F3547">
        <f>IF(A3547="","",MAX(1,CEILING(PERCENTRANK.INC($C$3:$C$6000,C3547,4)*5+0.000001,1)))</f>
        <v/>
      </c>
      <c r="G3547">
        <f>IF(A3547="","",MAX(1,CEILING(PERCENTRANK.INC($D$3:$D$6000,D3547,4)*5+0.000001,1)))</f>
        <v/>
      </c>
      <c r="H3547">
        <f>IF(A3547="","",E3547&amp;F3547&amp;G3547)</f>
        <v/>
      </c>
      <c r="I3547">
        <f>IF(A3547="","",IF(AND(E3547&gt;=4,F3547&gt;=4,G3547&gt;=4),"Juara",IF(AND(F3547&gt;=4,E3547&gt;=3),"Setia",IF(AND(E3547=5,F3547&lt;=2,G3547&gt;=3),"Berpotensi",IF(AND(E3547&lt;=3,E3547&gt;=2,F3547&gt;=3),"Rawan",IF(AND(E3547&lt;=2,F3547&lt;=2),"Tidur","Umum"))))))</f>
        <v/>
      </c>
    </row>
    <row r="3548">
      <c r="B3548">
        <f>IF(A3548="","",$B$1-MAXIFS(Donasi!$A$2:$A$20000,Donasi!$B$2:$B$20000,A3548))</f>
        <v/>
      </c>
      <c r="C3548">
        <f>IF(A3548="","",COUNTIF(Donasi!$B$2:$B$20000,A3548))</f>
        <v/>
      </c>
      <c r="D3548">
        <f>IF(A3548="","",SUMIF(Donasi!$B$2:$B$20000,A3548,Donasi!$C$2:$C$20000))</f>
        <v/>
      </c>
      <c r="E3548">
        <f>IF(A3548="","",6-CEILING(PERCENTRANK.INC($B$3:$B$6000,B3548,4)*5+0.000001,1))</f>
        <v/>
      </c>
      <c r="F3548">
        <f>IF(A3548="","",MAX(1,CEILING(PERCENTRANK.INC($C$3:$C$6000,C3548,4)*5+0.000001,1)))</f>
        <v/>
      </c>
      <c r="G3548">
        <f>IF(A3548="","",MAX(1,CEILING(PERCENTRANK.INC($D$3:$D$6000,D3548,4)*5+0.000001,1)))</f>
        <v/>
      </c>
      <c r="H3548">
        <f>IF(A3548="","",E3548&amp;F3548&amp;G3548)</f>
        <v/>
      </c>
      <c r="I3548">
        <f>IF(A3548="","",IF(AND(E3548&gt;=4,F3548&gt;=4,G3548&gt;=4),"Juara",IF(AND(F3548&gt;=4,E3548&gt;=3),"Setia",IF(AND(E3548=5,F3548&lt;=2,G3548&gt;=3),"Berpotensi",IF(AND(E3548&lt;=3,E3548&gt;=2,F3548&gt;=3),"Rawan",IF(AND(E3548&lt;=2,F3548&lt;=2),"Tidur","Umum"))))))</f>
        <v/>
      </c>
    </row>
    <row r="3549">
      <c r="B3549">
        <f>IF(A3549="","",$B$1-MAXIFS(Donasi!$A$2:$A$20000,Donasi!$B$2:$B$20000,A3549))</f>
        <v/>
      </c>
      <c r="C3549">
        <f>IF(A3549="","",COUNTIF(Donasi!$B$2:$B$20000,A3549))</f>
        <v/>
      </c>
      <c r="D3549">
        <f>IF(A3549="","",SUMIF(Donasi!$B$2:$B$20000,A3549,Donasi!$C$2:$C$20000))</f>
        <v/>
      </c>
      <c r="E3549">
        <f>IF(A3549="","",6-CEILING(PERCENTRANK.INC($B$3:$B$6000,B3549,4)*5+0.000001,1))</f>
        <v/>
      </c>
      <c r="F3549">
        <f>IF(A3549="","",MAX(1,CEILING(PERCENTRANK.INC($C$3:$C$6000,C3549,4)*5+0.000001,1)))</f>
        <v/>
      </c>
      <c r="G3549">
        <f>IF(A3549="","",MAX(1,CEILING(PERCENTRANK.INC($D$3:$D$6000,D3549,4)*5+0.000001,1)))</f>
        <v/>
      </c>
      <c r="H3549">
        <f>IF(A3549="","",E3549&amp;F3549&amp;G3549)</f>
        <v/>
      </c>
      <c r="I3549">
        <f>IF(A3549="","",IF(AND(E3549&gt;=4,F3549&gt;=4,G3549&gt;=4),"Juara",IF(AND(F3549&gt;=4,E3549&gt;=3),"Setia",IF(AND(E3549=5,F3549&lt;=2,G3549&gt;=3),"Berpotensi",IF(AND(E3549&lt;=3,E3549&gt;=2,F3549&gt;=3),"Rawan",IF(AND(E3549&lt;=2,F3549&lt;=2),"Tidur","Umum"))))))</f>
        <v/>
      </c>
    </row>
    <row r="3550">
      <c r="B3550">
        <f>IF(A3550="","",$B$1-MAXIFS(Donasi!$A$2:$A$20000,Donasi!$B$2:$B$20000,A3550))</f>
        <v/>
      </c>
      <c r="C3550">
        <f>IF(A3550="","",COUNTIF(Donasi!$B$2:$B$20000,A3550))</f>
        <v/>
      </c>
      <c r="D3550">
        <f>IF(A3550="","",SUMIF(Donasi!$B$2:$B$20000,A3550,Donasi!$C$2:$C$20000))</f>
        <v/>
      </c>
      <c r="E3550">
        <f>IF(A3550="","",6-CEILING(PERCENTRANK.INC($B$3:$B$6000,B3550,4)*5+0.000001,1))</f>
        <v/>
      </c>
      <c r="F3550">
        <f>IF(A3550="","",MAX(1,CEILING(PERCENTRANK.INC($C$3:$C$6000,C3550,4)*5+0.000001,1)))</f>
        <v/>
      </c>
      <c r="G3550">
        <f>IF(A3550="","",MAX(1,CEILING(PERCENTRANK.INC($D$3:$D$6000,D3550,4)*5+0.000001,1)))</f>
        <v/>
      </c>
      <c r="H3550">
        <f>IF(A3550="","",E3550&amp;F3550&amp;G3550)</f>
        <v/>
      </c>
      <c r="I3550">
        <f>IF(A3550="","",IF(AND(E3550&gt;=4,F3550&gt;=4,G3550&gt;=4),"Juara",IF(AND(F3550&gt;=4,E3550&gt;=3),"Setia",IF(AND(E3550=5,F3550&lt;=2,G3550&gt;=3),"Berpotensi",IF(AND(E3550&lt;=3,E3550&gt;=2,F3550&gt;=3),"Rawan",IF(AND(E3550&lt;=2,F3550&lt;=2),"Tidur","Umum"))))))</f>
        <v/>
      </c>
    </row>
    <row r="3551">
      <c r="B3551">
        <f>IF(A3551="","",$B$1-MAXIFS(Donasi!$A$2:$A$20000,Donasi!$B$2:$B$20000,A3551))</f>
        <v/>
      </c>
      <c r="C3551">
        <f>IF(A3551="","",COUNTIF(Donasi!$B$2:$B$20000,A3551))</f>
        <v/>
      </c>
      <c r="D3551">
        <f>IF(A3551="","",SUMIF(Donasi!$B$2:$B$20000,A3551,Donasi!$C$2:$C$20000))</f>
        <v/>
      </c>
      <c r="E3551">
        <f>IF(A3551="","",6-CEILING(PERCENTRANK.INC($B$3:$B$6000,B3551,4)*5+0.000001,1))</f>
        <v/>
      </c>
      <c r="F3551">
        <f>IF(A3551="","",MAX(1,CEILING(PERCENTRANK.INC($C$3:$C$6000,C3551,4)*5+0.000001,1)))</f>
        <v/>
      </c>
      <c r="G3551">
        <f>IF(A3551="","",MAX(1,CEILING(PERCENTRANK.INC($D$3:$D$6000,D3551,4)*5+0.000001,1)))</f>
        <v/>
      </c>
      <c r="H3551">
        <f>IF(A3551="","",E3551&amp;F3551&amp;G3551)</f>
        <v/>
      </c>
      <c r="I3551">
        <f>IF(A3551="","",IF(AND(E3551&gt;=4,F3551&gt;=4,G3551&gt;=4),"Juara",IF(AND(F3551&gt;=4,E3551&gt;=3),"Setia",IF(AND(E3551=5,F3551&lt;=2,G3551&gt;=3),"Berpotensi",IF(AND(E3551&lt;=3,E3551&gt;=2,F3551&gt;=3),"Rawan",IF(AND(E3551&lt;=2,F3551&lt;=2),"Tidur","Umum"))))))</f>
        <v/>
      </c>
    </row>
    <row r="3552">
      <c r="B3552">
        <f>IF(A3552="","",$B$1-MAXIFS(Donasi!$A$2:$A$20000,Donasi!$B$2:$B$20000,A3552))</f>
        <v/>
      </c>
      <c r="C3552">
        <f>IF(A3552="","",COUNTIF(Donasi!$B$2:$B$20000,A3552))</f>
        <v/>
      </c>
      <c r="D3552">
        <f>IF(A3552="","",SUMIF(Donasi!$B$2:$B$20000,A3552,Donasi!$C$2:$C$20000))</f>
        <v/>
      </c>
      <c r="E3552">
        <f>IF(A3552="","",6-CEILING(PERCENTRANK.INC($B$3:$B$6000,B3552,4)*5+0.000001,1))</f>
        <v/>
      </c>
      <c r="F3552">
        <f>IF(A3552="","",MAX(1,CEILING(PERCENTRANK.INC($C$3:$C$6000,C3552,4)*5+0.000001,1)))</f>
        <v/>
      </c>
      <c r="G3552">
        <f>IF(A3552="","",MAX(1,CEILING(PERCENTRANK.INC($D$3:$D$6000,D3552,4)*5+0.000001,1)))</f>
        <v/>
      </c>
      <c r="H3552">
        <f>IF(A3552="","",E3552&amp;F3552&amp;G3552)</f>
        <v/>
      </c>
      <c r="I3552">
        <f>IF(A3552="","",IF(AND(E3552&gt;=4,F3552&gt;=4,G3552&gt;=4),"Juara",IF(AND(F3552&gt;=4,E3552&gt;=3),"Setia",IF(AND(E3552=5,F3552&lt;=2,G3552&gt;=3),"Berpotensi",IF(AND(E3552&lt;=3,E3552&gt;=2,F3552&gt;=3),"Rawan",IF(AND(E3552&lt;=2,F3552&lt;=2),"Tidur","Umum"))))))</f>
        <v/>
      </c>
    </row>
    <row r="3553">
      <c r="B3553">
        <f>IF(A3553="","",$B$1-MAXIFS(Donasi!$A$2:$A$20000,Donasi!$B$2:$B$20000,A3553))</f>
        <v/>
      </c>
      <c r="C3553">
        <f>IF(A3553="","",COUNTIF(Donasi!$B$2:$B$20000,A3553))</f>
        <v/>
      </c>
      <c r="D3553">
        <f>IF(A3553="","",SUMIF(Donasi!$B$2:$B$20000,A3553,Donasi!$C$2:$C$20000))</f>
        <v/>
      </c>
      <c r="E3553">
        <f>IF(A3553="","",6-CEILING(PERCENTRANK.INC($B$3:$B$6000,B3553,4)*5+0.000001,1))</f>
        <v/>
      </c>
      <c r="F3553">
        <f>IF(A3553="","",MAX(1,CEILING(PERCENTRANK.INC($C$3:$C$6000,C3553,4)*5+0.000001,1)))</f>
        <v/>
      </c>
      <c r="G3553">
        <f>IF(A3553="","",MAX(1,CEILING(PERCENTRANK.INC($D$3:$D$6000,D3553,4)*5+0.000001,1)))</f>
        <v/>
      </c>
      <c r="H3553">
        <f>IF(A3553="","",E3553&amp;F3553&amp;G3553)</f>
        <v/>
      </c>
      <c r="I3553">
        <f>IF(A3553="","",IF(AND(E3553&gt;=4,F3553&gt;=4,G3553&gt;=4),"Juara",IF(AND(F3553&gt;=4,E3553&gt;=3),"Setia",IF(AND(E3553=5,F3553&lt;=2,G3553&gt;=3),"Berpotensi",IF(AND(E3553&lt;=3,E3553&gt;=2,F3553&gt;=3),"Rawan",IF(AND(E3553&lt;=2,F3553&lt;=2),"Tidur","Umum"))))))</f>
        <v/>
      </c>
    </row>
    <row r="3554">
      <c r="B3554">
        <f>IF(A3554="","",$B$1-MAXIFS(Donasi!$A$2:$A$20000,Donasi!$B$2:$B$20000,A3554))</f>
        <v/>
      </c>
      <c r="C3554">
        <f>IF(A3554="","",COUNTIF(Donasi!$B$2:$B$20000,A3554))</f>
        <v/>
      </c>
      <c r="D3554">
        <f>IF(A3554="","",SUMIF(Donasi!$B$2:$B$20000,A3554,Donasi!$C$2:$C$20000))</f>
        <v/>
      </c>
      <c r="E3554">
        <f>IF(A3554="","",6-CEILING(PERCENTRANK.INC($B$3:$B$6000,B3554,4)*5+0.000001,1))</f>
        <v/>
      </c>
      <c r="F3554">
        <f>IF(A3554="","",MAX(1,CEILING(PERCENTRANK.INC($C$3:$C$6000,C3554,4)*5+0.000001,1)))</f>
        <v/>
      </c>
      <c r="G3554">
        <f>IF(A3554="","",MAX(1,CEILING(PERCENTRANK.INC($D$3:$D$6000,D3554,4)*5+0.000001,1)))</f>
        <v/>
      </c>
      <c r="H3554">
        <f>IF(A3554="","",E3554&amp;F3554&amp;G3554)</f>
        <v/>
      </c>
      <c r="I3554">
        <f>IF(A3554="","",IF(AND(E3554&gt;=4,F3554&gt;=4,G3554&gt;=4),"Juara",IF(AND(F3554&gt;=4,E3554&gt;=3),"Setia",IF(AND(E3554=5,F3554&lt;=2,G3554&gt;=3),"Berpotensi",IF(AND(E3554&lt;=3,E3554&gt;=2,F3554&gt;=3),"Rawan",IF(AND(E3554&lt;=2,F3554&lt;=2),"Tidur","Umum"))))))</f>
        <v/>
      </c>
    </row>
    <row r="3555">
      <c r="B3555">
        <f>IF(A3555="","",$B$1-MAXIFS(Donasi!$A$2:$A$20000,Donasi!$B$2:$B$20000,A3555))</f>
        <v/>
      </c>
      <c r="C3555">
        <f>IF(A3555="","",COUNTIF(Donasi!$B$2:$B$20000,A3555))</f>
        <v/>
      </c>
      <c r="D3555">
        <f>IF(A3555="","",SUMIF(Donasi!$B$2:$B$20000,A3555,Donasi!$C$2:$C$20000))</f>
        <v/>
      </c>
      <c r="E3555">
        <f>IF(A3555="","",6-CEILING(PERCENTRANK.INC($B$3:$B$6000,B3555,4)*5+0.000001,1))</f>
        <v/>
      </c>
      <c r="F3555">
        <f>IF(A3555="","",MAX(1,CEILING(PERCENTRANK.INC($C$3:$C$6000,C3555,4)*5+0.000001,1)))</f>
        <v/>
      </c>
      <c r="G3555">
        <f>IF(A3555="","",MAX(1,CEILING(PERCENTRANK.INC($D$3:$D$6000,D3555,4)*5+0.000001,1)))</f>
        <v/>
      </c>
      <c r="H3555">
        <f>IF(A3555="","",E3555&amp;F3555&amp;G3555)</f>
        <v/>
      </c>
      <c r="I3555">
        <f>IF(A3555="","",IF(AND(E3555&gt;=4,F3555&gt;=4,G3555&gt;=4),"Juara",IF(AND(F3555&gt;=4,E3555&gt;=3),"Setia",IF(AND(E3555=5,F3555&lt;=2,G3555&gt;=3),"Berpotensi",IF(AND(E3555&lt;=3,E3555&gt;=2,F3555&gt;=3),"Rawan",IF(AND(E3555&lt;=2,F3555&lt;=2),"Tidur","Umum"))))))</f>
        <v/>
      </c>
    </row>
    <row r="3556">
      <c r="B3556">
        <f>IF(A3556="","",$B$1-MAXIFS(Donasi!$A$2:$A$20000,Donasi!$B$2:$B$20000,A3556))</f>
        <v/>
      </c>
      <c r="C3556">
        <f>IF(A3556="","",COUNTIF(Donasi!$B$2:$B$20000,A3556))</f>
        <v/>
      </c>
      <c r="D3556">
        <f>IF(A3556="","",SUMIF(Donasi!$B$2:$B$20000,A3556,Donasi!$C$2:$C$20000))</f>
        <v/>
      </c>
      <c r="E3556">
        <f>IF(A3556="","",6-CEILING(PERCENTRANK.INC($B$3:$B$6000,B3556,4)*5+0.000001,1))</f>
        <v/>
      </c>
      <c r="F3556">
        <f>IF(A3556="","",MAX(1,CEILING(PERCENTRANK.INC($C$3:$C$6000,C3556,4)*5+0.000001,1)))</f>
        <v/>
      </c>
      <c r="G3556">
        <f>IF(A3556="","",MAX(1,CEILING(PERCENTRANK.INC($D$3:$D$6000,D3556,4)*5+0.000001,1)))</f>
        <v/>
      </c>
      <c r="H3556">
        <f>IF(A3556="","",E3556&amp;F3556&amp;G3556)</f>
        <v/>
      </c>
      <c r="I3556">
        <f>IF(A3556="","",IF(AND(E3556&gt;=4,F3556&gt;=4,G3556&gt;=4),"Juara",IF(AND(F3556&gt;=4,E3556&gt;=3),"Setia",IF(AND(E3556=5,F3556&lt;=2,G3556&gt;=3),"Berpotensi",IF(AND(E3556&lt;=3,E3556&gt;=2,F3556&gt;=3),"Rawan",IF(AND(E3556&lt;=2,F3556&lt;=2),"Tidur","Umum"))))))</f>
        <v/>
      </c>
    </row>
    <row r="3557">
      <c r="B3557">
        <f>IF(A3557="","",$B$1-MAXIFS(Donasi!$A$2:$A$20000,Donasi!$B$2:$B$20000,A3557))</f>
        <v/>
      </c>
      <c r="C3557">
        <f>IF(A3557="","",COUNTIF(Donasi!$B$2:$B$20000,A3557))</f>
        <v/>
      </c>
      <c r="D3557">
        <f>IF(A3557="","",SUMIF(Donasi!$B$2:$B$20000,A3557,Donasi!$C$2:$C$20000))</f>
        <v/>
      </c>
      <c r="E3557">
        <f>IF(A3557="","",6-CEILING(PERCENTRANK.INC($B$3:$B$6000,B3557,4)*5+0.000001,1))</f>
        <v/>
      </c>
      <c r="F3557">
        <f>IF(A3557="","",MAX(1,CEILING(PERCENTRANK.INC($C$3:$C$6000,C3557,4)*5+0.000001,1)))</f>
        <v/>
      </c>
      <c r="G3557">
        <f>IF(A3557="","",MAX(1,CEILING(PERCENTRANK.INC($D$3:$D$6000,D3557,4)*5+0.000001,1)))</f>
        <v/>
      </c>
      <c r="H3557">
        <f>IF(A3557="","",E3557&amp;F3557&amp;G3557)</f>
        <v/>
      </c>
      <c r="I3557">
        <f>IF(A3557="","",IF(AND(E3557&gt;=4,F3557&gt;=4,G3557&gt;=4),"Juara",IF(AND(F3557&gt;=4,E3557&gt;=3),"Setia",IF(AND(E3557=5,F3557&lt;=2,G3557&gt;=3),"Berpotensi",IF(AND(E3557&lt;=3,E3557&gt;=2,F3557&gt;=3),"Rawan",IF(AND(E3557&lt;=2,F3557&lt;=2),"Tidur","Umum"))))))</f>
        <v/>
      </c>
    </row>
    <row r="3558">
      <c r="B3558">
        <f>IF(A3558="","",$B$1-MAXIFS(Donasi!$A$2:$A$20000,Donasi!$B$2:$B$20000,A3558))</f>
        <v/>
      </c>
      <c r="C3558">
        <f>IF(A3558="","",COUNTIF(Donasi!$B$2:$B$20000,A3558))</f>
        <v/>
      </c>
      <c r="D3558">
        <f>IF(A3558="","",SUMIF(Donasi!$B$2:$B$20000,A3558,Donasi!$C$2:$C$20000))</f>
        <v/>
      </c>
      <c r="E3558">
        <f>IF(A3558="","",6-CEILING(PERCENTRANK.INC($B$3:$B$6000,B3558,4)*5+0.000001,1))</f>
        <v/>
      </c>
      <c r="F3558">
        <f>IF(A3558="","",MAX(1,CEILING(PERCENTRANK.INC($C$3:$C$6000,C3558,4)*5+0.000001,1)))</f>
        <v/>
      </c>
      <c r="G3558">
        <f>IF(A3558="","",MAX(1,CEILING(PERCENTRANK.INC($D$3:$D$6000,D3558,4)*5+0.000001,1)))</f>
        <v/>
      </c>
      <c r="H3558">
        <f>IF(A3558="","",E3558&amp;F3558&amp;G3558)</f>
        <v/>
      </c>
      <c r="I3558">
        <f>IF(A3558="","",IF(AND(E3558&gt;=4,F3558&gt;=4,G3558&gt;=4),"Juara",IF(AND(F3558&gt;=4,E3558&gt;=3),"Setia",IF(AND(E3558=5,F3558&lt;=2,G3558&gt;=3),"Berpotensi",IF(AND(E3558&lt;=3,E3558&gt;=2,F3558&gt;=3),"Rawan",IF(AND(E3558&lt;=2,F3558&lt;=2),"Tidur","Umum"))))))</f>
        <v/>
      </c>
    </row>
    <row r="3559">
      <c r="B3559">
        <f>IF(A3559="","",$B$1-MAXIFS(Donasi!$A$2:$A$20000,Donasi!$B$2:$B$20000,A3559))</f>
        <v/>
      </c>
      <c r="C3559">
        <f>IF(A3559="","",COUNTIF(Donasi!$B$2:$B$20000,A3559))</f>
        <v/>
      </c>
      <c r="D3559">
        <f>IF(A3559="","",SUMIF(Donasi!$B$2:$B$20000,A3559,Donasi!$C$2:$C$20000))</f>
        <v/>
      </c>
      <c r="E3559">
        <f>IF(A3559="","",6-CEILING(PERCENTRANK.INC($B$3:$B$6000,B3559,4)*5+0.000001,1))</f>
        <v/>
      </c>
      <c r="F3559">
        <f>IF(A3559="","",MAX(1,CEILING(PERCENTRANK.INC($C$3:$C$6000,C3559,4)*5+0.000001,1)))</f>
        <v/>
      </c>
      <c r="G3559">
        <f>IF(A3559="","",MAX(1,CEILING(PERCENTRANK.INC($D$3:$D$6000,D3559,4)*5+0.000001,1)))</f>
        <v/>
      </c>
      <c r="H3559">
        <f>IF(A3559="","",E3559&amp;F3559&amp;G3559)</f>
        <v/>
      </c>
      <c r="I3559">
        <f>IF(A3559="","",IF(AND(E3559&gt;=4,F3559&gt;=4,G3559&gt;=4),"Juara",IF(AND(F3559&gt;=4,E3559&gt;=3),"Setia",IF(AND(E3559=5,F3559&lt;=2,G3559&gt;=3),"Berpotensi",IF(AND(E3559&lt;=3,E3559&gt;=2,F3559&gt;=3),"Rawan",IF(AND(E3559&lt;=2,F3559&lt;=2),"Tidur","Umum"))))))</f>
        <v/>
      </c>
    </row>
    <row r="3560">
      <c r="B3560">
        <f>IF(A3560="","",$B$1-MAXIFS(Donasi!$A$2:$A$20000,Donasi!$B$2:$B$20000,A3560))</f>
        <v/>
      </c>
      <c r="C3560">
        <f>IF(A3560="","",COUNTIF(Donasi!$B$2:$B$20000,A3560))</f>
        <v/>
      </c>
      <c r="D3560">
        <f>IF(A3560="","",SUMIF(Donasi!$B$2:$B$20000,A3560,Donasi!$C$2:$C$20000))</f>
        <v/>
      </c>
      <c r="E3560">
        <f>IF(A3560="","",6-CEILING(PERCENTRANK.INC($B$3:$B$6000,B3560,4)*5+0.000001,1))</f>
        <v/>
      </c>
      <c r="F3560">
        <f>IF(A3560="","",MAX(1,CEILING(PERCENTRANK.INC($C$3:$C$6000,C3560,4)*5+0.000001,1)))</f>
        <v/>
      </c>
      <c r="G3560">
        <f>IF(A3560="","",MAX(1,CEILING(PERCENTRANK.INC($D$3:$D$6000,D3560,4)*5+0.000001,1)))</f>
        <v/>
      </c>
      <c r="H3560">
        <f>IF(A3560="","",E3560&amp;F3560&amp;G3560)</f>
        <v/>
      </c>
      <c r="I3560">
        <f>IF(A3560="","",IF(AND(E3560&gt;=4,F3560&gt;=4,G3560&gt;=4),"Juara",IF(AND(F3560&gt;=4,E3560&gt;=3),"Setia",IF(AND(E3560=5,F3560&lt;=2,G3560&gt;=3),"Berpotensi",IF(AND(E3560&lt;=3,E3560&gt;=2,F3560&gt;=3),"Rawan",IF(AND(E3560&lt;=2,F3560&lt;=2),"Tidur","Umum"))))))</f>
        <v/>
      </c>
    </row>
    <row r="3561">
      <c r="B3561">
        <f>IF(A3561="","",$B$1-MAXIFS(Donasi!$A$2:$A$20000,Donasi!$B$2:$B$20000,A3561))</f>
        <v/>
      </c>
      <c r="C3561">
        <f>IF(A3561="","",COUNTIF(Donasi!$B$2:$B$20000,A3561))</f>
        <v/>
      </c>
      <c r="D3561">
        <f>IF(A3561="","",SUMIF(Donasi!$B$2:$B$20000,A3561,Donasi!$C$2:$C$20000))</f>
        <v/>
      </c>
      <c r="E3561">
        <f>IF(A3561="","",6-CEILING(PERCENTRANK.INC($B$3:$B$6000,B3561,4)*5+0.000001,1))</f>
        <v/>
      </c>
      <c r="F3561">
        <f>IF(A3561="","",MAX(1,CEILING(PERCENTRANK.INC($C$3:$C$6000,C3561,4)*5+0.000001,1)))</f>
        <v/>
      </c>
      <c r="G3561">
        <f>IF(A3561="","",MAX(1,CEILING(PERCENTRANK.INC($D$3:$D$6000,D3561,4)*5+0.000001,1)))</f>
        <v/>
      </c>
      <c r="H3561">
        <f>IF(A3561="","",E3561&amp;F3561&amp;G3561)</f>
        <v/>
      </c>
      <c r="I3561">
        <f>IF(A3561="","",IF(AND(E3561&gt;=4,F3561&gt;=4,G3561&gt;=4),"Juara",IF(AND(F3561&gt;=4,E3561&gt;=3),"Setia",IF(AND(E3561=5,F3561&lt;=2,G3561&gt;=3),"Berpotensi",IF(AND(E3561&lt;=3,E3561&gt;=2,F3561&gt;=3),"Rawan",IF(AND(E3561&lt;=2,F3561&lt;=2),"Tidur","Umum"))))))</f>
        <v/>
      </c>
    </row>
    <row r="3562">
      <c r="B3562">
        <f>IF(A3562="","",$B$1-MAXIFS(Donasi!$A$2:$A$20000,Donasi!$B$2:$B$20000,A3562))</f>
        <v/>
      </c>
      <c r="C3562">
        <f>IF(A3562="","",COUNTIF(Donasi!$B$2:$B$20000,A3562))</f>
        <v/>
      </c>
      <c r="D3562">
        <f>IF(A3562="","",SUMIF(Donasi!$B$2:$B$20000,A3562,Donasi!$C$2:$C$20000))</f>
        <v/>
      </c>
      <c r="E3562">
        <f>IF(A3562="","",6-CEILING(PERCENTRANK.INC($B$3:$B$6000,B3562,4)*5+0.000001,1))</f>
        <v/>
      </c>
      <c r="F3562">
        <f>IF(A3562="","",MAX(1,CEILING(PERCENTRANK.INC($C$3:$C$6000,C3562,4)*5+0.000001,1)))</f>
        <v/>
      </c>
      <c r="G3562">
        <f>IF(A3562="","",MAX(1,CEILING(PERCENTRANK.INC($D$3:$D$6000,D3562,4)*5+0.000001,1)))</f>
        <v/>
      </c>
      <c r="H3562">
        <f>IF(A3562="","",E3562&amp;F3562&amp;G3562)</f>
        <v/>
      </c>
      <c r="I3562">
        <f>IF(A3562="","",IF(AND(E3562&gt;=4,F3562&gt;=4,G3562&gt;=4),"Juara",IF(AND(F3562&gt;=4,E3562&gt;=3),"Setia",IF(AND(E3562=5,F3562&lt;=2,G3562&gt;=3),"Berpotensi",IF(AND(E3562&lt;=3,E3562&gt;=2,F3562&gt;=3),"Rawan",IF(AND(E3562&lt;=2,F3562&lt;=2),"Tidur","Umum"))))))</f>
        <v/>
      </c>
    </row>
    <row r="3563">
      <c r="B3563">
        <f>IF(A3563="","",$B$1-MAXIFS(Donasi!$A$2:$A$20000,Donasi!$B$2:$B$20000,A3563))</f>
        <v/>
      </c>
      <c r="C3563">
        <f>IF(A3563="","",COUNTIF(Donasi!$B$2:$B$20000,A3563))</f>
        <v/>
      </c>
      <c r="D3563">
        <f>IF(A3563="","",SUMIF(Donasi!$B$2:$B$20000,A3563,Donasi!$C$2:$C$20000))</f>
        <v/>
      </c>
      <c r="E3563">
        <f>IF(A3563="","",6-CEILING(PERCENTRANK.INC($B$3:$B$6000,B3563,4)*5+0.000001,1))</f>
        <v/>
      </c>
      <c r="F3563">
        <f>IF(A3563="","",MAX(1,CEILING(PERCENTRANK.INC($C$3:$C$6000,C3563,4)*5+0.000001,1)))</f>
        <v/>
      </c>
      <c r="G3563">
        <f>IF(A3563="","",MAX(1,CEILING(PERCENTRANK.INC($D$3:$D$6000,D3563,4)*5+0.000001,1)))</f>
        <v/>
      </c>
      <c r="H3563">
        <f>IF(A3563="","",E3563&amp;F3563&amp;G3563)</f>
        <v/>
      </c>
      <c r="I3563">
        <f>IF(A3563="","",IF(AND(E3563&gt;=4,F3563&gt;=4,G3563&gt;=4),"Juara",IF(AND(F3563&gt;=4,E3563&gt;=3),"Setia",IF(AND(E3563=5,F3563&lt;=2,G3563&gt;=3),"Berpotensi",IF(AND(E3563&lt;=3,E3563&gt;=2,F3563&gt;=3),"Rawan",IF(AND(E3563&lt;=2,F3563&lt;=2),"Tidur","Umum"))))))</f>
        <v/>
      </c>
    </row>
    <row r="3564">
      <c r="B3564">
        <f>IF(A3564="","",$B$1-MAXIFS(Donasi!$A$2:$A$20000,Donasi!$B$2:$B$20000,A3564))</f>
        <v/>
      </c>
      <c r="C3564">
        <f>IF(A3564="","",COUNTIF(Donasi!$B$2:$B$20000,A3564))</f>
        <v/>
      </c>
      <c r="D3564">
        <f>IF(A3564="","",SUMIF(Donasi!$B$2:$B$20000,A3564,Donasi!$C$2:$C$20000))</f>
        <v/>
      </c>
      <c r="E3564">
        <f>IF(A3564="","",6-CEILING(PERCENTRANK.INC($B$3:$B$6000,B3564,4)*5+0.000001,1))</f>
        <v/>
      </c>
      <c r="F3564">
        <f>IF(A3564="","",MAX(1,CEILING(PERCENTRANK.INC($C$3:$C$6000,C3564,4)*5+0.000001,1)))</f>
        <v/>
      </c>
      <c r="G3564">
        <f>IF(A3564="","",MAX(1,CEILING(PERCENTRANK.INC($D$3:$D$6000,D3564,4)*5+0.000001,1)))</f>
        <v/>
      </c>
      <c r="H3564">
        <f>IF(A3564="","",E3564&amp;F3564&amp;G3564)</f>
        <v/>
      </c>
      <c r="I3564">
        <f>IF(A3564="","",IF(AND(E3564&gt;=4,F3564&gt;=4,G3564&gt;=4),"Juara",IF(AND(F3564&gt;=4,E3564&gt;=3),"Setia",IF(AND(E3564=5,F3564&lt;=2,G3564&gt;=3),"Berpotensi",IF(AND(E3564&lt;=3,E3564&gt;=2,F3564&gt;=3),"Rawan",IF(AND(E3564&lt;=2,F3564&lt;=2),"Tidur","Umum"))))))</f>
        <v/>
      </c>
    </row>
    <row r="3565">
      <c r="B3565">
        <f>IF(A3565="","",$B$1-MAXIFS(Donasi!$A$2:$A$20000,Donasi!$B$2:$B$20000,A3565))</f>
        <v/>
      </c>
      <c r="C3565">
        <f>IF(A3565="","",COUNTIF(Donasi!$B$2:$B$20000,A3565))</f>
        <v/>
      </c>
      <c r="D3565">
        <f>IF(A3565="","",SUMIF(Donasi!$B$2:$B$20000,A3565,Donasi!$C$2:$C$20000))</f>
        <v/>
      </c>
      <c r="E3565">
        <f>IF(A3565="","",6-CEILING(PERCENTRANK.INC($B$3:$B$6000,B3565,4)*5+0.000001,1))</f>
        <v/>
      </c>
      <c r="F3565">
        <f>IF(A3565="","",MAX(1,CEILING(PERCENTRANK.INC($C$3:$C$6000,C3565,4)*5+0.000001,1)))</f>
        <v/>
      </c>
      <c r="G3565">
        <f>IF(A3565="","",MAX(1,CEILING(PERCENTRANK.INC($D$3:$D$6000,D3565,4)*5+0.000001,1)))</f>
        <v/>
      </c>
      <c r="H3565">
        <f>IF(A3565="","",E3565&amp;F3565&amp;G3565)</f>
        <v/>
      </c>
      <c r="I3565">
        <f>IF(A3565="","",IF(AND(E3565&gt;=4,F3565&gt;=4,G3565&gt;=4),"Juara",IF(AND(F3565&gt;=4,E3565&gt;=3),"Setia",IF(AND(E3565=5,F3565&lt;=2,G3565&gt;=3),"Berpotensi",IF(AND(E3565&lt;=3,E3565&gt;=2,F3565&gt;=3),"Rawan",IF(AND(E3565&lt;=2,F3565&lt;=2),"Tidur","Umum"))))))</f>
        <v/>
      </c>
    </row>
    <row r="3566">
      <c r="B3566">
        <f>IF(A3566="","",$B$1-MAXIFS(Donasi!$A$2:$A$20000,Donasi!$B$2:$B$20000,A3566))</f>
        <v/>
      </c>
      <c r="C3566">
        <f>IF(A3566="","",COUNTIF(Donasi!$B$2:$B$20000,A3566))</f>
        <v/>
      </c>
      <c r="D3566">
        <f>IF(A3566="","",SUMIF(Donasi!$B$2:$B$20000,A3566,Donasi!$C$2:$C$20000))</f>
        <v/>
      </c>
      <c r="E3566">
        <f>IF(A3566="","",6-CEILING(PERCENTRANK.INC($B$3:$B$6000,B3566,4)*5+0.000001,1))</f>
        <v/>
      </c>
      <c r="F3566">
        <f>IF(A3566="","",MAX(1,CEILING(PERCENTRANK.INC($C$3:$C$6000,C3566,4)*5+0.000001,1)))</f>
        <v/>
      </c>
      <c r="G3566">
        <f>IF(A3566="","",MAX(1,CEILING(PERCENTRANK.INC($D$3:$D$6000,D3566,4)*5+0.000001,1)))</f>
        <v/>
      </c>
      <c r="H3566">
        <f>IF(A3566="","",E3566&amp;F3566&amp;G3566)</f>
        <v/>
      </c>
      <c r="I3566">
        <f>IF(A3566="","",IF(AND(E3566&gt;=4,F3566&gt;=4,G3566&gt;=4),"Juara",IF(AND(F3566&gt;=4,E3566&gt;=3),"Setia",IF(AND(E3566=5,F3566&lt;=2,G3566&gt;=3),"Berpotensi",IF(AND(E3566&lt;=3,E3566&gt;=2,F3566&gt;=3),"Rawan",IF(AND(E3566&lt;=2,F3566&lt;=2),"Tidur","Umum"))))))</f>
        <v/>
      </c>
    </row>
    <row r="3567">
      <c r="B3567">
        <f>IF(A3567="","",$B$1-MAXIFS(Donasi!$A$2:$A$20000,Donasi!$B$2:$B$20000,A3567))</f>
        <v/>
      </c>
      <c r="C3567">
        <f>IF(A3567="","",COUNTIF(Donasi!$B$2:$B$20000,A3567))</f>
        <v/>
      </c>
      <c r="D3567">
        <f>IF(A3567="","",SUMIF(Donasi!$B$2:$B$20000,A3567,Donasi!$C$2:$C$20000))</f>
        <v/>
      </c>
      <c r="E3567">
        <f>IF(A3567="","",6-CEILING(PERCENTRANK.INC($B$3:$B$6000,B3567,4)*5+0.000001,1))</f>
        <v/>
      </c>
      <c r="F3567">
        <f>IF(A3567="","",MAX(1,CEILING(PERCENTRANK.INC($C$3:$C$6000,C3567,4)*5+0.000001,1)))</f>
        <v/>
      </c>
      <c r="G3567">
        <f>IF(A3567="","",MAX(1,CEILING(PERCENTRANK.INC($D$3:$D$6000,D3567,4)*5+0.000001,1)))</f>
        <v/>
      </c>
      <c r="H3567">
        <f>IF(A3567="","",E3567&amp;F3567&amp;G3567)</f>
        <v/>
      </c>
      <c r="I3567">
        <f>IF(A3567="","",IF(AND(E3567&gt;=4,F3567&gt;=4,G3567&gt;=4),"Juara",IF(AND(F3567&gt;=4,E3567&gt;=3),"Setia",IF(AND(E3567=5,F3567&lt;=2,G3567&gt;=3),"Berpotensi",IF(AND(E3567&lt;=3,E3567&gt;=2,F3567&gt;=3),"Rawan",IF(AND(E3567&lt;=2,F3567&lt;=2),"Tidur","Umum"))))))</f>
        <v/>
      </c>
    </row>
    <row r="3568">
      <c r="B3568">
        <f>IF(A3568="","",$B$1-MAXIFS(Donasi!$A$2:$A$20000,Donasi!$B$2:$B$20000,A3568))</f>
        <v/>
      </c>
      <c r="C3568">
        <f>IF(A3568="","",COUNTIF(Donasi!$B$2:$B$20000,A3568))</f>
        <v/>
      </c>
      <c r="D3568">
        <f>IF(A3568="","",SUMIF(Donasi!$B$2:$B$20000,A3568,Donasi!$C$2:$C$20000))</f>
        <v/>
      </c>
      <c r="E3568">
        <f>IF(A3568="","",6-CEILING(PERCENTRANK.INC($B$3:$B$6000,B3568,4)*5+0.000001,1))</f>
        <v/>
      </c>
      <c r="F3568">
        <f>IF(A3568="","",MAX(1,CEILING(PERCENTRANK.INC($C$3:$C$6000,C3568,4)*5+0.000001,1)))</f>
        <v/>
      </c>
      <c r="G3568">
        <f>IF(A3568="","",MAX(1,CEILING(PERCENTRANK.INC($D$3:$D$6000,D3568,4)*5+0.000001,1)))</f>
        <v/>
      </c>
      <c r="H3568">
        <f>IF(A3568="","",E3568&amp;F3568&amp;G3568)</f>
        <v/>
      </c>
      <c r="I3568">
        <f>IF(A3568="","",IF(AND(E3568&gt;=4,F3568&gt;=4,G3568&gt;=4),"Juara",IF(AND(F3568&gt;=4,E3568&gt;=3),"Setia",IF(AND(E3568=5,F3568&lt;=2,G3568&gt;=3),"Berpotensi",IF(AND(E3568&lt;=3,E3568&gt;=2,F3568&gt;=3),"Rawan",IF(AND(E3568&lt;=2,F3568&lt;=2),"Tidur","Umum"))))))</f>
        <v/>
      </c>
    </row>
    <row r="3569">
      <c r="B3569">
        <f>IF(A3569="","",$B$1-MAXIFS(Donasi!$A$2:$A$20000,Donasi!$B$2:$B$20000,A3569))</f>
        <v/>
      </c>
      <c r="C3569">
        <f>IF(A3569="","",COUNTIF(Donasi!$B$2:$B$20000,A3569))</f>
        <v/>
      </c>
      <c r="D3569">
        <f>IF(A3569="","",SUMIF(Donasi!$B$2:$B$20000,A3569,Donasi!$C$2:$C$20000))</f>
        <v/>
      </c>
      <c r="E3569">
        <f>IF(A3569="","",6-CEILING(PERCENTRANK.INC($B$3:$B$6000,B3569,4)*5+0.000001,1))</f>
        <v/>
      </c>
      <c r="F3569">
        <f>IF(A3569="","",MAX(1,CEILING(PERCENTRANK.INC($C$3:$C$6000,C3569,4)*5+0.000001,1)))</f>
        <v/>
      </c>
      <c r="G3569">
        <f>IF(A3569="","",MAX(1,CEILING(PERCENTRANK.INC($D$3:$D$6000,D3569,4)*5+0.000001,1)))</f>
        <v/>
      </c>
      <c r="H3569">
        <f>IF(A3569="","",E3569&amp;F3569&amp;G3569)</f>
        <v/>
      </c>
      <c r="I3569">
        <f>IF(A3569="","",IF(AND(E3569&gt;=4,F3569&gt;=4,G3569&gt;=4),"Juara",IF(AND(F3569&gt;=4,E3569&gt;=3),"Setia",IF(AND(E3569=5,F3569&lt;=2,G3569&gt;=3),"Berpotensi",IF(AND(E3569&lt;=3,E3569&gt;=2,F3569&gt;=3),"Rawan",IF(AND(E3569&lt;=2,F3569&lt;=2),"Tidur","Umum"))))))</f>
        <v/>
      </c>
    </row>
    <row r="3570">
      <c r="B3570">
        <f>IF(A3570="","",$B$1-MAXIFS(Donasi!$A$2:$A$20000,Donasi!$B$2:$B$20000,A3570))</f>
        <v/>
      </c>
      <c r="C3570">
        <f>IF(A3570="","",COUNTIF(Donasi!$B$2:$B$20000,A3570))</f>
        <v/>
      </c>
      <c r="D3570">
        <f>IF(A3570="","",SUMIF(Donasi!$B$2:$B$20000,A3570,Donasi!$C$2:$C$20000))</f>
        <v/>
      </c>
      <c r="E3570">
        <f>IF(A3570="","",6-CEILING(PERCENTRANK.INC($B$3:$B$6000,B3570,4)*5+0.000001,1))</f>
        <v/>
      </c>
      <c r="F3570">
        <f>IF(A3570="","",MAX(1,CEILING(PERCENTRANK.INC($C$3:$C$6000,C3570,4)*5+0.000001,1)))</f>
        <v/>
      </c>
      <c r="G3570">
        <f>IF(A3570="","",MAX(1,CEILING(PERCENTRANK.INC($D$3:$D$6000,D3570,4)*5+0.000001,1)))</f>
        <v/>
      </c>
      <c r="H3570">
        <f>IF(A3570="","",E3570&amp;F3570&amp;G3570)</f>
        <v/>
      </c>
      <c r="I3570">
        <f>IF(A3570="","",IF(AND(E3570&gt;=4,F3570&gt;=4,G3570&gt;=4),"Juara",IF(AND(F3570&gt;=4,E3570&gt;=3),"Setia",IF(AND(E3570=5,F3570&lt;=2,G3570&gt;=3),"Berpotensi",IF(AND(E3570&lt;=3,E3570&gt;=2,F3570&gt;=3),"Rawan",IF(AND(E3570&lt;=2,F3570&lt;=2),"Tidur","Umum"))))))</f>
        <v/>
      </c>
    </row>
    <row r="3571">
      <c r="B3571">
        <f>IF(A3571="","",$B$1-MAXIFS(Donasi!$A$2:$A$20000,Donasi!$B$2:$B$20000,A3571))</f>
        <v/>
      </c>
      <c r="C3571">
        <f>IF(A3571="","",COUNTIF(Donasi!$B$2:$B$20000,A3571))</f>
        <v/>
      </c>
      <c r="D3571">
        <f>IF(A3571="","",SUMIF(Donasi!$B$2:$B$20000,A3571,Donasi!$C$2:$C$20000))</f>
        <v/>
      </c>
      <c r="E3571">
        <f>IF(A3571="","",6-CEILING(PERCENTRANK.INC($B$3:$B$6000,B3571,4)*5+0.000001,1))</f>
        <v/>
      </c>
      <c r="F3571">
        <f>IF(A3571="","",MAX(1,CEILING(PERCENTRANK.INC($C$3:$C$6000,C3571,4)*5+0.000001,1)))</f>
        <v/>
      </c>
      <c r="G3571">
        <f>IF(A3571="","",MAX(1,CEILING(PERCENTRANK.INC($D$3:$D$6000,D3571,4)*5+0.000001,1)))</f>
        <v/>
      </c>
      <c r="H3571">
        <f>IF(A3571="","",E3571&amp;F3571&amp;G3571)</f>
        <v/>
      </c>
      <c r="I3571">
        <f>IF(A3571="","",IF(AND(E3571&gt;=4,F3571&gt;=4,G3571&gt;=4),"Juara",IF(AND(F3571&gt;=4,E3571&gt;=3),"Setia",IF(AND(E3571=5,F3571&lt;=2,G3571&gt;=3),"Berpotensi",IF(AND(E3571&lt;=3,E3571&gt;=2,F3571&gt;=3),"Rawan",IF(AND(E3571&lt;=2,F3571&lt;=2),"Tidur","Umum"))))))</f>
        <v/>
      </c>
    </row>
    <row r="3572">
      <c r="B3572">
        <f>IF(A3572="","",$B$1-MAXIFS(Donasi!$A$2:$A$20000,Donasi!$B$2:$B$20000,A3572))</f>
        <v/>
      </c>
      <c r="C3572">
        <f>IF(A3572="","",COUNTIF(Donasi!$B$2:$B$20000,A3572))</f>
        <v/>
      </c>
      <c r="D3572">
        <f>IF(A3572="","",SUMIF(Donasi!$B$2:$B$20000,A3572,Donasi!$C$2:$C$20000))</f>
        <v/>
      </c>
      <c r="E3572">
        <f>IF(A3572="","",6-CEILING(PERCENTRANK.INC($B$3:$B$6000,B3572,4)*5+0.000001,1))</f>
        <v/>
      </c>
      <c r="F3572">
        <f>IF(A3572="","",MAX(1,CEILING(PERCENTRANK.INC($C$3:$C$6000,C3572,4)*5+0.000001,1)))</f>
        <v/>
      </c>
      <c r="G3572">
        <f>IF(A3572="","",MAX(1,CEILING(PERCENTRANK.INC($D$3:$D$6000,D3572,4)*5+0.000001,1)))</f>
        <v/>
      </c>
      <c r="H3572">
        <f>IF(A3572="","",E3572&amp;F3572&amp;G3572)</f>
        <v/>
      </c>
      <c r="I3572">
        <f>IF(A3572="","",IF(AND(E3572&gt;=4,F3572&gt;=4,G3572&gt;=4),"Juara",IF(AND(F3572&gt;=4,E3572&gt;=3),"Setia",IF(AND(E3572=5,F3572&lt;=2,G3572&gt;=3),"Berpotensi",IF(AND(E3572&lt;=3,E3572&gt;=2,F3572&gt;=3),"Rawan",IF(AND(E3572&lt;=2,F3572&lt;=2),"Tidur","Umum"))))))</f>
        <v/>
      </c>
    </row>
    <row r="3573">
      <c r="B3573">
        <f>IF(A3573="","",$B$1-MAXIFS(Donasi!$A$2:$A$20000,Donasi!$B$2:$B$20000,A3573))</f>
        <v/>
      </c>
      <c r="C3573">
        <f>IF(A3573="","",COUNTIF(Donasi!$B$2:$B$20000,A3573))</f>
        <v/>
      </c>
      <c r="D3573">
        <f>IF(A3573="","",SUMIF(Donasi!$B$2:$B$20000,A3573,Donasi!$C$2:$C$20000))</f>
        <v/>
      </c>
      <c r="E3573">
        <f>IF(A3573="","",6-CEILING(PERCENTRANK.INC($B$3:$B$6000,B3573,4)*5+0.000001,1))</f>
        <v/>
      </c>
      <c r="F3573">
        <f>IF(A3573="","",MAX(1,CEILING(PERCENTRANK.INC($C$3:$C$6000,C3573,4)*5+0.000001,1)))</f>
        <v/>
      </c>
      <c r="G3573">
        <f>IF(A3573="","",MAX(1,CEILING(PERCENTRANK.INC($D$3:$D$6000,D3573,4)*5+0.000001,1)))</f>
        <v/>
      </c>
      <c r="H3573">
        <f>IF(A3573="","",E3573&amp;F3573&amp;G3573)</f>
        <v/>
      </c>
      <c r="I3573">
        <f>IF(A3573="","",IF(AND(E3573&gt;=4,F3573&gt;=4,G3573&gt;=4),"Juara",IF(AND(F3573&gt;=4,E3573&gt;=3),"Setia",IF(AND(E3573=5,F3573&lt;=2,G3573&gt;=3),"Berpotensi",IF(AND(E3573&lt;=3,E3573&gt;=2,F3573&gt;=3),"Rawan",IF(AND(E3573&lt;=2,F3573&lt;=2),"Tidur","Umum"))))))</f>
        <v/>
      </c>
    </row>
    <row r="3574">
      <c r="B3574">
        <f>IF(A3574="","",$B$1-MAXIFS(Donasi!$A$2:$A$20000,Donasi!$B$2:$B$20000,A3574))</f>
        <v/>
      </c>
      <c r="C3574">
        <f>IF(A3574="","",COUNTIF(Donasi!$B$2:$B$20000,A3574))</f>
        <v/>
      </c>
      <c r="D3574">
        <f>IF(A3574="","",SUMIF(Donasi!$B$2:$B$20000,A3574,Donasi!$C$2:$C$20000))</f>
        <v/>
      </c>
      <c r="E3574">
        <f>IF(A3574="","",6-CEILING(PERCENTRANK.INC($B$3:$B$6000,B3574,4)*5+0.000001,1))</f>
        <v/>
      </c>
      <c r="F3574">
        <f>IF(A3574="","",MAX(1,CEILING(PERCENTRANK.INC($C$3:$C$6000,C3574,4)*5+0.000001,1)))</f>
        <v/>
      </c>
      <c r="G3574">
        <f>IF(A3574="","",MAX(1,CEILING(PERCENTRANK.INC($D$3:$D$6000,D3574,4)*5+0.000001,1)))</f>
        <v/>
      </c>
      <c r="H3574">
        <f>IF(A3574="","",E3574&amp;F3574&amp;G3574)</f>
        <v/>
      </c>
      <c r="I3574">
        <f>IF(A3574="","",IF(AND(E3574&gt;=4,F3574&gt;=4,G3574&gt;=4),"Juara",IF(AND(F3574&gt;=4,E3574&gt;=3),"Setia",IF(AND(E3574=5,F3574&lt;=2,G3574&gt;=3),"Berpotensi",IF(AND(E3574&lt;=3,E3574&gt;=2,F3574&gt;=3),"Rawan",IF(AND(E3574&lt;=2,F3574&lt;=2),"Tidur","Umum"))))))</f>
        <v/>
      </c>
    </row>
    <row r="3575">
      <c r="B3575">
        <f>IF(A3575="","",$B$1-MAXIFS(Donasi!$A$2:$A$20000,Donasi!$B$2:$B$20000,A3575))</f>
        <v/>
      </c>
      <c r="C3575">
        <f>IF(A3575="","",COUNTIF(Donasi!$B$2:$B$20000,A3575))</f>
        <v/>
      </c>
      <c r="D3575">
        <f>IF(A3575="","",SUMIF(Donasi!$B$2:$B$20000,A3575,Donasi!$C$2:$C$20000))</f>
        <v/>
      </c>
      <c r="E3575">
        <f>IF(A3575="","",6-CEILING(PERCENTRANK.INC($B$3:$B$6000,B3575,4)*5+0.000001,1))</f>
        <v/>
      </c>
      <c r="F3575">
        <f>IF(A3575="","",MAX(1,CEILING(PERCENTRANK.INC($C$3:$C$6000,C3575,4)*5+0.000001,1)))</f>
        <v/>
      </c>
      <c r="G3575">
        <f>IF(A3575="","",MAX(1,CEILING(PERCENTRANK.INC($D$3:$D$6000,D3575,4)*5+0.000001,1)))</f>
        <v/>
      </c>
      <c r="H3575">
        <f>IF(A3575="","",E3575&amp;F3575&amp;G3575)</f>
        <v/>
      </c>
      <c r="I3575">
        <f>IF(A3575="","",IF(AND(E3575&gt;=4,F3575&gt;=4,G3575&gt;=4),"Juara",IF(AND(F3575&gt;=4,E3575&gt;=3),"Setia",IF(AND(E3575=5,F3575&lt;=2,G3575&gt;=3),"Berpotensi",IF(AND(E3575&lt;=3,E3575&gt;=2,F3575&gt;=3),"Rawan",IF(AND(E3575&lt;=2,F3575&lt;=2),"Tidur","Umum"))))))</f>
        <v/>
      </c>
    </row>
    <row r="3576">
      <c r="B3576">
        <f>IF(A3576="","",$B$1-MAXIFS(Donasi!$A$2:$A$20000,Donasi!$B$2:$B$20000,A3576))</f>
        <v/>
      </c>
      <c r="C3576">
        <f>IF(A3576="","",COUNTIF(Donasi!$B$2:$B$20000,A3576))</f>
        <v/>
      </c>
      <c r="D3576">
        <f>IF(A3576="","",SUMIF(Donasi!$B$2:$B$20000,A3576,Donasi!$C$2:$C$20000))</f>
        <v/>
      </c>
      <c r="E3576">
        <f>IF(A3576="","",6-CEILING(PERCENTRANK.INC($B$3:$B$6000,B3576,4)*5+0.000001,1))</f>
        <v/>
      </c>
      <c r="F3576">
        <f>IF(A3576="","",MAX(1,CEILING(PERCENTRANK.INC($C$3:$C$6000,C3576,4)*5+0.000001,1)))</f>
        <v/>
      </c>
      <c r="G3576">
        <f>IF(A3576="","",MAX(1,CEILING(PERCENTRANK.INC($D$3:$D$6000,D3576,4)*5+0.000001,1)))</f>
        <v/>
      </c>
      <c r="H3576">
        <f>IF(A3576="","",E3576&amp;F3576&amp;G3576)</f>
        <v/>
      </c>
      <c r="I3576">
        <f>IF(A3576="","",IF(AND(E3576&gt;=4,F3576&gt;=4,G3576&gt;=4),"Juara",IF(AND(F3576&gt;=4,E3576&gt;=3),"Setia",IF(AND(E3576=5,F3576&lt;=2,G3576&gt;=3),"Berpotensi",IF(AND(E3576&lt;=3,E3576&gt;=2,F3576&gt;=3),"Rawan",IF(AND(E3576&lt;=2,F3576&lt;=2),"Tidur","Umum"))))))</f>
        <v/>
      </c>
    </row>
    <row r="3577">
      <c r="B3577">
        <f>IF(A3577="","",$B$1-MAXIFS(Donasi!$A$2:$A$20000,Donasi!$B$2:$B$20000,A3577))</f>
        <v/>
      </c>
      <c r="C3577">
        <f>IF(A3577="","",COUNTIF(Donasi!$B$2:$B$20000,A3577))</f>
        <v/>
      </c>
      <c r="D3577">
        <f>IF(A3577="","",SUMIF(Donasi!$B$2:$B$20000,A3577,Donasi!$C$2:$C$20000))</f>
        <v/>
      </c>
      <c r="E3577">
        <f>IF(A3577="","",6-CEILING(PERCENTRANK.INC($B$3:$B$6000,B3577,4)*5+0.000001,1))</f>
        <v/>
      </c>
      <c r="F3577">
        <f>IF(A3577="","",MAX(1,CEILING(PERCENTRANK.INC($C$3:$C$6000,C3577,4)*5+0.000001,1)))</f>
        <v/>
      </c>
      <c r="G3577">
        <f>IF(A3577="","",MAX(1,CEILING(PERCENTRANK.INC($D$3:$D$6000,D3577,4)*5+0.000001,1)))</f>
        <v/>
      </c>
      <c r="H3577">
        <f>IF(A3577="","",E3577&amp;F3577&amp;G3577)</f>
        <v/>
      </c>
      <c r="I3577">
        <f>IF(A3577="","",IF(AND(E3577&gt;=4,F3577&gt;=4,G3577&gt;=4),"Juara",IF(AND(F3577&gt;=4,E3577&gt;=3),"Setia",IF(AND(E3577=5,F3577&lt;=2,G3577&gt;=3),"Berpotensi",IF(AND(E3577&lt;=3,E3577&gt;=2,F3577&gt;=3),"Rawan",IF(AND(E3577&lt;=2,F3577&lt;=2),"Tidur","Umum"))))))</f>
        <v/>
      </c>
    </row>
    <row r="3578">
      <c r="B3578">
        <f>IF(A3578="","",$B$1-MAXIFS(Donasi!$A$2:$A$20000,Donasi!$B$2:$B$20000,A3578))</f>
        <v/>
      </c>
      <c r="C3578">
        <f>IF(A3578="","",COUNTIF(Donasi!$B$2:$B$20000,A3578))</f>
        <v/>
      </c>
      <c r="D3578">
        <f>IF(A3578="","",SUMIF(Donasi!$B$2:$B$20000,A3578,Donasi!$C$2:$C$20000))</f>
        <v/>
      </c>
      <c r="E3578">
        <f>IF(A3578="","",6-CEILING(PERCENTRANK.INC($B$3:$B$6000,B3578,4)*5+0.000001,1))</f>
        <v/>
      </c>
      <c r="F3578">
        <f>IF(A3578="","",MAX(1,CEILING(PERCENTRANK.INC($C$3:$C$6000,C3578,4)*5+0.000001,1)))</f>
        <v/>
      </c>
      <c r="G3578">
        <f>IF(A3578="","",MAX(1,CEILING(PERCENTRANK.INC($D$3:$D$6000,D3578,4)*5+0.000001,1)))</f>
        <v/>
      </c>
      <c r="H3578">
        <f>IF(A3578="","",E3578&amp;F3578&amp;G3578)</f>
        <v/>
      </c>
      <c r="I3578">
        <f>IF(A3578="","",IF(AND(E3578&gt;=4,F3578&gt;=4,G3578&gt;=4),"Juara",IF(AND(F3578&gt;=4,E3578&gt;=3),"Setia",IF(AND(E3578=5,F3578&lt;=2,G3578&gt;=3),"Berpotensi",IF(AND(E3578&lt;=3,E3578&gt;=2,F3578&gt;=3),"Rawan",IF(AND(E3578&lt;=2,F3578&lt;=2),"Tidur","Umum"))))))</f>
        <v/>
      </c>
    </row>
    <row r="3579">
      <c r="B3579">
        <f>IF(A3579="","",$B$1-MAXIFS(Donasi!$A$2:$A$20000,Donasi!$B$2:$B$20000,A3579))</f>
        <v/>
      </c>
      <c r="C3579">
        <f>IF(A3579="","",COUNTIF(Donasi!$B$2:$B$20000,A3579))</f>
        <v/>
      </c>
      <c r="D3579">
        <f>IF(A3579="","",SUMIF(Donasi!$B$2:$B$20000,A3579,Donasi!$C$2:$C$20000))</f>
        <v/>
      </c>
      <c r="E3579">
        <f>IF(A3579="","",6-CEILING(PERCENTRANK.INC($B$3:$B$6000,B3579,4)*5+0.000001,1))</f>
        <v/>
      </c>
      <c r="F3579">
        <f>IF(A3579="","",MAX(1,CEILING(PERCENTRANK.INC($C$3:$C$6000,C3579,4)*5+0.000001,1)))</f>
        <v/>
      </c>
      <c r="G3579">
        <f>IF(A3579="","",MAX(1,CEILING(PERCENTRANK.INC($D$3:$D$6000,D3579,4)*5+0.000001,1)))</f>
        <v/>
      </c>
      <c r="H3579">
        <f>IF(A3579="","",E3579&amp;F3579&amp;G3579)</f>
        <v/>
      </c>
      <c r="I3579">
        <f>IF(A3579="","",IF(AND(E3579&gt;=4,F3579&gt;=4,G3579&gt;=4),"Juara",IF(AND(F3579&gt;=4,E3579&gt;=3),"Setia",IF(AND(E3579=5,F3579&lt;=2,G3579&gt;=3),"Berpotensi",IF(AND(E3579&lt;=3,E3579&gt;=2,F3579&gt;=3),"Rawan",IF(AND(E3579&lt;=2,F3579&lt;=2),"Tidur","Umum"))))))</f>
        <v/>
      </c>
    </row>
    <row r="3580">
      <c r="B3580">
        <f>IF(A3580="","",$B$1-MAXIFS(Donasi!$A$2:$A$20000,Donasi!$B$2:$B$20000,A3580))</f>
        <v/>
      </c>
      <c r="C3580">
        <f>IF(A3580="","",COUNTIF(Donasi!$B$2:$B$20000,A3580))</f>
        <v/>
      </c>
      <c r="D3580">
        <f>IF(A3580="","",SUMIF(Donasi!$B$2:$B$20000,A3580,Donasi!$C$2:$C$20000))</f>
        <v/>
      </c>
      <c r="E3580">
        <f>IF(A3580="","",6-CEILING(PERCENTRANK.INC($B$3:$B$6000,B3580,4)*5+0.000001,1))</f>
        <v/>
      </c>
      <c r="F3580">
        <f>IF(A3580="","",MAX(1,CEILING(PERCENTRANK.INC($C$3:$C$6000,C3580,4)*5+0.000001,1)))</f>
        <v/>
      </c>
      <c r="G3580">
        <f>IF(A3580="","",MAX(1,CEILING(PERCENTRANK.INC($D$3:$D$6000,D3580,4)*5+0.000001,1)))</f>
        <v/>
      </c>
      <c r="H3580">
        <f>IF(A3580="","",E3580&amp;F3580&amp;G3580)</f>
        <v/>
      </c>
      <c r="I3580">
        <f>IF(A3580="","",IF(AND(E3580&gt;=4,F3580&gt;=4,G3580&gt;=4),"Juara",IF(AND(F3580&gt;=4,E3580&gt;=3),"Setia",IF(AND(E3580=5,F3580&lt;=2,G3580&gt;=3),"Berpotensi",IF(AND(E3580&lt;=3,E3580&gt;=2,F3580&gt;=3),"Rawan",IF(AND(E3580&lt;=2,F3580&lt;=2),"Tidur","Umum"))))))</f>
        <v/>
      </c>
    </row>
    <row r="3581">
      <c r="B3581">
        <f>IF(A3581="","",$B$1-MAXIFS(Donasi!$A$2:$A$20000,Donasi!$B$2:$B$20000,A3581))</f>
        <v/>
      </c>
      <c r="C3581">
        <f>IF(A3581="","",COUNTIF(Donasi!$B$2:$B$20000,A3581))</f>
        <v/>
      </c>
      <c r="D3581">
        <f>IF(A3581="","",SUMIF(Donasi!$B$2:$B$20000,A3581,Donasi!$C$2:$C$20000))</f>
        <v/>
      </c>
      <c r="E3581">
        <f>IF(A3581="","",6-CEILING(PERCENTRANK.INC($B$3:$B$6000,B3581,4)*5+0.000001,1))</f>
        <v/>
      </c>
      <c r="F3581">
        <f>IF(A3581="","",MAX(1,CEILING(PERCENTRANK.INC($C$3:$C$6000,C3581,4)*5+0.000001,1)))</f>
        <v/>
      </c>
      <c r="G3581">
        <f>IF(A3581="","",MAX(1,CEILING(PERCENTRANK.INC($D$3:$D$6000,D3581,4)*5+0.000001,1)))</f>
        <v/>
      </c>
      <c r="H3581">
        <f>IF(A3581="","",E3581&amp;F3581&amp;G3581)</f>
        <v/>
      </c>
      <c r="I3581">
        <f>IF(A3581="","",IF(AND(E3581&gt;=4,F3581&gt;=4,G3581&gt;=4),"Juara",IF(AND(F3581&gt;=4,E3581&gt;=3),"Setia",IF(AND(E3581=5,F3581&lt;=2,G3581&gt;=3),"Berpotensi",IF(AND(E3581&lt;=3,E3581&gt;=2,F3581&gt;=3),"Rawan",IF(AND(E3581&lt;=2,F3581&lt;=2),"Tidur","Umum"))))))</f>
        <v/>
      </c>
    </row>
    <row r="3582">
      <c r="B3582">
        <f>IF(A3582="","",$B$1-MAXIFS(Donasi!$A$2:$A$20000,Donasi!$B$2:$B$20000,A3582))</f>
        <v/>
      </c>
      <c r="C3582">
        <f>IF(A3582="","",COUNTIF(Donasi!$B$2:$B$20000,A3582))</f>
        <v/>
      </c>
      <c r="D3582">
        <f>IF(A3582="","",SUMIF(Donasi!$B$2:$B$20000,A3582,Donasi!$C$2:$C$20000))</f>
        <v/>
      </c>
      <c r="E3582">
        <f>IF(A3582="","",6-CEILING(PERCENTRANK.INC($B$3:$B$6000,B3582,4)*5+0.000001,1))</f>
        <v/>
      </c>
      <c r="F3582">
        <f>IF(A3582="","",MAX(1,CEILING(PERCENTRANK.INC($C$3:$C$6000,C3582,4)*5+0.000001,1)))</f>
        <v/>
      </c>
      <c r="G3582">
        <f>IF(A3582="","",MAX(1,CEILING(PERCENTRANK.INC($D$3:$D$6000,D3582,4)*5+0.000001,1)))</f>
        <v/>
      </c>
      <c r="H3582">
        <f>IF(A3582="","",E3582&amp;F3582&amp;G3582)</f>
        <v/>
      </c>
      <c r="I3582">
        <f>IF(A3582="","",IF(AND(E3582&gt;=4,F3582&gt;=4,G3582&gt;=4),"Juara",IF(AND(F3582&gt;=4,E3582&gt;=3),"Setia",IF(AND(E3582=5,F3582&lt;=2,G3582&gt;=3),"Berpotensi",IF(AND(E3582&lt;=3,E3582&gt;=2,F3582&gt;=3),"Rawan",IF(AND(E3582&lt;=2,F3582&lt;=2),"Tidur","Umum"))))))</f>
        <v/>
      </c>
    </row>
    <row r="3583">
      <c r="B3583">
        <f>IF(A3583="","",$B$1-MAXIFS(Donasi!$A$2:$A$20000,Donasi!$B$2:$B$20000,A3583))</f>
        <v/>
      </c>
      <c r="C3583">
        <f>IF(A3583="","",COUNTIF(Donasi!$B$2:$B$20000,A3583))</f>
        <v/>
      </c>
      <c r="D3583">
        <f>IF(A3583="","",SUMIF(Donasi!$B$2:$B$20000,A3583,Donasi!$C$2:$C$20000))</f>
        <v/>
      </c>
      <c r="E3583">
        <f>IF(A3583="","",6-CEILING(PERCENTRANK.INC($B$3:$B$6000,B3583,4)*5+0.000001,1))</f>
        <v/>
      </c>
      <c r="F3583">
        <f>IF(A3583="","",MAX(1,CEILING(PERCENTRANK.INC($C$3:$C$6000,C3583,4)*5+0.000001,1)))</f>
        <v/>
      </c>
      <c r="G3583">
        <f>IF(A3583="","",MAX(1,CEILING(PERCENTRANK.INC($D$3:$D$6000,D3583,4)*5+0.000001,1)))</f>
        <v/>
      </c>
      <c r="H3583">
        <f>IF(A3583="","",E3583&amp;F3583&amp;G3583)</f>
        <v/>
      </c>
      <c r="I3583">
        <f>IF(A3583="","",IF(AND(E3583&gt;=4,F3583&gt;=4,G3583&gt;=4),"Juara",IF(AND(F3583&gt;=4,E3583&gt;=3),"Setia",IF(AND(E3583=5,F3583&lt;=2,G3583&gt;=3),"Berpotensi",IF(AND(E3583&lt;=3,E3583&gt;=2,F3583&gt;=3),"Rawan",IF(AND(E3583&lt;=2,F3583&lt;=2),"Tidur","Umum"))))))</f>
        <v/>
      </c>
    </row>
    <row r="3584">
      <c r="B3584">
        <f>IF(A3584="","",$B$1-MAXIFS(Donasi!$A$2:$A$20000,Donasi!$B$2:$B$20000,A3584))</f>
        <v/>
      </c>
      <c r="C3584">
        <f>IF(A3584="","",COUNTIF(Donasi!$B$2:$B$20000,A3584))</f>
        <v/>
      </c>
      <c r="D3584">
        <f>IF(A3584="","",SUMIF(Donasi!$B$2:$B$20000,A3584,Donasi!$C$2:$C$20000))</f>
        <v/>
      </c>
      <c r="E3584">
        <f>IF(A3584="","",6-CEILING(PERCENTRANK.INC($B$3:$B$6000,B3584,4)*5+0.000001,1))</f>
        <v/>
      </c>
      <c r="F3584">
        <f>IF(A3584="","",MAX(1,CEILING(PERCENTRANK.INC($C$3:$C$6000,C3584,4)*5+0.000001,1)))</f>
        <v/>
      </c>
      <c r="G3584">
        <f>IF(A3584="","",MAX(1,CEILING(PERCENTRANK.INC($D$3:$D$6000,D3584,4)*5+0.000001,1)))</f>
        <v/>
      </c>
      <c r="H3584">
        <f>IF(A3584="","",E3584&amp;F3584&amp;G3584)</f>
        <v/>
      </c>
      <c r="I3584">
        <f>IF(A3584="","",IF(AND(E3584&gt;=4,F3584&gt;=4,G3584&gt;=4),"Juara",IF(AND(F3584&gt;=4,E3584&gt;=3),"Setia",IF(AND(E3584=5,F3584&lt;=2,G3584&gt;=3),"Berpotensi",IF(AND(E3584&lt;=3,E3584&gt;=2,F3584&gt;=3),"Rawan",IF(AND(E3584&lt;=2,F3584&lt;=2),"Tidur","Umum"))))))</f>
        <v/>
      </c>
    </row>
    <row r="3585">
      <c r="B3585">
        <f>IF(A3585="","",$B$1-MAXIFS(Donasi!$A$2:$A$20000,Donasi!$B$2:$B$20000,A3585))</f>
        <v/>
      </c>
      <c r="C3585">
        <f>IF(A3585="","",COUNTIF(Donasi!$B$2:$B$20000,A3585))</f>
        <v/>
      </c>
      <c r="D3585">
        <f>IF(A3585="","",SUMIF(Donasi!$B$2:$B$20000,A3585,Donasi!$C$2:$C$20000))</f>
        <v/>
      </c>
      <c r="E3585">
        <f>IF(A3585="","",6-CEILING(PERCENTRANK.INC($B$3:$B$6000,B3585,4)*5+0.000001,1))</f>
        <v/>
      </c>
      <c r="F3585">
        <f>IF(A3585="","",MAX(1,CEILING(PERCENTRANK.INC($C$3:$C$6000,C3585,4)*5+0.000001,1)))</f>
        <v/>
      </c>
      <c r="G3585">
        <f>IF(A3585="","",MAX(1,CEILING(PERCENTRANK.INC($D$3:$D$6000,D3585,4)*5+0.000001,1)))</f>
        <v/>
      </c>
      <c r="H3585">
        <f>IF(A3585="","",E3585&amp;F3585&amp;G3585)</f>
        <v/>
      </c>
      <c r="I3585">
        <f>IF(A3585="","",IF(AND(E3585&gt;=4,F3585&gt;=4,G3585&gt;=4),"Juara",IF(AND(F3585&gt;=4,E3585&gt;=3),"Setia",IF(AND(E3585=5,F3585&lt;=2,G3585&gt;=3),"Berpotensi",IF(AND(E3585&lt;=3,E3585&gt;=2,F3585&gt;=3),"Rawan",IF(AND(E3585&lt;=2,F3585&lt;=2),"Tidur","Umum"))))))</f>
        <v/>
      </c>
    </row>
    <row r="3586">
      <c r="B3586">
        <f>IF(A3586="","",$B$1-MAXIFS(Donasi!$A$2:$A$20000,Donasi!$B$2:$B$20000,A3586))</f>
        <v/>
      </c>
      <c r="C3586">
        <f>IF(A3586="","",COUNTIF(Donasi!$B$2:$B$20000,A3586))</f>
        <v/>
      </c>
      <c r="D3586">
        <f>IF(A3586="","",SUMIF(Donasi!$B$2:$B$20000,A3586,Donasi!$C$2:$C$20000))</f>
        <v/>
      </c>
      <c r="E3586">
        <f>IF(A3586="","",6-CEILING(PERCENTRANK.INC($B$3:$B$6000,B3586,4)*5+0.000001,1))</f>
        <v/>
      </c>
      <c r="F3586">
        <f>IF(A3586="","",MAX(1,CEILING(PERCENTRANK.INC($C$3:$C$6000,C3586,4)*5+0.000001,1)))</f>
        <v/>
      </c>
      <c r="G3586">
        <f>IF(A3586="","",MAX(1,CEILING(PERCENTRANK.INC($D$3:$D$6000,D3586,4)*5+0.000001,1)))</f>
        <v/>
      </c>
      <c r="H3586">
        <f>IF(A3586="","",E3586&amp;F3586&amp;G3586)</f>
        <v/>
      </c>
      <c r="I3586">
        <f>IF(A3586="","",IF(AND(E3586&gt;=4,F3586&gt;=4,G3586&gt;=4),"Juara",IF(AND(F3586&gt;=4,E3586&gt;=3),"Setia",IF(AND(E3586=5,F3586&lt;=2,G3586&gt;=3),"Berpotensi",IF(AND(E3586&lt;=3,E3586&gt;=2,F3586&gt;=3),"Rawan",IF(AND(E3586&lt;=2,F3586&lt;=2),"Tidur","Umum"))))))</f>
        <v/>
      </c>
    </row>
    <row r="3587">
      <c r="B3587">
        <f>IF(A3587="","",$B$1-MAXIFS(Donasi!$A$2:$A$20000,Donasi!$B$2:$B$20000,A3587))</f>
        <v/>
      </c>
      <c r="C3587">
        <f>IF(A3587="","",COUNTIF(Donasi!$B$2:$B$20000,A3587))</f>
        <v/>
      </c>
      <c r="D3587">
        <f>IF(A3587="","",SUMIF(Donasi!$B$2:$B$20000,A3587,Donasi!$C$2:$C$20000))</f>
        <v/>
      </c>
      <c r="E3587">
        <f>IF(A3587="","",6-CEILING(PERCENTRANK.INC($B$3:$B$6000,B3587,4)*5+0.000001,1))</f>
        <v/>
      </c>
      <c r="F3587">
        <f>IF(A3587="","",MAX(1,CEILING(PERCENTRANK.INC($C$3:$C$6000,C3587,4)*5+0.000001,1)))</f>
        <v/>
      </c>
      <c r="G3587">
        <f>IF(A3587="","",MAX(1,CEILING(PERCENTRANK.INC($D$3:$D$6000,D3587,4)*5+0.000001,1)))</f>
        <v/>
      </c>
      <c r="H3587">
        <f>IF(A3587="","",E3587&amp;F3587&amp;G3587)</f>
        <v/>
      </c>
      <c r="I3587">
        <f>IF(A3587="","",IF(AND(E3587&gt;=4,F3587&gt;=4,G3587&gt;=4),"Juara",IF(AND(F3587&gt;=4,E3587&gt;=3),"Setia",IF(AND(E3587=5,F3587&lt;=2,G3587&gt;=3),"Berpotensi",IF(AND(E3587&lt;=3,E3587&gt;=2,F3587&gt;=3),"Rawan",IF(AND(E3587&lt;=2,F3587&lt;=2),"Tidur","Umum"))))))</f>
        <v/>
      </c>
    </row>
    <row r="3588">
      <c r="B3588">
        <f>IF(A3588="","",$B$1-MAXIFS(Donasi!$A$2:$A$20000,Donasi!$B$2:$B$20000,A3588))</f>
        <v/>
      </c>
      <c r="C3588">
        <f>IF(A3588="","",COUNTIF(Donasi!$B$2:$B$20000,A3588))</f>
        <v/>
      </c>
      <c r="D3588">
        <f>IF(A3588="","",SUMIF(Donasi!$B$2:$B$20000,A3588,Donasi!$C$2:$C$20000))</f>
        <v/>
      </c>
      <c r="E3588">
        <f>IF(A3588="","",6-CEILING(PERCENTRANK.INC($B$3:$B$6000,B3588,4)*5+0.000001,1))</f>
        <v/>
      </c>
      <c r="F3588">
        <f>IF(A3588="","",MAX(1,CEILING(PERCENTRANK.INC($C$3:$C$6000,C3588,4)*5+0.000001,1)))</f>
        <v/>
      </c>
      <c r="G3588">
        <f>IF(A3588="","",MAX(1,CEILING(PERCENTRANK.INC($D$3:$D$6000,D3588,4)*5+0.000001,1)))</f>
        <v/>
      </c>
      <c r="H3588">
        <f>IF(A3588="","",E3588&amp;F3588&amp;G3588)</f>
        <v/>
      </c>
      <c r="I3588">
        <f>IF(A3588="","",IF(AND(E3588&gt;=4,F3588&gt;=4,G3588&gt;=4),"Juara",IF(AND(F3588&gt;=4,E3588&gt;=3),"Setia",IF(AND(E3588=5,F3588&lt;=2,G3588&gt;=3),"Berpotensi",IF(AND(E3588&lt;=3,E3588&gt;=2,F3588&gt;=3),"Rawan",IF(AND(E3588&lt;=2,F3588&lt;=2),"Tidur","Umum"))))))</f>
        <v/>
      </c>
    </row>
    <row r="3589">
      <c r="B3589">
        <f>IF(A3589="","",$B$1-MAXIFS(Donasi!$A$2:$A$20000,Donasi!$B$2:$B$20000,A3589))</f>
        <v/>
      </c>
      <c r="C3589">
        <f>IF(A3589="","",COUNTIF(Donasi!$B$2:$B$20000,A3589))</f>
        <v/>
      </c>
      <c r="D3589">
        <f>IF(A3589="","",SUMIF(Donasi!$B$2:$B$20000,A3589,Donasi!$C$2:$C$20000))</f>
        <v/>
      </c>
      <c r="E3589">
        <f>IF(A3589="","",6-CEILING(PERCENTRANK.INC($B$3:$B$6000,B3589,4)*5+0.000001,1))</f>
        <v/>
      </c>
      <c r="F3589">
        <f>IF(A3589="","",MAX(1,CEILING(PERCENTRANK.INC($C$3:$C$6000,C3589,4)*5+0.000001,1)))</f>
        <v/>
      </c>
      <c r="G3589">
        <f>IF(A3589="","",MAX(1,CEILING(PERCENTRANK.INC($D$3:$D$6000,D3589,4)*5+0.000001,1)))</f>
        <v/>
      </c>
      <c r="H3589">
        <f>IF(A3589="","",E3589&amp;F3589&amp;G3589)</f>
        <v/>
      </c>
      <c r="I3589">
        <f>IF(A3589="","",IF(AND(E3589&gt;=4,F3589&gt;=4,G3589&gt;=4),"Juara",IF(AND(F3589&gt;=4,E3589&gt;=3),"Setia",IF(AND(E3589=5,F3589&lt;=2,G3589&gt;=3),"Berpotensi",IF(AND(E3589&lt;=3,E3589&gt;=2,F3589&gt;=3),"Rawan",IF(AND(E3589&lt;=2,F3589&lt;=2),"Tidur","Umum"))))))</f>
        <v/>
      </c>
    </row>
    <row r="3590">
      <c r="B3590">
        <f>IF(A3590="","",$B$1-MAXIFS(Donasi!$A$2:$A$20000,Donasi!$B$2:$B$20000,A3590))</f>
        <v/>
      </c>
      <c r="C3590">
        <f>IF(A3590="","",COUNTIF(Donasi!$B$2:$B$20000,A3590))</f>
        <v/>
      </c>
      <c r="D3590">
        <f>IF(A3590="","",SUMIF(Donasi!$B$2:$B$20000,A3590,Donasi!$C$2:$C$20000))</f>
        <v/>
      </c>
      <c r="E3590">
        <f>IF(A3590="","",6-CEILING(PERCENTRANK.INC($B$3:$B$6000,B3590,4)*5+0.000001,1))</f>
        <v/>
      </c>
      <c r="F3590">
        <f>IF(A3590="","",MAX(1,CEILING(PERCENTRANK.INC($C$3:$C$6000,C3590,4)*5+0.000001,1)))</f>
        <v/>
      </c>
      <c r="G3590">
        <f>IF(A3590="","",MAX(1,CEILING(PERCENTRANK.INC($D$3:$D$6000,D3590,4)*5+0.000001,1)))</f>
        <v/>
      </c>
      <c r="H3590">
        <f>IF(A3590="","",E3590&amp;F3590&amp;G3590)</f>
        <v/>
      </c>
      <c r="I3590">
        <f>IF(A3590="","",IF(AND(E3590&gt;=4,F3590&gt;=4,G3590&gt;=4),"Juara",IF(AND(F3590&gt;=4,E3590&gt;=3),"Setia",IF(AND(E3590=5,F3590&lt;=2,G3590&gt;=3),"Berpotensi",IF(AND(E3590&lt;=3,E3590&gt;=2,F3590&gt;=3),"Rawan",IF(AND(E3590&lt;=2,F3590&lt;=2),"Tidur","Umum"))))))</f>
        <v/>
      </c>
    </row>
    <row r="3591">
      <c r="B3591">
        <f>IF(A3591="","",$B$1-MAXIFS(Donasi!$A$2:$A$20000,Donasi!$B$2:$B$20000,A3591))</f>
        <v/>
      </c>
      <c r="C3591">
        <f>IF(A3591="","",COUNTIF(Donasi!$B$2:$B$20000,A3591))</f>
        <v/>
      </c>
      <c r="D3591">
        <f>IF(A3591="","",SUMIF(Donasi!$B$2:$B$20000,A3591,Donasi!$C$2:$C$20000))</f>
        <v/>
      </c>
      <c r="E3591">
        <f>IF(A3591="","",6-CEILING(PERCENTRANK.INC($B$3:$B$6000,B3591,4)*5+0.000001,1))</f>
        <v/>
      </c>
      <c r="F3591">
        <f>IF(A3591="","",MAX(1,CEILING(PERCENTRANK.INC($C$3:$C$6000,C3591,4)*5+0.000001,1)))</f>
        <v/>
      </c>
      <c r="G3591">
        <f>IF(A3591="","",MAX(1,CEILING(PERCENTRANK.INC($D$3:$D$6000,D3591,4)*5+0.000001,1)))</f>
        <v/>
      </c>
      <c r="H3591">
        <f>IF(A3591="","",E3591&amp;F3591&amp;G3591)</f>
        <v/>
      </c>
      <c r="I3591">
        <f>IF(A3591="","",IF(AND(E3591&gt;=4,F3591&gt;=4,G3591&gt;=4),"Juara",IF(AND(F3591&gt;=4,E3591&gt;=3),"Setia",IF(AND(E3591=5,F3591&lt;=2,G3591&gt;=3),"Berpotensi",IF(AND(E3591&lt;=3,E3591&gt;=2,F3591&gt;=3),"Rawan",IF(AND(E3591&lt;=2,F3591&lt;=2),"Tidur","Umum"))))))</f>
        <v/>
      </c>
    </row>
    <row r="3592">
      <c r="B3592">
        <f>IF(A3592="","",$B$1-MAXIFS(Donasi!$A$2:$A$20000,Donasi!$B$2:$B$20000,A3592))</f>
        <v/>
      </c>
      <c r="C3592">
        <f>IF(A3592="","",COUNTIF(Donasi!$B$2:$B$20000,A3592))</f>
        <v/>
      </c>
      <c r="D3592">
        <f>IF(A3592="","",SUMIF(Donasi!$B$2:$B$20000,A3592,Donasi!$C$2:$C$20000))</f>
        <v/>
      </c>
      <c r="E3592">
        <f>IF(A3592="","",6-CEILING(PERCENTRANK.INC($B$3:$B$6000,B3592,4)*5+0.000001,1))</f>
        <v/>
      </c>
      <c r="F3592">
        <f>IF(A3592="","",MAX(1,CEILING(PERCENTRANK.INC($C$3:$C$6000,C3592,4)*5+0.000001,1)))</f>
        <v/>
      </c>
      <c r="G3592">
        <f>IF(A3592="","",MAX(1,CEILING(PERCENTRANK.INC($D$3:$D$6000,D3592,4)*5+0.000001,1)))</f>
        <v/>
      </c>
      <c r="H3592">
        <f>IF(A3592="","",E3592&amp;F3592&amp;G3592)</f>
        <v/>
      </c>
      <c r="I3592">
        <f>IF(A3592="","",IF(AND(E3592&gt;=4,F3592&gt;=4,G3592&gt;=4),"Juara",IF(AND(F3592&gt;=4,E3592&gt;=3),"Setia",IF(AND(E3592=5,F3592&lt;=2,G3592&gt;=3),"Berpotensi",IF(AND(E3592&lt;=3,E3592&gt;=2,F3592&gt;=3),"Rawan",IF(AND(E3592&lt;=2,F3592&lt;=2),"Tidur","Umum"))))))</f>
        <v/>
      </c>
    </row>
    <row r="3593">
      <c r="B3593">
        <f>IF(A3593="","",$B$1-MAXIFS(Donasi!$A$2:$A$20000,Donasi!$B$2:$B$20000,A3593))</f>
        <v/>
      </c>
      <c r="C3593">
        <f>IF(A3593="","",COUNTIF(Donasi!$B$2:$B$20000,A3593))</f>
        <v/>
      </c>
      <c r="D3593">
        <f>IF(A3593="","",SUMIF(Donasi!$B$2:$B$20000,A3593,Donasi!$C$2:$C$20000))</f>
        <v/>
      </c>
      <c r="E3593">
        <f>IF(A3593="","",6-CEILING(PERCENTRANK.INC($B$3:$B$6000,B3593,4)*5+0.000001,1))</f>
        <v/>
      </c>
      <c r="F3593">
        <f>IF(A3593="","",MAX(1,CEILING(PERCENTRANK.INC($C$3:$C$6000,C3593,4)*5+0.000001,1)))</f>
        <v/>
      </c>
      <c r="G3593">
        <f>IF(A3593="","",MAX(1,CEILING(PERCENTRANK.INC($D$3:$D$6000,D3593,4)*5+0.000001,1)))</f>
        <v/>
      </c>
      <c r="H3593">
        <f>IF(A3593="","",E3593&amp;F3593&amp;G3593)</f>
        <v/>
      </c>
      <c r="I3593">
        <f>IF(A3593="","",IF(AND(E3593&gt;=4,F3593&gt;=4,G3593&gt;=4),"Juara",IF(AND(F3593&gt;=4,E3593&gt;=3),"Setia",IF(AND(E3593=5,F3593&lt;=2,G3593&gt;=3),"Berpotensi",IF(AND(E3593&lt;=3,E3593&gt;=2,F3593&gt;=3),"Rawan",IF(AND(E3593&lt;=2,F3593&lt;=2),"Tidur","Umum"))))))</f>
        <v/>
      </c>
    </row>
    <row r="3594">
      <c r="B3594">
        <f>IF(A3594="","",$B$1-MAXIFS(Donasi!$A$2:$A$20000,Donasi!$B$2:$B$20000,A3594))</f>
        <v/>
      </c>
      <c r="C3594">
        <f>IF(A3594="","",COUNTIF(Donasi!$B$2:$B$20000,A3594))</f>
        <v/>
      </c>
      <c r="D3594">
        <f>IF(A3594="","",SUMIF(Donasi!$B$2:$B$20000,A3594,Donasi!$C$2:$C$20000))</f>
        <v/>
      </c>
      <c r="E3594">
        <f>IF(A3594="","",6-CEILING(PERCENTRANK.INC($B$3:$B$6000,B3594,4)*5+0.000001,1))</f>
        <v/>
      </c>
      <c r="F3594">
        <f>IF(A3594="","",MAX(1,CEILING(PERCENTRANK.INC($C$3:$C$6000,C3594,4)*5+0.000001,1)))</f>
        <v/>
      </c>
      <c r="G3594">
        <f>IF(A3594="","",MAX(1,CEILING(PERCENTRANK.INC($D$3:$D$6000,D3594,4)*5+0.000001,1)))</f>
        <v/>
      </c>
      <c r="H3594">
        <f>IF(A3594="","",E3594&amp;F3594&amp;G3594)</f>
        <v/>
      </c>
      <c r="I3594">
        <f>IF(A3594="","",IF(AND(E3594&gt;=4,F3594&gt;=4,G3594&gt;=4),"Juara",IF(AND(F3594&gt;=4,E3594&gt;=3),"Setia",IF(AND(E3594=5,F3594&lt;=2,G3594&gt;=3),"Berpotensi",IF(AND(E3594&lt;=3,E3594&gt;=2,F3594&gt;=3),"Rawan",IF(AND(E3594&lt;=2,F3594&lt;=2),"Tidur","Umum"))))))</f>
        <v/>
      </c>
    </row>
    <row r="3595">
      <c r="B3595">
        <f>IF(A3595="","",$B$1-MAXIFS(Donasi!$A$2:$A$20000,Donasi!$B$2:$B$20000,A3595))</f>
        <v/>
      </c>
      <c r="C3595">
        <f>IF(A3595="","",COUNTIF(Donasi!$B$2:$B$20000,A3595))</f>
        <v/>
      </c>
      <c r="D3595">
        <f>IF(A3595="","",SUMIF(Donasi!$B$2:$B$20000,A3595,Donasi!$C$2:$C$20000))</f>
        <v/>
      </c>
      <c r="E3595">
        <f>IF(A3595="","",6-CEILING(PERCENTRANK.INC($B$3:$B$6000,B3595,4)*5+0.000001,1))</f>
        <v/>
      </c>
      <c r="F3595">
        <f>IF(A3595="","",MAX(1,CEILING(PERCENTRANK.INC($C$3:$C$6000,C3595,4)*5+0.000001,1)))</f>
        <v/>
      </c>
      <c r="G3595">
        <f>IF(A3595="","",MAX(1,CEILING(PERCENTRANK.INC($D$3:$D$6000,D3595,4)*5+0.000001,1)))</f>
        <v/>
      </c>
      <c r="H3595">
        <f>IF(A3595="","",E3595&amp;F3595&amp;G3595)</f>
        <v/>
      </c>
      <c r="I3595">
        <f>IF(A3595="","",IF(AND(E3595&gt;=4,F3595&gt;=4,G3595&gt;=4),"Juara",IF(AND(F3595&gt;=4,E3595&gt;=3),"Setia",IF(AND(E3595=5,F3595&lt;=2,G3595&gt;=3),"Berpotensi",IF(AND(E3595&lt;=3,E3595&gt;=2,F3595&gt;=3),"Rawan",IF(AND(E3595&lt;=2,F3595&lt;=2),"Tidur","Umum"))))))</f>
        <v/>
      </c>
    </row>
    <row r="3596">
      <c r="B3596">
        <f>IF(A3596="","",$B$1-MAXIFS(Donasi!$A$2:$A$20000,Donasi!$B$2:$B$20000,A3596))</f>
        <v/>
      </c>
      <c r="C3596">
        <f>IF(A3596="","",COUNTIF(Donasi!$B$2:$B$20000,A3596))</f>
        <v/>
      </c>
      <c r="D3596">
        <f>IF(A3596="","",SUMIF(Donasi!$B$2:$B$20000,A3596,Donasi!$C$2:$C$20000))</f>
        <v/>
      </c>
      <c r="E3596">
        <f>IF(A3596="","",6-CEILING(PERCENTRANK.INC($B$3:$B$6000,B3596,4)*5+0.000001,1))</f>
        <v/>
      </c>
      <c r="F3596">
        <f>IF(A3596="","",MAX(1,CEILING(PERCENTRANK.INC($C$3:$C$6000,C3596,4)*5+0.000001,1)))</f>
        <v/>
      </c>
      <c r="G3596">
        <f>IF(A3596="","",MAX(1,CEILING(PERCENTRANK.INC($D$3:$D$6000,D3596,4)*5+0.000001,1)))</f>
        <v/>
      </c>
      <c r="H3596">
        <f>IF(A3596="","",E3596&amp;F3596&amp;G3596)</f>
        <v/>
      </c>
      <c r="I3596">
        <f>IF(A3596="","",IF(AND(E3596&gt;=4,F3596&gt;=4,G3596&gt;=4),"Juara",IF(AND(F3596&gt;=4,E3596&gt;=3),"Setia",IF(AND(E3596=5,F3596&lt;=2,G3596&gt;=3),"Berpotensi",IF(AND(E3596&lt;=3,E3596&gt;=2,F3596&gt;=3),"Rawan",IF(AND(E3596&lt;=2,F3596&lt;=2),"Tidur","Umum"))))))</f>
        <v/>
      </c>
    </row>
    <row r="3597">
      <c r="B3597">
        <f>IF(A3597="","",$B$1-MAXIFS(Donasi!$A$2:$A$20000,Donasi!$B$2:$B$20000,A3597))</f>
        <v/>
      </c>
      <c r="C3597">
        <f>IF(A3597="","",COUNTIF(Donasi!$B$2:$B$20000,A3597))</f>
        <v/>
      </c>
      <c r="D3597">
        <f>IF(A3597="","",SUMIF(Donasi!$B$2:$B$20000,A3597,Donasi!$C$2:$C$20000))</f>
        <v/>
      </c>
      <c r="E3597">
        <f>IF(A3597="","",6-CEILING(PERCENTRANK.INC($B$3:$B$6000,B3597,4)*5+0.000001,1))</f>
        <v/>
      </c>
      <c r="F3597">
        <f>IF(A3597="","",MAX(1,CEILING(PERCENTRANK.INC($C$3:$C$6000,C3597,4)*5+0.000001,1)))</f>
        <v/>
      </c>
      <c r="G3597">
        <f>IF(A3597="","",MAX(1,CEILING(PERCENTRANK.INC($D$3:$D$6000,D3597,4)*5+0.000001,1)))</f>
        <v/>
      </c>
      <c r="H3597">
        <f>IF(A3597="","",E3597&amp;F3597&amp;G3597)</f>
        <v/>
      </c>
      <c r="I3597">
        <f>IF(A3597="","",IF(AND(E3597&gt;=4,F3597&gt;=4,G3597&gt;=4),"Juara",IF(AND(F3597&gt;=4,E3597&gt;=3),"Setia",IF(AND(E3597=5,F3597&lt;=2,G3597&gt;=3),"Berpotensi",IF(AND(E3597&lt;=3,E3597&gt;=2,F3597&gt;=3),"Rawan",IF(AND(E3597&lt;=2,F3597&lt;=2),"Tidur","Umum"))))))</f>
        <v/>
      </c>
    </row>
    <row r="3598">
      <c r="B3598">
        <f>IF(A3598="","",$B$1-MAXIFS(Donasi!$A$2:$A$20000,Donasi!$B$2:$B$20000,A3598))</f>
        <v/>
      </c>
      <c r="C3598">
        <f>IF(A3598="","",COUNTIF(Donasi!$B$2:$B$20000,A3598))</f>
        <v/>
      </c>
      <c r="D3598">
        <f>IF(A3598="","",SUMIF(Donasi!$B$2:$B$20000,A3598,Donasi!$C$2:$C$20000))</f>
        <v/>
      </c>
      <c r="E3598">
        <f>IF(A3598="","",6-CEILING(PERCENTRANK.INC($B$3:$B$6000,B3598,4)*5+0.000001,1))</f>
        <v/>
      </c>
      <c r="F3598">
        <f>IF(A3598="","",MAX(1,CEILING(PERCENTRANK.INC($C$3:$C$6000,C3598,4)*5+0.000001,1)))</f>
        <v/>
      </c>
      <c r="G3598">
        <f>IF(A3598="","",MAX(1,CEILING(PERCENTRANK.INC($D$3:$D$6000,D3598,4)*5+0.000001,1)))</f>
        <v/>
      </c>
      <c r="H3598">
        <f>IF(A3598="","",E3598&amp;F3598&amp;G3598)</f>
        <v/>
      </c>
      <c r="I3598">
        <f>IF(A3598="","",IF(AND(E3598&gt;=4,F3598&gt;=4,G3598&gt;=4),"Juara",IF(AND(F3598&gt;=4,E3598&gt;=3),"Setia",IF(AND(E3598=5,F3598&lt;=2,G3598&gt;=3),"Berpotensi",IF(AND(E3598&lt;=3,E3598&gt;=2,F3598&gt;=3),"Rawan",IF(AND(E3598&lt;=2,F3598&lt;=2),"Tidur","Umum"))))))</f>
        <v/>
      </c>
    </row>
    <row r="3599">
      <c r="B3599">
        <f>IF(A3599="","",$B$1-MAXIFS(Donasi!$A$2:$A$20000,Donasi!$B$2:$B$20000,A3599))</f>
        <v/>
      </c>
      <c r="C3599">
        <f>IF(A3599="","",COUNTIF(Donasi!$B$2:$B$20000,A3599))</f>
        <v/>
      </c>
      <c r="D3599">
        <f>IF(A3599="","",SUMIF(Donasi!$B$2:$B$20000,A3599,Donasi!$C$2:$C$20000))</f>
        <v/>
      </c>
      <c r="E3599">
        <f>IF(A3599="","",6-CEILING(PERCENTRANK.INC($B$3:$B$6000,B3599,4)*5+0.000001,1))</f>
        <v/>
      </c>
      <c r="F3599">
        <f>IF(A3599="","",MAX(1,CEILING(PERCENTRANK.INC($C$3:$C$6000,C3599,4)*5+0.000001,1)))</f>
        <v/>
      </c>
      <c r="G3599">
        <f>IF(A3599="","",MAX(1,CEILING(PERCENTRANK.INC($D$3:$D$6000,D3599,4)*5+0.000001,1)))</f>
        <v/>
      </c>
      <c r="H3599">
        <f>IF(A3599="","",E3599&amp;F3599&amp;G3599)</f>
        <v/>
      </c>
      <c r="I3599">
        <f>IF(A3599="","",IF(AND(E3599&gt;=4,F3599&gt;=4,G3599&gt;=4),"Juara",IF(AND(F3599&gt;=4,E3599&gt;=3),"Setia",IF(AND(E3599=5,F3599&lt;=2,G3599&gt;=3),"Berpotensi",IF(AND(E3599&lt;=3,E3599&gt;=2,F3599&gt;=3),"Rawan",IF(AND(E3599&lt;=2,F3599&lt;=2),"Tidur","Umum"))))))</f>
        <v/>
      </c>
    </row>
    <row r="3600">
      <c r="B3600">
        <f>IF(A3600="","",$B$1-MAXIFS(Donasi!$A$2:$A$20000,Donasi!$B$2:$B$20000,A3600))</f>
        <v/>
      </c>
      <c r="C3600">
        <f>IF(A3600="","",COUNTIF(Donasi!$B$2:$B$20000,A3600))</f>
        <v/>
      </c>
      <c r="D3600">
        <f>IF(A3600="","",SUMIF(Donasi!$B$2:$B$20000,A3600,Donasi!$C$2:$C$20000))</f>
        <v/>
      </c>
      <c r="E3600">
        <f>IF(A3600="","",6-CEILING(PERCENTRANK.INC($B$3:$B$6000,B3600,4)*5+0.000001,1))</f>
        <v/>
      </c>
      <c r="F3600">
        <f>IF(A3600="","",MAX(1,CEILING(PERCENTRANK.INC($C$3:$C$6000,C3600,4)*5+0.000001,1)))</f>
        <v/>
      </c>
      <c r="G3600">
        <f>IF(A3600="","",MAX(1,CEILING(PERCENTRANK.INC($D$3:$D$6000,D3600,4)*5+0.000001,1)))</f>
        <v/>
      </c>
      <c r="H3600">
        <f>IF(A3600="","",E3600&amp;F3600&amp;G3600)</f>
        <v/>
      </c>
      <c r="I3600">
        <f>IF(A3600="","",IF(AND(E3600&gt;=4,F3600&gt;=4,G3600&gt;=4),"Juara",IF(AND(F3600&gt;=4,E3600&gt;=3),"Setia",IF(AND(E3600=5,F3600&lt;=2,G3600&gt;=3),"Berpotensi",IF(AND(E3600&lt;=3,E3600&gt;=2,F3600&gt;=3),"Rawan",IF(AND(E3600&lt;=2,F3600&lt;=2),"Tidur","Umum"))))))</f>
        <v/>
      </c>
    </row>
    <row r="3601">
      <c r="B3601">
        <f>IF(A3601="","",$B$1-MAXIFS(Donasi!$A$2:$A$20000,Donasi!$B$2:$B$20000,A3601))</f>
        <v/>
      </c>
      <c r="C3601">
        <f>IF(A3601="","",COUNTIF(Donasi!$B$2:$B$20000,A3601))</f>
        <v/>
      </c>
      <c r="D3601">
        <f>IF(A3601="","",SUMIF(Donasi!$B$2:$B$20000,A3601,Donasi!$C$2:$C$20000))</f>
        <v/>
      </c>
      <c r="E3601">
        <f>IF(A3601="","",6-CEILING(PERCENTRANK.INC($B$3:$B$6000,B3601,4)*5+0.000001,1))</f>
        <v/>
      </c>
      <c r="F3601">
        <f>IF(A3601="","",MAX(1,CEILING(PERCENTRANK.INC($C$3:$C$6000,C3601,4)*5+0.000001,1)))</f>
        <v/>
      </c>
      <c r="G3601">
        <f>IF(A3601="","",MAX(1,CEILING(PERCENTRANK.INC($D$3:$D$6000,D3601,4)*5+0.000001,1)))</f>
        <v/>
      </c>
      <c r="H3601">
        <f>IF(A3601="","",E3601&amp;F3601&amp;G3601)</f>
        <v/>
      </c>
      <c r="I3601">
        <f>IF(A3601="","",IF(AND(E3601&gt;=4,F3601&gt;=4,G3601&gt;=4),"Juara",IF(AND(F3601&gt;=4,E3601&gt;=3),"Setia",IF(AND(E3601=5,F3601&lt;=2,G3601&gt;=3),"Berpotensi",IF(AND(E3601&lt;=3,E3601&gt;=2,F3601&gt;=3),"Rawan",IF(AND(E3601&lt;=2,F3601&lt;=2),"Tidur","Umum"))))))</f>
        <v/>
      </c>
    </row>
    <row r="3602">
      <c r="B3602">
        <f>IF(A3602="","",$B$1-MAXIFS(Donasi!$A$2:$A$20000,Donasi!$B$2:$B$20000,A3602))</f>
        <v/>
      </c>
      <c r="C3602">
        <f>IF(A3602="","",COUNTIF(Donasi!$B$2:$B$20000,A3602))</f>
        <v/>
      </c>
      <c r="D3602">
        <f>IF(A3602="","",SUMIF(Donasi!$B$2:$B$20000,A3602,Donasi!$C$2:$C$20000))</f>
        <v/>
      </c>
      <c r="E3602">
        <f>IF(A3602="","",6-CEILING(PERCENTRANK.INC($B$3:$B$6000,B3602,4)*5+0.000001,1))</f>
        <v/>
      </c>
      <c r="F3602">
        <f>IF(A3602="","",MAX(1,CEILING(PERCENTRANK.INC($C$3:$C$6000,C3602,4)*5+0.000001,1)))</f>
        <v/>
      </c>
      <c r="G3602">
        <f>IF(A3602="","",MAX(1,CEILING(PERCENTRANK.INC($D$3:$D$6000,D3602,4)*5+0.000001,1)))</f>
        <v/>
      </c>
      <c r="H3602">
        <f>IF(A3602="","",E3602&amp;F3602&amp;G3602)</f>
        <v/>
      </c>
      <c r="I3602">
        <f>IF(A3602="","",IF(AND(E3602&gt;=4,F3602&gt;=4,G3602&gt;=4),"Juara",IF(AND(F3602&gt;=4,E3602&gt;=3),"Setia",IF(AND(E3602=5,F3602&lt;=2,G3602&gt;=3),"Berpotensi",IF(AND(E3602&lt;=3,E3602&gt;=2,F3602&gt;=3),"Rawan",IF(AND(E3602&lt;=2,F3602&lt;=2),"Tidur","Umum"))))))</f>
        <v/>
      </c>
    </row>
    <row r="3603">
      <c r="B3603">
        <f>IF(A3603="","",$B$1-MAXIFS(Donasi!$A$2:$A$20000,Donasi!$B$2:$B$20000,A3603))</f>
        <v/>
      </c>
      <c r="C3603">
        <f>IF(A3603="","",COUNTIF(Donasi!$B$2:$B$20000,A3603))</f>
        <v/>
      </c>
      <c r="D3603">
        <f>IF(A3603="","",SUMIF(Donasi!$B$2:$B$20000,A3603,Donasi!$C$2:$C$20000))</f>
        <v/>
      </c>
      <c r="E3603">
        <f>IF(A3603="","",6-CEILING(PERCENTRANK.INC($B$3:$B$6000,B3603,4)*5+0.000001,1))</f>
        <v/>
      </c>
      <c r="F3603">
        <f>IF(A3603="","",MAX(1,CEILING(PERCENTRANK.INC($C$3:$C$6000,C3603,4)*5+0.000001,1)))</f>
        <v/>
      </c>
      <c r="G3603">
        <f>IF(A3603="","",MAX(1,CEILING(PERCENTRANK.INC($D$3:$D$6000,D3603,4)*5+0.000001,1)))</f>
        <v/>
      </c>
      <c r="H3603">
        <f>IF(A3603="","",E3603&amp;F3603&amp;G3603)</f>
        <v/>
      </c>
      <c r="I3603">
        <f>IF(A3603="","",IF(AND(E3603&gt;=4,F3603&gt;=4,G3603&gt;=4),"Juara",IF(AND(F3603&gt;=4,E3603&gt;=3),"Setia",IF(AND(E3603=5,F3603&lt;=2,G3603&gt;=3),"Berpotensi",IF(AND(E3603&lt;=3,E3603&gt;=2,F3603&gt;=3),"Rawan",IF(AND(E3603&lt;=2,F3603&lt;=2),"Tidur","Umum"))))))</f>
        <v/>
      </c>
    </row>
    <row r="3604">
      <c r="B3604">
        <f>IF(A3604="","",$B$1-MAXIFS(Donasi!$A$2:$A$20000,Donasi!$B$2:$B$20000,A3604))</f>
        <v/>
      </c>
      <c r="C3604">
        <f>IF(A3604="","",COUNTIF(Donasi!$B$2:$B$20000,A3604))</f>
        <v/>
      </c>
      <c r="D3604">
        <f>IF(A3604="","",SUMIF(Donasi!$B$2:$B$20000,A3604,Donasi!$C$2:$C$20000))</f>
        <v/>
      </c>
      <c r="E3604">
        <f>IF(A3604="","",6-CEILING(PERCENTRANK.INC($B$3:$B$6000,B3604,4)*5+0.000001,1))</f>
        <v/>
      </c>
      <c r="F3604">
        <f>IF(A3604="","",MAX(1,CEILING(PERCENTRANK.INC($C$3:$C$6000,C3604,4)*5+0.000001,1)))</f>
        <v/>
      </c>
      <c r="G3604">
        <f>IF(A3604="","",MAX(1,CEILING(PERCENTRANK.INC($D$3:$D$6000,D3604,4)*5+0.000001,1)))</f>
        <v/>
      </c>
      <c r="H3604">
        <f>IF(A3604="","",E3604&amp;F3604&amp;G3604)</f>
        <v/>
      </c>
      <c r="I3604">
        <f>IF(A3604="","",IF(AND(E3604&gt;=4,F3604&gt;=4,G3604&gt;=4),"Juara",IF(AND(F3604&gt;=4,E3604&gt;=3),"Setia",IF(AND(E3604=5,F3604&lt;=2,G3604&gt;=3),"Berpotensi",IF(AND(E3604&lt;=3,E3604&gt;=2,F3604&gt;=3),"Rawan",IF(AND(E3604&lt;=2,F3604&lt;=2),"Tidur","Umum"))))))</f>
        <v/>
      </c>
    </row>
    <row r="3605">
      <c r="B3605">
        <f>IF(A3605="","",$B$1-MAXIFS(Donasi!$A$2:$A$20000,Donasi!$B$2:$B$20000,A3605))</f>
        <v/>
      </c>
      <c r="C3605">
        <f>IF(A3605="","",COUNTIF(Donasi!$B$2:$B$20000,A3605))</f>
        <v/>
      </c>
      <c r="D3605">
        <f>IF(A3605="","",SUMIF(Donasi!$B$2:$B$20000,A3605,Donasi!$C$2:$C$20000))</f>
        <v/>
      </c>
      <c r="E3605">
        <f>IF(A3605="","",6-CEILING(PERCENTRANK.INC($B$3:$B$6000,B3605,4)*5+0.000001,1))</f>
        <v/>
      </c>
      <c r="F3605">
        <f>IF(A3605="","",MAX(1,CEILING(PERCENTRANK.INC($C$3:$C$6000,C3605,4)*5+0.000001,1)))</f>
        <v/>
      </c>
      <c r="G3605">
        <f>IF(A3605="","",MAX(1,CEILING(PERCENTRANK.INC($D$3:$D$6000,D3605,4)*5+0.000001,1)))</f>
        <v/>
      </c>
      <c r="H3605">
        <f>IF(A3605="","",E3605&amp;F3605&amp;G3605)</f>
        <v/>
      </c>
      <c r="I3605">
        <f>IF(A3605="","",IF(AND(E3605&gt;=4,F3605&gt;=4,G3605&gt;=4),"Juara",IF(AND(F3605&gt;=4,E3605&gt;=3),"Setia",IF(AND(E3605=5,F3605&lt;=2,G3605&gt;=3),"Berpotensi",IF(AND(E3605&lt;=3,E3605&gt;=2,F3605&gt;=3),"Rawan",IF(AND(E3605&lt;=2,F3605&lt;=2),"Tidur","Umum"))))))</f>
        <v/>
      </c>
    </row>
    <row r="3606">
      <c r="B3606">
        <f>IF(A3606="","",$B$1-MAXIFS(Donasi!$A$2:$A$20000,Donasi!$B$2:$B$20000,A3606))</f>
        <v/>
      </c>
      <c r="C3606">
        <f>IF(A3606="","",COUNTIF(Donasi!$B$2:$B$20000,A3606))</f>
        <v/>
      </c>
      <c r="D3606">
        <f>IF(A3606="","",SUMIF(Donasi!$B$2:$B$20000,A3606,Donasi!$C$2:$C$20000))</f>
        <v/>
      </c>
      <c r="E3606">
        <f>IF(A3606="","",6-CEILING(PERCENTRANK.INC($B$3:$B$6000,B3606,4)*5+0.000001,1))</f>
        <v/>
      </c>
      <c r="F3606">
        <f>IF(A3606="","",MAX(1,CEILING(PERCENTRANK.INC($C$3:$C$6000,C3606,4)*5+0.000001,1)))</f>
        <v/>
      </c>
      <c r="G3606">
        <f>IF(A3606="","",MAX(1,CEILING(PERCENTRANK.INC($D$3:$D$6000,D3606,4)*5+0.000001,1)))</f>
        <v/>
      </c>
      <c r="H3606">
        <f>IF(A3606="","",E3606&amp;F3606&amp;G3606)</f>
        <v/>
      </c>
      <c r="I3606">
        <f>IF(A3606="","",IF(AND(E3606&gt;=4,F3606&gt;=4,G3606&gt;=4),"Juara",IF(AND(F3606&gt;=4,E3606&gt;=3),"Setia",IF(AND(E3606=5,F3606&lt;=2,G3606&gt;=3),"Berpotensi",IF(AND(E3606&lt;=3,E3606&gt;=2,F3606&gt;=3),"Rawan",IF(AND(E3606&lt;=2,F3606&lt;=2),"Tidur","Umum"))))))</f>
        <v/>
      </c>
    </row>
    <row r="3607">
      <c r="B3607">
        <f>IF(A3607="","",$B$1-MAXIFS(Donasi!$A$2:$A$20000,Donasi!$B$2:$B$20000,A3607))</f>
        <v/>
      </c>
      <c r="C3607">
        <f>IF(A3607="","",COUNTIF(Donasi!$B$2:$B$20000,A3607))</f>
        <v/>
      </c>
      <c r="D3607">
        <f>IF(A3607="","",SUMIF(Donasi!$B$2:$B$20000,A3607,Donasi!$C$2:$C$20000))</f>
        <v/>
      </c>
      <c r="E3607">
        <f>IF(A3607="","",6-CEILING(PERCENTRANK.INC($B$3:$B$6000,B3607,4)*5+0.000001,1))</f>
        <v/>
      </c>
      <c r="F3607">
        <f>IF(A3607="","",MAX(1,CEILING(PERCENTRANK.INC($C$3:$C$6000,C3607,4)*5+0.000001,1)))</f>
        <v/>
      </c>
      <c r="G3607">
        <f>IF(A3607="","",MAX(1,CEILING(PERCENTRANK.INC($D$3:$D$6000,D3607,4)*5+0.000001,1)))</f>
        <v/>
      </c>
      <c r="H3607">
        <f>IF(A3607="","",E3607&amp;F3607&amp;G3607)</f>
        <v/>
      </c>
      <c r="I3607">
        <f>IF(A3607="","",IF(AND(E3607&gt;=4,F3607&gt;=4,G3607&gt;=4),"Juara",IF(AND(F3607&gt;=4,E3607&gt;=3),"Setia",IF(AND(E3607=5,F3607&lt;=2,G3607&gt;=3),"Berpotensi",IF(AND(E3607&lt;=3,E3607&gt;=2,F3607&gt;=3),"Rawan",IF(AND(E3607&lt;=2,F3607&lt;=2),"Tidur","Umum"))))))</f>
        <v/>
      </c>
    </row>
    <row r="3608">
      <c r="B3608">
        <f>IF(A3608="","",$B$1-MAXIFS(Donasi!$A$2:$A$20000,Donasi!$B$2:$B$20000,A3608))</f>
        <v/>
      </c>
      <c r="C3608">
        <f>IF(A3608="","",COUNTIF(Donasi!$B$2:$B$20000,A3608))</f>
        <v/>
      </c>
      <c r="D3608">
        <f>IF(A3608="","",SUMIF(Donasi!$B$2:$B$20000,A3608,Donasi!$C$2:$C$20000))</f>
        <v/>
      </c>
      <c r="E3608">
        <f>IF(A3608="","",6-CEILING(PERCENTRANK.INC($B$3:$B$6000,B3608,4)*5+0.000001,1))</f>
        <v/>
      </c>
      <c r="F3608">
        <f>IF(A3608="","",MAX(1,CEILING(PERCENTRANK.INC($C$3:$C$6000,C3608,4)*5+0.000001,1)))</f>
        <v/>
      </c>
      <c r="G3608">
        <f>IF(A3608="","",MAX(1,CEILING(PERCENTRANK.INC($D$3:$D$6000,D3608,4)*5+0.000001,1)))</f>
        <v/>
      </c>
      <c r="H3608">
        <f>IF(A3608="","",E3608&amp;F3608&amp;G3608)</f>
        <v/>
      </c>
      <c r="I3608">
        <f>IF(A3608="","",IF(AND(E3608&gt;=4,F3608&gt;=4,G3608&gt;=4),"Juara",IF(AND(F3608&gt;=4,E3608&gt;=3),"Setia",IF(AND(E3608=5,F3608&lt;=2,G3608&gt;=3),"Berpotensi",IF(AND(E3608&lt;=3,E3608&gt;=2,F3608&gt;=3),"Rawan",IF(AND(E3608&lt;=2,F3608&lt;=2),"Tidur","Umum"))))))</f>
        <v/>
      </c>
    </row>
    <row r="3609">
      <c r="B3609">
        <f>IF(A3609="","",$B$1-MAXIFS(Donasi!$A$2:$A$20000,Donasi!$B$2:$B$20000,A3609))</f>
        <v/>
      </c>
      <c r="C3609">
        <f>IF(A3609="","",COUNTIF(Donasi!$B$2:$B$20000,A3609))</f>
        <v/>
      </c>
      <c r="D3609">
        <f>IF(A3609="","",SUMIF(Donasi!$B$2:$B$20000,A3609,Donasi!$C$2:$C$20000))</f>
        <v/>
      </c>
      <c r="E3609">
        <f>IF(A3609="","",6-CEILING(PERCENTRANK.INC($B$3:$B$6000,B3609,4)*5+0.000001,1))</f>
        <v/>
      </c>
      <c r="F3609">
        <f>IF(A3609="","",MAX(1,CEILING(PERCENTRANK.INC($C$3:$C$6000,C3609,4)*5+0.000001,1)))</f>
        <v/>
      </c>
      <c r="G3609">
        <f>IF(A3609="","",MAX(1,CEILING(PERCENTRANK.INC($D$3:$D$6000,D3609,4)*5+0.000001,1)))</f>
        <v/>
      </c>
      <c r="H3609">
        <f>IF(A3609="","",E3609&amp;F3609&amp;G3609)</f>
        <v/>
      </c>
      <c r="I3609">
        <f>IF(A3609="","",IF(AND(E3609&gt;=4,F3609&gt;=4,G3609&gt;=4),"Juara",IF(AND(F3609&gt;=4,E3609&gt;=3),"Setia",IF(AND(E3609=5,F3609&lt;=2,G3609&gt;=3),"Berpotensi",IF(AND(E3609&lt;=3,E3609&gt;=2,F3609&gt;=3),"Rawan",IF(AND(E3609&lt;=2,F3609&lt;=2),"Tidur","Umum"))))))</f>
        <v/>
      </c>
    </row>
    <row r="3610">
      <c r="B3610">
        <f>IF(A3610="","",$B$1-MAXIFS(Donasi!$A$2:$A$20000,Donasi!$B$2:$B$20000,A3610))</f>
        <v/>
      </c>
      <c r="C3610">
        <f>IF(A3610="","",COUNTIF(Donasi!$B$2:$B$20000,A3610))</f>
        <v/>
      </c>
      <c r="D3610">
        <f>IF(A3610="","",SUMIF(Donasi!$B$2:$B$20000,A3610,Donasi!$C$2:$C$20000))</f>
        <v/>
      </c>
      <c r="E3610">
        <f>IF(A3610="","",6-CEILING(PERCENTRANK.INC($B$3:$B$6000,B3610,4)*5+0.000001,1))</f>
        <v/>
      </c>
      <c r="F3610">
        <f>IF(A3610="","",MAX(1,CEILING(PERCENTRANK.INC($C$3:$C$6000,C3610,4)*5+0.000001,1)))</f>
        <v/>
      </c>
      <c r="G3610">
        <f>IF(A3610="","",MAX(1,CEILING(PERCENTRANK.INC($D$3:$D$6000,D3610,4)*5+0.000001,1)))</f>
        <v/>
      </c>
      <c r="H3610">
        <f>IF(A3610="","",E3610&amp;F3610&amp;G3610)</f>
        <v/>
      </c>
      <c r="I3610">
        <f>IF(A3610="","",IF(AND(E3610&gt;=4,F3610&gt;=4,G3610&gt;=4),"Juara",IF(AND(F3610&gt;=4,E3610&gt;=3),"Setia",IF(AND(E3610=5,F3610&lt;=2,G3610&gt;=3),"Berpotensi",IF(AND(E3610&lt;=3,E3610&gt;=2,F3610&gt;=3),"Rawan",IF(AND(E3610&lt;=2,F3610&lt;=2),"Tidur","Umum"))))))</f>
        <v/>
      </c>
    </row>
    <row r="3611">
      <c r="B3611">
        <f>IF(A3611="","",$B$1-MAXIFS(Donasi!$A$2:$A$20000,Donasi!$B$2:$B$20000,A3611))</f>
        <v/>
      </c>
      <c r="C3611">
        <f>IF(A3611="","",COUNTIF(Donasi!$B$2:$B$20000,A3611))</f>
        <v/>
      </c>
      <c r="D3611">
        <f>IF(A3611="","",SUMIF(Donasi!$B$2:$B$20000,A3611,Donasi!$C$2:$C$20000))</f>
        <v/>
      </c>
      <c r="E3611">
        <f>IF(A3611="","",6-CEILING(PERCENTRANK.INC($B$3:$B$6000,B3611,4)*5+0.000001,1))</f>
        <v/>
      </c>
      <c r="F3611">
        <f>IF(A3611="","",MAX(1,CEILING(PERCENTRANK.INC($C$3:$C$6000,C3611,4)*5+0.000001,1)))</f>
        <v/>
      </c>
      <c r="G3611">
        <f>IF(A3611="","",MAX(1,CEILING(PERCENTRANK.INC($D$3:$D$6000,D3611,4)*5+0.000001,1)))</f>
        <v/>
      </c>
      <c r="H3611">
        <f>IF(A3611="","",E3611&amp;F3611&amp;G3611)</f>
        <v/>
      </c>
      <c r="I3611">
        <f>IF(A3611="","",IF(AND(E3611&gt;=4,F3611&gt;=4,G3611&gt;=4),"Juara",IF(AND(F3611&gt;=4,E3611&gt;=3),"Setia",IF(AND(E3611=5,F3611&lt;=2,G3611&gt;=3),"Berpotensi",IF(AND(E3611&lt;=3,E3611&gt;=2,F3611&gt;=3),"Rawan",IF(AND(E3611&lt;=2,F3611&lt;=2),"Tidur","Umum"))))))</f>
        <v/>
      </c>
    </row>
    <row r="3612">
      <c r="B3612">
        <f>IF(A3612="","",$B$1-MAXIFS(Donasi!$A$2:$A$20000,Donasi!$B$2:$B$20000,A3612))</f>
        <v/>
      </c>
      <c r="C3612">
        <f>IF(A3612="","",COUNTIF(Donasi!$B$2:$B$20000,A3612))</f>
        <v/>
      </c>
      <c r="D3612">
        <f>IF(A3612="","",SUMIF(Donasi!$B$2:$B$20000,A3612,Donasi!$C$2:$C$20000))</f>
        <v/>
      </c>
      <c r="E3612">
        <f>IF(A3612="","",6-CEILING(PERCENTRANK.INC($B$3:$B$6000,B3612,4)*5+0.000001,1))</f>
        <v/>
      </c>
      <c r="F3612">
        <f>IF(A3612="","",MAX(1,CEILING(PERCENTRANK.INC($C$3:$C$6000,C3612,4)*5+0.000001,1)))</f>
        <v/>
      </c>
      <c r="G3612">
        <f>IF(A3612="","",MAX(1,CEILING(PERCENTRANK.INC($D$3:$D$6000,D3612,4)*5+0.000001,1)))</f>
        <v/>
      </c>
      <c r="H3612">
        <f>IF(A3612="","",E3612&amp;F3612&amp;G3612)</f>
        <v/>
      </c>
      <c r="I3612">
        <f>IF(A3612="","",IF(AND(E3612&gt;=4,F3612&gt;=4,G3612&gt;=4),"Juara",IF(AND(F3612&gt;=4,E3612&gt;=3),"Setia",IF(AND(E3612=5,F3612&lt;=2,G3612&gt;=3),"Berpotensi",IF(AND(E3612&lt;=3,E3612&gt;=2,F3612&gt;=3),"Rawan",IF(AND(E3612&lt;=2,F3612&lt;=2),"Tidur","Umum"))))))</f>
        <v/>
      </c>
    </row>
    <row r="3613">
      <c r="B3613">
        <f>IF(A3613="","",$B$1-MAXIFS(Donasi!$A$2:$A$20000,Donasi!$B$2:$B$20000,A3613))</f>
        <v/>
      </c>
      <c r="C3613">
        <f>IF(A3613="","",COUNTIF(Donasi!$B$2:$B$20000,A3613))</f>
        <v/>
      </c>
      <c r="D3613">
        <f>IF(A3613="","",SUMIF(Donasi!$B$2:$B$20000,A3613,Donasi!$C$2:$C$20000))</f>
        <v/>
      </c>
      <c r="E3613">
        <f>IF(A3613="","",6-CEILING(PERCENTRANK.INC($B$3:$B$6000,B3613,4)*5+0.000001,1))</f>
        <v/>
      </c>
      <c r="F3613">
        <f>IF(A3613="","",MAX(1,CEILING(PERCENTRANK.INC($C$3:$C$6000,C3613,4)*5+0.000001,1)))</f>
        <v/>
      </c>
      <c r="G3613">
        <f>IF(A3613="","",MAX(1,CEILING(PERCENTRANK.INC($D$3:$D$6000,D3613,4)*5+0.000001,1)))</f>
        <v/>
      </c>
      <c r="H3613">
        <f>IF(A3613="","",E3613&amp;F3613&amp;G3613)</f>
        <v/>
      </c>
      <c r="I3613">
        <f>IF(A3613="","",IF(AND(E3613&gt;=4,F3613&gt;=4,G3613&gt;=4),"Juara",IF(AND(F3613&gt;=4,E3613&gt;=3),"Setia",IF(AND(E3613=5,F3613&lt;=2,G3613&gt;=3),"Berpotensi",IF(AND(E3613&lt;=3,E3613&gt;=2,F3613&gt;=3),"Rawan",IF(AND(E3613&lt;=2,F3613&lt;=2),"Tidur","Umum"))))))</f>
        <v/>
      </c>
    </row>
    <row r="3614">
      <c r="B3614">
        <f>IF(A3614="","",$B$1-MAXIFS(Donasi!$A$2:$A$20000,Donasi!$B$2:$B$20000,A3614))</f>
        <v/>
      </c>
      <c r="C3614">
        <f>IF(A3614="","",COUNTIF(Donasi!$B$2:$B$20000,A3614))</f>
        <v/>
      </c>
      <c r="D3614">
        <f>IF(A3614="","",SUMIF(Donasi!$B$2:$B$20000,A3614,Donasi!$C$2:$C$20000))</f>
        <v/>
      </c>
      <c r="E3614">
        <f>IF(A3614="","",6-CEILING(PERCENTRANK.INC($B$3:$B$6000,B3614,4)*5+0.000001,1))</f>
        <v/>
      </c>
      <c r="F3614">
        <f>IF(A3614="","",MAX(1,CEILING(PERCENTRANK.INC($C$3:$C$6000,C3614,4)*5+0.000001,1)))</f>
        <v/>
      </c>
      <c r="G3614">
        <f>IF(A3614="","",MAX(1,CEILING(PERCENTRANK.INC($D$3:$D$6000,D3614,4)*5+0.000001,1)))</f>
        <v/>
      </c>
      <c r="H3614">
        <f>IF(A3614="","",E3614&amp;F3614&amp;G3614)</f>
        <v/>
      </c>
      <c r="I3614">
        <f>IF(A3614="","",IF(AND(E3614&gt;=4,F3614&gt;=4,G3614&gt;=4),"Juara",IF(AND(F3614&gt;=4,E3614&gt;=3),"Setia",IF(AND(E3614=5,F3614&lt;=2,G3614&gt;=3),"Berpotensi",IF(AND(E3614&lt;=3,E3614&gt;=2,F3614&gt;=3),"Rawan",IF(AND(E3614&lt;=2,F3614&lt;=2),"Tidur","Umum"))))))</f>
        <v/>
      </c>
    </row>
    <row r="3615">
      <c r="B3615">
        <f>IF(A3615="","",$B$1-MAXIFS(Donasi!$A$2:$A$20000,Donasi!$B$2:$B$20000,A3615))</f>
        <v/>
      </c>
      <c r="C3615">
        <f>IF(A3615="","",COUNTIF(Donasi!$B$2:$B$20000,A3615))</f>
        <v/>
      </c>
      <c r="D3615">
        <f>IF(A3615="","",SUMIF(Donasi!$B$2:$B$20000,A3615,Donasi!$C$2:$C$20000))</f>
        <v/>
      </c>
      <c r="E3615">
        <f>IF(A3615="","",6-CEILING(PERCENTRANK.INC($B$3:$B$6000,B3615,4)*5+0.000001,1))</f>
        <v/>
      </c>
      <c r="F3615">
        <f>IF(A3615="","",MAX(1,CEILING(PERCENTRANK.INC($C$3:$C$6000,C3615,4)*5+0.000001,1)))</f>
        <v/>
      </c>
      <c r="G3615">
        <f>IF(A3615="","",MAX(1,CEILING(PERCENTRANK.INC($D$3:$D$6000,D3615,4)*5+0.000001,1)))</f>
        <v/>
      </c>
      <c r="H3615">
        <f>IF(A3615="","",E3615&amp;F3615&amp;G3615)</f>
        <v/>
      </c>
      <c r="I3615">
        <f>IF(A3615="","",IF(AND(E3615&gt;=4,F3615&gt;=4,G3615&gt;=4),"Juara",IF(AND(F3615&gt;=4,E3615&gt;=3),"Setia",IF(AND(E3615=5,F3615&lt;=2,G3615&gt;=3),"Berpotensi",IF(AND(E3615&lt;=3,E3615&gt;=2,F3615&gt;=3),"Rawan",IF(AND(E3615&lt;=2,F3615&lt;=2),"Tidur","Umum"))))))</f>
        <v/>
      </c>
    </row>
    <row r="3616">
      <c r="B3616">
        <f>IF(A3616="","",$B$1-MAXIFS(Donasi!$A$2:$A$20000,Donasi!$B$2:$B$20000,A3616))</f>
        <v/>
      </c>
      <c r="C3616">
        <f>IF(A3616="","",COUNTIF(Donasi!$B$2:$B$20000,A3616))</f>
        <v/>
      </c>
      <c r="D3616">
        <f>IF(A3616="","",SUMIF(Donasi!$B$2:$B$20000,A3616,Donasi!$C$2:$C$20000))</f>
        <v/>
      </c>
      <c r="E3616">
        <f>IF(A3616="","",6-CEILING(PERCENTRANK.INC($B$3:$B$6000,B3616,4)*5+0.000001,1))</f>
        <v/>
      </c>
      <c r="F3616">
        <f>IF(A3616="","",MAX(1,CEILING(PERCENTRANK.INC($C$3:$C$6000,C3616,4)*5+0.000001,1)))</f>
        <v/>
      </c>
      <c r="G3616">
        <f>IF(A3616="","",MAX(1,CEILING(PERCENTRANK.INC($D$3:$D$6000,D3616,4)*5+0.000001,1)))</f>
        <v/>
      </c>
      <c r="H3616">
        <f>IF(A3616="","",E3616&amp;F3616&amp;G3616)</f>
        <v/>
      </c>
      <c r="I3616">
        <f>IF(A3616="","",IF(AND(E3616&gt;=4,F3616&gt;=4,G3616&gt;=4),"Juara",IF(AND(F3616&gt;=4,E3616&gt;=3),"Setia",IF(AND(E3616=5,F3616&lt;=2,G3616&gt;=3),"Berpotensi",IF(AND(E3616&lt;=3,E3616&gt;=2,F3616&gt;=3),"Rawan",IF(AND(E3616&lt;=2,F3616&lt;=2),"Tidur","Umum"))))))</f>
        <v/>
      </c>
    </row>
    <row r="3617">
      <c r="B3617">
        <f>IF(A3617="","",$B$1-MAXIFS(Donasi!$A$2:$A$20000,Donasi!$B$2:$B$20000,A3617))</f>
        <v/>
      </c>
      <c r="C3617">
        <f>IF(A3617="","",COUNTIF(Donasi!$B$2:$B$20000,A3617))</f>
        <v/>
      </c>
      <c r="D3617">
        <f>IF(A3617="","",SUMIF(Donasi!$B$2:$B$20000,A3617,Donasi!$C$2:$C$20000))</f>
        <v/>
      </c>
      <c r="E3617">
        <f>IF(A3617="","",6-CEILING(PERCENTRANK.INC($B$3:$B$6000,B3617,4)*5+0.000001,1))</f>
        <v/>
      </c>
      <c r="F3617">
        <f>IF(A3617="","",MAX(1,CEILING(PERCENTRANK.INC($C$3:$C$6000,C3617,4)*5+0.000001,1)))</f>
        <v/>
      </c>
      <c r="G3617">
        <f>IF(A3617="","",MAX(1,CEILING(PERCENTRANK.INC($D$3:$D$6000,D3617,4)*5+0.000001,1)))</f>
        <v/>
      </c>
      <c r="H3617">
        <f>IF(A3617="","",E3617&amp;F3617&amp;G3617)</f>
        <v/>
      </c>
      <c r="I3617">
        <f>IF(A3617="","",IF(AND(E3617&gt;=4,F3617&gt;=4,G3617&gt;=4),"Juara",IF(AND(F3617&gt;=4,E3617&gt;=3),"Setia",IF(AND(E3617=5,F3617&lt;=2,G3617&gt;=3),"Berpotensi",IF(AND(E3617&lt;=3,E3617&gt;=2,F3617&gt;=3),"Rawan",IF(AND(E3617&lt;=2,F3617&lt;=2),"Tidur","Umum"))))))</f>
        <v/>
      </c>
    </row>
    <row r="3618">
      <c r="B3618">
        <f>IF(A3618="","",$B$1-MAXIFS(Donasi!$A$2:$A$20000,Donasi!$B$2:$B$20000,A3618))</f>
        <v/>
      </c>
      <c r="C3618">
        <f>IF(A3618="","",COUNTIF(Donasi!$B$2:$B$20000,A3618))</f>
        <v/>
      </c>
      <c r="D3618">
        <f>IF(A3618="","",SUMIF(Donasi!$B$2:$B$20000,A3618,Donasi!$C$2:$C$20000))</f>
        <v/>
      </c>
      <c r="E3618">
        <f>IF(A3618="","",6-CEILING(PERCENTRANK.INC($B$3:$B$6000,B3618,4)*5+0.000001,1))</f>
        <v/>
      </c>
      <c r="F3618">
        <f>IF(A3618="","",MAX(1,CEILING(PERCENTRANK.INC($C$3:$C$6000,C3618,4)*5+0.000001,1)))</f>
        <v/>
      </c>
      <c r="G3618">
        <f>IF(A3618="","",MAX(1,CEILING(PERCENTRANK.INC($D$3:$D$6000,D3618,4)*5+0.000001,1)))</f>
        <v/>
      </c>
      <c r="H3618">
        <f>IF(A3618="","",E3618&amp;F3618&amp;G3618)</f>
        <v/>
      </c>
      <c r="I3618">
        <f>IF(A3618="","",IF(AND(E3618&gt;=4,F3618&gt;=4,G3618&gt;=4),"Juara",IF(AND(F3618&gt;=4,E3618&gt;=3),"Setia",IF(AND(E3618=5,F3618&lt;=2,G3618&gt;=3),"Berpotensi",IF(AND(E3618&lt;=3,E3618&gt;=2,F3618&gt;=3),"Rawan",IF(AND(E3618&lt;=2,F3618&lt;=2),"Tidur","Umum"))))))</f>
        <v/>
      </c>
    </row>
    <row r="3619">
      <c r="B3619">
        <f>IF(A3619="","",$B$1-MAXIFS(Donasi!$A$2:$A$20000,Donasi!$B$2:$B$20000,A3619))</f>
        <v/>
      </c>
      <c r="C3619">
        <f>IF(A3619="","",COUNTIF(Donasi!$B$2:$B$20000,A3619))</f>
        <v/>
      </c>
      <c r="D3619">
        <f>IF(A3619="","",SUMIF(Donasi!$B$2:$B$20000,A3619,Donasi!$C$2:$C$20000))</f>
        <v/>
      </c>
      <c r="E3619">
        <f>IF(A3619="","",6-CEILING(PERCENTRANK.INC($B$3:$B$6000,B3619,4)*5+0.000001,1))</f>
        <v/>
      </c>
      <c r="F3619">
        <f>IF(A3619="","",MAX(1,CEILING(PERCENTRANK.INC($C$3:$C$6000,C3619,4)*5+0.000001,1)))</f>
        <v/>
      </c>
      <c r="G3619">
        <f>IF(A3619="","",MAX(1,CEILING(PERCENTRANK.INC($D$3:$D$6000,D3619,4)*5+0.000001,1)))</f>
        <v/>
      </c>
      <c r="H3619">
        <f>IF(A3619="","",E3619&amp;F3619&amp;G3619)</f>
        <v/>
      </c>
      <c r="I3619">
        <f>IF(A3619="","",IF(AND(E3619&gt;=4,F3619&gt;=4,G3619&gt;=4),"Juara",IF(AND(F3619&gt;=4,E3619&gt;=3),"Setia",IF(AND(E3619=5,F3619&lt;=2,G3619&gt;=3),"Berpotensi",IF(AND(E3619&lt;=3,E3619&gt;=2,F3619&gt;=3),"Rawan",IF(AND(E3619&lt;=2,F3619&lt;=2),"Tidur","Umum"))))))</f>
        <v/>
      </c>
    </row>
    <row r="3620">
      <c r="B3620">
        <f>IF(A3620="","",$B$1-MAXIFS(Donasi!$A$2:$A$20000,Donasi!$B$2:$B$20000,A3620))</f>
        <v/>
      </c>
      <c r="C3620">
        <f>IF(A3620="","",COUNTIF(Donasi!$B$2:$B$20000,A3620))</f>
        <v/>
      </c>
      <c r="D3620">
        <f>IF(A3620="","",SUMIF(Donasi!$B$2:$B$20000,A3620,Donasi!$C$2:$C$20000))</f>
        <v/>
      </c>
      <c r="E3620">
        <f>IF(A3620="","",6-CEILING(PERCENTRANK.INC($B$3:$B$6000,B3620,4)*5+0.000001,1))</f>
        <v/>
      </c>
      <c r="F3620">
        <f>IF(A3620="","",MAX(1,CEILING(PERCENTRANK.INC($C$3:$C$6000,C3620,4)*5+0.000001,1)))</f>
        <v/>
      </c>
      <c r="G3620">
        <f>IF(A3620="","",MAX(1,CEILING(PERCENTRANK.INC($D$3:$D$6000,D3620,4)*5+0.000001,1)))</f>
        <v/>
      </c>
      <c r="H3620">
        <f>IF(A3620="","",E3620&amp;F3620&amp;G3620)</f>
        <v/>
      </c>
      <c r="I3620">
        <f>IF(A3620="","",IF(AND(E3620&gt;=4,F3620&gt;=4,G3620&gt;=4),"Juara",IF(AND(F3620&gt;=4,E3620&gt;=3),"Setia",IF(AND(E3620=5,F3620&lt;=2,G3620&gt;=3),"Berpotensi",IF(AND(E3620&lt;=3,E3620&gt;=2,F3620&gt;=3),"Rawan",IF(AND(E3620&lt;=2,F3620&lt;=2),"Tidur","Umum"))))))</f>
        <v/>
      </c>
    </row>
    <row r="3621">
      <c r="B3621">
        <f>IF(A3621="","",$B$1-MAXIFS(Donasi!$A$2:$A$20000,Donasi!$B$2:$B$20000,A3621))</f>
        <v/>
      </c>
      <c r="C3621">
        <f>IF(A3621="","",COUNTIF(Donasi!$B$2:$B$20000,A3621))</f>
        <v/>
      </c>
      <c r="D3621">
        <f>IF(A3621="","",SUMIF(Donasi!$B$2:$B$20000,A3621,Donasi!$C$2:$C$20000))</f>
        <v/>
      </c>
      <c r="E3621">
        <f>IF(A3621="","",6-CEILING(PERCENTRANK.INC($B$3:$B$6000,B3621,4)*5+0.000001,1))</f>
        <v/>
      </c>
      <c r="F3621">
        <f>IF(A3621="","",MAX(1,CEILING(PERCENTRANK.INC($C$3:$C$6000,C3621,4)*5+0.000001,1)))</f>
        <v/>
      </c>
      <c r="G3621">
        <f>IF(A3621="","",MAX(1,CEILING(PERCENTRANK.INC($D$3:$D$6000,D3621,4)*5+0.000001,1)))</f>
        <v/>
      </c>
      <c r="H3621">
        <f>IF(A3621="","",E3621&amp;F3621&amp;G3621)</f>
        <v/>
      </c>
      <c r="I3621">
        <f>IF(A3621="","",IF(AND(E3621&gt;=4,F3621&gt;=4,G3621&gt;=4),"Juara",IF(AND(F3621&gt;=4,E3621&gt;=3),"Setia",IF(AND(E3621=5,F3621&lt;=2,G3621&gt;=3),"Berpotensi",IF(AND(E3621&lt;=3,E3621&gt;=2,F3621&gt;=3),"Rawan",IF(AND(E3621&lt;=2,F3621&lt;=2),"Tidur","Umum"))))))</f>
        <v/>
      </c>
    </row>
    <row r="3622">
      <c r="B3622">
        <f>IF(A3622="","",$B$1-MAXIFS(Donasi!$A$2:$A$20000,Donasi!$B$2:$B$20000,A3622))</f>
        <v/>
      </c>
      <c r="C3622">
        <f>IF(A3622="","",COUNTIF(Donasi!$B$2:$B$20000,A3622))</f>
        <v/>
      </c>
      <c r="D3622">
        <f>IF(A3622="","",SUMIF(Donasi!$B$2:$B$20000,A3622,Donasi!$C$2:$C$20000))</f>
        <v/>
      </c>
      <c r="E3622">
        <f>IF(A3622="","",6-CEILING(PERCENTRANK.INC($B$3:$B$6000,B3622,4)*5+0.000001,1))</f>
        <v/>
      </c>
      <c r="F3622">
        <f>IF(A3622="","",MAX(1,CEILING(PERCENTRANK.INC($C$3:$C$6000,C3622,4)*5+0.000001,1)))</f>
        <v/>
      </c>
      <c r="G3622">
        <f>IF(A3622="","",MAX(1,CEILING(PERCENTRANK.INC($D$3:$D$6000,D3622,4)*5+0.000001,1)))</f>
        <v/>
      </c>
      <c r="H3622">
        <f>IF(A3622="","",E3622&amp;F3622&amp;G3622)</f>
        <v/>
      </c>
      <c r="I3622">
        <f>IF(A3622="","",IF(AND(E3622&gt;=4,F3622&gt;=4,G3622&gt;=4),"Juara",IF(AND(F3622&gt;=4,E3622&gt;=3),"Setia",IF(AND(E3622=5,F3622&lt;=2,G3622&gt;=3),"Berpotensi",IF(AND(E3622&lt;=3,E3622&gt;=2,F3622&gt;=3),"Rawan",IF(AND(E3622&lt;=2,F3622&lt;=2),"Tidur","Umum"))))))</f>
        <v/>
      </c>
    </row>
    <row r="3623">
      <c r="B3623">
        <f>IF(A3623="","",$B$1-MAXIFS(Donasi!$A$2:$A$20000,Donasi!$B$2:$B$20000,A3623))</f>
        <v/>
      </c>
      <c r="C3623">
        <f>IF(A3623="","",COUNTIF(Donasi!$B$2:$B$20000,A3623))</f>
        <v/>
      </c>
      <c r="D3623">
        <f>IF(A3623="","",SUMIF(Donasi!$B$2:$B$20000,A3623,Donasi!$C$2:$C$20000))</f>
        <v/>
      </c>
      <c r="E3623">
        <f>IF(A3623="","",6-CEILING(PERCENTRANK.INC($B$3:$B$6000,B3623,4)*5+0.000001,1))</f>
        <v/>
      </c>
      <c r="F3623">
        <f>IF(A3623="","",MAX(1,CEILING(PERCENTRANK.INC($C$3:$C$6000,C3623,4)*5+0.000001,1)))</f>
        <v/>
      </c>
      <c r="G3623">
        <f>IF(A3623="","",MAX(1,CEILING(PERCENTRANK.INC($D$3:$D$6000,D3623,4)*5+0.000001,1)))</f>
        <v/>
      </c>
      <c r="H3623">
        <f>IF(A3623="","",E3623&amp;F3623&amp;G3623)</f>
        <v/>
      </c>
      <c r="I3623">
        <f>IF(A3623="","",IF(AND(E3623&gt;=4,F3623&gt;=4,G3623&gt;=4),"Juara",IF(AND(F3623&gt;=4,E3623&gt;=3),"Setia",IF(AND(E3623=5,F3623&lt;=2,G3623&gt;=3),"Berpotensi",IF(AND(E3623&lt;=3,E3623&gt;=2,F3623&gt;=3),"Rawan",IF(AND(E3623&lt;=2,F3623&lt;=2),"Tidur","Umum"))))))</f>
        <v/>
      </c>
    </row>
    <row r="3624">
      <c r="B3624">
        <f>IF(A3624="","",$B$1-MAXIFS(Donasi!$A$2:$A$20000,Donasi!$B$2:$B$20000,A3624))</f>
        <v/>
      </c>
      <c r="C3624">
        <f>IF(A3624="","",COUNTIF(Donasi!$B$2:$B$20000,A3624))</f>
        <v/>
      </c>
      <c r="D3624">
        <f>IF(A3624="","",SUMIF(Donasi!$B$2:$B$20000,A3624,Donasi!$C$2:$C$20000))</f>
        <v/>
      </c>
      <c r="E3624">
        <f>IF(A3624="","",6-CEILING(PERCENTRANK.INC($B$3:$B$6000,B3624,4)*5+0.000001,1))</f>
        <v/>
      </c>
      <c r="F3624">
        <f>IF(A3624="","",MAX(1,CEILING(PERCENTRANK.INC($C$3:$C$6000,C3624,4)*5+0.000001,1)))</f>
        <v/>
      </c>
      <c r="G3624">
        <f>IF(A3624="","",MAX(1,CEILING(PERCENTRANK.INC($D$3:$D$6000,D3624,4)*5+0.000001,1)))</f>
        <v/>
      </c>
      <c r="H3624">
        <f>IF(A3624="","",E3624&amp;F3624&amp;G3624)</f>
        <v/>
      </c>
      <c r="I3624">
        <f>IF(A3624="","",IF(AND(E3624&gt;=4,F3624&gt;=4,G3624&gt;=4),"Juara",IF(AND(F3624&gt;=4,E3624&gt;=3),"Setia",IF(AND(E3624=5,F3624&lt;=2,G3624&gt;=3),"Berpotensi",IF(AND(E3624&lt;=3,E3624&gt;=2,F3624&gt;=3),"Rawan",IF(AND(E3624&lt;=2,F3624&lt;=2),"Tidur","Umum"))))))</f>
        <v/>
      </c>
    </row>
    <row r="3625">
      <c r="B3625">
        <f>IF(A3625="","",$B$1-MAXIFS(Donasi!$A$2:$A$20000,Donasi!$B$2:$B$20000,A3625))</f>
        <v/>
      </c>
      <c r="C3625">
        <f>IF(A3625="","",COUNTIF(Donasi!$B$2:$B$20000,A3625))</f>
        <v/>
      </c>
      <c r="D3625">
        <f>IF(A3625="","",SUMIF(Donasi!$B$2:$B$20000,A3625,Donasi!$C$2:$C$20000))</f>
        <v/>
      </c>
      <c r="E3625">
        <f>IF(A3625="","",6-CEILING(PERCENTRANK.INC($B$3:$B$6000,B3625,4)*5+0.000001,1))</f>
        <v/>
      </c>
      <c r="F3625">
        <f>IF(A3625="","",MAX(1,CEILING(PERCENTRANK.INC($C$3:$C$6000,C3625,4)*5+0.000001,1)))</f>
        <v/>
      </c>
      <c r="G3625">
        <f>IF(A3625="","",MAX(1,CEILING(PERCENTRANK.INC($D$3:$D$6000,D3625,4)*5+0.000001,1)))</f>
        <v/>
      </c>
      <c r="H3625">
        <f>IF(A3625="","",E3625&amp;F3625&amp;G3625)</f>
        <v/>
      </c>
      <c r="I3625">
        <f>IF(A3625="","",IF(AND(E3625&gt;=4,F3625&gt;=4,G3625&gt;=4),"Juara",IF(AND(F3625&gt;=4,E3625&gt;=3),"Setia",IF(AND(E3625=5,F3625&lt;=2,G3625&gt;=3),"Berpotensi",IF(AND(E3625&lt;=3,E3625&gt;=2,F3625&gt;=3),"Rawan",IF(AND(E3625&lt;=2,F3625&lt;=2),"Tidur","Umum"))))))</f>
        <v/>
      </c>
    </row>
    <row r="3626">
      <c r="B3626">
        <f>IF(A3626="","",$B$1-MAXIFS(Donasi!$A$2:$A$20000,Donasi!$B$2:$B$20000,A3626))</f>
        <v/>
      </c>
      <c r="C3626">
        <f>IF(A3626="","",COUNTIF(Donasi!$B$2:$B$20000,A3626))</f>
        <v/>
      </c>
      <c r="D3626">
        <f>IF(A3626="","",SUMIF(Donasi!$B$2:$B$20000,A3626,Donasi!$C$2:$C$20000))</f>
        <v/>
      </c>
      <c r="E3626">
        <f>IF(A3626="","",6-CEILING(PERCENTRANK.INC($B$3:$B$6000,B3626,4)*5+0.000001,1))</f>
        <v/>
      </c>
      <c r="F3626">
        <f>IF(A3626="","",MAX(1,CEILING(PERCENTRANK.INC($C$3:$C$6000,C3626,4)*5+0.000001,1)))</f>
        <v/>
      </c>
      <c r="G3626">
        <f>IF(A3626="","",MAX(1,CEILING(PERCENTRANK.INC($D$3:$D$6000,D3626,4)*5+0.000001,1)))</f>
        <v/>
      </c>
      <c r="H3626">
        <f>IF(A3626="","",E3626&amp;F3626&amp;G3626)</f>
        <v/>
      </c>
      <c r="I3626">
        <f>IF(A3626="","",IF(AND(E3626&gt;=4,F3626&gt;=4,G3626&gt;=4),"Juara",IF(AND(F3626&gt;=4,E3626&gt;=3),"Setia",IF(AND(E3626=5,F3626&lt;=2,G3626&gt;=3),"Berpotensi",IF(AND(E3626&lt;=3,E3626&gt;=2,F3626&gt;=3),"Rawan",IF(AND(E3626&lt;=2,F3626&lt;=2),"Tidur","Umum"))))))</f>
        <v/>
      </c>
    </row>
    <row r="3627">
      <c r="B3627">
        <f>IF(A3627="","",$B$1-MAXIFS(Donasi!$A$2:$A$20000,Donasi!$B$2:$B$20000,A3627))</f>
        <v/>
      </c>
      <c r="C3627">
        <f>IF(A3627="","",COUNTIF(Donasi!$B$2:$B$20000,A3627))</f>
        <v/>
      </c>
      <c r="D3627">
        <f>IF(A3627="","",SUMIF(Donasi!$B$2:$B$20000,A3627,Donasi!$C$2:$C$20000))</f>
        <v/>
      </c>
      <c r="E3627">
        <f>IF(A3627="","",6-CEILING(PERCENTRANK.INC($B$3:$B$6000,B3627,4)*5+0.000001,1))</f>
        <v/>
      </c>
      <c r="F3627">
        <f>IF(A3627="","",MAX(1,CEILING(PERCENTRANK.INC($C$3:$C$6000,C3627,4)*5+0.000001,1)))</f>
        <v/>
      </c>
      <c r="G3627">
        <f>IF(A3627="","",MAX(1,CEILING(PERCENTRANK.INC($D$3:$D$6000,D3627,4)*5+0.000001,1)))</f>
        <v/>
      </c>
      <c r="H3627">
        <f>IF(A3627="","",E3627&amp;F3627&amp;G3627)</f>
        <v/>
      </c>
      <c r="I3627">
        <f>IF(A3627="","",IF(AND(E3627&gt;=4,F3627&gt;=4,G3627&gt;=4),"Juara",IF(AND(F3627&gt;=4,E3627&gt;=3),"Setia",IF(AND(E3627=5,F3627&lt;=2,G3627&gt;=3),"Berpotensi",IF(AND(E3627&lt;=3,E3627&gt;=2,F3627&gt;=3),"Rawan",IF(AND(E3627&lt;=2,F3627&lt;=2),"Tidur","Umum"))))))</f>
        <v/>
      </c>
    </row>
    <row r="3628">
      <c r="B3628">
        <f>IF(A3628="","",$B$1-MAXIFS(Donasi!$A$2:$A$20000,Donasi!$B$2:$B$20000,A3628))</f>
        <v/>
      </c>
      <c r="C3628">
        <f>IF(A3628="","",COUNTIF(Donasi!$B$2:$B$20000,A3628))</f>
        <v/>
      </c>
      <c r="D3628">
        <f>IF(A3628="","",SUMIF(Donasi!$B$2:$B$20000,A3628,Donasi!$C$2:$C$20000))</f>
        <v/>
      </c>
      <c r="E3628">
        <f>IF(A3628="","",6-CEILING(PERCENTRANK.INC($B$3:$B$6000,B3628,4)*5+0.000001,1))</f>
        <v/>
      </c>
      <c r="F3628">
        <f>IF(A3628="","",MAX(1,CEILING(PERCENTRANK.INC($C$3:$C$6000,C3628,4)*5+0.000001,1)))</f>
        <v/>
      </c>
      <c r="G3628">
        <f>IF(A3628="","",MAX(1,CEILING(PERCENTRANK.INC($D$3:$D$6000,D3628,4)*5+0.000001,1)))</f>
        <v/>
      </c>
      <c r="H3628">
        <f>IF(A3628="","",E3628&amp;F3628&amp;G3628)</f>
        <v/>
      </c>
      <c r="I3628">
        <f>IF(A3628="","",IF(AND(E3628&gt;=4,F3628&gt;=4,G3628&gt;=4),"Juara",IF(AND(F3628&gt;=4,E3628&gt;=3),"Setia",IF(AND(E3628=5,F3628&lt;=2,G3628&gt;=3),"Berpotensi",IF(AND(E3628&lt;=3,E3628&gt;=2,F3628&gt;=3),"Rawan",IF(AND(E3628&lt;=2,F3628&lt;=2),"Tidur","Umum"))))))</f>
        <v/>
      </c>
    </row>
    <row r="3629">
      <c r="B3629">
        <f>IF(A3629="","",$B$1-MAXIFS(Donasi!$A$2:$A$20000,Donasi!$B$2:$B$20000,A3629))</f>
        <v/>
      </c>
      <c r="C3629">
        <f>IF(A3629="","",COUNTIF(Donasi!$B$2:$B$20000,A3629))</f>
        <v/>
      </c>
      <c r="D3629">
        <f>IF(A3629="","",SUMIF(Donasi!$B$2:$B$20000,A3629,Donasi!$C$2:$C$20000))</f>
        <v/>
      </c>
      <c r="E3629">
        <f>IF(A3629="","",6-CEILING(PERCENTRANK.INC($B$3:$B$6000,B3629,4)*5+0.000001,1))</f>
        <v/>
      </c>
      <c r="F3629">
        <f>IF(A3629="","",MAX(1,CEILING(PERCENTRANK.INC($C$3:$C$6000,C3629,4)*5+0.000001,1)))</f>
        <v/>
      </c>
      <c r="G3629">
        <f>IF(A3629="","",MAX(1,CEILING(PERCENTRANK.INC($D$3:$D$6000,D3629,4)*5+0.000001,1)))</f>
        <v/>
      </c>
      <c r="H3629">
        <f>IF(A3629="","",E3629&amp;F3629&amp;G3629)</f>
        <v/>
      </c>
      <c r="I3629">
        <f>IF(A3629="","",IF(AND(E3629&gt;=4,F3629&gt;=4,G3629&gt;=4),"Juara",IF(AND(F3629&gt;=4,E3629&gt;=3),"Setia",IF(AND(E3629=5,F3629&lt;=2,G3629&gt;=3),"Berpotensi",IF(AND(E3629&lt;=3,E3629&gt;=2,F3629&gt;=3),"Rawan",IF(AND(E3629&lt;=2,F3629&lt;=2),"Tidur","Umum"))))))</f>
        <v/>
      </c>
    </row>
    <row r="3630">
      <c r="B3630">
        <f>IF(A3630="","",$B$1-MAXIFS(Donasi!$A$2:$A$20000,Donasi!$B$2:$B$20000,A3630))</f>
        <v/>
      </c>
      <c r="C3630">
        <f>IF(A3630="","",COUNTIF(Donasi!$B$2:$B$20000,A3630))</f>
        <v/>
      </c>
      <c r="D3630">
        <f>IF(A3630="","",SUMIF(Donasi!$B$2:$B$20000,A3630,Donasi!$C$2:$C$20000))</f>
        <v/>
      </c>
      <c r="E3630">
        <f>IF(A3630="","",6-CEILING(PERCENTRANK.INC($B$3:$B$6000,B3630,4)*5+0.000001,1))</f>
        <v/>
      </c>
      <c r="F3630">
        <f>IF(A3630="","",MAX(1,CEILING(PERCENTRANK.INC($C$3:$C$6000,C3630,4)*5+0.000001,1)))</f>
        <v/>
      </c>
      <c r="G3630">
        <f>IF(A3630="","",MAX(1,CEILING(PERCENTRANK.INC($D$3:$D$6000,D3630,4)*5+0.000001,1)))</f>
        <v/>
      </c>
      <c r="H3630">
        <f>IF(A3630="","",E3630&amp;F3630&amp;G3630)</f>
        <v/>
      </c>
      <c r="I3630">
        <f>IF(A3630="","",IF(AND(E3630&gt;=4,F3630&gt;=4,G3630&gt;=4),"Juara",IF(AND(F3630&gt;=4,E3630&gt;=3),"Setia",IF(AND(E3630=5,F3630&lt;=2,G3630&gt;=3),"Berpotensi",IF(AND(E3630&lt;=3,E3630&gt;=2,F3630&gt;=3),"Rawan",IF(AND(E3630&lt;=2,F3630&lt;=2),"Tidur","Umum"))))))</f>
        <v/>
      </c>
    </row>
    <row r="3631">
      <c r="B3631">
        <f>IF(A3631="","",$B$1-MAXIFS(Donasi!$A$2:$A$20000,Donasi!$B$2:$B$20000,A3631))</f>
        <v/>
      </c>
      <c r="C3631">
        <f>IF(A3631="","",COUNTIF(Donasi!$B$2:$B$20000,A3631))</f>
        <v/>
      </c>
      <c r="D3631">
        <f>IF(A3631="","",SUMIF(Donasi!$B$2:$B$20000,A3631,Donasi!$C$2:$C$20000))</f>
        <v/>
      </c>
      <c r="E3631">
        <f>IF(A3631="","",6-CEILING(PERCENTRANK.INC($B$3:$B$6000,B3631,4)*5+0.000001,1))</f>
        <v/>
      </c>
      <c r="F3631">
        <f>IF(A3631="","",MAX(1,CEILING(PERCENTRANK.INC($C$3:$C$6000,C3631,4)*5+0.000001,1)))</f>
        <v/>
      </c>
      <c r="G3631">
        <f>IF(A3631="","",MAX(1,CEILING(PERCENTRANK.INC($D$3:$D$6000,D3631,4)*5+0.000001,1)))</f>
        <v/>
      </c>
      <c r="H3631">
        <f>IF(A3631="","",E3631&amp;F3631&amp;G3631)</f>
        <v/>
      </c>
      <c r="I3631">
        <f>IF(A3631="","",IF(AND(E3631&gt;=4,F3631&gt;=4,G3631&gt;=4),"Juara",IF(AND(F3631&gt;=4,E3631&gt;=3),"Setia",IF(AND(E3631=5,F3631&lt;=2,G3631&gt;=3),"Berpotensi",IF(AND(E3631&lt;=3,E3631&gt;=2,F3631&gt;=3),"Rawan",IF(AND(E3631&lt;=2,F3631&lt;=2),"Tidur","Umum"))))))</f>
        <v/>
      </c>
    </row>
    <row r="3632">
      <c r="B3632">
        <f>IF(A3632="","",$B$1-MAXIFS(Donasi!$A$2:$A$20000,Donasi!$B$2:$B$20000,A3632))</f>
        <v/>
      </c>
      <c r="C3632">
        <f>IF(A3632="","",COUNTIF(Donasi!$B$2:$B$20000,A3632))</f>
        <v/>
      </c>
      <c r="D3632">
        <f>IF(A3632="","",SUMIF(Donasi!$B$2:$B$20000,A3632,Donasi!$C$2:$C$20000))</f>
        <v/>
      </c>
      <c r="E3632">
        <f>IF(A3632="","",6-CEILING(PERCENTRANK.INC($B$3:$B$6000,B3632,4)*5+0.000001,1))</f>
        <v/>
      </c>
      <c r="F3632">
        <f>IF(A3632="","",MAX(1,CEILING(PERCENTRANK.INC($C$3:$C$6000,C3632,4)*5+0.000001,1)))</f>
        <v/>
      </c>
      <c r="G3632">
        <f>IF(A3632="","",MAX(1,CEILING(PERCENTRANK.INC($D$3:$D$6000,D3632,4)*5+0.000001,1)))</f>
        <v/>
      </c>
      <c r="H3632">
        <f>IF(A3632="","",E3632&amp;F3632&amp;G3632)</f>
        <v/>
      </c>
      <c r="I3632">
        <f>IF(A3632="","",IF(AND(E3632&gt;=4,F3632&gt;=4,G3632&gt;=4),"Juara",IF(AND(F3632&gt;=4,E3632&gt;=3),"Setia",IF(AND(E3632=5,F3632&lt;=2,G3632&gt;=3),"Berpotensi",IF(AND(E3632&lt;=3,E3632&gt;=2,F3632&gt;=3),"Rawan",IF(AND(E3632&lt;=2,F3632&lt;=2),"Tidur","Umum"))))))</f>
        <v/>
      </c>
    </row>
    <row r="3633">
      <c r="B3633">
        <f>IF(A3633="","",$B$1-MAXIFS(Donasi!$A$2:$A$20000,Donasi!$B$2:$B$20000,A3633))</f>
        <v/>
      </c>
      <c r="C3633">
        <f>IF(A3633="","",COUNTIF(Donasi!$B$2:$B$20000,A3633))</f>
        <v/>
      </c>
      <c r="D3633">
        <f>IF(A3633="","",SUMIF(Donasi!$B$2:$B$20000,A3633,Donasi!$C$2:$C$20000))</f>
        <v/>
      </c>
      <c r="E3633">
        <f>IF(A3633="","",6-CEILING(PERCENTRANK.INC($B$3:$B$6000,B3633,4)*5+0.000001,1))</f>
        <v/>
      </c>
      <c r="F3633">
        <f>IF(A3633="","",MAX(1,CEILING(PERCENTRANK.INC($C$3:$C$6000,C3633,4)*5+0.000001,1)))</f>
        <v/>
      </c>
      <c r="G3633">
        <f>IF(A3633="","",MAX(1,CEILING(PERCENTRANK.INC($D$3:$D$6000,D3633,4)*5+0.000001,1)))</f>
        <v/>
      </c>
      <c r="H3633">
        <f>IF(A3633="","",E3633&amp;F3633&amp;G3633)</f>
        <v/>
      </c>
      <c r="I3633">
        <f>IF(A3633="","",IF(AND(E3633&gt;=4,F3633&gt;=4,G3633&gt;=4),"Juara",IF(AND(F3633&gt;=4,E3633&gt;=3),"Setia",IF(AND(E3633=5,F3633&lt;=2,G3633&gt;=3),"Berpotensi",IF(AND(E3633&lt;=3,E3633&gt;=2,F3633&gt;=3),"Rawan",IF(AND(E3633&lt;=2,F3633&lt;=2),"Tidur","Umum"))))))</f>
        <v/>
      </c>
    </row>
    <row r="3634">
      <c r="B3634">
        <f>IF(A3634="","",$B$1-MAXIFS(Donasi!$A$2:$A$20000,Donasi!$B$2:$B$20000,A3634))</f>
        <v/>
      </c>
      <c r="C3634">
        <f>IF(A3634="","",COUNTIF(Donasi!$B$2:$B$20000,A3634))</f>
        <v/>
      </c>
      <c r="D3634">
        <f>IF(A3634="","",SUMIF(Donasi!$B$2:$B$20000,A3634,Donasi!$C$2:$C$20000))</f>
        <v/>
      </c>
      <c r="E3634">
        <f>IF(A3634="","",6-CEILING(PERCENTRANK.INC($B$3:$B$6000,B3634,4)*5+0.000001,1))</f>
        <v/>
      </c>
      <c r="F3634">
        <f>IF(A3634="","",MAX(1,CEILING(PERCENTRANK.INC($C$3:$C$6000,C3634,4)*5+0.000001,1)))</f>
        <v/>
      </c>
      <c r="G3634">
        <f>IF(A3634="","",MAX(1,CEILING(PERCENTRANK.INC($D$3:$D$6000,D3634,4)*5+0.000001,1)))</f>
        <v/>
      </c>
      <c r="H3634">
        <f>IF(A3634="","",E3634&amp;F3634&amp;G3634)</f>
        <v/>
      </c>
      <c r="I3634">
        <f>IF(A3634="","",IF(AND(E3634&gt;=4,F3634&gt;=4,G3634&gt;=4),"Juara",IF(AND(F3634&gt;=4,E3634&gt;=3),"Setia",IF(AND(E3634=5,F3634&lt;=2,G3634&gt;=3),"Berpotensi",IF(AND(E3634&lt;=3,E3634&gt;=2,F3634&gt;=3),"Rawan",IF(AND(E3634&lt;=2,F3634&lt;=2),"Tidur","Umum"))))))</f>
        <v/>
      </c>
    </row>
    <row r="3635">
      <c r="B3635">
        <f>IF(A3635="","",$B$1-MAXIFS(Donasi!$A$2:$A$20000,Donasi!$B$2:$B$20000,A3635))</f>
        <v/>
      </c>
      <c r="C3635">
        <f>IF(A3635="","",COUNTIF(Donasi!$B$2:$B$20000,A3635))</f>
        <v/>
      </c>
      <c r="D3635">
        <f>IF(A3635="","",SUMIF(Donasi!$B$2:$B$20000,A3635,Donasi!$C$2:$C$20000))</f>
        <v/>
      </c>
      <c r="E3635">
        <f>IF(A3635="","",6-CEILING(PERCENTRANK.INC($B$3:$B$6000,B3635,4)*5+0.000001,1))</f>
        <v/>
      </c>
      <c r="F3635">
        <f>IF(A3635="","",MAX(1,CEILING(PERCENTRANK.INC($C$3:$C$6000,C3635,4)*5+0.000001,1)))</f>
        <v/>
      </c>
      <c r="G3635">
        <f>IF(A3635="","",MAX(1,CEILING(PERCENTRANK.INC($D$3:$D$6000,D3635,4)*5+0.000001,1)))</f>
        <v/>
      </c>
      <c r="H3635">
        <f>IF(A3635="","",E3635&amp;F3635&amp;G3635)</f>
        <v/>
      </c>
      <c r="I3635">
        <f>IF(A3635="","",IF(AND(E3635&gt;=4,F3635&gt;=4,G3635&gt;=4),"Juara",IF(AND(F3635&gt;=4,E3635&gt;=3),"Setia",IF(AND(E3635=5,F3635&lt;=2,G3635&gt;=3),"Berpotensi",IF(AND(E3635&lt;=3,E3635&gt;=2,F3635&gt;=3),"Rawan",IF(AND(E3635&lt;=2,F3635&lt;=2),"Tidur","Umum"))))))</f>
        <v/>
      </c>
    </row>
    <row r="3636">
      <c r="B3636">
        <f>IF(A3636="","",$B$1-MAXIFS(Donasi!$A$2:$A$20000,Donasi!$B$2:$B$20000,A3636))</f>
        <v/>
      </c>
      <c r="C3636">
        <f>IF(A3636="","",COUNTIF(Donasi!$B$2:$B$20000,A3636))</f>
        <v/>
      </c>
      <c r="D3636">
        <f>IF(A3636="","",SUMIF(Donasi!$B$2:$B$20000,A3636,Donasi!$C$2:$C$20000))</f>
        <v/>
      </c>
      <c r="E3636">
        <f>IF(A3636="","",6-CEILING(PERCENTRANK.INC($B$3:$B$6000,B3636,4)*5+0.000001,1))</f>
        <v/>
      </c>
      <c r="F3636">
        <f>IF(A3636="","",MAX(1,CEILING(PERCENTRANK.INC($C$3:$C$6000,C3636,4)*5+0.000001,1)))</f>
        <v/>
      </c>
      <c r="G3636">
        <f>IF(A3636="","",MAX(1,CEILING(PERCENTRANK.INC($D$3:$D$6000,D3636,4)*5+0.000001,1)))</f>
        <v/>
      </c>
      <c r="H3636">
        <f>IF(A3636="","",E3636&amp;F3636&amp;G3636)</f>
        <v/>
      </c>
      <c r="I3636">
        <f>IF(A3636="","",IF(AND(E3636&gt;=4,F3636&gt;=4,G3636&gt;=4),"Juara",IF(AND(F3636&gt;=4,E3636&gt;=3),"Setia",IF(AND(E3636=5,F3636&lt;=2,G3636&gt;=3),"Berpotensi",IF(AND(E3636&lt;=3,E3636&gt;=2,F3636&gt;=3),"Rawan",IF(AND(E3636&lt;=2,F3636&lt;=2),"Tidur","Umum"))))))</f>
        <v/>
      </c>
    </row>
    <row r="3637">
      <c r="B3637">
        <f>IF(A3637="","",$B$1-MAXIFS(Donasi!$A$2:$A$20000,Donasi!$B$2:$B$20000,A3637))</f>
        <v/>
      </c>
      <c r="C3637">
        <f>IF(A3637="","",COUNTIF(Donasi!$B$2:$B$20000,A3637))</f>
        <v/>
      </c>
      <c r="D3637">
        <f>IF(A3637="","",SUMIF(Donasi!$B$2:$B$20000,A3637,Donasi!$C$2:$C$20000))</f>
        <v/>
      </c>
      <c r="E3637">
        <f>IF(A3637="","",6-CEILING(PERCENTRANK.INC($B$3:$B$6000,B3637,4)*5+0.000001,1))</f>
        <v/>
      </c>
      <c r="F3637">
        <f>IF(A3637="","",MAX(1,CEILING(PERCENTRANK.INC($C$3:$C$6000,C3637,4)*5+0.000001,1)))</f>
        <v/>
      </c>
      <c r="G3637">
        <f>IF(A3637="","",MAX(1,CEILING(PERCENTRANK.INC($D$3:$D$6000,D3637,4)*5+0.000001,1)))</f>
        <v/>
      </c>
      <c r="H3637">
        <f>IF(A3637="","",E3637&amp;F3637&amp;G3637)</f>
        <v/>
      </c>
      <c r="I3637">
        <f>IF(A3637="","",IF(AND(E3637&gt;=4,F3637&gt;=4,G3637&gt;=4),"Juara",IF(AND(F3637&gt;=4,E3637&gt;=3),"Setia",IF(AND(E3637=5,F3637&lt;=2,G3637&gt;=3),"Berpotensi",IF(AND(E3637&lt;=3,E3637&gt;=2,F3637&gt;=3),"Rawan",IF(AND(E3637&lt;=2,F3637&lt;=2),"Tidur","Umum"))))))</f>
        <v/>
      </c>
    </row>
    <row r="3638">
      <c r="B3638">
        <f>IF(A3638="","",$B$1-MAXIFS(Donasi!$A$2:$A$20000,Donasi!$B$2:$B$20000,A3638))</f>
        <v/>
      </c>
      <c r="C3638">
        <f>IF(A3638="","",COUNTIF(Donasi!$B$2:$B$20000,A3638))</f>
        <v/>
      </c>
      <c r="D3638">
        <f>IF(A3638="","",SUMIF(Donasi!$B$2:$B$20000,A3638,Donasi!$C$2:$C$20000))</f>
        <v/>
      </c>
      <c r="E3638">
        <f>IF(A3638="","",6-CEILING(PERCENTRANK.INC($B$3:$B$6000,B3638,4)*5+0.000001,1))</f>
        <v/>
      </c>
      <c r="F3638">
        <f>IF(A3638="","",MAX(1,CEILING(PERCENTRANK.INC($C$3:$C$6000,C3638,4)*5+0.000001,1)))</f>
        <v/>
      </c>
      <c r="G3638">
        <f>IF(A3638="","",MAX(1,CEILING(PERCENTRANK.INC($D$3:$D$6000,D3638,4)*5+0.000001,1)))</f>
        <v/>
      </c>
      <c r="H3638">
        <f>IF(A3638="","",E3638&amp;F3638&amp;G3638)</f>
        <v/>
      </c>
      <c r="I3638">
        <f>IF(A3638="","",IF(AND(E3638&gt;=4,F3638&gt;=4,G3638&gt;=4),"Juara",IF(AND(F3638&gt;=4,E3638&gt;=3),"Setia",IF(AND(E3638=5,F3638&lt;=2,G3638&gt;=3),"Berpotensi",IF(AND(E3638&lt;=3,E3638&gt;=2,F3638&gt;=3),"Rawan",IF(AND(E3638&lt;=2,F3638&lt;=2),"Tidur","Umum"))))))</f>
        <v/>
      </c>
    </row>
    <row r="3639">
      <c r="B3639">
        <f>IF(A3639="","",$B$1-MAXIFS(Donasi!$A$2:$A$20000,Donasi!$B$2:$B$20000,A3639))</f>
        <v/>
      </c>
      <c r="C3639">
        <f>IF(A3639="","",COUNTIF(Donasi!$B$2:$B$20000,A3639))</f>
        <v/>
      </c>
      <c r="D3639">
        <f>IF(A3639="","",SUMIF(Donasi!$B$2:$B$20000,A3639,Donasi!$C$2:$C$20000))</f>
        <v/>
      </c>
      <c r="E3639">
        <f>IF(A3639="","",6-CEILING(PERCENTRANK.INC($B$3:$B$6000,B3639,4)*5+0.000001,1))</f>
        <v/>
      </c>
      <c r="F3639">
        <f>IF(A3639="","",MAX(1,CEILING(PERCENTRANK.INC($C$3:$C$6000,C3639,4)*5+0.000001,1)))</f>
        <v/>
      </c>
      <c r="G3639">
        <f>IF(A3639="","",MAX(1,CEILING(PERCENTRANK.INC($D$3:$D$6000,D3639,4)*5+0.000001,1)))</f>
        <v/>
      </c>
      <c r="H3639">
        <f>IF(A3639="","",E3639&amp;F3639&amp;G3639)</f>
        <v/>
      </c>
      <c r="I3639">
        <f>IF(A3639="","",IF(AND(E3639&gt;=4,F3639&gt;=4,G3639&gt;=4),"Juara",IF(AND(F3639&gt;=4,E3639&gt;=3),"Setia",IF(AND(E3639=5,F3639&lt;=2,G3639&gt;=3),"Berpotensi",IF(AND(E3639&lt;=3,E3639&gt;=2,F3639&gt;=3),"Rawan",IF(AND(E3639&lt;=2,F3639&lt;=2),"Tidur","Umum"))))))</f>
        <v/>
      </c>
    </row>
    <row r="3640">
      <c r="B3640">
        <f>IF(A3640="","",$B$1-MAXIFS(Donasi!$A$2:$A$20000,Donasi!$B$2:$B$20000,A3640))</f>
        <v/>
      </c>
      <c r="C3640">
        <f>IF(A3640="","",COUNTIF(Donasi!$B$2:$B$20000,A3640))</f>
        <v/>
      </c>
      <c r="D3640">
        <f>IF(A3640="","",SUMIF(Donasi!$B$2:$B$20000,A3640,Donasi!$C$2:$C$20000))</f>
        <v/>
      </c>
      <c r="E3640">
        <f>IF(A3640="","",6-CEILING(PERCENTRANK.INC($B$3:$B$6000,B3640,4)*5+0.000001,1))</f>
        <v/>
      </c>
      <c r="F3640">
        <f>IF(A3640="","",MAX(1,CEILING(PERCENTRANK.INC($C$3:$C$6000,C3640,4)*5+0.000001,1)))</f>
        <v/>
      </c>
      <c r="G3640">
        <f>IF(A3640="","",MAX(1,CEILING(PERCENTRANK.INC($D$3:$D$6000,D3640,4)*5+0.000001,1)))</f>
        <v/>
      </c>
      <c r="H3640">
        <f>IF(A3640="","",E3640&amp;F3640&amp;G3640)</f>
        <v/>
      </c>
      <c r="I3640">
        <f>IF(A3640="","",IF(AND(E3640&gt;=4,F3640&gt;=4,G3640&gt;=4),"Juara",IF(AND(F3640&gt;=4,E3640&gt;=3),"Setia",IF(AND(E3640=5,F3640&lt;=2,G3640&gt;=3),"Berpotensi",IF(AND(E3640&lt;=3,E3640&gt;=2,F3640&gt;=3),"Rawan",IF(AND(E3640&lt;=2,F3640&lt;=2),"Tidur","Umum"))))))</f>
        <v/>
      </c>
    </row>
    <row r="3641">
      <c r="B3641">
        <f>IF(A3641="","",$B$1-MAXIFS(Donasi!$A$2:$A$20000,Donasi!$B$2:$B$20000,A3641))</f>
        <v/>
      </c>
      <c r="C3641">
        <f>IF(A3641="","",COUNTIF(Donasi!$B$2:$B$20000,A3641))</f>
        <v/>
      </c>
      <c r="D3641">
        <f>IF(A3641="","",SUMIF(Donasi!$B$2:$B$20000,A3641,Donasi!$C$2:$C$20000))</f>
        <v/>
      </c>
      <c r="E3641">
        <f>IF(A3641="","",6-CEILING(PERCENTRANK.INC($B$3:$B$6000,B3641,4)*5+0.000001,1))</f>
        <v/>
      </c>
      <c r="F3641">
        <f>IF(A3641="","",MAX(1,CEILING(PERCENTRANK.INC($C$3:$C$6000,C3641,4)*5+0.000001,1)))</f>
        <v/>
      </c>
      <c r="G3641">
        <f>IF(A3641="","",MAX(1,CEILING(PERCENTRANK.INC($D$3:$D$6000,D3641,4)*5+0.000001,1)))</f>
        <v/>
      </c>
      <c r="H3641">
        <f>IF(A3641="","",E3641&amp;F3641&amp;G3641)</f>
        <v/>
      </c>
      <c r="I3641">
        <f>IF(A3641="","",IF(AND(E3641&gt;=4,F3641&gt;=4,G3641&gt;=4),"Juara",IF(AND(F3641&gt;=4,E3641&gt;=3),"Setia",IF(AND(E3641=5,F3641&lt;=2,G3641&gt;=3),"Berpotensi",IF(AND(E3641&lt;=3,E3641&gt;=2,F3641&gt;=3),"Rawan",IF(AND(E3641&lt;=2,F3641&lt;=2),"Tidur","Umum"))))))</f>
        <v/>
      </c>
    </row>
    <row r="3642">
      <c r="B3642">
        <f>IF(A3642="","",$B$1-MAXIFS(Donasi!$A$2:$A$20000,Donasi!$B$2:$B$20000,A3642))</f>
        <v/>
      </c>
      <c r="C3642">
        <f>IF(A3642="","",COUNTIF(Donasi!$B$2:$B$20000,A3642))</f>
        <v/>
      </c>
      <c r="D3642">
        <f>IF(A3642="","",SUMIF(Donasi!$B$2:$B$20000,A3642,Donasi!$C$2:$C$20000))</f>
        <v/>
      </c>
      <c r="E3642">
        <f>IF(A3642="","",6-CEILING(PERCENTRANK.INC($B$3:$B$6000,B3642,4)*5+0.000001,1))</f>
        <v/>
      </c>
      <c r="F3642">
        <f>IF(A3642="","",MAX(1,CEILING(PERCENTRANK.INC($C$3:$C$6000,C3642,4)*5+0.000001,1)))</f>
        <v/>
      </c>
      <c r="G3642">
        <f>IF(A3642="","",MAX(1,CEILING(PERCENTRANK.INC($D$3:$D$6000,D3642,4)*5+0.000001,1)))</f>
        <v/>
      </c>
      <c r="H3642">
        <f>IF(A3642="","",E3642&amp;F3642&amp;G3642)</f>
        <v/>
      </c>
      <c r="I3642">
        <f>IF(A3642="","",IF(AND(E3642&gt;=4,F3642&gt;=4,G3642&gt;=4),"Juara",IF(AND(F3642&gt;=4,E3642&gt;=3),"Setia",IF(AND(E3642=5,F3642&lt;=2,G3642&gt;=3),"Berpotensi",IF(AND(E3642&lt;=3,E3642&gt;=2,F3642&gt;=3),"Rawan",IF(AND(E3642&lt;=2,F3642&lt;=2),"Tidur","Umum"))))))</f>
        <v/>
      </c>
    </row>
    <row r="3643">
      <c r="B3643">
        <f>IF(A3643="","",$B$1-MAXIFS(Donasi!$A$2:$A$20000,Donasi!$B$2:$B$20000,A3643))</f>
        <v/>
      </c>
      <c r="C3643">
        <f>IF(A3643="","",COUNTIF(Donasi!$B$2:$B$20000,A3643))</f>
        <v/>
      </c>
      <c r="D3643">
        <f>IF(A3643="","",SUMIF(Donasi!$B$2:$B$20000,A3643,Donasi!$C$2:$C$20000))</f>
        <v/>
      </c>
      <c r="E3643">
        <f>IF(A3643="","",6-CEILING(PERCENTRANK.INC($B$3:$B$6000,B3643,4)*5+0.000001,1))</f>
        <v/>
      </c>
      <c r="F3643">
        <f>IF(A3643="","",MAX(1,CEILING(PERCENTRANK.INC($C$3:$C$6000,C3643,4)*5+0.000001,1)))</f>
        <v/>
      </c>
      <c r="G3643">
        <f>IF(A3643="","",MAX(1,CEILING(PERCENTRANK.INC($D$3:$D$6000,D3643,4)*5+0.000001,1)))</f>
        <v/>
      </c>
      <c r="H3643">
        <f>IF(A3643="","",E3643&amp;F3643&amp;G3643)</f>
        <v/>
      </c>
      <c r="I3643">
        <f>IF(A3643="","",IF(AND(E3643&gt;=4,F3643&gt;=4,G3643&gt;=4),"Juara",IF(AND(F3643&gt;=4,E3643&gt;=3),"Setia",IF(AND(E3643=5,F3643&lt;=2,G3643&gt;=3),"Berpotensi",IF(AND(E3643&lt;=3,E3643&gt;=2,F3643&gt;=3),"Rawan",IF(AND(E3643&lt;=2,F3643&lt;=2),"Tidur","Umum"))))))</f>
        <v/>
      </c>
    </row>
    <row r="3644">
      <c r="B3644">
        <f>IF(A3644="","",$B$1-MAXIFS(Donasi!$A$2:$A$20000,Donasi!$B$2:$B$20000,A3644))</f>
        <v/>
      </c>
      <c r="C3644">
        <f>IF(A3644="","",COUNTIF(Donasi!$B$2:$B$20000,A3644))</f>
        <v/>
      </c>
      <c r="D3644">
        <f>IF(A3644="","",SUMIF(Donasi!$B$2:$B$20000,A3644,Donasi!$C$2:$C$20000))</f>
        <v/>
      </c>
      <c r="E3644">
        <f>IF(A3644="","",6-CEILING(PERCENTRANK.INC($B$3:$B$6000,B3644,4)*5+0.000001,1))</f>
        <v/>
      </c>
      <c r="F3644">
        <f>IF(A3644="","",MAX(1,CEILING(PERCENTRANK.INC($C$3:$C$6000,C3644,4)*5+0.000001,1)))</f>
        <v/>
      </c>
      <c r="G3644">
        <f>IF(A3644="","",MAX(1,CEILING(PERCENTRANK.INC($D$3:$D$6000,D3644,4)*5+0.000001,1)))</f>
        <v/>
      </c>
      <c r="H3644">
        <f>IF(A3644="","",E3644&amp;F3644&amp;G3644)</f>
        <v/>
      </c>
      <c r="I3644">
        <f>IF(A3644="","",IF(AND(E3644&gt;=4,F3644&gt;=4,G3644&gt;=4),"Juara",IF(AND(F3644&gt;=4,E3644&gt;=3),"Setia",IF(AND(E3644=5,F3644&lt;=2,G3644&gt;=3),"Berpotensi",IF(AND(E3644&lt;=3,E3644&gt;=2,F3644&gt;=3),"Rawan",IF(AND(E3644&lt;=2,F3644&lt;=2),"Tidur","Umum"))))))</f>
        <v/>
      </c>
    </row>
    <row r="3645">
      <c r="B3645">
        <f>IF(A3645="","",$B$1-MAXIFS(Donasi!$A$2:$A$20000,Donasi!$B$2:$B$20000,A3645))</f>
        <v/>
      </c>
      <c r="C3645">
        <f>IF(A3645="","",COUNTIF(Donasi!$B$2:$B$20000,A3645))</f>
        <v/>
      </c>
      <c r="D3645">
        <f>IF(A3645="","",SUMIF(Donasi!$B$2:$B$20000,A3645,Donasi!$C$2:$C$20000))</f>
        <v/>
      </c>
      <c r="E3645">
        <f>IF(A3645="","",6-CEILING(PERCENTRANK.INC($B$3:$B$6000,B3645,4)*5+0.000001,1))</f>
        <v/>
      </c>
      <c r="F3645">
        <f>IF(A3645="","",MAX(1,CEILING(PERCENTRANK.INC($C$3:$C$6000,C3645,4)*5+0.000001,1)))</f>
        <v/>
      </c>
      <c r="G3645">
        <f>IF(A3645="","",MAX(1,CEILING(PERCENTRANK.INC($D$3:$D$6000,D3645,4)*5+0.000001,1)))</f>
        <v/>
      </c>
      <c r="H3645">
        <f>IF(A3645="","",E3645&amp;F3645&amp;G3645)</f>
        <v/>
      </c>
      <c r="I3645">
        <f>IF(A3645="","",IF(AND(E3645&gt;=4,F3645&gt;=4,G3645&gt;=4),"Juara",IF(AND(F3645&gt;=4,E3645&gt;=3),"Setia",IF(AND(E3645=5,F3645&lt;=2,G3645&gt;=3),"Berpotensi",IF(AND(E3645&lt;=3,E3645&gt;=2,F3645&gt;=3),"Rawan",IF(AND(E3645&lt;=2,F3645&lt;=2),"Tidur","Umum"))))))</f>
        <v/>
      </c>
    </row>
    <row r="3646">
      <c r="B3646">
        <f>IF(A3646="","",$B$1-MAXIFS(Donasi!$A$2:$A$20000,Donasi!$B$2:$B$20000,A3646))</f>
        <v/>
      </c>
      <c r="C3646">
        <f>IF(A3646="","",COUNTIF(Donasi!$B$2:$B$20000,A3646))</f>
        <v/>
      </c>
      <c r="D3646">
        <f>IF(A3646="","",SUMIF(Donasi!$B$2:$B$20000,A3646,Donasi!$C$2:$C$20000))</f>
        <v/>
      </c>
      <c r="E3646">
        <f>IF(A3646="","",6-CEILING(PERCENTRANK.INC($B$3:$B$6000,B3646,4)*5+0.000001,1))</f>
        <v/>
      </c>
      <c r="F3646">
        <f>IF(A3646="","",MAX(1,CEILING(PERCENTRANK.INC($C$3:$C$6000,C3646,4)*5+0.000001,1)))</f>
        <v/>
      </c>
      <c r="G3646">
        <f>IF(A3646="","",MAX(1,CEILING(PERCENTRANK.INC($D$3:$D$6000,D3646,4)*5+0.000001,1)))</f>
        <v/>
      </c>
      <c r="H3646">
        <f>IF(A3646="","",E3646&amp;F3646&amp;G3646)</f>
        <v/>
      </c>
      <c r="I3646">
        <f>IF(A3646="","",IF(AND(E3646&gt;=4,F3646&gt;=4,G3646&gt;=4),"Juara",IF(AND(F3646&gt;=4,E3646&gt;=3),"Setia",IF(AND(E3646=5,F3646&lt;=2,G3646&gt;=3),"Berpotensi",IF(AND(E3646&lt;=3,E3646&gt;=2,F3646&gt;=3),"Rawan",IF(AND(E3646&lt;=2,F3646&lt;=2),"Tidur","Umum"))))))</f>
        <v/>
      </c>
    </row>
    <row r="3647">
      <c r="B3647">
        <f>IF(A3647="","",$B$1-MAXIFS(Donasi!$A$2:$A$20000,Donasi!$B$2:$B$20000,A3647))</f>
        <v/>
      </c>
      <c r="C3647">
        <f>IF(A3647="","",COUNTIF(Donasi!$B$2:$B$20000,A3647))</f>
        <v/>
      </c>
      <c r="D3647">
        <f>IF(A3647="","",SUMIF(Donasi!$B$2:$B$20000,A3647,Donasi!$C$2:$C$20000))</f>
        <v/>
      </c>
      <c r="E3647">
        <f>IF(A3647="","",6-CEILING(PERCENTRANK.INC($B$3:$B$6000,B3647,4)*5+0.000001,1))</f>
        <v/>
      </c>
      <c r="F3647">
        <f>IF(A3647="","",MAX(1,CEILING(PERCENTRANK.INC($C$3:$C$6000,C3647,4)*5+0.000001,1)))</f>
        <v/>
      </c>
      <c r="G3647">
        <f>IF(A3647="","",MAX(1,CEILING(PERCENTRANK.INC($D$3:$D$6000,D3647,4)*5+0.000001,1)))</f>
        <v/>
      </c>
      <c r="H3647">
        <f>IF(A3647="","",E3647&amp;F3647&amp;G3647)</f>
        <v/>
      </c>
      <c r="I3647">
        <f>IF(A3647="","",IF(AND(E3647&gt;=4,F3647&gt;=4,G3647&gt;=4),"Juara",IF(AND(F3647&gt;=4,E3647&gt;=3),"Setia",IF(AND(E3647=5,F3647&lt;=2,G3647&gt;=3),"Berpotensi",IF(AND(E3647&lt;=3,E3647&gt;=2,F3647&gt;=3),"Rawan",IF(AND(E3647&lt;=2,F3647&lt;=2),"Tidur","Umum"))))))</f>
        <v/>
      </c>
    </row>
    <row r="3648">
      <c r="B3648">
        <f>IF(A3648="","",$B$1-MAXIFS(Donasi!$A$2:$A$20000,Donasi!$B$2:$B$20000,A3648))</f>
        <v/>
      </c>
      <c r="C3648">
        <f>IF(A3648="","",COUNTIF(Donasi!$B$2:$B$20000,A3648))</f>
        <v/>
      </c>
      <c r="D3648">
        <f>IF(A3648="","",SUMIF(Donasi!$B$2:$B$20000,A3648,Donasi!$C$2:$C$20000))</f>
        <v/>
      </c>
      <c r="E3648">
        <f>IF(A3648="","",6-CEILING(PERCENTRANK.INC($B$3:$B$6000,B3648,4)*5+0.000001,1))</f>
        <v/>
      </c>
      <c r="F3648">
        <f>IF(A3648="","",MAX(1,CEILING(PERCENTRANK.INC($C$3:$C$6000,C3648,4)*5+0.000001,1)))</f>
        <v/>
      </c>
      <c r="G3648">
        <f>IF(A3648="","",MAX(1,CEILING(PERCENTRANK.INC($D$3:$D$6000,D3648,4)*5+0.000001,1)))</f>
        <v/>
      </c>
      <c r="H3648">
        <f>IF(A3648="","",E3648&amp;F3648&amp;G3648)</f>
        <v/>
      </c>
      <c r="I3648">
        <f>IF(A3648="","",IF(AND(E3648&gt;=4,F3648&gt;=4,G3648&gt;=4),"Juara",IF(AND(F3648&gt;=4,E3648&gt;=3),"Setia",IF(AND(E3648=5,F3648&lt;=2,G3648&gt;=3),"Berpotensi",IF(AND(E3648&lt;=3,E3648&gt;=2,F3648&gt;=3),"Rawan",IF(AND(E3648&lt;=2,F3648&lt;=2),"Tidur","Umum"))))))</f>
        <v/>
      </c>
    </row>
    <row r="3649">
      <c r="B3649">
        <f>IF(A3649="","",$B$1-MAXIFS(Donasi!$A$2:$A$20000,Donasi!$B$2:$B$20000,A3649))</f>
        <v/>
      </c>
      <c r="C3649">
        <f>IF(A3649="","",COUNTIF(Donasi!$B$2:$B$20000,A3649))</f>
        <v/>
      </c>
      <c r="D3649">
        <f>IF(A3649="","",SUMIF(Donasi!$B$2:$B$20000,A3649,Donasi!$C$2:$C$20000))</f>
        <v/>
      </c>
      <c r="E3649">
        <f>IF(A3649="","",6-CEILING(PERCENTRANK.INC($B$3:$B$6000,B3649,4)*5+0.000001,1))</f>
        <v/>
      </c>
      <c r="F3649">
        <f>IF(A3649="","",MAX(1,CEILING(PERCENTRANK.INC($C$3:$C$6000,C3649,4)*5+0.000001,1)))</f>
        <v/>
      </c>
      <c r="G3649">
        <f>IF(A3649="","",MAX(1,CEILING(PERCENTRANK.INC($D$3:$D$6000,D3649,4)*5+0.000001,1)))</f>
        <v/>
      </c>
      <c r="H3649">
        <f>IF(A3649="","",E3649&amp;F3649&amp;G3649)</f>
        <v/>
      </c>
      <c r="I3649">
        <f>IF(A3649="","",IF(AND(E3649&gt;=4,F3649&gt;=4,G3649&gt;=4),"Juara",IF(AND(F3649&gt;=4,E3649&gt;=3),"Setia",IF(AND(E3649=5,F3649&lt;=2,G3649&gt;=3),"Berpotensi",IF(AND(E3649&lt;=3,E3649&gt;=2,F3649&gt;=3),"Rawan",IF(AND(E3649&lt;=2,F3649&lt;=2),"Tidur","Umum"))))))</f>
        <v/>
      </c>
    </row>
    <row r="3650">
      <c r="B3650">
        <f>IF(A3650="","",$B$1-MAXIFS(Donasi!$A$2:$A$20000,Donasi!$B$2:$B$20000,A3650))</f>
        <v/>
      </c>
      <c r="C3650">
        <f>IF(A3650="","",COUNTIF(Donasi!$B$2:$B$20000,A3650))</f>
        <v/>
      </c>
      <c r="D3650">
        <f>IF(A3650="","",SUMIF(Donasi!$B$2:$B$20000,A3650,Donasi!$C$2:$C$20000))</f>
        <v/>
      </c>
      <c r="E3650">
        <f>IF(A3650="","",6-CEILING(PERCENTRANK.INC($B$3:$B$6000,B3650,4)*5+0.000001,1))</f>
        <v/>
      </c>
      <c r="F3650">
        <f>IF(A3650="","",MAX(1,CEILING(PERCENTRANK.INC($C$3:$C$6000,C3650,4)*5+0.000001,1)))</f>
        <v/>
      </c>
      <c r="G3650">
        <f>IF(A3650="","",MAX(1,CEILING(PERCENTRANK.INC($D$3:$D$6000,D3650,4)*5+0.000001,1)))</f>
        <v/>
      </c>
      <c r="H3650">
        <f>IF(A3650="","",E3650&amp;F3650&amp;G3650)</f>
        <v/>
      </c>
      <c r="I3650">
        <f>IF(A3650="","",IF(AND(E3650&gt;=4,F3650&gt;=4,G3650&gt;=4),"Juara",IF(AND(F3650&gt;=4,E3650&gt;=3),"Setia",IF(AND(E3650=5,F3650&lt;=2,G3650&gt;=3),"Berpotensi",IF(AND(E3650&lt;=3,E3650&gt;=2,F3650&gt;=3),"Rawan",IF(AND(E3650&lt;=2,F3650&lt;=2),"Tidur","Umum"))))))</f>
        <v/>
      </c>
    </row>
    <row r="3651">
      <c r="B3651">
        <f>IF(A3651="","",$B$1-MAXIFS(Donasi!$A$2:$A$20000,Donasi!$B$2:$B$20000,A3651))</f>
        <v/>
      </c>
      <c r="C3651">
        <f>IF(A3651="","",COUNTIF(Donasi!$B$2:$B$20000,A3651))</f>
        <v/>
      </c>
      <c r="D3651">
        <f>IF(A3651="","",SUMIF(Donasi!$B$2:$B$20000,A3651,Donasi!$C$2:$C$20000))</f>
        <v/>
      </c>
      <c r="E3651">
        <f>IF(A3651="","",6-CEILING(PERCENTRANK.INC($B$3:$B$6000,B3651,4)*5+0.000001,1))</f>
        <v/>
      </c>
      <c r="F3651">
        <f>IF(A3651="","",MAX(1,CEILING(PERCENTRANK.INC($C$3:$C$6000,C3651,4)*5+0.000001,1)))</f>
        <v/>
      </c>
      <c r="G3651">
        <f>IF(A3651="","",MAX(1,CEILING(PERCENTRANK.INC($D$3:$D$6000,D3651,4)*5+0.000001,1)))</f>
        <v/>
      </c>
      <c r="H3651">
        <f>IF(A3651="","",E3651&amp;F3651&amp;G3651)</f>
        <v/>
      </c>
      <c r="I3651">
        <f>IF(A3651="","",IF(AND(E3651&gt;=4,F3651&gt;=4,G3651&gt;=4),"Juara",IF(AND(F3651&gt;=4,E3651&gt;=3),"Setia",IF(AND(E3651=5,F3651&lt;=2,G3651&gt;=3),"Berpotensi",IF(AND(E3651&lt;=3,E3651&gt;=2,F3651&gt;=3),"Rawan",IF(AND(E3651&lt;=2,F3651&lt;=2),"Tidur","Umum"))))))</f>
        <v/>
      </c>
    </row>
    <row r="3652">
      <c r="B3652">
        <f>IF(A3652="","",$B$1-MAXIFS(Donasi!$A$2:$A$20000,Donasi!$B$2:$B$20000,A3652))</f>
        <v/>
      </c>
      <c r="C3652">
        <f>IF(A3652="","",COUNTIF(Donasi!$B$2:$B$20000,A3652))</f>
        <v/>
      </c>
      <c r="D3652">
        <f>IF(A3652="","",SUMIF(Donasi!$B$2:$B$20000,A3652,Donasi!$C$2:$C$20000))</f>
        <v/>
      </c>
      <c r="E3652">
        <f>IF(A3652="","",6-CEILING(PERCENTRANK.INC($B$3:$B$6000,B3652,4)*5+0.000001,1))</f>
        <v/>
      </c>
      <c r="F3652">
        <f>IF(A3652="","",MAX(1,CEILING(PERCENTRANK.INC($C$3:$C$6000,C3652,4)*5+0.000001,1)))</f>
        <v/>
      </c>
      <c r="G3652">
        <f>IF(A3652="","",MAX(1,CEILING(PERCENTRANK.INC($D$3:$D$6000,D3652,4)*5+0.000001,1)))</f>
        <v/>
      </c>
      <c r="H3652">
        <f>IF(A3652="","",E3652&amp;F3652&amp;G3652)</f>
        <v/>
      </c>
      <c r="I3652">
        <f>IF(A3652="","",IF(AND(E3652&gt;=4,F3652&gt;=4,G3652&gt;=4),"Juara",IF(AND(F3652&gt;=4,E3652&gt;=3),"Setia",IF(AND(E3652=5,F3652&lt;=2,G3652&gt;=3),"Berpotensi",IF(AND(E3652&lt;=3,E3652&gt;=2,F3652&gt;=3),"Rawan",IF(AND(E3652&lt;=2,F3652&lt;=2),"Tidur","Umum"))))))</f>
        <v/>
      </c>
    </row>
    <row r="3653">
      <c r="B3653">
        <f>IF(A3653="","",$B$1-MAXIFS(Donasi!$A$2:$A$20000,Donasi!$B$2:$B$20000,A3653))</f>
        <v/>
      </c>
      <c r="C3653">
        <f>IF(A3653="","",COUNTIF(Donasi!$B$2:$B$20000,A3653))</f>
        <v/>
      </c>
      <c r="D3653">
        <f>IF(A3653="","",SUMIF(Donasi!$B$2:$B$20000,A3653,Donasi!$C$2:$C$20000))</f>
        <v/>
      </c>
      <c r="E3653">
        <f>IF(A3653="","",6-CEILING(PERCENTRANK.INC($B$3:$B$6000,B3653,4)*5+0.000001,1))</f>
        <v/>
      </c>
      <c r="F3653">
        <f>IF(A3653="","",MAX(1,CEILING(PERCENTRANK.INC($C$3:$C$6000,C3653,4)*5+0.000001,1)))</f>
        <v/>
      </c>
      <c r="G3653">
        <f>IF(A3653="","",MAX(1,CEILING(PERCENTRANK.INC($D$3:$D$6000,D3653,4)*5+0.000001,1)))</f>
        <v/>
      </c>
      <c r="H3653">
        <f>IF(A3653="","",E3653&amp;F3653&amp;G3653)</f>
        <v/>
      </c>
      <c r="I3653">
        <f>IF(A3653="","",IF(AND(E3653&gt;=4,F3653&gt;=4,G3653&gt;=4),"Juara",IF(AND(F3653&gt;=4,E3653&gt;=3),"Setia",IF(AND(E3653=5,F3653&lt;=2,G3653&gt;=3),"Berpotensi",IF(AND(E3653&lt;=3,E3653&gt;=2,F3653&gt;=3),"Rawan",IF(AND(E3653&lt;=2,F3653&lt;=2),"Tidur","Umum"))))))</f>
        <v/>
      </c>
    </row>
    <row r="3654">
      <c r="B3654">
        <f>IF(A3654="","",$B$1-MAXIFS(Donasi!$A$2:$A$20000,Donasi!$B$2:$B$20000,A3654))</f>
        <v/>
      </c>
      <c r="C3654">
        <f>IF(A3654="","",COUNTIF(Donasi!$B$2:$B$20000,A3654))</f>
        <v/>
      </c>
      <c r="D3654">
        <f>IF(A3654="","",SUMIF(Donasi!$B$2:$B$20000,A3654,Donasi!$C$2:$C$20000))</f>
        <v/>
      </c>
      <c r="E3654">
        <f>IF(A3654="","",6-CEILING(PERCENTRANK.INC($B$3:$B$6000,B3654,4)*5+0.000001,1))</f>
        <v/>
      </c>
      <c r="F3654">
        <f>IF(A3654="","",MAX(1,CEILING(PERCENTRANK.INC($C$3:$C$6000,C3654,4)*5+0.000001,1)))</f>
        <v/>
      </c>
      <c r="G3654">
        <f>IF(A3654="","",MAX(1,CEILING(PERCENTRANK.INC($D$3:$D$6000,D3654,4)*5+0.000001,1)))</f>
        <v/>
      </c>
      <c r="H3654">
        <f>IF(A3654="","",E3654&amp;F3654&amp;G3654)</f>
        <v/>
      </c>
      <c r="I3654">
        <f>IF(A3654="","",IF(AND(E3654&gt;=4,F3654&gt;=4,G3654&gt;=4),"Juara",IF(AND(F3654&gt;=4,E3654&gt;=3),"Setia",IF(AND(E3654=5,F3654&lt;=2,G3654&gt;=3),"Berpotensi",IF(AND(E3654&lt;=3,E3654&gt;=2,F3654&gt;=3),"Rawan",IF(AND(E3654&lt;=2,F3654&lt;=2),"Tidur","Umum"))))))</f>
        <v/>
      </c>
    </row>
    <row r="3655">
      <c r="B3655">
        <f>IF(A3655="","",$B$1-MAXIFS(Donasi!$A$2:$A$20000,Donasi!$B$2:$B$20000,A3655))</f>
        <v/>
      </c>
      <c r="C3655">
        <f>IF(A3655="","",COUNTIF(Donasi!$B$2:$B$20000,A3655))</f>
        <v/>
      </c>
      <c r="D3655">
        <f>IF(A3655="","",SUMIF(Donasi!$B$2:$B$20000,A3655,Donasi!$C$2:$C$20000))</f>
        <v/>
      </c>
      <c r="E3655">
        <f>IF(A3655="","",6-CEILING(PERCENTRANK.INC($B$3:$B$6000,B3655,4)*5+0.000001,1))</f>
        <v/>
      </c>
      <c r="F3655">
        <f>IF(A3655="","",MAX(1,CEILING(PERCENTRANK.INC($C$3:$C$6000,C3655,4)*5+0.000001,1)))</f>
        <v/>
      </c>
      <c r="G3655">
        <f>IF(A3655="","",MAX(1,CEILING(PERCENTRANK.INC($D$3:$D$6000,D3655,4)*5+0.000001,1)))</f>
        <v/>
      </c>
      <c r="H3655">
        <f>IF(A3655="","",E3655&amp;F3655&amp;G3655)</f>
        <v/>
      </c>
      <c r="I3655">
        <f>IF(A3655="","",IF(AND(E3655&gt;=4,F3655&gt;=4,G3655&gt;=4),"Juara",IF(AND(F3655&gt;=4,E3655&gt;=3),"Setia",IF(AND(E3655=5,F3655&lt;=2,G3655&gt;=3),"Berpotensi",IF(AND(E3655&lt;=3,E3655&gt;=2,F3655&gt;=3),"Rawan",IF(AND(E3655&lt;=2,F3655&lt;=2),"Tidur","Umum"))))))</f>
        <v/>
      </c>
    </row>
    <row r="3656">
      <c r="B3656">
        <f>IF(A3656="","",$B$1-MAXIFS(Donasi!$A$2:$A$20000,Donasi!$B$2:$B$20000,A3656))</f>
        <v/>
      </c>
      <c r="C3656">
        <f>IF(A3656="","",COUNTIF(Donasi!$B$2:$B$20000,A3656))</f>
        <v/>
      </c>
      <c r="D3656">
        <f>IF(A3656="","",SUMIF(Donasi!$B$2:$B$20000,A3656,Donasi!$C$2:$C$20000))</f>
        <v/>
      </c>
      <c r="E3656">
        <f>IF(A3656="","",6-CEILING(PERCENTRANK.INC($B$3:$B$6000,B3656,4)*5+0.000001,1))</f>
        <v/>
      </c>
      <c r="F3656">
        <f>IF(A3656="","",MAX(1,CEILING(PERCENTRANK.INC($C$3:$C$6000,C3656,4)*5+0.000001,1)))</f>
        <v/>
      </c>
      <c r="G3656">
        <f>IF(A3656="","",MAX(1,CEILING(PERCENTRANK.INC($D$3:$D$6000,D3656,4)*5+0.000001,1)))</f>
        <v/>
      </c>
      <c r="H3656">
        <f>IF(A3656="","",E3656&amp;F3656&amp;G3656)</f>
        <v/>
      </c>
      <c r="I3656">
        <f>IF(A3656="","",IF(AND(E3656&gt;=4,F3656&gt;=4,G3656&gt;=4),"Juara",IF(AND(F3656&gt;=4,E3656&gt;=3),"Setia",IF(AND(E3656=5,F3656&lt;=2,G3656&gt;=3),"Berpotensi",IF(AND(E3656&lt;=3,E3656&gt;=2,F3656&gt;=3),"Rawan",IF(AND(E3656&lt;=2,F3656&lt;=2),"Tidur","Umum"))))))</f>
        <v/>
      </c>
    </row>
    <row r="3657">
      <c r="B3657">
        <f>IF(A3657="","",$B$1-MAXIFS(Donasi!$A$2:$A$20000,Donasi!$B$2:$B$20000,A3657))</f>
        <v/>
      </c>
      <c r="C3657">
        <f>IF(A3657="","",COUNTIF(Donasi!$B$2:$B$20000,A3657))</f>
        <v/>
      </c>
      <c r="D3657">
        <f>IF(A3657="","",SUMIF(Donasi!$B$2:$B$20000,A3657,Donasi!$C$2:$C$20000))</f>
        <v/>
      </c>
      <c r="E3657">
        <f>IF(A3657="","",6-CEILING(PERCENTRANK.INC($B$3:$B$6000,B3657,4)*5+0.000001,1))</f>
        <v/>
      </c>
      <c r="F3657">
        <f>IF(A3657="","",MAX(1,CEILING(PERCENTRANK.INC($C$3:$C$6000,C3657,4)*5+0.000001,1)))</f>
        <v/>
      </c>
      <c r="G3657">
        <f>IF(A3657="","",MAX(1,CEILING(PERCENTRANK.INC($D$3:$D$6000,D3657,4)*5+0.000001,1)))</f>
        <v/>
      </c>
      <c r="H3657">
        <f>IF(A3657="","",E3657&amp;F3657&amp;G3657)</f>
        <v/>
      </c>
      <c r="I3657">
        <f>IF(A3657="","",IF(AND(E3657&gt;=4,F3657&gt;=4,G3657&gt;=4),"Juara",IF(AND(F3657&gt;=4,E3657&gt;=3),"Setia",IF(AND(E3657=5,F3657&lt;=2,G3657&gt;=3),"Berpotensi",IF(AND(E3657&lt;=3,E3657&gt;=2,F3657&gt;=3),"Rawan",IF(AND(E3657&lt;=2,F3657&lt;=2),"Tidur","Umum"))))))</f>
        <v/>
      </c>
    </row>
    <row r="3658">
      <c r="B3658">
        <f>IF(A3658="","",$B$1-MAXIFS(Donasi!$A$2:$A$20000,Donasi!$B$2:$B$20000,A3658))</f>
        <v/>
      </c>
      <c r="C3658">
        <f>IF(A3658="","",COUNTIF(Donasi!$B$2:$B$20000,A3658))</f>
        <v/>
      </c>
      <c r="D3658">
        <f>IF(A3658="","",SUMIF(Donasi!$B$2:$B$20000,A3658,Donasi!$C$2:$C$20000))</f>
        <v/>
      </c>
      <c r="E3658">
        <f>IF(A3658="","",6-CEILING(PERCENTRANK.INC($B$3:$B$6000,B3658,4)*5+0.000001,1))</f>
        <v/>
      </c>
      <c r="F3658">
        <f>IF(A3658="","",MAX(1,CEILING(PERCENTRANK.INC($C$3:$C$6000,C3658,4)*5+0.000001,1)))</f>
        <v/>
      </c>
      <c r="G3658">
        <f>IF(A3658="","",MAX(1,CEILING(PERCENTRANK.INC($D$3:$D$6000,D3658,4)*5+0.000001,1)))</f>
        <v/>
      </c>
      <c r="H3658">
        <f>IF(A3658="","",E3658&amp;F3658&amp;G3658)</f>
        <v/>
      </c>
      <c r="I3658">
        <f>IF(A3658="","",IF(AND(E3658&gt;=4,F3658&gt;=4,G3658&gt;=4),"Juara",IF(AND(F3658&gt;=4,E3658&gt;=3),"Setia",IF(AND(E3658=5,F3658&lt;=2,G3658&gt;=3),"Berpotensi",IF(AND(E3658&lt;=3,E3658&gt;=2,F3658&gt;=3),"Rawan",IF(AND(E3658&lt;=2,F3658&lt;=2),"Tidur","Umum"))))))</f>
        <v/>
      </c>
    </row>
    <row r="3659">
      <c r="B3659">
        <f>IF(A3659="","",$B$1-MAXIFS(Donasi!$A$2:$A$20000,Donasi!$B$2:$B$20000,A3659))</f>
        <v/>
      </c>
      <c r="C3659">
        <f>IF(A3659="","",COUNTIF(Donasi!$B$2:$B$20000,A3659))</f>
        <v/>
      </c>
      <c r="D3659">
        <f>IF(A3659="","",SUMIF(Donasi!$B$2:$B$20000,A3659,Donasi!$C$2:$C$20000))</f>
        <v/>
      </c>
      <c r="E3659">
        <f>IF(A3659="","",6-CEILING(PERCENTRANK.INC($B$3:$B$6000,B3659,4)*5+0.000001,1))</f>
        <v/>
      </c>
      <c r="F3659">
        <f>IF(A3659="","",MAX(1,CEILING(PERCENTRANK.INC($C$3:$C$6000,C3659,4)*5+0.000001,1)))</f>
        <v/>
      </c>
      <c r="G3659">
        <f>IF(A3659="","",MAX(1,CEILING(PERCENTRANK.INC($D$3:$D$6000,D3659,4)*5+0.000001,1)))</f>
        <v/>
      </c>
      <c r="H3659">
        <f>IF(A3659="","",E3659&amp;F3659&amp;G3659)</f>
        <v/>
      </c>
      <c r="I3659">
        <f>IF(A3659="","",IF(AND(E3659&gt;=4,F3659&gt;=4,G3659&gt;=4),"Juara",IF(AND(F3659&gt;=4,E3659&gt;=3),"Setia",IF(AND(E3659=5,F3659&lt;=2,G3659&gt;=3),"Berpotensi",IF(AND(E3659&lt;=3,E3659&gt;=2,F3659&gt;=3),"Rawan",IF(AND(E3659&lt;=2,F3659&lt;=2),"Tidur","Umum"))))))</f>
        <v/>
      </c>
    </row>
    <row r="3660">
      <c r="B3660">
        <f>IF(A3660="","",$B$1-MAXIFS(Donasi!$A$2:$A$20000,Donasi!$B$2:$B$20000,A3660))</f>
        <v/>
      </c>
      <c r="C3660">
        <f>IF(A3660="","",COUNTIF(Donasi!$B$2:$B$20000,A3660))</f>
        <v/>
      </c>
      <c r="D3660">
        <f>IF(A3660="","",SUMIF(Donasi!$B$2:$B$20000,A3660,Donasi!$C$2:$C$20000))</f>
        <v/>
      </c>
      <c r="E3660">
        <f>IF(A3660="","",6-CEILING(PERCENTRANK.INC($B$3:$B$6000,B3660,4)*5+0.000001,1))</f>
        <v/>
      </c>
      <c r="F3660">
        <f>IF(A3660="","",MAX(1,CEILING(PERCENTRANK.INC($C$3:$C$6000,C3660,4)*5+0.000001,1)))</f>
        <v/>
      </c>
      <c r="G3660">
        <f>IF(A3660="","",MAX(1,CEILING(PERCENTRANK.INC($D$3:$D$6000,D3660,4)*5+0.000001,1)))</f>
        <v/>
      </c>
      <c r="H3660">
        <f>IF(A3660="","",E3660&amp;F3660&amp;G3660)</f>
        <v/>
      </c>
      <c r="I3660">
        <f>IF(A3660="","",IF(AND(E3660&gt;=4,F3660&gt;=4,G3660&gt;=4),"Juara",IF(AND(F3660&gt;=4,E3660&gt;=3),"Setia",IF(AND(E3660=5,F3660&lt;=2,G3660&gt;=3),"Berpotensi",IF(AND(E3660&lt;=3,E3660&gt;=2,F3660&gt;=3),"Rawan",IF(AND(E3660&lt;=2,F3660&lt;=2),"Tidur","Umum"))))))</f>
        <v/>
      </c>
    </row>
    <row r="3661">
      <c r="B3661">
        <f>IF(A3661="","",$B$1-MAXIFS(Donasi!$A$2:$A$20000,Donasi!$B$2:$B$20000,A3661))</f>
        <v/>
      </c>
      <c r="C3661">
        <f>IF(A3661="","",COUNTIF(Donasi!$B$2:$B$20000,A3661))</f>
        <v/>
      </c>
      <c r="D3661">
        <f>IF(A3661="","",SUMIF(Donasi!$B$2:$B$20000,A3661,Donasi!$C$2:$C$20000))</f>
        <v/>
      </c>
      <c r="E3661">
        <f>IF(A3661="","",6-CEILING(PERCENTRANK.INC($B$3:$B$6000,B3661,4)*5+0.000001,1))</f>
        <v/>
      </c>
      <c r="F3661">
        <f>IF(A3661="","",MAX(1,CEILING(PERCENTRANK.INC($C$3:$C$6000,C3661,4)*5+0.000001,1)))</f>
        <v/>
      </c>
      <c r="G3661">
        <f>IF(A3661="","",MAX(1,CEILING(PERCENTRANK.INC($D$3:$D$6000,D3661,4)*5+0.000001,1)))</f>
        <v/>
      </c>
      <c r="H3661">
        <f>IF(A3661="","",E3661&amp;F3661&amp;G3661)</f>
        <v/>
      </c>
      <c r="I3661">
        <f>IF(A3661="","",IF(AND(E3661&gt;=4,F3661&gt;=4,G3661&gt;=4),"Juara",IF(AND(F3661&gt;=4,E3661&gt;=3),"Setia",IF(AND(E3661=5,F3661&lt;=2,G3661&gt;=3),"Berpotensi",IF(AND(E3661&lt;=3,E3661&gt;=2,F3661&gt;=3),"Rawan",IF(AND(E3661&lt;=2,F3661&lt;=2),"Tidur","Umum"))))))</f>
        <v/>
      </c>
    </row>
    <row r="3662">
      <c r="B3662">
        <f>IF(A3662="","",$B$1-MAXIFS(Donasi!$A$2:$A$20000,Donasi!$B$2:$B$20000,A3662))</f>
        <v/>
      </c>
      <c r="C3662">
        <f>IF(A3662="","",COUNTIF(Donasi!$B$2:$B$20000,A3662))</f>
        <v/>
      </c>
      <c r="D3662">
        <f>IF(A3662="","",SUMIF(Donasi!$B$2:$B$20000,A3662,Donasi!$C$2:$C$20000))</f>
        <v/>
      </c>
      <c r="E3662">
        <f>IF(A3662="","",6-CEILING(PERCENTRANK.INC($B$3:$B$6000,B3662,4)*5+0.000001,1))</f>
        <v/>
      </c>
      <c r="F3662">
        <f>IF(A3662="","",MAX(1,CEILING(PERCENTRANK.INC($C$3:$C$6000,C3662,4)*5+0.000001,1)))</f>
        <v/>
      </c>
      <c r="G3662">
        <f>IF(A3662="","",MAX(1,CEILING(PERCENTRANK.INC($D$3:$D$6000,D3662,4)*5+0.000001,1)))</f>
        <v/>
      </c>
      <c r="H3662">
        <f>IF(A3662="","",E3662&amp;F3662&amp;G3662)</f>
        <v/>
      </c>
      <c r="I3662">
        <f>IF(A3662="","",IF(AND(E3662&gt;=4,F3662&gt;=4,G3662&gt;=4),"Juara",IF(AND(F3662&gt;=4,E3662&gt;=3),"Setia",IF(AND(E3662=5,F3662&lt;=2,G3662&gt;=3),"Berpotensi",IF(AND(E3662&lt;=3,E3662&gt;=2,F3662&gt;=3),"Rawan",IF(AND(E3662&lt;=2,F3662&lt;=2),"Tidur","Umum"))))))</f>
        <v/>
      </c>
    </row>
    <row r="3663">
      <c r="B3663">
        <f>IF(A3663="","",$B$1-MAXIFS(Donasi!$A$2:$A$20000,Donasi!$B$2:$B$20000,A3663))</f>
        <v/>
      </c>
      <c r="C3663">
        <f>IF(A3663="","",COUNTIF(Donasi!$B$2:$B$20000,A3663))</f>
        <v/>
      </c>
      <c r="D3663">
        <f>IF(A3663="","",SUMIF(Donasi!$B$2:$B$20000,A3663,Donasi!$C$2:$C$20000))</f>
        <v/>
      </c>
      <c r="E3663">
        <f>IF(A3663="","",6-CEILING(PERCENTRANK.INC($B$3:$B$6000,B3663,4)*5+0.000001,1))</f>
        <v/>
      </c>
      <c r="F3663">
        <f>IF(A3663="","",MAX(1,CEILING(PERCENTRANK.INC($C$3:$C$6000,C3663,4)*5+0.000001,1)))</f>
        <v/>
      </c>
      <c r="G3663">
        <f>IF(A3663="","",MAX(1,CEILING(PERCENTRANK.INC($D$3:$D$6000,D3663,4)*5+0.000001,1)))</f>
        <v/>
      </c>
      <c r="H3663">
        <f>IF(A3663="","",E3663&amp;F3663&amp;G3663)</f>
        <v/>
      </c>
      <c r="I3663">
        <f>IF(A3663="","",IF(AND(E3663&gt;=4,F3663&gt;=4,G3663&gt;=4),"Juara",IF(AND(F3663&gt;=4,E3663&gt;=3),"Setia",IF(AND(E3663=5,F3663&lt;=2,G3663&gt;=3),"Berpotensi",IF(AND(E3663&lt;=3,E3663&gt;=2,F3663&gt;=3),"Rawan",IF(AND(E3663&lt;=2,F3663&lt;=2),"Tidur","Umum"))))))</f>
        <v/>
      </c>
    </row>
    <row r="3664">
      <c r="B3664">
        <f>IF(A3664="","",$B$1-MAXIFS(Donasi!$A$2:$A$20000,Donasi!$B$2:$B$20000,A3664))</f>
        <v/>
      </c>
      <c r="C3664">
        <f>IF(A3664="","",COUNTIF(Donasi!$B$2:$B$20000,A3664))</f>
        <v/>
      </c>
      <c r="D3664">
        <f>IF(A3664="","",SUMIF(Donasi!$B$2:$B$20000,A3664,Donasi!$C$2:$C$20000))</f>
        <v/>
      </c>
      <c r="E3664">
        <f>IF(A3664="","",6-CEILING(PERCENTRANK.INC($B$3:$B$6000,B3664,4)*5+0.000001,1))</f>
        <v/>
      </c>
      <c r="F3664">
        <f>IF(A3664="","",MAX(1,CEILING(PERCENTRANK.INC($C$3:$C$6000,C3664,4)*5+0.000001,1)))</f>
        <v/>
      </c>
      <c r="G3664">
        <f>IF(A3664="","",MAX(1,CEILING(PERCENTRANK.INC($D$3:$D$6000,D3664,4)*5+0.000001,1)))</f>
        <v/>
      </c>
      <c r="H3664">
        <f>IF(A3664="","",E3664&amp;F3664&amp;G3664)</f>
        <v/>
      </c>
      <c r="I3664">
        <f>IF(A3664="","",IF(AND(E3664&gt;=4,F3664&gt;=4,G3664&gt;=4),"Juara",IF(AND(F3664&gt;=4,E3664&gt;=3),"Setia",IF(AND(E3664=5,F3664&lt;=2,G3664&gt;=3),"Berpotensi",IF(AND(E3664&lt;=3,E3664&gt;=2,F3664&gt;=3),"Rawan",IF(AND(E3664&lt;=2,F3664&lt;=2),"Tidur","Umum"))))))</f>
        <v/>
      </c>
    </row>
    <row r="3665">
      <c r="B3665">
        <f>IF(A3665="","",$B$1-MAXIFS(Donasi!$A$2:$A$20000,Donasi!$B$2:$B$20000,A3665))</f>
        <v/>
      </c>
      <c r="C3665">
        <f>IF(A3665="","",COUNTIF(Donasi!$B$2:$B$20000,A3665))</f>
        <v/>
      </c>
      <c r="D3665">
        <f>IF(A3665="","",SUMIF(Donasi!$B$2:$B$20000,A3665,Donasi!$C$2:$C$20000))</f>
        <v/>
      </c>
      <c r="E3665">
        <f>IF(A3665="","",6-CEILING(PERCENTRANK.INC($B$3:$B$6000,B3665,4)*5+0.000001,1))</f>
        <v/>
      </c>
      <c r="F3665">
        <f>IF(A3665="","",MAX(1,CEILING(PERCENTRANK.INC($C$3:$C$6000,C3665,4)*5+0.000001,1)))</f>
        <v/>
      </c>
      <c r="G3665">
        <f>IF(A3665="","",MAX(1,CEILING(PERCENTRANK.INC($D$3:$D$6000,D3665,4)*5+0.000001,1)))</f>
        <v/>
      </c>
      <c r="H3665">
        <f>IF(A3665="","",E3665&amp;F3665&amp;G3665)</f>
        <v/>
      </c>
      <c r="I3665">
        <f>IF(A3665="","",IF(AND(E3665&gt;=4,F3665&gt;=4,G3665&gt;=4),"Juara",IF(AND(F3665&gt;=4,E3665&gt;=3),"Setia",IF(AND(E3665=5,F3665&lt;=2,G3665&gt;=3),"Berpotensi",IF(AND(E3665&lt;=3,E3665&gt;=2,F3665&gt;=3),"Rawan",IF(AND(E3665&lt;=2,F3665&lt;=2),"Tidur","Umum"))))))</f>
        <v/>
      </c>
    </row>
    <row r="3666">
      <c r="B3666">
        <f>IF(A3666="","",$B$1-MAXIFS(Donasi!$A$2:$A$20000,Donasi!$B$2:$B$20000,A3666))</f>
        <v/>
      </c>
      <c r="C3666">
        <f>IF(A3666="","",COUNTIF(Donasi!$B$2:$B$20000,A3666))</f>
        <v/>
      </c>
      <c r="D3666">
        <f>IF(A3666="","",SUMIF(Donasi!$B$2:$B$20000,A3666,Donasi!$C$2:$C$20000))</f>
        <v/>
      </c>
      <c r="E3666">
        <f>IF(A3666="","",6-CEILING(PERCENTRANK.INC($B$3:$B$6000,B3666,4)*5+0.000001,1))</f>
        <v/>
      </c>
      <c r="F3666">
        <f>IF(A3666="","",MAX(1,CEILING(PERCENTRANK.INC($C$3:$C$6000,C3666,4)*5+0.000001,1)))</f>
        <v/>
      </c>
      <c r="G3666">
        <f>IF(A3666="","",MAX(1,CEILING(PERCENTRANK.INC($D$3:$D$6000,D3666,4)*5+0.000001,1)))</f>
        <v/>
      </c>
      <c r="H3666">
        <f>IF(A3666="","",E3666&amp;F3666&amp;G3666)</f>
        <v/>
      </c>
      <c r="I3666">
        <f>IF(A3666="","",IF(AND(E3666&gt;=4,F3666&gt;=4,G3666&gt;=4),"Juara",IF(AND(F3666&gt;=4,E3666&gt;=3),"Setia",IF(AND(E3666=5,F3666&lt;=2,G3666&gt;=3),"Berpotensi",IF(AND(E3666&lt;=3,E3666&gt;=2,F3666&gt;=3),"Rawan",IF(AND(E3666&lt;=2,F3666&lt;=2),"Tidur","Umum"))))))</f>
        <v/>
      </c>
    </row>
    <row r="3667">
      <c r="B3667">
        <f>IF(A3667="","",$B$1-MAXIFS(Donasi!$A$2:$A$20000,Donasi!$B$2:$B$20000,A3667))</f>
        <v/>
      </c>
      <c r="C3667">
        <f>IF(A3667="","",COUNTIF(Donasi!$B$2:$B$20000,A3667))</f>
        <v/>
      </c>
      <c r="D3667">
        <f>IF(A3667="","",SUMIF(Donasi!$B$2:$B$20000,A3667,Donasi!$C$2:$C$20000))</f>
        <v/>
      </c>
      <c r="E3667">
        <f>IF(A3667="","",6-CEILING(PERCENTRANK.INC($B$3:$B$6000,B3667,4)*5+0.000001,1))</f>
        <v/>
      </c>
      <c r="F3667">
        <f>IF(A3667="","",MAX(1,CEILING(PERCENTRANK.INC($C$3:$C$6000,C3667,4)*5+0.000001,1)))</f>
        <v/>
      </c>
      <c r="G3667">
        <f>IF(A3667="","",MAX(1,CEILING(PERCENTRANK.INC($D$3:$D$6000,D3667,4)*5+0.000001,1)))</f>
        <v/>
      </c>
      <c r="H3667">
        <f>IF(A3667="","",E3667&amp;F3667&amp;G3667)</f>
        <v/>
      </c>
      <c r="I3667">
        <f>IF(A3667="","",IF(AND(E3667&gt;=4,F3667&gt;=4,G3667&gt;=4),"Juara",IF(AND(F3667&gt;=4,E3667&gt;=3),"Setia",IF(AND(E3667=5,F3667&lt;=2,G3667&gt;=3),"Berpotensi",IF(AND(E3667&lt;=3,E3667&gt;=2,F3667&gt;=3),"Rawan",IF(AND(E3667&lt;=2,F3667&lt;=2),"Tidur","Umum"))))))</f>
        <v/>
      </c>
    </row>
    <row r="3668">
      <c r="B3668">
        <f>IF(A3668="","",$B$1-MAXIFS(Donasi!$A$2:$A$20000,Donasi!$B$2:$B$20000,A3668))</f>
        <v/>
      </c>
      <c r="C3668">
        <f>IF(A3668="","",COUNTIF(Donasi!$B$2:$B$20000,A3668))</f>
        <v/>
      </c>
      <c r="D3668">
        <f>IF(A3668="","",SUMIF(Donasi!$B$2:$B$20000,A3668,Donasi!$C$2:$C$20000))</f>
        <v/>
      </c>
      <c r="E3668">
        <f>IF(A3668="","",6-CEILING(PERCENTRANK.INC($B$3:$B$6000,B3668,4)*5+0.000001,1))</f>
        <v/>
      </c>
      <c r="F3668">
        <f>IF(A3668="","",MAX(1,CEILING(PERCENTRANK.INC($C$3:$C$6000,C3668,4)*5+0.000001,1)))</f>
        <v/>
      </c>
      <c r="G3668">
        <f>IF(A3668="","",MAX(1,CEILING(PERCENTRANK.INC($D$3:$D$6000,D3668,4)*5+0.000001,1)))</f>
        <v/>
      </c>
      <c r="H3668">
        <f>IF(A3668="","",E3668&amp;F3668&amp;G3668)</f>
        <v/>
      </c>
      <c r="I3668">
        <f>IF(A3668="","",IF(AND(E3668&gt;=4,F3668&gt;=4,G3668&gt;=4),"Juara",IF(AND(F3668&gt;=4,E3668&gt;=3),"Setia",IF(AND(E3668=5,F3668&lt;=2,G3668&gt;=3),"Berpotensi",IF(AND(E3668&lt;=3,E3668&gt;=2,F3668&gt;=3),"Rawan",IF(AND(E3668&lt;=2,F3668&lt;=2),"Tidur","Umum"))))))</f>
        <v/>
      </c>
    </row>
    <row r="3669">
      <c r="B3669">
        <f>IF(A3669="","",$B$1-MAXIFS(Donasi!$A$2:$A$20000,Donasi!$B$2:$B$20000,A3669))</f>
        <v/>
      </c>
      <c r="C3669">
        <f>IF(A3669="","",COUNTIF(Donasi!$B$2:$B$20000,A3669))</f>
        <v/>
      </c>
      <c r="D3669">
        <f>IF(A3669="","",SUMIF(Donasi!$B$2:$B$20000,A3669,Donasi!$C$2:$C$20000))</f>
        <v/>
      </c>
      <c r="E3669">
        <f>IF(A3669="","",6-CEILING(PERCENTRANK.INC($B$3:$B$6000,B3669,4)*5+0.000001,1))</f>
        <v/>
      </c>
      <c r="F3669">
        <f>IF(A3669="","",MAX(1,CEILING(PERCENTRANK.INC($C$3:$C$6000,C3669,4)*5+0.000001,1)))</f>
        <v/>
      </c>
      <c r="G3669">
        <f>IF(A3669="","",MAX(1,CEILING(PERCENTRANK.INC($D$3:$D$6000,D3669,4)*5+0.000001,1)))</f>
        <v/>
      </c>
      <c r="H3669">
        <f>IF(A3669="","",E3669&amp;F3669&amp;G3669)</f>
        <v/>
      </c>
      <c r="I3669">
        <f>IF(A3669="","",IF(AND(E3669&gt;=4,F3669&gt;=4,G3669&gt;=4),"Juara",IF(AND(F3669&gt;=4,E3669&gt;=3),"Setia",IF(AND(E3669=5,F3669&lt;=2,G3669&gt;=3),"Berpotensi",IF(AND(E3669&lt;=3,E3669&gt;=2,F3669&gt;=3),"Rawan",IF(AND(E3669&lt;=2,F3669&lt;=2),"Tidur","Umum"))))))</f>
        <v/>
      </c>
    </row>
    <row r="3670">
      <c r="B3670">
        <f>IF(A3670="","",$B$1-MAXIFS(Donasi!$A$2:$A$20000,Donasi!$B$2:$B$20000,A3670))</f>
        <v/>
      </c>
      <c r="C3670">
        <f>IF(A3670="","",COUNTIF(Donasi!$B$2:$B$20000,A3670))</f>
        <v/>
      </c>
      <c r="D3670">
        <f>IF(A3670="","",SUMIF(Donasi!$B$2:$B$20000,A3670,Donasi!$C$2:$C$20000))</f>
        <v/>
      </c>
      <c r="E3670">
        <f>IF(A3670="","",6-CEILING(PERCENTRANK.INC($B$3:$B$6000,B3670,4)*5+0.000001,1))</f>
        <v/>
      </c>
      <c r="F3670">
        <f>IF(A3670="","",MAX(1,CEILING(PERCENTRANK.INC($C$3:$C$6000,C3670,4)*5+0.000001,1)))</f>
        <v/>
      </c>
      <c r="G3670">
        <f>IF(A3670="","",MAX(1,CEILING(PERCENTRANK.INC($D$3:$D$6000,D3670,4)*5+0.000001,1)))</f>
        <v/>
      </c>
      <c r="H3670">
        <f>IF(A3670="","",E3670&amp;F3670&amp;G3670)</f>
        <v/>
      </c>
      <c r="I3670">
        <f>IF(A3670="","",IF(AND(E3670&gt;=4,F3670&gt;=4,G3670&gt;=4),"Juara",IF(AND(F3670&gt;=4,E3670&gt;=3),"Setia",IF(AND(E3670=5,F3670&lt;=2,G3670&gt;=3),"Berpotensi",IF(AND(E3670&lt;=3,E3670&gt;=2,F3670&gt;=3),"Rawan",IF(AND(E3670&lt;=2,F3670&lt;=2),"Tidur","Umum"))))))</f>
        <v/>
      </c>
    </row>
    <row r="3671">
      <c r="B3671">
        <f>IF(A3671="","",$B$1-MAXIFS(Donasi!$A$2:$A$20000,Donasi!$B$2:$B$20000,A3671))</f>
        <v/>
      </c>
      <c r="C3671">
        <f>IF(A3671="","",COUNTIF(Donasi!$B$2:$B$20000,A3671))</f>
        <v/>
      </c>
      <c r="D3671">
        <f>IF(A3671="","",SUMIF(Donasi!$B$2:$B$20000,A3671,Donasi!$C$2:$C$20000))</f>
        <v/>
      </c>
      <c r="E3671">
        <f>IF(A3671="","",6-CEILING(PERCENTRANK.INC($B$3:$B$6000,B3671,4)*5+0.000001,1))</f>
        <v/>
      </c>
      <c r="F3671">
        <f>IF(A3671="","",MAX(1,CEILING(PERCENTRANK.INC($C$3:$C$6000,C3671,4)*5+0.000001,1)))</f>
        <v/>
      </c>
      <c r="G3671">
        <f>IF(A3671="","",MAX(1,CEILING(PERCENTRANK.INC($D$3:$D$6000,D3671,4)*5+0.000001,1)))</f>
        <v/>
      </c>
      <c r="H3671">
        <f>IF(A3671="","",E3671&amp;F3671&amp;G3671)</f>
        <v/>
      </c>
      <c r="I3671">
        <f>IF(A3671="","",IF(AND(E3671&gt;=4,F3671&gt;=4,G3671&gt;=4),"Juara",IF(AND(F3671&gt;=4,E3671&gt;=3),"Setia",IF(AND(E3671=5,F3671&lt;=2,G3671&gt;=3),"Berpotensi",IF(AND(E3671&lt;=3,E3671&gt;=2,F3671&gt;=3),"Rawan",IF(AND(E3671&lt;=2,F3671&lt;=2),"Tidur","Umum"))))))</f>
        <v/>
      </c>
    </row>
    <row r="3672">
      <c r="B3672">
        <f>IF(A3672="","",$B$1-MAXIFS(Donasi!$A$2:$A$20000,Donasi!$B$2:$B$20000,A3672))</f>
        <v/>
      </c>
      <c r="C3672">
        <f>IF(A3672="","",COUNTIF(Donasi!$B$2:$B$20000,A3672))</f>
        <v/>
      </c>
      <c r="D3672">
        <f>IF(A3672="","",SUMIF(Donasi!$B$2:$B$20000,A3672,Donasi!$C$2:$C$20000))</f>
        <v/>
      </c>
      <c r="E3672">
        <f>IF(A3672="","",6-CEILING(PERCENTRANK.INC($B$3:$B$6000,B3672,4)*5+0.000001,1))</f>
        <v/>
      </c>
      <c r="F3672">
        <f>IF(A3672="","",MAX(1,CEILING(PERCENTRANK.INC($C$3:$C$6000,C3672,4)*5+0.000001,1)))</f>
        <v/>
      </c>
      <c r="G3672">
        <f>IF(A3672="","",MAX(1,CEILING(PERCENTRANK.INC($D$3:$D$6000,D3672,4)*5+0.000001,1)))</f>
        <v/>
      </c>
      <c r="H3672">
        <f>IF(A3672="","",E3672&amp;F3672&amp;G3672)</f>
        <v/>
      </c>
      <c r="I3672">
        <f>IF(A3672="","",IF(AND(E3672&gt;=4,F3672&gt;=4,G3672&gt;=4),"Juara",IF(AND(F3672&gt;=4,E3672&gt;=3),"Setia",IF(AND(E3672=5,F3672&lt;=2,G3672&gt;=3),"Berpotensi",IF(AND(E3672&lt;=3,E3672&gt;=2,F3672&gt;=3),"Rawan",IF(AND(E3672&lt;=2,F3672&lt;=2),"Tidur","Umum"))))))</f>
        <v/>
      </c>
    </row>
    <row r="3673">
      <c r="B3673">
        <f>IF(A3673="","",$B$1-MAXIFS(Donasi!$A$2:$A$20000,Donasi!$B$2:$B$20000,A3673))</f>
        <v/>
      </c>
      <c r="C3673">
        <f>IF(A3673="","",COUNTIF(Donasi!$B$2:$B$20000,A3673))</f>
        <v/>
      </c>
      <c r="D3673">
        <f>IF(A3673="","",SUMIF(Donasi!$B$2:$B$20000,A3673,Donasi!$C$2:$C$20000))</f>
        <v/>
      </c>
      <c r="E3673">
        <f>IF(A3673="","",6-CEILING(PERCENTRANK.INC($B$3:$B$6000,B3673,4)*5+0.000001,1))</f>
        <v/>
      </c>
      <c r="F3673">
        <f>IF(A3673="","",MAX(1,CEILING(PERCENTRANK.INC($C$3:$C$6000,C3673,4)*5+0.000001,1)))</f>
        <v/>
      </c>
      <c r="G3673">
        <f>IF(A3673="","",MAX(1,CEILING(PERCENTRANK.INC($D$3:$D$6000,D3673,4)*5+0.000001,1)))</f>
        <v/>
      </c>
      <c r="H3673">
        <f>IF(A3673="","",E3673&amp;F3673&amp;G3673)</f>
        <v/>
      </c>
      <c r="I3673">
        <f>IF(A3673="","",IF(AND(E3673&gt;=4,F3673&gt;=4,G3673&gt;=4),"Juara",IF(AND(F3673&gt;=4,E3673&gt;=3),"Setia",IF(AND(E3673=5,F3673&lt;=2,G3673&gt;=3),"Berpotensi",IF(AND(E3673&lt;=3,E3673&gt;=2,F3673&gt;=3),"Rawan",IF(AND(E3673&lt;=2,F3673&lt;=2),"Tidur","Umum"))))))</f>
        <v/>
      </c>
    </row>
    <row r="3674">
      <c r="B3674">
        <f>IF(A3674="","",$B$1-MAXIFS(Donasi!$A$2:$A$20000,Donasi!$B$2:$B$20000,A3674))</f>
        <v/>
      </c>
      <c r="C3674">
        <f>IF(A3674="","",COUNTIF(Donasi!$B$2:$B$20000,A3674))</f>
        <v/>
      </c>
      <c r="D3674">
        <f>IF(A3674="","",SUMIF(Donasi!$B$2:$B$20000,A3674,Donasi!$C$2:$C$20000))</f>
        <v/>
      </c>
      <c r="E3674">
        <f>IF(A3674="","",6-CEILING(PERCENTRANK.INC($B$3:$B$6000,B3674,4)*5+0.000001,1))</f>
        <v/>
      </c>
      <c r="F3674">
        <f>IF(A3674="","",MAX(1,CEILING(PERCENTRANK.INC($C$3:$C$6000,C3674,4)*5+0.000001,1)))</f>
        <v/>
      </c>
      <c r="G3674">
        <f>IF(A3674="","",MAX(1,CEILING(PERCENTRANK.INC($D$3:$D$6000,D3674,4)*5+0.000001,1)))</f>
        <v/>
      </c>
      <c r="H3674">
        <f>IF(A3674="","",E3674&amp;F3674&amp;G3674)</f>
        <v/>
      </c>
      <c r="I3674">
        <f>IF(A3674="","",IF(AND(E3674&gt;=4,F3674&gt;=4,G3674&gt;=4),"Juara",IF(AND(F3674&gt;=4,E3674&gt;=3),"Setia",IF(AND(E3674=5,F3674&lt;=2,G3674&gt;=3),"Berpotensi",IF(AND(E3674&lt;=3,E3674&gt;=2,F3674&gt;=3),"Rawan",IF(AND(E3674&lt;=2,F3674&lt;=2),"Tidur","Umum"))))))</f>
        <v/>
      </c>
    </row>
    <row r="3675">
      <c r="B3675">
        <f>IF(A3675="","",$B$1-MAXIFS(Donasi!$A$2:$A$20000,Donasi!$B$2:$B$20000,A3675))</f>
        <v/>
      </c>
      <c r="C3675">
        <f>IF(A3675="","",COUNTIF(Donasi!$B$2:$B$20000,A3675))</f>
        <v/>
      </c>
      <c r="D3675">
        <f>IF(A3675="","",SUMIF(Donasi!$B$2:$B$20000,A3675,Donasi!$C$2:$C$20000))</f>
        <v/>
      </c>
      <c r="E3675">
        <f>IF(A3675="","",6-CEILING(PERCENTRANK.INC($B$3:$B$6000,B3675,4)*5+0.000001,1))</f>
        <v/>
      </c>
      <c r="F3675">
        <f>IF(A3675="","",MAX(1,CEILING(PERCENTRANK.INC($C$3:$C$6000,C3675,4)*5+0.000001,1)))</f>
        <v/>
      </c>
      <c r="G3675">
        <f>IF(A3675="","",MAX(1,CEILING(PERCENTRANK.INC($D$3:$D$6000,D3675,4)*5+0.000001,1)))</f>
        <v/>
      </c>
      <c r="H3675">
        <f>IF(A3675="","",E3675&amp;F3675&amp;G3675)</f>
        <v/>
      </c>
      <c r="I3675">
        <f>IF(A3675="","",IF(AND(E3675&gt;=4,F3675&gt;=4,G3675&gt;=4),"Juara",IF(AND(F3675&gt;=4,E3675&gt;=3),"Setia",IF(AND(E3675=5,F3675&lt;=2,G3675&gt;=3),"Berpotensi",IF(AND(E3675&lt;=3,E3675&gt;=2,F3675&gt;=3),"Rawan",IF(AND(E3675&lt;=2,F3675&lt;=2),"Tidur","Umum"))))))</f>
        <v/>
      </c>
    </row>
    <row r="3676">
      <c r="B3676">
        <f>IF(A3676="","",$B$1-MAXIFS(Donasi!$A$2:$A$20000,Donasi!$B$2:$B$20000,A3676))</f>
        <v/>
      </c>
      <c r="C3676">
        <f>IF(A3676="","",COUNTIF(Donasi!$B$2:$B$20000,A3676))</f>
        <v/>
      </c>
      <c r="D3676">
        <f>IF(A3676="","",SUMIF(Donasi!$B$2:$B$20000,A3676,Donasi!$C$2:$C$20000))</f>
        <v/>
      </c>
      <c r="E3676">
        <f>IF(A3676="","",6-CEILING(PERCENTRANK.INC($B$3:$B$6000,B3676,4)*5+0.000001,1))</f>
        <v/>
      </c>
      <c r="F3676">
        <f>IF(A3676="","",MAX(1,CEILING(PERCENTRANK.INC($C$3:$C$6000,C3676,4)*5+0.000001,1)))</f>
        <v/>
      </c>
      <c r="G3676">
        <f>IF(A3676="","",MAX(1,CEILING(PERCENTRANK.INC($D$3:$D$6000,D3676,4)*5+0.000001,1)))</f>
        <v/>
      </c>
      <c r="H3676">
        <f>IF(A3676="","",E3676&amp;F3676&amp;G3676)</f>
        <v/>
      </c>
      <c r="I3676">
        <f>IF(A3676="","",IF(AND(E3676&gt;=4,F3676&gt;=4,G3676&gt;=4),"Juara",IF(AND(F3676&gt;=4,E3676&gt;=3),"Setia",IF(AND(E3676=5,F3676&lt;=2,G3676&gt;=3),"Berpotensi",IF(AND(E3676&lt;=3,E3676&gt;=2,F3676&gt;=3),"Rawan",IF(AND(E3676&lt;=2,F3676&lt;=2),"Tidur","Umum"))))))</f>
        <v/>
      </c>
    </row>
    <row r="3677">
      <c r="B3677">
        <f>IF(A3677="","",$B$1-MAXIFS(Donasi!$A$2:$A$20000,Donasi!$B$2:$B$20000,A3677))</f>
        <v/>
      </c>
      <c r="C3677">
        <f>IF(A3677="","",COUNTIF(Donasi!$B$2:$B$20000,A3677))</f>
        <v/>
      </c>
      <c r="D3677">
        <f>IF(A3677="","",SUMIF(Donasi!$B$2:$B$20000,A3677,Donasi!$C$2:$C$20000))</f>
        <v/>
      </c>
      <c r="E3677">
        <f>IF(A3677="","",6-CEILING(PERCENTRANK.INC($B$3:$B$6000,B3677,4)*5+0.000001,1))</f>
        <v/>
      </c>
      <c r="F3677">
        <f>IF(A3677="","",MAX(1,CEILING(PERCENTRANK.INC($C$3:$C$6000,C3677,4)*5+0.000001,1)))</f>
        <v/>
      </c>
      <c r="G3677">
        <f>IF(A3677="","",MAX(1,CEILING(PERCENTRANK.INC($D$3:$D$6000,D3677,4)*5+0.000001,1)))</f>
        <v/>
      </c>
      <c r="H3677">
        <f>IF(A3677="","",E3677&amp;F3677&amp;G3677)</f>
        <v/>
      </c>
      <c r="I3677">
        <f>IF(A3677="","",IF(AND(E3677&gt;=4,F3677&gt;=4,G3677&gt;=4),"Juara",IF(AND(F3677&gt;=4,E3677&gt;=3),"Setia",IF(AND(E3677=5,F3677&lt;=2,G3677&gt;=3),"Berpotensi",IF(AND(E3677&lt;=3,E3677&gt;=2,F3677&gt;=3),"Rawan",IF(AND(E3677&lt;=2,F3677&lt;=2),"Tidur","Umum"))))))</f>
        <v/>
      </c>
    </row>
    <row r="3678">
      <c r="B3678">
        <f>IF(A3678="","",$B$1-MAXIFS(Donasi!$A$2:$A$20000,Donasi!$B$2:$B$20000,A3678))</f>
        <v/>
      </c>
      <c r="C3678">
        <f>IF(A3678="","",COUNTIF(Donasi!$B$2:$B$20000,A3678))</f>
        <v/>
      </c>
      <c r="D3678">
        <f>IF(A3678="","",SUMIF(Donasi!$B$2:$B$20000,A3678,Donasi!$C$2:$C$20000))</f>
        <v/>
      </c>
      <c r="E3678">
        <f>IF(A3678="","",6-CEILING(PERCENTRANK.INC($B$3:$B$6000,B3678,4)*5+0.000001,1))</f>
        <v/>
      </c>
      <c r="F3678">
        <f>IF(A3678="","",MAX(1,CEILING(PERCENTRANK.INC($C$3:$C$6000,C3678,4)*5+0.000001,1)))</f>
        <v/>
      </c>
      <c r="G3678">
        <f>IF(A3678="","",MAX(1,CEILING(PERCENTRANK.INC($D$3:$D$6000,D3678,4)*5+0.000001,1)))</f>
        <v/>
      </c>
      <c r="H3678">
        <f>IF(A3678="","",E3678&amp;F3678&amp;G3678)</f>
        <v/>
      </c>
      <c r="I3678">
        <f>IF(A3678="","",IF(AND(E3678&gt;=4,F3678&gt;=4,G3678&gt;=4),"Juara",IF(AND(F3678&gt;=4,E3678&gt;=3),"Setia",IF(AND(E3678=5,F3678&lt;=2,G3678&gt;=3),"Berpotensi",IF(AND(E3678&lt;=3,E3678&gt;=2,F3678&gt;=3),"Rawan",IF(AND(E3678&lt;=2,F3678&lt;=2),"Tidur","Umum"))))))</f>
        <v/>
      </c>
    </row>
    <row r="3679">
      <c r="B3679">
        <f>IF(A3679="","",$B$1-MAXIFS(Donasi!$A$2:$A$20000,Donasi!$B$2:$B$20000,A3679))</f>
        <v/>
      </c>
      <c r="C3679">
        <f>IF(A3679="","",COUNTIF(Donasi!$B$2:$B$20000,A3679))</f>
        <v/>
      </c>
      <c r="D3679">
        <f>IF(A3679="","",SUMIF(Donasi!$B$2:$B$20000,A3679,Donasi!$C$2:$C$20000))</f>
        <v/>
      </c>
      <c r="E3679">
        <f>IF(A3679="","",6-CEILING(PERCENTRANK.INC($B$3:$B$6000,B3679,4)*5+0.000001,1))</f>
        <v/>
      </c>
      <c r="F3679">
        <f>IF(A3679="","",MAX(1,CEILING(PERCENTRANK.INC($C$3:$C$6000,C3679,4)*5+0.000001,1)))</f>
        <v/>
      </c>
      <c r="G3679">
        <f>IF(A3679="","",MAX(1,CEILING(PERCENTRANK.INC($D$3:$D$6000,D3679,4)*5+0.000001,1)))</f>
        <v/>
      </c>
      <c r="H3679">
        <f>IF(A3679="","",E3679&amp;F3679&amp;G3679)</f>
        <v/>
      </c>
      <c r="I3679">
        <f>IF(A3679="","",IF(AND(E3679&gt;=4,F3679&gt;=4,G3679&gt;=4),"Juara",IF(AND(F3679&gt;=4,E3679&gt;=3),"Setia",IF(AND(E3679=5,F3679&lt;=2,G3679&gt;=3),"Berpotensi",IF(AND(E3679&lt;=3,E3679&gt;=2,F3679&gt;=3),"Rawan",IF(AND(E3679&lt;=2,F3679&lt;=2),"Tidur","Umum"))))))</f>
        <v/>
      </c>
    </row>
    <row r="3680">
      <c r="B3680">
        <f>IF(A3680="","",$B$1-MAXIFS(Donasi!$A$2:$A$20000,Donasi!$B$2:$B$20000,A3680))</f>
        <v/>
      </c>
      <c r="C3680">
        <f>IF(A3680="","",COUNTIF(Donasi!$B$2:$B$20000,A3680))</f>
        <v/>
      </c>
      <c r="D3680">
        <f>IF(A3680="","",SUMIF(Donasi!$B$2:$B$20000,A3680,Donasi!$C$2:$C$20000))</f>
        <v/>
      </c>
      <c r="E3680">
        <f>IF(A3680="","",6-CEILING(PERCENTRANK.INC($B$3:$B$6000,B3680,4)*5+0.000001,1))</f>
        <v/>
      </c>
      <c r="F3680">
        <f>IF(A3680="","",MAX(1,CEILING(PERCENTRANK.INC($C$3:$C$6000,C3680,4)*5+0.000001,1)))</f>
        <v/>
      </c>
      <c r="G3680">
        <f>IF(A3680="","",MAX(1,CEILING(PERCENTRANK.INC($D$3:$D$6000,D3680,4)*5+0.000001,1)))</f>
        <v/>
      </c>
      <c r="H3680">
        <f>IF(A3680="","",E3680&amp;F3680&amp;G3680)</f>
        <v/>
      </c>
      <c r="I3680">
        <f>IF(A3680="","",IF(AND(E3680&gt;=4,F3680&gt;=4,G3680&gt;=4),"Juara",IF(AND(F3680&gt;=4,E3680&gt;=3),"Setia",IF(AND(E3680=5,F3680&lt;=2,G3680&gt;=3),"Berpotensi",IF(AND(E3680&lt;=3,E3680&gt;=2,F3680&gt;=3),"Rawan",IF(AND(E3680&lt;=2,F3680&lt;=2),"Tidur","Umum"))))))</f>
        <v/>
      </c>
    </row>
    <row r="3681">
      <c r="B3681">
        <f>IF(A3681="","",$B$1-MAXIFS(Donasi!$A$2:$A$20000,Donasi!$B$2:$B$20000,A3681))</f>
        <v/>
      </c>
      <c r="C3681">
        <f>IF(A3681="","",COUNTIF(Donasi!$B$2:$B$20000,A3681))</f>
        <v/>
      </c>
      <c r="D3681">
        <f>IF(A3681="","",SUMIF(Donasi!$B$2:$B$20000,A3681,Donasi!$C$2:$C$20000))</f>
        <v/>
      </c>
      <c r="E3681">
        <f>IF(A3681="","",6-CEILING(PERCENTRANK.INC($B$3:$B$6000,B3681,4)*5+0.000001,1))</f>
        <v/>
      </c>
      <c r="F3681">
        <f>IF(A3681="","",MAX(1,CEILING(PERCENTRANK.INC($C$3:$C$6000,C3681,4)*5+0.000001,1)))</f>
        <v/>
      </c>
      <c r="G3681">
        <f>IF(A3681="","",MAX(1,CEILING(PERCENTRANK.INC($D$3:$D$6000,D3681,4)*5+0.000001,1)))</f>
        <v/>
      </c>
      <c r="H3681">
        <f>IF(A3681="","",E3681&amp;F3681&amp;G3681)</f>
        <v/>
      </c>
      <c r="I3681">
        <f>IF(A3681="","",IF(AND(E3681&gt;=4,F3681&gt;=4,G3681&gt;=4),"Juara",IF(AND(F3681&gt;=4,E3681&gt;=3),"Setia",IF(AND(E3681=5,F3681&lt;=2,G3681&gt;=3),"Berpotensi",IF(AND(E3681&lt;=3,E3681&gt;=2,F3681&gt;=3),"Rawan",IF(AND(E3681&lt;=2,F3681&lt;=2),"Tidur","Umum"))))))</f>
        <v/>
      </c>
    </row>
    <row r="3682">
      <c r="B3682">
        <f>IF(A3682="","",$B$1-MAXIFS(Donasi!$A$2:$A$20000,Donasi!$B$2:$B$20000,A3682))</f>
        <v/>
      </c>
      <c r="C3682">
        <f>IF(A3682="","",COUNTIF(Donasi!$B$2:$B$20000,A3682))</f>
        <v/>
      </c>
      <c r="D3682">
        <f>IF(A3682="","",SUMIF(Donasi!$B$2:$B$20000,A3682,Donasi!$C$2:$C$20000))</f>
        <v/>
      </c>
      <c r="E3682">
        <f>IF(A3682="","",6-CEILING(PERCENTRANK.INC($B$3:$B$6000,B3682,4)*5+0.000001,1))</f>
        <v/>
      </c>
      <c r="F3682">
        <f>IF(A3682="","",MAX(1,CEILING(PERCENTRANK.INC($C$3:$C$6000,C3682,4)*5+0.000001,1)))</f>
        <v/>
      </c>
      <c r="G3682">
        <f>IF(A3682="","",MAX(1,CEILING(PERCENTRANK.INC($D$3:$D$6000,D3682,4)*5+0.000001,1)))</f>
        <v/>
      </c>
      <c r="H3682">
        <f>IF(A3682="","",E3682&amp;F3682&amp;G3682)</f>
        <v/>
      </c>
      <c r="I3682">
        <f>IF(A3682="","",IF(AND(E3682&gt;=4,F3682&gt;=4,G3682&gt;=4),"Juara",IF(AND(F3682&gt;=4,E3682&gt;=3),"Setia",IF(AND(E3682=5,F3682&lt;=2,G3682&gt;=3),"Berpotensi",IF(AND(E3682&lt;=3,E3682&gt;=2,F3682&gt;=3),"Rawan",IF(AND(E3682&lt;=2,F3682&lt;=2),"Tidur","Umum"))))))</f>
        <v/>
      </c>
    </row>
    <row r="3683">
      <c r="B3683">
        <f>IF(A3683="","",$B$1-MAXIFS(Donasi!$A$2:$A$20000,Donasi!$B$2:$B$20000,A3683))</f>
        <v/>
      </c>
      <c r="C3683">
        <f>IF(A3683="","",COUNTIF(Donasi!$B$2:$B$20000,A3683))</f>
        <v/>
      </c>
      <c r="D3683">
        <f>IF(A3683="","",SUMIF(Donasi!$B$2:$B$20000,A3683,Donasi!$C$2:$C$20000))</f>
        <v/>
      </c>
      <c r="E3683">
        <f>IF(A3683="","",6-CEILING(PERCENTRANK.INC($B$3:$B$6000,B3683,4)*5+0.000001,1))</f>
        <v/>
      </c>
      <c r="F3683">
        <f>IF(A3683="","",MAX(1,CEILING(PERCENTRANK.INC($C$3:$C$6000,C3683,4)*5+0.000001,1)))</f>
        <v/>
      </c>
      <c r="G3683">
        <f>IF(A3683="","",MAX(1,CEILING(PERCENTRANK.INC($D$3:$D$6000,D3683,4)*5+0.000001,1)))</f>
        <v/>
      </c>
      <c r="H3683">
        <f>IF(A3683="","",E3683&amp;F3683&amp;G3683)</f>
        <v/>
      </c>
      <c r="I3683">
        <f>IF(A3683="","",IF(AND(E3683&gt;=4,F3683&gt;=4,G3683&gt;=4),"Juara",IF(AND(F3683&gt;=4,E3683&gt;=3),"Setia",IF(AND(E3683=5,F3683&lt;=2,G3683&gt;=3),"Berpotensi",IF(AND(E3683&lt;=3,E3683&gt;=2,F3683&gt;=3),"Rawan",IF(AND(E3683&lt;=2,F3683&lt;=2),"Tidur","Umum"))))))</f>
        <v/>
      </c>
    </row>
    <row r="3684">
      <c r="B3684">
        <f>IF(A3684="","",$B$1-MAXIFS(Donasi!$A$2:$A$20000,Donasi!$B$2:$B$20000,A3684))</f>
        <v/>
      </c>
      <c r="C3684">
        <f>IF(A3684="","",COUNTIF(Donasi!$B$2:$B$20000,A3684))</f>
        <v/>
      </c>
      <c r="D3684">
        <f>IF(A3684="","",SUMIF(Donasi!$B$2:$B$20000,A3684,Donasi!$C$2:$C$20000))</f>
        <v/>
      </c>
      <c r="E3684">
        <f>IF(A3684="","",6-CEILING(PERCENTRANK.INC($B$3:$B$6000,B3684,4)*5+0.000001,1))</f>
        <v/>
      </c>
      <c r="F3684">
        <f>IF(A3684="","",MAX(1,CEILING(PERCENTRANK.INC($C$3:$C$6000,C3684,4)*5+0.000001,1)))</f>
        <v/>
      </c>
      <c r="G3684">
        <f>IF(A3684="","",MAX(1,CEILING(PERCENTRANK.INC($D$3:$D$6000,D3684,4)*5+0.000001,1)))</f>
        <v/>
      </c>
      <c r="H3684">
        <f>IF(A3684="","",E3684&amp;F3684&amp;G3684)</f>
        <v/>
      </c>
      <c r="I3684">
        <f>IF(A3684="","",IF(AND(E3684&gt;=4,F3684&gt;=4,G3684&gt;=4),"Juara",IF(AND(F3684&gt;=4,E3684&gt;=3),"Setia",IF(AND(E3684=5,F3684&lt;=2,G3684&gt;=3),"Berpotensi",IF(AND(E3684&lt;=3,E3684&gt;=2,F3684&gt;=3),"Rawan",IF(AND(E3684&lt;=2,F3684&lt;=2),"Tidur","Umum"))))))</f>
        <v/>
      </c>
    </row>
    <row r="3685">
      <c r="B3685">
        <f>IF(A3685="","",$B$1-MAXIFS(Donasi!$A$2:$A$20000,Donasi!$B$2:$B$20000,A3685))</f>
        <v/>
      </c>
      <c r="C3685">
        <f>IF(A3685="","",COUNTIF(Donasi!$B$2:$B$20000,A3685))</f>
        <v/>
      </c>
      <c r="D3685">
        <f>IF(A3685="","",SUMIF(Donasi!$B$2:$B$20000,A3685,Donasi!$C$2:$C$20000))</f>
        <v/>
      </c>
      <c r="E3685">
        <f>IF(A3685="","",6-CEILING(PERCENTRANK.INC($B$3:$B$6000,B3685,4)*5+0.000001,1))</f>
        <v/>
      </c>
      <c r="F3685">
        <f>IF(A3685="","",MAX(1,CEILING(PERCENTRANK.INC($C$3:$C$6000,C3685,4)*5+0.000001,1)))</f>
        <v/>
      </c>
      <c r="G3685">
        <f>IF(A3685="","",MAX(1,CEILING(PERCENTRANK.INC($D$3:$D$6000,D3685,4)*5+0.000001,1)))</f>
        <v/>
      </c>
      <c r="H3685">
        <f>IF(A3685="","",E3685&amp;F3685&amp;G3685)</f>
        <v/>
      </c>
      <c r="I3685">
        <f>IF(A3685="","",IF(AND(E3685&gt;=4,F3685&gt;=4,G3685&gt;=4),"Juara",IF(AND(F3685&gt;=4,E3685&gt;=3),"Setia",IF(AND(E3685=5,F3685&lt;=2,G3685&gt;=3),"Berpotensi",IF(AND(E3685&lt;=3,E3685&gt;=2,F3685&gt;=3),"Rawan",IF(AND(E3685&lt;=2,F3685&lt;=2),"Tidur","Umum"))))))</f>
        <v/>
      </c>
    </row>
    <row r="3686">
      <c r="B3686">
        <f>IF(A3686="","",$B$1-MAXIFS(Donasi!$A$2:$A$20000,Donasi!$B$2:$B$20000,A3686))</f>
        <v/>
      </c>
      <c r="C3686">
        <f>IF(A3686="","",COUNTIF(Donasi!$B$2:$B$20000,A3686))</f>
        <v/>
      </c>
      <c r="D3686">
        <f>IF(A3686="","",SUMIF(Donasi!$B$2:$B$20000,A3686,Donasi!$C$2:$C$20000))</f>
        <v/>
      </c>
      <c r="E3686">
        <f>IF(A3686="","",6-CEILING(PERCENTRANK.INC($B$3:$B$6000,B3686,4)*5+0.000001,1))</f>
        <v/>
      </c>
      <c r="F3686">
        <f>IF(A3686="","",MAX(1,CEILING(PERCENTRANK.INC($C$3:$C$6000,C3686,4)*5+0.000001,1)))</f>
        <v/>
      </c>
      <c r="G3686">
        <f>IF(A3686="","",MAX(1,CEILING(PERCENTRANK.INC($D$3:$D$6000,D3686,4)*5+0.000001,1)))</f>
        <v/>
      </c>
      <c r="H3686">
        <f>IF(A3686="","",E3686&amp;F3686&amp;G3686)</f>
        <v/>
      </c>
      <c r="I3686">
        <f>IF(A3686="","",IF(AND(E3686&gt;=4,F3686&gt;=4,G3686&gt;=4),"Juara",IF(AND(F3686&gt;=4,E3686&gt;=3),"Setia",IF(AND(E3686=5,F3686&lt;=2,G3686&gt;=3),"Berpotensi",IF(AND(E3686&lt;=3,E3686&gt;=2,F3686&gt;=3),"Rawan",IF(AND(E3686&lt;=2,F3686&lt;=2),"Tidur","Umum"))))))</f>
        <v/>
      </c>
    </row>
    <row r="3687">
      <c r="B3687">
        <f>IF(A3687="","",$B$1-MAXIFS(Donasi!$A$2:$A$20000,Donasi!$B$2:$B$20000,A3687))</f>
        <v/>
      </c>
      <c r="C3687">
        <f>IF(A3687="","",COUNTIF(Donasi!$B$2:$B$20000,A3687))</f>
        <v/>
      </c>
      <c r="D3687">
        <f>IF(A3687="","",SUMIF(Donasi!$B$2:$B$20000,A3687,Donasi!$C$2:$C$20000))</f>
        <v/>
      </c>
      <c r="E3687">
        <f>IF(A3687="","",6-CEILING(PERCENTRANK.INC($B$3:$B$6000,B3687,4)*5+0.000001,1))</f>
        <v/>
      </c>
      <c r="F3687">
        <f>IF(A3687="","",MAX(1,CEILING(PERCENTRANK.INC($C$3:$C$6000,C3687,4)*5+0.000001,1)))</f>
        <v/>
      </c>
      <c r="G3687">
        <f>IF(A3687="","",MAX(1,CEILING(PERCENTRANK.INC($D$3:$D$6000,D3687,4)*5+0.000001,1)))</f>
        <v/>
      </c>
      <c r="H3687">
        <f>IF(A3687="","",E3687&amp;F3687&amp;G3687)</f>
        <v/>
      </c>
      <c r="I3687">
        <f>IF(A3687="","",IF(AND(E3687&gt;=4,F3687&gt;=4,G3687&gt;=4),"Juara",IF(AND(F3687&gt;=4,E3687&gt;=3),"Setia",IF(AND(E3687=5,F3687&lt;=2,G3687&gt;=3),"Berpotensi",IF(AND(E3687&lt;=3,E3687&gt;=2,F3687&gt;=3),"Rawan",IF(AND(E3687&lt;=2,F3687&lt;=2),"Tidur","Umum"))))))</f>
        <v/>
      </c>
    </row>
    <row r="3688">
      <c r="B3688">
        <f>IF(A3688="","",$B$1-MAXIFS(Donasi!$A$2:$A$20000,Donasi!$B$2:$B$20000,A3688))</f>
        <v/>
      </c>
      <c r="C3688">
        <f>IF(A3688="","",COUNTIF(Donasi!$B$2:$B$20000,A3688))</f>
        <v/>
      </c>
      <c r="D3688">
        <f>IF(A3688="","",SUMIF(Donasi!$B$2:$B$20000,A3688,Donasi!$C$2:$C$20000))</f>
        <v/>
      </c>
      <c r="E3688">
        <f>IF(A3688="","",6-CEILING(PERCENTRANK.INC($B$3:$B$6000,B3688,4)*5+0.000001,1))</f>
        <v/>
      </c>
      <c r="F3688">
        <f>IF(A3688="","",MAX(1,CEILING(PERCENTRANK.INC($C$3:$C$6000,C3688,4)*5+0.000001,1)))</f>
        <v/>
      </c>
      <c r="G3688">
        <f>IF(A3688="","",MAX(1,CEILING(PERCENTRANK.INC($D$3:$D$6000,D3688,4)*5+0.000001,1)))</f>
        <v/>
      </c>
      <c r="H3688">
        <f>IF(A3688="","",E3688&amp;F3688&amp;G3688)</f>
        <v/>
      </c>
      <c r="I3688">
        <f>IF(A3688="","",IF(AND(E3688&gt;=4,F3688&gt;=4,G3688&gt;=4),"Juara",IF(AND(F3688&gt;=4,E3688&gt;=3),"Setia",IF(AND(E3688=5,F3688&lt;=2,G3688&gt;=3),"Berpotensi",IF(AND(E3688&lt;=3,E3688&gt;=2,F3688&gt;=3),"Rawan",IF(AND(E3688&lt;=2,F3688&lt;=2),"Tidur","Umum"))))))</f>
        <v/>
      </c>
    </row>
    <row r="3689">
      <c r="B3689">
        <f>IF(A3689="","",$B$1-MAXIFS(Donasi!$A$2:$A$20000,Donasi!$B$2:$B$20000,A3689))</f>
        <v/>
      </c>
      <c r="C3689">
        <f>IF(A3689="","",COUNTIF(Donasi!$B$2:$B$20000,A3689))</f>
        <v/>
      </c>
      <c r="D3689">
        <f>IF(A3689="","",SUMIF(Donasi!$B$2:$B$20000,A3689,Donasi!$C$2:$C$20000))</f>
        <v/>
      </c>
      <c r="E3689">
        <f>IF(A3689="","",6-CEILING(PERCENTRANK.INC($B$3:$B$6000,B3689,4)*5+0.000001,1))</f>
        <v/>
      </c>
      <c r="F3689">
        <f>IF(A3689="","",MAX(1,CEILING(PERCENTRANK.INC($C$3:$C$6000,C3689,4)*5+0.000001,1)))</f>
        <v/>
      </c>
      <c r="G3689">
        <f>IF(A3689="","",MAX(1,CEILING(PERCENTRANK.INC($D$3:$D$6000,D3689,4)*5+0.000001,1)))</f>
        <v/>
      </c>
      <c r="H3689">
        <f>IF(A3689="","",E3689&amp;F3689&amp;G3689)</f>
        <v/>
      </c>
      <c r="I3689">
        <f>IF(A3689="","",IF(AND(E3689&gt;=4,F3689&gt;=4,G3689&gt;=4),"Juara",IF(AND(F3689&gt;=4,E3689&gt;=3),"Setia",IF(AND(E3689=5,F3689&lt;=2,G3689&gt;=3),"Berpotensi",IF(AND(E3689&lt;=3,E3689&gt;=2,F3689&gt;=3),"Rawan",IF(AND(E3689&lt;=2,F3689&lt;=2),"Tidur","Umum"))))))</f>
        <v/>
      </c>
    </row>
    <row r="3690">
      <c r="B3690">
        <f>IF(A3690="","",$B$1-MAXIFS(Donasi!$A$2:$A$20000,Donasi!$B$2:$B$20000,A3690))</f>
        <v/>
      </c>
      <c r="C3690">
        <f>IF(A3690="","",COUNTIF(Donasi!$B$2:$B$20000,A3690))</f>
        <v/>
      </c>
      <c r="D3690">
        <f>IF(A3690="","",SUMIF(Donasi!$B$2:$B$20000,A3690,Donasi!$C$2:$C$20000))</f>
        <v/>
      </c>
      <c r="E3690">
        <f>IF(A3690="","",6-CEILING(PERCENTRANK.INC($B$3:$B$6000,B3690,4)*5+0.000001,1))</f>
        <v/>
      </c>
      <c r="F3690">
        <f>IF(A3690="","",MAX(1,CEILING(PERCENTRANK.INC($C$3:$C$6000,C3690,4)*5+0.000001,1)))</f>
        <v/>
      </c>
      <c r="G3690">
        <f>IF(A3690="","",MAX(1,CEILING(PERCENTRANK.INC($D$3:$D$6000,D3690,4)*5+0.000001,1)))</f>
        <v/>
      </c>
      <c r="H3690">
        <f>IF(A3690="","",E3690&amp;F3690&amp;G3690)</f>
        <v/>
      </c>
      <c r="I3690">
        <f>IF(A3690="","",IF(AND(E3690&gt;=4,F3690&gt;=4,G3690&gt;=4),"Juara",IF(AND(F3690&gt;=4,E3690&gt;=3),"Setia",IF(AND(E3690=5,F3690&lt;=2,G3690&gt;=3),"Berpotensi",IF(AND(E3690&lt;=3,E3690&gt;=2,F3690&gt;=3),"Rawan",IF(AND(E3690&lt;=2,F3690&lt;=2),"Tidur","Umum"))))))</f>
        <v/>
      </c>
    </row>
    <row r="3691">
      <c r="B3691">
        <f>IF(A3691="","",$B$1-MAXIFS(Donasi!$A$2:$A$20000,Donasi!$B$2:$B$20000,A3691))</f>
        <v/>
      </c>
      <c r="C3691">
        <f>IF(A3691="","",COUNTIF(Donasi!$B$2:$B$20000,A3691))</f>
        <v/>
      </c>
      <c r="D3691">
        <f>IF(A3691="","",SUMIF(Donasi!$B$2:$B$20000,A3691,Donasi!$C$2:$C$20000))</f>
        <v/>
      </c>
      <c r="E3691">
        <f>IF(A3691="","",6-CEILING(PERCENTRANK.INC($B$3:$B$6000,B3691,4)*5+0.000001,1))</f>
        <v/>
      </c>
      <c r="F3691">
        <f>IF(A3691="","",MAX(1,CEILING(PERCENTRANK.INC($C$3:$C$6000,C3691,4)*5+0.000001,1)))</f>
        <v/>
      </c>
      <c r="G3691">
        <f>IF(A3691="","",MAX(1,CEILING(PERCENTRANK.INC($D$3:$D$6000,D3691,4)*5+0.000001,1)))</f>
        <v/>
      </c>
      <c r="H3691">
        <f>IF(A3691="","",E3691&amp;F3691&amp;G3691)</f>
        <v/>
      </c>
      <c r="I3691">
        <f>IF(A3691="","",IF(AND(E3691&gt;=4,F3691&gt;=4,G3691&gt;=4),"Juara",IF(AND(F3691&gt;=4,E3691&gt;=3),"Setia",IF(AND(E3691=5,F3691&lt;=2,G3691&gt;=3),"Berpotensi",IF(AND(E3691&lt;=3,E3691&gt;=2,F3691&gt;=3),"Rawan",IF(AND(E3691&lt;=2,F3691&lt;=2),"Tidur","Umum"))))))</f>
        <v/>
      </c>
    </row>
    <row r="3692">
      <c r="B3692">
        <f>IF(A3692="","",$B$1-MAXIFS(Donasi!$A$2:$A$20000,Donasi!$B$2:$B$20000,A3692))</f>
        <v/>
      </c>
      <c r="C3692">
        <f>IF(A3692="","",COUNTIF(Donasi!$B$2:$B$20000,A3692))</f>
        <v/>
      </c>
      <c r="D3692">
        <f>IF(A3692="","",SUMIF(Donasi!$B$2:$B$20000,A3692,Donasi!$C$2:$C$20000))</f>
        <v/>
      </c>
      <c r="E3692">
        <f>IF(A3692="","",6-CEILING(PERCENTRANK.INC($B$3:$B$6000,B3692,4)*5+0.000001,1))</f>
        <v/>
      </c>
      <c r="F3692">
        <f>IF(A3692="","",MAX(1,CEILING(PERCENTRANK.INC($C$3:$C$6000,C3692,4)*5+0.000001,1)))</f>
        <v/>
      </c>
      <c r="G3692">
        <f>IF(A3692="","",MAX(1,CEILING(PERCENTRANK.INC($D$3:$D$6000,D3692,4)*5+0.000001,1)))</f>
        <v/>
      </c>
      <c r="H3692">
        <f>IF(A3692="","",E3692&amp;F3692&amp;G3692)</f>
        <v/>
      </c>
      <c r="I3692">
        <f>IF(A3692="","",IF(AND(E3692&gt;=4,F3692&gt;=4,G3692&gt;=4),"Juara",IF(AND(F3692&gt;=4,E3692&gt;=3),"Setia",IF(AND(E3692=5,F3692&lt;=2,G3692&gt;=3),"Berpotensi",IF(AND(E3692&lt;=3,E3692&gt;=2,F3692&gt;=3),"Rawan",IF(AND(E3692&lt;=2,F3692&lt;=2),"Tidur","Umum"))))))</f>
        <v/>
      </c>
    </row>
    <row r="3693">
      <c r="B3693">
        <f>IF(A3693="","",$B$1-MAXIFS(Donasi!$A$2:$A$20000,Donasi!$B$2:$B$20000,A3693))</f>
        <v/>
      </c>
      <c r="C3693">
        <f>IF(A3693="","",COUNTIF(Donasi!$B$2:$B$20000,A3693))</f>
        <v/>
      </c>
      <c r="D3693">
        <f>IF(A3693="","",SUMIF(Donasi!$B$2:$B$20000,A3693,Donasi!$C$2:$C$20000))</f>
        <v/>
      </c>
      <c r="E3693">
        <f>IF(A3693="","",6-CEILING(PERCENTRANK.INC($B$3:$B$6000,B3693,4)*5+0.000001,1))</f>
        <v/>
      </c>
      <c r="F3693">
        <f>IF(A3693="","",MAX(1,CEILING(PERCENTRANK.INC($C$3:$C$6000,C3693,4)*5+0.000001,1)))</f>
        <v/>
      </c>
      <c r="G3693">
        <f>IF(A3693="","",MAX(1,CEILING(PERCENTRANK.INC($D$3:$D$6000,D3693,4)*5+0.000001,1)))</f>
        <v/>
      </c>
      <c r="H3693">
        <f>IF(A3693="","",E3693&amp;F3693&amp;G3693)</f>
        <v/>
      </c>
      <c r="I3693">
        <f>IF(A3693="","",IF(AND(E3693&gt;=4,F3693&gt;=4,G3693&gt;=4),"Juara",IF(AND(F3693&gt;=4,E3693&gt;=3),"Setia",IF(AND(E3693=5,F3693&lt;=2,G3693&gt;=3),"Berpotensi",IF(AND(E3693&lt;=3,E3693&gt;=2,F3693&gt;=3),"Rawan",IF(AND(E3693&lt;=2,F3693&lt;=2),"Tidur","Umum"))))))</f>
        <v/>
      </c>
    </row>
    <row r="3694">
      <c r="B3694">
        <f>IF(A3694="","",$B$1-MAXIFS(Donasi!$A$2:$A$20000,Donasi!$B$2:$B$20000,A3694))</f>
        <v/>
      </c>
      <c r="C3694">
        <f>IF(A3694="","",COUNTIF(Donasi!$B$2:$B$20000,A3694))</f>
        <v/>
      </c>
      <c r="D3694">
        <f>IF(A3694="","",SUMIF(Donasi!$B$2:$B$20000,A3694,Donasi!$C$2:$C$20000))</f>
        <v/>
      </c>
      <c r="E3694">
        <f>IF(A3694="","",6-CEILING(PERCENTRANK.INC($B$3:$B$6000,B3694,4)*5+0.000001,1))</f>
        <v/>
      </c>
      <c r="F3694">
        <f>IF(A3694="","",MAX(1,CEILING(PERCENTRANK.INC($C$3:$C$6000,C3694,4)*5+0.000001,1)))</f>
        <v/>
      </c>
      <c r="G3694">
        <f>IF(A3694="","",MAX(1,CEILING(PERCENTRANK.INC($D$3:$D$6000,D3694,4)*5+0.000001,1)))</f>
        <v/>
      </c>
      <c r="H3694">
        <f>IF(A3694="","",E3694&amp;F3694&amp;G3694)</f>
        <v/>
      </c>
      <c r="I3694">
        <f>IF(A3694="","",IF(AND(E3694&gt;=4,F3694&gt;=4,G3694&gt;=4),"Juara",IF(AND(F3694&gt;=4,E3694&gt;=3),"Setia",IF(AND(E3694=5,F3694&lt;=2,G3694&gt;=3),"Berpotensi",IF(AND(E3694&lt;=3,E3694&gt;=2,F3694&gt;=3),"Rawan",IF(AND(E3694&lt;=2,F3694&lt;=2),"Tidur","Umum"))))))</f>
        <v/>
      </c>
    </row>
    <row r="3695">
      <c r="B3695">
        <f>IF(A3695="","",$B$1-MAXIFS(Donasi!$A$2:$A$20000,Donasi!$B$2:$B$20000,A3695))</f>
        <v/>
      </c>
      <c r="C3695">
        <f>IF(A3695="","",COUNTIF(Donasi!$B$2:$B$20000,A3695))</f>
        <v/>
      </c>
      <c r="D3695">
        <f>IF(A3695="","",SUMIF(Donasi!$B$2:$B$20000,A3695,Donasi!$C$2:$C$20000))</f>
        <v/>
      </c>
      <c r="E3695">
        <f>IF(A3695="","",6-CEILING(PERCENTRANK.INC($B$3:$B$6000,B3695,4)*5+0.000001,1))</f>
        <v/>
      </c>
      <c r="F3695">
        <f>IF(A3695="","",MAX(1,CEILING(PERCENTRANK.INC($C$3:$C$6000,C3695,4)*5+0.000001,1)))</f>
        <v/>
      </c>
      <c r="G3695">
        <f>IF(A3695="","",MAX(1,CEILING(PERCENTRANK.INC($D$3:$D$6000,D3695,4)*5+0.000001,1)))</f>
        <v/>
      </c>
      <c r="H3695">
        <f>IF(A3695="","",E3695&amp;F3695&amp;G3695)</f>
        <v/>
      </c>
      <c r="I3695">
        <f>IF(A3695="","",IF(AND(E3695&gt;=4,F3695&gt;=4,G3695&gt;=4),"Juara",IF(AND(F3695&gt;=4,E3695&gt;=3),"Setia",IF(AND(E3695=5,F3695&lt;=2,G3695&gt;=3),"Berpotensi",IF(AND(E3695&lt;=3,E3695&gt;=2,F3695&gt;=3),"Rawan",IF(AND(E3695&lt;=2,F3695&lt;=2),"Tidur","Umum"))))))</f>
        <v/>
      </c>
    </row>
    <row r="3696">
      <c r="B3696">
        <f>IF(A3696="","",$B$1-MAXIFS(Donasi!$A$2:$A$20000,Donasi!$B$2:$B$20000,A3696))</f>
        <v/>
      </c>
      <c r="C3696">
        <f>IF(A3696="","",COUNTIF(Donasi!$B$2:$B$20000,A3696))</f>
        <v/>
      </c>
      <c r="D3696">
        <f>IF(A3696="","",SUMIF(Donasi!$B$2:$B$20000,A3696,Donasi!$C$2:$C$20000))</f>
        <v/>
      </c>
      <c r="E3696">
        <f>IF(A3696="","",6-CEILING(PERCENTRANK.INC($B$3:$B$6000,B3696,4)*5+0.000001,1))</f>
        <v/>
      </c>
      <c r="F3696">
        <f>IF(A3696="","",MAX(1,CEILING(PERCENTRANK.INC($C$3:$C$6000,C3696,4)*5+0.000001,1)))</f>
        <v/>
      </c>
      <c r="G3696">
        <f>IF(A3696="","",MAX(1,CEILING(PERCENTRANK.INC($D$3:$D$6000,D3696,4)*5+0.000001,1)))</f>
        <v/>
      </c>
      <c r="H3696">
        <f>IF(A3696="","",E3696&amp;F3696&amp;G3696)</f>
        <v/>
      </c>
      <c r="I3696">
        <f>IF(A3696="","",IF(AND(E3696&gt;=4,F3696&gt;=4,G3696&gt;=4),"Juara",IF(AND(F3696&gt;=4,E3696&gt;=3),"Setia",IF(AND(E3696=5,F3696&lt;=2,G3696&gt;=3),"Berpotensi",IF(AND(E3696&lt;=3,E3696&gt;=2,F3696&gt;=3),"Rawan",IF(AND(E3696&lt;=2,F3696&lt;=2),"Tidur","Umum"))))))</f>
        <v/>
      </c>
    </row>
    <row r="3697">
      <c r="B3697">
        <f>IF(A3697="","",$B$1-MAXIFS(Donasi!$A$2:$A$20000,Donasi!$B$2:$B$20000,A3697))</f>
        <v/>
      </c>
      <c r="C3697">
        <f>IF(A3697="","",COUNTIF(Donasi!$B$2:$B$20000,A3697))</f>
        <v/>
      </c>
      <c r="D3697">
        <f>IF(A3697="","",SUMIF(Donasi!$B$2:$B$20000,A3697,Donasi!$C$2:$C$20000))</f>
        <v/>
      </c>
      <c r="E3697">
        <f>IF(A3697="","",6-CEILING(PERCENTRANK.INC($B$3:$B$6000,B3697,4)*5+0.000001,1))</f>
        <v/>
      </c>
      <c r="F3697">
        <f>IF(A3697="","",MAX(1,CEILING(PERCENTRANK.INC($C$3:$C$6000,C3697,4)*5+0.000001,1)))</f>
        <v/>
      </c>
      <c r="G3697">
        <f>IF(A3697="","",MAX(1,CEILING(PERCENTRANK.INC($D$3:$D$6000,D3697,4)*5+0.000001,1)))</f>
        <v/>
      </c>
      <c r="H3697">
        <f>IF(A3697="","",E3697&amp;F3697&amp;G3697)</f>
        <v/>
      </c>
      <c r="I3697">
        <f>IF(A3697="","",IF(AND(E3697&gt;=4,F3697&gt;=4,G3697&gt;=4),"Juara",IF(AND(F3697&gt;=4,E3697&gt;=3),"Setia",IF(AND(E3697=5,F3697&lt;=2,G3697&gt;=3),"Berpotensi",IF(AND(E3697&lt;=3,E3697&gt;=2,F3697&gt;=3),"Rawan",IF(AND(E3697&lt;=2,F3697&lt;=2),"Tidur","Umum"))))))</f>
        <v/>
      </c>
    </row>
    <row r="3698">
      <c r="B3698">
        <f>IF(A3698="","",$B$1-MAXIFS(Donasi!$A$2:$A$20000,Donasi!$B$2:$B$20000,A3698))</f>
        <v/>
      </c>
      <c r="C3698">
        <f>IF(A3698="","",COUNTIF(Donasi!$B$2:$B$20000,A3698))</f>
        <v/>
      </c>
      <c r="D3698">
        <f>IF(A3698="","",SUMIF(Donasi!$B$2:$B$20000,A3698,Donasi!$C$2:$C$20000))</f>
        <v/>
      </c>
      <c r="E3698">
        <f>IF(A3698="","",6-CEILING(PERCENTRANK.INC($B$3:$B$6000,B3698,4)*5+0.000001,1))</f>
        <v/>
      </c>
      <c r="F3698">
        <f>IF(A3698="","",MAX(1,CEILING(PERCENTRANK.INC($C$3:$C$6000,C3698,4)*5+0.000001,1)))</f>
        <v/>
      </c>
      <c r="G3698">
        <f>IF(A3698="","",MAX(1,CEILING(PERCENTRANK.INC($D$3:$D$6000,D3698,4)*5+0.000001,1)))</f>
        <v/>
      </c>
      <c r="H3698">
        <f>IF(A3698="","",E3698&amp;F3698&amp;G3698)</f>
        <v/>
      </c>
      <c r="I3698">
        <f>IF(A3698="","",IF(AND(E3698&gt;=4,F3698&gt;=4,G3698&gt;=4),"Juara",IF(AND(F3698&gt;=4,E3698&gt;=3),"Setia",IF(AND(E3698=5,F3698&lt;=2,G3698&gt;=3),"Berpotensi",IF(AND(E3698&lt;=3,E3698&gt;=2,F3698&gt;=3),"Rawan",IF(AND(E3698&lt;=2,F3698&lt;=2),"Tidur","Umum"))))))</f>
        <v/>
      </c>
    </row>
    <row r="3699">
      <c r="B3699">
        <f>IF(A3699="","",$B$1-MAXIFS(Donasi!$A$2:$A$20000,Donasi!$B$2:$B$20000,A3699))</f>
        <v/>
      </c>
      <c r="C3699">
        <f>IF(A3699="","",COUNTIF(Donasi!$B$2:$B$20000,A3699))</f>
        <v/>
      </c>
      <c r="D3699">
        <f>IF(A3699="","",SUMIF(Donasi!$B$2:$B$20000,A3699,Donasi!$C$2:$C$20000))</f>
        <v/>
      </c>
      <c r="E3699">
        <f>IF(A3699="","",6-CEILING(PERCENTRANK.INC($B$3:$B$6000,B3699,4)*5+0.000001,1))</f>
        <v/>
      </c>
      <c r="F3699">
        <f>IF(A3699="","",MAX(1,CEILING(PERCENTRANK.INC($C$3:$C$6000,C3699,4)*5+0.000001,1)))</f>
        <v/>
      </c>
      <c r="G3699">
        <f>IF(A3699="","",MAX(1,CEILING(PERCENTRANK.INC($D$3:$D$6000,D3699,4)*5+0.000001,1)))</f>
        <v/>
      </c>
      <c r="H3699">
        <f>IF(A3699="","",E3699&amp;F3699&amp;G3699)</f>
        <v/>
      </c>
      <c r="I3699">
        <f>IF(A3699="","",IF(AND(E3699&gt;=4,F3699&gt;=4,G3699&gt;=4),"Juara",IF(AND(F3699&gt;=4,E3699&gt;=3),"Setia",IF(AND(E3699=5,F3699&lt;=2,G3699&gt;=3),"Berpotensi",IF(AND(E3699&lt;=3,E3699&gt;=2,F3699&gt;=3),"Rawan",IF(AND(E3699&lt;=2,F3699&lt;=2),"Tidur","Umum"))))))</f>
        <v/>
      </c>
    </row>
    <row r="3700">
      <c r="B3700">
        <f>IF(A3700="","",$B$1-MAXIFS(Donasi!$A$2:$A$20000,Donasi!$B$2:$B$20000,A3700))</f>
        <v/>
      </c>
      <c r="C3700">
        <f>IF(A3700="","",COUNTIF(Donasi!$B$2:$B$20000,A3700))</f>
        <v/>
      </c>
      <c r="D3700">
        <f>IF(A3700="","",SUMIF(Donasi!$B$2:$B$20000,A3700,Donasi!$C$2:$C$20000))</f>
        <v/>
      </c>
      <c r="E3700">
        <f>IF(A3700="","",6-CEILING(PERCENTRANK.INC($B$3:$B$6000,B3700,4)*5+0.000001,1))</f>
        <v/>
      </c>
      <c r="F3700">
        <f>IF(A3700="","",MAX(1,CEILING(PERCENTRANK.INC($C$3:$C$6000,C3700,4)*5+0.000001,1)))</f>
        <v/>
      </c>
      <c r="G3700">
        <f>IF(A3700="","",MAX(1,CEILING(PERCENTRANK.INC($D$3:$D$6000,D3700,4)*5+0.000001,1)))</f>
        <v/>
      </c>
      <c r="H3700">
        <f>IF(A3700="","",E3700&amp;F3700&amp;G3700)</f>
        <v/>
      </c>
      <c r="I3700">
        <f>IF(A3700="","",IF(AND(E3700&gt;=4,F3700&gt;=4,G3700&gt;=4),"Juara",IF(AND(F3700&gt;=4,E3700&gt;=3),"Setia",IF(AND(E3700=5,F3700&lt;=2,G3700&gt;=3),"Berpotensi",IF(AND(E3700&lt;=3,E3700&gt;=2,F3700&gt;=3),"Rawan",IF(AND(E3700&lt;=2,F3700&lt;=2),"Tidur","Umum"))))))</f>
        <v/>
      </c>
    </row>
    <row r="3701">
      <c r="B3701">
        <f>IF(A3701="","",$B$1-MAXIFS(Donasi!$A$2:$A$20000,Donasi!$B$2:$B$20000,A3701))</f>
        <v/>
      </c>
      <c r="C3701">
        <f>IF(A3701="","",COUNTIF(Donasi!$B$2:$B$20000,A3701))</f>
        <v/>
      </c>
      <c r="D3701">
        <f>IF(A3701="","",SUMIF(Donasi!$B$2:$B$20000,A3701,Donasi!$C$2:$C$20000))</f>
        <v/>
      </c>
      <c r="E3701">
        <f>IF(A3701="","",6-CEILING(PERCENTRANK.INC($B$3:$B$6000,B3701,4)*5+0.000001,1))</f>
        <v/>
      </c>
      <c r="F3701">
        <f>IF(A3701="","",MAX(1,CEILING(PERCENTRANK.INC($C$3:$C$6000,C3701,4)*5+0.000001,1)))</f>
        <v/>
      </c>
      <c r="G3701">
        <f>IF(A3701="","",MAX(1,CEILING(PERCENTRANK.INC($D$3:$D$6000,D3701,4)*5+0.000001,1)))</f>
        <v/>
      </c>
      <c r="H3701">
        <f>IF(A3701="","",E3701&amp;F3701&amp;G3701)</f>
        <v/>
      </c>
      <c r="I3701">
        <f>IF(A3701="","",IF(AND(E3701&gt;=4,F3701&gt;=4,G3701&gt;=4),"Juara",IF(AND(F3701&gt;=4,E3701&gt;=3),"Setia",IF(AND(E3701=5,F3701&lt;=2,G3701&gt;=3),"Berpotensi",IF(AND(E3701&lt;=3,E3701&gt;=2,F3701&gt;=3),"Rawan",IF(AND(E3701&lt;=2,F3701&lt;=2),"Tidur","Umum"))))))</f>
        <v/>
      </c>
    </row>
    <row r="3702">
      <c r="B3702">
        <f>IF(A3702="","",$B$1-MAXIFS(Donasi!$A$2:$A$20000,Donasi!$B$2:$B$20000,A3702))</f>
        <v/>
      </c>
      <c r="C3702">
        <f>IF(A3702="","",COUNTIF(Donasi!$B$2:$B$20000,A3702))</f>
        <v/>
      </c>
      <c r="D3702">
        <f>IF(A3702="","",SUMIF(Donasi!$B$2:$B$20000,A3702,Donasi!$C$2:$C$20000))</f>
        <v/>
      </c>
      <c r="E3702">
        <f>IF(A3702="","",6-CEILING(PERCENTRANK.INC($B$3:$B$6000,B3702,4)*5+0.000001,1))</f>
        <v/>
      </c>
      <c r="F3702">
        <f>IF(A3702="","",MAX(1,CEILING(PERCENTRANK.INC($C$3:$C$6000,C3702,4)*5+0.000001,1)))</f>
        <v/>
      </c>
      <c r="G3702">
        <f>IF(A3702="","",MAX(1,CEILING(PERCENTRANK.INC($D$3:$D$6000,D3702,4)*5+0.000001,1)))</f>
        <v/>
      </c>
      <c r="H3702">
        <f>IF(A3702="","",E3702&amp;F3702&amp;G3702)</f>
        <v/>
      </c>
      <c r="I3702">
        <f>IF(A3702="","",IF(AND(E3702&gt;=4,F3702&gt;=4,G3702&gt;=4),"Juara",IF(AND(F3702&gt;=4,E3702&gt;=3),"Setia",IF(AND(E3702=5,F3702&lt;=2,G3702&gt;=3),"Berpotensi",IF(AND(E3702&lt;=3,E3702&gt;=2,F3702&gt;=3),"Rawan",IF(AND(E3702&lt;=2,F3702&lt;=2),"Tidur","Umum"))))))</f>
        <v/>
      </c>
    </row>
    <row r="3703">
      <c r="B3703">
        <f>IF(A3703="","",$B$1-MAXIFS(Donasi!$A$2:$A$20000,Donasi!$B$2:$B$20000,A3703))</f>
        <v/>
      </c>
      <c r="C3703">
        <f>IF(A3703="","",COUNTIF(Donasi!$B$2:$B$20000,A3703))</f>
        <v/>
      </c>
      <c r="D3703">
        <f>IF(A3703="","",SUMIF(Donasi!$B$2:$B$20000,A3703,Donasi!$C$2:$C$20000))</f>
        <v/>
      </c>
      <c r="E3703">
        <f>IF(A3703="","",6-CEILING(PERCENTRANK.INC($B$3:$B$6000,B3703,4)*5+0.000001,1))</f>
        <v/>
      </c>
      <c r="F3703">
        <f>IF(A3703="","",MAX(1,CEILING(PERCENTRANK.INC($C$3:$C$6000,C3703,4)*5+0.000001,1)))</f>
        <v/>
      </c>
      <c r="G3703">
        <f>IF(A3703="","",MAX(1,CEILING(PERCENTRANK.INC($D$3:$D$6000,D3703,4)*5+0.000001,1)))</f>
        <v/>
      </c>
      <c r="H3703">
        <f>IF(A3703="","",E3703&amp;F3703&amp;G3703)</f>
        <v/>
      </c>
      <c r="I3703">
        <f>IF(A3703="","",IF(AND(E3703&gt;=4,F3703&gt;=4,G3703&gt;=4),"Juara",IF(AND(F3703&gt;=4,E3703&gt;=3),"Setia",IF(AND(E3703=5,F3703&lt;=2,G3703&gt;=3),"Berpotensi",IF(AND(E3703&lt;=3,E3703&gt;=2,F3703&gt;=3),"Rawan",IF(AND(E3703&lt;=2,F3703&lt;=2),"Tidur","Umum"))))))</f>
        <v/>
      </c>
    </row>
    <row r="3704">
      <c r="B3704">
        <f>IF(A3704="","",$B$1-MAXIFS(Donasi!$A$2:$A$20000,Donasi!$B$2:$B$20000,A3704))</f>
        <v/>
      </c>
      <c r="C3704">
        <f>IF(A3704="","",COUNTIF(Donasi!$B$2:$B$20000,A3704))</f>
        <v/>
      </c>
      <c r="D3704">
        <f>IF(A3704="","",SUMIF(Donasi!$B$2:$B$20000,A3704,Donasi!$C$2:$C$20000))</f>
        <v/>
      </c>
      <c r="E3704">
        <f>IF(A3704="","",6-CEILING(PERCENTRANK.INC($B$3:$B$6000,B3704,4)*5+0.000001,1))</f>
        <v/>
      </c>
      <c r="F3704">
        <f>IF(A3704="","",MAX(1,CEILING(PERCENTRANK.INC($C$3:$C$6000,C3704,4)*5+0.000001,1)))</f>
        <v/>
      </c>
      <c r="G3704">
        <f>IF(A3704="","",MAX(1,CEILING(PERCENTRANK.INC($D$3:$D$6000,D3704,4)*5+0.000001,1)))</f>
        <v/>
      </c>
      <c r="H3704">
        <f>IF(A3704="","",E3704&amp;F3704&amp;G3704)</f>
        <v/>
      </c>
      <c r="I3704">
        <f>IF(A3704="","",IF(AND(E3704&gt;=4,F3704&gt;=4,G3704&gt;=4),"Juara",IF(AND(F3704&gt;=4,E3704&gt;=3),"Setia",IF(AND(E3704=5,F3704&lt;=2,G3704&gt;=3),"Berpotensi",IF(AND(E3704&lt;=3,E3704&gt;=2,F3704&gt;=3),"Rawan",IF(AND(E3704&lt;=2,F3704&lt;=2),"Tidur","Umum"))))))</f>
        <v/>
      </c>
    </row>
    <row r="3705">
      <c r="B3705">
        <f>IF(A3705="","",$B$1-MAXIFS(Donasi!$A$2:$A$20000,Donasi!$B$2:$B$20000,A3705))</f>
        <v/>
      </c>
      <c r="C3705">
        <f>IF(A3705="","",COUNTIF(Donasi!$B$2:$B$20000,A3705))</f>
        <v/>
      </c>
      <c r="D3705">
        <f>IF(A3705="","",SUMIF(Donasi!$B$2:$B$20000,A3705,Donasi!$C$2:$C$20000))</f>
        <v/>
      </c>
      <c r="E3705">
        <f>IF(A3705="","",6-CEILING(PERCENTRANK.INC($B$3:$B$6000,B3705,4)*5+0.000001,1))</f>
        <v/>
      </c>
      <c r="F3705">
        <f>IF(A3705="","",MAX(1,CEILING(PERCENTRANK.INC($C$3:$C$6000,C3705,4)*5+0.000001,1)))</f>
        <v/>
      </c>
      <c r="G3705">
        <f>IF(A3705="","",MAX(1,CEILING(PERCENTRANK.INC($D$3:$D$6000,D3705,4)*5+0.000001,1)))</f>
        <v/>
      </c>
      <c r="H3705">
        <f>IF(A3705="","",E3705&amp;F3705&amp;G3705)</f>
        <v/>
      </c>
      <c r="I3705">
        <f>IF(A3705="","",IF(AND(E3705&gt;=4,F3705&gt;=4,G3705&gt;=4),"Juara",IF(AND(F3705&gt;=4,E3705&gt;=3),"Setia",IF(AND(E3705=5,F3705&lt;=2,G3705&gt;=3),"Berpotensi",IF(AND(E3705&lt;=3,E3705&gt;=2,F3705&gt;=3),"Rawan",IF(AND(E3705&lt;=2,F3705&lt;=2),"Tidur","Umum"))))))</f>
        <v/>
      </c>
    </row>
    <row r="3706">
      <c r="B3706">
        <f>IF(A3706="","",$B$1-MAXIFS(Donasi!$A$2:$A$20000,Donasi!$B$2:$B$20000,A3706))</f>
        <v/>
      </c>
      <c r="C3706">
        <f>IF(A3706="","",COUNTIF(Donasi!$B$2:$B$20000,A3706))</f>
        <v/>
      </c>
      <c r="D3706">
        <f>IF(A3706="","",SUMIF(Donasi!$B$2:$B$20000,A3706,Donasi!$C$2:$C$20000))</f>
        <v/>
      </c>
      <c r="E3706">
        <f>IF(A3706="","",6-CEILING(PERCENTRANK.INC($B$3:$B$6000,B3706,4)*5+0.000001,1))</f>
        <v/>
      </c>
      <c r="F3706">
        <f>IF(A3706="","",MAX(1,CEILING(PERCENTRANK.INC($C$3:$C$6000,C3706,4)*5+0.000001,1)))</f>
        <v/>
      </c>
      <c r="G3706">
        <f>IF(A3706="","",MAX(1,CEILING(PERCENTRANK.INC($D$3:$D$6000,D3706,4)*5+0.000001,1)))</f>
        <v/>
      </c>
      <c r="H3706">
        <f>IF(A3706="","",E3706&amp;F3706&amp;G3706)</f>
        <v/>
      </c>
      <c r="I3706">
        <f>IF(A3706="","",IF(AND(E3706&gt;=4,F3706&gt;=4,G3706&gt;=4),"Juara",IF(AND(F3706&gt;=4,E3706&gt;=3),"Setia",IF(AND(E3706=5,F3706&lt;=2,G3706&gt;=3),"Berpotensi",IF(AND(E3706&lt;=3,E3706&gt;=2,F3706&gt;=3),"Rawan",IF(AND(E3706&lt;=2,F3706&lt;=2),"Tidur","Umum"))))))</f>
        <v/>
      </c>
    </row>
    <row r="3707">
      <c r="B3707">
        <f>IF(A3707="","",$B$1-MAXIFS(Donasi!$A$2:$A$20000,Donasi!$B$2:$B$20000,A3707))</f>
        <v/>
      </c>
      <c r="C3707">
        <f>IF(A3707="","",COUNTIF(Donasi!$B$2:$B$20000,A3707))</f>
        <v/>
      </c>
      <c r="D3707">
        <f>IF(A3707="","",SUMIF(Donasi!$B$2:$B$20000,A3707,Donasi!$C$2:$C$20000))</f>
        <v/>
      </c>
      <c r="E3707">
        <f>IF(A3707="","",6-CEILING(PERCENTRANK.INC($B$3:$B$6000,B3707,4)*5+0.000001,1))</f>
        <v/>
      </c>
      <c r="F3707">
        <f>IF(A3707="","",MAX(1,CEILING(PERCENTRANK.INC($C$3:$C$6000,C3707,4)*5+0.000001,1)))</f>
        <v/>
      </c>
      <c r="G3707">
        <f>IF(A3707="","",MAX(1,CEILING(PERCENTRANK.INC($D$3:$D$6000,D3707,4)*5+0.000001,1)))</f>
        <v/>
      </c>
      <c r="H3707">
        <f>IF(A3707="","",E3707&amp;F3707&amp;G3707)</f>
        <v/>
      </c>
      <c r="I3707">
        <f>IF(A3707="","",IF(AND(E3707&gt;=4,F3707&gt;=4,G3707&gt;=4),"Juara",IF(AND(F3707&gt;=4,E3707&gt;=3),"Setia",IF(AND(E3707=5,F3707&lt;=2,G3707&gt;=3),"Berpotensi",IF(AND(E3707&lt;=3,E3707&gt;=2,F3707&gt;=3),"Rawan",IF(AND(E3707&lt;=2,F3707&lt;=2),"Tidur","Umum"))))))</f>
        <v/>
      </c>
    </row>
    <row r="3708">
      <c r="B3708">
        <f>IF(A3708="","",$B$1-MAXIFS(Donasi!$A$2:$A$20000,Donasi!$B$2:$B$20000,A3708))</f>
        <v/>
      </c>
      <c r="C3708">
        <f>IF(A3708="","",COUNTIF(Donasi!$B$2:$B$20000,A3708))</f>
        <v/>
      </c>
      <c r="D3708">
        <f>IF(A3708="","",SUMIF(Donasi!$B$2:$B$20000,A3708,Donasi!$C$2:$C$20000))</f>
        <v/>
      </c>
      <c r="E3708">
        <f>IF(A3708="","",6-CEILING(PERCENTRANK.INC($B$3:$B$6000,B3708,4)*5+0.000001,1))</f>
        <v/>
      </c>
      <c r="F3708">
        <f>IF(A3708="","",MAX(1,CEILING(PERCENTRANK.INC($C$3:$C$6000,C3708,4)*5+0.000001,1)))</f>
        <v/>
      </c>
      <c r="G3708">
        <f>IF(A3708="","",MAX(1,CEILING(PERCENTRANK.INC($D$3:$D$6000,D3708,4)*5+0.000001,1)))</f>
        <v/>
      </c>
      <c r="H3708">
        <f>IF(A3708="","",E3708&amp;F3708&amp;G3708)</f>
        <v/>
      </c>
      <c r="I3708">
        <f>IF(A3708="","",IF(AND(E3708&gt;=4,F3708&gt;=4,G3708&gt;=4),"Juara",IF(AND(F3708&gt;=4,E3708&gt;=3),"Setia",IF(AND(E3708=5,F3708&lt;=2,G3708&gt;=3),"Berpotensi",IF(AND(E3708&lt;=3,E3708&gt;=2,F3708&gt;=3),"Rawan",IF(AND(E3708&lt;=2,F3708&lt;=2),"Tidur","Umum"))))))</f>
        <v/>
      </c>
    </row>
    <row r="3709">
      <c r="B3709">
        <f>IF(A3709="","",$B$1-MAXIFS(Donasi!$A$2:$A$20000,Donasi!$B$2:$B$20000,A3709))</f>
        <v/>
      </c>
      <c r="C3709">
        <f>IF(A3709="","",COUNTIF(Donasi!$B$2:$B$20000,A3709))</f>
        <v/>
      </c>
      <c r="D3709">
        <f>IF(A3709="","",SUMIF(Donasi!$B$2:$B$20000,A3709,Donasi!$C$2:$C$20000))</f>
        <v/>
      </c>
      <c r="E3709">
        <f>IF(A3709="","",6-CEILING(PERCENTRANK.INC($B$3:$B$6000,B3709,4)*5+0.000001,1))</f>
        <v/>
      </c>
      <c r="F3709">
        <f>IF(A3709="","",MAX(1,CEILING(PERCENTRANK.INC($C$3:$C$6000,C3709,4)*5+0.000001,1)))</f>
        <v/>
      </c>
      <c r="G3709">
        <f>IF(A3709="","",MAX(1,CEILING(PERCENTRANK.INC($D$3:$D$6000,D3709,4)*5+0.000001,1)))</f>
        <v/>
      </c>
      <c r="H3709">
        <f>IF(A3709="","",E3709&amp;F3709&amp;G3709)</f>
        <v/>
      </c>
      <c r="I3709">
        <f>IF(A3709="","",IF(AND(E3709&gt;=4,F3709&gt;=4,G3709&gt;=4),"Juara",IF(AND(F3709&gt;=4,E3709&gt;=3),"Setia",IF(AND(E3709=5,F3709&lt;=2,G3709&gt;=3),"Berpotensi",IF(AND(E3709&lt;=3,E3709&gt;=2,F3709&gt;=3),"Rawan",IF(AND(E3709&lt;=2,F3709&lt;=2),"Tidur","Umum"))))))</f>
        <v/>
      </c>
    </row>
    <row r="3710">
      <c r="B3710">
        <f>IF(A3710="","",$B$1-MAXIFS(Donasi!$A$2:$A$20000,Donasi!$B$2:$B$20000,A3710))</f>
        <v/>
      </c>
      <c r="C3710">
        <f>IF(A3710="","",COUNTIF(Donasi!$B$2:$B$20000,A3710))</f>
        <v/>
      </c>
      <c r="D3710">
        <f>IF(A3710="","",SUMIF(Donasi!$B$2:$B$20000,A3710,Donasi!$C$2:$C$20000))</f>
        <v/>
      </c>
      <c r="E3710">
        <f>IF(A3710="","",6-CEILING(PERCENTRANK.INC($B$3:$B$6000,B3710,4)*5+0.000001,1))</f>
        <v/>
      </c>
      <c r="F3710">
        <f>IF(A3710="","",MAX(1,CEILING(PERCENTRANK.INC($C$3:$C$6000,C3710,4)*5+0.000001,1)))</f>
        <v/>
      </c>
      <c r="G3710">
        <f>IF(A3710="","",MAX(1,CEILING(PERCENTRANK.INC($D$3:$D$6000,D3710,4)*5+0.000001,1)))</f>
        <v/>
      </c>
      <c r="H3710">
        <f>IF(A3710="","",E3710&amp;F3710&amp;G3710)</f>
        <v/>
      </c>
      <c r="I3710">
        <f>IF(A3710="","",IF(AND(E3710&gt;=4,F3710&gt;=4,G3710&gt;=4),"Juara",IF(AND(F3710&gt;=4,E3710&gt;=3),"Setia",IF(AND(E3710=5,F3710&lt;=2,G3710&gt;=3),"Berpotensi",IF(AND(E3710&lt;=3,E3710&gt;=2,F3710&gt;=3),"Rawan",IF(AND(E3710&lt;=2,F3710&lt;=2),"Tidur","Umum"))))))</f>
        <v/>
      </c>
    </row>
    <row r="3711">
      <c r="B3711">
        <f>IF(A3711="","",$B$1-MAXIFS(Donasi!$A$2:$A$20000,Donasi!$B$2:$B$20000,A3711))</f>
        <v/>
      </c>
      <c r="C3711">
        <f>IF(A3711="","",COUNTIF(Donasi!$B$2:$B$20000,A3711))</f>
        <v/>
      </c>
      <c r="D3711">
        <f>IF(A3711="","",SUMIF(Donasi!$B$2:$B$20000,A3711,Donasi!$C$2:$C$20000))</f>
        <v/>
      </c>
      <c r="E3711">
        <f>IF(A3711="","",6-CEILING(PERCENTRANK.INC($B$3:$B$6000,B3711,4)*5+0.000001,1))</f>
        <v/>
      </c>
      <c r="F3711">
        <f>IF(A3711="","",MAX(1,CEILING(PERCENTRANK.INC($C$3:$C$6000,C3711,4)*5+0.000001,1)))</f>
        <v/>
      </c>
      <c r="G3711">
        <f>IF(A3711="","",MAX(1,CEILING(PERCENTRANK.INC($D$3:$D$6000,D3711,4)*5+0.000001,1)))</f>
        <v/>
      </c>
      <c r="H3711">
        <f>IF(A3711="","",E3711&amp;F3711&amp;G3711)</f>
        <v/>
      </c>
      <c r="I3711">
        <f>IF(A3711="","",IF(AND(E3711&gt;=4,F3711&gt;=4,G3711&gt;=4),"Juara",IF(AND(F3711&gt;=4,E3711&gt;=3),"Setia",IF(AND(E3711=5,F3711&lt;=2,G3711&gt;=3),"Berpotensi",IF(AND(E3711&lt;=3,E3711&gt;=2,F3711&gt;=3),"Rawan",IF(AND(E3711&lt;=2,F3711&lt;=2),"Tidur","Umum"))))))</f>
        <v/>
      </c>
    </row>
    <row r="3712">
      <c r="B3712">
        <f>IF(A3712="","",$B$1-MAXIFS(Donasi!$A$2:$A$20000,Donasi!$B$2:$B$20000,A3712))</f>
        <v/>
      </c>
      <c r="C3712">
        <f>IF(A3712="","",COUNTIF(Donasi!$B$2:$B$20000,A3712))</f>
        <v/>
      </c>
      <c r="D3712">
        <f>IF(A3712="","",SUMIF(Donasi!$B$2:$B$20000,A3712,Donasi!$C$2:$C$20000))</f>
        <v/>
      </c>
      <c r="E3712">
        <f>IF(A3712="","",6-CEILING(PERCENTRANK.INC($B$3:$B$6000,B3712,4)*5+0.000001,1))</f>
        <v/>
      </c>
      <c r="F3712">
        <f>IF(A3712="","",MAX(1,CEILING(PERCENTRANK.INC($C$3:$C$6000,C3712,4)*5+0.000001,1)))</f>
        <v/>
      </c>
      <c r="G3712">
        <f>IF(A3712="","",MAX(1,CEILING(PERCENTRANK.INC($D$3:$D$6000,D3712,4)*5+0.000001,1)))</f>
        <v/>
      </c>
      <c r="H3712">
        <f>IF(A3712="","",E3712&amp;F3712&amp;G3712)</f>
        <v/>
      </c>
      <c r="I3712">
        <f>IF(A3712="","",IF(AND(E3712&gt;=4,F3712&gt;=4,G3712&gt;=4),"Juara",IF(AND(F3712&gt;=4,E3712&gt;=3),"Setia",IF(AND(E3712=5,F3712&lt;=2,G3712&gt;=3),"Berpotensi",IF(AND(E3712&lt;=3,E3712&gt;=2,F3712&gt;=3),"Rawan",IF(AND(E3712&lt;=2,F3712&lt;=2),"Tidur","Umum"))))))</f>
        <v/>
      </c>
    </row>
    <row r="3713">
      <c r="B3713">
        <f>IF(A3713="","",$B$1-MAXIFS(Donasi!$A$2:$A$20000,Donasi!$B$2:$B$20000,A3713))</f>
        <v/>
      </c>
      <c r="C3713">
        <f>IF(A3713="","",COUNTIF(Donasi!$B$2:$B$20000,A3713))</f>
        <v/>
      </c>
      <c r="D3713">
        <f>IF(A3713="","",SUMIF(Donasi!$B$2:$B$20000,A3713,Donasi!$C$2:$C$20000))</f>
        <v/>
      </c>
      <c r="E3713">
        <f>IF(A3713="","",6-CEILING(PERCENTRANK.INC($B$3:$B$6000,B3713,4)*5+0.000001,1))</f>
        <v/>
      </c>
      <c r="F3713">
        <f>IF(A3713="","",MAX(1,CEILING(PERCENTRANK.INC($C$3:$C$6000,C3713,4)*5+0.000001,1)))</f>
        <v/>
      </c>
      <c r="G3713">
        <f>IF(A3713="","",MAX(1,CEILING(PERCENTRANK.INC($D$3:$D$6000,D3713,4)*5+0.000001,1)))</f>
        <v/>
      </c>
      <c r="H3713">
        <f>IF(A3713="","",E3713&amp;F3713&amp;G3713)</f>
        <v/>
      </c>
      <c r="I3713">
        <f>IF(A3713="","",IF(AND(E3713&gt;=4,F3713&gt;=4,G3713&gt;=4),"Juara",IF(AND(F3713&gt;=4,E3713&gt;=3),"Setia",IF(AND(E3713=5,F3713&lt;=2,G3713&gt;=3),"Berpotensi",IF(AND(E3713&lt;=3,E3713&gt;=2,F3713&gt;=3),"Rawan",IF(AND(E3713&lt;=2,F3713&lt;=2),"Tidur","Umum"))))))</f>
        <v/>
      </c>
    </row>
    <row r="3714">
      <c r="B3714">
        <f>IF(A3714="","",$B$1-MAXIFS(Donasi!$A$2:$A$20000,Donasi!$B$2:$B$20000,A3714))</f>
        <v/>
      </c>
      <c r="C3714">
        <f>IF(A3714="","",COUNTIF(Donasi!$B$2:$B$20000,A3714))</f>
        <v/>
      </c>
      <c r="D3714">
        <f>IF(A3714="","",SUMIF(Donasi!$B$2:$B$20000,A3714,Donasi!$C$2:$C$20000))</f>
        <v/>
      </c>
      <c r="E3714">
        <f>IF(A3714="","",6-CEILING(PERCENTRANK.INC($B$3:$B$6000,B3714,4)*5+0.000001,1))</f>
        <v/>
      </c>
      <c r="F3714">
        <f>IF(A3714="","",MAX(1,CEILING(PERCENTRANK.INC($C$3:$C$6000,C3714,4)*5+0.000001,1)))</f>
        <v/>
      </c>
      <c r="G3714">
        <f>IF(A3714="","",MAX(1,CEILING(PERCENTRANK.INC($D$3:$D$6000,D3714,4)*5+0.000001,1)))</f>
        <v/>
      </c>
      <c r="H3714">
        <f>IF(A3714="","",E3714&amp;F3714&amp;G3714)</f>
        <v/>
      </c>
      <c r="I3714">
        <f>IF(A3714="","",IF(AND(E3714&gt;=4,F3714&gt;=4,G3714&gt;=4),"Juara",IF(AND(F3714&gt;=4,E3714&gt;=3),"Setia",IF(AND(E3714=5,F3714&lt;=2,G3714&gt;=3),"Berpotensi",IF(AND(E3714&lt;=3,E3714&gt;=2,F3714&gt;=3),"Rawan",IF(AND(E3714&lt;=2,F3714&lt;=2),"Tidur","Umum"))))))</f>
        <v/>
      </c>
    </row>
    <row r="3715">
      <c r="B3715">
        <f>IF(A3715="","",$B$1-MAXIFS(Donasi!$A$2:$A$20000,Donasi!$B$2:$B$20000,A3715))</f>
        <v/>
      </c>
      <c r="C3715">
        <f>IF(A3715="","",COUNTIF(Donasi!$B$2:$B$20000,A3715))</f>
        <v/>
      </c>
      <c r="D3715">
        <f>IF(A3715="","",SUMIF(Donasi!$B$2:$B$20000,A3715,Donasi!$C$2:$C$20000))</f>
        <v/>
      </c>
      <c r="E3715">
        <f>IF(A3715="","",6-CEILING(PERCENTRANK.INC($B$3:$B$6000,B3715,4)*5+0.000001,1))</f>
        <v/>
      </c>
      <c r="F3715">
        <f>IF(A3715="","",MAX(1,CEILING(PERCENTRANK.INC($C$3:$C$6000,C3715,4)*5+0.000001,1)))</f>
        <v/>
      </c>
      <c r="G3715">
        <f>IF(A3715="","",MAX(1,CEILING(PERCENTRANK.INC($D$3:$D$6000,D3715,4)*5+0.000001,1)))</f>
        <v/>
      </c>
      <c r="H3715">
        <f>IF(A3715="","",E3715&amp;F3715&amp;G3715)</f>
        <v/>
      </c>
      <c r="I3715">
        <f>IF(A3715="","",IF(AND(E3715&gt;=4,F3715&gt;=4,G3715&gt;=4),"Juara",IF(AND(F3715&gt;=4,E3715&gt;=3),"Setia",IF(AND(E3715=5,F3715&lt;=2,G3715&gt;=3),"Berpotensi",IF(AND(E3715&lt;=3,E3715&gt;=2,F3715&gt;=3),"Rawan",IF(AND(E3715&lt;=2,F3715&lt;=2),"Tidur","Umum"))))))</f>
        <v/>
      </c>
    </row>
    <row r="3716">
      <c r="B3716">
        <f>IF(A3716="","",$B$1-MAXIFS(Donasi!$A$2:$A$20000,Donasi!$B$2:$B$20000,A3716))</f>
        <v/>
      </c>
      <c r="C3716">
        <f>IF(A3716="","",COUNTIF(Donasi!$B$2:$B$20000,A3716))</f>
        <v/>
      </c>
      <c r="D3716">
        <f>IF(A3716="","",SUMIF(Donasi!$B$2:$B$20000,A3716,Donasi!$C$2:$C$20000))</f>
        <v/>
      </c>
      <c r="E3716">
        <f>IF(A3716="","",6-CEILING(PERCENTRANK.INC($B$3:$B$6000,B3716,4)*5+0.000001,1))</f>
        <v/>
      </c>
      <c r="F3716">
        <f>IF(A3716="","",MAX(1,CEILING(PERCENTRANK.INC($C$3:$C$6000,C3716,4)*5+0.000001,1)))</f>
        <v/>
      </c>
      <c r="G3716">
        <f>IF(A3716="","",MAX(1,CEILING(PERCENTRANK.INC($D$3:$D$6000,D3716,4)*5+0.000001,1)))</f>
        <v/>
      </c>
      <c r="H3716">
        <f>IF(A3716="","",E3716&amp;F3716&amp;G3716)</f>
        <v/>
      </c>
      <c r="I3716">
        <f>IF(A3716="","",IF(AND(E3716&gt;=4,F3716&gt;=4,G3716&gt;=4),"Juara",IF(AND(F3716&gt;=4,E3716&gt;=3),"Setia",IF(AND(E3716=5,F3716&lt;=2,G3716&gt;=3),"Berpotensi",IF(AND(E3716&lt;=3,E3716&gt;=2,F3716&gt;=3),"Rawan",IF(AND(E3716&lt;=2,F3716&lt;=2),"Tidur","Umum"))))))</f>
        <v/>
      </c>
    </row>
    <row r="3717">
      <c r="B3717">
        <f>IF(A3717="","",$B$1-MAXIFS(Donasi!$A$2:$A$20000,Donasi!$B$2:$B$20000,A3717))</f>
        <v/>
      </c>
      <c r="C3717">
        <f>IF(A3717="","",COUNTIF(Donasi!$B$2:$B$20000,A3717))</f>
        <v/>
      </c>
      <c r="D3717">
        <f>IF(A3717="","",SUMIF(Donasi!$B$2:$B$20000,A3717,Donasi!$C$2:$C$20000))</f>
        <v/>
      </c>
      <c r="E3717">
        <f>IF(A3717="","",6-CEILING(PERCENTRANK.INC($B$3:$B$6000,B3717,4)*5+0.000001,1))</f>
        <v/>
      </c>
      <c r="F3717">
        <f>IF(A3717="","",MAX(1,CEILING(PERCENTRANK.INC($C$3:$C$6000,C3717,4)*5+0.000001,1)))</f>
        <v/>
      </c>
      <c r="G3717">
        <f>IF(A3717="","",MAX(1,CEILING(PERCENTRANK.INC($D$3:$D$6000,D3717,4)*5+0.000001,1)))</f>
        <v/>
      </c>
      <c r="H3717">
        <f>IF(A3717="","",E3717&amp;F3717&amp;G3717)</f>
        <v/>
      </c>
      <c r="I3717">
        <f>IF(A3717="","",IF(AND(E3717&gt;=4,F3717&gt;=4,G3717&gt;=4),"Juara",IF(AND(F3717&gt;=4,E3717&gt;=3),"Setia",IF(AND(E3717=5,F3717&lt;=2,G3717&gt;=3),"Berpotensi",IF(AND(E3717&lt;=3,E3717&gt;=2,F3717&gt;=3),"Rawan",IF(AND(E3717&lt;=2,F3717&lt;=2),"Tidur","Umum"))))))</f>
        <v/>
      </c>
    </row>
    <row r="3718">
      <c r="B3718">
        <f>IF(A3718="","",$B$1-MAXIFS(Donasi!$A$2:$A$20000,Donasi!$B$2:$B$20000,A3718))</f>
        <v/>
      </c>
      <c r="C3718">
        <f>IF(A3718="","",COUNTIF(Donasi!$B$2:$B$20000,A3718))</f>
        <v/>
      </c>
      <c r="D3718">
        <f>IF(A3718="","",SUMIF(Donasi!$B$2:$B$20000,A3718,Donasi!$C$2:$C$20000))</f>
        <v/>
      </c>
      <c r="E3718">
        <f>IF(A3718="","",6-CEILING(PERCENTRANK.INC($B$3:$B$6000,B3718,4)*5+0.000001,1))</f>
        <v/>
      </c>
      <c r="F3718">
        <f>IF(A3718="","",MAX(1,CEILING(PERCENTRANK.INC($C$3:$C$6000,C3718,4)*5+0.000001,1)))</f>
        <v/>
      </c>
      <c r="G3718">
        <f>IF(A3718="","",MAX(1,CEILING(PERCENTRANK.INC($D$3:$D$6000,D3718,4)*5+0.000001,1)))</f>
        <v/>
      </c>
      <c r="H3718">
        <f>IF(A3718="","",E3718&amp;F3718&amp;G3718)</f>
        <v/>
      </c>
      <c r="I3718">
        <f>IF(A3718="","",IF(AND(E3718&gt;=4,F3718&gt;=4,G3718&gt;=4),"Juara",IF(AND(F3718&gt;=4,E3718&gt;=3),"Setia",IF(AND(E3718=5,F3718&lt;=2,G3718&gt;=3),"Berpotensi",IF(AND(E3718&lt;=3,E3718&gt;=2,F3718&gt;=3),"Rawan",IF(AND(E3718&lt;=2,F3718&lt;=2),"Tidur","Umum"))))))</f>
        <v/>
      </c>
    </row>
    <row r="3719">
      <c r="B3719">
        <f>IF(A3719="","",$B$1-MAXIFS(Donasi!$A$2:$A$20000,Donasi!$B$2:$B$20000,A3719))</f>
        <v/>
      </c>
      <c r="C3719">
        <f>IF(A3719="","",COUNTIF(Donasi!$B$2:$B$20000,A3719))</f>
        <v/>
      </c>
      <c r="D3719">
        <f>IF(A3719="","",SUMIF(Donasi!$B$2:$B$20000,A3719,Donasi!$C$2:$C$20000))</f>
        <v/>
      </c>
      <c r="E3719">
        <f>IF(A3719="","",6-CEILING(PERCENTRANK.INC($B$3:$B$6000,B3719,4)*5+0.000001,1))</f>
        <v/>
      </c>
      <c r="F3719">
        <f>IF(A3719="","",MAX(1,CEILING(PERCENTRANK.INC($C$3:$C$6000,C3719,4)*5+0.000001,1)))</f>
        <v/>
      </c>
      <c r="G3719">
        <f>IF(A3719="","",MAX(1,CEILING(PERCENTRANK.INC($D$3:$D$6000,D3719,4)*5+0.000001,1)))</f>
        <v/>
      </c>
      <c r="H3719">
        <f>IF(A3719="","",E3719&amp;F3719&amp;G3719)</f>
        <v/>
      </c>
      <c r="I3719">
        <f>IF(A3719="","",IF(AND(E3719&gt;=4,F3719&gt;=4,G3719&gt;=4),"Juara",IF(AND(F3719&gt;=4,E3719&gt;=3),"Setia",IF(AND(E3719=5,F3719&lt;=2,G3719&gt;=3),"Berpotensi",IF(AND(E3719&lt;=3,E3719&gt;=2,F3719&gt;=3),"Rawan",IF(AND(E3719&lt;=2,F3719&lt;=2),"Tidur","Umum"))))))</f>
        <v/>
      </c>
    </row>
    <row r="3720">
      <c r="B3720">
        <f>IF(A3720="","",$B$1-MAXIFS(Donasi!$A$2:$A$20000,Donasi!$B$2:$B$20000,A3720))</f>
        <v/>
      </c>
      <c r="C3720">
        <f>IF(A3720="","",COUNTIF(Donasi!$B$2:$B$20000,A3720))</f>
        <v/>
      </c>
      <c r="D3720">
        <f>IF(A3720="","",SUMIF(Donasi!$B$2:$B$20000,A3720,Donasi!$C$2:$C$20000))</f>
        <v/>
      </c>
      <c r="E3720">
        <f>IF(A3720="","",6-CEILING(PERCENTRANK.INC($B$3:$B$6000,B3720,4)*5+0.000001,1))</f>
        <v/>
      </c>
      <c r="F3720">
        <f>IF(A3720="","",MAX(1,CEILING(PERCENTRANK.INC($C$3:$C$6000,C3720,4)*5+0.000001,1)))</f>
        <v/>
      </c>
      <c r="G3720">
        <f>IF(A3720="","",MAX(1,CEILING(PERCENTRANK.INC($D$3:$D$6000,D3720,4)*5+0.000001,1)))</f>
        <v/>
      </c>
      <c r="H3720">
        <f>IF(A3720="","",E3720&amp;F3720&amp;G3720)</f>
        <v/>
      </c>
      <c r="I3720">
        <f>IF(A3720="","",IF(AND(E3720&gt;=4,F3720&gt;=4,G3720&gt;=4),"Juara",IF(AND(F3720&gt;=4,E3720&gt;=3),"Setia",IF(AND(E3720=5,F3720&lt;=2,G3720&gt;=3),"Berpotensi",IF(AND(E3720&lt;=3,E3720&gt;=2,F3720&gt;=3),"Rawan",IF(AND(E3720&lt;=2,F3720&lt;=2),"Tidur","Umum"))))))</f>
        <v/>
      </c>
    </row>
    <row r="3721">
      <c r="B3721">
        <f>IF(A3721="","",$B$1-MAXIFS(Donasi!$A$2:$A$20000,Donasi!$B$2:$B$20000,A3721))</f>
        <v/>
      </c>
      <c r="C3721">
        <f>IF(A3721="","",COUNTIF(Donasi!$B$2:$B$20000,A3721))</f>
        <v/>
      </c>
      <c r="D3721">
        <f>IF(A3721="","",SUMIF(Donasi!$B$2:$B$20000,A3721,Donasi!$C$2:$C$20000))</f>
        <v/>
      </c>
      <c r="E3721">
        <f>IF(A3721="","",6-CEILING(PERCENTRANK.INC($B$3:$B$6000,B3721,4)*5+0.000001,1))</f>
        <v/>
      </c>
      <c r="F3721">
        <f>IF(A3721="","",MAX(1,CEILING(PERCENTRANK.INC($C$3:$C$6000,C3721,4)*5+0.000001,1)))</f>
        <v/>
      </c>
      <c r="G3721">
        <f>IF(A3721="","",MAX(1,CEILING(PERCENTRANK.INC($D$3:$D$6000,D3721,4)*5+0.000001,1)))</f>
        <v/>
      </c>
      <c r="H3721">
        <f>IF(A3721="","",E3721&amp;F3721&amp;G3721)</f>
        <v/>
      </c>
      <c r="I3721">
        <f>IF(A3721="","",IF(AND(E3721&gt;=4,F3721&gt;=4,G3721&gt;=4),"Juara",IF(AND(F3721&gt;=4,E3721&gt;=3),"Setia",IF(AND(E3721=5,F3721&lt;=2,G3721&gt;=3),"Berpotensi",IF(AND(E3721&lt;=3,E3721&gt;=2,F3721&gt;=3),"Rawan",IF(AND(E3721&lt;=2,F3721&lt;=2),"Tidur","Umum"))))))</f>
        <v/>
      </c>
    </row>
    <row r="3722">
      <c r="B3722">
        <f>IF(A3722="","",$B$1-MAXIFS(Donasi!$A$2:$A$20000,Donasi!$B$2:$B$20000,A3722))</f>
        <v/>
      </c>
      <c r="C3722">
        <f>IF(A3722="","",COUNTIF(Donasi!$B$2:$B$20000,A3722))</f>
        <v/>
      </c>
      <c r="D3722">
        <f>IF(A3722="","",SUMIF(Donasi!$B$2:$B$20000,A3722,Donasi!$C$2:$C$20000))</f>
        <v/>
      </c>
      <c r="E3722">
        <f>IF(A3722="","",6-CEILING(PERCENTRANK.INC($B$3:$B$6000,B3722,4)*5+0.000001,1))</f>
        <v/>
      </c>
      <c r="F3722">
        <f>IF(A3722="","",MAX(1,CEILING(PERCENTRANK.INC($C$3:$C$6000,C3722,4)*5+0.000001,1)))</f>
        <v/>
      </c>
      <c r="G3722">
        <f>IF(A3722="","",MAX(1,CEILING(PERCENTRANK.INC($D$3:$D$6000,D3722,4)*5+0.000001,1)))</f>
        <v/>
      </c>
      <c r="H3722">
        <f>IF(A3722="","",E3722&amp;F3722&amp;G3722)</f>
        <v/>
      </c>
      <c r="I3722">
        <f>IF(A3722="","",IF(AND(E3722&gt;=4,F3722&gt;=4,G3722&gt;=4),"Juara",IF(AND(F3722&gt;=4,E3722&gt;=3),"Setia",IF(AND(E3722=5,F3722&lt;=2,G3722&gt;=3),"Berpotensi",IF(AND(E3722&lt;=3,E3722&gt;=2,F3722&gt;=3),"Rawan",IF(AND(E3722&lt;=2,F3722&lt;=2),"Tidur","Umum"))))))</f>
        <v/>
      </c>
    </row>
    <row r="3723">
      <c r="B3723">
        <f>IF(A3723="","",$B$1-MAXIFS(Donasi!$A$2:$A$20000,Donasi!$B$2:$B$20000,A3723))</f>
        <v/>
      </c>
      <c r="C3723">
        <f>IF(A3723="","",COUNTIF(Donasi!$B$2:$B$20000,A3723))</f>
        <v/>
      </c>
      <c r="D3723">
        <f>IF(A3723="","",SUMIF(Donasi!$B$2:$B$20000,A3723,Donasi!$C$2:$C$20000))</f>
        <v/>
      </c>
      <c r="E3723">
        <f>IF(A3723="","",6-CEILING(PERCENTRANK.INC($B$3:$B$6000,B3723,4)*5+0.000001,1))</f>
        <v/>
      </c>
      <c r="F3723">
        <f>IF(A3723="","",MAX(1,CEILING(PERCENTRANK.INC($C$3:$C$6000,C3723,4)*5+0.000001,1)))</f>
        <v/>
      </c>
      <c r="G3723">
        <f>IF(A3723="","",MAX(1,CEILING(PERCENTRANK.INC($D$3:$D$6000,D3723,4)*5+0.000001,1)))</f>
        <v/>
      </c>
      <c r="H3723">
        <f>IF(A3723="","",E3723&amp;F3723&amp;G3723)</f>
        <v/>
      </c>
      <c r="I3723">
        <f>IF(A3723="","",IF(AND(E3723&gt;=4,F3723&gt;=4,G3723&gt;=4),"Juara",IF(AND(F3723&gt;=4,E3723&gt;=3),"Setia",IF(AND(E3723=5,F3723&lt;=2,G3723&gt;=3),"Berpotensi",IF(AND(E3723&lt;=3,E3723&gt;=2,F3723&gt;=3),"Rawan",IF(AND(E3723&lt;=2,F3723&lt;=2),"Tidur","Umum"))))))</f>
        <v/>
      </c>
    </row>
    <row r="3724">
      <c r="B3724">
        <f>IF(A3724="","",$B$1-MAXIFS(Donasi!$A$2:$A$20000,Donasi!$B$2:$B$20000,A3724))</f>
        <v/>
      </c>
      <c r="C3724">
        <f>IF(A3724="","",COUNTIF(Donasi!$B$2:$B$20000,A3724))</f>
        <v/>
      </c>
      <c r="D3724">
        <f>IF(A3724="","",SUMIF(Donasi!$B$2:$B$20000,A3724,Donasi!$C$2:$C$20000))</f>
        <v/>
      </c>
      <c r="E3724">
        <f>IF(A3724="","",6-CEILING(PERCENTRANK.INC($B$3:$B$6000,B3724,4)*5+0.000001,1))</f>
        <v/>
      </c>
      <c r="F3724">
        <f>IF(A3724="","",MAX(1,CEILING(PERCENTRANK.INC($C$3:$C$6000,C3724,4)*5+0.000001,1)))</f>
        <v/>
      </c>
      <c r="G3724">
        <f>IF(A3724="","",MAX(1,CEILING(PERCENTRANK.INC($D$3:$D$6000,D3724,4)*5+0.000001,1)))</f>
        <v/>
      </c>
      <c r="H3724">
        <f>IF(A3724="","",E3724&amp;F3724&amp;G3724)</f>
        <v/>
      </c>
      <c r="I3724">
        <f>IF(A3724="","",IF(AND(E3724&gt;=4,F3724&gt;=4,G3724&gt;=4),"Juara",IF(AND(F3724&gt;=4,E3724&gt;=3),"Setia",IF(AND(E3724=5,F3724&lt;=2,G3724&gt;=3),"Berpotensi",IF(AND(E3724&lt;=3,E3724&gt;=2,F3724&gt;=3),"Rawan",IF(AND(E3724&lt;=2,F3724&lt;=2),"Tidur","Umum"))))))</f>
        <v/>
      </c>
    </row>
    <row r="3725">
      <c r="B3725">
        <f>IF(A3725="","",$B$1-MAXIFS(Donasi!$A$2:$A$20000,Donasi!$B$2:$B$20000,A3725))</f>
        <v/>
      </c>
      <c r="C3725">
        <f>IF(A3725="","",COUNTIF(Donasi!$B$2:$B$20000,A3725))</f>
        <v/>
      </c>
      <c r="D3725">
        <f>IF(A3725="","",SUMIF(Donasi!$B$2:$B$20000,A3725,Donasi!$C$2:$C$20000))</f>
        <v/>
      </c>
      <c r="E3725">
        <f>IF(A3725="","",6-CEILING(PERCENTRANK.INC($B$3:$B$6000,B3725,4)*5+0.000001,1))</f>
        <v/>
      </c>
      <c r="F3725">
        <f>IF(A3725="","",MAX(1,CEILING(PERCENTRANK.INC($C$3:$C$6000,C3725,4)*5+0.000001,1)))</f>
        <v/>
      </c>
      <c r="G3725">
        <f>IF(A3725="","",MAX(1,CEILING(PERCENTRANK.INC($D$3:$D$6000,D3725,4)*5+0.000001,1)))</f>
        <v/>
      </c>
      <c r="H3725">
        <f>IF(A3725="","",E3725&amp;F3725&amp;G3725)</f>
        <v/>
      </c>
      <c r="I3725">
        <f>IF(A3725="","",IF(AND(E3725&gt;=4,F3725&gt;=4,G3725&gt;=4),"Juara",IF(AND(F3725&gt;=4,E3725&gt;=3),"Setia",IF(AND(E3725=5,F3725&lt;=2,G3725&gt;=3),"Berpotensi",IF(AND(E3725&lt;=3,E3725&gt;=2,F3725&gt;=3),"Rawan",IF(AND(E3725&lt;=2,F3725&lt;=2),"Tidur","Umum"))))))</f>
        <v/>
      </c>
    </row>
    <row r="3726">
      <c r="B3726">
        <f>IF(A3726="","",$B$1-MAXIFS(Donasi!$A$2:$A$20000,Donasi!$B$2:$B$20000,A3726))</f>
        <v/>
      </c>
      <c r="C3726">
        <f>IF(A3726="","",COUNTIF(Donasi!$B$2:$B$20000,A3726))</f>
        <v/>
      </c>
      <c r="D3726">
        <f>IF(A3726="","",SUMIF(Donasi!$B$2:$B$20000,A3726,Donasi!$C$2:$C$20000))</f>
        <v/>
      </c>
      <c r="E3726">
        <f>IF(A3726="","",6-CEILING(PERCENTRANK.INC($B$3:$B$6000,B3726,4)*5+0.000001,1))</f>
        <v/>
      </c>
      <c r="F3726">
        <f>IF(A3726="","",MAX(1,CEILING(PERCENTRANK.INC($C$3:$C$6000,C3726,4)*5+0.000001,1)))</f>
        <v/>
      </c>
      <c r="G3726">
        <f>IF(A3726="","",MAX(1,CEILING(PERCENTRANK.INC($D$3:$D$6000,D3726,4)*5+0.000001,1)))</f>
        <v/>
      </c>
      <c r="H3726">
        <f>IF(A3726="","",E3726&amp;F3726&amp;G3726)</f>
        <v/>
      </c>
      <c r="I3726">
        <f>IF(A3726="","",IF(AND(E3726&gt;=4,F3726&gt;=4,G3726&gt;=4),"Juara",IF(AND(F3726&gt;=4,E3726&gt;=3),"Setia",IF(AND(E3726=5,F3726&lt;=2,G3726&gt;=3),"Berpotensi",IF(AND(E3726&lt;=3,E3726&gt;=2,F3726&gt;=3),"Rawan",IF(AND(E3726&lt;=2,F3726&lt;=2),"Tidur","Umum"))))))</f>
        <v/>
      </c>
    </row>
    <row r="3727">
      <c r="B3727">
        <f>IF(A3727="","",$B$1-MAXIFS(Donasi!$A$2:$A$20000,Donasi!$B$2:$B$20000,A3727))</f>
        <v/>
      </c>
      <c r="C3727">
        <f>IF(A3727="","",COUNTIF(Donasi!$B$2:$B$20000,A3727))</f>
        <v/>
      </c>
      <c r="D3727">
        <f>IF(A3727="","",SUMIF(Donasi!$B$2:$B$20000,A3727,Donasi!$C$2:$C$20000))</f>
        <v/>
      </c>
      <c r="E3727">
        <f>IF(A3727="","",6-CEILING(PERCENTRANK.INC($B$3:$B$6000,B3727,4)*5+0.000001,1))</f>
        <v/>
      </c>
      <c r="F3727">
        <f>IF(A3727="","",MAX(1,CEILING(PERCENTRANK.INC($C$3:$C$6000,C3727,4)*5+0.000001,1)))</f>
        <v/>
      </c>
      <c r="G3727">
        <f>IF(A3727="","",MAX(1,CEILING(PERCENTRANK.INC($D$3:$D$6000,D3727,4)*5+0.000001,1)))</f>
        <v/>
      </c>
      <c r="H3727">
        <f>IF(A3727="","",E3727&amp;F3727&amp;G3727)</f>
        <v/>
      </c>
      <c r="I3727">
        <f>IF(A3727="","",IF(AND(E3727&gt;=4,F3727&gt;=4,G3727&gt;=4),"Juara",IF(AND(F3727&gt;=4,E3727&gt;=3),"Setia",IF(AND(E3727=5,F3727&lt;=2,G3727&gt;=3),"Berpotensi",IF(AND(E3727&lt;=3,E3727&gt;=2,F3727&gt;=3),"Rawan",IF(AND(E3727&lt;=2,F3727&lt;=2),"Tidur","Umum"))))))</f>
        <v/>
      </c>
    </row>
    <row r="3728">
      <c r="B3728">
        <f>IF(A3728="","",$B$1-MAXIFS(Donasi!$A$2:$A$20000,Donasi!$B$2:$B$20000,A3728))</f>
        <v/>
      </c>
      <c r="C3728">
        <f>IF(A3728="","",COUNTIF(Donasi!$B$2:$B$20000,A3728))</f>
        <v/>
      </c>
      <c r="D3728">
        <f>IF(A3728="","",SUMIF(Donasi!$B$2:$B$20000,A3728,Donasi!$C$2:$C$20000))</f>
        <v/>
      </c>
      <c r="E3728">
        <f>IF(A3728="","",6-CEILING(PERCENTRANK.INC($B$3:$B$6000,B3728,4)*5+0.000001,1))</f>
        <v/>
      </c>
      <c r="F3728">
        <f>IF(A3728="","",MAX(1,CEILING(PERCENTRANK.INC($C$3:$C$6000,C3728,4)*5+0.000001,1)))</f>
        <v/>
      </c>
      <c r="G3728">
        <f>IF(A3728="","",MAX(1,CEILING(PERCENTRANK.INC($D$3:$D$6000,D3728,4)*5+0.000001,1)))</f>
        <v/>
      </c>
      <c r="H3728">
        <f>IF(A3728="","",E3728&amp;F3728&amp;G3728)</f>
        <v/>
      </c>
      <c r="I3728">
        <f>IF(A3728="","",IF(AND(E3728&gt;=4,F3728&gt;=4,G3728&gt;=4),"Juara",IF(AND(F3728&gt;=4,E3728&gt;=3),"Setia",IF(AND(E3728=5,F3728&lt;=2,G3728&gt;=3),"Berpotensi",IF(AND(E3728&lt;=3,E3728&gt;=2,F3728&gt;=3),"Rawan",IF(AND(E3728&lt;=2,F3728&lt;=2),"Tidur","Umum"))))))</f>
        <v/>
      </c>
    </row>
    <row r="3729">
      <c r="B3729">
        <f>IF(A3729="","",$B$1-MAXIFS(Donasi!$A$2:$A$20000,Donasi!$B$2:$B$20000,A3729))</f>
        <v/>
      </c>
      <c r="C3729">
        <f>IF(A3729="","",COUNTIF(Donasi!$B$2:$B$20000,A3729))</f>
        <v/>
      </c>
      <c r="D3729">
        <f>IF(A3729="","",SUMIF(Donasi!$B$2:$B$20000,A3729,Donasi!$C$2:$C$20000))</f>
        <v/>
      </c>
      <c r="E3729">
        <f>IF(A3729="","",6-CEILING(PERCENTRANK.INC($B$3:$B$6000,B3729,4)*5+0.000001,1))</f>
        <v/>
      </c>
      <c r="F3729">
        <f>IF(A3729="","",MAX(1,CEILING(PERCENTRANK.INC($C$3:$C$6000,C3729,4)*5+0.000001,1)))</f>
        <v/>
      </c>
      <c r="G3729">
        <f>IF(A3729="","",MAX(1,CEILING(PERCENTRANK.INC($D$3:$D$6000,D3729,4)*5+0.000001,1)))</f>
        <v/>
      </c>
      <c r="H3729">
        <f>IF(A3729="","",E3729&amp;F3729&amp;G3729)</f>
        <v/>
      </c>
      <c r="I3729">
        <f>IF(A3729="","",IF(AND(E3729&gt;=4,F3729&gt;=4,G3729&gt;=4),"Juara",IF(AND(F3729&gt;=4,E3729&gt;=3),"Setia",IF(AND(E3729=5,F3729&lt;=2,G3729&gt;=3),"Berpotensi",IF(AND(E3729&lt;=3,E3729&gt;=2,F3729&gt;=3),"Rawan",IF(AND(E3729&lt;=2,F3729&lt;=2),"Tidur","Umum"))))))</f>
        <v/>
      </c>
    </row>
    <row r="3730">
      <c r="B3730">
        <f>IF(A3730="","",$B$1-MAXIFS(Donasi!$A$2:$A$20000,Donasi!$B$2:$B$20000,A3730))</f>
        <v/>
      </c>
      <c r="C3730">
        <f>IF(A3730="","",COUNTIF(Donasi!$B$2:$B$20000,A3730))</f>
        <v/>
      </c>
      <c r="D3730">
        <f>IF(A3730="","",SUMIF(Donasi!$B$2:$B$20000,A3730,Donasi!$C$2:$C$20000))</f>
        <v/>
      </c>
      <c r="E3730">
        <f>IF(A3730="","",6-CEILING(PERCENTRANK.INC($B$3:$B$6000,B3730,4)*5+0.000001,1))</f>
        <v/>
      </c>
      <c r="F3730">
        <f>IF(A3730="","",MAX(1,CEILING(PERCENTRANK.INC($C$3:$C$6000,C3730,4)*5+0.000001,1)))</f>
        <v/>
      </c>
      <c r="G3730">
        <f>IF(A3730="","",MAX(1,CEILING(PERCENTRANK.INC($D$3:$D$6000,D3730,4)*5+0.000001,1)))</f>
        <v/>
      </c>
      <c r="H3730">
        <f>IF(A3730="","",E3730&amp;F3730&amp;G3730)</f>
        <v/>
      </c>
      <c r="I3730">
        <f>IF(A3730="","",IF(AND(E3730&gt;=4,F3730&gt;=4,G3730&gt;=4),"Juara",IF(AND(F3730&gt;=4,E3730&gt;=3),"Setia",IF(AND(E3730=5,F3730&lt;=2,G3730&gt;=3),"Berpotensi",IF(AND(E3730&lt;=3,E3730&gt;=2,F3730&gt;=3),"Rawan",IF(AND(E3730&lt;=2,F3730&lt;=2),"Tidur","Umum"))))))</f>
        <v/>
      </c>
    </row>
    <row r="3731">
      <c r="B3731">
        <f>IF(A3731="","",$B$1-MAXIFS(Donasi!$A$2:$A$20000,Donasi!$B$2:$B$20000,A3731))</f>
        <v/>
      </c>
      <c r="C3731">
        <f>IF(A3731="","",COUNTIF(Donasi!$B$2:$B$20000,A3731))</f>
        <v/>
      </c>
      <c r="D3731">
        <f>IF(A3731="","",SUMIF(Donasi!$B$2:$B$20000,A3731,Donasi!$C$2:$C$20000))</f>
        <v/>
      </c>
      <c r="E3731">
        <f>IF(A3731="","",6-CEILING(PERCENTRANK.INC($B$3:$B$6000,B3731,4)*5+0.000001,1))</f>
        <v/>
      </c>
      <c r="F3731">
        <f>IF(A3731="","",MAX(1,CEILING(PERCENTRANK.INC($C$3:$C$6000,C3731,4)*5+0.000001,1)))</f>
        <v/>
      </c>
      <c r="G3731">
        <f>IF(A3731="","",MAX(1,CEILING(PERCENTRANK.INC($D$3:$D$6000,D3731,4)*5+0.000001,1)))</f>
        <v/>
      </c>
      <c r="H3731">
        <f>IF(A3731="","",E3731&amp;F3731&amp;G3731)</f>
        <v/>
      </c>
      <c r="I3731">
        <f>IF(A3731="","",IF(AND(E3731&gt;=4,F3731&gt;=4,G3731&gt;=4),"Juara",IF(AND(F3731&gt;=4,E3731&gt;=3),"Setia",IF(AND(E3731=5,F3731&lt;=2,G3731&gt;=3),"Berpotensi",IF(AND(E3731&lt;=3,E3731&gt;=2,F3731&gt;=3),"Rawan",IF(AND(E3731&lt;=2,F3731&lt;=2),"Tidur","Umum"))))))</f>
        <v/>
      </c>
    </row>
    <row r="3732">
      <c r="B3732">
        <f>IF(A3732="","",$B$1-MAXIFS(Donasi!$A$2:$A$20000,Donasi!$B$2:$B$20000,A3732))</f>
        <v/>
      </c>
      <c r="C3732">
        <f>IF(A3732="","",COUNTIF(Donasi!$B$2:$B$20000,A3732))</f>
        <v/>
      </c>
      <c r="D3732">
        <f>IF(A3732="","",SUMIF(Donasi!$B$2:$B$20000,A3732,Donasi!$C$2:$C$20000))</f>
        <v/>
      </c>
      <c r="E3732">
        <f>IF(A3732="","",6-CEILING(PERCENTRANK.INC($B$3:$B$6000,B3732,4)*5+0.000001,1))</f>
        <v/>
      </c>
      <c r="F3732">
        <f>IF(A3732="","",MAX(1,CEILING(PERCENTRANK.INC($C$3:$C$6000,C3732,4)*5+0.000001,1)))</f>
        <v/>
      </c>
      <c r="G3732">
        <f>IF(A3732="","",MAX(1,CEILING(PERCENTRANK.INC($D$3:$D$6000,D3732,4)*5+0.000001,1)))</f>
        <v/>
      </c>
      <c r="H3732">
        <f>IF(A3732="","",E3732&amp;F3732&amp;G3732)</f>
        <v/>
      </c>
      <c r="I3732">
        <f>IF(A3732="","",IF(AND(E3732&gt;=4,F3732&gt;=4,G3732&gt;=4),"Juara",IF(AND(F3732&gt;=4,E3732&gt;=3),"Setia",IF(AND(E3732=5,F3732&lt;=2,G3732&gt;=3),"Berpotensi",IF(AND(E3732&lt;=3,E3732&gt;=2,F3732&gt;=3),"Rawan",IF(AND(E3732&lt;=2,F3732&lt;=2),"Tidur","Umum"))))))</f>
        <v/>
      </c>
    </row>
    <row r="3733">
      <c r="B3733">
        <f>IF(A3733="","",$B$1-MAXIFS(Donasi!$A$2:$A$20000,Donasi!$B$2:$B$20000,A3733))</f>
        <v/>
      </c>
      <c r="C3733">
        <f>IF(A3733="","",COUNTIF(Donasi!$B$2:$B$20000,A3733))</f>
        <v/>
      </c>
      <c r="D3733">
        <f>IF(A3733="","",SUMIF(Donasi!$B$2:$B$20000,A3733,Donasi!$C$2:$C$20000))</f>
        <v/>
      </c>
      <c r="E3733">
        <f>IF(A3733="","",6-CEILING(PERCENTRANK.INC($B$3:$B$6000,B3733,4)*5+0.000001,1))</f>
        <v/>
      </c>
      <c r="F3733">
        <f>IF(A3733="","",MAX(1,CEILING(PERCENTRANK.INC($C$3:$C$6000,C3733,4)*5+0.000001,1)))</f>
        <v/>
      </c>
      <c r="G3733">
        <f>IF(A3733="","",MAX(1,CEILING(PERCENTRANK.INC($D$3:$D$6000,D3733,4)*5+0.000001,1)))</f>
        <v/>
      </c>
      <c r="H3733">
        <f>IF(A3733="","",E3733&amp;F3733&amp;G3733)</f>
        <v/>
      </c>
      <c r="I3733">
        <f>IF(A3733="","",IF(AND(E3733&gt;=4,F3733&gt;=4,G3733&gt;=4),"Juara",IF(AND(F3733&gt;=4,E3733&gt;=3),"Setia",IF(AND(E3733=5,F3733&lt;=2,G3733&gt;=3),"Berpotensi",IF(AND(E3733&lt;=3,E3733&gt;=2,F3733&gt;=3),"Rawan",IF(AND(E3733&lt;=2,F3733&lt;=2),"Tidur","Umum"))))))</f>
        <v/>
      </c>
    </row>
    <row r="3734">
      <c r="B3734">
        <f>IF(A3734="","",$B$1-MAXIFS(Donasi!$A$2:$A$20000,Donasi!$B$2:$B$20000,A3734))</f>
        <v/>
      </c>
      <c r="C3734">
        <f>IF(A3734="","",COUNTIF(Donasi!$B$2:$B$20000,A3734))</f>
        <v/>
      </c>
      <c r="D3734">
        <f>IF(A3734="","",SUMIF(Donasi!$B$2:$B$20000,A3734,Donasi!$C$2:$C$20000))</f>
        <v/>
      </c>
      <c r="E3734">
        <f>IF(A3734="","",6-CEILING(PERCENTRANK.INC($B$3:$B$6000,B3734,4)*5+0.000001,1))</f>
        <v/>
      </c>
      <c r="F3734">
        <f>IF(A3734="","",MAX(1,CEILING(PERCENTRANK.INC($C$3:$C$6000,C3734,4)*5+0.000001,1)))</f>
        <v/>
      </c>
      <c r="G3734">
        <f>IF(A3734="","",MAX(1,CEILING(PERCENTRANK.INC($D$3:$D$6000,D3734,4)*5+0.000001,1)))</f>
        <v/>
      </c>
      <c r="H3734">
        <f>IF(A3734="","",E3734&amp;F3734&amp;G3734)</f>
        <v/>
      </c>
      <c r="I3734">
        <f>IF(A3734="","",IF(AND(E3734&gt;=4,F3734&gt;=4,G3734&gt;=4),"Juara",IF(AND(F3734&gt;=4,E3734&gt;=3),"Setia",IF(AND(E3734=5,F3734&lt;=2,G3734&gt;=3),"Berpotensi",IF(AND(E3734&lt;=3,E3734&gt;=2,F3734&gt;=3),"Rawan",IF(AND(E3734&lt;=2,F3734&lt;=2),"Tidur","Umum"))))))</f>
        <v/>
      </c>
    </row>
    <row r="3735">
      <c r="B3735">
        <f>IF(A3735="","",$B$1-MAXIFS(Donasi!$A$2:$A$20000,Donasi!$B$2:$B$20000,A3735))</f>
        <v/>
      </c>
      <c r="C3735">
        <f>IF(A3735="","",COUNTIF(Donasi!$B$2:$B$20000,A3735))</f>
        <v/>
      </c>
      <c r="D3735">
        <f>IF(A3735="","",SUMIF(Donasi!$B$2:$B$20000,A3735,Donasi!$C$2:$C$20000))</f>
        <v/>
      </c>
      <c r="E3735">
        <f>IF(A3735="","",6-CEILING(PERCENTRANK.INC($B$3:$B$6000,B3735,4)*5+0.000001,1))</f>
        <v/>
      </c>
      <c r="F3735">
        <f>IF(A3735="","",MAX(1,CEILING(PERCENTRANK.INC($C$3:$C$6000,C3735,4)*5+0.000001,1)))</f>
        <v/>
      </c>
      <c r="G3735">
        <f>IF(A3735="","",MAX(1,CEILING(PERCENTRANK.INC($D$3:$D$6000,D3735,4)*5+0.000001,1)))</f>
        <v/>
      </c>
      <c r="H3735">
        <f>IF(A3735="","",E3735&amp;F3735&amp;G3735)</f>
        <v/>
      </c>
      <c r="I3735">
        <f>IF(A3735="","",IF(AND(E3735&gt;=4,F3735&gt;=4,G3735&gt;=4),"Juara",IF(AND(F3735&gt;=4,E3735&gt;=3),"Setia",IF(AND(E3735=5,F3735&lt;=2,G3735&gt;=3),"Berpotensi",IF(AND(E3735&lt;=3,E3735&gt;=2,F3735&gt;=3),"Rawan",IF(AND(E3735&lt;=2,F3735&lt;=2),"Tidur","Umum"))))))</f>
        <v/>
      </c>
    </row>
    <row r="3736">
      <c r="B3736">
        <f>IF(A3736="","",$B$1-MAXIFS(Donasi!$A$2:$A$20000,Donasi!$B$2:$B$20000,A3736))</f>
        <v/>
      </c>
      <c r="C3736">
        <f>IF(A3736="","",COUNTIF(Donasi!$B$2:$B$20000,A3736))</f>
        <v/>
      </c>
      <c r="D3736">
        <f>IF(A3736="","",SUMIF(Donasi!$B$2:$B$20000,A3736,Donasi!$C$2:$C$20000))</f>
        <v/>
      </c>
      <c r="E3736">
        <f>IF(A3736="","",6-CEILING(PERCENTRANK.INC($B$3:$B$6000,B3736,4)*5+0.000001,1))</f>
        <v/>
      </c>
      <c r="F3736">
        <f>IF(A3736="","",MAX(1,CEILING(PERCENTRANK.INC($C$3:$C$6000,C3736,4)*5+0.000001,1)))</f>
        <v/>
      </c>
      <c r="G3736">
        <f>IF(A3736="","",MAX(1,CEILING(PERCENTRANK.INC($D$3:$D$6000,D3736,4)*5+0.000001,1)))</f>
        <v/>
      </c>
      <c r="H3736">
        <f>IF(A3736="","",E3736&amp;F3736&amp;G3736)</f>
        <v/>
      </c>
      <c r="I3736">
        <f>IF(A3736="","",IF(AND(E3736&gt;=4,F3736&gt;=4,G3736&gt;=4),"Juara",IF(AND(F3736&gt;=4,E3736&gt;=3),"Setia",IF(AND(E3736=5,F3736&lt;=2,G3736&gt;=3),"Berpotensi",IF(AND(E3736&lt;=3,E3736&gt;=2,F3736&gt;=3),"Rawan",IF(AND(E3736&lt;=2,F3736&lt;=2),"Tidur","Umum"))))))</f>
        <v/>
      </c>
    </row>
    <row r="3737">
      <c r="B3737">
        <f>IF(A3737="","",$B$1-MAXIFS(Donasi!$A$2:$A$20000,Donasi!$B$2:$B$20000,A3737))</f>
        <v/>
      </c>
      <c r="C3737">
        <f>IF(A3737="","",COUNTIF(Donasi!$B$2:$B$20000,A3737))</f>
        <v/>
      </c>
      <c r="D3737">
        <f>IF(A3737="","",SUMIF(Donasi!$B$2:$B$20000,A3737,Donasi!$C$2:$C$20000))</f>
        <v/>
      </c>
      <c r="E3737">
        <f>IF(A3737="","",6-CEILING(PERCENTRANK.INC($B$3:$B$6000,B3737,4)*5+0.000001,1))</f>
        <v/>
      </c>
      <c r="F3737">
        <f>IF(A3737="","",MAX(1,CEILING(PERCENTRANK.INC($C$3:$C$6000,C3737,4)*5+0.000001,1)))</f>
        <v/>
      </c>
      <c r="G3737">
        <f>IF(A3737="","",MAX(1,CEILING(PERCENTRANK.INC($D$3:$D$6000,D3737,4)*5+0.000001,1)))</f>
        <v/>
      </c>
      <c r="H3737">
        <f>IF(A3737="","",E3737&amp;F3737&amp;G3737)</f>
        <v/>
      </c>
      <c r="I3737">
        <f>IF(A3737="","",IF(AND(E3737&gt;=4,F3737&gt;=4,G3737&gt;=4),"Juara",IF(AND(F3737&gt;=4,E3737&gt;=3),"Setia",IF(AND(E3737=5,F3737&lt;=2,G3737&gt;=3),"Berpotensi",IF(AND(E3737&lt;=3,E3737&gt;=2,F3737&gt;=3),"Rawan",IF(AND(E3737&lt;=2,F3737&lt;=2),"Tidur","Umum"))))))</f>
        <v/>
      </c>
    </row>
    <row r="3738">
      <c r="B3738">
        <f>IF(A3738="","",$B$1-MAXIFS(Donasi!$A$2:$A$20000,Donasi!$B$2:$B$20000,A3738))</f>
        <v/>
      </c>
      <c r="C3738">
        <f>IF(A3738="","",COUNTIF(Donasi!$B$2:$B$20000,A3738))</f>
        <v/>
      </c>
      <c r="D3738">
        <f>IF(A3738="","",SUMIF(Donasi!$B$2:$B$20000,A3738,Donasi!$C$2:$C$20000))</f>
        <v/>
      </c>
      <c r="E3738">
        <f>IF(A3738="","",6-CEILING(PERCENTRANK.INC($B$3:$B$6000,B3738,4)*5+0.000001,1))</f>
        <v/>
      </c>
      <c r="F3738">
        <f>IF(A3738="","",MAX(1,CEILING(PERCENTRANK.INC($C$3:$C$6000,C3738,4)*5+0.000001,1)))</f>
        <v/>
      </c>
      <c r="G3738">
        <f>IF(A3738="","",MAX(1,CEILING(PERCENTRANK.INC($D$3:$D$6000,D3738,4)*5+0.000001,1)))</f>
        <v/>
      </c>
      <c r="H3738">
        <f>IF(A3738="","",E3738&amp;F3738&amp;G3738)</f>
        <v/>
      </c>
      <c r="I3738">
        <f>IF(A3738="","",IF(AND(E3738&gt;=4,F3738&gt;=4,G3738&gt;=4),"Juara",IF(AND(F3738&gt;=4,E3738&gt;=3),"Setia",IF(AND(E3738=5,F3738&lt;=2,G3738&gt;=3),"Berpotensi",IF(AND(E3738&lt;=3,E3738&gt;=2,F3738&gt;=3),"Rawan",IF(AND(E3738&lt;=2,F3738&lt;=2),"Tidur","Umum"))))))</f>
        <v/>
      </c>
    </row>
    <row r="3739">
      <c r="B3739">
        <f>IF(A3739="","",$B$1-MAXIFS(Donasi!$A$2:$A$20000,Donasi!$B$2:$B$20000,A3739))</f>
        <v/>
      </c>
      <c r="C3739">
        <f>IF(A3739="","",COUNTIF(Donasi!$B$2:$B$20000,A3739))</f>
        <v/>
      </c>
      <c r="D3739">
        <f>IF(A3739="","",SUMIF(Donasi!$B$2:$B$20000,A3739,Donasi!$C$2:$C$20000))</f>
        <v/>
      </c>
      <c r="E3739">
        <f>IF(A3739="","",6-CEILING(PERCENTRANK.INC($B$3:$B$6000,B3739,4)*5+0.000001,1))</f>
        <v/>
      </c>
      <c r="F3739">
        <f>IF(A3739="","",MAX(1,CEILING(PERCENTRANK.INC($C$3:$C$6000,C3739,4)*5+0.000001,1)))</f>
        <v/>
      </c>
      <c r="G3739">
        <f>IF(A3739="","",MAX(1,CEILING(PERCENTRANK.INC($D$3:$D$6000,D3739,4)*5+0.000001,1)))</f>
        <v/>
      </c>
      <c r="H3739">
        <f>IF(A3739="","",E3739&amp;F3739&amp;G3739)</f>
        <v/>
      </c>
      <c r="I3739">
        <f>IF(A3739="","",IF(AND(E3739&gt;=4,F3739&gt;=4,G3739&gt;=4),"Juara",IF(AND(F3739&gt;=4,E3739&gt;=3),"Setia",IF(AND(E3739=5,F3739&lt;=2,G3739&gt;=3),"Berpotensi",IF(AND(E3739&lt;=3,E3739&gt;=2,F3739&gt;=3),"Rawan",IF(AND(E3739&lt;=2,F3739&lt;=2),"Tidur","Umum"))))))</f>
        <v/>
      </c>
    </row>
    <row r="3740">
      <c r="B3740">
        <f>IF(A3740="","",$B$1-MAXIFS(Donasi!$A$2:$A$20000,Donasi!$B$2:$B$20000,A3740))</f>
        <v/>
      </c>
      <c r="C3740">
        <f>IF(A3740="","",COUNTIF(Donasi!$B$2:$B$20000,A3740))</f>
        <v/>
      </c>
      <c r="D3740">
        <f>IF(A3740="","",SUMIF(Donasi!$B$2:$B$20000,A3740,Donasi!$C$2:$C$20000))</f>
        <v/>
      </c>
      <c r="E3740">
        <f>IF(A3740="","",6-CEILING(PERCENTRANK.INC($B$3:$B$6000,B3740,4)*5+0.000001,1))</f>
        <v/>
      </c>
      <c r="F3740">
        <f>IF(A3740="","",MAX(1,CEILING(PERCENTRANK.INC($C$3:$C$6000,C3740,4)*5+0.000001,1)))</f>
        <v/>
      </c>
      <c r="G3740">
        <f>IF(A3740="","",MAX(1,CEILING(PERCENTRANK.INC($D$3:$D$6000,D3740,4)*5+0.000001,1)))</f>
        <v/>
      </c>
      <c r="H3740">
        <f>IF(A3740="","",E3740&amp;F3740&amp;G3740)</f>
        <v/>
      </c>
      <c r="I3740">
        <f>IF(A3740="","",IF(AND(E3740&gt;=4,F3740&gt;=4,G3740&gt;=4),"Juara",IF(AND(F3740&gt;=4,E3740&gt;=3),"Setia",IF(AND(E3740=5,F3740&lt;=2,G3740&gt;=3),"Berpotensi",IF(AND(E3740&lt;=3,E3740&gt;=2,F3740&gt;=3),"Rawan",IF(AND(E3740&lt;=2,F3740&lt;=2),"Tidur","Umum"))))))</f>
        <v/>
      </c>
    </row>
    <row r="3741">
      <c r="B3741">
        <f>IF(A3741="","",$B$1-MAXIFS(Donasi!$A$2:$A$20000,Donasi!$B$2:$B$20000,A3741))</f>
        <v/>
      </c>
      <c r="C3741">
        <f>IF(A3741="","",COUNTIF(Donasi!$B$2:$B$20000,A3741))</f>
        <v/>
      </c>
      <c r="D3741">
        <f>IF(A3741="","",SUMIF(Donasi!$B$2:$B$20000,A3741,Donasi!$C$2:$C$20000))</f>
        <v/>
      </c>
      <c r="E3741">
        <f>IF(A3741="","",6-CEILING(PERCENTRANK.INC($B$3:$B$6000,B3741,4)*5+0.000001,1))</f>
        <v/>
      </c>
      <c r="F3741">
        <f>IF(A3741="","",MAX(1,CEILING(PERCENTRANK.INC($C$3:$C$6000,C3741,4)*5+0.000001,1)))</f>
        <v/>
      </c>
      <c r="G3741">
        <f>IF(A3741="","",MAX(1,CEILING(PERCENTRANK.INC($D$3:$D$6000,D3741,4)*5+0.000001,1)))</f>
        <v/>
      </c>
      <c r="H3741">
        <f>IF(A3741="","",E3741&amp;F3741&amp;G3741)</f>
        <v/>
      </c>
      <c r="I3741">
        <f>IF(A3741="","",IF(AND(E3741&gt;=4,F3741&gt;=4,G3741&gt;=4),"Juara",IF(AND(F3741&gt;=4,E3741&gt;=3),"Setia",IF(AND(E3741=5,F3741&lt;=2,G3741&gt;=3),"Berpotensi",IF(AND(E3741&lt;=3,E3741&gt;=2,F3741&gt;=3),"Rawan",IF(AND(E3741&lt;=2,F3741&lt;=2),"Tidur","Umum"))))))</f>
        <v/>
      </c>
    </row>
    <row r="3742">
      <c r="B3742">
        <f>IF(A3742="","",$B$1-MAXIFS(Donasi!$A$2:$A$20000,Donasi!$B$2:$B$20000,A3742))</f>
        <v/>
      </c>
      <c r="C3742">
        <f>IF(A3742="","",COUNTIF(Donasi!$B$2:$B$20000,A3742))</f>
        <v/>
      </c>
      <c r="D3742">
        <f>IF(A3742="","",SUMIF(Donasi!$B$2:$B$20000,A3742,Donasi!$C$2:$C$20000))</f>
        <v/>
      </c>
      <c r="E3742">
        <f>IF(A3742="","",6-CEILING(PERCENTRANK.INC($B$3:$B$6000,B3742,4)*5+0.000001,1))</f>
        <v/>
      </c>
      <c r="F3742">
        <f>IF(A3742="","",MAX(1,CEILING(PERCENTRANK.INC($C$3:$C$6000,C3742,4)*5+0.000001,1)))</f>
        <v/>
      </c>
      <c r="G3742">
        <f>IF(A3742="","",MAX(1,CEILING(PERCENTRANK.INC($D$3:$D$6000,D3742,4)*5+0.000001,1)))</f>
        <v/>
      </c>
      <c r="H3742">
        <f>IF(A3742="","",E3742&amp;F3742&amp;G3742)</f>
        <v/>
      </c>
      <c r="I3742">
        <f>IF(A3742="","",IF(AND(E3742&gt;=4,F3742&gt;=4,G3742&gt;=4),"Juara",IF(AND(F3742&gt;=4,E3742&gt;=3),"Setia",IF(AND(E3742=5,F3742&lt;=2,G3742&gt;=3),"Berpotensi",IF(AND(E3742&lt;=3,E3742&gt;=2,F3742&gt;=3),"Rawan",IF(AND(E3742&lt;=2,F3742&lt;=2),"Tidur","Umum"))))))</f>
        <v/>
      </c>
    </row>
    <row r="3743">
      <c r="B3743">
        <f>IF(A3743="","",$B$1-MAXIFS(Donasi!$A$2:$A$20000,Donasi!$B$2:$B$20000,A3743))</f>
        <v/>
      </c>
      <c r="C3743">
        <f>IF(A3743="","",COUNTIF(Donasi!$B$2:$B$20000,A3743))</f>
        <v/>
      </c>
      <c r="D3743">
        <f>IF(A3743="","",SUMIF(Donasi!$B$2:$B$20000,A3743,Donasi!$C$2:$C$20000))</f>
        <v/>
      </c>
      <c r="E3743">
        <f>IF(A3743="","",6-CEILING(PERCENTRANK.INC($B$3:$B$6000,B3743,4)*5+0.000001,1))</f>
        <v/>
      </c>
      <c r="F3743">
        <f>IF(A3743="","",MAX(1,CEILING(PERCENTRANK.INC($C$3:$C$6000,C3743,4)*5+0.000001,1)))</f>
        <v/>
      </c>
      <c r="G3743">
        <f>IF(A3743="","",MAX(1,CEILING(PERCENTRANK.INC($D$3:$D$6000,D3743,4)*5+0.000001,1)))</f>
        <v/>
      </c>
      <c r="H3743">
        <f>IF(A3743="","",E3743&amp;F3743&amp;G3743)</f>
        <v/>
      </c>
      <c r="I3743">
        <f>IF(A3743="","",IF(AND(E3743&gt;=4,F3743&gt;=4,G3743&gt;=4),"Juara",IF(AND(F3743&gt;=4,E3743&gt;=3),"Setia",IF(AND(E3743=5,F3743&lt;=2,G3743&gt;=3),"Berpotensi",IF(AND(E3743&lt;=3,E3743&gt;=2,F3743&gt;=3),"Rawan",IF(AND(E3743&lt;=2,F3743&lt;=2),"Tidur","Umum"))))))</f>
        <v/>
      </c>
    </row>
    <row r="3744">
      <c r="B3744">
        <f>IF(A3744="","",$B$1-MAXIFS(Donasi!$A$2:$A$20000,Donasi!$B$2:$B$20000,A3744))</f>
        <v/>
      </c>
      <c r="C3744">
        <f>IF(A3744="","",COUNTIF(Donasi!$B$2:$B$20000,A3744))</f>
        <v/>
      </c>
      <c r="D3744">
        <f>IF(A3744="","",SUMIF(Donasi!$B$2:$B$20000,A3744,Donasi!$C$2:$C$20000))</f>
        <v/>
      </c>
      <c r="E3744">
        <f>IF(A3744="","",6-CEILING(PERCENTRANK.INC($B$3:$B$6000,B3744,4)*5+0.000001,1))</f>
        <v/>
      </c>
      <c r="F3744">
        <f>IF(A3744="","",MAX(1,CEILING(PERCENTRANK.INC($C$3:$C$6000,C3744,4)*5+0.000001,1)))</f>
        <v/>
      </c>
      <c r="G3744">
        <f>IF(A3744="","",MAX(1,CEILING(PERCENTRANK.INC($D$3:$D$6000,D3744,4)*5+0.000001,1)))</f>
        <v/>
      </c>
      <c r="H3744">
        <f>IF(A3744="","",E3744&amp;F3744&amp;G3744)</f>
        <v/>
      </c>
      <c r="I3744">
        <f>IF(A3744="","",IF(AND(E3744&gt;=4,F3744&gt;=4,G3744&gt;=4),"Juara",IF(AND(F3744&gt;=4,E3744&gt;=3),"Setia",IF(AND(E3744=5,F3744&lt;=2,G3744&gt;=3),"Berpotensi",IF(AND(E3744&lt;=3,E3744&gt;=2,F3744&gt;=3),"Rawan",IF(AND(E3744&lt;=2,F3744&lt;=2),"Tidur","Umum"))))))</f>
        <v/>
      </c>
    </row>
    <row r="3745">
      <c r="B3745">
        <f>IF(A3745="","",$B$1-MAXIFS(Donasi!$A$2:$A$20000,Donasi!$B$2:$B$20000,A3745))</f>
        <v/>
      </c>
      <c r="C3745">
        <f>IF(A3745="","",COUNTIF(Donasi!$B$2:$B$20000,A3745))</f>
        <v/>
      </c>
      <c r="D3745">
        <f>IF(A3745="","",SUMIF(Donasi!$B$2:$B$20000,A3745,Donasi!$C$2:$C$20000))</f>
        <v/>
      </c>
      <c r="E3745">
        <f>IF(A3745="","",6-CEILING(PERCENTRANK.INC($B$3:$B$6000,B3745,4)*5+0.000001,1))</f>
        <v/>
      </c>
      <c r="F3745">
        <f>IF(A3745="","",MAX(1,CEILING(PERCENTRANK.INC($C$3:$C$6000,C3745,4)*5+0.000001,1)))</f>
        <v/>
      </c>
      <c r="G3745">
        <f>IF(A3745="","",MAX(1,CEILING(PERCENTRANK.INC($D$3:$D$6000,D3745,4)*5+0.000001,1)))</f>
        <v/>
      </c>
      <c r="H3745">
        <f>IF(A3745="","",E3745&amp;F3745&amp;G3745)</f>
        <v/>
      </c>
      <c r="I3745">
        <f>IF(A3745="","",IF(AND(E3745&gt;=4,F3745&gt;=4,G3745&gt;=4),"Juara",IF(AND(F3745&gt;=4,E3745&gt;=3),"Setia",IF(AND(E3745=5,F3745&lt;=2,G3745&gt;=3),"Berpotensi",IF(AND(E3745&lt;=3,E3745&gt;=2,F3745&gt;=3),"Rawan",IF(AND(E3745&lt;=2,F3745&lt;=2),"Tidur","Umum"))))))</f>
        <v/>
      </c>
    </row>
    <row r="3746">
      <c r="B3746">
        <f>IF(A3746="","",$B$1-MAXIFS(Donasi!$A$2:$A$20000,Donasi!$B$2:$B$20000,A3746))</f>
        <v/>
      </c>
      <c r="C3746">
        <f>IF(A3746="","",COUNTIF(Donasi!$B$2:$B$20000,A3746))</f>
        <v/>
      </c>
      <c r="D3746">
        <f>IF(A3746="","",SUMIF(Donasi!$B$2:$B$20000,A3746,Donasi!$C$2:$C$20000))</f>
        <v/>
      </c>
      <c r="E3746">
        <f>IF(A3746="","",6-CEILING(PERCENTRANK.INC($B$3:$B$6000,B3746,4)*5+0.000001,1))</f>
        <v/>
      </c>
      <c r="F3746">
        <f>IF(A3746="","",MAX(1,CEILING(PERCENTRANK.INC($C$3:$C$6000,C3746,4)*5+0.000001,1)))</f>
        <v/>
      </c>
      <c r="G3746">
        <f>IF(A3746="","",MAX(1,CEILING(PERCENTRANK.INC($D$3:$D$6000,D3746,4)*5+0.000001,1)))</f>
        <v/>
      </c>
      <c r="H3746">
        <f>IF(A3746="","",E3746&amp;F3746&amp;G3746)</f>
        <v/>
      </c>
      <c r="I3746">
        <f>IF(A3746="","",IF(AND(E3746&gt;=4,F3746&gt;=4,G3746&gt;=4),"Juara",IF(AND(F3746&gt;=4,E3746&gt;=3),"Setia",IF(AND(E3746=5,F3746&lt;=2,G3746&gt;=3),"Berpotensi",IF(AND(E3746&lt;=3,E3746&gt;=2,F3746&gt;=3),"Rawan",IF(AND(E3746&lt;=2,F3746&lt;=2),"Tidur","Umum"))))))</f>
        <v/>
      </c>
    </row>
    <row r="3747">
      <c r="B3747">
        <f>IF(A3747="","",$B$1-MAXIFS(Donasi!$A$2:$A$20000,Donasi!$B$2:$B$20000,A3747))</f>
        <v/>
      </c>
      <c r="C3747">
        <f>IF(A3747="","",COUNTIF(Donasi!$B$2:$B$20000,A3747))</f>
        <v/>
      </c>
      <c r="D3747">
        <f>IF(A3747="","",SUMIF(Donasi!$B$2:$B$20000,A3747,Donasi!$C$2:$C$20000))</f>
        <v/>
      </c>
      <c r="E3747">
        <f>IF(A3747="","",6-CEILING(PERCENTRANK.INC($B$3:$B$6000,B3747,4)*5+0.000001,1))</f>
        <v/>
      </c>
      <c r="F3747">
        <f>IF(A3747="","",MAX(1,CEILING(PERCENTRANK.INC($C$3:$C$6000,C3747,4)*5+0.000001,1)))</f>
        <v/>
      </c>
      <c r="G3747">
        <f>IF(A3747="","",MAX(1,CEILING(PERCENTRANK.INC($D$3:$D$6000,D3747,4)*5+0.000001,1)))</f>
        <v/>
      </c>
      <c r="H3747">
        <f>IF(A3747="","",E3747&amp;F3747&amp;G3747)</f>
        <v/>
      </c>
      <c r="I3747">
        <f>IF(A3747="","",IF(AND(E3747&gt;=4,F3747&gt;=4,G3747&gt;=4),"Juara",IF(AND(F3747&gt;=4,E3747&gt;=3),"Setia",IF(AND(E3747=5,F3747&lt;=2,G3747&gt;=3),"Berpotensi",IF(AND(E3747&lt;=3,E3747&gt;=2,F3747&gt;=3),"Rawan",IF(AND(E3747&lt;=2,F3747&lt;=2),"Tidur","Umum"))))))</f>
        <v/>
      </c>
    </row>
    <row r="3748">
      <c r="B3748">
        <f>IF(A3748="","",$B$1-MAXIFS(Donasi!$A$2:$A$20000,Donasi!$B$2:$B$20000,A3748))</f>
        <v/>
      </c>
      <c r="C3748">
        <f>IF(A3748="","",COUNTIF(Donasi!$B$2:$B$20000,A3748))</f>
        <v/>
      </c>
      <c r="D3748">
        <f>IF(A3748="","",SUMIF(Donasi!$B$2:$B$20000,A3748,Donasi!$C$2:$C$20000))</f>
        <v/>
      </c>
      <c r="E3748">
        <f>IF(A3748="","",6-CEILING(PERCENTRANK.INC($B$3:$B$6000,B3748,4)*5+0.000001,1))</f>
        <v/>
      </c>
      <c r="F3748">
        <f>IF(A3748="","",MAX(1,CEILING(PERCENTRANK.INC($C$3:$C$6000,C3748,4)*5+0.000001,1)))</f>
        <v/>
      </c>
      <c r="G3748">
        <f>IF(A3748="","",MAX(1,CEILING(PERCENTRANK.INC($D$3:$D$6000,D3748,4)*5+0.000001,1)))</f>
        <v/>
      </c>
      <c r="H3748">
        <f>IF(A3748="","",E3748&amp;F3748&amp;G3748)</f>
        <v/>
      </c>
      <c r="I3748">
        <f>IF(A3748="","",IF(AND(E3748&gt;=4,F3748&gt;=4,G3748&gt;=4),"Juara",IF(AND(F3748&gt;=4,E3748&gt;=3),"Setia",IF(AND(E3748=5,F3748&lt;=2,G3748&gt;=3),"Berpotensi",IF(AND(E3748&lt;=3,E3748&gt;=2,F3748&gt;=3),"Rawan",IF(AND(E3748&lt;=2,F3748&lt;=2),"Tidur","Umum"))))))</f>
        <v/>
      </c>
    </row>
    <row r="3749">
      <c r="B3749">
        <f>IF(A3749="","",$B$1-MAXIFS(Donasi!$A$2:$A$20000,Donasi!$B$2:$B$20000,A3749))</f>
        <v/>
      </c>
      <c r="C3749">
        <f>IF(A3749="","",COUNTIF(Donasi!$B$2:$B$20000,A3749))</f>
        <v/>
      </c>
      <c r="D3749">
        <f>IF(A3749="","",SUMIF(Donasi!$B$2:$B$20000,A3749,Donasi!$C$2:$C$20000))</f>
        <v/>
      </c>
      <c r="E3749">
        <f>IF(A3749="","",6-CEILING(PERCENTRANK.INC($B$3:$B$6000,B3749,4)*5+0.000001,1))</f>
        <v/>
      </c>
      <c r="F3749">
        <f>IF(A3749="","",MAX(1,CEILING(PERCENTRANK.INC($C$3:$C$6000,C3749,4)*5+0.000001,1)))</f>
        <v/>
      </c>
      <c r="G3749">
        <f>IF(A3749="","",MAX(1,CEILING(PERCENTRANK.INC($D$3:$D$6000,D3749,4)*5+0.000001,1)))</f>
        <v/>
      </c>
      <c r="H3749">
        <f>IF(A3749="","",E3749&amp;F3749&amp;G3749)</f>
        <v/>
      </c>
      <c r="I3749">
        <f>IF(A3749="","",IF(AND(E3749&gt;=4,F3749&gt;=4,G3749&gt;=4),"Juara",IF(AND(F3749&gt;=4,E3749&gt;=3),"Setia",IF(AND(E3749=5,F3749&lt;=2,G3749&gt;=3),"Berpotensi",IF(AND(E3749&lt;=3,E3749&gt;=2,F3749&gt;=3),"Rawan",IF(AND(E3749&lt;=2,F3749&lt;=2),"Tidur","Umum"))))))</f>
        <v/>
      </c>
    </row>
    <row r="3750">
      <c r="B3750">
        <f>IF(A3750="","",$B$1-MAXIFS(Donasi!$A$2:$A$20000,Donasi!$B$2:$B$20000,A3750))</f>
        <v/>
      </c>
      <c r="C3750">
        <f>IF(A3750="","",COUNTIF(Donasi!$B$2:$B$20000,A3750))</f>
        <v/>
      </c>
      <c r="D3750">
        <f>IF(A3750="","",SUMIF(Donasi!$B$2:$B$20000,A3750,Donasi!$C$2:$C$20000))</f>
        <v/>
      </c>
      <c r="E3750">
        <f>IF(A3750="","",6-CEILING(PERCENTRANK.INC($B$3:$B$6000,B3750,4)*5+0.000001,1))</f>
        <v/>
      </c>
      <c r="F3750">
        <f>IF(A3750="","",MAX(1,CEILING(PERCENTRANK.INC($C$3:$C$6000,C3750,4)*5+0.000001,1)))</f>
        <v/>
      </c>
      <c r="G3750">
        <f>IF(A3750="","",MAX(1,CEILING(PERCENTRANK.INC($D$3:$D$6000,D3750,4)*5+0.000001,1)))</f>
        <v/>
      </c>
      <c r="H3750">
        <f>IF(A3750="","",E3750&amp;F3750&amp;G3750)</f>
        <v/>
      </c>
      <c r="I3750">
        <f>IF(A3750="","",IF(AND(E3750&gt;=4,F3750&gt;=4,G3750&gt;=4),"Juara",IF(AND(F3750&gt;=4,E3750&gt;=3),"Setia",IF(AND(E3750=5,F3750&lt;=2,G3750&gt;=3),"Berpotensi",IF(AND(E3750&lt;=3,E3750&gt;=2,F3750&gt;=3),"Rawan",IF(AND(E3750&lt;=2,F3750&lt;=2),"Tidur","Umum"))))))</f>
        <v/>
      </c>
    </row>
    <row r="3751">
      <c r="B3751">
        <f>IF(A3751="","",$B$1-MAXIFS(Donasi!$A$2:$A$20000,Donasi!$B$2:$B$20000,A3751))</f>
        <v/>
      </c>
      <c r="C3751">
        <f>IF(A3751="","",COUNTIF(Donasi!$B$2:$B$20000,A3751))</f>
        <v/>
      </c>
      <c r="D3751">
        <f>IF(A3751="","",SUMIF(Donasi!$B$2:$B$20000,A3751,Donasi!$C$2:$C$20000))</f>
        <v/>
      </c>
      <c r="E3751">
        <f>IF(A3751="","",6-CEILING(PERCENTRANK.INC($B$3:$B$6000,B3751,4)*5+0.000001,1))</f>
        <v/>
      </c>
      <c r="F3751">
        <f>IF(A3751="","",MAX(1,CEILING(PERCENTRANK.INC($C$3:$C$6000,C3751,4)*5+0.000001,1)))</f>
        <v/>
      </c>
      <c r="G3751">
        <f>IF(A3751="","",MAX(1,CEILING(PERCENTRANK.INC($D$3:$D$6000,D3751,4)*5+0.000001,1)))</f>
        <v/>
      </c>
      <c r="H3751">
        <f>IF(A3751="","",E3751&amp;F3751&amp;G3751)</f>
        <v/>
      </c>
      <c r="I3751">
        <f>IF(A3751="","",IF(AND(E3751&gt;=4,F3751&gt;=4,G3751&gt;=4),"Juara",IF(AND(F3751&gt;=4,E3751&gt;=3),"Setia",IF(AND(E3751=5,F3751&lt;=2,G3751&gt;=3),"Berpotensi",IF(AND(E3751&lt;=3,E3751&gt;=2,F3751&gt;=3),"Rawan",IF(AND(E3751&lt;=2,F3751&lt;=2),"Tidur","Umum"))))))</f>
        <v/>
      </c>
    </row>
    <row r="3752">
      <c r="B3752">
        <f>IF(A3752="","",$B$1-MAXIFS(Donasi!$A$2:$A$20000,Donasi!$B$2:$B$20000,A3752))</f>
        <v/>
      </c>
      <c r="C3752">
        <f>IF(A3752="","",COUNTIF(Donasi!$B$2:$B$20000,A3752))</f>
        <v/>
      </c>
      <c r="D3752">
        <f>IF(A3752="","",SUMIF(Donasi!$B$2:$B$20000,A3752,Donasi!$C$2:$C$20000))</f>
        <v/>
      </c>
      <c r="E3752">
        <f>IF(A3752="","",6-CEILING(PERCENTRANK.INC($B$3:$B$6000,B3752,4)*5+0.000001,1))</f>
        <v/>
      </c>
      <c r="F3752">
        <f>IF(A3752="","",MAX(1,CEILING(PERCENTRANK.INC($C$3:$C$6000,C3752,4)*5+0.000001,1)))</f>
        <v/>
      </c>
      <c r="G3752">
        <f>IF(A3752="","",MAX(1,CEILING(PERCENTRANK.INC($D$3:$D$6000,D3752,4)*5+0.000001,1)))</f>
        <v/>
      </c>
      <c r="H3752">
        <f>IF(A3752="","",E3752&amp;F3752&amp;G3752)</f>
        <v/>
      </c>
      <c r="I3752">
        <f>IF(A3752="","",IF(AND(E3752&gt;=4,F3752&gt;=4,G3752&gt;=4),"Juara",IF(AND(F3752&gt;=4,E3752&gt;=3),"Setia",IF(AND(E3752=5,F3752&lt;=2,G3752&gt;=3),"Berpotensi",IF(AND(E3752&lt;=3,E3752&gt;=2,F3752&gt;=3),"Rawan",IF(AND(E3752&lt;=2,F3752&lt;=2),"Tidur","Umum"))))))</f>
        <v/>
      </c>
    </row>
    <row r="3753">
      <c r="B3753">
        <f>IF(A3753="","",$B$1-MAXIFS(Donasi!$A$2:$A$20000,Donasi!$B$2:$B$20000,A3753))</f>
        <v/>
      </c>
      <c r="C3753">
        <f>IF(A3753="","",COUNTIF(Donasi!$B$2:$B$20000,A3753))</f>
        <v/>
      </c>
      <c r="D3753">
        <f>IF(A3753="","",SUMIF(Donasi!$B$2:$B$20000,A3753,Donasi!$C$2:$C$20000))</f>
        <v/>
      </c>
      <c r="E3753">
        <f>IF(A3753="","",6-CEILING(PERCENTRANK.INC($B$3:$B$6000,B3753,4)*5+0.000001,1))</f>
        <v/>
      </c>
      <c r="F3753">
        <f>IF(A3753="","",MAX(1,CEILING(PERCENTRANK.INC($C$3:$C$6000,C3753,4)*5+0.000001,1)))</f>
        <v/>
      </c>
      <c r="G3753">
        <f>IF(A3753="","",MAX(1,CEILING(PERCENTRANK.INC($D$3:$D$6000,D3753,4)*5+0.000001,1)))</f>
        <v/>
      </c>
      <c r="H3753">
        <f>IF(A3753="","",E3753&amp;F3753&amp;G3753)</f>
        <v/>
      </c>
      <c r="I3753">
        <f>IF(A3753="","",IF(AND(E3753&gt;=4,F3753&gt;=4,G3753&gt;=4),"Juara",IF(AND(F3753&gt;=4,E3753&gt;=3),"Setia",IF(AND(E3753=5,F3753&lt;=2,G3753&gt;=3),"Berpotensi",IF(AND(E3753&lt;=3,E3753&gt;=2,F3753&gt;=3),"Rawan",IF(AND(E3753&lt;=2,F3753&lt;=2),"Tidur","Umum"))))))</f>
        <v/>
      </c>
    </row>
    <row r="3754">
      <c r="B3754">
        <f>IF(A3754="","",$B$1-MAXIFS(Donasi!$A$2:$A$20000,Donasi!$B$2:$B$20000,A3754))</f>
        <v/>
      </c>
      <c r="C3754">
        <f>IF(A3754="","",COUNTIF(Donasi!$B$2:$B$20000,A3754))</f>
        <v/>
      </c>
      <c r="D3754">
        <f>IF(A3754="","",SUMIF(Donasi!$B$2:$B$20000,A3754,Donasi!$C$2:$C$20000))</f>
        <v/>
      </c>
      <c r="E3754">
        <f>IF(A3754="","",6-CEILING(PERCENTRANK.INC($B$3:$B$6000,B3754,4)*5+0.000001,1))</f>
        <v/>
      </c>
      <c r="F3754">
        <f>IF(A3754="","",MAX(1,CEILING(PERCENTRANK.INC($C$3:$C$6000,C3754,4)*5+0.000001,1)))</f>
        <v/>
      </c>
      <c r="G3754">
        <f>IF(A3754="","",MAX(1,CEILING(PERCENTRANK.INC($D$3:$D$6000,D3754,4)*5+0.000001,1)))</f>
        <v/>
      </c>
      <c r="H3754">
        <f>IF(A3754="","",E3754&amp;F3754&amp;G3754)</f>
        <v/>
      </c>
      <c r="I3754">
        <f>IF(A3754="","",IF(AND(E3754&gt;=4,F3754&gt;=4,G3754&gt;=4),"Juara",IF(AND(F3754&gt;=4,E3754&gt;=3),"Setia",IF(AND(E3754=5,F3754&lt;=2,G3754&gt;=3),"Berpotensi",IF(AND(E3754&lt;=3,E3754&gt;=2,F3754&gt;=3),"Rawan",IF(AND(E3754&lt;=2,F3754&lt;=2),"Tidur","Umum"))))))</f>
        <v/>
      </c>
    </row>
    <row r="3755">
      <c r="B3755">
        <f>IF(A3755="","",$B$1-MAXIFS(Donasi!$A$2:$A$20000,Donasi!$B$2:$B$20000,A3755))</f>
        <v/>
      </c>
      <c r="C3755">
        <f>IF(A3755="","",COUNTIF(Donasi!$B$2:$B$20000,A3755))</f>
        <v/>
      </c>
      <c r="D3755">
        <f>IF(A3755="","",SUMIF(Donasi!$B$2:$B$20000,A3755,Donasi!$C$2:$C$20000))</f>
        <v/>
      </c>
      <c r="E3755">
        <f>IF(A3755="","",6-CEILING(PERCENTRANK.INC($B$3:$B$6000,B3755,4)*5+0.000001,1))</f>
        <v/>
      </c>
      <c r="F3755">
        <f>IF(A3755="","",MAX(1,CEILING(PERCENTRANK.INC($C$3:$C$6000,C3755,4)*5+0.000001,1)))</f>
        <v/>
      </c>
      <c r="G3755">
        <f>IF(A3755="","",MAX(1,CEILING(PERCENTRANK.INC($D$3:$D$6000,D3755,4)*5+0.000001,1)))</f>
        <v/>
      </c>
      <c r="H3755">
        <f>IF(A3755="","",E3755&amp;F3755&amp;G3755)</f>
        <v/>
      </c>
      <c r="I3755">
        <f>IF(A3755="","",IF(AND(E3755&gt;=4,F3755&gt;=4,G3755&gt;=4),"Juara",IF(AND(F3755&gt;=4,E3755&gt;=3),"Setia",IF(AND(E3755=5,F3755&lt;=2,G3755&gt;=3),"Berpotensi",IF(AND(E3755&lt;=3,E3755&gt;=2,F3755&gt;=3),"Rawan",IF(AND(E3755&lt;=2,F3755&lt;=2),"Tidur","Umum"))))))</f>
        <v/>
      </c>
    </row>
    <row r="3756">
      <c r="B3756">
        <f>IF(A3756="","",$B$1-MAXIFS(Donasi!$A$2:$A$20000,Donasi!$B$2:$B$20000,A3756))</f>
        <v/>
      </c>
      <c r="C3756">
        <f>IF(A3756="","",COUNTIF(Donasi!$B$2:$B$20000,A3756))</f>
        <v/>
      </c>
      <c r="D3756">
        <f>IF(A3756="","",SUMIF(Donasi!$B$2:$B$20000,A3756,Donasi!$C$2:$C$20000))</f>
        <v/>
      </c>
      <c r="E3756">
        <f>IF(A3756="","",6-CEILING(PERCENTRANK.INC($B$3:$B$6000,B3756,4)*5+0.000001,1))</f>
        <v/>
      </c>
      <c r="F3756">
        <f>IF(A3756="","",MAX(1,CEILING(PERCENTRANK.INC($C$3:$C$6000,C3756,4)*5+0.000001,1)))</f>
        <v/>
      </c>
      <c r="G3756">
        <f>IF(A3756="","",MAX(1,CEILING(PERCENTRANK.INC($D$3:$D$6000,D3756,4)*5+0.000001,1)))</f>
        <v/>
      </c>
      <c r="H3756">
        <f>IF(A3756="","",E3756&amp;F3756&amp;G3756)</f>
        <v/>
      </c>
      <c r="I3756">
        <f>IF(A3756="","",IF(AND(E3756&gt;=4,F3756&gt;=4,G3756&gt;=4),"Juara",IF(AND(F3756&gt;=4,E3756&gt;=3),"Setia",IF(AND(E3756=5,F3756&lt;=2,G3756&gt;=3),"Berpotensi",IF(AND(E3756&lt;=3,E3756&gt;=2,F3756&gt;=3),"Rawan",IF(AND(E3756&lt;=2,F3756&lt;=2),"Tidur","Umum"))))))</f>
        <v/>
      </c>
    </row>
    <row r="3757">
      <c r="B3757">
        <f>IF(A3757="","",$B$1-MAXIFS(Donasi!$A$2:$A$20000,Donasi!$B$2:$B$20000,A3757))</f>
        <v/>
      </c>
      <c r="C3757">
        <f>IF(A3757="","",COUNTIF(Donasi!$B$2:$B$20000,A3757))</f>
        <v/>
      </c>
      <c r="D3757">
        <f>IF(A3757="","",SUMIF(Donasi!$B$2:$B$20000,A3757,Donasi!$C$2:$C$20000))</f>
        <v/>
      </c>
      <c r="E3757">
        <f>IF(A3757="","",6-CEILING(PERCENTRANK.INC($B$3:$B$6000,B3757,4)*5+0.000001,1))</f>
        <v/>
      </c>
      <c r="F3757">
        <f>IF(A3757="","",MAX(1,CEILING(PERCENTRANK.INC($C$3:$C$6000,C3757,4)*5+0.000001,1)))</f>
        <v/>
      </c>
      <c r="G3757">
        <f>IF(A3757="","",MAX(1,CEILING(PERCENTRANK.INC($D$3:$D$6000,D3757,4)*5+0.000001,1)))</f>
        <v/>
      </c>
      <c r="H3757">
        <f>IF(A3757="","",E3757&amp;F3757&amp;G3757)</f>
        <v/>
      </c>
      <c r="I3757">
        <f>IF(A3757="","",IF(AND(E3757&gt;=4,F3757&gt;=4,G3757&gt;=4),"Juara",IF(AND(F3757&gt;=4,E3757&gt;=3),"Setia",IF(AND(E3757=5,F3757&lt;=2,G3757&gt;=3),"Berpotensi",IF(AND(E3757&lt;=3,E3757&gt;=2,F3757&gt;=3),"Rawan",IF(AND(E3757&lt;=2,F3757&lt;=2),"Tidur","Umum"))))))</f>
        <v/>
      </c>
    </row>
    <row r="3758">
      <c r="B3758">
        <f>IF(A3758="","",$B$1-MAXIFS(Donasi!$A$2:$A$20000,Donasi!$B$2:$B$20000,A3758))</f>
        <v/>
      </c>
      <c r="C3758">
        <f>IF(A3758="","",COUNTIF(Donasi!$B$2:$B$20000,A3758))</f>
        <v/>
      </c>
      <c r="D3758">
        <f>IF(A3758="","",SUMIF(Donasi!$B$2:$B$20000,A3758,Donasi!$C$2:$C$20000))</f>
        <v/>
      </c>
      <c r="E3758">
        <f>IF(A3758="","",6-CEILING(PERCENTRANK.INC($B$3:$B$6000,B3758,4)*5+0.000001,1))</f>
        <v/>
      </c>
      <c r="F3758">
        <f>IF(A3758="","",MAX(1,CEILING(PERCENTRANK.INC($C$3:$C$6000,C3758,4)*5+0.000001,1)))</f>
        <v/>
      </c>
      <c r="G3758">
        <f>IF(A3758="","",MAX(1,CEILING(PERCENTRANK.INC($D$3:$D$6000,D3758,4)*5+0.000001,1)))</f>
        <v/>
      </c>
      <c r="H3758">
        <f>IF(A3758="","",E3758&amp;F3758&amp;G3758)</f>
        <v/>
      </c>
      <c r="I3758">
        <f>IF(A3758="","",IF(AND(E3758&gt;=4,F3758&gt;=4,G3758&gt;=4),"Juara",IF(AND(F3758&gt;=4,E3758&gt;=3),"Setia",IF(AND(E3758=5,F3758&lt;=2,G3758&gt;=3),"Berpotensi",IF(AND(E3758&lt;=3,E3758&gt;=2,F3758&gt;=3),"Rawan",IF(AND(E3758&lt;=2,F3758&lt;=2),"Tidur","Umum"))))))</f>
        <v/>
      </c>
    </row>
    <row r="3759">
      <c r="B3759">
        <f>IF(A3759="","",$B$1-MAXIFS(Donasi!$A$2:$A$20000,Donasi!$B$2:$B$20000,A3759))</f>
        <v/>
      </c>
      <c r="C3759">
        <f>IF(A3759="","",COUNTIF(Donasi!$B$2:$B$20000,A3759))</f>
        <v/>
      </c>
      <c r="D3759">
        <f>IF(A3759="","",SUMIF(Donasi!$B$2:$B$20000,A3759,Donasi!$C$2:$C$20000))</f>
        <v/>
      </c>
      <c r="E3759">
        <f>IF(A3759="","",6-CEILING(PERCENTRANK.INC($B$3:$B$6000,B3759,4)*5+0.000001,1))</f>
        <v/>
      </c>
      <c r="F3759">
        <f>IF(A3759="","",MAX(1,CEILING(PERCENTRANK.INC($C$3:$C$6000,C3759,4)*5+0.000001,1)))</f>
        <v/>
      </c>
      <c r="G3759">
        <f>IF(A3759="","",MAX(1,CEILING(PERCENTRANK.INC($D$3:$D$6000,D3759,4)*5+0.000001,1)))</f>
        <v/>
      </c>
      <c r="H3759">
        <f>IF(A3759="","",E3759&amp;F3759&amp;G3759)</f>
        <v/>
      </c>
      <c r="I3759">
        <f>IF(A3759="","",IF(AND(E3759&gt;=4,F3759&gt;=4,G3759&gt;=4),"Juara",IF(AND(F3759&gt;=4,E3759&gt;=3),"Setia",IF(AND(E3759=5,F3759&lt;=2,G3759&gt;=3),"Berpotensi",IF(AND(E3759&lt;=3,E3759&gt;=2,F3759&gt;=3),"Rawan",IF(AND(E3759&lt;=2,F3759&lt;=2),"Tidur","Umum"))))))</f>
        <v/>
      </c>
    </row>
    <row r="3760">
      <c r="B3760">
        <f>IF(A3760="","",$B$1-MAXIFS(Donasi!$A$2:$A$20000,Donasi!$B$2:$B$20000,A3760))</f>
        <v/>
      </c>
      <c r="C3760">
        <f>IF(A3760="","",COUNTIF(Donasi!$B$2:$B$20000,A3760))</f>
        <v/>
      </c>
      <c r="D3760">
        <f>IF(A3760="","",SUMIF(Donasi!$B$2:$B$20000,A3760,Donasi!$C$2:$C$20000))</f>
        <v/>
      </c>
      <c r="E3760">
        <f>IF(A3760="","",6-CEILING(PERCENTRANK.INC($B$3:$B$6000,B3760,4)*5+0.000001,1))</f>
        <v/>
      </c>
      <c r="F3760">
        <f>IF(A3760="","",MAX(1,CEILING(PERCENTRANK.INC($C$3:$C$6000,C3760,4)*5+0.000001,1)))</f>
        <v/>
      </c>
      <c r="G3760">
        <f>IF(A3760="","",MAX(1,CEILING(PERCENTRANK.INC($D$3:$D$6000,D3760,4)*5+0.000001,1)))</f>
        <v/>
      </c>
      <c r="H3760">
        <f>IF(A3760="","",E3760&amp;F3760&amp;G3760)</f>
        <v/>
      </c>
      <c r="I3760">
        <f>IF(A3760="","",IF(AND(E3760&gt;=4,F3760&gt;=4,G3760&gt;=4),"Juara",IF(AND(F3760&gt;=4,E3760&gt;=3),"Setia",IF(AND(E3760=5,F3760&lt;=2,G3760&gt;=3),"Berpotensi",IF(AND(E3760&lt;=3,E3760&gt;=2,F3760&gt;=3),"Rawan",IF(AND(E3760&lt;=2,F3760&lt;=2),"Tidur","Umum"))))))</f>
        <v/>
      </c>
    </row>
    <row r="3761">
      <c r="B3761">
        <f>IF(A3761="","",$B$1-MAXIFS(Donasi!$A$2:$A$20000,Donasi!$B$2:$B$20000,A3761))</f>
        <v/>
      </c>
      <c r="C3761">
        <f>IF(A3761="","",COUNTIF(Donasi!$B$2:$B$20000,A3761))</f>
        <v/>
      </c>
      <c r="D3761">
        <f>IF(A3761="","",SUMIF(Donasi!$B$2:$B$20000,A3761,Donasi!$C$2:$C$20000))</f>
        <v/>
      </c>
      <c r="E3761">
        <f>IF(A3761="","",6-CEILING(PERCENTRANK.INC($B$3:$B$6000,B3761,4)*5+0.000001,1))</f>
        <v/>
      </c>
      <c r="F3761">
        <f>IF(A3761="","",MAX(1,CEILING(PERCENTRANK.INC($C$3:$C$6000,C3761,4)*5+0.000001,1)))</f>
        <v/>
      </c>
      <c r="G3761">
        <f>IF(A3761="","",MAX(1,CEILING(PERCENTRANK.INC($D$3:$D$6000,D3761,4)*5+0.000001,1)))</f>
        <v/>
      </c>
      <c r="H3761">
        <f>IF(A3761="","",E3761&amp;F3761&amp;G3761)</f>
        <v/>
      </c>
      <c r="I3761">
        <f>IF(A3761="","",IF(AND(E3761&gt;=4,F3761&gt;=4,G3761&gt;=4),"Juara",IF(AND(F3761&gt;=4,E3761&gt;=3),"Setia",IF(AND(E3761=5,F3761&lt;=2,G3761&gt;=3),"Berpotensi",IF(AND(E3761&lt;=3,E3761&gt;=2,F3761&gt;=3),"Rawan",IF(AND(E3761&lt;=2,F3761&lt;=2),"Tidur","Umum"))))))</f>
        <v/>
      </c>
    </row>
    <row r="3762">
      <c r="B3762">
        <f>IF(A3762="","",$B$1-MAXIFS(Donasi!$A$2:$A$20000,Donasi!$B$2:$B$20000,A3762))</f>
        <v/>
      </c>
      <c r="C3762">
        <f>IF(A3762="","",COUNTIF(Donasi!$B$2:$B$20000,A3762))</f>
        <v/>
      </c>
      <c r="D3762">
        <f>IF(A3762="","",SUMIF(Donasi!$B$2:$B$20000,A3762,Donasi!$C$2:$C$20000))</f>
        <v/>
      </c>
      <c r="E3762">
        <f>IF(A3762="","",6-CEILING(PERCENTRANK.INC($B$3:$B$6000,B3762,4)*5+0.000001,1))</f>
        <v/>
      </c>
      <c r="F3762">
        <f>IF(A3762="","",MAX(1,CEILING(PERCENTRANK.INC($C$3:$C$6000,C3762,4)*5+0.000001,1)))</f>
        <v/>
      </c>
      <c r="G3762">
        <f>IF(A3762="","",MAX(1,CEILING(PERCENTRANK.INC($D$3:$D$6000,D3762,4)*5+0.000001,1)))</f>
        <v/>
      </c>
      <c r="H3762">
        <f>IF(A3762="","",E3762&amp;F3762&amp;G3762)</f>
        <v/>
      </c>
      <c r="I3762">
        <f>IF(A3762="","",IF(AND(E3762&gt;=4,F3762&gt;=4,G3762&gt;=4),"Juara",IF(AND(F3762&gt;=4,E3762&gt;=3),"Setia",IF(AND(E3762=5,F3762&lt;=2,G3762&gt;=3),"Berpotensi",IF(AND(E3762&lt;=3,E3762&gt;=2,F3762&gt;=3),"Rawan",IF(AND(E3762&lt;=2,F3762&lt;=2),"Tidur","Umum"))))))</f>
        <v/>
      </c>
    </row>
    <row r="3763">
      <c r="B3763">
        <f>IF(A3763="","",$B$1-MAXIFS(Donasi!$A$2:$A$20000,Donasi!$B$2:$B$20000,A3763))</f>
        <v/>
      </c>
      <c r="C3763">
        <f>IF(A3763="","",COUNTIF(Donasi!$B$2:$B$20000,A3763))</f>
        <v/>
      </c>
      <c r="D3763">
        <f>IF(A3763="","",SUMIF(Donasi!$B$2:$B$20000,A3763,Donasi!$C$2:$C$20000))</f>
        <v/>
      </c>
      <c r="E3763">
        <f>IF(A3763="","",6-CEILING(PERCENTRANK.INC($B$3:$B$6000,B3763,4)*5+0.000001,1))</f>
        <v/>
      </c>
      <c r="F3763">
        <f>IF(A3763="","",MAX(1,CEILING(PERCENTRANK.INC($C$3:$C$6000,C3763,4)*5+0.000001,1)))</f>
        <v/>
      </c>
      <c r="G3763">
        <f>IF(A3763="","",MAX(1,CEILING(PERCENTRANK.INC($D$3:$D$6000,D3763,4)*5+0.000001,1)))</f>
        <v/>
      </c>
      <c r="H3763">
        <f>IF(A3763="","",E3763&amp;F3763&amp;G3763)</f>
        <v/>
      </c>
      <c r="I3763">
        <f>IF(A3763="","",IF(AND(E3763&gt;=4,F3763&gt;=4,G3763&gt;=4),"Juara",IF(AND(F3763&gt;=4,E3763&gt;=3),"Setia",IF(AND(E3763=5,F3763&lt;=2,G3763&gt;=3),"Berpotensi",IF(AND(E3763&lt;=3,E3763&gt;=2,F3763&gt;=3),"Rawan",IF(AND(E3763&lt;=2,F3763&lt;=2),"Tidur","Umum"))))))</f>
        <v/>
      </c>
    </row>
    <row r="3764">
      <c r="B3764">
        <f>IF(A3764="","",$B$1-MAXIFS(Donasi!$A$2:$A$20000,Donasi!$B$2:$B$20000,A3764))</f>
        <v/>
      </c>
      <c r="C3764">
        <f>IF(A3764="","",COUNTIF(Donasi!$B$2:$B$20000,A3764))</f>
        <v/>
      </c>
      <c r="D3764">
        <f>IF(A3764="","",SUMIF(Donasi!$B$2:$B$20000,A3764,Donasi!$C$2:$C$20000))</f>
        <v/>
      </c>
      <c r="E3764">
        <f>IF(A3764="","",6-CEILING(PERCENTRANK.INC($B$3:$B$6000,B3764,4)*5+0.000001,1))</f>
        <v/>
      </c>
      <c r="F3764">
        <f>IF(A3764="","",MAX(1,CEILING(PERCENTRANK.INC($C$3:$C$6000,C3764,4)*5+0.000001,1)))</f>
        <v/>
      </c>
      <c r="G3764">
        <f>IF(A3764="","",MAX(1,CEILING(PERCENTRANK.INC($D$3:$D$6000,D3764,4)*5+0.000001,1)))</f>
        <v/>
      </c>
      <c r="H3764">
        <f>IF(A3764="","",E3764&amp;F3764&amp;G3764)</f>
        <v/>
      </c>
      <c r="I3764">
        <f>IF(A3764="","",IF(AND(E3764&gt;=4,F3764&gt;=4,G3764&gt;=4),"Juara",IF(AND(F3764&gt;=4,E3764&gt;=3),"Setia",IF(AND(E3764=5,F3764&lt;=2,G3764&gt;=3),"Berpotensi",IF(AND(E3764&lt;=3,E3764&gt;=2,F3764&gt;=3),"Rawan",IF(AND(E3764&lt;=2,F3764&lt;=2),"Tidur","Umum"))))))</f>
        <v/>
      </c>
    </row>
    <row r="3765">
      <c r="B3765">
        <f>IF(A3765="","",$B$1-MAXIFS(Donasi!$A$2:$A$20000,Donasi!$B$2:$B$20000,A3765))</f>
        <v/>
      </c>
      <c r="C3765">
        <f>IF(A3765="","",COUNTIF(Donasi!$B$2:$B$20000,A3765))</f>
        <v/>
      </c>
      <c r="D3765">
        <f>IF(A3765="","",SUMIF(Donasi!$B$2:$B$20000,A3765,Donasi!$C$2:$C$20000))</f>
        <v/>
      </c>
      <c r="E3765">
        <f>IF(A3765="","",6-CEILING(PERCENTRANK.INC($B$3:$B$6000,B3765,4)*5+0.000001,1))</f>
        <v/>
      </c>
      <c r="F3765">
        <f>IF(A3765="","",MAX(1,CEILING(PERCENTRANK.INC($C$3:$C$6000,C3765,4)*5+0.000001,1)))</f>
        <v/>
      </c>
      <c r="G3765">
        <f>IF(A3765="","",MAX(1,CEILING(PERCENTRANK.INC($D$3:$D$6000,D3765,4)*5+0.000001,1)))</f>
        <v/>
      </c>
      <c r="H3765">
        <f>IF(A3765="","",E3765&amp;F3765&amp;G3765)</f>
        <v/>
      </c>
      <c r="I3765">
        <f>IF(A3765="","",IF(AND(E3765&gt;=4,F3765&gt;=4,G3765&gt;=4),"Juara",IF(AND(F3765&gt;=4,E3765&gt;=3),"Setia",IF(AND(E3765=5,F3765&lt;=2,G3765&gt;=3),"Berpotensi",IF(AND(E3765&lt;=3,E3765&gt;=2,F3765&gt;=3),"Rawan",IF(AND(E3765&lt;=2,F3765&lt;=2),"Tidur","Umum"))))))</f>
        <v/>
      </c>
    </row>
    <row r="3766">
      <c r="B3766">
        <f>IF(A3766="","",$B$1-MAXIFS(Donasi!$A$2:$A$20000,Donasi!$B$2:$B$20000,A3766))</f>
        <v/>
      </c>
      <c r="C3766">
        <f>IF(A3766="","",COUNTIF(Donasi!$B$2:$B$20000,A3766))</f>
        <v/>
      </c>
      <c r="D3766">
        <f>IF(A3766="","",SUMIF(Donasi!$B$2:$B$20000,A3766,Donasi!$C$2:$C$20000))</f>
        <v/>
      </c>
      <c r="E3766">
        <f>IF(A3766="","",6-CEILING(PERCENTRANK.INC($B$3:$B$6000,B3766,4)*5+0.000001,1))</f>
        <v/>
      </c>
      <c r="F3766">
        <f>IF(A3766="","",MAX(1,CEILING(PERCENTRANK.INC($C$3:$C$6000,C3766,4)*5+0.000001,1)))</f>
        <v/>
      </c>
      <c r="G3766">
        <f>IF(A3766="","",MAX(1,CEILING(PERCENTRANK.INC($D$3:$D$6000,D3766,4)*5+0.000001,1)))</f>
        <v/>
      </c>
      <c r="H3766">
        <f>IF(A3766="","",E3766&amp;F3766&amp;G3766)</f>
        <v/>
      </c>
      <c r="I3766">
        <f>IF(A3766="","",IF(AND(E3766&gt;=4,F3766&gt;=4,G3766&gt;=4),"Juara",IF(AND(F3766&gt;=4,E3766&gt;=3),"Setia",IF(AND(E3766=5,F3766&lt;=2,G3766&gt;=3),"Berpotensi",IF(AND(E3766&lt;=3,E3766&gt;=2,F3766&gt;=3),"Rawan",IF(AND(E3766&lt;=2,F3766&lt;=2),"Tidur","Umum"))))))</f>
        <v/>
      </c>
    </row>
    <row r="3767">
      <c r="B3767">
        <f>IF(A3767="","",$B$1-MAXIFS(Donasi!$A$2:$A$20000,Donasi!$B$2:$B$20000,A3767))</f>
        <v/>
      </c>
      <c r="C3767">
        <f>IF(A3767="","",COUNTIF(Donasi!$B$2:$B$20000,A3767))</f>
        <v/>
      </c>
      <c r="D3767">
        <f>IF(A3767="","",SUMIF(Donasi!$B$2:$B$20000,A3767,Donasi!$C$2:$C$20000))</f>
        <v/>
      </c>
      <c r="E3767">
        <f>IF(A3767="","",6-CEILING(PERCENTRANK.INC($B$3:$B$6000,B3767,4)*5+0.000001,1))</f>
        <v/>
      </c>
      <c r="F3767">
        <f>IF(A3767="","",MAX(1,CEILING(PERCENTRANK.INC($C$3:$C$6000,C3767,4)*5+0.000001,1)))</f>
        <v/>
      </c>
      <c r="G3767">
        <f>IF(A3767="","",MAX(1,CEILING(PERCENTRANK.INC($D$3:$D$6000,D3767,4)*5+0.000001,1)))</f>
        <v/>
      </c>
      <c r="H3767">
        <f>IF(A3767="","",E3767&amp;F3767&amp;G3767)</f>
        <v/>
      </c>
      <c r="I3767">
        <f>IF(A3767="","",IF(AND(E3767&gt;=4,F3767&gt;=4,G3767&gt;=4),"Juara",IF(AND(F3767&gt;=4,E3767&gt;=3),"Setia",IF(AND(E3767=5,F3767&lt;=2,G3767&gt;=3),"Berpotensi",IF(AND(E3767&lt;=3,E3767&gt;=2,F3767&gt;=3),"Rawan",IF(AND(E3767&lt;=2,F3767&lt;=2),"Tidur","Umum"))))))</f>
        <v/>
      </c>
    </row>
    <row r="3768">
      <c r="B3768">
        <f>IF(A3768="","",$B$1-MAXIFS(Donasi!$A$2:$A$20000,Donasi!$B$2:$B$20000,A3768))</f>
        <v/>
      </c>
      <c r="C3768">
        <f>IF(A3768="","",COUNTIF(Donasi!$B$2:$B$20000,A3768))</f>
        <v/>
      </c>
      <c r="D3768">
        <f>IF(A3768="","",SUMIF(Donasi!$B$2:$B$20000,A3768,Donasi!$C$2:$C$20000))</f>
        <v/>
      </c>
      <c r="E3768">
        <f>IF(A3768="","",6-CEILING(PERCENTRANK.INC($B$3:$B$6000,B3768,4)*5+0.000001,1))</f>
        <v/>
      </c>
      <c r="F3768">
        <f>IF(A3768="","",MAX(1,CEILING(PERCENTRANK.INC($C$3:$C$6000,C3768,4)*5+0.000001,1)))</f>
        <v/>
      </c>
      <c r="G3768">
        <f>IF(A3768="","",MAX(1,CEILING(PERCENTRANK.INC($D$3:$D$6000,D3768,4)*5+0.000001,1)))</f>
        <v/>
      </c>
      <c r="H3768">
        <f>IF(A3768="","",E3768&amp;F3768&amp;G3768)</f>
        <v/>
      </c>
      <c r="I3768">
        <f>IF(A3768="","",IF(AND(E3768&gt;=4,F3768&gt;=4,G3768&gt;=4),"Juara",IF(AND(F3768&gt;=4,E3768&gt;=3),"Setia",IF(AND(E3768=5,F3768&lt;=2,G3768&gt;=3),"Berpotensi",IF(AND(E3768&lt;=3,E3768&gt;=2,F3768&gt;=3),"Rawan",IF(AND(E3768&lt;=2,F3768&lt;=2),"Tidur","Umum"))))))</f>
        <v/>
      </c>
    </row>
    <row r="3769">
      <c r="B3769">
        <f>IF(A3769="","",$B$1-MAXIFS(Donasi!$A$2:$A$20000,Donasi!$B$2:$B$20000,A3769))</f>
        <v/>
      </c>
      <c r="C3769">
        <f>IF(A3769="","",COUNTIF(Donasi!$B$2:$B$20000,A3769))</f>
        <v/>
      </c>
      <c r="D3769">
        <f>IF(A3769="","",SUMIF(Donasi!$B$2:$B$20000,A3769,Donasi!$C$2:$C$20000))</f>
        <v/>
      </c>
      <c r="E3769">
        <f>IF(A3769="","",6-CEILING(PERCENTRANK.INC($B$3:$B$6000,B3769,4)*5+0.000001,1))</f>
        <v/>
      </c>
      <c r="F3769">
        <f>IF(A3769="","",MAX(1,CEILING(PERCENTRANK.INC($C$3:$C$6000,C3769,4)*5+0.000001,1)))</f>
        <v/>
      </c>
      <c r="G3769">
        <f>IF(A3769="","",MAX(1,CEILING(PERCENTRANK.INC($D$3:$D$6000,D3769,4)*5+0.000001,1)))</f>
        <v/>
      </c>
      <c r="H3769">
        <f>IF(A3769="","",E3769&amp;F3769&amp;G3769)</f>
        <v/>
      </c>
      <c r="I3769">
        <f>IF(A3769="","",IF(AND(E3769&gt;=4,F3769&gt;=4,G3769&gt;=4),"Juara",IF(AND(F3769&gt;=4,E3769&gt;=3),"Setia",IF(AND(E3769=5,F3769&lt;=2,G3769&gt;=3),"Berpotensi",IF(AND(E3769&lt;=3,E3769&gt;=2,F3769&gt;=3),"Rawan",IF(AND(E3769&lt;=2,F3769&lt;=2),"Tidur","Umum"))))))</f>
        <v/>
      </c>
    </row>
    <row r="3770">
      <c r="B3770">
        <f>IF(A3770="","",$B$1-MAXIFS(Donasi!$A$2:$A$20000,Donasi!$B$2:$B$20000,A3770))</f>
        <v/>
      </c>
      <c r="C3770">
        <f>IF(A3770="","",COUNTIF(Donasi!$B$2:$B$20000,A3770))</f>
        <v/>
      </c>
      <c r="D3770">
        <f>IF(A3770="","",SUMIF(Donasi!$B$2:$B$20000,A3770,Donasi!$C$2:$C$20000))</f>
        <v/>
      </c>
      <c r="E3770">
        <f>IF(A3770="","",6-CEILING(PERCENTRANK.INC($B$3:$B$6000,B3770,4)*5+0.000001,1))</f>
        <v/>
      </c>
      <c r="F3770">
        <f>IF(A3770="","",MAX(1,CEILING(PERCENTRANK.INC($C$3:$C$6000,C3770,4)*5+0.000001,1)))</f>
        <v/>
      </c>
      <c r="G3770">
        <f>IF(A3770="","",MAX(1,CEILING(PERCENTRANK.INC($D$3:$D$6000,D3770,4)*5+0.000001,1)))</f>
        <v/>
      </c>
      <c r="H3770">
        <f>IF(A3770="","",E3770&amp;F3770&amp;G3770)</f>
        <v/>
      </c>
      <c r="I3770">
        <f>IF(A3770="","",IF(AND(E3770&gt;=4,F3770&gt;=4,G3770&gt;=4),"Juara",IF(AND(F3770&gt;=4,E3770&gt;=3),"Setia",IF(AND(E3770=5,F3770&lt;=2,G3770&gt;=3),"Berpotensi",IF(AND(E3770&lt;=3,E3770&gt;=2,F3770&gt;=3),"Rawan",IF(AND(E3770&lt;=2,F3770&lt;=2),"Tidur","Umum"))))))</f>
        <v/>
      </c>
    </row>
    <row r="3771">
      <c r="B3771">
        <f>IF(A3771="","",$B$1-MAXIFS(Donasi!$A$2:$A$20000,Donasi!$B$2:$B$20000,A3771))</f>
        <v/>
      </c>
      <c r="C3771">
        <f>IF(A3771="","",COUNTIF(Donasi!$B$2:$B$20000,A3771))</f>
        <v/>
      </c>
      <c r="D3771">
        <f>IF(A3771="","",SUMIF(Donasi!$B$2:$B$20000,A3771,Donasi!$C$2:$C$20000))</f>
        <v/>
      </c>
      <c r="E3771">
        <f>IF(A3771="","",6-CEILING(PERCENTRANK.INC($B$3:$B$6000,B3771,4)*5+0.000001,1))</f>
        <v/>
      </c>
      <c r="F3771">
        <f>IF(A3771="","",MAX(1,CEILING(PERCENTRANK.INC($C$3:$C$6000,C3771,4)*5+0.000001,1)))</f>
        <v/>
      </c>
      <c r="G3771">
        <f>IF(A3771="","",MAX(1,CEILING(PERCENTRANK.INC($D$3:$D$6000,D3771,4)*5+0.000001,1)))</f>
        <v/>
      </c>
      <c r="H3771">
        <f>IF(A3771="","",E3771&amp;F3771&amp;G3771)</f>
        <v/>
      </c>
      <c r="I3771">
        <f>IF(A3771="","",IF(AND(E3771&gt;=4,F3771&gt;=4,G3771&gt;=4),"Juara",IF(AND(F3771&gt;=4,E3771&gt;=3),"Setia",IF(AND(E3771=5,F3771&lt;=2,G3771&gt;=3),"Berpotensi",IF(AND(E3771&lt;=3,E3771&gt;=2,F3771&gt;=3),"Rawan",IF(AND(E3771&lt;=2,F3771&lt;=2),"Tidur","Umum"))))))</f>
        <v/>
      </c>
    </row>
    <row r="3772">
      <c r="B3772">
        <f>IF(A3772="","",$B$1-MAXIFS(Donasi!$A$2:$A$20000,Donasi!$B$2:$B$20000,A3772))</f>
        <v/>
      </c>
      <c r="C3772">
        <f>IF(A3772="","",COUNTIF(Donasi!$B$2:$B$20000,A3772))</f>
        <v/>
      </c>
      <c r="D3772">
        <f>IF(A3772="","",SUMIF(Donasi!$B$2:$B$20000,A3772,Donasi!$C$2:$C$20000))</f>
        <v/>
      </c>
      <c r="E3772">
        <f>IF(A3772="","",6-CEILING(PERCENTRANK.INC($B$3:$B$6000,B3772,4)*5+0.000001,1))</f>
        <v/>
      </c>
      <c r="F3772">
        <f>IF(A3772="","",MAX(1,CEILING(PERCENTRANK.INC($C$3:$C$6000,C3772,4)*5+0.000001,1)))</f>
        <v/>
      </c>
      <c r="G3772">
        <f>IF(A3772="","",MAX(1,CEILING(PERCENTRANK.INC($D$3:$D$6000,D3772,4)*5+0.000001,1)))</f>
        <v/>
      </c>
      <c r="H3772">
        <f>IF(A3772="","",E3772&amp;F3772&amp;G3772)</f>
        <v/>
      </c>
      <c r="I3772">
        <f>IF(A3772="","",IF(AND(E3772&gt;=4,F3772&gt;=4,G3772&gt;=4),"Juara",IF(AND(F3772&gt;=4,E3772&gt;=3),"Setia",IF(AND(E3772=5,F3772&lt;=2,G3772&gt;=3),"Berpotensi",IF(AND(E3772&lt;=3,E3772&gt;=2,F3772&gt;=3),"Rawan",IF(AND(E3772&lt;=2,F3772&lt;=2),"Tidur","Umum"))))))</f>
        <v/>
      </c>
    </row>
    <row r="3773">
      <c r="B3773">
        <f>IF(A3773="","",$B$1-MAXIFS(Donasi!$A$2:$A$20000,Donasi!$B$2:$B$20000,A3773))</f>
        <v/>
      </c>
      <c r="C3773">
        <f>IF(A3773="","",COUNTIF(Donasi!$B$2:$B$20000,A3773))</f>
        <v/>
      </c>
      <c r="D3773">
        <f>IF(A3773="","",SUMIF(Donasi!$B$2:$B$20000,A3773,Donasi!$C$2:$C$20000))</f>
        <v/>
      </c>
      <c r="E3773">
        <f>IF(A3773="","",6-CEILING(PERCENTRANK.INC($B$3:$B$6000,B3773,4)*5+0.000001,1))</f>
        <v/>
      </c>
      <c r="F3773">
        <f>IF(A3773="","",MAX(1,CEILING(PERCENTRANK.INC($C$3:$C$6000,C3773,4)*5+0.000001,1)))</f>
        <v/>
      </c>
      <c r="G3773">
        <f>IF(A3773="","",MAX(1,CEILING(PERCENTRANK.INC($D$3:$D$6000,D3773,4)*5+0.000001,1)))</f>
        <v/>
      </c>
      <c r="H3773">
        <f>IF(A3773="","",E3773&amp;F3773&amp;G3773)</f>
        <v/>
      </c>
      <c r="I3773">
        <f>IF(A3773="","",IF(AND(E3773&gt;=4,F3773&gt;=4,G3773&gt;=4),"Juara",IF(AND(F3773&gt;=4,E3773&gt;=3),"Setia",IF(AND(E3773=5,F3773&lt;=2,G3773&gt;=3),"Berpotensi",IF(AND(E3773&lt;=3,E3773&gt;=2,F3773&gt;=3),"Rawan",IF(AND(E3773&lt;=2,F3773&lt;=2),"Tidur","Umum"))))))</f>
        <v/>
      </c>
    </row>
    <row r="3774">
      <c r="B3774">
        <f>IF(A3774="","",$B$1-MAXIFS(Donasi!$A$2:$A$20000,Donasi!$B$2:$B$20000,A3774))</f>
        <v/>
      </c>
      <c r="C3774">
        <f>IF(A3774="","",COUNTIF(Donasi!$B$2:$B$20000,A3774))</f>
        <v/>
      </c>
      <c r="D3774">
        <f>IF(A3774="","",SUMIF(Donasi!$B$2:$B$20000,A3774,Donasi!$C$2:$C$20000))</f>
        <v/>
      </c>
      <c r="E3774">
        <f>IF(A3774="","",6-CEILING(PERCENTRANK.INC($B$3:$B$6000,B3774,4)*5+0.000001,1))</f>
        <v/>
      </c>
      <c r="F3774">
        <f>IF(A3774="","",MAX(1,CEILING(PERCENTRANK.INC($C$3:$C$6000,C3774,4)*5+0.000001,1)))</f>
        <v/>
      </c>
      <c r="G3774">
        <f>IF(A3774="","",MAX(1,CEILING(PERCENTRANK.INC($D$3:$D$6000,D3774,4)*5+0.000001,1)))</f>
        <v/>
      </c>
      <c r="H3774">
        <f>IF(A3774="","",E3774&amp;F3774&amp;G3774)</f>
        <v/>
      </c>
      <c r="I3774">
        <f>IF(A3774="","",IF(AND(E3774&gt;=4,F3774&gt;=4,G3774&gt;=4),"Juara",IF(AND(F3774&gt;=4,E3774&gt;=3),"Setia",IF(AND(E3774=5,F3774&lt;=2,G3774&gt;=3),"Berpotensi",IF(AND(E3774&lt;=3,E3774&gt;=2,F3774&gt;=3),"Rawan",IF(AND(E3774&lt;=2,F3774&lt;=2),"Tidur","Umum"))))))</f>
        <v/>
      </c>
    </row>
    <row r="3775">
      <c r="B3775">
        <f>IF(A3775="","",$B$1-MAXIFS(Donasi!$A$2:$A$20000,Donasi!$B$2:$B$20000,A3775))</f>
        <v/>
      </c>
      <c r="C3775">
        <f>IF(A3775="","",COUNTIF(Donasi!$B$2:$B$20000,A3775))</f>
        <v/>
      </c>
      <c r="D3775">
        <f>IF(A3775="","",SUMIF(Donasi!$B$2:$B$20000,A3775,Donasi!$C$2:$C$20000))</f>
        <v/>
      </c>
      <c r="E3775">
        <f>IF(A3775="","",6-CEILING(PERCENTRANK.INC($B$3:$B$6000,B3775,4)*5+0.000001,1))</f>
        <v/>
      </c>
      <c r="F3775">
        <f>IF(A3775="","",MAX(1,CEILING(PERCENTRANK.INC($C$3:$C$6000,C3775,4)*5+0.000001,1)))</f>
        <v/>
      </c>
      <c r="G3775">
        <f>IF(A3775="","",MAX(1,CEILING(PERCENTRANK.INC($D$3:$D$6000,D3775,4)*5+0.000001,1)))</f>
        <v/>
      </c>
      <c r="H3775">
        <f>IF(A3775="","",E3775&amp;F3775&amp;G3775)</f>
        <v/>
      </c>
      <c r="I3775">
        <f>IF(A3775="","",IF(AND(E3775&gt;=4,F3775&gt;=4,G3775&gt;=4),"Juara",IF(AND(F3775&gt;=4,E3775&gt;=3),"Setia",IF(AND(E3775=5,F3775&lt;=2,G3775&gt;=3),"Berpotensi",IF(AND(E3775&lt;=3,E3775&gt;=2,F3775&gt;=3),"Rawan",IF(AND(E3775&lt;=2,F3775&lt;=2),"Tidur","Umum"))))))</f>
        <v/>
      </c>
    </row>
    <row r="3776">
      <c r="B3776">
        <f>IF(A3776="","",$B$1-MAXIFS(Donasi!$A$2:$A$20000,Donasi!$B$2:$B$20000,A3776))</f>
        <v/>
      </c>
      <c r="C3776">
        <f>IF(A3776="","",COUNTIF(Donasi!$B$2:$B$20000,A3776))</f>
        <v/>
      </c>
      <c r="D3776">
        <f>IF(A3776="","",SUMIF(Donasi!$B$2:$B$20000,A3776,Donasi!$C$2:$C$20000))</f>
        <v/>
      </c>
      <c r="E3776">
        <f>IF(A3776="","",6-CEILING(PERCENTRANK.INC($B$3:$B$6000,B3776,4)*5+0.000001,1))</f>
        <v/>
      </c>
      <c r="F3776">
        <f>IF(A3776="","",MAX(1,CEILING(PERCENTRANK.INC($C$3:$C$6000,C3776,4)*5+0.000001,1)))</f>
        <v/>
      </c>
      <c r="G3776">
        <f>IF(A3776="","",MAX(1,CEILING(PERCENTRANK.INC($D$3:$D$6000,D3776,4)*5+0.000001,1)))</f>
        <v/>
      </c>
      <c r="H3776">
        <f>IF(A3776="","",E3776&amp;F3776&amp;G3776)</f>
        <v/>
      </c>
      <c r="I3776">
        <f>IF(A3776="","",IF(AND(E3776&gt;=4,F3776&gt;=4,G3776&gt;=4),"Juara",IF(AND(F3776&gt;=4,E3776&gt;=3),"Setia",IF(AND(E3776=5,F3776&lt;=2,G3776&gt;=3),"Berpotensi",IF(AND(E3776&lt;=3,E3776&gt;=2,F3776&gt;=3),"Rawan",IF(AND(E3776&lt;=2,F3776&lt;=2),"Tidur","Umum"))))))</f>
        <v/>
      </c>
    </row>
    <row r="3777">
      <c r="B3777">
        <f>IF(A3777="","",$B$1-MAXIFS(Donasi!$A$2:$A$20000,Donasi!$B$2:$B$20000,A3777))</f>
        <v/>
      </c>
      <c r="C3777">
        <f>IF(A3777="","",COUNTIF(Donasi!$B$2:$B$20000,A3777))</f>
        <v/>
      </c>
      <c r="D3777">
        <f>IF(A3777="","",SUMIF(Donasi!$B$2:$B$20000,A3777,Donasi!$C$2:$C$20000))</f>
        <v/>
      </c>
      <c r="E3777">
        <f>IF(A3777="","",6-CEILING(PERCENTRANK.INC($B$3:$B$6000,B3777,4)*5+0.000001,1))</f>
        <v/>
      </c>
      <c r="F3777">
        <f>IF(A3777="","",MAX(1,CEILING(PERCENTRANK.INC($C$3:$C$6000,C3777,4)*5+0.000001,1)))</f>
        <v/>
      </c>
      <c r="G3777">
        <f>IF(A3777="","",MAX(1,CEILING(PERCENTRANK.INC($D$3:$D$6000,D3777,4)*5+0.000001,1)))</f>
        <v/>
      </c>
      <c r="H3777">
        <f>IF(A3777="","",E3777&amp;F3777&amp;G3777)</f>
        <v/>
      </c>
      <c r="I3777">
        <f>IF(A3777="","",IF(AND(E3777&gt;=4,F3777&gt;=4,G3777&gt;=4),"Juara",IF(AND(F3777&gt;=4,E3777&gt;=3),"Setia",IF(AND(E3777=5,F3777&lt;=2,G3777&gt;=3),"Berpotensi",IF(AND(E3777&lt;=3,E3777&gt;=2,F3777&gt;=3),"Rawan",IF(AND(E3777&lt;=2,F3777&lt;=2),"Tidur","Umum"))))))</f>
        <v/>
      </c>
    </row>
    <row r="3778">
      <c r="B3778">
        <f>IF(A3778="","",$B$1-MAXIFS(Donasi!$A$2:$A$20000,Donasi!$B$2:$B$20000,A3778))</f>
        <v/>
      </c>
      <c r="C3778">
        <f>IF(A3778="","",COUNTIF(Donasi!$B$2:$B$20000,A3778))</f>
        <v/>
      </c>
      <c r="D3778">
        <f>IF(A3778="","",SUMIF(Donasi!$B$2:$B$20000,A3778,Donasi!$C$2:$C$20000))</f>
        <v/>
      </c>
      <c r="E3778">
        <f>IF(A3778="","",6-CEILING(PERCENTRANK.INC($B$3:$B$6000,B3778,4)*5+0.000001,1))</f>
        <v/>
      </c>
      <c r="F3778">
        <f>IF(A3778="","",MAX(1,CEILING(PERCENTRANK.INC($C$3:$C$6000,C3778,4)*5+0.000001,1)))</f>
        <v/>
      </c>
      <c r="G3778">
        <f>IF(A3778="","",MAX(1,CEILING(PERCENTRANK.INC($D$3:$D$6000,D3778,4)*5+0.000001,1)))</f>
        <v/>
      </c>
      <c r="H3778">
        <f>IF(A3778="","",E3778&amp;F3778&amp;G3778)</f>
        <v/>
      </c>
      <c r="I3778">
        <f>IF(A3778="","",IF(AND(E3778&gt;=4,F3778&gt;=4,G3778&gt;=4),"Juara",IF(AND(F3778&gt;=4,E3778&gt;=3),"Setia",IF(AND(E3778=5,F3778&lt;=2,G3778&gt;=3),"Berpotensi",IF(AND(E3778&lt;=3,E3778&gt;=2,F3778&gt;=3),"Rawan",IF(AND(E3778&lt;=2,F3778&lt;=2),"Tidur","Umum"))))))</f>
        <v/>
      </c>
    </row>
    <row r="3779">
      <c r="B3779">
        <f>IF(A3779="","",$B$1-MAXIFS(Donasi!$A$2:$A$20000,Donasi!$B$2:$B$20000,A3779))</f>
        <v/>
      </c>
      <c r="C3779">
        <f>IF(A3779="","",COUNTIF(Donasi!$B$2:$B$20000,A3779))</f>
        <v/>
      </c>
      <c r="D3779">
        <f>IF(A3779="","",SUMIF(Donasi!$B$2:$B$20000,A3779,Donasi!$C$2:$C$20000))</f>
        <v/>
      </c>
      <c r="E3779">
        <f>IF(A3779="","",6-CEILING(PERCENTRANK.INC($B$3:$B$6000,B3779,4)*5+0.000001,1))</f>
        <v/>
      </c>
      <c r="F3779">
        <f>IF(A3779="","",MAX(1,CEILING(PERCENTRANK.INC($C$3:$C$6000,C3779,4)*5+0.000001,1)))</f>
        <v/>
      </c>
      <c r="G3779">
        <f>IF(A3779="","",MAX(1,CEILING(PERCENTRANK.INC($D$3:$D$6000,D3779,4)*5+0.000001,1)))</f>
        <v/>
      </c>
      <c r="H3779">
        <f>IF(A3779="","",E3779&amp;F3779&amp;G3779)</f>
        <v/>
      </c>
      <c r="I3779">
        <f>IF(A3779="","",IF(AND(E3779&gt;=4,F3779&gt;=4,G3779&gt;=4),"Juara",IF(AND(F3779&gt;=4,E3779&gt;=3),"Setia",IF(AND(E3779=5,F3779&lt;=2,G3779&gt;=3),"Berpotensi",IF(AND(E3779&lt;=3,E3779&gt;=2,F3779&gt;=3),"Rawan",IF(AND(E3779&lt;=2,F3779&lt;=2),"Tidur","Umum"))))))</f>
        <v/>
      </c>
    </row>
    <row r="3780">
      <c r="B3780">
        <f>IF(A3780="","",$B$1-MAXIFS(Donasi!$A$2:$A$20000,Donasi!$B$2:$B$20000,A3780))</f>
        <v/>
      </c>
      <c r="C3780">
        <f>IF(A3780="","",COUNTIF(Donasi!$B$2:$B$20000,A3780))</f>
        <v/>
      </c>
      <c r="D3780">
        <f>IF(A3780="","",SUMIF(Donasi!$B$2:$B$20000,A3780,Donasi!$C$2:$C$20000))</f>
        <v/>
      </c>
      <c r="E3780">
        <f>IF(A3780="","",6-CEILING(PERCENTRANK.INC($B$3:$B$6000,B3780,4)*5+0.000001,1))</f>
        <v/>
      </c>
      <c r="F3780">
        <f>IF(A3780="","",MAX(1,CEILING(PERCENTRANK.INC($C$3:$C$6000,C3780,4)*5+0.000001,1)))</f>
        <v/>
      </c>
      <c r="G3780">
        <f>IF(A3780="","",MAX(1,CEILING(PERCENTRANK.INC($D$3:$D$6000,D3780,4)*5+0.000001,1)))</f>
        <v/>
      </c>
      <c r="H3780">
        <f>IF(A3780="","",E3780&amp;F3780&amp;G3780)</f>
        <v/>
      </c>
      <c r="I3780">
        <f>IF(A3780="","",IF(AND(E3780&gt;=4,F3780&gt;=4,G3780&gt;=4),"Juara",IF(AND(F3780&gt;=4,E3780&gt;=3),"Setia",IF(AND(E3780=5,F3780&lt;=2,G3780&gt;=3),"Berpotensi",IF(AND(E3780&lt;=3,E3780&gt;=2,F3780&gt;=3),"Rawan",IF(AND(E3780&lt;=2,F3780&lt;=2),"Tidur","Umum"))))))</f>
        <v/>
      </c>
    </row>
    <row r="3781">
      <c r="B3781">
        <f>IF(A3781="","",$B$1-MAXIFS(Donasi!$A$2:$A$20000,Donasi!$B$2:$B$20000,A3781))</f>
        <v/>
      </c>
      <c r="C3781">
        <f>IF(A3781="","",COUNTIF(Donasi!$B$2:$B$20000,A3781))</f>
        <v/>
      </c>
      <c r="D3781">
        <f>IF(A3781="","",SUMIF(Donasi!$B$2:$B$20000,A3781,Donasi!$C$2:$C$20000))</f>
        <v/>
      </c>
      <c r="E3781">
        <f>IF(A3781="","",6-CEILING(PERCENTRANK.INC($B$3:$B$6000,B3781,4)*5+0.000001,1))</f>
        <v/>
      </c>
      <c r="F3781">
        <f>IF(A3781="","",MAX(1,CEILING(PERCENTRANK.INC($C$3:$C$6000,C3781,4)*5+0.000001,1)))</f>
        <v/>
      </c>
      <c r="G3781">
        <f>IF(A3781="","",MAX(1,CEILING(PERCENTRANK.INC($D$3:$D$6000,D3781,4)*5+0.000001,1)))</f>
        <v/>
      </c>
      <c r="H3781">
        <f>IF(A3781="","",E3781&amp;F3781&amp;G3781)</f>
        <v/>
      </c>
      <c r="I3781">
        <f>IF(A3781="","",IF(AND(E3781&gt;=4,F3781&gt;=4,G3781&gt;=4),"Juara",IF(AND(F3781&gt;=4,E3781&gt;=3),"Setia",IF(AND(E3781=5,F3781&lt;=2,G3781&gt;=3),"Berpotensi",IF(AND(E3781&lt;=3,E3781&gt;=2,F3781&gt;=3),"Rawan",IF(AND(E3781&lt;=2,F3781&lt;=2),"Tidur","Umum"))))))</f>
        <v/>
      </c>
    </row>
    <row r="3782">
      <c r="B3782">
        <f>IF(A3782="","",$B$1-MAXIFS(Donasi!$A$2:$A$20000,Donasi!$B$2:$B$20000,A3782))</f>
        <v/>
      </c>
      <c r="C3782">
        <f>IF(A3782="","",COUNTIF(Donasi!$B$2:$B$20000,A3782))</f>
        <v/>
      </c>
      <c r="D3782">
        <f>IF(A3782="","",SUMIF(Donasi!$B$2:$B$20000,A3782,Donasi!$C$2:$C$20000))</f>
        <v/>
      </c>
      <c r="E3782">
        <f>IF(A3782="","",6-CEILING(PERCENTRANK.INC($B$3:$B$6000,B3782,4)*5+0.000001,1))</f>
        <v/>
      </c>
      <c r="F3782">
        <f>IF(A3782="","",MAX(1,CEILING(PERCENTRANK.INC($C$3:$C$6000,C3782,4)*5+0.000001,1)))</f>
        <v/>
      </c>
      <c r="G3782">
        <f>IF(A3782="","",MAX(1,CEILING(PERCENTRANK.INC($D$3:$D$6000,D3782,4)*5+0.000001,1)))</f>
        <v/>
      </c>
      <c r="H3782">
        <f>IF(A3782="","",E3782&amp;F3782&amp;G3782)</f>
        <v/>
      </c>
      <c r="I3782">
        <f>IF(A3782="","",IF(AND(E3782&gt;=4,F3782&gt;=4,G3782&gt;=4),"Juara",IF(AND(F3782&gt;=4,E3782&gt;=3),"Setia",IF(AND(E3782=5,F3782&lt;=2,G3782&gt;=3),"Berpotensi",IF(AND(E3782&lt;=3,E3782&gt;=2,F3782&gt;=3),"Rawan",IF(AND(E3782&lt;=2,F3782&lt;=2),"Tidur","Umum"))))))</f>
        <v/>
      </c>
    </row>
    <row r="3783">
      <c r="B3783">
        <f>IF(A3783="","",$B$1-MAXIFS(Donasi!$A$2:$A$20000,Donasi!$B$2:$B$20000,A3783))</f>
        <v/>
      </c>
      <c r="C3783">
        <f>IF(A3783="","",COUNTIF(Donasi!$B$2:$B$20000,A3783))</f>
        <v/>
      </c>
      <c r="D3783">
        <f>IF(A3783="","",SUMIF(Donasi!$B$2:$B$20000,A3783,Donasi!$C$2:$C$20000))</f>
        <v/>
      </c>
      <c r="E3783">
        <f>IF(A3783="","",6-CEILING(PERCENTRANK.INC($B$3:$B$6000,B3783,4)*5+0.000001,1))</f>
        <v/>
      </c>
      <c r="F3783">
        <f>IF(A3783="","",MAX(1,CEILING(PERCENTRANK.INC($C$3:$C$6000,C3783,4)*5+0.000001,1)))</f>
        <v/>
      </c>
      <c r="G3783">
        <f>IF(A3783="","",MAX(1,CEILING(PERCENTRANK.INC($D$3:$D$6000,D3783,4)*5+0.000001,1)))</f>
        <v/>
      </c>
      <c r="H3783">
        <f>IF(A3783="","",E3783&amp;F3783&amp;G3783)</f>
        <v/>
      </c>
      <c r="I3783">
        <f>IF(A3783="","",IF(AND(E3783&gt;=4,F3783&gt;=4,G3783&gt;=4),"Juara",IF(AND(F3783&gt;=4,E3783&gt;=3),"Setia",IF(AND(E3783=5,F3783&lt;=2,G3783&gt;=3),"Berpotensi",IF(AND(E3783&lt;=3,E3783&gt;=2,F3783&gt;=3),"Rawan",IF(AND(E3783&lt;=2,F3783&lt;=2),"Tidur","Umum"))))))</f>
        <v/>
      </c>
    </row>
    <row r="3784">
      <c r="B3784">
        <f>IF(A3784="","",$B$1-MAXIFS(Donasi!$A$2:$A$20000,Donasi!$B$2:$B$20000,A3784))</f>
        <v/>
      </c>
      <c r="C3784">
        <f>IF(A3784="","",COUNTIF(Donasi!$B$2:$B$20000,A3784))</f>
        <v/>
      </c>
      <c r="D3784">
        <f>IF(A3784="","",SUMIF(Donasi!$B$2:$B$20000,A3784,Donasi!$C$2:$C$20000))</f>
        <v/>
      </c>
      <c r="E3784">
        <f>IF(A3784="","",6-CEILING(PERCENTRANK.INC($B$3:$B$6000,B3784,4)*5+0.000001,1))</f>
        <v/>
      </c>
      <c r="F3784">
        <f>IF(A3784="","",MAX(1,CEILING(PERCENTRANK.INC($C$3:$C$6000,C3784,4)*5+0.000001,1)))</f>
        <v/>
      </c>
      <c r="G3784">
        <f>IF(A3784="","",MAX(1,CEILING(PERCENTRANK.INC($D$3:$D$6000,D3784,4)*5+0.000001,1)))</f>
        <v/>
      </c>
      <c r="H3784">
        <f>IF(A3784="","",E3784&amp;F3784&amp;G3784)</f>
        <v/>
      </c>
      <c r="I3784">
        <f>IF(A3784="","",IF(AND(E3784&gt;=4,F3784&gt;=4,G3784&gt;=4),"Juara",IF(AND(F3784&gt;=4,E3784&gt;=3),"Setia",IF(AND(E3784=5,F3784&lt;=2,G3784&gt;=3),"Berpotensi",IF(AND(E3784&lt;=3,E3784&gt;=2,F3784&gt;=3),"Rawan",IF(AND(E3784&lt;=2,F3784&lt;=2),"Tidur","Umum"))))))</f>
        <v/>
      </c>
    </row>
    <row r="3785">
      <c r="B3785">
        <f>IF(A3785="","",$B$1-MAXIFS(Donasi!$A$2:$A$20000,Donasi!$B$2:$B$20000,A3785))</f>
        <v/>
      </c>
      <c r="C3785">
        <f>IF(A3785="","",COUNTIF(Donasi!$B$2:$B$20000,A3785))</f>
        <v/>
      </c>
      <c r="D3785">
        <f>IF(A3785="","",SUMIF(Donasi!$B$2:$B$20000,A3785,Donasi!$C$2:$C$20000))</f>
        <v/>
      </c>
      <c r="E3785">
        <f>IF(A3785="","",6-CEILING(PERCENTRANK.INC($B$3:$B$6000,B3785,4)*5+0.000001,1))</f>
        <v/>
      </c>
      <c r="F3785">
        <f>IF(A3785="","",MAX(1,CEILING(PERCENTRANK.INC($C$3:$C$6000,C3785,4)*5+0.000001,1)))</f>
        <v/>
      </c>
      <c r="G3785">
        <f>IF(A3785="","",MAX(1,CEILING(PERCENTRANK.INC($D$3:$D$6000,D3785,4)*5+0.000001,1)))</f>
        <v/>
      </c>
      <c r="H3785">
        <f>IF(A3785="","",E3785&amp;F3785&amp;G3785)</f>
        <v/>
      </c>
      <c r="I3785">
        <f>IF(A3785="","",IF(AND(E3785&gt;=4,F3785&gt;=4,G3785&gt;=4),"Juara",IF(AND(F3785&gt;=4,E3785&gt;=3),"Setia",IF(AND(E3785=5,F3785&lt;=2,G3785&gt;=3),"Berpotensi",IF(AND(E3785&lt;=3,E3785&gt;=2,F3785&gt;=3),"Rawan",IF(AND(E3785&lt;=2,F3785&lt;=2),"Tidur","Umum"))))))</f>
        <v/>
      </c>
    </row>
    <row r="3786">
      <c r="B3786">
        <f>IF(A3786="","",$B$1-MAXIFS(Donasi!$A$2:$A$20000,Donasi!$B$2:$B$20000,A3786))</f>
        <v/>
      </c>
      <c r="C3786">
        <f>IF(A3786="","",COUNTIF(Donasi!$B$2:$B$20000,A3786))</f>
        <v/>
      </c>
      <c r="D3786">
        <f>IF(A3786="","",SUMIF(Donasi!$B$2:$B$20000,A3786,Donasi!$C$2:$C$20000))</f>
        <v/>
      </c>
      <c r="E3786">
        <f>IF(A3786="","",6-CEILING(PERCENTRANK.INC($B$3:$B$6000,B3786,4)*5+0.000001,1))</f>
        <v/>
      </c>
      <c r="F3786">
        <f>IF(A3786="","",MAX(1,CEILING(PERCENTRANK.INC($C$3:$C$6000,C3786,4)*5+0.000001,1)))</f>
        <v/>
      </c>
      <c r="G3786">
        <f>IF(A3786="","",MAX(1,CEILING(PERCENTRANK.INC($D$3:$D$6000,D3786,4)*5+0.000001,1)))</f>
        <v/>
      </c>
      <c r="H3786">
        <f>IF(A3786="","",E3786&amp;F3786&amp;G3786)</f>
        <v/>
      </c>
      <c r="I3786">
        <f>IF(A3786="","",IF(AND(E3786&gt;=4,F3786&gt;=4,G3786&gt;=4),"Juara",IF(AND(F3786&gt;=4,E3786&gt;=3),"Setia",IF(AND(E3786=5,F3786&lt;=2,G3786&gt;=3),"Berpotensi",IF(AND(E3786&lt;=3,E3786&gt;=2,F3786&gt;=3),"Rawan",IF(AND(E3786&lt;=2,F3786&lt;=2),"Tidur","Umum"))))))</f>
        <v/>
      </c>
    </row>
    <row r="3787">
      <c r="B3787">
        <f>IF(A3787="","",$B$1-MAXIFS(Donasi!$A$2:$A$20000,Donasi!$B$2:$B$20000,A3787))</f>
        <v/>
      </c>
      <c r="C3787">
        <f>IF(A3787="","",COUNTIF(Donasi!$B$2:$B$20000,A3787))</f>
        <v/>
      </c>
      <c r="D3787">
        <f>IF(A3787="","",SUMIF(Donasi!$B$2:$B$20000,A3787,Donasi!$C$2:$C$20000))</f>
        <v/>
      </c>
      <c r="E3787">
        <f>IF(A3787="","",6-CEILING(PERCENTRANK.INC($B$3:$B$6000,B3787,4)*5+0.000001,1))</f>
        <v/>
      </c>
      <c r="F3787">
        <f>IF(A3787="","",MAX(1,CEILING(PERCENTRANK.INC($C$3:$C$6000,C3787,4)*5+0.000001,1)))</f>
        <v/>
      </c>
      <c r="G3787">
        <f>IF(A3787="","",MAX(1,CEILING(PERCENTRANK.INC($D$3:$D$6000,D3787,4)*5+0.000001,1)))</f>
        <v/>
      </c>
      <c r="H3787">
        <f>IF(A3787="","",E3787&amp;F3787&amp;G3787)</f>
        <v/>
      </c>
      <c r="I3787">
        <f>IF(A3787="","",IF(AND(E3787&gt;=4,F3787&gt;=4,G3787&gt;=4),"Juara",IF(AND(F3787&gt;=4,E3787&gt;=3),"Setia",IF(AND(E3787=5,F3787&lt;=2,G3787&gt;=3),"Berpotensi",IF(AND(E3787&lt;=3,E3787&gt;=2,F3787&gt;=3),"Rawan",IF(AND(E3787&lt;=2,F3787&lt;=2),"Tidur","Umum"))))))</f>
        <v/>
      </c>
    </row>
    <row r="3788">
      <c r="B3788">
        <f>IF(A3788="","",$B$1-MAXIFS(Donasi!$A$2:$A$20000,Donasi!$B$2:$B$20000,A3788))</f>
        <v/>
      </c>
      <c r="C3788">
        <f>IF(A3788="","",COUNTIF(Donasi!$B$2:$B$20000,A3788))</f>
        <v/>
      </c>
      <c r="D3788">
        <f>IF(A3788="","",SUMIF(Donasi!$B$2:$B$20000,A3788,Donasi!$C$2:$C$20000))</f>
        <v/>
      </c>
      <c r="E3788">
        <f>IF(A3788="","",6-CEILING(PERCENTRANK.INC($B$3:$B$6000,B3788,4)*5+0.000001,1))</f>
        <v/>
      </c>
      <c r="F3788">
        <f>IF(A3788="","",MAX(1,CEILING(PERCENTRANK.INC($C$3:$C$6000,C3788,4)*5+0.000001,1)))</f>
        <v/>
      </c>
      <c r="G3788">
        <f>IF(A3788="","",MAX(1,CEILING(PERCENTRANK.INC($D$3:$D$6000,D3788,4)*5+0.000001,1)))</f>
        <v/>
      </c>
      <c r="H3788">
        <f>IF(A3788="","",E3788&amp;F3788&amp;G3788)</f>
        <v/>
      </c>
      <c r="I3788">
        <f>IF(A3788="","",IF(AND(E3788&gt;=4,F3788&gt;=4,G3788&gt;=4),"Juara",IF(AND(F3788&gt;=4,E3788&gt;=3),"Setia",IF(AND(E3788=5,F3788&lt;=2,G3788&gt;=3),"Berpotensi",IF(AND(E3788&lt;=3,E3788&gt;=2,F3788&gt;=3),"Rawan",IF(AND(E3788&lt;=2,F3788&lt;=2),"Tidur","Umum"))))))</f>
        <v/>
      </c>
    </row>
    <row r="3789">
      <c r="B3789">
        <f>IF(A3789="","",$B$1-MAXIFS(Donasi!$A$2:$A$20000,Donasi!$B$2:$B$20000,A3789))</f>
        <v/>
      </c>
      <c r="C3789">
        <f>IF(A3789="","",COUNTIF(Donasi!$B$2:$B$20000,A3789))</f>
        <v/>
      </c>
      <c r="D3789">
        <f>IF(A3789="","",SUMIF(Donasi!$B$2:$B$20000,A3789,Donasi!$C$2:$C$20000))</f>
        <v/>
      </c>
      <c r="E3789">
        <f>IF(A3789="","",6-CEILING(PERCENTRANK.INC($B$3:$B$6000,B3789,4)*5+0.000001,1))</f>
        <v/>
      </c>
      <c r="F3789">
        <f>IF(A3789="","",MAX(1,CEILING(PERCENTRANK.INC($C$3:$C$6000,C3789,4)*5+0.000001,1)))</f>
        <v/>
      </c>
      <c r="G3789">
        <f>IF(A3789="","",MAX(1,CEILING(PERCENTRANK.INC($D$3:$D$6000,D3789,4)*5+0.000001,1)))</f>
        <v/>
      </c>
      <c r="H3789">
        <f>IF(A3789="","",E3789&amp;F3789&amp;G3789)</f>
        <v/>
      </c>
      <c r="I3789">
        <f>IF(A3789="","",IF(AND(E3789&gt;=4,F3789&gt;=4,G3789&gt;=4),"Juara",IF(AND(F3789&gt;=4,E3789&gt;=3),"Setia",IF(AND(E3789=5,F3789&lt;=2,G3789&gt;=3),"Berpotensi",IF(AND(E3789&lt;=3,E3789&gt;=2,F3789&gt;=3),"Rawan",IF(AND(E3789&lt;=2,F3789&lt;=2),"Tidur","Umum"))))))</f>
        <v/>
      </c>
    </row>
    <row r="3790">
      <c r="B3790">
        <f>IF(A3790="","",$B$1-MAXIFS(Donasi!$A$2:$A$20000,Donasi!$B$2:$B$20000,A3790))</f>
        <v/>
      </c>
      <c r="C3790">
        <f>IF(A3790="","",COUNTIF(Donasi!$B$2:$B$20000,A3790))</f>
        <v/>
      </c>
      <c r="D3790">
        <f>IF(A3790="","",SUMIF(Donasi!$B$2:$B$20000,A3790,Donasi!$C$2:$C$20000))</f>
        <v/>
      </c>
      <c r="E3790">
        <f>IF(A3790="","",6-CEILING(PERCENTRANK.INC($B$3:$B$6000,B3790,4)*5+0.000001,1))</f>
        <v/>
      </c>
      <c r="F3790">
        <f>IF(A3790="","",MAX(1,CEILING(PERCENTRANK.INC($C$3:$C$6000,C3790,4)*5+0.000001,1)))</f>
        <v/>
      </c>
      <c r="G3790">
        <f>IF(A3790="","",MAX(1,CEILING(PERCENTRANK.INC($D$3:$D$6000,D3790,4)*5+0.000001,1)))</f>
        <v/>
      </c>
      <c r="H3790">
        <f>IF(A3790="","",E3790&amp;F3790&amp;G3790)</f>
        <v/>
      </c>
      <c r="I3790">
        <f>IF(A3790="","",IF(AND(E3790&gt;=4,F3790&gt;=4,G3790&gt;=4),"Juara",IF(AND(F3790&gt;=4,E3790&gt;=3),"Setia",IF(AND(E3790=5,F3790&lt;=2,G3790&gt;=3),"Berpotensi",IF(AND(E3790&lt;=3,E3790&gt;=2,F3790&gt;=3),"Rawan",IF(AND(E3790&lt;=2,F3790&lt;=2),"Tidur","Umum"))))))</f>
        <v/>
      </c>
    </row>
    <row r="3791">
      <c r="B3791">
        <f>IF(A3791="","",$B$1-MAXIFS(Donasi!$A$2:$A$20000,Donasi!$B$2:$B$20000,A3791))</f>
        <v/>
      </c>
      <c r="C3791">
        <f>IF(A3791="","",COUNTIF(Donasi!$B$2:$B$20000,A3791))</f>
        <v/>
      </c>
      <c r="D3791">
        <f>IF(A3791="","",SUMIF(Donasi!$B$2:$B$20000,A3791,Donasi!$C$2:$C$20000))</f>
        <v/>
      </c>
      <c r="E3791">
        <f>IF(A3791="","",6-CEILING(PERCENTRANK.INC($B$3:$B$6000,B3791,4)*5+0.000001,1))</f>
        <v/>
      </c>
      <c r="F3791">
        <f>IF(A3791="","",MAX(1,CEILING(PERCENTRANK.INC($C$3:$C$6000,C3791,4)*5+0.000001,1)))</f>
        <v/>
      </c>
      <c r="G3791">
        <f>IF(A3791="","",MAX(1,CEILING(PERCENTRANK.INC($D$3:$D$6000,D3791,4)*5+0.000001,1)))</f>
        <v/>
      </c>
      <c r="H3791">
        <f>IF(A3791="","",E3791&amp;F3791&amp;G3791)</f>
        <v/>
      </c>
      <c r="I3791">
        <f>IF(A3791="","",IF(AND(E3791&gt;=4,F3791&gt;=4,G3791&gt;=4),"Juara",IF(AND(F3791&gt;=4,E3791&gt;=3),"Setia",IF(AND(E3791=5,F3791&lt;=2,G3791&gt;=3),"Berpotensi",IF(AND(E3791&lt;=3,E3791&gt;=2,F3791&gt;=3),"Rawan",IF(AND(E3791&lt;=2,F3791&lt;=2),"Tidur","Umum"))))))</f>
        <v/>
      </c>
    </row>
    <row r="3792">
      <c r="B3792">
        <f>IF(A3792="","",$B$1-MAXIFS(Donasi!$A$2:$A$20000,Donasi!$B$2:$B$20000,A3792))</f>
        <v/>
      </c>
      <c r="C3792">
        <f>IF(A3792="","",COUNTIF(Donasi!$B$2:$B$20000,A3792))</f>
        <v/>
      </c>
      <c r="D3792">
        <f>IF(A3792="","",SUMIF(Donasi!$B$2:$B$20000,A3792,Donasi!$C$2:$C$20000))</f>
        <v/>
      </c>
      <c r="E3792">
        <f>IF(A3792="","",6-CEILING(PERCENTRANK.INC($B$3:$B$6000,B3792,4)*5+0.000001,1))</f>
        <v/>
      </c>
      <c r="F3792">
        <f>IF(A3792="","",MAX(1,CEILING(PERCENTRANK.INC($C$3:$C$6000,C3792,4)*5+0.000001,1)))</f>
        <v/>
      </c>
      <c r="G3792">
        <f>IF(A3792="","",MAX(1,CEILING(PERCENTRANK.INC($D$3:$D$6000,D3792,4)*5+0.000001,1)))</f>
        <v/>
      </c>
      <c r="H3792">
        <f>IF(A3792="","",E3792&amp;F3792&amp;G3792)</f>
        <v/>
      </c>
      <c r="I3792">
        <f>IF(A3792="","",IF(AND(E3792&gt;=4,F3792&gt;=4,G3792&gt;=4),"Juara",IF(AND(F3792&gt;=4,E3792&gt;=3),"Setia",IF(AND(E3792=5,F3792&lt;=2,G3792&gt;=3),"Berpotensi",IF(AND(E3792&lt;=3,E3792&gt;=2,F3792&gt;=3),"Rawan",IF(AND(E3792&lt;=2,F3792&lt;=2),"Tidur","Umum"))))))</f>
        <v/>
      </c>
    </row>
    <row r="3793">
      <c r="B3793">
        <f>IF(A3793="","",$B$1-MAXIFS(Donasi!$A$2:$A$20000,Donasi!$B$2:$B$20000,A3793))</f>
        <v/>
      </c>
      <c r="C3793">
        <f>IF(A3793="","",COUNTIF(Donasi!$B$2:$B$20000,A3793))</f>
        <v/>
      </c>
      <c r="D3793">
        <f>IF(A3793="","",SUMIF(Donasi!$B$2:$B$20000,A3793,Donasi!$C$2:$C$20000))</f>
        <v/>
      </c>
      <c r="E3793">
        <f>IF(A3793="","",6-CEILING(PERCENTRANK.INC($B$3:$B$6000,B3793,4)*5+0.000001,1))</f>
        <v/>
      </c>
      <c r="F3793">
        <f>IF(A3793="","",MAX(1,CEILING(PERCENTRANK.INC($C$3:$C$6000,C3793,4)*5+0.000001,1)))</f>
        <v/>
      </c>
      <c r="G3793">
        <f>IF(A3793="","",MAX(1,CEILING(PERCENTRANK.INC($D$3:$D$6000,D3793,4)*5+0.000001,1)))</f>
        <v/>
      </c>
      <c r="H3793">
        <f>IF(A3793="","",E3793&amp;F3793&amp;G3793)</f>
        <v/>
      </c>
      <c r="I3793">
        <f>IF(A3793="","",IF(AND(E3793&gt;=4,F3793&gt;=4,G3793&gt;=4),"Juara",IF(AND(F3793&gt;=4,E3793&gt;=3),"Setia",IF(AND(E3793=5,F3793&lt;=2,G3793&gt;=3),"Berpotensi",IF(AND(E3793&lt;=3,E3793&gt;=2,F3793&gt;=3),"Rawan",IF(AND(E3793&lt;=2,F3793&lt;=2),"Tidur","Umum"))))))</f>
        <v/>
      </c>
    </row>
    <row r="3794">
      <c r="B3794">
        <f>IF(A3794="","",$B$1-MAXIFS(Donasi!$A$2:$A$20000,Donasi!$B$2:$B$20000,A3794))</f>
        <v/>
      </c>
      <c r="C3794">
        <f>IF(A3794="","",COUNTIF(Donasi!$B$2:$B$20000,A3794))</f>
        <v/>
      </c>
      <c r="D3794">
        <f>IF(A3794="","",SUMIF(Donasi!$B$2:$B$20000,A3794,Donasi!$C$2:$C$20000))</f>
        <v/>
      </c>
      <c r="E3794">
        <f>IF(A3794="","",6-CEILING(PERCENTRANK.INC($B$3:$B$6000,B3794,4)*5+0.000001,1))</f>
        <v/>
      </c>
      <c r="F3794">
        <f>IF(A3794="","",MAX(1,CEILING(PERCENTRANK.INC($C$3:$C$6000,C3794,4)*5+0.000001,1)))</f>
        <v/>
      </c>
      <c r="G3794">
        <f>IF(A3794="","",MAX(1,CEILING(PERCENTRANK.INC($D$3:$D$6000,D3794,4)*5+0.000001,1)))</f>
        <v/>
      </c>
      <c r="H3794">
        <f>IF(A3794="","",E3794&amp;F3794&amp;G3794)</f>
        <v/>
      </c>
      <c r="I3794">
        <f>IF(A3794="","",IF(AND(E3794&gt;=4,F3794&gt;=4,G3794&gt;=4),"Juara",IF(AND(F3794&gt;=4,E3794&gt;=3),"Setia",IF(AND(E3794=5,F3794&lt;=2,G3794&gt;=3),"Berpotensi",IF(AND(E3794&lt;=3,E3794&gt;=2,F3794&gt;=3),"Rawan",IF(AND(E3794&lt;=2,F3794&lt;=2),"Tidur","Umum"))))))</f>
        <v/>
      </c>
    </row>
    <row r="3795">
      <c r="B3795">
        <f>IF(A3795="","",$B$1-MAXIFS(Donasi!$A$2:$A$20000,Donasi!$B$2:$B$20000,A3795))</f>
        <v/>
      </c>
      <c r="C3795">
        <f>IF(A3795="","",COUNTIF(Donasi!$B$2:$B$20000,A3795))</f>
        <v/>
      </c>
      <c r="D3795">
        <f>IF(A3795="","",SUMIF(Donasi!$B$2:$B$20000,A3795,Donasi!$C$2:$C$20000))</f>
        <v/>
      </c>
      <c r="E3795">
        <f>IF(A3795="","",6-CEILING(PERCENTRANK.INC($B$3:$B$6000,B3795,4)*5+0.000001,1))</f>
        <v/>
      </c>
      <c r="F3795">
        <f>IF(A3795="","",MAX(1,CEILING(PERCENTRANK.INC($C$3:$C$6000,C3795,4)*5+0.000001,1)))</f>
        <v/>
      </c>
      <c r="G3795">
        <f>IF(A3795="","",MAX(1,CEILING(PERCENTRANK.INC($D$3:$D$6000,D3795,4)*5+0.000001,1)))</f>
        <v/>
      </c>
      <c r="H3795">
        <f>IF(A3795="","",E3795&amp;F3795&amp;G3795)</f>
        <v/>
      </c>
      <c r="I3795">
        <f>IF(A3795="","",IF(AND(E3795&gt;=4,F3795&gt;=4,G3795&gt;=4),"Juara",IF(AND(F3795&gt;=4,E3795&gt;=3),"Setia",IF(AND(E3795=5,F3795&lt;=2,G3795&gt;=3),"Berpotensi",IF(AND(E3795&lt;=3,E3795&gt;=2,F3795&gt;=3),"Rawan",IF(AND(E3795&lt;=2,F3795&lt;=2),"Tidur","Umum"))))))</f>
        <v/>
      </c>
    </row>
    <row r="3796">
      <c r="B3796">
        <f>IF(A3796="","",$B$1-MAXIFS(Donasi!$A$2:$A$20000,Donasi!$B$2:$B$20000,A3796))</f>
        <v/>
      </c>
      <c r="C3796">
        <f>IF(A3796="","",COUNTIF(Donasi!$B$2:$B$20000,A3796))</f>
        <v/>
      </c>
      <c r="D3796">
        <f>IF(A3796="","",SUMIF(Donasi!$B$2:$B$20000,A3796,Donasi!$C$2:$C$20000))</f>
        <v/>
      </c>
      <c r="E3796">
        <f>IF(A3796="","",6-CEILING(PERCENTRANK.INC($B$3:$B$6000,B3796,4)*5+0.000001,1))</f>
        <v/>
      </c>
      <c r="F3796">
        <f>IF(A3796="","",MAX(1,CEILING(PERCENTRANK.INC($C$3:$C$6000,C3796,4)*5+0.000001,1)))</f>
        <v/>
      </c>
      <c r="G3796">
        <f>IF(A3796="","",MAX(1,CEILING(PERCENTRANK.INC($D$3:$D$6000,D3796,4)*5+0.000001,1)))</f>
        <v/>
      </c>
      <c r="H3796">
        <f>IF(A3796="","",E3796&amp;F3796&amp;G3796)</f>
        <v/>
      </c>
      <c r="I3796">
        <f>IF(A3796="","",IF(AND(E3796&gt;=4,F3796&gt;=4,G3796&gt;=4),"Juara",IF(AND(F3796&gt;=4,E3796&gt;=3),"Setia",IF(AND(E3796=5,F3796&lt;=2,G3796&gt;=3),"Berpotensi",IF(AND(E3796&lt;=3,E3796&gt;=2,F3796&gt;=3),"Rawan",IF(AND(E3796&lt;=2,F3796&lt;=2),"Tidur","Umum"))))))</f>
        <v/>
      </c>
    </row>
    <row r="3797">
      <c r="B3797">
        <f>IF(A3797="","",$B$1-MAXIFS(Donasi!$A$2:$A$20000,Donasi!$B$2:$B$20000,A3797))</f>
        <v/>
      </c>
      <c r="C3797">
        <f>IF(A3797="","",COUNTIF(Donasi!$B$2:$B$20000,A3797))</f>
        <v/>
      </c>
      <c r="D3797">
        <f>IF(A3797="","",SUMIF(Donasi!$B$2:$B$20000,A3797,Donasi!$C$2:$C$20000))</f>
        <v/>
      </c>
      <c r="E3797">
        <f>IF(A3797="","",6-CEILING(PERCENTRANK.INC($B$3:$B$6000,B3797,4)*5+0.000001,1))</f>
        <v/>
      </c>
      <c r="F3797">
        <f>IF(A3797="","",MAX(1,CEILING(PERCENTRANK.INC($C$3:$C$6000,C3797,4)*5+0.000001,1)))</f>
        <v/>
      </c>
      <c r="G3797">
        <f>IF(A3797="","",MAX(1,CEILING(PERCENTRANK.INC($D$3:$D$6000,D3797,4)*5+0.000001,1)))</f>
        <v/>
      </c>
      <c r="H3797">
        <f>IF(A3797="","",E3797&amp;F3797&amp;G3797)</f>
        <v/>
      </c>
      <c r="I3797">
        <f>IF(A3797="","",IF(AND(E3797&gt;=4,F3797&gt;=4,G3797&gt;=4),"Juara",IF(AND(F3797&gt;=4,E3797&gt;=3),"Setia",IF(AND(E3797=5,F3797&lt;=2,G3797&gt;=3),"Berpotensi",IF(AND(E3797&lt;=3,E3797&gt;=2,F3797&gt;=3),"Rawan",IF(AND(E3797&lt;=2,F3797&lt;=2),"Tidur","Umum"))))))</f>
        <v/>
      </c>
    </row>
    <row r="3798">
      <c r="B3798">
        <f>IF(A3798="","",$B$1-MAXIFS(Donasi!$A$2:$A$20000,Donasi!$B$2:$B$20000,A3798))</f>
        <v/>
      </c>
      <c r="C3798">
        <f>IF(A3798="","",COUNTIF(Donasi!$B$2:$B$20000,A3798))</f>
        <v/>
      </c>
      <c r="D3798">
        <f>IF(A3798="","",SUMIF(Donasi!$B$2:$B$20000,A3798,Donasi!$C$2:$C$20000))</f>
        <v/>
      </c>
      <c r="E3798">
        <f>IF(A3798="","",6-CEILING(PERCENTRANK.INC($B$3:$B$6000,B3798,4)*5+0.000001,1))</f>
        <v/>
      </c>
      <c r="F3798">
        <f>IF(A3798="","",MAX(1,CEILING(PERCENTRANK.INC($C$3:$C$6000,C3798,4)*5+0.000001,1)))</f>
        <v/>
      </c>
      <c r="G3798">
        <f>IF(A3798="","",MAX(1,CEILING(PERCENTRANK.INC($D$3:$D$6000,D3798,4)*5+0.000001,1)))</f>
        <v/>
      </c>
      <c r="H3798">
        <f>IF(A3798="","",E3798&amp;F3798&amp;G3798)</f>
        <v/>
      </c>
      <c r="I3798">
        <f>IF(A3798="","",IF(AND(E3798&gt;=4,F3798&gt;=4,G3798&gt;=4),"Juara",IF(AND(F3798&gt;=4,E3798&gt;=3),"Setia",IF(AND(E3798=5,F3798&lt;=2,G3798&gt;=3),"Berpotensi",IF(AND(E3798&lt;=3,E3798&gt;=2,F3798&gt;=3),"Rawan",IF(AND(E3798&lt;=2,F3798&lt;=2),"Tidur","Umum"))))))</f>
        <v/>
      </c>
    </row>
    <row r="3799">
      <c r="B3799">
        <f>IF(A3799="","",$B$1-MAXIFS(Donasi!$A$2:$A$20000,Donasi!$B$2:$B$20000,A3799))</f>
        <v/>
      </c>
      <c r="C3799">
        <f>IF(A3799="","",COUNTIF(Donasi!$B$2:$B$20000,A3799))</f>
        <v/>
      </c>
      <c r="D3799">
        <f>IF(A3799="","",SUMIF(Donasi!$B$2:$B$20000,A3799,Donasi!$C$2:$C$20000))</f>
        <v/>
      </c>
      <c r="E3799">
        <f>IF(A3799="","",6-CEILING(PERCENTRANK.INC($B$3:$B$6000,B3799,4)*5+0.000001,1))</f>
        <v/>
      </c>
      <c r="F3799">
        <f>IF(A3799="","",MAX(1,CEILING(PERCENTRANK.INC($C$3:$C$6000,C3799,4)*5+0.000001,1)))</f>
        <v/>
      </c>
      <c r="G3799">
        <f>IF(A3799="","",MAX(1,CEILING(PERCENTRANK.INC($D$3:$D$6000,D3799,4)*5+0.000001,1)))</f>
        <v/>
      </c>
      <c r="H3799">
        <f>IF(A3799="","",E3799&amp;F3799&amp;G3799)</f>
        <v/>
      </c>
      <c r="I3799">
        <f>IF(A3799="","",IF(AND(E3799&gt;=4,F3799&gt;=4,G3799&gt;=4),"Juara",IF(AND(F3799&gt;=4,E3799&gt;=3),"Setia",IF(AND(E3799=5,F3799&lt;=2,G3799&gt;=3),"Berpotensi",IF(AND(E3799&lt;=3,E3799&gt;=2,F3799&gt;=3),"Rawan",IF(AND(E3799&lt;=2,F3799&lt;=2),"Tidur","Umum"))))))</f>
        <v/>
      </c>
    </row>
    <row r="3800">
      <c r="B3800">
        <f>IF(A3800="","",$B$1-MAXIFS(Donasi!$A$2:$A$20000,Donasi!$B$2:$B$20000,A3800))</f>
        <v/>
      </c>
      <c r="C3800">
        <f>IF(A3800="","",COUNTIF(Donasi!$B$2:$B$20000,A3800))</f>
        <v/>
      </c>
      <c r="D3800">
        <f>IF(A3800="","",SUMIF(Donasi!$B$2:$B$20000,A3800,Donasi!$C$2:$C$20000))</f>
        <v/>
      </c>
      <c r="E3800">
        <f>IF(A3800="","",6-CEILING(PERCENTRANK.INC($B$3:$B$6000,B3800,4)*5+0.000001,1))</f>
        <v/>
      </c>
      <c r="F3800">
        <f>IF(A3800="","",MAX(1,CEILING(PERCENTRANK.INC($C$3:$C$6000,C3800,4)*5+0.000001,1)))</f>
        <v/>
      </c>
      <c r="G3800">
        <f>IF(A3800="","",MAX(1,CEILING(PERCENTRANK.INC($D$3:$D$6000,D3800,4)*5+0.000001,1)))</f>
        <v/>
      </c>
      <c r="H3800">
        <f>IF(A3800="","",E3800&amp;F3800&amp;G3800)</f>
        <v/>
      </c>
      <c r="I3800">
        <f>IF(A3800="","",IF(AND(E3800&gt;=4,F3800&gt;=4,G3800&gt;=4),"Juara",IF(AND(F3800&gt;=4,E3800&gt;=3),"Setia",IF(AND(E3800=5,F3800&lt;=2,G3800&gt;=3),"Berpotensi",IF(AND(E3800&lt;=3,E3800&gt;=2,F3800&gt;=3),"Rawan",IF(AND(E3800&lt;=2,F3800&lt;=2),"Tidur","Umum"))))))</f>
        <v/>
      </c>
    </row>
    <row r="3801">
      <c r="B3801">
        <f>IF(A3801="","",$B$1-MAXIFS(Donasi!$A$2:$A$20000,Donasi!$B$2:$B$20000,A3801))</f>
        <v/>
      </c>
      <c r="C3801">
        <f>IF(A3801="","",COUNTIF(Donasi!$B$2:$B$20000,A3801))</f>
        <v/>
      </c>
      <c r="D3801">
        <f>IF(A3801="","",SUMIF(Donasi!$B$2:$B$20000,A3801,Donasi!$C$2:$C$20000))</f>
        <v/>
      </c>
      <c r="E3801">
        <f>IF(A3801="","",6-CEILING(PERCENTRANK.INC($B$3:$B$6000,B3801,4)*5+0.000001,1))</f>
        <v/>
      </c>
      <c r="F3801">
        <f>IF(A3801="","",MAX(1,CEILING(PERCENTRANK.INC($C$3:$C$6000,C3801,4)*5+0.000001,1)))</f>
        <v/>
      </c>
      <c r="G3801">
        <f>IF(A3801="","",MAX(1,CEILING(PERCENTRANK.INC($D$3:$D$6000,D3801,4)*5+0.000001,1)))</f>
        <v/>
      </c>
      <c r="H3801">
        <f>IF(A3801="","",E3801&amp;F3801&amp;G3801)</f>
        <v/>
      </c>
      <c r="I3801">
        <f>IF(A3801="","",IF(AND(E3801&gt;=4,F3801&gt;=4,G3801&gt;=4),"Juara",IF(AND(F3801&gt;=4,E3801&gt;=3),"Setia",IF(AND(E3801=5,F3801&lt;=2,G3801&gt;=3),"Berpotensi",IF(AND(E3801&lt;=3,E3801&gt;=2,F3801&gt;=3),"Rawan",IF(AND(E3801&lt;=2,F3801&lt;=2),"Tidur","Umum"))))))</f>
        <v/>
      </c>
    </row>
    <row r="3802">
      <c r="B3802">
        <f>IF(A3802="","",$B$1-MAXIFS(Donasi!$A$2:$A$20000,Donasi!$B$2:$B$20000,A3802))</f>
        <v/>
      </c>
      <c r="C3802">
        <f>IF(A3802="","",COUNTIF(Donasi!$B$2:$B$20000,A3802))</f>
        <v/>
      </c>
      <c r="D3802">
        <f>IF(A3802="","",SUMIF(Donasi!$B$2:$B$20000,A3802,Donasi!$C$2:$C$20000))</f>
        <v/>
      </c>
      <c r="E3802">
        <f>IF(A3802="","",6-CEILING(PERCENTRANK.INC($B$3:$B$6000,B3802,4)*5+0.000001,1))</f>
        <v/>
      </c>
      <c r="F3802">
        <f>IF(A3802="","",MAX(1,CEILING(PERCENTRANK.INC($C$3:$C$6000,C3802,4)*5+0.000001,1)))</f>
        <v/>
      </c>
      <c r="G3802">
        <f>IF(A3802="","",MAX(1,CEILING(PERCENTRANK.INC($D$3:$D$6000,D3802,4)*5+0.000001,1)))</f>
        <v/>
      </c>
      <c r="H3802">
        <f>IF(A3802="","",E3802&amp;F3802&amp;G3802)</f>
        <v/>
      </c>
      <c r="I3802">
        <f>IF(A3802="","",IF(AND(E3802&gt;=4,F3802&gt;=4,G3802&gt;=4),"Juara",IF(AND(F3802&gt;=4,E3802&gt;=3),"Setia",IF(AND(E3802=5,F3802&lt;=2,G3802&gt;=3),"Berpotensi",IF(AND(E3802&lt;=3,E3802&gt;=2,F3802&gt;=3),"Rawan",IF(AND(E3802&lt;=2,F3802&lt;=2),"Tidur","Umum"))))))</f>
        <v/>
      </c>
    </row>
    <row r="3803">
      <c r="B3803">
        <f>IF(A3803="","",$B$1-MAXIFS(Donasi!$A$2:$A$20000,Donasi!$B$2:$B$20000,A3803))</f>
        <v/>
      </c>
      <c r="C3803">
        <f>IF(A3803="","",COUNTIF(Donasi!$B$2:$B$20000,A3803))</f>
        <v/>
      </c>
      <c r="D3803">
        <f>IF(A3803="","",SUMIF(Donasi!$B$2:$B$20000,A3803,Donasi!$C$2:$C$20000))</f>
        <v/>
      </c>
      <c r="E3803">
        <f>IF(A3803="","",6-CEILING(PERCENTRANK.INC($B$3:$B$6000,B3803,4)*5+0.000001,1))</f>
        <v/>
      </c>
      <c r="F3803">
        <f>IF(A3803="","",MAX(1,CEILING(PERCENTRANK.INC($C$3:$C$6000,C3803,4)*5+0.000001,1)))</f>
        <v/>
      </c>
      <c r="G3803">
        <f>IF(A3803="","",MAX(1,CEILING(PERCENTRANK.INC($D$3:$D$6000,D3803,4)*5+0.000001,1)))</f>
        <v/>
      </c>
      <c r="H3803">
        <f>IF(A3803="","",E3803&amp;F3803&amp;G3803)</f>
        <v/>
      </c>
      <c r="I3803">
        <f>IF(A3803="","",IF(AND(E3803&gt;=4,F3803&gt;=4,G3803&gt;=4),"Juara",IF(AND(F3803&gt;=4,E3803&gt;=3),"Setia",IF(AND(E3803=5,F3803&lt;=2,G3803&gt;=3),"Berpotensi",IF(AND(E3803&lt;=3,E3803&gt;=2,F3803&gt;=3),"Rawan",IF(AND(E3803&lt;=2,F3803&lt;=2),"Tidur","Umum"))))))</f>
        <v/>
      </c>
    </row>
    <row r="3804">
      <c r="B3804">
        <f>IF(A3804="","",$B$1-MAXIFS(Donasi!$A$2:$A$20000,Donasi!$B$2:$B$20000,A3804))</f>
        <v/>
      </c>
      <c r="C3804">
        <f>IF(A3804="","",COUNTIF(Donasi!$B$2:$B$20000,A3804))</f>
        <v/>
      </c>
      <c r="D3804">
        <f>IF(A3804="","",SUMIF(Donasi!$B$2:$B$20000,A3804,Donasi!$C$2:$C$20000))</f>
        <v/>
      </c>
      <c r="E3804">
        <f>IF(A3804="","",6-CEILING(PERCENTRANK.INC($B$3:$B$6000,B3804,4)*5+0.000001,1))</f>
        <v/>
      </c>
      <c r="F3804">
        <f>IF(A3804="","",MAX(1,CEILING(PERCENTRANK.INC($C$3:$C$6000,C3804,4)*5+0.000001,1)))</f>
        <v/>
      </c>
      <c r="G3804">
        <f>IF(A3804="","",MAX(1,CEILING(PERCENTRANK.INC($D$3:$D$6000,D3804,4)*5+0.000001,1)))</f>
        <v/>
      </c>
      <c r="H3804">
        <f>IF(A3804="","",E3804&amp;F3804&amp;G3804)</f>
        <v/>
      </c>
      <c r="I3804">
        <f>IF(A3804="","",IF(AND(E3804&gt;=4,F3804&gt;=4,G3804&gt;=4),"Juara",IF(AND(F3804&gt;=4,E3804&gt;=3),"Setia",IF(AND(E3804=5,F3804&lt;=2,G3804&gt;=3),"Berpotensi",IF(AND(E3804&lt;=3,E3804&gt;=2,F3804&gt;=3),"Rawan",IF(AND(E3804&lt;=2,F3804&lt;=2),"Tidur","Umum"))))))</f>
        <v/>
      </c>
    </row>
    <row r="3805">
      <c r="B3805">
        <f>IF(A3805="","",$B$1-MAXIFS(Donasi!$A$2:$A$20000,Donasi!$B$2:$B$20000,A3805))</f>
        <v/>
      </c>
      <c r="C3805">
        <f>IF(A3805="","",COUNTIF(Donasi!$B$2:$B$20000,A3805))</f>
        <v/>
      </c>
      <c r="D3805">
        <f>IF(A3805="","",SUMIF(Donasi!$B$2:$B$20000,A3805,Donasi!$C$2:$C$20000))</f>
        <v/>
      </c>
      <c r="E3805">
        <f>IF(A3805="","",6-CEILING(PERCENTRANK.INC($B$3:$B$6000,B3805,4)*5+0.000001,1))</f>
        <v/>
      </c>
      <c r="F3805">
        <f>IF(A3805="","",MAX(1,CEILING(PERCENTRANK.INC($C$3:$C$6000,C3805,4)*5+0.000001,1)))</f>
        <v/>
      </c>
      <c r="G3805">
        <f>IF(A3805="","",MAX(1,CEILING(PERCENTRANK.INC($D$3:$D$6000,D3805,4)*5+0.000001,1)))</f>
        <v/>
      </c>
      <c r="H3805">
        <f>IF(A3805="","",E3805&amp;F3805&amp;G3805)</f>
        <v/>
      </c>
      <c r="I3805">
        <f>IF(A3805="","",IF(AND(E3805&gt;=4,F3805&gt;=4,G3805&gt;=4),"Juara",IF(AND(F3805&gt;=4,E3805&gt;=3),"Setia",IF(AND(E3805=5,F3805&lt;=2,G3805&gt;=3),"Berpotensi",IF(AND(E3805&lt;=3,E3805&gt;=2,F3805&gt;=3),"Rawan",IF(AND(E3805&lt;=2,F3805&lt;=2),"Tidur","Umum"))))))</f>
        <v/>
      </c>
    </row>
    <row r="3806">
      <c r="B3806">
        <f>IF(A3806="","",$B$1-MAXIFS(Donasi!$A$2:$A$20000,Donasi!$B$2:$B$20000,A3806))</f>
        <v/>
      </c>
      <c r="C3806">
        <f>IF(A3806="","",COUNTIF(Donasi!$B$2:$B$20000,A3806))</f>
        <v/>
      </c>
      <c r="D3806">
        <f>IF(A3806="","",SUMIF(Donasi!$B$2:$B$20000,A3806,Donasi!$C$2:$C$20000))</f>
        <v/>
      </c>
      <c r="E3806">
        <f>IF(A3806="","",6-CEILING(PERCENTRANK.INC($B$3:$B$6000,B3806,4)*5+0.000001,1))</f>
        <v/>
      </c>
      <c r="F3806">
        <f>IF(A3806="","",MAX(1,CEILING(PERCENTRANK.INC($C$3:$C$6000,C3806,4)*5+0.000001,1)))</f>
        <v/>
      </c>
      <c r="G3806">
        <f>IF(A3806="","",MAX(1,CEILING(PERCENTRANK.INC($D$3:$D$6000,D3806,4)*5+0.000001,1)))</f>
        <v/>
      </c>
      <c r="H3806">
        <f>IF(A3806="","",E3806&amp;F3806&amp;G3806)</f>
        <v/>
      </c>
      <c r="I3806">
        <f>IF(A3806="","",IF(AND(E3806&gt;=4,F3806&gt;=4,G3806&gt;=4),"Juara",IF(AND(F3806&gt;=4,E3806&gt;=3),"Setia",IF(AND(E3806=5,F3806&lt;=2,G3806&gt;=3),"Berpotensi",IF(AND(E3806&lt;=3,E3806&gt;=2,F3806&gt;=3),"Rawan",IF(AND(E3806&lt;=2,F3806&lt;=2),"Tidur","Umum"))))))</f>
        <v/>
      </c>
    </row>
    <row r="3807">
      <c r="B3807">
        <f>IF(A3807="","",$B$1-MAXIFS(Donasi!$A$2:$A$20000,Donasi!$B$2:$B$20000,A3807))</f>
        <v/>
      </c>
      <c r="C3807">
        <f>IF(A3807="","",COUNTIF(Donasi!$B$2:$B$20000,A3807))</f>
        <v/>
      </c>
      <c r="D3807">
        <f>IF(A3807="","",SUMIF(Donasi!$B$2:$B$20000,A3807,Donasi!$C$2:$C$20000))</f>
        <v/>
      </c>
      <c r="E3807">
        <f>IF(A3807="","",6-CEILING(PERCENTRANK.INC($B$3:$B$6000,B3807,4)*5+0.000001,1))</f>
        <v/>
      </c>
      <c r="F3807">
        <f>IF(A3807="","",MAX(1,CEILING(PERCENTRANK.INC($C$3:$C$6000,C3807,4)*5+0.000001,1)))</f>
        <v/>
      </c>
      <c r="G3807">
        <f>IF(A3807="","",MAX(1,CEILING(PERCENTRANK.INC($D$3:$D$6000,D3807,4)*5+0.000001,1)))</f>
        <v/>
      </c>
      <c r="H3807">
        <f>IF(A3807="","",E3807&amp;F3807&amp;G3807)</f>
        <v/>
      </c>
      <c r="I3807">
        <f>IF(A3807="","",IF(AND(E3807&gt;=4,F3807&gt;=4,G3807&gt;=4),"Juara",IF(AND(F3807&gt;=4,E3807&gt;=3),"Setia",IF(AND(E3807=5,F3807&lt;=2,G3807&gt;=3),"Berpotensi",IF(AND(E3807&lt;=3,E3807&gt;=2,F3807&gt;=3),"Rawan",IF(AND(E3807&lt;=2,F3807&lt;=2),"Tidur","Umum"))))))</f>
        <v/>
      </c>
    </row>
    <row r="3808">
      <c r="B3808">
        <f>IF(A3808="","",$B$1-MAXIFS(Donasi!$A$2:$A$20000,Donasi!$B$2:$B$20000,A3808))</f>
        <v/>
      </c>
      <c r="C3808">
        <f>IF(A3808="","",COUNTIF(Donasi!$B$2:$B$20000,A3808))</f>
        <v/>
      </c>
      <c r="D3808">
        <f>IF(A3808="","",SUMIF(Donasi!$B$2:$B$20000,A3808,Donasi!$C$2:$C$20000))</f>
        <v/>
      </c>
      <c r="E3808">
        <f>IF(A3808="","",6-CEILING(PERCENTRANK.INC($B$3:$B$6000,B3808,4)*5+0.000001,1))</f>
        <v/>
      </c>
      <c r="F3808">
        <f>IF(A3808="","",MAX(1,CEILING(PERCENTRANK.INC($C$3:$C$6000,C3808,4)*5+0.000001,1)))</f>
        <v/>
      </c>
      <c r="G3808">
        <f>IF(A3808="","",MAX(1,CEILING(PERCENTRANK.INC($D$3:$D$6000,D3808,4)*5+0.000001,1)))</f>
        <v/>
      </c>
      <c r="H3808">
        <f>IF(A3808="","",E3808&amp;F3808&amp;G3808)</f>
        <v/>
      </c>
      <c r="I3808">
        <f>IF(A3808="","",IF(AND(E3808&gt;=4,F3808&gt;=4,G3808&gt;=4),"Juara",IF(AND(F3808&gt;=4,E3808&gt;=3),"Setia",IF(AND(E3808=5,F3808&lt;=2,G3808&gt;=3),"Berpotensi",IF(AND(E3808&lt;=3,E3808&gt;=2,F3808&gt;=3),"Rawan",IF(AND(E3808&lt;=2,F3808&lt;=2),"Tidur","Umum"))))))</f>
        <v/>
      </c>
    </row>
    <row r="3809">
      <c r="B3809">
        <f>IF(A3809="","",$B$1-MAXIFS(Donasi!$A$2:$A$20000,Donasi!$B$2:$B$20000,A3809))</f>
        <v/>
      </c>
      <c r="C3809">
        <f>IF(A3809="","",COUNTIF(Donasi!$B$2:$B$20000,A3809))</f>
        <v/>
      </c>
      <c r="D3809">
        <f>IF(A3809="","",SUMIF(Donasi!$B$2:$B$20000,A3809,Donasi!$C$2:$C$20000))</f>
        <v/>
      </c>
      <c r="E3809">
        <f>IF(A3809="","",6-CEILING(PERCENTRANK.INC($B$3:$B$6000,B3809,4)*5+0.000001,1))</f>
        <v/>
      </c>
      <c r="F3809">
        <f>IF(A3809="","",MAX(1,CEILING(PERCENTRANK.INC($C$3:$C$6000,C3809,4)*5+0.000001,1)))</f>
        <v/>
      </c>
      <c r="G3809">
        <f>IF(A3809="","",MAX(1,CEILING(PERCENTRANK.INC($D$3:$D$6000,D3809,4)*5+0.000001,1)))</f>
        <v/>
      </c>
      <c r="H3809">
        <f>IF(A3809="","",E3809&amp;F3809&amp;G3809)</f>
        <v/>
      </c>
      <c r="I3809">
        <f>IF(A3809="","",IF(AND(E3809&gt;=4,F3809&gt;=4,G3809&gt;=4),"Juara",IF(AND(F3809&gt;=4,E3809&gt;=3),"Setia",IF(AND(E3809=5,F3809&lt;=2,G3809&gt;=3),"Berpotensi",IF(AND(E3809&lt;=3,E3809&gt;=2,F3809&gt;=3),"Rawan",IF(AND(E3809&lt;=2,F3809&lt;=2),"Tidur","Umum"))))))</f>
        <v/>
      </c>
    </row>
    <row r="3810">
      <c r="B3810">
        <f>IF(A3810="","",$B$1-MAXIFS(Donasi!$A$2:$A$20000,Donasi!$B$2:$B$20000,A3810))</f>
        <v/>
      </c>
      <c r="C3810">
        <f>IF(A3810="","",COUNTIF(Donasi!$B$2:$B$20000,A3810))</f>
        <v/>
      </c>
      <c r="D3810">
        <f>IF(A3810="","",SUMIF(Donasi!$B$2:$B$20000,A3810,Donasi!$C$2:$C$20000))</f>
        <v/>
      </c>
      <c r="E3810">
        <f>IF(A3810="","",6-CEILING(PERCENTRANK.INC($B$3:$B$6000,B3810,4)*5+0.000001,1))</f>
        <v/>
      </c>
      <c r="F3810">
        <f>IF(A3810="","",MAX(1,CEILING(PERCENTRANK.INC($C$3:$C$6000,C3810,4)*5+0.000001,1)))</f>
        <v/>
      </c>
      <c r="G3810">
        <f>IF(A3810="","",MAX(1,CEILING(PERCENTRANK.INC($D$3:$D$6000,D3810,4)*5+0.000001,1)))</f>
        <v/>
      </c>
      <c r="H3810">
        <f>IF(A3810="","",E3810&amp;F3810&amp;G3810)</f>
        <v/>
      </c>
      <c r="I3810">
        <f>IF(A3810="","",IF(AND(E3810&gt;=4,F3810&gt;=4,G3810&gt;=4),"Juara",IF(AND(F3810&gt;=4,E3810&gt;=3),"Setia",IF(AND(E3810=5,F3810&lt;=2,G3810&gt;=3),"Berpotensi",IF(AND(E3810&lt;=3,E3810&gt;=2,F3810&gt;=3),"Rawan",IF(AND(E3810&lt;=2,F3810&lt;=2),"Tidur","Umum"))))))</f>
        <v/>
      </c>
    </row>
    <row r="3811">
      <c r="B3811">
        <f>IF(A3811="","",$B$1-MAXIFS(Donasi!$A$2:$A$20000,Donasi!$B$2:$B$20000,A3811))</f>
        <v/>
      </c>
      <c r="C3811">
        <f>IF(A3811="","",COUNTIF(Donasi!$B$2:$B$20000,A3811))</f>
        <v/>
      </c>
      <c r="D3811">
        <f>IF(A3811="","",SUMIF(Donasi!$B$2:$B$20000,A3811,Donasi!$C$2:$C$20000))</f>
        <v/>
      </c>
      <c r="E3811">
        <f>IF(A3811="","",6-CEILING(PERCENTRANK.INC($B$3:$B$6000,B3811,4)*5+0.000001,1))</f>
        <v/>
      </c>
      <c r="F3811">
        <f>IF(A3811="","",MAX(1,CEILING(PERCENTRANK.INC($C$3:$C$6000,C3811,4)*5+0.000001,1)))</f>
        <v/>
      </c>
      <c r="G3811">
        <f>IF(A3811="","",MAX(1,CEILING(PERCENTRANK.INC($D$3:$D$6000,D3811,4)*5+0.000001,1)))</f>
        <v/>
      </c>
      <c r="H3811">
        <f>IF(A3811="","",E3811&amp;F3811&amp;G3811)</f>
        <v/>
      </c>
      <c r="I3811">
        <f>IF(A3811="","",IF(AND(E3811&gt;=4,F3811&gt;=4,G3811&gt;=4),"Juara",IF(AND(F3811&gt;=4,E3811&gt;=3),"Setia",IF(AND(E3811=5,F3811&lt;=2,G3811&gt;=3),"Berpotensi",IF(AND(E3811&lt;=3,E3811&gt;=2,F3811&gt;=3),"Rawan",IF(AND(E3811&lt;=2,F3811&lt;=2),"Tidur","Umum"))))))</f>
        <v/>
      </c>
    </row>
    <row r="3812">
      <c r="B3812">
        <f>IF(A3812="","",$B$1-MAXIFS(Donasi!$A$2:$A$20000,Donasi!$B$2:$B$20000,A3812))</f>
        <v/>
      </c>
      <c r="C3812">
        <f>IF(A3812="","",COUNTIF(Donasi!$B$2:$B$20000,A3812))</f>
        <v/>
      </c>
      <c r="D3812">
        <f>IF(A3812="","",SUMIF(Donasi!$B$2:$B$20000,A3812,Donasi!$C$2:$C$20000))</f>
        <v/>
      </c>
      <c r="E3812">
        <f>IF(A3812="","",6-CEILING(PERCENTRANK.INC($B$3:$B$6000,B3812,4)*5+0.000001,1))</f>
        <v/>
      </c>
      <c r="F3812">
        <f>IF(A3812="","",MAX(1,CEILING(PERCENTRANK.INC($C$3:$C$6000,C3812,4)*5+0.000001,1)))</f>
        <v/>
      </c>
      <c r="G3812">
        <f>IF(A3812="","",MAX(1,CEILING(PERCENTRANK.INC($D$3:$D$6000,D3812,4)*5+0.000001,1)))</f>
        <v/>
      </c>
      <c r="H3812">
        <f>IF(A3812="","",E3812&amp;F3812&amp;G3812)</f>
        <v/>
      </c>
      <c r="I3812">
        <f>IF(A3812="","",IF(AND(E3812&gt;=4,F3812&gt;=4,G3812&gt;=4),"Juara",IF(AND(F3812&gt;=4,E3812&gt;=3),"Setia",IF(AND(E3812=5,F3812&lt;=2,G3812&gt;=3),"Berpotensi",IF(AND(E3812&lt;=3,E3812&gt;=2,F3812&gt;=3),"Rawan",IF(AND(E3812&lt;=2,F3812&lt;=2),"Tidur","Umum"))))))</f>
        <v/>
      </c>
    </row>
    <row r="3813">
      <c r="B3813">
        <f>IF(A3813="","",$B$1-MAXIFS(Donasi!$A$2:$A$20000,Donasi!$B$2:$B$20000,A3813))</f>
        <v/>
      </c>
      <c r="C3813">
        <f>IF(A3813="","",COUNTIF(Donasi!$B$2:$B$20000,A3813))</f>
        <v/>
      </c>
      <c r="D3813">
        <f>IF(A3813="","",SUMIF(Donasi!$B$2:$B$20000,A3813,Donasi!$C$2:$C$20000))</f>
        <v/>
      </c>
      <c r="E3813">
        <f>IF(A3813="","",6-CEILING(PERCENTRANK.INC($B$3:$B$6000,B3813,4)*5+0.000001,1))</f>
        <v/>
      </c>
      <c r="F3813">
        <f>IF(A3813="","",MAX(1,CEILING(PERCENTRANK.INC($C$3:$C$6000,C3813,4)*5+0.000001,1)))</f>
        <v/>
      </c>
      <c r="G3813">
        <f>IF(A3813="","",MAX(1,CEILING(PERCENTRANK.INC($D$3:$D$6000,D3813,4)*5+0.000001,1)))</f>
        <v/>
      </c>
      <c r="H3813">
        <f>IF(A3813="","",E3813&amp;F3813&amp;G3813)</f>
        <v/>
      </c>
      <c r="I3813">
        <f>IF(A3813="","",IF(AND(E3813&gt;=4,F3813&gt;=4,G3813&gt;=4),"Juara",IF(AND(F3813&gt;=4,E3813&gt;=3),"Setia",IF(AND(E3813=5,F3813&lt;=2,G3813&gt;=3),"Berpotensi",IF(AND(E3813&lt;=3,E3813&gt;=2,F3813&gt;=3),"Rawan",IF(AND(E3813&lt;=2,F3813&lt;=2),"Tidur","Umum"))))))</f>
        <v/>
      </c>
    </row>
    <row r="3814">
      <c r="B3814">
        <f>IF(A3814="","",$B$1-MAXIFS(Donasi!$A$2:$A$20000,Donasi!$B$2:$B$20000,A3814))</f>
        <v/>
      </c>
      <c r="C3814">
        <f>IF(A3814="","",COUNTIF(Donasi!$B$2:$B$20000,A3814))</f>
        <v/>
      </c>
      <c r="D3814">
        <f>IF(A3814="","",SUMIF(Donasi!$B$2:$B$20000,A3814,Donasi!$C$2:$C$20000))</f>
        <v/>
      </c>
      <c r="E3814">
        <f>IF(A3814="","",6-CEILING(PERCENTRANK.INC($B$3:$B$6000,B3814,4)*5+0.000001,1))</f>
        <v/>
      </c>
      <c r="F3814">
        <f>IF(A3814="","",MAX(1,CEILING(PERCENTRANK.INC($C$3:$C$6000,C3814,4)*5+0.000001,1)))</f>
        <v/>
      </c>
      <c r="G3814">
        <f>IF(A3814="","",MAX(1,CEILING(PERCENTRANK.INC($D$3:$D$6000,D3814,4)*5+0.000001,1)))</f>
        <v/>
      </c>
      <c r="H3814">
        <f>IF(A3814="","",E3814&amp;F3814&amp;G3814)</f>
        <v/>
      </c>
      <c r="I3814">
        <f>IF(A3814="","",IF(AND(E3814&gt;=4,F3814&gt;=4,G3814&gt;=4),"Juara",IF(AND(F3814&gt;=4,E3814&gt;=3),"Setia",IF(AND(E3814=5,F3814&lt;=2,G3814&gt;=3),"Berpotensi",IF(AND(E3814&lt;=3,E3814&gt;=2,F3814&gt;=3),"Rawan",IF(AND(E3814&lt;=2,F3814&lt;=2),"Tidur","Umum"))))))</f>
        <v/>
      </c>
    </row>
    <row r="3815">
      <c r="B3815">
        <f>IF(A3815="","",$B$1-MAXIFS(Donasi!$A$2:$A$20000,Donasi!$B$2:$B$20000,A3815))</f>
        <v/>
      </c>
      <c r="C3815">
        <f>IF(A3815="","",COUNTIF(Donasi!$B$2:$B$20000,A3815))</f>
        <v/>
      </c>
      <c r="D3815">
        <f>IF(A3815="","",SUMIF(Donasi!$B$2:$B$20000,A3815,Donasi!$C$2:$C$20000))</f>
        <v/>
      </c>
      <c r="E3815">
        <f>IF(A3815="","",6-CEILING(PERCENTRANK.INC($B$3:$B$6000,B3815,4)*5+0.000001,1))</f>
        <v/>
      </c>
      <c r="F3815">
        <f>IF(A3815="","",MAX(1,CEILING(PERCENTRANK.INC($C$3:$C$6000,C3815,4)*5+0.000001,1)))</f>
        <v/>
      </c>
      <c r="G3815">
        <f>IF(A3815="","",MAX(1,CEILING(PERCENTRANK.INC($D$3:$D$6000,D3815,4)*5+0.000001,1)))</f>
        <v/>
      </c>
      <c r="H3815">
        <f>IF(A3815="","",E3815&amp;F3815&amp;G3815)</f>
        <v/>
      </c>
      <c r="I3815">
        <f>IF(A3815="","",IF(AND(E3815&gt;=4,F3815&gt;=4,G3815&gt;=4),"Juara",IF(AND(F3815&gt;=4,E3815&gt;=3),"Setia",IF(AND(E3815=5,F3815&lt;=2,G3815&gt;=3),"Berpotensi",IF(AND(E3815&lt;=3,E3815&gt;=2,F3815&gt;=3),"Rawan",IF(AND(E3815&lt;=2,F3815&lt;=2),"Tidur","Umum"))))))</f>
        <v/>
      </c>
    </row>
    <row r="3816">
      <c r="B3816">
        <f>IF(A3816="","",$B$1-MAXIFS(Donasi!$A$2:$A$20000,Donasi!$B$2:$B$20000,A3816))</f>
        <v/>
      </c>
      <c r="C3816">
        <f>IF(A3816="","",COUNTIF(Donasi!$B$2:$B$20000,A3816))</f>
        <v/>
      </c>
      <c r="D3816">
        <f>IF(A3816="","",SUMIF(Donasi!$B$2:$B$20000,A3816,Donasi!$C$2:$C$20000))</f>
        <v/>
      </c>
      <c r="E3816">
        <f>IF(A3816="","",6-CEILING(PERCENTRANK.INC($B$3:$B$6000,B3816,4)*5+0.000001,1))</f>
        <v/>
      </c>
      <c r="F3816">
        <f>IF(A3816="","",MAX(1,CEILING(PERCENTRANK.INC($C$3:$C$6000,C3816,4)*5+0.000001,1)))</f>
        <v/>
      </c>
      <c r="G3816">
        <f>IF(A3816="","",MAX(1,CEILING(PERCENTRANK.INC($D$3:$D$6000,D3816,4)*5+0.000001,1)))</f>
        <v/>
      </c>
      <c r="H3816">
        <f>IF(A3816="","",E3816&amp;F3816&amp;G3816)</f>
        <v/>
      </c>
      <c r="I3816">
        <f>IF(A3816="","",IF(AND(E3816&gt;=4,F3816&gt;=4,G3816&gt;=4),"Juara",IF(AND(F3816&gt;=4,E3816&gt;=3),"Setia",IF(AND(E3816=5,F3816&lt;=2,G3816&gt;=3),"Berpotensi",IF(AND(E3816&lt;=3,E3816&gt;=2,F3816&gt;=3),"Rawan",IF(AND(E3816&lt;=2,F3816&lt;=2),"Tidur","Umum"))))))</f>
        <v/>
      </c>
    </row>
    <row r="3817">
      <c r="B3817">
        <f>IF(A3817="","",$B$1-MAXIFS(Donasi!$A$2:$A$20000,Donasi!$B$2:$B$20000,A3817))</f>
        <v/>
      </c>
      <c r="C3817">
        <f>IF(A3817="","",COUNTIF(Donasi!$B$2:$B$20000,A3817))</f>
        <v/>
      </c>
      <c r="D3817">
        <f>IF(A3817="","",SUMIF(Donasi!$B$2:$B$20000,A3817,Donasi!$C$2:$C$20000))</f>
        <v/>
      </c>
      <c r="E3817">
        <f>IF(A3817="","",6-CEILING(PERCENTRANK.INC($B$3:$B$6000,B3817,4)*5+0.000001,1))</f>
        <v/>
      </c>
      <c r="F3817">
        <f>IF(A3817="","",MAX(1,CEILING(PERCENTRANK.INC($C$3:$C$6000,C3817,4)*5+0.000001,1)))</f>
        <v/>
      </c>
      <c r="G3817">
        <f>IF(A3817="","",MAX(1,CEILING(PERCENTRANK.INC($D$3:$D$6000,D3817,4)*5+0.000001,1)))</f>
        <v/>
      </c>
      <c r="H3817">
        <f>IF(A3817="","",E3817&amp;F3817&amp;G3817)</f>
        <v/>
      </c>
      <c r="I3817">
        <f>IF(A3817="","",IF(AND(E3817&gt;=4,F3817&gt;=4,G3817&gt;=4),"Juara",IF(AND(F3817&gt;=4,E3817&gt;=3),"Setia",IF(AND(E3817=5,F3817&lt;=2,G3817&gt;=3),"Berpotensi",IF(AND(E3817&lt;=3,E3817&gt;=2,F3817&gt;=3),"Rawan",IF(AND(E3817&lt;=2,F3817&lt;=2),"Tidur","Umum"))))))</f>
        <v/>
      </c>
    </row>
    <row r="3818">
      <c r="B3818">
        <f>IF(A3818="","",$B$1-MAXIFS(Donasi!$A$2:$A$20000,Donasi!$B$2:$B$20000,A3818))</f>
        <v/>
      </c>
      <c r="C3818">
        <f>IF(A3818="","",COUNTIF(Donasi!$B$2:$B$20000,A3818))</f>
        <v/>
      </c>
      <c r="D3818">
        <f>IF(A3818="","",SUMIF(Donasi!$B$2:$B$20000,A3818,Donasi!$C$2:$C$20000))</f>
        <v/>
      </c>
      <c r="E3818">
        <f>IF(A3818="","",6-CEILING(PERCENTRANK.INC($B$3:$B$6000,B3818,4)*5+0.000001,1))</f>
        <v/>
      </c>
      <c r="F3818">
        <f>IF(A3818="","",MAX(1,CEILING(PERCENTRANK.INC($C$3:$C$6000,C3818,4)*5+0.000001,1)))</f>
        <v/>
      </c>
      <c r="G3818">
        <f>IF(A3818="","",MAX(1,CEILING(PERCENTRANK.INC($D$3:$D$6000,D3818,4)*5+0.000001,1)))</f>
        <v/>
      </c>
      <c r="H3818">
        <f>IF(A3818="","",E3818&amp;F3818&amp;G3818)</f>
        <v/>
      </c>
      <c r="I3818">
        <f>IF(A3818="","",IF(AND(E3818&gt;=4,F3818&gt;=4,G3818&gt;=4),"Juara",IF(AND(F3818&gt;=4,E3818&gt;=3),"Setia",IF(AND(E3818=5,F3818&lt;=2,G3818&gt;=3),"Berpotensi",IF(AND(E3818&lt;=3,E3818&gt;=2,F3818&gt;=3),"Rawan",IF(AND(E3818&lt;=2,F3818&lt;=2),"Tidur","Umum"))))))</f>
        <v/>
      </c>
    </row>
    <row r="3819">
      <c r="B3819">
        <f>IF(A3819="","",$B$1-MAXIFS(Donasi!$A$2:$A$20000,Donasi!$B$2:$B$20000,A3819))</f>
        <v/>
      </c>
      <c r="C3819">
        <f>IF(A3819="","",COUNTIF(Donasi!$B$2:$B$20000,A3819))</f>
        <v/>
      </c>
      <c r="D3819">
        <f>IF(A3819="","",SUMIF(Donasi!$B$2:$B$20000,A3819,Donasi!$C$2:$C$20000))</f>
        <v/>
      </c>
      <c r="E3819">
        <f>IF(A3819="","",6-CEILING(PERCENTRANK.INC($B$3:$B$6000,B3819,4)*5+0.000001,1))</f>
        <v/>
      </c>
      <c r="F3819">
        <f>IF(A3819="","",MAX(1,CEILING(PERCENTRANK.INC($C$3:$C$6000,C3819,4)*5+0.000001,1)))</f>
        <v/>
      </c>
      <c r="G3819">
        <f>IF(A3819="","",MAX(1,CEILING(PERCENTRANK.INC($D$3:$D$6000,D3819,4)*5+0.000001,1)))</f>
        <v/>
      </c>
      <c r="H3819">
        <f>IF(A3819="","",E3819&amp;F3819&amp;G3819)</f>
        <v/>
      </c>
      <c r="I3819">
        <f>IF(A3819="","",IF(AND(E3819&gt;=4,F3819&gt;=4,G3819&gt;=4),"Juara",IF(AND(F3819&gt;=4,E3819&gt;=3),"Setia",IF(AND(E3819=5,F3819&lt;=2,G3819&gt;=3),"Berpotensi",IF(AND(E3819&lt;=3,E3819&gt;=2,F3819&gt;=3),"Rawan",IF(AND(E3819&lt;=2,F3819&lt;=2),"Tidur","Umum"))))))</f>
        <v/>
      </c>
    </row>
    <row r="3820">
      <c r="B3820">
        <f>IF(A3820="","",$B$1-MAXIFS(Donasi!$A$2:$A$20000,Donasi!$B$2:$B$20000,A3820))</f>
        <v/>
      </c>
      <c r="C3820">
        <f>IF(A3820="","",COUNTIF(Donasi!$B$2:$B$20000,A3820))</f>
        <v/>
      </c>
      <c r="D3820">
        <f>IF(A3820="","",SUMIF(Donasi!$B$2:$B$20000,A3820,Donasi!$C$2:$C$20000))</f>
        <v/>
      </c>
      <c r="E3820">
        <f>IF(A3820="","",6-CEILING(PERCENTRANK.INC($B$3:$B$6000,B3820,4)*5+0.000001,1))</f>
        <v/>
      </c>
      <c r="F3820">
        <f>IF(A3820="","",MAX(1,CEILING(PERCENTRANK.INC($C$3:$C$6000,C3820,4)*5+0.000001,1)))</f>
        <v/>
      </c>
      <c r="G3820">
        <f>IF(A3820="","",MAX(1,CEILING(PERCENTRANK.INC($D$3:$D$6000,D3820,4)*5+0.000001,1)))</f>
        <v/>
      </c>
      <c r="H3820">
        <f>IF(A3820="","",E3820&amp;F3820&amp;G3820)</f>
        <v/>
      </c>
      <c r="I3820">
        <f>IF(A3820="","",IF(AND(E3820&gt;=4,F3820&gt;=4,G3820&gt;=4),"Juara",IF(AND(F3820&gt;=4,E3820&gt;=3),"Setia",IF(AND(E3820=5,F3820&lt;=2,G3820&gt;=3),"Berpotensi",IF(AND(E3820&lt;=3,E3820&gt;=2,F3820&gt;=3),"Rawan",IF(AND(E3820&lt;=2,F3820&lt;=2),"Tidur","Umum"))))))</f>
        <v/>
      </c>
    </row>
    <row r="3821">
      <c r="B3821">
        <f>IF(A3821="","",$B$1-MAXIFS(Donasi!$A$2:$A$20000,Donasi!$B$2:$B$20000,A3821))</f>
        <v/>
      </c>
      <c r="C3821">
        <f>IF(A3821="","",COUNTIF(Donasi!$B$2:$B$20000,A3821))</f>
        <v/>
      </c>
      <c r="D3821">
        <f>IF(A3821="","",SUMIF(Donasi!$B$2:$B$20000,A3821,Donasi!$C$2:$C$20000))</f>
        <v/>
      </c>
      <c r="E3821">
        <f>IF(A3821="","",6-CEILING(PERCENTRANK.INC($B$3:$B$6000,B3821,4)*5+0.000001,1))</f>
        <v/>
      </c>
      <c r="F3821">
        <f>IF(A3821="","",MAX(1,CEILING(PERCENTRANK.INC($C$3:$C$6000,C3821,4)*5+0.000001,1)))</f>
        <v/>
      </c>
      <c r="G3821">
        <f>IF(A3821="","",MAX(1,CEILING(PERCENTRANK.INC($D$3:$D$6000,D3821,4)*5+0.000001,1)))</f>
        <v/>
      </c>
      <c r="H3821">
        <f>IF(A3821="","",E3821&amp;F3821&amp;G3821)</f>
        <v/>
      </c>
      <c r="I3821">
        <f>IF(A3821="","",IF(AND(E3821&gt;=4,F3821&gt;=4,G3821&gt;=4),"Juara",IF(AND(F3821&gt;=4,E3821&gt;=3),"Setia",IF(AND(E3821=5,F3821&lt;=2,G3821&gt;=3),"Berpotensi",IF(AND(E3821&lt;=3,E3821&gt;=2,F3821&gt;=3),"Rawan",IF(AND(E3821&lt;=2,F3821&lt;=2),"Tidur","Umum"))))))</f>
        <v/>
      </c>
    </row>
    <row r="3822">
      <c r="B3822">
        <f>IF(A3822="","",$B$1-MAXIFS(Donasi!$A$2:$A$20000,Donasi!$B$2:$B$20000,A3822))</f>
        <v/>
      </c>
      <c r="C3822">
        <f>IF(A3822="","",COUNTIF(Donasi!$B$2:$B$20000,A3822))</f>
        <v/>
      </c>
      <c r="D3822">
        <f>IF(A3822="","",SUMIF(Donasi!$B$2:$B$20000,A3822,Donasi!$C$2:$C$20000))</f>
        <v/>
      </c>
      <c r="E3822">
        <f>IF(A3822="","",6-CEILING(PERCENTRANK.INC($B$3:$B$6000,B3822,4)*5+0.000001,1))</f>
        <v/>
      </c>
      <c r="F3822">
        <f>IF(A3822="","",MAX(1,CEILING(PERCENTRANK.INC($C$3:$C$6000,C3822,4)*5+0.000001,1)))</f>
        <v/>
      </c>
      <c r="G3822">
        <f>IF(A3822="","",MAX(1,CEILING(PERCENTRANK.INC($D$3:$D$6000,D3822,4)*5+0.000001,1)))</f>
        <v/>
      </c>
      <c r="H3822">
        <f>IF(A3822="","",E3822&amp;F3822&amp;G3822)</f>
        <v/>
      </c>
      <c r="I3822">
        <f>IF(A3822="","",IF(AND(E3822&gt;=4,F3822&gt;=4,G3822&gt;=4),"Juara",IF(AND(F3822&gt;=4,E3822&gt;=3),"Setia",IF(AND(E3822=5,F3822&lt;=2,G3822&gt;=3),"Berpotensi",IF(AND(E3822&lt;=3,E3822&gt;=2,F3822&gt;=3),"Rawan",IF(AND(E3822&lt;=2,F3822&lt;=2),"Tidur","Umum"))))))</f>
        <v/>
      </c>
    </row>
    <row r="3823">
      <c r="B3823">
        <f>IF(A3823="","",$B$1-MAXIFS(Donasi!$A$2:$A$20000,Donasi!$B$2:$B$20000,A3823))</f>
        <v/>
      </c>
      <c r="C3823">
        <f>IF(A3823="","",COUNTIF(Donasi!$B$2:$B$20000,A3823))</f>
        <v/>
      </c>
      <c r="D3823">
        <f>IF(A3823="","",SUMIF(Donasi!$B$2:$B$20000,A3823,Donasi!$C$2:$C$20000))</f>
        <v/>
      </c>
      <c r="E3823">
        <f>IF(A3823="","",6-CEILING(PERCENTRANK.INC($B$3:$B$6000,B3823,4)*5+0.000001,1))</f>
        <v/>
      </c>
      <c r="F3823">
        <f>IF(A3823="","",MAX(1,CEILING(PERCENTRANK.INC($C$3:$C$6000,C3823,4)*5+0.000001,1)))</f>
        <v/>
      </c>
      <c r="G3823">
        <f>IF(A3823="","",MAX(1,CEILING(PERCENTRANK.INC($D$3:$D$6000,D3823,4)*5+0.000001,1)))</f>
        <v/>
      </c>
      <c r="H3823">
        <f>IF(A3823="","",E3823&amp;F3823&amp;G3823)</f>
        <v/>
      </c>
      <c r="I3823">
        <f>IF(A3823="","",IF(AND(E3823&gt;=4,F3823&gt;=4,G3823&gt;=4),"Juara",IF(AND(F3823&gt;=4,E3823&gt;=3),"Setia",IF(AND(E3823=5,F3823&lt;=2,G3823&gt;=3),"Berpotensi",IF(AND(E3823&lt;=3,E3823&gt;=2,F3823&gt;=3),"Rawan",IF(AND(E3823&lt;=2,F3823&lt;=2),"Tidur","Umum"))))))</f>
        <v/>
      </c>
    </row>
    <row r="3824">
      <c r="B3824">
        <f>IF(A3824="","",$B$1-MAXIFS(Donasi!$A$2:$A$20000,Donasi!$B$2:$B$20000,A3824))</f>
        <v/>
      </c>
      <c r="C3824">
        <f>IF(A3824="","",COUNTIF(Donasi!$B$2:$B$20000,A3824))</f>
        <v/>
      </c>
      <c r="D3824">
        <f>IF(A3824="","",SUMIF(Donasi!$B$2:$B$20000,A3824,Donasi!$C$2:$C$20000))</f>
        <v/>
      </c>
      <c r="E3824">
        <f>IF(A3824="","",6-CEILING(PERCENTRANK.INC($B$3:$B$6000,B3824,4)*5+0.000001,1))</f>
        <v/>
      </c>
      <c r="F3824">
        <f>IF(A3824="","",MAX(1,CEILING(PERCENTRANK.INC($C$3:$C$6000,C3824,4)*5+0.000001,1)))</f>
        <v/>
      </c>
      <c r="G3824">
        <f>IF(A3824="","",MAX(1,CEILING(PERCENTRANK.INC($D$3:$D$6000,D3824,4)*5+0.000001,1)))</f>
        <v/>
      </c>
      <c r="H3824">
        <f>IF(A3824="","",E3824&amp;F3824&amp;G3824)</f>
        <v/>
      </c>
      <c r="I3824">
        <f>IF(A3824="","",IF(AND(E3824&gt;=4,F3824&gt;=4,G3824&gt;=4),"Juara",IF(AND(F3824&gt;=4,E3824&gt;=3),"Setia",IF(AND(E3824=5,F3824&lt;=2,G3824&gt;=3),"Berpotensi",IF(AND(E3824&lt;=3,E3824&gt;=2,F3824&gt;=3),"Rawan",IF(AND(E3824&lt;=2,F3824&lt;=2),"Tidur","Umum"))))))</f>
        <v/>
      </c>
    </row>
    <row r="3825">
      <c r="B3825">
        <f>IF(A3825="","",$B$1-MAXIFS(Donasi!$A$2:$A$20000,Donasi!$B$2:$B$20000,A3825))</f>
        <v/>
      </c>
      <c r="C3825">
        <f>IF(A3825="","",COUNTIF(Donasi!$B$2:$B$20000,A3825))</f>
        <v/>
      </c>
      <c r="D3825">
        <f>IF(A3825="","",SUMIF(Donasi!$B$2:$B$20000,A3825,Donasi!$C$2:$C$20000))</f>
        <v/>
      </c>
      <c r="E3825">
        <f>IF(A3825="","",6-CEILING(PERCENTRANK.INC($B$3:$B$6000,B3825,4)*5+0.000001,1))</f>
        <v/>
      </c>
      <c r="F3825">
        <f>IF(A3825="","",MAX(1,CEILING(PERCENTRANK.INC($C$3:$C$6000,C3825,4)*5+0.000001,1)))</f>
        <v/>
      </c>
      <c r="G3825">
        <f>IF(A3825="","",MAX(1,CEILING(PERCENTRANK.INC($D$3:$D$6000,D3825,4)*5+0.000001,1)))</f>
        <v/>
      </c>
      <c r="H3825">
        <f>IF(A3825="","",E3825&amp;F3825&amp;G3825)</f>
        <v/>
      </c>
      <c r="I3825">
        <f>IF(A3825="","",IF(AND(E3825&gt;=4,F3825&gt;=4,G3825&gt;=4),"Juara",IF(AND(F3825&gt;=4,E3825&gt;=3),"Setia",IF(AND(E3825=5,F3825&lt;=2,G3825&gt;=3),"Berpotensi",IF(AND(E3825&lt;=3,E3825&gt;=2,F3825&gt;=3),"Rawan",IF(AND(E3825&lt;=2,F3825&lt;=2),"Tidur","Umum"))))))</f>
        <v/>
      </c>
    </row>
    <row r="3826">
      <c r="B3826">
        <f>IF(A3826="","",$B$1-MAXIFS(Donasi!$A$2:$A$20000,Donasi!$B$2:$B$20000,A3826))</f>
        <v/>
      </c>
      <c r="C3826">
        <f>IF(A3826="","",COUNTIF(Donasi!$B$2:$B$20000,A3826))</f>
        <v/>
      </c>
      <c r="D3826">
        <f>IF(A3826="","",SUMIF(Donasi!$B$2:$B$20000,A3826,Donasi!$C$2:$C$20000))</f>
        <v/>
      </c>
      <c r="E3826">
        <f>IF(A3826="","",6-CEILING(PERCENTRANK.INC($B$3:$B$6000,B3826,4)*5+0.000001,1))</f>
        <v/>
      </c>
      <c r="F3826">
        <f>IF(A3826="","",MAX(1,CEILING(PERCENTRANK.INC($C$3:$C$6000,C3826,4)*5+0.000001,1)))</f>
        <v/>
      </c>
      <c r="G3826">
        <f>IF(A3826="","",MAX(1,CEILING(PERCENTRANK.INC($D$3:$D$6000,D3826,4)*5+0.000001,1)))</f>
        <v/>
      </c>
      <c r="H3826">
        <f>IF(A3826="","",E3826&amp;F3826&amp;G3826)</f>
        <v/>
      </c>
      <c r="I3826">
        <f>IF(A3826="","",IF(AND(E3826&gt;=4,F3826&gt;=4,G3826&gt;=4),"Juara",IF(AND(F3826&gt;=4,E3826&gt;=3),"Setia",IF(AND(E3826=5,F3826&lt;=2,G3826&gt;=3),"Berpotensi",IF(AND(E3826&lt;=3,E3826&gt;=2,F3826&gt;=3),"Rawan",IF(AND(E3826&lt;=2,F3826&lt;=2),"Tidur","Umum"))))))</f>
        <v/>
      </c>
    </row>
    <row r="3827">
      <c r="B3827">
        <f>IF(A3827="","",$B$1-MAXIFS(Donasi!$A$2:$A$20000,Donasi!$B$2:$B$20000,A3827))</f>
        <v/>
      </c>
      <c r="C3827">
        <f>IF(A3827="","",COUNTIF(Donasi!$B$2:$B$20000,A3827))</f>
        <v/>
      </c>
      <c r="D3827">
        <f>IF(A3827="","",SUMIF(Donasi!$B$2:$B$20000,A3827,Donasi!$C$2:$C$20000))</f>
        <v/>
      </c>
      <c r="E3827">
        <f>IF(A3827="","",6-CEILING(PERCENTRANK.INC($B$3:$B$6000,B3827,4)*5+0.000001,1))</f>
        <v/>
      </c>
      <c r="F3827">
        <f>IF(A3827="","",MAX(1,CEILING(PERCENTRANK.INC($C$3:$C$6000,C3827,4)*5+0.000001,1)))</f>
        <v/>
      </c>
      <c r="G3827">
        <f>IF(A3827="","",MAX(1,CEILING(PERCENTRANK.INC($D$3:$D$6000,D3827,4)*5+0.000001,1)))</f>
        <v/>
      </c>
      <c r="H3827">
        <f>IF(A3827="","",E3827&amp;F3827&amp;G3827)</f>
        <v/>
      </c>
      <c r="I3827">
        <f>IF(A3827="","",IF(AND(E3827&gt;=4,F3827&gt;=4,G3827&gt;=4),"Juara",IF(AND(F3827&gt;=4,E3827&gt;=3),"Setia",IF(AND(E3827=5,F3827&lt;=2,G3827&gt;=3),"Berpotensi",IF(AND(E3827&lt;=3,E3827&gt;=2,F3827&gt;=3),"Rawan",IF(AND(E3827&lt;=2,F3827&lt;=2),"Tidur","Umum"))))))</f>
        <v/>
      </c>
    </row>
    <row r="3828">
      <c r="B3828">
        <f>IF(A3828="","",$B$1-MAXIFS(Donasi!$A$2:$A$20000,Donasi!$B$2:$B$20000,A3828))</f>
        <v/>
      </c>
      <c r="C3828">
        <f>IF(A3828="","",COUNTIF(Donasi!$B$2:$B$20000,A3828))</f>
        <v/>
      </c>
      <c r="D3828">
        <f>IF(A3828="","",SUMIF(Donasi!$B$2:$B$20000,A3828,Donasi!$C$2:$C$20000))</f>
        <v/>
      </c>
      <c r="E3828">
        <f>IF(A3828="","",6-CEILING(PERCENTRANK.INC($B$3:$B$6000,B3828,4)*5+0.000001,1))</f>
        <v/>
      </c>
      <c r="F3828">
        <f>IF(A3828="","",MAX(1,CEILING(PERCENTRANK.INC($C$3:$C$6000,C3828,4)*5+0.000001,1)))</f>
        <v/>
      </c>
      <c r="G3828">
        <f>IF(A3828="","",MAX(1,CEILING(PERCENTRANK.INC($D$3:$D$6000,D3828,4)*5+0.000001,1)))</f>
        <v/>
      </c>
      <c r="H3828">
        <f>IF(A3828="","",E3828&amp;F3828&amp;G3828)</f>
        <v/>
      </c>
      <c r="I3828">
        <f>IF(A3828="","",IF(AND(E3828&gt;=4,F3828&gt;=4,G3828&gt;=4),"Juara",IF(AND(F3828&gt;=4,E3828&gt;=3),"Setia",IF(AND(E3828=5,F3828&lt;=2,G3828&gt;=3),"Berpotensi",IF(AND(E3828&lt;=3,E3828&gt;=2,F3828&gt;=3),"Rawan",IF(AND(E3828&lt;=2,F3828&lt;=2),"Tidur","Umum"))))))</f>
        <v/>
      </c>
    </row>
    <row r="3829">
      <c r="B3829">
        <f>IF(A3829="","",$B$1-MAXIFS(Donasi!$A$2:$A$20000,Donasi!$B$2:$B$20000,A3829))</f>
        <v/>
      </c>
      <c r="C3829">
        <f>IF(A3829="","",COUNTIF(Donasi!$B$2:$B$20000,A3829))</f>
        <v/>
      </c>
      <c r="D3829">
        <f>IF(A3829="","",SUMIF(Donasi!$B$2:$B$20000,A3829,Donasi!$C$2:$C$20000))</f>
        <v/>
      </c>
      <c r="E3829">
        <f>IF(A3829="","",6-CEILING(PERCENTRANK.INC($B$3:$B$6000,B3829,4)*5+0.000001,1))</f>
        <v/>
      </c>
      <c r="F3829">
        <f>IF(A3829="","",MAX(1,CEILING(PERCENTRANK.INC($C$3:$C$6000,C3829,4)*5+0.000001,1)))</f>
        <v/>
      </c>
      <c r="G3829">
        <f>IF(A3829="","",MAX(1,CEILING(PERCENTRANK.INC($D$3:$D$6000,D3829,4)*5+0.000001,1)))</f>
        <v/>
      </c>
      <c r="H3829">
        <f>IF(A3829="","",E3829&amp;F3829&amp;G3829)</f>
        <v/>
      </c>
      <c r="I3829">
        <f>IF(A3829="","",IF(AND(E3829&gt;=4,F3829&gt;=4,G3829&gt;=4),"Juara",IF(AND(F3829&gt;=4,E3829&gt;=3),"Setia",IF(AND(E3829=5,F3829&lt;=2,G3829&gt;=3),"Berpotensi",IF(AND(E3829&lt;=3,E3829&gt;=2,F3829&gt;=3),"Rawan",IF(AND(E3829&lt;=2,F3829&lt;=2),"Tidur","Umum"))))))</f>
        <v/>
      </c>
    </row>
    <row r="3830">
      <c r="B3830">
        <f>IF(A3830="","",$B$1-MAXIFS(Donasi!$A$2:$A$20000,Donasi!$B$2:$B$20000,A3830))</f>
        <v/>
      </c>
      <c r="C3830">
        <f>IF(A3830="","",COUNTIF(Donasi!$B$2:$B$20000,A3830))</f>
        <v/>
      </c>
      <c r="D3830">
        <f>IF(A3830="","",SUMIF(Donasi!$B$2:$B$20000,A3830,Donasi!$C$2:$C$20000))</f>
        <v/>
      </c>
      <c r="E3830">
        <f>IF(A3830="","",6-CEILING(PERCENTRANK.INC($B$3:$B$6000,B3830,4)*5+0.000001,1))</f>
        <v/>
      </c>
      <c r="F3830">
        <f>IF(A3830="","",MAX(1,CEILING(PERCENTRANK.INC($C$3:$C$6000,C3830,4)*5+0.000001,1)))</f>
        <v/>
      </c>
      <c r="G3830">
        <f>IF(A3830="","",MAX(1,CEILING(PERCENTRANK.INC($D$3:$D$6000,D3830,4)*5+0.000001,1)))</f>
        <v/>
      </c>
      <c r="H3830">
        <f>IF(A3830="","",E3830&amp;F3830&amp;G3830)</f>
        <v/>
      </c>
      <c r="I3830">
        <f>IF(A3830="","",IF(AND(E3830&gt;=4,F3830&gt;=4,G3830&gt;=4),"Juara",IF(AND(F3830&gt;=4,E3830&gt;=3),"Setia",IF(AND(E3830=5,F3830&lt;=2,G3830&gt;=3),"Berpotensi",IF(AND(E3830&lt;=3,E3830&gt;=2,F3830&gt;=3),"Rawan",IF(AND(E3830&lt;=2,F3830&lt;=2),"Tidur","Umum"))))))</f>
        <v/>
      </c>
    </row>
    <row r="3831">
      <c r="B3831">
        <f>IF(A3831="","",$B$1-MAXIFS(Donasi!$A$2:$A$20000,Donasi!$B$2:$B$20000,A3831))</f>
        <v/>
      </c>
      <c r="C3831">
        <f>IF(A3831="","",COUNTIF(Donasi!$B$2:$B$20000,A3831))</f>
        <v/>
      </c>
      <c r="D3831">
        <f>IF(A3831="","",SUMIF(Donasi!$B$2:$B$20000,A3831,Donasi!$C$2:$C$20000))</f>
        <v/>
      </c>
      <c r="E3831">
        <f>IF(A3831="","",6-CEILING(PERCENTRANK.INC($B$3:$B$6000,B3831,4)*5+0.000001,1))</f>
        <v/>
      </c>
      <c r="F3831">
        <f>IF(A3831="","",MAX(1,CEILING(PERCENTRANK.INC($C$3:$C$6000,C3831,4)*5+0.000001,1)))</f>
        <v/>
      </c>
      <c r="G3831">
        <f>IF(A3831="","",MAX(1,CEILING(PERCENTRANK.INC($D$3:$D$6000,D3831,4)*5+0.000001,1)))</f>
        <v/>
      </c>
      <c r="H3831">
        <f>IF(A3831="","",E3831&amp;F3831&amp;G3831)</f>
        <v/>
      </c>
      <c r="I3831">
        <f>IF(A3831="","",IF(AND(E3831&gt;=4,F3831&gt;=4,G3831&gt;=4),"Juara",IF(AND(F3831&gt;=4,E3831&gt;=3),"Setia",IF(AND(E3831=5,F3831&lt;=2,G3831&gt;=3),"Berpotensi",IF(AND(E3831&lt;=3,E3831&gt;=2,F3831&gt;=3),"Rawan",IF(AND(E3831&lt;=2,F3831&lt;=2),"Tidur","Umum"))))))</f>
        <v/>
      </c>
    </row>
    <row r="3832">
      <c r="B3832">
        <f>IF(A3832="","",$B$1-MAXIFS(Donasi!$A$2:$A$20000,Donasi!$B$2:$B$20000,A3832))</f>
        <v/>
      </c>
      <c r="C3832">
        <f>IF(A3832="","",COUNTIF(Donasi!$B$2:$B$20000,A3832))</f>
        <v/>
      </c>
      <c r="D3832">
        <f>IF(A3832="","",SUMIF(Donasi!$B$2:$B$20000,A3832,Donasi!$C$2:$C$20000))</f>
        <v/>
      </c>
      <c r="E3832">
        <f>IF(A3832="","",6-CEILING(PERCENTRANK.INC($B$3:$B$6000,B3832,4)*5+0.000001,1))</f>
        <v/>
      </c>
      <c r="F3832">
        <f>IF(A3832="","",MAX(1,CEILING(PERCENTRANK.INC($C$3:$C$6000,C3832,4)*5+0.000001,1)))</f>
        <v/>
      </c>
      <c r="G3832">
        <f>IF(A3832="","",MAX(1,CEILING(PERCENTRANK.INC($D$3:$D$6000,D3832,4)*5+0.000001,1)))</f>
        <v/>
      </c>
      <c r="H3832">
        <f>IF(A3832="","",E3832&amp;F3832&amp;G3832)</f>
        <v/>
      </c>
      <c r="I3832">
        <f>IF(A3832="","",IF(AND(E3832&gt;=4,F3832&gt;=4,G3832&gt;=4),"Juara",IF(AND(F3832&gt;=4,E3832&gt;=3),"Setia",IF(AND(E3832=5,F3832&lt;=2,G3832&gt;=3),"Berpotensi",IF(AND(E3832&lt;=3,E3832&gt;=2,F3832&gt;=3),"Rawan",IF(AND(E3832&lt;=2,F3832&lt;=2),"Tidur","Umum"))))))</f>
        <v/>
      </c>
    </row>
    <row r="3833">
      <c r="B3833">
        <f>IF(A3833="","",$B$1-MAXIFS(Donasi!$A$2:$A$20000,Donasi!$B$2:$B$20000,A3833))</f>
        <v/>
      </c>
      <c r="C3833">
        <f>IF(A3833="","",COUNTIF(Donasi!$B$2:$B$20000,A3833))</f>
        <v/>
      </c>
      <c r="D3833">
        <f>IF(A3833="","",SUMIF(Donasi!$B$2:$B$20000,A3833,Donasi!$C$2:$C$20000))</f>
        <v/>
      </c>
      <c r="E3833">
        <f>IF(A3833="","",6-CEILING(PERCENTRANK.INC($B$3:$B$6000,B3833,4)*5+0.000001,1))</f>
        <v/>
      </c>
      <c r="F3833">
        <f>IF(A3833="","",MAX(1,CEILING(PERCENTRANK.INC($C$3:$C$6000,C3833,4)*5+0.000001,1)))</f>
        <v/>
      </c>
      <c r="G3833">
        <f>IF(A3833="","",MAX(1,CEILING(PERCENTRANK.INC($D$3:$D$6000,D3833,4)*5+0.000001,1)))</f>
        <v/>
      </c>
      <c r="H3833">
        <f>IF(A3833="","",E3833&amp;F3833&amp;G3833)</f>
        <v/>
      </c>
      <c r="I3833">
        <f>IF(A3833="","",IF(AND(E3833&gt;=4,F3833&gt;=4,G3833&gt;=4),"Juara",IF(AND(F3833&gt;=4,E3833&gt;=3),"Setia",IF(AND(E3833=5,F3833&lt;=2,G3833&gt;=3),"Berpotensi",IF(AND(E3833&lt;=3,E3833&gt;=2,F3833&gt;=3),"Rawan",IF(AND(E3833&lt;=2,F3833&lt;=2),"Tidur","Umum"))))))</f>
        <v/>
      </c>
    </row>
    <row r="3834">
      <c r="B3834">
        <f>IF(A3834="","",$B$1-MAXIFS(Donasi!$A$2:$A$20000,Donasi!$B$2:$B$20000,A3834))</f>
        <v/>
      </c>
      <c r="C3834">
        <f>IF(A3834="","",COUNTIF(Donasi!$B$2:$B$20000,A3834))</f>
        <v/>
      </c>
      <c r="D3834">
        <f>IF(A3834="","",SUMIF(Donasi!$B$2:$B$20000,A3834,Donasi!$C$2:$C$20000))</f>
        <v/>
      </c>
      <c r="E3834">
        <f>IF(A3834="","",6-CEILING(PERCENTRANK.INC($B$3:$B$6000,B3834,4)*5+0.000001,1))</f>
        <v/>
      </c>
      <c r="F3834">
        <f>IF(A3834="","",MAX(1,CEILING(PERCENTRANK.INC($C$3:$C$6000,C3834,4)*5+0.000001,1)))</f>
        <v/>
      </c>
      <c r="G3834">
        <f>IF(A3834="","",MAX(1,CEILING(PERCENTRANK.INC($D$3:$D$6000,D3834,4)*5+0.000001,1)))</f>
        <v/>
      </c>
      <c r="H3834">
        <f>IF(A3834="","",E3834&amp;F3834&amp;G3834)</f>
        <v/>
      </c>
      <c r="I3834">
        <f>IF(A3834="","",IF(AND(E3834&gt;=4,F3834&gt;=4,G3834&gt;=4),"Juara",IF(AND(F3834&gt;=4,E3834&gt;=3),"Setia",IF(AND(E3834=5,F3834&lt;=2,G3834&gt;=3),"Berpotensi",IF(AND(E3834&lt;=3,E3834&gt;=2,F3834&gt;=3),"Rawan",IF(AND(E3834&lt;=2,F3834&lt;=2),"Tidur","Umum"))))))</f>
        <v/>
      </c>
    </row>
    <row r="3835">
      <c r="B3835">
        <f>IF(A3835="","",$B$1-MAXIFS(Donasi!$A$2:$A$20000,Donasi!$B$2:$B$20000,A3835))</f>
        <v/>
      </c>
      <c r="C3835">
        <f>IF(A3835="","",COUNTIF(Donasi!$B$2:$B$20000,A3835))</f>
        <v/>
      </c>
      <c r="D3835">
        <f>IF(A3835="","",SUMIF(Donasi!$B$2:$B$20000,A3835,Donasi!$C$2:$C$20000))</f>
        <v/>
      </c>
      <c r="E3835">
        <f>IF(A3835="","",6-CEILING(PERCENTRANK.INC($B$3:$B$6000,B3835,4)*5+0.000001,1))</f>
        <v/>
      </c>
      <c r="F3835">
        <f>IF(A3835="","",MAX(1,CEILING(PERCENTRANK.INC($C$3:$C$6000,C3835,4)*5+0.000001,1)))</f>
        <v/>
      </c>
      <c r="G3835">
        <f>IF(A3835="","",MAX(1,CEILING(PERCENTRANK.INC($D$3:$D$6000,D3835,4)*5+0.000001,1)))</f>
        <v/>
      </c>
      <c r="H3835">
        <f>IF(A3835="","",E3835&amp;F3835&amp;G3835)</f>
        <v/>
      </c>
      <c r="I3835">
        <f>IF(A3835="","",IF(AND(E3835&gt;=4,F3835&gt;=4,G3835&gt;=4),"Juara",IF(AND(F3835&gt;=4,E3835&gt;=3),"Setia",IF(AND(E3835=5,F3835&lt;=2,G3835&gt;=3),"Berpotensi",IF(AND(E3835&lt;=3,E3835&gt;=2,F3835&gt;=3),"Rawan",IF(AND(E3835&lt;=2,F3835&lt;=2),"Tidur","Umum"))))))</f>
        <v/>
      </c>
    </row>
    <row r="3836">
      <c r="B3836">
        <f>IF(A3836="","",$B$1-MAXIFS(Donasi!$A$2:$A$20000,Donasi!$B$2:$B$20000,A3836))</f>
        <v/>
      </c>
      <c r="C3836">
        <f>IF(A3836="","",COUNTIF(Donasi!$B$2:$B$20000,A3836))</f>
        <v/>
      </c>
      <c r="D3836">
        <f>IF(A3836="","",SUMIF(Donasi!$B$2:$B$20000,A3836,Donasi!$C$2:$C$20000))</f>
        <v/>
      </c>
      <c r="E3836">
        <f>IF(A3836="","",6-CEILING(PERCENTRANK.INC($B$3:$B$6000,B3836,4)*5+0.000001,1))</f>
        <v/>
      </c>
      <c r="F3836">
        <f>IF(A3836="","",MAX(1,CEILING(PERCENTRANK.INC($C$3:$C$6000,C3836,4)*5+0.000001,1)))</f>
        <v/>
      </c>
      <c r="G3836">
        <f>IF(A3836="","",MAX(1,CEILING(PERCENTRANK.INC($D$3:$D$6000,D3836,4)*5+0.000001,1)))</f>
        <v/>
      </c>
      <c r="H3836">
        <f>IF(A3836="","",E3836&amp;F3836&amp;G3836)</f>
        <v/>
      </c>
      <c r="I3836">
        <f>IF(A3836="","",IF(AND(E3836&gt;=4,F3836&gt;=4,G3836&gt;=4),"Juara",IF(AND(F3836&gt;=4,E3836&gt;=3),"Setia",IF(AND(E3836=5,F3836&lt;=2,G3836&gt;=3),"Berpotensi",IF(AND(E3836&lt;=3,E3836&gt;=2,F3836&gt;=3),"Rawan",IF(AND(E3836&lt;=2,F3836&lt;=2),"Tidur","Umum"))))))</f>
        <v/>
      </c>
    </row>
    <row r="3837">
      <c r="B3837">
        <f>IF(A3837="","",$B$1-MAXIFS(Donasi!$A$2:$A$20000,Donasi!$B$2:$B$20000,A3837))</f>
        <v/>
      </c>
      <c r="C3837">
        <f>IF(A3837="","",COUNTIF(Donasi!$B$2:$B$20000,A3837))</f>
        <v/>
      </c>
      <c r="D3837">
        <f>IF(A3837="","",SUMIF(Donasi!$B$2:$B$20000,A3837,Donasi!$C$2:$C$20000))</f>
        <v/>
      </c>
      <c r="E3837">
        <f>IF(A3837="","",6-CEILING(PERCENTRANK.INC($B$3:$B$6000,B3837,4)*5+0.000001,1))</f>
        <v/>
      </c>
      <c r="F3837">
        <f>IF(A3837="","",MAX(1,CEILING(PERCENTRANK.INC($C$3:$C$6000,C3837,4)*5+0.000001,1)))</f>
        <v/>
      </c>
      <c r="G3837">
        <f>IF(A3837="","",MAX(1,CEILING(PERCENTRANK.INC($D$3:$D$6000,D3837,4)*5+0.000001,1)))</f>
        <v/>
      </c>
      <c r="H3837">
        <f>IF(A3837="","",E3837&amp;F3837&amp;G3837)</f>
        <v/>
      </c>
      <c r="I3837">
        <f>IF(A3837="","",IF(AND(E3837&gt;=4,F3837&gt;=4,G3837&gt;=4),"Juara",IF(AND(F3837&gt;=4,E3837&gt;=3),"Setia",IF(AND(E3837=5,F3837&lt;=2,G3837&gt;=3),"Berpotensi",IF(AND(E3837&lt;=3,E3837&gt;=2,F3837&gt;=3),"Rawan",IF(AND(E3837&lt;=2,F3837&lt;=2),"Tidur","Umum"))))))</f>
        <v/>
      </c>
    </row>
    <row r="3838">
      <c r="B3838">
        <f>IF(A3838="","",$B$1-MAXIFS(Donasi!$A$2:$A$20000,Donasi!$B$2:$B$20000,A3838))</f>
        <v/>
      </c>
      <c r="C3838">
        <f>IF(A3838="","",COUNTIF(Donasi!$B$2:$B$20000,A3838))</f>
        <v/>
      </c>
      <c r="D3838">
        <f>IF(A3838="","",SUMIF(Donasi!$B$2:$B$20000,A3838,Donasi!$C$2:$C$20000))</f>
        <v/>
      </c>
      <c r="E3838">
        <f>IF(A3838="","",6-CEILING(PERCENTRANK.INC($B$3:$B$6000,B3838,4)*5+0.000001,1))</f>
        <v/>
      </c>
      <c r="F3838">
        <f>IF(A3838="","",MAX(1,CEILING(PERCENTRANK.INC($C$3:$C$6000,C3838,4)*5+0.000001,1)))</f>
        <v/>
      </c>
      <c r="G3838">
        <f>IF(A3838="","",MAX(1,CEILING(PERCENTRANK.INC($D$3:$D$6000,D3838,4)*5+0.000001,1)))</f>
        <v/>
      </c>
      <c r="H3838">
        <f>IF(A3838="","",E3838&amp;F3838&amp;G3838)</f>
        <v/>
      </c>
      <c r="I3838">
        <f>IF(A3838="","",IF(AND(E3838&gt;=4,F3838&gt;=4,G3838&gt;=4),"Juara",IF(AND(F3838&gt;=4,E3838&gt;=3),"Setia",IF(AND(E3838=5,F3838&lt;=2,G3838&gt;=3),"Berpotensi",IF(AND(E3838&lt;=3,E3838&gt;=2,F3838&gt;=3),"Rawan",IF(AND(E3838&lt;=2,F3838&lt;=2),"Tidur","Umum"))))))</f>
        <v/>
      </c>
    </row>
    <row r="3839">
      <c r="B3839">
        <f>IF(A3839="","",$B$1-MAXIFS(Donasi!$A$2:$A$20000,Donasi!$B$2:$B$20000,A3839))</f>
        <v/>
      </c>
      <c r="C3839">
        <f>IF(A3839="","",COUNTIF(Donasi!$B$2:$B$20000,A3839))</f>
        <v/>
      </c>
      <c r="D3839">
        <f>IF(A3839="","",SUMIF(Donasi!$B$2:$B$20000,A3839,Donasi!$C$2:$C$20000))</f>
        <v/>
      </c>
      <c r="E3839">
        <f>IF(A3839="","",6-CEILING(PERCENTRANK.INC($B$3:$B$6000,B3839,4)*5+0.000001,1))</f>
        <v/>
      </c>
      <c r="F3839">
        <f>IF(A3839="","",MAX(1,CEILING(PERCENTRANK.INC($C$3:$C$6000,C3839,4)*5+0.000001,1)))</f>
        <v/>
      </c>
      <c r="G3839">
        <f>IF(A3839="","",MAX(1,CEILING(PERCENTRANK.INC($D$3:$D$6000,D3839,4)*5+0.000001,1)))</f>
        <v/>
      </c>
      <c r="H3839">
        <f>IF(A3839="","",E3839&amp;F3839&amp;G3839)</f>
        <v/>
      </c>
      <c r="I3839">
        <f>IF(A3839="","",IF(AND(E3839&gt;=4,F3839&gt;=4,G3839&gt;=4),"Juara",IF(AND(F3839&gt;=4,E3839&gt;=3),"Setia",IF(AND(E3839=5,F3839&lt;=2,G3839&gt;=3),"Berpotensi",IF(AND(E3839&lt;=3,E3839&gt;=2,F3839&gt;=3),"Rawan",IF(AND(E3839&lt;=2,F3839&lt;=2),"Tidur","Umum"))))))</f>
        <v/>
      </c>
    </row>
    <row r="3840">
      <c r="B3840">
        <f>IF(A3840="","",$B$1-MAXIFS(Donasi!$A$2:$A$20000,Donasi!$B$2:$B$20000,A3840))</f>
        <v/>
      </c>
      <c r="C3840">
        <f>IF(A3840="","",COUNTIF(Donasi!$B$2:$B$20000,A3840))</f>
        <v/>
      </c>
      <c r="D3840">
        <f>IF(A3840="","",SUMIF(Donasi!$B$2:$B$20000,A3840,Donasi!$C$2:$C$20000))</f>
        <v/>
      </c>
      <c r="E3840">
        <f>IF(A3840="","",6-CEILING(PERCENTRANK.INC($B$3:$B$6000,B3840,4)*5+0.000001,1))</f>
        <v/>
      </c>
      <c r="F3840">
        <f>IF(A3840="","",MAX(1,CEILING(PERCENTRANK.INC($C$3:$C$6000,C3840,4)*5+0.000001,1)))</f>
        <v/>
      </c>
      <c r="G3840">
        <f>IF(A3840="","",MAX(1,CEILING(PERCENTRANK.INC($D$3:$D$6000,D3840,4)*5+0.000001,1)))</f>
        <v/>
      </c>
      <c r="H3840">
        <f>IF(A3840="","",E3840&amp;F3840&amp;G3840)</f>
        <v/>
      </c>
      <c r="I3840">
        <f>IF(A3840="","",IF(AND(E3840&gt;=4,F3840&gt;=4,G3840&gt;=4),"Juara",IF(AND(F3840&gt;=4,E3840&gt;=3),"Setia",IF(AND(E3840=5,F3840&lt;=2,G3840&gt;=3),"Berpotensi",IF(AND(E3840&lt;=3,E3840&gt;=2,F3840&gt;=3),"Rawan",IF(AND(E3840&lt;=2,F3840&lt;=2),"Tidur","Umum"))))))</f>
        <v/>
      </c>
    </row>
    <row r="3841">
      <c r="B3841">
        <f>IF(A3841="","",$B$1-MAXIFS(Donasi!$A$2:$A$20000,Donasi!$B$2:$B$20000,A3841))</f>
        <v/>
      </c>
      <c r="C3841">
        <f>IF(A3841="","",COUNTIF(Donasi!$B$2:$B$20000,A3841))</f>
        <v/>
      </c>
      <c r="D3841">
        <f>IF(A3841="","",SUMIF(Donasi!$B$2:$B$20000,A3841,Donasi!$C$2:$C$20000))</f>
        <v/>
      </c>
      <c r="E3841">
        <f>IF(A3841="","",6-CEILING(PERCENTRANK.INC($B$3:$B$6000,B3841,4)*5+0.000001,1))</f>
        <v/>
      </c>
      <c r="F3841">
        <f>IF(A3841="","",MAX(1,CEILING(PERCENTRANK.INC($C$3:$C$6000,C3841,4)*5+0.000001,1)))</f>
        <v/>
      </c>
      <c r="G3841">
        <f>IF(A3841="","",MAX(1,CEILING(PERCENTRANK.INC($D$3:$D$6000,D3841,4)*5+0.000001,1)))</f>
        <v/>
      </c>
      <c r="H3841">
        <f>IF(A3841="","",E3841&amp;F3841&amp;G3841)</f>
        <v/>
      </c>
      <c r="I3841">
        <f>IF(A3841="","",IF(AND(E3841&gt;=4,F3841&gt;=4,G3841&gt;=4),"Juara",IF(AND(F3841&gt;=4,E3841&gt;=3),"Setia",IF(AND(E3841=5,F3841&lt;=2,G3841&gt;=3),"Berpotensi",IF(AND(E3841&lt;=3,E3841&gt;=2,F3841&gt;=3),"Rawan",IF(AND(E3841&lt;=2,F3841&lt;=2),"Tidur","Umum"))))))</f>
        <v/>
      </c>
    </row>
    <row r="3842">
      <c r="B3842">
        <f>IF(A3842="","",$B$1-MAXIFS(Donasi!$A$2:$A$20000,Donasi!$B$2:$B$20000,A3842))</f>
        <v/>
      </c>
      <c r="C3842">
        <f>IF(A3842="","",COUNTIF(Donasi!$B$2:$B$20000,A3842))</f>
        <v/>
      </c>
      <c r="D3842">
        <f>IF(A3842="","",SUMIF(Donasi!$B$2:$B$20000,A3842,Donasi!$C$2:$C$20000))</f>
        <v/>
      </c>
      <c r="E3842">
        <f>IF(A3842="","",6-CEILING(PERCENTRANK.INC($B$3:$B$6000,B3842,4)*5+0.000001,1))</f>
        <v/>
      </c>
      <c r="F3842">
        <f>IF(A3842="","",MAX(1,CEILING(PERCENTRANK.INC($C$3:$C$6000,C3842,4)*5+0.000001,1)))</f>
        <v/>
      </c>
      <c r="G3842">
        <f>IF(A3842="","",MAX(1,CEILING(PERCENTRANK.INC($D$3:$D$6000,D3842,4)*5+0.000001,1)))</f>
        <v/>
      </c>
      <c r="H3842">
        <f>IF(A3842="","",E3842&amp;F3842&amp;G3842)</f>
        <v/>
      </c>
      <c r="I3842">
        <f>IF(A3842="","",IF(AND(E3842&gt;=4,F3842&gt;=4,G3842&gt;=4),"Juara",IF(AND(F3842&gt;=4,E3842&gt;=3),"Setia",IF(AND(E3842=5,F3842&lt;=2,G3842&gt;=3),"Berpotensi",IF(AND(E3842&lt;=3,E3842&gt;=2,F3842&gt;=3),"Rawan",IF(AND(E3842&lt;=2,F3842&lt;=2),"Tidur","Umum"))))))</f>
        <v/>
      </c>
    </row>
    <row r="3843">
      <c r="B3843">
        <f>IF(A3843="","",$B$1-MAXIFS(Donasi!$A$2:$A$20000,Donasi!$B$2:$B$20000,A3843))</f>
        <v/>
      </c>
      <c r="C3843">
        <f>IF(A3843="","",COUNTIF(Donasi!$B$2:$B$20000,A3843))</f>
        <v/>
      </c>
      <c r="D3843">
        <f>IF(A3843="","",SUMIF(Donasi!$B$2:$B$20000,A3843,Donasi!$C$2:$C$20000))</f>
        <v/>
      </c>
      <c r="E3843">
        <f>IF(A3843="","",6-CEILING(PERCENTRANK.INC($B$3:$B$6000,B3843,4)*5+0.000001,1))</f>
        <v/>
      </c>
      <c r="F3843">
        <f>IF(A3843="","",MAX(1,CEILING(PERCENTRANK.INC($C$3:$C$6000,C3843,4)*5+0.000001,1)))</f>
        <v/>
      </c>
      <c r="G3843">
        <f>IF(A3843="","",MAX(1,CEILING(PERCENTRANK.INC($D$3:$D$6000,D3843,4)*5+0.000001,1)))</f>
        <v/>
      </c>
      <c r="H3843">
        <f>IF(A3843="","",E3843&amp;F3843&amp;G3843)</f>
        <v/>
      </c>
      <c r="I3843">
        <f>IF(A3843="","",IF(AND(E3843&gt;=4,F3843&gt;=4,G3843&gt;=4),"Juara",IF(AND(F3843&gt;=4,E3843&gt;=3),"Setia",IF(AND(E3843=5,F3843&lt;=2,G3843&gt;=3),"Berpotensi",IF(AND(E3843&lt;=3,E3843&gt;=2,F3843&gt;=3),"Rawan",IF(AND(E3843&lt;=2,F3843&lt;=2),"Tidur","Umum"))))))</f>
        <v/>
      </c>
    </row>
    <row r="3844">
      <c r="B3844">
        <f>IF(A3844="","",$B$1-MAXIFS(Donasi!$A$2:$A$20000,Donasi!$B$2:$B$20000,A3844))</f>
        <v/>
      </c>
      <c r="C3844">
        <f>IF(A3844="","",COUNTIF(Donasi!$B$2:$B$20000,A3844))</f>
        <v/>
      </c>
      <c r="D3844">
        <f>IF(A3844="","",SUMIF(Donasi!$B$2:$B$20000,A3844,Donasi!$C$2:$C$20000))</f>
        <v/>
      </c>
      <c r="E3844">
        <f>IF(A3844="","",6-CEILING(PERCENTRANK.INC($B$3:$B$6000,B3844,4)*5+0.000001,1))</f>
        <v/>
      </c>
      <c r="F3844">
        <f>IF(A3844="","",MAX(1,CEILING(PERCENTRANK.INC($C$3:$C$6000,C3844,4)*5+0.000001,1)))</f>
        <v/>
      </c>
      <c r="G3844">
        <f>IF(A3844="","",MAX(1,CEILING(PERCENTRANK.INC($D$3:$D$6000,D3844,4)*5+0.000001,1)))</f>
        <v/>
      </c>
      <c r="H3844">
        <f>IF(A3844="","",E3844&amp;F3844&amp;G3844)</f>
        <v/>
      </c>
      <c r="I3844">
        <f>IF(A3844="","",IF(AND(E3844&gt;=4,F3844&gt;=4,G3844&gt;=4),"Juara",IF(AND(F3844&gt;=4,E3844&gt;=3),"Setia",IF(AND(E3844=5,F3844&lt;=2,G3844&gt;=3),"Berpotensi",IF(AND(E3844&lt;=3,E3844&gt;=2,F3844&gt;=3),"Rawan",IF(AND(E3844&lt;=2,F3844&lt;=2),"Tidur","Umum"))))))</f>
        <v/>
      </c>
    </row>
    <row r="3845">
      <c r="B3845">
        <f>IF(A3845="","",$B$1-MAXIFS(Donasi!$A$2:$A$20000,Donasi!$B$2:$B$20000,A3845))</f>
        <v/>
      </c>
      <c r="C3845">
        <f>IF(A3845="","",COUNTIF(Donasi!$B$2:$B$20000,A3845))</f>
        <v/>
      </c>
      <c r="D3845">
        <f>IF(A3845="","",SUMIF(Donasi!$B$2:$B$20000,A3845,Donasi!$C$2:$C$20000))</f>
        <v/>
      </c>
      <c r="E3845">
        <f>IF(A3845="","",6-CEILING(PERCENTRANK.INC($B$3:$B$6000,B3845,4)*5+0.000001,1))</f>
        <v/>
      </c>
      <c r="F3845">
        <f>IF(A3845="","",MAX(1,CEILING(PERCENTRANK.INC($C$3:$C$6000,C3845,4)*5+0.000001,1)))</f>
        <v/>
      </c>
      <c r="G3845">
        <f>IF(A3845="","",MAX(1,CEILING(PERCENTRANK.INC($D$3:$D$6000,D3845,4)*5+0.000001,1)))</f>
        <v/>
      </c>
      <c r="H3845">
        <f>IF(A3845="","",E3845&amp;F3845&amp;G3845)</f>
        <v/>
      </c>
      <c r="I3845">
        <f>IF(A3845="","",IF(AND(E3845&gt;=4,F3845&gt;=4,G3845&gt;=4),"Juara",IF(AND(F3845&gt;=4,E3845&gt;=3),"Setia",IF(AND(E3845=5,F3845&lt;=2,G3845&gt;=3),"Berpotensi",IF(AND(E3845&lt;=3,E3845&gt;=2,F3845&gt;=3),"Rawan",IF(AND(E3845&lt;=2,F3845&lt;=2),"Tidur","Umum"))))))</f>
        <v/>
      </c>
    </row>
    <row r="3846">
      <c r="B3846">
        <f>IF(A3846="","",$B$1-MAXIFS(Donasi!$A$2:$A$20000,Donasi!$B$2:$B$20000,A3846))</f>
        <v/>
      </c>
      <c r="C3846">
        <f>IF(A3846="","",COUNTIF(Donasi!$B$2:$B$20000,A3846))</f>
        <v/>
      </c>
      <c r="D3846">
        <f>IF(A3846="","",SUMIF(Donasi!$B$2:$B$20000,A3846,Donasi!$C$2:$C$20000))</f>
        <v/>
      </c>
      <c r="E3846">
        <f>IF(A3846="","",6-CEILING(PERCENTRANK.INC($B$3:$B$6000,B3846,4)*5+0.000001,1))</f>
        <v/>
      </c>
      <c r="F3846">
        <f>IF(A3846="","",MAX(1,CEILING(PERCENTRANK.INC($C$3:$C$6000,C3846,4)*5+0.000001,1)))</f>
        <v/>
      </c>
      <c r="G3846">
        <f>IF(A3846="","",MAX(1,CEILING(PERCENTRANK.INC($D$3:$D$6000,D3846,4)*5+0.000001,1)))</f>
        <v/>
      </c>
      <c r="H3846">
        <f>IF(A3846="","",E3846&amp;F3846&amp;G3846)</f>
        <v/>
      </c>
      <c r="I3846">
        <f>IF(A3846="","",IF(AND(E3846&gt;=4,F3846&gt;=4,G3846&gt;=4),"Juara",IF(AND(F3846&gt;=4,E3846&gt;=3),"Setia",IF(AND(E3846=5,F3846&lt;=2,G3846&gt;=3),"Berpotensi",IF(AND(E3846&lt;=3,E3846&gt;=2,F3846&gt;=3),"Rawan",IF(AND(E3846&lt;=2,F3846&lt;=2),"Tidur","Umum"))))))</f>
        <v/>
      </c>
    </row>
    <row r="3847">
      <c r="B3847">
        <f>IF(A3847="","",$B$1-MAXIFS(Donasi!$A$2:$A$20000,Donasi!$B$2:$B$20000,A3847))</f>
        <v/>
      </c>
      <c r="C3847">
        <f>IF(A3847="","",COUNTIF(Donasi!$B$2:$B$20000,A3847))</f>
        <v/>
      </c>
      <c r="D3847">
        <f>IF(A3847="","",SUMIF(Donasi!$B$2:$B$20000,A3847,Donasi!$C$2:$C$20000))</f>
        <v/>
      </c>
      <c r="E3847">
        <f>IF(A3847="","",6-CEILING(PERCENTRANK.INC($B$3:$B$6000,B3847,4)*5+0.000001,1))</f>
        <v/>
      </c>
      <c r="F3847">
        <f>IF(A3847="","",MAX(1,CEILING(PERCENTRANK.INC($C$3:$C$6000,C3847,4)*5+0.000001,1)))</f>
        <v/>
      </c>
      <c r="G3847">
        <f>IF(A3847="","",MAX(1,CEILING(PERCENTRANK.INC($D$3:$D$6000,D3847,4)*5+0.000001,1)))</f>
        <v/>
      </c>
      <c r="H3847">
        <f>IF(A3847="","",E3847&amp;F3847&amp;G3847)</f>
        <v/>
      </c>
      <c r="I3847">
        <f>IF(A3847="","",IF(AND(E3847&gt;=4,F3847&gt;=4,G3847&gt;=4),"Juara",IF(AND(F3847&gt;=4,E3847&gt;=3),"Setia",IF(AND(E3847=5,F3847&lt;=2,G3847&gt;=3),"Berpotensi",IF(AND(E3847&lt;=3,E3847&gt;=2,F3847&gt;=3),"Rawan",IF(AND(E3847&lt;=2,F3847&lt;=2),"Tidur","Umum"))))))</f>
        <v/>
      </c>
    </row>
    <row r="3848">
      <c r="B3848">
        <f>IF(A3848="","",$B$1-MAXIFS(Donasi!$A$2:$A$20000,Donasi!$B$2:$B$20000,A3848))</f>
        <v/>
      </c>
      <c r="C3848">
        <f>IF(A3848="","",COUNTIF(Donasi!$B$2:$B$20000,A3848))</f>
        <v/>
      </c>
      <c r="D3848">
        <f>IF(A3848="","",SUMIF(Donasi!$B$2:$B$20000,A3848,Donasi!$C$2:$C$20000))</f>
        <v/>
      </c>
      <c r="E3848">
        <f>IF(A3848="","",6-CEILING(PERCENTRANK.INC($B$3:$B$6000,B3848,4)*5+0.000001,1))</f>
        <v/>
      </c>
      <c r="F3848">
        <f>IF(A3848="","",MAX(1,CEILING(PERCENTRANK.INC($C$3:$C$6000,C3848,4)*5+0.000001,1)))</f>
        <v/>
      </c>
      <c r="G3848">
        <f>IF(A3848="","",MAX(1,CEILING(PERCENTRANK.INC($D$3:$D$6000,D3848,4)*5+0.000001,1)))</f>
        <v/>
      </c>
      <c r="H3848">
        <f>IF(A3848="","",E3848&amp;F3848&amp;G3848)</f>
        <v/>
      </c>
      <c r="I3848">
        <f>IF(A3848="","",IF(AND(E3848&gt;=4,F3848&gt;=4,G3848&gt;=4),"Juara",IF(AND(F3848&gt;=4,E3848&gt;=3),"Setia",IF(AND(E3848=5,F3848&lt;=2,G3848&gt;=3),"Berpotensi",IF(AND(E3848&lt;=3,E3848&gt;=2,F3848&gt;=3),"Rawan",IF(AND(E3848&lt;=2,F3848&lt;=2),"Tidur","Umum"))))))</f>
        <v/>
      </c>
    </row>
    <row r="3849">
      <c r="B3849">
        <f>IF(A3849="","",$B$1-MAXIFS(Donasi!$A$2:$A$20000,Donasi!$B$2:$B$20000,A3849))</f>
        <v/>
      </c>
      <c r="C3849">
        <f>IF(A3849="","",COUNTIF(Donasi!$B$2:$B$20000,A3849))</f>
        <v/>
      </c>
      <c r="D3849">
        <f>IF(A3849="","",SUMIF(Donasi!$B$2:$B$20000,A3849,Donasi!$C$2:$C$20000))</f>
        <v/>
      </c>
      <c r="E3849">
        <f>IF(A3849="","",6-CEILING(PERCENTRANK.INC($B$3:$B$6000,B3849,4)*5+0.000001,1))</f>
        <v/>
      </c>
      <c r="F3849">
        <f>IF(A3849="","",MAX(1,CEILING(PERCENTRANK.INC($C$3:$C$6000,C3849,4)*5+0.000001,1)))</f>
        <v/>
      </c>
      <c r="G3849">
        <f>IF(A3849="","",MAX(1,CEILING(PERCENTRANK.INC($D$3:$D$6000,D3849,4)*5+0.000001,1)))</f>
        <v/>
      </c>
      <c r="H3849">
        <f>IF(A3849="","",E3849&amp;F3849&amp;G3849)</f>
        <v/>
      </c>
      <c r="I3849">
        <f>IF(A3849="","",IF(AND(E3849&gt;=4,F3849&gt;=4,G3849&gt;=4),"Juara",IF(AND(F3849&gt;=4,E3849&gt;=3),"Setia",IF(AND(E3849=5,F3849&lt;=2,G3849&gt;=3),"Berpotensi",IF(AND(E3849&lt;=3,E3849&gt;=2,F3849&gt;=3),"Rawan",IF(AND(E3849&lt;=2,F3849&lt;=2),"Tidur","Umum"))))))</f>
        <v/>
      </c>
    </row>
    <row r="3850">
      <c r="B3850">
        <f>IF(A3850="","",$B$1-MAXIFS(Donasi!$A$2:$A$20000,Donasi!$B$2:$B$20000,A3850))</f>
        <v/>
      </c>
      <c r="C3850">
        <f>IF(A3850="","",COUNTIF(Donasi!$B$2:$B$20000,A3850))</f>
        <v/>
      </c>
      <c r="D3850">
        <f>IF(A3850="","",SUMIF(Donasi!$B$2:$B$20000,A3850,Donasi!$C$2:$C$20000))</f>
        <v/>
      </c>
      <c r="E3850">
        <f>IF(A3850="","",6-CEILING(PERCENTRANK.INC($B$3:$B$6000,B3850,4)*5+0.000001,1))</f>
        <v/>
      </c>
      <c r="F3850">
        <f>IF(A3850="","",MAX(1,CEILING(PERCENTRANK.INC($C$3:$C$6000,C3850,4)*5+0.000001,1)))</f>
        <v/>
      </c>
      <c r="G3850">
        <f>IF(A3850="","",MAX(1,CEILING(PERCENTRANK.INC($D$3:$D$6000,D3850,4)*5+0.000001,1)))</f>
        <v/>
      </c>
      <c r="H3850">
        <f>IF(A3850="","",E3850&amp;F3850&amp;G3850)</f>
        <v/>
      </c>
      <c r="I3850">
        <f>IF(A3850="","",IF(AND(E3850&gt;=4,F3850&gt;=4,G3850&gt;=4),"Juara",IF(AND(F3850&gt;=4,E3850&gt;=3),"Setia",IF(AND(E3850=5,F3850&lt;=2,G3850&gt;=3),"Berpotensi",IF(AND(E3850&lt;=3,E3850&gt;=2,F3850&gt;=3),"Rawan",IF(AND(E3850&lt;=2,F3850&lt;=2),"Tidur","Umum"))))))</f>
        <v/>
      </c>
    </row>
    <row r="3851">
      <c r="B3851">
        <f>IF(A3851="","",$B$1-MAXIFS(Donasi!$A$2:$A$20000,Donasi!$B$2:$B$20000,A3851))</f>
        <v/>
      </c>
      <c r="C3851">
        <f>IF(A3851="","",COUNTIF(Donasi!$B$2:$B$20000,A3851))</f>
        <v/>
      </c>
      <c r="D3851">
        <f>IF(A3851="","",SUMIF(Donasi!$B$2:$B$20000,A3851,Donasi!$C$2:$C$20000))</f>
        <v/>
      </c>
      <c r="E3851">
        <f>IF(A3851="","",6-CEILING(PERCENTRANK.INC($B$3:$B$6000,B3851,4)*5+0.000001,1))</f>
        <v/>
      </c>
      <c r="F3851">
        <f>IF(A3851="","",MAX(1,CEILING(PERCENTRANK.INC($C$3:$C$6000,C3851,4)*5+0.000001,1)))</f>
        <v/>
      </c>
      <c r="G3851">
        <f>IF(A3851="","",MAX(1,CEILING(PERCENTRANK.INC($D$3:$D$6000,D3851,4)*5+0.000001,1)))</f>
        <v/>
      </c>
      <c r="H3851">
        <f>IF(A3851="","",E3851&amp;F3851&amp;G3851)</f>
        <v/>
      </c>
      <c r="I3851">
        <f>IF(A3851="","",IF(AND(E3851&gt;=4,F3851&gt;=4,G3851&gt;=4),"Juara",IF(AND(F3851&gt;=4,E3851&gt;=3),"Setia",IF(AND(E3851=5,F3851&lt;=2,G3851&gt;=3),"Berpotensi",IF(AND(E3851&lt;=3,E3851&gt;=2,F3851&gt;=3),"Rawan",IF(AND(E3851&lt;=2,F3851&lt;=2),"Tidur","Umum"))))))</f>
        <v/>
      </c>
    </row>
    <row r="3852">
      <c r="B3852">
        <f>IF(A3852="","",$B$1-MAXIFS(Donasi!$A$2:$A$20000,Donasi!$B$2:$B$20000,A3852))</f>
        <v/>
      </c>
      <c r="C3852">
        <f>IF(A3852="","",COUNTIF(Donasi!$B$2:$B$20000,A3852))</f>
        <v/>
      </c>
      <c r="D3852">
        <f>IF(A3852="","",SUMIF(Donasi!$B$2:$B$20000,A3852,Donasi!$C$2:$C$20000))</f>
        <v/>
      </c>
      <c r="E3852">
        <f>IF(A3852="","",6-CEILING(PERCENTRANK.INC($B$3:$B$6000,B3852,4)*5+0.000001,1))</f>
        <v/>
      </c>
      <c r="F3852">
        <f>IF(A3852="","",MAX(1,CEILING(PERCENTRANK.INC($C$3:$C$6000,C3852,4)*5+0.000001,1)))</f>
        <v/>
      </c>
      <c r="G3852">
        <f>IF(A3852="","",MAX(1,CEILING(PERCENTRANK.INC($D$3:$D$6000,D3852,4)*5+0.000001,1)))</f>
        <v/>
      </c>
      <c r="H3852">
        <f>IF(A3852="","",E3852&amp;F3852&amp;G3852)</f>
        <v/>
      </c>
      <c r="I3852">
        <f>IF(A3852="","",IF(AND(E3852&gt;=4,F3852&gt;=4,G3852&gt;=4),"Juara",IF(AND(F3852&gt;=4,E3852&gt;=3),"Setia",IF(AND(E3852=5,F3852&lt;=2,G3852&gt;=3),"Berpotensi",IF(AND(E3852&lt;=3,E3852&gt;=2,F3852&gt;=3),"Rawan",IF(AND(E3852&lt;=2,F3852&lt;=2),"Tidur","Umum"))))))</f>
        <v/>
      </c>
    </row>
    <row r="3853">
      <c r="B3853">
        <f>IF(A3853="","",$B$1-MAXIFS(Donasi!$A$2:$A$20000,Donasi!$B$2:$B$20000,A3853))</f>
        <v/>
      </c>
      <c r="C3853">
        <f>IF(A3853="","",COUNTIF(Donasi!$B$2:$B$20000,A3853))</f>
        <v/>
      </c>
      <c r="D3853">
        <f>IF(A3853="","",SUMIF(Donasi!$B$2:$B$20000,A3853,Donasi!$C$2:$C$20000))</f>
        <v/>
      </c>
      <c r="E3853">
        <f>IF(A3853="","",6-CEILING(PERCENTRANK.INC($B$3:$B$6000,B3853,4)*5+0.000001,1))</f>
        <v/>
      </c>
      <c r="F3853">
        <f>IF(A3853="","",MAX(1,CEILING(PERCENTRANK.INC($C$3:$C$6000,C3853,4)*5+0.000001,1)))</f>
        <v/>
      </c>
      <c r="G3853">
        <f>IF(A3853="","",MAX(1,CEILING(PERCENTRANK.INC($D$3:$D$6000,D3853,4)*5+0.000001,1)))</f>
        <v/>
      </c>
      <c r="H3853">
        <f>IF(A3853="","",E3853&amp;F3853&amp;G3853)</f>
        <v/>
      </c>
      <c r="I3853">
        <f>IF(A3853="","",IF(AND(E3853&gt;=4,F3853&gt;=4,G3853&gt;=4),"Juara",IF(AND(F3853&gt;=4,E3853&gt;=3),"Setia",IF(AND(E3853=5,F3853&lt;=2,G3853&gt;=3),"Berpotensi",IF(AND(E3853&lt;=3,E3853&gt;=2,F3853&gt;=3),"Rawan",IF(AND(E3853&lt;=2,F3853&lt;=2),"Tidur","Umum"))))))</f>
        <v/>
      </c>
    </row>
    <row r="3854">
      <c r="B3854">
        <f>IF(A3854="","",$B$1-MAXIFS(Donasi!$A$2:$A$20000,Donasi!$B$2:$B$20000,A3854))</f>
        <v/>
      </c>
      <c r="C3854">
        <f>IF(A3854="","",COUNTIF(Donasi!$B$2:$B$20000,A3854))</f>
        <v/>
      </c>
      <c r="D3854">
        <f>IF(A3854="","",SUMIF(Donasi!$B$2:$B$20000,A3854,Donasi!$C$2:$C$20000))</f>
        <v/>
      </c>
      <c r="E3854">
        <f>IF(A3854="","",6-CEILING(PERCENTRANK.INC($B$3:$B$6000,B3854,4)*5+0.000001,1))</f>
        <v/>
      </c>
      <c r="F3854">
        <f>IF(A3854="","",MAX(1,CEILING(PERCENTRANK.INC($C$3:$C$6000,C3854,4)*5+0.000001,1)))</f>
        <v/>
      </c>
      <c r="G3854">
        <f>IF(A3854="","",MAX(1,CEILING(PERCENTRANK.INC($D$3:$D$6000,D3854,4)*5+0.000001,1)))</f>
        <v/>
      </c>
      <c r="H3854">
        <f>IF(A3854="","",E3854&amp;F3854&amp;G3854)</f>
        <v/>
      </c>
      <c r="I3854">
        <f>IF(A3854="","",IF(AND(E3854&gt;=4,F3854&gt;=4,G3854&gt;=4),"Juara",IF(AND(F3854&gt;=4,E3854&gt;=3),"Setia",IF(AND(E3854=5,F3854&lt;=2,G3854&gt;=3),"Berpotensi",IF(AND(E3854&lt;=3,E3854&gt;=2,F3854&gt;=3),"Rawan",IF(AND(E3854&lt;=2,F3854&lt;=2),"Tidur","Umum"))))))</f>
        <v/>
      </c>
    </row>
    <row r="3855">
      <c r="B3855">
        <f>IF(A3855="","",$B$1-MAXIFS(Donasi!$A$2:$A$20000,Donasi!$B$2:$B$20000,A3855))</f>
        <v/>
      </c>
      <c r="C3855">
        <f>IF(A3855="","",COUNTIF(Donasi!$B$2:$B$20000,A3855))</f>
        <v/>
      </c>
      <c r="D3855">
        <f>IF(A3855="","",SUMIF(Donasi!$B$2:$B$20000,A3855,Donasi!$C$2:$C$20000))</f>
        <v/>
      </c>
      <c r="E3855">
        <f>IF(A3855="","",6-CEILING(PERCENTRANK.INC($B$3:$B$6000,B3855,4)*5+0.000001,1))</f>
        <v/>
      </c>
      <c r="F3855">
        <f>IF(A3855="","",MAX(1,CEILING(PERCENTRANK.INC($C$3:$C$6000,C3855,4)*5+0.000001,1)))</f>
        <v/>
      </c>
      <c r="G3855">
        <f>IF(A3855="","",MAX(1,CEILING(PERCENTRANK.INC($D$3:$D$6000,D3855,4)*5+0.000001,1)))</f>
        <v/>
      </c>
      <c r="H3855">
        <f>IF(A3855="","",E3855&amp;F3855&amp;G3855)</f>
        <v/>
      </c>
      <c r="I3855">
        <f>IF(A3855="","",IF(AND(E3855&gt;=4,F3855&gt;=4,G3855&gt;=4),"Juara",IF(AND(F3855&gt;=4,E3855&gt;=3),"Setia",IF(AND(E3855=5,F3855&lt;=2,G3855&gt;=3),"Berpotensi",IF(AND(E3855&lt;=3,E3855&gt;=2,F3855&gt;=3),"Rawan",IF(AND(E3855&lt;=2,F3855&lt;=2),"Tidur","Umum"))))))</f>
        <v/>
      </c>
    </row>
    <row r="3856">
      <c r="B3856">
        <f>IF(A3856="","",$B$1-MAXIFS(Donasi!$A$2:$A$20000,Donasi!$B$2:$B$20000,A3856))</f>
        <v/>
      </c>
      <c r="C3856">
        <f>IF(A3856="","",COUNTIF(Donasi!$B$2:$B$20000,A3856))</f>
        <v/>
      </c>
      <c r="D3856">
        <f>IF(A3856="","",SUMIF(Donasi!$B$2:$B$20000,A3856,Donasi!$C$2:$C$20000))</f>
        <v/>
      </c>
      <c r="E3856">
        <f>IF(A3856="","",6-CEILING(PERCENTRANK.INC($B$3:$B$6000,B3856,4)*5+0.000001,1))</f>
        <v/>
      </c>
      <c r="F3856">
        <f>IF(A3856="","",MAX(1,CEILING(PERCENTRANK.INC($C$3:$C$6000,C3856,4)*5+0.000001,1)))</f>
        <v/>
      </c>
      <c r="G3856">
        <f>IF(A3856="","",MAX(1,CEILING(PERCENTRANK.INC($D$3:$D$6000,D3856,4)*5+0.000001,1)))</f>
        <v/>
      </c>
      <c r="H3856">
        <f>IF(A3856="","",E3856&amp;F3856&amp;G3856)</f>
        <v/>
      </c>
      <c r="I3856">
        <f>IF(A3856="","",IF(AND(E3856&gt;=4,F3856&gt;=4,G3856&gt;=4),"Juara",IF(AND(F3856&gt;=4,E3856&gt;=3),"Setia",IF(AND(E3856=5,F3856&lt;=2,G3856&gt;=3),"Berpotensi",IF(AND(E3856&lt;=3,E3856&gt;=2,F3856&gt;=3),"Rawan",IF(AND(E3856&lt;=2,F3856&lt;=2),"Tidur","Umum"))))))</f>
        <v/>
      </c>
    </row>
    <row r="3857">
      <c r="B3857">
        <f>IF(A3857="","",$B$1-MAXIFS(Donasi!$A$2:$A$20000,Donasi!$B$2:$B$20000,A3857))</f>
        <v/>
      </c>
      <c r="C3857">
        <f>IF(A3857="","",COUNTIF(Donasi!$B$2:$B$20000,A3857))</f>
        <v/>
      </c>
      <c r="D3857">
        <f>IF(A3857="","",SUMIF(Donasi!$B$2:$B$20000,A3857,Donasi!$C$2:$C$20000))</f>
        <v/>
      </c>
      <c r="E3857">
        <f>IF(A3857="","",6-CEILING(PERCENTRANK.INC($B$3:$B$6000,B3857,4)*5+0.000001,1))</f>
        <v/>
      </c>
      <c r="F3857">
        <f>IF(A3857="","",MAX(1,CEILING(PERCENTRANK.INC($C$3:$C$6000,C3857,4)*5+0.000001,1)))</f>
        <v/>
      </c>
      <c r="G3857">
        <f>IF(A3857="","",MAX(1,CEILING(PERCENTRANK.INC($D$3:$D$6000,D3857,4)*5+0.000001,1)))</f>
        <v/>
      </c>
      <c r="H3857">
        <f>IF(A3857="","",E3857&amp;F3857&amp;G3857)</f>
        <v/>
      </c>
      <c r="I3857">
        <f>IF(A3857="","",IF(AND(E3857&gt;=4,F3857&gt;=4,G3857&gt;=4),"Juara",IF(AND(F3857&gt;=4,E3857&gt;=3),"Setia",IF(AND(E3857=5,F3857&lt;=2,G3857&gt;=3),"Berpotensi",IF(AND(E3857&lt;=3,E3857&gt;=2,F3857&gt;=3),"Rawan",IF(AND(E3857&lt;=2,F3857&lt;=2),"Tidur","Umum"))))))</f>
        <v/>
      </c>
    </row>
    <row r="3858">
      <c r="B3858">
        <f>IF(A3858="","",$B$1-MAXIFS(Donasi!$A$2:$A$20000,Donasi!$B$2:$B$20000,A3858))</f>
        <v/>
      </c>
      <c r="C3858">
        <f>IF(A3858="","",COUNTIF(Donasi!$B$2:$B$20000,A3858))</f>
        <v/>
      </c>
      <c r="D3858">
        <f>IF(A3858="","",SUMIF(Donasi!$B$2:$B$20000,A3858,Donasi!$C$2:$C$20000))</f>
        <v/>
      </c>
      <c r="E3858">
        <f>IF(A3858="","",6-CEILING(PERCENTRANK.INC($B$3:$B$6000,B3858,4)*5+0.000001,1))</f>
        <v/>
      </c>
      <c r="F3858">
        <f>IF(A3858="","",MAX(1,CEILING(PERCENTRANK.INC($C$3:$C$6000,C3858,4)*5+0.000001,1)))</f>
        <v/>
      </c>
      <c r="G3858">
        <f>IF(A3858="","",MAX(1,CEILING(PERCENTRANK.INC($D$3:$D$6000,D3858,4)*5+0.000001,1)))</f>
        <v/>
      </c>
      <c r="H3858">
        <f>IF(A3858="","",E3858&amp;F3858&amp;G3858)</f>
        <v/>
      </c>
      <c r="I3858">
        <f>IF(A3858="","",IF(AND(E3858&gt;=4,F3858&gt;=4,G3858&gt;=4),"Juara",IF(AND(F3858&gt;=4,E3858&gt;=3),"Setia",IF(AND(E3858=5,F3858&lt;=2,G3858&gt;=3),"Berpotensi",IF(AND(E3858&lt;=3,E3858&gt;=2,F3858&gt;=3),"Rawan",IF(AND(E3858&lt;=2,F3858&lt;=2),"Tidur","Umum"))))))</f>
        <v/>
      </c>
    </row>
    <row r="3859">
      <c r="B3859">
        <f>IF(A3859="","",$B$1-MAXIFS(Donasi!$A$2:$A$20000,Donasi!$B$2:$B$20000,A3859))</f>
        <v/>
      </c>
      <c r="C3859">
        <f>IF(A3859="","",COUNTIF(Donasi!$B$2:$B$20000,A3859))</f>
        <v/>
      </c>
      <c r="D3859">
        <f>IF(A3859="","",SUMIF(Donasi!$B$2:$B$20000,A3859,Donasi!$C$2:$C$20000))</f>
        <v/>
      </c>
      <c r="E3859">
        <f>IF(A3859="","",6-CEILING(PERCENTRANK.INC($B$3:$B$6000,B3859,4)*5+0.000001,1))</f>
        <v/>
      </c>
      <c r="F3859">
        <f>IF(A3859="","",MAX(1,CEILING(PERCENTRANK.INC($C$3:$C$6000,C3859,4)*5+0.000001,1)))</f>
        <v/>
      </c>
      <c r="G3859">
        <f>IF(A3859="","",MAX(1,CEILING(PERCENTRANK.INC($D$3:$D$6000,D3859,4)*5+0.000001,1)))</f>
        <v/>
      </c>
      <c r="H3859">
        <f>IF(A3859="","",E3859&amp;F3859&amp;G3859)</f>
        <v/>
      </c>
      <c r="I3859">
        <f>IF(A3859="","",IF(AND(E3859&gt;=4,F3859&gt;=4,G3859&gt;=4),"Juara",IF(AND(F3859&gt;=4,E3859&gt;=3),"Setia",IF(AND(E3859=5,F3859&lt;=2,G3859&gt;=3),"Berpotensi",IF(AND(E3859&lt;=3,E3859&gt;=2,F3859&gt;=3),"Rawan",IF(AND(E3859&lt;=2,F3859&lt;=2),"Tidur","Umum"))))))</f>
        <v/>
      </c>
    </row>
    <row r="3860">
      <c r="B3860">
        <f>IF(A3860="","",$B$1-MAXIFS(Donasi!$A$2:$A$20000,Donasi!$B$2:$B$20000,A3860))</f>
        <v/>
      </c>
      <c r="C3860">
        <f>IF(A3860="","",COUNTIF(Donasi!$B$2:$B$20000,A3860))</f>
        <v/>
      </c>
      <c r="D3860">
        <f>IF(A3860="","",SUMIF(Donasi!$B$2:$B$20000,A3860,Donasi!$C$2:$C$20000))</f>
        <v/>
      </c>
      <c r="E3860">
        <f>IF(A3860="","",6-CEILING(PERCENTRANK.INC($B$3:$B$6000,B3860,4)*5+0.000001,1))</f>
        <v/>
      </c>
      <c r="F3860">
        <f>IF(A3860="","",MAX(1,CEILING(PERCENTRANK.INC($C$3:$C$6000,C3860,4)*5+0.000001,1)))</f>
        <v/>
      </c>
      <c r="G3860">
        <f>IF(A3860="","",MAX(1,CEILING(PERCENTRANK.INC($D$3:$D$6000,D3860,4)*5+0.000001,1)))</f>
        <v/>
      </c>
      <c r="H3860">
        <f>IF(A3860="","",E3860&amp;F3860&amp;G3860)</f>
        <v/>
      </c>
      <c r="I3860">
        <f>IF(A3860="","",IF(AND(E3860&gt;=4,F3860&gt;=4,G3860&gt;=4),"Juara",IF(AND(F3860&gt;=4,E3860&gt;=3),"Setia",IF(AND(E3860=5,F3860&lt;=2,G3860&gt;=3),"Berpotensi",IF(AND(E3860&lt;=3,E3860&gt;=2,F3860&gt;=3),"Rawan",IF(AND(E3860&lt;=2,F3860&lt;=2),"Tidur","Umum"))))))</f>
        <v/>
      </c>
    </row>
    <row r="3861">
      <c r="B3861">
        <f>IF(A3861="","",$B$1-MAXIFS(Donasi!$A$2:$A$20000,Donasi!$B$2:$B$20000,A3861))</f>
        <v/>
      </c>
      <c r="C3861">
        <f>IF(A3861="","",COUNTIF(Donasi!$B$2:$B$20000,A3861))</f>
        <v/>
      </c>
      <c r="D3861">
        <f>IF(A3861="","",SUMIF(Donasi!$B$2:$B$20000,A3861,Donasi!$C$2:$C$20000))</f>
        <v/>
      </c>
      <c r="E3861">
        <f>IF(A3861="","",6-CEILING(PERCENTRANK.INC($B$3:$B$6000,B3861,4)*5+0.000001,1))</f>
        <v/>
      </c>
      <c r="F3861">
        <f>IF(A3861="","",MAX(1,CEILING(PERCENTRANK.INC($C$3:$C$6000,C3861,4)*5+0.000001,1)))</f>
        <v/>
      </c>
      <c r="G3861">
        <f>IF(A3861="","",MAX(1,CEILING(PERCENTRANK.INC($D$3:$D$6000,D3861,4)*5+0.000001,1)))</f>
        <v/>
      </c>
      <c r="H3861">
        <f>IF(A3861="","",E3861&amp;F3861&amp;G3861)</f>
        <v/>
      </c>
      <c r="I3861">
        <f>IF(A3861="","",IF(AND(E3861&gt;=4,F3861&gt;=4,G3861&gt;=4),"Juara",IF(AND(F3861&gt;=4,E3861&gt;=3),"Setia",IF(AND(E3861=5,F3861&lt;=2,G3861&gt;=3),"Berpotensi",IF(AND(E3861&lt;=3,E3861&gt;=2,F3861&gt;=3),"Rawan",IF(AND(E3861&lt;=2,F3861&lt;=2),"Tidur","Umum"))))))</f>
        <v/>
      </c>
    </row>
    <row r="3862">
      <c r="B3862">
        <f>IF(A3862="","",$B$1-MAXIFS(Donasi!$A$2:$A$20000,Donasi!$B$2:$B$20000,A3862))</f>
        <v/>
      </c>
      <c r="C3862">
        <f>IF(A3862="","",COUNTIF(Donasi!$B$2:$B$20000,A3862))</f>
        <v/>
      </c>
      <c r="D3862">
        <f>IF(A3862="","",SUMIF(Donasi!$B$2:$B$20000,A3862,Donasi!$C$2:$C$20000))</f>
        <v/>
      </c>
      <c r="E3862">
        <f>IF(A3862="","",6-CEILING(PERCENTRANK.INC($B$3:$B$6000,B3862,4)*5+0.000001,1))</f>
        <v/>
      </c>
      <c r="F3862">
        <f>IF(A3862="","",MAX(1,CEILING(PERCENTRANK.INC($C$3:$C$6000,C3862,4)*5+0.000001,1)))</f>
        <v/>
      </c>
      <c r="G3862">
        <f>IF(A3862="","",MAX(1,CEILING(PERCENTRANK.INC($D$3:$D$6000,D3862,4)*5+0.000001,1)))</f>
        <v/>
      </c>
      <c r="H3862">
        <f>IF(A3862="","",E3862&amp;F3862&amp;G3862)</f>
        <v/>
      </c>
      <c r="I3862">
        <f>IF(A3862="","",IF(AND(E3862&gt;=4,F3862&gt;=4,G3862&gt;=4),"Juara",IF(AND(F3862&gt;=4,E3862&gt;=3),"Setia",IF(AND(E3862=5,F3862&lt;=2,G3862&gt;=3),"Berpotensi",IF(AND(E3862&lt;=3,E3862&gt;=2,F3862&gt;=3),"Rawan",IF(AND(E3862&lt;=2,F3862&lt;=2),"Tidur","Umum"))))))</f>
        <v/>
      </c>
    </row>
    <row r="3863">
      <c r="B3863">
        <f>IF(A3863="","",$B$1-MAXIFS(Donasi!$A$2:$A$20000,Donasi!$B$2:$B$20000,A3863))</f>
        <v/>
      </c>
      <c r="C3863">
        <f>IF(A3863="","",COUNTIF(Donasi!$B$2:$B$20000,A3863))</f>
        <v/>
      </c>
      <c r="D3863">
        <f>IF(A3863="","",SUMIF(Donasi!$B$2:$B$20000,A3863,Donasi!$C$2:$C$20000))</f>
        <v/>
      </c>
      <c r="E3863">
        <f>IF(A3863="","",6-CEILING(PERCENTRANK.INC($B$3:$B$6000,B3863,4)*5+0.000001,1))</f>
        <v/>
      </c>
      <c r="F3863">
        <f>IF(A3863="","",MAX(1,CEILING(PERCENTRANK.INC($C$3:$C$6000,C3863,4)*5+0.000001,1)))</f>
        <v/>
      </c>
      <c r="G3863">
        <f>IF(A3863="","",MAX(1,CEILING(PERCENTRANK.INC($D$3:$D$6000,D3863,4)*5+0.000001,1)))</f>
        <v/>
      </c>
      <c r="H3863">
        <f>IF(A3863="","",E3863&amp;F3863&amp;G3863)</f>
        <v/>
      </c>
      <c r="I3863">
        <f>IF(A3863="","",IF(AND(E3863&gt;=4,F3863&gt;=4,G3863&gt;=4),"Juara",IF(AND(F3863&gt;=4,E3863&gt;=3),"Setia",IF(AND(E3863=5,F3863&lt;=2,G3863&gt;=3),"Berpotensi",IF(AND(E3863&lt;=3,E3863&gt;=2,F3863&gt;=3),"Rawan",IF(AND(E3863&lt;=2,F3863&lt;=2),"Tidur","Umum"))))))</f>
        <v/>
      </c>
    </row>
    <row r="3864">
      <c r="B3864">
        <f>IF(A3864="","",$B$1-MAXIFS(Donasi!$A$2:$A$20000,Donasi!$B$2:$B$20000,A3864))</f>
        <v/>
      </c>
      <c r="C3864">
        <f>IF(A3864="","",COUNTIF(Donasi!$B$2:$B$20000,A3864))</f>
        <v/>
      </c>
      <c r="D3864">
        <f>IF(A3864="","",SUMIF(Donasi!$B$2:$B$20000,A3864,Donasi!$C$2:$C$20000))</f>
        <v/>
      </c>
      <c r="E3864">
        <f>IF(A3864="","",6-CEILING(PERCENTRANK.INC($B$3:$B$6000,B3864,4)*5+0.000001,1))</f>
        <v/>
      </c>
      <c r="F3864">
        <f>IF(A3864="","",MAX(1,CEILING(PERCENTRANK.INC($C$3:$C$6000,C3864,4)*5+0.000001,1)))</f>
        <v/>
      </c>
      <c r="G3864">
        <f>IF(A3864="","",MAX(1,CEILING(PERCENTRANK.INC($D$3:$D$6000,D3864,4)*5+0.000001,1)))</f>
        <v/>
      </c>
      <c r="H3864">
        <f>IF(A3864="","",E3864&amp;F3864&amp;G3864)</f>
        <v/>
      </c>
      <c r="I3864">
        <f>IF(A3864="","",IF(AND(E3864&gt;=4,F3864&gt;=4,G3864&gt;=4),"Juara",IF(AND(F3864&gt;=4,E3864&gt;=3),"Setia",IF(AND(E3864=5,F3864&lt;=2,G3864&gt;=3),"Berpotensi",IF(AND(E3864&lt;=3,E3864&gt;=2,F3864&gt;=3),"Rawan",IF(AND(E3864&lt;=2,F3864&lt;=2),"Tidur","Umum"))))))</f>
        <v/>
      </c>
    </row>
    <row r="3865">
      <c r="B3865">
        <f>IF(A3865="","",$B$1-MAXIFS(Donasi!$A$2:$A$20000,Donasi!$B$2:$B$20000,A3865))</f>
        <v/>
      </c>
      <c r="C3865">
        <f>IF(A3865="","",COUNTIF(Donasi!$B$2:$B$20000,A3865))</f>
        <v/>
      </c>
      <c r="D3865">
        <f>IF(A3865="","",SUMIF(Donasi!$B$2:$B$20000,A3865,Donasi!$C$2:$C$20000))</f>
        <v/>
      </c>
      <c r="E3865">
        <f>IF(A3865="","",6-CEILING(PERCENTRANK.INC($B$3:$B$6000,B3865,4)*5+0.000001,1))</f>
        <v/>
      </c>
      <c r="F3865">
        <f>IF(A3865="","",MAX(1,CEILING(PERCENTRANK.INC($C$3:$C$6000,C3865,4)*5+0.000001,1)))</f>
        <v/>
      </c>
      <c r="G3865">
        <f>IF(A3865="","",MAX(1,CEILING(PERCENTRANK.INC($D$3:$D$6000,D3865,4)*5+0.000001,1)))</f>
        <v/>
      </c>
      <c r="H3865">
        <f>IF(A3865="","",E3865&amp;F3865&amp;G3865)</f>
        <v/>
      </c>
      <c r="I3865">
        <f>IF(A3865="","",IF(AND(E3865&gt;=4,F3865&gt;=4,G3865&gt;=4),"Juara",IF(AND(F3865&gt;=4,E3865&gt;=3),"Setia",IF(AND(E3865=5,F3865&lt;=2,G3865&gt;=3),"Berpotensi",IF(AND(E3865&lt;=3,E3865&gt;=2,F3865&gt;=3),"Rawan",IF(AND(E3865&lt;=2,F3865&lt;=2),"Tidur","Umum"))))))</f>
        <v/>
      </c>
    </row>
    <row r="3866">
      <c r="B3866">
        <f>IF(A3866="","",$B$1-MAXIFS(Donasi!$A$2:$A$20000,Donasi!$B$2:$B$20000,A3866))</f>
        <v/>
      </c>
      <c r="C3866">
        <f>IF(A3866="","",COUNTIF(Donasi!$B$2:$B$20000,A3866))</f>
        <v/>
      </c>
      <c r="D3866">
        <f>IF(A3866="","",SUMIF(Donasi!$B$2:$B$20000,A3866,Donasi!$C$2:$C$20000))</f>
        <v/>
      </c>
      <c r="E3866">
        <f>IF(A3866="","",6-CEILING(PERCENTRANK.INC($B$3:$B$6000,B3866,4)*5+0.000001,1))</f>
        <v/>
      </c>
      <c r="F3866">
        <f>IF(A3866="","",MAX(1,CEILING(PERCENTRANK.INC($C$3:$C$6000,C3866,4)*5+0.000001,1)))</f>
        <v/>
      </c>
      <c r="G3866">
        <f>IF(A3866="","",MAX(1,CEILING(PERCENTRANK.INC($D$3:$D$6000,D3866,4)*5+0.000001,1)))</f>
        <v/>
      </c>
      <c r="H3866">
        <f>IF(A3866="","",E3866&amp;F3866&amp;G3866)</f>
        <v/>
      </c>
      <c r="I3866">
        <f>IF(A3866="","",IF(AND(E3866&gt;=4,F3866&gt;=4,G3866&gt;=4),"Juara",IF(AND(F3866&gt;=4,E3866&gt;=3),"Setia",IF(AND(E3866=5,F3866&lt;=2,G3866&gt;=3),"Berpotensi",IF(AND(E3866&lt;=3,E3866&gt;=2,F3866&gt;=3),"Rawan",IF(AND(E3866&lt;=2,F3866&lt;=2),"Tidur","Umum"))))))</f>
        <v/>
      </c>
    </row>
    <row r="3867">
      <c r="B3867">
        <f>IF(A3867="","",$B$1-MAXIFS(Donasi!$A$2:$A$20000,Donasi!$B$2:$B$20000,A3867))</f>
        <v/>
      </c>
      <c r="C3867">
        <f>IF(A3867="","",COUNTIF(Donasi!$B$2:$B$20000,A3867))</f>
        <v/>
      </c>
      <c r="D3867">
        <f>IF(A3867="","",SUMIF(Donasi!$B$2:$B$20000,A3867,Donasi!$C$2:$C$20000))</f>
        <v/>
      </c>
      <c r="E3867">
        <f>IF(A3867="","",6-CEILING(PERCENTRANK.INC($B$3:$B$6000,B3867,4)*5+0.000001,1))</f>
        <v/>
      </c>
      <c r="F3867">
        <f>IF(A3867="","",MAX(1,CEILING(PERCENTRANK.INC($C$3:$C$6000,C3867,4)*5+0.000001,1)))</f>
        <v/>
      </c>
      <c r="G3867">
        <f>IF(A3867="","",MAX(1,CEILING(PERCENTRANK.INC($D$3:$D$6000,D3867,4)*5+0.000001,1)))</f>
        <v/>
      </c>
      <c r="H3867">
        <f>IF(A3867="","",E3867&amp;F3867&amp;G3867)</f>
        <v/>
      </c>
      <c r="I3867">
        <f>IF(A3867="","",IF(AND(E3867&gt;=4,F3867&gt;=4,G3867&gt;=4),"Juara",IF(AND(F3867&gt;=4,E3867&gt;=3),"Setia",IF(AND(E3867=5,F3867&lt;=2,G3867&gt;=3),"Berpotensi",IF(AND(E3867&lt;=3,E3867&gt;=2,F3867&gt;=3),"Rawan",IF(AND(E3867&lt;=2,F3867&lt;=2),"Tidur","Umum"))))))</f>
        <v/>
      </c>
    </row>
    <row r="3868">
      <c r="B3868">
        <f>IF(A3868="","",$B$1-MAXIFS(Donasi!$A$2:$A$20000,Donasi!$B$2:$B$20000,A3868))</f>
        <v/>
      </c>
      <c r="C3868">
        <f>IF(A3868="","",COUNTIF(Donasi!$B$2:$B$20000,A3868))</f>
        <v/>
      </c>
      <c r="D3868">
        <f>IF(A3868="","",SUMIF(Donasi!$B$2:$B$20000,A3868,Donasi!$C$2:$C$20000))</f>
        <v/>
      </c>
      <c r="E3868">
        <f>IF(A3868="","",6-CEILING(PERCENTRANK.INC($B$3:$B$6000,B3868,4)*5+0.000001,1))</f>
        <v/>
      </c>
      <c r="F3868">
        <f>IF(A3868="","",MAX(1,CEILING(PERCENTRANK.INC($C$3:$C$6000,C3868,4)*5+0.000001,1)))</f>
        <v/>
      </c>
      <c r="G3868">
        <f>IF(A3868="","",MAX(1,CEILING(PERCENTRANK.INC($D$3:$D$6000,D3868,4)*5+0.000001,1)))</f>
        <v/>
      </c>
      <c r="H3868">
        <f>IF(A3868="","",E3868&amp;F3868&amp;G3868)</f>
        <v/>
      </c>
      <c r="I3868">
        <f>IF(A3868="","",IF(AND(E3868&gt;=4,F3868&gt;=4,G3868&gt;=4),"Juara",IF(AND(F3868&gt;=4,E3868&gt;=3),"Setia",IF(AND(E3868=5,F3868&lt;=2,G3868&gt;=3),"Berpotensi",IF(AND(E3868&lt;=3,E3868&gt;=2,F3868&gt;=3),"Rawan",IF(AND(E3868&lt;=2,F3868&lt;=2),"Tidur","Umum"))))))</f>
        <v/>
      </c>
    </row>
    <row r="3869">
      <c r="B3869">
        <f>IF(A3869="","",$B$1-MAXIFS(Donasi!$A$2:$A$20000,Donasi!$B$2:$B$20000,A3869))</f>
        <v/>
      </c>
      <c r="C3869">
        <f>IF(A3869="","",COUNTIF(Donasi!$B$2:$B$20000,A3869))</f>
        <v/>
      </c>
      <c r="D3869">
        <f>IF(A3869="","",SUMIF(Donasi!$B$2:$B$20000,A3869,Donasi!$C$2:$C$20000))</f>
        <v/>
      </c>
      <c r="E3869">
        <f>IF(A3869="","",6-CEILING(PERCENTRANK.INC($B$3:$B$6000,B3869,4)*5+0.000001,1))</f>
        <v/>
      </c>
      <c r="F3869">
        <f>IF(A3869="","",MAX(1,CEILING(PERCENTRANK.INC($C$3:$C$6000,C3869,4)*5+0.000001,1)))</f>
        <v/>
      </c>
      <c r="G3869">
        <f>IF(A3869="","",MAX(1,CEILING(PERCENTRANK.INC($D$3:$D$6000,D3869,4)*5+0.000001,1)))</f>
        <v/>
      </c>
      <c r="H3869">
        <f>IF(A3869="","",E3869&amp;F3869&amp;G3869)</f>
        <v/>
      </c>
      <c r="I3869">
        <f>IF(A3869="","",IF(AND(E3869&gt;=4,F3869&gt;=4,G3869&gt;=4),"Juara",IF(AND(F3869&gt;=4,E3869&gt;=3),"Setia",IF(AND(E3869=5,F3869&lt;=2,G3869&gt;=3),"Berpotensi",IF(AND(E3869&lt;=3,E3869&gt;=2,F3869&gt;=3),"Rawan",IF(AND(E3869&lt;=2,F3869&lt;=2),"Tidur","Umum"))))))</f>
        <v/>
      </c>
    </row>
    <row r="3870">
      <c r="B3870">
        <f>IF(A3870="","",$B$1-MAXIFS(Donasi!$A$2:$A$20000,Donasi!$B$2:$B$20000,A3870))</f>
        <v/>
      </c>
      <c r="C3870">
        <f>IF(A3870="","",COUNTIF(Donasi!$B$2:$B$20000,A3870))</f>
        <v/>
      </c>
      <c r="D3870">
        <f>IF(A3870="","",SUMIF(Donasi!$B$2:$B$20000,A3870,Donasi!$C$2:$C$20000))</f>
        <v/>
      </c>
      <c r="E3870">
        <f>IF(A3870="","",6-CEILING(PERCENTRANK.INC($B$3:$B$6000,B3870,4)*5+0.000001,1))</f>
        <v/>
      </c>
      <c r="F3870">
        <f>IF(A3870="","",MAX(1,CEILING(PERCENTRANK.INC($C$3:$C$6000,C3870,4)*5+0.000001,1)))</f>
        <v/>
      </c>
      <c r="G3870">
        <f>IF(A3870="","",MAX(1,CEILING(PERCENTRANK.INC($D$3:$D$6000,D3870,4)*5+0.000001,1)))</f>
        <v/>
      </c>
      <c r="H3870">
        <f>IF(A3870="","",E3870&amp;F3870&amp;G3870)</f>
        <v/>
      </c>
      <c r="I3870">
        <f>IF(A3870="","",IF(AND(E3870&gt;=4,F3870&gt;=4,G3870&gt;=4),"Juara",IF(AND(F3870&gt;=4,E3870&gt;=3),"Setia",IF(AND(E3870=5,F3870&lt;=2,G3870&gt;=3),"Berpotensi",IF(AND(E3870&lt;=3,E3870&gt;=2,F3870&gt;=3),"Rawan",IF(AND(E3870&lt;=2,F3870&lt;=2),"Tidur","Umum"))))))</f>
        <v/>
      </c>
    </row>
    <row r="3871">
      <c r="B3871">
        <f>IF(A3871="","",$B$1-MAXIFS(Donasi!$A$2:$A$20000,Donasi!$B$2:$B$20000,A3871))</f>
        <v/>
      </c>
      <c r="C3871">
        <f>IF(A3871="","",COUNTIF(Donasi!$B$2:$B$20000,A3871))</f>
        <v/>
      </c>
      <c r="D3871">
        <f>IF(A3871="","",SUMIF(Donasi!$B$2:$B$20000,A3871,Donasi!$C$2:$C$20000))</f>
        <v/>
      </c>
      <c r="E3871">
        <f>IF(A3871="","",6-CEILING(PERCENTRANK.INC($B$3:$B$6000,B3871,4)*5+0.000001,1))</f>
        <v/>
      </c>
      <c r="F3871">
        <f>IF(A3871="","",MAX(1,CEILING(PERCENTRANK.INC($C$3:$C$6000,C3871,4)*5+0.000001,1)))</f>
        <v/>
      </c>
      <c r="G3871">
        <f>IF(A3871="","",MAX(1,CEILING(PERCENTRANK.INC($D$3:$D$6000,D3871,4)*5+0.000001,1)))</f>
        <v/>
      </c>
      <c r="H3871">
        <f>IF(A3871="","",E3871&amp;F3871&amp;G3871)</f>
        <v/>
      </c>
      <c r="I3871">
        <f>IF(A3871="","",IF(AND(E3871&gt;=4,F3871&gt;=4,G3871&gt;=4),"Juara",IF(AND(F3871&gt;=4,E3871&gt;=3),"Setia",IF(AND(E3871=5,F3871&lt;=2,G3871&gt;=3),"Berpotensi",IF(AND(E3871&lt;=3,E3871&gt;=2,F3871&gt;=3),"Rawan",IF(AND(E3871&lt;=2,F3871&lt;=2),"Tidur","Umum"))))))</f>
        <v/>
      </c>
    </row>
    <row r="3872">
      <c r="B3872">
        <f>IF(A3872="","",$B$1-MAXIFS(Donasi!$A$2:$A$20000,Donasi!$B$2:$B$20000,A3872))</f>
        <v/>
      </c>
      <c r="C3872">
        <f>IF(A3872="","",COUNTIF(Donasi!$B$2:$B$20000,A3872))</f>
        <v/>
      </c>
      <c r="D3872">
        <f>IF(A3872="","",SUMIF(Donasi!$B$2:$B$20000,A3872,Donasi!$C$2:$C$20000))</f>
        <v/>
      </c>
      <c r="E3872">
        <f>IF(A3872="","",6-CEILING(PERCENTRANK.INC($B$3:$B$6000,B3872,4)*5+0.000001,1))</f>
        <v/>
      </c>
      <c r="F3872">
        <f>IF(A3872="","",MAX(1,CEILING(PERCENTRANK.INC($C$3:$C$6000,C3872,4)*5+0.000001,1)))</f>
        <v/>
      </c>
      <c r="G3872">
        <f>IF(A3872="","",MAX(1,CEILING(PERCENTRANK.INC($D$3:$D$6000,D3872,4)*5+0.000001,1)))</f>
        <v/>
      </c>
      <c r="H3872">
        <f>IF(A3872="","",E3872&amp;F3872&amp;G3872)</f>
        <v/>
      </c>
      <c r="I3872">
        <f>IF(A3872="","",IF(AND(E3872&gt;=4,F3872&gt;=4,G3872&gt;=4),"Juara",IF(AND(F3872&gt;=4,E3872&gt;=3),"Setia",IF(AND(E3872=5,F3872&lt;=2,G3872&gt;=3),"Berpotensi",IF(AND(E3872&lt;=3,E3872&gt;=2,F3872&gt;=3),"Rawan",IF(AND(E3872&lt;=2,F3872&lt;=2),"Tidur","Umum"))))))</f>
        <v/>
      </c>
    </row>
    <row r="3873">
      <c r="B3873">
        <f>IF(A3873="","",$B$1-MAXIFS(Donasi!$A$2:$A$20000,Donasi!$B$2:$B$20000,A3873))</f>
        <v/>
      </c>
      <c r="C3873">
        <f>IF(A3873="","",COUNTIF(Donasi!$B$2:$B$20000,A3873))</f>
        <v/>
      </c>
      <c r="D3873">
        <f>IF(A3873="","",SUMIF(Donasi!$B$2:$B$20000,A3873,Donasi!$C$2:$C$20000))</f>
        <v/>
      </c>
      <c r="E3873">
        <f>IF(A3873="","",6-CEILING(PERCENTRANK.INC($B$3:$B$6000,B3873,4)*5+0.000001,1))</f>
        <v/>
      </c>
      <c r="F3873">
        <f>IF(A3873="","",MAX(1,CEILING(PERCENTRANK.INC($C$3:$C$6000,C3873,4)*5+0.000001,1)))</f>
        <v/>
      </c>
      <c r="G3873">
        <f>IF(A3873="","",MAX(1,CEILING(PERCENTRANK.INC($D$3:$D$6000,D3873,4)*5+0.000001,1)))</f>
        <v/>
      </c>
      <c r="H3873">
        <f>IF(A3873="","",E3873&amp;F3873&amp;G3873)</f>
        <v/>
      </c>
      <c r="I3873">
        <f>IF(A3873="","",IF(AND(E3873&gt;=4,F3873&gt;=4,G3873&gt;=4),"Juara",IF(AND(F3873&gt;=4,E3873&gt;=3),"Setia",IF(AND(E3873=5,F3873&lt;=2,G3873&gt;=3),"Berpotensi",IF(AND(E3873&lt;=3,E3873&gt;=2,F3873&gt;=3),"Rawan",IF(AND(E3873&lt;=2,F3873&lt;=2),"Tidur","Umum"))))))</f>
        <v/>
      </c>
    </row>
    <row r="3874">
      <c r="B3874">
        <f>IF(A3874="","",$B$1-MAXIFS(Donasi!$A$2:$A$20000,Donasi!$B$2:$B$20000,A3874))</f>
        <v/>
      </c>
      <c r="C3874">
        <f>IF(A3874="","",COUNTIF(Donasi!$B$2:$B$20000,A3874))</f>
        <v/>
      </c>
      <c r="D3874">
        <f>IF(A3874="","",SUMIF(Donasi!$B$2:$B$20000,A3874,Donasi!$C$2:$C$20000))</f>
        <v/>
      </c>
      <c r="E3874">
        <f>IF(A3874="","",6-CEILING(PERCENTRANK.INC($B$3:$B$6000,B3874,4)*5+0.000001,1))</f>
        <v/>
      </c>
      <c r="F3874">
        <f>IF(A3874="","",MAX(1,CEILING(PERCENTRANK.INC($C$3:$C$6000,C3874,4)*5+0.000001,1)))</f>
        <v/>
      </c>
      <c r="G3874">
        <f>IF(A3874="","",MAX(1,CEILING(PERCENTRANK.INC($D$3:$D$6000,D3874,4)*5+0.000001,1)))</f>
        <v/>
      </c>
      <c r="H3874">
        <f>IF(A3874="","",E3874&amp;F3874&amp;G3874)</f>
        <v/>
      </c>
      <c r="I3874">
        <f>IF(A3874="","",IF(AND(E3874&gt;=4,F3874&gt;=4,G3874&gt;=4),"Juara",IF(AND(F3874&gt;=4,E3874&gt;=3),"Setia",IF(AND(E3874=5,F3874&lt;=2,G3874&gt;=3),"Berpotensi",IF(AND(E3874&lt;=3,E3874&gt;=2,F3874&gt;=3),"Rawan",IF(AND(E3874&lt;=2,F3874&lt;=2),"Tidur","Umum"))))))</f>
        <v/>
      </c>
    </row>
    <row r="3875">
      <c r="B3875">
        <f>IF(A3875="","",$B$1-MAXIFS(Donasi!$A$2:$A$20000,Donasi!$B$2:$B$20000,A3875))</f>
        <v/>
      </c>
      <c r="C3875">
        <f>IF(A3875="","",COUNTIF(Donasi!$B$2:$B$20000,A3875))</f>
        <v/>
      </c>
      <c r="D3875">
        <f>IF(A3875="","",SUMIF(Donasi!$B$2:$B$20000,A3875,Donasi!$C$2:$C$20000))</f>
        <v/>
      </c>
      <c r="E3875">
        <f>IF(A3875="","",6-CEILING(PERCENTRANK.INC($B$3:$B$6000,B3875,4)*5+0.000001,1))</f>
        <v/>
      </c>
      <c r="F3875">
        <f>IF(A3875="","",MAX(1,CEILING(PERCENTRANK.INC($C$3:$C$6000,C3875,4)*5+0.000001,1)))</f>
        <v/>
      </c>
      <c r="G3875">
        <f>IF(A3875="","",MAX(1,CEILING(PERCENTRANK.INC($D$3:$D$6000,D3875,4)*5+0.000001,1)))</f>
        <v/>
      </c>
      <c r="H3875">
        <f>IF(A3875="","",E3875&amp;F3875&amp;G3875)</f>
        <v/>
      </c>
      <c r="I3875">
        <f>IF(A3875="","",IF(AND(E3875&gt;=4,F3875&gt;=4,G3875&gt;=4),"Juara",IF(AND(F3875&gt;=4,E3875&gt;=3),"Setia",IF(AND(E3875=5,F3875&lt;=2,G3875&gt;=3),"Berpotensi",IF(AND(E3875&lt;=3,E3875&gt;=2,F3875&gt;=3),"Rawan",IF(AND(E3875&lt;=2,F3875&lt;=2),"Tidur","Umum"))))))</f>
        <v/>
      </c>
    </row>
    <row r="3876">
      <c r="B3876">
        <f>IF(A3876="","",$B$1-MAXIFS(Donasi!$A$2:$A$20000,Donasi!$B$2:$B$20000,A3876))</f>
        <v/>
      </c>
      <c r="C3876">
        <f>IF(A3876="","",COUNTIF(Donasi!$B$2:$B$20000,A3876))</f>
        <v/>
      </c>
      <c r="D3876">
        <f>IF(A3876="","",SUMIF(Donasi!$B$2:$B$20000,A3876,Donasi!$C$2:$C$20000))</f>
        <v/>
      </c>
      <c r="E3876">
        <f>IF(A3876="","",6-CEILING(PERCENTRANK.INC($B$3:$B$6000,B3876,4)*5+0.000001,1))</f>
        <v/>
      </c>
      <c r="F3876">
        <f>IF(A3876="","",MAX(1,CEILING(PERCENTRANK.INC($C$3:$C$6000,C3876,4)*5+0.000001,1)))</f>
        <v/>
      </c>
      <c r="G3876">
        <f>IF(A3876="","",MAX(1,CEILING(PERCENTRANK.INC($D$3:$D$6000,D3876,4)*5+0.000001,1)))</f>
        <v/>
      </c>
      <c r="H3876">
        <f>IF(A3876="","",E3876&amp;F3876&amp;G3876)</f>
        <v/>
      </c>
      <c r="I3876">
        <f>IF(A3876="","",IF(AND(E3876&gt;=4,F3876&gt;=4,G3876&gt;=4),"Juara",IF(AND(F3876&gt;=4,E3876&gt;=3),"Setia",IF(AND(E3876=5,F3876&lt;=2,G3876&gt;=3),"Berpotensi",IF(AND(E3876&lt;=3,E3876&gt;=2,F3876&gt;=3),"Rawan",IF(AND(E3876&lt;=2,F3876&lt;=2),"Tidur","Umum"))))))</f>
        <v/>
      </c>
    </row>
    <row r="3877">
      <c r="B3877">
        <f>IF(A3877="","",$B$1-MAXIFS(Donasi!$A$2:$A$20000,Donasi!$B$2:$B$20000,A3877))</f>
        <v/>
      </c>
      <c r="C3877">
        <f>IF(A3877="","",COUNTIF(Donasi!$B$2:$B$20000,A3877))</f>
        <v/>
      </c>
      <c r="D3877">
        <f>IF(A3877="","",SUMIF(Donasi!$B$2:$B$20000,A3877,Donasi!$C$2:$C$20000))</f>
        <v/>
      </c>
      <c r="E3877">
        <f>IF(A3877="","",6-CEILING(PERCENTRANK.INC($B$3:$B$6000,B3877,4)*5+0.000001,1))</f>
        <v/>
      </c>
      <c r="F3877">
        <f>IF(A3877="","",MAX(1,CEILING(PERCENTRANK.INC($C$3:$C$6000,C3877,4)*5+0.000001,1)))</f>
        <v/>
      </c>
      <c r="G3877">
        <f>IF(A3877="","",MAX(1,CEILING(PERCENTRANK.INC($D$3:$D$6000,D3877,4)*5+0.000001,1)))</f>
        <v/>
      </c>
      <c r="H3877">
        <f>IF(A3877="","",E3877&amp;F3877&amp;G3877)</f>
        <v/>
      </c>
      <c r="I3877">
        <f>IF(A3877="","",IF(AND(E3877&gt;=4,F3877&gt;=4,G3877&gt;=4),"Juara",IF(AND(F3877&gt;=4,E3877&gt;=3),"Setia",IF(AND(E3877=5,F3877&lt;=2,G3877&gt;=3),"Berpotensi",IF(AND(E3877&lt;=3,E3877&gt;=2,F3877&gt;=3),"Rawan",IF(AND(E3877&lt;=2,F3877&lt;=2),"Tidur","Umum"))))))</f>
        <v/>
      </c>
    </row>
    <row r="3878">
      <c r="B3878">
        <f>IF(A3878="","",$B$1-MAXIFS(Donasi!$A$2:$A$20000,Donasi!$B$2:$B$20000,A3878))</f>
        <v/>
      </c>
      <c r="C3878">
        <f>IF(A3878="","",COUNTIF(Donasi!$B$2:$B$20000,A3878))</f>
        <v/>
      </c>
      <c r="D3878">
        <f>IF(A3878="","",SUMIF(Donasi!$B$2:$B$20000,A3878,Donasi!$C$2:$C$20000))</f>
        <v/>
      </c>
      <c r="E3878">
        <f>IF(A3878="","",6-CEILING(PERCENTRANK.INC($B$3:$B$6000,B3878,4)*5+0.000001,1))</f>
        <v/>
      </c>
      <c r="F3878">
        <f>IF(A3878="","",MAX(1,CEILING(PERCENTRANK.INC($C$3:$C$6000,C3878,4)*5+0.000001,1)))</f>
        <v/>
      </c>
      <c r="G3878">
        <f>IF(A3878="","",MAX(1,CEILING(PERCENTRANK.INC($D$3:$D$6000,D3878,4)*5+0.000001,1)))</f>
        <v/>
      </c>
      <c r="H3878">
        <f>IF(A3878="","",E3878&amp;F3878&amp;G3878)</f>
        <v/>
      </c>
      <c r="I3878">
        <f>IF(A3878="","",IF(AND(E3878&gt;=4,F3878&gt;=4,G3878&gt;=4),"Juara",IF(AND(F3878&gt;=4,E3878&gt;=3),"Setia",IF(AND(E3878=5,F3878&lt;=2,G3878&gt;=3),"Berpotensi",IF(AND(E3878&lt;=3,E3878&gt;=2,F3878&gt;=3),"Rawan",IF(AND(E3878&lt;=2,F3878&lt;=2),"Tidur","Umum"))))))</f>
        <v/>
      </c>
    </row>
    <row r="3879">
      <c r="B3879">
        <f>IF(A3879="","",$B$1-MAXIFS(Donasi!$A$2:$A$20000,Donasi!$B$2:$B$20000,A3879))</f>
        <v/>
      </c>
      <c r="C3879">
        <f>IF(A3879="","",COUNTIF(Donasi!$B$2:$B$20000,A3879))</f>
        <v/>
      </c>
      <c r="D3879">
        <f>IF(A3879="","",SUMIF(Donasi!$B$2:$B$20000,A3879,Donasi!$C$2:$C$20000))</f>
        <v/>
      </c>
      <c r="E3879">
        <f>IF(A3879="","",6-CEILING(PERCENTRANK.INC($B$3:$B$6000,B3879,4)*5+0.000001,1))</f>
        <v/>
      </c>
      <c r="F3879">
        <f>IF(A3879="","",MAX(1,CEILING(PERCENTRANK.INC($C$3:$C$6000,C3879,4)*5+0.000001,1)))</f>
        <v/>
      </c>
      <c r="G3879">
        <f>IF(A3879="","",MAX(1,CEILING(PERCENTRANK.INC($D$3:$D$6000,D3879,4)*5+0.000001,1)))</f>
        <v/>
      </c>
      <c r="H3879">
        <f>IF(A3879="","",E3879&amp;F3879&amp;G3879)</f>
        <v/>
      </c>
      <c r="I3879">
        <f>IF(A3879="","",IF(AND(E3879&gt;=4,F3879&gt;=4,G3879&gt;=4),"Juara",IF(AND(F3879&gt;=4,E3879&gt;=3),"Setia",IF(AND(E3879=5,F3879&lt;=2,G3879&gt;=3),"Berpotensi",IF(AND(E3879&lt;=3,E3879&gt;=2,F3879&gt;=3),"Rawan",IF(AND(E3879&lt;=2,F3879&lt;=2),"Tidur","Umum"))))))</f>
        <v/>
      </c>
    </row>
    <row r="3880">
      <c r="B3880">
        <f>IF(A3880="","",$B$1-MAXIFS(Donasi!$A$2:$A$20000,Donasi!$B$2:$B$20000,A3880))</f>
        <v/>
      </c>
      <c r="C3880">
        <f>IF(A3880="","",COUNTIF(Donasi!$B$2:$B$20000,A3880))</f>
        <v/>
      </c>
      <c r="D3880">
        <f>IF(A3880="","",SUMIF(Donasi!$B$2:$B$20000,A3880,Donasi!$C$2:$C$20000))</f>
        <v/>
      </c>
      <c r="E3880">
        <f>IF(A3880="","",6-CEILING(PERCENTRANK.INC($B$3:$B$6000,B3880,4)*5+0.000001,1))</f>
        <v/>
      </c>
      <c r="F3880">
        <f>IF(A3880="","",MAX(1,CEILING(PERCENTRANK.INC($C$3:$C$6000,C3880,4)*5+0.000001,1)))</f>
        <v/>
      </c>
      <c r="G3880">
        <f>IF(A3880="","",MAX(1,CEILING(PERCENTRANK.INC($D$3:$D$6000,D3880,4)*5+0.000001,1)))</f>
        <v/>
      </c>
      <c r="H3880">
        <f>IF(A3880="","",E3880&amp;F3880&amp;G3880)</f>
        <v/>
      </c>
      <c r="I3880">
        <f>IF(A3880="","",IF(AND(E3880&gt;=4,F3880&gt;=4,G3880&gt;=4),"Juara",IF(AND(F3880&gt;=4,E3880&gt;=3),"Setia",IF(AND(E3880=5,F3880&lt;=2,G3880&gt;=3),"Berpotensi",IF(AND(E3880&lt;=3,E3880&gt;=2,F3880&gt;=3),"Rawan",IF(AND(E3880&lt;=2,F3880&lt;=2),"Tidur","Umum"))))))</f>
        <v/>
      </c>
    </row>
    <row r="3881">
      <c r="B3881">
        <f>IF(A3881="","",$B$1-MAXIFS(Donasi!$A$2:$A$20000,Donasi!$B$2:$B$20000,A3881))</f>
        <v/>
      </c>
      <c r="C3881">
        <f>IF(A3881="","",COUNTIF(Donasi!$B$2:$B$20000,A3881))</f>
        <v/>
      </c>
      <c r="D3881">
        <f>IF(A3881="","",SUMIF(Donasi!$B$2:$B$20000,A3881,Donasi!$C$2:$C$20000))</f>
        <v/>
      </c>
      <c r="E3881">
        <f>IF(A3881="","",6-CEILING(PERCENTRANK.INC($B$3:$B$6000,B3881,4)*5+0.000001,1))</f>
        <v/>
      </c>
      <c r="F3881">
        <f>IF(A3881="","",MAX(1,CEILING(PERCENTRANK.INC($C$3:$C$6000,C3881,4)*5+0.000001,1)))</f>
        <v/>
      </c>
      <c r="G3881">
        <f>IF(A3881="","",MAX(1,CEILING(PERCENTRANK.INC($D$3:$D$6000,D3881,4)*5+0.000001,1)))</f>
        <v/>
      </c>
      <c r="H3881">
        <f>IF(A3881="","",E3881&amp;F3881&amp;G3881)</f>
        <v/>
      </c>
      <c r="I3881">
        <f>IF(A3881="","",IF(AND(E3881&gt;=4,F3881&gt;=4,G3881&gt;=4),"Juara",IF(AND(F3881&gt;=4,E3881&gt;=3),"Setia",IF(AND(E3881=5,F3881&lt;=2,G3881&gt;=3),"Berpotensi",IF(AND(E3881&lt;=3,E3881&gt;=2,F3881&gt;=3),"Rawan",IF(AND(E3881&lt;=2,F3881&lt;=2),"Tidur","Umum"))))))</f>
        <v/>
      </c>
    </row>
    <row r="3882">
      <c r="B3882">
        <f>IF(A3882="","",$B$1-MAXIFS(Donasi!$A$2:$A$20000,Donasi!$B$2:$B$20000,A3882))</f>
        <v/>
      </c>
      <c r="C3882">
        <f>IF(A3882="","",COUNTIF(Donasi!$B$2:$B$20000,A3882))</f>
        <v/>
      </c>
      <c r="D3882">
        <f>IF(A3882="","",SUMIF(Donasi!$B$2:$B$20000,A3882,Donasi!$C$2:$C$20000))</f>
        <v/>
      </c>
      <c r="E3882">
        <f>IF(A3882="","",6-CEILING(PERCENTRANK.INC($B$3:$B$6000,B3882,4)*5+0.000001,1))</f>
        <v/>
      </c>
      <c r="F3882">
        <f>IF(A3882="","",MAX(1,CEILING(PERCENTRANK.INC($C$3:$C$6000,C3882,4)*5+0.000001,1)))</f>
        <v/>
      </c>
      <c r="G3882">
        <f>IF(A3882="","",MAX(1,CEILING(PERCENTRANK.INC($D$3:$D$6000,D3882,4)*5+0.000001,1)))</f>
        <v/>
      </c>
      <c r="H3882">
        <f>IF(A3882="","",E3882&amp;F3882&amp;G3882)</f>
        <v/>
      </c>
      <c r="I3882">
        <f>IF(A3882="","",IF(AND(E3882&gt;=4,F3882&gt;=4,G3882&gt;=4),"Juara",IF(AND(F3882&gt;=4,E3882&gt;=3),"Setia",IF(AND(E3882=5,F3882&lt;=2,G3882&gt;=3),"Berpotensi",IF(AND(E3882&lt;=3,E3882&gt;=2,F3882&gt;=3),"Rawan",IF(AND(E3882&lt;=2,F3882&lt;=2),"Tidur","Umum"))))))</f>
        <v/>
      </c>
    </row>
    <row r="3883">
      <c r="B3883">
        <f>IF(A3883="","",$B$1-MAXIFS(Donasi!$A$2:$A$20000,Donasi!$B$2:$B$20000,A3883))</f>
        <v/>
      </c>
      <c r="C3883">
        <f>IF(A3883="","",COUNTIF(Donasi!$B$2:$B$20000,A3883))</f>
        <v/>
      </c>
      <c r="D3883">
        <f>IF(A3883="","",SUMIF(Donasi!$B$2:$B$20000,A3883,Donasi!$C$2:$C$20000))</f>
        <v/>
      </c>
      <c r="E3883">
        <f>IF(A3883="","",6-CEILING(PERCENTRANK.INC($B$3:$B$6000,B3883,4)*5+0.000001,1))</f>
        <v/>
      </c>
      <c r="F3883">
        <f>IF(A3883="","",MAX(1,CEILING(PERCENTRANK.INC($C$3:$C$6000,C3883,4)*5+0.000001,1)))</f>
        <v/>
      </c>
      <c r="G3883">
        <f>IF(A3883="","",MAX(1,CEILING(PERCENTRANK.INC($D$3:$D$6000,D3883,4)*5+0.000001,1)))</f>
        <v/>
      </c>
      <c r="H3883">
        <f>IF(A3883="","",E3883&amp;F3883&amp;G3883)</f>
        <v/>
      </c>
      <c r="I3883">
        <f>IF(A3883="","",IF(AND(E3883&gt;=4,F3883&gt;=4,G3883&gt;=4),"Juara",IF(AND(F3883&gt;=4,E3883&gt;=3),"Setia",IF(AND(E3883=5,F3883&lt;=2,G3883&gt;=3),"Berpotensi",IF(AND(E3883&lt;=3,E3883&gt;=2,F3883&gt;=3),"Rawan",IF(AND(E3883&lt;=2,F3883&lt;=2),"Tidur","Umum"))))))</f>
        <v/>
      </c>
    </row>
    <row r="3884">
      <c r="B3884">
        <f>IF(A3884="","",$B$1-MAXIFS(Donasi!$A$2:$A$20000,Donasi!$B$2:$B$20000,A3884))</f>
        <v/>
      </c>
      <c r="C3884">
        <f>IF(A3884="","",COUNTIF(Donasi!$B$2:$B$20000,A3884))</f>
        <v/>
      </c>
      <c r="D3884">
        <f>IF(A3884="","",SUMIF(Donasi!$B$2:$B$20000,A3884,Donasi!$C$2:$C$20000))</f>
        <v/>
      </c>
      <c r="E3884">
        <f>IF(A3884="","",6-CEILING(PERCENTRANK.INC($B$3:$B$6000,B3884,4)*5+0.000001,1))</f>
        <v/>
      </c>
      <c r="F3884">
        <f>IF(A3884="","",MAX(1,CEILING(PERCENTRANK.INC($C$3:$C$6000,C3884,4)*5+0.000001,1)))</f>
        <v/>
      </c>
      <c r="G3884">
        <f>IF(A3884="","",MAX(1,CEILING(PERCENTRANK.INC($D$3:$D$6000,D3884,4)*5+0.000001,1)))</f>
        <v/>
      </c>
      <c r="H3884">
        <f>IF(A3884="","",E3884&amp;F3884&amp;G3884)</f>
        <v/>
      </c>
      <c r="I3884">
        <f>IF(A3884="","",IF(AND(E3884&gt;=4,F3884&gt;=4,G3884&gt;=4),"Juara",IF(AND(F3884&gt;=4,E3884&gt;=3),"Setia",IF(AND(E3884=5,F3884&lt;=2,G3884&gt;=3),"Berpotensi",IF(AND(E3884&lt;=3,E3884&gt;=2,F3884&gt;=3),"Rawan",IF(AND(E3884&lt;=2,F3884&lt;=2),"Tidur","Umum"))))))</f>
        <v/>
      </c>
    </row>
    <row r="3885">
      <c r="B3885">
        <f>IF(A3885="","",$B$1-MAXIFS(Donasi!$A$2:$A$20000,Donasi!$B$2:$B$20000,A3885))</f>
        <v/>
      </c>
      <c r="C3885">
        <f>IF(A3885="","",COUNTIF(Donasi!$B$2:$B$20000,A3885))</f>
        <v/>
      </c>
      <c r="D3885">
        <f>IF(A3885="","",SUMIF(Donasi!$B$2:$B$20000,A3885,Donasi!$C$2:$C$20000))</f>
        <v/>
      </c>
      <c r="E3885">
        <f>IF(A3885="","",6-CEILING(PERCENTRANK.INC($B$3:$B$6000,B3885,4)*5+0.000001,1))</f>
        <v/>
      </c>
      <c r="F3885">
        <f>IF(A3885="","",MAX(1,CEILING(PERCENTRANK.INC($C$3:$C$6000,C3885,4)*5+0.000001,1)))</f>
        <v/>
      </c>
      <c r="G3885">
        <f>IF(A3885="","",MAX(1,CEILING(PERCENTRANK.INC($D$3:$D$6000,D3885,4)*5+0.000001,1)))</f>
        <v/>
      </c>
      <c r="H3885">
        <f>IF(A3885="","",E3885&amp;F3885&amp;G3885)</f>
        <v/>
      </c>
      <c r="I3885">
        <f>IF(A3885="","",IF(AND(E3885&gt;=4,F3885&gt;=4,G3885&gt;=4),"Juara",IF(AND(F3885&gt;=4,E3885&gt;=3),"Setia",IF(AND(E3885=5,F3885&lt;=2,G3885&gt;=3),"Berpotensi",IF(AND(E3885&lt;=3,E3885&gt;=2,F3885&gt;=3),"Rawan",IF(AND(E3885&lt;=2,F3885&lt;=2),"Tidur","Umum"))))))</f>
        <v/>
      </c>
    </row>
    <row r="3886">
      <c r="B3886">
        <f>IF(A3886="","",$B$1-MAXIFS(Donasi!$A$2:$A$20000,Donasi!$B$2:$B$20000,A3886))</f>
        <v/>
      </c>
      <c r="C3886">
        <f>IF(A3886="","",COUNTIF(Donasi!$B$2:$B$20000,A3886))</f>
        <v/>
      </c>
      <c r="D3886">
        <f>IF(A3886="","",SUMIF(Donasi!$B$2:$B$20000,A3886,Donasi!$C$2:$C$20000))</f>
        <v/>
      </c>
      <c r="E3886">
        <f>IF(A3886="","",6-CEILING(PERCENTRANK.INC($B$3:$B$6000,B3886,4)*5+0.000001,1))</f>
        <v/>
      </c>
      <c r="F3886">
        <f>IF(A3886="","",MAX(1,CEILING(PERCENTRANK.INC($C$3:$C$6000,C3886,4)*5+0.000001,1)))</f>
        <v/>
      </c>
      <c r="G3886">
        <f>IF(A3886="","",MAX(1,CEILING(PERCENTRANK.INC($D$3:$D$6000,D3886,4)*5+0.000001,1)))</f>
        <v/>
      </c>
      <c r="H3886">
        <f>IF(A3886="","",E3886&amp;F3886&amp;G3886)</f>
        <v/>
      </c>
      <c r="I3886">
        <f>IF(A3886="","",IF(AND(E3886&gt;=4,F3886&gt;=4,G3886&gt;=4),"Juara",IF(AND(F3886&gt;=4,E3886&gt;=3),"Setia",IF(AND(E3886=5,F3886&lt;=2,G3886&gt;=3),"Berpotensi",IF(AND(E3886&lt;=3,E3886&gt;=2,F3886&gt;=3),"Rawan",IF(AND(E3886&lt;=2,F3886&lt;=2),"Tidur","Umum"))))))</f>
        <v/>
      </c>
    </row>
    <row r="3887">
      <c r="B3887">
        <f>IF(A3887="","",$B$1-MAXIFS(Donasi!$A$2:$A$20000,Donasi!$B$2:$B$20000,A3887))</f>
        <v/>
      </c>
      <c r="C3887">
        <f>IF(A3887="","",COUNTIF(Donasi!$B$2:$B$20000,A3887))</f>
        <v/>
      </c>
      <c r="D3887">
        <f>IF(A3887="","",SUMIF(Donasi!$B$2:$B$20000,A3887,Donasi!$C$2:$C$20000))</f>
        <v/>
      </c>
      <c r="E3887">
        <f>IF(A3887="","",6-CEILING(PERCENTRANK.INC($B$3:$B$6000,B3887,4)*5+0.000001,1))</f>
        <v/>
      </c>
      <c r="F3887">
        <f>IF(A3887="","",MAX(1,CEILING(PERCENTRANK.INC($C$3:$C$6000,C3887,4)*5+0.000001,1)))</f>
        <v/>
      </c>
      <c r="G3887">
        <f>IF(A3887="","",MAX(1,CEILING(PERCENTRANK.INC($D$3:$D$6000,D3887,4)*5+0.000001,1)))</f>
        <v/>
      </c>
      <c r="H3887">
        <f>IF(A3887="","",E3887&amp;F3887&amp;G3887)</f>
        <v/>
      </c>
      <c r="I3887">
        <f>IF(A3887="","",IF(AND(E3887&gt;=4,F3887&gt;=4,G3887&gt;=4),"Juara",IF(AND(F3887&gt;=4,E3887&gt;=3),"Setia",IF(AND(E3887=5,F3887&lt;=2,G3887&gt;=3),"Berpotensi",IF(AND(E3887&lt;=3,E3887&gt;=2,F3887&gt;=3),"Rawan",IF(AND(E3887&lt;=2,F3887&lt;=2),"Tidur","Umum"))))))</f>
        <v/>
      </c>
    </row>
    <row r="3888">
      <c r="B3888">
        <f>IF(A3888="","",$B$1-MAXIFS(Donasi!$A$2:$A$20000,Donasi!$B$2:$B$20000,A3888))</f>
        <v/>
      </c>
      <c r="C3888">
        <f>IF(A3888="","",COUNTIF(Donasi!$B$2:$B$20000,A3888))</f>
        <v/>
      </c>
      <c r="D3888">
        <f>IF(A3888="","",SUMIF(Donasi!$B$2:$B$20000,A3888,Donasi!$C$2:$C$20000))</f>
        <v/>
      </c>
      <c r="E3888">
        <f>IF(A3888="","",6-CEILING(PERCENTRANK.INC($B$3:$B$6000,B3888,4)*5+0.000001,1))</f>
        <v/>
      </c>
      <c r="F3888">
        <f>IF(A3888="","",MAX(1,CEILING(PERCENTRANK.INC($C$3:$C$6000,C3888,4)*5+0.000001,1)))</f>
        <v/>
      </c>
      <c r="G3888">
        <f>IF(A3888="","",MAX(1,CEILING(PERCENTRANK.INC($D$3:$D$6000,D3888,4)*5+0.000001,1)))</f>
        <v/>
      </c>
      <c r="H3888">
        <f>IF(A3888="","",E3888&amp;F3888&amp;G3888)</f>
        <v/>
      </c>
      <c r="I3888">
        <f>IF(A3888="","",IF(AND(E3888&gt;=4,F3888&gt;=4,G3888&gt;=4),"Juara",IF(AND(F3888&gt;=4,E3888&gt;=3),"Setia",IF(AND(E3888=5,F3888&lt;=2,G3888&gt;=3),"Berpotensi",IF(AND(E3888&lt;=3,E3888&gt;=2,F3888&gt;=3),"Rawan",IF(AND(E3888&lt;=2,F3888&lt;=2),"Tidur","Umum"))))))</f>
        <v/>
      </c>
    </row>
    <row r="3889">
      <c r="B3889">
        <f>IF(A3889="","",$B$1-MAXIFS(Donasi!$A$2:$A$20000,Donasi!$B$2:$B$20000,A3889))</f>
        <v/>
      </c>
      <c r="C3889">
        <f>IF(A3889="","",COUNTIF(Donasi!$B$2:$B$20000,A3889))</f>
        <v/>
      </c>
      <c r="D3889">
        <f>IF(A3889="","",SUMIF(Donasi!$B$2:$B$20000,A3889,Donasi!$C$2:$C$20000))</f>
        <v/>
      </c>
      <c r="E3889">
        <f>IF(A3889="","",6-CEILING(PERCENTRANK.INC($B$3:$B$6000,B3889,4)*5+0.000001,1))</f>
        <v/>
      </c>
      <c r="F3889">
        <f>IF(A3889="","",MAX(1,CEILING(PERCENTRANK.INC($C$3:$C$6000,C3889,4)*5+0.000001,1)))</f>
        <v/>
      </c>
      <c r="G3889">
        <f>IF(A3889="","",MAX(1,CEILING(PERCENTRANK.INC($D$3:$D$6000,D3889,4)*5+0.000001,1)))</f>
        <v/>
      </c>
      <c r="H3889">
        <f>IF(A3889="","",E3889&amp;F3889&amp;G3889)</f>
        <v/>
      </c>
      <c r="I3889">
        <f>IF(A3889="","",IF(AND(E3889&gt;=4,F3889&gt;=4,G3889&gt;=4),"Juara",IF(AND(F3889&gt;=4,E3889&gt;=3),"Setia",IF(AND(E3889=5,F3889&lt;=2,G3889&gt;=3),"Berpotensi",IF(AND(E3889&lt;=3,E3889&gt;=2,F3889&gt;=3),"Rawan",IF(AND(E3889&lt;=2,F3889&lt;=2),"Tidur","Umum"))))))</f>
        <v/>
      </c>
    </row>
    <row r="3890">
      <c r="B3890">
        <f>IF(A3890="","",$B$1-MAXIFS(Donasi!$A$2:$A$20000,Donasi!$B$2:$B$20000,A3890))</f>
        <v/>
      </c>
      <c r="C3890">
        <f>IF(A3890="","",COUNTIF(Donasi!$B$2:$B$20000,A3890))</f>
        <v/>
      </c>
      <c r="D3890">
        <f>IF(A3890="","",SUMIF(Donasi!$B$2:$B$20000,A3890,Donasi!$C$2:$C$20000))</f>
        <v/>
      </c>
      <c r="E3890">
        <f>IF(A3890="","",6-CEILING(PERCENTRANK.INC($B$3:$B$6000,B3890,4)*5+0.000001,1))</f>
        <v/>
      </c>
      <c r="F3890">
        <f>IF(A3890="","",MAX(1,CEILING(PERCENTRANK.INC($C$3:$C$6000,C3890,4)*5+0.000001,1)))</f>
        <v/>
      </c>
      <c r="G3890">
        <f>IF(A3890="","",MAX(1,CEILING(PERCENTRANK.INC($D$3:$D$6000,D3890,4)*5+0.000001,1)))</f>
        <v/>
      </c>
      <c r="H3890">
        <f>IF(A3890="","",E3890&amp;F3890&amp;G3890)</f>
        <v/>
      </c>
      <c r="I3890">
        <f>IF(A3890="","",IF(AND(E3890&gt;=4,F3890&gt;=4,G3890&gt;=4),"Juara",IF(AND(F3890&gt;=4,E3890&gt;=3),"Setia",IF(AND(E3890=5,F3890&lt;=2,G3890&gt;=3),"Berpotensi",IF(AND(E3890&lt;=3,E3890&gt;=2,F3890&gt;=3),"Rawan",IF(AND(E3890&lt;=2,F3890&lt;=2),"Tidur","Umum"))))))</f>
        <v/>
      </c>
    </row>
    <row r="3891">
      <c r="B3891">
        <f>IF(A3891="","",$B$1-MAXIFS(Donasi!$A$2:$A$20000,Donasi!$B$2:$B$20000,A3891))</f>
        <v/>
      </c>
      <c r="C3891">
        <f>IF(A3891="","",COUNTIF(Donasi!$B$2:$B$20000,A3891))</f>
        <v/>
      </c>
      <c r="D3891">
        <f>IF(A3891="","",SUMIF(Donasi!$B$2:$B$20000,A3891,Donasi!$C$2:$C$20000))</f>
        <v/>
      </c>
      <c r="E3891">
        <f>IF(A3891="","",6-CEILING(PERCENTRANK.INC($B$3:$B$6000,B3891,4)*5+0.000001,1))</f>
        <v/>
      </c>
      <c r="F3891">
        <f>IF(A3891="","",MAX(1,CEILING(PERCENTRANK.INC($C$3:$C$6000,C3891,4)*5+0.000001,1)))</f>
        <v/>
      </c>
      <c r="G3891">
        <f>IF(A3891="","",MAX(1,CEILING(PERCENTRANK.INC($D$3:$D$6000,D3891,4)*5+0.000001,1)))</f>
        <v/>
      </c>
      <c r="H3891">
        <f>IF(A3891="","",E3891&amp;F3891&amp;G3891)</f>
        <v/>
      </c>
      <c r="I3891">
        <f>IF(A3891="","",IF(AND(E3891&gt;=4,F3891&gt;=4,G3891&gt;=4),"Juara",IF(AND(F3891&gt;=4,E3891&gt;=3),"Setia",IF(AND(E3891=5,F3891&lt;=2,G3891&gt;=3),"Berpotensi",IF(AND(E3891&lt;=3,E3891&gt;=2,F3891&gt;=3),"Rawan",IF(AND(E3891&lt;=2,F3891&lt;=2),"Tidur","Umum"))))))</f>
        <v/>
      </c>
    </row>
    <row r="3892">
      <c r="B3892">
        <f>IF(A3892="","",$B$1-MAXIFS(Donasi!$A$2:$A$20000,Donasi!$B$2:$B$20000,A3892))</f>
        <v/>
      </c>
      <c r="C3892">
        <f>IF(A3892="","",COUNTIF(Donasi!$B$2:$B$20000,A3892))</f>
        <v/>
      </c>
      <c r="D3892">
        <f>IF(A3892="","",SUMIF(Donasi!$B$2:$B$20000,A3892,Donasi!$C$2:$C$20000))</f>
        <v/>
      </c>
      <c r="E3892">
        <f>IF(A3892="","",6-CEILING(PERCENTRANK.INC($B$3:$B$6000,B3892,4)*5+0.000001,1))</f>
        <v/>
      </c>
      <c r="F3892">
        <f>IF(A3892="","",MAX(1,CEILING(PERCENTRANK.INC($C$3:$C$6000,C3892,4)*5+0.000001,1)))</f>
        <v/>
      </c>
      <c r="G3892">
        <f>IF(A3892="","",MAX(1,CEILING(PERCENTRANK.INC($D$3:$D$6000,D3892,4)*5+0.000001,1)))</f>
        <v/>
      </c>
      <c r="H3892">
        <f>IF(A3892="","",E3892&amp;F3892&amp;G3892)</f>
        <v/>
      </c>
      <c r="I3892">
        <f>IF(A3892="","",IF(AND(E3892&gt;=4,F3892&gt;=4,G3892&gt;=4),"Juara",IF(AND(F3892&gt;=4,E3892&gt;=3),"Setia",IF(AND(E3892=5,F3892&lt;=2,G3892&gt;=3),"Berpotensi",IF(AND(E3892&lt;=3,E3892&gt;=2,F3892&gt;=3),"Rawan",IF(AND(E3892&lt;=2,F3892&lt;=2),"Tidur","Umum"))))))</f>
        <v/>
      </c>
    </row>
    <row r="3893">
      <c r="B3893">
        <f>IF(A3893="","",$B$1-MAXIFS(Donasi!$A$2:$A$20000,Donasi!$B$2:$B$20000,A3893))</f>
        <v/>
      </c>
      <c r="C3893">
        <f>IF(A3893="","",COUNTIF(Donasi!$B$2:$B$20000,A3893))</f>
        <v/>
      </c>
      <c r="D3893">
        <f>IF(A3893="","",SUMIF(Donasi!$B$2:$B$20000,A3893,Donasi!$C$2:$C$20000))</f>
        <v/>
      </c>
      <c r="E3893">
        <f>IF(A3893="","",6-CEILING(PERCENTRANK.INC($B$3:$B$6000,B3893,4)*5+0.000001,1))</f>
        <v/>
      </c>
      <c r="F3893">
        <f>IF(A3893="","",MAX(1,CEILING(PERCENTRANK.INC($C$3:$C$6000,C3893,4)*5+0.000001,1)))</f>
        <v/>
      </c>
      <c r="G3893">
        <f>IF(A3893="","",MAX(1,CEILING(PERCENTRANK.INC($D$3:$D$6000,D3893,4)*5+0.000001,1)))</f>
        <v/>
      </c>
      <c r="H3893">
        <f>IF(A3893="","",E3893&amp;F3893&amp;G3893)</f>
        <v/>
      </c>
      <c r="I3893">
        <f>IF(A3893="","",IF(AND(E3893&gt;=4,F3893&gt;=4,G3893&gt;=4),"Juara",IF(AND(F3893&gt;=4,E3893&gt;=3),"Setia",IF(AND(E3893=5,F3893&lt;=2,G3893&gt;=3),"Berpotensi",IF(AND(E3893&lt;=3,E3893&gt;=2,F3893&gt;=3),"Rawan",IF(AND(E3893&lt;=2,F3893&lt;=2),"Tidur","Umum"))))))</f>
        <v/>
      </c>
    </row>
    <row r="3894">
      <c r="B3894">
        <f>IF(A3894="","",$B$1-MAXIFS(Donasi!$A$2:$A$20000,Donasi!$B$2:$B$20000,A3894))</f>
        <v/>
      </c>
      <c r="C3894">
        <f>IF(A3894="","",COUNTIF(Donasi!$B$2:$B$20000,A3894))</f>
        <v/>
      </c>
      <c r="D3894">
        <f>IF(A3894="","",SUMIF(Donasi!$B$2:$B$20000,A3894,Donasi!$C$2:$C$20000))</f>
        <v/>
      </c>
      <c r="E3894">
        <f>IF(A3894="","",6-CEILING(PERCENTRANK.INC($B$3:$B$6000,B3894,4)*5+0.000001,1))</f>
        <v/>
      </c>
      <c r="F3894">
        <f>IF(A3894="","",MAX(1,CEILING(PERCENTRANK.INC($C$3:$C$6000,C3894,4)*5+0.000001,1)))</f>
        <v/>
      </c>
      <c r="G3894">
        <f>IF(A3894="","",MAX(1,CEILING(PERCENTRANK.INC($D$3:$D$6000,D3894,4)*5+0.000001,1)))</f>
        <v/>
      </c>
      <c r="H3894">
        <f>IF(A3894="","",E3894&amp;F3894&amp;G3894)</f>
        <v/>
      </c>
      <c r="I3894">
        <f>IF(A3894="","",IF(AND(E3894&gt;=4,F3894&gt;=4,G3894&gt;=4),"Juara",IF(AND(F3894&gt;=4,E3894&gt;=3),"Setia",IF(AND(E3894=5,F3894&lt;=2,G3894&gt;=3),"Berpotensi",IF(AND(E3894&lt;=3,E3894&gt;=2,F3894&gt;=3),"Rawan",IF(AND(E3894&lt;=2,F3894&lt;=2),"Tidur","Umum"))))))</f>
        <v/>
      </c>
    </row>
    <row r="3895">
      <c r="B3895">
        <f>IF(A3895="","",$B$1-MAXIFS(Donasi!$A$2:$A$20000,Donasi!$B$2:$B$20000,A3895))</f>
        <v/>
      </c>
      <c r="C3895">
        <f>IF(A3895="","",COUNTIF(Donasi!$B$2:$B$20000,A3895))</f>
        <v/>
      </c>
      <c r="D3895">
        <f>IF(A3895="","",SUMIF(Donasi!$B$2:$B$20000,A3895,Donasi!$C$2:$C$20000))</f>
        <v/>
      </c>
      <c r="E3895">
        <f>IF(A3895="","",6-CEILING(PERCENTRANK.INC($B$3:$B$6000,B3895,4)*5+0.000001,1))</f>
        <v/>
      </c>
      <c r="F3895">
        <f>IF(A3895="","",MAX(1,CEILING(PERCENTRANK.INC($C$3:$C$6000,C3895,4)*5+0.000001,1)))</f>
        <v/>
      </c>
      <c r="G3895">
        <f>IF(A3895="","",MAX(1,CEILING(PERCENTRANK.INC($D$3:$D$6000,D3895,4)*5+0.000001,1)))</f>
        <v/>
      </c>
      <c r="H3895">
        <f>IF(A3895="","",E3895&amp;F3895&amp;G3895)</f>
        <v/>
      </c>
      <c r="I3895">
        <f>IF(A3895="","",IF(AND(E3895&gt;=4,F3895&gt;=4,G3895&gt;=4),"Juara",IF(AND(F3895&gt;=4,E3895&gt;=3),"Setia",IF(AND(E3895=5,F3895&lt;=2,G3895&gt;=3),"Berpotensi",IF(AND(E3895&lt;=3,E3895&gt;=2,F3895&gt;=3),"Rawan",IF(AND(E3895&lt;=2,F3895&lt;=2),"Tidur","Umum"))))))</f>
        <v/>
      </c>
    </row>
    <row r="3896">
      <c r="B3896">
        <f>IF(A3896="","",$B$1-MAXIFS(Donasi!$A$2:$A$20000,Donasi!$B$2:$B$20000,A3896))</f>
        <v/>
      </c>
      <c r="C3896">
        <f>IF(A3896="","",COUNTIF(Donasi!$B$2:$B$20000,A3896))</f>
        <v/>
      </c>
      <c r="D3896">
        <f>IF(A3896="","",SUMIF(Donasi!$B$2:$B$20000,A3896,Donasi!$C$2:$C$20000))</f>
        <v/>
      </c>
      <c r="E3896">
        <f>IF(A3896="","",6-CEILING(PERCENTRANK.INC($B$3:$B$6000,B3896,4)*5+0.000001,1))</f>
        <v/>
      </c>
      <c r="F3896">
        <f>IF(A3896="","",MAX(1,CEILING(PERCENTRANK.INC($C$3:$C$6000,C3896,4)*5+0.000001,1)))</f>
        <v/>
      </c>
      <c r="G3896">
        <f>IF(A3896="","",MAX(1,CEILING(PERCENTRANK.INC($D$3:$D$6000,D3896,4)*5+0.000001,1)))</f>
        <v/>
      </c>
      <c r="H3896">
        <f>IF(A3896="","",E3896&amp;F3896&amp;G3896)</f>
        <v/>
      </c>
      <c r="I3896">
        <f>IF(A3896="","",IF(AND(E3896&gt;=4,F3896&gt;=4,G3896&gt;=4),"Juara",IF(AND(F3896&gt;=4,E3896&gt;=3),"Setia",IF(AND(E3896=5,F3896&lt;=2,G3896&gt;=3),"Berpotensi",IF(AND(E3896&lt;=3,E3896&gt;=2,F3896&gt;=3),"Rawan",IF(AND(E3896&lt;=2,F3896&lt;=2),"Tidur","Umum"))))))</f>
        <v/>
      </c>
    </row>
    <row r="3897">
      <c r="B3897">
        <f>IF(A3897="","",$B$1-MAXIFS(Donasi!$A$2:$A$20000,Donasi!$B$2:$B$20000,A3897))</f>
        <v/>
      </c>
      <c r="C3897">
        <f>IF(A3897="","",COUNTIF(Donasi!$B$2:$B$20000,A3897))</f>
        <v/>
      </c>
      <c r="D3897">
        <f>IF(A3897="","",SUMIF(Donasi!$B$2:$B$20000,A3897,Donasi!$C$2:$C$20000))</f>
        <v/>
      </c>
      <c r="E3897">
        <f>IF(A3897="","",6-CEILING(PERCENTRANK.INC($B$3:$B$6000,B3897,4)*5+0.000001,1))</f>
        <v/>
      </c>
      <c r="F3897">
        <f>IF(A3897="","",MAX(1,CEILING(PERCENTRANK.INC($C$3:$C$6000,C3897,4)*5+0.000001,1)))</f>
        <v/>
      </c>
      <c r="G3897">
        <f>IF(A3897="","",MAX(1,CEILING(PERCENTRANK.INC($D$3:$D$6000,D3897,4)*5+0.000001,1)))</f>
        <v/>
      </c>
      <c r="H3897">
        <f>IF(A3897="","",E3897&amp;F3897&amp;G3897)</f>
        <v/>
      </c>
      <c r="I3897">
        <f>IF(A3897="","",IF(AND(E3897&gt;=4,F3897&gt;=4,G3897&gt;=4),"Juara",IF(AND(F3897&gt;=4,E3897&gt;=3),"Setia",IF(AND(E3897=5,F3897&lt;=2,G3897&gt;=3),"Berpotensi",IF(AND(E3897&lt;=3,E3897&gt;=2,F3897&gt;=3),"Rawan",IF(AND(E3897&lt;=2,F3897&lt;=2),"Tidur","Umum"))))))</f>
        <v/>
      </c>
    </row>
    <row r="3898">
      <c r="B3898">
        <f>IF(A3898="","",$B$1-MAXIFS(Donasi!$A$2:$A$20000,Donasi!$B$2:$B$20000,A3898))</f>
        <v/>
      </c>
      <c r="C3898">
        <f>IF(A3898="","",COUNTIF(Donasi!$B$2:$B$20000,A3898))</f>
        <v/>
      </c>
      <c r="D3898">
        <f>IF(A3898="","",SUMIF(Donasi!$B$2:$B$20000,A3898,Donasi!$C$2:$C$20000))</f>
        <v/>
      </c>
      <c r="E3898">
        <f>IF(A3898="","",6-CEILING(PERCENTRANK.INC($B$3:$B$6000,B3898,4)*5+0.000001,1))</f>
        <v/>
      </c>
      <c r="F3898">
        <f>IF(A3898="","",MAX(1,CEILING(PERCENTRANK.INC($C$3:$C$6000,C3898,4)*5+0.000001,1)))</f>
        <v/>
      </c>
      <c r="G3898">
        <f>IF(A3898="","",MAX(1,CEILING(PERCENTRANK.INC($D$3:$D$6000,D3898,4)*5+0.000001,1)))</f>
        <v/>
      </c>
      <c r="H3898">
        <f>IF(A3898="","",E3898&amp;F3898&amp;G3898)</f>
        <v/>
      </c>
      <c r="I3898">
        <f>IF(A3898="","",IF(AND(E3898&gt;=4,F3898&gt;=4,G3898&gt;=4),"Juara",IF(AND(F3898&gt;=4,E3898&gt;=3),"Setia",IF(AND(E3898=5,F3898&lt;=2,G3898&gt;=3),"Berpotensi",IF(AND(E3898&lt;=3,E3898&gt;=2,F3898&gt;=3),"Rawan",IF(AND(E3898&lt;=2,F3898&lt;=2),"Tidur","Umum"))))))</f>
        <v/>
      </c>
    </row>
    <row r="3899">
      <c r="B3899">
        <f>IF(A3899="","",$B$1-MAXIFS(Donasi!$A$2:$A$20000,Donasi!$B$2:$B$20000,A3899))</f>
        <v/>
      </c>
      <c r="C3899">
        <f>IF(A3899="","",COUNTIF(Donasi!$B$2:$B$20000,A3899))</f>
        <v/>
      </c>
      <c r="D3899">
        <f>IF(A3899="","",SUMIF(Donasi!$B$2:$B$20000,A3899,Donasi!$C$2:$C$20000))</f>
        <v/>
      </c>
      <c r="E3899">
        <f>IF(A3899="","",6-CEILING(PERCENTRANK.INC($B$3:$B$6000,B3899,4)*5+0.000001,1))</f>
        <v/>
      </c>
      <c r="F3899">
        <f>IF(A3899="","",MAX(1,CEILING(PERCENTRANK.INC($C$3:$C$6000,C3899,4)*5+0.000001,1)))</f>
        <v/>
      </c>
      <c r="G3899">
        <f>IF(A3899="","",MAX(1,CEILING(PERCENTRANK.INC($D$3:$D$6000,D3899,4)*5+0.000001,1)))</f>
        <v/>
      </c>
      <c r="H3899">
        <f>IF(A3899="","",E3899&amp;F3899&amp;G3899)</f>
        <v/>
      </c>
      <c r="I3899">
        <f>IF(A3899="","",IF(AND(E3899&gt;=4,F3899&gt;=4,G3899&gt;=4),"Juara",IF(AND(F3899&gt;=4,E3899&gt;=3),"Setia",IF(AND(E3899=5,F3899&lt;=2,G3899&gt;=3),"Berpotensi",IF(AND(E3899&lt;=3,E3899&gt;=2,F3899&gt;=3),"Rawan",IF(AND(E3899&lt;=2,F3899&lt;=2),"Tidur","Umum"))))))</f>
        <v/>
      </c>
    </row>
    <row r="3900">
      <c r="B3900">
        <f>IF(A3900="","",$B$1-MAXIFS(Donasi!$A$2:$A$20000,Donasi!$B$2:$B$20000,A3900))</f>
        <v/>
      </c>
      <c r="C3900">
        <f>IF(A3900="","",COUNTIF(Donasi!$B$2:$B$20000,A3900))</f>
        <v/>
      </c>
      <c r="D3900">
        <f>IF(A3900="","",SUMIF(Donasi!$B$2:$B$20000,A3900,Donasi!$C$2:$C$20000))</f>
        <v/>
      </c>
      <c r="E3900">
        <f>IF(A3900="","",6-CEILING(PERCENTRANK.INC($B$3:$B$6000,B3900,4)*5+0.000001,1))</f>
        <v/>
      </c>
      <c r="F3900">
        <f>IF(A3900="","",MAX(1,CEILING(PERCENTRANK.INC($C$3:$C$6000,C3900,4)*5+0.000001,1)))</f>
        <v/>
      </c>
      <c r="G3900">
        <f>IF(A3900="","",MAX(1,CEILING(PERCENTRANK.INC($D$3:$D$6000,D3900,4)*5+0.000001,1)))</f>
        <v/>
      </c>
      <c r="H3900">
        <f>IF(A3900="","",E3900&amp;F3900&amp;G3900)</f>
        <v/>
      </c>
      <c r="I3900">
        <f>IF(A3900="","",IF(AND(E3900&gt;=4,F3900&gt;=4,G3900&gt;=4),"Juara",IF(AND(F3900&gt;=4,E3900&gt;=3),"Setia",IF(AND(E3900=5,F3900&lt;=2,G3900&gt;=3),"Berpotensi",IF(AND(E3900&lt;=3,E3900&gt;=2,F3900&gt;=3),"Rawan",IF(AND(E3900&lt;=2,F3900&lt;=2),"Tidur","Umum"))))))</f>
        <v/>
      </c>
    </row>
    <row r="3901">
      <c r="B3901">
        <f>IF(A3901="","",$B$1-MAXIFS(Donasi!$A$2:$A$20000,Donasi!$B$2:$B$20000,A3901))</f>
        <v/>
      </c>
      <c r="C3901">
        <f>IF(A3901="","",COUNTIF(Donasi!$B$2:$B$20000,A3901))</f>
        <v/>
      </c>
      <c r="D3901">
        <f>IF(A3901="","",SUMIF(Donasi!$B$2:$B$20000,A3901,Donasi!$C$2:$C$20000))</f>
        <v/>
      </c>
      <c r="E3901">
        <f>IF(A3901="","",6-CEILING(PERCENTRANK.INC($B$3:$B$6000,B3901,4)*5+0.000001,1))</f>
        <v/>
      </c>
      <c r="F3901">
        <f>IF(A3901="","",MAX(1,CEILING(PERCENTRANK.INC($C$3:$C$6000,C3901,4)*5+0.000001,1)))</f>
        <v/>
      </c>
      <c r="G3901">
        <f>IF(A3901="","",MAX(1,CEILING(PERCENTRANK.INC($D$3:$D$6000,D3901,4)*5+0.000001,1)))</f>
        <v/>
      </c>
      <c r="H3901">
        <f>IF(A3901="","",E3901&amp;F3901&amp;G3901)</f>
        <v/>
      </c>
      <c r="I3901">
        <f>IF(A3901="","",IF(AND(E3901&gt;=4,F3901&gt;=4,G3901&gt;=4),"Juara",IF(AND(F3901&gt;=4,E3901&gt;=3),"Setia",IF(AND(E3901=5,F3901&lt;=2,G3901&gt;=3),"Berpotensi",IF(AND(E3901&lt;=3,E3901&gt;=2,F3901&gt;=3),"Rawan",IF(AND(E3901&lt;=2,F3901&lt;=2),"Tidur","Umum"))))))</f>
        <v/>
      </c>
    </row>
    <row r="3902">
      <c r="B3902">
        <f>IF(A3902="","",$B$1-MAXIFS(Donasi!$A$2:$A$20000,Donasi!$B$2:$B$20000,A3902))</f>
        <v/>
      </c>
      <c r="C3902">
        <f>IF(A3902="","",COUNTIF(Donasi!$B$2:$B$20000,A3902))</f>
        <v/>
      </c>
      <c r="D3902">
        <f>IF(A3902="","",SUMIF(Donasi!$B$2:$B$20000,A3902,Donasi!$C$2:$C$20000))</f>
        <v/>
      </c>
      <c r="E3902">
        <f>IF(A3902="","",6-CEILING(PERCENTRANK.INC($B$3:$B$6000,B3902,4)*5+0.000001,1))</f>
        <v/>
      </c>
      <c r="F3902">
        <f>IF(A3902="","",MAX(1,CEILING(PERCENTRANK.INC($C$3:$C$6000,C3902,4)*5+0.000001,1)))</f>
        <v/>
      </c>
      <c r="G3902">
        <f>IF(A3902="","",MAX(1,CEILING(PERCENTRANK.INC($D$3:$D$6000,D3902,4)*5+0.000001,1)))</f>
        <v/>
      </c>
      <c r="H3902">
        <f>IF(A3902="","",E3902&amp;F3902&amp;G3902)</f>
        <v/>
      </c>
      <c r="I3902">
        <f>IF(A3902="","",IF(AND(E3902&gt;=4,F3902&gt;=4,G3902&gt;=4),"Juara",IF(AND(F3902&gt;=4,E3902&gt;=3),"Setia",IF(AND(E3902=5,F3902&lt;=2,G3902&gt;=3),"Berpotensi",IF(AND(E3902&lt;=3,E3902&gt;=2,F3902&gt;=3),"Rawan",IF(AND(E3902&lt;=2,F3902&lt;=2),"Tidur","Umum"))))))</f>
        <v/>
      </c>
    </row>
    <row r="3903">
      <c r="B3903">
        <f>IF(A3903="","",$B$1-MAXIFS(Donasi!$A$2:$A$20000,Donasi!$B$2:$B$20000,A3903))</f>
        <v/>
      </c>
      <c r="C3903">
        <f>IF(A3903="","",COUNTIF(Donasi!$B$2:$B$20000,A3903))</f>
        <v/>
      </c>
      <c r="D3903">
        <f>IF(A3903="","",SUMIF(Donasi!$B$2:$B$20000,A3903,Donasi!$C$2:$C$20000))</f>
        <v/>
      </c>
      <c r="E3903">
        <f>IF(A3903="","",6-CEILING(PERCENTRANK.INC($B$3:$B$6000,B3903,4)*5+0.000001,1))</f>
        <v/>
      </c>
      <c r="F3903">
        <f>IF(A3903="","",MAX(1,CEILING(PERCENTRANK.INC($C$3:$C$6000,C3903,4)*5+0.000001,1)))</f>
        <v/>
      </c>
      <c r="G3903">
        <f>IF(A3903="","",MAX(1,CEILING(PERCENTRANK.INC($D$3:$D$6000,D3903,4)*5+0.000001,1)))</f>
        <v/>
      </c>
      <c r="H3903">
        <f>IF(A3903="","",E3903&amp;F3903&amp;G3903)</f>
        <v/>
      </c>
      <c r="I3903">
        <f>IF(A3903="","",IF(AND(E3903&gt;=4,F3903&gt;=4,G3903&gt;=4),"Juara",IF(AND(F3903&gt;=4,E3903&gt;=3),"Setia",IF(AND(E3903=5,F3903&lt;=2,G3903&gt;=3),"Berpotensi",IF(AND(E3903&lt;=3,E3903&gt;=2,F3903&gt;=3),"Rawan",IF(AND(E3903&lt;=2,F3903&lt;=2),"Tidur","Umum"))))))</f>
        <v/>
      </c>
    </row>
    <row r="3904">
      <c r="B3904">
        <f>IF(A3904="","",$B$1-MAXIFS(Donasi!$A$2:$A$20000,Donasi!$B$2:$B$20000,A3904))</f>
        <v/>
      </c>
      <c r="C3904">
        <f>IF(A3904="","",COUNTIF(Donasi!$B$2:$B$20000,A3904))</f>
        <v/>
      </c>
      <c r="D3904">
        <f>IF(A3904="","",SUMIF(Donasi!$B$2:$B$20000,A3904,Donasi!$C$2:$C$20000))</f>
        <v/>
      </c>
      <c r="E3904">
        <f>IF(A3904="","",6-CEILING(PERCENTRANK.INC($B$3:$B$6000,B3904,4)*5+0.000001,1))</f>
        <v/>
      </c>
      <c r="F3904">
        <f>IF(A3904="","",MAX(1,CEILING(PERCENTRANK.INC($C$3:$C$6000,C3904,4)*5+0.000001,1)))</f>
        <v/>
      </c>
      <c r="G3904">
        <f>IF(A3904="","",MAX(1,CEILING(PERCENTRANK.INC($D$3:$D$6000,D3904,4)*5+0.000001,1)))</f>
        <v/>
      </c>
      <c r="H3904">
        <f>IF(A3904="","",E3904&amp;F3904&amp;G3904)</f>
        <v/>
      </c>
      <c r="I3904">
        <f>IF(A3904="","",IF(AND(E3904&gt;=4,F3904&gt;=4,G3904&gt;=4),"Juara",IF(AND(F3904&gt;=4,E3904&gt;=3),"Setia",IF(AND(E3904=5,F3904&lt;=2,G3904&gt;=3),"Berpotensi",IF(AND(E3904&lt;=3,E3904&gt;=2,F3904&gt;=3),"Rawan",IF(AND(E3904&lt;=2,F3904&lt;=2),"Tidur","Umum"))))))</f>
        <v/>
      </c>
    </row>
    <row r="3905">
      <c r="B3905">
        <f>IF(A3905="","",$B$1-MAXIFS(Donasi!$A$2:$A$20000,Donasi!$B$2:$B$20000,A3905))</f>
        <v/>
      </c>
      <c r="C3905">
        <f>IF(A3905="","",COUNTIF(Donasi!$B$2:$B$20000,A3905))</f>
        <v/>
      </c>
      <c r="D3905">
        <f>IF(A3905="","",SUMIF(Donasi!$B$2:$B$20000,A3905,Donasi!$C$2:$C$20000))</f>
        <v/>
      </c>
      <c r="E3905">
        <f>IF(A3905="","",6-CEILING(PERCENTRANK.INC($B$3:$B$6000,B3905,4)*5+0.000001,1))</f>
        <v/>
      </c>
      <c r="F3905">
        <f>IF(A3905="","",MAX(1,CEILING(PERCENTRANK.INC($C$3:$C$6000,C3905,4)*5+0.000001,1)))</f>
        <v/>
      </c>
      <c r="G3905">
        <f>IF(A3905="","",MAX(1,CEILING(PERCENTRANK.INC($D$3:$D$6000,D3905,4)*5+0.000001,1)))</f>
        <v/>
      </c>
      <c r="H3905">
        <f>IF(A3905="","",E3905&amp;F3905&amp;G3905)</f>
        <v/>
      </c>
      <c r="I3905">
        <f>IF(A3905="","",IF(AND(E3905&gt;=4,F3905&gt;=4,G3905&gt;=4),"Juara",IF(AND(F3905&gt;=4,E3905&gt;=3),"Setia",IF(AND(E3905=5,F3905&lt;=2,G3905&gt;=3),"Berpotensi",IF(AND(E3905&lt;=3,E3905&gt;=2,F3905&gt;=3),"Rawan",IF(AND(E3905&lt;=2,F3905&lt;=2),"Tidur","Umum"))))))</f>
        <v/>
      </c>
    </row>
    <row r="3906">
      <c r="B3906">
        <f>IF(A3906="","",$B$1-MAXIFS(Donasi!$A$2:$A$20000,Donasi!$B$2:$B$20000,A3906))</f>
        <v/>
      </c>
      <c r="C3906">
        <f>IF(A3906="","",COUNTIF(Donasi!$B$2:$B$20000,A3906))</f>
        <v/>
      </c>
      <c r="D3906">
        <f>IF(A3906="","",SUMIF(Donasi!$B$2:$B$20000,A3906,Donasi!$C$2:$C$20000))</f>
        <v/>
      </c>
      <c r="E3906">
        <f>IF(A3906="","",6-CEILING(PERCENTRANK.INC($B$3:$B$6000,B3906,4)*5+0.000001,1))</f>
        <v/>
      </c>
      <c r="F3906">
        <f>IF(A3906="","",MAX(1,CEILING(PERCENTRANK.INC($C$3:$C$6000,C3906,4)*5+0.000001,1)))</f>
        <v/>
      </c>
      <c r="G3906">
        <f>IF(A3906="","",MAX(1,CEILING(PERCENTRANK.INC($D$3:$D$6000,D3906,4)*5+0.000001,1)))</f>
        <v/>
      </c>
      <c r="H3906">
        <f>IF(A3906="","",E3906&amp;F3906&amp;G3906)</f>
        <v/>
      </c>
      <c r="I3906">
        <f>IF(A3906="","",IF(AND(E3906&gt;=4,F3906&gt;=4,G3906&gt;=4),"Juara",IF(AND(F3906&gt;=4,E3906&gt;=3),"Setia",IF(AND(E3906=5,F3906&lt;=2,G3906&gt;=3),"Berpotensi",IF(AND(E3906&lt;=3,E3906&gt;=2,F3906&gt;=3),"Rawan",IF(AND(E3906&lt;=2,F3906&lt;=2),"Tidur","Umum"))))))</f>
        <v/>
      </c>
    </row>
    <row r="3907">
      <c r="B3907">
        <f>IF(A3907="","",$B$1-MAXIFS(Donasi!$A$2:$A$20000,Donasi!$B$2:$B$20000,A3907))</f>
        <v/>
      </c>
      <c r="C3907">
        <f>IF(A3907="","",COUNTIF(Donasi!$B$2:$B$20000,A3907))</f>
        <v/>
      </c>
      <c r="D3907">
        <f>IF(A3907="","",SUMIF(Donasi!$B$2:$B$20000,A3907,Donasi!$C$2:$C$20000))</f>
        <v/>
      </c>
      <c r="E3907">
        <f>IF(A3907="","",6-CEILING(PERCENTRANK.INC($B$3:$B$6000,B3907,4)*5+0.000001,1))</f>
        <v/>
      </c>
      <c r="F3907">
        <f>IF(A3907="","",MAX(1,CEILING(PERCENTRANK.INC($C$3:$C$6000,C3907,4)*5+0.000001,1)))</f>
        <v/>
      </c>
      <c r="G3907">
        <f>IF(A3907="","",MAX(1,CEILING(PERCENTRANK.INC($D$3:$D$6000,D3907,4)*5+0.000001,1)))</f>
        <v/>
      </c>
      <c r="H3907">
        <f>IF(A3907="","",E3907&amp;F3907&amp;G3907)</f>
        <v/>
      </c>
      <c r="I3907">
        <f>IF(A3907="","",IF(AND(E3907&gt;=4,F3907&gt;=4,G3907&gt;=4),"Juara",IF(AND(F3907&gt;=4,E3907&gt;=3),"Setia",IF(AND(E3907=5,F3907&lt;=2,G3907&gt;=3),"Berpotensi",IF(AND(E3907&lt;=3,E3907&gt;=2,F3907&gt;=3),"Rawan",IF(AND(E3907&lt;=2,F3907&lt;=2),"Tidur","Umum"))))))</f>
        <v/>
      </c>
    </row>
    <row r="3908">
      <c r="B3908">
        <f>IF(A3908="","",$B$1-MAXIFS(Donasi!$A$2:$A$20000,Donasi!$B$2:$B$20000,A3908))</f>
        <v/>
      </c>
      <c r="C3908">
        <f>IF(A3908="","",COUNTIF(Donasi!$B$2:$B$20000,A3908))</f>
        <v/>
      </c>
      <c r="D3908">
        <f>IF(A3908="","",SUMIF(Donasi!$B$2:$B$20000,A3908,Donasi!$C$2:$C$20000))</f>
        <v/>
      </c>
      <c r="E3908">
        <f>IF(A3908="","",6-CEILING(PERCENTRANK.INC($B$3:$B$6000,B3908,4)*5+0.000001,1))</f>
        <v/>
      </c>
      <c r="F3908">
        <f>IF(A3908="","",MAX(1,CEILING(PERCENTRANK.INC($C$3:$C$6000,C3908,4)*5+0.000001,1)))</f>
        <v/>
      </c>
      <c r="G3908">
        <f>IF(A3908="","",MAX(1,CEILING(PERCENTRANK.INC($D$3:$D$6000,D3908,4)*5+0.000001,1)))</f>
        <v/>
      </c>
      <c r="H3908">
        <f>IF(A3908="","",E3908&amp;F3908&amp;G3908)</f>
        <v/>
      </c>
      <c r="I3908">
        <f>IF(A3908="","",IF(AND(E3908&gt;=4,F3908&gt;=4,G3908&gt;=4),"Juara",IF(AND(F3908&gt;=4,E3908&gt;=3),"Setia",IF(AND(E3908=5,F3908&lt;=2,G3908&gt;=3),"Berpotensi",IF(AND(E3908&lt;=3,E3908&gt;=2,F3908&gt;=3),"Rawan",IF(AND(E3908&lt;=2,F3908&lt;=2),"Tidur","Umum"))))))</f>
        <v/>
      </c>
    </row>
    <row r="3909">
      <c r="B3909">
        <f>IF(A3909="","",$B$1-MAXIFS(Donasi!$A$2:$A$20000,Donasi!$B$2:$B$20000,A3909))</f>
        <v/>
      </c>
      <c r="C3909">
        <f>IF(A3909="","",COUNTIF(Donasi!$B$2:$B$20000,A3909))</f>
        <v/>
      </c>
      <c r="D3909">
        <f>IF(A3909="","",SUMIF(Donasi!$B$2:$B$20000,A3909,Donasi!$C$2:$C$20000))</f>
        <v/>
      </c>
      <c r="E3909">
        <f>IF(A3909="","",6-CEILING(PERCENTRANK.INC($B$3:$B$6000,B3909,4)*5+0.000001,1))</f>
        <v/>
      </c>
      <c r="F3909">
        <f>IF(A3909="","",MAX(1,CEILING(PERCENTRANK.INC($C$3:$C$6000,C3909,4)*5+0.000001,1)))</f>
        <v/>
      </c>
      <c r="G3909">
        <f>IF(A3909="","",MAX(1,CEILING(PERCENTRANK.INC($D$3:$D$6000,D3909,4)*5+0.000001,1)))</f>
        <v/>
      </c>
      <c r="H3909">
        <f>IF(A3909="","",E3909&amp;F3909&amp;G3909)</f>
        <v/>
      </c>
      <c r="I3909">
        <f>IF(A3909="","",IF(AND(E3909&gt;=4,F3909&gt;=4,G3909&gt;=4),"Juara",IF(AND(F3909&gt;=4,E3909&gt;=3),"Setia",IF(AND(E3909=5,F3909&lt;=2,G3909&gt;=3),"Berpotensi",IF(AND(E3909&lt;=3,E3909&gt;=2,F3909&gt;=3),"Rawan",IF(AND(E3909&lt;=2,F3909&lt;=2),"Tidur","Umum"))))))</f>
        <v/>
      </c>
    </row>
    <row r="3910">
      <c r="B3910">
        <f>IF(A3910="","",$B$1-MAXIFS(Donasi!$A$2:$A$20000,Donasi!$B$2:$B$20000,A3910))</f>
        <v/>
      </c>
      <c r="C3910">
        <f>IF(A3910="","",COUNTIF(Donasi!$B$2:$B$20000,A3910))</f>
        <v/>
      </c>
      <c r="D3910">
        <f>IF(A3910="","",SUMIF(Donasi!$B$2:$B$20000,A3910,Donasi!$C$2:$C$20000))</f>
        <v/>
      </c>
      <c r="E3910">
        <f>IF(A3910="","",6-CEILING(PERCENTRANK.INC($B$3:$B$6000,B3910,4)*5+0.000001,1))</f>
        <v/>
      </c>
      <c r="F3910">
        <f>IF(A3910="","",MAX(1,CEILING(PERCENTRANK.INC($C$3:$C$6000,C3910,4)*5+0.000001,1)))</f>
        <v/>
      </c>
      <c r="G3910">
        <f>IF(A3910="","",MAX(1,CEILING(PERCENTRANK.INC($D$3:$D$6000,D3910,4)*5+0.000001,1)))</f>
        <v/>
      </c>
      <c r="H3910">
        <f>IF(A3910="","",E3910&amp;F3910&amp;G3910)</f>
        <v/>
      </c>
      <c r="I3910">
        <f>IF(A3910="","",IF(AND(E3910&gt;=4,F3910&gt;=4,G3910&gt;=4),"Juara",IF(AND(F3910&gt;=4,E3910&gt;=3),"Setia",IF(AND(E3910=5,F3910&lt;=2,G3910&gt;=3),"Berpotensi",IF(AND(E3910&lt;=3,E3910&gt;=2,F3910&gt;=3),"Rawan",IF(AND(E3910&lt;=2,F3910&lt;=2),"Tidur","Umum"))))))</f>
        <v/>
      </c>
    </row>
    <row r="3911">
      <c r="B3911">
        <f>IF(A3911="","",$B$1-MAXIFS(Donasi!$A$2:$A$20000,Donasi!$B$2:$B$20000,A3911))</f>
        <v/>
      </c>
      <c r="C3911">
        <f>IF(A3911="","",COUNTIF(Donasi!$B$2:$B$20000,A3911))</f>
        <v/>
      </c>
      <c r="D3911">
        <f>IF(A3911="","",SUMIF(Donasi!$B$2:$B$20000,A3911,Donasi!$C$2:$C$20000))</f>
        <v/>
      </c>
      <c r="E3911">
        <f>IF(A3911="","",6-CEILING(PERCENTRANK.INC($B$3:$B$6000,B3911,4)*5+0.000001,1))</f>
        <v/>
      </c>
      <c r="F3911">
        <f>IF(A3911="","",MAX(1,CEILING(PERCENTRANK.INC($C$3:$C$6000,C3911,4)*5+0.000001,1)))</f>
        <v/>
      </c>
      <c r="G3911">
        <f>IF(A3911="","",MAX(1,CEILING(PERCENTRANK.INC($D$3:$D$6000,D3911,4)*5+0.000001,1)))</f>
        <v/>
      </c>
      <c r="H3911">
        <f>IF(A3911="","",E3911&amp;F3911&amp;G3911)</f>
        <v/>
      </c>
      <c r="I3911">
        <f>IF(A3911="","",IF(AND(E3911&gt;=4,F3911&gt;=4,G3911&gt;=4),"Juara",IF(AND(F3911&gt;=4,E3911&gt;=3),"Setia",IF(AND(E3911=5,F3911&lt;=2,G3911&gt;=3),"Berpotensi",IF(AND(E3911&lt;=3,E3911&gt;=2,F3911&gt;=3),"Rawan",IF(AND(E3911&lt;=2,F3911&lt;=2),"Tidur","Umum"))))))</f>
        <v/>
      </c>
    </row>
    <row r="3912">
      <c r="B3912">
        <f>IF(A3912="","",$B$1-MAXIFS(Donasi!$A$2:$A$20000,Donasi!$B$2:$B$20000,A3912))</f>
        <v/>
      </c>
      <c r="C3912">
        <f>IF(A3912="","",COUNTIF(Donasi!$B$2:$B$20000,A3912))</f>
        <v/>
      </c>
      <c r="D3912">
        <f>IF(A3912="","",SUMIF(Donasi!$B$2:$B$20000,A3912,Donasi!$C$2:$C$20000))</f>
        <v/>
      </c>
      <c r="E3912">
        <f>IF(A3912="","",6-CEILING(PERCENTRANK.INC($B$3:$B$6000,B3912,4)*5+0.000001,1))</f>
        <v/>
      </c>
      <c r="F3912">
        <f>IF(A3912="","",MAX(1,CEILING(PERCENTRANK.INC($C$3:$C$6000,C3912,4)*5+0.000001,1)))</f>
        <v/>
      </c>
      <c r="G3912">
        <f>IF(A3912="","",MAX(1,CEILING(PERCENTRANK.INC($D$3:$D$6000,D3912,4)*5+0.000001,1)))</f>
        <v/>
      </c>
      <c r="H3912">
        <f>IF(A3912="","",E3912&amp;F3912&amp;G3912)</f>
        <v/>
      </c>
      <c r="I3912">
        <f>IF(A3912="","",IF(AND(E3912&gt;=4,F3912&gt;=4,G3912&gt;=4),"Juara",IF(AND(F3912&gt;=4,E3912&gt;=3),"Setia",IF(AND(E3912=5,F3912&lt;=2,G3912&gt;=3),"Berpotensi",IF(AND(E3912&lt;=3,E3912&gt;=2,F3912&gt;=3),"Rawan",IF(AND(E3912&lt;=2,F3912&lt;=2),"Tidur","Umum"))))))</f>
        <v/>
      </c>
    </row>
    <row r="3913">
      <c r="B3913">
        <f>IF(A3913="","",$B$1-MAXIFS(Donasi!$A$2:$A$20000,Donasi!$B$2:$B$20000,A3913))</f>
        <v/>
      </c>
      <c r="C3913">
        <f>IF(A3913="","",COUNTIF(Donasi!$B$2:$B$20000,A3913))</f>
        <v/>
      </c>
      <c r="D3913">
        <f>IF(A3913="","",SUMIF(Donasi!$B$2:$B$20000,A3913,Donasi!$C$2:$C$20000))</f>
        <v/>
      </c>
      <c r="E3913">
        <f>IF(A3913="","",6-CEILING(PERCENTRANK.INC($B$3:$B$6000,B3913,4)*5+0.000001,1))</f>
        <v/>
      </c>
      <c r="F3913">
        <f>IF(A3913="","",MAX(1,CEILING(PERCENTRANK.INC($C$3:$C$6000,C3913,4)*5+0.000001,1)))</f>
        <v/>
      </c>
      <c r="G3913">
        <f>IF(A3913="","",MAX(1,CEILING(PERCENTRANK.INC($D$3:$D$6000,D3913,4)*5+0.000001,1)))</f>
        <v/>
      </c>
      <c r="H3913">
        <f>IF(A3913="","",E3913&amp;F3913&amp;G3913)</f>
        <v/>
      </c>
      <c r="I3913">
        <f>IF(A3913="","",IF(AND(E3913&gt;=4,F3913&gt;=4,G3913&gt;=4),"Juara",IF(AND(F3913&gt;=4,E3913&gt;=3),"Setia",IF(AND(E3913=5,F3913&lt;=2,G3913&gt;=3),"Berpotensi",IF(AND(E3913&lt;=3,E3913&gt;=2,F3913&gt;=3),"Rawan",IF(AND(E3913&lt;=2,F3913&lt;=2),"Tidur","Umum"))))))</f>
        <v/>
      </c>
    </row>
    <row r="3914">
      <c r="B3914">
        <f>IF(A3914="","",$B$1-MAXIFS(Donasi!$A$2:$A$20000,Donasi!$B$2:$B$20000,A3914))</f>
        <v/>
      </c>
      <c r="C3914">
        <f>IF(A3914="","",COUNTIF(Donasi!$B$2:$B$20000,A3914))</f>
        <v/>
      </c>
      <c r="D3914">
        <f>IF(A3914="","",SUMIF(Donasi!$B$2:$B$20000,A3914,Donasi!$C$2:$C$20000))</f>
        <v/>
      </c>
      <c r="E3914">
        <f>IF(A3914="","",6-CEILING(PERCENTRANK.INC($B$3:$B$6000,B3914,4)*5+0.000001,1))</f>
        <v/>
      </c>
      <c r="F3914">
        <f>IF(A3914="","",MAX(1,CEILING(PERCENTRANK.INC($C$3:$C$6000,C3914,4)*5+0.000001,1)))</f>
        <v/>
      </c>
      <c r="G3914">
        <f>IF(A3914="","",MAX(1,CEILING(PERCENTRANK.INC($D$3:$D$6000,D3914,4)*5+0.000001,1)))</f>
        <v/>
      </c>
      <c r="H3914">
        <f>IF(A3914="","",E3914&amp;F3914&amp;G3914)</f>
        <v/>
      </c>
      <c r="I3914">
        <f>IF(A3914="","",IF(AND(E3914&gt;=4,F3914&gt;=4,G3914&gt;=4),"Juara",IF(AND(F3914&gt;=4,E3914&gt;=3),"Setia",IF(AND(E3914=5,F3914&lt;=2,G3914&gt;=3),"Berpotensi",IF(AND(E3914&lt;=3,E3914&gt;=2,F3914&gt;=3),"Rawan",IF(AND(E3914&lt;=2,F3914&lt;=2),"Tidur","Umum"))))))</f>
        <v/>
      </c>
    </row>
    <row r="3915">
      <c r="B3915">
        <f>IF(A3915="","",$B$1-MAXIFS(Donasi!$A$2:$A$20000,Donasi!$B$2:$B$20000,A3915))</f>
        <v/>
      </c>
      <c r="C3915">
        <f>IF(A3915="","",COUNTIF(Donasi!$B$2:$B$20000,A3915))</f>
        <v/>
      </c>
      <c r="D3915">
        <f>IF(A3915="","",SUMIF(Donasi!$B$2:$B$20000,A3915,Donasi!$C$2:$C$20000))</f>
        <v/>
      </c>
      <c r="E3915">
        <f>IF(A3915="","",6-CEILING(PERCENTRANK.INC($B$3:$B$6000,B3915,4)*5+0.000001,1))</f>
        <v/>
      </c>
      <c r="F3915">
        <f>IF(A3915="","",MAX(1,CEILING(PERCENTRANK.INC($C$3:$C$6000,C3915,4)*5+0.000001,1)))</f>
        <v/>
      </c>
      <c r="G3915">
        <f>IF(A3915="","",MAX(1,CEILING(PERCENTRANK.INC($D$3:$D$6000,D3915,4)*5+0.000001,1)))</f>
        <v/>
      </c>
      <c r="H3915">
        <f>IF(A3915="","",E3915&amp;F3915&amp;G3915)</f>
        <v/>
      </c>
      <c r="I3915">
        <f>IF(A3915="","",IF(AND(E3915&gt;=4,F3915&gt;=4,G3915&gt;=4),"Juara",IF(AND(F3915&gt;=4,E3915&gt;=3),"Setia",IF(AND(E3915=5,F3915&lt;=2,G3915&gt;=3),"Berpotensi",IF(AND(E3915&lt;=3,E3915&gt;=2,F3915&gt;=3),"Rawan",IF(AND(E3915&lt;=2,F3915&lt;=2),"Tidur","Umum"))))))</f>
        <v/>
      </c>
    </row>
    <row r="3916">
      <c r="B3916">
        <f>IF(A3916="","",$B$1-MAXIFS(Donasi!$A$2:$A$20000,Donasi!$B$2:$B$20000,A3916))</f>
        <v/>
      </c>
      <c r="C3916">
        <f>IF(A3916="","",COUNTIF(Donasi!$B$2:$B$20000,A3916))</f>
        <v/>
      </c>
      <c r="D3916">
        <f>IF(A3916="","",SUMIF(Donasi!$B$2:$B$20000,A3916,Donasi!$C$2:$C$20000))</f>
        <v/>
      </c>
      <c r="E3916">
        <f>IF(A3916="","",6-CEILING(PERCENTRANK.INC($B$3:$B$6000,B3916,4)*5+0.000001,1))</f>
        <v/>
      </c>
      <c r="F3916">
        <f>IF(A3916="","",MAX(1,CEILING(PERCENTRANK.INC($C$3:$C$6000,C3916,4)*5+0.000001,1)))</f>
        <v/>
      </c>
      <c r="G3916">
        <f>IF(A3916="","",MAX(1,CEILING(PERCENTRANK.INC($D$3:$D$6000,D3916,4)*5+0.000001,1)))</f>
        <v/>
      </c>
      <c r="H3916">
        <f>IF(A3916="","",E3916&amp;F3916&amp;G3916)</f>
        <v/>
      </c>
      <c r="I3916">
        <f>IF(A3916="","",IF(AND(E3916&gt;=4,F3916&gt;=4,G3916&gt;=4),"Juara",IF(AND(F3916&gt;=4,E3916&gt;=3),"Setia",IF(AND(E3916=5,F3916&lt;=2,G3916&gt;=3),"Berpotensi",IF(AND(E3916&lt;=3,E3916&gt;=2,F3916&gt;=3),"Rawan",IF(AND(E3916&lt;=2,F3916&lt;=2),"Tidur","Umum"))))))</f>
        <v/>
      </c>
    </row>
    <row r="3917">
      <c r="B3917">
        <f>IF(A3917="","",$B$1-MAXIFS(Donasi!$A$2:$A$20000,Donasi!$B$2:$B$20000,A3917))</f>
        <v/>
      </c>
      <c r="C3917">
        <f>IF(A3917="","",COUNTIF(Donasi!$B$2:$B$20000,A3917))</f>
        <v/>
      </c>
      <c r="D3917">
        <f>IF(A3917="","",SUMIF(Donasi!$B$2:$B$20000,A3917,Donasi!$C$2:$C$20000))</f>
        <v/>
      </c>
      <c r="E3917">
        <f>IF(A3917="","",6-CEILING(PERCENTRANK.INC($B$3:$B$6000,B3917,4)*5+0.000001,1))</f>
        <v/>
      </c>
      <c r="F3917">
        <f>IF(A3917="","",MAX(1,CEILING(PERCENTRANK.INC($C$3:$C$6000,C3917,4)*5+0.000001,1)))</f>
        <v/>
      </c>
      <c r="G3917">
        <f>IF(A3917="","",MAX(1,CEILING(PERCENTRANK.INC($D$3:$D$6000,D3917,4)*5+0.000001,1)))</f>
        <v/>
      </c>
      <c r="H3917">
        <f>IF(A3917="","",E3917&amp;F3917&amp;G3917)</f>
        <v/>
      </c>
      <c r="I3917">
        <f>IF(A3917="","",IF(AND(E3917&gt;=4,F3917&gt;=4,G3917&gt;=4),"Juara",IF(AND(F3917&gt;=4,E3917&gt;=3),"Setia",IF(AND(E3917=5,F3917&lt;=2,G3917&gt;=3),"Berpotensi",IF(AND(E3917&lt;=3,E3917&gt;=2,F3917&gt;=3),"Rawan",IF(AND(E3917&lt;=2,F3917&lt;=2),"Tidur","Umum"))))))</f>
        <v/>
      </c>
    </row>
    <row r="3918">
      <c r="B3918">
        <f>IF(A3918="","",$B$1-MAXIFS(Donasi!$A$2:$A$20000,Donasi!$B$2:$B$20000,A3918))</f>
        <v/>
      </c>
      <c r="C3918">
        <f>IF(A3918="","",COUNTIF(Donasi!$B$2:$B$20000,A3918))</f>
        <v/>
      </c>
      <c r="D3918">
        <f>IF(A3918="","",SUMIF(Donasi!$B$2:$B$20000,A3918,Donasi!$C$2:$C$20000))</f>
        <v/>
      </c>
      <c r="E3918">
        <f>IF(A3918="","",6-CEILING(PERCENTRANK.INC($B$3:$B$6000,B3918,4)*5+0.000001,1))</f>
        <v/>
      </c>
      <c r="F3918">
        <f>IF(A3918="","",MAX(1,CEILING(PERCENTRANK.INC($C$3:$C$6000,C3918,4)*5+0.000001,1)))</f>
        <v/>
      </c>
      <c r="G3918">
        <f>IF(A3918="","",MAX(1,CEILING(PERCENTRANK.INC($D$3:$D$6000,D3918,4)*5+0.000001,1)))</f>
        <v/>
      </c>
      <c r="H3918">
        <f>IF(A3918="","",E3918&amp;F3918&amp;G3918)</f>
        <v/>
      </c>
      <c r="I3918">
        <f>IF(A3918="","",IF(AND(E3918&gt;=4,F3918&gt;=4,G3918&gt;=4),"Juara",IF(AND(F3918&gt;=4,E3918&gt;=3),"Setia",IF(AND(E3918=5,F3918&lt;=2,G3918&gt;=3),"Berpotensi",IF(AND(E3918&lt;=3,E3918&gt;=2,F3918&gt;=3),"Rawan",IF(AND(E3918&lt;=2,F3918&lt;=2),"Tidur","Umum"))))))</f>
        <v/>
      </c>
    </row>
    <row r="3919">
      <c r="B3919">
        <f>IF(A3919="","",$B$1-MAXIFS(Donasi!$A$2:$A$20000,Donasi!$B$2:$B$20000,A3919))</f>
        <v/>
      </c>
      <c r="C3919">
        <f>IF(A3919="","",COUNTIF(Donasi!$B$2:$B$20000,A3919))</f>
        <v/>
      </c>
      <c r="D3919">
        <f>IF(A3919="","",SUMIF(Donasi!$B$2:$B$20000,A3919,Donasi!$C$2:$C$20000))</f>
        <v/>
      </c>
      <c r="E3919">
        <f>IF(A3919="","",6-CEILING(PERCENTRANK.INC($B$3:$B$6000,B3919,4)*5+0.000001,1))</f>
        <v/>
      </c>
      <c r="F3919">
        <f>IF(A3919="","",MAX(1,CEILING(PERCENTRANK.INC($C$3:$C$6000,C3919,4)*5+0.000001,1)))</f>
        <v/>
      </c>
      <c r="G3919">
        <f>IF(A3919="","",MAX(1,CEILING(PERCENTRANK.INC($D$3:$D$6000,D3919,4)*5+0.000001,1)))</f>
        <v/>
      </c>
      <c r="H3919">
        <f>IF(A3919="","",E3919&amp;F3919&amp;G3919)</f>
        <v/>
      </c>
      <c r="I3919">
        <f>IF(A3919="","",IF(AND(E3919&gt;=4,F3919&gt;=4,G3919&gt;=4),"Juara",IF(AND(F3919&gt;=4,E3919&gt;=3),"Setia",IF(AND(E3919=5,F3919&lt;=2,G3919&gt;=3),"Berpotensi",IF(AND(E3919&lt;=3,E3919&gt;=2,F3919&gt;=3),"Rawan",IF(AND(E3919&lt;=2,F3919&lt;=2),"Tidur","Umum"))))))</f>
        <v/>
      </c>
    </row>
    <row r="3920">
      <c r="B3920">
        <f>IF(A3920="","",$B$1-MAXIFS(Donasi!$A$2:$A$20000,Donasi!$B$2:$B$20000,A3920))</f>
        <v/>
      </c>
      <c r="C3920">
        <f>IF(A3920="","",COUNTIF(Donasi!$B$2:$B$20000,A3920))</f>
        <v/>
      </c>
      <c r="D3920">
        <f>IF(A3920="","",SUMIF(Donasi!$B$2:$B$20000,A3920,Donasi!$C$2:$C$20000))</f>
        <v/>
      </c>
      <c r="E3920">
        <f>IF(A3920="","",6-CEILING(PERCENTRANK.INC($B$3:$B$6000,B3920,4)*5+0.000001,1))</f>
        <v/>
      </c>
      <c r="F3920">
        <f>IF(A3920="","",MAX(1,CEILING(PERCENTRANK.INC($C$3:$C$6000,C3920,4)*5+0.000001,1)))</f>
        <v/>
      </c>
      <c r="G3920">
        <f>IF(A3920="","",MAX(1,CEILING(PERCENTRANK.INC($D$3:$D$6000,D3920,4)*5+0.000001,1)))</f>
        <v/>
      </c>
      <c r="H3920">
        <f>IF(A3920="","",E3920&amp;F3920&amp;G3920)</f>
        <v/>
      </c>
      <c r="I3920">
        <f>IF(A3920="","",IF(AND(E3920&gt;=4,F3920&gt;=4,G3920&gt;=4),"Juara",IF(AND(F3920&gt;=4,E3920&gt;=3),"Setia",IF(AND(E3920=5,F3920&lt;=2,G3920&gt;=3),"Berpotensi",IF(AND(E3920&lt;=3,E3920&gt;=2,F3920&gt;=3),"Rawan",IF(AND(E3920&lt;=2,F3920&lt;=2),"Tidur","Umum"))))))</f>
        <v/>
      </c>
    </row>
    <row r="3921">
      <c r="B3921">
        <f>IF(A3921="","",$B$1-MAXIFS(Donasi!$A$2:$A$20000,Donasi!$B$2:$B$20000,A3921))</f>
        <v/>
      </c>
      <c r="C3921">
        <f>IF(A3921="","",COUNTIF(Donasi!$B$2:$B$20000,A3921))</f>
        <v/>
      </c>
      <c r="D3921">
        <f>IF(A3921="","",SUMIF(Donasi!$B$2:$B$20000,A3921,Donasi!$C$2:$C$20000))</f>
        <v/>
      </c>
      <c r="E3921">
        <f>IF(A3921="","",6-CEILING(PERCENTRANK.INC($B$3:$B$6000,B3921,4)*5+0.000001,1))</f>
        <v/>
      </c>
      <c r="F3921">
        <f>IF(A3921="","",MAX(1,CEILING(PERCENTRANK.INC($C$3:$C$6000,C3921,4)*5+0.000001,1)))</f>
        <v/>
      </c>
      <c r="G3921">
        <f>IF(A3921="","",MAX(1,CEILING(PERCENTRANK.INC($D$3:$D$6000,D3921,4)*5+0.000001,1)))</f>
        <v/>
      </c>
      <c r="H3921">
        <f>IF(A3921="","",E3921&amp;F3921&amp;G3921)</f>
        <v/>
      </c>
      <c r="I3921">
        <f>IF(A3921="","",IF(AND(E3921&gt;=4,F3921&gt;=4,G3921&gt;=4),"Juara",IF(AND(F3921&gt;=4,E3921&gt;=3),"Setia",IF(AND(E3921=5,F3921&lt;=2,G3921&gt;=3),"Berpotensi",IF(AND(E3921&lt;=3,E3921&gt;=2,F3921&gt;=3),"Rawan",IF(AND(E3921&lt;=2,F3921&lt;=2),"Tidur","Umum"))))))</f>
        <v/>
      </c>
    </row>
    <row r="3922">
      <c r="B3922">
        <f>IF(A3922="","",$B$1-MAXIFS(Donasi!$A$2:$A$20000,Donasi!$B$2:$B$20000,A3922))</f>
        <v/>
      </c>
      <c r="C3922">
        <f>IF(A3922="","",COUNTIF(Donasi!$B$2:$B$20000,A3922))</f>
        <v/>
      </c>
      <c r="D3922">
        <f>IF(A3922="","",SUMIF(Donasi!$B$2:$B$20000,A3922,Donasi!$C$2:$C$20000))</f>
        <v/>
      </c>
      <c r="E3922">
        <f>IF(A3922="","",6-CEILING(PERCENTRANK.INC($B$3:$B$6000,B3922,4)*5+0.000001,1))</f>
        <v/>
      </c>
      <c r="F3922">
        <f>IF(A3922="","",MAX(1,CEILING(PERCENTRANK.INC($C$3:$C$6000,C3922,4)*5+0.000001,1)))</f>
        <v/>
      </c>
      <c r="G3922">
        <f>IF(A3922="","",MAX(1,CEILING(PERCENTRANK.INC($D$3:$D$6000,D3922,4)*5+0.000001,1)))</f>
        <v/>
      </c>
      <c r="H3922">
        <f>IF(A3922="","",E3922&amp;F3922&amp;G3922)</f>
        <v/>
      </c>
      <c r="I3922">
        <f>IF(A3922="","",IF(AND(E3922&gt;=4,F3922&gt;=4,G3922&gt;=4),"Juara",IF(AND(F3922&gt;=4,E3922&gt;=3),"Setia",IF(AND(E3922=5,F3922&lt;=2,G3922&gt;=3),"Berpotensi",IF(AND(E3922&lt;=3,E3922&gt;=2,F3922&gt;=3),"Rawan",IF(AND(E3922&lt;=2,F3922&lt;=2),"Tidur","Umum"))))))</f>
        <v/>
      </c>
    </row>
    <row r="3923">
      <c r="B3923">
        <f>IF(A3923="","",$B$1-MAXIFS(Donasi!$A$2:$A$20000,Donasi!$B$2:$B$20000,A3923))</f>
        <v/>
      </c>
      <c r="C3923">
        <f>IF(A3923="","",COUNTIF(Donasi!$B$2:$B$20000,A3923))</f>
        <v/>
      </c>
      <c r="D3923">
        <f>IF(A3923="","",SUMIF(Donasi!$B$2:$B$20000,A3923,Donasi!$C$2:$C$20000))</f>
        <v/>
      </c>
      <c r="E3923">
        <f>IF(A3923="","",6-CEILING(PERCENTRANK.INC($B$3:$B$6000,B3923,4)*5+0.000001,1))</f>
        <v/>
      </c>
      <c r="F3923">
        <f>IF(A3923="","",MAX(1,CEILING(PERCENTRANK.INC($C$3:$C$6000,C3923,4)*5+0.000001,1)))</f>
        <v/>
      </c>
      <c r="G3923">
        <f>IF(A3923="","",MAX(1,CEILING(PERCENTRANK.INC($D$3:$D$6000,D3923,4)*5+0.000001,1)))</f>
        <v/>
      </c>
      <c r="H3923">
        <f>IF(A3923="","",E3923&amp;F3923&amp;G3923)</f>
        <v/>
      </c>
      <c r="I3923">
        <f>IF(A3923="","",IF(AND(E3923&gt;=4,F3923&gt;=4,G3923&gt;=4),"Juara",IF(AND(F3923&gt;=4,E3923&gt;=3),"Setia",IF(AND(E3923=5,F3923&lt;=2,G3923&gt;=3),"Berpotensi",IF(AND(E3923&lt;=3,E3923&gt;=2,F3923&gt;=3),"Rawan",IF(AND(E3923&lt;=2,F3923&lt;=2),"Tidur","Umum"))))))</f>
        <v/>
      </c>
    </row>
    <row r="3924">
      <c r="B3924">
        <f>IF(A3924="","",$B$1-MAXIFS(Donasi!$A$2:$A$20000,Donasi!$B$2:$B$20000,A3924))</f>
        <v/>
      </c>
      <c r="C3924">
        <f>IF(A3924="","",COUNTIF(Donasi!$B$2:$B$20000,A3924))</f>
        <v/>
      </c>
      <c r="D3924">
        <f>IF(A3924="","",SUMIF(Donasi!$B$2:$B$20000,A3924,Donasi!$C$2:$C$20000))</f>
        <v/>
      </c>
      <c r="E3924">
        <f>IF(A3924="","",6-CEILING(PERCENTRANK.INC($B$3:$B$6000,B3924,4)*5+0.000001,1))</f>
        <v/>
      </c>
      <c r="F3924">
        <f>IF(A3924="","",MAX(1,CEILING(PERCENTRANK.INC($C$3:$C$6000,C3924,4)*5+0.000001,1)))</f>
        <v/>
      </c>
      <c r="G3924">
        <f>IF(A3924="","",MAX(1,CEILING(PERCENTRANK.INC($D$3:$D$6000,D3924,4)*5+0.000001,1)))</f>
        <v/>
      </c>
      <c r="H3924">
        <f>IF(A3924="","",E3924&amp;F3924&amp;G3924)</f>
        <v/>
      </c>
      <c r="I3924">
        <f>IF(A3924="","",IF(AND(E3924&gt;=4,F3924&gt;=4,G3924&gt;=4),"Juara",IF(AND(F3924&gt;=4,E3924&gt;=3),"Setia",IF(AND(E3924=5,F3924&lt;=2,G3924&gt;=3),"Berpotensi",IF(AND(E3924&lt;=3,E3924&gt;=2,F3924&gt;=3),"Rawan",IF(AND(E3924&lt;=2,F3924&lt;=2),"Tidur","Umum"))))))</f>
        <v/>
      </c>
    </row>
    <row r="3925">
      <c r="B3925">
        <f>IF(A3925="","",$B$1-MAXIFS(Donasi!$A$2:$A$20000,Donasi!$B$2:$B$20000,A3925))</f>
        <v/>
      </c>
      <c r="C3925">
        <f>IF(A3925="","",COUNTIF(Donasi!$B$2:$B$20000,A3925))</f>
        <v/>
      </c>
      <c r="D3925">
        <f>IF(A3925="","",SUMIF(Donasi!$B$2:$B$20000,A3925,Donasi!$C$2:$C$20000))</f>
        <v/>
      </c>
      <c r="E3925">
        <f>IF(A3925="","",6-CEILING(PERCENTRANK.INC($B$3:$B$6000,B3925,4)*5+0.000001,1))</f>
        <v/>
      </c>
      <c r="F3925">
        <f>IF(A3925="","",MAX(1,CEILING(PERCENTRANK.INC($C$3:$C$6000,C3925,4)*5+0.000001,1)))</f>
        <v/>
      </c>
      <c r="G3925">
        <f>IF(A3925="","",MAX(1,CEILING(PERCENTRANK.INC($D$3:$D$6000,D3925,4)*5+0.000001,1)))</f>
        <v/>
      </c>
      <c r="H3925">
        <f>IF(A3925="","",E3925&amp;F3925&amp;G3925)</f>
        <v/>
      </c>
      <c r="I3925">
        <f>IF(A3925="","",IF(AND(E3925&gt;=4,F3925&gt;=4,G3925&gt;=4),"Juara",IF(AND(F3925&gt;=4,E3925&gt;=3),"Setia",IF(AND(E3925=5,F3925&lt;=2,G3925&gt;=3),"Berpotensi",IF(AND(E3925&lt;=3,E3925&gt;=2,F3925&gt;=3),"Rawan",IF(AND(E3925&lt;=2,F3925&lt;=2),"Tidur","Umum"))))))</f>
        <v/>
      </c>
    </row>
    <row r="3926">
      <c r="B3926">
        <f>IF(A3926="","",$B$1-MAXIFS(Donasi!$A$2:$A$20000,Donasi!$B$2:$B$20000,A3926))</f>
        <v/>
      </c>
      <c r="C3926">
        <f>IF(A3926="","",COUNTIF(Donasi!$B$2:$B$20000,A3926))</f>
        <v/>
      </c>
      <c r="D3926">
        <f>IF(A3926="","",SUMIF(Donasi!$B$2:$B$20000,A3926,Donasi!$C$2:$C$20000))</f>
        <v/>
      </c>
      <c r="E3926">
        <f>IF(A3926="","",6-CEILING(PERCENTRANK.INC($B$3:$B$6000,B3926,4)*5+0.000001,1))</f>
        <v/>
      </c>
      <c r="F3926">
        <f>IF(A3926="","",MAX(1,CEILING(PERCENTRANK.INC($C$3:$C$6000,C3926,4)*5+0.000001,1)))</f>
        <v/>
      </c>
      <c r="G3926">
        <f>IF(A3926="","",MAX(1,CEILING(PERCENTRANK.INC($D$3:$D$6000,D3926,4)*5+0.000001,1)))</f>
        <v/>
      </c>
      <c r="H3926">
        <f>IF(A3926="","",E3926&amp;F3926&amp;G3926)</f>
        <v/>
      </c>
      <c r="I3926">
        <f>IF(A3926="","",IF(AND(E3926&gt;=4,F3926&gt;=4,G3926&gt;=4),"Juara",IF(AND(F3926&gt;=4,E3926&gt;=3),"Setia",IF(AND(E3926=5,F3926&lt;=2,G3926&gt;=3),"Berpotensi",IF(AND(E3926&lt;=3,E3926&gt;=2,F3926&gt;=3),"Rawan",IF(AND(E3926&lt;=2,F3926&lt;=2),"Tidur","Umum"))))))</f>
        <v/>
      </c>
    </row>
    <row r="3927">
      <c r="B3927">
        <f>IF(A3927="","",$B$1-MAXIFS(Donasi!$A$2:$A$20000,Donasi!$B$2:$B$20000,A3927))</f>
        <v/>
      </c>
      <c r="C3927">
        <f>IF(A3927="","",COUNTIF(Donasi!$B$2:$B$20000,A3927))</f>
        <v/>
      </c>
      <c r="D3927">
        <f>IF(A3927="","",SUMIF(Donasi!$B$2:$B$20000,A3927,Donasi!$C$2:$C$20000))</f>
        <v/>
      </c>
      <c r="E3927">
        <f>IF(A3927="","",6-CEILING(PERCENTRANK.INC($B$3:$B$6000,B3927,4)*5+0.000001,1))</f>
        <v/>
      </c>
      <c r="F3927">
        <f>IF(A3927="","",MAX(1,CEILING(PERCENTRANK.INC($C$3:$C$6000,C3927,4)*5+0.000001,1)))</f>
        <v/>
      </c>
      <c r="G3927">
        <f>IF(A3927="","",MAX(1,CEILING(PERCENTRANK.INC($D$3:$D$6000,D3927,4)*5+0.000001,1)))</f>
        <v/>
      </c>
      <c r="H3927">
        <f>IF(A3927="","",E3927&amp;F3927&amp;G3927)</f>
        <v/>
      </c>
      <c r="I3927">
        <f>IF(A3927="","",IF(AND(E3927&gt;=4,F3927&gt;=4,G3927&gt;=4),"Juara",IF(AND(F3927&gt;=4,E3927&gt;=3),"Setia",IF(AND(E3927=5,F3927&lt;=2,G3927&gt;=3),"Berpotensi",IF(AND(E3927&lt;=3,E3927&gt;=2,F3927&gt;=3),"Rawan",IF(AND(E3927&lt;=2,F3927&lt;=2),"Tidur","Umum"))))))</f>
        <v/>
      </c>
    </row>
    <row r="3928">
      <c r="B3928">
        <f>IF(A3928="","",$B$1-MAXIFS(Donasi!$A$2:$A$20000,Donasi!$B$2:$B$20000,A3928))</f>
        <v/>
      </c>
      <c r="C3928">
        <f>IF(A3928="","",COUNTIF(Donasi!$B$2:$B$20000,A3928))</f>
        <v/>
      </c>
      <c r="D3928">
        <f>IF(A3928="","",SUMIF(Donasi!$B$2:$B$20000,A3928,Donasi!$C$2:$C$20000))</f>
        <v/>
      </c>
      <c r="E3928">
        <f>IF(A3928="","",6-CEILING(PERCENTRANK.INC($B$3:$B$6000,B3928,4)*5+0.000001,1))</f>
        <v/>
      </c>
      <c r="F3928">
        <f>IF(A3928="","",MAX(1,CEILING(PERCENTRANK.INC($C$3:$C$6000,C3928,4)*5+0.000001,1)))</f>
        <v/>
      </c>
      <c r="G3928">
        <f>IF(A3928="","",MAX(1,CEILING(PERCENTRANK.INC($D$3:$D$6000,D3928,4)*5+0.000001,1)))</f>
        <v/>
      </c>
      <c r="H3928">
        <f>IF(A3928="","",E3928&amp;F3928&amp;G3928)</f>
        <v/>
      </c>
      <c r="I3928">
        <f>IF(A3928="","",IF(AND(E3928&gt;=4,F3928&gt;=4,G3928&gt;=4),"Juara",IF(AND(F3928&gt;=4,E3928&gt;=3),"Setia",IF(AND(E3928=5,F3928&lt;=2,G3928&gt;=3),"Berpotensi",IF(AND(E3928&lt;=3,E3928&gt;=2,F3928&gt;=3),"Rawan",IF(AND(E3928&lt;=2,F3928&lt;=2),"Tidur","Umum"))))))</f>
        <v/>
      </c>
    </row>
    <row r="3929">
      <c r="B3929">
        <f>IF(A3929="","",$B$1-MAXIFS(Donasi!$A$2:$A$20000,Donasi!$B$2:$B$20000,A3929))</f>
        <v/>
      </c>
      <c r="C3929">
        <f>IF(A3929="","",COUNTIF(Donasi!$B$2:$B$20000,A3929))</f>
        <v/>
      </c>
      <c r="D3929">
        <f>IF(A3929="","",SUMIF(Donasi!$B$2:$B$20000,A3929,Donasi!$C$2:$C$20000))</f>
        <v/>
      </c>
      <c r="E3929">
        <f>IF(A3929="","",6-CEILING(PERCENTRANK.INC($B$3:$B$6000,B3929,4)*5+0.000001,1))</f>
        <v/>
      </c>
      <c r="F3929">
        <f>IF(A3929="","",MAX(1,CEILING(PERCENTRANK.INC($C$3:$C$6000,C3929,4)*5+0.000001,1)))</f>
        <v/>
      </c>
      <c r="G3929">
        <f>IF(A3929="","",MAX(1,CEILING(PERCENTRANK.INC($D$3:$D$6000,D3929,4)*5+0.000001,1)))</f>
        <v/>
      </c>
      <c r="H3929">
        <f>IF(A3929="","",E3929&amp;F3929&amp;G3929)</f>
        <v/>
      </c>
      <c r="I3929">
        <f>IF(A3929="","",IF(AND(E3929&gt;=4,F3929&gt;=4,G3929&gt;=4),"Juara",IF(AND(F3929&gt;=4,E3929&gt;=3),"Setia",IF(AND(E3929=5,F3929&lt;=2,G3929&gt;=3),"Berpotensi",IF(AND(E3929&lt;=3,E3929&gt;=2,F3929&gt;=3),"Rawan",IF(AND(E3929&lt;=2,F3929&lt;=2),"Tidur","Umum"))))))</f>
        <v/>
      </c>
    </row>
    <row r="3930">
      <c r="B3930">
        <f>IF(A3930="","",$B$1-MAXIFS(Donasi!$A$2:$A$20000,Donasi!$B$2:$B$20000,A3930))</f>
        <v/>
      </c>
      <c r="C3930">
        <f>IF(A3930="","",COUNTIF(Donasi!$B$2:$B$20000,A3930))</f>
        <v/>
      </c>
      <c r="D3930">
        <f>IF(A3930="","",SUMIF(Donasi!$B$2:$B$20000,A3930,Donasi!$C$2:$C$20000))</f>
        <v/>
      </c>
      <c r="E3930">
        <f>IF(A3930="","",6-CEILING(PERCENTRANK.INC($B$3:$B$6000,B3930,4)*5+0.000001,1))</f>
        <v/>
      </c>
      <c r="F3930">
        <f>IF(A3930="","",MAX(1,CEILING(PERCENTRANK.INC($C$3:$C$6000,C3930,4)*5+0.000001,1)))</f>
        <v/>
      </c>
      <c r="G3930">
        <f>IF(A3930="","",MAX(1,CEILING(PERCENTRANK.INC($D$3:$D$6000,D3930,4)*5+0.000001,1)))</f>
        <v/>
      </c>
      <c r="H3930">
        <f>IF(A3930="","",E3930&amp;F3930&amp;G3930)</f>
        <v/>
      </c>
      <c r="I3930">
        <f>IF(A3930="","",IF(AND(E3930&gt;=4,F3930&gt;=4,G3930&gt;=4),"Juara",IF(AND(F3930&gt;=4,E3930&gt;=3),"Setia",IF(AND(E3930=5,F3930&lt;=2,G3930&gt;=3),"Berpotensi",IF(AND(E3930&lt;=3,E3930&gt;=2,F3930&gt;=3),"Rawan",IF(AND(E3930&lt;=2,F3930&lt;=2),"Tidur","Umum"))))))</f>
        <v/>
      </c>
    </row>
    <row r="3931">
      <c r="B3931">
        <f>IF(A3931="","",$B$1-MAXIFS(Donasi!$A$2:$A$20000,Donasi!$B$2:$B$20000,A3931))</f>
        <v/>
      </c>
      <c r="C3931">
        <f>IF(A3931="","",COUNTIF(Donasi!$B$2:$B$20000,A3931))</f>
        <v/>
      </c>
      <c r="D3931">
        <f>IF(A3931="","",SUMIF(Donasi!$B$2:$B$20000,A3931,Donasi!$C$2:$C$20000))</f>
        <v/>
      </c>
      <c r="E3931">
        <f>IF(A3931="","",6-CEILING(PERCENTRANK.INC($B$3:$B$6000,B3931,4)*5+0.000001,1))</f>
        <v/>
      </c>
      <c r="F3931">
        <f>IF(A3931="","",MAX(1,CEILING(PERCENTRANK.INC($C$3:$C$6000,C3931,4)*5+0.000001,1)))</f>
        <v/>
      </c>
      <c r="G3931">
        <f>IF(A3931="","",MAX(1,CEILING(PERCENTRANK.INC($D$3:$D$6000,D3931,4)*5+0.000001,1)))</f>
        <v/>
      </c>
      <c r="H3931">
        <f>IF(A3931="","",E3931&amp;F3931&amp;G3931)</f>
        <v/>
      </c>
      <c r="I3931">
        <f>IF(A3931="","",IF(AND(E3931&gt;=4,F3931&gt;=4,G3931&gt;=4),"Juara",IF(AND(F3931&gt;=4,E3931&gt;=3),"Setia",IF(AND(E3931=5,F3931&lt;=2,G3931&gt;=3),"Berpotensi",IF(AND(E3931&lt;=3,E3931&gt;=2,F3931&gt;=3),"Rawan",IF(AND(E3931&lt;=2,F3931&lt;=2),"Tidur","Umum"))))))</f>
        <v/>
      </c>
    </row>
    <row r="3932">
      <c r="B3932">
        <f>IF(A3932="","",$B$1-MAXIFS(Donasi!$A$2:$A$20000,Donasi!$B$2:$B$20000,A3932))</f>
        <v/>
      </c>
      <c r="C3932">
        <f>IF(A3932="","",COUNTIF(Donasi!$B$2:$B$20000,A3932))</f>
        <v/>
      </c>
      <c r="D3932">
        <f>IF(A3932="","",SUMIF(Donasi!$B$2:$B$20000,A3932,Donasi!$C$2:$C$20000))</f>
        <v/>
      </c>
      <c r="E3932">
        <f>IF(A3932="","",6-CEILING(PERCENTRANK.INC($B$3:$B$6000,B3932,4)*5+0.000001,1))</f>
        <v/>
      </c>
      <c r="F3932">
        <f>IF(A3932="","",MAX(1,CEILING(PERCENTRANK.INC($C$3:$C$6000,C3932,4)*5+0.000001,1)))</f>
        <v/>
      </c>
      <c r="G3932">
        <f>IF(A3932="","",MAX(1,CEILING(PERCENTRANK.INC($D$3:$D$6000,D3932,4)*5+0.000001,1)))</f>
        <v/>
      </c>
      <c r="H3932">
        <f>IF(A3932="","",E3932&amp;F3932&amp;G3932)</f>
        <v/>
      </c>
      <c r="I3932">
        <f>IF(A3932="","",IF(AND(E3932&gt;=4,F3932&gt;=4,G3932&gt;=4),"Juara",IF(AND(F3932&gt;=4,E3932&gt;=3),"Setia",IF(AND(E3932=5,F3932&lt;=2,G3932&gt;=3),"Berpotensi",IF(AND(E3932&lt;=3,E3932&gt;=2,F3932&gt;=3),"Rawan",IF(AND(E3932&lt;=2,F3932&lt;=2),"Tidur","Umum"))))))</f>
        <v/>
      </c>
    </row>
    <row r="3933">
      <c r="B3933">
        <f>IF(A3933="","",$B$1-MAXIFS(Donasi!$A$2:$A$20000,Donasi!$B$2:$B$20000,A3933))</f>
        <v/>
      </c>
      <c r="C3933">
        <f>IF(A3933="","",COUNTIF(Donasi!$B$2:$B$20000,A3933))</f>
        <v/>
      </c>
      <c r="D3933">
        <f>IF(A3933="","",SUMIF(Donasi!$B$2:$B$20000,A3933,Donasi!$C$2:$C$20000))</f>
        <v/>
      </c>
      <c r="E3933">
        <f>IF(A3933="","",6-CEILING(PERCENTRANK.INC($B$3:$B$6000,B3933,4)*5+0.000001,1))</f>
        <v/>
      </c>
      <c r="F3933">
        <f>IF(A3933="","",MAX(1,CEILING(PERCENTRANK.INC($C$3:$C$6000,C3933,4)*5+0.000001,1)))</f>
        <v/>
      </c>
      <c r="G3933">
        <f>IF(A3933="","",MAX(1,CEILING(PERCENTRANK.INC($D$3:$D$6000,D3933,4)*5+0.000001,1)))</f>
        <v/>
      </c>
      <c r="H3933">
        <f>IF(A3933="","",E3933&amp;F3933&amp;G3933)</f>
        <v/>
      </c>
      <c r="I3933">
        <f>IF(A3933="","",IF(AND(E3933&gt;=4,F3933&gt;=4,G3933&gt;=4),"Juara",IF(AND(F3933&gt;=4,E3933&gt;=3),"Setia",IF(AND(E3933=5,F3933&lt;=2,G3933&gt;=3),"Berpotensi",IF(AND(E3933&lt;=3,E3933&gt;=2,F3933&gt;=3),"Rawan",IF(AND(E3933&lt;=2,F3933&lt;=2),"Tidur","Umum"))))))</f>
        <v/>
      </c>
    </row>
    <row r="3934">
      <c r="B3934">
        <f>IF(A3934="","",$B$1-MAXIFS(Donasi!$A$2:$A$20000,Donasi!$B$2:$B$20000,A3934))</f>
        <v/>
      </c>
      <c r="C3934">
        <f>IF(A3934="","",COUNTIF(Donasi!$B$2:$B$20000,A3934))</f>
        <v/>
      </c>
      <c r="D3934">
        <f>IF(A3934="","",SUMIF(Donasi!$B$2:$B$20000,A3934,Donasi!$C$2:$C$20000))</f>
        <v/>
      </c>
      <c r="E3934">
        <f>IF(A3934="","",6-CEILING(PERCENTRANK.INC($B$3:$B$6000,B3934,4)*5+0.000001,1))</f>
        <v/>
      </c>
      <c r="F3934">
        <f>IF(A3934="","",MAX(1,CEILING(PERCENTRANK.INC($C$3:$C$6000,C3934,4)*5+0.000001,1)))</f>
        <v/>
      </c>
      <c r="G3934">
        <f>IF(A3934="","",MAX(1,CEILING(PERCENTRANK.INC($D$3:$D$6000,D3934,4)*5+0.000001,1)))</f>
        <v/>
      </c>
      <c r="H3934">
        <f>IF(A3934="","",E3934&amp;F3934&amp;G3934)</f>
        <v/>
      </c>
      <c r="I3934">
        <f>IF(A3934="","",IF(AND(E3934&gt;=4,F3934&gt;=4,G3934&gt;=4),"Juara",IF(AND(F3934&gt;=4,E3934&gt;=3),"Setia",IF(AND(E3934=5,F3934&lt;=2,G3934&gt;=3),"Berpotensi",IF(AND(E3934&lt;=3,E3934&gt;=2,F3934&gt;=3),"Rawan",IF(AND(E3934&lt;=2,F3934&lt;=2),"Tidur","Umum"))))))</f>
        <v/>
      </c>
    </row>
    <row r="3935">
      <c r="B3935">
        <f>IF(A3935="","",$B$1-MAXIFS(Donasi!$A$2:$A$20000,Donasi!$B$2:$B$20000,A3935))</f>
        <v/>
      </c>
      <c r="C3935">
        <f>IF(A3935="","",COUNTIF(Donasi!$B$2:$B$20000,A3935))</f>
        <v/>
      </c>
      <c r="D3935">
        <f>IF(A3935="","",SUMIF(Donasi!$B$2:$B$20000,A3935,Donasi!$C$2:$C$20000))</f>
        <v/>
      </c>
      <c r="E3935">
        <f>IF(A3935="","",6-CEILING(PERCENTRANK.INC($B$3:$B$6000,B3935,4)*5+0.000001,1))</f>
        <v/>
      </c>
      <c r="F3935">
        <f>IF(A3935="","",MAX(1,CEILING(PERCENTRANK.INC($C$3:$C$6000,C3935,4)*5+0.000001,1)))</f>
        <v/>
      </c>
      <c r="G3935">
        <f>IF(A3935="","",MAX(1,CEILING(PERCENTRANK.INC($D$3:$D$6000,D3935,4)*5+0.000001,1)))</f>
        <v/>
      </c>
      <c r="H3935">
        <f>IF(A3935="","",E3935&amp;F3935&amp;G3935)</f>
        <v/>
      </c>
      <c r="I3935">
        <f>IF(A3935="","",IF(AND(E3935&gt;=4,F3935&gt;=4,G3935&gt;=4),"Juara",IF(AND(F3935&gt;=4,E3935&gt;=3),"Setia",IF(AND(E3935=5,F3935&lt;=2,G3935&gt;=3),"Berpotensi",IF(AND(E3935&lt;=3,E3935&gt;=2,F3935&gt;=3),"Rawan",IF(AND(E3935&lt;=2,F3935&lt;=2),"Tidur","Umum"))))))</f>
        <v/>
      </c>
    </row>
    <row r="3936">
      <c r="B3936">
        <f>IF(A3936="","",$B$1-MAXIFS(Donasi!$A$2:$A$20000,Donasi!$B$2:$B$20000,A3936))</f>
        <v/>
      </c>
      <c r="C3936">
        <f>IF(A3936="","",COUNTIF(Donasi!$B$2:$B$20000,A3936))</f>
        <v/>
      </c>
      <c r="D3936">
        <f>IF(A3936="","",SUMIF(Donasi!$B$2:$B$20000,A3936,Donasi!$C$2:$C$20000))</f>
        <v/>
      </c>
      <c r="E3936">
        <f>IF(A3936="","",6-CEILING(PERCENTRANK.INC($B$3:$B$6000,B3936,4)*5+0.000001,1))</f>
        <v/>
      </c>
      <c r="F3936">
        <f>IF(A3936="","",MAX(1,CEILING(PERCENTRANK.INC($C$3:$C$6000,C3936,4)*5+0.000001,1)))</f>
        <v/>
      </c>
      <c r="G3936">
        <f>IF(A3936="","",MAX(1,CEILING(PERCENTRANK.INC($D$3:$D$6000,D3936,4)*5+0.000001,1)))</f>
        <v/>
      </c>
      <c r="H3936">
        <f>IF(A3936="","",E3936&amp;F3936&amp;G3936)</f>
        <v/>
      </c>
      <c r="I3936">
        <f>IF(A3936="","",IF(AND(E3936&gt;=4,F3936&gt;=4,G3936&gt;=4),"Juara",IF(AND(F3936&gt;=4,E3936&gt;=3),"Setia",IF(AND(E3936=5,F3936&lt;=2,G3936&gt;=3),"Berpotensi",IF(AND(E3936&lt;=3,E3936&gt;=2,F3936&gt;=3),"Rawan",IF(AND(E3936&lt;=2,F3936&lt;=2),"Tidur","Umum"))))))</f>
        <v/>
      </c>
    </row>
    <row r="3937">
      <c r="B3937">
        <f>IF(A3937="","",$B$1-MAXIFS(Donasi!$A$2:$A$20000,Donasi!$B$2:$B$20000,A3937))</f>
        <v/>
      </c>
      <c r="C3937">
        <f>IF(A3937="","",COUNTIF(Donasi!$B$2:$B$20000,A3937))</f>
        <v/>
      </c>
      <c r="D3937">
        <f>IF(A3937="","",SUMIF(Donasi!$B$2:$B$20000,A3937,Donasi!$C$2:$C$20000))</f>
        <v/>
      </c>
      <c r="E3937">
        <f>IF(A3937="","",6-CEILING(PERCENTRANK.INC($B$3:$B$6000,B3937,4)*5+0.000001,1))</f>
        <v/>
      </c>
      <c r="F3937">
        <f>IF(A3937="","",MAX(1,CEILING(PERCENTRANK.INC($C$3:$C$6000,C3937,4)*5+0.000001,1)))</f>
        <v/>
      </c>
      <c r="G3937">
        <f>IF(A3937="","",MAX(1,CEILING(PERCENTRANK.INC($D$3:$D$6000,D3937,4)*5+0.000001,1)))</f>
        <v/>
      </c>
      <c r="H3937">
        <f>IF(A3937="","",E3937&amp;F3937&amp;G3937)</f>
        <v/>
      </c>
      <c r="I3937">
        <f>IF(A3937="","",IF(AND(E3937&gt;=4,F3937&gt;=4,G3937&gt;=4),"Juara",IF(AND(F3937&gt;=4,E3937&gt;=3),"Setia",IF(AND(E3937=5,F3937&lt;=2,G3937&gt;=3),"Berpotensi",IF(AND(E3937&lt;=3,E3937&gt;=2,F3937&gt;=3),"Rawan",IF(AND(E3937&lt;=2,F3937&lt;=2),"Tidur","Umum"))))))</f>
        <v/>
      </c>
    </row>
    <row r="3938">
      <c r="B3938">
        <f>IF(A3938="","",$B$1-MAXIFS(Donasi!$A$2:$A$20000,Donasi!$B$2:$B$20000,A3938))</f>
        <v/>
      </c>
      <c r="C3938">
        <f>IF(A3938="","",COUNTIF(Donasi!$B$2:$B$20000,A3938))</f>
        <v/>
      </c>
      <c r="D3938">
        <f>IF(A3938="","",SUMIF(Donasi!$B$2:$B$20000,A3938,Donasi!$C$2:$C$20000))</f>
        <v/>
      </c>
      <c r="E3938">
        <f>IF(A3938="","",6-CEILING(PERCENTRANK.INC($B$3:$B$6000,B3938,4)*5+0.000001,1))</f>
        <v/>
      </c>
      <c r="F3938">
        <f>IF(A3938="","",MAX(1,CEILING(PERCENTRANK.INC($C$3:$C$6000,C3938,4)*5+0.000001,1)))</f>
        <v/>
      </c>
      <c r="G3938">
        <f>IF(A3938="","",MAX(1,CEILING(PERCENTRANK.INC($D$3:$D$6000,D3938,4)*5+0.000001,1)))</f>
        <v/>
      </c>
      <c r="H3938">
        <f>IF(A3938="","",E3938&amp;F3938&amp;G3938)</f>
        <v/>
      </c>
      <c r="I3938">
        <f>IF(A3938="","",IF(AND(E3938&gt;=4,F3938&gt;=4,G3938&gt;=4),"Juara",IF(AND(F3938&gt;=4,E3938&gt;=3),"Setia",IF(AND(E3938=5,F3938&lt;=2,G3938&gt;=3),"Berpotensi",IF(AND(E3938&lt;=3,E3938&gt;=2,F3938&gt;=3),"Rawan",IF(AND(E3938&lt;=2,F3938&lt;=2),"Tidur","Umum"))))))</f>
        <v/>
      </c>
    </row>
    <row r="3939">
      <c r="B3939">
        <f>IF(A3939="","",$B$1-MAXIFS(Donasi!$A$2:$A$20000,Donasi!$B$2:$B$20000,A3939))</f>
        <v/>
      </c>
      <c r="C3939">
        <f>IF(A3939="","",COUNTIF(Donasi!$B$2:$B$20000,A3939))</f>
        <v/>
      </c>
      <c r="D3939">
        <f>IF(A3939="","",SUMIF(Donasi!$B$2:$B$20000,A3939,Donasi!$C$2:$C$20000))</f>
        <v/>
      </c>
      <c r="E3939">
        <f>IF(A3939="","",6-CEILING(PERCENTRANK.INC($B$3:$B$6000,B3939,4)*5+0.000001,1))</f>
        <v/>
      </c>
      <c r="F3939">
        <f>IF(A3939="","",MAX(1,CEILING(PERCENTRANK.INC($C$3:$C$6000,C3939,4)*5+0.000001,1)))</f>
        <v/>
      </c>
      <c r="G3939">
        <f>IF(A3939="","",MAX(1,CEILING(PERCENTRANK.INC($D$3:$D$6000,D3939,4)*5+0.000001,1)))</f>
        <v/>
      </c>
      <c r="H3939">
        <f>IF(A3939="","",E3939&amp;F3939&amp;G3939)</f>
        <v/>
      </c>
      <c r="I3939">
        <f>IF(A3939="","",IF(AND(E3939&gt;=4,F3939&gt;=4,G3939&gt;=4),"Juara",IF(AND(F3939&gt;=4,E3939&gt;=3),"Setia",IF(AND(E3939=5,F3939&lt;=2,G3939&gt;=3),"Berpotensi",IF(AND(E3939&lt;=3,E3939&gt;=2,F3939&gt;=3),"Rawan",IF(AND(E3939&lt;=2,F3939&lt;=2),"Tidur","Umum"))))))</f>
        <v/>
      </c>
    </row>
    <row r="3940">
      <c r="B3940">
        <f>IF(A3940="","",$B$1-MAXIFS(Donasi!$A$2:$A$20000,Donasi!$B$2:$B$20000,A3940))</f>
        <v/>
      </c>
      <c r="C3940">
        <f>IF(A3940="","",COUNTIF(Donasi!$B$2:$B$20000,A3940))</f>
        <v/>
      </c>
      <c r="D3940">
        <f>IF(A3940="","",SUMIF(Donasi!$B$2:$B$20000,A3940,Donasi!$C$2:$C$20000))</f>
        <v/>
      </c>
      <c r="E3940">
        <f>IF(A3940="","",6-CEILING(PERCENTRANK.INC($B$3:$B$6000,B3940,4)*5+0.000001,1))</f>
        <v/>
      </c>
      <c r="F3940">
        <f>IF(A3940="","",MAX(1,CEILING(PERCENTRANK.INC($C$3:$C$6000,C3940,4)*5+0.000001,1)))</f>
        <v/>
      </c>
      <c r="G3940">
        <f>IF(A3940="","",MAX(1,CEILING(PERCENTRANK.INC($D$3:$D$6000,D3940,4)*5+0.000001,1)))</f>
        <v/>
      </c>
      <c r="H3940">
        <f>IF(A3940="","",E3940&amp;F3940&amp;G3940)</f>
        <v/>
      </c>
      <c r="I3940">
        <f>IF(A3940="","",IF(AND(E3940&gt;=4,F3940&gt;=4,G3940&gt;=4),"Juara",IF(AND(F3940&gt;=4,E3940&gt;=3),"Setia",IF(AND(E3940=5,F3940&lt;=2,G3940&gt;=3),"Berpotensi",IF(AND(E3940&lt;=3,E3940&gt;=2,F3940&gt;=3),"Rawan",IF(AND(E3940&lt;=2,F3940&lt;=2),"Tidur","Umum"))))))</f>
        <v/>
      </c>
    </row>
    <row r="3941">
      <c r="B3941">
        <f>IF(A3941="","",$B$1-MAXIFS(Donasi!$A$2:$A$20000,Donasi!$B$2:$B$20000,A3941))</f>
        <v/>
      </c>
      <c r="C3941">
        <f>IF(A3941="","",COUNTIF(Donasi!$B$2:$B$20000,A3941))</f>
        <v/>
      </c>
      <c r="D3941">
        <f>IF(A3941="","",SUMIF(Donasi!$B$2:$B$20000,A3941,Donasi!$C$2:$C$20000))</f>
        <v/>
      </c>
      <c r="E3941">
        <f>IF(A3941="","",6-CEILING(PERCENTRANK.INC($B$3:$B$6000,B3941,4)*5+0.000001,1))</f>
        <v/>
      </c>
      <c r="F3941">
        <f>IF(A3941="","",MAX(1,CEILING(PERCENTRANK.INC($C$3:$C$6000,C3941,4)*5+0.000001,1)))</f>
        <v/>
      </c>
      <c r="G3941">
        <f>IF(A3941="","",MAX(1,CEILING(PERCENTRANK.INC($D$3:$D$6000,D3941,4)*5+0.000001,1)))</f>
        <v/>
      </c>
      <c r="H3941">
        <f>IF(A3941="","",E3941&amp;F3941&amp;G3941)</f>
        <v/>
      </c>
      <c r="I3941">
        <f>IF(A3941="","",IF(AND(E3941&gt;=4,F3941&gt;=4,G3941&gt;=4),"Juara",IF(AND(F3941&gt;=4,E3941&gt;=3),"Setia",IF(AND(E3941=5,F3941&lt;=2,G3941&gt;=3),"Berpotensi",IF(AND(E3941&lt;=3,E3941&gt;=2,F3941&gt;=3),"Rawan",IF(AND(E3941&lt;=2,F3941&lt;=2),"Tidur","Umum"))))))</f>
        <v/>
      </c>
    </row>
    <row r="3942">
      <c r="B3942">
        <f>IF(A3942="","",$B$1-MAXIFS(Donasi!$A$2:$A$20000,Donasi!$B$2:$B$20000,A3942))</f>
        <v/>
      </c>
      <c r="C3942">
        <f>IF(A3942="","",COUNTIF(Donasi!$B$2:$B$20000,A3942))</f>
        <v/>
      </c>
      <c r="D3942">
        <f>IF(A3942="","",SUMIF(Donasi!$B$2:$B$20000,A3942,Donasi!$C$2:$C$20000))</f>
        <v/>
      </c>
      <c r="E3942">
        <f>IF(A3942="","",6-CEILING(PERCENTRANK.INC($B$3:$B$6000,B3942,4)*5+0.000001,1))</f>
        <v/>
      </c>
      <c r="F3942">
        <f>IF(A3942="","",MAX(1,CEILING(PERCENTRANK.INC($C$3:$C$6000,C3942,4)*5+0.000001,1)))</f>
        <v/>
      </c>
      <c r="G3942">
        <f>IF(A3942="","",MAX(1,CEILING(PERCENTRANK.INC($D$3:$D$6000,D3942,4)*5+0.000001,1)))</f>
        <v/>
      </c>
      <c r="H3942">
        <f>IF(A3942="","",E3942&amp;F3942&amp;G3942)</f>
        <v/>
      </c>
      <c r="I3942">
        <f>IF(A3942="","",IF(AND(E3942&gt;=4,F3942&gt;=4,G3942&gt;=4),"Juara",IF(AND(F3942&gt;=4,E3942&gt;=3),"Setia",IF(AND(E3942=5,F3942&lt;=2,G3942&gt;=3),"Berpotensi",IF(AND(E3942&lt;=3,E3942&gt;=2,F3942&gt;=3),"Rawan",IF(AND(E3942&lt;=2,F3942&lt;=2),"Tidur","Umum"))))))</f>
        <v/>
      </c>
    </row>
    <row r="3943">
      <c r="B3943">
        <f>IF(A3943="","",$B$1-MAXIFS(Donasi!$A$2:$A$20000,Donasi!$B$2:$B$20000,A3943))</f>
        <v/>
      </c>
      <c r="C3943">
        <f>IF(A3943="","",COUNTIF(Donasi!$B$2:$B$20000,A3943))</f>
        <v/>
      </c>
      <c r="D3943">
        <f>IF(A3943="","",SUMIF(Donasi!$B$2:$B$20000,A3943,Donasi!$C$2:$C$20000))</f>
        <v/>
      </c>
      <c r="E3943">
        <f>IF(A3943="","",6-CEILING(PERCENTRANK.INC($B$3:$B$6000,B3943,4)*5+0.000001,1))</f>
        <v/>
      </c>
      <c r="F3943">
        <f>IF(A3943="","",MAX(1,CEILING(PERCENTRANK.INC($C$3:$C$6000,C3943,4)*5+0.000001,1)))</f>
        <v/>
      </c>
      <c r="G3943">
        <f>IF(A3943="","",MAX(1,CEILING(PERCENTRANK.INC($D$3:$D$6000,D3943,4)*5+0.000001,1)))</f>
        <v/>
      </c>
      <c r="H3943">
        <f>IF(A3943="","",E3943&amp;F3943&amp;G3943)</f>
        <v/>
      </c>
      <c r="I3943">
        <f>IF(A3943="","",IF(AND(E3943&gt;=4,F3943&gt;=4,G3943&gt;=4),"Juara",IF(AND(F3943&gt;=4,E3943&gt;=3),"Setia",IF(AND(E3943=5,F3943&lt;=2,G3943&gt;=3),"Berpotensi",IF(AND(E3943&lt;=3,E3943&gt;=2,F3943&gt;=3),"Rawan",IF(AND(E3943&lt;=2,F3943&lt;=2),"Tidur","Umum"))))))</f>
        <v/>
      </c>
    </row>
    <row r="3944">
      <c r="B3944">
        <f>IF(A3944="","",$B$1-MAXIFS(Donasi!$A$2:$A$20000,Donasi!$B$2:$B$20000,A3944))</f>
        <v/>
      </c>
      <c r="C3944">
        <f>IF(A3944="","",COUNTIF(Donasi!$B$2:$B$20000,A3944))</f>
        <v/>
      </c>
      <c r="D3944">
        <f>IF(A3944="","",SUMIF(Donasi!$B$2:$B$20000,A3944,Donasi!$C$2:$C$20000))</f>
        <v/>
      </c>
      <c r="E3944">
        <f>IF(A3944="","",6-CEILING(PERCENTRANK.INC($B$3:$B$6000,B3944,4)*5+0.000001,1))</f>
        <v/>
      </c>
      <c r="F3944">
        <f>IF(A3944="","",MAX(1,CEILING(PERCENTRANK.INC($C$3:$C$6000,C3944,4)*5+0.000001,1)))</f>
        <v/>
      </c>
      <c r="G3944">
        <f>IF(A3944="","",MAX(1,CEILING(PERCENTRANK.INC($D$3:$D$6000,D3944,4)*5+0.000001,1)))</f>
        <v/>
      </c>
      <c r="H3944">
        <f>IF(A3944="","",E3944&amp;F3944&amp;G3944)</f>
        <v/>
      </c>
      <c r="I3944">
        <f>IF(A3944="","",IF(AND(E3944&gt;=4,F3944&gt;=4,G3944&gt;=4),"Juara",IF(AND(F3944&gt;=4,E3944&gt;=3),"Setia",IF(AND(E3944=5,F3944&lt;=2,G3944&gt;=3),"Berpotensi",IF(AND(E3944&lt;=3,E3944&gt;=2,F3944&gt;=3),"Rawan",IF(AND(E3944&lt;=2,F3944&lt;=2),"Tidur","Umum"))))))</f>
        <v/>
      </c>
    </row>
    <row r="3945">
      <c r="B3945">
        <f>IF(A3945="","",$B$1-MAXIFS(Donasi!$A$2:$A$20000,Donasi!$B$2:$B$20000,A3945))</f>
        <v/>
      </c>
      <c r="C3945">
        <f>IF(A3945="","",COUNTIF(Donasi!$B$2:$B$20000,A3945))</f>
        <v/>
      </c>
      <c r="D3945">
        <f>IF(A3945="","",SUMIF(Donasi!$B$2:$B$20000,A3945,Donasi!$C$2:$C$20000))</f>
        <v/>
      </c>
      <c r="E3945">
        <f>IF(A3945="","",6-CEILING(PERCENTRANK.INC($B$3:$B$6000,B3945,4)*5+0.000001,1))</f>
        <v/>
      </c>
      <c r="F3945">
        <f>IF(A3945="","",MAX(1,CEILING(PERCENTRANK.INC($C$3:$C$6000,C3945,4)*5+0.000001,1)))</f>
        <v/>
      </c>
      <c r="G3945">
        <f>IF(A3945="","",MAX(1,CEILING(PERCENTRANK.INC($D$3:$D$6000,D3945,4)*5+0.000001,1)))</f>
        <v/>
      </c>
      <c r="H3945">
        <f>IF(A3945="","",E3945&amp;F3945&amp;G3945)</f>
        <v/>
      </c>
      <c r="I3945">
        <f>IF(A3945="","",IF(AND(E3945&gt;=4,F3945&gt;=4,G3945&gt;=4),"Juara",IF(AND(F3945&gt;=4,E3945&gt;=3),"Setia",IF(AND(E3945=5,F3945&lt;=2,G3945&gt;=3),"Berpotensi",IF(AND(E3945&lt;=3,E3945&gt;=2,F3945&gt;=3),"Rawan",IF(AND(E3945&lt;=2,F3945&lt;=2),"Tidur","Umum"))))))</f>
        <v/>
      </c>
    </row>
    <row r="3946">
      <c r="B3946">
        <f>IF(A3946="","",$B$1-MAXIFS(Donasi!$A$2:$A$20000,Donasi!$B$2:$B$20000,A3946))</f>
        <v/>
      </c>
      <c r="C3946">
        <f>IF(A3946="","",COUNTIF(Donasi!$B$2:$B$20000,A3946))</f>
        <v/>
      </c>
      <c r="D3946">
        <f>IF(A3946="","",SUMIF(Donasi!$B$2:$B$20000,A3946,Donasi!$C$2:$C$20000))</f>
        <v/>
      </c>
      <c r="E3946">
        <f>IF(A3946="","",6-CEILING(PERCENTRANK.INC($B$3:$B$6000,B3946,4)*5+0.000001,1))</f>
        <v/>
      </c>
      <c r="F3946">
        <f>IF(A3946="","",MAX(1,CEILING(PERCENTRANK.INC($C$3:$C$6000,C3946,4)*5+0.000001,1)))</f>
        <v/>
      </c>
      <c r="G3946">
        <f>IF(A3946="","",MAX(1,CEILING(PERCENTRANK.INC($D$3:$D$6000,D3946,4)*5+0.000001,1)))</f>
        <v/>
      </c>
      <c r="H3946">
        <f>IF(A3946="","",E3946&amp;F3946&amp;G3946)</f>
        <v/>
      </c>
      <c r="I3946">
        <f>IF(A3946="","",IF(AND(E3946&gt;=4,F3946&gt;=4,G3946&gt;=4),"Juara",IF(AND(F3946&gt;=4,E3946&gt;=3),"Setia",IF(AND(E3946=5,F3946&lt;=2,G3946&gt;=3),"Berpotensi",IF(AND(E3946&lt;=3,E3946&gt;=2,F3946&gt;=3),"Rawan",IF(AND(E3946&lt;=2,F3946&lt;=2),"Tidur","Umum"))))))</f>
        <v/>
      </c>
    </row>
    <row r="3947">
      <c r="B3947">
        <f>IF(A3947="","",$B$1-MAXIFS(Donasi!$A$2:$A$20000,Donasi!$B$2:$B$20000,A3947))</f>
        <v/>
      </c>
      <c r="C3947">
        <f>IF(A3947="","",COUNTIF(Donasi!$B$2:$B$20000,A3947))</f>
        <v/>
      </c>
      <c r="D3947">
        <f>IF(A3947="","",SUMIF(Donasi!$B$2:$B$20000,A3947,Donasi!$C$2:$C$20000))</f>
        <v/>
      </c>
      <c r="E3947">
        <f>IF(A3947="","",6-CEILING(PERCENTRANK.INC($B$3:$B$6000,B3947,4)*5+0.000001,1))</f>
        <v/>
      </c>
      <c r="F3947">
        <f>IF(A3947="","",MAX(1,CEILING(PERCENTRANK.INC($C$3:$C$6000,C3947,4)*5+0.000001,1)))</f>
        <v/>
      </c>
      <c r="G3947">
        <f>IF(A3947="","",MAX(1,CEILING(PERCENTRANK.INC($D$3:$D$6000,D3947,4)*5+0.000001,1)))</f>
        <v/>
      </c>
      <c r="H3947">
        <f>IF(A3947="","",E3947&amp;F3947&amp;G3947)</f>
        <v/>
      </c>
      <c r="I3947">
        <f>IF(A3947="","",IF(AND(E3947&gt;=4,F3947&gt;=4,G3947&gt;=4),"Juara",IF(AND(F3947&gt;=4,E3947&gt;=3),"Setia",IF(AND(E3947=5,F3947&lt;=2,G3947&gt;=3),"Berpotensi",IF(AND(E3947&lt;=3,E3947&gt;=2,F3947&gt;=3),"Rawan",IF(AND(E3947&lt;=2,F3947&lt;=2),"Tidur","Umum"))))))</f>
        <v/>
      </c>
    </row>
    <row r="3948">
      <c r="B3948">
        <f>IF(A3948="","",$B$1-MAXIFS(Donasi!$A$2:$A$20000,Donasi!$B$2:$B$20000,A3948))</f>
        <v/>
      </c>
      <c r="C3948">
        <f>IF(A3948="","",COUNTIF(Donasi!$B$2:$B$20000,A3948))</f>
        <v/>
      </c>
      <c r="D3948">
        <f>IF(A3948="","",SUMIF(Donasi!$B$2:$B$20000,A3948,Donasi!$C$2:$C$20000))</f>
        <v/>
      </c>
      <c r="E3948">
        <f>IF(A3948="","",6-CEILING(PERCENTRANK.INC($B$3:$B$6000,B3948,4)*5+0.000001,1))</f>
        <v/>
      </c>
      <c r="F3948">
        <f>IF(A3948="","",MAX(1,CEILING(PERCENTRANK.INC($C$3:$C$6000,C3948,4)*5+0.000001,1)))</f>
        <v/>
      </c>
      <c r="G3948">
        <f>IF(A3948="","",MAX(1,CEILING(PERCENTRANK.INC($D$3:$D$6000,D3948,4)*5+0.000001,1)))</f>
        <v/>
      </c>
      <c r="H3948">
        <f>IF(A3948="","",E3948&amp;F3948&amp;G3948)</f>
        <v/>
      </c>
      <c r="I3948">
        <f>IF(A3948="","",IF(AND(E3948&gt;=4,F3948&gt;=4,G3948&gt;=4),"Juara",IF(AND(F3948&gt;=4,E3948&gt;=3),"Setia",IF(AND(E3948=5,F3948&lt;=2,G3948&gt;=3),"Berpotensi",IF(AND(E3948&lt;=3,E3948&gt;=2,F3948&gt;=3),"Rawan",IF(AND(E3948&lt;=2,F3948&lt;=2),"Tidur","Umum"))))))</f>
        <v/>
      </c>
    </row>
    <row r="3949">
      <c r="B3949">
        <f>IF(A3949="","",$B$1-MAXIFS(Donasi!$A$2:$A$20000,Donasi!$B$2:$B$20000,A3949))</f>
        <v/>
      </c>
      <c r="C3949">
        <f>IF(A3949="","",COUNTIF(Donasi!$B$2:$B$20000,A3949))</f>
        <v/>
      </c>
      <c r="D3949">
        <f>IF(A3949="","",SUMIF(Donasi!$B$2:$B$20000,A3949,Donasi!$C$2:$C$20000))</f>
        <v/>
      </c>
      <c r="E3949">
        <f>IF(A3949="","",6-CEILING(PERCENTRANK.INC($B$3:$B$6000,B3949,4)*5+0.000001,1))</f>
        <v/>
      </c>
      <c r="F3949">
        <f>IF(A3949="","",MAX(1,CEILING(PERCENTRANK.INC($C$3:$C$6000,C3949,4)*5+0.000001,1)))</f>
        <v/>
      </c>
      <c r="G3949">
        <f>IF(A3949="","",MAX(1,CEILING(PERCENTRANK.INC($D$3:$D$6000,D3949,4)*5+0.000001,1)))</f>
        <v/>
      </c>
      <c r="H3949">
        <f>IF(A3949="","",E3949&amp;F3949&amp;G3949)</f>
        <v/>
      </c>
      <c r="I3949">
        <f>IF(A3949="","",IF(AND(E3949&gt;=4,F3949&gt;=4,G3949&gt;=4),"Juara",IF(AND(F3949&gt;=4,E3949&gt;=3),"Setia",IF(AND(E3949=5,F3949&lt;=2,G3949&gt;=3),"Berpotensi",IF(AND(E3949&lt;=3,E3949&gt;=2,F3949&gt;=3),"Rawan",IF(AND(E3949&lt;=2,F3949&lt;=2),"Tidur","Umum"))))))</f>
        <v/>
      </c>
    </row>
    <row r="3950">
      <c r="B3950">
        <f>IF(A3950="","",$B$1-MAXIFS(Donasi!$A$2:$A$20000,Donasi!$B$2:$B$20000,A3950))</f>
        <v/>
      </c>
      <c r="C3950">
        <f>IF(A3950="","",COUNTIF(Donasi!$B$2:$B$20000,A3950))</f>
        <v/>
      </c>
      <c r="D3950">
        <f>IF(A3950="","",SUMIF(Donasi!$B$2:$B$20000,A3950,Donasi!$C$2:$C$20000))</f>
        <v/>
      </c>
      <c r="E3950">
        <f>IF(A3950="","",6-CEILING(PERCENTRANK.INC($B$3:$B$6000,B3950,4)*5+0.000001,1))</f>
        <v/>
      </c>
      <c r="F3950">
        <f>IF(A3950="","",MAX(1,CEILING(PERCENTRANK.INC($C$3:$C$6000,C3950,4)*5+0.000001,1)))</f>
        <v/>
      </c>
      <c r="G3950">
        <f>IF(A3950="","",MAX(1,CEILING(PERCENTRANK.INC($D$3:$D$6000,D3950,4)*5+0.000001,1)))</f>
        <v/>
      </c>
      <c r="H3950">
        <f>IF(A3950="","",E3950&amp;F3950&amp;G3950)</f>
        <v/>
      </c>
      <c r="I3950">
        <f>IF(A3950="","",IF(AND(E3950&gt;=4,F3950&gt;=4,G3950&gt;=4),"Juara",IF(AND(F3950&gt;=4,E3950&gt;=3),"Setia",IF(AND(E3950=5,F3950&lt;=2,G3950&gt;=3),"Berpotensi",IF(AND(E3950&lt;=3,E3950&gt;=2,F3950&gt;=3),"Rawan",IF(AND(E3950&lt;=2,F3950&lt;=2),"Tidur","Umum"))))))</f>
        <v/>
      </c>
    </row>
    <row r="3951">
      <c r="B3951">
        <f>IF(A3951="","",$B$1-MAXIFS(Donasi!$A$2:$A$20000,Donasi!$B$2:$B$20000,A3951))</f>
        <v/>
      </c>
      <c r="C3951">
        <f>IF(A3951="","",COUNTIF(Donasi!$B$2:$B$20000,A3951))</f>
        <v/>
      </c>
      <c r="D3951">
        <f>IF(A3951="","",SUMIF(Donasi!$B$2:$B$20000,A3951,Donasi!$C$2:$C$20000))</f>
        <v/>
      </c>
      <c r="E3951">
        <f>IF(A3951="","",6-CEILING(PERCENTRANK.INC($B$3:$B$6000,B3951,4)*5+0.000001,1))</f>
        <v/>
      </c>
      <c r="F3951">
        <f>IF(A3951="","",MAX(1,CEILING(PERCENTRANK.INC($C$3:$C$6000,C3951,4)*5+0.000001,1)))</f>
        <v/>
      </c>
      <c r="G3951">
        <f>IF(A3951="","",MAX(1,CEILING(PERCENTRANK.INC($D$3:$D$6000,D3951,4)*5+0.000001,1)))</f>
        <v/>
      </c>
      <c r="H3951">
        <f>IF(A3951="","",E3951&amp;F3951&amp;G3951)</f>
        <v/>
      </c>
      <c r="I3951">
        <f>IF(A3951="","",IF(AND(E3951&gt;=4,F3951&gt;=4,G3951&gt;=4),"Juara",IF(AND(F3951&gt;=4,E3951&gt;=3),"Setia",IF(AND(E3951=5,F3951&lt;=2,G3951&gt;=3),"Berpotensi",IF(AND(E3951&lt;=3,E3951&gt;=2,F3951&gt;=3),"Rawan",IF(AND(E3951&lt;=2,F3951&lt;=2),"Tidur","Umum"))))))</f>
        <v/>
      </c>
    </row>
    <row r="3952">
      <c r="B3952">
        <f>IF(A3952="","",$B$1-MAXIFS(Donasi!$A$2:$A$20000,Donasi!$B$2:$B$20000,A3952))</f>
        <v/>
      </c>
      <c r="C3952">
        <f>IF(A3952="","",COUNTIF(Donasi!$B$2:$B$20000,A3952))</f>
        <v/>
      </c>
      <c r="D3952">
        <f>IF(A3952="","",SUMIF(Donasi!$B$2:$B$20000,A3952,Donasi!$C$2:$C$20000))</f>
        <v/>
      </c>
      <c r="E3952">
        <f>IF(A3952="","",6-CEILING(PERCENTRANK.INC($B$3:$B$6000,B3952,4)*5+0.000001,1))</f>
        <v/>
      </c>
      <c r="F3952">
        <f>IF(A3952="","",MAX(1,CEILING(PERCENTRANK.INC($C$3:$C$6000,C3952,4)*5+0.000001,1)))</f>
        <v/>
      </c>
      <c r="G3952">
        <f>IF(A3952="","",MAX(1,CEILING(PERCENTRANK.INC($D$3:$D$6000,D3952,4)*5+0.000001,1)))</f>
        <v/>
      </c>
      <c r="H3952">
        <f>IF(A3952="","",E3952&amp;F3952&amp;G3952)</f>
        <v/>
      </c>
      <c r="I3952">
        <f>IF(A3952="","",IF(AND(E3952&gt;=4,F3952&gt;=4,G3952&gt;=4),"Juara",IF(AND(F3952&gt;=4,E3952&gt;=3),"Setia",IF(AND(E3952=5,F3952&lt;=2,G3952&gt;=3),"Berpotensi",IF(AND(E3952&lt;=3,E3952&gt;=2,F3952&gt;=3),"Rawan",IF(AND(E3952&lt;=2,F3952&lt;=2),"Tidur","Umum"))))))</f>
        <v/>
      </c>
    </row>
    <row r="3953">
      <c r="B3953">
        <f>IF(A3953="","",$B$1-MAXIFS(Donasi!$A$2:$A$20000,Donasi!$B$2:$B$20000,A3953))</f>
        <v/>
      </c>
      <c r="C3953">
        <f>IF(A3953="","",COUNTIF(Donasi!$B$2:$B$20000,A3953))</f>
        <v/>
      </c>
      <c r="D3953">
        <f>IF(A3953="","",SUMIF(Donasi!$B$2:$B$20000,A3953,Donasi!$C$2:$C$20000))</f>
        <v/>
      </c>
      <c r="E3953">
        <f>IF(A3953="","",6-CEILING(PERCENTRANK.INC($B$3:$B$6000,B3953,4)*5+0.000001,1))</f>
        <v/>
      </c>
      <c r="F3953">
        <f>IF(A3953="","",MAX(1,CEILING(PERCENTRANK.INC($C$3:$C$6000,C3953,4)*5+0.000001,1)))</f>
        <v/>
      </c>
      <c r="G3953">
        <f>IF(A3953="","",MAX(1,CEILING(PERCENTRANK.INC($D$3:$D$6000,D3953,4)*5+0.000001,1)))</f>
        <v/>
      </c>
      <c r="H3953">
        <f>IF(A3953="","",E3953&amp;F3953&amp;G3953)</f>
        <v/>
      </c>
      <c r="I3953">
        <f>IF(A3953="","",IF(AND(E3953&gt;=4,F3953&gt;=4,G3953&gt;=4),"Juara",IF(AND(F3953&gt;=4,E3953&gt;=3),"Setia",IF(AND(E3953=5,F3953&lt;=2,G3953&gt;=3),"Berpotensi",IF(AND(E3953&lt;=3,E3953&gt;=2,F3953&gt;=3),"Rawan",IF(AND(E3953&lt;=2,F3953&lt;=2),"Tidur","Umum"))))))</f>
        <v/>
      </c>
    </row>
    <row r="3954">
      <c r="B3954">
        <f>IF(A3954="","",$B$1-MAXIFS(Donasi!$A$2:$A$20000,Donasi!$B$2:$B$20000,A3954))</f>
        <v/>
      </c>
      <c r="C3954">
        <f>IF(A3954="","",COUNTIF(Donasi!$B$2:$B$20000,A3954))</f>
        <v/>
      </c>
      <c r="D3954">
        <f>IF(A3954="","",SUMIF(Donasi!$B$2:$B$20000,A3954,Donasi!$C$2:$C$20000))</f>
        <v/>
      </c>
      <c r="E3954">
        <f>IF(A3954="","",6-CEILING(PERCENTRANK.INC($B$3:$B$6000,B3954,4)*5+0.000001,1))</f>
        <v/>
      </c>
      <c r="F3954">
        <f>IF(A3954="","",MAX(1,CEILING(PERCENTRANK.INC($C$3:$C$6000,C3954,4)*5+0.000001,1)))</f>
        <v/>
      </c>
      <c r="G3954">
        <f>IF(A3954="","",MAX(1,CEILING(PERCENTRANK.INC($D$3:$D$6000,D3954,4)*5+0.000001,1)))</f>
        <v/>
      </c>
      <c r="H3954">
        <f>IF(A3954="","",E3954&amp;F3954&amp;G3954)</f>
        <v/>
      </c>
      <c r="I3954">
        <f>IF(A3954="","",IF(AND(E3954&gt;=4,F3954&gt;=4,G3954&gt;=4),"Juara",IF(AND(F3954&gt;=4,E3954&gt;=3),"Setia",IF(AND(E3954=5,F3954&lt;=2,G3954&gt;=3),"Berpotensi",IF(AND(E3954&lt;=3,E3954&gt;=2,F3954&gt;=3),"Rawan",IF(AND(E3954&lt;=2,F3954&lt;=2),"Tidur","Umum"))))))</f>
        <v/>
      </c>
    </row>
    <row r="3955">
      <c r="B3955">
        <f>IF(A3955="","",$B$1-MAXIFS(Donasi!$A$2:$A$20000,Donasi!$B$2:$B$20000,A3955))</f>
        <v/>
      </c>
      <c r="C3955">
        <f>IF(A3955="","",COUNTIF(Donasi!$B$2:$B$20000,A3955))</f>
        <v/>
      </c>
      <c r="D3955">
        <f>IF(A3955="","",SUMIF(Donasi!$B$2:$B$20000,A3955,Donasi!$C$2:$C$20000))</f>
        <v/>
      </c>
      <c r="E3955">
        <f>IF(A3955="","",6-CEILING(PERCENTRANK.INC($B$3:$B$6000,B3955,4)*5+0.000001,1))</f>
        <v/>
      </c>
      <c r="F3955">
        <f>IF(A3955="","",MAX(1,CEILING(PERCENTRANK.INC($C$3:$C$6000,C3955,4)*5+0.000001,1)))</f>
        <v/>
      </c>
      <c r="G3955">
        <f>IF(A3955="","",MAX(1,CEILING(PERCENTRANK.INC($D$3:$D$6000,D3955,4)*5+0.000001,1)))</f>
        <v/>
      </c>
      <c r="H3955">
        <f>IF(A3955="","",E3955&amp;F3955&amp;G3955)</f>
        <v/>
      </c>
      <c r="I3955">
        <f>IF(A3955="","",IF(AND(E3955&gt;=4,F3955&gt;=4,G3955&gt;=4),"Juara",IF(AND(F3955&gt;=4,E3955&gt;=3),"Setia",IF(AND(E3955=5,F3955&lt;=2,G3955&gt;=3),"Berpotensi",IF(AND(E3955&lt;=3,E3955&gt;=2,F3955&gt;=3),"Rawan",IF(AND(E3955&lt;=2,F3955&lt;=2),"Tidur","Umum"))))))</f>
        <v/>
      </c>
    </row>
    <row r="3956">
      <c r="B3956">
        <f>IF(A3956="","",$B$1-MAXIFS(Donasi!$A$2:$A$20000,Donasi!$B$2:$B$20000,A3956))</f>
        <v/>
      </c>
      <c r="C3956">
        <f>IF(A3956="","",COUNTIF(Donasi!$B$2:$B$20000,A3956))</f>
        <v/>
      </c>
      <c r="D3956">
        <f>IF(A3956="","",SUMIF(Donasi!$B$2:$B$20000,A3956,Donasi!$C$2:$C$20000))</f>
        <v/>
      </c>
      <c r="E3956">
        <f>IF(A3956="","",6-CEILING(PERCENTRANK.INC($B$3:$B$6000,B3956,4)*5+0.000001,1))</f>
        <v/>
      </c>
      <c r="F3956">
        <f>IF(A3956="","",MAX(1,CEILING(PERCENTRANK.INC($C$3:$C$6000,C3956,4)*5+0.000001,1)))</f>
        <v/>
      </c>
      <c r="G3956">
        <f>IF(A3956="","",MAX(1,CEILING(PERCENTRANK.INC($D$3:$D$6000,D3956,4)*5+0.000001,1)))</f>
        <v/>
      </c>
      <c r="H3956">
        <f>IF(A3956="","",E3956&amp;F3956&amp;G3956)</f>
        <v/>
      </c>
      <c r="I3956">
        <f>IF(A3956="","",IF(AND(E3956&gt;=4,F3956&gt;=4,G3956&gt;=4),"Juara",IF(AND(F3956&gt;=4,E3956&gt;=3),"Setia",IF(AND(E3956=5,F3956&lt;=2,G3956&gt;=3),"Berpotensi",IF(AND(E3956&lt;=3,E3956&gt;=2,F3956&gt;=3),"Rawan",IF(AND(E3956&lt;=2,F3956&lt;=2),"Tidur","Umum"))))))</f>
        <v/>
      </c>
    </row>
    <row r="3957">
      <c r="B3957">
        <f>IF(A3957="","",$B$1-MAXIFS(Donasi!$A$2:$A$20000,Donasi!$B$2:$B$20000,A3957))</f>
        <v/>
      </c>
      <c r="C3957">
        <f>IF(A3957="","",COUNTIF(Donasi!$B$2:$B$20000,A3957))</f>
        <v/>
      </c>
      <c r="D3957">
        <f>IF(A3957="","",SUMIF(Donasi!$B$2:$B$20000,A3957,Donasi!$C$2:$C$20000))</f>
        <v/>
      </c>
      <c r="E3957">
        <f>IF(A3957="","",6-CEILING(PERCENTRANK.INC($B$3:$B$6000,B3957,4)*5+0.000001,1))</f>
        <v/>
      </c>
      <c r="F3957">
        <f>IF(A3957="","",MAX(1,CEILING(PERCENTRANK.INC($C$3:$C$6000,C3957,4)*5+0.000001,1)))</f>
        <v/>
      </c>
      <c r="G3957">
        <f>IF(A3957="","",MAX(1,CEILING(PERCENTRANK.INC($D$3:$D$6000,D3957,4)*5+0.000001,1)))</f>
        <v/>
      </c>
      <c r="H3957">
        <f>IF(A3957="","",E3957&amp;F3957&amp;G3957)</f>
        <v/>
      </c>
      <c r="I3957">
        <f>IF(A3957="","",IF(AND(E3957&gt;=4,F3957&gt;=4,G3957&gt;=4),"Juara",IF(AND(F3957&gt;=4,E3957&gt;=3),"Setia",IF(AND(E3957=5,F3957&lt;=2,G3957&gt;=3),"Berpotensi",IF(AND(E3957&lt;=3,E3957&gt;=2,F3957&gt;=3),"Rawan",IF(AND(E3957&lt;=2,F3957&lt;=2),"Tidur","Umum"))))))</f>
        <v/>
      </c>
    </row>
    <row r="3958">
      <c r="B3958">
        <f>IF(A3958="","",$B$1-MAXIFS(Donasi!$A$2:$A$20000,Donasi!$B$2:$B$20000,A3958))</f>
        <v/>
      </c>
      <c r="C3958">
        <f>IF(A3958="","",COUNTIF(Donasi!$B$2:$B$20000,A3958))</f>
        <v/>
      </c>
      <c r="D3958">
        <f>IF(A3958="","",SUMIF(Donasi!$B$2:$B$20000,A3958,Donasi!$C$2:$C$20000))</f>
        <v/>
      </c>
      <c r="E3958">
        <f>IF(A3958="","",6-CEILING(PERCENTRANK.INC($B$3:$B$6000,B3958,4)*5+0.000001,1))</f>
        <v/>
      </c>
      <c r="F3958">
        <f>IF(A3958="","",MAX(1,CEILING(PERCENTRANK.INC($C$3:$C$6000,C3958,4)*5+0.000001,1)))</f>
        <v/>
      </c>
      <c r="G3958">
        <f>IF(A3958="","",MAX(1,CEILING(PERCENTRANK.INC($D$3:$D$6000,D3958,4)*5+0.000001,1)))</f>
        <v/>
      </c>
      <c r="H3958">
        <f>IF(A3958="","",E3958&amp;F3958&amp;G3958)</f>
        <v/>
      </c>
      <c r="I3958">
        <f>IF(A3958="","",IF(AND(E3958&gt;=4,F3958&gt;=4,G3958&gt;=4),"Juara",IF(AND(F3958&gt;=4,E3958&gt;=3),"Setia",IF(AND(E3958=5,F3958&lt;=2,G3958&gt;=3),"Berpotensi",IF(AND(E3958&lt;=3,E3958&gt;=2,F3958&gt;=3),"Rawan",IF(AND(E3958&lt;=2,F3958&lt;=2),"Tidur","Umum"))))))</f>
        <v/>
      </c>
    </row>
    <row r="3959">
      <c r="B3959">
        <f>IF(A3959="","",$B$1-MAXIFS(Donasi!$A$2:$A$20000,Donasi!$B$2:$B$20000,A3959))</f>
        <v/>
      </c>
      <c r="C3959">
        <f>IF(A3959="","",COUNTIF(Donasi!$B$2:$B$20000,A3959))</f>
        <v/>
      </c>
      <c r="D3959">
        <f>IF(A3959="","",SUMIF(Donasi!$B$2:$B$20000,A3959,Donasi!$C$2:$C$20000))</f>
        <v/>
      </c>
      <c r="E3959">
        <f>IF(A3959="","",6-CEILING(PERCENTRANK.INC($B$3:$B$6000,B3959,4)*5+0.000001,1))</f>
        <v/>
      </c>
      <c r="F3959">
        <f>IF(A3959="","",MAX(1,CEILING(PERCENTRANK.INC($C$3:$C$6000,C3959,4)*5+0.000001,1)))</f>
        <v/>
      </c>
      <c r="G3959">
        <f>IF(A3959="","",MAX(1,CEILING(PERCENTRANK.INC($D$3:$D$6000,D3959,4)*5+0.000001,1)))</f>
        <v/>
      </c>
      <c r="H3959">
        <f>IF(A3959="","",E3959&amp;F3959&amp;G3959)</f>
        <v/>
      </c>
      <c r="I3959">
        <f>IF(A3959="","",IF(AND(E3959&gt;=4,F3959&gt;=4,G3959&gt;=4),"Juara",IF(AND(F3959&gt;=4,E3959&gt;=3),"Setia",IF(AND(E3959=5,F3959&lt;=2,G3959&gt;=3),"Berpotensi",IF(AND(E3959&lt;=3,E3959&gt;=2,F3959&gt;=3),"Rawan",IF(AND(E3959&lt;=2,F3959&lt;=2),"Tidur","Umum"))))))</f>
        <v/>
      </c>
    </row>
    <row r="3960">
      <c r="B3960">
        <f>IF(A3960="","",$B$1-MAXIFS(Donasi!$A$2:$A$20000,Donasi!$B$2:$B$20000,A3960))</f>
        <v/>
      </c>
      <c r="C3960">
        <f>IF(A3960="","",COUNTIF(Donasi!$B$2:$B$20000,A3960))</f>
        <v/>
      </c>
      <c r="D3960">
        <f>IF(A3960="","",SUMIF(Donasi!$B$2:$B$20000,A3960,Donasi!$C$2:$C$20000))</f>
        <v/>
      </c>
      <c r="E3960">
        <f>IF(A3960="","",6-CEILING(PERCENTRANK.INC($B$3:$B$6000,B3960,4)*5+0.000001,1))</f>
        <v/>
      </c>
      <c r="F3960">
        <f>IF(A3960="","",MAX(1,CEILING(PERCENTRANK.INC($C$3:$C$6000,C3960,4)*5+0.000001,1)))</f>
        <v/>
      </c>
      <c r="G3960">
        <f>IF(A3960="","",MAX(1,CEILING(PERCENTRANK.INC($D$3:$D$6000,D3960,4)*5+0.000001,1)))</f>
        <v/>
      </c>
      <c r="H3960">
        <f>IF(A3960="","",E3960&amp;F3960&amp;G3960)</f>
        <v/>
      </c>
      <c r="I3960">
        <f>IF(A3960="","",IF(AND(E3960&gt;=4,F3960&gt;=4,G3960&gt;=4),"Juara",IF(AND(F3960&gt;=4,E3960&gt;=3),"Setia",IF(AND(E3960=5,F3960&lt;=2,G3960&gt;=3),"Berpotensi",IF(AND(E3960&lt;=3,E3960&gt;=2,F3960&gt;=3),"Rawan",IF(AND(E3960&lt;=2,F3960&lt;=2),"Tidur","Umum"))))))</f>
        <v/>
      </c>
    </row>
    <row r="3961">
      <c r="B3961">
        <f>IF(A3961="","",$B$1-MAXIFS(Donasi!$A$2:$A$20000,Donasi!$B$2:$B$20000,A3961))</f>
        <v/>
      </c>
      <c r="C3961">
        <f>IF(A3961="","",COUNTIF(Donasi!$B$2:$B$20000,A3961))</f>
        <v/>
      </c>
      <c r="D3961">
        <f>IF(A3961="","",SUMIF(Donasi!$B$2:$B$20000,A3961,Donasi!$C$2:$C$20000))</f>
        <v/>
      </c>
      <c r="E3961">
        <f>IF(A3961="","",6-CEILING(PERCENTRANK.INC($B$3:$B$6000,B3961,4)*5+0.000001,1))</f>
        <v/>
      </c>
      <c r="F3961">
        <f>IF(A3961="","",MAX(1,CEILING(PERCENTRANK.INC($C$3:$C$6000,C3961,4)*5+0.000001,1)))</f>
        <v/>
      </c>
      <c r="G3961">
        <f>IF(A3961="","",MAX(1,CEILING(PERCENTRANK.INC($D$3:$D$6000,D3961,4)*5+0.000001,1)))</f>
        <v/>
      </c>
      <c r="H3961">
        <f>IF(A3961="","",E3961&amp;F3961&amp;G3961)</f>
        <v/>
      </c>
      <c r="I3961">
        <f>IF(A3961="","",IF(AND(E3961&gt;=4,F3961&gt;=4,G3961&gt;=4),"Juara",IF(AND(F3961&gt;=4,E3961&gt;=3),"Setia",IF(AND(E3961=5,F3961&lt;=2,G3961&gt;=3),"Berpotensi",IF(AND(E3961&lt;=3,E3961&gt;=2,F3961&gt;=3),"Rawan",IF(AND(E3961&lt;=2,F3961&lt;=2),"Tidur","Umum"))))))</f>
        <v/>
      </c>
    </row>
    <row r="3962">
      <c r="B3962">
        <f>IF(A3962="","",$B$1-MAXIFS(Donasi!$A$2:$A$20000,Donasi!$B$2:$B$20000,A3962))</f>
        <v/>
      </c>
      <c r="C3962">
        <f>IF(A3962="","",COUNTIF(Donasi!$B$2:$B$20000,A3962))</f>
        <v/>
      </c>
      <c r="D3962">
        <f>IF(A3962="","",SUMIF(Donasi!$B$2:$B$20000,A3962,Donasi!$C$2:$C$20000))</f>
        <v/>
      </c>
      <c r="E3962">
        <f>IF(A3962="","",6-CEILING(PERCENTRANK.INC($B$3:$B$6000,B3962,4)*5+0.000001,1))</f>
        <v/>
      </c>
      <c r="F3962">
        <f>IF(A3962="","",MAX(1,CEILING(PERCENTRANK.INC($C$3:$C$6000,C3962,4)*5+0.000001,1)))</f>
        <v/>
      </c>
      <c r="G3962">
        <f>IF(A3962="","",MAX(1,CEILING(PERCENTRANK.INC($D$3:$D$6000,D3962,4)*5+0.000001,1)))</f>
        <v/>
      </c>
      <c r="H3962">
        <f>IF(A3962="","",E3962&amp;F3962&amp;G3962)</f>
        <v/>
      </c>
      <c r="I3962">
        <f>IF(A3962="","",IF(AND(E3962&gt;=4,F3962&gt;=4,G3962&gt;=4),"Juara",IF(AND(F3962&gt;=4,E3962&gt;=3),"Setia",IF(AND(E3962=5,F3962&lt;=2,G3962&gt;=3),"Berpotensi",IF(AND(E3962&lt;=3,E3962&gt;=2,F3962&gt;=3),"Rawan",IF(AND(E3962&lt;=2,F3962&lt;=2),"Tidur","Umum"))))))</f>
        <v/>
      </c>
    </row>
    <row r="3963">
      <c r="B3963">
        <f>IF(A3963="","",$B$1-MAXIFS(Donasi!$A$2:$A$20000,Donasi!$B$2:$B$20000,A3963))</f>
        <v/>
      </c>
      <c r="C3963">
        <f>IF(A3963="","",COUNTIF(Donasi!$B$2:$B$20000,A3963))</f>
        <v/>
      </c>
      <c r="D3963">
        <f>IF(A3963="","",SUMIF(Donasi!$B$2:$B$20000,A3963,Donasi!$C$2:$C$20000))</f>
        <v/>
      </c>
      <c r="E3963">
        <f>IF(A3963="","",6-CEILING(PERCENTRANK.INC($B$3:$B$6000,B3963,4)*5+0.000001,1))</f>
        <v/>
      </c>
      <c r="F3963">
        <f>IF(A3963="","",MAX(1,CEILING(PERCENTRANK.INC($C$3:$C$6000,C3963,4)*5+0.000001,1)))</f>
        <v/>
      </c>
      <c r="G3963">
        <f>IF(A3963="","",MAX(1,CEILING(PERCENTRANK.INC($D$3:$D$6000,D3963,4)*5+0.000001,1)))</f>
        <v/>
      </c>
      <c r="H3963">
        <f>IF(A3963="","",E3963&amp;F3963&amp;G3963)</f>
        <v/>
      </c>
      <c r="I3963">
        <f>IF(A3963="","",IF(AND(E3963&gt;=4,F3963&gt;=4,G3963&gt;=4),"Juara",IF(AND(F3963&gt;=4,E3963&gt;=3),"Setia",IF(AND(E3963=5,F3963&lt;=2,G3963&gt;=3),"Berpotensi",IF(AND(E3963&lt;=3,E3963&gt;=2,F3963&gt;=3),"Rawan",IF(AND(E3963&lt;=2,F3963&lt;=2),"Tidur","Umum"))))))</f>
        <v/>
      </c>
    </row>
    <row r="3964">
      <c r="B3964">
        <f>IF(A3964="","",$B$1-MAXIFS(Donasi!$A$2:$A$20000,Donasi!$B$2:$B$20000,A3964))</f>
        <v/>
      </c>
      <c r="C3964">
        <f>IF(A3964="","",COUNTIF(Donasi!$B$2:$B$20000,A3964))</f>
        <v/>
      </c>
      <c r="D3964">
        <f>IF(A3964="","",SUMIF(Donasi!$B$2:$B$20000,A3964,Donasi!$C$2:$C$20000))</f>
        <v/>
      </c>
      <c r="E3964">
        <f>IF(A3964="","",6-CEILING(PERCENTRANK.INC($B$3:$B$6000,B3964,4)*5+0.000001,1))</f>
        <v/>
      </c>
      <c r="F3964">
        <f>IF(A3964="","",MAX(1,CEILING(PERCENTRANK.INC($C$3:$C$6000,C3964,4)*5+0.000001,1)))</f>
        <v/>
      </c>
      <c r="G3964">
        <f>IF(A3964="","",MAX(1,CEILING(PERCENTRANK.INC($D$3:$D$6000,D3964,4)*5+0.000001,1)))</f>
        <v/>
      </c>
      <c r="H3964">
        <f>IF(A3964="","",E3964&amp;F3964&amp;G3964)</f>
        <v/>
      </c>
      <c r="I3964">
        <f>IF(A3964="","",IF(AND(E3964&gt;=4,F3964&gt;=4,G3964&gt;=4),"Juara",IF(AND(F3964&gt;=4,E3964&gt;=3),"Setia",IF(AND(E3964=5,F3964&lt;=2,G3964&gt;=3),"Berpotensi",IF(AND(E3964&lt;=3,E3964&gt;=2,F3964&gt;=3),"Rawan",IF(AND(E3964&lt;=2,F3964&lt;=2),"Tidur","Umum"))))))</f>
        <v/>
      </c>
    </row>
    <row r="3965">
      <c r="B3965">
        <f>IF(A3965="","",$B$1-MAXIFS(Donasi!$A$2:$A$20000,Donasi!$B$2:$B$20000,A3965))</f>
        <v/>
      </c>
      <c r="C3965">
        <f>IF(A3965="","",COUNTIF(Donasi!$B$2:$B$20000,A3965))</f>
        <v/>
      </c>
      <c r="D3965">
        <f>IF(A3965="","",SUMIF(Donasi!$B$2:$B$20000,A3965,Donasi!$C$2:$C$20000))</f>
        <v/>
      </c>
      <c r="E3965">
        <f>IF(A3965="","",6-CEILING(PERCENTRANK.INC($B$3:$B$6000,B3965,4)*5+0.000001,1))</f>
        <v/>
      </c>
      <c r="F3965">
        <f>IF(A3965="","",MAX(1,CEILING(PERCENTRANK.INC($C$3:$C$6000,C3965,4)*5+0.000001,1)))</f>
        <v/>
      </c>
      <c r="G3965">
        <f>IF(A3965="","",MAX(1,CEILING(PERCENTRANK.INC($D$3:$D$6000,D3965,4)*5+0.000001,1)))</f>
        <v/>
      </c>
      <c r="H3965">
        <f>IF(A3965="","",E3965&amp;F3965&amp;G3965)</f>
        <v/>
      </c>
      <c r="I3965">
        <f>IF(A3965="","",IF(AND(E3965&gt;=4,F3965&gt;=4,G3965&gt;=4),"Juara",IF(AND(F3965&gt;=4,E3965&gt;=3),"Setia",IF(AND(E3965=5,F3965&lt;=2,G3965&gt;=3),"Berpotensi",IF(AND(E3965&lt;=3,E3965&gt;=2,F3965&gt;=3),"Rawan",IF(AND(E3965&lt;=2,F3965&lt;=2),"Tidur","Umum"))))))</f>
        <v/>
      </c>
    </row>
    <row r="3966">
      <c r="B3966">
        <f>IF(A3966="","",$B$1-MAXIFS(Donasi!$A$2:$A$20000,Donasi!$B$2:$B$20000,A3966))</f>
        <v/>
      </c>
      <c r="C3966">
        <f>IF(A3966="","",COUNTIF(Donasi!$B$2:$B$20000,A3966))</f>
        <v/>
      </c>
      <c r="D3966">
        <f>IF(A3966="","",SUMIF(Donasi!$B$2:$B$20000,A3966,Donasi!$C$2:$C$20000))</f>
        <v/>
      </c>
      <c r="E3966">
        <f>IF(A3966="","",6-CEILING(PERCENTRANK.INC($B$3:$B$6000,B3966,4)*5+0.000001,1))</f>
        <v/>
      </c>
      <c r="F3966">
        <f>IF(A3966="","",MAX(1,CEILING(PERCENTRANK.INC($C$3:$C$6000,C3966,4)*5+0.000001,1)))</f>
        <v/>
      </c>
      <c r="G3966">
        <f>IF(A3966="","",MAX(1,CEILING(PERCENTRANK.INC($D$3:$D$6000,D3966,4)*5+0.000001,1)))</f>
        <v/>
      </c>
      <c r="H3966">
        <f>IF(A3966="","",E3966&amp;F3966&amp;G3966)</f>
        <v/>
      </c>
      <c r="I3966">
        <f>IF(A3966="","",IF(AND(E3966&gt;=4,F3966&gt;=4,G3966&gt;=4),"Juara",IF(AND(F3966&gt;=4,E3966&gt;=3),"Setia",IF(AND(E3966=5,F3966&lt;=2,G3966&gt;=3),"Berpotensi",IF(AND(E3966&lt;=3,E3966&gt;=2,F3966&gt;=3),"Rawan",IF(AND(E3966&lt;=2,F3966&lt;=2),"Tidur","Umum"))))))</f>
        <v/>
      </c>
    </row>
    <row r="3967">
      <c r="B3967">
        <f>IF(A3967="","",$B$1-MAXIFS(Donasi!$A$2:$A$20000,Donasi!$B$2:$B$20000,A3967))</f>
        <v/>
      </c>
      <c r="C3967">
        <f>IF(A3967="","",COUNTIF(Donasi!$B$2:$B$20000,A3967))</f>
        <v/>
      </c>
      <c r="D3967">
        <f>IF(A3967="","",SUMIF(Donasi!$B$2:$B$20000,A3967,Donasi!$C$2:$C$20000))</f>
        <v/>
      </c>
      <c r="E3967">
        <f>IF(A3967="","",6-CEILING(PERCENTRANK.INC($B$3:$B$6000,B3967,4)*5+0.000001,1))</f>
        <v/>
      </c>
      <c r="F3967">
        <f>IF(A3967="","",MAX(1,CEILING(PERCENTRANK.INC($C$3:$C$6000,C3967,4)*5+0.000001,1)))</f>
        <v/>
      </c>
      <c r="G3967">
        <f>IF(A3967="","",MAX(1,CEILING(PERCENTRANK.INC($D$3:$D$6000,D3967,4)*5+0.000001,1)))</f>
        <v/>
      </c>
      <c r="H3967">
        <f>IF(A3967="","",E3967&amp;F3967&amp;G3967)</f>
        <v/>
      </c>
      <c r="I3967">
        <f>IF(A3967="","",IF(AND(E3967&gt;=4,F3967&gt;=4,G3967&gt;=4),"Juara",IF(AND(F3967&gt;=4,E3967&gt;=3),"Setia",IF(AND(E3967=5,F3967&lt;=2,G3967&gt;=3),"Berpotensi",IF(AND(E3967&lt;=3,E3967&gt;=2,F3967&gt;=3),"Rawan",IF(AND(E3967&lt;=2,F3967&lt;=2),"Tidur","Umum"))))))</f>
        <v/>
      </c>
    </row>
    <row r="3968">
      <c r="B3968">
        <f>IF(A3968="","",$B$1-MAXIFS(Donasi!$A$2:$A$20000,Donasi!$B$2:$B$20000,A3968))</f>
        <v/>
      </c>
      <c r="C3968">
        <f>IF(A3968="","",COUNTIF(Donasi!$B$2:$B$20000,A3968))</f>
        <v/>
      </c>
      <c r="D3968">
        <f>IF(A3968="","",SUMIF(Donasi!$B$2:$B$20000,A3968,Donasi!$C$2:$C$20000))</f>
        <v/>
      </c>
      <c r="E3968">
        <f>IF(A3968="","",6-CEILING(PERCENTRANK.INC($B$3:$B$6000,B3968,4)*5+0.000001,1))</f>
        <v/>
      </c>
      <c r="F3968">
        <f>IF(A3968="","",MAX(1,CEILING(PERCENTRANK.INC($C$3:$C$6000,C3968,4)*5+0.000001,1)))</f>
        <v/>
      </c>
      <c r="G3968">
        <f>IF(A3968="","",MAX(1,CEILING(PERCENTRANK.INC($D$3:$D$6000,D3968,4)*5+0.000001,1)))</f>
        <v/>
      </c>
      <c r="H3968">
        <f>IF(A3968="","",E3968&amp;F3968&amp;G3968)</f>
        <v/>
      </c>
      <c r="I3968">
        <f>IF(A3968="","",IF(AND(E3968&gt;=4,F3968&gt;=4,G3968&gt;=4),"Juara",IF(AND(F3968&gt;=4,E3968&gt;=3),"Setia",IF(AND(E3968=5,F3968&lt;=2,G3968&gt;=3),"Berpotensi",IF(AND(E3968&lt;=3,E3968&gt;=2,F3968&gt;=3),"Rawan",IF(AND(E3968&lt;=2,F3968&lt;=2),"Tidur","Umum"))))))</f>
        <v/>
      </c>
    </row>
    <row r="3969">
      <c r="B3969">
        <f>IF(A3969="","",$B$1-MAXIFS(Donasi!$A$2:$A$20000,Donasi!$B$2:$B$20000,A3969))</f>
        <v/>
      </c>
      <c r="C3969">
        <f>IF(A3969="","",COUNTIF(Donasi!$B$2:$B$20000,A3969))</f>
        <v/>
      </c>
      <c r="D3969">
        <f>IF(A3969="","",SUMIF(Donasi!$B$2:$B$20000,A3969,Donasi!$C$2:$C$20000))</f>
        <v/>
      </c>
      <c r="E3969">
        <f>IF(A3969="","",6-CEILING(PERCENTRANK.INC($B$3:$B$6000,B3969,4)*5+0.000001,1))</f>
        <v/>
      </c>
      <c r="F3969">
        <f>IF(A3969="","",MAX(1,CEILING(PERCENTRANK.INC($C$3:$C$6000,C3969,4)*5+0.000001,1)))</f>
        <v/>
      </c>
      <c r="G3969">
        <f>IF(A3969="","",MAX(1,CEILING(PERCENTRANK.INC($D$3:$D$6000,D3969,4)*5+0.000001,1)))</f>
        <v/>
      </c>
      <c r="H3969">
        <f>IF(A3969="","",E3969&amp;F3969&amp;G3969)</f>
        <v/>
      </c>
      <c r="I3969">
        <f>IF(A3969="","",IF(AND(E3969&gt;=4,F3969&gt;=4,G3969&gt;=4),"Juara",IF(AND(F3969&gt;=4,E3969&gt;=3),"Setia",IF(AND(E3969=5,F3969&lt;=2,G3969&gt;=3),"Berpotensi",IF(AND(E3969&lt;=3,E3969&gt;=2,F3969&gt;=3),"Rawan",IF(AND(E3969&lt;=2,F3969&lt;=2),"Tidur","Umum"))))))</f>
        <v/>
      </c>
    </row>
    <row r="3970">
      <c r="B3970">
        <f>IF(A3970="","",$B$1-MAXIFS(Donasi!$A$2:$A$20000,Donasi!$B$2:$B$20000,A3970))</f>
        <v/>
      </c>
      <c r="C3970">
        <f>IF(A3970="","",COUNTIF(Donasi!$B$2:$B$20000,A3970))</f>
        <v/>
      </c>
      <c r="D3970">
        <f>IF(A3970="","",SUMIF(Donasi!$B$2:$B$20000,A3970,Donasi!$C$2:$C$20000))</f>
        <v/>
      </c>
      <c r="E3970">
        <f>IF(A3970="","",6-CEILING(PERCENTRANK.INC($B$3:$B$6000,B3970,4)*5+0.000001,1))</f>
        <v/>
      </c>
      <c r="F3970">
        <f>IF(A3970="","",MAX(1,CEILING(PERCENTRANK.INC($C$3:$C$6000,C3970,4)*5+0.000001,1)))</f>
        <v/>
      </c>
      <c r="G3970">
        <f>IF(A3970="","",MAX(1,CEILING(PERCENTRANK.INC($D$3:$D$6000,D3970,4)*5+0.000001,1)))</f>
        <v/>
      </c>
      <c r="H3970">
        <f>IF(A3970="","",E3970&amp;F3970&amp;G3970)</f>
        <v/>
      </c>
      <c r="I3970">
        <f>IF(A3970="","",IF(AND(E3970&gt;=4,F3970&gt;=4,G3970&gt;=4),"Juara",IF(AND(F3970&gt;=4,E3970&gt;=3),"Setia",IF(AND(E3970=5,F3970&lt;=2,G3970&gt;=3),"Berpotensi",IF(AND(E3970&lt;=3,E3970&gt;=2,F3970&gt;=3),"Rawan",IF(AND(E3970&lt;=2,F3970&lt;=2),"Tidur","Umum"))))))</f>
        <v/>
      </c>
    </row>
    <row r="3971">
      <c r="B3971">
        <f>IF(A3971="","",$B$1-MAXIFS(Donasi!$A$2:$A$20000,Donasi!$B$2:$B$20000,A3971))</f>
        <v/>
      </c>
      <c r="C3971">
        <f>IF(A3971="","",COUNTIF(Donasi!$B$2:$B$20000,A3971))</f>
        <v/>
      </c>
      <c r="D3971">
        <f>IF(A3971="","",SUMIF(Donasi!$B$2:$B$20000,A3971,Donasi!$C$2:$C$20000))</f>
        <v/>
      </c>
      <c r="E3971">
        <f>IF(A3971="","",6-CEILING(PERCENTRANK.INC($B$3:$B$6000,B3971,4)*5+0.000001,1))</f>
        <v/>
      </c>
      <c r="F3971">
        <f>IF(A3971="","",MAX(1,CEILING(PERCENTRANK.INC($C$3:$C$6000,C3971,4)*5+0.000001,1)))</f>
        <v/>
      </c>
      <c r="G3971">
        <f>IF(A3971="","",MAX(1,CEILING(PERCENTRANK.INC($D$3:$D$6000,D3971,4)*5+0.000001,1)))</f>
        <v/>
      </c>
      <c r="H3971">
        <f>IF(A3971="","",E3971&amp;F3971&amp;G3971)</f>
        <v/>
      </c>
      <c r="I3971">
        <f>IF(A3971="","",IF(AND(E3971&gt;=4,F3971&gt;=4,G3971&gt;=4),"Juara",IF(AND(F3971&gt;=4,E3971&gt;=3),"Setia",IF(AND(E3971=5,F3971&lt;=2,G3971&gt;=3),"Berpotensi",IF(AND(E3971&lt;=3,E3971&gt;=2,F3971&gt;=3),"Rawan",IF(AND(E3971&lt;=2,F3971&lt;=2),"Tidur","Umum"))))))</f>
        <v/>
      </c>
    </row>
    <row r="3972">
      <c r="B3972">
        <f>IF(A3972="","",$B$1-MAXIFS(Donasi!$A$2:$A$20000,Donasi!$B$2:$B$20000,A3972))</f>
        <v/>
      </c>
      <c r="C3972">
        <f>IF(A3972="","",COUNTIF(Donasi!$B$2:$B$20000,A3972))</f>
        <v/>
      </c>
      <c r="D3972">
        <f>IF(A3972="","",SUMIF(Donasi!$B$2:$B$20000,A3972,Donasi!$C$2:$C$20000))</f>
        <v/>
      </c>
      <c r="E3972">
        <f>IF(A3972="","",6-CEILING(PERCENTRANK.INC($B$3:$B$6000,B3972,4)*5+0.000001,1))</f>
        <v/>
      </c>
      <c r="F3972">
        <f>IF(A3972="","",MAX(1,CEILING(PERCENTRANK.INC($C$3:$C$6000,C3972,4)*5+0.000001,1)))</f>
        <v/>
      </c>
      <c r="G3972">
        <f>IF(A3972="","",MAX(1,CEILING(PERCENTRANK.INC($D$3:$D$6000,D3972,4)*5+0.000001,1)))</f>
        <v/>
      </c>
      <c r="H3972">
        <f>IF(A3972="","",E3972&amp;F3972&amp;G3972)</f>
        <v/>
      </c>
      <c r="I3972">
        <f>IF(A3972="","",IF(AND(E3972&gt;=4,F3972&gt;=4,G3972&gt;=4),"Juara",IF(AND(F3972&gt;=4,E3972&gt;=3),"Setia",IF(AND(E3972=5,F3972&lt;=2,G3972&gt;=3),"Berpotensi",IF(AND(E3972&lt;=3,E3972&gt;=2,F3972&gt;=3),"Rawan",IF(AND(E3972&lt;=2,F3972&lt;=2),"Tidur","Umum"))))))</f>
        <v/>
      </c>
    </row>
    <row r="3973">
      <c r="B3973">
        <f>IF(A3973="","",$B$1-MAXIFS(Donasi!$A$2:$A$20000,Donasi!$B$2:$B$20000,A3973))</f>
        <v/>
      </c>
      <c r="C3973">
        <f>IF(A3973="","",COUNTIF(Donasi!$B$2:$B$20000,A3973))</f>
        <v/>
      </c>
      <c r="D3973">
        <f>IF(A3973="","",SUMIF(Donasi!$B$2:$B$20000,A3973,Donasi!$C$2:$C$20000))</f>
        <v/>
      </c>
      <c r="E3973">
        <f>IF(A3973="","",6-CEILING(PERCENTRANK.INC($B$3:$B$6000,B3973,4)*5+0.000001,1))</f>
        <v/>
      </c>
      <c r="F3973">
        <f>IF(A3973="","",MAX(1,CEILING(PERCENTRANK.INC($C$3:$C$6000,C3973,4)*5+0.000001,1)))</f>
        <v/>
      </c>
      <c r="G3973">
        <f>IF(A3973="","",MAX(1,CEILING(PERCENTRANK.INC($D$3:$D$6000,D3973,4)*5+0.000001,1)))</f>
        <v/>
      </c>
      <c r="H3973">
        <f>IF(A3973="","",E3973&amp;F3973&amp;G3973)</f>
        <v/>
      </c>
      <c r="I3973">
        <f>IF(A3973="","",IF(AND(E3973&gt;=4,F3973&gt;=4,G3973&gt;=4),"Juara",IF(AND(F3973&gt;=4,E3973&gt;=3),"Setia",IF(AND(E3973=5,F3973&lt;=2,G3973&gt;=3),"Berpotensi",IF(AND(E3973&lt;=3,E3973&gt;=2,F3973&gt;=3),"Rawan",IF(AND(E3973&lt;=2,F3973&lt;=2),"Tidur","Umum"))))))</f>
        <v/>
      </c>
    </row>
    <row r="3974">
      <c r="B3974">
        <f>IF(A3974="","",$B$1-MAXIFS(Donasi!$A$2:$A$20000,Donasi!$B$2:$B$20000,A3974))</f>
        <v/>
      </c>
      <c r="C3974">
        <f>IF(A3974="","",COUNTIF(Donasi!$B$2:$B$20000,A3974))</f>
        <v/>
      </c>
      <c r="D3974">
        <f>IF(A3974="","",SUMIF(Donasi!$B$2:$B$20000,A3974,Donasi!$C$2:$C$20000))</f>
        <v/>
      </c>
      <c r="E3974">
        <f>IF(A3974="","",6-CEILING(PERCENTRANK.INC($B$3:$B$6000,B3974,4)*5+0.000001,1))</f>
        <v/>
      </c>
      <c r="F3974">
        <f>IF(A3974="","",MAX(1,CEILING(PERCENTRANK.INC($C$3:$C$6000,C3974,4)*5+0.000001,1)))</f>
        <v/>
      </c>
      <c r="G3974">
        <f>IF(A3974="","",MAX(1,CEILING(PERCENTRANK.INC($D$3:$D$6000,D3974,4)*5+0.000001,1)))</f>
        <v/>
      </c>
      <c r="H3974">
        <f>IF(A3974="","",E3974&amp;F3974&amp;G3974)</f>
        <v/>
      </c>
      <c r="I3974">
        <f>IF(A3974="","",IF(AND(E3974&gt;=4,F3974&gt;=4,G3974&gt;=4),"Juara",IF(AND(F3974&gt;=4,E3974&gt;=3),"Setia",IF(AND(E3974=5,F3974&lt;=2,G3974&gt;=3),"Berpotensi",IF(AND(E3974&lt;=3,E3974&gt;=2,F3974&gt;=3),"Rawan",IF(AND(E3974&lt;=2,F3974&lt;=2),"Tidur","Umum"))))))</f>
        <v/>
      </c>
    </row>
    <row r="3975">
      <c r="B3975">
        <f>IF(A3975="","",$B$1-MAXIFS(Donasi!$A$2:$A$20000,Donasi!$B$2:$B$20000,A3975))</f>
        <v/>
      </c>
      <c r="C3975">
        <f>IF(A3975="","",COUNTIF(Donasi!$B$2:$B$20000,A3975))</f>
        <v/>
      </c>
      <c r="D3975">
        <f>IF(A3975="","",SUMIF(Donasi!$B$2:$B$20000,A3975,Donasi!$C$2:$C$20000))</f>
        <v/>
      </c>
      <c r="E3975">
        <f>IF(A3975="","",6-CEILING(PERCENTRANK.INC($B$3:$B$6000,B3975,4)*5+0.000001,1))</f>
        <v/>
      </c>
      <c r="F3975">
        <f>IF(A3975="","",MAX(1,CEILING(PERCENTRANK.INC($C$3:$C$6000,C3975,4)*5+0.000001,1)))</f>
        <v/>
      </c>
      <c r="G3975">
        <f>IF(A3975="","",MAX(1,CEILING(PERCENTRANK.INC($D$3:$D$6000,D3975,4)*5+0.000001,1)))</f>
        <v/>
      </c>
      <c r="H3975">
        <f>IF(A3975="","",E3975&amp;F3975&amp;G3975)</f>
        <v/>
      </c>
      <c r="I3975">
        <f>IF(A3975="","",IF(AND(E3975&gt;=4,F3975&gt;=4,G3975&gt;=4),"Juara",IF(AND(F3975&gt;=4,E3975&gt;=3),"Setia",IF(AND(E3975=5,F3975&lt;=2,G3975&gt;=3),"Berpotensi",IF(AND(E3975&lt;=3,E3975&gt;=2,F3975&gt;=3),"Rawan",IF(AND(E3975&lt;=2,F3975&lt;=2),"Tidur","Umum"))))))</f>
        <v/>
      </c>
    </row>
    <row r="3976">
      <c r="B3976">
        <f>IF(A3976="","",$B$1-MAXIFS(Donasi!$A$2:$A$20000,Donasi!$B$2:$B$20000,A3976))</f>
        <v/>
      </c>
      <c r="C3976">
        <f>IF(A3976="","",COUNTIF(Donasi!$B$2:$B$20000,A3976))</f>
        <v/>
      </c>
      <c r="D3976">
        <f>IF(A3976="","",SUMIF(Donasi!$B$2:$B$20000,A3976,Donasi!$C$2:$C$20000))</f>
        <v/>
      </c>
      <c r="E3976">
        <f>IF(A3976="","",6-CEILING(PERCENTRANK.INC($B$3:$B$6000,B3976,4)*5+0.000001,1))</f>
        <v/>
      </c>
      <c r="F3976">
        <f>IF(A3976="","",MAX(1,CEILING(PERCENTRANK.INC($C$3:$C$6000,C3976,4)*5+0.000001,1)))</f>
        <v/>
      </c>
      <c r="G3976">
        <f>IF(A3976="","",MAX(1,CEILING(PERCENTRANK.INC($D$3:$D$6000,D3976,4)*5+0.000001,1)))</f>
        <v/>
      </c>
      <c r="H3976">
        <f>IF(A3976="","",E3976&amp;F3976&amp;G3976)</f>
        <v/>
      </c>
      <c r="I3976">
        <f>IF(A3976="","",IF(AND(E3976&gt;=4,F3976&gt;=4,G3976&gt;=4),"Juara",IF(AND(F3976&gt;=4,E3976&gt;=3),"Setia",IF(AND(E3976=5,F3976&lt;=2,G3976&gt;=3),"Berpotensi",IF(AND(E3976&lt;=3,E3976&gt;=2,F3976&gt;=3),"Rawan",IF(AND(E3976&lt;=2,F3976&lt;=2),"Tidur","Umum"))))))</f>
        <v/>
      </c>
    </row>
    <row r="3977">
      <c r="B3977">
        <f>IF(A3977="","",$B$1-MAXIFS(Donasi!$A$2:$A$20000,Donasi!$B$2:$B$20000,A3977))</f>
        <v/>
      </c>
      <c r="C3977">
        <f>IF(A3977="","",COUNTIF(Donasi!$B$2:$B$20000,A3977))</f>
        <v/>
      </c>
      <c r="D3977">
        <f>IF(A3977="","",SUMIF(Donasi!$B$2:$B$20000,A3977,Donasi!$C$2:$C$20000))</f>
        <v/>
      </c>
      <c r="E3977">
        <f>IF(A3977="","",6-CEILING(PERCENTRANK.INC($B$3:$B$6000,B3977,4)*5+0.000001,1))</f>
        <v/>
      </c>
      <c r="F3977">
        <f>IF(A3977="","",MAX(1,CEILING(PERCENTRANK.INC($C$3:$C$6000,C3977,4)*5+0.000001,1)))</f>
        <v/>
      </c>
      <c r="G3977">
        <f>IF(A3977="","",MAX(1,CEILING(PERCENTRANK.INC($D$3:$D$6000,D3977,4)*5+0.000001,1)))</f>
        <v/>
      </c>
      <c r="H3977">
        <f>IF(A3977="","",E3977&amp;F3977&amp;G3977)</f>
        <v/>
      </c>
      <c r="I3977">
        <f>IF(A3977="","",IF(AND(E3977&gt;=4,F3977&gt;=4,G3977&gt;=4),"Juara",IF(AND(F3977&gt;=4,E3977&gt;=3),"Setia",IF(AND(E3977=5,F3977&lt;=2,G3977&gt;=3),"Berpotensi",IF(AND(E3977&lt;=3,E3977&gt;=2,F3977&gt;=3),"Rawan",IF(AND(E3977&lt;=2,F3977&lt;=2),"Tidur","Umum"))))))</f>
        <v/>
      </c>
    </row>
    <row r="3978">
      <c r="B3978">
        <f>IF(A3978="","",$B$1-MAXIFS(Donasi!$A$2:$A$20000,Donasi!$B$2:$B$20000,A3978))</f>
        <v/>
      </c>
      <c r="C3978">
        <f>IF(A3978="","",COUNTIF(Donasi!$B$2:$B$20000,A3978))</f>
        <v/>
      </c>
      <c r="D3978">
        <f>IF(A3978="","",SUMIF(Donasi!$B$2:$B$20000,A3978,Donasi!$C$2:$C$20000))</f>
        <v/>
      </c>
      <c r="E3978">
        <f>IF(A3978="","",6-CEILING(PERCENTRANK.INC($B$3:$B$6000,B3978,4)*5+0.000001,1))</f>
        <v/>
      </c>
      <c r="F3978">
        <f>IF(A3978="","",MAX(1,CEILING(PERCENTRANK.INC($C$3:$C$6000,C3978,4)*5+0.000001,1)))</f>
        <v/>
      </c>
      <c r="G3978">
        <f>IF(A3978="","",MAX(1,CEILING(PERCENTRANK.INC($D$3:$D$6000,D3978,4)*5+0.000001,1)))</f>
        <v/>
      </c>
      <c r="H3978">
        <f>IF(A3978="","",E3978&amp;F3978&amp;G3978)</f>
        <v/>
      </c>
      <c r="I3978">
        <f>IF(A3978="","",IF(AND(E3978&gt;=4,F3978&gt;=4,G3978&gt;=4),"Juara",IF(AND(F3978&gt;=4,E3978&gt;=3),"Setia",IF(AND(E3978=5,F3978&lt;=2,G3978&gt;=3),"Berpotensi",IF(AND(E3978&lt;=3,E3978&gt;=2,F3978&gt;=3),"Rawan",IF(AND(E3978&lt;=2,F3978&lt;=2),"Tidur","Umum"))))))</f>
        <v/>
      </c>
    </row>
    <row r="3979">
      <c r="B3979">
        <f>IF(A3979="","",$B$1-MAXIFS(Donasi!$A$2:$A$20000,Donasi!$B$2:$B$20000,A3979))</f>
        <v/>
      </c>
      <c r="C3979">
        <f>IF(A3979="","",COUNTIF(Donasi!$B$2:$B$20000,A3979))</f>
        <v/>
      </c>
      <c r="D3979">
        <f>IF(A3979="","",SUMIF(Donasi!$B$2:$B$20000,A3979,Donasi!$C$2:$C$20000))</f>
        <v/>
      </c>
      <c r="E3979">
        <f>IF(A3979="","",6-CEILING(PERCENTRANK.INC($B$3:$B$6000,B3979,4)*5+0.000001,1))</f>
        <v/>
      </c>
      <c r="F3979">
        <f>IF(A3979="","",MAX(1,CEILING(PERCENTRANK.INC($C$3:$C$6000,C3979,4)*5+0.000001,1)))</f>
        <v/>
      </c>
      <c r="G3979">
        <f>IF(A3979="","",MAX(1,CEILING(PERCENTRANK.INC($D$3:$D$6000,D3979,4)*5+0.000001,1)))</f>
        <v/>
      </c>
      <c r="H3979">
        <f>IF(A3979="","",E3979&amp;F3979&amp;G3979)</f>
        <v/>
      </c>
      <c r="I3979">
        <f>IF(A3979="","",IF(AND(E3979&gt;=4,F3979&gt;=4,G3979&gt;=4),"Juara",IF(AND(F3979&gt;=4,E3979&gt;=3),"Setia",IF(AND(E3979=5,F3979&lt;=2,G3979&gt;=3),"Berpotensi",IF(AND(E3979&lt;=3,E3979&gt;=2,F3979&gt;=3),"Rawan",IF(AND(E3979&lt;=2,F3979&lt;=2),"Tidur","Umum"))))))</f>
        <v/>
      </c>
    </row>
    <row r="3980">
      <c r="B3980">
        <f>IF(A3980="","",$B$1-MAXIFS(Donasi!$A$2:$A$20000,Donasi!$B$2:$B$20000,A3980))</f>
        <v/>
      </c>
      <c r="C3980">
        <f>IF(A3980="","",COUNTIF(Donasi!$B$2:$B$20000,A3980))</f>
        <v/>
      </c>
      <c r="D3980">
        <f>IF(A3980="","",SUMIF(Donasi!$B$2:$B$20000,A3980,Donasi!$C$2:$C$20000))</f>
        <v/>
      </c>
      <c r="E3980">
        <f>IF(A3980="","",6-CEILING(PERCENTRANK.INC($B$3:$B$6000,B3980,4)*5+0.000001,1))</f>
        <v/>
      </c>
      <c r="F3980">
        <f>IF(A3980="","",MAX(1,CEILING(PERCENTRANK.INC($C$3:$C$6000,C3980,4)*5+0.000001,1)))</f>
        <v/>
      </c>
      <c r="G3980">
        <f>IF(A3980="","",MAX(1,CEILING(PERCENTRANK.INC($D$3:$D$6000,D3980,4)*5+0.000001,1)))</f>
        <v/>
      </c>
      <c r="H3980">
        <f>IF(A3980="","",E3980&amp;F3980&amp;G3980)</f>
        <v/>
      </c>
      <c r="I3980">
        <f>IF(A3980="","",IF(AND(E3980&gt;=4,F3980&gt;=4,G3980&gt;=4),"Juara",IF(AND(F3980&gt;=4,E3980&gt;=3),"Setia",IF(AND(E3980=5,F3980&lt;=2,G3980&gt;=3),"Berpotensi",IF(AND(E3980&lt;=3,E3980&gt;=2,F3980&gt;=3),"Rawan",IF(AND(E3980&lt;=2,F3980&lt;=2),"Tidur","Umum"))))))</f>
        <v/>
      </c>
    </row>
    <row r="3981">
      <c r="B3981">
        <f>IF(A3981="","",$B$1-MAXIFS(Donasi!$A$2:$A$20000,Donasi!$B$2:$B$20000,A3981))</f>
        <v/>
      </c>
      <c r="C3981">
        <f>IF(A3981="","",COUNTIF(Donasi!$B$2:$B$20000,A3981))</f>
        <v/>
      </c>
      <c r="D3981">
        <f>IF(A3981="","",SUMIF(Donasi!$B$2:$B$20000,A3981,Donasi!$C$2:$C$20000))</f>
        <v/>
      </c>
      <c r="E3981">
        <f>IF(A3981="","",6-CEILING(PERCENTRANK.INC($B$3:$B$6000,B3981,4)*5+0.000001,1))</f>
        <v/>
      </c>
      <c r="F3981">
        <f>IF(A3981="","",MAX(1,CEILING(PERCENTRANK.INC($C$3:$C$6000,C3981,4)*5+0.000001,1)))</f>
        <v/>
      </c>
      <c r="G3981">
        <f>IF(A3981="","",MAX(1,CEILING(PERCENTRANK.INC($D$3:$D$6000,D3981,4)*5+0.000001,1)))</f>
        <v/>
      </c>
      <c r="H3981">
        <f>IF(A3981="","",E3981&amp;F3981&amp;G3981)</f>
        <v/>
      </c>
      <c r="I3981">
        <f>IF(A3981="","",IF(AND(E3981&gt;=4,F3981&gt;=4,G3981&gt;=4),"Juara",IF(AND(F3981&gt;=4,E3981&gt;=3),"Setia",IF(AND(E3981=5,F3981&lt;=2,G3981&gt;=3),"Berpotensi",IF(AND(E3981&lt;=3,E3981&gt;=2,F3981&gt;=3),"Rawan",IF(AND(E3981&lt;=2,F3981&lt;=2),"Tidur","Umum"))))))</f>
        <v/>
      </c>
    </row>
    <row r="3982">
      <c r="B3982">
        <f>IF(A3982="","",$B$1-MAXIFS(Donasi!$A$2:$A$20000,Donasi!$B$2:$B$20000,A3982))</f>
        <v/>
      </c>
      <c r="C3982">
        <f>IF(A3982="","",COUNTIF(Donasi!$B$2:$B$20000,A3982))</f>
        <v/>
      </c>
      <c r="D3982">
        <f>IF(A3982="","",SUMIF(Donasi!$B$2:$B$20000,A3982,Donasi!$C$2:$C$20000))</f>
        <v/>
      </c>
      <c r="E3982">
        <f>IF(A3982="","",6-CEILING(PERCENTRANK.INC($B$3:$B$6000,B3982,4)*5+0.000001,1))</f>
        <v/>
      </c>
      <c r="F3982">
        <f>IF(A3982="","",MAX(1,CEILING(PERCENTRANK.INC($C$3:$C$6000,C3982,4)*5+0.000001,1)))</f>
        <v/>
      </c>
      <c r="G3982">
        <f>IF(A3982="","",MAX(1,CEILING(PERCENTRANK.INC($D$3:$D$6000,D3982,4)*5+0.000001,1)))</f>
        <v/>
      </c>
      <c r="H3982">
        <f>IF(A3982="","",E3982&amp;F3982&amp;G3982)</f>
        <v/>
      </c>
      <c r="I3982">
        <f>IF(A3982="","",IF(AND(E3982&gt;=4,F3982&gt;=4,G3982&gt;=4),"Juara",IF(AND(F3982&gt;=4,E3982&gt;=3),"Setia",IF(AND(E3982=5,F3982&lt;=2,G3982&gt;=3),"Berpotensi",IF(AND(E3982&lt;=3,E3982&gt;=2,F3982&gt;=3),"Rawan",IF(AND(E3982&lt;=2,F3982&lt;=2),"Tidur","Umum"))))))</f>
        <v/>
      </c>
    </row>
    <row r="3983">
      <c r="B3983">
        <f>IF(A3983="","",$B$1-MAXIFS(Donasi!$A$2:$A$20000,Donasi!$B$2:$B$20000,A3983))</f>
        <v/>
      </c>
      <c r="C3983">
        <f>IF(A3983="","",COUNTIF(Donasi!$B$2:$B$20000,A3983))</f>
        <v/>
      </c>
      <c r="D3983">
        <f>IF(A3983="","",SUMIF(Donasi!$B$2:$B$20000,A3983,Donasi!$C$2:$C$20000))</f>
        <v/>
      </c>
      <c r="E3983">
        <f>IF(A3983="","",6-CEILING(PERCENTRANK.INC($B$3:$B$6000,B3983,4)*5+0.000001,1))</f>
        <v/>
      </c>
      <c r="F3983">
        <f>IF(A3983="","",MAX(1,CEILING(PERCENTRANK.INC($C$3:$C$6000,C3983,4)*5+0.000001,1)))</f>
        <v/>
      </c>
      <c r="G3983">
        <f>IF(A3983="","",MAX(1,CEILING(PERCENTRANK.INC($D$3:$D$6000,D3983,4)*5+0.000001,1)))</f>
        <v/>
      </c>
      <c r="H3983">
        <f>IF(A3983="","",E3983&amp;F3983&amp;G3983)</f>
        <v/>
      </c>
      <c r="I3983">
        <f>IF(A3983="","",IF(AND(E3983&gt;=4,F3983&gt;=4,G3983&gt;=4),"Juara",IF(AND(F3983&gt;=4,E3983&gt;=3),"Setia",IF(AND(E3983=5,F3983&lt;=2,G3983&gt;=3),"Berpotensi",IF(AND(E3983&lt;=3,E3983&gt;=2,F3983&gt;=3),"Rawan",IF(AND(E3983&lt;=2,F3983&lt;=2),"Tidur","Umum"))))))</f>
        <v/>
      </c>
    </row>
    <row r="3984">
      <c r="B3984">
        <f>IF(A3984="","",$B$1-MAXIFS(Donasi!$A$2:$A$20000,Donasi!$B$2:$B$20000,A3984))</f>
        <v/>
      </c>
      <c r="C3984">
        <f>IF(A3984="","",COUNTIF(Donasi!$B$2:$B$20000,A3984))</f>
        <v/>
      </c>
      <c r="D3984">
        <f>IF(A3984="","",SUMIF(Donasi!$B$2:$B$20000,A3984,Donasi!$C$2:$C$20000))</f>
        <v/>
      </c>
      <c r="E3984">
        <f>IF(A3984="","",6-CEILING(PERCENTRANK.INC($B$3:$B$6000,B3984,4)*5+0.000001,1))</f>
        <v/>
      </c>
      <c r="F3984">
        <f>IF(A3984="","",MAX(1,CEILING(PERCENTRANK.INC($C$3:$C$6000,C3984,4)*5+0.000001,1)))</f>
        <v/>
      </c>
      <c r="G3984">
        <f>IF(A3984="","",MAX(1,CEILING(PERCENTRANK.INC($D$3:$D$6000,D3984,4)*5+0.000001,1)))</f>
        <v/>
      </c>
      <c r="H3984">
        <f>IF(A3984="","",E3984&amp;F3984&amp;G3984)</f>
        <v/>
      </c>
      <c r="I3984">
        <f>IF(A3984="","",IF(AND(E3984&gt;=4,F3984&gt;=4,G3984&gt;=4),"Juara",IF(AND(F3984&gt;=4,E3984&gt;=3),"Setia",IF(AND(E3984=5,F3984&lt;=2,G3984&gt;=3),"Berpotensi",IF(AND(E3984&lt;=3,E3984&gt;=2,F3984&gt;=3),"Rawan",IF(AND(E3984&lt;=2,F3984&lt;=2),"Tidur","Umum"))))))</f>
        <v/>
      </c>
    </row>
    <row r="3985">
      <c r="B3985">
        <f>IF(A3985="","",$B$1-MAXIFS(Donasi!$A$2:$A$20000,Donasi!$B$2:$B$20000,A3985))</f>
        <v/>
      </c>
      <c r="C3985">
        <f>IF(A3985="","",COUNTIF(Donasi!$B$2:$B$20000,A3985))</f>
        <v/>
      </c>
      <c r="D3985">
        <f>IF(A3985="","",SUMIF(Donasi!$B$2:$B$20000,A3985,Donasi!$C$2:$C$20000))</f>
        <v/>
      </c>
      <c r="E3985">
        <f>IF(A3985="","",6-CEILING(PERCENTRANK.INC($B$3:$B$6000,B3985,4)*5+0.000001,1))</f>
        <v/>
      </c>
      <c r="F3985">
        <f>IF(A3985="","",MAX(1,CEILING(PERCENTRANK.INC($C$3:$C$6000,C3985,4)*5+0.000001,1)))</f>
        <v/>
      </c>
      <c r="G3985">
        <f>IF(A3985="","",MAX(1,CEILING(PERCENTRANK.INC($D$3:$D$6000,D3985,4)*5+0.000001,1)))</f>
        <v/>
      </c>
      <c r="H3985">
        <f>IF(A3985="","",E3985&amp;F3985&amp;G3985)</f>
        <v/>
      </c>
      <c r="I3985">
        <f>IF(A3985="","",IF(AND(E3985&gt;=4,F3985&gt;=4,G3985&gt;=4),"Juara",IF(AND(F3985&gt;=4,E3985&gt;=3),"Setia",IF(AND(E3985=5,F3985&lt;=2,G3985&gt;=3),"Berpotensi",IF(AND(E3985&lt;=3,E3985&gt;=2,F3985&gt;=3),"Rawan",IF(AND(E3985&lt;=2,F3985&lt;=2),"Tidur","Umum"))))))</f>
        <v/>
      </c>
    </row>
    <row r="3986">
      <c r="B3986">
        <f>IF(A3986="","",$B$1-MAXIFS(Donasi!$A$2:$A$20000,Donasi!$B$2:$B$20000,A3986))</f>
        <v/>
      </c>
      <c r="C3986">
        <f>IF(A3986="","",COUNTIF(Donasi!$B$2:$B$20000,A3986))</f>
        <v/>
      </c>
      <c r="D3986">
        <f>IF(A3986="","",SUMIF(Donasi!$B$2:$B$20000,A3986,Donasi!$C$2:$C$20000))</f>
        <v/>
      </c>
      <c r="E3986">
        <f>IF(A3986="","",6-CEILING(PERCENTRANK.INC($B$3:$B$6000,B3986,4)*5+0.000001,1))</f>
        <v/>
      </c>
      <c r="F3986">
        <f>IF(A3986="","",MAX(1,CEILING(PERCENTRANK.INC($C$3:$C$6000,C3986,4)*5+0.000001,1)))</f>
        <v/>
      </c>
      <c r="G3986">
        <f>IF(A3986="","",MAX(1,CEILING(PERCENTRANK.INC($D$3:$D$6000,D3986,4)*5+0.000001,1)))</f>
        <v/>
      </c>
      <c r="H3986">
        <f>IF(A3986="","",E3986&amp;F3986&amp;G3986)</f>
        <v/>
      </c>
      <c r="I3986">
        <f>IF(A3986="","",IF(AND(E3986&gt;=4,F3986&gt;=4,G3986&gt;=4),"Juara",IF(AND(F3986&gt;=4,E3986&gt;=3),"Setia",IF(AND(E3986=5,F3986&lt;=2,G3986&gt;=3),"Berpotensi",IF(AND(E3986&lt;=3,E3986&gt;=2,F3986&gt;=3),"Rawan",IF(AND(E3986&lt;=2,F3986&lt;=2),"Tidur","Umum"))))))</f>
        <v/>
      </c>
    </row>
    <row r="3987">
      <c r="B3987">
        <f>IF(A3987="","",$B$1-MAXIFS(Donasi!$A$2:$A$20000,Donasi!$B$2:$B$20000,A3987))</f>
        <v/>
      </c>
      <c r="C3987">
        <f>IF(A3987="","",COUNTIF(Donasi!$B$2:$B$20000,A3987))</f>
        <v/>
      </c>
      <c r="D3987">
        <f>IF(A3987="","",SUMIF(Donasi!$B$2:$B$20000,A3987,Donasi!$C$2:$C$20000))</f>
        <v/>
      </c>
      <c r="E3987">
        <f>IF(A3987="","",6-CEILING(PERCENTRANK.INC($B$3:$B$6000,B3987,4)*5+0.000001,1))</f>
        <v/>
      </c>
      <c r="F3987">
        <f>IF(A3987="","",MAX(1,CEILING(PERCENTRANK.INC($C$3:$C$6000,C3987,4)*5+0.000001,1)))</f>
        <v/>
      </c>
      <c r="G3987">
        <f>IF(A3987="","",MAX(1,CEILING(PERCENTRANK.INC($D$3:$D$6000,D3987,4)*5+0.000001,1)))</f>
        <v/>
      </c>
      <c r="H3987">
        <f>IF(A3987="","",E3987&amp;F3987&amp;G3987)</f>
        <v/>
      </c>
      <c r="I3987">
        <f>IF(A3987="","",IF(AND(E3987&gt;=4,F3987&gt;=4,G3987&gt;=4),"Juara",IF(AND(F3987&gt;=4,E3987&gt;=3),"Setia",IF(AND(E3987=5,F3987&lt;=2,G3987&gt;=3),"Berpotensi",IF(AND(E3987&lt;=3,E3987&gt;=2,F3987&gt;=3),"Rawan",IF(AND(E3987&lt;=2,F3987&lt;=2),"Tidur","Umum"))))))</f>
        <v/>
      </c>
    </row>
    <row r="3988">
      <c r="B3988">
        <f>IF(A3988="","",$B$1-MAXIFS(Donasi!$A$2:$A$20000,Donasi!$B$2:$B$20000,A3988))</f>
        <v/>
      </c>
      <c r="C3988">
        <f>IF(A3988="","",COUNTIF(Donasi!$B$2:$B$20000,A3988))</f>
        <v/>
      </c>
      <c r="D3988">
        <f>IF(A3988="","",SUMIF(Donasi!$B$2:$B$20000,A3988,Donasi!$C$2:$C$20000))</f>
        <v/>
      </c>
      <c r="E3988">
        <f>IF(A3988="","",6-CEILING(PERCENTRANK.INC($B$3:$B$6000,B3988,4)*5+0.000001,1))</f>
        <v/>
      </c>
      <c r="F3988">
        <f>IF(A3988="","",MAX(1,CEILING(PERCENTRANK.INC($C$3:$C$6000,C3988,4)*5+0.000001,1)))</f>
        <v/>
      </c>
      <c r="G3988">
        <f>IF(A3988="","",MAX(1,CEILING(PERCENTRANK.INC($D$3:$D$6000,D3988,4)*5+0.000001,1)))</f>
        <v/>
      </c>
      <c r="H3988">
        <f>IF(A3988="","",E3988&amp;F3988&amp;G3988)</f>
        <v/>
      </c>
      <c r="I3988">
        <f>IF(A3988="","",IF(AND(E3988&gt;=4,F3988&gt;=4,G3988&gt;=4),"Juara",IF(AND(F3988&gt;=4,E3988&gt;=3),"Setia",IF(AND(E3988=5,F3988&lt;=2,G3988&gt;=3),"Berpotensi",IF(AND(E3988&lt;=3,E3988&gt;=2,F3988&gt;=3),"Rawan",IF(AND(E3988&lt;=2,F3988&lt;=2),"Tidur","Umum"))))))</f>
        <v/>
      </c>
    </row>
    <row r="3989">
      <c r="B3989">
        <f>IF(A3989="","",$B$1-MAXIFS(Donasi!$A$2:$A$20000,Donasi!$B$2:$B$20000,A3989))</f>
        <v/>
      </c>
      <c r="C3989">
        <f>IF(A3989="","",COUNTIF(Donasi!$B$2:$B$20000,A3989))</f>
        <v/>
      </c>
      <c r="D3989">
        <f>IF(A3989="","",SUMIF(Donasi!$B$2:$B$20000,A3989,Donasi!$C$2:$C$20000))</f>
        <v/>
      </c>
      <c r="E3989">
        <f>IF(A3989="","",6-CEILING(PERCENTRANK.INC($B$3:$B$6000,B3989,4)*5+0.000001,1))</f>
        <v/>
      </c>
      <c r="F3989">
        <f>IF(A3989="","",MAX(1,CEILING(PERCENTRANK.INC($C$3:$C$6000,C3989,4)*5+0.000001,1)))</f>
        <v/>
      </c>
      <c r="G3989">
        <f>IF(A3989="","",MAX(1,CEILING(PERCENTRANK.INC($D$3:$D$6000,D3989,4)*5+0.000001,1)))</f>
        <v/>
      </c>
      <c r="H3989">
        <f>IF(A3989="","",E3989&amp;F3989&amp;G3989)</f>
        <v/>
      </c>
      <c r="I3989">
        <f>IF(A3989="","",IF(AND(E3989&gt;=4,F3989&gt;=4,G3989&gt;=4),"Juara",IF(AND(F3989&gt;=4,E3989&gt;=3),"Setia",IF(AND(E3989=5,F3989&lt;=2,G3989&gt;=3),"Berpotensi",IF(AND(E3989&lt;=3,E3989&gt;=2,F3989&gt;=3),"Rawan",IF(AND(E3989&lt;=2,F3989&lt;=2),"Tidur","Umum"))))))</f>
        <v/>
      </c>
    </row>
    <row r="3990">
      <c r="B3990">
        <f>IF(A3990="","",$B$1-MAXIFS(Donasi!$A$2:$A$20000,Donasi!$B$2:$B$20000,A3990))</f>
        <v/>
      </c>
      <c r="C3990">
        <f>IF(A3990="","",COUNTIF(Donasi!$B$2:$B$20000,A3990))</f>
        <v/>
      </c>
      <c r="D3990">
        <f>IF(A3990="","",SUMIF(Donasi!$B$2:$B$20000,A3990,Donasi!$C$2:$C$20000))</f>
        <v/>
      </c>
      <c r="E3990">
        <f>IF(A3990="","",6-CEILING(PERCENTRANK.INC($B$3:$B$6000,B3990,4)*5+0.000001,1))</f>
        <v/>
      </c>
      <c r="F3990">
        <f>IF(A3990="","",MAX(1,CEILING(PERCENTRANK.INC($C$3:$C$6000,C3990,4)*5+0.000001,1)))</f>
        <v/>
      </c>
      <c r="G3990">
        <f>IF(A3990="","",MAX(1,CEILING(PERCENTRANK.INC($D$3:$D$6000,D3990,4)*5+0.000001,1)))</f>
        <v/>
      </c>
      <c r="H3990">
        <f>IF(A3990="","",E3990&amp;F3990&amp;G3990)</f>
        <v/>
      </c>
      <c r="I3990">
        <f>IF(A3990="","",IF(AND(E3990&gt;=4,F3990&gt;=4,G3990&gt;=4),"Juara",IF(AND(F3990&gt;=4,E3990&gt;=3),"Setia",IF(AND(E3990=5,F3990&lt;=2,G3990&gt;=3),"Berpotensi",IF(AND(E3990&lt;=3,E3990&gt;=2,F3990&gt;=3),"Rawan",IF(AND(E3990&lt;=2,F3990&lt;=2),"Tidur","Umum"))))))</f>
        <v/>
      </c>
    </row>
    <row r="3991">
      <c r="B3991">
        <f>IF(A3991="","",$B$1-MAXIFS(Donasi!$A$2:$A$20000,Donasi!$B$2:$B$20000,A3991))</f>
        <v/>
      </c>
      <c r="C3991">
        <f>IF(A3991="","",COUNTIF(Donasi!$B$2:$B$20000,A3991))</f>
        <v/>
      </c>
      <c r="D3991">
        <f>IF(A3991="","",SUMIF(Donasi!$B$2:$B$20000,A3991,Donasi!$C$2:$C$20000))</f>
        <v/>
      </c>
      <c r="E3991">
        <f>IF(A3991="","",6-CEILING(PERCENTRANK.INC($B$3:$B$6000,B3991,4)*5+0.000001,1))</f>
        <v/>
      </c>
      <c r="F3991">
        <f>IF(A3991="","",MAX(1,CEILING(PERCENTRANK.INC($C$3:$C$6000,C3991,4)*5+0.000001,1)))</f>
        <v/>
      </c>
      <c r="G3991">
        <f>IF(A3991="","",MAX(1,CEILING(PERCENTRANK.INC($D$3:$D$6000,D3991,4)*5+0.000001,1)))</f>
        <v/>
      </c>
      <c r="H3991">
        <f>IF(A3991="","",E3991&amp;F3991&amp;G3991)</f>
        <v/>
      </c>
      <c r="I3991">
        <f>IF(A3991="","",IF(AND(E3991&gt;=4,F3991&gt;=4,G3991&gt;=4),"Juara",IF(AND(F3991&gt;=4,E3991&gt;=3),"Setia",IF(AND(E3991=5,F3991&lt;=2,G3991&gt;=3),"Berpotensi",IF(AND(E3991&lt;=3,E3991&gt;=2,F3991&gt;=3),"Rawan",IF(AND(E3991&lt;=2,F3991&lt;=2),"Tidur","Umum"))))))</f>
        <v/>
      </c>
    </row>
    <row r="3992">
      <c r="B3992">
        <f>IF(A3992="","",$B$1-MAXIFS(Donasi!$A$2:$A$20000,Donasi!$B$2:$B$20000,A3992))</f>
        <v/>
      </c>
      <c r="C3992">
        <f>IF(A3992="","",COUNTIF(Donasi!$B$2:$B$20000,A3992))</f>
        <v/>
      </c>
      <c r="D3992">
        <f>IF(A3992="","",SUMIF(Donasi!$B$2:$B$20000,A3992,Donasi!$C$2:$C$20000))</f>
        <v/>
      </c>
      <c r="E3992">
        <f>IF(A3992="","",6-CEILING(PERCENTRANK.INC($B$3:$B$6000,B3992,4)*5+0.000001,1))</f>
        <v/>
      </c>
      <c r="F3992">
        <f>IF(A3992="","",MAX(1,CEILING(PERCENTRANK.INC($C$3:$C$6000,C3992,4)*5+0.000001,1)))</f>
        <v/>
      </c>
      <c r="G3992">
        <f>IF(A3992="","",MAX(1,CEILING(PERCENTRANK.INC($D$3:$D$6000,D3992,4)*5+0.000001,1)))</f>
        <v/>
      </c>
      <c r="H3992">
        <f>IF(A3992="","",E3992&amp;F3992&amp;G3992)</f>
        <v/>
      </c>
      <c r="I3992">
        <f>IF(A3992="","",IF(AND(E3992&gt;=4,F3992&gt;=4,G3992&gt;=4),"Juara",IF(AND(F3992&gt;=4,E3992&gt;=3),"Setia",IF(AND(E3992=5,F3992&lt;=2,G3992&gt;=3),"Berpotensi",IF(AND(E3992&lt;=3,E3992&gt;=2,F3992&gt;=3),"Rawan",IF(AND(E3992&lt;=2,F3992&lt;=2),"Tidur","Umum"))))))</f>
        <v/>
      </c>
    </row>
    <row r="3993">
      <c r="B3993">
        <f>IF(A3993="","",$B$1-MAXIFS(Donasi!$A$2:$A$20000,Donasi!$B$2:$B$20000,A3993))</f>
        <v/>
      </c>
      <c r="C3993">
        <f>IF(A3993="","",COUNTIF(Donasi!$B$2:$B$20000,A3993))</f>
        <v/>
      </c>
      <c r="D3993">
        <f>IF(A3993="","",SUMIF(Donasi!$B$2:$B$20000,A3993,Donasi!$C$2:$C$20000))</f>
        <v/>
      </c>
      <c r="E3993">
        <f>IF(A3993="","",6-CEILING(PERCENTRANK.INC($B$3:$B$6000,B3993,4)*5+0.000001,1))</f>
        <v/>
      </c>
      <c r="F3993">
        <f>IF(A3993="","",MAX(1,CEILING(PERCENTRANK.INC($C$3:$C$6000,C3993,4)*5+0.000001,1)))</f>
        <v/>
      </c>
      <c r="G3993">
        <f>IF(A3993="","",MAX(1,CEILING(PERCENTRANK.INC($D$3:$D$6000,D3993,4)*5+0.000001,1)))</f>
        <v/>
      </c>
      <c r="H3993">
        <f>IF(A3993="","",E3993&amp;F3993&amp;G3993)</f>
        <v/>
      </c>
      <c r="I3993">
        <f>IF(A3993="","",IF(AND(E3993&gt;=4,F3993&gt;=4,G3993&gt;=4),"Juara",IF(AND(F3993&gt;=4,E3993&gt;=3),"Setia",IF(AND(E3993=5,F3993&lt;=2,G3993&gt;=3),"Berpotensi",IF(AND(E3993&lt;=3,E3993&gt;=2,F3993&gt;=3),"Rawan",IF(AND(E3993&lt;=2,F3993&lt;=2),"Tidur","Umum"))))))</f>
        <v/>
      </c>
    </row>
    <row r="3994">
      <c r="B3994">
        <f>IF(A3994="","",$B$1-MAXIFS(Donasi!$A$2:$A$20000,Donasi!$B$2:$B$20000,A3994))</f>
        <v/>
      </c>
      <c r="C3994">
        <f>IF(A3994="","",COUNTIF(Donasi!$B$2:$B$20000,A3994))</f>
        <v/>
      </c>
      <c r="D3994">
        <f>IF(A3994="","",SUMIF(Donasi!$B$2:$B$20000,A3994,Donasi!$C$2:$C$20000))</f>
        <v/>
      </c>
      <c r="E3994">
        <f>IF(A3994="","",6-CEILING(PERCENTRANK.INC($B$3:$B$6000,B3994,4)*5+0.000001,1))</f>
        <v/>
      </c>
      <c r="F3994">
        <f>IF(A3994="","",MAX(1,CEILING(PERCENTRANK.INC($C$3:$C$6000,C3994,4)*5+0.000001,1)))</f>
        <v/>
      </c>
      <c r="G3994">
        <f>IF(A3994="","",MAX(1,CEILING(PERCENTRANK.INC($D$3:$D$6000,D3994,4)*5+0.000001,1)))</f>
        <v/>
      </c>
      <c r="H3994">
        <f>IF(A3994="","",E3994&amp;F3994&amp;G3994)</f>
        <v/>
      </c>
      <c r="I3994">
        <f>IF(A3994="","",IF(AND(E3994&gt;=4,F3994&gt;=4,G3994&gt;=4),"Juara",IF(AND(F3994&gt;=4,E3994&gt;=3),"Setia",IF(AND(E3994=5,F3994&lt;=2,G3994&gt;=3),"Berpotensi",IF(AND(E3994&lt;=3,E3994&gt;=2,F3994&gt;=3),"Rawan",IF(AND(E3994&lt;=2,F3994&lt;=2),"Tidur","Umum"))))))</f>
        <v/>
      </c>
    </row>
    <row r="3995">
      <c r="B3995">
        <f>IF(A3995="","",$B$1-MAXIFS(Donasi!$A$2:$A$20000,Donasi!$B$2:$B$20000,A3995))</f>
        <v/>
      </c>
      <c r="C3995">
        <f>IF(A3995="","",COUNTIF(Donasi!$B$2:$B$20000,A3995))</f>
        <v/>
      </c>
      <c r="D3995">
        <f>IF(A3995="","",SUMIF(Donasi!$B$2:$B$20000,A3995,Donasi!$C$2:$C$20000))</f>
        <v/>
      </c>
      <c r="E3995">
        <f>IF(A3995="","",6-CEILING(PERCENTRANK.INC($B$3:$B$6000,B3995,4)*5+0.000001,1))</f>
        <v/>
      </c>
      <c r="F3995">
        <f>IF(A3995="","",MAX(1,CEILING(PERCENTRANK.INC($C$3:$C$6000,C3995,4)*5+0.000001,1)))</f>
        <v/>
      </c>
      <c r="G3995">
        <f>IF(A3995="","",MAX(1,CEILING(PERCENTRANK.INC($D$3:$D$6000,D3995,4)*5+0.000001,1)))</f>
        <v/>
      </c>
      <c r="H3995">
        <f>IF(A3995="","",E3995&amp;F3995&amp;G3995)</f>
        <v/>
      </c>
      <c r="I3995">
        <f>IF(A3995="","",IF(AND(E3995&gt;=4,F3995&gt;=4,G3995&gt;=4),"Juara",IF(AND(F3995&gt;=4,E3995&gt;=3),"Setia",IF(AND(E3995=5,F3995&lt;=2,G3995&gt;=3),"Berpotensi",IF(AND(E3995&lt;=3,E3995&gt;=2,F3995&gt;=3),"Rawan",IF(AND(E3995&lt;=2,F3995&lt;=2),"Tidur","Umum"))))))</f>
        <v/>
      </c>
    </row>
    <row r="3996">
      <c r="B3996">
        <f>IF(A3996="","",$B$1-MAXIFS(Donasi!$A$2:$A$20000,Donasi!$B$2:$B$20000,A3996))</f>
        <v/>
      </c>
      <c r="C3996">
        <f>IF(A3996="","",COUNTIF(Donasi!$B$2:$B$20000,A3996))</f>
        <v/>
      </c>
      <c r="D3996">
        <f>IF(A3996="","",SUMIF(Donasi!$B$2:$B$20000,A3996,Donasi!$C$2:$C$20000))</f>
        <v/>
      </c>
      <c r="E3996">
        <f>IF(A3996="","",6-CEILING(PERCENTRANK.INC($B$3:$B$6000,B3996,4)*5+0.000001,1))</f>
        <v/>
      </c>
      <c r="F3996">
        <f>IF(A3996="","",MAX(1,CEILING(PERCENTRANK.INC($C$3:$C$6000,C3996,4)*5+0.000001,1)))</f>
        <v/>
      </c>
      <c r="G3996">
        <f>IF(A3996="","",MAX(1,CEILING(PERCENTRANK.INC($D$3:$D$6000,D3996,4)*5+0.000001,1)))</f>
        <v/>
      </c>
      <c r="H3996">
        <f>IF(A3996="","",E3996&amp;F3996&amp;G3996)</f>
        <v/>
      </c>
      <c r="I3996">
        <f>IF(A3996="","",IF(AND(E3996&gt;=4,F3996&gt;=4,G3996&gt;=4),"Juara",IF(AND(F3996&gt;=4,E3996&gt;=3),"Setia",IF(AND(E3996=5,F3996&lt;=2,G3996&gt;=3),"Berpotensi",IF(AND(E3996&lt;=3,E3996&gt;=2,F3996&gt;=3),"Rawan",IF(AND(E3996&lt;=2,F3996&lt;=2),"Tidur","Umum"))))))</f>
        <v/>
      </c>
    </row>
    <row r="3997">
      <c r="B3997">
        <f>IF(A3997="","",$B$1-MAXIFS(Donasi!$A$2:$A$20000,Donasi!$B$2:$B$20000,A3997))</f>
        <v/>
      </c>
      <c r="C3997">
        <f>IF(A3997="","",COUNTIF(Donasi!$B$2:$B$20000,A3997))</f>
        <v/>
      </c>
      <c r="D3997">
        <f>IF(A3997="","",SUMIF(Donasi!$B$2:$B$20000,A3997,Donasi!$C$2:$C$20000))</f>
        <v/>
      </c>
      <c r="E3997">
        <f>IF(A3997="","",6-CEILING(PERCENTRANK.INC($B$3:$B$6000,B3997,4)*5+0.000001,1))</f>
        <v/>
      </c>
      <c r="F3997">
        <f>IF(A3997="","",MAX(1,CEILING(PERCENTRANK.INC($C$3:$C$6000,C3997,4)*5+0.000001,1)))</f>
        <v/>
      </c>
      <c r="G3997">
        <f>IF(A3997="","",MAX(1,CEILING(PERCENTRANK.INC($D$3:$D$6000,D3997,4)*5+0.000001,1)))</f>
        <v/>
      </c>
      <c r="H3997">
        <f>IF(A3997="","",E3997&amp;F3997&amp;G3997)</f>
        <v/>
      </c>
      <c r="I3997">
        <f>IF(A3997="","",IF(AND(E3997&gt;=4,F3997&gt;=4,G3997&gt;=4),"Juara",IF(AND(F3997&gt;=4,E3997&gt;=3),"Setia",IF(AND(E3997=5,F3997&lt;=2,G3997&gt;=3),"Berpotensi",IF(AND(E3997&lt;=3,E3997&gt;=2,F3997&gt;=3),"Rawan",IF(AND(E3997&lt;=2,F3997&lt;=2),"Tidur","Umum"))))))</f>
        <v/>
      </c>
    </row>
    <row r="3998">
      <c r="B3998">
        <f>IF(A3998="","",$B$1-MAXIFS(Donasi!$A$2:$A$20000,Donasi!$B$2:$B$20000,A3998))</f>
        <v/>
      </c>
      <c r="C3998">
        <f>IF(A3998="","",COUNTIF(Donasi!$B$2:$B$20000,A3998))</f>
        <v/>
      </c>
      <c r="D3998">
        <f>IF(A3998="","",SUMIF(Donasi!$B$2:$B$20000,A3998,Donasi!$C$2:$C$20000))</f>
        <v/>
      </c>
      <c r="E3998">
        <f>IF(A3998="","",6-CEILING(PERCENTRANK.INC($B$3:$B$6000,B3998,4)*5+0.000001,1))</f>
        <v/>
      </c>
      <c r="F3998">
        <f>IF(A3998="","",MAX(1,CEILING(PERCENTRANK.INC($C$3:$C$6000,C3998,4)*5+0.000001,1)))</f>
        <v/>
      </c>
      <c r="G3998">
        <f>IF(A3998="","",MAX(1,CEILING(PERCENTRANK.INC($D$3:$D$6000,D3998,4)*5+0.000001,1)))</f>
        <v/>
      </c>
      <c r="H3998">
        <f>IF(A3998="","",E3998&amp;F3998&amp;G3998)</f>
        <v/>
      </c>
      <c r="I3998">
        <f>IF(A3998="","",IF(AND(E3998&gt;=4,F3998&gt;=4,G3998&gt;=4),"Juara",IF(AND(F3998&gt;=4,E3998&gt;=3),"Setia",IF(AND(E3998=5,F3998&lt;=2,G3998&gt;=3),"Berpotensi",IF(AND(E3998&lt;=3,E3998&gt;=2,F3998&gt;=3),"Rawan",IF(AND(E3998&lt;=2,F3998&lt;=2),"Tidur","Umum"))))))</f>
        <v/>
      </c>
    </row>
    <row r="3999">
      <c r="B3999">
        <f>IF(A3999="","",$B$1-MAXIFS(Donasi!$A$2:$A$20000,Donasi!$B$2:$B$20000,A3999))</f>
        <v/>
      </c>
      <c r="C3999">
        <f>IF(A3999="","",COUNTIF(Donasi!$B$2:$B$20000,A3999))</f>
        <v/>
      </c>
      <c r="D3999">
        <f>IF(A3999="","",SUMIF(Donasi!$B$2:$B$20000,A3999,Donasi!$C$2:$C$20000))</f>
        <v/>
      </c>
      <c r="E3999">
        <f>IF(A3999="","",6-CEILING(PERCENTRANK.INC($B$3:$B$6000,B3999,4)*5+0.000001,1))</f>
        <v/>
      </c>
      <c r="F3999">
        <f>IF(A3999="","",MAX(1,CEILING(PERCENTRANK.INC($C$3:$C$6000,C3999,4)*5+0.000001,1)))</f>
        <v/>
      </c>
      <c r="G3999">
        <f>IF(A3999="","",MAX(1,CEILING(PERCENTRANK.INC($D$3:$D$6000,D3999,4)*5+0.000001,1)))</f>
        <v/>
      </c>
      <c r="H3999">
        <f>IF(A3999="","",E3999&amp;F3999&amp;G3999)</f>
        <v/>
      </c>
      <c r="I3999">
        <f>IF(A3999="","",IF(AND(E3999&gt;=4,F3999&gt;=4,G3999&gt;=4),"Juara",IF(AND(F3999&gt;=4,E3999&gt;=3),"Setia",IF(AND(E3999=5,F3999&lt;=2,G3999&gt;=3),"Berpotensi",IF(AND(E3999&lt;=3,E3999&gt;=2,F3999&gt;=3),"Rawan",IF(AND(E3999&lt;=2,F3999&lt;=2),"Tidur","Umum"))))))</f>
        <v/>
      </c>
    </row>
    <row r="4000">
      <c r="B4000">
        <f>IF(A4000="","",$B$1-MAXIFS(Donasi!$A$2:$A$20000,Donasi!$B$2:$B$20000,A4000))</f>
        <v/>
      </c>
      <c r="C4000">
        <f>IF(A4000="","",COUNTIF(Donasi!$B$2:$B$20000,A4000))</f>
        <v/>
      </c>
      <c r="D4000">
        <f>IF(A4000="","",SUMIF(Donasi!$B$2:$B$20000,A4000,Donasi!$C$2:$C$20000))</f>
        <v/>
      </c>
      <c r="E4000">
        <f>IF(A4000="","",6-CEILING(PERCENTRANK.INC($B$3:$B$6000,B4000,4)*5+0.000001,1))</f>
        <v/>
      </c>
      <c r="F4000">
        <f>IF(A4000="","",MAX(1,CEILING(PERCENTRANK.INC($C$3:$C$6000,C4000,4)*5+0.000001,1)))</f>
        <v/>
      </c>
      <c r="G4000">
        <f>IF(A4000="","",MAX(1,CEILING(PERCENTRANK.INC($D$3:$D$6000,D4000,4)*5+0.000001,1)))</f>
        <v/>
      </c>
      <c r="H4000">
        <f>IF(A4000="","",E4000&amp;F4000&amp;G4000)</f>
        <v/>
      </c>
      <c r="I4000">
        <f>IF(A4000="","",IF(AND(E4000&gt;=4,F4000&gt;=4,G4000&gt;=4),"Juara",IF(AND(F4000&gt;=4,E4000&gt;=3),"Setia",IF(AND(E4000=5,F4000&lt;=2,G4000&gt;=3),"Berpotensi",IF(AND(E4000&lt;=3,E4000&gt;=2,F4000&gt;=3),"Rawan",IF(AND(E4000&lt;=2,F4000&lt;=2),"Tidur","Umum"))))))</f>
        <v/>
      </c>
    </row>
    <row r="4001">
      <c r="B4001">
        <f>IF(A4001="","",$B$1-MAXIFS(Donasi!$A$2:$A$20000,Donasi!$B$2:$B$20000,A4001))</f>
        <v/>
      </c>
      <c r="C4001">
        <f>IF(A4001="","",COUNTIF(Donasi!$B$2:$B$20000,A4001))</f>
        <v/>
      </c>
      <c r="D4001">
        <f>IF(A4001="","",SUMIF(Donasi!$B$2:$B$20000,A4001,Donasi!$C$2:$C$20000))</f>
        <v/>
      </c>
      <c r="E4001">
        <f>IF(A4001="","",6-CEILING(PERCENTRANK.INC($B$3:$B$6000,B4001,4)*5+0.000001,1))</f>
        <v/>
      </c>
      <c r="F4001">
        <f>IF(A4001="","",MAX(1,CEILING(PERCENTRANK.INC($C$3:$C$6000,C4001,4)*5+0.000001,1)))</f>
        <v/>
      </c>
      <c r="G4001">
        <f>IF(A4001="","",MAX(1,CEILING(PERCENTRANK.INC($D$3:$D$6000,D4001,4)*5+0.000001,1)))</f>
        <v/>
      </c>
      <c r="H4001">
        <f>IF(A4001="","",E4001&amp;F4001&amp;G4001)</f>
        <v/>
      </c>
      <c r="I4001">
        <f>IF(A4001="","",IF(AND(E4001&gt;=4,F4001&gt;=4,G4001&gt;=4),"Juara",IF(AND(F4001&gt;=4,E4001&gt;=3),"Setia",IF(AND(E4001=5,F4001&lt;=2,G4001&gt;=3),"Berpotensi",IF(AND(E4001&lt;=3,E4001&gt;=2,F4001&gt;=3),"Rawan",IF(AND(E4001&lt;=2,F4001&lt;=2),"Tidur","Umum"))))))</f>
        <v/>
      </c>
    </row>
    <row r="4002">
      <c r="B4002">
        <f>IF(A4002="","",$B$1-MAXIFS(Donasi!$A$2:$A$20000,Donasi!$B$2:$B$20000,A4002))</f>
        <v/>
      </c>
      <c r="C4002">
        <f>IF(A4002="","",COUNTIF(Donasi!$B$2:$B$20000,A4002))</f>
        <v/>
      </c>
      <c r="D4002">
        <f>IF(A4002="","",SUMIF(Donasi!$B$2:$B$20000,A4002,Donasi!$C$2:$C$20000))</f>
        <v/>
      </c>
      <c r="E4002">
        <f>IF(A4002="","",6-CEILING(PERCENTRANK.INC($B$3:$B$6000,B4002,4)*5+0.000001,1))</f>
        <v/>
      </c>
      <c r="F4002">
        <f>IF(A4002="","",MAX(1,CEILING(PERCENTRANK.INC($C$3:$C$6000,C4002,4)*5+0.000001,1)))</f>
        <v/>
      </c>
      <c r="G4002">
        <f>IF(A4002="","",MAX(1,CEILING(PERCENTRANK.INC($D$3:$D$6000,D4002,4)*5+0.000001,1)))</f>
        <v/>
      </c>
      <c r="H4002">
        <f>IF(A4002="","",E4002&amp;F4002&amp;G4002)</f>
        <v/>
      </c>
      <c r="I4002">
        <f>IF(A4002="","",IF(AND(E4002&gt;=4,F4002&gt;=4,G4002&gt;=4),"Juara",IF(AND(F4002&gt;=4,E4002&gt;=3),"Setia",IF(AND(E4002=5,F4002&lt;=2,G4002&gt;=3),"Berpotensi",IF(AND(E4002&lt;=3,E4002&gt;=2,F4002&gt;=3),"Rawan",IF(AND(E4002&lt;=2,F4002&lt;=2),"Tidur","Umum"))))))</f>
        <v/>
      </c>
    </row>
    <row r="4003">
      <c r="B4003">
        <f>IF(A4003="","",$B$1-MAXIFS(Donasi!$A$2:$A$20000,Donasi!$B$2:$B$20000,A4003))</f>
        <v/>
      </c>
      <c r="C4003">
        <f>IF(A4003="","",COUNTIF(Donasi!$B$2:$B$20000,A4003))</f>
        <v/>
      </c>
      <c r="D4003">
        <f>IF(A4003="","",SUMIF(Donasi!$B$2:$B$20000,A4003,Donasi!$C$2:$C$20000))</f>
        <v/>
      </c>
      <c r="E4003">
        <f>IF(A4003="","",6-CEILING(PERCENTRANK.INC($B$3:$B$6000,B4003,4)*5+0.000001,1))</f>
        <v/>
      </c>
      <c r="F4003">
        <f>IF(A4003="","",MAX(1,CEILING(PERCENTRANK.INC($C$3:$C$6000,C4003,4)*5+0.000001,1)))</f>
        <v/>
      </c>
      <c r="G4003">
        <f>IF(A4003="","",MAX(1,CEILING(PERCENTRANK.INC($D$3:$D$6000,D4003,4)*5+0.000001,1)))</f>
        <v/>
      </c>
      <c r="H4003">
        <f>IF(A4003="","",E4003&amp;F4003&amp;G4003)</f>
        <v/>
      </c>
      <c r="I4003">
        <f>IF(A4003="","",IF(AND(E4003&gt;=4,F4003&gt;=4,G4003&gt;=4),"Juara",IF(AND(F4003&gt;=4,E4003&gt;=3),"Setia",IF(AND(E4003=5,F4003&lt;=2,G4003&gt;=3),"Berpotensi",IF(AND(E4003&lt;=3,E4003&gt;=2,F4003&gt;=3),"Rawan",IF(AND(E4003&lt;=2,F4003&lt;=2),"Tidur","Umum"))))))</f>
        <v/>
      </c>
    </row>
    <row r="4004">
      <c r="B4004">
        <f>IF(A4004="","",$B$1-MAXIFS(Donasi!$A$2:$A$20000,Donasi!$B$2:$B$20000,A4004))</f>
        <v/>
      </c>
      <c r="C4004">
        <f>IF(A4004="","",COUNTIF(Donasi!$B$2:$B$20000,A4004))</f>
        <v/>
      </c>
      <c r="D4004">
        <f>IF(A4004="","",SUMIF(Donasi!$B$2:$B$20000,A4004,Donasi!$C$2:$C$20000))</f>
        <v/>
      </c>
      <c r="E4004">
        <f>IF(A4004="","",6-CEILING(PERCENTRANK.INC($B$3:$B$6000,B4004,4)*5+0.000001,1))</f>
        <v/>
      </c>
      <c r="F4004">
        <f>IF(A4004="","",MAX(1,CEILING(PERCENTRANK.INC($C$3:$C$6000,C4004,4)*5+0.000001,1)))</f>
        <v/>
      </c>
      <c r="G4004">
        <f>IF(A4004="","",MAX(1,CEILING(PERCENTRANK.INC($D$3:$D$6000,D4004,4)*5+0.000001,1)))</f>
        <v/>
      </c>
      <c r="H4004">
        <f>IF(A4004="","",E4004&amp;F4004&amp;G4004)</f>
        <v/>
      </c>
      <c r="I4004">
        <f>IF(A4004="","",IF(AND(E4004&gt;=4,F4004&gt;=4,G4004&gt;=4),"Juara",IF(AND(F4004&gt;=4,E4004&gt;=3),"Setia",IF(AND(E4004=5,F4004&lt;=2,G4004&gt;=3),"Berpotensi",IF(AND(E4004&lt;=3,E4004&gt;=2,F4004&gt;=3),"Rawan",IF(AND(E4004&lt;=2,F4004&lt;=2),"Tidur","Umum"))))))</f>
        <v/>
      </c>
    </row>
    <row r="4005">
      <c r="B4005">
        <f>IF(A4005="","",$B$1-MAXIFS(Donasi!$A$2:$A$20000,Donasi!$B$2:$B$20000,A4005))</f>
        <v/>
      </c>
      <c r="C4005">
        <f>IF(A4005="","",COUNTIF(Donasi!$B$2:$B$20000,A4005))</f>
        <v/>
      </c>
      <c r="D4005">
        <f>IF(A4005="","",SUMIF(Donasi!$B$2:$B$20000,A4005,Donasi!$C$2:$C$20000))</f>
        <v/>
      </c>
      <c r="E4005">
        <f>IF(A4005="","",6-CEILING(PERCENTRANK.INC($B$3:$B$6000,B4005,4)*5+0.000001,1))</f>
        <v/>
      </c>
      <c r="F4005">
        <f>IF(A4005="","",MAX(1,CEILING(PERCENTRANK.INC($C$3:$C$6000,C4005,4)*5+0.000001,1)))</f>
        <v/>
      </c>
      <c r="G4005">
        <f>IF(A4005="","",MAX(1,CEILING(PERCENTRANK.INC($D$3:$D$6000,D4005,4)*5+0.000001,1)))</f>
        <v/>
      </c>
      <c r="H4005">
        <f>IF(A4005="","",E4005&amp;F4005&amp;G4005)</f>
        <v/>
      </c>
      <c r="I4005">
        <f>IF(A4005="","",IF(AND(E4005&gt;=4,F4005&gt;=4,G4005&gt;=4),"Juara",IF(AND(F4005&gt;=4,E4005&gt;=3),"Setia",IF(AND(E4005=5,F4005&lt;=2,G4005&gt;=3),"Berpotensi",IF(AND(E4005&lt;=3,E4005&gt;=2,F4005&gt;=3),"Rawan",IF(AND(E4005&lt;=2,F4005&lt;=2),"Tidur","Umum"))))))</f>
        <v/>
      </c>
    </row>
    <row r="4006">
      <c r="B4006">
        <f>IF(A4006="","",$B$1-MAXIFS(Donasi!$A$2:$A$20000,Donasi!$B$2:$B$20000,A4006))</f>
        <v/>
      </c>
      <c r="C4006">
        <f>IF(A4006="","",COUNTIF(Donasi!$B$2:$B$20000,A4006))</f>
        <v/>
      </c>
      <c r="D4006">
        <f>IF(A4006="","",SUMIF(Donasi!$B$2:$B$20000,A4006,Donasi!$C$2:$C$20000))</f>
        <v/>
      </c>
      <c r="E4006">
        <f>IF(A4006="","",6-CEILING(PERCENTRANK.INC($B$3:$B$6000,B4006,4)*5+0.000001,1))</f>
        <v/>
      </c>
      <c r="F4006">
        <f>IF(A4006="","",MAX(1,CEILING(PERCENTRANK.INC($C$3:$C$6000,C4006,4)*5+0.000001,1)))</f>
        <v/>
      </c>
      <c r="G4006">
        <f>IF(A4006="","",MAX(1,CEILING(PERCENTRANK.INC($D$3:$D$6000,D4006,4)*5+0.000001,1)))</f>
        <v/>
      </c>
      <c r="H4006">
        <f>IF(A4006="","",E4006&amp;F4006&amp;G4006)</f>
        <v/>
      </c>
      <c r="I4006">
        <f>IF(A4006="","",IF(AND(E4006&gt;=4,F4006&gt;=4,G4006&gt;=4),"Juara",IF(AND(F4006&gt;=4,E4006&gt;=3),"Setia",IF(AND(E4006=5,F4006&lt;=2,G4006&gt;=3),"Berpotensi",IF(AND(E4006&lt;=3,E4006&gt;=2,F4006&gt;=3),"Rawan",IF(AND(E4006&lt;=2,F4006&lt;=2),"Tidur","Umum"))))))</f>
        <v/>
      </c>
    </row>
    <row r="4007">
      <c r="B4007">
        <f>IF(A4007="","",$B$1-MAXIFS(Donasi!$A$2:$A$20000,Donasi!$B$2:$B$20000,A4007))</f>
        <v/>
      </c>
      <c r="C4007">
        <f>IF(A4007="","",COUNTIF(Donasi!$B$2:$B$20000,A4007))</f>
        <v/>
      </c>
      <c r="D4007">
        <f>IF(A4007="","",SUMIF(Donasi!$B$2:$B$20000,A4007,Donasi!$C$2:$C$20000))</f>
        <v/>
      </c>
      <c r="E4007">
        <f>IF(A4007="","",6-CEILING(PERCENTRANK.INC($B$3:$B$6000,B4007,4)*5+0.000001,1))</f>
        <v/>
      </c>
      <c r="F4007">
        <f>IF(A4007="","",MAX(1,CEILING(PERCENTRANK.INC($C$3:$C$6000,C4007,4)*5+0.000001,1)))</f>
        <v/>
      </c>
      <c r="G4007">
        <f>IF(A4007="","",MAX(1,CEILING(PERCENTRANK.INC($D$3:$D$6000,D4007,4)*5+0.000001,1)))</f>
        <v/>
      </c>
      <c r="H4007">
        <f>IF(A4007="","",E4007&amp;F4007&amp;G4007)</f>
        <v/>
      </c>
      <c r="I4007">
        <f>IF(A4007="","",IF(AND(E4007&gt;=4,F4007&gt;=4,G4007&gt;=4),"Juara",IF(AND(F4007&gt;=4,E4007&gt;=3),"Setia",IF(AND(E4007=5,F4007&lt;=2,G4007&gt;=3),"Berpotensi",IF(AND(E4007&lt;=3,E4007&gt;=2,F4007&gt;=3),"Rawan",IF(AND(E4007&lt;=2,F4007&lt;=2),"Tidur","Umum"))))))</f>
        <v/>
      </c>
    </row>
    <row r="4008">
      <c r="B4008">
        <f>IF(A4008="","",$B$1-MAXIFS(Donasi!$A$2:$A$20000,Donasi!$B$2:$B$20000,A4008))</f>
        <v/>
      </c>
      <c r="C4008">
        <f>IF(A4008="","",COUNTIF(Donasi!$B$2:$B$20000,A4008))</f>
        <v/>
      </c>
      <c r="D4008">
        <f>IF(A4008="","",SUMIF(Donasi!$B$2:$B$20000,A4008,Donasi!$C$2:$C$20000))</f>
        <v/>
      </c>
      <c r="E4008">
        <f>IF(A4008="","",6-CEILING(PERCENTRANK.INC($B$3:$B$6000,B4008,4)*5+0.000001,1))</f>
        <v/>
      </c>
      <c r="F4008">
        <f>IF(A4008="","",MAX(1,CEILING(PERCENTRANK.INC($C$3:$C$6000,C4008,4)*5+0.000001,1)))</f>
        <v/>
      </c>
      <c r="G4008">
        <f>IF(A4008="","",MAX(1,CEILING(PERCENTRANK.INC($D$3:$D$6000,D4008,4)*5+0.000001,1)))</f>
        <v/>
      </c>
      <c r="H4008">
        <f>IF(A4008="","",E4008&amp;F4008&amp;G4008)</f>
        <v/>
      </c>
      <c r="I4008">
        <f>IF(A4008="","",IF(AND(E4008&gt;=4,F4008&gt;=4,G4008&gt;=4),"Juara",IF(AND(F4008&gt;=4,E4008&gt;=3),"Setia",IF(AND(E4008=5,F4008&lt;=2,G4008&gt;=3),"Berpotensi",IF(AND(E4008&lt;=3,E4008&gt;=2,F4008&gt;=3),"Rawan",IF(AND(E4008&lt;=2,F4008&lt;=2),"Tidur","Umum"))))))</f>
        <v/>
      </c>
    </row>
    <row r="4009">
      <c r="B4009">
        <f>IF(A4009="","",$B$1-MAXIFS(Donasi!$A$2:$A$20000,Donasi!$B$2:$B$20000,A4009))</f>
        <v/>
      </c>
      <c r="C4009">
        <f>IF(A4009="","",COUNTIF(Donasi!$B$2:$B$20000,A4009))</f>
        <v/>
      </c>
      <c r="D4009">
        <f>IF(A4009="","",SUMIF(Donasi!$B$2:$B$20000,A4009,Donasi!$C$2:$C$20000))</f>
        <v/>
      </c>
      <c r="E4009">
        <f>IF(A4009="","",6-CEILING(PERCENTRANK.INC($B$3:$B$6000,B4009,4)*5+0.000001,1))</f>
        <v/>
      </c>
      <c r="F4009">
        <f>IF(A4009="","",MAX(1,CEILING(PERCENTRANK.INC($C$3:$C$6000,C4009,4)*5+0.000001,1)))</f>
        <v/>
      </c>
      <c r="G4009">
        <f>IF(A4009="","",MAX(1,CEILING(PERCENTRANK.INC($D$3:$D$6000,D4009,4)*5+0.000001,1)))</f>
        <v/>
      </c>
      <c r="H4009">
        <f>IF(A4009="","",E4009&amp;F4009&amp;G4009)</f>
        <v/>
      </c>
      <c r="I4009">
        <f>IF(A4009="","",IF(AND(E4009&gt;=4,F4009&gt;=4,G4009&gt;=4),"Juara",IF(AND(F4009&gt;=4,E4009&gt;=3),"Setia",IF(AND(E4009=5,F4009&lt;=2,G4009&gt;=3),"Berpotensi",IF(AND(E4009&lt;=3,E4009&gt;=2,F4009&gt;=3),"Rawan",IF(AND(E4009&lt;=2,F4009&lt;=2),"Tidur","Umum"))))))</f>
        <v/>
      </c>
    </row>
    <row r="4010">
      <c r="B4010">
        <f>IF(A4010="","",$B$1-MAXIFS(Donasi!$A$2:$A$20000,Donasi!$B$2:$B$20000,A4010))</f>
        <v/>
      </c>
      <c r="C4010">
        <f>IF(A4010="","",COUNTIF(Donasi!$B$2:$B$20000,A4010))</f>
        <v/>
      </c>
      <c r="D4010">
        <f>IF(A4010="","",SUMIF(Donasi!$B$2:$B$20000,A4010,Donasi!$C$2:$C$20000))</f>
        <v/>
      </c>
      <c r="E4010">
        <f>IF(A4010="","",6-CEILING(PERCENTRANK.INC($B$3:$B$6000,B4010,4)*5+0.000001,1))</f>
        <v/>
      </c>
      <c r="F4010">
        <f>IF(A4010="","",MAX(1,CEILING(PERCENTRANK.INC($C$3:$C$6000,C4010,4)*5+0.000001,1)))</f>
        <v/>
      </c>
      <c r="G4010">
        <f>IF(A4010="","",MAX(1,CEILING(PERCENTRANK.INC($D$3:$D$6000,D4010,4)*5+0.000001,1)))</f>
        <v/>
      </c>
      <c r="H4010">
        <f>IF(A4010="","",E4010&amp;F4010&amp;G4010)</f>
        <v/>
      </c>
      <c r="I4010">
        <f>IF(A4010="","",IF(AND(E4010&gt;=4,F4010&gt;=4,G4010&gt;=4),"Juara",IF(AND(F4010&gt;=4,E4010&gt;=3),"Setia",IF(AND(E4010=5,F4010&lt;=2,G4010&gt;=3),"Berpotensi",IF(AND(E4010&lt;=3,E4010&gt;=2,F4010&gt;=3),"Rawan",IF(AND(E4010&lt;=2,F4010&lt;=2),"Tidur","Umum"))))))</f>
        <v/>
      </c>
    </row>
    <row r="4011">
      <c r="B4011">
        <f>IF(A4011="","",$B$1-MAXIFS(Donasi!$A$2:$A$20000,Donasi!$B$2:$B$20000,A4011))</f>
        <v/>
      </c>
      <c r="C4011">
        <f>IF(A4011="","",COUNTIF(Donasi!$B$2:$B$20000,A4011))</f>
        <v/>
      </c>
      <c r="D4011">
        <f>IF(A4011="","",SUMIF(Donasi!$B$2:$B$20000,A4011,Donasi!$C$2:$C$20000))</f>
        <v/>
      </c>
      <c r="E4011">
        <f>IF(A4011="","",6-CEILING(PERCENTRANK.INC($B$3:$B$6000,B4011,4)*5+0.000001,1))</f>
        <v/>
      </c>
      <c r="F4011">
        <f>IF(A4011="","",MAX(1,CEILING(PERCENTRANK.INC($C$3:$C$6000,C4011,4)*5+0.000001,1)))</f>
        <v/>
      </c>
      <c r="G4011">
        <f>IF(A4011="","",MAX(1,CEILING(PERCENTRANK.INC($D$3:$D$6000,D4011,4)*5+0.000001,1)))</f>
        <v/>
      </c>
      <c r="H4011">
        <f>IF(A4011="","",E4011&amp;F4011&amp;G4011)</f>
        <v/>
      </c>
      <c r="I4011">
        <f>IF(A4011="","",IF(AND(E4011&gt;=4,F4011&gt;=4,G4011&gt;=4),"Juara",IF(AND(F4011&gt;=4,E4011&gt;=3),"Setia",IF(AND(E4011=5,F4011&lt;=2,G4011&gt;=3),"Berpotensi",IF(AND(E4011&lt;=3,E4011&gt;=2,F4011&gt;=3),"Rawan",IF(AND(E4011&lt;=2,F4011&lt;=2),"Tidur","Umum"))))))</f>
        <v/>
      </c>
    </row>
    <row r="4012">
      <c r="B4012">
        <f>IF(A4012="","",$B$1-MAXIFS(Donasi!$A$2:$A$20000,Donasi!$B$2:$B$20000,A4012))</f>
        <v/>
      </c>
      <c r="C4012">
        <f>IF(A4012="","",COUNTIF(Donasi!$B$2:$B$20000,A4012))</f>
        <v/>
      </c>
      <c r="D4012">
        <f>IF(A4012="","",SUMIF(Donasi!$B$2:$B$20000,A4012,Donasi!$C$2:$C$20000))</f>
        <v/>
      </c>
      <c r="E4012">
        <f>IF(A4012="","",6-CEILING(PERCENTRANK.INC($B$3:$B$6000,B4012,4)*5+0.000001,1))</f>
        <v/>
      </c>
      <c r="F4012">
        <f>IF(A4012="","",MAX(1,CEILING(PERCENTRANK.INC($C$3:$C$6000,C4012,4)*5+0.000001,1)))</f>
        <v/>
      </c>
      <c r="G4012">
        <f>IF(A4012="","",MAX(1,CEILING(PERCENTRANK.INC($D$3:$D$6000,D4012,4)*5+0.000001,1)))</f>
        <v/>
      </c>
      <c r="H4012">
        <f>IF(A4012="","",E4012&amp;F4012&amp;G4012)</f>
        <v/>
      </c>
      <c r="I4012">
        <f>IF(A4012="","",IF(AND(E4012&gt;=4,F4012&gt;=4,G4012&gt;=4),"Juara",IF(AND(F4012&gt;=4,E4012&gt;=3),"Setia",IF(AND(E4012=5,F4012&lt;=2,G4012&gt;=3),"Berpotensi",IF(AND(E4012&lt;=3,E4012&gt;=2,F4012&gt;=3),"Rawan",IF(AND(E4012&lt;=2,F4012&lt;=2),"Tidur","Umum"))))))</f>
        <v/>
      </c>
    </row>
    <row r="4013">
      <c r="B4013">
        <f>IF(A4013="","",$B$1-MAXIFS(Donasi!$A$2:$A$20000,Donasi!$B$2:$B$20000,A4013))</f>
        <v/>
      </c>
      <c r="C4013">
        <f>IF(A4013="","",COUNTIF(Donasi!$B$2:$B$20000,A4013))</f>
        <v/>
      </c>
      <c r="D4013">
        <f>IF(A4013="","",SUMIF(Donasi!$B$2:$B$20000,A4013,Donasi!$C$2:$C$20000))</f>
        <v/>
      </c>
      <c r="E4013">
        <f>IF(A4013="","",6-CEILING(PERCENTRANK.INC($B$3:$B$6000,B4013,4)*5+0.000001,1))</f>
        <v/>
      </c>
      <c r="F4013">
        <f>IF(A4013="","",MAX(1,CEILING(PERCENTRANK.INC($C$3:$C$6000,C4013,4)*5+0.000001,1)))</f>
        <v/>
      </c>
      <c r="G4013">
        <f>IF(A4013="","",MAX(1,CEILING(PERCENTRANK.INC($D$3:$D$6000,D4013,4)*5+0.000001,1)))</f>
        <v/>
      </c>
      <c r="H4013">
        <f>IF(A4013="","",E4013&amp;F4013&amp;G4013)</f>
        <v/>
      </c>
      <c r="I4013">
        <f>IF(A4013="","",IF(AND(E4013&gt;=4,F4013&gt;=4,G4013&gt;=4),"Juara",IF(AND(F4013&gt;=4,E4013&gt;=3),"Setia",IF(AND(E4013=5,F4013&lt;=2,G4013&gt;=3),"Berpotensi",IF(AND(E4013&lt;=3,E4013&gt;=2,F4013&gt;=3),"Rawan",IF(AND(E4013&lt;=2,F4013&lt;=2),"Tidur","Umum"))))))</f>
        <v/>
      </c>
    </row>
    <row r="4014">
      <c r="B4014">
        <f>IF(A4014="","",$B$1-MAXIFS(Donasi!$A$2:$A$20000,Donasi!$B$2:$B$20000,A4014))</f>
        <v/>
      </c>
      <c r="C4014">
        <f>IF(A4014="","",COUNTIF(Donasi!$B$2:$B$20000,A4014))</f>
        <v/>
      </c>
      <c r="D4014">
        <f>IF(A4014="","",SUMIF(Donasi!$B$2:$B$20000,A4014,Donasi!$C$2:$C$20000))</f>
        <v/>
      </c>
      <c r="E4014">
        <f>IF(A4014="","",6-CEILING(PERCENTRANK.INC($B$3:$B$6000,B4014,4)*5+0.000001,1))</f>
        <v/>
      </c>
      <c r="F4014">
        <f>IF(A4014="","",MAX(1,CEILING(PERCENTRANK.INC($C$3:$C$6000,C4014,4)*5+0.000001,1)))</f>
        <v/>
      </c>
      <c r="G4014">
        <f>IF(A4014="","",MAX(1,CEILING(PERCENTRANK.INC($D$3:$D$6000,D4014,4)*5+0.000001,1)))</f>
        <v/>
      </c>
      <c r="H4014">
        <f>IF(A4014="","",E4014&amp;F4014&amp;G4014)</f>
        <v/>
      </c>
      <c r="I4014">
        <f>IF(A4014="","",IF(AND(E4014&gt;=4,F4014&gt;=4,G4014&gt;=4),"Juara",IF(AND(F4014&gt;=4,E4014&gt;=3),"Setia",IF(AND(E4014=5,F4014&lt;=2,G4014&gt;=3),"Berpotensi",IF(AND(E4014&lt;=3,E4014&gt;=2,F4014&gt;=3),"Rawan",IF(AND(E4014&lt;=2,F4014&lt;=2),"Tidur","Umum"))))))</f>
        <v/>
      </c>
    </row>
    <row r="4015">
      <c r="B4015">
        <f>IF(A4015="","",$B$1-MAXIFS(Donasi!$A$2:$A$20000,Donasi!$B$2:$B$20000,A4015))</f>
        <v/>
      </c>
      <c r="C4015">
        <f>IF(A4015="","",COUNTIF(Donasi!$B$2:$B$20000,A4015))</f>
        <v/>
      </c>
      <c r="D4015">
        <f>IF(A4015="","",SUMIF(Donasi!$B$2:$B$20000,A4015,Donasi!$C$2:$C$20000))</f>
        <v/>
      </c>
      <c r="E4015">
        <f>IF(A4015="","",6-CEILING(PERCENTRANK.INC($B$3:$B$6000,B4015,4)*5+0.000001,1))</f>
        <v/>
      </c>
      <c r="F4015">
        <f>IF(A4015="","",MAX(1,CEILING(PERCENTRANK.INC($C$3:$C$6000,C4015,4)*5+0.000001,1)))</f>
        <v/>
      </c>
      <c r="G4015">
        <f>IF(A4015="","",MAX(1,CEILING(PERCENTRANK.INC($D$3:$D$6000,D4015,4)*5+0.000001,1)))</f>
        <v/>
      </c>
      <c r="H4015">
        <f>IF(A4015="","",E4015&amp;F4015&amp;G4015)</f>
        <v/>
      </c>
      <c r="I4015">
        <f>IF(A4015="","",IF(AND(E4015&gt;=4,F4015&gt;=4,G4015&gt;=4),"Juara",IF(AND(F4015&gt;=4,E4015&gt;=3),"Setia",IF(AND(E4015=5,F4015&lt;=2,G4015&gt;=3),"Berpotensi",IF(AND(E4015&lt;=3,E4015&gt;=2,F4015&gt;=3),"Rawan",IF(AND(E4015&lt;=2,F4015&lt;=2),"Tidur","Umum"))))))</f>
        <v/>
      </c>
    </row>
    <row r="4016">
      <c r="B4016">
        <f>IF(A4016="","",$B$1-MAXIFS(Donasi!$A$2:$A$20000,Donasi!$B$2:$B$20000,A4016))</f>
        <v/>
      </c>
      <c r="C4016">
        <f>IF(A4016="","",COUNTIF(Donasi!$B$2:$B$20000,A4016))</f>
        <v/>
      </c>
      <c r="D4016">
        <f>IF(A4016="","",SUMIF(Donasi!$B$2:$B$20000,A4016,Donasi!$C$2:$C$20000))</f>
        <v/>
      </c>
      <c r="E4016">
        <f>IF(A4016="","",6-CEILING(PERCENTRANK.INC($B$3:$B$6000,B4016,4)*5+0.000001,1))</f>
        <v/>
      </c>
      <c r="F4016">
        <f>IF(A4016="","",MAX(1,CEILING(PERCENTRANK.INC($C$3:$C$6000,C4016,4)*5+0.000001,1)))</f>
        <v/>
      </c>
      <c r="G4016">
        <f>IF(A4016="","",MAX(1,CEILING(PERCENTRANK.INC($D$3:$D$6000,D4016,4)*5+0.000001,1)))</f>
        <v/>
      </c>
      <c r="H4016">
        <f>IF(A4016="","",E4016&amp;F4016&amp;G4016)</f>
        <v/>
      </c>
      <c r="I4016">
        <f>IF(A4016="","",IF(AND(E4016&gt;=4,F4016&gt;=4,G4016&gt;=4),"Juara",IF(AND(F4016&gt;=4,E4016&gt;=3),"Setia",IF(AND(E4016=5,F4016&lt;=2,G4016&gt;=3),"Berpotensi",IF(AND(E4016&lt;=3,E4016&gt;=2,F4016&gt;=3),"Rawan",IF(AND(E4016&lt;=2,F4016&lt;=2),"Tidur","Umum"))))))</f>
        <v/>
      </c>
    </row>
    <row r="4017">
      <c r="B4017">
        <f>IF(A4017="","",$B$1-MAXIFS(Donasi!$A$2:$A$20000,Donasi!$B$2:$B$20000,A4017))</f>
        <v/>
      </c>
      <c r="C4017">
        <f>IF(A4017="","",COUNTIF(Donasi!$B$2:$B$20000,A4017))</f>
        <v/>
      </c>
      <c r="D4017">
        <f>IF(A4017="","",SUMIF(Donasi!$B$2:$B$20000,A4017,Donasi!$C$2:$C$20000))</f>
        <v/>
      </c>
      <c r="E4017">
        <f>IF(A4017="","",6-CEILING(PERCENTRANK.INC($B$3:$B$6000,B4017,4)*5+0.000001,1))</f>
        <v/>
      </c>
      <c r="F4017">
        <f>IF(A4017="","",MAX(1,CEILING(PERCENTRANK.INC($C$3:$C$6000,C4017,4)*5+0.000001,1)))</f>
        <v/>
      </c>
      <c r="G4017">
        <f>IF(A4017="","",MAX(1,CEILING(PERCENTRANK.INC($D$3:$D$6000,D4017,4)*5+0.000001,1)))</f>
        <v/>
      </c>
      <c r="H4017">
        <f>IF(A4017="","",E4017&amp;F4017&amp;G4017)</f>
        <v/>
      </c>
      <c r="I4017">
        <f>IF(A4017="","",IF(AND(E4017&gt;=4,F4017&gt;=4,G4017&gt;=4),"Juara",IF(AND(F4017&gt;=4,E4017&gt;=3),"Setia",IF(AND(E4017=5,F4017&lt;=2,G4017&gt;=3),"Berpotensi",IF(AND(E4017&lt;=3,E4017&gt;=2,F4017&gt;=3),"Rawan",IF(AND(E4017&lt;=2,F4017&lt;=2),"Tidur","Umum"))))))</f>
        <v/>
      </c>
    </row>
    <row r="4018">
      <c r="B4018">
        <f>IF(A4018="","",$B$1-MAXIFS(Donasi!$A$2:$A$20000,Donasi!$B$2:$B$20000,A4018))</f>
        <v/>
      </c>
      <c r="C4018">
        <f>IF(A4018="","",COUNTIF(Donasi!$B$2:$B$20000,A4018))</f>
        <v/>
      </c>
      <c r="D4018">
        <f>IF(A4018="","",SUMIF(Donasi!$B$2:$B$20000,A4018,Donasi!$C$2:$C$20000))</f>
        <v/>
      </c>
      <c r="E4018">
        <f>IF(A4018="","",6-CEILING(PERCENTRANK.INC($B$3:$B$6000,B4018,4)*5+0.000001,1))</f>
        <v/>
      </c>
      <c r="F4018">
        <f>IF(A4018="","",MAX(1,CEILING(PERCENTRANK.INC($C$3:$C$6000,C4018,4)*5+0.000001,1)))</f>
        <v/>
      </c>
      <c r="G4018">
        <f>IF(A4018="","",MAX(1,CEILING(PERCENTRANK.INC($D$3:$D$6000,D4018,4)*5+0.000001,1)))</f>
        <v/>
      </c>
      <c r="H4018">
        <f>IF(A4018="","",E4018&amp;F4018&amp;G4018)</f>
        <v/>
      </c>
      <c r="I4018">
        <f>IF(A4018="","",IF(AND(E4018&gt;=4,F4018&gt;=4,G4018&gt;=4),"Juara",IF(AND(F4018&gt;=4,E4018&gt;=3),"Setia",IF(AND(E4018=5,F4018&lt;=2,G4018&gt;=3),"Berpotensi",IF(AND(E4018&lt;=3,E4018&gt;=2,F4018&gt;=3),"Rawan",IF(AND(E4018&lt;=2,F4018&lt;=2),"Tidur","Umum"))))))</f>
        <v/>
      </c>
    </row>
    <row r="4019">
      <c r="B4019">
        <f>IF(A4019="","",$B$1-MAXIFS(Donasi!$A$2:$A$20000,Donasi!$B$2:$B$20000,A4019))</f>
        <v/>
      </c>
      <c r="C4019">
        <f>IF(A4019="","",COUNTIF(Donasi!$B$2:$B$20000,A4019))</f>
        <v/>
      </c>
      <c r="D4019">
        <f>IF(A4019="","",SUMIF(Donasi!$B$2:$B$20000,A4019,Donasi!$C$2:$C$20000))</f>
        <v/>
      </c>
      <c r="E4019">
        <f>IF(A4019="","",6-CEILING(PERCENTRANK.INC($B$3:$B$6000,B4019,4)*5+0.000001,1))</f>
        <v/>
      </c>
      <c r="F4019">
        <f>IF(A4019="","",MAX(1,CEILING(PERCENTRANK.INC($C$3:$C$6000,C4019,4)*5+0.000001,1)))</f>
        <v/>
      </c>
      <c r="G4019">
        <f>IF(A4019="","",MAX(1,CEILING(PERCENTRANK.INC($D$3:$D$6000,D4019,4)*5+0.000001,1)))</f>
        <v/>
      </c>
      <c r="H4019">
        <f>IF(A4019="","",E4019&amp;F4019&amp;G4019)</f>
        <v/>
      </c>
      <c r="I4019">
        <f>IF(A4019="","",IF(AND(E4019&gt;=4,F4019&gt;=4,G4019&gt;=4),"Juara",IF(AND(F4019&gt;=4,E4019&gt;=3),"Setia",IF(AND(E4019=5,F4019&lt;=2,G4019&gt;=3),"Berpotensi",IF(AND(E4019&lt;=3,E4019&gt;=2,F4019&gt;=3),"Rawan",IF(AND(E4019&lt;=2,F4019&lt;=2),"Tidur","Umum"))))))</f>
        <v/>
      </c>
    </row>
    <row r="4020">
      <c r="B4020">
        <f>IF(A4020="","",$B$1-MAXIFS(Donasi!$A$2:$A$20000,Donasi!$B$2:$B$20000,A4020))</f>
        <v/>
      </c>
      <c r="C4020">
        <f>IF(A4020="","",COUNTIF(Donasi!$B$2:$B$20000,A4020))</f>
        <v/>
      </c>
      <c r="D4020">
        <f>IF(A4020="","",SUMIF(Donasi!$B$2:$B$20000,A4020,Donasi!$C$2:$C$20000))</f>
        <v/>
      </c>
      <c r="E4020">
        <f>IF(A4020="","",6-CEILING(PERCENTRANK.INC($B$3:$B$6000,B4020,4)*5+0.000001,1))</f>
        <v/>
      </c>
      <c r="F4020">
        <f>IF(A4020="","",MAX(1,CEILING(PERCENTRANK.INC($C$3:$C$6000,C4020,4)*5+0.000001,1)))</f>
        <v/>
      </c>
      <c r="G4020">
        <f>IF(A4020="","",MAX(1,CEILING(PERCENTRANK.INC($D$3:$D$6000,D4020,4)*5+0.000001,1)))</f>
        <v/>
      </c>
      <c r="H4020">
        <f>IF(A4020="","",E4020&amp;F4020&amp;G4020)</f>
        <v/>
      </c>
      <c r="I4020">
        <f>IF(A4020="","",IF(AND(E4020&gt;=4,F4020&gt;=4,G4020&gt;=4),"Juara",IF(AND(F4020&gt;=4,E4020&gt;=3),"Setia",IF(AND(E4020=5,F4020&lt;=2,G4020&gt;=3),"Berpotensi",IF(AND(E4020&lt;=3,E4020&gt;=2,F4020&gt;=3),"Rawan",IF(AND(E4020&lt;=2,F4020&lt;=2),"Tidur","Umum"))))))</f>
        <v/>
      </c>
    </row>
    <row r="4021">
      <c r="B4021">
        <f>IF(A4021="","",$B$1-MAXIFS(Donasi!$A$2:$A$20000,Donasi!$B$2:$B$20000,A4021))</f>
        <v/>
      </c>
      <c r="C4021">
        <f>IF(A4021="","",COUNTIF(Donasi!$B$2:$B$20000,A4021))</f>
        <v/>
      </c>
      <c r="D4021">
        <f>IF(A4021="","",SUMIF(Donasi!$B$2:$B$20000,A4021,Donasi!$C$2:$C$20000))</f>
        <v/>
      </c>
      <c r="E4021">
        <f>IF(A4021="","",6-CEILING(PERCENTRANK.INC($B$3:$B$6000,B4021,4)*5+0.000001,1))</f>
        <v/>
      </c>
      <c r="F4021">
        <f>IF(A4021="","",MAX(1,CEILING(PERCENTRANK.INC($C$3:$C$6000,C4021,4)*5+0.000001,1)))</f>
        <v/>
      </c>
      <c r="G4021">
        <f>IF(A4021="","",MAX(1,CEILING(PERCENTRANK.INC($D$3:$D$6000,D4021,4)*5+0.000001,1)))</f>
        <v/>
      </c>
      <c r="H4021">
        <f>IF(A4021="","",E4021&amp;F4021&amp;G4021)</f>
        <v/>
      </c>
      <c r="I4021">
        <f>IF(A4021="","",IF(AND(E4021&gt;=4,F4021&gt;=4,G4021&gt;=4),"Juara",IF(AND(F4021&gt;=4,E4021&gt;=3),"Setia",IF(AND(E4021=5,F4021&lt;=2,G4021&gt;=3),"Berpotensi",IF(AND(E4021&lt;=3,E4021&gt;=2,F4021&gt;=3),"Rawan",IF(AND(E4021&lt;=2,F4021&lt;=2),"Tidur","Umum"))))))</f>
        <v/>
      </c>
    </row>
    <row r="4022">
      <c r="B4022">
        <f>IF(A4022="","",$B$1-MAXIFS(Donasi!$A$2:$A$20000,Donasi!$B$2:$B$20000,A4022))</f>
        <v/>
      </c>
      <c r="C4022">
        <f>IF(A4022="","",COUNTIF(Donasi!$B$2:$B$20000,A4022))</f>
        <v/>
      </c>
      <c r="D4022">
        <f>IF(A4022="","",SUMIF(Donasi!$B$2:$B$20000,A4022,Donasi!$C$2:$C$20000))</f>
        <v/>
      </c>
      <c r="E4022">
        <f>IF(A4022="","",6-CEILING(PERCENTRANK.INC($B$3:$B$6000,B4022,4)*5+0.000001,1))</f>
        <v/>
      </c>
      <c r="F4022">
        <f>IF(A4022="","",MAX(1,CEILING(PERCENTRANK.INC($C$3:$C$6000,C4022,4)*5+0.000001,1)))</f>
        <v/>
      </c>
      <c r="G4022">
        <f>IF(A4022="","",MAX(1,CEILING(PERCENTRANK.INC($D$3:$D$6000,D4022,4)*5+0.000001,1)))</f>
        <v/>
      </c>
      <c r="H4022">
        <f>IF(A4022="","",E4022&amp;F4022&amp;G4022)</f>
        <v/>
      </c>
      <c r="I4022">
        <f>IF(A4022="","",IF(AND(E4022&gt;=4,F4022&gt;=4,G4022&gt;=4),"Juara",IF(AND(F4022&gt;=4,E4022&gt;=3),"Setia",IF(AND(E4022=5,F4022&lt;=2,G4022&gt;=3),"Berpotensi",IF(AND(E4022&lt;=3,E4022&gt;=2,F4022&gt;=3),"Rawan",IF(AND(E4022&lt;=2,F4022&lt;=2),"Tidur","Umum"))))))</f>
        <v/>
      </c>
    </row>
    <row r="4023">
      <c r="B4023">
        <f>IF(A4023="","",$B$1-MAXIFS(Donasi!$A$2:$A$20000,Donasi!$B$2:$B$20000,A4023))</f>
        <v/>
      </c>
      <c r="C4023">
        <f>IF(A4023="","",COUNTIF(Donasi!$B$2:$B$20000,A4023))</f>
        <v/>
      </c>
      <c r="D4023">
        <f>IF(A4023="","",SUMIF(Donasi!$B$2:$B$20000,A4023,Donasi!$C$2:$C$20000))</f>
        <v/>
      </c>
      <c r="E4023">
        <f>IF(A4023="","",6-CEILING(PERCENTRANK.INC($B$3:$B$6000,B4023,4)*5+0.000001,1))</f>
        <v/>
      </c>
      <c r="F4023">
        <f>IF(A4023="","",MAX(1,CEILING(PERCENTRANK.INC($C$3:$C$6000,C4023,4)*5+0.000001,1)))</f>
        <v/>
      </c>
      <c r="G4023">
        <f>IF(A4023="","",MAX(1,CEILING(PERCENTRANK.INC($D$3:$D$6000,D4023,4)*5+0.000001,1)))</f>
        <v/>
      </c>
      <c r="H4023">
        <f>IF(A4023="","",E4023&amp;F4023&amp;G4023)</f>
        <v/>
      </c>
      <c r="I4023">
        <f>IF(A4023="","",IF(AND(E4023&gt;=4,F4023&gt;=4,G4023&gt;=4),"Juara",IF(AND(F4023&gt;=4,E4023&gt;=3),"Setia",IF(AND(E4023=5,F4023&lt;=2,G4023&gt;=3),"Berpotensi",IF(AND(E4023&lt;=3,E4023&gt;=2,F4023&gt;=3),"Rawan",IF(AND(E4023&lt;=2,F4023&lt;=2),"Tidur","Umum"))))))</f>
        <v/>
      </c>
    </row>
    <row r="4024">
      <c r="B4024">
        <f>IF(A4024="","",$B$1-MAXIFS(Donasi!$A$2:$A$20000,Donasi!$B$2:$B$20000,A4024))</f>
        <v/>
      </c>
      <c r="C4024">
        <f>IF(A4024="","",COUNTIF(Donasi!$B$2:$B$20000,A4024))</f>
        <v/>
      </c>
      <c r="D4024">
        <f>IF(A4024="","",SUMIF(Donasi!$B$2:$B$20000,A4024,Donasi!$C$2:$C$20000))</f>
        <v/>
      </c>
      <c r="E4024">
        <f>IF(A4024="","",6-CEILING(PERCENTRANK.INC($B$3:$B$6000,B4024,4)*5+0.000001,1))</f>
        <v/>
      </c>
      <c r="F4024">
        <f>IF(A4024="","",MAX(1,CEILING(PERCENTRANK.INC($C$3:$C$6000,C4024,4)*5+0.000001,1)))</f>
        <v/>
      </c>
      <c r="G4024">
        <f>IF(A4024="","",MAX(1,CEILING(PERCENTRANK.INC($D$3:$D$6000,D4024,4)*5+0.000001,1)))</f>
        <v/>
      </c>
      <c r="H4024">
        <f>IF(A4024="","",E4024&amp;F4024&amp;G4024)</f>
        <v/>
      </c>
      <c r="I4024">
        <f>IF(A4024="","",IF(AND(E4024&gt;=4,F4024&gt;=4,G4024&gt;=4),"Juara",IF(AND(F4024&gt;=4,E4024&gt;=3),"Setia",IF(AND(E4024=5,F4024&lt;=2,G4024&gt;=3),"Berpotensi",IF(AND(E4024&lt;=3,E4024&gt;=2,F4024&gt;=3),"Rawan",IF(AND(E4024&lt;=2,F4024&lt;=2),"Tidur","Umum"))))))</f>
        <v/>
      </c>
    </row>
    <row r="4025">
      <c r="B4025">
        <f>IF(A4025="","",$B$1-MAXIFS(Donasi!$A$2:$A$20000,Donasi!$B$2:$B$20000,A4025))</f>
        <v/>
      </c>
      <c r="C4025">
        <f>IF(A4025="","",COUNTIF(Donasi!$B$2:$B$20000,A4025))</f>
        <v/>
      </c>
      <c r="D4025">
        <f>IF(A4025="","",SUMIF(Donasi!$B$2:$B$20000,A4025,Donasi!$C$2:$C$20000))</f>
        <v/>
      </c>
      <c r="E4025">
        <f>IF(A4025="","",6-CEILING(PERCENTRANK.INC($B$3:$B$6000,B4025,4)*5+0.000001,1))</f>
        <v/>
      </c>
      <c r="F4025">
        <f>IF(A4025="","",MAX(1,CEILING(PERCENTRANK.INC($C$3:$C$6000,C4025,4)*5+0.000001,1)))</f>
        <v/>
      </c>
      <c r="G4025">
        <f>IF(A4025="","",MAX(1,CEILING(PERCENTRANK.INC($D$3:$D$6000,D4025,4)*5+0.000001,1)))</f>
        <v/>
      </c>
      <c r="H4025">
        <f>IF(A4025="","",E4025&amp;F4025&amp;G4025)</f>
        <v/>
      </c>
      <c r="I4025">
        <f>IF(A4025="","",IF(AND(E4025&gt;=4,F4025&gt;=4,G4025&gt;=4),"Juara",IF(AND(F4025&gt;=4,E4025&gt;=3),"Setia",IF(AND(E4025=5,F4025&lt;=2,G4025&gt;=3),"Berpotensi",IF(AND(E4025&lt;=3,E4025&gt;=2,F4025&gt;=3),"Rawan",IF(AND(E4025&lt;=2,F4025&lt;=2),"Tidur","Umum"))))))</f>
        <v/>
      </c>
    </row>
    <row r="4026">
      <c r="B4026">
        <f>IF(A4026="","",$B$1-MAXIFS(Donasi!$A$2:$A$20000,Donasi!$B$2:$B$20000,A4026))</f>
        <v/>
      </c>
      <c r="C4026">
        <f>IF(A4026="","",COUNTIF(Donasi!$B$2:$B$20000,A4026))</f>
        <v/>
      </c>
      <c r="D4026">
        <f>IF(A4026="","",SUMIF(Donasi!$B$2:$B$20000,A4026,Donasi!$C$2:$C$20000))</f>
        <v/>
      </c>
      <c r="E4026">
        <f>IF(A4026="","",6-CEILING(PERCENTRANK.INC($B$3:$B$6000,B4026,4)*5+0.000001,1))</f>
        <v/>
      </c>
      <c r="F4026">
        <f>IF(A4026="","",MAX(1,CEILING(PERCENTRANK.INC($C$3:$C$6000,C4026,4)*5+0.000001,1)))</f>
        <v/>
      </c>
      <c r="G4026">
        <f>IF(A4026="","",MAX(1,CEILING(PERCENTRANK.INC($D$3:$D$6000,D4026,4)*5+0.000001,1)))</f>
        <v/>
      </c>
      <c r="H4026">
        <f>IF(A4026="","",E4026&amp;F4026&amp;G4026)</f>
        <v/>
      </c>
      <c r="I4026">
        <f>IF(A4026="","",IF(AND(E4026&gt;=4,F4026&gt;=4,G4026&gt;=4),"Juara",IF(AND(F4026&gt;=4,E4026&gt;=3),"Setia",IF(AND(E4026=5,F4026&lt;=2,G4026&gt;=3),"Berpotensi",IF(AND(E4026&lt;=3,E4026&gt;=2,F4026&gt;=3),"Rawan",IF(AND(E4026&lt;=2,F4026&lt;=2),"Tidur","Umum"))))))</f>
        <v/>
      </c>
    </row>
    <row r="4027">
      <c r="B4027">
        <f>IF(A4027="","",$B$1-MAXIFS(Donasi!$A$2:$A$20000,Donasi!$B$2:$B$20000,A4027))</f>
        <v/>
      </c>
      <c r="C4027">
        <f>IF(A4027="","",COUNTIF(Donasi!$B$2:$B$20000,A4027))</f>
        <v/>
      </c>
      <c r="D4027">
        <f>IF(A4027="","",SUMIF(Donasi!$B$2:$B$20000,A4027,Donasi!$C$2:$C$20000))</f>
        <v/>
      </c>
      <c r="E4027">
        <f>IF(A4027="","",6-CEILING(PERCENTRANK.INC($B$3:$B$6000,B4027,4)*5+0.000001,1))</f>
        <v/>
      </c>
      <c r="F4027">
        <f>IF(A4027="","",MAX(1,CEILING(PERCENTRANK.INC($C$3:$C$6000,C4027,4)*5+0.000001,1)))</f>
        <v/>
      </c>
      <c r="G4027">
        <f>IF(A4027="","",MAX(1,CEILING(PERCENTRANK.INC($D$3:$D$6000,D4027,4)*5+0.000001,1)))</f>
        <v/>
      </c>
      <c r="H4027">
        <f>IF(A4027="","",E4027&amp;F4027&amp;G4027)</f>
        <v/>
      </c>
      <c r="I4027">
        <f>IF(A4027="","",IF(AND(E4027&gt;=4,F4027&gt;=4,G4027&gt;=4),"Juara",IF(AND(F4027&gt;=4,E4027&gt;=3),"Setia",IF(AND(E4027=5,F4027&lt;=2,G4027&gt;=3),"Berpotensi",IF(AND(E4027&lt;=3,E4027&gt;=2,F4027&gt;=3),"Rawan",IF(AND(E4027&lt;=2,F4027&lt;=2),"Tidur","Umum"))))))</f>
        <v/>
      </c>
    </row>
    <row r="4028">
      <c r="B4028">
        <f>IF(A4028="","",$B$1-MAXIFS(Donasi!$A$2:$A$20000,Donasi!$B$2:$B$20000,A4028))</f>
        <v/>
      </c>
      <c r="C4028">
        <f>IF(A4028="","",COUNTIF(Donasi!$B$2:$B$20000,A4028))</f>
        <v/>
      </c>
      <c r="D4028">
        <f>IF(A4028="","",SUMIF(Donasi!$B$2:$B$20000,A4028,Donasi!$C$2:$C$20000))</f>
        <v/>
      </c>
      <c r="E4028">
        <f>IF(A4028="","",6-CEILING(PERCENTRANK.INC($B$3:$B$6000,B4028,4)*5+0.000001,1))</f>
        <v/>
      </c>
      <c r="F4028">
        <f>IF(A4028="","",MAX(1,CEILING(PERCENTRANK.INC($C$3:$C$6000,C4028,4)*5+0.000001,1)))</f>
        <v/>
      </c>
      <c r="G4028">
        <f>IF(A4028="","",MAX(1,CEILING(PERCENTRANK.INC($D$3:$D$6000,D4028,4)*5+0.000001,1)))</f>
        <v/>
      </c>
      <c r="H4028">
        <f>IF(A4028="","",E4028&amp;F4028&amp;G4028)</f>
        <v/>
      </c>
      <c r="I4028">
        <f>IF(A4028="","",IF(AND(E4028&gt;=4,F4028&gt;=4,G4028&gt;=4),"Juara",IF(AND(F4028&gt;=4,E4028&gt;=3),"Setia",IF(AND(E4028=5,F4028&lt;=2,G4028&gt;=3),"Berpotensi",IF(AND(E4028&lt;=3,E4028&gt;=2,F4028&gt;=3),"Rawan",IF(AND(E4028&lt;=2,F4028&lt;=2),"Tidur","Umum"))))))</f>
        <v/>
      </c>
    </row>
    <row r="4029">
      <c r="B4029">
        <f>IF(A4029="","",$B$1-MAXIFS(Donasi!$A$2:$A$20000,Donasi!$B$2:$B$20000,A4029))</f>
        <v/>
      </c>
      <c r="C4029">
        <f>IF(A4029="","",COUNTIF(Donasi!$B$2:$B$20000,A4029))</f>
        <v/>
      </c>
      <c r="D4029">
        <f>IF(A4029="","",SUMIF(Donasi!$B$2:$B$20000,A4029,Donasi!$C$2:$C$20000))</f>
        <v/>
      </c>
      <c r="E4029">
        <f>IF(A4029="","",6-CEILING(PERCENTRANK.INC($B$3:$B$6000,B4029,4)*5+0.000001,1))</f>
        <v/>
      </c>
      <c r="F4029">
        <f>IF(A4029="","",MAX(1,CEILING(PERCENTRANK.INC($C$3:$C$6000,C4029,4)*5+0.000001,1)))</f>
        <v/>
      </c>
      <c r="G4029">
        <f>IF(A4029="","",MAX(1,CEILING(PERCENTRANK.INC($D$3:$D$6000,D4029,4)*5+0.000001,1)))</f>
        <v/>
      </c>
      <c r="H4029">
        <f>IF(A4029="","",E4029&amp;F4029&amp;G4029)</f>
        <v/>
      </c>
      <c r="I4029">
        <f>IF(A4029="","",IF(AND(E4029&gt;=4,F4029&gt;=4,G4029&gt;=4),"Juara",IF(AND(F4029&gt;=4,E4029&gt;=3),"Setia",IF(AND(E4029=5,F4029&lt;=2,G4029&gt;=3),"Berpotensi",IF(AND(E4029&lt;=3,E4029&gt;=2,F4029&gt;=3),"Rawan",IF(AND(E4029&lt;=2,F4029&lt;=2),"Tidur","Umum"))))))</f>
        <v/>
      </c>
    </row>
    <row r="4030">
      <c r="B4030">
        <f>IF(A4030="","",$B$1-MAXIFS(Donasi!$A$2:$A$20000,Donasi!$B$2:$B$20000,A4030))</f>
        <v/>
      </c>
      <c r="C4030">
        <f>IF(A4030="","",COUNTIF(Donasi!$B$2:$B$20000,A4030))</f>
        <v/>
      </c>
      <c r="D4030">
        <f>IF(A4030="","",SUMIF(Donasi!$B$2:$B$20000,A4030,Donasi!$C$2:$C$20000))</f>
        <v/>
      </c>
      <c r="E4030">
        <f>IF(A4030="","",6-CEILING(PERCENTRANK.INC($B$3:$B$6000,B4030,4)*5+0.000001,1))</f>
        <v/>
      </c>
      <c r="F4030">
        <f>IF(A4030="","",MAX(1,CEILING(PERCENTRANK.INC($C$3:$C$6000,C4030,4)*5+0.000001,1)))</f>
        <v/>
      </c>
      <c r="G4030">
        <f>IF(A4030="","",MAX(1,CEILING(PERCENTRANK.INC($D$3:$D$6000,D4030,4)*5+0.000001,1)))</f>
        <v/>
      </c>
      <c r="H4030">
        <f>IF(A4030="","",E4030&amp;F4030&amp;G4030)</f>
        <v/>
      </c>
      <c r="I4030">
        <f>IF(A4030="","",IF(AND(E4030&gt;=4,F4030&gt;=4,G4030&gt;=4),"Juara",IF(AND(F4030&gt;=4,E4030&gt;=3),"Setia",IF(AND(E4030=5,F4030&lt;=2,G4030&gt;=3),"Berpotensi",IF(AND(E4030&lt;=3,E4030&gt;=2,F4030&gt;=3),"Rawan",IF(AND(E4030&lt;=2,F4030&lt;=2),"Tidur","Umum"))))))</f>
        <v/>
      </c>
    </row>
    <row r="4031">
      <c r="B4031">
        <f>IF(A4031="","",$B$1-MAXIFS(Donasi!$A$2:$A$20000,Donasi!$B$2:$B$20000,A4031))</f>
        <v/>
      </c>
      <c r="C4031">
        <f>IF(A4031="","",COUNTIF(Donasi!$B$2:$B$20000,A4031))</f>
        <v/>
      </c>
      <c r="D4031">
        <f>IF(A4031="","",SUMIF(Donasi!$B$2:$B$20000,A4031,Donasi!$C$2:$C$20000))</f>
        <v/>
      </c>
      <c r="E4031">
        <f>IF(A4031="","",6-CEILING(PERCENTRANK.INC($B$3:$B$6000,B4031,4)*5+0.000001,1))</f>
        <v/>
      </c>
      <c r="F4031">
        <f>IF(A4031="","",MAX(1,CEILING(PERCENTRANK.INC($C$3:$C$6000,C4031,4)*5+0.000001,1)))</f>
        <v/>
      </c>
      <c r="G4031">
        <f>IF(A4031="","",MAX(1,CEILING(PERCENTRANK.INC($D$3:$D$6000,D4031,4)*5+0.000001,1)))</f>
        <v/>
      </c>
      <c r="H4031">
        <f>IF(A4031="","",E4031&amp;F4031&amp;G4031)</f>
        <v/>
      </c>
      <c r="I4031">
        <f>IF(A4031="","",IF(AND(E4031&gt;=4,F4031&gt;=4,G4031&gt;=4),"Juara",IF(AND(F4031&gt;=4,E4031&gt;=3),"Setia",IF(AND(E4031=5,F4031&lt;=2,G4031&gt;=3),"Berpotensi",IF(AND(E4031&lt;=3,E4031&gt;=2,F4031&gt;=3),"Rawan",IF(AND(E4031&lt;=2,F4031&lt;=2),"Tidur","Umum"))))))</f>
        <v/>
      </c>
    </row>
    <row r="4032">
      <c r="B4032">
        <f>IF(A4032="","",$B$1-MAXIFS(Donasi!$A$2:$A$20000,Donasi!$B$2:$B$20000,A4032))</f>
        <v/>
      </c>
      <c r="C4032">
        <f>IF(A4032="","",COUNTIF(Donasi!$B$2:$B$20000,A4032))</f>
        <v/>
      </c>
      <c r="D4032">
        <f>IF(A4032="","",SUMIF(Donasi!$B$2:$B$20000,A4032,Donasi!$C$2:$C$20000))</f>
        <v/>
      </c>
      <c r="E4032">
        <f>IF(A4032="","",6-CEILING(PERCENTRANK.INC($B$3:$B$6000,B4032,4)*5+0.000001,1))</f>
        <v/>
      </c>
      <c r="F4032">
        <f>IF(A4032="","",MAX(1,CEILING(PERCENTRANK.INC($C$3:$C$6000,C4032,4)*5+0.000001,1)))</f>
        <v/>
      </c>
      <c r="G4032">
        <f>IF(A4032="","",MAX(1,CEILING(PERCENTRANK.INC($D$3:$D$6000,D4032,4)*5+0.000001,1)))</f>
        <v/>
      </c>
      <c r="H4032">
        <f>IF(A4032="","",E4032&amp;F4032&amp;G4032)</f>
        <v/>
      </c>
      <c r="I4032">
        <f>IF(A4032="","",IF(AND(E4032&gt;=4,F4032&gt;=4,G4032&gt;=4),"Juara",IF(AND(F4032&gt;=4,E4032&gt;=3),"Setia",IF(AND(E4032=5,F4032&lt;=2,G4032&gt;=3),"Berpotensi",IF(AND(E4032&lt;=3,E4032&gt;=2,F4032&gt;=3),"Rawan",IF(AND(E4032&lt;=2,F4032&lt;=2),"Tidur","Umum"))))))</f>
        <v/>
      </c>
    </row>
    <row r="4033">
      <c r="B4033">
        <f>IF(A4033="","",$B$1-MAXIFS(Donasi!$A$2:$A$20000,Donasi!$B$2:$B$20000,A4033))</f>
        <v/>
      </c>
      <c r="C4033">
        <f>IF(A4033="","",COUNTIF(Donasi!$B$2:$B$20000,A4033))</f>
        <v/>
      </c>
      <c r="D4033">
        <f>IF(A4033="","",SUMIF(Donasi!$B$2:$B$20000,A4033,Donasi!$C$2:$C$20000))</f>
        <v/>
      </c>
      <c r="E4033">
        <f>IF(A4033="","",6-CEILING(PERCENTRANK.INC($B$3:$B$6000,B4033,4)*5+0.000001,1))</f>
        <v/>
      </c>
      <c r="F4033">
        <f>IF(A4033="","",MAX(1,CEILING(PERCENTRANK.INC($C$3:$C$6000,C4033,4)*5+0.000001,1)))</f>
        <v/>
      </c>
      <c r="G4033">
        <f>IF(A4033="","",MAX(1,CEILING(PERCENTRANK.INC($D$3:$D$6000,D4033,4)*5+0.000001,1)))</f>
        <v/>
      </c>
      <c r="H4033">
        <f>IF(A4033="","",E4033&amp;F4033&amp;G4033)</f>
        <v/>
      </c>
      <c r="I4033">
        <f>IF(A4033="","",IF(AND(E4033&gt;=4,F4033&gt;=4,G4033&gt;=4),"Juara",IF(AND(F4033&gt;=4,E4033&gt;=3),"Setia",IF(AND(E4033=5,F4033&lt;=2,G4033&gt;=3),"Berpotensi",IF(AND(E4033&lt;=3,E4033&gt;=2,F4033&gt;=3),"Rawan",IF(AND(E4033&lt;=2,F4033&lt;=2),"Tidur","Umum"))))))</f>
        <v/>
      </c>
    </row>
    <row r="4034">
      <c r="B4034">
        <f>IF(A4034="","",$B$1-MAXIFS(Donasi!$A$2:$A$20000,Donasi!$B$2:$B$20000,A4034))</f>
        <v/>
      </c>
      <c r="C4034">
        <f>IF(A4034="","",COUNTIF(Donasi!$B$2:$B$20000,A4034))</f>
        <v/>
      </c>
      <c r="D4034">
        <f>IF(A4034="","",SUMIF(Donasi!$B$2:$B$20000,A4034,Donasi!$C$2:$C$20000))</f>
        <v/>
      </c>
      <c r="E4034">
        <f>IF(A4034="","",6-CEILING(PERCENTRANK.INC($B$3:$B$6000,B4034,4)*5+0.000001,1))</f>
        <v/>
      </c>
      <c r="F4034">
        <f>IF(A4034="","",MAX(1,CEILING(PERCENTRANK.INC($C$3:$C$6000,C4034,4)*5+0.000001,1)))</f>
        <v/>
      </c>
      <c r="G4034">
        <f>IF(A4034="","",MAX(1,CEILING(PERCENTRANK.INC($D$3:$D$6000,D4034,4)*5+0.000001,1)))</f>
        <v/>
      </c>
      <c r="H4034">
        <f>IF(A4034="","",E4034&amp;F4034&amp;G4034)</f>
        <v/>
      </c>
      <c r="I4034">
        <f>IF(A4034="","",IF(AND(E4034&gt;=4,F4034&gt;=4,G4034&gt;=4),"Juara",IF(AND(F4034&gt;=4,E4034&gt;=3),"Setia",IF(AND(E4034=5,F4034&lt;=2,G4034&gt;=3),"Berpotensi",IF(AND(E4034&lt;=3,E4034&gt;=2,F4034&gt;=3),"Rawan",IF(AND(E4034&lt;=2,F4034&lt;=2),"Tidur","Umum"))))))</f>
        <v/>
      </c>
    </row>
    <row r="4035">
      <c r="B4035">
        <f>IF(A4035="","",$B$1-MAXIFS(Donasi!$A$2:$A$20000,Donasi!$B$2:$B$20000,A4035))</f>
        <v/>
      </c>
      <c r="C4035">
        <f>IF(A4035="","",COUNTIF(Donasi!$B$2:$B$20000,A4035))</f>
        <v/>
      </c>
      <c r="D4035">
        <f>IF(A4035="","",SUMIF(Donasi!$B$2:$B$20000,A4035,Donasi!$C$2:$C$20000))</f>
        <v/>
      </c>
      <c r="E4035">
        <f>IF(A4035="","",6-CEILING(PERCENTRANK.INC($B$3:$B$6000,B4035,4)*5+0.000001,1))</f>
        <v/>
      </c>
      <c r="F4035">
        <f>IF(A4035="","",MAX(1,CEILING(PERCENTRANK.INC($C$3:$C$6000,C4035,4)*5+0.000001,1)))</f>
        <v/>
      </c>
      <c r="G4035">
        <f>IF(A4035="","",MAX(1,CEILING(PERCENTRANK.INC($D$3:$D$6000,D4035,4)*5+0.000001,1)))</f>
        <v/>
      </c>
      <c r="H4035">
        <f>IF(A4035="","",E4035&amp;F4035&amp;G4035)</f>
        <v/>
      </c>
      <c r="I4035">
        <f>IF(A4035="","",IF(AND(E4035&gt;=4,F4035&gt;=4,G4035&gt;=4),"Juara",IF(AND(F4035&gt;=4,E4035&gt;=3),"Setia",IF(AND(E4035=5,F4035&lt;=2,G4035&gt;=3),"Berpotensi",IF(AND(E4035&lt;=3,E4035&gt;=2,F4035&gt;=3),"Rawan",IF(AND(E4035&lt;=2,F4035&lt;=2),"Tidur","Umum"))))))</f>
        <v/>
      </c>
    </row>
    <row r="4036">
      <c r="B4036">
        <f>IF(A4036="","",$B$1-MAXIFS(Donasi!$A$2:$A$20000,Donasi!$B$2:$B$20000,A4036))</f>
        <v/>
      </c>
      <c r="C4036">
        <f>IF(A4036="","",COUNTIF(Donasi!$B$2:$B$20000,A4036))</f>
        <v/>
      </c>
      <c r="D4036">
        <f>IF(A4036="","",SUMIF(Donasi!$B$2:$B$20000,A4036,Donasi!$C$2:$C$20000))</f>
        <v/>
      </c>
      <c r="E4036">
        <f>IF(A4036="","",6-CEILING(PERCENTRANK.INC($B$3:$B$6000,B4036,4)*5+0.000001,1))</f>
        <v/>
      </c>
      <c r="F4036">
        <f>IF(A4036="","",MAX(1,CEILING(PERCENTRANK.INC($C$3:$C$6000,C4036,4)*5+0.000001,1)))</f>
        <v/>
      </c>
      <c r="G4036">
        <f>IF(A4036="","",MAX(1,CEILING(PERCENTRANK.INC($D$3:$D$6000,D4036,4)*5+0.000001,1)))</f>
        <v/>
      </c>
      <c r="H4036">
        <f>IF(A4036="","",E4036&amp;F4036&amp;G4036)</f>
        <v/>
      </c>
      <c r="I4036">
        <f>IF(A4036="","",IF(AND(E4036&gt;=4,F4036&gt;=4,G4036&gt;=4),"Juara",IF(AND(F4036&gt;=4,E4036&gt;=3),"Setia",IF(AND(E4036=5,F4036&lt;=2,G4036&gt;=3),"Berpotensi",IF(AND(E4036&lt;=3,E4036&gt;=2,F4036&gt;=3),"Rawan",IF(AND(E4036&lt;=2,F4036&lt;=2),"Tidur","Umum"))))))</f>
        <v/>
      </c>
    </row>
    <row r="4037">
      <c r="B4037">
        <f>IF(A4037="","",$B$1-MAXIFS(Donasi!$A$2:$A$20000,Donasi!$B$2:$B$20000,A4037))</f>
        <v/>
      </c>
      <c r="C4037">
        <f>IF(A4037="","",COUNTIF(Donasi!$B$2:$B$20000,A4037))</f>
        <v/>
      </c>
      <c r="D4037">
        <f>IF(A4037="","",SUMIF(Donasi!$B$2:$B$20000,A4037,Donasi!$C$2:$C$20000))</f>
        <v/>
      </c>
      <c r="E4037">
        <f>IF(A4037="","",6-CEILING(PERCENTRANK.INC($B$3:$B$6000,B4037,4)*5+0.000001,1))</f>
        <v/>
      </c>
      <c r="F4037">
        <f>IF(A4037="","",MAX(1,CEILING(PERCENTRANK.INC($C$3:$C$6000,C4037,4)*5+0.000001,1)))</f>
        <v/>
      </c>
      <c r="G4037">
        <f>IF(A4037="","",MAX(1,CEILING(PERCENTRANK.INC($D$3:$D$6000,D4037,4)*5+0.000001,1)))</f>
        <v/>
      </c>
      <c r="H4037">
        <f>IF(A4037="","",E4037&amp;F4037&amp;G4037)</f>
        <v/>
      </c>
      <c r="I4037">
        <f>IF(A4037="","",IF(AND(E4037&gt;=4,F4037&gt;=4,G4037&gt;=4),"Juara",IF(AND(F4037&gt;=4,E4037&gt;=3),"Setia",IF(AND(E4037=5,F4037&lt;=2,G4037&gt;=3),"Berpotensi",IF(AND(E4037&lt;=3,E4037&gt;=2,F4037&gt;=3),"Rawan",IF(AND(E4037&lt;=2,F4037&lt;=2),"Tidur","Umum"))))))</f>
        <v/>
      </c>
    </row>
    <row r="4038">
      <c r="B4038">
        <f>IF(A4038="","",$B$1-MAXIFS(Donasi!$A$2:$A$20000,Donasi!$B$2:$B$20000,A4038))</f>
        <v/>
      </c>
      <c r="C4038">
        <f>IF(A4038="","",COUNTIF(Donasi!$B$2:$B$20000,A4038))</f>
        <v/>
      </c>
      <c r="D4038">
        <f>IF(A4038="","",SUMIF(Donasi!$B$2:$B$20000,A4038,Donasi!$C$2:$C$20000))</f>
        <v/>
      </c>
      <c r="E4038">
        <f>IF(A4038="","",6-CEILING(PERCENTRANK.INC($B$3:$B$6000,B4038,4)*5+0.000001,1))</f>
        <v/>
      </c>
      <c r="F4038">
        <f>IF(A4038="","",MAX(1,CEILING(PERCENTRANK.INC($C$3:$C$6000,C4038,4)*5+0.000001,1)))</f>
        <v/>
      </c>
      <c r="G4038">
        <f>IF(A4038="","",MAX(1,CEILING(PERCENTRANK.INC($D$3:$D$6000,D4038,4)*5+0.000001,1)))</f>
        <v/>
      </c>
      <c r="H4038">
        <f>IF(A4038="","",E4038&amp;F4038&amp;G4038)</f>
        <v/>
      </c>
      <c r="I4038">
        <f>IF(A4038="","",IF(AND(E4038&gt;=4,F4038&gt;=4,G4038&gt;=4),"Juara",IF(AND(F4038&gt;=4,E4038&gt;=3),"Setia",IF(AND(E4038=5,F4038&lt;=2,G4038&gt;=3),"Berpotensi",IF(AND(E4038&lt;=3,E4038&gt;=2,F4038&gt;=3),"Rawan",IF(AND(E4038&lt;=2,F4038&lt;=2),"Tidur","Umum"))))))</f>
        <v/>
      </c>
    </row>
    <row r="4039">
      <c r="B4039">
        <f>IF(A4039="","",$B$1-MAXIFS(Donasi!$A$2:$A$20000,Donasi!$B$2:$B$20000,A4039))</f>
        <v/>
      </c>
      <c r="C4039">
        <f>IF(A4039="","",COUNTIF(Donasi!$B$2:$B$20000,A4039))</f>
        <v/>
      </c>
      <c r="D4039">
        <f>IF(A4039="","",SUMIF(Donasi!$B$2:$B$20000,A4039,Donasi!$C$2:$C$20000))</f>
        <v/>
      </c>
      <c r="E4039">
        <f>IF(A4039="","",6-CEILING(PERCENTRANK.INC($B$3:$B$6000,B4039,4)*5+0.000001,1))</f>
        <v/>
      </c>
      <c r="F4039">
        <f>IF(A4039="","",MAX(1,CEILING(PERCENTRANK.INC($C$3:$C$6000,C4039,4)*5+0.000001,1)))</f>
        <v/>
      </c>
      <c r="G4039">
        <f>IF(A4039="","",MAX(1,CEILING(PERCENTRANK.INC($D$3:$D$6000,D4039,4)*5+0.000001,1)))</f>
        <v/>
      </c>
      <c r="H4039">
        <f>IF(A4039="","",E4039&amp;F4039&amp;G4039)</f>
        <v/>
      </c>
      <c r="I4039">
        <f>IF(A4039="","",IF(AND(E4039&gt;=4,F4039&gt;=4,G4039&gt;=4),"Juara",IF(AND(F4039&gt;=4,E4039&gt;=3),"Setia",IF(AND(E4039=5,F4039&lt;=2,G4039&gt;=3),"Berpotensi",IF(AND(E4039&lt;=3,E4039&gt;=2,F4039&gt;=3),"Rawan",IF(AND(E4039&lt;=2,F4039&lt;=2),"Tidur","Umum"))))))</f>
        <v/>
      </c>
    </row>
    <row r="4040">
      <c r="B4040">
        <f>IF(A4040="","",$B$1-MAXIFS(Donasi!$A$2:$A$20000,Donasi!$B$2:$B$20000,A4040))</f>
        <v/>
      </c>
      <c r="C4040">
        <f>IF(A4040="","",COUNTIF(Donasi!$B$2:$B$20000,A4040))</f>
        <v/>
      </c>
      <c r="D4040">
        <f>IF(A4040="","",SUMIF(Donasi!$B$2:$B$20000,A4040,Donasi!$C$2:$C$20000))</f>
        <v/>
      </c>
      <c r="E4040">
        <f>IF(A4040="","",6-CEILING(PERCENTRANK.INC($B$3:$B$6000,B4040,4)*5+0.000001,1))</f>
        <v/>
      </c>
      <c r="F4040">
        <f>IF(A4040="","",MAX(1,CEILING(PERCENTRANK.INC($C$3:$C$6000,C4040,4)*5+0.000001,1)))</f>
        <v/>
      </c>
      <c r="G4040">
        <f>IF(A4040="","",MAX(1,CEILING(PERCENTRANK.INC($D$3:$D$6000,D4040,4)*5+0.000001,1)))</f>
        <v/>
      </c>
      <c r="H4040">
        <f>IF(A4040="","",E4040&amp;F4040&amp;G4040)</f>
        <v/>
      </c>
      <c r="I4040">
        <f>IF(A4040="","",IF(AND(E4040&gt;=4,F4040&gt;=4,G4040&gt;=4),"Juara",IF(AND(F4040&gt;=4,E4040&gt;=3),"Setia",IF(AND(E4040=5,F4040&lt;=2,G4040&gt;=3),"Berpotensi",IF(AND(E4040&lt;=3,E4040&gt;=2,F4040&gt;=3),"Rawan",IF(AND(E4040&lt;=2,F4040&lt;=2),"Tidur","Umum"))))))</f>
        <v/>
      </c>
    </row>
    <row r="4041">
      <c r="B4041">
        <f>IF(A4041="","",$B$1-MAXIFS(Donasi!$A$2:$A$20000,Donasi!$B$2:$B$20000,A4041))</f>
        <v/>
      </c>
      <c r="C4041">
        <f>IF(A4041="","",COUNTIF(Donasi!$B$2:$B$20000,A4041))</f>
        <v/>
      </c>
      <c r="D4041">
        <f>IF(A4041="","",SUMIF(Donasi!$B$2:$B$20000,A4041,Donasi!$C$2:$C$20000))</f>
        <v/>
      </c>
      <c r="E4041">
        <f>IF(A4041="","",6-CEILING(PERCENTRANK.INC($B$3:$B$6000,B4041,4)*5+0.000001,1))</f>
        <v/>
      </c>
      <c r="F4041">
        <f>IF(A4041="","",MAX(1,CEILING(PERCENTRANK.INC($C$3:$C$6000,C4041,4)*5+0.000001,1)))</f>
        <v/>
      </c>
      <c r="G4041">
        <f>IF(A4041="","",MAX(1,CEILING(PERCENTRANK.INC($D$3:$D$6000,D4041,4)*5+0.000001,1)))</f>
        <v/>
      </c>
      <c r="H4041">
        <f>IF(A4041="","",E4041&amp;F4041&amp;G4041)</f>
        <v/>
      </c>
      <c r="I4041">
        <f>IF(A4041="","",IF(AND(E4041&gt;=4,F4041&gt;=4,G4041&gt;=4),"Juara",IF(AND(F4041&gt;=4,E4041&gt;=3),"Setia",IF(AND(E4041=5,F4041&lt;=2,G4041&gt;=3),"Berpotensi",IF(AND(E4041&lt;=3,E4041&gt;=2,F4041&gt;=3),"Rawan",IF(AND(E4041&lt;=2,F4041&lt;=2),"Tidur","Umum"))))))</f>
        <v/>
      </c>
    </row>
    <row r="4042">
      <c r="B4042">
        <f>IF(A4042="","",$B$1-MAXIFS(Donasi!$A$2:$A$20000,Donasi!$B$2:$B$20000,A4042))</f>
        <v/>
      </c>
      <c r="C4042">
        <f>IF(A4042="","",COUNTIF(Donasi!$B$2:$B$20000,A4042))</f>
        <v/>
      </c>
      <c r="D4042">
        <f>IF(A4042="","",SUMIF(Donasi!$B$2:$B$20000,A4042,Donasi!$C$2:$C$20000))</f>
        <v/>
      </c>
      <c r="E4042">
        <f>IF(A4042="","",6-CEILING(PERCENTRANK.INC($B$3:$B$6000,B4042,4)*5+0.000001,1))</f>
        <v/>
      </c>
      <c r="F4042">
        <f>IF(A4042="","",MAX(1,CEILING(PERCENTRANK.INC($C$3:$C$6000,C4042,4)*5+0.000001,1)))</f>
        <v/>
      </c>
      <c r="G4042">
        <f>IF(A4042="","",MAX(1,CEILING(PERCENTRANK.INC($D$3:$D$6000,D4042,4)*5+0.000001,1)))</f>
        <v/>
      </c>
      <c r="H4042">
        <f>IF(A4042="","",E4042&amp;F4042&amp;G4042)</f>
        <v/>
      </c>
      <c r="I4042">
        <f>IF(A4042="","",IF(AND(E4042&gt;=4,F4042&gt;=4,G4042&gt;=4),"Juara",IF(AND(F4042&gt;=4,E4042&gt;=3),"Setia",IF(AND(E4042=5,F4042&lt;=2,G4042&gt;=3),"Berpotensi",IF(AND(E4042&lt;=3,E4042&gt;=2,F4042&gt;=3),"Rawan",IF(AND(E4042&lt;=2,F4042&lt;=2),"Tidur","Umum"))))))</f>
        <v/>
      </c>
    </row>
    <row r="4043">
      <c r="B4043">
        <f>IF(A4043="","",$B$1-MAXIFS(Donasi!$A$2:$A$20000,Donasi!$B$2:$B$20000,A4043))</f>
        <v/>
      </c>
      <c r="C4043">
        <f>IF(A4043="","",COUNTIF(Donasi!$B$2:$B$20000,A4043))</f>
        <v/>
      </c>
      <c r="D4043">
        <f>IF(A4043="","",SUMIF(Donasi!$B$2:$B$20000,A4043,Donasi!$C$2:$C$20000))</f>
        <v/>
      </c>
      <c r="E4043">
        <f>IF(A4043="","",6-CEILING(PERCENTRANK.INC($B$3:$B$6000,B4043,4)*5+0.000001,1))</f>
        <v/>
      </c>
      <c r="F4043">
        <f>IF(A4043="","",MAX(1,CEILING(PERCENTRANK.INC($C$3:$C$6000,C4043,4)*5+0.000001,1)))</f>
        <v/>
      </c>
      <c r="G4043">
        <f>IF(A4043="","",MAX(1,CEILING(PERCENTRANK.INC($D$3:$D$6000,D4043,4)*5+0.000001,1)))</f>
        <v/>
      </c>
      <c r="H4043">
        <f>IF(A4043="","",E4043&amp;F4043&amp;G4043)</f>
        <v/>
      </c>
      <c r="I4043">
        <f>IF(A4043="","",IF(AND(E4043&gt;=4,F4043&gt;=4,G4043&gt;=4),"Juara",IF(AND(F4043&gt;=4,E4043&gt;=3),"Setia",IF(AND(E4043=5,F4043&lt;=2,G4043&gt;=3),"Berpotensi",IF(AND(E4043&lt;=3,E4043&gt;=2,F4043&gt;=3),"Rawan",IF(AND(E4043&lt;=2,F4043&lt;=2),"Tidur","Umum"))))))</f>
        <v/>
      </c>
    </row>
    <row r="4044">
      <c r="B4044">
        <f>IF(A4044="","",$B$1-MAXIFS(Donasi!$A$2:$A$20000,Donasi!$B$2:$B$20000,A4044))</f>
        <v/>
      </c>
      <c r="C4044">
        <f>IF(A4044="","",COUNTIF(Donasi!$B$2:$B$20000,A4044))</f>
        <v/>
      </c>
      <c r="D4044">
        <f>IF(A4044="","",SUMIF(Donasi!$B$2:$B$20000,A4044,Donasi!$C$2:$C$20000))</f>
        <v/>
      </c>
      <c r="E4044">
        <f>IF(A4044="","",6-CEILING(PERCENTRANK.INC($B$3:$B$6000,B4044,4)*5+0.000001,1))</f>
        <v/>
      </c>
      <c r="F4044">
        <f>IF(A4044="","",MAX(1,CEILING(PERCENTRANK.INC($C$3:$C$6000,C4044,4)*5+0.000001,1)))</f>
        <v/>
      </c>
      <c r="G4044">
        <f>IF(A4044="","",MAX(1,CEILING(PERCENTRANK.INC($D$3:$D$6000,D4044,4)*5+0.000001,1)))</f>
        <v/>
      </c>
      <c r="H4044">
        <f>IF(A4044="","",E4044&amp;F4044&amp;G4044)</f>
        <v/>
      </c>
      <c r="I4044">
        <f>IF(A4044="","",IF(AND(E4044&gt;=4,F4044&gt;=4,G4044&gt;=4),"Juara",IF(AND(F4044&gt;=4,E4044&gt;=3),"Setia",IF(AND(E4044=5,F4044&lt;=2,G4044&gt;=3),"Berpotensi",IF(AND(E4044&lt;=3,E4044&gt;=2,F4044&gt;=3),"Rawan",IF(AND(E4044&lt;=2,F4044&lt;=2),"Tidur","Umum"))))))</f>
        <v/>
      </c>
    </row>
    <row r="4045">
      <c r="B4045">
        <f>IF(A4045="","",$B$1-MAXIFS(Donasi!$A$2:$A$20000,Donasi!$B$2:$B$20000,A4045))</f>
        <v/>
      </c>
      <c r="C4045">
        <f>IF(A4045="","",COUNTIF(Donasi!$B$2:$B$20000,A4045))</f>
        <v/>
      </c>
      <c r="D4045">
        <f>IF(A4045="","",SUMIF(Donasi!$B$2:$B$20000,A4045,Donasi!$C$2:$C$20000))</f>
        <v/>
      </c>
      <c r="E4045">
        <f>IF(A4045="","",6-CEILING(PERCENTRANK.INC($B$3:$B$6000,B4045,4)*5+0.000001,1))</f>
        <v/>
      </c>
      <c r="F4045">
        <f>IF(A4045="","",MAX(1,CEILING(PERCENTRANK.INC($C$3:$C$6000,C4045,4)*5+0.000001,1)))</f>
        <v/>
      </c>
      <c r="G4045">
        <f>IF(A4045="","",MAX(1,CEILING(PERCENTRANK.INC($D$3:$D$6000,D4045,4)*5+0.000001,1)))</f>
        <v/>
      </c>
      <c r="H4045">
        <f>IF(A4045="","",E4045&amp;F4045&amp;G4045)</f>
        <v/>
      </c>
      <c r="I4045">
        <f>IF(A4045="","",IF(AND(E4045&gt;=4,F4045&gt;=4,G4045&gt;=4),"Juara",IF(AND(F4045&gt;=4,E4045&gt;=3),"Setia",IF(AND(E4045=5,F4045&lt;=2,G4045&gt;=3),"Berpotensi",IF(AND(E4045&lt;=3,E4045&gt;=2,F4045&gt;=3),"Rawan",IF(AND(E4045&lt;=2,F4045&lt;=2),"Tidur","Umum"))))))</f>
        <v/>
      </c>
    </row>
    <row r="4046">
      <c r="B4046">
        <f>IF(A4046="","",$B$1-MAXIFS(Donasi!$A$2:$A$20000,Donasi!$B$2:$B$20000,A4046))</f>
        <v/>
      </c>
      <c r="C4046">
        <f>IF(A4046="","",COUNTIF(Donasi!$B$2:$B$20000,A4046))</f>
        <v/>
      </c>
      <c r="D4046">
        <f>IF(A4046="","",SUMIF(Donasi!$B$2:$B$20000,A4046,Donasi!$C$2:$C$20000))</f>
        <v/>
      </c>
      <c r="E4046">
        <f>IF(A4046="","",6-CEILING(PERCENTRANK.INC($B$3:$B$6000,B4046,4)*5+0.000001,1))</f>
        <v/>
      </c>
      <c r="F4046">
        <f>IF(A4046="","",MAX(1,CEILING(PERCENTRANK.INC($C$3:$C$6000,C4046,4)*5+0.000001,1)))</f>
        <v/>
      </c>
      <c r="G4046">
        <f>IF(A4046="","",MAX(1,CEILING(PERCENTRANK.INC($D$3:$D$6000,D4046,4)*5+0.000001,1)))</f>
        <v/>
      </c>
      <c r="H4046">
        <f>IF(A4046="","",E4046&amp;F4046&amp;G4046)</f>
        <v/>
      </c>
      <c r="I4046">
        <f>IF(A4046="","",IF(AND(E4046&gt;=4,F4046&gt;=4,G4046&gt;=4),"Juara",IF(AND(F4046&gt;=4,E4046&gt;=3),"Setia",IF(AND(E4046=5,F4046&lt;=2,G4046&gt;=3),"Berpotensi",IF(AND(E4046&lt;=3,E4046&gt;=2,F4046&gt;=3),"Rawan",IF(AND(E4046&lt;=2,F4046&lt;=2),"Tidur","Umum"))))))</f>
        <v/>
      </c>
    </row>
    <row r="4047">
      <c r="B4047">
        <f>IF(A4047="","",$B$1-MAXIFS(Donasi!$A$2:$A$20000,Donasi!$B$2:$B$20000,A4047))</f>
        <v/>
      </c>
      <c r="C4047">
        <f>IF(A4047="","",COUNTIF(Donasi!$B$2:$B$20000,A4047))</f>
        <v/>
      </c>
      <c r="D4047">
        <f>IF(A4047="","",SUMIF(Donasi!$B$2:$B$20000,A4047,Donasi!$C$2:$C$20000))</f>
        <v/>
      </c>
      <c r="E4047">
        <f>IF(A4047="","",6-CEILING(PERCENTRANK.INC($B$3:$B$6000,B4047,4)*5+0.000001,1))</f>
        <v/>
      </c>
      <c r="F4047">
        <f>IF(A4047="","",MAX(1,CEILING(PERCENTRANK.INC($C$3:$C$6000,C4047,4)*5+0.000001,1)))</f>
        <v/>
      </c>
      <c r="G4047">
        <f>IF(A4047="","",MAX(1,CEILING(PERCENTRANK.INC($D$3:$D$6000,D4047,4)*5+0.000001,1)))</f>
        <v/>
      </c>
      <c r="H4047">
        <f>IF(A4047="","",E4047&amp;F4047&amp;G4047)</f>
        <v/>
      </c>
      <c r="I4047">
        <f>IF(A4047="","",IF(AND(E4047&gt;=4,F4047&gt;=4,G4047&gt;=4),"Juara",IF(AND(F4047&gt;=4,E4047&gt;=3),"Setia",IF(AND(E4047=5,F4047&lt;=2,G4047&gt;=3),"Berpotensi",IF(AND(E4047&lt;=3,E4047&gt;=2,F4047&gt;=3),"Rawan",IF(AND(E4047&lt;=2,F4047&lt;=2),"Tidur","Umum"))))))</f>
        <v/>
      </c>
    </row>
    <row r="4048">
      <c r="B4048">
        <f>IF(A4048="","",$B$1-MAXIFS(Donasi!$A$2:$A$20000,Donasi!$B$2:$B$20000,A4048))</f>
        <v/>
      </c>
      <c r="C4048">
        <f>IF(A4048="","",COUNTIF(Donasi!$B$2:$B$20000,A4048))</f>
        <v/>
      </c>
      <c r="D4048">
        <f>IF(A4048="","",SUMIF(Donasi!$B$2:$B$20000,A4048,Donasi!$C$2:$C$20000))</f>
        <v/>
      </c>
      <c r="E4048">
        <f>IF(A4048="","",6-CEILING(PERCENTRANK.INC($B$3:$B$6000,B4048,4)*5+0.000001,1))</f>
        <v/>
      </c>
      <c r="F4048">
        <f>IF(A4048="","",MAX(1,CEILING(PERCENTRANK.INC($C$3:$C$6000,C4048,4)*5+0.000001,1)))</f>
        <v/>
      </c>
      <c r="G4048">
        <f>IF(A4048="","",MAX(1,CEILING(PERCENTRANK.INC($D$3:$D$6000,D4048,4)*5+0.000001,1)))</f>
        <v/>
      </c>
      <c r="H4048">
        <f>IF(A4048="","",E4048&amp;F4048&amp;G4048)</f>
        <v/>
      </c>
      <c r="I4048">
        <f>IF(A4048="","",IF(AND(E4048&gt;=4,F4048&gt;=4,G4048&gt;=4),"Juara",IF(AND(F4048&gt;=4,E4048&gt;=3),"Setia",IF(AND(E4048=5,F4048&lt;=2,G4048&gt;=3),"Berpotensi",IF(AND(E4048&lt;=3,E4048&gt;=2,F4048&gt;=3),"Rawan",IF(AND(E4048&lt;=2,F4048&lt;=2),"Tidur","Umum"))))))</f>
        <v/>
      </c>
    </row>
    <row r="4049">
      <c r="B4049">
        <f>IF(A4049="","",$B$1-MAXIFS(Donasi!$A$2:$A$20000,Donasi!$B$2:$B$20000,A4049))</f>
        <v/>
      </c>
      <c r="C4049">
        <f>IF(A4049="","",COUNTIF(Donasi!$B$2:$B$20000,A4049))</f>
        <v/>
      </c>
      <c r="D4049">
        <f>IF(A4049="","",SUMIF(Donasi!$B$2:$B$20000,A4049,Donasi!$C$2:$C$20000))</f>
        <v/>
      </c>
      <c r="E4049">
        <f>IF(A4049="","",6-CEILING(PERCENTRANK.INC($B$3:$B$6000,B4049,4)*5+0.000001,1))</f>
        <v/>
      </c>
      <c r="F4049">
        <f>IF(A4049="","",MAX(1,CEILING(PERCENTRANK.INC($C$3:$C$6000,C4049,4)*5+0.000001,1)))</f>
        <v/>
      </c>
      <c r="G4049">
        <f>IF(A4049="","",MAX(1,CEILING(PERCENTRANK.INC($D$3:$D$6000,D4049,4)*5+0.000001,1)))</f>
        <v/>
      </c>
      <c r="H4049">
        <f>IF(A4049="","",E4049&amp;F4049&amp;G4049)</f>
        <v/>
      </c>
      <c r="I4049">
        <f>IF(A4049="","",IF(AND(E4049&gt;=4,F4049&gt;=4,G4049&gt;=4),"Juara",IF(AND(F4049&gt;=4,E4049&gt;=3),"Setia",IF(AND(E4049=5,F4049&lt;=2,G4049&gt;=3),"Berpotensi",IF(AND(E4049&lt;=3,E4049&gt;=2,F4049&gt;=3),"Rawan",IF(AND(E4049&lt;=2,F4049&lt;=2),"Tidur","Umum"))))))</f>
        <v/>
      </c>
    </row>
    <row r="4050">
      <c r="B4050">
        <f>IF(A4050="","",$B$1-MAXIFS(Donasi!$A$2:$A$20000,Donasi!$B$2:$B$20000,A4050))</f>
        <v/>
      </c>
      <c r="C4050">
        <f>IF(A4050="","",COUNTIF(Donasi!$B$2:$B$20000,A4050))</f>
        <v/>
      </c>
      <c r="D4050">
        <f>IF(A4050="","",SUMIF(Donasi!$B$2:$B$20000,A4050,Donasi!$C$2:$C$20000))</f>
        <v/>
      </c>
      <c r="E4050">
        <f>IF(A4050="","",6-CEILING(PERCENTRANK.INC($B$3:$B$6000,B4050,4)*5+0.000001,1))</f>
        <v/>
      </c>
      <c r="F4050">
        <f>IF(A4050="","",MAX(1,CEILING(PERCENTRANK.INC($C$3:$C$6000,C4050,4)*5+0.000001,1)))</f>
        <v/>
      </c>
      <c r="G4050">
        <f>IF(A4050="","",MAX(1,CEILING(PERCENTRANK.INC($D$3:$D$6000,D4050,4)*5+0.000001,1)))</f>
        <v/>
      </c>
      <c r="H4050">
        <f>IF(A4050="","",E4050&amp;F4050&amp;G4050)</f>
        <v/>
      </c>
      <c r="I4050">
        <f>IF(A4050="","",IF(AND(E4050&gt;=4,F4050&gt;=4,G4050&gt;=4),"Juara",IF(AND(F4050&gt;=4,E4050&gt;=3),"Setia",IF(AND(E4050=5,F4050&lt;=2,G4050&gt;=3),"Berpotensi",IF(AND(E4050&lt;=3,E4050&gt;=2,F4050&gt;=3),"Rawan",IF(AND(E4050&lt;=2,F4050&lt;=2),"Tidur","Umum"))))))</f>
        <v/>
      </c>
    </row>
    <row r="4051">
      <c r="B4051">
        <f>IF(A4051="","",$B$1-MAXIFS(Donasi!$A$2:$A$20000,Donasi!$B$2:$B$20000,A4051))</f>
        <v/>
      </c>
      <c r="C4051">
        <f>IF(A4051="","",COUNTIF(Donasi!$B$2:$B$20000,A4051))</f>
        <v/>
      </c>
      <c r="D4051">
        <f>IF(A4051="","",SUMIF(Donasi!$B$2:$B$20000,A4051,Donasi!$C$2:$C$20000))</f>
        <v/>
      </c>
      <c r="E4051">
        <f>IF(A4051="","",6-CEILING(PERCENTRANK.INC($B$3:$B$6000,B4051,4)*5+0.000001,1))</f>
        <v/>
      </c>
      <c r="F4051">
        <f>IF(A4051="","",MAX(1,CEILING(PERCENTRANK.INC($C$3:$C$6000,C4051,4)*5+0.000001,1)))</f>
        <v/>
      </c>
      <c r="G4051">
        <f>IF(A4051="","",MAX(1,CEILING(PERCENTRANK.INC($D$3:$D$6000,D4051,4)*5+0.000001,1)))</f>
        <v/>
      </c>
      <c r="H4051">
        <f>IF(A4051="","",E4051&amp;F4051&amp;G4051)</f>
        <v/>
      </c>
      <c r="I4051">
        <f>IF(A4051="","",IF(AND(E4051&gt;=4,F4051&gt;=4,G4051&gt;=4),"Juara",IF(AND(F4051&gt;=4,E4051&gt;=3),"Setia",IF(AND(E4051=5,F4051&lt;=2,G4051&gt;=3),"Berpotensi",IF(AND(E4051&lt;=3,E4051&gt;=2,F4051&gt;=3),"Rawan",IF(AND(E4051&lt;=2,F4051&lt;=2),"Tidur","Umum"))))))</f>
        <v/>
      </c>
    </row>
    <row r="4052">
      <c r="B4052">
        <f>IF(A4052="","",$B$1-MAXIFS(Donasi!$A$2:$A$20000,Donasi!$B$2:$B$20000,A4052))</f>
        <v/>
      </c>
      <c r="C4052">
        <f>IF(A4052="","",COUNTIF(Donasi!$B$2:$B$20000,A4052))</f>
        <v/>
      </c>
      <c r="D4052">
        <f>IF(A4052="","",SUMIF(Donasi!$B$2:$B$20000,A4052,Donasi!$C$2:$C$20000))</f>
        <v/>
      </c>
      <c r="E4052">
        <f>IF(A4052="","",6-CEILING(PERCENTRANK.INC($B$3:$B$6000,B4052,4)*5+0.000001,1))</f>
        <v/>
      </c>
      <c r="F4052">
        <f>IF(A4052="","",MAX(1,CEILING(PERCENTRANK.INC($C$3:$C$6000,C4052,4)*5+0.000001,1)))</f>
        <v/>
      </c>
      <c r="G4052">
        <f>IF(A4052="","",MAX(1,CEILING(PERCENTRANK.INC($D$3:$D$6000,D4052,4)*5+0.000001,1)))</f>
        <v/>
      </c>
      <c r="H4052">
        <f>IF(A4052="","",E4052&amp;F4052&amp;G4052)</f>
        <v/>
      </c>
      <c r="I4052">
        <f>IF(A4052="","",IF(AND(E4052&gt;=4,F4052&gt;=4,G4052&gt;=4),"Juara",IF(AND(F4052&gt;=4,E4052&gt;=3),"Setia",IF(AND(E4052=5,F4052&lt;=2,G4052&gt;=3),"Berpotensi",IF(AND(E4052&lt;=3,E4052&gt;=2,F4052&gt;=3),"Rawan",IF(AND(E4052&lt;=2,F4052&lt;=2),"Tidur","Umum"))))))</f>
        <v/>
      </c>
    </row>
    <row r="4053">
      <c r="B4053">
        <f>IF(A4053="","",$B$1-MAXIFS(Donasi!$A$2:$A$20000,Donasi!$B$2:$B$20000,A4053))</f>
        <v/>
      </c>
      <c r="C4053">
        <f>IF(A4053="","",COUNTIF(Donasi!$B$2:$B$20000,A4053))</f>
        <v/>
      </c>
      <c r="D4053">
        <f>IF(A4053="","",SUMIF(Donasi!$B$2:$B$20000,A4053,Donasi!$C$2:$C$20000))</f>
        <v/>
      </c>
      <c r="E4053">
        <f>IF(A4053="","",6-CEILING(PERCENTRANK.INC($B$3:$B$6000,B4053,4)*5+0.000001,1))</f>
        <v/>
      </c>
      <c r="F4053">
        <f>IF(A4053="","",MAX(1,CEILING(PERCENTRANK.INC($C$3:$C$6000,C4053,4)*5+0.000001,1)))</f>
        <v/>
      </c>
      <c r="G4053">
        <f>IF(A4053="","",MAX(1,CEILING(PERCENTRANK.INC($D$3:$D$6000,D4053,4)*5+0.000001,1)))</f>
        <v/>
      </c>
      <c r="H4053">
        <f>IF(A4053="","",E4053&amp;F4053&amp;G4053)</f>
        <v/>
      </c>
      <c r="I4053">
        <f>IF(A4053="","",IF(AND(E4053&gt;=4,F4053&gt;=4,G4053&gt;=4),"Juara",IF(AND(F4053&gt;=4,E4053&gt;=3),"Setia",IF(AND(E4053=5,F4053&lt;=2,G4053&gt;=3),"Berpotensi",IF(AND(E4053&lt;=3,E4053&gt;=2,F4053&gt;=3),"Rawan",IF(AND(E4053&lt;=2,F4053&lt;=2),"Tidur","Umum"))))))</f>
        <v/>
      </c>
    </row>
    <row r="4054">
      <c r="B4054">
        <f>IF(A4054="","",$B$1-MAXIFS(Donasi!$A$2:$A$20000,Donasi!$B$2:$B$20000,A4054))</f>
        <v/>
      </c>
      <c r="C4054">
        <f>IF(A4054="","",COUNTIF(Donasi!$B$2:$B$20000,A4054))</f>
        <v/>
      </c>
      <c r="D4054">
        <f>IF(A4054="","",SUMIF(Donasi!$B$2:$B$20000,A4054,Donasi!$C$2:$C$20000))</f>
        <v/>
      </c>
      <c r="E4054">
        <f>IF(A4054="","",6-CEILING(PERCENTRANK.INC($B$3:$B$6000,B4054,4)*5+0.000001,1))</f>
        <v/>
      </c>
      <c r="F4054">
        <f>IF(A4054="","",MAX(1,CEILING(PERCENTRANK.INC($C$3:$C$6000,C4054,4)*5+0.000001,1)))</f>
        <v/>
      </c>
      <c r="G4054">
        <f>IF(A4054="","",MAX(1,CEILING(PERCENTRANK.INC($D$3:$D$6000,D4054,4)*5+0.000001,1)))</f>
        <v/>
      </c>
      <c r="H4054">
        <f>IF(A4054="","",E4054&amp;F4054&amp;G4054)</f>
        <v/>
      </c>
      <c r="I4054">
        <f>IF(A4054="","",IF(AND(E4054&gt;=4,F4054&gt;=4,G4054&gt;=4),"Juara",IF(AND(F4054&gt;=4,E4054&gt;=3),"Setia",IF(AND(E4054=5,F4054&lt;=2,G4054&gt;=3),"Berpotensi",IF(AND(E4054&lt;=3,E4054&gt;=2,F4054&gt;=3),"Rawan",IF(AND(E4054&lt;=2,F4054&lt;=2),"Tidur","Umum"))))))</f>
        <v/>
      </c>
    </row>
    <row r="4055">
      <c r="B4055">
        <f>IF(A4055="","",$B$1-MAXIFS(Donasi!$A$2:$A$20000,Donasi!$B$2:$B$20000,A4055))</f>
        <v/>
      </c>
      <c r="C4055">
        <f>IF(A4055="","",COUNTIF(Donasi!$B$2:$B$20000,A4055))</f>
        <v/>
      </c>
      <c r="D4055">
        <f>IF(A4055="","",SUMIF(Donasi!$B$2:$B$20000,A4055,Donasi!$C$2:$C$20000))</f>
        <v/>
      </c>
      <c r="E4055">
        <f>IF(A4055="","",6-CEILING(PERCENTRANK.INC($B$3:$B$6000,B4055,4)*5+0.000001,1))</f>
        <v/>
      </c>
      <c r="F4055">
        <f>IF(A4055="","",MAX(1,CEILING(PERCENTRANK.INC($C$3:$C$6000,C4055,4)*5+0.000001,1)))</f>
        <v/>
      </c>
      <c r="G4055">
        <f>IF(A4055="","",MAX(1,CEILING(PERCENTRANK.INC($D$3:$D$6000,D4055,4)*5+0.000001,1)))</f>
        <v/>
      </c>
      <c r="H4055">
        <f>IF(A4055="","",E4055&amp;F4055&amp;G4055)</f>
        <v/>
      </c>
      <c r="I4055">
        <f>IF(A4055="","",IF(AND(E4055&gt;=4,F4055&gt;=4,G4055&gt;=4),"Juara",IF(AND(F4055&gt;=4,E4055&gt;=3),"Setia",IF(AND(E4055=5,F4055&lt;=2,G4055&gt;=3),"Berpotensi",IF(AND(E4055&lt;=3,E4055&gt;=2,F4055&gt;=3),"Rawan",IF(AND(E4055&lt;=2,F4055&lt;=2),"Tidur","Umum"))))))</f>
        <v/>
      </c>
    </row>
    <row r="4056">
      <c r="B4056">
        <f>IF(A4056="","",$B$1-MAXIFS(Donasi!$A$2:$A$20000,Donasi!$B$2:$B$20000,A4056))</f>
        <v/>
      </c>
      <c r="C4056">
        <f>IF(A4056="","",COUNTIF(Donasi!$B$2:$B$20000,A4056))</f>
        <v/>
      </c>
      <c r="D4056">
        <f>IF(A4056="","",SUMIF(Donasi!$B$2:$B$20000,A4056,Donasi!$C$2:$C$20000))</f>
        <v/>
      </c>
      <c r="E4056">
        <f>IF(A4056="","",6-CEILING(PERCENTRANK.INC($B$3:$B$6000,B4056,4)*5+0.000001,1))</f>
        <v/>
      </c>
      <c r="F4056">
        <f>IF(A4056="","",MAX(1,CEILING(PERCENTRANK.INC($C$3:$C$6000,C4056,4)*5+0.000001,1)))</f>
        <v/>
      </c>
      <c r="G4056">
        <f>IF(A4056="","",MAX(1,CEILING(PERCENTRANK.INC($D$3:$D$6000,D4056,4)*5+0.000001,1)))</f>
        <v/>
      </c>
      <c r="H4056">
        <f>IF(A4056="","",E4056&amp;F4056&amp;G4056)</f>
        <v/>
      </c>
      <c r="I4056">
        <f>IF(A4056="","",IF(AND(E4056&gt;=4,F4056&gt;=4,G4056&gt;=4),"Juara",IF(AND(F4056&gt;=4,E4056&gt;=3),"Setia",IF(AND(E4056=5,F4056&lt;=2,G4056&gt;=3),"Berpotensi",IF(AND(E4056&lt;=3,E4056&gt;=2,F4056&gt;=3),"Rawan",IF(AND(E4056&lt;=2,F4056&lt;=2),"Tidur","Umum"))))))</f>
        <v/>
      </c>
    </row>
    <row r="4057">
      <c r="B4057">
        <f>IF(A4057="","",$B$1-MAXIFS(Donasi!$A$2:$A$20000,Donasi!$B$2:$B$20000,A4057))</f>
        <v/>
      </c>
      <c r="C4057">
        <f>IF(A4057="","",COUNTIF(Donasi!$B$2:$B$20000,A4057))</f>
        <v/>
      </c>
      <c r="D4057">
        <f>IF(A4057="","",SUMIF(Donasi!$B$2:$B$20000,A4057,Donasi!$C$2:$C$20000))</f>
        <v/>
      </c>
      <c r="E4057">
        <f>IF(A4057="","",6-CEILING(PERCENTRANK.INC($B$3:$B$6000,B4057,4)*5+0.000001,1))</f>
        <v/>
      </c>
      <c r="F4057">
        <f>IF(A4057="","",MAX(1,CEILING(PERCENTRANK.INC($C$3:$C$6000,C4057,4)*5+0.000001,1)))</f>
        <v/>
      </c>
      <c r="G4057">
        <f>IF(A4057="","",MAX(1,CEILING(PERCENTRANK.INC($D$3:$D$6000,D4057,4)*5+0.000001,1)))</f>
        <v/>
      </c>
      <c r="H4057">
        <f>IF(A4057="","",E4057&amp;F4057&amp;G4057)</f>
        <v/>
      </c>
      <c r="I4057">
        <f>IF(A4057="","",IF(AND(E4057&gt;=4,F4057&gt;=4,G4057&gt;=4),"Juara",IF(AND(F4057&gt;=4,E4057&gt;=3),"Setia",IF(AND(E4057=5,F4057&lt;=2,G4057&gt;=3),"Berpotensi",IF(AND(E4057&lt;=3,E4057&gt;=2,F4057&gt;=3),"Rawan",IF(AND(E4057&lt;=2,F4057&lt;=2),"Tidur","Umum"))))))</f>
        <v/>
      </c>
    </row>
    <row r="4058">
      <c r="B4058">
        <f>IF(A4058="","",$B$1-MAXIFS(Donasi!$A$2:$A$20000,Donasi!$B$2:$B$20000,A4058))</f>
        <v/>
      </c>
      <c r="C4058">
        <f>IF(A4058="","",COUNTIF(Donasi!$B$2:$B$20000,A4058))</f>
        <v/>
      </c>
      <c r="D4058">
        <f>IF(A4058="","",SUMIF(Donasi!$B$2:$B$20000,A4058,Donasi!$C$2:$C$20000))</f>
        <v/>
      </c>
      <c r="E4058">
        <f>IF(A4058="","",6-CEILING(PERCENTRANK.INC($B$3:$B$6000,B4058,4)*5+0.000001,1))</f>
        <v/>
      </c>
      <c r="F4058">
        <f>IF(A4058="","",MAX(1,CEILING(PERCENTRANK.INC($C$3:$C$6000,C4058,4)*5+0.000001,1)))</f>
        <v/>
      </c>
      <c r="G4058">
        <f>IF(A4058="","",MAX(1,CEILING(PERCENTRANK.INC($D$3:$D$6000,D4058,4)*5+0.000001,1)))</f>
        <v/>
      </c>
      <c r="H4058">
        <f>IF(A4058="","",E4058&amp;F4058&amp;G4058)</f>
        <v/>
      </c>
      <c r="I4058">
        <f>IF(A4058="","",IF(AND(E4058&gt;=4,F4058&gt;=4,G4058&gt;=4),"Juara",IF(AND(F4058&gt;=4,E4058&gt;=3),"Setia",IF(AND(E4058=5,F4058&lt;=2,G4058&gt;=3),"Berpotensi",IF(AND(E4058&lt;=3,E4058&gt;=2,F4058&gt;=3),"Rawan",IF(AND(E4058&lt;=2,F4058&lt;=2),"Tidur","Umum"))))))</f>
        <v/>
      </c>
    </row>
    <row r="4059">
      <c r="B4059">
        <f>IF(A4059="","",$B$1-MAXIFS(Donasi!$A$2:$A$20000,Donasi!$B$2:$B$20000,A4059))</f>
        <v/>
      </c>
      <c r="C4059">
        <f>IF(A4059="","",COUNTIF(Donasi!$B$2:$B$20000,A4059))</f>
        <v/>
      </c>
      <c r="D4059">
        <f>IF(A4059="","",SUMIF(Donasi!$B$2:$B$20000,A4059,Donasi!$C$2:$C$20000))</f>
        <v/>
      </c>
      <c r="E4059">
        <f>IF(A4059="","",6-CEILING(PERCENTRANK.INC($B$3:$B$6000,B4059,4)*5+0.000001,1))</f>
        <v/>
      </c>
      <c r="F4059">
        <f>IF(A4059="","",MAX(1,CEILING(PERCENTRANK.INC($C$3:$C$6000,C4059,4)*5+0.000001,1)))</f>
        <v/>
      </c>
      <c r="G4059">
        <f>IF(A4059="","",MAX(1,CEILING(PERCENTRANK.INC($D$3:$D$6000,D4059,4)*5+0.000001,1)))</f>
        <v/>
      </c>
      <c r="H4059">
        <f>IF(A4059="","",E4059&amp;F4059&amp;G4059)</f>
        <v/>
      </c>
      <c r="I4059">
        <f>IF(A4059="","",IF(AND(E4059&gt;=4,F4059&gt;=4,G4059&gt;=4),"Juara",IF(AND(F4059&gt;=4,E4059&gt;=3),"Setia",IF(AND(E4059=5,F4059&lt;=2,G4059&gt;=3),"Berpotensi",IF(AND(E4059&lt;=3,E4059&gt;=2,F4059&gt;=3),"Rawan",IF(AND(E4059&lt;=2,F4059&lt;=2),"Tidur","Umum"))))))</f>
        <v/>
      </c>
    </row>
    <row r="4060">
      <c r="B4060">
        <f>IF(A4060="","",$B$1-MAXIFS(Donasi!$A$2:$A$20000,Donasi!$B$2:$B$20000,A4060))</f>
        <v/>
      </c>
      <c r="C4060">
        <f>IF(A4060="","",COUNTIF(Donasi!$B$2:$B$20000,A4060))</f>
        <v/>
      </c>
      <c r="D4060">
        <f>IF(A4060="","",SUMIF(Donasi!$B$2:$B$20000,A4060,Donasi!$C$2:$C$20000))</f>
        <v/>
      </c>
      <c r="E4060">
        <f>IF(A4060="","",6-CEILING(PERCENTRANK.INC($B$3:$B$6000,B4060,4)*5+0.000001,1))</f>
        <v/>
      </c>
      <c r="F4060">
        <f>IF(A4060="","",MAX(1,CEILING(PERCENTRANK.INC($C$3:$C$6000,C4060,4)*5+0.000001,1)))</f>
        <v/>
      </c>
      <c r="G4060">
        <f>IF(A4060="","",MAX(1,CEILING(PERCENTRANK.INC($D$3:$D$6000,D4060,4)*5+0.000001,1)))</f>
        <v/>
      </c>
      <c r="H4060">
        <f>IF(A4060="","",E4060&amp;F4060&amp;G4060)</f>
        <v/>
      </c>
      <c r="I4060">
        <f>IF(A4060="","",IF(AND(E4060&gt;=4,F4060&gt;=4,G4060&gt;=4),"Juara",IF(AND(F4060&gt;=4,E4060&gt;=3),"Setia",IF(AND(E4060=5,F4060&lt;=2,G4060&gt;=3),"Berpotensi",IF(AND(E4060&lt;=3,E4060&gt;=2,F4060&gt;=3),"Rawan",IF(AND(E4060&lt;=2,F4060&lt;=2),"Tidur","Umum"))))))</f>
        <v/>
      </c>
    </row>
    <row r="4061">
      <c r="B4061">
        <f>IF(A4061="","",$B$1-MAXIFS(Donasi!$A$2:$A$20000,Donasi!$B$2:$B$20000,A4061))</f>
        <v/>
      </c>
      <c r="C4061">
        <f>IF(A4061="","",COUNTIF(Donasi!$B$2:$B$20000,A4061))</f>
        <v/>
      </c>
      <c r="D4061">
        <f>IF(A4061="","",SUMIF(Donasi!$B$2:$B$20000,A4061,Donasi!$C$2:$C$20000))</f>
        <v/>
      </c>
      <c r="E4061">
        <f>IF(A4061="","",6-CEILING(PERCENTRANK.INC($B$3:$B$6000,B4061,4)*5+0.000001,1))</f>
        <v/>
      </c>
      <c r="F4061">
        <f>IF(A4061="","",MAX(1,CEILING(PERCENTRANK.INC($C$3:$C$6000,C4061,4)*5+0.000001,1)))</f>
        <v/>
      </c>
      <c r="G4061">
        <f>IF(A4061="","",MAX(1,CEILING(PERCENTRANK.INC($D$3:$D$6000,D4061,4)*5+0.000001,1)))</f>
        <v/>
      </c>
      <c r="H4061">
        <f>IF(A4061="","",E4061&amp;F4061&amp;G4061)</f>
        <v/>
      </c>
      <c r="I4061">
        <f>IF(A4061="","",IF(AND(E4061&gt;=4,F4061&gt;=4,G4061&gt;=4),"Juara",IF(AND(F4061&gt;=4,E4061&gt;=3),"Setia",IF(AND(E4061=5,F4061&lt;=2,G4061&gt;=3),"Berpotensi",IF(AND(E4061&lt;=3,E4061&gt;=2,F4061&gt;=3),"Rawan",IF(AND(E4061&lt;=2,F4061&lt;=2),"Tidur","Umum"))))))</f>
        <v/>
      </c>
    </row>
    <row r="4062">
      <c r="B4062">
        <f>IF(A4062="","",$B$1-MAXIFS(Donasi!$A$2:$A$20000,Donasi!$B$2:$B$20000,A4062))</f>
        <v/>
      </c>
      <c r="C4062">
        <f>IF(A4062="","",COUNTIF(Donasi!$B$2:$B$20000,A4062))</f>
        <v/>
      </c>
      <c r="D4062">
        <f>IF(A4062="","",SUMIF(Donasi!$B$2:$B$20000,A4062,Donasi!$C$2:$C$20000))</f>
        <v/>
      </c>
      <c r="E4062">
        <f>IF(A4062="","",6-CEILING(PERCENTRANK.INC($B$3:$B$6000,B4062,4)*5+0.000001,1))</f>
        <v/>
      </c>
      <c r="F4062">
        <f>IF(A4062="","",MAX(1,CEILING(PERCENTRANK.INC($C$3:$C$6000,C4062,4)*5+0.000001,1)))</f>
        <v/>
      </c>
      <c r="G4062">
        <f>IF(A4062="","",MAX(1,CEILING(PERCENTRANK.INC($D$3:$D$6000,D4062,4)*5+0.000001,1)))</f>
        <v/>
      </c>
      <c r="H4062">
        <f>IF(A4062="","",E4062&amp;F4062&amp;G4062)</f>
        <v/>
      </c>
      <c r="I4062">
        <f>IF(A4062="","",IF(AND(E4062&gt;=4,F4062&gt;=4,G4062&gt;=4),"Juara",IF(AND(F4062&gt;=4,E4062&gt;=3),"Setia",IF(AND(E4062=5,F4062&lt;=2,G4062&gt;=3),"Berpotensi",IF(AND(E4062&lt;=3,E4062&gt;=2,F4062&gt;=3),"Rawan",IF(AND(E4062&lt;=2,F4062&lt;=2),"Tidur","Umum"))))))</f>
        <v/>
      </c>
    </row>
    <row r="4063">
      <c r="B4063">
        <f>IF(A4063="","",$B$1-MAXIFS(Donasi!$A$2:$A$20000,Donasi!$B$2:$B$20000,A4063))</f>
        <v/>
      </c>
      <c r="C4063">
        <f>IF(A4063="","",COUNTIF(Donasi!$B$2:$B$20000,A4063))</f>
        <v/>
      </c>
      <c r="D4063">
        <f>IF(A4063="","",SUMIF(Donasi!$B$2:$B$20000,A4063,Donasi!$C$2:$C$20000))</f>
        <v/>
      </c>
      <c r="E4063">
        <f>IF(A4063="","",6-CEILING(PERCENTRANK.INC($B$3:$B$6000,B4063,4)*5+0.000001,1))</f>
        <v/>
      </c>
      <c r="F4063">
        <f>IF(A4063="","",MAX(1,CEILING(PERCENTRANK.INC($C$3:$C$6000,C4063,4)*5+0.000001,1)))</f>
        <v/>
      </c>
      <c r="G4063">
        <f>IF(A4063="","",MAX(1,CEILING(PERCENTRANK.INC($D$3:$D$6000,D4063,4)*5+0.000001,1)))</f>
        <v/>
      </c>
      <c r="H4063">
        <f>IF(A4063="","",E4063&amp;F4063&amp;G4063)</f>
        <v/>
      </c>
      <c r="I4063">
        <f>IF(A4063="","",IF(AND(E4063&gt;=4,F4063&gt;=4,G4063&gt;=4),"Juara",IF(AND(F4063&gt;=4,E4063&gt;=3),"Setia",IF(AND(E4063=5,F4063&lt;=2,G4063&gt;=3),"Berpotensi",IF(AND(E4063&lt;=3,E4063&gt;=2,F4063&gt;=3),"Rawan",IF(AND(E4063&lt;=2,F4063&lt;=2),"Tidur","Umum"))))))</f>
        <v/>
      </c>
    </row>
    <row r="4064">
      <c r="B4064">
        <f>IF(A4064="","",$B$1-MAXIFS(Donasi!$A$2:$A$20000,Donasi!$B$2:$B$20000,A4064))</f>
        <v/>
      </c>
      <c r="C4064">
        <f>IF(A4064="","",COUNTIF(Donasi!$B$2:$B$20000,A4064))</f>
        <v/>
      </c>
      <c r="D4064">
        <f>IF(A4064="","",SUMIF(Donasi!$B$2:$B$20000,A4064,Donasi!$C$2:$C$20000))</f>
        <v/>
      </c>
      <c r="E4064">
        <f>IF(A4064="","",6-CEILING(PERCENTRANK.INC($B$3:$B$6000,B4064,4)*5+0.000001,1))</f>
        <v/>
      </c>
      <c r="F4064">
        <f>IF(A4064="","",MAX(1,CEILING(PERCENTRANK.INC($C$3:$C$6000,C4064,4)*5+0.000001,1)))</f>
        <v/>
      </c>
      <c r="G4064">
        <f>IF(A4064="","",MAX(1,CEILING(PERCENTRANK.INC($D$3:$D$6000,D4064,4)*5+0.000001,1)))</f>
        <v/>
      </c>
      <c r="H4064">
        <f>IF(A4064="","",E4064&amp;F4064&amp;G4064)</f>
        <v/>
      </c>
      <c r="I4064">
        <f>IF(A4064="","",IF(AND(E4064&gt;=4,F4064&gt;=4,G4064&gt;=4),"Juara",IF(AND(F4064&gt;=4,E4064&gt;=3),"Setia",IF(AND(E4064=5,F4064&lt;=2,G4064&gt;=3),"Berpotensi",IF(AND(E4064&lt;=3,E4064&gt;=2,F4064&gt;=3),"Rawan",IF(AND(E4064&lt;=2,F4064&lt;=2),"Tidur","Umum"))))))</f>
        <v/>
      </c>
    </row>
    <row r="4065">
      <c r="B4065">
        <f>IF(A4065="","",$B$1-MAXIFS(Donasi!$A$2:$A$20000,Donasi!$B$2:$B$20000,A4065))</f>
        <v/>
      </c>
      <c r="C4065">
        <f>IF(A4065="","",COUNTIF(Donasi!$B$2:$B$20000,A4065))</f>
        <v/>
      </c>
      <c r="D4065">
        <f>IF(A4065="","",SUMIF(Donasi!$B$2:$B$20000,A4065,Donasi!$C$2:$C$20000))</f>
        <v/>
      </c>
      <c r="E4065">
        <f>IF(A4065="","",6-CEILING(PERCENTRANK.INC($B$3:$B$6000,B4065,4)*5+0.000001,1))</f>
        <v/>
      </c>
      <c r="F4065">
        <f>IF(A4065="","",MAX(1,CEILING(PERCENTRANK.INC($C$3:$C$6000,C4065,4)*5+0.000001,1)))</f>
        <v/>
      </c>
      <c r="G4065">
        <f>IF(A4065="","",MAX(1,CEILING(PERCENTRANK.INC($D$3:$D$6000,D4065,4)*5+0.000001,1)))</f>
        <v/>
      </c>
      <c r="H4065">
        <f>IF(A4065="","",E4065&amp;F4065&amp;G4065)</f>
        <v/>
      </c>
      <c r="I4065">
        <f>IF(A4065="","",IF(AND(E4065&gt;=4,F4065&gt;=4,G4065&gt;=4),"Juara",IF(AND(F4065&gt;=4,E4065&gt;=3),"Setia",IF(AND(E4065=5,F4065&lt;=2,G4065&gt;=3),"Berpotensi",IF(AND(E4065&lt;=3,E4065&gt;=2,F4065&gt;=3),"Rawan",IF(AND(E4065&lt;=2,F4065&lt;=2),"Tidur","Umum"))))))</f>
        <v/>
      </c>
    </row>
    <row r="4066">
      <c r="B4066">
        <f>IF(A4066="","",$B$1-MAXIFS(Donasi!$A$2:$A$20000,Donasi!$B$2:$B$20000,A4066))</f>
        <v/>
      </c>
      <c r="C4066">
        <f>IF(A4066="","",COUNTIF(Donasi!$B$2:$B$20000,A4066))</f>
        <v/>
      </c>
      <c r="D4066">
        <f>IF(A4066="","",SUMIF(Donasi!$B$2:$B$20000,A4066,Donasi!$C$2:$C$20000))</f>
        <v/>
      </c>
      <c r="E4066">
        <f>IF(A4066="","",6-CEILING(PERCENTRANK.INC($B$3:$B$6000,B4066,4)*5+0.000001,1))</f>
        <v/>
      </c>
      <c r="F4066">
        <f>IF(A4066="","",MAX(1,CEILING(PERCENTRANK.INC($C$3:$C$6000,C4066,4)*5+0.000001,1)))</f>
        <v/>
      </c>
      <c r="G4066">
        <f>IF(A4066="","",MAX(1,CEILING(PERCENTRANK.INC($D$3:$D$6000,D4066,4)*5+0.000001,1)))</f>
        <v/>
      </c>
      <c r="H4066">
        <f>IF(A4066="","",E4066&amp;F4066&amp;G4066)</f>
        <v/>
      </c>
      <c r="I4066">
        <f>IF(A4066="","",IF(AND(E4066&gt;=4,F4066&gt;=4,G4066&gt;=4),"Juara",IF(AND(F4066&gt;=4,E4066&gt;=3),"Setia",IF(AND(E4066=5,F4066&lt;=2,G4066&gt;=3),"Berpotensi",IF(AND(E4066&lt;=3,E4066&gt;=2,F4066&gt;=3),"Rawan",IF(AND(E4066&lt;=2,F4066&lt;=2),"Tidur","Umum"))))))</f>
        <v/>
      </c>
    </row>
    <row r="4067">
      <c r="B4067">
        <f>IF(A4067="","",$B$1-MAXIFS(Donasi!$A$2:$A$20000,Donasi!$B$2:$B$20000,A4067))</f>
        <v/>
      </c>
      <c r="C4067">
        <f>IF(A4067="","",COUNTIF(Donasi!$B$2:$B$20000,A4067))</f>
        <v/>
      </c>
      <c r="D4067">
        <f>IF(A4067="","",SUMIF(Donasi!$B$2:$B$20000,A4067,Donasi!$C$2:$C$20000))</f>
        <v/>
      </c>
      <c r="E4067">
        <f>IF(A4067="","",6-CEILING(PERCENTRANK.INC($B$3:$B$6000,B4067,4)*5+0.000001,1))</f>
        <v/>
      </c>
      <c r="F4067">
        <f>IF(A4067="","",MAX(1,CEILING(PERCENTRANK.INC($C$3:$C$6000,C4067,4)*5+0.000001,1)))</f>
        <v/>
      </c>
      <c r="G4067">
        <f>IF(A4067="","",MAX(1,CEILING(PERCENTRANK.INC($D$3:$D$6000,D4067,4)*5+0.000001,1)))</f>
        <v/>
      </c>
      <c r="H4067">
        <f>IF(A4067="","",E4067&amp;F4067&amp;G4067)</f>
        <v/>
      </c>
      <c r="I4067">
        <f>IF(A4067="","",IF(AND(E4067&gt;=4,F4067&gt;=4,G4067&gt;=4),"Juara",IF(AND(F4067&gt;=4,E4067&gt;=3),"Setia",IF(AND(E4067=5,F4067&lt;=2,G4067&gt;=3),"Berpotensi",IF(AND(E4067&lt;=3,E4067&gt;=2,F4067&gt;=3),"Rawan",IF(AND(E4067&lt;=2,F4067&lt;=2),"Tidur","Umum"))))))</f>
        <v/>
      </c>
    </row>
    <row r="4068">
      <c r="B4068">
        <f>IF(A4068="","",$B$1-MAXIFS(Donasi!$A$2:$A$20000,Donasi!$B$2:$B$20000,A4068))</f>
        <v/>
      </c>
      <c r="C4068">
        <f>IF(A4068="","",COUNTIF(Donasi!$B$2:$B$20000,A4068))</f>
        <v/>
      </c>
      <c r="D4068">
        <f>IF(A4068="","",SUMIF(Donasi!$B$2:$B$20000,A4068,Donasi!$C$2:$C$20000))</f>
        <v/>
      </c>
      <c r="E4068">
        <f>IF(A4068="","",6-CEILING(PERCENTRANK.INC($B$3:$B$6000,B4068,4)*5+0.000001,1))</f>
        <v/>
      </c>
      <c r="F4068">
        <f>IF(A4068="","",MAX(1,CEILING(PERCENTRANK.INC($C$3:$C$6000,C4068,4)*5+0.000001,1)))</f>
        <v/>
      </c>
      <c r="G4068">
        <f>IF(A4068="","",MAX(1,CEILING(PERCENTRANK.INC($D$3:$D$6000,D4068,4)*5+0.000001,1)))</f>
        <v/>
      </c>
      <c r="H4068">
        <f>IF(A4068="","",E4068&amp;F4068&amp;G4068)</f>
        <v/>
      </c>
      <c r="I4068">
        <f>IF(A4068="","",IF(AND(E4068&gt;=4,F4068&gt;=4,G4068&gt;=4),"Juara",IF(AND(F4068&gt;=4,E4068&gt;=3),"Setia",IF(AND(E4068=5,F4068&lt;=2,G4068&gt;=3),"Berpotensi",IF(AND(E4068&lt;=3,E4068&gt;=2,F4068&gt;=3),"Rawan",IF(AND(E4068&lt;=2,F4068&lt;=2),"Tidur","Umum"))))))</f>
        <v/>
      </c>
    </row>
    <row r="4069">
      <c r="B4069">
        <f>IF(A4069="","",$B$1-MAXIFS(Donasi!$A$2:$A$20000,Donasi!$B$2:$B$20000,A4069))</f>
        <v/>
      </c>
      <c r="C4069">
        <f>IF(A4069="","",COUNTIF(Donasi!$B$2:$B$20000,A4069))</f>
        <v/>
      </c>
      <c r="D4069">
        <f>IF(A4069="","",SUMIF(Donasi!$B$2:$B$20000,A4069,Donasi!$C$2:$C$20000))</f>
        <v/>
      </c>
      <c r="E4069">
        <f>IF(A4069="","",6-CEILING(PERCENTRANK.INC($B$3:$B$6000,B4069,4)*5+0.000001,1))</f>
        <v/>
      </c>
      <c r="F4069">
        <f>IF(A4069="","",MAX(1,CEILING(PERCENTRANK.INC($C$3:$C$6000,C4069,4)*5+0.000001,1)))</f>
        <v/>
      </c>
      <c r="G4069">
        <f>IF(A4069="","",MAX(1,CEILING(PERCENTRANK.INC($D$3:$D$6000,D4069,4)*5+0.000001,1)))</f>
        <v/>
      </c>
      <c r="H4069">
        <f>IF(A4069="","",E4069&amp;F4069&amp;G4069)</f>
        <v/>
      </c>
      <c r="I4069">
        <f>IF(A4069="","",IF(AND(E4069&gt;=4,F4069&gt;=4,G4069&gt;=4),"Juara",IF(AND(F4069&gt;=4,E4069&gt;=3),"Setia",IF(AND(E4069=5,F4069&lt;=2,G4069&gt;=3),"Berpotensi",IF(AND(E4069&lt;=3,E4069&gt;=2,F4069&gt;=3),"Rawan",IF(AND(E4069&lt;=2,F4069&lt;=2),"Tidur","Umum"))))))</f>
        <v/>
      </c>
    </row>
    <row r="4070">
      <c r="B4070">
        <f>IF(A4070="","",$B$1-MAXIFS(Donasi!$A$2:$A$20000,Donasi!$B$2:$B$20000,A4070))</f>
        <v/>
      </c>
      <c r="C4070">
        <f>IF(A4070="","",COUNTIF(Donasi!$B$2:$B$20000,A4070))</f>
        <v/>
      </c>
      <c r="D4070">
        <f>IF(A4070="","",SUMIF(Donasi!$B$2:$B$20000,A4070,Donasi!$C$2:$C$20000))</f>
        <v/>
      </c>
      <c r="E4070">
        <f>IF(A4070="","",6-CEILING(PERCENTRANK.INC($B$3:$B$6000,B4070,4)*5+0.000001,1))</f>
        <v/>
      </c>
      <c r="F4070">
        <f>IF(A4070="","",MAX(1,CEILING(PERCENTRANK.INC($C$3:$C$6000,C4070,4)*5+0.000001,1)))</f>
        <v/>
      </c>
      <c r="G4070">
        <f>IF(A4070="","",MAX(1,CEILING(PERCENTRANK.INC($D$3:$D$6000,D4070,4)*5+0.000001,1)))</f>
        <v/>
      </c>
      <c r="H4070">
        <f>IF(A4070="","",E4070&amp;F4070&amp;G4070)</f>
        <v/>
      </c>
      <c r="I4070">
        <f>IF(A4070="","",IF(AND(E4070&gt;=4,F4070&gt;=4,G4070&gt;=4),"Juara",IF(AND(F4070&gt;=4,E4070&gt;=3),"Setia",IF(AND(E4070=5,F4070&lt;=2,G4070&gt;=3),"Berpotensi",IF(AND(E4070&lt;=3,E4070&gt;=2,F4070&gt;=3),"Rawan",IF(AND(E4070&lt;=2,F4070&lt;=2),"Tidur","Umum"))))))</f>
        <v/>
      </c>
    </row>
    <row r="4071">
      <c r="B4071">
        <f>IF(A4071="","",$B$1-MAXIFS(Donasi!$A$2:$A$20000,Donasi!$B$2:$B$20000,A4071))</f>
        <v/>
      </c>
      <c r="C4071">
        <f>IF(A4071="","",COUNTIF(Donasi!$B$2:$B$20000,A4071))</f>
        <v/>
      </c>
      <c r="D4071">
        <f>IF(A4071="","",SUMIF(Donasi!$B$2:$B$20000,A4071,Donasi!$C$2:$C$20000))</f>
        <v/>
      </c>
      <c r="E4071">
        <f>IF(A4071="","",6-CEILING(PERCENTRANK.INC($B$3:$B$6000,B4071,4)*5+0.000001,1))</f>
        <v/>
      </c>
      <c r="F4071">
        <f>IF(A4071="","",MAX(1,CEILING(PERCENTRANK.INC($C$3:$C$6000,C4071,4)*5+0.000001,1)))</f>
        <v/>
      </c>
      <c r="G4071">
        <f>IF(A4071="","",MAX(1,CEILING(PERCENTRANK.INC($D$3:$D$6000,D4071,4)*5+0.000001,1)))</f>
        <v/>
      </c>
      <c r="H4071">
        <f>IF(A4071="","",E4071&amp;F4071&amp;G4071)</f>
        <v/>
      </c>
      <c r="I4071">
        <f>IF(A4071="","",IF(AND(E4071&gt;=4,F4071&gt;=4,G4071&gt;=4),"Juara",IF(AND(F4071&gt;=4,E4071&gt;=3),"Setia",IF(AND(E4071=5,F4071&lt;=2,G4071&gt;=3),"Berpotensi",IF(AND(E4071&lt;=3,E4071&gt;=2,F4071&gt;=3),"Rawan",IF(AND(E4071&lt;=2,F4071&lt;=2),"Tidur","Umum"))))))</f>
        <v/>
      </c>
    </row>
    <row r="4072">
      <c r="B4072">
        <f>IF(A4072="","",$B$1-MAXIFS(Donasi!$A$2:$A$20000,Donasi!$B$2:$B$20000,A4072))</f>
        <v/>
      </c>
      <c r="C4072">
        <f>IF(A4072="","",COUNTIF(Donasi!$B$2:$B$20000,A4072))</f>
        <v/>
      </c>
      <c r="D4072">
        <f>IF(A4072="","",SUMIF(Donasi!$B$2:$B$20000,A4072,Donasi!$C$2:$C$20000))</f>
        <v/>
      </c>
      <c r="E4072">
        <f>IF(A4072="","",6-CEILING(PERCENTRANK.INC($B$3:$B$6000,B4072,4)*5+0.000001,1))</f>
        <v/>
      </c>
      <c r="F4072">
        <f>IF(A4072="","",MAX(1,CEILING(PERCENTRANK.INC($C$3:$C$6000,C4072,4)*5+0.000001,1)))</f>
        <v/>
      </c>
      <c r="G4072">
        <f>IF(A4072="","",MAX(1,CEILING(PERCENTRANK.INC($D$3:$D$6000,D4072,4)*5+0.000001,1)))</f>
        <v/>
      </c>
      <c r="H4072">
        <f>IF(A4072="","",E4072&amp;F4072&amp;G4072)</f>
        <v/>
      </c>
      <c r="I4072">
        <f>IF(A4072="","",IF(AND(E4072&gt;=4,F4072&gt;=4,G4072&gt;=4),"Juara",IF(AND(F4072&gt;=4,E4072&gt;=3),"Setia",IF(AND(E4072=5,F4072&lt;=2,G4072&gt;=3),"Berpotensi",IF(AND(E4072&lt;=3,E4072&gt;=2,F4072&gt;=3),"Rawan",IF(AND(E4072&lt;=2,F4072&lt;=2),"Tidur","Umum"))))))</f>
        <v/>
      </c>
    </row>
    <row r="4073">
      <c r="B4073">
        <f>IF(A4073="","",$B$1-MAXIFS(Donasi!$A$2:$A$20000,Donasi!$B$2:$B$20000,A4073))</f>
        <v/>
      </c>
      <c r="C4073">
        <f>IF(A4073="","",COUNTIF(Donasi!$B$2:$B$20000,A4073))</f>
        <v/>
      </c>
      <c r="D4073">
        <f>IF(A4073="","",SUMIF(Donasi!$B$2:$B$20000,A4073,Donasi!$C$2:$C$20000))</f>
        <v/>
      </c>
      <c r="E4073">
        <f>IF(A4073="","",6-CEILING(PERCENTRANK.INC($B$3:$B$6000,B4073,4)*5+0.000001,1))</f>
        <v/>
      </c>
      <c r="F4073">
        <f>IF(A4073="","",MAX(1,CEILING(PERCENTRANK.INC($C$3:$C$6000,C4073,4)*5+0.000001,1)))</f>
        <v/>
      </c>
      <c r="G4073">
        <f>IF(A4073="","",MAX(1,CEILING(PERCENTRANK.INC($D$3:$D$6000,D4073,4)*5+0.000001,1)))</f>
        <v/>
      </c>
      <c r="H4073">
        <f>IF(A4073="","",E4073&amp;F4073&amp;G4073)</f>
        <v/>
      </c>
      <c r="I4073">
        <f>IF(A4073="","",IF(AND(E4073&gt;=4,F4073&gt;=4,G4073&gt;=4),"Juara",IF(AND(F4073&gt;=4,E4073&gt;=3),"Setia",IF(AND(E4073=5,F4073&lt;=2,G4073&gt;=3),"Berpotensi",IF(AND(E4073&lt;=3,E4073&gt;=2,F4073&gt;=3),"Rawan",IF(AND(E4073&lt;=2,F4073&lt;=2),"Tidur","Umum"))))))</f>
        <v/>
      </c>
    </row>
    <row r="4074">
      <c r="B4074">
        <f>IF(A4074="","",$B$1-MAXIFS(Donasi!$A$2:$A$20000,Donasi!$B$2:$B$20000,A4074))</f>
        <v/>
      </c>
      <c r="C4074">
        <f>IF(A4074="","",COUNTIF(Donasi!$B$2:$B$20000,A4074))</f>
        <v/>
      </c>
      <c r="D4074">
        <f>IF(A4074="","",SUMIF(Donasi!$B$2:$B$20000,A4074,Donasi!$C$2:$C$20000))</f>
        <v/>
      </c>
      <c r="E4074">
        <f>IF(A4074="","",6-CEILING(PERCENTRANK.INC($B$3:$B$6000,B4074,4)*5+0.000001,1))</f>
        <v/>
      </c>
      <c r="F4074">
        <f>IF(A4074="","",MAX(1,CEILING(PERCENTRANK.INC($C$3:$C$6000,C4074,4)*5+0.000001,1)))</f>
        <v/>
      </c>
      <c r="G4074">
        <f>IF(A4074="","",MAX(1,CEILING(PERCENTRANK.INC($D$3:$D$6000,D4074,4)*5+0.000001,1)))</f>
        <v/>
      </c>
      <c r="H4074">
        <f>IF(A4074="","",E4074&amp;F4074&amp;G4074)</f>
        <v/>
      </c>
      <c r="I4074">
        <f>IF(A4074="","",IF(AND(E4074&gt;=4,F4074&gt;=4,G4074&gt;=4),"Juara",IF(AND(F4074&gt;=4,E4074&gt;=3),"Setia",IF(AND(E4074=5,F4074&lt;=2,G4074&gt;=3),"Berpotensi",IF(AND(E4074&lt;=3,E4074&gt;=2,F4074&gt;=3),"Rawan",IF(AND(E4074&lt;=2,F4074&lt;=2),"Tidur","Umum"))))))</f>
        <v/>
      </c>
    </row>
    <row r="4075">
      <c r="B4075">
        <f>IF(A4075="","",$B$1-MAXIFS(Donasi!$A$2:$A$20000,Donasi!$B$2:$B$20000,A4075))</f>
        <v/>
      </c>
      <c r="C4075">
        <f>IF(A4075="","",COUNTIF(Donasi!$B$2:$B$20000,A4075))</f>
        <v/>
      </c>
      <c r="D4075">
        <f>IF(A4075="","",SUMIF(Donasi!$B$2:$B$20000,A4075,Donasi!$C$2:$C$20000))</f>
        <v/>
      </c>
      <c r="E4075">
        <f>IF(A4075="","",6-CEILING(PERCENTRANK.INC($B$3:$B$6000,B4075,4)*5+0.000001,1))</f>
        <v/>
      </c>
      <c r="F4075">
        <f>IF(A4075="","",MAX(1,CEILING(PERCENTRANK.INC($C$3:$C$6000,C4075,4)*5+0.000001,1)))</f>
        <v/>
      </c>
      <c r="G4075">
        <f>IF(A4075="","",MAX(1,CEILING(PERCENTRANK.INC($D$3:$D$6000,D4075,4)*5+0.000001,1)))</f>
        <v/>
      </c>
      <c r="H4075">
        <f>IF(A4075="","",E4075&amp;F4075&amp;G4075)</f>
        <v/>
      </c>
      <c r="I4075">
        <f>IF(A4075="","",IF(AND(E4075&gt;=4,F4075&gt;=4,G4075&gt;=4),"Juara",IF(AND(F4075&gt;=4,E4075&gt;=3),"Setia",IF(AND(E4075=5,F4075&lt;=2,G4075&gt;=3),"Berpotensi",IF(AND(E4075&lt;=3,E4075&gt;=2,F4075&gt;=3),"Rawan",IF(AND(E4075&lt;=2,F4075&lt;=2),"Tidur","Umum"))))))</f>
        <v/>
      </c>
    </row>
    <row r="4076">
      <c r="B4076">
        <f>IF(A4076="","",$B$1-MAXIFS(Donasi!$A$2:$A$20000,Donasi!$B$2:$B$20000,A4076))</f>
        <v/>
      </c>
      <c r="C4076">
        <f>IF(A4076="","",COUNTIF(Donasi!$B$2:$B$20000,A4076))</f>
        <v/>
      </c>
      <c r="D4076">
        <f>IF(A4076="","",SUMIF(Donasi!$B$2:$B$20000,A4076,Donasi!$C$2:$C$20000))</f>
        <v/>
      </c>
      <c r="E4076">
        <f>IF(A4076="","",6-CEILING(PERCENTRANK.INC($B$3:$B$6000,B4076,4)*5+0.000001,1))</f>
        <v/>
      </c>
      <c r="F4076">
        <f>IF(A4076="","",MAX(1,CEILING(PERCENTRANK.INC($C$3:$C$6000,C4076,4)*5+0.000001,1)))</f>
        <v/>
      </c>
      <c r="G4076">
        <f>IF(A4076="","",MAX(1,CEILING(PERCENTRANK.INC($D$3:$D$6000,D4076,4)*5+0.000001,1)))</f>
        <v/>
      </c>
      <c r="H4076">
        <f>IF(A4076="","",E4076&amp;F4076&amp;G4076)</f>
        <v/>
      </c>
      <c r="I4076">
        <f>IF(A4076="","",IF(AND(E4076&gt;=4,F4076&gt;=4,G4076&gt;=4),"Juara",IF(AND(F4076&gt;=4,E4076&gt;=3),"Setia",IF(AND(E4076=5,F4076&lt;=2,G4076&gt;=3),"Berpotensi",IF(AND(E4076&lt;=3,E4076&gt;=2,F4076&gt;=3),"Rawan",IF(AND(E4076&lt;=2,F4076&lt;=2),"Tidur","Umum"))))))</f>
        <v/>
      </c>
    </row>
    <row r="4077">
      <c r="B4077">
        <f>IF(A4077="","",$B$1-MAXIFS(Donasi!$A$2:$A$20000,Donasi!$B$2:$B$20000,A4077))</f>
        <v/>
      </c>
      <c r="C4077">
        <f>IF(A4077="","",COUNTIF(Donasi!$B$2:$B$20000,A4077))</f>
        <v/>
      </c>
      <c r="D4077">
        <f>IF(A4077="","",SUMIF(Donasi!$B$2:$B$20000,A4077,Donasi!$C$2:$C$20000))</f>
        <v/>
      </c>
      <c r="E4077">
        <f>IF(A4077="","",6-CEILING(PERCENTRANK.INC($B$3:$B$6000,B4077,4)*5+0.000001,1))</f>
        <v/>
      </c>
      <c r="F4077">
        <f>IF(A4077="","",MAX(1,CEILING(PERCENTRANK.INC($C$3:$C$6000,C4077,4)*5+0.000001,1)))</f>
        <v/>
      </c>
      <c r="G4077">
        <f>IF(A4077="","",MAX(1,CEILING(PERCENTRANK.INC($D$3:$D$6000,D4077,4)*5+0.000001,1)))</f>
        <v/>
      </c>
      <c r="H4077">
        <f>IF(A4077="","",E4077&amp;F4077&amp;G4077)</f>
        <v/>
      </c>
      <c r="I4077">
        <f>IF(A4077="","",IF(AND(E4077&gt;=4,F4077&gt;=4,G4077&gt;=4),"Juara",IF(AND(F4077&gt;=4,E4077&gt;=3),"Setia",IF(AND(E4077=5,F4077&lt;=2,G4077&gt;=3),"Berpotensi",IF(AND(E4077&lt;=3,E4077&gt;=2,F4077&gt;=3),"Rawan",IF(AND(E4077&lt;=2,F4077&lt;=2),"Tidur","Umum"))))))</f>
        <v/>
      </c>
    </row>
    <row r="4078">
      <c r="B4078">
        <f>IF(A4078="","",$B$1-MAXIFS(Donasi!$A$2:$A$20000,Donasi!$B$2:$B$20000,A4078))</f>
        <v/>
      </c>
      <c r="C4078">
        <f>IF(A4078="","",COUNTIF(Donasi!$B$2:$B$20000,A4078))</f>
        <v/>
      </c>
      <c r="D4078">
        <f>IF(A4078="","",SUMIF(Donasi!$B$2:$B$20000,A4078,Donasi!$C$2:$C$20000))</f>
        <v/>
      </c>
      <c r="E4078">
        <f>IF(A4078="","",6-CEILING(PERCENTRANK.INC($B$3:$B$6000,B4078,4)*5+0.000001,1))</f>
        <v/>
      </c>
      <c r="F4078">
        <f>IF(A4078="","",MAX(1,CEILING(PERCENTRANK.INC($C$3:$C$6000,C4078,4)*5+0.000001,1)))</f>
        <v/>
      </c>
      <c r="G4078">
        <f>IF(A4078="","",MAX(1,CEILING(PERCENTRANK.INC($D$3:$D$6000,D4078,4)*5+0.000001,1)))</f>
        <v/>
      </c>
      <c r="H4078">
        <f>IF(A4078="","",E4078&amp;F4078&amp;G4078)</f>
        <v/>
      </c>
      <c r="I4078">
        <f>IF(A4078="","",IF(AND(E4078&gt;=4,F4078&gt;=4,G4078&gt;=4),"Juara",IF(AND(F4078&gt;=4,E4078&gt;=3),"Setia",IF(AND(E4078=5,F4078&lt;=2,G4078&gt;=3),"Berpotensi",IF(AND(E4078&lt;=3,E4078&gt;=2,F4078&gt;=3),"Rawan",IF(AND(E4078&lt;=2,F4078&lt;=2),"Tidur","Umum"))))))</f>
        <v/>
      </c>
    </row>
    <row r="4079">
      <c r="B4079">
        <f>IF(A4079="","",$B$1-MAXIFS(Donasi!$A$2:$A$20000,Donasi!$B$2:$B$20000,A4079))</f>
        <v/>
      </c>
      <c r="C4079">
        <f>IF(A4079="","",COUNTIF(Donasi!$B$2:$B$20000,A4079))</f>
        <v/>
      </c>
      <c r="D4079">
        <f>IF(A4079="","",SUMIF(Donasi!$B$2:$B$20000,A4079,Donasi!$C$2:$C$20000))</f>
        <v/>
      </c>
      <c r="E4079">
        <f>IF(A4079="","",6-CEILING(PERCENTRANK.INC($B$3:$B$6000,B4079,4)*5+0.000001,1))</f>
        <v/>
      </c>
      <c r="F4079">
        <f>IF(A4079="","",MAX(1,CEILING(PERCENTRANK.INC($C$3:$C$6000,C4079,4)*5+0.000001,1)))</f>
        <v/>
      </c>
      <c r="G4079">
        <f>IF(A4079="","",MAX(1,CEILING(PERCENTRANK.INC($D$3:$D$6000,D4079,4)*5+0.000001,1)))</f>
        <v/>
      </c>
      <c r="H4079">
        <f>IF(A4079="","",E4079&amp;F4079&amp;G4079)</f>
        <v/>
      </c>
      <c r="I4079">
        <f>IF(A4079="","",IF(AND(E4079&gt;=4,F4079&gt;=4,G4079&gt;=4),"Juara",IF(AND(F4079&gt;=4,E4079&gt;=3),"Setia",IF(AND(E4079=5,F4079&lt;=2,G4079&gt;=3),"Berpotensi",IF(AND(E4079&lt;=3,E4079&gt;=2,F4079&gt;=3),"Rawan",IF(AND(E4079&lt;=2,F4079&lt;=2),"Tidur","Umum"))))))</f>
        <v/>
      </c>
    </row>
    <row r="4080">
      <c r="B4080">
        <f>IF(A4080="","",$B$1-MAXIFS(Donasi!$A$2:$A$20000,Donasi!$B$2:$B$20000,A4080))</f>
        <v/>
      </c>
      <c r="C4080">
        <f>IF(A4080="","",COUNTIF(Donasi!$B$2:$B$20000,A4080))</f>
        <v/>
      </c>
      <c r="D4080">
        <f>IF(A4080="","",SUMIF(Donasi!$B$2:$B$20000,A4080,Donasi!$C$2:$C$20000))</f>
        <v/>
      </c>
      <c r="E4080">
        <f>IF(A4080="","",6-CEILING(PERCENTRANK.INC($B$3:$B$6000,B4080,4)*5+0.000001,1))</f>
        <v/>
      </c>
      <c r="F4080">
        <f>IF(A4080="","",MAX(1,CEILING(PERCENTRANK.INC($C$3:$C$6000,C4080,4)*5+0.000001,1)))</f>
        <v/>
      </c>
      <c r="G4080">
        <f>IF(A4080="","",MAX(1,CEILING(PERCENTRANK.INC($D$3:$D$6000,D4080,4)*5+0.000001,1)))</f>
        <v/>
      </c>
      <c r="H4080">
        <f>IF(A4080="","",E4080&amp;F4080&amp;G4080)</f>
        <v/>
      </c>
      <c r="I4080">
        <f>IF(A4080="","",IF(AND(E4080&gt;=4,F4080&gt;=4,G4080&gt;=4),"Juara",IF(AND(F4080&gt;=4,E4080&gt;=3),"Setia",IF(AND(E4080=5,F4080&lt;=2,G4080&gt;=3),"Berpotensi",IF(AND(E4080&lt;=3,E4080&gt;=2,F4080&gt;=3),"Rawan",IF(AND(E4080&lt;=2,F4080&lt;=2),"Tidur","Umum"))))))</f>
        <v/>
      </c>
    </row>
    <row r="4081">
      <c r="B4081">
        <f>IF(A4081="","",$B$1-MAXIFS(Donasi!$A$2:$A$20000,Donasi!$B$2:$B$20000,A4081))</f>
        <v/>
      </c>
      <c r="C4081">
        <f>IF(A4081="","",COUNTIF(Donasi!$B$2:$B$20000,A4081))</f>
        <v/>
      </c>
      <c r="D4081">
        <f>IF(A4081="","",SUMIF(Donasi!$B$2:$B$20000,A4081,Donasi!$C$2:$C$20000))</f>
        <v/>
      </c>
      <c r="E4081">
        <f>IF(A4081="","",6-CEILING(PERCENTRANK.INC($B$3:$B$6000,B4081,4)*5+0.000001,1))</f>
        <v/>
      </c>
      <c r="F4081">
        <f>IF(A4081="","",MAX(1,CEILING(PERCENTRANK.INC($C$3:$C$6000,C4081,4)*5+0.000001,1)))</f>
        <v/>
      </c>
      <c r="G4081">
        <f>IF(A4081="","",MAX(1,CEILING(PERCENTRANK.INC($D$3:$D$6000,D4081,4)*5+0.000001,1)))</f>
        <v/>
      </c>
      <c r="H4081">
        <f>IF(A4081="","",E4081&amp;F4081&amp;G4081)</f>
        <v/>
      </c>
      <c r="I4081">
        <f>IF(A4081="","",IF(AND(E4081&gt;=4,F4081&gt;=4,G4081&gt;=4),"Juara",IF(AND(F4081&gt;=4,E4081&gt;=3),"Setia",IF(AND(E4081=5,F4081&lt;=2,G4081&gt;=3),"Berpotensi",IF(AND(E4081&lt;=3,E4081&gt;=2,F4081&gt;=3),"Rawan",IF(AND(E4081&lt;=2,F4081&lt;=2),"Tidur","Umum"))))))</f>
        <v/>
      </c>
    </row>
    <row r="4082">
      <c r="B4082">
        <f>IF(A4082="","",$B$1-MAXIFS(Donasi!$A$2:$A$20000,Donasi!$B$2:$B$20000,A4082))</f>
        <v/>
      </c>
      <c r="C4082">
        <f>IF(A4082="","",COUNTIF(Donasi!$B$2:$B$20000,A4082))</f>
        <v/>
      </c>
      <c r="D4082">
        <f>IF(A4082="","",SUMIF(Donasi!$B$2:$B$20000,A4082,Donasi!$C$2:$C$20000))</f>
        <v/>
      </c>
      <c r="E4082">
        <f>IF(A4082="","",6-CEILING(PERCENTRANK.INC($B$3:$B$6000,B4082,4)*5+0.000001,1))</f>
        <v/>
      </c>
      <c r="F4082">
        <f>IF(A4082="","",MAX(1,CEILING(PERCENTRANK.INC($C$3:$C$6000,C4082,4)*5+0.000001,1)))</f>
        <v/>
      </c>
      <c r="G4082">
        <f>IF(A4082="","",MAX(1,CEILING(PERCENTRANK.INC($D$3:$D$6000,D4082,4)*5+0.000001,1)))</f>
        <v/>
      </c>
      <c r="H4082">
        <f>IF(A4082="","",E4082&amp;F4082&amp;G4082)</f>
        <v/>
      </c>
      <c r="I4082">
        <f>IF(A4082="","",IF(AND(E4082&gt;=4,F4082&gt;=4,G4082&gt;=4),"Juara",IF(AND(F4082&gt;=4,E4082&gt;=3),"Setia",IF(AND(E4082=5,F4082&lt;=2,G4082&gt;=3),"Berpotensi",IF(AND(E4082&lt;=3,E4082&gt;=2,F4082&gt;=3),"Rawan",IF(AND(E4082&lt;=2,F4082&lt;=2),"Tidur","Umum"))))))</f>
        <v/>
      </c>
    </row>
    <row r="4083">
      <c r="B4083">
        <f>IF(A4083="","",$B$1-MAXIFS(Donasi!$A$2:$A$20000,Donasi!$B$2:$B$20000,A4083))</f>
        <v/>
      </c>
      <c r="C4083">
        <f>IF(A4083="","",COUNTIF(Donasi!$B$2:$B$20000,A4083))</f>
        <v/>
      </c>
      <c r="D4083">
        <f>IF(A4083="","",SUMIF(Donasi!$B$2:$B$20000,A4083,Donasi!$C$2:$C$20000))</f>
        <v/>
      </c>
      <c r="E4083">
        <f>IF(A4083="","",6-CEILING(PERCENTRANK.INC($B$3:$B$6000,B4083,4)*5+0.000001,1))</f>
        <v/>
      </c>
      <c r="F4083">
        <f>IF(A4083="","",MAX(1,CEILING(PERCENTRANK.INC($C$3:$C$6000,C4083,4)*5+0.000001,1)))</f>
        <v/>
      </c>
      <c r="G4083">
        <f>IF(A4083="","",MAX(1,CEILING(PERCENTRANK.INC($D$3:$D$6000,D4083,4)*5+0.000001,1)))</f>
        <v/>
      </c>
      <c r="H4083">
        <f>IF(A4083="","",E4083&amp;F4083&amp;G4083)</f>
        <v/>
      </c>
      <c r="I4083">
        <f>IF(A4083="","",IF(AND(E4083&gt;=4,F4083&gt;=4,G4083&gt;=4),"Juara",IF(AND(F4083&gt;=4,E4083&gt;=3),"Setia",IF(AND(E4083=5,F4083&lt;=2,G4083&gt;=3),"Berpotensi",IF(AND(E4083&lt;=3,E4083&gt;=2,F4083&gt;=3),"Rawan",IF(AND(E4083&lt;=2,F4083&lt;=2),"Tidur","Umum"))))))</f>
        <v/>
      </c>
    </row>
    <row r="4084">
      <c r="B4084">
        <f>IF(A4084="","",$B$1-MAXIFS(Donasi!$A$2:$A$20000,Donasi!$B$2:$B$20000,A4084))</f>
        <v/>
      </c>
      <c r="C4084">
        <f>IF(A4084="","",COUNTIF(Donasi!$B$2:$B$20000,A4084))</f>
        <v/>
      </c>
      <c r="D4084">
        <f>IF(A4084="","",SUMIF(Donasi!$B$2:$B$20000,A4084,Donasi!$C$2:$C$20000))</f>
        <v/>
      </c>
      <c r="E4084">
        <f>IF(A4084="","",6-CEILING(PERCENTRANK.INC($B$3:$B$6000,B4084,4)*5+0.000001,1))</f>
        <v/>
      </c>
      <c r="F4084">
        <f>IF(A4084="","",MAX(1,CEILING(PERCENTRANK.INC($C$3:$C$6000,C4084,4)*5+0.000001,1)))</f>
        <v/>
      </c>
      <c r="G4084">
        <f>IF(A4084="","",MAX(1,CEILING(PERCENTRANK.INC($D$3:$D$6000,D4084,4)*5+0.000001,1)))</f>
        <v/>
      </c>
      <c r="H4084">
        <f>IF(A4084="","",E4084&amp;F4084&amp;G4084)</f>
        <v/>
      </c>
      <c r="I4084">
        <f>IF(A4084="","",IF(AND(E4084&gt;=4,F4084&gt;=4,G4084&gt;=4),"Juara",IF(AND(F4084&gt;=4,E4084&gt;=3),"Setia",IF(AND(E4084=5,F4084&lt;=2,G4084&gt;=3),"Berpotensi",IF(AND(E4084&lt;=3,E4084&gt;=2,F4084&gt;=3),"Rawan",IF(AND(E4084&lt;=2,F4084&lt;=2),"Tidur","Umum"))))))</f>
        <v/>
      </c>
    </row>
    <row r="4085">
      <c r="B4085">
        <f>IF(A4085="","",$B$1-MAXIFS(Donasi!$A$2:$A$20000,Donasi!$B$2:$B$20000,A4085))</f>
        <v/>
      </c>
      <c r="C4085">
        <f>IF(A4085="","",COUNTIF(Donasi!$B$2:$B$20000,A4085))</f>
        <v/>
      </c>
      <c r="D4085">
        <f>IF(A4085="","",SUMIF(Donasi!$B$2:$B$20000,A4085,Donasi!$C$2:$C$20000))</f>
        <v/>
      </c>
      <c r="E4085">
        <f>IF(A4085="","",6-CEILING(PERCENTRANK.INC($B$3:$B$6000,B4085,4)*5+0.000001,1))</f>
        <v/>
      </c>
      <c r="F4085">
        <f>IF(A4085="","",MAX(1,CEILING(PERCENTRANK.INC($C$3:$C$6000,C4085,4)*5+0.000001,1)))</f>
        <v/>
      </c>
      <c r="G4085">
        <f>IF(A4085="","",MAX(1,CEILING(PERCENTRANK.INC($D$3:$D$6000,D4085,4)*5+0.000001,1)))</f>
        <v/>
      </c>
      <c r="H4085">
        <f>IF(A4085="","",E4085&amp;F4085&amp;G4085)</f>
        <v/>
      </c>
      <c r="I4085">
        <f>IF(A4085="","",IF(AND(E4085&gt;=4,F4085&gt;=4,G4085&gt;=4),"Juara",IF(AND(F4085&gt;=4,E4085&gt;=3),"Setia",IF(AND(E4085=5,F4085&lt;=2,G4085&gt;=3),"Berpotensi",IF(AND(E4085&lt;=3,E4085&gt;=2,F4085&gt;=3),"Rawan",IF(AND(E4085&lt;=2,F4085&lt;=2),"Tidur","Umum"))))))</f>
        <v/>
      </c>
    </row>
    <row r="4086">
      <c r="B4086">
        <f>IF(A4086="","",$B$1-MAXIFS(Donasi!$A$2:$A$20000,Donasi!$B$2:$B$20000,A4086))</f>
        <v/>
      </c>
      <c r="C4086">
        <f>IF(A4086="","",COUNTIF(Donasi!$B$2:$B$20000,A4086))</f>
        <v/>
      </c>
      <c r="D4086">
        <f>IF(A4086="","",SUMIF(Donasi!$B$2:$B$20000,A4086,Donasi!$C$2:$C$20000))</f>
        <v/>
      </c>
      <c r="E4086">
        <f>IF(A4086="","",6-CEILING(PERCENTRANK.INC($B$3:$B$6000,B4086,4)*5+0.000001,1))</f>
        <v/>
      </c>
      <c r="F4086">
        <f>IF(A4086="","",MAX(1,CEILING(PERCENTRANK.INC($C$3:$C$6000,C4086,4)*5+0.000001,1)))</f>
        <v/>
      </c>
      <c r="G4086">
        <f>IF(A4086="","",MAX(1,CEILING(PERCENTRANK.INC($D$3:$D$6000,D4086,4)*5+0.000001,1)))</f>
        <v/>
      </c>
      <c r="H4086">
        <f>IF(A4086="","",E4086&amp;F4086&amp;G4086)</f>
        <v/>
      </c>
      <c r="I4086">
        <f>IF(A4086="","",IF(AND(E4086&gt;=4,F4086&gt;=4,G4086&gt;=4),"Juara",IF(AND(F4086&gt;=4,E4086&gt;=3),"Setia",IF(AND(E4086=5,F4086&lt;=2,G4086&gt;=3),"Berpotensi",IF(AND(E4086&lt;=3,E4086&gt;=2,F4086&gt;=3),"Rawan",IF(AND(E4086&lt;=2,F4086&lt;=2),"Tidur","Umum"))))))</f>
        <v/>
      </c>
    </row>
    <row r="4087">
      <c r="B4087">
        <f>IF(A4087="","",$B$1-MAXIFS(Donasi!$A$2:$A$20000,Donasi!$B$2:$B$20000,A4087))</f>
        <v/>
      </c>
      <c r="C4087">
        <f>IF(A4087="","",COUNTIF(Donasi!$B$2:$B$20000,A4087))</f>
        <v/>
      </c>
      <c r="D4087">
        <f>IF(A4087="","",SUMIF(Donasi!$B$2:$B$20000,A4087,Donasi!$C$2:$C$20000))</f>
        <v/>
      </c>
      <c r="E4087">
        <f>IF(A4087="","",6-CEILING(PERCENTRANK.INC($B$3:$B$6000,B4087,4)*5+0.000001,1))</f>
        <v/>
      </c>
      <c r="F4087">
        <f>IF(A4087="","",MAX(1,CEILING(PERCENTRANK.INC($C$3:$C$6000,C4087,4)*5+0.000001,1)))</f>
        <v/>
      </c>
      <c r="G4087">
        <f>IF(A4087="","",MAX(1,CEILING(PERCENTRANK.INC($D$3:$D$6000,D4087,4)*5+0.000001,1)))</f>
        <v/>
      </c>
      <c r="H4087">
        <f>IF(A4087="","",E4087&amp;F4087&amp;G4087)</f>
        <v/>
      </c>
      <c r="I4087">
        <f>IF(A4087="","",IF(AND(E4087&gt;=4,F4087&gt;=4,G4087&gt;=4),"Juara",IF(AND(F4087&gt;=4,E4087&gt;=3),"Setia",IF(AND(E4087=5,F4087&lt;=2,G4087&gt;=3),"Berpotensi",IF(AND(E4087&lt;=3,E4087&gt;=2,F4087&gt;=3),"Rawan",IF(AND(E4087&lt;=2,F4087&lt;=2),"Tidur","Umum"))))))</f>
        <v/>
      </c>
    </row>
    <row r="4088">
      <c r="B4088">
        <f>IF(A4088="","",$B$1-MAXIFS(Donasi!$A$2:$A$20000,Donasi!$B$2:$B$20000,A4088))</f>
        <v/>
      </c>
      <c r="C4088">
        <f>IF(A4088="","",COUNTIF(Donasi!$B$2:$B$20000,A4088))</f>
        <v/>
      </c>
      <c r="D4088">
        <f>IF(A4088="","",SUMIF(Donasi!$B$2:$B$20000,A4088,Donasi!$C$2:$C$20000))</f>
        <v/>
      </c>
      <c r="E4088">
        <f>IF(A4088="","",6-CEILING(PERCENTRANK.INC($B$3:$B$6000,B4088,4)*5+0.000001,1))</f>
        <v/>
      </c>
      <c r="F4088">
        <f>IF(A4088="","",MAX(1,CEILING(PERCENTRANK.INC($C$3:$C$6000,C4088,4)*5+0.000001,1)))</f>
        <v/>
      </c>
      <c r="G4088">
        <f>IF(A4088="","",MAX(1,CEILING(PERCENTRANK.INC($D$3:$D$6000,D4088,4)*5+0.000001,1)))</f>
        <v/>
      </c>
      <c r="H4088">
        <f>IF(A4088="","",E4088&amp;F4088&amp;G4088)</f>
        <v/>
      </c>
      <c r="I4088">
        <f>IF(A4088="","",IF(AND(E4088&gt;=4,F4088&gt;=4,G4088&gt;=4),"Juara",IF(AND(F4088&gt;=4,E4088&gt;=3),"Setia",IF(AND(E4088=5,F4088&lt;=2,G4088&gt;=3),"Berpotensi",IF(AND(E4088&lt;=3,E4088&gt;=2,F4088&gt;=3),"Rawan",IF(AND(E4088&lt;=2,F4088&lt;=2),"Tidur","Umum"))))))</f>
        <v/>
      </c>
    </row>
    <row r="4089">
      <c r="B4089">
        <f>IF(A4089="","",$B$1-MAXIFS(Donasi!$A$2:$A$20000,Donasi!$B$2:$B$20000,A4089))</f>
        <v/>
      </c>
      <c r="C4089">
        <f>IF(A4089="","",COUNTIF(Donasi!$B$2:$B$20000,A4089))</f>
        <v/>
      </c>
      <c r="D4089">
        <f>IF(A4089="","",SUMIF(Donasi!$B$2:$B$20000,A4089,Donasi!$C$2:$C$20000))</f>
        <v/>
      </c>
      <c r="E4089">
        <f>IF(A4089="","",6-CEILING(PERCENTRANK.INC($B$3:$B$6000,B4089,4)*5+0.000001,1))</f>
        <v/>
      </c>
      <c r="F4089">
        <f>IF(A4089="","",MAX(1,CEILING(PERCENTRANK.INC($C$3:$C$6000,C4089,4)*5+0.000001,1)))</f>
        <v/>
      </c>
      <c r="G4089">
        <f>IF(A4089="","",MAX(1,CEILING(PERCENTRANK.INC($D$3:$D$6000,D4089,4)*5+0.000001,1)))</f>
        <v/>
      </c>
      <c r="H4089">
        <f>IF(A4089="","",E4089&amp;F4089&amp;G4089)</f>
        <v/>
      </c>
      <c r="I4089">
        <f>IF(A4089="","",IF(AND(E4089&gt;=4,F4089&gt;=4,G4089&gt;=4),"Juara",IF(AND(F4089&gt;=4,E4089&gt;=3),"Setia",IF(AND(E4089=5,F4089&lt;=2,G4089&gt;=3),"Berpotensi",IF(AND(E4089&lt;=3,E4089&gt;=2,F4089&gt;=3),"Rawan",IF(AND(E4089&lt;=2,F4089&lt;=2),"Tidur","Umum"))))))</f>
        <v/>
      </c>
    </row>
    <row r="4090">
      <c r="B4090">
        <f>IF(A4090="","",$B$1-MAXIFS(Donasi!$A$2:$A$20000,Donasi!$B$2:$B$20000,A4090))</f>
        <v/>
      </c>
      <c r="C4090">
        <f>IF(A4090="","",COUNTIF(Donasi!$B$2:$B$20000,A4090))</f>
        <v/>
      </c>
      <c r="D4090">
        <f>IF(A4090="","",SUMIF(Donasi!$B$2:$B$20000,A4090,Donasi!$C$2:$C$20000))</f>
        <v/>
      </c>
      <c r="E4090">
        <f>IF(A4090="","",6-CEILING(PERCENTRANK.INC($B$3:$B$6000,B4090,4)*5+0.000001,1))</f>
        <v/>
      </c>
      <c r="F4090">
        <f>IF(A4090="","",MAX(1,CEILING(PERCENTRANK.INC($C$3:$C$6000,C4090,4)*5+0.000001,1)))</f>
        <v/>
      </c>
      <c r="G4090">
        <f>IF(A4090="","",MAX(1,CEILING(PERCENTRANK.INC($D$3:$D$6000,D4090,4)*5+0.000001,1)))</f>
        <v/>
      </c>
      <c r="H4090">
        <f>IF(A4090="","",E4090&amp;F4090&amp;G4090)</f>
        <v/>
      </c>
      <c r="I4090">
        <f>IF(A4090="","",IF(AND(E4090&gt;=4,F4090&gt;=4,G4090&gt;=4),"Juara",IF(AND(F4090&gt;=4,E4090&gt;=3),"Setia",IF(AND(E4090=5,F4090&lt;=2,G4090&gt;=3),"Berpotensi",IF(AND(E4090&lt;=3,E4090&gt;=2,F4090&gt;=3),"Rawan",IF(AND(E4090&lt;=2,F4090&lt;=2),"Tidur","Umum"))))))</f>
        <v/>
      </c>
    </row>
    <row r="4091">
      <c r="B4091">
        <f>IF(A4091="","",$B$1-MAXIFS(Donasi!$A$2:$A$20000,Donasi!$B$2:$B$20000,A4091))</f>
        <v/>
      </c>
      <c r="C4091">
        <f>IF(A4091="","",COUNTIF(Donasi!$B$2:$B$20000,A4091))</f>
        <v/>
      </c>
      <c r="D4091">
        <f>IF(A4091="","",SUMIF(Donasi!$B$2:$B$20000,A4091,Donasi!$C$2:$C$20000))</f>
        <v/>
      </c>
      <c r="E4091">
        <f>IF(A4091="","",6-CEILING(PERCENTRANK.INC($B$3:$B$6000,B4091,4)*5+0.000001,1))</f>
        <v/>
      </c>
      <c r="F4091">
        <f>IF(A4091="","",MAX(1,CEILING(PERCENTRANK.INC($C$3:$C$6000,C4091,4)*5+0.000001,1)))</f>
        <v/>
      </c>
      <c r="G4091">
        <f>IF(A4091="","",MAX(1,CEILING(PERCENTRANK.INC($D$3:$D$6000,D4091,4)*5+0.000001,1)))</f>
        <v/>
      </c>
      <c r="H4091">
        <f>IF(A4091="","",E4091&amp;F4091&amp;G4091)</f>
        <v/>
      </c>
      <c r="I4091">
        <f>IF(A4091="","",IF(AND(E4091&gt;=4,F4091&gt;=4,G4091&gt;=4),"Juara",IF(AND(F4091&gt;=4,E4091&gt;=3),"Setia",IF(AND(E4091=5,F4091&lt;=2,G4091&gt;=3),"Berpotensi",IF(AND(E4091&lt;=3,E4091&gt;=2,F4091&gt;=3),"Rawan",IF(AND(E4091&lt;=2,F4091&lt;=2),"Tidur","Umum"))))))</f>
        <v/>
      </c>
    </row>
    <row r="4092">
      <c r="B4092">
        <f>IF(A4092="","",$B$1-MAXIFS(Donasi!$A$2:$A$20000,Donasi!$B$2:$B$20000,A4092))</f>
        <v/>
      </c>
      <c r="C4092">
        <f>IF(A4092="","",COUNTIF(Donasi!$B$2:$B$20000,A4092))</f>
        <v/>
      </c>
      <c r="D4092">
        <f>IF(A4092="","",SUMIF(Donasi!$B$2:$B$20000,A4092,Donasi!$C$2:$C$20000))</f>
        <v/>
      </c>
      <c r="E4092">
        <f>IF(A4092="","",6-CEILING(PERCENTRANK.INC($B$3:$B$6000,B4092,4)*5+0.000001,1))</f>
        <v/>
      </c>
      <c r="F4092">
        <f>IF(A4092="","",MAX(1,CEILING(PERCENTRANK.INC($C$3:$C$6000,C4092,4)*5+0.000001,1)))</f>
        <v/>
      </c>
      <c r="G4092">
        <f>IF(A4092="","",MAX(1,CEILING(PERCENTRANK.INC($D$3:$D$6000,D4092,4)*5+0.000001,1)))</f>
        <v/>
      </c>
      <c r="H4092">
        <f>IF(A4092="","",E4092&amp;F4092&amp;G4092)</f>
        <v/>
      </c>
      <c r="I4092">
        <f>IF(A4092="","",IF(AND(E4092&gt;=4,F4092&gt;=4,G4092&gt;=4),"Juara",IF(AND(F4092&gt;=4,E4092&gt;=3),"Setia",IF(AND(E4092=5,F4092&lt;=2,G4092&gt;=3),"Berpotensi",IF(AND(E4092&lt;=3,E4092&gt;=2,F4092&gt;=3),"Rawan",IF(AND(E4092&lt;=2,F4092&lt;=2),"Tidur","Umum"))))))</f>
        <v/>
      </c>
    </row>
    <row r="4093">
      <c r="B4093">
        <f>IF(A4093="","",$B$1-MAXIFS(Donasi!$A$2:$A$20000,Donasi!$B$2:$B$20000,A4093))</f>
        <v/>
      </c>
      <c r="C4093">
        <f>IF(A4093="","",COUNTIF(Donasi!$B$2:$B$20000,A4093))</f>
        <v/>
      </c>
      <c r="D4093">
        <f>IF(A4093="","",SUMIF(Donasi!$B$2:$B$20000,A4093,Donasi!$C$2:$C$20000))</f>
        <v/>
      </c>
      <c r="E4093">
        <f>IF(A4093="","",6-CEILING(PERCENTRANK.INC($B$3:$B$6000,B4093,4)*5+0.000001,1))</f>
        <v/>
      </c>
      <c r="F4093">
        <f>IF(A4093="","",MAX(1,CEILING(PERCENTRANK.INC($C$3:$C$6000,C4093,4)*5+0.000001,1)))</f>
        <v/>
      </c>
      <c r="G4093">
        <f>IF(A4093="","",MAX(1,CEILING(PERCENTRANK.INC($D$3:$D$6000,D4093,4)*5+0.000001,1)))</f>
        <v/>
      </c>
      <c r="H4093">
        <f>IF(A4093="","",E4093&amp;F4093&amp;G4093)</f>
        <v/>
      </c>
      <c r="I4093">
        <f>IF(A4093="","",IF(AND(E4093&gt;=4,F4093&gt;=4,G4093&gt;=4),"Juara",IF(AND(F4093&gt;=4,E4093&gt;=3),"Setia",IF(AND(E4093=5,F4093&lt;=2,G4093&gt;=3),"Berpotensi",IF(AND(E4093&lt;=3,E4093&gt;=2,F4093&gt;=3),"Rawan",IF(AND(E4093&lt;=2,F4093&lt;=2),"Tidur","Umum"))))))</f>
        <v/>
      </c>
    </row>
    <row r="4094">
      <c r="B4094">
        <f>IF(A4094="","",$B$1-MAXIFS(Donasi!$A$2:$A$20000,Donasi!$B$2:$B$20000,A4094))</f>
        <v/>
      </c>
      <c r="C4094">
        <f>IF(A4094="","",COUNTIF(Donasi!$B$2:$B$20000,A4094))</f>
        <v/>
      </c>
      <c r="D4094">
        <f>IF(A4094="","",SUMIF(Donasi!$B$2:$B$20000,A4094,Donasi!$C$2:$C$20000))</f>
        <v/>
      </c>
      <c r="E4094">
        <f>IF(A4094="","",6-CEILING(PERCENTRANK.INC($B$3:$B$6000,B4094,4)*5+0.000001,1))</f>
        <v/>
      </c>
      <c r="F4094">
        <f>IF(A4094="","",MAX(1,CEILING(PERCENTRANK.INC($C$3:$C$6000,C4094,4)*5+0.000001,1)))</f>
        <v/>
      </c>
      <c r="G4094">
        <f>IF(A4094="","",MAX(1,CEILING(PERCENTRANK.INC($D$3:$D$6000,D4094,4)*5+0.000001,1)))</f>
        <v/>
      </c>
      <c r="H4094">
        <f>IF(A4094="","",E4094&amp;F4094&amp;G4094)</f>
        <v/>
      </c>
      <c r="I4094">
        <f>IF(A4094="","",IF(AND(E4094&gt;=4,F4094&gt;=4,G4094&gt;=4),"Juara",IF(AND(F4094&gt;=4,E4094&gt;=3),"Setia",IF(AND(E4094=5,F4094&lt;=2,G4094&gt;=3),"Berpotensi",IF(AND(E4094&lt;=3,E4094&gt;=2,F4094&gt;=3),"Rawan",IF(AND(E4094&lt;=2,F4094&lt;=2),"Tidur","Umum"))))))</f>
        <v/>
      </c>
    </row>
    <row r="4095">
      <c r="B4095">
        <f>IF(A4095="","",$B$1-MAXIFS(Donasi!$A$2:$A$20000,Donasi!$B$2:$B$20000,A4095))</f>
        <v/>
      </c>
      <c r="C4095">
        <f>IF(A4095="","",COUNTIF(Donasi!$B$2:$B$20000,A4095))</f>
        <v/>
      </c>
      <c r="D4095">
        <f>IF(A4095="","",SUMIF(Donasi!$B$2:$B$20000,A4095,Donasi!$C$2:$C$20000))</f>
        <v/>
      </c>
      <c r="E4095">
        <f>IF(A4095="","",6-CEILING(PERCENTRANK.INC($B$3:$B$6000,B4095,4)*5+0.000001,1))</f>
        <v/>
      </c>
      <c r="F4095">
        <f>IF(A4095="","",MAX(1,CEILING(PERCENTRANK.INC($C$3:$C$6000,C4095,4)*5+0.000001,1)))</f>
        <v/>
      </c>
      <c r="G4095">
        <f>IF(A4095="","",MAX(1,CEILING(PERCENTRANK.INC($D$3:$D$6000,D4095,4)*5+0.000001,1)))</f>
        <v/>
      </c>
      <c r="H4095">
        <f>IF(A4095="","",E4095&amp;F4095&amp;G4095)</f>
        <v/>
      </c>
      <c r="I4095">
        <f>IF(A4095="","",IF(AND(E4095&gt;=4,F4095&gt;=4,G4095&gt;=4),"Juara",IF(AND(F4095&gt;=4,E4095&gt;=3),"Setia",IF(AND(E4095=5,F4095&lt;=2,G4095&gt;=3),"Berpotensi",IF(AND(E4095&lt;=3,E4095&gt;=2,F4095&gt;=3),"Rawan",IF(AND(E4095&lt;=2,F4095&lt;=2),"Tidur","Umum"))))))</f>
        <v/>
      </c>
    </row>
    <row r="4096">
      <c r="B4096">
        <f>IF(A4096="","",$B$1-MAXIFS(Donasi!$A$2:$A$20000,Donasi!$B$2:$B$20000,A4096))</f>
        <v/>
      </c>
      <c r="C4096">
        <f>IF(A4096="","",COUNTIF(Donasi!$B$2:$B$20000,A4096))</f>
        <v/>
      </c>
      <c r="D4096">
        <f>IF(A4096="","",SUMIF(Donasi!$B$2:$B$20000,A4096,Donasi!$C$2:$C$20000))</f>
        <v/>
      </c>
      <c r="E4096">
        <f>IF(A4096="","",6-CEILING(PERCENTRANK.INC($B$3:$B$6000,B4096,4)*5+0.000001,1))</f>
        <v/>
      </c>
      <c r="F4096">
        <f>IF(A4096="","",MAX(1,CEILING(PERCENTRANK.INC($C$3:$C$6000,C4096,4)*5+0.000001,1)))</f>
        <v/>
      </c>
      <c r="G4096">
        <f>IF(A4096="","",MAX(1,CEILING(PERCENTRANK.INC($D$3:$D$6000,D4096,4)*5+0.000001,1)))</f>
        <v/>
      </c>
      <c r="H4096">
        <f>IF(A4096="","",E4096&amp;F4096&amp;G4096)</f>
        <v/>
      </c>
      <c r="I4096">
        <f>IF(A4096="","",IF(AND(E4096&gt;=4,F4096&gt;=4,G4096&gt;=4),"Juara",IF(AND(F4096&gt;=4,E4096&gt;=3),"Setia",IF(AND(E4096=5,F4096&lt;=2,G4096&gt;=3),"Berpotensi",IF(AND(E4096&lt;=3,E4096&gt;=2,F4096&gt;=3),"Rawan",IF(AND(E4096&lt;=2,F4096&lt;=2),"Tidur","Umum"))))))</f>
        <v/>
      </c>
    </row>
    <row r="4097">
      <c r="B4097">
        <f>IF(A4097="","",$B$1-MAXIFS(Donasi!$A$2:$A$20000,Donasi!$B$2:$B$20000,A4097))</f>
        <v/>
      </c>
      <c r="C4097">
        <f>IF(A4097="","",COUNTIF(Donasi!$B$2:$B$20000,A4097))</f>
        <v/>
      </c>
      <c r="D4097">
        <f>IF(A4097="","",SUMIF(Donasi!$B$2:$B$20000,A4097,Donasi!$C$2:$C$20000))</f>
        <v/>
      </c>
      <c r="E4097">
        <f>IF(A4097="","",6-CEILING(PERCENTRANK.INC($B$3:$B$6000,B4097,4)*5+0.000001,1))</f>
        <v/>
      </c>
      <c r="F4097">
        <f>IF(A4097="","",MAX(1,CEILING(PERCENTRANK.INC($C$3:$C$6000,C4097,4)*5+0.000001,1)))</f>
        <v/>
      </c>
      <c r="G4097">
        <f>IF(A4097="","",MAX(1,CEILING(PERCENTRANK.INC($D$3:$D$6000,D4097,4)*5+0.000001,1)))</f>
        <v/>
      </c>
      <c r="H4097">
        <f>IF(A4097="","",E4097&amp;F4097&amp;G4097)</f>
        <v/>
      </c>
      <c r="I4097">
        <f>IF(A4097="","",IF(AND(E4097&gt;=4,F4097&gt;=4,G4097&gt;=4),"Juara",IF(AND(F4097&gt;=4,E4097&gt;=3),"Setia",IF(AND(E4097=5,F4097&lt;=2,G4097&gt;=3),"Berpotensi",IF(AND(E4097&lt;=3,E4097&gt;=2,F4097&gt;=3),"Rawan",IF(AND(E4097&lt;=2,F4097&lt;=2),"Tidur","Umum"))))))</f>
        <v/>
      </c>
    </row>
    <row r="4098">
      <c r="B4098">
        <f>IF(A4098="","",$B$1-MAXIFS(Donasi!$A$2:$A$20000,Donasi!$B$2:$B$20000,A4098))</f>
        <v/>
      </c>
      <c r="C4098">
        <f>IF(A4098="","",COUNTIF(Donasi!$B$2:$B$20000,A4098))</f>
        <v/>
      </c>
      <c r="D4098">
        <f>IF(A4098="","",SUMIF(Donasi!$B$2:$B$20000,A4098,Donasi!$C$2:$C$20000))</f>
        <v/>
      </c>
      <c r="E4098">
        <f>IF(A4098="","",6-CEILING(PERCENTRANK.INC($B$3:$B$6000,B4098,4)*5+0.000001,1))</f>
        <v/>
      </c>
      <c r="F4098">
        <f>IF(A4098="","",MAX(1,CEILING(PERCENTRANK.INC($C$3:$C$6000,C4098,4)*5+0.000001,1)))</f>
        <v/>
      </c>
      <c r="G4098">
        <f>IF(A4098="","",MAX(1,CEILING(PERCENTRANK.INC($D$3:$D$6000,D4098,4)*5+0.000001,1)))</f>
        <v/>
      </c>
      <c r="H4098">
        <f>IF(A4098="","",E4098&amp;F4098&amp;G4098)</f>
        <v/>
      </c>
      <c r="I4098">
        <f>IF(A4098="","",IF(AND(E4098&gt;=4,F4098&gt;=4,G4098&gt;=4),"Juara",IF(AND(F4098&gt;=4,E4098&gt;=3),"Setia",IF(AND(E4098=5,F4098&lt;=2,G4098&gt;=3),"Berpotensi",IF(AND(E4098&lt;=3,E4098&gt;=2,F4098&gt;=3),"Rawan",IF(AND(E4098&lt;=2,F4098&lt;=2),"Tidur","Umum"))))))</f>
        <v/>
      </c>
    </row>
    <row r="4099">
      <c r="B4099">
        <f>IF(A4099="","",$B$1-MAXIFS(Donasi!$A$2:$A$20000,Donasi!$B$2:$B$20000,A4099))</f>
        <v/>
      </c>
      <c r="C4099">
        <f>IF(A4099="","",COUNTIF(Donasi!$B$2:$B$20000,A4099))</f>
        <v/>
      </c>
      <c r="D4099">
        <f>IF(A4099="","",SUMIF(Donasi!$B$2:$B$20000,A4099,Donasi!$C$2:$C$20000))</f>
        <v/>
      </c>
      <c r="E4099">
        <f>IF(A4099="","",6-CEILING(PERCENTRANK.INC($B$3:$B$6000,B4099,4)*5+0.000001,1))</f>
        <v/>
      </c>
      <c r="F4099">
        <f>IF(A4099="","",MAX(1,CEILING(PERCENTRANK.INC($C$3:$C$6000,C4099,4)*5+0.000001,1)))</f>
        <v/>
      </c>
      <c r="G4099">
        <f>IF(A4099="","",MAX(1,CEILING(PERCENTRANK.INC($D$3:$D$6000,D4099,4)*5+0.000001,1)))</f>
        <v/>
      </c>
      <c r="H4099">
        <f>IF(A4099="","",E4099&amp;F4099&amp;G4099)</f>
        <v/>
      </c>
      <c r="I4099">
        <f>IF(A4099="","",IF(AND(E4099&gt;=4,F4099&gt;=4,G4099&gt;=4),"Juara",IF(AND(F4099&gt;=4,E4099&gt;=3),"Setia",IF(AND(E4099=5,F4099&lt;=2,G4099&gt;=3),"Berpotensi",IF(AND(E4099&lt;=3,E4099&gt;=2,F4099&gt;=3),"Rawan",IF(AND(E4099&lt;=2,F4099&lt;=2),"Tidur","Umum"))))))</f>
        <v/>
      </c>
    </row>
    <row r="4100">
      <c r="B4100">
        <f>IF(A4100="","",$B$1-MAXIFS(Donasi!$A$2:$A$20000,Donasi!$B$2:$B$20000,A4100))</f>
        <v/>
      </c>
      <c r="C4100">
        <f>IF(A4100="","",COUNTIF(Donasi!$B$2:$B$20000,A4100))</f>
        <v/>
      </c>
      <c r="D4100">
        <f>IF(A4100="","",SUMIF(Donasi!$B$2:$B$20000,A4100,Donasi!$C$2:$C$20000))</f>
        <v/>
      </c>
      <c r="E4100">
        <f>IF(A4100="","",6-CEILING(PERCENTRANK.INC($B$3:$B$6000,B4100,4)*5+0.000001,1))</f>
        <v/>
      </c>
      <c r="F4100">
        <f>IF(A4100="","",MAX(1,CEILING(PERCENTRANK.INC($C$3:$C$6000,C4100,4)*5+0.000001,1)))</f>
        <v/>
      </c>
      <c r="G4100">
        <f>IF(A4100="","",MAX(1,CEILING(PERCENTRANK.INC($D$3:$D$6000,D4100,4)*5+0.000001,1)))</f>
        <v/>
      </c>
      <c r="H4100">
        <f>IF(A4100="","",E4100&amp;F4100&amp;G4100)</f>
        <v/>
      </c>
      <c r="I4100">
        <f>IF(A4100="","",IF(AND(E4100&gt;=4,F4100&gt;=4,G4100&gt;=4),"Juara",IF(AND(F4100&gt;=4,E4100&gt;=3),"Setia",IF(AND(E4100=5,F4100&lt;=2,G4100&gt;=3),"Berpotensi",IF(AND(E4100&lt;=3,E4100&gt;=2,F4100&gt;=3),"Rawan",IF(AND(E4100&lt;=2,F4100&lt;=2),"Tidur","Umum"))))))</f>
        <v/>
      </c>
    </row>
    <row r="4101">
      <c r="B4101">
        <f>IF(A4101="","",$B$1-MAXIFS(Donasi!$A$2:$A$20000,Donasi!$B$2:$B$20000,A4101))</f>
        <v/>
      </c>
      <c r="C4101">
        <f>IF(A4101="","",COUNTIF(Donasi!$B$2:$B$20000,A4101))</f>
        <v/>
      </c>
      <c r="D4101">
        <f>IF(A4101="","",SUMIF(Donasi!$B$2:$B$20000,A4101,Donasi!$C$2:$C$20000))</f>
        <v/>
      </c>
      <c r="E4101">
        <f>IF(A4101="","",6-CEILING(PERCENTRANK.INC($B$3:$B$6000,B4101,4)*5+0.000001,1))</f>
        <v/>
      </c>
      <c r="F4101">
        <f>IF(A4101="","",MAX(1,CEILING(PERCENTRANK.INC($C$3:$C$6000,C4101,4)*5+0.000001,1)))</f>
        <v/>
      </c>
      <c r="G4101">
        <f>IF(A4101="","",MAX(1,CEILING(PERCENTRANK.INC($D$3:$D$6000,D4101,4)*5+0.000001,1)))</f>
        <v/>
      </c>
      <c r="H4101">
        <f>IF(A4101="","",E4101&amp;F4101&amp;G4101)</f>
        <v/>
      </c>
      <c r="I4101">
        <f>IF(A4101="","",IF(AND(E4101&gt;=4,F4101&gt;=4,G4101&gt;=4),"Juara",IF(AND(F4101&gt;=4,E4101&gt;=3),"Setia",IF(AND(E4101=5,F4101&lt;=2,G4101&gt;=3),"Berpotensi",IF(AND(E4101&lt;=3,E4101&gt;=2,F4101&gt;=3),"Rawan",IF(AND(E4101&lt;=2,F4101&lt;=2),"Tidur","Umum"))))))</f>
        <v/>
      </c>
    </row>
    <row r="4102">
      <c r="B4102">
        <f>IF(A4102="","",$B$1-MAXIFS(Donasi!$A$2:$A$20000,Donasi!$B$2:$B$20000,A4102))</f>
        <v/>
      </c>
      <c r="C4102">
        <f>IF(A4102="","",COUNTIF(Donasi!$B$2:$B$20000,A4102))</f>
        <v/>
      </c>
      <c r="D4102">
        <f>IF(A4102="","",SUMIF(Donasi!$B$2:$B$20000,A4102,Donasi!$C$2:$C$20000))</f>
        <v/>
      </c>
      <c r="E4102">
        <f>IF(A4102="","",6-CEILING(PERCENTRANK.INC($B$3:$B$6000,B4102,4)*5+0.000001,1))</f>
        <v/>
      </c>
      <c r="F4102">
        <f>IF(A4102="","",MAX(1,CEILING(PERCENTRANK.INC($C$3:$C$6000,C4102,4)*5+0.000001,1)))</f>
        <v/>
      </c>
      <c r="G4102">
        <f>IF(A4102="","",MAX(1,CEILING(PERCENTRANK.INC($D$3:$D$6000,D4102,4)*5+0.000001,1)))</f>
        <v/>
      </c>
      <c r="H4102">
        <f>IF(A4102="","",E4102&amp;F4102&amp;G4102)</f>
        <v/>
      </c>
      <c r="I4102">
        <f>IF(A4102="","",IF(AND(E4102&gt;=4,F4102&gt;=4,G4102&gt;=4),"Juara",IF(AND(F4102&gt;=4,E4102&gt;=3),"Setia",IF(AND(E4102=5,F4102&lt;=2,G4102&gt;=3),"Berpotensi",IF(AND(E4102&lt;=3,E4102&gt;=2,F4102&gt;=3),"Rawan",IF(AND(E4102&lt;=2,F4102&lt;=2),"Tidur","Umum"))))))</f>
        <v/>
      </c>
    </row>
    <row r="4103">
      <c r="B4103">
        <f>IF(A4103="","",$B$1-MAXIFS(Donasi!$A$2:$A$20000,Donasi!$B$2:$B$20000,A4103))</f>
        <v/>
      </c>
      <c r="C4103">
        <f>IF(A4103="","",COUNTIF(Donasi!$B$2:$B$20000,A4103))</f>
        <v/>
      </c>
      <c r="D4103">
        <f>IF(A4103="","",SUMIF(Donasi!$B$2:$B$20000,A4103,Donasi!$C$2:$C$20000))</f>
        <v/>
      </c>
      <c r="E4103">
        <f>IF(A4103="","",6-CEILING(PERCENTRANK.INC($B$3:$B$6000,B4103,4)*5+0.000001,1))</f>
        <v/>
      </c>
      <c r="F4103">
        <f>IF(A4103="","",MAX(1,CEILING(PERCENTRANK.INC($C$3:$C$6000,C4103,4)*5+0.000001,1)))</f>
        <v/>
      </c>
      <c r="G4103">
        <f>IF(A4103="","",MAX(1,CEILING(PERCENTRANK.INC($D$3:$D$6000,D4103,4)*5+0.000001,1)))</f>
        <v/>
      </c>
      <c r="H4103">
        <f>IF(A4103="","",E4103&amp;F4103&amp;G4103)</f>
        <v/>
      </c>
      <c r="I4103">
        <f>IF(A4103="","",IF(AND(E4103&gt;=4,F4103&gt;=4,G4103&gt;=4),"Juara",IF(AND(F4103&gt;=4,E4103&gt;=3),"Setia",IF(AND(E4103=5,F4103&lt;=2,G4103&gt;=3),"Berpotensi",IF(AND(E4103&lt;=3,E4103&gt;=2,F4103&gt;=3),"Rawan",IF(AND(E4103&lt;=2,F4103&lt;=2),"Tidur","Umum"))))))</f>
        <v/>
      </c>
    </row>
    <row r="4104">
      <c r="B4104">
        <f>IF(A4104="","",$B$1-MAXIFS(Donasi!$A$2:$A$20000,Donasi!$B$2:$B$20000,A4104))</f>
        <v/>
      </c>
      <c r="C4104">
        <f>IF(A4104="","",COUNTIF(Donasi!$B$2:$B$20000,A4104))</f>
        <v/>
      </c>
      <c r="D4104">
        <f>IF(A4104="","",SUMIF(Donasi!$B$2:$B$20000,A4104,Donasi!$C$2:$C$20000))</f>
        <v/>
      </c>
      <c r="E4104">
        <f>IF(A4104="","",6-CEILING(PERCENTRANK.INC($B$3:$B$6000,B4104,4)*5+0.000001,1))</f>
        <v/>
      </c>
      <c r="F4104">
        <f>IF(A4104="","",MAX(1,CEILING(PERCENTRANK.INC($C$3:$C$6000,C4104,4)*5+0.000001,1)))</f>
        <v/>
      </c>
      <c r="G4104">
        <f>IF(A4104="","",MAX(1,CEILING(PERCENTRANK.INC($D$3:$D$6000,D4104,4)*5+0.000001,1)))</f>
        <v/>
      </c>
      <c r="H4104">
        <f>IF(A4104="","",E4104&amp;F4104&amp;G4104)</f>
        <v/>
      </c>
      <c r="I4104">
        <f>IF(A4104="","",IF(AND(E4104&gt;=4,F4104&gt;=4,G4104&gt;=4),"Juara",IF(AND(F4104&gt;=4,E4104&gt;=3),"Setia",IF(AND(E4104=5,F4104&lt;=2,G4104&gt;=3),"Berpotensi",IF(AND(E4104&lt;=3,E4104&gt;=2,F4104&gt;=3),"Rawan",IF(AND(E4104&lt;=2,F4104&lt;=2),"Tidur","Umum"))))))</f>
        <v/>
      </c>
    </row>
    <row r="4105">
      <c r="B4105">
        <f>IF(A4105="","",$B$1-MAXIFS(Donasi!$A$2:$A$20000,Donasi!$B$2:$B$20000,A4105))</f>
        <v/>
      </c>
      <c r="C4105">
        <f>IF(A4105="","",COUNTIF(Donasi!$B$2:$B$20000,A4105))</f>
        <v/>
      </c>
      <c r="D4105">
        <f>IF(A4105="","",SUMIF(Donasi!$B$2:$B$20000,A4105,Donasi!$C$2:$C$20000))</f>
        <v/>
      </c>
      <c r="E4105">
        <f>IF(A4105="","",6-CEILING(PERCENTRANK.INC($B$3:$B$6000,B4105,4)*5+0.000001,1))</f>
        <v/>
      </c>
      <c r="F4105">
        <f>IF(A4105="","",MAX(1,CEILING(PERCENTRANK.INC($C$3:$C$6000,C4105,4)*5+0.000001,1)))</f>
        <v/>
      </c>
      <c r="G4105">
        <f>IF(A4105="","",MAX(1,CEILING(PERCENTRANK.INC($D$3:$D$6000,D4105,4)*5+0.000001,1)))</f>
        <v/>
      </c>
      <c r="H4105">
        <f>IF(A4105="","",E4105&amp;F4105&amp;G4105)</f>
        <v/>
      </c>
      <c r="I4105">
        <f>IF(A4105="","",IF(AND(E4105&gt;=4,F4105&gt;=4,G4105&gt;=4),"Juara",IF(AND(F4105&gt;=4,E4105&gt;=3),"Setia",IF(AND(E4105=5,F4105&lt;=2,G4105&gt;=3),"Berpotensi",IF(AND(E4105&lt;=3,E4105&gt;=2,F4105&gt;=3),"Rawan",IF(AND(E4105&lt;=2,F4105&lt;=2),"Tidur","Umum"))))))</f>
        <v/>
      </c>
    </row>
    <row r="4106">
      <c r="B4106">
        <f>IF(A4106="","",$B$1-MAXIFS(Donasi!$A$2:$A$20000,Donasi!$B$2:$B$20000,A4106))</f>
        <v/>
      </c>
      <c r="C4106">
        <f>IF(A4106="","",COUNTIF(Donasi!$B$2:$B$20000,A4106))</f>
        <v/>
      </c>
      <c r="D4106">
        <f>IF(A4106="","",SUMIF(Donasi!$B$2:$B$20000,A4106,Donasi!$C$2:$C$20000))</f>
        <v/>
      </c>
      <c r="E4106">
        <f>IF(A4106="","",6-CEILING(PERCENTRANK.INC($B$3:$B$6000,B4106,4)*5+0.000001,1))</f>
        <v/>
      </c>
      <c r="F4106">
        <f>IF(A4106="","",MAX(1,CEILING(PERCENTRANK.INC($C$3:$C$6000,C4106,4)*5+0.000001,1)))</f>
        <v/>
      </c>
      <c r="G4106">
        <f>IF(A4106="","",MAX(1,CEILING(PERCENTRANK.INC($D$3:$D$6000,D4106,4)*5+0.000001,1)))</f>
        <v/>
      </c>
      <c r="H4106">
        <f>IF(A4106="","",E4106&amp;F4106&amp;G4106)</f>
        <v/>
      </c>
      <c r="I4106">
        <f>IF(A4106="","",IF(AND(E4106&gt;=4,F4106&gt;=4,G4106&gt;=4),"Juara",IF(AND(F4106&gt;=4,E4106&gt;=3),"Setia",IF(AND(E4106=5,F4106&lt;=2,G4106&gt;=3),"Berpotensi",IF(AND(E4106&lt;=3,E4106&gt;=2,F4106&gt;=3),"Rawan",IF(AND(E4106&lt;=2,F4106&lt;=2),"Tidur","Umum"))))))</f>
        <v/>
      </c>
    </row>
    <row r="4107">
      <c r="B4107">
        <f>IF(A4107="","",$B$1-MAXIFS(Donasi!$A$2:$A$20000,Donasi!$B$2:$B$20000,A4107))</f>
        <v/>
      </c>
      <c r="C4107">
        <f>IF(A4107="","",COUNTIF(Donasi!$B$2:$B$20000,A4107))</f>
        <v/>
      </c>
      <c r="D4107">
        <f>IF(A4107="","",SUMIF(Donasi!$B$2:$B$20000,A4107,Donasi!$C$2:$C$20000))</f>
        <v/>
      </c>
      <c r="E4107">
        <f>IF(A4107="","",6-CEILING(PERCENTRANK.INC($B$3:$B$6000,B4107,4)*5+0.000001,1))</f>
        <v/>
      </c>
      <c r="F4107">
        <f>IF(A4107="","",MAX(1,CEILING(PERCENTRANK.INC($C$3:$C$6000,C4107,4)*5+0.000001,1)))</f>
        <v/>
      </c>
      <c r="G4107">
        <f>IF(A4107="","",MAX(1,CEILING(PERCENTRANK.INC($D$3:$D$6000,D4107,4)*5+0.000001,1)))</f>
        <v/>
      </c>
      <c r="H4107">
        <f>IF(A4107="","",E4107&amp;F4107&amp;G4107)</f>
        <v/>
      </c>
      <c r="I4107">
        <f>IF(A4107="","",IF(AND(E4107&gt;=4,F4107&gt;=4,G4107&gt;=4),"Juara",IF(AND(F4107&gt;=4,E4107&gt;=3),"Setia",IF(AND(E4107=5,F4107&lt;=2,G4107&gt;=3),"Berpotensi",IF(AND(E4107&lt;=3,E4107&gt;=2,F4107&gt;=3),"Rawan",IF(AND(E4107&lt;=2,F4107&lt;=2),"Tidur","Umum"))))))</f>
        <v/>
      </c>
    </row>
    <row r="4108">
      <c r="B4108">
        <f>IF(A4108="","",$B$1-MAXIFS(Donasi!$A$2:$A$20000,Donasi!$B$2:$B$20000,A4108))</f>
        <v/>
      </c>
      <c r="C4108">
        <f>IF(A4108="","",COUNTIF(Donasi!$B$2:$B$20000,A4108))</f>
        <v/>
      </c>
      <c r="D4108">
        <f>IF(A4108="","",SUMIF(Donasi!$B$2:$B$20000,A4108,Donasi!$C$2:$C$20000))</f>
        <v/>
      </c>
      <c r="E4108">
        <f>IF(A4108="","",6-CEILING(PERCENTRANK.INC($B$3:$B$6000,B4108,4)*5+0.000001,1))</f>
        <v/>
      </c>
      <c r="F4108">
        <f>IF(A4108="","",MAX(1,CEILING(PERCENTRANK.INC($C$3:$C$6000,C4108,4)*5+0.000001,1)))</f>
        <v/>
      </c>
      <c r="G4108">
        <f>IF(A4108="","",MAX(1,CEILING(PERCENTRANK.INC($D$3:$D$6000,D4108,4)*5+0.000001,1)))</f>
        <v/>
      </c>
      <c r="H4108">
        <f>IF(A4108="","",E4108&amp;F4108&amp;G4108)</f>
        <v/>
      </c>
      <c r="I4108">
        <f>IF(A4108="","",IF(AND(E4108&gt;=4,F4108&gt;=4,G4108&gt;=4),"Juara",IF(AND(F4108&gt;=4,E4108&gt;=3),"Setia",IF(AND(E4108=5,F4108&lt;=2,G4108&gt;=3),"Berpotensi",IF(AND(E4108&lt;=3,E4108&gt;=2,F4108&gt;=3),"Rawan",IF(AND(E4108&lt;=2,F4108&lt;=2),"Tidur","Umum"))))))</f>
        <v/>
      </c>
    </row>
    <row r="4109">
      <c r="B4109">
        <f>IF(A4109="","",$B$1-MAXIFS(Donasi!$A$2:$A$20000,Donasi!$B$2:$B$20000,A4109))</f>
        <v/>
      </c>
      <c r="C4109">
        <f>IF(A4109="","",COUNTIF(Donasi!$B$2:$B$20000,A4109))</f>
        <v/>
      </c>
      <c r="D4109">
        <f>IF(A4109="","",SUMIF(Donasi!$B$2:$B$20000,A4109,Donasi!$C$2:$C$20000))</f>
        <v/>
      </c>
      <c r="E4109">
        <f>IF(A4109="","",6-CEILING(PERCENTRANK.INC($B$3:$B$6000,B4109,4)*5+0.000001,1))</f>
        <v/>
      </c>
      <c r="F4109">
        <f>IF(A4109="","",MAX(1,CEILING(PERCENTRANK.INC($C$3:$C$6000,C4109,4)*5+0.000001,1)))</f>
        <v/>
      </c>
      <c r="G4109">
        <f>IF(A4109="","",MAX(1,CEILING(PERCENTRANK.INC($D$3:$D$6000,D4109,4)*5+0.000001,1)))</f>
        <v/>
      </c>
      <c r="H4109">
        <f>IF(A4109="","",E4109&amp;F4109&amp;G4109)</f>
        <v/>
      </c>
      <c r="I4109">
        <f>IF(A4109="","",IF(AND(E4109&gt;=4,F4109&gt;=4,G4109&gt;=4),"Juara",IF(AND(F4109&gt;=4,E4109&gt;=3),"Setia",IF(AND(E4109=5,F4109&lt;=2,G4109&gt;=3),"Berpotensi",IF(AND(E4109&lt;=3,E4109&gt;=2,F4109&gt;=3),"Rawan",IF(AND(E4109&lt;=2,F4109&lt;=2),"Tidur","Umum"))))))</f>
        <v/>
      </c>
    </row>
    <row r="4110">
      <c r="B4110">
        <f>IF(A4110="","",$B$1-MAXIFS(Donasi!$A$2:$A$20000,Donasi!$B$2:$B$20000,A4110))</f>
        <v/>
      </c>
      <c r="C4110">
        <f>IF(A4110="","",COUNTIF(Donasi!$B$2:$B$20000,A4110))</f>
        <v/>
      </c>
      <c r="D4110">
        <f>IF(A4110="","",SUMIF(Donasi!$B$2:$B$20000,A4110,Donasi!$C$2:$C$20000))</f>
        <v/>
      </c>
      <c r="E4110">
        <f>IF(A4110="","",6-CEILING(PERCENTRANK.INC($B$3:$B$6000,B4110,4)*5+0.000001,1))</f>
        <v/>
      </c>
      <c r="F4110">
        <f>IF(A4110="","",MAX(1,CEILING(PERCENTRANK.INC($C$3:$C$6000,C4110,4)*5+0.000001,1)))</f>
        <v/>
      </c>
      <c r="G4110">
        <f>IF(A4110="","",MAX(1,CEILING(PERCENTRANK.INC($D$3:$D$6000,D4110,4)*5+0.000001,1)))</f>
        <v/>
      </c>
      <c r="H4110">
        <f>IF(A4110="","",E4110&amp;F4110&amp;G4110)</f>
        <v/>
      </c>
      <c r="I4110">
        <f>IF(A4110="","",IF(AND(E4110&gt;=4,F4110&gt;=4,G4110&gt;=4),"Juara",IF(AND(F4110&gt;=4,E4110&gt;=3),"Setia",IF(AND(E4110=5,F4110&lt;=2,G4110&gt;=3),"Berpotensi",IF(AND(E4110&lt;=3,E4110&gt;=2,F4110&gt;=3),"Rawan",IF(AND(E4110&lt;=2,F4110&lt;=2),"Tidur","Umum"))))))</f>
        <v/>
      </c>
    </row>
    <row r="4111">
      <c r="B4111">
        <f>IF(A4111="","",$B$1-MAXIFS(Donasi!$A$2:$A$20000,Donasi!$B$2:$B$20000,A4111))</f>
        <v/>
      </c>
      <c r="C4111">
        <f>IF(A4111="","",COUNTIF(Donasi!$B$2:$B$20000,A4111))</f>
        <v/>
      </c>
      <c r="D4111">
        <f>IF(A4111="","",SUMIF(Donasi!$B$2:$B$20000,A4111,Donasi!$C$2:$C$20000))</f>
        <v/>
      </c>
      <c r="E4111">
        <f>IF(A4111="","",6-CEILING(PERCENTRANK.INC($B$3:$B$6000,B4111,4)*5+0.000001,1))</f>
        <v/>
      </c>
      <c r="F4111">
        <f>IF(A4111="","",MAX(1,CEILING(PERCENTRANK.INC($C$3:$C$6000,C4111,4)*5+0.000001,1)))</f>
        <v/>
      </c>
      <c r="G4111">
        <f>IF(A4111="","",MAX(1,CEILING(PERCENTRANK.INC($D$3:$D$6000,D4111,4)*5+0.000001,1)))</f>
        <v/>
      </c>
      <c r="H4111">
        <f>IF(A4111="","",E4111&amp;F4111&amp;G4111)</f>
        <v/>
      </c>
      <c r="I4111">
        <f>IF(A4111="","",IF(AND(E4111&gt;=4,F4111&gt;=4,G4111&gt;=4),"Juara",IF(AND(F4111&gt;=4,E4111&gt;=3),"Setia",IF(AND(E4111=5,F4111&lt;=2,G4111&gt;=3),"Berpotensi",IF(AND(E4111&lt;=3,E4111&gt;=2,F4111&gt;=3),"Rawan",IF(AND(E4111&lt;=2,F4111&lt;=2),"Tidur","Umum"))))))</f>
        <v/>
      </c>
    </row>
    <row r="4112">
      <c r="B4112">
        <f>IF(A4112="","",$B$1-MAXIFS(Donasi!$A$2:$A$20000,Donasi!$B$2:$B$20000,A4112))</f>
        <v/>
      </c>
      <c r="C4112">
        <f>IF(A4112="","",COUNTIF(Donasi!$B$2:$B$20000,A4112))</f>
        <v/>
      </c>
      <c r="D4112">
        <f>IF(A4112="","",SUMIF(Donasi!$B$2:$B$20000,A4112,Donasi!$C$2:$C$20000))</f>
        <v/>
      </c>
      <c r="E4112">
        <f>IF(A4112="","",6-CEILING(PERCENTRANK.INC($B$3:$B$6000,B4112,4)*5+0.000001,1))</f>
        <v/>
      </c>
      <c r="F4112">
        <f>IF(A4112="","",MAX(1,CEILING(PERCENTRANK.INC($C$3:$C$6000,C4112,4)*5+0.000001,1)))</f>
        <v/>
      </c>
      <c r="G4112">
        <f>IF(A4112="","",MAX(1,CEILING(PERCENTRANK.INC($D$3:$D$6000,D4112,4)*5+0.000001,1)))</f>
        <v/>
      </c>
      <c r="H4112">
        <f>IF(A4112="","",E4112&amp;F4112&amp;G4112)</f>
        <v/>
      </c>
      <c r="I4112">
        <f>IF(A4112="","",IF(AND(E4112&gt;=4,F4112&gt;=4,G4112&gt;=4),"Juara",IF(AND(F4112&gt;=4,E4112&gt;=3),"Setia",IF(AND(E4112=5,F4112&lt;=2,G4112&gt;=3),"Berpotensi",IF(AND(E4112&lt;=3,E4112&gt;=2,F4112&gt;=3),"Rawan",IF(AND(E4112&lt;=2,F4112&lt;=2),"Tidur","Umum"))))))</f>
        <v/>
      </c>
    </row>
    <row r="4113">
      <c r="B4113">
        <f>IF(A4113="","",$B$1-MAXIFS(Donasi!$A$2:$A$20000,Donasi!$B$2:$B$20000,A4113))</f>
        <v/>
      </c>
      <c r="C4113">
        <f>IF(A4113="","",COUNTIF(Donasi!$B$2:$B$20000,A4113))</f>
        <v/>
      </c>
      <c r="D4113">
        <f>IF(A4113="","",SUMIF(Donasi!$B$2:$B$20000,A4113,Donasi!$C$2:$C$20000))</f>
        <v/>
      </c>
      <c r="E4113">
        <f>IF(A4113="","",6-CEILING(PERCENTRANK.INC($B$3:$B$6000,B4113,4)*5+0.000001,1))</f>
        <v/>
      </c>
      <c r="F4113">
        <f>IF(A4113="","",MAX(1,CEILING(PERCENTRANK.INC($C$3:$C$6000,C4113,4)*5+0.000001,1)))</f>
        <v/>
      </c>
      <c r="G4113">
        <f>IF(A4113="","",MAX(1,CEILING(PERCENTRANK.INC($D$3:$D$6000,D4113,4)*5+0.000001,1)))</f>
        <v/>
      </c>
      <c r="H4113">
        <f>IF(A4113="","",E4113&amp;F4113&amp;G4113)</f>
        <v/>
      </c>
      <c r="I4113">
        <f>IF(A4113="","",IF(AND(E4113&gt;=4,F4113&gt;=4,G4113&gt;=4),"Juara",IF(AND(F4113&gt;=4,E4113&gt;=3),"Setia",IF(AND(E4113=5,F4113&lt;=2,G4113&gt;=3),"Berpotensi",IF(AND(E4113&lt;=3,E4113&gt;=2,F4113&gt;=3),"Rawan",IF(AND(E4113&lt;=2,F4113&lt;=2),"Tidur","Umum"))))))</f>
        <v/>
      </c>
    </row>
    <row r="4114">
      <c r="B4114">
        <f>IF(A4114="","",$B$1-MAXIFS(Donasi!$A$2:$A$20000,Donasi!$B$2:$B$20000,A4114))</f>
        <v/>
      </c>
      <c r="C4114">
        <f>IF(A4114="","",COUNTIF(Donasi!$B$2:$B$20000,A4114))</f>
        <v/>
      </c>
      <c r="D4114">
        <f>IF(A4114="","",SUMIF(Donasi!$B$2:$B$20000,A4114,Donasi!$C$2:$C$20000))</f>
        <v/>
      </c>
      <c r="E4114">
        <f>IF(A4114="","",6-CEILING(PERCENTRANK.INC($B$3:$B$6000,B4114,4)*5+0.000001,1))</f>
        <v/>
      </c>
      <c r="F4114">
        <f>IF(A4114="","",MAX(1,CEILING(PERCENTRANK.INC($C$3:$C$6000,C4114,4)*5+0.000001,1)))</f>
        <v/>
      </c>
      <c r="G4114">
        <f>IF(A4114="","",MAX(1,CEILING(PERCENTRANK.INC($D$3:$D$6000,D4114,4)*5+0.000001,1)))</f>
        <v/>
      </c>
      <c r="H4114">
        <f>IF(A4114="","",E4114&amp;F4114&amp;G4114)</f>
        <v/>
      </c>
      <c r="I4114">
        <f>IF(A4114="","",IF(AND(E4114&gt;=4,F4114&gt;=4,G4114&gt;=4),"Juara",IF(AND(F4114&gt;=4,E4114&gt;=3),"Setia",IF(AND(E4114=5,F4114&lt;=2,G4114&gt;=3),"Berpotensi",IF(AND(E4114&lt;=3,E4114&gt;=2,F4114&gt;=3),"Rawan",IF(AND(E4114&lt;=2,F4114&lt;=2),"Tidur","Umum"))))))</f>
        <v/>
      </c>
    </row>
    <row r="4115">
      <c r="B4115">
        <f>IF(A4115="","",$B$1-MAXIFS(Donasi!$A$2:$A$20000,Donasi!$B$2:$B$20000,A4115))</f>
        <v/>
      </c>
      <c r="C4115">
        <f>IF(A4115="","",COUNTIF(Donasi!$B$2:$B$20000,A4115))</f>
        <v/>
      </c>
      <c r="D4115">
        <f>IF(A4115="","",SUMIF(Donasi!$B$2:$B$20000,A4115,Donasi!$C$2:$C$20000))</f>
        <v/>
      </c>
      <c r="E4115">
        <f>IF(A4115="","",6-CEILING(PERCENTRANK.INC($B$3:$B$6000,B4115,4)*5+0.000001,1))</f>
        <v/>
      </c>
      <c r="F4115">
        <f>IF(A4115="","",MAX(1,CEILING(PERCENTRANK.INC($C$3:$C$6000,C4115,4)*5+0.000001,1)))</f>
        <v/>
      </c>
      <c r="G4115">
        <f>IF(A4115="","",MAX(1,CEILING(PERCENTRANK.INC($D$3:$D$6000,D4115,4)*5+0.000001,1)))</f>
        <v/>
      </c>
      <c r="H4115">
        <f>IF(A4115="","",E4115&amp;F4115&amp;G4115)</f>
        <v/>
      </c>
      <c r="I4115">
        <f>IF(A4115="","",IF(AND(E4115&gt;=4,F4115&gt;=4,G4115&gt;=4),"Juara",IF(AND(F4115&gt;=4,E4115&gt;=3),"Setia",IF(AND(E4115=5,F4115&lt;=2,G4115&gt;=3),"Berpotensi",IF(AND(E4115&lt;=3,E4115&gt;=2,F4115&gt;=3),"Rawan",IF(AND(E4115&lt;=2,F4115&lt;=2),"Tidur","Umum"))))))</f>
        <v/>
      </c>
    </row>
    <row r="4116">
      <c r="B4116">
        <f>IF(A4116="","",$B$1-MAXIFS(Donasi!$A$2:$A$20000,Donasi!$B$2:$B$20000,A4116))</f>
        <v/>
      </c>
      <c r="C4116">
        <f>IF(A4116="","",COUNTIF(Donasi!$B$2:$B$20000,A4116))</f>
        <v/>
      </c>
      <c r="D4116">
        <f>IF(A4116="","",SUMIF(Donasi!$B$2:$B$20000,A4116,Donasi!$C$2:$C$20000))</f>
        <v/>
      </c>
      <c r="E4116">
        <f>IF(A4116="","",6-CEILING(PERCENTRANK.INC($B$3:$B$6000,B4116,4)*5+0.000001,1))</f>
        <v/>
      </c>
      <c r="F4116">
        <f>IF(A4116="","",MAX(1,CEILING(PERCENTRANK.INC($C$3:$C$6000,C4116,4)*5+0.000001,1)))</f>
        <v/>
      </c>
      <c r="G4116">
        <f>IF(A4116="","",MAX(1,CEILING(PERCENTRANK.INC($D$3:$D$6000,D4116,4)*5+0.000001,1)))</f>
        <v/>
      </c>
      <c r="H4116">
        <f>IF(A4116="","",E4116&amp;F4116&amp;G4116)</f>
        <v/>
      </c>
      <c r="I4116">
        <f>IF(A4116="","",IF(AND(E4116&gt;=4,F4116&gt;=4,G4116&gt;=4),"Juara",IF(AND(F4116&gt;=4,E4116&gt;=3),"Setia",IF(AND(E4116=5,F4116&lt;=2,G4116&gt;=3),"Berpotensi",IF(AND(E4116&lt;=3,E4116&gt;=2,F4116&gt;=3),"Rawan",IF(AND(E4116&lt;=2,F4116&lt;=2),"Tidur","Umum"))))))</f>
        <v/>
      </c>
    </row>
    <row r="4117">
      <c r="B4117">
        <f>IF(A4117="","",$B$1-MAXIFS(Donasi!$A$2:$A$20000,Donasi!$B$2:$B$20000,A4117))</f>
        <v/>
      </c>
      <c r="C4117">
        <f>IF(A4117="","",COUNTIF(Donasi!$B$2:$B$20000,A4117))</f>
        <v/>
      </c>
      <c r="D4117">
        <f>IF(A4117="","",SUMIF(Donasi!$B$2:$B$20000,A4117,Donasi!$C$2:$C$20000))</f>
        <v/>
      </c>
      <c r="E4117">
        <f>IF(A4117="","",6-CEILING(PERCENTRANK.INC($B$3:$B$6000,B4117,4)*5+0.000001,1))</f>
        <v/>
      </c>
      <c r="F4117">
        <f>IF(A4117="","",MAX(1,CEILING(PERCENTRANK.INC($C$3:$C$6000,C4117,4)*5+0.000001,1)))</f>
        <v/>
      </c>
      <c r="G4117">
        <f>IF(A4117="","",MAX(1,CEILING(PERCENTRANK.INC($D$3:$D$6000,D4117,4)*5+0.000001,1)))</f>
        <v/>
      </c>
      <c r="H4117">
        <f>IF(A4117="","",E4117&amp;F4117&amp;G4117)</f>
        <v/>
      </c>
      <c r="I4117">
        <f>IF(A4117="","",IF(AND(E4117&gt;=4,F4117&gt;=4,G4117&gt;=4),"Juara",IF(AND(F4117&gt;=4,E4117&gt;=3),"Setia",IF(AND(E4117=5,F4117&lt;=2,G4117&gt;=3),"Berpotensi",IF(AND(E4117&lt;=3,E4117&gt;=2,F4117&gt;=3),"Rawan",IF(AND(E4117&lt;=2,F4117&lt;=2),"Tidur","Umum"))))))</f>
        <v/>
      </c>
    </row>
    <row r="4118">
      <c r="B4118">
        <f>IF(A4118="","",$B$1-MAXIFS(Donasi!$A$2:$A$20000,Donasi!$B$2:$B$20000,A4118))</f>
        <v/>
      </c>
      <c r="C4118">
        <f>IF(A4118="","",COUNTIF(Donasi!$B$2:$B$20000,A4118))</f>
        <v/>
      </c>
      <c r="D4118">
        <f>IF(A4118="","",SUMIF(Donasi!$B$2:$B$20000,A4118,Donasi!$C$2:$C$20000))</f>
        <v/>
      </c>
      <c r="E4118">
        <f>IF(A4118="","",6-CEILING(PERCENTRANK.INC($B$3:$B$6000,B4118,4)*5+0.000001,1))</f>
        <v/>
      </c>
      <c r="F4118">
        <f>IF(A4118="","",MAX(1,CEILING(PERCENTRANK.INC($C$3:$C$6000,C4118,4)*5+0.000001,1)))</f>
        <v/>
      </c>
      <c r="G4118">
        <f>IF(A4118="","",MAX(1,CEILING(PERCENTRANK.INC($D$3:$D$6000,D4118,4)*5+0.000001,1)))</f>
        <v/>
      </c>
      <c r="H4118">
        <f>IF(A4118="","",E4118&amp;F4118&amp;G4118)</f>
        <v/>
      </c>
      <c r="I4118">
        <f>IF(A4118="","",IF(AND(E4118&gt;=4,F4118&gt;=4,G4118&gt;=4),"Juara",IF(AND(F4118&gt;=4,E4118&gt;=3),"Setia",IF(AND(E4118=5,F4118&lt;=2,G4118&gt;=3),"Berpotensi",IF(AND(E4118&lt;=3,E4118&gt;=2,F4118&gt;=3),"Rawan",IF(AND(E4118&lt;=2,F4118&lt;=2),"Tidur","Umum"))))))</f>
        <v/>
      </c>
    </row>
    <row r="4119">
      <c r="B4119">
        <f>IF(A4119="","",$B$1-MAXIFS(Donasi!$A$2:$A$20000,Donasi!$B$2:$B$20000,A4119))</f>
        <v/>
      </c>
      <c r="C4119">
        <f>IF(A4119="","",COUNTIF(Donasi!$B$2:$B$20000,A4119))</f>
        <v/>
      </c>
      <c r="D4119">
        <f>IF(A4119="","",SUMIF(Donasi!$B$2:$B$20000,A4119,Donasi!$C$2:$C$20000))</f>
        <v/>
      </c>
      <c r="E4119">
        <f>IF(A4119="","",6-CEILING(PERCENTRANK.INC($B$3:$B$6000,B4119,4)*5+0.000001,1))</f>
        <v/>
      </c>
      <c r="F4119">
        <f>IF(A4119="","",MAX(1,CEILING(PERCENTRANK.INC($C$3:$C$6000,C4119,4)*5+0.000001,1)))</f>
        <v/>
      </c>
      <c r="G4119">
        <f>IF(A4119="","",MAX(1,CEILING(PERCENTRANK.INC($D$3:$D$6000,D4119,4)*5+0.000001,1)))</f>
        <v/>
      </c>
      <c r="H4119">
        <f>IF(A4119="","",E4119&amp;F4119&amp;G4119)</f>
        <v/>
      </c>
      <c r="I4119">
        <f>IF(A4119="","",IF(AND(E4119&gt;=4,F4119&gt;=4,G4119&gt;=4),"Juara",IF(AND(F4119&gt;=4,E4119&gt;=3),"Setia",IF(AND(E4119=5,F4119&lt;=2,G4119&gt;=3),"Berpotensi",IF(AND(E4119&lt;=3,E4119&gt;=2,F4119&gt;=3),"Rawan",IF(AND(E4119&lt;=2,F4119&lt;=2),"Tidur","Umum"))))))</f>
        <v/>
      </c>
    </row>
    <row r="4120">
      <c r="B4120">
        <f>IF(A4120="","",$B$1-MAXIFS(Donasi!$A$2:$A$20000,Donasi!$B$2:$B$20000,A4120))</f>
        <v/>
      </c>
      <c r="C4120">
        <f>IF(A4120="","",COUNTIF(Donasi!$B$2:$B$20000,A4120))</f>
        <v/>
      </c>
      <c r="D4120">
        <f>IF(A4120="","",SUMIF(Donasi!$B$2:$B$20000,A4120,Donasi!$C$2:$C$20000))</f>
        <v/>
      </c>
      <c r="E4120">
        <f>IF(A4120="","",6-CEILING(PERCENTRANK.INC($B$3:$B$6000,B4120,4)*5+0.000001,1))</f>
        <v/>
      </c>
      <c r="F4120">
        <f>IF(A4120="","",MAX(1,CEILING(PERCENTRANK.INC($C$3:$C$6000,C4120,4)*5+0.000001,1)))</f>
        <v/>
      </c>
      <c r="G4120">
        <f>IF(A4120="","",MAX(1,CEILING(PERCENTRANK.INC($D$3:$D$6000,D4120,4)*5+0.000001,1)))</f>
        <v/>
      </c>
      <c r="H4120">
        <f>IF(A4120="","",E4120&amp;F4120&amp;G4120)</f>
        <v/>
      </c>
      <c r="I4120">
        <f>IF(A4120="","",IF(AND(E4120&gt;=4,F4120&gt;=4,G4120&gt;=4),"Juara",IF(AND(F4120&gt;=4,E4120&gt;=3),"Setia",IF(AND(E4120=5,F4120&lt;=2,G4120&gt;=3),"Berpotensi",IF(AND(E4120&lt;=3,E4120&gt;=2,F4120&gt;=3),"Rawan",IF(AND(E4120&lt;=2,F4120&lt;=2),"Tidur","Umum"))))))</f>
        <v/>
      </c>
    </row>
    <row r="4121">
      <c r="B4121">
        <f>IF(A4121="","",$B$1-MAXIFS(Donasi!$A$2:$A$20000,Donasi!$B$2:$B$20000,A4121))</f>
        <v/>
      </c>
      <c r="C4121">
        <f>IF(A4121="","",COUNTIF(Donasi!$B$2:$B$20000,A4121))</f>
        <v/>
      </c>
      <c r="D4121">
        <f>IF(A4121="","",SUMIF(Donasi!$B$2:$B$20000,A4121,Donasi!$C$2:$C$20000))</f>
        <v/>
      </c>
      <c r="E4121">
        <f>IF(A4121="","",6-CEILING(PERCENTRANK.INC($B$3:$B$6000,B4121,4)*5+0.000001,1))</f>
        <v/>
      </c>
      <c r="F4121">
        <f>IF(A4121="","",MAX(1,CEILING(PERCENTRANK.INC($C$3:$C$6000,C4121,4)*5+0.000001,1)))</f>
        <v/>
      </c>
      <c r="G4121">
        <f>IF(A4121="","",MAX(1,CEILING(PERCENTRANK.INC($D$3:$D$6000,D4121,4)*5+0.000001,1)))</f>
        <v/>
      </c>
      <c r="H4121">
        <f>IF(A4121="","",E4121&amp;F4121&amp;G4121)</f>
        <v/>
      </c>
      <c r="I4121">
        <f>IF(A4121="","",IF(AND(E4121&gt;=4,F4121&gt;=4,G4121&gt;=4),"Juara",IF(AND(F4121&gt;=4,E4121&gt;=3),"Setia",IF(AND(E4121=5,F4121&lt;=2,G4121&gt;=3),"Berpotensi",IF(AND(E4121&lt;=3,E4121&gt;=2,F4121&gt;=3),"Rawan",IF(AND(E4121&lt;=2,F4121&lt;=2),"Tidur","Umum"))))))</f>
        <v/>
      </c>
    </row>
    <row r="4122">
      <c r="B4122">
        <f>IF(A4122="","",$B$1-MAXIFS(Donasi!$A$2:$A$20000,Donasi!$B$2:$B$20000,A4122))</f>
        <v/>
      </c>
      <c r="C4122">
        <f>IF(A4122="","",COUNTIF(Donasi!$B$2:$B$20000,A4122))</f>
        <v/>
      </c>
      <c r="D4122">
        <f>IF(A4122="","",SUMIF(Donasi!$B$2:$B$20000,A4122,Donasi!$C$2:$C$20000))</f>
        <v/>
      </c>
      <c r="E4122">
        <f>IF(A4122="","",6-CEILING(PERCENTRANK.INC($B$3:$B$6000,B4122,4)*5+0.000001,1))</f>
        <v/>
      </c>
      <c r="F4122">
        <f>IF(A4122="","",MAX(1,CEILING(PERCENTRANK.INC($C$3:$C$6000,C4122,4)*5+0.000001,1)))</f>
        <v/>
      </c>
      <c r="G4122">
        <f>IF(A4122="","",MAX(1,CEILING(PERCENTRANK.INC($D$3:$D$6000,D4122,4)*5+0.000001,1)))</f>
        <v/>
      </c>
      <c r="H4122">
        <f>IF(A4122="","",E4122&amp;F4122&amp;G4122)</f>
        <v/>
      </c>
      <c r="I4122">
        <f>IF(A4122="","",IF(AND(E4122&gt;=4,F4122&gt;=4,G4122&gt;=4),"Juara",IF(AND(F4122&gt;=4,E4122&gt;=3),"Setia",IF(AND(E4122=5,F4122&lt;=2,G4122&gt;=3),"Berpotensi",IF(AND(E4122&lt;=3,E4122&gt;=2,F4122&gt;=3),"Rawan",IF(AND(E4122&lt;=2,F4122&lt;=2),"Tidur","Umum"))))))</f>
        <v/>
      </c>
    </row>
    <row r="4123">
      <c r="B4123">
        <f>IF(A4123="","",$B$1-MAXIFS(Donasi!$A$2:$A$20000,Donasi!$B$2:$B$20000,A4123))</f>
        <v/>
      </c>
      <c r="C4123">
        <f>IF(A4123="","",COUNTIF(Donasi!$B$2:$B$20000,A4123))</f>
        <v/>
      </c>
      <c r="D4123">
        <f>IF(A4123="","",SUMIF(Donasi!$B$2:$B$20000,A4123,Donasi!$C$2:$C$20000))</f>
        <v/>
      </c>
      <c r="E4123">
        <f>IF(A4123="","",6-CEILING(PERCENTRANK.INC($B$3:$B$6000,B4123,4)*5+0.000001,1))</f>
        <v/>
      </c>
      <c r="F4123">
        <f>IF(A4123="","",MAX(1,CEILING(PERCENTRANK.INC($C$3:$C$6000,C4123,4)*5+0.000001,1)))</f>
        <v/>
      </c>
      <c r="G4123">
        <f>IF(A4123="","",MAX(1,CEILING(PERCENTRANK.INC($D$3:$D$6000,D4123,4)*5+0.000001,1)))</f>
        <v/>
      </c>
      <c r="H4123">
        <f>IF(A4123="","",E4123&amp;F4123&amp;G4123)</f>
        <v/>
      </c>
      <c r="I4123">
        <f>IF(A4123="","",IF(AND(E4123&gt;=4,F4123&gt;=4,G4123&gt;=4),"Juara",IF(AND(F4123&gt;=4,E4123&gt;=3),"Setia",IF(AND(E4123=5,F4123&lt;=2,G4123&gt;=3),"Berpotensi",IF(AND(E4123&lt;=3,E4123&gt;=2,F4123&gt;=3),"Rawan",IF(AND(E4123&lt;=2,F4123&lt;=2),"Tidur","Umum"))))))</f>
        <v/>
      </c>
    </row>
    <row r="4124">
      <c r="B4124">
        <f>IF(A4124="","",$B$1-MAXIFS(Donasi!$A$2:$A$20000,Donasi!$B$2:$B$20000,A4124))</f>
        <v/>
      </c>
      <c r="C4124">
        <f>IF(A4124="","",COUNTIF(Donasi!$B$2:$B$20000,A4124))</f>
        <v/>
      </c>
      <c r="D4124">
        <f>IF(A4124="","",SUMIF(Donasi!$B$2:$B$20000,A4124,Donasi!$C$2:$C$20000))</f>
        <v/>
      </c>
      <c r="E4124">
        <f>IF(A4124="","",6-CEILING(PERCENTRANK.INC($B$3:$B$6000,B4124,4)*5+0.000001,1))</f>
        <v/>
      </c>
      <c r="F4124">
        <f>IF(A4124="","",MAX(1,CEILING(PERCENTRANK.INC($C$3:$C$6000,C4124,4)*5+0.000001,1)))</f>
        <v/>
      </c>
      <c r="G4124">
        <f>IF(A4124="","",MAX(1,CEILING(PERCENTRANK.INC($D$3:$D$6000,D4124,4)*5+0.000001,1)))</f>
        <v/>
      </c>
      <c r="H4124">
        <f>IF(A4124="","",E4124&amp;F4124&amp;G4124)</f>
        <v/>
      </c>
      <c r="I4124">
        <f>IF(A4124="","",IF(AND(E4124&gt;=4,F4124&gt;=4,G4124&gt;=4),"Juara",IF(AND(F4124&gt;=4,E4124&gt;=3),"Setia",IF(AND(E4124=5,F4124&lt;=2,G4124&gt;=3),"Berpotensi",IF(AND(E4124&lt;=3,E4124&gt;=2,F4124&gt;=3),"Rawan",IF(AND(E4124&lt;=2,F4124&lt;=2),"Tidur","Umum"))))))</f>
        <v/>
      </c>
    </row>
    <row r="4125">
      <c r="B4125">
        <f>IF(A4125="","",$B$1-MAXIFS(Donasi!$A$2:$A$20000,Donasi!$B$2:$B$20000,A4125))</f>
        <v/>
      </c>
      <c r="C4125">
        <f>IF(A4125="","",COUNTIF(Donasi!$B$2:$B$20000,A4125))</f>
        <v/>
      </c>
      <c r="D4125">
        <f>IF(A4125="","",SUMIF(Donasi!$B$2:$B$20000,A4125,Donasi!$C$2:$C$20000))</f>
        <v/>
      </c>
      <c r="E4125">
        <f>IF(A4125="","",6-CEILING(PERCENTRANK.INC($B$3:$B$6000,B4125,4)*5+0.000001,1))</f>
        <v/>
      </c>
      <c r="F4125">
        <f>IF(A4125="","",MAX(1,CEILING(PERCENTRANK.INC($C$3:$C$6000,C4125,4)*5+0.000001,1)))</f>
        <v/>
      </c>
      <c r="G4125">
        <f>IF(A4125="","",MAX(1,CEILING(PERCENTRANK.INC($D$3:$D$6000,D4125,4)*5+0.000001,1)))</f>
        <v/>
      </c>
      <c r="H4125">
        <f>IF(A4125="","",E4125&amp;F4125&amp;G4125)</f>
        <v/>
      </c>
      <c r="I4125">
        <f>IF(A4125="","",IF(AND(E4125&gt;=4,F4125&gt;=4,G4125&gt;=4),"Juara",IF(AND(F4125&gt;=4,E4125&gt;=3),"Setia",IF(AND(E4125=5,F4125&lt;=2,G4125&gt;=3),"Berpotensi",IF(AND(E4125&lt;=3,E4125&gt;=2,F4125&gt;=3),"Rawan",IF(AND(E4125&lt;=2,F4125&lt;=2),"Tidur","Umum"))))))</f>
        <v/>
      </c>
    </row>
    <row r="4126">
      <c r="B4126">
        <f>IF(A4126="","",$B$1-MAXIFS(Donasi!$A$2:$A$20000,Donasi!$B$2:$B$20000,A4126))</f>
        <v/>
      </c>
      <c r="C4126">
        <f>IF(A4126="","",COUNTIF(Donasi!$B$2:$B$20000,A4126))</f>
        <v/>
      </c>
      <c r="D4126">
        <f>IF(A4126="","",SUMIF(Donasi!$B$2:$B$20000,A4126,Donasi!$C$2:$C$20000))</f>
        <v/>
      </c>
      <c r="E4126">
        <f>IF(A4126="","",6-CEILING(PERCENTRANK.INC($B$3:$B$6000,B4126,4)*5+0.000001,1))</f>
        <v/>
      </c>
      <c r="F4126">
        <f>IF(A4126="","",MAX(1,CEILING(PERCENTRANK.INC($C$3:$C$6000,C4126,4)*5+0.000001,1)))</f>
        <v/>
      </c>
      <c r="G4126">
        <f>IF(A4126="","",MAX(1,CEILING(PERCENTRANK.INC($D$3:$D$6000,D4126,4)*5+0.000001,1)))</f>
        <v/>
      </c>
      <c r="H4126">
        <f>IF(A4126="","",E4126&amp;F4126&amp;G4126)</f>
        <v/>
      </c>
      <c r="I4126">
        <f>IF(A4126="","",IF(AND(E4126&gt;=4,F4126&gt;=4,G4126&gt;=4),"Juara",IF(AND(F4126&gt;=4,E4126&gt;=3),"Setia",IF(AND(E4126=5,F4126&lt;=2,G4126&gt;=3),"Berpotensi",IF(AND(E4126&lt;=3,E4126&gt;=2,F4126&gt;=3),"Rawan",IF(AND(E4126&lt;=2,F4126&lt;=2),"Tidur","Umum"))))))</f>
        <v/>
      </c>
    </row>
    <row r="4127">
      <c r="B4127">
        <f>IF(A4127="","",$B$1-MAXIFS(Donasi!$A$2:$A$20000,Donasi!$B$2:$B$20000,A4127))</f>
        <v/>
      </c>
      <c r="C4127">
        <f>IF(A4127="","",COUNTIF(Donasi!$B$2:$B$20000,A4127))</f>
        <v/>
      </c>
      <c r="D4127">
        <f>IF(A4127="","",SUMIF(Donasi!$B$2:$B$20000,A4127,Donasi!$C$2:$C$20000))</f>
        <v/>
      </c>
      <c r="E4127">
        <f>IF(A4127="","",6-CEILING(PERCENTRANK.INC($B$3:$B$6000,B4127,4)*5+0.000001,1))</f>
        <v/>
      </c>
      <c r="F4127">
        <f>IF(A4127="","",MAX(1,CEILING(PERCENTRANK.INC($C$3:$C$6000,C4127,4)*5+0.000001,1)))</f>
        <v/>
      </c>
      <c r="G4127">
        <f>IF(A4127="","",MAX(1,CEILING(PERCENTRANK.INC($D$3:$D$6000,D4127,4)*5+0.000001,1)))</f>
        <v/>
      </c>
      <c r="H4127">
        <f>IF(A4127="","",E4127&amp;F4127&amp;G4127)</f>
        <v/>
      </c>
      <c r="I4127">
        <f>IF(A4127="","",IF(AND(E4127&gt;=4,F4127&gt;=4,G4127&gt;=4),"Juara",IF(AND(F4127&gt;=4,E4127&gt;=3),"Setia",IF(AND(E4127=5,F4127&lt;=2,G4127&gt;=3),"Berpotensi",IF(AND(E4127&lt;=3,E4127&gt;=2,F4127&gt;=3),"Rawan",IF(AND(E4127&lt;=2,F4127&lt;=2),"Tidur","Umum"))))))</f>
        <v/>
      </c>
    </row>
    <row r="4128">
      <c r="B4128">
        <f>IF(A4128="","",$B$1-MAXIFS(Donasi!$A$2:$A$20000,Donasi!$B$2:$B$20000,A4128))</f>
        <v/>
      </c>
      <c r="C4128">
        <f>IF(A4128="","",COUNTIF(Donasi!$B$2:$B$20000,A4128))</f>
        <v/>
      </c>
      <c r="D4128">
        <f>IF(A4128="","",SUMIF(Donasi!$B$2:$B$20000,A4128,Donasi!$C$2:$C$20000))</f>
        <v/>
      </c>
      <c r="E4128">
        <f>IF(A4128="","",6-CEILING(PERCENTRANK.INC($B$3:$B$6000,B4128,4)*5+0.000001,1))</f>
        <v/>
      </c>
      <c r="F4128">
        <f>IF(A4128="","",MAX(1,CEILING(PERCENTRANK.INC($C$3:$C$6000,C4128,4)*5+0.000001,1)))</f>
        <v/>
      </c>
      <c r="G4128">
        <f>IF(A4128="","",MAX(1,CEILING(PERCENTRANK.INC($D$3:$D$6000,D4128,4)*5+0.000001,1)))</f>
        <v/>
      </c>
      <c r="H4128">
        <f>IF(A4128="","",E4128&amp;F4128&amp;G4128)</f>
        <v/>
      </c>
      <c r="I4128">
        <f>IF(A4128="","",IF(AND(E4128&gt;=4,F4128&gt;=4,G4128&gt;=4),"Juara",IF(AND(F4128&gt;=4,E4128&gt;=3),"Setia",IF(AND(E4128=5,F4128&lt;=2,G4128&gt;=3),"Berpotensi",IF(AND(E4128&lt;=3,E4128&gt;=2,F4128&gt;=3),"Rawan",IF(AND(E4128&lt;=2,F4128&lt;=2),"Tidur","Umum"))))))</f>
        <v/>
      </c>
    </row>
    <row r="4129">
      <c r="B4129">
        <f>IF(A4129="","",$B$1-MAXIFS(Donasi!$A$2:$A$20000,Donasi!$B$2:$B$20000,A4129))</f>
        <v/>
      </c>
      <c r="C4129">
        <f>IF(A4129="","",COUNTIF(Donasi!$B$2:$B$20000,A4129))</f>
        <v/>
      </c>
      <c r="D4129">
        <f>IF(A4129="","",SUMIF(Donasi!$B$2:$B$20000,A4129,Donasi!$C$2:$C$20000))</f>
        <v/>
      </c>
      <c r="E4129">
        <f>IF(A4129="","",6-CEILING(PERCENTRANK.INC($B$3:$B$6000,B4129,4)*5+0.000001,1))</f>
        <v/>
      </c>
      <c r="F4129">
        <f>IF(A4129="","",MAX(1,CEILING(PERCENTRANK.INC($C$3:$C$6000,C4129,4)*5+0.000001,1)))</f>
        <v/>
      </c>
      <c r="G4129">
        <f>IF(A4129="","",MAX(1,CEILING(PERCENTRANK.INC($D$3:$D$6000,D4129,4)*5+0.000001,1)))</f>
        <v/>
      </c>
      <c r="H4129">
        <f>IF(A4129="","",E4129&amp;F4129&amp;G4129)</f>
        <v/>
      </c>
      <c r="I4129">
        <f>IF(A4129="","",IF(AND(E4129&gt;=4,F4129&gt;=4,G4129&gt;=4),"Juara",IF(AND(F4129&gt;=4,E4129&gt;=3),"Setia",IF(AND(E4129=5,F4129&lt;=2,G4129&gt;=3),"Berpotensi",IF(AND(E4129&lt;=3,E4129&gt;=2,F4129&gt;=3),"Rawan",IF(AND(E4129&lt;=2,F4129&lt;=2),"Tidur","Umum"))))))</f>
        <v/>
      </c>
    </row>
    <row r="4130">
      <c r="B4130">
        <f>IF(A4130="","",$B$1-MAXIFS(Donasi!$A$2:$A$20000,Donasi!$B$2:$B$20000,A4130))</f>
        <v/>
      </c>
      <c r="C4130">
        <f>IF(A4130="","",COUNTIF(Donasi!$B$2:$B$20000,A4130))</f>
        <v/>
      </c>
      <c r="D4130">
        <f>IF(A4130="","",SUMIF(Donasi!$B$2:$B$20000,A4130,Donasi!$C$2:$C$20000))</f>
        <v/>
      </c>
      <c r="E4130">
        <f>IF(A4130="","",6-CEILING(PERCENTRANK.INC($B$3:$B$6000,B4130,4)*5+0.000001,1))</f>
        <v/>
      </c>
      <c r="F4130">
        <f>IF(A4130="","",MAX(1,CEILING(PERCENTRANK.INC($C$3:$C$6000,C4130,4)*5+0.000001,1)))</f>
        <v/>
      </c>
      <c r="G4130">
        <f>IF(A4130="","",MAX(1,CEILING(PERCENTRANK.INC($D$3:$D$6000,D4130,4)*5+0.000001,1)))</f>
        <v/>
      </c>
      <c r="H4130">
        <f>IF(A4130="","",E4130&amp;F4130&amp;G4130)</f>
        <v/>
      </c>
      <c r="I4130">
        <f>IF(A4130="","",IF(AND(E4130&gt;=4,F4130&gt;=4,G4130&gt;=4),"Juara",IF(AND(F4130&gt;=4,E4130&gt;=3),"Setia",IF(AND(E4130=5,F4130&lt;=2,G4130&gt;=3),"Berpotensi",IF(AND(E4130&lt;=3,E4130&gt;=2,F4130&gt;=3),"Rawan",IF(AND(E4130&lt;=2,F4130&lt;=2),"Tidur","Umum"))))))</f>
        <v/>
      </c>
    </row>
    <row r="4131">
      <c r="B4131">
        <f>IF(A4131="","",$B$1-MAXIFS(Donasi!$A$2:$A$20000,Donasi!$B$2:$B$20000,A4131))</f>
        <v/>
      </c>
      <c r="C4131">
        <f>IF(A4131="","",COUNTIF(Donasi!$B$2:$B$20000,A4131))</f>
        <v/>
      </c>
      <c r="D4131">
        <f>IF(A4131="","",SUMIF(Donasi!$B$2:$B$20000,A4131,Donasi!$C$2:$C$20000))</f>
        <v/>
      </c>
      <c r="E4131">
        <f>IF(A4131="","",6-CEILING(PERCENTRANK.INC($B$3:$B$6000,B4131,4)*5+0.000001,1))</f>
        <v/>
      </c>
      <c r="F4131">
        <f>IF(A4131="","",MAX(1,CEILING(PERCENTRANK.INC($C$3:$C$6000,C4131,4)*5+0.000001,1)))</f>
        <v/>
      </c>
      <c r="G4131">
        <f>IF(A4131="","",MAX(1,CEILING(PERCENTRANK.INC($D$3:$D$6000,D4131,4)*5+0.000001,1)))</f>
        <v/>
      </c>
      <c r="H4131">
        <f>IF(A4131="","",E4131&amp;F4131&amp;G4131)</f>
        <v/>
      </c>
      <c r="I4131">
        <f>IF(A4131="","",IF(AND(E4131&gt;=4,F4131&gt;=4,G4131&gt;=4),"Juara",IF(AND(F4131&gt;=4,E4131&gt;=3),"Setia",IF(AND(E4131=5,F4131&lt;=2,G4131&gt;=3),"Berpotensi",IF(AND(E4131&lt;=3,E4131&gt;=2,F4131&gt;=3),"Rawan",IF(AND(E4131&lt;=2,F4131&lt;=2),"Tidur","Umum"))))))</f>
        <v/>
      </c>
    </row>
    <row r="4132">
      <c r="B4132">
        <f>IF(A4132="","",$B$1-MAXIFS(Donasi!$A$2:$A$20000,Donasi!$B$2:$B$20000,A4132))</f>
        <v/>
      </c>
      <c r="C4132">
        <f>IF(A4132="","",COUNTIF(Donasi!$B$2:$B$20000,A4132))</f>
        <v/>
      </c>
      <c r="D4132">
        <f>IF(A4132="","",SUMIF(Donasi!$B$2:$B$20000,A4132,Donasi!$C$2:$C$20000))</f>
        <v/>
      </c>
      <c r="E4132">
        <f>IF(A4132="","",6-CEILING(PERCENTRANK.INC($B$3:$B$6000,B4132,4)*5+0.000001,1))</f>
        <v/>
      </c>
      <c r="F4132">
        <f>IF(A4132="","",MAX(1,CEILING(PERCENTRANK.INC($C$3:$C$6000,C4132,4)*5+0.000001,1)))</f>
        <v/>
      </c>
      <c r="G4132">
        <f>IF(A4132="","",MAX(1,CEILING(PERCENTRANK.INC($D$3:$D$6000,D4132,4)*5+0.000001,1)))</f>
        <v/>
      </c>
      <c r="H4132">
        <f>IF(A4132="","",E4132&amp;F4132&amp;G4132)</f>
        <v/>
      </c>
      <c r="I4132">
        <f>IF(A4132="","",IF(AND(E4132&gt;=4,F4132&gt;=4,G4132&gt;=4),"Juara",IF(AND(F4132&gt;=4,E4132&gt;=3),"Setia",IF(AND(E4132=5,F4132&lt;=2,G4132&gt;=3),"Berpotensi",IF(AND(E4132&lt;=3,E4132&gt;=2,F4132&gt;=3),"Rawan",IF(AND(E4132&lt;=2,F4132&lt;=2),"Tidur","Umum"))))))</f>
        <v/>
      </c>
    </row>
    <row r="4133">
      <c r="B4133">
        <f>IF(A4133="","",$B$1-MAXIFS(Donasi!$A$2:$A$20000,Donasi!$B$2:$B$20000,A4133))</f>
        <v/>
      </c>
      <c r="C4133">
        <f>IF(A4133="","",COUNTIF(Donasi!$B$2:$B$20000,A4133))</f>
        <v/>
      </c>
      <c r="D4133">
        <f>IF(A4133="","",SUMIF(Donasi!$B$2:$B$20000,A4133,Donasi!$C$2:$C$20000))</f>
        <v/>
      </c>
      <c r="E4133">
        <f>IF(A4133="","",6-CEILING(PERCENTRANK.INC($B$3:$B$6000,B4133,4)*5+0.000001,1))</f>
        <v/>
      </c>
      <c r="F4133">
        <f>IF(A4133="","",MAX(1,CEILING(PERCENTRANK.INC($C$3:$C$6000,C4133,4)*5+0.000001,1)))</f>
        <v/>
      </c>
      <c r="G4133">
        <f>IF(A4133="","",MAX(1,CEILING(PERCENTRANK.INC($D$3:$D$6000,D4133,4)*5+0.000001,1)))</f>
        <v/>
      </c>
      <c r="H4133">
        <f>IF(A4133="","",E4133&amp;F4133&amp;G4133)</f>
        <v/>
      </c>
      <c r="I4133">
        <f>IF(A4133="","",IF(AND(E4133&gt;=4,F4133&gt;=4,G4133&gt;=4),"Juara",IF(AND(F4133&gt;=4,E4133&gt;=3),"Setia",IF(AND(E4133=5,F4133&lt;=2,G4133&gt;=3),"Berpotensi",IF(AND(E4133&lt;=3,E4133&gt;=2,F4133&gt;=3),"Rawan",IF(AND(E4133&lt;=2,F4133&lt;=2),"Tidur","Umum"))))))</f>
        <v/>
      </c>
    </row>
    <row r="4134">
      <c r="B4134">
        <f>IF(A4134="","",$B$1-MAXIFS(Donasi!$A$2:$A$20000,Donasi!$B$2:$B$20000,A4134))</f>
        <v/>
      </c>
      <c r="C4134">
        <f>IF(A4134="","",COUNTIF(Donasi!$B$2:$B$20000,A4134))</f>
        <v/>
      </c>
      <c r="D4134">
        <f>IF(A4134="","",SUMIF(Donasi!$B$2:$B$20000,A4134,Donasi!$C$2:$C$20000))</f>
        <v/>
      </c>
      <c r="E4134">
        <f>IF(A4134="","",6-CEILING(PERCENTRANK.INC($B$3:$B$6000,B4134,4)*5+0.000001,1))</f>
        <v/>
      </c>
      <c r="F4134">
        <f>IF(A4134="","",MAX(1,CEILING(PERCENTRANK.INC($C$3:$C$6000,C4134,4)*5+0.000001,1)))</f>
        <v/>
      </c>
      <c r="G4134">
        <f>IF(A4134="","",MAX(1,CEILING(PERCENTRANK.INC($D$3:$D$6000,D4134,4)*5+0.000001,1)))</f>
        <v/>
      </c>
      <c r="H4134">
        <f>IF(A4134="","",E4134&amp;F4134&amp;G4134)</f>
        <v/>
      </c>
      <c r="I4134">
        <f>IF(A4134="","",IF(AND(E4134&gt;=4,F4134&gt;=4,G4134&gt;=4),"Juara",IF(AND(F4134&gt;=4,E4134&gt;=3),"Setia",IF(AND(E4134=5,F4134&lt;=2,G4134&gt;=3),"Berpotensi",IF(AND(E4134&lt;=3,E4134&gt;=2,F4134&gt;=3),"Rawan",IF(AND(E4134&lt;=2,F4134&lt;=2),"Tidur","Umum"))))))</f>
        <v/>
      </c>
    </row>
    <row r="4135">
      <c r="B4135">
        <f>IF(A4135="","",$B$1-MAXIFS(Donasi!$A$2:$A$20000,Donasi!$B$2:$B$20000,A4135))</f>
        <v/>
      </c>
      <c r="C4135">
        <f>IF(A4135="","",COUNTIF(Donasi!$B$2:$B$20000,A4135))</f>
        <v/>
      </c>
      <c r="D4135">
        <f>IF(A4135="","",SUMIF(Donasi!$B$2:$B$20000,A4135,Donasi!$C$2:$C$20000))</f>
        <v/>
      </c>
      <c r="E4135">
        <f>IF(A4135="","",6-CEILING(PERCENTRANK.INC($B$3:$B$6000,B4135,4)*5+0.000001,1))</f>
        <v/>
      </c>
      <c r="F4135">
        <f>IF(A4135="","",MAX(1,CEILING(PERCENTRANK.INC($C$3:$C$6000,C4135,4)*5+0.000001,1)))</f>
        <v/>
      </c>
      <c r="G4135">
        <f>IF(A4135="","",MAX(1,CEILING(PERCENTRANK.INC($D$3:$D$6000,D4135,4)*5+0.000001,1)))</f>
        <v/>
      </c>
      <c r="H4135">
        <f>IF(A4135="","",E4135&amp;F4135&amp;G4135)</f>
        <v/>
      </c>
      <c r="I4135">
        <f>IF(A4135="","",IF(AND(E4135&gt;=4,F4135&gt;=4,G4135&gt;=4),"Juara",IF(AND(F4135&gt;=4,E4135&gt;=3),"Setia",IF(AND(E4135=5,F4135&lt;=2,G4135&gt;=3),"Berpotensi",IF(AND(E4135&lt;=3,E4135&gt;=2,F4135&gt;=3),"Rawan",IF(AND(E4135&lt;=2,F4135&lt;=2),"Tidur","Umum"))))))</f>
        <v/>
      </c>
    </row>
    <row r="4136">
      <c r="B4136">
        <f>IF(A4136="","",$B$1-MAXIFS(Donasi!$A$2:$A$20000,Donasi!$B$2:$B$20000,A4136))</f>
        <v/>
      </c>
      <c r="C4136">
        <f>IF(A4136="","",COUNTIF(Donasi!$B$2:$B$20000,A4136))</f>
        <v/>
      </c>
      <c r="D4136">
        <f>IF(A4136="","",SUMIF(Donasi!$B$2:$B$20000,A4136,Donasi!$C$2:$C$20000))</f>
        <v/>
      </c>
      <c r="E4136">
        <f>IF(A4136="","",6-CEILING(PERCENTRANK.INC($B$3:$B$6000,B4136,4)*5+0.000001,1))</f>
        <v/>
      </c>
      <c r="F4136">
        <f>IF(A4136="","",MAX(1,CEILING(PERCENTRANK.INC($C$3:$C$6000,C4136,4)*5+0.000001,1)))</f>
        <v/>
      </c>
      <c r="G4136">
        <f>IF(A4136="","",MAX(1,CEILING(PERCENTRANK.INC($D$3:$D$6000,D4136,4)*5+0.000001,1)))</f>
        <v/>
      </c>
      <c r="H4136">
        <f>IF(A4136="","",E4136&amp;F4136&amp;G4136)</f>
        <v/>
      </c>
      <c r="I4136">
        <f>IF(A4136="","",IF(AND(E4136&gt;=4,F4136&gt;=4,G4136&gt;=4),"Juara",IF(AND(F4136&gt;=4,E4136&gt;=3),"Setia",IF(AND(E4136=5,F4136&lt;=2,G4136&gt;=3),"Berpotensi",IF(AND(E4136&lt;=3,E4136&gt;=2,F4136&gt;=3),"Rawan",IF(AND(E4136&lt;=2,F4136&lt;=2),"Tidur","Umum"))))))</f>
        <v/>
      </c>
    </row>
    <row r="4137">
      <c r="B4137">
        <f>IF(A4137="","",$B$1-MAXIFS(Donasi!$A$2:$A$20000,Donasi!$B$2:$B$20000,A4137))</f>
        <v/>
      </c>
      <c r="C4137">
        <f>IF(A4137="","",COUNTIF(Donasi!$B$2:$B$20000,A4137))</f>
        <v/>
      </c>
      <c r="D4137">
        <f>IF(A4137="","",SUMIF(Donasi!$B$2:$B$20000,A4137,Donasi!$C$2:$C$20000))</f>
        <v/>
      </c>
      <c r="E4137">
        <f>IF(A4137="","",6-CEILING(PERCENTRANK.INC($B$3:$B$6000,B4137,4)*5+0.000001,1))</f>
        <v/>
      </c>
      <c r="F4137">
        <f>IF(A4137="","",MAX(1,CEILING(PERCENTRANK.INC($C$3:$C$6000,C4137,4)*5+0.000001,1)))</f>
        <v/>
      </c>
      <c r="G4137">
        <f>IF(A4137="","",MAX(1,CEILING(PERCENTRANK.INC($D$3:$D$6000,D4137,4)*5+0.000001,1)))</f>
        <v/>
      </c>
      <c r="H4137">
        <f>IF(A4137="","",E4137&amp;F4137&amp;G4137)</f>
        <v/>
      </c>
      <c r="I4137">
        <f>IF(A4137="","",IF(AND(E4137&gt;=4,F4137&gt;=4,G4137&gt;=4),"Juara",IF(AND(F4137&gt;=4,E4137&gt;=3),"Setia",IF(AND(E4137=5,F4137&lt;=2,G4137&gt;=3),"Berpotensi",IF(AND(E4137&lt;=3,E4137&gt;=2,F4137&gt;=3),"Rawan",IF(AND(E4137&lt;=2,F4137&lt;=2),"Tidur","Umum"))))))</f>
        <v/>
      </c>
    </row>
    <row r="4138">
      <c r="B4138">
        <f>IF(A4138="","",$B$1-MAXIFS(Donasi!$A$2:$A$20000,Donasi!$B$2:$B$20000,A4138))</f>
        <v/>
      </c>
      <c r="C4138">
        <f>IF(A4138="","",COUNTIF(Donasi!$B$2:$B$20000,A4138))</f>
        <v/>
      </c>
      <c r="D4138">
        <f>IF(A4138="","",SUMIF(Donasi!$B$2:$B$20000,A4138,Donasi!$C$2:$C$20000))</f>
        <v/>
      </c>
      <c r="E4138">
        <f>IF(A4138="","",6-CEILING(PERCENTRANK.INC($B$3:$B$6000,B4138,4)*5+0.000001,1))</f>
        <v/>
      </c>
      <c r="F4138">
        <f>IF(A4138="","",MAX(1,CEILING(PERCENTRANK.INC($C$3:$C$6000,C4138,4)*5+0.000001,1)))</f>
        <v/>
      </c>
      <c r="G4138">
        <f>IF(A4138="","",MAX(1,CEILING(PERCENTRANK.INC($D$3:$D$6000,D4138,4)*5+0.000001,1)))</f>
        <v/>
      </c>
      <c r="H4138">
        <f>IF(A4138="","",E4138&amp;F4138&amp;G4138)</f>
        <v/>
      </c>
      <c r="I4138">
        <f>IF(A4138="","",IF(AND(E4138&gt;=4,F4138&gt;=4,G4138&gt;=4),"Juara",IF(AND(F4138&gt;=4,E4138&gt;=3),"Setia",IF(AND(E4138=5,F4138&lt;=2,G4138&gt;=3),"Berpotensi",IF(AND(E4138&lt;=3,E4138&gt;=2,F4138&gt;=3),"Rawan",IF(AND(E4138&lt;=2,F4138&lt;=2),"Tidur","Umum"))))))</f>
        <v/>
      </c>
    </row>
    <row r="4139">
      <c r="B4139">
        <f>IF(A4139="","",$B$1-MAXIFS(Donasi!$A$2:$A$20000,Donasi!$B$2:$B$20000,A4139))</f>
        <v/>
      </c>
      <c r="C4139">
        <f>IF(A4139="","",COUNTIF(Donasi!$B$2:$B$20000,A4139))</f>
        <v/>
      </c>
      <c r="D4139">
        <f>IF(A4139="","",SUMIF(Donasi!$B$2:$B$20000,A4139,Donasi!$C$2:$C$20000))</f>
        <v/>
      </c>
      <c r="E4139">
        <f>IF(A4139="","",6-CEILING(PERCENTRANK.INC($B$3:$B$6000,B4139,4)*5+0.000001,1))</f>
        <v/>
      </c>
      <c r="F4139">
        <f>IF(A4139="","",MAX(1,CEILING(PERCENTRANK.INC($C$3:$C$6000,C4139,4)*5+0.000001,1)))</f>
        <v/>
      </c>
      <c r="G4139">
        <f>IF(A4139="","",MAX(1,CEILING(PERCENTRANK.INC($D$3:$D$6000,D4139,4)*5+0.000001,1)))</f>
        <v/>
      </c>
      <c r="H4139">
        <f>IF(A4139="","",E4139&amp;F4139&amp;G4139)</f>
        <v/>
      </c>
      <c r="I4139">
        <f>IF(A4139="","",IF(AND(E4139&gt;=4,F4139&gt;=4,G4139&gt;=4),"Juara",IF(AND(F4139&gt;=4,E4139&gt;=3),"Setia",IF(AND(E4139=5,F4139&lt;=2,G4139&gt;=3),"Berpotensi",IF(AND(E4139&lt;=3,E4139&gt;=2,F4139&gt;=3),"Rawan",IF(AND(E4139&lt;=2,F4139&lt;=2),"Tidur","Umum"))))))</f>
        <v/>
      </c>
    </row>
    <row r="4140">
      <c r="B4140">
        <f>IF(A4140="","",$B$1-MAXIFS(Donasi!$A$2:$A$20000,Donasi!$B$2:$B$20000,A4140))</f>
        <v/>
      </c>
      <c r="C4140">
        <f>IF(A4140="","",COUNTIF(Donasi!$B$2:$B$20000,A4140))</f>
        <v/>
      </c>
      <c r="D4140">
        <f>IF(A4140="","",SUMIF(Donasi!$B$2:$B$20000,A4140,Donasi!$C$2:$C$20000))</f>
        <v/>
      </c>
      <c r="E4140">
        <f>IF(A4140="","",6-CEILING(PERCENTRANK.INC($B$3:$B$6000,B4140,4)*5+0.000001,1))</f>
        <v/>
      </c>
      <c r="F4140">
        <f>IF(A4140="","",MAX(1,CEILING(PERCENTRANK.INC($C$3:$C$6000,C4140,4)*5+0.000001,1)))</f>
        <v/>
      </c>
      <c r="G4140">
        <f>IF(A4140="","",MAX(1,CEILING(PERCENTRANK.INC($D$3:$D$6000,D4140,4)*5+0.000001,1)))</f>
        <v/>
      </c>
      <c r="H4140">
        <f>IF(A4140="","",E4140&amp;F4140&amp;G4140)</f>
        <v/>
      </c>
      <c r="I4140">
        <f>IF(A4140="","",IF(AND(E4140&gt;=4,F4140&gt;=4,G4140&gt;=4),"Juara",IF(AND(F4140&gt;=4,E4140&gt;=3),"Setia",IF(AND(E4140=5,F4140&lt;=2,G4140&gt;=3),"Berpotensi",IF(AND(E4140&lt;=3,E4140&gt;=2,F4140&gt;=3),"Rawan",IF(AND(E4140&lt;=2,F4140&lt;=2),"Tidur","Umum"))))))</f>
        <v/>
      </c>
    </row>
    <row r="4141">
      <c r="B4141">
        <f>IF(A4141="","",$B$1-MAXIFS(Donasi!$A$2:$A$20000,Donasi!$B$2:$B$20000,A4141))</f>
        <v/>
      </c>
      <c r="C4141">
        <f>IF(A4141="","",COUNTIF(Donasi!$B$2:$B$20000,A4141))</f>
        <v/>
      </c>
      <c r="D4141">
        <f>IF(A4141="","",SUMIF(Donasi!$B$2:$B$20000,A4141,Donasi!$C$2:$C$20000))</f>
        <v/>
      </c>
      <c r="E4141">
        <f>IF(A4141="","",6-CEILING(PERCENTRANK.INC($B$3:$B$6000,B4141,4)*5+0.000001,1))</f>
        <v/>
      </c>
      <c r="F4141">
        <f>IF(A4141="","",MAX(1,CEILING(PERCENTRANK.INC($C$3:$C$6000,C4141,4)*5+0.000001,1)))</f>
        <v/>
      </c>
      <c r="G4141">
        <f>IF(A4141="","",MAX(1,CEILING(PERCENTRANK.INC($D$3:$D$6000,D4141,4)*5+0.000001,1)))</f>
        <v/>
      </c>
      <c r="H4141">
        <f>IF(A4141="","",E4141&amp;F4141&amp;G4141)</f>
        <v/>
      </c>
      <c r="I4141">
        <f>IF(A4141="","",IF(AND(E4141&gt;=4,F4141&gt;=4,G4141&gt;=4),"Juara",IF(AND(F4141&gt;=4,E4141&gt;=3),"Setia",IF(AND(E4141=5,F4141&lt;=2,G4141&gt;=3),"Berpotensi",IF(AND(E4141&lt;=3,E4141&gt;=2,F4141&gt;=3),"Rawan",IF(AND(E4141&lt;=2,F4141&lt;=2),"Tidur","Umum"))))))</f>
        <v/>
      </c>
    </row>
    <row r="4142">
      <c r="B4142">
        <f>IF(A4142="","",$B$1-MAXIFS(Donasi!$A$2:$A$20000,Donasi!$B$2:$B$20000,A4142))</f>
        <v/>
      </c>
      <c r="C4142">
        <f>IF(A4142="","",COUNTIF(Donasi!$B$2:$B$20000,A4142))</f>
        <v/>
      </c>
      <c r="D4142">
        <f>IF(A4142="","",SUMIF(Donasi!$B$2:$B$20000,A4142,Donasi!$C$2:$C$20000))</f>
        <v/>
      </c>
      <c r="E4142">
        <f>IF(A4142="","",6-CEILING(PERCENTRANK.INC($B$3:$B$6000,B4142,4)*5+0.000001,1))</f>
        <v/>
      </c>
      <c r="F4142">
        <f>IF(A4142="","",MAX(1,CEILING(PERCENTRANK.INC($C$3:$C$6000,C4142,4)*5+0.000001,1)))</f>
        <v/>
      </c>
      <c r="G4142">
        <f>IF(A4142="","",MAX(1,CEILING(PERCENTRANK.INC($D$3:$D$6000,D4142,4)*5+0.000001,1)))</f>
        <v/>
      </c>
      <c r="H4142">
        <f>IF(A4142="","",E4142&amp;F4142&amp;G4142)</f>
        <v/>
      </c>
      <c r="I4142">
        <f>IF(A4142="","",IF(AND(E4142&gt;=4,F4142&gt;=4,G4142&gt;=4),"Juara",IF(AND(F4142&gt;=4,E4142&gt;=3),"Setia",IF(AND(E4142=5,F4142&lt;=2,G4142&gt;=3),"Berpotensi",IF(AND(E4142&lt;=3,E4142&gt;=2,F4142&gt;=3),"Rawan",IF(AND(E4142&lt;=2,F4142&lt;=2),"Tidur","Umum"))))))</f>
        <v/>
      </c>
    </row>
    <row r="4143">
      <c r="B4143">
        <f>IF(A4143="","",$B$1-MAXIFS(Donasi!$A$2:$A$20000,Donasi!$B$2:$B$20000,A4143))</f>
        <v/>
      </c>
      <c r="C4143">
        <f>IF(A4143="","",COUNTIF(Donasi!$B$2:$B$20000,A4143))</f>
        <v/>
      </c>
      <c r="D4143">
        <f>IF(A4143="","",SUMIF(Donasi!$B$2:$B$20000,A4143,Donasi!$C$2:$C$20000))</f>
        <v/>
      </c>
      <c r="E4143">
        <f>IF(A4143="","",6-CEILING(PERCENTRANK.INC($B$3:$B$6000,B4143,4)*5+0.000001,1))</f>
        <v/>
      </c>
      <c r="F4143">
        <f>IF(A4143="","",MAX(1,CEILING(PERCENTRANK.INC($C$3:$C$6000,C4143,4)*5+0.000001,1)))</f>
        <v/>
      </c>
      <c r="G4143">
        <f>IF(A4143="","",MAX(1,CEILING(PERCENTRANK.INC($D$3:$D$6000,D4143,4)*5+0.000001,1)))</f>
        <v/>
      </c>
      <c r="H4143">
        <f>IF(A4143="","",E4143&amp;F4143&amp;G4143)</f>
        <v/>
      </c>
      <c r="I4143">
        <f>IF(A4143="","",IF(AND(E4143&gt;=4,F4143&gt;=4,G4143&gt;=4),"Juara",IF(AND(F4143&gt;=4,E4143&gt;=3),"Setia",IF(AND(E4143=5,F4143&lt;=2,G4143&gt;=3),"Berpotensi",IF(AND(E4143&lt;=3,E4143&gt;=2,F4143&gt;=3),"Rawan",IF(AND(E4143&lt;=2,F4143&lt;=2),"Tidur","Umum"))))))</f>
        <v/>
      </c>
    </row>
    <row r="4144">
      <c r="B4144">
        <f>IF(A4144="","",$B$1-MAXIFS(Donasi!$A$2:$A$20000,Donasi!$B$2:$B$20000,A4144))</f>
        <v/>
      </c>
      <c r="C4144">
        <f>IF(A4144="","",COUNTIF(Donasi!$B$2:$B$20000,A4144))</f>
        <v/>
      </c>
      <c r="D4144">
        <f>IF(A4144="","",SUMIF(Donasi!$B$2:$B$20000,A4144,Donasi!$C$2:$C$20000))</f>
        <v/>
      </c>
      <c r="E4144">
        <f>IF(A4144="","",6-CEILING(PERCENTRANK.INC($B$3:$B$6000,B4144,4)*5+0.000001,1))</f>
        <v/>
      </c>
      <c r="F4144">
        <f>IF(A4144="","",MAX(1,CEILING(PERCENTRANK.INC($C$3:$C$6000,C4144,4)*5+0.000001,1)))</f>
        <v/>
      </c>
      <c r="G4144">
        <f>IF(A4144="","",MAX(1,CEILING(PERCENTRANK.INC($D$3:$D$6000,D4144,4)*5+0.000001,1)))</f>
        <v/>
      </c>
      <c r="H4144">
        <f>IF(A4144="","",E4144&amp;F4144&amp;G4144)</f>
        <v/>
      </c>
      <c r="I4144">
        <f>IF(A4144="","",IF(AND(E4144&gt;=4,F4144&gt;=4,G4144&gt;=4),"Juara",IF(AND(F4144&gt;=4,E4144&gt;=3),"Setia",IF(AND(E4144=5,F4144&lt;=2,G4144&gt;=3),"Berpotensi",IF(AND(E4144&lt;=3,E4144&gt;=2,F4144&gt;=3),"Rawan",IF(AND(E4144&lt;=2,F4144&lt;=2),"Tidur","Umum"))))))</f>
        <v/>
      </c>
    </row>
    <row r="4145">
      <c r="B4145">
        <f>IF(A4145="","",$B$1-MAXIFS(Donasi!$A$2:$A$20000,Donasi!$B$2:$B$20000,A4145))</f>
        <v/>
      </c>
      <c r="C4145">
        <f>IF(A4145="","",COUNTIF(Donasi!$B$2:$B$20000,A4145))</f>
        <v/>
      </c>
      <c r="D4145">
        <f>IF(A4145="","",SUMIF(Donasi!$B$2:$B$20000,A4145,Donasi!$C$2:$C$20000))</f>
        <v/>
      </c>
      <c r="E4145">
        <f>IF(A4145="","",6-CEILING(PERCENTRANK.INC($B$3:$B$6000,B4145,4)*5+0.000001,1))</f>
        <v/>
      </c>
      <c r="F4145">
        <f>IF(A4145="","",MAX(1,CEILING(PERCENTRANK.INC($C$3:$C$6000,C4145,4)*5+0.000001,1)))</f>
        <v/>
      </c>
      <c r="G4145">
        <f>IF(A4145="","",MAX(1,CEILING(PERCENTRANK.INC($D$3:$D$6000,D4145,4)*5+0.000001,1)))</f>
        <v/>
      </c>
      <c r="H4145">
        <f>IF(A4145="","",E4145&amp;F4145&amp;G4145)</f>
        <v/>
      </c>
      <c r="I4145">
        <f>IF(A4145="","",IF(AND(E4145&gt;=4,F4145&gt;=4,G4145&gt;=4),"Juara",IF(AND(F4145&gt;=4,E4145&gt;=3),"Setia",IF(AND(E4145=5,F4145&lt;=2,G4145&gt;=3),"Berpotensi",IF(AND(E4145&lt;=3,E4145&gt;=2,F4145&gt;=3),"Rawan",IF(AND(E4145&lt;=2,F4145&lt;=2),"Tidur","Umum"))))))</f>
        <v/>
      </c>
    </row>
    <row r="4146">
      <c r="B4146">
        <f>IF(A4146="","",$B$1-MAXIFS(Donasi!$A$2:$A$20000,Donasi!$B$2:$B$20000,A4146))</f>
        <v/>
      </c>
      <c r="C4146">
        <f>IF(A4146="","",COUNTIF(Donasi!$B$2:$B$20000,A4146))</f>
        <v/>
      </c>
      <c r="D4146">
        <f>IF(A4146="","",SUMIF(Donasi!$B$2:$B$20000,A4146,Donasi!$C$2:$C$20000))</f>
        <v/>
      </c>
      <c r="E4146">
        <f>IF(A4146="","",6-CEILING(PERCENTRANK.INC($B$3:$B$6000,B4146,4)*5+0.000001,1))</f>
        <v/>
      </c>
      <c r="F4146">
        <f>IF(A4146="","",MAX(1,CEILING(PERCENTRANK.INC($C$3:$C$6000,C4146,4)*5+0.000001,1)))</f>
        <v/>
      </c>
      <c r="G4146">
        <f>IF(A4146="","",MAX(1,CEILING(PERCENTRANK.INC($D$3:$D$6000,D4146,4)*5+0.000001,1)))</f>
        <v/>
      </c>
      <c r="H4146">
        <f>IF(A4146="","",E4146&amp;F4146&amp;G4146)</f>
        <v/>
      </c>
      <c r="I4146">
        <f>IF(A4146="","",IF(AND(E4146&gt;=4,F4146&gt;=4,G4146&gt;=4),"Juara",IF(AND(F4146&gt;=4,E4146&gt;=3),"Setia",IF(AND(E4146=5,F4146&lt;=2,G4146&gt;=3),"Berpotensi",IF(AND(E4146&lt;=3,E4146&gt;=2,F4146&gt;=3),"Rawan",IF(AND(E4146&lt;=2,F4146&lt;=2),"Tidur","Umum"))))))</f>
        <v/>
      </c>
    </row>
    <row r="4147">
      <c r="B4147">
        <f>IF(A4147="","",$B$1-MAXIFS(Donasi!$A$2:$A$20000,Donasi!$B$2:$B$20000,A4147))</f>
        <v/>
      </c>
      <c r="C4147">
        <f>IF(A4147="","",COUNTIF(Donasi!$B$2:$B$20000,A4147))</f>
        <v/>
      </c>
      <c r="D4147">
        <f>IF(A4147="","",SUMIF(Donasi!$B$2:$B$20000,A4147,Donasi!$C$2:$C$20000))</f>
        <v/>
      </c>
      <c r="E4147">
        <f>IF(A4147="","",6-CEILING(PERCENTRANK.INC($B$3:$B$6000,B4147,4)*5+0.000001,1))</f>
        <v/>
      </c>
      <c r="F4147">
        <f>IF(A4147="","",MAX(1,CEILING(PERCENTRANK.INC($C$3:$C$6000,C4147,4)*5+0.000001,1)))</f>
        <v/>
      </c>
      <c r="G4147">
        <f>IF(A4147="","",MAX(1,CEILING(PERCENTRANK.INC($D$3:$D$6000,D4147,4)*5+0.000001,1)))</f>
        <v/>
      </c>
      <c r="H4147">
        <f>IF(A4147="","",E4147&amp;F4147&amp;G4147)</f>
        <v/>
      </c>
      <c r="I4147">
        <f>IF(A4147="","",IF(AND(E4147&gt;=4,F4147&gt;=4,G4147&gt;=4),"Juara",IF(AND(F4147&gt;=4,E4147&gt;=3),"Setia",IF(AND(E4147=5,F4147&lt;=2,G4147&gt;=3),"Berpotensi",IF(AND(E4147&lt;=3,E4147&gt;=2,F4147&gt;=3),"Rawan",IF(AND(E4147&lt;=2,F4147&lt;=2),"Tidur","Umum"))))))</f>
        <v/>
      </c>
    </row>
    <row r="4148">
      <c r="B4148">
        <f>IF(A4148="","",$B$1-MAXIFS(Donasi!$A$2:$A$20000,Donasi!$B$2:$B$20000,A4148))</f>
        <v/>
      </c>
      <c r="C4148">
        <f>IF(A4148="","",COUNTIF(Donasi!$B$2:$B$20000,A4148))</f>
        <v/>
      </c>
      <c r="D4148">
        <f>IF(A4148="","",SUMIF(Donasi!$B$2:$B$20000,A4148,Donasi!$C$2:$C$20000))</f>
        <v/>
      </c>
      <c r="E4148">
        <f>IF(A4148="","",6-CEILING(PERCENTRANK.INC($B$3:$B$6000,B4148,4)*5+0.000001,1))</f>
        <v/>
      </c>
      <c r="F4148">
        <f>IF(A4148="","",MAX(1,CEILING(PERCENTRANK.INC($C$3:$C$6000,C4148,4)*5+0.000001,1)))</f>
        <v/>
      </c>
      <c r="G4148">
        <f>IF(A4148="","",MAX(1,CEILING(PERCENTRANK.INC($D$3:$D$6000,D4148,4)*5+0.000001,1)))</f>
        <v/>
      </c>
      <c r="H4148">
        <f>IF(A4148="","",E4148&amp;F4148&amp;G4148)</f>
        <v/>
      </c>
      <c r="I4148">
        <f>IF(A4148="","",IF(AND(E4148&gt;=4,F4148&gt;=4,G4148&gt;=4),"Juara",IF(AND(F4148&gt;=4,E4148&gt;=3),"Setia",IF(AND(E4148=5,F4148&lt;=2,G4148&gt;=3),"Berpotensi",IF(AND(E4148&lt;=3,E4148&gt;=2,F4148&gt;=3),"Rawan",IF(AND(E4148&lt;=2,F4148&lt;=2),"Tidur","Umum"))))))</f>
        <v/>
      </c>
    </row>
    <row r="4149">
      <c r="B4149">
        <f>IF(A4149="","",$B$1-MAXIFS(Donasi!$A$2:$A$20000,Donasi!$B$2:$B$20000,A4149))</f>
        <v/>
      </c>
      <c r="C4149">
        <f>IF(A4149="","",COUNTIF(Donasi!$B$2:$B$20000,A4149))</f>
        <v/>
      </c>
      <c r="D4149">
        <f>IF(A4149="","",SUMIF(Donasi!$B$2:$B$20000,A4149,Donasi!$C$2:$C$20000))</f>
        <v/>
      </c>
      <c r="E4149">
        <f>IF(A4149="","",6-CEILING(PERCENTRANK.INC($B$3:$B$6000,B4149,4)*5+0.000001,1))</f>
        <v/>
      </c>
      <c r="F4149">
        <f>IF(A4149="","",MAX(1,CEILING(PERCENTRANK.INC($C$3:$C$6000,C4149,4)*5+0.000001,1)))</f>
        <v/>
      </c>
      <c r="G4149">
        <f>IF(A4149="","",MAX(1,CEILING(PERCENTRANK.INC($D$3:$D$6000,D4149,4)*5+0.000001,1)))</f>
        <v/>
      </c>
      <c r="H4149">
        <f>IF(A4149="","",E4149&amp;F4149&amp;G4149)</f>
        <v/>
      </c>
      <c r="I4149">
        <f>IF(A4149="","",IF(AND(E4149&gt;=4,F4149&gt;=4,G4149&gt;=4),"Juara",IF(AND(F4149&gt;=4,E4149&gt;=3),"Setia",IF(AND(E4149=5,F4149&lt;=2,G4149&gt;=3),"Berpotensi",IF(AND(E4149&lt;=3,E4149&gt;=2,F4149&gt;=3),"Rawan",IF(AND(E4149&lt;=2,F4149&lt;=2),"Tidur","Umum"))))))</f>
        <v/>
      </c>
    </row>
    <row r="4150">
      <c r="B4150">
        <f>IF(A4150="","",$B$1-MAXIFS(Donasi!$A$2:$A$20000,Donasi!$B$2:$B$20000,A4150))</f>
        <v/>
      </c>
      <c r="C4150">
        <f>IF(A4150="","",COUNTIF(Donasi!$B$2:$B$20000,A4150))</f>
        <v/>
      </c>
      <c r="D4150">
        <f>IF(A4150="","",SUMIF(Donasi!$B$2:$B$20000,A4150,Donasi!$C$2:$C$20000))</f>
        <v/>
      </c>
      <c r="E4150">
        <f>IF(A4150="","",6-CEILING(PERCENTRANK.INC($B$3:$B$6000,B4150,4)*5+0.000001,1))</f>
        <v/>
      </c>
      <c r="F4150">
        <f>IF(A4150="","",MAX(1,CEILING(PERCENTRANK.INC($C$3:$C$6000,C4150,4)*5+0.000001,1)))</f>
        <v/>
      </c>
      <c r="G4150">
        <f>IF(A4150="","",MAX(1,CEILING(PERCENTRANK.INC($D$3:$D$6000,D4150,4)*5+0.000001,1)))</f>
        <v/>
      </c>
      <c r="H4150">
        <f>IF(A4150="","",E4150&amp;F4150&amp;G4150)</f>
        <v/>
      </c>
      <c r="I4150">
        <f>IF(A4150="","",IF(AND(E4150&gt;=4,F4150&gt;=4,G4150&gt;=4),"Juara",IF(AND(F4150&gt;=4,E4150&gt;=3),"Setia",IF(AND(E4150=5,F4150&lt;=2,G4150&gt;=3),"Berpotensi",IF(AND(E4150&lt;=3,E4150&gt;=2,F4150&gt;=3),"Rawan",IF(AND(E4150&lt;=2,F4150&lt;=2),"Tidur","Umum"))))))</f>
        <v/>
      </c>
    </row>
    <row r="4151">
      <c r="B4151">
        <f>IF(A4151="","",$B$1-MAXIFS(Donasi!$A$2:$A$20000,Donasi!$B$2:$B$20000,A4151))</f>
        <v/>
      </c>
      <c r="C4151">
        <f>IF(A4151="","",COUNTIF(Donasi!$B$2:$B$20000,A4151))</f>
        <v/>
      </c>
      <c r="D4151">
        <f>IF(A4151="","",SUMIF(Donasi!$B$2:$B$20000,A4151,Donasi!$C$2:$C$20000))</f>
        <v/>
      </c>
      <c r="E4151">
        <f>IF(A4151="","",6-CEILING(PERCENTRANK.INC($B$3:$B$6000,B4151,4)*5+0.000001,1))</f>
        <v/>
      </c>
      <c r="F4151">
        <f>IF(A4151="","",MAX(1,CEILING(PERCENTRANK.INC($C$3:$C$6000,C4151,4)*5+0.000001,1)))</f>
        <v/>
      </c>
      <c r="G4151">
        <f>IF(A4151="","",MAX(1,CEILING(PERCENTRANK.INC($D$3:$D$6000,D4151,4)*5+0.000001,1)))</f>
        <v/>
      </c>
      <c r="H4151">
        <f>IF(A4151="","",E4151&amp;F4151&amp;G4151)</f>
        <v/>
      </c>
      <c r="I4151">
        <f>IF(A4151="","",IF(AND(E4151&gt;=4,F4151&gt;=4,G4151&gt;=4),"Juara",IF(AND(F4151&gt;=4,E4151&gt;=3),"Setia",IF(AND(E4151=5,F4151&lt;=2,G4151&gt;=3),"Berpotensi",IF(AND(E4151&lt;=3,E4151&gt;=2,F4151&gt;=3),"Rawan",IF(AND(E4151&lt;=2,F4151&lt;=2),"Tidur","Umum"))))))</f>
        <v/>
      </c>
    </row>
    <row r="4152">
      <c r="B4152">
        <f>IF(A4152="","",$B$1-MAXIFS(Donasi!$A$2:$A$20000,Donasi!$B$2:$B$20000,A4152))</f>
        <v/>
      </c>
      <c r="C4152">
        <f>IF(A4152="","",COUNTIF(Donasi!$B$2:$B$20000,A4152))</f>
        <v/>
      </c>
      <c r="D4152">
        <f>IF(A4152="","",SUMIF(Donasi!$B$2:$B$20000,A4152,Donasi!$C$2:$C$20000))</f>
        <v/>
      </c>
      <c r="E4152">
        <f>IF(A4152="","",6-CEILING(PERCENTRANK.INC($B$3:$B$6000,B4152,4)*5+0.000001,1))</f>
        <v/>
      </c>
      <c r="F4152">
        <f>IF(A4152="","",MAX(1,CEILING(PERCENTRANK.INC($C$3:$C$6000,C4152,4)*5+0.000001,1)))</f>
        <v/>
      </c>
      <c r="G4152">
        <f>IF(A4152="","",MAX(1,CEILING(PERCENTRANK.INC($D$3:$D$6000,D4152,4)*5+0.000001,1)))</f>
        <v/>
      </c>
      <c r="H4152">
        <f>IF(A4152="","",E4152&amp;F4152&amp;G4152)</f>
        <v/>
      </c>
      <c r="I4152">
        <f>IF(A4152="","",IF(AND(E4152&gt;=4,F4152&gt;=4,G4152&gt;=4),"Juara",IF(AND(F4152&gt;=4,E4152&gt;=3),"Setia",IF(AND(E4152=5,F4152&lt;=2,G4152&gt;=3),"Berpotensi",IF(AND(E4152&lt;=3,E4152&gt;=2,F4152&gt;=3),"Rawan",IF(AND(E4152&lt;=2,F4152&lt;=2),"Tidur","Umum"))))))</f>
        <v/>
      </c>
    </row>
    <row r="4153">
      <c r="B4153">
        <f>IF(A4153="","",$B$1-MAXIFS(Donasi!$A$2:$A$20000,Donasi!$B$2:$B$20000,A4153))</f>
        <v/>
      </c>
      <c r="C4153">
        <f>IF(A4153="","",COUNTIF(Donasi!$B$2:$B$20000,A4153))</f>
        <v/>
      </c>
      <c r="D4153">
        <f>IF(A4153="","",SUMIF(Donasi!$B$2:$B$20000,A4153,Donasi!$C$2:$C$20000))</f>
        <v/>
      </c>
      <c r="E4153">
        <f>IF(A4153="","",6-CEILING(PERCENTRANK.INC($B$3:$B$6000,B4153,4)*5+0.000001,1))</f>
        <v/>
      </c>
      <c r="F4153">
        <f>IF(A4153="","",MAX(1,CEILING(PERCENTRANK.INC($C$3:$C$6000,C4153,4)*5+0.000001,1)))</f>
        <v/>
      </c>
      <c r="G4153">
        <f>IF(A4153="","",MAX(1,CEILING(PERCENTRANK.INC($D$3:$D$6000,D4153,4)*5+0.000001,1)))</f>
        <v/>
      </c>
      <c r="H4153">
        <f>IF(A4153="","",E4153&amp;F4153&amp;G4153)</f>
        <v/>
      </c>
      <c r="I4153">
        <f>IF(A4153="","",IF(AND(E4153&gt;=4,F4153&gt;=4,G4153&gt;=4),"Juara",IF(AND(F4153&gt;=4,E4153&gt;=3),"Setia",IF(AND(E4153=5,F4153&lt;=2,G4153&gt;=3),"Berpotensi",IF(AND(E4153&lt;=3,E4153&gt;=2,F4153&gt;=3),"Rawan",IF(AND(E4153&lt;=2,F4153&lt;=2),"Tidur","Umum"))))))</f>
        <v/>
      </c>
    </row>
    <row r="4154">
      <c r="B4154">
        <f>IF(A4154="","",$B$1-MAXIFS(Donasi!$A$2:$A$20000,Donasi!$B$2:$B$20000,A4154))</f>
        <v/>
      </c>
      <c r="C4154">
        <f>IF(A4154="","",COUNTIF(Donasi!$B$2:$B$20000,A4154))</f>
        <v/>
      </c>
      <c r="D4154">
        <f>IF(A4154="","",SUMIF(Donasi!$B$2:$B$20000,A4154,Donasi!$C$2:$C$20000))</f>
        <v/>
      </c>
      <c r="E4154">
        <f>IF(A4154="","",6-CEILING(PERCENTRANK.INC($B$3:$B$6000,B4154,4)*5+0.000001,1))</f>
        <v/>
      </c>
      <c r="F4154">
        <f>IF(A4154="","",MAX(1,CEILING(PERCENTRANK.INC($C$3:$C$6000,C4154,4)*5+0.000001,1)))</f>
        <v/>
      </c>
      <c r="G4154">
        <f>IF(A4154="","",MAX(1,CEILING(PERCENTRANK.INC($D$3:$D$6000,D4154,4)*5+0.000001,1)))</f>
        <v/>
      </c>
      <c r="H4154">
        <f>IF(A4154="","",E4154&amp;F4154&amp;G4154)</f>
        <v/>
      </c>
      <c r="I4154">
        <f>IF(A4154="","",IF(AND(E4154&gt;=4,F4154&gt;=4,G4154&gt;=4),"Juara",IF(AND(F4154&gt;=4,E4154&gt;=3),"Setia",IF(AND(E4154=5,F4154&lt;=2,G4154&gt;=3),"Berpotensi",IF(AND(E4154&lt;=3,E4154&gt;=2,F4154&gt;=3),"Rawan",IF(AND(E4154&lt;=2,F4154&lt;=2),"Tidur","Umum"))))))</f>
        <v/>
      </c>
    </row>
    <row r="4155">
      <c r="B4155">
        <f>IF(A4155="","",$B$1-MAXIFS(Donasi!$A$2:$A$20000,Donasi!$B$2:$B$20000,A4155))</f>
        <v/>
      </c>
      <c r="C4155">
        <f>IF(A4155="","",COUNTIF(Donasi!$B$2:$B$20000,A4155))</f>
        <v/>
      </c>
      <c r="D4155">
        <f>IF(A4155="","",SUMIF(Donasi!$B$2:$B$20000,A4155,Donasi!$C$2:$C$20000))</f>
        <v/>
      </c>
      <c r="E4155">
        <f>IF(A4155="","",6-CEILING(PERCENTRANK.INC($B$3:$B$6000,B4155,4)*5+0.000001,1))</f>
        <v/>
      </c>
      <c r="F4155">
        <f>IF(A4155="","",MAX(1,CEILING(PERCENTRANK.INC($C$3:$C$6000,C4155,4)*5+0.000001,1)))</f>
        <v/>
      </c>
      <c r="G4155">
        <f>IF(A4155="","",MAX(1,CEILING(PERCENTRANK.INC($D$3:$D$6000,D4155,4)*5+0.000001,1)))</f>
        <v/>
      </c>
      <c r="H4155">
        <f>IF(A4155="","",E4155&amp;F4155&amp;G4155)</f>
        <v/>
      </c>
      <c r="I4155">
        <f>IF(A4155="","",IF(AND(E4155&gt;=4,F4155&gt;=4,G4155&gt;=4),"Juara",IF(AND(F4155&gt;=4,E4155&gt;=3),"Setia",IF(AND(E4155=5,F4155&lt;=2,G4155&gt;=3),"Berpotensi",IF(AND(E4155&lt;=3,E4155&gt;=2,F4155&gt;=3),"Rawan",IF(AND(E4155&lt;=2,F4155&lt;=2),"Tidur","Umum"))))))</f>
        <v/>
      </c>
    </row>
    <row r="4156">
      <c r="B4156">
        <f>IF(A4156="","",$B$1-MAXIFS(Donasi!$A$2:$A$20000,Donasi!$B$2:$B$20000,A4156))</f>
        <v/>
      </c>
      <c r="C4156">
        <f>IF(A4156="","",COUNTIF(Donasi!$B$2:$B$20000,A4156))</f>
        <v/>
      </c>
      <c r="D4156">
        <f>IF(A4156="","",SUMIF(Donasi!$B$2:$B$20000,A4156,Donasi!$C$2:$C$20000))</f>
        <v/>
      </c>
      <c r="E4156">
        <f>IF(A4156="","",6-CEILING(PERCENTRANK.INC($B$3:$B$6000,B4156,4)*5+0.000001,1))</f>
        <v/>
      </c>
      <c r="F4156">
        <f>IF(A4156="","",MAX(1,CEILING(PERCENTRANK.INC($C$3:$C$6000,C4156,4)*5+0.000001,1)))</f>
        <v/>
      </c>
      <c r="G4156">
        <f>IF(A4156="","",MAX(1,CEILING(PERCENTRANK.INC($D$3:$D$6000,D4156,4)*5+0.000001,1)))</f>
        <v/>
      </c>
      <c r="H4156">
        <f>IF(A4156="","",E4156&amp;F4156&amp;G4156)</f>
        <v/>
      </c>
      <c r="I4156">
        <f>IF(A4156="","",IF(AND(E4156&gt;=4,F4156&gt;=4,G4156&gt;=4),"Juara",IF(AND(F4156&gt;=4,E4156&gt;=3),"Setia",IF(AND(E4156=5,F4156&lt;=2,G4156&gt;=3),"Berpotensi",IF(AND(E4156&lt;=3,E4156&gt;=2,F4156&gt;=3),"Rawan",IF(AND(E4156&lt;=2,F4156&lt;=2),"Tidur","Umum"))))))</f>
        <v/>
      </c>
    </row>
    <row r="4157">
      <c r="B4157">
        <f>IF(A4157="","",$B$1-MAXIFS(Donasi!$A$2:$A$20000,Donasi!$B$2:$B$20000,A4157))</f>
        <v/>
      </c>
      <c r="C4157">
        <f>IF(A4157="","",COUNTIF(Donasi!$B$2:$B$20000,A4157))</f>
        <v/>
      </c>
      <c r="D4157">
        <f>IF(A4157="","",SUMIF(Donasi!$B$2:$B$20000,A4157,Donasi!$C$2:$C$20000))</f>
        <v/>
      </c>
      <c r="E4157">
        <f>IF(A4157="","",6-CEILING(PERCENTRANK.INC($B$3:$B$6000,B4157,4)*5+0.000001,1))</f>
        <v/>
      </c>
      <c r="F4157">
        <f>IF(A4157="","",MAX(1,CEILING(PERCENTRANK.INC($C$3:$C$6000,C4157,4)*5+0.000001,1)))</f>
        <v/>
      </c>
      <c r="G4157">
        <f>IF(A4157="","",MAX(1,CEILING(PERCENTRANK.INC($D$3:$D$6000,D4157,4)*5+0.000001,1)))</f>
        <v/>
      </c>
      <c r="H4157">
        <f>IF(A4157="","",E4157&amp;F4157&amp;G4157)</f>
        <v/>
      </c>
      <c r="I4157">
        <f>IF(A4157="","",IF(AND(E4157&gt;=4,F4157&gt;=4,G4157&gt;=4),"Juara",IF(AND(F4157&gt;=4,E4157&gt;=3),"Setia",IF(AND(E4157=5,F4157&lt;=2,G4157&gt;=3),"Berpotensi",IF(AND(E4157&lt;=3,E4157&gt;=2,F4157&gt;=3),"Rawan",IF(AND(E4157&lt;=2,F4157&lt;=2),"Tidur","Umum"))))))</f>
        <v/>
      </c>
    </row>
    <row r="4158">
      <c r="B4158">
        <f>IF(A4158="","",$B$1-MAXIFS(Donasi!$A$2:$A$20000,Donasi!$B$2:$B$20000,A4158))</f>
        <v/>
      </c>
      <c r="C4158">
        <f>IF(A4158="","",COUNTIF(Donasi!$B$2:$B$20000,A4158))</f>
        <v/>
      </c>
      <c r="D4158">
        <f>IF(A4158="","",SUMIF(Donasi!$B$2:$B$20000,A4158,Donasi!$C$2:$C$20000))</f>
        <v/>
      </c>
      <c r="E4158">
        <f>IF(A4158="","",6-CEILING(PERCENTRANK.INC($B$3:$B$6000,B4158,4)*5+0.000001,1))</f>
        <v/>
      </c>
      <c r="F4158">
        <f>IF(A4158="","",MAX(1,CEILING(PERCENTRANK.INC($C$3:$C$6000,C4158,4)*5+0.000001,1)))</f>
        <v/>
      </c>
      <c r="G4158">
        <f>IF(A4158="","",MAX(1,CEILING(PERCENTRANK.INC($D$3:$D$6000,D4158,4)*5+0.000001,1)))</f>
        <v/>
      </c>
      <c r="H4158">
        <f>IF(A4158="","",E4158&amp;F4158&amp;G4158)</f>
        <v/>
      </c>
      <c r="I4158">
        <f>IF(A4158="","",IF(AND(E4158&gt;=4,F4158&gt;=4,G4158&gt;=4),"Juara",IF(AND(F4158&gt;=4,E4158&gt;=3),"Setia",IF(AND(E4158=5,F4158&lt;=2,G4158&gt;=3),"Berpotensi",IF(AND(E4158&lt;=3,E4158&gt;=2,F4158&gt;=3),"Rawan",IF(AND(E4158&lt;=2,F4158&lt;=2),"Tidur","Umum"))))))</f>
        <v/>
      </c>
    </row>
    <row r="4159">
      <c r="B4159">
        <f>IF(A4159="","",$B$1-MAXIFS(Donasi!$A$2:$A$20000,Donasi!$B$2:$B$20000,A4159))</f>
        <v/>
      </c>
      <c r="C4159">
        <f>IF(A4159="","",COUNTIF(Donasi!$B$2:$B$20000,A4159))</f>
        <v/>
      </c>
      <c r="D4159">
        <f>IF(A4159="","",SUMIF(Donasi!$B$2:$B$20000,A4159,Donasi!$C$2:$C$20000))</f>
        <v/>
      </c>
      <c r="E4159">
        <f>IF(A4159="","",6-CEILING(PERCENTRANK.INC($B$3:$B$6000,B4159,4)*5+0.000001,1))</f>
        <v/>
      </c>
      <c r="F4159">
        <f>IF(A4159="","",MAX(1,CEILING(PERCENTRANK.INC($C$3:$C$6000,C4159,4)*5+0.000001,1)))</f>
        <v/>
      </c>
      <c r="G4159">
        <f>IF(A4159="","",MAX(1,CEILING(PERCENTRANK.INC($D$3:$D$6000,D4159,4)*5+0.000001,1)))</f>
        <v/>
      </c>
      <c r="H4159">
        <f>IF(A4159="","",E4159&amp;F4159&amp;G4159)</f>
        <v/>
      </c>
      <c r="I4159">
        <f>IF(A4159="","",IF(AND(E4159&gt;=4,F4159&gt;=4,G4159&gt;=4),"Juara",IF(AND(F4159&gt;=4,E4159&gt;=3),"Setia",IF(AND(E4159=5,F4159&lt;=2,G4159&gt;=3),"Berpotensi",IF(AND(E4159&lt;=3,E4159&gt;=2,F4159&gt;=3),"Rawan",IF(AND(E4159&lt;=2,F4159&lt;=2),"Tidur","Umum"))))))</f>
        <v/>
      </c>
    </row>
    <row r="4160">
      <c r="B4160">
        <f>IF(A4160="","",$B$1-MAXIFS(Donasi!$A$2:$A$20000,Donasi!$B$2:$B$20000,A4160))</f>
        <v/>
      </c>
      <c r="C4160">
        <f>IF(A4160="","",COUNTIF(Donasi!$B$2:$B$20000,A4160))</f>
        <v/>
      </c>
      <c r="D4160">
        <f>IF(A4160="","",SUMIF(Donasi!$B$2:$B$20000,A4160,Donasi!$C$2:$C$20000))</f>
        <v/>
      </c>
      <c r="E4160">
        <f>IF(A4160="","",6-CEILING(PERCENTRANK.INC($B$3:$B$6000,B4160,4)*5+0.000001,1))</f>
        <v/>
      </c>
      <c r="F4160">
        <f>IF(A4160="","",MAX(1,CEILING(PERCENTRANK.INC($C$3:$C$6000,C4160,4)*5+0.000001,1)))</f>
        <v/>
      </c>
      <c r="G4160">
        <f>IF(A4160="","",MAX(1,CEILING(PERCENTRANK.INC($D$3:$D$6000,D4160,4)*5+0.000001,1)))</f>
        <v/>
      </c>
      <c r="H4160">
        <f>IF(A4160="","",E4160&amp;F4160&amp;G4160)</f>
        <v/>
      </c>
      <c r="I4160">
        <f>IF(A4160="","",IF(AND(E4160&gt;=4,F4160&gt;=4,G4160&gt;=4),"Juara",IF(AND(F4160&gt;=4,E4160&gt;=3),"Setia",IF(AND(E4160=5,F4160&lt;=2,G4160&gt;=3),"Berpotensi",IF(AND(E4160&lt;=3,E4160&gt;=2,F4160&gt;=3),"Rawan",IF(AND(E4160&lt;=2,F4160&lt;=2),"Tidur","Umum"))))))</f>
        <v/>
      </c>
    </row>
    <row r="4161">
      <c r="B4161">
        <f>IF(A4161="","",$B$1-MAXIFS(Donasi!$A$2:$A$20000,Donasi!$B$2:$B$20000,A4161))</f>
        <v/>
      </c>
      <c r="C4161">
        <f>IF(A4161="","",COUNTIF(Donasi!$B$2:$B$20000,A4161))</f>
        <v/>
      </c>
      <c r="D4161">
        <f>IF(A4161="","",SUMIF(Donasi!$B$2:$B$20000,A4161,Donasi!$C$2:$C$20000))</f>
        <v/>
      </c>
      <c r="E4161">
        <f>IF(A4161="","",6-CEILING(PERCENTRANK.INC($B$3:$B$6000,B4161,4)*5+0.000001,1))</f>
        <v/>
      </c>
      <c r="F4161">
        <f>IF(A4161="","",MAX(1,CEILING(PERCENTRANK.INC($C$3:$C$6000,C4161,4)*5+0.000001,1)))</f>
        <v/>
      </c>
      <c r="G4161">
        <f>IF(A4161="","",MAX(1,CEILING(PERCENTRANK.INC($D$3:$D$6000,D4161,4)*5+0.000001,1)))</f>
        <v/>
      </c>
      <c r="H4161">
        <f>IF(A4161="","",E4161&amp;F4161&amp;G4161)</f>
        <v/>
      </c>
      <c r="I4161">
        <f>IF(A4161="","",IF(AND(E4161&gt;=4,F4161&gt;=4,G4161&gt;=4),"Juara",IF(AND(F4161&gt;=4,E4161&gt;=3),"Setia",IF(AND(E4161=5,F4161&lt;=2,G4161&gt;=3),"Berpotensi",IF(AND(E4161&lt;=3,E4161&gt;=2,F4161&gt;=3),"Rawan",IF(AND(E4161&lt;=2,F4161&lt;=2),"Tidur","Umum"))))))</f>
        <v/>
      </c>
    </row>
    <row r="4162">
      <c r="B4162">
        <f>IF(A4162="","",$B$1-MAXIFS(Donasi!$A$2:$A$20000,Donasi!$B$2:$B$20000,A4162))</f>
        <v/>
      </c>
      <c r="C4162">
        <f>IF(A4162="","",COUNTIF(Donasi!$B$2:$B$20000,A4162))</f>
        <v/>
      </c>
      <c r="D4162">
        <f>IF(A4162="","",SUMIF(Donasi!$B$2:$B$20000,A4162,Donasi!$C$2:$C$20000))</f>
        <v/>
      </c>
      <c r="E4162">
        <f>IF(A4162="","",6-CEILING(PERCENTRANK.INC($B$3:$B$6000,B4162,4)*5+0.000001,1))</f>
        <v/>
      </c>
      <c r="F4162">
        <f>IF(A4162="","",MAX(1,CEILING(PERCENTRANK.INC($C$3:$C$6000,C4162,4)*5+0.000001,1)))</f>
        <v/>
      </c>
      <c r="G4162">
        <f>IF(A4162="","",MAX(1,CEILING(PERCENTRANK.INC($D$3:$D$6000,D4162,4)*5+0.000001,1)))</f>
        <v/>
      </c>
      <c r="H4162">
        <f>IF(A4162="","",E4162&amp;F4162&amp;G4162)</f>
        <v/>
      </c>
      <c r="I4162">
        <f>IF(A4162="","",IF(AND(E4162&gt;=4,F4162&gt;=4,G4162&gt;=4),"Juara",IF(AND(F4162&gt;=4,E4162&gt;=3),"Setia",IF(AND(E4162=5,F4162&lt;=2,G4162&gt;=3),"Berpotensi",IF(AND(E4162&lt;=3,E4162&gt;=2,F4162&gt;=3),"Rawan",IF(AND(E4162&lt;=2,F4162&lt;=2),"Tidur","Umum"))))))</f>
        <v/>
      </c>
    </row>
    <row r="4163">
      <c r="B4163">
        <f>IF(A4163="","",$B$1-MAXIFS(Donasi!$A$2:$A$20000,Donasi!$B$2:$B$20000,A4163))</f>
        <v/>
      </c>
      <c r="C4163">
        <f>IF(A4163="","",COUNTIF(Donasi!$B$2:$B$20000,A4163))</f>
        <v/>
      </c>
      <c r="D4163">
        <f>IF(A4163="","",SUMIF(Donasi!$B$2:$B$20000,A4163,Donasi!$C$2:$C$20000))</f>
        <v/>
      </c>
      <c r="E4163">
        <f>IF(A4163="","",6-CEILING(PERCENTRANK.INC($B$3:$B$6000,B4163,4)*5+0.000001,1))</f>
        <v/>
      </c>
      <c r="F4163">
        <f>IF(A4163="","",MAX(1,CEILING(PERCENTRANK.INC($C$3:$C$6000,C4163,4)*5+0.000001,1)))</f>
        <v/>
      </c>
      <c r="G4163">
        <f>IF(A4163="","",MAX(1,CEILING(PERCENTRANK.INC($D$3:$D$6000,D4163,4)*5+0.000001,1)))</f>
        <v/>
      </c>
      <c r="H4163">
        <f>IF(A4163="","",E4163&amp;F4163&amp;G4163)</f>
        <v/>
      </c>
      <c r="I4163">
        <f>IF(A4163="","",IF(AND(E4163&gt;=4,F4163&gt;=4,G4163&gt;=4),"Juara",IF(AND(F4163&gt;=4,E4163&gt;=3),"Setia",IF(AND(E4163=5,F4163&lt;=2,G4163&gt;=3),"Berpotensi",IF(AND(E4163&lt;=3,E4163&gt;=2,F4163&gt;=3),"Rawan",IF(AND(E4163&lt;=2,F4163&lt;=2),"Tidur","Umum"))))))</f>
        <v/>
      </c>
    </row>
    <row r="4164">
      <c r="B4164">
        <f>IF(A4164="","",$B$1-MAXIFS(Donasi!$A$2:$A$20000,Donasi!$B$2:$B$20000,A4164))</f>
        <v/>
      </c>
      <c r="C4164">
        <f>IF(A4164="","",COUNTIF(Donasi!$B$2:$B$20000,A4164))</f>
        <v/>
      </c>
      <c r="D4164">
        <f>IF(A4164="","",SUMIF(Donasi!$B$2:$B$20000,A4164,Donasi!$C$2:$C$20000))</f>
        <v/>
      </c>
      <c r="E4164">
        <f>IF(A4164="","",6-CEILING(PERCENTRANK.INC($B$3:$B$6000,B4164,4)*5+0.000001,1))</f>
        <v/>
      </c>
      <c r="F4164">
        <f>IF(A4164="","",MAX(1,CEILING(PERCENTRANK.INC($C$3:$C$6000,C4164,4)*5+0.000001,1)))</f>
        <v/>
      </c>
      <c r="G4164">
        <f>IF(A4164="","",MAX(1,CEILING(PERCENTRANK.INC($D$3:$D$6000,D4164,4)*5+0.000001,1)))</f>
        <v/>
      </c>
      <c r="H4164">
        <f>IF(A4164="","",E4164&amp;F4164&amp;G4164)</f>
        <v/>
      </c>
      <c r="I4164">
        <f>IF(A4164="","",IF(AND(E4164&gt;=4,F4164&gt;=4,G4164&gt;=4),"Juara",IF(AND(F4164&gt;=4,E4164&gt;=3),"Setia",IF(AND(E4164=5,F4164&lt;=2,G4164&gt;=3),"Berpotensi",IF(AND(E4164&lt;=3,E4164&gt;=2,F4164&gt;=3),"Rawan",IF(AND(E4164&lt;=2,F4164&lt;=2),"Tidur","Umum"))))))</f>
        <v/>
      </c>
    </row>
    <row r="4165">
      <c r="B4165">
        <f>IF(A4165="","",$B$1-MAXIFS(Donasi!$A$2:$A$20000,Donasi!$B$2:$B$20000,A4165))</f>
        <v/>
      </c>
      <c r="C4165">
        <f>IF(A4165="","",COUNTIF(Donasi!$B$2:$B$20000,A4165))</f>
        <v/>
      </c>
      <c r="D4165">
        <f>IF(A4165="","",SUMIF(Donasi!$B$2:$B$20000,A4165,Donasi!$C$2:$C$20000))</f>
        <v/>
      </c>
      <c r="E4165">
        <f>IF(A4165="","",6-CEILING(PERCENTRANK.INC($B$3:$B$6000,B4165,4)*5+0.000001,1))</f>
        <v/>
      </c>
      <c r="F4165">
        <f>IF(A4165="","",MAX(1,CEILING(PERCENTRANK.INC($C$3:$C$6000,C4165,4)*5+0.000001,1)))</f>
        <v/>
      </c>
      <c r="G4165">
        <f>IF(A4165="","",MAX(1,CEILING(PERCENTRANK.INC($D$3:$D$6000,D4165,4)*5+0.000001,1)))</f>
        <v/>
      </c>
      <c r="H4165">
        <f>IF(A4165="","",E4165&amp;F4165&amp;G4165)</f>
        <v/>
      </c>
      <c r="I4165">
        <f>IF(A4165="","",IF(AND(E4165&gt;=4,F4165&gt;=4,G4165&gt;=4),"Juara",IF(AND(F4165&gt;=4,E4165&gt;=3),"Setia",IF(AND(E4165=5,F4165&lt;=2,G4165&gt;=3),"Berpotensi",IF(AND(E4165&lt;=3,E4165&gt;=2,F4165&gt;=3),"Rawan",IF(AND(E4165&lt;=2,F4165&lt;=2),"Tidur","Umum"))))))</f>
        <v/>
      </c>
    </row>
    <row r="4166">
      <c r="B4166">
        <f>IF(A4166="","",$B$1-MAXIFS(Donasi!$A$2:$A$20000,Donasi!$B$2:$B$20000,A4166))</f>
        <v/>
      </c>
      <c r="C4166">
        <f>IF(A4166="","",COUNTIF(Donasi!$B$2:$B$20000,A4166))</f>
        <v/>
      </c>
      <c r="D4166">
        <f>IF(A4166="","",SUMIF(Donasi!$B$2:$B$20000,A4166,Donasi!$C$2:$C$20000))</f>
        <v/>
      </c>
      <c r="E4166">
        <f>IF(A4166="","",6-CEILING(PERCENTRANK.INC($B$3:$B$6000,B4166,4)*5+0.000001,1))</f>
        <v/>
      </c>
      <c r="F4166">
        <f>IF(A4166="","",MAX(1,CEILING(PERCENTRANK.INC($C$3:$C$6000,C4166,4)*5+0.000001,1)))</f>
        <v/>
      </c>
      <c r="G4166">
        <f>IF(A4166="","",MAX(1,CEILING(PERCENTRANK.INC($D$3:$D$6000,D4166,4)*5+0.000001,1)))</f>
        <v/>
      </c>
      <c r="H4166">
        <f>IF(A4166="","",E4166&amp;F4166&amp;G4166)</f>
        <v/>
      </c>
      <c r="I4166">
        <f>IF(A4166="","",IF(AND(E4166&gt;=4,F4166&gt;=4,G4166&gt;=4),"Juara",IF(AND(F4166&gt;=4,E4166&gt;=3),"Setia",IF(AND(E4166=5,F4166&lt;=2,G4166&gt;=3),"Berpotensi",IF(AND(E4166&lt;=3,E4166&gt;=2,F4166&gt;=3),"Rawan",IF(AND(E4166&lt;=2,F4166&lt;=2),"Tidur","Umum"))))))</f>
        <v/>
      </c>
    </row>
    <row r="4167">
      <c r="B4167">
        <f>IF(A4167="","",$B$1-MAXIFS(Donasi!$A$2:$A$20000,Donasi!$B$2:$B$20000,A4167))</f>
        <v/>
      </c>
      <c r="C4167">
        <f>IF(A4167="","",COUNTIF(Donasi!$B$2:$B$20000,A4167))</f>
        <v/>
      </c>
      <c r="D4167">
        <f>IF(A4167="","",SUMIF(Donasi!$B$2:$B$20000,A4167,Donasi!$C$2:$C$20000))</f>
        <v/>
      </c>
      <c r="E4167">
        <f>IF(A4167="","",6-CEILING(PERCENTRANK.INC($B$3:$B$6000,B4167,4)*5+0.000001,1))</f>
        <v/>
      </c>
      <c r="F4167">
        <f>IF(A4167="","",MAX(1,CEILING(PERCENTRANK.INC($C$3:$C$6000,C4167,4)*5+0.000001,1)))</f>
        <v/>
      </c>
      <c r="G4167">
        <f>IF(A4167="","",MAX(1,CEILING(PERCENTRANK.INC($D$3:$D$6000,D4167,4)*5+0.000001,1)))</f>
        <v/>
      </c>
      <c r="H4167">
        <f>IF(A4167="","",E4167&amp;F4167&amp;G4167)</f>
        <v/>
      </c>
      <c r="I4167">
        <f>IF(A4167="","",IF(AND(E4167&gt;=4,F4167&gt;=4,G4167&gt;=4),"Juara",IF(AND(F4167&gt;=4,E4167&gt;=3),"Setia",IF(AND(E4167=5,F4167&lt;=2,G4167&gt;=3),"Berpotensi",IF(AND(E4167&lt;=3,E4167&gt;=2,F4167&gt;=3),"Rawan",IF(AND(E4167&lt;=2,F4167&lt;=2),"Tidur","Umum"))))))</f>
        <v/>
      </c>
    </row>
    <row r="4168">
      <c r="B4168">
        <f>IF(A4168="","",$B$1-MAXIFS(Donasi!$A$2:$A$20000,Donasi!$B$2:$B$20000,A4168))</f>
        <v/>
      </c>
      <c r="C4168">
        <f>IF(A4168="","",COUNTIF(Donasi!$B$2:$B$20000,A4168))</f>
        <v/>
      </c>
      <c r="D4168">
        <f>IF(A4168="","",SUMIF(Donasi!$B$2:$B$20000,A4168,Donasi!$C$2:$C$20000))</f>
        <v/>
      </c>
      <c r="E4168">
        <f>IF(A4168="","",6-CEILING(PERCENTRANK.INC($B$3:$B$6000,B4168,4)*5+0.000001,1))</f>
        <v/>
      </c>
      <c r="F4168">
        <f>IF(A4168="","",MAX(1,CEILING(PERCENTRANK.INC($C$3:$C$6000,C4168,4)*5+0.000001,1)))</f>
        <v/>
      </c>
      <c r="G4168">
        <f>IF(A4168="","",MAX(1,CEILING(PERCENTRANK.INC($D$3:$D$6000,D4168,4)*5+0.000001,1)))</f>
        <v/>
      </c>
      <c r="H4168">
        <f>IF(A4168="","",E4168&amp;F4168&amp;G4168)</f>
        <v/>
      </c>
      <c r="I4168">
        <f>IF(A4168="","",IF(AND(E4168&gt;=4,F4168&gt;=4,G4168&gt;=4),"Juara",IF(AND(F4168&gt;=4,E4168&gt;=3),"Setia",IF(AND(E4168=5,F4168&lt;=2,G4168&gt;=3),"Berpotensi",IF(AND(E4168&lt;=3,E4168&gt;=2,F4168&gt;=3),"Rawan",IF(AND(E4168&lt;=2,F4168&lt;=2),"Tidur","Umum"))))))</f>
        <v/>
      </c>
    </row>
    <row r="4169">
      <c r="B4169">
        <f>IF(A4169="","",$B$1-MAXIFS(Donasi!$A$2:$A$20000,Donasi!$B$2:$B$20000,A4169))</f>
        <v/>
      </c>
      <c r="C4169">
        <f>IF(A4169="","",COUNTIF(Donasi!$B$2:$B$20000,A4169))</f>
        <v/>
      </c>
      <c r="D4169">
        <f>IF(A4169="","",SUMIF(Donasi!$B$2:$B$20000,A4169,Donasi!$C$2:$C$20000))</f>
        <v/>
      </c>
      <c r="E4169">
        <f>IF(A4169="","",6-CEILING(PERCENTRANK.INC($B$3:$B$6000,B4169,4)*5+0.000001,1))</f>
        <v/>
      </c>
      <c r="F4169">
        <f>IF(A4169="","",MAX(1,CEILING(PERCENTRANK.INC($C$3:$C$6000,C4169,4)*5+0.000001,1)))</f>
        <v/>
      </c>
      <c r="G4169">
        <f>IF(A4169="","",MAX(1,CEILING(PERCENTRANK.INC($D$3:$D$6000,D4169,4)*5+0.000001,1)))</f>
        <v/>
      </c>
      <c r="H4169">
        <f>IF(A4169="","",E4169&amp;F4169&amp;G4169)</f>
        <v/>
      </c>
      <c r="I4169">
        <f>IF(A4169="","",IF(AND(E4169&gt;=4,F4169&gt;=4,G4169&gt;=4),"Juara",IF(AND(F4169&gt;=4,E4169&gt;=3),"Setia",IF(AND(E4169=5,F4169&lt;=2,G4169&gt;=3),"Berpotensi",IF(AND(E4169&lt;=3,E4169&gt;=2,F4169&gt;=3),"Rawan",IF(AND(E4169&lt;=2,F4169&lt;=2),"Tidur","Umum"))))))</f>
        <v/>
      </c>
    </row>
    <row r="4170">
      <c r="B4170">
        <f>IF(A4170="","",$B$1-MAXIFS(Donasi!$A$2:$A$20000,Donasi!$B$2:$B$20000,A4170))</f>
        <v/>
      </c>
      <c r="C4170">
        <f>IF(A4170="","",COUNTIF(Donasi!$B$2:$B$20000,A4170))</f>
        <v/>
      </c>
      <c r="D4170">
        <f>IF(A4170="","",SUMIF(Donasi!$B$2:$B$20000,A4170,Donasi!$C$2:$C$20000))</f>
        <v/>
      </c>
      <c r="E4170">
        <f>IF(A4170="","",6-CEILING(PERCENTRANK.INC($B$3:$B$6000,B4170,4)*5+0.000001,1))</f>
        <v/>
      </c>
      <c r="F4170">
        <f>IF(A4170="","",MAX(1,CEILING(PERCENTRANK.INC($C$3:$C$6000,C4170,4)*5+0.000001,1)))</f>
        <v/>
      </c>
      <c r="G4170">
        <f>IF(A4170="","",MAX(1,CEILING(PERCENTRANK.INC($D$3:$D$6000,D4170,4)*5+0.000001,1)))</f>
        <v/>
      </c>
      <c r="H4170">
        <f>IF(A4170="","",E4170&amp;F4170&amp;G4170)</f>
        <v/>
      </c>
      <c r="I4170">
        <f>IF(A4170="","",IF(AND(E4170&gt;=4,F4170&gt;=4,G4170&gt;=4),"Juara",IF(AND(F4170&gt;=4,E4170&gt;=3),"Setia",IF(AND(E4170=5,F4170&lt;=2,G4170&gt;=3),"Berpotensi",IF(AND(E4170&lt;=3,E4170&gt;=2,F4170&gt;=3),"Rawan",IF(AND(E4170&lt;=2,F4170&lt;=2),"Tidur","Umum"))))))</f>
        <v/>
      </c>
    </row>
    <row r="4171">
      <c r="B4171">
        <f>IF(A4171="","",$B$1-MAXIFS(Donasi!$A$2:$A$20000,Donasi!$B$2:$B$20000,A4171))</f>
        <v/>
      </c>
      <c r="C4171">
        <f>IF(A4171="","",COUNTIF(Donasi!$B$2:$B$20000,A4171))</f>
        <v/>
      </c>
      <c r="D4171">
        <f>IF(A4171="","",SUMIF(Donasi!$B$2:$B$20000,A4171,Donasi!$C$2:$C$20000))</f>
        <v/>
      </c>
      <c r="E4171">
        <f>IF(A4171="","",6-CEILING(PERCENTRANK.INC($B$3:$B$6000,B4171,4)*5+0.000001,1))</f>
        <v/>
      </c>
      <c r="F4171">
        <f>IF(A4171="","",MAX(1,CEILING(PERCENTRANK.INC($C$3:$C$6000,C4171,4)*5+0.000001,1)))</f>
        <v/>
      </c>
      <c r="G4171">
        <f>IF(A4171="","",MAX(1,CEILING(PERCENTRANK.INC($D$3:$D$6000,D4171,4)*5+0.000001,1)))</f>
        <v/>
      </c>
      <c r="H4171">
        <f>IF(A4171="","",E4171&amp;F4171&amp;G4171)</f>
        <v/>
      </c>
      <c r="I4171">
        <f>IF(A4171="","",IF(AND(E4171&gt;=4,F4171&gt;=4,G4171&gt;=4),"Juara",IF(AND(F4171&gt;=4,E4171&gt;=3),"Setia",IF(AND(E4171=5,F4171&lt;=2,G4171&gt;=3),"Berpotensi",IF(AND(E4171&lt;=3,E4171&gt;=2,F4171&gt;=3),"Rawan",IF(AND(E4171&lt;=2,F4171&lt;=2),"Tidur","Umum"))))))</f>
        <v/>
      </c>
    </row>
    <row r="4172">
      <c r="B4172">
        <f>IF(A4172="","",$B$1-MAXIFS(Donasi!$A$2:$A$20000,Donasi!$B$2:$B$20000,A4172))</f>
        <v/>
      </c>
      <c r="C4172">
        <f>IF(A4172="","",COUNTIF(Donasi!$B$2:$B$20000,A4172))</f>
        <v/>
      </c>
      <c r="D4172">
        <f>IF(A4172="","",SUMIF(Donasi!$B$2:$B$20000,A4172,Donasi!$C$2:$C$20000))</f>
        <v/>
      </c>
      <c r="E4172">
        <f>IF(A4172="","",6-CEILING(PERCENTRANK.INC($B$3:$B$6000,B4172,4)*5+0.000001,1))</f>
        <v/>
      </c>
      <c r="F4172">
        <f>IF(A4172="","",MAX(1,CEILING(PERCENTRANK.INC($C$3:$C$6000,C4172,4)*5+0.000001,1)))</f>
        <v/>
      </c>
      <c r="G4172">
        <f>IF(A4172="","",MAX(1,CEILING(PERCENTRANK.INC($D$3:$D$6000,D4172,4)*5+0.000001,1)))</f>
        <v/>
      </c>
      <c r="H4172">
        <f>IF(A4172="","",E4172&amp;F4172&amp;G4172)</f>
        <v/>
      </c>
      <c r="I4172">
        <f>IF(A4172="","",IF(AND(E4172&gt;=4,F4172&gt;=4,G4172&gt;=4),"Juara",IF(AND(F4172&gt;=4,E4172&gt;=3),"Setia",IF(AND(E4172=5,F4172&lt;=2,G4172&gt;=3),"Berpotensi",IF(AND(E4172&lt;=3,E4172&gt;=2,F4172&gt;=3),"Rawan",IF(AND(E4172&lt;=2,F4172&lt;=2),"Tidur","Umum"))))))</f>
        <v/>
      </c>
    </row>
    <row r="4173">
      <c r="B4173">
        <f>IF(A4173="","",$B$1-MAXIFS(Donasi!$A$2:$A$20000,Donasi!$B$2:$B$20000,A4173))</f>
        <v/>
      </c>
      <c r="C4173">
        <f>IF(A4173="","",COUNTIF(Donasi!$B$2:$B$20000,A4173))</f>
        <v/>
      </c>
      <c r="D4173">
        <f>IF(A4173="","",SUMIF(Donasi!$B$2:$B$20000,A4173,Donasi!$C$2:$C$20000))</f>
        <v/>
      </c>
      <c r="E4173">
        <f>IF(A4173="","",6-CEILING(PERCENTRANK.INC($B$3:$B$6000,B4173,4)*5+0.000001,1))</f>
        <v/>
      </c>
      <c r="F4173">
        <f>IF(A4173="","",MAX(1,CEILING(PERCENTRANK.INC($C$3:$C$6000,C4173,4)*5+0.000001,1)))</f>
        <v/>
      </c>
      <c r="G4173">
        <f>IF(A4173="","",MAX(1,CEILING(PERCENTRANK.INC($D$3:$D$6000,D4173,4)*5+0.000001,1)))</f>
        <v/>
      </c>
      <c r="H4173">
        <f>IF(A4173="","",E4173&amp;F4173&amp;G4173)</f>
        <v/>
      </c>
      <c r="I4173">
        <f>IF(A4173="","",IF(AND(E4173&gt;=4,F4173&gt;=4,G4173&gt;=4),"Juara",IF(AND(F4173&gt;=4,E4173&gt;=3),"Setia",IF(AND(E4173=5,F4173&lt;=2,G4173&gt;=3),"Berpotensi",IF(AND(E4173&lt;=3,E4173&gt;=2,F4173&gt;=3),"Rawan",IF(AND(E4173&lt;=2,F4173&lt;=2),"Tidur","Umum"))))))</f>
        <v/>
      </c>
    </row>
    <row r="4174">
      <c r="B4174">
        <f>IF(A4174="","",$B$1-MAXIFS(Donasi!$A$2:$A$20000,Donasi!$B$2:$B$20000,A4174))</f>
        <v/>
      </c>
      <c r="C4174">
        <f>IF(A4174="","",COUNTIF(Donasi!$B$2:$B$20000,A4174))</f>
        <v/>
      </c>
      <c r="D4174">
        <f>IF(A4174="","",SUMIF(Donasi!$B$2:$B$20000,A4174,Donasi!$C$2:$C$20000))</f>
        <v/>
      </c>
      <c r="E4174">
        <f>IF(A4174="","",6-CEILING(PERCENTRANK.INC($B$3:$B$6000,B4174,4)*5+0.000001,1))</f>
        <v/>
      </c>
      <c r="F4174">
        <f>IF(A4174="","",MAX(1,CEILING(PERCENTRANK.INC($C$3:$C$6000,C4174,4)*5+0.000001,1)))</f>
        <v/>
      </c>
      <c r="G4174">
        <f>IF(A4174="","",MAX(1,CEILING(PERCENTRANK.INC($D$3:$D$6000,D4174,4)*5+0.000001,1)))</f>
        <v/>
      </c>
      <c r="H4174">
        <f>IF(A4174="","",E4174&amp;F4174&amp;G4174)</f>
        <v/>
      </c>
      <c r="I4174">
        <f>IF(A4174="","",IF(AND(E4174&gt;=4,F4174&gt;=4,G4174&gt;=4),"Juara",IF(AND(F4174&gt;=4,E4174&gt;=3),"Setia",IF(AND(E4174=5,F4174&lt;=2,G4174&gt;=3),"Berpotensi",IF(AND(E4174&lt;=3,E4174&gt;=2,F4174&gt;=3),"Rawan",IF(AND(E4174&lt;=2,F4174&lt;=2),"Tidur","Umum"))))))</f>
        <v/>
      </c>
    </row>
    <row r="4175">
      <c r="B4175">
        <f>IF(A4175="","",$B$1-MAXIFS(Donasi!$A$2:$A$20000,Donasi!$B$2:$B$20000,A4175))</f>
        <v/>
      </c>
      <c r="C4175">
        <f>IF(A4175="","",COUNTIF(Donasi!$B$2:$B$20000,A4175))</f>
        <v/>
      </c>
      <c r="D4175">
        <f>IF(A4175="","",SUMIF(Donasi!$B$2:$B$20000,A4175,Donasi!$C$2:$C$20000))</f>
        <v/>
      </c>
      <c r="E4175">
        <f>IF(A4175="","",6-CEILING(PERCENTRANK.INC($B$3:$B$6000,B4175,4)*5+0.000001,1))</f>
        <v/>
      </c>
      <c r="F4175">
        <f>IF(A4175="","",MAX(1,CEILING(PERCENTRANK.INC($C$3:$C$6000,C4175,4)*5+0.000001,1)))</f>
        <v/>
      </c>
      <c r="G4175">
        <f>IF(A4175="","",MAX(1,CEILING(PERCENTRANK.INC($D$3:$D$6000,D4175,4)*5+0.000001,1)))</f>
        <v/>
      </c>
      <c r="H4175">
        <f>IF(A4175="","",E4175&amp;F4175&amp;G4175)</f>
        <v/>
      </c>
      <c r="I4175">
        <f>IF(A4175="","",IF(AND(E4175&gt;=4,F4175&gt;=4,G4175&gt;=4),"Juara",IF(AND(F4175&gt;=4,E4175&gt;=3),"Setia",IF(AND(E4175=5,F4175&lt;=2,G4175&gt;=3),"Berpotensi",IF(AND(E4175&lt;=3,E4175&gt;=2,F4175&gt;=3),"Rawan",IF(AND(E4175&lt;=2,F4175&lt;=2),"Tidur","Umum"))))))</f>
        <v/>
      </c>
    </row>
    <row r="4176">
      <c r="B4176">
        <f>IF(A4176="","",$B$1-MAXIFS(Donasi!$A$2:$A$20000,Donasi!$B$2:$B$20000,A4176))</f>
        <v/>
      </c>
      <c r="C4176">
        <f>IF(A4176="","",COUNTIF(Donasi!$B$2:$B$20000,A4176))</f>
        <v/>
      </c>
      <c r="D4176">
        <f>IF(A4176="","",SUMIF(Donasi!$B$2:$B$20000,A4176,Donasi!$C$2:$C$20000))</f>
        <v/>
      </c>
      <c r="E4176">
        <f>IF(A4176="","",6-CEILING(PERCENTRANK.INC($B$3:$B$6000,B4176,4)*5+0.000001,1))</f>
        <v/>
      </c>
      <c r="F4176">
        <f>IF(A4176="","",MAX(1,CEILING(PERCENTRANK.INC($C$3:$C$6000,C4176,4)*5+0.000001,1)))</f>
        <v/>
      </c>
      <c r="G4176">
        <f>IF(A4176="","",MAX(1,CEILING(PERCENTRANK.INC($D$3:$D$6000,D4176,4)*5+0.000001,1)))</f>
        <v/>
      </c>
      <c r="H4176">
        <f>IF(A4176="","",E4176&amp;F4176&amp;G4176)</f>
        <v/>
      </c>
      <c r="I4176">
        <f>IF(A4176="","",IF(AND(E4176&gt;=4,F4176&gt;=4,G4176&gt;=4),"Juara",IF(AND(F4176&gt;=4,E4176&gt;=3),"Setia",IF(AND(E4176=5,F4176&lt;=2,G4176&gt;=3),"Berpotensi",IF(AND(E4176&lt;=3,E4176&gt;=2,F4176&gt;=3),"Rawan",IF(AND(E4176&lt;=2,F4176&lt;=2),"Tidur","Umum"))))))</f>
        <v/>
      </c>
    </row>
    <row r="4177">
      <c r="B4177">
        <f>IF(A4177="","",$B$1-MAXIFS(Donasi!$A$2:$A$20000,Donasi!$B$2:$B$20000,A4177))</f>
        <v/>
      </c>
      <c r="C4177">
        <f>IF(A4177="","",COUNTIF(Donasi!$B$2:$B$20000,A4177))</f>
        <v/>
      </c>
      <c r="D4177">
        <f>IF(A4177="","",SUMIF(Donasi!$B$2:$B$20000,A4177,Donasi!$C$2:$C$20000))</f>
        <v/>
      </c>
      <c r="E4177">
        <f>IF(A4177="","",6-CEILING(PERCENTRANK.INC($B$3:$B$6000,B4177,4)*5+0.000001,1))</f>
        <v/>
      </c>
      <c r="F4177">
        <f>IF(A4177="","",MAX(1,CEILING(PERCENTRANK.INC($C$3:$C$6000,C4177,4)*5+0.000001,1)))</f>
        <v/>
      </c>
      <c r="G4177">
        <f>IF(A4177="","",MAX(1,CEILING(PERCENTRANK.INC($D$3:$D$6000,D4177,4)*5+0.000001,1)))</f>
        <v/>
      </c>
      <c r="H4177">
        <f>IF(A4177="","",E4177&amp;F4177&amp;G4177)</f>
        <v/>
      </c>
      <c r="I4177">
        <f>IF(A4177="","",IF(AND(E4177&gt;=4,F4177&gt;=4,G4177&gt;=4),"Juara",IF(AND(F4177&gt;=4,E4177&gt;=3),"Setia",IF(AND(E4177=5,F4177&lt;=2,G4177&gt;=3),"Berpotensi",IF(AND(E4177&lt;=3,E4177&gt;=2,F4177&gt;=3),"Rawan",IF(AND(E4177&lt;=2,F4177&lt;=2),"Tidur","Umum"))))))</f>
        <v/>
      </c>
    </row>
    <row r="4178">
      <c r="B4178">
        <f>IF(A4178="","",$B$1-MAXIFS(Donasi!$A$2:$A$20000,Donasi!$B$2:$B$20000,A4178))</f>
        <v/>
      </c>
      <c r="C4178">
        <f>IF(A4178="","",COUNTIF(Donasi!$B$2:$B$20000,A4178))</f>
        <v/>
      </c>
      <c r="D4178">
        <f>IF(A4178="","",SUMIF(Donasi!$B$2:$B$20000,A4178,Donasi!$C$2:$C$20000))</f>
        <v/>
      </c>
      <c r="E4178">
        <f>IF(A4178="","",6-CEILING(PERCENTRANK.INC($B$3:$B$6000,B4178,4)*5+0.000001,1))</f>
        <v/>
      </c>
      <c r="F4178">
        <f>IF(A4178="","",MAX(1,CEILING(PERCENTRANK.INC($C$3:$C$6000,C4178,4)*5+0.000001,1)))</f>
        <v/>
      </c>
      <c r="G4178">
        <f>IF(A4178="","",MAX(1,CEILING(PERCENTRANK.INC($D$3:$D$6000,D4178,4)*5+0.000001,1)))</f>
        <v/>
      </c>
      <c r="H4178">
        <f>IF(A4178="","",E4178&amp;F4178&amp;G4178)</f>
        <v/>
      </c>
      <c r="I4178">
        <f>IF(A4178="","",IF(AND(E4178&gt;=4,F4178&gt;=4,G4178&gt;=4),"Juara",IF(AND(F4178&gt;=4,E4178&gt;=3),"Setia",IF(AND(E4178=5,F4178&lt;=2,G4178&gt;=3),"Berpotensi",IF(AND(E4178&lt;=3,E4178&gt;=2,F4178&gt;=3),"Rawan",IF(AND(E4178&lt;=2,F4178&lt;=2),"Tidur","Umum"))))))</f>
        <v/>
      </c>
    </row>
    <row r="4179">
      <c r="B4179">
        <f>IF(A4179="","",$B$1-MAXIFS(Donasi!$A$2:$A$20000,Donasi!$B$2:$B$20000,A4179))</f>
        <v/>
      </c>
      <c r="C4179">
        <f>IF(A4179="","",COUNTIF(Donasi!$B$2:$B$20000,A4179))</f>
        <v/>
      </c>
      <c r="D4179">
        <f>IF(A4179="","",SUMIF(Donasi!$B$2:$B$20000,A4179,Donasi!$C$2:$C$20000))</f>
        <v/>
      </c>
      <c r="E4179">
        <f>IF(A4179="","",6-CEILING(PERCENTRANK.INC($B$3:$B$6000,B4179,4)*5+0.000001,1))</f>
        <v/>
      </c>
      <c r="F4179">
        <f>IF(A4179="","",MAX(1,CEILING(PERCENTRANK.INC($C$3:$C$6000,C4179,4)*5+0.000001,1)))</f>
        <v/>
      </c>
      <c r="G4179">
        <f>IF(A4179="","",MAX(1,CEILING(PERCENTRANK.INC($D$3:$D$6000,D4179,4)*5+0.000001,1)))</f>
        <v/>
      </c>
      <c r="H4179">
        <f>IF(A4179="","",E4179&amp;F4179&amp;G4179)</f>
        <v/>
      </c>
      <c r="I4179">
        <f>IF(A4179="","",IF(AND(E4179&gt;=4,F4179&gt;=4,G4179&gt;=4),"Juara",IF(AND(F4179&gt;=4,E4179&gt;=3),"Setia",IF(AND(E4179=5,F4179&lt;=2,G4179&gt;=3),"Berpotensi",IF(AND(E4179&lt;=3,E4179&gt;=2,F4179&gt;=3),"Rawan",IF(AND(E4179&lt;=2,F4179&lt;=2),"Tidur","Umum"))))))</f>
        <v/>
      </c>
    </row>
    <row r="4180">
      <c r="B4180">
        <f>IF(A4180="","",$B$1-MAXIFS(Donasi!$A$2:$A$20000,Donasi!$B$2:$B$20000,A4180))</f>
        <v/>
      </c>
      <c r="C4180">
        <f>IF(A4180="","",COUNTIF(Donasi!$B$2:$B$20000,A4180))</f>
        <v/>
      </c>
      <c r="D4180">
        <f>IF(A4180="","",SUMIF(Donasi!$B$2:$B$20000,A4180,Donasi!$C$2:$C$20000))</f>
        <v/>
      </c>
      <c r="E4180">
        <f>IF(A4180="","",6-CEILING(PERCENTRANK.INC($B$3:$B$6000,B4180,4)*5+0.000001,1))</f>
        <v/>
      </c>
      <c r="F4180">
        <f>IF(A4180="","",MAX(1,CEILING(PERCENTRANK.INC($C$3:$C$6000,C4180,4)*5+0.000001,1)))</f>
        <v/>
      </c>
      <c r="G4180">
        <f>IF(A4180="","",MAX(1,CEILING(PERCENTRANK.INC($D$3:$D$6000,D4180,4)*5+0.000001,1)))</f>
        <v/>
      </c>
      <c r="H4180">
        <f>IF(A4180="","",E4180&amp;F4180&amp;G4180)</f>
        <v/>
      </c>
      <c r="I4180">
        <f>IF(A4180="","",IF(AND(E4180&gt;=4,F4180&gt;=4,G4180&gt;=4),"Juara",IF(AND(F4180&gt;=4,E4180&gt;=3),"Setia",IF(AND(E4180=5,F4180&lt;=2,G4180&gt;=3),"Berpotensi",IF(AND(E4180&lt;=3,E4180&gt;=2,F4180&gt;=3),"Rawan",IF(AND(E4180&lt;=2,F4180&lt;=2),"Tidur","Umum"))))))</f>
        <v/>
      </c>
    </row>
    <row r="4181">
      <c r="B4181">
        <f>IF(A4181="","",$B$1-MAXIFS(Donasi!$A$2:$A$20000,Donasi!$B$2:$B$20000,A4181))</f>
        <v/>
      </c>
      <c r="C4181">
        <f>IF(A4181="","",COUNTIF(Donasi!$B$2:$B$20000,A4181))</f>
        <v/>
      </c>
      <c r="D4181">
        <f>IF(A4181="","",SUMIF(Donasi!$B$2:$B$20000,A4181,Donasi!$C$2:$C$20000))</f>
        <v/>
      </c>
      <c r="E4181">
        <f>IF(A4181="","",6-CEILING(PERCENTRANK.INC($B$3:$B$6000,B4181,4)*5+0.000001,1))</f>
        <v/>
      </c>
      <c r="F4181">
        <f>IF(A4181="","",MAX(1,CEILING(PERCENTRANK.INC($C$3:$C$6000,C4181,4)*5+0.000001,1)))</f>
        <v/>
      </c>
      <c r="G4181">
        <f>IF(A4181="","",MAX(1,CEILING(PERCENTRANK.INC($D$3:$D$6000,D4181,4)*5+0.000001,1)))</f>
        <v/>
      </c>
      <c r="H4181">
        <f>IF(A4181="","",E4181&amp;F4181&amp;G4181)</f>
        <v/>
      </c>
      <c r="I4181">
        <f>IF(A4181="","",IF(AND(E4181&gt;=4,F4181&gt;=4,G4181&gt;=4),"Juara",IF(AND(F4181&gt;=4,E4181&gt;=3),"Setia",IF(AND(E4181=5,F4181&lt;=2,G4181&gt;=3),"Berpotensi",IF(AND(E4181&lt;=3,E4181&gt;=2,F4181&gt;=3),"Rawan",IF(AND(E4181&lt;=2,F4181&lt;=2),"Tidur","Umum"))))))</f>
        <v/>
      </c>
    </row>
    <row r="4182">
      <c r="B4182">
        <f>IF(A4182="","",$B$1-MAXIFS(Donasi!$A$2:$A$20000,Donasi!$B$2:$B$20000,A4182))</f>
        <v/>
      </c>
      <c r="C4182">
        <f>IF(A4182="","",COUNTIF(Donasi!$B$2:$B$20000,A4182))</f>
        <v/>
      </c>
      <c r="D4182">
        <f>IF(A4182="","",SUMIF(Donasi!$B$2:$B$20000,A4182,Donasi!$C$2:$C$20000))</f>
        <v/>
      </c>
      <c r="E4182">
        <f>IF(A4182="","",6-CEILING(PERCENTRANK.INC($B$3:$B$6000,B4182,4)*5+0.000001,1))</f>
        <v/>
      </c>
      <c r="F4182">
        <f>IF(A4182="","",MAX(1,CEILING(PERCENTRANK.INC($C$3:$C$6000,C4182,4)*5+0.000001,1)))</f>
        <v/>
      </c>
      <c r="G4182">
        <f>IF(A4182="","",MAX(1,CEILING(PERCENTRANK.INC($D$3:$D$6000,D4182,4)*5+0.000001,1)))</f>
        <v/>
      </c>
      <c r="H4182">
        <f>IF(A4182="","",E4182&amp;F4182&amp;G4182)</f>
        <v/>
      </c>
      <c r="I4182">
        <f>IF(A4182="","",IF(AND(E4182&gt;=4,F4182&gt;=4,G4182&gt;=4),"Juara",IF(AND(F4182&gt;=4,E4182&gt;=3),"Setia",IF(AND(E4182=5,F4182&lt;=2,G4182&gt;=3),"Berpotensi",IF(AND(E4182&lt;=3,E4182&gt;=2,F4182&gt;=3),"Rawan",IF(AND(E4182&lt;=2,F4182&lt;=2),"Tidur","Umum"))))))</f>
        <v/>
      </c>
    </row>
    <row r="4183">
      <c r="B4183">
        <f>IF(A4183="","",$B$1-MAXIFS(Donasi!$A$2:$A$20000,Donasi!$B$2:$B$20000,A4183))</f>
        <v/>
      </c>
      <c r="C4183">
        <f>IF(A4183="","",COUNTIF(Donasi!$B$2:$B$20000,A4183))</f>
        <v/>
      </c>
      <c r="D4183">
        <f>IF(A4183="","",SUMIF(Donasi!$B$2:$B$20000,A4183,Donasi!$C$2:$C$20000))</f>
        <v/>
      </c>
      <c r="E4183">
        <f>IF(A4183="","",6-CEILING(PERCENTRANK.INC($B$3:$B$6000,B4183,4)*5+0.000001,1))</f>
        <v/>
      </c>
      <c r="F4183">
        <f>IF(A4183="","",MAX(1,CEILING(PERCENTRANK.INC($C$3:$C$6000,C4183,4)*5+0.000001,1)))</f>
        <v/>
      </c>
      <c r="G4183">
        <f>IF(A4183="","",MAX(1,CEILING(PERCENTRANK.INC($D$3:$D$6000,D4183,4)*5+0.000001,1)))</f>
        <v/>
      </c>
      <c r="H4183">
        <f>IF(A4183="","",E4183&amp;F4183&amp;G4183)</f>
        <v/>
      </c>
      <c r="I4183">
        <f>IF(A4183="","",IF(AND(E4183&gt;=4,F4183&gt;=4,G4183&gt;=4),"Juara",IF(AND(F4183&gt;=4,E4183&gt;=3),"Setia",IF(AND(E4183=5,F4183&lt;=2,G4183&gt;=3),"Berpotensi",IF(AND(E4183&lt;=3,E4183&gt;=2,F4183&gt;=3),"Rawan",IF(AND(E4183&lt;=2,F4183&lt;=2),"Tidur","Umum"))))))</f>
        <v/>
      </c>
    </row>
    <row r="4184">
      <c r="B4184">
        <f>IF(A4184="","",$B$1-MAXIFS(Donasi!$A$2:$A$20000,Donasi!$B$2:$B$20000,A4184))</f>
        <v/>
      </c>
      <c r="C4184">
        <f>IF(A4184="","",COUNTIF(Donasi!$B$2:$B$20000,A4184))</f>
        <v/>
      </c>
      <c r="D4184">
        <f>IF(A4184="","",SUMIF(Donasi!$B$2:$B$20000,A4184,Donasi!$C$2:$C$20000))</f>
        <v/>
      </c>
      <c r="E4184">
        <f>IF(A4184="","",6-CEILING(PERCENTRANK.INC($B$3:$B$6000,B4184,4)*5+0.000001,1))</f>
        <v/>
      </c>
      <c r="F4184">
        <f>IF(A4184="","",MAX(1,CEILING(PERCENTRANK.INC($C$3:$C$6000,C4184,4)*5+0.000001,1)))</f>
        <v/>
      </c>
      <c r="G4184">
        <f>IF(A4184="","",MAX(1,CEILING(PERCENTRANK.INC($D$3:$D$6000,D4184,4)*5+0.000001,1)))</f>
        <v/>
      </c>
      <c r="H4184">
        <f>IF(A4184="","",E4184&amp;F4184&amp;G4184)</f>
        <v/>
      </c>
      <c r="I4184">
        <f>IF(A4184="","",IF(AND(E4184&gt;=4,F4184&gt;=4,G4184&gt;=4),"Juara",IF(AND(F4184&gt;=4,E4184&gt;=3),"Setia",IF(AND(E4184=5,F4184&lt;=2,G4184&gt;=3),"Berpotensi",IF(AND(E4184&lt;=3,E4184&gt;=2,F4184&gt;=3),"Rawan",IF(AND(E4184&lt;=2,F4184&lt;=2),"Tidur","Umum"))))))</f>
        <v/>
      </c>
    </row>
    <row r="4185">
      <c r="B4185">
        <f>IF(A4185="","",$B$1-MAXIFS(Donasi!$A$2:$A$20000,Donasi!$B$2:$B$20000,A4185))</f>
        <v/>
      </c>
      <c r="C4185">
        <f>IF(A4185="","",COUNTIF(Donasi!$B$2:$B$20000,A4185))</f>
        <v/>
      </c>
      <c r="D4185">
        <f>IF(A4185="","",SUMIF(Donasi!$B$2:$B$20000,A4185,Donasi!$C$2:$C$20000))</f>
        <v/>
      </c>
      <c r="E4185">
        <f>IF(A4185="","",6-CEILING(PERCENTRANK.INC($B$3:$B$6000,B4185,4)*5+0.000001,1))</f>
        <v/>
      </c>
      <c r="F4185">
        <f>IF(A4185="","",MAX(1,CEILING(PERCENTRANK.INC($C$3:$C$6000,C4185,4)*5+0.000001,1)))</f>
        <v/>
      </c>
      <c r="G4185">
        <f>IF(A4185="","",MAX(1,CEILING(PERCENTRANK.INC($D$3:$D$6000,D4185,4)*5+0.000001,1)))</f>
        <v/>
      </c>
      <c r="H4185">
        <f>IF(A4185="","",E4185&amp;F4185&amp;G4185)</f>
        <v/>
      </c>
      <c r="I4185">
        <f>IF(A4185="","",IF(AND(E4185&gt;=4,F4185&gt;=4,G4185&gt;=4),"Juara",IF(AND(F4185&gt;=4,E4185&gt;=3),"Setia",IF(AND(E4185=5,F4185&lt;=2,G4185&gt;=3),"Berpotensi",IF(AND(E4185&lt;=3,E4185&gt;=2,F4185&gt;=3),"Rawan",IF(AND(E4185&lt;=2,F4185&lt;=2),"Tidur","Umum"))))))</f>
        <v/>
      </c>
    </row>
    <row r="4186">
      <c r="B4186">
        <f>IF(A4186="","",$B$1-MAXIFS(Donasi!$A$2:$A$20000,Donasi!$B$2:$B$20000,A4186))</f>
        <v/>
      </c>
      <c r="C4186">
        <f>IF(A4186="","",COUNTIF(Donasi!$B$2:$B$20000,A4186))</f>
        <v/>
      </c>
      <c r="D4186">
        <f>IF(A4186="","",SUMIF(Donasi!$B$2:$B$20000,A4186,Donasi!$C$2:$C$20000))</f>
        <v/>
      </c>
      <c r="E4186">
        <f>IF(A4186="","",6-CEILING(PERCENTRANK.INC($B$3:$B$6000,B4186,4)*5+0.000001,1))</f>
        <v/>
      </c>
      <c r="F4186">
        <f>IF(A4186="","",MAX(1,CEILING(PERCENTRANK.INC($C$3:$C$6000,C4186,4)*5+0.000001,1)))</f>
        <v/>
      </c>
      <c r="G4186">
        <f>IF(A4186="","",MAX(1,CEILING(PERCENTRANK.INC($D$3:$D$6000,D4186,4)*5+0.000001,1)))</f>
        <v/>
      </c>
      <c r="H4186">
        <f>IF(A4186="","",E4186&amp;F4186&amp;G4186)</f>
        <v/>
      </c>
      <c r="I4186">
        <f>IF(A4186="","",IF(AND(E4186&gt;=4,F4186&gt;=4,G4186&gt;=4),"Juara",IF(AND(F4186&gt;=4,E4186&gt;=3),"Setia",IF(AND(E4186=5,F4186&lt;=2,G4186&gt;=3),"Berpotensi",IF(AND(E4186&lt;=3,E4186&gt;=2,F4186&gt;=3),"Rawan",IF(AND(E4186&lt;=2,F4186&lt;=2),"Tidur","Umum"))))))</f>
        <v/>
      </c>
    </row>
    <row r="4187">
      <c r="B4187">
        <f>IF(A4187="","",$B$1-MAXIFS(Donasi!$A$2:$A$20000,Donasi!$B$2:$B$20000,A4187))</f>
        <v/>
      </c>
      <c r="C4187">
        <f>IF(A4187="","",COUNTIF(Donasi!$B$2:$B$20000,A4187))</f>
        <v/>
      </c>
      <c r="D4187">
        <f>IF(A4187="","",SUMIF(Donasi!$B$2:$B$20000,A4187,Donasi!$C$2:$C$20000))</f>
        <v/>
      </c>
      <c r="E4187">
        <f>IF(A4187="","",6-CEILING(PERCENTRANK.INC($B$3:$B$6000,B4187,4)*5+0.000001,1))</f>
        <v/>
      </c>
      <c r="F4187">
        <f>IF(A4187="","",MAX(1,CEILING(PERCENTRANK.INC($C$3:$C$6000,C4187,4)*5+0.000001,1)))</f>
        <v/>
      </c>
      <c r="G4187">
        <f>IF(A4187="","",MAX(1,CEILING(PERCENTRANK.INC($D$3:$D$6000,D4187,4)*5+0.000001,1)))</f>
        <v/>
      </c>
      <c r="H4187">
        <f>IF(A4187="","",E4187&amp;F4187&amp;G4187)</f>
        <v/>
      </c>
      <c r="I4187">
        <f>IF(A4187="","",IF(AND(E4187&gt;=4,F4187&gt;=4,G4187&gt;=4),"Juara",IF(AND(F4187&gt;=4,E4187&gt;=3),"Setia",IF(AND(E4187=5,F4187&lt;=2,G4187&gt;=3),"Berpotensi",IF(AND(E4187&lt;=3,E4187&gt;=2,F4187&gt;=3),"Rawan",IF(AND(E4187&lt;=2,F4187&lt;=2),"Tidur","Umum"))))))</f>
        <v/>
      </c>
    </row>
    <row r="4188">
      <c r="B4188">
        <f>IF(A4188="","",$B$1-MAXIFS(Donasi!$A$2:$A$20000,Donasi!$B$2:$B$20000,A4188))</f>
        <v/>
      </c>
      <c r="C4188">
        <f>IF(A4188="","",COUNTIF(Donasi!$B$2:$B$20000,A4188))</f>
        <v/>
      </c>
      <c r="D4188">
        <f>IF(A4188="","",SUMIF(Donasi!$B$2:$B$20000,A4188,Donasi!$C$2:$C$20000))</f>
        <v/>
      </c>
      <c r="E4188">
        <f>IF(A4188="","",6-CEILING(PERCENTRANK.INC($B$3:$B$6000,B4188,4)*5+0.000001,1))</f>
        <v/>
      </c>
      <c r="F4188">
        <f>IF(A4188="","",MAX(1,CEILING(PERCENTRANK.INC($C$3:$C$6000,C4188,4)*5+0.000001,1)))</f>
        <v/>
      </c>
      <c r="G4188">
        <f>IF(A4188="","",MAX(1,CEILING(PERCENTRANK.INC($D$3:$D$6000,D4188,4)*5+0.000001,1)))</f>
        <v/>
      </c>
      <c r="H4188">
        <f>IF(A4188="","",E4188&amp;F4188&amp;G4188)</f>
        <v/>
      </c>
      <c r="I4188">
        <f>IF(A4188="","",IF(AND(E4188&gt;=4,F4188&gt;=4,G4188&gt;=4),"Juara",IF(AND(F4188&gt;=4,E4188&gt;=3),"Setia",IF(AND(E4188=5,F4188&lt;=2,G4188&gt;=3),"Berpotensi",IF(AND(E4188&lt;=3,E4188&gt;=2,F4188&gt;=3),"Rawan",IF(AND(E4188&lt;=2,F4188&lt;=2),"Tidur","Umum"))))))</f>
        <v/>
      </c>
    </row>
    <row r="4189">
      <c r="B4189">
        <f>IF(A4189="","",$B$1-MAXIFS(Donasi!$A$2:$A$20000,Donasi!$B$2:$B$20000,A4189))</f>
        <v/>
      </c>
      <c r="C4189">
        <f>IF(A4189="","",COUNTIF(Donasi!$B$2:$B$20000,A4189))</f>
        <v/>
      </c>
      <c r="D4189">
        <f>IF(A4189="","",SUMIF(Donasi!$B$2:$B$20000,A4189,Donasi!$C$2:$C$20000))</f>
        <v/>
      </c>
      <c r="E4189">
        <f>IF(A4189="","",6-CEILING(PERCENTRANK.INC($B$3:$B$6000,B4189,4)*5+0.000001,1))</f>
        <v/>
      </c>
      <c r="F4189">
        <f>IF(A4189="","",MAX(1,CEILING(PERCENTRANK.INC($C$3:$C$6000,C4189,4)*5+0.000001,1)))</f>
        <v/>
      </c>
      <c r="G4189">
        <f>IF(A4189="","",MAX(1,CEILING(PERCENTRANK.INC($D$3:$D$6000,D4189,4)*5+0.000001,1)))</f>
        <v/>
      </c>
      <c r="H4189">
        <f>IF(A4189="","",E4189&amp;F4189&amp;G4189)</f>
        <v/>
      </c>
      <c r="I4189">
        <f>IF(A4189="","",IF(AND(E4189&gt;=4,F4189&gt;=4,G4189&gt;=4),"Juara",IF(AND(F4189&gt;=4,E4189&gt;=3),"Setia",IF(AND(E4189=5,F4189&lt;=2,G4189&gt;=3),"Berpotensi",IF(AND(E4189&lt;=3,E4189&gt;=2,F4189&gt;=3),"Rawan",IF(AND(E4189&lt;=2,F4189&lt;=2),"Tidur","Umum"))))))</f>
        <v/>
      </c>
    </row>
    <row r="4190">
      <c r="B4190">
        <f>IF(A4190="","",$B$1-MAXIFS(Donasi!$A$2:$A$20000,Donasi!$B$2:$B$20000,A4190))</f>
        <v/>
      </c>
      <c r="C4190">
        <f>IF(A4190="","",COUNTIF(Donasi!$B$2:$B$20000,A4190))</f>
        <v/>
      </c>
      <c r="D4190">
        <f>IF(A4190="","",SUMIF(Donasi!$B$2:$B$20000,A4190,Donasi!$C$2:$C$20000))</f>
        <v/>
      </c>
      <c r="E4190">
        <f>IF(A4190="","",6-CEILING(PERCENTRANK.INC($B$3:$B$6000,B4190,4)*5+0.000001,1))</f>
        <v/>
      </c>
      <c r="F4190">
        <f>IF(A4190="","",MAX(1,CEILING(PERCENTRANK.INC($C$3:$C$6000,C4190,4)*5+0.000001,1)))</f>
        <v/>
      </c>
      <c r="G4190">
        <f>IF(A4190="","",MAX(1,CEILING(PERCENTRANK.INC($D$3:$D$6000,D4190,4)*5+0.000001,1)))</f>
        <v/>
      </c>
      <c r="H4190">
        <f>IF(A4190="","",E4190&amp;F4190&amp;G4190)</f>
        <v/>
      </c>
      <c r="I4190">
        <f>IF(A4190="","",IF(AND(E4190&gt;=4,F4190&gt;=4,G4190&gt;=4),"Juara",IF(AND(F4190&gt;=4,E4190&gt;=3),"Setia",IF(AND(E4190=5,F4190&lt;=2,G4190&gt;=3),"Berpotensi",IF(AND(E4190&lt;=3,E4190&gt;=2,F4190&gt;=3),"Rawan",IF(AND(E4190&lt;=2,F4190&lt;=2),"Tidur","Umum"))))))</f>
        <v/>
      </c>
    </row>
    <row r="4191">
      <c r="B4191">
        <f>IF(A4191="","",$B$1-MAXIFS(Donasi!$A$2:$A$20000,Donasi!$B$2:$B$20000,A4191))</f>
        <v/>
      </c>
      <c r="C4191">
        <f>IF(A4191="","",COUNTIF(Donasi!$B$2:$B$20000,A4191))</f>
        <v/>
      </c>
      <c r="D4191">
        <f>IF(A4191="","",SUMIF(Donasi!$B$2:$B$20000,A4191,Donasi!$C$2:$C$20000))</f>
        <v/>
      </c>
      <c r="E4191">
        <f>IF(A4191="","",6-CEILING(PERCENTRANK.INC($B$3:$B$6000,B4191,4)*5+0.000001,1))</f>
        <v/>
      </c>
      <c r="F4191">
        <f>IF(A4191="","",MAX(1,CEILING(PERCENTRANK.INC($C$3:$C$6000,C4191,4)*5+0.000001,1)))</f>
        <v/>
      </c>
      <c r="G4191">
        <f>IF(A4191="","",MAX(1,CEILING(PERCENTRANK.INC($D$3:$D$6000,D4191,4)*5+0.000001,1)))</f>
        <v/>
      </c>
      <c r="H4191">
        <f>IF(A4191="","",E4191&amp;F4191&amp;G4191)</f>
        <v/>
      </c>
      <c r="I4191">
        <f>IF(A4191="","",IF(AND(E4191&gt;=4,F4191&gt;=4,G4191&gt;=4),"Juara",IF(AND(F4191&gt;=4,E4191&gt;=3),"Setia",IF(AND(E4191=5,F4191&lt;=2,G4191&gt;=3),"Berpotensi",IF(AND(E4191&lt;=3,E4191&gt;=2,F4191&gt;=3),"Rawan",IF(AND(E4191&lt;=2,F4191&lt;=2),"Tidur","Umum"))))))</f>
        <v/>
      </c>
    </row>
    <row r="4192">
      <c r="B4192">
        <f>IF(A4192="","",$B$1-MAXIFS(Donasi!$A$2:$A$20000,Donasi!$B$2:$B$20000,A4192))</f>
        <v/>
      </c>
      <c r="C4192">
        <f>IF(A4192="","",COUNTIF(Donasi!$B$2:$B$20000,A4192))</f>
        <v/>
      </c>
      <c r="D4192">
        <f>IF(A4192="","",SUMIF(Donasi!$B$2:$B$20000,A4192,Donasi!$C$2:$C$20000))</f>
        <v/>
      </c>
      <c r="E4192">
        <f>IF(A4192="","",6-CEILING(PERCENTRANK.INC($B$3:$B$6000,B4192,4)*5+0.000001,1))</f>
        <v/>
      </c>
      <c r="F4192">
        <f>IF(A4192="","",MAX(1,CEILING(PERCENTRANK.INC($C$3:$C$6000,C4192,4)*5+0.000001,1)))</f>
        <v/>
      </c>
      <c r="G4192">
        <f>IF(A4192="","",MAX(1,CEILING(PERCENTRANK.INC($D$3:$D$6000,D4192,4)*5+0.000001,1)))</f>
        <v/>
      </c>
      <c r="H4192">
        <f>IF(A4192="","",E4192&amp;F4192&amp;G4192)</f>
        <v/>
      </c>
      <c r="I4192">
        <f>IF(A4192="","",IF(AND(E4192&gt;=4,F4192&gt;=4,G4192&gt;=4),"Juara",IF(AND(F4192&gt;=4,E4192&gt;=3),"Setia",IF(AND(E4192=5,F4192&lt;=2,G4192&gt;=3),"Berpotensi",IF(AND(E4192&lt;=3,E4192&gt;=2,F4192&gt;=3),"Rawan",IF(AND(E4192&lt;=2,F4192&lt;=2),"Tidur","Umum"))))))</f>
        <v/>
      </c>
    </row>
    <row r="4193">
      <c r="B4193">
        <f>IF(A4193="","",$B$1-MAXIFS(Donasi!$A$2:$A$20000,Donasi!$B$2:$B$20000,A4193))</f>
        <v/>
      </c>
      <c r="C4193">
        <f>IF(A4193="","",COUNTIF(Donasi!$B$2:$B$20000,A4193))</f>
        <v/>
      </c>
      <c r="D4193">
        <f>IF(A4193="","",SUMIF(Donasi!$B$2:$B$20000,A4193,Donasi!$C$2:$C$20000))</f>
        <v/>
      </c>
      <c r="E4193">
        <f>IF(A4193="","",6-CEILING(PERCENTRANK.INC($B$3:$B$6000,B4193,4)*5+0.000001,1))</f>
        <v/>
      </c>
      <c r="F4193">
        <f>IF(A4193="","",MAX(1,CEILING(PERCENTRANK.INC($C$3:$C$6000,C4193,4)*5+0.000001,1)))</f>
        <v/>
      </c>
      <c r="G4193">
        <f>IF(A4193="","",MAX(1,CEILING(PERCENTRANK.INC($D$3:$D$6000,D4193,4)*5+0.000001,1)))</f>
        <v/>
      </c>
      <c r="H4193">
        <f>IF(A4193="","",E4193&amp;F4193&amp;G4193)</f>
        <v/>
      </c>
      <c r="I4193">
        <f>IF(A4193="","",IF(AND(E4193&gt;=4,F4193&gt;=4,G4193&gt;=4),"Juara",IF(AND(F4193&gt;=4,E4193&gt;=3),"Setia",IF(AND(E4193=5,F4193&lt;=2,G4193&gt;=3),"Berpotensi",IF(AND(E4193&lt;=3,E4193&gt;=2,F4193&gt;=3),"Rawan",IF(AND(E4193&lt;=2,F4193&lt;=2),"Tidur","Umum"))))))</f>
        <v/>
      </c>
    </row>
    <row r="4194">
      <c r="B4194">
        <f>IF(A4194="","",$B$1-MAXIFS(Donasi!$A$2:$A$20000,Donasi!$B$2:$B$20000,A4194))</f>
        <v/>
      </c>
      <c r="C4194">
        <f>IF(A4194="","",COUNTIF(Donasi!$B$2:$B$20000,A4194))</f>
        <v/>
      </c>
      <c r="D4194">
        <f>IF(A4194="","",SUMIF(Donasi!$B$2:$B$20000,A4194,Donasi!$C$2:$C$20000))</f>
        <v/>
      </c>
      <c r="E4194">
        <f>IF(A4194="","",6-CEILING(PERCENTRANK.INC($B$3:$B$6000,B4194,4)*5+0.000001,1))</f>
        <v/>
      </c>
      <c r="F4194">
        <f>IF(A4194="","",MAX(1,CEILING(PERCENTRANK.INC($C$3:$C$6000,C4194,4)*5+0.000001,1)))</f>
        <v/>
      </c>
      <c r="G4194">
        <f>IF(A4194="","",MAX(1,CEILING(PERCENTRANK.INC($D$3:$D$6000,D4194,4)*5+0.000001,1)))</f>
        <v/>
      </c>
      <c r="H4194">
        <f>IF(A4194="","",E4194&amp;F4194&amp;G4194)</f>
        <v/>
      </c>
      <c r="I4194">
        <f>IF(A4194="","",IF(AND(E4194&gt;=4,F4194&gt;=4,G4194&gt;=4),"Juara",IF(AND(F4194&gt;=4,E4194&gt;=3),"Setia",IF(AND(E4194=5,F4194&lt;=2,G4194&gt;=3),"Berpotensi",IF(AND(E4194&lt;=3,E4194&gt;=2,F4194&gt;=3),"Rawan",IF(AND(E4194&lt;=2,F4194&lt;=2),"Tidur","Umum"))))))</f>
        <v/>
      </c>
    </row>
    <row r="4195">
      <c r="B4195">
        <f>IF(A4195="","",$B$1-MAXIFS(Donasi!$A$2:$A$20000,Donasi!$B$2:$B$20000,A4195))</f>
        <v/>
      </c>
      <c r="C4195">
        <f>IF(A4195="","",COUNTIF(Donasi!$B$2:$B$20000,A4195))</f>
        <v/>
      </c>
      <c r="D4195">
        <f>IF(A4195="","",SUMIF(Donasi!$B$2:$B$20000,A4195,Donasi!$C$2:$C$20000))</f>
        <v/>
      </c>
      <c r="E4195">
        <f>IF(A4195="","",6-CEILING(PERCENTRANK.INC($B$3:$B$6000,B4195,4)*5+0.000001,1))</f>
        <v/>
      </c>
      <c r="F4195">
        <f>IF(A4195="","",MAX(1,CEILING(PERCENTRANK.INC($C$3:$C$6000,C4195,4)*5+0.000001,1)))</f>
        <v/>
      </c>
      <c r="G4195">
        <f>IF(A4195="","",MAX(1,CEILING(PERCENTRANK.INC($D$3:$D$6000,D4195,4)*5+0.000001,1)))</f>
        <v/>
      </c>
      <c r="H4195">
        <f>IF(A4195="","",E4195&amp;F4195&amp;G4195)</f>
        <v/>
      </c>
      <c r="I4195">
        <f>IF(A4195="","",IF(AND(E4195&gt;=4,F4195&gt;=4,G4195&gt;=4),"Juara",IF(AND(F4195&gt;=4,E4195&gt;=3),"Setia",IF(AND(E4195=5,F4195&lt;=2,G4195&gt;=3),"Berpotensi",IF(AND(E4195&lt;=3,E4195&gt;=2,F4195&gt;=3),"Rawan",IF(AND(E4195&lt;=2,F4195&lt;=2),"Tidur","Umum"))))))</f>
        <v/>
      </c>
    </row>
    <row r="4196">
      <c r="B4196">
        <f>IF(A4196="","",$B$1-MAXIFS(Donasi!$A$2:$A$20000,Donasi!$B$2:$B$20000,A4196))</f>
        <v/>
      </c>
      <c r="C4196">
        <f>IF(A4196="","",COUNTIF(Donasi!$B$2:$B$20000,A4196))</f>
        <v/>
      </c>
      <c r="D4196">
        <f>IF(A4196="","",SUMIF(Donasi!$B$2:$B$20000,A4196,Donasi!$C$2:$C$20000))</f>
        <v/>
      </c>
      <c r="E4196">
        <f>IF(A4196="","",6-CEILING(PERCENTRANK.INC($B$3:$B$6000,B4196,4)*5+0.000001,1))</f>
        <v/>
      </c>
      <c r="F4196">
        <f>IF(A4196="","",MAX(1,CEILING(PERCENTRANK.INC($C$3:$C$6000,C4196,4)*5+0.000001,1)))</f>
        <v/>
      </c>
      <c r="G4196">
        <f>IF(A4196="","",MAX(1,CEILING(PERCENTRANK.INC($D$3:$D$6000,D4196,4)*5+0.000001,1)))</f>
        <v/>
      </c>
      <c r="H4196">
        <f>IF(A4196="","",E4196&amp;F4196&amp;G4196)</f>
        <v/>
      </c>
      <c r="I4196">
        <f>IF(A4196="","",IF(AND(E4196&gt;=4,F4196&gt;=4,G4196&gt;=4),"Juara",IF(AND(F4196&gt;=4,E4196&gt;=3),"Setia",IF(AND(E4196=5,F4196&lt;=2,G4196&gt;=3),"Berpotensi",IF(AND(E4196&lt;=3,E4196&gt;=2,F4196&gt;=3),"Rawan",IF(AND(E4196&lt;=2,F4196&lt;=2),"Tidur","Umum"))))))</f>
        <v/>
      </c>
    </row>
    <row r="4197">
      <c r="B4197">
        <f>IF(A4197="","",$B$1-MAXIFS(Donasi!$A$2:$A$20000,Donasi!$B$2:$B$20000,A4197))</f>
        <v/>
      </c>
      <c r="C4197">
        <f>IF(A4197="","",COUNTIF(Donasi!$B$2:$B$20000,A4197))</f>
        <v/>
      </c>
      <c r="D4197">
        <f>IF(A4197="","",SUMIF(Donasi!$B$2:$B$20000,A4197,Donasi!$C$2:$C$20000))</f>
        <v/>
      </c>
      <c r="E4197">
        <f>IF(A4197="","",6-CEILING(PERCENTRANK.INC($B$3:$B$6000,B4197,4)*5+0.000001,1))</f>
        <v/>
      </c>
      <c r="F4197">
        <f>IF(A4197="","",MAX(1,CEILING(PERCENTRANK.INC($C$3:$C$6000,C4197,4)*5+0.000001,1)))</f>
        <v/>
      </c>
      <c r="G4197">
        <f>IF(A4197="","",MAX(1,CEILING(PERCENTRANK.INC($D$3:$D$6000,D4197,4)*5+0.000001,1)))</f>
        <v/>
      </c>
      <c r="H4197">
        <f>IF(A4197="","",E4197&amp;F4197&amp;G4197)</f>
        <v/>
      </c>
      <c r="I4197">
        <f>IF(A4197="","",IF(AND(E4197&gt;=4,F4197&gt;=4,G4197&gt;=4),"Juara",IF(AND(F4197&gt;=4,E4197&gt;=3),"Setia",IF(AND(E4197=5,F4197&lt;=2,G4197&gt;=3),"Berpotensi",IF(AND(E4197&lt;=3,E4197&gt;=2,F4197&gt;=3),"Rawan",IF(AND(E4197&lt;=2,F4197&lt;=2),"Tidur","Umum"))))))</f>
        <v/>
      </c>
    </row>
    <row r="4198">
      <c r="B4198">
        <f>IF(A4198="","",$B$1-MAXIFS(Donasi!$A$2:$A$20000,Donasi!$B$2:$B$20000,A4198))</f>
        <v/>
      </c>
      <c r="C4198">
        <f>IF(A4198="","",COUNTIF(Donasi!$B$2:$B$20000,A4198))</f>
        <v/>
      </c>
      <c r="D4198">
        <f>IF(A4198="","",SUMIF(Donasi!$B$2:$B$20000,A4198,Donasi!$C$2:$C$20000))</f>
        <v/>
      </c>
      <c r="E4198">
        <f>IF(A4198="","",6-CEILING(PERCENTRANK.INC($B$3:$B$6000,B4198,4)*5+0.000001,1))</f>
        <v/>
      </c>
      <c r="F4198">
        <f>IF(A4198="","",MAX(1,CEILING(PERCENTRANK.INC($C$3:$C$6000,C4198,4)*5+0.000001,1)))</f>
        <v/>
      </c>
      <c r="G4198">
        <f>IF(A4198="","",MAX(1,CEILING(PERCENTRANK.INC($D$3:$D$6000,D4198,4)*5+0.000001,1)))</f>
        <v/>
      </c>
      <c r="H4198">
        <f>IF(A4198="","",E4198&amp;F4198&amp;G4198)</f>
        <v/>
      </c>
      <c r="I4198">
        <f>IF(A4198="","",IF(AND(E4198&gt;=4,F4198&gt;=4,G4198&gt;=4),"Juara",IF(AND(F4198&gt;=4,E4198&gt;=3),"Setia",IF(AND(E4198=5,F4198&lt;=2,G4198&gt;=3),"Berpotensi",IF(AND(E4198&lt;=3,E4198&gt;=2,F4198&gt;=3),"Rawan",IF(AND(E4198&lt;=2,F4198&lt;=2),"Tidur","Umum"))))))</f>
        <v/>
      </c>
    </row>
    <row r="4199">
      <c r="B4199">
        <f>IF(A4199="","",$B$1-MAXIFS(Donasi!$A$2:$A$20000,Donasi!$B$2:$B$20000,A4199))</f>
        <v/>
      </c>
      <c r="C4199">
        <f>IF(A4199="","",COUNTIF(Donasi!$B$2:$B$20000,A4199))</f>
        <v/>
      </c>
      <c r="D4199">
        <f>IF(A4199="","",SUMIF(Donasi!$B$2:$B$20000,A4199,Donasi!$C$2:$C$20000))</f>
        <v/>
      </c>
      <c r="E4199">
        <f>IF(A4199="","",6-CEILING(PERCENTRANK.INC($B$3:$B$6000,B4199,4)*5+0.000001,1))</f>
        <v/>
      </c>
      <c r="F4199">
        <f>IF(A4199="","",MAX(1,CEILING(PERCENTRANK.INC($C$3:$C$6000,C4199,4)*5+0.000001,1)))</f>
        <v/>
      </c>
      <c r="G4199">
        <f>IF(A4199="","",MAX(1,CEILING(PERCENTRANK.INC($D$3:$D$6000,D4199,4)*5+0.000001,1)))</f>
        <v/>
      </c>
      <c r="H4199">
        <f>IF(A4199="","",E4199&amp;F4199&amp;G4199)</f>
        <v/>
      </c>
      <c r="I4199">
        <f>IF(A4199="","",IF(AND(E4199&gt;=4,F4199&gt;=4,G4199&gt;=4),"Juara",IF(AND(F4199&gt;=4,E4199&gt;=3),"Setia",IF(AND(E4199=5,F4199&lt;=2,G4199&gt;=3),"Berpotensi",IF(AND(E4199&lt;=3,E4199&gt;=2,F4199&gt;=3),"Rawan",IF(AND(E4199&lt;=2,F4199&lt;=2),"Tidur","Umum"))))))</f>
        <v/>
      </c>
    </row>
    <row r="4200">
      <c r="B4200">
        <f>IF(A4200="","",$B$1-MAXIFS(Donasi!$A$2:$A$20000,Donasi!$B$2:$B$20000,A4200))</f>
        <v/>
      </c>
      <c r="C4200">
        <f>IF(A4200="","",COUNTIF(Donasi!$B$2:$B$20000,A4200))</f>
        <v/>
      </c>
      <c r="D4200">
        <f>IF(A4200="","",SUMIF(Donasi!$B$2:$B$20000,A4200,Donasi!$C$2:$C$20000))</f>
        <v/>
      </c>
      <c r="E4200">
        <f>IF(A4200="","",6-CEILING(PERCENTRANK.INC($B$3:$B$6000,B4200,4)*5+0.000001,1))</f>
        <v/>
      </c>
      <c r="F4200">
        <f>IF(A4200="","",MAX(1,CEILING(PERCENTRANK.INC($C$3:$C$6000,C4200,4)*5+0.000001,1)))</f>
        <v/>
      </c>
      <c r="G4200">
        <f>IF(A4200="","",MAX(1,CEILING(PERCENTRANK.INC($D$3:$D$6000,D4200,4)*5+0.000001,1)))</f>
        <v/>
      </c>
      <c r="H4200">
        <f>IF(A4200="","",E4200&amp;F4200&amp;G4200)</f>
        <v/>
      </c>
      <c r="I4200">
        <f>IF(A4200="","",IF(AND(E4200&gt;=4,F4200&gt;=4,G4200&gt;=4),"Juara",IF(AND(F4200&gt;=4,E4200&gt;=3),"Setia",IF(AND(E4200=5,F4200&lt;=2,G4200&gt;=3),"Berpotensi",IF(AND(E4200&lt;=3,E4200&gt;=2,F4200&gt;=3),"Rawan",IF(AND(E4200&lt;=2,F4200&lt;=2),"Tidur","Umum"))))))</f>
        <v/>
      </c>
    </row>
    <row r="4201">
      <c r="B4201">
        <f>IF(A4201="","",$B$1-MAXIFS(Donasi!$A$2:$A$20000,Donasi!$B$2:$B$20000,A4201))</f>
        <v/>
      </c>
      <c r="C4201">
        <f>IF(A4201="","",COUNTIF(Donasi!$B$2:$B$20000,A4201))</f>
        <v/>
      </c>
      <c r="D4201">
        <f>IF(A4201="","",SUMIF(Donasi!$B$2:$B$20000,A4201,Donasi!$C$2:$C$20000))</f>
        <v/>
      </c>
      <c r="E4201">
        <f>IF(A4201="","",6-CEILING(PERCENTRANK.INC($B$3:$B$6000,B4201,4)*5+0.000001,1))</f>
        <v/>
      </c>
      <c r="F4201">
        <f>IF(A4201="","",MAX(1,CEILING(PERCENTRANK.INC($C$3:$C$6000,C4201,4)*5+0.000001,1)))</f>
        <v/>
      </c>
      <c r="G4201">
        <f>IF(A4201="","",MAX(1,CEILING(PERCENTRANK.INC($D$3:$D$6000,D4201,4)*5+0.000001,1)))</f>
        <v/>
      </c>
      <c r="H4201">
        <f>IF(A4201="","",E4201&amp;F4201&amp;G4201)</f>
        <v/>
      </c>
      <c r="I4201">
        <f>IF(A4201="","",IF(AND(E4201&gt;=4,F4201&gt;=4,G4201&gt;=4),"Juara",IF(AND(F4201&gt;=4,E4201&gt;=3),"Setia",IF(AND(E4201=5,F4201&lt;=2,G4201&gt;=3),"Berpotensi",IF(AND(E4201&lt;=3,E4201&gt;=2,F4201&gt;=3),"Rawan",IF(AND(E4201&lt;=2,F4201&lt;=2),"Tidur","Umum"))))))</f>
        <v/>
      </c>
    </row>
    <row r="4202">
      <c r="B4202">
        <f>IF(A4202="","",$B$1-MAXIFS(Donasi!$A$2:$A$20000,Donasi!$B$2:$B$20000,A4202))</f>
        <v/>
      </c>
      <c r="C4202">
        <f>IF(A4202="","",COUNTIF(Donasi!$B$2:$B$20000,A4202))</f>
        <v/>
      </c>
      <c r="D4202">
        <f>IF(A4202="","",SUMIF(Donasi!$B$2:$B$20000,A4202,Donasi!$C$2:$C$20000))</f>
        <v/>
      </c>
      <c r="E4202">
        <f>IF(A4202="","",6-CEILING(PERCENTRANK.INC($B$3:$B$6000,B4202,4)*5+0.000001,1))</f>
        <v/>
      </c>
      <c r="F4202">
        <f>IF(A4202="","",MAX(1,CEILING(PERCENTRANK.INC($C$3:$C$6000,C4202,4)*5+0.000001,1)))</f>
        <v/>
      </c>
      <c r="G4202">
        <f>IF(A4202="","",MAX(1,CEILING(PERCENTRANK.INC($D$3:$D$6000,D4202,4)*5+0.000001,1)))</f>
        <v/>
      </c>
      <c r="H4202">
        <f>IF(A4202="","",E4202&amp;F4202&amp;G4202)</f>
        <v/>
      </c>
      <c r="I4202">
        <f>IF(A4202="","",IF(AND(E4202&gt;=4,F4202&gt;=4,G4202&gt;=4),"Juara",IF(AND(F4202&gt;=4,E4202&gt;=3),"Setia",IF(AND(E4202=5,F4202&lt;=2,G4202&gt;=3),"Berpotensi",IF(AND(E4202&lt;=3,E4202&gt;=2,F4202&gt;=3),"Rawan",IF(AND(E4202&lt;=2,F4202&lt;=2),"Tidur","Umum"))))))</f>
        <v/>
      </c>
    </row>
    <row r="4203">
      <c r="B4203">
        <f>IF(A4203="","",$B$1-MAXIFS(Donasi!$A$2:$A$20000,Donasi!$B$2:$B$20000,A4203))</f>
        <v/>
      </c>
      <c r="C4203">
        <f>IF(A4203="","",COUNTIF(Donasi!$B$2:$B$20000,A4203))</f>
        <v/>
      </c>
      <c r="D4203">
        <f>IF(A4203="","",SUMIF(Donasi!$B$2:$B$20000,A4203,Donasi!$C$2:$C$20000))</f>
        <v/>
      </c>
      <c r="E4203">
        <f>IF(A4203="","",6-CEILING(PERCENTRANK.INC($B$3:$B$6000,B4203,4)*5+0.000001,1))</f>
        <v/>
      </c>
      <c r="F4203">
        <f>IF(A4203="","",MAX(1,CEILING(PERCENTRANK.INC($C$3:$C$6000,C4203,4)*5+0.000001,1)))</f>
        <v/>
      </c>
      <c r="G4203">
        <f>IF(A4203="","",MAX(1,CEILING(PERCENTRANK.INC($D$3:$D$6000,D4203,4)*5+0.000001,1)))</f>
        <v/>
      </c>
      <c r="H4203">
        <f>IF(A4203="","",E4203&amp;F4203&amp;G4203)</f>
        <v/>
      </c>
      <c r="I4203">
        <f>IF(A4203="","",IF(AND(E4203&gt;=4,F4203&gt;=4,G4203&gt;=4),"Juara",IF(AND(F4203&gt;=4,E4203&gt;=3),"Setia",IF(AND(E4203=5,F4203&lt;=2,G4203&gt;=3),"Berpotensi",IF(AND(E4203&lt;=3,E4203&gt;=2,F4203&gt;=3),"Rawan",IF(AND(E4203&lt;=2,F4203&lt;=2),"Tidur","Umum"))))))</f>
        <v/>
      </c>
    </row>
    <row r="4204">
      <c r="B4204">
        <f>IF(A4204="","",$B$1-MAXIFS(Donasi!$A$2:$A$20000,Donasi!$B$2:$B$20000,A4204))</f>
        <v/>
      </c>
      <c r="C4204">
        <f>IF(A4204="","",COUNTIF(Donasi!$B$2:$B$20000,A4204))</f>
        <v/>
      </c>
      <c r="D4204">
        <f>IF(A4204="","",SUMIF(Donasi!$B$2:$B$20000,A4204,Donasi!$C$2:$C$20000))</f>
        <v/>
      </c>
      <c r="E4204">
        <f>IF(A4204="","",6-CEILING(PERCENTRANK.INC($B$3:$B$6000,B4204,4)*5+0.000001,1))</f>
        <v/>
      </c>
      <c r="F4204">
        <f>IF(A4204="","",MAX(1,CEILING(PERCENTRANK.INC($C$3:$C$6000,C4204,4)*5+0.000001,1)))</f>
        <v/>
      </c>
      <c r="G4204">
        <f>IF(A4204="","",MAX(1,CEILING(PERCENTRANK.INC($D$3:$D$6000,D4204,4)*5+0.000001,1)))</f>
        <v/>
      </c>
      <c r="H4204">
        <f>IF(A4204="","",E4204&amp;F4204&amp;G4204)</f>
        <v/>
      </c>
      <c r="I4204">
        <f>IF(A4204="","",IF(AND(E4204&gt;=4,F4204&gt;=4,G4204&gt;=4),"Juara",IF(AND(F4204&gt;=4,E4204&gt;=3),"Setia",IF(AND(E4204=5,F4204&lt;=2,G4204&gt;=3),"Berpotensi",IF(AND(E4204&lt;=3,E4204&gt;=2,F4204&gt;=3),"Rawan",IF(AND(E4204&lt;=2,F4204&lt;=2),"Tidur","Umum"))))))</f>
        <v/>
      </c>
    </row>
    <row r="4205">
      <c r="B4205">
        <f>IF(A4205="","",$B$1-MAXIFS(Donasi!$A$2:$A$20000,Donasi!$B$2:$B$20000,A4205))</f>
        <v/>
      </c>
      <c r="C4205">
        <f>IF(A4205="","",COUNTIF(Donasi!$B$2:$B$20000,A4205))</f>
        <v/>
      </c>
      <c r="D4205">
        <f>IF(A4205="","",SUMIF(Donasi!$B$2:$B$20000,A4205,Donasi!$C$2:$C$20000))</f>
        <v/>
      </c>
      <c r="E4205">
        <f>IF(A4205="","",6-CEILING(PERCENTRANK.INC($B$3:$B$6000,B4205,4)*5+0.000001,1))</f>
        <v/>
      </c>
      <c r="F4205">
        <f>IF(A4205="","",MAX(1,CEILING(PERCENTRANK.INC($C$3:$C$6000,C4205,4)*5+0.000001,1)))</f>
        <v/>
      </c>
      <c r="G4205">
        <f>IF(A4205="","",MAX(1,CEILING(PERCENTRANK.INC($D$3:$D$6000,D4205,4)*5+0.000001,1)))</f>
        <v/>
      </c>
      <c r="H4205">
        <f>IF(A4205="","",E4205&amp;F4205&amp;G4205)</f>
        <v/>
      </c>
      <c r="I4205">
        <f>IF(A4205="","",IF(AND(E4205&gt;=4,F4205&gt;=4,G4205&gt;=4),"Juara",IF(AND(F4205&gt;=4,E4205&gt;=3),"Setia",IF(AND(E4205=5,F4205&lt;=2,G4205&gt;=3),"Berpotensi",IF(AND(E4205&lt;=3,E4205&gt;=2,F4205&gt;=3),"Rawan",IF(AND(E4205&lt;=2,F4205&lt;=2),"Tidur","Umum"))))))</f>
        <v/>
      </c>
    </row>
    <row r="4206">
      <c r="B4206">
        <f>IF(A4206="","",$B$1-MAXIFS(Donasi!$A$2:$A$20000,Donasi!$B$2:$B$20000,A4206))</f>
        <v/>
      </c>
      <c r="C4206">
        <f>IF(A4206="","",COUNTIF(Donasi!$B$2:$B$20000,A4206))</f>
        <v/>
      </c>
      <c r="D4206">
        <f>IF(A4206="","",SUMIF(Donasi!$B$2:$B$20000,A4206,Donasi!$C$2:$C$20000))</f>
        <v/>
      </c>
      <c r="E4206">
        <f>IF(A4206="","",6-CEILING(PERCENTRANK.INC($B$3:$B$6000,B4206,4)*5+0.000001,1))</f>
        <v/>
      </c>
      <c r="F4206">
        <f>IF(A4206="","",MAX(1,CEILING(PERCENTRANK.INC($C$3:$C$6000,C4206,4)*5+0.000001,1)))</f>
        <v/>
      </c>
      <c r="G4206">
        <f>IF(A4206="","",MAX(1,CEILING(PERCENTRANK.INC($D$3:$D$6000,D4206,4)*5+0.000001,1)))</f>
        <v/>
      </c>
      <c r="H4206">
        <f>IF(A4206="","",E4206&amp;F4206&amp;G4206)</f>
        <v/>
      </c>
      <c r="I4206">
        <f>IF(A4206="","",IF(AND(E4206&gt;=4,F4206&gt;=4,G4206&gt;=4),"Juara",IF(AND(F4206&gt;=4,E4206&gt;=3),"Setia",IF(AND(E4206=5,F4206&lt;=2,G4206&gt;=3),"Berpotensi",IF(AND(E4206&lt;=3,E4206&gt;=2,F4206&gt;=3),"Rawan",IF(AND(E4206&lt;=2,F4206&lt;=2),"Tidur","Umum"))))))</f>
        <v/>
      </c>
    </row>
    <row r="4207">
      <c r="B4207">
        <f>IF(A4207="","",$B$1-MAXIFS(Donasi!$A$2:$A$20000,Donasi!$B$2:$B$20000,A4207))</f>
        <v/>
      </c>
      <c r="C4207">
        <f>IF(A4207="","",COUNTIF(Donasi!$B$2:$B$20000,A4207))</f>
        <v/>
      </c>
      <c r="D4207">
        <f>IF(A4207="","",SUMIF(Donasi!$B$2:$B$20000,A4207,Donasi!$C$2:$C$20000))</f>
        <v/>
      </c>
      <c r="E4207">
        <f>IF(A4207="","",6-CEILING(PERCENTRANK.INC($B$3:$B$6000,B4207,4)*5+0.000001,1))</f>
        <v/>
      </c>
      <c r="F4207">
        <f>IF(A4207="","",MAX(1,CEILING(PERCENTRANK.INC($C$3:$C$6000,C4207,4)*5+0.000001,1)))</f>
        <v/>
      </c>
      <c r="G4207">
        <f>IF(A4207="","",MAX(1,CEILING(PERCENTRANK.INC($D$3:$D$6000,D4207,4)*5+0.000001,1)))</f>
        <v/>
      </c>
      <c r="H4207">
        <f>IF(A4207="","",E4207&amp;F4207&amp;G4207)</f>
        <v/>
      </c>
      <c r="I4207">
        <f>IF(A4207="","",IF(AND(E4207&gt;=4,F4207&gt;=4,G4207&gt;=4),"Juara",IF(AND(F4207&gt;=4,E4207&gt;=3),"Setia",IF(AND(E4207=5,F4207&lt;=2,G4207&gt;=3),"Berpotensi",IF(AND(E4207&lt;=3,E4207&gt;=2,F4207&gt;=3),"Rawan",IF(AND(E4207&lt;=2,F4207&lt;=2),"Tidur","Umum"))))))</f>
        <v/>
      </c>
    </row>
    <row r="4208">
      <c r="B4208">
        <f>IF(A4208="","",$B$1-MAXIFS(Donasi!$A$2:$A$20000,Donasi!$B$2:$B$20000,A4208))</f>
        <v/>
      </c>
      <c r="C4208">
        <f>IF(A4208="","",COUNTIF(Donasi!$B$2:$B$20000,A4208))</f>
        <v/>
      </c>
      <c r="D4208">
        <f>IF(A4208="","",SUMIF(Donasi!$B$2:$B$20000,A4208,Donasi!$C$2:$C$20000))</f>
        <v/>
      </c>
      <c r="E4208">
        <f>IF(A4208="","",6-CEILING(PERCENTRANK.INC($B$3:$B$6000,B4208,4)*5+0.000001,1))</f>
        <v/>
      </c>
      <c r="F4208">
        <f>IF(A4208="","",MAX(1,CEILING(PERCENTRANK.INC($C$3:$C$6000,C4208,4)*5+0.000001,1)))</f>
        <v/>
      </c>
      <c r="G4208">
        <f>IF(A4208="","",MAX(1,CEILING(PERCENTRANK.INC($D$3:$D$6000,D4208,4)*5+0.000001,1)))</f>
        <v/>
      </c>
      <c r="H4208">
        <f>IF(A4208="","",E4208&amp;F4208&amp;G4208)</f>
        <v/>
      </c>
      <c r="I4208">
        <f>IF(A4208="","",IF(AND(E4208&gt;=4,F4208&gt;=4,G4208&gt;=4),"Juara",IF(AND(F4208&gt;=4,E4208&gt;=3),"Setia",IF(AND(E4208=5,F4208&lt;=2,G4208&gt;=3),"Berpotensi",IF(AND(E4208&lt;=3,E4208&gt;=2,F4208&gt;=3),"Rawan",IF(AND(E4208&lt;=2,F4208&lt;=2),"Tidur","Umum"))))))</f>
        <v/>
      </c>
    </row>
    <row r="4209">
      <c r="B4209">
        <f>IF(A4209="","",$B$1-MAXIFS(Donasi!$A$2:$A$20000,Donasi!$B$2:$B$20000,A4209))</f>
        <v/>
      </c>
      <c r="C4209">
        <f>IF(A4209="","",COUNTIF(Donasi!$B$2:$B$20000,A4209))</f>
        <v/>
      </c>
      <c r="D4209">
        <f>IF(A4209="","",SUMIF(Donasi!$B$2:$B$20000,A4209,Donasi!$C$2:$C$20000))</f>
        <v/>
      </c>
      <c r="E4209">
        <f>IF(A4209="","",6-CEILING(PERCENTRANK.INC($B$3:$B$6000,B4209,4)*5+0.000001,1))</f>
        <v/>
      </c>
      <c r="F4209">
        <f>IF(A4209="","",MAX(1,CEILING(PERCENTRANK.INC($C$3:$C$6000,C4209,4)*5+0.000001,1)))</f>
        <v/>
      </c>
      <c r="G4209">
        <f>IF(A4209="","",MAX(1,CEILING(PERCENTRANK.INC($D$3:$D$6000,D4209,4)*5+0.000001,1)))</f>
        <v/>
      </c>
      <c r="H4209">
        <f>IF(A4209="","",E4209&amp;F4209&amp;G4209)</f>
        <v/>
      </c>
      <c r="I4209">
        <f>IF(A4209="","",IF(AND(E4209&gt;=4,F4209&gt;=4,G4209&gt;=4),"Juara",IF(AND(F4209&gt;=4,E4209&gt;=3),"Setia",IF(AND(E4209=5,F4209&lt;=2,G4209&gt;=3),"Berpotensi",IF(AND(E4209&lt;=3,E4209&gt;=2,F4209&gt;=3),"Rawan",IF(AND(E4209&lt;=2,F4209&lt;=2),"Tidur","Umum"))))))</f>
        <v/>
      </c>
    </row>
    <row r="4210">
      <c r="B4210">
        <f>IF(A4210="","",$B$1-MAXIFS(Donasi!$A$2:$A$20000,Donasi!$B$2:$B$20000,A4210))</f>
        <v/>
      </c>
      <c r="C4210">
        <f>IF(A4210="","",COUNTIF(Donasi!$B$2:$B$20000,A4210))</f>
        <v/>
      </c>
      <c r="D4210">
        <f>IF(A4210="","",SUMIF(Donasi!$B$2:$B$20000,A4210,Donasi!$C$2:$C$20000))</f>
        <v/>
      </c>
      <c r="E4210">
        <f>IF(A4210="","",6-CEILING(PERCENTRANK.INC($B$3:$B$6000,B4210,4)*5+0.000001,1))</f>
        <v/>
      </c>
      <c r="F4210">
        <f>IF(A4210="","",MAX(1,CEILING(PERCENTRANK.INC($C$3:$C$6000,C4210,4)*5+0.000001,1)))</f>
        <v/>
      </c>
      <c r="G4210">
        <f>IF(A4210="","",MAX(1,CEILING(PERCENTRANK.INC($D$3:$D$6000,D4210,4)*5+0.000001,1)))</f>
        <v/>
      </c>
      <c r="H4210">
        <f>IF(A4210="","",E4210&amp;F4210&amp;G4210)</f>
        <v/>
      </c>
      <c r="I4210">
        <f>IF(A4210="","",IF(AND(E4210&gt;=4,F4210&gt;=4,G4210&gt;=4),"Juara",IF(AND(F4210&gt;=4,E4210&gt;=3),"Setia",IF(AND(E4210=5,F4210&lt;=2,G4210&gt;=3),"Berpotensi",IF(AND(E4210&lt;=3,E4210&gt;=2,F4210&gt;=3),"Rawan",IF(AND(E4210&lt;=2,F4210&lt;=2),"Tidur","Umum"))))))</f>
        <v/>
      </c>
    </row>
    <row r="4211">
      <c r="B4211">
        <f>IF(A4211="","",$B$1-MAXIFS(Donasi!$A$2:$A$20000,Donasi!$B$2:$B$20000,A4211))</f>
        <v/>
      </c>
      <c r="C4211">
        <f>IF(A4211="","",COUNTIF(Donasi!$B$2:$B$20000,A4211))</f>
        <v/>
      </c>
      <c r="D4211">
        <f>IF(A4211="","",SUMIF(Donasi!$B$2:$B$20000,A4211,Donasi!$C$2:$C$20000))</f>
        <v/>
      </c>
      <c r="E4211">
        <f>IF(A4211="","",6-CEILING(PERCENTRANK.INC($B$3:$B$6000,B4211,4)*5+0.000001,1))</f>
        <v/>
      </c>
      <c r="F4211">
        <f>IF(A4211="","",MAX(1,CEILING(PERCENTRANK.INC($C$3:$C$6000,C4211,4)*5+0.000001,1)))</f>
        <v/>
      </c>
      <c r="G4211">
        <f>IF(A4211="","",MAX(1,CEILING(PERCENTRANK.INC($D$3:$D$6000,D4211,4)*5+0.000001,1)))</f>
        <v/>
      </c>
      <c r="H4211">
        <f>IF(A4211="","",E4211&amp;F4211&amp;G4211)</f>
        <v/>
      </c>
      <c r="I4211">
        <f>IF(A4211="","",IF(AND(E4211&gt;=4,F4211&gt;=4,G4211&gt;=4),"Juara",IF(AND(F4211&gt;=4,E4211&gt;=3),"Setia",IF(AND(E4211=5,F4211&lt;=2,G4211&gt;=3),"Berpotensi",IF(AND(E4211&lt;=3,E4211&gt;=2,F4211&gt;=3),"Rawan",IF(AND(E4211&lt;=2,F4211&lt;=2),"Tidur","Umum"))))))</f>
        <v/>
      </c>
    </row>
    <row r="4212">
      <c r="B4212">
        <f>IF(A4212="","",$B$1-MAXIFS(Donasi!$A$2:$A$20000,Donasi!$B$2:$B$20000,A4212))</f>
        <v/>
      </c>
      <c r="C4212">
        <f>IF(A4212="","",COUNTIF(Donasi!$B$2:$B$20000,A4212))</f>
        <v/>
      </c>
      <c r="D4212">
        <f>IF(A4212="","",SUMIF(Donasi!$B$2:$B$20000,A4212,Donasi!$C$2:$C$20000))</f>
        <v/>
      </c>
      <c r="E4212">
        <f>IF(A4212="","",6-CEILING(PERCENTRANK.INC($B$3:$B$6000,B4212,4)*5+0.000001,1))</f>
        <v/>
      </c>
      <c r="F4212">
        <f>IF(A4212="","",MAX(1,CEILING(PERCENTRANK.INC($C$3:$C$6000,C4212,4)*5+0.000001,1)))</f>
        <v/>
      </c>
      <c r="G4212">
        <f>IF(A4212="","",MAX(1,CEILING(PERCENTRANK.INC($D$3:$D$6000,D4212,4)*5+0.000001,1)))</f>
        <v/>
      </c>
      <c r="H4212">
        <f>IF(A4212="","",E4212&amp;F4212&amp;G4212)</f>
        <v/>
      </c>
      <c r="I4212">
        <f>IF(A4212="","",IF(AND(E4212&gt;=4,F4212&gt;=4,G4212&gt;=4),"Juara",IF(AND(F4212&gt;=4,E4212&gt;=3),"Setia",IF(AND(E4212=5,F4212&lt;=2,G4212&gt;=3),"Berpotensi",IF(AND(E4212&lt;=3,E4212&gt;=2,F4212&gt;=3),"Rawan",IF(AND(E4212&lt;=2,F4212&lt;=2),"Tidur","Umum"))))))</f>
        <v/>
      </c>
    </row>
    <row r="4213">
      <c r="B4213">
        <f>IF(A4213="","",$B$1-MAXIFS(Donasi!$A$2:$A$20000,Donasi!$B$2:$B$20000,A4213))</f>
        <v/>
      </c>
      <c r="C4213">
        <f>IF(A4213="","",COUNTIF(Donasi!$B$2:$B$20000,A4213))</f>
        <v/>
      </c>
      <c r="D4213">
        <f>IF(A4213="","",SUMIF(Donasi!$B$2:$B$20000,A4213,Donasi!$C$2:$C$20000))</f>
        <v/>
      </c>
      <c r="E4213">
        <f>IF(A4213="","",6-CEILING(PERCENTRANK.INC($B$3:$B$6000,B4213,4)*5+0.000001,1))</f>
        <v/>
      </c>
      <c r="F4213">
        <f>IF(A4213="","",MAX(1,CEILING(PERCENTRANK.INC($C$3:$C$6000,C4213,4)*5+0.000001,1)))</f>
        <v/>
      </c>
      <c r="G4213">
        <f>IF(A4213="","",MAX(1,CEILING(PERCENTRANK.INC($D$3:$D$6000,D4213,4)*5+0.000001,1)))</f>
        <v/>
      </c>
      <c r="H4213">
        <f>IF(A4213="","",E4213&amp;F4213&amp;G4213)</f>
        <v/>
      </c>
      <c r="I4213">
        <f>IF(A4213="","",IF(AND(E4213&gt;=4,F4213&gt;=4,G4213&gt;=4),"Juara",IF(AND(F4213&gt;=4,E4213&gt;=3),"Setia",IF(AND(E4213=5,F4213&lt;=2,G4213&gt;=3),"Berpotensi",IF(AND(E4213&lt;=3,E4213&gt;=2,F4213&gt;=3),"Rawan",IF(AND(E4213&lt;=2,F4213&lt;=2),"Tidur","Umum"))))))</f>
        <v/>
      </c>
    </row>
    <row r="4214">
      <c r="B4214">
        <f>IF(A4214="","",$B$1-MAXIFS(Donasi!$A$2:$A$20000,Donasi!$B$2:$B$20000,A4214))</f>
        <v/>
      </c>
      <c r="C4214">
        <f>IF(A4214="","",COUNTIF(Donasi!$B$2:$B$20000,A4214))</f>
        <v/>
      </c>
      <c r="D4214">
        <f>IF(A4214="","",SUMIF(Donasi!$B$2:$B$20000,A4214,Donasi!$C$2:$C$20000))</f>
        <v/>
      </c>
      <c r="E4214">
        <f>IF(A4214="","",6-CEILING(PERCENTRANK.INC($B$3:$B$6000,B4214,4)*5+0.000001,1))</f>
        <v/>
      </c>
      <c r="F4214">
        <f>IF(A4214="","",MAX(1,CEILING(PERCENTRANK.INC($C$3:$C$6000,C4214,4)*5+0.000001,1)))</f>
        <v/>
      </c>
      <c r="G4214">
        <f>IF(A4214="","",MAX(1,CEILING(PERCENTRANK.INC($D$3:$D$6000,D4214,4)*5+0.000001,1)))</f>
        <v/>
      </c>
      <c r="H4214">
        <f>IF(A4214="","",E4214&amp;F4214&amp;G4214)</f>
        <v/>
      </c>
      <c r="I4214">
        <f>IF(A4214="","",IF(AND(E4214&gt;=4,F4214&gt;=4,G4214&gt;=4),"Juara",IF(AND(F4214&gt;=4,E4214&gt;=3),"Setia",IF(AND(E4214=5,F4214&lt;=2,G4214&gt;=3),"Berpotensi",IF(AND(E4214&lt;=3,E4214&gt;=2,F4214&gt;=3),"Rawan",IF(AND(E4214&lt;=2,F4214&lt;=2),"Tidur","Umum"))))))</f>
        <v/>
      </c>
    </row>
    <row r="4215">
      <c r="B4215">
        <f>IF(A4215="","",$B$1-MAXIFS(Donasi!$A$2:$A$20000,Donasi!$B$2:$B$20000,A4215))</f>
        <v/>
      </c>
      <c r="C4215">
        <f>IF(A4215="","",COUNTIF(Donasi!$B$2:$B$20000,A4215))</f>
        <v/>
      </c>
      <c r="D4215">
        <f>IF(A4215="","",SUMIF(Donasi!$B$2:$B$20000,A4215,Donasi!$C$2:$C$20000))</f>
        <v/>
      </c>
      <c r="E4215">
        <f>IF(A4215="","",6-CEILING(PERCENTRANK.INC($B$3:$B$6000,B4215,4)*5+0.000001,1))</f>
        <v/>
      </c>
      <c r="F4215">
        <f>IF(A4215="","",MAX(1,CEILING(PERCENTRANK.INC($C$3:$C$6000,C4215,4)*5+0.000001,1)))</f>
        <v/>
      </c>
      <c r="G4215">
        <f>IF(A4215="","",MAX(1,CEILING(PERCENTRANK.INC($D$3:$D$6000,D4215,4)*5+0.000001,1)))</f>
        <v/>
      </c>
      <c r="H4215">
        <f>IF(A4215="","",E4215&amp;F4215&amp;G4215)</f>
        <v/>
      </c>
      <c r="I4215">
        <f>IF(A4215="","",IF(AND(E4215&gt;=4,F4215&gt;=4,G4215&gt;=4),"Juara",IF(AND(F4215&gt;=4,E4215&gt;=3),"Setia",IF(AND(E4215=5,F4215&lt;=2,G4215&gt;=3),"Berpotensi",IF(AND(E4215&lt;=3,E4215&gt;=2,F4215&gt;=3),"Rawan",IF(AND(E4215&lt;=2,F4215&lt;=2),"Tidur","Umum"))))))</f>
        <v/>
      </c>
    </row>
    <row r="4216">
      <c r="B4216">
        <f>IF(A4216="","",$B$1-MAXIFS(Donasi!$A$2:$A$20000,Donasi!$B$2:$B$20000,A4216))</f>
        <v/>
      </c>
      <c r="C4216">
        <f>IF(A4216="","",COUNTIF(Donasi!$B$2:$B$20000,A4216))</f>
        <v/>
      </c>
      <c r="D4216">
        <f>IF(A4216="","",SUMIF(Donasi!$B$2:$B$20000,A4216,Donasi!$C$2:$C$20000))</f>
        <v/>
      </c>
      <c r="E4216">
        <f>IF(A4216="","",6-CEILING(PERCENTRANK.INC($B$3:$B$6000,B4216,4)*5+0.000001,1))</f>
        <v/>
      </c>
      <c r="F4216">
        <f>IF(A4216="","",MAX(1,CEILING(PERCENTRANK.INC($C$3:$C$6000,C4216,4)*5+0.000001,1)))</f>
        <v/>
      </c>
      <c r="G4216">
        <f>IF(A4216="","",MAX(1,CEILING(PERCENTRANK.INC($D$3:$D$6000,D4216,4)*5+0.000001,1)))</f>
        <v/>
      </c>
      <c r="H4216">
        <f>IF(A4216="","",E4216&amp;F4216&amp;G4216)</f>
        <v/>
      </c>
      <c r="I4216">
        <f>IF(A4216="","",IF(AND(E4216&gt;=4,F4216&gt;=4,G4216&gt;=4),"Juara",IF(AND(F4216&gt;=4,E4216&gt;=3),"Setia",IF(AND(E4216=5,F4216&lt;=2,G4216&gt;=3),"Berpotensi",IF(AND(E4216&lt;=3,E4216&gt;=2,F4216&gt;=3),"Rawan",IF(AND(E4216&lt;=2,F4216&lt;=2),"Tidur","Umum"))))))</f>
        <v/>
      </c>
    </row>
    <row r="4217">
      <c r="B4217">
        <f>IF(A4217="","",$B$1-MAXIFS(Donasi!$A$2:$A$20000,Donasi!$B$2:$B$20000,A4217))</f>
        <v/>
      </c>
      <c r="C4217">
        <f>IF(A4217="","",COUNTIF(Donasi!$B$2:$B$20000,A4217))</f>
        <v/>
      </c>
      <c r="D4217">
        <f>IF(A4217="","",SUMIF(Donasi!$B$2:$B$20000,A4217,Donasi!$C$2:$C$20000))</f>
        <v/>
      </c>
      <c r="E4217">
        <f>IF(A4217="","",6-CEILING(PERCENTRANK.INC($B$3:$B$6000,B4217,4)*5+0.000001,1))</f>
        <v/>
      </c>
      <c r="F4217">
        <f>IF(A4217="","",MAX(1,CEILING(PERCENTRANK.INC($C$3:$C$6000,C4217,4)*5+0.000001,1)))</f>
        <v/>
      </c>
      <c r="G4217">
        <f>IF(A4217="","",MAX(1,CEILING(PERCENTRANK.INC($D$3:$D$6000,D4217,4)*5+0.000001,1)))</f>
        <v/>
      </c>
      <c r="H4217">
        <f>IF(A4217="","",E4217&amp;F4217&amp;G4217)</f>
        <v/>
      </c>
      <c r="I4217">
        <f>IF(A4217="","",IF(AND(E4217&gt;=4,F4217&gt;=4,G4217&gt;=4),"Juara",IF(AND(F4217&gt;=4,E4217&gt;=3),"Setia",IF(AND(E4217=5,F4217&lt;=2,G4217&gt;=3),"Berpotensi",IF(AND(E4217&lt;=3,E4217&gt;=2,F4217&gt;=3),"Rawan",IF(AND(E4217&lt;=2,F4217&lt;=2),"Tidur","Umum"))))))</f>
        <v/>
      </c>
    </row>
    <row r="4218">
      <c r="B4218">
        <f>IF(A4218="","",$B$1-MAXIFS(Donasi!$A$2:$A$20000,Donasi!$B$2:$B$20000,A4218))</f>
        <v/>
      </c>
      <c r="C4218">
        <f>IF(A4218="","",COUNTIF(Donasi!$B$2:$B$20000,A4218))</f>
        <v/>
      </c>
      <c r="D4218">
        <f>IF(A4218="","",SUMIF(Donasi!$B$2:$B$20000,A4218,Donasi!$C$2:$C$20000))</f>
        <v/>
      </c>
      <c r="E4218">
        <f>IF(A4218="","",6-CEILING(PERCENTRANK.INC($B$3:$B$6000,B4218,4)*5+0.000001,1))</f>
        <v/>
      </c>
      <c r="F4218">
        <f>IF(A4218="","",MAX(1,CEILING(PERCENTRANK.INC($C$3:$C$6000,C4218,4)*5+0.000001,1)))</f>
        <v/>
      </c>
      <c r="G4218">
        <f>IF(A4218="","",MAX(1,CEILING(PERCENTRANK.INC($D$3:$D$6000,D4218,4)*5+0.000001,1)))</f>
        <v/>
      </c>
      <c r="H4218">
        <f>IF(A4218="","",E4218&amp;F4218&amp;G4218)</f>
        <v/>
      </c>
      <c r="I4218">
        <f>IF(A4218="","",IF(AND(E4218&gt;=4,F4218&gt;=4,G4218&gt;=4),"Juara",IF(AND(F4218&gt;=4,E4218&gt;=3),"Setia",IF(AND(E4218=5,F4218&lt;=2,G4218&gt;=3),"Berpotensi",IF(AND(E4218&lt;=3,E4218&gt;=2,F4218&gt;=3),"Rawan",IF(AND(E4218&lt;=2,F4218&lt;=2),"Tidur","Umum"))))))</f>
        <v/>
      </c>
    </row>
    <row r="4219">
      <c r="B4219">
        <f>IF(A4219="","",$B$1-MAXIFS(Donasi!$A$2:$A$20000,Donasi!$B$2:$B$20000,A4219))</f>
        <v/>
      </c>
      <c r="C4219">
        <f>IF(A4219="","",COUNTIF(Donasi!$B$2:$B$20000,A4219))</f>
        <v/>
      </c>
      <c r="D4219">
        <f>IF(A4219="","",SUMIF(Donasi!$B$2:$B$20000,A4219,Donasi!$C$2:$C$20000))</f>
        <v/>
      </c>
      <c r="E4219">
        <f>IF(A4219="","",6-CEILING(PERCENTRANK.INC($B$3:$B$6000,B4219,4)*5+0.000001,1))</f>
        <v/>
      </c>
      <c r="F4219">
        <f>IF(A4219="","",MAX(1,CEILING(PERCENTRANK.INC($C$3:$C$6000,C4219,4)*5+0.000001,1)))</f>
        <v/>
      </c>
      <c r="G4219">
        <f>IF(A4219="","",MAX(1,CEILING(PERCENTRANK.INC($D$3:$D$6000,D4219,4)*5+0.000001,1)))</f>
        <v/>
      </c>
      <c r="H4219">
        <f>IF(A4219="","",E4219&amp;F4219&amp;G4219)</f>
        <v/>
      </c>
      <c r="I4219">
        <f>IF(A4219="","",IF(AND(E4219&gt;=4,F4219&gt;=4,G4219&gt;=4),"Juara",IF(AND(F4219&gt;=4,E4219&gt;=3),"Setia",IF(AND(E4219=5,F4219&lt;=2,G4219&gt;=3),"Berpotensi",IF(AND(E4219&lt;=3,E4219&gt;=2,F4219&gt;=3),"Rawan",IF(AND(E4219&lt;=2,F4219&lt;=2),"Tidur","Umum"))))))</f>
        <v/>
      </c>
    </row>
    <row r="4220">
      <c r="B4220">
        <f>IF(A4220="","",$B$1-MAXIFS(Donasi!$A$2:$A$20000,Donasi!$B$2:$B$20000,A4220))</f>
        <v/>
      </c>
      <c r="C4220">
        <f>IF(A4220="","",COUNTIF(Donasi!$B$2:$B$20000,A4220))</f>
        <v/>
      </c>
      <c r="D4220">
        <f>IF(A4220="","",SUMIF(Donasi!$B$2:$B$20000,A4220,Donasi!$C$2:$C$20000))</f>
        <v/>
      </c>
      <c r="E4220">
        <f>IF(A4220="","",6-CEILING(PERCENTRANK.INC($B$3:$B$6000,B4220,4)*5+0.000001,1))</f>
        <v/>
      </c>
      <c r="F4220">
        <f>IF(A4220="","",MAX(1,CEILING(PERCENTRANK.INC($C$3:$C$6000,C4220,4)*5+0.000001,1)))</f>
        <v/>
      </c>
      <c r="G4220">
        <f>IF(A4220="","",MAX(1,CEILING(PERCENTRANK.INC($D$3:$D$6000,D4220,4)*5+0.000001,1)))</f>
        <v/>
      </c>
      <c r="H4220">
        <f>IF(A4220="","",E4220&amp;F4220&amp;G4220)</f>
        <v/>
      </c>
      <c r="I4220">
        <f>IF(A4220="","",IF(AND(E4220&gt;=4,F4220&gt;=4,G4220&gt;=4),"Juara",IF(AND(F4220&gt;=4,E4220&gt;=3),"Setia",IF(AND(E4220=5,F4220&lt;=2,G4220&gt;=3),"Berpotensi",IF(AND(E4220&lt;=3,E4220&gt;=2,F4220&gt;=3),"Rawan",IF(AND(E4220&lt;=2,F4220&lt;=2),"Tidur","Umum"))))))</f>
        <v/>
      </c>
    </row>
    <row r="4221">
      <c r="B4221">
        <f>IF(A4221="","",$B$1-MAXIFS(Donasi!$A$2:$A$20000,Donasi!$B$2:$B$20000,A4221))</f>
        <v/>
      </c>
      <c r="C4221">
        <f>IF(A4221="","",COUNTIF(Donasi!$B$2:$B$20000,A4221))</f>
        <v/>
      </c>
      <c r="D4221">
        <f>IF(A4221="","",SUMIF(Donasi!$B$2:$B$20000,A4221,Donasi!$C$2:$C$20000))</f>
        <v/>
      </c>
      <c r="E4221">
        <f>IF(A4221="","",6-CEILING(PERCENTRANK.INC($B$3:$B$6000,B4221,4)*5+0.000001,1))</f>
        <v/>
      </c>
      <c r="F4221">
        <f>IF(A4221="","",MAX(1,CEILING(PERCENTRANK.INC($C$3:$C$6000,C4221,4)*5+0.000001,1)))</f>
        <v/>
      </c>
      <c r="G4221">
        <f>IF(A4221="","",MAX(1,CEILING(PERCENTRANK.INC($D$3:$D$6000,D4221,4)*5+0.000001,1)))</f>
        <v/>
      </c>
      <c r="H4221">
        <f>IF(A4221="","",E4221&amp;F4221&amp;G4221)</f>
        <v/>
      </c>
      <c r="I4221">
        <f>IF(A4221="","",IF(AND(E4221&gt;=4,F4221&gt;=4,G4221&gt;=4),"Juara",IF(AND(F4221&gt;=4,E4221&gt;=3),"Setia",IF(AND(E4221=5,F4221&lt;=2,G4221&gt;=3),"Berpotensi",IF(AND(E4221&lt;=3,E4221&gt;=2,F4221&gt;=3),"Rawan",IF(AND(E4221&lt;=2,F4221&lt;=2),"Tidur","Umum"))))))</f>
        <v/>
      </c>
    </row>
    <row r="4222">
      <c r="B4222">
        <f>IF(A4222="","",$B$1-MAXIFS(Donasi!$A$2:$A$20000,Donasi!$B$2:$B$20000,A4222))</f>
        <v/>
      </c>
      <c r="C4222">
        <f>IF(A4222="","",COUNTIF(Donasi!$B$2:$B$20000,A4222))</f>
        <v/>
      </c>
      <c r="D4222">
        <f>IF(A4222="","",SUMIF(Donasi!$B$2:$B$20000,A4222,Donasi!$C$2:$C$20000))</f>
        <v/>
      </c>
      <c r="E4222">
        <f>IF(A4222="","",6-CEILING(PERCENTRANK.INC($B$3:$B$6000,B4222,4)*5+0.000001,1))</f>
        <v/>
      </c>
      <c r="F4222">
        <f>IF(A4222="","",MAX(1,CEILING(PERCENTRANK.INC($C$3:$C$6000,C4222,4)*5+0.000001,1)))</f>
        <v/>
      </c>
      <c r="G4222">
        <f>IF(A4222="","",MAX(1,CEILING(PERCENTRANK.INC($D$3:$D$6000,D4222,4)*5+0.000001,1)))</f>
        <v/>
      </c>
      <c r="H4222">
        <f>IF(A4222="","",E4222&amp;F4222&amp;G4222)</f>
        <v/>
      </c>
      <c r="I4222">
        <f>IF(A4222="","",IF(AND(E4222&gt;=4,F4222&gt;=4,G4222&gt;=4),"Juara",IF(AND(F4222&gt;=4,E4222&gt;=3),"Setia",IF(AND(E4222=5,F4222&lt;=2,G4222&gt;=3),"Berpotensi",IF(AND(E4222&lt;=3,E4222&gt;=2,F4222&gt;=3),"Rawan",IF(AND(E4222&lt;=2,F4222&lt;=2),"Tidur","Umum"))))))</f>
        <v/>
      </c>
    </row>
    <row r="4223">
      <c r="B4223">
        <f>IF(A4223="","",$B$1-MAXIFS(Donasi!$A$2:$A$20000,Donasi!$B$2:$B$20000,A4223))</f>
        <v/>
      </c>
      <c r="C4223">
        <f>IF(A4223="","",COUNTIF(Donasi!$B$2:$B$20000,A4223))</f>
        <v/>
      </c>
      <c r="D4223">
        <f>IF(A4223="","",SUMIF(Donasi!$B$2:$B$20000,A4223,Donasi!$C$2:$C$20000))</f>
        <v/>
      </c>
      <c r="E4223">
        <f>IF(A4223="","",6-CEILING(PERCENTRANK.INC($B$3:$B$6000,B4223,4)*5+0.000001,1))</f>
        <v/>
      </c>
      <c r="F4223">
        <f>IF(A4223="","",MAX(1,CEILING(PERCENTRANK.INC($C$3:$C$6000,C4223,4)*5+0.000001,1)))</f>
        <v/>
      </c>
      <c r="G4223">
        <f>IF(A4223="","",MAX(1,CEILING(PERCENTRANK.INC($D$3:$D$6000,D4223,4)*5+0.000001,1)))</f>
        <v/>
      </c>
      <c r="H4223">
        <f>IF(A4223="","",E4223&amp;F4223&amp;G4223)</f>
        <v/>
      </c>
      <c r="I4223">
        <f>IF(A4223="","",IF(AND(E4223&gt;=4,F4223&gt;=4,G4223&gt;=4),"Juara",IF(AND(F4223&gt;=4,E4223&gt;=3),"Setia",IF(AND(E4223=5,F4223&lt;=2,G4223&gt;=3),"Berpotensi",IF(AND(E4223&lt;=3,E4223&gt;=2,F4223&gt;=3),"Rawan",IF(AND(E4223&lt;=2,F4223&lt;=2),"Tidur","Umum"))))))</f>
        <v/>
      </c>
    </row>
    <row r="4224">
      <c r="B4224">
        <f>IF(A4224="","",$B$1-MAXIFS(Donasi!$A$2:$A$20000,Donasi!$B$2:$B$20000,A4224))</f>
        <v/>
      </c>
      <c r="C4224">
        <f>IF(A4224="","",COUNTIF(Donasi!$B$2:$B$20000,A4224))</f>
        <v/>
      </c>
      <c r="D4224">
        <f>IF(A4224="","",SUMIF(Donasi!$B$2:$B$20000,A4224,Donasi!$C$2:$C$20000))</f>
        <v/>
      </c>
      <c r="E4224">
        <f>IF(A4224="","",6-CEILING(PERCENTRANK.INC($B$3:$B$6000,B4224,4)*5+0.000001,1))</f>
        <v/>
      </c>
      <c r="F4224">
        <f>IF(A4224="","",MAX(1,CEILING(PERCENTRANK.INC($C$3:$C$6000,C4224,4)*5+0.000001,1)))</f>
        <v/>
      </c>
      <c r="G4224">
        <f>IF(A4224="","",MAX(1,CEILING(PERCENTRANK.INC($D$3:$D$6000,D4224,4)*5+0.000001,1)))</f>
        <v/>
      </c>
      <c r="H4224">
        <f>IF(A4224="","",E4224&amp;F4224&amp;G4224)</f>
        <v/>
      </c>
      <c r="I4224">
        <f>IF(A4224="","",IF(AND(E4224&gt;=4,F4224&gt;=4,G4224&gt;=4),"Juara",IF(AND(F4224&gt;=4,E4224&gt;=3),"Setia",IF(AND(E4224=5,F4224&lt;=2,G4224&gt;=3),"Berpotensi",IF(AND(E4224&lt;=3,E4224&gt;=2,F4224&gt;=3),"Rawan",IF(AND(E4224&lt;=2,F4224&lt;=2),"Tidur","Umum"))))))</f>
        <v/>
      </c>
    </row>
    <row r="4225">
      <c r="B4225">
        <f>IF(A4225="","",$B$1-MAXIFS(Donasi!$A$2:$A$20000,Donasi!$B$2:$B$20000,A4225))</f>
        <v/>
      </c>
      <c r="C4225">
        <f>IF(A4225="","",COUNTIF(Donasi!$B$2:$B$20000,A4225))</f>
        <v/>
      </c>
      <c r="D4225">
        <f>IF(A4225="","",SUMIF(Donasi!$B$2:$B$20000,A4225,Donasi!$C$2:$C$20000))</f>
        <v/>
      </c>
      <c r="E4225">
        <f>IF(A4225="","",6-CEILING(PERCENTRANK.INC($B$3:$B$6000,B4225,4)*5+0.000001,1))</f>
        <v/>
      </c>
      <c r="F4225">
        <f>IF(A4225="","",MAX(1,CEILING(PERCENTRANK.INC($C$3:$C$6000,C4225,4)*5+0.000001,1)))</f>
        <v/>
      </c>
      <c r="G4225">
        <f>IF(A4225="","",MAX(1,CEILING(PERCENTRANK.INC($D$3:$D$6000,D4225,4)*5+0.000001,1)))</f>
        <v/>
      </c>
      <c r="H4225">
        <f>IF(A4225="","",E4225&amp;F4225&amp;G4225)</f>
        <v/>
      </c>
      <c r="I4225">
        <f>IF(A4225="","",IF(AND(E4225&gt;=4,F4225&gt;=4,G4225&gt;=4),"Juara",IF(AND(F4225&gt;=4,E4225&gt;=3),"Setia",IF(AND(E4225=5,F4225&lt;=2,G4225&gt;=3),"Berpotensi",IF(AND(E4225&lt;=3,E4225&gt;=2,F4225&gt;=3),"Rawan",IF(AND(E4225&lt;=2,F4225&lt;=2),"Tidur","Umum"))))))</f>
        <v/>
      </c>
    </row>
    <row r="4226">
      <c r="B4226">
        <f>IF(A4226="","",$B$1-MAXIFS(Donasi!$A$2:$A$20000,Donasi!$B$2:$B$20000,A4226))</f>
        <v/>
      </c>
      <c r="C4226">
        <f>IF(A4226="","",COUNTIF(Donasi!$B$2:$B$20000,A4226))</f>
        <v/>
      </c>
      <c r="D4226">
        <f>IF(A4226="","",SUMIF(Donasi!$B$2:$B$20000,A4226,Donasi!$C$2:$C$20000))</f>
        <v/>
      </c>
      <c r="E4226">
        <f>IF(A4226="","",6-CEILING(PERCENTRANK.INC($B$3:$B$6000,B4226,4)*5+0.000001,1))</f>
        <v/>
      </c>
      <c r="F4226">
        <f>IF(A4226="","",MAX(1,CEILING(PERCENTRANK.INC($C$3:$C$6000,C4226,4)*5+0.000001,1)))</f>
        <v/>
      </c>
      <c r="G4226">
        <f>IF(A4226="","",MAX(1,CEILING(PERCENTRANK.INC($D$3:$D$6000,D4226,4)*5+0.000001,1)))</f>
        <v/>
      </c>
      <c r="H4226">
        <f>IF(A4226="","",E4226&amp;F4226&amp;G4226)</f>
        <v/>
      </c>
      <c r="I4226">
        <f>IF(A4226="","",IF(AND(E4226&gt;=4,F4226&gt;=4,G4226&gt;=4),"Juara",IF(AND(F4226&gt;=4,E4226&gt;=3),"Setia",IF(AND(E4226=5,F4226&lt;=2,G4226&gt;=3),"Berpotensi",IF(AND(E4226&lt;=3,E4226&gt;=2,F4226&gt;=3),"Rawan",IF(AND(E4226&lt;=2,F4226&lt;=2),"Tidur","Umum"))))))</f>
        <v/>
      </c>
    </row>
    <row r="4227">
      <c r="B4227">
        <f>IF(A4227="","",$B$1-MAXIFS(Donasi!$A$2:$A$20000,Donasi!$B$2:$B$20000,A4227))</f>
        <v/>
      </c>
      <c r="C4227">
        <f>IF(A4227="","",COUNTIF(Donasi!$B$2:$B$20000,A4227))</f>
        <v/>
      </c>
      <c r="D4227">
        <f>IF(A4227="","",SUMIF(Donasi!$B$2:$B$20000,A4227,Donasi!$C$2:$C$20000))</f>
        <v/>
      </c>
      <c r="E4227">
        <f>IF(A4227="","",6-CEILING(PERCENTRANK.INC($B$3:$B$6000,B4227,4)*5+0.000001,1))</f>
        <v/>
      </c>
      <c r="F4227">
        <f>IF(A4227="","",MAX(1,CEILING(PERCENTRANK.INC($C$3:$C$6000,C4227,4)*5+0.000001,1)))</f>
        <v/>
      </c>
      <c r="G4227">
        <f>IF(A4227="","",MAX(1,CEILING(PERCENTRANK.INC($D$3:$D$6000,D4227,4)*5+0.000001,1)))</f>
        <v/>
      </c>
      <c r="H4227">
        <f>IF(A4227="","",E4227&amp;F4227&amp;G4227)</f>
        <v/>
      </c>
      <c r="I4227">
        <f>IF(A4227="","",IF(AND(E4227&gt;=4,F4227&gt;=4,G4227&gt;=4),"Juara",IF(AND(F4227&gt;=4,E4227&gt;=3),"Setia",IF(AND(E4227=5,F4227&lt;=2,G4227&gt;=3),"Berpotensi",IF(AND(E4227&lt;=3,E4227&gt;=2,F4227&gt;=3),"Rawan",IF(AND(E4227&lt;=2,F4227&lt;=2),"Tidur","Umum"))))))</f>
        <v/>
      </c>
    </row>
    <row r="4228">
      <c r="B4228">
        <f>IF(A4228="","",$B$1-MAXIFS(Donasi!$A$2:$A$20000,Donasi!$B$2:$B$20000,A4228))</f>
        <v/>
      </c>
      <c r="C4228">
        <f>IF(A4228="","",COUNTIF(Donasi!$B$2:$B$20000,A4228))</f>
        <v/>
      </c>
      <c r="D4228">
        <f>IF(A4228="","",SUMIF(Donasi!$B$2:$B$20000,A4228,Donasi!$C$2:$C$20000))</f>
        <v/>
      </c>
      <c r="E4228">
        <f>IF(A4228="","",6-CEILING(PERCENTRANK.INC($B$3:$B$6000,B4228,4)*5+0.000001,1))</f>
        <v/>
      </c>
      <c r="F4228">
        <f>IF(A4228="","",MAX(1,CEILING(PERCENTRANK.INC($C$3:$C$6000,C4228,4)*5+0.000001,1)))</f>
        <v/>
      </c>
      <c r="G4228">
        <f>IF(A4228="","",MAX(1,CEILING(PERCENTRANK.INC($D$3:$D$6000,D4228,4)*5+0.000001,1)))</f>
        <v/>
      </c>
      <c r="H4228">
        <f>IF(A4228="","",E4228&amp;F4228&amp;G4228)</f>
        <v/>
      </c>
      <c r="I4228">
        <f>IF(A4228="","",IF(AND(E4228&gt;=4,F4228&gt;=4,G4228&gt;=4),"Juara",IF(AND(F4228&gt;=4,E4228&gt;=3),"Setia",IF(AND(E4228=5,F4228&lt;=2,G4228&gt;=3),"Berpotensi",IF(AND(E4228&lt;=3,E4228&gt;=2,F4228&gt;=3),"Rawan",IF(AND(E4228&lt;=2,F4228&lt;=2),"Tidur","Umum"))))))</f>
        <v/>
      </c>
    </row>
    <row r="4229">
      <c r="B4229">
        <f>IF(A4229="","",$B$1-MAXIFS(Donasi!$A$2:$A$20000,Donasi!$B$2:$B$20000,A4229))</f>
        <v/>
      </c>
      <c r="C4229">
        <f>IF(A4229="","",COUNTIF(Donasi!$B$2:$B$20000,A4229))</f>
        <v/>
      </c>
      <c r="D4229">
        <f>IF(A4229="","",SUMIF(Donasi!$B$2:$B$20000,A4229,Donasi!$C$2:$C$20000))</f>
        <v/>
      </c>
      <c r="E4229">
        <f>IF(A4229="","",6-CEILING(PERCENTRANK.INC($B$3:$B$6000,B4229,4)*5+0.000001,1))</f>
        <v/>
      </c>
      <c r="F4229">
        <f>IF(A4229="","",MAX(1,CEILING(PERCENTRANK.INC($C$3:$C$6000,C4229,4)*5+0.000001,1)))</f>
        <v/>
      </c>
      <c r="G4229">
        <f>IF(A4229="","",MAX(1,CEILING(PERCENTRANK.INC($D$3:$D$6000,D4229,4)*5+0.000001,1)))</f>
        <v/>
      </c>
      <c r="H4229">
        <f>IF(A4229="","",E4229&amp;F4229&amp;G4229)</f>
        <v/>
      </c>
      <c r="I4229">
        <f>IF(A4229="","",IF(AND(E4229&gt;=4,F4229&gt;=4,G4229&gt;=4),"Juara",IF(AND(F4229&gt;=4,E4229&gt;=3),"Setia",IF(AND(E4229=5,F4229&lt;=2,G4229&gt;=3),"Berpotensi",IF(AND(E4229&lt;=3,E4229&gt;=2,F4229&gt;=3),"Rawan",IF(AND(E4229&lt;=2,F4229&lt;=2),"Tidur","Umum"))))))</f>
        <v/>
      </c>
    </row>
    <row r="4230">
      <c r="B4230">
        <f>IF(A4230="","",$B$1-MAXIFS(Donasi!$A$2:$A$20000,Donasi!$B$2:$B$20000,A4230))</f>
        <v/>
      </c>
      <c r="C4230">
        <f>IF(A4230="","",COUNTIF(Donasi!$B$2:$B$20000,A4230))</f>
        <v/>
      </c>
      <c r="D4230">
        <f>IF(A4230="","",SUMIF(Donasi!$B$2:$B$20000,A4230,Donasi!$C$2:$C$20000))</f>
        <v/>
      </c>
      <c r="E4230">
        <f>IF(A4230="","",6-CEILING(PERCENTRANK.INC($B$3:$B$6000,B4230,4)*5+0.000001,1))</f>
        <v/>
      </c>
      <c r="F4230">
        <f>IF(A4230="","",MAX(1,CEILING(PERCENTRANK.INC($C$3:$C$6000,C4230,4)*5+0.000001,1)))</f>
        <v/>
      </c>
      <c r="G4230">
        <f>IF(A4230="","",MAX(1,CEILING(PERCENTRANK.INC($D$3:$D$6000,D4230,4)*5+0.000001,1)))</f>
        <v/>
      </c>
      <c r="H4230">
        <f>IF(A4230="","",E4230&amp;F4230&amp;G4230)</f>
        <v/>
      </c>
      <c r="I4230">
        <f>IF(A4230="","",IF(AND(E4230&gt;=4,F4230&gt;=4,G4230&gt;=4),"Juara",IF(AND(F4230&gt;=4,E4230&gt;=3),"Setia",IF(AND(E4230=5,F4230&lt;=2,G4230&gt;=3),"Berpotensi",IF(AND(E4230&lt;=3,E4230&gt;=2,F4230&gt;=3),"Rawan",IF(AND(E4230&lt;=2,F4230&lt;=2),"Tidur","Umum"))))))</f>
        <v/>
      </c>
    </row>
    <row r="4231">
      <c r="B4231">
        <f>IF(A4231="","",$B$1-MAXIFS(Donasi!$A$2:$A$20000,Donasi!$B$2:$B$20000,A4231))</f>
        <v/>
      </c>
      <c r="C4231">
        <f>IF(A4231="","",COUNTIF(Donasi!$B$2:$B$20000,A4231))</f>
        <v/>
      </c>
      <c r="D4231">
        <f>IF(A4231="","",SUMIF(Donasi!$B$2:$B$20000,A4231,Donasi!$C$2:$C$20000))</f>
        <v/>
      </c>
      <c r="E4231">
        <f>IF(A4231="","",6-CEILING(PERCENTRANK.INC($B$3:$B$6000,B4231,4)*5+0.000001,1))</f>
        <v/>
      </c>
      <c r="F4231">
        <f>IF(A4231="","",MAX(1,CEILING(PERCENTRANK.INC($C$3:$C$6000,C4231,4)*5+0.000001,1)))</f>
        <v/>
      </c>
      <c r="G4231">
        <f>IF(A4231="","",MAX(1,CEILING(PERCENTRANK.INC($D$3:$D$6000,D4231,4)*5+0.000001,1)))</f>
        <v/>
      </c>
      <c r="H4231">
        <f>IF(A4231="","",E4231&amp;F4231&amp;G4231)</f>
        <v/>
      </c>
      <c r="I4231">
        <f>IF(A4231="","",IF(AND(E4231&gt;=4,F4231&gt;=4,G4231&gt;=4),"Juara",IF(AND(F4231&gt;=4,E4231&gt;=3),"Setia",IF(AND(E4231=5,F4231&lt;=2,G4231&gt;=3),"Berpotensi",IF(AND(E4231&lt;=3,E4231&gt;=2,F4231&gt;=3),"Rawan",IF(AND(E4231&lt;=2,F4231&lt;=2),"Tidur","Umum"))))))</f>
        <v/>
      </c>
    </row>
    <row r="4232">
      <c r="B4232">
        <f>IF(A4232="","",$B$1-MAXIFS(Donasi!$A$2:$A$20000,Donasi!$B$2:$B$20000,A4232))</f>
        <v/>
      </c>
      <c r="C4232">
        <f>IF(A4232="","",COUNTIF(Donasi!$B$2:$B$20000,A4232))</f>
        <v/>
      </c>
      <c r="D4232">
        <f>IF(A4232="","",SUMIF(Donasi!$B$2:$B$20000,A4232,Donasi!$C$2:$C$20000))</f>
        <v/>
      </c>
      <c r="E4232">
        <f>IF(A4232="","",6-CEILING(PERCENTRANK.INC($B$3:$B$6000,B4232,4)*5+0.000001,1))</f>
        <v/>
      </c>
      <c r="F4232">
        <f>IF(A4232="","",MAX(1,CEILING(PERCENTRANK.INC($C$3:$C$6000,C4232,4)*5+0.000001,1)))</f>
        <v/>
      </c>
      <c r="G4232">
        <f>IF(A4232="","",MAX(1,CEILING(PERCENTRANK.INC($D$3:$D$6000,D4232,4)*5+0.000001,1)))</f>
        <v/>
      </c>
      <c r="H4232">
        <f>IF(A4232="","",E4232&amp;F4232&amp;G4232)</f>
        <v/>
      </c>
      <c r="I4232">
        <f>IF(A4232="","",IF(AND(E4232&gt;=4,F4232&gt;=4,G4232&gt;=4),"Juara",IF(AND(F4232&gt;=4,E4232&gt;=3),"Setia",IF(AND(E4232=5,F4232&lt;=2,G4232&gt;=3),"Berpotensi",IF(AND(E4232&lt;=3,E4232&gt;=2,F4232&gt;=3),"Rawan",IF(AND(E4232&lt;=2,F4232&lt;=2),"Tidur","Umum"))))))</f>
        <v/>
      </c>
    </row>
    <row r="4233">
      <c r="B4233">
        <f>IF(A4233="","",$B$1-MAXIFS(Donasi!$A$2:$A$20000,Donasi!$B$2:$B$20000,A4233))</f>
        <v/>
      </c>
      <c r="C4233">
        <f>IF(A4233="","",COUNTIF(Donasi!$B$2:$B$20000,A4233))</f>
        <v/>
      </c>
      <c r="D4233">
        <f>IF(A4233="","",SUMIF(Donasi!$B$2:$B$20000,A4233,Donasi!$C$2:$C$20000))</f>
        <v/>
      </c>
      <c r="E4233">
        <f>IF(A4233="","",6-CEILING(PERCENTRANK.INC($B$3:$B$6000,B4233,4)*5+0.000001,1))</f>
        <v/>
      </c>
      <c r="F4233">
        <f>IF(A4233="","",MAX(1,CEILING(PERCENTRANK.INC($C$3:$C$6000,C4233,4)*5+0.000001,1)))</f>
        <v/>
      </c>
      <c r="G4233">
        <f>IF(A4233="","",MAX(1,CEILING(PERCENTRANK.INC($D$3:$D$6000,D4233,4)*5+0.000001,1)))</f>
        <v/>
      </c>
      <c r="H4233">
        <f>IF(A4233="","",E4233&amp;F4233&amp;G4233)</f>
        <v/>
      </c>
      <c r="I4233">
        <f>IF(A4233="","",IF(AND(E4233&gt;=4,F4233&gt;=4,G4233&gt;=4),"Juara",IF(AND(F4233&gt;=4,E4233&gt;=3),"Setia",IF(AND(E4233=5,F4233&lt;=2,G4233&gt;=3),"Berpotensi",IF(AND(E4233&lt;=3,E4233&gt;=2,F4233&gt;=3),"Rawan",IF(AND(E4233&lt;=2,F4233&lt;=2),"Tidur","Umum"))))))</f>
        <v/>
      </c>
    </row>
    <row r="4234">
      <c r="B4234">
        <f>IF(A4234="","",$B$1-MAXIFS(Donasi!$A$2:$A$20000,Donasi!$B$2:$B$20000,A4234))</f>
        <v/>
      </c>
      <c r="C4234">
        <f>IF(A4234="","",COUNTIF(Donasi!$B$2:$B$20000,A4234))</f>
        <v/>
      </c>
      <c r="D4234">
        <f>IF(A4234="","",SUMIF(Donasi!$B$2:$B$20000,A4234,Donasi!$C$2:$C$20000))</f>
        <v/>
      </c>
      <c r="E4234">
        <f>IF(A4234="","",6-CEILING(PERCENTRANK.INC($B$3:$B$6000,B4234,4)*5+0.000001,1))</f>
        <v/>
      </c>
      <c r="F4234">
        <f>IF(A4234="","",MAX(1,CEILING(PERCENTRANK.INC($C$3:$C$6000,C4234,4)*5+0.000001,1)))</f>
        <v/>
      </c>
      <c r="G4234">
        <f>IF(A4234="","",MAX(1,CEILING(PERCENTRANK.INC($D$3:$D$6000,D4234,4)*5+0.000001,1)))</f>
        <v/>
      </c>
      <c r="H4234">
        <f>IF(A4234="","",E4234&amp;F4234&amp;G4234)</f>
        <v/>
      </c>
      <c r="I4234">
        <f>IF(A4234="","",IF(AND(E4234&gt;=4,F4234&gt;=4,G4234&gt;=4),"Juara",IF(AND(F4234&gt;=4,E4234&gt;=3),"Setia",IF(AND(E4234=5,F4234&lt;=2,G4234&gt;=3),"Berpotensi",IF(AND(E4234&lt;=3,E4234&gt;=2,F4234&gt;=3),"Rawan",IF(AND(E4234&lt;=2,F4234&lt;=2),"Tidur","Umum"))))))</f>
        <v/>
      </c>
    </row>
    <row r="4235">
      <c r="B4235">
        <f>IF(A4235="","",$B$1-MAXIFS(Donasi!$A$2:$A$20000,Donasi!$B$2:$B$20000,A4235))</f>
        <v/>
      </c>
      <c r="C4235">
        <f>IF(A4235="","",COUNTIF(Donasi!$B$2:$B$20000,A4235))</f>
        <v/>
      </c>
      <c r="D4235">
        <f>IF(A4235="","",SUMIF(Donasi!$B$2:$B$20000,A4235,Donasi!$C$2:$C$20000))</f>
        <v/>
      </c>
      <c r="E4235">
        <f>IF(A4235="","",6-CEILING(PERCENTRANK.INC($B$3:$B$6000,B4235,4)*5+0.000001,1))</f>
        <v/>
      </c>
      <c r="F4235">
        <f>IF(A4235="","",MAX(1,CEILING(PERCENTRANK.INC($C$3:$C$6000,C4235,4)*5+0.000001,1)))</f>
        <v/>
      </c>
      <c r="G4235">
        <f>IF(A4235="","",MAX(1,CEILING(PERCENTRANK.INC($D$3:$D$6000,D4235,4)*5+0.000001,1)))</f>
        <v/>
      </c>
      <c r="H4235">
        <f>IF(A4235="","",E4235&amp;F4235&amp;G4235)</f>
        <v/>
      </c>
      <c r="I4235">
        <f>IF(A4235="","",IF(AND(E4235&gt;=4,F4235&gt;=4,G4235&gt;=4),"Juara",IF(AND(F4235&gt;=4,E4235&gt;=3),"Setia",IF(AND(E4235=5,F4235&lt;=2,G4235&gt;=3),"Berpotensi",IF(AND(E4235&lt;=3,E4235&gt;=2,F4235&gt;=3),"Rawan",IF(AND(E4235&lt;=2,F4235&lt;=2),"Tidur","Umum"))))))</f>
        <v/>
      </c>
    </row>
    <row r="4236">
      <c r="B4236">
        <f>IF(A4236="","",$B$1-MAXIFS(Donasi!$A$2:$A$20000,Donasi!$B$2:$B$20000,A4236))</f>
        <v/>
      </c>
      <c r="C4236">
        <f>IF(A4236="","",COUNTIF(Donasi!$B$2:$B$20000,A4236))</f>
        <v/>
      </c>
      <c r="D4236">
        <f>IF(A4236="","",SUMIF(Donasi!$B$2:$B$20000,A4236,Donasi!$C$2:$C$20000))</f>
        <v/>
      </c>
      <c r="E4236">
        <f>IF(A4236="","",6-CEILING(PERCENTRANK.INC($B$3:$B$6000,B4236,4)*5+0.000001,1))</f>
        <v/>
      </c>
      <c r="F4236">
        <f>IF(A4236="","",MAX(1,CEILING(PERCENTRANK.INC($C$3:$C$6000,C4236,4)*5+0.000001,1)))</f>
        <v/>
      </c>
      <c r="G4236">
        <f>IF(A4236="","",MAX(1,CEILING(PERCENTRANK.INC($D$3:$D$6000,D4236,4)*5+0.000001,1)))</f>
        <v/>
      </c>
      <c r="H4236">
        <f>IF(A4236="","",E4236&amp;F4236&amp;G4236)</f>
        <v/>
      </c>
      <c r="I4236">
        <f>IF(A4236="","",IF(AND(E4236&gt;=4,F4236&gt;=4,G4236&gt;=4),"Juara",IF(AND(F4236&gt;=4,E4236&gt;=3),"Setia",IF(AND(E4236=5,F4236&lt;=2,G4236&gt;=3),"Berpotensi",IF(AND(E4236&lt;=3,E4236&gt;=2,F4236&gt;=3),"Rawan",IF(AND(E4236&lt;=2,F4236&lt;=2),"Tidur","Umum"))))))</f>
        <v/>
      </c>
    </row>
    <row r="4237">
      <c r="B4237">
        <f>IF(A4237="","",$B$1-MAXIFS(Donasi!$A$2:$A$20000,Donasi!$B$2:$B$20000,A4237))</f>
        <v/>
      </c>
      <c r="C4237">
        <f>IF(A4237="","",COUNTIF(Donasi!$B$2:$B$20000,A4237))</f>
        <v/>
      </c>
      <c r="D4237">
        <f>IF(A4237="","",SUMIF(Donasi!$B$2:$B$20000,A4237,Donasi!$C$2:$C$20000))</f>
        <v/>
      </c>
      <c r="E4237">
        <f>IF(A4237="","",6-CEILING(PERCENTRANK.INC($B$3:$B$6000,B4237,4)*5+0.000001,1))</f>
        <v/>
      </c>
      <c r="F4237">
        <f>IF(A4237="","",MAX(1,CEILING(PERCENTRANK.INC($C$3:$C$6000,C4237,4)*5+0.000001,1)))</f>
        <v/>
      </c>
      <c r="G4237">
        <f>IF(A4237="","",MAX(1,CEILING(PERCENTRANK.INC($D$3:$D$6000,D4237,4)*5+0.000001,1)))</f>
        <v/>
      </c>
      <c r="H4237">
        <f>IF(A4237="","",E4237&amp;F4237&amp;G4237)</f>
        <v/>
      </c>
      <c r="I4237">
        <f>IF(A4237="","",IF(AND(E4237&gt;=4,F4237&gt;=4,G4237&gt;=4),"Juara",IF(AND(F4237&gt;=4,E4237&gt;=3),"Setia",IF(AND(E4237=5,F4237&lt;=2,G4237&gt;=3),"Berpotensi",IF(AND(E4237&lt;=3,E4237&gt;=2,F4237&gt;=3),"Rawan",IF(AND(E4237&lt;=2,F4237&lt;=2),"Tidur","Umum"))))))</f>
        <v/>
      </c>
    </row>
    <row r="4238">
      <c r="B4238">
        <f>IF(A4238="","",$B$1-MAXIFS(Donasi!$A$2:$A$20000,Donasi!$B$2:$B$20000,A4238))</f>
        <v/>
      </c>
      <c r="C4238">
        <f>IF(A4238="","",COUNTIF(Donasi!$B$2:$B$20000,A4238))</f>
        <v/>
      </c>
      <c r="D4238">
        <f>IF(A4238="","",SUMIF(Donasi!$B$2:$B$20000,A4238,Donasi!$C$2:$C$20000))</f>
        <v/>
      </c>
      <c r="E4238">
        <f>IF(A4238="","",6-CEILING(PERCENTRANK.INC($B$3:$B$6000,B4238,4)*5+0.000001,1))</f>
        <v/>
      </c>
      <c r="F4238">
        <f>IF(A4238="","",MAX(1,CEILING(PERCENTRANK.INC($C$3:$C$6000,C4238,4)*5+0.000001,1)))</f>
        <v/>
      </c>
      <c r="G4238">
        <f>IF(A4238="","",MAX(1,CEILING(PERCENTRANK.INC($D$3:$D$6000,D4238,4)*5+0.000001,1)))</f>
        <v/>
      </c>
      <c r="H4238">
        <f>IF(A4238="","",E4238&amp;F4238&amp;G4238)</f>
        <v/>
      </c>
      <c r="I4238">
        <f>IF(A4238="","",IF(AND(E4238&gt;=4,F4238&gt;=4,G4238&gt;=4),"Juara",IF(AND(F4238&gt;=4,E4238&gt;=3),"Setia",IF(AND(E4238=5,F4238&lt;=2,G4238&gt;=3),"Berpotensi",IF(AND(E4238&lt;=3,E4238&gt;=2,F4238&gt;=3),"Rawan",IF(AND(E4238&lt;=2,F4238&lt;=2),"Tidur","Umum"))))))</f>
        <v/>
      </c>
    </row>
    <row r="4239">
      <c r="B4239">
        <f>IF(A4239="","",$B$1-MAXIFS(Donasi!$A$2:$A$20000,Donasi!$B$2:$B$20000,A4239))</f>
        <v/>
      </c>
      <c r="C4239">
        <f>IF(A4239="","",COUNTIF(Donasi!$B$2:$B$20000,A4239))</f>
        <v/>
      </c>
      <c r="D4239">
        <f>IF(A4239="","",SUMIF(Donasi!$B$2:$B$20000,A4239,Donasi!$C$2:$C$20000))</f>
        <v/>
      </c>
      <c r="E4239">
        <f>IF(A4239="","",6-CEILING(PERCENTRANK.INC($B$3:$B$6000,B4239,4)*5+0.000001,1))</f>
        <v/>
      </c>
      <c r="F4239">
        <f>IF(A4239="","",MAX(1,CEILING(PERCENTRANK.INC($C$3:$C$6000,C4239,4)*5+0.000001,1)))</f>
        <v/>
      </c>
      <c r="G4239">
        <f>IF(A4239="","",MAX(1,CEILING(PERCENTRANK.INC($D$3:$D$6000,D4239,4)*5+0.000001,1)))</f>
        <v/>
      </c>
      <c r="H4239">
        <f>IF(A4239="","",E4239&amp;F4239&amp;G4239)</f>
        <v/>
      </c>
      <c r="I4239">
        <f>IF(A4239="","",IF(AND(E4239&gt;=4,F4239&gt;=4,G4239&gt;=4),"Juara",IF(AND(F4239&gt;=4,E4239&gt;=3),"Setia",IF(AND(E4239=5,F4239&lt;=2,G4239&gt;=3),"Berpotensi",IF(AND(E4239&lt;=3,E4239&gt;=2,F4239&gt;=3),"Rawan",IF(AND(E4239&lt;=2,F4239&lt;=2),"Tidur","Umum"))))))</f>
        <v/>
      </c>
    </row>
    <row r="4240">
      <c r="B4240">
        <f>IF(A4240="","",$B$1-MAXIFS(Donasi!$A$2:$A$20000,Donasi!$B$2:$B$20000,A4240))</f>
        <v/>
      </c>
      <c r="C4240">
        <f>IF(A4240="","",COUNTIF(Donasi!$B$2:$B$20000,A4240))</f>
        <v/>
      </c>
      <c r="D4240">
        <f>IF(A4240="","",SUMIF(Donasi!$B$2:$B$20000,A4240,Donasi!$C$2:$C$20000))</f>
        <v/>
      </c>
      <c r="E4240">
        <f>IF(A4240="","",6-CEILING(PERCENTRANK.INC($B$3:$B$6000,B4240,4)*5+0.000001,1))</f>
        <v/>
      </c>
      <c r="F4240">
        <f>IF(A4240="","",MAX(1,CEILING(PERCENTRANK.INC($C$3:$C$6000,C4240,4)*5+0.000001,1)))</f>
        <v/>
      </c>
      <c r="G4240">
        <f>IF(A4240="","",MAX(1,CEILING(PERCENTRANK.INC($D$3:$D$6000,D4240,4)*5+0.000001,1)))</f>
        <v/>
      </c>
      <c r="H4240">
        <f>IF(A4240="","",E4240&amp;F4240&amp;G4240)</f>
        <v/>
      </c>
      <c r="I4240">
        <f>IF(A4240="","",IF(AND(E4240&gt;=4,F4240&gt;=4,G4240&gt;=4),"Juara",IF(AND(F4240&gt;=4,E4240&gt;=3),"Setia",IF(AND(E4240=5,F4240&lt;=2,G4240&gt;=3),"Berpotensi",IF(AND(E4240&lt;=3,E4240&gt;=2,F4240&gt;=3),"Rawan",IF(AND(E4240&lt;=2,F4240&lt;=2),"Tidur","Umum"))))))</f>
        <v/>
      </c>
    </row>
    <row r="4241">
      <c r="B4241">
        <f>IF(A4241="","",$B$1-MAXIFS(Donasi!$A$2:$A$20000,Donasi!$B$2:$B$20000,A4241))</f>
        <v/>
      </c>
      <c r="C4241">
        <f>IF(A4241="","",COUNTIF(Donasi!$B$2:$B$20000,A4241))</f>
        <v/>
      </c>
      <c r="D4241">
        <f>IF(A4241="","",SUMIF(Donasi!$B$2:$B$20000,A4241,Donasi!$C$2:$C$20000))</f>
        <v/>
      </c>
      <c r="E4241">
        <f>IF(A4241="","",6-CEILING(PERCENTRANK.INC($B$3:$B$6000,B4241,4)*5+0.000001,1))</f>
        <v/>
      </c>
      <c r="F4241">
        <f>IF(A4241="","",MAX(1,CEILING(PERCENTRANK.INC($C$3:$C$6000,C4241,4)*5+0.000001,1)))</f>
        <v/>
      </c>
      <c r="G4241">
        <f>IF(A4241="","",MAX(1,CEILING(PERCENTRANK.INC($D$3:$D$6000,D4241,4)*5+0.000001,1)))</f>
        <v/>
      </c>
      <c r="H4241">
        <f>IF(A4241="","",E4241&amp;F4241&amp;G4241)</f>
        <v/>
      </c>
      <c r="I4241">
        <f>IF(A4241="","",IF(AND(E4241&gt;=4,F4241&gt;=4,G4241&gt;=4),"Juara",IF(AND(F4241&gt;=4,E4241&gt;=3),"Setia",IF(AND(E4241=5,F4241&lt;=2,G4241&gt;=3),"Berpotensi",IF(AND(E4241&lt;=3,E4241&gt;=2,F4241&gt;=3),"Rawan",IF(AND(E4241&lt;=2,F4241&lt;=2),"Tidur","Umum"))))))</f>
        <v/>
      </c>
    </row>
    <row r="4242">
      <c r="B4242">
        <f>IF(A4242="","",$B$1-MAXIFS(Donasi!$A$2:$A$20000,Donasi!$B$2:$B$20000,A4242))</f>
        <v/>
      </c>
      <c r="C4242">
        <f>IF(A4242="","",COUNTIF(Donasi!$B$2:$B$20000,A4242))</f>
        <v/>
      </c>
      <c r="D4242">
        <f>IF(A4242="","",SUMIF(Donasi!$B$2:$B$20000,A4242,Donasi!$C$2:$C$20000))</f>
        <v/>
      </c>
      <c r="E4242">
        <f>IF(A4242="","",6-CEILING(PERCENTRANK.INC($B$3:$B$6000,B4242,4)*5+0.000001,1))</f>
        <v/>
      </c>
      <c r="F4242">
        <f>IF(A4242="","",MAX(1,CEILING(PERCENTRANK.INC($C$3:$C$6000,C4242,4)*5+0.000001,1)))</f>
        <v/>
      </c>
      <c r="G4242">
        <f>IF(A4242="","",MAX(1,CEILING(PERCENTRANK.INC($D$3:$D$6000,D4242,4)*5+0.000001,1)))</f>
        <v/>
      </c>
      <c r="H4242">
        <f>IF(A4242="","",E4242&amp;F4242&amp;G4242)</f>
        <v/>
      </c>
      <c r="I4242">
        <f>IF(A4242="","",IF(AND(E4242&gt;=4,F4242&gt;=4,G4242&gt;=4),"Juara",IF(AND(F4242&gt;=4,E4242&gt;=3),"Setia",IF(AND(E4242=5,F4242&lt;=2,G4242&gt;=3),"Berpotensi",IF(AND(E4242&lt;=3,E4242&gt;=2,F4242&gt;=3),"Rawan",IF(AND(E4242&lt;=2,F4242&lt;=2),"Tidur","Umum"))))))</f>
        <v/>
      </c>
    </row>
    <row r="4243">
      <c r="B4243">
        <f>IF(A4243="","",$B$1-MAXIFS(Donasi!$A$2:$A$20000,Donasi!$B$2:$B$20000,A4243))</f>
        <v/>
      </c>
      <c r="C4243">
        <f>IF(A4243="","",COUNTIF(Donasi!$B$2:$B$20000,A4243))</f>
        <v/>
      </c>
      <c r="D4243">
        <f>IF(A4243="","",SUMIF(Donasi!$B$2:$B$20000,A4243,Donasi!$C$2:$C$20000))</f>
        <v/>
      </c>
      <c r="E4243">
        <f>IF(A4243="","",6-CEILING(PERCENTRANK.INC($B$3:$B$6000,B4243,4)*5+0.000001,1))</f>
        <v/>
      </c>
      <c r="F4243">
        <f>IF(A4243="","",MAX(1,CEILING(PERCENTRANK.INC($C$3:$C$6000,C4243,4)*5+0.000001,1)))</f>
        <v/>
      </c>
      <c r="G4243">
        <f>IF(A4243="","",MAX(1,CEILING(PERCENTRANK.INC($D$3:$D$6000,D4243,4)*5+0.000001,1)))</f>
        <v/>
      </c>
      <c r="H4243">
        <f>IF(A4243="","",E4243&amp;F4243&amp;G4243)</f>
        <v/>
      </c>
      <c r="I4243">
        <f>IF(A4243="","",IF(AND(E4243&gt;=4,F4243&gt;=4,G4243&gt;=4),"Juara",IF(AND(F4243&gt;=4,E4243&gt;=3),"Setia",IF(AND(E4243=5,F4243&lt;=2,G4243&gt;=3),"Berpotensi",IF(AND(E4243&lt;=3,E4243&gt;=2,F4243&gt;=3),"Rawan",IF(AND(E4243&lt;=2,F4243&lt;=2),"Tidur","Umum"))))))</f>
        <v/>
      </c>
    </row>
    <row r="4244">
      <c r="B4244">
        <f>IF(A4244="","",$B$1-MAXIFS(Donasi!$A$2:$A$20000,Donasi!$B$2:$B$20000,A4244))</f>
        <v/>
      </c>
      <c r="C4244">
        <f>IF(A4244="","",COUNTIF(Donasi!$B$2:$B$20000,A4244))</f>
        <v/>
      </c>
      <c r="D4244">
        <f>IF(A4244="","",SUMIF(Donasi!$B$2:$B$20000,A4244,Donasi!$C$2:$C$20000))</f>
        <v/>
      </c>
      <c r="E4244">
        <f>IF(A4244="","",6-CEILING(PERCENTRANK.INC($B$3:$B$6000,B4244,4)*5+0.000001,1))</f>
        <v/>
      </c>
      <c r="F4244">
        <f>IF(A4244="","",MAX(1,CEILING(PERCENTRANK.INC($C$3:$C$6000,C4244,4)*5+0.000001,1)))</f>
        <v/>
      </c>
      <c r="G4244">
        <f>IF(A4244="","",MAX(1,CEILING(PERCENTRANK.INC($D$3:$D$6000,D4244,4)*5+0.000001,1)))</f>
        <v/>
      </c>
      <c r="H4244">
        <f>IF(A4244="","",E4244&amp;F4244&amp;G4244)</f>
        <v/>
      </c>
      <c r="I4244">
        <f>IF(A4244="","",IF(AND(E4244&gt;=4,F4244&gt;=4,G4244&gt;=4),"Juara",IF(AND(F4244&gt;=4,E4244&gt;=3),"Setia",IF(AND(E4244=5,F4244&lt;=2,G4244&gt;=3),"Berpotensi",IF(AND(E4244&lt;=3,E4244&gt;=2,F4244&gt;=3),"Rawan",IF(AND(E4244&lt;=2,F4244&lt;=2),"Tidur","Umum"))))))</f>
        <v/>
      </c>
    </row>
    <row r="4245">
      <c r="B4245">
        <f>IF(A4245="","",$B$1-MAXIFS(Donasi!$A$2:$A$20000,Donasi!$B$2:$B$20000,A4245))</f>
        <v/>
      </c>
      <c r="C4245">
        <f>IF(A4245="","",COUNTIF(Donasi!$B$2:$B$20000,A4245))</f>
        <v/>
      </c>
      <c r="D4245">
        <f>IF(A4245="","",SUMIF(Donasi!$B$2:$B$20000,A4245,Donasi!$C$2:$C$20000))</f>
        <v/>
      </c>
      <c r="E4245">
        <f>IF(A4245="","",6-CEILING(PERCENTRANK.INC($B$3:$B$6000,B4245,4)*5+0.000001,1))</f>
        <v/>
      </c>
      <c r="F4245">
        <f>IF(A4245="","",MAX(1,CEILING(PERCENTRANK.INC($C$3:$C$6000,C4245,4)*5+0.000001,1)))</f>
        <v/>
      </c>
      <c r="G4245">
        <f>IF(A4245="","",MAX(1,CEILING(PERCENTRANK.INC($D$3:$D$6000,D4245,4)*5+0.000001,1)))</f>
        <v/>
      </c>
      <c r="H4245">
        <f>IF(A4245="","",E4245&amp;F4245&amp;G4245)</f>
        <v/>
      </c>
      <c r="I4245">
        <f>IF(A4245="","",IF(AND(E4245&gt;=4,F4245&gt;=4,G4245&gt;=4),"Juara",IF(AND(F4245&gt;=4,E4245&gt;=3),"Setia",IF(AND(E4245=5,F4245&lt;=2,G4245&gt;=3),"Berpotensi",IF(AND(E4245&lt;=3,E4245&gt;=2,F4245&gt;=3),"Rawan",IF(AND(E4245&lt;=2,F4245&lt;=2),"Tidur","Umum"))))))</f>
        <v/>
      </c>
    </row>
    <row r="4246">
      <c r="B4246">
        <f>IF(A4246="","",$B$1-MAXIFS(Donasi!$A$2:$A$20000,Donasi!$B$2:$B$20000,A4246))</f>
        <v/>
      </c>
      <c r="C4246">
        <f>IF(A4246="","",COUNTIF(Donasi!$B$2:$B$20000,A4246))</f>
        <v/>
      </c>
      <c r="D4246">
        <f>IF(A4246="","",SUMIF(Donasi!$B$2:$B$20000,A4246,Donasi!$C$2:$C$20000))</f>
        <v/>
      </c>
      <c r="E4246">
        <f>IF(A4246="","",6-CEILING(PERCENTRANK.INC($B$3:$B$6000,B4246,4)*5+0.000001,1))</f>
        <v/>
      </c>
      <c r="F4246">
        <f>IF(A4246="","",MAX(1,CEILING(PERCENTRANK.INC($C$3:$C$6000,C4246,4)*5+0.000001,1)))</f>
        <v/>
      </c>
      <c r="G4246">
        <f>IF(A4246="","",MAX(1,CEILING(PERCENTRANK.INC($D$3:$D$6000,D4246,4)*5+0.000001,1)))</f>
        <v/>
      </c>
      <c r="H4246">
        <f>IF(A4246="","",E4246&amp;F4246&amp;G4246)</f>
        <v/>
      </c>
      <c r="I4246">
        <f>IF(A4246="","",IF(AND(E4246&gt;=4,F4246&gt;=4,G4246&gt;=4),"Juara",IF(AND(F4246&gt;=4,E4246&gt;=3),"Setia",IF(AND(E4246=5,F4246&lt;=2,G4246&gt;=3),"Berpotensi",IF(AND(E4246&lt;=3,E4246&gt;=2,F4246&gt;=3),"Rawan",IF(AND(E4246&lt;=2,F4246&lt;=2),"Tidur","Umum"))))))</f>
        <v/>
      </c>
    </row>
    <row r="4247">
      <c r="B4247">
        <f>IF(A4247="","",$B$1-MAXIFS(Donasi!$A$2:$A$20000,Donasi!$B$2:$B$20000,A4247))</f>
        <v/>
      </c>
      <c r="C4247">
        <f>IF(A4247="","",COUNTIF(Donasi!$B$2:$B$20000,A4247))</f>
        <v/>
      </c>
      <c r="D4247">
        <f>IF(A4247="","",SUMIF(Donasi!$B$2:$B$20000,A4247,Donasi!$C$2:$C$20000))</f>
        <v/>
      </c>
      <c r="E4247">
        <f>IF(A4247="","",6-CEILING(PERCENTRANK.INC($B$3:$B$6000,B4247,4)*5+0.000001,1))</f>
        <v/>
      </c>
      <c r="F4247">
        <f>IF(A4247="","",MAX(1,CEILING(PERCENTRANK.INC($C$3:$C$6000,C4247,4)*5+0.000001,1)))</f>
        <v/>
      </c>
      <c r="G4247">
        <f>IF(A4247="","",MAX(1,CEILING(PERCENTRANK.INC($D$3:$D$6000,D4247,4)*5+0.000001,1)))</f>
        <v/>
      </c>
      <c r="H4247">
        <f>IF(A4247="","",E4247&amp;F4247&amp;G4247)</f>
        <v/>
      </c>
      <c r="I4247">
        <f>IF(A4247="","",IF(AND(E4247&gt;=4,F4247&gt;=4,G4247&gt;=4),"Juara",IF(AND(F4247&gt;=4,E4247&gt;=3),"Setia",IF(AND(E4247=5,F4247&lt;=2,G4247&gt;=3),"Berpotensi",IF(AND(E4247&lt;=3,E4247&gt;=2,F4247&gt;=3),"Rawan",IF(AND(E4247&lt;=2,F4247&lt;=2),"Tidur","Umum"))))))</f>
        <v/>
      </c>
    </row>
    <row r="4248">
      <c r="B4248">
        <f>IF(A4248="","",$B$1-MAXIFS(Donasi!$A$2:$A$20000,Donasi!$B$2:$B$20000,A4248))</f>
        <v/>
      </c>
      <c r="C4248">
        <f>IF(A4248="","",COUNTIF(Donasi!$B$2:$B$20000,A4248))</f>
        <v/>
      </c>
      <c r="D4248">
        <f>IF(A4248="","",SUMIF(Donasi!$B$2:$B$20000,A4248,Donasi!$C$2:$C$20000))</f>
        <v/>
      </c>
      <c r="E4248">
        <f>IF(A4248="","",6-CEILING(PERCENTRANK.INC($B$3:$B$6000,B4248,4)*5+0.000001,1))</f>
        <v/>
      </c>
      <c r="F4248">
        <f>IF(A4248="","",MAX(1,CEILING(PERCENTRANK.INC($C$3:$C$6000,C4248,4)*5+0.000001,1)))</f>
        <v/>
      </c>
      <c r="G4248">
        <f>IF(A4248="","",MAX(1,CEILING(PERCENTRANK.INC($D$3:$D$6000,D4248,4)*5+0.000001,1)))</f>
        <v/>
      </c>
      <c r="H4248">
        <f>IF(A4248="","",E4248&amp;F4248&amp;G4248)</f>
        <v/>
      </c>
      <c r="I4248">
        <f>IF(A4248="","",IF(AND(E4248&gt;=4,F4248&gt;=4,G4248&gt;=4),"Juara",IF(AND(F4248&gt;=4,E4248&gt;=3),"Setia",IF(AND(E4248=5,F4248&lt;=2,G4248&gt;=3),"Berpotensi",IF(AND(E4248&lt;=3,E4248&gt;=2,F4248&gt;=3),"Rawan",IF(AND(E4248&lt;=2,F4248&lt;=2),"Tidur","Umum"))))))</f>
        <v/>
      </c>
    </row>
    <row r="4249">
      <c r="B4249">
        <f>IF(A4249="","",$B$1-MAXIFS(Donasi!$A$2:$A$20000,Donasi!$B$2:$B$20000,A4249))</f>
        <v/>
      </c>
      <c r="C4249">
        <f>IF(A4249="","",COUNTIF(Donasi!$B$2:$B$20000,A4249))</f>
        <v/>
      </c>
      <c r="D4249">
        <f>IF(A4249="","",SUMIF(Donasi!$B$2:$B$20000,A4249,Donasi!$C$2:$C$20000))</f>
        <v/>
      </c>
      <c r="E4249">
        <f>IF(A4249="","",6-CEILING(PERCENTRANK.INC($B$3:$B$6000,B4249,4)*5+0.000001,1))</f>
        <v/>
      </c>
      <c r="F4249">
        <f>IF(A4249="","",MAX(1,CEILING(PERCENTRANK.INC($C$3:$C$6000,C4249,4)*5+0.000001,1)))</f>
        <v/>
      </c>
      <c r="G4249">
        <f>IF(A4249="","",MAX(1,CEILING(PERCENTRANK.INC($D$3:$D$6000,D4249,4)*5+0.000001,1)))</f>
        <v/>
      </c>
      <c r="H4249">
        <f>IF(A4249="","",E4249&amp;F4249&amp;G4249)</f>
        <v/>
      </c>
      <c r="I4249">
        <f>IF(A4249="","",IF(AND(E4249&gt;=4,F4249&gt;=4,G4249&gt;=4),"Juara",IF(AND(F4249&gt;=4,E4249&gt;=3),"Setia",IF(AND(E4249=5,F4249&lt;=2,G4249&gt;=3),"Berpotensi",IF(AND(E4249&lt;=3,E4249&gt;=2,F4249&gt;=3),"Rawan",IF(AND(E4249&lt;=2,F4249&lt;=2),"Tidur","Umum"))))))</f>
        <v/>
      </c>
    </row>
    <row r="4250">
      <c r="B4250">
        <f>IF(A4250="","",$B$1-MAXIFS(Donasi!$A$2:$A$20000,Donasi!$B$2:$B$20000,A4250))</f>
        <v/>
      </c>
      <c r="C4250">
        <f>IF(A4250="","",COUNTIF(Donasi!$B$2:$B$20000,A4250))</f>
        <v/>
      </c>
      <c r="D4250">
        <f>IF(A4250="","",SUMIF(Donasi!$B$2:$B$20000,A4250,Donasi!$C$2:$C$20000))</f>
        <v/>
      </c>
      <c r="E4250">
        <f>IF(A4250="","",6-CEILING(PERCENTRANK.INC($B$3:$B$6000,B4250,4)*5+0.000001,1))</f>
        <v/>
      </c>
      <c r="F4250">
        <f>IF(A4250="","",MAX(1,CEILING(PERCENTRANK.INC($C$3:$C$6000,C4250,4)*5+0.000001,1)))</f>
        <v/>
      </c>
      <c r="G4250">
        <f>IF(A4250="","",MAX(1,CEILING(PERCENTRANK.INC($D$3:$D$6000,D4250,4)*5+0.000001,1)))</f>
        <v/>
      </c>
      <c r="H4250">
        <f>IF(A4250="","",E4250&amp;F4250&amp;G4250)</f>
        <v/>
      </c>
      <c r="I4250">
        <f>IF(A4250="","",IF(AND(E4250&gt;=4,F4250&gt;=4,G4250&gt;=4),"Juara",IF(AND(F4250&gt;=4,E4250&gt;=3),"Setia",IF(AND(E4250=5,F4250&lt;=2,G4250&gt;=3),"Berpotensi",IF(AND(E4250&lt;=3,E4250&gt;=2,F4250&gt;=3),"Rawan",IF(AND(E4250&lt;=2,F4250&lt;=2),"Tidur","Umum"))))))</f>
        <v/>
      </c>
    </row>
    <row r="4251">
      <c r="B4251">
        <f>IF(A4251="","",$B$1-MAXIFS(Donasi!$A$2:$A$20000,Donasi!$B$2:$B$20000,A4251))</f>
        <v/>
      </c>
      <c r="C4251">
        <f>IF(A4251="","",COUNTIF(Donasi!$B$2:$B$20000,A4251))</f>
        <v/>
      </c>
      <c r="D4251">
        <f>IF(A4251="","",SUMIF(Donasi!$B$2:$B$20000,A4251,Donasi!$C$2:$C$20000))</f>
        <v/>
      </c>
      <c r="E4251">
        <f>IF(A4251="","",6-CEILING(PERCENTRANK.INC($B$3:$B$6000,B4251,4)*5+0.000001,1))</f>
        <v/>
      </c>
      <c r="F4251">
        <f>IF(A4251="","",MAX(1,CEILING(PERCENTRANK.INC($C$3:$C$6000,C4251,4)*5+0.000001,1)))</f>
        <v/>
      </c>
      <c r="G4251">
        <f>IF(A4251="","",MAX(1,CEILING(PERCENTRANK.INC($D$3:$D$6000,D4251,4)*5+0.000001,1)))</f>
        <v/>
      </c>
      <c r="H4251">
        <f>IF(A4251="","",E4251&amp;F4251&amp;G4251)</f>
        <v/>
      </c>
      <c r="I4251">
        <f>IF(A4251="","",IF(AND(E4251&gt;=4,F4251&gt;=4,G4251&gt;=4),"Juara",IF(AND(F4251&gt;=4,E4251&gt;=3),"Setia",IF(AND(E4251=5,F4251&lt;=2,G4251&gt;=3),"Berpotensi",IF(AND(E4251&lt;=3,E4251&gt;=2,F4251&gt;=3),"Rawan",IF(AND(E4251&lt;=2,F4251&lt;=2),"Tidur","Umum"))))))</f>
        <v/>
      </c>
    </row>
    <row r="4252">
      <c r="B4252">
        <f>IF(A4252="","",$B$1-MAXIFS(Donasi!$A$2:$A$20000,Donasi!$B$2:$B$20000,A4252))</f>
        <v/>
      </c>
      <c r="C4252">
        <f>IF(A4252="","",COUNTIF(Donasi!$B$2:$B$20000,A4252))</f>
        <v/>
      </c>
      <c r="D4252">
        <f>IF(A4252="","",SUMIF(Donasi!$B$2:$B$20000,A4252,Donasi!$C$2:$C$20000))</f>
        <v/>
      </c>
      <c r="E4252">
        <f>IF(A4252="","",6-CEILING(PERCENTRANK.INC($B$3:$B$6000,B4252,4)*5+0.000001,1))</f>
        <v/>
      </c>
      <c r="F4252">
        <f>IF(A4252="","",MAX(1,CEILING(PERCENTRANK.INC($C$3:$C$6000,C4252,4)*5+0.000001,1)))</f>
        <v/>
      </c>
      <c r="G4252">
        <f>IF(A4252="","",MAX(1,CEILING(PERCENTRANK.INC($D$3:$D$6000,D4252,4)*5+0.000001,1)))</f>
        <v/>
      </c>
      <c r="H4252">
        <f>IF(A4252="","",E4252&amp;F4252&amp;G4252)</f>
        <v/>
      </c>
      <c r="I4252">
        <f>IF(A4252="","",IF(AND(E4252&gt;=4,F4252&gt;=4,G4252&gt;=4),"Juara",IF(AND(F4252&gt;=4,E4252&gt;=3),"Setia",IF(AND(E4252=5,F4252&lt;=2,G4252&gt;=3),"Berpotensi",IF(AND(E4252&lt;=3,E4252&gt;=2,F4252&gt;=3),"Rawan",IF(AND(E4252&lt;=2,F4252&lt;=2),"Tidur","Umum"))))))</f>
        <v/>
      </c>
    </row>
    <row r="4253">
      <c r="B4253">
        <f>IF(A4253="","",$B$1-MAXIFS(Donasi!$A$2:$A$20000,Donasi!$B$2:$B$20000,A4253))</f>
        <v/>
      </c>
      <c r="C4253">
        <f>IF(A4253="","",COUNTIF(Donasi!$B$2:$B$20000,A4253))</f>
        <v/>
      </c>
      <c r="D4253">
        <f>IF(A4253="","",SUMIF(Donasi!$B$2:$B$20000,A4253,Donasi!$C$2:$C$20000))</f>
        <v/>
      </c>
      <c r="E4253">
        <f>IF(A4253="","",6-CEILING(PERCENTRANK.INC($B$3:$B$6000,B4253,4)*5+0.000001,1))</f>
        <v/>
      </c>
      <c r="F4253">
        <f>IF(A4253="","",MAX(1,CEILING(PERCENTRANK.INC($C$3:$C$6000,C4253,4)*5+0.000001,1)))</f>
        <v/>
      </c>
      <c r="G4253">
        <f>IF(A4253="","",MAX(1,CEILING(PERCENTRANK.INC($D$3:$D$6000,D4253,4)*5+0.000001,1)))</f>
        <v/>
      </c>
      <c r="H4253">
        <f>IF(A4253="","",E4253&amp;F4253&amp;G4253)</f>
        <v/>
      </c>
      <c r="I4253">
        <f>IF(A4253="","",IF(AND(E4253&gt;=4,F4253&gt;=4,G4253&gt;=4),"Juara",IF(AND(F4253&gt;=4,E4253&gt;=3),"Setia",IF(AND(E4253=5,F4253&lt;=2,G4253&gt;=3),"Berpotensi",IF(AND(E4253&lt;=3,E4253&gt;=2,F4253&gt;=3),"Rawan",IF(AND(E4253&lt;=2,F4253&lt;=2),"Tidur","Umum"))))))</f>
        <v/>
      </c>
    </row>
    <row r="4254">
      <c r="B4254">
        <f>IF(A4254="","",$B$1-MAXIFS(Donasi!$A$2:$A$20000,Donasi!$B$2:$B$20000,A4254))</f>
        <v/>
      </c>
      <c r="C4254">
        <f>IF(A4254="","",COUNTIF(Donasi!$B$2:$B$20000,A4254))</f>
        <v/>
      </c>
      <c r="D4254">
        <f>IF(A4254="","",SUMIF(Donasi!$B$2:$B$20000,A4254,Donasi!$C$2:$C$20000))</f>
        <v/>
      </c>
      <c r="E4254">
        <f>IF(A4254="","",6-CEILING(PERCENTRANK.INC($B$3:$B$6000,B4254,4)*5+0.000001,1))</f>
        <v/>
      </c>
      <c r="F4254">
        <f>IF(A4254="","",MAX(1,CEILING(PERCENTRANK.INC($C$3:$C$6000,C4254,4)*5+0.000001,1)))</f>
        <v/>
      </c>
      <c r="G4254">
        <f>IF(A4254="","",MAX(1,CEILING(PERCENTRANK.INC($D$3:$D$6000,D4254,4)*5+0.000001,1)))</f>
        <v/>
      </c>
      <c r="H4254">
        <f>IF(A4254="","",E4254&amp;F4254&amp;G4254)</f>
        <v/>
      </c>
      <c r="I4254">
        <f>IF(A4254="","",IF(AND(E4254&gt;=4,F4254&gt;=4,G4254&gt;=4),"Juara",IF(AND(F4254&gt;=4,E4254&gt;=3),"Setia",IF(AND(E4254=5,F4254&lt;=2,G4254&gt;=3),"Berpotensi",IF(AND(E4254&lt;=3,E4254&gt;=2,F4254&gt;=3),"Rawan",IF(AND(E4254&lt;=2,F4254&lt;=2),"Tidur","Umum"))))))</f>
        <v/>
      </c>
    </row>
    <row r="4255">
      <c r="B4255">
        <f>IF(A4255="","",$B$1-MAXIFS(Donasi!$A$2:$A$20000,Donasi!$B$2:$B$20000,A4255))</f>
        <v/>
      </c>
      <c r="C4255">
        <f>IF(A4255="","",COUNTIF(Donasi!$B$2:$B$20000,A4255))</f>
        <v/>
      </c>
      <c r="D4255">
        <f>IF(A4255="","",SUMIF(Donasi!$B$2:$B$20000,A4255,Donasi!$C$2:$C$20000))</f>
        <v/>
      </c>
      <c r="E4255">
        <f>IF(A4255="","",6-CEILING(PERCENTRANK.INC($B$3:$B$6000,B4255,4)*5+0.000001,1))</f>
        <v/>
      </c>
      <c r="F4255">
        <f>IF(A4255="","",MAX(1,CEILING(PERCENTRANK.INC($C$3:$C$6000,C4255,4)*5+0.000001,1)))</f>
        <v/>
      </c>
      <c r="G4255">
        <f>IF(A4255="","",MAX(1,CEILING(PERCENTRANK.INC($D$3:$D$6000,D4255,4)*5+0.000001,1)))</f>
        <v/>
      </c>
      <c r="H4255">
        <f>IF(A4255="","",E4255&amp;F4255&amp;G4255)</f>
        <v/>
      </c>
      <c r="I4255">
        <f>IF(A4255="","",IF(AND(E4255&gt;=4,F4255&gt;=4,G4255&gt;=4),"Juara",IF(AND(F4255&gt;=4,E4255&gt;=3),"Setia",IF(AND(E4255=5,F4255&lt;=2,G4255&gt;=3),"Berpotensi",IF(AND(E4255&lt;=3,E4255&gt;=2,F4255&gt;=3),"Rawan",IF(AND(E4255&lt;=2,F4255&lt;=2),"Tidur","Umum"))))))</f>
        <v/>
      </c>
    </row>
    <row r="4256">
      <c r="B4256">
        <f>IF(A4256="","",$B$1-MAXIFS(Donasi!$A$2:$A$20000,Donasi!$B$2:$B$20000,A4256))</f>
        <v/>
      </c>
      <c r="C4256">
        <f>IF(A4256="","",COUNTIF(Donasi!$B$2:$B$20000,A4256))</f>
        <v/>
      </c>
      <c r="D4256">
        <f>IF(A4256="","",SUMIF(Donasi!$B$2:$B$20000,A4256,Donasi!$C$2:$C$20000))</f>
        <v/>
      </c>
      <c r="E4256">
        <f>IF(A4256="","",6-CEILING(PERCENTRANK.INC($B$3:$B$6000,B4256,4)*5+0.000001,1))</f>
        <v/>
      </c>
      <c r="F4256">
        <f>IF(A4256="","",MAX(1,CEILING(PERCENTRANK.INC($C$3:$C$6000,C4256,4)*5+0.000001,1)))</f>
        <v/>
      </c>
      <c r="G4256">
        <f>IF(A4256="","",MAX(1,CEILING(PERCENTRANK.INC($D$3:$D$6000,D4256,4)*5+0.000001,1)))</f>
        <v/>
      </c>
      <c r="H4256">
        <f>IF(A4256="","",E4256&amp;F4256&amp;G4256)</f>
        <v/>
      </c>
      <c r="I4256">
        <f>IF(A4256="","",IF(AND(E4256&gt;=4,F4256&gt;=4,G4256&gt;=4),"Juara",IF(AND(F4256&gt;=4,E4256&gt;=3),"Setia",IF(AND(E4256=5,F4256&lt;=2,G4256&gt;=3),"Berpotensi",IF(AND(E4256&lt;=3,E4256&gt;=2,F4256&gt;=3),"Rawan",IF(AND(E4256&lt;=2,F4256&lt;=2),"Tidur","Umum"))))))</f>
        <v/>
      </c>
    </row>
    <row r="4257">
      <c r="B4257">
        <f>IF(A4257="","",$B$1-MAXIFS(Donasi!$A$2:$A$20000,Donasi!$B$2:$B$20000,A4257))</f>
        <v/>
      </c>
      <c r="C4257">
        <f>IF(A4257="","",COUNTIF(Donasi!$B$2:$B$20000,A4257))</f>
        <v/>
      </c>
      <c r="D4257">
        <f>IF(A4257="","",SUMIF(Donasi!$B$2:$B$20000,A4257,Donasi!$C$2:$C$20000))</f>
        <v/>
      </c>
      <c r="E4257">
        <f>IF(A4257="","",6-CEILING(PERCENTRANK.INC($B$3:$B$6000,B4257,4)*5+0.000001,1))</f>
        <v/>
      </c>
      <c r="F4257">
        <f>IF(A4257="","",MAX(1,CEILING(PERCENTRANK.INC($C$3:$C$6000,C4257,4)*5+0.000001,1)))</f>
        <v/>
      </c>
      <c r="G4257">
        <f>IF(A4257="","",MAX(1,CEILING(PERCENTRANK.INC($D$3:$D$6000,D4257,4)*5+0.000001,1)))</f>
        <v/>
      </c>
      <c r="H4257">
        <f>IF(A4257="","",E4257&amp;F4257&amp;G4257)</f>
        <v/>
      </c>
      <c r="I4257">
        <f>IF(A4257="","",IF(AND(E4257&gt;=4,F4257&gt;=4,G4257&gt;=4),"Juara",IF(AND(F4257&gt;=4,E4257&gt;=3),"Setia",IF(AND(E4257=5,F4257&lt;=2,G4257&gt;=3),"Berpotensi",IF(AND(E4257&lt;=3,E4257&gt;=2,F4257&gt;=3),"Rawan",IF(AND(E4257&lt;=2,F4257&lt;=2),"Tidur","Umum"))))))</f>
        <v/>
      </c>
    </row>
    <row r="4258">
      <c r="B4258">
        <f>IF(A4258="","",$B$1-MAXIFS(Donasi!$A$2:$A$20000,Donasi!$B$2:$B$20000,A4258))</f>
        <v/>
      </c>
      <c r="C4258">
        <f>IF(A4258="","",COUNTIF(Donasi!$B$2:$B$20000,A4258))</f>
        <v/>
      </c>
      <c r="D4258">
        <f>IF(A4258="","",SUMIF(Donasi!$B$2:$B$20000,A4258,Donasi!$C$2:$C$20000))</f>
        <v/>
      </c>
      <c r="E4258">
        <f>IF(A4258="","",6-CEILING(PERCENTRANK.INC($B$3:$B$6000,B4258,4)*5+0.000001,1))</f>
        <v/>
      </c>
      <c r="F4258">
        <f>IF(A4258="","",MAX(1,CEILING(PERCENTRANK.INC($C$3:$C$6000,C4258,4)*5+0.000001,1)))</f>
        <v/>
      </c>
      <c r="G4258">
        <f>IF(A4258="","",MAX(1,CEILING(PERCENTRANK.INC($D$3:$D$6000,D4258,4)*5+0.000001,1)))</f>
        <v/>
      </c>
      <c r="H4258">
        <f>IF(A4258="","",E4258&amp;F4258&amp;G4258)</f>
        <v/>
      </c>
      <c r="I4258">
        <f>IF(A4258="","",IF(AND(E4258&gt;=4,F4258&gt;=4,G4258&gt;=4),"Juara",IF(AND(F4258&gt;=4,E4258&gt;=3),"Setia",IF(AND(E4258=5,F4258&lt;=2,G4258&gt;=3),"Berpotensi",IF(AND(E4258&lt;=3,E4258&gt;=2,F4258&gt;=3),"Rawan",IF(AND(E4258&lt;=2,F4258&lt;=2),"Tidur","Umum"))))))</f>
        <v/>
      </c>
    </row>
    <row r="4259">
      <c r="B4259">
        <f>IF(A4259="","",$B$1-MAXIFS(Donasi!$A$2:$A$20000,Donasi!$B$2:$B$20000,A4259))</f>
        <v/>
      </c>
      <c r="C4259">
        <f>IF(A4259="","",COUNTIF(Donasi!$B$2:$B$20000,A4259))</f>
        <v/>
      </c>
      <c r="D4259">
        <f>IF(A4259="","",SUMIF(Donasi!$B$2:$B$20000,A4259,Donasi!$C$2:$C$20000))</f>
        <v/>
      </c>
      <c r="E4259">
        <f>IF(A4259="","",6-CEILING(PERCENTRANK.INC($B$3:$B$6000,B4259,4)*5+0.000001,1))</f>
        <v/>
      </c>
      <c r="F4259">
        <f>IF(A4259="","",MAX(1,CEILING(PERCENTRANK.INC($C$3:$C$6000,C4259,4)*5+0.000001,1)))</f>
        <v/>
      </c>
      <c r="G4259">
        <f>IF(A4259="","",MAX(1,CEILING(PERCENTRANK.INC($D$3:$D$6000,D4259,4)*5+0.000001,1)))</f>
        <v/>
      </c>
      <c r="H4259">
        <f>IF(A4259="","",E4259&amp;F4259&amp;G4259)</f>
        <v/>
      </c>
      <c r="I4259">
        <f>IF(A4259="","",IF(AND(E4259&gt;=4,F4259&gt;=4,G4259&gt;=4),"Juara",IF(AND(F4259&gt;=4,E4259&gt;=3),"Setia",IF(AND(E4259=5,F4259&lt;=2,G4259&gt;=3),"Berpotensi",IF(AND(E4259&lt;=3,E4259&gt;=2,F4259&gt;=3),"Rawan",IF(AND(E4259&lt;=2,F4259&lt;=2),"Tidur","Umum"))))))</f>
        <v/>
      </c>
    </row>
    <row r="4260">
      <c r="B4260">
        <f>IF(A4260="","",$B$1-MAXIFS(Donasi!$A$2:$A$20000,Donasi!$B$2:$B$20000,A4260))</f>
        <v/>
      </c>
      <c r="C4260">
        <f>IF(A4260="","",COUNTIF(Donasi!$B$2:$B$20000,A4260))</f>
        <v/>
      </c>
      <c r="D4260">
        <f>IF(A4260="","",SUMIF(Donasi!$B$2:$B$20000,A4260,Donasi!$C$2:$C$20000))</f>
        <v/>
      </c>
      <c r="E4260">
        <f>IF(A4260="","",6-CEILING(PERCENTRANK.INC($B$3:$B$6000,B4260,4)*5+0.000001,1))</f>
        <v/>
      </c>
      <c r="F4260">
        <f>IF(A4260="","",MAX(1,CEILING(PERCENTRANK.INC($C$3:$C$6000,C4260,4)*5+0.000001,1)))</f>
        <v/>
      </c>
      <c r="G4260">
        <f>IF(A4260="","",MAX(1,CEILING(PERCENTRANK.INC($D$3:$D$6000,D4260,4)*5+0.000001,1)))</f>
        <v/>
      </c>
      <c r="H4260">
        <f>IF(A4260="","",E4260&amp;F4260&amp;G4260)</f>
        <v/>
      </c>
      <c r="I4260">
        <f>IF(A4260="","",IF(AND(E4260&gt;=4,F4260&gt;=4,G4260&gt;=4),"Juara",IF(AND(F4260&gt;=4,E4260&gt;=3),"Setia",IF(AND(E4260=5,F4260&lt;=2,G4260&gt;=3),"Berpotensi",IF(AND(E4260&lt;=3,E4260&gt;=2,F4260&gt;=3),"Rawan",IF(AND(E4260&lt;=2,F4260&lt;=2),"Tidur","Umum"))))))</f>
        <v/>
      </c>
    </row>
    <row r="4261">
      <c r="B4261">
        <f>IF(A4261="","",$B$1-MAXIFS(Donasi!$A$2:$A$20000,Donasi!$B$2:$B$20000,A4261))</f>
        <v/>
      </c>
      <c r="C4261">
        <f>IF(A4261="","",COUNTIF(Donasi!$B$2:$B$20000,A4261))</f>
        <v/>
      </c>
      <c r="D4261">
        <f>IF(A4261="","",SUMIF(Donasi!$B$2:$B$20000,A4261,Donasi!$C$2:$C$20000))</f>
        <v/>
      </c>
      <c r="E4261">
        <f>IF(A4261="","",6-CEILING(PERCENTRANK.INC($B$3:$B$6000,B4261,4)*5+0.000001,1))</f>
        <v/>
      </c>
      <c r="F4261">
        <f>IF(A4261="","",MAX(1,CEILING(PERCENTRANK.INC($C$3:$C$6000,C4261,4)*5+0.000001,1)))</f>
        <v/>
      </c>
      <c r="G4261">
        <f>IF(A4261="","",MAX(1,CEILING(PERCENTRANK.INC($D$3:$D$6000,D4261,4)*5+0.000001,1)))</f>
        <v/>
      </c>
      <c r="H4261">
        <f>IF(A4261="","",E4261&amp;F4261&amp;G4261)</f>
        <v/>
      </c>
      <c r="I4261">
        <f>IF(A4261="","",IF(AND(E4261&gt;=4,F4261&gt;=4,G4261&gt;=4),"Juara",IF(AND(F4261&gt;=4,E4261&gt;=3),"Setia",IF(AND(E4261=5,F4261&lt;=2,G4261&gt;=3),"Berpotensi",IF(AND(E4261&lt;=3,E4261&gt;=2,F4261&gt;=3),"Rawan",IF(AND(E4261&lt;=2,F4261&lt;=2),"Tidur","Umum"))))))</f>
        <v/>
      </c>
    </row>
    <row r="4262">
      <c r="B4262">
        <f>IF(A4262="","",$B$1-MAXIFS(Donasi!$A$2:$A$20000,Donasi!$B$2:$B$20000,A4262))</f>
        <v/>
      </c>
      <c r="C4262">
        <f>IF(A4262="","",COUNTIF(Donasi!$B$2:$B$20000,A4262))</f>
        <v/>
      </c>
      <c r="D4262">
        <f>IF(A4262="","",SUMIF(Donasi!$B$2:$B$20000,A4262,Donasi!$C$2:$C$20000))</f>
        <v/>
      </c>
      <c r="E4262">
        <f>IF(A4262="","",6-CEILING(PERCENTRANK.INC($B$3:$B$6000,B4262,4)*5+0.000001,1))</f>
        <v/>
      </c>
      <c r="F4262">
        <f>IF(A4262="","",MAX(1,CEILING(PERCENTRANK.INC($C$3:$C$6000,C4262,4)*5+0.000001,1)))</f>
        <v/>
      </c>
      <c r="G4262">
        <f>IF(A4262="","",MAX(1,CEILING(PERCENTRANK.INC($D$3:$D$6000,D4262,4)*5+0.000001,1)))</f>
        <v/>
      </c>
      <c r="H4262">
        <f>IF(A4262="","",E4262&amp;F4262&amp;G4262)</f>
        <v/>
      </c>
      <c r="I4262">
        <f>IF(A4262="","",IF(AND(E4262&gt;=4,F4262&gt;=4,G4262&gt;=4),"Juara",IF(AND(F4262&gt;=4,E4262&gt;=3),"Setia",IF(AND(E4262=5,F4262&lt;=2,G4262&gt;=3),"Berpotensi",IF(AND(E4262&lt;=3,E4262&gt;=2,F4262&gt;=3),"Rawan",IF(AND(E4262&lt;=2,F4262&lt;=2),"Tidur","Umum"))))))</f>
        <v/>
      </c>
    </row>
    <row r="4263">
      <c r="B4263">
        <f>IF(A4263="","",$B$1-MAXIFS(Donasi!$A$2:$A$20000,Donasi!$B$2:$B$20000,A4263))</f>
        <v/>
      </c>
      <c r="C4263">
        <f>IF(A4263="","",COUNTIF(Donasi!$B$2:$B$20000,A4263))</f>
        <v/>
      </c>
      <c r="D4263">
        <f>IF(A4263="","",SUMIF(Donasi!$B$2:$B$20000,A4263,Donasi!$C$2:$C$20000))</f>
        <v/>
      </c>
      <c r="E4263">
        <f>IF(A4263="","",6-CEILING(PERCENTRANK.INC($B$3:$B$6000,B4263,4)*5+0.000001,1))</f>
        <v/>
      </c>
      <c r="F4263">
        <f>IF(A4263="","",MAX(1,CEILING(PERCENTRANK.INC($C$3:$C$6000,C4263,4)*5+0.000001,1)))</f>
        <v/>
      </c>
      <c r="G4263">
        <f>IF(A4263="","",MAX(1,CEILING(PERCENTRANK.INC($D$3:$D$6000,D4263,4)*5+0.000001,1)))</f>
        <v/>
      </c>
      <c r="H4263">
        <f>IF(A4263="","",E4263&amp;F4263&amp;G4263)</f>
        <v/>
      </c>
      <c r="I4263">
        <f>IF(A4263="","",IF(AND(E4263&gt;=4,F4263&gt;=4,G4263&gt;=4),"Juara",IF(AND(F4263&gt;=4,E4263&gt;=3),"Setia",IF(AND(E4263=5,F4263&lt;=2,G4263&gt;=3),"Berpotensi",IF(AND(E4263&lt;=3,E4263&gt;=2,F4263&gt;=3),"Rawan",IF(AND(E4263&lt;=2,F4263&lt;=2),"Tidur","Umum"))))))</f>
        <v/>
      </c>
    </row>
    <row r="4264">
      <c r="B4264">
        <f>IF(A4264="","",$B$1-MAXIFS(Donasi!$A$2:$A$20000,Donasi!$B$2:$B$20000,A4264))</f>
        <v/>
      </c>
      <c r="C4264">
        <f>IF(A4264="","",COUNTIF(Donasi!$B$2:$B$20000,A4264))</f>
        <v/>
      </c>
      <c r="D4264">
        <f>IF(A4264="","",SUMIF(Donasi!$B$2:$B$20000,A4264,Donasi!$C$2:$C$20000))</f>
        <v/>
      </c>
      <c r="E4264">
        <f>IF(A4264="","",6-CEILING(PERCENTRANK.INC($B$3:$B$6000,B4264,4)*5+0.000001,1))</f>
        <v/>
      </c>
      <c r="F4264">
        <f>IF(A4264="","",MAX(1,CEILING(PERCENTRANK.INC($C$3:$C$6000,C4264,4)*5+0.000001,1)))</f>
        <v/>
      </c>
      <c r="G4264">
        <f>IF(A4264="","",MAX(1,CEILING(PERCENTRANK.INC($D$3:$D$6000,D4264,4)*5+0.000001,1)))</f>
        <v/>
      </c>
      <c r="H4264">
        <f>IF(A4264="","",E4264&amp;F4264&amp;G4264)</f>
        <v/>
      </c>
      <c r="I4264">
        <f>IF(A4264="","",IF(AND(E4264&gt;=4,F4264&gt;=4,G4264&gt;=4),"Juara",IF(AND(F4264&gt;=4,E4264&gt;=3),"Setia",IF(AND(E4264=5,F4264&lt;=2,G4264&gt;=3),"Berpotensi",IF(AND(E4264&lt;=3,E4264&gt;=2,F4264&gt;=3),"Rawan",IF(AND(E4264&lt;=2,F4264&lt;=2),"Tidur","Umum"))))))</f>
        <v/>
      </c>
    </row>
    <row r="4265">
      <c r="B4265">
        <f>IF(A4265="","",$B$1-MAXIFS(Donasi!$A$2:$A$20000,Donasi!$B$2:$B$20000,A4265))</f>
        <v/>
      </c>
      <c r="C4265">
        <f>IF(A4265="","",COUNTIF(Donasi!$B$2:$B$20000,A4265))</f>
        <v/>
      </c>
      <c r="D4265">
        <f>IF(A4265="","",SUMIF(Donasi!$B$2:$B$20000,A4265,Donasi!$C$2:$C$20000))</f>
        <v/>
      </c>
      <c r="E4265">
        <f>IF(A4265="","",6-CEILING(PERCENTRANK.INC($B$3:$B$6000,B4265,4)*5+0.000001,1))</f>
        <v/>
      </c>
      <c r="F4265">
        <f>IF(A4265="","",MAX(1,CEILING(PERCENTRANK.INC($C$3:$C$6000,C4265,4)*5+0.000001,1)))</f>
        <v/>
      </c>
      <c r="G4265">
        <f>IF(A4265="","",MAX(1,CEILING(PERCENTRANK.INC($D$3:$D$6000,D4265,4)*5+0.000001,1)))</f>
        <v/>
      </c>
      <c r="H4265">
        <f>IF(A4265="","",E4265&amp;F4265&amp;G4265)</f>
        <v/>
      </c>
      <c r="I4265">
        <f>IF(A4265="","",IF(AND(E4265&gt;=4,F4265&gt;=4,G4265&gt;=4),"Juara",IF(AND(F4265&gt;=4,E4265&gt;=3),"Setia",IF(AND(E4265=5,F4265&lt;=2,G4265&gt;=3),"Berpotensi",IF(AND(E4265&lt;=3,E4265&gt;=2,F4265&gt;=3),"Rawan",IF(AND(E4265&lt;=2,F4265&lt;=2),"Tidur","Umum"))))))</f>
        <v/>
      </c>
    </row>
    <row r="4266">
      <c r="B4266">
        <f>IF(A4266="","",$B$1-MAXIFS(Donasi!$A$2:$A$20000,Donasi!$B$2:$B$20000,A4266))</f>
        <v/>
      </c>
      <c r="C4266">
        <f>IF(A4266="","",COUNTIF(Donasi!$B$2:$B$20000,A4266))</f>
        <v/>
      </c>
      <c r="D4266">
        <f>IF(A4266="","",SUMIF(Donasi!$B$2:$B$20000,A4266,Donasi!$C$2:$C$20000))</f>
        <v/>
      </c>
      <c r="E4266">
        <f>IF(A4266="","",6-CEILING(PERCENTRANK.INC($B$3:$B$6000,B4266,4)*5+0.000001,1))</f>
        <v/>
      </c>
      <c r="F4266">
        <f>IF(A4266="","",MAX(1,CEILING(PERCENTRANK.INC($C$3:$C$6000,C4266,4)*5+0.000001,1)))</f>
        <v/>
      </c>
      <c r="G4266">
        <f>IF(A4266="","",MAX(1,CEILING(PERCENTRANK.INC($D$3:$D$6000,D4266,4)*5+0.000001,1)))</f>
        <v/>
      </c>
      <c r="H4266">
        <f>IF(A4266="","",E4266&amp;F4266&amp;G4266)</f>
        <v/>
      </c>
      <c r="I4266">
        <f>IF(A4266="","",IF(AND(E4266&gt;=4,F4266&gt;=4,G4266&gt;=4),"Juara",IF(AND(F4266&gt;=4,E4266&gt;=3),"Setia",IF(AND(E4266=5,F4266&lt;=2,G4266&gt;=3),"Berpotensi",IF(AND(E4266&lt;=3,E4266&gt;=2,F4266&gt;=3),"Rawan",IF(AND(E4266&lt;=2,F4266&lt;=2),"Tidur","Umum"))))))</f>
        <v/>
      </c>
    </row>
    <row r="4267">
      <c r="B4267">
        <f>IF(A4267="","",$B$1-MAXIFS(Donasi!$A$2:$A$20000,Donasi!$B$2:$B$20000,A4267))</f>
        <v/>
      </c>
      <c r="C4267">
        <f>IF(A4267="","",COUNTIF(Donasi!$B$2:$B$20000,A4267))</f>
        <v/>
      </c>
      <c r="D4267">
        <f>IF(A4267="","",SUMIF(Donasi!$B$2:$B$20000,A4267,Donasi!$C$2:$C$20000))</f>
        <v/>
      </c>
      <c r="E4267">
        <f>IF(A4267="","",6-CEILING(PERCENTRANK.INC($B$3:$B$6000,B4267,4)*5+0.000001,1))</f>
        <v/>
      </c>
      <c r="F4267">
        <f>IF(A4267="","",MAX(1,CEILING(PERCENTRANK.INC($C$3:$C$6000,C4267,4)*5+0.000001,1)))</f>
        <v/>
      </c>
      <c r="G4267">
        <f>IF(A4267="","",MAX(1,CEILING(PERCENTRANK.INC($D$3:$D$6000,D4267,4)*5+0.000001,1)))</f>
        <v/>
      </c>
      <c r="H4267">
        <f>IF(A4267="","",E4267&amp;F4267&amp;G4267)</f>
        <v/>
      </c>
      <c r="I4267">
        <f>IF(A4267="","",IF(AND(E4267&gt;=4,F4267&gt;=4,G4267&gt;=4),"Juara",IF(AND(F4267&gt;=4,E4267&gt;=3),"Setia",IF(AND(E4267=5,F4267&lt;=2,G4267&gt;=3),"Berpotensi",IF(AND(E4267&lt;=3,E4267&gt;=2,F4267&gt;=3),"Rawan",IF(AND(E4267&lt;=2,F4267&lt;=2),"Tidur","Umum"))))))</f>
        <v/>
      </c>
    </row>
    <row r="4268">
      <c r="B4268">
        <f>IF(A4268="","",$B$1-MAXIFS(Donasi!$A$2:$A$20000,Donasi!$B$2:$B$20000,A4268))</f>
        <v/>
      </c>
      <c r="C4268">
        <f>IF(A4268="","",COUNTIF(Donasi!$B$2:$B$20000,A4268))</f>
        <v/>
      </c>
      <c r="D4268">
        <f>IF(A4268="","",SUMIF(Donasi!$B$2:$B$20000,A4268,Donasi!$C$2:$C$20000))</f>
        <v/>
      </c>
      <c r="E4268">
        <f>IF(A4268="","",6-CEILING(PERCENTRANK.INC($B$3:$B$6000,B4268,4)*5+0.000001,1))</f>
        <v/>
      </c>
      <c r="F4268">
        <f>IF(A4268="","",MAX(1,CEILING(PERCENTRANK.INC($C$3:$C$6000,C4268,4)*5+0.000001,1)))</f>
        <v/>
      </c>
      <c r="G4268">
        <f>IF(A4268="","",MAX(1,CEILING(PERCENTRANK.INC($D$3:$D$6000,D4268,4)*5+0.000001,1)))</f>
        <v/>
      </c>
      <c r="H4268">
        <f>IF(A4268="","",E4268&amp;F4268&amp;G4268)</f>
        <v/>
      </c>
      <c r="I4268">
        <f>IF(A4268="","",IF(AND(E4268&gt;=4,F4268&gt;=4,G4268&gt;=4),"Juara",IF(AND(F4268&gt;=4,E4268&gt;=3),"Setia",IF(AND(E4268=5,F4268&lt;=2,G4268&gt;=3),"Berpotensi",IF(AND(E4268&lt;=3,E4268&gt;=2,F4268&gt;=3),"Rawan",IF(AND(E4268&lt;=2,F4268&lt;=2),"Tidur","Umum"))))))</f>
        <v/>
      </c>
    </row>
    <row r="4269">
      <c r="B4269">
        <f>IF(A4269="","",$B$1-MAXIFS(Donasi!$A$2:$A$20000,Donasi!$B$2:$B$20000,A4269))</f>
        <v/>
      </c>
      <c r="C4269">
        <f>IF(A4269="","",COUNTIF(Donasi!$B$2:$B$20000,A4269))</f>
        <v/>
      </c>
      <c r="D4269">
        <f>IF(A4269="","",SUMIF(Donasi!$B$2:$B$20000,A4269,Donasi!$C$2:$C$20000))</f>
        <v/>
      </c>
      <c r="E4269">
        <f>IF(A4269="","",6-CEILING(PERCENTRANK.INC($B$3:$B$6000,B4269,4)*5+0.000001,1))</f>
        <v/>
      </c>
      <c r="F4269">
        <f>IF(A4269="","",MAX(1,CEILING(PERCENTRANK.INC($C$3:$C$6000,C4269,4)*5+0.000001,1)))</f>
        <v/>
      </c>
      <c r="G4269">
        <f>IF(A4269="","",MAX(1,CEILING(PERCENTRANK.INC($D$3:$D$6000,D4269,4)*5+0.000001,1)))</f>
        <v/>
      </c>
      <c r="H4269">
        <f>IF(A4269="","",E4269&amp;F4269&amp;G4269)</f>
        <v/>
      </c>
      <c r="I4269">
        <f>IF(A4269="","",IF(AND(E4269&gt;=4,F4269&gt;=4,G4269&gt;=4),"Juara",IF(AND(F4269&gt;=4,E4269&gt;=3),"Setia",IF(AND(E4269=5,F4269&lt;=2,G4269&gt;=3),"Berpotensi",IF(AND(E4269&lt;=3,E4269&gt;=2,F4269&gt;=3),"Rawan",IF(AND(E4269&lt;=2,F4269&lt;=2),"Tidur","Umum"))))))</f>
        <v/>
      </c>
    </row>
    <row r="4270">
      <c r="B4270">
        <f>IF(A4270="","",$B$1-MAXIFS(Donasi!$A$2:$A$20000,Donasi!$B$2:$B$20000,A4270))</f>
        <v/>
      </c>
      <c r="C4270">
        <f>IF(A4270="","",COUNTIF(Donasi!$B$2:$B$20000,A4270))</f>
        <v/>
      </c>
      <c r="D4270">
        <f>IF(A4270="","",SUMIF(Donasi!$B$2:$B$20000,A4270,Donasi!$C$2:$C$20000))</f>
        <v/>
      </c>
      <c r="E4270">
        <f>IF(A4270="","",6-CEILING(PERCENTRANK.INC($B$3:$B$6000,B4270,4)*5+0.000001,1))</f>
        <v/>
      </c>
      <c r="F4270">
        <f>IF(A4270="","",MAX(1,CEILING(PERCENTRANK.INC($C$3:$C$6000,C4270,4)*5+0.000001,1)))</f>
        <v/>
      </c>
      <c r="G4270">
        <f>IF(A4270="","",MAX(1,CEILING(PERCENTRANK.INC($D$3:$D$6000,D4270,4)*5+0.000001,1)))</f>
        <v/>
      </c>
      <c r="H4270">
        <f>IF(A4270="","",E4270&amp;F4270&amp;G4270)</f>
        <v/>
      </c>
      <c r="I4270">
        <f>IF(A4270="","",IF(AND(E4270&gt;=4,F4270&gt;=4,G4270&gt;=4),"Juara",IF(AND(F4270&gt;=4,E4270&gt;=3),"Setia",IF(AND(E4270=5,F4270&lt;=2,G4270&gt;=3),"Berpotensi",IF(AND(E4270&lt;=3,E4270&gt;=2,F4270&gt;=3),"Rawan",IF(AND(E4270&lt;=2,F4270&lt;=2),"Tidur","Umum"))))))</f>
        <v/>
      </c>
    </row>
    <row r="4271">
      <c r="B4271">
        <f>IF(A4271="","",$B$1-MAXIFS(Donasi!$A$2:$A$20000,Donasi!$B$2:$B$20000,A4271))</f>
        <v/>
      </c>
      <c r="C4271">
        <f>IF(A4271="","",COUNTIF(Donasi!$B$2:$B$20000,A4271))</f>
        <v/>
      </c>
      <c r="D4271">
        <f>IF(A4271="","",SUMIF(Donasi!$B$2:$B$20000,A4271,Donasi!$C$2:$C$20000))</f>
        <v/>
      </c>
      <c r="E4271">
        <f>IF(A4271="","",6-CEILING(PERCENTRANK.INC($B$3:$B$6000,B4271,4)*5+0.000001,1))</f>
        <v/>
      </c>
      <c r="F4271">
        <f>IF(A4271="","",MAX(1,CEILING(PERCENTRANK.INC($C$3:$C$6000,C4271,4)*5+0.000001,1)))</f>
        <v/>
      </c>
      <c r="G4271">
        <f>IF(A4271="","",MAX(1,CEILING(PERCENTRANK.INC($D$3:$D$6000,D4271,4)*5+0.000001,1)))</f>
        <v/>
      </c>
      <c r="H4271">
        <f>IF(A4271="","",E4271&amp;F4271&amp;G4271)</f>
        <v/>
      </c>
      <c r="I4271">
        <f>IF(A4271="","",IF(AND(E4271&gt;=4,F4271&gt;=4,G4271&gt;=4),"Juara",IF(AND(F4271&gt;=4,E4271&gt;=3),"Setia",IF(AND(E4271=5,F4271&lt;=2,G4271&gt;=3),"Berpotensi",IF(AND(E4271&lt;=3,E4271&gt;=2,F4271&gt;=3),"Rawan",IF(AND(E4271&lt;=2,F4271&lt;=2),"Tidur","Umum"))))))</f>
        <v/>
      </c>
    </row>
    <row r="4272">
      <c r="B4272">
        <f>IF(A4272="","",$B$1-MAXIFS(Donasi!$A$2:$A$20000,Donasi!$B$2:$B$20000,A4272))</f>
        <v/>
      </c>
      <c r="C4272">
        <f>IF(A4272="","",COUNTIF(Donasi!$B$2:$B$20000,A4272))</f>
        <v/>
      </c>
      <c r="D4272">
        <f>IF(A4272="","",SUMIF(Donasi!$B$2:$B$20000,A4272,Donasi!$C$2:$C$20000))</f>
        <v/>
      </c>
      <c r="E4272">
        <f>IF(A4272="","",6-CEILING(PERCENTRANK.INC($B$3:$B$6000,B4272,4)*5+0.000001,1))</f>
        <v/>
      </c>
      <c r="F4272">
        <f>IF(A4272="","",MAX(1,CEILING(PERCENTRANK.INC($C$3:$C$6000,C4272,4)*5+0.000001,1)))</f>
        <v/>
      </c>
      <c r="G4272">
        <f>IF(A4272="","",MAX(1,CEILING(PERCENTRANK.INC($D$3:$D$6000,D4272,4)*5+0.000001,1)))</f>
        <v/>
      </c>
      <c r="H4272">
        <f>IF(A4272="","",E4272&amp;F4272&amp;G4272)</f>
        <v/>
      </c>
      <c r="I4272">
        <f>IF(A4272="","",IF(AND(E4272&gt;=4,F4272&gt;=4,G4272&gt;=4),"Juara",IF(AND(F4272&gt;=4,E4272&gt;=3),"Setia",IF(AND(E4272=5,F4272&lt;=2,G4272&gt;=3),"Berpotensi",IF(AND(E4272&lt;=3,E4272&gt;=2,F4272&gt;=3),"Rawan",IF(AND(E4272&lt;=2,F4272&lt;=2),"Tidur","Umum"))))))</f>
        <v/>
      </c>
    </row>
    <row r="4273">
      <c r="B4273">
        <f>IF(A4273="","",$B$1-MAXIFS(Donasi!$A$2:$A$20000,Donasi!$B$2:$B$20000,A4273))</f>
        <v/>
      </c>
      <c r="C4273">
        <f>IF(A4273="","",COUNTIF(Donasi!$B$2:$B$20000,A4273))</f>
        <v/>
      </c>
      <c r="D4273">
        <f>IF(A4273="","",SUMIF(Donasi!$B$2:$B$20000,A4273,Donasi!$C$2:$C$20000))</f>
        <v/>
      </c>
      <c r="E4273">
        <f>IF(A4273="","",6-CEILING(PERCENTRANK.INC($B$3:$B$6000,B4273,4)*5+0.000001,1))</f>
        <v/>
      </c>
      <c r="F4273">
        <f>IF(A4273="","",MAX(1,CEILING(PERCENTRANK.INC($C$3:$C$6000,C4273,4)*5+0.000001,1)))</f>
        <v/>
      </c>
      <c r="G4273">
        <f>IF(A4273="","",MAX(1,CEILING(PERCENTRANK.INC($D$3:$D$6000,D4273,4)*5+0.000001,1)))</f>
        <v/>
      </c>
      <c r="H4273">
        <f>IF(A4273="","",E4273&amp;F4273&amp;G4273)</f>
        <v/>
      </c>
      <c r="I4273">
        <f>IF(A4273="","",IF(AND(E4273&gt;=4,F4273&gt;=4,G4273&gt;=4),"Juara",IF(AND(F4273&gt;=4,E4273&gt;=3),"Setia",IF(AND(E4273=5,F4273&lt;=2,G4273&gt;=3),"Berpotensi",IF(AND(E4273&lt;=3,E4273&gt;=2,F4273&gt;=3),"Rawan",IF(AND(E4273&lt;=2,F4273&lt;=2),"Tidur","Umum"))))))</f>
        <v/>
      </c>
    </row>
    <row r="4274">
      <c r="B4274">
        <f>IF(A4274="","",$B$1-MAXIFS(Donasi!$A$2:$A$20000,Donasi!$B$2:$B$20000,A4274))</f>
        <v/>
      </c>
      <c r="C4274">
        <f>IF(A4274="","",COUNTIF(Donasi!$B$2:$B$20000,A4274))</f>
        <v/>
      </c>
      <c r="D4274">
        <f>IF(A4274="","",SUMIF(Donasi!$B$2:$B$20000,A4274,Donasi!$C$2:$C$20000))</f>
        <v/>
      </c>
      <c r="E4274">
        <f>IF(A4274="","",6-CEILING(PERCENTRANK.INC($B$3:$B$6000,B4274,4)*5+0.000001,1))</f>
        <v/>
      </c>
      <c r="F4274">
        <f>IF(A4274="","",MAX(1,CEILING(PERCENTRANK.INC($C$3:$C$6000,C4274,4)*5+0.000001,1)))</f>
        <v/>
      </c>
      <c r="G4274">
        <f>IF(A4274="","",MAX(1,CEILING(PERCENTRANK.INC($D$3:$D$6000,D4274,4)*5+0.000001,1)))</f>
        <v/>
      </c>
      <c r="H4274">
        <f>IF(A4274="","",E4274&amp;F4274&amp;G4274)</f>
        <v/>
      </c>
      <c r="I4274">
        <f>IF(A4274="","",IF(AND(E4274&gt;=4,F4274&gt;=4,G4274&gt;=4),"Juara",IF(AND(F4274&gt;=4,E4274&gt;=3),"Setia",IF(AND(E4274=5,F4274&lt;=2,G4274&gt;=3),"Berpotensi",IF(AND(E4274&lt;=3,E4274&gt;=2,F4274&gt;=3),"Rawan",IF(AND(E4274&lt;=2,F4274&lt;=2),"Tidur","Umum"))))))</f>
        <v/>
      </c>
    </row>
    <row r="4275">
      <c r="B4275">
        <f>IF(A4275="","",$B$1-MAXIFS(Donasi!$A$2:$A$20000,Donasi!$B$2:$B$20000,A4275))</f>
        <v/>
      </c>
      <c r="C4275">
        <f>IF(A4275="","",COUNTIF(Donasi!$B$2:$B$20000,A4275))</f>
        <v/>
      </c>
      <c r="D4275">
        <f>IF(A4275="","",SUMIF(Donasi!$B$2:$B$20000,A4275,Donasi!$C$2:$C$20000))</f>
        <v/>
      </c>
      <c r="E4275">
        <f>IF(A4275="","",6-CEILING(PERCENTRANK.INC($B$3:$B$6000,B4275,4)*5+0.000001,1))</f>
        <v/>
      </c>
      <c r="F4275">
        <f>IF(A4275="","",MAX(1,CEILING(PERCENTRANK.INC($C$3:$C$6000,C4275,4)*5+0.000001,1)))</f>
        <v/>
      </c>
      <c r="G4275">
        <f>IF(A4275="","",MAX(1,CEILING(PERCENTRANK.INC($D$3:$D$6000,D4275,4)*5+0.000001,1)))</f>
        <v/>
      </c>
      <c r="H4275">
        <f>IF(A4275="","",E4275&amp;F4275&amp;G4275)</f>
        <v/>
      </c>
      <c r="I4275">
        <f>IF(A4275="","",IF(AND(E4275&gt;=4,F4275&gt;=4,G4275&gt;=4),"Juara",IF(AND(F4275&gt;=4,E4275&gt;=3),"Setia",IF(AND(E4275=5,F4275&lt;=2,G4275&gt;=3),"Berpotensi",IF(AND(E4275&lt;=3,E4275&gt;=2,F4275&gt;=3),"Rawan",IF(AND(E4275&lt;=2,F4275&lt;=2),"Tidur","Umum"))))))</f>
        <v/>
      </c>
    </row>
    <row r="4276">
      <c r="B4276">
        <f>IF(A4276="","",$B$1-MAXIFS(Donasi!$A$2:$A$20000,Donasi!$B$2:$B$20000,A4276))</f>
        <v/>
      </c>
      <c r="C4276">
        <f>IF(A4276="","",COUNTIF(Donasi!$B$2:$B$20000,A4276))</f>
        <v/>
      </c>
      <c r="D4276">
        <f>IF(A4276="","",SUMIF(Donasi!$B$2:$B$20000,A4276,Donasi!$C$2:$C$20000))</f>
        <v/>
      </c>
      <c r="E4276">
        <f>IF(A4276="","",6-CEILING(PERCENTRANK.INC($B$3:$B$6000,B4276,4)*5+0.000001,1))</f>
        <v/>
      </c>
      <c r="F4276">
        <f>IF(A4276="","",MAX(1,CEILING(PERCENTRANK.INC($C$3:$C$6000,C4276,4)*5+0.000001,1)))</f>
        <v/>
      </c>
      <c r="G4276">
        <f>IF(A4276="","",MAX(1,CEILING(PERCENTRANK.INC($D$3:$D$6000,D4276,4)*5+0.000001,1)))</f>
        <v/>
      </c>
      <c r="H4276">
        <f>IF(A4276="","",E4276&amp;F4276&amp;G4276)</f>
        <v/>
      </c>
      <c r="I4276">
        <f>IF(A4276="","",IF(AND(E4276&gt;=4,F4276&gt;=4,G4276&gt;=4),"Juara",IF(AND(F4276&gt;=4,E4276&gt;=3),"Setia",IF(AND(E4276=5,F4276&lt;=2,G4276&gt;=3),"Berpotensi",IF(AND(E4276&lt;=3,E4276&gt;=2,F4276&gt;=3),"Rawan",IF(AND(E4276&lt;=2,F4276&lt;=2),"Tidur","Umum"))))))</f>
        <v/>
      </c>
    </row>
    <row r="4277">
      <c r="B4277">
        <f>IF(A4277="","",$B$1-MAXIFS(Donasi!$A$2:$A$20000,Donasi!$B$2:$B$20000,A4277))</f>
        <v/>
      </c>
      <c r="C4277">
        <f>IF(A4277="","",COUNTIF(Donasi!$B$2:$B$20000,A4277))</f>
        <v/>
      </c>
      <c r="D4277">
        <f>IF(A4277="","",SUMIF(Donasi!$B$2:$B$20000,A4277,Donasi!$C$2:$C$20000))</f>
        <v/>
      </c>
      <c r="E4277">
        <f>IF(A4277="","",6-CEILING(PERCENTRANK.INC($B$3:$B$6000,B4277,4)*5+0.000001,1))</f>
        <v/>
      </c>
      <c r="F4277">
        <f>IF(A4277="","",MAX(1,CEILING(PERCENTRANK.INC($C$3:$C$6000,C4277,4)*5+0.000001,1)))</f>
        <v/>
      </c>
      <c r="G4277">
        <f>IF(A4277="","",MAX(1,CEILING(PERCENTRANK.INC($D$3:$D$6000,D4277,4)*5+0.000001,1)))</f>
        <v/>
      </c>
      <c r="H4277">
        <f>IF(A4277="","",E4277&amp;F4277&amp;G4277)</f>
        <v/>
      </c>
      <c r="I4277">
        <f>IF(A4277="","",IF(AND(E4277&gt;=4,F4277&gt;=4,G4277&gt;=4),"Juara",IF(AND(F4277&gt;=4,E4277&gt;=3),"Setia",IF(AND(E4277=5,F4277&lt;=2,G4277&gt;=3),"Berpotensi",IF(AND(E4277&lt;=3,E4277&gt;=2,F4277&gt;=3),"Rawan",IF(AND(E4277&lt;=2,F4277&lt;=2),"Tidur","Umum"))))))</f>
        <v/>
      </c>
    </row>
    <row r="4278">
      <c r="B4278">
        <f>IF(A4278="","",$B$1-MAXIFS(Donasi!$A$2:$A$20000,Donasi!$B$2:$B$20000,A4278))</f>
        <v/>
      </c>
      <c r="C4278">
        <f>IF(A4278="","",COUNTIF(Donasi!$B$2:$B$20000,A4278))</f>
        <v/>
      </c>
      <c r="D4278">
        <f>IF(A4278="","",SUMIF(Donasi!$B$2:$B$20000,A4278,Donasi!$C$2:$C$20000))</f>
        <v/>
      </c>
      <c r="E4278">
        <f>IF(A4278="","",6-CEILING(PERCENTRANK.INC($B$3:$B$6000,B4278,4)*5+0.000001,1))</f>
        <v/>
      </c>
      <c r="F4278">
        <f>IF(A4278="","",MAX(1,CEILING(PERCENTRANK.INC($C$3:$C$6000,C4278,4)*5+0.000001,1)))</f>
        <v/>
      </c>
      <c r="G4278">
        <f>IF(A4278="","",MAX(1,CEILING(PERCENTRANK.INC($D$3:$D$6000,D4278,4)*5+0.000001,1)))</f>
        <v/>
      </c>
      <c r="H4278">
        <f>IF(A4278="","",E4278&amp;F4278&amp;G4278)</f>
        <v/>
      </c>
      <c r="I4278">
        <f>IF(A4278="","",IF(AND(E4278&gt;=4,F4278&gt;=4,G4278&gt;=4),"Juara",IF(AND(F4278&gt;=4,E4278&gt;=3),"Setia",IF(AND(E4278=5,F4278&lt;=2,G4278&gt;=3),"Berpotensi",IF(AND(E4278&lt;=3,E4278&gt;=2,F4278&gt;=3),"Rawan",IF(AND(E4278&lt;=2,F4278&lt;=2),"Tidur","Umum"))))))</f>
        <v/>
      </c>
    </row>
    <row r="4279">
      <c r="B4279">
        <f>IF(A4279="","",$B$1-MAXIFS(Donasi!$A$2:$A$20000,Donasi!$B$2:$B$20000,A4279))</f>
        <v/>
      </c>
      <c r="C4279">
        <f>IF(A4279="","",COUNTIF(Donasi!$B$2:$B$20000,A4279))</f>
        <v/>
      </c>
      <c r="D4279">
        <f>IF(A4279="","",SUMIF(Donasi!$B$2:$B$20000,A4279,Donasi!$C$2:$C$20000))</f>
        <v/>
      </c>
      <c r="E4279">
        <f>IF(A4279="","",6-CEILING(PERCENTRANK.INC($B$3:$B$6000,B4279,4)*5+0.000001,1))</f>
        <v/>
      </c>
      <c r="F4279">
        <f>IF(A4279="","",MAX(1,CEILING(PERCENTRANK.INC($C$3:$C$6000,C4279,4)*5+0.000001,1)))</f>
        <v/>
      </c>
      <c r="G4279">
        <f>IF(A4279="","",MAX(1,CEILING(PERCENTRANK.INC($D$3:$D$6000,D4279,4)*5+0.000001,1)))</f>
        <v/>
      </c>
      <c r="H4279">
        <f>IF(A4279="","",E4279&amp;F4279&amp;G4279)</f>
        <v/>
      </c>
      <c r="I4279">
        <f>IF(A4279="","",IF(AND(E4279&gt;=4,F4279&gt;=4,G4279&gt;=4),"Juara",IF(AND(F4279&gt;=4,E4279&gt;=3),"Setia",IF(AND(E4279=5,F4279&lt;=2,G4279&gt;=3),"Berpotensi",IF(AND(E4279&lt;=3,E4279&gt;=2,F4279&gt;=3),"Rawan",IF(AND(E4279&lt;=2,F4279&lt;=2),"Tidur","Umum"))))))</f>
        <v/>
      </c>
    </row>
    <row r="4280">
      <c r="B4280">
        <f>IF(A4280="","",$B$1-MAXIFS(Donasi!$A$2:$A$20000,Donasi!$B$2:$B$20000,A4280))</f>
        <v/>
      </c>
      <c r="C4280">
        <f>IF(A4280="","",COUNTIF(Donasi!$B$2:$B$20000,A4280))</f>
        <v/>
      </c>
      <c r="D4280">
        <f>IF(A4280="","",SUMIF(Donasi!$B$2:$B$20000,A4280,Donasi!$C$2:$C$20000))</f>
        <v/>
      </c>
      <c r="E4280">
        <f>IF(A4280="","",6-CEILING(PERCENTRANK.INC($B$3:$B$6000,B4280,4)*5+0.000001,1))</f>
        <v/>
      </c>
      <c r="F4280">
        <f>IF(A4280="","",MAX(1,CEILING(PERCENTRANK.INC($C$3:$C$6000,C4280,4)*5+0.000001,1)))</f>
        <v/>
      </c>
      <c r="G4280">
        <f>IF(A4280="","",MAX(1,CEILING(PERCENTRANK.INC($D$3:$D$6000,D4280,4)*5+0.000001,1)))</f>
        <v/>
      </c>
      <c r="H4280">
        <f>IF(A4280="","",E4280&amp;F4280&amp;G4280)</f>
        <v/>
      </c>
      <c r="I4280">
        <f>IF(A4280="","",IF(AND(E4280&gt;=4,F4280&gt;=4,G4280&gt;=4),"Juara",IF(AND(F4280&gt;=4,E4280&gt;=3),"Setia",IF(AND(E4280=5,F4280&lt;=2,G4280&gt;=3),"Berpotensi",IF(AND(E4280&lt;=3,E4280&gt;=2,F4280&gt;=3),"Rawan",IF(AND(E4280&lt;=2,F4280&lt;=2),"Tidur","Umum"))))))</f>
        <v/>
      </c>
    </row>
    <row r="4281">
      <c r="B4281">
        <f>IF(A4281="","",$B$1-MAXIFS(Donasi!$A$2:$A$20000,Donasi!$B$2:$B$20000,A4281))</f>
        <v/>
      </c>
      <c r="C4281">
        <f>IF(A4281="","",COUNTIF(Donasi!$B$2:$B$20000,A4281))</f>
        <v/>
      </c>
      <c r="D4281">
        <f>IF(A4281="","",SUMIF(Donasi!$B$2:$B$20000,A4281,Donasi!$C$2:$C$20000))</f>
        <v/>
      </c>
      <c r="E4281">
        <f>IF(A4281="","",6-CEILING(PERCENTRANK.INC($B$3:$B$6000,B4281,4)*5+0.000001,1))</f>
        <v/>
      </c>
      <c r="F4281">
        <f>IF(A4281="","",MAX(1,CEILING(PERCENTRANK.INC($C$3:$C$6000,C4281,4)*5+0.000001,1)))</f>
        <v/>
      </c>
      <c r="G4281">
        <f>IF(A4281="","",MAX(1,CEILING(PERCENTRANK.INC($D$3:$D$6000,D4281,4)*5+0.000001,1)))</f>
        <v/>
      </c>
      <c r="H4281">
        <f>IF(A4281="","",E4281&amp;F4281&amp;G4281)</f>
        <v/>
      </c>
      <c r="I4281">
        <f>IF(A4281="","",IF(AND(E4281&gt;=4,F4281&gt;=4,G4281&gt;=4),"Juara",IF(AND(F4281&gt;=4,E4281&gt;=3),"Setia",IF(AND(E4281=5,F4281&lt;=2,G4281&gt;=3),"Berpotensi",IF(AND(E4281&lt;=3,E4281&gt;=2,F4281&gt;=3),"Rawan",IF(AND(E4281&lt;=2,F4281&lt;=2),"Tidur","Umum"))))))</f>
        <v/>
      </c>
    </row>
    <row r="4282">
      <c r="B4282">
        <f>IF(A4282="","",$B$1-MAXIFS(Donasi!$A$2:$A$20000,Donasi!$B$2:$B$20000,A4282))</f>
        <v/>
      </c>
      <c r="C4282">
        <f>IF(A4282="","",COUNTIF(Donasi!$B$2:$B$20000,A4282))</f>
        <v/>
      </c>
      <c r="D4282">
        <f>IF(A4282="","",SUMIF(Donasi!$B$2:$B$20000,A4282,Donasi!$C$2:$C$20000))</f>
        <v/>
      </c>
      <c r="E4282">
        <f>IF(A4282="","",6-CEILING(PERCENTRANK.INC($B$3:$B$6000,B4282,4)*5+0.000001,1))</f>
        <v/>
      </c>
      <c r="F4282">
        <f>IF(A4282="","",MAX(1,CEILING(PERCENTRANK.INC($C$3:$C$6000,C4282,4)*5+0.000001,1)))</f>
        <v/>
      </c>
      <c r="G4282">
        <f>IF(A4282="","",MAX(1,CEILING(PERCENTRANK.INC($D$3:$D$6000,D4282,4)*5+0.000001,1)))</f>
        <v/>
      </c>
      <c r="H4282">
        <f>IF(A4282="","",E4282&amp;F4282&amp;G4282)</f>
        <v/>
      </c>
      <c r="I4282">
        <f>IF(A4282="","",IF(AND(E4282&gt;=4,F4282&gt;=4,G4282&gt;=4),"Juara",IF(AND(F4282&gt;=4,E4282&gt;=3),"Setia",IF(AND(E4282=5,F4282&lt;=2,G4282&gt;=3),"Berpotensi",IF(AND(E4282&lt;=3,E4282&gt;=2,F4282&gt;=3),"Rawan",IF(AND(E4282&lt;=2,F4282&lt;=2),"Tidur","Umum"))))))</f>
        <v/>
      </c>
    </row>
    <row r="4283">
      <c r="B4283">
        <f>IF(A4283="","",$B$1-MAXIFS(Donasi!$A$2:$A$20000,Donasi!$B$2:$B$20000,A4283))</f>
        <v/>
      </c>
      <c r="C4283">
        <f>IF(A4283="","",COUNTIF(Donasi!$B$2:$B$20000,A4283))</f>
        <v/>
      </c>
      <c r="D4283">
        <f>IF(A4283="","",SUMIF(Donasi!$B$2:$B$20000,A4283,Donasi!$C$2:$C$20000))</f>
        <v/>
      </c>
      <c r="E4283">
        <f>IF(A4283="","",6-CEILING(PERCENTRANK.INC($B$3:$B$6000,B4283,4)*5+0.000001,1))</f>
        <v/>
      </c>
      <c r="F4283">
        <f>IF(A4283="","",MAX(1,CEILING(PERCENTRANK.INC($C$3:$C$6000,C4283,4)*5+0.000001,1)))</f>
        <v/>
      </c>
      <c r="G4283">
        <f>IF(A4283="","",MAX(1,CEILING(PERCENTRANK.INC($D$3:$D$6000,D4283,4)*5+0.000001,1)))</f>
        <v/>
      </c>
      <c r="H4283">
        <f>IF(A4283="","",E4283&amp;F4283&amp;G4283)</f>
        <v/>
      </c>
      <c r="I4283">
        <f>IF(A4283="","",IF(AND(E4283&gt;=4,F4283&gt;=4,G4283&gt;=4),"Juara",IF(AND(F4283&gt;=4,E4283&gt;=3),"Setia",IF(AND(E4283=5,F4283&lt;=2,G4283&gt;=3),"Berpotensi",IF(AND(E4283&lt;=3,E4283&gt;=2,F4283&gt;=3),"Rawan",IF(AND(E4283&lt;=2,F4283&lt;=2),"Tidur","Umum"))))))</f>
        <v/>
      </c>
    </row>
    <row r="4284">
      <c r="B4284">
        <f>IF(A4284="","",$B$1-MAXIFS(Donasi!$A$2:$A$20000,Donasi!$B$2:$B$20000,A4284))</f>
        <v/>
      </c>
      <c r="C4284">
        <f>IF(A4284="","",COUNTIF(Donasi!$B$2:$B$20000,A4284))</f>
        <v/>
      </c>
      <c r="D4284">
        <f>IF(A4284="","",SUMIF(Donasi!$B$2:$B$20000,A4284,Donasi!$C$2:$C$20000))</f>
        <v/>
      </c>
      <c r="E4284">
        <f>IF(A4284="","",6-CEILING(PERCENTRANK.INC($B$3:$B$6000,B4284,4)*5+0.000001,1))</f>
        <v/>
      </c>
      <c r="F4284">
        <f>IF(A4284="","",MAX(1,CEILING(PERCENTRANK.INC($C$3:$C$6000,C4284,4)*5+0.000001,1)))</f>
        <v/>
      </c>
      <c r="G4284">
        <f>IF(A4284="","",MAX(1,CEILING(PERCENTRANK.INC($D$3:$D$6000,D4284,4)*5+0.000001,1)))</f>
        <v/>
      </c>
      <c r="H4284">
        <f>IF(A4284="","",E4284&amp;F4284&amp;G4284)</f>
        <v/>
      </c>
      <c r="I4284">
        <f>IF(A4284="","",IF(AND(E4284&gt;=4,F4284&gt;=4,G4284&gt;=4),"Juara",IF(AND(F4284&gt;=4,E4284&gt;=3),"Setia",IF(AND(E4284=5,F4284&lt;=2,G4284&gt;=3),"Berpotensi",IF(AND(E4284&lt;=3,E4284&gt;=2,F4284&gt;=3),"Rawan",IF(AND(E4284&lt;=2,F4284&lt;=2),"Tidur","Umum"))))))</f>
        <v/>
      </c>
    </row>
    <row r="4285">
      <c r="B4285">
        <f>IF(A4285="","",$B$1-MAXIFS(Donasi!$A$2:$A$20000,Donasi!$B$2:$B$20000,A4285))</f>
        <v/>
      </c>
      <c r="C4285">
        <f>IF(A4285="","",COUNTIF(Donasi!$B$2:$B$20000,A4285))</f>
        <v/>
      </c>
      <c r="D4285">
        <f>IF(A4285="","",SUMIF(Donasi!$B$2:$B$20000,A4285,Donasi!$C$2:$C$20000))</f>
        <v/>
      </c>
      <c r="E4285">
        <f>IF(A4285="","",6-CEILING(PERCENTRANK.INC($B$3:$B$6000,B4285,4)*5+0.000001,1))</f>
        <v/>
      </c>
      <c r="F4285">
        <f>IF(A4285="","",MAX(1,CEILING(PERCENTRANK.INC($C$3:$C$6000,C4285,4)*5+0.000001,1)))</f>
        <v/>
      </c>
      <c r="G4285">
        <f>IF(A4285="","",MAX(1,CEILING(PERCENTRANK.INC($D$3:$D$6000,D4285,4)*5+0.000001,1)))</f>
        <v/>
      </c>
      <c r="H4285">
        <f>IF(A4285="","",E4285&amp;F4285&amp;G4285)</f>
        <v/>
      </c>
      <c r="I4285">
        <f>IF(A4285="","",IF(AND(E4285&gt;=4,F4285&gt;=4,G4285&gt;=4),"Juara",IF(AND(F4285&gt;=4,E4285&gt;=3),"Setia",IF(AND(E4285=5,F4285&lt;=2,G4285&gt;=3),"Berpotensi",IF(AND(E4285&lt;=3,E4285&gt;=2,F4285&gt;=3),"Rawan",IF(AND(E4285&lt;=2,F4285&lt;=2),"Tidur","Umum"))))))</f>
        <v/>
      </c>
    </row>
    <row r="4286">
      <c r="B4286">
        <f>IF(A4286="","",$B$1-MAXIFS(Donasi!$A$2:$A$20000,Donasi!$B$2:$B$20000,A4286))</f>
        <v/>
      </c>
      <c r="C4286">
        <f>IF(A4286="","",COUNTIF(Donasi!$B$2:$B$20000,A4286))</f>
        <v/>
      </c>
      <c r="D4286">
        <f>IF(A4286="","",SUMIF(Donasi!$B$2:$B$20000,A4286,Donasi!$C$2:$C$20000))</f>
        <v/>
      </c>
      <c r="E4286">
        <f>IF(A4286="","",6-CEILING(PERCENTRANK.INC($B$3:$B$6000,B4286,4)*5+0.000001,1))</f>
        <v/>
      </c>
      <c r="F4286">
        <f>IF(A4286="","",MAX(1,CEILING(PERCENTRANK.INC($C$3:$C$6000,C4286,4)*5+0.000001,1)))</f>
        <v/>
      </c>
      <c r="G4286">
        <f>IF(A4286="","",MAX(1,CEILING(PERCENTRANK.INC($D$3:$D$6000,D4286,4)*5+0.000001,1)))</f>
        <v/>
      </c>
      <c r="H4286">
        <f>IF(A4286="","",E4286&amp;F4286&amp;G4286)</f>
        <v/>
      </c>
      <c r="I4286">
        <f>IF(A4286="","",IF(AND(E4286&gt;=4,F4286&gt;=4,G4286&gt;=4),"Juara",IF(AND(F4286&gt;=4,E4286&gt;=3),"Setia",IF(AND(E4286=5,F4286&lt;=2,G4286&gt;=3),"Berpotensi",IF(AND(E4286&lt;=3,E4286&gt;=2,F4286&gt;=3),"Rawan",IF(AND(E4286&lt;=2,F4286&lt;=2),"Tidur","Umum"))))))</f>
        <v/>
      </c>
    </row>
    <row r="4287">
      <c r="B4287">
        <f>IF(A4287="","",$B$1-MAXIFS(Donasi!$A$2:$A$20000,Donasi!$B$2:$B$20000,A4287))</f>
        <v/>
      </c>
      <c r="C4287">
        <f>IF(A4287="","",COUNTIF(Donasi!$B$2:$B$20000,A4287))</f>
        <v/>
      </c>
      <c r="D4287">
        <f>IF(A4287="","",SUMIF(Donasi!$B$2:$B$20000,A4287,Donasi!$C$2:$C$20000))</f>
        <v/>
      </c>
      <c r="E4287">
        <f>IF(A4287="","",6-CEILING(PERCENTRANK.INC($B$3:$B$6000,B4287,4)*5+0.000001,1))</f>
        <v/>
      </c>
      <c r="F4287">
        <f>IF(A4287="","",MAX(1,CEILING(PERCENTRANK.INC($C$3:$C$6000,C4287,4)*5+0.000001,1)))</f>
        <v/>
      </c>
      <c r="G4287">
        <f>IF(A4287="","",MAX(1,CEILING(PERCENTRANK.INC($D$3:$D$6000,D4287,4)*5+0.000001,1)))</f>
        <v/>
      </c>
      <c r="H4287">
        <f>IF(A4287="","",E4287&amp;F4287&amp;G4287)</f>
        <v/>
      </c>
      <c r="I4287">
        <f>IF(A4287="","",IF(AND(E4287&gt;=4,F4287&gt;=4,G4287&gt;=4),"Juara",IF(AND(F4287&gt;=4,E4287&gt;=3),"Setia",IF(AND(E4287=5,F4287&lt;=2,G4287&gt;=3),"Berpotensi",IF(AND(E4287&lt;=3,E4287&gt;=2,F4287&gt;=3),"Rawan",IF(AND(E4287&lt;=2,F4287&lt;=2),"Tidur","Umum"))))))</f>
        <v/>
      </c>
    </row>
    <row r="4288">
      <c r="B4288">
        <f>IF(A4288="","",$B$1-MAXIFS(Donasi!$A$2:$A$20000,Donasi!$B$2:$B$20000,A4288))</f>
        <v/>
      </c>
      <c r="C4288">
        <f>IF(A4288="","",COUNTIF(Donasi!$B$2:$B$20000,A4288))</f>
        <v/>
      </c>
      <c r="D4288">
        <f>IF(A4288="","",SUMIF(Donasi!$B$2:$B$20000,A4288,Donasi!$C$2:$C$20000))</f>
        <v/>
      </c>
      <c r="E4288">
        <f>IF(A4288="","",6-CEILING(PERCENTRANK.INC($B$3:$B$6000,B4288,4)*5+0.000001,1))</f>
        <v/>
      </c>
      <c r="F4288">
        <f>IF(A4288="","",MAX(1,CEILING(PERCENTRANK.INC($C$3:$C$6000,C4288,4)*5+0.000001,1)))</f>
        <v/>
      </c>
      <c r="G4288">
        <f>IF(A4288="","",MAX(1,CEILING(PERCENTRANK.INC($D$3:$D$6000,D4288,4)*5+0.000001,1)))</f>
        <v/>
      </c>
      <c r="H4288">
        <f>IF(A4288="","",E4288&amp;F4288&amp;G4288)</f>
        <v/>
      </c>
      <c r="I4288">
        <f>IF(A4288="","",IF(AND(E4288&gt;=4,F4288&gt;=4,G4288&gt;=4),"Juara",IF(AND(F4288&gt;=4,E4288&gt;=3),"Setia",IF(AND(E4288=5,F4288&lt;=2,G4288&gt;=3),"Berpotensi",IF(AND(E4288&lt;=3,E4288&gt;=2,F4288&gt;=3),"Rawan",IF(AND(E4288&lt;=2,F4288&lt;=2),"Tidur","Umum"))))))</f>
        <v/>
      </c>
    </row>
    <row r="4289">
      <c r="B4289">
        <f>IF(A4289="","",$B$1-MAXIFS(Donasi!$A$2:$A$20000,Donasi!$B$2:$B$20000,A4289))</f>
        <v/>
      </c>
      <c r="C4289">
        <f>IF(A4289="","",COUNTIF(Donasi!$B$2:$B$20000,A4289))</f>
        <v/>
      </c>
      <c r="D4289">
        <f>IF(A4289="","",SUMIF(Donasi!$B$2:$B$20000,A4289,Donasi!$C$2:$C$20000))</f>
        <v/>
      </c>
      <c r="E4289">
        <f>IF(A4289="","",6-CEILING(PERCENTRANK.INC($B$3:$B$6000,B4289,4)*5+0.000001,1))</f>
        <v/>
      </c>
      <c r="F4289">
        <f>IF(A4289="","",MAX(1,CEILING(PERCENTRANK.INC($C$3:$C$6000,C4289,4)*5+0.000001,1)))</f>
        <v/>
      </c>
      <c r="G4289">
        <f>IF(A4289="","",MAX(1,CEILING(PERCENTRANK.INC($D$3:$D$6000,D4289,4)*5+0.000001,1)))</f>
        <v/>
      </c>
      <c r="H4289">
        <f>IF(A4289="","",E4289&amp;F4289&amp;G4289)</f>
        <v/>
      </c>
      <c r="I4289">
        <f>IF(A4289="","",IF(AND(E4289&gt;=4,F4289&gt;=4,G4289&gt;=4),"Juara",IF(AND(F4289&gt;=4,E4289&gt;=3),"Setia",IF(AND(E4289=5,F4289&lt;=2,G4289&gt;=3),"Berpotensi",IF(AND(E4289&lt;=3,E4289&gt;=2,F4289&gt;=3),"Rawan",IF(AND(E4289&lt;=2,F4289&lt;=2),"Tidur","Umum"))))))</f>
        <v/>
      </c>
    </row>
    <row r="4290">
      <c r="B4290">
        <f>IF(A4290="","",$B$1-MAXIFS(Donasi!$A$2:$A$20000,Donasi!$B$2:$B$20000,A4290))</f>
        <v/>
      </c>
      <c r="C4290">
        <f>IF(A4290="","",COUNTIF(Donasi!$B$2:$B$20000,A4290))</f>
        <v/>
      </c>
      <c r="D4290">
        <f>IF(A4290="","",SUMIF(Donasi!$B$2:$B$20000,A4290,Donasi!$C$2:$C$20000))</f>
        <v/>
      </c>
      <c r="E4290">
        <f>IF(A4290="","",6-CEILING(PERCENTRANK.INC($B$3:$B$6000,B4290,4)*5+0.000001,1))</f>
        <v/>
      </c>
      <c r="F4290">
        <f>IF(A4290="","",MAX(1,CEILING(PERCENTRANK.INC($C$3:$C$6000,C4290,4)*5+0.000001,1)))</f>
        <v/>
      </c>
      <c r="G4290">
        <f>IF(A4290="","",MAX(1,CEILING(PERCENTRANK.INC($D$3:$D$6000,D4290,4)*5+0.000001,1)))</f>
        <v/>
      </c>
      <c r="H4290">
        <f>IF(A4290="","",E4290&amp;F4290&amp;G4290)</f>
        <v/>
      </c>
      <c r="I4290">
        <f>IF(A4290="","",IF(AND(E4290&gt;=4,F4290&gt;=4,G4290&gt;=4),"Juara",IF(AND(F4290&gt;=4,E4290&gt;=3),"Setia",IF(AND(E4290=5,F4290&lt;=2,G4290&gt;=3),"Berpotensi",IF(AND(E4290&lt;=3,E4290&gt;=2,F4290&gt;=3),"Rawan",IF(AND(E4290&lt;=2,F4290&lt;=2),"Tidur","Umum"))))))</f>
        <v/>
      </c>
    </row>
    <row r="4291">
      <c r="B4291">
        <f>IF(A4291="","",$B$1-MAXIFS(Donasi!$A$2:$A$20000,Donasi!$B$2:$B$20000,A4291))</f>
        <v/>
      </c>
      <c r="C4291">
        <f>IF(A4291="","",COUNTIF(Donasi!$B$2:$B$20000,A4291))</f>
        <v/>
      </c>
      <c r="D4291">
        <f>IF(A4291="","",SUMIF(Donasi!$B$2:$B$20000,A4291,Donasi!$C$2:$C$20000))</f>
        <v/>
      </c>
      <c r="E4291">
        <f>IF(A4291="","",6-CEILING(PERCENTRANK.INC($B$3:$B$6000,B4291,4)*5+0.000001,1))</f>
        <v/>
      </c>
      <c r="F4291">
        <f>IF(A4291="","",MAX(1,CEILING(PERCENTRANK.INC($C$3:$C$6000,C4291,4)*5+0.000001,1)))</f>
        <v/>
      </c>
      <c r="G4291">
        <f>IF(A4291="","",MAX(1,CEILING(PERCENTRANK.INC($D$3:$D$6000,D4291,4)*5+0.000001,1)))</f>
        <v/>
      </c>
      <c r="H4291">
        <f>IF(A4291="","",E4291&amp;F4291&amp;G4291)</f>
        <v/>
      </c>
      <c r="I4291">
        <f>IF(A4291="","",IF(AND(E4291&gt;=4,F4291&gt;=4,G4291&gt;=4),"Juara",IF(AND(F4291&gt;=4,E4291&gt;=3),"Setia",IF(AND(E4291=5,F4291&lt;=2,G4291&gt;=3),"Berpotensi",IF(AND(E4291&lt;=3,E4291&gt;=2,F4291&gt;=3),"Rawan",IF(AND(E4291&lt;=2,F4291&lt;=2),"Tidur","Umum"))))))</f>
        <v/>
      </c>
    </row>
    <row r="4292">
      <c r="B4292">
        <f>IF(A4292="","",$B$1-MAXIFS(Donasi!$A$2:$A$20000,Donasi!$B$2:$B$20000,A4292))</f>
        <v/>
      </c>
      <c r="C4292">
        <f>IF(A4292="","",COUNTIF(Donasi!$B$2:$B$20000,A4292))</f>
        <v/>
      </c>
      <c r="D4292">
        <f>IF(A4292="","",SUMIF(Donasi!$B$2:$B$20000,A4292,Donasi!$C$2:$C$20000))</f>
        <v/>
      </c>
      <c r="E4292">
        <f>IF(A4292="","",6-CEILING(PERCENTRANK.INC($B$3:$B$6000,B4292,4)*5+0.000001,1))</f>
        <v/>
      </c>
      <c r="F4292">
        <f>IF(A4292="","",MAX(1,CEILING(PERCENTRANK.INC($C$3:$C$6000,C4292,4)*5+0.000001,1)))</f>
        <v/>
      </c>
      <c r="G4292">
        <f>IF(A4292="","",MAX(1,CEILING(PERCENTRANK.INC($D$3:$D$6000,D4292,4)*5+0.000001,1)))</f>
        <v/>
      </c>
      <c r="H4292">
        <f>IF(A4292="","",E4292&amp;F4292&amp;G4292)</f>
        <v/>
      </c>
      <c r="I4292">
        <f>IF(A4292="","",IF(AND(E4292&gt;=4,F4292&gt;=4,G4292&gt;=4),"Juara",IF(AND(F4292&gt;=4,E4292&gt;=3),"Setia",IF(AND(E4292=5,F4292&lt;=2,G4292&gt;=3),"Berpotensi",IF(AND(E4292&lt;=3,E4292&gt;=2,F4292&gt;=3),"Rawan",IF(AND(E4292&lt;=2,F4292&lt;=2),"Tidur","Umum"))))))</f>
        <v/>
      </c>
    </row>
    <row r="4293">
      <c r="B4293">
        <f>IF(A4293="","",$B$1-MAXIFS(Donasi!$A$2:$A$20000,Donasi!$B$2:$B$20000,A4293))</f>
        <v/>
      </c>
      <c r="C4293">
        <f>IF(A4293="","",COUNTIF(Donasi!$B$2:$B$20000,A4293))</f>
        <v/>
      </c>
      <c r="D4293">
        <f>IF(A4293="","",SUMIF(Donasi!$B$2:$B$20000,A4293,Donasi!$C$2:$C$20000))</f>
        <v/>
      </c>
      <c r="E4293">
        <f>IF(A4293="","",6-CEILING(PERCENTRANK.INC($B$3:$B$6000,B4293,4)*5+0.000001,1))</f>
        <v/>
      </c>
      <c r="F4293">
        <f>IF(A4293="","",MAX(1,CEILING(PERCENTRANK.INC($C$3:$C$6000,C4293,4)*5+0.000001,1)))</f>
        <v/>
      </c>
      <c r="G4293">
        <f>IF(A4293="","",MAX(1,CEILING(PERCENTRANK.INC($D$3:$D$6000,D4293,4)*5+0.000001,1)))</f>
        <v/>
      </c>
      <c r="H4293">
        <f>IF(A4293="","",E4293&amp;F4293&amp;G4293)</f>
        <v/>
      </c>
      <c r="I4293">
        <f>IF(A4293="","",IF(AND(E4293&gt;=4,F4293&gt;=4,G4293&gt;=4),"Juara",IF(AND(F4293&gt;=4,E4293&gt;=3),"Setia",IF(AND(E4293=5,F4293&lt;=2,G4293&gt;=3),"Berpotensi",IF(AND(E4293&lt;=3,E4293&gt;=2,F4293&gt;=3),"Rawan",IF(AND(E4293&lt;=2,F4293&lt;=2),"Tidur","Umum"))))))</f>
        <v/>
      </c>
    </row>
    <row r="4294">
      <c r="B4294">
        <f>IF(A4294="","",$B$1-MAXIFS(Donasi!$A$2:$A$20000,Donasi!$B$2:$B$20000,A4294))</f>
        <v/>
      </c>
      <c r="C4294">
        <f>IF(A4294="","",COUNTIF(Donasi!$B$2:$B$20000,A4294))</f>
        <v/>
      </c>
      <c r="D4294">
        <f>IF(A4294="","",SUMIF(Donasi!$B$2:$B$20000,A4294,Donasi!$C$2:$C$20000))</f>
        <v/>
      </c>
      <c r="E4294">
        <f>IF(A4294="","",6-CEILING(PERCENTRANK.INC($B$3:$B$6000,B4294,4)*5+0.000001,1))</f>
        <v/>
      </c>
      <c r="F4294">
        <f>IF(A4294="","",MAX(1,CEILING(PERCENTRANK.INC($C$3:$C$6000,C4294,4)*5+0.000001,1)))</f>
        <v/>
      </c>
      <c r="G4294">
        <f>IF(A4294="","",MAX(1,CEILING(PERCENTRANK.INC($D$3:$D$6000,D4294,4)*5+0.000001,1)))</f>
        <v/>
      </c>
      <c r="H4294">
        <f>IF(A4294="","",E4294&amp;F4294&amp;G4294)</f>
        <v/>
      </c>
      <c r="I4294">
        <f>IF(A4294="","",IF(AND(E4294&gt;=4,F4294&gt;=4,G4294&gt;=4),"Juara",IF(AND(F4294&gt;=4,E4294&gt;=3),"Setia",IF(AND(E4294=5,F4294&lt;=2,G4294&gt;=3),"Berpotensi",IF(AND(E4294&lt;=3,E4294&gt;=2,F4294&gt;=3),"Rawan",IF(AND(E4294&lt;=2,F4294&lt;=2),"Tidur","Umum"))))))</f>
        <v/>
      </c>
    </row>
    <row r="4295">
      <c r="B4295">
        <f>IF(A4295="","",$B$1-MAXIFS(Donasi!$A$2:$A$20000,Donasi!$B$2:$B$20000,A4295))</f>
        <v/>
      </c>
      <c r="C4295">
        <f>IF(A4295="","",COUNTIF(Donasi!$B$2:$B$20000,A4295))</f>
        <v/>
      </c>
      <c r="D4295">
        <f>IF(A4295="","",SUMIF(Donasi!$B$2:$B$20000,A4295,Donasi!$C$2:$C$20000))</f>
        <v/>
      </c>
      <c r="E4295">
        <f>IF(A4295="","",6-CEILING(PERCENTRANK.INC($B$3:$B$6000,B4295,4)*5+0.000001,1))</f>
        <v/>
      </c>
      <c r="F4295">
        <f>IF(A4295="","",MAX(1,CEILING(PERCENTRANK.INC($C$3:$C$6000,C4295,4)*5+0.000001,1)))</f>
        <v/>
      </c>
      <c r="G4295">
        <f>IF(A4295="","",MAX(1,CEILING(PERCENTRANK.INC($D$3:$D$6000,D4295,4)*5+0.000001,1)))</f>
        <v/>
      </c>
      <c r="H4295">
        <f>IF(A4295="","",E4295&amp;F4295&amp;G4295)</f>
        <v/>
      </c>
      <c r="I4295">
        <f>IF(A4295="","",IF(AND(E4295&gt;=4,F4295&gt;=4,G4295&gt;=4),"Juara",IF(AND(F4295&gt;=4,E4295&gt;=3),"Setia",IF(AND(E4295=5,F4295&lt;=2,G4295&gt;=3),"Berpotensi",IF(AND(E4295&lt;=3,E4295&gt;=2,F4295&gt;=3),"Rawan",IF(AND(E4295&lt;=2,F4295&lt;=2),"Tidur","Umum"))))))</f>
        <v/>
      </c>
    </row>
    <row r="4296">
      <c r="B4296">
        <f>IF(A4296="","",$B$1-MAXIFS(Donasi!$A$2:$A$20000,Donasi!$B$2:$B$20000,A4296))</f>
        <v/>
      </c>
      <c r="C4296">
        <f>IF(A4296="","",COUNTIF(Donasi!$B$2:$B$20000,A4296))</f>
        <v/>
      </c>
      <c r="D4296">
        <f>IF(A4296="","",SUMIF(Donasi!$B$2:$B$20000,A4296,Donasi!$C$2:$C$20000))</f>
        <v/>
      </c>
      <c r="E4296">
        <f>IF(A4296="","",6-CEILING(PERCENTRANK.INC($B$3:$B$6000,B4296,4)*5+0.000001,1))</f>
        <v/>
      </c>
      <c r="F4296">
        <f>IF(A4296="","",MAX(1,CEILING(PERCENTRANK.INC($C$3:$C$6000,C4296,4)*5+0.000001,1)))</f>
        <v/>
      </c>
      <c r="G4296">
        <f>IF(A4296="","",MAX(1,CEILING(PERCENTRANK.INC($D$3:$D$6000,D4296,4)*5+0.000001,1)))</f>
        <v/>
      </c>
      <c r="H4296">
        <f>IF(A4296="","",E4296&amp;F4296&amp;G4296)</f>
        <v/>
      </c>
      <c r="I4296">
        <f>IF(A4296="","",IF(AND(E4296&gt;=4,F4296&gt;=4,G4296&gt;=4),"Juara",IF(AND(F4296&gt;=4,E4296&gt;=3),"Setia",IF(AND(E4296=5,F4296&lt;=2,G4296&gt;=3),"Berpotensi",IF(AND(E4296&lt;=3,E4296&gt;=2,F4296&gt;=3),"Rawan",IF(AND(E4296&lt;=2,F4296&lt;=2),"Tidur","Umum"))))))</f>
        <v/>
      </c>
    </row>
    <row r="4297">
      <c r="B4297">
        <f>IF(A4297="","",$B$1-MAXIFS(Donasi!$A$2:$A$20000,Donasi!$B$2:$B$20000,A4297))</f>
        <v/>
      </c>
      <c r="C4297">
        <f>IF(A4297="","",COUNTIF(Donasi!$B$2:$B$20000,A4297))</f>
        <v/>
      </c>
      <c r="D4297">
        <f>IF(A4297="","",SUMIF(Donasi!$B$2:$B$20000,A4297,Donasi!$C$2:$C$20000))</f>
        <v/>
      </c>
      <c r="E4297">
        <f>IF(A4297="","",6-CEILING(PERCENTRANK.INC($B$3:$B$6000,B4297,4)*5+0.000001,1))</f>
        <v/>
      </c>
      <c r="F4297">
        <f>IF(A4297="","",MAX(1,CEILING(PERCENTRANK.INC($C$3:$C$6000,C4297,4)*5+0.000001,1)))</f>
        <v/>
      </c>
      <c r="G4297">
        <f>IF(A4297="","",MAX(1,CEILING(PERCENTRANK.INC($D$3:$D$6000,D4297,4)*5+0.000001,1)))</f>
        <v/>
      </c>
      <c r="H4297">
        <f>IF(A4297="","",E4297&amp;F4297&amp;G4297)</f>
        <v/>
      </c>
      <c r="I4297">
        <f>IF(A4297="","",IF(AND(E4297&gt;=4,F4297&gt;=4,G4297&gt;=4),"Juara",IF(AND(F4297&gt;=4,E4297&gt;=3),"Setia",IF(AND(E4297=5,F4297&lt;=2,G4297&gt;=3),"Berpotensi",IF(AND(E4297&lt;=3,E4297&gt;=2,F4297&gt;=3),"Rawan",IF(AND(E4297&lt;=2,F4297&lt;=2),"Tidur","Umum"))))))</f>
        <v/>
      </c>
    </row>
    <row r="4298">
      <c r="B4298">
        <f>IF(A4298="","",$B$1-MAXIFS(Donasi!$A$2:$A$20000,Donasi!$B$2:$B$20000,A4298))</f>
        <v/>
      </c>
      <c r="C4298">
        <f>IF(A4298="","",COUNTIF(Donasi!$B$2:$B$20000,A4298))</f>
        <v/>
      </c>
      <c r="D4298">
        <f>IF(A4298="","",SUMIF(Donasi!$B$2:$B$20000,A4298,Donasi!$C$2:$C$20000))</f>
        <v/>
      </c>
      <c r="E4298">
        <f>IF(A4298="","",6-CEILING(PERCENTRANK.INC($B$3:$B$6000,B4298,4)*5+0.000001,1))</f>
        <v/>
      </c>
      <c r="F4298">
        <f>IF(A4298="","",MAX(1,CEILING(PERCENTRANK.INC($C$3:$C$6000,C4298,4)*5+0.000001,1)))</f>
        <v/>
      </c>
      <c r="G4298">
        <f>IF(A4298="","",MAX(1,CEILING(PERCENTRANK.INC($D$3:$D$6000,D4298,4)*5+0.000001,1)))</f>
        <v/>
      </c>
      <c r="H4298">
        <f>IF(A4298="","",E4298&amp;F4298&amp;G4298)</f>
        <v/>
      </c>
      <c r="I4298">
        <f>IF(A4298="","",IF(AND(E4298&gt;=4,F4298&gt;=4,G4298&gt;=4),"Juara",IF(AND(F4298&gt;=4,E4298&gt;=3),"Setia",IF(AND(E4298=5,F4298&lt;=2,G4298&gt;=3),"Berpotensi",IF(AND(E4298&lt;=3,E4298&gt;=2,F4298&gt;=3),"Rawan",IF(AND(E4298&lt;=2,F4298&lt;=2),"Tidur","Umum"))))))</f>
        <v/>
      </c>
    </row>
    <row r="4299">
      <c r="B4299">
        <f>IF(A4299="","",$B$1-MAXIFS(Donasi!$A$2:$A$20000,Donasi!$B$2:$B$20000,A4299))</f>
        <v/>
      </c>
      <c r="C4299">
        <f>IF(A4299="","",COUNTIF(Donasi!$B$2:$B$20000,A4299))</f>
        <v/>
      </c>
      <c r="D4299">
        <f>IF(A4299="","",SUMIF(Donasi!$B$2:$B$20000,A4299,Donasi!$C$2:$C$20000))</f>
        <v/>
      </c>
      <c r="E4299">
        <f>IF(A4299="","",6-CEILING(PERCENTRANK.INC($B$3:$B$6000,B4299,4)*5+0.000001,1))</f>
        <v/>
      </c>
      <c r="F4299">
        <f>IF(A4299="","",MAX(1,CEILING(PERCENTRANK.INC($C$3:$C$6000,C4299,4)*5+0.000001,1)))</f>
        <v/>
      </c>
      <c r="G4299">
        <f>IF(A4299="","",MAX(1,CEILING(PERCENTRANK.INC($D$3:$D$6000,D4299,4)*5+0.000001,1)))</f>
        <v/>
      </c>
      <c r="H4299">
        <f>IF(A4299="","",E4299&amp;F4299&amp;G4299)</f>
        <v/>
      </c>
      <c r="I4299">
        <f>IF(A4299="","",IF(AND(E4299&gt;=4,F4299&gt;=4,G4299&gt;=4),"Juara",IF(AND(F4299&gt;=4,E4299&gt;=3),"Setia",IF(AND(E4299=5,F4299&lt;=2,G4299&gt;=3),"Berpotensi",IF(AND(E4299&lt;=3,E4299&gt;=2,F4299&gt;=3),"Rawan",IF(AND(E4299&lt;=2,F4299&lt;=2),"Tidur","Umum"))))))</f>
        <v/>
      </c>
    </row>
    <row r="4300">
      <c r="B4300">
        <f>IF(A4300="","",$B$1-MAXIFS(Donasi!$A$2:$A$20000,Donasi!$B$2:$B$20000,A4300))</f>
        <v/>
      </c>
      <c r="C4300">
        <f>IF(A4300="","",COUNTIF(Donasi!$B$2:$B$20000,A4300))</f>
        <v/>
      </c>
      <c r="D4300">
        <f>IF(A4300="","",SUMIF(Donasi!$B$2:$B$20000,A4300,Donasi!$C$2:$C$20000))</f>
        <v/>
      </c>
      <c r="E4300">
        <f>IF(A4300="","",6-CEILING(PERCENTRANK.INC($B$3:$B$6000,B4300,4)*5+0.000001,1))</f>
        <v/>
      </c>
      <c r="F4300">
        <f>IF(A4300="","",MAX(1,CEILING(PERCENTRANK.INC($C$3:$C$6000,C4300,4)*5+0.000001,1)))</f>
        <v/>
      </c>
      <c r="G4300">
        <f>IF(A4300="","",MAX(1,CEILING(PERCENTRANK.INC($D$3:$D$6000,D4300,4)*5+0.000001,1)))</f>
        <v/>
      </c>
      <c r="H4300">
        <f>IF(A4300="","",E4300&amp;F4300&amp;G4300)</f>
        <v/>
      </c>
      <c r="I4300">
        <f>IF(A4300="","",IF(AND(E4300&gt;=4,F4300&gt;=4,G4300&gt;=4),"Juara",IF(AND(F4300&gt;=4,E4300&gt;=3),"Setia",IF(AND(E4300=5,F4300&lt;=2,G4300&gt;=3),"Berpotensi",IF(AND(E4300&lt;=3,E4300&gt;=2,F4300&gt;=3),"Rawan",IF(AND(E4300&lt;=2,F4300&lt;=2),"Tidur","Umum"))))))</f>
        <v/>
      </c>
    </row>
    <row r="4301">
      <c r="B4301">
        <f>IF(A4301="","",$B$1-MAXIFS(Donasi!$A$2:$A$20000,Donasi!$B$2:$B$20000,A4301))</f>
        <v/>
      </c>
      <c r="C4301">
        <f>IF(A4301="","",COUNTIF(Donasi!$B$2:$B$20000,A4301))</f>
        <v/>
      </c>
      <c r="D4301">
        <f>IF(A4301="","",SUMIF(Donasi!$B$2:$B$20000,A4301,Donasi!$C$2:$C$20000))</f>
        <v/>
      </c>
      <c r="E4301">
        <f>IF(A4301="","",6-CEILING(PERCENTRANK.INC($B$3:$B$6000,B4301,4)*5+0.000001,1))</f>
        <v/>
      </c>
      <c r="F4301">
        <f>IF(A4301="","",MAX(1,CEILING(PERCENTRANK.INC($C$3:$C$6000,C4301,4)*5+0.000001,1)))</f>
        <v/>
      </c>
      <c r="G4301">
        <f>IF(A4301="","",MAX(1,CEILING(PERCENTRANK.INC($D$3:$D$6000,D4301,4)*5+0.000001,1)))</f>
        <v/>
      </c>
      <c r="H4301">
        <f>IF(A4301="","",E4301&amp;F4301&amp;G4301)</f>
        <v/>
      </c>
      <c r="I4301">
        <f>IF(A4301="","",IF(AND(E4301&gt;=4,F4301&gt;=4,G4301&gt;=4),"Juara",IF(AND(F4301&gt;=4,E4301&gt;=3),"Setia",IF(AND(E4301=5,F4301&lt;=2,G4301&gt;=3),"Berpotensi",IF(AND(E4301&lt;=3,E4301&gt;=2,F4301&gt;=3),"Rawan",IF(AND(E4301&lt;=2,F4301&lt;=2),"Tidur","Umum"))))))</f>
        <v/>
      </c>
    </row>
    <row r="4302">
      <c r="B4302">
        <f>IF(A4302="","",$B$1-MAXIFS(Donasi!$A$2:$A$20000,Donasi!$B$2:$B$20000,A4302))</f>
        <v/>
      </c>
      <c r="C4302">
        <f>IF(A4302="","",COUNTIF(Donasi!$B$2:$B$20000,A4302))</f>
        <v/>
      </c>
      <c r="D4302">
        <f>IF(A4302="","",SUMIF(Donasi!$B$2:$B$20000,A4302,Donasi!$C$2:$C$20000))</f>
        <v/>
      </c>
      <c r="E4302">
        <f>IF(A4302="","",6-CEILING(PERCENTRANK.INC($B$3:$B$6000,B4302,4)*5+0.000001,1))</f>
        <v/>
      </c>
      <c r="F4302">
        <f>IF(A4302="","",MAX(1,CEILING(PERCENTRANK.INC($C$3:$C$6000,C4302,4)*5+0.000001,1)))</f>
        <v/>
      </c>
      <c r="G4302">
        <f>IF(A4302="","",MAX(1,CEILING(PERCENTRANK.INC($D$3:$D$6000,D4302,4)*5+0.000001,1)))</f>
        <v/>
      </c>
      <c r="H4302">
        <f>IF(A4302="","",E4302&amp;F4302&amp;G4302)</f>
        <v/>
      </c>
      <c r="I4302">
        <f>IF(A4302="","",IF(AND(E4302&gt;=4,F4302&gt;=4,G4302&gt;=4),"Juara",IF(AND(F4302&gt;=4,E4302&gt;=3),"Setia",IF(AND(E4302=5,F4302&lt;=2,G4302&gt;=3),"Berpotensi",IF(AND(E4302&lt;=3,E4302&gt;=2,F4302&gt;=3),"Rawan",IF(AND(E4302&lt;=2,F4302&lt;=2),"Tidur","Umum"))))))</f>
        <v/>
      </c>
    </row>
    <row r="4303">
      <c r="B4303">
        <f>IF(A4303="","",$B$1-MAXIFS(Donasi!$A$2:$A$20000,Donasi!$B$2:$B$20000,A4303))</f>
        <v/>
      </c>
      <c r="C4303">
        <f>IF(A4303="","",COUNTIF(Donasi!$B$2:$B$20000,A4303))</f>
        <v/>
      </c>
      <c r="D4303">
        <f>IF(A4303="","",SUMIF(Donasi!$B$2:$B$20000,A4303,Donasi!$C$2:$C$20000))</f>
        <v/>
      </c>
      <c r="E4303">
        <f>IF(A4303="","",6-CEILING(PERCENTRANK.INC($B$3:$B$6000,B4303,4)*5+0.000001,1))</f>
        <v/>
      </c>
      <c r="F4303">
        <f>IF(A4303="","",MAX(1,CEILING(PERCENTRANK.INC($C$3:$C$6000,C4303,4)*5+0.000001,1)))</f>
        <v/>
      </c>
      <c r="G4303">
        <f>IF(A4303="","",MAX(1,CEILING(PERCENTRANK.INC($D$3:$D$6000,D4303,4)*5+0.000001,1)))</f>
        <v/>
      </c>
      <c r="H4303">
        <f>IF(A4303="","",E4303&amp;F4303&amp;G4303)</f>
        <v/>
      </c>
      <c r="I4303">
        <f>IF(A4303="","",IF(AND(E4303&gt;=4,F4303&gt;=4,G4303&gt;=4),"Juara",IF(AND(F4303&gt;=4,E4303&gt;=3),"Setia",IF(AND(E4303=5,F4303&lt;=2,G4303&gt;=3),"Berpotensi",IF(AND(E4303&lt;=3,E4303&gt;=2,F4303&gt;=3),"Rawan",IF(AND(E4303&lt;=2,F4303&lt;=2),"Tidur","Umum"))))))</f>
        <v/>
      </c>
    </row>
    <row r="4304">
      <c r="B4304">
        <f>IF(A4304="","",$B$1-MAXIFS(Donasi!$A$2:$A$20000,Donasi!$B$2:$B$20000,A4304))</f>
        <v/>
      </c>
      <c r="C4304">
        <f>IF(A4304="","",COUNTIF(Donasi!$B$2:$B$20000,A4304))</f>
        <v/>
      </c>
      <c r="D4304">
        <f>IF(A4304="","",SUMIF(Donasi!$B$2:$B$20000,A4304,Donasi!$C$2:$C$20000))</f>
        <v/>
      </c>
      <c r="E4304">
        <f>IF(A4304="","",6-CEILING(PERCENTRANK.INC($B$3:$B$6000,B4304,4)*5+0.000001,1))</f>
        <v/>
      </c>
      <c r="F4304">
        <f>IF(A4304="","",MAX(1,CEILING(PERCENTRANK.INC($C$3:$C$6000,C4304,4)*5+0.000001,1)))</f>
        <v/>
      </c>
      <c r="G4304">
        <f>IF(A4304="","",MAX(1,CEILING(PERCENTRANK.INC($D$3:$D$6000,D4304,4)*5+0.000001,1)))</f>
        <v/>
      </c>
      <c r="H4304">
        <f>IF(A4304="","",E4304&amp;F4304&amp;G4304)</f>
        <v/>
      </c>
      <c r="I4304">
        <f>IF(A4304="","",IF(AND(E4304&gt;=4,F4304&gt;=4,G4304&gt;=4),"Juara",IF(AND(F4304&gt;=4,E4304&gt;=3),"Setia",IF(AND(E4304=5,F4304&lt;=2,G4304&gt;=3),"Berpotensi",IF(AND(E4304&lt;=3,E4304&gt;=2,F4304&gt;=3),"Rawan",IF(AND(E4304&lt;=2,F4304&lt;=2),"Tidur","Umum"))))))</f>
        <v/>
      </c>
    </row>
    <row r="4305">
      <c r="B4305">
        <f>IF(A4305="","",$B$1-MAXIFS(Donasi!$A$2:$A$20000,Donasi!$B$2:$B$20000,A4305))</f>
        <v/>
      </c>
      <c r="C4305">
        <f>IF(A4305="","",COUNTIF(Donasi!$B$2:$B$20000,A4305))</f>
        <v/>
      </c>
      <c r="D4305">
        <f>IF(A4305="","",SUMIF(Donasi!$B$2:$B$20000,A4305,Donasi!$C$2:$C$20000))</f>
        <v/>
      </c>
      <c r="E4305">
        <f>IF(A4305="","",6-CEILING(PERCENTRANK.INC($B$3:$B$6000,B4305,4)*5+0.000001,1))</f>
        <v/>
      </c>
      <c r="F4305">
        <f>IF(A4305="","",MAX(1,CEILING(PERCENTRANK.INC($C$3:$C$6000,C4305,4)*5+0.000001,1)))</f>
        <v/>
      </c>
      <c r="G4305">
        <f>IF(A4305="","",MAX(1,CEILING(PERCENTRANK.INC($D$3:$D$6000,D4305,4)*5+0.000001,1)))</f>
        <v/>
      </c>
      <c r="H4305">
        <f>IF(A4305="","",E4305&amp;F4305&amp;G4305)</f>
        <v/>
      </c>
      <c r="I4305">
        <f>IF(A4305="","",IF(AND(E4305&gt;=4,F4305&gt;=4,G4305&gt;=4),"Juara",IF(AND(F4305&gt;=4,E4305&gt;=3),"Setia",IF(AND(E4305=5,F4305&lt;=2,G4305&gt;=3),"Berpotensi",IF(AND(E4305&lt;=3,E4305&gt;=2,F4305&gt;=3),"Rawan",IF(AND(E4305&lt;=2,F4305&lt;=2),"Tidur","Umum"))))))</f>
        <v/>
      </c>
    </row>
    <row r="4306">
      <c r="B4306">
        <f>IF(A4306="","",$B$1-MAXIFS(Donasi!$A$2:$A$20000,Donasi!$B$2:$B$20000,A4306))</f>
        <v/>
      </c>
      <c r="C4306">
        <f>IF(A4306="","",COUNTIF(Donasi!$B$2:$B$20000,A4306))</f>
        <v/>
      </c>
      <c r="D4306">
        <f>IF(A4306="","",SUMIF(Donasi!$B$2:$B$20000,A4306,Donasi!$C$2:$C$20000))</f>
        <v/>
      </c>
      <c r="E4306">
        <f>IF(A4306="","",6-CEILING(PERCENTRANK.INC($B$3:$B$6000,B4306,4)*5+0.000001,1))</f>
        <v/>
      </c>
      <c r="F4306">
        <f>IF(A4306="","",MAX(1,CEILING(PERCENTRANK.INC($C$3:$C$6000,C4306,4)*5+0.000001,1)))</f>
        <v/>
      </c>
      <c r="G4306">
        <f>IF(A4306="","",MAX(1,CEILING(PERCENTRANK.INC($D$3:$D$6000,D4306,4)*5+0.000001,1)))</f>
        <v/>
      </c>
      <c r="H4306">
        <f>IF(A4306="","",E4306&amp;F4306&amp;G4306)</f>
        <v/>
      </c>
      <c r="I4306">
        <f>IF(A4306="","",IF(AND(E4306&gt;=4,F4306&gt;=4,G4306&gt;=4),"Juara",IF(AND(F4306&gt;=4,E4306&gt;=3),"Setia",IF(AND(E4306=5,F4306&lt;=2,G4306&gt;=3),"Berpotensi",IF(AND(E4306&lt;=3,E4306&gt;=2,F4306&gt;=3),"Rawan",IF(AND(E4306&lt;=2,F4306&lt;=2),"Tidur","Umum"))))))</f>
        <v/>
      </c>
    </row>
    <row r="4307">
      <c r="B4307">
        <f>IF(A4307="","",$B$1-MAXIFS(Donasi!$A$2:$A$20000,Donasi!$B$2:$B$20000,A4307))</f>
        <v/>
      </c>
      <c r="C4307">
        <f>IF(A4307="","",COUNTIF(Donasi!$B$2:$B$20000,A4307))</f>
        <v/>
      </c>
      <c r="D4307">
        <f>IF(A4307="","",SUMIF(Donasi!$B$2:$B$20000,A4307,Donasi!$C$2:$C$20000))</f>
        <v/>
      </c>
      <c r="E4307">
        <f>IF(A4307="","",6-CEILING(PERCENTRANK.INC($B$3:$B$6000,B4307,4)*5+0.000001,1))</f>
        <v/>
      </c>
      <c r="F4307">
        <f>IF(A4307="","",MAX(1,CEILING(PERCENTRANK.INC($C$3:$C$6000,C4307,4)*5+0.000001,1)))</f>
        <v/>
      </c>
      <c r="G4307">
        <f>IF(A4307="","",MAX(1,CEILING(PERCENTRANK.INC($D$3:$D$6000,D4307,4)*5+0.000001,1)))</f>
        <v/>
      </c>
      <c r="H4307">
        <f>IF(A4307="","",E4307&amp;F4307&amp;G4307)</f>
        <v/>
      </c>
      <c r="I4307">
        <f>IF(A4307="","",IF(AND(E4307&gt;=4,F4307&gt;=4,G4307&gt;=4),"Juara",IF(AND(F4307&gt;=4,E4307&gt;=3),"Setia",IF(AND(E4307=5,F4307&lt;=2,G4307&gt;=3),"Berpotensi",IF(AND(E4307&lt;=3,E4307&gt;=2,F4307&gt;=3),"Rawan",IF(AND(E4307&lt;=2,F4307&lt;=2),"Tidur","Umum"))))))</f>
        <v/>
      </c>
    </row>
    <row r="4308">
      <c r="B4308">
        <f>IF(A4308="","",$B$1-MAXIFS(Donasi!$A$2:$A$20000,Donasi!$B$2:$B$20000,A4308))</f>
        <v/>
      </c>
      <c r="C4308">
        <f>IF(A4308="","",COUNTIF(Donasi!$B$2:$B$20000,A4308))</f>
        <v/>
      </c>
      <c r="D4308">
        <f>IF(A4308="","",SUMIF(Donasi!$B$2:$B$20000,A4308,Donasi!$C$2:$C$20000))</f>
        <v/>
      </c>
      <c r="E4308">
        <f>IF(A4308="","",6-CEILING(PERCENTRANK.INC($B$3:$B$6000,B4308,4)*5+0.000001,1))</f>
        <v/>
      </c>
      <c r="F4308">
        <f>IF(A4308="","",MAX(1,CEILING(PERCENTRANK.INC($C$3:$C$6000,C4308,4)*5+0.000001,1)))</f>
        <v/>
      </c>
      <c r="G4308">
        <f>IF(A4308="","",MAX(1,CEILING(PERCENTRANK.INC($D$3:$D$6000,D4308,4)*5+0.000001,1)))</f>
        <v/>
      </c>
      <c r="H4308">
        <f>IF(A4308="","",E4308&amp;F4308&amp;G4308)</f>
        <v/>
      </c>
      <c r="I4308">
        <f>IF(A4308="","",IF(AND(E4308&gt;=4,F4308&gt;=4,G4308&gt;=4),"Juara",IF(AND(F4308&gt;=4,E4308&gt;=3),"Setia",IF(AND(E4308=5,F4308&lt;=2,G4308&gt;=3),"Berpotensi",IF(AND(E4308&lt;=3,E4308&gt;=2,F4308&gt;=3),"Rawan",IF(AND(E4308&lt;=2,F4308&lt;=2),"Tidur","Umum"))))))</f>
        <v/>
      </c>
    </row>
    <row r="4309">
      <c r="B4309">
        <f>IF(A4309="","",$B$1-MAXIFS(Donasi!$A$2:$A$20000,Donasi!$B$2:$B$20000,A4309))</f>
        <v/>
      </c>
      <c r="C4309">
        <f>IF(A4309="","",COUNTIF(Donasi!$B$2:$B$20000,A4309))</f>
        <v/>
      </c>
      <c r="D4309">
        <f>IF(A4309="","",SUMIF(Donasi!$B$2:$B$20000,A4309,Donasi!$C$2:$C$20000))</f>
        <v/>
      </c>
      <c r="E4309">
        <f>IF(A4309="","",6-CEILING(PERCENTRANK.INC($B$3:$B$6000,B4309,4)*5+0.000001,1))</f>
        <v/>
      </c>
      <c r="F4309">
        <f>IF(A4309="","",MAX(1,CEILING(PERCENTRANK.INC($C$3:$C$6000,C4309,4)*5+0.000001,1)))</f>
        <v/>
      </c>
      <c r="G4309">
        <f>IF(A4309="","",MAX(1,CEILING(PERCENTRANK.INC($D$3:$D$6000,D4309,4)*5+0.000001,1)))</f>
        <v/>
      </c>
      <c r="H4309">
        <f>IF(A4309="","",E4309&amp;F4309&amp;G4309)</f>
        <v/>
      </c>
      <c r="I4309">
        <f>IF(A4309="","",IF(AND(E4309&gt;=4,F4309&gt;=4,G4309&gt;=4),"Juara",IF(AND(F4309&gt;=4,E4309&gt;=3),"Setia",IF(AND(E4309=5,F4309&lt;=2,G4309&gt;=3),"Berpotensi",IF(AND(E4309&lt;=3,E4309&gt;=2,F4309&gt;=3),"Rawan",IF(AND(E4309&lt;=2,F4309&lt;=2),"Tidur","Umum"))))))</f>
        <v/>
      </c>
    </row>
    <row r="4310">
      <c r="B4310">
        <f>IF(A4310="","",$B$1-MAXIFS(Donasi!$A$2:$A$20000,Donasi!$B$2:$B$20000,A4310))</f>
        <v/>
      </c>
      <c r="C4310">
        <f>IF(A4310="","",COUNTIF(Donasi!$B$2:$B$20000,A4310))</f>
        <v/>
      </c>
      <c r="D4310">
        <f>IF(A4310="","",SUMIF(Donasi!$B$2:$B$20000,A4310,Donasi!$C$2:$C$20000))</f>
        <v/>
      </c>
      <c r="E4310">
        <f>IF(A4310="","",6-CEILING(PERCENTRANK.INC($B$3:$B$6000,B4310,4)*5+0.000001,1))</f>
        <v/>
      </c>
      <c r="F4310">
        <f>IF(A4310="","",MAX(1,CEILING(PERCENTRANK.INC($C$3:$C$6000,C4310,4)*5+0.000001,1)))</f>
        <v/>
      </c>
      <c r="G4310">
        <f>IF(A4310="","",MAX(1,CEILING(PERCENTRANK.INC($D$3:$D$6000,D4310,4)*5+0.000001,1)))</f>
        <v/>
      </c>
      <c r="H4310">
        <f>IF(A4310="","",E4310&amp;F4310&amp;G4310)</f>
        <v/>
      </c>
      <c r="I4310">
        <f>IF(A4310="","",IF(AND(E4310&gt;=4,F4310&gt;=4,G4310&gt;=4),"Juara",IF(AND(F4310&gt;=4,E4310&gt;=3),"Setia",IF(AND(E4310=5,F4310&lt;=2,G4310&gt;=3),"Berpotensi",IF(AND(E4310&lt;=3,E4310&gt;=2,F4310&gt;=3),"Rawan",IF(AND(E4310&lt;=2,F4310&lt;=2),"Tidur","Umum"))))))</f>
        <v/>
      </c>
    </row>
    <row r="4311">
      <c r="B4311">
        <f>IF(A4311="","",$B$1-MAXIFS(Donasi!$A$2:$A$20000,Donasi!$B$2:$B$20000,A4311))</f>
        <v/>
      </c>
      <c r="C4311">
        <f>IF(A4311="","",COUNTIF(Donasi!$B$2:$B$20000,A4311))</f>
        <v/>
      </c>
      <c r="D4311">
        <f>IF(A4311="","",SUMIF(Donasi!$B$2:$B$20000,A4311,Donasi!$C$2:$C$20000))</f>
        <v/>
      </c>
      <c r="E4311">
        <f>IF(A4311="","",6-CEILING(PERCENTRANK.INC($B$3:$B$6000,B4311,4)*5+0.000001,1))</f>
        <v/>
      </c>
      <c r="F4311">
        <f>IF(A4311="","",MAX(1,CEILING(PERCENTRANK.INC($C$3:$C$6000,C4311,4)*5+0.000001,1)))</f>
        <v/>
      </c>
      <c r="G4311">
        <f>IF(A4311="","",MAX(1,CEILING(PERCENTRANK.INC($D$3:$D$6000,D4311,4)*5+0.000001,1)))</f>
        <v/>
      </c>
      <c r="H4311">
        <f>IF(A4311="","",E4311&amp;F4311&amp;G4311)</f>
        <v/>
      </c>
      <c r="I4311">
        <f>IF(A4311="","",IF(AND(E4311&gt;=4,F4311&gt;=4,G4311&gt;=4),"Juara",IF(AND(F4311&gt;=4,E4311&gt;=3),"Setia",IF(AND(E4311=5,F4311&lt;=2,G4311&gt;=3),"Berpotensi",IF(AND(E4311&lt;=3,E4311&gt;=2,F4311&gt;=3),"Rawan",IF(AND(E4311&lt;=2,F4311&lt;=2),"Tidur","Umum"))))))</f>
        <v/>
      </c>
    </row>
    <row r="4312">
      <c r="B4312">
        <f>IF(A4312="","",$B$1-MAXIFS(Donasi!$A$2:$A$20000,Donasi!$B$2:$B$20000,A4312))</f>
        <v/>
      </c>
      <c r="C4312">
        <f>IF(A4312="","",COUNTIF(Donasi!$B$2:$B$20000,A4312))</f>
        <v/>
      </c>
      <c r="D4312">
        <f>IF(A4312="","",SUMIF(Donasi!$B$2:$B$20000,A4312,Donasi!$C$2:$C$20000))</f>
        <v/>
      </c>
      <c r="E4312">
        <f>IF(A4312="","",6-CEILING(PERCENTRANK.INC($B$3:$B$6000,B4312,4)*5+0.000001,1))</f>
        <v/>
      </c>
      <c r="F4312">
        <f>IF(A4312="","",MAX(1,CEILING(PERCENTRANK.INC($C$3:$C$6000,C4312,4)*5+0.000001,1)))</f>
        <v/>
      </c>
      <c r="G4312">
        <f>IF(A4312="","",MAX(1,CEILING(PERCENTRANK.INC($D$3:$D$6000,D4312,4)*5+0.000001,1)))</f>
        <v/>
      </c>
      <c r="H4312">
        <f>IF(A4312="","",E4312&amp;F4312&amp;G4312)</f>
        <v/>
      </c>
      <c r="I4312">
        <f>IF(A4312="","",IF(AND(E4312&gt;=4,F4312&gt;=4,G4312&gt;=4),"Juara",IF(AND(F4312&gt;=4,E4312&gt;=3),"Setia",IF(AND(E4312=5,F4312&lt;=2,G4312&gt;=3),"Berpotensi",IF(AND(E4312&lt;=3,E4312&gt;=2,F4312&gt;=3),"Rawan",IF(AND(E4312&lt;=2,F4312&lt;=2),"Tidur","Umum"))))))</f>
        <v/>
      </c>
    </row>
    <row r="4313">
      <c r="B4313">
        <f>IF(A4313="","",$B$1-MAXIFS(Donasi!$A$2:$A$20000,Donasi!$B$2:$B$20000,A4313))</f>
        <v/>
      </c>
      <c r="C4313">
        <f>IF(A4313="","",COUNTIF(Donasi!$B$2:$B$20000,A4313))</f>
        <v/>
      </c>
      <c r="D4313">
        <f>IF(A4313="","",SUMIF(Donasi!$B$2:$B$20000,A4313,Donasi!$C$2:$C$20000))</f>
        <v/>
      </c>
      <c r="E4313">
        <f>IF(A4313="","",6-CEILING(PERCENTRANK.INC($B$3:$B$6000,B4313,4)*5+0.000001,1))</f>
        <v/>
      </c>
      <c r="F4313">
        <f>IF(A4313="","",MAX(1,CEILING(PERCENTRANK.INC($C$3:$C$6000,C4313,4)*5+0.000001,1)))</f>
        <v/>
      </c>
      <c r="G4313">
        <f>IF(A4313="","",MAX(1,CEILING(PERCENTRANK.INC($D$3:$D$6000,D4313,4)*5+0.000001,1)))</f>
        <v/>
      </c>
      <c r="H4313">
        <f>IF(A4313="","",E4313&amp;F4313&amp;G4313)</f>
        <v/>
      </c>
      <c r="I4313">
        <f>IF(A4313="","",IF(AND(E4313&gt;=4,F4313&gt;=4,G4313&gt;=4),"Juara",IF(AND(F4313&gt;=4,E4313&gt;=3),"Setia",IF(AND(E4313=5,F4313&lt;=2,G4313&gt;=3),"Berpotensi",IF(AND(E4313&lt;=3,E4313&gt;=2,F4313&gt;=3),"Rawan",IF(AND(E4313&lt;=2,F4313&lt;=2),"Tidur","Umum"))))))</f>
        <v/>
      </c>
    </row>
    <row r="4314">
      <c r="B4314">
        <f>IF(A4314="","",$B$1-MAXIFS(Donasi!$A$2:$A$20000,Donasi!$B$2:$B$20000,A4314))</f>
        <v/>
      </c>
      <c r="C4314">
        <f>IF(A4314="","",COUNTIF(Donasi!$B$2:$B$20000,A4314))</f>
        <v/>
      </c>
      <c r="D4314">
        <f>IF(A4314="","",SUMIF(Donasi!$B$2:$B$20000,A4314,Donasi!$C$2:$C$20000))</f>
        <v/>
      </c>
      <c r="E4314">
        <f>IF(A4314="","",6-CEILING(PERCENTRANK.INC($B$3:$B$6000,B4314,4)*5+0.000001,1))</f>
        <v/>
      </c>
      <c r="F4314">
        <f>IF(A4314="","",MAX(1,CEILING(PERCENTRANK.INC($C$3:$C$6000,C4314,4)*5+0.000001,1)))</f>
        <v/>
      </c>
      <c r="G4314">
        <f>IF(A4314="","",MAX(1,CEILING(PERCENTRANK.INC($D$3:$D$6000,D4314,4)*5+0.000001,1)))</f>
        <v/>
      </c>
      <c r="H4314">
        <f>IF(A4314="","",E4314&amp;F4314&amp;G4314)</f>
        <v/>
      </c>
      <c r="I4314">
        <f>IF(A4314="","",IF(AND(E4314&gt;=4,F4314&gt;=4,G4314&gt;=4),"Juara",IF(AND(F4314&gt;=4,E4314&gt;=3),"Setia",IF(AND(E4314=5,F4314&lt;=2,G4314&gt;=3),"Berpotensi",IF(AND(E4314&lt;=3,E4314&gt;=2,F4314&gt;=3),"Rawan",IF(AND(E4314&lt;=2,F4314&lt;=2),"Tidur","Umum"))))))</f>
        <v/>
      </c>
    </row>
    <row r="4315">
      <c r="B4315">
        <f>IF(A4315="","",$B$1-MAXIFS(Donasi!$A$2:$A$20000,Donasi!$B$2:$B$20000,A4315))</f>
        <v/>
      </c>
      <c r="C4315">
        <f>IF(A4315="","",COUNTIF(Donasi!$B$2:$B$20000,A4315))</f>
        <v/>
      </c>
      <c r="D4315">
        <f>IF(A4315="","",SUMIF(Donasi!$B$2:$B$20000,A4315,Donasi!$C$2:$C$20000))</f>
        <v/>
      </c>
      <c r="E4315">
        <f>IF(A4315="","",6-CEILING(PERCENTRANK.INC($B$3:$B$6000,B4315,4)*5+0.000001,1))</f>
        <v/>
      </c>
      <c r="F4315">
        <f>IF(A4315="","",MAX(1,CEILING(PERCENTRANK.INC($C$3:$C$6000,C4315,4)*5+0.000001,1)))</f>
        <v/>
      </c>
      <c r="G4315">
        <f>IF(A4315="","",MAX(1,CEILING(PERCENTRANK.INC($D$3:$D$6000,D4315,4)*5+0.000001,1)))</f>
        <v/>
      </c>
      <c r="H4315">
        <f>IF(A4315="","",E4315&amp;F4315&amp;G4315)</f>
        <v/>
      </c>
      <c r="I4315">
        <f>IF(A4315="","",IF(AND(E4315&gt;=4,F4315&gt;=4,G4315&gt;=4),"Juara",IF(AND(F4315&gt;=4,E4315&gt;=3),"Setia",IF(AND(E4315=5,F4315&lt;=2,G4315&gt;=3),"Berpotensi",IF(AND(E4315&lt;=3,E4315&gt;=2,F4315&gt;=3),"Rawan",IF(AND(E4315&lt;=2,F4315&lt;=2),"Tidur","Umum"))))))</f>
        <v/>
      </c>
    </row>
    <row r="4316">
      <c r="B4316">
        <f>IF(A4316="","",$B$1-MAXIFS(Donasi!$A$2:$A$20000,Donasi!$B$2:$B$20000,A4316))</f>
        <v/>
      </c>
      <c r="C4316">
        <f>IF(A4316="","",COUNTIF(Donasi!$B$2:$B$20000,A4316))</f>
        <v/>
      </c>
      <c r="D4316">
        <f>IF(A4316="","",SUMIF(Donasi!$B$2:$B$20000,A4316,Donasi!$C$2:$C$20000))</f>
        <v/>
      </c>
      <c r="E4316">
        <f>IF(A4316="","",6-CEILING(PERCENTRANK.INC($B$3:$B$6000,B4316,4)*5+0.000001,1))</f>
        <v/>
      </c>
      <c r="F4316">
        <f>IF(A4316="","",MAX(1,CEILING(PERCENTRANK.INC($C$3:$C$6000,C4316,4)*5+0.000001,1)))</f>
        <v/>
      </c>
      <c r="G4316">
        <f>IF(A4316="","",MAX(1,CEILING(PERCENTRANK.INC($D$3:$D$6000,D4316,4)*5+0.000001,1)))</f>
        <v/>
      </c>
      <c r="H4316">
        <f>IF(A4316="","",E4316&amp;F4316&amp;G4316)</f>
        <v/>
      </c>
      <c r="I4316">
        <f>IF(A4316="","",IF(AND(E4316&gt;=4,F4316&gt;=4,G4316&gt;=4),"Juara",IF(AND(F4316&gt;=4,E4316&gt;=3),"Setia",IF(AND(E4316=5,F4316&lt;=2,G4316&gt;=3),"Berpotensi",IF(AND(E4316&lt;=3,E4316&gt;=2,F4316&gt;=3),"Rawan",IF(AND(E4316&lt;=2,F4316&lt;=2),"Tidur","Umum"))))))</f>
        <v/>
      </c>
    </row>
    <row r="4317">
      <c r="B4317">
        <f>IF(A4317="","",$B$1-MAXIFS(Donasi!$A$2:$A$20000,Donasi!$B$2:$B$20000,A4317))</f>
        <v/>
      </c>
      <c r="C4317">
        <f>IF(A4317="","",COUNTIF(Donasi!$B$2:$B$20000,A4317))</f>
        <v/>
      </c>
      <c r="D4317">
        <f>IF(A4317="","",SUMIF(Donasi!$B$2:$B$20000,A4317,Donasi!$C$2:$C$20000))</f>
        <v/>
      </c>
      <c r="E4317">
        <f>IF(A4317="","",6-CEILING(PERCENTRANK.INC($B$3:$B$6000,B4317,4)*5+0.000001,1))</f>
        <v/>
      </c>
      <c r="F4317">
        <f>IF(A4317="","",MAX(1,CEILING(PERCENTRANK.INC($C$3:$C$6000,C4317,4)*5+0.000001,1)))</f>
        <v/>
      </c>
      <c r="G4317">
        <f>IF(A4317="","",MAX(1,CEILING(PERCENTRANK.INC($D$3:$D$6000,D4317,4)*5+0.000001,1)))</f>
        <v/>
      </c>
      <c r="H4317">
        <f>IF(A4317="","",E4317&amp;F4317&amp;G4317)</f>
        <v/>
      </c>
      <c r="I4317">
        <f>IF(A4317="","",IF(AND(E4317&gt;=4,F4317&gt;=4,G4317&gt;=4),"Juara",IF(AND(F4317&gt;=4,E4317&gt;=3),"Setia",IF(AND(E4317=5,F4317&lt;=2,G4317&gt;=3),"Berpotensi",IF(AND(E4317&lt;=3,E4317&gt;=2,F4317&gt;=3),"Rawan",IF(AND(E4317&lt;=2,F4317&lt;=2),"Tidur","Umum"))))))</f>
        <v/>
      </c>
    </row>
    <row r="4318">
      <c r="B4318">
        <f>IF(A4318="","",$B$1-MAXIFS(Donasi!$A$2:$A$20000,Donasi!$B$2:$B$20000,A4318))</f>
        <v/>
      </c>
      <c r="C4318">
        <f>IF(A4318="","",COUNTIF(Donasi!$B$2:$B$20000,A4318))</f>
        <v/>
      </c>
      <c r="D4318">
        <f>IF(A4318="","",SUMIF(Donasi!$B$2:$B$20000,A4318,Donasi!$C$2:$C$20000))</f>
        <v/>
      </c>
      <c r="E4318">
        <f>IF(A4318="","",6-CEILING(PERCENTRANK.INC($B$3:$B$6000,B4318,4)*5+0.000001,1))</f>
        <v/>
      </c>
      <c r="F4318">
        <f>IF(A4318="","",MAX(1,CEILING(PERCENTRANK.INC($C$3:$C$6000,C4318,4)*5+0.000001,1)))</f>
        <v/>
      </c>
      <c r="G4318">
        <f>IF(A4318="","",MAX(1,CEILING(PERCENTRANK.INC($D$3:$D$6000,D4318,4)*5+0.000001,1)))</f>
        <v/>
      </c>
      <c r="H4318">
        <f>IF(A4318="","",E4318&amp;F4318&amp;G4318)</f>
        <v/>
      </c>
      <c r="I4318">
        <f>IF(A4318="","",IF(AND(E4318&gt;=4,F4318&gt;=4,G4318&gt;=4),"Juara",IF(AND(F4318&gt;=4,E4318&gt;=3),"Setia",IF(AND(E4318=5,F4318&lt;=2,G4318&gt;=3),"Berpotensi",IF(AND(E4318&lt;=3,E4318&gt;=2,F4318&gt;=3),"Rawan",IF(AND(E4318&lt;=2,F4318&lt;=2),"Tidur","Umum"))))))</f>
        <v/>
      </c>
    </row>
    <row r="4319">
      <c r="B4319">
        <f>IF(A4319="","",$B$1-MAXIFS(Donasi!$A$2:$A$20000,Donasi!$B$2:$B$20000,A4319))</f>
        <v/>
      </c>
      <c r="C4319">
        <f>IF(A4319="","",COUNTIF(Donasi!$B$2:$B$20000,A4319))</f>
        <v/>
      </c>
      <c r="D4319">
        <f>IF(A4319="","",SUMIF(Donasi!$B$2:$B$20000,A4319,Donasi!$C$2:$C$20000))</f>
        <v/>
      </c>
      <c r="E4319">
        <f>IF(A4319="","",6-CEILING(PERCENTRANK.INC($B$3:$B$6000,B4319,4)*5+0.000001,1))</f>
        <v/>
      </c>
      <c r="F4319">
        <f>IF(A4319="","",MAX(1,CEILING(PERCENTRANK.INC($C$3:$C$6000,C4319,4)*5+0.000001,1)))</f>
        <v/>
      </c>
      <c r="G4319">
        <f>IF(A4319="","",MAX(1,CEILING(PERCENTRANK.INC($D$3:$D$6000,D4319,4)*5+0.000001,1)))</f>
        <v/>
      </c>
      <c r="H4319">
        <f>IF(A4319="","",E4319&amp;F4319&amp;G4319)</f>
        <v/>
      </c>
      <c r="I4319">
        <f>IF(A4319="","",IF(AND(E4319&gt;=4,F4319&gt;=4,G4319&gt;=4),"Juara",IF(AND(F4319&gt;=4,E4319&gt;=3),"Setia",IF(AND(E4319=5,F4319&lt;=2,G4319&gt;=3),"Berpotensi",IF(AND(E4319&lt;=3,E4319&gt;=2,F4319&gt;=3),"Rawan",IF(AND(E4319&lt;=2,F4319&lt;=2),"Tidur","Umum"))))))</f>
        <v/>
      </c>
    </row>
    <row r="4320">
      <c r="B4320">
        <f>IF(A4320="","",$B$1-MAXIFS(Donasi!$A$2:$A$20000,Donasi!$B$2:$B$20000,A4320))</f>
        <v/>
      </c>
      <c r="C4320">
        <f>IF(A4320="","",COUNTIF(Donasi!$B$2:$B$20000,A4320))</f>
        <v/>
      </c>
      <c r="D4320">
        <f>IF(A4320="","",SUMIF(Donasi!$B$2:$B$20000,A4320,Donasi!$C$2:$C$20000))</f>
        <v/>
      </c>
      <c r="E4320">
        <f>IF(A4320="","",6-CEILING(PERCENTRANK.INC($B$3:$B$6000,B4320,4)*5+0.000001,1))</f>
        <v/>
      </c>
      <c r="F4320">
        <f>IF(A4320="","",MAX(1,CEILING(PERCENTRANK.INC($C$3:$C$6000,C4320,4)*5+0.000001,1)))</f>
        <v/>
      </c>
      <c r="G4320">
        <f>IF(A4320="","",MAX(1,CEILING(PERCENTRANK.INC($D$3:$D$6000,D4320,4)*5+0.000001,1)))</f>
        <v/>
      </c>
      <c r="H4320">
        <f>IF(A4320="","",E4320&amp;F4320&amp;G4320)</f>
        <v/>
      </c>
      <c r="I4320">
        <f>IF(A4320="","",IF(AND(E4320&gt;=4,F4320&gt;=4,G4320&gt;=4),"Juara",IF(AND(F4320&gt;=4,E4320&gt;=3),"Setia",IF(AND(E4320=5,F4320&lt;=2,G4320&gt;=3),"Berpotensi",IF(AND(E4320&lt;=3,E4320&gt;=2,F4320&gt;=3),"Rawan",IF(AND(E4320&lt;=2,F4320&lt;=2),"Tidur","Umum"))))))</f>
        <v/>
      </c>
    </row>
    <row r="4321">
      <c r="B4321">
        <f>IF(A4321="","",$B$1-MAXIFS(Donasi!$A$2:$A$20000,Donasi!$B$2:$B$20000,A4321))</f>
        <v/>
      </c>
      <c r="C4321">
        <f>IF(A4321="","",COUNTIF(Donasi!$B$2:$B$20000,A4321))</f>
        <v/>
      </c>
      <c r="D4321">
        <f>IF(A4321="","",SUMIF(Donasi!$B$2:$B$20000,A4321,Donasi!$C$2:$C$20000))</f>
        <v/>
      </c>
      <c r="E4321">
        <f>IF(A4321="","",6-CEILING(PERCENTRANK.INC($B$3:$B$6000,B4321,4)*5+0.000001,1))</f>
        <v/>
      </c>
      <c r="F4321">
        <f>IF(A4321="","",MAX(1,CEILING(PERCENTRANK.INC($C$3:$C$6000,C4321,4)*5+0.000001,1)))</f>
        <v/>
      </c>
      <c r="G4321">
        <f>IF(A4321="","",MAX(1,CEILING(PERCENTRANK.INC($D$3:$D$6000,D4321,4)*5+0.000001,1)))</f>
        <v/>
      </c>
      <c r="H4321">
        <f>IF(A4321="","",E4321&amp;F4321&amp;G4321)</f>
        <v/>
      </c>
      <c r="I4321">
        <f>IF(A4321="","",IF(AND(E4321&gt;=4,F4321&gt;=4,G4321&gt;=4),"Juara",IF(AND(F4321&gt;=4,E4321&gt;=3),"Setia",IF(AND(E4321=5,F4321&lt;=2,G4321&gt;=3),"Berpotensi",IF(AND(E4321&lt;=3,E4321&gt;=2,F4321&gt;=3),"Rawan",IF(AND(E4321&lt;=2,F4321&lt;=2),"Tidur","Umum"))))))</f>
        <v/>
      </c>
    </row>
    <row r="4322">
      <c r="B4322">
        <f>IF(A4322="","",$B$1-MAXIFS(Donasi!$A$2:$A$20000,Donasi!$B$2:$B$20000,A4322))</f>
        <v/>
      </c>
      <c r="C4322">
        <f>IF(A4322="","",COUNTIF(Donasi!$B$2:$B$20000,A4322))</f>
        <v/>
      </c>
      <c r="D4322">
        <f>IF(A4322="","",SUMIF(Donasi!$B$2:$B$20000,A4322,Donasi!$C$2:$C$20000))</f>
        <v/>
      </c>
      <c r="E4322">
        <f>IF(A4322="","",6-CEILING(PERCENTRANK.INC($B$3:$B$6000,B4322,4)*5+0.000001,1))</f>
        <v/>
      </c>
      <c r="F4322">
        <f>IF(A4322="","",MAX(1,CEILING(PERCENTRANK.INC($C$3:$C$6000,C4322,4)*5+0.000001,1)))</f>
        <v/>
      </c>
      <c r="G4322">
        <f>IF(A4322="","",MAX(1,CEILING(PERCENTRANK.INC($D$3:$D$6000,D4322,4)*5+0.000001,1)))</f>
        <v/>
      </c>
      <c r="H4322">
        <f>IF(A4322="","",E4322&amp;F4322&amp;G4322)</f>
        <v/>
      </c>
      <c r="I4322">
        <f>IF(A4322="","",IF(AND(E4322&gt;=4,F4322&gt;=4,G4322&gt;=4),"Juara",IF(AND(F4322&gt;=4,E4322&gt;=3),"Setia",IF(AND(E4322=5,F4322&lt;=2,G4322&gt;=3),"Berpotensi",IF(AND(E4322&lt;=3,E4322&gt;=2,F4322&gt;=3),"Rawan",IF(AND(E4322&lt;=2,F4322&lt;=2),"Tidur","Umum"))))))</f>
        <v/>
      </c>
    </row>
    <row r="4323">
      <c r="B4323">
        <f>IF(A4323="","",$B$1-MAXIFS(Donasi!$A$2:$A$20000,Donasi!$B$2:$B$20000,A4323))</f>
        <v/>
      </c>
      <c r="C4323">
        <f>IF(A4323="","",COUNTIF(Donasi!$B$2:$B$20000,A4323))</f>
        <v/>
      </c>
      <c r="D4323">
        <f>IF(A4323="","",SUMIF(Donasi!$B$2:$B$20000,A4323,Donasi!$C$2:$C$20000))</f>
        <v/>
      </c>
      <c r="E4323">
        <f>IF(A4323="","",6-CEILING(PERCENTRANK.INC($B$3:$B$6000,B4323,4)*5+0.000001,1))</f>
        <v/>
      </c>
      <c r="F4323">
        <f>IF(A4323="","",MAX(1,CEILING(PERCENTRANK.INC($C$3:$C$6000,C4323,4)*5+0.000001,1)))</f>
        <v/>
      </c>
      <c r="G4323">
        <f>IF(A4323="","",MAX(1,CEILING(PERCENTRANK.INC($D$3:$D$6000,D4323,4)*5+0.000001,1)))</f>
        <v/>
      </c>
      <c r="H4323">
        <f>IF(A4323="","",E4323&amp;F4323&amp;G4323)</f>
        <v/>
      </c>
      <c r="I4323">
        <f>IF(A4323="","",IF(AND(E4323&gt;=4,F4323&gt;=4,G4323&gt;=4),"Juara",IF(AND(F4323&gt;=4,E4323&gt;=3),"Setia",IF(AND(E4323=5,F4323&lt;=2,G4323&gt;=3),"Berpotensi",IF(AND(E4323&lt;=3,E4323&gt;=2,F4323&gt;=3),"Rawan",IF(AND(E4323&lt;=2,F4323&lt;=2),"Tidur","Umum"))))))</f>
        <v/>
      </c>
    </row>
    <row r="4324">
      <c r="B4324">
        <f>IF(A4324="","",$B$1-MAXIFS(Donasi!$A$2:$A$20000,Donasi!$B$2:$B$20000,A4324))</f>
        <v/>
      </c>
      <c r="C4324">
        <f>IF(A4324="","",COUNTIF(Donasi!$B$2:$B$20000,A4324))</f>
        <v/>
      </c>
      <c r="D4324">
        <f>IF(A4324="","",SUMIF(Donasi!$B$2:$B$20000,A4324,Donasi!$C$2:$C$20000))</f>
        <v/>
      </c>
      <c r="E4324">
        <f>IF(A4324="","",6-CEILING(PERCENTRANK.INC($B$3:$B$6000,B4324,4)*5+0.000001,1))</f>
        <v/>
      </c>
      <c r="F4324">
        <f>IF(A4324="","",MAX(1,CEILING(PERCENTRANK.INC($C$3:$C$6000,C4324,4)*5+0.000001,1)))</f>
        <v/>
      </c>
      <c r="G4324">
        <f>IF(A4324="","",MAX(1,CEILING(PERCENTRANK.INC($D$3:$D$6000,D4324,4)*5+0.000001,1)))</f>
        <v/>
      </c>
      <c r="H4324">
        <f>IF(A4324="","",E4324&amp;F4324&amp;G4324)</f>
        <v/>
      </c>
      <c r="I4324">
        <f>IF(A4324="","",IF(AND(E4324&gt;=4,F4324&gt;=4,G4324&gt;=4),"Juara",IF(AND(F4324&gt;=4,E4324&gt;=3),"Setia",IF(AND(E4324=5,F4324&lt;=2,G4324&gt;=3),"Berpotensi",IF(AND(E4324&lt;=3,E4324&gt;=2,F4324&gt;=3),"Rawan",IF(AND(E4324&lt;=2,F4324&lt;=2),"Tidur","Umum"))))))</f>
        <v/>
      </c>
    </row>
    <row r="4325">
      <c r="B4325">
        <f>IF(A4325="","",$B$1-MAXIFS(Donasi!$A$2:$A$20000,Donasi!$B$2:$B$20000,A4325))</f>
        <v/>
      </c>
      <c r="C4325">
        <f>IF(A4325="","",COUNTIF(Donasi!$B$2:$B$20000,A4325))</f>
        <v/>
      </c>
      <c r="D4325">
        <f>IF(A4325="","",SUMIF(Donasi!$B$2:$B$20000,A4325,Donasi!$C$2:$C$20000))</f>
        <v/>
      </c>
      <c r="E4325">
        <f>IF(A4325="","",6-CEILING(PERCENTRANK.INC($B$3:$B$6000,B4325,4)*5+0.000001,1))</f>
        <v/>
      </c>
      <c r="F4325">
        <f>IF(A4325="","",MAX(1,CEILING(PERCENTRANK.INC($C$3:$C$6000,C4325,4)*5+0.000001,1)))</f>
        <v/>
      </c>
      <c r="G4325">
        <f>IF(A4325="","",MAX(1,CEILING(PERCENTRANK.INC($D$3:$D$6000,D4325,4)*5+0.000001,1)))</f>
        <v/>
      </c>
      <c r="H4325">
        <f>IF(A4325="","",E4325&amp;F4325&amp;G4325)</f>
        <v/>
      </c>
      <c r="I4325">
        <f>IF(A4325="","",IF(AND(E4325&gt;=4,F4325&gt;=4,G4325&gt;=4),"Juara",IF(AND(F4325&gt;=4,E4325&gt;=3),"Setia",IF(AND(E4325=5,F4325&lt;=2,G4325&gt;=3),"Berpotensi",IF(AND(E4325&lt;=3,E4325&gt;=2,F4325&gt;=3),"Rawan",IF(AND(E4325&lt;=2,F4325&lt;=2),"Tidur","Umum"))))))</f>
        <v/>
      </c>
    </row>
    <row r="4326">
      <c r="B4326">
        <f>IF(A4326="","",$B$1-MAXIFS(Donasi!$A$2:$A$20000,Donasi!$B$2:$B$20000,A4326))</f>
        <v/>
      </c>
      <c r="C4326">
        <f>IF(A4326="","",COUNTIF(Donasi!$B$2:$B$20000,A4326))</f>
        <v/>
      </c>
      <c r="D4326">
        <f>IF(A4326="","",SUMIF(Donasi!$B$2:$B$20000,A4326,Donasi!$C$2:$C$20000))</f>
        <v/>
      </c>
      <c r="E4326">
        <f>IF(A4326="","",6-CEILING(PERCENTRANK.INC($B$3:$B$6000,B4326,4)*5+0.000001,1))</f>
        <v/>
      </c>
      <c r="F4326">
        <f>IF(A4326="","",MAX(1,CEILING(PERCENTRANK.INC($C$3:$C$6000,C4326,4)*5+0.000001,1)))</f>
        <v/>
      </c>
      <c r="G4326">
        <f>IF(A4326="","",MAX(1,CEILING(PERCENTRANK.INC($D$3:$D$6000,D4326,4)*5+0.000001,1)))</f>
        <v/>
      </c>
      <c r="H4326">
        <f>IF(A4326="","",E4326&amp;F4326&amp;G4326)</f>
        <v/>
      </c>
      <c r="I4326">
        <f>IF(A4326="","",IF(AND(E4326&gt;=4,F4326&gt;=4,G4326&gt;=4),"Juara",IF(AND(F4326&gt;=4,E4326&gt;=3),"Setia",IF(AND(E4326=5,F4326&lt;=2,G4326&gt;=3),"Berpotensi",IF(AND(E4326&lt;=3,E4326&gt;=2,F4326&gt;=3),"Rawan",IF(AND(E4326&lt;=2,F4326&lt;=2),"Tidur","Umum"))))))</f>
        <v/>
      </c>
    </row>
    <row r="4327">
      <c r="B4327">
        <f>IF(A4327="","",$B$1-MAXIFS(Donasi!$A$2:$A$20000,Donasi!$B$2:$B$20000,A4327))</f>
        <v/>
      </c>
      <c r="C4327">
        <f>IF(A4327="","",COUNTIF(Donasi!$B$2:$B$20000,A4327))</f>
        <v/>
      </c>
      <c r="D4327">
        <f>IF(A4327="","",SUMIF(Donasi!$B$2:$B$20000,A4327,Donasi!$C$2:$C$20000))</f>
        <v/>
      </c>
      <c r="E4327">
        <f>IF(A4327="","",6-CEILING(PERCENTRANK.INC($B$3:$B$6000,B4327,4)*5+0.000001,1))</f>
        <v/>
      </c>
      <c r="F4327">
        <f>IF(A4327="","",MAX(1,CEILING(PERCENTRANK.INC($C$3:$C$6000,C4327,4)*5+0.000001,1)))</f>
        <v/>
      </c>
      <c r="G4327">
        <f>IF(A4327="","",MAX(1,CEILING(PERCENTRANK.INC($D$3:$D$6000,D4327,4)*5+0.000001,1)))</f>
        <v/>
      </c>
      <c r="H4327">
        <f>IF(A4327="","",E4327&amp;F4327&amp;G4327)</f>
        <v/>
      </c>
      <c r="I4327">
        <f>IF(A4327="","",IF(AND(E4327&gt;=4,F4327&gt;=4,G4327&gt;=4),"Juara",IF(AND(F4327&gt;=4,E4327&gt;=3),"Setia",IF(AND(E4327=5,F4327&lt;=2,G4327&gt;=3),"Berpotensi",IF(AND(E4327&lt;=3,E4327&gt;=2,F4327&gt;=3),"Rawan",IF(AND(E4327&lt;=2,F4327&lt;=2),"Tidur","Umum"))))))</f>
        <v/>
      </c>
    </row>
    <row r="4328">
      <c r="B4328">
        <f>IF(A4328="","",$B$1-MAXIFS(Donasi!$A$2:$A$20000,Donasi!$B$2:$B$20000,A4328))</f>
        <v/>
      </c>
      <c r="C4328">
        <f>IF(A4328="","",COUNTIF(Donasi!$B$2:$B$20000,A4328))</f>
        <v/>
      </c>
      <c r="D4328">
        <f>IF(A4328="","",SUMIF(Donasi!$B$2:$B$20000,A4328,Donasi!$C$2:$C$20000))</f>
        <v/>
      </c>
      <c r="E4328">
        <f>IF(A4328="","",6-CEILING(PERCENTRANK.INC($B$3:$B$6000,B4328,4)*5+0.000001,1))</f>
        <v/>
      </c>
      <c r="F4328">
        <f>IF(A4328="","",MAX(1,CEILING(PERCENTRANK.INC($C$3:$C$6000,C4328,4)*5+0.000001,1)))</f>
        <v/>
      </c>
      <c r="G4328">
        <f>IF(A4328="","",MAX(1,CEILING(PERCENTRANK.INC($D$3:$D$6000,D4328,4)*5+0.000001,1)))</f>
        <v/>
      </c>
      <c r="H4328">
        <f>IF(A4328="","",E4328&amp;F4328&amp;G4328)</f>
        <v/>
      </c>
      <c r="I4328">
        <f>IF(A4328="","",IF(AND(E4328&gt;=4,F4328&gt;=4,G4328&gt;=4),"Juara",IF(AND(F4328&gt;=4,E4328&gt;=3),"Setia",IF(AND(E4328=5,F4328&lt;=2,G4328&gt;=3),"Berpotensi",IF(AND(E4328&lt;=3,E4328&gt;=2,F4328&gt;=3),"Rawan",IF(AND(E4328&lt;=2,F4328&lt;=2),"Tidur","Umum"))))))</f>
        <v/>
      </c>
    </row>
    <row r="4329">
      <c r="B4329">
        <f>IF(A4329="","",$B$1-MAXIFS(Donasi!$A$2:$A$20000,Donasi!$B$2:$B$20000,A4329))</f>
        <v/>
      </c>
      <c r="C4329">
        <f>IF(A4329="","",COUNTIF(Donasi!$B$2:$B$20000,A4329))</f>
        <v/>
      </c>
      <c r="D4329">
        <f>IF(A4329="","",SUMIF(Donasi!$B$2:$B$20000,A4329,Donasi!$C$2:$C$20000))</f>
        <v/>
      </c>
      <c r="E4329">
        <f>IF(A4329="","",6-CEILING(PERCENTRANK.INC($B$3:$B$6000,B4329,4)*5+0.000001,1))</f>
        <v/>
      </c>
      <c r="F4329">
        <f>IF(A4329="","",MAX(1,CEILING(PERCENTRANK.INC($C$3:$C$6000,C4329,4)*5+0.000001,1)))</f>
        <v/>
      </c>
      <c r="G4329">
        <f>IF(A4329="","",MAX(1,CEILING(PERCENTRANK.INC($D$3:$D$6000,D4329,4)*5+0.000001,1)))</f>
        <v/>
      </c>
      <c r="H4329">
        <f>IF(A4329="","",E4329&amp;F4329&amp;G4329)</f>
        <v/>
      </c>
      <c r="I4329">
        <f>IF(A4329="","",IF(AND(E4329&gt;=4,F4329&gt;=4,G4329&gt;=4),"Juara",IF(AND(F4329&gt;=4,E4329&gt;=3),"Setia",IF(AND(E4329=5,F4329&lt;=2,G4329&gt;=3),"Berpotensi",IF(AND(E4329&lt;=3,E4329&gt;=2,F4329&gt;=3),"Rawan",IF(AND(E4329&lt;=2,F4329&lt;=2),"Tidur","Umum"))))))</f>
        <v/>
      </c>
    </row>
    <row r="4330">
      <c r="B4330">
        <f>IF(A4330="","",$B$1-MAXIFS(Donasi!$A$2:$A$20000,Donasi!$B$2:$B$20000,A4330))</f>
        <v/>
      </c>
      <c r="C4330">
        <f>IF(A4330="","",COUNTIF(Donasi!$B$2:$B$20000,A4330))</f>
        <v/>
      </c>
      <c r="D4330">
        <f>IF(A4330="","",SUMIF(Donasi!$B$2:$B$20000,A4330,Donasi!$C$2:$C$20000))</f>
        <v/>
      </c>
      <c r="E4330">
        <f>IF(A4330="","",6-CEILING(PERCENTRANK.INC($B$3:$B$6000,B4330,4)*5+0.000001,1))</f>
        <v/>
      </c>
      <c r="F4330">
        <f>IF(A4330="","",MAX(1,CEILING(PERCENTRANK.INC($C$3:$C$6000,C4330,4)*5+0.000001,1)))</f>
        <v/>
      </c>
      <c r="G4330">
        <f>IF(A4330="","",MAX(1,CEILING(PERCENTRANK.INC($D$3:$D$6000,D4330,4)*5+0.000001,1)))</f>
        <v/>
      </c>
      <c r="H4330">
        <f>IF(A4330="","",E4330&amp;F4330&amp;G4330)</f>
        <v/>
      </c>
      <c r="I4330">
        <f>IF(A4330="","",IF(AND(E4330&gt;=4,F4330&gt;=4,G4330&gt;=4),"Juara",IF(AND(F4330&gt;=4,E4330&gt;=3),"Setia",IF(AND(E4330=5,F4330&lt;=2,G4330&gt;=3),"Berpotensi",IF(AND(E4330&lt;=3,E4330&gt;=2,F4330&gt;=3),"Rawan",IF(AND(E4330&lt;=2,F4330&lt;=2),"Tidur","Umum"))))))</f>
        <v/>
      </c>
    </row>
    <row r="4331">
      <c r="B4331">
        <f>IF(A4331="","",$B$1-MAXIFS(Donasi!$A$2:$A$20000,Donasi!$B$2:$B$20000,A4331))</f>
        <v/>
      </c>
      <c r="C4331">
        <f>IF(A4331="","",COUNTIF(Donasi!$B$2:$B$20000,A4331))</f>
        <v/>
      </c>
      <c r="D4331">
        <f>IF(A4331="","",SUMIF(Donasi!$B$2:$B$20000,A4331,Donasi!$C$2:$C$20000))</f>
        <v/>
      </c>
      <c r="E4331">
        <f>IF(A4331="","",6-CEILING(PERCENTRANK.INC($B$3:$B$6000,B4331,4)*5+0.000001,1))</f>
        <v/>
      </c>
      <c r="F4331">
        <f>IF(A4331="","",MAX(1,CEILING(PERCENTRANK.INC($C$3:$C$6000,C4331,4)*5+0.000001,1)))</f>
        <v/>
      </c>
      <c r="G4331">
        <f>IF(A4331="","",MAX(1,CEILING(PERCENTRANK.INC($D$3:$D$6000,D4331,4)*5+0.000001,1)))</f>
        <v/>
      </c>
      <c r="H4331">
        <f>IF(A4331="","",E4331&amp;F4331&amp;G4331)</f>
        <v/>
      </c>
      <c r="I4331">
        <f>IF(A4331="","",IF(AND(E4331&gt;=4,F4331&gt;=4,G4331&gt;=4),"Juara",IF(AND(F4331&gt;=4,E4331&gt;=3),"Setia",IF(AND(E4331=5,F4331&lt;=2,G4331&gt;=3),"Berpotensi",IF(AND(E4331&lt;=3,E4331&gt;=2,F4331&gt;=3),"Rawan",IF(AND(E4331&lt;=2,F4331&lt;=2),"Tidur","Umum"))))))</f>
        <v/>
      </c>
    </row>
    <row r="4332">
      <c r="B4332">
        <f>IF(A4332="","",$B$1-MAXIFS(Donasi!$A$2:$A$20000,Donasi!$B$2:$B$20000,A4332))</f>
        <v/>
      </c>
      <c r="C4332">
        <f>IF(A4332="","",COUNTIF(Donasi!$B$2:$B$20000,A4332))</f>
        <v/>
      </c>
      <c r="D4332">
        <f>IF(A4332="","",SUMIF(Donasi!$B$2:$B$20000,A4332,Donasi!$C$2:$C$20000))</f>
        <v/>
      </c>
      <c r="E4332">
        <f>IF(A4332="","",6-CEILING(PERCENTRANK.INC($B$3:$B$6000,B4332,4)*5+0.000001,1))</f>
        <v/>
      </c>
      <c r="F4332">
        <f>IF(A4332="","",MAX(1,CEILING(PERCENTRANK.INC($C$3:$C$6000,C4332,4)*5+0.000001,1)))</f>
        <v/>
      </c>
      <c r="G4332">
        <f>IF(A4332="","",MAX(1,CEILING(PERCENTRANK.INC($D$3:$D$6000,D4332,4)*5+0.000001,1)))</f>
        <v/>
      </c>
      <c r="H4332">
        <f>IF(A4332="","",E4332&amp;F4332&amp;G4332)</f>
        <v/>
      </c>
      <c r="I4332">
        <f>IF(A4332="","",IF(AND(E4332&gt;=4,F4332&gt;=4,G4332&gt;=4),"Juara",IF(AND(F4332&gt;=4,E4332&gt;=3),"Setia",IF(AND(E4332=5,F4332&lt;=2,G4332&gt;=3),"Berpotensi",IF(AND(E4332&lt;=3,E4332&gt;=2,F4332&gt;=3),"Rawan",IF(AND(E4332&lt;=2,F4332&lt;=2),"Tidur","Umum"))))))</f>
        <v/>
      </c>
    </row>
    <row r="4333">
      <c r="B4333">
        <f>IF(A4333="","",$B$1-MAXIFS(Donasi!$A$2:$A$20000,Donasi!$B$2:$B$20000,A4333))</f>
        <v/>
      </c>
      <c r="C4333">
        <f>IF(A4333="","",COUNTIF(Donasi!$B$2:$B$20000,A4333))</f>
        <v/>
      </c>
      <c r="D4333">
        <f>IF(A4333="","",SUMIF(Donasi!$B$2:$B$20000,A4333,Donasi!$C$2:$C$20000))</f>
        <v/>
      </c>
      <c r="E4333">
        <f>IF(A4333="","",6-CEILING(PERCENTRANK.INC($B$3:$B$6000,B4333,4)*5+0.000001,1))</f>
        <v/>
      </c>
      <c r="F4333">
        <f>IF(A4333="","",MAX(1,CEILING(PERCENTRANK.INC($C$3:$C$6000,C4333,4)*5+0.000001,1)))</f>
        <v/>
      </c>
      <c r="G4333">
        <f>IF(A4333="","",MAX(1,CEILING(PERCENTRANK.INC($D$3:$D$6000,D4333,4)*5+0.000001,1)))</f>
        <v/>
      </c>
      <c r="H4333">
        <f>IF(A4333="","",E4333&amp;F4333&amp;G4333)</f>
        <v/>
      </c>
      <c r="I4333">
        <f>IF(A4333="","",IF(AND(E4333&gt;=4,F4333&gt;=4,G4333&gt;=4),"Juara",IF(AND(F4333&gt;=4,E4333&gt;=3),"Setia",IF(AND(E4333=5,F4333&lt;=2,G4333&gt;=3),"Berpotensi",IF(AND(E4333&lt;=3,E4333&gt;=2,F4333&gt;=3),"Rawan",IF(AND(E4333&lt;=2,F4333&lt;=2),"Tidur","Umum"))))))</f>
        <v/>
      </c>
    </row>
    <row r="4334">
      <c r="B4334">
        <f>IF(A4334="","",$B$1-MAXIFS(Donasi!$A$2:$A$20000,Donasi!$B$2:$B$20000,A4334))</f>
        <v/>
      </c>
      <c r="C4334">
        <f>IF(A4334="","",COUNTIF(Donasi!$B$2:$B$20000,A4334))</f>
        <v/>
      </c>
      <c r="D4334">
        <f>IF(A4334="","",SUMIF(Donasi!$B$2:$B$20000,A4334,Donasi!$C$2:$C$20000))</f>
        <v/>
      </c>
      <c r="E4334">
        <f>IF(A4334="","",6-CEILING(PERCENTRANK.INC($B$3:$B$6000,B4334,4)*5+0.000001,1))</f>
        <v/>
      </c>
      <c r="F4334">
        <f>IF(A4334="","",MAX(1,CEILING(PERCENTRANK.INC($C$3:$C$6000,C4334,4)*5+0.000001,1)))</f>
        <v/>
      </c>
      <c r="G4334">
        <f>IF(A4334="","",MAX(1,CEILING(PERCENTRANK.INC($D$3:$D$6000,D4334,4)*5+0.000001,1)))</f>
        <v/>
      </c>
      <c r="H4334">
        <f>IF(A4334="","",E4334&amp;F4334&amp;G4334)</f>
        <v/>
      </c>
      <c r="I4334">
        <f>IF(A4334="","",IF(AND(E4334&gt;=4,F4334&gt;=4,G4334&gt;=4),"Juara",IF(AND(F4334&gt;=4,E4334&gt;=3),"Setia",IF(AND(E4334=5,F4334&lt;=2,G4334&gt;=3),"Berpotensi",IF(AND(E4334&lt;=3,E4334&gt;=2,F4334&gt;=3),"Rawan",IF(AND(E4334&lt;=2,F4334&lt;=2),"Tidur","Umum"))))))</f>
        <v/>
      </c>
    </row>
    <row r="4335">
      <c r="B4335">
        <f>IF(A4335="","",$B$1-MAXIFS(Donasi!$A$2:$A$20000,Donasi!$B$2:$B$20000,A4335))</f>
        <v/>
      </c>
      <c r="C4335">
        <f>IF(A4335="","",COUNTIF(Donasi!$B$2:$B$20000,A4335))</f>
        <v/>
      </c>
      <c r="D4335">
        <f>IF(A4335="","",SUMIF(Donasi!$B$2:$B$20000,A4335,Donasi!$C$2:$C$20000))</f>
        <v/>
      </c>
      <c r="E4335">
        <f>IF(A4335="","",6-CEILING(PERCENTRANK.INC($B$3:$B$6000,B4335,4)*5+0.000001,1))</f>
        <v/>
      </c>
      <c r="F4335">
        <f>IF(A4335="","",MAX(1,CEILING(PERCENTRANK.INC($C$3:$C$6000,C4335,4)*5+0.000001,1)))</f>
        <v/>
      </c>
      <c r="G4335">
        <f>IF(A4335="","",MAX(1,CEILING(PERCENTRANK.INC($D$3:$D$6000,D4335,4)*5+0.000001,1)))</f>
        <v/>
      </c>
      <c r="H4335">
        <f>IF(A4335="","",E4335&amp;F4335&amp;G4335)</f>
        <v/>
      </c>
      <c r="I4335">
        <f>IF(A4335="","",IF(AND(E4335&gt;=4,F4335&gt;=4,G4335&gt;=4),"Juara",IF(AND(F4335&gt;=4,E4335&gt;=3),"Setia",IF(AND(E4335=5,F4335&lt;=2,G4335&gt;=3),"Berpotensi",IF(AND(E4335&lt;=3,E4335&gt;=2,F4335&gt;=3),"Rawan",IF(AND(E4335&lt;=2,F4335&lt;=2),"Tidur","Umum"))))))</f>
        <v/>
      </c>
    </row>
    <row r="4336">
      <c r="B4336">
        <f>IF(A4336="","",$B$1-MAXIFS(Donasi!$A$2:$A$20000,Donasi!$B$2:$B$20000,A4336))</f>
        <v/>
      </c>
      <c r="C4336">
        <f>IF(A4336="","",COUNTIF(Donasi!$B$2:$B$20000,A4336))</f>
        <v/>
      </c>
      <c r="D4336">
        <f>IF(A4336="","",SUMIF(Donasi!$B$2:$B$20000,A4336,Donasi!$C$2:$C$20000))</f>
        <v/>
      </c>
      <c r="E4336">
        <f>IF(A4336="","",6-CEILING(PERCENTRANK.INC($B$3:$B$6000,B4336,4)*5+0.000001,1))</f>
        <v/>
      </c>
      <c r="F4336">
        <f>IF(A4336="","",MAX(1,CEILING(PERCENTRANK.INC($C$3:$C$6000,C4336,4)*5+0.000001,1)))</f>
        <v/>
      </c>
      <c r="G4336">
        <f>IF(A4336="","",MAX(1,CEILING(PERCENTRANK.INC($D$3:$D$6000,D4336,4)*5+0.000001,1)))</f>
        <v/>
      </c>
      <c r="H4336">
        <f>IF(A4336="","",E4336&amp;F4336&amp;G4336)</f>
        <v/>
      </c>
      <c r="I4336">
        <f>IF(A4336="","",IF(AND(E4336&gt;=4,F4336&gt;=4,G4336&gt;=4),"Juara",IF(AND(F4336&gt;=4,E4336&gt;=3),"Setia",IF(AND(E4336=5,F4336&lt;=2,G4336&gt;=3),"Berpotensi",IF(AND(E4336&lt;=3,E4336&gt;=2,F4336&gt;=3),"Rawan",IF(AND(E4336&lt;=2,F4336&lt;=2),"Tidur","Umum"))))))</f>
        <v/>
      </c>
    </row>
    <row r="4337">
      <c r="B4337">
        <f>IF(A4337="","",$B$1-MAXIFS(Donasi!$A$2:$A$20000,Donasi!$B$2:$B$20000,A4337))</f>
        <v/>
      </c>
      <c r="C4337">
        <f>IF(A4337="","",COUNTIF(Donasi!$B$2:$B$20000,A4337))</f>
        <v/>
      </c>
      <c r="D4337">
        <f>IF(A4337="","",SUMIF(Donasi!$B$2:$B$20000,A4337,Donasi!$C$2:$C$20000))</f>
        <v/>
      </c>
      <c r="E4337">
        <f>IF(A4337="","",6-CEILING(PERCENTRANK.INC($B$3:$B$6000,B4337,4)*5+0.000001,1))</f>
        <v/>
      </c>
      <c r="F4337">
        <f>IF(A4337="","",MAX(1,CEILING(PERCENTRANK.INC($C$3:$C$6000,C4337,4)*5+0.000001,1)))</f>
        <v/>
      </c>
      <c r="G4337">
        <f>IF(A4337="","",MAX(1,CEILING(PERCENTRANK.INC($D$3:$D$6000,D4337,4)*5+0.000001,1)))</f>
        <v/>
      </c>
      <c r="H4337">
        <f>IF(A4337="","",E4337&amp;F4337&amp;G4337)</f>
        <v/>
      </c>
      <c r="I4337">
        <f>IF(A4337="","",IF(AND(E4337&gt;=4,F4337&gt;=4,G4337&gt;=4),"Juara",IF(AND(F4337&gt;=4,E4337&gt;=3),"Setia",IF(AND(E4337=5,F4337&lt;=2,G4337&gt;=3),"Berpotensi",IF(AND(E4337&lt;=3,E4337&gt;=2,F4337&gt;=3),"Rawan",IF(AND(E4337&lt;=2,F4337&lt;=2),"Tidur","Umum"))))))</f>
        <v/>
      </c>
    </row>
    <row r="4338">
      <c r="B4338">
        <f>IF(A4338="","",$B$1-MAXIFS(Donasi!$A$2:$A$20000,Donasi!$B$2:$B$20000,A4338))</f>
        <v/>
      </c>
      <c r="C4338">
        <f>IF(A4338="","",COUNTIF(Donasi!$B$2:$B$20000,A4338))</f>
        <v/>
      </c>
      <c r="D4338">
        <f>IF(A4338="","",SUMIF(Donasi!$B$2:$B$20000,A4338,Donasi!$C$2:$C$20000))</f>
        <v/>
      </c>
      <c r="E4338">
        <f>IF(A4338="","",6-CEILING(PERCENTRANK.INC($B$3:$B$6000,B4338,4)*5+0.000001,1))</f>
        <v/>
      </c>
      <c r="F4338">
        <f>IF(A4338="","",MAX(1,CEILING(PERCENTRANK.INC($C$3:$C$6000,C4338,4)*5+0.000001,1)))</f>
        <v/>
      </c>
      <c r="G4338">
        <f>IF(A4338="","",MAX(1,CEILING(PERCENTRANK.INC($D$3:$D$6000,D4338,4)*5+0.000001,1)))</f>
        <v/>
      </c>
      <c r="H4338">
        <f>IF(A4338="","",E4338&amp;F4338&amp;G4338)</f>
        <v/>
      </c>
      <c r="I4338">
        <f>IF(A4338="","",IF(AND(E4338&gt;=4,F4338&gt;=4,G4338&gt;=4),"Juara",IF(AND(F4338&gt;=4,E4338&gt;=3),"Setia",IF(AND(E4338=5,F4338&lt;=2,G4338&gt;=3),"Berpotensi",IF(AND(E4338&lt;=3,E4338&gt;=2,F4338&gt;=3),"Rawan",IF(AND(E4338&lt;=2,F4338&lt;=2),"Tidur","Umum"))))))</f>
        <v/>
      </c>
    </row>
    <row r="4339">
      <c r="B4339">
        <f>IF(A4339="","",$B$1-MAXIFS(Donasi!$A$2:$A$20000,Donasi!$B$2:$B$20000,A4339))</f>
        <v/>
      </c>
      <c r="C4339">
        <f>IF(A4339="","",COUNTIF(Donasi!$B$2:$B$20000,A4339))</f>
        <v/>
      </c>
      <c r="D4339">
        <f>IF(A4339="","",SUMIF(Donasi!$B$2:$B$20000,A4339,Donasi!$C$2:$C$20000))</f>
        <v/>
      </c>
      <c r="E4339">
        <f>IF(A4339="","",6-CEILING(PERCENTRANK.INC($B$3:$B$6000,B4339,4)*5+0.000001,1))</f>
        <v/>
      </c>
      <c r="F4339">
        <f>IF(A4339="","",MAX(1,CEILING(PERCENTRANK.INC($C$3:$C$6000,C4339,4)*5+0.000001,1)))</f>
        <v/>
      </c>
      <c r="G4339">
        <f>IF(A4339="","",MAX(1,CEILING(PERCENTRANK.INC($D$3:$D$6000,D4339,4)*5+0.000001,1)))</f>
        <v/>
      </c>
      <c r="H4339">
        <f>IF(A4339="","",E4339&amp;F4339&amp;G4339)</f>
        <v/>
      </c>
      <c r="I4339">
        <f>IF(A4339="","",IF(AND(E4339&gt;=4,F4339&gt;=4,G4339&gt;=4),"Juara",IF(AND(F4339&gt;=4,E4339&gt;=3),"Setia",IF(AND(E4339=5,F4339&lt;=2,G4339&gt;=3),"Berpotensi",IF(AND(E4339&lt;=3,E4339&gt;=2,F4339&gt;=3),"Rawan",IF(AND(E4339&lt;=2,F4339&lt;=2),"Tidur","Umum"))))))</f>
        <v/>
      </c>
    </row>
    <row r="4340">
      <c r="B4340">
        <f>IF(A4340="","",$B$1-MAXIFS(Donasi!$A$2:$A$20000,Donasi!$B$2:$B$20000,A4340))</f>
        <v/>
      </c>
      <c r="C4340">
        <f>IF(A4340="","",COUNTIF(Donasi!$B$2:$B$20000,A4340))</f>
        <v/>
      </c>
      <c r="D4340">
        <f>IF(A4340="","",SUMIF(Donasi!$B$2:$B$20000,A4340,Donasi!$C$2:$C$20000))</f>
        <v/>
      </c>
      <c r="E4340">
        <f>IF(A4340="","",6-CEILING(PERCENTRANK.INC($B$3:$B$6000,B4340,4)*5+0.000001,1))</f>
        <v/>
      </c>
      <c r="F4340">
        <f>IF(A4340="","",MAX(1,CEILING(PERCENTRANK.INC($C$3:$C$6000,C4340,4)*5+0.000001,1)))</f>
        <v/>
      </c>
      <c r="G4340">
        <f>IF(A4340="","",MAX(1,CEILING(PERCENTRANK.INC($D$3:$D$6000,D4340,4)*5+0.000001,1)))</f>
        <v/>
      </c>
      <c r="H4340">
        <f>IF(A4340="","",E4340&amp;F4340&amp;G4340)</f>
        <v/>
      </c>
      <c r="I4340">
        <f>IF(A4340="","",IF(AND(E4340&gt;=4,F4340&gt;=4,G4340&gt;=4),"Juara",IF(AND(F4340&gt;=4,E4340&gt;=3),"Setia",IF(AND(E4340=5,F4340&lt;=2,G4340&gt;=3),"Berpotensi",IF(AND(E4340&lt;=3,E4340&gt;=2,F4340&gt;=3),"Rawan",IF(AND(E4340&lt;=2,F4340&lt;=2),"Tidur","Umum"))))))</f>
        <v/>
      </c>
    </row>
    <row r="4341">
      <c r="B4341">
        <f>IF(A4341="","",$B$1-MAXIFS(Donasi!$A$2:$A$20000,Donasi!$B$2:$B$20000,A4341))</f>
        <v/>
      </c>
      <c r="C4341">
        <f>IF(A4341="","",COUNTIF(Donasi!$B$2:$B$20000,A4341))</f>
        <v/>
      </c>
      <c r="D4341">
        <f>IF(A4341="","",SUMIF(Donasi!$B$2:$B$20000,A4341,Donasi!$C$2:$C$20000))</f>
        <v/>
      </c>
      <c r="E4341">
        <f>IF(A4341="","",6-CEILING(PERCENTRANK.INC($B$3:$B$6000,B4341,4)*5+0.000001,1))</f>
        <v/>
      </c>
      <c r="F4341">
        <f>IF(A4341="","",MAX(1,CEILING(PERCENTRANK.INC($C$3:$C$6000,C4341,4)*5+0.000001,1)))</f>
        <v/>
      </c>
      <c r="G4341">
        <f>IF(A4341="","",MAX(1,CEILING(PERCENTRANK.INC($D$3:$D$6000,D4341,4)*5+0.000001,1)))</f>
        <v/>
      </c>
      <c r="H4341">
        <f>IF(A4341="","",E4341&amp;F4341&amp;G4341)</f>
        <v/>
      </c>
      <c r="I4341">
        <f>IF(A4341="","",IF(AND(E4341&gt;=4,F4341&gt;=4,G4341&gt;=4),"Juara",IF(AND(F4341&gt;=4,E4341&gt;=3),"Setia",IF(AND(E4341=5,F4341&lt;=2,G4341&gt;=3),"Berpotensi",IF(AND(E4341&lt;=3,E4341&gt;=2,F4341&gt;=3),"Rawan",IF(AND(E4341&lt;=2,F4341&lt;=2),"Tidur","Umum"))))))</f>
        <v/>
      </c>
    </row>
    <row r="4342">
      <c r="B4342">
        <f>IF(A4342="","",$B$1-MAXIFS(Donasi!$A$2:$A$20000,Donasi!$B$2:$B$20000,A4342))</f>
        <v/>
      </c>
      <c r="C4342">
        <f>IF(A4342="","",COUNTIF(Donasi!$B$2:$B$20000,A4342))</f>
        <v/>
      </c>
      <c r="D4342">
        <f>IF(A4342="","",SUMIF(Donasi!$B$2:$B$20000,A4342,Donasi!$C$2:$C$20000))</f>
        <v/>
      </c>
      <c r="E4342">
        <f>IF(A4342="","",6-CEILING(PERCENTRANK.INC($B$3:$B$6000,B4342,4)*5+0.000001,1))</f>
        <v/>
      </c>
      <c r="F4342">
        <f>IF(A4342="","",MAX(1,CEILING(PERCENTRANK.INC($C$3:$C$6000,C4342,4)*5+0.000001,1)))</f>
        <v/>
      </c>
      <c r="G4342">
        <f>IF(A4342="","",MAX(1,CEILING(PERCENTRANK.INC($D$3:$D$6000,D4342,4)*5+0.000001,1)))</f>
        <v/>
      </c>
      <c r="H4342">
        <f>IF(A4342="","",E4342&amp;F4342&amp;G4342)</f>
        <v/>
      </c>
      <c r="I4342">
        <f>IF(A4342="","",IF(AND(E4342&gt;=4,F4342&gt;=4,G4342&gt;=4),"Juara",IF(AND(F4342&gt;=4,E4342&gt;=3),"Setia",IF(AND(E4342=5,F4342&lt;=2,G4342&gt;=3),"Berpotensi",IF(AND(E4342&lt;=3,E4342&gt;=2,F4342&gt;=3),"Rawan",IF(AND(E4342&lt;=2,F4342&lt;=2),"Tidur","Umum"))))))</f>
        <v/>
      </c>
    </row>
    <row r="4343">
      <c r="B4343">
        <f>IF(A4343="","",$B$1-MAXIFS(Donasi!$A$2:$A$20000,Donasi!$B$2:$B$20000,A4343))</f>
        <v/>
      </c>
      <c r="C4343">
        <f>IF(A4343="","",COUNTIF(Donasi!$B$2:$B$20000,A4343))</f>
        <v/>
      </c>
      <c r="D4343">
        <f>IF(A4343="","",SUMIF(Donasi!$B$2:$B$20000,A4343,Donasi!$C$2:$C$20000))</f>
        <v/>
      </c>
      <c r="E4343">
        <f>IF(A4343="","",6-CEILING(PERCENTRANK.INC($B$3:$B$6000,B4343,4)*5+0.000001,1))</f>
        <v/>
      </c>
      <c r="F4343">
        <f>IF(A4343="","",MAX(1,CEILING(PERCENTRANK.INC($C$3:$C$6000,C4343,4)*5+0.000001,1)))</f>
        <v/>
      </c>
      <c r="G4343">
        <f>IF(A4343="","",MAX(1,CEILING(PERCENTRANK.INC($D$3:$D$6000,D4343,4)*5+0.000001,1)))</f>
        <v/>
      </c>
      <c r="H4343">
        <f>IF(A4343="","",E4343&amp;F4343&amp;G4343)</f>
        <v/>
      </c>
      <c r="I4343">
        <f>IF(A4343="","",IF(AND(E4343&gt;=4,F4343&gt;=4,G4343&gt;=4),"Juara",IF(AND(F4343&gt;=4,E4343&gt;=3),"Setia",IF(AND(E4343=5,F4343&lt;=2,G4343&gt;=3),"Berpotensi",IF(AND(E4343&lt;=3,E4343&gt;=2,F4343&gt;=3),"Rawan",IF(AND(E4343&lt;=2,F4343&lt;=2),"Tidur","Umum"))))))</f>
        <v/>
      </c>
    </row>
    <row r="4344">
      <c r="B4344">
        <f>IF(A4344="","",$B$1-MAXIFS(Donasi!$A$2:$A$20000,Donasi!$B$2:$B$20000,A4344))</f>
        <v/>
      </c>
      <c r="C4344">
        <f>IF(A4344="","",COUNTIF(Donasi!$B$2:$B$20000,A4344))</f>
        <v/>
      </c>
      <c r="D4344">
        <f>IF(A4344="","",SUMIF(Donasi!$B$2:$B$20000,A4344,Donasi!$C$2:$C$20000))</f>
        <v/>
      </c>
      <c r="E4344">
        <f>IF(A4344="","",6-CEILING(PERCENTRANK.INC($B$3:$B$6000,B4344,4)*5+0.000001,1))</f>
        <v/>
      </c>
      <c r="F4344">
        <f>IF(A4344="","",MAX(1,CEILING(PERCENTRANK.INC($C$3:$C$6000,C4344,4)*5+0.000001,1)))</f>
        <v/>
      </c>
      <c r="G4344">
        <f>IF(A4344="","",MAX(1,CEILING(PERCENTRANK.INC($D$3:$D$6000,D4344,4)*5+0.000001,1)))</f>
        <v/>
      </c>
      <c r="H4344">
        <f>IF(A4344="","",E4344&amp;F4344&amp;G4344)</f>
        <v/>
      </c>
      <c r="I4344">
        <f>IF(A4344="","",IF(AND(E4344&gt;=4,F4344&gt;=4,G4344&gt;=4),"Juara",IF(AND(F4344&gt;=4,E4344&gt;=3),"Setia",IF(AND(E4344=5,F4344&lt;=2,G4344&gt;=3),"Berpotensi",IF(AND(E4344&lt;=3,E4344&gt;=2,F4344&gt;=3),"Rawan",IF(AND(E4344&lt;=2,F4344&lt;=2),"Tidur","Umum"))))))</f>
        <v/>
      </c>
    </row>
    <row r="4345">
      <c r="B4345">
        <f>IF(A4345="","",$B$1-MAXIFS(Donasi!$A$2:$A$20000,Donasi!$B$2:$B$20000,A4345))</f>
        <v/>
      </c>
      <c r="C4345">
        <f>IF(A4345="","",COUNTIF(Donasi!$B$2:$B$20000,A4345))</f>
        <v/>
      </c>
      <c r="D4345">
        <f>IF(A4345="","",SUMIF(Donasi!$B$2:$B$20000,A4345,Donasi!$C$2:$C$20000))</f>
        <v/>
      </c>
      <c r="E4345">
        <f>IF(A4345="","",6-CEILING(PERCENTRANK.INC($B$3:$B$6000,B4345,4)*5+0.000001,1))</f>
        <v/>
      </c>
      <c r="F4345">
        <f>IF(A4345="","",MAX(1,CEILING(PERCENTRANK.INC($C$3:$C$6000,C4345,4)*5+0.000001,1)))</f>
        <v/>
      </c>
      <c r="G4345">
        <f>IF(A4345="","",MAX(1,CEILING(PERCENTRANK.INC($D$3:$D$6000,D4345,4)*5+0.000001,1)))</f>
        <v/>
      </c>
      <c r="H4345">
        <f>IF(A4345="","",E4345&amp;F4345&amp;G4345)</f>
        <v/>
      </c>
      <c r="I4345">
        <f>IF(A4345="","",IF(AND(E4345&gt;=4,F4345&gt;=4,G4345&gt;=4),"Juara",IF(AND(F4345&gt;=4,E4345&gt;=3),"Setia",IF(AND(E4345=5,F4345&lt;=2,G4345&gt;=3),"Berpotensi",IF(AND(E4345&lt;=3,E4345&gt;=2,F4345&gt;=3),"Rawan",IF(AND(E4345&lt;=2,F4345&lt;=2),"Tidur","Umum"))))))</f>
        <v/>
      </c>
    </row>
    <row r="4346">
      <c r="B4346">
        <f>IF(A4346="","",$B$1-MAXIFS(Donasi!$A$2:$A$20000,Donasi!$B$2:$B$20000,A4346))</f>
        <v/>
      </c>
      <c r="C4346">
        <f>IF(A4346="","",COUNTIF(Donasi!$B$2:$B$20000,A4346))</f>
        <v/>
      </c>
      <c r="D4346">
        <f>IF(A4346="","",SUMIF(Donasi!$B$2:$B$20000,A4346,Donasi!$C$2:$C$20000))</f>
        <v/>
      </c>
      <c r="E4346">
        <f>IF(A4346="","",6-CEILING(PERCENTRANK.INC($B$3:$B$6000,B4346,4)*5+0.000001,1))</f>
        <v/>
      </c>
      <c r="F4346">
        <f>IF(A4346="","",MAX(1,CEILING(PERCENTRANK.INC($C$3:$C$6000,C4346,4)*5+0.000001,1)))</f>
        <v/>
      </c>
      <c r="G4346">
        <f>IF(A4346="","",MAX(1,CEILING(PERCENTRANK.INC($D$3:$D$6000,D4346,4)*5+0.000001,1)))</f>
        <v/>
      </c>
      <c r="H4346">
        <f>IF(A4346="","",E4346&amp;F4346&amp;G4346)</f>
        <v/>
      </c>
      <c r="I4346">
        <f>IF(A4346="","",IF(AND(E4346&gt;=4,F4346&gt;=4,G4346&gt;=4),"Juara",IF(AND(F4346&gt;=4,E4346&gt;=3),"Setia",IF(AND(E4346=5,F4346&lt;=2,G4346&gt;=3),"Berpotensi",IF(AND(E4346&lt;=3,E4346&gt;=2,F4346&gt;=3),"Rawan",IF(AND(E4346&lt;=2,F4346&lt;=2),"Tidur","Umum"))))))</f>
        <v/>
      </c>
    </row>
    <row r="4347">
      <c r="B4347">
        <f>IF(A4347="","",$B$1-MAXIFS(Donasi!$A$2:$A$20000,Donasi!$B$2:$B$20000,A4347))</f>
        <v/>
      </c>
      <c r="C4347">
        <f>IF(A4347="","",COUNTIF(Donasi!$B$2:$B$20000,A4347))</f>
        <v/>
      </c>
      <c r="D4347">
        <f>IF(A4347="","",SUMIF(Donasi!$B$2:$B$20000,A4347,Donasi!$C$2:$C$20000))</f>
        <v/>
      </c>
      <c r="E4347">
        <f>IF(A4347="","",6-CEILING(PERCENTRANK.INC($B$3:$B$6000,B4347,4)*5+0.000001,1))</f>
        <v/>
      </c>
      <c r="F4347">
        <f>IF(A4347="","",MAX(1,CEILING(PERCENTRANK.INC($C$3:$C$6000,C4347,4)*5+0.000001,1)))</f>
        <v/>
      </c>
      <c r="G4347">
        <f>IF(A4347="","",MAX(1,CEILING(PERCENTRANK.INC($D$3:$D$6000,D4347,4)*5+0.000001,1)))</f>
        <v/>
      </c>
      <c r="H4347">
        <f>IF(A4347="","",E4347&amp;F4347&amp;G4347)</f>
        <v/>
      </c>
      <c r="I4347">
        <f>IF(A4347="","",IF(AND(E4347&gt;=4,F4347&gt;=4,G4347&gt;=4),"Juara",IF(AND(F4347&gt;=4,E4347&gt;=3),"Setia",IF(AND(E4347=5,F4347&lt;=2,G4347&gt;=3),"Berpotensi",IF(AND(E4347&lt;=3,E4347&gt;=2,F4347&gt;=3),"Rawan",IF(AND(E4347&lt;=2,F4347&lt;=2),"Tidur","Umum"))))))</f>
        <v/>
      </c>
    </row>
    <row r="4348">
      <c r="B4348">
        <f>IF(A4348="","",$B$1-MAXIFS(Donasi!$A$2:$A$20000,Donasi!$B$2:$B$20000,A4348))</f>
        <v/>
      </c>
      <c r="C4348">
        <f>IF(A4348="","",COUNTIF(Donasi!$B$2:$B$20000,A4348))</f>
        <v/>
      </c>
      <c r="D4348">
        <f>IF(A4348="","",SUMIF(Donasi!$B$2:$B$20000,A4348,Donasi!$C$2:$C$20000))</f>
        <v/>
      </c>
      <c r="E4348">
        <f>IF(A4348="","",6-CEILING(PERCENTRANK.INC($B$3:$B$6000,B4348,4)*5+0.000001,1))</f>
        <v/>
      </c>
      <c r="F4348">
        <f>IF(A4348="","",MAX(1,CEILING(PERCENTRANK.INC($C$3:$C$6000,C4348,4)*5+0.000001,1)))</f>
        <v/>
      </c>
      <c r="G4348">
        <f>IF(A4348="","",MAX(1,CEILING(PERCENTRANK.INC($D$3:$D$6000,D4348,4)*5+0.000001,1)))</f>
        <v/>
      </c>
      <c r="H4348">
        <f>IF(A4348="","",E4348&amp;F4348&amp;G4348)</f>
        <v/>
      </c>
      <c r="I4348">
        <f>IF(A4348="","",IF(AND(E4348&gt;=4,F4348&gt;=4,G4348&gt;=4),"Juara",IF(AND(F4348&gt;=4,E4348&gt;=3),"Setia",IF(AND(E4348=5,F4348&lt;=2,G4348&gt;=3),"Berpotensi",IF(AND(E4348&lt;=3,E4348&gt;=2,F4348&gt;=3),"Rawan",IF(AND(E4348&lt;=2,F4348&lt;=2),"Tidur","Umum"))))))</f>
        <v/>
      </c>
    </row>
    <row r="4349">
      <c r="B4349">
        <f>IF(A4349="","",$B$1-MAXIFS(Donasi!$A$2:$A$20000,Donasi!$B$2:$B$20000,A4349))</f>
        <v/>
      </c>
      <c r="C4349">
        <f>IF(A4349="","",COUNTIF(Donasi!$B$2:$B$20000,A4349))</f>
        <v/>
      </c>
      <c r="D4349">
        <f>IF(A4349="","",SUMIF(Donasi!$B$2:$B$20000,A4349,Donasi!$C$2:$C$20000))</f>
        <v/>
      </c>
      <c r="E4349">
        <f>IF(A4349="","",6-CEILING(PERCENTRANK.INC($B$3:$B$6000,B4349,4)*5+0.000001,1))</f>
        <v/>
      </c>
      <c r="F4349">
        <f>IF(A4349="","",MAX(1,CEILING(PERCENTRANK.INC($C$3:$C$6000,C4349,4)*5+0.000001,1)))</f>
        <v/>
      </c>
      <c r="G4349">
        <f>IF(A4349="","",MAX(1,CEILING(PERCENTRANK.INC($D$3:$D$6000,D4349,4)*5+0.000001,1)))</f>
        <v/>
      </c>
      <c r="H4349">
        <f>IF(A4349="","",E4349&amp;F4349&amp;G4349)</f>
        <v/>
      </c>
      <c r="I4349">
        <f>IF(A4349="","",IF(AND(E4349&gt;=4,F4349&gt;=4,G4349&gt;=4),"Juara",IF(AND(F4349&gt;=4,E4349&gt;=3),"Setia",IF(AND(E4349=5,F4349&lt;=2,G4349&gt;=3),"Berpotensi",IF(AND(E4349&lt;=3,E4349&gt;=2,F4349&gt;=3),"Rawan",IF(AND(E4349&lt;=2,F4349&lt;=2),"Tidur","Umum"))))))</f>
        <v/>
      </c>
    </row>
    <row r="4350">
      <c r="B4350">
        <f>IF(A4350="","",$B$1-MAXIFS(Donasi!$A$2:$A$20000,Donasi!$B$2:$B$20000,A4350))</f>
        <v/>
      </c>
      <c r="C4350">
        <f>IF(A4350="","",COUNTIF(Donasi!$B$2:$B$20000,A4350))</f>
        <v/>
      </c>
      <c r="D4350">
        <f>IF(A4350="","",SUMIF(Donasi!$B$2:$B$20000,A4350,Donasi!$C$2:$C$20000))</f>
        <v/>
      </c>
      <c r="E4350">
        <f>IF(A4350="","",6-CEILING(PERCENTRANK.INC($B$3:$B$6000,B4350,4)*5+0.000001,1))</f>
        <v/>
      </c>
      <c r="F4350">
        <f>IF(A4350="","",MAX(1,CEILING(PERCENTRANK.INC($C$3:$C$6000,C4350,4)*5+0.000001,1)))</f>
        <v/>
      </c>
      <c r="G4350">
        <f>IF(A4350="","",MAX(1,CEILING(PERCENTRANK.INC($D$3:$D$6000,D4350,4)*5+0.000001,1)))</f>
        <v/>
      </c>
      <c r="H4350">
        <f>IF(A4350="","",E4350&amp;F4350&amp;G4350)</f>
        <v/>
      </c>
      <c r="I4350">
        <f>IF(A4350="","",IF(AND(E4350&gt;=4,F4350&gt;=4,G4350&gt;=4),"Juara",IF(AND(F4350&gt;=4,E4350&gt;=3),"Setia",IF(AND(E4350=5,F4350&lt;=2,G4350&gt;=3),"Berpotensi",IF(AND(E4350&lt;=3,E4350&gt;=2,F4350&gt;=3),"Rawan",IF(AND(E4350&lt;=2,F4350&lt;=2),"Tidur","Umum"))))))</f>
        <v/>
      </c>
    </row>
    <row r="4351">
      <c r="B4351">
        <f>IF(A4351="","",$B$1-MAXIFS(Donasi!$A$2:$A$20000,Donasi!$B$2:$B$20000,A4351))</f>
        <v/>
      </c>
      <c r="C4351">
        <f>IF(A4351="","",COUNTIF(Donasi!$B$2:$B$20000,A4351))</f>
        <v/>
      </c>
      <c r="D4351">
        <f>IF(A4351="","",SUMIF(Donasi!$B$2:$B$20000,A4351,Donasi!$C$2:$C$20000))</f>
        <v/>
      </c>
      <c r="E4351">
        <f>IF(A4351="","",6-CEILING(PERCENTRANK.INC($B$3:$B$6000,B4351,4)*5+0.000001,1))</f>
        <v/>
      </c>
      <c r="F4351">
        <f>IF(A4351="","",MAX(1,CEILING(PERCENTRANK.INC($C$3:$C$6000,C4351,4)*5+0.000001,1)))</f>
        <v/>
      </c>
      <c r="G4351">
        <f>IF(A4351="","",MAX(1,CEILING(PERCENTRANK.INC($D$3:$D$6000,D4351,4)*5+0.000001,1)))</f>
        <v/>
      </c>
      <c r="H4351">
        <f>IF(A4351="","",E4351&amp;F4351&amp;G4351)</f>
        <v/>
      </c>
      <c r="I4351">
        <f>IF(A4351="","",IF(AND(E4351&gt;=4,F4351&gt;=4,G4351&gt;=4),"Juara",IF(AND(F4351&gt;=4,E4351&gt;=3),"Setia",IF(AND(E4351=5,F4351&lt;=2,G4351&gt;=3),"Berpotensi",IF(AND(E4351&lt;=3,E4351&gt;=2,F4351&gt;=3),"Rawan",IF(AND(E4351&lt;=2,F4351&lt;=2),"Tidur","Umum"))))))</f>
        <v/>
      </c>
    </row>
    <row r="4352">
      <c r="B4352">
        <f>IF(A4352="","",$B$1-MAXIFS(Donasi!$A$2:$A$20000,Donasi!$B$2:$B$20000,A4352))</f>
        <v/>
      </c>
      <c r="C4352">
        <f>IF(A4352="","",COUNTIF(Donasi!$B$2:$B$20000,A4352))</f>
        <v/>
      </c>
      <c r="D4352">
        <f>IF(A4352="","",SUMIF(Donasi!$B$2:$B$20000,A4352,Donasi!$C$2:$C$20000))</f>
        <v/>
      </c>
      <c r="E4352">
        <f>IF(A4352="","",6-CEILING(PERCENTRANK.INC($B$3:$B$6000,B4352,4)*5+0.000001,1))</f>
        <v/>
      </c>
      <c r="F4352">
        <f>IF(A4352="","",MAX(1,CEILING(PERCENTRANK.INC($C$3:$C$6000,C4352,4)*5+0.000001,1)))</f>
        <v/>
      </c>
      <c r="G4352">
        <f>IF(A4352="","",MAX(1,CEILING(PERCENTRANK.INC($D$3:$D$6000,D4352,4)*5+0.000001,1)))</f>
        <v/>
      </c>
      <c r="H4352">
        <f>IF(A4352="","",E4352&amp;F4352&amp;G4352)</f>
        <v/>
      </c>
      <c r="I4352">
        <f>IF(A4352="","",IF(AND(E4352&gt;=4,F4352&gt;=4,G4352&gt;=4),"Juara",IF(AND(F4352&gt;=4,E4352&gt;=3),"Setia",IF(AND(E4352=5,F4352&lt;=2,G4352&gt;=3),"Berpotensi",IF(AND(E4352&lt;=3,E4352&gt;=2,F4352&gt;=3),"Rawan",IF(AND(E4352&lt;=2,F4352&lt;=2),"Tidur","Umum"))))))</f>
        <v/>
      </c>
    </row>
    <row r="4353">
      <c r="B4353">
        <f>IF(A4353="","",$B$1-MAXIFS(Donasi!$A$2:$A$20000,Donasi!$B$2:$B$20000,A4353))</f>
        <v/>
      </c>
      <c r="C4353">
        <f>IF(A4353="","",COUNTIF(Donasi!$B$2:$B$20000,A4353))</f>
        <v/>
      </c>
      <c r="D4353">
        <f>IF(A4353="","",SUMIF(Donasi!$B$2:$B$20000,A4353,Donasi!$C$2:$C$20000))</f>
        <v/>
      </c>
      <c r="E4353">
        <f>IF(A4353="","",6-CEILING(PERCENTRANK.INC($B$3:$B$6000,B4353,4)*5+0.000001,1))</f>
        <v/>
      </c>
      <c r="F4353">
        <f>IF(A4353="","",MAX(1,CEILING(PERCENTRANK.INC($C$3:$C$6000,C4353,4)*5+0.000001,1)))</f>
        <v/>
      </c>
      <c r="G4353">
        <f>IF(A4353="","",MAX(1,CEILING(PERCENTRANK.INC($D$3:$D$6000,D4353,4)*5+0.000001,1)))</f>
        <v/>
      </c>
      <c r="H4353">
        <f>IF(A4353="","",E4353&amp;F4353&amp;G4353)</f>
        <v/>
      </c>
      <c r="I4353">
        <f>IF(A4353="","",IF(AND(E4353&gt;=4,F4353&gt;=4,G4353&gt;=4),"Juara",IF(AND(F4353&gt;=4,E4353&gt;=3),"Setia",IF(AND(E4353=5,F4353&lt;=2,G4353&gt;=3),"Berpotensi",IF(AND(E4353&lt;=3,E4353&gt;=2,F4353&gt;=3),"Rawan",IF(AND(E4353&lt;=2,F4353&lt;=2),"Tidur","Umum"))))))</f>
        <v/>
      </c>
    </row>
    <row r="4354">
      <c r="B4354">
        <f>IF(A4354="","",$B$1-MAXIFS(Donasi!$A$2:$A$20000,Donasi!$B$2:$B$20000,A4354))</f>
        <v/>
      </c>
      <c r="C4354">
        <f>IF(A4354="","",COUNTIF(Donasi!$B$2:$B$20000,A4354))</f>
        <v/>
      </c>
      <c r="D4354">
        <f>IF(A4354="","",SUMIF(Donasi!$B$2:$B$20000,A4354,Donasi!$C$2:$C$20000))</f>
        <v/>
      </c>
      <c r="E4354">
        <f>IF(A4354="","",6-CEILING(PERCENTRANK.INC($B$3:$B$6000,B4354,4)*5+0.000001,1))</f>
        <v/>
      </c>
      <c r="F4354">
        <f>IF(A4354="","",MAX(1,CEILING(PERCENTRANK.INC($C$3:$C$6000,C4354,4)*5+0.000001,1)))</f>
        <v/>
      </c>
      <c r="G4354">
        <f>IF(A4354="","",MAX(1,CEILING(PERCENTRANK.INC($D$3:$D$6000,D4354,4)*5+0.000001,1)))</f>
        <v/>
      </c>
      <c r="H4354">
        <f>IF(A4354="","",E4354&amp;F4354&amp;G4354)</f>
        <v/>
      </c>
      <c r="I4354">
        <f>IF(A4354="","",IF(AND(E4354&gt;=4,F4354&gt;=4,G4354&gt;=4),"Juara",IF(AND(F4354&gt;=4,E4354&gt;=3),"Setia",IF(AND(E4354=5,F4354&lt;=2,G4354&gt;=3),"Berpotensi",IF(AND(E4354&lt;=3,E4354&gt;=2,F4354&gt;=3),"Rawan",IF(AND(E4354&lt;=2,F4354&lt;=2),"Tidur","Umum"))))))</f>
        <v/>
      </c>
    </row>
    <row r="4355">
      <c r="B4355">
        <f>IF(A4355="","",$B$1-MAXIFS(Donasi!$A$2:$A$20000,Donasi!$B$2:$B$20000,A4355))</f>
        <v/>
      </c>
      <c r="C4355">
        <f>IF(A4355="","",COUNTIF(Donasi!$B$2:$B$20000,A4355))</f>
        <v/>
      </c>
      <c r="D4355">
        <f>IF(A4355="","",SUMIF(Donasi!$B$2:$B$20000,A4355,Donasi!$C$2:$C$20000))</f>
        <v/>
      </c>
      <c r="E4355">
        <f>IF(A4355="","",6-CEILING(PERCENTRANK.INC($B$3:$B$6000,B4355,4)*5+0.000001,1))</f>
        <v/>
      </c>
      <c r="F4355">
        <f>IF(A4355="","",MAX(1,CEILING(PERCENTRANK.INC($C$3:$C$6000,C4355,4)*5+0.000001,1)))</f>
        <v/>
      </c>
      <c r="G4355">
        <f>IF(A4355="","",MAX(1,CEILING(PERCENTRANK.INC($D$3:$D$6000,D4355,4)*5+0.000001,1)))</f>
        <v/>
      </c>
      <c r="H4355">
        <f>IF(A4355="","",E4355&amp;F4355&amp;G4355)</f>
        <v/>
      </c>
      <c r="I4355">
        <f>IF(A4355="","",IF(AND(E4355&gt;=4,F4355&gt;=4,G4355&gt;=4),"Juara",IF(AND(F4355&gt;=4,E4355&gt;=3),"Setia",IF(AND(E4355=5,F4355&lt;=2,G4355&gt;=3),"Berpotensi",IF(AND(E4355&lt;=3,E4355&gt;=2,F4355&gt;=3),"Rawan",IF(AND(E4355&lt;=2,F4355&lt;=2),"Tidur","Umum"))))))</f>
        <v/>
      </c>
    </row>
    <row r="4356">
      <c r="B4356">
        <f>IF(A4356="","",$B$1-MAXIFS(Donasi!$A$2:$A$20000,Donasi!$B$2:$B$20000,A4356))</f>
        <v/>
      </c>
      <c r="C4356">
        <f>IF(A4356="","",COUNTIF(Donasi!$B$2:$B$20000,A4356))</f>
        <v/>
      </c>
      <c r="D4356">
        <f>IF(A4356="","",SUMIF(Donasi!$B$2:$B$20000,A4356,Donasi!$C$2:$C$20000))</f>
        <v/>
      </c>
      <c r="E4356">
        <f>IF(A4356="","",6-CEILING(PERCENTRANK.INC($B$3:$B$6000,B4356,4)*5+0.000001,1))</f>
        <v/>
      </c>
      <c r="F4356">
        <f>IF(A4356="","",MAX(1,CEILING(PERCENTRANK.INC($C$3:$C$6000,C4356,4)*5+0.000001,1)))</f>
        <v/>
      </c>
      <c r="G4356">
        <f>IF(A4356="","",MAX(1,CEILING(PERCENTRANK.INC($D$3:$D$6000,D4356,4)*5+0.000001,1)))</f>
        <v/>
      </c>
      <c r="H4356">
        <f>IF(A4356="","",E4356&amp;F4356&amp;G4356)</f>
        <v/>
      </c>
      <c r="I4356">
        <f>IF(A4356="","",IF(AND(E4356&gt;=4,F4356&gt;=4,G4356&gt;=4),"Juara",IF(AND(F4356&gt;=4,E4356&gt;=3),"Setia",IF(AND(E4356=5,F4356&lt;=2,G4356&gt;=3),"Berpotensi",IF(AND(E4356&lt;=3,E4356&gt;=2,F4356&gt;=3),"Rawan",IF(AND(E4356&lt;=2,F4356&lt;=2),"Tidur","Umum"))))))</f>
        <v/>
      </c>
    </row>
    <row r="4357">
      <c r="B4357">
        <f>IF(A4357="","",$B$1-MAXIFS(Donasi!$A$2:$A$20000,Donasi!$B$2:$B$20000,A4357))</f>
        <v/>
      </c>
      <c r="C4357">
        <f>IF(A4357="","",COUNTIF(Donasi!$B$2:$B$20000,A4357))</f>
        <v/>
      </c>
      <c r="D4357">
        <f>IF(A4357="","",SUMIF(Donasi!$B$2:$B$20000,A4357,Donasi!$C$2:$C$20000))</f>
        <v/>
      </c>
      <c r="E4357">
        <f>IF(A4357="","",6-CEILING(PERCENTRANK.INC($B$3:$B$6000,B4357,4)*5+0.000001,1))</f>
        <v/>
      </c>
      <c r="F4357">
        <f>IF(A4357="","",MAX(1,CEILING(PERCENTRANK.INC($C$3:$C$6000,C4357,4)*5+0.000001,1)))</f>
        <v/>
      </c>
      <c r="G4357">
        <f>IF(A4357="","",MAX(1,CEILING(PERCENTRANK.INC($D$3:$D$6000,D4357,4)*5+0.000001,1)))</f>
        <v/>
      </c>
      <c r="H4357">
        <f>IF(A4357="","",E4357&amp;F4357&amp;G4357)</f>
        <v/>
      </c>
      <c r="I4357">
        <f>IF(A4357="","",IF(AND(E4357&gt;=4,F4357&gt;=4,G4357&gt;=4),"Juara",IF(AND(F4357&gt;=4,E4357&gt;=3),"Setia",IF(AND(E4357=5,F4357&lt;=2,G4357&gt;=3),"Berpotensi",IF(AND(E4357&lt;=3,E4357&gt;=2,F4357&gt;=3),"Rawan",IF(AND(E4357&lt;=2,F4357&lt;=2),"Tidur","Umum"))))))</f>
        <v/>
      </c>
    </row>
    <row r="4358">
      <c r="B4358">
        <f>IF(A4358="","",$B$1-MAXIFS(Donasi!$A$2:$A$20000,Donasi!$B$2:$B$20000,A4358))</f>
        <v/>
      </c>
      <c r="C4358">
        <f>IF(A4358="","",COUNTIF(Donasi!$B$2:$B$20000,A4358))</f>
        <v/>
      </c>
      <c r="D4358">
        <f>IF(A4358="","",SUMIF(Donasi!$B$2:$B$20000,A4358,Donasi!$C$2:$C$20000))</f>
        <v/>
      </c>
      <c r="E4358">
        <f>IF(A4358="","",6-CEILING(PERCENTRANK.INC($B$3:$B$6000,B4358,4)*5+0.000001,1))</f>
        <v/>
      </c>
      <c r="F4358">
        <f>IF(A4358="","",MAX(1,CEILING(PERCENTRANK.INC($C$3:$C$6000,C4358,4)*5+0.000001,1)))</f>
        <v/>
      </c>
      <c r="G4358">
        <f>IF(A4358="","",MAX(1,CEILING(PERCENTRANK.INC($D$3:$D$6000,D4358,4)*5+0.000001,1)))</f>
        <v/>
      </c>
      <c r="H4358">
        <f>IF(A4358="","",E4358&amp;F4358&amp;G4358)</f>
        <v/>
      </c>
      <c r="I4358">
        <f>IF(A4358="","",IF(AND(E4358&gt;=4,F4358&gt;=4,G4358&gt;=4),"Juara",IF(AND(F4358&gt;=4,E4358&gt;=3),"Setia",IF(AND(E4358=5,F4358&lt;=2,G4358&gt;=3),"Berpotensi",IF(AND(E4358&lt;=3,E4358&gt;=2,F4358&gt;=3),"Rawan",IF(AND(E4358&lt;=2,F4358&lt;=2),"Tidur","Umum"))))))</f>
        <v/>
      </c>
    </row>
    <row r="4359">
      <c r="B4359">
        <f>IF(A4359="","",$B$1-MAXIFS(Donasi!$A$2:$A$20000,Donasi!$B$2:$B$20000,A4359))</f>
        <v/>
      </c>
      <c r="C4359">
        <f>IF(A4359="","",COUNTIF(Donasi!$B$2:$B$20000,A4359))</f>
        <v/>
      </c>
      <c r="D4359">
        <f>IF(A4359="","",SUMIF(Donasi!$B$2:$B$20000,A4359,Donasi!$C$2:$C$20000))</f>
        <v/>
      </c>
      <c r="E4359">
        <f>IF(A4359="","",6-CEILING(PERCENTRANK.INC($B$3:$B$6000,B4359,4)*5+0.000001,1))</f>
        <v/>
      </c>
      <c r="F4359">
        <f>IF(A4359="","",MAX(1,CEILING(PERCENTRANK.INC($C$3:$C$6000,C4359,4)*5+0.000001,1)))</f>
        <v/>
      </c>
      <c r="G4359">
        <f>IF(A4359="","",MAX(1,CEILING(PERCENTRANK.INC($D$3:$D$6000,D4359,4)*5+0.000001,1)))</f>
        <v/>
      </c>
      <c r="H4359">
        <f>IF(A4359="","",E4359&amp;F4359&amp;G4359)</f>
        <v/>
      </c>
      <c r="I4359">
        <f>IF(A4359="","",IF(AND(E4359&gt;=4,F4359&gt;=4,G4359&gt;=4),"Juara",IF(AND(F4359&gt;=4,E4359&gt;=3),"Setia",IF(AND(E4359=5,F4359&lt;=2,G4359&gt;=3),"Berpotensi",IF(AND(E4359&lt;=3,E4359&gt;=2,F4359&gt;=3),"Rawan",IF(AND(E4359&lt;=2,F4359&lt;=2),"Tidur","Umum"))))))</f>
        <v/>
      </c>
    </row>
    <row r="4360">
      <c r="B4360">
        <f>IF(A4360="","",$B$1-MAXIFS(Donasi!$A$2:$A$20000,Donasi!$B$2:$B$20000,A4360))</f>
        <v/>
      </c>
      <c r="C4360">
        <f>IF(A4360="","",COUNTIF(Donasi!$B$2:$B$20000,A4360))</f>
        <v/>
      </c>
      <c r="D4360">
        <f>IF(A4360="","",SUMIF(Donasi!$B$2:$B$20000,A4360,Donasi!$C$2:$C$20000))</f>
        <v/>
      </c>
      <c r="E4360">
        <f>IF(A4360="","",6-CEILING(PERCENTRANK.INC($B$3:$B$6000,B4360,4)*5+0.000001,1))</f>
        <v/>
      </c>
      <c r="F4360">
        <f>IF(A4360="","",MAX(1,CEILING(PERCENTRANK.INC($C$3:$C$6000,C4360,4)*5+0.000001,1)))</f>
        <v/>
      </c>
      <c r="G4360">
        <f>IF(A4360="","",MAX(1,CEILING(PERCENTRANK.INC($D$3:$D$6000,D4360,4)*5+0.000001,1)))</f>
        <v/>
      </c>
      <c r="H4360">
        <f>IF(A4360="","",E4360&amp;F4360&amp;G4360)</f>
        <v/>
      </c>
      <c r="I4360">
        <f>IF(A4360="","",IF(AND(E4360&gt;=4,F4360&gt;=4,G4360&gt;=4),"Juara",IF(AND(F4360&gt;=4,E4360&gt;=3),"Setia",IF(AND(E4360=5,F4360&lt;=2,G4360&gt;=3),"Berpotensi",IF(AND(E4360&lt;=3,E4360&gt;=2,F4360&gt;=3),"Rawan",IF(AND(E4360&lt;=2,F4360&lt;=2),"Tidur","Umum"))))))</f>
        <v/>
      </c>
    </row>
    <row r="4361">
      <c r="B4361">
        <f>IF(A4361="","",$B$1-MAXIFS(Donasi!$A$2:$A$20000,Donasi!$B$2:$B$20000,A4361))</f>
        <v/>
      </c>
      <c r="C4361">
        <f>IF(A4361="","",COUNTIF(Donasi!$B$2:$B$20000,A4361))</f>
        <v/>
      </c>
      <c r="D4361">
        <f>IF(A4361="","",SUMIF(Donasi!$B$2:$B$20000,A4361,Donasi!$C$2:$C$20000))</f>
        <v/>
      </c>
      <c r="E4361">
        <f>IF(A4361="","",6-CEILING(PERCENTRANK.INC($B$3:$B$6000,B4361,4)*5+0.000001,1))</f>
        <v/>
      </c>
      <c r="F4361">
        <f>IF(A4361="","",MAX(1,CEILING(PERCENTRANK.INC($C$3:$C$6000,C4361,4)*5+0.000001,1)))</f>
        <v/>
      </c>
      <c r="G4361">
        <f>IF(A4361="","",MAX(1,CEILING(PERCENTRANK.INC($D$3:$D$6000,D4361,4)*5+0.000001,1)))</f>
        <v/>
      </c>
      <c r="H4361">
        <f>IF(A4361="","",E4361&amp;F4361&amp;G4361)</f>
        <v/>
      </c>
      <c r="I4361">
        <f>IF(A4361="","",IF(AND(E4361&gt;=4,F4361&gt;=4,G4361&gt;=4),"Juara",IF(AND(F4361&gt;=4,E4361&gt;=3),"Setia",IF(AND(E4361=5,F4361&lt;=2,G4361&gt;=3),"Berpotensi",IF(AND(E4361&lt;=3,E4361&gt;=2,F4361&gt;=3),"Rawan",IF(AND(E4361&lt;=2,F4361&lt;=2),"Tidur","Umum"))))))</f>
        <v/>
      </c>
    </row>
    <row r="4362">
      <c r="B4362">
        <f>IF(A4362="","",$B$1-MAXIFS(Donasi!$A$2:$A$20000,Donasi!$B$2:$B$20000,A4362))</f>
        <v/>
      </c>
      <c r="C4362">
        <f>IF(A4362="","",COUNTIF(Donasi!$B$2:$B$20000,A4362))</f>
        <v/>
      </c>
      <c r="D4362">
        <f>IF(A4362="","",SUMIF(Donasi!$B$2:$B$20000,A4362,Donasi!$C$2:$C$20000))</f>
        <v/>
      </c>
      <c r="E4362">
        <f>IF(A4362="","",6-CEILING(PERCENTRANK.INC($B$3:$B$6000,B4362,4)*5+0.000001,1))</f>
        <v/>
      </c>
      <c r="F4362">
        <f>IF(A4362="","",MAX(1,CEILING(PERCENTRANK.INC($C$3:$C$6000,C4362,4)*5+0.000001,1)))</f>
        <v/>
      </c>
      <c r="G4362">
        <f>IF(A4362="","",MAX(1,CEILING(PERCENTRANK.INC($D$3:$D$6000,D4362,4)*5+0.000001,1)))</f>
        <v/>
      </c>
      <c r="H4362">
        <f>IF(A4362="","",E4362&amp;F4362&amp;G4362)</f>
        <v/>
      </c>
      <c r="I4362">
        <f>IF(A4362="","",IF(AND(E4362&gt;=4,F4362&gt;=4,G4362&gt;=4),"Juara",IF(AND(F4362&gt;=4,E4362&gt;=3),"Setia",IF(AND(E4362=5,F4362&lt;=2,G4362&gt;=3),"Berpotensi",IF(AND(E4362&lt;=3,E4362&gt;=2,F4362&gt;=3),"Rawan",IF(AND(E4362&lt;=2,F4362&lt;=2),"Tidur","Umum"))))))</f>
        <v/>
      </c>
    </row>
    <row r="4363">
      <c r="B4363">
        <f>IF(A4363="","",$B$1-MAXIFS(Donasi!$A$2:$A$20000,Donasi!$B$2:$B$20000,A4363))</f>
        <v/>
      </c>
      <c r="C4363">
        <f>IF(A4363="","",COUNTIF(Donasi!$B$2:$B$20000,A4363))</f>
        <v/>
      </c>
      <c r="D4363">
        <f>IF(A4363="","",SUMIF(Donasi!$B$2:$B$20000,A4363,Donasi!$C$2:$C$20000))</f>
        <v/>
      </c>
      <c r="E4363">
        <f>IF(A4363="","",6-CEILING(PERCENTRANK.INC($B$3:$B$6000,B4363,4)*5+0.000001,1))</f>
        <v/>
      </c>
      <c r="F4363">
        <f>IF(A4363="","",MAX(1,CEILING(PERCENTRANK.INC($C$3:$C$6000,C4363,4)*5+0.000001,1)))</f>
        <v/>
      </c>
      <c r="G4363">
        <f>IF(A4363="","",MAX(1,CEILING(PERCENTRANK.INC($D$3:$D$6000,D4363,4)*5+0.000001,1)))</f>
        <v/>
      </c>
      <c r="H4363">
        <f>IF(A4363="","",E4363&amp;F4363&amp;G4363)</f>
        <v/>
      </c>
      <c r="I4363">
        <f>IF(A4363="","",IF(AND(E4363&gt;=4,F4363&gt;=4,G4363&gt;=4),"Juara",IF(AND(F4363&gt;=4,E4363&gt;=3),"Setia",IF(AND(E4363=5,F4363&lt;=2,G4363&gt;=3),"Berpotensi",IF(AND(E4363&lt;=3,E4363&gt;=2,F4363&gt;=3),"Rawan",IF(AND(E4363&lt;=2,F4363&lt;=2),"Tidur","Umum"))))))</f>
        <v/>
      </c>
    </row>
    <row r="4364">
      <c r="B4364">
        <f>IF(A4364="","",$B$1-MAXIFS(Donasi!$A$2:$A$20000,Donasi!$B$2:$B$20000,A4364))</f>
        <v/>
      </c>
      <c r="C4364">
        <f>IF(A4364="","",COUNTIF(Donasi!$B$2:$B$20000,A4364))</f>
        <v/>
      </c>
      <c r="D4364">
        <f>IF(A4364="","",SUMIF(Donasi!$B$2:$B$20000,A4364,Donasi!$C$2:$C$20000))</f>
        <v/>
      </c>
      <c r="E4364">
        <f>IF(A4364="","",6-CEILING(PERCENTRANK.INC($B$3:$B$6000,B4364,4)*5+0.000001,1))</f>
        <v/>
      </c>
      <c r="F4364">
        <f>IF(A4364="","",MAX(1,CEILING(PERCENTRANK.INC($C$3:$C$6000,C4364,4)*5+0.000001,1)))</f>
        <v/>
      </c>
      <c r="G4364">
        <f>IF(A4364="","",MAX(1,CEILING(PERCENTRANK.INC($D$3:$D$6000,D4364,4)*5+0.000001,1)))</f>
        <v/>
      </c>
      <c r="H4364">
        <f>IF(A4364="","",E4364&amp;F4364&amp;G4364)</f>
        <v/>
      </c>
      <c r="I4364">
        <f>IF(A4364="","",IF(AND(E4364&gt;=4,F4364&gt;=4,G4364&gt;=4),"Juara",IF(AND(F4364&gt;=4,E4364&gt;=3),"Setia",IF(AND(E4364=5,F4364&lt;=2,G4364&gt;=3),"Berpotensi",IF(AND(E4364&lt;=3,E4364&gt;=2,F4364&gt;=3),"Rawan",IF(AND(E4364&lt;=2,F4364&lt;=2),"Tidur","Umum"))))))</f>
        <v/>
      </c>
    </row>
    <row r="4365">
      <c r="B4365">
        <f>IF(A4365="","",$B$1-MAXIFS(Donasi!$A$2:$A$20000,Donasi!$B$2:$B$20000,A4365))</f>
        <v/>
      </c>
      <c r="C4365">
        <f>IF(A4365="","",COUNTIF(Donasi!$B$2:$B$20000,A4365))</f>
        <v/>
      </c>
      <c r="D4365">
        <f>IF(A4365="","",SUMIF(Donasi!$B$2:$B$20000,A4365,Donasi!$C$2:$C$20000))</f>
        <v/>
      </c>
      <c r="E4365">
        <f>IF(A4365="","",6-CEILING(PERCENTRANK.INC($B$3:$B$6000,B4365,4)*5+0.000001,1))</f>
        <v/>
      </c>
      <c r="F4365">
        <f>IF(A4365="","",MAX(1,CEILING(PERCENTRANK.INC($C$3:$C$6000,C4365,4)*5+0.000001,1)))</f>
        <v/>
      </c>
      <c r="G4365">
        <f>IF(A4365="","",MAX(1,CEILING(PERCENTRANK.INC($D$3:$D$6000,D4365,4)*5+0.000001,1)))</f>
        <v/>
      </c>
      <c r="H4365">
        <f>IF(A4365="","",E4365&amp;F4365&amp;G4365)</f>
        <v/>
      </c>
      <c r="I4365">
        <f>IF(A4365="","",IF(AND(E4365&gt;=4,F4365&gt;=4,G4365&gt;=4),"Juara",IF(AND(F4365&gt;=4,E4365&gt;=3),"Setia",IF(AND(E4365=5,F4365&lt;=2,G4365&gt;=3),"Berpotensi",IF(AND(E4365&lt;=3,E4365&gt;=2,F4365&gt;=3),"Rawan",IF(AND(E4365&lt;=2,F4365&lt;=2),"Tidur","Umum"))))))</f>
        <v/>
      </c>
    </row>
    <row r="4366">
      <c r="B4366">
        <f>IF(A4366="","",$B$1-MAXIFS(Donasi!$A$2:$A$20000,Donasi!$B$2:$B$20000,A4366))</f>
        <v/>
      </c>
      <c r="C4366">
        <f>IF(A4366="","",COUNTIF(Donasi!$B$2:$B$20000,A4366))</f>
        <v/>
      </c>
      <c r="D4366">
        <f>IF(A4366="","",SUMIF(Donasi!$B$2:$B$20000,A4366,Donasi!$C$2:$C$20000))</f>
        <v/>
      </c>
      <c r="E4366">
        <f>IF(A4366="","",6-CEILING(PERCENTRANK.INC($B$3:$B$6000,B4366,4)*5+0.000001,1))</f>
        <v/>
      </c>
      <c r="F4366">
        <f>IF(A4366="","",MAX(1,CEILING(PERCENTRANK.INC($C$3:$C$6000,C4366,4)*5+0.000001,1)))</f>
        <v/>
      </c>
      <c r="G4366">
        <f>IF(A4366="","",MAX(1,CEILING(PERCENTRANK.INC($D$3:$D$6000,D4366,4)*5+0.000001,1)))</f>
        <v/>
      </c>
      <c r="H4366">
        <f>IF(A4366="","",E4366&amp;F4366&amp;G4366)</f>
        <v/>
      </c>
      <c r="I4366">
        <f>IF(A4366="","",IF(AND(E4366&gt;=4,F4366&gt;=4,G4366&gt;=4),"Juara",IF(AND(F4366&gt;=4,E4366&gt;=3),"Setia",IF(AND(E4366=5,F4366&lt;=2,G4366&gt;=3),"Berpotensi",IF(AND(E4366&lt;=3,E4366&gt;=2,F4366&gt;=3),"Rawan",IF(AND(E4366&lt;=2,F4366&lt;=2),"Tidur","Umum"))))))</f>
        <v/>
      </c>
    </row>
    <row r="4367">
      <c r="B4367">
        <f>IF(A4367="","",$B$1-MAXIFS(Donasi!$A$2:$A$20000,Donasi!$B$2:$B$20000,A4367))</f>
        <v/>
      </c>
      <c r="C4367">
        <f>IF(A4367="","",COUNTIF(Donasi!$B$2:$B$20000,A4367))</f>
        <v/>
      </c>
      <c r="D4367">
        <f>IF(A4367="","",SUMIF(Donasi!$B$2:$B$20000,A4367,Donasi!$C$2:$C$20000))</f>
        <v/>
      </c>
      <c r="E4367">
        <f>IF(A4367="","",6-CEILING(PERCENTRANK.INC($B$3:$B$6000,B4367,4)*5+0.000001,1))</f>
        <v/>
      </c>
      <c r="F4367">
        <f>IF(A4367="","",MAX(1,CEILING(PERCENTRANK.INC($C$3:$C$6000,C4367,4)*5+0.000001,1)))</f>
        <v/>
      </c>
      <c r="G4367">
        <f>IF(A4367="","",MAX(1,CEILING(PERCENTRANK.INC($D$3:$D$6000,D4367,4)*5+0.000001,1)))</f>
        <v/>
      </c>
      <c r="H4367">
        <f>IF(A4367="","",E4367&amp;F4367&amp;G4367)</f>
        <v/>
      </c>
      <c r="I4367">
        <f>IF(A4367="","",IF(AND(E4367&gt;=4,F4367&gt;=4,G4367&gt;=4),"Juara",IF(AND(F4367&gt;=4,E4367&gt;=3),"Setia",IF(AND(E4367=5,F4367&lt;=2,G4367&gt;=3),"Berpotensi",IF(AND(E4367&lt;=3,E4367&gt;=2,F4367&gt;=3),"Rawan",IF(AND(E4367&lt;=2,F4367&lt;=2),"Tidur","Umum"))))))</f>
        <v/>
      </c>
    </row>
    <row r="4368">
      <c r="B4368">
        <f>IF(A4368="","",$B$1-MAXIFS(Donasi!$A$2:$A$20000,Donasi!$B$2:$B$20000,A4368))</f>
        <v/>
      </c>
      <c r="C4368">
        <f>IF(A4368="","",COUNTIF(Donasi!$B$2:$B$20000,A4368))</f>
        <v/>
      </c>
      <c r="D4368">
        <f>IF(A4368="","",SUMIF(Donasi!$B$2:$B$20000,A4368,Donasi!$C$2:$C$20000))</f>
        <v/>
      </c>
      <c r="E4368">
        <f>IF(A4368="","",6-CEILING(PERCENTRANK.INC($B$3:$B$6000,B4368,4)*5+0.000001,1))</f>
        <v/>
      </c>
      <c r="F4368">
        <f>IF(A4368="","",MAX(1,CEILING(PERCENTRANK.INC($C$3:$C$6000,C4368,4)*5+0.000001,1)))</f>
        <v/>
      </c>
      <c r="G4368">
        <f>IF(A4368="","",MAX(1,CEILING(PERCENTRANK.INC($D$3:$D$6000,D4368,4)*5+0.000001,1)))</f>
        <v/>
      </c>
      <c r="H4368">
        <f>IF(A4368="","",E4368&amp;F4368&amp;G4368)</f>
        <v/>
      </c>
      <c r="I4368">
        <f>IF(A4368="","",IF(AND(E4368&gt;=4,F4368&gt;=4,G4368&gt;=4),"Juara",IF(AND(F4368&gt;=4,E4368&gt;=3),"Setia",IF(AND(E4368=5,F4368&lt;=2,G4368&gt;=3),"Berpotensi",IF(AND(E4368&lt;=3,E4368&gt;=2,F4368&gt;=3),"Rawan",IF(AND(E4368&lt;=2,F4368&lt;=2),"Tidur","Umum"))))))</f>
        <v/>
      </c>
    </row>
    <row r="4369">
      <c r="B4369">
        <f>IF(A4369="","",$B$1-MAXIFS(Donasi!$A$2:$A$20000,Donasi!$B$2:$B$20000,A4369))</f>
        <v/>
      </c>
      <c r="C4369">
        <f>IF(A4369="","",COUNTIF(Donasi!$B$2:$B$20000,A4369))</f>
        <v/>
      </c>
      <c r="D4369">
        <f>IF(A4369="","",SUMIF(Donasi!$B$2:$B$20000,A4369,Donasi!$C$2:$C$20000))</f>
        <v/>
      </c>
      <c r="E4369">
        <f>IF(A4369="","",6-CEILING(PERCENTRANK.INC($B$3:$B$6000,B4369,4)*5+0.000001,1))</f>
        <v/>
      </c>
      <c r="F4369">
        <f>IF(A4369="","",MAX(1,CEILING(PERCENTRANK.INC($C$3:$C$6000,C4369,4)*5+0.000001,1)))</f>
        <v/>
      </c>
      <c r="G4369">
        <f>IF(A4369="","",MAX(1,CEILING(PERCENTRANK.INC($D$3:$D$6000,D4369,4)*5+0.000001,1)))</f>
        <v/>
      </c>
      <c r="H4369">
        <f>IF(A4369="","",E4369&amp;F4369&amp;G4369)</f>
        <v/>
      </c>
      <c r="I4369">
        <f>IF(A4369="","",IF(AND(E4369&gt;=4,F4369&gt;=4,G4369&gt;=4),"Juara",IF(AND(F4369&gt;=4,E4369&gt;=3),"Setia",IF(AND(E4369=5,F4369&lt;=2,G4369&gt;=3),"Berpotensi",IF(AND(E4369&lt;=3,E4369&gt;=2,F4369&gt;=3),"Rawan",IF(AND(E4369&lt;=2,F4369&lt;=2),"Tidur","Umum"))))))</f>
        <v/>
      </c>
    </row>
    <row r="4370">
      <c r="B4370">
        <f>IF(A4370="","",$B$1-MAXIFS(Donasi!$A$2:$A$20000,Donasi!$B$2:$B$20000,A4370))</f>
        <v/>
      </c>
      <c r="C4370">
        <f>IF(A4370="","",COUNTIF(Donasi!$B$2:$B$20000,A4370))</f>
        <v/>
      </c>
      <c r="D4370">
        <f>IF(A4370="","",SUMIF(Donasi!$B$2:$B$20000,A4370,Donasi!$C$2:$C$20000))</f>
        <v/>
      </c>
      <c r="E4370">
        <f>IF(A4370="","",6-CEILING(PERCENTRANK.INC($B$3:$B$6000,B4370,4)*5+0.000001,1))</f>
        <v/>
      </c>
      <c r="F4370">
        <f>IF(A4370="","",MAX(1,CEILING(PERCENTRANK.INC($C$3:$C$6000,C4370,4)*5+0.000001,1)))</f>
        <v/>
      </c>
      <c r="G4370">
        <f>IF(A4370="","",MAX(1,CEILING(PERCENTRANK.INC($D$3:$D$6000,D4370,4)*5+0.000001,1)))</f>
        <v/>
      </c>
      <c r="H4370">
        <f>IF(A4370="","",E4370&amp;F4370&amp;G4370)</f>
        <v/>
      </c>
      <c r="I4370">
        <f>IF(A4370="","",IF(AND(E4370&gt;=4,F4370&gt;=4,G4370&gt;=4),"Juara",IF(AND(F4370&gt;=4,E4370&gt;=3),"Setia",IF(AND(E4370=5,F4370&lt;=2,G4370&gt;=3),"Berpotensi",IF(AND(E4370&lt;=3,E4370&gt;=2,F4370&gt;=3),"Rawan",IF(AND(E4370&lt;=2,F4370&lt;=2),"Tidur","Umum"))))))</f>
        <v/>
      </c>
    </row>
    <row r="4371">
      <c r="B4371">
        <f>IF(A4371="","",$B$1-MAXIFS(Donasi!$A$2:$A$20000,Donasi!$B$2:$B$20000,A4371))</f>
        <v/>
      </c>
      <c r="C4371">
        <f>IF(A4371="","",COUNTIF(Donasi!$B$2:$B$20000,A4371))</f>
        <v/>
      </c>
      <c r="D4371">
        <f>IF(A4371="","",SUMIF(Donasi!$B$2:$B$20000,A4371,Donasi!$C$2:$C$20000))</f>
        <v/>
      </c>
      <c r="E4371">
        <f>IF(A4371="","",6-CEILING(PERCENTRANK.INC($B$3:$B$6000,B4371,4)*5+0.000001,1))</f>
        <v/>
      </c>
      <c r="F4371">
        <f>IF(A4371="","",MAX(1,CEILING(PERCENTRANK.INC($C$3:$C$6000,C4371,4)*5+0.000001,1)))</f>
        <v/>
      </c>
      <c r="G4371">
        <f>IF(A4371="","",MAX(1,CEILING(PERCENTRANK.INC($D$3:$D$6000,D4371,4)*5+0.000001,1)))</f>
        <v/>
      </c>
      <c r="H4371">
        <f>IF(A4371="","",E4371&amp;F4371&amp;G4371)</f>
        <v/>
      </c>
      <c r="I4371">
        <f>IF(A4371="","",IF(AND(E4371&gt;=4,F4371&gt;=4,G4371&gt;=4),"Juara",IF(AND(F4371&gt;=4,E4371&gt;=3),"Setia",IF(AND(E4371=5,F4371&lt;=2,G4371&gt;=3),"Berpotensi",IF(AND(E4371&lt;=3,E4371&gt;=2,F4371&gt;=3),"Rawan",IF(AND(E4371&lt;=2,F4371&lt;=2),"Tidur","Umum"))))))</f>
        <v/>
      </c>
    </row>
    <row r="4372">
      <c r="B4372">
        <f>IF(A4372="","",$B$1-MAXIFS(Donasi!$A$2:$A$20000,Donasi!$B$2:$B$20000,A4372))</f>
        <v/>
      </c>
      <c r="C4372">
        <f>IF(A4372="","",COUNTIF(Donasi!$B$2:$B$20000,A4372))</f>
        <v/>
      </c>
      <c r="D4372">
        <f>IF(A4372="","",SUMIF(Donasi!$B$2:$B$20000,A4372,Donasi!$C$2:$C$20000))</f>
        <v/>
      </c>
      <c r="E4372">
        <f>IF(A4372="","",6-CEILING(PERCENTRANK.INC($B$3:$B$6000,B4372,4)*5+0.000001,1))</f>
        <v/>
      </c>
      <c r="F4372">
        <f>IF(A4372="","",MAX(1,CEILING(PERCENTRANK.INC($C$3:$C$6000,C4372,4)*5+0.000001,1)))</f>
        <v/>
      </c>
      <c r="G4372">
        <f>IF(A4372="","",MAX(1,CEILING(PERCENTRANK.INC($D$3:$D$6000,D4372,4)*5+0.000001,1)))</f>
        <v/>
      </c>
      <c r="H4372">
        <f>IF(A4372="","",E4372&amp;F4372&amp;G4372)</f>
        <v/>
      </c>
      <c r="I4372">
        <f>IF(A4372="","",IF(AND(E4372&gt;=4,F4372&gt;=4,G4372&gt;=4),"Juara",IF(AND(F4372&gt;=4,E4372&gt;=3),"Setia",IF(AND(E4372=5,F4372&lt;=2,G4372&gt;=3),"Berpotensi",IF(AND(E4372&lt;=3,E4372&gt;=2,F4372&gt;=3),"Rawan",IF(AND(E4372&lt;=2,F4372&lt;=2),"Tidur","Umum"))))))</f>
        <v/>
      </c>
    </row>
    <row r="4373">
      <c r="B4373">
        <f>IF(A4373="","",$B$1-MAXIFS(Donasi!$A$2:$A$20000,Donasi!$B$2:$B$20000,A4373))</f>
        <v/>
      </c>
      <c r="C4373">
        <f>IF(A4373="","",COUNTIF(Donasi!$B$2:$B$20000,A4373))</f>
        <v/>
      </c>
      <c r="D4373">
        <f>IF(A4373="","",SUMIF(Donasi!$B$2:$B$20000,A4373,Donasi!$C$2:$C$20000))</f>
        <v/>
      </c>
      <c r="E4373">
        <f>IF(A4373="","",6-CEILING(PERCENTRANK.INC($B$3:$B$6000,B4373,4)*5+0.000001,1))</f>
        <v/>
      </c>
      <c r="F4373">
        <f>IF(A4373="","",MAX(1,CEILING(PERCENTRANK.INC($C$3:$C$6000,C4373,4)*5+0.000001,1)))</f>
        <v/>
      </c>
      <c r="G4373">
        <f>IF(A4373="","",MAX(1,CEILING(PERCENTRANK.INC($D$3:$D$6000,D4373,4)*5+0.000001,1)))</f>
        <v/>
      </c>
      <c r="H4373">
        <f>IF(A4373="","",E4373&amp;F4373&amp;G4373)</f>
        <v/>
      </c>
      <c r="I4373">
        <f>IF(A4373="","",IF(AND(E4373&gt;=4,F4373&gt;=4,G4373&gt;=4),"Juara",IF(AND(F4373&gt;=4,E4373&gt;=3),"Setia",IF(AND(E4373=5,F4373&lt;=2,G4373&gt;=3),"Berpotensi",IF(AND(E4373&lt;=3,E4373&gt;=2,F4373&gt;=3),"Rawan",IF(AND(E4373&lt;=2,F4373&lt;=2),"Tidur","Umum"))))))</f>
        <v/>
      </c>
    </row>
    <row r="4374">
      <c r="B4374">
        <f>IF(A4374="","",$B$1-MAXIFS(Donasi!$A$2:$A$20000,Donasi!$B$2:$B$20000,A4374))</f>
        <v/>
      </c>
      <c r="C4374">
        <f>IF(A4374="","",COUNTIF(Donasi!$B$2:$B$20000,A4374))</f>
        <v/>
      </c>
      <c r="D4374">
        <f>IF(A4374="","",SUMIF(Donasi!$B$2:$B$20000,A4374,Donasi!$C$2:$C$20000))</f>
        <v/>
      </c>
      <c r="E4374">
        <f>IF(A4374="","",6-CEILING(PERCENTRANK.INC($B$3:$B$6000,B4374,4)*5+0.000001,1))</f>
        <v/>
      </c>
      <c r="F4374">
        <f>IF(A4374="","",MAX(1,CEILING(PERCENTRANK.INC($C$3:$C$6000,C4374,4)*5+0.000001,1)))</f>
        <v/>
      </c>
      <c r="G4374">
        <f>IF(A4374="","",MAX(1,CEILING(PERCENTRANK.INC($D$3:$D$6000,D4374,4)*5+0.000001,1)))</f>
        <v/>
      </c>
      <c r="H4374">
        <f>IF(A4374="","",E4374&amp;F4374&amp;G4374)</f>
        <v/>
      </c>
      <c r="I4374">
        <f>IF(A4374="","",IF(AND(E4374&gt;=4,F4374&gt;=4,G4374&gt;=4),"Juara",IF(AND(F4374&gt;=4,E4374&gt;=3),"Setia",IF(AND(E4374=5,F4374&lt;=2,G4374&gt;=3),"Berpotensi",IF(AND(E4374&lt;=3,E4374&gt;=2,F4374&gt;=3),"Rawan",IF(AND(E4374&lt;=2,F4374&lt;=2),"Tidur","Umum"))))))</f>
        <v/>
      </c>
    </row>
    <row r="4375">
      <c r="B4375">
        <f>IF(A4375="","",$B$1-MAXIFS(Donasi!$A$2:$A$20000,Donasi!$B$2:$B$20000,A4375))</f>
        <v/>
      </c>
      <c r="C4375">
        <f>IF(A4375="","",COUNTIF(Donasi!$B$2:$B$20000,A4375))</f>
        <v/>
      </c>
      <c r="D4375">
        <f>IF(A4375="","",SUMIF(Donasi!$B$2:$B$20000,A4375,Donasi!$C$2:$C$20000))</f>
        <v/>
      </c>
      <c r="E4375">
        <f>IF(A4375="","",6-CEILING(PERCENTRANK.INC($B$3:$B$6000,B4375,4)*5+0.000001,1))</f>
        <v/>
      </c>
      <c r="F4375">
        <f>IF(A4375="","",MAX(1,CEILING(PERCENTRANK.INC($C$3:$C$6000,C4375,4)*5+0.000001,1)))</f>
        <v/>
      </c>
      <c r="G4375">
        <f>IF(A4375="","",MAX(1,CEILING(PERCENTRANK.INC($D$3:$D$6000,D4375,4)*5+0.000001,1)))</f>
        <v/>
      </c>
      <c r="H4375">
        <f>IF(A4375="","",E4375&amp;F4375&amp;G4375)</f>
        <v/>
      </c>
      <c r="I4375">
        <f>IF(A4375="","",IF(AND(E4375&gt;=4,F4375&gt;=4,G4375&gt;=4),"Juara",IF(AND(F4375&gt;=4,E4375&gt;=3),"Setia",IF(AND(E4375=5,F4375&lt;=2,G4375&gt;=3),"Berpotensi",IF(AND(E4375&lt;=3,E4375&gt;=2,F4375&gt;=3),"Rawan",IF(AND(E4375&lt;=2,F4375&lt;=2),"Tidur","Umum"))))))</f>
        <v/>
      </c>
    </row>
    <row r="4376">
      <c r="B4376">
        <f>IF(A4376="","",$B$1-MAXIFS(Donasi!$A$2:$A$20000,Donasi!$B$2:$B$20000,A4376))</f>
        <v/>
      </c>
      <c r="C4376">
        <f>IF(A4376="","",COUNTIF(Donasi!$B$2:$B$20000,A4376))</f>
        <v/>
      </c>
      <c r="D4376">
        <f>IF(A4376="","",SUMIF(Donasi!$B$2:$B$20000,A4376,Donasi!$C$2:$C$20000))</f>
        <v/>
      </c>
      <c r="E4376">
        <f>IF(A4376="","",6-CEILING(PERCENTRANK.INC($B$3:$B$6000,B4376,4)*5+0.000001,1))</f>
        <v/>
      </c>
      <c r="F4376">
        <f>IF(A4376="","",MAX(1,CEILING(PERCENTRANK.INC($C$3:$C$6000,C4376,4)*5+0.000001,1)))</f>
        <v/>
      </c>
      <c r="G4376">
        <f>IF(A4376="","",MAX(1,CEILING(PERCENTRANK.INC($D$3:$D$6000,D4376,4)*5+0.000001,1)))</f>
        <v/>
      </c>
      <c r="H4376">
        <f>IF(A4376="","",E4376&amp;F4376&amp;G4376)</f>
        <v/>
      </c>
      <c r="I4376">
        <f>IF(A4376="","",IF(AND(E4376&gt;=4,F4376&gt;=4,G4376&gt;=4),"Juara",IF(AND(F4376&gt;=4,E4376&gt;=3),"Setia",IF(AND(E4376=5,F4376&lt;=2,G4376&gt;=3),"Berpotensi",IF(AND(E4376&lt;=3,E4376&gt;=2,F4376&gt;=3),"Rawan",IF(AND(E4376&lt;=2,F4376&lt;=2),"Tidur","Umum"))))))</f>
        <v/>
      </c>
    </row>
    <row r="4377">
      <c r="B4377">
        <f>IF(A4377="","",$B$1-MAXIFS(Donasi!$A$2:$A$20000,Donasi!$B$2:$B$20000,A4377))</f>
        <v/>
      </c>
      <c r="C4377">
        <f>IF(A4377="","",COUNTIF(Donasi!$B$2:$B$20000,A4377))</f>
        <v/>
      </c>
      <c r="D4377">
        <f>IF(A4377="","",SUMIF(Donasi!$B$2:$B$20000,A4377,Donasi!$C$2:$C$20000))</f>
        <v/>
      </c>
      <c r="E4377">
        <f>IF(A4377="","",6-CEILING(PERCENTRANK.INC($B$3:$B$6000,B4377,4)*5+0.000001,1))</f>
        <v/>
      </c>
      <c r="F4377">
        <f>IF(A4377="","",MAX(1,CEILING(PERCENTRANK.INC($C$3:$C$6000,C4377,4)*5+0.000001,1)))</f>
        <v/>
      </c>
      <c r="G4377">
        <f>IF(A4377="","",MAX(1,CEILING(PERCENTRANK.INC($D$3:$D$6000,D4377,4)*5+0.000001,1)))</f>
        <v/>
      </c>
      <c r="H4377">
        <f>IF(A4377="","",E4377&amp;F4377&amp;G4377)</f>
        <v/>
      </c>
      <c r="I4377">
        <f>IF(A4377="","",IF(AND(E4377&gt;=4,F4377&gt;=4,G4377&gt;=4),"Juara",IF(AND(F4377&gt;=4,E4377&gt;=3),"Setia",IF(AND(E4377=5,F4377&lt;=2,G4377&gt;=3),"Berpotensi",IF(AND(E4377&lt;=3,E4377&gt;=2,F4377&gt;=3),"Rawan",IF(AND(E4377&lt;=2,F4377&lt;=2),"Tidur","Umum"))))))</f>
        <v/>
      </c>
    </row>
    <row r="4378">
      <c r="B4378">
        <f>IF(A4378="","",$B$1-MAXIFS(Donasi!$A$2:$A$20000,Donasi!$B$2:$B$20000,A4378))</f>
        <v/>
      </c>
      <c r="C4378">
        <f>IF(A4378="","",COUNTIF(Donasi!$B$2:$B$20000,A4378))</f>
        <v/>
      </c>
      <c r="D4378">
        <f>IF(A4378="","",SUMIF(Donasi!$B$2:$B$20000,A4378,Donasi!$C$2:$C$20000))</f>
        <v/>
      </c>
      <c r="E4378">
        <f>IF(A4378="","",6-CEILING(PERCENTRANK.INC($B$3:$B$6000,B4378,4)*5+0.000001,1))</f>
        <v/>
      </c>
      <c r="F4378">
        <f>IF(A4378="","",MAX(1,CEILING(PERCENTRANK.INC($C$3:$C$6000,C4378,4)*5+0.000001,1)))</f>
        <v/>
      </c>
      <c r="G4378">
        <f>IF(A4378="","",MAX(1,CEILING(PERCENTRANK.INC($D$3:$D$6000,D4378,4)*5+0.000001,1)))</f>
        <v/>
      </c>
      <c r="H4378">
        <f>IF(A4378="","",E4378&amp;F4378&amp;G4378)</f>
        <v/>
      </c>
      <c r="I4378">
        <f>IF(A4378="","",IF(AND(E4378&gt;=4,F4378&gt;=4,G4378&gt;=4),"Juara",IF(AND(F4378&gt;=4,E4378&gt;=3),"Setia",IF(AND(E4378=5,F4378&lt;=2,G4378&gt;=3),"Berpotensi",IF(AND(E4378&lt;=3,E4378&gt;=2,F4378&gt;=3),"Rawan",IF(AND(E4378&lt;=2,F4378&lt;=2),"Tidur","Umum"))))))</f>
        <v/>
      </c>
    </row>
    <row r="4379">
      <c r="B4379">
        <f>IF(A4379="","",$B$1-MAXIFS(Donasi!$A$2:$A$20000,Donasi!$B$2:$B$20000,A4379))</f>
        <v/>
      </c>
      <c r="C4379">
        <f>IF(A4379="","",COUNTIF(Donasi!$B$2:$B$20000,A4379))</f>
        <v/>
      </c>
      <c r="D4379">
        <f>IF(A4379="","",SUMIF(Donasi!$B$2:$B$20000,A4379,Donasi!$C$2:$C$20000))</f>
        <v/>
      </c>
      <c r="E4379">
        <f>IF(A4379="","",6-CEILING(PERCENTRANK.INC($B$3:$B$6000,B4379,4)*5+0.000001,1))</f>
        <v/>
      </c>
      <c r="F4379">
        <f>IF(A4379="","",MAX(1,CEILING(PERCENTRANK.INC($C$3:$C$6000,C4379,4)*5+0.000001,1)))</f>
        <v/>
      </c>
      <c r="G4379">
        <f>IF(A4379="","",MAX(1,CEILING(PERCENTRANK.INC($D$3:$D$6000,D4379,4)*5+0.000001,1)))</f>
        <v/>
      </c>
      <c r="H4379">
        <f>IF(A4379="","",E4379&amp;F4379&amp;G4379)</f>
        <v/>
      </c>
      <c r="I4379">
        <f>IF(A4379="","",IF(AND(E4379&gt;=4,F4379&gt;=4,G4379&gt;=4),"Juara",IF(AND(F4379&gt;=4,E4379&gt;=3),"Setia",IF(AND(E4379=5,F4379&lt;=2,G4379&gt;=3),"Berpotensi",IF(AND(E4379&lt;=3,E4379&gt;=2,F4379&gt;=3),"Rawan",IF(AND(E4379&lt;=2,F4379&lt;=2),"Tidur","Umum"))))))</f>
        <v/>
      </c>
    </row>
    <row r="4380">
      <c r="B4380">
        <f>IF(A4380="","",$B$1-MAXIFS(Donasi!$A$2:$A$20000,Donasi!$B$2:$B$20000,A4380))</f>
        <v/>
      </c>
      <c r="C4380">
        <f>IF(A4380="","",COUNTIF(Donasi!$B$2:$B$20000,A4380))</f>
        <v/>
      </c>
      <c r="D4380">
        <f>IF(A4380="","",SUMIF(Donasi!$B$2:$B$20000,A4380,Donasi!$C$2:$C$20000))</f>
        <v/>
      </c>
      <c r="E4380">
        <f>IF(A4380="","",6-CEILING(PERCENTRANK.INC($B$3:$B$6000,B4380,4)*5+0.000001,1))</f>
        <v/>
      </c>
      <c r="F4380">
        <f>IF(A4380="","",MAX(1,CEILING(PERCENTRANK.INC($C$3:$C$6000,C4380,4)*5+0.000001,1)))</f>
        <v/>
      </c>
      <c r="G4380">
        <f>IF(A4380="","",MAX(1,CEILING(PERCENTRANK.INC($D$3:$D$6000,D4380,4)*5+0.000001,1)))</f>
        <v/>
      </c>
      <c r="H4380">
        <f>IF(A4380="","",E4380&amp;F4380&amp;G4380)</f>
        <v/>
      </c>
      <c r="I4380">
        <f>IF(A4380="","",IF(AND(E4380&gt;=4,F4380&gt;=4,G4380&gt;=4),"Juara",IF(AND(F4380&gt;=4,E4380&gt;=3),"Setia",IF(AND(E4380=5,F4380&lt;=2,G4380&gt;=3),"Berpotensi",IF(AND(E4380&lt;=3,E4380&gt;=2,F4380&gt;=3),"Rawan",IF(AND(E4380&lt;=2,F4380&lt;=2),"Tidur","Umum"))))))</f>
        <v/>
      </c>
    </row>
    <row r="4381">
      <c r="B4381">
        <f>IF(A4381="","",$B$1-MAXIFS(Donasi!$A$2:$A$20000,Donasi!$B$2:$B$20000,A4381))</f>
        <v/>
      </c>
      <c r="C4381">
        <f>IF(A4381="","",COUNTIF(Donasi!$B$2:$B$20000,A4381))</f>
        <v/>
      </c>
      <c r="D4381">
        <f>IF(A4381="","",SUMIF(Donasi!$B$2:$B$20000,A4381,Donasi!$C$2:$C$20000))</f>
        <v/>
      </c>
      <c r="E4381">
        <f>IF(A4381="","",6-CEILING(PERCENTRANK.INC($B$3:$B$6000,B4381,4)*5+0.000001,1))</f>
        <v/>
      </c>
      <c r="F4381">
        <f>IF(A4381="","",MAX(1,CEILING(PERCENTRANK.INC($C$3:$C$6000,C4381,4)*5+0.000001,1)))</f>
        <v/>
      </c>
      <c r="G4381">
        <f>IF(A4381="","",MAX(1,CEILING(PERCENTRANK.INC($D$3:$D$6000,D4381,4)*5+0.000001,1)))</f>
        <v/>
      </c>
      <c r="H4381">
        <f>IF(A4381="","",E4381&amp;F4381&amp;G4381)</f>
        <v/>
      </c>
      <c r="I4381">
        <f>IF(A4381="","",IF(AND(E4381&gt;=4,F4381&gt;=4,G4381&gt;=4),"Juara",IF(AND(F4381&gt;=4,E4381&gt;=3),"Setia",IF(AND(E4381=5,F4381&lt;=2,G4381&gt;=3),"Berpotensi",IF(AND(E4381&lt;=3,E4381&gt;=2,F4381&gt;=3),"Rawan",IF(AND(E4381&lt;=2,F4381&lt;=2),"Tidur","Umum"))))))</f>
        <v/>
      </c>
    </row>
    <row r="4382">
      <c r="B4382">
        <f>IF(A4382="","",$B$1-MAXIFS(Donasi!$A$2:$A$20000,Donasi!$B$2:$B$20000,A4382))</f>
        <v/>
      </c>
      <c r="C4382">
        <f>IF(A4382="","",COUNTIF(Donasi!$B$2:$B$20000,A4382))</f>
        <v/>
      </c>
      <c r="D4382">
        <f>IF(A4382="","",SUMIF(Donasi!$B$2:$B$20000,A4382,Donasi!$C$2:$C$20000))</f>
        <v/>
      </c>
      <c r="E4382">
        <f>IF(A4382="","",6-CEILING(PERCENTRANK.INC($B$3:$B$6000,B4382,4)*5+0.000001,1))</f>
        <v/>
      </c>
      <c r="F4382">
        <f>IF(A4382="","",MAX(1,CEILING(PERCENTRANK.INC($C$3:$C$6000,C4382,4)*5+0.000001,1)))</f>
        <v/>
      </c>
      <c r="G4382">
        <f>IF(A4382="","",MAX(1,CEILING(PERCENTRANK.INC($D$3:$D$6000,D4382,4)*5+0.000001,1)))</f>
        <v/>
      </c>
      <c r="H4382">
        <f>IF(A4382="","",E4382&amp;F4382&amp;G4382)</f>
        <v/>
      </c>
      <c r="I4382">
        <f>IF(A4382="","",IF(AND(E4382&gt;=4,F4382&gt;=4,G4382&gt;=4),"Juara",IF(AND(F4382&gt;=4,E4382&gt;=3),"Setia",IF(AND(E4382=5,F4382&lt;=2,G4382&gt;=3),"Berpotensi",IF(AND(E4382&lt;=3,E4382&gt;=2,F4382&gt;=3),"Rawan",IF(AND(E4382&lt;=2,F4382&lt;=2),"Tidur","Umum"))))))</f>
        <v/>
      </c>
    </row>
    <row r="4383">
      <c r="B4383">
        <f>IF(A4383="","",$B$1-MAXIFS(Donasi!$A$2:$A$20000,Donasi!$B$2:$B$20000,A4383))</f>
        <v/>
      </c>
      <c r="C4383">
        <f>IF(A4383="","",COUNTIF(Donasi!$B$2:$B$20000,A4383))</f>
        <v/>
      </c>
      <c r="D4383">
        <f>IF(A4383="","",SUMIF(Donasi!$B$2:$B$20000,A4383,Donasi!$C$2:$C$20000))</f>
        <v/>
      </c>
      <c r="E4383">
        <f>IF(A4383="","",6-CEILING(PERCENTRANK.INC($B$3:$B$6000,B4383,4)*5+0.000001,1))</f>
        <v/>
      </c>
      <c r="F4383">
        <f>IF(A4383="","",MAX(1,CEILING(PERCENTRANK.INC($C$3:$C$6000,C4383,4)*5+0.000001,1)))</f>
        <v/>
      </c>
      <c r="G4383">
        <f>IF(A4383="","",MAX(1,CEILING(PERCENTRANK.INC($D$3:$D$6000,D4383,4)*5+0.000001,1)))</f>
        <v/>
      </c>
      <c r="H4383">
        <f>IF(A4383="","",E4383&amp;F4383&amp;G4383)</f>
        <v/>
      </c>
      <c r="I4383">
        <f>IF(A4383="","",IF(AND(E4383&gt;=4,F4383&gt;=4,G4383&gt;=4),"Juara",IF(AND(F4383&gt;=4,E4383&gt;=3),"Setia",IF(AND(E4383=5,F4383&lt;=2,G4383&gt;=3),"Berpotensi",IF(AND(E4383&lt;=3,E4383&gt;=2,F4383&gt;=3),"Rawan",IF(AND(E4383&lt;=2,F4383&lt;=2),"Tidur","Umum"))))))</f>
        <v/>
      </c>
    </row>
    <row r="4384">
      <c r="B4384">
        <f>IF(A4384="","",$B$1-MAXIFS(Donasi!$A$2:$A$20000,Donasi!$B$2:$B$20000,A4384))</f>
        <v/>
      </c>
      <c r="C4384">
        <f>IF(A4384="","",COUNTIF(Donasi!$B$2:$B$20000,A4384))</f>
        <v/>
      </c>
      <c r="D4384">
        <f>IF(A4384="","",SUMIF(Donasi!$B$2:$B$20000,A4384,Donasi!$C$2:$C$20000))</f>
        <v/>
      </c>
      <c r="E4384">
        <f>IF(A4384="","",6-CEILING(PERCENTRANK.INC($B$3:$B$6000,B4384,4)*5+0.000001,1))</f>
        <v/>
      </c>
      <c r="F4384">
        <f>IF(A4384="","",MAX(1,CEILING(PERCENTRANK.INC($C$3:$C$6000,C4384,4)*5+0.000001,1)))</f>
        <v/>
      </c>
      <c r="G4384">
        <f>IF(A4384="","",MAX(1,CEILING(PERCENTRANK.INC($D$3:$D$6000,D4384,4)*5+0.000001,1)))</f>
        <v/>
      </c>
      <c r="H4384">
        <f>IF(A4384="","",E4384&amp;F4384&amp;G4384)</f>
        <v/>
      </c>
      <c r="I4384">
        <f>IF(A4384="","",IF(AND(E4384&gt;=4,F4384&gt;=4,G4384&gt;=4),"Juara",IF(AND(F4384&gt;=4,E4384&gt;=3),"Setia",IF(AND(E4384=5,F4384&lt;=2,G4384&gt;=3),"Berpotensi",IF(AND(E4384&lt;=3,E4384&gt;=2,F4384&gt;=3),"Rawan",IF(AND(E4384&lt;=2,F4384&lt;=2),"Tidur","Umum"))))))</f>
        <v/>
      </c>
    </row>
    <row r="4385">
      <c r="B4385">
        <f>IF(A4385="","",$B$1-MAXIFS(Donasi!$A$2:$A$20000,Donasi!$B$2:$B$20000,A4385))</f>
        <v/>
      </c>
      <c r="C4385">
        <f>IF(A4385="","",COUNTIF(Donasi!$B$2:$B$20000,A4385))</f>
        <v/>
      </c>
      <c r="D4385">
        <f>IF(A4385="","",SUMIF(Donasi!$B$2:$B$20000,A4385,Donasi!$C$2:$C$20000))</f>
        <v/>
      </c>
      <c r="E4385">
        <f>IF(A4385="","",6-CEILING(PERCENTRANK.INC($B$3:$B$6000,B4385,4)*5+0.000001,1))</f>
        <v/>
      </c>
      <c r="F4385">
        <f>IF(A4385="","",MAX(1,CEILING(PERCENTRANK.INC($C$3:$C$6000,C4385,4)*5+0.000001,1)))</f>
        <v/>
      </c>
      <c r="G4385">
        <f>IF(A4385="","",MAX(1,CEILING(PERCENTRANK.INC($D$3:$D$6000,D4385,4)*5+0.000001,1)))</f>
        <v/>
      </c>
      <c r="H4385">
        <f>IF(A4385="","",E4385&amp;F4385&amp;G4385)</f>
        <v/>
      </c>
      <c r="I4385">
        <f>IF(A4385="","",IF(AND(E4385&gt;=4,F4385&gt;=4,G4385&gt;=4),"Juara",IF(AND(F4385&gt;=4,E4385&gt;=3),"Setia",IF(AND(E4385=5,F4385&lt;=2,G4385&gt;=3),"Berpotensi",IF(AND(E4385&lt;=3,E4385&gt;=2,F4385&gt;=3),"Rawan",IF(AND(E4385&lt;=2,F4385&lt;=2),"Tidur","Umum"))))))</f>
        <v/>
      </c>
    </row>
    <row r="4386">
      <c r="B4386">
        <f>IF(A4386="","",$B$1-MAXIFS(Donasi!$A$2:$A$20000,Donasi!$B$2:$B$20000,A4386))</f>
        <v/>
      </c>
      <c r="C4386">
        <f>IF(A4386="","",COUNTIF(Donasi!$B$2:$B$20000,A4386))</f>
        <v/>
      </c>
      <c r="D4386">
        <f>IF(A4386="","",SUMIF(Donasi!$B$2:$B$20000,A4386,Donasi!$C$2:$C$20000))</f>
        <v/>
      </c>
      <c r="E4386">
        <f>IF(A4386="","",6-CEILING(PERCENTRANK.INC($B$3:$B$6000,B4386,4)*5+0.000001,1))</f>
        <v/>
      </c>
      <c r="F4386">
        <f>IF(A4386="","",MAX(1,CEILING(PERCENTRANK.INC($C$3:$C$6000,C4386,4)*5+0.000001,1)))</f>
        <v/>
      </c>
      <c r="G4386">
        <f>IF(A4386="","",MAX(1,CEILING(PERCENTRANK.INC($D$3:$D$6000,D4386,4)*5+0.000001,1)))</f>
        <v/>
      </c>
      <c r="H4386">
        <f>IF(A4386="","",E4386&amp;F4386&amp;G4386)</f>
        <v/>
      </c>
      <c r="I4386">
        <f>IF(A4386="","",IF(AND(E4386&gt;=4,F4386&gt;=4,G4386&gt;=4),"Juara",IF(AND(F4386&gt;=4,E4386&gt;=3),"Setia",IF(AND(E4386=5,F4386&lt;=2,G4386&gt;=3),"Berpotensi",IF(AND(E4386&lt;=3,E4386&gt;=2,F4386&gt;=3),"Rawan",IF(AND(E4386&lt;=2,F4386&lt;=2),"Tidur","Umum"))))))</f>
        <v/>
      </c>
    </row>
    <row r="4387">
      <c r="B4387">
        <f>IF(A4387="","",$B$1-MAXIFS(Donasi!$A$2:$A$20000,Donasi!$B$2:$B$20000,A4387))</f>
        <v/>
      </c>
      <c r="C4387">
        <f>IF(A4387="","",COUNTIF(Donasi!$B$2:$B$20000,A4387))</f>
        <v/>
      </c>
      <c r="D4387">
        <f>IF(A4387="","",SUMIF(Donasi!$B$2:$B$20000,A4387,Donasi!$C$2:$C$20000))</f>
        <v/>
      </c>
      <c r="E4387">
        <f>IF(A4387="","",6-CEILING(PERCENTRANK.INC($B$3:$B$6000,B4387,4)*5+0.000001,1))</f>
        <v/>
      </c>
      <c r="F4387">
        <f>IF(A4387="","",MAX(1,CEILING(PERCENTRANK.INC($C$3:$C$6000,C4387,4)*5+0.000001,1)))</f>
        <v/>
      </c>
      <c r="G4387">
        <f>IF(A4387="","",MAX(1,CEILING(PERCENTRANK.INC($D$3:$D$6000,D4387,4)*5+0.000001,1)))</f>
        <v/>
      </c>
      <c r="H4387">
        <f>IF(A4387="","",E4387&amp;F4387&amp;G4387)</f>
        <v/>
      </c>
      <c r="I4387">
        <f>IF(A4387="","",IF(AND(E4387&gt;=4,F4387&gt;=4,G4387&gt;=4),"Juara",IF(AND(F4387&gt;=4,E4387&gt;=3),"Setia",IF(AND(E4387=5,F4387&lt;=2,G4387&gt;=3),"Berpotensi",IF(AND(E4387&lt;=3,E4387&gt;=2,F4387&gt;=3),"Rawan",IF(AND(E4387&lt;=2,F4387&lt;=2),"Tidur","Umum"))))))</f>
        <v/>
      </c>
    </row>
    <row r="4388">
      <c r="B4388">
        <f>IF(A4388="","",$B$1-MAXIFS(Donasi!$A$2:$A$20000,Donasi!$B$2:$B$20000,A4388))</f>
        <v/>
      </c>
      <c r="C4388">
        <f>IF(A4388="","",COUNTIF(Donasi!$B$2:$B$20000,A4388))</f>
        <v/>
      </c>
      <c r="D4388">
        <f>IF(A4388="","",SUMIF(Donasi!$B$2:$B$20000,A4388,Donasi!$C$2:$C$20000))</f>
        <v/>
      </c>
      <c r="E4388">
        <f>IF(A4388="","",6-CEILING(PERCENTRANK.INC($B$3:$B$6000,B4388,4)*5+0.000001,1))</f>
        <v/>
      </c>
      <c r="F4388">
        <f>IF(A4388="","",MAX(1,CEILING(PERCENTRANK.INC($C$3:$C$6000,C4388,4)*5+0.000001,1)))</f>
        <v/>
      </c>
      <c r="G4388">
        <f>IF(A4388="","",MAX(1,CEILING(PERCENTRANK.INC($D$3:$D$6000,D4388,4)*5+0.000001,1)))</f>
        <v/>
      </c>
      <c r="H4388">
        <f>IF(A4388="","",E4388&amp;F4388&amp;G4388)</f>
        <v/>
      </c>
      <c r="I4388">
        <f>IF(A4388="","",IF(AND(E4388&gt;=4,F4388&gt;=4,G4388&gt;=4),"Juara",IF(AND(F4388&gt;=4,E4388&gt;=3),"Setia",IF(AND(E4388=5,F4388&lt;=2,G4388&gt;=3),"Berpotensi",IF(AND(E4388&lt;=3,E4388&gt;=2,F4388&gt;=3),"Rawan",IF(AND(E4388&lt;=2,F4388&lt;=2),"Tidur","Umum"))))))</f>
        <v/>
      </c>
    </row>
    <row r="4389">
      <c r="B4389">
        <f>IF(A4389="","",$B$1-MAXIFS(Donasi!$A$2:$A$20000,Donasi!$B$2:$B$20000,A4389))</f>
        <v/>
      </c>
      <c r="C4389">
        <f>IF(A4389="","",COUNTIF(Donasi!$B$2:$B$20000,A4389))</f>
        <v/>
      </c>
      <c r="D4389">
        <f>IF(A4389="","",SUMIF(Donasi!$B$2:$B$20000,A4389,Donasi!$C$2:$C$20000))</f>
        <v/>
      </c>
      <c r="E4389">
        <f>IF(A4389="","",6-CEILING(PERCENTRANK.INC($B$3:$B$6000,B4389,4)*5+0.000001,1))</f>
        <v/>
      </c>
      <c r="F4389">
        <f>IF(A4389="","",MAX(1,CEILING(PERCENTRANK.INC($C$3:$C$6000,C4389,4)*5+0.000001,1)))</f>
        <v/>
      </c>
      <c r="G4389">
        <f>IF(A4389="","",MAX(1,CEILING(PERCENTRANK.INC($D$3:$D$6000,D4389,4)*5+0.000001,1)))</f>
        <v/>
      </c>
      <c r="H4389">
        <f>IF(A4389="","",E4389&amp;F4389&amp;G4389)</f>
        <v/>
      </c>
      <c r="I4389">
        <f>IF(A4389="","",IF(AND(E4389&gt;=4,F4389&gt;=4,G4389&gt;=4),"Juara",IF(AND(F4389&gt;=4,E4389&gt;=3),"Setia",IF(AND(E4389=5,F4389&lt;=2,G4389&gt;=3),"Berpotensi",IF(AND(E4389&lt;=3,E4389&gt;=2,F4389&gt;=3),"Rawan",IF(AND(E4389&lt;=2,F4389&lt;=2),"Tidur","Umum"))))))</f>
        <v/>
      </c>
    </row>
    <row r="4390">
      <c r="B4390">
        <f>IF(A4390="","",$B$1-MAXIFS(Donasi!$A$2:$A$20000,Donasi!$B$2:$B$20000,A4390))</f>
        <v/>
      </c>
      <c r="C4390">
        <f>IF(A4390="","",COUNTIF(Donasi!$B$2:$B$20000,A4390))</f>
        <v/>
      </c>
      <c r="D4390">
        <f>IF(A4390="","",SUMIF(Donasi!$B$2:$B$20000,A4390,Donasi!$C$2:$C$20000))</f>
        <v/>
      </c>
      <c r="E4390">
        <f>IF(A4390="","",6-CEILING(PERCENTRANK.INC($B$3:$B$6000,B4390,4)*5+0.000001,1))</f>
        <v/>
      </c>
      <c r="F4390">
        <f>IF(A4390="","",MAX(1,CEILING(PERCENTRANK.INC($C$3:$C$6000,C4390,4)*5+0.000001,1)))</f>
        <v/>
      </c>
      <c r="G4390">
        <f>IF(A4390="","",MAX(1,CEILING(PERCENTRANK.INC($D$3:$D$6000,D4390,4)*5+0.000001,1)))</f>
        <v/>
      </c>
      <c r="H4390">
        <f>IF(A4390="","",E4390&amp;F4390&amp;G4390)</f>
        <v/>
      </c>
      <c r="I4390">
        <f>IF(A4390="","",IF(AND(E4390&gt;=4,F4390&gt;=4,G4390&gt;=4),"Juara",IF(AND(F4390&gt;=4,E4390&gt;=3),"Setia",IF(AND(E4390=5,F4390&lt;=2,G4390&gt;=3),"Berpotensi",IF(AND(E4390&lt;=3,E4390&gt;=2,F4390&gt;=3),"Rawan",IF(AND(E4390&lt;=2,F4390&lt;=2),"Tidur","Umum"))))))</f>
        <v/>
      </c>
    </row>
    <row r="4391">
      <c r="B4391">
        <f>IF(A4391="","",$B$1-MAXIFS(Donasi!$A$2:$A$20000,Donasi!$B$2:$B$20000,A4391))</f>
        <v/>
      </c>
      <c r="C4391">
        <f>IF(A4391="","",COUNTIF(Donasi!$B$2:$B$20000,A4391))</f>
        <v/>
      </c>
      <c r="D4391">
        <f>IF(A4391="","",SUMIF(Donasi!$B$2:$B$20000,A4391,Donasi!$C$2:$C$20000))</f>
        <v/>
      </c>
      <c r="E4391">
        <f>IF(A4391="","",6-CEILING(PERCENTRANK.INC($B$3:$B$6000,B4391,4)*5+0.000001,1))</f>
        <v/>
      </c>
      <c r="F4391">
        <f>IF(A4391="","",MAX(1,CEILING(PERCENTRANK.INC($C$3:$C$6000,C4391,4)*5+0.000001,1)))</f>
        <v/>
      </c>
      <c r="G4391">
        <f>IF(A4391="","",MAX(1,CEILING(PERCENTRANK.INC($D$3:$D$6000,D4391,4)*5+0.000001,1)))</f>
        <v/>
      </c>
      <c r="H4391">
        <f>IF(A4391="","",E4391&amp;F4391&amp;G4391)</f>
        <v/>
      </c>
      <c r="I4391">
        <f>IF(A4391="","",IF(AND(E4391&gt;=4,F4391&gt;=4,G4391&gt;=4),"Juara",IF(AND(F4391&gt;=4,E4391&gt;=3),"Setia",IF(AND(E4391=5,F4391&lt;=2,G4391&gt;=3),"Berpotensi",IF(AND(E4391&lt;=3,E4391&gt;=2,F4391&gt;=3),"Rawan",IF(AND(E4391&lt;=2,F4391&lt;=2),"Tidur","Umum"))))))</f>
        <v/>
      </c>
    </row>
    <row r="4392">
      <c r="B4392">
        <f>IF(A4392="","",$B$1-MAXIFS(Donasi!$A$2:$A$20000,Donasi!$B$2:$B$20000,A4392))</f>
        <v/>
      </c>
      <c r="C4392">
        <f>IF(A4392="","",COUNTIF(Donasi!$B$2:$B$20000,A4392))</f>
        <v/>
      </c>
      <c r="D4392">
        <f>IF(A4392="","",SUMIF(Donasi!$B$2:$B$20000,A4392,Donasi!$C$2:$C$20000))</f>
        <v/>
      </c>
      <c r="E4392">
        <f>IF(A4392="","",6-CEILING(PERCENTRANK.INC($B$3:$B$6000,B4392,4)*5+0.000001,1))</f>
        <v/>
      </c>
      <c r="F4392">
        <f>IF(A4392="","",MAX(1,CEILING(PERCENTRANK.INC($C$3:$C$6000,C4392,4)*5+0.000001,1)))</f>
        <v/>
      </c>
      <c r="G4392">
        <f>IF(A4392="","",MAX(1,CEILING(PERCENTRANK.INC($D$3:$D$6000,D4392,4)*5+0.000001,1)))</f>
        <v/>
      </c>
      <c r="H4392">
        <f>IF(A4392="","",E4392&amp;F4392&amp;G4392)</f>
        <v/>
      </c>
      <c r="I4392">
        <f>IF(A4392="","",IF(AND(E4392&gt;=4,F4392&gt;=4,G4392&gt;=4),"Juara",IF(AND(F4392&gt;=4,E4392&gt;=3),"Setia",IF(AND(E4392=5,F4392&lt;=2,G4392&gt;=3),"Berpotensi",IF(AND(E4392&lt;=3,E4392&gt;=2,F4392&gt;=3),"Rawan",IF(AND(E4392&lt;=2,F4392&lt;=2),"Tidur","Umum"))))))</f>
        <v/>
      </c>
    </row>
    <row r="4393">
      <c r="B4393">
        <f>IF(A4393="","",$B$1-MAXIFS(Donasi!$A$2:$A$20000,Donasi!$B$2:$B$20000,A4393))</f>
        <v/>
      </c>
      <c r="C4393">
        <f>IF(A4393="","",COUNTIF(Donasi!$B$2:$B$20000,A4393))</f>
        <v/>
      </c>
      <c r="D4393">
        <f>IF(A4393="","",SUMIF(Donasi!$B$2:$B$20000,A4393,Donasi!$C$2:$C$20000))</f>
        <v/>
      </c>
      <c r="E4393">
        <f>IF(A4393="","",6-CEILING(PERCENTRANK.INC($B$3:$B$6000,B4393,4)*5+0.000001,1))</f>
        <v/>
      </c>
      <c r="F4393">
        <f>IF(A4393="","",MAX(1,CEILING(PERCENTRANK.INC($C$3:$C$6000,C4393,4)*5+0.000001,1)))</f>
        <v/>
      </c>
      <c r="G4393">
        <f>IF(A4393="","",MAX(1,CEILING(PERCENTRANK.INC($D$3:$D$6000,D4393,4)*5+0.000001,1)))</f>
        <v/>
      </c>
      <c r="H4393">
        <f>IF(A4393="","",E4393&amp;F4393&amp;G4393)</f>
        <v/>
      </c>
      <c r="I4393">
        <f>IF(A4393="","",IF(AND(E4393&gt;=4,F4393&gt;=4,G4393&gt;=4),"Juara",IF(AND(F4393&gt;=4,E4393&gt;=3),"Setia",IF(AND(E4393=5,F4393&lt;=2,G4393&gt;=3),"Berpotensi",IF(AND(E4393&lt;=3,E4393&gt;=2,F4393&gt;=3),"Rawan",IF(AND(E4393&lt;=2,F4393&lt;=2),"Tidur","Umum"))))))</f>
        <v/>
      </c>
    </row>
    <row r="4394">
      <c r="B4394">
        <f>IF(A4394="","",$B$1-MAXIFS(Donasi!$A$2:$A$20000,Donasi!$B$2:$B$20000,A4394))</f>
        <v/>
      </c>
      <c r="C4394">
        <f>IF(A4394="","",COUNTIF(Donasi!$B$2:$B$20000,A4394))</f>
        <v/>
      </c>
      <c r="D4394">
        <f>IF(A4394="","",SUMIF(Donasi!$B$2:$B$20000,A4394,Donasi!$C$2:$C$20000))</f>
        <v/>
      </c>
      <c r="E4394">
        <f>IF(A4394="","",6-CEILING(PERCENTRANK.INC($B$3:$B$6000,B4394,4)*5+0.000001,1))</f>
        <v/>
      </c>
      <c r="F4394">
        <f>IF(A4394="","",MAX(1,CEILING(PERCENTRANK.INC($C$3:$C$6000,C4394,4)*5+0.000001,1)))</f>
        <v/>
      </c>
      <c r="G4394">
        <f>IF(A4394="","",MAX(1,CEILING(PERCENTRANK.INC($D$3:$D$6000,D4394,4)*5+0.000001,1)))</f>
        <v/>
      </c>
      <c r="H4394">
        <f>IF(A4394="","",E4394&amp;F4394&amp;G4394)</f>
        <v/>
      </c>
      <c r="I4394">
        <f>IF(A4394="","",IF(AND(E4394&gt;=4,F4394&gt;=4,G4394&gt;=4),"Juara",IF(AND(F4394&gt;=4,E4394&gt;=3),"Setia",IF(AND(E4394=5,F4394&lt;=2,G4394&gt;=3),"Berpotensi",IF(AND(E4394&lt;=3,E4394&gt;=2,F4394&gt;=3),"Rawan",IF(AND(E4394&lt;=2,F4394&lt;=2),"Tidur","Umum"))))))</f>
        <v/>
      </c>
    </row>
    <row r="4395">
      <c r="B4395">
        <f>IF(A4395="","",$B$1-MAXIFS(Donasi!$A$2:$A$20000,Donasi!$B$2:$B$20000,A4395))</f>
        <v/>
      </c>
      <c r="C4395">
        <f>IF(A4395="","",COUNTIF(Donasi!$B$2:$B$20000,A4395))</f>
        <v/>
      </c>
      <c r="D4395">
        <f>IF(A4395="","",SUMIF(Donasi!$B$2:$B$20000,A4395,Donasi!$C$2:$C$20000))</f>
        <v/>
      </c>
      <c r="E4395">
        <f>IF(A4395="","",6-CEILING(PERCENTRANK.INC($B$3:$B$6000,B4395,4)*5+0.000001,1))</f>
        <v/>
      </c>
      <c r="F4395">
        <f>IF(A4395="","",MAX(1,CEILING(PERCENTRANK.INC($C$3:$C$6000,C4395,4)*5+0.000001,1)))</f>
        <v/>
      </c>
      <c r="G4395">
        <f>IF(A4395="","",MAX(1,CEILING(PERCENTRANK.INC($D$3:$D$6000,D4395,4)*5+0.000001,1)))</f>
        <v/>
      </c>
      <c r="H4395">
        <f>IF(A4395="","",E4395&amp;F4395&amp;G4395)</f>
        <v/>
      </c>
      <c r="I4395">
        <f>IF(A4395="","",IF(AND(E4395&gt;=4,F4395&gt;=4,G4395&gt;=4),"Juara",IF(AND(F4395&gt;=4,E4395&gt;=3),"Setia",IF(AND(E4395=5,F4395&lt;=2,G4395&gt;=3),"Berpotensi",IF(AND(E4395&lt;=3,E4395&gt;=2,F4395&gt;=3),"Rawan",IF(AND(E4395&lt;=2,F4395&lt;=2),"Tidur","Umum"))))))</f>
        <v/>
      </c>
    </row>
    <row r="4396">
      <c r="B4396">
        <f>IF(A4396="","",$B$1-MAXIFS(Donasi!$A$2:$A$20000,Donasi!$B$2:$B$20000,A4396))</f>
        <v/>
      </c>
      <c r="C4396">
        <f>IF(A4396="","",COUNTIF(Donasi!$B$2:$B$20000,A4396))</f>
        <v/>
      </c>
      <c r="D4396">
        <f>IF(A4396="","",SUMIF(Donasi!$B$2:$B$20000,A4396,Donasi!$C$2:$C$20000))</f>
        <v/>
      </c>
      <c r="E4396">
        <f>IF(A4396="","",6-CEILING(PERCENTRANK.INC($B$3:$B$6000,B4396,4)*5+0.000001,1))</f>
        <v/>
      </c>
      <c r="F4396">
        <f>IF(A4396="","",MAX(1,CEILING(PERCENTRANK.INC($C$3:$C$6000,C4396,4)*5+0.000001,1)))</f>
        <v/>
      </c>
      <c r="G4396">
        <f>IF(A4396="","",MAX(1,CEILING(PERCENTRANK.INC($D$3:$D$6000,D4396,4)*5+0.000001,1)))</f>
        <v/>
      </c>
      <c r="H4396">
        <f>IF(A4396="","",E4396&amp;F4396&amp;G4396)</f>
        <v/>
      </c>
      <c r="I4396">
        <f>IF(A4396="","",IF(AND(E4396&gt;=4,F4396&gt;=4,G4396&gt;=4),"Juara",IF(AND(F4396&gt;=4,E4396&gt;=3),"Setia",IF(AND(E4396=5,F4396&lt;=2,G4396&gt;=3),"Berpotensi",IF(AND(E4396&lt;=3,E4396&gt;=2,F4396&gt;=3),"Rawan",IF(AND(E4396&lt;=2,F4396&lt;=2),"Tidur","Umum"))))))</f>
        <v/>
      </c>
    </row>
    <row r="4397">
      <c r="B4397">
        <f>IF(A4397="","",$B$1-MAXIFS(Donasi!$A$2:$A$20000,Donasi!$B$2:$B$20000,A4397))</f>
        <v/>
      </c>
      <c r="C4397">
        <f>IF(A4397="","",COUNTIF(Donasi!$B$2:$B$20000,A4397))</f>
        <v/>
      </c>
      <c r="D4397">
        <f>IF(A4397="","",SUMIF(Donasi!$B$2:$B$20000,A4397,Donasi!$C$2:$C$20000))</f>
        <v/>
      </c>
      <c r="E4397">
        <f>IF(A4397="","",6-CEILING(PERCENTRANK.INC($B$3:$B$6000,B4397,4)*5+0.000001,1))</f>
        <v/>
      </c>
      <c r="F4397">
        <f>IF(A4397="","",MAX(1,CEILING(PERCENTRANK.INC($C$3:$C$6000,C4397,4)*5+0.000001,1)))</f>
        <v/>
      </c>
      <c r="G4397">
        <f>IF(A4397="","",MAX(1,CEILING(PERCENTRANK.INC($D$3:$D$6000,D4397,4)*5+0.000001,1)))</f>
        <v/>
      </c>
      <c r="H4397">
        <f>IF(A4397="","",E4397&amp;F4397&amp;G4397)</f>
        <v/>
      </c>
      <c r="I4397">
        <f>IF(A4397="","",IF(AND(E4397&gt;=4,F4397&gt;=4,G4397&gt;=4),"Juara",IF(AND(F4397&gt;=4,E4397&gt;=3),"Setia",IF(AND(E4397=5,F4397&lt;=2,G4397&gt;=3),"Berpotensi",IF(AND(E4397&lt;=3,E4397&gt;=2,F4397&gt;=3),"Rawan",IF(AND(E4397&lt;=2,F4397&lt;=2),"Tidur","Umum"))))))</f>
        <v/>
      </c>
    </row>
    <row r="4398">
      <c r="B4398">
        <f>IF(A4398="","",$B$1-MAXIFS(Donasi!$A$2:$A$20000,Donasi!$B$2:$B$20000,A4398))</f>
        <v/>
      </c>
      <c r="C4398">
        <f>IF(A4398="","",COUNTIF(Donasi!$B$2:$B$20000,A4398))</f>
        <v/>
      </c>
      <c r="D4398">
        <f>IF(A4398="","",SUMIF(Donasi!$B$2:$B$20000,A4398,Donasi!$C$2:$C$20000))</f>
        <v/>
      </c>
      <c r="E4398">
        <f>IF(A4398="","",6-CEILING(PERCENTRANK.INC($B$3:$B$6000,B4398,4)*5+0.000001,1))</f>
        <v/>
      </c>
      <c r="F4398">
        <f>IF(A4398="","",MAX(1,CEILING(PERCENTRANK.INC($C$3:$C$6000,C4398,4)*5+0.000001,1)))</f>
        <v/>
      </c>
      <c r="G4398">
        <f>IF(A4398="","",MAX(1,CEILING(PERCENTRANK.INC($D$3:$D$6000,D4398,4)*5+0.000001,1)))</f>
        <v/>
      </c>
      <c r="H4398">
        <f>IF(A4398="","",E4398&amp;F4398&amp;G4398)</f>
        <v/>
      </c>
      <c r="I4398">
        <f>IF(A4398="","",IF(AND(E4398&gt;=4,F4398&gt;=4,G4398&gt;=4),"Juara",IF(AND(F4398&gt;=4,E4398&gt;=3),"Setia",IF(AND(E4398=5,F4398&lt;=2,G4398&gt;=3),"Berpotensi",IF(AND(E4398&lt;=3,E4398&gt;=2,F4398&gt;=3),"Rawan",IF(AND(E4398&lt;=2,F4398&lt;=2),"Tidur","Umum"))))))</f>
        <v/>
      </c>
    </row>
    <row r="4399">
      <c r="B4399">
        <f>IF(A4399="","",$B$1-MAXIFS(Donasi!$A$2:$A$20000,Donasi!$B$2:$B$20000,A4399))</f>
        <v/>
      </c>
      <c r="C4399">
        <f>IF(A4399="","",COUNTIF(Donasi!$B$2:$B$20000,A4399))</f>
        <v/>
      </c>
      <c r="D4399">
        <f>IF(A4399="","",SUMIF(Donasi!$B$2:$B$20000,A4399,Donasi!$C$2:$C$20000))</f>
        <v/>
      </c>
      <c r="E4399">
        <f>IF(A4399="","",6-CEILING(PERCENTRANK.INC($B$3:$B$6000,B4399,4)*5+0.000001,1))</f>
        <v/>
      </c>
      <c r="F4399">
        <f>IF(A4399="","",MAX(1,CEILING(PERCENTRANK.INC($C$3:$C$6000,C4399,4)*5+0.000001,1)))</f>
        <v/>
      </c>
      <c r="G4399">
        <f>IF(A4399="","",MAX(1,CEILING(PERCENTRANK.INC($D$3:$D$6000,D4399,4)*5+0.000001,1)))</f>
        <v/>
      </c>
      <c r="H4399">
        <f>IF(A4399="","",E4399&amp;F4399&amp;G4399)</f>
        <v/>
      </c>
      <c r="I4399">
        <f>IF(A4399="","",IF(AND(E4399&gt;=4,F4399&gt;=4,G4399&gt;=4),"Juara",IF(AND(F4399&gt;=4,E4399&gt;=3),"Setia",IF(AND(E4399=5,F4399&lt;=2,G4399&gt;=3),"Berpotensi",IF(AND(E4399&lt;=3,E4399&gt;=2,F4399&gt;=3),"Rawan",IF(AND(E4399&lt;=2,F4399&lt;=2),"Tidur","Umum"))))))</f>
        <v/>
      </c>
    </row>
    <row r="4400">
      <c r="B4400">
        <f>IF(A4400="","",$B$1-MAXIFS(Donasi!$A$2:$A$20000,Donasi!$B$2:$B$20000,A4400))</f>
        <v/>
      </c>
      <c r="C4400">
        <f>IF(A4400="","",COUNTIF(Donasi!$B$2:$B$20000,A4400))</f>
        <v/>
      </c>
      <c r="D4400">
        <f>IF(A4400="","",SUMIF(Donasi!$B$2:$B$20000,A4400,Donasi!$C$2:$C$20000))</f>
        <v/>
      </c>
      <c r="E4400">
        <f>IF(A4400="","",6-CEILING(PERCENTRANK.INC($B$3:$B$6000,B4400,4)*5+0.000001,1))</f>
        <v/>
      </c>
      <c r="F4400">
        <f>IF(A4400="","",MAX(1,CEILING(PERCENTRANK.INC($C$3:$C$6000,C4400,4)*5+0.000001,1)))</f>
        <v/>
      </c>
      <c r="G4400">
        <f>IF(A4400="","",MAX(1,CEILING(PERCENTRANK.INC($D$3:$D$6000,D4400,4)*5+0.000001,1)))</f>
        <v/>
      </c>
      <c r="H4400">
        <f>IF(A4400="","",E4400&amp;F4400&amp;G4400)</f>
        <v/>
      </c>
      <c r="I4400">
        <f>IF(A4400="","",IF(AND(E4400&gt;=4,F4400&gt;=4,G4400&gt;=4),"Juara",IF(AND(F4400&gt;=4,E4400&gt;=3),"Setia",IF(AND(E4400=5,F4400&lt;=2,G4400&gt;=3),"Berpotensi",IF(AND(E4400&lt;=3,E4400&gt;=2,F4400&gt;=3),"Rawan",IF(AND(E4400&lt;=2,F4400&lt;=2),"Tidur","Umum"))))))</f>
        <v/>
      </c>
    </row>
    <row r="4401">
      <c r="B4401">
        <f>IF(A4401="","",$B$1-MAXIFS(Donasi!$A$2:$A$20000,Donasi!$B$2:$B$20000,A4401))</f>
        <v/>
      </c>
      <c r="C4401">
        <f>IF(A4401="","",COUNTIF(Donasi!$B$2:$B$20000,A4401))</f>
        <v/>
      </c>
      <c r="D4401">
        <f>IF(A4401="","",SUMIF(Donasi!$B$2:$B$20000,A4401,Donasi!$C$2:$C$20000))</f>
        <v/>
      </c>
      <c r="E4401">
        <f>IF(A4401="","",6-CEILING(PERCENTRANK.INC($B$3:$B$6000,B4401,4)*5+0.000001,1))</f>
        <v/>
      </c>
      <c r="F4401">
        <f>IF(A4401="","",MAX(1,CEILING(PERCENTRANK.INC($C$3:$C$6000,C4401,4)*5+0.000001,1)))</f>
        <v/>
      </c>
      <c r="G4401">
        <f>IF(A4401="","",MAX(1,CEILING(PERCENTRANK.INC($D$3:$D$6000,D4401,4)*5+0.000001,1)))</f>
        <v/>
      </c>
      <c r="H4401">
        <f>IF(A4401="","",E4401&amp;F4401&amp;G4401)</f>
        <v/>
      </c>
      <c r="I4401">
        <f>IF(A4401="","",IF(AND(E4401&gt;=4,F4401&gt;=4,G4401&gt;=4),"Juara",IF(AND(F4401&gt;=4,E4401&gt;=3),"Setia",IF(AND(E4401=5,F4401&lt;=2,G4401&gt;=3),"Berpotensi",IF(AND(E4401&lt;=3,E4401&gt;=2,F4401&gt;=3),"Rawan",IF(AND(E4401&lt;=2,F4401&lt;=2),"Tidur","Umum"))))))</f>
        <v/>
      </c>
    </row>
    <row r="4402">
      <c r="B4402">
        <f>IF(A4402="","",$B$1-MAXIFS(Donasi!$A$2:$A$20000,Donasi!$B$2:$B$20000,A4402))</f>
        <v/>
      </c>
      <c r="C4402">
        <f>IF(A4402="","",COUNTIF(Donasi!$B$2:$B$20000,A4402))</f>
        <v/>
      </c>
      <c r="D4402">
        <f>IF(A4402="","",SUMIF(Donasi!$B$2:$B$20000,A4402,Donasi!$C$2:$C$20000))</f>
        <v/>
      </c>
      <c r="E4402">
        <f>IF(A4402="","",6-CEILING(PERCENTRANK.INC($B$3:$B$6000,B4402,4)*5+0.000001,1))</f>
        <v/>
      </c>
      <c r="F4402">
        <f>IF(A4402="","",MAX(1,CEILING(PERCENTRANK.INC($C$3:$C$6000,C4402,4)*5+0.000001,1)))</f>
        <v/>
      </c>
      <c r="G4402">
        <f>IF(A4402="","",MAX(1,CEILING(PERCENTRANK.INC($D$3:$D$6000,D4402,4)*5+0.000001,1)))</f>
        <v/>
      </c>
      <c r="H4402">
        <f>IF(A4402="","",E4402&amp;F4402&amp;G4402)</f>
        <v/>
      </c>
      <c r="I4402">
        <f>IF(A4402="","",IF(AND(E4402&gt;=4,F4402&gt;=4,G4402&gt;=4),"Juara",IF(AND(F4402&gt;=4,E4402&gt;=3),"Setia",IF(AND(E4402=5,F4402&lt;=2,G4402&gt;=3),"Berpotensi",IF(AND(E4402&lt;=3,E4402&gt;=2,F4402&gt;=3),"Rawan",IF(AND(E4402&lt;=2,F4402&lt;=2),"Tidur","Umum"))))))</f>
        <v/>
      </c>
    </row>
    <row r="4403">
      <c r="B4403">
        <f>IF(A4403="","",$B$1-MAXIFS(Donasi!$A$2:$A$20000,Donasi!$B$2:$B$20000,A4403))</f>
        <v/>
      </c>
      <c r="C4403">
        <f>IF(A4403="","",COUNTIF(Donasi!$B$2:$B$20000,A4403))</f>
        <v/>
      </c>
      <c r="D4403">
        <f>IF(A4403="","",SUMIF(Donasi!$B$2:$B$20000,A4403,Donasi!$C$2:$C$20000))</f>
        <v/>
      </c>
      <c r="E4403">
        <f>IF(A4403="","",6-CEILING(PERCENTRANK.INC($B$3:$B$6000,B4403,4)*5+0.000001,1))</f>
        <v/>
      </c>
      <c r="F4403">
        <f>IF(A4403="","",MAX(1,CEILING(PERCENTRANK.INC($C$3:$C$6000,C4403,4)*5+0.000001,1)))</f>
        <v/>
      </c>
      <c r="G4403">
        <f>IF(A4403="","",MAX(1,CEILING(PERCENTRANK.INC($D$3:$D$6000,D4403,4)*5+0.000001,1)))</f>
        <v/>
      </c>
      <c r="H4403">
        <f>IF(A4403="","",E4403&amp;F4403&amp;G4403)</f>
        <v/>
      </c>
      <c r="I4403">
        <f>IF(A4403="","",IF(AND(E4403&gt;=4,F4403&gt;=4,G4403&gt;=4),"Juara",IF(AND(F4403&gt;=4,E4403&gt;=3),"Setia",IF(AND(E4403=5,F4403&lt;=2,G4403&gt;=3),"Berpotensi",IF(AND(E4403&lt;=3,E4403&gt;=2,F4403&gt;=3),"Rawan",IF(AND(E4403&lt;=2,F4403&lt;=2),"Tidur","Umum"))))))</f>
        <v/>
      </c>
    </row>
    <row r="4404">
      <c r="B4404">
        <f>IF(A4404="","",$B$1-MAXIFS(Donasi!$A$2:$A$20000,Donasi!$B$2:$B$20000,A4404))</f>
        <v/>
      </c>
      <c r="C4404">
        <f>IF(A4404="","",COUNTIF(Donasi!$B$2:$B$20000,A4404))</f>
        <v/>
      </c>
      <c r="D4404">
        <f>IF(A4404="","",SUMIF(Donasi!$B$2:$B$20000,A4404,Donasi!$C$2:$C$20000))</f>
        <v/>
      </c>
      <c r="E4404">
        <f>IF(A4404="","",6-CEILING(PERCENTRANK.INC($B$3:$B$6000,B4404,4)*5+0.000001,1))</f>
        <v/>
      </c>
      <c r="F4404">
        <f>IF(A4404="","",MAX(1,CEILING(PERCENTRANK.INC($C$3:$C$6000,C4404,4)*5+0.000001,1)))</f>
        <v/>
      </c>
      <c r="G4404">
        <f>IF(A4404="","",MAX(1,CEILING(PERCENTRANK.INC($D$3:$D$6000,D4404,4)*5+0.000001,1)))</f>
        <v/>
      </c>
      <c r="H4404">
        <f>IF(A4404="","",E4404&amp;F4404&amp;G4404)</f>
        <v/>
      </c>
      <c r="I4404">
        <f>IF(A4404="","",IF(AND(E4404&gt;=4,F4404&gt;=4,G4404&gt;=4),"Juara",IF(AND(F4404&gt;=4,E4404&gt;=3),"Setia",IF(AND(E4404=5,F4404&lt;=2,G4404&gt;=3),"Berpotensi",IF(AND(E4404&lt;=3,E4404&gt;=2,F4404&gt;=3),"Rawan",IF(AND(E4404&lt;=2,F4404&lt;=2),"Tidur","Umum"))))))</f>
        <v/>
      </c>
    </row>
    <row r="4405">
      <c r="B4405">
        <f>IF(A4405="","",$B$1-MAXIFS(Donasi!$A$2:$A$20000,Donasi!$B$2:$B$20000,A4405))</f>
        <v/>
      </c>
      <c r="C4405">
        <f>IF(A4405="","",COUNTIF(Donasi!$B$2:$B$20000,A4405))</f>
        <v/>
      </c>
      <c r="D4405">
        <f>IF(A4405="","",SUMIF(Donasi!$B$2:$B$20000,A4405,Donasi!$C$2:$C$20000))</f>
        <v/>
      </c>
      <c r="E4405">
        <f>IF(A4405="","",6-CEILING(PERCENTRANK.INC($B$3:$B$6000,B4405,4)*5+0.000001,1))</f>
        <v/>
      </c>
      <c r="F4405">
        <f>IF(A4405="","",MAX(1,CEILING(PERCENTRANK.INC($C$3:$C$6000,C4405,4)*5+0.000001,1)))</f>
        <v/>
      </c>
      <c r="G4405">
        <f>IF(A4405="","",MAX(1,CEILING(PERCENTRANK.INC($D$3:$D$6000,D4405,4)*5+0.000001,1)))</f>
        <v/>
      </c>
      <c r="H4405">
        <f>IF(A4405="","",E4405&amp;F4405&amp;G4405)</f>
        <v/>
      </c>
      <c r="I4405">
        <f>IF(A4405="","",IF(AND(E4405&gt;=4,F4405&gt;=4,G4405&gt;=4),"Juara",IF(AND(F4405&gt;=4,E4405&gt;=3),"Setia",IF(AND(E4405=5,F4405&lt;=2,G4405&gt;=3),"Berpotensi",IF(AND(E4405&lt;=3,E4405&gt;=2,F4405&gt;=3),"Rawan",IF(AND(E4405&lt;=2,F4405&lt;=2),"Tidur","Umum"))))))</f>
        <v/>
      </c>
    </row>
    <row r="4406">
      <c r="B4406">
        <f>IF(A4406="","",$B$1-MAXIFS(Donasi!$A$2:$A$20000,Donasi!$B$2:$B$20000,A4406))</f>
        <v/>
      </c>
      <c r="C4406">
        <f>IF(A4406="","",COUNTIF(Donasi!$B$2:$B$20000,A4406))</f>
        <v/>
      </c>
      <c r="D4406">
        <f>IF(A4406="","",SUMIF(Donasi!$B$2:$B$20000,A4406,Donasi!$C$2:$C$20000))</f>
        <v/>
      </c>
      <c r="E4406">
        <f>IF(A4406="","",6-CEILING(PERCENTRANK.INC($B$3:$B$6000,B4406,4)*5+0.000001,1))</f>
        <v/>
      </c>
      <c r="F4406">
        <f>IF(A4406="","",MAX(1,CEILING(PERCENTRANK.INC($C$3:$C$6000,C4406,4)*5+0.000001,1)))</f>
        <v/>
      </c>
      <c r="G4406">
        <f>IF(A4406="","",MAX(1,CEILING(PERCENTRANK.INC($D$3:$D$6000,D4406,4)*5+0.000001,1)))</f>
        <v/>
      </c>
      <c r="H4406">
        <f>IF(A4406="","",E4406&amp;F4406&amp;G4406)</f>
        <v/>
      </c>
      <c r="I4406">
        <f>IF(A4406="","",IF(AND(E4406&gt;=4,F4406&gt;=4,G4406&gt;=4),"Juara",IF(AND(F4406&gt;=4,E4406&gt;=3),"Setia",IF(AND(E4406=5,F4406&lt;=2,G4406&gt;=3),"Berpotensi",IF(AND(E4406&lt;=3,E4406&gt;=2,F4406&gt;=3),"Rawan",IF(AND(E4406&lt;=2,F4406&lt;=2),"Tidur","Umum"))))))</f>
        <v/>
      </c>
    </row>
    <row r="4407">
      <c r="B4407">
        <f>IF(A4407="","",$B$1-MAXIFS(Donasi!$A$2:$A$20000,Donasi!$B$2:$B$20000,A4407))</f>
        <v/>
      </c>
      <c r="C4407">
        <f>IF(A4407="","",COUNTIF(Donasi!$B$2:$B$20000,A4407))</f>
        <v/>
      </c>
      <c r="D4407">
        <f>IF(A4407="","",SUMIF(Donasi!$B$2:$B$20000,A4407,Donasi!$C$2:$C$20000))</f>
        <v/>
      </c>
      <c r="E4407">
        <f>IF(A4407="","",6-CEILING(PERCENTRANK.INC($B$3:$B$6000,B4407,4)*5+0.000001,1))</f>
        <v/>
      </c>
      <c r="F4407">
        <f>IF(A4407="","",MAX(1,CEILING(PERCENTRANK.INC($C$3:$C$6000,C4407,4)*5+0.000001,1)))</f>
        <v/>
      </c>
      <c r="G4407">
        <f>IF(A4407="","",MAX(1,CEILING(PERCENTRANK.INC($D$3:$D$6000,D4407,4)*5+0.000001,1)))</f>
        <v/>
      </c>
      <c r="H4407">
        <f>IF(A4407="","",E4407&amp;F4407&amp;G4407)</f>
        <v/>
      </c>
      <c r="I4407">
        <f>IF(A4407="","",IF(AND(E4407&gt;=4,F4407&gt;=4,G4407&gt;=4),"Juara",IF(AND(F4407&gt;=4,E4407&gt;=3),"Setia",IF(AND(E4407=5,F4407&lt;=2,G4407&gt;=3),"Berpotensi",IF(AND(E4407&lt;=3,E4407&gt;=2,F4407&gt;=3),"Rawan",IF(AND(E4407&lt;=2,F4407&lt;=2),"Tidur","Umum"))))))</f>
        <v/>
      </c>
    </row>
    <row r="4408">
      <c r="B4408">
        <f>IF(A4408="","",$B$1-MAXIFS(Donasi!$A$2:$A$20000,Donasi!$B$2:$B$20000,A4408))</f>
        <v/>
      </c>
      <c r="C4408">
        <f>IF(A4408="","",COUNTIF(Donasi!$B$2:$B$20000,A4408))</f>
        <v/>
      </c>
      <c r="D4408">
        <f>IF(A4408="","",SUMIF(Donasi!$B$2:$B$20000,A4408,Donasi!$C$2:$C$20000))</f>
        <v/>
      </c>
      <c r="E4408">
        <f>IF(A4408="","",6-CEILING(PERCENTRANK.INC($B$3:$B$6000,B4408,4)*5+0.000001,1))</f>
        <v/>
      </c>
      <c r="F4408">
        <f>IF(A4408="","",MAX(1,CEILING(PERCENTRANK.INC($C$3:$C$6000,C4408,4)*5+0.000001,1)))</f>
        <v/>
      </c>
      <c r="G4408">
        <f>IF(A4408="","",MAX(1,CEILING(PERCENTRANK.INC($D$3:$D$6000,D4408,4)*5+0.000001,1)))</f>
        <v/>
      </c>
      <c r="H4408">
        <f>IF(A4408="","",E4408&amp;F4408&amp;G4408)</f>
        <v/>
      </c>
      <c r="I4408">
        <f>IF(A4408="","",IF(AND(E4408&gt;=4,F4408&gt;=4,G4408&gt;=4),"Juara",IF(AND(F4408&gt;=4,E4408&gt;=3),"Setia",IF(AND(E4408=5,F4408&lt;=2,G4408&gt;=3),"Berpotensi",IF(AND(E4408&lt;=3,E4408&gt;=2,F4408&gt;=3),"Rawan",IF(AND(E4408&lt;=2,F4408&lt;=2),"Tidur","Umum"))))))</f>
        <v/>
      </c>
    </row>
    <row r="4409">
      <c r="B4409">
        <f>IF(A4409="","",$B$1-MAXIFS(Donasi!$A$2:$A$20000,Donasi!$B$2:$B$20000,A4409))</f>
        <v/>
      </c>
      <c r="C4409">
        <f>IF(A4409="","",COUNTIF(Donasi!$B$2:$B$20000,A4409))</f>
        <v/>
      </c>
      <c r="D4409">
        <f>IF(A4409="","",SUMIF(Donasi!$B$2:$B$20000,A4409,Donasi!$C$2:$C$20000))</f>
        <v/>
      </c>
      <c r="E4409">
        <f>IF(A4409="","",6-CEILING(PERCENTRANK.INC($B$3:$B$6000,B4409,4)*5+0.000001,1))</f>
        <v/>
      </c>
      <c r="F4409">
        <f>IF(A4409="","",MAX(1,CEILING(PERCENTRANK.INC($C$3:$C$6000,C4409,4)*5+0.000001,1)))</f>
        <v/>
      </c>
      <c r="G4409">
        <f>IF(A4409="","",MAX(1,CEILING(PERCENTRANK.INC($D$3:$D$6000,D4409,4)*5+0.000001,1)))</f>
        <v/>
      </c>
      <c r="H4409">
        <f>IF(A4409="","",E4409&amp;F4409&amp;G4409)</f>
        <v/>
      </c>
      <c r="I4409">
        <f>IF(A4409="","",IF(AND(E4409&gt;=4,F4409&gt;=4,G4409&gt;=4),"Juara",IF(AND(F4409&gt;=4,E4409&gt;=3),"Setia",IF(AND(E4409=5,F4409&lt;=2,G4409&gt;=3),"Berpotensi",IF(AND(E4409&lt;=3,E4409&gt;=2,F4409&gt;=3),"Rawan",IF(AND(E4409&lt;=2,F4409&lt;=2),"Tidur","Umum"))))))</f>
        <v/>
      </c>
    </row>
    <row r="4410">
      <c r="B4410">
        <f>IF(A4410="","",$B$1-MAXIFS(Donasi!$A$2:$A$20000,Donasi!$B$2:$B$20000,A4410))</f>
        <v/>
      </c>
      <c r="C4410">
        <f>IF(A4410="","",COUNTIF(Donasi!$B$2:$B$20000,A4410))</f>
        <v/>
      </c>
      <c r="D4410">
        <f>IF(A4410="","",SUMIF(Donasi!$B$2:$B$20000,A4410,Donasi!$C$2:$C$20000))</f>
        <v/>
      </c>
      <c r="E4410">
        <f>IF(A4410="","",6-CEILING(PERCENTRANK.INC($B$3:$B$6000,B4410,4)*5+0.000001,1))</f>
        <v/>
      </c>
      <c r="F4410">
        <f>IF(A4410="","",MAX(1,CEILING(PERCENTRANK.INC($C$3:$C$6000,C4410,4)*5+0.000001,1)))</f>
        <v/>
      </c>
      <c r="G4410">
        <f>IF(A4410="","",MAX(1,CEILING(PERCENTRANK.INC($D$3:$D$6000,D4410,4)*5+0.000001,1)))</f>
        <v/>
      </c>
      <c r="H4410">
        <f>IF(A4410="","",E4410&amp;F4410&amp;G4410)</f>
        <v/>
      </c>
      <c r="I4410">
        <f>IF(A4410="","",IF(AND(E4410&gt;=4,F4410&gt;=4,G4410&gt;=4),"Juara",IF(AND(F4410&gt;=4,E4410&gt;=3),"Setia",IF(AND(E4410=5,F4410&lt;=2,G4410&gt;=3),"Berpotensi",IF(AND(E4410&lt;=3,E4410&gt;=2,F4410&gt;=3),"Rawan",IF(AND(E4410&lt;=2,F4410&lt;=2),"Tidur","Umum"))))))</f>
        <v/>
      </c>
    </row>
    <row r="4411">
      <c r="B4411">
        <f>IF(A4411="","",$B$1-MAXIFS(Donasi!$A$2:$A$20000,Donasi!$B$2:$B$20000,A4411))</f>
        <v/>
      </c>
      <c r="C4411">
        <f>IF(A4411="","",COUNTIF(Donasi!$B$2:$B$20000,A4411))</f>
        <v/>
      </c>
      <c r="D4411">
        <f>IF(A4411="","",SUMIF(Donasi!$B$2:$B$20000,A4411,Donasi!$C$2:$C$20000))</f>
        <v/>
      </c>
      <c r="E4411">
        <f>IF(A4411="","",6-CEILING(PERCENTRANK.INC($B$3:$B$6000,B4411,4)*5+0.000001,1))</f>
        <v/>
      </c>
      <c r="F4411">
        <f>IF(A4411="","",MAX(1,CEILING(PERCENTRANK.INC($C$3:$C$6000,C4411,4)*5+0.000001,1)))</f>
        <v/>
      </c>
      <c r="G4411">
        <f>IF(A4411="","",MAX(1,CEILING(PERCENTRANK.INC($D$3:$D$6000,D4411,4)*5+0.000001,1)))</f>
        <v/>
      </c>
      <c r="H4411">
        <f>IF(A4411="","",E4411&amp;F4411&amp;G4411)</f>
        <v/>
      </c>
      <c r="I4411">
        <f>IF(A4411="","",IF(AND(E4411&gt;=4,F4411&gt;=4,G4411&gt;=4),"Juara",IF(AND(F4411&gt;=4,E4411&gt;=3),"Setia",IF(AND(E4411=5,F4411&lt;=2,G4411&gt;=3),"Berpotensi",IF(AND(E4411&lt;=3,E4411&gt;=2,F4411&gt;=3),"Rawan",IF(AND(E4411&lt;=2,F4411&lt;=2),"Tidur","Umum"))))))</f>
        <v/>
      </c>
    </row>
    <row r="4412">
      <c r="B4412">
        <f>IF(A4412="","",$B$1-MAXIFS(Donasi!$A$2:$A$20000,Donasi!$B$2:$B$20000,A4412))</f>
        <v/>
      </c>
      <c r="C4412">
        <f>IF(A4412="","",COUNTIF(Donasi!$B$2:$B$20000,A4412))</f>
        <v/>
      </c>
      <c r="D4412">
        <f>IF(A4412="","",SUMIF(Donasi!$B$2:$B$20000,A4412,Donasi!$C$2:$C$20000))</f>
        <v/>
      </c>
      <c r="E4412">
        <f>IF(A4412="","",6-CEILING(PERCENTRANK.INC($B$3:$B$6000,B4412,4)*5+0.000001,1))</f>
        <v/>
      </c>
      <c r="F4412">
        <f>IF(A4412="","",MAX(1,CEILING(PERCENTRANK.INC($C$3:$C$6000,C4412,4)*5+0.000001,1)))</f>
        <v/>
      </c>
      <c r="G4412">
        <f>IF(A4412="","",MAX(1,CEILING(PERCENTRANK.INC($D$3:$D$6000,D4412,4)*5+0.000001,1)))</f>
        <v/>
      </c>
      <c r="H4412">
        <f>IF(A4412="","",E4412&amp;F4412&amp;G4412)</f>
        <v/>
      </c>
      <c r="I4412">
        <f>IF(A4412="","",IF(AND(E4412&gt;=4,F4412&gt;=4,G4412&gt;=4),"Juara",IF(AND(F4412&gt;=4,E4412&gt;=3),"Setia",IF(AND(E4412=5,F4412&lt;=2,G4412&gt;=3),"Berpotensi",IF(AND(E4412&lt;=3,E4412&gt;=2,F4412&gt;=3),"Rawan",IF(AND(E4412&lt;=2,F4412&lt;=2),"Tidur","Umum"))))))</f>
        <v/>
      </c>
    </row>
    <row r="4413">
      <c r="B4413">
        <f>IF(A4413="","",$B$1-MAXIFS(Donasi!$A$2:$A$20000,Donasi!$B$2:$B$20000,A4413))</f>
        <v/>
      </c>
      <c r="C4413">
        <f>IF(A4413="","",COUNTIF(Donasi!$B$2:$B$20000,A4413))</f>
        <v/>
      </c>
      <c r="D4413">
        <f>IF(A4413="","",SUMIF(Donasi!$B$2:$B$20000,A4413,Donasi!$C$2:$C$20000))</f>
        <v/>
      </c>
      <c r="E4413">
        <f>IF(A4413="","",6-CEILING(PERCENTRANK.INC($B$3:$B$6000,B4413,4)*5+0.000001,1))</f>
        <v/>
      </c>
      <c r="F4413">
        <f>IF(A4413="","",MAX(1,CEILING(PERCENTRANK.INC($C$3:$C$6000,C4413,4)*5+0.000001,1)))</f>
        <v/>
      </c>
      <c r="G4413">
        <f>IF(A4413="","",MAX(1,CEILING(PERCENTRANK.INC($D$3:$D$6000,D4413,4)*5+0.000001,1)))</f>
        <v/>
      </c>
      <c r="H4413">
        <f>IF(A4413="","",E4413&amp;F4413&amp;G4413)</f>
        <v/>
      </c>
      <c r="I4413">
        <f>IF(A4413="","",IF(AND(E4413&gt;=4,F4413&gt;=4,G4413&gt;=4),"Juara",IF(AND(F4413&gt;=4,E4413&gt;=3),"Setia",IF(AND(E4413=5,F4413&lt;=2,G4413&gt;=3),"Berpotensi",IF(AND(E4413&lt;=3,E4413&gt;=2,F4413&gt;=3),"Rawan",IF(AND(E4413&lt;=2,F4413&lt;=2),"Tidur","Umum"))))))</f>
        <v/>
      </c>
    </row>
    <row r="4414">
      <c r="B4414">
        <f>IF(A4414="","",$B$1-MAXIFS(Donasi!$A$2:$A$20000,Donasi!$B$2:$B$20000,A4414))</f>
        <v/>
      </c>
      <c r="C4414">
        <f>IF(A4414="","",COUNTIF(Donasi!$B$2:$B$20000,A4414))</f>
        <v/>
      </c>
      <c r="D4414">
        <f>IF(A4414="","",SUMIF(Donasi!$B$2:$B$20000,A4414,Donasi!$C$2:$C$20000))</f>
        <v/>
      </c>
      <c r="E4414">
        <f>IF(A4414="","",6-CEILING(PERCENTRANK.INC($B$3:$B$6000,B4414,4)*5+0.000001,1))</f>
        <v/>
      </c>
      <c r="F4414">
        <f>IF(A4414="","",MAX(1,CEILING(PERCENTRANK.INC($C$3:$C$6000,C4414,4)*5+0.000001,1)))</f>
        <v/>
      </c>
      <c r="G4414">
        <f>IF(A4414="","",MAX(1,CEILING(PERCENTRANK.INC($D$3:$D$6000,D4414,4)*5+0.000001,1)))</f>
        <v/>
      </c>
      <c r="H4414">
        <f>IF(A4414="","",E4414&amp;F4414&amp;G4414)</f>
        <v/>
      </c>
      <c r="I4414">
        <f>IF(A4414="","",IF(AND(E4414&gt;=4,F4414&gt;=4,G4414&gt;=4),"Juara",IF(AND(F4414&gt;=4,E4414&gt;=3),"Setia",IF(AND(E4414=5,F4414&lt;=2,G4414&gt;=3),"Berpotensi",IF(AND(E4414&lt;=3,E4414&gt;=2,F4414&gt;=3),"Rawan",IF(AND(E4414&lt;=2,F4414&lt;=2),"Tidur","Umum"))))))</f>
        <v/>
      </c>
    </row>
    <row r="4415">
      <c r="B4415">
        <f>IF(A4415="","",$B$1-MAXIFS(Donasi!$A$2:$A$20000,Donasi!$B$2:$B$20000,A4415))</f>
        <v/>
      </c>
      <c r="C4415">
        <f>IF(A4415="","",COUNTIF(Donasi!$B$2:$B$20000,A4415))</f>
        <v/>
      </c>
      <c r="D4415">
        <f>IF(A4415="","",SUMIF(Donasi!$B$2:$B$20000,A4415,Donasi!$C$2:$C$20000))</f>
        <v/>
      </c>
      <c r="E4415">
        <f>IF(A4415="","",6-CEILING(PERCENTRANK.INC($B$3:$B$6000,B4415,4)*5+0.000001,1))</f>
        <v/>
      </c>
      <c r="F4415">
        <f>IF(A4415="","",MAX(1,CEILING(PERCENTRANK.INC($C$3:$C$6000,C4415,4)*5+0.000001,1)))</f>
        <v/>
      </c>
      <c r="G4415">
        <f>IF(A4415="","",MAX(1,CEILING(PERCENTRANK.INC($D$3:$D$6000,D4415,4)*5+0.000001,1)))</f>
        <v/>
      </c>
      <c r="H4415">
        <f>IF(A4415="","",E4415&amp;F4415&amp;G4415)</f>
        <v/>
      </c>
      <c r="I4415">
        <f>IF(A4415="","",IF(AND(E4415&gt;=4,F4415&gt;=4,G4415&gt;=4),"Juara",IF(AND(F4415&gt;=4,E4415&gt;=3),"Setia",IF(AND(E4415=5,F4415&lt;=2,G4415&gt;=3),"Berpotensi",IF(AND(E4415&lt;=3,E4415&gt;=2,F4415&gt;=3),"Rawan",IF(AND(E4415&lt;=2,F4415&lt;=2),"Tidur","Umum"))))))</f>
        <v/>
      </c>
    </row>
    <row r="4416">
      <c r="B4416">
        <f>IF(A4416="","",$B$1-MAXIFS(Donasi!$A$2:$A$20000,Donasi!$B$2:$B$20000,A4416))</f>
        <v/>
      </c>
      <c r="C4416">
        <f>IF(A4416="","",COUNTIF(Donasi!$B$2:$B$20000,A4416))</f>
        <v/>
      </c>
      <c r="D4416">
        <f>IF(A4416="","",SUMIF(Donasi!$B$2:$B$20000,A4416,Donasi!$C$2:$C$20000))</f>
        <v/>
      </c>
      <c r="E4416">
        <f>IF(A4416="","",6-CEILING(PERCENTRANK.INC($B$3:$B$6000,B4416,4)*5+0.000001,1))</f>
        <v/>
      </c>
      <c r="F4416">
        <f>IF(A4416="","",MAX(1,CEILING(PERCENTRANK.INC($C$3:$C$6000,C4416,4)*5+0.000001,1)))</f>
        <v/>
      </c>
      <c r="G4416">
        <f>IF(A4416="","",MAX(1,CEILING(PERCENTRANK.INC($D$3:$D$6000,D4416,4)*5+0.000001,1)))</f>
        <v/>
      </c>
      <c r="H4416">
        <f>IF(A4416="","",E4416&amp;F4416&amp;G4416)</f>
        <v/>
      </c>
      <c r="I4416">
        <f>IF(A4416="","",IF(AND(E4416&gt;=4,F4416&gt;=4,G4416&gt;=4),"Juara",IF(AND(F4416&gt;=4,E4416&gt;=3),"Setia",IF(AND(E4416=5,F4416&lt;=2,G4416&gt;=3),"Berpotensi",IF(AND(E4416&lt;=3,E4416&gt;=2,F4416&gt;=3),"Rawan",IF(AND(E4416&lt;=2,F4416&lt;=2),"Tidur","Umum"))))))</f>
        <v/>
      </c>
    </row>
    <row r="4417">
      <c r="B4417">
        <f>IF(A4417="","",$B$1-MAXIFS(Donasi!$A$2:$A$20000,Donasi!$B$2:$B$20000,A4417))</f>
        <v/>
      </c>
      <c r="C4417">
        <f>IF(A4417="","",COUNTIF(Donasi!$B$2:$B$20000,A4417))</f>
        <v/>
      </c>
      <c r="D4417">
        <f>IF(A4417="","",SUMIF(Donasi!$B$2:$B$20000,A4417,Donasi!$C$2:$C$20000))</f>
        <v/>
      </c>
      <c r="E4417">
        <f>IF(A4417="","",6-CEILING(PERCENTRANK.INC($B$3:$B$6000,B4417,4)*5+0.000001,1))</f>
        <v/>
      </c>
      <c r="F4417">
        <f>IF(A4417="","",MAX(1,CEILING(PERCENTRANK.INC($C$3:$C$6000,C4417,4)*5+0.000001,1)))</f>
        <v/>
      </c>
      <c r="G4417">
        <f>IF(A4417="","",MAX(1,CEILING(PERCENTRANK.INC($D$3:$D$6000,D4417,4)*5+0.000001,1)))</f>
        <v/>
      </c>
      <c r="H4417">
        <f>IF(A4417="","",E4417&amp;F4417&amp;G4417)</f>
        <v/>
      </c>
      <c r="I4417">
        <f>IF(A4417="","",IF(AND(E4417&gt;=4,F4417&gt;=4,G4417&gt;=4),"Juara",IF(AND(F4417&gt;=4,E4417&gt;=3),"Setia",IF(AND(E4417=5,F4417&lt;=2,G4417&gt;=3),"Berpotensi",IF(AND(E4417&lt;=3,E4417&gt;=2,F4417&gt;=3),"Rawan",IF(AND(E4417&lt;=2,F4417&lt;=2),"Tidur","Umum"))))))</f>
        <v/>
      </c>
    </row>
    <row r="4418">
      <c r="B4418">
        <f>IF(A4418="","",$B$1-MAXIFS(Donasi!$A$2:$A$20000,Donasi!$B$2:$B$20000,A4418))</f>
        <v/>
      </c>
      <c r="C4418">
        <f>IF(A4418="","",COUNTIF(Donasi!$B$2:$B$20000,A4418))</f>
        <v/>
      </c>
      <c r="D4418">
        <f>IF(A4418="","",SUMIF(Donasi!$B$2:$B$20000,A4418,Donasi!$C$2:$C$20000))</f>
        <v/>
      </c>
      <c r="E4418">
        <f>IF(A4418="","",6-CEILING(PERCENTRANK.INC($B$3:$B$6000,B4418,4)*5+0.000001,1))</f>
        <v/>
      </c>
      <c r="F4418">
        <f>IF(A4418="","",MAX(1,CEILING(PERCENTRANK.INC($C$3:$C$6000,C4418,4)*5+0.000001,1)))</f>
        <v/>
      </c>
      <c r="G4418">
        <f>IF(A4418="","",MAX(1,CEILING(PERCENTRANK.INC($D$3:$D$6000,D4418,4)*5+0.000001,1)))</f>
        <v/>
      </c>
      <c r="H4418">
        <f>IF(A4418="","",E4418&amp;F4418&amp;G4418)</f>
        <v/>
      </c>
      <c r="I4418">
        <f>IF(A4418="","",IF(AND(E4418&gt;=4,F4418&gt;=4,G4418&gt;=4),"Juara",IF(AND(F4418&gt;=4,E4418&gt;=3),"Setia",IF(AND(E4418=5,F4418&lt;=2,G4418&gt;=3),"Berpotensi",IF(AND(E4418&lt;=3,E4418&gt;=2,F4418&gt;=3),"Rawan",IF(AND(E4418&lt;=2,F4418&lt;=2),"Tidur","Umum"))))))</f>
        <v/>
      </c>
    </row>
    <row r="4419">
      <c r="B4419">
        <f>IF(A4419="","",$B$1-MAXIFS(Donasi!$A$2:$A$20000,Donasi!$B$2:$B$20000,A4419))</f>
        <v/>
      </c>
      <c r="C4419">
        <f>IF(A4419="","",COUNTIF(Donasi!$B$2:$B$20000,A4419))</f>
        <v/>
      </c>
      <c r="D4419">
        <f>IF(A4419="","",SUMIF(Donasi!$B$2:$B$20000,A4419,Donasi!$C$2:$C$20000))</f>
        <v/>
      </c>
      <c r="E4419">
        <f>IF(A4419="","",6-CEILING(PERCENTRANK.INC($B$3:$B$6000,B4419,4)*5+0.000001,1))</f>
        <v/>
      </c>
      <c r="F4419">
        <f>IF(A4419="","",MAX(1,CEILING(PERCENTRANK.INC($C$3:$C$6000,C4419,4)*5+0.000001,1)))</f>
        <v/>
      </c>
      <c r="G4419">
        <f>IF(A4419="","",MAX(1,CEILING(PERCENTRANK.INC($D$3:$D$6000,D4419,4)*5+0.000001,1)))</f>
        <v/>
      </c>
      <c r="H4419">
        <f>IF(A4419="","",E4419&amp;F4419&amp;G4419)</f>
        <v/>
      </c>
      <c r="I4419">
        <f>IF(A4419="","",IF(AND(E4419&gt;=4,F4419&gt;=4,G4419&gt;=4),"Juara",IF(AND(F4419&gt;=4,E4419&gt;=3),"Setia",IF(AND(E4419=5,F4419&lt;=2,G4419&gt;=3),"Berpotensi",IF(AND(E4419&lt;=3,E4419&gt;=2,F4419&gt;=3),"Rawan",IF(AND(E4419&lt;=2,F4419&lt;=2),"Tidur","Umum"))))))</f>
        <v/>
      </c>
    </row>
    <row r="4420">
      <c r="B4420">
        <f>IF(A4420="","",$B$1-MAXIFS(Donasi!$A$2:$A$20000,Donasi!$B$2:$B$20000,A4420))</f>
        <v/>
      </c>
      <c r="C4420">
        <f>IF(A4420="","",COUNTIF(Donasi!$B$2:$B$20000,A4420))</f>
        <v/>
      </c>
      <c r="D4420">
        <f>IF(A4420="","",SUMIF(Donasi!$B$2:$B$20000,A4420,Donasi!$C$2:$C$20000))</f>
        <v/>
      </c>
      <c r="E4420">
        <f>IF(A4420="","",6-CEILING(PERCENTRANK.INC($B$3:$B$6000,B4420,4)*5+0.000001,1))</f>
        <v/>
      </c>
      <c r="F4420">
        <f>IF(A4420="","",MAX(1,CEILING(PERCENTRANK.INC($C$3:$C$6000,C4420,4)*5+0.000001,1)))</f>
        <v/>
      </c>
      <c r="G4420">
        <f>IF(A4420="","",MAX(1,CEILING(PERCENTRANK.INC($D$3:$D$6000,D4420,4)*5+0.000001,1)))</f>
        <v/>
      </c>
      <c r="H4420">
        <f>IF(A4420="","",E4420&amp;F4420&amp;G4420)</f>
        <v/>
      </c>
      <c r="I4420">
        <f>IF(A4420="","",IF(AND(E4420&gt;=4,F4420&gt;=4,G4420&gt;=4),"Juara",IF(AND(F4420&gt;=4,E4420&gt;=3),"Setia",IF(AND(E4420=5,F4420&lt;=2,G4420&gt;=3),"Berpotensi",IF(AND(E4420&lt;=3,E4420&gt;=2,F4420&gt;=3),"Rawan",IF(AND(E4420&lt;=2,F4420&lt;=2),"Tidur","Umum"))))))</f>
        <v/>
      </c>
    </row>
    <row r="4421">
      <c r="B4421">
        <f>IF(A4421="","",$B$1-MAXIFS(Donasi!$A$2:$A$20000,Donasi!$B$2:$B$20000,A4421))</f>
        <v/>
      </c>
      <c r="C4421">
        <f>IF(A4421="","",COUNTIF(Donasi!$B$2:$B$20000,A4421))</f>
        <v/>
      </c>
      <c r="D4421">
        <f>IF(A4421="","",SUMIF(Donasi!$B$2:$B$20000,A4421,Donasi!$C$2:$C$20000))</f>
        <v/>
      </c>
      <c r="E4421">
        <f>IF(A4421="","",6-CEILING(PERCENTRANK.INC($B$3:$B$6000,B4421,4)*5+0.000001,1))</f>
        <v/>
      </c>
      <c r="F4421">
        <f>IF(A4421="","",MAX(1,CEILING(PERCENTRANK.INC($C$3:$C$6000,C4421,4)*5+0.000001,1)))</f>
        <v/>
      </c>
      <c r="G4421">
        <f>IF(A4421="","",MAX(1,CEILING(PERCENTRANK.INC($D$3:$D$6000,D4421,4)*5+0.000001,1)))</f>
        <v/>
      </c>
      <c r="H4421">
        <f>IF(A4421="","",E4421&amp;F4421&amp;G4421)</f>
        <v/>
      </c>
      <c r="I4421">
        <f>IF(A4421="","",IF(AND(E4421&gt;=4,F4421&gt;=4,G4421&gt;=4),"Juara",IF(AND(F4421&gt;=4,E4421&gt;=3),"Setia",IF(AND(E4421=5,F4421&lt;=2,G4421&gt;=3),"Berpotensi",IF(AND(E4421&lt;=3,E4421&gt;=2,F4421&gt;=3),"Rawan",IF(AND(E4421&lt;=2,F4421&lt;=2),"Tidur","Umum"))))))</f>
        <v/>
      </c>
    </row>
    <row r="4422">
      <c r="B4422">
        <f>IF(A4422="","",$B$1-MAXIFS(Donasi!$A$2:$A$20000,Donasi!$B$2:$B$20000,A4422))</f>
        <v/>
      </c>
      <c r="C4422">
        <f>IF(A4422="","",COUNTIF(Donasi!$B$2:$B$20000,A4422))</f>
        <v/>
      </c>
      <c r="D4422">
        <f>IF(A4422="","",SUMIF(Donasi!$B$2:$B$20000,A4422,Donasi!$C$2:$C$20000))</f>
        <v/>
      </c>
      <c r="E4422">
        <f>IF(A4422="","",6-CEILING(PERCENTRANK.INC($B$3:$B$6000,B4422,4)*5+0.000001,1))</f>
        <v/>
      </c>
      <c r="F4422">
        <f>IF(A4422="","",MAX(1,CEILING(PERCENTRANK.INC($C$3:$C$6000,C4422,4)*5+0.000001,1)))</f>
        <v/>
      </c>
      <c r="G4422">
        <f>IF(A4422="","",MAX(1,CEILING(PERCENTRANK.INC($D$3:$D$6000,D4422,4)*5+0.000001,1)))</f>
        <v/>
      </c>
      <c r="H4422">
        <f>IF(A4422="","",E4422&amp;F4422&amp;G4422)</f>
        <v/>
      </c>
      <c r="I4422">
        <f>IF(A4422="","",IF(AND(E4422&gt;=4,F4422&gt;=4,G4422&gt;=4),"Juara",IF(AND(F4422&gt;=4,E4422&gt;=3),"Setia",IF(AND(E4422=5,F4422&lt;=2,G4422&gt;=3),"Berpotensi",IF(AND(E4422&lt;=3,E4422&gt;=2,F4422&gt;=3),"Rawan",IF(AND(E4422&lt;=2,F4422&lt;=2),"Tidur","Umum"))))))</f>
        <v/>
      </c>
    </row>
    <row r="4423">
      <c r="B4423">
        <f>IF(A4423="","",$B$1-MAXIFS(Donasi!$A$2:$A$20000,Donasi!$B$2:$B$20000,A4423))</f>
        <v/>
      </c>
      <c r="C4423">
        <f>IF(A4423="","",COUNTIF(Donasi!$B$2:$B$20000,A4423))</f>
        <v/>
      </c>
      <c r="D4423">
        <f>IF(A4423="","",SUMIF(Donasi!$B$2:$B$20000,A4423,Donasi!$C$2:$C$20000))</f>
        <v/>
      </c>
      <c r="E4423">
        <f>IF(A4423="","",6-CEILING(PERCENTRANK.INC($B$3:$B$6000,B4423,4)*5+0.000001,1))</f>
        <v/>
      </c>
      <c r="F4423">
        <f>IF(A4423="","",MAX(1,CEILING(PERCENTRANK.INC($C$3:$C$6000,C4423,4)*5+0.000001,1)))</f>
        <v/>
      </c>
      <c r="G4423">
        <f>IF(A4423="","",MAX(1,CEILING(PERCENTRANK.INC($D$3:$D$6000,D4423,4)*5+0.000001,1)))</f>
        <v/>
      </c>
      <c r="H4423">
        <f>IF(A4423="","",E4423&amp;F4423&amp;G4423)</f>
        <v/>
      </c>
      <c r="I4423">
        <f>IF(A4423="","",IF(AND(E4423&gt;=4,F4423&gt;=4,G4423&gt;=4),"Juara",IF(AND(F4423&gt;=4,E4423&gt;=3),"Setia",IF(AND(E4423=5,F4423&lt;=2,G4423&gt;=3),"Berpotensi",IF(AND(E4423&lt;=3,E4423&gt;=2,F4423&gt;=3),"Rawan",IF(AND(E4423&lt;=2,F4423&lt;=2),"Tidur","Umum"))))))</f>
        <v/>
      </c>
    </row>
    <row r="4424">
      <c r="B4424">
        <f>IF(A4424="","",$B$1-MAXIFS(Donasi!$A$2:$A$20000,Donasi!$B$2:$B$20000,A4424))</f>
        <v/>
      </c>
      <c r="C4424">
        <f>IF(A4424="","",COUNTIF(Donasi!$B$2:$B$20000,A4424))</f>
        <v/>
      </c>
      <c r="D4424">
        <f>IF(A4424="","",SUMIF(Donasi!$B$2:$B$20000,A4424,Donasi!$C$2:$C$20000))</f>
        <v/>
      </c>
      <c r="E4424">
        <f>IF(A4424="","",6-CEILING(PERCENTRANK.INC($B$3:$B$6000,B4424,4)*5+0.000001,1))</f>
        <v/>
      </c>
      <c r="F4424">
        <f>IF(A4424="","",MAX(1,CEILING(PERCENTRANK.INC($C$3:$C$6000,C4424,4)*5+0.000001,1)))</f>
        <v/>
      </c>
      <c r="G4424">
        <f>IF(A4424="","",MAX(1,CEILING(PERCENTRANK.INC($D$3:$D$6000,D4424,4)*5+0.000001,1)))</f>
        <v/>
      </c>
      <c r="H4424">
        <f>IF(A4424="","",E4424&amp;F4424&amp;G4424)</f>
        <v/>
      </c>
      <c r="I4424">
        <f>IF(A4424="","",IF(AND(E4424&gt;=4,F4424&gt;=4,G4424&gt;=4),"Juara",IF(AND(F4424&gt;=4,E4424&gt;=3),"Setia",IF(AND(E4424=5,F4424&lt;=2,G4424&gt;=3),"Berpotensi",IF(AND(E4424&lt;=3,E4424&gt;=2,F4424&gt;=3),"Rawan",IF(AND(E4424&lt;=2,F4424&lt;=2),"Tidur","Umum"))))))</f>
        <v/>
      </c>
    </row>
    <row r="4425">
      <c r="B4425">
        <f>IF(A4425="","",$B$1-MAXIFS(Donasi!$A$2:$A$20000,Donasi!$B$2:$B$20000,A4425))</f>
        <v/>
      </c>
      <c r="C4425">
        <f>IF(A4425="","",COUNTIF(Donasi!$B$2:$B$20000,A4425))</f>
        <v/>
      </c>
      <c r="D4425">
        <f>IF(A4425="","",SUMIF(Donasi!$B$2:$B$20000,A4425,Donasi!$C$2:$C$20000))</f>
        <v/>
      </c>
      <c r="E4425">
        <f>IF(A4425="","",6-CEILING(PERCENTRANK.INC($B$3:$B$6000,B4425,4)*5+0.000001,1))</f>
        <v/>
      </c>
      <c r="F4425">
        <f>IF(A4425="","",MAX(1,CEILING(PERCENTRANK.INC($C$3:$C$6000,C4425,4)*5+0.000001,1)))</f>
        <v/>
      </c>
      <c r="G4425">
        <f>IF(A4425="","",MAX(1,CEILING(PERCENTRANK.INC($D$3:$D$6000,D4425,4)*5+0.000001,1)))</f>
        <v/>
      </c>
      <c r="H4425">
        <f>IF(A4425="","",E4425&amp;F4425&amp;G4425)</f>
        <v/>
      </c>
      <c r="I4425">
        <f>IF(A4425="","",IF(AND(E4425&gt;=4,F4425&gt;=4,G4425&gt;=4),"Juara",IF(AND(F4425&gt;=4,E4425&gt;=3),"Setia",IF(AND(E4425=5,F4425&lt;=2,G4425&gt;=3),"Berpotensi",IF(AND(E4425&lt;=3,E4425&gt;=2,F4425&gt;=3),"Rawan",IF(AND(E4425&lt;=2,F4425&lt;=2),"Tidur","Umum"))))))</f>
        <v/>
      </c>
    </row>
    <row r="4426">
      <c r="B4426">
        <f>IF(A4426="","",$B$1-MAXIFS(Donasi!$A$2:$A$20000,Donasi!$B$2:$B$20000,A4426))</f>
        <v/>
      </c>
      <c r="C4426">
        <f>IF(A4426="","",COUNTIF(Donasi!$B$2:$B$20000,A4426))</f>
        <v/>
      </c>
      <c r="D4426">
        <f>IF(A4426="","",SUMIF(Donasi!$B$2:$B$20000,A4426,Donasi!$C$2:$C$20000))</f>
        <v/>
      </c>
      <c r="E4426">
        <f>IF(A4426="","",6-CEILING(PERCENTRANK.INC($B$3:$B$6000,B4426,4)*5+0.000001,1))</f>
        <v/>
      </c>
      <c r="F4426">
        <f>IF(A4426="","",MAX(1,CEILING(PERCENTRANK.INC($C$3:$C$6000,C4426,4)*5+0.000001,1)))</f>
        <v/>
      </c>
      <c r="G4426">
        <f>IF(A4426="","",MAX(1,CEILING(PERCENTRANK.INC($D$3:$D$6000,D4426,4)*5+0.000001,1)))</f>
        <v/>
      </c>
      <c r="H4426">
        <f>IF(A4426="","",E4426&amp;F4426&amp;G4426)</f>
        <v/>
      </c>
      <c r="I4426">
        <f>IF(A4426="","",IF(AND(E4426&gt;=4,F4426&gt;=4,G4426&gt;=4),"Juara",IF(AND(F4426&gt;=4,E4426&gt;=3),"Setia",IF(AND(E4426=5,F4426&lt;=2,G4426&gt;=3),"Berpotensi",IF(AND(E4426&lt;=3,E4426&gt;=2,F4426&gt;=3),"Rawan",IF(AND(E4426&lt;=2,F4426&lt;=2),"Tidur","Umum"))))))</f>
        <v/>
      </c>
    </row>
    <row r="4427">
      <c r="B4427">
        <f>IF(A4427="","",$B$1-MAXIFS(Donasi!$A$2:$A$20000,Donasi!$B$2:$B$20000,A4427))</f>
        <v/>
      </c>
      <c r="C4427">
        <f>IF(A4427="","",COUNTIF(Donasi!$B$2:$B$20000,A4427))</f>
        <v/>
      </c>
      <c r="D4427">
        <f>IF(A4427="","",SUMIF(Donasi!$B$2:$B$20000,A4427,Donasi!$C$2:$C$20000))</f>
        <v/>
      </c>
      <c r="E4427">
        <f>IF(A4427="","",6-CEILING(PERCENTRANK.INC($B$3:$B$6000,B4427,4)*5+0.000001,1))</f>
        <v/>
      </c>
      <c r="F4427">
        <f>IF(A4427="","",MAX(1,CEILING(PERCENTRANK.INC($C$3:$C$6000,C4427,4)*5+0.000001,1)))</f>
        <v/>
      </c>
      <c r="G4427">
        <f>IF(A4427="","",MAX(1,CEILING(PERCENTRANK.INC($D$3:$D$6000,D4427,4)*5+0.000001,1)))</f>
        <v/>
      </c>
      <c r="H4427">
        <f>IF(A4427="","",E4427&amp;F4427&amp;G4427)</f>
        <v/>
      </c>
      <c r="I4427">
        <f>IF(A4427="","",IF(AND(E4427&gt;=4,F4427&gt;=4,G4427&gt;=4),"Juara",IF(AND(F4427&gt;=4,E4427&gt;=3),"Setia",IF(AND(E4427=5,F4427&lt;=2,G4427&gt;=3),"Berpotensi",IF(AND(E4427&lt;=3,E4427&gt;=2,F4427&gt;=3),"Rawan",IF(AND(E4427&lt;=2,F4427&lt;=2),"Tidur","Umum"))))))</f>
        <v/>
      </c>
    </row>
    <row r="4428">
      <c r="B4428">
        <f>IF(A4428="","",$B$1-MAXIFS(Donasi!$A$2:$A$20000,Donasi!$B$2:$B$20000,A4428))</f>
        <v/>
      </c>
      <c r="C4428">
        <f>IF(A4428="","",COUNTIF(Donasi!$B$2:$B$20000,A4428))</f>
        <v/>
      </c>
      <c r="D4428">
        <f>IF(A4428="","",SUMIF(Donasi!$B$2:$B$20000,A4428,Donasi!$C$2:$C$20000))</f>
        <v/>
      </c>
      <c r="E4428">
        <f>IF(A4428="","",6-CEILING(PERCENTRANK.INC($B$3:$B$6000,B4428,4)*5+0.000001,1))</f>
        <v/>
      </c>
      <c r="F4428">
        <f>IF(A4428="","",MAX(1,CEILING(PERCENTRANK.INC($C$3:$C$6000,C4428,4)*5+0.000001,1)))</f>
        <v/>
      </c>
      <c r="G4428">
        <f>IF(A4428="","",MAX(1,CEILING(PERCENTRANK.INC($D$3:$D$6000,D4428,4)*5+0.000001,1)))</f>
        <v/>
      </c>
      <c r="H4428">
        <f>IF(A4428="","",E4428&amp;F4428&amp;G4428)</f>
        <v/>
      </c>
      <c r="I4428">
        <f>IF(A4428="","",IF(AND(E4428&gt;=4,F4428&gt;=4,G4428&gt;=4),"Juara",IF(AND(F4428&gt;=4,E4428&gt;=3),"Setia",IF(AND(E4428=5,F4428&lt;=2,G4428&gt;=3),"Berpotensi",IF(AND(E4428&lt;=3,E4428&gt;=2,F4428&gt;=3),"Rawan",IF(AND(E4428&lt;=2,F4428&lt;=2),"Tidur","Umum"))))))</f>
        <v/>
      </c>
    </row>
    <row r="4429">
      <c r="B4429">
        <f>IF(A4429="","",$B$1-MAXIFS(Donasi!$A$2:$A$20000,Donasi!$B$2:$B$20000,A4429))</f>
        <v/>
      </c>
      <c r="C4429">
        <f>IF(A4429="","",COUNTIF(Donasi!$B$2:$B$20000,A4429))</f>
        <v/>
      </c>
      <c r="D4429">
        <f>IF(A4429="","",SUMIF(Donasi!$B$2:$B$20000,A4429,Donasi!$C$2:$C$20000))</f>
        <v/>
      </c>
      <c r="E4429">
        <f>IF(A4429="","",6-CEILING(PERCENTRANK.INC($B$3:$B$6000,B4429,4)*5+0.000001,1))</f>
        <v/>
      </c>
      <c r="F4429">
        <f>IF(A4429="","",MAX(1,CEILING(PERCENTRANK.INC($C$3:$C$6000,C4429,4)*5+0.000001,1)))</f>
        <v/>
      </c>
      <c r="G4429">
        <f>IF(A4429="","",MAX(1,CEILING(PERCENTRANK.INC($D$3:$D$6000,D4429,4)*5+0.000001,1)))</f>
        <v/>
      </c>
      <c r="H4429">
        <f>IF(A4429="","",E4429&amp;F4429&amp;G4429)</f>
        <v/>
      </c>
      <c r="I4429">
        <f>IF(A4429="","",IF(AND(E4429&gt;=4,F4429&gt;=4,G4429&gt;=4),"Juara",IF(AND(F4429&gt;=4,E4429&gt;=3),"Setia",IF(AND(E4429=5,F4429&lt;=2,G4429&gt;=3),"Berpotensi",IF(AND(E4429&lt;=3,E4429&gt;=2,F4429&gt;=3),"Rawan",IF(AND(E4429&lt;=2,F4429&lt;=2),"Tidur","Umum"))))))</f>
        <v/>
      </c>
    </row>
    <row r="4430">
      <c r="B4430">
        <f>IF(A4430="","",$B$1-MAXIFS(Donasi!$A$2:$A$20000,Donasi!$B$2:$B$20000,A4430))</f>
        <v/>
      </c>
      <c r="C4430">
        <f>IF(A4430="","",COUNTIF(Donasi!$B$2:$B$20000,A4430))</f>
        <v/>
      </c>
      <c r="D4430">
        <f>IF(A4430="","",SUMIF(Donasi!$B$2:$B$20000,A4430,Donasi!$C$2:$C$20000))</f>
        <v/>
      </c>
      <c r="E4430">
        <f>IF(A4430="","",6-CEILING(PERCENTRANK.INC($B$3:$B$6000,B4430,4)*5+0.000001,1))</f>
        <v/>
      </c>
      <c r="F4430">
        <f>IF(A4430="","",MAX(1,CEILING(PERCENTRANK.INC($C$3:$C$6000,C4430,4)*5+0.000001,1)))</f>
        <v/>
      </c>
      <c r="G4430">
        <f>IF(A4430="","",MAX(1,CEILING(PERCENTRANK.INC($D$3:$D$6000,D4430,4)*5+0.000001,1)))</f>
        <v/>
      </c>
      <c r="H4430">
        <f>IF(A4430="","",E4430&amp;F4430&amp;G4430)</f>
        <v/>
      </c>
      <c r="I4430">
        <f>IF(A4430="","",IF(AND(E4430&gt;=4,F4430&gt;=4,G4430&gt;=4),"Juara",IF(AND(F4430&gt;=4,E4430&gt;=3),"Setia",IF(AND(E4430=5,F4430&lt;=2,G4430&gt;=3),"Berpotensi",IF(AND(E4430&lt;=3,E4430&gt;=2,F4430&gt;=3),"Rawan",IF(AND(E4430&lt;=2,F4430&lt;=2),"Tidur","Umum"))))))</f>
        <v/>
      </c>
    </row>
    <row r="4431">
      <c r="B4431">
        <f>IF(A4431="","",$B$1-MAXIFS(Donasi!$A$2:$A$20000,Donasi!$B$2:$B$20000,A4431))</f>
        <v/>
      </c>
      <c r="C4431">
        <f>IF(A4431="","",COUNTIF(Donasi!$B$2:$B$20000,A4431))</f>
        <v/>
      </c>
      <c r="D4431">
        <f>IF(A4431="","",SUMIF(Donasi!$B$2:$B$20000,A4431,Donasi!$C$2:$C$20000))</f>
        <v/>
      </c>
      <c r="E4431">
        <f>IF(A4431="","",6-CEILING(PERCENTRANK.INC($B$3:$B$6000,B4431,4)*5+0.000001,1))</f>
        <v/>
      </c>
      <c r="F4431">
        <f>IF(A4431="","",MAX(1,CEILING(PERCENTRANK.INC($C$3:$C$6000,C4431,4)*5+0.000001,1)))</f>
        <v/>
      </c>
      <c r="G4431">
        <f>IF(A4431="","",MAX(1,CEILING(PERCENTRANK.INC($D$3:$D$6000,D4431,4)*5+0.000001,1)))</f>
        <v/>
      </c>
      <c r="H4431">
        <f>IF(A4431="","",E4431&amp;F4431&amp;G4431)</f>
        <v/>
      </c>
      <c r="I4431">
        <f>IF(A4431="","",IF(AND(E4431&gt;=4,F4431&gt;=4,G4431&gt;=4),"Juara",IF(AND(F4431&gt;=4,E4431&gt;=3),"Setia",IF(AND(E4431=5,F4431&lt;=2,G4431&gt;=3),"Berpotensi",IF(AND(E4431&lt;=3,E4431&gt;=2,F4431&gt;=3),"Rawan",IF(AND(E4431&lt;=2,F4431&lt;=2),"Tidur","Umum"))))))</f>
        <v/>
      </c>
    </row>
    <row r="4432">
      <c r="B4432">
        <f>IF(A4432="","",$B$1-MAXIFS(Donasi!$A$2:$A$20000,Donasi!$B$2:$B$20000,A4432))</f>
        <v/>
      </c>
      <c r="C4432">
        <f>IF(A4432="","",COUNTIF(Donasi!$B$2:$B$20000,A4432))</f>
        <v/>
      </c>
      <c r="D4432">
        <f>IF(A4432="","",SUMIF(Donasi!$B$2:$B$20000,A4432,Donasi!$C$2:$C$20000))</f>
        <v/>
      </c>
      <c r="E4432">
        <f>IF(A4432="","",6-CEILING(PERCENTRANK.INC($B$3:$B$6000,B4432,4)*5+0.000001,1))</f>
        <v/>
      </c>
      <c r="F4432">
        <f>IF(A4432="","",MAX(1,CEILING(PERCENTRANK.INC($C$3:$C$6000,C4432,4)*5+0.000001,1)))</f>
        <v/>
      </c>
      <c r="G4432">
        <f>IF(A4432="","",MAX(1,CEILING(PERCENTRANK.INC($D$3:$D$6000,D4432,4)*5+0.000001,1)))</f>
        <v/>
      </c>
      <c r="H4432">
        <f>IF(A4432="","",E4432&amp;F4432&amp;G4432)</f>
        <v/>
      </c>
      <c r="I4432">
        <f>IF(A4432="","",IF(AND(E4432&gt;=4,F4432&gt;=4,G4432&gt;=4),"Juara",IF(AND(F4432&gt;=4,E4432&gt;=3),"Setia",IF(AND(E4432=5,F4432&lt;=2,G4432&gt;=3),"Berpotensi",IF(AND(E4432&lt;=3,E4432&gt;=2,F4432&gt;=3),"Rawan",IF(AND(E4432&lt;=2,F4432&lt;=2),"Tidur","Umum"))))))</f>
        <v/>
      </c>
    </row>
    <row r="4433">
      <c r="B4433">
        <f>IF(A4433="","",$B$1-MAXIFS(Donasi!$A$2:$A$20000,Donasi!$B$2:$B$20000,A4433))</f>
        <v/>
      </c>
      <c r="C4433">
        <f>IF(A4433="","",COUNTIF(Donasi!$B$2:$B$20000,A4433))</f>
        <v/>
      </c>
      <c r="D4433">
        <f>IF(A4433="","",SUMIF(Donasi!$B$2:$B$20000,A4433,Donasi!$C$2:$C$20000))</f>
        <v/>
      </c>
      <c r="E4433">
        <f>IF(A4433="","",6-CEILING(PERCENTRANK.INC($B$3:$B$6000,B4433,4)*5+0.000001,1))</f>
        <v/>
      </c>
      <c r="F4433">
        <f>IF(A4433="","",MAX(1,CEILING(PERCENTRANK.INC($C$3:$C$6000,C4433,4)*5+0.000001,1)))</f>
        <v/>
      </c>
      <c r="G4433">
        <f>IF(A4433="","",MAX(1,CEILING(PERCENTRANK.INC($D$3:$D$6000,D4433,4)*5+0.000001,1)))</f>
        <v/>
      </c>
      <c r="H4433">
        <f>IF(A4433="","",E4433&amp;F4433&amp;G4433)</f>
        <v/>
      </c>
      <c r="I4433">
        <f>IF(A4433="","",IF(AND(E4433&gt;=4,F4433&gt;=4,G4433&gt;=4),"Juara",IF(AND(F4433&gt;=4,E4433&gt;=3),"Setia",IF(AND(E4433=5,F4433&lt;=2,G4433&gt;=3),"Berpotensi",IF(AND(E4433&lt;=3,E4433&gt;=2,F4433&gt;=3),"Rawan",IF(AND(E4433&lt;=2,F4433&lt;=2),"Tidur","Umum"))))))</f>
        <v/>
      </c>
    </row>
    <row r="4434">
      <c r="B4434">
        <f>IF(A4434="","",$B$1-MAXIFS(Donasi!$A$2:$A$20000,Donasi!$B$2:$B$20000,A4434))</f>
        <v/>
      </c>
      <c r="C4434">
        <f>IF(A4434="","",COUNTIF(Donasi!$B$2:$B$20000,A4434))</f>
        <v/>
      </c>
      <c r="D4434">
        <f>IF(A4434="","",SUMIF(Donasi!$B$2:$B$20000,A4434,Donasi!$C$2:$C$20000))</f>
        <v/>
      </c>
      <c r="E4434">
        <f>IF(A4434="","",6-CEILING(PERCENTRANK.INC($B$3:$B$6000,B4434,4)*5+0.000001,1))</f>
        <v/>
      </c>
      <c r="F4434">
        <f>IF(A4434="","",MAX(1,CEILING(PERCENTRANK.INC($C$3:$C$6000,C4434,4)*5+0.000001,1)))</f>
        <v/>
      </c>
      <c r="G4434">
        <f>IF(A4434="","",MAX(1,CEILING(PERCENTRANK.INC($D$3:$D$6000,D4434,4)*5+0.000001,1)))</f>
        <v/>
      </c>
      <c r="H4434">
        <f>IF(A4434="","",E4434&amp;F4434&amp;G4434)</f>
        <v/>
      </c>
      <c r="I4434">
        <f>IF(A4434="","",IF(AND(E4434&gt;=4,F4434&gt;=4,G4434&gt;=4),"Juara",IF(AND(F4434&gt;=4,E4434&gt;=3),"Setia",IF(AND(E4434=5,F4434&lt;=2,G4434&gt;=3),"Berpotensi",IF(AND(E4434&lt;=3,E4434&gt;=2,F4434&gt;=3),"Rawan",IF(AND(E4434&lt;=2,F4434&lt;=2),"Tidur","Umum"))))))</f>
        <v/>
      </c>
    </row>
    <row r="4435">
      <c r="B4435">
        <f>IF(A4435="","",$B$1-MAXIFS(Donasi!$A$2:$A$20000,Donasi!$B$2:$B$20000,A4435))</f>
        <v/>
      </c>
      <c r="C4435">
        <f>IF(A4435="","",COUNTIF(Donasi!$B$2:$B$20000,A4435))</f>
        <v/>
      </c>
      <c r="D4435">
        <f>IF(A4435="","",SUMIF(Donasi!$B$2:$B$20000,A4435,Donasi!$C$2:$C$20000))</f>
        <v/>
      </c>
      <c r="E4435">
        <f>IF(A4435="","",6-CEILING(PERCENTRANK.INC($B$3:$B$6000,B4435,4)*5+0.000001,1))</f>
        <v/>
      </c>
      <c r="F4435">
        <f>IF(A4435="","",MAX(1,CEILING(PERCENTRANK.INC($C$3:$C$6000,C4435,4)*5+0.000001,1)))</f>
        <v/>
      </c>
      <c r="G4435">
        <f>IF(A4435="","",MAX(1,CEILING(PERCENTRANK.INC($D$3:$D$6000,D4435,4)*5+0.000001,1)))</f>
        <v/>
      </c>
      <c r="H4435">
        <f>IF(A4435="","",E4435&amp;F4435&amp;G4435)</f>
        <v/>
      </c>
      <c r="I4435">
        <f>IF(A4435="","",IF(AND(E4435&gt;=4,F4435&gt;=4,G4435&gt;=4),"Juara",IF(AND(F4435&gt;=4,E4435&gt;=3),"Setia",IF(AND(E4435=5,F4435&lt;=2,G4435&gt;=3),"Berpotensi",IF(AND(E4435&lt;=3,E4435&gt;=2,F4435&gt;=3),"Rawan",IF(AND(E4435&lt;=2,F4435&lt;=2),"Tidur","Umum"))))))</f>
        <v/>
      </c>
    </row>
    <row r="4436">
      <c r="B4436">
        <f>IF(A4436="","",$B$1-MAXIFS(Donasi!$A$2:$A$20000,Donasi!$B$2:$B$20000,A4436))</f>
        <v/>
      </c>
      <c r="C4436">
        <f>IF(A4436="","",COUNTIF(Donasi!$B$2:$B$20000,A4436))</f>
        <v/>
      </c>
      <c r="D4436">
        <f>IF(A4436="","",SUMIF(Donasi!$B$2:$B$20000,A4436,Donasi!$C$2:$C$20000))</f>
        <v/>
      </c>
      <c r="E4436">
        <f>IF(A4436="","",6-CEILING(PERCENTRANK.INC($B$3:$B$6000,B4436,4)*5+0.000001,1))</f>
        <v/>
      </c>
      <c r="F4436">
        <f>IF(A4436="","",MAX(1,CEILING(PERCENTRANK.INC($C$3:$C$6000,C4436,4)*5+0.000001,1)))</f>
        <v/>
      </c>
      <c r="G4436">
        <f>IF(A4436="","",MAX(1,CEILING(PERCENTRANK.INC($D$3:$D$6000,D4436,4)*5+0.000001,1)))</f>
        <v/>
      </c>
      <c r="H4436">
        <f>IF(A4436="","",E4436&amp;F4436&amp;G4436)</f>
        <v/>
      </c>
      <c r="I4436">
        <f>IF(A4436="","",IF(AND(E4436&gt;=4,F4436&gt;=4,G4436&gt;=4),"Juara",IF(AND(F4436&gt;=4,E4436&gt;=3),"Setia",IF(AND(E4436=5,F4436&lt;=2,G4436&gt;=3),"Berpotensi",IF(AND(E4436&lt;=3,E4436&gt;=2,F4436&gt;=3),"Rawan",IF(AND(E4436&lt;=2,F4436&lt;=2),"Tidur","Umum"))))))</f>
        <v/>
      </c>
    </row>
    <row r="4437">
      <c r="B4437">
        <f>IF(A4437="","",$B$1-MAXIFS(Donasi!$A$2:$A$20000,Donasi!$B$2:$B$20000,A4437))</f>
        <v/>
      </c>
      <c r="C4437">
        <f>IF(A4437="","",COUNTIF(Donasi!$B$2:$B$20000,A4437))</f>
        <v/>
      </c>
      <c r="D4437">
        <f>IF(A4437="","",SUMIF(Donasi!$B$2:$B$20000,A4437,Donasi!$C$2:$C$20000))</f>
        <v/>
      </c>
      <c r="E4437">
        <f>IF(A4437="","",6-CEILING(PERCENTRANK.INC($B$3:$B$6000,B4437,4)*5+0.000001,1))</f>
        <v/>
      </c>
      <c r="F4437">
        <f>IF(A4437="","",MAX(1,CEILING(PERCENTRANK.INC($C$3:$C$6000,C4437,4)*5+0.000001,1)))</f>
        <v/>
      </c>
      <c r="G4437">
        <f>IF(A4437="","",MAX(1,CEILING(PERCENTRANK.INC($D$3:$D$6000,D4437,4)*5+0.000001,1)))</f>
        <v/>
      </c>
      <c r="H4437">
        <f>IF(A4437="","",E4437&amp;F4437&amp;G4437)</f>
        <v/>
      </c>
      <c r="I4437">
        <f>IF(A4437="","",IF(AND(E4437&gt;=4,F4437&gt;=4,G4437&gt;=4),"Juara",IF(AND(F4437&gt;=4,E4437&gt;=3),"Setia",IF(AND(E4437=5,F4437&lt;=2,G4437&gt;=3),"Berpotensi",IF(AND(E4437&lt;=3,E4437&gt;=2,F4437&gt;=3),"Rawan",IF(AND(E4437&lt;=2,F4437&lt;=2),"Tidur","Umum"))))))</f>
        <v/>
      </c>
    </row>
    <row r="4438">
      <c r="B4438">
        <f>IF(A4438="","",$B$1-MAXIFS(Donasi!$A$2:$A$20000,Donasi!$B$2:$B$20000,A4438))</f>
        <v/>
      </c>
      <c r="C4438">
        <f>IF(A4438="","",COUNTIF(Donasi!$B$2:$B$20000,A4438))</f>
        <v/>
      </c>
      <c r="D4438">
        <f>IF(A4438="","",SUMIF(Donasi!$B$2:$B$20000,A4438,Donasi!$C$2:$C$20000))</f>
        <v/>
      </c>
      <c r="E4438">
        <f>IF(A4438="","",6-CEILING(PERCENTRANK.INC($B$3:$B$6000,B4438,4)*5+0.000001,1))</f>
        <v/>
      </c>
      <c r="F4438">
        <f>IF(A4438="","",MAX(1,CEILING(PERCENTRANK.INC($C$3:$C$6000,C4438,4)*5+0.000001,1)))</f>
        <v/>
      </c>
      <c r="G4438">
        <f>IF(A4438="","",MAX(1,CEILING(PERCENTRANK.INC($D$3:$D$6000,D4438,4)*5+0.000001,1)))</f>
        <v/>
      </c>
      <c r="H4438">
        <f>IF(A4438="","",E4438&amp;F4438&amp;G4438)</f>
        <v/>
      </c>
      <c r="I4438">
        <f>IF(A4438="","",IF(AND(E4438&gt;=4,F4438&gt;=4,G4438&gt;=4),"Juara",IF(AND(F4438&gt;=4,E4438&gt;=3),"Setia",IF(AND(E4438=5,F4438&lt;=2,G4438&gt;=3),"Berpotensi",IF(AND(E4438&lt;=3,E4438&gt;=2,F4438&gt;=3),"Rawan",IF(AND(E4438&lt;=2,F4438&lt;=2),"Tidur","Umum"))))))</f>
        <v/>
      </c>
    </row>
    <row r="4439">
      <c r="B4439">
        <f>IF(A4439="","",$B$1-MAXIFS(Donasi!$A$2:$A$20000,Donasi!$B$2:$B$20000,A4439))</f>
        <v/>
      </c>
      <c r="C4439">
        <f>IF(A4439="","",COUNTIF(Donasi!$B$2:$B$20000,A4439))</f>
        <v/>
      </c>
      <c r="D4439">
        <f>IF(A4439="","",SUMIF(Donasi!$B$2:$B$20000,A4439,Donasi!$C$2:$C$20000))</f>
        <v/>
      </c>
      <c r="E4439">
        <f>IF(A4439="","",6-CEILING(PERCENTRANK.INC($B$3:$B$6000,B4439,4)*5+0.000001,1))</f>
        <v/>
      </c>
      <c r="F4439">
        <f>IF(A4439="","",MAX(1,CEILING(PERCENTRANK.INC($C$3:$C$6000,C4439,4)*5+0.000001,1)))</f>
        <v/>
      </c>
      <c r="G4439">
        <f>IF(A4439="","",MAX(1,CEILING(PERCENTRANK.INC($D$3:$D$6000,D4439,4)*5+0.000001,1)))</f>
        <v/>
      </c>
      <c r="H4439">
        <f>IF(A4439="","",E4439&amp;F4439&amp;G4439)</f>
        <v/>
      </c>
      <c r="I4439">
        <f>IF(A4439="","",IF(AND(E4439&gt;=4,F4439&gt;=4,G4439&gt;=4),"Juara",IF(AND(F4439&gt;=4,E4439&gt;=3),"Setia",IF(AND(E4439=5,F4439&lt;=2,G4439&gt;=3),"Berpotensi",IF(AND(E4439&lt;=3,E4439&gt;=2,F4439&gt;=3),"Rawan",IF(AND(E4439&lt;=2,F4439&lt;=2),"Tidur","Umum"))))))</f>
        <v/>
      </c>
    </row>
    <row r="4440">
      <c r="B4440">
        <f>IF(A4440="","",$B$1-MAXIFS(Donasi!$A$2:$A$20000,Donasi!$B$2:$B$20000,A4440))</f>
        <v/>
      </c>
      <c r="C4440">
        <f>IF(A4440="","",COUNTIF(Donasi!$B$2:$B$20000,A4440))</f>
        <v/>
      </c>
      <c r="D4440">
        <f>IF(A4440="","",SUMIF(Donasi!$B$2:$B$20000,A4440,Donasi!$C$2:$C$20000))</f>
        <v/>
      </c>
      <c r="E4440">
        <f>IF(A4440="","",6-CEILING(PERCENTRANK.INC($B$3:$B$6000,B4440,4)*5+0.000001,1))</f>
        <v/>
      </c>
      <c r="F4440">
        <f>IF(A4440="","",MAX(1,CEILING(PERCENTRANK.INC($C$3:$C$6000,C4440,4)*5+0.000001,1)))</f>
        <v/>
      </c>
      <c r="G4440">
        <f>IF(A4440="","",MAX(1,CEILING(PERCENTRANK.INC($D$3:$D$6000,D4440,4)*5+0.000001,1)))</f>
        <v/>
      </c>
      <c r="H4440">
        <f>IF(A4440="","",E4440&amp;F4440&amp;G4440)</f>
        <v/>
      </c>
      <c r="I4440">
        <f>IF(A4440="","",IF(AND(E4440&gt;=4,F4440&gt;=4,G4440&gt;=4),"Juara",IF(AND(F4440&gt;=4,E4440&gt;=3),"Setia",IF(AND(E4440=5,F4440&lt;=2,G4440&gt;=3),"Berpotensi",IF(AND(E4440&lt;=3,E4440&gt;=2,F4440&gt;=3),"Rawan",IF(AND(E4440&lt;=2,F4440&lt;=2),"Tidur","Umum"))))))</f>
        <v/>
      </c>
    </row>
    <row r="4441">
      <c r="B4441">
        <f>IF(A4441="","",$B$1-MAXIFS(Donasi!$A$2:$A$20000,Donasi!$B$2:$B$20000,A4441))</f>
        <v/>
      </c>
      <c r="C4441">
        <f>IF(A4441="","",COUNTIF(Donasi!$B$2:$B$20000,A4441))</f>
        <v/>
      </c>
      <c r="D4441">
        <f>IF(A4441="","",SUMIF(Donasi!$B$2:$B$20000,A4441,Donasi!$C$2:$C$20000))</f>
        <v/>
      </c>
      <c r="E4441">
        <f>IF(A4441="","",6-CEILING(PERCENTRANK.INC($B$3:$B$6000,B4441,4)*5+0.000001,1))</f>
        <v/>
      </c>
      <c r="F4441">
        <f>IF(A4441="","",MAX(1,CEILING(PERCENTRANK.INC($C$3:$C$6000,C4441,4)*5+0.000001,1)))</f>
        <v/>
      </c>
      <c r="G4441">
        <f>IF(A4441="","",MAX(1,CEILING(PERCENTRANK.INC($D$3:$D$6000,D4441,4)*5+0.000001,1)))</f>
        <v/>
      </c>
      <c r="H4441">
        <f>IF(A4441="","",E4441&amp;F4441&amp;G4441)</f>
        <v/>
      </c>
      <c r="I4441">
        <f>IF(A4441="","",IF(AND(E4441&gt;=4,F4441&gt;=4,G4441&gt;=4),"Juara",IF(AND(F4441&gt;=4,E4441&gt;=3),"Setia",IF(AND(E4441=5,F4441&lt;=2,G4441&gt;=3),"Berpotensi",IF(AND(E4441&lt;=3,E4441&gt;=2,F4441&gt;=3),"Rawan",IF(AND(E4441&lt;=2,F4441&lt;=2),"Tidur","Umum"))))))</f>
        <v/>
      </c>
    </row>
    <row r="4442">
      <c r="B4442">
        <f>IF(A4442="","",$B$1-MAXIFS(Donasi!$A$2:$A$20000,Donasi!$B$2:$B$20000,A4442))</f>
        <v/>
      </c>
      <c r="C4442">
        <f>IF(A4442="","",COUNTIF(Donasi!$B$2:$B$20000,A4442))</f>
        <v/>
      </c>
      <c r="D4442">
        <f>IF(A4442="","",SUMIF(Donasi!$B$2:$B$20000,A4442,Donasi!$C$2:$C$20000))</f>
        <v/>
      </c>
      <c r="E4442">
        <f>IF(A4442="","",6-CEILING(PERCENTRANK.INC($B$3:$B$6000,B4442,4)*5+0.000001,1))</f>
        <v/>
      </c>
      <c r="F4442">
        <f>IF(A4442="","",MAX(1,CEILING(PERCENTRANK.INC($C$3:$C$6000,C4442,4)*5+0.000001,1)))</f>
        <v/>
      </c>
      <c r="G4442">
        <f>IF(A4442="","",MAX(1,CEILING(PERCENTRANK.INC($D$3:$D$6000,D4442,4)*5+0.000001,1)))</f>
        <v/>
      </c>
      <c r="H4442">
        <f>IF(A4442="","",E4442&amp;F4442&amp;G4442)</f>
        <v/>
      </c>
      <c r="I4442">
        <f>IF(A4442="","",IF(AND(E4442&gt;=4,F4442&gt;=4,G4442&gt;=4),"Juara",IF(AND(F4442&gt;=4,E4442&gt;=3),"Setia",IF(AND(E4442=5,F4442&lt;=2,G4442&gt;=3),"Berpotensi",IF(AND(E4442&lt;=3,E4442&gt;=2,F4442&gt;=3),"Rawan",IF(AND(E4442&lt;=2,F4442&lt;=2),"Tidur","Umum"))))))</f>
        <v/>
      </c>
    </row>
    <row r="4443">
      <c r="B4443">
        <f>IF(A4443="","",$B$1-MAXIFS(Donasi!$A$2:$A$20000,Donasi!$B$2:$B$20000,A4443))</f>
        <v/>
      </c>
      <c r="C4443">
        <f>IF(A4443="","",COUNTIF(Donasi!$B$2:$B$20000,A4443))</f>
        <v/>
      </c>
      <c r="D4443">
        <f>IF(A4443="","",SUMIF(Donasi!$B$2:$B$20000,A4443,Donasi!$C$2:$C$20000))</f>
        <v/>
      </c>
      <c r="E4443">
        <f>IF(A4443="","",6-CEILING(PERCENTRANK.INC($B$3:$B$6000,B4443,4)*5+0.000001,1))</f>
        <v/>
      </c>
      <c r="F4443">
        <f>IF(A4443="","",MAX(1,CEILING(PERCENTRANK.INC($C$3:$C$6000,C4443,4)*5+0.000001,1)))</f>
        <v/>
      </c>
      <c r="G4443">
        <f>IF(A4443="","",MAX(1,CEILING(PERCENTRANK.INC($D$3:$D$6000,D4443,4)*5+0.000001,1)))</f>
        <v/>
      </c>
      <c r="H4443">
        <f>IF(A4443="","",E4443&amp;F4443&amp;G4443)</f>
        <v/>
      </c>
      <c r="I4443">
        <f>IF(A4443="","",IF(AND(E4443&gt;=4,F4443&gt;=4,G4443&gt;=4),"Juara",IF(AND(F4443&gt;=4,E4443&gt;=3),"Setia",IF(AND(E4443=5,F4443&lt;=2,G4443&gt;=3),"Berpotensi",IF(AND(E4443&lt;=3,E4443&gt;=2,F4443&gt;=3),"Rawan",IF(AND(E4443&lt;=2,F4443&lt;=2),"Tidur","Umum"))))))</f>
        <v/>
      </c>
    </row>
    <row r="4444">
      <c r="B4444">
        <f>IF(A4444="","",$B$1-MAXIFS(Donasi!$A$2:$A$20000,Donasi!$B$2:$B$20000,A4444))</f>
        <v/>
      </c>
      <c r="C4444">
        <f>IF(A4444="","",COUNTIF(Donasi!$B$2:$B$20000,A4444))</f>
        <v/>
      </c>
      <c r="D4444">
        <f>IF(A4444="","",SUMIF(Donasi!$B$2:$B$20000,A4444,Donasi!$C$2:$C$20000))</f>
        <v/>
      </c>
      <c r="E4444">
        <f>IF(A4444="","",6-CEILING(PERCENTRANK.INC($B$3:$B$6000,B4444,4)*5+0.000001,1))</f>
        <v/>
      </c>
      <c r="F4444">
        <f>IF(A4444="","",MAX(1,CEILING(PERCENTRANK.INC($C$3:$C$6000,C4444,4)*5+0.000001,1)))</f>
        <v/>
      </c>
      <c r="G4444">
        <f>IF(A4444="","",MAX(1,CEILING(PERCENTRANK.INC($D$3:$D$6000,D4444,4)*5+0.000001,1)))</f>
        <v/>
      </c>
      <c r="H4444">
        <f>IF(A4444="","",E4444&amp;F4444&amp;G4444)</f>
        <v/>
      </c>
      <c r="I4444">
        <f>IF(A4444="","",IF(AND(E4444&gt;=4,F4444&gt;=4,G4444&gt;=4),"Juara",IF(AND(F4444&gt;=4,E4444&gt;=3),"Setia",IF(AND(E4444=5,F4444&lt;=2,G4444&gt;=3),"Berpotensi",IF(AND(E4444&lt;=3,E4444&gt;=2,F4444&gt;=3),"Rawan",IF(AND(E4444&lt;=2,F4444&lt;=2),"Tidur","Umum"))))))</f>
        <v/>
      </c>
    </row>
    <row r="4445">
      <c r="B4445">
        <f>IF(A4445="","",$B$1-MAXIFS(Donasi!$A$2:$A$20000,Donasi!$B$2:$B$20000,A4445))</f>
        <v/>
      </c>
      <c r="C4445">
        <f>IF(A4445="","",COUNTIF(Donasi!$B$2:$B$20000,A4445))</f>
        <v/>
      </c>
      <c r="D4445">
        <f>IF(A4445="","",SUMIF(Donasi!$B$2:$B$20000,A4445,Donasi!$C$2:$C$20000))</f>
        <v/>
      </c>
      <c r="E4445">
        <f>IF(A4445="","",6-CEILING(PERCENTRANK.INC($B$3:$B$6000,B4445,4)*5+0.000001,1))</f>
        <v/>
      </c>
      <c r="F4445">
        <f>IF(A4445="","",MAX(1,CEILING(PERCENTRANK.INC($C$3:$C$6000,C4445,4)*5+0.000001,1)))</f>
        <v/>
      </c>
      <c r="G4445">
        <f>IF(A4445="","",MAX(1,CEILING(PERCENTRANK.INC($D$3:$D$6000,D4445,4)*5+0.000001,1)))</f>
        <v/>
      </c>
      <c r="H4445">
        <f>IF(A4445="","",E4445&amp;F4445&amp;G4445)</f>
        <v/>
      </c>
      <c r="I4445">
        <f>IF(A4445="","",IF(AND(E4445&gt;=4,F4445&gt;=4,G4445&gt;=4),"Juara",IF(AND(F4445&gt;=4,E4445&gt;=3),"Setia",IF(AND(E4445=5,F4445&lt;=2,G4445&gt;=3),"Berpotensi",IF(AND(E4445&lt;=3,E4445&gt;=2,F4445&gt;=3),"Rawan",IF(AND(E4445&lt;=2,F4445&lt;=2),"Tidur","Umum"))))))</f>
        <v/>
      </c>
    </row>
    <row r="4446">
      <c r="B4446">
        <f>IF(A4446="","",$B$1-MAXIFS(Donasi!$A$2:$A$20000,Donasi!$B$2:$B$20000,A4446))</f>
        <v/>
      </c>
      <c r="C4446">
        <f>IF(A4446="","",COUNTIF(Donasi!$B$2:$B$20000,A4446))</f>
        <v/>
      </c>
      <c r="D4446">
        <f>IF(A4446="","",SUMIF(Donasi!$B$2:$B$20000,A4446,Donasi!$C$2:$C$20000))</f>
        <v/>
      </c>
      <c r="E4446">
        <f>IF(A4446="","",6-CEILING(PERCENTRANK.INC($B$3:$B$6000,B4446,4)*5+0.000001,1))</f>
        <v/>
      </c>
      <c r="F4446">
        <f>IF(A4446="","",MAX(1,CEILING(PERCENTRANK.INC($C$3:$C$6000,C4446,4)*5+0.000001,1)))</f>
        <v/>
      </c>
      <c r="G4446">
        <f>IF(A4446="","",MAX(1,CEILING(PERCENTRANK.INC($D$3:$D$6000,D4446,4)*5+0.000001,1)))</f>
        <v/>
      </c>
      <c r="H4446">
        <f>IF(A4446="","",E4446&amp;F4446&amp;G4446)</f>
        <v/>
      </c>
      <c r="I4446">
        <f>IF(A4446="","",IF(AND(E4446&gt;=4,F4446&gt;=4,G4446&gt;=4),"Juara",IF(AND(F4446&gt;=4,E4446&gt;=3),"Setia",IF(AND(E4446=5,F4446&lt;=2,G4446&gt;=3),"Berpotensi",IF(AND(E4446&lt;=3,E4446&gt;=2,F4446&gt;=3),"Rawan",IF(AND(E4446&lt;=2,F4446&lt;=2),"Tidur","Umum"))))))</f>
        <v/>
      </c>
    </row>
    <row r="4447">
      <c r="B4447">
        <f>IF(A4447="","",$B$1-MAXIFS(Donasi!$A$2:$A$20000,Donasi!$B$2:$B$20000,A4447))</f>
        <v/>
      </c>
      <c r="C4447">
        <f>IF(A4447="","",COUNTIF(Donasi!$B$2:$B$20000,A4447))</f>
        <v/>
      </c>
      <c r="D4447">
        <f>IF(A4447="","",SUMIF(Donasi!$B$2:$B$20000,A4447,Donasi!$C$2:$C$20000))</f>
        <v/>
      </c>
      <c r="E4447">
        <f>IF(A4447="","",6-CEILING(PERCENTRANK.INC($B$3:$B$6000,B4447,4)*5+0.000001,1))</f>
        <v/>
      </c>
      <c r="F4447">
        <f>IF(A4447="","",MAX(1,CEILING(PERCENTRANK.INC($C$3:$C$6000,C4447,4)*5+0.000001,1)))</f>
        <v/>
      </c>
      <c r="G4447">
        <f>IF(A4447="","",MAX(1,CEILING(PERCENTRANK.INC($D$3:$D$6000,D4447,4)*5+0.000001,1)))</f>
        <v/>
      </c>
      <c r="H4447">
        <f>IF(A4447="","",E4447&amp;F4447&amp;G4447)</f>
        <v/>
      </c>
      <c r="I4447">
        <f>IF(A4447="","",IF(AND(E4447&gt;=4,F4447&gt;=4,G4447&gt;=4),"Juara",IF(AND(F4447&gt;=4,E4447&gt;=3),"Setia",IF(AND(E4447=5,F4447&lt;=2,G4447&gt;=3),"Berpotensi",IF(AND(E4447&lt;=3,E4447&gt;=2,F4447&gt;=3),"Rawan",IF(AND(E4447&lt;=2,F4447&lt;=2),"Tidur","Umum"))))))</f>
        <v/>
      </c>
    </row>
    <row r="4448">
      <c r="B4448">
        <f>IF(A4448="","",$B$1-MAXIFS(Donasi!$A$2:$A$20000,Donasi!$B$2:$B$20000,A4448))</f>
        <v/>
      </c>
      <c r="C4448">
        <f>IF(A4448="","",COUNTIF(Donasi!$B$2:$B$20000,A4448))</f>
        <v/>
      </c>
      <c r="D4448">
        <f>IF(A4448="","",SUMIF(Donasi!$B$2:$B$20000,A4448,Donasi!$C$2:$C$20000))</f>
        <v/>
      </c>
      <c r="E4448">
        <f>IF(A4448="","",6-CEILING(PERCENTRANK.INC($B$3:$B$6000,B4448,4)*5+0.000001,1))</f>
        <v/>
      </c>
      <c r="F4448">
        <f>IF(A4448="","",MAX(1,CEILING(PERCENTRANK.INC($C$3:$C$6000,C4448,4)*5+0.000001,1)))</f>
        <v/>
      </c>
      <c r="G4448">
        <f>IF(A4448="","",MAX(1,CEILING(PERCENTRANK.INC($D$3:$D$6000,D4448,4)*5+0.000001,1)))</f>
        <v/>
      </c>
      <c r="H4448">
        <f>IF(A4448="","",E4448&amp;F4448&amp;G4448)</f>
        <v/>
      </c>
      <c r="I4448">
        <f>IF(A4448="","",IF(AND(E4448&gt;=4,F4448&gt;=4,G4448&gt;=4),"Juara",IF(AND(F4448&gt;=4,E4448&gt;=3),"Setia",IF(AND(E4448=5,F4448&lt;=2,G4448&gt;=3),"Berpotensi",IF(AND(E4448&lt;=3,E4448&gt;=2,F4448&gt;=3),"Rawan",IF(AND(E4448&lt;=2,F4448&lt;=2),"Tidur","Umum"))))))</f>
        <v/>
      </c>
    </row>
    <row r="4449">
      <c r="B4449">
        <f>IF(A4449="","",$B$1-MAXIFS(Donasi!$A$2:$A$20000,Donasi!$B$2:$B$20000,A4449))</f>
        <v/>
      </c>
      <c r="C4449">
        <f>IF(A4449="","",COUNTIF(Donasi!$B$2:$B$20000,A4449))</f>
        <v/>
      </c>
      <c r="D4449">
        <f>IF(A4449="","",SUMIF(Donasi!$B$2:$B$20000,A4449,Donasi!$C$2:$C$20000))</f>
        <v/>
      </c>
      <c r="E4449">
        <f>IF(A4449="","",6-CEILING(PERCENTRANK.INC($B$3:$B$6000,B4449,4)*5+0.000001,1))</f>
        <v/>
      </c>
      <c r="F4449">
        <f>IF(A4449="","",MAX(1,CEILING(PERCENTRANK.INC($C$3:$C$6000,C4449,4)*5+0.000001,1)))</f>
        <v/>
      </c>
      <c r="G4449">
        <f>IF(A4449="","",MAX(1,CEILING(PERCENTRANK.INC($D$3:$D$6000,D4449,4)*5+0.000001,1)))</f>
        <v/>
      </c>
      <c r="H4449">
        <f>IF(A4449="","",E4449&amp;F4449&amp;G4449)</f>
        <v/>
      </c>
      <c r="I4449">
        <f>IF(A4449="","",IF(AND(E4449&gt;=4,F4449&gt;=4,G4449&gt;=4),"Juara",IF(AND(F4449&gt;=4,E4449&gt;=3),"Setia",IF(AND(E4449=5,F4449&lt;=2,G4449&gt;=3),"Berpotensi",IF(AND(E4449&lt;=3,E4449&gt;=2,F4449&gt;=3),"Rawan",IF(AND(E4449&lt;=2,F4449&lt;=2),"Tidur","Umum"))))))</f>
        <v/>
      </c>
    </row>
    <row r="4450">
      <c r="B4450">
        <f>IF(A4450="","",$B$1-MAXIFS(Donasi!$A$2:$A$20000,Donasi!$B$2:$B$20000,A4450))</f>
        <v/>
      </c>
      <c r="C4450">
        <f>IF(A4450="","",COUNTIF(Donasi!$B$2:$B$20000,A4450))</f>
        <v/>
      </c>
      <c r="D4450">
        <f>IF(A4450="","",SUMIF(Donasi!$B$2:$B$20000,A4450,Donasi!$C$2:$C$20000))</f>
        <v/>
      </c>
      <c r="E4450">
        <f>IF(A4450="","",6-CEILING(PERCENTRANK.INC($B$3:$B$6000,B4450,4)*5+0.000001,1))</f>
        <v/>
      </c>
      <c r="F4450">
        <f>IF(A4450="","",MAX(1,CEILING(PERCENTRANK.INC($C$3:$C$6000,C4450,4)*5+0.000001,1)))</f>
        <v/>
      </c>
      <c r="G4450">
        <f>IF(A4450="","",MAX(1,CEILING(PERCENTRANK.INC($D$3:$D$6000,D4450,4)*5+0.000001,1)))</f>
        <v/>
      </c>
      <c r="H4450">
        <f>IF(A4450="","",E4450&amp;F4450&amp;G4450)</f>
        <v/>
      </c>
      <c r="I4450">
        <f>IF(A4450="","",IF(AND(E4450&gt;=4,F4450&gt;=4,G4450&gt;=4),"Juara",IF(AND(F4450&gt;=4,E4450&gt;=3),"Setia",IF(AND(E4450=5,F4450&lt;=2,G4450&gt;=3),"Berpotensi",IF(AND(E4450&lt;=3,E4450&gt;=2,F4450&gt;=3),"Rawan",IF(AND(E4450&lt;=2,F4450&lt;=2),"Tidur","Umum"))))))</f>
        <v/>
      </c>
    </row>
    <row r="4451">
      <c r="B4451">
        <f>IF(A4451="","",$B$1-MAXIFS(Donasi!$A$2:$A$20000,Donasi!$B$2:$B$20000,A4451))</f>
        <v/>
      </c>
      <c r="C4451">
        <f>IF(A4451="","",COUNTIF(Donasi!$B$2:$B$20000,A4451))</f>
        <v/>
      </c>
      <c r="D4451">
        <f>IF(A4451="","",SUMIF(Donasi!$B$2:$B$20000,A4451,Donasi!$C$2:$C$20000))</f>
        <v/>
      </c>
      <c r="E4451">
        <f>IF(A4451="","",6-CEILING(PERCENTRANK.INC($B$3:$B$6000,B4451,4)*5+0.000001,1))</f>
        <v/>
      </c>
      <c r="F4451">
        <f>IF(A4451="","",MAX(1,CEILING(PERCENTRANK.INC($C$3:$C$6000,C4451,4)*5+0.000001,1)))</f>
        <v/>
      </c>
      <c r="G4451">
        <f>IF(A4451="","",MAX(1,CEILING(PERCENTRANK.INC($D$3:$D$6000,D4451,4)*5+0.000001,1)))</f>
        <v/>
      </c>
      <c r="H4451">
        <f>IF(A4451="","",E4451&amp;F4451&amp;G4451)</f>
        <v/>
      </c>
      <c r="I4451">
        <f>IF(A4451="","",IF(AND(E4451&gt;=4,F4451&gt;=4,G4451&gt;=4),"Juara",IF(AND(F4451&gt;=4,E4451&gt;=3),"Setia",IF(AND(E4451=5,F4451&lt;=2,G4451&gt;=3),"Berpotensi",IF(AND(E4451&lt;=3,E4451&gt;=2,F4451&gt;=3),"Rawan",IF(AND(E4451&lt;=2,F4451&lt;=2),"Tidur","Umum"))))))</f>
        <v/>
      </c>
    </row>
    <row r="4452">
      <c r="B4452">
        <f>IF(A4452="","",$B$1-MAXIFS(Donasi!$A$2:$A$20000,Donasi!$B$2:$B$20000,A4452))</f>
        <v/>
      </c>
      <c r="C4452">
        <f>IF(A4452="","",COUNTIF(Donasi!$B$2:$B$20000,A4452))</f>
        <v/>
      </c>
      <c r="D4452">
        <f>IF(A4452="","",SUMIF(Donasi!$B$2:$B$20000,A4452,Donasi!$C$2:$C$20000))</f>
        <v/>
      </c>
      <c r="E4452">
        <f>IF(A4452="","",6-CEILING(PERCENTRANK.INC($B$3:$B$6000,B4452,4)*5+0.000001,1))</f>
        <v/>
      </c>
      <c r="F4452">
        <f>IF(A4452="","",MAX(1,CEILING(PERCENTRANK.INC($C$3:$C$6000,C4452,4)*5+0.000001,1)))</f>
        <v/>
      </c>
      <c r="G4452">
        <f>IF(A4452="","",MAX(1,CEILING(PERCENTRANK.INC($D$3:$D$6000,D4452,4)*5+0.000001,1)))</f>
        <v/>
      </c>
      <c r="H4452">
        <f>IF(A4452="","",E4452&amp;F4452&amp;G4452)</f>
        <v/>
      </c>
      <c r="I4452">
        <f>IF(A4452="","",IF(AND(E4452&gt;=4,F4452&gt;=4,G4452&gt;=4),"Juara",IF(AND(F4452&gt;=4,E4452&gt;=3),"Setia",IF(AND(E4452=5,F4452&lt;=2,G4452&gt;=3),"Berpotensi",IF(AND(E4452&lt;=3,E4452&gt;=2,F4452&gt;=3),"Rawan",IF(AND(E4452&lt;=2,F4452&lt;=2),"Tidur","Umum"))))))</f>
        <v/>
      </c>
    </row>
    <row r="4453">
      <c r="B4453">
        <f>IF(A4453="","",$B$1-MAXIFS(Donasi!$A$2:$A$20000,Donasi!$B$2:$B$20000,A4453))</f>
        <v/>
      </c>
      <c r="C4453">
        <f>IF(A4453="","",COUNTIF(Donasi!$B$2:$B$20000,A4453))</f>
        <v/>
      </c>
      <c r="D4453">
        <f>IF(A4453="","",SUMIF(Donasi!$B$2:$B$20000,A4453,Donasi!$C$2:$C$20000))</f>
        <v/>
      </c>
      <c r="E4453">
        <f>IF(A4453="","",6-CEILING(PERCENTRANK.INC($B$3:$B$6000,B4453,4)*5+0.000001,1))</f>
        <v/>
      </c>
      <c r="F4453">
        <f>IF(A4453="","",MAX(1,CEILING(PERCENTRANK.INC($C$3:$C$6000,C4453,4)*5+0.000001,1)))</f>
        <v/>
      </c>
      <c r="G4453">
        <f>IF(A4453="","",MAX(1,CEILING(PERCENTRANK.INC($D$3:$D$6000,D4453,4)*5+0.000001,1)))</f>
        <v/>
      </c>
      <c r="H4453">
        <f>IF(A4453="","",E4453&amp;F4453&amp;G4453)</f>
        <v/>
      </c>
      <c r="I4453">
        <f>IF(A4453="","",IF(AND(E4453&gt;=4,F4453&gt;=4,G4453&gt;=4),"Juara",IF(AND(F4453&gt;=4,E4453&gt;=3),"Setia",IF(AND(E4453=5,F4453&lt;=2,G4453&gt;=3),"Berpotensi",IF(AND(E4453&lt;=3,E4453&gt;=2,F4453&gt;=3),"Rawan",IF(AND(E4453&lt;=2,F4453&lt;=2),"Tidur","Umum"))))))</f>
        <v/>
      </c>
    </row>
    <row r="4454">
      <c r="B4454">
        <f>IF(A4454="","",$B$1-MAXIFS(Donasi!$A$2:$A$20000,Donasi!$B$2:$B$20000,A4454))</f>
        <v/>
      </c>
      <c r="C4454">
        <f>IF(A4454="","",COUNTIF(Donasi!$B$2:$B$20000,A4454))</f>
        <v/>
      </c>
      <c r="D4454">
        <f>IF(A4454="","",SUMIF(Donasi!$B$2:$B$20000,A4454,Donasi!$C$2:$C$20000))</f>
        <v/>
      </c>
      <c r="E4454">
        <f>IF(A4454="","",6-CEILING(PERCENTRANK.INC($B$3:$B$6000,B4454,4)*5+0.000001,1))</f>
        <v/>
      </c>
      <c r="F4454">
        <f>IF(A4454="","",MAX(1,CEILING(PERCENTRANK.INC($C$3:$C$6000,C4454,4)*5+0.000001,1)))</f>
        <v/>
      </c>
      <c r="G4454">
        <f>IF(A4454="","",MAX(1,CEILING(PERCENTRANK.INC($D$3:$D$6000,D4454,4)*5+0.000001,1)))</f>
        <v/>
      </c>
      <c r="H4454">
        <f>IF(A4454="","",E4454&amp;F4454&amp;G4454)</f>
        <v/>
      </c>
      <c r="I4454">
        <f>IF(A4454="","",IF(AND(E4454&gt;=4,F4454&gt;=4,G4454&gt;=4),"Juara",IF(AND(F4454&gt;=4,E4454&gt;=3),"Setia",IF(AND(E4454=5,F4454&lt;=2,G4454&gt;=3),"Berpotensi",IF(AND(E4454&lt;=3,E4454&gt;=2,F4454&gt;=3),"Rawan",IF(AND(E4454&lt;=2,F4454&lt;=2),"Tidur","Umum"))))))</f>
        <v/>
      </c>
    </row>
    <row r="4455">
      <c r="B4455">
        <f>IF(A4455="","",$B$1-MAXIFS(Donasi!$A$2:$A$20000,Donasi!$B$2:$B$20000,A4455))</f>
        <v/>
      </c>
      <c r="C4455">
        <f>IF(A4455="","",COUNTIF(Donasi!$B$2:$B$20000,A4455))</f>
        <v/>
      </c>
      <c r="D4455">
        <f>IF(A4455="","",SUMIF(Donasi!$B$2:$B$20000,A4455,Donasi!$C$2:$C$20000))</f>
        <v/>
      </c>
      <c r="E4455">
        <f>IF(A4455="","",6-CEILING(PERCENTRANK.INC($B$3:$B$6000,B4455,4)*5+0.000001,1))</f>
        <v/>
      </c>
      <c r="F4455">
        <f>IF(A4455="","",MAX(1,CEILING(PERCENTRANK.INC($C$3:$C$6000,C4455,4)*5+0.000001,1)))</f>
        <v/>
      </c>
      <c r="G4455">
        <f>IF(A4455="","",MAX(1,CEILING(PERCENTRANK.INC($D$3:$D$6000,D4455,4)*5+0.000001,1)))</f>
        <v/>
      </c>
      <c r="H4455">
        <f>IF(A4455="","",E4455&amp;F4455&amp;G4455)</f>
        <v/>
      </c>
      <c r="I4455">
        <f>IF(A4455="","",IF(AND(E4455&gt;=4,F4455&gt;=4,G4455&gt;=4),"Juara",IF(AND(F4455&gt;=4,E4455&gt;=3),"Setia",IF(AND(E4455=5,F4455&lt;=2,G4455&gt;=3),"Berpotensi",IF(AND(E4455&lt;=3,E4455&gt;=2,F4455&gt;=3),"Rawan",IF(AND(E4455&lt;=2,F4455&lt;=2),"Tidur","Umum"))))))</f>
        <v/>
      </c>
    </row>
    <row r="4456">
      <c r="B4456">
        <f>IF(A4456="","",$B$1-MAXIFS(Donasi!$A$2:$A$20000,Donasi!$B$2:$B$20000,A4456))</f>
        <v/>
      </c>
      <c r="C4456">
        <f>IF(A4456="","",COUNTIF(Donasi!$B$2:$B$20000,A4456))</f>
        <v/>
      </c>
      <c r="D4456">
        <f>IF(A4456="","",SUMIF(Donasi!$B$2:$B$20000,A4456,Donasi!$C$2:$C$20000))</f>
        <v/>
      </c>
      <c r="E4456">
        <f>IF(A4456="","",6-CEILING(PERCENTRANK.INC($B$3:$B$6000,B4456,4)*5+0.000001,1))</f>
        <v/>
      </c>
      <c r="F4456">
        <f>IF(A4456="","",MAX(1,CEILING(PERCENTRANK.INC($C$3:$C$6000,C4456,4)*5+0.000001,1)))</f>
        <v/>
      </c>
      <c r="G4456">
        <f>IF(A4456="","",MAX(1,CEILING(PERCENTRANK.INC($D$3:$D$6000,D4456,4)*5+0.000001,1)))</f>
        <v/>
      </c>
      <c r="H4456">
        <f>IF(A4456="","",E4456&amp;F4456&amp;G4456)</f>
        <v/>
      </c>
      <c r="I4456">
        <f>IF(A4456="","",IF(AND(E4456&gt;=4,F4456&gt;=4,G4456&gt;=4),"Juara",IF(AND(F4456&gt;=4,E4456&gt;=3),"Setia",IF(AND(E4456=5,F4456&lt;=2,G4456&gt;=3),"Berpotensi",IF(AND(E4456&lt;=3,E4456&gt;=2,F4456&gt;=3),"Rawan",IF(AND(E4456&lt;=2,F4456&lt;=2),"Tidur","Umum"))))))</f>
        <v/>
      </c>
    </row>
    <row r="4457">
      <c r="B4457">
        <f>IF(A4457="","",$B$1-MAXIFS(Donasi!$A$2:$A$20000,Donasi!$B$2:$B$20000,A4457))</f>
        <v/>
      </c>
      <c r="C4457">
        <f>IF(A4457="","",COUNTIF(Donasi!$B$2:$B$20000,A4457))</f>
        <v/>
      </c>
      <c r="D4457">
        <f>IF(A4457="","",SUMIF(Donasi!$B$2:$B$20000,A4457,Donasi!$C$2:$C$20000))</f>
        <v/>
      </c>
      <c r="E4457">
        <f>IF(A4457="","",6-CEILING(PERCENTRANK.INC($B$3:$B$6000,B4457,4)*5+0.000001,1))</f>
        <v/>
      </c>
      <c r="F4457">
        <f>IF(A4457="","",MAX(1,CEILING(PERCENTRANK.INC($C$3:$C$6000,C4457,4)*5+0.000001,1)))</f>
        <v/>
      </c>
      <c r="G4457">
        <f>IF(A4457="","",MAX(1,CEILING(PERCENTRANK.INC($D$3:$D$6000,D4457,4)*5+0.000001,1)))</f>
        <v/>
      </c>
      <c r="H4457">
        <f>IF(A4457="","",E4457&amp;F4457&amp;G4457)</f>
        <v/>
      </c>
      <c r="I4457">
        <f>IF(A4457="","",IF(AND(E4457&gt;=4,F4457&gt;=4,G4457&gt;=4),"Juara",IF(AND(F4457&gt;=4,E4457&gt;=3),"Setia",IF(AND(E4457=5,F4457&lt;=2,G4457&gt;=3),"Berpotensi",IF(AND(E4457&lt;=3,E4457&gt;=2,F4457&gt;=3),"Rawan",IF(AND(E4457&lt;=2,F4457&lt;=2),"Tidur","Umum"))))))</f>
        <v/>
      </c>
    </row>
    <row r="4458">
      <c r="B4458">
        <f>IF(A4458="","",$B$1-MAXIFS(Donasi!$A$2:$A$20000,Donasi!$B$2:$B$20000,A4458))</f>
        <v/>
      </c>
      <c r="C4458">
        <f>IF(A4458="","",COUNTIF(Donasi!$B$2:$B$20000,A4458))</f>
        <v/>
      </c>
      <c r="D4458">
        <f>IF(A4458="","",SUMIF(Donasi!$B$2:$B$20000,A4458,Donasi!$C$2:$C$20000))</f>
        <v/>
      </c>
      <c r="E4458">
        <f>IF(A4458="","",6-CEILING(PERCENTRANK.INC($B$3:$B$6000,B4458,4)*5+0.000001,1))</f>
        <v/>
      </c>
      <c r="F4458">
        <f>IF(A4458="","",MAX(1,CEILING(PERCENTRANK.INC($C$3:$C$6000,C4458,4)*5+0.000001,1)))</f>
        <v/>
      </c>
      <c r="G4458">
        <f>IF(A4458="","",MAX(1,CEILING(PERCENTRANK.INC($D$3:$D$6000,D4458,4)*5+0.000001,1)))</f>
        <v/>
      </c>
      <c r="H4458">
        <f>IF(A4458="","",E4458&amp;F4458&amp;G4458)</f>
        <v/>
      </c>
      <c r="I4458">
        <f>IF(A4458="","",IF(AND(E4458&gt;=4,F4458&gt;=4,G4458&gt;=4),"Juara",IF(AND(F4458&gt;=4,E4458&gt;=3),"Setia",IF(AND(E4458=5,F4458&lt;=2,G4458&gt;=3),"Berpotensi",IF(AND(E4458&lt;=3,E4458&gt;=2,F4458&gt;=3),"Rawan",IF(AND(E4458&lt;=2,F4458&lt;=2),"Tidur","Umum"))))))</f>
        <v/>
      </c>
    </row>
    <row r="4459">
      <c r="B4459">
        <f>IF(A4459="","",$B$1-MAXIFS(Donasi!$A$2:$A$20000,Donasi!$B$2:$B$20000,A4459))</f>
        <v/>
      </c>
      <c r="C4459">
        <f>IF(A4459="","",COUNTIF(Donasi!$B$2:$B$20000,A4459))</f>
        <v/>
      </c>
      <c r="D4459">
        <f>IF(A4459="","",SUMIF(Donasi!$B$2:$B$20000,A4459,Donasi!$C$2:$C$20000))</f>
        <v/>
      </c>
      <c r="E4459">
        <f>IF(A4459="","",6-CEILING(PERCENTRANK.INC($B$3:$B$6000,B4459,4)*5+0.000001,1))</f>
        <v/>
      </c>
      <c r="F4459">
        <f>IF(A4459="","",MAX(1,CEILING(PERCENTRANK.INC($C$3:$C$6000,C4459,4)*5+0.000001,1)))</f>
        <v/>
      </c>
      <c r="G4459">
        <f>IF(A4459="","",MAX(1,CEILING(PERCENTRANK.INC($D$3:$D$6000,D4459,4)*5+0.000001,1)))</f>
        <v/>
      </c>
      <c r="H4459">
        <f>IF(A4459="","",E4459&amp;F4459&amp;G4459)</f>
        <v/>
      </c>
      <c r="I4459">
        <f>IF(A4459="","",IF(AND(E4459&gt;=4,F4459&gt;=4,G4459&gt;=4),"Juara",IF(AND(F4459&gt;=4,E4459&gt;=3),"Setia",IF(AND(E4459=5,F4459&lt;=2,G4459&gt;=3),"Berpotensi",IF(AND(E4459&lt;=3,E4459&gt;=2,F4459&gt;=3),"Rawan",IF(AND(E4459&lt;=2,F4459&lt;=2),"Tidur","Umum"))))))</f>
        <v/>
      </c>
    </row>
    <row r="4460">
      <c r="B4460">
        <f>IF(A4460="","",$B$1-MAXIFS(Donasi!$A$2:$A$20000,Donasi!$B$2:$B$20000,A4460))</f>
        <v/>
      </c>
      <c r="C4460">
        <f>IF(A4460="","",COUNTIF(Donasi!$B$2:$B$20000,A4460))</f>
        <v/>
      </c>
      <c r="D4460">
        <f>IF(A4460="","",SUMIF(Donasi!$B$2:$B$20000,A4460,Donasi!$C$2:$C$20000))</f>
        <v/>
      </c>
      <c r="E4460">
        <f>IF(A4460="","",6-CEILING(PERCENTRANK.INC($B$3:$B$6000,B4460,4)*5+0.000001,1))</f>
        <v/>
      </c>
      <c r="F4460">
        <f>IF(A4460="","",MAX(1,CEILING(PERCENTRANK.INC($C$3:$C$6000,C4460,4)*5+0.000001,1)))</f>
        <v/>
      </c>
      <c r="G4460">
        <f>IF(A4460="","",MAX(1,CEILING(PERCENTRANK.INC($D$3:$D$6000,D4460,4)*5+0.000001,1)))</f>
        <v/>
      </c>
      <c r="H4460">
        <f>IF(A4460="","",E4460&amp;F4460&amp;G4460)</f>
        <v/>
      </c>
      <c r="I4460">
        <f>IF(A4460="","",IF(AND(E4460&gt;=4,F4460&gt;=4,G4460&gt;=4),"Juara",IF(AND(F4460&gt;=4,E4460&gt;=3),"Setia",IF(AND(E4460=5,F4460&lt;=2,G4460&gt;=3),"Berpotensi",IF(AND(E4460&lt;=3,E4460&gt;=2,F4460&gt;=3),"Rawan",IF(AND(E4460&lt;=2,F4460&lt;=2),"Tidur","Umum"))))))</f>
        <v/>
      </c>
    </row>
    <row r="4461">
      <c r="B4461">
        <f>IF(A4461="","",$B$1-MAXIFS(Donasi!$A$2:$A$20000,Donasi!$B$2:$B$20000,A4461))</f>
        <v/>
      </c>
      <c r="C4461">
        <f>IF(A4461="","",COUNTIF(Donasi!$B$2:$B$20000,A4461))</f>
        <v/>
      </c>
      <c r="D4461">
        <f>IF(A4461="","",SUMIF(Donasi!$B$2:$B$20000,A4461,Donasi!$C$2:$C$20000))</f>
        <v/>
      </c>
      <c r="E4461">
        <f>IF(A4461="","",6-CEILING(PERCENTRANK.INC($B$3:$B$6000,B4461,4)*5+0.000001,1))</f>
        <v/>
      </c>
      <c r="F4461">
        <f>IF(A4461="","",MAX(1,CEILING(PERCENTRANK.INC($C$3:$C$6000,C4461,4)*5+0.000001,1)))</f>
        <v/>
      </c>
      <c r="G4461">
        <f>IF(A4461="","",MAX(1,CEILING(PERCENTRANK.INC($D$3:$D$6000,D4461,4)*5+0.000001,1)))</f>
        <v/>
      </c>
      <c r="H4461">
        <f>IF(A4461="","",E4461&amp;F4461&amp;G4461)</f>
        <v/>
      </c>
      <c r="I4461">
        <f>IF(A4461="","",IF(AND(E4461&gt;=4,F4461&gt;=4,G4461&gt;=4),"Juara",IF(AND(F4461&gt;=4,E4461&gt;=3),"Setia",IF(AND(E4461=5,F4461&lt;=2,G4461&gt;=3),"Berpotensi",IF(AND(E4461&lt;=3,E4461&gt;=2,F4461&gt;=3),"Rawan",IF(AND(E4461&lt;=2,F4461&lt;=2),"Tidur","Umum"))))))</f>
        <v/>
      </c>
    </row>
    <row r="4462">
      <c r="B4462">
        <f>IF(A4462="","",$B$1-MAXIFS(Donasi!$A$2:$A$20000,Donasi!$B$2:$B$20000,A4462))</f>
        <v/>
      </c>
      <c r="C4462">
        <f>IF(A4462="","",COUNTIF(Donasi!$B$2:$B$20000,A4462))</f>
        <v/>
      </c>
      <c r="D4462">
        <f>IF(A4462="","",SUMIF(Donasi!$B$2:$B$20000,A4462,Donasi!$C$2:$C$20000))</f>
        <v/>
      </c>
      <c r="E4462">
        <f>IF(A4462="","",6-CEILING(PERCENTRANK.INC($B$3:$B$6000,B4462,4)*5+0.000001,1))</f>
        <v/>
      </c>
      <c r="F4462">
        <f>IF(A4462="","",MAX(1,CEILING(PERCENTRANK.INC($C$3:$C$6000,C4462,4)*5+0.000001,1)))</f>
        <v/>
      </c>
      <c r="G4462">
        <f>IF(A4462="","",MAX(1,CEILING(PERCENTRANK.INC($D$3:$D$6000,D4462,4)*5+0.000001,1)))</f>
        <v/>
      </c>
      <c r="H4462">
        <f>IF(A4462="","",E4462&amp;F4462&amp;G4462)</f>
        <v/>
      </c>
      <c r="I4462">
        <f>IF(A4462="","",IF(AND(E4462&gt;=4,F4462&gt;=4,G4462&gt;=4),"Juara",IF(AND(F4462&gt;=4,E4462&gt;=3),"Setia",IF(AND(E4462=5,F4462&lt;=2,G4462&gt;=3),"Berpotensi",IF(AND(E4462&lt;=3,E4462&gt;=2,F4462&gt;=3),"Rawan",IF(AND(E4462&lt;=2,F4462&lt;=2),"Tidur","Umum"))))))</f>
        <v/>
      </c>
    </row>
    <row r="4463">
      <c r="B4463">
        <f>IF(A4463="","",$B$1-MAXIFS(Donasi!$A$2:$A$20000,Donasi!$B$2:$B$20000,A4463))</f>
        <v/>
      </c>
      <c r="C4463">
        <f>IF(A4463="","",COUNTIF(Donasi!$B$2:$B$20000,A4463))</f>
        <v/>
      </c>
      <c r="D4463">
        <f>IF(A4463="","",SUMIF(Donasi!$B$2:$B$20000,A4463,Donasi!$C$2:$C$20000))</f>
        <v/>
      </c>
      <c r="E4463">
        <f>IF(A4463="","",6-CEILING(PERCENTRANK.INC($B$3:$B$6000,B4463,4)*5+0.000001,1))</f>
        <v/>
      </c>
      <c r="F4463">
        <f>IF(A4463="","",MAX(1,CEILING(PERCENTRANK.INC($C$3:$C$6000,C4463,4)*5+0.000001,1)))</f>
        <v/>
      </c>
      <c r="G4463">
        <f>IF(A4463="","",MAX(1,CEILING(PERCENTRANK.INC($D$3:$D$6000,D4463,4)*5+0.000001,1)))</f>
        <v/>
      </c>
      <c r="H4463">
        <f>IF(A4463="","",E4463&amp;F4463&amp;G4463)</f>
        <v/>
      </c>
      <c r="I4463">
        <f>IF(A4463="","",IF(AND(E4463&gt;=4,F4463&gt;=4,G4463&gt;=4),"Juara",IF(AND(F4463&gt;=4,E4463&gt;=3),"Setia",IF(AND(E4463=5,F4463&lt;=2,G4463&gt;=3),"Berpotensi",IF(AND(E4463&lt;=3,E4463&gt;=2,F4463&gt;=3),"Rawan",IF(AND(E4463&lt;=2,F4463&lt;=2),"Tidur","Umum"))))))</f>
        <v/>
      </c>
    </row>
    <row r="4464">
      <c r="B4464">
        <f>IF(A4464="","",$B$1-MAXIFS(Donasi!$A$2:$A$20000,Donasi!$B$2:$B$20000,A4464))</f>
        <v/>
      </c>
      <c r="C4464">
        <f>IF(A4464="","",COUNTIF(Donasi!$B$2:$B$20000,A4464))</f>
        <v/>
      </c>
      <c r="D4464">
        <f>IF(A4464="","",SUMIF(Donasi!$B$2:$B$20000,A4464,Donasi!$C$2:$C$20000))</f>
        <v/>
      </c>
      <c r="E4464">
        <f>IF(A4464="","",6-CEILING(PERCENTRANK.INC($B$3:$B$6000,B4464,4)*5+0.000001,1))</f>
        <v/>
      </c>
      <c r="F4464">
        <f>IF(A4464="","",MAX(1,CEILING(PERCENTRANK.INC($C$3:$C$6000,C4464,4)*5+0.000001,1)))</f>
        <v/>
      </c>
      <c r="G4464">
        <f>IF(A4464="","",MAX(1,CEILING(PERCENTRANK.INC($D$3:$D$6000,D4464,4)*5+0.000001,1)))</f>
        <v/>
      </c>
      <c r="H4464">
        <f>IF(A4464="","",E4464&amp;F4464&amp;G4464)</f>
        <v/>
      </c>
      <c r="I4464">
        <f>IF(A4464="","",IF(AND(E4464&gt;=4,F4464&gt;=4,G4464&gt;=4),"Juara",IF(AND(F4464&gt;=4,E4464&gt;=3),"Setia",IF(AND(E4464=5,F4464&lt;=2,G4464&gt;=3),"Berpotensi",IF(AND(E4464&lt;=3,E4464&gt;=2,F4464&gt;=3),"Rawan",IF(AND(E4464&lt;=2,F4464&lt;=2),"Tidur","Umum"))))))</f>
        <v/>
      </c>
    </row>
    <row r="4465">
      <c r="B4465">
        <f>IF(A4465="","",$B$1-MAXIFS(Donasi!$A$2:$A$20000,Donasi!$B$2:$B$20000,A4465))</f>
        <v/>
      </c>
      <c r="C4465">
        <f>IF(A4465="","",COUNTIF(Donasi!$B$2:$B$20000,A4465))</f>
        <v/>
      </c>
      <c r="D4465">
        <f>IF(A4465="","",SUMIF(Donasi!$B$2:$B$20000,A4465,Donasi!$C$2:$C$20000))</f>
        <v/>
      </c>
      <c r="E4465">
        <f>IF(A4465="","",6-CEILING(PERCENTRANK.INC($B$3:$B$6000,B4465,4)*5+0.000001,1))</f>
        <v/>
      </c>
      <c r="F4465">
        <f>IF(A4465="","",MAX(1,CEILING(PERCENTRANK.INC($C$3:$C$6000,C4465,4)*5+0.000001,1)))</f>
        <v/>
      </c>
      <c r="G4465">
        <f>IF(A4465="","",MAX(1,CEILING(PERCENTRANK.INC($D$3:$D$6000,D4465,4)*5+0.000001,1)))</f>
        <v/>
      </c>
      <c r="H4465">
        <f>IF(A4465="","",E4465&amp;F4465&amp;G4465)</f>
        <v/>
      </c>
      <c r="I4465">
        <f>IF(A4465="","",IF(AND(E4465&gt;=4,F4465&gt;=4,G4465&gt;=4),"Juara",IF(AND(F4465&gt;=4,E4465&gt;=3),"Setia",IF(AND(E4465=5,F4465&lt;=2,G4465&gt;=3),"Berpotensi",IF(AND(E4465&lt;=3,E4465&gt;=2,F4465&gt;=3),"Rawan",IF(AND(E4465&lt;=2,F4465&lt;=2),"Tidur","Umum"))))))</f>
        <v/>
      </c>
    </row>
    <row r="4466">
      <c r="B4466">
        <f>IF(A4466="","",$B$1-MAXIFS(Donasi!$A$2:$A$20000,Donasi!$B$2:$B$20000,A4466))</f>
        <v/>
      </c>
      <c r="C4466">
        <f>IF(A4466="","",COUNTIF(Donasi!$B$2:$B$20000,A4466))</f>
        <v/>
      </c>
      <c r="D4466">
        <f>IF(A4466="","",SUMIF(Donasi!$B$2:$B$20000,A4466,Donasi!$C$2:$C$20000))</f>
        <v/>
      </c>
      <c r="E4466">
        <f>IF(A4466="","",6-CEILING(PERCENTRANK.INC($B$3:$B$6000,B4466,4)*5+0.000001,1))</f>
        <v/>
      </c>
      <c r="F4466">
        <f>IF(A4466="","",MAX(1,CEILING(PERCENTRANK.INC($C$3:$C$6000,C4466,4)*5+0.000001,1)))</f>
        <v/>
      </c>
      <c r="G4466">
        <f>IF(A4466="","",MAX(1,CEILING(PERCENTRANK.INC($D$3:$D$6000,D4466,4)*5+0.000001,1)))</f>
        <v/>
      </c>
      <c r="H4466">
        <f>IF(A4466="","",E4466&amp;F4466&amp;G4466)</f>
        <v/>
      </c>
      <c r="I4466">
        <f>IF(A4466="","",IF(AND(E4466&gt;=4,F4466&gt;=4,G4466&gt;=4),"Juara",IF(AND(F4466&gt;=4,E4466&gt;=3),"Setia",IF(AND(E4466=5,F4466&lt;=2,G4466&gt;=3),"Berpotensi",IF(AND(E4466&lt;=3,E4466&gt;=2,F4466&gt;=3),"Rawan",IF(AND(E4466&lt;=2,F4466&lt;=2),"Tidur","Umum"))))))</f>
        <v/>
      </c>
    </row>
    <row r="4467">
      <c r="B4467">
        <f>IF(A4467="","",$B$1-MAXIFS(Donasi!$A$2:$A$20000,Donasi!$B$2:$B$20000,A4467))</f>
        <v/>
      </c>
      <c r="C4467">
        <f>IF(A4467="","",COUNTIF(Donasi!$B$2:$B$20000,A4467))</f>
        <v/>
      </c>
      <c r="D4467">
        <f>IF(A4467="","",SUMIF(Donasi!$B$2:$B$20000,A4467,Donasi!$C$2:$C$20000))</f>
        <v/>
      </c>
      <c r="E4467">
        <f>IF(A4467="","",6-CEILING(PERCENTRANK.INC($B$3:$B$6000,B4467,4)*5+0.000001,1))</f>
        <v/>
      </c>
      <c r="F4467">
        <f>IF(A4467="","",MAX(1,CEILING(PERCENTRANK.INC($C$3:$C$6000,C4467,4)*5+0.000001,1)))</f>
        <v/>
      </c>
      <c r="G4467">
        <f>IF(A4467="","",MAX(1,CEILING(PERCENTRANK.INC($D$3:$D$6000,D4467,4)*5+0.000001,1)))</f>
        <v/>
      </c>
      <c r="H4467">
        <f>IF(A4467="","",E4467&amp;F4467&amp;G4467)</f>
        <v/>
      </c>
      <c r="I4467">
        <f>IF(A4467="","",IF(AND(E4467&gt;=4,F4467&gt;=4,G4467&gt;=4),"Juara",IF(AND(F4467&gt;=4,E4467&gt;=3),"Setia",IF(AND(E4467=5,F4467&lt;=2,G4467&gt;=3),"Berpotensi",IF(AND(E4467&lt;=3,E4467&gt;=2,F4467&gt;=3),"Rawan",IF(AND(E4467&lt;=2,F4467&lt;=2),"Tidur","Umum"))))))</f>
        <v/>
      </c>
    </row>
    <row r="4468">
      <c r="B4468">
        <f>IF(A4468="","",$B$1-MAXIFS(Donasi!$A$2:$A$20000,Donasi!$B$2:$B$20000,A4468))</f>
        <v/>
      </c>
      <c r="C4468">
        <f>IF(A4468="","",COUNTIF(Donasi!$B$2:$B$20000,A4468))</f>
        <v/>
      </c>
      <c r="D4468">
        <f>IF(A4468="","",SUMIF(Donasi!$B$2:$B$20000,A4468,Donasi!$C$2:$C$20000))</f>
        <v/>
      </c>
      <c r="E4468">
        <f>IF(A4468="","",6-CEILING(PERCENTRANK.INC($B$3:$B$6000,B4468,4)*5+0.000001,1))</f>
        <v/>
      </c>
      <c r="F4468">
        <f>IF(A4468="","",MAX(1,CEILING(PERCENTRANK.INC($C$3:$C$6000,C4468,4)*5+0.000001,1)))</f>
        <v/>
      </c>
      <c r="G4468">
        <f>IF(A4468="","",MAX(1,CEILING(PERCENTRANK.INC($D$3:$D$6000,D4468,4)*5+0.000001,1)))</f>
        <v/>
      </c>
      <c r="H4468">
        <f>IF(A4468="","",E4468&amp;F4468&amp;G4468)</f>
        <v/>
      </c>
      <c r="I4468">
        <f>IF(A4468="","",IF(AND(E4468&gt;=4,F4468&gt;=4,G4468&gt;=4),"Juara",IF(AND(F4468&gt;=4,E4468&gt;=3),"Setia",IF(AND(E4468=5,F4468&lt;=2,G4468&gt;=3),"Berpotensi",IF(AND(E4468&lt;=3,E4468&gt;=2,F4468&gt;=3),"Rawan",IF(AND(E4468&lt;=2,F4468&lt;=2),"Tidur","Umum"))))))</f>
        <v/>
      </c>
    </row>
    <row r="4469">
      <c r="B4469">
        <f>IF(A4469="","",$B$1-MAXIFS(Donasi!$A$2:$A$20000,Donasi!$B$2:$B$20000,A4469))</f>
        <v/>
      </c>
      <c r="C4469">
        <f>IF(A4469="","",COUNTIF(Donasi!$B$2:$B$20000,A4469))</f>
        <v/>
      </c>
      <c r="D4469">
        <f>IF(A4469="","",SUMIF(Donasi!$B$2:$B$20000,A4469,Donasi!$C$2:$C$20000))</f>
        <v/>
      </c>
      <c r="E4469">
        <f>IF(A4469="","",6-CEILING(PERCENTRANK.INC($B$3:$B$6000,B4469,4)*5+0.000001,1))</f>
        <v/>
      </c>
      <c r="F4469">
        <f>IF(A4469="","",MAX(1,CEILING(PERCENTRANK.INC($C$3:$C$6000,C4469,4)*5+0.000001,1)))</f>
        <v/>
      </c>
      <c r="G4469">
        <f>IF(A4469="","",MAX(1,CEILING(PERCENTRANK.INC($D$3:$D$6000,D4469,4)*5+0.000001,1)))</f>
        <v/>
      </c>
      <c r="H4469">
        <f>IF(A4469="","",E4469&amp;F4469&amp;G4469)</f>
        <v/>
      </c>
      <c r="I4469">
        <f>IF(A4469="","",IF(AND(E4469&gt;=4,F4469&gt;=4,G4469&gt;=4),"Juara",IF(AND(F4469&gt;=4,E4469&gt;=3),"Setia",IF(AND(E4469=5,F4469&lt;=2,G4469&gt;=3),"Berpotensi",IF(AND(E4469&lt;=3,E4469&gt;=2,F4469&gt;=3),"Rawan",IF(AND(E4469&lt;=2,F4469&lt;=2),"Tidur","Umum"))))))</f>
        <v/>
      </c>
    </row>
    <row r="4470">
      <c r="B4470">
        <f>IF(A4470="","",$B$1-MAXIFS(Donasi!$A$2:$A$20000,Donasi!$B$2:$B$20000,A4470))</f>
        <v/>
      </c>
      <c r="C4470">
        <f>IF(A4470="","",COUNTIF(Donasi!$B$2:$B$20000,A4470))</f>
        <v/>
      </c>
      <c r="D4470">
        <f>IF(A4470="","",SUMIF(Donasi!$B$2:$B$20000,A4470,Donasi!$C$2:$C$20000))</f>
        <v/>
      </c>
      <c r="E4470">
        <f>IF(A4470="","",6-CEILING(PERCENTRANK.INC($B$3:$B$6000,B4470,4)*5+0.000001,1))</f>
        <v/>
      </c>
      <c r="F4470">
        <f>IF(A4470="","",MAX(1,CEILING(PERCENTRANK.INC($C$3:$C$6000,C4470,4)*5+0.000001,1)))</f>
        <v/>
      </c>
      <c r="G4470">
        <f>IF(A4470="","",MAX(1,CEILING(PERCENTRANK.INC($D$3:$D$6000,D4470,4)*5+0.000001,1)))</f>
        <v/>
      </c>
      <c r="H4470">
        <f>IF(A4470="","",E4470&amp;F4470&amp;G4470)</f>
        <v/>
      </c>
      <c r="I4470">
        <f>IF(A4470="","",IF(AND(E4470&gt;=4,F4470&gt;=4,G4470&gt;=4),"Juara",IF(AND(F4470&gt;=4,E4470&gt;=3),"Setia",IF(AND(E4470=5,F4470&lt;=2,G4470&gt;=3),"Berpotensi",IF(AND(E4470&lt;=3,E4470&gt;=2,F4470&gt;=3),"Rawan",IF(AND(E4470&lt;=2,F4470&lt;=2),"Tidur","Umum"))))))</f>
        <v/>
      </c>
    </row>
    <row r="4471">
      <c r="B4471">
        <f>IF(A4471="","",$B$1-MAXIFS(Donasi!$A$2:$A$20000,Donasi!$B$2:$B$20000,A4471))</f>
        <v/>
      </c>
      <c r="C4471">
        <f>IF(A4471="","",COUNTIF(Donasi!$B$2:$B$20000,A4471))</f>
        <v/>
      </c>
      <c r="D4471">
        <f>IF(A4471="","",SUMIF(Donasi!$B$2:$B$20000,A4471,Donasi!$C$2:$C$20000))</f>
        <v/>
      </c>
      <c r="E4471">
        <f>IF(A4471="","",6-CEILING(PERCENTRANK.INC($B$3:$B$6000,B4471,4)*5+0.000001,1))</f>
        <v/>
      </c>
      <c r="F4471">
        <f>IF(A4471="","",MAX(1,CEILING(PERCENTRANK.INC($C$3:$C$6000,C4471,4)*5+0.000001,1)))</f>
        <v/>
      </c>
      <c r="G4471">
        <f>IF(A4471="","",MAX(1,CEILING(PERCENTRANK.INC($D$3:$D$6000,D4471,4)*5+0.000001,1)))</f>
        <v/>
      </c>
      <c r="H4471">
        <f>IF(A4471="","",E4471&amp;F4471&amp;G4471)</f>
        <v/>
      </c>
      <c r="I4471">
        <f>IF(A4471="","",IF(AND(E4471&gt;=4,F4471&gt;=4,G4471&gt;=4),"Juara",IF(AND(F4471&gt;=4,E4471&gt;=3),"Setia",IF(AND(E4471=5,F4471&lt;=2,G4471&gt;=3),"Berpotensi",IF(AND(E4471&lt;=3,E4471&gt;=2,F4471&gt;=3),"Rawan",IF(AND(E4471&lt;=2,F4471&lt;=2),"Tidur","Umum"))))))</f>
        <v/>
      </c>
    </row>
    <row r="4472">
      <c r="B4472">
        <f>IF(A4472="","",$B$1-MAXIFS(Donasi!$A$2:$A$20000,Donasi!$B$2:$B$20000,A4472))</f>
        <v/>
      </c>
      <c r="C4472">
        <f>IF(A4472="","",COUNTIF(Donasi!$B$2:$B$20000,A4472))</f>
        <v/>
      </c>
      <c r="D4472">
        <f>IF(A4472="","",SUMIF(Donasi!$B$2:$B$20000,A4472,Donasi!$C$2:$C$20000))</f>
        <v/>
      </c>
      <c r="E4472">
        <f>IF(A4472="","",6-CEILING(PERCENTRANK.INC($B$3:$B$6000,B4472,4)*5+0.000001,1))</f>
        <v/>
      </c>
      <c r="F4472">
        <f>IF(A4472="","",MAX(1,CEILING(PERCENTRANK.INC($C$3:$C$6000,C4472,4)*5+0.000001,1)))</f>
        <v/>
      </c>
      <c r="G4472">
        <f>IF(A4472="","",MAX(1,CEILING(PERCENTRANK.INC($D$3:$D$6000,D4472,4)*5+0.000001,1)))</f>
        <v/>
      </c>
      <c r="H4472">
        <f>IF(A4472="","",E4472&amp;F4472&amp;G4472)</f>
        <v/>
      </c>
      <c r="I4472">
        <f>IF(A4472="","",IF(AND(E4472&gt;=4,F4472&gt;=4,G4472&gt;=4),"Juara",IF(AND(F4472&gt;=4,E4472&gt;=3),"Setia",IF(AND(E4472=5,F4472&lt;=2,G4472&gt;=3),"Berpotensi",IF(AND(E4472&lt;=3,E4472&gt;=2,F4472&gt;=3),"Rawan",IF(AND(E4472&lt;=2,F4472&lt;=2),"Tidur","Umum"))))))</f>
        <v/>
      </c>
    </row>
    <row r="4473">
      <c r="B4473">
        <f>IF(A4473="","",$B$1-MAXIFS(Donasi!$A$2:$A$20000,Donasi!$B$2:$B$20000,A4473))</f>
        <v/>
      </c>
      <c r="C4473">
        <f>IF(A4473="","",COUNTIF(Donasi!$B$2:$B$20000,A4473))</f>
        <v/>
      </c>
      <c r="D4473">
        <f>IF(A4473="","",SUMIF(Donasi!$B$2:$B$20000,A4473,Donasi!$C$2:$C$20000))</f>
        <v/>
      </c>
      <c r="E4473">
        <f>IF(A4473="","",6-CEILING(PERCENTRANK.INC($B$3:$B$6000,B4473,4)*5+0.000001,1))</f>
        <v/>
      </c>
      <c r="F4473">
        <f>IF(A4473="","",MAX(1,CEILING(PERCENTRANK.INC($C$3:$C$6000,C4473,4)*5+0.000001,1)))</f>
        <v/>
      </c>
      <c r="G4473">
        <f>IF(A4473="","",MAX(1,CEILING(PERCENTRANK.INC($D$3:$D$6000,D4473,4)*5+0.000001,1)))</f>
        <v/>
      </c>
      <c r="H4473">
        <f>IF(A4473="","",E4473&amp;F4473&amp;G4473)</f>
        <v/>
      </c>
      <c r="I4473">
        <f>IF(A4473="","",IF(AND(E4473&gt;=4,F4473&gt;=4,G4473&gt;=4),"Juara",IF(AND(F4473&gt;=4,E4473&gt;=3),"Setia",IF(AND(E4473=5,F4473&lt;=2,G4473&gt;=3),"Berpotensi",IF(AND(E4473&lt;=3,E4473&gt;=2,F4473&gt;=3),"Rawan",IF(AND(E4473&lt;=2,F4473&lt;=2),"Tidur","Umum"))))))</f>
        <v/>
      </c>
    </row>
    <row r="4474">
      <c r="B4474">
        <f>IF(A4474="","",$B$1-MAXIFS(Donasi!$A$2:$A$20000,Donasi!$B$2:$B$20000,A4474))</f>
        <v/>
      </c>
      <c r="C4474">
        <f>IF(A4474="","",COUNTIF(Donasi!$B$2:$B$20000,A4474))</f>
        <v/>
      </c>
      <c r="D4474">
        <f>IF(A4474="","",SUMIF(Donasi!$B$2:$B$20000,A4474,Donasi!$C$2:$C$20000))</f>
        <v/>
      </c>
      <c r="E4474">
        <f>IF(A4474="","",6-CEILING(PERCENTRANK.INC($B$3:$B$6000,B4474,4)*5+0.000001,1))</f>
        <v/>
      </c>
      <c r="F4474">
        <f>IF(A4474="","",MAX(1,CEILING(PERCENTRANK.INC($C$3:$C$6000,C4474,4)*5+0.000001,1)))</f>
        <v/>
      </c>
      <c r="G4474">
        <f>IF(A4474="","",MAX(1,CEILING(PERCENTRANK.INC($D$3:$D$6000,D4474,4)*5+0.000001,1)))</f>
        <v/>
      </c>
      <c r="H4474">
        <f>IF(A4474="","",E4474&amp;F4474&amp;G4474)</f>
        <v/>
      </c>
      <c r="I4474">
        <f>IF(A4474="","",IF(AND(E4474&gt;=4,F4474&gt;=4,G4474&gt;=4),"Juara",IF(AND(F4474&gt;=4,E4474&gt;=3),"Setia",IF(AND(E4474=5,F4474&lt;=2,G4474&gt;=3),"Berpotensi",IF(AND(E4474&lt;=3,E4474&gt;=2,F4474&gt;=3),"Rawan",IF(AND(E4474&lt;=2,F4474&lt;=2),"Tidur","Umum"))))))</f>
        <v/>
      </c>
    </row>
    <row r="4475">
      <c r="B4475">
        <f>IF(A4475="","",$B$1-MAXIFS(Donasi!$A$2:$A$20000,Donasi!$B$2:$B$20000,A4475))</f>
        <v/>
      </c>
      <c r="C4475">
        <f>IF(A4475="","",COUNTIF(Donasi!$B$2:$B$20000,A4475))</f>
        <v/>
      </c>
      <c r="D4475">
        <f>IF(A4475="","",SUMIF(Donasi!$B$2:$B$20000,A4475,Donasi!$C$2:$C$20000))</f>
        <v/>
      </c>
      <c r="E4475">
        <f>IF(A4475="","",6-CEILING(PERCENTRANK.INC($B$3:$B$6000,B4475,4)*5+0.000001,1))</f>
        <v/>
      </c>
      <c r="F4475">
        <f>IF(A4475="","",MAX(1,CEILING(PERCENTRANK.INC($C$3:$C$6000,C4475,4)*5+0.000001,1)))</f>
        <v/>
      </c>
      <c r="G4475">
        <f>IF(A4475="","",MAX(1,CEILING(PERCENTRANK.INC($D$3:$D$6000,D4475,4)*5+0.000001,1)))</f>
        <v/>
      </c>
      <c r="H4475">
        <f>IF(A4475="","",E4475&amp;F4475&amp;G4475)</f>
        <v/>
      </c>
      <c r="I4475">
        <f>IF(A4475="","",IF(AND(E4475&gt;=4,F4475&gt;=4,G4475&gt;=4),"Juara",IF(AND(F4475&gt;=4,E4475&gt;=3),"Setia",IF(AND(E4475=5,F4475&lt;=2,G4475&gt;=3),"Berpotensi",IF(AND(E4475&lt;=3,E4475&gt;=2,F4475&gt;=3),"Rawan",IF(AND(E4475&lt;=2,F4475&lt;=2),"Tidur","Umum"))))))</f>
        <v/>
      </c>
    </row>
    <row r="4476">
      <c r="B4476">
        <f>IF(A4476="","",$B$1-MAXIFS(Donasi!$A$2:$A$20000,Donasi!$B$2:$B$20000,A4476))</f>
        <v/>
      </c>
      <c r="C4476">
        <f>IF(A4476="","",COUNTIF(Donasi!$B$2:$B$20000,A4476))</f>
        <v/>
      </c>
      <c r="D4476">
        <f>IF(A4476="","",SUMIF(Donasi!$B$2:$B$20000,A4476,Donasi!$C$2:$C$20000))</f>
        <v/>
      </c>
      <c r="E4476">
        <f>IF(A4476="","",6-CEILING(PERCENTRANK.INC($B$3:$B$6000,B4476,4)*5+0.000001,1))</f>
        <v/>
      </c>
      <c r="F4476">
        <f>IF(A4476="","",MAX(1,CEILING(PERCENTRANK.INC($C$3:$C$6000,C4476,4)*5+0.000001,1)))</f>
        <v/>
      </c>
      <c r="G4476">
        <f>IF(A4476="","",MAX(1,CEILING(PERCENTRANK.INC($D$3:$D$6000,D4476,4)*5+0.000001,1)))</f>
        <v/>
      </c>
      <c r="H4476">
        <f>IF(A4476="","",E4476&amp;F4476&amp;G4476)</f>
        <v/>
      </c>
      <c r="I4476">
        <f>IF(A4476="","",IF(AND(E4476&gt;=4,F4476&gt;=4,G4476&gt;=4),"Juara",IF(AND(F4476&gt;=4,E4476&gt;=3),"Setia",IF(AND(E4476=5,F4476&lt;=2,G4476&gt;=3),"Berpotensi",IF(AND(E4476&lt;=3,E4476&gt;=2,F4476&gt;=3),"Rawan",IF(AND(E4476&lt;=2,F4476&lt;=2),"Tidur","Umum"))))))</f>
        <v/>
      </c>
    </row>
    <row r="4477">
      <c r="B4477">
        <f>IF(A4477="","",$B$1-MAXIFS(Donasi!$A$2:$A$20000,Donasi!$B$2:$B$20000,A4477))</f>
        <v/>
      </c>
      <c r="C4477">
        <f>IF(A4477="","",COUNTIF(Donasi!$B$2:$B$20000,A4477))</f>
        <v/>
      </c>
      <c r="D4477">
        <f>IF(A4477="","",SUMIF(Donasi!$B$2:$B$20000,A4477,Donasi!$C$2:$C$20000))</f>
        <v/>
      </c>
      <c r="E4477">
        <f>IF(A4477="","",6-CEILING(PERCENTRANK.INC($B$3:$B$6000,B4477,4)*5+0.000001,1))</f>
        <v/>
      </c>
      <c r="F4477">
        <f>IF(A4477="","",MAX(1,CEILING(PERCENTRANK.INC($C$3:$C$6000,C4477,4)*5+0.000001,1)))</f>
        <v/>
      </c>
      <c r="G4477">
        <f>IF(A4477="","",MAX(1,CEILING(PERCENTRANK.INC($D$3:$D$6000,D4477,4)*5+0.000001,1)))</f>
        <v/>
      </c>
      <c r="H4477">
        <f>IF(A4477="","",E4477&amp;F4477&amp;G4477)</f>
        <v/>
      </c>
      <c r="I4477">
        <f>IF(A4477="","",IF(AND(E4477&gt;=4,F4477&gt;=4,G4477&gt;=4),"Juara",IF(AND(F4477&gt;=4,E4477&gt;=3),"Setia",IF(AND(E4477=5,F4477&lt;=2,G4477&gt;=3),"Berpotensi",IF(AND(E4477&lt;=3,E4477&gt;=2,F4477&gt;=3),"Rawan",IF(AND(E4477&lt;=2,F4477&lt;=2),"Tidur","Umum"))))))</f>
        <v/>
      </c>
    </row>
    <row r="4478">
      <c r="B4478">
        <f>IF(A4478="","",$B$1-MAXIFS(Donasi!$A$2:$A$20000,Donasi!$B$2:$B$20000,A4478))</f>
        <v/>
      </c>
      <c r="C4478">
        <f>IF(A4478="","",COUNTIF(Donasi!$B$2:$B$20000,A4478))</f>
        <v/>
      </c>
      <c r="D4478">
        <f>IF(A4478="","",SUMIF(Donasi!$B$2:$B$20000,A4478,Donasi!$C$2:$C$20000))</f>
        <v/>
      </c>
      <c r="E4478">
        <f>IF(A4478="","",6-CEILING(PERCENTRANK.INC($B$3:$B$6000,B4478,4)*5+0.000001,1))</f>
        <v/>
      </c>
      <c r="F4478">
        <f>IF(A4478="","",MAX(1,CEILING(PERCENTRANK.INC($C$3:$C$6000,C4478,4)*5+0.000001,1)))</f>
        <v/>
      </c>
      <c r="G4478">
        <f>IF(A4478="","",MAX(1,CEILING(PERCENTRANK.INC($D$3:$D$6000,D4478,4)*5+0.000001,1)))</f>
        <v/>
      </c>
      <c r="H4478">
        <f>IF(A4478="","",E4478&amp;F4478&amp;G4478)</f>
        <v/>
      </c>
      <c r="I4478">
        <f>IF(A4478="","",IF(AND(E4478&gt;=4,F4478&gt;=4,G4478&gt;=4),"Juara",IF(AND(F4478&gt;=4,E4478&gt;=3),"Setia",IF(AND(E4478=5,F4478&lt;=2,G4478&gt;=3),"Berpotensi",IF(AND(E4478&lt;=3,E4478&gt;=2,F4478&gt;=3),"Rawan",IF(AND(E4478&lt;=2,F4478&lt;=2),"Tidur","Umum"))))))</f>
        <v/>
      </c>
    </row>
    <row r="4479">
      <c r="B4479">
        <f>IF(A4479="","",$B$1-MAXIFS(Donasi!$A$2:$A$20000,Donasi!$B$2:$B$20000,A4479))</f>
        <v/>
      </c>
      <c r="C4479">
        <f>IF(A4479="","",COUNTIF(Donasi!$B$2:$B$20000,A4479))</f>
        <v/>
      </c>
      <c r="D4479">
        <f>IF(A4479="","",SUMIF(Donasi!$B$2:$B$20000,A4479,Donasi!$C$2:$C$20000))</f>
        <v/>
      </c>
      <c r="E4479">
        <f>IF(A4479="","",6-CEILING(PERCENTRANK.INC($B$3:$B$6000,B4479,4)*5+0.000001,1))</f>
        <v/>
      </c>
      <c r="F4479">
        <f>IF(A4479="","",MAX(1,CEILING(PERCENTRANK.INC($C$3:$C$6000,C4479,4)*5+0.000001,1)))</f>
        <v/>
      </c>
      <c r="G4479">
        <f>IF(A4479="","",MAX(1,CEILING(PERCENTRANK.INC($D$3:$D$6000,D4479,4)*5+0.000001,1)))</f>
        <v/>
      </c>
      <c r="H4479">
        <f>IF(A4479="","",E4479&amp;F4479&amp;G4479)</f>
        <v/>
      </c>
      <c r="I4479">
        <f>IF(A4479="","",IF(AND(E4479&gt;=4,F4479&gt;=4,G4479&gt;=4),"Juara",IF(AND(F4479&gt;=4,E4479&gt;=3),"Setia",IF(AND(E4479=5,F4479&lt;=2,G4479&gt;=3),"Berpotensi",IF(AND(E4479&lt;=3,E4479&gt;=2,F4479&gt;=3),"Rawan",IF(AND(E4479&lt;=2,F4479&lt;=2),"Tidur","Umum"))))))</f>
        <v/>
      </c>
    </row>
    <row r="4480">
      <c r="B4480">
        <f>IF(A4480="","",$B$1-MAXIFS(Donasi!$A$2:$A$20000,Donasi!$B$2:$B$20000,A4480))</f>
        <v/>
      </c>
      <c r="C4480">
        <f>IF(A4480="","",COUNTIF(Donasi!$B$2:$B$20000,A4480))</f>
        <v/>
      </c>
      <c r="D4480">
        <f>IF(A4480="","",SUMIF(Donasi!$B$2:$B$20000,A4480,Donasi!$C$2:$C$20000))</f>
        <v/>
      </c>
      <c r="E4480">
        <f>IF(A4480="","",6-CEILING(PERCENTRANK.INC($B$3:$B$6000,B4480,4)*5+0.000001,1))</f>
        <v/>
      </c>
      <c r="F4480">
        <f>IF(A4480="","",MAX(1,CEILING(PERCENTRANK.INC($C$3:$C$6000,C4480,4)*5+0.000001,1)))</f>
        <v/>
      </c>
      <c r="G4480">
        <f>IF(A4480="","",MAX(1,CEILING(PERCENTRANK.INC($D$3:$D$6000,D4480,4)*5+0.000001,1)))</f>
        <v/>
      </c>
      <c r="H4480">
        <f>IF(A4480="","",E4480&amp;F4480&amp;G4480)</f>
        <v/>
      </c>
      <c r="I4480">
        <f>IF(A4480="","",IF(AND(E4480&gt;=4,F4480&gt;=4,G4480&gt;=4),"Juara",IF(AND(F4480&gt;=4,E4480&gt;=3),"Setia",IF(AND(E4480=5,F4480&lt;=2,G4480&gt;=3),"Berpotensi",IF(AND(E4480&lt;=3,E4480&gt;=2,F4480&gt;=3),"Rawan",IF(AND(E4480&lt;=2,F4480&lt;=2),"Tidur","Umum"))))))</f>
        <v/>
      </c>
    </row>
    <row r="4481">
      <c r="B4481">
        <f>IF(A4481="","",$B$1-MAXIFS(Donasi!$A$2:$A$20000,Donasi!$B$2:$B$20000,A4481))</f>
        <v/>
      </c>
      <c r="C4481">
        <f>IF(A4481="","",COUNTIF(Donasi!$B$2:$B$20000,A4481))</f>
        <v/>
      </c>
      <c r="D4481">
        <f>IF(A4481="","",SUMIF(Donasi!$B$2:$B$20000,A4481,Donasi!$C$2:$C$20000))</f>
        <v/>
      </c>
      <c r="E4481">
        <f>IF(A4481="","",6-CEILING(PERCENTRANK.INC($B$3:$B$6000,B4481,4)*5+0.000001,1))</f>
        <v/>
      </c>
      <c r="F4481">
        <f>IF(A4481="","",MAX(1,CEILING(PERCENTRANK.INC($C$3:$C$6000,C4481,4)*5+0.000001,1)))</f>
        <v/>
      </c>
      <c r="G4481">
        <f>IF(A4481="","",MAX(1,CEILING(PERCENTRANK.INC($D$3:$D$6000,D4481,4)*5+0.000001,1)))</f>
        <v/>
      </c>
      <c r="H4481">
        <f>IF(A4481="","",E4481&amp;F4481&amp;G4481)</f>
        <v/>
      </c>
      <c r="I4481">
        <f>IF(A4481="","",IF(AND(E4481&gt;=4,F4481&gt;=4,G4481&gt;=4),"Juara",IF(AND(F4481&gt;=4,E4481&gt;=3),"Setia",IF(AND(E4481=5,F4481&lt;=2,G4481&gt;=3),"Berpotensi",IF(AND(E4481&lt;=3,E4481&gt;=2,F4481&gt;=3),"Rawan",IF(AND(E4481&lt;=2,F4481&lt;=2),"Tidur","Umum"))))))</f>
        <v/>
      </c>
    </row>
    <row r="4482">
      <c r="B4482">
        <f>IF(A4482="","",$B$1-MAXIFS(Donasi!$A$2:$A$20000,Donasi!$B$2:$B$20000,A4482))</f>
        <v/>
      </c>
      <c r="C4482">
        <f>IF(A4482="","",COUNTIF(Donasi!$B$2:$B$20000,A4482))</f>
        <v/>
      </c>
      <c r="D4482">
        <f>IF(A4482="","",SUMIF(Donasi!$B$2:$B$20000,A4482,Donasi!$C$2:$C$20000))</f>
        <v/>
      </c>
      <c r="E4482">
        <f>IF(A4482="","",6-CEILING(PERCENTRANK.INC($B$3:$B$6000,B4482,4)*5+0.000001,1))</f>
        <v/>
      </c>
      <c r="F4482">
        <f>IF(A4482="","",MAX(1,CEILING(PERCENTRANK.INC($C$3:$C$6000,C4482,4)*5+0.000001,1)))</f>
        <v/>
      </c>
      <c r="G4482">
        <f>IF(A4482="","",MAX(1,CEILING(PERCENTRANK.INC($D$3:$D$6000,D4482,4)*5+0.000001,1)))</f>
        <v/>
      </c>
      <c r="H4482">
        <f>IF(A4482="","",E4482&amp;F4482&amp;G4482)</f>
        <v/>
      </c>
      <c r="I4482">
        <f>IF(A4482="","",IF(AND(E4482&gt;=4,F4482&gt;=4,G4482&gt;=4),"Juara",IF(AND(F4482&gt;=4,E4482&gt;=3),"Setia",IF(AND(E4482=5,F4482&lt;=2,G4482&gt;=3),"Berpotensi",IF(AND(E4482&lt;=3,E4482&gt;=2,F4482&gt;=3),"Rawan",IF(AND(E4482&lt;=2,F4482&lt;=2),"Tidur","Umum"))))))</f>
        <v/>
      </c>
    </row>
    <row r="4483">
      <c r="B4483">
        <f>IF(A4483="","",$B$1-MAXIFS(Donasi!$A$2:$A$20000,Donasi!$B$2:$B$20000,A4483))</f>
        <v/>
      </c>
      <c r="C4483">
        <f>IF(A4483="","",COUNTIF(Donasi!$B$2:$B$20000,A4483))</f>
        <v/>
      </c>
      <c r="D4483">
        <f>IF(A4483="","",SUMIF(Donasi!$B$2:$B$20000,A4483,Donasi!$C$2:$C$20000))</f>
        <v/>
      </c>
      <c r="E4483">
        <f>IF(A4483="","",6-CEILING(PERCENTRANK.INC($B$3:$B$6000,B4483,4)*5+0.000001,1))</f>
        <v/>
      </c>
      <c r="F4483">
        <f>IF(A4483="","",MAX(1,CEILING(PERCENTRANK.INC($C$3:$C$6000,C4483,4)*5+0.000001,1)))</f>
        <v/>
      </c>
      <c r="G4483">
        <f>IF(A4483="","",MAX(1,CEILING(PERCENTRANK.INC($D$3:$D$6000,D4483,4)*5+0.000001,1)))</f>
        <v/>
      </c>
      <c r="H4483">
        <f>IF(A4483="","",E4483&amp;F4483&amp;G4483)</f>
        <v/>
      </c>
      <c r="I4483">
        <f>IF(A4483="","",IF(AND(E4483&gt;=4,F4483&gt;=4,G4483&gt;=4),"Juara",IF(AND(F4483&gt;=4,E4483&gt;=3),"Setia",IF(AND(E4483=5,F4483&lt;=2,G4483&gt;=3),"Berpotensi",IF(AND(E4483&lt;=3,E4483&gt;=2,F4483&gt;=3),"Rawan",IF(AND(E4483&lt;=2,F4483&lt;=2),"Tidur","Umum"))))))</f>
        <v/>
      </c>
    </row>
    <row r="4484">
      <c r="B4484">
        <f>IF(A4484="","",$B$1-MAXIFS(Donasi!$A$2:$A$20000,Donasi!$B$2:$B$20000,A4484))</f>
        <v/>
      </c>
      <c r="C4484">
        <f>IF(A4484="","",COUNTIF(Donasi!$B$2:$B$20000,A4484))</f>
        <v/>
      </c>
      <c r="D4484">
        <f>IF(A4484="","",SUMIF(Donasi!$B$2:$B$20000,A4484,Donasi!$C$2:$C$20000))</f>
        <v/>
      </c>
      <c r="E4484">
        <f>IF(A4484="","",6-CEILING(PERCENTRANK.INC($B$3:$B$6000,B4484,4)*5+0.000001,1))</f>
        <v/>
      </c>
      <c r="F4484">
        <f>IF(A4484="","",MAX(1,CEILING(PERCENTRANK.INC($C$3:$C$6000,C4484,4)*5+0.000001,1)))</f>
        <v/>
      </c>
      <c r="G4484">
        <f>IF(A4484="","",MAX(1,CEILING(PERCENTRANK.INC($D$3:$D$6000,D4484,4)*5+0.000001,1)))</f>
        <v/>
      </c>
      <c r="H4484">
        <f>IF(A4484="","",E4484&amp;F4484&amp;G4484)</f>
        <v/>
      </c>
      <c r="I4484">
        <f>IF(A4484="","",IF(AND(E4484&gt;=4,F4484&gt;=4,G4484&gt;=4),"Juara",IF(AND(F4484&gt;=4,E4484&gt;=3),"Setia",IF(AND(E4484=5,F4484&lt;=2,G4484&gt;=3),"Berpotensi",IF(AND(E4484&lt;=3,E4484&gt;=2,F4484&gt;=3),"Rawan",IF(AND(E4484&lt;=2,F4484&lt;=2),"Tidur","Umum"))))))</f>
        <v/>
      </c>
    </row>
    <row r="4485">
      <c r="B4485">
        <f>IF(A4485="","",$B$1-MAXIFS(Donasi!$A$2:$A$20000,Donasi!$B$2:$B$20000,A4485))</f>
        <v/>
      </c>
      <c r="C4485">
        <f>IF(A4485="","",COUNTIF(Donasi!$B$2:$B$20000,A4485))</f>
        <v/>
      </c>
      <c r="D4485">
        <f>IF(A4485="","",SUMIF(Donasi!$B$2:$B$20000,A4485,Donasi!$C$2:$C$20000))</f>
        <v/>
      </c>
      <c r="E4485">
        <f>IF(A4485="","",6-CEILING(PERCENTRANK.INC($B$3:$B$6000,B4485,4)*5+0.000001,1))</f>
        <v/>
      </c>
      <c r="F4485">
        <f>IF(A4485="","",MAX(1,CEILING(PERCENTRANK.INC($C$3:$C$6000,C4485,4)*5+0.000001,1)))</f>
        <v/>
      </c>
      <c r="G4485">
        <f>IF(A4485="","",MAX(1,CEILING(PERCENTRANK.INC($D$3:$D$6000,D4485,4)*5+0.000001,1)))</f>
        <v/>
      </c>
      <c r="H4485">
        <f>IF(A4485="","",E4485&amp;F4485&amp;G4485)</f>
        <v/>
      </c>
      <c r="I4485">
        <f>IF(A4485="","",IF(AND(E4485&gt;=4,F4485&gt;=4,G4485&gt;=4),"Juara",IF(AND(F4485&gt;=4,E4485&gt;=3),"Setia",IF(AND(E4485=5,F4485&lt;=2,G4485&gt;=3),"Berpotensi",IF(AND(E4485&lt;=3,E4485&gt;=2,F4485&gt;=3),"Rawan",IF(AND(E4485&lt;=2,F4485&lt;=2),"Tidur","Umum"))))))</f>
        <v/>
      </c>
    </row>
    <row r="4486">
      <c r="B4486">
        <f>IF(A4486="","",$B$1-MAXIFS(Donasi!$A$2:$A$20000,Donasi!$B$2:$B$20000,A4486))</f>
        <v/>
      </c>
      <c r="C4486">
        <f>IF(A4486="","",COUNTIF(Donasi!$B$2:$B$20000,A4486))</f>
        <v/>
      </c>
      <c r="D4486">
        <f>IF(A4486="","",SUMIF(Donasi!$B$2:$B$20000,A4486,Donasi!$C$2:$C$20000))</f>
        <v/>
      </c>
      <c r="E4486">
        <f>IF(A4486="","",6-CEILING(PERCENTRANK.INC($B$3:$B$6000,B4486,4)*5+0.000001,1))</f>
        <v/>
      </c>
      <c r="F4486">
        <f>IF(A4486="","",MAX(1,CEILING(PERCENTRANK.INC($C$3:$C$6000,C4486,4)*5+0.000001,1)))</f>
        <v/>
      </c>
      <c r="G4486">
        <f>IF(A4486="","",MAX(1,CEILING(PERCENTRANK.INC($D$3:$D$6000,D4486,4)*5+0.000001,1)))</f>
        <v/>
      </c>
      <c r="H4486">
        <f>IF(A4486="","",E4486&amp;F4486&amp;G4486)</f>
        <v/>
      </c>
      <c r="I4486">
        <f>IF(A4486="","",IF(AND(E4486&gt;=4,F4486&gt;=4,G4486&gt;=4),"Juara",IF(AND(F4486&gt;=4,E4486&gt;=3),"Setia",IF(AND(E4486=5,F4486&lt;=2,G4486&gt;=3),"Berpotensi",IF(AND(E4486&lt;=3,E4486&gt;=2,F4486&gt;=3),"Rawan",IF(AND(E4486&lt;=2,F4486&lt;=2),"Tidur","Umum"))))))</f>
        <v/>
      </c>
    </row>
    <row r="4487">
      <c r="B4487">
        <f>IF(A4487="","",$B$1-MAXIFS(Donasi!$A$2:$A$20000,Donasi!$B$2:$B$20000,A4487))</f>
        <v/>
      </c>
      <c r="C4487">
        <f>IF(A4487="","",COUNTIF(Donasi!$B$2:$B$20000,A4487))</f>
        <v/>
      </c>
      <c r="D4487">
        <f>IF(A4487="","",SUMIF(Donasi!$B$2:$B$20000,A4487,Donasi!$C$2:$C$20000))</f>
        <v/>
      </c>
      <c r="E4487">
        <f>IF(A4487="","",6-CEILING(PERCENTRANK.INC($B$3:$B$6000,B4487,4)*5+0.000001,1))</f>
        <v/>
      </c>
      <c r="F4487">
        <f>IF(A4487="","",MAX(1,CEILING(PERCENTRANK.INC($C$3:$C$6000,C4487,4)*5+0.000001,1)))</f>
        <v/>
      </c>
      <c r="G4487">
        <f>IF(A4487="","",MAX(1,CEILING(PERCENTRANK.INC($D$3:$D$6000,D4487,4)*5+0.000001,1)))</f>
        <v/>
      </c>
      <c r="H4487">
        <f>IF(A4487="","",E4487&amp;F4487&amp;G4487)</f>
        <v/>
      </c>
      <c r="I4487">
        <f>IF(A4487="","",IF(AND(E4487&gt;=4,F4487&gt;=4,G4487&gt;=4),"Juara",IF(AND(F4487&gt;=4,E4487&gt;=3),"Setia",IF(AND(E4487=5,F4487&lt;=2,G4487&gt;=3),"Berpotensi",IF(AND(E4487&lt;=3,E4487&gt;=2,F4487&gt;=3),"Rawan",IF(AND(E4487&lt;=2,F4487&lt;=2),"Tidur","Umum"))))))</f>
        <v/>
      </c>
    </row>
    <row r="4488">
      <c r="B4488">
        <f>IF(A4488="","",$B$1-MAXIFS(Donasi!$A$2:$A$20000,Donasi!$B$2:$B$20000,A4488))</f>
        <v/>
      </c>
      <c r="C4488">
        <f>IF(A4488="","",COUNTIF(Donasi!$B$2:$B$20000,A4488))</f>
        <v/>
      </c>
      <c r="D4488">
        <f>IF(A4488="","",SUMIF(Donasi!$B$2:$B$20000,A4488,Donasi!$C$2:$C$20000))</f>
        <v/>
      </c>
      <c r="E4488">
        <f>IF(A4488="","",6-CEILING(PERCENTRANK.INC($B$3:$B$6000,B4488,4)*5+0.000001,1))</f>
        <v/>
      </c>
      <c r="F4488">
        <f>IF(A4488="","",MAX(1,CEILING(PERCENTRANK.INC($C$3:$C$6000,C4488,4)*5+0.000001,1)))</f>
        <v/>
      </c>
      <c r="G4488">
        <f>IF(A4488="","",MAX(1,CEILING(PERCENTRANK.INC($D$3:$D$6000,D4488,4)*5+0.000001,1)))</f>
        <v/>
      </c>
      <c r="H4488">
        <f>IF(A4488="","",E4488&amp;F4488&amp;G4488)</f>
        <v/>
      </c>
      <c r="I4488">
        <f>IF(A4488="","",IF(AND(E4488&gt;=4,F4488&gt;=4,G4488&gt;=4),"Juara",IF(AND(F4488&gt;=4,E4488&gt;=3),"Setia",IF(AND(E4488=5,F4488&lt;=2,G4488&gt;=3),"Berpotensi",IF(AND(E4488&lt;=3,E4488&gt;=2,F4488&gt;=3),"Rawan",IF(AND(E4488&lt;=2,F4488&lt;=2),"Tidur","Umum"))))))</f>
        <v/>
      </c>
    </row>
    <row r="4489">
      <c r="B4489">
        <f>IF(A4489="","",$B$1-MAXIFS(Donasi!$A$2:$A$20000,Donasi!$B$2:$B$20000,A4489))</f>
        <v/>
      </c>
      <c r="C4489">
        <f>IF(A4489="","",COUNTIF(Donasi!$B$2:$B$20000,A4489))</f>
        <v/>
      </c>
      <c r="D4489">
        <f>IF(A4489="","",SUMIF(Donasi!$B$2:$B$20000,A4489,Donasi!$C$2:$C$20000))</f>
        <v/>
      </c>
      <c r="E4489">
        <f>IF(A4489="","",6-CEILING(PERCENTRANK.INC($B$3:$B$6000,B4489,4)*5+0.000001,1))</f>
        <v/>
      </c>
      <c r="F4489">
        <f>IF(A4489="","",MAX(1,CEILING(PERCENTRANK.INC($C$3:$C$6000,C4489,4)*5+0.000001,1)))</f>
        <v/>
      </c>
      <c r="G4489">
        <f>IF(A4489="","",MAX(1,CEILING(PERCENTRANK.INC($D$3:$D$6000,D4489,4)*5+0.000001,1)))</f>
        <v/>
      </c>
      <c r="H4489">
        <f>IF(A4489="","",E4489&amp;F4489&amp;G4489)</f>
        <v/>
      </c>
      <c r="I4489">
        <f>IF(A4489="","",IF(AND(E4489&gt;=4,F4489&gt;=4,G4489&gt;=4),"Juara",IF(AND(F4489&gt;=4,E4489&gt;=3),"Setia",IF(AND(E4489=5,F4489&lt;=2,G4489&gt;=3),"Berpotensi",IF(AND(E4489&lt;=3,E4489&gt;=2,F4489&gt;=3),"Rawan",IF(AND(E4489&lt;=2,F4489&lt;=2),"Tidur","Umum"))))))</f>
        <v/>
      </c>
    </row>
    <row r="4490">
      <c r="B4490">
        <f>IF(A4490="","",$B$1-MAXIFS(Donasi!$A$2:$A$20000,Donasi!$B$2:$B$20000,A4490))</f>
        <v/>
      </c>
      <c r="C4490">
        <f>IF(A4490="","",COUNTIF(Donasi!$B$2:$B$20000,A4490))</f>
        <v/>
      </c>
      <c r="D4490">
        <f>IF(A4490="","",SUMIF(Donasi!$B$2:$B$20000,A4490,Donasi!$C$2:$C$20000))</f>
        <v/>
      </c>
      <c r="E4490">
        <f>IF(A4490="","",6-CEILING(PERCENTRANK.INC($B$3:$B$6000,B4490,4)*5+0.000001,1))</f>
        <v/>
      </c>
      <c r="F4490">
        <f>IF(A4490="","",MAX(1,CEILING(PERCENTRANK.INC($C$3:$C$6000,C4490,4)*5+0.000001,1)))</f>
        <v/>
      </c>
      <c r="G4490">
        <f>IF(A4490="","",MAX(1,CEILING(PERCENTRANK.INC($D$3:$D$6000,D4490,4)*5+0.000001,1)))</f>
        <v/>
      </c>
      <c r="H4490">
        <f>IF(A4490="","",E4490&amp;F4490&amp;G4490)</f>
        <v/>
      </c>
      <c r="I4490">
        <f>IF(A4490="","",IF(AND(E4490&gt;=4,F4490&gt;=4,G4490&gt;=4),"Juara",IF(AND(F4490&gt;=4,E4490&gt;=3),"Setia",IF(AND(E4490=5,F4490&lt;=2,G4490&gt;=3),"Berpotensi",IF(AND(E4490&lt;=3,E4490&gt;=2,F4490&gt;=3),"Rawan",IF(AND(E4490&lt;=2,F4490&lt;=2),"Tidur","Umum"))))))</f>
        <v/>
      </c>
    </row>
    <row r="4491">
      <c r="B4491">
        <f>IF(A4491="","",$B$1-MAXIFS(Donasi!$A$2:$A$20000,Donasi!$B$2:$B$20000,A4491))</f>
        <v/>
      </c>
      <c r="C4491">
        <f>IF(A4491="","",COUNTIF(Donasi!$B$2:$B$20000,A4491))</f>
        <v/>
      </c>
      <c r="D4491">
        <f>IF(A4491="","",SUMIF(Donasi!$B$2:$B$20000,A4491,Donasi!$C$2:$C$20000))</f>
        <v/>
      </c>
      <c r="E4491">
        <f>IF(A4491="","",6-CEILING(PERCENTRANK.INC($B$3:$B$6000,B4491,4)*5+0.000001,1))</f>
        <v/>
      </c>
      <c r="F4491">
        <f>IF(A4491="","",MAX(1,CEILING(PERCENTRANK.INC($C$3:$C$6000,C4491,4)*5+0.000001,1)))</f>
        <v/>
      </c>
      <c r="G4491">
        <f>IF(A4491="","",MAX(1,CEILING(PERCENTRANK.INC($D$3:$D$6000,D4491,4)*5+0.000001,1)))</f>
        <v/>
      </c>
      <c r="H4491">
        <f>IF(A4491="","",E4491&amp;F4491&amp;G4491)</f>
        <v/>
      </c>
      <c r="I4491">
        <f>IF(A4491="","",IF(AND(E4491&gt;=4,F4491&gt;=4,G4491&gt;=4),"Juara",IF(AND(F4491&gt;=4,E4491&gt;=3),"Setia",IF(AND(E4491=5,F4491&lt;=2,G4491&gt;=3),"Berpotensi",IF(AND(E4491&lt;=3,E4491&gt;=2,F4491&gt;=3),"Rawan",IF(AND(E4491&lt;=2,F4491&lt;=2),"Tidur","Umum"))))))</f>
        <v/>
      </c>
    </row>
    <row r="4492">
      <c r="B4492">
        <f>IF(A4492="","",$B$1-MAXIFS(Donasi!$A$2:$A$20000,Donasi!$B$2:$B$20000,A4492))</f>
        <v/>
      </c>
      <c r="C4492">
        <f>IF(A4492="","",COUNTIF(Donasi!$B$2:$B$20000,A4492))</f>
        <v/>
      </c>
      <c r="D4492">
        <f>IF(A4492="","",SUMIF(Donasi!$B$2:$B$20000,A4492,Donasi!$C$2:$C$20000))</f>
        <v/>
      </c>
      <c r="E4492">
        <f>IF(A4492="","",6-CEILING(PERCENTRANK.INC($B$3:$B$6000,B4492,4)*5+0.000001,1))</f>
        <v/>
      </c>
      <c r="F4492">
        <f>IF(A4492="","",MAX(1,CEILING(PERCENTRANK.INC($C$3:$C$6000,C4492,4)*5+0.000001,1)))</f>
        <v/>
      </c>
      <c r="G4492">
        <f>IF(A4492="","",MAX(1,CEILING(PERCENTRANK.INC($D$3:$D$6000,D4492,4)*5+0.000001,1)))</f>
        <v/>
      </c>
      <c r="H4492">
        <f>IF(A4492="","",E4492&amp;F4492&amp;G4492)</f>
        <v/>
      </c>
      <c r="I4492">
        <f>IF(A4492="","",IF(AND(E4492&gt;=4,F4492&gt;=4,G4492&gt;=4),"Juara",IF(AND(F4492&gt;=4,E4492&gt;=3),"Setia",IF(AND(E4492=5,F4492&lt;=2,G4492&gt;=3),"Berpotensi",IF(AND(E4492&lt;=3,E4492&gt;=2,F4492&gt;=3),"Rawan",IF(AND(E4492&lt;=2,F4492&lt;=2),"Tidur","Umum"))))))</f>
        <v/>
      </c>
    </row>
    <row r="4493">
      <c r="B4493">
        <f>IF(A4493="","",$B$1-MAXIFS(Donasi!$A$2:$A$20000,Donasi!$B$2:$B$20000,A4493))</f>
        <v/>
      </c>
      <c r="C4493">
        <f>IF(A4493="","",COUNTIF(Donasi!$B$2:$B$20000,A4493))</f>
        <v/>
      </c>
      <c r="D4493">
        <f>IF(A4493="","",SUMIF(Donasi!$B$2:$B$20000,A4493,Donasi!$C$2:$C$20000))</f>
        <v/>
      </c>
      <c r="E4493">
        <f>IF(A4493="","",6-CEILING(PERCENTRANK.INC($B$3:$B$6000,B4493,4)*5+0.000001,1))</f>
        <v/>
      </c>
      <c r="F4493">
        <f>IF(A4493="","",MAX(1,CEILING(PERCENTRANK.INC($C$3:$C$6000,C4493,4)*5+0.000001,1)))</f>
        <v/>
      </c>
      <c r="G4493">
        <f>IF(A4493="","",MAX(1,CEILING(PERCENTRANK.INC($D$3:$D$6000,D4493,4)*5+0.000001,1)))</f>
        <v/>
      </c>
      <c r="H4493">
        <f>IF(A4493="","",E4493&amp;F4493&amp;G4493)</f>
        <v/>
      </c>
      <c r="I4493">
        <f>IF(A4493="","",IF(AND(E4493&gt;=4,F4493&gt;=4,G4493&gt;=4),"Juara",IF(AND(F4493&gt;=4,E4493&gt;=3),"Setia",IF(AND(E4493=5,F4493&lt;=2,G4493&gt;=3),"Berpotensi",IF(AND(E4493&lt;=3,E4493&gt;=2,F4493&gt;=3),"Rawan",IF(AND(E4493&lt;=2,F4493&lt;=2),"Tidur","Umum"))))))</f>
        <v/>
      </c>
    </row>
    <row r="4494">
      <c r="B4494">
        <f>IF(A4494="","",$B$1-MAXIFS(Donasi!$A$2:$A$20000,Donasi!$B$2:$B$20000,A4494))</f>
        <v/>
      </c>
      <c r="C4494">
        <f>IF(A4494="","",COUNTIF(Donasi!$B$2:$B$20000,A4494))</f>
        <v/>
      </c>
      <c r="D4494">
        <f>IF(A4494="","",SUMIF(Donasi!$B$2:$B$20000,A4494,Donasi!$C$2:$C$20000))</f>
        <v/>
      </c>
      <c r="E4494">
        <f>IF(A4494="","",6-CEILING(PERCENTRANK.INC($B$3:$B$6000,B4494,4)*5+0.000001,1))</f>
        <v/>
      </c>
      <c r="F4494">
        <f>IF(A4494="","",MAX(1,CEILING(PERCENTRANK.INC($C$3:$C$6000,C4494,4)*5+0.000001,1)))</f>
        <v/>
      </c>
      <c r="G4494">
        <f>IF(A4494="","",MAX(1,CEILING(PERCENTRANK.INC($D$3:$D$6000,D4494,4)*5+0.000001,1)))</f>
        <v/>
      </c>
      <c r="H4494">
        <f>IF(A4494="","",E4494&amp;F4494&amp;G4494)</f>
        <v/>
      </c>
      <c r="I4494">
        <f>IF(A4494="","",IF(AND(E4494&gt;=4,F4494&gt;=4,G4494&gt;=4),"Juara",IF(AND(F4494&gt;=4,E4494&gt;=3),"Setia",IF(AND(E4494=5,F4494&lt;=2,G4494&gt;=3),"Berpotensi",IF(AND(E4494&lt;=3,E4494&gt;=2,F4494&gt;=3),"Rawan",IF(AND(E4494&lt;=2,F4494&lt;=2),"Tidur","Umum"))))))</f>
        <v/>
      </c>
    </row>
    <row r="4495">
      <c r="B4495">
        <f>IF(A4495="","",$B$1-MAXIFS(Donasi!$A$2:$A$20000,Donasi!$B$2:$B$20000,A4495))</f>
        <v/>
      </c>
      <c r="C4495">
        <f>IF(A4495="","",COUNTIF(Donasi!$B$2:$B$20000,A4495))</f>
        <v/>
      </c>
      <c r="D4495">
        <f>IF(A4495="","",SUMIF(Donasi!$B$2:$B$20000,A4495,Donasi!$C$2:$C$20000))</f>
        <v/>
      </c>
      <c r="E4495">
        <f>IF(A4495="","",6-CEILING(PERCENTRANK.INC($B$3:$B$6000,B4495,4)*5+0.000001,1))</f>
        <v/>
      </c>
      <c r="F4495">
        <f>IF(A4495="","",MAX(1,CEILING(PERCENTRANK.INC($C$3:$C$6000,C4495,4)*5+0.000001,1)))</f>
        <v/>
      </c>
      <c r="G4495">
        <f>IF(A4495="","",MAX(1,CEILING(PERCENTRANK.INC($D$3:$D$6000,D4495,4)*5+0.000001,1)))</f>
        <v/>
      </c>
      <c r="H4495">
        <f>IF(A4495="","",E4495&amp;F4495&amp;G4495)</f>
        <v/>
      </c>
      <c r="I4495">
        <f>IF(A4495="","",IF(AND(E4495&gt;=4,F4495&gt;=4,G4495&gt;=4),"Juara",IF(AND(F4495&gt;=4,E4495&gt;=3),"Setia",IF(AND(E4495=5,F4495&lt;=2,G4495&gt;=3),"Berpotensi",IF(AND(E4495&lt;=3,E4495&gt;=2,F4495&gt;=3),"Rawan",IF(AND(E4495&lt;=2,F4495&lt;=2),"Tidur","Umum"))))))</f>
        <v/>
      </c>
    </row>
    <row r="4496">
      <c r="B4496">
        <f>IF(A4496="","",$B$1-MAXIFS(Donasi!$A$2:$A$20000,Donasi!$B$2:$B$20000,A4496))</f>
        <v/>
      </c>
      <c r="C4496">
        <f>IF(A4496="","",COUNTIF(Donasi!$B$2:$B$20000,A4496))</f>
        <v/>
      </c>
      <c r="D4496">
        <f>IF(A4496="","",SUMIF(Donasi!$B$2:$B$20000,A4496,Donasi!$C$2:$C$20000))</f>
        <v/>
      </c>
      <c r="E4496">
        <f>IF(A4496="","",6-CEILING(PERCENTRANK.INC($B$3:$B$6000,B4496,4)*5+0.000001,1))</f>
        <v/>
      </c>
      <c r="F4496">
        <f>IF(A4496="","",MAX(1,CEILING(PERCENTRANK.INC($C$3:$C$6000,C4496,4)*5+0.000001,1)))</f>
        <v/>
      </c>
      <c r="G4496">
        <f>IF(A4496="","",MAX(1,CEILING(PERCENTRANK.INC($D$3:$D$6000,D4496,4)*5+0.000001,1)))</f>
        <v/>
      </c>
      <c r="H4496">
        <f>IF(A4496="","",E4496&amp;F4496&amp;G4496)</f>
        <v/>
      </c>
      <c r="I4496">
        <f>IF(A4496="","",IF(AND(E4496&gt;=4,F4496&gt;=4,G4496&gt;=4),"Juara",IF(AND(F4496&gt;=4,E4496&gt;=3),"Setia",IF(AND(E4496=5,F4496&lt;=2,G4496&gt;=3),"Berpotensi",IF(AND(E4496&lt;=3,E4496&gt;=2,F4496&gt;=3),"Rawan",IF(AND(E4496&lt;=2,F4496&lt;=2),"Tidur","Umum"))))))</f>
        <v/>
      </c>
    </row>
    <row r="4497">
      <c r="B4497">
        <f>IF(A4497="","",$B$1-MAXIFS(Donasi!$A$2:$A$20000,Donasi!$B$2:$B$20000,A4497))</f>
        <v/>
      </c>
      <c r="C4497">
        <f>IF(A4497="","",COUNTIF(Donasi!$B$2:$B$20000,A4497))</f>
        <v/>
      </c>
      <c r="D4497">
        <f>IF(A4497="","",SUMIF(Donasi!$B$2:$B$20000,A4497,Donasi!$C$2:$C$20000))</f>
        <v/>
      </c>
      <c r="E4497">
        <f>IF(A4497="","",6-CEILING(PERCENTRANK.INC($B$3:$B$6000,B4497,4)*5+0.000001,1))</f>
        <v/>
      </c>
      <c r="F4497">
        <f>IF(A4497="","",MAX(1,CEILING(PERCENTRANK.INC($C$3:$C$6000,C4497,4)*5+0.000001,1)))</f>
        <v/>
      </c>
      <c r="G4497">
        <f>IF(A4497="","",MAX(1,CEILING(PERCENTRANK.INC($D$3:$D$6000,D4497,4)*5+0.000001,1)))</f>
        <v/>
      </c>
      <c r="H4497">
        <f>IF(A4497="","",E4497&amp;F4497&amp;G4497)</f>
        <v/>
      </c>
      <c r="I4497">
        <f>IF(A4497="","",IF(AND(E4497&gt;=4,F4497&gt;=4,G4497&gt;=4),"Juara",IF(AND(F4497&gt;=4,E4497&gt;=3),"Setia",IF(AND(E4497=5,F4497&lt;=2,G4497&gt;=3),"Berpotensi",IF(AND(E4497&lt;=3,E4497&gt;=2,F4497&gt;=3),"Rawan",IF(AND(E4497&lt;=2,F4497&lt;=2),"Tidur","Umum"))))))</f>
        <v/>
      </c>
    </row>
    <row r="4498">
      <c r="B4498">
        <f>IF(A4498="","",$B$1-MAXIFS(Donasi!$A$2:$A$20000,Donasi!$B$2:$B$20000,A4498))</f>
        <v/>
      </c>
      <c r="C4498">
        <f>IF(A4498="","",COUNTIF(Donasi!$B$2:$B$20000,A4498))</f>
        <v/>
      </c>
      <c r="D4498">
        <f>IF(A4498="","",SUMIF(Donasi!$B$2:$B$20000,A4498,Donasi!$C$2:$C$20000))</f>
        <v/>
      </c>
      <c r="E4498">
        <f>IF(A4498="","",6-CEILING(PERCENTRANK.INC($B$3:$B$6000,B4498,4)*5+0.000001,1))</f>
        <v/>
      </c>
      <c r="F4498">
        <f>IF(A4498="","",MAX(1,CEILING(PERCENTRANK.INC($C$3:$C$6000,C4498,4)*5+0.000001,1)))</f>
        <v/>
      </c>
      <c r="G4498">
        <f>IF(A4498="","",MAX(1,CEILING(PERCENTRANK.INC($D$3:$D$6000,D4498,4)*5+0.000001,1)))</f>
        <v/>
      </c>
      <c r="H4498">
        <f>IF(A4498="","",E4498&amp;F4498&amp;G4498)</f>
        <v/>
      </c>
      <c r="I4498">
        <f>IF(A4498="","",IF(AND(E4498&gt;=4,F4498&gt;=4,G4498&gt;=4),"Juara",IF(AND(F4498&gt;=4,E4498&gt;=3),"Setia",IF(AND(E4498=5,F4498&lt;=2,G4498&gt;=3),"Berpotensi",IF(AND(E4498&lt;=3,E4498&gt;=2,F4498&gt;=3),"Rawan",IF(AND(E4498&lt;=2,F4498&lt;=2),"Tidur","Umum"))))))</f>
        <v/>
      </c>
    </row>
    <row r="4499">
      <c r="B4499">
        <f>IF(A4499="","",$B$1-MAXIFS(Donasi!$A$2:$A$20000,Donasi!$B$2:$B$20000,A4499))</f>
        <v/>
      </c>
      <c r="C4499">
        <f>IF(A4499="","",COUNTIF(Donasi!$B$2:$B$20000,A4499))</f>
        <v/>
      </c>
      <c r="D4499">
        <f>IF(A4499="","",SUMIF(Donasi!$B$2:$B$20000,A4499,Donasi!$C$2:$C$20000))</f>
        <v/>
      </c>
      <c r="E4499">
        <f>IF(A4499="","",6-CEILING(PERCENTRANK.INC($B$3:$B$6000,B4499,4)*5+0.000001,1))</f>
        <v/>
      </c>
      <c r="F4499">
        <f>IF(A4499="","",MAX(1,CEILING(PERCENTRANK.INC($C$3:$C$6000,C4499,4)*5+0.000001,1)))</f>
        <v/>
      </c>
      <c r="G4499">
        <f>IF(A4499="","",MAX(1,CEILING(PERCENTRANK.INC($D$3:$D$6000,D4499,4)*5+0.000001,1)))</f>
        <v/>
      </c>
      <c r="H4499">
        <f>IF(A4499="","",E4499&amp;F4499&amp;G4499)</f>
        <v/>
      </c>
      <c r="I4499">
        <f>IF(A4499="","",IF(AND(E4499&gt;=4,F4499&gt;=4,G4499&gt;=4),"Juara",IF(AND(F4499&gt;=4,E4499&gt;=3),"Setia",IF(AND(E4499=5,F4499&lt;=2,G4499&gt;=3),"Berpotensi",IF(AND(E4499&lt;=3,E4499&gt;=2,F4499&gt;=3),"Rawan",IF(AND(E4499&lt;=2,F4499&lt;=2),"Tidur","Umum"))))))</f>
        <v/>
      </c>
    </row>
    <row r="4500">
      <c r="B4500">
        <f>IF(A4500="","",$B$1-MAXIFS(Donasi!$A$2:$A$20000,Donasi!$B$2:$B$20000,A4500))</f>
        <v/>
      </c>
      <c r="C4500">
        <f>IF(A4500="","",COUNTIF(Donasi!$B$2:$B$20000,A4500))</f>
        <v/>
      </c>
      <c r="D4500">
        <f>IF(A4500="","",SUMIF(Donasi!$B$2:$B$20000,A4500,Donasi!$C$2:$C$20000))</f>
        <v/>
      </c>
      <c r="E4500">
        <f>IF(A4500="","",6-CEILING(PERCENTRANK.INC($B$3:$B$6000,B4500,4)*5+0.000001,1))</f>
        <v/>
      </c>
      <c r="F4500">
        <f>IF(A4500="","",MAX(1,CEILING(PERCENTRANK.INC($C$3:$C$6000,C4500,4)*5+0.000001,1)))</f>
        <v/>
      </c>
      <c r="G4500">
        <f>IF(A4500="","",MAX(1,CEILING(PERCENTRANK.INC($D$3:$D$6000,D4500,4)*5+0.000001,1)))</f>
        <v/>
      </c>
      <c r="H4500">
        <f>IF(A4500="","",E4500&amp;F4500&amp;G4500)</f>
        <v/>
      </c>
      <c r="I4500">
        <f>IF(A4500="","",IF(AND(E4500&gt;=4,F4500&gt;=4,G4500&gt;=4),"Juara",IF(AND(F4500&gt;=4,E4500&gt;=3),"Setia",IF(AND(E4500=5,F4500&lt;=2,G4500&gt;=3),"Berpotensi",IF(AND(E4500&lt;=3,E4500&gt;=2,F4500&gt;=3),"Rawan",IF(AND(E4500&lt;=2,F4500&lt;=2),"Tidur","Umum"))))))</f>
        <v/>
      </c>
    </row>
    <row r="4501">
      <c r="B4501">
        <f>IF(A4501="","",$B$1-MAXIFS(Donasi!$A$2:$A$20000,Donasi!$B$2:$B$20000,A4501))</f>
        <v/>
      </c>
      <c r="C4501">
        <f>IF(A4501="","",COUNTIF(Donasi!$B$2:$B$20000,A4501))</f>
        <v/>
      </c>
      <c r="D4501">
        <f>IF(A4501="","",SUMIF(Donasi!$B$2:$B$20000,A4501,Donasi!$C$2:$C$20000))</f>
        <v/>
      </c>
      <c r="E4501">
        <f>IF(A4501="","",6-CEILING(PERCENTRANK.INC($B$3:$B$6000,B4501,4)*5+0.000001,1))</f>
        <v/>
      </c>
      <c r="F4501">
        <f>IF(A4501="","",MAX(1,CEILING(PERCENTRANK.INC($C$3:$C$6000,C4501,4)*5+0.000001,1)))</f>
        <v/>
      </c>
      <c r="G4501">
        <f>IF(A4501="","",MAX(1,CEILING(PERCENTRANK.INC($D$3:$D$6000,D4501,4)*5+0.000001,1)))</f>
        <v/>
      </c>
      <c r="H4501">
        <f>IF(A4501="","",E4501&amp;F4501&amp;G4501)</f>
        <v/>
      </c>
      <c r="I4501">
        <f>IF(A4501="","",IF(AND(E4501&gt;=4,F4501&gt;=4,G4501&gt;=4),"Juara",IF(AND(F4501&gt;=4,E4501&gt;=3),"Setia",IF(AND(E4501=5,F4501&lt;=2,G4501&gt;=3),"Berpotensi",IF(AND(E4501&lt;=3,E4501&gt;=2,F4501&gt;=3),"Rawan",IF(AND(E4501&lt;=2,F4501&lt;=2),"Tidur","Umum"))))))</f>
        <v/>
      </c>
    </row>
    <row r="4502">
      <c r="B4502">
        <f>IF(A4502="","",$B$1-MAXIFS(Donasi!$A$2:$A$20000,Donasi!$B$2:$B$20000,A4502))</f>
        <v/>
      </c>
      <c r="C4502">
        <f>IF(A4502="","",COUNTIF(Donasi!$B$2:$B$20000,A4502))</f>
        <v/>
      </c>
      <c r="D4502">
        <f>IF(A4502="","",SUMIF(Donasi!$B$2:$B$20000,A4502,Donasi!$C$2:$C$20000))</f>
        <v/>
      </c>
      <c r="E4502">
        <f>IF(A4502="","",6-CEILING(PERCENTRANK.INC($B$3:$B$6000,B4502,4)*5+0.000001,1))</f>
        <v/>
      </c>
      <c r="F4502">
        <f>IF(A4502="","",MAX(1,CEILING(PERCENTRANK.INC($C$3:$C$6000,C4502,4)*5+0.000001,1)))</f>
        <v/>
      </c>
      <c r="G4502">
        <f>IF(A4502="","",MAX(1,CEILING(PERCENTRANK.INC($D$3:$D$6000,D4502,4)*5+0.000001,1)))</f>
        <v/>
      </c>
      <c r="H4502">
        <f>IF(A4502="","",E4502&amp;F4502&amp;G4502)</f>
        <v/>
      </c>
      <c r="I4502">
        <f>IF(A4502="","",IF(AND(E4502&gt;=4,F4502&gt;=4,G4502&gt;=4),"Juara",IF(AND(F4502&gt;=4,E4502&gt;=3),"Setia",IF(AND(E4502=5,F4502&lt;=2,G4502&gt;=3),"Berpotensi",IF(AND(E4502&lt;=3,E4502&gt;=2,F4502&gt;=3),"Rawan",IF(AND(E4502&lt;=2,F4502&lt;=2),"Tidur","Umum"))))))</f>
        <v/>
      </c>
    </row>
    <row r="4503">
      <c r="B4503">
        <f>IF(A4503="","",$B$1-MAXIFS(Donasi!$A$2:$A$20000,Donasi!$B$2:$B$20000,A4503))</f>
        <v/>
      </c>
      <c r="C4503">
        <f>IF(A4503="","",COUNTIF(Donasi!$B$2:$B$20000,A4503))</f>
        <v/>
      </c>
      <c r="D4503">
        <f>IF(A4503="","",SUMIF(Donasi!$B$2:$B$20000,A4503,Donasi!$C$2:$C$20000))</f>
        <v/>
      </c>
      <c r="E4503">
        <f>IF(A4503="","",6-CEILING(PERCENTRANK.INC($B$3:$B$6000,B4503,4)*5+0.000001,1))</f>
        <v/>
      </c>
      <c r="F4503">
        <f>IF(A4503="","",MAX(1,CEILING(PERCENTRANK.INC($C$3:$C$6000,C4503,4)*5+0.000001,1)))</f>
        <v/>
      </c>
      <c r="G4503">
        <f>IF(A4503="","",MAX(1,CEILING(PERCENTRANK.INC($D$3:$D$6000,D4503,4)*5+0.000001,1)))</f>
        <v/>
      </c>
      <c r="H4503">
        <f>IF(A4503="","",E4503&amp;F4503&amp;G4503)</f>
        <v/>
      </c>
      <c r="I4503">
        <f>IF(A4503="","",IF(AND(E4503&gt;=4,F4503&gt;=4,G4503&gt;=4),"Juara",IF(AND(F4503&gt;=4,E4503&gt;=3),"Setia",IF(AND(E4503=5,F4503&lt;=2,G4503&gt;=3),"Berpotensi",IF(AND(E4503&lt;=3,E4503&gt;=2,F4503&gt;=3),"Rawan",IF(AND(E4503&lt;=2,F4503&lt;=2),"Tidur","Umum"))))))</f>
        <v/>
      </c>
    </row>
    <row r="4504">
      <c r="B4504">
        <f>IF(A4504="","",$B$1-MAXIFS(Donasi!$A$2:$A$20000,Donasi!$B$2:$B$20000,A4504))</f>
        <v/>
      </c>
      <c r="C4504">
        <f>IF(A4504="","",COUNTIF(Donasi!$B$2:$B$20000,A4504))</f>
        <v/>
      </c>
      <c r="D4504">
        <f>IF(A4504="","",SUMIF(Donasi!$B$2:$B$20000,A4504,Donasi!$C$2:$C$20000))</f>
        <v/>
      </c>
      <c r="E4504">
        <f>IF(A4504="","",6-CEILING(PERCENTRANK.INC($B$3:$B$6000,B4504,4)*5+0.000001,1))</f>
        <v/>
      </c>
      <c r="F4504">
        <f>IF(A4504="","",MAX(1,CEILING(PERCENTRANK.INC($C$3:$C$6000,C4504,4)*5+0.000001,1)))</f>
        <v/>
      </c>
      <c r="G4504">
        <f>IF(A4504="","",MAX(1,CEILING(PERCENTRANK.INC($D$3:$D$6000,D4504,4)*5+0.000001,1)))</f>
        <v/>
      </c>
      <c r="H4504">
        <f>IF(A4504="","",E4504&amp;F4504&amp;G4504)</f>
        <v/>
      </c>
      <c r="I4504">
        <f>IF(A4504="","",IF(AND(E4504&gt;=4,F4504&gt;=4,G4504&gt;=4),"Juara",IF(AND(F4504&gt;=4,E4504&gt;=3),"Setia",IF(AND(E4504=5,F4504&lt;=2,G4504&gt;=3),"Berpotensi",IF(AND(E4504&lt;=3,E4504&gt;=2,F4504&gt;=3),"Rawan",IF(AND(E4504&lt;=2,F4504&lt;=2),"Tidur","Umum"))))))</f>
        <v/>
      </c>
    </row>
    <row r="4505">
      <c r="B4505">
        <f>IF(A4505="","",$B$1-MAXIFS(Donasi!$A$2:$A$20000,Donasi!$B$2:$B$20000,A4505))</f>
        <v/>
      </c>
      <c r="C4505">
        <f>IF(A4505="","",COUNTIF(Donasi!$B$2:$B$20000,A4505))</f>
        <v/>
      </c>
      <c r="D4505">
        <f>IF(A4505="","",SUMIF(Donasi!$B$2:$B$20000,A4505,Donasi!$C$2:$C$20000))</f>
        <v/>
      </c>
      <c r="E4505">
        <f>IF(A4505="","",6-CEILING(PERCENTRANK.INC($B$3:$B$6000,B4505,4)*5+0.000001,1))</f>
        <v/>
      </c>
      <c r="F4505">
        <f>IF(A4505="","",MAX(1,CEILING(PERCENTRANK.INC($C$3:$C$6000,C4505,4)*5+0.000001,1)))</f>
        <v/>
      </c>
      <c r="G4505">
        <f>IF(A4505="","",MAX(1,CEILING(PERCENTRANK.INC($D$3:$D$6000,D4505,4)*5+0.000001,1)))</f>
        <v/>
      </c>
      <c r="H4505">
        <f>IF(A4505="","",E4505&amp;F4505&amp;G4505)</f>
        <v/>
      </c>
      <c r="I4505">
        <f>IF(A4505="","",IF(AND(E4505&gt;=4,F4505&gt;=4,G4505&gt;=4),"Juara",IF(AND(F4505&gt;=4,E4505&gt;=3),"Setia",IF(AND(E4505=5,F4505&lt;=2,G4505&gt;=3),"Berpotensi",IF(AND(E4505&lt;=3,E4505&gt;=2,F4505&gt;=3),"Rawan",IF(AND(E4505&lt;=2,F4505&lt;=2),"Tidur","Umum"))))))</f>
        <v/>
      </c>
    </row>
    <row r="4506">
      <c r="B4506">
        <f>IF(A4506="","",$B$1-MAXIFS(Donasi!$A$2:$A$20000,Donasi!$B$2:$B$20000,A4506))</f>
        <v/>
      </c>
      <c r="C4506">
        <f>IF(A4506="","",COUNTIF(Donasi!$B$2:$B$20000,A4506))</f>
        <v/>
      </c>
      <c r="D4506">
        <f>IF(A4506="","",SUMIF(Donasi!$B$2:$B$20000,A4506,Donasi!$C$2:$C$20000))</f>
        <v/>
      </c>
      <c r="E4506">
        <f>IF(A4506="","",6-CEILING(PERCENTRANK.INC($B$3:$B$6000,B4506,4)*5+0.000001,1))</f>
        <v/>
      </c>
      <c r="F4506">
        <f>IF(A4506="","",MAX(1,CEILING(PERCENTRANK.INC($C$3:$C$6000,C4506,4)*5+0.000001,1)))</f>
        <v/>
      </c>
      <c r="G4506">
        <f>IF(A4506="","",MAX(1,CEILING(PERCENTRANK.INC($D$3:$D$6000,D4506,4)*5+0.000001,1)))</f>
        <v/>
      </c>
      <c r="H4506">
        <f>IF(A4506="","",E4506&amp;F4506&amp;G4506)</f>
        <v/>
      </c>
      <c r="I4506">
        <f>IF(A4506="","",IF(AND(E4506&gt;=4,F4506&gt;=4,G4506&gt;=4),"Juara",IF(AND(F4506&gt;=4,E4506&gt;=3),"Setia",IF(AND(E4506=5,F4506&lt;=2,G4506&gt;=3),"Berpotensi",IF(AND(E4506&lt;=3,E4506&gt;=2,F4506&gt;=3),"Rawan",IF(AND(E4506&lt;=2,F4506&lt;=2),"Tidur","Umum"))))))</f>
        <v/>
      </c>
    </row>
    <row r="4507">
      <c r="B4507">
        <f>IF(A4507="","",$B$1-MAXIFS(Donasi!$A$2:$A$20000,Donasi!$B$2:$B$20000,A4507))</f>
        <v/>
      </c>
      <c r="C4507">
        <f>IF(A4507="","",COUNTIF(Donasi!$B$2:$B$20000,A4507))</f>
        <v/>
      </c>
      <c r="D4507">
        <f>IF(A4507="","",SUMIF(Donasi!$B$2:$B$20000,A4507,Donasi!$C$2:$C$20000))</f>
        <v/>
      </c>
      <c r="E4507">
        <f>IF(A4507="","",6-CEILING(PERCENTRANK.INC($B$3:$B$6000,B4507,4)*5+0.000001,1))</f>
        <v/>
      </c>
      <c r="F4507">
        <f>IF(A4507="","",MAX(1,CEILING(PERCENTRANK.INC($C$3:$C$6000,C4507,4)*5+0.000001,1)))</f>
        <v/>
      </c>
      <c r="G4507">
        <f>IF(A4507="","",MAX(1,CEILING(PERCENTRANK.INC($D$3:$D$6000,D4507,4)*5+0.000001,1)))</f>
        <v/>
      </c>
      <c r="H4507">
        <f>IF(A4507="","",E4507&amp;F4507&amp;G4507)</f>
        <v/>
      </c>
      <c r="I4507">
        <f>IF(A4507="","",IF(AND(E4507&gt;=4,F4507&gt;=4,G4507&gt;=4),"Juara",IF(AND(F4507&gt;=4,E4507&gt;=3),"Setia",IF(AND(E4507=5,F4507&lt;=2,G4507&gt;=3),"Berpotensi",IF(AND(E4507&lt;=3,E4507&gt;=2,F4507&gt;=3),"Rawan",IF(AND(E4507&lt;=2,F4507&lt;=2),"Tidur","Umum"))))))</f>
        <v/>
      </c>
    </row>
    <row r="4508">
      <c r="B4508">
        <f>IF(A4508="","",$B$1-MAXIFS(Donasi!$A$2:$A$20000,Donasi!$B$2:$B$20000,A4508))</f>
        <v/>
      </c>
      <c r="C4508">
        <f>IF(A4508="","",COUNTIF(Donasi!$B$2:$B$20000,A4508))</f>
        <v/>
      </c>
      <c r="D4508">
        <f>IF(A4508="","",SUMIF(Donasi!$B$2:$B$20000,A4508,Donasi!$C$2:$C$20000))</f>
        <v/>
      </c>
      <c r="E4508">
        <f>IF(A4508="","",6-CEILING(PERCENTRANK.INC($B$3:$B$6000,B4508,4)*5+0.000001,1))</f>
        <v/>
      </c>
      <c r="F4508">
        <f>IF(A4508="","",MAX(1,CEILING(PERCENTRANK.INC($C$3:$C$6000,C4508,4)*5+0.000001,1)))</f>
        <v/>
      </c>
      <c r="G4508">
        <f>IF(A4508="","",MAX(1,CEILING(PERCENTRANK.INC($D$3:$D$6000,D4508,4)*5+0.000001,1)))</f>
        <v/>
      </c>
      <c r="H4508">
        <f>IF(A4508="","",E4508&amp;F4508&amp;G4508)</f>
        <v/>
      </c>
      <c r="I4508">
        <f>IF(A4508="","",IF(AND(E4508&gt;=4,F4508&gt;=4,G4508&gt;=4),"Juara",IF(AND(F4508&gt;=4,E4508&gt;=3),"Setia",IF(AND(E4508=5,F4508&lt;=2,G4508&gt;=3),"Berpotensi",IF(AND(E4508&lt;=3,E4508&gt;=2,F4508&gt;=3),"Rawan",IF(AND(E4508&lt;=2,F4508&lt;=2),"Tidur","Umum"))))))</f>
        <v/>
      </c>
    </row>
    <row r="4509">
      <c r="B4509">
        <f>IF(A4509="","",$B$1-MAXIFS(Donasi!$A$2:$A$20000,Donasi!$B$2:$B$20000,A4509))</f>
        <v/>
      </c>
      <c r="C4509">
        <f>IF(A4509="","",COUNTIF(Donasi!$B$2:$B$20000,A4509))</f>
        <v/>
      </c>
      <c r="D4509">
        <f>IF(A4509="","",SUMIF(Donasi!$B$2:$B$20000,A4509,Donasi!$C$2:$C$20000))</f>
        <v/>
      </c>
      <c r="E4509">
        <f>IF(A4509="","",6-CEILING(PERCENTRANK.INC($B$3:$B$6000,B4509,4)*5+0.000001,1))</f>
        <v/>
      </c>
      <c r="F4509">
        <f>IF(A4509="","",MAX(1,CEILING(PERCENTRANK.INC($C$3:$C$6000,C4509,4)*5+0.000001,1)))</f>
        <v/>
      </c>
      <c r="G4509">
        <f>IF(A4509="","",MAX(1,CEILING(PERCENTRANK.INC($D$3:$D$6000,D4509,4)*5+0.000001,1)))</f>
        <v/>
      </c>
      <c r="H4509">
        <f>IF(A4509="","",E4509&amp;F4509&amp;G4509)</f>
        <v/>
      </c>
      <c r="I4509">
        <f>IF(A4509="","",IF(AND(E4509&gt;=4,F4509&gt;=4,G4509&gt;=4),"Juara",IF(AND(F4509&gt;=4,E4509&gt;=3),"Setia",IF(AND(E4509=5,F4509&lt;=2,G4509&gt;=3),"Berpotensi",IF(AND(E4509&lt;=3,E4509&gt;=2,F4509&gt;=3),"Rawan",IF(AND(E4509&lt;=2,F4509&lt;=2),"Tidur","Umum"))))))</f>
        <v/>
      </c>
    </row>
    <row r="4510">
      <c r="B4510">
        <f>IF(A4510="","",$B$1-MAXIFS(Donasi!$A$2:$A$20000,Donasi!$B$2:$B$20000,A4510))</f>
        <v/>
      </c>
      <c r="C4510">
        <f>IF(A4510="","",COUNTIF(Donasi!$B$2:$B$20000,A4510))</f>
        <v/>
      </c>
      <c r="D4510">
        <f>IF(A4510="","",SUMIF(Donasi!$B$2:$B$20000,A4510,Donasi!$C$2:$C$20000))</f>
        <v/>
      </c>
      <c r="E4510">
        <f>IF(A4510="","",6-CEILING(PERCENTRANK.INC($B$3:$B$6000,B4510,4)*5+0.000001,1))</f>
        <v/>
      </c>
      <c r="F4510">
        <f>IF(A4510="","",MAX(1,CEILING(PERCENTRANK.INC($C$3:$C$6000,C4510,4)*5+0.000001,1)))</f>
        <v/>
      </c>
      <c r="G4510">
        <f>IF(A4510="","",MAX(1,CEILING(PERCENTRANK.INC($D$3:$D$6000,D4510,4)*5+0.000001,1)))</f>
        <v/>
      </c>
      <c r="H4510">
        <f>IF(A4510="","",E4510&amp;F4510&amp;G4510)</f>
        <v/>
      </c>
      <c r="I4510">
        <f>IF(A4510="","",IF(AND(E4510&gt;=4,F4510&gt;=4,G4510&gt;=4),"Juara",IF(AND(F4510&gt;=4,E4510&gt;=3),"Setia",IF(AND(E4510=5,F4510&lt;=2,G4510&gt;=3),"Berpotensi",IF(AND(E4510&lt;=3,E4510&gt;=2,F4510&gt;=3),"Rawan",IF(AND(E4510&lt;=2,F4510&lt;=2),"Tidur","Umum"))))))</f>
        <v/>
      </c>
    </row>
    <row r="4511">
      <c r="B4511">
        <f>IF(A4511="","",$B$1-MAXIFS(Donasi!$A$2:$A$20000,Donasi!$B$2:$B$20000,A4511))</f>
        <v/>
      </c>
      <c r="C4511">
        <f>IF(A4511="","",COUNTIF(Donasi!$B$2:$B$20000,A4511))</f>
        <v/>
      </c>
      <c r="D4511">
        <f>IF(A4511="","",SUMIF(Donasi!$B$2:$B$20000,A4511,Donasi!$C$2:$C$20000))</f>
        <v/>
      </c>
      <c r="E4511">
        <f>IF(A4511="","",6-CEILING(PERCENTRANK.INC($B$3:$B$6000,B4511,4)*5+0.000001,1))</f>
        <v/>
      </c>
      <c r="F4511">
        <f>IF(A4511="","",MAX(1,CEILING(PERCENTRANK.INC($C$3:$C$6000,C4511,4)*5+0.000001,1)))</f>
        <v/>
      </c>
      <c r="G4511">
        <f>IF(A4511="","",MAX(1,CEILING(PERCENTRANK.INC($D$3:$D$6000,D4511,4)*5+0.000001,1)))</f>
        <v/>
      </c>
      <c r="H4511">
        <f>IF(A4511="","",E4511&amp;F4511&amp;G4511)</f>
        <v/>
      </c>
      <c r="I4511">
        <f>IF(A4511="","",IF(AND(E4511&gt;=4,F4511&gt;=4,G4511&gt;=4),"Juara",IF(AND(F4511&gt;=4,E4511&gt;=3),"Setia",IF(AND(E4511=5,F4511&lt;=2,G4511&gt;=3),"Berpotensi",IF(AND(E4511&lt;=3,E4511&gt;=2,F4511&gt;=3),"Rawan",IF(AND(E4511&lt;=2,F4511&lt;=2),"Tidur","Umum"))))))</f>
        <v/>
      </c>
    </row>
    <row r="4512">
      <c r="B4512">
        <f>IF(A4512="","",$B$1-MAXIFS(Donasi!$A$2:$A$20000,Donasi!$B$2:$B$20000,A4512))</f>
        <v/>
      </c>
      <c r="C4512">
        <f>IF(A4512="","",COUNTIF(Donasi!$B$2:$B$20000,A4512))</f>
        <v/>
      </c>
      <c r="D4512">
        <f>IF(A4512="","",SUMIF(Donasi!$B$2:$B$20000,A4512,Donasi!$C$2:$C$20000))</f>
        <v/>
      </c>
      <c r="E4512">
        <f>IF(A4512="","",6-CEILING(PERCENTRANK.INC($B$3:$B$6000,B4512,4)*5+0.000001,1))</f>
        <v/>
      </c>
      <c r="F4512">
        <f>IF(A4512="","",MAX(1,CEILING(PERCENTRANK.INC($C$3:$C$6000,C4512,4)*5+0.000001,1)))</f>
        <v/>
      </c>
      <c r="G4512">
        <f>IF(A4512="","",MAX(1,CEILING(PERCENTRANK.INC($D$3:$D$6000,D4512,4)*5+0.000001,1)))</f>
        <v/>
      </c>
      <c r="H4512">
        <f>IF(A4512="","",E4512&amp;F4512&amp;G4512)</f>
        <v/>
      </c>
      <c r="I4512">
        <f>IF(A4512="","",IF(AND(E4512&gt;=4,F4512&gt;=4,G4512&gt;=4),"Juara",IF(AND(F4512&gt;=4,E4512&gt;=3),"Setia",IF(AND(E4512=5,F4512&lt;=2,G4512&gt;=3),"Berpotensi",IF(AND(E4512&lt;=3,E4512&gt;=2,F4512&gt;=3),"Rawan",IF(AND(E4512&lt;=2,F4512&lt;=2),"Tidur","Umum"))))))</f>
        <v/>
      </c>
    </row>
    <row r="4513">
      <c r="B4513">
        <f>IF(A4513="","",$B$1-MAXIFS(Donasi!$A$2:$A$20000,Donasi!$B$2:$B$20000,A4513))</f>
        <v/>
      </c>
      <c r="C4513">
        <f>IF(A4513="","",COUNTIF(Donasi!$B$2:$B$20000,A4513))</f>
        <v/>
      </c>
      <c r="D4513">
        <f>IF(A4513="","",SUMIF(Donasi!$B$2:$B$20000,A4513,Donasi!$C$2:$C$20000))</f>
        <v/>
      </c>
      <c r="E4513">
        <f>IF(A4513="","",6-CEILING(PERCENTRANK.INC($B$3:$B$6000,B4513,4)*5+0.000001,1))</f>
        <v/>
      </c>
      <c r="F4513">
        <f>IF(A4513="","",MAX(1,CEILING(PERCENTRANK.INC($C$3:$C$6000,C4513,4)*5+0.000001,1)))</f>
        <v/>
      </c>
      <c r="G4513">
        <f>IF(A4513="","",MAX(1,CEILING(PERCENTRANK.INC($D$3:$D$6000,D4513,4)*5+0.000001,1)))</f>
        <v/>
      </c>
      <c r="H4513">
        <f>IF(A4513="","",E4513&amp;F4513&amp;G4513)</f>
        <v/>
      </c>
      <c r="I4513">
        <f>IF(A4513="","",IF(AND(E4513&gt;=4,F4513&gt;=4,G4513&gt;=4),"Juara",IF(AND(F4513&gt;=4,E4513&gt;=3),"Setia",IF(AND(E4513=5,F4513&lt;=2,G4513&gt;=3),"Berpotensi",IF(AND(E4513&lt;=3,E4513&gt;=2,F4513&gt;=3),"Rawan",IF(AND(E4513&lt;=2,F4513&lt;=2),"Tidur","Umum"))))))</f>
        <v/>
      </c>
    </row>
    <row r="4514">
      <c r="B4514">
        <f>IF(A4514="","",$B$1-MAXIFS(Donasi!$A$2:$A$20000,Donasi!$B$2:$B$20000,A4514))</f>
        <v/>
      </c>
      <c r="C4514">
        <f>IF(A4514="","",COUNTIF(Donasi!$B$2:$B$20000,A4514))</f>
        <v/>
      </c>
      <c r="D4514">
        <f>IF(A4514="","",SUMIF(Donasi!$B$2:$B$20000,A4514,Donasi!$C$2:$C$20000))</f>
        <v/>
      </c>
      <c r="E4514">
        <f>IF(A4514="","",6-CEILING(PERCENTRANK.INC($B$3:$B$6000,B4514,4)*5+0.000001,1))</f>
        <v/>
      </c>
      <c r="F4514">
        <f>IF(A4514="","",MAX(1,CEILING(PERCENTRANK.INC($C$3:$C$6000,C4514,4)*5+0.000001,1)))</f>
        <v/>
      </c>
      <c r="G4514">
        <f>IF(A4514="","",MAX(1,CEILING(PERCENTRANK.INC($D$3:$D$6000,D4514,4)*5+0.000001,1)))</f>
        <v/>
      </c>
      <c r="H4514">
        <f>IF(A4514="","",E4514&amp;F4514&amp;G4514)</f>
        <v/>
      </c>
      <c r="I4514">
        <f>IF(A4514="","",IF(AND(E4514&gt;=4,F4514&gt;=4,G4514&gt;=4),"Juara",IF(AND(F4514&gt;=4,E4514&gt;=3),"Setia",IF(AND(E4514=5,F4514&lt;=2,G4514&gt;=3),"Berpotensi",IF(AND(E4514&lt;=3,E4514&gt;=2,F4514&gt;=3),"Rawan",IF(AND(E4514&lt;=2,F4514&lt;=2),"Tidur","Umum"))))))</f>
        <v/>
      </c>
    </row>
    <row r="4515">
      <c r="B4515">
        <f>IF(A4515="","",$B$1-MAXIFS(Donasi!$A$2:$A$20000,Donasi!$B$2:$B$20000,A4515))</f>
        <v/>
      </c>
      <c r="C4515">
        <f>IF(A4515="","",COUNTIF(Donasi!$B$2:$B$20000,A4515))</f>
        <v/>
      </c>
      <c r="D4515">
        <f>IF(A4515="","",SUMIF(Donasi!$B$2:$B$20000,A4515,Donasi!$C$2:$C$20000))</f>
        <v/>
      </c>
      <c r="E4515">
        <f>IF(A4515="","",6-CEILING(PERCENTRANK.INC($B$3:$B$6000,B4515,4)*5+0.000001,1))</f>
        <v/>
      </c>
      <c r="F4515">
        <f>IF(A4515="","",MAX(1,CEILING(PERCENTRANK.INC($C$3:$C$6000,C4515,4)*5+0.000001,1)))</f>
        <v/>
      </c>
      <c r="G4515">
        <f>IF(A4515="","",MAX(1,CEILING(PERCENTRANK.INC($D$3:$D$6000,D4515,4)*5+0.000001,1)))</f>
        <v/>
      </c>
      <c r="H4515">
        <f>IF(A4515="","",E4515&amp;F4515&amp;G4515)</f>
        <v/>
      </c>
      <c r="I4515">
        <f>IF(A4515="","",IF(AND(E4515&gt;=4,F4515&gt;=4,G4515&gt;=4),"Juara",IF(AND(F4515&gt;=4,E4515&gt;=3),"Setia",IF(AND(E4515=5,F4515&lt;=2,G4515&gt;=3),"Berpotensi",IF(AND(E4515&lt;=3,E4515&gt;=2,F4515&gt;=3),"Rawan",IF(AND(E4515&lt;=2,F4515&lt;=2),"Tidur","Umum"))))))</f>
        <v/>
      </c>
    </row>
    <row r="4516">
      <c r="B4516">
        <f>IF(A4516="","",$B$1-MAXIFS(Donasi!$A$2:$A$20000,Donasi!$B$2:$B$20000,A4516))</f>
        <v/>
      </c>
      <c r="C4516">
        <f>IF(A4516="","",COUNTIF(Donasi!$B$2:$B$20000,A4516))</f>
        <v/>
      </c>
      <c r="D4516">
        <f>IF(A4516="","",SUMIF(Donasi!$B$2:$B$20000,A4516,Donasi!$C$2:$C$20000))</f>
        <v/>
      </c>
      <c r="E4516">
        <f>IF(A4516="","",6-CEILING(PERCENTRANK.INC($B$3:$B$6000,B4516,4)*5+0.000001,1))</f>
        <v/>
      </c>
      <c r="F4516">
        <f>IF(A4516="","",MAX(1,CEILING(PERCENTRANK.INC($C$3:$C$6000,C4516,4)*5+0.000001,1)))</f>
        <v/>
      </c>
      <c r="G4516">
        <f>IF(A4516="","",MAX(1,CEILING(PERCENTRANK.INC($D$3:$D$6000,D4516,4)*5+0.000001,1)))</f>
        <v/>
      </c>
      <c r="H4516">
        <f>IF(A4516="","",E4516&amp;F4516&amp;G4516)</f>
        <v/>
      </c>
      <c r="I4516">
        <f>IF(A4516="","",IF(AND(E4516&gt;=4,F4516&gt;=4,G4516&gt;=4),"Juara",IF(AND(F4516&gt;=4,E4516&gt;=3),"Setia",IF(AND(E4516=5,F4516&lt;=2,G4516&gt;=3),"Berpotensi",IF(AND(E4516&lt;=3,E4516&gt;=2,F4516&gt;=3),"Rawan",IF(AND(E4516&lt;=2,F4516&lt;=2),"Tidur","Umum"))))))</f>
        <v/>
      </c>
    </row>
    <row r="4517">
      <c r="B4517">
        <f>IF(A4517="","",$B$1-MAXIFS(Donasi!$A$2:$A$20000,Donasi!$B$2:$B$20000,A4517))</f>
        <v/>
      </c>
      <c r="C4517">
        <f>IF(A4517="","",COUNTIF(Donasi!$B$2:$B$20000,A4517))</f>
        <v/>
      </c>
      <c r="D4517">
        <f>IF(A4517="","",SUMIF(Donasi!$B$2:$B$20000,A4517,Donasi!$C$2:$C$20000))</f>
        <v/>
      </c>
      <c r="E4517">
        <f>IF(A4517="","",6-CEILING(PERCENTRANK.INC($B$3:$B$6000,B4517,4)*5+0.000001,1))</f>
        <v/>
      </c>
      <c r="F4517">
        <f>IF(A4517="","",MAX(1,CEILING(PERCENTRANK.INC($C$3:$C$6000,C4517,4)*5+0.000001,1)))</f>
        <v/>
      </c>
      <c r="G4517">
        <f>IF(A4517="","",MAX(1,CEILING(PERCENTRANK.INC($D$3:$D$6000,D4517,4)*5+0.000001,1)))</f>
        <v/>
      </c>
      <c r="H4517">
        <f>IF(A4517="","",E4517&amp;F4517&amp;G4517)</f>
        <v/>
      </c>
      <c r="I4517">
        <f>IF(A4517="","",IF(AND(E4517&gt;=4,F4517&gt;=4,G4517&gt;=4),"Juara",IF(AND(F4517&gt;=4,E4517&gt;=3),"Setia",IF(AND(E4517=5,F4517&lt;=2,G4517&gt;=3),"Berpotensi",IF(AND(E4517&lt;=3,E4517&gt;=2,F4517&gt;=3),"Rawan",IF(AND(E4517&lt;=2,F4517&lt;=2),"Tidur","Umum"))))))</f>
        <v/>
      </c>
    </row>
    <row r="4518">
      <c r="B4518">
        <f>IF(A4518="","",$B$1-MAXIFS(Donasi!$A$2:$A$20000,Donasi!$B$2:$B$20000,A4518))</f>
        <v/>
      </c>
      <c r="C4518">
        <f>IF(A4518="","",COUNTIF(Donasi!$B$2:$B$20000,A4518))</f>
        <v/>
      </c>
      <c r="D4518">
        <f>IF(A4518="","",SUMIF(Donasi!$B$2:$B$20000,A4518,Donasi!$C$2:$C$20000))</f>
        <v/>
      </c>
      <c r="E4518">
        <f>IF(A4518="","",6-CEILING(PERCENTRANK.INC($B$3:$B$6000,B4518,4)*5+0.000001,1))</f>
        <v/>
      </c>
      <c r="F4518">
        <f>IF(A4518="","",MAX(1,CEILING(PERCENTRANK.INC($C$3:$C$6000,C4518,4)*5+0.000001,1)))</f>
        <v/>
      </c>
      <c r="G4518">
        <f>IF(A4518="","",MAX(1,CEILING(PERCENTRANK.INC($D$3:$D$6000,D4518,4)*5+0.000001,1)))</f>
        <v/>
      </c>
      <c r="H4518">
        <f>IF(A4518="","",E4518&amp;F4518&amp;G4518)</f>
        <v/>
      </c>
      <c r="I4518">
        <f>IF(A4518="","",IF(AND(E4518&gt;=4,F4518&gt;=4,G4518&gt;=4),"Juara",IF(AND(F4518&gt;=4,E4518&gt;=3),"Setia",IF(AND(E4518=5,F4518&lt;=2,G4518&gt;=3),"Berpotensi",IF(AND(E4518&lt;=3,E4518&gt;=2,F4518&gt;=3),"Rawan",IF(AND(E4518&lt;=2,F4518&lt;=2),"Tidur","Umum"))))))</f>
        <v/>
      </c>
    </row>
    <row r="4519">
      <c r="B4519">
        <f>IF(A4519="","",$B$1-MAXIFS(Donasi!$A$2:$A$20000,Donasi!$B$2:$B$20000,A4519))</f>
        <v/>
      </c>
      <c r="C4519">
        <f>IF(A4519="","",COUNTIF(Donasi!$B$2:$B$20000,A4519))</f>
        <v/>
      </c>
      <c r="D4519">
        <f>IF(A4519="","",SUMIF(Donasi!$B$2:$B$20000,A4519,Donasi!$C$2:$C$20000))</f>
        <v/>
      </c>
      <c r="E4519">
        <f>IF(A4519="","",6-CEILING(PERCENTRANK.INC($B$3:$B$6000,B4519,4)*5+0.000001,1))</f>
        <v/>
      </c>
      <c r="F4519">
        <f>IF(A4519="","",MAX(1,CEILING(PERCENTRANK.INC($C$3:$C$6000,C4519,4)*5+0.000001,1)))</f>
        <v/>
      </c>
      <c r="G4519">
        <f>IF(A4519="","",MAX(1,CEILING(PERCENTRANK.INC($D$3:$D$6000,D4519,4)*5+0.000001,1)))</f>
        <v/>
      </c>
      <c r="H4519">
        <f>IF(A4519="","",E4519&amp;F4519&amp;G4519)</f>
        <v/>
      </c>
      <c r="I4519">
        <f>IF(A4519="","",IF(AND(E4519&gt;=4,F4519&gt;=4,G4519&gt;=4),"Juara",IF(AND(F4519&gt;=4,E4519&gt;=3),"Setia",IF(AND(E4519=5,F4519&lt;=2,G4519&gt;=3),"Berpotensi",IF(AND(E4519&lt;=3,E4519&gt;=2,F4519&gt;=3),"Rawan",IF(AND(E4519&lt;=2,F4519&lt;=2),"Tidur","Umum"))))))</f>
        <v/>
      </c>
    </row>
    <row r="4520">
      <c r="B4520">
        <f>IF(A4520="","",$B$1-MAXIFS(Donasi!$A$2:$A$20000,Donasi!$B$2:$B$20000,A4520))</f>
        <v/>
      </c>
      <c r="C4520">
        <f>IF(A4520="","",COUNTIF(Donasi!$B$2:$B$20000,A4520))</f>
        <v/>
      </c>
      <c r="D4520">
        <f>IF(A4520="","",SUMIF(Donasi!$B$2:$B$20000,A4520,Donasi!$C$2:$C$20000))</f>
        <v/>
      </c>
      <c r="E4520">
        <f>IF(A4520="","",6-CEILING(PERCENTRANK.INC($B$3:$B$6000,B4520,4)*5+0.000001,1))</f>
        <v/>
      </c>
      <c r="F4520">
        <f>IF(A4520="","",MAX(1,CEILING(PERCENTRANK.INC($C$3:$C$6000,C4520,4)*5+0.000001,1)))</f>
        <v/>
      </c>
      <c r="G4520">
        <f>IF(A4520="","",MAX(1,CEILING(PERCENTRANK.INC($D$3:$D$6000,D4520,4)*5+0.000001,1)))</f>
        <v/>
      </c>
      <c r="H4520">
        <f>IF(A4520="","",E4520&amp;F4520&amp;G4520)</f>
        <v/>
      </c>
      <c r="I4520">
        <f>IF(A4520="","",IF(AND(E4520&gt;=4,F4520&gt;=4,G4520&gt;=4),"Juara",IF(AND(F4520&gt;=4,E4520&gt;=3),"Setia",IF(AND(E4520=5,F4520&lt;=2,G4520&gt;=3),"Berpotensi",IF(AND(E4520&lt;=3,E4520&gt;=2,F4520&gt;=3),"Rawan",IF(AND(E4520&lt;=2,F4520&lt;=2),"Tidur","Umum"))))))</f>
        <v/>
      </c>
    </row>
    <row r="4521">
      <c r="B4521">
        <f>IF(A4521="","",$B$1-MAXIFS(Donasi!$A$2:$A$20000,Donasi!$B$2:$B$20000,A4521))</f>
        <v/>
      </c>
      <c r="C4521">
        <f>IF(A4521="","",COUNTIF(Donasi!$B$2:$B$20000,A4521))</f>
        <v/>
      </c>
      <c r="D4521">
        <f>IF(A4521="","",SUMIF(Donasi!$B$2:$B$20000,A4521,Donasi!$C$2:$C$20000))</f>
        <v/>
      </c>
      <c r="E4521">
        <f>IF(A4521="","",6-CEILING(PERCENTRANK.INC($B$3:$B$6000,B4521,4)*5+0.000001,1))</f>
        <v/>
      </c>
      <c r="F4521">
        <f>IF(A4521="","",MAX(1,CEILING(PERCENTRANK.INC($C$3:$C$6000,C4521,4)*5+0.000001,1)))</f>
        <v/>
      </c>
      <c r="G4521">
        <f>IF(A4521="","",MAX(1,CEILING(PERCENTRANK.INC($D$3:$D$6000,D4521,4)*5+0.000001,1)))</f>
        <v/>
      </c>
      <c r="H4521">
        <f>IF(A4521="","",E4521&amp;F4521&amp;G4521)</f>
        <v/>
      </c>
      <c r="I4521">
        <f>IF(A4521="","",IF(AND(E4521&gt;=4,F4521&gt;=4,G4521&gt;=4),"Juara",IF(AND(F4521&gt;=4,E4521&gt;=3),"Setia",IF(AND(E4521=5,F4521&lt;=2,G4521&gt;=3),"Berpotensi",IF(AND(E4521&lt;=3,E4521&gt;=2,F4521&gt;=3),"Rawan",IF(AND(E4521&lt;=2,F4521&lt;=2),"Tidur","Umum"))))))</f>
        <v/>
      </c>
    </row>
    <row r="4522">
      <c r="B4522">
        <f>IF(A4522="","",$B$1-MAXIFS(Donasi!$A$2:$A$20000,Donasi!$B$2:$B$20000,A4522))</f>
        <v/>
      </c>
      <c r="C4522">
        <f>IF(A4522="","",COUNTIF(Donasi!$B$2:$B$20000,A4522))</f>
        <v/>
      </c>
      <c r="D4522">
        <f>IF(A4522="","",SUMIF(Donasi!$B$2:$B$20000,A4522,Donasi!$C$2:$C$20000))</f>
        <v/>
      </c>
      <c r="E4522">
        <f>IF(A4522="","",6-CEILING(PERCENTRANK.INC($B$3:$B$6000,B4522,4)*5+0.000001,1))</f>
        <v/>
      </c>
      <c r="F4522">
        <f>IF(A4522="","",MAX(1,CEILING(PERCENTRANK.INC($C$3:$C$6000,C4522,4)*5+0.000001,1)))</f>
        <v/>
      </c>
      <c r="G4522">
        <f>IF(A4522="","",MAX(1,CEILING(PERCENTRANK.INC($D$3:$D$6000,D4522,4)*5+0.000001,1)))</f>
        <v/>
      </c>
      <c r="H4522">
        <f>IF(A4522="","",E4522&amp;F4522&amp;G4522)</f>
        <v/>
      </c>
      <c r="I4522">
        <f>IF(A4522="","",IF(AND(E4522&gt;=4,F4522&gt;=4,G4522&gt;=4),"Juara",IF(AND(F4522&gt;=4,E4522&gt;=3),"Setia",IF(AND(E4522=5,F4522&lt;=2,G4522&gt;=3),"Berpotensi",IF(AND(E4522&lt;=3,E4522&gt;=2,F4522&gt;=3),"Rawan",IF(AND(E4522&lt;=2,F4522&lt;=2),"Tidur","Umum"))))))</f>
        <v/>
      </c>
    </row>
    <row r="4523">
      <c r="B4523">
        <f>IF(A4523="","",$B$1-MAXIFS(Donasi!$A$2:$A$20000,Donasi!$B$2:$B$20000,A4523))</f>
        <v/>
      </c>
      <c r="C4523">
        <f>IF(A4523="","",COUNTIF(Donasi!$B$2:$B$20000,A4523))</f>
        <v/>
      </c>
      <c r="D4523">
        <f>IF(A4523="","",SUMIF(Donasi!$B$2:$B$20000,A4523,Donasi!$C$2:$C$20000))</f>
        <v/>
      </c>
      <c r="E4523">
        <f>IF(A4523="","",6-CEILING(PERCENTRANK.INC($B$3:$B$6000,B4523,4)*5+0.000001,1))</f>
        <v/>
      </c>
      <c r="F4523">
        <f>IF(A4523="","",MAX(1,CEILING(PERCENTRANK.INC($C$3:$C$6000,C4523,4)*5+0.000001,1)))</f>
        <v/>
      </c>
      <c r="G4523">
        <f>IF(A4523="","",MAX(1,CEILING(PERCENTRANK.INC($D$3:$D$6000,D4523,4)*5+0.000001,1)))</f>
        <v/>
      </c>
      <c r="H4523">
        <f>IF(A4523="","",E4523&amp;F4523&amp;G4523)</f>
        <v/>
      </c>
      <c r="I4523">
        <f>IF(A4523="","",IF(AND(E4523&gt;=4,F4523&gt;=4,G4523&gt;=4),"Juara",IF(AND(F4523&gt;=4,E4523&gt;=3),"Setia",IF(AND(E4523=5,F4523&lt;=2,G4523&gt;=3),"Berpotensi",IF(AND(E4523&lt;=3,E4523&gt;=2,F4523&gt;=3),"Rawan",IF(AND(E4523&lt;=2,F4523&lt;=2),"Tidur","Umum"))))))</f>
        <v/>
      </c>
    </row>
    <row r="4524">
      <c r="B4524">
        <f>IF(A4524="","",$B$1-MAXIFS(Donasi!$A$2:$A$20000,Donasi!$B$2:$B$20000,A4524))</f>
        <v/>
      </c>
      <c r="C4524">
        <f>IF(A4524="","",COUNTIF(Donasi!$B$2:$B$20000,A4524))</f>
        <v/>
      </c>
      <c r="D4524">
        <f>IF(A4524="","",SUMIF(Donasi!$B$2:$B$20000,A4524,Donasi!$C$2:$C$20000))</f>
        <v/>
      </c>
      <c r="E4524">
        <f>IF(A4524="","",6-CEILING(PERCENTRANK.INC($B$3:$B$6000,B4524,4)*5+0.000001,1))</f>
        <v/>
      </c>
      <c r="F4524">
        <f>IF(A4524="","",MAX(1,CEILING(PERCENTRANK.INC($C$3:$C$6000,C4524,4)*5+0.000001,1)))</f>
        <v/>
      </c>
      <c r="G4524">
        <f>IF(A4524="","",MAX(1,CEILING(PERCENTRANK.INC($D$3:$D$6000,D4524,4)*5+0.000001,1)))</f>
        <v/>
      </c>
      <c r="H4524">
        <f>IF(A4524="","",E4524&amp;F4524&amp;G4524)</f>
        <v/>
      </c>
      <c r="I4524">
        <f>IF(A4524="","",IF(AND(E4524&gt;=4,F4524&gt;=4,G4524&gt;=4),"Juara",IF(AND(F4524&gt;=4,E4524&gt;=3),"Setia",IF(AND(E4524=5,F4524&lt;=2,G4524&gt;=3),"Berpotensi",IF(AND(E4524&lt;=3,E4524&gt;=2,F4524&gt;=3),"Rawan",IF(AND(E4524&lt;=2,F4524&lt;=2),"Tidur","Umum"))))))</f>
        <v/>
      </c>
    </row>
    <row r="4525">
      <c r="B4525">
        <f>IF(A4525="","",$B$1-MAXIFS(Donasi!$A$2:$A$20000,Donasi!$B$2:$B$20000,A4525))</f>
        <v/>
      </c>
      <c r="C4525">
        <f>IF(A4525="","",COUNTIF(Donasi!$B$2:$B$20000,A4525))</f>
        <v/>
      </c>
      <c r="D4525">
        <f>IF(A4525="","",SUMIF(Donasi!$B$2:$B$20000,A4525,Donasi!$C$2:$C$20000))</f>
        <v/>
      </c>
      <c r="E4525">
        <f>IF(A4525="","",6-CEILING(PERCENTRANK.INC($B$3:$B$6000,B4525,4)*5+0.000001,1))</f>
        <v/>
      </c>
      <c r="F4525">
        <f>IF(A4525="","",MAX(1,CEILING(PERCENTRANK.INC($C$3:$C$6000,C4525,4)*5+0.000001,1)))</f>
        <v/>
      </c>
      <c r="G4525">
        <f>IF(A4525="","",MAX(1,CEILING(PERCENTRANK.INC($D$3:$D$6000,D4525,4)*5+0.000001,1)))</f>
        <v/>
      </c>
      <c r="H4525">
        <f>IF(A4525="","",E4525&amp;F4525&amp;G4525)</f>
        <v/>
      </c>
      <c r="I4525">
        <f>IF(A4525="","",IF(AND(E4525&gt;=4,F4525&gt;=4,G4525&gt;=4),"Juara",IF(AND(F4525&gt;=4,E4525&gt;=3),"Setia",IF(AND(E4525=5,F4525&lt;=2,G4525&gt;=3),"Berpotensi",IF(AND(E4525&lt;=3,E4525&gt;=2,F4525&gt;=3),"Rawan",IF(AND(E4525&lt;=2,F4525&lt;=2),"Tidur","Umum"))))))</f>
        <v/>
      </c>
    </row>
    <row r="4526">
      <c r="B4526">
        <f>IF(A4526="","",$B$1-MAXIFS(Donasi!$A$2:$A$20000,Donasi!$B$2:$B$20000,A4526))</f>
        <v/>
      </c>
      <c r="C4526">
        <f>IF(A4526="","",COUNTIF(Donasi!$B$2:$B$20000,A4526))</f>
        <v/>
      </c>
      <c r="D4526">
        <f>IF(A4526="","",SUMIF(Donasi!$B$2:$B$20000,A4526,Donasi!$C$2:$C$20000))</f>
        <v/>
      </c>
      <c r="E4526">
        <f>IF(A4526="","",6-CEILING(PERCENTRANK.INC($B$3:$B$6000,B4526,4)*5+0.000001,1))</f>
        <v/>
      </c>
      <c r="F4526">
        <f>IF(A4526="","",MAX(1,CEILING(PERCENTRANK.INC($C$3:$C$6000,C4526,4)*5+0.000001,1)))</f>
        <v/>
      </c>
      <c r="G4526">
        <f>IF(A4526="","",MAX(1,CEILING(PERCENTRANK.INC($D$3:$D$6000,D4526,4)*5+0.000001,1)))</f>
        <v/>
      </c>
      <c r="H4526">
        <f>IF(A4526="","",E4526&amp;F4526&amp;G4526)</f>
        <v/>
      </c>
      <c r="I4526">
        <f>IF(A4526="","",IF(AND(E4526&gt;=4,F4526&gt;=4,G4526&gt;=4),"Juara",IF(AND(F4526&gt;=4,E4526&gt;=3),"Setia",IF(AND(E4526=5,F4526&lt;=2,G4526&gt;=3),"Berpotensi",IF(AND(E4526&lt;=3,E4526&gt;=2,F4526&gt;=3),"Rawan",IF(AND(E4526&lt;=2,F4526&lt;=2),"Tidur","Umum"))))))</f>
        <v/>
      </c>
    </row>
    <row r="4527">
      <c r="B4527">
        <f>IF(A4527="","",$B$1-MAXIFS(Donasi!$A$2:$A$20000,Donasi!$B$2:$B$20000,A4527))</f>
        <v/>
      </c>
      <c r="C4527">
        <f>IF(A4527="","",COUNTIF(Donasi!$B$2:$B$20000,A4527))</f>
        <v/>
      </c>
      <c r="D4527">
        <f>IF(A4527="","",SUMIF(Donasi!$B$2:$B$20000,A4527,Donasi!$C$2:$C$20000))</f>
        <v/>
      </c>
      <c r="E4527">
        <f>IF(A4527="","",6-CEILING(PERCENTRANK.INC($B$3:$B$6000,B4527,4)*5+0.000001,1))</f>
        <v/>
      </c>
      <c r="F4527">
        <f>IF(A4527="","",MAX(1,CEILING(PERCENTRANK.INC($C$3:$C$6000,C4527,4)*5+0.000001,1)))</f>
        <v/>
      </c>
      <c r="G4527">
        <f>IF(A4527="","",MAX(1,CEILING(PERCENTRANK.INC($D$3:$D$6000,D4527,4)*5+0.000001,1)))</f>
        <v/>
      </c>
      <c r="H4527">
        <f>IF(A4527="","",E4527&amp;F4527&amp;G4527)</f>
        <v/>
      </c>
      <c r="I4527">
        <f>IF(A4527="","",IF(AND(E4527&gt;=4,F4527&gt;=4,G4527&gt;=4),"Juara",IF(AND(F4527&gt;=4,E4527&gt;=3),"Setia",IF(AND(E4527=5,F4527&lt;=2,G4527&gt;=3),"Berpotensi",IF(AND(E4527&lt;=3,E4527&gt;=2,F4527&gt;=3),"Rawan",IF(AND(E4527&lt;=2,F4527&lt;=2),"Tidur","Umum"))))))</f>
        <v/>
      </c>
    </row>
    <row r="4528">
      <c r="B4528">
        <f>IF(A4528="","",$B$1-MAXIFS(Donasi!$A$2:$A$20000,Donasi!$B$2:$B$20000,A4528))</f>
        <v/>
      </c>
      <c r="C4528">
        <f>IF(A4528="","",COUNTIF(Donasi!$B$2:$B$20000,A4528))</f>
        <v/>
      </c>
      <c r="D4528">
        <f>IF(A4528="","",SUMIF(Donasi!$B$2:$B$20000,A4528,Donasi!$C$2:$C$20000))</f>
        <v/>
      </c>
      <c r="E4528">
        <f>IF(A4528="","",6-CEILING(PERCENTRANK.INC($B$3:$B$6000,B4528,4)*5+0.000001,1))</f>
        <v/>
      </c>
      <c r="F4528">
        <f>IF(A4528="","",MAX(1,CEILING(PERCENTRANK.INC($C$3:$C$6000,C4528,4)*5+0.000001,1)))</f>
        <v/>
      </c>
      <c r="G4528">
        <f>IF(A4528="","",MAX(1,CEILING(PERCENTRANK.INC($D$3:$D$6000,D4528,4)*5+0.000001,1)))</f>
        <v/>
      </c>
      <c r="H4528">
        <f>IF(A4528="","",E4528&amp;F4528&amp;G4528)</f>
        <v/>
      </c>
      <c r="I4528">
        <f>IF(A4528="","",IF(AND(E4528&gt;=4,F4528&gt;=4,G4528&gt;=4),"Juara",IF(AND(F4528&gt;=4,E4528&gt;=3),"Setia",IF(AND(E4528=5,F4528&lt;=2,G4528&gt;=3),"Berpotensi",IF(AND(E4528&lt;=3,E4528&gt;=2,F4528&gt;=3),"Rawan",IF(AND(E4528&lt;=2,F4528&lt;=2),"Tidur","Umum"))))))</f>
        <v/>
      </c>
    </row>
    <row r="4529">
      <c r="B4529">
        <f>IF(A4529="","",$B$1-MAXIFS(Donasi!$A$2:$A$20000,Donasi!$B$2:$B$20000,A4529))</f>
        <v/>
      </c>
      <c r="C4529">
        <f>IF(A4529="","",COUNTIF(Donasi!$B$2:$B$20000,A4529))</f>
        <v/>
      </c>
      <c r="D4529">
        <f>IF(A4529="","",SUMIF(Donasi!$B$2:$B$20000,A4529,Donasi!$C$2:$C$20000))</f>
        <v/>
      </c>
      <c r="E4529">
        <f>IF(A4529="","",6-CEILING(PERCENTRANK.INC($B$3:$B$6000,B4529,4)*5+0.000001,1))</f>
        <v/>
      </c>
      <c r="F4529">
        <f>IF(A4529="","",MAX(1,CEILING(PERCENTRANK.INC($C$3:$C$6000,C4529,4)*5+0.000001,1)))</f>
        <v/>
      </c>
      <c r="G4529">
        <f>IF(A4529="","",MAX(1,CEILING(PERCENTRANK.INC($D$3:$D$6000,D4529,4)*5+0.000001,1)))</f>
        <v/>
      </c>
      <c r="H4529">
        <f>IF(A4529="","",E4529&amp;F4529&amp;G4529)</f>
        <v/>
      </c>
      <c r="I4529">
        <f>IF(A4529="","",IF(AND(E4529&gt;=4,F4529&gt;=4,G4529&gt;=4),"Juara",IF(AND(F4529&gt;=4,E4529&gt;=3),"Setia",IF(AND(E4529=5,F4529&lt;=2,G4529&gt;=3),"Berpotensi",IF(AND(E4529&lt;=3,E4529&gt;=2,F4529&gt;=3),"Rawan",IF(AND(E4529&lt;=2,F4529&lt;=2),"Tidur","Umum"))))))</f>
        <v/>
      </c>
    </row>
    <row r="4530">
      <c r="B4530">
        <f>IF(A4530="","",$B$1-MAXIFS(Donasi!$A$2:$A$20000,Donasi!$B$2:$B$20000,A4530))</f>
        <v/>
      </c>
      <c r="C4530">
        <f>IF(A4530="","",COUNTIF(Donasi!$B$2:$B$20000,A4530))</f>
        <v/>
      </c>
      <c r="D4530">
        <f>IF(A4530="","",SUMIF(Donasi!$B$2:$B$20000,A4530,Donasi!$C$2:$C$20000))</f>
        <v/>
      </c>
      <c r="E4530">
        <f>IF(A4530="","",6-CEILING(PERCENTRANK.INC($B$3:$B$6000,B4530,4)*5+0.000001,1))</f>
        <v/>
      </c>
      <c r="F4530">
        <f>IF(A4530="","",MAX(1,CEILING(PERCENTRANK.INC($C$3:$C$6000,C4530,4)*5+0.000001,1)))</f>
        <v/>
      </c>
      <c r="G4530">
        <f>IF(A4530="","",MAX(1,CEILING(PERCENTRANK.INC($D$3:$D$6000,D4530,4)*5+0.000001,1)))</f>
        <v/>
      </c>
      <c r="H4530">
        <f>IF(A4530="","",E4530&amp;F4530&amp;G4530)</f>
        <v/>
      </c>
      <c r="I4530">
        <f>IF(A4530="","",IF(AND(E4530&gt;=4,F4530&gt;=4,G4530&gt;=4),"Juara",IF(AND(F4530&gt;=4,E4530&gt;=3),"Setia",IF(AND(E4530=5,F4530&lt;=2,G4530&gt;=3),"Berpotensi",IF(AND(E4530&lt;=3,E4530&gt;=2,F4530&gt;=3),"Rawan",IF(AND(E4530&lt;=2,F4530&lt;=2),"Tidur","Umum"))))))</f>
        <v/>
      </c>
    </row>
    <row r="4531">
      <c r="B4531">
        <f>IF(A4531="","",$B$1-MAXIFS(Donasi!$A$2:$A$20000,Donasi!$B$2:$B$20000,A4531))</f>
        <v/>
      </c>
      <c r="C4531">
        <f>IF(A4531="","",COUNTIF(Donasi!$B$2:$B$20000,A4531))</f>
        <v/>
      </c>
      <c r="D4531">
        <f>IF(A4531="","",SUMIF(Donasi!$B$2:$B$20000,A4531,Donasi!$C$2:$C$20000))</f>
        <v/>
      </c>
      <c r="E4531">
        <f>IF(A4531="","",6-CEILING(PERCENTRANK.INC($B$3:$B$6000,B4531,4)*5+0.000001,1))</f>
        <v/>
      </c>
      <c r="F4531">
        <f>IF(A4531="","",MAX(1,CEILING(PERCENTRANK.INC($C$3:$C$6000,C4531,4)*5+0.000001,1)))</f>
        <v/>
      </c>
      <c r="G4531">
        <f>IF(A4531="","",MAX(1,CEILING(PERCENTRANK.INC($D$3:$D$6000,D4531,4)*5+0.000001,1)))</f>
        <v/>
      </c>
      <c r="H4531">
        <f>IF(A4531="","",E4531&amp;F4531&amp;G4531)</f>
        <v/>
      </c>
      <c r="I4531">
        <f>IF(A4531="","",IF(AND(E4531&gt;=4,F4531&gt;=4,G4531&gt;=4),"Juara",IF(AND(F4531&gt;=4,E4531&gt;=3),"Setia",IF(AND(E4531=5,F4531&lt;=2,G4531&gt;=3),"Berpotensi",IF(AND(E4531&lt;=3,E4531&gt;=2,F4531&gt;=3),"Rawan",IF(AND(E4531&lt;=2,F4531&lt;=2),"Tidur","Umum"))))))</f>
        <v/>
      </c>
    </row>
    <row r="4532">
      <c r="B4532">
        <f>IF(A4532="","",$B$1-MAXIFS(Donasi!$A$2:$A$20000,Donasi!$B$2:$B$20000,A4532))</f>
        <v/>
      </c>
      <c r="C4532">
        <f>IF(A4532="","",COUNTIF(Donasi!$B$2:$B$20000,A4532))</f>
        <v/>
      </c>
      <c r="D4532">
        <f>IF(A4532="","",SUMIF(Donasi!$B$2:$B$20000,A4532,Donasi!$C$2:$C$20000))</f>
        <v/>
      </c>
      <c r="E4532">
        <f>IF(A4532="","",6-CEILING(PERCENTRANK.INC($B$3:$B$6000,B4532,4)*5+0.000001,1))</f>
        <v/>
      </c>
      <c r="F4532">
        <f>IF(A4532="","",MAX(1,CEILING(PERCENTRANK.INC($C$3:$C$6000,C4532,4)*5+0.000001,1)))</f>
        <v/>
      </c>
      <c r="G4532">
        <f>IF(A4532="","",MAX(1,CEILING(PERCENTRANK.INC($D$3:$D$6000,D4532,4)*5+0.000001,1)))</f>
        <v/>
      </c>
      <c r="H4532">
        <f>IF(A4532="","",E4532&amp;F4532&amp;G4532)</f>
        <v/>
      </c>
      <c r="I4532">
        <f>IF(A4532="","",IF(AND(E4532&gt;=4,F4532&gt;=4,G4532&gt;=4),"Juara",IF(AND(F4532&gt;=4,E4532&gt;=3),"Setia",IF(AND(E4532=5,F4532&lt;=2,G4532&gt;=3),"Berpotensi",IF(AND(E4532&lt;=3,E4532&gt;=2,F4532&gt;=3),"Rawan",IF(AND(E4532&lt;=2,F4532&lt;=2),"Tidur","Umum"))))))</f>
        <v/>
      </c>
    </row>
    <row r="4533">
      <c r="B4533">
        <f>IF(A4533="","",$B$1-MAXIFS(Donasi!$A$2:$A$20000,Donasi!$B$2:$B$20000,A4533))</f>
        <v/>
      </c>
      <c r="C4533">
        <f>IF(A4533="","",COUNTIF(Donasi!$B$2:$B$20000,A4533))</f>
        <v/>
      </c>
      <c r="D4533">
        <f>IF(A4533="","",SUMIF(Donasi!$B$2:$B$20000,A4533,Donasi!$C$2:$C$20000))</f>
        <v/>
      </c>
      <c r="E4533">
        <f>IF(A4533="","",6-CEILING(PERCENTRANK.INC($B$3:$B$6000,B4533,4)*5+0.000001,1))</f>
        <v/>
      </c>
      <c r="F4533">
        <f>IF(A4533="","",MAX(1,CEILING(PERCENTRANK.INC($C$3:$C$6000,C4533,4)*5+0.000001,1)))</f>
        <v/>
      </c>
      <c r="G4533">
        <f>IF(A4533="","",MAX(1,CEILING(PERCENTRANK.INC($D$3:$D$6000,D4533,4)*5+0.000001,1)))</f>
        <v/>
      </c>
      <c r="H4533">
        <f>IF(A4533="","",E4533&amp;F4533&amp;G4533)</f>
        <v/>
      </c>
      <c r="I4533">
        <f>IF(A4533="","",IF(AND(E4533&gt;=4,F4533&gt;=4,G4533&gt;=4),"Juara",IF(AND(F4533&gt;=4,E4533&gt;=3),"Setia",IF(AND(E4533=5,F4533&lt;=2,G4533&gt;=3),"Berpotensi",IF(AND(E4533&lt;=3,E4533&gt;=2,F4533&gt;=3),"Rawan",IF(AND(E4533&lt;=2,F4533&lt;=2),"Tidur","Umum"))))))</f>
        <v/>
      </c>
    </row>
    <row r="4534">
      <c r="B4534">
        <f>IF(A4534="","",$B$1-MAXIFS(Donasi!$A$2:$A$20000,Donasi!$B$2:$B$20000,A4534))</f>
        <v/>
      </c>
      <c r="C4534">
        <f>IF(A4534="","",COUNTIF(Donasi!$B$2:$B$20000,A4534))</f>
        <v/>
      </c>
      <c r="D4534">
        <f>IF(A4534="","",SUMIF(Donasi!$B$2:$B$20000,A4534,Donasi!$C$2:$C$20000))</f>
        <v/>
      </c>
      <c r="E4534">
        <f>IF(A4534="","",6-CEILING(PERCENTRANK.INC($B$3:$B$6000,B4534,4)*5+0.000001,1))</f>
        <v/>
      </c>
      <c r="F4534">
        <f>IF(A4534="","",MAX(1,CEILING(PERCENTRANK.INC($C$3:$C$6000,C4534,4)*5+0.000001,1)))</f>
        <v/>
      </c>
      <c r="G4534">
        <f>IF(A4534="","",MAX(1,CEILING(PERCENTRANK.INC($D$3:$D$6000,D4534,4)*5+0.000001,1)))</f>
        <v/>
      </c>
      <c r="H4534">
        <f>IF(A4534="","",E4534&amp;F4534&amp;G4534)</f>
        <v/>
      </c>
      <c r="I4534">
        <f>IF(A4534="","",IF(AND(E4534&gt;=4,F4534&gt;=4,G4534&gt;=4),"Juara",IF(AND(F4534&gt;=4,E4534&gt;=3),"Setia",IF(AND(E4534=5,F4534&lt;=2,G4534&gt;=3),"Berpotensi",IF(AND(E4534&lt;=3,E4534&gt;=2,F4534&gt;=3),"Rawan",IF(AND(E4534&lt;=2,F4534&lt;=2),"Tidur","Umum"))))))</f>
        <v/>
      </c>
    </row>
    <row r="4535">
      <c r="B4535">
        <f>IF(A4535="","",$B$1-MAXIFS(Donasi!$A$2:$A$20000,Donasi!$B$2:$B$20000,A4535))</f>
        <v/>
      </c>
      <c r="C4535">
        <f>IF(A4535="","",COUNTIF(Donasi!$B$2:$B$20000,A4535))</f>
        <v/>
      </c>
      <c r="D4535">
        <f>IF(A4535="","",SUMIF(Donasi!$B$2:$B$20000,A4535,Donasi!$C$2:$C$20000))</f>
        <v/>
      </c>
      <c r="E4535">
        <f>IF(A4535="","",6-CEILING(PERCENTRANK.INC($B$3:$B$6000,B4535,4)*5+0.000001,1))</f>
        <v/>
      </c>
      <c r="F4535">
        <f>IF(A4535="","",MAX(1,CEILING(PERCENTRANK.INC($C$3:$C$6000,C4535,4)*5+0.000001,1)))</f>
        <v/>
      </c>
      <c r="G4535">
        <f>IF(A4535="","",MAX(1,CEILING(PERCENTRANK.INC($D$3:$D$6000,D4535,4)*5+0.000001,1)))</f>
        <v/>
      </c>
      <c r="H4535">
        <f>IF(A4535="","",E4535&amp;F4535&amp;G4535)</f>
        <v/>
      </c>
      <c r="I4535">
        <f>IF(A4535="","",IF(AND(E4535&gt;=4,F4535&gt;=4,G4535&gt;=4),"Juara",IF(AND(F4535&gt;=4,E4535&gt;=3),"Setia",IF(AND(E4535=5,F4535&lt;=2,G4535&gt;=3),"Berpotensi",IF(AND(E4535&lt;=3,E4535&gt;=2,F4535&gt;=3),"Rawan",IF(AND(E4535&lt;=2,F4535&lt;=2),"Tidur","Umum"))))))</f>
        <v/>
      </c>
    </row>
    <row r="4536">
      <c r="B4536">
        <f>IF(A4536="","",$B$1-MAXIFS(Donasi!$A$2:$A$20000,Donasi!$B$2:$B$20000,A4536))</f>
        <v/>
      </c>
      <c r="C4536">
        <f>IF(A4536="","",COUNTIF(Donasi!$B$2:$B$20000,A4536))</f>
        <v/>
      </c>
      <c r="D4536">
        <f>IF(A4536="","",SUMIF(Donasi!$B$2:$B$20000,A4536,Donasi!$C$2:$C$20000))</f>
        <v/>
      </c>
      <c r="E4536">
        <f>IF(A4536="","",6-CEILING(PERCENTRANK.INC($B$3:$B$6000,B4536,4)*5+0.000001,1))</f>
        <v/>
      </c>
      <c r="F4536">
        <f>IF(A4536="","",MAX(1,CEILING(PERCENTRANK.INC($C$3:$C$6000,C4536,4)*5+0.000001,1)))</f>
        <v/>
      </c>
      <c r="G4536">
        <f>IF(A4536="","",MAX(1,CEILING(PERCENTRANK.INC($D$3:$D$6000,D4536,4)*5+0.000001,1)))</f>
        <v/>
      </c>
      <c r="H4536">
        <f>IF(A4536="","",E4536&amp;F4536&amp;G4536)</f>
        <v/>
      </c>
      <c r="I4536">
        <f>IF(A4536="","",IF(AND(E4536&gt;=4,F4536&gt;=4,G4536&gt;=4),"Juara",IF(AND(F4536&gt;=4,E4536&gt;=3),"Setia",IF(AND(E4536=5,F4536&lt;=2,G4536&gt;=3),"Berpotensi",IF(AND(E4536&lt;=3,E4536&gt;=2,F4536&gt;=3),"Rawan",IF(AND(E4536&lt;=2,F4536&lt;=2),"Tidur","Umum"))))))</f>
        <v/>
      </c>
    </row>
    <row r="4537">
      <c r="B4537">
        <f>IF(A4537="","",$B$1-MAXIFS(Donasi!$A$2:$A$20000,Donasi!$B$2:$B$20000,A4537))</f>
        <v/>
      </c>
      <c r="C4537">
        <f>IF(A4537="","",COUNTIF(Donasi!$B$2:$B$20000,A4537))</f>
        <v/>
      </c>
      <c r="D4537">
        <f>IF(A4537="","",SUMIF(Donasi!$B$2:$B$20000,A4537,Donasi!$C$2:$C$20000))</f>
        <v/>
      </c>
      <c r="E4537">
        <f>IF(A4537="","",6-CEILING(PERCENTRANK.INC($B$3:$B$6000,B4537,4)*5+0.000001,1))</f>
        <v/>
      </c>
      <c r="F4537">
        <f>IF(A4537="","",MAX(1,CEILING(PERCENTRANK.INC($C$3:$C$6000,C4537,4)*5+0.000001,1)))</f>
        <v/>
      </c>
      <c r="G4537">
        <f>IF(A4537="","",MAX(1,CEILING(PERCENTRANK.INC($D$3:$D$6000,D4537,4)*5+0.000001,1)))</f>
        <v/>
      </c>
      <c r="H4537">
        <f>IF(A4537="","",E4537&amp;F4537&amp;G4537)</f>
        <v/>
      </c>
      <c r="I4537">
        <f>IF(A4537="","",IF(AND(E4537&gt;=4,F4537&gt;=4,G4537&gt;=4),"Juara",IF(AND(F4537&gt;=4,E4537&gt;=3),"Setia",IF(AND(E4537=5,F4537&lt;=2,G4537&gt;=3),"Berpotensi",IF(AND(E4537&lt;=3,E4537&gt;=2,F4537&gt;=3),"Rawan",IF(AND(E4537&lt;=2,F4537&lt;=2),"Tidur","Umum"))))))</f>
        <v/>
      </c>
    </row>
    <row r="4538">
      <c r="B4538">
        <f>IF(A4538="","",$B$1-MAXIFS(Donasi!$A$2:$A$20000,Donasi!$B$2:$B$20000,A4538))</f>
        <v/>
      </c>
      <c r="C4538">
        <f>IF(A4538="","",COUNTIF(Donasi!$B$2:$B$20000,A4538))</f>
        <v/>
      </c>
      <c r="D4538">
        <f>IF(A4538="","",SUMIF(Donasi!$B$2:$B$20000,A4538,Donasi!$C$2:$C$20000))</f>
        <v/>
      </c>
      <c r="E4538">
        <f>IF(A4538="","",6-CEILING(PERCENTRANK.INC($B$3:$B$6000,B4538,4)*5+0.000001,1))</f>
        <v/>
      </c>
      <c r="F4538">
        <f>IF(A4538="","",MAX(1,CEILING(PERCENTRANK.INC($C$3:$C$6000,C4538,4)*5+0.000001,1)))</f>
        <v/>
      </c>
      <c r="G4538">
        <f>IF(A4538="","",MAX(1,CEILING(PERCENTRANK.INC($D$3:$D$6000,D4538,4)*5+0.000001,1)))</f>
        <v/>
      </c>
      <c r="H4538">
        <f>IF(A4538="","",E4538&amp;F4538&amp;G4538)</f>
        <v/>
      </c>
      <c r="I4538">
        <f>IF(A4538="","",IF(AND(E4538&gt;=4,F4538&gt;=4,G4538&gt;=4),"Juara",IF(AND(F4538&gt;=4,E4538&gt;=3),"Setia",IF(AND(E4538=5,F4538&lt;=2,G4538&gt;=3),"Berpotensi",IF(AND(E4538&lt;=3,E4538&gt;=2,F4538&gt;=3),"Rawan",IF(AND(E4538&lt;=2,F4538&lt;=2),"Tidur","Umum"))))))</f>
        <v/>
      </c>
    </row>
    <row r="4539">
      <c r="B4539">
        <f>IF(A4539="","",$B$1-MAXIFS(Donasi!$A$2:$A$20000,Donasi!$B$2:$B$20000,A4539))</f>
        <v/>
      </c>
      <c r="C4539">
        <f>IF(A4539="","",COUNTIF(Donasi!$B$2:$B$20000,A4539))</f>
        <v/>
      </c>
      <c r="D4539">
        <f>IF(A4539="","",SUMIF(Donasi!$B$2:$B$20000,A4539,Donasi!$C$2:$C$20000))</f>
        <v/>
      </c>
      <c r="E4539">
        <f>IF(A4539="","",6-CEILING(PERCENTRANK.INC($B$3:$B$6000,B4539,4)*5+0.000001,1))</f>
        <v/>
      </c>
      <c r="F4539">
        <f>IF(A4539="","",MAX(1,CEILING(PERCENTRANK.INC($C$3:$C$6000,C4539,4)*5+0.000001,1)))</f>
        <v/>
      </c>
      <c r="G4539">
        <f>IF(A4539="","",MAX(1,CEILING(PERCENTRANK.INC($D$3:$D$6000,D4539,4)*5+0.000001,1)))</f>
        <v/>
      </c>
      <c r="H4539">
        <f>IF(A4539="","",E4539&amp;F4539&amp;G4539)</f>
        <v/>
      </c>
      <c r="I4539">
        <f>IF(A4539="","",IF(AND(E4539&gt;=4,F4539&gt;=4,G4539&gt;=4),"Juara",IF(AND(F4539&gt;=4,E4539&gt;=3),"Setia",IF(AND(E4539=5,F4539&lt;=2,G4539&gt;=3),"Berpotensi",IF(AND(E4539&lt;=3,E4539&gt;=2,F4539&gt;=3),"Rawan",IF(AND(E4539&lt;=2,F4539&lt;=2),"Tidur","Umum"))))))</f>
        <v/>
      </c>
    </row>
    <row r="4540">
      <c r="B4540">
        <f>IF(A4540="","",$B$1-MAXIFS(Donasi!$A$2:$A$20000,Donasi!$B$2:$B$20000,A4540))</f>
        <v/>
      </c>
      <c r="C4540">
        <f>IF(A4540="","",COUNTIF(Donasi!$B$2:$B$20000,A4540))</f>
        <v/>
      </c>
      <c r="D4540">
        <f>IF(A4540="","",SUMIF(Donasi!$B$2:$B$20000,A4540,Donasi!$C$2:$C$20000))</f>
        <v/>
      </c>
      <c r="E4540">
        <f>IF(A4540="","",6-CEILING(PERCENTRANK.INC($B$3:$B$6000,B4540,4)*5+0.000001,1))</f>
        <v/>
      </c>
      <c r="F4540">
        <f>IF(A4540="","",MAX(1,CEILING(PERCENTRANK.INC($C$3:$C$6000,C4540,4)*5+0.000001,1)))</f>
        <v/>
      </c>
      <c r="G4540">
        <f>IF(A4540="","",MAX(1,CEILING(PERCENTRANK.INC($D$3:$D$6000,D4540,4)*5+0.000001,1)))</f>
        <v/>
      </c>
      <c r="H4540">
        <f>IF(A4540="","",E4540&amp;F4540&amp;G4540)</f>
        <v/>
      </c>
      <c r="I4540">
        <f>IF(A4540="","",IF(AND(E4540&gt;=4,F4540&gt;=4,G4540&gt;=4),"Juara",IF(AND(F4540&gt;=4,E4540&gt;=3),"Setia",IF(AND(E4540=5,F4540&lt;=2,G4540&gt;=3),"Berpotensi",IF(AND(E4540&lt;=3,E4540&gt;=2,F4540&gt;=3),"Rawan",IF(AND(E4540&lt;=2,F4540&lt;=2),"Tidur","Umum"))))))</f>
        <v/>
      </c>
    </row>
    <row r="4541">
      <c r="B4541">
        <f>IF(A4541="","",$B$1-MAXIFS(Donasi!$A$2:$A$20000,Donasi!$B$2:$B$20000,A4541))</f>
        <v/>
      </c>
      <c r="C4541">
        <f>IF(A4541="","",COUNTIF(Donasi!$B$2:$B$20000,A4541))</f>
        <v/>
      </c>
      <c r="D4541">
        <f>IF(A4541="","",SUMIF(Donasi!$B$2:$B$20000,A4541,Donasi!$C$2:$C$20000))</f>
        <v/>
      </c>
      <c r="E4541">
        <f>IF(A4541="","",6-CEILING(PERCENTRANK.INC($B$3:$B$6000,B4541,4)*5+0.000001,1))</f>
        <v/>
      </c>
      <c r="F4541">
        <f>IF(A4541="","",MAX(1,CEILING(PERCENTRANK.INC($C$3:$C$6000,C4541,4)*5+0.000001,1)))</f>
        <v/>
      </c>
      <c r="G4541">
        <f>IF(A4541="","",MAX(1,CEILING(PERCENTRANK.INC($D$3:$D$6000,D4541,4)*5+0.000001,1)))</f>
        <v/>
      </c>
      <c r="H4541">
        <f>IF(A4541="","",E4541&amp;F4541&amp;G4541)</f>
        <v/>
      </c>
      <c r="I4541">
        <f>IF(A4541="","",IF(AND(E4541&gt;=4,F4541&gt;=4,G4541&gt;=4),"Juara",IF(AND(F4541&gt;=4,E4541&gt;=3),"Setia",IF(AND(E4541=5,F4541&lt;=2,G4541&gt;=3),"Berpotensi",IF(AND(E4541&lt;=3,E4541&gt;=2,F4541&gt;=3),"Rawan",IF(AND(E4541&lt;=2,F4541&lt;=2),"Tidur","Umum"))))))</f>
        <v/>
      </c>
    </row>
    <row r="4542">
      <c r="B4542">
        <f>IF(A4542="","",$B$1-MAXIFS(Donasi!$A$2:$A$20000,Donasi!$B$2:$B$20000,A4542))</f>
        <v/>
      </c>
      <c r="C4542">
        <f>IF(A4542="","",COUNTIF(Donasi!$B$2:$B$20000,A4542))</f>
        <v/>
      </c>
      <c r="D4542">
        <f>IF(A4542="","",SUMIF(Donasi!$B$2:$B$20000,A4542,Donasi!$C$2:$C$20000))</f>
        <v/>
      </c>
      <c r="E4542">
        <f>IF(A4542="","",6-CEILING(PERCENTRANK.INC($B$3:$B$6000,B4542,4)*5+0.000001,1))</f>
        <v/>
      </c>
      <c r="F4542">
        <f>IF(A4542="","",MAX(1,CEILING(PERCENTRANK.INC($C$3:$C$6000,C4542,4)*5+0.000001,1)))</f>
        <v/>
      </c>
      <c r="G4542">
        <f>IF(A4542="","",MAX(1,CEILING(PERCENTRANK.INC($D$3:$D$6000,D4542,4)*5+0.000001,1)))</f>
        <v/>
      </c>
      <c r="H4542">
        <f>IF(A4542="","",E4542&amp;F4542&amp;G4542)</f>
        <v/>
      </c>
      <c r="I4542">
        <f>IF(A4542="","",IF(AND(E4542&gt;=4,F4542&gt;=4,G4542&gt;=4),"Juara",IF(AND(F4542&gt;=4,E4542&gt;=3),"Setia",IF(AND(E4542=5,F4542&lt;=2,G4542&gt;=3),"Berpotensi",IF(AND(E4542&lt;=3,E4542&gt;=2,F4542&gt;=3),"Rawan",IF(AND(E4542&lt;=2,F4542&lt;=2),"Tidur","Umum"))))))</f>
        <v/>
      </c>
    </row>
    <row r="4543">
      <c r="B4543">
        <f>IF(A4543="","",$B$1-MAXIFS(Donasi!$A$2:$A$20000,Donasi!$B$2:$B$20000,A4543))</f>
        <v/>
      </c>
      <c r="C4543">
        <f>IF(A4543="","",COUNTIF(Donasi!$B$2:$B$20000,A4543))</f>
        <v/>
      </c>
      <c r="D4543">
        <f>IF(A4543="","",SUMIF(Donasi!$B$2:$B$20000,A4543,Donasi!$C$2:$C$20000))</f>
        <v/>
      </c>
      <c r="E4543">
        <f>IF(A4543="","",6-CEILING(PERCENTRANK.INC($B$3:$B$6000,B4543,4)*5+0.000001,1))</f>
        <v/>
      </c>
      <c r="F4543">
        <f>IF(A4543="","",MAX(1,CEILING(PERCENTRANK.INC($C$3:$C$6000,C4543,4)*5+0.000001,1)))</f>
        <v/>
      </c>
      <c r="G4543">
        <f>IF(A4543="","",MAX(1,CEILING(PERCENTRANK.INC($D$3:$D$6000,D4543,4)*5+0.000001,1)))</f>
        <v/>
      </c>
      <c r="H4543">
        <f>IF(A4543="","",E4543&amp;F4543&amp;G4543)</f>
        <v/>
      </c>
      <c r="I4543">
        <f>IF(A4543="","",IF(AND(E4543&gt;=4,F4543&gt;=4,G4543&gt;=4),"Juara",IF(AND(F4543&gt;=4,E4543&gt;=3),"Setia",IF(AND(E4543=5,F4543&lt;=2,G4543&gt;=3),"Berpotensi",IF(AND(E4543&lt;=3,E4543&gt;=2,F4543&gt;=3),"Rawan",IF(AND(E4543&lt;=2,F4543&lt;=2),"Tidur","Umum"))))))</f>
        <v/>
      </c>
    </row>
    <row r="4544">
      <c r="B4544">
        <f>IF(A4544="","",$B$1-MAXIFS(Donasi!$A$2:$A$20000,Donasi!$B$2:$B$20000,A4544))</f>
        <v/>
      </c>
      <c r="C4544">
        <f>IF(A4544="","",COUNTIF(Donasi!$B$2:$B$20000,A4544))</f>
        <v/>
      </c>
      <c r="D4544">
        <f>IF(A4544="","",SUMIF(Donasi!$B$2:$B$20000,A4544,Donasi!$C$2:$C$20000))</f>
        <v/>
      </c>
      <c r="E4544">
        <f>IF(A4544="","",6-CEILING(PERCENTRANK.INC($B$3:$B$6000,B4544,4)*5+0.000001,1))</f>
        <v/>
      </c>
      <c r="F4544">
        <f>IF(A4544="","",MAX(1,CEILING(PERCENTRANK.INC($C$3:$C$6000,C4544,4)*5+0.000001,1)))</f>
        <v/>
      </c>
      <c r="G4544">
        <f>IF(A4544="","",MAX(1,CEILING(PERCENTRANK.INC($D$3:$D$6000,D4544,4)*5+0.000001,1)))</f>
        <v/>
      </c>
      <c r="H4544">
        <f>IF(A4544="","",E4544&amp;F4544&amp;G4544)</f>
        <v/>
      </c>
      <c r="I4544">
        <f>IF(A4544="","",IF(AND(E4544&gt;=4,F4544&gt;=4,G4544&gt;=4),"Juara",IF(AND(F4544&gt;=4,E4544&gt;=3),"Setia",IF(AND(E4544=5,F4544&lt;=2,G4544&gt;=3),"Berpotensi",IF(AND(E4544&lt;=3,E4544&gt;=2,F4544&gt;=3),"Rawan",IF(AND(E4544&lt;=2,F4544&lt;=2),"Tidur","Umum"))))))</f>
        <v/>
      </c>
    </row>
    <row r="4545">
      <c r="B4545">
        <f>IF(A4545="","",$B$1-MAXIFS(Donasi!$A$2:$A$20000,Donasi!$B$2:$B$20000,A4545))</f>
        <v/>
      </c>
      <c r="C4545">
        <f>IF(A4545="","",COUNTIF(Donasi!$B$2:$B$20000,A4545))</f>
        <v/>
      </c>
      <c r="D4545">
        <f>IF(A4545="","",SUMIF(Donasi!$B$2:$B$20000,A4545,Donasi!$C$2:$C$20000))</f>
        <v/>
      </c>
      <c r="E4545">
        <f>IF(A4545="","",6-CEILING(PERCENTRANK.INC($B$3:$B$6000,B4545,4)*5+0.000001,1))</f>
        <v/>
      </c>
      <c r="F4545">
        <f>IF(A4545="","",MAX(1,CEILING(PERCENTRANK.INC($C$3:$C$6000,C4545,4)*5+0.000001,1)))</f>
        <v/>
      </c>
      <c r="G4545">
        <f>IF(A4545="","",MAX(1,CEILING(PERCENTRANK.INC($D$3:$D$6000,D4545,4)*5+0.000001,1)))</f>
        <v/>
      </c>
      <c r="H4545">
        <f>IF(A4545="","",E4545&amp;F4545&amp;G4545)</f>
        <v/>
      </c>
      <c r="I4545">
        <f>IF(A4545="","",IF(AND(E4545&gt;=4,F4545&gt;=4,G4545&gt;=4),"Juara",IF(AND(F4545&gt;=4,E4545&gt;=3),"Setia",IF(AND(E4545=5,F4545&lt;=2,G4545&gt;=3),"Berpotensi",IF(AND(E4545&lt;=3,E4545&gt;=2,F4545&gt;=3),"Rawan",IF(AND(E4545&lt;=2,F4545&lt;=2),"Tidur","Umum"))))))</f>
        <v/>
      </c>
    </row>
    <row r="4546">
      <c r="B4546">
        <f>IF(A4546="","",$B$1-MAXIFS(Donasi!$A$2:$A$20000,Donasi!$B$2:$B$20000,A4546))</f>
        <v/>
      </c>
      <c r="C4546">
        <f>IF(A4546="","",COUNTIF(Donasi!$B$2:$B$20000,A4546))</f>
        <v/>
      </c>
      <c r="D4546">
        <f>IF(A4546="","",SUMIF(Donasi!$B$2:$B$20000,A4546,Donasi!$C$2:$C$20000))</f>
        <v/>
      </c>
      <c r="E4546">
        <f>IF(A4546="","",6-CEILING(PERCENTRANK.INC($B$3:$B$6000,B4546,4)*5+0.000001,1))</f>
        <v/>
      </c>
      <c r="F4546">
        <f>IF(A4546="","",MAX(1,CEILING(PERCENTRANK.INC($C$3:$C$6000,C4546,4)*5+0.000001,1)))</f>
        <v/>
      </c>
      <c r="G4546">
        <f>IF(A4546="","",MAX(1,CEILING(PERCENTRANK.INC($D$3:$D$6000,D4546,4)*5+0.000001,1)))</f>
        <v/>
      </c>
      <c r="H4546">
        <f>IF(A4546="","",E4546&amp;F4546&amp;G4546)</f>
        <v/>
      </c>
      <c r="I4546">
        <f>IF(A4546="","",IF(AND(E4546&gt;=4,F4546&gt;=4,G4546&gt;=4),"Juara",IF(AND(F4546&gt;=4,E4546&gt;=3),"Setia",IF(AND(E4546=5,F4546&lt;=2,G4546&gt;=3),"Berpotensi",IF(AND(E4546&lt;=3,E4546&gt;=2,F4546&gt;=3),"Rawan",IF(AND(E4546&lt;=2,F4546&lt;=2),"Tidur","Umum"))))))</f>
        <v/>
      </c>
    </row>
    <row r="4547">
      <c r="B4547">
        <f>IF(A4547="","",$B$1-MAXIFS(Donasi!$A$2:$A$20000,Donasi!$B$2:$B$20000,A4547))</f>
        <v/>
      </c>
      <c r="C4547">
        <f>IF(A4547="","",COUNTIF(Donasi!$B$2:$B$20000,A4547))</f>
        <v/>
      </c>
      <c r="D4547">
        <f>IF(A4547="","",SUMIF(Donasi!$B$2:$B$20000,A4547,Donasi!$C$2:$C$20000))</f>
        <v/>
      </c>
      <c r="E4547">
        <f>IF(A4547="","",6-CEILING(PERCENTRANK.INC($B$3:$B$6000,B4547,4)*5+0.000001,1))</f>
        <v/>
      </c>
      <c r="F4547">
        <f>IF(A4547="","",MAX(1,CEILING(PERCENTRANK.INC($C$3:$C$6000,C4547,4)*5+0.000001,1)))</f>
        <v/>
      </c>
      <c r="G4547">
        <f>IF(A4547="","",MAX(1,CEILING(PERCENTRANK.INC($D$3:$D$6000,D4547,4)*5+0.000001,1)))</f>
        <v/>
      </c>
      <c r="H4547">
        <f>IF(A4547="","",E4547&amp;F4547&amp;G4547)</f>
        <v/>
      </c>
      <c r="I4547">
        <f>IF(A4547="","",IF(AND(E4547&gt;=4,F4547&gt;=4,G4547&gt;=4),"Juara",IF(AND(F4547&gt;=4,E4547&gt;=3),"Setia",IF(AND(E4547=5,F4547&lt;=2,G4547&gt;=3),"Berpotensi",IF(AND(E4547&lt;=3,E4547&gt;=2,F4547&gt;=3),"Rawan",IF(AND(E4547&lt;=2,F4547&lt;=2),"Tidur","Umum"))))))</f>
        <v/>
      </c>
    </row>
    <row r="4548">
      <c r="B4548">
        <f>IF(A4548="","",$B$1-MAXIFS(Donasi!$A$2:$A$20000,Donasi!$B$2:$B$20000,A4548))</f>
        <v/>
      </c>
      <c r="C4548">
        <f>IF(A4548="","",COUNTIF(Donasi!$B$2:$B$20000,A4548))</f>
        <v/>
      </c>
      <c r="D4548">
        <f>IF(A4548="","",SUMIF(Donasi!$B$2:$B$20000,A4548,Donasi!$C$2:$C$20000))</f>
        <v/>
      </c>
      <c r="E4548">
        <f>IF(A4548="","",6-CEILING(PERCENTRANK.INC($B$3:$B$6000,B4548,4)*5+0.000001,1))</f>
        <v/>
      </c>
      <c r="F4548">
        <f>IF(A4548="","",MAX(1,CEILING(PERCENTRANK.INC($C$3:$C$6000,C4548,4)*5+0.000001,1)))</f>
        <v/>
      </c>
      <c r="G4548">
        <f>IF(A4548="","",MAX(1,CEILING(PERCENTRANK.INC($D$3:$D$6000,D4548,4)*5+0.000001,1)))</f>
        <v/>
      </c>
      <c r="H4548">
        <f>IF(A4548="","",E4548&amp;F4548&amp;G4548)</f>
        <v/>
      </c>
      <c r="I4548">
        <f>IF(A4548="","",IF(AND(E4548&gt;=4,F4548&gt;=4,G4548&gt;=4),"Juara",IF(AND(F4548&gt;=4,E4548&gt;=3),"Setia",IF(AND(E4548=5,F4548&lt;=2,G4548&gt;=3),"Berpotensi",IF(AND(E4548&lt;=3,E4548&gt;=2,F4548&gt;=3),"Rawan",IF(AND(E4548&lt;=2,F4548&lt;=2),"Tidur","Umum"))))))</f>
        <v/>
      </c>
    </row>
    <row r="4549">
      <c r="B4549">
        <f>IF(A4549="","",$B$1-MAXIFS(Donasi!$A$2:$A$20000,Donasi!$B$2:$B$20000,A4549))</f>
        <v/>
      </c>
      <c r="C4549">
        <f>IF(A4549="","",COUNTIF(Donasi!$B$2:$B$20000,A4549))</f>
        <v/>
      </c>
      <c r="D4549">
        <f>IF(A4549="","",SUMIF(Donasi!$B$2:$B$20000,A4549,Donasi!$C$2:$C$20000))</f>
        <v/>
      </c>
      <c r="E4549">
        <f>IF(A4549="","",6-CEILING(PERCENTRANK.INC($B$3:$B$6000,B4549,4)*5+0.000001,1))</f>
        <v/>
      </c>
      <c r="F4549">
        <f>IF(A4549="","",MAX(1,CEILING(PERCENTRANK.INC($C$3:$C$6000,C4549,4)*5+0.000001,1)))</f>
        <v/>
      </c>
      <c r="G4549">
        <f>IF(A4549="","",MAX(1,CEILING(PERCENTRANK.INC($D$3:$D$6000,D4549,4)*5+0.000001,1)))</f>
        <v/>
      </c>
      <c r="H4549">
        <f>IF(A4549="","",E4549&amp;F4549&amp;G4549)</f>
        <v/>
      </c>
      <c r="I4549">
        <f>IF(A4549="","",IF(AND(E4549&gt;=4,F4549&gt;=4,G4549&gt;=4),"Juara",IF(AND(F4549&gt;=4,E4549&gt;=3),"Setia",IF(AND(E4549=5,F4549&lt;=2,G4549&gt;=3),"Berpotensi",IF(AND(E4549&lt;=3,E4549&gt;=2,F4549&gt;=3),"Rawan",IF(AND(E4549&lt;=2,F4549&lt;=2),"Tidur","Umum"))))))</f>
        <v/>
      </c>
    </row>
    <row r="4550">
      <c r="B4550">
        <f>IF(A4550="","",$B$1-MAXIFS(Donasi!$A$2:$A$20000,Donasi!$B$2:$B$20000,A4550))</f>
        <v/>
      </c>
      <c r="C4550">
        <f>IF(A4550="","",COUNTIF(Donasi!$B$2:$B$20000,A4550))</f>
        <v/>
      </c>
      <c r="D4550">
        <f>IF(A4550="","",SUMIF(Donasi!$B$2:$B$20000,A4550,Donasi!$C$2:$C$20000))</f>
        <v/>
      </c>
      <c r="E4550">
        <f>IF(A4550="","",6-CEILING(PERCENTRANK.INC($B$3:$B$6000,B4550,4)*5+0.000001,1))</f>
        <v/>
      </c>
      <c r="F4550">
        <f>IF(A4550="","",MAX(1,CEILING(PERCENTRANK.INC($C$3:$C$6000,C4550,4)*5+0.000001,1)))</f>
        <v/>
      </c>
      <c r="G4550">
        <f>IF(A4550="","",MAX(1,CEILING(PERCENTRANK.INC($D$3:$D$6000,D4550,4)*5+0.000001,1)))</f>
        <v/>
      </c>
      <c r="H4550">
        <f>IF(A4550="","",E4550&amp;F4550&amp;G4550)</f>
        <v/>
      </c>
      <c r="I4550">
        <f>IF(A4550="","",IF(AND(E4550&gt;=4,F4550&gt;=4,G4550&gt;=4),"Juara",IF(AND(F4550&gt;=4,E4550&gt;=3),"Setia",IF(AND(E4550=5,F4550&lt;=2,G4550&gt;=3),"Berpotensi",IF(AND(E4550&lt;=3,E4550&gt;=2,F4550&gt;=3),"Rawan",IF(AND(E4550&lt;=2,F4550&lt;=2),"Tidur","Umum"))))))</f>
        <v/>
      </c>
    </row>
    <row r="4551">
      <c r="B4551">
        <f>IF(A4551="","",$B$1-MAXIFS(Donasi!$A$2:$A$20000,Donasi!$B$2:$B$20000,A4551))</f>
        <v/>
      </c>
      <c r="C4551">
        <f>IF(A4551="","",COUNTIF(Donasi!$B$2:$B$20000,A4551))</f>
        <v/>
      </c>
      <c r="D4551">
        <f>IF(A4551="","",SUMIF(Donasi!$B$2:$B$20000,A4551,Donasi!$C$2:$C$20000))</f>
        <v/>
      </c>
      <c r="E4551">
        <f>IF(A4551="","",6-CEILING(PERCENTRANK.INC($B$3:$B$6000,B4551,4)*5+0.000001,1))</f>
        <v/>
      </c>
      <c r="F4551">
        <f>IF(A4551="","",MAX(1,CEILING(PERCENTRANK.INC($C$3:$C$6000,C4551,4)*5+0.000001,1)))</f>
        <v/>
      </c>
      <c r="G4551">
        <f>IF(A4551="","",MAX(1,CEILING(PERCENTRANK.INC($D$3:$D$6000,D4551,4)*5+0.000001,1)))</f>
        <v/>
      </c>
      <c r="H4551">
        <f>IF(A4551="","",E4551&amp;F4551&amp;G4551)</f>
        <v/>
      </c>
      <c r="I4551">
        <f>IF(A4551="","",IF(AND(E4551&gt;=4,F4551&gt;=4,G4551&gt;=4),"Juara",IF(AND(F4551&gt;=4,E4551&gt;=3),"Setia",IF(AND(E4551=5,F4551&lt;=2,G4551&gt;=3),"Berpotensi",IF(AND(E4551&lt;=3,E4551&gt;=2,F4551&gt;=3),"Rawan",IF(AND(E4551&lt;=2,F4551&lt;=2),"Tidur","Umum"))))))</f>
        <v/>
      </c>
    </row>
    <row r="4552">
      <c r="B4552">
        <f>IF(A4552="","",$B$1-MAXIFS(Donasi!$A$2:$A$20000,Donasi!$B$2:$B$20000,A4552))</f>
        <v/>
      </c>
      <c r="C4552">
        <f>IF(A4552="","",COUNTIF(Donasi!$B$2:$B$20000,A4552))</f>
        <v/>
      </c>
      <c r="D4552">
        <f>IF(A4552="","",SUMIF(Donasi!$B$2:$B$20000,A4552,Donasi!$C$2:$C$20000))</f>
        <v/>
      </c>
      <c r="E4552">
        <f>IF(A4552="","",6-CEILING(PERCENTRANK.INC($B$3:$B$6000,B4552,4)*5+0.000001,1))</f>
        <v/>
      </c>
      <c r="F4552">
        <f>IF(A4552="","",MAX(1,CEILING(PERCENTRANK.INC($C$3:$C$6000,C4552,4)*5+0.000001,1)))</f>
        <v/>
      </c>
      <c r="G4552">
        <f>IF(A4552="","",MAX(1,CEILING(PERCENTRANK.INC($D$3:$D$6000,D4552,4)*5+0.000001,1)))</f>
        <v/>
      </c>
      <c r="H4552">
        <f>IF(A4552="","",E4552&amp;F4552&amp;G4552)</f>
        <v/>
      </c>
      <c r="I4552">
        <f>IF(A4552="","",IF(AND(E4552&gt;=4,F4552&gt;=4,G4552&gt;=4),"Juara",IF(AND(F4552&gt;=4,E4552&gt;=3),"Setia",IF(AND(E4552=5,F4552&lt;=2,G4552&gt;=3),"Berpotensi",IF(AND(E4552&lt;=3,E4552&gt;=2,F4552&gt;=3),"Rawan",IF(AND(E4552&lt;=2,F4552&lt;=2),"Tidur","Umum"))))))</f>
        <v/>
      </c>
    </row>
    <row r="4553">
      <c r="B4553">
        <f>IF(A4553="","",$B$1-MAXIFS(Donasi!$A$2:$A$20000,Donasi!$B$2:$B$20000,A4553))</f>
        <v/>
      </c>
      <c r="C4553">
        <f>IF(A4553="","",COUNTIF(Donasi!$B$2:$B$20000,A4553))</f>
        <v/>
      </c>
      <c r="D4553">
        <f>IF(A4553="","",SUMIF(Donasi!$B$2:$B$20000,A4553,Donasi!$C$2:$C$20000))</f>
        <v/>
      </c>
      <c r="E4553">
        <f>IF(A4553="","",6-CEILING(PERCENTRANK.INC($B$3:$B$6000,B4553,4)*5+0.000001,1))</f>
        <v/>
      </c>
      <c r="F4553">
        <f>IF(A4553="","",MAX(1,CEILING(PERCENTRANK.INC($C$3:$C$6000,C4553,4)*5+0.000001,1)))</f>
        <v/>
      </c>
      <c r="G4553">
        <f>IF(A4553="","",MAX(1,CEILING(PERCENTRANK.INC($D$3:$D$6000,D4553,4)*5+0.000001,1)))</f>
        <v/>
      </c>
      <c r="H4553">
        <f>IF(A4553="","",E4553&amp;F4553&amp;G4553)</f>
        <v/>
      </c>
      <c r="I4553">
        <f>IF(A4553="","",IF(AND(E4553&gt;=4,F4553&gt;=4,G4553&gt;=4),"Juara",IF(AND(F4553&gt;=4,E4553&gt;=3),"Setia",IF(AND(E4553=5,F4553&lt;=2,G4553&gt;=3),"Berpotensi",IF(AND(E4553&lt;=3,E4553&gt;=2,F4553&gt;=3),"Rawan",IF(AND(E4553&lt;=2,F4553&lt;=2),"Tidur","Umum"))))))</f>
        <v/>
      </c>
    </row>
    <row r="4554">
      <c r="B4554">
        <f>IF(A4554="","",$B$1-MAXIFS(Donasi!$A$2:$A$20000,Donasi!$B$2:$B$20000,A4554))</f>
        <v/>
      </c>
      <c r="C4554">
        <f>IF(A4554="","",COUNTIF(Donasi!$B$2:$B$20000,A4554))</f>
        <v/>
      </c>
      <c r="D4554">
        <f>IF(A4554="","",SUMIF(Donasi!$B$2:$B$20000,A4554,Donasi!$C$2:$C$20000))</f>
        <v/>
      </c>
      <c r="E4554">
        <f>IF(A4554="","",6-CEILING(PERCENTRANK.INC($B$3:$B$6000,B4554,4)*5+0.000001,1))</f>
        <v/>
      </c>
      <c r="F4554">
        <f>IF(A4554="","",MAX(1,CEILING(PERCENTRANK.INC($C$3:$C$6000,C4554,4)*5+0.000001,1)))</f>
        <v/>
      </c>
      <c r="G4554">
        <f>IF(A4554="","",MAX(1,CEILING(PERCENTRANK.INC($D$3:$D$6000,D4554,4)*5+0.000001,1)))</f>
        <v/>
      </c>
      <c r="H4554">
        <f>IF(A4554="","",E4554&amp;F4554&amp;G4554)</f>
        <v/>
      </c>
      <c r="I4554">
        <f>IF(A4554="","",IF(AND(E4554&gt;=4,F4554&gt;=4,G4554&gt;=4),"Juara",IF(AND(F4554&gt;=4,E4554&gt;=3),"Setia",IF(AND(E4554=5,F4554&lt;=2,G4554&gt;=3),"Berpotensi",IF(AND(E4554&lt;=3,E4554&gt;=2,F4554&gt;=3),"Rawan",IF(AND(E4554&lt;=2,F4554&lt;=2),"Tidur","Umum"))))))</f>
        <v/>
      </c>
    </row>
    <row r="4555">
      <c r="B4555">
        <f>IF(A4555="","",$B$1-MAXIFS(Donasi!$A$2:$A$20000,Donasi!$B$2:$B$20000,A4555))</f>
        <v/>
      </c>
      <c r="C4555">
        <f>IF(A4555="","",COUNTIF(Donasi!$B$2:$B$20000,A4555))</f>
        <v/>
      </c>
      <c r="D4555">
        <f>IF(A4555="","",SUMIF(Donasi!$B$2:$B$20000,A4555,Donasi!$C$2:$C$20000))</f>
        <v/>
      </c>
      <c r="E4555">
        <f>IF(A4555="","",6-CEILING(PERCENTRANK.INC($B$3:$B$6000,B4555,4)*5+0.000001,1))</f>
        <v/>
      </c>
      <c r="F4555">
        <f>IF(A4555="","",MAX(1,CEILING(PERCENTRANK.INC($C$3:$C$6000,C4555,4)*5+0.000001,1)))</f>
        <v/>
      </c>
      <c r="G4555">
        <f>IF(A4555="","",MAX(1,CEILING(PERCENTRANK.INC($D$3:$D$6000,D4555,4)*5+0.000001,1)))</f>
        <v/>
      </c>
      <c r="H4555">
        <f>IF(A4555="","",E4555&amp;F4555&amp;G4555)</f>
        <v/>
      </c>
      <c r="I4555">
        <f>IF(A4555="","",IF(AND(E4555&gt;=4,F4555&gt;=4,G4555&gt;=4),"Juara",IF(AND(F4555&gt;=4,E4555&gt;=3),"Setia",IF(AND(E4555=5,F4555&lt;=2,G4555&gt;=3),"Berpotensi",IF(AND(E4555&lt;=3,E4555&gt;=2,F4555&gt;=3),"Rawan",IF(AND(E4555&lt;=2,F4555&lt;=2),"Tidur","Umum"))))))</f>
        <v/>
      </c>
    </row>
    <row r="4556">
      <c r="B4556">
        <f>IF(A4556="","",$B$1-MAXIFS(Donasi!$A$2:$A$20000,Donasi!$B$2:$B$20000,A4556))</f>
        <v/>
      </c>
      <c r="C4556">
        <f>IF(A4556="","",COUNTIF(Donasi!$B$2:$B$20000,A4556))</f>
        <v/>
      </c>
      <c r="D4556">
        <f>IF(A4556="","",SUMIF(Donasi!$B$2:$B$20000,A4556,Donasi!$C$2:$C$20000))</f>
        <v/>
      </c>
      <c r="E4556">
        <f>IF(A4556="","",6-CEILING(PERCENTRANK.INC($B$3:$B$6000,B4556,4)*5+0.000001,1))</f>
        <v/>
      </c>
      <c r="F4556">
        <f>IF(A4556="","",MAX(1,CEILING(PERCENTRANK.INC($C$3:$C$6000,C4556,4)*5+0.000001,1)))</f>
        <v/>
      </c>
      <c r="G4556">
        <f>IF(A4556="","",MAX(1,CEILING(PERCENTRANK.INC($D$3:$D$6000,D4556,4)*5+0.000001,1)))</f>
        <v/>
      </c>
      <c r="H4556">
        <f>IF(A4556="","",E4556&amp;F4556&amp;G4556)</f>
        <v/>
      </c>
      <c r="I4556">
        <f>IF(A4556="","",IF(AND(E4556&gt;=4,F4556&gt;=4,G4556&gt;=4),"Juara",IF(AND(F4556&gt;=4,E4556&gt;=3),"Setia",IF(AND(E4556=5,F4556&lt;=2,G4556&gt;=3),"Berpotensi",IF(AND(E4556&lt;=3,E4556&gt;=2,F4556&gt;=3),"Rawan",IF(AND(E4556&lt;=2,F4556&lt;=2),"Tidur","Umum"))))))</f>
        <v/>
      </c>
    </row>
    <row r="4557">
      <c r="B4557">
        <f>IF(A4557="","",$B$1-MAXIFS(Donasi!$A$2:$A$20000,Donasi!$B$2:$B$20000,A4557))</f>
        <v/>
      </c>
      <c r="C4557">
        <f>IF(A4557="","",COUNTIF(Donasi!$B$2:$B$20000,A4557))</f>
        <v/>
      </c>
      <c r="D4557">
        <f>IF(A4557="","",SUMIF(Donasi!$B$2:$B$20000,A4557,Donasi!$C$2:$C$20000))</f>
        <v/>
      </c>
      <c r="E4557">
        <f>IF(A4557="","",6-CEILING(PERCENTRANK.INC($B$3:$B$6000,B4557,4)*5+0.000001,1))</f>
        <v/>
      </c>
      <c r="F4557">
        <f>IF(A4557="","",MAX(1,CEILING(PERCENTRANK.INC($C$3:$C$6000,C4557,4)*5+0.000001,1)))</f>
        <v/>
      </c>
      <c r="G4557">
        <f>IF(A4557="","",MAX(1,CEILING(PERCENTRANK.INC($D$3:$D$6000,D4557,4)*5+0.000001,1)))</f>
        <v/>
      </c>
      <c r="H4557">
        <f>IF(A4557="","",E4557&amp;F4557&amp;G4557)</f>
        <v/>
      </c>
      <c r="I4557">
        <f>IF(A4557="","",IF(AND(E4557&gt;=4,F4557&gt;=4,G4557&gt;=4),"Juara",IF(AND(F4557&gt;=4,E4557&gt;=3),"Setia",IF(AND(E4557=5,F4557&lt;=2,G4557&gt;=3),"Berpotensi",IF(AND(E4557&lt;=3,E4557&gt;=2,F4557&gt;=3),"Rawan",IF(AND(E4557&lt;=2,F4557&lt;=2),"Tidur","Umum"))))))</f>
        <v/>
      </c>
    </row>
    <row r="4558">
      <c r="B4558">
        <f>IF(A4558="","",$B$1-MAXIFS(Donasi!$A$2:$A$20000,Donasi!$B$2:$B$20000,A4558))</f>
        <v/>
      </c>
      <c r="C4558">
        <f>IF(A4558="","",COUNTIF(Donasi!$B$2:$B$20000,A4558))</f>
        <v/>
      </c>
      <c r="D4558">
        <f>IF(A4558="","",SUMIF(Donasi!$B$2:$B$20000,A4558,Donasi!$C$2:$C$20000))</f>
        <v/>
      </c>
      <c r="E4558">
        <f>IF(A4558="","",6-CEILING(PERCENTRANK.INC($B$3:$B$6000,B4558,4)*5+0.000001,1))</f>
        <v/>
      </c>
      <c r="F4558">
        <f>IF(A4558="","",MAX(1,CEILING(PERCENTRANK.INC($C$3:$C$6000,C4558,4)*5+0.000001,1)))</f>
        <v/>
      </c>
      <c r="G4558">
        <f>IF(A4558="","",MAX(1,CEILING(PERCENTRANK.INC($D$3:$D$6000,D4558,4)*5+0.000001,1)))</f>
        <v/>
      </c>
      <c r="H4558">
        <f>IF(A4558="","",E4558&amp;F4558&amp;G4558)</f>
        <v/>
      </c>
      <c r="I4558">
        <f>IF(A4558="","",IF(AND(E4558&gt;=4,F4558&gt;=4,G4558&gt;=4),"Juara",IF(AND(F4558&gt;=4,E4558&gt;=3),"Setia",IF(AND(E4558=5,F4558&lt;=2,G4558&gt;=3),"Berpotensi",IF(AND(E4558&lt;=3,E4558&gt;=2,F4558&gt;=3),"Rawan",IF(AND(E4558&lt;=2,F4558&lt;=2),"Tidur","Umum"))))))</f>
        <v/>
      </c>
    </row>
    <row r="4559">
      <c r="B4559">
        <f>IF(A4559="","",$B$1-MAXIFS(Donasi!$A$2:$A$20000,Donasi!$B$2:$B$20000,A4559))</f>
        <v/>
      </c>
      <c r="C4559">
        <f>IF(A4559="","",COUNTIF(Donasi!$B$2:$B$20000,A4559))</f>
        <v/>
      </c>
      <c r="D4559">
        <f>IF(A4559="","",SUMIF(Donasi!$B$2:$B$20000,A4559,Donasi!$C$2:$C$20000))</f>
        <v/>
      </c>
      <c r="E4559">
        <f>IF(A4559="","",6-CEILING(PERCENTRANK.INC($B$3:$B$6000,B4559,4)*5+0.000001,1))</f>
        <v/>
      </c>
      <c r="F4559">
        <f>IF(A4559="","",MAX(1,CEILING(PERCENTRANK.INC($C$3:$C$6000,C4559,4)*5+0.000001,1)))</f>
        <v/>
      </c>
      <c r="G4559">
        <f>IF(A4559="","",MAX(1,CEILING(PERCENTRANK.INC($D$3:$D$6000,D4559,4)*5+0.000001,1)))</f>
        <v/>
      </c>
      <c r="H4559">
        <f>IF(A4559="","",E4559&amp;F4559&amp;G4559)</f>
        <v/>
      </c>
      <c r="I4559">
        <f>IF(A4559="","",IF(AND(E4559&gt;=4,F4559&gt;=4,G4559&gt;=4),"Juara",IF(AND(F4559&gt;=4,E4559&gt;=3),"Setia",IF(AND(E4559=5,F4559&lt;=2,G4559&gt;=3),"Berpotensi",IF(AND(E4559&lt;=3,E4559&gt;=2,F4559&gt;=3),"Rawan",IF(AND(E4559&lt;=2,F4559&lt;=2),"Tidur","Umum"))))))</f>
        <v/>
      </c>
    </row>
    <row r="4560">
      <c r="B4560">
        <f>IF(A4560="","",$B$1-MAXIFS(Donasi!$A$2:$A$20000,Donasi!$B$2:$B$20000,A4560))</f>
        <v/>
      </c>
      <c r="C4560">
        <f>IF(A4560="","",COUNTIF(Donasi!$B$2:$B$20000,A4560))</f>
        <v/>
      </c>
      <c r="D4560">
        <f>IF(A4560="","",SUMIF(Donasi!$B$2:$B$20000,A4560,Donasi!$C$2:$C$20000))</f>
        <v/>
      </c>
      <c r="E4560">
        <f>IF(A4560="","",6-CEILING(PERCENTRANK.INC($B$3:$B$6000,B4560,4)*5+0.000001,1))</f>
        <v/>
      </c>
      <c r="F4560">
        <f>IF(A4560="","",MAX(1,CEILING(PERCENTRANK.INC($C$3:$C$6000,C4560,4)*5+0.000001,1)))</f>
        <v/>
      </c>
      <c r="G4560">
        <f>IF(A4560="","",MAX(1,CEILING(PERCENTRANK.INC($D$3:$D$6000,D4560,4)*5+0.000001,1)))</f>
        <v/>
      </c>
      <c r="H4560">
        <f>IF(A4560="","",E4560&amp;F4560&amp;G4560)</f>
        <v/>
      </c>
      <c r="I4560">
        <f>IF(A4560="","",IF(AND(E4560&gt;=4,F4560&gt;=4,G4560&gt;=4),"Juara",IF(AND(F4560&gt;=4,E4560&gt;=3),"Setia",IF(AND(E4560=5,F4560&lt;=2,G4560&gt;=3),"Berpotensi",IF(AND(E4560&lt;=3,E4560&gt;=2,F4560&gt;=3),"Rawan",IF(AND(E4560&lt;=2,F4560&lt;=2),"Tidur","Umum"))))))</f>
        <v/>
      </c>
    </row>
    <row r="4561">
      <c r="B4561">
        <f>IF(A4561="","",$B$1-MAXIFS(Donasi!$A$2:$A$20000,Donasi!$B$2:$B$20000,A4561))</f>
        <v/>
      </c>
      <c r="C4561">
        <f>IF(A4561="","",COUNTIF(Donasi!$B$2:$B$20000,A4561))</f>
        <v/>
      </c>
      <c r="D4561">
        <f>IF(A4561="","",SUMIF(Donasi!$B$2:$B$20000,A4561,Donasi!$C$2:$C$20000))</f>
        <v/>
      </c>
      <c r="E4561">
        <f>IF(A4561="","",6-CEILING(PERCENTRANK.INC($B$3:$B$6000,B4561,4)*5+0.000001,1))</f>
        <v/>
      </c>
      <c r="F4561">
        <f>IF(A4561="","",MAX(1,CEILING(PERCENTRANK.INC($C$3:$C$6000,C4561,4)*5+0.000001,1)))</f>
        <v/>
      </c>
      <c r="G4561">
        <f>IF(A4561="","",MAX(1,CEILING(PERCENTRANK.INC($D$3:$D$6000,D4561,4)*5+0.000001,1)))</f>
        <v/>
      </c>
      <c r="H4561">
        <f>IF(A4561="","",E4561&amp;F4561&amp;G4561)</f>
        <v/>
      </c>
      <c r="I4561">
        <f>IF(A4561="","",IF(AND(E4561&gt;=4,F4561&gt;=4,G4561&gt;=4),"Juara",IF(AND(F4561&gt;=4,E4561&gt;=3),"Setia",IF(AND(E4561=5,F4561&lt;=2,G4561&gt;=3),"Berpotensi",IF(AND(E4561&lt;=3,E4561&gt;=2,F4561&gt;=3),"Rawan",IF(AND(E4561&lt;=2,F4561&lt;=2),"Tidur","Umum"))))))</f>
        <v/>
      </c>
    </row>
    <row r="4562">
      <c r="B4562">
        <f>IF(A4562="","",$B$1-MAXIFS(Donasi!$A$2:$A$20000,Donasi!$B$2:$B$20000,A4562))</f>
        <v/>
      </c>
      <c r="C4562">
        <f>IF(A4562="","",COUNTIF(Donasi!$B$2:$B$20000,A4562))</f>
        <v/>
      </c>
      <c r="D4562">
        <f>IF(A4562="","",SUMIF(Donasi!$B$2:$B$20000,A4562,Donasi!$C$2:$C$20000))</f>
        <v/>
      </c>
      <c r="E4562">
        <f>IF(A4562="","",6-CEILING(PERCENTRANK.INC($B$3:$B$6000,B4562,4)*5+0.000001,1))</f>
        <v/>
      </c>
      <c r="F4562">
        <f>IF(A4562="","",MAX(1,CEILING(PERCENTRANK.INC($C$3:$C$6000,C4562,4)*5+0.000001,1)))</f>
        <v/>
      </c>
      <c r="G4562">
        <f>IF(A4562="","",MAX(1,CEILING(PERCENTRANK.INC($D$3:$D$6000,D4562,4)*5+0.000001,1)))</f>
        <v/>
      </c>
      <c r="H4562">
        <f>IF(A4562="","",E4562&amp;F4562&amp;G4562)</f>
        <v/>
      </c>
      <c r="I4562">
        <f>IF(A4562="","",IF(AND(E4562&gt;=4,F4562&gt;=4,G4562&gt;=4),"Juara",IF(AND(F4562&gt;=4,E4562&gt;=3),"Setia",IF(AND(E4562=5,F4562&lt;=2,G4562&gt;=3),"Berpotensi",IF(AND(E4562&lt;=3,E4562&gt;=2,F4562&gt;=3),"Rawan",IF(AND(E4562&lt;=2,F4562&lt;=2),"Tidur","Umum"))))))</f>
        <v/>
      </c>
    </row>
    <row r="4563">
      <c r="B4563">
        <f>IF(A4563="","",$B$1-MAXIFS(Donasi!$A$2:$A$20000,Donasi!$B$2:$B$20000,A4563))</f>
        <v/>
      </c>
      <c r="C4563">
        <f>IF(A4563="","",COUNTIF(Donasi!$B$2:$B$20000,A4563))</f>
        <v/>
      </c>
      <c r="D4563">
        <f>IF(A4563="","",SUMIF(Donasi!$B$2:$B$20000,A4563,Donasi!$C$2:$C$20000))</f>
        <v/>
      </c>
      <c r="E4563">
        <f>IF(A4563="","",6-CEILING(PERCENTRANK.INC($B$3:$B$6000,B4563,4)*5+0.000001,1))</f>
        <v/>
      </c>
      <c r="F4563">
        <f>IF(A4563="","",MAX(1,CEILING(PERCENTRANK.INC($C$3:$C$6000,C4563,4)*5+0.000001,1)))</f>
        <v/>
      </c>
      <c r="G4563">
        <f>IF(A4563="","",MAX(1,CEILING(PERCENTRANK.INC($D$3:$D$6000,D4563,4)*5+0.000001,1)))</f>
        <v/>
      </c>
      <c r="H4563">
        <f>IF(A4563="","",E4563&amp;F4563&amp;G4563)</f>
        <v/>
      </c>
      <c r="I4563">
        <f>IF(A4563="","",IF(AND(E4563&gt;=4,F4563&gt;=4,G4563&gt;=4),"Juara",IF(AND(F4563&gt;=4,E4563&gt;=3),"Setia",IF(AND(E4563=5,F4563&lt;=2,G4563&gt;=3),"Berpotensi",IF(AND(E4563&lt;=3,E4563&gt;=2,F4563&gt;=3),"Rawan",IF(AND(E4563&lt;=2,F4563&lt;=2),"Tidur","Umum"))))))</f>
        <v/>
      </c>
    </row>
    <row r="4564">
      <c r="B4564">
        <f>IF(A4564="","",$B$1-MAXIFS(Donasi!$A$2:$A$20000,Donasi!$B$2:$B$20000,A4564))</f>
        <v/>
      </c>
      <c r="C4564">
        <f>IF(A4564="","",COUNTIF(Donasi!$B$2:$B$20000,A4564))</f>
        <v/>
      </c>
      <c r="D4564">
        <f>IF(A4564="","",SUMIF(Donasi!$B$2:$B$20000,A4564,Donasi!$C$2:$C$20000))</f>
        <v/>
      </c>
      <c r="E4564">
        <f>IF(A4564="","",6-CEILING(PERCENTRANK.INC($B$3:$B$6000,B4564,4)*5+0.000001,1))</f>
        <v/>
      </c>
      <c r="F4564">
        <f>IF(A4564="","",MAX(1,CEILING(PERCENTRANK.INC($C$3:$C$6000,C4564,4)*5+0.000001,1)))</f>
        <v/>
      </c>
      <c r="G4564">
        <f>IF(A4564="","",MAX(1,CEILING(PERCENTRANK.INC($D$3:$D$6000,D4564,4)*5+0.000001,1)))</f>
        <v/>
      </c>
      <c r="H4564">
        <f>IF(A4564="","",E4564&amp;F4564&amp;G4564)</f>
        <v/>
      </c>
      <c r="I4564">
        <f>IF(A4564="","",IF(AND(E4564&gt;=4,F4564&gt;=4,G4564&gt;=4),"Juara",IF(AND(F4564&gt;=4,E4564&gt;=3),"Setia",IF(AND(E4564=5,F4564&lt;=2,G4564&gt;=3),"Berpotensi",IF(AND(E4564&lt;=3,E4564&gt;=2,F4564&gt;=3),"Rawan",IF(AND(E4564&lt;=2,F4564&lt;=2),"Tidur","Umum"))))))</f>
        <v/>
      </c>
    </row>
    <row r="4565">
      <c r="B4565">
        <f>IF(A4565="","",$B$1-MAXIFS(Donasi!$A$2:$A$20000,Donasi!$B$2:$B$20000,A4565))</f>
        <v/>
      </c>
      <c r="C4565">
        <f>IF(A4565="","",COUNTIF(Donasi!$B$2:$B$20000,A4565))</f>
        <v/>
      </c>
      <c r="D4565">
        <f>IF(A4565="","",SUMIF(Donasi!$B$2:$B$20000,A4565,Donasi!$C$2:$C$20000))</f>
        <v/>
      </c>
      <c r="E4565">
        <f>IF(A4565="","",6-CEILING(PERCENTRANK.INC($B$3:$B$6000,B4565,4)*5+0.000001,1))</f>
        <v/>
      </c>
      <c r="F4565">
        <f>IF(A4565="","",MAX(1,CEILING(PERCENTRANK.INC($C$3:$C$6000,C4565,4)*5+0.000001,1)))</f>
        <v/>
      </c>
      <c r="G4565">
        <f>IF(A4565="","",MAX(1,CEILING(PERCENTRANK.INC($D$3:$D$6000,D4565,4)*5+0.000001,1)))</f>
        <v/>
      </c>
      <c r="H4565">
        <f>IF(A4565="","",E4565&amp;F4565&amp;G4565)</f>
        <v/>
      </c>
      <c r="I4565">
        <f>IF(A4565="","",IF(AND(E4565&gt;=4,F4565&gt;=4,G4565&gt;=4),"Juara",IF(AND(F4565&gt;=4,E4565&gt;=3),"Setia",IF(AND(E4565=5,F4565&lt;=2,G4565&gt;=3),"Berpotensi",IF(AND(E4565&lt;=3,E4565&gt;=2,F4565&gt;=3),"Rawan",IF(AND(E4565&lt;=2,F4565&lt;=2),"Tidur","Umum"))))))</f>
        <v/>
      </c>
    </row>
    <row r="4566">
      <c r="B4566">
        <f>IF(A4566="","",$B$1-MAXIFS(Donasi!$A$2:$A$20000,Donasi!$B$2:$B$20000,A4566))</f>
        <v/>
      </c>
      <c r="C4566">
        <f>IF(A4566="","",COUNTIF(Donasi!$B$2:$B$20000,A4566))</f>
        <v/>
      </c>
      <c r="D4566">
        <f>IF(A4566="","",SUMIF(Donasi!$B$2:$B$20000,A4566,Donasi!$C$2:$C$20000))</f>
        <v/>
      </c>
      <c r="E4566">
        <f>IF(A4566="","",6-CEILING(PERCENTRANK.INC($B$3:$B$6000,B4566,4)*5+0.000001,1))</f>
        <v/>
      </c>
      <c r="F4566">
        <f>IF(A4566="","",MAX(1,CEILING(PERCENTRANK.INC($C$3:$C$6000,C4566,4)*5+0.000001,1)))</f>
        <v/>
      </c>
      <c r="G4566">
        <f>IF(A4566="","",MAX(1,CEILING(PERCENTRANK.INC($D$3:$D$6000,D4566,4)*5+0.000001,1)))</f>
        <v/>
      </c>
      <c r="H4566">
        <f>IF(A4566="","",E4566&amp;F4566&amp;G4566)</f>
        <v/>
      </c>
      <c r="I4566">
        <f>IF(A4566="","",IF(AND(E4566&gt;=4,F4566&gt;=4,G4566&gt;=4),"Juara",IF(AND(F4566&gt;=4,E4566&gt;=3),"Setia",IF(AND(E4566=5,F4566&lt;=2,G4566&gt;=3),"Berpotensi",IF(AND(E4566&lt;=3,E4566&gt;=2,F4566&gt;=3),"Rawan",IF(AND(E4566&lt;=2,F4566&lt;=2),"Tidur","Umum"))))))</f>
        <v/>
      </c>
    </row>
    <row r="4567">
      <c r="B4567">
        <f>IF(A4567="","",$B$1-MAXIFS(Donasi!$A$2:$A$20000,Donasi!$B$2:$B$20000,A4567))</f>
        <v/>
      </c>
      <c r="C4567">
        <f>IF(A4567="","",COUNTIF(Donasi!$B$2:$B$20000,A4567))</f>
        <v/>
      </c>
      <c r="D4567">
        <f>IF(A4567="","",SUMIF(Donasi!$B$2:$B$20000,A4567,Donasi!$C$2:$C$20000))</f>
        <v/>
      </c>
      <c r="E4567">
        <f>IF(A4567="","",6-CEILING(PERCENTRANK.INC($B$3:$B$6000,B4567,4)*5+0.000001,1))</f>
        <v/>
      </c>
      <c r="F4567">
        <f>IF(A4567="","",MAX(1,CEILING(PERCENTRANK.INC($C$3:$C$6000,C4567,4)*5+0.000001,1)))</f>
        <v/>
      </c>
      <c r="G4567">
        <f>IF(A4567="","",MAX(1,CEILING(PERCENTRANK.INC($D$3:$D$6000,D4567,4)*5+0.000001,1)))</f>
        <v/>
      </c>
      <c r="H4567">
        <f>IF(A4567="","",E4567&amp;F4567&amp;G4567)</f>
        <v/>
      </c>
      <c r="I4567">
        <f>IF(A4567="","",IF(AND(E4567&gt;=4,F4567&gt;=4,G4567&gt;=4),"Juara",IF(AND(F4567&gt;=4,E4567&gt;=3),"Setia",IF(AND(E4567=5,F4567&lt;=2,G4567&gt;=3),"Berpotensi",IF(AND(E4567&lt;=3,E4567&gt;=2,F4567&gt;=3),"Rawan",IF(AND(E4567&lt;=2,F4567&lt;=2),"Tidur","Umum"))))))</f>
        <v/>
      </c>
    </row>
    <row r="4568">
      <c r="B4568">
        <f>IF(A4568="","",$B$1-MAXIFS(Donasi!$A$2:$A$20000,Donasi!$B$2:$B$20000,A4568))</f>
        <v/>
      </c>
      <c r="C4568">
        <f>IF(A4568="","",COUNTIF(Donasi!$B$2:$B$20000,A4568))</f>
        <v/>
      </c>
      <c r="D4568">
        <f>IF(A4568="","",SUMIF(Donasi!$B$2:$B$20000,A4568,Donasi!$C$2:$C$20000))</f>
        <v/>
      </c>
      <c r="E4568">
        <f>IF(A4568="","",6-CEILING(PERCENTRANK.INC($B$3:$B$6000,B4568,4)*5+0.000001,1))</f>
        <v/>
      </c>
      <c r="F4568">
        <f>IF(A4568="","",MAX(1,CEILING(PERCENTRANK.INC($C$3:$C$6000,C4568,4)*5+0.000001,1)))</f>
        <v/>
      </c>
      <c r="G4568">
        <f>IF(A4568="","",MAX(1,CEILING(PERCENTRANK.INC($D$3:$D$6000,D4568,4)*5+0.000001,1)))</f>
        <v/>
      </c>
      <c r="H4568">
        <f>IF(A4568="","",E4568&amp;F4568&amp;G4568)</f>
        <v/>
      </c>
      <c r="I4568">
        <f>IF(A4568="","",IF(AND(E4568&gt;=4,F4568&gt;=4,G4568&gt;=4),"Juara",IF(AND(F4568&gt;=4,E4568&gt;=3),"Setia",IF(AND(E4568=5,F4568&lt;=2,G4568&gt;=3),"Berpotensi",IF(AND(E4568&lt;=3,E4568&gt;=2,F4568&gt;=3),"Rawan",IF(AND(E4568&lt;=2,F4568&lt;=2),"Tidur","Umum"))))))</f>
        <v/>
      </c>
    </row>
    <row r="4569">
      <c r="B4569">
        <f>IF(A4569="","",$B$1-MAXIFS(Donasi!$A$2:$A$20000,Donasi!$B$2:$B$20000,A4569))</f>
        <v/>
      </c>
      <c r="C4569">
        <f>IF(A4569="","",COUNTIF(Donasi!$B$2:$B$20000,A4569))</f>
        <v/>
      </c>
      <c r="D4569">
        <f>IF(A4569="","",SUMIF(Donasi!$B$2:$B$20000,A4569,Donasi!$C$2:$C$20000))</f>
        <v/>
      </c>
      <c r="E4569">
        <f>IF(A4569="","",6-CEILING(PERCENTRANK.INC($B$3:$B$6000,B4569,4)*5+0.000001,1))</f>
        <v/>
      </c>
      <c r="F4569">
        <f>IF(A4569="","",MAX(1,CEILING(PERCENTRANK.INC($C$3:$C$6000,C4569,4)*5+0.000001,1)))</f>
        <v/>
      </c>
      <c r="G4569">
        <f>IF(A4569="","",MAX(1,CEILING(PERCENTRANK.INC($D$3:$D$6000,D4569,4)*5+0.000001,1)))</f>
        <v/>
      </c>
      <c r="H4569">
        <f>IF(A4569="","",E4569&amp;F4569&amp;G4569)</f>
        <v/>
      </c>
      <c r="I4569">
        <f>IF(A4569="","",IF(AND(E4569&gt;=4,F4569&gt;=4,G4569&gt;=4),"Juara",IF(AND(F4569&gt;=4,E4569&gt;=3),"Setia",IF(AND(E4569=5,F4569&lt;=2,G4569&gt;=3),"Berpotensi",IF(AND(E4569&lt;=3,E4569&gt;=2,F4569&gt;=3),"Rawan",IF(AND(E4569&lt;=2,F4569&lt;=2),"Tidur","Umum"))))))</f>
        <v/>
      </c>
    </row>
    <row r="4570">
      <c r="B4570">
        <f>IF(A4570="","",$B$1-MAXIFS(Donasi!$A$2:$A$20000,Donasi!$B$2:$B$20000,A4570))</f>
        <v/>
      </c>
      <c r="C4570">
        <f>IF(A4570="","",COUNTIF(Donasi!$B$2:$B$20000,A4570))</f>
        <v/>
      </c>
      <c r="D4570">
        <f>IF(A4570="","",SUMIF(Donasi!$B$2:$B$20000,A4570,Donasi!$C$2:$C$20000))</f>
        <v/>
      </c>
      <c r="E4570">
        <f>IF(A4570="","",6-CEILING(PERCENTRANK.INC($B$3:$B$6000,B4570,4)*5+0.000001,1))</f>
        <v/>
      </c>
      <c r="F4570">
        <f>IF(A4570="","",MAX(1,CEILING(PERCENTRANK.INC($C$3:$C$6000,C4570,4)*5+0.000001,1)))</f>
        <v/>
      </c>
      <c r="G4570">
        <f>IF(A4570="","",MAX(1,CEILING(PERCENTRANK.INC($D$3:$D$6000,D4570,4)*5+0.000001,1)))</f>
        <v/>
      </c>
      <c r="H4570">
        <f>IF(A4570="","",E4570&amp;F4570&amp;G4570)</f>
        <v/>
      </c>
      <c r="I4570">
        <f>IF(A4570="","",IF(AND(E4570&gt;=4,F4570&gt;=4,G4570&gt;=4),"Juara",IF(AND(F4570&gt;=4,E4570&gt;=3),"Setia",IF(AND(E4570=5,F4570&lt;=2,G4570&gt;=3),"Berpotensi",IF(AND(E4570&lt;=3,E4570&gt;=2,F4570&gt;=3),"Rawan",IF(AND(E4570&lt;=2,F4570&lt;=2),"Tidur","Umum"))))))</f>
        <v/>
      </c>
    </row>
    <row r="4571">
      <c r="B4571">
        <f>IF(A4571="","",$B$1-MAXIFS(Donasi!$A$2:$A$20000,Donasi!$B$2:$B$20000,A4571))</f>
        <v/>
      </c>
      <c r="C4571">
        <f>IF(A4571="","",COUNTIF(Donasi!$B$2:$B$20000,A4571))</f>
        <v/>
      </c>
      <c r="D4571">
        <f>IF(A4571="","",SUMIF(Donasi!$B$2:$B$20000,A4571,Donasi!$C$2:$C$20000))</f>
        <v/>
      </c>
      <c r="E4571">
        <f>IF(A4571="","",6-CEILING(PERCENTRANK.INC($B$3:$B$6000,B4571,4)*5+0.000001,1))</f>
        <v/>
      </c>
      <c r="F4571">
        <f>IF(A4571="","",MAX(1,CEILING(PERCENTRANK.INC($C$3:$C$6000,C4571,4)*5+0.000001,1)))</f>
        <v/>
      </c>
      <c r="G4571">
        <f>IF(A4571="","",MAX(1,CEILING(PERCENTRANK.INC($D$3:$D$6000,D4571,4)*5+0.000001,1)))</f>
        <v/>
      </c>
      <c r="H4571">
        <f>IF(A4571="","",E4571&amp;F4571&amp;G4571)</f>
        <v/>
      </c>
      <c r="I4571">
        <f>IF(A4571="","",IF(AND(E4571&gt;=4,F4571&gt;=4,G4571&gt;=4),"Juara",IF(AND(F4571&gt;=4,E4571&gt;=3),"Setia",IF(AND(E4571=5,F4571&lt;=2,G4571&gt;=3),"Berpotensi",IF(AND(E4571&lt;=3,E4571&gt;=2,F4571&gt;=3),"Rawan",IF(AND(E4571&lt;=2,F4571&lt;=2),"Tidur","Umum"))))))</f>
        <v/>
      </c>
    </row>
    <row r="4572">
      <c r="B4572">
        <f>IF(A4572="","",$B$1-MAXIFS(Donasi!$A$2:$A$20000,Donasi!$B$2:$B$20000,A4572))</f>
        <v/>
      </c>
      <c r="C4572">
        <f>IF(A4572="","",COUNTIF(Donasi!$B$2:$B$20000,A4572))</f>
        <v/>
      </c>
      <c r="D4572">
        <f>IF(A4572="","",SUMIF(Donasi!$B$2:$B$20000,A4572,Donasi!$C$2:$C$20000))</f>
        <v/>
      </c>
      <c r="E4572">
        <f>IF(A4572="","",6-CEILING(PERCENTRANK.INC($B$3:$B$6000,B4572,4)*5+0.000001,1))</f>
        <v/>
      </c>
      <c r="F4572">
        <f>IF(A4572="","",MAX(1,CEILING(PERCENTRANK.INC($C$3:$C$6000,C4572,4)*5+0.000001,1)))</f>
        <v/>
      </c>
      <c r="G4572">
        <f>IF(A4572="","",MAX(1,CEILING(PERCENTRANK.INC($D$3:$D$6000,D4572,4)*5+0.000001,1)))</f>
        <v/>
      </c>
      <c r="H4572">
        <f>IF(A4572="","",E4572&amp;F4572&amp;G4572)</f>
        <v/>
      </c>
      <c r="I4572">
        <f>IF(A4572="","",IF(AND(E4572&gt;=4,F4572&gt;=4,G4572&gt;=4),"Juara",IF(AND(F4572&gt;=4,E4572&gt;=3),"Setia",IF(AND(E4572=5,F4572&lt;=2,G4572&gt;=3),"Berpotensi",IF(AND(E4572&lt;=3,E4572&gt;=2,F4572&gt;=3),"Rawan",IF(AND(E4572&lt;=2,F4572&lt;=2),"Tidur","Umum"))))))</f>
        <v/>
      </c>
    </row>
    <row r="4573">
      <c r="B4573">
        <f>IF(A4573="","",$B$1-MAXIFS(Donasi!$A$2:$A$20000,Donasi!$B$2:$B$20000,A4573))</f>
        <v/>
      </c>
      <c r="C4573">
        <f>IF(A4573="","",COUNTIF(Donasi!$B$2:$B$20000,A4573))</f>
        <v/>
      </c>
      <c r="D4573">
        <f>IF(A4573="","",SUMIF(Donasi!$B$2:$B$20000,A4573,Donasi!$C$2:$C$20000))</f>
        <v/>
      </c>
      <c r="E4573">
        <f>IF(A4573="","",6-CEILING(PERCENTRANK.INC($B$3:$B$6000,B4573,4)*5+0.000001,1))</f>
        <v/>
      </c>
      <c r="F4573">
        <f>IF(A4573="","",MAX(1,CEILING(PERCENTRANK.INC($C$3:$C$6000,C4573,4)*5+0.000001,1)))</f>
        <v/>
      </c>
      <c r="G4573">
        <f>IF(A4573="","",MAX(1,CEILING(PERCENTRANK.INC($D$3:$D$6000,D4573,4)*5+0.000001,1)))</f>
        <v/>
      </c>
      <c r="H4573">
        <f>IF(A4573="","",E4573&amp;F4573&amp;G4573)</f>
        <v/>
      </c>
      <c r="I4573">
        <f>IF(A4573="","",IF(AND(E4573&gt;=4,F4573&gt;=4,G4573&gt;=4),"Juara",IF(AND(F4573&gt;=4,E4573&gt;=3),"Setia",IF(AND(E4573=5,F4573&lt;=2,G4573&gt;=3),"Berpotensi",IF(AND(E4573&lt;=3,E4573&gt;=2,F4573&gt;=3),"Rawan",IF(AND(E4573&lt;=2,F4573&lt;=2),"Tidur","Umum"))))))</f>
        <v/>
      </c>
    </row>
    <row r="4574">
      <c r="B4574">
        <f>IF(A4574="","",$B$1-MAXIFS(Donasi!$A$2:$A$20000,Donasi!$B$2:$B$20000,A4574))</f>
        <v/>
      </c>
      <c r="C4574">
        <f>IF(A4574="","",COUNTIF(Donasi!$B$2:$B$20000,A4574))</f>
        <v/>
      </c>
      <c r="D4574">
        <f>IF(A4574="","",SUMIF(Donasi!$B$2:$B$20000,A4574,Donasi!$C$2:$C$20000))</f>
        <v/>
      </c>
      <c r="E4574">
        <f>IF(A4574="","",6-CEILING(PERCENTRANK.INC($B$3:$B$6000,B4574,4)*5+0.000001,1))</f>
        <v/>
      </c>
      <c r="F4574">
        <f>IF(A4574="","",MAX(1,CEILING(PERCENTRANK.INC($C$3:$C$6000,C4574,4)*5+0.000001,1)))</f>
        <v/>
      </c>
      <c r="G4574">
        <f>IF(A4574="","",MAX(1,CEILING(PERCENTRANK.INC($D$3:$D$6000,D4574,4)*5+0.000001,1)))</f>
        <v/>
      </c>
      <c r="H4574">
        <f>IF(A4574="","",E4574&amp;F4574&amp;G4574)</f>
        <v/>
      </c>
      <c r="I4574">
        <f>IF(A4574="","",IF(AND(E4574&gt;=4,F4574&gt;=4,G4574&gt;=4),"Juara",IF(AND(F4574&gt;=4,E4574&gt;=3),"Setia",IF(AND(E4574=5,F4574&lt;=2,G4574&gt;=3),"Berpotensi",IF(AND(E4574&lt;=3,E4574&gt;=2,F4574&gt;=3),"Rawan",IF(AND(E4574&lt;=2,F4574&lt;=2),"Tidur","Umum"))))))</f>
        <v/>
      </c>
    </row>
    <row r="4575">
      <c r="B4575">
        <f>IF(A4575="","",$B$1-MAXIFS(Donasi!$A$2:$A$20000,Donasi!$B$2:$B$20000,A4575))</f>
        <v/>
      </c>
      <c r="C4575">
        <f>IF(A4575="","",COUNTIF(Donasi!$B$2:$B$20000,A4575))</f>
        <v/>
      </c>
      <c r="D4575">
        <f>IF(A4575="","",SUMIF(Donasi!$B$2:$B$20000,A4575,Donasi!$C$2:$C$20000))</f>
        <v/>
      </c>
      <c r="E4575">
        <f>IF(A4575="","",6-CEILING(PERCENTRANK.INC($B$3:$B$6000,B4575,4)*5+0.000001,1))</f>
        <v/>
      </c>
      <c r="F4575">
        <f>IF(A4575="","",MAX(1,CEILING(PERCENTRANK.INC($C$3:$C$6000,C4575,4)*5+0.000001,1)))</f>
        <v/>
      </c>
      <c r="G4575">
        <f>IF(A4575="","",MAX(1,CEILING(PERCENTRANK.INC($D$3:$D$6000,D4575,4)*5+0.000001,1)))</f>
        <v/>
      </c>
      <c r="H4575">
        <f>IF(A4575="","",E4575&amp;F4575&amp;G4575)</f>
        <v/>
      </c>
      <c r="I4575">
        <f>IF(A4575="","",IF(AND(E4575&gt;=4,F4575&gt;=4,G4575&gt;=4),"Juara",IF(AND(F4575&gt;=4,E4575&gt;=3),"Setia",IF(AND(E4575=5,F4575&lt;=2,G4575&gt;=3),"Berpotensi",IF(AND(E4575&lt;=3,E4575&gt;=2,F4575&gt;=3),"Rawan",IF(AND(E4575&lt;=2,F4575&lt;=2),"Tidur","Umum"))))))</f>
        <v/>
      </c>
    </row>
    <row r="4576">
      <c r="B4576">
        <f>IF(A4576="","",$B$1-MAXIFS(Donasi!$A$2:$A$20000,Donasi!$B$2:$B$20000,A4576))</f>
        <v/>
      </c>
      <c r="C4576">
        <f>IF(A4576="","",COUNTIF(Donasi!$B$2:$B$20000,A4576))</f>
        <v/>
      </c>
      <c r="D4576">
        <f>IF(A4576="","",SUMIF(Donasi!$B$2:$B$20000,A4576,Donasi!$C$2:$C$20000))</f>
        <v/>
      </c>
      <c r="E4576">
        <f>IF(A4576="","",6-CEILING(PERCENTRANK.INC($B$3:$B$6000,B4576,4)*5+0.000001,1))</f>
        <v/>
      </c>
      <c r="F4576">
        <f>IF(A4576="","",MAX(1,CEILING(PERCENTRANK.INC($C$3:$C$6000,C4576,4)*5+0.000001,1)))</f>
        <v/>
      </c>
      <c r="G4576">
        <f>IF(A4576="","",MAX(1,CEILING(PERCENTRANK.INC($D$3:$D$6000,D4576,4)*5+0.000001,1)))</f>
        <v/>
      </c>
      <c r="H4576">
        <f>IF(A4576="","",E4576&amp;F4576&amp;G4576)</f>
        <v/>
      </c>
      <c r="I4576">
        <f>IF(A4576="","",IF(AND(E4576&gt;=4,F4576&gt;=4,G4576&gt;=4),"Juara",IF(AND(F4576&gt;=4,E4576&gt;=3),"Setia",IF(AND(E4576=5,F4576&lt;=2,G4576&gt;=3),"Berpotensi",IF(AND(E4576&lt;=3,E4576&gt;=2,F4576&gt;=3),"Rawan",IF(AND(E4576&lt;=2,F4576&lt;=2),"Tidur","Umum"))))))</f>
        <v/>
      </c>
    </row>
    <row r="4577">
      <c r="B4577">
        <f>IF(A4577="","",$B$1-MAXIFS(Donasi!$A$2:$A$20000,Donasi!$B$2:$B$20000,A4577))</f>
        <v/>
      </c>
      <c r="C4577">
        <f>IF(A4577="","",COUNTIF(Donasi!$B$2:$B$20000,A4577))</f>
        <v/>
      </c>
      <c r="D4577">
        <f>IF(A4577="","",SUMIF(Donasi!$B$2:$B$20000,A4577,Donasi!$C$2:$C$20000))</f>
        <v/>
      </c>
      <c r="E4577">
        <f>IF(A4577="","",6-CEILING(PERCENTRANK.INC($B$3:$B$6000,B4577,4)*5+0.000001,1))</f>
        <v/>
      </c>
      <c r="F4577">
        <f>IF(A4577="","",MAX(1,CEILING(PERCENTRANK.INC($C$3:$C$6000,C4577,4)*5+0.000001,1)))</f>
        <v/>
      </c>
      <c r="G4577">
        <f>IF(A4577="","",MAX(1,CEILING(PERCENTRANK.INC($D$3:$D$6000,D4577,4)*5+0.000001,1)))</f>
        <v/>
      </c>
      <c r="H4577">
        <f>IF(A4577="","",E4577&amp;F4577&amp;G4577)</f>
        <v/>
      </c>
      <c r="I4577">
        <f>IF(A4577="","",IF(AND(E4577&gt;=4,F4577&gt;=4,G4577&gt;=4),"Juara",IF(AND(F4577&gt;=4,E4577&gt;=3),"Setia",IF(AND(E4577=5,F4577&lt;=2,G4577&gt;=3),"Berpotensi",IF(AND(E4577&lt;=3,E4577&gt;=2,F4577&gt;=3),"Rawan",IF(AND(E4577&lt;=2,F4577&lt;=2),"Tidur","Umum"))))))</f>
        <v/>
      </c>
    </row>
    <row r="4578">
      <c r="B4578">
        <f>IF(A4578="","",$B$1-MAXIFS(Donasi!$A$2:$A$20000,Donasi!$B$2:$B$20000,A4578))</f>
        <v/>
      </c>
      <c r="C4578">
        <f>IF(A4578="","",COUNTIF(Donasi!$B$2:$B$20000,A4578))</f>
        <v/>
      </c>
      <c r="D4578">
        <f>IF(A4578="","",SUMIF(Donasi!$B$2:$B$20000,A4578,Donasi!$C$2:$C$20000))</f>
        <v/>
      </c>
      <c r="E4578">
        <f>IF(A4578="","",6-CEILING(PERCENTRANK.INC($B$3:$B$6000,B4578,4)*5+0.000001,1))</f>
        <v/>
      </c>
      <c r="F4578">
        <f>IF(A4578="","",MAX(1,CEILING(PERCENTRANK.INC($C$3:$C$6000,C4578,4)*5+0.000001,1)))</f>
        <v/>
      </c>
      <c r="G4578">
        <f>IF(A4578="","",MAX(1,CEILING(PERCENTRANK.INC($D$3:$D$6000,D4578,4)*5+0.000001,1)))</f>
        <v/>
      </c>
      <c r="H4578">
        <f>IF(A4578="","",E4578&amp;F4578&amp;G4578)</f>
        <v/>
      </c>
      <c r="I4578">
        <f>IF(A4578="","",IF(AND(E4578&gt;=4,F4578&gt;=4,G4578&gt;=4),"Juara",IF(AND(F4578&gt;=4,E4578&gt;=3),"Setia",IF(AND(E4578=5,F4578&lt;=2,G4578&gt;=3),"Berpotensi",IF(AND(E4578&lt;=3,E4578&gt;=2,F4578&gt;=3),"Rawan",IF(AND(E4578&lt;=2,F4578&lt;=2),"Tidur","Umum"))))))</f>
        <v/>
      </c>
    </row>
    <row r="4579">
      <c r="B4579">
        <f>IF(A4579="","",$B$1-MAXIFS(Donasi!$A$2:$A$20000,Donasi!$B$2:$B$20000,A4579))</f>
        <v/>
      </c>
      <c r="C4579">
        <f>IF(A4579="","",COUNTIF(Donasi!$B$2:$B$20000,A4579))</f>
        <v/>
      </c>
      <c r="D4579">
        <f>IF(A4579="","",SUMIF(Donasi!$B$2:$B$20000,A4579,Donasi!$C$2:$C$20000))</f>
        <v/>
      </c>
      <c r="E4579">
        <f>IF(A4579="","",6-CEILING(PERCENTRANK.INC($B$3:$B$6000,B4579,4)*5+0.000001,1))</f>
        <v/>
      </c>
      <c r="F4579">
        <f>IF(A4579="","",MAX(1,CEILING(PERCENTRANK.INC($C$3:$C$6000,C4579,4)*5+0.000001,1)))</f>
        <v/>
      </c>
      <c r="G4579">
        <f>IF(A4579="","",MAX(1,CEILING(PERCENTRANK.INC($D$3:$D$6000,D4579,4)*5+0.000001,1)))</f>
        <v/>
      </c>
      <c r="H4579">
        <f>IF(A4579="","",E4579&amp;F4579&amp;G4579)</f>
        <v/>
      </c>
      <c r="I4579">
        <f>IF(A4579="","",IF(AND(E4579&gt;=4,F4579&gt;=4,G4579&gt;=4),"Juara",IF(AND(F4579&gt;=4,E4579&gt;=3),"Setia",IF(AND(E4579=5,F4579&lt;=2,G4579&gt;=3),"Berpotensi",IF(AND(E4579&lt;=3,E4579&gt;=2,F4579&gt;=3),"Rawan",IF(AND(E4579&lt;=2,F4579&lt;=2),"Tidur","Umum"))))))</f>
        <v/>
      </c>
    </row>
    <row r="4580">
      <c r="B4580">
        <f>IF(A4580="","",$B$1-MAXIFS(Donasi!$A$2:$A$20000,Donasi!$B$2:$B$20000,A4580))</f>
        <v/>
      </c>
      <c r="C4580">
        <f>IF(A4580="","",COUNTIF(Donasi!$B$2:$B$20000,A4580))</f>
        <v/>
      </c>
      <c r="D4580">
        <f>IF(A4580="","",SUMIF(Donasi!$B$2:$B$20000,A4580,Donasi!$C$2:$C$20000))</f>
        <v/>
      </c>
      <c r="E4580">
        <f>IF(A4580="","",6-CEILING(PERCENTRANK.INC($B$3:$B$6000,B4580,4)*5+0.000001,1))</f>
        <v/>
      </c>
      <c r="F4580">
        <f>IF(A4580="","",MAX(1,CEILING(PERCENTRANK.INC($C$3:$C$6000,C4580,4)*5+0.000001,1)))</f>
        <v/>
      </c>
      <c r="G4580">
        <f>IF(A4580="","",MAX(1,CEILING(PERCENTRANK.INC($D$3:$D$6000,D4580,4)*5+0.000001,1)))</f>
        <v/>
      </c>
      <c r="H4580">
        <f>IF(A4580="","",E4580&amp;F4580&amp;G4580)</f>
        <v/>
      </c>
      <c r="I4580">
        <f>IF(A4580="","",IF(AND(E4580&gt;=4,F4580&gt;=4,G4580&gt;=4),"Juara",IF(AND(F4580&gt;=4,E4580&gt;=3),"Setia",IF(AND(E4580=5,F4580&lt;=2,G4580&gt;=3),"Berpotensi",IF(AND(E4580&lt;=3,E4580&gt;=2,F4580&gt;=3),"Rawan",IF(AND(E4580&lt;=2,F4580&lt;=2),"Tidur","Umum"))))))</f>
        <v/>
      </c>
    </row>
    <row r="4581">
      <c r="B4581">
        <f>IF(A4581="","",$B$1-MAXIFS(Donasi!$A$2:$A$20000,Donasi!$B$2:$B$20000,A4581))</f>
        <v/>
      </c>
      <c r="C4581">
        <f>IF(A4581="","",COUNTIF(Donasi!$B$2:$B$20000,A4581))</f>
        <v/>
      </c>
      <c r="D4581">
        <f>IF(A4581="","",SUMIF(Donasi!$B$2:$B$20000,A4581,Donasi!$C$2:$C$20000))</f>
        <v/>
      </c>
      <c r="E4581">
        <f>IF(A4581="","",6-CEILING(PERCENTRANK.INC($B$3:$B$6000,B4581,4)*5+0.000001,1))</f>
        <v/>
      </c>
      <c r="F4581">
        <f>IF(A4581="","",MAX(1,CEILING(PERCENTRANK.INC($C$3:$C$6000,C4581,4)*5+0.000001,1)))</f>
        <v/>
      </c>
      <c r="G4581">
        <f>IF(A4581="","",MAX(1,CEILING(PERCENTRANK.INC($D$3:$D$6000,D4581,4)*5+0.000001,1)))</f>
        <v/>
      </c>
      <c r="H4581">
        <f>IF(A4581="","",E4581&amp;F4581&amp;G4581)</f>
        <v/>
      </c>
      <c r="I4581">
        <f>IF(A4581="","",IF(AND(E4581&gt;=4,F4581&gt;=4,G4581&gt;=4),"Juara",IF(AND(F4581&gt;=4,E4581&gt;=3),"Setia",IF(AND(E4581=5,F4581&lt;=2,G4581&gt;=3),"Berpotensi",IF(AND(E4581&lt;=3,E4581&gt;=2,F4581&gt;=3),"Rawan",IF(AND(E4581&lt;=2,F4581&lt;=2),"Tidur","Umum"))))))</f>
        <v/>
      </c>
    </row>
    <row r="4582">
      <c r="B4582">
        <f>IF(A4582="","",$B$1-MAXIFS(Donasi!$A$2:$A$20000,Donasi!$B$2:$B$20000,A4582))</f>
        <v/>
      </c>
      <c r="C4582">
        <f>IF(A4582="","",COUNTIF(Donasi!$B$2:$B$20000,A4582))</f>
        <v/>
      </c>
      <c r="D4582">
        <f>IF(A4582="","",SUMIF(Donasi!$B$2:$B$20000,A4582,Donasi!$C$2:$C$20000))</f>
        <v/>
      </c>
      <c r="E4582">
        <f>IF(A4582="","",6-CEILING(PERCENTRANK.INC($B$3:$B$6000,B4582,4)*5+0.000001,1))</f>
        <v/>
      </c>
      <c r="F4582">
        <f>IF(A4582="","",MAX(1,CEILING(PERCENTRANK.INC($C$3:$C$6000,C4582,4)*5+0.000001,1)))</f>
        <v/>
      </c>
      <c r="G4582">
        <f>IF(A4582="","",MAX(1,CEILING(PERCENTRANK.INC($D$3:$D$6000,D4582,4)*5+0.000001,1)))</f>
        <v/>
      </c>
      <c r="H4582">
        <f>IF(A4582="","",E4582&amp;F4582&amp;G4582)</f>
        <v/>
      </c>
      <c r="I4582">
        <f>IF(A4582="","",IF(AND(E4582&gt;=4,F4582&gt;=4,G4582&gt;=4),"Juara",IF(AND(F4582&gt;=4,E4582&gt;=3),"Setia",IF(AND(E4582=5,F4582&lt;=2,G4582&gt;=3),"Berpotensi",IF(AND(E4582&lt;=3,E4582&gt;=2,F4582&gt;=3),"Rawan",IF(AND(E4582&lt;=2,F4582&lt;=2),"Tidur","Umum"))))))</f>
        <v/>
      </c>
    </row>
    <row r="4583">
      <c r="B4583">
        <f>IF(A4583="","",$B$1-MAXIFS(Donasi!$A$2:$A$20000,Donasi!$B$2:$B$20000,A4583))</f>
        <v/>
      </c>
      <c r="C4583">
        <f>IF(A4583="","",COUNTIF(Donasi!$B$2:$B$20000,A4583))</f>
        <v/>
      </c>
      <c r="D4583">
        <f>IF(A4583="","",SUMIF(Donasi!$B$2:$B$20000,A4583,Donasi!$C$2:$C$20000))</f>
        <v/>
      </c>
      <c r="E4583">
        <f>IF(A4583="","",6-CEILING(PERCENTRANK.INC($B$3:$B$6000,B4583,4)*5+0.000001,1))</f>
        <v/>
      </c>
      <c r="F4583">
        <f>IF(A4583="","",MAX(1,CEILING(PERCENTRANK.INC($C$3:$C$6000,C4583,4)*5+0.000001,1)))</f>
        <v/>
      </c>
      <c r="G4583">
        <f>IF(A4583="","",MAX(1,CEILING(PERCENTRANK.INC($D$3:$D$6000,D4583,4)*5+0.000001,1)))</f>
        <v/>
      </c>
      <c r="H4583">
        <f>IF(A4583="","",E4583&amp;F4583&amp;G4583)</f>
        <v/>
      </c>
      <c r="I4583">
        <f>IF(A4583="","",IF(AND(E4583&gt;=4,F4583&gt;=4,G4583&gt;=4),"Juara",IF(AND(F4583&gt;=4,E4583&gt;=3),"Setia",IF(AND(E4583=5,F4583&lt;=2,G4583&gt;=3),"Berpotensi",IF(AND(E4583&lt;=3,E4583&gt;=2,F4583&gt;=3),"Rawan",IF(AND(E4583&lt;=2,F4583&lt;=2),"Tidur","Umum"))))))</f>
        <v/>
      </c>
    </row>
    <row r="4584">
      <c r="B4584">
        <f>IF(A4584="","",$B$1-MAXIFS(Donasi!$A$2:$A$20000,Donasi!$B$2:$B$20000,A4584))</f>
        <v/>
      </c>
      <c r="C4584">
        <f>IF(A4584="","",COUNTIF(Donasi!$B$2:$B$20000,A4584))</f>
        <v/>
      </c>
      <c r="D4584">
        <f>IF(A4584="","",SUMIF(Donasi!$B$2:$B$20000,A4584,Donasi!$C$2:$C$20000))</f>
        <v/>
      </c>
      <c r="E4584">
        <f>IF(A4584="","",6-CEILING(PERCENTRANK.INC($B$3:$B$6000,B4584,4)*5+0.000001,1))</f>
        <v/>
      </c>
      <c r="F4584">
        <f>IF(A4584="","",MAX(1,CEILING(PERCENTRANK.INC($C$3:$C$6000,C4584,4)*5+0.000001,1)))</f>
        <v/>
      </c>
      <c r="G4584">
        <f>IF(A4584="","",MAX(1,CEILING(PERCENTRANK.INC($D$3:$D$6000,D4584,4)*5+0.000001,1)))</f>
        <v/>
      </c>
      <c r="H4584">
        <f>IF(A4584="","",E4584&amp;F4584&amp;G4584)</f>
        <v/>
      </c>
      <c r="I4584">
        <f>IF(A4584="","",IF(AND(E4584&gt;=4,F4584&gt;=4,G4584&gt;=4),"Juara",IF(AND(F4584&gt;=4,E4584&gt;=3),"Setia",IF(AND(E4584=5,F4584&lt;=2,G4584&gt;=3),"Berpotensi",IF(AND(E4584&lt;=3,E4584&gt;=2,F4584&gt;=3),"Rawan",IF(AND(E4584&lt;=2,F4584&lt;=2),"Tidur","Umum"))))))</f>
        <v/>
      </c>
    </row>
    <row r="4585">
      <c r="B4585">
        <f>IF(A4585="","",$B$1-MAXIFS(Donasi!$A$2:$A$20000,Donasi!$B$2:$B$20000,A4585))</f>
        <v/>
      </c>
      <c r="C4585">
        <f>IF(A4585="","",COUNTIF(Donasi!$B$2:$B$20000,A4585))</f>
        <v/>
      </c>
      <c r="D4585">
        <f>IF(A4585="","",SUMIF(Donasi!$B$2:$B$20000,A4585,Donasi!$C$2:$C$20000))</f>
        <v/>
      </c>
      <c r="E4585">
        <f>IF(A4585="","",6-CEILING(PERCENTRANK.INC($B$3:$B$6000,B4585,4)*5+0.000001,1))</f>
        <v/>
      </c>
      <c r="F4585">
        <f>IF(A4585="","",MAX(1,CEILING(PERCENTRANK.INC($C$3:$C$6000,C4585,4)*5+0.000001,1)))</f>
        <v/>
      </c>
      <c r="G4585">
        <f>IF(A4585="","",MAX(1,CEILING(PERCENTRANK.INC($D$3:$D$6000,D4585,4)*5+0.000001,1)))</f>
        <v/>
      </c>
      <c r="H4585">
        <f>IF(A4585="","",E4585&amp;F4585&amp;G4585)</f>
        <v/>
      </c>
      <c r="I4585">
        <f>IF(A4585="","",IF(AND(E4585&gt;=4,F4585&gt;=4,G4585&gt;=4),"Juara",IF(AND(F4585&gt;=4,E4585&gt;=3),"Setia",IF(AND(E4585=5,F4585&lt;=2,G4585&gt;=3),"Berpotensi",IF(AND(E4585&lt;=3,E4585&gt;=2,F4585&gt;=3),"Rawan",IF(AND(E4585&lt;=2,F4585&lt;=2),"Tidur","Umum"))))))</f>
        <v/>
      </c>
    </row>
    <row r="4586">
      <c r="B4586">
        <f>IF(A4586="","",$B$1-MAXIFS(Donasi!$A$2:$A$20000,Donasi!$B$2:$B$20000,A4586))</f>
        <v/>
      </c>
      <c r="C4586">
        <f>IF(A4586="","",COUNTIF(Donasi!$B$2:$B$20000,A4586))</f>
        <v/>
      </c>
      <c r="D4586">
        <f>IF(A4586="","",SUMIF(Donasi!$B$2:$B$20000,A4586,Donasi!$C$2:$C$20000))</f>
        <v/>
      </c>
      <c r="E4586">
        <f>IF(A4586="","",6-CEILING(PERCENTRANK.INC($B$3:$B$6000,B4586,4)*5+0.000001,1))</f>
        <v/>
      </c>
      <c r="F4586">
        <f>IF(A4586="","",MAX(1,CEILING(PERCENTRANK.INC($C$3:$C$6000,C4586,4)*5+0.000001,1)))</f>
        <v/>
      </c>
      <c r="G4586">
        <f>IF(A4586="","",MAX(1,CEILING(PERCENTRANK.INC($D$3:$D$6000,D4586,4)*5+0.000001,1)))</f>
        <v/>
      </c>
      <c r="H4586">
        <f>IF(A4586="","",E4586&amp;F4586&amp;G4586)</f>
        <v/>
      </c>
      <c r="I4586">
        <f>IF(A4586="","",IF(AND(E4586&gt;=4,F4586&gt;=4,G4586&gt;=4),"Juara",IF(AND(F4586&gt;=4,E4586&gt;=3),"Setia",IF(AND(E4586=5,F4586&lt;=2,G4586&gt;=3),"Berpotensi",IF(AND(E4586&lt;=3,E4586&gt;=2,F4586&gt;=3),"Rawan",IF(AND(E4586&lt;=2,F4586&lt;=2),"Tidur","Umum"))))))</f>
        <v/>
      </c>
    </row>
    <row r="4587">
      <c r="B4587">
        <f>IF(A4587="","",$B$1-MAXIFS(Donasi!$A$2:$A$20000,Donasi!$B$2:$B$20000,A4587))</f>
        <v/>
      </c>
      <c r="C4587">
        <f>IF(A4587="","",COUNTIF(Donasi!$B$2:$B$20000,A4587))</f>
        <v/>
      </c>
      <c r="D4587">
        <f>IF(A4587="","",SUMIF(Donasi!$B$2:$B$20000,A4587,Donasi!$C$2:$C$20000))</f>
        <v/>
      </c>
      <c r="E4587">
        <f>IF(A4587="","",6-CEILING(PERCENTRANK.INC($B$3:$B$6000,B4587,4)*5+0.000001,1))</f>
        <v/>
      </c>
      <c r="F4587">
        <f>IF(A4587="","",MAX(1,CEILING(PERCENTRANK.INC($C$3:$C$6000,C4587,4)*5+0.000001,1)))</f>
        <v/>
      </c>
      <c r="G4587">
        <f>IF(A4587="","",MAX(1,CEILING(PERCENTRANK.INC($D$3:$D$6000,D4587,4)*5+0.000001,1)))</f>
        <v/>
      </c>
      <c r="H4587">
        <f>IF(A4587="","",E4587&amp;F4587&amp;G4587)</f>
        <v/>
      </c>
      <c r="I4587">
        <f>IF(A4587="","",IF(AND(E4587&gt;=4,F4587&gt;=4,G4587&gt;=4),"Juara",IF(AND(F4587&gt;=4,E4587&gt;=3),"Setia",IF(AND(E4587=5,F4587&lt;=2,G4587&gt;=3),"Berpotensi",IF(AND(E4587&lt;=3,E4587&gt;=2,F4587&gt;=3),"Rawan",IF(AND(E4587&lt;=2,F4587&lt;=2),"Tidur","Umum"))))))</f>
        <v/>
      </c>
    </row>
    <row r="4588">
      <c r="B4588">
        <f>IF(A4588="","",$B$1-MAXIFS(Donasi!$A$2:$A$20000,Donasi!$B$2:$B$20000,A4588))</f>
        <v/>
      </c>
      <c r="C4588">
        <f>IF(A4588="","",COUNTIF(Donasi!$B$2:$B$20000,A4588))</f>
        <v/>
      </c>
      <c r="D4588">
        <f>IF(A4588="","",SUMIF(Donasi!$B$2:$B$20000,A4588,Donasi!$C$2:$C$20000))</f>
        <v/>
      </c>
      <c r="E4588">
        <f>IF(A4588="","",6-CEILING(PERCENTRANK.INC($B$3:$B$6000,B4588,4)*5+0.000001,1))</f>
        <v/>
      </c>
      <c r="F4588">
        <f>IF(A4588="","",MAX(1,CEILING(PERCENTRANK.INC($C$3:$C$6000,C4588,4)*5+0.000001,1)))</f>
        <v/>
      </c>
      <c r="G4588">
        <f>IF(A4588="","",MAX(1,CEILING(PERCENTRANK.INC($D$3:$D$6000,D4588,4)*5+0.000001,1)))</f>
        <v/>
      </c>
      <c r="H4588">
        <f>IF(A4588="","",E4588&amp;F4588&amp;G4588)</f>
        <v/>
      </c>
      <c r="I4588">
        <f>IF(A4588="","",IF(AND(E4588&gt;=4,F4588&gt;=4,G4588&gt;=4),"Juara",IF(AND(F4588&gt;=4,E4588&gt;=3),"Setia",IF(AND(E4588=5,F4588&lt;=2,G4588&gt;=3),"Berpotensi",IF(AND(E4588&lt;=3,E4588&gt;=2,F4588&gt;=3),"Rawan",IF(AND(E4588&lt;=2,F4588&lt;=2),"Tidur","Umum"))))))</f>
        <v/>
      </c>
    </row>
    <row r="4589">
      <c r="B4589">
        <f>IF(A4589="","",$B$1-MAXIFS(Donasi!$A$2:$A$20000,Donasi!$B$2:$B$20000,A4589))</f>
        <v/>
      </c>
      <c r="C4589">
        <f>IF(A4589="","",COUNTIF(Donasi!$B$2:$B$20000,A4589))</f>
        <v/>
      </c>
      <c r="D4589">
        <f>IF(A4589="","",SUMIF(Donasi!$B$2:$B$20000,A4589,Donasi!$C$2:$C$20000))</f>
        <v/>
      </c>
      <c r="E4589">
        <f>IF(A4589="","",6-CEILING(PERCENTRANK.INC($B$3:$B$6000,B4589,4)*5+0.000001,1))</f>
        <v/>
      </c>
      <c r="F4589">
        <f>IF(A4589="","",MAX(1,CEILING(PERCENTRANK.INC($C$3:$C$6000,C4589,4)*5+0.000001,1)))</f>
        <v/>
      </c>
      <c r="G4589">
        <f>IF(A4589="","",MAX(1,CEILING(PERCENTRANK.INC($D$3:$D$6000,D4589,4)*5+0.000001,1)))</f>
        <v/>
      </c>
      <c r="H4589">
        <f>IF(A4589="","",E4589&amp;F4589&amp;G4589)</f>
        <v/>
      </c>
      <c r="I4589">
        <f>IF(A4589="","",IF(AND(E4589&gt;=4,F4589&gt;=4,G4589&gt;=4),"Juara",IF(AND(F4589&gt;=4,E4589&gt;=3),"Setia",IF(AND(E4589=5,F4589&lt;=2,G4589&gt;=3),"Berpotensi",IF(AND(E4589&lt;=3,E4589&gt;=2,F4589&gt;=3),"Rawan",IF(AND(E4589&lt;=2,F4589&lt;=2),"Tidur","Umum"))))))</f>
        <v/>
      </c>
    </row>
    <row r="4590">
      <c r="B4590">
        <f>IF(A4590="","",$B$1-MAXIFS(Donasi!$A$2:$A$20000,Donasi!$B$2:$B$20000,A4590))</f>
        <v/>
      </c>
      <c r="C4590">
        <f>IF(A4590="","",COUNTIF(Donasi!$B$2:$B$20000,A4590))</f>
        <v/>
      </c>
      <c r="D4590">
        <f>IF(A4590="","",SUMIF(Donasi!$B$2:$B$20000,A4590,Donasi!$C$2:$C$20000))</f>
        <v/>
      </c>
      <c r="E4590">
        <f>IF(A4590="","",6-CEILING(PERCENTRANK.INC($B$3:$B$6000,B4590,4)*5+0.000001,1))</f>
        <v/>
      </c>
      <c r="F4590">
        <f>IF(A4590="","",MAX(1,CEILING(PERCENTRANK.INC($C$3:$C$6000,C4590,4)*5+0.000001,1)))</f>
        <v/>
      </c>
      <c r="G4590">
        <f>IF(A4590="","",MAX(1,CEILING(PERCENTRANK.INC($D$3:$D$6000,D4590,4)*5+0.000001,1)))</f>
        <v/>
      </c>
      <c r="H4590">
        <f>IF(A4590="","",E4590&amp;F4590&amp;G4590)</f>
        <v/>
      </c>
      <c r="I4590">
        <f>IF(A4590="","",IF(AND(E4590&gt;=4,F4590&gt;=4,G4590&gt;=4),"Juara",IF(AND(F4590&gt;=4,E4590&gt;=3),"Setia",IF(AND(E4590=5,F4590&lt;=2,G4590&gt;=3),"Berpotensi",IF(AND(E4590&lt;=3,E4590&gt;=2,F4590&gt;=3),"Rawan",IF(AND(E4590&lt;=2,F4590&lt;=2),"Tidur","Umum"))))))</f>
        <v/>
      </c>
    </row>
    <row r="4591">
      <c r="B4591">
        <f>IF(A4591="","",$B$1-MAXIFS(Donasi!$A$2:$A$20000,Donasi!$B$2:$B$20000,A4591))</f>
        <v/>
      </c>
      <c r="C4591">
        <f>IF(A4591="","",COUNTIF(Donasi!$B$2:$B$20000,A4591))</f>
        <v/>
      </c>
      <c r="D4591">
        <f>IF(A4591="","",SUMIF(Donasi!$B$2:$B$20000,A4591,Donasi!$C$2:$C$20000))</f>
        <v/>
      </c>
      <c r="E4591">
        <f>IF(A4591="","",6-CEILING(PERCENTRANK.INC($B$3:$B$6000,B4591,4)*5+0.000001,1))</f>
        <v/>
      </c>
      <c r="F4591">
        <f>IF(A4591="","",MAX(1,CEILING(PERCENTRANK.INC($C$3:$C$6000,C4591,4)*5+0.000001,1)))</f>
        <v/>
      </c>
      <c r="G4591">
        <f>IF(A4591="","",MAX(1,CEILING(PERCENTRANK.INC($D$3:$D$6000,D4591,4)*5+0.000001,1)))</f>
        <v/>
      </c>
      <c r="H4591">
        <f>IF(A4591="","",E4591&amp;F4591&amp;G4591)</f>
        <v/>
      </c>
      <c r="I4591">
        <f>IF(A4591="","",IF(AND(E4591&gt;=4,F4591&gt;=4,G4591&gt;=4),"Juara",IF(AND(F4591&gt;=4,E4591&gt;=3),"Setia",IF(AND(E4591=5,F4591&lt;=2,G4591&gt;=3),"Berpotensi",IF(AND(E4591&lt;=3,E4591&gt;=2,F4591&gt;=3),"Rawan",IF(AND(E4591&lt;=2,F4591&lt;=2),"Tidur","Umum"))))))</f>
        <v/>
      </c>
    </row>
    <row r="4592">
      <c r="B4592">
        <f>IF(A4592="","",$B$1-MAXIFS(Donasi!$A$2:$A$20000,Donasi!$B$2:$B$20000,A4592))</f>
        <v/>
      </c>
      <c r="C4592">
        <f>IF(A4592="","",COUNTIF(Donasi!$B$2:$B$20000,A4592))</f>
        <v/>
      </c>
      <c r="D4592">
        <f>IF(A4592="","",SUMIF(Donasi!$B$2:$B$20000,A4592,Donasi!$C$2:$C$20000))</f>
        <v/>
      </c>
      <c r="E4592">
        <f>IF(A4592="","",6-CEILING(PERCENTRANK.INC($B$3:$B$6000,B4592,4)*5+0.000001,1))</f>
        <v/>
      </c>
      <c r="F4592">
        <f>IF(A4592="","",MAX(1,CEILING(PERCENTRANK.INC($C$3:$C$6000,C4592,4)*5+0.000001,1)))</f>
        <v/>
      </c>
      <c r="G4592">
        <f>IF(A4592="","",MAX(1,CEILING(PERCENTRANK.INC($D$3:$D$6000,D4592,4)*5+0.000001,1)))</f>
        <v/>
      </c>
      <c r="H4592">
        <f>IF(A4592="","",E4592&amp;F4592&amp;G4592)</f>
        <v/>
      </c>
      <c r="I4592">
        <f>IF(A4592="","",IF(AND(E4592&gt;=4,F4592&gt;=4,G4592&gt;=4),"Juara",IF(AND(F4592&gt;=4,E4592&gt;=3),"Setia",IF(AND(E4592=5,F4592&lt;=2,G4592&gt;=3),"Berpotensi",IF(AND(E4592&lt;=3,E4592&gt;=2,F4592&gt;=3),"Rawan",IF(AND(E4592&lt;=2,F4592&lt;=2),"Tidur","Umum"))))))</f>
        <v/>
      </c>
    </row>
    <row r="4593">
      <c r="B4593">
        <f>IF(A4593="","",$B$1-MAXIFS(Donasi!$A$2:$A$20000,Donasi!$B$2:$B$20000,A4593))</f>
        <v/>
      </c>
      <c r="C4593">
        <f>IF(A4593="","",COUNTIF(Donasi!$B$2:$B$20000,A4593))</f>
        <v/>
      </c>
      <c r="D4593">
        <f>IF(A4593="","",SUMIF(Donasi!$B$2:$B$20000,A4593,Donasi!$C$2:$C$20000))</f>
        <v/>
      </c>
      <c r="E4593">
        <f>IF(A4593="","",6-CEILING(PERCENTRANK.INC($B$3:$B$6000,B4593,4)*5+0.000001,1))</f>
        <v/>
      </c>
      <c r="F4593">
        <f>IF(A4593="","",MAX(1,CEILING(PERCENTRANK.INC($C$3:$C$6000,C4593,4)*5+0.000001,1)))</f>
        <v/>
      </c>
      <c r="G4593">
        <f>IF(A4593="","",MAX(1,CEILING(PERCENTRANK.INC($D$3:$D$6000,D4593,4)*5+0.000001,1)))</f>
        <v/>
      </c>
      <c r="H4593">
        <f>IF(A4593="","",E4593&amp;F4593&amp;G4593)</f>
        <v/>
      </c>
      <c r="I4593">
        <f>IF(A4593="","",IF(AND(E4593&gt;=4,F4593&gt;=4,G4593&gt;=4),"Juara",IF(AND(F4593&gt;=4,E4593&gt;=3),"Setia",IF(AND(E4593=5,F4593&lt;=2,G4593&gt;=3),"Berpotensi",IF(AND(E4593&lt;=3,E4593&gt;=2,F4593&gt;=3),"Rawan",IF(AND(E4593&lt;=2,F4593&lt;=2),"Tidur","Umum"))))))</f>
        <v/>
      </c>
    </row>
    <row r="4594">
      <c r="B4594">
        <f>IF(A4594="","",$B$1-MAXIFS(Donasi!$A$2:$A$20000,Donasi!$B$2:$B$20000,A4594))</f>
        <v/>
      </c>
      <c r="C4594">
        <f>IF(A4594="","",COUNTIF(Donasi!$B$2:$B$20000,A4594))</f>
        <v/>
      </c>
      <c r="D4594">
        <f>IF(A4594="","",SUMIF(Donasi!$B$2:$B$20000,A4594,Donasi!$C$2:$C$20000))</f>
        <v/>
      </c>
      <c r="E4594">
        <f>IF(A4594="","",6-CEILING(PERCENTRANK.INC($B$3:$B$6000,B4594,4)*5+0.000001,1))</f>
        <v/>
      </c>
      <c r="F4594">
        <f>IF(A4594="","",MAX(1,CEILING(PERCENTRANK.INC($C$3:$C$6000,C4594,4)*5+0.000001,1)))</f>
        <v/>
      </c>
      <c r="G4594">
        <f>IF(A4594="","",MAX(1,CEILING(PERCENTRANK.INC($D$3:$D$6000,D4594,4)*5+0.000001,1)))</f>
        <v/>
      </c>
      <c r="H4594">
        <f>IF(A4594="","",E4594&amp;F4594&amp;G4594)</f>
        <v/>
      </c>
      <c r="I4594">
        <f>IF(A4594="","",IF(AND(E4594&gt;=4,F4594&gt;=4,G4594&gt;=4),"Juara",IF(AND(F4594&gt;=4,E4594&gt;=3),"Setia",IF(AND(E4594=5,F4594&lt;=2,G4594&gt;=3),"Berpotensi",IF(AND(E4594&lt;=3,E4594&gt;=2,F4594&gt;=3),"Rawan",IF(AND(E4594&lt;=2,F4594&lt;=2),"Tidur","Umum"))))))</f>
        <v/>
      </c>
    </row>
    <row r="4595">
      <c r="B4595">
        <f>IF(A4595="","",$B$1-MAXIFS(Donasi!$A$2:$A$20000,Donasi!$B$2:$B$20000,A4595))</f>
        <v/>
      </c>
      <c r="C4595">
        <f>IF(A4595="","",COUNTIF(Donasi!$B$2:$B$20000,A4595))</f>
        <v/>
      </c>
      <c r="D4595">
        <f>IF(A4595="","",SUMIF(Donasi!$B$2:$B$20000,A4595,Donasi!$C$2:$C$20000))</f>
        <v/>
      </c>
      <c r="E4595">
        <f>IF(A4595="","",6-CEILING(PERCENTRANK.INC($B$3:$B$6000,B4595,4)*5+0.000001,1))</f>
        <v/>
      </c>
      <c r="F4595">
        <f>IF(A4595="","",MAX(1,CEILING(PERCENTRANK.INC($C$3:$C$6000,C4595,4)*5+0.000001,1)))</f>
        <v/>
      </c>
      <c r="G4595">
        <f>IF(A4595="","",MAX(1,CEILING(PERCENTRANK.INC($D$3:$D$6000,D4595,4)*5+0.000001,1)))</f>
        <v/>
      </c>
      <c r="H4595">
        <f>IF(A4595="","",E4595&amp;F4595&amp;G4595)</f>
        <v/>
      </c>
      <c r="I4595">
        <f>IF(A4595="","",IF(AND(E4595&gt;=4,F4595&gt;=4,G4595&gt;=4),"Juara",IF(AND(F4595&gt;=4,E4595&gt;=3),"Setia",IF(AND(E4595=5,F4595&lt;=2,G4595&gt;=3),"Berpotensi",IF(AND(E4595&lt;=3,E4595&gt;=2,F4595&gt;=3),"Rawan",IF(AND(E4595&lt;=2,F4595&lt;=2),"Tidur","Umum"))))))</f>
        <v/>
      </c>
    </row>
    <row r="4596">
      <c r="B4596">
        <f>IF(A4596="","",$B$1-MAXIFS(Donasi!$A$2:$A$20000,Donasi!$B$2:$B$20000,A4596))</f>
        <v/>
      </c>
      <c r="C4596">
        <f>IF(A4596="","",COUNTIF(Donasi!$B$2:$B$20000,A4596))</f>
        <v/>
      </c>
      <c r="D4596">
        <f>IF(A4596="","",SUMIF(Donasi!$B$2:$B$20000,A4596,Donasi!$C$2:$C$20000))</f>
        <v/>
      </c>
      <c r="E4596">
        <f>IF(A4596="","",6-CEILING(PERCENTRANK.INC($B$3:$B$6000,B4596,4)*5+0.000001,1))</f>
        <v/>
      </c>
      <c r="F4596">
        <f>IF(A4596="","",MAX(1,CEILING(PERCENTRANK.INC($C$3:$C$6000,C4596,4)*5+0.000001,1)))</f>
        <v/>
      </c>
      <c r="G4596">
        <f>IF(A4596="","",MAX(1,CEILING(PERCENTRANK.INC($D$3:$D$6000,D4596,4)*5+0.000001,1)))</f>
        <v/>
      </c>
      <c r="H4596">
        <f>IF(A4596="","",E4596&amp;F4596&amp;G4596)</f>
        <v/>
      </c>
      <c r="I4596">
        <f>IF(A4596="","",IF(AND(E4596&gt;=4,F4596&gt;=4,G4596&gt;=4),"Juara",IF(AND(F4596&gt;=4,E4596&gt;=3),"Setia",IF(AND(E4596=5,F4596&lt;=2,G4596&gt;=3),"Berpotensi",IF(AND(E4596&lt;=3,E4596&gt;=2,F4596&gt;=3),"Rawan",IF(AND(E4596&lt;=2,F4596&lt;=2),"Tidur","Umum"))))))</f>
        <v/>
      </c>
    </row>
    <row r="4597">
      <c r="B4597">
        <f>IF(A4597="","",$B$1-MAXIFS(Donasi!$A$2:$A$20000,Donasi!$B$2:$B$20000,A4597))</f>
        <v/>
      </c>
      <c r="C4597">
        <f>IF(A4597="","",COUNTIF(Donasi!$B$2:$B$20000,A4597))</f>
        <v/>
      </c>
      <c r="D4597">
        <f>IF(A4597="","",SUMIF(Donasi!$B$2:$B$20000,A4597,Donasi!$C$2:$C$20000))</f>
        <v/>
      </c>
      <c r="E4597">
        <f>IF(A4597="","",6-CEILING(PERCENTRANK.INC($B$3:$B$6000,B4597,4)*5+0.000001,1))</f>
        <v/>
      </c>
      <c r="F4597">
        <f>IF(A4597="","",MAX(1,CEILING(PERCENTRANK.INC($C$3:$C$6000,C4597,4)*5+0.000001,1)))</f>
        <v/>
      </c>
      <c r="G4597">
        <f>IF(A4597="","",MAX(1,CEILING(PERCENTRANK.INC($D$3:$D$6000,D4597,4)*5+0.000001,1)))</f>
        <v/>
      </c>
      <c r="H4597">
        <f>IF(A4597="","",E4597&amp;F4597&amp;G4597)</f>
        <v/>
      </c>
      <c r="I4597">
        <f>IF(A4597="","",IF(AND(E4597&gt;=4,F4597&gt;=4,G4597&gt;=4),"Juara",IF(AND(F4597&gt;=4,E4597&gt;=3),"Setia",IF(AND(E4597=5,F4597&lt;=2,G4597&gt;=3),"Berpotensi",IF(AND(E4597&lt;=3,E4597&gt;=2,F4597&gt;=3),"Rawan",IF(AND(E4597&lt;=2,F4597&lt;=2),"Tidur","Umum"))))))</f>
        <v/>
      </c>
    </row>
    <row r="4598">
      <c r="B4598">
        <f>IF(A4598="","",$B$1-MAXIFS(Donasi!$A$2:$A$20000,Donasi!$B$2:$B$20000,A4598))</f>
        <v/>
      </c>
      <c r="C4598">
        <f>IF(A4598="","",COUNTIF(Donasi!$B$2:$B$20000,A4598))</f>
        <v/>
      </c>
      <c r="D4598">
        <f>IF(A4598="","",SUMIF(Donasi!$B$2:$B$20000,A4598,Donasi!$C$2:$C$20000))</f>
        <v/>
      </c>
      <c r="E4598">
        <f>IF(A4598="","",6-CEILING(PERCENTRANK.INC($B$3:$B$6000,B4598,4)*5+0.000001,1))</f>
        <v/>
      </c>
      <c r="F4598">
        <f>IF(A4598="","",MAX(1,CEILING(PERCENTRANK.INC($C$3:$C$6000,C4598,4)*5+0.000001,1)))</f>
        <v/>
      </c>
      <c r="G4598">
        <f>IF(A4598="","",MAX(1,CEILING(PERCENTRANK.INC($D$3:$D$6000,D4598,4)*5+0.000001,1)))</f>
        <v/>
      </c>
      <c r="H4598">
        <f>IF(A4598="","",E4598&amp;F4598&amp;G4598)</f>
        <v/>
      </c>
      <c r="I4598">
        <f>IF(A4598="","",IF(AND(E4598&gt;=4,F4598&gt;=4,G4598&gt;=4),"Juara",IF(AND(F4598&gt;=4,E4598&gt;=3),"Setia",IF(AND(E4598=5,F4598&lt;=2,G4598&gt;=3),"Berpotensi",IF(AND(E4598&lt;=3,E4598&gt;=2,F4598&gt;=3),"Rawan",IF(AND(E4598&lt;=2,F4598&lt;=2),"Tidur","Umum"))))))</f>
        <v/>
      </c>
    </row>
    <row r="4599">
      <c r="B4599">
        <f>IF(A4599="","",$B$1-MAXIFS(Donasi!$A$2:$A$20000,Donasi!$B$2:$B$20000,A4599))</f>
        <v/>
      </c>
      <c r="C4599">
        <f>IF(A4599="","",COUNTIF(Donasi!$B$2:$B$20000,A4599))</f>
        <v/>
      </c>
      <c r="D4599">
        <f>IF(A4599="","",SUMIF(Donasi!$B$2:$B$20000,A4599,Donasi!$C$2:$C$20000))</f>
        <v/>
      </c>
      <c r="E4599">
        <f>IF(A4599="","",6-CEILING(PERCENTRANK.INC($B$3:$B$6000,B4599,4)*5+0.000001,1))</f>
        <v/>
      </c>
      <c r="F4599">
        <f>IF(A4599="","",MAX(1,CEILING(PERCENTRANK.INC($C$3:$C$6000,C4599,4)*5+0.000001,1)))</f>
        <v/>
      </c>
      <c r="G4599">
        <f>IF(A4599="","",MAX(1,CEILING(PERCENTRANK.INC($D$3:$D$6000,D4599,4)*5+0.000001,1)))</f>
        <v/>
      </c>
      <c r="H4599">
        <f>IF(A4599="","",E4599&amp;F4599&amp;G4599)</f>
        <v/>
      </c>
      <c r="I4599">
        <f>IF(A4599="","",IF(AND(E4599&gt;=4,F4599&gt;=4,G4599&gt;=4),"Juara",IF(AND(F4599&gt;=4,E4599&gt;=3),"Setia",IF(AND(E4599=5,F4599&lt;=2,G4599&gt;=3),"Berpotensi",IF(AND(E4599&lt;=3,E4599&gt;=2,F4599&gt;=3),"Rawan",IF(AND(E4599&lt;=2,F4599&lt;=2),"Tidur","Umum"))))))</f>
        <v/>
      </c>
    </row>
    <row r="4600">
      <c r="B4600">
        <f>IF(A4600="","",$B$1-MAXIFS(Donasi!$A$2:$A$20000,Donasi!$B$2:$B$20000,A4600))</f>
        <v/>
      </c>
      <c r="C4600">
        <f>IF(A4600="","",COUNTIF(Donasi!$B$2:$B$20000,A4600))</f>
        <v/>
      </c>
      <c r="D4600">
        <f>IF(A4600="","",SUMIF(Donasi!$B$2:$B$20000,A4600,Donasi!$C$2:$C$20000))</f>
        <v/>
      </c>
      <c r="E4600">
        <f>IF(A4600="","",6-CEILING(PERCENTRANK.INC($B$3:$B$6000,B4600,4)*5+0.000001,1))</f>
        <v/>
      </c>
      <c r="F4600">
        <f>IF(A4600="","",MAX(1,CEILING(PERCENTRANK.INC($C$3:$C$6000,C4600,4)*5+0.000001,1)))</f>
        <v/>
      </c>
      <c r="G4600">
        <f>IF(A4600="","",MAX(1,CEILING(PERCENTRANK.INC($D$3:$D$6000,D4600,4)*5+0.000001,1)))</f>
        <v/>
      </c>
      <c r="H4600">
        <f>IF(A4600="","",E4600&amp;F4600&amp;G4600)</f>
        <v/>
      </c>
      <c r="I4600">
        <f>IF(A4600="","",IF(AND(E4600&gt;=4,F4600&gt;=4,G4600&gt;=4),"Juara",IF(AND(F4600&gt;=4,E4600&gt;=3),"Setia",IF(AND(E4600=5,F4600&lt;=2,G4600&gt;=3),"Berpotensi",IF(AND(E4600&lt;=3,E4600&gt;=2,F4600&gt;=3),"Rawan",IF(AND(E4600&lt;=2,F4600&lt;=2),"Tidur","Umum"))))))</f>
        <v/>
      </c>
    </row>
    <row r="4601">
      <c r="B4601">
        <f>IF(A4601="","",$B$1-MAXIFS(Donasi!$A$2:$A$20000,Donasi!$B$2:$B$20000,A4601))</f>
        <v/>
      </c>
      <c r="C4601">
        <f>IF(A4601="","",COUNTIF(Donasi!$B$2:$B$20000,A4601))</f>
        <v/>
      </c>
      <c r="D4601">
        <f>IF(A4601="","",SUMIF(Donasi!$B$2:$B$20000,A4601,Donasi!$C$2:$C$20000))</f>
        <v/>
      </c>
      <c r="E4601">
        <f>IF(A4601="","",6-CEILING(PERCENTRANK.INC($B$3:$B$6000,B4601,4)*5+0.000001,1))</f>
        <v/>
      </c>
      <c r="F4601">
        <f>IF(A4601="","",MAX(1,CEILING(PERCENTRANK.INC($C$3:$C$6000,C4601,4)*5+0.000001,1)))</f>
        <v/>
      </c>
      <c r="G4601">
        <f>IF(A4601="","",MAX(1,CEILING(PERCENTRANK.INC($D$3:$D$6000,D4601,4)*5+0.000001,1)))</f>
        <v/>
      </c>
      <c r="H4601">
        <f>IF(A4601="","",E4601&amp;F4601&amp;G4601)</f>
        <v/>
      </c>
      <c r="I4601">
        <f>IF(A4601="","",IF(AND(E4601&gt;=4,F4601&gt;=4,G4601&gt;=4),"Juara",IF(AND(F4601&gt;=4,E4601&gt;=3),"Setia",IF(AND(E4601=5,F4601&lt;=2,G4601&gt;=3),"Berpotensi",IF(AND(E4601&lt;=3,E4601&gt;=2,F4601&gt;=3),"Rawan",IF(AND(E4601&lt;=2,F4601&lt;=2),"Tidur","Umum"))))))</f>
        <v/>
      </c>
    </row>
    <row r="4602">
      <c r="B4602">
        <f>IF(A4602="","",$B$1-MAXIFS(Donasi!$A$2:$A$20000,Donasi!$B$2:$B$20000,A4602))</f>
        <v/>
      </c>
      <c r="C4602">
        <f>IF(A4602="","",COUNTIF(Donasi!$B$2:$B$20000,A4602))</f>
        <v/>
      </c>
      <c r="D4602">
        <f>IF(A4602="","",SUMIF(Donasi!$B$2:$B$20000,A4602,Donasi!$C$2:$C$20000))</f>
        <v/>
      </c>
      <c r="E4602">
        <f>IF(A4602="","",6-CEILING(PERCENTRANK.INC($B$3:$B$6000,B4602,4)*5+0.000001,1))</f>
        <v/>
      </c>
      <c r="F4602">
        <f>IF(A4602="","",MAX(1,CEILING(PERCENTRANK.INC($C$3:$C$6000,C4602,4)*5+0.000001,1)))</f>
        <v/>
      </c>
      <c r="G4602">
        <f>IF(A4602="","",MAX(1,CEILING(PERCENTRANK.INC($D$3:$D$6000,D4602,4)*5+0.000001,1)))</f>
        <v/>
      </c>
      <c r="H4602">
        <f>IF(A4602="","",E4602&amp;F4602&amp;G4602)</f>
        <v/>
      </c>
      <c r="I4602">
        <f>IF(A4602="","",IF(AND(E4602&gt;=4,F4602&gt;=4,G4602&gt;=4),"Juara",IF(AND(F4602&gt;=4,E4602&gt;=3),"Setia",IF(AND(E4602=5,F4602&lt;=2,G4602&gt;=3),"Berpotensi",IF(AND(E4602&lt;=3,E4602&gt;=2,F4602&gt;=3),"Rawan",IF(AND(E4602&lt;=2,F4602&lt;=2),"Tidur","Umum"))))))</f>
        <v/>
      </c>
    </row>
    <row r="4603">
      <c r="B4603">
        <f>IF(A4603="","",$B$1-MAXIFS(Donasi!$A$2:$A$20000,Donasi!$B$2:$B$20000,A4603))</f>
        <v/>
      </c>
      <c r="C4603">
        <f>IF(A4603="","",COUNTIF(Donasi!$B$2:$B$20000,A4603))</f>
        <v/>
      </c>
      <c r="D4603">
        <f>IF(A4603="","",SUMIF(Donasi!$B$2:$B$20000,A4603,Donasi!$C$2:$C$20000))</f>
        <v/>
      </c>
      <c r="E4603">
        <f>IF(A4603="","",6-CEILING(PERCENTRANK.INC($B$3:$B$6000,B4603,4)*5+0.000001,1))</f>
        <v/>
      </c>
      <c r="F4603">
        <f>IF(A4603="","",MAX(1,CEILING(PERCENTRANK.INC($C$3:$C$6000,C4603,4)*5+0.000001,1)))</f>
        <v/>
      </c>
      <c r="G4603">
        <f>IF(A4603="","",MAX(1,CEILING(PERCENTRANK.INC($D$3:$D$6000,D4603,4)*5+0.000001,1)))</f>
        <v/>
      </c>
      <c r="H4603">
        <f>IF(A4603="","",E4603&amp;F4603&amp;G4603)</f>
        <v/>
      </c>
      <c r="I4603">
        <f>IF(A4603="","",IF(AND(E4603&gt;=4,F4603&gt;=4,G4603&gt;=4),"Juara",IF(AND(F4603&gt;=4,E4603&gt;=3),"Setia",IF(AND(E4603=5,F4603&lt;=2,G4603&gt;=3),"Berpotensi",IF(AND(E4603&lt;=3,E4603&gt;=2,F4603&gt;=3),"Rawan",IF(AND(E4603&lt;=2,F4603&lt;=2),"Tidur","Umum"))))))</f>
        <v/>
      </c>
    </row>
    <row r="4604">
      <c r="B4604">
        <f>IF(A4604="","",$B$1-MAXIFS(Donasi!$A$2:$A$20000,Donasi!$B$2:$B$20000,A4604))</f>
        <v/>
      </c>
      <c r="C4604">
        <f>IF(A4604="","",COUNTIF(Donasi!$B$2:$B$20000,A4604))</f>
        <v/>
      </c>
      <c r="D4604">
        <f>IF(A4604="","",SUMIF(Donasi!$B$2:$B$20000,A4604,Donasi!$C$2:$C$20000))</f>
        <v/>
      </c>
      <c r="E4604">
        <f>IF(A4604="","",6-CEILING(PERCENTRANK.INC($B$3:$B$6000,B4604,4)*5+0.000001,1))</f>
        <v/>
      </c>
      <c r="F4604">
        <f>IF(A4604="","",MAX(1,CEILING(PERCENTRANK.INC($C$3:$C$6000,C4604,4)*5+0.000001,1)))</f>
        <v/>
      </c>
      <c r="G4604">
        <f>IF(A4604="","",MAX(1,CEILING(PERCENTRANK.INC($D$3:$D$6000,D4604,4)*5+0.000001,1)))</f>
        <v/>
      </c>
      <c r="H4604">
        <f>IF(A4604="","",E4604&amp;F4604&amp;G4604)</f>
        <v/>
      </c>
      <c r="I4604">
        <f>IF(A4604="","",IF(AND(E4604&gt;=4,F4604&gt;=4,G4604&gt;=4),"Juara",IF(AND(F4604&gt;=4,E4604&gt;=3),"Setia",IF(AND(E4604=5,F4604&lt;=2,G4604&gt;=3),"Berpotensi",IF(AND(E4604&lt;=3,E4604&gt;=2,F4604&gt;=3),"Rawan",IF(AND(E4604&lt;=2,F4604&lt;=2),"Tidur","Umum"))))))</f>
        <v/>
      </c>
    </row>
    <row r="4605">
      <c r="B4605">
        <f>IF(A4605="","",$B$1-MAXIFS(Donasi!$A$2:$A$20000,Donasi!$B$2:$B$20000,A4605))</f>
        <v/>
      </c>
      <c r="C4605">
        <f>IF(A4605="","",COUNTIF(Donasi!$B$2:$B$20000,A4605))</f>
        <v/>
      </c>
      <c r="D4605">
        <f>IF(A4605="","",SUMIF(Donasi!$B$2:$B$20000,A4605,Donasi!$C$2:$C$20000))</f>
        <v/>
      </c>
      <c r="E4605">
        <f>IF(A4605="","",6-CEILING(PERCENTRANK.INC($B$3:$B$6000,B4605,4)*5+0.000001,1))</f>
        <v/>
      </c>
      <c r="F4605">
        <f>IF(A4605="","",MAX(1,CEILING(PERCENTRANK.INC($C$3:$C$6000,C4605,4)*5+0.000001,1)))</f>
        <v/>
      </c>
      <c r="G4605">
        <f>IF(A4605="","",MAX(1,CEILING(PERCENTRANK.INC($D$3:$D$6000,D4605,4)*5+0.000001,1)))</f>
        <v/>
      </c>
      <c r="H4605">
        <f>IF(A4605="","",E4605&amp;F4605&amp;G4605)</f>
        <v/>
      </c>
      <c r="I4605">
        <f>IF(A4605="","",IF(AND(E4605&gt;=4,F4605&gt;=4,G4605&gt;=4),"Juara",IF(AND(F4605&gt;=4,E4605&gt;=3),"Setia",IF(AND(E4605=5,F4605&lt;=2,G4605&gt;=3),"Berpotensi",IF(AND(E4605&lt;=3,E4605&gt;=2,F4605&gt;=3),"Rawan",IF(AND(E4605&lt;=2,F4605&lt;=2),"Tidur","Umum"))))))</f>
        <v/>
      </c>
    </row>
    <row r="4606">
      <c r="B4606">
        <f>IF(A4606="","",$B$1-MAXIFS(Donasi!$A$2:$A$20000,Donasi!$B$2:$B$20000,A4606))</f>
        <v/>
      </c>
      <c r="C4606">
        <f>IF(A4606="","",COUNTIF(Donasi!$B$2:$B$20000,A4606))</f>
        <v/>
      </c>
      <c r="D4606">
        <f>IF(A4606="","",SUMIF(Donasi!$B$2:$B$20000,A4606,Donasi!$C$2:$C$20000))</f>
        <v/>
      </c>
      <c r="E4606">
        <f>IF(A4606="","",6-CEILING(PERCENTRANK.INC($B$3:$B$6000,B4606,4)*5+0.000001,1))</f>
        <v/>
      </c>
      <c r="F4606">
        <f>IF(A4606="","",MAX(1,CEILING(PERCENTRANK.INC($C$3:$C$6000,C4606,4)*5+0.000001,1)))</f>
        <v/>
      </c>
      <c r="G4606">
        <f>IF(A4606="","",MAX(1,CEILING(PERCENTRANK.INC($D$3:$D$6000,D4606,4)*5+0.000001,1)))</f>
        <v/>
      </c>
      <c r="H4606">
        <f>IF(A4606="","",E4606&amp;F4606&amp;G4606)</f>
        <v/>
      </c>
      <c r="I4606">
        <f>IF(A4606="","",IF(AND(E4606&gt;=4,F4606&gt;=4,G4606&gt;=4),"Juara",IF(AND(F4606&gt;=4,E4606&gt;=3),"Setia",IF(AND(E4606=5,F4606&lt;=2,G4606&gt;=3),"Berpotensi",IF(AND(E4606&lt;=3,E4606&gt;=2,F4606&gt;=3),"Rawan",IF(AND(E4606&lt;=2,F4606&lt;=2),"Tidur","Umum"))))))</f>
        <v/>
      </c>
    </row>
    <row r="4607">
      <c r="B4607">
        <f>IF(A4607="","",$B$1-MAXIFS(Donasi!$A$2:$A$20000,Donasi!$B$2:$B$20000,A4607))</f>
        <v/>
      </c>
      <c r="C4607">
        <f>IF(A4607="","",COUNTIF(Donasi!$B$2:$B$20000,A4607))</f>
        <v/>
      </c>
      <c r="D4607">
        <f>IF(A4607="","",SUMIF(Donasi!$B$2:$B$20000,A4607,Donasi!$C$2:$C$20000))</f>
        <v/>
      </c>
      <c r="E4607">
        <f>IF(A4607="","",6-CEILING(PERCENTRANK.INC($B$3:$B$6000,B4607,4)*5+0.000001,1))</f>
        <v/>
      </c>
      <c r="F4607">
        <f>IF(A4607="","",MAX(1,CEILING(PERCENTRANK.INC($C$3:$C$6000,C4607,4)*5+0.000001,1)))</f>
        <v/>
      </c>
      <c r="G4607">
        <f>IF(A4607="","",MAX(1,CEILING(PERCENTRANK.INC($D$3:$D$6000,D4607,4)*5+0.000001,1)))</f>
        <v/>
      </c>
      <c r="H4607">
        <f>IF(A4607="","",E4607&amp;F4607&amp;G4607)</f>
        <v/>
      </c>
      <c r="I4607">
        <f>IF(A4607="","",IF(AND(E4607&gt;=4,F4607&gt;=4,G4607&gt;=4),"Juara",IF(AND(F4607&gt;=4,E4607&gt;=3),"Setia",IF(AND(E4607=5,F4607&lt;=2,G4607&gt;=3),"Berpotensi",IF(AND(E4607&lt;=3,E4607&gt;=2,F4607&gt;=3),"Rawan",IF(AND(E4607&lt;=2,F4607&lt;=2),"Tidur","Umum"))))))</f>
        <v/>
      </c>
    </row>
    <row r="4608">
      <c r="B4608">
        <f>IF(A4608="","",$B$1-MAXIFS(Donasi!$A$2:$A$20000,Donasi!$B$2:$B$20000,A4608))</f>
        <v/>
      </c>
      <c r="C4608">
        <f>IF(A4608="","",COUNTIF(Donasi!$B$2:$B$20000,A4608))</f>
        <v/>
      </c>
      <c r="D4608">
        <f>IF(A4608="","",SUMIF(Donasi!$B$2:$B$20000,A4608,Donasi!$C$2:$C$20000))</f>
        <v/>
      </c>
      <c r="E4608">
        <f>IF(A4608="","",6-CEILING(PERCENTRANK.INC($B$3:$B$6000,B4608,4)*5+0.000001,1))</f>
        <v/>
      </c>
      <c r="F4608">
        <f>IF(A4608="","",MAX(1,CEILING(PERCENTRANK.INC($C$3:$C$6000,C4608,4)*5+0.000001,1)))</f>
        <v/>
      </c>
      <c r="G4608">
        <f>IF(A4608="","",MAX(1,CEILING(PERCENTRANK.INC($D$3:$D$6000,D4608,4)*5+0.000001,1)))</f>
        <v/>
      </c>
      <c r="H4608">
        <f>IF(A4608="","",E4608&amp;F4608&amp;G4608)</f>
        <v/>
      </c>
      <c r="I4608">
        <f>IF(A4608="","",IF(AND(E4608&gt;=4,F4608&gt;=4,G4608&gt;=4),"Juara",IF(AND(F4608&gt;=4,E4608&gt;=3),"Setia",IF(AND(E4608=5,F4608&lt;=2,G4608&gt;=3),"Berpotensi",IF(AND(E4608&lt;=3,E4608&gt;=2,F4608&gt;=3),"Rawan",IF(AND(E4608&lt;=2,F4608&lt;=2),"Tidur","Umum"))))))</f>
        <v/>
      </c>
    </row>
    <row r="4609">
      <c r="B4609">
        <f>IF(A4609="","",$B$1-MAXIFS(Donasi!$A$2:$A$20000,Donasi!$B$2:$B$20000,A4609))</f>
        <v/>
      </c>
      <c r="C4609">
        <f>IF(A4609="","",COUNTIF(Donasi!$B$2:$B$20000,A4609))</f>
        <v/>
      </c>
      <c r="D4609">
        <f>IF(A4609="","",SUMIF(Donasi!$B$2:$B$20000,A4609,Donasi!$C$2:$C$20000))</f>
        <v/>
      </c>
      <c r="E4609">
        <f>IF(A4609="","",6-CEILING(PERCENTRANK.INC($B$3:$B$6000,B4609,4)*5+0.000001,1))</f>
        <v/>
      </c>
      <c r="F4609">
        <f>IF(A4609="","",MAX(1,CEILING(PERCENTRANK.INC($C$3:$C$6000,C4609,4)*5+0.000001,1)))</f>
        <v/>
      </c>
      <c r="G4609">
        <f>IF(A4609="","",MAX(1,CEILING(PERCENTRANK.INC($D$3:$D$6000,D4609,4)*5+0.000001,1)))</f>
        <v/>
      </c>
      <c r="H4609">
        <f>IF(A4609="","",E4609&amp;F4609&amp;G4609)</f>
        <v/>
      </c>
      <c r="I4609">
        <f>IF(A4609="","",IF(AND(E4609&gt;=4,F4609&gt;=4,G4609&gt;=4),"Juara",IF(AND(F4609&gt;=4,E4609&gt;=3),"Setia",IF(AND(E4609=5,F4609&lt;=2,G4609&gt;=3),"Berpotensi",IF(AND(E4609&lt;=3,E4609&gt;=2,F4609&gt;=3),"Rawan",IF(AND(E4609&lt;=2,F4609&lt;=2),"Tidur","Umum"))))))</f>
        <v/>
      </c>
    </row>
    <row r="4610">
      <c r="B4610">
        <f>IF(A4610="","",$B$1-MAXIFS(Donasi!$A$2:$A$20000,Donasi!$B$2:$B$20000,A4610))</f>
        <v/>
      </c>
      <c r="C4610">
        <f>IF(A4610="","",COUNTIF(Donasi!$B$2:$B$20000,A4610))</f>
        <v/>
      </c>
      <c r="D4610">
        <f>IF(A4610="","",SUMIF(Donasi!$B$2:$B$20000,A4610,Donasi!$C$2:$C$20000))</f>
        <v/>
      </c>
      <c r="E4610">
        <f>IF(A4610="","",6-CEILING(PERCENTRANK.INC($B$3:$B$6000,B4610,4)*5+0.000001,1))</f>
        <v/>
      </c>
      <c r="F4610">
        <f>IF(A4610="","",MAX(1,CEILING(PERCENTRANK.INC($C$3:$C$6000,C4610,4)*5+0.000001,1)))</f>
        <v/>
      </c>
      <c r="G4610">
        <f>IF(A4610="","",MAX(1,CEILING(PERCENTRANK.INC($D$3:$D$6000,D4610,4)*5+0.000001,1)))</f>
        <v/>
      </c>
      <c r="H4610">
        <f>IF(A4610="","",E4610&amp;F4610&amp;G4610)</f>
        <v/>
      </c>
      <c r="I4610">
        <f>IF(A4610="","",IF(AND(E4610&gt;=4,F4610&gt;=4,G4610&gt;=4),"Juara",IF(AND(F4610&gt;=4,E4610&gt;=3),"Setia",IF(AND(E4610=5,F4610&lt;=2,G4610&gt;=3),"Berpotensi",IF(AND(E4610&lt;=3,E4610&gt;=2,F4610&gt;=3),"Rawan",IF(AND(E4610&lt;=2,F4610&lt;=2),"Tidur","Umum"))))))</f>
        <v/>
      </c>
    </row>
    <row r="4611">
      <c r="B4611">
        <f>IF(A4611="","",$B$1-MAXIFS(Donasi!$A$2:$A$20000,Donasi!$B$2:$B$20000,A4611))</f>
        <v/>
      </c>
      <c r="C4611">
        <f>IF(A4611="","",COUNTIF(Donasi!$B$2:$B$20000,A4611))</f>
        <v/>
      </c>
      <c r="D4611">
        <f>IF(A4611="","",SUMIF(Donasi!$B$2:$B$20000,A4611,Donasi!$C$2:$C$20000))</f>
        <v/>
      </c>
      <c r="E4611">
        <f>IF(A4611="","",6-CEILING(PERCENTRANK.INC($B$3:$B$6000,B4611,4)*5+0.000001,1))</f>
        <v/>
      </c>
      <c r="F4611">
        <f>IF(A4611="","",MAX(1,CEILING(PERCENTRANK.INC($C$3:$C$6000,C4611,4)*5+0.000001,1)))</f>
        <v/>
      </c>
      <c r="G4611">
        <f>IF(A4611="","",MAX(1,CEILING(PERCENTRANK.INC($D$3:$D$6000,D4611,4)*5+0.000001,1)))</f>
        <v/>
      </c>
      <c r="H4611">
        <f>IF(A4611="","",E4611&amp;F4611&amp;G4611)</f>
        <v/>
      </c>
      <c r="I4611">
        <f>IF(A4611="","",IF(AND(E4611&gt;=4,F4611&gt;=4,G4611&gt;=4),"Juara",IF(AND(F4611&gt;=4,E4611&gt;=3),"Setia",IF(AND(E4611=5,F4611&lt;=2,G4611&gt;=3),"Berpotensi",IF(AND(E4611&lt;=3,E4611&gt;=2,F4611&gt;=3),"Rawan",IF(AND(E4611&lt;=2,F4611&lt;=2),"Tidur","Umum"))))))</f>
        <v/>
      </c>
    </row>
    <row r="4612">
      <c r="B4612">
        <f>IF(A4612="","",$B$1-MAXIFS(Donasi!$A$2:$A$20000,Donasi!$B$2:$B$20000,A4612))</f>
        <v/>
      </c>
      <c r="C4612">
        <f>IF(A4612="","",COUNTIF(Donasi!$B$2:$B$20000,A4612))</f>
        <v/>
      </c>
      <c r="D4612">
        <f>IF(A4612="","",SUMIF(Donasi!$B$2:$B$20000,A4612,Donasi!$C$2:$C$20000))</f>
        <v/>
      </c>
      <c r="E4612">
        <f>IF(A4612="","",6-CEILING(PERCENTRANK.INC($B$3:$B$6000,B4612,4)*5+0.000001,1))</f>
        <v/>
      </c>
      <c r="F4612">
        <f>IF(A4612="","",MAX(1,CEILING(PERCENTRANK.INC($C$3:$C$6000,C4612,4)*5+0.000001,1)))</f>
        <v/>
      </c>
      <c r="G4612">
        <f>IF(A4612="","",MAX(1,CEILING(PERCENTRANK.INC($D$3:$D$6000,D4612,4)*5+0.000001,1)))</f>
        <v/>
      </c>
      <c r="H4612">
        <f>IF(A4612="","",E4612&amp;F4612&amp;G4612)</f>
        <v/>
      </c>
      <c r="I4612">
        <f>IF(A4612="","",IF(AND(E4612&gt;=4,F4612&gt;=4,G4612&gt;=4),"Juara",IF(AND(F4612&gt;=4,E4612&gt;=3),"Setia",IF(AND(E4612=5,F4612&lt;=2,G4612&gt;=3),"Berpotensi",IF(AND(E4612&lt;=3,E4612&gt;=2,F4612&gt;=3),"Rawan",IF(AND(E4612&lt;=2,F4612&lt;=2),"Tidur","Umum"))))))</f>
        <v/>
      </c>
    </row>
    <row r="4613">
      <c r="B4613">
        <f>IF(A4613="","",$B$1-MAXIFS(Donasi!$A$2:$A$20000,Donasi!$B$2:$B$20000,A4613))</f>
        <v/>
      </c>
      <c r="C4613">
        <f>IF(A4613="","",COUNTIF(Donasi!$B$2:$B$20000,A4613))</f>
        <v/>
      </c>
      <c r="D4613">
        <f>IF(A4613="","",SUMIF(Donasi!$B$2:$B$20000,A4613,Donasi!$C$2:$C$20000))</f>
        <v/>
      </c>
      <c r="E4613">
        <f>IF(A4613="","",6-CEILING(PERCENTRANK.INC($B$3:$B$6000,B4613,4)*5+0.000001,1))</f>
        <v/>
      </c>
      <c r="F4613">
        <f>IF(A4613="","",MAX(1,CEILING(PERCENTRANK.INC($C$3:$C$6000,C4613,4)*5+0.000001,1)))</f>
        <v/>
      </c>
      <c r="G4613">
        <f>IF(A4613="","",MAX(1,CEILING(PERCENTRANK.INC($D$3:$D$6000,D4613,4)*5+0.000001,1)))</f>
        <v/>
      </c>
      <c r="H4613">
        <f>IF(A4613="","",E4613&amp;F4613&amp;G4613)</f>
        <v/>
      </c>
      <c r="I4613">
        <f>IF(A4613="","",IF(AND(E4613&gt;=4,F4613&gt;=4,G4613&gt;=4),"Juara",IF(AND(F4613&gt;=4,E4613&gt;=3),"Setia",IF(AND(E4613=5,F4613&lt;=2,G4613&gt;=3),"Berpotensi",IF(AND(E4613&lt;=3,E4613&gt;=2,F4613&gt;=3),"Rawan",IF(AND(E4613&lt;=2,F4613&lt;=2),"Tidur","Umum"))))))</f>
        <v/>
      </c>
    </row>
    <row r="4614">
      <c r="B4614">
        <f>IF(A4614="","",$B$1-MAXIFS(Donasi!$A$2:$A$20000,Donasi!$B$2:$B$20000,A4614))</f>
        <v/>
      </c>
      <c r="C4614">
        <f>IF(A4614="","",COUNTIF(Donasi!$B$2:$B$20000,A4614))</f>
        <v/>
      </c>
      <c r="D4614">
        <f>IF(A4614="","",SUMIF(Donasi!$B$2:$B$20000,A4614,Donasi!$C$2:$C$20000))</f>
        <v/>
      </c>
      <c r="E4614">
        <f>IF(A4614="","",6-CEILING(PERCENTRANK.INC($B$3:$B$6000,B4614,4)*5+0.000001,1))</f>
        <v/>
      </c>
      <c r="F4614">
        <f>IF(A4614="","",MAX(1,CEILING(PERCENTRANK.INC($C$3:$C$6000,C4614,4)*5+0.000001,1)))</f>
        <v/>
      </c>
      <c r="G4614">
        <f>IF(A4614="","",MAX(1,CEILING(PERCENTRANK.INC($D$3:$D$6000,D4614,4)*5+0.000001,1)))</f>
        <v/>
      </c>
      <c r="H4614">
        <f>IF(A4614="","",E4614&amp;F4614&amp;G4614)</f>
        <v/>
      </c>
      <c r="I4614">
        <f>IF(A4614="","",IF(AND(E4614&gt;=4,F4614&gt;=4,G4614&gt;=4),"Juara",IF(AND(F4614&gt;=4,E4614&gt;=3),"Setia",IF(AND(E4614=5,F4614&lt;=2,G4614&gt;=3),"Berpotensi",IF(AND(E4614&lt;=3,E4614&gt;=2,F4614&gt;=3),"Rawan",IF(AND(E4614&lt;=2,F4614&lt;=2),"Tidur","Umum"))))))</f>
        <v/>
      </c>
    </row>
    <row r="4615">
      <c r="B4615">
        <f>IF(A4615="","",$B$1-MAXIFS(Donasi!$A$2:$A$20000,Donasi!$B$2:$B$20000,A4615))</f>
        <v/>
      </c>
      <c r="C4615">
        <f>IF(A4615="","",COUNTIF(Donasi!$B$2:$B$20000,A4615))</f>
        <v/>
      </c>
      <c r="D4615">
        <f>IF(A4615="","",SUMIF(Donasi!$B$2:$B$20000,A4615,Donasi!$C$2:$C$20000))</f>
        <v/>
      </c>
      <c r="E4615">
        <f>IF(A4615="","",6-CEILING(PERCENTRANK.INC($B$3:$B$6000,B4615,4)*5+0.000001,1))</f>
        <v/>
      </c>
      <c r="F4615">
        <f>IF(A4615="","",MAX(1,CEILING(PERCENTRANK.INC($C$3:$C$6000,C4615,4)*5+0.000001,1)))</f>
        <v/>
      </c>
      <c r="G4615">
        <f>IF(A4615="","",MAX(1,CEILING(PERCENTRANK.INC($D$3:$D$6000,D4615,4)*5+0.000001,1)))</f>
        <v/>
      </c>
      <c r="H4615">
        <f>IF(A4615="","",E4615&amp;F4615&amp;G4615)</f>
        <v/>
      </c>
      <c r="I4615">
        <f>IF(A4615="","",IF(AND(E4615&gt;=4,F4615&gt;=4,G4615&gt;=4),"Juara",IF(AND(F4615&gt;=4,E4615&gt;=3),"Setia",IF(AND(E4615=5,F4615&lt;=2,G4615&gt;=3),"Berpotensi",IF(AND(E4615&lt;=3,E4615&gt;=2,F4615&gt;=3),"Rawan",IF(AND(E4615&lt;=2,F4615&lt;=2),"Tidur","Umum"))))))</f>
        <v/>
      </c>
    </row>
    <row r="4616">
      <c r="B4616">
        <f>IF(A4616="","",$B$1-MAXIFS(Donasi!$A$2:$A$20000,Donasi!$B$2:$B$20000,A4616))</f>
        <v/>
      </c>
      <c r="C4616">
        <f>IF(A4616="","",COUNTIF(Donasi!$B$2:$B$20000,A4616))</f>
        <v/>
      </c>
      <c r="D4616">
        <f>IF(A4616="","",SUMIF(Donasi!$B$2:$B$20000,A4616,Donasi!$C$2:$C$20000))</f>
        <v/>
      </c>
      <c r="E4616">
        <f>IF(A4616="","",6-CEILING(PERCENTRANK.INC($B$3:$B$6000,B4616,4)*5+0.000001,1))</f>
        <v/>
      </c>
      <c r="F4616">
        <f>IF(A4616="","",MAX(1,CEILING(PERCENTRANK.INC($C$3:$C$6000,C4616,4)*5+0.000001,1)))</f>
        <v/>
      </c>
      <c r="G4616">
        <f>IF(A4616="","",MAX(1,CEILING(PERCENTRANK.INC($D$3:$D$6000,D4616,4)*5+0.000001,1)))</f>
        <v/>
      </c>
      <c r="H4616">
        <f>IF(A4616="","",E4616&amp;F4616&amp;G4616)</f>
        <v/>
      </c>
      <c r="I4616">
        <f>IF(A4616="","",IF(AND(E4616&gt;=4,F4616&gt;=4,G4616&gt;=4),"Juara",IF(AND(F4616&gt;=4,E4616&gt;=3),"Setia",IF(AND(E4616=5,F4616&lt;=2,G4616&gt;=3),"Berpotensi",IF(AND(E4616&lt;=3,E4616&gt;=2,F4616&gt;=3),"Rawan",IF(AND(E4616&lt;=2,F4616&lt;=2),"Tidur","Umum"))))))</f>
        <v/>
      </c>
    </row>
    <row r="4617">
      <c r="B4617">
        <f>IF(A4617="","",$B$1-MAXIFS(Donasi!$A$2:$A$20000,Donasi!$B$2:$B$20000,A4617))</f>
        <v/>
      </c>
      <c r="C4617">
        <f>IF(A4617="","",COUNTIF(Donasi!$B$2:$B$20000,A4617))</f>
        <v/>
      </c>
      <c r="D4617">
        <f>IF(A4617="","",SUMIF(Donasi!$B$2:$B$20000,A4617,Donasi!$C$2:$C$20000))</f>
        <v/>
      </c>
      <c r="E4617">
        <f>IF(A4617="","",6-CEILING(PERCENTRANK.INC($B$3:$B$6000,B4617,4)*5+0.000001,1))</f>
        <v/>
      </c>
      <c r="F4617">
        <f>IF(A4617="","",MAX(1,CEILING(PERCENTRANK.INC($C$3:$C$6000,C4617,4)*5+0.000001,1)))</f>
        <v/>
      </c>
      <c r="G4617">
        <f>IF(A4617="","",MAX(1,CEILING(PERCENTRANK.INC($D$3:$D$6000,D4617,4)*5+0.000001,1)))</f>
        <v/>
      </c>
      <c r="H4617">
        <f>IF(A4617="","",E4617&amp;F4617&amp;G4617)</f>
        <v/>
      </c>
      <c r="I4617">
        <f>IF(A4617="","",IF(AND(E4617&gt;=4,F4617&gt;=4,G4617&gt;=4),"Juara",IF(AND(F4617&gt;=4,E4617&gt;=3),"Setia",IF(AND(E4617=5,F4617&lt;=2,G4617&gt;=3),"Berpotensi",IF(AND(E4617&lt;=3,E4617&gt;=2,F4617&gt;=3),"Rawan",IF(AND(E4617&lt;=2,F4617&lt;=2),"Tidur","Umum"))))))</f>
        <v/>
      </c>
    </row>
    <row r="4618">
      <c r="B4618">
        <f>IF(A4618="","",$B$1-MAXIFS(Donasi!$A$2:$A$20000,Donasi!$B$2:$B$20000,A4618))</f>
        <v/>
      </c>
      <c r="C4618">
        <f>IF(A4618="","",COUNTIF(Donasi!$B$2:$B$20000,A4618))</f>
        <v/>
      </c>
      <c r="D4618">
        <f>IF(A4618="","",SUMIF(Donasi!$B$2:$B$20000,A4618,Donasi!$C$2:$C$20000))</f>
        <v/>
      </c>
      <c r="E4618">
        <f>IF(A4618="","",6-CEILING(PERCENTRANK.INC($B$3:$B$6000,B4618,4)*5+0.000001,1))</f>
        <v/>
      </c>
      <c r="F4618">
        <f>IF(A4618="","",MAX(1,CEILING(PERCENTRANK.INC($C$3:$C$6000,C4618,4)*5+0.000001,1)))</f>
        <v/>
      </c>
      <c r="G4618">
        <f>IF(A4618="","",MAX(1,CEILING(PERCENTRANK.INC($D$3:$D$6000,D4618,4)*5+0.000001,1)))</f>
        <v/>
      </c>
      <c r="H4618">
        <f>IF(A4618="","",E4618&amp;F4618&amp;G4618)</f>
        <v/>
      </c>
      <c r="I4618">
        <f>IF(A4618="","",IF(AND(E4618&gt;=4,F4618&gt;=4,G4618&gt;=4),"Juara",IF(AND(F4618&gt;=4,E4618&gt;=3),"Setia",IF(AND(E4618=5,F4618&lt;=2,G4618&gt;=3),"Berpotensi",IF(AND(E4618&lt;=3,E4618&gt;=2,F4618&gt;=3),"Rawan",IF(AND(E4618&lt;=2,F4618&lt;=2),"Tidur","Umum"))))))</f>
        <v/>
      </c>
    </row>
    <row r="4619">
      <c r="B4619">
        <f>IF(A4619="","",$B$1-MAXIFS(Donasi!$A$2:$A$20000,Donasi!$B$2:$B$20000,A4619))</f>
        <v/>
      </c>
      <c r="C4619">
        <f>IF(A4619="","",COUNTIF(Donasi!$B$2:$B$20000,A4619))</f>
        <v/>
      </c>
      <c r="D4619">
        <f>IF(A4619="","",SUMIF(Donasi!$B$2:$B$20000,A4619,Donasi!$C$2:$C$20000))</f>
        <v/>
      </c>
      <c r="E4619">
        <f>IF(A4619="","",6-CEILING(PERCENTRANK.INC($B$3:$B$6000,B4619,4)*5+0.000001,1))</f>
        <v/>
      </c>
      <c r="F4619">
        <f>IF(A4619="","",MAX(1,CEILING(PERCENTRANK.INC($C$3:$C$6000,C4619,4)*5+0.000001,1)))</f>
        <v/>
      </c>
      <c r="G4619">
        <f>IF(A4619="","",MAX(1,CEILING(PERCENTRANK.INC($D$3:$D$6000,D4619,4)*5+0.000001,1)))</f>
        <v/>
      </c>
      <c r="H4619">
        <f>IF(A4619="","",E4619&amp;F4619&amp;G4619)</f>
        <v/>
      </c>
      <c r="I4619">
        <f>IF(A4619="","",IF(AND(E4619&gt;=4,F4619&gt;=4,G4619&gt;=4),"Juara",IF(AND(F4619&gt;=4,E4619&gt;=3),"Setia",IF(AND(E4619=5,F4619&lt;=2,G4619&gt;=3),"Berpotensi",IF(AND(E4619&lt;=3,E4619&gt;=2,F4619&gt;=3),"Rawan",IF(AND(E4619&lt;=2,F4619&lt;=2),"Tidur","Umum"))))))</f>
        <v/>
      </c>
    </row>
    <row r="4620">
      <c r="B4620">
        <f>IF(A4620="","",$B$1-MAXIFS(Donasi!$A$2:$A$20000,Donasi!$B$2:$B$20000,A4620))</f>
        <v/>
      </c>
      <c r="C4620">
        <f>IF(A4620="","",COUNTIF(Donasi!$B$2:$B$20000,A4620))</f>
        <v/>
      </c>
      <c r="D4620">
        <f>IF(A4620="","",SUMIF(Donasi!$B$2:$B$20000,A4620,Donasi!$C$2:$C$20000))</f>
        <v/>
      </c>
      <c r="E4620">
        <f>IF(A4620="","",6-CEILING(PERCENTRANK.INC($B$3:$B$6000,B4620,4)*5+0.000001,1))</f>
        <v/>
      </c>
      <c r="F4620">
        <f>IF(A4620="","",MAX(1,CEILING(PERCENTRANK.INC($C$3:$C$6000,C4620,4)*5+0.000001,1)))</f>
        <v/>
      </c>
      <c r="G4620">
        <f>IF(A4620="","",MAX(1,CEILING(PERCENTRANK.INC($D$3:$D$6000,D4620,4)*5+0.000001,1)))</f>
        <v/>
      </c>
      <c r="H4620">
        <f>IF(A4620="","",E4620&amp;F4620&amp;G4620)</f>
        <v/>
      </c>
      <c r="I4620">
        <f>IF(A4620="","",IF(AND(E4620&gt;=4,F4620&gt;=4,G4620&gt;=4),"Juara",IF(AND(F4620&gt;=4,E4620&gt;=3),"Setia",IF(AND(E4620=5,F4620&lt;=2,G4620&gt;=3),"Berpotensi",IF(AND(E4620&lt;=3,E4620&gt;=2,F4620&gt;=3),"Rawan",IF(AND(E4620&lt;=2,F4620&lt;=2),"Tidur","Umum"))))))</f>
        <v/>
      </c>
    </row>
    <row r="4621">
      <c r="B4621">
        <f>IF(A4621="","",$B$1-MAXIFS(Donasi!$A$2:$A$20000,Donasi!$B$2:$B$20000,A4621))</f>
        <v/>
      </c>
      <c r="C4621">
        <f>IF(A4621="","",COUNTIF(Donasi!$B$2:$B$20000,A4621))</f>
        <v/>
      </c>
      <c r="D4621">
        <f>IF(A4621="","",SUMIF(Donasi!$B$2:$B$20000,A4621,Donasi!$C$2:$C$20000))</f>
        <v/>
      </c>
      <c r="E4621">
        <f>IF(A4621="","",6-CEILING(PERCENTRANK.INC($B$3:$B$6000,B4621,4)*5+0.000001,1))</f>
        <v/>
      </c>
      <c r="F4621">
        <f>IF(A4621="","",MAX(1,CEILING(PERCENTRANK.INC($C$3:$C$6000,C4621,4)*5+0.000001,1)))</f>
        <v/>
      </c>
      <c r="G4621">
        <f>IF(A4621="","",MAX(1,CEILING(PERCENTRANK.INC($D$3:$D$6000,D4621,4)*5+0.000001,1)))</f>
        <v/>
      </c>
      <c r="H4621">
        <f>IF(A4621="","",E4621&amp;F4621&amp;G4621)</f>
        <v/>
      </c>
      <c r="I4621">
        <f>IF(A4621="","",IF(AND(E4621&gt;=4,F4621&gt;=4,G4621&gt;=4),"Juara",IF(AND(F4621&gt;=4,E4621&gt;=3),"Setia",IF(AND(E4621=5,F4621&lt;=2,G4621&gt;=3),"Berpotensi",IF(AND(E4621&lt;=3,E4621&gt;=2,F4621&gt;=3),"Rawan",IF(AND(E4621&lt;=2,F4621&lt;=2),"Tidur","Umum"))))))</f>
        <v/>
      </c>
    </row>
    <row r="4622">
      <c r="B4622">
        <f>IF(A4622="","",$B$1-MAXIFS(Donasi!$A$2:$A$20000,Donasi!$B$2:$B$20000,A4622))</f>
        <v/>
      </c>
      <c r="C4622">
        <f>IF(A4622="","",COUNTIF(Donasi!$B$2:$B$20000,A4622))</f>
        <v/>
      </c>
      <c r="D4622">
        <f>IF(A4622="","",SUMIF(Donasi!$B$2:$B$20000,A4622,Donasi!$C$2:$C$20000))</f>
        <v/>
      </c>
      <c r="E4622">
        <f>IF(A4622="","",6-CEILING(PERCENTRANK.INC($B$3:$B$6000,B4622,4)*5+0.000001,1))</f>
        <v/>
      </c>
      <c r="F4622">
        <f>IF(A4622="","",MAX(1,CEILING(PERCENTRANK.INC($C$3:$C$6000,C4622,4)*5+0.000001,1)))</f>
        <v/>
      </c>
      <c r="G4622">
        <f>IF(A4622="","",MAX(1,CEILING(PERCENTRANK.INC($D$3:$D$6000,D4622,4)*5+0.000001,1)))</f>
        <v/>
      </c>
      <c r="H4622">
        <f>IF(A4622="","",E4622&amp;F4622&amp;G4622)</f>
        <v/>
      </c>
      <c r="I4622">
        <f>IF(A4622="","",IF(AND(E4622&gt;=4,F4622&gt;=4,G4622&gt;=4),"Juara",IF(AND(F4622&gt;=4,E4622&gt;=3),"Setia",IF(AND(E4622=5,F4622&lt;=2,G4622&gt;=3),"Berpotensi",IF(AND(E4622&lt;=3,E4622&gt;=2,F4622&gt;=3),"Rawan",IF(AND(E4622&lt;=2,F4622&lt;=2),"Tidur","Umum"))))))</f>
        <v/>
      </c>
    </row>
    <row r="4623">
      <c r="B4623">
        <f>IF(A4623="","",$B$1-MAXIFS(Donasi!$A$2:$A$20000,Donasi!$B$2:$B$20000,A4623))</f>
        <v/>
      </c>
      <c r="C4623">
        <f>IF(A4623="","",COUNTIF(Donasi!$B$2:$B$20000,A4623))</f>
        <v/>
      </c>
      <c r="D4623">
        <f>IF(A4623="","",SUMIF(Donasi!$B$2:$B$20000,A4623,Donasi!$C$2:$C$20000))</f>
        <v/>
      </c>
      <c r="E4623">
        <f>IF(A4623="","",6-CEILING(PERCENTRANK.INC($B$3:$B$6000,B4623,4)*5+0.000001,1))</f>
        <v/>
      </c>
      <c r="F4623">
        <f>IF(A4623="","",MAX(1,CEILING(PERCENTRANK.INC($C$3:$C$6000,C4623,4)*5+0.000001,1)))</f>
        <v/>
      </c>
      <c r="G4623">
        <f>IF(A4623="","",MAX(1,CEILING(PERCENTRANK.INC($D$3:$D$6000,D4623,4)*5+0.000001,1)))</f>
        <v/>
      </c>
      <c r="H4623">
        <f>IF(A4623="","",E4623&amp;F4623&amp;G4623)</f>
        <v/>
      </c>
      <c r="I4623">
        <f>IF(A4623="","",IF(AND(E4623&gt;=4,F4623&gt;=4,G4623&gt;=4),"Juara",IF(AND(F4623&gt;=4,E4623&gt;=3),"Setia",IF(AND(E4623=5,F4623&lt;=2,G4623&gt;=3),"Berpotensi",IF(AND(E4623&lt;=3,E4623&gt;=2,F4623&gt;=3),"Rawan",IF(AND(E4623&lt;=2,F4623&lt;=2),"Tidur","Umum"))))))</f>
        <v/>
      </c>
    </row>
    <row r="4624">
      <c r="B4624">
        <f>IF(A4624="","",$B$1-MAXIFS(Donasi!$A$2:$A$20000,Donasi!$B$2:$B$20000,A4624))</f>
        <v/>
      </c>
      <c r="C4624">
        <f>IF(A4624="","",COUNTIF(Donasi!$B$2:$B$20000,A4624))</f>
        <v/>
      </c>
      <c r="D4624">
        <f>IF(A4624="","",SUMIF(Donasi!$B$2:$B$20000,A4624,Donasi!$C$2:$C$20000))</f>
        <v/>
      </c>
      <c r="E4624">
        <f>IF(A4624="","",6-CEILING(PERCENTRANK.INC($B$3:$B$6000,B4624,4)*5+0.000001,1))</f>
        <v/>
      </c>
      <c r="F4624">
        <f>IF(A4624="","",MAX(1,CEILING(PERCENTRANK.INC($C$3:$C$6000,C4624,4)*5+0.000001,1)))</f>
        <v/>
      </c>
      <c r="G4624">
        <f>IF(A4624="","",MAX(1,CEILING(PERCENTRANK.INC($D$3:$D$6000,D4624,4)*5+0.000001,1)))</f>
        <v/>
      </c>
      <c r="H4624">
        <f>IF(A4624="","",E4624&amp;F4624&amp;G4624)</f>
        <v/>
      </c>
      <c r="I4624">
        <f>IF(A4624="","",IF(AND(E4624&gt;=4,F4624&gt;=4,G4624&gt;=4),"Juara",IF(AND(F4624&gt;=4,E4624&gt;=3),"Setia",IF(AND(E4624=5,F4624&lt;=2,G4624&gt;=3),"Berpotensi",IF(AND(E4624&lt;=3,E4624&gt;=2,F4624&gt;=3),"Rawan",IF(AND(E4624&lt;=2,F4624&lt;=2),"Tidur","Umum"))))))</f>
        <v/>
      </c>
    </row>
    <row r="4625">
      <c r="B4625">
        <f>IF(A4625="","",$B$1-MAXIFS(Donasi!$A$2:$A$20000,Donasi!$B$2:$B$20000,A4625))</f>
        <v/>
      </c>
      <c r="C4625">
        <f>IF(A4625="","",COUNTIF(Donasi!$B$2:$B$20000,A4625))</f>
        <v/>
      </c>
      <c r="D4625">
        <f>IF(A4625="","",SUMIF(Donasi!$B$2:$B$20000,A4625,Donasi!$C$2:$C$20000))</f>
        <v/>
      </c>
      <c r="E4625">
        <f>IF(A4625="","",6-CEILING(PERCENTRANK.INC($B$3:$B$6000,B4625,4)*5+0.000001,1))</f>
        <v/>
      </c>
      <c r="F4625">
        <f>IF(A4625="","",MAX(1,CEILING(PERCENTRANK.INC($C$3:$C$6000,C4625,4)*5+0.000001,1)))</f>
        <v/>
      </c>
      <c r="G4625">
        <f>IF(A4625="","",MAX(1,CEILING(PERCENTRANK.INC($D$3:$D$6000,D4625,4)*5+0.000001,1)))</f>
        <v/>
      </c>
      <c r="H4625">
        <f>IF(A4625="","",E4625&amp;F4625&amp;G4625)</f>
        <v/>
      </c>
      <c r="I4625">
        <f>IF(A4625="","",IF(AND(E4625&gt;=4,F4625&gt;=4,G4625&gt;=4),"Juara",IF(AND(F4625&gt;=4,E4625&gt;=3),"Setia",IF(AND(E4625=5,F4625&lt;=2,G4625&gt;=3),"Berpotensi",IF(AND(E4625&lt;=3,E4625&gt;=2,F4625&gt;=3),"Rawan",IF(AND(E4625&lt;=2,F4625&lt;=2),"Tidur","Umum"))))))</f>
        <v/>
      </c>
    </row>
    <row r="4626">
      <c r="B4626">
        <f>IF(A4626="","",$B$1-MAXIFS(Donasi!$A$2:$A$20000,Donasi!$B$2:$B$20000,A4626))</f>
        <v/>
      </c>
      <c r="C4626">
        <f>IF(A4626="","",COUNTIF(Donasi!$B$2:$B$20000,A4626))</f>
        <v/>
      </c>
      <c r="D4626">
        <f>IF(A4626="","",SUMIF(Donasi!$B$2:$B$20000,A4626,Donasi!$C$2:$C$20000))</f>
        <v/>
      </c>
      <c r="E4626">
        <f>IF(A4626="","",6-CEILING(PERCENTRANK.INC($B$3:$B$6000,B4626,4)*5+0.000001,1))</f>
        <v/>
      </c>
      <c r="F4626">
        <f>IF(A4626="","",MAX(1,CEILING(PERCENTRANK.INC($C$3:$C$6000,C4626,4)*5+0.000001,1)))</f>
        <v/>
      </c>
      <c r="G4626">
        <f>IF(A4626="","",MAX(1,CEILING(PERCENTRANK.INC($D$3:$D$6000,D4626,4)*5+0.000001,1)))</f>
        <v/>
      </c>
      <c r="H4626">
        <f>IF(A4626="","",E4626&amp;F4626&amp;G4626)</f>
        <v/>
      </c>
      <c r="I4626">
        <f>IF(A4626="","",IF(AND(E4626&gt;=4,F4626&gt;=4,G4626&gt;=4),"Juara",IF(AND(F4626&gt;=4,E4626&gt;=3),"Setia",IF(AND(E4626=5,F4626&lt;=2,G4626&gt;=3),"Berpotensi",IF(AND(E4626&lt;=3,E4626&gt;=2,F4626&gt;=3),"Rawan",IF(AND(E4626&lt;=2,F4626&lt;=2),"Tidur","Umum"))))))</f>
        <v/>
      </c>
    </row>
    <row r="4627">
      <c r="B4627">
        <f>IF(A4627="","",$B$1-MAXIFS(Donasi!$A$2:$A$20000,Donasi!$B$2:$B$20000,A4627))</f>
        <v/>
      </c>
      <c r="C4627">
        <f>IF(A4627="","",COUNTIF(Donasi!$B$2:$B$20000,A4627))</f>
        <v/>
      </c>
      <c r="D4627">
        <f>IF(A4627="","",SUMIF(Donasi!$B$2:$B$20000,A4627,Donasi!$C$2:$C$20000))</f>
        <v/>
      </c>
      <c r="E4627">
        <f>IF(A4627="","",6-CEILING(PERCENTRANK.INC($B$3:$B$6000,B4627,4)*5+0.000001,1))</f>
        <v/>
      </c>
      <c r="F4627">
        <f>IF(A4627="","",MAX(1,CEILING(PERCENTRANK.INC($C$3:$C$6000,C4627,4)*5+0.000001,1)))</f>
        <v/>
      </c>
      <c r="G4627">
        <f>IF(A4627="","",MAX(1,CEILING(PERCENTRANK.INC($D$3:$D$6000,D4627,4)*5+0.000001,1)))</f>
        <v/>
      </c>
      <c r="H4627">
        <f>IF(A4627="","",E4627&amp;F4627&amp;G4627)</f>
        <v/>
      </c>
      <c r="I4627">
        <f>IF(A4627="","",IF(AND(E4627&gt;=4,F4627&gt;=4,G4627&gt;=4),"Juara",IF(AND(F4627&gt;=4,E4627&gt;=3),"Setia",IF(AND(E4627=5,F4627&lt;=2,G4627&gt;=3),"Berpotensi",IF(AND(E4627&lt;=3,E4627&gt;=2,F4627&gt;=3),"Rawan",IF(AND(E4627&lt;=2,F4627&lt;=2),"Tidur","Umum"))))))</f>
        <v/>
      </c>
    </row>
    <row r="4628">
      <c r="B4628">
        <f>IF(A4628="","",$B$1-MAXIFS(Donasi!$A$2:$A$20000,Donasi!$B$2:$B$20000,A4628))</f>
        <v/>
      </c>
      <c r="C4628">
        <f>IF(A4628="","",COUNTIF(Donasi!$B$2:$B$20000,A4628))</f>
        <v/>
      </c>
      <c r="D4628">
        <f>IF(A4628="","",SUMIF(Donasi!$B$2:$B$20000,A4628,Donasi!$C$2:$C$20000))</f>
        <v/>
      </c>
      <c r="E4628">
        <f>IF(A4628="","",6-CEILING(PERCENTRANK.INC($B$3:$B$6000,B4628,4)*5+0.000001,1))</f>
        <v/>
      </c>
      <c r="F4628">
        <f>IF(A4628="","",MAX(1,CEILING(PERCENTRANK.INC($C$3:$C$6000,C4628,4)*5+0.000001,1)))</f>
        <v/>
      </c>
      <c r="G4628">
        <f>IF(A4628="","",MAX(1,CEILING(PERCENTRANK.INC($D$3:$D$6000,D4628,4)*5+0.000001,1)))</f>
        <v/>
      </c>
      <c r="H4628">
        <f>IF(A4628="","",E4628&amp;F4628&amp;G4628)</f>
        <v/>
      </c>
      <c r="I4628">
        <f>IF(A4628="","",IF(AND(E4628&gt;=4,F4628&gt;=4,G4628&gt;=4),"Juara",IF(AND(F4628&gt;=4,E4628&gt;=3),"Setia",IF(AND(E4628=5,F4628&lt;=2,G4628&gt;=3),"Berpotensi",IF(AND(E4628&lt;=3,E4628&gt;=2,F4628&gt;=3),"Rawan",IF(AND(E4628&lt;=2,F4628&lt;=2),"Tidur","Umum"))))))</f>
        <v/>
      </c>
    </row>
    <row r="4629">
      <c r="B4629">
        <f>IF(A4629="","",$B$1-MAXIFS(Donasi!$A$2:$A$20000,Donasi!$B$2:$B$20000,A4629))</f>
        <v/>
      </c>
      <c r="C4629">
        <f>IF(A4629="","",COUNTIF(Donasi!$B$2:$B$20000,A4629))</f>
        <v/>
      </c>
      <c r="D4629">
        <f>IF(A4629="","",SUMIF(Donasi!$B$2:$B$20000,A4629,Donasi!$C$2:$C$20000))</f>
        <v/>
      </c>
      <c r="E4629">
        <f>IF(A4629="","",6-CEILING(PERCENTRANK.INC($B$3:$B$6000,B4629,4)*5+0.000001,1))</f>
        <v/>
      </c>
      <c r="F4629">
        <f>IF(A4629="","",MAX(1,CEILING(PERCENTRANK.INC($C$3:$C$6000,C4629,4)*5+0.000001,1)))</f>
        <v/>
      </c>
      <c r="G4629">
        <f>IF(A4629="","",MAX(1,CEILING(PERCENTRANK.INC($D$3:$D$6000,D4629,4)*5+0.000001,1)))</f>
        <v/>
      </c>
      <c r="H4629">
        <f>IF(A4629="","",E4629&amp;F4629&amp;G4629)</f>
        <v/>
      </c>
      <c r="I4629">
        <f>IF(A4629="","",IF(AND(E4629&gt;=4,F4629&gt;=4,G4629&gt;=4),"Juara",IF(AND(F4629&gt;=4,E4629&gt;=3),"Setia",IF(AND(E4629=5,F4629&lt;=2,G4629&gt;=3),"Berpotensi",IF(AND(E4629&lt;=3,E4629&gt;=2,F4629&gt;=3),"Rawan",IF(AND(E4629&lt;=2,F4629&lt;=2),"Tidur","Umum"))))))</f>
        <v/>
      </c>
    </row>
    <row r="4630">
      <c r="B4630">
        <f>IF(A4630="","",$B$1-MAXIFS(Donasi!$A$2:$A$20000,Donasi!$B$2:$B$20000,A4630))</f>
        <v/>
      </c>
      <c r="C4630">
        <f>IF(A4630="","",COUNTIF(Donasi!$B$2:$B$20000,A4630))</f>
        <v/>
      </c>
      <c r="D4630">
        <f>IF(A4630="","",SUMIF(Donasi!$B$2:$B$20000,A4630,Donasi!$C$2:$C$20000))</f>
        <v/>
      </c>
      <c r="E4630">
        <f>IF(A4630="","",6-CEILING(PERCENTRANK.INC($B$3:$B$6000,B4630,4)*5+0.000001,1))</f>
        <v/>
      </c>
      <c r="F4630">
        <f>IF(A4630="","",MAX(1,CEILING(PERCENTRANK.INC($C$3:$C$6000,C4630,4)*5+0.000001,1)))</f>
        <v/>
      </c>
      <c r="G4630">
        <f>IF(A4630="","",MAX(1,CEILING(PERCENTRANK.INC($D$3:$D$6000,D4630,4)*5+0.000001,1)))</f>
        <v/>
      </c>
      <c r="H4630">
        <f>IF(A4630="","",E4630&amp;F4630&amp;G4630)</f>
        <v/>
      </c>
      <c r="I4630">
        <f>IF(A4630="","",IF(AND(E4630&gt;=4,F4630&gt;=4,G4630&gt;=4),"Juara",IF(AND(F4630&gt;=4,E4630&gt;=3),"Setia",IF(AND(E4630=5,F4630&lt;=2,G4630&gt;=3),"Berpotensi",IF(AND(E4630&lt;=3,E4630&gt;=2,F4630&gt;=3),"Rawan",IF(AND(E4630&lt;=2,F4630&lt;=2),"Tidur","Umum"))))))</f>
        <v/>
      </c>
    </row>
    <row r="4631">
      <c r="B4631">
        <f>IF(A4631="","",$B$1-MAXIFS(Donasi!$A$2:$A$20000,Donasi!$B$2:$B$20000,A4631))</f>
        <v/>
      </c>
      <c r="C4631">
        <f>IF(A4631="","",COUNTIF(Donasi!$B$2:$B$20000,A4631))</f>
        <v/>
      </c>
      <c r="D4631">
        <f>IF(A4631="","",SUMIF(Donasi!$B$2:$B$20000,A4631,Donasi!$C$2:$C$20000))</f>
        <v/>
      </c>
      <c r="E4631">
        <f>IF(A4631="","",6-CEILING(PERCENTRANK.INC($B$3:$B$6000,B4631,4)*5+0.000001,1))</f>
        <v/>
      </c>
      <c r="F4631">
        <f>IF(A4631="","",MAX(1,CEILING(PERCENTRANK.INC($C$3:$C$6000,C4631,4)*5+0.000001,1)))</f>
        <v/>
      </c>
      <c r="G4631">
        <f>IF(A4631="","",MAX(1,CEILING(PERCENTRANK.INC($D$3:$D$6000,D4631,4)*5+0.000001,1)))</f>
        <v/>
      </c>
      <c r="H4631">
        <f>IF(A4631="","",E4631&amp;F4631&amp;G4631)</f>
        <v/>
      </c>
      <c r="I4631">
        <f>IF(A4631="","",IF(AND(E4631&gt;=4,F4631&gt;=4,G4631&gt;=4),"Juara",IF(AND(F4631&gt;=4,E4631&gt;=3),"Setia",IF(AND(E4631=5,F4631&lt;=2,G4631&gt;=3),"Berpotensi",IF(AND(E4631&lt;=3,E4631&gt;=2,F4631&gt;=3),"Rawan",IF(AND(E4631&lt;=2,F4631&lt;=2),"Tidur","Umum"))))))</f>
        <v/>
      </c>
    </row>
    <row r="4632">
      <c r="B4632">
        <f>IF(A4632="","",$B$1-MAXIFS(Donasi!$A$2:$A$20000,Donasi!$B$2:$B$20000,A4632))</f>
        <v/>
      </c>
      <c r="C4632">
        <f>IF(A4632="","",COUNTIF(Donasi!$B$2:$B$20000,A4632))</f>
        <v/>
      </c>
      <c r="D4632">
        <f>IF(A4632="","",SUMIF(Donasi!$B$2:$B$20000,A4632,Donasi!$C$2:$C$20000))</f>
        <v/>
      </c>
      <c r="E4632">
        <f>IF(A4632="","",6-CEILING(PERCENTRANK.INC($B$3:$B$6000,B4632,4)*5+0.000001,1))</f>
        <v/>
      </c>
      <c r="F4632">
        <f>IF(A4632="","",MAX(1,CEILING(PERCENTRANK.INC($C$3:$C$6000,C4632,4)*5+0.000001,1)))</f>
        <v/>
      </c>
      <c r="G4632">
        <f>IF(A4632="","",MAX(1,CEILING(PERCENTRANK.INC($D$3:$D$6000,D4632,4)*5+0.000001,1)))</f>
        <v/>
      </c>
      <c r="H4632">
        <f>IF(A4632="","",E4632&amp;F4632&amp;G4632)</f>
        <v/>
      </c>
      <c r="I4632">
        <f>IF(A4632="","",IF(AND(E4632&gt;=4,F4632&gt;=4,G4632&gt;=4),"Juara",IF(AND(F4632&gt;=4,E4632&gt;=3),"Setia",IF(AND(E4632=5,F4632&lt;=2,G4632&gt;=3),"Berpotensi",IF(AND(E4632&lt;=3,E4632&gt;=2,F4632&gt;=3),"Rawan",IF(AND(E4632&lt;=2,F4632&lt;=2),"Tidur","Umum"))))))</f>
        <v/>
      </c>
    </row>
    <row r="4633">
      <c r="B4633">
        <f>IF(A4633="","",$B$1-MAXIFS(Donasi!$A$2:$A$20000,Donasi!$B$2:$B$20000,A4633))</f>
        <v/>
      </c>
      <c r="C4633">
        <f>IF(A4633="","",COUNTIF(Donasi!$B$2:$B$20000,A4633))</f>
        <v/>
      </c>
      <c r="D4633">
        <f>IF(A4633="","",SUMIF(Donasi!$B$2:$B$20000,A4633,Donasi!$C$2:$C$20000))</f>
        <v/>
      </c>
      <c r="E4633">
        <f>IF(A4633="","",6-CEILING(PERCENTRANK.INC($B$3:$B$6000,B4633,4)*5+0.000001,1))</f>
        <v/>
      </c>
      <c r="F4633">
        <f>IF(A4633="","",MAX(1,CEILING(PERCENTRANK.INC($C$3:$C$6000,C4633,4)*5+0.000001,1)))</f>
        <v/>
      </c>
      <c r="G4633">
        <f>IF(A4633="","",MAX(1,CEILING(PERCENTRANK.INC($D$3:$D$6000,D4633,4)*5+0.000001,1)))</f>
        <v/>
      </c>
      <c r="H4633">
        <f>IF(A4633="","",E4633&amp;F4633&amp;G4633)</f>
        <v/>
      </c>
      <c r="I4633">
        <f>IF(A4633="","",IF(AND(E4633&gt;=4,F4633&gt;=4,G4633&gt;=4),"Juara",IF(AND(F4633&gt;=4,E4633&gt;=3),"Setia",IF(AND(E4633=5,F4633&lt;=2,G4633&gt;=3),"Berpotensi",IF(AND(E4633&lt;=3,E4633&gt;=2,F4633&gt;=3),"Rawan",IF(AND(E4633&lt;=2,F4633&lt;=2),"Tidur","Umum"))))))</f>
        <v/>
      </c>
    </row>
    <row r="4634">
      <c r="B4634">
        <f>IF(A4634="","",$B$1-MAXIFS(Donasi!$A$2:$A$20000,Donasi!$B$2:$B$20000,A4634))</f>
        <v/>
      </c>
      <c r="C4634">
        <f>IF(A4634="","",COUNTIF(Donasi!$B$2:$B$20000,A4634))</f>
        <v/>
      </c>
      <c r="D4634">
        <f>IF(A4634="","",SUMIF(Donasi!$B$2:$B$20000,A4634,Donasi!$C$2:$C$20000))</f>
        <v/>
      </c>
      <c r="E4634">
        <f>IF(A4634="","",6-CEILING(PERCENTRANK.INC($B$3:$B$6000,B4634,4)*5+0.000001,1))</f>
        <v/>
      </c>
      <c r="F4634">
        <f>IF(A4634="","",MAX(1,CEILING(PERCENTRANK.INC($C$3:$C$6000,C4634,4)*5+0.000001,1)))</f>
        <v/>
      </c>
      <c r="G4634">
        <f>IF(A4634="","",MAX(1,CEILING(PERCENTRANK.INC($D$3:$D$6000,D4634,4)*5+0.000001,1)))</f>
        <v/>
      </c>
      <c r="H4634">
        <f>IF(A4634="","",E4634&amp;F4634&amp;G4634)</f>
        <v/>
      </c>
      <c r="I4634">
        <f>IF(A4634="","",IF(AND(E4634&gt;=4,F4634&gt;=4,G4634&gt;=4),"Juara",IF(AND(F4634&gt;=4,E4634&gt;=3),"Setia",IF(AND(E4634=5,F4634&lt;=2,G4634&gt;=3),"Berpotensi",IF(AND(E4634&lt;=3,E4634&gt;=2,F4634&gt;=3),"Rawan",IF(AND(E4634&lt;=2,F4634&lt;=2),"Tidur","Umum"))))))</f>
        <v/>
      </c>
    </row>
    <row r="4635">
      <c r="B4635">
        <f>IF(A4635="","",$B$1-MAXIFS(Donasi!$A$2:$A$20000,Donasi!$B$2:$B$20000,A4635))</f>
        <v/>
      </c>
      <c r="C4635">
        <f>IF(A4635="","",COUNTIF(Donasi!$B$2:$B$20000,A4635))</f>
        <v/>
      </c>
      <c r="D4635">
        <f>IF(A4635="","",SUMIF(Donasi!$B$2:$B$20000,A4635,Donasi!$C$2:$C$20000))</f>
        <v/>
      </c>
      <c r="E4635">
        <f>IF(A4635="","",6-CEILING(PERCENTRANK.INC($B$3:$B$6000,B4635,4)*5+0.000001,1))</f>
        <v/>
      </c>
      <c r="F4635">
        <f>IF(A4635="","",MAX(1,CEILING(PERCENTRANK.INC($C$3:$C$6000,C4635,4)*5+0.000001,1)))</f>
        <v/>
      </c>
      <c r="G4635">
        <f>IF(A4635="","",MAX(1,CEILING(PERCENTRANK.INC($D$3:$D$6000,D4635,4)*5+0.000001,1)))</f>
        <v/>
      </c>
      <c r="H4635">
        <f>IF(A4635="","",E4635&amp;F4635&amp;G4635)</f>
        <v/>
      </c>
      <c r="I4635">
        <f>IF(A4635="","",IF(AND(E4635&gt;=4,F4635&gt;=4,G4635&gt;=4),"Juara",IF(AND(F4635&gt;=4,E4635&gt;=3),"Setia",IF(AND(E4635=5,F4635&lt;=2,G4635&gt;=3),"Berpotensi",IF(AND(E4635&lt;=3,E4635&gt;=2,F4635&gt;=3),"Rawan",IF(AND(E4635&lt;=2,F4635&lt;=2),"Tidur","Umum"))))))</f>
        <v/>
      </c>
    </row>
    <row r="4636">
      <c r="B4636">
        <f>IF(A4636="","",$B$1-MAXIFS(Donasi!$A$2:$A$20000,Donasi!$B$2:$B$20000,A4636))</f>
        <v/>
      </c>
      <c r="C4636">
        <f>IF(A4636="","",COUNTIF(Donasi!$B$2:$B$20000,A4636))</f>
        <v/>
      </c>
      <c r="D4636">
        <f>IF(A4636="","",SUMIF(Donasi!$B$2:$B$20000,A4636,Donasi!$C$2:$C$20000))</f>
        <v/>
      </c>
      <c r="E4636">
        <f>IF(A4636="","",6-CEILING(PERCENTRANK.INC($B$3:$B$6000,B4636,4)*5+0.000001,1))</f>
        <v/>
      </c>
      <c r="F4636">
        <f>IF(A4636="","",MAX(1,CEILING(PERCENTRANK.INC($C$3:$C$6000,C4636,4)*5+0.000001,1)))</f>
        <v/>
      </c>
      <c r="G4636">
        <f>IF(A4636="","",MAX(1,CEILING(PERCENTRANK.INC($D$3:$D$6000,D4636,4)*5+0.000001,1)))</f>
        <v/>
      </c>
      <c r="H4636">
        <f>IF(A4636="","",E4636&amp;F4636&amp;G4636)</f>
        <v/>
      </c>
      <c r="I4636">
        <f>IF(A4636="","",IF(AND(E4636&gt;=4,F4636&gt;=4,G4636&gt;=4),"Juara",IF(AND(F4636&gt;=4,E4636&gt;=3),"Setia",IF(AND(E4636=5,F4636&lt;=2,G4636&gt;=3),"Berpotensi",IF(AND(E4636&lt;=3,E4636&gt;=2,F4636&gt;=3),"Rawan",IF(AND(E4636&lt;=2,F4636&lt;=2),"Tidur","Umum"))))))</f>
        <v/>
      </c>
    </row>
    <row r="4637">
      <c r="B4637">
        <f>IF(A4637="","",$B$1-MAXIFS(Donasi!$A$2:$A$20000,Donasi!$B$2:$B$20000,A4637))</f>
        <v/>
      </c>
      <c r="C4637">
        <f>IF(A4637="","",COUNTIF(Donasi!$B$2:$B$20000,A4637))</f>
        <v/>
      </c>
      <c r="D4637">
        <f>IF(A4637="","",SUMIF(Donasi!$B$2:$B$20000,A4637,Donasi!$C$2:$C$20000))</f>
        <v/>
      </c>
      <c r="E4637">
        <f>IF(A4637="","",6-CEILING(PERCENTRANK.INC($B$3:$B$6000,B4637,4)*5+0.000001,1))</f>
        <v/>
      </c>
      <c r="F4637">
        <f>IF(A4637="","",MAX(1,CEILING(PERCENTRANK.INC($C$3:$C$6000,C4637,4)*5+0.000001,1)))</f>
        <v/>
      </c>
      <c r="G4637">
        <f>IF(A4637="","",MAX(1,CEILING(PERCENTRANK.INC($D$3:$D$6000,D4637,4)*5+0.000001,1)))</f>
        <v/>
      </c>
      <c r="H4637">
        <f>IF(A4637="","",E4637&amp;F4637&amp;G4637)</f>
        <v/>
      </c>
      <c r="I4637">
        <f>IF(A4637="","",IF(AND(E4637&gt;=4,F4637&gt;=4,G4637&gt;=4),"Juara",IF(AND(F4637&gt;=4,E4637&gt;=3),"Setia",IF(AND(E4637=5,F4637&lt;=2,G4637&gt;=3),"Berpotensi",IF(AND(E4637&lt;=3,E4637&gt;=2,F4637&gt;=3),"Rawan",IF(AND(E4637&lt;=2,F4637&lt;=2),"Tidur","Umum"))))))</f>
        <v/>
      </c>
    </row>
    <row r="4638">
      <c r="B4638">
        <f>IF(A4638="","",$B$1-MAXIFS(Donasi!$A$2:$A$20000,Donasi!$B$2:$B$20000,A4638))</f>
        <v/>
      </c>
      <c r="C4638">
        <f>IF(A4638="","",COUNTIF(Donasi!$B$2:$B$20000,A4638))</f>
        <v/>
      </c>
      <c r="D4638">
        <f>IF(A4638="","",SUMIF(Donasi!$B$2:$B$20000,A4638,Donasi!$C$2:$C$20000))</f>
        <v/>
      </c>
      <c r="E4638">
        <f>IF(A4638="","",6-CEILING(PERCENTRANK.INC($B$3:$B$6000,B4638,4)*5+0.000001,1))</f>
        <v/>
      </c>
      <c r="F4638">
        <f>IF(A4638="","",MAX(1,CEILING(PERCENTRANK.INC($C$3:$C$6000,C4638,4)*5+0.000001,1)))</f>
        <v/>
      </c>
      <c r="G4638">
        <f>IF(A4638="","",MAX(1,CEILING(PERCENTRANK.INC($D$3:$D$6000,D4638,4)*5+0.000001,1)))</f>
        <v/>
      </c>
      <c r="H4638">
        <f>IF(A4638="","",E4638&amp;F4638&amp;G4638)</f>
        <v/>
      </c>
      <c r="I4638">
        <f>IF(A4638="","",IF(AND(E4638&gt;=4,F4638&gt;=4,G4638&gt;=4),"Juara",IF(AND(F4638&gt;=4,E4638&gt;=3),"Setia",IF(AND(E4638=5,F4638&lt;=2,G4638&gt;=3),"Berpotensi",IF(AND(E4638&lt;=3,E4638&gt;=2,F4638&gt;=3),"Rawan",IF(AND(E4638&lt;=2,F4638&lt;=2),"Tidur","Umum"))))))</f>
        <v/>
      </c>
    </row>
    <row r="4639">
      <c r="B4639">
        <f>IF(A4639="","",$B$1-MAXIFS(Donasi!$A$2:$A$20000,Donasi!$B$2:$B$20000,A4639))</f>
        <v/>
      </c>
      <c r="C4639">
        <f>IF(A4639="","",COUNTIF(Donasi!$B$2:$B$20000,A4639))</f>
        <v/>
      </c>
      <c r="D4639">
        <f>IF(A4639="","",SUMIF(Donasi!$B$2:$B$20000,A4639,Donasi!$C$2:$C$20000))</f>
        <v/>
      </c>
      <c r="E4639">
        <f>IF(A4639="","",6-CEILING(PERCENTRANK.INC($B$3:$B$6000,B4639,4)*5+0.000001,1))</f>
        <v/>
      </c>
      <c r="F4639">
        <f>IF(A4639="","",MAX(1,CEILING(PERCENTRANK.INC($C$3:$C$6000,C4639,4)*5+0.000001,1)))</f>
        <v/>
      </c>
      <c r="G4639">
        <f>IF(A4639="","",MAX(1,CEILING(PERCENTRANK.INC($D$3:$D$6000,D4639,4)*5+0.000001,1)))</f>
        <v/>
      </c>
      <c r="H4639">
        <f>IF(A4639="","",E4639&amp;F4639&amp;G4639)</f>
        <v/>
      </c>
      <c r="I4639">
        <f>IF(A4639="","",IF(AND(E4639&gt;=4,F4639&gt;=4,G4639&gt;=4),"Juara",IF(AND(F4639&gt;=4,E4639&gt;=3),"Setia",IF(AND(E4639=5,F4639&lt;=2,G4639&gt;=3),"Berpotensi",IF(AND(E4639&lt;=3,E4639&gt;=2,F4639&gt;=3),"Rawan",IF(AND(E4639&lt;=2,F4639&lt;=2),"Tidur","Umum"))))))</f>
        <v/>
      </c>
    </row>
    <row r="4640">
      <c r="B4640">
        <f>IF(A4640="","",$B$1-MAXIFS(Donasi!$A$2:$A$20000,Donasi!$B$2:$B$20000,A4640))</f>
        <v/>
      </c>
      <c r="C4640">
        <f>IF(A4640="","",COUNTIF(Donasi!$B$2:$B$20000,A4640))</f>
        <v/>
      </c>
      <c r="D4640">
        <f>IF(A4640="","",SUMIF(Donasi!$B$2:$B$20000,A4640,Donasi!$C$2:$C$20000))</f>
        <v/>
      </c>
      <c r="E4640">
        <f>IF(A4640="","",6-CEILING(PERCENTRANK.INC($B$3:$B$6000,B4640,4)*5+0.000001,1))</f>
        <v/>
      </c>
      <c r="F4640">
        <f>IF(A4640="","",MAX(1,CEILING(PERCENTRANK.INC($C$3:$C$6000,C4640,4)*5+0.000001,1)))</f>
        <v/>
      </c>
      <c r="G4640">
        <f>IF(A4640="","",MAX(1,CEILING(PERCENTRANK.INC($D$3:$D$6000,D4640,4)*5+0.000001,1)))</f>
        <v/>
      </c>
      <c r="H4640">
        <f>IF(A4640="","",E4640&amp;F4640&amp;G4640)</f>
        <v/>
      </c>
      <c r="I4640">
        <f>IF(A4640="","",IF(AND(E4640&gt;=4,F4640&gt;=4,G4640&gt;=4),"Juara",IF(AND(F4640&gt;=4,E4640&gt;=3),"Setia",IF(AND(E4640=5,F4640&lt;=2,G4640&gt;=3),"Berpotensi",IF(AND(E4640&lt;=3,E4640&gt;=2,F4640&gt;=3),"Rawan",IF(AND(E4640&lt;=2,F4640&lt;=2),"Tidur","Umum"))))))</f>
        <v/>
      </c>
    </row>
    <row r="4641">
      <c r="B4641">
        <f>IF(A4641="","",$B$1-MAXIFS(Donasi!$A$2:$A$20000,Donasi!$B$2:$B$20000,A4641))</f>
        <v/>
      </c>
      <c r="C4641">
        <f>IF(A4641="","",COUNTIF(Donasi!$B$2:$B$20000,A4641))</f>
        <v/>
      </c>
      <c r="D4641">
        <f>IF(A4641="","",SUMIF(Donasi!$B$2:$B$20000,A4641,Donasi!$C$2:$C$20000))</f>
        <v/>
      </c>
      <c r="E4641">
        <f>IF(A4641="","",6-CEILING(PERCENTRANK.INC($B$3:$B$6000,B4641,4)*5+0.000001,1))</f>
        <v/>
      </c>
      <c r="F4641">
        <f>IF(A4641="","",MAX(1,CEILING(PERCENTRANK.INC($C$3:$C$6000,C4641,4)*5+0.000001,1)))</f>
        <v/>
      </c>
      <c r="G4641">
        <f>IF(A4641="","",MAX(1,CEILING(PERCENTRANK.INC($D$3:$D$6000,D4641,4)*5+0.000001,1)))</f>
        <v/>
      </c>
      <c r="H4641">
        <f>IF(A4641="","",E4641&amp;F4641&amp;G4641)</f>
        <v/>
      </c>
      <c r="I4641">
        <f>IF(A4641="","",IF(AND(E4641&gt;=4,F4641&gt;=4,G4641&gt;=4),"Juara",IF(AND(F4641&gt;=4,E4641&gt;=3),"Setia",IF(AND(E4641=5,F4641&lt;=2,G4641&gt;=3),"Berpotensi",IF(AND(E4641&lt;=3,E4641&gt;=2,F4641&gt;=3),"Rawan",IF(AND(E4641&lt;=2,F4641&lt;=2),"Tidur","Umum"))))))</f>
        <v/>
      </c>
    </row>
    <row r="4642">
      <c r="B4642">
        <f>IF(A4642="","",$B$1-MAXIFS(Donasi!$A$2:$A$20000,Donasi!$B$2:$B$20000,A4642))</f>
        <v/>
      </c>
      <c r="C4642">
        <f>IF(A4642="","",COUNTIF(Donasi!$B$2:$B$20000,A4642))</f>
        <v/>
      </c>
      <c r="D4642">
        <f>IF(A4642="","",SUMIF(Donasi!$B$2:$B$20000,A4642,Donasi!$C$2:$C$20000))</f>
        <v/>
      </c>
      <c r="E4642">
        <f>IF(A4642="","",6-CEILING(PERCENTRANK.INC($B$3:$B$6000,B4642,4)*5+0.000001,1))</f>
        <v/>
      </c>
      <c r="F4642">
        <f>IF(A4642="","",MAX(1,CEILING(PERCENTRANK.INC($C$3:$C$6000,C4642,4)*5+0.000001,1)))</f>
        <v/>
      </c>
      <c r="G4642">
        <f>IF(A4642="","",MAX(1,CEILING(PERCENTRANK.INC($D$3:$D$6000,D4642,4)*5+0.000001,1)))</f>
        <v/>
      </c>
      <c r="H4642">
        <f>IF(A4642="","",E4642&amp;F4642&amp;G4642)</f>
        <v/>
      </c>
      <c r="I4642">
        <f>IF(A4642="","",IF(AND(E4642&gt;=4,F4642&gt;=4,G4642&gt;=4),"Juara",IF(AND(F4642&gt;=4,E4642&gt;=3),"Setia",IF(AND(E4642=5,F4642&lt;=2,G4642&gt;=3),"Berpotensi",IF(AND(E4642&lt;=3,E4642&gt;=2,F4642&gt;=3),"Rawan",IF(AND(E4642&lt;=2,F4642&lt;=2),"Tidur","Umum"))))))</f>
        <v/>
      </c>
    </row>
    <row r="4643">
      <c r="B4643">
        <f>IF(A4643="","",$B$1-MAXIFS(Donasi!$A$2:$A$20000,Donasi!$B$2:$B$20000,A4643))</f>
        <v/>
      </c>
      <c r="C4643">
        <f>IF(A4643="","",COUNTIF(Donasi!$B$2:$B$20000,A4643))</f>
        <v/>
      </c>
      <c r="D4643">
        <f>IF(A4643="","",SUMIF(Donasi!$B$2:$B$20000,A4643,Donasi!$C$2:$C$20000))</f>
        <v/>
      </c>
      <c r="E4643">
        <f>IF(A4643="","",6-CEILING(PERCENTRANK.INC($B$3:$B$6000,B4643,4)*5+0.000001,1))</f>
        <v/>
      </c>
      <c r="F4643">
        <f>IF(A4643="","",MAX(1,CEILING(PERCENTRANK.INC($C$3:$C$6000,C4643,4)*5+0.000001,1)))</f>
        <v/>
      </c>
      <c r="G4643">
        <f>IF(A4643="","",MAX(1,CEILING(PERCENTRANK.INC($D$3:$D$6000,D4643,4)*5+0.000001,1)))</f>
        <v/>
      </c>
      <c r="H4643">
        <f>IF(A4643="","",E4643&amp;F4643&amp;G4643)</f>
        <v/>
      </c>
      <c r="I4643">
        <f>IF(A4643="","",IF(AND(E4643&gt;=4,F4643&gt;=4,G4643&gt;=4),"Juara",IF(AND(F4643&gt;=4,E4643&gt;=3),"Setia",IF(AND(E4643=5,F4643&lt;=2,G4643&gt;=3),"Berpotensi",IF(AND(E4643&lt;=3,E4643&gt;=2,F4643&gt;=3),"Rawan",IF(AND(E4643&lt;=2,F4643&lt;=2),"Tidur","Umum"))))))</f>
        <v/>
      </c>
    </row>
    <row r="4644">
      <c r="B4644">
        <f>IF(A4644="","",$B$1-MAXIFS(Donasi!$A$2:$A$20000,Donasi!$B$2:$B$20000,A4644))</f>
        <v/>
      </c>
      <c r="C4644">
        <f>IF(A4644="","",COUNTIF(Donasi!$B$2:$B$20000,A4644))</f>
        <v/>
      </c>
      <c r="D4644">
        <f>IF(A4644="","",SUMIF(Donasi!$B$2:$B$20000,A4644,Donasi!$C$2:$C$20000))</f>
        <v/>
      </c>
      <c r="E4644">
        <f>IF(A4644="","",6-CEILING(PERCENTRANK.INC($B$3:$B$6000,B4644,4)*5+0.000001,1))</f>
        <v/>
      </c>
      <c r="F4644">
        <f>IF(A4644="","",MAX(1,CEILING(PERCENTRANK.INC($C$3:$C$6000,C4644,4)*5+0.000001,1)))</f>
        <v/>
      </c>
      <c r="G4644">
        <f>IF(A4644="","",MAX(1,CEILING(PERCENTRANK.INC($D$3:$D$6000,D4644,4)*5+0.000001,1)))</f>
        <v/>
      </c>
      <c r="H4644">
        <f>IF(A4644="","",E4644&amp;F4644&amp;G4644)</f>
        <v/>
      </c>
      <c r="I4644">
        <f>IF(A4644="","",IF(AND(E4644&gt;=4,F4644&gt;=4,G4644&gt;=4),"Juara",IF(AND(F4644&gt;=4,E4644&gt;=3),"Setia",IF(AND(E4644=5,F4644&lt;=2,G4644&gt;=3),"Berpotensi",IF(AND(E4644&lt;=3,E4644&gt;=2,F4644&gt;=3),"Rawan",IF(AND(E4644&lt;=2,F4644&lt;=2),"Tidur","Umum"))))))</f>
        <v/>
      </c>
    </row>
    <row r="4645">
      <c r="B4645">
        <f>IF(A4645="","",$B$1-MAXIFS(Donasi!$A$2:$A$20000,Donasi!$B$2:$B$20000,A4645))</f>
        <v/>
      </c>
      <c r="C4645">
        <f>IF(A4645="","",COUNTIF(Donasi!$B$2:$B$20000,A4645))</f>
        <v/>
      </c>
      <c r="D4645">
        <f>IF(A4645="","",SUMIF(Donasi!$B$2:$B$20000,A4645,Donasi!$C$2:$C$20000))</f>
        <v/>
      </c>
      <c r="E4645">
        <f>IF(A4645="","",6-CEILING(PERCENTRANK.INC($B$3:$B$6000,B4645,4)*5+0.000001,1))</f>
        <v/>
      </c>
      <c r="F4645">
        <f>IF(A4645="","",MAX(1,CEILING(PERCENTRANK.INC($C$3:$C$6000,C4645,4)*5+0.000001,1)))</f>
        <v/>
      </c>
      <c r="G4645">
        <f>IF(A4645="","",MAX(1,CEILING(PERCENTRANK.INC($D$3:$D$6000,D4645,4)*5+0.000001,1)))</f>
        <v/>
      </c>
      <c r="H4645">
        <f>IF(A4645="","",E4645&amp;F4645&amp;G4645)</f>
        <v/>
      </c>
      <c r="I4645">
        <f>IF(A4645="","",IF(AND(E4645&gt;=4,F4645&gt;=4,G4645&gt;=4),"Juara",IF(AND(F4645&gt;=4,E4645&gt;=3),"Setia",IF(AND(E4645=5,F4645&lt;=2,G4645&gt;=3),"Berpotensi",IF(AND(E4645&lt;=3,E4645&gt;=2,F4645&gt;=3),"Rawan",IF(AND(E4645&lt;=2,F4645&lt;=2),"Tidur","Umum"))))))</f>
        <v/>
      </c>
    </row>
    <row r="4646">
      <c r="B4646">
        <f>IF(A4646="","",$B$1-MAXIFS(Donasi!$A$2:$A$20000,Donasi!$B$2:$B$20000,A4646))</f>
        <v/>
      </c>
      <c r="C4646">
        <f>IF(A4646="","",COUNTIF(Donasi!$B$2:$B$20000,A4646))</f>
        <v/>
      </c>
      <c r="D4646">
        <f>IF(A4646="","",SUMIF(Donasi!$B$2:$B$20000,A4646,Donasi!$C$2:$C$20000))</f>
        <v/>
      </c>
      <c r="E4646">
        <f>IF(A4646="","",6-CEILING(PERCENTRANK.INC($B$3:$B$6000,B4646,4)*5+0.000001,1))</f>
        <v/>
      </c>
      <c r="F4646">
        <f>IF(A4646="","",MAX(1,CEILING(PERCENTRANK.INC($C$3:$C$6000,C4646,4)*5+0.000001,1)))</f>
        <v/>
      </c>
      <c r="G4646">
        <f>IF(A4646="","",MAX(1,CEILING(PERCENTRANK.INC($D$3:$D$6000,D4646,4)*5+0.000001,1)))</f>
        <v/>
      </c>
      <c r="H4646">
        <f>IF(A4646="","",E4646&amp;F4646&amp;G4646)</f>
        <v/>
      </c>
      <c r="I4646">
        <f>IF(A4646="","",IF(AND(E4646&gt;=4,F4646&gt;=4,G4646&gt;=4),"Juara",IF(AND(F4646&gt;=4,E4646&gt;=3),"Setia",IF(AND(E4646=5,F4646&lt;=2,G4646&gt;=3),"Berpotensi",IF(AND(E4646&lt;=3,E4646&gt;=2,F4646&gt;=3),"Rawan",IF(AND(E4646&lt;=2,F4646&lt;=2),"Tidur","Umum"))))))</f>
        <v/>
      </c>
    </row>
    <row r="4647">
      <c r="B4647">
        <f>IF(A4647="","",$B$1-MAXIFS(Donasi!$A$2:$A$20000,Donasi!$B$2:$B$20000,A4647))</f>
        <v/>
      </c>
      <c r="C4647">
        <f>IF(A4647="","",COUNTIF(Donasi!$B$2:$B$20000,A4647))</f>
        <v/>
      </c>
      <c r="D4647">
        <f>IF(A4647="","",SUMIF(Donasi!$B$2:$B$20000,A4647,Donasi!$C$2:$C$20000))</f>
        <v/>
      </c>
      <c r="E4647">
        <f>IF(A4647="","",6-CEILING(PERCENTRANK.INC($B$3:$B$6000,B4647,4)*5+0.000001,1))</f>
        <v/>
      </c>
      <c r="F4647">
        <f>IF(A4647="","",MAX(1,CEILING(PERCENTRANK.INC($C$3:$C$6000,C4647,4)*5+0.000001,1)))</f>
        <v/>
      </c>
      <c r="G4647">
        <f>IF(A4647="","",MAX(1,CEILING(PERCENTRANK.INC($D$3:$D$6000,D4647,4)*5+0.000001,1)))</f>
        <v/>
      </c>
      <c r="H4647">
        <f>IF(A4647="","",E4647&amp;F4647&amp;G4647)</f>
        <v/>
      </c>
      <c r="I4647">
        <f>IF(A4647="","",IF(AND(E4647&gt;=4,F4647&gt;=4,G4647&gt;=4),"Juara",IF(AND(F4647&gt;=4,E4647&gt;=3),"Setia",IF(AND(E4647=5,F4647&lt;=2,G4647&gt;=3),"Berpotensi",IF(AND(E4647&lt;=3,E4647&gt;=2,F4647&gt;=3),"Rawan",IF(AND(E4647&lt;=2,F4647&lt;=2),"Tidur","Umum"))))))</f>
        <v/>
      </c>
    </row>
    <row r="4648">
      <c r="B4648">
        <f>IF(A4648="","",$B$1-MAXIFS(Donasi!$A$2:$A$20000,Donasi!$B$2:$B$20000,A4648))</f>
        <v/>
      </c>
      <c r="C4648">
        <f>IF(A4648="","",COUNTIF(Donasi!$B$2:$B$20000,A4648))</f>
        <v/>
      </c>
      <c r="D4648">
        <f>IF(A4648="","",SUMIF(Donasi!$B$2:$B$20000,A4648,Donasi!$C$2:$C$20000))</f>
        <v/>
      </c>
      <c r="E4648">
        <f>IF(A4648="","",6-CEILING(PERCENTRANK.INC($B$3:$B$6000,B4648,4)*5+0.000001,1))</f>
        <v/>
      </c>
      <c r="F4648">
        <f>IF(A4648="","",MAX(1,CEILING(PERCENTRANK.INC($C$3:$C$6000,C4648,4)*5+0.000001,1)))</f>
        <v/>
      </c>
      <c r="G4648">
        <f>IF(A4648="","",MAX(1,CEILING(PERCENTRANK.INC($D$3:$D$6000,D4648,4)*5+0.000001,1)))</f>
        <v/>
      </c>
      <c r="H4648">
        <f>IF(A4648="","",E4648&amp;F4648&amp;G4648)</f>
        <v/>
      </c>
      <c r="I4648">
        <f>IF(A4648="","",IF(AND(E4648&gt;=4,F4648&gt;=4,G4648&gt;=4),"Juara",IF(AND(F4648&gt;=4,E4648&gt;=3),"Setia",IF(AND(E4648=5,F4648&lt;=2,G4648&gt;=3),"Berpotensi",IF(AND(E4648&lt;=3,E4648&gt;=2,F4648&gt;=3),"Rawan",IF(AND(E4648&lt;=2,F4648&lt;=2),"Tidur","Umum"))))))</f>
        <v/>
      </c>
    </row>
    <row r="4649">
      <c r="B4649">
        <f>IF(A4649="","",$B$1-MAXIFS(Donasi!$A$2:$A$20000,Donasi!$B$2:$B$20000,A4649))</f>
        <v/>
      </c>
      <c r="C4649">
        <f>IF(A4649="","",COUNTIF(Donasi!$B$2:$B$20000,A4649))</f>
        <v/>
      </c>
      <c r="D4649">
        <f>IF(A4649="","",SUMIF(Donasi!$B$2:$B$20000,A4649,Donasi!$C$2:$C$20000))</f>
        <v/>
      </c>
      <c r="E4649">
        <f>IF(A4649="","",6-CEILING(PERCENTRANK.INC($B$3:$B$6000,B4649,4)*5+0.000001,1))</f>
        <v/>
      </c>
      <c r="F4649">
        <f>IF(A4649="","",MAX(1,CEILING(PERCENTRANK.INC($C$3:$C$6000,C4649,4)*5+0.000001,1)))</f>
        <v/>
      </c>
      <c r="G4649">
        <f>IF(A4649="","",MAX(1,CEILING(PERCENTRANK.INC($D$3:$D$6000,D4649,4)*5+0.000001,1)))</f>
        <v/>
      </c>
      <c r="H4649">
        <f>IF(A4649="","",E4649&amp;F4649&amp;G4649)</f>
        <v/>
      </c>
      <c r="I4649">
        <f>IF(A4649="","",IF(AND(E4649&gt;=4,F4649&gt;=4,G4649&gt;=4),"Juara",IF(AND(F4649&gt;=4,E4649&gt;=3),"Setia",IF(AND(E4649=5,F4649&lt;=2,G4649&gt;=3),"Berpotensi",IF(AND(E4649&lt;=3,E4649&gt;=2,F4649&gt;=3),"Rawan",IF(AND(E4649&lt;=2,F4649&lt;=2),"Tidur","Umum"))))))</f>
        <v/>
      </c>
    </row>
    <row r="4650">
      <c r="B4650">
        <f>IF(A4650="","",$B$1-MAXIFS(Donasi!$A$2:$A$20000,Donasi!$B$2:$B$20000,A4650))</f>
        <v/>
      </c>
      <c r="C4650">
        <f>IF(A4650="","",COUNTIF(Donasi!$B$2:$B$20000,A4650))</f>
        <v/>
      </c>
      <c r="D4650">
        <f>IF(A4650="","",SUMIF(Donasi!$B$2:$B$20000,A4650,Donasi!$C$2:$C$20000))</f>
        <v/>
      </c>
      <c r="E4650">
        <f>IF(A4650="","",6-CEILING(PERCENTRANK.INC($B$3:$B$6000,B4650,4)*5+0.000001,1))</f>
        <v/>
      </c>
      <c r="F4650">
        <f>IF(A4650="","",MAX(1,CEILING(PERCENTRANK.INC($C$3:$C$6000,C4650,4)*5+0.000001,1)))</f>
        <v/>
      </c>
      <c r="G4650">
        <f>IF(A4650="","",MAX(1,CEILING(PERCENTRANK.INC($D$3:$D$6000,D4650,4)*5+0.000001,1)))</f>
        <v/>
      </c>
      <c r="H4650">
        <f>IF(A4650="","",E4650&amp;F4650&amp;G4650)</f>
        <v/>
      </c>
      <c r="I4650">
        <f>IF(A4650="","",IF(AND(E4650&gt;=4,F4650&gt;=4,G4650&gt;=4),"Juara",IF(AND(F4650&gt;=4,E4650&gt;=3),"Setia",IF(AND(E4650=5,F4650&lt;=2,G4650&gt;=3),"Berpotensi",IF(AND(E4650&lt;=3,E4650&gt;=2,F4650&gt;=3),"Rawan",IF(AND(E4650&lt;=2,F4650&lt;=2),"Tidur","Umum"))))))</f>
        <v/>
      </c>
    </row>
    <row r="4651">
      <c r="B4651">
        <f>IF(A4651="","",$B$1-MAXIFS(Donasi!$A$2:$A$20000,Donasi!$B$2:$B$20000,A4651))</f>
        <v/>
      </c>
      <c r="C4651">
        <f>IF(A4651="","",COUNTIF(Donasi!$B$2:$B$20000,A4651))</f>
        <v/>
      </c>
      <c r="D4651">
        <f>IF(A4651="","",SUMIF(Donasi!$B$2:$B$20000,A4651,Donasi!$C$2:$C$20000))</f>
        <v/>
      </c>
      <c r="E4651">
        <f>IF(A4651="","",6-CEILING(PERCENTRANK.INC($B$3:$B$6000,B4651,4)*5+0.000001,1))</f>
        <v/>
      </c>
      <c r="F4651">
        <f>IF(A4651="","",MAX(1,CEILING(PERCENTRANK.INC($C$3:$C$6000,C4651,4)*5+0.000001,1)))</f>
        <v/>
      </c>
      <c r="G4651">
        <f>IF(A4651="","",MAX(1,CEILING(PERCENTRANK.INC($D$3:$D$6000,D4651,4)*5+0.000001,1)))</f>
        <v/>
      </c>
      <c r="H4651">
        <f>IF(A4651="","",E4651&amp;F4651&amp;G4651)</f>
        <v/>
      </c>
      <c r="I4651">
        <f>IF(A4651="","",IF(AND(E4651&gt;=4,F4651&gt;=4,G4651&gt;=4),"Juara",IF(AND(F4651&gt;=4,E4651&gt;=3),"Setia",IF(AND(E4651=5,F4651&lt;=2,G4651&gt;=3),"Berpotensi",IF(AND(E4651&lt;=3,E4651&gt;=2,F4651&gt;=3),"Rawan",IF(AND(E4651&lt;=2,F4651&lt;=2),"Tidur","Umum"))))))</f>
        <v/>
      </c>
    </row>
    <row r="4652">
      <c r="B4652">
        <f>IF(A4652="","",$B$1-MAXIFS(Donasi!$A$2:$A$20000,Donasi!$B$2:$B$20000,A4652))</f>
        <v/>
      </c>
      <c r="C4652">
        <f>IF(A4652="","",COUNTIF(Donasi!$B$2:$B$20000,A4652))</f>
        <v/>
      </c>
      <c r="D4652">
        <f>IF(A4652="","",SUMIF(Donasi!$B$2:$B$20000,A4652,Donasi!$C$2:$C$20000))</f>
        <v/>
      </c>
      <c r="E4652">
        <f>IF(A4652="","",6-CEILING(PERCENTRANK.INC($B$3:$B$6000,B4652,4)*5+0.000001,1))</f>
        <v/>
      </c>
      <c r="F4652">
        <f>IF(A4652="","",MAX(1,CEILING(PERCENTRANK.INC($C$3:$C$6000,C4652,4)*5+0.000001,1)))</f>
        <v/>
      </c>
      <c r="G4652">
        <f>IF(A4652="","",MAX(1,CEILING(PERCENTRANK.INC($D$3:$D$6000,D4652,4)*5+0.000001,1)))</f>
        <v/>
      </c>
      <c r="H4652">
        <f>IF(A4652="","",E4652&amp;F4652&amp;G4652)</f>
        <v/>
      </c>
      <c r="I4652">
        <f>IF(A4652="","",IF(AND(E4652&gt;=4,F4652&gt;=4,G4652&gt;=4),"Juara",IF(AND(F4652&gt;=4,E4652&gt;=3),"Setia",IF(AND(E4652=5,F4652&lt;=2,G4652&gt;=3),"Berpotensi",IF(AND(E4652&lt;=3,E4652&gt;=2,F4652&gt;=3),"Rawan",IF(AND(E4652&lt;=2,F4652&lt;=2),"Tidur","Umum"))))))</f>
        <v/>
      </c>
    </row>
    <row r="4653">
      <c r="B4653">
        <f>IF(A4653="","",$B$1-MAXIFS(Donasi!$A$2:$A$20000,Donasi!$B$2:$B$20000,A4653))</f>
        <v/>
      </c>
      <c r="C4653">
        <f>IF(A4653="","",COUNTIF(Donasi!$B$2:$B$20000,A4653))</f>
        <v/>
      </c>
      <c r="D4653">
        <f>IF(A4653="","",SUMIF(Donasi!$B$2:$B$20000,A4653,Donasi!$C$2:$C$20000))</f>
        <v/>
      </c>
      <c r="E4653">
        <f>IF(A4653="","",6-CEILING(PERCENTRANK.INC($B$3:$B$6000,B4653,4)*5+0.000001,1))</f>
        <v/>
      </c>
      <c r="F4653">
        <f>IF(A4653="","",MAX(1,CEILING(PERCENTRANK.INC($C$3:$C$6000,C4653,4)*5+0.000001,1)))</f>
        <v/>
      </c>
      <c r="G4653">
        <f>IF(A4653="","",MAX(1,CEILING(PERCENTRANK.INC($D$3:$D$6000,D4653,4)*5+0.000001,1)))</f>
        <v/>
      </c>
      <c r="H4653">
        <f>IF(A4653="","",E4653&amp;F4653&amp;G4653)</f>
        <v/>
      </c>
      <c r="I4653">
        <f>IF(A4653="","",IF(AND(E4653&gt;=4,F4653&gt;=4,G4653&gt;=4),"Juara",IF(AND(F4653&gt;=4,E4653&gt;=3),"Setia",IF(AND(E4653=5,F4653&lt;=2,G4653&gt;=3),"Berpotensi",IF(AND(E4653&lt;=3,E4653&gt;=2,F4653&gt;=3),"Rawan",IF(AND(E4653&lt;=2,F4653&lt;=2),"Tidur","Umum"))))))</f>
        <v/>
      </c>
    </row>
    <row r="4654">
      <c r="B4654">
        <f>IF(A4654="","",$B$1-MAXIFS(Donasi!$A$2:$A$20000,Donasi!$B$2:$B$20000,A4654))</f>
        <v/>
      </c>
      <c r="C4654">
        <f>IF(A4654="","",COUNTIF(Donasi!$B$2:$B$20000,A4654))</f>
        <v/>
      </c>
      <c r="D4654">
        <f>IF(A4654="","",SUMIF(Donasi!$B$2:$B$20000,A4654,Donasi!$C$2:$C$20000))</f>
        <v/>
      </c>
      <c r="E4654">
        <f>IF(A4654="","",6-CEILING(PERCENTRANK.INC($B$3:$B$6000,B4654,4)*5+0.000001,1))</f>
        <v/>
      </c>
      <c r="F4654">
        <f>IF(A4654="","",MAX(1,CEILING(PERCENTRANK.INC($C$3:$C$6000,C4654,4)*5+0.000001,1)))</f>
        <v/>
      </c>
      <c r="G4654">
        <f>IF(A4654="","",MAX(1,CEILING(PERCENTRANK.INC($D$3:$D$6000,D4654,4)*5+0.000001,1)))</f>
        <v/>
      </c>
      <c r="H4654">
        <f>IF(A4654="","",E4654&amp;F4654&amp;G4654)</f>
        <v/>
      </c>
      <c r="I4654">
        <f>IF(A4654="","",IF(AND(E4654&gt;=4,F4654&gt;=4,G4654&gt;=4),"Juara",IF(AND(F4654&gt;=4,E4654&gt;=3),"Setia",IF(AND(E4654=5,F4654&lt;=2,G4654&gt;=3),"Berpotensi",IF(AND(E4654&lt;=3,E4654&gt;=2,F4654&gt;=3),"Rawan",IF(AND(E4654&lt;=2,F4654&lt;=2),"Tidur","Umum"))))))</f>
        <v/>
      </c>
    </row>
    <row r="4655">
      <c r="B4655">
        <f>IF(A4655="","",$B$1-MAXIFS(Donasi!$A$2:$A$20000,Donasi!$B$2:$B$20000,A4655))</f>
        <v/>
      </c>
      <c r="C4655">
        <f>IF(A4655="","",COUNTIF(Donasi!$B$2:$B$20000,A4655))</f>
        <v/>
      </c>
      <c r="D4655">
        <f>IF(A4655="","",SUMIF(Donasi!$B$2:$B$20000,A4655,Donasi!$C$2:$C$20000))</f>
        <v/>
      </c>
      <c r="E4655">
        <f>IF(A4655="","",6-CEILING(PERCENTRANK.INC($B$3:$B$6000,B4655,4)*5+0.000001,1))</f>
        <v/>
      </c>
      <c r="F4655">
        <f>IF(A4655="","",MAX(1,CEILING(PERCENTRANK.INC($C$3:$C$6000,C4655,4)*5+0.000001,1)))</f>
        <v/>
      </c>
      <c r="G4655">
        <f>IF(A4655="","",MAX(1,CEILING(PERCENTRANK.INC($D$3:$D$6000,D4655,4)*5+0.000001,1)))</f>
        <v/>
      </c>
      <c r="H4655">
        <f>IF(A4655="","",E4655&amp;F4655&amp;G4655)</f>
        <v/>
      </c>
      <c r="I4655">
        <f>IF(A4655="","",IF(AND(E4655&gt;=4,F4655&gt;=4,G4655&gt;=4),"Juara",IF(AND(F4655&gt;=4,E4655&gt;=3),"Setia",IF(AND(E4655=5,F4655&lt;=2,G4655&gt;=3),"Berpotensi",IF(AND(E4655&lt;=3,E4655&gt;=2,F4655&gt;=3),"Rawan",IF(AND(E4655&lt;=2,F4655&lt;=2),"Tidur","Umum"))))))</f>
        <v/>
      </c>
    </row>
    <row r="4656">
      <c r="B4656">
        <f>IF(A4656="","",$B$1-MAXIFS(Donasi!$A$2:$A$20000,Donasi!$B$2:$B$20000,A4656))</f>
        <v/>
      </c>
      <c r="C4656">
        <f>IF(A4656="","",COUNTIF(Donasi!$B$2:$B$20000,A4656))</f>
        <v/>
      </c>
      <c r="D4656">
        <f>IF(A4656="","",SUMIF(Donasi!$B$2:$B$20000,A4656,Donasi!$C$2:$C$20000))</f>
        <v/>
      </c>
      <c r="E4656">
        <f>IF(A4656="","",6-CEILING(PERCENTRANK.INC($B$3:$B$6000,B4656,4)*5+0.000001,1))</f>
        <v/>
      </c>
      <c r="F4656">
        <f>IF(A4656="","",MAX(1,CEILING(PERCENTRANK.INC($C$3:$C$6000,C4656,4)*5+0.000001,1)))</f>
        <v/>
      </c>
      <c r="G4656">
        <f>IF(A4656="","",MAX(1,CEILING(PERCENTRANK.INC($D$3:$D$6000,D4656,4)*5+0.000001,1)))</f>
        <v/>
      </c>
      <c r="H4656">
        <f>IF(A4656="","",E4656&amp;F4656&amp;G4656)</f>
        <v/>
      </c>
      <c r="I4656">
        <f>IF(A4656="","",IF(AND(E4656&gt;=4,F4656&gt;=4,G4656&gt;=4),"Juara",IF(AND(F4656&gt;=4,E4656&gt;=3),"Setia",IF(AND(E4656=5,F4656&lt;=2,G4656&gt;=3),"Berpotensi",IF(AND(E4656&lt;=3,E4656&gt;=2,F4656&gt;=3),"Rawan",IF(AND(E4656&lt;=2,F4656&lt;=2),"Tidur","Umum"))))))</f>
        <v/>
      </c>
    </row>
    <row r="4657">
      <c r="B4657">
        <f>IF(A4657="","",$B$1-MAXIFS(Donasi!$A$2:$A$20000,Donasi!$B$2:$B$20000,A4657))</f>
        <v/>
      </c>
      <c r="C4657">
        <f>IF(A4657="","",COUNTIF(Donasi!$B$2:$B$20000,A4657))</f>
        <v/>
      </c>
      <c r="D4657">
        <f>IF(A4657="","",SUMIF(Donasi!$B$2:$B$20000,A4657,Donasi!$C$2:$C$20000))</f>
        <v/>
      </c>
      <c r="E4657">
        <f>IF(A4657="","",6-CEILING(PERCENTRANK.INC($B$3:$B$6000,B4657,4)*5+0.000001,1))</f>
        <v/>
      </c>
      <c r="F4657">
        <f>IF(A4657="","",MAX(1,CEILING(PERCENTRANK.INC($C$3:$C$6000,C4657,4)*5+0.000001,1)))</f>
        <v/>
      </c>
      <c r="G4657">
        <f>IF(A4657="","",MAX(1,CEILING(PERCENTRANK.INC($D$3:$D$6000,D4657,4)*5+0.000001,1)))</f>
        <v/>
      </c>
      <c r="H4657">
        <f>IF(A4657="","",E4657&amp;F4657&amp;G4657)</f>
        <v/>
      </c>
      <c r="I4657">
        <f>IF(A4657="","",IF(AND(E4657&gt;=4,F4657&gt;=4,G4657&gt;=4),"Juara",IF(AND(F4657&gt;=4,E4657&gt;=3),"Setia",IF(AND(E4657=5,F4657&lt;=2,G4657&gt;=3),"Berpotensi",IF(AND(E4657&lt;=3,E4657&gt;=2,F4657&gt;=3),"Rawan",IF(AND(E4657&lt;=2,F4657&lt;=2),"Tidur","Umum"))))))</f>
        <v/>
      </c>
    </row>
    <row r="4658">
      <c r="B4658">
        <f>IF(A4658="","",$B$1-MAXIFS(Donasi!$A$2:$A$20000,Donasi!$B$2:$B$20000,A4658))</f>
        <v/>
      </c>
      <c r="C4658">
        <f>IF(A4658="","",COUNTIF(Donasi!$B$2:$B$20000,A4658))</f>
        <v/>
      </c>
      <c r="D4658">
        <f>IF(A4658="","",SUMIF(Donasi!$B$2:$B$20000,A4658,Donasi!$C$2:$C$20000))</f>
        <v/>
      </c>
      <c r="E4658">
        <f>IF(A4658="","",6-CEILING(PERCENTRANK.INC($B$3:$B$6000,B4658,4)*5+0.000001,1))</f>
        <v/>
      </c>
      <c r="F4658">
        <f>IF(A4658="","",MAX(1,CEILING(PERCENTRANK.INC($C$3:$C$6000,C4658,4)*5+0.000001,1)))</f>
        <v/>
      </c>
      <c r="G4658">
        <f>IF(A4658="","",MAX(1,CEILING(PERCENTRANK.INC($D$3:$D$6000,D4658,4)*5+0.000001,1)))</f>
        <v/>
      </c>
      <c r="H4658">
        <f>IF(A4658="","",E4658&amp;F4658&amp;G4658)</f>
        <v/>
      </c>
      <c r="I4658">
        <f>IF(A4658="","",IF(AND(E4658&gt;=4,F4658&gt;=4,G4658&gt;=4),"Juara",IF(AND(F4658&gt;=4,E4658&gt;=3),"Setia",IF(AND(E4658=5,F4658&lt;=2,G4658&gt;=3),"Berpotensi",IF(AND(E4658&lt;=3,E4658&gt;=2,F4658&gt;=3),"Rawan",IF(AND(E4658&lt;=2,F4658&lt;=2),"Tidur","Umum"))))))</f>
        <v/>
      </c>
    </row>
    <row r="4659">
      <c r="B4659">
        <f>IF(A4659="","",$B$1-MAXIFS(Donasi!$A$2:$A$20000,Donasi!$B$2:$B$20000,A4659))</f>
        <v/>
      </c>
      <c r="C4659">
        <f>IF(A4659="","",COUNTIF(Donasi!$B$2:$B$20000,A4659))</f>
        <v/>
      </c>
      <c r="D4659">
        <f>IF(A4659="","",SUMIF(Donasi!$B$2:$B$20000,A4659,Donasi!$C$2:$C$20000))</f>
        <v/>
      </c>
      <c r="E4659">
        <f>IF(A4659="","",6-CEILING(PERCENTRANK.INC($B$3:$B$6000,B4659,4)*5+0.000001,1))</f>
        <v/>
      </c>
      <c r="F4659">
        <f>IF(A4659="","",MAX(1,CEILING(PERCENTRANK.INC($C$3:$C$6000,C4659,4)*5+0.000001,1)))</f>
        <v/>
      </c>
      <c r="G4659">
        <f>IF(A4659="","",MAX(1,CEILING(PERCENTRANK.INC($D$3:$D$6000,D4659,4)*5+0.000001,1)))</f>
        <v/>
      </c>
      <c r="H4659">
        <f>IF(A4659="","",E4659&amp;F4659&amp;G4659)</f>
        <v/>
      </c>
      <c r="I4659">
        <f>IF(A4659="","",IF(AND(E4659&gt;=4,F4659&gt;=4,G4659&gt;=4),"Juara",IF(AND(F4659&gt;=4,E4659&gt;=3),"Setia",IF(AND(E4659=5,F4659&lt;=2,G4659&gt;=3),"Berpotensi",IF(AND(E4659&lt;=3,E4659&gt;=2,F4659&gt;=3),"Rawan",IF(AND(E4659&lt;=2,F4659&lt;=2),"Tidur","Umum"))))))</f>
        <v/>
      </c>
    </row>
    <row r="4660">
      <c r="B4660">
        <f>IF(A4660="","",$B$1-MAXIFS(Donasi!$A$2:$A$20000,Donasi!$B$2:$B$20000,A4660))</f>
        <v/>
      </c>
      <c r="C4660">
        <f>IF(A4660="","",COUNTIF(Donasi!$B$2:$B$20000,A4660))</f>
        <v/>
      </c>
      <c r="D4660">
        <f>IF(A4660="","",SUMIF(Donasi!$B$2:$B$20000,A4660,Donasi!$C$2:$C$20000))</f>
        <v/>
      </c>
      <c r="E4660">
        <f>IF(A4660="","",6-CEILING(PERCENTRANK.INC($B$3:$B$6000,B4660,4)*5+0.000001,1))</f>
        <v/>
      </c>
      <c r="F4660">
        <f>IF(A4660="","",MAX(1,CEILING(PERCENTRANK.INC($C$3:$C$6000,C4660,4)*5+0.000001,1)))</f>
        <v/>
      </c>
      <c r="G4660">
        <f>IF(A4660="","",MAX(1,CEILING(PERCENTRANK.INC($D$3:$D$6000,D4660,4)*5+0.000001,1)))</f>
        <v/>
      </c>
      <c r="H4660">
        <f>IF(A4660="","",E4660&amp;F4660&amp;G4660)</f>
        <v/>
      </c>
      <c r="I4660">
        <f>IF(A4660="","",IF(AND(E4660&gt;=4,F4660&gt;=4,G4660&gt;=4),"Juara",IF(AND(F4660&gt;=4,E4660&gt;=3),"Setia",IF(AND(E4660=5,F4660&lt;=2,G4660&gt;=3),"Berpotensi",IF(AND(E4660&lt;=3,E4660&gt;=2,F4660&gt;=3),"Rawan",IF(AND(E4660&lt;=2,F4660&lt;=2),"Tidur","Umum"))))))</f>
        <v/>
      </c>
    </row>
    <row r="4661">
      <c r="B4661">
        <f>IF(A4661="","",$B$1-MAXIFS(Donasi!$A$2:$A$20000,Donasi!$B$2:$B$20000,A4661))</f>
        <v/>
      </c>
      <c r="C4661">
        <f>IF(A4661="","",COUNTIF(Donasi!$B$2:$B$20000,A4661))</f>
        <v/>
      </c>
      <c r="D4661">
        <f>IF(A4661="","",SUMIF(Donasi!$B$2:$B$20000,A4661,Donasi!$C$2:$C$20000))</f>
        <v/>
      </c>
      <c r="E4661">
        <f>IF(A4661="","",6-CEILING(PERCENTRANK.INC($B$3:$B$6000,B4661,4)*5+0.000001,1))</f>
        <v/>
      </c>
      <c r="F4661">
        <f>IF(A4661="","",MAX(1,CEILING(PERCENTRANK.INC($C$3:$C$6000,C4661,4)*5+0.000001,1)))</f>
        <v/>
      </c>
      <c r="G4661">
        <f>IF(A4661="","",MAX(1,CEILING(PERCENTRANK.INC($D$3:$D$6000,D4661,4)*5+0.000001,1)))</f>
        <v/>
      </c>
      <c r="H4661">
        <f>IF(A4661="","",E4661&amp;F4661&amp;G4661)</f>
        <v/>
      </c>
      <c r="I4661">
        <f>IF(A4661="","",IF(AND(E4661&gt;=4,F4661&gt;=4,G4661&gt;=4),"Juara",IF(AND(F4661&gt;=4,E4661&gt;=3),"Setia",IF(AND(E4661=5,F4661&lt;=2,G4661&gt;=3),"Berpotensi",IF(AND(E4661&lt;=3,E4661&gt;=2,F4661&gt;=3),"Rawan",IF(AND(E4661&lt;=2,F4661&lt;=2),"Tidur","Umum"))))))</f>
        <v/>
      </c>
    </row>
    <row r="4662">
      <c r="B4662">
        <f>IF(A4662="","",$B$1-MAXIFS(Donasi!$A$2:$A$20000,Donasi!$B$2:$B$20000,A4662))</f>
        <v/>
      </c>
      <c r="C4662">
        <f>IF(A4662="","",COUNTIF(Donasi!$B$2:$B$20000,A4662))</f>
        <v/>
      </c>
      <c r="D4662">
        <f>IF(A4662="","",SUMIF(Donasi!$B$2:$B$20000,A4662,Donasi!$C$2:$C$20000))</f>
        <v/>
      </c>
      <c r="E4662">
        <f>IF(A4662="","",6-CEILING(PERCENTRANK.INC($B$3:$B$6000,B4662,4)*5+0.000001,1))</f>
        <v/>
      </c>
      <c r="F4662">
        <f>IF(A4662="","",MAX(1,CEILING(PERCENTRANK.INC($C$3:$C$6000,C4662,4)*5+0.000001,1)))</f>
        <v/>
      </c>
      <c r="G4662">
        <f>IF(A4662="","",MAX(1,CEILING(PERCENTRANK.INC($D$3:$D$6000,D4662,4)*5+0.000001,1)))</f>
        <v/>
      </c>
      <c r="H4662">
        <f>IF(A4662="","",E4662&amp;F4662&amp;G4662)</f>
        <v/>
      </c>
      <c r="I4662">
        <f>IF(A4662="","",IF(AND(E4662&gt;=4,F4662&gt;=4,G4662&gt;=4),"Juara",IF(AND(F4662&gt;=4,E4662&gt;=3),"Setia",IF(AND(E4662=5,F4662&lt;=2,G4662&gt;=3),"Berpotensi",IF(AND(E4662&lt;=3,E4662&gt;=2,F4662&gt;=3),"Rawan",IF(AND(E4662&lt;=2,F4662&lt;=2),"Tidur","Umum"))))))</f>
        <v/>
      </c>
    </row>
    <row r="4663">
      <c r="B4663">
        <f>IF(A4663="","",$B$1-MAXIFS(Donasi!$A$2:$A$20000,Donasi!$B$2:$B$20000,A4663))</f>
        <v/>
      </c>
      <c r="C4663">
        <f>IF(A4663="","",COUNTIF(Donasi!$B$2:$B$20000,A4663))</f>
        <v/>
      </c>
      <c r="D4663">
        <f>IF(A4663="","",SUMIF(Donasi!$B$2:$B$20000,A4663,Donasi!$C$2:$C$20000))</f>
        <v/>
      </c>
      <c r="E4663">
        <f>IF(A4663="","",6-CEILING(PERCENTRANK.INC($B$3:$B$6000,B4663,4)*5+0.000001,1))</f>
        <v/>
      </c>
      <c r="F4663">
        <f>IF(A4663="","",MAX(1,CEILING(PERCENTRANK.INC($C$3:$C$6000,C4663,4)*5+0.000001,1)))</f>
        <v/>
      </c>
      <c r="G4663">
        <f>IF(A4663="","",MAX(1,CEILING(PERCENTRANK.INC($D$3:$D$6000,D4663,4)*5+0.000001,1)))</f>
        <v/>
      </c>
      <c r="H4663">
        <f>IF(A4663="","",E4663&amp;F4663&amp;G4663)</f>
        <v/>
      </c>
      <c r="I4663">
        <f>IF(A4663="","",IF(AND(E4663&gt;=4,F4663&gt;=4,G4663&gt;=4),"Juara",IF(AND(F4663&gt;=4,E4663&gt;=3),"Setia",IF(AND(E4663=5,F4663&lt;=2,G4663&gt;=3),"Berpotensi",IF(AND(E4663&lt;=3,E4663&gt;=2,F4663&gt;=3),"Rawan",IF(AND(E4663&lt;=2,F4663&lt;=2),"Tidur","Umum"))))))</f>
        <v/>
      </c>
    </row>
    <row r="4664">
      <c r="B4664">
        <f>IF(A4664="","",$B$1-MAXIFS(Donasi!$A$2:$A$20000,Donasi!$B$2:$B$20000,A4664))</f>
        <v/>
      </c>
      <c r="C4664">
        <f>IF(A4664="","",COUNTIF(Donasi!$B$2:$B$20000,A4664))</f>
        <v/>
      </c>
      <c r="D4664">
        <f>IF(A4664="","",SUMIF(Donasi!$B$2:$B$20000,A4664,Donasi!$C$2:$C$20000))</f>
        <v/>
      </c>
      <c r="E4664">
        <f>IF(A4664="","",6-CEILING(PERCENTRANK.INC($B$3:$B$6000,B4664,4)*5+0.000001,1))</f>
        <v/>
      </c>
      <c r="F4664">
        <f>IF(A4664="","",MAX(1,CEILING(PERCENTRANK.INC($C$3:$C$6000,C4664,4)*5+0.000001,1)))</f>
        <v/>
      </c>
      <c r="G4664">
        <f>IF(A4664="","",MAX(1,CEILING(PERCENTRANK.INC($D$3:$D$6000,D4664,4)*5+0.000001,1)))</f>
        <v/>
      </c>
      <c r="H4664">
        <f>IF(A4664="","",E4664&amp;F4664&amp;G4664)</f>
        <v/>
      </c>
      <c r="I4664">
        <f>IF(A4664="","",IF(AND(E4664&gt;=4,F4664&gt;=4,G4664&gt;=4),"Juara",IF(AND(F4664&gt;=4,E4664&gt;=3),"Setia",IF(AND(E4664=5,F4664&lt;=2,G4664&gt;=3),"Berpotensi",IF(AND(E4664&lt;=3,E4664&gt;=2,F4664&gt;=3),"Rawan",IF(AND(E4664&lt;=2,F4664&lt;=2),"Tidur","Umum"))))))</f>
        <v/>
      </c>
    </row>
    <row r="4665">
      <c r="B4665">
        <f>IF(A4665="","",$B$1-MAXIFS(Donasi!$A$2:$A$20000,Donasi!$B$2:$B$20000,A4665))</f>
        <v/>
      </c>
      <c r="C4665">
        <f>IF(A4665="","",COUNTIF(Donasi!$B$2:$B$20000,A4665))</f>
        <v/>
      </c>
      <c r="D4665">
        <f>IF(A4665="","",SUMIF(Donasi!$B$2:$B$20000,A4665,Donasi!$C$2:$C$20000))</f>
        <v/>
      </c>
      <c r="E4665">
        <f>IF(A4665="","",6-CEILING(PERCENTRANK.INC($B$3:$B$6000,B4665,4)*5+0.000001,1))</f>
        <v/>
      </c>
      <c r="F4665">
        <f>IF(A4665="","",MAX(1,CEILING(PERCENTRANK.INC($C$3:$C$6000,C4665,4)*5+0.000001,1)))</f>
        <v/>
      </c>
      <c r="G4665">
        <f>IF(A4665="","",MAX(1,CEILING(PERCENTRANK.INC($D$3:$D$6000,D4665,4)*5+0.000001,1)))</f>
        <v/>
      </c>
      <c r="H4665">
        <f>IF(A4665="","",E4665&amp;F4665&amp;G4665)</f>
        <v/>
      </c>
      <c r="I4665">
        <f>IF(A4665="","",IF(AND(E4665&gt;=4,F4665&gt;=4,G4665&gt;=4),"Juara",IF(AND(F4665&gt;=4,E4665&gt;=3),"Setia",IF(AND(E4665=5,F4665&lt;=2,G4665&gt;=3),"Berpotensi",IF(AND(E4665&lt;=3,E4665&gt;=2,F4665&gt;=3),"Rawan",IF(AND(E4665&lt;=2,F4665&lt;=2),"Tidur","Umum"))))))</f>
        <v/>
      </c>
    </row>
    <row r="4666">
      <c r="B4666">
        <f>IF(A4666="","",$B$1-MAXIFS(Donasi!$A$2:$A$20000,Donasi!$B$2:$B$20000,A4666))</f>
        <v/>
      </c>
      <c r="C4666">
        <f>IF(A4666="","",COUNTIF(Donasi!$B$2:$B$20000,A4666))</f>
        <v/>
      </c>
      <c r="D4666">
        <f>IF(A4666="","",SUMIF(Donasi!$B$2:$B$20000,A4666,Donasi!$C$2:$C$20000))</f>
        <v/>
      </c>
      <c r="E4666">
        <f>IF(A4666="","",6-CEILING(PERCENTRANK.INC($B$3:$B$6000,B4666,4)*5+0.000001,1))</f>
        <v/>
      </c>
      <c r="F4666">
        <f>IF(A4666="","",MAX(1,CEILING(PERCENTRANK.INC($C$3:$C$6000,C4666,4)*5+0.000001,1)))</f>
        <v/>
      </c>
      <c r="G4666">
        <f>IF(A4666="","",MAX(1,CEILING(PERCENTRANK.INC($D$3:$D$6000,D4666,4)*5+0.000001,1)))</f>
        <v/>
      </c>
      <c r="H4666">
        <f>IF(A4666="","",E4666&amp;F4666&amp;G4666)</f>
        <v/>
      </c>
      <c r="I4666">
        <f>IF(A4666="","",IF(AND(E4666&gt;=4,F4666&gt;=4,G4666&gt;=4),"Juara",IF(AND(F4666&gt;=4,E4666&gt;=3),"Setia",IF(AND(E4666=5,F4666&lt;=2,G4666&gt;=3),"Berpotensi",IF(AND(E4666&lt;=3,E4666&gt;=2,F4666&gt;=3),"Rawan",IF(AND(E4666&lt;=2,F4666&lt;=2),"Tidur","Umum"))))))</f>
        <v/>
      </c>
    </row>
    <row r="4667">
      <c r="B4667">
        <f>IF(A4667="","",$B$1-MAXIFS(Donasi!$A$2:$A$20000,Donasi!$B$2:$B$20000,A4667))</f>
        <v/>
      </c>
      <c r="C4667">
        <f>IF(A4667="","",COUNTIF(Donasi!$B$2:$B$20000,A4667))</f>
        <v/>
      </c>
      <c r="D4667">
        <f>IF(A4667="","",SUMIF(Donasi!$B$2:$B$20000,A4667,Donasi!$C$2:$C$20000))</f>
        <v/>
      </c>
      <c r="E4667">
        <f>IF(A4667="","",6-CEILING(PERCENTRANK.INC($B$3:$B$6000,B4667,4)*5+0.000001,1))</f>
        <v/>
      </c>
      <c r="F4667">
        <f>IF(A4667="","",MAX(1,CEILING(PERCENTRANK.INC($C$3:$C$6000,C4667,4)*5+0.000001,1)))</f>
        <v/>
      </c>
      <c r="G4667">
        <f>IF(A4667="","",MAX(1,CEILING(PERCENTRANK.INC($D$3:$D$6000,D4667,4)*5+0.000001,1)))</f>
        <v/>
      </c>
      <c r="H4667">
        <f>IF(A4667="","",E4667&amp;F4667&amp;G4667)</f>
        <v/>
      </c>
      <c r="I4667">
        <f>IF(A4667="","",IF(AND(E4667&gt;=4,F4667&gt;=4,G4667&gt;=4),"Juara",IF(AND(F4667&gt;=4,E4667&gt;=3),"Setia",IF(AND(E4667=5,F4667&lt;=2,G4667&gt;=3),"Berpotensi",IF(AND(E4667&lt;=3,E4667&gt;=2,F4667&gt;=3),"Rawan",IF(AND(E4667&lt;=2,F4667&lt;=2),"Tidur","Umum"))))))</f>
        <v/>
      </c>
    </row>
    <row r="4668">
      <c r="B4668">
        <f>IF(A4668="","",$B$1-MAXIFS(Donasi!$A$2:$A$20000,Donasi!$B$2:$B$20000,A4668))</f>
        <v/>
      </c>
      <c r="C4668">
        <f>IF(A4668="","",COUNTIF(Donasi!$B$2:$B$20000,A4668))</f>
        <v/>
      </c>
      <c r="D4668">
        <f>IF(A4668="","",SUMIF(Donasi!$B$2:$B$20000,A4668,Donasi!$C$2:$C$20000))</f>
        <v/>
      </c>
      <c r="E4668">
        <f>IF(A4668="","",6-CEILING(PERCENTRANK.INC($B$3:$B$6000,B4668,4)*5+0.000001,1))</f>
        <v/>
      </c>
      <c r="F4668">
        <f>IF(A4668="","",MAX(1,CEILING(PERCENTRANK.INC($C$3:$C$6000,C4668,4)*5+0.000001,1)))</f>
        <v/>
      </c>
      <c r="G4668">
        <f>IF(A4668="","",MAX(1,CEILING(PERCENTRANK.INC($D$3:$D$6000,D4668,4)*5+0.000001,1)))</f>
        <v/>
      </c>
      <c r="H4668">
        <f>IF(A4668="","",E4668&amp;F4668&amp;G4668)</f>
        <v/>
      </c>
      <c r="I4668">
        <f>IF(A4668="","",IF(AND(E4668&gt;=4,F4668&gt;=4,G4668&gt;=4),"Juara",IF(AND(F4668&gt;=4,E4668&gt;=3),"Setia",IF(AND(E4668=5,F4668&lt;=2,G4668&gt;=3),"Berpotensi",IF(AND(E4668&lt;=3,E4668&gt;=2,F4668&gt;=3),"Rawan",IF(AND(E4668&lt;=2,F4668&lt;=2),"Tidur","Umum"))))))</f>
        <v/>
      </c>
    </row>
    <row r="4669">
      <c r="B4669">
        <f>IF(A4669="","",$B$1-MAXIFS(Donasi!$A$2:$A$20000,Donasi!$B$2:$B$20000,A4669))</f>
        <v/>
      </c>
      <c r="C4669">
        <f>IF(A4669="","",COUNTIF(Donasi!$B$2:$B$20000,A4669))</f>
        <v/>
      </c>
      <c r="D4669">
        <f>IF(A4669="","",SUMIF(Donasi!$B$2:$B$20000,A4669,Donasi!$C$2:$C$20000))</f>
        <v/>
      </c>
      <c r="E4669">
        <f>IF(A4669="","",6-CEILING(PERCENTRANK.INC($B$3:$B$6000,B4669,4)*5+0.000001,1))</f>
        <v/>
      </c>
      <c r="F4669">
        <f>IF(A4669="","",MAX(1,CEILING(PERCENTRANK.INC($C$3:$C$6000,C4669,4)*5+0.000001,1)))</f>
        <v/>
      </c>
      <c r="G4669">
        <f>IF(A4669="","",MAX(1,CEILING(PERCENTRANK.INC($D$3:$D$6000,D4669,4)*5+0.000001,1)))</f>
        <v/>
      </c>
      <c r="H4669">
        <f>IF(A4669="","",E4669&amp;F4669&amp;G4669)</f>
        <v/>
      </c>
      <c r="I4669">
        <f>IF(A4669="","",IF(AND(E4669&gt;=4,F4669&gt;=4,G4669&gt;=4),"Juara",IF(AND(F4669&gt;=4,E4669&gt;=3),"Setia",IF(AND(E4669=5,F4669&lt;=2,G4669&gt;=3),"Berpotensi",IF(AND(E4669&lt;=3,E4669&gt;=2,F4669&gt;=3),"Rawan",IF(AND(E4669&lt;=2,F4669&lt;=2),"Tidur","Umum"))))))</f>
        <v/>
      </c>
    </row>
    <row r="4670">
      <c r="B4670">
        <f>IF(A4670="","",$B$1-MAXIFS(Donasi!$A$2:$A$20000,Donasi!$B$2:$B$20000,A4670))</f>
        <v/>
      </c>
      <c r="C4670">
        <f>IF(A4670="","",COUNTIF(Donasi!$B$2:$B$20000,A4670))</f>
        <v/>
      </c>
      <c r="D4670">
        <f>IF(A4670="","",SUMIF(Donasi!$B$2:$B$20000,A4670,Donasi!$C$2:$C$20000))</f>
        <v/>
      </c>
      <c r="E4670">
        <f>IF(A4670="","",6-CEILING(PERCENTRANK.INC($B$3:$B$6000,B4670,4)*5+0.000001,1))</f>
        <v/>
      </c>
      <c r="F4670">
        <f>IF(A4670="","",MAX(1,CEILING(PERCENTRANK.INC($C$3:$C$6000,C4670,4)*5+0.000001,1)))</f>
        <v/>
      </c>
      <c r="G4670">
        <f>IF(A4670="","",MAX(1,CEILING(PERCENTRANK.INC($D$3:$D$6000,D4670,4)*5+0.000001,1)))</f>
        <v/>
      </c>
      <c r="H4670">
        <f>IF(A4670="","",E4670&amp;F4670&amp;G4670)</f>
        <v/>
      </c>
      <c r="I4670">
        <f>IF(A4670="","",IF(AND(E4670&gt;=4,F4670&gt;=4,G4670&gt;=4),"Juara",IF(AND(F4670&gt;=4,E4670&gt;=3),"Setia",IF(AND(E4670=5,F4670&lt;=2,G4670&gt;=3),"Berpotensi",IF(AND(E4670&lt;=3,E4670&gt;=2,F4670&gt;=3),"Rawan",IF(AND(E4670&lt;=2,F4670&lt;=2),"Tidur","Umum"))))))</f>
        <v/>
      </c>
    </row>
    <row r="4671">
      <c r="B4671">
        <f>IF(A4671="","",$B$1-MAXIFS(Donasi!$A$2:$A$20000,Donasi!$B$2:$B$20000,A4671))</f>
        <v/>
      </c>
      <c r="C4671">
        <f>IF(A4671="","",COUNTIF(Donasi!$B$2:$B$20000,A4671))</f>
        <v/>
      </c>
      <c r="D4671">
        <f>IF(A4671="","",SUMIF(Donasi!$B$2:$B$20000,A4671,Donasi!$C$2:$C$20000))</f>
        <v/>
      </c>
      <c r="E4671">
        <f>IF(A4671="","",6-CEILING(PERCENTRANK.INC($B$3:$B$6000,B4671,4)*5+0.000001,1))</f>
        <v/>
      </c>
      <c r="F4671">
        <f>IF(A4671="","",MAX(1,CEILING(PERCENTRANK.INC($C$3:$C$6000,C4671,4)*5+0.000001,1)))</f>
        <v/>
      </c>
      <c r="G4671">
        <f>IF(A4671="","",MAX(1,CEILING(PERCENTRANK.INC($D$3:$D$6000,D4671,4)*5+0.000001,1)))</f>
        <v/>
      </c>
      <c r="H4671">
        <f>IF(A4671="","",E4671&amp;F4671&amp;G4671)</f>
        <v/>
      </c>
      <c r="I4671">
        <f>IF(A4671="","",IF(AND(E4671&gt;=4,F4671&gt;=4,G4671&gt;=4),"Juara",IF(AND(F4671&gt;=4,E4671&gt;=3),"Setia",IF(AND(E4671=5,F4671&lt;=2,G4671&gt;=3),"Berpotensi",IF(AND(E4671&lt;=3,E4671&gt;=2,F4671&gt;=3),"Rawan",IF(AND(E4671&lt;=2,F4671&lt;=2),"Tidur","Umum"))))))</f>
        <v/>
      </c>
    </row>
    <row r="4672">
      <c r="B4672">
        <f>IF(A4672="","",$B$1-MAXIFS(Donasi!$A$2:$A$20000,Donasi!$B$2:$B$20000,A4672))</f>
        <v/>
      </c>
      <c r="C4672">
        <f>IF(A4672="","",COUNTIF(Donasi!$B$2:$B$20000,A4672))</f>
        <v/>
      </c>
      <c r="D4672">
        <f>IF(A4672="","",SUMIF(Donasi!$B$2:$B$20000,A4672,Donasi!$C$2:$C$20000))</f>
        <v/>
      </c>
      <c r="E4672">
        <f>IF(A4672="","",6-CEILING(PERCENTRANK.INC($B$3:$B$6000,B4672,4)*5+0.000001,1))</f>
        <v/>
      </c>
      <c r="F4672">
        <f>IF(A4672="","",MAX(1,CEILING(PERCENTRANK.INC($C$3:$C$6000,C4672,4)*5+0.000001,1)))</f>
        <v/>
      </c>
      <c r="G4672">
        <f>IF(A4672="","",MAX(1,CEILING(PERCENTRANK.INC($D$3:$D$6000,D4672,4)*5+0.000001,1)))</f>
        <v/>
      </c>
      <c r="H4672">
        <f>IF(A4672="","",E4672&amp;F4672&amp;G4672)</f>
        <v/>
      </c>
      <c r="I4672">
        <f>IF(A4672="","",IF(AND(E4672&gt;=4,F4672&gt;=4,G4672&gt;=4),"Juara",IF(AND(F4672&gt;=4,E4672&gt;=3),"Setia",IF(AND(E4672=5,F4672&lt;=2,G4672&gt;=3),"Berpotensi",IF(AND(E4672&lt;=3,E4672&gt;=2,F4672&gt;=3),"Rawan",IF(AND(E4672&lt;=2,F4672&lt;=2),"Tidur","Umum"))))))</f>
        <v/>
      </c>
    </row>
    <row r="4673">
      <c r="B4673">
        <f>IF(A4673="","",$B$1-MAXIFS(Donasi!$A$2:$A$20000,Donasi!$B$2:$B$20000,A4673))</f>
        <v/>
      </c>
      <c r="C4673">
        <f>IF(A4673="","",COUNTIF(Donasi!$B$2:$B$20000,A4673))</f>
        <v/>
      </c>
      <c r="D4673">
        <f>IF(A4673="","",SUMIF(Donasi!$B$2:$B$20000,A4673,Donasi!$C$2:$C$20000))</f>
        <v/>
      </c>
      <c r="E4673">
        <f>IF(A4673="","",6-CEILING(PERCENTRANK.INC($B$3:$B$6000,B4673,4)*5+0.000001,1))</f>
        <v/>
      </c>
      <c r="F4673">
        <f>IF(A4673="","",MAX(1,CEILING(PERCENTRANK.INC($C$3:$C$6000,C4673,4)*5+0.000001,1)))</f>
        <v/>
      </c>
      <c r="G4673">
        <f>IF(A4673="","",MAX(1,CEILING(PERCENTRANK.INC($D$3:$D$6000,D4673,4)*5+0.000001,1)))</f>
        <v/>
      </c>
      <c r="H4673">
        <f>IF(A4673="","",E4673&amp;F4673&amp;G4673)</f>
        <v/>
      </c>
      <c r="I4673">
        <f>IF(A4673="","",IF(AND(E4673&gt;=4,F4673&gt;=4,G4673&gt;=4),"Juara",IF(AND(F4673&gt;=4,E4673&gt;=3),"Setia",IF(AND(E4673=5,F4673&lt;=2,G4673&gt;=3),"Berpotensi",IF(AND(E4673&lt;=3,E4673&gt;=2,F4673&gt;=3),"Rawan",IF(AND(E4673&lt;=2,F4673&lt;=2),"Tidur","Umum"))))))</f>
        <v/>
      </c>
    </row>
    <row r="4674">
      <c r="B4674">
        <f>IF(A4674="","",$B$1-MAXIFS(Donasi!$A$2:$A$20000,Donasi!$B$2:$B$20000,A4674))</f>
        <v/>
      </c>
      <c r="C4674">
        <f>IF(A4674="","",COUNTIF(Donasi!$B$2:$B$20000,A4674))</f>
        <v/>
      </c>
      <c r="D4674">
        <f>IF(A4674="","",SUMIF(Donasi!$B$2:$B$20000,A4674,Donasi!$C$2:$C$20000))</f>
        <v/>
      </c>
      <c r="E4674">
        <f>IF(A4674="","",6-CEILING(PERCENTRANK.INC($B$3:$B$6000,B4674,4)*5+0.000001,1))</f>
        <v/>
      </c>
      <c r="F4674">
        <f>IF(A4674="","",MAX(1,CEILING(PERCENTRANK.INC($C$3:$C$6000,C4674,4)*5+0.000001,1)))</f>
        <v/>
      </c>
      <c r="G4674">
        <f>IF(A4674="","",MAX(1,CEILING(PERCENTRANK.INC($D$3:$D$6000,D4674,4)*5+0.000001,1)))</f>
        <v/>
      </c>
      <c r="H4674">
        <f>IF(A4674="","",E4674&amp;F4674&amp;G4674)</f>
        <v/>
      </c>
      <c r="I4674">
        <f>IF(A4674="","",IF(AND(E4674&gt;=4,F4674&gt;=4,G4674&gt;=4),"Juara",IF(AND(F4674&gt;=4,E4674&gt;=3),"Setia",IF(AND(E4674=5,F4674&lt;=2,G4674&gt;=3),"Berpotensi",IF(AND(E4674&lt;=3,E4674&gt;=2,F4674&gt;=3),"Rawan",IF(AND(E4674&lt;=2,F4674&lt;=2),"Tidur","Umum"))))))</f>
        <v/>
      </c>
    </row>
    <row r="4675">
      <c r="B4675">
        <f>IF(A4675="","",$B$1-MAXIFS(Donasi!$A$2:$A$20000,Donasi!$B$2:$B$20000,A4675))</f>
        <v/>
      </c>
      <c r="C4675">
        <f>IF(A4675="","",COUNTIF(Donasi!$B$2:$B$20000,A4675))</f>
        <v/>
      </c>
      <c r="D4675">
        <f>IF(A4675="","",SUMIF(Donasi!$B$2:$B$20000,A4675,Donasi!$C$2:$C$20000))</f>
        <v/>
      </c>
      <c r="E4675">
        <f>IF(A4675="","",6-CEILING(PERCENTRANK.INC($B$3:$B$6000,B4675,4)*5+0.000001,1))</f>
        <v/>
      </c>
      <c r="F4675">
        <f>IF(A4675="","",MAX(1,CEILING(PERCENTRANK.INC($C$3:$C$6000,C4675,4)*5+0.000001,1)))</f>
        <v/>
      </c>
      <c r="G4675">
        <f>IF(A4675="","",MAX(1,CEILING(PERCENTRANK.INC($D$3:$D$6000,D4675,4)*5+0.000001,1)))</f>
        <v/>
      </c>
      <c r="H4675">
        <f>IF(A4675="","",E4675&amp;F4675&amp;G4675)</f>
        <v/>
      </c>
      <c r="I4675">
        <f>IF(A4675="","",IF(AND(E4675&gt;=4,F4675&gt;=4,G4675&gt;=4),"Juara",IF(AND(F4675&gt;=4,E4675&gt;=3),"Setia",IF(AND(E4675=5,F4675&lt;=2,G4675&gt;=3),"Berpotensi",IF(AND(E4675&lt;=3,E4675&gt;=2,F4675&gt;=3),"Rawan",IF(AND(E4675&lt;=2,F4675&lt;=2),"Tidur","Umum"))))))</f>
        <v/>
      </c>
    </row>
    <row r="4676">
      <c r="B4676">
        <f>IF(A4676="","",$B$1-MAXIFS(Donasi!$A$2:$A$20000,Donasi!$B$2:$B$20000,A4676))</f>
        <v/>
      </c>
      <c r="C4676">
        <f>IF(A4676="","",COUNTIF(Donasi!$B$2:$B$20000,A4676))</f>
        <v/>
      </c>
      <c r="D4676">
        <f>IF(A4676="","",SUMIF(Donasi!$B$2:$B$20000,A4676,Donasi!$C$2:$C$20000))</f>
        <v/>
      </c>
      <c r="E4676">
        <f>IF(A4676="","",6-CEILING(PERCENTRANK.INC($B$3:$B$6000,B4676,4)*5+0.000001,1))</f>
        <v/>
      </c>
      <c r="F4676">
        <f>IF(A4676="","",MAX(1,CEILING(PERCENTRANK.INC($C$3:$C$6000,C4676,4)*5+0.000001,1)))</f>
        <v/>
      </c>
      <c r="G4676">
        <f>IF(A4676="","",MAX(1,CEILING(PERCENTRANK.INC($D$3:$D$6000,D4676,4)*5+0.000001,1)))</f>
        <v/>
      </c>
      <c r="H4676">
        <f>IF(A4676="","",E4676&amp;F4676&amp;G4676)</f>
        <v/>
      </c>
      <c r="I4676">
        <f>IF(A4676="","",IF(AND(E4676&gt;=4,F4676&gt;=4,G4676&gt;=4),"Juara",IF(AND(F4676&gt;=4,E4676&gt;=3),"Setia",IF(AND(E4676=5,F4676&lt;=2,G4676&gt;=3),"Berpotensi",IF(AND(E4676&lt;=3,E4676&gt;=2,F4676&gt;=3),"Rawan",IF(AND(E4676&lt;=2,F4676&lt;=2),"Tidur","Umum"))))))</f>
        <v/>
      </c>
    </row>
    <row r="4677">
      <c r="B4677">
        <f>IF(A4677="","",$B$1-MAXIFS(Donasi!$A$2:$A$20000,Donasi!$B$2:$B$20000,A4677))</f>
        <v/>
      </c>
      <c r="C4677">
        <f>IF(A4677="","",COUNTIF(Donasi!$B$2:$B$20000,A4677))</f>
        <v/>
      </c>
      <c r="D4677">
        <f>IF(A4677="","",SUMIF(Donasi!$B$2:$B$20000,A4677,Donasi!$C$2:$C$20000))</f>
        <v/>
      </c>
      <c r="E4677">
        <f>IF(A4677="","",6-CEILING(PERCENTRANK.INC($B$3:$B$6000,B4677,4)*5+0.000001,1))</f>
        <v/>
      </c>
      <c r="F4677">
        <f>IF(A4677="","",MAX(1,CEILING(PERCENTRANK.INC($C$3:$C$6000,C4677,4)*5+0.000001,1)))</f>
        <v/>
      </c>
      <c r="G4677">
        <f>IF(A4677="","",MAX(1,CEILING(PERCENTRANK.INC($D$3:$D$6000,D4677,4)*5+0.000001,1)))</f>
        <v/>
      </c>
      <c r="H4677">
        <f>IF(A4677="","",E4677&amp;F4677&amp;G4677)</f>
        <v/>
      </c>
      <c r="I4677">
        <f>IF(A4677="","",IF(AND(E4677&gt;=4,F4677&gt;=4,G4677&gt;=4),"Juara",IF(AND(F4677&gt;=4,E4677&gt;=3),"Setia",IF(AND(E4677=5,F4677&lt;=2,G4677&gt;=3),"Berpotensi",IF(AND(E4677&lt;=3,E4677&gt;=2,F4677&gt;=3),"Rawan",IF(AND(E4677&lt;=2,F4677&lt;=2),"Tidur","Umum"))))))</f>
        <v/>
      </c>
    </row>
    <row r="4678">
      <c r="B4678">
        <f>IF(A4678="","",$B$1-MAXIFS(Donasi!$A$2:$A$20000,Donasi!$B$2:$B$20000,A4678))</f>
        <v/>
      </c>
      <c r="C4678">
        <f>IF(A4678="","",COUNTIF(Donasi!$B$2:$B$20000,A4678))</f>
        <v/>
      </c>
      <c r="D4678">
        <f>IF(A4678="","",SUMIF(Donasi!$B$2:$B$20000,A4678,Donasi!$C$2:$C$20000))</f>
        <v/>
      </c>
      <c r="E4678">
        <f>IF(A4678="","",6-CEILING(PERCENTRANK.INC($B$3:$B$6000,B4678,4)*5+0.000001,1))</f>
        <v/>
      </c>
      <c r="F4678">
        <f>IF(A4678="","",MAX(1,CEILING(PERCENTRANK.INC($C$3:$C$6000,C4678,4)*5+0.000001,1)))</f>
        <v/>
      </c>
      <c r="G4678">
        <f>IF(A4678="","",MAX(1,CEILING(PERCENTRANK.INC($D$3:$D$6000,D4678,4)*5+0.000001,1)))</f>
        <v/>
      </c>
      <c r="H4678">
        <f>IF(A4678="","",E4678&amp;F4678&amp;G4678)</f>
        <v/>
      </c>
      <c r="I4678">
        <f>IF(A4678="","",IF(AND(E4678&gt;=4,F4678&gt;=4,G4678&gt;=4),"Juara",IF(AND(F4678&gt;=4,E4678&gt;=3),"Setia",IF(AND(E4678=5,F4678&lt;=2,G4678&gt;=3),"Berpotensi",IF(AND(E4678&lt;=3,E4678&gt;=2,F4678&gt;=3),"Rawan",IF(AND(E4678&lt;=2,F4678&lt;=2),"Tidur","Umum"))))))</f>
        <v/>
      </c>
    </row>
    <row r="4679">
      <c r="B4679">
        <f>IF(A4679="","",$B$1-MAXIFS(Donasi!$A$2:$A$20000,Donasi!$B$2:$B$20000,A4679))</f>
        <v/>
      </c>
      <c r="C4679">
        <f>IF(A4679="","",COUNTIF(Donasi!$B$2:$B$20000,A4679))</f>
        <v/>
      </c>
      <c r="D4679">
        <f>IF(A4679="","",SUMIF(Donasi!$B$2:$B$20000,A4679,Donasi!$C$2:$C$20000))</f>
        <v/>
      </c>
      <c r="E4679">
        <f>IF(A4679="","",6-CEILING(PERCENTRANK.INC($B$3:$B$6000,B4679,4)*5+0.000001,1))</f>
        <v/>
      </c>
      <c r="F4679">
        <f>IF(A4679="","",MAX(1,CEILING(PERCENTRANK.INC($C$3:$C$6000,C4679,4)*5+0.000001,1)))</f>
        <v/>
      </c>
      <c r="G4679">
        <f>IF(A4679="","",MAX(1,CEILING(PERCENTRANK.INC($D$3:$D$6000,D4679,4)*5+0.000001,1)))</f>
        <v/>
      </c>
      <c r="H4679">
        <f>IF(A4679="","",E4679&amp;F4679&amp;G4679)</f>
        <v/>
      </c>
      <c r="I4679">
        <f>IF(A4679="","",IF(AND(E4679&gt;=4,F4679&gt;=4,G4679&gt;=4),"Juara",IF(AND(F4679&gt;=4,E4679&gt;=3),"Setia",IF(AND(E4679=5,F4679&lt;=2,G4679&gt;=3),"Berpotensi",IF(AND(E4679&lt;=3,E4679&gt;=2,F4679&gt;=3),"Rawan",IF(AND(E4679&lt;=2,F4679&lt;=2),"Tidur","Umum"))))))</f>
        <v/>
      </c>
    </row>
    <row r="4680">
      <c r="B4680">
        <f>IF(A4680="","",$B$1-MAXIFS(Donasi!$A$2:$A$20000,Donasi!$B$2:$B$20000,A4680))</f>
        <v/>
      </c>
      <c r="C4680">
        <f>IF(A4680="","",COUNTIF(Donasi!$B$2:$B$20000,A4680))</f>
        <v/>
      </c>
      <c r="D4680">
        <f>IF(A4680="","",SUMIF(Donasi!$B$2:$B$20000,A4680,Donasi!$C$2:$C$20000))</f>
        <v/>
      </c>
      <c r="E4680">
        <f>IF(A4680="","",6-CEILING(PERCENTRANK.INC($B$3:$B$6000,B4680,4)*5+0.000001,1))</f>
        <v/>
      </c>
      <c r="F4680">
        <f>IF(A4680="","",MAX(1,CEILING(PERCENTRANK.INC($C$3:$C$6000,C4680,4)*5+0.000001,1)))</f>
        <v/>
      </c>
      <c r="G4680">
        <f>IF(A4680="","",MAX(1,CEILING(PERCENTRANK.INC($D$3:$D$6000,D4680,4)*5+0.000001,1)))</f>
        <v/>
      </c>
      <c r="H4680">
        <f>IF(A4680="","",E4680&amp;F4680&amp;G4680)</f>
        <v/>
      </c>
      <c r="I4680">
        <f>IF(A4680="","",IF(AND(E4680&gt;=4,F4680&gt;=4,G4680&gt;=4),"Juara",IF(AND(F4680&gt;=4,E4680&gt;=3),"Setia",IF(AND(E4680=5,F4680&lt;=2,G4680&gt;=3),"Berpotensi",IF(AND(E4680&lt;=3,E4680&gt;=2,F4680&gt;=3),"Rawan",IF(AND(E4680&lt;=2,F4680&lt;=2),"Tidur","Umum"))))))</f>
        <v/>
      </c>
    </row>
    <row r="4681">
      <c r="B4681">
        <f>IF(A4681="","",$B$1-MAXIFS(Donasi!$A$2:$A$20000,Donasi!$B$2:$B$20000,A4681))</f>
        <v/>
      </c>
      <c r="C4681">
        <f>IF(A4681="","",COUNTIF(Donasi!$B$2:$B$20000,A4681))</f>
        <v/>
      </c>
      <c r="D4681">
        <f>IF(A4681="","",SUMIF(Donasi!$B$2:$B$20000,A4681,Donasi!$C$2:$C$20000))</f>
        <v/>
      </c>
      <c r="E4681">
        <f>IF(A4681="","",6-CEILING(PERCENTRANK.INC($B$3:$B$6000,B4681,4)*5+0.000001,1))</f>
        <v/>
      </c>
      <c r="F4681">
        <f>IF(A4681="","",MAX(1,CEILING(PERCENTRANK.INC($C$3:$C$6000,C4681,4)*5+0.000001,1)))</f>
        <v/>
      </c>
      <c r="G4681">
        <f>IF(A4681="","",MAX(1,CEILING(PERCENTRANK.INC($D$3:$D$6000,D4681,4)*5+0.000001,1)))</f>
        <v/>
      </c>
      <c r="H4681">
        <f>IF(A4681="","",E4681&amp;F4681&amp;G4681)</f>
        <v/>
      </c>
      <c r="I4681">
        <f>IF(A4681="","",IF(AND(E4681&gt;=4,F4681&gt;=4,G4681&gt;=4),"Juara",IF(AND(F4681&gt;=4,E4681&gt;=3),"Setia",IF(AND(E4681=5,F4681&lt;=2,G4681&gt;=3),"Berpotensi",IF(AND(E4681&lt;=3,E4681&gt;=2,F4681&gt;=3),"Rawan",IF(AND(E4681&lt;=2,F4681&lt;=2),"Tidur","Umum"))))))</f>
        <v/>
      </c>
    </row>
    <row r="4682">
      <c r="B4682">
        <f>IF(A4682="","",$B$1-MAXIFS(Donasi!$A$2:$A$20000,Donasi!$B$2:$B$20000,A4682))</f>
        <v/>
      </c>
      <c r="C4682">
        <f>IF(A4682="","",COUNTIF(Donasi!$B$2:$B$20000,A4682))</f>
        <v/>
      </c>
      <c r="D4682">
        <f>IF(A4682="","",SUMIF(Donasi!$B$2:$B$20000,A4682,Donasi!$C$2:$C$20000))</f>
        <v/>
      </c>
      <c r="E4682">
        <f>IF(A4682="","",6-CEILING(PERCENTRANK.INC($B$3:$B$6000,B4682,4)*5+0.000001,1))</f>
        <v/>
      </c>
      <c r="F4682">
        <f>IF(A4682="","",MAX(1,CEILING(PERCENTRANK.INC($C$3:$C$6000,C4682,4)*5+0.000001,1)))</f>
        <v/>
      </c>
      <c r="G4682">
        <f>IF(A4682="","",MAX(1,CEILING(PERCENTRANK.INC($D$3:$D$6000,D4682,4)*5+0.000001,1)))</f>
        <v/>
      </c>
      <c r="H4682">
        <f>IF(A4682="","",E4682&amp;F4682&amp;G4682)</f>
        <v/>
      </c>
      <c r="I4682">
        <f>IF(A4682="","",IF(AND(E4682&gt;=4,F4682&gt;=4,G4682&gt;=4),"Juara",IF(AND(F4682&gt;=4,E4682&gt;=3),"Setia",IF(AND(E4682=5,F4682&lt;=2,G4682&gt;=3),"Berpotensi",IF(AND(E4682&lt;=3,E4682&gt;=2,F4682&gt;=3),"Rawan",IF(AND(E4682&lt;=2,F4682&lt;=2),"Tidur","Umum"))))))</f>
        <v/>
      </c>
    </row>
    <row r="4683">
      <c r="B4683">
        <f>IF(A4683="","",$B$1-MAXIFS(Donasi!$A$2:$A$20000,Donasi!$B$2:$B$20000,A4683))</f>
        <v/>
      </c>
      <c r="C4683">
        <f>IF(A4683="","",COUNTIF(Donasi!$B$2:$B$20000,A4683))</f>
        <v/>
      </c>
      <c r="D4683">
        <f>IF(A4683="","",SUMIF(Donasi!$B$2:$B$20000,A4683,Donasi!$C$2:$C$20000))</f>
        <v/>
      </c>
      <c r="E4683">
        <f>IF(A4683="","",6-CEILING(PERCENTRANK.INC($B$3:$B$6000,B4683,4)*5+0.000001,1))</f>
        <v/>
      </c>
      <c r="F4683">
        <f>IF(A4683="","",MAX(1,CEILING(PERCENTRANK.INC($C$3:$C$6000,C4683,4)*5+0.000001,1)))</f>
        <v/>
      </c>
      <c r="G4683">
        <f>IF(A4683="","",MAX(1,CEILING(PERCENTRANK.INC($D$3:$D$6000,D4683,4)*5+0.000001,1)))</f>
        <v/>
      </c>
      <c r="H4683">
        <f>IF(A4683="","",E4683&amp;F4683&amp;G4683)</f>
        <v/>
      </c>
      <c r="I4683">
        <f>IF(A4683="","",IF(AND(E4683&gt;=4,F4683&gt;=4,G4683&gt;=4),"Juara",IF(AND(F4683&gt;=4,E4683&gt;=3),"Setia",IF(AND(E4683=5,F4683&lt;=2,G4683&gt;=3),"Berpotensi",IF(AND(E4683&lt;=3,E4683&gt;=2,F4683&gt;=3),"Rawan",IF(AND(E4683&lt;=2,F4683&lt;=2),"Tidur","Umum"))))))</f>
        <v/>
      </c>
    </row>
    <row r="4684">
      <c r="B4684">
        <f>IF(A4684="","",$B$1-MAXIFS(Donasi!$A$2:$A$20000,Donasi!$B$2:$B$20000,A4684))</f>
        <v/>
      </c>
      <c r="C4684">
        <f>IF(A4684="","",COUNTIF(Donasi!$B$2:$B$20000,A4684))</f>
        <v/>
      </c>
      <c r="D4684">
        <f>IF(A4684="","",SUMIF(Donasi!$B$2:$B$20000,A4684,Donasi!$C$2:$C$20000))</f>
        <v/>
      </c>
      <c r="E4684">
        <f>IF(A4684="","",6-CEILING(PERCENTRANK.INC($B$3:$B$6000,B4684,4)*5+0.000001,1))</f>
        <v/>
      </c>
      <c r="F4684">
        <f>IF(A4684="","",MAX(1,CEILING(PERCENTRANK.INC($C$3:$C$6000,C4684,4)*5+0.000001,1)))</f>
        <v/>
      </c>
      <c r="G4684">
        <f>IF(A4684="","",MAX(1,CEILING(PERCENTRANK.INC($D$3:$D$6000,D4684,4)*5+0.000001,1)))</f>
        <v/>
      </c>
      <c r="H4684">
        <f>IF(A4684="","",E4684&amp;F4684&amp;G4684)</f>
        <v/>
      </c>
      <c r="I4684">
        <f>IF(A4684="","",IF(AND(E4684&gt;=4,F4684&gt;=4,G4684&gt;=4),"Juara",IF(AND(F4684&gt;=4,E4684&gt;=3),"Setia",IF(AND(E4684=5,F4684&lt;=2,G4684&gt;=3),"Berpotensi",IF(AND(E4684&lt;=3,E4684&gt;=2,F4684&gt;=3),"Rawan",IF(AND(E4684&lt;=2,F4684&lt;=2),"Tidur","Umum"))))))</f>
        <v/>
      </c>
    </row>
    <row r="4685">
      <c r="B4685">
        <f>IF(A4685="","",$B$1-MAXIFS(Donasi!$A$2:$A$20000,Donasi!$B$2:$B$20000,A4685))</f>
        <v/>
      </c>
      <c r="C4685">
        <f>IF(A4685="","",COUNTIF(Donasi!$B$2:$B$20000,A4685))</f>
        <v/>
      </c>
      <c r="D4685">
        <f>IF(A4685="","",SUMIF(Donasi!$B$2:$B$20000,A4685,Donasi!$C$2:$C$20000))</f>
        <v/>
      </c>
      <c r="E4685">
        <f>IF(A4685="","",6-CEILING(PERCENTRANK.INC($B$3:$B$6000,B4685,4)*5+0.000001,1))</f>
        <v/>
      </c>
      <c r="F4685">
        <f>IF(A4685="","",MAX(1,CEILING(PERCENTRANK.INC($C$3:$C$6000,C4685,4)*5+0.000001,1)))</f>
        <v/>
      </c>
      <c r="G4685">
        <f>IF(A4685="","",MAX(1,CEILING(PERCENTRANK.INC($D$3:$D$6000,D4685,4)*5+0.000001,1)))</f>
        <v/>
      </c>
      <c r="H4685">
        <f>IF(A4685="","",E4685&amp;F4685&amp;G4685)</f>
        <v/>
      </c>
      <c r="I4685">
        <f>IF(A4685="","",IF(AND(E4685&gt;=4,F4685&gt;=4,G4685&gt;=4),"Juara",IF(AND(F4685&gt;=4,E4685&gt;=3),"Setia",IF(AND(E4685=5,F4685&lt;=2,G4685&gt;=3),"Berpotensi",IF(AND(E4685&lt;=3,E4685&gt;=2,F4685&gt;=3),"Rawan",IF(AND(E4685&lt;=2,F4685&lt;=2),"Tidur","Umum"))))))</f>
        <v/>
      </c>
    </row>
    <row r="4686">
      <c r="B4686">
        <f>IF(A4686="","",$B$1-MAXIFS(Donasi!$A$2:$A$20000,Donasi!$B$2:$B$20000,A4686))</f>
        <v/>
      </c>
      <c r="C4686">
        <f>IF(A4686="","",COUNTIF(Donasi!$B$2:$B$20000,A4686))</f>
        <v/>
      </c>
      <c r="D4686">
        <f>IF(A4686="","",SUMIF(Donasi!$B$2:$B$20000,A4686,Donasi!$C$2:$C$20000))</f>
        <v/>
      </c>
      <c r="E4686">
        <f>IF(A4686="","",6-CEILING(PERCENTRANK.INC($B$3:$B$6000,B4686,4)*5+0.000001,1))</f>
        <v/>
      </c>
      <c r="F4686">
        <f>IF(A4686="","",MAX(1,CEILING(PERCENTRANK.INC($C$3:$C$6000,C4686,4)*5+0.000001,1)))</f>
        <v/>
      </c>
      <c r="G4686">
        <f>IF(A4686="","",MAX(1,CEILING(PERCENTRANK.INC($D$3:$D$6000,D4686,4)*5+0.000001,1)))</f>
        <v/>
      </c>
      <c r="H4686">
        <f>IF(A4686="","",E4686&amp;F4686&amp;G4686)</f>
        <v/>
      </c>
      <c r="I4686">
        <f>IF(A4686="","",IF(AND(E4686&gt;=4,F4686&gt;=4,G4686&gt;=4),"Juara",IF(AND(F4686&gt;=4,E4686&gt;=3),"Setia",IF(AND(E4686=5,F4686&lt;=2,G4686&gt;=3),"Berpotensi",IF(AND(E4686&lt;=3,E4686&gt;=2,F4686&gt;=3),"Rawan",IF(AND(E4686&lt;=2,F4686&lt;=2),"Tidur","Umum"))))))</f>
        <v/>
      </c>
    </row>
    <row r="4687">
      <c r="B4687">
        <f>IF(A4687="","",$B$1-MAXIFS(Donasi!$A$2:$A$20000,Donasi!$B$2:$B$20000,A4687))</f>
        <v/>
      </c>
      <c r="C4687">
        <f>IF(A4687="","",COUNTIF(Donasi!$B$2:$B$20000,A4687))</f>
        <v/>
      </c>
      <c r="D4687">
        <f>IF(A4687="","",SUMIF(Donasi!$B$2:$B$20000,A4687,Donasi!$C$2:$C$20000))</f>
        <v/>
      </c>
      <c r="E4687">
        <f>IF(A4687="","",6-CEILING(PERCENTRANK.INC($B$3:$B$6000,B4687,4)*5+0.000001,1))</f>
        <v/>
      </c>
      <c r="F4687">
        <f>IF(A4687="","",MAX(1,CEILING(PERCENTRANK.INC($C$3:$C$6000,C4687,4)*5+0.000001,1)))</f>
        <v/>
      </c>
      <c r="G4687">
        <f>IF(A4687="","",MAX(1,CEILING(PERCENTRANK.INC($D$3:$D$6000,D4687,4)*5+0.000001,1)))</f>
        <v/>
      </c>
      <c r="H4687">
        <f>IF(A4687="","",E4687&amp;F4687&amp;G4687)</f>
        <v/>
      </c>
      <c r="I4687">
        <f>IF(A4687="","",IF(AND(E4687&gt;=4,F4687&gt;=4,G4687&gt;=4),"Juara",IF(AND(F4687&gt;=4,E4687&gt;=3),"Setia",IF(AND(E4687=5,F4687&lt;=2,G4687&gt;=3),"Berpotensi",IF(AND(E4687&lt;=3,E4687&gt;=2,F4687&gt;=3),"Rawan",IF(AND(E4687&lt;=2,F4687&lt;=2),"Tidur","Umum"))))))</f>
        <v/>
      </c>
    </row>
    <row r="4688">
      <c r="B4688">
        <f>IF(A4688="","",$B$1-MAXIFS(Donasi!$A$2:$A$20000,Donasi!$B$2:$B$20000,A4688))</f>
        <v/>
      </c>
      <c r="C4688">
        <f>IF(A4688="","",COUNTIF(Donasi!$B$2:$B$20000,A4688))</f>
        <v/>
      </c>
      <c r="D4688">
        <f>IF(A4688="","",SUMIF(Donasi!$B$2:$B$20000,A4688,Donasi!$C$2:$C$20000))</f>
        <v/>
      </c>
      <c r="E4688">
        <f>IF(A4688="","",6-CEILING(PERCENTRANK.INC($B$3:$B$6000,B4688,4)*5+0.000001,1))</f>
        <v/>
      </c>
      <c r="F4688">
        <f>IF(A4688="","",MAX(1,CEILING(PERCENTRANK.INC($C$3:$C$6000,C4688,4)*5+0.000001,1)))</f>
        <v/>
      </c>
      <c r="G4688">
        <f>IF(A4688="","",MAX(1,CEILING(PERCENTRANK.INC($D$3:$D$6000,D4688,4)*5+0.000001,1)))</f>
        <v/>
      </c>
      <c r="H4688">
        <f>IF(A4688="","",E4688&amp;F4688&amp;G4688)</f>
        <v/>
      </c>
      <c r="I4688">
        <f>IF(A4688="","",IF(AND(E4688&gt;=4,F4688&gt;=4,G4688&gt;=4),"Juara",IF(AND(F4688&gt;=4,E4688&gt;=3),"Setia",IF(AND(E4688=5,F4688&lt;=2,G4688&gt;=3),"Berpotensi",IF(AND(E4688&lt;=3,E4688&gt;=2,F4688&gt;=3),"Rawan",IF(AND(E4688&lt;=2,F4688&lt;=2),"Tidur","Umum"))))))</f>
        <v/>
      </c>
    </row>
    <row r="4689">
      <c r="B4689">
        <f>IF(A4689="","",$B$1-MAXIFS(Donasi!$A$2:$A$20000,Donasi!$B$2:$B$20000,A4689))</f>
        <v/>
      </c>
      <c r="C4689">
        <f>IF(A4689="","",COUNTIF(Donasi!$B$2:$B$20000,A4689))</f>
        <v/>
      </c>
      <c r="D4689">
        <f>IF(A4689="","",SUMIF(Donasi!$B$2:$B$20000,A4689,Donasi!$C$2:$C$20000))</f>
        <v/>
      </c>
      <c r="E4689">
        <f>IF(A4689="","",6-CEILING(PERCENTRANK.INC($B$3:$B$6000,B4689,4)*5+0.000001,1))</f>
        <v/>
      </c>
      <c r="F4689">
        <f>IF(A4689="","",MAX(1,CEILING(PERCENTRANK.INC($C$3:$C$6000,C4689,4)*5+0.000001,1)))</f>
        <v/>
      </c>
      <c r="G4689">
        <f>IF(A4689="","",MAX(1,CEILING(PERCENTRANK.INC($D$3:$D$6000,D4689,4)*5+0.000001,1)))</f>
        <v/>
      </c>
      <c r="H4689">
        <f>IF(A4689="","",E4689&amp;F4689&amp;G4689)</f>
        <v/>
      </c>
      <c r="I4689">
        <f>IF(A4689="","",IF(AND(E4689&gt;=4,F4689&gt;=4,G4689&gt;=4),"Juara",IF(AND(F4689&gt;=4,E4689&gt;=3),"Setia",IF(AND(E4689=5,F4689&lt;=2,G4689&gt;=3),"Berpotensi",IF(AND(E4689&lt;=3,E4689&gt;=2,F4689&gt;=3),"Rawan",IF(AND(E4689&lt;=2,F4689&lt;=2),"Tidur","Umum"))))))</f>
        <v/>
      </c>
    </row>
    <row r="4690">
      <c r="B4690">
        <f>IF(A4690="","",$B$1-MAXIFS(Donasi!$A$2:$A$20000,Donasi!$B$2:$B$20000,A4690))</f>
        <v/>
      </c>
      <c r="C4690">
        <f>IF(A4690="","",COUNTIF(Donasi!$B$2:$B$20000,A4690))</f>
        <v/>
      </c>
      <c r="D4690">
        <f>IF(A4690="","",SUMIF(Donasi!$B$2:$B$20000,A4690,Donasi!$C$2:$C$20000))</f>
        <v/>
      </c>
      <c r="E4690">
        <f>IF(A4690="","",6-CEILING(PERCENTRANK.INC($B$3:$B$6000,B4690,4)*5+0.000001,1))</f>
        <v/>
      </c>
      <c r="F4690">
        <f>IF(A4690="","",MAX(1,CEILING(PERCENTRANK.INC($C$3:$C$6000,C4690,4)*5+0.000001,1)))</f>
        <v/>
      </c>
      <c r="G4690">
        <f>IF(A4690="","",MAX(1,CEILING(PERCENTRANK.INC($D$3:$D$6000,D4690,4)*5+0.000001,1)))</f>
        <v/>
      </c>
      <c r="H4690">
        <f>IF(A4690="","",E4690&amp;F4690&amp;G4690)</f>
        <v/>
      </c>
      <c r="I4690">
        <f>IF(A4690="","",IF(AND(E4690&gt;=4,F4690&gt;=4,G4690&gt;=4),"Juara",IF(AND(F4690&gt;=4,E4690&gt;=3),"Setia",IF(AND(E4690=5,F4690&lt;=2,G4690&gt;=3),"Berpotensi",IF(AND(E4690&lt;=3,E4690&gt;=2,F4690&gt;=3),"Rawan",IF(AND(E4690&lt;=2,F4690&lt;=2),"Tidur","Umum"))))))</f>
        <v/>
      </c>
    </row>
    <row r="4691">
      <c r="B4691">
        <f>IF(A4691="","",$B$1-MAXIFS(Donasi!$A$2:$A$20000,Donasi!$B$2:$B$20000,A4691))</f>
        <v/>
      </c>
      <c r="C4691">
        <f>IF(A4691="","",COUNTIF(Donasi!$B$2:$B$20000,A4691))</f>
        <v/>
      </c>
      <c r="D4691">
        <f>IF(A4691="","",SUMIF(Donasi!$B$2:$B$20000,A4691,Donasi!$C$2:$C$20000))</f>
        <v/>
      </c>
      <c r="E4691">
        <f>IF(A4691="","",6-CEILING(PERCENTRANK.INC($B$3:$B$6000,B4691,4)*5+0.000001,1))</f>
        <v/>
      </c>
      <c r="F4691">
        <f>IF(A4691="","",MAX(1,CEILING(PERCENTRANK.INC($C$3:$C$6000,C4691,4)*5+0.000001,1)))</f>
        <v/>
      </c>
      <c r="G4691">
        <f>IF(A4691="","",MAX(1,CEILING(PERCENTRANK.INC($D$3:$D$6000,D4691,4)*5+0.000001,1)))</f>
        <v/>
      </c>
      <c r="H4691">
        <f>IF(A4691="","",E4691&amp;F4691&amp;G4691)</f>
        <v/>
      </c>
      <c r="I4691">
        <f>IF(A4691="","",IF(AND(E4691&gt;=4,F4691&gt;=4,G4691&gt;=4),"Juara",IF(AND(F4691&gt;=4,E4691&gt;=3),"Setia",IF(AND(E4691=5,F4691&lt;=2,G4691&gt;=3),"Berpotensi",IF(AND(E4691&lt;=3,E4691&gt;=2,F4691&gt;=3),"Rawan",IF(AND(E4691&lt;=2,F4691&lt;=2),"Tidur","Umum"))))))</f>
        <v/>
      </c>
    </row>
    <row r="4692">
      <c r="B4692">
        <f>IF(A4692="","",$B$1-MAXIFS(Donasi!$A$2:$A$20000,Donasi!$B$2:$B$20000,A4692))</f>
        <v/>
      </c>
      <c r="C4692">
        <f>IF(A4692="","",COUNTIF(Donasi!$B$2:$B$20000,A4692))</f>
        <v/>
      </c>
      <c r="D4692">
        <f>IF(A4692="","",SUMIF(Donasi!$B$2:$B$20000,A4692,Donasi!$C$2:$C$20000))</f>
        <v/>
      </c>
      <c r="E4692">
        <f>IF(A4692="","",6-CEILING(PERCENTRANK.INC($B$3:$B$6000,B4692,4)*5+0.000001,1))</f>
        <v/>
      </c>
      <c r="F4692">
        <f>IF(A4692="","",MAX(1,CEILING(PERCENTRANK.INC($C$3:$C$6000,C4692,4)*5+0.000001,1)))</f>
        <v/>
      </c>
      <c r="G4692">
        <f>IF(A4692="","",MAX(1,CEILING(PERCENTRANK.INC($D$3:$D$6000,D4692,4)*5+0.000001,1)))</f>
        <v/>
      </c>
      <c r="H4692">
        <f>IF(A4692="","",E4692&amp;F4692&amp;G4692)</f>
        <v/>
      </c>
      <c r="I4692">
        <f>IF(A4692="","",IF(AND(E4692&gt;=4,F4692&gt;=4,G4692&gt;=4),"Juara",IF(AND(F4692&gt;=4,E4692&gt;=3),"Setia",IF(AND(E4692=5,F4692&lt;=2,G4692&gt;=3),"Berpotensi",IF(AND(E4692&lt;=3,E4692&gt;=2,F4692&gt;=3),"Rawan",IF(AND(E4692&lt;=2,F4692&lt;=2),"Tidur","Umum"))))))</f>
        <v/>
      </c>
    </row>
    <row r="4693">
      <c r="B4693">
        <f>IF(A4693="","",$B$1-MAXIFS(Donasi!$A$2:$A$20000,Donasi!$B$2:$B$20000,A4693))</f>
        <v/>
      </c>
      <c r="C4693">
        <f>IF(A4693="","",COUNTIF(Donasi!$B$2:$B$20000,A4693))</f>
        <v/>
      </c>
      <c r="D4693">
        <f>IF(A4693="","",SUMIF(Donasi!$B$2:$B$20000,A4693,Donasi!$C$2:$C$20000))</f>
        <v/>
      </c>
      <c r="E4693">
        <f>IF(A4693="","",6-CEILING(PERCENTRANK.INC($B$3:$B$6000,B4693,4)*5+0.000001,1))</f>
        <v/>
      </c>
      <c r="F4693">
        <f>IF(A4693="","",MAX(1,CEILING(PERCENTRANK.INC($C$3:$C$6000,C4693,4)*5+0.000001,1)))</f>
        <v/>
      </c>
      <c r="G4693">
        <f>IF(A4693="","",MAX(1,CEILING(PERCENTRANK.INC($D$3:$D$6000,D4693,4)*5+0.000001,1)))</f>
        <v/>
      </c>
      <c r="H4693">
        <f>IF(A4693="","",E4693&amp;F4693&amp;G4693)</f>
        <v/>
      </c>
      <c r="I4693">
        <f>IF(A4693="","",IF(AND(E4693&gt;=4,F4693&gt;=4,G4693&gt;=4),"Juara",IF(AND(F4693&gt;=4,E4693&gt;=3),"Setia",IF(AND(E4693=5,F4693&lt;=2,G4693&gt;=3),"Berpotensi",IF(AND(E4693&lt;=3,E4693&gt;=2,F4693&gt;=3),"Rawan",IF(AND(E4693&lt;=2,F4693&lt;=2),"Tidur","Umum"))))))</f>
        <v/>
      </c>
    </row>
    <row r="4694">
      <c r="B4694">
        <f>IF(A4694="","",$B$1-MAXIFS(Donasi!$A$2:$A$20000,Donasi!$B$2:$B$20000,A4694))</f>
        <v/>
      </c>
      <c r="C4694">
        <f>IF(A4694="","",COUNTIF(Donasi!$B$2:$B$20000,A4694))</f>
        <v/>
      </c>
      <c r="D4694">
        <f>IF(A4694="","",SUMIF(Donasi!$B$2:$B$20000,A4694,Donasi!$C$2:$C$20000))</f>
        <v/>
      </c>
      <c r="E4694">
        <f>IF(A4694="","",6-CEILING(PERCENTRANK.INC($B$3:$B$6000,B4694,4)*5+0.000001,1))</f>
        <v/>
      </c>
      <c r="F4694">
        <f>IF(A4694="","",MAX(1,CEILING(PERCENTRANK.INC($C$3:$C$6000,C4694,4)*5+0.000001,1)))</f>
        <v/>
      </c>
      <c r="G4694">
        <f>IF(A4694="","",MAX(1,CEILING(PERCENTRANK.INC($D$3:$D$6000,D4694,4)*5+0.000001,1)))</f>
        <v/>
      </c>
      <c r="H4694">
        <f>IF(A4694="","",E4694&amp;F4694&amp;G4694)</f>
        <v/>
      </c>
      <c r="I4694">
        <f>IF(A4694="","",IF(AND(E4694&gt;=4,F4694&gt;=4,G4694&gt;=4),"Juara",IF(AND(F4694&gt;=4,E4694&gt;=3),"Setia",IF(AND(E4694=5,F4694&lt;=2,G4694&gt;=3),"Berpotensi",IF(AND(E4694&lt;=3,E4694&gt;=2,F4694&gt;=3),"Rawan",IF(AND(E4694&lt;=2,F4694&lt;=2),"Tidur","Umum"))))))</f>
        <v/>
      </c>
    </row>
    <row r="4695">
      <c r="B4695">
        <f>IF(A4695="","",$B$1-MAXIFS(Donasi!$A$2:$A$20000,Donasi!$B$2:$B$20000,A4695))</f>
        <v/>
      </c>
      <c r="C4695">
        <f>IF(A4695="","",COUNTIF(Donasi!$B$2:$B$20000,A4695))</f>
        <v/>
      </c>
      <c r="D4695">
        <f>IF(A4695="","",SUMIF(Donasi!$B$2:$B$20000,A4695,Donasi!$C$2:$C$20000))</f>
        <v/>
      </c>
      <c r="E4695">
        <f>IF(A4695="","",6-CEILING(PERCENTRANK.INC($B$3:$B$6000,B4695,4)*5+0.000001,1))</f>
        <v/>
      </c>
      <c r="F4695">
        <f>IF(A4695="","",MAX(1,CEILING(PERCENTRANK.INC($C$3:$C$6000,C4695,4)*5+0.000001,1)))</f>
        <v/>
      </c>
      <c r="G4695">
        <f>IF(A4695="","",MAX(1,CEILING(PERCENTRANK.INC($D$3:$D$6000,D4695,4)*5+0.000001,1)))</f>
        <v/>
      </c>
      <c r="H4695">
        <f>IF(A4695="","",E4695&amp;F4695&amp;G4695)</f>
        <v/>
      </c>
      <c r="I4695">
        <f>IF(A4695="","",IF(AND(E4695&gt;=4,F4695&gt;=4,G4695&gt;=4),"Juara",IF(AND(F4695&gt;=4,E4695&gt;=3),"Setia",IF(AND(E4695=5,F4695&lt;=2,G4695&gt;=3),"Berpotensi",IF(AND(E4695&lt;=3,E4695&gt;=2,F4695&gt;=3),"Rawan",IF(AND(E4695&lt;=2,F4695&lt;=2),"Tidur","Umum"))))))</f>
        <v/>
      </c>
    </row>
    <row r="4696">
      <c r="B4696">
        <f>IF(A4696="","",$B$1-MAXIFS(Donasi!$A$2:$A$20000,Donasi!$B$2:$B$20000,A4696))</f>
        <v/>
      </c>
      <c r="C4696">
        <f>IF(A4696="","",COUNTIF(Donasi!$B$2:$B$20000,A4696))</f>
        <v/>
      </c>
      <c r="D4696">
        <f>IF(A4696="","",SUMIF(Donasi!$B$2:$B$20000,A4696,Donasi!$C$2:$C$20000))</f>
        <v/>
      </c>
      <c r="E4696">
        <f>IF(A4696="","",6-CEILING(PERCENTRANK.INC($B$3:$B$6000,B4696,4)*5+0.000001,1))</f>
        <v/>
      </c>
      <c r="F4696">
        <f>IF(A4696="","",MAX(1,CEILING(PERCENTRANK.INC($C$3:$C$6000,C4696,4)*5+0.000001,1)))</f>
        <v/>
      </c>
      <c r="G4696">
        <f>IF(A4696="","",MAX(1,CEILING(PERCENTRANK.INC($D$3:$D$6000,D4696,4)*5+0.000001,1)))</f>
        <v/>
      </c>
      <c r="H4696">
        <f>IF(A4696="","",E4696&amp;F4696&amp;G4696)</f>
        <v/>
      </c>
      <c r="I4696">
        <f>IF(A4696="","",IF(AND(E4696&gt;=4,F4696&gt;=4,G4696&gt;=4),"Juara",IF(AND(F4696&gt;=4,E4696&gt;=3),"Setia",IF(AND(E4696=5,F4696&lt;=2,G4696&gt;=3),"Berpotensi",IF(AND(E4696&lt;=3,E4696&gt;=2,F4696&gt;=3),"Rawan",IF(AND(E4696&lt;=2,F4696&lt;=2),"Tidur","Umum"))))))</f>
        <v/>
      </c>
    </row>
    <row r="4697">
      <c r="B4697">
        <f>IF(A4697="","",$B$1-MAXIFS(Donasi!$A$2:$A$20000,Donasi!$B$2:$B$20000,A4697))</f>
        <v/>
      </c>
      <c r="C4697">
        <f>IF(A4697="","",COUNTIF(Donasi!$B$2:$B$20000,A4697))</f>
        <v/>
      </c>
      <c r="D4697">
        <f>IF(A4697="","",SUMIF(Donasi!$B$2:$B$20000,A4697,Donasi!$C$2:$C$20000))</f>
        <v/>
      </c>
      <c r="E4697">
        <f>IF(A4697="","",6-CEILING(PERCENTRANK.INC($B$3:$B$6000,B4697,4)*5+0.000001,1))</f>
        <v/>
      </c>
      <c r="F4697">
        <f>IF(A4697="","",MAX(1,CEILING(PERCENTRANK.INC($C$3:$C$6000,C4697,4)*5+0.000001,1)))</f>
        <v/>
      </c>
      <c r="G4697">
        <f>IF(A4697="","",MAX(1,CEILING(PERCENTRANK.INC($D$3:$D$6000,D4697,4)*5+0.000001,1)))</f>
        <v/>
      </c>
      <c r="H4697">
        <f>IF(A4697="","",E4697&amp;F4697&amp;G4697)</f>
        <v/>
      </c>
      <c r="I4697">
        <f>IF(A4697="","",IF(AND(E4697&gt;=4,F4697&gt;=4,G4697&gt;=4),"Juara",IF(AND(F4697&gt;=4,E4697&gt;=3),"Setia",IF(AND(E4697=5,F4697&lt;=2,G4697&gt;=3),"Berpotensi",IF(AND(E4697&lt;=3,E4697&gt;=2,F4697&gt;=3),"Rawan",IF(AND(E4697&lt;=2,F4697&lt;=2),"Tidur","Umum"))))))</f>
        <v/>
      </c>
    </row>
    <row r="4698">
      <c r="B4698">
        <f>IF(A4698="","",$B$1-MAXIFS(Donasi!$A$2:$A$20000,Donasi!$B$2:$B$20000,A4698))</f>
        <v/>
      </c>
      <c r="C4698">
        <f>IF(A4698="","",COUNTIF(Donasi!$B$2:$B$20000,A4698))</f>
        <v/>
      </c>
      <c r="D4698">
        <f>IF(A4698="","",SUMIF(Donasi!$B$2:$B$20000,A4698,Donasi!$C$2:$C$20000))</f>
        <v/>
      </c>
      <c r="E4698">
        <f>IF(A4698="","",6-CEILING(PERCENTRANK.INC($B$3:$B$6000,B4698,4)*5+0.000001,1))</f>
        <v/>
      </c>
      <c r="F4698">
        <f>IF(A4698="","",MAX(1,CEILING(PERCENTRANK.INC($C$3:$C$6000,C4698,4)*5+0.000001,1)))</f>
        <v/>
      </c>
      <c r="G4698">
        <f>IF(A4698="","",MAX(1,CEILING(PERCENTRANK.INC($D$3:$D$6000,D4698,4)*5+0.000001,1)))</f>
        <v/>
      </c>
      <c r="H4698">
        <f>IF(A4698="","",E4698&amp;F4698&amp;G4698)</f>
        <v/>
      </c>
      <c r="I4698">
        <f>IF(A4698="","",IF(AND(E4698&gt;=4,F4698&gt;=4,G4698&gt;=4),"Juara",IF(AND(F4698&gt;=4,E4698&gt;=3),"Setia",IF(AND(E4698=5,F4698&lt;=2,G4698&gt;=3),"Berpotensi",IF(AND(E4698&lt;=3,E4698&gt;=2,F4698&gt;=3),"Rawan",IF(AND(E4698&lt;=2,F4698&lt;=2),"Tidur","Umum"))))))</f>
        <v/>
      </c>
    </row>
    <row r="4699">
      <c r="B4699">
        <f>IF(A4699="","",$B$1-MAXIFS(Donasi!$A$2:$A$20000,Donasi!$B$2:$B$20000,A4699))</f>
        <v/>
      </c>
      <c r="C4699">
        <f>IF(A4699="","",COUNTIF(Donasi!$B$2:$B$20000,A4699))</f>
        <v/>
      </c>
      <c r="D4699">
        <f>IF(A4699="","",SUMIF(Donasi!$B$2:$B$20000,A4699,Donasi!$C$2:$C$20000))</f>
        <v/>
      </c>
      <c r="E4699">
        <f>IF(A4699="","",6-CEILING(PERCENTRANK.INC($B$3:$B$6000,B4699,4)*5+0.000001,1))</f>
        <v/>
      </c>
      <c r="F4699">
        <f>IF(A4699="","",MAX(1,CEILING(PERCENTRANK.INC($C$3:$C$6000,C4699,4)*5+0.000001,1)))</f>
        <v/>
      </c>
      <c r="G4699">
        <f>IF(A4699="","",MAX(1,CEILING(PERCENTRANK.INC($D$3:$D$6000,D4699,4)*5+0.000001,1)))</f>
        <v/>
      </c>
      <c r="H4699">
        <f>IF(A4699="","",E4699&amp;F4699&amp;G4699)</f>
        <v/>
      </c>
      <c r="I4699">
        <f>IF(A4699="","",IF(AND(E4699&gt;=4,F4699&gt;=4,G4699&gt;=4),"Juara",IF(AND(F4699&gt;=4,E4699&gt;=3),"Setia",IF(AND(E4699=5,F4699&lt;=2,G4699&gt;=3),"Berpotensi",IF(AND(E4699&lt;=3,E4699&gt;=2,F4699&gt;=3),"Rawan",IF(AND(E4699&lt;=2,F4699&lt;=2),"Tidur","Umum"))))))</f>
        <v/>
      </c>
    </row>
    <row r="4700">
      <c r="B4700">
        <f>IF(A4700="","",$B$1-MAXIFS(Donasi!$A$2:$A$20000,Donasi!$B$2:$B$20000,A4700))</f>
        <v/>
      </c>
      <c r="C4700">
        <f>IF(A4700="","",COUNTIF(Donasi!$B$2:$B$20000,A4700))</f>
        <v/>
      </c>
      <c r="D4700">
        <f>IF(A4700="","",SUMIF(Donasi!$B$2:$B$20000,A4700,Donasi!$C$2:$C$20000))</f>
        <v/>
      </c>
      <c r="E4700">
        <f>IF(A4700="","",6-CEILING(PERCENTRANK.INC($B$3:$B$6000,B4700,4)*5+0.000001,1))</f>
        <v/>
      </c>
      <c r="F4700">
        <f>IF(A4700="","",MAX(1,CEILING(PERCENTRANK.INC($C$3:$C$6000,C4700,4)*5+0.000001,1)))</f>
        <v/>
      </c>
      <c r="G4700">
        <f>IF(A4700="","",MAX(1,CEILING(PERCENTRANK.INC($D$3:$D$6000,D4700,4)*5+0.000001,1)))</f>
        <v/>
      </c>
      <c r="H4700">
        <f>IF(A4700="","",E4700&amp;F4700&amp;G4700)</f>
        <v/>
      </c>
      <c r="I4700">
        <f>IF(A4700="","",IF(AND(E4700&gt;=4,F4700&gt;=4,G4700&gt;=4),"Juara",IF(AND(F4700&gt;=4,E4700&gt;=3),"Setia",IF(AND(E4700=5,F4700&lt;=2,G4700&gt;=3),"Berpotensi",IF(AND(E4700&lt;=3,E4700&gt;=2,F4700&gt;=3),"Rawan",IF(AND(E4700&lt;=2,F4700&lt;=2),"Tidur","Umum"))))))</f>
        <v/>
      </c>
    </row>
    <row r="4701">
      <c r="B4701">
        <f>IF(A4701="","",$B$1-MAXIFS(Donasi!$A$2:$A$20000,Donasi!$B$2:$B$20000,A4701))</f>
        <v/>
      </c>
      <c r="C4701">
        <f>IF(A4701="","",COUNTIF(Donasi!$B$2:$B$20000,A4701))</f>
        <v/>
      </c>
      <c r="D4701">
        <f>IF(A4701="","",SUMIF(Donasi!$B$2:$B$20000,A4701,Donasi!$C$2:$C$20000))</f>
        <v/>
      </c>
      <c r="E4701">
        <f>IF(A4701="","",6-CEILING(PERCENTRANK.INC($B$3:$B$6000,B4701,4)*5+0.000001,1))</f>
        <v/>
      </c>
      <c r="F4701">
        <f>IF(A4701="","",MAX(1,CEILING(PERCENTRANK.INC($C$3:$C$6000,C4701,4)*5+0.000001,1)))</f>
        <v/>
      </c>
      <c r="G4701">
        <f>IF(A4701="","",MAX(1,CEILING(PERCENTRANK.INC($D$3:$D$6000,D4701,4)*5+0.000001,1)))</f>
        <v/>
      </c>
      <c r="H4701">
        <f>IF(A4701="","",E4701&amp;F4701&amp;G4701)</f>
        <v/>
      </c>
      <c r="I4701">
        <f>IF(A4701="","",IF(AND(E4701&gt;=4,F4701&gt;=4,G4701&gt;=4),"Juara",IF(AND(F4701&gt;=4,E4701&gt;=3),"Setia",IF(AND(E4701=5,F4701&lt;=2,G4701&gt;=3),"Berpotensi",IF(AND(E4701&lt;=3,E4701&gt;=2,F4701&gt;=3),"Rawan",IF(AND(E4701&lt;=2,F4701&lt;=2),"Tidur","Umum"))))))</f>
        <v/>
      </c>
    </row>
    <row r="4702">
      <c r="B4702">
        <f>IF(A4702="","",$B$1-MAXIFS(Donasi!$A$2:$A$20000,Donasi!$B$2:$B$20000,A4702))</f>
        <v/>
      </c>
      <c r="C4702">
        <f>IF(A4702="","",COUNTIF(Donasi!$B$2:$B$20000,A4702))</f>
        <v/>
      </c>
      <c r="D4702">
        <f>IF(A4702="","",SUMIF(Donasi!$B$2:$B$20000,A4702,Donasi!$C$2:$C$20000))</f>
        <v/>
      </c>
      <c r="E4702">
        <f>IF(A4702="","",6-CEILING(PERCENTRANK.INC($B$3:$B$6000,B4702,4)*5+0.000001,1))</f>
        <v/>
      </c>
      <c r="F4702">
        <f>IF(A4702="","",MAX(1,CEILING(PERCENTRANK.INC($C$3:$C$6000,C4702,4)*5+0.000001,1)))</f>
        <v/>
      </c>
      <c r="G4702">
        <f>IF(A4702="","",MAX(1,CEILING(PERCENTRANK.INC($D$3:$D$6000,D4702,4)*5+0.000001,1)))</f>
        <v/>
      </c>
      <c r="H4702">
        <f>IF(A4702="","",E4702&amp;F4702&amp;G4702)</f>
        <v/>
      </c>
      <c r="I4702">
        <f>IF(A4702="","",IF(AND(E4702&gt;=4,F4702&gt;=4,G4702&gt;=4),"Juara",IF(AND(F4702&gt;=4,E4702&gt;=3),"Setia",IF(AND(E4702=5,F4702&lt;=2,G4702&gt;=3),"Berpotensi",IF(AND(E4702&lt;=3,E4702&gt;=2,F4702&gt;=3),"Rawan",IF(AND(E4702&lt;=2,F4702&lt;=2),"Tidur","Umum"))))))</f>
        <v/>
      </c>
    </row>
    <row r="4703">
      <c r="B4703">
        <f>IF(A4703="","",$B$1-MAXIFS(Donasi!$A$2:$A$20000,Donasi!$B$2:$B$20000,A4703))</f>
        <v/>
      </c>
      <c r="C4703">
        <f>IF(A4703="","",COUNTIF(Donasi!$B$2:$B$20000,A4703))</f>
        <v/>
      </c>
      <c r="D4703">
        <f>IF(A4703="","",SUMIF(Donasi!$B$2:$B$20000,A4703,Donasi!$C$2:$C$20000))</f>
        <v/>
      </c>
      <c r="E4703">
        <f>IF(A4703="","",6-CEILING(PERCENTRANK.INC($B$3:$B$6000,B4703,4)*5+0.000001,1))</f>
        <v/>
      </c>
      <c r="F4703">
        <f>IF(A4703="","",MAX(1,CEILING(PERCENTRANK.INC($C$3:$C$6000,C4703,4)*5+0.000001,1)))</f>
        <v/>
      </c>
      <c r="G4703">
        <f>IF(A4703="","",MAX(1,CEILING(PERCENTRANK.INC($D$3:$D$6000,D4703,4)*5+0.000001,1)))</f>
        <v/>
      </c>
      <c r="H4703">
        <f>IF(A4703="","",E4703&amp;F4703&amp;G4703)</f>
        <v/>
      </c>
      <c r="I4703">
        <f>IF(A4703="","",IF(AND(E4703&gt;=4,F4703&gt;=4,G4703&gt;=4),"Juara",IF(AND(F4703&gt;=4,E4703&gt;=3),"Setia",IF(AND(E4703=5,F4703&lt;=2,G4703&gt;=3),"Berpotensi",IF(AND(E4703&lt;=3,E4703&gt;=2,F4703&gt;=3),"Rawan",IF(AND(E4703&lt;=2,F4703&lt;=2),"Tidur","Umum"))))))</f>
        <v/>
      </c>
    </row>
    <row r="4704">
      <c r="B4704">
        <f>IF(A4704="","",$B$1-MAXIFS(Donasi!$A$2:$A$20000,Donasi!$B$2:$B$20000,A4704))</f>
        <v/>
      </c>
      <c r="C4704">
        <f>IF(A4704="","",COUNTIF(Donasi!$B$2:$B$20000,A4704))</f>
        <v/>
      </c>
      <c r="D4704">
        <f>IF(A4704="","",SUMIF(Donasi!$B$2:$B$20000,A4704,Donasi!$C$2:$C$20000))</f>
        <v/>
      </c>
      <c r="E4704">
        <f>IF(A4704="","",6-CEILING(PERCENTRANK.INC($B$3:$B$6000,B4704,4)*5+0.000001,1))</f>
        <v/>
      </c>
      <c r="F4704">
        <f>IF(A4704="","",MAX(1,CEILING(PERCENTRANK.INC($C$3:$C$6000,C4704,4)*5+0.000001,1)))</f>
        <v/>
      </c>
      <c r="G4704">
        <f>IF(A4704="","",MAX(1,CEILING(PERCENTRANK.INC($D$3:$D$6000,D4704,4)*5+0.000001,1)))</f>
        <v/>
      </c>
      <c r="H4704">
        <f>IF(A4704="","",E4704&amp;F4704&amp;G4704)</f>
        <v/>
      </c>
      <c r="I4704">
        <f>IF(A4704="","",IF(AND(E4704&gt;=4,F4704&gt;=4,G4704&gt;=4),"Juara",IF(AND(F4704&gt;=4,E4704&gt;=3),"Setia",IF(AND(E4704=5,F4704&lt;=2,G4704&gt;=3),"Berpotensi",IF(AND(E4704&lt;=3,E4704&gt;=2,F4704&gt;=3),"Rawan",IF(AND(E4704&lt;=2,F4704&lt;=2),"Tidur","Umum"))))))</f>
        <v/>
      </c>
    </row>
    <row r="4705">
      <c r="B4705">
        <f>IF(A4705="","",$B$1-MAXIFS(Donasi!$A$2:$A$20000,Donasi!$B$2:$B$20000,A4705))</f>
        <v/>
      </c>
      <c r="C4705">
        <f>IF(A4705="","",COUNTIF(Donasi!$B$2:$B$20000,A4705))</f>
        <v/>
      </c>
      <c r="D4705">
        <f>IF(A4705="","",SUMIF(Donasi!$B$2:$B$20000,A4705,Donasi!$C$2:$C$20000))</f>
        <v/>
      </c>
      <c r="E4705">
        <f>IF(A4705="","",6-CEILING(PERCENTRANK.INC($B$3:$B$6000,B4705,4)*5+0.000001,1))</f>
        <v/>
      </c>
      <c r="F4705">
        <f>IF(A4705="","",MAX(1,CEILING(PERCENTRANK.INC($C$3:$C$6000,C4705,4)*5+0.000001,1)))</f>
        <v/>
      </c>
      <c r="G4705">
        <f>IF(A4705="","",MAX(1,CEILING(PERCENTRANK.INC($D$3:$D$6000,D4705,4)*5+0.000001,1)))</f>
        <v/>
      </c>
      <c r="H4705">
        <f>IF(A4705="","",E4705&amp;F4705&amp;G4705)</f>
        <v/>
      </c>
      <c r="I4705">
        <f>IF(A4705="","",IF(AND(E4705&gt;=4,F4705&gt;=4,G4705&gt;=4),"Juara",IF(AND(F4705&gt;=4,E4705&gt;=3),"Setia",IF(AND(E4705=5,F4705&lt;=2,G4705&gt;=3),"Berpotensi",IF(AND(E4705&lt;=3,E4705&gt;=2,F4705&gt;=3),"Rawan",IF(AND(E4705&lt;=2,F4705&lt;=2),"Tidur","Umum"))))))</f>
        <v/>
      </c>
    </row>
    <row r="4706">
      <c r="B4706">
        <f>IF(A4706="","",$B$1-MAXIFS(Donasi!$A$2:$A$20000,Donasi!$B$2:$B$20000,A4706))</f>
        <v/>
      </c>
      <c r="C4706">
        <f>IF(A4706="","",COUNTIF(Donasi!$B$2:$B$20000,A4706))</f>
        <v/>
      </c>
      <c r="D4706">
        <f>IF(A4706="","",SUMIF(Donasi!$B$2:$B$20000,A4706,Donasi!$C$2:$C$20000))</f>
        <v/>
      </c>
      <c r="E4706">
        <f>IF(A4706="","",6-CEILING(PERCENTRANK.INC($B$3:$B$6000,B4706,4)*5+0.000001,1))</f>
        <v/>
      </c>
      <c r="F4706">
        <f>IF(A4706="","",MAX(1,CEILING(PERCENTRANK.INC($C$3:$C$6000,C4706,4)*5+0.000001,1)))</f>
        <v/>
      </c>
      <c r="G4706">
        <f>IF(A4706="","",MAX(1,CEILING(PERCENTRANK.INC($D$3:$D$6000,D4706,4)*5+0.000001,1)))</f>
        <v/>
      </c>
      <c r="H4706">
        <f>IF(A4706="","",E4706&amp;F4706&amp;G4706)</f>
        <v/>
      </c>
      <c r="I4706">
        <f>IF(A4706="","",IF(AND(E4706&gt;=4,F4706&gt;=4,G4706&gt;=4),"Juara",IF(AND(F4706&gt;=4,E4706&gt;=3),"Setia",IF(AND(E4706=5,F4706&lt;=2,G4706&gt;=3),"Berpotensi",IF(AND(E4706&lt;=3,E4706&gt;=2,F4706&gt;=3),"Rawan",IF(AND(E4706&lt;=2,F4706&lt;=2),"Tidur","Umum"))))))</f>
        <v/>
      </c>
    </row>
    <row r="4707">
      <c r="B4707">
        <f>IF(A4707="","",$B$1-MAXIFS(Donasi!$A$2:$A$20000,Donasi!$B$2:$B$20000,A4707))</f>
        <v/>
      </c>
      <c r="C4707">
        <f>IF(A4707="","",COUNTIF(Donasi!$B$2:$B$20000,A4707))</f>
        <v/>
      </c>
      <c r="D4707">
        <f>IF(A4707="","",SUMIF(Donasi!$B$2:$B$20000,A4707,Donasi!$C$2:$C$20000))</f>
        <v/>
      </c>
      <c r="E4707">
        <f>IF(A4707="","",6-CEILING(PERCENTRANK.INC($B$3:$B$6000,B4707,4)*5+0.000001,1))</f>
        <v/>
      </c>
      <c r="F4707">
        <f>IF(A4707="","",MAX(1,CEILING(PERCENTRANK.INC($C$3:$C$6000,C4707,4)*5+0.000001,1)))</f>
        <v/>
      </c>
      <c r="G4707">
        <f>IF(A4707="","",MAX(1,CEILING(PERCENTRANK.INC($D$3:$D$6000,D4707,4)*5+0.000001,1)))</f>
        <v/>
      </c>
      <c r="H4707">
        <f>IF(A4707="","",E4707&amp;F4707&amp;G4707)</f>
        <v/>
      </c>
      <c r="I4707">
        <f>IF(A4707="","",IF(AND(E4707&gt;=4,F4707&gt;=4,G4707&gt;=4),"Juara",IF(AND(F4707&gt;=4,E4707&gt;=3),"Setia",IF(AND(E4707=5,F4707&lt;=2,G4707&gt;=3),"Berpotensi",IF(AND(E4707&lt;=3,E4707&gt;=2,F4707&gt;=3),"Rawan",IF(AND(E4707&lt;=2,F4707&lt;=2),"Tidur","Umum"))))))</f>
        <v/>
      </c>
    </row>
    <row r="4708">
      <c r="B4708">
        <f>IF(A4708="","",$B$1-MAXIFS(Donasi!$A$2:$A$20000,Donasi!$B$2:$B$20000,A4708))</f>
        <v/>
      </c>
      <c r="C4708">
        <f>IF(A4708="","",COUNTIF(Donasi!$B$2:$B$20000,A4708))</f>
        <v/>
      </c>
      <c r="D4708">
        <f>IF(A4708="","",SUMIF(Donasi!$B$2:$B$20000,A4708,Donasi!$C$2:$C$20000))</f>
        <v/>
      </c>
      <c r="E4708">
        <f>IF(A4708="","",6-CEILING(PERCENTRANK.INC($B$3:$B$6000,B4708,4)*5+0.000001,1))</f>
        <v/>
      </c>
      <c r="F4708">
        <f>IF(A4708="","",MAX(1,CEILING(PERCENTRANK.INC($C$3:$C$6000,C4708,4)*5+0.000001,1)))</f>
        <v/>
      </c>
      <c r="G4708">
        <f>IF(A4708="","",MAX(1,CEILING(PERCENTRANK.INC($D$3:$D$6000,D4708,4)*5+0.000001,1)))</f>
        <v/>
      </c>
      <c r="H4708">
        <f>IF(A4708="","",E4708&amp;F4708&amp;G4708)</f>
        <v/>
      </c>
      <c r="I4708">
        <f>IF(A4708="","",IF(AND(E4708&gt;=4,F4708&gt;=4,G4708&gt;=4),"Juara",IF(AND(F4708&gt;=4,E4708&gt;=3),"Setia",IF(AND(E4708=5,F4708&lt;=2,G4708&gt;=3),"Berpotensi",IF(AND(E4708&lt;=3,E4708&gt;=2,F4708&gt;=3),"Rawan",IF(AND(E4708&lt;=2,F4708&lt;=2),"Tidur","Umum"))))))</f>
        <v/>
      </c>
    </row>
    <row r="4709">
      <c r="B4709">
        <f>IF(A4709="","",$B$1-MAXIFS(Donasi!$A$2:$A$20000,Donasi!$B$2:$B$20000,A4709))</f>
        <v/>
      </c>
      <c r="C4709">
        <f>IF(A4709="","",COUNTIF(Donasi!$B$2:$B$20000,A4709))</f>
        <v/>
      </c>
      <c r="D4709">
        <f>IF(A4709="","",SUMIF(Donasi!$B$2:$B$20000,A4709,Donasi!$C$2:$C$20000))</f>
        <v/>
      </c>
      <c r="E4709">
        <f>IF(A4709="","",6-CEILING(PERCENTRANK.INC($B$3:$B$6000,B4709,4)*5+0.000001,1))</f>
        <v/>
      </c>
      <c r="F4709">
        <f>IF(A4709="","",MAX(1,CEILING(PERCENTRANK.INC($C$3:$C$6000,C4709,4)*5+0.000001,1)))</f>
        <v/>
      </c>
      <c r="G4709">
        <f>IF(A4709="","",MAX(1,CEILING(PERCENTRANK.INC($D$3:$D$6000,D4709,4)*5+0.000001,1)))</f>
        <v/>
      </c>
      <c r="H4709">
        <f>IF(A4709="","",E4709&amp;F4709&amp;G4709)</f>
        <v/>
      </c>
      <c r="I4709">
        <f>IF(A4709="","",IF(AND(E4709&gt;=4,F4709&gt;=4,G4709&gt;=4),"Juara",IF(AND(F4709&gt;=4,E4709&gt;=3),"Setia",IF(AND(E4709=5,F4709&lt;=2,G4709&gt;=3),"Berpotensi",IF(AND(E4709&lt;=3,E4709&gt;=2,F4709&gt;=3),"Rawan",IF(AND(E4709&lt;=2,F4709&lt;=2),"Tidur","Umum"))))))</f>
        <v/>
      </c>
    </row>
    <row r="4710">
      <c r="B4710">
        <f>IF(A4710="","",$B$1-MAXIFS(Donasi!$A$2:$A$20000,Donasi!$B$2:$B$20000,A4710))</f>
        <v/>
      </c>
      <c r="C4710">
        <f>IF(A4710="","",COUNTIF(Donasi!$B$2:$B$20000,A4710))</f>
        <v/>
      </c>
      <c r="D4710">
        <f>IF(A4710="","",SUMIF(Donasi!$B$2:$B$20000,A4710,Donasi!$C$2:$C$20000))</f>
        <v/>
      </c>
      <c r="E4710">
        <f>IF(A4710="","",6-CEILING(PERCENTRANK.INC($B$3:$B$6000,B4710,4)*5+0.000001,1))</f>
        <v/>
      </c>
      <c r="F4710">
        <f>IF(A4710="","",MAX(1,CEILING(PERCENTRANK.INC($C$3:$C$6000,C4710,4)*5+0.000001,1)))</f>
        <v/>
      </c>
      <c r="G4710">
        <f>IF(A4710="","",MAX(1,CEILING(PERCENTRANK.INC($D$3:$D$6000,D4710,4)*5+0.000001,1)))</f>
        <v/>
      </c>
      <c r="H4710">
        <f>IF(A4710="","",E4710&amp;F4710&amp;G4710)</f>
        <v/>
      </c>
      <c r="I4710">
        <f>IF(A4710="","",IF(AND(E4710&gt;=4,F4710&gt;=4,G4710&gt;=4),"Juara",IF(AND(F4710&gt;=4,E4710&gt;=3),"Setia",IF(AND(E4710=5,F4710&lt;=2,G4710&gt;=3),"Berpotensi",IF(AND(E4710&lt;=3,E4710&gt;=2,F4710&gt;=3),"Rawan",IF(AND(E4710&lt;=2,F4710&lt;=2),"Tidur","Umum"))))))</f>
        <v/>
      </c>
    </row>
    <row r="4711">
      <c r="B4711">
        <f>IF(A4711="","",$B$1-MAXIFS(Donasi!$A$2:$A$20000,Donasi!$B$2:$B$20000,A4711))</f>
        <v/>
      </c>
      <c r="C4711">
        <f>IF(A4711="","",COUNTIF(Donasi!$B$2:$B$20000,A4711))</f>
        <v/>
      </c>
      <c r="D4711">
        <f>IF(A4711="","",SUMIF(Donasi!$B$2:$B$20000,A4711,Donasi!$C$2:$C$20000))</f>
        <v/>
      </c>
      <c r="E4711">
        <f>IF(A4711="","",6-CEILING(PERCENTRANK.INC($B$3:$B$6000,B4711,4)*5+0.000001,1))</f>
        <v/>
      </c>
      <c r="F4711">
        <f>IF(A4711="","",MAX(1,CEILING(PERCENTRANK.INC($C$3:$C$6000,C4711,4)*5+0.000001,1)))</f>
        <v/>
      </c>
      <c r="G4711">
        <f>IF(A4711="","",MAX(1,CEILING(PERCENTRANK.INC($D$3:$D$6000,D4711,4)*5+0.000001,1)))</f>
        <v/>
      </c>
      <c r="H4711">
        <f>IF(A4711="","",E4711&amp;F4711&amp;G4711)</f>
        <v/>
      </c>
      <c r="I4711">
        <f>IF(A4711="","",IF(AND(E4711&gt;=4,F4711&gt;=4,G4711&gt;=4),"Juara",IF(AND(F4711&gt;=4,E4711&gt;=3),"Setia",IF(AND(E4711=5,F4711&lt;=2,G4711&gt;=3),"Berpotensi",IF(AND(E4711&lt;=3,E4711&gt;=2,F4711&gt;=3),"Rawan",IF(AND(E4711&lt;=2,F4711&lt;=2),"Tidur","Umum"))))))</f>
        <v/>
      </c>
    </row>
    <row r="4712">
      <c r="B4712">
        <f>IF(A4712="","",$B$1-MAXIFS(Donasi!$A$2:$A$20000,Donasi!$B$2:$B$20000,A4712))</f>
        <v/>
      </c>
      <c r="C4712">
        <f>IF(A4712="","",COUNTIF(Donasi!$B$2:$B$20000,A4712))</f>
        <v/>
      </c>
      <c r="D4712">
        <f>IF(A4712="","",SUMIF(Donasi!$B$2:$B$20000,A4712,Donasi!$C$2:$C$20000))</f>
        <v/>
      </c>
      <c r="E4712">
        <f>IF(A4712="","",6-CEILING(PERCENTRANK.INC($B$3:$B$6000,B4712,4)*5+0.000001,1))</f>
        <v/>
      </c>
      <c r="F4712">
        <f>IF(A4712="","",MAX(1,CEILING(PERCENTRANK.INC($C$3:$C$6000,C4712,4)*5+0.000001,1)))</f>
        <v/>
      </c>
      <c r="G4712">
        <f>IF(A4712="","",MAX(1,CEILING(PERCENTRANK.INC($D$3:$D$6000,D4712,4)*5+0.000001,1)))</f>
        <v/>
      </c>
      <c r="H4712">
        <f>IF(A4712="","",E4712&amp;F4712&amp;G4712)</f>
        <v/>
      </c>
      <c r="I4712">
        <f>IF(A4712="","",IF(AND(E4712&gt;=4,F4712&gt;=4,G4712&gt;=4),"Juara",IF(AND(F4712&gt;=4,E4712&gt;=3),"Setia",IF(AND(E4712=5,F4712&lt;=2,G4712&gt;=3),"Berpotensi",IF(AND(E4712&lt;=3,E4712&gt;=2,F4712&gt;=3),"Rawan",IF(AND(E4712&lt;=2,F4712&lt;=2),"Tidur","Umum"))))))</f>
        <v/>
      </c>
    </row>
    <row r="4713">
      <c r="B4713">
        <f>IF(A4713="","",$B$1-MAXIFS(Donasi!$A$2:$A$20000,Donasi!$B$2:$B$20000,A4713))</f>
        <v/>
      </c>
      <c r="C4713">
        <f>IF(A4713="","",COUNTIF(Donasi!$B$2:$B$20000,A4713))</f>
        <v/>
      </c>
      <c r="D4713">
        <f>IF(A4713="","",SUMIF(Donasi!$B$2:$B$20000,A4713,Donasi!$C$2:$C$20000))</f>
        <v/>
      </c>
      <c r="E4713">
        <f>IF(A4713="","",6-CEILING(PERCENTRANK.INC($B$3:$B$6000,B4713,4)*5+0.000001,1))</f>
        <v/>
      </c>
      <c r="F4713">
        <f>IF(A4713="","",MAX(1,CEILING(PERCENTRANK.INC($C$3:$C$6000,C4713,4)*5+0.000001,1)))</f>
        <v/>
      </c>
      <c r="G4713">
        <f>IF(A4713="","",MAX(1,CEILING(PERCENTRANK.INC($D$3:$D$6000,D4713,4)*5+0.000001,1)))</f>
        <v/>
      </c>
      <c r="H4713">
        <f>IF(A4713="","",E4713&amp;F4713&amp;G4713)</f>
        <v/>
      </c>
      <c r="I4713">
        <f>IF(A4713="","",IF(AND(E4713&gt;=4,F4713&gt;=4,G4713&gt;=4),"Juara",IF(AND(F4713&gt;=4,E4713&gt;=3),"Setia",IF(AND(E4713=5,F4713&lt;=2,G4713&gt;=3),"Berpotensi",IF(AND(E4713&lt;=3,E4713&gt;=2,F4713&gt;=3),"Rawan",IF(AND(E4713&lt;=2,F4713&lt;=2),"Tidur","Umum"))))))</f>
        <v/>
      </c>
    </row>
    <row r="4714">
      <c r="B4714">
        <f>IF(A4714="","",$B$1-MAXIFS(Donasi!$A$2:$A$20000,Donasi!$B$2:$B$20000,A4714))</f>
        <v/>
      </c>
      <c r="C4714">
        <f>IF(A4714="","",COUNTIF(Donasi!$B$2:$B$20000,A4714))</f>
        <v/>
      </c>
      <c r="D4714">
        <f>IF(A4714="","",SUMIF(Donasi!$B$2:$B$20000,A4714,Donasi!$C$2:$C$20000))</f>
        <v/>
      </c>
      <c r="E4714">
        <f>IF(A4714="","",6-CEILING(PERCENTRANK.INC($B$3:$B$6000,B4714,4)*5+0.000001,1))</f>
        <v/>
      </c>
      <c r="F4714">
        <f>IF(A4714="","",MAX(1,CEILING(PERCENTRANK.INC($C$3:$C$6000,C4714,4)*5+0.000001,1)))</f>
        <v/>
      </c>
      <c r="G4714">
        <f>IF(A4714="","",MAX(1,CEILING(PERCENTRANK.INC($D$3:$D$6000,D4714,4)*5+0.000001,1)))</f>
        <v/>
      </c>
      <c r="H4714">
        <f>IF(A4714="","",E4714&amp;F4714&amp;G4714)</f>
        <v/>
      </c>
      <c r="I4714">
        <f>IF(A4714="","",IF(AND(E4714&gt;=4,F4714&gt;=4,G4714&gt;=4),"Juara",IF(AND(F4714&gt;=4,E4714&gt;=3),"Setia",IF(AND(E4714=5,F4714&lt;=2,G4714&gt;=3),"Berpotensi",IF(AND(E4714&lt;=3,E4714&gt;=2,F4714&gt;=3),"Rawan",IF(AND(E4714&lt;=2,F4714&lt;=2),"Tidur","Umum"))))))</f>
        <v/>
      </c>
    </row>
    <row r="4715">
      <c r="B4715">
        <f>IF(A4715="","",$B$1-MAXIFS(Donasi!$A$2:$A$20000,Donasi!$B$2:$B$20000,A4715))</f>
        <v/>
      </c>
      <c r="C4715">
        <f>IF(A4715="","",COUNTIF(Donasi!$B$2:$B$20000,A4715))</f>
        <v/>
      </c>
      <c r="D4715">
        <f>IF(A4715="","",SUMIF(Donasi!$B$2:$B$20000,A4715,Donasi!$C$2:$C$20000))</f>
        <v/>
      </c>
      <c r="E4715">
        <f>IF(A4715="","",6-CEILING(PERCENTRANK.INC($B$3:$B$6000,B4715,4)*5+0.000001,1))</f>
        <v/>
      </c>
      <c r="F4715">
        <f>IF(A4715="","",MAX(1,CEILING(PERCENTRANK.INC($C$3:$C$6000,C4715,4)*5+0.000001,1)))</f>
        <v/>
      </c>
      <c r="G4715">
        <f>IF(A4715="","",MAX(1,CEILING(PERCENTRANK.INC($D$3:$D$6000,D4715,4)*5+0.000001,1)))</f>
        <v/>
      </c>
      <c r="H4715">
        <f>IF(A4715="","",E4715&amp;F4715&amp;G4715)</f>
        <v/>
      </c>
      <c r="I4715">
        <f>IF(A4715="","",IF(AND(E4715&gt;=4,F4715&gt;=4,G4715&gt;=4),"Juara",IF(AND(F4715&gt;=4,E4715&gt;=3),"Setia",IF(AND(E4715=5,F4715&lt;=2,G4715&gt;=3),"Berpotensi",IF(AND(E4715&lt;=3,E4715&gt;=2,F4715&gt;=3),"Rawan",IF(AND(E4715&lt;=2,F4715&lt;=2),"Tidur","Umum"))))))</f>
        <v/>
      </c>
    </row>
    <row r="4716">
      <c r="B4716">
        <f>IF(A4716="","",$B$1-MAXIFS(Donasi!$A$2:$A$20000,Donasi!$B$2:$B$20000,A4716))</f>
        <v/>
      </c>
      <c r="C4716">
        <f>IF(A4716="","",COUNTIF(Donasi!$B$2:$B$20000,A4716))</f>
        <v/>
      </c>
      <c r="D4716">
        <f>IF(A4716="","",SUMIF(Donasi!$B$2:$B$20000,A4716,Donasi!$C$2:$C$20000))</f>
        <v/>
      </c>
      <c r="E4716">
        <f>IF(A4716="","",6-CEILING(PERCENTRANK.INC($B$3:$B$6000,B4716,4)*5+0.000001,1))</f>
        <v/>
      </c>
      <c r="F4716">
        <f>IF(A4716="","",MAX(1,CEILING(PERCENTRANK.INC($C$3:$C$6000,C4716,4)*5+0.000001,1)))</f>
        <v/>
      </c>
      <c r="G4716">
        <f>IF(A4716="","",MAX(1,CEILING(PERCENTRANK.INC($D$3:$D$6000,D4716,4)*5+0.000001,1)))</f>
        <v/>
      </c>
      <c r="H4716">
        <f>IF(A4716="","",E4716&amp;F4716&amp;G4716)</f>
        <v/>
      </c>
      <c r="I4716">
        <f>IF(A4716="","",IF(AND(E4716&gt;=4,F4716&gt;=4,G4716&gt;=4),"Juara",IF(AND(F4716&gt;=4,E4716&gt;=3),"Setia",IF(AND(E4716=5,F4716&lt;=2,G4716&gt;=3),"Berpotensi",IF(AND(E4716&lt;=3,E4716&gt;=2,F4716&gt;=3),"Rawan",IF(AND(E4716&lt;=2,F4716&lt;=2),"Tidur","Umum"))))))</f>
        <v/>
      </c>
    </row>
    <row r="4717">
      <c r="B4717">
        <f>IF(A4717="","",$B$1-MAXIFS(Donasi!$A$2:$A$20000,Donasi!$B$2:$B$20000,A4717))</f>
        <v/>
      </c>
      <c r="C4717">
        <f>IF(A4717="","",COUNTIF(Donasi!$B$2:$B$20000,A4717))</f>
        <v/>
      </c>
      <c r="D4717">
        <f>IF(A4717="","",SUMIF(Donasi!$B$2:$B$20000,A4717,Donasi!$C$2:$C$20000))</f>
        <v/>
      </c>
      <c r="E4717">
        <f>IF(A4717="","",6-CEILING(PERCENTRANK.INC($B$3:$B$6000,B4717,4)*5+0.000001,1))</f>
        <v/>
      </c>
      <c r="F4717">
        <f>IF(A4717="","",MAX(1,CEILING(PERCENTRANK.INC($C$3:$C$6000,C4717,4)*5+0.000001,1)))</f>
        <v/>
      </c>
      <c r="G4717">
        <f>IF(A4717="","",MAX(1,CEILING(PERCENTRANK.INC($D$3:$D$6000,D4717,4)*5+0.000001,1)))</f>
        <v/>
      </c>
      <c r="H4717">
        <f>IF(A4717="","",E4717&amp;F4717&amp;G4717)</f>
        <v/>
      </c>
      <c r="I4717">
        <f>IF(A4717="","",IF(AND(E4717&gt;=4,F4717&gt;=4,G4717&gt;=4),"Juara",IF(AND(F4717&gt;=4,E4717&gt;=3),"Setia",IF(AND(E4717=5,F4717&lt;=2,G4717&gt;=3),"Berpotensi",IF(AND(E4717&lt;=3,E4717&gt;=2,F4717&gt;=3),"Rawan",IF(AND(E4717&lt;=2,F4717&lt;=2),"Tidur","Umum"))))))</f>
        <v/>
      </c>
    </row>
    <row r="4718">
      <c r="B4718">
        <f>IF(A4718="","",$B$1-MAXIFS(Donasi!$A$2:$A$20000,Donasi!$B$2:$B$20000,A4718))</f>
        <v/>
      </c>
      <c r="C4718">
        <f>IF(A4718="","",COUNTIF(Donasi!$B$2:$B$20000,A4718))</f>
        <v/>
      </c>
      <c r="D4718">
        <f>IF(A4718="","",SUMIF(Donasi!$B$2:$B$20000,A4718,Donasi!$C$2:$C$20000))</f>
        <v/>
      </c>
      <c r="E4718">
        <f>IF(A4718="","",6-CEILING(PERCENTRANK.INC($B$3:$B$6000,B4718,4)*5+0.000001,1))</f>
        <v/>
      </c>
      <c r="F4718">
        <f>IF(A4718="","",MAX(1,CEILING(PERCENTRANK.INC($C$3:$C$6000,C4718,4)*5+0.000001,1)))</f>
        <v/>
      </c>
      <c r="G4718">
        <f>IF(A4718="","",MAX(1,CEILING(PERCENTRANK.INC($D$3:$D$6000,D4718,4)*5+0.000001,1)))</f>
        <v/>
      </c>
      <c r="H4718">
        <f>IF(A4718="","",E4718&amp;F4718&amp;G4718)</f>
        <v/>
      </c>
      <c r="I4718">
        <f>IF(A4718="","",IF(AND(E4718&gt;=4,F4718&gt;=4,G4718&gt;=4),"Juara",IF(AND(F4718&gt;=4,E4718&gt;=3),"Setia",IF(AND(E4718=5,F4718&lt;=2,G4718&gt;=3),"Berpotensi",IF(AND(E4718&lt;=3,E4718&gt;=2,F4718&gt;=3),"Rawan",IF(AND(E4718&lt;=2,F4718&lt;=2),"Tidur","Umum"))))))</f>
        <v/>
      </c>
    </row>
    <row r="4719">
      <c r="B4719">
        <f>IF(A4719="","",$B$1-MAXIFS(Donasi!$A$2:$A$20000,Donasi!$B$2:$B$20000,A4719))</f>
        <v/>
      </c>
      <c r="C4719">
        <f>IF(A4719="","",COUNTIF(Donasi!$B$2:$B$20000,A4719))</f>
        <v/>
      </c>
      <c r="D4719">
        <f>IF(A4719="","",SUMIF(Donasi!$B$2:$B$20000,A4719,Donasi!$C$2:$C$20000))</f>
        <v/>
      </c>
      <c r="E4719">
        <f>IF(A4719="","",6-CEILING(PERCENTRANK.INC($B$3:$B$6000,B4719,4)*5+0.000001,1))</f>
        <v/>
      </c>
      <c r="F4719">
        <f>IF(A4719="","",MAX(1,CEILING(PERCENTRANK.INC($C$3:$C$6000,C4719,4)*5+0.000001,1)))</f>
        <v/>
      </c>
      <c r="G4719">
        <f>IF(A4719="","",MAX(1,CEILING(PERCENTRANK.INC($D$3:$D$6000,D4719,4)*5+0.000001,1)))</f>
        <v/>
      </c>
      <c r="H4719">
        <f>IF(A4719="","",E4719&amp;F4719&amp;G4719)</f>
        <v/>
      </c>
      <c r="I4719">
        <f>IF(A4719="","",IF(AND(E4719&gt;=4,F4719&gt;=4,G4719&gt;=4),"Juara",IF(AND(F4719&gt;=4,E4719&gt;=3),"Setia",IF(AND(E4719=5,F4719&lt;=2,G4719&gt;=3),"Berpotensi",IF(AND(E4719&lt;=3,E4719&gt;=2,F4719&gt;=3),"Rawan",IF(AND(E4719&lt;=2,F4719&lt;=2),"Tidur","Umum"))))))</f>
        <v/>
      </c>
    </row>
    <row r="4720">
      <c r="B4720">
        <f>IF(A4720="","",$B$1-MAXIFS(Donasi!$A$2:$A$20000,Donasi!$B$2:$B$20000,A4720))</f>
        <v/>
      </c>
      <c r="C4720">
        <f>IF(A4720="","",COUNTIF(Donasi!$B$2:$B$20000,A4720))</f>
        <v/>
      </c>
      <c r="D4720">
        <f>IF(A4720="","",SUMIF(Donasi!$B$2:$B$20000,A4720,Donasi!$C$2:$C$20000))</f>
        <v/>
      </c>
      <c r="E4720">
        <f>IF(A4720="","",6-CEILING(PERCENTRANK.INC($B$3:$B$6000,B4720,4)*5+0.000001,1))</f>
        <v/>
      </c>
      <c r="F4720">
        <f>IF(A4720="","",MAX(1,CEILING(PERCENTRANK.INC($C$3:$C$6000,C4720,4)*5+0.000001,1)))</f>
        <v/>
      </c>
      <c r="G4720">
        <f>IF(A4720="","",MAX(1,CEILING(PERCENTRANK.INC($D$3:$D$6000,D4720,4)*5+0.000001,1)))</f>
        <v/>
      </c>
      <c r="H4720">
        <f>IF(A4720="","",E4720&amp;F4720&amp;G4720)</f>
        <v/>
      </c>
      <c r="I4720">
        <f>IF(A4720="","",IF(AND(E4720&gt;=4,F4720&gt;=4,G4720&gt;=4),"Juara",IF(AND(F4720&gt;=4,E4720&gt;=3),"Setia",IF(AND(E4720=5,F4720&lt;=2,G4720&gt;=3),"Berpotensi",IF(AND(E4720&lt;=3,E4720&gt;=2,F4720&gt;=3),"Rawan",IF(AND(E4720&lt;=2,F4720&lt;=2),"Tidur","Umum"))))))</f>
        <v/>
      </c>
    </row>
    <row r="4721">
      <c r="B4721">
        <f>IF(A4721="","",$B$1-MAXIFS(Donasi!$A$2:$A$20000,Donasi!$B$2:$B$20000,A4721))</f>
        <v/>
      </c>
      <c r="C4721">
        <f>IF(A4721="","",COUNTIF(Donasi!$B$2:$B$20000,A4721))</f>
        <v/>
      </c>
      <c r="D4721">
        <f>IF(A4721="","",SUMIF(Donasi!$B$2:$B$20000,A4721,Donasi!$C$2:$C$20000))</f>
        <v/>
      </c>
      <c r="E4721">
        <f>IF(A4721="","",6-CEILING(PERCENTRANK.INC($B$3:$B$6000,B4721,4)*5+0.000001,1))</f>
        <v/>
      </c>
      <c r="F4721">
        <f>IF(A4721="","",MAX(1,CEILING(PERCENTRANK.INC($C$3:$C$6000,C4721,4)*5+0.000001,1)))</f>
        <v/>
      </c>
      <c r="G4721">
        <f>IF(A4721="","",MAX(1,CEILING(PERCENTRANK.INC($D$3:$D$6000,D4721,4)*5+0.000001,1)))</f>
        <v/>
      </c>
      <c r="H4721">
        <f>IF(A4721="","",E4721&amp;F4721&amp;G4721)</f>
        <v/>
      </c>
      <c r="I4721">
        <f>IF(A4721="","",IF(AND(E4721&gt;=4,F4721&gt;=4,G4721&gt;=4),"Juara",IF(AND(F4721&gt;=4,E4721&gt;=3),"Setia",IF(AND(E4721=5,F4721&lt;=2,G4721&gt;=3),"Berpotensi",IF(AND(E4721&lt;=3,E4721&gt;=2,F4721&gt;=3),"Rawan",IF(AND(E4721&lt;=2,F4721&lt;=2),"Tidur","Umum"))))))</f>
        <v/>
      </c>
    </row>
    <row r="4722">
      <c r="B4722">
        <f>IF(A4722="","",$B$1-MAXIFS(Donasi!$A$2:$A$20000,Donasi!$B$2:$B$20000,A4722))</f>
        <v/>
      </c>
      <c r="C4722">
        <f>IF(A4722="","",COUNTIF(Donasi!$B$2:$B$20000,A4722))</f>
        <v/>
      </c>
      <c r="D4722">
        <f>IF(A4722="","",SUMIF(Donasi!$B$2:$B$20000,A4722,Donasi!$C$2:$C$20000))</f>
        <v/>
      </c>
      <c r="E4722">
        <f>IF(A4722="","",6-CEILING(PERCENTRANK.INC($B$3:$B$6000,B4722,4)*5+0.000001,1))</f>
        <v/>
      </c>
      <c r="F4722">
        <f>IF(A4722="","",MAX(1,CEILING(PERCENTRANK.INC($C$3:$C$6000,C4722,4)*5+0.000001,1)))</f>
        <v/>
      </c>
      <c r="G4722">
        <f>IF(A4722="","",MAX(1,CEILING(PERCENTRANK.INC($D$3:$D$6000,D4722,4)*5+0.000001,1)))</f>
        <v/>
      </c>
      <c r="H4722">
        <f>IF(A4722="","",E4722&amp;F4722&amp;G4722)</f>
        <v/>
      </c>
      <c r="I4722">
        <f>IF(A4722="","",IF(AND(E4722&gt;=4,F4722&gt;=4,G4722&gt;=4),"Juara",IF(AND(F4722&gt;=4,E4722&gt;=3),"Setia",IF(AND(E4722=5,F4722&lt;=2,G4722&gt;=3),"Berpotensi",IF(AND(E4722&lt;=3,E4722&gt;=2,F4722&gt;=3),"Rawan",IF(AND(E4722&lt;=2,F4722&lt;=2),"Tidur","Umum"))))))</f>
        <v/>
      </c>
    </row>
    <row r="4723">
      <c r="B4723">
        <f>IF(A4723="","",$B$1-MAXIFS(Donasi!$A$2:$A$20000,Donasi!$B$2:$B$20000,A4723))</f>
        <v/>
      </c>
      <c r="C4723">
        <f>IF(A4723="","",COUNTIF(Donasi!$B$2:$B$20000,A4723))</f>
        <v/>
      </c>
      <c r="D4723">
        <f>IF(A4723="","",SUMIF(Donasi!$B$2:$B$20000,A4723,Donasi!$C$2:$C$20000))</f>
        <v/>
      </c>
      <c r="E4723">
        <f>IF(A4723="","",6-CEILING(PERCENTRANK.INC($B$3:$B$6000,B4723,4)*5+0.000001,1))</f>
        <v/>
      </c>
      <c r="F4723">
        <f>IF(A4723="","",MAX(1,CEILING(PERCENTRANK.INC($C$3:$C$6000,C4723,4)*5+0.000001,1)))</f>
        <v/>
      </c>
      <c r="G4723">
        <f>IF(A4723="","",MAX(1,CEILING(PERCENTRANK.INC($D$3:$D$6000,D4723,4)*5+0.000001,1)))</f>
        <v/>
      </c>
      <c r="H4723">
        <f>IF(A4723="","",E4723&amp;F4723&amp;G4723)</f>
        <v/>
      </c>
      <c r="I4723">
        <f>IF(A4723="","",IF(AND(E4723&gt;=4,F4723&gt;=4,G4723&gt;=4),"Juara",IF(AND(F4723&gt;=4,E4723&gt;=3),"Setia",IF(AND(E4723=5,F4723&lt;=2,G4723&gt;=3),"Berpotensi",IF(AND(E4723&lt;=3,E4723&gt;=2,F4723&gt;=3),"Rawan",IF(AND(E4723&lt;=2,F4723&lt;=2),"Tidur","Umum"))))))</f>
        <v/>
      </c>
    </row>
    <row r="4724">
      <c r="B4724">
        <f>IF(A4724="","",$B$1-MAXIFS(Donasi!$A$2:$A$20000,Donasi!$B$2:$B$20000,A4724))</f>
        <v/>
      </c>
      <c r="C4724">
        <f>IF(A4724="","",COUNTIF(Donasi!$B$2:$B$20000,A4724))</f>
        <v/>
      </c>
      <c r="D4724">
        <f>IF(A4724="","",SUMIF(Donasi!$B$2:$B$20000,A4724,Donasi!$C$2:$C$20000))</f>
        <v/>
      </c>
      <c r="E4724">
        <f>IF(A4724="","",6-CEILING(PERCENTRANK.INC($B$3:$B$6000,B4724,4)*5+0.000001,1))</f>
        <v/>
      </c>
      <c r="F4724">
        <f>IF(A4724="","",MAX(1,CEILING(PERCENTRANK.INC($C$3:$C$6000,C4724,4)*5+0.000001,1)))</f>
        <v/>
      </c>
      <c r="G4724">
        <f>IF(A4724="","",MAX(1,CEILING(PERCENTRANK.INC($D$3:$D$6000,D4724,4)*5+0.000001,1)))</f>
        <v/>
      </c>
      <c r="H4724">
        <f>IF(A4724="","",E4724&amp;F4724&amp;G4724)</f>
        <v/>
      </c>
      <c r="I4724">
        <f>IF(A4724="","",IF(AND(E4724&gt;=4,F4724&gt;=4,G4724&gt;=4),"Juara",IF(AND(F4724&gt;=4,E4724&gt;=3),"Setia",IF(AND(E4724=5,F4724&lt;=2,G4724&gt;=3),"Berpotensi",IF(AND(E4724&lt;=3,E4724&gt;=2,F4724&gt;=3),"Rawan",IF(AND(E4724&lt;=2,F4724&lt;=2),"Tidur","Umum"))))))</f>
        <v/>
      </c>
    </row>
    <row r="4725">
      <c r="B4725">
        <f>IF(A4725="","",$B$1-MAXIFS(Donasi!$A$2:$A$20000,Donasi!$B$2:$B$20000,A4725))</f>
        <v/>
      </c>
      <c r="C4725">
        <f>IF(A4725="","",COUNTIF(Donasi!$B$2:$B$20000,A4725))</f>
        <v/>
      </c>
      <c r="D4725">
        <f>IF(A4725="","",SUMIF(Donasi!$B$2:$B$20000,A4725,Donasi!$C$2:$C$20000))</f>
        <v/>
      </c>
      <c r="E4725">
        <f>IF(A4725="","",6-CEILING(PERCENTRANK.INC($B$3:$B$6000,B4725,4)*5+0.000001,1))</f>
        <v/>
      </c>
      <c r="F4725">
        <f>IF(A4725="","",MAX(1,CEILING(PERCENTRANK.INC($C$3:$C$6000,C4725,4)*5+0.000001,1)))</f>
        <v/>
      </c>
      <c r="G4725">
        <f>IF(A4725="","",MAX(1,CEILING(PERCENTRANK.INC($D$3:$D$6000,D4725,4)*5+0.000001,1)))</f>
        <v/>
      </c>
      <c r="H4725">
        <f>IF(A4725="","",E4725&amp;F4725&amp;G4725)</f>
        <v/>
      </c>
      <c r="I4725">
        <f>IF(A4725="","",IF(AND(E4725&gt;=4,F4725&gt;=4,G4725&gt;=4),"Juara",IF(AND(F4725&gt;=4,E4725&gt;=3),"Setia",IF(AND(E4725=5,F4725&lt;=2,G4725&gt;=3),"Berpotensi",IF(AND(E4725&lt;=3,E4725&gt;=2,F4725&gt;=3),"Rawan",IF(AND(E4725&lt;=2,F4725&lt;=2),"Tidur","Umum"))))))</f>
        <v/>
      </c>
    </row>
    <row r="4726">
      <c r="B4726">
        <f>IF(A4726="","",$B$1-MAXIFS(Donasi!$A$2:$A$20000,Donasi!$B$2:$B$20000,A4726))</f>
        <v/>
      </c>
      <c r="C4726">
        <f>IF(A4726="","",COUNTIF(Donasi!$B$2:$B$20000,A4726))</f>
        <v/>
      </c>
      <c r="D4726">
        <f>IF(A4726="","",SUMIF(Donasi!$B$2:$B$20000,A4726,Donasi!$C$2:$C$20000))</f>
        <v/>
      </c>
      <c r="E4726">
        <f>IF(A4726="","",6-CEILING(PERCENTRANK.INC($B$3:$B$6000,B4726,4)*5+0.000001,1))</f>
        <v/>
      </c>
      <c r="F4726">
        <f>IF(A4726="","",MAX(1,CEILING(PERCENTRANK.INC($C$3:$C$6000,C4726,4)*5+0.000001,1)))</f>
        <v/>
      </c>
      <c r="G4726">
        <f>IF(A4726="","",MAX(1,CEILING(PERCENTRANK.INC($D$3:$D$6000,D4726,4)*5+0.000001,1)))</f>
        <v/>
      </c>
      <c r="H4726">
        <f>IF(A4726="","",E4726&amp;F4726&amp;G4726)</f>
        <v/>
      </c>
      <c r="I4726">
        <f>IF(A4726="","",IF(AND(E4726&gt;=4,F4726&gt;=4,G4726&gt;=4),"Juara",IF(AND(F4726&gt;=4,E4726&gt;=3),"Setia",IF(AND(E4726=5,F4726&lt;=2,G4726&gt;=3),"Berpotensi",IF(AND(E4726&lt;=3,E4726&gt;=2,F4726&gt;=3),"Rawan",IF(AND(E4726&lt;=2,F4726&lt;=2),"Tidur","Umum"))))))</f>
        <v/>
      </c>
    </row>
    <row r="4727">
      <c r="B4727">
        <f>IF(A4727="","",$B$1-MAXIFS(Donasi!$A$2:$A$20000,Donasi!$B$2:$B$20000,A4727))</f>
        <v/>
      </c>
      <c r="C4727">
        <f>IF(A4727="","",COUNTIF(Donasi!$B$2:$B$20000,A4727))</f>
        <v/>
      </c>
      <c r="D4727">
        <f>IF(A4727="","",SUMIF(Donasi!$B$2:$B$20000,A4727,Donasi!$C$2:$C$20000))</f>
        <v/>
      </c>
      <c r="E4727">
        <f>IF(A4727="","",6-CEILING(PERCENTRANK.INC($B$3:$B$6000,B4727,4)*5+0.000001,1))</f>
        <v/>
      </c>
      <c r="F4727">
        <f>IF(A4727="","",MAX(1,CEILING(PERCENTRANK.INC($C$3:$C$6000,C4727,4)*5+0.000001,1)))</f>
        <v/>
      </c>
      <c r="G4727">
        <f>IF(A4727="","",MAX(1,CEILING(PERCENTRANK.INC($D$3:$D$6000,D4727,4)*5+0.000001,1)))</f>
        <v/>
      </c>
      <c r="H4727">
        <f>IF(A4727="","",E4727&amp;F4727&amp;G4727)</f>
        <v/>
      </c>
      <c r="I4727">
        <f>IF(A4727="","",IF(AND(E4727&gt;=4,F4727&gt;=4,G4727&gt;=4),"Juara",IF(AND(F4727&gt;=4,E4727&gt;=3),"Setia",IF(AND(E4727=5,F4727&lt;=2,G4727&gt;=3),"Berpotensi",IF(AND(E4727&lt;=3,E4727&gt;=2,F4727&gt;=3),"Rawan",IF(AND(E4727&lt;=2,F4727&lt;=2),"Tidur","Umum"))))))</f>
        <v/>
      </c>
    </row>
    <row r="4728">
      <c r="B4728">
        <f>IF(A4728="","",$B$1-MAXIFS(Donasi!$A$2:$A$20000,Donasi!$B$2:$B$20000,A4728))</f>
        <v/>
      </c>
      <c r="C4728">
        <f>IF(A4728="","",COUNTIF(Donasi!$B$2:$B$20000,A4728))</f>
        <v/>
      </c>
      <c r="D4728">
        <f>IF(A4728="","",SUMIF(Donasi!$B$2:$B$20000,A4728,Donasi!$C$2:$C$20000))</f>
        <v/>
      </c>
      <c r="E4728">
        <f>IF(A4728="","",6-CEILING(PERCENTRANK.INC($B$3:$B$6000,B4728,4)*5+0.000001,1))</f>
        <v/>
      </c>
      <c r="F4728">
        <f>IF(A4728="","",MAX(1,CEILING(PERCENTRANK.INC($C$3:$C$6000,C4728,4)*5+0.000001,1)))</f>
        <v/>
      </c>
      <c r="G4728">
        <f>IF(A4728="","",MAX(1,CEILING(PERCENTRANK.INC($D$3:$D$6000,D4728,4)*5+0.000001,1)))</f>
        <v/>
      </c>
      <c r="H4728">
        <f>IF(A4728="","",E4728&amp;F4728&amp;G4728)</f>
        <v/>
      </c>
      <c r="I4728">
        <f>IF(A4728="","",IF(AND(E4728&gt;=4,F4728&gt;=4,G4728&gt;=4),"Juara",IF(AND(F4728&gt;=4,E4728&gt;=3),"Setia",IF(AND(E4728=5,F4728&lt;=2,G4728&gt;=3),"Berpotensi",IF(AND(E4728&lt;=3,E4728&gt;=2,F4728&gt;=3),"Rawan",IF(AND(E4728&lt;=2,F4728&lt;=2),"Tidur","Umum"))))))</f>
        <v/>
      </c>
    </row>
    <row r="4729">
      <c r="B4729">
        <f>IF(A4729="","",$B$1-MAXIFS(Donasi!$A$2:$A$20000,Donasi!$B$2:$B$20000,A4729))</f>
        <v/>
      </c>
      <c r="C4729">
        <f>IF(A4729="","",COUNTIF(Donasi!$B$2:$B$20000,A4729))</f>
        <v/>
      </c>
      <c r="D4729">
        <f>IF(A4729="","",SUMIF(Donasi!$B$2:$B$20000,A4729,Donasi!$C$2:$C$20000))</f>
        <v/>
      </c>
      <c r="E4729">
        <f>IF(A4729="","",6-CEILING(PERCENTRANK.INC($B$3:$B$6000,B4729,4)*5+0.000001,1))</f>
        <v/>
      </c>
      <c r="F4729">
        <f>IF(A4729="","",MAX(1,CEILING(PERCENTRANK.INC($C$3:$C$6000,C4729,4)*5+0.000001,1)))</f>
        <v/>
      </c>
      <c r="G4729">
        <f>IF(A4729="","",MAX(1,CEILING(PERCENTRANK.INC($D$3:$D$6000,D4729,4)*5+0.000001,1)))</f>
        <v/>
      </c>
      <c r="H4729">
        <f>IF(A4729="","",E4729&amp;F4729&amp;G4729)</f>
        <v/>
      </c>
      <c r="I4729">
        <f>IF(A4729="","",IF(AND(E4729&gt;=4,F4729&gt;=4,G4729&gt;=4),"Juara",IF(AND(F4729&gt;=4,E4729&gt;=3),"Setia",IF(AND(E4729=5,F4729&lt;=2,G4729&gt;=3),"Berpotensi",IF(AND(E4729&lt;=3,E4729&gt;=2,F4729&gt;=3),"Rawan",IF(AND(E4729&lt;=2,F4729&lt;=2),"Tidur","Umum"))))))</f>
        <v/>
      </c>
    </row>
    <row r="4730">
      <c r="B4730">
        <f>IF(A4730="","",$B$1-MAXIFS(Donasi!$A$2:$A$20000,Donasi!$B$2:$B$20000,A4730))</f>
        <v/>
      </c>
      <c r="C4730">
        <f>IF(A4730="","",COUNTIF(Donasi!$B$2:$B$20000,A4730))</f>
        <v/>
      </c>
      <c r="D4730">
        <f>IF(A4730="","",SUMIF(Donasi!$B$2:$B$20000,A4730,Donasi!$C$2:$C$20000))</f>
        <v/>
      </c>
      <c r="E4730">
        <f>IF(A4730="","",6-CEILING(PERCENTRANK.INC($B$3:$B$6000,B4730,4)*5+0.000001,1))</f>
        <v/>
      </c>
      <c r="F4730">
        <f>IF(A4730="","",MAX(1,CEILING(PERCENTRANK.INC($C$3:$C$6000,C4730,4)*5+0.000001,1)))</f>
        <v/>
      </c>
      <c r="G4730">
        <f>IF(A4730="","",MAX(1,CEILING(PERCENTRANK.INC($D$3:$D$6000,D4730,4)*5+0.000001,1)))</f>
        <v/>
      </c>
      <c r="H4730">
        <f>IF(A4730="","",E4730&amp;F4730&amp;G4730)</f>
        <v/>
      </c>
      <c r="I4730">
        <f>IF(A4730="","",IF(AND(E4730&gt;=4,F4730&gt;=4,G4730&gt;=4),"Juara",IF(AND(F4730&gt;=4,E4730&gt;=3),"Setia",IF(AND(E4730=5,F4730&lt;=2,G4730&gt;=3),"Berpotensi",IF(AND(E4730&lt;=3,E4730&gt;=2,F4730&gt;=3),"Rawan",IF(AND(E4730&lt;=2,F4730&lt;=2),"Tidur","Umum"))))))</f>
        <v/>
      </c>
    </row>
    <row r="4731">
      <c r="B4731">
        <f>IF(A4731="","",$B$1-MAXIFS(Donasi!$A$2:$A$20000,Donasi!$B$2:$B$20000,A4731))</f>
        <v/>
      </c>
      <c r="C4731">
        <f>IF(A4731="","",COUNTIF(Donasi!$B$2:$B$20000,A4731))</f>
        <v/>
      </c>
      <c r="D4731">
        <f>IF(A4731="","",SUMIF(Donasi!$B$2:$B$20000,A4731,Donasi!$C$2:$C$20000))</f>
        <v/>
      </c>
      <c r="E4731">
        <f>IF(A4731="","",6-CEILING(PERCENTRANK.INC($B$3:$B$6000,B4731,4)*5+0.000001,1))</f>
        <v/>
      </c>
      <c r="F4731">
        <f>IF(A4731="","",MAX(1,CEILING(PERCENTRANK.INC($C$3:$C$6000,C4731,4)*5+0.000001,1)))</f>
        <v/>
      </c>
      <c r="G4731">
        <f>IF(A4731="","",MAX(1,CEILING(PERCENTRANK.INC($D$3:$D$6000,D4731,4)*5+0.000001,1)))</f>
        <v/>
      </c>
      <c r="H4731">
        <f>IF(A4731="","",E4731&amp;F4731&amp;G4731)</f>
        <v/>
      </c>
      <c r="I4731">
        <f>IF(A4731="","",IF(AND(E4731&gt;=4,F4731&gt;=4,G4731&gt;=4),"Juara",IF(AND(F4731&gt;=4,E4731&gt;=3),"Setia",IF(AND(E4731=5,F4731&lt;=2,G4731&gt;=3),"Berpotensi",IF(AND(E4731&lt;=3,E4731&gt;=2,F4731&gt;=3),"Rawan",IF(AND(E4731&lt;=2,F4731&lt;=2),"Tidur","Umum"))))))</f>
        <v/>
      </c>
    </row>
    <row r="4732">
      <c r="B4732">
        <f>IF(A4732="","",$B$1-MAXIFS(Donasi!$A$2:$A$20000,Donasi!$B$2:$B$20000,A4732))</f>
        <v/>
      </c>
      <c r="C4732">
        <f>IF(A4732="","",COUNTIF(Donasi!$B$2:$B$20000,A4732))</f>
        <v/>
      </c>
      <c r="D4732">
        <f>IF(A4732="","",SUMIF(Donasi!$B$2:$B$20000,A4732,Donasi!$C$2:$C$20000))</f>
        <v/>
      </c>
      <c r="E4732">
        <f>IF(A4732="","",6-CEILING(PERCENTRANK.INC($B$3:$B$6000,B4732,4)*5+0.000001,1))</f>
        <v/>
      </c>
      <c r="F4732">
        <f>IF(A4732="","",MAX(1,CEILING(PERCENTRANK.INC($C$3:$C$6000,C4732,4)*5+0.000001,1)))</f>
        <v/>
      </c>
      <c r="G4732">
        <f>IF(A4732="","",MAX(1,CEILING(PERCENTRANK.INC($D$3:$D$6000,D4732,4)*5+0.000001,1)))</f>
        <v/>
      </c>
      <c r="H4732">
        <f>IF(A4732="","",E4732&amp;F4732&amp;G4732)</f>
        <v/>
      </c>
      <c r="I4732">
        <f>IF(A4732="","",IF(AND(E4732&gt;=4,F4732&gt;=4,G4732&gt;=4),"Juara",IF(AND(F4732&gt;=4,E4732&gt;=3),"Setia",IF(AND(E4732=5,F4732&lt;=2,G4732&gt;=3),"Berpotensi",IF(AND(E4732&lt;=3,E4732&gt;=2,F4732&gt;=3),"Rawan",IF(AND(E4732&lt;=2,F4732&lt;=2),"Tidur","Umum"))))))</f>
        <v/>
      </c>
    </row>
    <row r="4733">
      <c r="B4733">
        <f>IF(A4733="","",$B$1-MAXIFS(Donasi!$A$2:$A$20000,Donasi!$B$2:$B$20000,A4733))</f>
        <v/>
      </c>
      <c r="C4733">
        <f>IF(A4733="","",COUNTIF(Donasi!$B$2:$B$20000,A4733))</f>
        <v/>
      </c>
      <c r="D4733">
        <f>IF(A4733="","",SUMIF(Donasi!$B$2:$B$20000,A4733,Donasi!$C$2:$C$20000))</f>
        <v/>
      </c>
      <c r="E4733">
        <f>IF(A4733="","",6-CEILING(PERCENTRANK.INC($B$3:$B$6000,B4733,4)*5+0.000001,1))</f>
        <v/>
      </c>
      <c r="F4733">
        <f>IF(A4733="","",MAX(1,CEILING(PERCENTRANK.INC($C$3:$C$6000,C4733,4)*5+0.000001,1)))</f>
        <v/>
      </c>
      <c r="G4733">
        <f>IF(A4733="","",MAX(1,CEILING(PERCENTRANK.INC($D$3:$D$6000,D4733,4)*5+0.000001,1)))</f>
        <v/>
      </c>
      <c r="H4733">
        <f>IF(A4733="","",E4733&amp;F4733&amp;G4733)</f>
        <v/>
      </c>
      <c r="I4733">
        <f>IF(A4733="","",IF(AND(E4733&gt;=4,F4733&gt;=4,G4733&gt;=4),"Juara",IF(AND(F4733&gt;=4,E4733&gt;=3),"Setia",IF(AND(E4733=5,F4733&lt;=2,G4733&gt;=3),"Berpotensi",IF(AND(E4733&lt;=3,E4733&gt;=2,F4733&gt;=3),"Rawan",IF(AND(E4733&lt;=2,F4733&lt;=2),"Tidur","Umum"))))))</f>
        <v/>
      </c>
    </row>
    <row r="4734">
      <c r="B4734">
        <f>IF(A4734="","",$B$1-MAXIFS(Donasi!$A$2:$A$20000,Donasi!$B$2:$B$20000,A4734))</f>
        <v/>
      </c>
      <c r="C4734">
        <f>IF(A4734="","",COUNTIF(Donasi!$B$2:$B$20000,A4734))</f>
        <v/>
      </c>
      <c r="D4734">
        <f>IF(A4734="","",SUMIF(Donasi!$B$2:$B$20000,A4734,Donasi!$C$2:$C$20000))</f>
        <v/>
      </c>
      <c r="E4734">
        <f>IF(A4734="","",6-CEILING(PERCENTRANK.INC($B$3:$B$6000,B4734,4)*5+0.000001,1))</f>
        <v/>
      </c>
      <c r="F4734">
        <f>IF(A4734="","",MAX(1,CEILING(PERCENTRANK.INC($C$3:$C$6000,C4734,4)*5+0.000001,1)))</f>
        <v/>
      </c>
      <c r="G4734">
        <f>IF(A4734="","",MAX(1,CEILING(PERCENTRANK.INC($D$3:$D$6000,D4734,4)*5+0.000001,1)))</f>
        <v/>
      </c>
      <c r="H4734">
        <f>IF(A4734="","",E4734&amp;F4734&amp;G4734)</f>
        <v/>
      </c>
      <c r="I4734">
        <f>IF(A4734="","",IF(AND(E4734&gt;=4,F4734&gt;=4,G4734&gt;=4),"Juara",IF(AND(F4734&gt;=4,E4734&gt;=3),"Setia",IF(AND(E4734=5,F4734&lt;=2,G4734&gt;=3),"Berpotensi",IF(AND(E4734&lt;=3,E4734&gt;=2,F4734&gt;=3),"Rawan",IF(AND(E4734&lt;=2,F4734&lt;=2),"Tidur","Umum"))))))</f>
        <v/>
      </c>
    </row>
    <row r="4735">
      <c r="B4735">
        <f>IF(A4735="","",$B$1-MAXIFS(Donasi!$A$2:$A$20000,Donasi!$B$2:$B$20000,A4735))</f>
        <v/>
      </c>
      <c r="C4735">
        <f>IF(A4735="","",COUNTIF(Donasi!$B$2:$B$20000,A4735))</f>
        <v/>
      </c>
      <c r="D4735">
        <f>IF(A4735="","",SUMIF(Donasi!$B$2:$B$20000,A4735,Donasi!$C$2:$C$20000))</f>
        <v/>
      </c>
      <c r="E4735">
        <f>IF(A4735="","",6-CEILING(PERCENTRANK.INC($B$3:$B$6000,B4735,4)*5+0.000001,1))</f>
        <v/>
      </c>
      <c r="F4735">
        <f>IF(A4735="","",MAX(1,CEILING(PERCENTRANK.INC($C$3:$C$6000,C4735,4)*5+0.000001,1)))</f>
        <v/>
      </c>
      <c r="G4735">
        <f>IF(A4735="","",MAX(1,CEILING(PERCENTRANK.INC($D$3:$D$6000,D4735,4)*5+0.000001,1)))</f>
        <v/>
      </c>
      <c r="H4735">
        <f>IF(A4735="","",E4735&amp;F4735&amp;G4735)</f>
        <v/>
      </c>
      <c r="I4735">
        <f>IF(A4735="","",IF(AND(E4735&gt;=4,F4735&gt;=4,G4735&gt;=4),"Juara",IF(AND(F4735&gt;=4,E4735&gt;=3),"Setia",IF(AND(E4735=5,F4735&lt;=2,G4735&gt;=3),"Berpotensi",IF(AND(E4735&lt;=3,E4735&gt;=2,F4735&gt;=3),"Rawan",IF(AND(E4735&lt;=2,F4735&lt;=2),"Tidur","Umum"))))))</f>
        <v/>
      </c>
    </row>
    <row r="4736">
      <c r="B4736">
        <f>IF(A4736="","",$B$1-MAXIFS(Donasi!$A$2:$A$20000,Donasi!$B$2:$B$20000,A4736))</f>
        <v/>
      </c>
      <c r="C4736">
        <f>IF(A4736="","",COUNTIF(Donasi!$B$2:$B$20000,A4736))</f>
        <v/>
      </c>
      <c r="D4736">
        <f>IF(A4736="","",SUMIF(Donasi!$B$2:$B$20000,A4736,Donasi!$C$2:$C$20000))</f>
        <v/>
      </c>
      <c r="E4736">
        <f>IF(A4736="","",6-CEILING(PERCENTRANK.INC($B$3:$B$6000,B4736,4)*5+0.000001,1))</f>
        <v/>
      </c>
      <c r="F4736">
        <f>IF(A4736="","",MAX(1,CEILING(PERCENTRANK.INC($C$3:$C$6000,C4736,4)*5+0.000001,1)))</f>
        <v/>
      </c>
      <c r="G4736">
        <f>IF(A4736="","",MAX(1,CEILING(PERCENTRANK.INC($D$3:$D$6000,D4736,4)*5+0.000001,1)))</f>
        <v/>
      </c>
      <c r="H4736">
        <f>IF(A4736="","",E4736&amp;F4736&amp;G4736)</f>
        <v/>
      </c>
      <c r="I4736">
        <f>IF(A4736="","",IF(AND(E4736&gt;=4,F4736&gt;=4,G4736&gt;=4),"Juara",IF(AND(F4736&gt;=4,E4736&gt;=3),"Setia",IF(AND(E4736=5,F4736&lt;=2,G4736&gt;=3),"Berpotensi",IF(AND(E4736&lt;=3,E4736&gt;=2,F4736&gt;=3),"Rawan",IF(AND(E4736&lt;=2,F4736&lt;=2),"Tidur","Umum"))))))</f>
        <v/>
      </c>
    </row>
    <row r="4737">
      <c r="B4737">
        <f>IF(A4737="","",$B$1-MAXIFS(Donasi!$A$2:$A$20000,Donasi!$B$2:$B$20000,A4737))</f>
        <v/>
      </c>
      <c r="C4737">
        <f>IF(A4737="","",COUNTIF(Donasi!$B$2:$B$20000,A4737))</f>
        <v/>
      </c>
      <c r="D4737">
        <f>IF(A4737="","",SUMIF(Donasi!$B$2:$B$20000,A4737,Donasi!$C$2:$C$20000))</f>
        <v/>
      </c>
      <c r="E4737">
        <f>IF(A4737="","",6-CEILING(PERCENTRANK.INC($B$3:$B$6000,B4737,4)*5+0.000001,1))</f>
        <v/>
      </c>
      <c r="F4737">
        <f>IF(A4737="","",MAX(1,CEILING(PERCENTRANK.INC($C$3:$C$6000,C4737,4)*5+0.000001,1)))</f>
        <v/>
      </c>
      <c r="G4737">
        <f>IF(A4737="","",MAX(1,CEILING(PERCENTRANK.INC($D$3:$D$6000,D4737,4)*5+0.000001,1)))</f>
        <v/>
      </c>
      <c r="H4737">
        <f>IF(A4737="","",E4737&amp;F4737&amp;G4737)</f>
        <v/>
      </c>
      <c r="I4737">
        <f>IF(A4737="","",IF(AND(E4737&gt;=4,F4737&gt;=4,G4737&gt;=4),"Juara",IF(AND(F4737&gt;=4,E4737&gt;=3),"Setia",IF(AND(E4737=5,F4737&lt;=2,G4737&gt;=3),"Berpotensi",IF(AND(E4737&lt;=3,E4737&gt;=2,F4737&gt;=3),"Rawan",IF(AND(E4737&lt;=2,F4737&lt;=2),"Tidur","Umum"))))))</f>
        <v/>
      </c>
    </row>
    <row r="4738">
      <c r="B4738">
        <f>IF(A4738="","",$B$1-MAXIFS(Donasi!$A$2:$A$20000,Donasi!$B$2:$B$20000,A4738))</f>
        <v/>
      </c>
      <c r="C4738">
        <f>IF(A4738="","",COUNTIF(Donasi!$B$2:$B$20000,A4738))</f>
        <v/>
      </c>
      <c r="D4738">
        <f>IF(A4738="","",SUMIF(Donasi!$B$2:$B$20000,A4738,Donasi!$C$2:$C$20000))</f>
        <v/>
      </c>
      <c r="E4738">
        <f>IF(A4738="","",6-CEILING(PERCENTRANK.INC($B$3:$B$6000,B4738,4)*5+0.000001,1))</f>
        <v/>
      </c>
      <c r="F4738">
        <f>IF(A4738="","",MAX(1,CEILING(PERCENTRANK.INC($C$3:$C$6000,C4738,4)*5+0.000001,1)))</f>
        <v/>
      </c>
      <c r="G4738">
        <f>IF(A4738="","",MAX(1,CEILING(PERCENTRANK.INC($D$3:$D$6000,D4738,4)*5+0.000001,1)))</f>
        <v/>
      </c>
      <c r="H4738">
        <f>IF(A4738="","",E4738&amp;F4738&amp;G4738)</f>
        <v/>
      </c>
      <c r="I4738">
        <f>IF(A4738="","",IF(AND(E4738&gt;=4,F4738&gt;=4,G4738&gt;=4),"Juara",IF(AND(F4738&gt;=4,E4738&gt;=3),"Setia",IF(AND(E4738=5,F4738&lt;=2,G4738&gt;=3),"Berpotensi",IF(AND(E4738&lt;=3,E4738&gt;=2,F4738&gt;=3),"Rawan",IF(AND(E4738&lt;=2,F4738&lt;=2),"Tidur","Umum"))))))</f>
        <v/>
      </c>
    </row>
    <row r="4739">
      <c r="B4739">
        <f>IF(A4739="","",$B$1-MAXIFS(Donasi!$A$2:$A$20000,Donasi!$B$2:$B$20000,A4739))</f>
        <v/>
      </c>
      <c r="C4739">
        <f>IF(A4739="","",COUNTIF(Donasi!$B$2:$B$20000,A4739))</f>
        <v/>
      </c>
      <c r="D4739">
        <f>IF(A4739="","",SUMIF(Donasi!$B$2:$B$20000,A4739,Donasi!$C$2:$C$20000))</f>
        <v/>
      </c>
      <c r="E4739">
        <f>IF(A4739="","",6-CEILING(PERCENTRANK.INC($B$3:$B$6000,B4739,4)*5+0.000001,1))</f>
        <v/>
      </c>
      <c r="F4739">
        <f>IF(A4739="","",MAX(1,CEILING(PERCENTRANK.INC($C$3:$C$6000,C4739,4)*5+0.000001,1)))</f>
        <v/>
      </c>
      <c r="G4739">
        <f>IF(A4739="","",MAX(1,CEILING(PERCENTRANK.INC($D$3:$D$6000,D4739,4)*5+0.000001,1)))</f>
        <v/>
      </c>
      <c r="H4739">
        <f>IF(A4739="","",E4739&amp;F4739&amp;G4739)</f>
        <v/>
      </c>
      <c r="I4739">
        <f>IF(A4739="","",IF(AND(E4739&gt;=4,F4739&gt;=4,G4739&gt;=4),"Juara",IF(AND(F4739&gt;=4,E4739&gt;=3),"Setia",IF(AND(E4739=5,F4739&lt;=2,G4739&gt;=3),"Berpotensi",IF(AND(E4739&lt;=3,E4739&gt;=2,F4739&gt;=3),"Rawan",IF(AND(E4739&lt;=2,F4739&lt;=2),"Tidur","Umum"))))))</f>
        <v/>
      </c>
    </row>
    <row r="4740">
      <c r="B4740">
        <f>IF(A4740="","",$B$1-MAXIFS(Donasi!$A$2:$A$20000,Donasi!$B$2:$B$20000,A4740))</f>
        <v/>
      </c>
      <c r="C4740">
        <f>IF(A4740="","",COUNTIF(Donasi!$B$2:$B$20000,A4740))</f>
        <v/>
      </c>
      <c r="D4740">
        <f>IF(A4740="","",SUMIF(Donasi!$B$2:$B$20000,A4740,Donasi!$C$2:$C$20000))</f>
        <v/>
      </c>
      <c r="E4740">
        <f>IF(A4740="","",6-CEILING(PERCENTRANK.INC($B$3:$B$6000,B4740,4)*5+0.000001,1))</f>
        <v/>
      </c>
      <c r="F4740">
        <f>IF(A4740="","",MAX(1,CEILING(PERCENTRANK.INC($C$3:$C$6000,C4740,4)*5+0.000001,1)))</f>
        <v/>
      </c>
      <c r="G4740">
        <f>IF(A4740="","",MAX(1,CEILING(PERCENTRANK.INC($D$3:$D$6000,D4740,4)*5+0.000001,1)))</f>
        <v/>
      </c>
      <c r="H4740">
        <f>IF(A4740="","",E4740&amp;F4740&amp;G4740)</f>
        <v/>
      </c>
      <c r="I4740">
        <f>IF(A4740="","",IF(AND(E4740&gt;=4,F4740&gt;=4,G4740&gt;=4),"Juara",IF(AND(F4740&gt;=4,E4740&gt;=3),"Setia",IF(AND(E4740=5,F4740&lt;=2,G4740&gt;=3),"Berpotensi",IF(AND(E4740&lt;=3,E4740&gt;=2,F4740&gt;=3),"Rawan",IF(AND(E4740&lt;=2,F4740&lt;=2),"Tidur","Umum"))))))</f>
        <v/>
      </c>
    </row>
    <row r="4741">
      <c r="B4741">
        <f>IF(A4741="","",$B$1-MAXIFS(Donasi!$A$2:$A$20000,Donasi!$B$2:$B$20000,A4741))</f>
        <v/>
      </c>
      <c r="C4741">
        <f>IF(A4741="","",COUNTIF(Donasi!$B$2:$B$20000,A4741))</f>
        <v/>
      </c>
      <c r="D4741">
        <f>IF(A4741="","",SUMIF(Donasi!$B$2:$B$20000,A4741,Donasi!$C$2:$C$20000))</f>
        <v/>
      </c>
      <c r="E4741">
        <f>IF(A4741="","",6-CEILING(PERCENTRANK.INC($B$3:$B$6000,B4741,4)*5+0.000001,1))</f>
        <v/>
      </c>
      <c r="F4741">
        <f>IF(A4741="","",MAX(1,CEILING(PERCENTRANK.INC($C$3:$C$6000,C4741,4)*5+0.000001,1)))</f>
        <v/>
      </c>
      <c r="G4741">
        <f>IF(A4741="","",MAX(1,CEILING(PERCENTRANK.INC($D$3:$D$6000,D4741,4)*5+0.000001,1)))</f>
        <v/>
      </c>
      <c r="H4741">
        <f>IF(A4741="","",E4741&amp;F4741&amp;G4741)</f>
        <v/>
      </c>
      <c r="I4741">
        <f>IF(A4741="","",IF(AND(E4741&gt;=4,F4741&gt;=4,G4741&gt;=4),"Juara",IF(AND(F4741&gt;=4,E4741&gt;=3),"Setia",IF(AND(E4741=5,F4741&lt;=2,G4741&gt;=3),"Berpotensi",IF(AND(E4741&lt;=3,E4741&gt;=2,F4741&gt;=3),"Rawan",IF(AND(E4741&lt;=2,F4741&lt;=2),"Tidur","Umum"))))))</f>
        <v/>
      </c>
    </row>
    <row r="4742">
      <c r="B4742">
        <f>IF(A4742="","",$B$1-MAXIFS(Donasi!$A$2:$A$20000,Donasi!$B$2:$B$20000,A4742))</f>
        <v/>
      </c>
      <c r="C4742">
        <f>IF(A4742="","",COUNTIF(Donasi!$B$2:$B$20000,A4742))</f>
        <v/>
      </c>
      <c r="D4742">
        <f>IF(A4742="","",SUMIF(Donasi!$B$2:$B$20000,A4742,Donasi!$C$2:$C$20000))</f>
        <v/>
      </c>
      <c r="E4742">
        <f>IF(A4742="","",6-CEILING(PERCENTRANK.INC($B$3:$B$6000,B4742,4)*5+0.000001,1))</f>
        <v/>
      </c>
      <c r="F4742">
        <f>IF(A4742="","",MAX(1,CEILING(PERCENTRANK.INC($C$3:$C$6000,C4742,4)*5+0.000001,1)))</f>
        <v/>
      </c>
      <c r="G4742">
        <f>IF(A4742="","",MAX(1,CEILING(PERCENTRANK.INC($D$3:$D$6000,D4742,4)*5+0.000001,1)))</f>
        <v/>
      </c>
      <c r="H4742">
        <f>IF(A4742="","",E4742&amp;F4742&amp;G4742)</f>
        <v/>
      </c>
      <c r="I4742">
        <f>IF(A4742="","",IF(AND(E4742&gt;=4,F4742&gt;=4,G4742&gt;=4),"Juara",IF(AND(F4742&gt;=4,E4742&gt;=3),"Setia",IF(AND(E4742=5,F4742&lt;=2,G4742&gt;=3),"Berpotensi",IF(AND(E4742&lt;=3,E4742&gt;=2,F4742&gt;=3),"Rawan",IF(AND(E4742&lt;=2,F4742&lt;=2),"Tidur","Umum"))))))</f>
        <v/>
      </c>
    </row>
    <row r="4743">
      <c r="B4743">
        <f>IF(A4743="","",$B$1-MAXIFS(Donasi!$A$2:$A$20000,Donasi!$B$2:$B$20000,A4743))</f>
        <v/>
      </c>
      <c r="C4743">
        <f>IF(A4743="","",COUNTIF(Donasi!$B$2:$B$20000,A4743))</f>
        <v/>
      </c>
      <c r="D4743">
        <f>IF(A4743="","",SUMIF(Donasi!$B$2:$B$20000,A4743,Donasi!$C$2:$C$20000))</f>
        <v/>
      </c>
      <c r="E4743">
        <f>IF(A4743="","",6-CEILING(PERCENTRANK.INC($B$3:$B$6000,B4743,4)*5+0.000001,1))</f>
        <v/>
      </c>
      <c r="F4743">
        <f>IF(A4743="","",MAX(1,CEILING(PERCENTRANK.INC($C$3:$C$6000,C4743,4)*5+0.000001,1)))</f>
        <v/>
      </c>
      <c r="G4743">
        <f>IF(A4743="","",MAX(1,CEILING(PERCENTRANK.INC($D$3:$D$6000,D4743,4)*5+0.000001,1)))</f>
        <v/>
      </c>
      <c r="H4743">
        <f>IF(A4743="","",E4743&amp;F4743&amp;G4743)</f>
        <v/>
      </c>
      <c r="I4743">
        <f>IF(A4743="","",IF(AND(E4743&gt;=4,F4743&gt;=4,G4743&gt;=4),"Juara",IF(AND(F4743&gt;=4,E4743&gt;=3),"Setia",IF(AND(E4743=5,F4743&lt;=2,G4743&gt;=3),"Berpotensi",IF(AND(E4743&lt;=3,E4743&gt;=2,F4743&gt;=3),"Rawan",IF(AND(E4743&lt;=2,F4743&lt;=2),"Tidur","Umum"))))))</f>
        <v/>
      </c>
    </row>
    <row r="4744">
      <c r="B4744">
        <f>IF(A4744="","",$B$1-MAXIFS(Donasi!$A$2:$A$20000,Donasi!$B$2:$B$20000,A4744))</f>
        <v/>
      </c>
      <c r="C4744">
        <f>IF(A4744="","",COUNTIF(Donasi!$B$2:$B$20000,A4744))</f>
        <v/>
      </c>
      <c r="D4744">
        <f>IF(A4744="","",SUMIF(Donasi!$B$2:$B$20000,A4744,Donasi!$C$2:$C$20000))</f>
        <v/>
      </c>
      <c r="E4744">
        <f>IF(A4744="","",6-CEILING(PERCENTRANK.INC($B$3:$B$6000,B4744,4)*5+0.000001,1))</f>
        <v/>
      </c>
      <c r="F4744">
        <f>IF(A4744="","",MAX(1,CEILING(PERCENTRANK.INC($C$3:$C$6000,C4744,4)*5+0.000001,1)))</f>
        <v/>
      </c>
      <c r="G4744">
        <f>IF(A4744="","",MAX(1,CEILING(PERCENTRANK.INC($D$3:$D$6000,D4744,4)*5+0.000001,1)))</f>
        <v/>
      </c>
      <c r="H4744">
        <f>IF(A4744="","",E4744&amp;F4744&amp;G4744)</f>
        <v/>
      </c>
      <c r="I4744">
        <f>IF(A4744="","",IF(AND(E4744&gt;=4,F4744&gt;=4,G4744&gt;=4),"Juara",IF(AND(F4744&gt;=4,E4744&gt;=3),"Setia",IF(AND(E4744=5,F4744&lt;=2,G4744&gt;=3),"Berpotensi",IF(AND(E4744&lt;=3,E4744&gt;=2,F4744&gt;=3),"Rawan",IF(AND(E4744&lt;=2,F4744&lt;=2),"Tidur","Umum"))))))</f>
        <v/>
      </c>
    </row>
    <row r="4745">
      <c r="B4745">
        <f>IF(A4745="","",$B$1-MAXIFS(Donasi!$A$2:$A$20000,Donasi!$B$2:$B$20000,A4745))</f>
        <v/>
      </c>
      <c r="C4745">
        <f>IF(A4745="","",COUNTIF(Donasi!$B$2:$B$20000,A4745))</f>
        <v/>
      </c>
      <c r="D4745">
        <f>IF(A4745="","",SUMIF(Donasi!$B$2:$B$20000,A4745,Donasi!$C$2:$C$20000))</f>
        <v/>
      </c>
      <c r="E4745">
        <f>IF(A4745="","",6-CEILING(PERCENTRANK.INC($B$3:$B$6000,B4745,4)*5+0.000001,1))</f>
        <v/>
      </c>
      <c r="F4745">
        <f>IF(A4745="","",MAX(1,CEILING(PERCENTRANK.INC($C$3:$C$6000,C4745,4)*5+0.000001,1)))</f>
        <v/>
      </c>
      <c r="G4745">
        <f>IF(A4745="","",MAX(1,CEILING(PERCENTRANK.INC($D$3:$D$6000,D4745,4)*5+0.000001,1)))</f>
        <v/>
      </c>
      <c r="H4745">
        <f>IF(A4745="","",E4745&amp;F4745&amp;G4745)</f>
        <v/>
      </c>
      <c r="I4745">
        <f>IF(A4745="","",IF(AND(E4745&gt;=4,F4745&gt;=4,G4745&gt;=4),"Juara",IF(AND(F4745&gt;=4,E4745&gt;=3),"Setia",IF(AND(E4745=5,F4745&lt;=2,G4745&gt;=3),"Berpotensi",IF(AND(E4745&lt;=3,E4745&gt;=2,F4745&gt;=3),"Rawan",IF(AND(E4745&lt;=2,F4745&lt;=2),"Tidur","Umum"))))))</f>
        <v/>
      </c>
    </row>
    <row r="4746">
      <c r="B4746">
        <f>IF(A4746="","",$B$1-MAXIFS(Donasi!$A$2:$A$20000,Donasi!$B$2:$B$20000,A4746))</f>
        <v/>
      </c>
      <c r="C4746">
        <f>IF(A4746="","",COUNTIF(Donasi!$B$2:$B$20000,A4746))</f>
        <v/>
      </c>
      <c r="D4746">
        <f>IF(A4746="","",SUMIF(Donasi!$B$2:$B$20000,A4746,Donasi!$C$2:$C$20000))</f>
        <v/>
      </c>
      <c r="E4746">
        <f>IF(A4746="","",6-CEILING(PERCENTRANK.INC($B$3:$B$6000,B4746,4)*5+0.000001,1))</f>
        <v/>
      </c>
      <c r="F4746">
        <f>IF(A4746="","",MAX(1,CEILING(PERCENTRANK.INC($C$3:$C$6000,C4746,4)*5+0.000001,1)))</f>
        <v/>
      </c>
      <c r="G4746">
        <f>IF(A4746="","",MAX(1,CEILING(PERCENTRANK.INC($D$3:$D$6000,D4746,4)*5+0.000001,1)))</f>
        <v/>
      </c>
      <c r="H4746">
        <f>IF(A4746="","",E4746&amp;F4746&amp;G4746)</f>
        <v/>
      </c>
      <c r="I4746">
        <f>IF(A4746="","",IF(AND(E4746&gt;=4,F4746&gt;=4,G4746&gt;=4),"Juara",IF(AND(F4746&gt;=4,E4746&gt;=3),"Setia",IF(AND(E4746=5,F4746&lt;=2,G4746&gt;=3),"Berpotensi",IF(AND(E4746&lt;=3,E4746&gt;=2,F4746&gt;=3),"Rawan",IF(AND(E4746&lt;=2,F4746&lt;=2),"Tidur","Umum"))))))</f>
        <v/>
      </c>
    </row>
    <row r="4747">
      <c r="B4747">
        <f>IF(A4747="","",$B$1-MAXIFS(Donasi!$A$2:$A$20000,Donasi!$B$2:$B$20000,A4747))</f>
        <v/>
      </c>
      <c r="C4747">
        <f>IF(A4747="","",COUNTIF(Donasi!$B$2:$B$20000,A4747))</f>
        <v/>
      </c>
      <c r="D4747">
        <f>IF(A4747="","",SUMIF(Donasi!$B$2:$B$20000,A4747,Donasi!$C$2:$C$20000))</f>
        <v/>
      </c>
      <c r="E4747">
        <f>IF(A4747="","",6-CEILING(PERCENTRANK.INC($B$3:$B$6000,B4747,4)*5+0.000001,1))</f>
        <v/>
      </c>
      <c r="F4747">
        <f>IF(A4747="","",MAX(1,CEILING(PERCENTRANK.INC($C$3:$C$6000,C4747,4)*5+0.000001,1)))</f>
        <v/>
      </c>
      <c r="G4747">
        <f>IF(A4747="","",MAX(1,CEILING(PERCENTRANK.INC($D$3:$D$6000,D4747,4)*5+0.000001,1)))</f>
        <v/>
      </c>
      <c r="H4747">
        <f>IF(A4747="","",E4747&amp;F4747&amp;G4747)</f>
        <v/>
      </c>
      <c r="I4747">
        <f>IF(A4747="","",IF(AND(E4747&gt;=4,F4747&gt;=4,G4747&gt;=4),"Juara",IF(AND(F4747&gt;=4,E4747&gt;=3),"Setia",IF(AND(E4747=5,F4747&lt;=2,G4747&gt;=3),"Berpotensi",IF(AND(E4747&lt;=3,E4747&gt;=2,F4747&gt;=3),"Rawan",IF(AND(E4747&lt;=2,F4747&lt;=2),"Tidur","Umum"))))))</f>
        <v/>
      </c>
    </row>
    <row r="4748">
      <c r="B4748">
        <f>IF(A4748="","",$B$1-MAXIFS(Donasi!$A$2:$A$20000,Donasi!$B$2:$B$20000,A4748))</f>
        <v/>
      </c>
      <c r="C4748">
        <f>IF(A4748="","",COUNTIF(Donasi!$B$2:$B$20000,A4748))</f>
        <v/>
      </c>
      <c r="D4748">
        <f>IF(A4748="","",SUMIF(Donasi!$B$2:$B$20000,A4748,Donasi!$C$2:$C$20000))</f>
        <v/>
      </c>
      <c r="E4748">
        <f>IF(A4748="","",6-CEILING(PERCENTRANK.INC($B$3:$B$6000,B4748,4)*5+0.000001,1))</f>
        <v/>
      </c>
      <c r="F4748">
        <f>IF(A4748="","",MAX(1,CEILING(PERCENTRANK.INC($C$3:$C$6000,C4748,4)*5+0.000001,1)))</f>
        <v/>
      </c>
      <c r="G4748">
        <f>IF(A4748="","",MAX(1,CEILING(PERCENTRANK.INC($D$3:$D$6000,D4748,4)*5+0.000001,1)))</f>
        <v/>
      </c>
      <c r="H4748">
        <f>IF(A4748="","",E4748&amp;F4748&amp;G4748)</f>
        <v/>
      </c>
      <c r="I4748">
        <f>IF(A4748="","",IF(AND(E4748&gt;=4,F4748&gt;=4,G4748&gt;=4),"Juara",IF(AND(F4748&gt;=4,E4748&gt;=3),"Setia",IF(AND(E4748=5,F4748&lt;=2,G4748&gt;=3),"Berpotensi",IF(AND(E4748&lt;=3,E4748&gt;=2,F4748&gt;=3),"Rawan",IF(AND(E4748&lt;=2,F4748&lt;=2),"Tidur","Umum"))))))</f>
        <v/>
      </c>
    </row>
    <row r="4749">
      <c r="B4749">
        <f>IF(A4749="","",$B$1-MAXIFS(Donasi!$A$2:$A$20000,Donasi!$B$2:$B$20000,A4749))</f>
        <v/>
      </c>
      <c r="C4749">
        <f>IF(A4749="","",COUNTIF(Donasi!$B$2:$B$20000,A4749))</f>
        <v/>
      </c>
      <c r="D4749">
        <f>IF(A4749="","",SUMIF(Donasi!$B$2:$B$20000,A4749,Donasi!$C$2:$C$20000))</f>
        <v/>
      </c>
      <c r="E4749">
        <f>IF(A4749="","",6-CEILING(PERCENTRANK.INC($B$3:$B$6000,B4749,4)*5+0.000001,1))</f>
        <v/>
      </c>
      <c r="F4749">
        <f>IF(A4749="","",MAX(1,CEILING(PERCENTRANK.INC($C$3:$C$6000,C4749,4)*5+0.000001,1)))</f>
        <v/>
      </c>
      <c r="G4749">
        <f>IF(A4749="","",MAX(1,CEILING(PERCENTRANK.INC($D$3:$D$6000,D4749,4)*5+0.000001,1)))</f>
        <v/>
      </c>
      <c r="H4749">
        <f>IF(A4749="","",E4749&amp;F4749&amp;G4749)</f>
        <v/>
      </c>
      <c r="I4749">
        <f>IF(A4749="","",IF(AND(E4749&gt;=4,F4749&gt;=4,G4749&gt;=4),"Juara",IF(AND(F4749&gt;=4,E4749&gt;=3),"Setia",IF(AND(E4749=5,F4749&lt;=2,G4749&gt;=3),"Berpotensi",IF(AND(E4749&lt;=3,E4749&gt;=2,F4749&gt;=3),"Rawan",IF(AND(E4749&lt;=2,F4749&lt;=2),"Tidur","Umum"))))))</f>
        <v/>
      </c>
    </row>
    <row r="4750">
      <c r="B4750">
        <f>IF(A4750="","",$B$1-MAXIFS(Donasi!$A$2:$A$20000,Donasi!$B$2:$B$20000,A4750))</f>
        <v/>
      </c>
      <c r="C4750">
        <f>IF(A4750="","",COUNTIF(Donasi!$B$2:$B$20000,A4750))</f>
        <v/>
      </c>
      <c r="D4750">
        <f>IF(A4750="","",SUMIF(Donasi!$B$2:$B$20000,A4750,Donasi!$C$2:$C$20000))</f>
        <v/>
      </c>
      <c r="E4750">
        <f>IF(A4750="","",6-CEILING(PERCENTRANK.INC($B$3:$B$6000,B4750,4)*5+0.000001,1))</f>
        <v/>
      </c>
      <c r="F4750">
        <f>IF(A4750="","",MAX(1,CEILING(PERCENTRANK.INC($C$3:$C$6000,C4750,4)*5+0.000001,1)))</f>
        <v/>
      </c>
      <c r="G4750">
        <f>IF(A4750="","",MAX(1,CEILING(PERCENTRANK.INC($D$3:$D$6000,D4750,4)*5+0.000001,1)))</f>
        <v/>
      </c>
      <c r="H4750">
        <f>IF(A4750="","",E4750&amp;F4750&amp;G4750)</f>
        <v/>
      </c>
      <c r="I4750">
        <f>IF(A4750="","",IF(AND(E4750&gt;=4,F4750&gt;=4,G4750&gt;=4),"Juara",IF(AND(F4750&gt;=4,E4750&gt;=3),"Setia",IF(AND(E4750=5,F4750&lt;=2,G4750&gt;=3),"Berpotensi",IF(AND(E4750&lt;=3,E4750&gt;=2,F4750&gt;=3),"Rawan",IF(AND(E4750&lt;=2,F4750&lt;=2),"Tidur","Umum"))))))</f>
        <v/>
      </c>
    </row>
    <row r="4751">
      <c r="B4751">
        <f>IF(A4751="","",$B$1-MAXIFS(Donasi!$A$2:$A$20000,Donasi!$B$2:$B$20000,A4751))</f>
        <v/>
      </c>
      <c r="C4751">
        <f>IF(A4751="","",COUNTIF(Donasi!$B$2:$B$20000,A4751))</f>
        <v/>
      </c>
      <c r="D4751">
        <f>IF(A4751="","",SUMIF(Donasi!$B$2:$B$20000,A4751,Donasi!$C$2:$C$20000))</f>
        <v/>
      </c>
      <c r="E4751">
        <f>IF(A4751="","",6-CEILING(PERCENTRANK.INC($B$3:$B$6000,B4751,4)*5+0.000001,1))</f>
        <v/>
      </c>
      <c r="F4751">
        <f>IF(A4751="","",MAX(1,CEILING(PERCENTRANK.INC($C$3:$C$6000,C4751,4)*5+0.000001,1)))</f>
        <v/>
      </c>
      <c r="G4751">
        <f>IF(A4751="","",MAX(1,CEILING(PERCENTRANK.INC($D$3:$D$6000,D4751,4)*5+0.000001,1)))</f>
        <v/>
      </c>
      <c r="H4751">
        <f>IF(A4751="","",E4751&amp;F4751&amp;G4751)</f>
        <v/>
      </c>
      <c r="I4751">
        <f>IF(A4751="","",IF(AND(E4751&gt;=4,F4751&gt;=4,G4751&gt;=4),"Juara",IF(AND(F4751&gt;=4,E4751&gt;=3),"Setia",IF(AND(E4751=5,F4751&lt;=2,G4751&gt;=3),"Berpotensi",IF(AND(E4751&lt;=3,E4751&gt;=2,F4751&gt;=3),"Rawan",IF(AND(E4751&lt;=2,F4751&lt;=2),"Tidur","Umum"))))))</f>
        <v/>
      </c>
    </row>
    <row r="4752">
      <c r="B4752">
        <f>IF(A4752="","",$B$1-MAXIFS(Donasi!$A$2:$A$20000,Donasi!$B$2:$B$20000,A4752))</f>
        <v/>
      </c>
      <c r="C4752">
        <f>IF(A4752="","",COUNTIF(Donasi!$B$2:$B$20000,A4752))</f>
        <v/>
      </c>
      <c r="D4752">
        <f>IF(A4752="","",SUMIF(Donasi!$B$2:$B$20000,A4752,Donasi!$C$2:$C$20000))</f>
        <v/>
      </c>
      <c r="E4752">
        <f>IF(A4752="","",6-CEILING(PERCENTRANK.INC($B$3:$B$6000,B4752,4)*5+0.000001,1))</f>
        <v/>
      </c>
      <c r="F4752">
        <f>IF(A4752="","",MAX(1,CEILING(PERCENTRANK.INC($C$3:$C$6000,C4752,4)*5+0.000001,1)))</f>
        <v/>
      </c>
      <c r="G4752">
        <f>IF(A4752="","",MAX(1,CEILING(PERCENTRANK.INC($D$3:$D$6000,D4752,4)*5+0.000001,1)))</f>
        <v/>
      </c>
      <c r="H4752">
        <f>IF(A4752="","",E4752&amp;F4752&amp;G4752)</f>
        <v/>
      </c>
      <c r="I4752">
        <f>IF(A4752="","",IF(AND(E4752&gt;=4,F4752&gt;=4,G4752&gt;=4),"Juara",IF(AND(F4752&gt;=4,E4752&gt;=3),"Setia",IF(AND(E4752=5,F4752&lt;=2,G4752&gt;=3),"Berpotensi",IF(AND(E4752&lt;=3,E4752&gt;=2,F4752&gt;=3),"Rawan",IF(AND(E4752&lt;=2,F4752&lt;=2),"Tidur","Umum"))))))</f>
        <v/>
      </c>
    </row>
    <row r="4753">
      <c r="B4753">
        <f>IF(A4753="","",$B$1-MAXIFS(Donasi!$A$2:$A$20000,Donasi!$B$2:$B$20000,A4753))</f>
        <v/>
      </c>
      <c r="C4753">
        <f>IF(A4753="","",COUNTIF(Donasi!$B$2:$B$20000,A4753))</f>
        <v/>
      </c>
      <c r="D4753">
        <f>IF(A4753="","",SUMIF(Donasi!$B$2:$B$20000,A4753,Donasi!$C$2:$C$20000))</f>
        <v/>
      </c>
      <c r="E4753">
        <f>IF(A4753="","",6-CEILING(PERCENTRANK.INC($B$3:$B$6000,B4753,4)*5+0.000001,1))</f>
        <v/>
      </c>
      <c r="F4753">
        <f>IF(A4753="","",MAX(1,CEILING(PERCENTRANK.INC($C$3:$C$6000,C4753,4)*5+0.000001,1)))</f>
        <v/>
      </c>
      <c r="G4753">
        <f>IF(A4753="","",MAX(1,CEILING(PERCENTRANK.INC($D$3:$D$6000,D4753,4)*5+0.000001,1)))</f>
        <v/>
      </c>
      <c r="H4753">
        <f>IF(A4753="","",E4753&amp;F4753&amp;G4753)</f>
        <v/>
      </c>
      <c r="I4753">
        <f>IF(A4753="","",IF(AND(E4753&gt;=4,F4753&gt;=4,G4753&gt;=4),"Juara",IF(AND(F4753&gt;=4,E4753&gt;=3),"Setia",IF(AND(E4753=5,F4753&lt;=2,G4753&gt;=3),"Berpotensi",IF(AND(E4753&lt;=3,E4753&gt;=2,F4753&gt;=3),"Rawan",IF(AND(E4753&lt;=2,F4753&lt;=2),"Tidur","Umum"))))))</f>
        <v/>
      </c>
    </row>
    <row r="4754">
      <c r="B4754">
        <f>IF(A4754="","",$B$1-MAXIFS(Donasi!$A$2:$A$20000,Donasi!$B$2:$B$20000,A4754))</f>
        <v/>
      </c>
      <c r="C4754">
        <f>IF(A4754="","",COUNTIF(Donasi!$B$2:$B$20000,A4754))</f>
        <v/>
      </c>
      <c r="D4754">
        <f>IF(A4754="","",SUMIF(Donasi!$B$2:$B$20000,A4754,Donasi!$C$2:$C$20000))</f>
        <v/>
      </c>
      <c r="E4754">
        <f>IF(A4754="","",6-CEILING(PERCENTRANK.INC($B$3:$B$6000,B4754,4)*5+0.000001,1))</f>
        <v/>
      </c>
      <c r="F4754">
        <f>IF(A4754="","",MAX(1,CEILING(PERCENTRANK.INC($C$3:$C$6000,C4754,4)*5+0.000001,1)))</f>
        <v/>
      </c>
      <c r="G4754">
        <f>IF(A4754="","",MAX(1,CEILING(PERCENTRANK.INC($D$3:$D$6000,D4754,4)*5+0.000001,1)))</f>
        <v/>
      </c>
      <c r="H4754">
        <f>IF(A4754="","",E4754&amp;F4754&amp;G4754)</f>
        <v/>
      </c>
      <c r="I4754">
        <f>IF(A4754="","",IF(AND(E4754&gt;=4,F4754&gt;=4,G4754&gt;=4),"Juara",IF(AND(F4754&gt;=4,E4754&gt;=3),"Setia",IF(AND(E4754=5,F4754&lt;=2,G4754&gt;=3),"Berpotensi",IF(AND(E4754&lt;=3,E4754&gt;=2,F4754&gt;=3),"Rawan",IF(AND(E4754&lt;=2,F4754&lt;=2),"Tidur","Umum"))))))</f>
        <v/>
      </c>
    </row>
    <row r="4755">
      <c r="B4755">
        <f>IF(A4755="","",$B$1-MAXIFS(Donasi!$A$2:$A$20000,Donasi!$B$2:$B$20000,A4755))</f>
        <v/>
      </c>
      <c r="C4755">
        <f>IF(A4755="","",COUNTIF(Donasi!$B$2:$B$20000,A4755))</f>
        <v/>
      </c>
      <c r="D4755">
        <f>IF(A4755="","",SUMIF(Donasi!$B$2:$B$20000,A4755,Donasi!$C$2:$C$20000))</f>
        <v/>
      </c>
      <c r="E4755">
        <f>IF(A4755="","",6-CEILING(PERCENTRANK.INC($B$3:$B$6000,B4755,4)*5+0.000001,1))</f>
        <v/>
      </c>
      <c r="F4755">
        <f>IF(A4755="","",MAX(1,CEILING(PERCENTRANK.INC($C$3:$C$6000,C4755,4)*5+0.000001,1)))</f>
        <v/>
      </c>
      <c r="G4755">
        <f>IF(A4755="","",MAX(1,CEILING(PERCENTRANK.INC($D$3:$D$6000,D4755,4)*5+0.000001,1)))</f>
        <v/>
      </c>
      <c r="H4755">
        <f>IF(A4755="","",E4755&amp;F4755&amp;G4755)</f>
        <v/>
      </c>
      <c r="I4755">
        <f>IF(A4755="","",IF(AND(E4755&gt;=4,F4755&gt;=4,G4755&gt;=4),"Juara",IF(AND(F4755&gt;=4,E4755&gt;=3),"Setia",IF(AND(E4755=5,F4755&lt;=2,G4755&gt;=3),"Berpotensi",IF(AND(E4755&lt;=3,E4755&gt;=2,F4755&gt;=3),"Rawan",IF(AND(E4755&lt;=2,F4755&lt;=2),"Tidur","Umum"))))))</f>
        <v/>
      </c>
    </row>
    <row r="4756">
      <c r="B4756">
        <f>IF(A4756="","",$B$1-MAXIFS(Donasi!$A$2:$A$20000,Donasi!$B$2:$B$20000,A4756))</f>
        <v/>
      </c>
      <c r="C4756">
        <f>IF(A4756="","",COUNTIF(Donasi!$B$2:$B$20000,A4756))</f>
        <v/>
      </c>
      <c r="D4756">
        <f>IF(A4756="","",SUMIF(Donasi!$B$2:$B$20000,A4756,Donasi!$C$2:$C$20000))</f>
        <v/>
      </c>
      <c r="E4756">
        <f>IF(A4756="","",6-CEILING(PERCENTRANK.INC($B$3:$B$6000,B4756,4)*5+0.000001,1))</f>
        <v/>
      </c>
      <c r="F4756">
        <f>IF(A4756="","",MAX(1,CEILING(PERCENTRANK.INC($C$3:$C$6000,C4756,4)*5+0.000001,1)))</f>
        <v/>
      </c>
      <c r="G4756">
        <f>IF(A4756="","",MAX(1,CEILING(PERCENTRANK.INC($D$3:$D$6000,D4756,4)*5+0.000001,1)))</f>
        <v/>
      </c>
      <c r="H4756">
        <f>IF(A4756="","",E4756&amp;F4756&amp;G4756)</f>
        <v/>
      </c>
      <c r="I4756">
        <f>IF(A4756="","",IF(AND(E4756&gt;=4,F4756&gt;=4,G4756&gt;=4),"Juara",IF(AND(F4756&gt;=4,E4756&gt;=3),"Setia",IF(AND(E4756=5,F4756&lt;=2,G4756&gt;=3),"Berpotensi",IF(AND(E4756&lt;=3,E4756&gt;=2,F4756&gt;=3),"Rawan",IF(AND(E4756&lt;=2,F4756&lt;=2),"Tidur","Umum"))))))</f>
        <v/>
      </c>
    </row>
    <row r="4757">
      <c r="B4757">
        <f>IF(A4757="","",$B$1-MAXIFS(Donasi!$A$2:$A$20000,Donasi!$B$2:$B$20000,A4757))</f>
        <v/>
      </c>
      <c r="C4757">
        <f>IF(A4757="","",COUNTIF(Donasi!$B$2:$B$20000,A4757))</f>
        <v/>
      </c>
      <c r="D4757">
        <f>IF(A4757="","",SUMIF(Donasi!$B$2:$B$20000,A4757,Donasi!$C$2:$C$20000))</f>
        <v/>
      </c>
      <c r="E4757">
        <f>IF(A4757="","",6-CEILING(PERCENTRANK.INC($B$3:$B$6000,B4757,4)*5+0.000001,1))</f>
        <v/>
      </c>
      <c r="F4757">
        <f>IF(A4757="","",MAX(1,CEILING(PERCENTRANK.INC($C$3:$C$6000,C4757,4)*5+0.000001,1)))</f>
        <v/>
      </c>
      <c r="G4757">
        <f>IF(A4757="","",MAX(1,CEILING(PERCENTRANK.INC($D$3:$D$6000,D4757,4)*5+0.000001,1)))</f>
        <v/>
      </c>
      <c r="H4757">
        <f>IF(A4757="","",E4757&amp;F4757&amp;G4757)</f>
        <v/>
      </c>
      <c r="I4757">
        <f>IF(A4757="","",IF(AND(E4757&gt;=4,F4757&gt;=4,G4757&gt;=4),"Juara",IF(AND(F4757&gt;=4,E4757&gt;=3),"Setia",IF(AND(E4757=5,F4757&lt;=2,G4757&gt;=3),"Berpotensi",IF(AND(E4757&lt;=3,E4757&gt;=2,F4757&gt;=3),"Rawan",IF(AND(E4757&lt;=2,F4757&lt;=2),"Tidur","Umum"))))))</f>
        <v/>
      </c>
    </row>
    <row r="4758">
      <c r="B4758">
        <f>IF(A4758="","",$B$1-MAXIFS(Donasi!$A$2:$A$20000,Donasi!$B$2:$B$20000,A4758))</f>
        <v/>
      </c>
      <c r="C4758">
        <f>IF(A4758="","",COUNTIF(Donasi!$B$2:$B$20000,A4758))</f>
        <v/>
      </c>
      <c r="D4758">
        <f>IF(A4758="","",SUMIF(Donasi!$B$2:$B$20000,A4758,Donasi!$C$2:$C$20000))</f>
        <v/>
      </c>
      <c r="E4758">
        <f>IF(A4758="","",6-CEILING(PERCENTRANK.INC($B$3:$B$6000,B4758,4)*5+0.000001,1))</f>
        <v/>
      </c>
      <c r="F4758">
        <f>IF(A4758="","",MAX(1,CEILING(PERCENTRANK.INC($C$3:$C$6000,C4758,4)*5+0.000001,1)))</f>
        <v/>
      </c>
      <c r="G4758">
        <f>IF(A4758="","",MAX(1,CEILING(PERCENTRANK.INC($D$3:$D$6000,D4758,4)*5+0.000001,1)))</f>
        <v/>
      </c>
      <c r="H4758">
        <f>IF(A4758="","",E4758&amp;F4758&amp;G4758)</f>
        <v/>
      </c>
      <c r="I4758">
        <f>IF(A4758="","",IF(AND(E4758&gt;=4,F4758&gt;=4,G4758&gt;=4),"Juara",IF(AND(F4758&gt;=4,E4758&gt;=3),"Setia",IF(AND(E4758=5,F4758&lt;=2,G4758&gt;=3),"Berpotensi",IF(AND(E4758&lt;=3,E4758&gt;=2,F4758&gt;=3),"Rawan",IF(AND(E4758&lt;=2,F4758&lt;=2),"Tidur","Umum"))))))</f>
        <v/>
      </c>
    </row>
    <row r="4759">
      <c r="B4759">
        <f>IF(A4759="","",$B$1-MAXIFS(Donasi!$A$2:$A$20000,Donasi!$B$2:$B$20000,A4759))</f>
        <v/>
      </c>
      <c r="C4759">
        <f>IF(A4759="","",COUNTIF(Donasi!$B$2:$B$20000,A4759))</f>
        <v/>
      </c>
      <c r="D4759">
        <f>IF(A4759="","",SUMIF(Donasi!$B$2:$B$20000,A4759,Donasi!$C$2:$C$20000))</f>
        <v/>
      </c>
      <c r="E4759">
        <f>IF(A4759="","",6-CEILING(PERCENTRANK.INC($B$3:$B$6000,B4759,4)*5+0.000001,1))</f>
        <v/>
      </c>
      <c r="F4759">
        <f>IF(A4759="","",MAX(1,CEILING(PERCENTRANK.INC($C$3:$C$6000,C4759,4)*5+0.000001,1)))</f>
        <v/>
      </c>
      <c r="G4759">
        <f>IF(A4759="","",MAX(1,CEILING(PERCENTRANK.INC($D$3:$D$6000,D4759,4)*5+0.000001,1)))</f>
        <v/>
      </c>
      <c r="H4759">
        <f>IF(A4759="","",E4759&amp;F4759&amp;G4759)</f>
        <v/>
      </c>
      <c r="I4759">
        <f>IF(A4759="","",IF(AND(E4759&gt;=4,F4759&gt;=4,G4759&gt;=4),"Juara",IF(AND(F4759&gt;=4,E4759&gt;=3),"Setia",IF(AND(E4759=5,F4759&lt;=2,G4759&gt;=3),"Berpotensi",IF(AND(E4759&lt;=3,E4759&gt;=2,F4759&gt;=3),"Rawan",IF(AND(E4759&lt;=2,F4759&lt;=2),"Tidur","Umum"))))))</f>
        <v/>
      </c>
    </row>
    <row r="4760">
      <c r="B4760">
        <f>IF(A4760="","",$B$1-MAXIFS(Donasi!$A$2:$A$20000,Donasi!$B$2:$B$20000,A4760))</f>
        <v/>
      </c>
      <c r="C4760">
        <f>IF(A4760="","",COUNTIF(Donasi!$B$2:$B$20000,A4760))</f>
        <v/>
      </c>
      <c r="D4760">
        <f>IF(A4760="","",SUMIF(Donasi!$B$2:$B$20000,A4760,Donasi!$C$2:$C$20000))</f>
        <v/>
      </c>
      <c r="E4760">
        <f>IF(A4760="","",6-CEILING(PERCENTRANK.INC($B$3:$B$6000,B4760,4)*5+0.000001,1))</f>
        <v/>
      </c>
      <c r="F4760">
        <f>IF(A4760="","",MAX(1,CEILING(PERCENTRANK.INC($C$3:$C$6000,C4760,4)*5+0.000001,1)))</f>
        <v/>
      </c>
      <c r="G4760">
        <f>IF(A4760="","",MAX(1,CEILING(PERCENTRANK.INC($D$3:$D$6000,D4760,4)*5+0.000001,1)))</f>
        <v/>
      </c>
      <c r="H4760">
        <f>IF(A4760="","",E4760&amp;F4760&amp;G4760)</f>
        <v/>
      </c>
      <c r="I4760">
        <f>IF(A4760="","",IF(AND(E4760&gt;=4,F4760&gt;=4,G4760&gt;=4),"Juara",IF(AND(F4760&gt;=4,E4760&gt;=3),"Setia",IF(AND(E4760=5,F4760&lt;=2,G4760&gt;=3),"Berpotensi",IF(AND(E4760&lt;=3,E4760&gt;=2,F4760&gt;=3),"Rawan",IF(AND(E4760&lt;=2,F4760&lt;=2),"Tidur","Umum"))))))</f>
        <v/>
      </c>
    </row>
    <row r="4761">
      <c r="B4761">
        <f>IF(A4761="","",$B$1-MAXIFS(Donasi!$A$2:$A$20000,Donasi!$B$2:$B$20000,A4761))</f>
        <v/>
      </c>
      <c r="C4761">
        <f>IF(A4761="","",COUNTIF(Donasi!$B$2:$B$20000,A4761))</f>
        <v/>
      </c>
      <c r="D4761">
        <f>IF(A4761="","",SUMIF(Donasi!$B$2:$B$20000,A4761,Donasi!$C$2:$C$20000))</f>
        <v/>
      </c>
      <c r="E4761">
        <f>IF(A4761="","",6-CEILING(PERCENTRANK.INC($B$3:$B$6000,B4761,4)*5+0.000001,1))</f>
        <v/>
      </c>
      <c r="F4761">
        <f>IF(A4761="","",MAX(1,CEILING(PERCENTRANK.INC($C$3:$C$6000,C4761,4)*5+0.000001,1)))</f>
        <v/>
      </c>
      <c r="G4761">
        <f>IF(A4761="","",MAX(1,CEILING(PERCENTRANK.INC($D$3:$D$6000,D4761,4)*5+0.000001,1)))</f>
        <v/>
      </c>
      <c r="H4761">
        <f>IF(A4761="","",E4761&amp;F4761&amp;G4761)</f>
        <v/>
      </c>
      <c r="I4761">
        <f>IF(A4761="","",IF(AND(E4761&gt;=4,F4761&gt;=4,G4761&gt;=4),"Juara",IF(AND(F4761&gt;=4,E4761&gt;=3),"Setia",IF(AND(E4761=5,F4761&lt;=2,G4761&gt;=3),"Berpotensi",IF(AND(E4761&lt;=3,E4761&gt;=2,F4761&gt;=3),"Rawan",IF(AND(E4761&lt;=2,F4761&lt;=2),"Tidur","Umum"))))))</f>
        <v/>
      </c>
    </row>
    <row r="4762">
      <c r="B4762">
        <f>IF(A4762="","",$B$1-MAXIFS(Donasi!$A$2:$A$20000,Donasi!$B$2:$B$20000,A4762))</f>
        <v/>
      </c>
      <c r="C4762">
        <f>IF(A4762="","",COUNTIF(Donasi!$B$2:$B$20000,A4762))</f>
        <v/>
      </c>
      <c r="D4762">
        <f>IF(A4762="","",SUMIF(Donasi!$B$2:$B$20000,A4762,Donasi!$C$2:$C$20000))</f>
        <v/>
      </c>
      <c r="E4762">
        <f>IF(A4762="","",6-CEILING(PERCENTRANK.INC($B$3:$B$6000,B4762,4)*5+0.000001,1))</f>
        <v/>
      </c>
      <c r="F4762">
        <f>IF(A4762="","",MAX(1,CEILING(PERCENTRANK.INC($C$3:$C$6000,C4762,4)*5+0.000001,1)))</f>
        <v/>
      </c>
      <c r="G4762">
        <f>IF(A4762="","",MAX(1,CEILING(PERCENTRANK.INC($D$3:$D$6000,D4762,4)*5+0.000001,1)))</f>
        <v/>
      </c>
      <c r="H4762">
        <f>IF(A4762="","",E4762&amp;F4762&amp;G4762)</f>
        <v/>
      </c>
      <c r="I4762">
        <f>IF(A4762="","",IF(AND(E4762&gt;=4,F4762&gt;=4,G4762&gt;=4),"Juara",IF(AND(F4762&gt;=4,E4762&gt;=3),"Setia",IF(AND(E4762=5,F4762&lt;=2,G4762&gt;=3),"Berpotensi",IF(AND(E4762&lt;=3,E4762&gt;=2,F4762&gt;=3),"Rawan",IF(AND(E4762&lt;=2,F4762&lt;=2),"Tidur","Umum"))))))</f>
        <v/>
      </c>
    </row>
    <row r="4763">
      <c r="B4763">
        <f>IF(A4763="","",$B$1-MAXIFS(Donasi!$A$2:$A$20000,Donasi!$B$2:$B$20000,A4763))</f>
        <v/>
      </c>
      <c r="C4763">
        <f>IF(A4763="","",COUNTIF(Donasi!$B$2:$B$20000,A4763))</f>
        <v/>
      </c>
      <c r="D4763">
        <f>IF(A4763="","",SUMIF(Donasi!$B$2:$B$20000,A4763,Donasi!$C$2:$C$20000))</f>
        <v/>
      </c>
      <c r="E4763">
        <f>IF(A4763="","",6-CEILING(PERCENTRANK.INC($B$3:$B$6000,B4763,4)*5+0.000001,1))</f>
        <v/>
      </c>
      <c r="F4763">
        <f>IF(A4763="","",MAX(1,CEILING(PERCENTRANK.INC($C$3:$C$6000,C4763,4)*5+0.000001,1)))</f>
        <v/>
      </c>
      <c r="G4763">
        <f>IF(A4763="","",MAX(1,CEILING(PERCENTRANK.INC($D$3:$D$6000,D4763,4)*5+0.000001,1)))</f>
        <v/>
      </c>
      <c r="H4763">
        <f>IF(A4763="","",E4763&amp;F4763&amp;G4763)</f>
        <v/>
      </c>
      <c r="I4763">
        <f>IF(A4763="","",IF(AND(E4763&gt;=4,F4763&gt;=4,G4763&gt;=4),"Juara",IF(AND(F4763&gt;=4,E4763&gt;=3),"Setia",IF(AND(E4763=5,F4763&lt;=2,G4763&gt;=3),"Berpotensi",IF(AND(E4763&lt;=3,E4763&gt;=2,F4763&gt;=3),"Rawan",IF(AND(E4763&lt;=2,F4763&lt;=2),"Tidur","Umum"))))))</f>
        <v/>
      </c>
    </row>
    <row r="4764">
      <c r="B4764">
        <f>IF(A4764="","",$B$1-MAXIFS(Donasi!$A$2:$A$20000,Donasi!$B$2:$B$20000,A4764))</f>
        <v/>
      </c>
      <c r="C4764">
        <f>IF(A4764="","",COUNTIF(Donasi!$B$2:$B$20000,A4764))</f>
        <v/>
      </c>
      <c r="D4764">
        <f>IF(A4764="","",SUMIF(Donasi!$B$2:$B$20000,A4764,Donasi!$C$2:$C$20000))</f>
        <v/>
      </c>
      <c r="E4764">
        <f>IF(A4764="","",6-CEILING(PERCENTRANK.INC($B$3:$B$6000,B4764,4)*5+0.000001,1))</f>
        <v/>
      </c>
      <c r="F4764">
        <f>IF(A4764="","",MAX(1,CEILING(PERCENTRANK.INC($C$3:$C$6000,C4764,4)*5+0.000001,1)))</f>
        <v/>
      </c>
      <c r="G4764">
        <f>IF(A4764="","",MAX(1,CEILING(PERCENTRANK.INC($D$3:$D$6000,D4764,4)*5+0.000001,1)))</f>
        <v/>
      </c>
      <c r="H4764">
        <f>IF(A4764="","",E4764&amp;F4764&amp;G4764)</f>
        <v/>
      </c>
      <c r="I4764">
        <f>IF(A4764="","",IF(AND(E4764&gt;=4,F4764&gt;=4,G4764&gt;=4),"Juara",IF(AND(F4764&gt;=4,E4764&gt;=3),"Setia",IF(AND(E4764=5,F4764&lt;=2,G4764&gt;=3),"Berpotensi",IF(AND(E4764&lt;=3,E4764&gt;=2,F4764&gt;=3),"Rawan",IF(AND(E4764&lt;=2,F4764&lt;=2),"Tidur","Umum"))))))</f>
        <v/>
      </c>
    </row>
    <row r="4765">
      <c r="B4765">
        <f>IF(A4765="","",$B$1-MAXIFS(Donasi!$A$2:$A$20000,Donasi!$B$2:$B$20000,A4765))</f>
        <v/>
      </c>
      <c r="C4765">
        <f>IF(A4765="","",COUNTIF(Donasi!$B$2:$B$20000,A4765))</f>
        <v/>
      </c>
      <c r="D4765">
        <f>IF(A4765="","",SUMIF(Donasi!$B$2:$B$20000,A4765,Donasi!$C$2:$C$20000))</f>
        <v/>
      </c>
      <c r="E4765">
        <f>IF(A4765="","",6-CEILING(PERCENTRANK.INC($B$3:$B$6000,B4765,4)*5+0.000001,1))</f>
        <v/>
      </c>
      <c r="F4765">
        <f>IF(A4765="","",MAX(1,CEILING(PERCENTRANK.INC($C$3:$C$6000,C4765,4)*5+0.000001,1)))</f>
        <v/>
      </c>
      <c r="G4765">
        <f>IF(A4765="","",MAX(1,CEILING(PERCENTRANK.INC($D$3:$D$6000,D4765,4)*5+0.000001,1)))</f>
        <v/>
      </c>
      <c r="H4765">
        <f>IF(A4765="","",E4765&amp;F4765&amp;G4765)</f>
        <v/>
      </c>
      <c r="I4765">
        <f>IF(A4765="","",IF(AND(E4765&gt;=4,F4765&gt;=4,G4765&gt;=4),"Juara",IF(AND(F4765&gt;=4,E4765&gt;=3),"Setia",IF(AND(E4765=5,F4765&lt;=2,G4765&gt;=3),"Berpotensi",IF(AND(E4765&lt;=3,E4765&gt;=2,F4765&gt;=3),"Rawan",IF(AND(E4765&lt;=2,F4765&lt;=2),"Tidur","Umum"))))))</f>
        <v/>
      </c>
    </row>
    <row r="4766">
      <c r="B4766">
        <f>IF(A4766="","",$B$1-MAXIFS(Donasi!$A$2:$A$20000,Donasi!$B$2:$B$20000,A4766))</f>
        <v/>
      </c>
      <c r="C4766">
        <f>IF(A4766="","",COUNTIF(Donasi!$B$2:$B$20000,A4766))</f>
        <v/>
      </c>
      <c r="D4766">
        <f>IF(A4766="","",SUMIF(Donasi!$B$2:$B$20000,A4766,Donasi!$C$2:$C$20000))</f>
        <v/>
      </c>
      <c r="E4766">
        <f>IF(A4766="","",6-CEILING(PERCENTRANK.INC($B$3:$B$6000,B4766,4)*5+0.000001,1))</f>
        <v/>
      </c>
      <c r="F4766">
        <f>IF(A4766="","",MAX(1,CEILING(PERCENTRANK.INC($C$3:$C$6000,C4766,4)*5+0.000001,1)))</f>
        <v/>
      </c>
      <c r="G4766">
        <f>IF(A4766="","",MAX(1,CEILING(PERCENTRANK.INC($D$3:$D$6000,D4766,4)*5+0.000001,1)))</f>
        <v/>
      </c>
      <c r="H4766">
        <f>IF(A4766="","",E4766&amp;F4766&amp;G4766)</f>
        <v/>
      </c>
      <c r="I4766">
        <f>IF(A4766="","",IF(AND(E4766&gt;=4,F4766&gt;=4,G4766&gt;=4),"Juara",IF(AND(F4766&gt;=4,E4766&gt;=3),"Setia",IF(AND(E4766=5,F4766&lt;=2,G4766&gt;=3),"Berpotensi",IF(AND(E4766&lt;=3,E4766&gt;=2,F4766&gt;=3),"Rawan",IF(AND(E4766&lt;=2,F4766&lt;=2),"Tidur","Umum"))))))</f>
        <v/>
      </c>
    </row>
    <row r="4767">
      <c r="B4767">
        <f>IF(A4767="","",$B$1-MAXIFS(Donasi!$A$2:$A$20000,Donasi!$B$2:$B$20000,A4767))</f>
        <v/>
      </c>
      <c r="C4767">
        <f>IF(A4767="","",COUNTIF(Donasi!$B$2:$B$20000,A4767))</f>
        <v/>
      </c>
      <c r="D4767">
        <f>IF(A4767="","",SUMIF(Donasi!$B$2:$B$20000,A4767,Donasi!$C$2:$C$20000))</f>
        <v/>
      </c>
      <c r="E4767">
        <f>IF(A4767="","",6-CEILING(PERCENTRANK.INC($B$3:$B$6000,B4767,4)*5+0.000001,1))</f>
        <v/>
      </c>
      <c r="F4767">
        <f>IF(A4767="","",MAX(1,CEILING(PERCENTRANK.INC($C$3:$C$6000,C4767,4)*5+0.000001,1)))</f>
        <v/>
      </c>
      <c r="G4767">
        <f>IF(A4767="","",MAX(1,CEILING(PERCENTRANK.INC($D$3:$D$6000,D4767,4)*5+0.000001,1)))</f>
        <v/>
      </c>
      <c r="H4767">
        <f>IF(A4767="","",E4767&amp;F4767&amp;G4767)</f>
        <v/>
      </c>
      <c r="I4767">
        <f>IF(A4767="","",IF(AND(E4767&gt;=4,F4767&gt;=4,G4767&gt;=4),"Juara",IF(AND(F4767&gt;=4,E4767&gt;=3),"Setia",IF(AND(E4767=5,F4767&lt;=2,G4767&gt;=3),"Berpotensi",IF(AND(E4767&lt;=3,E4767&gt;=2,F4767&gt;=3),"Rawan",IF(AND(E4767&lt;=2,F4767&lt;=2),"Tidur","Umum"))))))</f>
        <v/>
      </c>
    </row>
    <row r="4768">
      <c r="B4768">
        <f>IF(A4768="","",$B$1-MAXIFS(Donasi!$A$2:$A$20000,Donasi!$B$2:$B$20000,A4768))</f>
        <v/>
      </c>
      <c r="C4768">
        <f>IF(A4768="","",COUNTIF(Donasi!$B$2:$B$20000,A4768))</f>
        <v/>
      </c>
      <c r="D4768">
        <f>IF(A4768="","",SUMIF(Donasi!$B$2:$B$20000,A4768,Donasi!$C$2:$C$20000))</f>
        <v/>
      </c>
      <c r="E4768">
        <f>IF(A4768="","",6-CEILING(PERCENTRANK.INC($B$3:$B$6000,B4768,4)*5+0.000001,1))</f>
        <v/>
      </c>
      <c r="F4768">
        <f>IF(A4768="","",MAX(1,CEILING(PERCENTRANK.INC($C$3:$C$6000,C4768,4)*5+0.000001,1)))</f>
        <v/>
      </c>
      <c r="G4768">
        <f>IF(A4768="","",MAX(1,CEILING(PERCENTRANK.INC($D$3:$D$6000,D4768,4)*5+0.000001,1)))</f>
        <v/>
      </c>
      <c r="H4768">
        <f>IF(A4768="","",E4768&amp;F4768&amp;G4768)</f>
        <v/>
      </c>
      <c r="I4768">
        <f>IF(A4768="","",IF(AND(E4768&gt;=4,F4768&gt;=4,G4768&gt;=4),"Juara",IF(AND(F4768&gt;=4,E4768&gt;=3),"Setia",IF(AND(E4768=5,F4768&lt;=2,G4768&gt;=3),"Berpotensi",IF(AND(E4768&lt;=3,E4768&gt;=2,F4768&gt;=3),"Rawan",IF(AND(E4768&lt;=2,F4768&lt;=2),"Tidur","Umum"))))))</f>
        <v/>
      </c>
    </row>
    <row r="4769">
      <c r="B4769">
        <f>IF(A4769="","",$B$1-MAXIFS(Donasi!$A$2:$A$20000,Donasi!$B$2:$B$20000,A4769))</f>
        <v/>
      </c>
      <c r="C4769">
        <f>IF(A4769="","",COUNTIF(Donasi!$B$2:$B$20000,A4769))</f>
        <v/>
      </c>
      <c r="D4769">
        <f>IF(A4769="","",SUMIF(Donasi!$B$2:$B$20000,A4769,Donasi!$C$2:$C$20000))</f>
        <v/>
      </c>
      <c r="E4769">
        <f>IF(A4769="","",6-CEILING(PERCENTRANK.INC($B$3:$B$6000,B4769,4)*5+0.000001,1))</f>
        <v/>
      </c>
      <c r="F4769">
        <f>IF(A4769="","",MAX(1,CEILING(PERCENTRANK.INC($C$3:$C$6000,C4769,4)*5+0.000001,1)))</f>
        <v/>
      </c>
      <c r="G4769">
        <f>IF(A4769="","",MAX(1,CEILING(PERCENTRANK.INC($D$3:$D$6000,D4769,4)*5+0.000001,1)))</f>
        <v/>
      </c>
      <c r="H4769">
        <f>IF(A4769="","",E4769&amp;F4769&amp;G4769)</f>
        <v/>
      </c>
      <c r="I4769">
        <f>IF(A4769="","",IF(AND(E4769&gt;=4,F4769&gt;=4,G4769&gt;=4),"Juara",IF(AND(F4769&gt;=4,E4769&gt;=3),"Setia",IF(AND(E4769=5,F4769&lt;=2,G4769&gt;=3),"Berpotensi",IF(AND(E4769&lt;=3,E4769&gt;=2,F4769&gt;=3),"Rawan",IF(AND(E4769&lt;=2,F4769&lt;=2),"Tidur","Umum"))))))</f>
        <v/>
      </c>
    </row>
    <row r="4770">
      <c r="B4770">
        <f>IF(A4770="","",$B$1-MAXIFS(Donasi!$A$2:$A$20000,Donasi!$B$2:$B$20000,A4770))</f>
        <v/>
      </c>
      <c r="C4770">
        <f>IF(A4770="","",COUNTIF(Donasi!$B$2:$B$20000,A4770))</f>
        <v/>
      </c>
      <c r="D4770">
        <f>IF(A4770="","",SUMIF(Donasi!$B$2:$B$20000,A4770,Donasi!$C$2:$C$20000))</f>
        <v/>
      </c>
      <c r="E4770">
        <f>IF(A4770="","",6-CEILING(PERCENTRANK.INC($B$3:$B$6000,B4770,4)*5+0.000001,1))</f>
        <v/>
      </c>
      <c r="F4770">
        <f>IF(A4770="","",MAX(1,CEILING(PERCENTRANK.INC($C$3:$C$6000,C4770,4)*5+0.000001,1)))</f>
        <v/>
      </c>
      <c r="G4770">
        <f>IF(A4770="","",MAX(1,CEILING(PERCENTRANK.INC($D$3:$D$6000,D4770,4)*5+0.000001,1)))</f>
        <v/>
      </c>
      <c r="H4770">
        <f>IF(A4770="","",E4770&amp;F4770&amp;G4770)</f>
        <v/>
      </c>
      <c r="I4770">
        <f>IF(A4770="","",IF(AND(E4770&gt;=4,F4770&gt;=4,G4770&gt;=4),"Juara",IF(AND(F4770&gt;=4,E4770&gt;=3),"Setia",IF(AND(E4770=5,F4770&lt;=2,G4770&gt;=3),"Berpotensi",IF(AND(E4770&lt;=3,E4770&gt;=2,F4770&gt;=3),"Rawan",IF(AND(E4770&lt;=2,F4770&lt;=2),"Tidur","Umum"))))))</f>
        <v/>
      </c>
    </row>
    <row r="4771">
      <c r="B4771">
        <f>IF(A4771="","",$B$1-MAXIFS(Donasi!$A$2:$A$20000,Donasi!$B$2:$B$20000,A4771))</f>
        <v/>
      </c>
      <c r="C4771">
        <f>IF(A4771="","",COUNTIF(Donasi!$B$2:$B$20000,A4771))</f>
        <v/>
      </c>
      <c r="D4771">
        <f>IF(A4771="","",SUMIF(Donasi!$B$2:$B$20000,A4771,Donasi!$C$2:$C$20000))</f>
        <v/>
      </c>
      <c r="E4771">
        <f>IF(A4771="","",6-CEILING(PERCENTRANK.INC($B$3:$B$6000,B4771,4)*5+0.000001,1))</f>
        <v/>
      </c>
      <c r="F4771">
        <f>IF(A4771="","",MAX(1,CEILING(PERCENTRANK.INC($C$3:$C$6000,C4771,4)*5+0.000001,1)))</f>
        <v/>
      </c>
      <c r="G4771">
        <f>IF(A4771="","",MAX(1,CEILING(PERCENTRANK.INC($D$3:$D$6000,D4771,4)*5+0.000001,1)))</f>
        <v/>
      </c>
      <c r="H4771">
        <f>IF(A4771="","",E4771&amp;F4771&amp;G4771)</f>
        <v/>
      </c>
      <c r="I4771">
        <f>IF(A4771="","",IF(AND(E4771&gt;=4,F4771&gt;=4,G4771&gt;=4),"Juara",IF(AND(F4771&gt;=4,E4771&gt;=3),"Setia",IF(AND(E4771=5,F4771&lt;=2,G4771&gt;=3),"Berpotensi",IF(AND(E4771&lt;=3,E4771&gt;=2,F4771&gt;=3),"Rawan",IF(AND(E4771&lt;=2,F4771&lt;=2),"Tidur","Umum"))))))</f>
        <v/>
      </c>
    </row>
    <row r="4772">
      <c r="B4772">
        <f>IF(A4772="","",$B$1-MAXIFS(Donasi!$A$2:$A$20000,Donasi!$B$2:$B$20000,A4772))</f>
        <v/>
      </c>
      <c r="C4772">
        <f>IF(A4772="","",COUNTIF(Donasi!$B$2:$B$20000,A4772))</f>
        <v/>
      </c>
      <c r="D4772">
        <f>IF(A4772="","",SUMIF(Donasi!$B$2:$B$20000,A4772,Donasi!$C$2:$C$20000))</f>
        <v/>
      </c>
      <c r="E4772">
        <f>IF(A4772="","",6-CEILING(PERCENTRANK.INC($B$3:$B$6000,B4772,4)*5+0.000001,1))</f>
        <v/>
      </c>
      <c r="F4772">
        <f>IF(A4772="","",MAX(1,CEILING(PERCENTRANK.INC($C$3:$C$6000,C4772,4)*5+0.000001,1)))</f>
        <v/>
      </c>
      <c r="G4772">
        <f>IF(A4772="","",MAX(1,CEILING(PERCENTRANK.INC($D$3:$D$6000,D4772,4)*5+0.000001,1)))</f>
        <v/>
      </c>
      <c r="H4772">
        <f>IF(A4772="","",E4772&amp;F4772&amp;G4772)</f>
        <v/>
      </c>
      <c r="I4772">
        <f>IF(A4772="","",IF(AND(E4772&gt;=4,F4772&gt;=4,G4772&gt;=4),"Juara",IF(AND(F4772&gt;=4,E4772&gt;=3),"Setia",IF(AND(E4772=5,F4772&lt;=2,G4772&gt;=3),"Berpotensi",IF(AND(E4772&lt;=3,E4772&gt;=2,F4772&gt;=3),"Rawan",IF(AND(E4772&lt;=2,F4772&lt;=2),"Tidur","Umum"))))))</f>
        <v/>
      </c>
    </row>
    <row r="4773">
      <c r="B4773">
        <f>IF(A4773="","",$B$1-MAXIFS(Donasi!$A$2:$A$20000,Donasi!$B$2:$B$20000,A4773))</f>
        <v/>
      </c>
      <c r="C4773">
        <f>IF(A4773="","",COUNTIF(Donasi!$B$2:$B$20000,A4773))</f>
        <v/>
      </c>
      <c r="D4773">
        <f>IF(A4773="","",SUMIF(Donasi!$B$2:$B$20000,A4773,Donasi!$C$2:$C$20000))</f>
        <v/>
      </c>
      <c r="E4773">
        <f>IF(A4773="","",6-CEILING(PERCENTRANK.INC($B$3:$B$6000,B4773,4)*5+0.000001,1))</f>
        <v/>
      </c>
      <c r="F4773">
        <f>IF(A4773="","",MAX(1,CEILING(PERCENTRANK.INC($C$3:$C$6000,C4773,4)*5+0.000001,1)))</f>
        <v/>
      </c>
      <c r="G4773">
        <f>IF(A4773="","",MAX(1,CEILING(PERCENTRANK.INC($D$3:$D$6000,D4773,4)*5+0.000001,1)))</f>
        <v/>
      </c>
      <c r="H4773">
        <f>IF(A4773="","",E4773&amp;F4773&amp;G4773)</f>
        <v/>
      </c>
      <c r="I4773">
        <f>IF(A4773="","",IF(AND(E4773&gt;=4,F4773&gt;=4,G4773&gt;=4),"Juara",IF(AND(F4773&gt;=4,E4773&gt;=3),"Setia",IF(AND(E4773=5,F4773&lt;=2,G4773&gt;=3),"Berpotensi",IF(AND(E4773&lt;=3,E4773&gt;=2,F4773&gt;=3),"Rawan",IF(AND(E4773&lt;=2,F4773&lt;=2),"Tidur","Umum"))))))</f>
        <v/>
      </c>
    </row>
    <row r="4774">
      <c r="B4774">
        <f>IF(A4774="","",$B$1-MAXIFS(Donasi!$A$2:$A$20000,Donasi!$B$2:$B$20000,A4774))</f>
        <v/>
      </c>
      <c r="C4774">
        <f>IF(A4774="","",COUNTIF(Donasi!$B$2:$B$20000,A4774))</f>
        <v/>
      </c>
      <c r="D4774">
        <f>IF(A4774="","",SUMIF(Donasi!$B$2:$B$20000,A4774,Donasi!$C$2:$C$20000))</f>
        <v/>
      </c>
      <c r="E4774">
        <f>IF(A4774="","",6-CEILING(PERCENTRANK.INC($B$3:$B$6000,B4774,4)*5+0.000001,1))</f>
        <v/>
      </c>
      <c r="F4774">
        <f>IF(A4774="","",MAX(1,CEILING(PERCENTRANK.INC($C$3:$C$6000,C4774,4)*5+0.000001,1)))</f>
        <v/>
      </c>
      <c r="G4774">
        <f>IF(A4774="","",MAX(1,CEILING(PERCENTRANK.INC($D$3:$D$6000,D4774,4)*5+0.000001,1)))</f>
        <v/>
      </c>
      <c r="H4774">
        <f>IF(A4774="","",E4774&amp;F4774&amp;G4774)</f>
        <v/>
      </c>
      <c r="I4774">
        <f>IF(A4774="","",IF(AND(E4774&gt;=4,F4774&gt;=4,G4774&gt;=4),"Juara",IF(AND(F4774&gt;=4,E4774&gt;=3),"Setia",IF(AND(E4774=5,F4774&lt;=2,G4774&gt;=3),"Berpotensi",IF(AND(E4774&lt;=3,E4774&gt;=2,F4774&gt;=3),"Rawan",IF(AND(E4774&lt;=2,F4774&lt;=2),"Tidur","Umum"))))))</f>
        <v/>
      </c>
    </row>
    <row r="4775">
      <c r="B4775">
        <f>IF(A4775="","",$B$1-MAXIFS(Donasi!$A$2:$A$20000,Donasi!$B$2:$B$20000,A4775))</f>
        <v/>
      </c>
      <c r="C4775">
        <f>IF(A4775="","",COUNTIF(Donasi!$B$2:$B$20000,A4775))</f>
        <v/>
      </c>
      <c r="D4775">
        <f>IF(A4775="","",SUMIF(Donasi!$B$2:$B$20000,A4775,Donasi!$C$2:$C$20000))</f>
        <v/>
      </c>
      <c r="E4775">
        <f>IF(A4775="","",6-CEILING(PERCENTRANK.INC($B$3:$B$6000,B4775,4)*5+0.000001,1))</f>
        <v/>
      </c>
      <c r="F4775">
        <f>IF(A4775="","",MAX(1,CEILING(PERCENTRANK.INC($C$3:$C$6000,C4775,4)*5+0.000001,1)))</f>
        <v/>
      </c>
      <c r="G4775">
        <f>IF(A4775="","",MAX(1,CEILING(PERCENTRANK.INC($D$3:$D$6000,D4775,4)*5+0.000001,1)))</f>
        <v/>
      </c>
      <c r="H4775">
        <f>IF(A4775="","",E4775&amp;F4775&amp;G4775)</f>
        <v/>
      </c>
      <c r="I4775">
        <f>IF(A4775="","",IF(AND(E4775&gt;=4,F4775&gt;=4,G4775&gt;=4),"Juara",IF(AND(F4775&gt;=4,E4775&gt;=3),"Setia",IF(AND(E4775=5,F4775&lt;=2,G4775&gt;=3),"Berpotensi",IF(AND(E4775&lt;=3,E4775&gt;=2,F4775&gt;=3),"Rawan",IF(AND(E4775&lt;=2,F4775&lt;=2),"Tidur","Umum"))))))</f>
        <v/>
      </c>
    </row>
    <row r="4776">
      <c r="B4776">
        <f>IF(A4776="","",$B$1-MAXIFS(Donasi!$A$2:$A$20000,Donasi!$B$2:$B$20000,A4776))</f>
        <v/>
      </c>
      <c r="C4776">
        <f>IF(A4776="","",COUNTIF(Donasi!$B$2:$B$20000,A4776))</f>
        <v/>
      </c>
      <c r="D4776">
        <f>IF(A4776="","",SUMIF(Donasi!$B$2:$B$20000,A4776,Donasi!$C$2:$C$20000))</f>
        <v/>
      </c>
      <c r="E4776">
        <f>IF(A4776="","",6-CEILING(PERCENTRANK.INC($B$3:$B$6000,B4776,4)*5+0.000001,1))</f>
        <v/>
      </c>
      <c r="F4776">
        <f>IF(A4776="","",MAX(1,CEILING(PERCENTRANK.INC($C$3:$C$6000,C4776,4)*5+0.000001,1)))</f>
        <v/>
      </c>
      <c r="G4776">
        <f>IF(A4776="","",MAX(1,CEILING(PERCENTRANK.INC($D$3:$D$6000,D4776,4)*5+0.000001,1)))</f>
        <v/>
      </c>
      <c r="H4776">
        <f>IF(A4776="","",E4776&amp;F4776&amp;G4776)</f>
        <v/>
      </c>
      <c r="I4776">
        <f>IF(A4776="","",IF(AND(E4776&gt;=4,F4776&gt;=4,G4776&gt;=4),"Juara",IF(AND(F4776&gt;=4,E4776&gt;=3),"Setia",IF(AND(E4776=5,F4776&lt;=2,G4776&gt;=3),"Berpotensi",IF(AND(E4776&lt;=3,E4776&gt;=2,F4776&gt;=3),"Rawan",IF(AND(E4776&lt;=2,F4776&lt;=2),"Tidur","Umum"))))))</f>
        <v/>
      </c>
    </row>
    <row r="4777">
      <c r="B4777">
        <f>IF(A4777="","",$B$1-MAXIFS(Donasi!$A$2:$A$20000,Donasi!$B$2:$B$20000,A4777))</f>
        <v/>
      </c>
      <c r="C4777">
        <f>IF(A4777="","",COUNTIF(Donasi!$B$2:$B$20000,A4777))</f>
        <v/>
      </c>
      <c r="D4777">
        <f>IF(A4777="","",SUMIF(Donasi!$B$2:$B$20000,A4777,Donasi!$C$2:$C$20000))</f>
        <v/>
      </c>
      <c r="E4777">
        <f>IF(A4777="","",6-CEILING(PERCENTRANK.INC($B$3:$B$6000,B4777,4)*5+0.000001,1))</f>
        <v/>
      </c>
      <c r="F4777">
        <f>IF(A4777="","",MAX(1,CEILING(PERCENTRANK.INC($C$3:$C$6000,C4777,4)*5+0.000001,1)))</f>
        <v/>
      </c>
      <c r="G4777">
        <f>IF(A4777="","",MAX(1,CEILING(PERCENTRANK.INC($D$3:$D$6000,D4777,4)*5+0.000001,1)))</f>
        <v/>
      </c>
      <c r="H4777">
        <f>IF(A4777="","",E4777&amp;F4777&amp;G4777)</f>
        <v/>
      </c>
      <c r="I4777">
        <f>IF(A4777="","",IF(AND(E4777&gt;=4,F4777&gt;=4,G4777&gt;=4),"Juara",IF(AND(F4777&gt;=4,E4777&gt;=3),"Setia",IF(AND(E4777=5,F4777&lt;=2,G4777&gt;=3),"Berpotensi",IF(AND(E4777&lt;=3,E4777&gt;=2,F4777&gt;=3),"Rawan",IF(AND(E4777&lt;=2,F4777&lt;=2),"Tidur","Umum"))))))</f>
        <v/>
      </c>
    </row>
    <row r="4778">
      <c r="B4778">
        <f>IF(A4778="","",$B$1-MAXIFS(Donasi!$A$2:$A$20000,Donasi!$B$2:$B$20000,A4778))</f>
        <v/>
      </c>
      <c r="C4778">
        <f>IF(A4778="","",COUNTIF(Donasi!$B$2:$B$20000,A4778))</f>
        <v/>
      </c>
      <c r="D4778">
        <f>IF(A4778="","",SUMIF(Donasi!$B$2:$B$20000,A4778,Donasi!$C$2:$C$20000))</f>
        <v/>
      </c>
      <c r="E4778">
        <f>IF(A4778="","",6-CEILING(PERCENTRANK.INC($B$3:$B$6000,B4778,4)*5+0.000001,1))</f>
        <v/>
      </c>
      <c r="F4778">
        <f>IF(A4778="","",MAX(1,CEILING(PERCENTRANK.INC($C$3:$C$6000,C4778,4)*5+0.000001,1)))</f>
        <v/>
      </c>
      <c r="G4778">
        <f>IF(A4778="","",MAX(1,CEILING(PERCENTRANK.INC($D$3:$D$6000,D4778,4)*5+0.000001,1)))</f>
        <v/>
      </c>
      <c r="H4778">
        <f>IF(A4778="","",E4778&amp;F4778&amp;G4778)</f>
        <v/>
      </c>
      <c r="I4778">
        <f>IF(A4778="","",IF(AND(E4778&gt;=4,F4778&gt;=4,G4778&gt;=4),"Juara",IF(AND(F4778&gt;=4,E4778&gt;=3),"Setia",IF(AND(E4778=5,F4778&lt;=2,G4778&gt;=3),"Berpotensi",IF(AND(E4778&lt;=3,E4778&gt;=2,F4778&gt;=3),"Rawan",IF(AND(E4778&lt;=2,F4778&lt;=2),"Tidur","Umum"))))))</f>
        <v/>
      </c>
    </row>
    <row r="4779">
      <c r="B4779">
        <f>IF(A4779="","",$B$1-MAXIFS(Donasi!$A$2:$A$20000,Donasi!$B$2:$B$20000,A4779))</f>
        <v/>
      </c>
      <c r="C4779">
        <f>IF(A4779="","",COUNTIF(Donasi!$B$2:$B$20000,A4779))</f>
        <v/>
      </c>
      <c r="D4779">
        <f>IF(A4779="","",SUMIF(Donasi!$B$2:$B$20000,A4779,Donasi!$C$2:$C$20000))</f>
        <v/>
      </c>
      <c r="E4779">
        <f>IF(A4779="","",6-CEILING(PERCENTRANK.INC($B$3:$B$6000,B4779,4)*5+0.000001,1))</f>
        <v/>
      </c>
      <c r="F4779">
        <f>IF(A4779="","",MAX(1,CEILING(PERCENTRANK.INC($C$3:$C$6000,C4779,4)*5+0.000001,1)))</f>
        <v/>
      </c>
      <c r="G4779">
        <f>IF(A4779="","",MAX(1,CEILING(PERCENTRANK.INC($D$3:$D$6000,D4779,4)*5+0.000001,1)))</f>
        <v/>
      </c>
      <c r="H4779">
        <f>IF(A4779="","",E4779&amp;F4779&amp;G4779)</f>
        <v/>
      </c>
      <c r="I4779">
        <f>IF(A4779="","",IF(AND(E4779&gt;=4,F4779&gt;=4,G4779&gt;=4),"Juara",IF(AND(F4779&gt;=4,E4779&gt;=3),"Setia",IF(AND(E4779=5,F4779&lt;=2,G4779&gt;=3),"Berpotensi",IF(AND(E4779&lt;=3,E4779&gt;=2,F4779&gt;=3),"Rawan",IF(AND(E4779&lt;=2,F4779&lt;=2),"Tidur","Umum"))))))</f>
        <v/>
      </c>
    </row>
    <row r="4780">
      <c r="B4780">
        <f>IF(A4780="","",$B$1-MAXIFS(Donasi!$A$2:$A$20000,Donasi!$B$2:$B$20000,A4780))</f>
        <v/>
      </c>
      <c r="C4780">
        <f>IF(A4780="","",COUNTIF(Donasi!$B$2:$B$20000,A4780))</f>
        <v/>
      </c>
      <c r="D4780">
        <f>IF(A4780="","",SUMIF(Donasi!$B$2:$B$20000,A4780,Donasi!$C$2:$C$20000))</f>
        <v/>
      </c>
      <c r="E4780">
        <f>IF(A4780="","",6-CEILING(PERCENTRANK.INC($B$3:$B$6000,B4780,4)*5+0.000001,1))</f>
        <v/>
      </c>
      <c r="F4780">
        <f>IF(A4780="","",MAX(1,CEILING(PERCENTRANK.INC($C$3:$C$6000,C4780,4)*5+0.000001,1)))</f>
        <v/>
      </c>
      <c r="G4780">
        <f>IF(A4780="","",MAX(1,CEILING(PERCENTRANK.INC($D$3:$D$6000,D4780,4)*5+0.000001,1)))</f>
        <v/>
      </c>
      <c r="H4780">
        <f>IF(A4780="","",E4780&amp;F4780&amp;G4780)</f>
        <v/>
      </c>
      <c r="I4780">
        <f>IF(A4780="","",IF(AND(E4780&gt;=4,F4780&gt;=4,G4780&gt;=4),"Juara",IF(AND(F4780&gt;=4,E4780&gt;=3),"Setia",IF(AND(E4780=5,F4780&lt;=2,G4780&gt;=3),"Berpotensi",IF(AND(E4780&lt;=3,E4780&gt;=2,F4780&gt;=3),"Rawan",IF(AND(E4780&lt;=2,F4780&lt;=2),"Tidur","Umum"))))))</f>
        <v/>
      </c>
    </row>
    <row r="4781">
      <c r="B4781">
        <f>IF(A4781="","",$B$1-MAXIFS(Donasi!$A$2:$A$20000,Donasi!$B$2:$B$20000,A4781))</f>
        <v/>
      </c>
      <c r="C4781">
        <f>IF(A4781="","",COUNTIF(Donasi!$B$2:$B$20000,A4781))</f>
        <v/>
      </c>
      <c r="D4781">
        <f>IF(A4781="","",SUMIF(Donasi!$B$2:$B$20000,A4781,Donasi!$C$2:$C$20000))</f>
        <v/>
      </c>
      <c r="E4781">
        <f>IF(A4781="","",6-CEILING(PERCENTRANK.INC($B$3:$B$6000,B4781,4)*5+0.000001,1))</f>
        <v/>
      </c>
      <c r="F4781">
        <f>IF(A4781="","",MAX(1,CEILING(PERCENTRANK.INC($C$3:$C$6000,C4781,4)*5+0.000001,1)))</f>
        <v/>
      </c>
      <c r="G4781">
        <f>IF(A4781="","",MAX(1,CEILING(PERCENTRANK.INC($D$3:$D$6000,D4781,4)*5+0.000001,1)))</f>
        <v/>
      </c>
      <c r="H4781">
        <f>IF(A4781="","",E4781&amp;F4781&amp;G4781)</f>
        <v/>
      </c>
      <c r="I4781">
        <f>IF(A4781="","",IF(AND(E4781&gt;=4,F4781&gt;=4,G4781&gt;=4),"Juara",IF(AND(F4781&gt;=4,E4781&gt;=3),"Setia",IF(AND(E4781=5,F4781&lt;=2,G4781&gt;=3),"Berpotensi",IF(AND(E4781&lt;=3,E4781&gt;=2,F4781&gt;=3),"Rawan",IF(AND(E4781&lt;=2,F4781&lt;=2),"Tidur","Umum"))))))</f>
        <v/>
      </c>
    </row>
    <row r="4782">
      <c r="B4782">
        <f>IF(A4782="","",$B$1-MAXIFS(Donasi!$A$2:$A$20000,Donasi!$B$2:$B$20000,A4782))</f>
        <v/>
      </c>
      <c r="C4782">
        <f>IF(A4782="","",COUNTIF(Donasi!$B$2:$B$20000,A4782))</f>
        <v/>
      </c>
      <c r="D4782">
        <f>IF(A4782="","",SUMIF(Donasi!$B$2:$B$20000,A4782,Donasi!$C$2:$C$20000))</f>
        <v/>
      </c>
      <c r="E4782">
        <f>IF(A4782="","",6-CEILING(PERCENTRANK.INC($B$3:$B$6000,B4782,4)*5+0.000001,1))</f>
        <v/>
      </c>
      <c r="F4782">
        <f>IF(A4782="","",MAX(1,CEILING(PERCENTRANK.INC($C$3:$C$6000,C4782,4)*5+0.000001,1)))</f>
        <v/>
      </c>
      <c r="G4782">
        <f>IF(A4782="","",MAX(1,CEILING(PERCENTRANK.INC($D$3:$D$6000,D4782,4)*5+0.000001,1)))</f>
        <v/>
      </c>
      <c r="H4782">
        <f>IF(A4782="","",E4782&amp;F4782&amp;G4782)</f>
        <v/>
      </c>
      <c r="I4782">
        <f>IF(A4782="","",IF(AND(E4782&gt;=4,F4782&gt;=4,G4782&gt;=4),"Juara",IF(AND(F4782&gt;=4,E4782&gt;=3),"Setia",IF(AND(E4782=5,F4782&lt;=2,G4782&gt;=3),"Berpotensi",IF(AND(E4782&lt;=3,E4782&gt;=2,F4782&gt;=3),"Rawan",IF(AND(E4782&lt;=2,F4782&lt;=2),"Tidur","Umum"))))))</f>
        <v/>
      </c>
    </row>
    <row r="4783">
      <c r="B4783">
        <f>IF(A4783="","",$B$1-MAXIFS(Donasi!$A$2:$A$20000,Donasi!$B$2:$B$20000,A4783))</f>
        <v/>
      </c>
      <c r="C4783">
        <f>IF(A4783="","",COUNTIF(Donasi!$B$2:$B$20000,A4783))</f>
        <v/>
      </c>
      <c r="D4783">
        <f>IF(A4783="","",SUMIF(Donasi!$B$2:$B$20000,A4783,Donasi!$C$2:$C$20000))</f>
        <v/>
      </c>
      <c r="E4783">
        <f>IF(A4783="","",6-CEILING(PERCENTRANK.INC($B$3:$B$6000,B4783,4)*5+0.000001,1))</f>
        <v/>
      </c>
      <c r="F4783">
        <f>IF(A4783="","",MAX(1,CEILING(PERCENTRANK.INC($C$3:$C$6000,C4783,4)*5+0.000001,1)))</f>
        <v/>
      </c>
      <c r="G4783">
        <f>IF(A4783="","",MAX(1,CEILING(PERCENTRANK.INC($D$3:$D$6000,D4783,4)*5+0.000001,1)))</f>
        <v/>
      </c>
      <c r="H4783">
        <f>IF(A4783="","",E4783&amp;F4783&amp;G4783)</f>
        <v/>
      </c>
      <c r="I4783">
        <f>IF(A4783="","",IF(AND(E4783&gt;=4,F4783&gt;=4,G4783&gt;=4),"Juara",IF(AND(F4783&gt;=4,E4783&gt;=3),"Setia",IF(AND(E4783=5,F4783&lt;=2,G4783&gt;=3),"Berpotensi",IF(AND(E4783&lt;=3,E4783&gt;=2,F4783&gt;=3),"Rawan",IF(AND(E4783&lt;=2,F4783&lt;=2),"Tidur","Umum"))))))</f>
        <v/>
      </c>
    </row>
    <row r="4784">
      <c r="B4784">
        <f>IF(A4784="","",$B$1-MAXIFS(Donasi!$A$2:$A$20000,Donasi!$B$2:$B$20000,A4784))</f>
        <v/>
      </c>
      <c r="C4784">
        <f>IF(A4784="","",COUNTIF(Donasi!$B$2:$B$20000,A4784))</f>
        <v/>
      </c>
      <c r="D4784">
        <f>IF(A4784="","",SUMIF(Donasi!$B$2:$B$20000,A4784,Donasi!$C$2:$C$20000))</f>
        <v/>
      </c>
      <c r="E4784">
        <f>IF(A4784="","",6-CEILING(PERCENTRANK.INC($B$3:$B$6000,B4784,4)*5+0.000001,1))</f>
        <v/>
      </c>
      <c r="F4784">
        <f>IF(A4784="","",MAX(1,CEILING(PERCENTRANK.INC($C$3:$C$6000,C4784,4)*5+0.000001,1)))</f>
        <v/>
      </c>
      <c r="G4784">
        <f>IF(A4784="","",MAX(1,CEILING(PERCENTRANK.INC($D$3:$D$6000,D4784,4)*5+0.000001,1)))</f>
        <v/>
      </c>
      <c r="H4784">
        <f>IF(A4784="","",E4784&amp;F4784&amp;G4784)</f>
        <v/>
      </c>
      <c r="I4784">
        <f>IF(A4784="","",IF(AND(E4784&gt;=4,F4784&gt;=4,G4784&gt;=4),"Juara",IF(AND(F4784&gt;=4,E4784&gt;=3),"Setia",IF(AND(E4784=5,F4784&lt;=2,G4784&gt;=3),"Berpotensi",IF(AND(E4784&lt;=3,E4784&gt;=2,F4784&gt;=3),"Rawan",IF(AND(E4784&lt;=2,F4784&lt;=2),"Tidur","Umum"))))))</f>
        <v/>
      </c>
    </row>
    <row r="4785">
      <c r="B4785">
        <f>IF(A4785="","",$B$1-MAXIFS(Donasi!$A$2:$A$20000,Donasi!$B$2:$B$20000,A4785))</f>
        <v/>
      </c>
      <c r="C4785">
        <f>IF(A4785="","",COUNTIF(Donasi!$B$2:$B$20000,A4785))</f>
        <v/>
      </c>
      <c r="D4785">
        <f>IF(A4785="","",SUMIF(Donasi!$B$2:$B$20000,A4785,Donasi!$C$2:$C$20000))</f>
        <v/>
      </c>
      <c r="E4785">
        <f>IF(A4785="","",6-CEILING(PERCENTRANK.INC($B$3:$B$6000,B4785,4)*5+0.000001,1))</f>
        <v/>
      </c>
      <c r="F4785">
        <f>IF(A4785="","",MAX(1,CEILING(PERCENTRANK.INC($C$3:$C$6000,C4785,4)*5+0.000001,1)))</f>
        <v/>
      </c>
      <c r="G4785">
        <f>IF(A4785="","",MAX(1,CEILING(PERCENTRANK.INC($D$3:$D$6000,D4785,4)*5+0.000001,1)))</f>
        <v/>
      </c>
      <c r="H4785">
        <f>IF(A4785="","",E4785&amp;F4785&amp;G4785)</f>
        <v/>
      </c>
      <c r="I4785">
        <f>IF(A4785="","",IF(AND(E4785&gt;=4,F4785&gt;=4,G4785&gt;=4),"Juara",IF(AND(F4785&gt;=4,E4785&gt;=3),"Setia",IF(AND(E4785=5,F4785&lt;=2,G4785&gt;=3),"Berpotensi",IF(AND(E4785&lt;=3,E4785&gt;=2,F4785&gt;=3),"Rawan",IF(AND(E4785&lt;=2,F4785&lt;=2),"Tidur","Umum"))))))</f>
        <v/>
      </c>
    </row>
    <row r="4786">
      <c r="B4786">
        <f>IF(A4786="","",$B$1-MAXIFS(Donasi!$A$2:$A$20000,Donasi!$B$2:$B$20000,A4786))</f>
        <v/>
      </c>
      <c r="C4786">
        <f>IF(A4786="","",COUNTIF(Donasi!$B$2:$B$20000,A4786))</f>
        <v/>
      </c>
      <c r="D4786">
        <f>IF(A4786="","",SUMIF(Donasi!$B$2:$B$20000,A4786,Donasi!$C$2:$C$20000))</f>
        <v/>
      </c>
      <c r="E4786">
        <f>IF(A4786="","",6-CEILING(PERCENTRANK.INC($B$3:$B$6000,B4786,4)*5+0.000001,1))</f>
        <v/>
      </c>
      <c r="F4786">
        <f>IF(A4786="","",MAX(1,CEILING(PERCENTRANK.INC($C$3:$C$6000,C4786,4)*5+0.000001,1)))</f>
        <v/>
      </c>
      <c r="G4786">
        <f>IF(A4786="","",MAX(1,CEILING(PERCENTRANK.INC($D$3:$D$6000,D4786,4)*5+0.000001,1)))</f>
        <v/>
      </c>
      <c r="H4786">
        <f>IF(A4786="","",E4786&amp;F4786&amp;G4786)</f>
        <v/>
      </c>
      <c r="I4786">
        <f>IF(A4786="","",IF(AND(E4786&gt;=4,F4786&gt;=4,G4786&gt;=4),"Juara",IF(AND(F4786&gt;=4,E4786&gt;=3),"Setia",IF(AND(E4786=5,F4786&lt;=2,G4786&gt;=3),"Berpotensi",IF(AND(E4786&lt;=3,E4786&gt;=2,F4786&gt;=3),"Rawan",IF(AND(E4786&lt;=2,F4786&lt;=2),"Tidur","Umum"))))))</f>
        <v/>
      </c>
    </row>
    <row r="4787">
      <c r="B4787">
        <f>IF(A4787="","",$B$1-MAXIFS(Donasi!$A$2:$A$20000,Donasi!$B$2:$B$20000,A4787))</f>
        <v/>
      </c>
      <c r="C4787">
        <f>IF(A4787="","",COUNTIF(Donasi!$B$2:$B$20000,A4787))</f>
        <v/>
      </c>
      <c r="D4787">
        <f>IF(A4787="","",SUMIF(Donasi!$B$2:$B$20000,A4787,Donasi!$C$2:$C$20000))</f>
        <v/>
      </c>
      <c r="E4787">
        <f>IF(A4787="","",6-CEILING(PERCENTRANK.INC($B$3:$B$6000,B4787,4)*5+0.000001,1))</f>
        <v/>
      </c>
      <c r="F4787">
        <f>IF(A4787="","",MAX(1,CEILING(PERCENTRANK.INC($C$3:$C$6000,C4787,4)*5+0.000001,1)))</f>
        <v/>
      </c>
      <c r="G4787">
        <f>IF(A4787="","",MAX(1,CEILING(PERCENTRANK.INC($D$3:$D$6000,D4787,4)*5+0.000001,1)))</f>
        <v/>
      </c>
      <c r="H4787">
        <f>IF(A4787="","",E4787&amp;F4787&amp;G4787)</f>
        <v/>
      </c>
      <c r="I4787">
        <f>IF(A4787="","",IF(AND(E4787&gt;=4,F4787&gt;=4,G4787&gt;=4),"Juara",IF(AND(F4787&gt;=4,E4787&gt;=3),"Setia",IF(AND(E4787=5,F4787&lt;=2,G4787&gt;=3),"Berpotensi",IF(AND(E4787&lt;=3,E4787&gt;=2,F4787&gt;=3),"Rawan",IF(AND(E4787&lt;=2,F4787&lt;=2),"Tidur","Umum"))))))</f>
        <v/>
      </c>
    </row>
    <row r="4788">
      <c r="B4788">
        <f>IF(A4788="","",$B$1-MAXIFS(Donasi!$A$2:$A$20000,Donasi!$B$2:$B$20000,A4788))</f>
        <v/>
      </c>
      <c r="C4788">
        <f>IF(A4788="","",COUNTIF(Donasi!$B$2:$B$20000,A4788))</f>
        <v/>
      </c>
      <c r="D4788">
        <f>IF(A4788="","",SUMIF(Donasi!$B$2:$B$20000,A4788,Donasi!$C$2:$C$20000))</f>
        <v/>
      </c>
      <c r="E4788">
        <f>IF(A4788="","",6-CEILING(PERCENTRANK.INC($B$3:$B$6000,B4788,4)*5+0.000001,1))</f>
        <v/>
      </c>
      <c r="F4788">
        <f>IF(A4788="","",MAX(1,CEILING(PERCENTRANK.INC($C$3:$C$6000,C4788,4)*5+0.000001,1)))</f>
        <v/>
      </c>
      <c r="G4788">
        <f>IF(A4788="","",MAX(1,CEILING(PERCENTRANK.INC($D$3:$D$6000,D4788,4)*5+0.000001,1)))</f>
        <v/>
      </c>
      <c r="H4788">
        <f>IF(A4788="","",E4788&amp;F4788&amp;G4788)</f>
        <v/>
      </c>
      <c r="I4788">
        <f>IF(A4788="","",IF(AND(E4788&gt;=4,F4788&gt;=4,G4788&gt;=4),"Juara",IF(AND(F4788&gt;=4,E4788&gt;=3),"Setia",IF(AND(E4788=5,F4788&lt;=2,G4788&gt;=3),"Berpotensi",IF(AND(E4788&lt;=3,E4788&gt;=2,F4788&gt;=3),"Rawan",IF(AND(E4788&lt;=2,F4788&lt;=2),"Tidur","Umum"))))))</f>
        <v/>
      </c>
    </row>
    <row r="4789">
      <c r="B4789">
        <f>IF(A4789="","",$B$1-MAXIFS(Donasi!$A$2:$A$20000,Donasi!$B$2:$B$20000,A4789))</f>
        <v/>
      </c>
      <c r="C4789">
        <f>IF(A4789="","",COUNTIF(Donasi!$B$2:$B$20000,A4789))</f>
        <v/>
      </c>
      <c r="D4789">
        <f>IF(A4789="","",SUMIF(Donasi!$B$2:$B$20000,A4789,Donasi!$C$2:$C$20000))</f>
        <v/>
      </c>
      <c r="E4789">
        <f>IF(A4789="","",6-CEILING(PERCENTRANK.INC($B$3:$B$6000,B4789,4)*5+0.000001,1))</f>
        <v/>
      </c>
      <c r="F4789">
        <f>IF(A4789="","",MAX(1,CEILING(PERCENTRANK.INC($C$3:$C$6000,C4789,4)*5+0.000001,1)))</f>
        <v/>
      </c>
      <c r="G4789">
        <f>IF(A4789="","",MAX(1,CEILING(PERCENTRANK.INC($D$3:$D$6000,D4789,4)*5+0.000001,1)))</f>
        <v/>
      </c>
      <c r="H4789">
        <f>IF(A4789="","",E4789&amp;F4789&amp;G4789)</f>
        <v/>
      </c>
      <c r="I4789">
        <f>IF(A4789="","",IF(AND(E4789&gt;=4,F4789&gt;=4,G4789&gt;=4),"Juara",IF(AND(F4789&gt;=4,E4789&gt;=3),"Setia",IF(AND(E4789=5,F4789&lt;=2,G4789&gt;=3),"Berpotensi",IF(AND(E4789&lt;=3,E4789&gt;=2,F4789&gt;=3),"Rawan",IF(AND(E4789&lt;=2,F4789&lt;=2),"Tidur","Umum"))))))</f>
        <v/>
      </c>
    </row>
    <row r="4790">
      <c r="B4790">
        <f>IF(A4790="","",$B$1-MAXIFS(Donasi!$A$2:$A$20000,Donasi!$B$2:$B$20000,A4790))</f>
        <v/>
      </c>
      <c r="C4790">
        <f>IF(A4790="","",COUNTIF(Donasi!$B$2:$B$20000,A4790))</f>
        <v/>
      </c>
      <c r="D4790">
        <f>IF(A4790="","",SUMIF(Donasi!$B$2:$B$20000,A4790,Donasi!$C$2:$C$20000))</f>
        <v/>
      </c>
      <c r="E4790">
        <f>IF(A4790="","",6-CEILING(PERCENTRANK.INC($B$3:$B$6000,B4790,4)*5+0.000001,1))</f>
        <v/>
      </c>
      <c r="F4790">
        <f>IF(A4790="","",MAX(1,CEILING(PERCENTRANK.INC($C$3:$C$6000,C4790,4)*5+0.000001,1)))</f>
        <v/>
      </c>
      <c r="G4790">
        <f>IF(A4790="","",MAX(1,CEILING(PERCENTRANK.INC($D$3:$D$6000,D4790,4)*5+0.000001,1)))</f>
        <v/>
      </c>
      <c r="H4790">
        <f>IF(A4790="","",E4790&amp;F4790&amp;G4790)</f>
        <v/>
      </c>
      <c r="I4790">
        <f>IF(A4790="","",IF(AND(E4790&gt;=4,F4790&gt;=4,G4790&gt;=4),"Juara",IF(AND(F4790&gt;=4,E4790&gt;=3),"Setia",IF(AND(E4790=5,F4790&lt;=2,G4790&gt;=3),"Berpotensi",IF(AND(E4790&lt;=3,E4790&gt;=2,F4790&gt;=3),"Rawan",IF(AND(E4790&lt;=2,F4790&lt;=2),"Tidur","Umum"))))))</f>
        <v/>
      </c>
    </row>
    <row r="4791">
      <c r="B4791">
        <f>IF(A4791="","",$B$1-MAXIFS(Donasi!$A$2:$A$20000,Donasi!$B$2:$B$20000,A4791))</f>
        <v/>
      </c>
      <c r="C4791">
        <f>IF(A4791="","",COUNTIF(Donasi!$B$2:$B$20000,A4791))</f>
        <v/>
      </c>
      <c r="D4791">
        <f>IF(A4791="","",SUMIF(Donasi!$B$2:$B$20000,A4791,Donasi!$C$2:$C$20000))</f>
        <v/>
      </c>
      <c r="E4791">
        <f>IF(A4791="","",6-CEILING(PERCENTRANK.INC($B$3:$B$6000,B4791,4)*5+0.000001,1))</f>
        <v/>
      </c>
      <c r="F4791">
        <f>IF(A4791="","",MAX(1,CEILING(PERCENTRANK.INC($C$3:$C$6000,C4791,4)*5+0.000001,1)))</f>
        <v/>
      </c>
      <c r="G4791">
        <f>IF(A4791="","",MAX(1,CEILING(PERCENTRANK.INC($D$3:$D$6000,D4791,4)*5+0.000001,1)))</f>
        <v/>
      </c>
      <c r="H4791">
        <f>IF(A4791="","",E4791&amp;F4791&amp;G4791)</f>
        <v/>
      </c>
      <c r="I4791">
        <f>IF(A4791="","",IF(AND(E4791&gt;=4,F4791&gt;=4,G4791&gt;=4),"Juara",IF(AND(F4791&gt;=4,E4791&gt;=3),"Setia",IF(AND(E4791=5,F4791&lt;=2,G4791&gt;=3),"Berpotensi",IF(AND(E4791&lt;=3,E4791&gt;=2,F4791&gt;=3),"Rawan",IF(AND(E4791&lt;=2,F4791&lt;=2),"Tidur","Umum"))))))</f>
        <v/>
      </c>
    </row>
    <row r="4792">
      <c r="B4792">
        <f>IF(A4792="","",$B$1-MAXIFS(Donasi!$A$2:$A$20000,Donasi!$B$2:$B$20000,A4792))</f>
        <v/>
      </c>
      <c r="C4792">
        <f>IF(A4792="","",COUNTIF(Donasi!$B$2:$B$20000,A4792))</f>
        <v/>
      </c>
      <c r="D4792">
        <f>IF(A4792="","",SUMIF(Donasi!$B$2:$B$20000,A4792,Donasi!$C$2:$C$20000))</f>
        <v/>
      </c>
      <c r="E4792">
        <f>IF(A4792="","",6-CEILING(PERCENTRANK.INC($B$3:$B$6000,B4792,4)*5+0.000001,1))</f>
        <v/>
      </c>
      <c r="F4792">
        <f>IF(A4792="","",MAX(1,CEILING(PERCENTRANK.INC($C$3:$C$6000,C4792,4)*5+0.000001,1)))</f>
        <v/>
      </c>
      <c r="G4792">
        <f>IF(A4792="","",MAX(1,CEILING(PERCENTRANK.INC($D$3:$D$6000,D4792,4)*5+0.000001,1)))</f>
        <v/>
      </c>
      <c r="H4792">
        <f>IF(A4792="","",E4792&amp;F4792&amp;G4792)</f>
        <v/>
      </c>
      <c r="I4792">
        <f>IF(A4792="","",IF(AND(E4792&gt;=4,F4792&gt;=4,G4792&gt;=4),"Juara",IF(AND(F4792&gt;=4,E4792&gt;=3),"Setia",IF(AND(E4792=5,F4792&lt;=2,G4792&gt;=3),"Berpotensi",IF(AND(E4792&lt;=3,E4792&gt;=2,F4792&gt;=3),"Rawan",IF(AND(E4792&lt;=2,F4792&lt;=2),"Tidur","Umum"))))))</f>
        <v/>
      </c>
    </row>
    <row r="4793">
      <c r="B4793">
        <f>IF(A4793="","",$B$1-MAXIFS(Donasi!$A$2:$A$20000,Donasi!$B$2:$B$20000,A4793))</f>
        <v/>
      </c>
      <c r="C4793">
        <f>IF(A4793="","",COUNTIF(Donasi!$B$2:$B$20000,A4793))</f>
        <v/>
      </c>
      <c r="D4793">
        <f>IF(A4793="","",SUMIF(Donasi!$B$2:$B$20000,A4793,Donasi!$C$2:$C$20000))</f>
        <v/>
      </c>
      <c r="E4793">
        <f>IF(A4793="","",6-CEILING(PERCENTRANK.INC($B$3:$B$6000,B4793,4)*5+0.000001,1))</f>
        <v/>
      </c>
      <c r="F4793">
        <f>IF(A4793="","",MAX(1,CEILING(PERCENTRANK.INC($C$3:$C$6000,C4793,4)*5+0.000001,1)))</f>
        <v/>
      </c>
      <c r="G4793">
        <f>IF(A4793="","",MAX(1,CEILING(PERCENTRANK.INC($D$3:$D$6000,D4793,4)*5+0.000001,1)))</f>
        <v/>
      </c>
      <c r="H4793">
        <f>IF(A4793="","",E4793&amp;F4793&amp;G4793)</f>
        <v/>
      </c>
      <c r="I4793">
        <f>IF(A4793="","",IF(AND(E4793&gt;=4,F4793&gt;=4,G4793&gt;=4),"Juara",IF(AND(F4793&gt;=4,E4793&gt;=3),"Setia",IF(AND(E4793=5,F4793&lt;=2,G4793&gt;=3),"Berpotensi",IF(AND(E4793&lt;=3,E4793&gt;=2,F4793&gt;=3),"Rawan",IF(AND(E4793&lt;=2,F4793&lt;=2),"Tidur","Umum"))))))</f>
        <v/>
      </c>
    </row>
    <row r="4794">
      <c r="B4794">
        <f>IF(A4794="","",$B$1-MAXIFS(Donasi!$A$2:$A$20000,Donasi!$B$2:$B$20000,A4794))</f>
        <v/>
      </c>
      <c r="C4794">
        <f>IF(A4794="","",COUNTIF(Donasi!$B$2:$B$20000,A4794))</f>
        <v/>
      </c>
      <c r="D4794">
        <f>IF(A4794="","",SUMIF(Donasi!$B$2:$B$20000,A4794,Donasi!$C$2:$C$20000))</f>
        <v/>
      </c>
      <c r="E4794">
        <f>IF(A4794="","",6-CEILING(PERCENTRANK.INC($B$3:$B$6000,B4794,4)*5+0.000001,1))</f>
        <v/>
      </c>
      <c r="F4794">
        <f>IF(A4794="","",MAX(1,CEILING(PERCENTRANK.INC($C$3:$C$6000,C4794,4)*5+0.000001,1)))</f>
        <v/>
      </c>
      <c r="G4794">
        <f>IF(A4794="","",MAX(1,CEILING(PERCENTRANK.INC($D$3:$D$6000,D4794,4)*5+0.000001,1)))</f>
        <v/>
      </c>
      <c r="H4794">
        <f>IF(A4794="","",E4794&amp;F4794&amp;G4794)</f>
        <v/>
      </c>
      <c r="I4794">
        <f>IF(A4794="","",IF(AND(E4794&gt;=4,F4794&gt;=4,G4794&gt;=4),"Juara",IF(AND(F4794&gt;=4,E4794&gt;=3),"Setia",IF(AND(E4794=5,F4794&lt;=2,G4794&gt;=3),"Berpotensi",IF(AND(E4794&lt;=3,E4794&gt;=2,F4794&gt;=3),"Rawan",IF(AND(E4794&lt;=2,F4794&lt;=2),"Tidur","Umum"))))))</f>
        <v/>
      </c>
    </row>
    <row r="4795">
      <c r="B4795">
        <f>IF(A4795="","",$B$1-MAXIFS(Donasi!$A$2:$A$20000,Donasi!$B$2:$B$20000,A4795))</f>
        <v/>
      </c>
      <c r="C4795">
        <f>IF(A4795="","",COUNTIF(Donasi!$B$2:$B$20000,A4795))</f>
        <v/>
      </c>
      <c r="D4795">
        <f>IF(A4795="","",SUMIF(Donasi!$B$2:$B$20000,A4795,Donasi!$C$2:$C$20000))</f>
        <v/>
      </c>
      <c r="E4795">
        <f>IF(A4795="","",6-CEILING(PERCENTRANK.INC($B$3:$B$6000,B4795,4)*5+0.000001,1))</f>
        <v/>
      </c>
      <c r="F4795">
        <f>IF(A4795="","",MAX(1,CEILING(PERCENTRANK.INC($C$3:$C$6000,C4795,4)*5+0.000001,1)))</f>
        <v/>
      </c>
      <c r="G4795">
        <f>IF(A4795="","",MAX(1,CEILING(PERCENTRANK.INC($D$3:$D$6000,D4795,4)*5+0.000001,1)))</f>
        <v/>
      </c>
      <c r="H4795">
        <f>IF(A4795="","",E4795&amp;F4795&amp;G4795)</f>
        <v/>
      </c>
      <c r="I4795">
        <f>IF(A4795="","",IF(AND(E4795&gt;=4,F4795&gt;=4,G4795&gt;=4),"Juara",IF(AND(F4795&gt;=4,E4795&gt;=3),"Setia",IF(AND(E4795=5,F4795&lt;=2,G4795&gt;=3),"Berpotensi",IF(AND(E4795&lt;=3,E4795&gt;=2,F4795&gt;=3),"Rawan",IF(AND(E4795&lt;=2,F4795&lt;=2),"Tidur","Umum"))))))</f>
        <v/>
      </c>
    </row>
    <row r="4796">
      <c r="B4796">
        <f>IF(A4796="","",$B$1-MAXIFS(Donasi!$A$2:$A$20000,Donasi!$B$2:$B$20000,A4796))</f>
        <v/>
      </c>
      <c r="C4796">
        <f>IF(A4796="","",COUNTIF(Donasi!$B$2:$B$20000,A4796))</f>
        <v/>
      </c>
      <c r="D4796">
        <f>IF(A4796="","",SUMIF(Donasi!$B$2:$B$20000,A4796,Donasi!$C$2:$C$20000))</f>
        <v/>
      </c>
      <c r="E4796">
        <f>IF(A4796="","",6-CEILING(PERCENTRANK.INC($B$3:$B$6000,B4796,4)*5+0.000001,1))</f>
        <v/>
      </c>
      <c r="F4796">
        <f>IF(A4796="","",MAX(1,CEILING(PERCENTRANK.INC($C$3:$C$6000,C4796,4)*5+0.000001,1)))</f>
        <v/>
      </c>
      <c r="G4796">
        <f>IF(A4796="","",MAX(1,CEILING(PERCENTRANK.INC($D$3:$D$6000,D4796,4)*5+0.000001,1)))</f>
        <v/>
      </c>
      <c r="H4796">
        <f>IF(A4796="","",E4796&amp;F4796&amp;G4796)</f>
        <v/>
      </c>
      <c r="I4796">
        <f>IF(A4796="","",IF(AND(E4796&gt;=4,F4796&gt;=4,G4796&gt;=4),"Juara",IF(AND(F4796&gt;=4,E4796&gt;=3),"Setia",IF(AND(E4796=5,F4796&lt;=2,G4796&gt;=3),"Berpotensi",IF(AND(E4796&lt;=3,E4796&gt;=2,F4796&gt;=3),"Rawan",IF(AND(E4796&lt;=2,F4796&lt;=2),"Tidur","Umum"))))))</f>
        <v/>
      </c>
    </row>
    <row r="4797">
      <c r="B4797">
        <f>IF(A4797="","",$B$1-MAXIFS(Donasi!$A$2:$A$20000,Donasi!$B$2:$B$20000,A4797))</f>
        <v/>
      </c>
      <c r="C4797">
        <f>IF(A4797="","",COUNTIF(Donasi!$B$2:$B$20000,A4797))</f>
        <v/>
      </c>
      <c r="D4797">
        <f>IF(A4797="","",SUMIF(Donasi!$B$2:$B$20000,A4797,Donasi!$C$2:$C$20000))</f>
        <v/>
      </c>
      <c r="E4797">
        <f>IF(A4797="","",6-CEILING(PERCENTRANK.INC($B$3:$B$6000,B4797,4)*5+0.000001,1))</f>
        <v/>
      </c>
      <c r="F4797">
        <f>IF(A4797="","",MAX(1,CEILING(PERCENTRANK.INC($C$3:$C$6000,C4797,4)*5+0.000001,1)))</f>
        <v/>
      </c>
      <c r="G4797">
        <f>IF(A4797="","",MAX(1,CEILING(PERCENTRANK.INC($D$3:$D$6000,D4797,4)*5+0.000001,1)))</f>
        <v/>
      </c>
      <c r="H4797">
        <f>IF(A4797="","",E4797&amp;F4797&amp;G4797)</f>
        <v/>
      </c>
      <c r="I4797">
        <f>IF(A4797="","",IF(AND(E4797&gt;=4,F4797&gt;=4,G4797&gt;=4),"Juara",IF(AND(F4797&gt;=4,E4797&gt;=3),"Setia",IF(AND(E4797=5,F4797&lt;=2,G4797&gt;=3),"Berpotensi",IF(AND(E4797&lt;=3,E4797&gt;=2,F4797&gt;=3),"Rawan",IF(AND(E4797&lt;=2,F4797&lt;=2),"Tidur","Umum"))))))</f>
        <v/>
      </c>
    </row>
    <row r="4798">
      <c r="B4798">
        <f>IF(A4798="","",$B$1-MAXIFS(Donasi!$A$2:$A$20000,Donasi!$B$2:$B$20000,A4798))</f>
        <v/>
      </c>
      <c r="C4798">
        <f>IF(A4798="","",COUNTIF(Donasi!$B$2:$B$20000,A4798))</f>
        <v/>
      </c>
      <c r="D4798">
        <f>IF(A4798="","",SUMIF(Donasi!$B$2:$B$20000,A4798,Donasi!$C$2:$C$20000))</f>
        <v/>
      </c>
      <c r="E4798">
        <f>IF(A4798="","",6-CEILING(PERCENTRANK.INC($B$3:$B$6000,B4798,4)*5+0.000001,1))</f>
        <v/>
      </c>
      <c r="F4798">
        <f>IF(A4798="","",MAX(1,CEILING(PERCENTRANK.INC($C$3:$C$6000,C4798,4)*5+0.000001,1)))</f>
        <v/>
      </c>
      <c r="G4798">
        <f>IF(A4798="","",MAX(1,CEILING(PERCENTRANK.INC($D$3:$D$6000,D4798,4)*5+0.000001,1)))</f>
        <v/>
      </c>
      <c r="H4798">
        <f>IF(A4798="","",E4798&amp;F4798&amp;G4798)</f>
        <v/>
      </c>
      <c r="I4798">
        <f>IF(A4798="","",IF(AND(E4798&gt;=4,F4798&gt;=4,G4798&gt;=4),"Juara",IF(AND(F4798&gt;=4,E4798&gt;=3),"Setia",IF(AND(E4798=5,F4798&lt;=2,G4798&gt;=3),"Berpotensi",IF(AND(E4798&lt;=3,E4798&gt;=2,F4798&gt;=3),"Rawan",IF(AND(E4798&lt;=2,F4798&lt;=2),"Tidur","Umum"))))))</f>
        <v/>
      </c>
    </row>
    <row r="4799">
      <c r="B4799">
        <f>IF(A4799="","",$B$1-MAXIFS(Donasi!$A$2:$A$20000,Donasi!$B$2:$B$20000,A4799))</f>
        <v/>
      </c>
      <c r="C4799">
        <f>IF(A4799="","",COUNTIF(Donasi!$B$2:$B$20000,A4799))</f>
        <v/>
      </c>
      <c r="D4799">
        <f>IF(A4799="","",SUMIF(Donasi!$B$2:$B$20000,A4799,Donasi!$C$2:$C$20000))</f>
        <v/>
      </c>
      <c r="E4799">
        <f>IF(A4799="","",6-CEILING(PERCENTRANK.INC($B$3:$B$6000,B4799,4)*5+0.000001,1))</f>
        <v/>
      </c>
      <c r="F4799">
        <f>IF(A4799="","",MAX(1,CEILING(PERCENTRANK.INC($C$3:$C$6000,C4799,4)*5+0.000001,1)))</f>
        <v/>
      </c>
      <c r="G4799">
        <f>IF(A4799="","",MAX(1,CEILING(PERCENTRANK.INC($D$3:$D$6000,D4799,4)*5+0.000001,1)))</f>
        <v/>
      </c>
      <c r="H4799">
        <f>IF(A4799="","",E4799&amp;F4799&amp;G4799)</f>
        <v/>
      </c>
      <c r="I4799">
        <f>IF(A4799="","",IF(AND(E4799&gt;=4,F4799&gt;=4,G4799&gt;=4),"Juara",IF(AND(F4799&gt;=4,E4799&gt;=3),"Setia",IF(AND(E4799=5,F4799&lt;=2,G4799&gt;=3),"Berpotensi",IF(AND(E4799&lt;=3,E4799&gt;=2,F4799&gt;=3),"Rawan",IF(AND(E4799&lt;=2,F4799&lt;=2),"Tidur","Umum"))))))</f>
        <v/>
      </c>
    </row>
    <row r="4800">
      <c r="B4800">
        <f>IF(A4800="","",$B$1-MAXIFS(Donasi!$A$2:$A$20000,Donasi!$B$2:$B$20000,A4800))</f>
        <v/>
      </c>
      <c r="C4800">
        <f>IF(A4800="","",COUNTIF(Donasi!$B$2:$B$20000,A4800))</f>
        <v/>
      </c>
      <c r="D4800">
        <f>IF(A4800="","",SUMIF(Donasi!$B$2:$B$20000,A4800,Donasi!$C$2:$C$20000))</f>
        <v/>
      </c>
      <c r="E4800">
        <f>IF(A4800="","",6-CEILING(PERCENTRANK.INC($B$3:$B$6000,B4800,4)*5+0.000001,1))</f>
        <v/>
      </c>
      <c r="F4800">
        <f>IF(A4800="","",MAX(1,CEILING(PERCENTRANK.INC($C$3:$C$6000,C4800,4)*5+0.000001,1)))</f>
        <v/>
      </c>
      <c r="G4800">
        <f>IF(A4800="","",MAX(1,CEILING(PERCENTRANK.INC($D$3:$D$6000,D4800,4)*5+0.000001,1)))</f>
        <v/>
      </c>
      <c r="H4800">
        <f>IF(A4800="","",E4800&amp;F4800&amp;G4800)</f>
        <v/>
      </c>
      <c r="I4800">
        <f>IF(A4800="","",IF(AND(E4800&gt;=4,F4800&gt;=4,G4800&gt;=4),"Juara",IF(AND(F4800&gt;=4,E4800&gt;=3),"Setia",IF(AND(E4800=5,F4800&lt;=2,G4800&gt;=3),"Berpotensi",IF(AND(E4800&lt;=3,E4800&gt;=2,F4800&gt;=3),"Rawan",IF(AND(E4800&lt;=2,F4800&lt;=2),"Tidur","Umum"))))))</f>
        <v/>
      </c>
    </row>
    <row r="4801">
      <c r="B4801">
        <f>IF(A4801="","",$B$1-MAXIFS(Donasi!$A$2:$A$20000,Donasi!$B$2:$B$20000,A4801))</f>
        <v/>
      </c>
      <c r="C4801">
        <f>IF(A4801="","",COUNTIF(Donasi!$B$2:$B$20000,A4801))</f>
        <v/>
      </c>
      <c r="D4801">
        <f>IF(A4801="","",SUMIF(Donasi!$B$2:$B$20000,A4801,Donasi!$C$2:$C$20000))</f>
        <v/>
      </c>
      <c r="E4801">
        <f>IF(A4801="","",6-CEILING(PERCENTRANK.INC($B$3:$B$6000,B4801,4)*5+0.000001,1))</f>
        <v/>
      </c>
      <c r="F4801">
        <f>IF(A4801="","",MAX(1,CEILING(PERCENTRANK.INC($C$3:$C$6000,C4801,4)*5+0.000001,1)))</f>
        <v/>
      </c>
      <c r="G4801">
        <f>IF(A4801="","",MAX(1,CEILING(PERCENTRANK.INC($D$3:$D$6000,D4801,4)*5+0.000001,1)))</f>
        <v/>
      </c>
      <c r="H4801">
        <f>IF(A4801="","",E4801&amp;F4801&amp;G4801)</f>
        <v/>
      </c>
      <c r="I4801">
        <f>IF(A4801="","",IF(AND(E4801&gt;=4,F4801&gt;=4,G4801&gt;=4),"Juara",IF(AND(F4801&gt;=4,E4801&gt;=3),"Setia",IF(AND(E4801=5,F4801&lt;=2,G4801&gt;=3),"Berpotensi",IF(AND(E4801&lt;=3,E4801&gt;=2,F4801&gt;=3),"Rawan",IF(AND(E4801&lt;=2,F4801&lt;=2),"Tidur","Umum"))))))</f>
        <v/>
      </c>
    </row>
    <row r="4802">
      <c r="B4802">
        <f>IF(A4802="","",$B$1-MAXIFS(Donasi!$A$2:$A$20000,Donasi!$B$2:$B$20000,A4802))</f>
        <v/>
      </c>
      <c r="C4802">
        <f>IF(A4802="","",COUNTIF(Donasi!$B$2:$B$20000,A4802))</f>
        <v/>
      </c>
      <c r="D4802">
        <f>IF(A4802="","",SUMIF(Donasi!$B$2:$B$20000,A4802,Donasi!$C$2:$C$20000))</f>
        <v/>
      </c>
      <c r="E4802">
        <f>IF(A4802="","",6-CEILING(PERCENTRANK.INC($B$3:$B$6000,B4802,4)*5+0.000001,1))</f>
        <v/>
      </c>
      <c r="F4802">
        <f>IF(A4802="","",MAX(1,CEILING(PERCENTRANK.INC($C$3:$C$6000,C4802,4)*5+0.000001,1)))</f>
        <v/>
      </c>
      <c r="G4802">
        <f>IF(A4802="","",MAX(1,CEILING(PERCENTRANK.INC($D$3:$D$6000,D4802,4)*5+0.000001,1)))</f>
        <v/>
      </c>
      <c r="H4802">
        <f>IF(A4802="","",E4802&amp;F4802&amp;G4802)</f>
        <v/>
      </c>
      <c r="I4802">
        <f>IF(A4802="","",IF(AND(E4802&gt;=4,F4802&gt;=4,G4802&gt;=4),"Juara",IF(AND(F4802&gt;=4,E4802&gt;=3),"Setia",IF(AND(E4802=5,F4802&lt;=2,G4802&gt;=3),"Berpotensi",IF(AND(E4802&lt;=3,E4802&gt;=2,F4802&gt;=3),"Rawan",IF(AND(E4802&lt;=2,F4802&lt;=2),"Tidur","Umum"))))))</f>
        <v/>
      </c>
    </row>
    <row r="4803">
      <c r="B4803">
        <f>IF(A4803="","",$B$1-MAXIFS(Donasi!$A$2:$A$20000,Donasi!$B$2:$B$20000,A4803))</f>
        <v/>
      </c>
      <c r="C4803">
        <f>IF(A4803="","",COUNTIF(Donasi!$B$2:$B$20000,A4803))</f>
        <v/>
      </c>
      <c r="D4803">
        <f>IF(A4803="","",SUMIF(Donasi!$B$2:$B$20000,A4803,Donasi!$C$2:$C$20000))</f>
        <v/>
      </c>
      <c r="E4803">
        <f>IF(A4803="","",6-CEILING(PERCENTRANK.INC($B$3:$B$6000,B4803,4)*5+0.000001,1))</f>
        <v/>
      </c>
      <c r="F4803">
        <f>IF(A4803="","",MAX(1,CEILING(PERCENTRANK.INC($C$3:$C$6000,C4803,4)*5+0.000001,1)))</f>
        <v/>
      </c>
      <c r="G4803">
        <f>IF(A4803="","",MAX(1,CEILING(PERCENTRANK.INC($D$3:$D$6000,D4803,4)*5+0.000001,1)))</f>
        <v/>
      </c>
      <c r="H4803">
        <f>IF(A4803="","",E4803&amp;F4803&amp;G4803)</f>
        <v/>
      </c>
      <c r="I4803">
        <f>IF(A4803="","",IF(AND(E4803&gt;=4,F4803&gt;=4,G4803&gt;=4),"Juara",IF(AND(F4803&gt;=4,E4803&gt;=3),"Setia",IF(AND(E4803=5,F4803&lt;=2,G4803&gt;=3),"Berpotensi",IF(AND(E4803&lt;=3,E4803&gt;=2,F4803&gt;=3),"Rawan",IF(AND(E4803&lt;=2,F4803&lt;=2),"Tidur","Umum"))))))</f>
        <v/>
      </c>
    </row>
    <row r="4804">
      <c r="B4804">
        <f>IF(A4804="","",$B$1-MAXIFS(Donasi!$A$2:$A$20000,Donasi!$B$2:$B$20000,A4804))</f>
        <v/>
      </c>
      <c r="C4804">
        <f>IF(A4804="","",COUNTIF(Donasi!$B$2:$B$20000,A4804))</f>
        <v/>
      </c>
      <c r="D4804">
        <f>IF(A4804="","",SUMIF(Donasi!$B$2:$B$20000,A4804,Donasi!$C$2:$C$20000))</f>
        <v/>
      </c>
      <c r="E4804">
        <f>IF(A4804="","",6-CEILING(PERCENTRANK.INC($B$3:$B$6000,B4804,4)*5+0.000001,1))</f>
        <v/>
      </c>
      <c r="F4804">
        <f>IF(A4804="","",MAX(1,CEILING(PERCENTRANK.INC($C$3:$C$6000,C4804,4)*5+0.000001,1)))</f>
        <v/>
      </c>
      <c r="G4804">
        <f>IF(A4804="","",MAX(1,CEILING(PERCENTRANK.INC($D$3:$D$6000,D4804,4)*5+0.000001,1)))</f>
        <v/>
      </c>
      <c r="H4804">
        <f>IF(A4804="","",E4804&amp;F4804&amp;G4804)</f>
        <v/>
      </c>
      <c r="I4804">
        <f>IF(A4804="","",IF(AND(E4804&gt;=4,F4804&gt;=4,G4804&gt;=4),"Juara",IF(AND(F4804&gt;=4,E4804&gt;=3),"Setia",IF(AND(E4804=5,F4804&lt;=2,G4804&gt;=3),"Berpotensi",IF(AND(E4804&lt;=3,E4804&gt;=2,F4804&gt;=3),"Rawan",IF(AND(E4804&lt;=2,F4804&lt;=2),"Tidur","Umum"))))))</f>
        <v/>
      </c>
    </row>
    <row r="4805">
      <c r="B4805">
        <f>IF(A4805="","",$B$1-MAXIFS(Donasi!$A$2:$A$20000,Donasi!$B$2:$B$20000,A4805))</f>
        <v/>
      </c>
      <c r="C4805">
        <f>IF(A4805="","",COUNTIF(Donasi!$B$2:$B$20000,A4805))</f>
        <v/>
      </c>
      <c r="D4805">
        <f>IF(A4805="","",SUMIF(Donasi!$B$2:$B$20000,A4805,Donasi!$C$2:$C$20000))</f>
        <v/>
      </c>
      <c r="E4805">
        <f>IF(A4805="","",6-CEILING(PERCENTRANK.INC($B$3:$B$6000,B4805,4)*5+0.000001,1))</f>
        <v/>
      </c>
      <c r="F4805">
        <f>IF(A4805="","",MAX(1,CEILING(PERCENTRANK.INC($C$3:$C$6000,C4805,4)*5+0.000001,1)))</f>
        <v/>
      </c>
      <c r="G4805">
        <f>IF(A4805="","",MAX(1,CEILING(PERCENTRANK.INC($D$3:$D$6000,D4805,4)*5+0.000001,1)))</f>
        <v/>
      </c>
      <c r="H4805">
        <f>IF(A4805="","",E4805&amp;F4805&amp;G4805)</f>
        <v/>
      </c>
      <c r="I4805">
        <f>IF(A4805="","",IF(AND(E4805&gt;=4,F4805&gt;=4,G4805&gt;=4),"Juara",IF(AND(F4805&gt;=4,E4805&gt;=3),"Setia",IF(AND(E4805=5,F4805&lt;=2,G4805&gt;=3),"Berpotensi",IF(AND(E4805&lt;=3,E4805&gt;=2,F4805&gt;=3),"Rawan",IF(AND(E4805&lt;=2,F4805&lt;=2),"Tidur","Umum"))))))</f>
        <v/>
      </c>
    </row>
    <row r="4806">
      <c r="B4806">
        <f>IF(A4806="","",$B$1-MAXIFS(Donasi!$A$2:$A$20000,Donasi!$B$2:$B$20000,A4806))</f>
        <v/>
      </c>
      <c r="C4806">
        <f>IF(A4806="","",COUNTIF(Donasi!$B$2:$B$20000,A4806))</f>
        <v/>
      </c>
      <c r="D4806">
        <f>IF(A4806="","",SUMIF(Donasi!$B$2:$B$20000,A4806,Donasi!$C$2:$C$20000))</f>
        <v/>
      </c>
      <c r="E4806">
        <f>IF(A4806="","",6-CEILING(PERCENTRANK.INC($B$3:$B$6000,B4806,4)*5+0.000001,1))</f>
        <v/>
      </c>
      <c r="F4806">
        <f>IF(A4806="","",MAX(1,CEILING(PERCENTRANK.INC($C$3:$C$6000,C4806,4)*5+0.000001,1)))</f>
        <v/>
      </c>
      <c r="G4806">
        <f>IF(A4806="","",MAX(1,CEILING(PERCENTRANK.INC($D$3:$D$6000,D4806,4)*5+0.000001,1)))</f>
        <v/>
      </c>
      <c r="H4806">
        <f>IF(A4806="","",E4806&amp;F4806&amp;G4806)</f>
        <v/>
      </c>
      <c r="I4806">
        <f>IF(A4806="","",IF(AND(E4806&gt;=4,F4806&gt;=4,G4806&gt;=4),"Juara",IF(AND(F4806&gt;=4,E4806&gt;=3),"Setia",IF(AND(E4806=5,F4806&lt;=2,G4806&gt;=3),"Berpotensi",IF(AND(E4806&lt;=3,E4806&gt;=2,F4806&gt;=3),"Rawan",IF(AND(E4806&lt;=2,F4806&lt;=2),"Tidur","Umum"))))))</f>
        <v/>
      </c>
    </row>
    <row r="4807">
      <c r="B4807">
        <f>IF(A4807="","",$B$1-MAXIFS(Donasi!$A$2:$A$20000,Donasi!$B$2:$B$20000,A4807))</f>
        <v/>
      </c>
      <c r="C4807">
        <f>IF(A4807="","",COUNTIF(Donasi!$B$2:$B$20000,A4807))</f>
        <v/>
      </c>
      <c r="D4807">
        <f>IF(A4807="","",SUMIF(Donasi!$B$2:$B$20000,A4807,Donasi!$C$2:$C$20000))</f>
        <v/>
      </c>
      <c r="E4807">
        <f>IF(A4807="","",6-CEILING(PERCENTRANK.INC($B$3:$B$6000,B4807,4)*5+0.000001,1))</f>
        <v/>
      </c>
      <c r="F4807">
        <f>IF(A4807="","",MAX(1,CEILING(PERCENTRANK.INC($C$3:$C$6000,C4807,4)*5+0.000001,1)))</f>
        <v/>
      </c>
      <c r="G4807">
        <f>IF(A4807="","",MAX(1,CEILING(PERCENTRANK.INC($D$3:$D$6000,D4807,4)*5+0.000001,1)))</f>
        <v/>
      </c>
      <c r="H4807">
        <f>IF(A4807="","",E4807&amp;F4807&amp;G4807)</f>
        <v/>
      </c>
      <c r="I4807">
        <f>IF(A4807="","",IF(AND(E4807&gt;=4,F4807&gt;=4,G4807&gt;=4),"Juara",IF(AND(F4807&gt;=4,E4807&gt;=3),"Setia",IF(AND(E4807=5,F4807&lt;=2,G4807&gt;=3),"Berpotensi",IF(AND(E4807&lt;=3,E4807&gt;=2,F4807&gt;=3),"Rawan",IF(AND(E4807&lt;=2,F4807&lt;=2),"Tidur","Umum"))))))</f>
        <v/>
      </c>
    </row>
    <row r="4808">
      <c r="B4808">
        <f>IF(A4808="","",$B$1-MAXIFS(Donasi!$A$2:$A$20000,Donasi!$B$2:$B$20000,A4808))</f>
        <v/>
      </c>
      <c r="C4808">
        <f>IF(A4808="","",COUNTIF(Donasi!$B$2:$B$20000,A4808))</f>
        <v/>
      </c>
      <c r="D4808">
        <f>IF(A4808="","",SUMIF(Donasi!$B$2:$B$20000,A4808,Donasi!$C$2:$C$20000))</f>
        <v/>
      </c>
      <c r="E4808">
        <f>IF(A4808="","",6-CEILING(PERCENTRANK.INC($B$3:$B$6000,B4808,4)*5+0.000001,1))</f>
        <v/>
      </c>
      <c r="F4808">
        <f>IF(A4808="","",MAX(1,CEILING(PERCENTRANK.INC($C$3:$C$6000,C4808,4)*5+0.000001,1)))</f>
        <v/>
      </c>
      <c r="G4808">
        <f>IF(A4808="","",MAX(1,CEILING(PERCENTRANK.INC($D$3:$D$6000,D4808,4)*5+0.000001,1)))</f>
        <v/>
      </c>
      <c r="H4808">
        <f>IF(A4808="","",E4808&amp;F4808&amp;G4808)</f>
        <v/>
      </c>
      <c r="I4808">
        <f>IF(A4808="","",IF(AND(E4808&gt;=4,F4808&gt;=4,G4808&gt;=4),"Juara",IF(AND(F4808&gt;=4,E4808&gt;=3),"Setia",IF(AND(E4808=5,F4808&lt;=2,G4808&gt;=3),"Berpotensi",IF(AND(E4808&lt;=3,E4808&gt;=2,F4808&gt;=3),"Rawan",IF(AND(E4808&lt;=2,F4808&lt;=2),"Tidur","Umum"))))))</f>
        <v/>
      </c>
    </row>
    <row r="4809">
      <c r="B4809">
        <f>IF(A4809="","",$B$1-MAXIFS(Donasi!$A$2:$A$20000,Donasi!$B$2:$B$20000,A4809))</f>
        <v/>
      </c>
      <c r="C4809">
        <f>IF(A4809="","",COUNTIF(Donasi!$B$2:$B$20000,A4809))</f>
        <v/>
      </c>
      <c r="D4809">
        <f>IF(A4809="","",SUMIF(Donasi!$B$2:$B$20000,A4809,Donasi!$C$2:$C$20000))</f>
        <v/>
      </c>
      <c r="E4809">
        <f>IF(A4809="","",6-CEILING(PERCENTRANK.INC($B$3:$B$6000,B4809,4)*5+0.000001,1))</f>
        <v/>
      </c>
      <c r="F4809">
        <f>IF(A4809="","",MAX(1,CEILING(PERCENTRANK.INC($C$3:$C$6000,C4809,4)*5+0.000001,1)))</f>
        <v/>
      </c>
      <c r="G4809">
        <f>IF(A4809="","",MAX(1,CEILING(PERCENTRANK.INC($D$3:$D$6000,D4809,4)*5+0.000001,1)))</f>
        <v/>
      </c>
      <c r="H4809">
        <f>IF(A4809="","",E4809&amp;F4809&amp;G4809)</f>
        <v/>
      </c>
      <c r="I4809">
        <f>IF(A4809="","",IF(AND(E4809&gt;=4,F4809&gt;=4,G4809&gt;=4),"Juara",IF(AND(F4809&gt;=4,E4809&gt;=3),"Setia",IF(AND(E4809=5,F4809&lt;=2,G4809&gt;=3),"Berpotensi",IF(AND(E4809&lt;=3,E4809&gt;=2,F4809&gt;=3),"Rawan",IF(AND(E4809&lt;=2,F4809&lt;=2),"Tidur","Umum"))))))</f>
        <v/>
      </c>
    </row>
    <row r="4810">
      <c r="B4810">
        <f>IF(A4810="","",$B$1-MAXIFS(Donasi!$A$2:$A$20000,Donasi!$B$2:$B$20000,A4810))</f>
        <v/>
      </c>
      <c r="C4810">
        <f>IF(A4810="","",COUNTIF(Donasi!$B$2:$B$20000,A4810))</f>
        <v/>
      </c>
      <c r="D4810">
        <f>IF(A4810="","",SUMIF(Donasi!$B$2:$B$20000,A4810,Donasi!$C$2:$C$20000))</f>
        <v/>
      </c>
      <c r="E4810">
        <f>IF(A4810="","",6-CEILING(PERCENTRANK.INC($B$3:$B$6000,B4810,4)*5+0.000001,1))</f>
        <v/>
      </c>
      <c r="F4810">
        <f>IF(A4810="","",MAX(1,CEILING(PERCENTRANK.INC($C$3:$C$6000,C4810,4)*5+0.000001,1)))</f>
        <v/>
      </c>
      <c r="G4810">
        <f>IF(A4810="","",MAX(1,CEILING(PERCENTRANK.INC($D$3:$D$6000,D4810,4)*5+0.000001,1)))</f>
        <v/>
      </c>
      <c r="H4810">
        <f>IF(A4810="","",E4810&amp;F4810&amp;G4810)</f>
        <v/>
      </c>
      <c r="I4810">
        <f>IF(A4810="","",IF(AND(E4810&gt;=4,F4810&gt;=4,G4810&gt;=4),"Juara",IF(AND(F4810&gt;=4,E4810&gt;=3),"Setia",IF(AND(E4810=5,F4810&lt;=2,G4810&gt;=3),"Berpotensi",IF(AND(E4810&lt;=3,E4810&gt;=2,F4810&gt;=3),"Rawan",IF(AND(E4810&lt;=2,F4810&lt;=2),"Tidur","Umum"))))))</f>
        <v/>
      </c>
    </row>
    <row r="4811">
      <c r="B4811">
        <f>IF(A4811="","",$B$1-MAXIFS(Donasi!$A$2:$A$20000,Donasi!$B$2:$B$20000,A4811))</f>
        <v/>
      </c>
      <c r="C4811">
        <f>IF(A4811="","",COUNTIF(Donasi!$B$2:$B$20000,A4811))</f>
        <v/>
      </c>
      <c r="D4811">
        <f>IF(A4811="","",SUMIF(Donasi!$B$2:$B$20000,A4811,Donasi!$C$2:$C$20000))</f>
        <v/>
      </c>
      <c r="E4811">
        <f>IF(A4811="","",6-CEILING(PERCENTRANK.INC($B$3:$B$6000,B4811,4)*5+0.000001,1))</f>
        <v/>
      </c>
      <c r="F4811">
        <f>IF(A4811="","",MAX(1,CEILING(PERCENTRANK.INC($C$3:$C$6000,C4811,4)*5+0.000001,1)))</f>
        <v/>
      </c>
      <c r="G4811">
        <f>IF(A4811="","",MAX(1,CEILING(PERCENTRANK.INC($D$3:$D$6000,D4811,4)*5+0.000001,1)))</f>
        <v/>
      </c>
      <c r="H4811">
        <f>IF(A4811="","",E4811&amp;F4811&amp;G4811)</f>
        <v/>
      </c>
      <c r="I4811">
        <f>IF(A4811="","",IF(AND(E4811&gt;=4,F4811&gt;=4,G4811&gt;=4),"Juara",IF(AND(F4811&gt;=4,E4811&gt;=3),"Setia",IF(AND(E4811=5,F4811&lt;=2,G4811&gt;=3),"Berpotensi",IF(AND(E4811&lt;=3,E4811&gt;=2,F4811&gt;=3),"Rawan",IF(AND(E4811&lt;=2,F4811&lt;=2),"Tidur","Umum"))))))</f>
        <v/>
      </c>
    </row>
    <row r="4812">
      <c r="B4812">
        <f>IF(A4812="","",$B$1-MAXIFS(Donasi!$A$2:$A$20000,Donasi!$B$2:$B$20000,A4812))</f>
        <v/>
      </c>
      <c r="C4812">
        <f>IF(A4812="","",COUNTIF(Donasi!$B$2:$B$20000,A4812))</f>
        <v/>
      </c>
      <c r="D4812">
        <f>IF(A4812="","",SUMIF(Donasi!$B$2:$B$20000,A4812,Donasi!$C$2:$C$20000))</f>
        <v/>
      </c>
      <c r="E4812">
        <f>IF(A4812="","",6-CEILING(PERCENTRANK.INC($B$3:$B$6000,B4812,4)*5+0.000001,1))</f>
        <v/>
      </c>
      <c r="F4812">
        <f>IF(A4812="","",MAX(1,CEILING(PERCENTRANK.INC($C$3:$C$6000,C4812,4)*5+0.000001,1)))</f>
        <v/>
      </c>
      <c r="G4812">
        <f>IF(A4812="","",MAX(1,CEILING(PERCENTRANK.INC($D$3:$D$6000,D4812,4)*5+0.000001,1)))</f>
        <v/>
      </c>
      <c r="H4812">
        <f>IF(A4812="","",E4812&amp;F4812&amp;G4812)</f>
        <v/>
      </c>
      <c r="I4812">
        <f>IF(A4812="","",IF(AND(E4812&gt;=4,F4812&gt;=4,G4812&gt;=4),"Juara",IF(AND(F4812&gt;=4,E4812&gt;=3),"Setia",IF(AND(E4812=5,F4812&lt;=2,G4812&gt;=3),"Berpotensi",IF(AND(E4812&lt;=3,E4812&gt;=2,F4812&gt;=3),"Rawan",IF(AND(E4812&lt;=2,F4812&lt;=2),"Tidur","Umum"))))))</f>
        <v/>
      </c>
    </row>
    <row r="4813">
      <c r="B4813">
        <f>IF(A4813="","",$B$1-MAXIFS(Donasi!$A$2:$A$20000,Donasi!$B$2:$B$20000,A4813))</f>
        <v/>
      </c>
      <c r="C4813">
        <f>IF(A4813="","",COUNTIF(Donasi!$B$2:$B$20000,A4813))</f>
        <v/>
      </c>
      <c r="D4813">
        <f>IF(A4813="","",SUMIF(Donasi!$B$2:$B$20000,A4813,Donasi!$C$2:$C$20000))</f>
        <v/>
      </c>
      <c r="E4813">
        <f>IF(A4813="","",6-CEILING(PERCENTRANK.INC($B$3:$B$6000,B4813,4)*5+0.000001,1))</f>
        <v/>
      </c>
      <c r="F4813">
        <f>IF(A4813="","",MAX(1,CEILING(PERCENTRANK.INC($C$3:$C$6000,C4813,4)*5+0.000001,1)))</f>
        <v/>
      </c>
      <c r="G4813">
        <f>IF(A4813="","",MAX(1,CEILING(PERCENTRANK.INC($D$3:$D$6000,D4813,4)*5+0.000001,1)))</f>
        <v/>
      </c>
      <c r="H4813">
        <f>IF(A4813="","",E4813&amp;F4813&amp;G4813)</f>
        <v/>
      </c>
      <c r="I4813">
        <f>IF(A4813="","",IF(AND(E4813&gt;=4,F4813&gt;=4,G4813&gt;=4),"Juara",IF(AND(F4813&gt;=4,E4813&gt;=3),"Setia",IF(AND(E4813=5,F4813&lt;=2,G4813&gt;=3),"Berpotensi",IF(AND(E4813&lt;=3,E4813&gt;=2,F4813&gt;=3),"Rawan",IF(AND(E4813&lt;=2,F4813&lt;=2),"Tidur","Umum"))))))</f>
        <v/>
      </c>
    </row>
    <row r="4814">
      <c r="B4814">
        <f>IF(A4814="","",$B$1-MAXIFS(Donasi!$A$2:$A$20000,Donasi!$B$2:$B$20000,A4814))</f>
        <v/>
      </c>
      <c r="C4814">
        <f>IF(A4814="","",COUNTIF(Donasi!$B$2:$B$20000,A4814))</f>
        <v/>
      </c>
      <c r="D4814">
        <f>IF(A4814="","",SUMIF(Donasi!$B$2:$B$20000,A4814,Donasi!$C$2:$C$20000))</f>
        <v/>
      </c>
      <c r="E4814">
        <f>IF(A4814="","",6-CEILING(PERCENTRANK.INC($B$3:$B$6000,B4814,4)*5+0.000001,1))</f>
        <v/>
      </c>
      <c r="F4814">
        <f>IF(A4814="","",MAX(1,CEILING(PERCENTRANK.INC($C$3:$C$6000,C4814,4)*5+0.000001,1)))</f>
        <v/>
      </c>
      <c r="G4814">
        <f>IF(A4814="","",MAX(1,CEILING(PERCENTRANK.INC($D$3:$D$6000,D4814,4)*5+0.000001,1)))</f>
        <v/>
      </c>
      <c r="H4814">
        <f>IF(A4814="","",E4814&amp;F4814&amp;G4814)</f>
        <v/>
      </c>
      <c r="I4814">
        <f>IF(A4814="","",IF(AND(E4814&gt;=4,F4814&gt;=4,G4814&gt;=4),"Juara",IF(AND(F4814&gt;=4,E4814&gt;=3),"Setia",IF(AND(E4814=5,F4814&lt;=2,G4814&gt;=3),"Berpotensi",IF(AND(E4814&lt;=3,E4814&gt;=2,F4814&gt;=3),"Rawan",IF(AND(E4814&lt;=2,F4814&lt;=2),"Tidur","Umum"))))))</f>
        <v/>
      </c>
    </row>
    <row r="4815">
      <c r="B4815">
        <f>IF(A4815="","",$B$1-MAXIFS(Donasi!$A$2:$A$20000,Donasi!$B$2:$B$20000,A4815))</f>
        <v/>
      </c>
      <c r="C4815">
        <f>IF(A4815="","",COUNTIF(Donasi!$B$2:$B$20000,A4815))</f>
        <v/>
      </c>
      <c r="D4815">
        <f>IF(A4815="","",SUMIF(Donasi!$B$2:$B$20000,A4815,Donasi!$C$2:$C$20000))</f>
        <v/>
      </c>
      <c r="E4815">
        <f>IF(A4815="","",6-CEILING(PERCENTRANK.INC($B$3:$B$6000,B4815,4)*5+0.000001,1))</f>
        <v/>
      </c>
      <c r="F4815">
        <f>IF(A4815="","",MAX(1,CEILING(PERCENTRANK.INC($C$3:$C$6000,C4815,4)*5+0.000001,1)))</f>
        <v/>
      </c>
      <c r="G4815">
        <f>IF(A4815="","",MAX(1,CEILING(PERCENTRANK.INC($D$3:$D$6000,D4815,4)*5+0.000001,1)))</f>
        <v/>
      </c>
      <c r="H4815">
        <f>IF(A4815="","",E4815&amp;F4815&amp;G4815)</f>
        <v/>
      </c>
      <c r="I4815">
        <f>IF(A4815="","",IF(AND(E4815&gt;=4,F4815&gt;=4,G4815&gt;=4),"Juara",IF(AND(F4815&gt;=4,E4815&gt;=3),"Setia",IF(AND(E4815=5,F4815&lt;=2,G4815&gt;=3),"Berpotensi",IF(AND(E4815&lt;=3,E4815&gt;=2,F4815&gt;=3),"Rawan",IF(AND(E4815&lt;=2,F4815&lt;=2),"Tidur","Umum"))))))</f>
        <v/>
      </c>
    </row>
    <row r="4816">
      <c r="B4816">
        <f>IF(A4816="","",$B$1-MAXIFS(Donasi!$A$2:$A$20000,Donasi!$B$2:$B$20000,A4816))</f>
        <v/>
      </c>
      <c r="C4816">
        <f>IF(A4816="","",COUNTIF(Donasi!$B$2:$B$20000,A4816))</f>
        <v/>
      </c>
      <c r="D4816">
        <f>IF(A4816="","",SUMIF(Donasi!$B$2:$B$20000,A4816,Donasi!$C$2:$C$20000))</f>
        <v/>
      </c>
      <c r="E4816">
        <f>IF(A4816="","",6-CEILING(PERCENTRANK.INC($B$3:$B$6000,B4816,4)*5+0.000001,1))</f>
        <v/>
      </c>
      <c r="F4816">
        <f>IF(A4816="","",MAX(1,CEILING(PERCENTRANK.INC($C$3:$C$6000,C4816,4)*5+0.000001,1)))</f>
        <v/>
      </c>
      <c r="G4816">
        <f>IF(A4816="","",MAX(1,CEILING(PERCENTRANK.INC($D$3:$D$6000,D4816,4)*5+0.000001,1)))</f>
        <v/>
      </c>
      <c r="H4816">
        <f>IF(A4816="","",E4816&amp;F4816&amp;G4816)</f>
        <v/>
      </c>
      <c r="I4816">
        <f>IF(A4816="","",IF(AND(E4816&gt;=4,F4816&gt;=4,G4816&gt;=4),"Juara",IF(AND(F4816&gt;=4,E4816&gt;=3),"Setia",IF(AND(E4816=5,F4816&lt;=2,G4816&gt;=3),"Berpotensi",IF(AND(E4816&lt;=3,E4816&gt;=2,F4816&gt;=3),"Rawan",IF(AND(E4816&lt;=2,F4816&lt;=2),"Tidur","Umum"))))))</f>
        <v/>
      </c>
    </row>
    <row r="4817">
      <c r="B4817">
        <f>IF(A4817="","",$B$1-MAXIFS(Donasi!$A$2:$A$20000,Donasi!$B$2:$B$20000,A4817))</f>
        <v/>
      </c>
      <c r="C4817">
        <f>IF(A4817="","",COUNTIF(Donasi!$B$2:$B$20000,A4817))</f>
        <v/>
      </c>
      <c r="D4817">
        <f>IF(A4817="","",SUMIF(Donasi!$B$2:$B$20000,A4817,Donasi!$C$2:$C$20000))</f>
        <v/>
      </c>
      <c r="E4817">
        <f>IF(A4817="","",6-CEILING(PERCENTRANK.INC($B$3:$B$6000,B4817,4)*5+0.000001,1))</f>
        <v/>
      </c>
      <c r="F4817">
        <f>IF(A4817="","",MAX(1,CEILING(PERCENTRANK.INC($C$3:$C$6000,C4817,4)*5+0.000001,1)))</f>
        <v/>
      </c>
      <c r="G4817">
        <f>IF(A4817="","",MAX(1,CEILING(PERCENTRANK.INC($D$3:$D$6000,D4817,4)*5+0.000001,1)))</f>
        <v/>
      </c>
      <c r="H4817">
        <f>IF(A4817="","",E4817&amp;F4817&amp;G4817)</f>
        <v/>
      </c>
      <c r="I4817">
        <f>IF(A4817="","",IF(AND(E4817&gt;=4,F4817&gt;=4,G4817&gt;=4),"Juara",IF(AND(F4817&gt;=4,E4817&gt;=3),"Setia",IF(AND(E4817=5,F4817&lt;=2,G4817&gt;=3),"Berpotensi",IF(AND(E4817&lt;=3,E4817&gt;=2,F4817&gt;=3),"Rawan",IF(AND(E4817&lt;=2,F4817&lt;=2),"Tidur","Umum"))))))</f>
        <v/>
      </c>
    </row>
    <row r="4818">
      <c r="B4818">
        <f>IF(A4818="","",$B$1-MAXIFS(Donasi!$A$2:$A$20000,Donasi!$B$2:$B$20000,A4818))</f>
        <v/>
      </c>
      <c r="C4818">
        <f>IF(A4818="","",COUNTIF(Donasi!$B$2:$B$20000,A4818))</f>
        <v/>
      </c>
      <c r="D4818">
        <f>IF(A4818="","",SUMIF(Donasi!$B$2:$B$20000,A4818,Donasi!$C$2:$C$20000))</f>
        <v/>
      </c>
      <c r="E4818">
        <f>IF(A4818="","",6-CEILING(PERCENTRANK.INC($B$3:$B$6000,B4818,4)*5+0.000001,1))</f>
        <v/>
      </c>
      <c r="F4818">
        <f>IF(A4818="","",MAX(1,CEILING(PERCENTRANK.INC($C$3:$C$6000,C4818,4)*5+0.000001,1)))</f>
        <v/>
      </c>
      <c r="G4818">
        <f>IF(A4818="","",MAX(1,CEILING(PERCENTRANK.INC($D$3:$D$6000,D4818,4)*5+0.000001,1)))</f>
        <v/>
      </c>
      <c r="H4818">
        <f>IF(A4818="","",E4818&amp;F4818&amp;G4818)</f>
        <v/>
      </c>
      <c r="I4818">
        <f>IF(A4818="","",IF(AND(E4818&gt;=4,F4818&gt;=4,G4818&gt;=4),"Juara",IF(AND(F4818&gt;=4,E4818&gt;=3),"Setia",IF(AND(E4818=5,F4818&lt;=2,G4818&gt;=3),"Berpotensi",IF(AND(E4818&lt;=3,E4818&gt;=2,F4818&gt;=3),"Rawan",IF(AND(E4818&lt;=2,F4818&lt;=2),"Tidur","Umum"))))))</f>
        <v/>
      </c>
    </row>
    <row r="4819">
      <c r="B4819">
        <f>IF(A4819="","",$B$1-MAXIFS(Donasi!$A$2:$A$20000,Donasi!$B$2:$B$20000,A4819))</f>
        <v/>
      </c>
      <c r="C4819">
        <f>IF(A4819="","",COUNTIF(Donasi!$B$2:$B$20000,A4819))</f>
        <v/>
      </c>
      <c r="D4819">
        <f>IF(A4819="","",SUMIF(Donasi!$B$2:$B$20000,A4819,Donasi!$C$2:$C$20000))</f>
        <v/>
      </c>
      <c r="E4819">
        <f>IF(A4819="","",6-CEILING(PERCENTRANK.INC($B$3:$B$6000,B4819,4)*5+0.000001,1))</f>
        <v/>
      </c>
      <c r="F4819">
        <f>IF(A4819="","",MAX(1,CEILING(PERCENTRANK.INC($C$3:$C$6000,C4819,4)*5+0.000001,1)))</f>
        <v/>
      </c>
      <c r="G4819">
        <f>IF(A4819="","",MAX(1,CEILING(PERCENTRANK.INC($D$3:$D$6000,D4819,4)*5+0.000001,1)))</f>
        <v/>
      </c>
      <c r="H4819">
        <f>IF(A4819="","",E4819&amp;F4819&amp;G4819)</f>
        <v/>
      </c>
      <c r="I4819">
        <f>IF(A4819="","",IF(AND(E4819&gt;=4,F4819&gt;=4,G4819&gt;=4),"Juara",IF(AND(F4819&gt;=4,E4819&gt;=3),"Setia",IF(AND(E4819=5,F4819&lt;=2,G4819&gt;=3),"Berpotensi",IF(AND(E4819&lt;=3,E4819&gt;=2,F4819&gt;=3),"Rawan",IF(AND(E4819&lt;=2,F4819&lt;=2),"Tidur","Umum"))))))</f>
        <v/>
      </c>
    </row>
    <row r="4820">
      <c r="B4820">
        <f>IF(A4820="","",$B$1-MAXIFS(Donasi!$A$2:$A$20000,Donasi!$B$2:$B$20000,A4820))</f>
        <v/>
      </c>
      <c r="C4820">
        <f>IF(A4820="","",COUNTIF(Donasi!$B$2:$B$20000,A4820))</f>
        <v/>
      </c>
      <c r="D4820">
        <f>IF(A4820="","",SUMIF(Donasi!$B$2:$B$20000,A4820,Donasi!$C$2:$C$20000))</f>
        <v/>
      </c>
      <c r="E4820">
        <f>IF(A4820="","",6-CEILING(PERCENTRANK.INC($B$3:$B$6000,B4820,4)*5+0.000001,1))</f>
        <v/>
      </c>
      <c r="F4820">
        <f>IF(A4820="","",MAX(1,CEILING(PERCENTRANK.INC($C$3:$C$6000,C4820,4)*5+0.000001,1)))</f>
        <v/>
      </c>
      <c r="G4820">
        <f>IF(A4820="","",MAX(1,CEILING(PERCENTRANK.INC($D$3:$D$6000,D4820,4)*5+0.000001,1)))</f>
        <v/>
      </c>
      <c r="H4820">
        <f>IF(A4820="","",E4820&amp;F4820&amp;G4820)</f>
        <v/>
      </c>
      <c r="I4820">
        <f>IF(A4820="","",IF(AND(E4820&gt;=4,F4820&gt;=4,G4820&gt;=4),"Juara",IF(AND(F4820&gt;=4,E4820&gt;=3),"Setia",IF(AND(E4820=5,F4820&lt;=2,G4820&gt;=3),"Berpotensi",IF(AND(E4820&lt;=3,E4820&gt;=2,F4820&gt;=3),"Rawan",IF(AND(E4820&lt;=2,F4820&lt;=2),"Tidur","Umum"))))))</f>
        <v/>
      </c>
    </row>
    <row r="4821">
      <c r="B4821">
        <f>IF(A4821="","",$B$1-MAXIFS(Donasi!$A$2:$A$20000,Donasi!$B$2:$B$20000,A4821))</f>
        <v/>
      </c>
      <c r="C4821">
        <f>IF(A4821="","",COUNTIF(Donasi!$B$2:$B$20000,A4821))</f>
        <v/>
      </c>
      <c r="D4821">
        <f>IF(A4821="","",SUMIF(Donasi!$B$2:$B$20000,A4821,Donasi!$C$2:$C$20000))</f>
        <v/>
      </c>
      <c r="E4821">
        <f>IF(A4821="","",6-CEILING(PERCENTRANK.INC($B$3:$B$6000,B4821,4)*5+0.000001,1))</f>
        <v/>
      </c>
      <c r="F4821">
        <f>IF(A4821="","",MAX(1,CEILING(PERCENTRANK.INC($C$3:$C$6000,C4821,4)*5+0.000001,1)))</f>
        <v/>
      </c>
      <c r="G4821">
        <f>IF(A4821="","",MAX(1,CEILING(PERCENTRANK.INC($D$3:$D$6000,D4821,4)*5+0.000001,1)))</f>
        <v/>
      </c>
      <c r="H4821">
        <f>IF(A4821="","",E4821&amp;F4821&amp;G4821)</f>
        <v/>
      </c>
      <c r="I4821">
        <f>IF(A4821="","",IF(AND(E4821&gt;=4,F4821&gt;=4,G4821&gt;=4),"Juara",IF(AND(F4821&gt;=4,E4821&gt;=3),"Setia",IF(AND(E4821=5,F4821&lt;=2,G4821&gt;=3),"Berpotensi",IF(AND(E4821&lt;=3,E4821&gt;=2,F4821&gt;=3),"Rawan",IF(AND(E4821&lt;=2,F4821&lt;=2),"Tidur","Umum"))))))</f>
        <v/>
      </c>
    </row>
    <row r="4822">
      <c r="B4822">
        <f>IF(A4822="","",$B$1-MAXIFS(Donasi!$A$2:$A$20000,Donasi!$B$2:$B$20000,A4822))</f>
        <v/>
      </c>
      <c r="C4822">
        <f>IF(A4822="","",COUNTIF(Donasi!$B$2:$B$20000,A4822))</f>
        <v/>
      </c>
      <c r="D4822">
        <f>IF(A4822="","",SUMIF(Donasi!$B$2:$B$20000,A4822,Donasi!$C$2:$C$20000))</f>
        <v/>
      </c>
      <c r="E4822">
        <f>IF(A4822="","",6-CEILING(PERCENTRANK.INC($B$3:$B$6000,B4822,4)*5+0.000001,1))</f>
        <v/>
      </c>
      <c r="F4822">
        <f>IF(A4822="","",MAX(1,CEILING(PERCENTRANK.INC($C$3:$C$6000,C4822,4)*5+0.000001,1)))</f>
        <v/>
      </c>
      <c r="G4822">
        <f>IF(A4822="","",MAX(1,CEILING(PERCENTRANK.INC($D$3:$D$6000,D4822,4)*5+0.000001,1)))</f>
        <v/>
      </c>
      <c r="H4822">
        <f>IF(A4822="","",E4822&amp;F4822&amp;G4822)</f>
        <v/>
      </c>
      <c r="I4822">
        <f>IF(A4822="","",IF(AND(E4822&gt;=4,F4822&gt;=4,G4822&gt;=4),"Juara",IF(AND(F4822&gt;=4,E4822&gt;=3),"Setia",IF(AND(E4822=5,F4822&lt;=2,G4822&gt;=3),"Berpotensi",IF(AND(E4822&lt;=3,E4822&gt;=2,F4822&gt;=3),"Rawan",IF(AND(E4822&lt;=2,F4822&lt;=2),"Tidur","Umum"))))))</f>
        <v/>
      </c>
    </row>
    <row r="4823">
      <c r="B4823">
        <f>IF(A4823="","",$B$1-MAXIFS(Donasi!$A$2:$A$20000,Donasi!$B$2:$B$20000,A4823))</f>
        <v/>
      </c>
      <c r="C4823">
        <f>IF(A4823="","",COUNTIF(Donasi!$B$2:$B$20000,A4823))</f>
        <v/>
      </c>
      <c r="D4823">
        <f>IF(A4823="","",SUMIF(Donasi!$B$2:$B$20000,A4823,Donasi!$C$2:$C$20000))</f>
        <v/>
      </c>
      <c r="E4823">
        <f>IF(A4823="","",6-CEILING(PERCENTRANK.INC($B$3:$B$6000,B4823,4)*5+0.000001,1))</f>
        <v/>
      </c>
      <c r="F4823">
        <f>IF(A4823="","",MAX(1,CEILING(PERCENTRANK.INC($C$3:$C$6000,C4823,4)*5+0.000001,1)))</f>
        <v/>
      </c>
      <c r="G4823">
        <f>IF(A4823="","",MAX(1,CEILING(PERCENTRANK.INC($D$3:$D$6000,D4823,4)*5+0.000001,1)))</f>
        <v/>
      </c>
      <c r="H4823">
        <f>IF(A4823="","",E4823&amp;F4823&amp;G4823)</f>
        <v/>
      </c>
      <c r="I4823">
        <f>IF(A4823="","",IF(AND(E4823&gt;=4,F4823&gt;=4,G4823&gt;=4),"Juara",IF(AND(F4823&gt;=4,E4823&gt;=3),"Setia",IF(AND(E4823=5,F4823&lt;=2,G4823&gt;=3),"Berpotensi",IF(AND(E4823&lt;=3,E4823&gt;=2,F4823&gt;=3),"Rawan",IF(AND(E4823&lt;=2,F4823&lt;=2),"Tidur","Umum"))))))</f>
        <v/>
      </c>
    </row>
    <row r="4824">
      <c r="B4824">
        <f>IF(A4824="","",$B$1-MAXIFS(Donasi!$A$2:$A$20000,Donasi!$B$2:$B$20000,A4824))</f>
        <v/>
      </c>
      <c r="C4824">
        <f>IF(A4824="","",COUNTIF(Donasi!$B$2:$B$20000,A4824))</f>
        <v/>
      </c>
      <c r="D4824">
        <f>IF(A4824="","",SUMIF(Donasi!$B$2:$B$20000,A4824,Donasi!$C$2:$C$20000))</f>
        <v/>
      </c>
      <c r="E4824">
        <f>IF(A4824="","",6-CEILING(PERCENTRANK.INC($B$3:$B$6000,B4824,4)*5+0.000001,1))</f>
        <v/>
      </c>
      <c r="F4824">
        <f>IF(A4824="","",MAX(1,CEILING(PERCENTRANK.INC($C$3:$C$6000,C4824,4)*5+0.000001,1)))</f>
        <v/>
      </c>
      <c r="G4824">
        <f>IF(A4824="","",MAX(1,CEILING(PERCENTRANK.INC($D$3:$D$6000,D4824,4)*5+0.000001,1)))</f>
        <v/>
      </c>
      <c r="H4824">
        <f>IF(A4824="","",E4824&amp;F4824&amp;G4824)</f>
        <v/>
      </c>
      <c r="I4824">
        <f>IF(A4824="","",IF(AND(E4824&gt;=4,F4824&gt;=4,G4824&gt;=4),"Juara",IF(AND(F4824&gt;=4,E4824&gt;=3),"Setia",IF(AND(E4824=5,F4824&lt;=2,G4824&gt;=3),"Berpotensi",IF(AND(E4824&lt;=3,E4824&gt;=2,F4824&gt;=3),"Rawan",IF(AND(E4824&lt;=2,F4824&lt;=2),"Tidur","Umum"))))))</f>
        <v/>
      </c>
    </row>
    <row r="4825">
      <c r="B4825">
        <f>IF(A4825="","",$B$1-MAXIFS(Donasi!$A$2:$A$20000,Donasi!$B$2:$B$20000,A4825))</f>
        <v/>
      </c>
      <c r="C4825">
        <f>IF(A4825="","",COUNTIF(Donasi!$B$2:$B$20000,A4825))</f>
        <v/>
      </c>
      <c r="D4825">
        <f>IF(A4825="","",SUMIF(Donasi!$B$2:$B$20000,A4825,Donasi!$C$2:$C$20000))</f>
        <v/>
      </c>
      <c r="E4825">
        <f>IF(A4825="","",6-CEILING(PERCENTRANK.INC($B$3:$B$6000,B4825,4)*5+0.000001,1))</f>
        <v/>
      </c>
      <c r="F4825">
        <f>IF(A4825="","",MAX(1,CEILING(PERCENTRANK.INC($C$3:$C$6000,C4825,4)*5+0.000001,1)))</f>
        <v/>
      </c>
      <c r="G4825">
        <f>IF(A4825="","",MAX(1,CEILING(PERCENTRANK.INC($D$3:$D$6000,D4825,4)*5+0.000001,1)))</f>
        <v/>
      </c>
      <c r="H4825">
        <f>IF(A4825="","",E4825&amp;F4825&amp;G4825)</f>
        <v/>
      </c>
      <c r="I4825">
        <f>IF(A4825="","",IF(AND(E4825&gt;=4,F4825&gt;=4,G4825&gt;=4),"Juara",IF(AND(F4825&gt;=4,E4825&gt;=3),"Setia",IF(AND(E4825=5,F4825&lt;=2,G4825&gt;=3),"Berpotensi",IF(AND(E4825&lt;=3,E4825&gt;=2,F4825&gt;=3),"Rawan",IF(AND(E4825&lt;=2,F4825&lt;=2),"Tidur","Umum"))))))</f>
        <v/>
      </c>
    </row>
    <row r="4826">
      <c r="B4826">
        <f>IF(A4826="","",$B$1-MAXIFS(Donasi!$A$2:$A$20000,Donasi!$B$2:$B$20000,A4826))</f>
        <v/>
      </c>
      <c r="C4826">
        <f>IF(A4826="","",COUNTIF(Donasi!$B$2:$B$20000,A4826))</f>
        <v/>
      </c>
      <c r="D4826">
        <f>IF(A4826="","",SUMIF(Donasi!$B$2:$B$20000,A4826,Donasi!$C$2:$C$20000))</f>
        <v/>
      </c>
      <c r="E4826">
        <f>IF(A4826="","",6-CEILING(PERCENTRANK.INC($B$3:$B$6000,B4826,4)*5+0.000001,1))</f>
        <v/>
      </c>
      <c r="F4826">
        <f>IF(A4826="","",MAX(1,CEILING(PERCENTRANK.INC($C$3:$C$6000,C4826,4)*5+0.000001,1)))</f>
        <v/>
      </c>
      <c r="G4826">
        <f>IF(A4826="","",MAX(1,CEILING(PERCENTRANK.INC($D$3:$D$6000,D4826,4)*5+0.000001,1)))</f>
        <v/>
      </c>
      <c r="H4826">
        <f>IF(A4826="","",E4826&amp;F4826&amp;G4826)</f>
        <v/>
      </c>
      <c r="I4826">
        <f>IF(A4826="","",IF(AND(E4826&gt;=4,F4826&gt;=4,G4826&gt;=4),"Juara",IF(AND(F4826&gt;=4,E4826&gt;=3),"Setia",IF(AND(E4826=5,F4826&lt;=2,G4826&gt;=3),"Berpotensi",IF(AND(E4826&lt;=3,E4826&gt;=2,F4826&gt;=3),"Rawan",IF(AND(E4826&lt;=2,F4826&lt;=2),"Tidur","Umum"))))))</f>
        <v/>
      </c>
    </row>
    <row r="4827">
      <c r="B4827">
        <f>IF(A4827="","",$B$1-MAXIFS(Donasi!$A$2:$A$20000,Donasi!$B$2:$B$20000,A4827))</f>
        <v/>
      </c>
      <c r="C4827">
        <f>IF(A4827="","",COUNTIF(Donasi!$B$2:$B$20000,A4827))</f>
        <v/>
      </c>
      <c r="D4827">
        <f>IF(A4827="","",SUMIF(Donasi!$B$2:$B$20000,A4827,Donasi!$C$2:$C$20000))</f>
        <v/>
      </c>
      <c r="E4827">
        <f>IF(A4827="","",6-CEILING(PERCENTRANK.INC($B$3:$B$6000,B4827,4)*5+0.000001,1))</f>
        <v/>
      </c>
      <c r="F4827">
        <f>IF(A4827="","",MAX(1,CEILING(PERCENTRANK.INC($C$3:$C$6000,C4827,4)*5+0.000001,1)))</f>
        <v/>
      </c>
      <c r="G4827">
        <f>IF(A4827="","",MAX(1,CEILING(PERCENTRANK.INC($D$3:$D$6000,D4827,4)*5+0.000001,1)))</f>
        <v/>
      </c>
      <c r="H4827">
        <f>IF(A4827="","",E4827&amp;F4827&amp;G4827)</f>
        <v/>
      </c>
      <c r="I4827">
        <f>IF(A4827="","",IF(AND(E4827&gt;=4,F4827&gt;=4,G4827&gt;=4),"Juara",IF(AND(F4827&gt;=4,E4827&gt;=3),"Setia",IF(AND(E4827=5,F4827&lt;=2,G4827&gt;=3),"Berpotensi",IF(AND(E4827&lt;=3,E4827&gt;=2,F4827&gt;=3),"Rawan",IF(AND(E4827&lt;=2,F4827&lt;=2),"Tidur","Umum"))))))</f>
        <v/>
      </c>
    </row>
    <row r="4828">
      <c r="B4828">
        <f>IF(A4828="","",$B$1-MAXIFS(Donasi!$A$2:$A$20000,Donasi!$B$2:$B$20000,A4828))</f>
        <v/>
      </c>
      <c r="C4828">
        <f>IF(A4828="","",COUNTIF(Donasi!$B$2:$B$20000,A4828))</f>
        <v/>
      </c>
      <c r="D4828">
        <f>IF(A4828="","",SUMIF(Donasi!$B$2:$B$20000,A4828,Donasi!$C$2:$C$20000))</f>
        <v/>
      </c>
      <c r="E4828">
        <f>IF(A4828="","",6-CEILING(PERCENTRANK.INC($B$3:$B$6000,B4828,4)*5+0.000001,1))</f>
        <v/>
      </c>
      <c r="F4828">
        <f>IF(A4828="","",MAX(1,CEILING(PERCENTRANK.INC($C$3:$C$6000,C4828,4)*5+0.000001,1)))</f>
        <v/>
      </c>
      <c r="G4828">
        <f>IF(A4828="","",MAX(1,CEILING(PERCENTRANK.INC($D$3:$D$6000,D4828,4)*5+0.000001,1)))</f>
        <v/>
      </c>
      <c r="H4828">
        <f>IF(A4828="","",E4828&amp;F4828&amp;G4828)</f>
        <v/>
      </c>
      <c r="I4828">
        <f>IF(A4828="","",IF(AND(E4828&gt;=4,F4828&gt;=4,G4828&gt;=4),"Juara",IF(AND(F4828&gt;=4,E4828&gt;=3),"Setia",IF(AND(E4828=5,F4828&lt;=2,G4828&gt;=3),"Berpotensi",IF(AND(E4828&lt;=3,E4828&gt;=2,F4828&gt;=3),"Rawan",IF(AND(E4828&lt;=2,F4828&lt;=2),"Tidur","Umum"))))))</f>
        <v/>
      </c>
    </row>
    <row r="4829">
      <c r="B4829">
        <f>IF(A4829="","",$B$1-MAXIFS(Donasi!$A$2:$A$20000,Donasi!$B$2:$B$20000,A4829))</f>
        <v/>
      </c>
      <c r="C4829">
        <f>IF(A4829="","",COUNTIF(Donasi!$B$2:$B$20000,A4829))</f>
        <v/>
      </c>
      <c r="D4829">
        <f>IF(A4829="","",SUMIF(Donasi!$B$2:$B$20000,A4829,Donasi!$C$2:$C$20000))</f>
        <v/>
      </c>
      <c r="E4829">
        <f>IF(A4829="","",6-CEILING(PERCENTRANK.INC($B$3:$B$6000,B4829,4)*5+0.000001,1))</f>
        <v/>
      </c>
      <c r="F4829">
        <f>IF(A4829="","",MAX(1,CEILING(PERCENTRANK.INC($C$3:$C$6000,C4829,4)*5+0.000001,1)))</f>
        <v/>
      </c>
      <c r="G4829">
        <f>IF(A4829="","",MAX(1,CEILING(PERCENTRANK.INC($D$3:$D$6000,D4829,4)*5+0.000001,1)))</f>
        <v/>
      </c>
      <c r="H4829">
        <f>IF(A4829="","",E4829&amp;F4829&amp;G4829)</f>
        <v/>
      </c>
      <c r="I4829">
        <f>IF(A4829="","",IF(AND(E4829&gt;=4,F4829&gt;=4,G4829&gt;=4),"Juara",IF(AND(F4829&gt;=4,E4829&gt;=3),"Setia",IF(AND(E4829=5,F4829&lt;=2,G4829&gt;=3),"Berpotensi",IF(AND(E4829&lt;=3,E4829&gt;=2,F4829&gt;=3),"Rawan",IF(AND(E4829&lt;=2,F4829&lt;=2),"Tidur","Umum"))))))</f>
        <v/>
      </c>
    </row>
    <row r="4830">
      <c r="B4830">
        <f>IF(A4830="","",$B$1-MAXIFS(Donasi!$A$2:$A$20000,Donasi!$B$2:$B$20000,A4830))</f>
        <v/>
      </c>
      <c r="C4830">
        <f>IF(A4830="","",COUNTIF(Donasi!$B$2:$B$20000,A4830))</f>
        <v/>
      </c>
      <c r="D4830">
        <f>IF(A4830="","",SUMIF(Donasi!$B$2:$B$20000,A4830,Donasi!$C$2:$C$20000))</f>
        <v/>
      </c>
      <c r="E4830">
        <f>IF(A4830="","",6-CEILING(PERCENTRANK.INC($B$3:$B$6000,B4830,4)*5+0.000001,1))</f>
        <v/>
      </c>
      <c r="F4830">
        <f>IF(A4830="","",MAX(1,CEILING(PERCENTRANK.INC($C$3:$C$6000,C4830,4)*5+0.000001,1)))</f>
        <v/>
      </c>
      <c r="G4830">
        <f>IF(A4830="","",MAX(1,CEILING(PERCENTRANK.INC($D$3:$D$6000,D4830,4)*5+0.000001,1)))</f>
        <v/>
      </c>
      <c r="H4830">
        <f>IF(A4830="","",E4830&amp;F4830&amp;G4830)</f>
        <v/>
      </c>
      <c r="I4830">
        <f>IF(A4830="","",IF(AND(E4830&gt;=4,F4830&gt;=4,G4830&gt;=4),"Juara",IF(AND(F4830&gt;=4,E4830&gt;=3),"Setia",IF(AND(E4830=5,F4830&lt;=2,G4830&gt;=3),"Berpotensi",IF(AND(E4830&lt;=3,E4830&gt;=2,F4830&gt;=3),"Rawan",IF(AND(E4830&lt;=2,F4830&lt;=2),"Tidur","Umum"))))))</f>
        <v/>
      </c>
    </row>
    <row r="4831">
      <c r="B4831">
        <f>IF(A4831="","",$B$1-MAXIFS(Donasi!$A$2:$A$20000,Donasi!$B$2:$B$20000,A4831))</f>
        <v/>
      </c>
      <c r="C4831">
        <f>IF(A4831="","",COUNTIF(Donasi!$B$2:$B$20000,A4831))</f>
        <v/>
      </c>
      <c r="D4831">
        <f>IF(A4831="","",SUMIF(Donasi!$B$2:$B$20000,A4831,Donasi!$C$2:$C$20000))</f>
        <v/>
      </c>
      <c r="E4831">
        <f>IF(A4831="","",6-CEILING(PERCENTRANK.INC($B$3:$B$6000,B4831,4)*5+0.000001,1))</f>
        <v/>
      </c>
      <c r="F4831">
        <f>IF(A4831="","",MAX(1,CEILING(PERCENTRANK.INC($C$3:$C$6000,C4831,4)*5+0.000001,1)))</f>
        <v/>
      </c>
      <c r="G4831">
        <f>IF(A4831="","",MAX(1,CEILING(PERCENTRANK.INC($D$3:$D$6000,D4831,4)*5+0.000001,1)))</f>
        <v/>
      </c>
      <c r="H4831">
        <f>IF(A4831="","",E4831&amp;F4831&amp;G4831)</f>
        <v/>
      </c>
      <c r="I4831">
        <f>IF(A4831="","",IF(AND(E4831&gt;=4,F4831&gt;=4,G4831&gt;=4),"Juara",IF(AND(F4831&gt;=4,E4831&gt;=3),"Setia",IF(AND(E4831=5,F4831&lt;=2,G4831&gt;=3),"Berpotensi",IF(AND(E4831&lt;=3,E4831&gt;=2,F4831&gt;=3),"Rawan",IF(AND(E4831&lt;=2,F4831&lt;=2),"Tidur","Umum"))))))</f>
        <v/>
      </c>
    </row>
    <row r="4832">
      <c r="B4832">
        <f>IF(A4832="","",$B$1-MAXIFS(Donasi!$A$2:$A$20000,Donasi!$B$2:$B$20000,A4832))</f>
        <v/>
      </c>
      <c r="C4832">
        <f>IF(A4832="","",COUNTIF(Donasi!$B$2:$B$20000,A4832))</f>
        <v/>
      </c>
      <c r="D4832">
        <f>IF(A4832="","",SUMIF(Donasi!$B$2:$B$20000,A4832,Donasi!$C$2:$C$20000))</f>
        <v/>
      </c>
      <c r="E4832">
        <f>IF(A4832="","",6-CEILING(PERCENTRANK.INC($B$3:$B$6000,B4832,4)*5+0.000001,1))</f>
        <v/>
      </c>
      <c r="F4832">
        <f>IF(A4832="","",MAX(1,CEILING(PERCENTRANK.INC($C$3:$C$6000,C4832,4)*5+0.000001,1)))</f>
        <v/>
      </c>
      <c r="G4832">
        <f>IF(A4832="","",MAX(1,CEILING(PERCENTRANK.INC($D$3:$D$6000,D4832,4)*5+0.000001,1)))</f>
        <v/>
      </c>
      <c r="H4832">
        <f>IF(A4832="","",E4832&amp;F4832&amp;G4832)</f>
        <v/>
      </c>
      <c r="I4832">
        <f>IF(A4832="","",IF(AND(E4832&gt;=4,F4832&gt;=4,G4832&gt;=4),"Juara",IF(AND(F4832&gt;=4,E4832&gt;=3),"Setia",IF(AND(E4832=5,F4832&lt;=2,G4832&gt;=3),"Berpotensi",IF(AND(E4832&lt;=3,E4832&gt;=2,F4832&gt;=3),"Rawan",IF(AND(E4832&lt;=2,F4832&lt;=2),"Tidur","Umum"))))))</f>
        <v/>
      </c>
    </row>
    <row r="4833">
      <c r="B4833">
        <f>IF(A4833="","",$B$1-MAXIFS(Donasi!$A$2:$A$20000,Donasi!$B$2:$B$20000,A4833))</f>
        <v/>
      </c>
      <c r="C4833">
        <f>IF(A4833="","",COUNTIF(Donasi!$B$2:$B$20000,A4833))</f>
        <v/>
      </c>
      <c r="D4833">
        <f>IF(A4833="","",SUMIF(Donasi!$B$2:$B$20000,A4833,Donasi!$C$2:$C$20000))</f>
        <v/>
      </c>
      <c r="E4833">
        <f>IF(A4833="","",6-CEILING(PERCENTRANK.INC($B$3:$B$6000,B4833,4)*5+0.000001,1))</f>
        <v/>
      </c>
      <c r="F4833">
        <f>IF(A4833="","",MAX(1,CEILING(PERCENTRANK.INC($C$3:$C$6000,C4833,4)*5+0.000001,1)))</f>
        <v/>
      </c>
      <c r="G4833">
        <f>IF(A4833="","",MAX(1,CEILING(PERCENTRANK.INC($D$3:$D$6000,D4833,4)*5+0.000001,1)))</f>
        <v/>
      </c>
      <c r="H4833">
        <f>IF(A4833="","",E4833&amp;F4833&amp;G4833)</f>
        <v/>
      </c>
      <c r="I4833">
        <f>IF(A4833="","",IF(AND(E4833&gt;=4,F4833&gt;=4,G4833&gt;=4),"Juara",IF(AND(F4833&gt;=4,E4833&gt;=3),"Setia",IF(AND(E4833=5,F4833&lt;=2,G4833&gt;=3),"Berpotensi",IF(AND(E4833&lt;=3,E4833&gt;=2,F4833&gt;=3),"Rawan",IF(AND(E4833&lt;=2,F4833&lt;=2),"Tidur","Umum"))))))</f>
        <v/>
      </c>
    </row>
    <row r="4834">
      <c r="B4834">
        <f>IF(A4834="","",$B$1-MAXIFS(Donasi!$A$2:$A$20000,Donasi!$B$2:$B$20000,A4834))</f>
        <v/>
      </c>
      <c r="C4834">
        <f>IF(A4834="","",COUNTIF(Donasi!$B$2:$B$20000,A4834))</f>
        <v/>
      </c>
      <c r="D4834">
        <f>IF(A4834="","",SUMIF(Donasi!$B$2:$B$20000,A4834,Donasi!$C$2:$C$20000))</f>
        <v/>
      </c>
      <c r="E4834">
        <f>IF(A4834="","",6-CEILING(PERCENTRANK.INC($B$3:$B$6000,B4834,4)*5+0.000001,1))</f>
        <v/>
      </c>
      <c r="F4834">
        <f>IF(A4834="","",MAX(1,CEILING(PERCENTRANK.INC($C$3:$C$6000,C4834,4)*5+0.000001,1)))</f>
        <v/>
      </c>
      <c r="G4834">
        <f>IF(A4834="","",MAX(1,CEILING(PERCENTRANK.INC($D$3:$D$6000,D4834,4)*5+0.000001,1)))</f>
        <v/>
      </c>
      <c r="H4834">
        <f>IF(A4834="","",E4834&amp;F4834&amp;G4834)</f>
        <v/>
      </c>
      <c r="I4834">
        <f>IF(A4834="","",IF(AND(E4834&gt;=4,F4834&gt;=4,G4834&gt;=4),"Juara",IF(AND(F4834&gt;=4,E4834&gt;=3),"Setia",IF(AND(E4834=5,F4834&lt;=2,G4834&gt;=3),"Berpotensi",IF(AND(E4834&lt;=3,E4834&gt;=2,F4834&gt;=3),"Rawan",IF(AND(E4834&lt;=2,F4834&lt;=2),"Tidur","Umum"))))))</f>
        <v/>
      </c>
    </row>
    <row r="4835">
      <c r="B4835">
        <f>IF(A4835="","",$B$1-MAXIFS(Donasi!$A$2:$A$20000,Donasi!$B$2:$B$20000,A4835))</f>
        <v/>
      </c>
      <c r="C4835">
        <f>IF(A4835="","",COUNTIF(Donasi!$B$2:$B$20000,A4835))</f>
        <v/>
      </c>
      <c r="D4835">
        <f>IF(A4835="","",SUMIF(Donasi!$B$2:$B$20000,A4835,Donasi!$C$2:$C$20000))</f>
        <v/>
      </c>
      <c r="E4835">
        <f>IF(A4835="","",6-CEILING(PERCENTRANK.INC($B$3:$B$6000,B4835,4)*5+0.000001,1))</f>
        <v/>
      </c>
      <c r="F4835">
        <f>IF(A4835="","",MAX(1,CEILING(PERCENTRANK.INC($C$3:$C$6000,C4835,4)*5+0.000001,1)))</f>
        <v/>
      </c>
      <c r="G4835">
        <f>IF(A4835="","",MAX(1,CEILING(PERCENTRANK.INC($D$3:$D$6000,D4835,4)*5+0.000001,1)))</f>
        <v/>
      </c>
      <c r="H4835">
        <f>IF(A4835="","",E4835&amp;F4835&amp;G4835)</f>
        <v/>
      </c>
      <c r="I4835">
        <f>IF(A4835="","",IF(AND(E4835&gt;=4,F4835&gt;=4,G4835&gt;=4),"Juara",IF(AND(F4835&gt;=4,E4835&gt;=3),"Setia",IF(AND(E4835=5,F4835&lt;=2,G4835&gt;=3),"Berpotensi",IF(AND(E4835&lt;=3,E4835&gt;=2,F4835&gt;=3),"Rawan",IF(AND(E4835&lt;=2,F4835&lt;=2),"Tidur","Umum"))))))</f>
        <v/>
      </c>
    </row>
    <row r="4836">
      <c r="B4836">
        <f>IF(A4836="","",$B$1-MAXIFS(Donasi!$A$2:$A$20000,Donasi!$B$2:$B$20000,A4836))</f>
        <v/>
      </c>
      <c r="C4836">
        <f>IF(A4836="","",COUNTIF(Donasi!$B$2:$B$20000,A4836))</f>
        <v/>
      </c>
      <c r="D4836">
        <f>IF(A4836="","",SUMIF(Donasi!$B$2:$B$20000,A4836,Donasi!$C$2:$C$20000))</f>
        <v/>
      </c>
      <c r="E4836">
        <f>IF(A4836="","",6-CEILING(PERCENTRANK.INC($B$3:$B$6000,B4836,4)*5+0.000001,1))</f>
        <v/>
      </c>
      <c r="F4836">
        <f>IF(A4836="","",MAX(1,CEILING(PERCENTRANK.INC($C$3:$C$6000,C4836,4)*5+0.000001,1)))</f>
        <v/>
      </c>
      <c r="G4836">
        <f>IF(A4836="","",MAX(1,CEILING(PERCENTRANK.INC($D$3:$D$6000,D4836,4)*5+0.000001,1)))</f>
        <v/>
      </c>
      <c r="H4836">
        <f>IF(A4836="","",E4836&amp;F4836&amp;G4836)</f>
        <v/>
      </c>
      <c r="I4836">
        <f>IF(A4836="","",IF(AND(E4836&gt;=4,F4836&gt;=4,G4836&gt;=4),"Juara",IF(AND(F4836&gt;=4,E4836&gt;=3),"Setia",IF(AND(E4836=5,F4836&lt;=2,G4836&gt;=3),"Berpotensi",IF(AND(E4836&lt;=3,E4836&gt;=2,F4836&gt;=3),"Rawan",IF(AND(E4836&lt;=2,F4836&lt;=2),"Tidur","Umum"))))))</f>
        <v/>
      </c>
    </row>
    <row r="4837">
      <c r="B4837">
        <f>IF(A4837="","",$B$1-MAXIFS(Donasi!$A$2:$A$20000,Donasi!$B$2:$B$20000,A4837))</f>
        <v/>
      </c>
      <c r="C4837">
        <f>IF(A4837="","",COUNTIF(Donasi!$B$2:$B$20000,A4837))</f>
        <v/>
      </c>
      <c r="D4837">
        <f>IF(A4837="","",SUMIF(Donasi!$B$2:$B$20000,A4837,Donasi!$C$2:$C$20000))</f>
        <v/>
      </c>
      <c r="E4837">
        <f>IF(A4837="","",6-CEILING(PERCENTRANK.INC($B$3:$B$6000,B4837,4)*5+0.000001,1))</f>
        <v/>
      </c>
      <c r="F4837">
        <f>IF(A4837="","",MAX(1,CEILING(PERCENTRANK.INC($C$3:$C$6000,C4837,4)*5+0.000001,1)))</f>
        <v/>
      </c>
      <c r="G4837">
        <f>IF(A4837="","",MAX(1,CEILING(PERCENTRANK.INC($D$3:$D$6000,D4837,4)*5+0.000001,1)))</f>
        <v/>
      </c>
      <c r="H4837">
        <f>IF(A4837="","",E4837&amp;F4837&amp;G4837)</f>
        <v/>
      </c>
      <c r="I4837">
        <f>IF(A4837="","",IF(AND(E4837&gt;=4,F4837&gt;=4,G4837&gt;=4),"Juara",IF(AND(F4837&gt;=4,E4837&gt;=3),"Setia",IF(AND(E4837=5,F4837&lt;=2,G4837&gt;=3),"Berpotensi",IF(AND(E4837&lt;=3,E4837&gt;=2,F4837&gt;=3),"Rawan",IF(AND(E4837&lt;=2,F4837&lt;=2),"Tidur","Umum"))))))</f>
        <v/>
      </c>
    </row>
    <row r="4838">
      <c r="B4838">
        <f>IF(A4838="","",$B$1-MAXIFS(Donasi!$A$2:$A$20000,Donasi!$B$2:$B$20000,A4838))</f>
        <v/>
      </c>
      <c r="C4838">
        <f>IF(A4838="","",COUNTIF(Donasi!$B$2:$B$20000,A4838))</f>
        <v/>
      </c>
      <c r="D4838">
        <f>IF(A4838="","",SUMIF(Donasi!$B$2:$B$20000,A4838,Donasi!$C$2:$C$20000))</f>
        <v/>
      </c>
      <c r="E4838">
        <f>IF(A4838="","",6-CEILING(PERCENTRANK.INC($B$3:$B$6000,B4838,4)*5+0.000001,1))</f>
        <v/>
      </c>
      <c r="F4838">
        <f>IF(A4838="","",MAX(1,CEILING(PERCENTRANK.INC($C$3:$C$6000,C4838,4)*5+0.000001,1)))</f>
        <v/>
      </c>
      <c r="G4838">
        <f>IF(A4838="","",MAX(1,CEILING(PERCENTRANK.INC($D$3:$D$6000,D4838,4)*5+0.000001,1)))</f>
        <v/>
      </c>
      <c r="H4838">
        <f>IF(A4838="","",E4838&amp;F4838&amp;G4838)</f>
        <v/>
      </c>
      <c r="I4838">
        <f>IF(A4838="","",IF(AND(E4838&gt;=4,F4838&gt;=4,G4838&gt;=4),"Juara",IF(AND(F4838&gt;=4,E4838&gt;=3),"Setia",IF(AND(E4838=5,F4838&lt;=2,G4838&gt;=3),"Berpotensi",IF(AND(E4838&lt;=3,E4838&gt;=2,F4838&gt;=3),"Rawan",IF(AND(E4838&lt;=2,F4838&lt;=2),"Tidur","Umum"))))))</f>
        <v/>
      </c>
    </row>
    <row r="4839">
      <c r="B4839">
        <f>IF(A4839="","",$B$1-MAXIFS(Donasi!$A$2:$A$20000,Donasi!$B$2:$B$20000,A4839))</f>
        <v/>
      </c>
      <c r="C4839">
        <f>IF(A4839="","",COUNTIF(Donasi!$B$2:$B$20000,A4839))</f>
        <v/>
      </c>
      <c r="D4839">
        <f>IF(A4839="","",SUMIF(Donasi!$B$2:$B$20000,A4839,Donasi!$C$2:$C$20000))</f>
        <v/>
      </c>
      <c r="E4839">
        <f>IF(A4839="","",6-CEILING(PERCENTRANK.INC($B$3:$B$6000,B4839,4)*5+0.000001,1))</f>
        <v/>
      </c>
      <c r="F4839">
        <f>IF(A4839="","",MAX(1,CEILING(PERCENTRANK.INC($C$3:$C$6000,C4839,4)*5+0.000001,1)))</f>
        <v/>
      </c>
      <c r="G4839">
        <f>IF(A4839="","",MAX(1,CEILING(PERCENTRANK.INC($D$3:$D$6000,D4839,4)*5+0.000001,1)))</f>
        <v/>
      </c>
      <c r="H4839">
        <f>IF(A4839="","",E4839&amp;F4839&amp;G4839)</f>
        <v/>
      </c>
      <c r="I4839">
        <f>IF(A4839="","",IF(AND(E4839&gt;=4,F4839&gt;=4,G4839&gt;=4),"Juara",IF(AND(F4839&gt;=4,E4839&gt;=3),"Setia",IF(AND(E4839=5,F4839&lt;=2,G4839&gt;=3),"Berpotensi",IF(AND(E4839&lt;=3,E4839&gt;=2,F4839&gt;=3),"Rawan",IF(AND(E4839&lt;=2,F4839&lt;=2),"Tidur","Umum"))))))</f>
        <v/>
      </c>
    </row>
    <row r="4840">
      <c r="B4840">
        <f>IF(A4840="","",$B$1-MAXIFS(Donasi!$A$2:$A$20000,Donasi!$B$2:$B$20000,A4840))</f>
        <v/>
      </c>
      <c r="C4840">
        <f>IF(A4840="","",COUNTIF(Donasi!$B$2:$B$20000,A4840))</f>
        <v/>
      </c>
      <c r="D4840">
        <f>IF(A4840="","",SUMIF(Donasi!$B$2:$B$20000,A4840,Donasi!$C$2:$C$20000))</f>
        <v/>
      </c>
      <c r="E4840">
        <f>IF(A4840="","",6-CEILING(PERCENTRANK.INC($B$3:$B$6000,B4840,4)*5+0.000001,1))</f>
        <v/>
      </c>
      <c r="F4840">
        <f>IF(A4840="","",MAX(1,CEILING(PERCENTRANK.INC($C$3:$C$6000,C4840,4)*5+0.000001,1)))</f>
        <v/>
      </c>
      <c r="G4840">
        <f>IF(A4840="","",MAX(1,CEILING(PERCENTRANK.INC($D$3:$D$6000,D4840,4)*5+0.000001,1)))</f>
        <v/>
      </c>
      <c r="H4840">
        <f>IF(A4840="","",E4840&amp;F4840&amp;G4840)</f>
        <v/>
      </c>
      <c r="I4840">
        <f>IF(A4840="","",IF(AND(E4840&gt;=4,F4840&gt;=4,G4840&gt;=4),"Juara",IF(AND(F4840&gt;=4,E4840&gt;=3),"Setia",IF(AND(E4840=5,F4840&lt;=2,G4840&gt;=3),"Berpotensi",IF(AND(E4840&lt;=3,E4840&gt;=2,F4840&gt;=3),"Rawan",IF(AND(E4840&lt;=2,F4840&lt;=2),"Tidur","Umum"))))))</f>
        <v/>
      </c>
    </row>
    <row r="4841">
      <c r="B4841">
        <f>IF(A4841="","",$B$1-MAXIFS(Donasi!$A$2:$A$20000,Donasi!$B$2:$B$20000,A4841))</f>
        <v/>
      </c>
      <c r="C4841">
        <f>IF(A4841="","",COUNTIF(Donasi!$B$2:$B$20000,A4841))</f>
        <v/>
      </c>
      <c r="D4841">
        <f>IF(A4841="","",SUMIF(Donasi!$B$2:$B$20000,A4841,Donasi!$C$2:$C$20000))</f>
        <v/>
      </c>
      <c r="E4841">
        <f>IF(A4841="","",6-CEILING(PERCENTRANK.INC($B$3:$B$6000,B4841,4)*5+0.000001,1))</f>
        <v/>
      </c>
      <c r="F4841">
        <f>IF(A4841="","",MAX(1,CEILING(PERCENTRANK.INC($C$3:$C$6000,C4841,4)*5+0.000001,1)))</f>
        <v/>
      </c>
      <c r="G4841">
        <f>IF(A4841="","",MAX(1,CEILING(PERCENTRANK.INC($D$3:$D$6000,D4841,4)*5+0.000001,1)))</f>
        <v/>
      </c>
      <c r="H4841">
        <f>IF(A4841="","",E4841&amp;F4841&amp;G4841)</f>
        <v/>
      </c>
      <c r="I4841">
        <f>IF(A4841="","",IF(AND(E4841&gt;=4,F4841&gt;=4,G4841&gt;=4),"Juara",IF(AND(F4841&gt;=4,E4841&gt;=3),"Setia",IF(AND(E4841=5,F4841&lt;=2,G4841&gt;=3),"Berpotensi",IF(AND(E4841&lt;=3,E4841&gt;=2,F4841&gt;=3),"Rawan",IF(AND(E4841&lt;=2,F4841&lt;=2),"Tidur","Umum"))))))</f>
        <v/>
      </c>
    </row>
    <row r="4842">
      <c r="B4842">
        <f>IF(A4842="","",$B$1-MAXIFS(Donasi!$A$2:$A$20000,Donasi!$B$2:$B$20000,A4842))</f>
        <v/>
      </c>
      <c r="C4842">
        <f>IF(A4842="","",COUNTIF(Donasi!$B$2:$B$20000,A4842))</f>
        <v/>
      </c>
      <c r="D4842">
        <f>IF(A4842="","",SUMIF(Donasi!$B$2:$B$20000,A4842,Donasi!$C$2:$C$20000))</f>
        <v/>
      </c>
      <c r="E4842">
        <f>IF(A4842="","",6-CEILING(PERCENTRANK.INC($B$3:$B$6000,B4842,4)*5+0.000001,1))</f>
        <v/>
      </c>
      <c r="F4842">
        <f>IF(A4842="","",MAX(1,CEILING(PERCENTRANK.INC($C$3:$C$6000,C4842,4)*5+0.000001,1)))</f>
        <v/>
      </c>
      <c r="G4842">
        <f>IF(A4842="","",MAX(1,CEILING(PERCENTRANK.INC($D$3:$D$6000,D4842,4)*5+0.000001,1)))</f>
        <v/>
      </c>
      <c r="H4842">
        <f>IF(A4842="","",E4842&amp;F4842&amp;G4842)</f>
        <v/>
      </c>
      <c r="I4842">
        <f>IF(A4842="","",IF(AND(E4842&gt;=4,F4842&gt;=4,G4842&gt;=4),"Juara",IF(AND(F4842&gt;=4,E4842&gt;=3),"Setia",IF(AND(E4842=5,F4842&lt;=2,G4842&gt;=3),"Berpotensi",IF(AND(E4842&lt;=3,E4842&gt;=2,F4842&gt;=3),"Rawan",IF(AND(E4842&lt;=2,F4842&lt;=2),"Tidur","Umum"))))))</f>
        <v/>
      </c>
    </row>
    <row r="4843">
      <c r="B4843">
        <f>IF(A4843="","",$B$1-MAXIFS(Donasi!$A$2:$A$20000,Donasi!$B$2:$B$20000,A4843))</f>
        <v/>
      </c>
      <c r="C4843">
        <f>IF(A4843="","",COUNTIF(Donasi!$B$2:$B$20000,A4843))</f>
        <v/>
      </c>
      <c r="D4843">
        <f>IF(A4843="","",SUMIF(Donasi!$B$2:$B$20000,A4843,Donasi!$C$2:$C$20000))</f>
        <v/>
      </c>
      <c r="E4843">
        <f>IF(A4843="","",6-CEILING(PERCENTRANK.INC($B$3:$B$6000,B4843,4)*5+0.000001,1))</f>
        <v/>
      </c>
      <c r="F4843">
        <f>IF(A4843="","",MAX(1,CEILING(PERCENTRANK.INC($C$3:$C$6000,C4843,4)*5+0.000001,1)))</f>
        <v/>
      </c>
      <c r="G4843">
        <f>IF(A4843="","",MAX(1,CEILING(PERCENTRANK.INC($D$3:$D$6000,D4843,4)*5+0.000001,1)))</f>
        <v/>
      </c>
      <c r="H4843">
        <f>IF(A4843="","",E4843&amp;F4843&amp;G4843)</f>
        <v/>
      </c>
      <c r="I4843">
        <f>IF(A4843="","",IF(AND(E4843&gt;=4,F4843&gt;=4,G4843&gt;=4),"Juara",IF(AND(F4843&gt;=4,E4843&gt;=3),"Setia",IF(AND(E4843=5,F4843&lt;=2,G4843&gt;=3),"Berpotensi",IF(AND(E4843&lt;=3,E4843&gt;=2,F4843&gt;=3),"Rawan",IF(AND(E4843&lt;=2,F4843&lt;=2),"Tidur","Umum"))))))</f>
        <v/>
      </c>
    </row>
    <row r="4844">
      <c r="B4844">
        <f>IF(A4844="","",$B$1-MAXIFS(Donasi!$A$2:$A$20000,Donasi!$B$2:$B$20000,A4844))</f>
        <v/>
      </c>
      <c r="C4844">
        <f>IF(A4844="","",COUNTIF(Donasi!$B$2:$B$20000,A4844))</f>
        <v/>
      </c>
      <c r="D4844">
        <f>IF(A4844="","",SUMIF(Donasi!$B$2:$B$20000,A4844,Donasi!$C$2:$C$20000))</f>
        <v/>
      </c>
      <c r="E4844">
        <f>IF(A4844="","",6-CEILING(PERCENTRANK.INC($B$3:$B$6000,B4844,4)*5+0.000001,1))</f>
        <v/>
      </c>
      <c r="F4844">
        <f>IF(A4844="","",MAX(1,CEILING(PERCENTRANK.INC($C$3:$C$6000,C4844,4)*5+0.000001,1)))</f>
        <v/>
      </c>
      <c r="G4844">
        <f>IF(A4844="","",MAX(1,CEILING(PERCENTRANK.INC($D$3:$D$6000,D4844,4)*5+0.000001,1)))</f>
        <v/>
      </c>
      <c r="H4844">
        <f>IF(A4844="","",E4844&amp;F4844&amp;G4844)</f>
        <v/>
      </c>
      <c r="I4844">
        <f>IF(A4844="","",IF(AND(E4844&gt;=4,F4844&gt;=4,G4844&gt;=4),"Juara",IF(AND(F4844&gt;=4,E4844&gt;=3),"Setia",IF(AND(E4844=5,F4844&lt;=2,G4844&gt;=3),"Berpotensi",IF(AND(E4844&lt;=3,E4844&gt;=2,F4844&gt;=3),"Rawan",IF(AND(E4844&lt;=2,F4844&lt;=2),"Tidur","Umum"))))))</f>
        <v/>
      </c>
    </row>
    <row r="4845">
      <c r="B4845">
        <f>IF(A4845="","",$B$1-MAXIFS(Donasi!$A$2:$A$20000,Donasi!$B$2:$B$20000,A4845))</f>
        <v/>
      </c>
      <c r="C4845">
        <f>IF(A4845="","",COUNTIF(Donasi!$B$2:$B$20000,A4845))</f>
        <v/>
      </c>
      <c r="D4845">
        <f>IF(A4845="","",SUMIF(Donasi!$B$2:$B$20000,A4845,Donasi!$C$2:$C$20000))</f>
        <v/>
      </c>
      <c r="E4845">
        <f>IF(A4845="","",6-CEILING(PERCENTRANK.INC($B$3:$B$6000,B4845,4)*5+0.000001,1))</f>
        <v/>
      </c>
      <c r="F4845">
        <f>IF(A4845="","",MAX(1,CEILING(PERCENTRANK.INC($C$3:$C$6000,C4845,4)*5+0.000001,1)))</f>
        <v/>
      </c>
      <c r="G4845">
        <f>IF(A4845="","",MAX(1,CEILING(PERCENTRANK.INC($D$3:$D$6000,D4845,4)*5+0.000001,1)))</f>
        <v/>
      </c>
      <c r="H4845">
        <f>IF(A4845="","",E4845&amp;F4845&amp;G4845)</f>
        <v/>
      </c>
      <c r="I4845">
        <f>IF(A4845="","",IF(AND(E4845&gt;=4,F4845&gt;=4,G4845&gt;=4),"Juara",IF(AND(F4845&gt;=4,E4845&gt;=3),"Setia",IF(AND(E4845=5,F4845&lt;=2,G4845&gt;=3),"Berpotensi",IF(AND(E4845&lt;=3,E4845&gt;=2,F4845&gt;=3),"Rawan",IF(AND(E4845&lt;=2,F4845&lt;=2),"Tidur","Umum"))))))</f>
        <v/>
      </c>
    </row>
    <row r="4846">
      <c r="B4846">
        <f>IF(A4846="","",$B$1-MAXIFS(Donasi!$A$2:$A$20000,Donasi!$B$2:$B$20000,A4846))</f>
        <v/>
      </c>
      <c r="C4846">
        <f>IF(A4846="","",COUNTIF(Donasi!$B$2:$B$20000,A4846))</f>
        <v/>
      </c>
      <c r="D4846">
        <f>IF(A4846="","",SUMIF(Donasi!$B$2:$B$20000,A4846,Donasi!$C$2:$C$20000))</f>
        <v/>
      </c>
      <c r="E4846">
        <f>IF(A4846="","",6-CEILING(PERCENTRANK.INC($B$3:$B$6000,B4846,4)*5+0.000001,1))</f>
        <v/>
      </c>
      <c r="F4846">
        <f>IF(A4846="","",MAX(1,CEILING(PERCENTRANK.INC($C$3:$C$6000,C4846,4)*5+0.000001,1)))</f>
        <v/>
      </c>
      <c r="G4846">
        <f>IF(A4846="","",MAX(1,CEILING(PERCENTRANK.INC($D$3:$D$6000,D4846,4)*5+0.000001,1)))</f>
        <v/>
      </c>
      <c r="H4846">
        <f>IF(A4846="","",E4846&amp;F4846&amp;G4846)</f>
        <v/>
      </c>
      <c r="I4846">
        <f>IF(A4846="","",IF(AND(E4846&gt;=4,F4846&gt;=4,G4846&gt;=4),"Juara",IF(AND(F4846&gt;=4,E4846&gt;=3),"Setia",IF(AND(E4846=5,F4846&lt;=2,G4846&gt;=3),"Berpotensi",IF(AND(E4846&lt;=3,E4846&gt;=2,F4846&gt;=3),"Rawan",IF(AND(E4846&lt;=2,F4846&lt;=2),"Tidur","Umum"))))))</f>
        <v/>
      </c>
    </row>
    <row r="4847">
      <c r="B4847">
        <f>IF(A4847="","",$B$1-MAXIFS(Donasi!$A$2:$A$20000,Donasi!$B$2:$B$20000,A4847))</f>
        <v/>
      </c>
      <c r="C4847">
        <f>IF(A4847="","",COUNTIF(Donasi!$B$2:$B$20000,A4847))</f>
        <v/>
      </c>
      <c r="D4847">
        <f>IF(A4847="","",SUMIF(Donasi!$B$2:$B$20000,A4847,Donasi!$C$2:$C$20000))</f>
        <v/>
      </c>
      <c r="E4847">
        <f>IF(A4847="","",6-CEILING(PERCENTRANK.INC($B$3:$B$6000,B4847,4)*5+0.000001,1))</f>
        <v/>
      </c>
      <c r="F4847">
        <f>IF(A4847="","",MAX(1,CEILING(PERCENTRANK.INC($C$3:$C$6000,C4847,4)*5+0.000001,1)))</f>
        <v/>
      </c>
      <c r="G4847">
        <f>IF(A4847="","",MAX(1,CEILING(PERCENTRANK.INC($D$3:$D$6000,D4847,4)*5+0.000001,1)))</f>
        <v/>
      </c>
      <c r="H4847">
        <f>IF(A4847="","",E4847&amp;F4847&amp;G4847)</f>
        <v/>
      </c>
      <c r="I4847">
        <f>IF(A4847="","",IF(AND(E4847&gt;=4,F4847&gt;=4,G4847&gt;=4),"Juara",IF(AND(F4847&gt;=4,E4847&gt;=3),"Setia",IF(AND(E4847=5,F4847&lt;=2,G4847&gt;=3),"Berpotensi",IF(AND(E4847&lt;=3,E4847&gt;=2,F4847&gt;=3),"Rawan",IF(AND(E4847&lt;=2,F4847&lt;=2),"Tidur","Umum"))))))</f>
        <v/>
      </c>
    </row>
    <row r="4848">
      <c r="B4848">
        <f>IF(A4848="","",$B$1-MAXIFS(Donasi!$A$2:$A$20000,Donasi!$B$2:$B$20000,A4848))</f>
        <v/>
      </c>
      <c r="C4848">
        <f>IF(A4848="","",COUNTIF(Donasi!$B$2:$B$20000,A4848))</f>
        <v/>
      </c>
      <c r="D4848">
        <f>IF(A4848="","",SUMIF(Donasi!$B$2:$B$20000,A4848,Donasi!$C$2:$C$20000))</f>
        <v/>
      </c>
      <c r="E4848">
        <f>IF(A4848="","",6-CEILING(PERCENTRANK.INC($B$3:$B$6000,B4848,4)*5+0.000001,1))</f>
        <v/>
      </c>
      <c r="F4848">
        <f>IF(A4848="","",MAX(1,CEILING(PERCENTRANK.INC($C$3:$C$6000,C4848,4)*5+0.000001,1)))</f>
        <v/>
      </c>
      <c r="G4848">
        <f>IF(A4848="","",MAX(1,CEILING(PERCENTRANK.INC($D$3:$D$6000,D4848,4)*5+0.000001,1)))</f>
        <v/>
      </c>
      <c r="H4848">
        <f>IF(A4848="","",E4848&amp;F4848&amp;G4848)</f>
        <v/>
      </c>
      <c r="I4848">
        <f>IF(A4848="","",IF(AND(E4848&gt;=4,F4848&gt;=4,G4848&gt;=4),"Juara",IF(AND(F4848&gt;=4,E4848&gt;=3),"Setia",IF(AND(E4848=5,F4848&lt;=2,G4848&gt;=3),"Berpotensi",IF(AND(E4848&lt;=3,E4848&gt;=2,F4848&gt;=3),"Rawan",IF(AND(E4848&lt;=2,F4848&lt;=2),"Tidur","Umum"))))))</f>
        <v/>
      </c>
    </row>
    <row r="4849">
      <c r="B4849">
        <f>IF(A4849="","",$B$1-MAXIFS(Donasi!$A$2:$A$20000,Donasi!$B$2:$B$20000,A4849))</f>
        <v/>
      </c>
      <c r="C4849">
        <f>IF(A4849="","",COUNTIF(Donasi!$B$2:$B$20000,A4849))</f>
        <v/>
      </c>
      <c r="D4849">
        <f>IF(A4849="","",SUMIF(Donasi!$B$2:$B$20000,A4849,Donasi!$C$2:$C$20000))</f>
        <v/>
      </c>
      <c r="E4849">
        <f>IF(A4849="","",6-CEILING(PERCENTRANK.INC($B$3:$B$6000,B4849,4)*5+0.000001,1))</f>
        <v/>
      </c>
      <c r="F4849">
        <f>IF(A4849="","",MAX(1,CEILING(PERCENTRANK.INC($C$3:$C$6000,C4849,4)*5+0.000001,1)))</f>
        <v/>
      </c>
      <c r="G4849">
        <f>IF(A4849="","",MAX(1,CEILING(PERCENTRANK.INC($D$3:$D$6000,D4849,4)*5+0.000001,1)))</f>
        <v/>
      </c>
      <c r="H4849">
        <f>IF(A4849="","",E4849&amp;F4849&amp;G4849)</f>
        <v/>
      </c>
      <c r="I4849">
        <f>IF(A4849="","",IF(AND(E4849&gt;=4,F4849&gt;=4,G4849&gt;=4),"Juara",IF(AND(F4849&gt;=4,E4849&gt;=3),"Setia",IF(AND(E4849=5,F4849&lt;=2,G4849&gt;=3),"Berpotensi",IF(AND(E4849&lt;=3,E4849&gt;=2,F4849&gt;=3),"Rawan",IF(AND(E4849&lt;=2,F4849&lt;=2),"Tidur","Umum"))))))</f>
        <v/>
      </c>
    </row>
    <row r="4850">
      <c r="B4850">
        <f>IF(A4850="","",$B$1-MAXIFS(Donasi!$A$2:$A$20000,Donasi!$B$2:$B$20000,A4850))</f>
        <v/>
      </c>
      <c r="C4850">
        <f>IF(A4850="","",COUNTIF(Donasi!$B$2:$B$20000,A4850))</f>
        <v/>
      </c>
      <c r="D4850">
        <f>IF(A4850="","",SUMIF(Donasi!$B$2:$B$20000,A4850,Donasi!$C$2:$C$20000))</f>
        <v/>
      </c>
      <c r="E4850">
        <f>IF(A4850="","",6-CEILING(PERCENTRANK.INC($B$3:$B$6000,B4850,4)*5+0.000001,1))</f>
        <v/>
      </c>
      <c r="F4850">
        <f>IF(A4850="","",MAX(1,CEILING(PERCENTRANK.INC($C$3:$C$6000,C4850,4)*5+0.000001,1)))</f>
        <v/>
      </c>
      <c r="G4850">
        <f>IF(A4850="","",MAX(1,CEILING(PERCENTRANK.INC($D$3:$D$6000,D4850,4)*5+0.000001,1)))</f>
        <v/>
      </c>
      <c r="H4850">
        <f>IF(A4850="","",E4850&amp;F4850&amp;G4850)</f>
        <v/>
      </c>
      <c r="I4850">
        <f>IF(A4850="","",IF(AND(E4850&gt;=4,F4850&gt;=4,G4850&gt;=4),"Juara",IF(AND(F4850&gt;=4,E4850&gt;=3),"Setia",IF(AND(E4850=5,F4850&lt;=2,G4850&gt;=3),"Berpotensi",IF(AND(E4850&lt;=3,E4850&gt;=2,F4850&gt;=3),"Rawan",IF(AND(E4850&lt;=2,F4850&lt;=2),"Tidur","Umum"))))))</f>
        <v/>
      </c>
    </row>
    <row r="4851">
      <c r="B4851">
        <f>IF(A4851="","",$B$1-MAXIFS(Donasi!$A$2:$A$20000,Donasi!$B$2:$B$20000,A4851))</f>
        <v/>
      </c>
      <c r="C4851">
        <f>IF(A4851="","",COUNTIF(Donasi!$B$2:$B$20000,A4851))</f>
        <v/>
      </c>
      <c r="D4851">
        <f>IF(A4851="","",SUMIF(Donasi!$B$2:$B$20000,A4851,Donasi!$C$2:$C$20000))</f>
        <v/>
      </c>
      <c r="E4851">
        <f>IF(A4851="","",6-CEILING(PERCENTRANK.INC($B$3:$B$6000,B4851,4)*5+0.000001,1))</f>
        <v/>
      </c>
      <c r="F4851">
        <f>IF(A4851="","",MAX(1,CEILING(PERCENTRANK.INC($C$3:$C$6000,C4851,4)*5+0.000001,1)))</f>
        <v/>
      </c>
      <c r="G4851">
        <f>IF(A4851="","",MAX(1,CEILING(PERCENTRANK.INC($D$3:$D$6000,D4851,4)*5+0.000001,1)))</f>
        <v/>
      </c>
      <c r="H4851">
        <f>IF(A4851="","",E4851&amp;F4851&amp;G4851)</f>
        <v/>
      </c>
      <c r="I4851">
        <f>IF(A4851="","",IF(AND(E4851&gt;=4,F4851&gt;=4,G4851&gt;=4),"Juara",IF(AND(F4851&gt;=4,E4851&gt;=3),"Setia",IF(AND(E4851=5,F4851&lt;=2,G4851&gt;=3),"Berpotensi",IF(AND(E4851&lt;=3,E4851&gt;=2,F4851&gt;=3),"Rawan",IF(AND(E4851&lt;=2,F4851&lt;=2),"Tidur","Umum"))))))</f>
        <v/>
      </c>
    </row>
    <row r="4852">
      <c r="B4852">
        <f>IF(A4852="","",$B$1-MAXIFS(Donasi!$A$2:$A$20000,Donasi!$B$2:$B$20000,A4852))</f>
        <v/>
      </c>
      <c r="C4852">
        <f>IF(A4852="","",COUNTIF(Donasi!$B$2:$B$20000,A4852))</f>
        <v/>
      </c>
      <c r="D4852">
        <f>IF(A4852="","",SUMIF(Donasi!$B$2:$B$20000,A4852,Donasi!$C$2:$C$20000))</f>
        <v/>
      </c>
      <c r="E4852">
        <f>IF(A4852="","",6-CEILING(PERCENTRANK.INC($B$3:$B$6000,B4852,4)*5+0.000001,1))</f>
        <v/>
      </c>
      <c r="F4852">
        <f>IF(A4852="","",MAX(1,CEILING(PERCENTRANK.INC($C$3:$C$6000,C4852,4)*5+0.000001,1)))</f>
        <v/>
      </c>
      <c r="G4852">
        <f>IF(A4852="","",MAX(1,CEILING(PERCENTRANK.INC($D$3:$D$6000,D4852,4)*5+0.000001,1)))</f>
        <v/>
      </c>
      <c r="H4852">
        <f>IF(A4852="","",E4852&amp;F4852&amp;G4852)</f>
        <v/>
      </c>
      <c r="I4852">
        <f>IF(A4852="","",IF(AND(E4852&gt;=4,F4852&gt;=4,G4852&gt;=4),"Juara",IF(AND(F4852&gt;=4,E4852&gt;=3),"Setia",IF(AND(E4852=5,F4852&lt;=2,G4852&gt;=3),"Berpotensi",IF(AND(E4852&lt;=3,E4852&gt;=2,F4852&gt;=3),"Rawan",IF(AND(E4852&lt;=2,F4852&lt;=2),"Tidur","Umum"))))))</f>
        <v/>
      </c>
    </row>
    <row r="4853">
      <c r="B4853">
        <f>IF(A4853="","",$B$1-MAXIFS(Donasi!$A$2:$A$20000,Donasi!$B$2:$B$20000,A4853))</f>
        <v/>
      </c>
      <c r="C4853">
        <f>IF(A4853="","",COUNTIF(Donasi!$B$2:$B$20000,A4853))</f>
        <v/>
      </c>
      <c r="D4853">
        <f>IF(A4853="","",SUMIF(Donasi!$B$2:$B$20000,A4853,Donasi!$C$2:$C$20000))</f>
        <v/>
      </c>
      <c r="E4853">
        <f>IF(A4853="","",6-CEILING(PERCENTRANK.INC($B$3:$B$6000,B4853,4)*5+0.000001,1))</f>
        <v/>
      </c>
      <c r="F4853">
        <f>IF(A4853="","",MAX(1,CEILING(PERCENTRANK.INC($C$3:$C$6000,C4853,4)*5+0.000001,1)))</f>
        <v/>
      </c>
      <c r="G4853">
        <f>IF(A4853="","",MAX(1,CEILING(PERCENTRANK.INC($D$3:$D$6000,D4853,4)*5+0.000001,1)))</f>
        <v/>
      </c>
      <c r="H4853">
        <f>IF(A4853="","",E4853&amp;F4853&amp;G4853)</f>
        <v/>
      </c>
      <c r="I4853">
        <f>IF(A4853="","",IF(AND(E4853&gt;=4,F4853&gt;=4,G4853&gt;=4),"Juara",IF(AND(F4853&gt;=4,E4853&gt;=3),"Setia",IF(AND(E4853=5,F4853&lt;=2,G4853&gt;=3),"Berpotensi",IF(AND(E4853&lt;=3,E4853&gt;=2,F4853&gt;=3),"Rawan",IF(AND(E4853&lt;=2,F4853&lt;=2),"Tidur","Umum"))))))</f>
        <v/>
      </c>
    </row>
    <row r="4854">
      <c r="B4854">
        <f>IF(A4854="","",$B$1-MAXIFS(Donasi!$A$2:$A$20000,Donasi!$B$2:$B$20000,A4854))</f>
        <v/>
      </c>
      <c r="C4854">
        <f>IF(A4854="","",COUNTIF(Donasi!$B$2:$B$20000,A4854))</f>
        <v/>
      </c>
      <c r="D4854">
        <f>IF(A4854="","",SUMIF(Donasi!$B$2:$B$20000,A4854,Donasi!$C$2:$C$20000))</f>
        <v/>
      </c>
      <c r="E4854">
        <f>IF(A4854="","",6-CEILING(PERCENTRANK.INC($B$3:$B$6000,B4854,4)*5+0.000001,1))</f>
        <v/>
      </c>
      <c r="F4854">
        <f>IF(A4854="","",MAX(1,CEILING(PERCENTRANK.INC($C$3:$C$6000,C4854,4)*5+0.000001,1)))</f>
        <v/>
      </c>
      <c r="G4854">
        <f>IF(A4854="","",MAX(1,CEILING(PERCENTRANK.INC($D$3:$D$6000,D4854,4)*5+0.000001,1)))</f>
        <v/>
      </c>
      <c r="H4854">
        <f>IF(A4854="","",E4854&amp;F4854&amp;G4854)</f>
        <v/>
      </c>
      <c r="I4854">
        <f>IF(A4854="","",IF(AND(E4854&gt;=4,F4854&gt;=4,G4854&gt;=4),"Juara",IF(AND(F4854&gt;=4,E4854&gt;=3),"Setia",IF(AND(E4854=5,F4854&lt;=2,G4854&gt;=3),"Berpotensi",IF(AND(E4854&lt;=3,E4854&gt;=2,F4854&gt;=3),"Rawan",IF(AND(E4854&lt;=2,F4854&lt;=2),"Tidur","Umum"))))))</f>
        <v/>
      </c>
    </row>
    <row r="4855">
      <c r="B4855">
        <f>IF(A4855="","",$B$1-MAXIFS(Donasi!$A$2:$A$20000,Donasi!$B$2:$B$20000,A4855))</f>
        <v/>
      </c>
      <c r="C4855">
        <f>IF(A4855="","",COUNTIF(Donasi!$B$2:$B$20000,A4855))</f>
        <v/>
      </c>
      <c r="D4855">
        <f>IF(A4855="","",SUMIF(Donasi!$B$2:$B$20000,A4855,Donasi!$C$2:$C$20000))</f>
        <v/>
      </c>
      <c r="E4855">
        <f>IF(A4855="","",6-CEILING(PERCENTRANK.INC($B$3:$B$6000,B4855,4)*5+0.000001,1))</f>
        <v/>
      </c>
      <c r="F4855">
        <f>IF(A4855="","",MAX(1,CEILING(PERCENTRANK.INC($C$3:$C$6000,C4855,4)*5+0.000001,1)))</f>
        <v/>
      </c>
      <c r="G4855">
        <f>IF(A4855="","",MAX(1,CEILING(PERCENTRANK.INC($D$3:$D$6000,D4855,4)*5+0.000001,1)))</f>
        <v/>
      </c>
      <c r="H4855">
        <f>IF(A4855="","",E4855&amp;F4855&amp;G4855)</f>
        <v/>
      </c>
      <c r="I4855">
        <f>IF(A4855="","",IF(AND(E4855&gt;=4,F4855&gt;=4,G4855&gt;=4),"Juara",IF(AND(F4855&gt;=4,E4855&gt;=3),"Setia",IF(AND(E4855=5,F4855&lt;=2,G4855&gt;=3),"Berpotensi",IF(AND(E4855&lt;=3,E4855&gt;=2,F4855&gt;=3),"Rawan",IF(AND(E4855&lt;=2,F4855&lt;=2),"Tidur","Umum"))))))</f>
        <v/>
      </c>
    </row>
    <row r="4856">
      <c r="B4856">
        <f>IF(A4856="","",$B$1-MAXIFS(Donasi!$A$2:$A$20000,Donasi!$B$2:$B$20000,A4856))</f>
        <v/>
      </c>
      <c r="C4856">
        <f>IF(A4856="","",COUNTIF(Donasi!$B$2:$B$20000,A4856))</f>
        <v/>
      </c>
      <c r="D4856">
        <f>IF(A4856="","",SUMIF(Donasi!$B$2:$B$20000,A4856,Donasi!$C$2:$C$20000))</f>
        <v/>
      </c>
      <c r="E4856">
        <f>IF(A4856="","",6-CEILING(PERCENTRANK.INC($B$3:$B$6000,B4856,4)*5+0.000001,1))</f>
        <v/>
      </c>
      <c r="F4856">
        <f>IF(A4856="","",MAX(1,CEILING(PERCENTRANK.INC($C$3:$C$6000,C4856,4)*5+0.000001,1)))</f>
        <v/>
      </c>
      <c r="G4856">
        <f>IF(A4856="","",MAX(1,CEILING(PERCENTRANK.INC($D$3:$D$6000,D4856,4)*5+0.000001,1)))</f>
        <v/>
      </c>
      <c r="H4856">
        <f>IF(A4856="","",E4856&amp;F4856&amp;G4856)</f>
        <v/>
      </c>
      <c r="I4856">
        <f>IF(A4856="","",IF(AND(E4856&gt;=4,F4856&gt;=4,G4856&gt;=4),"Juara",IF(AND(F4856&gt;=4,E4856&gt;=3),"Setia",IF(AND(E4856=5,F4856&lt;=2,G4856&gt;=3),"Berpotensi",IF(AND(E4856&lt;=3,E4856&gt;=2,F4856&gt;=3),"Rawan",IF(AND(E4856&lt;=2,F4856&lt;=2),"Tidur","Umum"))))))</f>
        <v/>
      </c>
    </row>
    <row r="4857">
      <c r="B4857">
        <f>IF(A4857="","",$B$1-MAXIFS(Donasi!$A$2:$A$20000,Donasi!$B$2:$B$20000,A4857))</f>
        <v/>
      </c>
      <c r="C4857">
        <f>IF(A4857="","",COUNTIF(Donasi!$B$2:$B$20000,A4857))</f>
        <v/>
      </c>
      <c r="D4857">
        <f>IF(A4857="","",SUMIF(Donasi!$B$2:$B$20000,A4857,Donasi!$C$2:$C$20000))</f>
        <v/>
      </c>
      <c r="E4857">
        <f>IF(A4857="","",6-CEILING(PERCENTRANK.INC($B$3:$B$6000,B4857,4)*5+0.000001,1))</f>
        <v/>
      </c>
      <c r="F4857">
        <f>IF(A4857="","",MAX(1,CEILING(PERCENTRANK.INC($C$3:$C$6000,C4857,4)*5+0.000001,1)))</f>
        <v/>
      </c>
      <c r="G4857">
        <f>IF(A4857="","",MAX(1,CEILING(PERCENTRANK.INC($D$3:$D$6000,D4857,4)*5+0.000001,1)))</f>
        <v/>
      </c>
      <c r="H4857">
        <f>IF(A4857="","",E4857&amp;F4857&amp;G4857)</f>
        <v/>
      </c>
      <c r="I4857">
        <f>IF(A4857="","",IF(AND(E4857&gt;=4,F4857&gt;=4,G4857&gt;=4),"Juara",IF(AND(F4857&gt;=4,E4857&gt;=3),"Setia",IF(AND(E4857=5,F4857&lt;=2,G4857&gt;=3),"Berpotensi",IF(AND(E4857&lt;=3,E4857&gt;=2,F4857&gt;=3),"Rawan",IF(AND(E4857&lt;=2,F4857&lt;=2),"Tidur","Umum"))))))</f>
        <v/>
      </c>
    </row>
    <row r="4858">
      <c r="B4858">
        <f>IF(A4858="","",$B$1-MAXIFS(Donasi!$A$2:$A$20000,Donasi!$B$2:$B$20000,A4858))</f>
        <v/>
      </c>
      <c r="C4858">
        <f>IF(A4858="","",COUNTIF(Donasi!$B$2:$B$20000,A4858))</f>
        <v/>
      </c>
      <c r="D4858">
        <f>IF(A4858="","",SUMIF(Donasi!$B$2:$B$20000,A4858,Donasi!$C$2:$C$20000))</f>
        <v/>
      </c>
      <c r="E4858">
        <f>IF(A4858="","",6-CEILING(PERCENTRANK.INC($B$3:$B$6000,B4858,4)*5+0.000001,1))</f>
        <v/>
      </c>
      <c r="F4858">
        <f>IF(A4858="","",MAX(1,CEILING(PERCENTRANK.INC($C$3:$C$6000,C4858,4)*5+0.000001,1)))</f>
        <v/>
      </c>
      <c r="G4858">
        <f>IF(A4858="","",MAX(1,CEILING(PERCENTRANK.INC($D$3:$D$6000,D4858,4)*5+0.000001,1)))</f>
        <v/>
      </c>
      <c r="H4858">
        <f>IF(A4858="","",E4858&amp;F4858&amp;G4858)</f>
        <v/>
      </c>
      <c r="I4858">
        <f>IF(A4858="","",IF(AND(E4858&gt;=4,F4858&gt;=4,G4858&gt;=4),"Juara",IF(AND(F4858&gt;=4,E4858&gt;=3),"Setia",IF(AND(E4858=5,F4858&lt;=2,G4858&gt;=3),"Berpotensi",IF(AND(E4858&lt;=3,E4858&gt;=2,F4858&gt;=3),"Rawan",IF(AND(E4858&lt;=2,F4858&lt;=2),"Tidur","Umum"))))))</f>
        <v/>
      </c>
    </row>
    <row r="4859">
      <c r="B4859">
        <f>IF(A4859="","",$B$1-MAXIFS(Donasi!$A$2:$A$20000,Donasi!$B$2:$B$20000,A4859))</f>
        <v/>
      </c>
      <c r="C4859">
        <f>IF(A4859="","",COUNTIF(Donasi!$B$2:$B$20000,A4859))</f>
        <v/>
      </c>
      <c r="D4859">
        <f>IF(A4859="","",SUMIF(Donasi!$B$2:$B$20000,A4859,Donasi!$C$2:$C$20000))</f>
        <v/>
      </c>
      <c r="E4859">
        <f>IF(A4859="","",6-CEILING(PERCENTRANK.INC($B$3:$B$6000,B4859,4)*5+0.000001,1))</f>
        <v/>
      </c>
      <c r="F4859">
        <f>IF(A4859="","",MAX(1,CEILING(PERCENTRANK.INC($C$3:$C$6000,C4859,4)*5+0.000001,1)))</f>
        <v/>
      </c>
      <c r="G4859">
        <f>IF(A4859="","",MAX(1,CEILING(PERCENTRANK.INC($D$3:$D$6000,D4859,4)*5+0.000001,1)))</f>
        <v/>
      </c>
      <c r="H4859">
        <f>IF(A4859="","",E4859&amp;F4859&amp;G4859)</f>
        <v/>
      </c>
      <c r="I4859">
        <f>IF(A4859="","",IF(AND(E4859&gt;=4,F4859&gt;=4,G4859&gt;=4),"Juara",IF(AND(F4859&gt;=4,E4859&gt;=3),"Setia",IF(AND(E4859=5,F4859&lt;=2,G4859&gt;=3),"Berpotensi",IF(AND(E4859&lt;=3,E4859&gt;=2,F4859&gt;=3),"Rawan",IF(AND(E4859&lt;=2,F4859&lt;=2),"Tidur","Umum"))))))</f>
        <v/>
      </c>
    </row>
    <row r="4860">
      <c r="B4860">
        <f>IF(A4860="","",$B$1-MAXIFS(Donasi!$A$2:$A$20000,Donasi!$B$2:$B$20000,A4860))</f>
        <v/>
      </c>
      <c r="C4860">
        <f>IF(A4860="","",COUNTIF(Donasi!$B$2:$B$20000,A4860))</f>
        <v/>
      </c>
      <c r="D4860">
        <f>IF(A4860="","",SUMIF(Donasi!$B$2:$B$20000,A4860,Donasi!$C$2:$C$20000))</f>
        <v/>
      </c>
      <c r="E4860">
        <f>IF(A4860="","",6-CEILING(PERCENTRANK.INC($B$3:$B$6000,B4860,4)*5+0.000001,1))</f>
        <v/>
      </c>
      <c r="F4860">
        <f>IF(A4860="","",MAX(1,CEILING(PERCENTRANK.INC($C$3:$C$6000,C4860,4)*5+0.000001,1)))</f>
        <v/>
      </c>
      <c r="G4860">
        <f>IF(A4860="","",MAX(1,CEILING(PERCENTRANK.INC($D$3:$D$6000,D4860,4)*5+0.000001,1)))</f>
        <v/>
      </c>
      <c r="H4860">
        <f>IF(A4860="","",E4860&amp;F4860&amp;G4860)</f>
        <v/>
      </c>
      <c r="I4860">
        <f>IF(A4860="","",IF(AND(E4860&gt;=4,F4860&gt;=4,G4860&gt;=4),"Juara",IF(AND(F4860&gt;=4,E4860&gt;=3),"Setia",IF(AND(E4860=5,F4860&lt;=2,G4860&gt;=3),"Berpotensi",IF(AND(E4860&lt;=3,E4860&gt;=2,F4860&gt;=3),"Rawan",IF(AND(E4860&lt;=2,F4860&lt;=2),"Tidur","Umum"))))))</f>
        <v/>
      </c>
    </row>
    <row r="4861">
      <c r="B4861">
        <f>IF(A4861="","",$B$1-MAXIFS(Donasi!$A$2:$A$20000,Donasi!$B$2:$B$20000,A4861))</f>
        <v/>
      </c>
      <c r="C4861">
        <f>IF(A4861="","",COUNTIF(Donasi!$B$2:$B$20000,A4861))</f>
        <v/>
      </c>
      <c r="D4861">
        <f>IF(A4861="","",SUMIF(Donasi!$B$2:$B$20000,A4861,Donasi!$C$2:$C$20000))</f>
        <v/>
      </c>
      <c r="E4861">
        <f>IF(A4861="","",6-CEILING(PERCENTRANK.INC($B$3:$B$6000,B4861,4)*5+0.000001,1))</f>
        <v/>
      </c>
      <c r="F4861">
        <f>IF(A4861="","",MAX(1,CEILING(PERCENTRANK.INC($C$3:$C$6000,C4861,4)*5+0.000001,1)))</f>
        <v/>
      </c>
      <c r="G4861">
        <f>IF(A4861="","",MAX(1,CEILING(PERCENTRANK.INC($D$3:$D$6000,D4861,4)*5+0.000001,1)))</f>
        <v/>
      </c>
      <c r="H4861">
        <f>IF(A4861="","",E4861&amp;F4861&amp;G4861)</f>
        <v/>
      </c>
      <c r="I4861">
        <f>IF(A4861="","",IF(AND(E4861&gt;=4,F4861&gt;=4,G4861&gt;=4),"Juara",IF(AND(F4861&gt;=4,E4861&gt;=3),"Setia",IF(AND(E4861=5,F4861&lt;=2,G4861&gt;=3),"Berpotensi",IF(AND(E4861&lt;=3,E4861&gt;=2,F4861&gt;=3),"Rawan",IF(AND(E4861&lt;=2,F4861&lt;=2),"Tidur","Umum"))))))</f>
        <v/>
      </c>
    </row>
    <row r="4862">
      <c r="B4862">
        <f>IF(A4862="","",$B$1-MAXIFS(Donasi!$A$2:$A$20000,Donasi!$B$2:$B$20000,A4862))</f>
        <v/>
      </c>
      <c r="C4862">
        <f>IF(A4862="","",COUNTIF(Donasi!$B$2:$B$20000,A4862))</f>
        <v/>
      </c>
      <c r="D4862">
        <f>IF(A4862="","",SUMIF(Donasi!$B$2:$B$20000,A4862,Donasi!$C$2:$C$20000))</f>
        <v/>
      </c>
      <c r="E4862">
        <f>IF(A4862="","",6-CEILING(PERCENTRANK.INC($B$3:$B$6000,B4862,4)*5+0.000001,1))</f>
        <v/>
      </c>
      <c r="F4862">
        <f>IF(A4862="","",MAX(1,CEILING(PERCENTRANK.INC($C$3:$C$6000,C4862,4)*5+0.000001,1)))</f>
        <v/>
      </c>
      <c r="G4862">
        <f>IF(A4862="","",MAX(1,CEILING(PERCENTRANK.INC($D$3:$D$6000,D4862,4)*5+0.000001,1)))</f>
        <v/>
      </c>
      <c r="H4862">
        <f>IF(A4862="","",E4862&amp;F4862&amp;G4862)</f>
        <v/>
      </c>
      <c r="I4862">
        <f>IF(A4862="","",IF(AND(E4862&gt;=4,F4862&gt;=4,G4862&gt;=4),"Juara",IF(AND(F4862&gt;=4,E4862&gt;=3),"Setia",IF(AND(E4862=5,F4862&lt;=2,G4862&gt;=3),"Berpotensi",IF(AND(E4862&lt;=3,E4862&gt;=2,F4862&gt;=3),"Rawan",IF(AND(E4862&lt;=2,F4862&lt;=2),"Tidur","Umum"))))))</f>
        <v/>
      </c>
    </row>
    <row r="4863">
      <c r="B4863">
        <f>IF(A4863="","",$B$1-MAXIFS(Donasi!$A$2:$A$20000,Donasi!$B$2:$B$20000,A4863))</f>
        <v/>
      </c>
      <c r="C4863">
        <f>IF(A4863="","",COUNTIF(Donasi!$B$2:$B$20000,A4863))</f>
        <v/>
      </c>
      <c r="D4863">
        <f>IF(A4863="","",SUMIF(Donasi!$B$2:$B$20000,A4863,Donasi!$C$2:$C$20000))</f>
        <v/>
      </c>
      <c r="E4863">
        <f>IF(A4863="","",6-CEILING(PERCENTRANK.INC($B$3:$B$6000,B4863,4)*5+0.000001,1))</f>
        <v/>
      </c>
      <c r="F4863">
        <f>IF(A4863="","",MAX(1,CEILING(PERCENTRANK.INC($C$3:$C$6000,C4863,4)*5+0.000001,1)))</f>
        <v/>
      </c>
      <c r="G4863">
        <f>IF(A4863="","",MAX(1,CEILING(PERCENTRANK.INC($D$3:$D$6000,D4863,4)*5+0.000001,1)))</f>
        <v/>
      </c>
      <c r="H4863">
        <f>IF(A4863="","",E4863&amp;F4863&amp;G4863)</f>
        <v/>
      </c>
      <c r="I4863">
        <f>IF(A4863="","",IF(AND(E4863&gt;=4,F4863&gt;=4,G4863&gt;=4),"Juara",IF(AND(F4863&gt;=4,E4863&gt;=3),"Setia",IF(AND(E4863=5,F4863&lt;=2,G4863&gt;=3),"Berpotensi",IF(AND(E4863&lt;=3,E4863&gt;=2,F4863&gt;=3),"Rawan",IF(AND(E4863&lt;=2,F4863&lt;=2),"Tidur","Umum"))))))</f>
        <v/>
      </c>
    </row>
    <row r="4864">
      <c r="B4864">
        <f>IF(A4864="","",$B$1-MAXIFS(Donasi!$A$2:$A$20000,Donasi!$B$2:$B$20000,A4864))</f>
        <v/>
      </c>
      <c r="C4864">
        <f>IF(A4864="","",COUNTIF(Donasi!$B$2:$B$20000,A4864))</f>
        <v/>
      </c>
      <c r="D4864">
        <f>IF(A4864="","",SUMIF(Donasi!$B$2:$B$20000,A4864,Donasi!$C$2:$C$20000))</f>
        <v/>
      </c>
      <c r="E4864">
        <f>IF(A4864="","",6-CEILING(PERCENTRANK.INC($B$3:$B$6000,B4864,4)*5+0.000001,1))</f>
        <v/>
      </c>
      <c r="F4864">
        <f>IF(A4864="","",MAX(1,CEILING(PERCENTRANK.INC($C$3:$C$6000,C4864,4)*5+0.000001,1)))</f>
        <v/>
      </c>
      <c r="G4864">
        <f>IF(A4864="","",MAX(1,CEILING(PERCENTRANK.INC($D$3:$D$6000,D4864,4)*5+0.000001,1)))</f>
        <v/>
      </c>
      <c r="H4864">
        <f>IF(A4864="","",E4864&amp;F4864&amp;G4864)</f>
        <v/>
      </c>
      <c r="I4864">
        <f>IF(A4864="","",IF(AND(E4864&gt;=4,F4864&gt;=4,G4864&gt;=4),"Juara",IF(AND(F4864&gt;=4,E4864&gt;=3),"Setia",IF(AND(E4864=5,F4864&lt;=2,G4864&gt;=3),"Berpotensi",IF(AND(E4864&lt;=3,E4864&gt;=2,F4864&gt;=3),"Rawan",IF(AND(E4864&lt;=2,F4864&lt;=2),"Tidur","Umum"))))))</f>
        <v/>
      </c>
    </row>
    <row r="4865">
      <c r="B4865">
        <f>IF(A4865="","",$B$1-MAXIFS(Donasi!$A$2:$A$20000,Donasi!$B$2:$B$20000,A4865))</f>
        <v/>
      </c>
      <c r="C4865">
        <f>IF(A4865="","",COUNTIF(Donasi!$B$2:$B$20000,A4865))</f>
        <v/>
      </c>
      <c r="D4865">
        <f>IF(A4865="","",SUMIF(Donasi!$B$2:$B$20000,A4865,Donasi!$C$2:$C$20000))</f>
        <v/>
      </c>
      <c r="E4865">
        <f>IF(A4865="","",6-CEILING(PERCENTRANK.INC($B$3:$B$6000,B4865,4)*5+0.000001,1))</f>
        <v/>
      </c>
      <c r="F4865">
        <f>IF(A4865="","",MAX(1,CEILING(PERCENTRANK.INC($C$3:$C$6000,C4865,4)*5+0.000001,1)))</f>
        <v/>
      </c>
      <c r="G4865">
        <f>IF(A4865="","",MAX(1,CEILING(PERCENTRANK.INC($D$3:$D$6000,D4865,4)*5+0.000001,1)))</f>
        <v/>
      </c>
      <c r="H4865">
        <f>IF(A4865="","",E4865&amp;F4865&amp;G4865)</f>
        <v/>
      </c>
      <c r="I4865">
        <f>IF(A4865="","",IF(AND(E4865&gt;=4,F4865&gt;=4,G4865&gt;=4),"Juara",IF(AND(F4865&gt;=4,E4865&gt;=3),"Setia",IF(AND(E4865=5,F4865&lt;=2,G4865&gt;=3),"Berpotensi",IF(AND(E4865&lt;=3,E4865&gt;=2,F4865&gt;=3),"Rawan",IF(AND(E4865&lt;=2,F4865&lt;=2),"Tidur","Umum"))))))</f>
        <v/>
      </c>
    </row>
    <row r="4866">
      <c r="B4866">
        <f>IF(A4866="","",$B$1-MAXIFS(Donasi!$A$2:$A$20000,Donasi!$B$2:$B$20000,A4866))</f>
        <v/>
      </c>
      <c r="C4866">
        <f>IF(A4866="","",COUNTIF(Donasi!$B$2:$B$20000,A4866))</f>
        <v/>
      </c>
      <c r="D4866">
        <f>IF(A4866="","",SUMIF(Donasi!$B$2:$B$20000,A4866,Donasi!$C$2:$C$20000))</f>
        <v/>
      </c>
      <c r="E4866">
        <f>IF(A4866="","",6-CEILING(PERCENTRANK.INC($B$3:$B$6000,B4866,4)*5+0.000001,1))</f>
        <v/>
      </c>
      <c r="F4866">
        <f>IF(A4866="","",MAX(1,CEILING(PERCENTRANK.INC($C$3:$C$6000,C4866,4)*5+0.000001,1)))</f>
        <v/>
      </c>
      <c r="G4866">
        <f>IF(A4866="","",MAX(1,CEILING(PERCENTRANK.INC($D$3:$D$6000,D4866,4)*5+0.000001,1)))</f>
        <v/>
      </c>
      <c r="H4866">
        <f>IF(A4866="","",E4866&amp;F4866&amp;G4866)</f>
        <v/>
      </c>
      <c r="I4866">
        <f>IF(A4866="","",IF(AND(E4866&gt;=4,F4866&gt;=4,G4866&gt;=4),"Juara",IF(AND(F4866&gt;=4,E4866&gt;=3),"Setia",IF(AND(E4866=5,F4866&lt;=2,G4866&gt;=3),"Berpotensi",IF(AND(E4866&lt;=3,E4866&gt;=2,F4866&gt;=3),"Rawan",IF(AND(E4866&lt;=2,F4866&lt;=2),"Tidur","Umum"))))))</f>
        <v/>
      </c>
    </row>
    <row r="4867">
      <c r="B4867">
        <f>IF(A4867="","",$B$1-MAXIFS(Donasi!$A$2:$A$20000,Donasi!$B$2:$B$20000,A4867))</f>
        <v/>
      </c>
      <c r="C4867">
        <f>IF(A4867="","",COUNTIF(Donasi!$B$2:$B$20000,A4867))</f>
        <v/>
      </c>
      <c r="D4867">
        <f>IF(A4867="","",SUMIF(Donasi!$B$2:$B$20000,A4867,Donasi!$C$2:$C$20000))</f>
        <v/>
      </c>
      <c r="E4867">
        <f>IF(A4867="","",6-CEILING(PERCENTRANK.INC($B$3:$B$6000,B4867,4)*5+0.000001,1))</f>
        <v/>
      </c>
      <c r="F4867">
        <f>IF(A4867="","",MAX(1,CEILING(PERCENTRANK.INC($C$3:$C$6000,C4867,4)*5+0.000001,1)))</f>
        <v/>
      </c>
      <c r="G4867">
        <f>IF(A4867="","",MAX(1,CEILING(PERCENTRANK.INC($D$3:$D$6000,D4867,4)*5+0.000001,1)))</f>
        <v/>
      </c>
      <c r="H4867">
        <f>IF(A4867="","",E4867&amp;F4867&amp;G4867)</f>
        <v/>
      </c>
      <c r="I4867">
        <f>IF(A4867="","",IF(AND(E4867&gt;=4,F4867&gt;=4,G4867&gt;=4),"Juara",IF(AND(F4867&gt;=4,E4867&gt;=3),"Setia",IF(AND(E4867=5,F4867&lt;=2,G4867&gt;=3),"Berpotensi",IF(AND(E4867&lt;=3,E4867&gt;=2,F4867&gt;=3),"Rawan",IF(AND(E4867&lt;=2,F4867&lt;=2),"Tidur","Umum"))))))</f>
        <v/>
      </c>
    </row>
    <row r="4868">
      <c r="B4868">
        <f>IF(A4868="","",$B$1-MAXIFS(Donasi!$A$2:$A$20000,Donasi!$B$2:$B$20000,A4868))</f>
        <v/>
      </c>
      <c r="C4868">
        <f>IF(A4868="","",COUNTIF(Donasi!$B$2:$B$20000,A4868))</f>
        <v/>
      </c>
      <c r="D4868">
        <f>IF(A4868="","",SUMIF(Donasi!$B$2:$B$20000,A4868,Donasi!$C$2:$C$20000))</f>
        <v/>
      </c>
      <c r="E4868">
        <f>IF(A4868="","",6-CEILING(PERCENTRANK.INC($B$3:$B$6000,B4868,4)*5+0.000001,1))</f>
        <v/>
      </c>
      <c r="F4868">
        <f>IF(A4868="","",MAX(1,CEILING(PERCENTRANK.INC($C$3:$C$6000,C4868,4)*5+0.000001,1)))</f>
        <v/>
      </c>
      <c r="G4868">
        <f>IF(A4868="","",MAX(1,CEILING(PERCENTRANK.INC($D$3:$D$6000,D4868,4)*5+0.000001,1)))</f>
        <v/>
      </c>
      <c r="H4868">
        <f>IF(A4868="","",E4868&amp;F4868&amp;G4868)</f>
        <v/>
      </c>
      <c r="I4868">
        <f>IF(A4868="","",IF(AND(E4868&gt;=4,F4868&gt;=4,G4868&gt;=4),"Juara",IF(AND(F4868&gt;=4,E4868&gt;=3),"Setia",IF(AND(E4868=5,F4868&lt;=2,G4868&gt;=3),"Berpotensi",IF(AND(E4868&lt;=3,E4868&gt;=2,F4868&gt;=3),"Rawan",IF(AND(E4868&lt;=2,F4868&lt;=2),"Tidur","Umum"))))))</f>
        <v/>
      </c>
    </row>
    <row r="4869">
      <c r="B4869">
        <f>IF(A4869="","",$B$1-MAXIFS(Donasi!$A$2:$A$20000,Donasi!$B$2:$B$20000,A4869))</f>
        <v/>
      </c>
      <c r="C4869">
        <f>IF(A4869="","",COUNTIF(Donasi!$B$2:$B$20000,A4869))</f>
        <v/>
      </c>
      <c r="D4869">
        <f>IF(A4869="","",SUMIF(Donasi!$B$2:$B$20000,A4869,Donasi!$C$2:$C$20000))</f>
        <v/>
      </c>
      <c r="E4869">
        <f>IF(A4869="","",6-CEILING(PERCENTRANK.INC($B$3:$B$6000,B4869,4)*5+0.000001,1))</f>
        <v/>
      </c>
      <c r="F4869">
        <f>IF(A4869="","",MAX(1,CEILING(PERCENTRANK.INC($C$3:$C$6000,C4869,4)*5+0.000001,1)))</f>
        <v/>
      </c>
      <c r="G4869">
        <f>IF(A4869="","",MAX(1,CEILING(PERCENTRANK.INC($D$3:$D$6000,D4869,4)*5+0.000001,1)))</f>
        <v/>
      </c>
      <c r="H4869">
        <f>IF(A4869="","",E4869&amp;F4869&amp;G4869)</f>
        <v/>
      </c>
      <c r="I4869">
        <f>IF(A4869="","",IF(AND(E4869&gt;=4,F4869&gt;=4,G4869&gt;=4),"Juara",IF(AND(F4869&gt;=4,E4869&gt;=3),"Setia",IF(AND(E4869=5,F4869&lt;=2,G4869&gt;=3),"Berpotensi",IF(AND(E4869&lt;=3,E4869&gt;=2,F4869&gt;=3),"Rawan",IF(AND(E4869&lt;=2,F4869&lt;=2),"Tidur","Umum"))))))</f>
        <v/>
      </c>
    </row>
    <row r="4870">
      <c r="B4870">
        <f>IF(A4870="","",$B$1-MAXIFS(Donasi!$A$2:$A$20000,Donasi!$B$2:$B$20000,A4870))</f>
        <v/>
      </c>
      <c r="C4870">
        <f>IF(A4870="","",COUNTIF(Donasi!$B$2:$B$20000,A4870))</f>
        <v/>
      </c>
      <c r="D4870">
        <f>IF(A4870="","",SUMIF(Donasi!$B$2:$B$20000,A4870,Donasi!$C$2:$C$20000))</f>
        <v/>
      </c>
      <c r="E4870">
        <f>IF(A4870="","",6-CEILING(PERCENTRANK.INC($B$3:$B$6000,B4870,4)*5+0.000001,1))</f>
        <v/>
      </c>
      <c r="F4870">
        <f>IF(A4870="","",MAX(1,CEILING(PERCENTRANK.INC($C$3:$C$6000,C4870,4)*5+0.000001,1)))</f>
        <v/>
      </c>
      <c r="G4870">
        <f>IF(A4870="","",MAX(1,CEILING(PERCENTRANK.INC($D$3:$D$6000,D4870,4)*5+0.000001,1)))</f>
        <v/>
      </c>
      <c r="H4870">
        <f>IF(A4870="","",E4870&amp;F4870&amp;G4870)</f>
        <v/>
      </c>
      <c r="I4870">
        <f>IF(A4870="","",IF(AND(E4870&gt;=4,F4870&gt;=4,G4870&gt;=4),"Juara",IF(AND(F4870&gt;=4,E4870&gt;=3),"Setia",IF(AND(E4870=5,F4870&lt;=2,G4870&gt;=3),"Berpotensi",IF(AND(E4870&lt;=3,E4870&gt;=2,F4870&gt;=3),"Rawan",IF(AND(E4870&lt;=2,F4870&lt;=2),"Tidur","Umum"))))))</f>
        <v/>
      </c>
    </row>
    <row r="4871">
      <c r="B4871">
        <f>IF(A4871="","",$B$1-MAXIFS(Donasi!$A$2:$A$20000,Donasi!$B$2:$B$20000,A4871))</f>
        <v/>
      </c>
      <c r="C4871">
        <f>IF(A4871="","",COUNTIF(Donasi!$B$2:$B$20000,A4871))</f>
        <v/>
      </c>
      <c r="D4871">
        <f>IF(A4871="","",SUMIF(Donasi!$B$2:$B$20000,A4871,Donasi!$C$2:$C$20000))</f>
        <v/>
      </c>
      <c r="E4871">
        <f>IF(A4871="","",6-CEILING(PERCENTRANK.INC($B$3:$B$6000,B4871,4)*5+0.000001,1))</f>
        <v/>
      </c>
      <c r="F4871">
        <f>IF(A4871="","",MAX(1,CEILING(PERCENTRANK.INC($C$3:$C$6000,C4871,4)*5+0.000001,1)))</f>
        <v/>
      </c>
      <c r="G4871">
        <f>IF(A4871="","",MAX(1,CEILING(PERCENTRANK.INC($D$3:$D$6000,D4871,4)*5+0.000001,1)))</f>
        <v/>
      </c>
      <c r="H4871">
        <f>IF(A4871="","",E4871&amp;F4871&amp;G4871)</f>
        <v/>
      </c>
      <c r="I4871">
        <f>IF(A4871="","",IF(AND(E4871&gt;=4,F4871&gt;=4,G4871&gt;=4),"Juara",IF(AND(F4871&gt;=4,E4871&gt;=3),"Setia",IF(AND(E4871=5,F4871&lt;=2,G4871&gt;=3),"Berpotensi",IF(AND(E4871&lt;=3,E4871&gt;=2,F4871&gt;=3),"Rawan",IF(AND(E4871&lt;=2,F4871&lt;=2),"Tidur","Umum"))))))</f>
        <v/>
      </c>
    </row>
    <row r="4872">
      <c r="B4872">
        <f>IF(A4872="","",$B$1-MAXIFS(Donasi!$A$2:$A$20000,Donasi!$B$2:$B$20000,A4872))</f>
        <v/>
      </c>
      <c r="C4872">
        <f>IF(A4872="","",COUNTIF(Donasi!$B$2:$B$20000,A4872))</f>
        <v/>
      </c>
      <c r="D4872">
        <f>IF(A4872="","",SUMIF(Donasi!$B$2:$B$20000,A4872,Donasi!$C$2:$C$20000))</f>
        <v/>
      </c>
      <c r="E4872">
        <f>IF(A4872="","",6-CEILING(PERCENTRANK.INC($B$3:$B$6000,B4872,4)*5+0.000001,1))</f>
        <v/>
      </c>
      <c r="F4872">
        <f>IF(A4872="","",MAX(1,CEILING(PERCENTRANK.INC($C$3:$C$6000,C4872,4)*5+0.000001,1)))</f>
        <v/>
      </c>
      <c r="G4872">
        <f>IF(A4872="","",MAX(1,CEILING(PERCENTRANK.INC($D$3:$D$6000,D4872,4)*5+0.000001,1)))</f>
        <v/>
      </c>
      <c r="H4872">
        <f>IF(A4872="","",E4872&amp;F4872&amp;G4872)</f>
        <v/>
      </c>
      <c r="I4872">
        <f>IF(A4872="","",IF(AND(E4872&gt;=4,F4872&gt;=4,G4872&gt;=4),"Juara",IF(AND(F4872&gt;=4,E4872&gt;=3),"Setia",IF(AND(E4872=5,F4872&lt;=2,G4872&gt;=3),"Berpotensi",IF(AND(E4872&lt;=3,E4872&gt;=2,F4872&gt;=3),"Rawan",IF(AND(E4872&lt;=2,F4872&lt;=2),"Tidur","Umum"))))))</f>
        <v/>
      </c>
    </row>
    <row r="4873">
      <c r="B4873">
        <f>IF(A4873="","",$B$1-MAXIFS(Donasi!$A$2:$A$20000,Donasi!$B$2:$B$20000,A4873))</f>
        <v/>
      </c>
      <c r="C4873">
        <f>IF(A4873="","",COUNTIF(Donasi!$B$2:$B$20000,A4873))</f>
        <v/>
      </c>
      <c r="D4873">
        <f>IF(A4873="","",SUMIF(Donasi!$B$2:$B$20000,A4873,Donasi!$C$2:$C$20000))</f>
        <v/>
      </c>
      <c r="E4873">
        <f>IF(A4873="","",6-CEILING(PERCENTRANK.INC($B$3:$B$6000,B4873,4)*5+0.000001,1))</f>
        <v/>
      </c>
      <c r="F4873">
        <f>IF(A4873="","",MAX(1,CEILING(PERCENTRANK.INC($C$3:$C$6000,C4873,4)*5+0.000001,1)))</f>
        <v/>
      </c>
      <c r="G4873">
        <f>IF(A4873="","",MAX(1,CEILING(PERCENTRANK.INC($D$3:$D$6000,D4873,4)*5+0.000001,1)))</f>
        <v/>
      </c>
      <c r="H4873">
        <f>IF(A4873="","",E4873&amp;F4873&amp;G4873)</f>
        <v/>
      </c>
      <c r="I4873">
        <f>IF(A4873="","",IF(AND(E4873&gt;=4,F4873&gt;=4,G4873&gt;=4),"Juara",IF(AND(F4873&gt;=4,E4873&gt;=3),"Setia",IF(AND(E4873=5,F4873&lt;=2,G4873&gt;=3),"Berpotensi",IF(AND(E4873&lt;=3,E4873&gt;=2,F4873&gt;=3),"Rawan",IF(AND(E4873&lt;=2,F4873&lt;=2),"Tidur","Umum"))))))</f>
        <v/>
      </c>
    </row>
    <row r="4874">
      <c r="B4874">
        <f>IF(A4874="","",$B$1-MAXIFS(Donasi!$A$2:$A$20000,Donasi!$B$2:$B$20000,A4874))</f>
        <v/>
      </c>
      <c r="C4874">
        <f>IF(A4874="","",COUNTIF(Donasi!$B$2:$B$20000,A4874))</f>
        <v/>
      </c>
      <c r="D4874">
        <f>IF(A4874="","",SUMIF(Donasi!$B$2:$B$20000,A4874,Donasi!$C$2:$C$20000))</f>
        <v/>
      </c>
      <c r="E4874">
        <f>IF(A4874="","",6-CEILING(PERCENTRANK.INC($B$3:$B$6000,B4874,4)*5+0.000001,1))</f>
        <v/>
      </c>
      <c r="F4874">
        <f>IF(A4874="","",MAX(1,CEILING(PERCENTRANK.INC($C$3:$C$6000,C4874,4)*5+0.000001,1)))</f>
        <v/>
      </c>
      <c r="G4874">
        <f>IF(A4874="","",MAX(1,CEILING(PERCENTRANK.INC($D$3:$D$6000,D4874,4)*5+0.000001,1)))</f>
        <v/>
      </c>
      <c r="H4874">
        <f>IF(A4874="","",E4874&amp;F4874&amp;G4874)</f>
        <v/>
      </c>
      <c r="I4874">
        <f>IF(A4874="","",IF(AND(E4874&gt;=4,F4874&gt;=4,G4874&gt;=4),"Juara",IF(AND(F4874&gt;=4,E4874&gt;=3),"Setia",IF(AND(E4874=5,F4874&lt;=2,G4874&gt;=3),"Berpotensi",IF(AND(E4874&lt;=3,E4874&gt;=2,F4874&gt;=3),"Rawan",IF(AND(E4874&lt;=2,F4874&lt;=2),"Tidur","Umum"))))))</f>
        <v/>
      </c>
    </row>
    <row r="4875">
      <c r="B4875">
        <f>IF(A4875="","",$B$1-MAXIFS(Donasi!$A$2:$A$20000,Donasi!$B$2:$B$20000,A4875))</f>
        <v/>
      </c>
      <c r="C4875">
        <f>IF(A4875="","",COUNTIF(Donasi!$B$2:$B$20000,A4875))</f>
        <v/>
      </c>
      <c r="D4875">
        <f>IF(A4875="","",SUMIF(Donasi!$B$2:$B$20000,A4875,Donasi!$C$2:$C$20000))</f>
        <v/>
      </c>
      <c r="E4875">
        <f>IF(A4875="","",6-CEILING(PERCENTRANK.INC($B$3:$B$6000,B4875,4)*5+0.000001,1))</f>
        <v/>
      </c>
      <c r="F4875">
        <f>IF(A4875="","",MAX(1,CEILING(PERCENTRANK.INC($C$3:$C$6000,C4875,4)*5+0.000001,1)))</f>
        <v/>
      </c>
      <c r="G4875">
        <f>IF(A4875="","",MAX(1,CEILING(PERCENTRANK.INC($D$3:$D$6000,D4875,4)*5+0.000001,1)))</f>
        <v/>
      </c>
      <c r="H4875">
        <f>IF(A4875="","",E4875&amp;F4875&amp;G4875)</f>
        <v/>
      </c>
      <c r="I4875">
        <f>IF(A4875="","",IF(AND(E4875&gt;=4,F4875&gt;=4,G4875&gt;=4),"Juara",IF(AND(F4875&gt;=4,E4875&gt;=3),"Setia",IF(AND(E4875=5,F4875&lt;=2,G4875&gt;=3),"Berpotensi",IF(AND(E4875&lt;=3,E4875&gt;=2,F4875&gt;=3),"Rawan",IF(AND(E4875&lt;=2,F4875&lt;=2),"Tidur","Umum"))))))</f>
        <v/>
      </c>
    </row>
    <row r="4876">
      <c r="B4876">
        <f>IF(A4876="","",$B$1-MAXIFS(Donasi!$A$2:$A$20000,Donasi!$B$2:$B$20000,A4876))</f>
        <v/>
      </c>
      <c r="C4876">
        <f>IF(A4876="","",COUNTIF(Donasi!$B$2:$B$20000,A4876))</f>
        <v/>
      </c>
      <c r="D4876">
        <f>IF(A4876="","",SUMIF(Donasi!$B$2:$B$20000,A4876,Donasi!$C$2:$C$20000))</f>
        <v/>
      </c>
      <c r="E4876">
        <f>IF(A4876="","",6-CEILING(PERCENTRANK.INC($B$3:$B$6000,B4876,4)*5+0.000001,1))</f>
        <v/>
      </c>
      <c r="F4876">
        <f>IF(A4876="","",MAX(1,CEILING(PERCENTRANK.INC($C$3:$C$6000,C4876,4)*5+0.000001,1)))</f>
        <v/>
      </c>
      <c r="G4876">
        <f>IF(A4876="","",MAX(1,CEILING(PERCENTRANK.INC($D$3:$D$6000,D4876,4)*5+0.000001,1)))</f>
        <v/>
      </c>
      <c r="H4876">
        <f>IF(A4876="","",E4876&amp;F4876&amp;G4876)</f>
        <v/>
      </c>
      <c r="I4876">
        <f>IF(A4876="","",IF(AND(E4876&gt;=4,F4876&gt;=4,G4876&gt;=4),"Juara",IF(AND(F4876&gt;=4,E4876&gt;=3),"Setia",IF(AND(E4876=5,F4876&lt;=2,G4876&gt;=3),"Berpotensi",IF(AND(E4876&lt;=3,E4876&gt;=2,F4876&gt;=3),"Rawan",IF(AND(E4876&lt;=2,F4876&lt;=2),"Tidur","Umum"))))))</f>
        <v/>
      </c>
    </row>
    <row r="4877">
      <c r="B4877">
        <f>IF(A4877="","",$B$1-MAXIFS(Donasi!$A$2:$A$20000,Donasi!$B$2:$B$20000,A4877))</f>
        <v/>
      </c>
      <c r="C4877">
        <f>IF(A4877="","",COUNTIF(Donasi!$B$2:$B$20000,A4877))</f>
        <v/>
      </c>
      <c r="D4877">
        <f>IF(A4877="","",SUMIF(Donasi!$B$2:$B$20000,A4877,Donasi!$C$2:$C$20000))</f>
        <v/>
      </c>
      <c r="E4877">
        <f>IF(A4877="","",6-CEILING(PERCENTRANK.INC($B$3:$B$6000,B4877,4)*5+0.000001,1))</f>
        <v/>
      </c>
      <c r="F4877">
        <f>IF(A4877="","",MAX(1,CEILING(PERCENTRANK.INC($C$3:$C$6000,C4877,4)*5+0.000001,1)))</f>
        <v/>
      </c>
      <c r="G4877">
        <f>IF(A4877="","",MAX(1,CEILING(PERCENTRANK.INC($D$3:$D$6000,D4877,4)*5+0.000001,1)))</f>
        <v/>
      </c>
      <c r="H4877">
        <f>IF(A4877="","",E4877&amp;F4877&amp;G4877)</f>
        <v/>
      </c>
      <c r="I4877">
        <f>IF(A4877="","",IF(AND(E4877&gt;=4,F4877&gt;=4,G4877&gt;=4),"Juara",IF(AND(F4877&gt;=4,E4877&gt;=3),"Setia",IF(AND(E4877=5,F4877&lt;=2,G4877&gt;=3),"Berpotensi",IF(AND(E4877&lt;=3,E4877&gt;=2,F4877&gt;=3),"Rawan",IF(AND(E4877&lt;=2,F4877&lt;=2),"Tidur","Umum"))))))</f>
        <v/>
      </c>
    </row>
    <row r="4878">
      <c r="B4878">
        <f>IF(A4878="","",$B$1-MAXIFS(Donasi!$A$2:$A$20000,Donasi!$B$2:$B$20000,A4878))</f>
        <v/>
      </c>
      <c r="C4878">
        <f>IF(A4878="","",COUNTIF(Donasi!$B$2:$B$20000,A4878))</f>
        <v/>
      </c>
      <c r="D4878">
        <f>IF(A4878="","",SUMIF(Donasi!$B$2:$B$20000,A4878,Donasi!$C$2:$C$20000))</f>
        <v/>
      </c>
      <c r="E4878">
        <f>IF(A4878="","",6-CEILING(PERCENTRANK.INC($B$3:$B$6000,B4878,4)*5+0.000001,1))</f>
        <v/>
      </c>
      <c r="F4878">
        <f>IF(A4878="","",MAX(1,CEILING(PERCENTRANK.INC($C$3:$C$6000,C4878,4)*5+0.000001,1)))</f>
        <v/>
      </c>
      <c r="G4878">
        <f>IF(A4878="","",MAX(1,CEILING(PERCENTRANK.INC($D$3:$D$6000,D4878,4)*5+0.000001,1)))</f>
        <v/>
      </c>
      <c r="H4878">
        <f>IF(A4878="","",E4878&amp;F4878&amp;G4878)</f>
        <v/>
      </c>
      <c r="I4878">
        <f>IF(A4878="","",IF(AND(E4878&gt;=4,F4878&gt;=4,G4878&gt;=4),"Juara",IF(AND(F4878&gt;=4,E4878&gt;=3),"Setia",IF(AND(E4878=5,F4878&lt;=2,G4878&gt;=3),"Berpotensi",IF(AND(E4878&lt;=3,E4878&gt;=2,F4878&gt;=3),"Rawan",IF(AND(E4878&lt;=2,F4878&lt;=2),"Tidur","Umum"))))))</f>
        <v/>
      </c>
    </row>
    <row r="4879">
      <c r="B4879">
        <f>IF(A4879="","",$B$1-MAXIFS(Donasi!$A$2:$A$20000,Donasi!$B$2:$B$20000,A4879))</f>
        <v/>
      </c>
      <c r="C4879">
        <f>IF(A4879="","",COUNTIF(Donasi!$B$2:$B$20000,A4879))</f>
        <v/>
      </c>
      <c r="D4879">
        <f>IF(A4879="","",SUMIF(Donasi!$B$2:$B$20000,A4879,Donasi!$C$2:$C$20000))</f>
        <v/>
      </c>
      <c r="E4879">
        <f>IF(A4879="","",6-CEILING(PERCENTRANK.INC($B$3:$B$6000,B4879,4)*5+0.000001,1))</f>
        <v/>
      </c>
      <c r="F4879">
        <f>IF(A4879="","",MAX(1,CEILING(PERCENTRANK.INC($C$3:$C$6000,C4879,4)*5+0.000001,1)))</f>
        <v/>
      </c>
      <c r="G4879">
        <f>IF(A4879="","",MAX(1,CEILING(PERCENTRANK.INC($D$3:$D$6000,D4879,4)*5+0.000001,1)))</f>
        <v/>
      </c>
      <c r="H4879">
        <f>IF(A4879="","",E4879&amp;F4879&amp;G4879)</f>
        <v/>
      </c>
      <c r="I4879">
        <f>IF(A4879="","",IF(AND(E4879&gt;=4,F4879&gt;=4,G4879&gt;=4),"Juara",IF(AND(F4879&gt;=4,E4879&gt;=3),"Setia",IF(AND(E4879=5,F4879&lt;=2,G4879&gt;=3),"Berpotensi",IF(AND(E4879&lt;=3,E4879&gt;=2,F4879&gt;=3),"Rawan",IF(AND(E4879&lt;=2,F4879&lt;=2),"Tidur","Umum"))))))</f>
        <v/>
      </c>
    </row>
    <row r="4880">
      <c r="B4880">
        <f>IF(A4880="","",$B$1-MAXIFS(Donasi!$A$2:$A$20000,Donasi!$B$2:$B$20000,A4880))</f>
        <v/>
      </c>
      <c r="C4880">
        <f>IF(A4880="","",COUNTIF(Donasi!$B$2:$B$20000,A4880))</f>
        <v/>
      </c>
      <c r="D4880">
        <f>IF(A4880="","",SUMIF(Donasi!$B$2:$B$20000,A4880,Donasi!$C$2:$C$20000))</f>
        <v/>
      </c>
      <c r="E4880">
        <f>IF(A4880="","",6-CEILING(PERCENTRANK.INC($B$3:$B$6000,B4880,4)*5+0.000001,1))</f>
        <v/>
      </c>
      <c r="F4880">
        <f>IF(A4880="","",MAX(1,CEILING(PERCENTRANK.INC($C$3:$C$6000,C4880,4)*5+0.000001,1)))</f>
        <v/>
      </c>
      <c r="G4880">
        <f>IF(A4880="","",MAX(1,CEILING(PERCENTRANK.INC($D$3:$D$6000,D4880,4)*5+0.000001,1)))</f>
        <v/>
      </c>
      <c r="H4880">
        <f>IF(A4880="","",E4880&amp;F4880&amp;G4880)</f>
        <v/>
      </c>
      <c r="I4880">
        <f>IF(A4880="","",IF(AND(E4880&gt;=4,F4880&gt;=4,G4880&gt;=4),"Juara",IF(AND(F4880&gt;=4,E4880&gt;=3),"Setia",IF(AND(E4880=5,F4880&lt;=2,G4880&gt;=3),"Berpotensi",IF(AND(E4880&lt;=3,E4880&gt;=2,F4880&gt;=3),"Rawan",IF(AND(E4880&lt;=2,F4880&lt;=2),"Tidur","Umum"))))))</f>
        <v/>
      </c>
    </row>
    <row r="4881">
      <c r="B4881">
        <f>IF(A4881="","",$B$1-MAXIFS(Donasi!$A$2:$A$20000,Donasi!$B$2:$B$20000,A4881))</f>
        <v/>
      </c>
      <c r="C4881">
        <f>IF(A4881="","",COUNTIF(Donasi!$B$2:$B$20000,A4881))</f>
        <v/>
      </c>
      <c r="D4881">
        <f>IF(A4881="","",SUMIF(Donasi!$B$2:$B$20000,A4881,Donasi!$C$2:$C$20000))</f>
        <v/>
      </c>
      <c r="E4881">
        <f>IF(A4881="","",6-CEILING(PERCENTRANK.INC($B$3:$B$6000,B4881,4)*5+0.000001,1))</f>
        <v/>
      </c>
      <c r="F4881">
        <f>IF(A4881="","",MAX(1,CEILING(PERCENTRANK.INC($C$3:$C$6000,C4881,4)*5+0.000001,1)))</f>
        <v/>
      </c>
      <c r="G4881">
        <f>IF(A4881="","",MAX(1,CEILING(PERCENTRANK.INC($D$3:$D$6000,D4881,4)*5+0.000001,1)))</f>
        <v/>
      </c>
      <c r="H4881">
        <f>IF(A4881="","",E4881&amp;F4881&amp;G4881)</f>
        <v/>
      </c>
      <c r="I4881">
        <f>IF(A4881="","",IF(AND(E4881&gt;=4,F4881&gt;=4,G4881&gt;=4),"Juara",IF(AND(F4881&gt;=4,E4881&gt;=3),"Setia",IF(AND(E4881=5,F4881&lt;=2,G4881&gt;=3),"Berpotensi",IF(AND(E4881&lt;=3,E4881&gt;=2,F4881&gt;=3),"Rawan",IF(AND(E4881&lt;=2,F4881&lt;=2),"Tidur","Umum"))))))</f>
        <v/>
      </c>
    </row>
    <row r="4882">
      <c r="B4882">
        <f>IF(A4882="","",$B$1-MAXIFS(Donasi!$A$2:$A$20000,Donasi!$B$2:$B$20000,A4882))</f>
        <v/>
      </c>
      <c r="C4882">
        <f>IF(A4882="","",COUNTIF(Donasi!$B$2:$B$20000,A4882))</f>
        <v/>
      </c>
      <c r="D4882">
        <f>IF(A4882="","",SUMIF(Donasi!$B$2:$B$20000,A4882,Donasi!$C$2:$C$20000))</f>
        <v/>
      </c>
      <c r="E4882">
        <f>IF(A4882="","",6-CEILING(PERCENTRANK.INC($B$3:$B$6000,B4882,4)*5+0.000001,1))</f>
        <v/>
      </c>
      <c r="F4882">
        <f>IF(A4882="","",MAX(1,CEILING(PERCENTRANK.INC($C$3:$C$6000,C4882,4)*5+0.000001,1)))</f>
        <v/>
      </c>
      <c r="G4882">
        <f>IF(A4882="","",MAX(1,CEILING(PERCENTRANK.INC($D$3:$D$6000,D4882,4)*5+0.000001,1)))</f>
        <v/>
      </c>
      <c r="H4882">
        <f>IF(A4882="","",E4882&amp;F4882&amp;G4882)</f>
        <v/>
      </c>
      <c r="I4882">
        <f>IF(A4882="","",IF(AND(E4882&gt;=4,F4882&gt;=4,G4882&gt;=4),"Juara",IF(AND(F4882&gt;=4,E4882&gt;=3),"Setia",IF(AND(E4882=5,F4882&lt;=2,G4882&gt;=3),"Berpotensi",IF(AND(E4882&lt;=3,E4882&gt;=2,F4882&gt;=3),"Rawan",IF(AND(E4882&lt;=2,F4882&lt;=2),"Tidur","Umum"))))))</f>
        <v/>
      </c>
    </row>
    <row r="4883">
      <c r="B4883">
        <f>IF(A4883="","",$B$1-MAXIFS(Donasi!$A$2:$A$20000,Donasi!$B$2:$B$20000,A4883))</f>
        <v/>
      </c>
      <c r="C4883">
        <f>IF(A4883="","",COUNTIF(Donasi!$B$2:$B$20000,A4883))</f>
        <v/>
      </c>
      <c r="D4883">
        <f>IF(A4883="","",SUMIF(Donasi!$B$2:$B$20000,A4883,Donasi!$C$2:$C$20000))</f>
        <v/>
      </c>
      <c r="E4883">
        <f>IF(A4883="","",6-CEILING(PERCENTRANK.INC($B$3:$B$6000,B4883,4)*5+0.000001,1))</f>
        <v/>
      </c>
      <c r="F4883">
        <f>IF(A4883="","",MAX(1,CEILING(PERCENTRANK.INC($C$3:$C$6000,C4883,4)*5+0.000001,1)))</f>
        <v/>
      </c>
      <c r="G4883">
        <f>IF(A4883="","",MAX(1,CEILING(PERCENTRANK.INC($D$3:$D$6000,D4883,4)*5+0.000001,1)))</f>
        <v/>
      </c>
      <c r="H4883">
        <f>IF(A4883="","",E4883&amp;F4883&amp;G4883)</f>
        <v/>
      </c>
      <c r="I4883">
        <f>IF(A4883="","",IF(AND(E4883&gt;=4,F4883&gt;=4,G4883&gt;=4),"Juara",IF(AND(F4883&gt;=4,E4883&gt;=3),"Setia",IF(AND(E4883=5,F4883&lt;=2,G4883&gt;=3),"Berpotensi",IF(AND(E4883&lt;=3,E4883&gt;=2,F4883&gt;=3),"Rawan",IF(AND(E4883&lt;=2,F4883&lt;=2),"Tidur","Umum"))))))</f>
        <v/>
      </c>
    </row>
    <row r="4884">
      <c r="B4884">
        <f>IF(A4884="","",$B$1-MAXIFS(Donasi!$A$2:$A$20000,Donasi!$B$2:$B$20000,A4884))</f>
        <v/>
      </c>
      <c r="C4884">
        <f>IF(A4884="","",COUNTIF(Donasi!$B$2:$B$20000,A4884))</f>
        <v/>
      </c>
      <c r="D4884">
        <f>IF(A4884="","",SUMIF(Donasi!$B$2:$B$20000,A4884,Donasi!$C$2:$C$20000))</f>
        <v/>
      </c>
      <c r="E4884">
        <f>IF(A4884="","",6-CEILING(PERCENTRANK.INC($B$3:$B$6000,B4884,4)*5+0.000001,1))</f>
        <v/>
      </c>
      <c r="F4884">
        <f>IF(A4884="","",MAX(1,CEILING(PERCENTRANK.INC($C$3:$C$6000,C4884,4)*5+0.000001,1)))</f>
        <v/>
      </c>
      <c r="G4884">
        <f>IF(A4884="","",MAX(1,CEILING(PERCENTRANK.INC($D$3:$D$6000,D4884,4)*5+0.000001,1)))</f>
        <v/>
      </c>
      <c r="H4884">
        <f>IF(A4884="","",E4884&amp;F4884&amp;G4884)</f>
        <v/>
      </c>
      <c r="I4884">
        <f>IF(A4884="","",IF(AND(E4884&gt;=4,F4884&gt;=4,G4884&gt;=4),"Juara",IF(AND(F4884&gt;=4,E4884&gt;=3),"Setia",IF(AND(E4884=5,F4884&lt;=2,G4884&gt;=3),"Berpotensi",IF(AND(E4884&lt;=3,E4884&gt;=2,F4884&gt;=3),"Rawan",IF(AND(E4884&lt;=2,F4884&lt;=2),"Tidur","Umum"))))))</f>
        <v/>
      </c>
    </row>
    <row r="4885">
      <c r="B4885">
        <f>IF(A4885="","",$B$1-MAXIFS(Donasi!$A$2:$A$20000,Donasi!$B$2:$B$20000,A4885))</f>
        <v/>
      </c>
      <c r="C4885">
        <f>IF(A4885="","",COUNTIF(Donasi!$B$2:$B$20000,A4885))</f>
        <v/>
      </c>
      <c r="D4885">
        <f>IF(A4885="","",SUMIF(Donasi!$B$2:$B$20000,A4885,Donasi!$C$2:$C$20000))</f>
        <v/>
      </c>
      <c r="E4885">
        <f>IF(A4885="","",6-CEILING(PERCENTRANK.INC($B$3:$B$6000,B4885,4)*5+0.000001,1))</f>
        <v/>
      </c>
      <c r="F4885">
        <f>IF(A4885="","",MAX(1,CEILING(PERCENTRANK.INC($C$3:$C$6000,C4885,4)*5+0.000001,1)))</f>
        <v/>
      </c>
      <c r="G4885">
        <f>IF(A4885="","",MAX(1,CEILING(PERCENTRANK.INC($D$3:$D$6000,D4885,4)*5+0.000001,1)))</f>
        <v/>
      </c>
      <c r="H4885">
        <f>IF(A4885="","",E4885&amp;F4885&amp;G4885)</f>
        <v/>
      </c>
      <c r="I4885">
        <f>IF(A4885="","",IF(AND(E4885&gt;=4,F4885&gt;=4,G4885&gt;=4),"Juara",IF(AND(F4885&gt;=4,E4885&gt;=3),"Setia",IF(AND(E4885=5,F4885&lt;=2,G4885&gt;=3),"Berpotensi",IF(AND(E4885&lt;=3,E4885&gt;=2,F4885&gt;=3),"Rawan",IF(AND(E4885&lt;=2,F4885&lt;=2),"Tidur","Umum"))))))</f>
        <v/>
      </c>
    </row>
    <row r="4886">
      <c r="B4886">
        <f>IF(A4886="","",$B$1-MAXIFS(Donasi!$A$2:$A$20000,Donasi!$B$2:$B$20000,A4886))</f>
        <v/>
      </c>
      <c r="C4886">
        <f>IF(A4886="","",COUNTIF(Donasi!$B$2:$B$20000,A4886))</f>
        <v/>
      </c>
      <c r="D4886">
        <f>IF(A4886="","",SUMIF(Donasi!$B$2:$B$20000,A4886,Donasi!$C$2:$C$20000))</f>
        <v/>
      </c>
      <c r="E4886">
        <f>IF(A4886="","",6-CEILING(PERCENTRANK.INC($B$3:$B$6000,B4886,4)*5+0.000001,1))</f>
        <v/>
      </c>
      <c r="F4886">
        <f>IF(A4886="","",MAX(1,CEILING(PERCENTRANK.INC($C$3:$C$6000,C4886,4)*5+0.000001,1)))</f>
        <v/>
      </c>
      <c r="G4886">
        <f>IF(A4886="","",MAX(1,CEILING(PERCENTRANK.INC($D$3:$D$6000,D4886,4)*5+0.000001,1)))</f>
        <v/>
      </c>
      <c r="H4886">
        <f>IF(A4886="","",E4886&amp;F4886&amp;G4886)</f>
        <v/>
      </c>
      <c r="I4886">
        <f>IF(A4886="","",IF(AND(E4886&gt;=4,F4886&gt;=4,G4886&gt;=4),"Juara",IF(AND(F4886&gt;=4,E4886&gt;=3),"Setia",IF(AND(E4886=5,F4886&lt;=2,G4886&gt;=3),"Berpotensi",IF(AND(E4886&lt;=3,E4886&gt;=2,F4886&gt;=3),"Rawan",IF(AND(E4886&lt;=2,F4886&lt;=2),"Tidur","Umum"))))))</f>
        <v/>
      </c>
    </row>
    <row r="4887">
      <c r="B4887">
        <f>IF(A4887="","",$B$1-MAXIFS(Donasi!$A$2:$A$20000,Donasi!$B$2:$B$20000,A4887))</f>
        <v/>
      </c>
      <c r="C4887">
        <f>IF(A4887="","",COUNTIF(Donasi!$B$2:$B$20000,A4887))</f>
        <v/>
      </c>
      <c r="D4887">
        <f>IF(A4887="","",SUMIF(Donasi!$B$2:$B$20000,A4887,Donasi!$C$2:$C$20000))</f>
        <v/>
      </c>
      <c r="E4887">
        <f>IF(A4887="","",6-CEILING(PERCENTRANK.INC($B$3:$B$6000,B4887,4)*5+0.000001,1))</f>
        <v/>
      </c>
      <c r="F4887">
        <f>IF(A4887="","",MAX(1,CEILING(PERCENTRANK.INC($C$3:$C$6000,C4887,4)*5+0.000001,1)))</f>
        <v/>
      </c>
      <c r="G4887">
        <f>IF(A4887="","",MAX(1,CEILING(PERCENTRANK.INC($D$3:$D$6000,D4887,4)*5+0.000001,1)))</f>
        <v/>
      </c>
      <c r="H4887">
        <f>IF(A4887="","",E4887&amp;F4887&amp;G4887)</f>
        <v/>
      </c>
      <c r="I4887">
        <f>IF(A4887="","",IF(AND(E4887&gt;=4,F4887&gt;=4,G4887&gt;=4),"Juara",IF(AND(F4887&gt;=4,E4887&gt;=3),"Setia",IF(AND(E4887=5,F4887&lt;=2,G4887&gt;=3),"Berpotensi",IF(AND(E4887&lt;=3,E4887&gt;=2,F4887&gt;=3),"Rawan",IF(AND(E4887&lt;=2,F4887&lt;=2),"Tidur","Umum"))))))</f>
        <v/>
      </c>
    </row>
    <row r="4888">
      <c r="B4888">
        <f>IF(A4888="","",$B$1-MAXIFS(Donasi!$A$2:$A$20000,Donasi!$B$2:$B$20000,A4888))</f>
        <v/>
      </c>
      <c r="C4888">
        <f>IF(A4888="","",COUNTIF(Donasi!$B$2:$B$20000,A4888))</f>
        <v/>
      </c>
      <c r="D4888">
        <f>IF(A4888="","",SUMIF(Donasi!$B$2:$B$20000,A4888,Donasi!$C$2:$C$20000))</f>
        <v/>
      </c>
      <c r="E4888">
        <f>IF(A4888="","",6-CEILING(PERCENTRANK.INC($B$3:$B$6000,B4888,4)*5+0.000001,1))</f>
        <v/>
      </c>
      <c r="F4888">
        <f>IF(A4888="","",MAX(1,CEILING(PERCENTRANK.INC($C$3:$C$6000,C4888,4)*5+0.000001,1)))</f>
        <v/>
      </c>
      <c r="G4888">
        <f>IF(A4888="","",MAX(1,CEILING(PERCENTRANK.INC($D$3:$D$6000,D4888,4)*5+0.000001,1)))</f>
        <v/>
      </c>
      <c r="H4888">
        <f>IF(A4888="","",E4888&amp;F4888&amp;G4888)</f>
        <v/>
      </c>
      <c r="I4888">
        <f>IF(A4888="","",IF(AND(E4888&gt;=4,F4888&gt;=4,G4888&gt;=4),"Juara",IF(AND(F4888&gt;=4,E4888&gt;=3),"Setia",IF(AND(E4888=5,F4888&lt;=2,G4888&gt;=3),"Berpotensi",IF(AND(E4888&lt;=3,E4888&gt;=2,F4888&gt;=3),"Rawan",IF(AND(E4888&lt;=2,F4888&lt;=2),"Tidur","Umum"))))))</f>
        <v/>
      </c>
    </row>
    <row r="4889">
      <c r="B4889">
        <f>IF(A4889="","",$B$1-MAXIFS(Donasi!$A$2:$A$20000,Donasi!$B$2:$B$20000,A4889))</f>
        <v/>
      </c>
      <c r="C4889">
        <f>IF(A4889="","",COUNTIF(Donasi!$B$2:$B$20000,A4889))</f>
        <v/>
      </c>
      <c r="D4889">
        <f>IF(A4889="","",SUMIF(Donasi!$B$2:$B$20000,A4889,Donasi!$C$2:$C$20000))</f>
        <v/>
      </c>
      <c r="E4889">
        <f>IF(A4889="","",6-CEILING(PERCENTRANK.INC($B$3:$B$6000,B4889,4)*5+0.000001,1))</f>
        <v/>
      </c>
      <c r="F4889">
        <f>IF(A4889="","",MAX(1,CEILING(PERCENTRANK.INC($C$3:$C$6000,C4889,4)*5+0.000001,1)))</f>
        <v/>
      </c>
      <c r="G4889">
        <f>IF(A4889="","",MAX(1,CEILING(PERCENTRANK.INC($D$3:$D$6000,D4889,4)*5+0.000001,1)))</f>
        <v/>
      </c>
      <c r="H4889">
        <f>IF(A4889="","",E4889&amp;F4889&amp;G4889)</f>
        <v/>
      </c>
      <c r="I4889">
        <f>IF(A4889="","",IF(AND(E4889&gt;=4,F4889&gt;=4,G4889&gt;=4),"Juara",IF(AND(F4889&gt;=4,E4889&gt;=3),"Setia",IF(AND(E4889=5,F4889&lt;=2,G4889&gt;=3),"Berpotensi",IF(AND(E4889&lt;=3,E4889&gt;=2,F4889&gt;=3),"Rawan",IF(AND(E4889&lt;=2,F4889&lt;=2),"Tidur","Umum"))))))</f>
        <v/>
      </c>
    </row>
    <row r="4890">
      <c r="B4890">
        <f>IF(A4890="","",$B$1-MAXIFS(Donasi!$A$2:$A$20000,Donasi!$B$2:$B$20000,A4890))</f>
        <v/>
      </c>
      <c r="C4890">
        <f>IF(A4890="","",COUNTIF(Donasi!$B$2:$B$20000,A4890))</f>
        <v/>
      </c>
      <c r="D4890">
        <f>IF(A4890="","",SUMIF(Donasi!$B$2:$B$20000,A4890,Donasi!$C$2:$C$20000))</f>
        <v/>
      </c>
      <c r="E4890">
        <f>IF(A4890="","",6-CEILING(PERCENTRANK.INC($B$3:$B$6000,B4890,4)*5+0.000001,1))</f>
        <v/>
      </c>
      <c r="F4890">
        <f>IF(A4890="","",MAX(1,CEILING(PERCENTRANK.INC($C$3:$C$6000,C4890,4)*5+0.000001,1)))</f>
        <v/>
      </c>
      <c r="G4890">
        <f>IF(A4890="","",MAX(1,CEILING(PERCENTRANK.INC($D$3:$D$6000,D4890,4)*5+0.000001,1)))</f>
        <v/>
      </c>
      <c r="H4890">
        <f>IF(A4890="","",E4890&amp;F4890&amp;G4890)</f>
        <v/>
      </c>
      <c r="I4890">
        <f>IF(A4890="","",IF(AND(E4890&gt;=4,F4890&gt;=4,G4890&gt;=4),"Juara",IF(AND(F4890&gt;=4,E4890&gt;=3),"Setia",IF(AND(E4890=5,F4890&lt;=2,G4890&gt;=3),"Berpotensi",IF(AND(E4890&lt;=3,E4890&gt;=2,F4890&gt;=3),"Rawan",IF(AND(E4890&lt;=2,F4890&lt;=2),"Tidur","Umum"))))))</f>
        <v/>
      </c>
    </row>
    <row r="4891">
      <c r="B4891">
        <f>IF(A4891="","",$B$1-MAXIFS(Donasi!$A$2:$A$20000,Donasi!$B$2:$B$20000,A4891))</f>
        <v/>
      </c>
      <c r="C4891">
        <f>IF(A4891="","",COUNTIF(Donasi!$B$2:$B$20000,A4891))</f>
        <v/>
      </c>
      <c r="D4891">
        <f>IF(A4891="","",SUMIF(Donasi!$B$2:$B$20000,A4891,Donasi!$C$2:$C$20000))</f>
        <v/>
      </c>
      <c r="E4891">
        <f>IF(A4891="","",6-CEILING(PERCENTRANK.INC($B$3:$B$6000,B4891,4)*5+0.000001,1))</f>
        <v/>
      </c>
      <c r="F4891">
        <f>IF(A4891="","",MAX(1,CEILING(PERCENTRANK.INC($C$3:$C$6000,C4891,4)*5+0.000001,1)))</f>
        <v/>
      </c>
      <c r="G4891">
        <f>IF(A4891="","",MAX(1,CEILING(PERCENTRANK.INC($D$3:$D$6000,D4891,4)*5+0.000001,1)))</f>
        <v/>
      </c>
      <c r="H4891">
        <f>IF(A4891="","",E4891&amp;F4891&amp;G4891)</f>
        <v/>
      </c>
      <c r="I4891">
        <f>IF(A4891="","",IF(AND(E4891&gt;=4,F4891&gt;=4,G4891&gt;=4),"Juara",IF(AND(F4891&gt;=4,E4891&gt;=3),"Setia",IF(AND(E4891=5,F4891&lt;=2,G4891&gt;=3),"Berpotensi",IF(AND(E4891&lt;=3,E4891&gt;=2,F4891&gt;=3),"Rawan",IF(AND(E4891&lt;=2,F4891&lt;=2),"Tidur","Umum"))))))</f>
        <v/>
      </c>
    </row>
    <row r="4892">
      <c r="B4892">
        <f>IF(A4892="","",$B$1-MAXIFS(Donasi!$A$2:$A$20000,Donasi!$B$2:$B$20000,A4892))</f>
        <v/>
      </c>
      <c r="C4892">
        <f>IF(A4892="","",COUNTIF(Donasi!$B$2:$B$20000,A4892))</f>
        <v/>
      </c>
      <c r="D4892">
        <f>IF(A4892="","",SUMIF(Donasi!$B$2:$B$20000,A4892,Donasi!$C$2:$C$20000))</f>
        <v/>
      </c>
      <c r="E4892">
        <f>IF(A4892="","",6-CEILING(PERCENTRANK.INC($B$3:$B$6000,B4892,4)*5+0.000001,1))</f>
        <v/>
      </c>
      <c r="F4892">
        <f>IF(A4892="","",MAX(1,CEILING(PERCENTRANK.INC($C$3:$C$6000,C4892,4)*5+0.000001,1)))</f>
        <v/>
      </c>
      <c r="G4892">
        <f>IF(A4892="","",MAX(1,CEILING(PERCENTRANK.INC($D$3:$D$6000,D4892,4)*5+0.000001,1)))</f>
        <v/>
      </c>
      <c r="H4892">
        <f>IF(A4892="","",E4892&amp;F4892&amp;G4892)</f>
        <v/>
      </c>
      <c r="I4892">
        <f>IF(A4892="","",IF(AND(E4892&gt;=4,F4892&gt;=4,G4892&gt;=4),"Juara",IF(AND(F4892&gt;=4,E4892&gt;=3),"Setia",IF(AND(E4892=5,F4892&lt;=2,G4892&gt;=3),"Berpotensi",IF(AND(E4892&lt;=3,E4892&gt;=2,F4892&gt;=3),"Rawan",IF(AND(E4892&lt;=2,F4892&lt;=2),"Tidur","Umum"))))))</f>
        <v/>
      </c>
    </row>
    <row r="4893">
      <c r="B4893">
        <f>IF(A4893="","",$B$1-MAXIFS(Donasi!$A$2:$A$20000,Donasi!$B$2:$B$20000,A4893))</f>
        <v/>
      </c>
      <c r="C4893">
        <f>IF(A4893="","",COUNTIF(Donasi!$B$2:$B$20000,A4893))</f>
        <v/>
      </c>
      <c r="D4893">
        <f>IF(A4893="","",SUMIF(Donasi!$B$2:$B$20000,A4893,Donasi!$C$2:$C$20000))</f>
        <v/>
      </c>
      <c r="E4893">
        <f>IF(A4893="","",6-CEILING(PERCENTRANK.INC($B$3:$B$6000,B4893,4)*5+0.000001,1))</f>
        <v/>
      </c>
      <c r="F4893">
        <f>IF(A4893="","",MAX(1,CEILING(PERCENTRANK.INC($C$3:$C$6000,C4893,4)*5+0.000001,1)))</f>
        <v/>
      </c>
      <c r="G4893">
        <f>IF(A4893="","",MAX(1,CEILING(PERCENTRANK.INC($D$3:$D$6000,D4893,4)*5+0.000001,1)))</f>
        <v/>
      </c>
      <c r="H4893">
        <f>IF(A4893="","",E4893&amp;F4893&amp;G4893)</f>
        <v/>
      </c>
      <c r="I4893">
        <f>IF(A4893="","",IF(AND(E4893&gt;=4,F4893&gt;=4,G4893&gt;=4),"Juara",IF(AND(F4893&gt;=4,E4893&gt;=3),"Setia",IF(AND(E4893=5,F4893&lt;=2,G4893&gt;=3),"Berpotensi",IF(AND(E4893&lt;=3,E4893&gt;=2,F4893&gt;=3),"Rawan",IF(AND(E4893&lt;=2,F4893&lt;=2),"Tidur","Umum"))))))</f>
        <v/>
      </c>
    </row>
    <row r="4894">
      <c r="B4894">
        <f>IF(A4894="","",$B$1-MAXIFS(Donasi!$A$2:$A$20000,Donasi!$B$2:$B$20000,A4894))</f>
        <v/>
      </c>
      <c r="C4894">
        <f>IF(A4894="","",COUNTIF(Donasi!$B$2:$B$20000,A4894))</f>
        <v/>
      </c>
      <c r="D4894">
        <f>IF(A4894="","",SUMIF(Donasi!$B$2:$B$20000,A4894,Donasi!$C$2:$C$20000))</f>
        <v/>
      </c>
      <c r="E4894">
        <f>IF(A4894="","",6-CEILING(PERCENTRANK.INC($B$3:$B$6000,B4894,4)*5+0.000001,1))</f>
        <v/>
      </c>
      <c r="F4894">
        <f>IF(A4894="","",MAX(1,CEILING(PERCENTRANK.INC($C$3:$C$6000,C4894,4)*5+0.000001,1)))</f>
        <v/>
      </c>
      <c r="G4894">
        <f>IF(A4894="","",MAX(1,CEILING(PERCENTRANK.INC($D$3:$D$6000,D4894,4)*5+0.000001,1)))</f>
        <v/>
      </c>
      <c r="H4894">
        <f>IF(A4894="","",E4894&amp;F4894&amp;G4894)</f>
        <v/>
      </c>
      <c r="I4894">
        <f>IF(A4894="","",IF(AND(E4894&gt;=4,F4894&gt;=4,G4894&gt;=4),"Juara",IF(AND(F4894&gt;=4,E4894&gt;=3),"Setia",IF(AND(E4894=5,F4894&lt;=2,G4894&gt;=3),"Berpotensi",IF(AND(E4894&lt;=3,E4894&gt;=2,F4894&gt;=3),"Rawan",IF(AND(E4894&lt;=2,F4894&lt;=2),"Tidur","Umum"))))))</f>
        <v/>
      </c>
    </row>
    <row r="4895">
      <c r="B4895">
        <f>IF(A4895="","",$B$1-MAXIFS(Donasi!$A$2:$A$20000,Donasi!$B$2:$B$20000,A4895))</f>
        <v/>
      </c>
      <c r="C4895">
        <f>IF(A4895="","",COUNTIF(Donasi!$B$2:$B$20000,A4895))</f>
        <v/>
      </c>
      <c r="D4895">
        <f>IF(A4895="","",SUMIF(Donasi!$B$2:$B$20000,A4895,Donasi!$C$2:$C$20000))</f>
        <v/>
      </c>
      <c r="E4895">
        <f>IF(A4895="","",6-CEILING(PERCENTRANK.INC($B$3:$B$6000,B4895,4)*5+0.000001,1))</f>
        <v/>
      </c>
      <c r="F4895">
        <f>IF(A4895="","",MAX(1,CEILING(PERCENTRANK.INC($C$3:$C$6000,C4895,4)*5+0.000001,1)))</f>
        <v/>
      </c>
      <c r="G4895">
        <f>IF(A4895="","",MAX(1,CEILING(PERCENTRANK.INC($D$3:$D$6000,D4895,4)*5+0.000001,1)))</f>
        <v/>
      </c>
      <c r="H4895">
        <f>IF(A4895="","",E4895&amp;F4895&amp;G4895)</f>
        <v/>
      </c>
      <c r="I4895">
        <f>IF(A4895="","",IF(AND(E4895&gt;=4,F4895&gt;=4,G4895&gt;=4),"Juara",IF(AND(F4895&gt;=4,E4895&gt;=3),"Setia",IF(AND(E4895=5,F4895&lt;=2,G4895&gt;=3),"Berpotensi",IF(AND(E4895&lt;=3,E4895&gt;=2,F4895&gt;=3),"Rawan",IF(AND(E4895&lt;=2,F4895&lt;=2),"Tidur","Umum"))))))</f>
        <v/>
      </c>
    </row>
    <row r="4896">
      <c r="B4896">
        <f>IF(A4896="","",$B$1-MAXIFS(Donasi!$A$2:$A$20000,Donasi!$B$2:$B$20000,A4896))</f>
        <v/>
      </c>
      <c r="C4896">
        <f>IF(A4896="","",COUNTIF(Donasi!$B$2:$B$20000,A4896))</f>
        <v/>
      </c>
      <c r="D4896">
        <f>IF(A4896="","",SUMIF(Donasi!$B$2:$B$20000,A4896,Donasi!$C$2:$C$20000))</f>
        <v/>
      </c>
      <c r="E4896">
        <f>IF(A4896="","",6-CEILING(PERCENTRANK.INC($B$3:$B$6000,B4896,4)*5+0.000001,1))</f>
        <v/>
      </c>
      <c r="F4896">
        <f>IF(A4896="","",MAX(1,CEILING(PERCENTRANK.INC($C$3:$C$6000,C4896,4)*5+0.000001,1)))</f>
        <v/>
      </c>
      <c r="G4896">
        <f>IF(A4896="","",MAX(1,CEILING(PERCENTRANK.INC($D$3:$D$6000,D4896,4)*5+0.000001,1)))</f>
        <v/>
      </c>
      <c r="H4896">
        <f>IF(A4896="","",E4896&amp;F4896&amp;G4896)</f>
        <v/>
      </c>
      <c r="I4896">
        <f>IF(A4896="","",IF(AND(E4896&gt;=4,F4896&gt;=4,G4896&gt;=4),"Juara",IF(AND(F4896&gt;=4,E4896&gt;=3),"Setia",IF(AND(E4896=5,F4896&lt;=2,G4896&gt;=3),"Berpotensi",IF(AND(E4896&lt;=3,E4896&gt;=2,F4896&gt;=3),"Rawan",IF(AND(E4896&lt;=2,F4896&lt;=2),"Tidur","Umum"))))))</f>
        <v/>
      </c>
    </row>
    <row r="4897">
      <c r="B4897">
        <f>IF(A4897="","",$B$1-MAXIFS(Donasi!$A$2:$A$20000,Donasi!$B$2:$B$20000,A4897))</f>
        <v/>
      </c>
      <c r="C4897">
        <f>IF(A4897="","",COUNTIF(Donasi!$B$2:$B$20000,A4897))</f>
        <v/>
      </c>
      <c r="D4897">
        <f>IF(A4897="","",SUMIF(Donasi!$B$2:$B$20000,A4897,Donasi!$C$2:$C$20000))</f>
        <v/>
      </c>
      <c r="E4897">
        <f>IF(A4897="","",6-CEILING(PERCENTRANK.INC($B$3:$B$6000,B4897,4)*5+0.000001,1))</f>
        <v/>
      </c>
      <c r="F4897">
        <f>IF(A4897="","",MAX(1,CEILING(PERCENTRANK.INC($C$3:$C$6000,C4897,4)*5+0.000001,1)))</f>
        <v/>
      </c>
      <c r="G4897">
        <f>IF(A4897="","",MAX(1,CEILING(PERCENTRANK.INC($D$3:$D$6000,D4897,4)*5+0.000001,1)))</f>
        <v/>
      </c>
      <c r="H4897">
        <f>IF(A4897="","",E4897&amp;F4897&amp;G4897)</f>
        <v/>
      </c>
      <c r="I4897">
        <f>IF(A4897="","",IF(AND(E4897&gt;=4,F4897&gt;=4,G4897&gt;=4),"Juara",IF(AND(F4897&gt;=4,E4897&gt;=3),"Setia",IF(AND(E4897=5,F4897&lt;=2,G4897&gt;=3),"Berpotensi",IF(AND(E4897&lt;=3,E4897&gt;=2,F4897&gt;=3),"Rawan",IF(AND(E4897&lt;=2,F4897&lt;=2),"Tidur","Umum"))))))</f>
        <v/>
      </c>
    </row>
    <row r="4898">
      <c r="B4898">
        <f>IF(A4898="","",$B$1-MAXIFS(Donasi!$A$2:$A$20000,Donasi!$B$2:$B$20000,A4898))</f>
        <v/>
      </c>
      <c r="C4898">
        <f>IF(A4898="","",COUNTIF(Donasi!$B$2:$B$20000,A4898))</f>
        <v/>
      </c>
      <c r="D4898">
        <f>IF(A4898="","",SUMIF(Donasi!$B$2:$B$20000,A4898,Donasi!$C$2:$C$20000))</f>
        <v/>
      </c>
      <c r="E4898">
        <f>IF(A4898="","",6-CEILING(PERCENTRANK.INC($B$3:$B$6000,B4898,4)*5+0.000001,1))</f>
        <v/>
      </c>
      <c r="F4898">
        <f>IF(A4898="","",MAX(1,CEILING(PERCENTRANK.INC($C$3:$C$6000,C4898,4)*5+0.000001,1)))</f>
        <v/>
      </c>
      <c r="G4898">
        <f>IF(A4898="","",MAX(1,CEILING(PERCENTRANK.INC($D$3:$D$6000,D4898,4)*5+0.000001,1)))</f>
        <v/>
      </c>
      <c r="H4898">
        <f>IF(A4898="","",E4898&amp;F4898&amp;G4898)</f>
        <v/>
      </c>
      <c r="I4898">
        <f>IF(A4898="","",IF(AND(E4898&gt;=4,F4898&gt;=4,G4898&gt;=4),"Juara",IF(AND(F4898&gt;=4,E4898&gt;=3),"Setia",IF(AND(E4898=5,F4898&lt;=2,G4898&gt;=3),"Berpotensi",IF(AND(E4898&lt;=3,E4898&gt;=2,F4898&gt;=3),"Rawan",IF(AND(E4898&lt;=2,F4898&lt;=2),"Tidur","Umum"))))))</f>
        <v/>
      </c>
    </row>
    <row r="4899">
      <c r="B4899">
        <f>IF(A4899="","",$B$1-MAXIFS(Donasi!$A$2:$A$20000,Donasi!$B$2:$B$20000,A4899))</f>
        <v/>
      </c>
      <c r="C4899">
        <f>IF(A4899="","",COUNTIF(Donasi!$B$2:$B$20000,A4899))</f>
        <v/>
      </c>
      <c r="D4899">
        <f>IF(A4899="","",SUMIF(Donasi!$B$2:$B$20000,A4899,Donasi!$C$2:$C$20000))</f>
        <v/>
      </c>
      <c r="E4899">
        <f>IF(A4899="","",6-CEILING(PERCENTRANK.INC($B$3:$B$6000,B4899,4)*5+0.000001,1))</f>
        <v/>
      </c>
      <c r="F4899">
        <f>IF(A4899="","",MAX(1,CEILING(PERCENTRANK.INC($C$3:$C$6000,C4899,4)*5+0.000001,1)))</f>
        <v/>
      </c>
      <c r="G4899">
        <f>IF(A4899="","",MAX(1,CEILING(PERCENTRANK.INC($D$3:$D$6000,D4899,4)*5+0.000001,1)))</f>
        <v/>
      </c>
      <c r="H4899">
        <f>IF(A4899="","",E4899&amp;F4899&amp;G4899)</f>
        <v/>
      </c>
      <c r="I4899">
        <f>IF(A4899="","",IF(AND(E4899&gt;=4,F4899&gt;=4,G4899&gt;=4),"Juara",IF(AND(F4899&gt;=4,E4899&gt;=3),"Setia",IF(AND(E4899=5,F4899&lt;=2,G4899&gt;=3),"Berpotensi",IF(AND(E4899&lt;=3,E4899&gt;=2,F4899&gt;=3),"Rawan",IF(AND(E4899&lt;=2,F4899&lt;=2),"Tidur","Umum"))))))</f>
        <v/>
      </c>
    </row>
    <row r="4900">
      <c r="B4900">
        <f>IF(A4900="","",$B$1-MAXIFS(Donasi!$A$2:$A$20000,Donasi!$B$2:$B$20000,A4900))</f>
        <v/>
      </c>
      <c r="C4900">
        <f>IF(A4900="","",COUNTIF(Donasi!$B$2:$B$20000,A4900))</f>
        <v/>
      </c>
      <c r="D4900">
        <f>IF(A4900="","",SUMIF(Donasi!$B$2:$B$20000,A4900,Donasi!$C$2:$C$20000))</f>
        <v/>
      </c>
      <c r="E4900">
        <f>IF(A4900="","",6-CEILING(PERCENTRANK.INC($B$3:$B$6000,B4900,4)*5+0.000001,1))</f>
        <v/>
      </c>
      <c r="F4900">
        <f>IF(A4900="","",MAX(1,CEILING(PERCENTRANK.INC($C$3:$C$6000,C4900,4)*5+0.000001,1)))</f>
        <v/>
      </c>
      <c r="G4900">
        <f>IF(A4900="","",MAX(1,CEILING(PERCENTRANK.INC($D$3:$D$6000,D4900,4)*5+0.000001,1)))</f>
        <v/>
      </c>
      <c r="H4900">
        <f>IF(A4900="","",E4900&amp;F4900&amp;G4900)</f>
        <v/>
      </c>
      <c r="I4900">
        <f>IF(A4900="","",IF(AND(E4900&gt;=4,F4900&gt;=4,G4900&gt;=4),"Juara",IF(AND(F4900&gt;=4,E4900&gt;=3),"Setia",IF(AND(E4900=5,F4900&lt;=2,G4900&gt;=3),"Berpotensi",IF(AND(E4900&lt;=3,E4900&gt;=2,F4900&gt;=3),"Rawan",IF(AND(E4900&lt;=2,F4900&lt;=2),"Tidur","Umum"))))))</f>
        <v/>
      </c>
    </row>
    <row r="4901">
      <c r="B4901">
        <f>IF(A4901="","",$B$1-MAXIFS(Donasi!$A$2:$A$20000,Donasi!$B$2:$B$20000,A4901))</f>
        <v/>
      </c>
      <c r="C4901">
        <f>IF(A4901="","",COUNTIF(Donasi!$B$2:$B$20000,A4901))</f>
        <v/>
      </c>
      <c r="D4901">
        <f>IF(A4901="","",SUMIF(Donasi!$B$2:$B$20000,A4901,Donasi!$C$2:$C$20000))</f>
        <v/>
      </c>
      <c r="E4901">
        <f>IF(A4901="","",6-CEILING(PERCENTRANK.INC($B$3:$B$6000,B4901,4)*5+0.000001,1))</f>
        <v/>
      </c>
      <c r="F4901">
        <f>IF(A4901="","",MAX(1,CEILING(PERCENTRANK.INC($C$3:$C$6000,C4901,4)*5+0.000001,1)))</f>
        <v/>
      </c>
      <c r="G4901">
        <f>IF(A4901="","",MAX(1,CEILING(PERCENTRANK.INC($D$3:$D$6000,D4901,4)*5+0.000001,1)))</f>
        <v/>
      </c>
      <c r="H4901">
        <f>IF(A4901="","",E4901&amp;F4901&amp;G4901)</f>
        <v/>
      </c>
      <c r="I4901">
        <f>IF(A4901="","",IF(AND(E4901&gt;=4,F4901&gt;=4,G4901&gt;=4),"Juara",IF(AND(F4901&gt;=4,E4901&gt;=3),"Setia",IF(AND(E4901=5,F4901&lt;=2,G4901&gt;=3),"Berpotensi",IF(AND(E4901&lt;=3,E4901&gt;=2,F4901&gt;=3),"Rawan",IF(AND(E4901&lt;=2,F4901&lt;=2),"Tidur","Umum"))))))</f>
        <v/>
      </c>
    </row>
    <row r="4902">
      <c r="B4902">
        <f>IF(A4902="","",$B$1-MAXIFS(Donasi!$A$2:$A$20000,Donasi!$B$2:$B$20000,A4902))</f>
        <v/>
      </c>
      <c r="C4902">
        <f>IF(A4902="","",COUNTIF(Donasi!$B$2:$B$20000,A4902))</f>
        <v/>
      </c>
      <c r="D4902">
        <f>IF(A4902="","",SUMIF(Donasi!$B$2:$B$20000,A4902,Donasi!$C$2:$C$20000))</f>
        <v/>
      </c>
      <c r="E4902">
        <f>IF(A4902="","",6-CEILING(PERCENTRANK.INC($B$3:$B$6000,B4902,4)*5+0.000001,1))</f>
        <v/>
      </c>
      <c r="F4902">
        <f>IF(A4902="","",MAX(1,CEILING(PERCENTRANK.INC($C$3:$C$6000,C4902,4)*5+0.000001,1)))</f>
        <v/>
      </c>
      <c r="G4902">
        <f>IF(A4902="","",MAX(1,CEILING(PERCENTRANK.INC($D$3:$D$6000,D4902,4)*5+0.000001,1)))</f>
        <v/>
      </c>
      <c r="H4902">
        <f>IF(A4902="","",E4902&amp;F4902&amp;G4902)</f>
        <v/>
      </c>
      <c r="I4902">
        <f>IF(A4902="","",IF(AND(E4902&gt;=4,F4902&gt;=4,G4902&gt;=4),"Juara",IF(AND(F4902&gt;=4,E4902&gt;=3),"Setia",IF(AND(E4902=5,F4902&lt;=2,G4902&gt;=3),"Berpotensi",IF(AND(E4902&lt;=3,E4902&gt;=2,F4902&gt;=3),"Rawan",IF(AND(E4902&lt;=2,F4902&lt;=2),"Tidur","Umum"))))))</f>
        <v/>
      </c>
    </row>
    <row r="4903">
      <c r="B4903">
        <f>IF(A4903="","",$B$1-MAXIFS(Donasi!$A$2:$A$20000,Donasi!$B$2:$B$20000,A4903))</f>
        <v/>
      </c>
      <c r="C4903">
        <f>IF(A4903="","",COUNTIF(Donasi!$B$2:$B$20000,A4903))</f>
        <v/>
      </c>
      <c r="D4903">
        <f>IF(A4903="","",SUMIF(Donasi!$B$2:$B$20000,A4903,Donasi!$C$2:$C$20000))</f>
        <v/>
      </c>
      <c r="E4903">
        <f>IF(A4903="","",6-CEILING(PERCENTRANK.INC($B$3:$B$6000,B4903,4)*5+0.000001,1))</f>
        <v/>
      </c>
      <c r="F4903">
        <f>IF(A4903="","",MAX(1,CEILING(PERCENTRANK.INC($C$3:$C$6000,C4903,4)*5+0.000001,1)))</f>
        <v/>
      </c>
      <c r="G4903">
        <f>IF(A4903="","",MAX(1,CEILING(PERCENTRANK.INC($D$3:$D$6000,D4903,4)*5+0.000001,1)))</f>
        <v/>
      </c>
      <c r="H4903">
        <f>IF(A4903="","",E4903&amp;F4903&amp;G4903)</f>
        <v/>
      </c>
      <c r="I4903">
        <f>IF(A4903="","",IF(AND(E4903&gt;=4,F4903&gt;=4,G4903&gt;=4),"Juara",IF(AND(F4903&gt;=4,E4903&gt;=3),"Setia",IF(AND(E4903=5,F4903&lt;=2,G4903&gt;=3),"Berpotensi",IF(AND(E4903&lt;=3,E4903&gt;=2,F4903&gt;=3),"Rawan",IF(AND(E4903&lt;=2,F4903&lt;=2),"Tidur","Umum"))))))</f>
        <v/>
      </c>
    </row>
    <row r="4904">
      <c r="B4904">
        <f>IF(A4904="","",$B$1-MAXIFS(Donasi!$A$2:$A$20000,Donasi!$B$2:$B$20000,A4904))</f>
        <v/>
      </c>
      <c r="C4904">
        <f>IF(A4904="","",COUNTIF(Donasi!$B$2:$B$20000,A4904))</f>
        <v/>
      </c>
      <c r="D4904">
        <f>IF(A4904="","",SUMIF(Donasi!$B$2:$B$20000,A4904,Donasi!$C$2:$C$20000))</f>
        <v/>
      </c>
      <c r="E4904">
        <f>IF(A4904="","",6-CEILING(PERCENTRANK.INC($B$3:$B$6000,B4904,4)*5+0.000001,1))</f>
        <v/>
      </c>
      <c r="F4904">
        <f>IF(A4904="","",MAX(1,CEILING(PERCENTRANK.INC($C$3:$C$6000,C4904,4)*5+0.000001,1)))</f>
        <v/>
      </c>
      <c r="G4904">
        <f>IF(A4904="","",MAX(1,CEILING(PERCENTRANK.INC($D$3:$D$6000,D4904,4)*5+0.000001,1)))</f>
        <v/>
      </c>
      <c r="H4904">
        <f>IF(A4904="","",E4904&amp;F4904&amp;G4904)</f>
        <v/>
      </c>
      <c r="I4904">
        <f>IF(A4904="","",IF(AND(E4904&gt;=4,F4904&gt;=4,G4904&gt;=4),"Juara",IF(AND(F4904&gt;=4,E4904&gt;=3),"Setia",IF(AND(E4904=5,F4904&lt;=2,G4904&gt;=3),"Berpotensi",IF(AND(E4904&lt;=3,E4904&gt;=2,F4904&gt;=3),"Rawan",IF(AND(E4904&lt;=2,F4904&lt;=2),"Tidur","Umum"))))))</f>
        <v/>
      </c>
    </row>
    <row r="4905">
      <c r="B4905">
        <f>IF(A4905="","",$B$1-MAXIFS(Donasi!$A$2:$A$20000,Donasi!$B$2:$B$20000,A4905))</f>
        <v/>
      </c>
      <c r="C4905">
        <f>IF(A4905="","",COUNTIF(Donasi!$B$2:$B$20000,A4905))</f>
        <v/>
      </c>
      <c r="D4905">
        <f>IF(A4905="","",SUMIF(Donasi!$B$2:$B$20000,A4905,Donasi!$C$2:$C$20000))</f>
        <v/>
      </c>
      <c r="E4905">
        <f>IF(A4905="","",6-CEILING(PERCENTRANK.INC($B$3:$B$6000,B4905,4)*5+0.000001,1))</f>
        <v/>
      </c>
      <c r="F4905">
        <f>IF(A4905="","",MAX(1,CEILING(PERCENTRANK.INC($C$3:$C$6000,C4905,4)*5+0.000001,1)))</f>
        <v/>
      </c>
      <c r="G4905">
        <f>IF(A4905="","",MAX(1,CEILING(PERCENTRANK.INC($D$3:$D$6000,D4905,4)*5+0.000001,1)))</f>
        <v/>
      </c>
      <c r="H4905">
        <f>IF(A4905="","",E4905&amp;F4905&amp;G4905)</f>
        <v/>
      </c>
      <c r="I4905">
        <f>IF(A4905="","",IF(AND(E4905&gt;=4,F4905&gt;=4,G4905&gt;=4),"Juara",IF(AND(F4905&gt;=4,E4905&gt;=3),"Setia",IF(AND(E4905=5,F4905&lt;=2,G4905&gt;=3),"Berpotensi",IF(AND(E4905&lt;=3,E4905&gt;=2,F4905&gt;=3),"Rawan",IF(AND(E4905&lt;=2,F4905&lt;=2),"Tidur","Umum"))))))</f>
        <v/>
      </c>
    </row>
    <row r="4906">
      <c r="B4906">
        <f>IF(A4906="","",$B$1-MAXIFS(Donasi!$A$2:$A$20000,Donasi!$B$2:$B$20000,A4906))</f>
        <v/>
      </c>
      <c r="C4906">
        <f>IF(A4906="","",COUNTIF(Donasi!$B$2:$B$20000,A4906))</f>
        <v/>
      </c>
      <c r="D4906">
        <f>IF(A4906="","",SUMIF(Donasi!$B$2:$B$20000,A4906,Donasi!$C$2:$C$20000))</f>
        <v/>
      </c>
      <c r="E4906">
        <f>IF(A4906="","",6-CEILING(PERCENTRANK.INC($B$3:$B$6000,B4906,4)*5+0.000001,1))</f>
        <v/>
      </c>
      <c r="F4906">
        <f>IF(A4906="","",MAX(1,CEILING(PERCENTRANK.INC($C$3:$C$6000,C4906,4)*5+0.000001,1)))</f>
        <v/>
      </c>
      <c r="G4906">
        <f>IF(A4906="","",MAX(1,CEILING(PERCENTRANK.INC($D$3:$D$6000,D4906,4)*5+0.000001,1)))</f>
        <v/>
      </c>
      <c r="H4906">
        <f>IF(A4906="","",E4906&amp;F4906&amp;G4906)</f>
        <v/>
      </c>
      <c r="I4906">
        <f>IF(A4906="","",IF(AND(E4906&gt;=4,F4906&gt;=4,G4906&gt;=4),"Juara",IF(AND(F4906&gt;=4,E4906&gt;=3),"Setia",IF(AND(E4906=5,F4906&lt;=2,G4906&gt;=3),"Berpotensi",IF(AND(E4906&lt;=3,E4906&gt;=2,F4906&gt;=3),"Rawan",IF(AND(E4906&lt;=2,F4906&lt;=2),"Tidur","Umum"))))))</f>
        <v/>
      </c>
    </row>
    <row r="4907">
      <c r="B4907">
        <f>IF(A4907="","",$B$1-MAXIFS(Donasi!$A$2:$A$20000,Donasi!$B$2:$B$20000,A4907))</f>
        <v/>
      </c>
      <c r="C4907">
        <f>IF(A4907="","",COUNTIF(Donasi!$B$2:$B$20000,A4907))</f>
        <v/>
      </c>
      <c r="D4907">
        <f>IF(A4907="","",SUMIF(Donasi!$B$2:$B$20000,A4907,Donasi!$C$2:$C$20000))</f>
        <v/>
      </c>
      <c r="E4907">
        <f>IF(A4907="","",6-CEILING(PERCENTRANK.INC($B$3:$B$6000,B4907,4)*5+0.000001,1))</f>
        <v/>
      </c>
      <c r="F4907">
        <f>IF(A4907="","",MAX(1,CEILING(PERCENTRANK.INC($C$3:$C$6000,C4907,4)*5+0.000001,1)))</f>
        <v/>
      </c>
      <c r="G4907">
        <f>IF(A4907="","",MAX(1,CEILING(PERCENTRANK.INC($D$3:$D$6000,D4907,4)*5+0.000001,1)))</f>
        <v/>
      </c>
      <c r="H4907">
        <f>IF(A4907="","",E4907&amp;F4907&amp;G4907)</f>
        <v/>
      </c>
      <c r="I4907">
        <f>IF(A4907="","",IF(AND(E4907&gt;=4,F4907&gt;=4,G4907&gt;=4),"Juara",IF(AND(F4907&gt;=4,E4907&gt;=3),"Setia",IF(AND(E4907=5,F4907&lt;=2,G4907&gt;=3),"Berpotensi",IF(AND(E4907&lt;=3,E4907&gt;=2,F4907&gt;=3),"Rawan",IF(AND(E4907&lt;=2,F4907&lt;=2),"Tidur","Umum"))))))</f>
        <v/>
      </c>
    </row>
    <row r="4908">
      <c r="B4908">
        <f>IF(A4908="","",$B$1-MAXIFS(Donasi!$A$2:$A$20000,Donasi!$B$2:$B$20000,A4908))</f>
        <v/>
      </c>
      <c r="C4908">
        <f>IF(A4908="","",COUNTIF(Donasi!$B$2:$B$20000,A4908))</f>
        <v/>
      </c>
      <c r="D4908">
        <f>IF(A4908="","",SUMIF(Donasi!$B$2:$B$20000,A4908,Donasi!$C$2:$C$20000))</f>
        <v/>
      </c>
      <c r="E4908">
        <f>IF(A4908="","",6-CEILING(PERCENTRANK.INC($B$3:$B$6000,B4908,4)*5+0.000001,1))</f>
        <v/>
      </c>
      <c r="F4908">
        <f>IF(A4908="","",MAX(1,CEILING(PERCENTRANK.INC($C$3:$C$6000,C4908,4)*5+0.000001,1)))</f>
        <v/>
      </c>
      <c r="G4908">
        <f>IF(A4908="","",MAX(1,CEILING(PERCENTRANK.INC($D$3:$D$6000,D4908,4)*5+0.000001,1)))</f>
        <v/>
      </c>
      <c r="H4908">
        <f>IF(A4908="","",E4908&amp;F4908&amp;G4908)</f>
        <v/>
      </c>
      <c r="I4908">
        <f>IF(A4908="","",IF(AND(E4908&gt;=4,F4908&gt;=4,G4908&gt;=4),"Juara",IF(AND(F4908&gt;=4,E4908&gt;=3),"Setia",IF(AND(E4908=5,F4908&lt;=2,G4908&gt;=3),"Berpotensi",IF(AND(E4908&lt;=3,E4908&gt;=2,F4908&gt;=3),"Rawan",IF(AND(E4908&lt;=2,F4908&lt;=2),"Tidur","Umum"))))))</f>
        <v/>
      </c>
    </row>
    <row r="4909">
      <c r="B4909">
        <f>IF(A4909="","",$B$1-MAXIFS(Donasi!$A$2:$A$20000,Donasi!$B$2:$B$20000,A4909))</f>
        <v/>
      </c>
      <c r="C4909">
        <f>IF(A4909="","",COUNTIF(Donasi!$B$2:$B$20000,A4909))</f>
        <v/>
      </c>
      <c r="D4909">
        <f>IF(A4909="","",SUMIF(Donasi!$B$2:$B$20000,A4909,Donasi!$C$2:$C$20000))</f>
        <v/>
      </c>
      <c r="E4909">
        <f>IF(A4909="","",6-CEILING(PERCENTRANK.INC($B$3:$B$6000,B4909,4)*5+0.000001,1))</f>
        <v/>
      </c>
      <c r="F4909">
        <f>IF(A4909="","",MAX(1,CEILING(PERCENTRANK.INC($C$3:$C$6000,C4909,4)*5+0.000001,1)))</f>
        <v/>
      </c>
      <c r="G4909">
        <f>IF(A4909="","",MAX(1,CEILING(PERCENTRANK.INC($D$3:$D$6000,D4909,4)*5+0.000001,1)))</f>
        <v/>
      </c>
      <c r="H4909">
        <f>IF(A4909="","",E4909&amp;F4909&amp;G4909)</f>
        <v/>
      </c>
      <c r="I4909">
        <f>IF(A4909="","",IF(AND(E4909&gt;=4,F4909&gt;=4,G4909&gt;=4),"Juara",IF(AND(F4909&gt;=4,E4909&gt;=3),"Setia",IF(AND(E4909=5,F4909&lt;=2,G4909&gt;=3),"Berpotensi",IF(AND(E4909&lt;=3,E4909&gt;=2,F4909&gt;=3),"Rawan",IF(AND(E4909&lt;=2,F4909&lt;=2),"Tidur","Umum"))))))</f>
        <v/>
      </c>
    </row>
    <row r="4910">
      <c r="B4910">
        <f>IF(A4910="","",$B$1-MAXIFS(Donasi!$A$2:$A$20000,Donasi!$B$2:$B$20000,A4910))</f>
        <v/>
      </c>
      <c r="C4910">
        <f>IF(A4910="","",COUNTIF(Donasi!$B$2:$B$20000,A4910))</f>
        <v/>
      </c>
      <c r="D4910">
        <f>IF(A4910="","",SUMIF(Donasi!$B$2:$B$20000,A4910,Donasi!$C$2:$C$20000))</f>
        <v/>
      </c>
      <c r="E4910">
        <f>IF(A4910="","",6-CEILING(PERCENTRANK.INC($B$3:$B$6000,B4910,4)*5+0.000001,1))</f>
        <v/>
      </c>
      <c r="F4910">
        <f>IF(A4910="","",MAX(1,CEILING(PERCENTRANK.INC($C$3:$C$6000,C4910,4)*5+0.000001,1)))</f>
        <v/>
      </c>
      <c r="G4910">
        <f>IF(A4910="","",MAX(1,CEILING(PERCENTRANK.INC($D$3:$D$6000,D4910,4)*5+0.000001,1)))</f>
        <v/>
      </c>
      <c r="H4910">
        <f>IF(A4910="","",E4910&amp;F4910&amp;G4910)</f>
        <v/>
      </c>
      <c r="I4910">
        <f>IF(A4910="","",IF(AND(E4910&gt;=4,F4910&gt;=4,G4910&gt;=4),"Juara",IF(AND(F4910&gt;=4,E4910&gt;=3),"Setia",IF(AND(E4910=5,F4910&lt;=2,G4910&gt;=3),"Berpotensi",IF(AND(E4910&lt;=3,E4910&gt;=2,F4910&gt;=3),"Rawan",IF(AND(E4910&lt;=2,F4910&lt;=2),"Tidur","Umum"))))))</f>
        <v/>
      </c>
    </row>
    <row r="4911">
      <c r="B4911">
        <f>IF(A4911="","",$B$1-MAXIFS(Donasi!$A$2:$A$20000,Donasi!$B$2:$B$20000,A4911))</f>
        <v/>
      </c>
      <c r="C4911">
        <f>IF(A4911="","",COUNTIF(Donasi!$B$2:$B$20000,A4911))</f>
        <v/>
      </c>
      <c r="D4911">
        <f>IF(A4911="","",SUMIF(Donasi!$B$2:$B$20000,A4911,Donasi!$C$2:$C$20000))</f>
        <v/>
      </c>
      <c r="E4911">
        <f>IF(A4911="","",6-CEILING(PERCENTRANK.INC($B$3:$B$6000,B4911,4)*5+0.000001,1))</f>
        <v/>
      </c>
      <c r="F4911">
        <f>IF(A4911="","",MAX(1,CEILING(PERCENTRANK.INC($C$3:$C$6000,C4911,4)*5+0.000001,1)))</f>
        <v/>
      </c>
      <c r="G4911">
        <f>IF(A4911="","",MAX(1,CEILING(PERCENTRANK.INC($D$3:$D$6000,D4911,4)*5+0.000001,1)))</f>
        <v/>
      </c>
      <c r="H4911">
        <f>IF(A4911="","",E4911&amp;F4911&amp;G4911)</f>
        <v/>
      </c>
      <c r="I4911">
        <f>IF(A4911="","",IF(AND(E4911&gt;=4,F4911&gt;=4,G4911&gt;=4),"Juara",IF(AND(F4911&gt;=4,E4911&gt;=3),"Setia",IF(AND(E4911=5,F4911&lt;=2,G4911&gt;=3),"Berpotensi",IF(AND(E4911&lt;=3,E4911&gt;=2,F4911&gt;=3),"Rawan",IF(AND(E4911&lt;=2,F4911&lt;=2),"Tidur","Umum"))))))</f>
        <v/>
      </c>
    </row>
    <row r="4912">
      <c r="B4912">
        <f>IF(A4912="","",$B$1-MAXIFS(Donasi!$A$2:$A$20000,Donasi!$B$2:$B$20000,A4912))</f>
        <v/>
      </c>
      <c r="C4912">
        <f>IF(A4912="","",COUNTIF(Donasi!$B$2:$B$20000,A4912))</f>
        <v/>
      </c>
      <c r="D4912">
        <f>IF(A4912="","",SUMIF(Donasi!$B$2:$B$20000,A4912,Donasi!$C$2:$C$20000))</f>
        <v/>
      </c>
      <c r="E4912">
        <f>IF(A4912="","",6-CEILING(PERCENTRANK.INC($B$3:$B$6000,B4912,4)*5+0.000001,1))</f>
        <v/>
      </c>
      <c r="F4912">
        <f>IF(A4912="","",MAX(1,CEILING(PERCENTRANK.INC($C$3:$C$6000,C4912,4)*5+0.000001,1)))</f>
        <v/>
      </c>
      <c r="G4912">
        <f>IF(A4912="","",MAX(1,CEILING(PERCENTRANK.INC($D$3:$D$6000,D4912,4)*5+0.000001,1)))</f>
        <v/>
      </c>
      <c r="H4912">
        <f>IF(A4912="","",E4912&amp;F4912&amp;G4912)</f>
        <v/>
      </c>
      <c r="I4912">
        <f>IF(A4912="","",IF(AND(E4912&gt;=4,F4912&gt;=4,G4912&gt;=4),"Juara",IF(AND(F4912&gt;=4,E4912&gt;=3),"Setia",IF(AND(E4912=5,F4912&lt;=2,G4912&gt;=3),"Berpotensi",IF(AND(E4912&lt;=3,E4912&gt;=2,F4912&gt;=3),"Rawan",IF(AND(E4912&lt;=2,F4912&lt;=2),"Tidur","Umum"))))))</f>
        <v/>
      </c>
    </row>
    <row r="4913">
      <c r="B4913">
        <f>IF(A4913="","",$B$1-MAXIFS(Donasi!$A$2:$A$20000,Donasi!$B$2:$B$20000,A4913))</f>
        <v/>
      </c>
      <c r="C4913">
        <f>IF(A4913="","",COUNTIF(Donasi!$B$2:$B$20000,A4913))</f>
        <v/>
      </c>
      <c r="D4913">
        <f>IF(A4913="","",SUMIF(Donasi!$B$2:$B$20000,A4913,Donasi!$C$2:$C$20000))</f>
        <v/>
      </c>
      <c r="E4913">
        <f>IF(A4913="","",6-CEILING(PERCENTRANK.INC($B$3:$B$6000,B4913,4)*5+0.000001,1))</f>
        <v/>
      </c>
      <c r="F4913">
        <f>IF(A4913="","",MAX(1,CEILING(PERCENTRANK.INC($C$3:$C$6000,C4913,4)*5+0.000001,1)))</f>
        <v/>
      </c>
      <c r="G4913">
        <f>IF(A4913="","",MAX(1,CEILING(PERCENTRANK.INC($D$3:$D$6000,D4913,4)*5+0.000001,1)))</f>
        <v/>
      </c>
      <c r="H4913">
        <f>IF(A4913="","",E4913&amp;F4913&amp;G4913)</f>
        <v/>
      </c>
      <c r="I4913">
        <f>IF(A4913="","",IF(AND(E4913&gt;=4,F4913&gt;=4,G4913&gt;=4),"Juara",IF(AND(F4913&gt;=4,E4913&gt;=3),"Setia",IF(AND(E4913=5,F4913&lt;=2,G4913&gt;=3),"Berpotensi",IF(AND(E4913&lt;=3,E4913&gt;=2,F4913&gt;=3),"Rawan",IF(AND(E4913&lt;=2,F4913&lt;=2),"Tidur","Umum"))))))</f>
        <v/>
      </c>
    </row>
    <row r="4914">
      <c r="B4914">
        <f>IF(A4914="","",$B$1-MAXIFS(Donasi!$A$2:$A$20000,Donasi!$B$2:$B$20000,A4914))</f>
        <v/>
      </c>
      <c r="C4914">
        <f>IF(A4914="","",COUNTIF(Donasi!$B$2:$B$20000,A4914))</f>
        <v/>
      </c>
      <c r="D4914">
        <f>IF(A4914="","",SUMIF(Donasi!$B$2:$B$20000,A4914,Donasi!$C$2:$C$20000))</f>
        <v/>
      </c>
      <c r="E4914">
        <f>IF(A4914="","",6-CEILING(PERCENTRANK.INC($B$3:$B$6000,B4914,4)*5+0.000001,1))</f>
        <v/>
      </c>
      <c r="F4914">
        <f>IF(A4914="","",MAX(1,CEILING(PERCENTRANK.INC($C$3:$C$6000,C4914,4)*5+0.000001,1)))</f>
        <v/>
      </c>
      <c r="G4914">
        <f>IF(A4914="","",MAX(1,CEILING(PERCENTRANK.INC($D$3:$D$6000,D4914,4)*5+0.000001,1)))</f>
        <v/>
      </c>
      <c r="H4914">
        <f>IF(A4914="","",E4914&amp;F4914&amp;G4914)</f>
        <v/>
      </c>
      <c r="I4914">
        <f>IF(A4914="","",IF(AND(E4914&gt;=4,F4914&gt;=4,G4914&gt;=4),"Juara",IF(AND(F4914&gt;=4,E4914&gt;=3),"Setia",IF(AND(E4914=5,F4914&lt;=2,G4914&gt;=3),"Berpotensi",IF(AND(E4914&lt;=3,E4914&gt;=2,F4914&gt;=3),"Rawan",IF(AND(E4914&lt;=2,F4914&lt;=2),"Tidur","Umum"))))))</f>
        <v/>
      </c>
    </row>
    <row r="4915">
      <c r="B4915">
        <f>IF(A4915="","",$B$1-MAXIFS(Donasi!$A$2:$A$20000,Donasi!$B$2:$B$20000,A4915))</f>
        <v/>
      </c>
      <c r="C4915">
        <f>IF(A4915="","",COUNTIF(Donasi!$B$2:$B$20000,A4915))</f>
        <v/>
      </c>
      <c r="D4915">
        <f>IF(A4915="","",SUMIF(Donasi!$B$2:$B$20000,A4915,Donasi!$C$2:$C$20000))</f>
        <v/>
      </c>
      <c r="E4915">
        <f>IF(A4915="","",6-CEILING(PERCENTRANK.INC($B$3:$B$6000,B4915,4)*5+0.000001,1))</f>
        <v/>
      </c>
      <c r="F4915">
        <f>IF(A4915="","",MAX(1,CEILING(PERCENTRANK.INC($C$3:$C$6000,C4915,4)*5+0.000001,1)))</f>
        <v/>
      </c>
      <c r="G4915">
        <f>IF(A4915="","",MAX(1,CEILING(PERCENTRANK.INC($D$3:$D$6000,D4915,4)*5+0.000001,1)))</f>
        <v/>
      </c>
      <c r="H4915">
        <f>IF(A4915="","",E4915&amp;F4915&amp;G4915)</f>
        <v/>
      </c>
      <c r="I4915">
        <f>IF(A4915="","",IF(AND(E4915&gt;=4,F4915&gt;=4,G4915&gt;=4),"Juara",IF(AND(F4915&gt;=4,E4915&gt;=3),"Setia",IF(AND(E4915=5,F4915&lt;=2,G4915&gt;=3),"Berpotensi",IF(AND(E4915&lt;=3,E4915&gt;=2,F4915&gt;=3),"Rawan",IF(AND(E4915&lt;=2,F4915&lt;=2),"Tidur","Umum"))))))</f>
        <v/>
      </c>
    </row>
    <row r="4916">
      <c r="B4916">
        <f>IF(A4916="","",$B$1-MAXIFS(Donasi!$A$2:$A$20000,Donasi!$B$2:$B$20000,A4916))</f>
        <v/>
      </c>
      <c r="C4916">
        <f>IF(A4916="","",COUNTIF(Donasi!$B$2:$B$20000,A4916))</f>
        <v/>
      </c>
      <c r="D4916">
        <f>IF(A4916="","",SUMIF(Donasi!$B$2:$B$20000,A4916,Donasi!$C$2:$C$20000))</f>
        <v/>
      </c>
      <c r="E4916">
        <f>IF(A4916="","",6-CEILING(PERCENTRANK.INC($B$3:$B$6000,B4916,4)*5+0.000001,1))</f>
        <v/>
      </c>
      <c r="F4916">
        <f>IF(A4916="","",MAX(1,CEILING(PERCENTRANK.INC($C$3:$C$6000,C4916,4)*5+0.000001,1)))</f>
        <v/>
      </c>
      <c r="G4916">
        <f>IF(A4916="","",MAX(1,CEILING(PERCENTRANK.INC($D$3:$D$6000,D4916,4)*5+0.000001,1)))</f>
        <v/>
      </c>
      <c r="H4916">
        <f>IF(A4916="","",E4916&amp;F4916&amp;G4916)</f>
        <v/>
      </c>
      <c r="I4916">
        <f>IF(A4916="","",IF(AND(E4916&gt;=4,F4916&gt;=4,G4916&gt;=4),"Juara",IF(AND(F4916&gt;=4,E4916&gt;=3),"Setia",IF(AND(E4916=5,F4916&lt;=2,G4916&gt;=3),"Berpotensi",IF(AND(E4916&lt;=3,E4916&gt;=2,F4916&gt;=3),"Rawan",IF(AND(E4916&lt;=2,F4916&lt;=2),"Tidur","Umum"))))))</f>
        <v/>
      </c>
    </row>
    <row r="4917">
      <c r="B4917">
        <f>IF(A4917="","",$B$1-MAXIFS(Donasi!$A$2:$A$20000,Donasi!$B$2:$B$20000,A4917))</f>
        <v/>
      </c>
      <c r="C4917">
        <f>IF(A4917="","",COUNTIF(Donasi!$B$2:$B$20000,A4917))</f>
        <v/>
      </c>
      <c r="D4917">
        <f>IF(A4917="","",SUMIF(Donasi!$B$2:$B$20000,A4917,Donasi!$C$2:$C$20000))</f>
        <v/>
      </c>
      <c r="E4917">
        <f>IF(A4917="","",6-CEILING(PERCENTRANK.INC($B$3:$B$6000,B4917,4)*5+0.000001,1))</f>
        <v/>
      </c>
      <c r="F4917">
        <f>IF(A4917="","",MAX(1,CEILING(PERCENTRANK.INC($C$3:$C$6000,C4917,4)*5+0.000001,1)))</f>
        <v/>
      </c>
      <c r="G4917">
        <f>IF(A4917="","",MAX(1,CEILING(PERCENTRANK.INC($D$3:$D$6000,D4917,4)*5+0.000001,1)))</f>
        <v/>
      </c>
      <c r="H4917">
        <f>IF(A4917="","",E4917&amp;F4917&amp;G4917)</f>
        <v/>
      </c>
      <c r="I4917">
        <f>IF(A4917="","",IF(AND(E4917&gt;=4,F4917&gt;=4,G4917&gt;=4),"Juara",IF(AND(F4917&gt;=4,E4917&gt;=3),"Setia",IF(AND(E4917=5,F4917&lt;=2,G4917&gt;=3),"Berpotensi",IF(AND(E4917&lt;=3,E4917&gt;=2,F4917&gt;=3),"Rawan",IF(AND(E4917&lt;=2,F4917&lt;=2),"Tidur","Umum"))))))</f>
        <v/>
      </c>
    </row>
    <row r="4918">
      <c r="B4918">
        <f>IF(A4918="","",$B$1-MAXIFS(Donasi!$A$2:$A$20000,Donasi!$B$2:$B$20000,A4918))</f>
        <v/>
      </c>
      <c r="C4918">
        <f>IF(A4918="","",COUNTIF(Donasi!$B$2:$B$20000,A4918))</f>
        <v/>
      </c>
      <c r="D4918">
        <f>IF(A4918="","",SUMIF(Donasi!$B$2:$B$20000,A4918,Donasi!$C$2:$C$20000))</f>
        <v/>
      </c>
      <c r="E4918">
        <f>IF(A4918="","",6-CEILING(PERCENTRANK.INC($B$3:$B$6000,B4918,4)*5+0.000001,1))</f>
        <v/>
      </c>
      <c r="F4918">
        <f>IF(A4918="","",MAX(1,CEILING(PERCENTRANK.INC($C$3:$C$6000,C4918,4)*5+0.000001,1)))</f>
        <v/>
      </c>
      <c r="G4918">
        <f>IF(A4918="","",MAX(1,CEILING(PERCENTRANK.INC($D$3:$D$6000,D4918,4)*5+0.000001,1)))</f>
        <v/>
      </c>
      <c r="H4918">
        <f>IF(A4918="","",E4918&amp;F4918&amp;G4918)</f>
        <v/>
      </c>
      <c r="I4918">
        <f>IF(A4918="","",IF(AND(E4918&gt;=4,F4918&gt;=4,G4918&gt;=4),"Juara",IF(AND(F4918&gt;=4,E4918&gt;=3),"Setia",IF(AND(E4918=5,F4918&lt;=2,G4918&gt;=3),"Berpotensi",IF(AND(E4918&lt;=3,E4918&gt;=2,F4918&gt;=3),"Rawan",IF(AND(E4918&lt;=2,F4918&lt;=2),"Tidur","Umum"))))))</f>
        <v/>
      </c>
    </row>
    <row r="4919">
      <c r="B4919">
        <f>IF(A4919="","",$B$1-MAXIFS(Donasi!$A$2:$A$20000,Donasi!$B$2:$B$20000,A4919))</f>
        <v/>
      </c>
      <c r="C4919">
        <f>IF(A4919="","",COUNTIF(Donasi!$B$2:$B$20000,A4919))</f>
        <v/>
      </c>
      <c r="D4919">
        <f>IF(A4919="","",SUMIF(Donasi!$B$2:$B$20000,A4919,Donasi!$C$2:$C$20000))</f>
        <v/>
      </c>
      <c r="E4919">
        <f>IF(A4919="","",6-CEILING(PERCENTRANK.INC($B$3:$B$6000,B4919,4)*5+0.000001,1))</f>
        <v/>
      </c>
      <c r="F4919">
        <f>IF(A4919="","",MAX(1,CEILING(PERCENTRANK.INC($C$3:$C$6000,C4919,4)*5+0.000001,1)))</f>
        <v/>
      </c>
      <c r="G4919">
        <f>IF(A4919="","",MAX(1,CEILING(PERCENTRANK.INC($D$3:$D$6000,D4919,4)*5+0.000001,1)))</f>
        <v/>
      </c>
      <c r="H4919">
        <f>IF(A4919="","",E4919&amp;F4919&amp;G4919)</f>
        <v/>
      </c>
      <c r="I4919">
        <f>IF(A4919="","",IF(AND(E4919&gt;=4,F4919&gt;=4,G4919&gt;=4),"Juara",IF(AND(F4919&gt;=4,E4919&gt;=3),"Setia",IF(AND(E4919=5,F4919&lt;=2,G4919&gt;=3),"Berpotensi",IF(AND(E4919&lt;=3,E4919&gt;=2,F4919&gt;=3),"Rawan",IF(AND(E4919&lt;=2,F4919&lt;=2),"Tidur","Umum"))))))</f>
        <v/>
      </c>
    </row>
    <row r="4920">
      <c r="B4920">
        <f>IF(A4920="","",$B$1-MAXIFS(Donasi!$A$2:$A$20000,Donasi!$B$2:$B$20000,A4920))</f>
        <v/>
      </c>
      <c r="C4920">
        <f>IF(A4920="","",COUNTIF(Donasi!$B$2:$B$20000,A4920))</f>
        <v/>
      </c>
      <c r="D4920">
        <f>IF(A4920="","",SUMIF(Donasi!$B$2:$B$20000,A4920,Donasi!$C$2:$C$20000))</f>
        <v/>
      </c>
      <c r="E4920">
        <f>IF(A4920="","",6-CEILING(PERCENTRANK.INC($B$3:$B$6000,B4920,4)*5+0.000001,1))</f>
        <v/>
      </c>
      <c r="F4920">
        <f>IF(A4920="","",MAX(1,CEILING(PERCENTRANK.INC($C$3:$C$6000,C4920,4)*5+0.000001,1)))</f>
        <v/>
      </c>
      <c r="G4920">
        <f>IF(A4920="","",MAX(1,CEILING(PERCENTRANK.INC($D$3:$D$6000,D4920,4)*5+0.000001,1)))</f>
        <v/>
      </c>
      <c r="H4920">
        <f>IF(A4920="","",E4920&amp;F4920&amp;G4920)</f>
        <v/>
      </c>
      <c r="I4920">
        <f>IF(A4920="","",IF(AND(E4920&gt;=4,F4920&gt;=4,G4920&gt;=4),"Juara",IF(AND(F4920&gt;=4,E4920&gt;=3),"Setia",IF(AND(E4920=5,F4920&lt;=2,G4920&gt;=3),"Berpotensi",IF(AND(E4920&lt;=3,E4920&gt;=2,F4920&gt;=3),"Rawan",IF(AND(E4920&lt;=2,F4920&lt;=2),"Tidur","Umum"))))))</f>
        <v/>
      </c>
    </row>
    <row r="4921">
      <c r="B4921">
        <f>IF(A4921="","",$B$1-MAXIFS(Donasi!$A$2:$A$20000,Donasi!$B$2:$B$20000,A4921))</f>
        <v/>
      </c>
      <c r="C4921">
        <f>IF(A4921="","",COUNTIF(Donasi!$B$2:$B$20000,A4921))</f>
        <v/>
      </c>
      <c r="D4921">
        <f>IF(A4921="","",SUMIF(Donasi!$B$2:$B$20000,A4921,Donasi!$C$2:$C$20000))</f>
        <v/>
      </c>
      <c r="E4921">
        <f>IF(A4921="","",6-CEILING(PERCENTRANK.INC($B$3:$B$6000,B4921,4)*5+0.000001,1))</f>
        <v/>
      </c>
      <c r="F4921">
        <f>IF(A4921="","",MAX(1,CEILING(PERCENTRANK.INC($C$3:$C$6000,C4921,4)*5+0.000001,1)))</f>
        <v/>
      </c>
      <c r="G4921">
        <f>IF(A4921="","",MAX(1,CEILING(PERCENTRANK.INC($D$3:$D$6000,D4921,4)*5+0.000001,1)))</f>
        <v/>
      </c>
      <c r="H4921">
        <f>IF(A4921="","",E4921&amp;F4921&amp;G4921)</f>
        <v/>
      </c>
      <c r="I4921">
        <f>IF(A4921="","",IF(AND(E4921&gt;=4,F4921&gt;=4,G4921&gt;=4),"Juara",IF(AND(F4921&gt;=4,E4921&gt;=3),"Setia",IF(AND(E4921=5,F4921&lt;=2,G4921&gt;=3),"Berpotensi",IF(AND(E4921&lt;=3,E4921&gt;=2,F4921&gt;=3),"Rawan",IF(AND(E4921&lt;=2,F4921&lt;=2),"Tidur","Umum"))))))</f>
        <v/>
      </c>
    </row>
    <row r="4922">
      <c r="B4922">
        <f>IF(A4922="","",$B$1-MAXIFS(Donasi!$A$2:$A$20000,Donasi!$B$2:$B$20000,A4922))</f>
        <v/>
      </c>
      <c r="C4922">
        <f>IF(A4922="","",COUNTIF(Donasi!$B$2:$B$20000,A4922))</f>
        <v/>
      </c>
      <c r="D4922">
        <f>IF(A4922="","",SUMIF(Donasi!$B$2:$B$20000,A4922,Donasi!$C$2:$C$20000))</f>
        <v/>
      </c>
      <c r="E4922">
        <f>IF(A4922="","",6-CEILING(PERCENTRANK.INC($B$3:$B$6000,B4922,4)*5+0.000001,1))</f>
        <v/>
      </c>
      <c r="F4922">
        <f>IF(A4922="","",MAX(1,CEILING(PERCENTRANK.INC($C$3:$C$6000,C4922,4)*5+0.000001,1)))</f>
        <v/>
      </c>
      <c r="G4922">
        <f>IF(A4922="","",MAX(1,CEILING(PERCENTRANK.INC($D$3:$D$6000,D4922,4)*5+0.000001,1)))</f>
        <v/>
      </c>
      <c r="H4922">
        <f>IF(A4922="","",E4922&amp;F4922&amp;G4922)</f>
        <v/>
      </c>
      <c r="I4922">
        <f>IF(A4922="","",IF(AND(E4922&gt;=4,F4922&gt;=4,G4922&gt;=4),"Juara",IF(AND(F4922&gt;=4,E4922&gt;=3),"Setia",IF(AND(E4922=5,F4922&lt;=2,G4922&gt;=3),"Berpotensi",IF(AND(E4922&lt;=3,E4922&gt;=2,F4922&gt;=3),"Rawan",IF(AND(E4922&lt;=2,F4922&lt;=2),"Tidur","Umum"))))))</f>
        <v/>
      </c>
    </row>
    <row r="4923">
      <c r="B4923">
        <f>IF(A4923="","",$B$1-MAXIFS(Donasi!$A$2:$A$20000,Donasi!$B$2:$B$20000,A4923))</f>
        <v/>
      </c>
      <c r="C4923">
        <f>IF(A4923="","",COUNTIF(Donasi!$B$2:$B$20000,A4923))</f>
        <v/>
      </c>
      <c r="D4923">
        <f>IF(A4923="","",SUMIF(Donasi!$B$2:$B$20000,A4923,Donasi!$C$2:$C$20000))</f>
        <v/>
      </c>
      <c r="E4923">
        <f>IF(A4923="","",6-CEILING(PERCENTRANK.INC($B$3:$B$6000,B4923,4)*5+0.000001,1))</f>
        <v/>
      </c>
      <c r="F4923">
        <f>IF(A4923="","",MAX(1,CEILING(PERCENTRANK.INC($C$3:$C$6000,C4923,4)*5+0.000001,1)))</f>
        <v/>
      </c>
      <c r="G4923">
        <f>IF(A4923="","",MAX(1,CEILING(PERCENTRANK.INC($D$3:$D$6000,D4923,4)*5+0.000001,1)))</f>
        <v/>
      </c>
      <c r="H4923">
        <f>IF(A4923="","",E4923&amp;F4923&amp;G4923)</f>
        <v/>
      </c>
      <c r="I4923">
        <f>IF(A4923="","",IF(AND(E4923&gt;=4,F4923&gt;=4,G4923&gt;=4),"Juara",IF(AND(F4923&gt;=4,E4923&gt;=3),"Setia",IF(AND(E4923=5,F4923&lt;=2,G4923&gt;=3),"Berpotensi",IF(AND(E4923&lt;=3,E4923&gt;=2,F4923&gt;=3),"Rawan",IF(AND(E4923&lt;=2,F4923&lt;=2),"Tidur","Umum"))))))</f>
        <v/>
      </c>
    </row>
    <row r="4924">
      <c r="B4924">
        <f>IF(A4924="","",$B$1-MAXIFS(Donasi!$A$2:$A$20000,Donasi!$B$2:$B$20000,A4924))</f>
        <v/>
      </c>
      <c r="C4924">
        <f>IF(A4924="","",COUNTIF(Donasi!$B$2:$B$20000,A4924))</f>
        <v/>
      </c>
      <c r="D4924">
        <f>IF(A4924="","",SUMIF(Donasi!$B$2:$B$20000,A4924,Donasi!$C$2:$C$20000))</f>
        <v/>
      </c>
      <c r="E4924">
        <f>IF(A4924="","",6-CEILING(PERCENTRANK.INC($B$3:$B$6000,B4924,4)*5+0.000001,1))</f>
        <v/>
      </c>
      <c r="F4924">
        <f>IF(A4924="","",MAX(1,CEILING(PERCENTRANK.INC($C$3:$C$6000,C4924,4)*5+0.000001,1)))</f>
        <v/>
      </c>
      <c r="G4924">
        <f>IF(A4924="","",MAX(1,CEILING(PERCENTRANK.INC($D$3:$D$6000,D4924,4)*5+0.000001,1)))</f>
        <v/>
      </c>
      <c r="H4924">
        <f>IF(A4924="","",E4924&amp;F4924&amp;G4924)</f>
        <v/>
      </c>
      <c r="I4924">
        <f>IF(A4924="","",IF(AND(E4924&gt;=4,F4924&gt;=4,G4924&gt;=4),"Juara",IF(AND(F4924&gt;=4,E4924&gt;=3),"Setia",IF(AND(E4924=5,F4924&lt;=2,G4924&gt;=3),"Berpotensi",IF(AND(E4924&lt;=3,E4924&gt;=2,F4924&gt;=3),"Rawan",IF(AND(E4924&lt;=2,F4924&lt;=2),"Tidur","Umum"))))))</f>
        <v/>
      </c>
    </row>
    <row r="4925">
      <c r="B4925">
        <f>IF(A4925="","",$B$1-MAXIFS(Donasi!$A$2:$A$20000,Donasi!$B$2:$B$20000,A4925))</f>
        <v/>
      </c>
      <c r="C4925">
        <f>IF(A4925="","",COUNTIF(Donasi!$B$2:$B$20000,A4925))</f>
        <v/>
      </c>
      <c r="D4925">
        <f>IF(A4925="","",SUMIF(Donasi!$B$2:$B$20000,A4925,Donasi!$C$2:$C$20000))</f>
        <v/>
      </c>
      <c r="E4925">
        <f>IF(A4925="","",6-CEILING(PERCENTRANK.INC($B$3:$B$6000,B4925,4)*5+0.000001,1))</f>
        <v/>
      </c>
      <c r="F4925">
        <f>IF(A4925="","",MAX(1,CEILING(PERCENTRANK.INC($C$3:$C$6000,C4925,4)*5+0.000001,1)))</f>
        <v/>
      </c>
      <c r="G4925">
        <f>IF(A4925="","",MAX(1,CEILING(PERCENTRANK.INC($D$3:$D$6000,D4925,4)*5+0.000001,1)))</f>
        <v/>
      </c>
      <c r="H4925">
        <f>IF(A4925="","",E4925&amp;F4925&amp;G4925)</f>
        <v/>
      </c>
      <c r="I4925">
        <f>IF(A4925="","",IF(AND(E4925&gt;=4,F4925&gt;=4,G4925&gt;=4),"Juara",IF(AND(F4925&gt;=4,E4925&gt;=3),"Setia",IF(AND(E4925=5,F4925&lt;=2,G4925&gt;=3),"Berpotensi",IF(AND(E4925&lt;=3,E4925&gt;=2,F4925&gt;=3),"Rawan",IF(AND(E4925&lt;=2,F4925&lt;=2),"Tidur","Umum"))))))</f>
        <v/>
      </c>
    </row>
    <row r="4926">
      <c r="B4926">
        <f>IF(A4926="","",$B$1-MAXIFS(Donasi!$A$2:$A$20000,Donasi!$B$2:$B$20000,A4926))</f>
        <v/>
      </c>
      <c r="C4926">
        <f>IF(A4926="","",COUNTIF(Donasi!$B$2:$B$20000,A4926))</f>
        <v/>
      </c>
      <c r="D4926">
        <f>IF(A4926="","",SUMIF(Donasi!$B$2:$B$20000,A4926,Donasi!$C$2:$C$20000))</f>
        <v/>
      </c>
      <c r="E4926">
        <f>IF(A4926="","",6-CEILING(PERCENTRANK.INC($B$3:$B$6000,B4926,4)*5+0.000001,1))</f>
        <v/>
      </c>
      <c r="F4926">
        <f>IF(A4926="","",MAX(1,CEILING(PERCENTRANK.INC($C$3:$C$6000,C4926,4)*5+0.000001,1)))</f>
        <v/>
      </c>
      <c r="G4926">
        <f>IF(A4926="","",MAX(1,CEILING(PERCENTRANK.INC($D$3:$D$6000,D4926,4)*5+0.000001,1)))</f>
        <v/>
      </c>
      <c r="H4926">
        <f>IF(A4926="","",E4926&amp;F4926&amp;G4926)</f>
        <v/>
      </c>
      <c r="I4926">
        <f>IF(A4926="","",IF(AND(E4926&gt;=4,F4926&gt;=4,G4926&gt;=4),"Juara",IF(AND(F4926&gt;=4,E4926&gt;=3),"Setia",IF(AND(E4926=5,F4926&lt;=2,G4926&gt;=3),"Berpotensi",IF(AND(E4926&lt;=3,E4926&gt;=2,F4926&gt;=3),"Rawan",IF(AND(E4926&lt;=2,F4926&lt;=2),"Tidur","Umum"))))))</f>
        <v/>
      </c>
    </row>
    <row r="4927">
      <c r="B4927">
        <f>IF(A4927="","",$B$1-MAXIFS(Donasi!$A$2:$A$20000,Donasi!$B$2:$B$20000,A4927))</f>
        <v/>
      </c>
      <c r="C4927">
        <f>IF(A4927="","",COUNTIF(Donasi!$B$2:$B$20000,A4927))</f>
        <v/>
      </c>
      <c r="D4927">
        <f>IF(A4927="","",SUMIF(Donasi!$B$2:$B$20000,A4927,Donasi!$C$2:$C$20000))</f>
        <v/>
      </c>
      <c r="E4927">
        <f>IF(A4927="","",6-CEILING(PERCENTRANK.INC($B$3:$B$6000,B4927,4)*5+0.000001,1))</f>
        <v/>
      </c>
      <c r="F4927">
        <f>IF(A4927="","",MAX(1,CEILING(PERCENTRANK.INC($C$3:$C$6000,C4927,4)*5+0.000001,1)))</f>
        <v/>
      </c>
      <c r="G4927">
        <f>IF(A4927="","",MAX(1,CEILING(PERCENTRANK.INC($D$3:$D$6000,D4927,4)*5+0.000001,1)))</f>
        <v/>
      </c>
      <c r="H4927">
        <f>IF(A4927="","",E4927&amp;F4927&amp;G4927)</f>
        <v/>
      </c>
      <c r="I4927">
        <f>IF(A4927="","",IF(AND(E4927&gt;=4,F4927&gt;=4,G4927&gt;=4),"Juara",IF(AND(F4927&gt;=4,E4927&gt;=3),"Setia",IF(AND(E4927=5,F4927&lt;=2,G4927&gt;=3),"Berpotensi",IF(AND(E4927&lt;=3,E4927&gt;=2,F4927&gt;=3),"Rawan",IF(AND(E4927&lt;=2,F4927&lt;=2),"Tidur","Umum"))))))</f>
        <v/>
      </c>
    </row>
    <row r="4928">
      <c r="B4928">
        <f>IF(A4928="","",$B$1-MAXIFS(Donasi!$A$2:$A$20000,Donasi!$B$2:$B$20000,A4928))</f>
        <v/>
      </c>
      <c r="C4928">
        <f>IF(A4928="","",COUNTIF(Donasi!$B$2:$B$20000,A4928))</f>
        <v/>
      </c>
      <c r="D4928">
        <f>IF(A4928="","",SUMIF(Donasi!$B$2:$B$20000,A4928,Donasi!$C$2:$C$20000))</f>
        <v/>
      </c>
      <c r="E4928">
        <f>IF(A4928="","",6-CEILING(PERCENTRANK.INC($B$3:$B$6000,B4928,4)*5+0.000001,1))</f>
        <v/>
      </c>
      <c r="F4928">
        <f>IF(A4928="","",MAX(1,CEILING(PERCENTRANK.INC($C$3:$C$6000,C4928,4)*5+0.000001,1)))</f>
        <v/>
      </c>
      <c r="G4928">
        <f>IF(A4928="","",MAX(1,CEILING(PERCENTRANK.INC($D$3:$D$6000,D4928,4)*5+0.000001,1)))</f>
        <v/>
      </c>
      <c r="H4928">
        <f>IF(A4928="","",E4928&amp;F4928&amp;G4928)</f>
        <v/>
      </c>
      <c r="I4928">
        <f>IF(A4928="","",IF(AND(E4928&gt;=4,F4928&gt;=4,G4928&gt;=4),"Juara",IF(AND(F4928&gt;=4,E4928&gt;=3),"Setia",IF(AND(E4928=5,F4928&lt;=2,G4928&gt;=3),"Berpotensi",IF(AND(E4928&lt;=3,E4928&gt;=2,F4928&gt;=3),"Rawan",IF(AND(E4928&lt;=2,F4928&lt;=2),"Tidur","Umum"))))))</f>
        <v/>
      </c>
    </row>
    <row r="4929">
      <c r="B4929">
        <f>IF(A4929="","",$B$1-MAXIFS(Donasi!$A$2:$A$20000,Donasi!$B$2:$B$20000,A4929))</f>
        <v/>
      </c>
      <c r="C4929">
        <f>IF(A4929="","",COUNTIF(Donasi!$B$2:$B$20000,A4929))</f>
        <v/>
      </c>
      <c r="D4929">
        <f>IF(A4929="","",SUMIF(Donasi!$B$2:$B$20000,A4929,Donasi!$C$2:$C$20000))</f>
        <v/>
      </c>
      <c r="E4929">
        <f>IF(A4929="","",6-CEILING(PERCENTRANK.INC($B$3:$B$6000,B4929,4)*5+0.000001,1))</f>
        <v/>
      </c>
      <c r="F4929">
        <f>IF(A4929="","",MAX(1,CEILING(PERCENTRANK.INC($C$3:$C$6000,C4929,4)*5+0.000001,1)))</f>
        <v/>
      </c>
      <c r="G4929">
        <f>IF(A4929="","",MAX(1,CEILING(PERCENTRANK.INC($D$3:$D$6000,D4929,4)*5+0.000001,1)))</f>
        <v/>
      </c>
      <c r="H4929">
        <f>IF(A4929="","",E4929&amp;F4929&amp;G4929)</f>
        <v/>
      </c>
      <c r="I4929">
        <f>IF(A4929="","",IF(AND(E4929&gt;=4,F4929&gt;=4,G4929&gt;=4),"Juara",IF(AND(F4929&gt;=4,E4929&gt;=3),"Setia",IF(AND(E4929=5,F4929&lt;=2,G4929&gt;=3),"Berpotensi",IF(AND(E4929&lt;=3,E4929&gt;=2,F4929&gt;=3),"Rawan",IF(AND(E4929&lt;=2,F4929&lt;=2),"Tidur","Umum"))))))</f>
        <v/>
      </c>
    </row>
    <row r="4930">
      <c r="B4930">
        <f>IF(A4930="","",$B$1-MAXIFS(Donasi!$A$2:$A$20000,Donasi!$B$2:$B$20000,A4930))</f>
        <v/>
      </c>
      <c r="C4930">
        <f>IF(A4930="","",COUNTIF(Donasi!$B$2:$B$20000,A4930))</f>
        <v/>
      </c>
      <c r="D4930">
        <f>IF(A4930="","",SUMIF(Donasi!$B$2:$B$20000,A4930,Donasi!$C$2:$C$20000))</f>
        <v/>
      </c>
      <c r="E4930">
        <f>IF(A4930="","",6-CEILING(PERCENTRANK.INC($B$3:$B$6000,B4930,4)*5+0.000001,1))</f>
        <v/>
      </c>
      <c r="F4930">
        <f>IF(A4930="","",MAX(1,CEILING(PERCENTRANK.INC($C$3:$C$6000,C4930,4)*5+0.000001,1)))</f>
        <v/>
      </c>
      <c r="G4930">
        <f>IF(A4930="","",MAX(1,CEILING(PERCENTRANK.INC($D$3:$D$6000,D4930,4)*5+0.000001,1)))</f>
        <v/>
      </c>
      <c r="H4930">
        <f>IF(A4930="","",E4930&amp;F4930&amp;G4930)</f>
        <v/>
      </c>
      <c r="I4930">
        <f>IF(A4930="","",IF(AND(E4930&gt;=4,F4930&gt;=4,G4930&gt;=4),"Juara",IF(AND(F4930&gt;=4,E4930&gt;=3),"Setia",IF(AND(E4930=5,F4930&lt;=2,G4930&gt;=3),"Berpotensi",IF(AND(E4930&lt;=3,E4930&gt;=2,F4930&gt;=3),"Rawan",IF(AND(E4930&lt;=2,F4930&lt;=2),"Tidur","Umum"))))))</f>
        <v/>
      </c>
    </row>
    <row r="4931">
      <c r="B4931">
        <f>IF(A4931="","",$B$1-MAXIFS(Donasi!$A$2:$A$20000,Donasi!$B$2:$B$20000,A4931))</f>
        <v/>
      </c>
      <c r="C4931">
        <f>IF(A4931="","",COUNTIF(Donasi!$B$2:$B$20000,A4931))</f>
        <v/>
      </c>
      <c r="D4931">
        <f>IF(A4931="","",SUMIF(Donasi!$B$2:$B$20000,A4931,Donasi!$C$2:$C$20000))</f>
        <v/>
      </c>
      <c r="E4931">
        <f>IF(A4931="","",6-CEILING(PERCENTRANK.INC($B$3:$B$6000,B4931,4)*5+0.000001,1))</f>
        <v/>
      </c>
      <c r="F4931">
        <f>IF(A4931="","",MAX(1,CEILING(PERCENTRANK.INC($C$3:$C$6000,C4931,4)*5+0.000001,1)))</f>
        <v/>
      </c>
      <c r="G4931">
        <f>IF(A4931="","",MAX(1,CEILING(PERCENTRANK.INC($D$3:$D$6000,D4931,4)*5+0.000001,1)))</f>
        <v/>
      </c>
      <c r="H4931">
        <f>IF(A4931="","",E4931&amp;F4931&amp;G4931)</f>
        <v/>
      </c>
      <c r="I4931">
        <f>IF(A4931="","",IF(AND(E4931&gt;=4,F4931&gt;=4,G4931&gt;=4),"Juara",IF(AND(F4931&gt;=4,E4931&gt;=3),"Setia",IF(AND(E4931=5,F4931&lt;=2,G4931&gt;=3),"Berpotensi",IF(AND(E4931&lt;=3,E4931&gt;=2,F4931&gt;=3),"Rawan",IF(AND(E4931&lt;=2,F4931&lt;=2),"Tidur","Umum"))))))</f>
        <v/>
      </c>
    </row>
    <row r="4932">
      <c r="B4932">
        <f>IF(A4932="","",$B$1-MAXIFS(Donasi!$A$2:$A$20000,Donasi!$B$2:$B$20000,A4932))</f>
        <v/>
      </c>
      <c r="C4932">
        <f>IF(A4932="","",COUNTIF(Donasi!$B$2:$B$20000,A4932))</f>
        <v/>
      </c>
      <c r="D4932">
        <f>IF(A4932="","",SUMIF(Donasi!$B$2:$B$20000,A4932,Donasi!$C$2:$C$20000))</f>
        <v/>
      </c>
      <c r="E4932">
        <f>IF(A4932="","",6-CEILING(PERCENTRANK.INC($B$3:$B$6000,B4932,4)*5+0.000001,1))</f>
        <v/>
      </c>
      <c r="F4932">
        <f>IF(A4932="","",MAX(1,CEILING(PERCENTRANK.INC($C$3:$C$6000,C4932,4)*5+0.000001,1)))</f>
        <v/>
      </c>
      <c r="G4932">
        <f>IF(A4932="","",MAX(1,CEILING(PERCENTRANK.INC($D$3:$D$6000,D4932,4)*5+0.000001,1)))</f>
        <v/>
      </c>
      <c r="H4932">
        <f>IF(A4932="","",E4932&amp;F4932&amp;G4932)</f>
        <v/>
      </c>
      <c r="I4932">
        <f>IF(A4932="","",IF(AND(E4932&gt;=4,F4932&gt;=4,G4932&gt;=4),"Juara",IF(AND(F4932&gt;=4,E4932&gt;=3),"Setia",IF(AND(E4932=5,F4932&lt;=2,G4932&gt;=3),"Berpotensi",IF(AND(E4932&lt;=3,E4932&gt;=2,F4932&gt;=3),"Rawan",IF(AND(E4932&lt;=2,F4932&lt;=2),"Tidur","Umum"))))))</f>
        <v/>
      </c>
    </row>
    <row r="4933">
      <c r="B4933">
        <f>IF(A4933="","",$B$1-MAXIFS(Donasi!$A$2:$A$20000,Donasi!$B$2:$B$20000,A4933))</f>
        <v/>
      </c>
      <c r="C4933">
        <f>IF(A4933="","",COUNTIF(Donasi!$B$2:$B$20000,A4933))</f>
        <v/>
      </c>
      <c r="D4933">
        <f>IF(A4933="","",SUMIF(Donasi!$B$2:$B$20000,A4933,Donasi!$C$2:$C$20000))</f>
        <v/>
      </c>
      <c r="E4933">
        <f>IF(A4933="","",6-CEILING(PERCENTRANK.INC($B$3:$B$6000,B4933,4)*5+0.000001,1))</f>
        <v/>
      </c>
      <c r="F4933">
        <f>IF(A4933="","",MAX(1,CEILING(PERCENTRANK.INC($C$3:$C$6000,C4933,4)*5+0.000001,1)))</f>
        <v/>
      </c>
      <c r="G4933">
        <f>IF(A4933="","",MAX(1,CEILING(PERCENTRANK.INC($D$3:$D$6000,D4933,4)*5+0.000001,1)))</f>
        <v/>
      </c>
      <c r="H4933">
        <f>IF(A4933="","",E4933&amp;F4933&amp;G4933)</f>
        <v/>
      </c>
      <c r="I4933">
        <f>IF(A4933="","",IF(AND(E4933&gt;=4,F4933&gt;=4,G4933&gt;=4),"Juara",IF(AND(F4933&gt;=4,E4933&gt;=3),"Setia",IF(AND(E4933=5,F4933&lt;=2,G4933&gt;=3),"Berpotensi",IF(AND(E4933&lt;=3,E4933&gt;=2,F4933&gt;=3),"Rawan",IF(AND(E4933&lt;=2,F4933&lt;=2),"Tidur","Umum"))))))</f>
        <v/>
      </c>
    </row>
    <row r="4934">
      <c r="B4934">
        <f>IF(A4934="","",$B$1-MAXIFS(Donasi!$A$2:$A$20000,Donasi!$B$2:$B$20000,A4934))</f>
        <v/>
      </c>
      <c r="C4934">
        <f>IF(A4934="","",COUNTIF(Donasi!$B$2:$B$20000,A4934))</f>
        <v/>
      </c>
      <c r="D4934">
        <f>IF(A4934="","",SUMIF(Donasi!$B$2:$B$20000,A4934,Donasi!$C$2:$C$20000))</f>
        <v/>
      </c>
      <c r="E4934">
        <f>IF(A4934="","",6-CEILING(PERCENTRANK.INC($B$3:$B$6000,B4934,4)*5+0.000001,1))</f>
        <v/>
      </c>
      <c r="F4934">
        <f>IF(A4934="","",MAX(1,CEILING(PERCENTRANK.INC($C$3:$C$6000,C4934,4)*5+0.000001,1)))</f>
        <v/>
      </c>
      <c r="G4934">
        <f>IF(A4934="","",MAX(1,CEILING(PERCENTRANK.INC($D$3:$D$6000,D4934,4)*5+0.000001,1)))</f>
        <v/>
      </c>
      <c r="H4934">
        <f>IF(A4934="","",E4934&amp;F4934&amp;G4934)</f>
        <v/>
      </c>
      <c r="I4934">
        <f>IF(A4934="","",IF(AND(E4934&gt;=4,F4934&gt;=4,G4934&gt;=4),"Juara",IF(AND(F4934&gt;=4,E4934&gt;=3),"Setia",IF(AND(E4934=5,F4934&lt;=2,G4934&gt;=3),"Berpotensi",IF(AND(E4934&lt;=3,E4934&gt;=2,F4934&gt;=3),"Rawan",IF(AND(E4934&lt;=2,F4934&lt;=2),"Tidur","Umum"))))))</f>
        <v/>
      </c>
    </row>
    <row r="4935">
      <c r="B4935">
        <f>IF(A4935="","",$B$1-MAXIFS(Donasi!$A$2:$A$20000,Donasi!$B$2:$B$20000,A4935))</f>
        <v/>
      </c>
      <c r="C4935">
        <f>IF(A4935="","",COUNTIF(Donasi!$B$2:$B$20000,A4935))</f>
        <v/>
      </c>
      <c r="D4935">
        <f>IF(A4935="","",SUMIF(Donasi!$B$2:$B$20000,A4935,Donasi!$C$2:$C$20000))</f>
        <v/>
      </c>
      <c r="E4935">
        <f>IF(A4935="","",6-CEILING(PERCENTRANK.INC($B$3:$B$6000,B4935,4)*5+0.000001,1))</f>
        <v/>
      </c>
      <c r="F4935">
        <f>IF(A4935="","",MAX(1,CEILING(PERCENTRANK.INC($C$3:$C$6000,C4935,4)*5+0.000001,1)))</f>
        <v/>
      </c>
      <c r="G4935">
        <f>IF(A4935="","",MAX(1,CEILING(PERCENTRANK.INC($D$3:$D$6000,D4935,4)*5+0.000001,1)))</f>
        <v/>
      </c>
      <c r="H4935">
        <f>IF(A4935="","",E4935&amp;F4935&amp;G4935)</f>
        <v/>
      </c>
      <c r="I4935">
        <f>IF(A4935="","",IF(AND(E4935&gt;=4,F4935&gt;=4,G4935&gt;=4),"Juara",IF(AND(F4935&gt;=4,E4935&gt;=3),"Setia",IF(AND(E4935=5,F4935&lt;=2,G4935&gt;=3),"Berpotensi",IF(AND(E4935&lt;=3,E4935&gt;=2,F4935&gt;=3),"Rawan",IF(AND(E4935&lt;=2,F4935&lt;=2),"Tidur","Umum"))))))</f>
        <v/>
      </c>
    </row>
    <row r="4936">
      <c r="B4936">
        <f>IF(A4936="","",$B$1-MAXIFS(Donasi!$A$2:$A$20000,Donasi!$B$2:$B$20000,A4936))</f>
        <v/>
      </c>
      <c r="C4936">
        <f>IF(A4936="","",COUNTIF(Donasi!$B$2:$B$20000,A4936))</f>
        <v/>
      </c>
      <c r="D4936">
        <f>IF(A4936="","",SUMIF(Donasi!$B$2:$B$20000,A4936,Donasi!$C$2:$C$20000))</f>
        <v/>
      </c>
      <c r="E4936">
        <f>IF(A4936="","",6-CEILING(PERCENTRANK.INC($B$3:$B$6000,B4936,4)*5+0.000001,1))</f>
        <v/>
      </c>
      <c r="F4936">
        <f>IF(A4936="","",MAX(1,CEILING(PERCENTRANK.INC($C$3:$C$6000,C4936,4)*5+0.000001,1)))</f>
        <v/>
      </c>
      <c r="G4936">
        <f>IF(A4936="","",MAX(1,CEILING(PERCENTRANK.INC($D$3:$D$6000,D4936,4)*5+0.000001,1)))</f>
        <v/>
      </c>
      <c r="H4936">
        <f>IF(A4936="","",E4936&amp;F4936&amp;G4936)</f>
        <v/>
      </c>
      <c r="I4936">
        <f>IF(A4936="","",IF(AND(E4936&gt;=4,F4936&gt;=4,G4936&gt;=4),"Juara",IF(AND(F4936&gt;=4,E4936&gt;=3),"Setia",IF(AND(E4936=5,F4936&lt;=2,G4936&gt;=3),"Berpotensi",IF(AND(E4936&lt;=3,E4936&gt;=2,F4936&gt;=3),"Rawan",IF(AND(E4936&lt;=2,F4936&lt;=2),"Tidur","Umum"))))))</f>
        <v/>
      </c>
    </row>
    <row r="4937">
      <c r="B4937">
        <f>IF(A4937="","",$B$1-MAXIFS(Donasi!$A$2:$A$20000,Donasi!$B$2:$B$20000,A4937))</f>
        <v/>
      </c>
      <c r="C4937">
        <f>IF(A4937="","",COUNTIF(Donasi!$B$2:$B$20000,A4937))</f>
        <v/>
      </c>
      <c r="D4937">
        <f>IF(A4937="","",SUMIF(Donasi!$B$2:$B$20000,A4937,Donasi!$C$2:$C$20000))</f>
        <v/>
      </c>
      <c r="E4937">
        <f>IF(A4937="","",6-CEILING(PERCENTRANK.INC($B$3:$B$6000,B4937,4)*5+0.000001,1))</f>
        <v/>
      </c>
      <c r="F4937">
        <f>IF(A4937="","",MAX(1,CEILING(PERCENTRANK.INC($C$3:$C$6000,C4937,4)*5+0.000001,1)))</f>
        <v/>
      </c>
      <c r="G4937">
        <f>IF(A4937="","",MAX(1,CEILING(PERCENTRANK.INC($D$3:$D$6000,D4937,4)*5+0.000001,1)))</f>
        <v/>
      </c>
      <c r="H4937">
        <f>IF(A4937="","",E4937&amp;F4937&amp;G4937)</f>
        <v/>
      </c>
      <c r="I4937">
        <f>IF(A4937="","",IF(AND(E4937&gt;=4,F4937&gt;=4,G4937&gt;=4),"Juara",IF(AND(F4937&gt;=4,E4937&gt;=3),"Setia",IF(AND(E4937=5,F4937&lt;=2,G4937&gt;=3),"Berpotensi",IF(AND(E4937&lt;=3,E4937&gt;=2,F4937&gt;=3),"Rawan",IF(AND(E4937&lt;=2,F4937&lt;=2),"Tidur","Umum"))))))</f>
        <v/>
      </c>
    </row>
    <row r="4938">
      <c r="B4938">
        <f>IF(A4938="","",$B$1-MAXIFS(Donasi!$A$2:$A$20000,Donasi!$B$2:$B$20000,A4938))</f>
        <v/>
      </c>
      <c r="C4938">
        <f>IF(A4938="","",COUNTIF(Donasi!$B$2:$B$20000,A4938))</f>
        <v/>
      </c>
      <c r="D4938">
        <f>IF(A4938="","",SUMIF(Donasi!$B$2:$B$20000,A4938,Donasi!$C$2:$C$20000))</f>
        <v/>
      </c>
      <c r="E4938">
        <f>IF(A4938="","",6-CEILING(PERCENTRANK.INC($B$3:$B$6000,B4938,4)*5+0.000001,1))</f>
        <v/>
      </c>
      <c r="F4938">
        <f>IF(A4938="","",MAX(1,CEILING(PERCENTRANK.INC($C$3:$C$6000,C4938,4)*5+0.000001,1)))</f>
        <v/>
      </c>
      <c r="G4938">
        <f>IF(A4938="","",MAX(1,CEILING(PERCENTRANK.INC($D$3:$D$6000,D4938,4)*5+0.000001,1)))</f>
        <v/>
      </c>
      <c r="H4938">
        <f>IF(A4938="","",E4938&amp;F4938&amp;G4938)</f>
        <v/>
      </c>
      <c r="I4938">
        <f>IF(A4938="","",IF(AND(E4938&gt;=4,F4938&gt;=4,G4938&gt;=4),"Juara",IF(AND(F4938&gt;=4,E4938&gt;=3),"Setia",IF(AND(E4938=5,F4938&lt;=2,G4938&gt;=3),"Berpotensi",IF(AND(E4938&lt;=3,E4938&gt;=2,F4938&gt;=3),"Rawan",IF(AND(E4938&lt;=2,F4938&lt;=2),"Tidur","Umum"))))))</f>
        <v/>
      </c>
    </row>
    <row r="4939">
      <c r="B4939">
        <f>IF(A4939="","",$B$1-MAXIFS(Donasi!$A$2:$A$20000,Donasi!$B$2:$B$20000,A4939))</f>
        <v/>
      </c>
      <c r="C4939">
        <f>IF(A4939="","",COUNTIF(Donasi!$B$2:$B$20000,A4939))</f>
        <v/>
      </c>
      <c r="D4939">
        <f>IF(A4939="","",SUMIF(Donasi!$B$2:$B$20000,A4939,Donasi!$C$2:$C$20000))</f>
        <v/>
      </c>
      <c r="E4939">
        <f>IF(A4939="","",6-CEILING(PERCENTRANK.INC($B$3:$B$6000,B4939,4)*5+0.000001,1))</f>
        <v/>
      </c>
      <c r="F4939">
        <f>IF(A4939="","",MAX(1,CEILING(PERCENTRANK.INC($C$3:$C$6000,C4939,4)*5+0.000001,1)))</f>
        <v/>
      </c>
      <c r="G4939">
        <f>IF(A4939="","",MAX(1,CEILING(PERCENTRANK.INC($D$3:$D$6000,D4939,4)*5+0.000001,1)))</f>
        <v/>
      </c>
      <c r="H4939">
        <f>IF(A4939="","",E4939&amp;F4939&amp;G4939)</f>
        <v/>
      </c>
      <c r="I4939">
        <f>IF(A4939="","",IF(AND(E4939&gt;=4,F4939&gt;=4,G4939&gt;=4),"Juara",IF(AND(F4939&gt;=4,E4939&gt;=3),"Setia",IF(AND(E4939=5,F4939&lt;=2,G4939&gt;=3),"Berpotensi",IF(AND(E4939&lt;=3,E4939&gt;=2,F4939&gt;=3),"Rawan",IF(AND(E4939&lt;=2,F4939&lt;=2),"Tidur","Umum"))))))</f>
        <v/>
      </c>
    </row>
    <row r="4940">
      <c r="B4940">
        <f>IF(A4940="","",$B$1-MAXIFS(Donasi!$A$2:$A$20000,Donasi!$B$2:$B$20000,A4940))</f>
        <v/>
      </c>
      <c r="C4940">
        <f>IF(A4940="","",COUNTIF(Donasi!$B$2:$B$20000,A4940))</f>
        <v/>
      </c>
      <c r="D4940">
        <f>IF(A4940="","",SUMIF(Donasi!$B$2:$B$20000,A4940,Donasi!$C$2:$C$20000))</f>
        <v/>
      </c>
      <c r="E4940">
        <f>IF(A4940="","",6-CEILING(PERCENTRANK.INC($B$3:$B$6000,B4940,4)*5+0.000001,1))</f>
        <v/>
      </c>
      <c r="F4940">
        <f>IF(A4940="","",MAX(1,CEILING(PERCENTRANK.INC($C$3:$C$6000,C4940,4)*5+0.000001,1)))</f>
        <v/>
      </c>
      <c r="G4940">
        <f>IF(A4940="","",MAX(1,CEILING(PERCENTRANK.INC($D$3:$D$6000,D4940,4)*5+0.000001,1)))</f>
        <v/>
      </c>
      <c r="H4940">
        <f>IF(A4940="","",E4940&amp;F4940&amp;G4940)</f>
        <v/>
      </c>
      <c r="I4940">
        <f>IF(A4940="","",IF(AND(E4940&gt;=4,F4940&gt;=4,G4940&gt;=4),"Juara",IF(AND(F4940&gt;=4,E4940&gt;=3),"Setia",IF(AND(E4940=5,F4940&lt;=2,G4940&gt;=3),"Berpotensi",IF(AND(E4940&lt;=3,E4940&gt;=2,F4940&gt;=3),"Rawan",IF(AND(E4940&lt;=2,F4940&lt;=2),"Tidur","Umum"))))))</f>
        <v/>
      </c>
    </row>
    <row r="4941">
      <c r="B4941">
        <f>IF(A4941="","",$B$1-MAXIFS(Donasi!$A$2:$A$20000,Donasi!$B$2:$B$20000,A4941))</f>
        <v/>
      </c>
      <c r="C4941">
        <f>IF(A4941="","",COUNTIF(Donasi!$B$2:$B$20000,A4941))</f>
        <v/>
      </c>
      <c r="D4941">
        <f>IF(A4941="","",SUMIF(Donasi!$B$2:$B$20000,A4941,Donasi!$C$2:$C$20000))</f>
        <v/>
      </c>
      <c r="E4941">
        <f>IF(A4941="","",6-CEILING(PERCENTRANK.INC($B$3:$B$6000,B4941,4)*5+0.000001,1))</f>
        <v/>
      </c>
      <c r="F4941">
        <f>IF(A4941="","",MAX(1,CEILING(PERCENTRANK.INC($C$3:$C$6000,C4941,4)*5+0.000001,1)))</f>
        <v/>
      </c>
      <c r="G4941">
        <f>IF(A4941="","",MAX(1,CEILING(PERCENTRANK.INC($D$3:$D$6000,D4941,4)*5+0.000001,1)))</f>
        <v/>
      </c>
      <c r="H4941">
        <f>IF(A4941="","",E4941&amp;F4941&amp;G4941)</f>
        <v/>
      </c>
      <c r="I4941">
        <f>IF(A4941="","",IF(AND(E4941&gt;=4,F4941&gt;=4,G4941&gt;=4),"Juara",IF(AND(F4941&gt;=4,E4941&gt;=3),"Setia",IF(AND(E4941=5,F4941&lt;=2,G4941&gt;=3),"Berpotensi",IF(AND(E4941&lt;=3,E4941&gt;=2,F4941&gt;=3),"Rawan",IF(AND(E4941&lt;=2,F4941&lt;=2),"Tidur","Umum"))))))</f>
        <v/>
      </c>
    </row>
    <row r="4942">
      <c r="B4942">
        <f>IF(A4942="","",$B$1-MAXIFS(Donasi!$A$2:$A$20000,Donasi!$B$2:$B$20000,A4942))</f>
        <v/>
      </c>
      <c r="C4942">
        <f>IF(A4942="","",COUNTIF(Donasi!$B$2:$B$20000,A4942))</f>
        <v/>
      </c>
      <c r="D4942">
        <f>IF(A4942="","",SUMIF(Donasi!$B$2:$B$20000,A4942,Donasi!$C$2:$C$20000))</f>
        <v/>
      </c>
      <c r="E4942">
        <f>IF(A4942="","",6-CEILING(PERCENTRANK.INC($B$3:$B$6000,B4942,4)*5+0.000001,1))</f>
        <v/>
      </c>
      <c r="F4942">
        <f>IF(A4942="","",MAX(1,CEILING(PERCENTRANK.INC($C$3:$C$6000,C4942,4)*5+0.000001,1)))</f>
        <v/>
      </c>
      <c r="G4942">
        <f>IF(A4942="","",MAX(1,CEILING(PERCENTRANK.INC($D$3:$D$6000,D4942,4)*5+0.000001,1)))</f>
        <v/>
      </c>
      <c r="H4942">
        <f>IF(A4942="","",E4942&amp;F4942&amp;G4942)</f>
        <v/>
      </c>
      <c r="I4942">
        <f>IF(A4942="","",IF(AND(E4942&gt;=4,F4942&gt;=4,G4942&gt;=4),"Juara",IF(AND(F4942&gt;=4,E4942&gt;=3),"Setia",IF(AND(E4942=5,F4942&lt;=2,G4942&gt;=3),"Berpotensi",IF(AND(E4942&lt;=3,E4942&gt;=2,F4942&gt;=3),"Rawan",IF(AND(E4942&lt;=2,F4942&lt;=2),"Tidur","Umum"))))))</f>
        <v/>
      </c>
    </row>
    <row r="4943">
      <c r="B4943">
        <f>IF(A4943="","",$B$1-MAXIFS(Donasi!$A$2:$A$20000,Donasi!$B$2:$B$20000,A4943))</f>
        <v/>
      </c>
      <c r="C4943">
        <f>IF(A4943="","",COUNTIF(Donasi!$B$2:$B$20000,A4943))</f>
        <v/>
      </c>
      <c r="D4943">
        <f>IF(A4943="","",SUMIF(Donasi!$B$2:$B$20000,A4943,Donasi!$C$2:$C$20000))</f>
        <v/>
      </c>
      <c r="E4943">
        <f>IF(A4943="","",6-CEILING(PERCENTRANK.INC($B$3:$B$6000,B4943,4)*5+0.000001,1))</f>
        <v/>
      </c>
      <c r="F4943">
        <f>IF(A4943="","",MAX(1,CEILING(PERCENTRANK.INC($C$3:$C$6000,C4943,4)*5+0.000001,1)))</f>
        <v/>
      </c>
      <c r="G4943">
        <f>IF(A4943="","",MAX(1,CEILING(PERCENTRANK.INC($D$3:$D$6000,D4943,4)*5+0.000001,1)))</f>
        <v/>
      </c>
      <c r="H4943">
        <f>IF(A4943="","",E4943&amp;F4943&amp;G4943)</f>
        <v/>
      </c>
      <c r="I4943">
        <f>IF(A4943="","",IF(AND(E4943&gt;=4,F4943&gt;=4,G4943&gt;=4),"Juara",IF(AND(F4943&gt;=4,E4943&gt;=3),"Setia",IF(AND(E4943=5,F4943&lt;=2,G4943&gt;=3),"Berpotensi",IF(AND(E4943&lt;=3,E4943&gt;=2,F4943&gt;=3),"Rawan",IF(AND(E4943&lt;=2,F4943&lt;=2),"Tidur","Umum"))))))</f>
        <v/>
      </c>
    </row>
    <row r="4944">
      <c r="B4944">
        <f>IF(A4944="","",$B$1-MAXIFS(Donasi!$A$2:$A$20000,Donasi!$B$2:$B$20000,A4944))</f>
        <v/>
      </c>
      <c r="C4944">
        <f>IF(A4944="","",COUNTIF(Donasi!$B$2:$B$20000,A4944))</f>
        <v/>
      </c>
      <c r="D4944">
        <f>IF(A4944="","",SUMIF(Donasi!$B$2:$B$20000,A4944,Donasi!$C$2:$C$20000))</f>
        <v/>
      </c>
      <c r="E4944">
        <f>IF(A4944="","",6-CEILING(PERCENTRANK.INC($B$3:$B$6000,B4944,4)*5+0.000001,1))</f>
        <v/>
      </c>
      <c r="F4944">
        <f>IF(A4944="","",MAX(1,CEILING(PERCENTRANK.INC($C$3:$C$6000,C4944,4)*5+0.000001,1)))</f>
        <v/>
      </c>
      <c r="G4944">
        <f>IF(A4944="","",MAX(1,CEILING(PERCENTRANK.INC($D$3:$D$6000,D4944,4)*5+0.000001,1)))</f>
        <v/>
      </c>
      <c r="H4944">
        <f>IF(A4944="","",E4944&amp;F4944&amp;G4944)</f>
        <v/>
      </c>
      <c r="I4944">
        <f>IF(A4944="","",IF(AND(E4944&gt;=4,F4944&gt;=4,G4944&gt;=4),"Juara",IF(AND(F4944&gt;=4,E4944&gt;=3),"Setia",IF(AND(E4944=5,F4944&lt;=2,G4944&gt;=3),"Berpotensi",IF(AND(E4944&lt;=3,E4944&gt;=2,F4944&gt;=3),"Rawan",IF(AND(E4944&lt;=2,F4944&lt;=2),"Tidur","Umum"))))))</f>
        <v/>
      </c>
    </row>
    <row r="4945">
      <c r="B4945">
        <f>IF(A4945="","",$B$1-MAXIFS(Donasi!$A$2:$A$20000,Donasi!$B$2:$B$20000,A4945))</f>
        <v/>
      </c>
      <c r="C4945">
        <f>IF(A4945="","",COUNTIF(Donasi!$B$2:$B$20000,A4945))</f>
        <v/>
      </c>
      <c r="D4945">
        <f>IF(A4945="","",SUMIF(Donasi!$B$2:$B$20000,A4945,Donasi!$C$2:$C$20000))</f>
        <v/>
      </c>
      <c r="E4945">
        <f>IF(A4945="","",6-CEILING(PERCENTRANK.INC($B$3:$B$6000,B4945,4)*5+0.000001,1))</f>
        <v/>
      </c>
      <c r="F4945">
        <f>IF(A4945="","",MAX(1,CEILING(PERCENTRANK.INC($C$3:$C$6000,C4945,4)*5+0.000001,1)))</f>
        <v/>
      </c>
      <c r="G4945">
        <f>IF(A4945="","",MAX(1,CEILING(PERCENTRANK.INC($D$3:$D$6000,D4945,4)*5+0.000001,1)))</f>
        <v/>
      </c>
      <c r="H4945">
        <f>IF(A4945="","",E4945&amp;F4945&amp;G4945)</f>
        <v/>
      </c>
      <c r="I4945">
        <f>IF(A4945="","",IF(AND(E4945&gt;=4,F4945&gt;=4,G4945&gt;=4),"Juara",IF(AND(F4945&gt;=4,E4945&gt;=3),"Setia",IF(AND(E4945=5,F4945&lt;=2,G4945&gt;=3),"Berpotensi",IF(AND(E4945&lt;=3,E4945&gt;=2,F4945&gt;=3),"Rawan",IF(AND(E4945&lt;=2,F4945&lt;=2),"Tidur","Umum"))))))</f>
        <v/>
      </c>
    </row>
    <row r="4946">
      <c r="B4946">
        <f>IF(A4946="","",$B$1-MAXIFS(Donasi!$A$2:$A$20000,Donasi!$B$2:$B$20000,A4946))</f>
        <v/>
      </c>
      <c r="C4946">
        <f>IF(A4946="","",COUNTIF(Donasi!$B$2:$B$20000,A4946))</f>
        <v/>
      </c>
      <c r="D4946">
        <f>IF(A4946="","",SUMIF(Donasi!$B$2:$B$20000,A4946,Donasi!$C$2:$C$20000))</f>
        <v/>
      </c>
      <c r="E4946">
        <f>IF(A4946="","",6-CEILING(PERCENTRANK.INC($B$3:$B$6000,B4946,4)*5+0.000001,1))</f>
        <v/>
      </c>
      <c r="F4946">
        <f>IF(A4946="","",MAX(1,CEILING(PERCENTRANK.INC($C$3:$C$6000,C4946,4)*5+0.000001,1)))</f>
        <v/>
      </c>
      <c r="G4946">
        <f>IF(A4946="","",MAX(1,CEILING(PERCENTRANK.INC($D$3:$D$6000,D4946,4)*5+0.000001,1)))</f>
        <v/>
      </c>
      <c r="H4946">
        <f>IF(A4946="","",E4946&amp;F4946&amp;G4946)</f>
        <v/>
      </c>
      <c r="I4946">
        <f>IF(A4946="","",IF(AND(E4946&gt;=4,F4946&gt;=4,G4946&gt;=4),"Juara",IF(AND(F4946&gt;=4,E4946&gt;=3),"Setia",IF(AND(E4946=5,F4946&lt;=2,G4946&gt;=3),"Berpotensi",IF(AND(E4946&lt;=3,E4946&gt;=2,F4946&gt;=3),"Rawan",IF(AND(E4946&lt;=2,F4946&lt;=2),"Tidur","Umum"))))))</f>
        <v/>
      </c>
    </row>
    <row r="4947">
      <c r="B4947">
        <f>IF(A4947="","",$B$1-MAXIFS(Donasi!$A$2:$A$20000,Donasi!$B$2:$B$20000,A4947))</f>
        <v/>
      </c>
      <c r="C4947">
        <f>IF(A4947="","",COUNTIF(Donasi!$B$2:$B$20000,A4947))</f>
        <v/>
      </c>
      <c r="D4947">
        <f>IF(A4947="","",SUMIF(Donasi!$B$2:$B$20000,A4947,Donasi!$C$2:$C$20000))</f>
        <v/>
      </c>
      <c r="E4947">
        <f>IF(A4947="","",6-CEILING(PERCENTRANK.INC($B$3:$B$6000,B4947,4)*5+0.000001,1))</f>
        <v/>
      </c>
      <c r="F4947">
        <f>IF(A4947="","",MAX(1,CEILING(PERCENTRANK.INC($C$3:$C$6000,C4947,4)*5+0.000001,1)))</f>
        <v/>
      </c>
      <c r="G4947">
        <f>IF(A4947="","",MAX(1,CEILING(PERCENTRANK.INC($D$3:$D$6000,D4947,4)*5+0.000001,1)))</f>
        <v/>
      </c>
      <c r="H4947">
        <f>IF(A4947="","",E4947&amp;F4947&amp;G4947)</f>
        <v/>
      </c>
      <c r="I4947">
        <f>IF(A4947="","",IF(AND(E4947&gt;=4,F4947&gt;=4,G4947&gt;=4),"Juara",IF(AND(F4947&gt;=4,E4947&gt;=3),"Setia",IF(AND(E4947=5,F4947&lt;=2,G4947&gt;=3),"Berpotensi",IF(AND(E4947&lt;=3,E4947&gt;=2,F4947&gt;=3),"Rawan",IF(AND(E4947&lt;=2,F4947&lt;=2),"Tidur","Umum"))))))</f>
        <v/>
      </c>
    </row>
    <row r="4948">
      <c r="B4948">
        <f>IF(A4948="","",$B$1-MAXIFS(Donasi!$A$2:$A$20000,Donasi!$B$2:$B$20000,A4948))</f>
        <v/>
      </c>
      <c r="C4948">
        <f>IF(A4948="","",COUNTIF(Donasi!$B$2:$B$20000,A4948))</f>
        <v/>
      </c>
      <c r="D4948">
        <f>IF(A4948="","",SUMIF(Donasi!$B$2:$B$20000,A4948,Donasi!$C$2:$C$20000))</f>
        <v/>
      </c>
      <c r="E4948">
        <f>IF(A4948="","",6-CEILING(PERCENTRANK.INC($B$3:$B$6000,B4948,4)*5+0.000001,1))</f>
        <v/>
      </c>
      <c r="F4948">
        <f>IF(A4948="","",MAX(1,CEILING(PERCENTRANK.INC($C$3:$C$6000,C4948,4)*5+0.000001,1)))</f>
        <v/>
      </c>
      <c r="G4948">
        <f>IF(A4948="","",MAX(1,CEILING(PERCENTRANK.INC($D$3:$D$6000,D4948,4)*5+0.000001,1)))</f>
        <v/>
      </c>
      <c r="H4948">
        <f>IF(A4948="","",E4948&amp;F4948&amp;G4948)</f>
        <v/>
      </c>
      <c r="I4948">
        <f>IF(A4948="","",IF(AND(E4948&gt;=4,F4948&gt;=4,G4948&gt;=4),"Juara",IF(AND(F4948&gt;=4,E4948&gt;=3),"Setia",IF(AND(E4948=5,F4948&lt;=2,G4948&gt;=3),"Berpotensi",IF(AND(E4948&lt;=3,E4948&gt;=2,F4948&gt;=3),"Rawan",IF(AND(E4948&lt;=2,F4948&lt;=2),"Tidur","Umum"))))))</f>
        <v/>
      </c>
    </row>
    <row r="4949">
      <c r="B4949">
        <f>IF(A4949="","",$B$1-MAXIFS(Donasi!$A$2:$A$20000,Donasi!$B$2:$B$20000,A4949))</f>
        <v/>
      </c>
      <c r="C4949">
        <f>IF(A4949="","",COUNTIF(Donasi!$B$2:$B$20000,A4949))</f>
        <v/>
      </c>
      <c r="D4949">
        <f>IF(A4949="","",SUMIF(Donasi!$B$2:$B$20000,A4949,Donasi!$C$2:$C$20000))</f>
        <v/>
      </c>
      <c r="E4949">
        <f>IF(A4949="","",6-CEILING(PERCENTRANK.INC($B$3:$B$6000,B4949,4)*5+0.000001,1))</f>
        <v/>
      </c>
      <c r="F4949">
        <f>IF(A4949="","",MAX(1,CEILING(PERCENTRANK.INC($C$3:$C$6000,C4949,4)*5+0.000001,1)))</f>
        <v/>
      </c>
      <c r="G4949">
        <f>IF(A4949="","",MAX(1,CEILING(PERCENTRANK.INC($D$3:$D$6000,D4949,4)*5+0.000001,1)))</f>
        <v/>
      </c>
      <c r="H4949">
        <f>IF(A4949="","",E4949&amp;F4949&amp;G4949)</f>
        <v/>
      </c>
      <c r="I4949">
        <f>IF(A4949="","",IF(AND(E4949&gt;=4,F4949&gt;=4,G4949&gt;=4),"Juara",IF(AND(F4949&gt;=4,E4949&gt;=3),"Setia",IF(AND(E4949=5,F4949&lt;=2,G4949&gt;=3),"Berpotensi",IF(AND(E4949&lt;=3,E4949&gt;=2,F4949&gt;=3),"Rawan",IF(AND(E4949&lt;=2,F4949&lt;=2),"Tidur","Umum"))))))</f>
        <v/>
      </c>
    </row>
    <row r="4950">
      <c r="B4950">
        <f>IF(A4950="","",$B$1-MAXIFS(Donasi!$A$2:$A$20000,Donasi!$B$2:$B$20000,A4950))</f>
        <v/>
      </c>
      <c r="C4950">
        <f>IF(A4950="","",COUNTIF(Donasi!$B$2:$B$20000,A4950))</f>
        <v/>
      </c>
      <c r="D4950">
        <f>IF(A4950="","",SUMIF(Donasi!$B$2:$B$20000,A4950,Donasi!$C$2:$C$20000))</f>
        <v/>
      </c>
      <c r="E4950">
        <f>IF(A4950="","",6-CEILING(PERCENTRANK.INC($B$3:$B$6000,B4950,4)*5+0.000001,1))</f>
        <v/>
      </c>
      <c r="F4950">
        <f>IF(A4950="","",MAX(1,CEILING(PERCENTRANK.INC($C$3:$C$6000,C4950,4)*5+0.000001,1)))</f>
        <v/>
      </c>
      <c r="G4950">
        <f>IF(A4950="","",MAX(1,CEILING(PERCENTRANK.INC($D$3:$D$6000,D4950,4)*5+0.000001,1)))</f>
        <v/>
      </c>
      <c r="H4950">
        <f>IF(A4950="","",E4950&amp;F4950&amp;G4950)</f>
        <v/>
      </c>
      <c r="I4950">
        <f>IF(A4950="","",IF(AND(E4950&gt;=4,F4950&gt;=4,G4950&gt;=4),"Juara",IF(AND(F4950&gt;=4,E4950&gt;=3),"Setia",IF(AND(E4950=5,F4950&lt;=2,G4950&gt;=3),"Berpotensi",IF(AND(E4950&lt;=3,E4950&gt;=2,F4950&gt;=3),"Rawan",IF(AND(E4950&lt;=2,F4950&lt;=2),"Tidur","Umum"))))))</f>
        <v/>
      </c>
    </row>
    <row r="4951">
      <c r="B4951">
        <f>IF(A4951="","",$B$1-MAXIFS(Donasi!$A$2:$A$20000,Donasi!$B$2:$B$20000,A4951))</f>
        <v/>
      </c>
      <c r="C4951">
        <f>IF(A4951="","",COUNTIF(Donasi!$B$2:$B$20000,A4951))</f>
        <v/>
      </c>
      <c r="D4951">
        <f>IF(A4951="","",SUMIF(Donasi!$B$2:$B$20000,A4951,Donasi!$C$2:$C$20000))</f>
        <v/>
      </c>
      <c r="E4951">
        <f>IF(A4951="","",6-CEILING(PERCENTRANK.INC($B$3:$B$6000,B4951,4)*5+0.000001,1))</f>
        <v/>
      </c>
      <c r="F4951">
        <f>IF(A4951="","",MAX(1,CEILING(PERCENTRANK.INC($C$3:$C$6000,C4951,4)*5+0.000001,1)))</f>
        <v/>
      </c>
      <c r="G4951">
        <f>IF(A4951="","",MAX(1,CEILING(PERCENTRANK.INC($D$3:$D$6000,D4951,4)*5+0.000001,1)))</f>
        <v/>
      </c>
      <c r="H4951">
        <f>IF(A4951="","",E4951&amp;F4951&amp;G4951)</f>
        <v/>
      </c>
      <c r="I4951">
        <f>IF(A4951="","",IF(AND(E4951&gt;=4,F4951&gt;=4,G4951&gt;=4),"Juara",IF(AND(F4951&gt;=4,E4951&gt;=3),"Setia",IF(AND(E4951=5,F4951&lt;=2,G4951&gt;=3),"Berpotensi",IF(AND(E4951&lt;=3,E4951&gt;=2,F4951&gt;=3),"Rawan",IF(AND(E4951&lt;=2,F4951&lt;=2),"Tidur","Umum"))))))</f>
        <v/>
      </c>
    </row>
    <row r="4952">
      <c r="B4952">
        <f>IF(A4952="","",$B$1-MAXIFS(Donasi!$A$2:$A$20000,Donasi!$B$2:$B$20000,A4952))</f>
        <v/>
      </c>
      <c r="C4952">
        <f>IF(A4952="","",COUNTIF(Donasi!$B$2:$B$20000,A4952))</f>
        <v/>
      </c>
      <c r="D4952">
        <f>IF(A4952="","",SUMIF(Donasi!$B$2:$B$20000,A4952,Donasi!$C$2:$C$20000))</f>
        <v/>
      </c>
      <c r="E4952">
        <f>IF(A4952="","",6-CEILING(PERCENTRANK.INC($B$3:$B$6000,B4952,4)*5+0.000001,1))</f>
        <v/>
      </c>
      <c r="F4952">
        <f>IF(A4952="","",MAX(1,CEILING(PERCENTRANK.INC($C$3:$C$6000,C4952,4)*5+0.000001,1)))</f>
        <v/>
      </c>
      <c r="G4952">
        <f>IF(A4952="","",MAX(1,CEILING(PERCENTRANK.INC($D$3:$D$6000,D4952,4)*5+0.000001,1)))</f>
        <v/>
      </c>
      <c r="H4952">
        <f>IF(A4952="","",E4952&amp;F4952&amp;G4952)</f>
        <v/>
      </c>
      <c r="I4952">
        <f>IF(A4952="","",IF(AND(E4952&gt;=4,F4952&gt;=4,G4952&gt;=4),"Juara",IF(AND(F4952&gt;=4,E4952&gt;=3),"Setia",IF(AND(E4952=5,F4952&lt;=2,G4952&gt;=3),"Berpotensi",IF(AND(E4952&lt;=3,E4952&gt;=2,F4952&gt;=3),"Rawan",IF(AND(E4952&lt;=2,F4952&lt;=2),"Tidur","Umum"))))))</f>
        <v/>
      </c>
    </row>
    <row r="4953">
      <c r="B4953">
        <f>IF(A4953="","",$B$1-MAXIFS(Donasi!$A$2:$A$20000,Donasi!$B$2:$B$20000,A4953))</f>
        <v/>
      </c>
      <c r="C4953">
        <f>IF(A4953="","",COUNTIF(Donasi!$B$2:$B$20000,A4953))</f>
        <v/>
      </c>
      <c r="D4953">
        <f>IF(A4953="","",SUMIF(Donasi!$B$2:$B$20000,A4953,Donasi!$C$2:$C$20000))</f>
        <v/>
      </c>
      <c r="E4953">
        <f>IF(A4953="","",6-CEILING(PERCENTRANK.INC($B$3:$B$6000,B4953,4)*5+0.000001,1))</f>
        <v/>
      </c>
      <c r="F4953">
        <f>IF(A4953="","",MAX(1,CEILING(PERCENTRANK.INC($C$3:$C$6000,C4953,4)*5+0.000001,1)))</f>
        <v/>
      </c>
      <c r="G4953">
        <f>IF(A4953="","",MAX(1,CEILING(PERCENTRANK.INC($D$3:$D$6000,D4953,4)*5+0.000001,1)))</f>
        <v/>
      </c>
      <c r="H4953">
        <f>IF(A4953="","",E4953&amp;F4953&amp;G4953)</f>
        <v/>
      </c>
      <c r="I4953">
        <f>IF(A4953="","",IF(AND(E4953&gt;=4,F4953&gt;=4,G4953&gt;=4),"Juara",IF(AND(F4953&gt;=4,E4953&gt;=3),"Setia",IF(AND(E4953=5,F4953&lt;=2,G4953&gt;=3),"Berpotensi",IF(AND(E4953&lt;=3,E4953&gt;=2,F4953&gt;=3),"Rawan",IF(AND(E4953&lt;=2,F4953&lt;=2),"Tidur","Umum"))))))</f>
        <v/>
      </c>
    </row>
    <row r="4954">
      <c r="B4954">
        <f>IF(A4954="","",$B$1-MAXIFS(Donasi!$A$2:$A$20000,Donasi!$B$2:$B$20000,A4954))</f>
        <v/>
      </c>
      <c r="C4954">
        <f>IF(A4954="","",COUNTIF(Donasi!$B$2:$B$20000,A4954))</f>
        <v/>
      </c>
      <c r="D4954">
        <f>IF(A4954="","",SUMIF(Donasi!$B$2:$B$20000,A4954,Donasi!$C$2:$C$20000))</f>
        <v/>
      </c>
      <c r="E4954">
        <f>IF(A4954="","",6-CEILING(PERCENTRANK.INC($B$3:$B$6000,B4954,4)*5+0.000001,1))</f>
        <v/>
      </c>
      <c r="F4954">
        <f>IF(A4954="","",MAX(1,CEILING(PERCENTRANK.INC($C$3:$C$6000,C4954,4)*5+0.000001,1)))</f>
        <v/>
      </c>
      <c r="G4954">
        <f>IF(A4954="","",MAX(1,CEILING(PERCENTRANK.INC($D$3:$D$6000,D4954,4)*5+0.000001,1)))</f>
        <v/>
      </c>
      <c r="H4954">
        <f>IF(A4954="","",E4954&amp;F4954&amp;G4954)</f>
        <v/>
      </c>
      <c r="I4954">
        <f>IF(A4954="","",IF(AND(E4954&gt;=4,F4954&gt;=4,G4954&gt;=4),"Juara",IF(AND(F4954&gt;=4,E4954&gt;=3),"Setia",IF(AND(E4954=5,F4954&lt;=2,G4954&gt;=3),"Berpotensi",IF(AND(E4954&lt;=3,E4954&gt;=2,F4954&gt;=3),"Rawan",IF(AND(E4954&lt;=2,F4954&lt;=2),"Tidur","Umum"))))))</f>
        <v/>
      </c>
    </row>
    <row r="4955">
      <c r="B4955">
        <f>IF(A4955="","",$B$1-MAXIFS(Donasi!$A$2:$A$20000,Donasi!$B$2:$B$20000,A4955))</f>
        <v/>
      </c>
      <c r="C4955">
        <f>IF(A4955="","",COUNTIF(Donasi!$B$2:$B$20000,A4955))</f>
        <v/>
      </c>
      <c r="D4955">
        <f>IF(A4955="","",SUMIF(Donasi!$B$2:$B$20000,A4955,Donasi!$C$2:$C$20000))</f>
        <v/>
      </c>
      <c r="E4955">
        <f>IF(A4955="","",6-CEILING(PERCENTRANK.INC($B$3:$B$6000,B4955,4)*5+0.000001,1))</f>
        <v/>
      </c>
      <c r="F4955">
        <f>IF(A4955="","",MAX(1,CEILING(PERCENTRANK.INC($C$3:$C$6000,C4955,4)*5+0.000001,1)))</f>
        <v/>
      </c>
      <c r="G4955">
        <f>IF(A4955="","",MAX(1,CEILING(PERCENTRANK.INC($D$3:$D$6000,D4955,4)*5+0.000001,1)))</f>
        <v/>
      </c>
      <c r="H4955">
        <f>IF(A4955="","",E4955&amp;F4955&amp;G4955)</f>
        <v/>
      </c>
      <c r="I4955">
        <f>IF(A4955="","",IF(AND(E4955&gt;=4,F4955&gt;=4,G4955&gt;=4),"Juara",IF(AND(F4955&gt;=4,E4955&gt;=3),"Setia",IF(AND(E4955=5,F4955&lt;=2,G4955&gt;=3),"Berpotensi",IF(AND(E4955&lt;=3,E4955&gt;=2,F4955&gt;=3),"Rawan",IF(AND(E4955&lt;=2,F4955&lt;=2),"Tidur","Umum"))))))</f>
        <v/>
      </c>
    </row>
    <row r="4956">
      <c r="B4956">
        <f>IF(A4956="","",$B$1-MAXIFS(Donasi!$A$2:$A$20000,Donasi!$B$2:$B$20000,A4956))</f>
        <v/>
      </c>
      <c r="C4956">
        <f>IF(A4956="","",COUNTIF(Donasi!$B$2:$B$20000,A4956))</f>
        <v/>
      </c>
      <c r="D4956">
        <f>IF(A4956="","",SUMIF(Donasi!$B$2:$B$20000,A4956,Donasi!$C$2:$C$20000))</f>
        <v/>
      </c>
      <c r="E4956">
        <f>IF(A4956="","",6-CEILING(PERCENTRANK.INC($B$3:$B$6000,B4956,4)*5+0.000001,1))</f>
        <v/>
      </c>
      <c r="F4956">
        <f>IF(A4956="","",MAX(1,CEILING(PERCENTRANK.INC($C$3:$C$6000,C4956,4)*5+0.000001,1)))</f>
        <v/>
      </c>
      <c r="G4956">
        <f>IF(A4956="","",MAX(1,CEILING(PERCENTRANK.INC($D$3:$D$6000,D4956,4)*5+0.000001,1)))</f>
        <v/>
      </c>
      <c r="H4956">
        <f>IF(A4956="","",E4956&amp;F4956&amp;G4956)</f>
        <v/>
      </c>
      <c r="I4956">
        <f>IF(A4956="","",IF(AND(E4956&gt;=4,F4956&gt;=4,G4956&gt;=4),"Juara",IF(AND(F4956&gt;=4,E4956&gt;=3),"Setia",IF(AND(E4956=5,F4956&lt;=2,G4956&gt;=3),"Berpotensi",IF(AND(E4956&lt;=3,E4956&gt;=2,F4956&gt;=3),"Rawan",IF(AND(E4956&lt;=2,F4956&lt;=2),"Tidur","Umum"))))))</f>
        <v/>
      </c>
    </row>
    <row r="4957">
      <c r="B4957">
        <f>IF(A4957="","",$B$1-MAXIFS(Donasi!$A$2:$A$20000,Donasi!$B$2:$B$20000,A4957))</f>
        <v/>
      </c>
      <c r="C4957">
        <f>IF(A4957="","",COUNTIF(Donasi!$B$2:$B$20000,A4957))</f>
        <v/>
      </c>
      <c r="D4957">
        <f>IF(A4957="","",SUMIF(Donasi!$B$2:$B$20000,A4957,Donasi!$C$2:$C$20000))</f>
        <v/>
      </c>
      <c r="E4957">
        <f>IF(A4957="","",6-CEILING(PERCENTRANK.INC($B$3:$B$6000,B4957,4)*5+0.000001,1))</f>
        <v/>
      </c>
      <c r="F4957">
        <f>IF(A4957="","",MAX(1,CEILING(PERCENTRANK.INC($C$3:$C$6000,C4957,4)*5+0.000001,1)))</f>
        <v/>
      </c>
      <c r="G4957">
        <f>IF(A4957="","",MAX(1,CEILING(PERCENTRANK.INC($D$3:$D$6000,D4957,4)*5+0.000001,1)))</f>
        <v/>
      </c>
      <c r="H4957">
        <f>IF(A4957="","",E4957&amp;F4957&amp;G4957)</f>
        <v/>
      </c>
      <c r="I4957">
        <f>IF(A4957="","",IF(AND(E4957&gt;=4,F4957&gt;=4,G4957&gt;=4),"Juara",IF(AND(F4957&gt;=4,E4957&gt;=3),"Setia",IF(AND(E4957=5,F4957&lt;=2,G4957&gt;=3),"Berpotensi",IF(AND(E4957&lt;=3,E4957&gt;=2,F4957&gt;=3),"Rawan",IF(AND(E4957&lt;=2,F4957&lt;=2),"Tidur","Umum"))))))</f>
        <v/>
      </c>
    </row>
    <row r="4958">
      <c r="B4958">
        <f>IF(A4958="","",$B$1-MAXIFS(Donasi!$A$2:$A$20000,Donasi!$B$2:$B$20000,A4958))</f>
        <v/>
      </c>
      <c r="C4958">
        <f>IF(A4958="","",COUNTIF(Donasi!$B$2:$B$20000,A4958))</f>
        <v/>
      </c>
      <c r="D4958">
        <f>IF(A4958="","",SUMIF(Donasi!$B$2:$B$20000,A4958,Donasi!$C$2:$C$20000))</f>
        <v/>
      </c>
      <c r="E4958">
        <f>IF(A4958="","",6-CEILING(PERCENTRANK.INC($B$3:$B$6000,B4958,4)*5+0.000001,1))</f>
        <v/>
      </c>
      <c r="F4958">
        <f>IF(A4958="","",MAX(1,CEILING(PERCENTRANK.INC($C$3:$C$6000,C4958,4)*5+0.000001,1)))</f>
        <v/>
      </c>
      <c r="G4958">
        <f>IF(A4958="","",MAX(1,CEILING(PERCENTRANK.INC($D$3:$D$6000,D4958,4)*5+0.000001,1)))</f>
        <v/>
      </c>
      <c r="H4958">
        <f>IF(A4958="","",E4958&amp;F4958&amp;G4958)</f>
        <v/>
      </c>
      <c r="I4958">
        <f>IF(A4958="","",IF(AND(E4958&gt;=4,F4958&gt;=4,G4958&gt;=4),"Juara",IF(AND(F4958&gt;=4,E4958&gt;=3),"Setia",IF(AND(E4958=5,F4958&lt;=2,G4958&gt;=3),"Berpotensi",IF(AND(E4958&lt;=3,E4958&gt;=2,F4958&gt;=3),"Rawan",IF(AND(E4958&lt;=2,F4958&lt;=2),"Tidur","Umum"))))))</f>
        <v/>
      </c>
    </row>
    <row r="4959">
      <c r="B4959">
        <f>IF(A4959="","",$B$1-MAXIFS(Donasi!$A$2:$A$20000,Donasi!$B$2:$B$20000,A4959))</f>
        <v/>
      </c>
      <c r="C4959">
        <f>IF(A4959="","",COUNTIF(Donasi!$B$2:$B$20000,A4959))</f>
        <v/>
      </c>
      <c r="D4959">
        <f>IF(A4959="","",SUMIF(Donasi!$B$2:$B$20000,A4959,Donasi!$C$2:$C$20000))</f>
        <v/>
      </c>
      <c r="E4959">
        <f>IF(A4959="","",6-CEILING(PERCENTRANK.INC($B$3:$B$6000,B4959,4)*5+0.000001,1))</f>
        <v/>
      </c>
      <c r="F4959">
        <f>IF(A4959="","",MAX(1,CEILING(PERCENTRANK.INC($C$3:$C$6000,C4959,4)*5+0.000001,1)))</f>
        <v/>
      </c>
      <c r="G4959">
        <f>IF(A4959="","",MAX(1,CEILING(PERCENTRANK.INC($D$3:$D$6000,D4959,4)*5+0.000001,1)))</f>
        <v/>
      </c>
      <c r="H4959">
        <f>IF(A4959="","",E4959&amp;F4959&amp;G4959)</f>
        <v/>
      </c>
      <c r="I4959">
        <f>IF(A4959="","",IF(AND(E4959&gt;=4,F4959&gt;=4,G4959&gt;=4),"Juara",IF(AND(F4959&gt;=4,E4959&gt;=3),"Setia",IF(AND(E4959=5,F4959&lt;=2,G4959&gt;=3),"Berpotensi",IF(AND(E4959&lt;=3,E4959&gt;=2,F4959&gt;=3),"Rawan",IF(AND(E4959&lt;=2,F4959&lt;=2),"Tidur","Umum"))))))</f>
        <v/>
      </c>
    </row>
    <row r="4960">
      <c r="B4960">
        <f>IF(A4960="","",$B$1-MAXIFS(Donasi!$A$2:$A$20000,Donasi!$B$2:$B$20000,A4960))</f>
        <v/>
      </c>
      <c r="C4960">
        <f>IF(A4960="","",COUNTIF(Donasi!$B$2:$B$20000,A4960))</f>
        <v/>
      </c>
      <c r="D4960">
        <f>IF(A4960="","",SUMIF(Donasi!$B$2:$B$20000,A4960,Donasi!$C$2:$C$20000))</f>
        <v/>
      </c>
      <c r="E4960">
        <f>IF(A4960="","",6-CEILING(PERCENTRANK.INC($B$3:$B$6000,B4960,4)*5+0.000001,1))</f>
        <v/>
      </c>
      <c r="F4960">
        <f>IF(A4960="","",MAX(1,CEILING(PERCENTRANK.INC($C$3:$C$6000,C4960,4)*5+0.000001,1)))</f>
        <v/>
      </c>
      <c r="G4960">
        <f>IF(A4960="","",MAX(1,CEILING(PERCENTRANK.INC($D$3:$D$6000,D4960,4)*5+0.000001,1)))</f>
        <v/>
      </c>
      <c r="H4960">
        <f>IF(A4960="","",E4960&amp;F4960&amp;G4960)</f>
        <v/>
      </c>
      <c r="I4960">
        <f>IF(A4960="","",IF(AND(E4960&gt;=4,F4960&gt;=4,G4960&gt;=4),"Juara",IF(AND(F4960&gt;=4,E4960&gt;=3),"Setia",IF(AND(E4960=5,F4960&lt;=2,G4960&gt;=3),"Berpotensi",IF(AND(E4960&lt;=3,E4960&gt;=2,F4960&gt;=3),"Rawan",IF(AND(E4960&lt;=2,F4960&lt;=2),"Tidur","Umum"))))))</f>
        <v/>
      </c>
    </row>
    <row r="4961">
      <c r="B4961">
        <f>IF(A4961="","",$B$1-MAXIFS(Donasi!$A$2:$A$20000,Donasi!$B$2:$B$20000,A4961))</f>
        <v/>
      </c>
      <c r="C4961">
        <f>IF(A4961="","",COUNTIF(Donasi!$B$2:$B$20000,A4961))</f>
        <v/>
      </c>
      <c r="D4961">
        <f>IF(A4961="","",SUMIF(Donasi!$B$2:$B$20000,A4961,Donasi!$C$2:$C$20000))</f>
        <v/>
      </c>
      <c r="E4961">
        <f>IF(A4961="","",6-CEILING(PERCENTRANK.INC($B$3:$B$6000,B4961,4)*5+0.000001,1))</f>
        <v/>
      </c>
      <c r="F4961">
        <f>IF(A4961="","",MAX(1,CEILING(PERCENTRANK.INC($C$3:$C$6000,C4961,4)*5+0.000001,1)))</f>
        <v/>
      </c>
      <c r="G4961">
        <f>IF(A4961="","",MAX(1,CEILING(PERCENTRANK.INC($D$3:$D$6000,D4961,4)*5+0.000001,1)))</f>
        <v/>
      </c>
      <c r="H4961">
        <f>IF(A4961="","",E4961&amp;F4961&amp;G4961)</f>
        <v/>
      </c>
      <c r="I4961">
        <f>IF(A4961="","",IF(AND(E4961&gt;=4,F4961&gt;=4,G4961&gt;=4),"Juara",IF(AND(F4961&gt;=4,E4961&gt;=3),"Setia",IF(AND(E4961=5,F4961&lt;=2,G4961&gt;=3),"Berpotensi",IF(AND(E4961&lt;=3,E4961&gt;=2,F4961&gt;=3),"Rawan",IF(AND(E4961&lt;=2,F4961&lt;=2),"Tidur","Umum"))))))</f>
        <v/>
      </c>
    </row>
    <row r="4962">
      <c r="B4962">
        <f>IF(A4962="","",$B$1-MAXIFS(Donasi!$A$2:$A$20000,Donasi!$B$2:$B$20000,A4962))</f>
        <v/>
      </c>
      <c r="C4962">
        <f>IF(A4962="","",COUNTIF(Donasi!$B$2:$B$20000,A4962))</f>
        <v/>
      </c>
      <c r="D4962">
        <f>IF(A4962="","",SUMIF(Donasi!$B$2:$B$20000,A4962,Donasi!$C$2:$C$20000))</f>
        <v/>
      </c>
      <c r="E4962">
        <f>IF(A4962="","",6-CEILING(PERCENTRANK.INC($B$3:$B$6000,B4962,4)*5+0.000001,1))</f>
        <v/>
      </c>
      <c r="F4962">
        <f>IF(A4962="","",MAX(1,CEILING(PERCENTRANK.INC($C$3:$C$6000,C4962,4)*5+0.000001,1)))</f>
        <v/>
      </c>
      <c r="G4962">
        <f>IF(A4962="","",MAX(1,CEILING(PERCENTRANK.INC($D$3:$D$6000,D4962,4)*5+0.000001,1)))</f>
        <v/>
      </c>
      <c r="H4962">
        <f>IF(A4962="","",E4962&amp;F4962&amp;G4962)</f>
        <v/>
      </c>
      <c r="I4962">
        <f>IF(A4962="","",IF(AND(E4962&gt;=4,F4962&gt;=4,G4962&gt;=4),"Juara",IF(AND(F4962&gt;=4,E4962&gt;=3),"Setia",IF(AND(E4962=5,F4962&lt;=2,G4962&gt;=3),"Berpotensi",IF(AND(E4962&lt;=3,E4962&gt;=2,F4962&gt;=3),"Rawan",IF(AND(E4962&lt;=2,F4962&lt;=2),"Tidur","Umum"))))))</f>
        <v/>
      </c>
    </row>
    <row r="4963">
      <c r="B4963">
        <f>IF(A4963="","",$B$1-MAXIFS(Donasi!$A$2:$A$20000,Donasi!$B$2:$B$20000,A4963))</f>
        <v/>
      </c>
      <c r="C4963">
        <f>IF(A4963="","",COUNTIF(Donasi!$B$2:$B$20000,A4963))</f>
        <v/>
      </c>
      <c r="D4963">
        <f>IF(A4963="","",SUMIF(Donasi!$B$2:$B$20000,A4963,Donasi!$C$2:$C$20000))</f>
        <v/>
      </c>
      <c r="E4963">
        <f>IF(A4963="","",6-CEILING(PERCENTRANK.INC($B$3:$B$6000,B4963,4)*5+0.000001,1))</f>
        <v/>
      </c>
      <c r="F4963">
        <f>IF(A4963="","",MAX(1,CEILING(PERCENTRANK.INC($C$3:$C$6000,C4963,4)*5+0.000001,1)))</f>
        <v/>
      </c>
      <c r="G4963">
        <f>IF(A4963="","",MAX(1,CEILING(PERCENTRANK.INC($D$3:$D$6000,D4963,4)*5+0.000001,1)))</f>
        <v/>
      </c>
      <c r="H4963">
        <f>IF(A4963="","",E4963&amp;F4963&amp;G4963)</f>
        <v/>
      </c>
      <c r="I4963">
        <f>IF(A4963="","",IF(AND(E4963&gt;=4,F4963&gt;=4,G4963&gt;=4),"Juara",IF(AND(F4963&gt;=4,E4963&gt;=3),"Setia",IF(AND(E4963=5,F4963&lt;=2,G4963&gt;=3),"Berpotensi",IF(AND(E4963&lt;=3,E4963&gt;=2,F4963&gt;=3),"Rawan",IF(AND(E4963&lt;=2,F4963&lt;=2),"Tidur","Umum"))))))</f>
        <v/>
      </c>
    </row>
    <row r="4964">
      <c r="B4964">
        <f>IF(A4964="","",$B$1-MAXIFS(Donasi!$A$2:$A$20000,Donasi!$B$2:$B$20000,A4964))</f>
        <v/>
      </c>
      <c r="C4964">
        <f>IF(A4964="","",COUNTIF(Donasi!$B$2:$B$20000,A4964))</f>
        <v/>
      </c>
      <c r="D4964">
        <f>IF(A4964="","",SUMIF(Donasi!$B$2:$B$20000,A4964,Donasi!$C$2:$C$20000))</f>
        <v/>
      </c>
      <c r="E4964">
        <f>IF(A4964="","",6-CEILING(PERCENTRANK.INC($B$3:$B$6000,B4964,4)*5+0.000001,1))</f>
        <v/>
      </c>
      <c r="F4964">
        <f>IF(A4964="","",MAX(1,CEILING(PERCENTRANK.INC($C$3:$C$6000,C4964,4)*5+0.000001,1)))</f>
        <v/>
      </c>
      <c r="G4964">
        <f>IF(A4964="","",MAX(1,CEILING(PERCENTRANK.INC($D$3:$D$6000,D4964,4)*5+0.000001,1)))</f>
        <v/>
      </c>
      <c r="H4964">
        <f>IF(A4964="","",E4964&amp;F4964&amp;G4964)</f>
        <v/>
      </c>
      <c r="I4964">
        <f>IF(A4964="","",IF(AND(E4964&gt;=4,F4964&gt;=4,G4964&gt;=4),"Juara",IF(AND(F4964&gt;=4,E4964&gt;=3),"Setia",IF(AND(E4964=5,F4964&lt;=2,G4964&gt;=3),"Berpotensi",IF(AND(E4964&lt;=3,E4964&gt;=2,F4964&gt;=3),"Rawan",IF(AND(E4964&lt;=2,F4964&lt;=2),"Tidur","Umum"))))))</f>
        <v/>
      </c>
    </row>
    <row r="4965">
      <c r="B4965">
        <f>IF(A4965="","",$B$1-MAXIFS(Donasi!$A$2:$A$20000,Donasi!$B$2:$B$20000,A4965))</f>
        <v/>
      </c>
      <c r="C4965">
        <f>IF(A4965="","",COUNTIF(Donasi!$B$2:$B$20000,A4965))</f>
        <v/>
      </c>
      <c r="D4965">
        <f>IF(A4965="","",SUMIF(Donasi!$B$2:$B$20000,A4965,Donasi!$C$2:$C$20000))</f>
        <v/>
      </c>
      <c r="E4965">
        <f>IF(A4965="","",6-CEILING(PERCENTRANK.INC($B$3:$B$6000,B4965,4)*5+0.000001,1))</f>
        <v/>
      </c>
      <c r="F4965">
        <f>IF(A4965="","",MAX(1,CEILING(PERCENTRANK.INC($C$3:$C$6000,C4965,4)*5+0.000001,1)))</f>
        <v/>
      </c>
      <c r="G4965">
        <f>IF(A4965="","",MAX(1,CEILING(PERCENTRANK.INC($D$3:$D$6000,D4965,4)*5+0.000001,1)))</f>
        <v/>
      </c>
      <c r="H4965">
        <f>IF(A4965="","",E4965&amp;F4965&amp;G4965)</f>
        <v/>
      </c>
      <c r="I4965">
        <f>IF(A4965="","",IF(AND(E4965&gt;=4,F4965&gt;=4,G4965&gt;=4),"Juara",IF(AND(F4965&gt;=4,E4965&gt;=3),"Setia",IF(AND(E4965=5,F4965&lt;=2,G4965&gt;=3),"Berpotensi",IF(AND(E4965&lt;=3,E4965&gt;=2,F4965&gt;=3),"Rawan",IF(AND(E4965&lt;=2,F4965&lt;=2),"Tidur","Umum"))))))</f>
        <v/>
      </c>
    </row>
    <row r="4966">
      <c r="B4966">
        <f>IF(A4966="","",$B$1-MAXIFS(Donasi!$A$2:$A$20000,Donasi!$B$2:$B$20000,A4966))</f>
        <v/>
      </c>
      <c r="C4966">
        <f>IF(A4966="","",COUNTIF(Donasi!$B$2:$B$20000,A4966))</f>
        <v/>
      </c>
      <c r="D4966">
        <f>IF(A4966="","",SUMIF(Donasi!$B$2:$B$20000,A4966,Donasi!$C$2:$C$20000))</f>
        <v/>
      </c>
      <c r="E4966">
        <f>IF(A4966="","",6-CEILING(PERCENTRANK.INC($B$3:$B$6000,B4966,4)*5+0.000001,1))</f>
        <v/>
      </c>
      <c r="F4966">
        <f>IF(A4966="","",MAX(1,CEILING(PERCENTRANK.INC($C$3:$C$6000,C4966,4)*5+0.000001,1)))</f>
        <v/>
      </c>
      <c r="G4966">
        <f>IF(A4966="","",MAX(1,CEILING(PERCENTRANK.INC($D$3:$D$6000,D4966,4)*5+0.000001,1)))</f>
        <v/>
      </c>
      <c r="H4966">
        <f>IF(A4966="","",E4966&amp;F4966&amp;G4966)</f>
        <v/>
      </c>
      <c r="I4966">
        <f>IF(A4966="","",IF(AND(E4966&gt;=4,F4966&gt;=4,G4966&gt;=4),"Juara",IF(AND(F4966&gt;=4,E4966&gt;=3),"Setia",IF(AND(E4966=5,F4966&lt;=2,G4966&gt;=3),"Berpotensi",IF(AND(E4966&lt;=3,E4966&gt;=2,F4966&gt;=3),"Rawan",IF(AND(E4966&lt;=2,F4966&lt;=2),"Tidur","Umum"))))))</f>
        <v/>
      </c>
    </row>
    <row r="4967">
      <c r="B4967">
        <f>IF(A4967="","",$B$1-MAXIFS(Donasi!$A$2:$A$20000,Donasi!$B$2:$B$20000,A4967))</f>
        <v/>
      </c>
      <c r="C4967">
        <f>IF(A4967="","",COUNTIF(Donasi!$B$2:$B$20000,A4967))</f>
        <v/>
      </c>
      <c r="D4967">
        <f>IF(A4967="","",SUMIF(Donasi!$B$2:$B$20000,A4967,Donasi!$C$2:$C$20000))</f>
        <v/>
      </c>
      <c r="E4967">
        <f>IF(A4967="","",6-CEILING(PERCENTRANK.INC($B$3:$B$6000,B4967,4)*5+0.000001,1))</f>
        <v/>
      </c>
      <c r="F4967">
        <f>IF(A4967="","",MAX(1,CEILING(PERCENTRANK.INC($C$3:$C$6000,C4967,4)*5+0.000001,1)))</f>
        <v/>
      </c>
      <c r="G4967">
        <f>IF(A4967="","",MAX(1,CEILING(PERCENTRANK.INC($D$3:$D$6000,D4967,4)*5+0.000001,1)))</f>
        <v/>
      </c>
      <c r="H4967">
        <f>IF(A4967="","",E4967&amp;F4967&amp;G4967)</f>
        <v/>
      </c>
      <c r="I4967">
        <f>IF(A4967="","",IF(AND(E4967&gt;=4,F4967&gt;=4,G4967&gt;=4),"Juara",IF(AND(F4967&gt;=4,E4967&gt;=3),"Setia",IF(AND(E4967=5,F4967&lt;=2,G4967&gt;=3),"Berpotensi",IF(AND(E4967&lt;=3,E4967&gt;=2,F4967&gt;=3),"Rawan",IF(AND(E4967&lt;=2,F4967&lt;=2),"Tidur","Umum"))))))</f>
        <v/>
      </c>
    </row>
    <row r="4968">
      <c r="B4968">
        <f>IF(A4968="","",$B$1-MAXIFS(Donasi!$A$2:$A$20000,Donasi!$B$2:$B$20000,A4968))</f>
        <v/>
      </c>
      <c r="C4968">
        <f>IF(A4968="","",COUNTIF(Donasi!$B$2:$B$20000,A4968))</f>
        <v/>
      </c>
      <c r="D4968">
        <f>IF(A4968="","",SUMIF(Donasi!$B$2:$B$20000,A4968,Donasi!$C$2:$C$20000))</f>
        <v/>
      </c>
      <c r="E4968">
        <f>IF(A4968="","",6-CEILING(PERCENTRANK.INC($B$3:$B$6000,B4968,4)*5+0.000001,1))</f>
        <v/>
      </c>
      <c r="F4968">
        <f>IF(A4968="","",MAX(1,CEILING(PERCENTRANK.INC($C$3:$C$6000,C4968,4)*5+0.000001,1)))</f>
        <v/>
      </c>
      <c r="G4968">
        <f>IF(A4968="","",MAX(1,CEILING(PERCENTRANK.INC($D$3:$D$6000,D4968,4)*5+0.000001,1)))</f>
        <v/>
      </c>
      <c r="H4968">
        <f>IF(A4968="","",E4968&amp;F4968&amp;G4968)</f>
        <v/>
      </c>
      <c r="I4968">
        <f>IF(A4968="","",IF(AND(E4968&gt;=4,F4968&gt;=4,G4968&gt;=4),"Juara",IF(AND(F4968&gt;=4,E4968&gt;=3),"Setia",IF(AND(E4968=5,F4968&lt;=2,G4968&gt;=3),"Berpotensi",IF(AND(E4968&lt;=3,E4968&gt;=2,F4968&gt;=3),"Rawan",IF(AND(E4968&lt;=2,F4968&lt;=2),"Tidur","Umum"))))))</f>
        <v/>
      </c>
    </row>
    <row r="4969">
      <c r="B4969">
        <f>IF(A4969="","",$B$1-MAXIFS(Donasi!$A$2:$A$20000,Donasi!$B$2:$B$20000,A4969))</f>
        <v/>
      </c>
      <c r="C4969">
        <f>IF(A4969="","",COUNTIF(Donasi!$B$2:$B$20000,A4969))</f>
        <v/>
      </c>
      <c r="D4969">
        <f>IF(A4969="","",SUMIF(Donasi!$B$2:$B$20000,A4969,Donasi!$C$2:$C$20000))</f>
        <v/>
      </c>
      <c r="E4969">
        <f>IF(A4969="","",6-CEILING(PERCENTRANK.INC($B$3:$B$6000,B4969,4)*5+0.000001,1))</f>
        <v/>
      </c>
      <c r="F4969">
        <f>IF(A4969="","",MAX(1,CEILING(PERCENTRANK.INC($C$3:$C$6000,C4969,4)*5+0.000001,1)))</f>
        <v/>
      </c>
      <c r="G4969">
        <f>IF(A4969="","",MAX(1,CEILING(PERCENTRANK.INC($D$3:$D$6000,D4969,4)*5+0.000001,1)))</f>
        <v/>
      </c>
      <c r="H4969">
        <f>IF(A4969="","",E4969&amp;F4969&amp;G4969)</f>
        <v/>
      </c>
      <c r="I4969">
        <f>IF(A4969="","",IF(AND(E4969&gt;=4,F4969&gt;=4,G4969&gt;=4),"Juara",IF(AND(F4969&gt;=4,E4969&gt;=3),"Setia",IF(AND(E4969=5,F4969&lt;=2,G4969&gt;=3),"Berpotensi",IF(AND(E4969&lt;=3,E4969&gt;=2,F4969&gt;=3),"Rawan",IF(AND(E4969&lt;=2,F4969&lt;=2),"Tidur","Umum"))))))</f>
        <v/>
      </c>
    </row>
    <row r="4970">
      <c r="B4970">
        <f>IF(A4970="","",$B$1-MAXIFS(Donasi!$A$2:$A$20000,Donasi!$B$2:$B$20000,A4970))</f>
        <v/>
      </c>
      <c r="C4970">
        <f>IF(A4970="","",COUNTIF(Donasi!$B$2:$B$20000,A4970))</f>
        <v/>
      </c>
      <c r="D4970">
        <f>IF(A4970="","",SUMIF(Donasi!$B$2:$B$20000,A4970,Donasi!$C$2:$C$20000))</f>
        <v/>
      </c>
      <c r="E4970">
        <f>IF(A4970="","",6-CEILING(PERCENTRANK.INC($B$3:$B$6000,B4970,4)*5+0.000001,1))</f>
        <v/>
      </c>
      <c r="F4970">
        <f>IF(A4970="","",MAX(1,CEILING(PERCENTRANK.INC($C$3:$C$6000,C4970,4)*5+0.000001,1)))</f>
        <v/>
      </c>
      <c r="G4970">
        <f>IF(A4970="","",MAX(1,CEILING(PERCENTRANK.INC($D$3:$D$6000,D4970,4)*5+0.000001,1)))</f>
        <v/>
      </c>
      <c r="H4970">
        <f>IF(A4970="","",E4970&amp;F4970&amp;G4970)</f>
        <v/>
      </c>
      <c r="I4970">
        <f>IF(A4970="","",IF(AND(E4970&gt;=4,F4970&gt;=4,G4970&gt;=4),"Juara",IF(AND(F4970&gt;=4,E4970&gt;=3),"Setia",IF(AND(E4970=5,F4970&lt;=2,G4970&gt;=3),"Berpotensi",IF(AND(E4970&lt;=3,E4970&gt;=2,F4970&gt;=3),"Rawan",IF(AND(E4970&lt;=2,F4970&lt;=2),"Tidur","Umum"))))))</f>
        <v/>
      </c>
    </row>
    <row r="4971">
      <c r="B4971">
        <f>IF(A4971="","",$B$1-MAXIFS(Donasi!$A$2:$A$20000,Donasi!$B$2:$B$20000,A4971))</f>
        <v/>
      </c>
      <c r="C4971">
        <f>IF(A4971="","",COUNTIF(Donasi!$B$2:$B$20000,A4971))</f>
        <v/>
      </c>
      <c r="D4971">
        <f>IF(A4971="","",SUMIF(Donasi!$B$2:$B$20000,A4971,Donasi!$C$2:$C$20000))</f>
        <v/>
      </c>
      <c r="E4971">
        <f>IF(A4971="","",6-CEILING(PERCENTRANK.INC($B$3:$B$6000,B4971,4)*5+0.000001,1))</f>
        <v/>
      </c>
      <c r="F4971">
        <f>IF(A4971="","",MAX(1,CEILING(PERCENTRANK.INC($C$3:$C$6000,C4971,4)*5+0.000001,1)))</f>
        <v/>
      </c>
      <c r="G4971">
        <f>IF(A4971="","",MAX(1,CEILING(PERCENTRANK.INC($D$3:$D$6000,D4971,4)*5+0.000001,1)))</f>
        <v/>
      </c>
      <c r="H4971">
        <f>IF(A4971="","",E4971&amp;F4971&amp;G4971)</f>
        <v/>
      </c>
      <c r="I4971">
        <f>IF(A4971="","",IF(AND(E4971&gt;=4,F4971&gt;=4,G4971&gt;=4),"Juara",IF(AND(F4971&gt;=4,E4971&gt;=3),"Setia",IF(AND(E4971=5,F4971&lt;=2,G4971&gt;=3),"Berpotensi",IF(AND(E4971&lt;=3,E4971&gt;=2,F4971&gt;=3),"Rawan",IF(AND(E4971&lt;=2,F4971&lt;=2),"Tidur","Umum"))))))</f>
        <v/>
      </c>
    </row>
    <row r="4972">
      <c r="B4972">
        <f>IF(A4972="","",$B$1-MAXIFS(Donasi!$A$2:$A$20000,Donasi!$B$2:$B$20000,A4972))</f>
        <v/>
      </c>
      <c r="C4972">
        <f>IF(A4972="","",COUNTIF(Donasi!$B$2:$B$20000,A4972))</f>
        <v/>
      </c>
      <c r="D4972">
        <f>IF(A4972="","",SUMIF(Donasi!$B$2:$B$20000,A4972,Donasi!$C$2:$C$20000))</f>
        <v/>
      </c>
      <c r="E4972">
        <f>IF(A4972="","",6-CEILING(PERCENTRANK.INC($B$3:$B$6000,B4972,4)*5+0.000001,1))</f>
        <v/>
      </c>
      <c r="F4972">
        <f>IF(A4972="","",MAX(1,CEILING(PERCENTRANK.INC($C$3:$C$6000,C4972,4)*5+0.000001,1)))</f>
        <v/>
      </c>
      <c r="G4972">
        <f>IF(A4972="","",MAX(1,CEILING(PERCENTRANK.INC($D$3:$D$6000,D4972,4)*5+0.000001,1)))</f>
        <v/>
      </c>
      <c r="H4972">
        <f>IF(A4972="","",E4972&amp;F4972&amp;G4972)</f>
        <v/>
      </c>
      <c r="I4972">
        <f>IF(A4972="","",IF(AND(E4972&gt;=4,F4972&gt;=4,G4972&gt;=4),"Juara",IF(AND(F4972&gt;=4,E4972&gt;=3),"Setia",IF(AND(E4972=5,F4972&lt;=2,G4972&gt;=3),"Berpotensi",IF(AND(E4972&lt;=3,E4972&gt;=2,F4972&gt;=3),"Rawan",IF(AND(E4972&lt;=2,F4972&lt;=2),"Tidur","Umum"))))))</f>
        <v/>
      </c>
    </row>
    <row r="4973">
      <c r="B4973">
        <f>IF(A4973="","",$B$1-MAXIFS(Donasi!$A$2:$A$20000,Donasi!$B$2:$B$20000,A4973))</f>
        <v/>
      </c>
      <c r="C4973">
        <f>IF(A4973="","",COUNTIF(Donasi!$B$2:$B$20000,A4973))</f>
        <v/>
      </c>
      <c r="D4973">
        <f>IF(A4973="","",SUMIF(Donasi!$B$2:$B$20000,A4973,Donasi!$C$2:$C$20000))</f>
        <v/>
      </c>
      <c r="E4973">
        <f>IF(A4973="","",6-CEILING(PERCENTRANK.INC($B$3:$B$6000,B4973,4)*5+0.000001,1))</f>
        <v/>
      </c>
      <c r="F4973">
        <f>IF(A4973="","",MAX(1,CEILING(PERCENTRANK.INC($C$3:$C$6000,C4973,4)*5+0.000001,1)))</f>
        <v/>
      </c>
      <c r="G4973">
        <f>IF(A4973="","",MAX(1,CEILING(PERCENTRANK.INC($D$3:$D$6000,D4973,4)*5+0.000001,1)))</f>
        <v/>
      </c>
      <c r="H4973">
        <f>IF(A4973="","",E4973&amp;F4973&amp;G4973)</f>
        <v/>
      </c>
      <c r="I4973">
        <f>IF(A4973="","",IF(AND(E4973&gt;=4,F4973&gt;=4,G4973&gt;=4),"Juara",IF(AND(F4973&gt;=4,E4973&gt;=3),"Setia",IF(AND(E4973=5,F4973&lt;=2,G4973&gt;=3),"Berpotensi",IF(AND(E4973&lt;=3,E4973&gt;=2,F4973&gt;=3),"Rawan",IF(AND(E4973&lt;=2,F4973&lt;=2),"Tidur","Umum"))))))</f>
        <v/>
      </c>
    </row>
    <row r="4974">
      <c r="B4974">
        <f>IF(A4974="","",$B$1-MAXIFS(Donasi!$A$2:$A$20000,Donasi!$B$2:$B$20000,A4974))</f>
        <v/>
      </c>
      <c r="C4974">
        <f>IF(A4974="","",COUNTIF(Donasi!$B$2:$B$20000,A4974))</f>
        <v/>
      </c>
      <c r="D4974">
        <f>IF(A4974="","",SUMIF(Donasi!$B$2:$B$20000,A4974,Donasi!$C$2:$C$20000))</f>
        <v/>
      </c>
      <c r="E4974">
        <f>IF(A4974="","",6-CEILING(PERCENTRANK.INC($B$3:$B$6000,B4974,4)*5+0.000001,1))</f>
        <v/>
      </c>
      <c r="F4974">
        <f>IF(A4974="","",MAX(1,CEILING(PERCENTRANK.INC($C$3:$C$6000,C4974,4)*5+0.000001,1)))</f>
        <v/>
      </c>
      <c r="G4974">
        <f>IF(A4974="","",MAX(1,CEILING(PERCENTRANK.INC($D$3:$D$6000,D4974,4)*5+0.000001,1)))</f>
        <v/>
      </c>
      <c r="H4974">
        <f>IF(A4974="","",E4974&amp;F4974&amp;G4974)</f>
        <v/>
      </c>
      <c r="I4974">
        <f>IF(A4974="","",IF(AND(E4974&gt;=4,F4974&gt;=4,G4974&gt;=4),"Juara",IF(AND(F4974&gt;=4,E4974&gt;=3),"Setia",IF(AND(E4974=5,F4974&lt;=2,G4974&gt;=3),"Berpotensi",IF(AND(E4974&lt;=3,E4974&gt;=2,F4974&gt;=3),"Rawan",IF(AND(E4974&lt;=2,F4974&lt;=2),"Tidur","Umum"))))))</f>
        <v/>
      </c>
    </row>
    <row r="4975">
      <c r="B4975">
        <f>IF(A4975="","",$B$1-MAXIFS(Donasi!$A$2:$A$20000,Donasi!$B$2:$B$20000,A4975))</f>
        <v/>
      </c>
      <c r="C4975">
        <f>IF(A4975="","",COUNTIF(Donasi!$B$2:$B$20000,A4975))</f>
        <v/>
      </c>
      <c r="D4975">
        <f>IF(A4975="","",SUMIF(Donasi!$B$2:$B$20000,A4975,Donasi!$C$2:$C$20000))</f>
        <v/>
      </c>
      <c r="E4975">
        <f>IF(A4975="","",6-CEILING(PERCENTRANK.INC($B$3:$B$6000,B4975,4)*5+0.000001,1))</f>
        <v/>
      </c>
      <c r="F4975">
        <f>IF(A4975="","",MAX(1,CEILING(PERCENTRANK.INC($C$3:$C$6000,C4975,4)*5+0.000001,1)))</f>
        <v/>
      </c>
      <c r="G4975">
        <f>IF(A4975="","",MAX(1,CEILING(PERCENTRANK.INC($D$3:$D$6000,D4975,4)*5+0.000001,1)))</f>
        <v/>
      </c>
      <c r="H4975">
        <f>IF(A4975="","",E4975&amp;F4975&amp;G4975)</f>
        <v/>
      </c>
      <c r="I4975">
        <f>IF(A4975="","",IF(AND(E4975&gt;=4,F4975&gt;=4,G4975&gt;=4),"Juara",IF(AND(F4975&gt;=4,E4975&gt;=3),"Setia",IF(AND(E4975=5,F4975&lt;=2,G4975&gt;=3),"Berpotensi",IF(AND(E4975&lt;=3,E4975&gt;=2,F4975&gt;=3),"Rawan",IF(AND(E4975&lt;=2,F4975&lt;=2),"Tidur","Umum"))))))</f>
        <v/>
      </c>
    </row>
    <row r="4976">
      <c r="B4976">
        <f>IF(A4976="","",$B$1-MAXIFS(Donasi!$A$2:$A$20000,Donasi!$B$2:$B$20000,A4976))</f>
        <v/>
      </c>
      <c r="C4976">
        <f>IF(A4976="","",COUNTIF(Donasi!$B$2:$B$20000,A4976))</f>
        <v/>
      </c>
      <c r="D4976">
        <f>IF(A4976="","",SUMIF(Donasi!$B$2:$B$20000,A4976,Donasi!$C$2:$C$20000))</f>
        <v/>
      </c>
      <c r="E4976">
        <f>IF(A4976="","",6-CEILING(PERCENTRANK.INC($B$3:$B$6000,B4976,4)*5+0.000001,1))</f>
        <v/>
      </c>
      <c r="F4976">
        <f>IF(A4976="","",MAX(1,CEILING(PERCENTRANK.INC($C$3:$C$6000,C4976,4)*5+0.000001,1)))</f>
        <v/>
      </c>
      <c r="G4976">
        <f>IF(A4976="","",MAX(1,CEILING(PERCENTRANK.INC($D$3:$D$6000,D4976,4)*5+0.000001,1)))</f>
        <v/>
      </c>
      <c r="H4976">
        <f>IF(A4976="","",E4976&amp;F4976&amp;G4976)</f>
        <v/>
      </c>
      <c r="I4976">
        <f>IF(A4976="","",IF(AND(E4976&gt;=4,F4976&gt;=4,G4976&gt;=4),"Juara",IF(AND(F4976&gt;=4,E4976&gt;=3),"Setia",IF(AND(E4976=5,F4976&lt;=2,G4976&gt;=3),"Berpotensi",IF(AND(E4976&lt;=3,E4976&gt;=2,F4976&gt;=3),"Rawan",IF(AND(E4976&lt;=2,F4976&lt;=2),"Tidur","Umum"))))))</f>
        <v/>
      </c>
    </row>
    <row r="4977">
      <c r="B4977">
        <f>IF(A4977="","",$B$1-MAXIFS(Donasi!$A$2:$A$20000,Donasi!$B$2:$B$20000,A4977))</f>
        <v/>
      </c>
      <c r="C4977">
        <f>IF(A4977="","",COUNTIF(Donasi!$B$2:$B$20000,A4977))</f>
        <v/>
      </c>
      <c r="D4977">
        <f>IF(A4977="","",SUMIF(Donasi!$B$2:$B$20000,A4977,Donasi!$C$2:$C$20000))</f>
        <v/>
      </c>
      <c r="E4977">
        <f>IF(A4977="","",6-CEILING(PERCENTRANK.INC($B$3:$B$6000,B4977,4)*5+0.000001,1))</f>
        <v/>
      </c>
      <c r="F4977">
        <f>IF(A4977="","",MAX(1,CEILING(PERCENTRANK.INC($C$3:$C$6000,C4977,4)*5+0.000001,1)))</f>
        <v/>
      </c>
      <c r="G4977">
        <f>IF(A4977="","",MAX(1,CEILING(PERCENTRANK.INC($D$3:$D$6000,D4977,4)*5+0.000001,1)))</f>
        <v/>
      </c>
      <c r="H4977">
        <f>IF(A4977="","",E4977&amp;F4977&amp;G4977)</f>
        <v/>
      </c>
      <c r="I4977">
        <f>IF(A4977="","",IF(AND(E4977&gt;=4,F4977&gt;=4,G4977&gt;=4),"Juara",IF(AND(F4977&gt;=4,E4977&gt;=3),"Setia",IF(AND(E4977=5,F4977&lt;=2,G4977&gt;=3),"Berpotensi",IF(AND(E4977&lt;=3,E4977&gt;=2,F4977&gt;=3),"Rawan",IF(AND(E4977&lt;=2,F4977&lt;=2),"Tidur","Umum"))))))</f>
        <v/>
      </c>
    </row>
    <row r="4978">
      <c r="B4978">
        <f>IF(A4978="","",$B$1-MAXIFS(Donasi!$A$2:$A$20000,Donasi!$B$2:$B$20000,A4978))</f>
        <v/>
      </c>
      <c r="C4978">
        <f>IF(A4978="","",COUNTIF(Donasi!$B$2:$B$20000,A4978))</f>
        <v/>
      </c>
      <c r="D4978">
        <f>IF(A4978="","",SUMIF(Donasi!$B$2:$B$20000,A4978,Donasi!$C$2:$C$20000))</f>
        <v/>
      </c>
      <c r="E4978">
        <f>IF(A4978="","",6-CEILING(PERCENTRANK.INC($B$3:$B$6000,B4978,4)*5+0.000001,1))</f>
        <v/>
      </c>
      <c r="F4978">
        <f>IF(A4978="","",MAX(1,CEILING(PERCENTRANK.INC($C$3:$C$6000,C4978,4)*5+0.000001,1)))</f>
        <v/>
      </c>
      <c r="G4978">
        <f>IF(A4978="","",MAX(1,CEILING(PERCENTRANK.INC($D$3:$D$6000,D4978,4)*5+0.000001,1)))</f>
        <v/>
      </c>
      <c r="H4978">
        <f>IF(A4978="","",E4978&amp;F4978&amp;G4978)</f>
        <v/>
      </c>
      <c r="I4978">
        <f>IF(A4978="","",IF(AND(E4978&gt;=4,F4978&gt;=4,G4978&gt;=4),"Juara",IF(AND(F4978&gt;=4,E4978&gt;=3),"Setia",IF(AND(E4978=5,F4978&lt;=2,G4978&gt;=3),"Berpotensi",IF(AND(E4978&lt;=3,E4978&gt;=2,F4978&gt;=3),"Rawan",IF(AND(E4978&lt;=2,F4978&lt;=2),"Tidur","Umum"))))))</f>
        <v/>
      </c>
    </row>
    <row r="4979">
      <c r="B4979">
        <f>IF(A4979="","",$B$1-MAXIFS(Donasi!$A$2:$A$20000,Donasi!$B$2:$B$20000,A4979))</f>
        <v/>
      </c>
      <c r="C4979">
        <f>IF(A4979="","",COUNTIF(Donasi!$B$2:$B$20000,A4979))</f>
        <v/>
      </c>
      <c r="D4979">
        <f>IF(A4979="","",SUMIF(Donasi!$B$2:$B$20000,A4979,Donasi!$C$2:$C$20000))</f>
        <v/>
      </c>
      <c r="E4979">
        <f>IF(A4979="","",6-CEILING(PERCENTRANK.INC($B$3:$B$6000,B4979,4)*5+0.000001,1))</f>
        <v/>
      </c>
      <c r="F4979">
        <f>IF(A4979="","",MAX(1,CEILING(PERCENTRANK.INC($C$3:$C$6000,C4979,4)*5+0.000001,1)))</f>
        <v/>
      </c>
      <c r="G4979">
        <f>IF(A4979="","",MAX(1,CEILING(PERCENTRANK.INC($D$3:$D$6000,D4979,4)*5+0.000001,1)))</f>
        <v/>
      </c>
      <c r="H4979">
        <f>IF(A4979="","",E4979&amp;F4979&amp;G4979)</f>
        <v/>
      </c>
      <c r="I4979">
        <f>IF(A4979="","",IF(AND(E4979&gt;=4,F4979&gt;=4,G4979&gt;=4),"Juara",IF(AND(F4979&gt;=4,E4979&gt;=3),"Setia",IF(AND(E4979=5,F4979&lt;=2,G4979&gt;=3),"Berpotensi",IF(AND(E4979&lt;=3,E4979&gt;=2,F4979&gt;=3),"Rawan",IF(AND(E4979&lt;=2,F4979&lt;=2),"Tidur","Umum"))))))</f>
        <v/>
      </c>
    </row>
    <row r="4980">
      <c r="B4980">
        <f>IF(A4980="","",$B$1-MAXIFS(Donasi!$A$2:$A$20000,Donasi!$B$2:$B$20000,A4980))</f>
        <v/>
      </c>
      <c r="C4980">
        <f>IF(A4980="","",COUNTIF(Donasi!$B$2:$B$20000,A4980))</f>
        <v/>
      </c>
      <c r="D4980">
        <f>IF(A4980="","",SUMIF(Donasi!$B$2:$B$20000,A4980,Donasi!$C$2:$C$20000))</f>
        <v/>
      </c>
      <c r="E4980">
        <f>IF(A4980="","",6-CEILING(PERCENTRANK.INC($B$3:$B$6000,B4980,4)*5+0.000001,1))</f>
        <v/>
      </c>
      <c r="F4980">
        <f>IF(A4980="","",MAX(1,CEILING(PERCENTRANK.INC($C$3:$C$6000,C4980,4)*5+0.000001,1)))</f>
        <v/>
      </c>
      <c r="G4980">
        <f>IF(A4980="","",MAX(1,CEILING(PERCENTRANK.INC($D$3:$D$6000,D4980,4)*5+0.000001,1)))</f>
        <v/>
      </c>
      <c r="H4980">
        <f>IF(A4980="","",E4980&amp;F4980&amp;G4980)</f>
        <v/>
      </c>
      <c r="I4980">
        <f>IF(A4980="","",IF(AND(E4980&gt;=4,F4980&gt;=4,G4980&gt;=4),"Juara",IF(AND(F4980&gt;=4,E4980&gt;=3),"Setia",IF(AND(E4980=5,F4980&lt;=2,G4980&gt;=3),"Berpotensi",IF(AND(E4980&lt;=3,E4980&gt;=2,F4980&gt;=3),"Rawan",IF(AND(E4980&lt;=2,F4980&lt;=2),"Tidur","Umum"))))))</f>
        <v/>
      </c>
    </row>
    <row r="4981">
      <c r="B4981">
        <f>IF(A4981="","",$B$1-MAXIFS(Donasi!$A$2:$A$20000,Donasi!$B$2:$B$20000,A4981))</f>
        <v/>
      </c>
      <c r="C4981">
        <f>IF(A4981="","",COUNTIF(Donasi!$B$2:$B$20000,A4981))</f>
        <v/>
      </c>
      <c r="D4981">
        <f>IF(A4981="","",SUMIF(Donasi!$B$2:$B$20000,A4981,Donasi!$C$2:$C$20000))</f>
        <v/>
      </c>
      <c r="E4981">
        <f>IF(A4981="","",6-CEILING(PERCENTRANK.INC($B$3:$B$6000,B4981,4)*5+0.000001,1))</f>
        <v/>
      </c>
      <c r="F4981">
        <f>IF(A4981="","",MAX(1,CEILING(PERCENTRANK.INC($C$3:$C$6000,C4981,4)*5+0.000001,1)))</f>
        <v/>
      </c>
      <c r="G4981">
        <f>IF(A4981="","",MAX(1,CEILING(PERCENTRANK.INC($D$3:$D$6000,D4981,4)*5+0.000001,1)))</f>
        <v/>
      </c>
      <c r="H4981">
        <f>IF(A4981="","",E4981&amp;F4981&amp;G4981)</f>
        <v/>
      </c>
      <c r="I4981">
        <f>IF(A4981="","",IF(AND(E4981&gt;=4,F4981&gt;=4,G4981&gt;=4),"Juara",IF(AND(F4981&gt;=4,E4981&gt;=3),"Setia",IF(AND(E4981=5,F4981&lt;=2,G4981&gt;=3),"Berpotensi",IF(AND(E4981&lt;=3,E4981&gt;=2,F4981&gt;=3),"Rawan",IF(AND(E4981&lt;=2,F4981&lt;=2),"Tidur","Umum"))))))</f>
        <v/>
      </c>
    </row>
    <row r="4982">
      <c r="B4982">
        <f>IF(A4982="","",$B$1-MAXIFS(Donasi!$A$2:$A$20000,Donasi!$B$2:$B$20000,A4982))</f>
        <v/>
      </c>
      <c r="C4982">
        <f>IF(A4982="","",COUNTIF(Donasi!$B$2:$B$20000,A4982))</f>
        <v/>
      </c>
      <c r="D4982">
        <f>IF(A4982="","",SUMIF(Donasi!$B$2:$B$20000,A4982,Donasi!$C$2:$C$20000))</f>
        <v/>
      </c>
      <c r="E4982">
        <f>IF(A4982="","",6-CEILING(PERCENTRANK.INC($B$3:$B$6000,B4982,4)*5+0.000001,1))</f>
        <v/>
      </c>
      <c r="F4982">
        <f>IF(A4982="","",MAX(1,CEILING(PERCENTRANK.INC($C$3:$C$6000,C4982,4)*5+0.000001,1)))</f>
        <v/>
      </c>
      <c r="G4982">
        <f>IF(A4982="","",MAX(1,CEILING(PERCENTRANK.INC($D$3:$D$6000,D4982,4)*5+0.000001,1)))</f>
        <v/>
      </c>
      <c r="H4982">
        <f>IF(A4982="","",E4982&amp;F4982&amp;G4982)</f>
        <v/>
      </c>
      <c r="I4982">
        <f>IF(A4982="","",IF(AND(E4982&gt;=4,F4982&gt;=4,G4982&gt;=4),"Juara",IF(AND(F4982&gt;=4,E4982&gt;=3),"Setia",IF(AND(E4982=5,F4982&lt;=2,G4982&gt;=3),"Berpotensi",IF(AND(E4982&lt;=3,E4982&gt;=2,F4982&gt;=3),"Rawan",IF(AND(E4982&lt;=2,F4982&lt;=2),"Tidur","Umum"))))))</f>
        <v/>
      </c>
    </row>
    <row r="4983">
      <c r="B4983">
        <f>IF(A4983="","",$B$1-MAXIFS(Donasi!$A$2:$A$20000,Donasi!$B$2:$B$20000,A4983))</f>
        <v/>
      </c>
      <c r="C4983">
        <f>IF(A4983="","",COUNTIF(Donasi!$B$2:$B$20000,A4983))</f>
        <v/>
      </c>
      <c r="D4983">
        <f>IF(A4983="","",SUMIF(Donasi!$B$2:$B$20000,A4983,Donasi!$C$2:$C$20000))</f>
        <v/>
      </c>
      <c r="E4983">
        <f>IF(A4983="","",6-CEILING(PERCENTRANK.INC($B$3:$B$6000,B4983,4)*5+0.000001,1))</f>
        <v/>
      </c>
      <c r="F4983">
        <f>IF(A4983="","",MAX(1,CEILING(PERCENTRANK.INC($C$3:$C$6000,C4983,4)*5+0.000001,1)))</f>
        <v/>
      </c>
      <c r="G4983">
        <f>IF(A4983="","",MAX(1,CEILING(PERCENTRANK.INC($D$3:$D$6000,D4983,4)*5+0.000001,1)))</f>
        <v/>
      </c>
      <c r="H4983">
        <f>IF(A4983="","",E4983&amp;F4983&amp;G4983)</f>
        <v/>
      </c>
      <c r="I4983">
        <f>IF(A4983="","",IF(AND(E4983&gt;=4,F4983&gt;=4,G4983&gt;=4),"Juara",IF(AND(F4983&gt;=4,E4983&gt;=3),"Setia",IF(AND(E4983=5,F4983&lt;=2,G4983&gt;=3),"Berpotensi",IF(AND(E4983&lt;=3,E4983&gt;=2,F4983&gt;=3),"Rawan",IF(AND(E4983&lt;=2,F4983&lt;=2),"Tidur","Umum"))))))</f>
        <v/>
      </c>
    </row>
    <row r="4984">
      <c r="B4984">
        <f>IF(A4984="","",$B$1-MAXIFS(Donasi!$A$2:$A$20000,Donasi!$B$2:$B$20000,A4984))</f>
        <v/>
      </c>
      <c r="C4984">
        <f>IF(A4984="","",COUNTIF(Donasi!$B$2:$B$20000,A4984))</f>
        <v/>
      </c>
      <c r="D4984">
        <f>IF(A4984="","",SUMIF(Donasi!$B$2:$B$20000,A4984,Donasi!$C$2:$C$20000))</f>
        <v/>
      </c>
      <c r="E4984">
        <f>IF(A4984="","",6-CEILING(PERCENTRANK.INC($B$3:$B$6000,B4984,4)*5+0.000001,1))</f>
        <v/>
      </c>
      <c r="F4984">
        <f>IF(A4984="","",MAX(1,CEILING(PERCENTRANK.INC($C$3:$C$6000,C4984,4)*5+0.000001,1)))</f>
        <v/>
      </c>
      <c r="G4984">
        <f>IF(A4984="","",MAX(1,CEILING(PERCENTRANK.INC($D$3:$D$6000,D4984,4)*5+0.000001,1)))</f>
        <v/>
      </c>
      <c r="H4984">
        <f>IF(A4984="","",E4984&amp;F4984&amp;G4984)</f>
        <v/>
      </c>
      <c r="I4984">
        <f>IF(A4984="","",IF(AND(E4984&gt;=4,F4984&gt;=4,G4984&gt;=4),"Juara",IF(AND(F4984&gt;=4,E4984&gt;=3),"Setia",IF(AND(E4984=5,F4984&lt;=2,G4984&gt;=3),"Berpotensi",IF(AND(E4984&lt;=3,E4984&gt;=2,F4984&gt;=3),"Rawan",IF(AND(E4984&lt;=2,F4984&lt;=2),"Tidur","Umum"))))))</f>
        <v/>
      </c>
    </row>
    <row r="4985">
      <c r="B4985">
        <f>IF(A4985="","",$B$1-MAXIFS(Donasi!$A$2:$A$20000,Donasi!$B$2:$B$20000,A4985))</f>
        <v/>
      </c>
      <c r="C4985">
        <f>IF(A4985="","",COUNTIF(Donasi!$B$2:$B$20000,A4985))</f>
        <v/>
      </c>
      <c r="D4985">
        <f>IF(A4985="","",SUMIF(Donasi!$B$2:$B$20000,A4985,Donasi!$C$2:$C$20000))</f>
        <v/>
      </c>
      <c r="E4985">
        <f>IF(A4985="","",6-CEILING(PERCENTRANK.INC($B$3:$B$6000,B4985,4)*5+0.000001,1))</f>
        <v/>
      </c>
      <c r="F4985">
        <f>IF(A4985="","",MAX(1,CEILING(PERCENTRANK.INC($C$3:$C$6000,C4985,4)*5+0.000001,1)))</f>
        <v/>
      </c>
      <c r="G4985">
        <f>IF(A4985="","",MAX(1,CEILING(PERCENTRANK.INC($D$3:$D$6000,D4985,4)*5+0.000001,1)))</f>
        <v/>
      </c>
      <c r="H4985">
        <f>IF(A4985="","",E4985&amp;F4985&amp;G4985)</f>
        <v/>
      </c>
      <c r="I4985">
        <f>IF(A4985="","",IF(AND(E4985&gt;=4,F4985&gt;=4,G4985&gt;=4),"Juara",IF(AND(F4985&gt;=4,E4985&gt;=3),"Setia",IF(AND(E4985=5,F4985&lt;=2,G4985&gt;=3),"Berpotensi",IF(AND(E4985&lt;=3,E4985&gt;=2,F4985&gt;=3),"Rawan",IF(AND(E4985&lt;=2,F4985&lt;=2),"Tidur","Umum"))))))</f>
        <v/>
      </c>
    </row>
    <row r="4986">
      <c r="B4986">
        <f>IF(A4986="","",$B$1-MAXIFS(Donasi!$A$2:$A$20000,Donasi!$B$2:$B$20000,A4986))</f>
        <v/>
      </c>
      <c r="C4986">
        <f>IF(A4986="","",COUNTIF(Donasi!$B$2:$B$20000,A4986))</f>
        <v/>
      </c>
      <c r="D4986">
        <f>IF(A4986="","",SUMIF(Donasi!$B$2:$B$20000,A4986,Donasi!$C$2:$C$20000))</f>
        <v/>
      </c>
      <c r="E4986">
        <f>IF(A4986="","",6-CEILING(PERCENTRANK.INC($B$3:$B$6000,B4986,4)*5+0.000001,1))</f>
        <v/>
      </c>
      <c r="F4986">
        <f>IF(A4986="","",MAX(1,CEILING(PERCENTRANK.INC($C$3:$C$6000,C4986,4)*5+0.000001,1)))</f>
        <v/>
      </c>
      <c r="G4986">
        <f>IF(A4986="","",MAX(1,CEILING(PERCENTRANK.INC($D$3:$D$6000,D4986,4)*5+0.000001,1)))</f>
        <v/>
      </c>
      <c r="H4986">
        <f>IF(A4986="","",E4986&amp;F4986&amp;G4986)</f>
        <v/>
      </c>
      <c r="I4986">
        <f>IF(A4986="","",IF(AND(E4986&gt;=4,F4986&gt;=4,G4986&gt;=4),"Juara",IF(AND(F4986&gt;=4,E4986&gt;=3),"Setia",IF(AND(E4986=5,F4986&lt;=2,G4986&gt;=3),"Berpotensi",IF(AND(E4986&lt;=3,E4986&gt;=2,F4986&gt;=3),"Rawan",IF(AND(E4986&lt;=2,F4986&lt;=2),"Tidur","Umum"))))))</f>
        <v/>
      </c>
    </row>
    <row r="4987">
      <c r="B4987">
        <f>IF(A4987="","",$B$1-MAXIFS(Donasi!$A$2:$A$20000,Donasi!$B$2:$B$20000,A4987))</f>
        <v/>
      </c>
      <c r="C4987">
        <f>IF(A4987="","",COUNTIF(Donasi!$B$2:$B$20000,A4987))</f>
        <v/>
      </c>
      <c r="D4987">
        <f>IF(A4987="","",SUMIF(Donasi!$B$2:$B$20000,A4987,Donasi!$C$2:$C$20000))</f>
        <v/>
      </c>
      <c r="E4987">
        <f>IF(A4987="","",6-CEILING(PERCENTRANK.INC($B$3:$B$6000,B4987,4)*5+0.000001,1))</f>
        <v/>
      </c>
      <c r="F4987">
        <f>IF(A4987="","",MAX(1,CEILING(PERCENTRANK.INC($C$3:$C$6000,C4987,4)*5+0.000001,1)))</f>
        <v/>
      </c>
      <c r="G4987">
        <f>IF(A4987="","",MAX(1,CEILING(PERCENTRANK.INC($D$3:$D$6000,D4987,4)*5+0.000001,1)))</f>
        <v/>
      </c>
      <c r="H4987">
        <f>IF(A4987="","",E4987&amp;F4987&amp;G4987)</f>
        <v/>
      </c>
      <c r="I4987">
        <f>IF(A4987="","",IF(AND(E4987&gt;=4,F4987&gt;=4,G4987&gt;=4),"Juara",IF(AND(F4987&gt;=4,E4987&gt;=3),"Setia",IF(AND(E4987=5,F4987&lt;=2,G4987&gt;=3),"Berpotensi",IF(AND(E4987&lt;=3,E4987&gt;=2,F4987&gt;=3),"Rawan",IF(AND(E4987&lt;=2,F4987&lt;=2),"Tidur","Umum"))))))</f>
        <v/>
      </c>
    </row>
    <row r="4988">
      <c r="B4988">
        <f>IF(A4988="","",$B$1-MAXIFS(Donasi!$A$2:$A$20000,Donasi!$B$2:$B$20000,A4988))</f>
        <v/>
      </c>
      <c r="C4988">
        <f>IF(A4988="","",COUNTIF(Donasi!$B$2:$B$20000,A4988))</f>
        <v/>
      </c>
      <c r="D4988">
        <f>IF(A4988="","",SUMIF(Donasi!$B$2:$B$20000,A4988,Donasi!$C$2:$C$20000))</f>
        <v/>
      </c>
      <c r="E4988">
        <f>IF(A4988="","",6-CEILING(PERCENTRANK.INC($B$3:$B$6000,B4988,4)*5+0.000001,1))</f>
        <v/>
      </c>
      <c r="F4988">
        <f>IF(A4988="","",MAX(1,CEILING(PERCENTRANK.INC($C$3:$C$6000,C4988,4)*5+0.000001,1)))</f>
        <v/>
      </c>
      <c r="G4988">
        <f>IF(A4988="","",MAX(1,CEILING(PERCENTRANK.INC($D$3:$D$6000,D4988,4)*5+0.000001,1)))</f>
        <v/>
      </c>
      <c r="H4988">
        <f>IF(A4988="","",E4988&amp;F4988&amp;G4988)</f>
        <v/>
      </c>
      <c r="I4988">
        <f>IF(A4988="","",IF(AND(E4988&gt;=4,F4988&gt;=4,G4988&gt;=4),"Juara",IF(AND(F4988&gt;=4,E4988&gt;=3),"Setia",IF(AND(E4988=5,F4988&lt;=2,G4988&gt;=3),"Berpotensi",IF(AND(E4988&lt;=3,E4988&gt;=2,F4988&gt;=3),"Rawan",IF(AND(E4988&lt;=2,F4988&lt;=2),"Tidur","Umum"))))))</f>
        <v/>
      </c>
    </row>
    <row r="4989">
      <c r="B4989">
        <f>IF(A4989="","",$B$1-MAXIFS(Donasi!$A$2:$A$20000,Donasi!$B$2:$B$20000,A4989))</f>
        <v/>
      </c>
      <c r="C4989">
        <f>IF(A4989="","",COUNTIF(Donasi!$B$2:$B$20000,A4989))</f>
        <v/>
      </c>
      <c r="D4989">
        <f>IF(A4989="","",SUMIF(Donasi!$B$2:$B$20000,A4989,Donasi!$C$2:$C$20000))</f>
        <v/>
      </c>
      <c r="E4989">
        <f>IF(A4989="","",6-CEILING(PERCENTRANK.INC($B$3:$B$6000,B4989,4)*5+0.000001,1))</f>
        <v/>
      </c>
      <c r="F4989">
        <f>IF(A4989="","",MAX(1,CEILING(PERCENTRANK.INC($C$3:$C$6000,C4989,4)*5+0.000001,1)))</f>
        <v/>
      </c>
      <c r="G4989">
        <f>IF(A4989="","",MAX(1,CEILING(PERCENTRANK.INC($D$3:$D$6000,D4989,4)*5+0.000001,1)))</f>
        <v/>
      </c>
      <c r="H4989">
        <f>IF(A4989="","",E4989&amp;F4989&amp;G4989)</f>
        <v/>
      </c>
      <c r="I4989">
        <f>IF(A4989="","",IF(AND(E4989&gt;=4,F4989&gt;=4,G4989&gt;=4),"Juara",IF(AND(F4989&gt;=4,E4989&gt;=3),"Setia",IF(AND(E4989=5,F4989&lt;=2,G4989&gt;=3),"Berpotensi",IF(AND(E4989&lt;=3,E4989&gt;=2,F4989&gt;=3),"Rawan",IF(AND(E4989&lt;=2,F4989&lt;=2),"Tidur","Umum"))))))</f>
        <v/>
      </c>
    </row>
    <row r="4990">
      <c r="B4990">
        <f>IF(A4990="","",$B$1-MAXIFS(Donasi!$A$2:$A$20000,Donasi!$B$2:$B$20000,A4990))</f>
        <v/>
      </c>
      <c r="C4990">
        <f>IF(A4990="","",COUNTIF(Donasi!$B$2:$B$20000,A4990))</f>
        <v/>
      </c>
      <c r="D4990">
        <f>IF(A4990="","",SUMIF(Donasi!$B$2:$B$20000,A4990,Donasi!$C$2:$C$20000))</f>
        <v/>
      </c>
      <c r="E4990">
        <f>IF(A4990="","",6-CEILING(PERCENTRANK.INC($B$3:$B$6000,B4990,4)*5+0.000001,1))</f>
        <v/>
      </c>
      <c r="F4990">
        <f>IF(A4990="","",MAX(1,CEILING(PERCENTRANK.INC($C$3:$C$6000,C4990,4)*5+0.000001,1)))</f>
        <v/>
      </c>
      <c r="G4990">
        <f>IF(A4990="","",MAX(1,CEILING(PERCENTRANK.INC($D$3:$D$6000,D4990,4)*5+0.000001,1)))</f>
        <v/>
      </c>
      <c r="H4990">
        <f>IF(A4990="","",E4990&amp;F4990&amp;G4990)</f>
        <v/>
      </c>
      <c r="I4990">
        <f>IF(A4990="","",IF(AND(E4990&gt;=4,F4990&gt;=4,G4990&gt;=4),"Juara",IF(AND(F4990&gt;=4,E4990&gt;=3),"Setia",IF(AND(E4990=5,F4990&lt;=2,G4990&gt;=3),"Berpotensi",IF(AND(E4990&lt;=3,E4990&gt;=2,F4990&gt;=3),"Rawan",IF(AND(E4990&lt;=2,F4990&lt;=2),"Tidur","Umum"))))))</f>
        <v/>
      </c>
    </row>
    <row r="4991">
      <c r="B4991">
        <f>IF(A4991="","",$B$1-MAXIFS(Donasi!$A$2:$A$20000,Donasi!$B$2:$B$20000,A4991))</f>
        <v/>
      </c>
      <c r="C4991">
        <f>IF(A4991="","",COUNTIF(Donasi!$B$2:$B$20000,A4991))</f>
        <v/>
      </c>
      <c r="D4991">
        <f>IF(A4991="","",SUMIF(Donasi!$B$2:$B$20000,A4991,Donasi!$C$2:$C$20000))</f>
        <v/>
      </c>
      <c r="E4991">
        <f>IF(A4991="","",6-CEILING(PERCENTRANK.INC($B$3:$B$6000,B4991,4)*5+0.000001,1))</f>
        <v/>
      </c>
      <c r="F4991">
        <f>IF(A4991="","",MAX(1,CEILING(PERCENTRANK.INC($C$3:$C$6000,C4991,4)*5+0.000001,1)))</f>
        <v/>
      </c>
      <c r="G4991">
        <f>IF(A4991="","",MAX(1,CEILING(PERCENTRANK.INC($D$3:$D$6000,D4991,4)*5+0.000001,1)))</f>
        <v/>
      </c>
      <c r="H4991">
        <f>IF(A4991="","",E4991&amp;F4991&amp;G4991)</f>
        <v/>
      </c>
      <c r="I4991">
        <f>IF(A4991="","",IF(AND(E4991&gt;=4,F4991&gt;=4,G4991&gt;=4),"Juara",IF(AND(F4991&gt;=4,E4991&gt;=3),"Setia",IF(AND(E4991=5,F4991&lt;=2,G4991&gt;=3),"Berpotensi",IF(AND(E4991&lt;=3,E4991&gt;=2,F4991&gt;=3),"Rawan",IF(AND(E4991&lt;=2,F4991&lt;=2),"Tidur","Umum"))))))</f>
        <v/>
      </c>
    </row>
    <row r="4992">
      <c r="B4992">
        <f>IF(A4992="","",$B$1-MAXIFS(Donasi!$A$2:$A$20000,Donasi!$B$2:$B$20000,A4992))</f>
        <v/>
      </c>
      <c r="C4992">
        <f>IF(A4992="","",COUNTIF(Donasi!$B$2:$B$20000,A4992))</f>
        <v/>
      </c>
      <c r="D4992">
        <f>IF(A4992="","",SUMIF(Donasi!$B$2:$B$20000,A4992,Donasi!$C$2:$C$20000))</f>
        <v/>
      </c>
      <c r="E4992">
        <f>IF(A4992="","",6-CEILING(PERCENTRANK.INC($B$3:$B$6000,B4992,4)*5+0.000001,1))</f>
        <v/>
      </c>
      <c r="F4992">
        <f>IF(A4992="","",MAX(1,CEILING(PERCENTRANK.INC($C$3:$C$6000,C4992,4)*5+0.000001,1)))</f>
        <v/>
      </c>
      <c r="G4992">
        <f>IF(A4992="","",MAX(1,CEILING(PERCENTRANK.INC($D$3:$D$6000,D4992,4)*5+0.000001,1)))</f>
        <v/>
      </c>
      <c r="H4992">
        <f>IF(A4992="","",E4992&amp;F4992&amp;G4992)</f>
        <v/>
      </c>
      <c r="I4992">
        <f>IF(A4992="","",IF(AND(E4992&gt;=4,F4992&gt;=4,G4992&gt;=4),"Juara",IF(AND(F4992&gt;=4,E4992&gt;=3),"Setia",IF(AND(E4992=5,F4992&lt;=2,G4992&gt;=3),"Berpotensi",IF(AND(E4992&lt;=3,E4992&gt;=2,F4992&gt;=3),"Rawan",IF(AND(E4992&lt;=2,F4992&lt;=2),"Tidur","Umum"))))))</f>
        <v/>
      </c>
    </row>
    <row r="4993">
      <c r="B4993">
        <f>IF(A4993="","",$B$1-MAXIFS(Donasi!$A$2:$A$20000,Donasi!$B$2:$B$20000,A4993))</f>
        <v/>
      </c>
      <c r="C4993">
        <f>IF(A4993="","",COUNTIF(Donasi!$B$2:$B$20000,A4993))</f>
        <v/>
      </c>
      <c r="D4993">
        <f>IF(A4993="","",SUMIF(Donasi!$B$2:$B$20000,A4993,Donasi!$C$2:$C$20000))</f>
        <v/>
      </c>
      <c r="E4993">
        <f>IF(A4993="","",6-CEILING(PERCENTRANK.INC($B$3:$B$6000,B4993,4)*5+0.000001,1))</f>
        <v/>
      </c>
      <c r="F4993">
        <f>IF(A4993="","",MAX(1,CEILING(PERCENTRANK.INC($C$3:$C$6000,C4993,4)*5+0.000001,1)))</f>
        <v/>
      </c>
      <c r="G4993">
        <f>IF(A4993="","",MAX(1,CEILING(PERCENTRANK.INC($D$3:$D$6000,D4993,4)*5+0.000001,1)))</f>
        <v/>
      </c>
      <c r="H4993">
        <f>IF(A4993="","",E4993&amp;F4993&amp;G4993)</f>
        <v/>
      </c>
      <c r="I4993">
        <f>IF(A4993="","",IF(AND(E4993&gt;=4,F4993&gt;=4,G4993&gt;=4),"Juara",IF(AND(F4993&gt;=4,E4993&gt;=3),"Setia",IF(AND(E4993=5,F4993&lt;=2,G4993&gt;=3),"Berpotensi",IF(AND(E4993&lt;=3,E4993&gt;=2,F4993&gt;=3),"Rawan",IF(AND(E4993&lt;=2,F4993&lt;=2),"Tidur","Umum"))))))</f>
        <v/>
      </c>
    </row>
    <row r="4994">
      <c r="B4994">
        <f>IF(A4994="","",$B$1-MAXIFS(Donasi!$A$2:$A$20000,Donasi!$B$2:$B$20000,A4994))</f>
        <v/>
      </c>
      <c r="C4994">
        <f>IF(A4994="","",COUNTIF(Donasi!$B$2:$B$20000,A4994))</f>
        <v/>
      </c>
      <c r="D4994">
        <f>IF(A4994="","",SUMIF(Donasi!$B$2:$B$20000,A4994,Donasi!$C$2:$C$20000))</f>
        <v/>
      </c>
      <c r="E4994">
        <f>IF(A4994="","",6-CEILING(PERCENTRANK.INC($B$3:$B$6000,B4994,4)*5+0.000001,1))</f>
        <v/>
      </c>
      <c r="F4994">
        <f>IF(A4994="","",MAX(1,CEILING(PERCENTRANK.INC($C$3:$C$6000,C4994,4)*5+0.000001,1)))</f>
        <v/>
      </c>
      <c r="G4994">
        <f>IF(A4994="","",MAX(1,CEILING(PERCENTRANK.INC($D$3:$D$6000,D4994,4)*5+0.000001,1)))</f>
        <v/>
      </c>
      <c r="H4994">
        <f>IF(A4994="","",E4994&amp;F4994&amp;G4994)</f>
        <v/>
      </c>
      <c r="I4994">
        <f>IF(A4994="","",IF(AND(E4994&gt;=4,F4994&gt;=4,G4994&gt;=4),"Juara",IF(AND(F4994&gt;=4,E4994&gt;=3),"Setia",IF(AND(E4994=5,F4994&lt;=2,G4994&gt;=3),"Berpotensi",IF(AND(E4994&lt;=3,E4994&gt;=2,F4994&gt;=3),"Rawan",IF(AND(E4994&lt;=2,F4994&lt;=2),"Tidur","Umum"))))))</f>
        <v/>
      </c>
    </row>
    <row r="4995">
      <c r="B4995">
        <f>IF(A4995="","",$B$1-MAXIFS(Donasi!$A$2:$A$20000,Donasi!$B$2:$B$20000,A4995))</f>
        <v/>
      </c>
      <c r="C4995">
        <f>IF(A4995="","",COUNTIF(Donasi!$B$2:$B$20000,A4995))</f>
        <v/>
      </c>
      <c r="D4995">
        <f>IF(A4995="","",SUMIF(Donasi!$B$2:$B$20000,A4995,Donasi!$C$2:$C$20000))</f>
        <v/>
      </c>
      <c r="E4995">
        <f>IF(A4995="","",6-CEILING(PERCENTRANK.INC($B$3:$B$6000,B4995,4)*5+0.000001,1))</f>
        <v/>
      </c>
      <c r="F4995">
        <f>IF(A4995="","",MAX(1,CEILING(PERCENTRANK.INC($C$3:$C$6000,C4995,4)*5+0.000001,1)))</f>
        <v/>
      </c>
      <c r="G4995">
        <f>IF(A4995="","",MAX(1,CEILING(PERCENTRANK.INC($D$3:$D$6000,D4995,4)*5+0.000001,1)))</f>
        <v/>
      </c>
      <c r="H4995">
        <f>IF(A4995="","",E4995&amp;F4995&amp;G4995)</f>
        <v/>
      </c>
      <c r="I4995">
        <f>IF(A4995="","",IF(AND(E4995&gt;=4,F4995&gt;=4,G4995&gt;=4),"Juara",IF(AND(F4995&gt;=4,E4995&gt;=3),"Setia",IF(AND(E4995=5,F4995&lt;=2,G4995&gt;=3),"Berpotensi",IF(AND(E4995&lt;=3,E4995&gt;=2,F4995&gt;=3),"Rawan",IF(AND(E4995&lt;=2,F4995&lt;=2),"Tidur","Umum"))))))</f>
        <v/>
      </c>
    </row>
    <row r="4996">
      <c r="B4996">
        <f>IF(A4996="","",$B$1-MAXIFS(Donasi!$A$2:$A$20000,Donasi!$B$2:$B$20000,A4996))</f>
        <v/>
      </c>
      <c r="C4996">
        <f>IF(A4996="","",COUNTIF(Donasi!$B$2:$B$20000,A4996))</f>
        <v/>
      </c>
      <c r="D4996">
        <f>IF(A4996="","",SUMIF(Donasi!$B$2:$B$20000,A4996,Donasi!$C$2:$C$20000))</f>
        <v/>
      </c>
      <c r="E4996">
        <f>IF(A4996="","",6-CEILING(PERCENTRANK.INC($B$3:$B$6000,B4996,4)*5+0.000001,1))</f>
        <v/>
      </c>
      <c r="F4996">
        <f>IF(A4996="","",MAX(1,CEILING(PERCENTRANK.INC($C$3:$C$6000,C4996,4)*5+0.000001,1)))</f>
        <v/>
      </c>
      <c r="G4996">
        <f>IF(A4996="","",MAX(1,CEILING(PERCENTRANK.INC($D$3:$D$6000,D4996,4)*5+0.000001,1)))</f>
        <v/>
      </c>
      <c r="H4996">
        <f>IF(A4996="","",E4996&amp;F4996&amp;G4996)</f>
        <v/>
      </c>
      <c r="I4996">
        <f>IF(A4996="","",IF(AND(E4996&gt;=4,F4996&gt;=4,G4996&gt;=4),"Juara",IF(AND(F4996&gt;=4,E4996&gt;=3),"Setia",IF(AND(E4996=5,F4996&lt;=2,G4996&gt;=3),"Berpotensi",IF(AND(E4996&lt;=3,E4996&gt;=2,F4996&gt;=3),"Rawan",IF(AND(E4996&lt;=2,F4996&lt;=2),"Tidur","Umum"))))))</f>
        <v/>
      </c>
    </row>
    <row r="4997">
      <c r="B4997">
        <f>IF(A4997="","",$B$1-MAXIFS(Donasi!$A$2:$A$20000,Donasi!$B$2:$B$20000,A4997))</f>
        <v/>
      </c>
      <c r="C4997">
        <f>IF(A4997="","",COUNTIF(Donasi!$B$2:$B$20000,A4997))</f>
        <v/>
      </c>
      <c r="D4997">
        <f>IF(A4997="","",SUMIF(Donasi!$B$2:$B$20000,A4997,Donasi!$C$2:$C$20000))</f>
        <v/>
      </c>
      <c r="E4997">
        <f>IF(A4997="","",6-CEILING(PERCENTRANK.INC($B$3:$B$6000,B4997,4)*5+0.000001,1))</f>
        <v/>
      </c>
      <c r="F4997">
        <f>IF(A4997="","",MAX(1,CEILING(PERCENTRANK.INC($C$3:$C$6000,C4997,4)*5+0.000001,1)))</f>
        <v/>
      </c>
      <c r="G4997">
        <f>IF(A4997="","",MAX(1,CEILING(PERCENTRANK.INC($D$3:$D$6000,D4997,4)*5+0.000001,1)))</f>
        <v/>
      </c>
      <c r="H4997">
        <f>IF(A4997="","",E4997&amp;F4997&amp;G4997)</f>
        <v/>
      </c>
      <c r="I4997">
        <f>IF(A4997="","",IF(AND(E4997&gt;=4,F4997&gt;=4,G4997&gt;=4),"Juara",IF(AND(F4997&gt;=4,E4997&gt;=3),"Setia",IF(AND(E4997=5,F4997&lt;=2,G4997&gt;=3),"Berpotensi",IF(AND(E4997&lt;=3,E4997&gt;=2,F4997&gt;=3),"Rawan",IF(AND(E4997&lt;=2,F4997&lt;=2),"Tidur","Umum"))))))</f>
        <v/>
      </c>
    </row>
    <row r="4998">
      <c r="B4998">
        <f>IF(A4998="","",$B$1-MAXIFS(Donasi!$A$2:$A$20000,Donasi!$B$2:$B$20000,A4998))</f>
        <v/>
      </c>
      <c r="C4998">
        <f>IF(A4998="","",COUNTIF(Donasi!$B$2:$B$20000,A4998))</f>
        <v/>
      </c>
      <c r="D4998">
        <f>IF(A4998="","",SUMIF(Donasi!$B$2:$B$20000,A4998,Donasi!$C$2:$C$20000))</f>
        <v/>
      </c>
      <c r="E4998">
        <f>IF(A4998="","",6-CEILING(PERCENTRANK.INC($B$3:$B$6000,B4998,4)*5+0.000001,1))</f>
        <v/>
      </c>
      <c r="F4998">
        <f>IF(A4998="","",MAX(1,CEILING(PERCENTRANK.INC($C$3:$C$6000,C4998,4)*5+0.000001,1)))</f>
        <v/>
      </c>
      <c r="G4998">
        <f>IF(A4998="","",MAX(1,CEILING(PERCENTRANK.INC($D$3:$D$6000,D4998,4)*5+0.000001,1)))</f>
        <v/>
      </c>
      <c r="H4998">
        <f>IF(A4998="","",E4998&amp;F4998&amp;G4998)</f>
        <v/>
      </c>
      <c r="I4998">
        <f>IF(A4998="","",IF(AND(E4998&gt;=4,F4998&gt;=4,G4998&gt;=4),"Juara",IF(AND(F4998&gt;=4,E4998&gt;=3),"Setia",IF(AND(E4998=5,F4998&lt;=2,G4998&gt;=3),"Berpotensi",IF(AND(E4998&lt;=3,E4998&gt;=2,F4998&gt;=3),"Rawan",IF(AND(E4998&lt;=2,F4998&lt;=2),"Tidur","Umum"))))))</f>
        <v/>
      </c>
    </row>
    <row r="4999">
      <c r="B4999">
        <f>IF(A4999="","",$B$1-MAXIFS(Donasi!$A$2:$A$20000,Donasi!$B$2:$B$20000,A4999))</f>
        <v/>
      </c>
      <c r="C4999">
        <f>IF(A4999="","",COUNTIF(Donasi!$B$2:$B$20000,A4999))</f>
        <v/>
      </c>
      <c r="D4999">
        <f>IF(A4999="","",SUMIF(Donasi!$B$2:$B$20000,A4999,Donasi!$C$2:$C$20000))</f>
        <v/>
      </c>
      <c r="E4999">
        <f>IF(A4999="","",6-CEILING(PERCENTRANK.INC($B$3:$B$6000,B4999,4)*5+0.000001,1))</f>
        <v/>
      </c>
      <c r="F4999">
        <f>IF(A4999="","",MAX(1,CEILING(PERCENTRANK.INC($C$3:$C$6000,C4999,4)*5+0.000001,1)))</f>
        <v/>
      </c>
      <c r="G4999">
        <f>IF(A4999="","",MAX(1,CEILING(PERCENTRANK.INC($D$3:$D$6000,D4999,4)*5+0.000001,1)))</f>
        <v/>
      </c>
      <c r="H4999">
        <f>IF(A4999="","",E4999&amp;F4999&amp;G4999)</f>
        <v/>
      </c>
      <c r="I4999">
        <f>IF(A4999="","",IF(AND(E4999&gt;=4,F4999&gt;=4,G4999&gt;=4),"Juara",IF(AND(F4999&gt;=4,E4999&gt;=3),"Setia",IF(AND(E4999=5,F4999&lt;=2,G4999&gt;=3),"Berpotensi",IF(AND(E4999&lt;=3,E4999&gt;=2,F4999&gt;=3),"Rawan",IF(AND(E4999&lt;=2,F4999&lt;=2),"Tidur","Umum"))))))</f>
        <v/>
      </c>
    </row>
    <row r="5000">
      <c r="B5000">
        <f>IF(A5000="","",$B$1-MAXIFS(Donasi!$A$2:$A$20000,Donasi!$B$2:$B$20000,A5000))</f>
        <v/>
      </c>
      <c r="C5000">
        <f>IF(A5000="","",COUNTIF(Donasi!$B$2:$B$20000,A5000))</f>
        <v/>
      </c>
      <c r="D5000">
        <f>IF(A5000="","",SUMIF(Donasi!$B$2:$B$20000,A5000,Donasi!$C$2:$C$20000))</f>
        <v/>
      </c>
      <c r="E5000">
        <f>IF(A5000="","",6-CEILING(PERCENTRANK.INC($B$3:$B$6000,B5000,4)*5+0.000001,1))</f>
        <v/>
      </c>
      <c r="F5000">
        <f>IF(A5000="","",MAX(1,CEILING(PERCENTRANK.INC($C$3:$C$6000,C5000,4)*5+0.000001,1)))</f>
        <v/>
      </c>
      <c r="G5000">
        <f>IF(A5000="","",MAX(1,CEILING(PERCENTRANK.INC($D$3:$D$6000,D5000,4)*5+0.000001,1)))</f>
        <v/>
      </c>
      <c r="H5000">
        <f>IF(A5000="","",E5000&amp;F5000&amp;G5000)</f>
        <v/>
      </c>
      <c r="I5000">
        <f>IF(A5000="","",IF(AND(E5000&gt;=4,F5000&gt;=4,G5000&gt;=4),"Juara",IF(AND(F5000&gt;=4,E5000&gt;=3),"Setia",IF(AND(E5000=5,F5000&lt;=2,G5000&gt;=3),"Berpotensi",IF(AND(E5000&lt;=3,E5000&gt;=2,F5000&gt;=3),"Rawan",IF(AND(E5000&lt;=2,F5000&lt;=2),"Tidur","Umum"))))))</f>
        <v/>
      </c>
    </row>
    <row r="5001">
      <c r="B5001">
        <f>IF(A5001="","",$B$1-MAXIFS(Donasi!$A$2:$A$20000,Donasi!$B$2:$B$20000,A5001))</f>
        <v/>
      </c>
      <c r="C5001">
        <f>IF(A5001="","",COUNTIF(Donasi!$B$2:$B$20000,A5001))</f>
        <v/>
      </c>
      <c r="D5001">
        <f>IF(A5001="","",SUMIF(Donasi!$B$2:$B$20000,A5001,Donasi!$C$2:$C$20000))</f>
        <v/>
      </c>
      <c r="E5001">
        <f>IF(A5001="","",6-CEILING(PERCENTRANK.INC($B$3:$B$6000,B5001,4)*5+0.000001,1))</f>
        <v/>
      </c>
      <c r="F5001">
        <f>IF(A5001="","",MAX(1,CEILING(PERCENTRANK.INC($C$3:$C$6000,C5001,4)*5+0.000001,1)))</f>
        <v/>
      </c>
      <c r="G5001">
        <f>IF(A5001="","",MAX(1,CEILING(PERCENTRANK.INC($D$3:$D$6000,D5001,4)*5+0.000001,1)))</f>
        <v/>
      </c>
      <c r="H5001">
        <f>IF(A5001="","",E5001&amp;F5001&amp;G5001)</f>
        <v/>
      </c>
      <c r="I5001">
        <f>IF(A5001="","",IF(AND(E5001&gt;=4,F5001&gt;=4,G5001&gt;=4),"Juara",IF(AND(F5001&gt;=4,E5001&gt;=3),"Setia",IF(AND(E5001=5,F5001&lt;=2,G5001&gt;=3),"Berpotensi",IF(AND(E5001&lt;=3,E5001&gt;=2,F5001&gt;=3),"Rawan",IF(AND(E5001&lt;=2,F5001&lt;=2),"Tidur","Umum"))))))</f>
        <v/>
      </c>
    </row>
    <row r="5002">
      <c r="B5002">
        <f>IF(A5002="","",$B$1-MAXIFS(Donasi!$A$2:$A$20000,Donasi!$B$2:$B$20000,A5002))</f>
        <v/>
      </c>
      <c r="C5002">
        <f>IF(A5002="","",COUNTIF(Donasi!$B$2:$B$20000,A5002))</f>
        <v/>
      </c>
      <c r="D5002">
        <f>IF(A5002="","",SUMIF(Donasi!$B$2:$B$20000,A5002,Donasi!$C$2:$C$20000))</f>
        <v/>
      </c>
      <c r="E5002">
        <f>IF(A5002="","",6-CEILING(PERCENTRANK.INC($B$3:$B$6000,B5002,4)*5+0.000001,1))</f>
        <v/>
      </c>
      <c r="F5002">
        <f>IF(A5002="","",MAX(1,CEILING(PERCENTRANK.INC($C$3:$C$6000,C5002,4)*5+0.000001,1)))</f>
        <v/>
      </c>
      <c r="G5002">
        <f>IF(A5002="","",MAX(1,CEILING(PERCENTRANK.INC($D$3:$D$6000,D5002,4)*5+0.000001,1)))</f>
        <v/>
      </c>
      <c r="H5002">
        <f>IF(A5002="","",E5002&amp;F5002&amp;G5002)</f>
        <v/>
      </c>
      <c r="I5002">
        <f>IF(A5002="","",IF(AND(E5002&gt;=4,F5002&gt;=4,G5002&gt;=4),"Juara",IF(AND(F5002&gt;=4,E5002&gt;=3),"Setia",IF(AND(E5002=5,F5002&lt;=2,G5002&gt;=3),"Berpotensi",IF(AND(E5002&lt;=3,E5002&gt;=2,F5002&gt;=3),"Rawan",IF(AND(E5002&lt;=2,F5002&lt;=2),"Tidur","Umum"))))))</f>
        <v/>
      </c>
    </row>
    <row r="5003">
      <c r="B5003">
        <f>IF(A5003="","",$B$1-MAXIFS(Donasi!$A$2:$A$20000,Donasi!$B$2:$B$20000,A5003))</f>
        <v/>
      </c>
      <c r="C5003">
        <f>IF(A5003="","",COUNTIF(Donasi!$B$2:$B$20000,A5003))</f>
        <v/>
      </c>
      <c r="D5003">
        <f>IF(A5003="","",SUMIF(Donasi!$B$2:$B$20000,A5003,Donasi!$C$2:$C$20000))</f>
        <v/>
      </c>
      <c r="E5003">
        <f>IF(A5003="","",6-CEILING(PERCENTRANK.INC($B$3:$B$6000,B5003,4)*5+0.000001,1))</f>
        <v/>
      </c>
      <c r="F5003">
        <f>IF(A5003="","",MAX(1,CEILING(PERCENTRANK.INC($C$3:$C$6000,C5003,4)*5+0.000001,1)))</f>
        <v/>
      </c>
      <c r="G5003">
        <f>IF(A5003="","",MAX(1,CEILING(PERCENTRANK.INC($D$3:$D$6000,D5003,4)*5+0.000001,1)))</f>
        <v/>
      </c>
      <c r="H5003">
        <f>IF(A5003="","",E5003&amp;F5003&amp;G5003)</f>
        <v/>
      </c>
      <c r="I5003">
        <f>IF(A5003="","",IF(AND(E5003&gt;=4,F5003&gt;=4,G5003&gt;=4),"Juara",IF(AND(F5003&gt;=4,E5003&gt;=3),"Setia",IF(AND(E5003=5,F5003&lt;=2,G5003&gt;=3),"Berpotensi",IF(AND(E5003&lt;=3,E5003&gt;=2,F5003&gt;=3),"Rawan",IF(AND(E5003&lt;=2,F5003&lt;=2),"Tidur","Umum"))))))</f>
        <v/>
      </c>
    </row>
    <row r="5004">
      <c r="B5004">
        <f>IF(A5004="","",$B$1-MAXIFS(Donasi!$A$2:$A$20000,Donasi!$B$2:$B$20000,A5004))</f>
        <v/>
      </c>
      <c r="C5004">
        <f>IF(A5004="","",COUNTIF(Donasi!$B$2:$B$20000,A5004))</f>
        <v/>
      </c>
      <c r="D5004">
        <f>IF(A5004="","",SUMIF(Donasi!$B$2:$B$20000,A5004,Donasi!$C$2:$C$20000))</f>
        <v/>
      </c>
      <c r="E5004">
        <f>IF(A5004="","",6-CEILING(PERCENTRANK.INC($B$3:$B$6000,B5004,4)*5+0.000001,1))</f>
        <v/>
      </c>
      <c r="F5004">
        <f>IF(A5004="","",MAX(1,CEILING(PERCENTRANK.INC($C$3:$C$6000,C5004,4)*5+0.000001,1)))</f>
        <v/>
      </c>
      <c r="G5004">
        <f>IF(A5004="","",MAX(1,CEILING(PERCENTRANK.INC($D$3:$D$6000,D5004,4)*5+0.000001,1)))</f>
        <v/>
      </c>
      <c r="H5004">
        <f>IF(A5004="","",E5004&amp;F5004&amp;G5004)</f>
        <v/>
      </c>
      <c r="I5004">
        <f>IF(A5004="","",IF(AND(E5004&gt;=4,F5004&gt;=4,G5004&gt;=4),"Juara",IF(AND(F5004&gt;=4,E5004&gt;=3),"Setia",IF(AND(E5004=5,F5004&lt;=2,G5004&gt;=3),"Berpotensi",IF(AND(E5004&lt;=3,E5004&gt;=2,F5004&gt;=3),"Rawan",IF(AND(E5004&lt;=2,F5004&lt;=2),"Tidur","Umum"))))))</f>
        <v/>
      </c>
    </row>
    <row r="5005">
      <c r="B5005">
        <f>IF(A5005="","",$B$1-MAXIFS(Donasi!$A$2:$A$20000,Donasi!$B$2:$B$20000,A5005))</f>
        <v/>
      </c>
      <c r="C5005">
        <f>IF(A5005="","",COUNTIF(Donasi!$B$2:$B$20000,A5005))</f>
        <v/>
      </c>
      <c r="D5005">
        <f>IF(A5005="","",SUMIF(Donasi!$B$2:$B$20000,A5005,Donasi!$C$2:$C$20000))</f>
        <v/>
      </c>
      <c r="E5005">
        <f>IF(A5005="","",6-CEILING(PERCENTRANK.INC($B$3:$B$6000,B5005,4)*5+0.000001,1))</f>
        <v/>
      </c>
      <c r="F5005">
        <f>IF(A5005="","",MAX(1,CEILING(PERCENTRANK.INC($C$3:$C$6000,C5005,4)*5+0.000001,1)))</f>
        <v/>
      </c>
      <c r="G5005">
        <f>IF(A5005="","",MAX(1,CEILING(PERCENTRANK.INC($D$3:$D$6000,D5005,4)*5+0.000001,1)))</f>
        <v/>
      </c>
      <c r="H5005">
        <f>IF(A5005="","",E5005&amp;F5005&amp;G5005)</f>
        <v/>
      </c>
      <c r="I5005">
        <f>IF(A5005="","",IF(AND(E5005&gt;=4,F5005&gt;=4,G5005&gt;=4),"Juara",IF(AND(F5005&gt;=4,E5005&gt;=3),"Setia",IF(AND(E5005=5,F5005&lt;=2,G5005&gt;=3),"Berpotensi",IF(AND(E5005&lt;=3,E5005&gt;=2,F5005&gt;=3),"Rawan",IF(AND(E5005&lt;=2,F5005&lt;=2),"Tidur","Umum"))))))</f>
        <v/>
      </c>
    </row>
    <row r="5006">
      <c r="B5006">
        <f>IF(A5006="","",$B$1-MAXIFS(Donasi!$A$2:$A$20000,Donasi!$B$2:$B$20000,A5006))</f>
        <v/>
      </c>
      <c r="C5006">
        <f>IF(A5006="","",COUNTIF(Donasi!$B$2:$B$20000,A5006))</f>
        <v/>
      </c>
      <c r="D5006">
        <f>IF(A5006="","",SUMIF(Donasi!$B$2:$B$20000,A5006,Donasi!$C$2:$C$20000))</f>
        <v/>
      </c>
      <c r="E5006">
        <f>IF(A5006="","",6-CEILING(PERCENTRANK.INC($B$3:$B$6000,B5006,4)*5+0.000001,1))</f>
        <v/>
      </c>
      <c r="F5006">
        <f>IF(A5006="","",MAX(1,CEILING(PERCENTRANK.INC($C$3:$C$6000,C5006,4)*5+0.000001,1)))</f>
        <v/>
      </c>
      <c r="G5006">
        <f>IF(A5006="","",MAX(1,CEILING(PERCENTRANK.INC($D$3:$D$6000,D5006,4)*5+0.000001,1)))</f>
        <v/>
      </c>
      <c r="H5006">
        <f>IF(A5006="","",E5006&amp;F5006&amp;G5006)</f>
        <v/>
      </c>
      <c r="I5006">
        <f>IF(A5006="","",IF(AND(E5006&gt;=4,F5006&gt;=4,G5006&gt;=4),"Juara",IF(AND(F5006&gt;=4,E5006&gt;=3),"Setia",IF(AND(E5006=5,F5006&lt;=2,G5006&gt;=3),"Berpotensi",IF(AND(E5006&lt;=3,E5006&gt;=2,F5006&gt;=3),"Rawan",IF(AND(E5006&lt;=2,F5006&lt;=2),"Tidur","Umum"))))))</f>
        <v/>
      </c>
    </row>
    <row r="5007">
      <c r="B5007">
        <f>IF(A5007="","",$B$1-MAXIFS(Donasi!$A$2:$A$20000,Donasi!$B$2:$B$20000,A5007))</f>
        <v/>
      </c>
      <c r="C5007">
        <f>IF(A5007="","",COUNTIF(Donasi!$B$2:$B$20000,A5007))</f>
        <v/>
      </c>
      <c r="D5007">
        <f>IF(A5007="","",SUMIF(Donasi!$B$2:$B$20000,A5007,Donasi!$C$2:$C$20000))</f>
        <v/>
      </c>
      <c r="E5007">
        <f>IF(A5007="","",6-CEILING(PERCENTRANK.INC($B$3:$B$6000,B5007,4)*5+0.000001,1))</f>
        <v/>
      </c>
      <c r="F5007">
        <f>IF(A5007="","",MAX(1,CEILING(PERCENTRANK.INC($C$3:$C$6000,C5007,4)*5+0.000001,1)))</f>
        <v/>
      </c>
      <c r="G5007">
        <f>IF(A5007="","",MAX(1,CEILING(PERCENTRANK.INC($D$3:$D$6000,D5007,4)*5+0.000001,1)))</f>
        <v/>
      </c>
      <c r="H5007">
        <f>IF(A5007="","",E5007&amp;F5007&amp;G5007)</f>
        <v/>
      </c>
      <c r="I5007">
        <f>IF(A5007="","",IF(AND(E5007&gt;=4,F5007&gt;=4,G5007&gt;=4),"Juara",IF(AND(F5007&gt;=4,E5007&gt;=3),"Setia",IF(AND(E5007=5,F5007&lt;=2,G5007&gt;=3),"Berpotensi",IF(AND(E5007&lt;=3,E5007&gt;=2,F5007&gt;=3),"Rawan",IF(AND(E5007&lt;=2,F5007&lt;=2),"Tidur","Umum"))))))</f>
        <v/>
      </c>
    </row>
    <row r="5008">
      <c r="B5008">
        <f>IF(A5008="","",$B$1-MAXIFS(Donasi!$A$2:$A$20000,Donasi!$B$2:$B$20000,A5008))</f>
        <v/>
      </c>
      <c r="C5008">
        <f>IF(A5008="","",COUNTIF(Donasi!$B$2:$B$20000,A5008))</f>
        <v/>
      </c>
      <c r="D5008">
        <f>IF(A5008="","",SUMIF(Donasi!$B$2:$B$20000,A5008,Donasi!$C$2:$C$20000))</f>
        <v/>
      </c>
      <c r="E5008">
        <f>IF(A5008="","",6-CEILING(PERCENTRANK.INC($B$3:$B$6000,B5008,4)*5+0.000001,1))</f>
        <v/>
      </c>
      <c r="F5008">
        <f>IF(A5008="","",MAX(1,CEILING(PERCENTRANK.INC($C$3:$C$6000,C5008,4)*5+0.000001,1)))</f>
        <v/>
      </c>
      <c r="G5008">
        <f>IF(A5008="","",MAX(1,CEILING(PERCENTRANK.INC($D$3:$D$6000,D5008,4)*5+0.000001,1)))</f>
        <v/>
      </c>
      <c r="H5008">
        <f>IF(A5008="","",E5008&amp;F5008&amp;G5008)</f>
        <v/>
      </c>
      <c r="I5008">
        <f>IF(A5008="","",IF(AND(E5008&gt;=4,F5008&gt;=4,G5008&gt;=4),"Juara",IF(AND(F5008&gt;=4,E5008&gt;=3),"Setia",IF(AND(E5008=5,F5008&lt;=2,G5008&gt;=3),"Berpotensi",IF(AND(E5008&lt;=3,E5008&gt;=2,F5008&gt;=3),"Rawan",IF(AND(E5008&lt;=2,F5008&lt;=2),"Tidur","Umum"))))))</f>
        <v/>
      </c>
    </row>
    <row r="5009">
      <c r="B5009">
        <f>IF(A5009="","",$B$1-MAXIFS(Donasi!$A$2:$A$20000,Donasi!$B$2:$B$20000,A5009))</f>
        <v/>
      </c>
      <c r="C5009">
        <f>IF(A5009="","",COUNTIF(Donasi!$B$2:$B$20000,A5009))</f>
        <v/>
      </c>
      <c r="D5009">
        <f>IF(A5009="","",SUMIF(Donasi!$B$2:$B$20000,A5009,Donasi!$C$2:$C$20000))</f>
        <v/>
      </c>
      <c r="E5009">
        <f>IF(A5009="","",6-CEILING(PERCENTRANK.INC($B$3:$B$6000,B5009,4)*5+0.000001,1))</f>
        <v/>
      </c>
      <c r="F5009">
        <f>IF(A5009="","",MAX(1,CEILING(PERCENTRANK.INC($C$3:$C$6000,C5009,4)*5+0.000001,1)))</f>
        <v/>
      </c>
      <c r="G5009">
        <f>IF(A5009="","",MAX(1,CEILING(PERCENTRANK.INC($D$3:$D$6000,D5009,4)*5+0.000001,1)))</f>
        <v/>
      </c>
      <c r="H5009">
        <f>IF(A5009="","",E5009&amp;F5009&amp;G5009)</f>
        <v/>
      </c>
      <c r="I5009">
        <f>IF(A5009="","",IF(AND(E5009&gt;=4,F5009&gt;=4,G5009&gt;=4),"Juara",IF(AND(F5009&gt;=4,E5009&gt;=3),"Setia",IF(AND(E5009=5,F5009&lt;=2,G5009&gt;=3),"Berpotensi",IF(AND(E5009&lt;=3,E5009&gt;=2,F5009&gt;=3),"Rawan",IF(AND(E5009&lt;=2,F5009&lt;=2),"Tidur","Umum"))))))</f>
        <v/>
      </c>
    </row>
    <row r="5010">
      <c r="B5010">
        <f>IF(A5010="","",$B$1-MAXIFS(Donasi!$A$2:$A$20000,Donasi!$B$2:$B$20000,A5010))</f>
        <v/>
      </c>
      <c r="C5010">
        <f>IF(A5010="","",COUNTIF(Donasi!$B$2:$B$20000,A5010))</f>
        <v/>
      </c>
      <c r="D5010">
        <f>IF(A5010="","",SUMIF(Donasi!$B$2:$B$20000,A5010,Donasi!$C$2:$C$20000))</f>
        <v/>
      </c>
      <c r="E5010">
        <f>IF(A5010="","",6-CEILING(PERCENTRANK.INC($B$3:$B$6000,B5010,4)*5+0.000001,1))</f>
        <v/>
      </c>
      <c r="F5010">
        <f>IF(A5010="","",MAX(1,CEILING(PERCENTRANK.INC($C$3:$C$6000,C5010,4)*5+0.000001,1)))</f>
        <v/>
      </c>
      <c r="G5010">
        <f>IF(A5010="","",MAX(1,CEILING(PERCENTRANK.INC($D$3:$D$6000,D5010,4)*5+0.000001,1)))</f>
        <v/>
      </c>
      <c r="H5010">
        <f>IF(A5010="","",E5010&amp;F5010&amp;G5010)</f>
        <v/>
      </c>
      <c r="I5010">
        <f>IF(A5010="","",IF(AND(E5010&gt;=4,F5010&gt;=4,G5010&gt;=4),"Juara",IF(AND(F5010&gt;=4,E5010&gt;=3),"Setia",IF(AND(E5010=5,F5010&lt;=2,G5010&gt;=3),"Berpotensi",IF(AND(E5010&lt;=3,E5010&gt;=2,F5010&gt;=3),"Rawan",IF(AND(E5010&lt;=2,F5010&lt;=2),"Tidur","Umum"))))))</f>
        <v/>
      </c>
    </row>
    <row r="5011">
      <c r="B5011">
        <f>IF(A5011="","",$B$1-MAXIFS(Donasi!$A$2:$A$20000,Donasi!$B$2:$B$20000,A5011))</f>
        <v/>
      </c>
      <c r="C5011">
        <f>IF(A5011="","",COUNTIF(Donasi!$B$2:$B$20000,A5011))</f>
        <v/>
      </c>
      <c r="D5011">
        <f>IF(A5011="","",SUMIF(Donasi!$B$2:$B$20000,A5011,Donasi!$C$2:$C$20000))</f>
        <v/>
      </c>
      <c r="E5011">
        <f>IF(A5011="","",6-CEILING(PERCENTRANK.INC($B$3:$B$6000,B5011,4)*5+0.000001,1))</f>
        <v/>
      </c>
      <c r="F5011">
        <f>IF(A5011="","",MAX(1,CEILING(PERCENTRANK.INC($C$3:$C$6000,C5011,4)*5+0.000001,1)))</f>
        <v/>
      </c>
      <c r="G5011">
        <f>IF(A5011="","",MAX(1,CEILING(PERCENTRANK.INC($D$3:$D$6000,D5011,4)*5+0.000001,1)))</f>
        <v/>
      </c>
      <c r="H5011">
        <f>IF(A5011="","",E5011&amp;F5011&amp;G5011)</f>
        <v/>
      </c>
      <c r="I5011">
        <f>IF(A5011="","",IF(AND(E5011&gt;=4,F5011&gt;=4,G5011&gt;=4),"Juara",IF(AND(F5011&gt;=4,E5011&gt;=3),"Setia",IF(AND(E5011=5,F5011&lt;=2,G5011&gt;=3),"Berpotensi",IF(AND(E5011&lt;=3,E5011&gt;=2,F5011&gt;=3),"Rawan",IF(AND(E5011&lt;=2,F5011&lt;=2),"Tidur","Umum"))))))</f>
        <v/>
      </c>
    </row>
    <row r="5012">
      <c r="B5012">
        <f>IF(A5012="","",$B$1-MAXIFS(Donasi!$A$2:$A$20000,Donasi!$B$2:$B$20000,A5012))</f>
        <v/>
      </c>
      <c r="C5012">
        <f>IF(A5012="","",COUNTIF(Donasi!$B$2:$B$20000,A5012))</f>
        <v/>
      </c>
      <c r="D5012">
        <f>IF(A5012="","",SUMIF(Donasi!$B$2:$B$20000,A5012,Donasi!$C$2:$C$20000))</f>
        <v/>
      </c>
      <c r="E5012">
        <f>IF(A5012="","",6-CEILING(PERCENTRANK.INC($B$3:$B$6000,B5012,4)*5+0.000001,1))</f>
        <v/>
      </c>
      <c r="F5012">
        <f>IF(A5012="","",MAX(1,CEILING(PERCENTRANK.INC($C$3:$C$6000,C5012,4)*5+0.000001,1)))</f>
        <v/>
      </c>
      <c r="G5012">
        <f>IF(A5012="","",MAX(1,CEILING(PERCENTRANK.INC($D$3:$D$6000,D5012,4)*5+0.000001,1)))</f>
        <v/>
      </c>
      <c r="H5012">
        <f>IF(A5012="","",E5012&amp;F5012&amp;G5012)</f>
        <v/>
      </c>
      <c r="I5012">
        <f>IF(A5012="","",IF(AND(E5012&gt;=4,F5012&gt;=4,G5012&gt;=4),"Juara",IF(AND(F5012&gt;=4,E5012&gt;=3),"Setia",IF(AND(E5012=5,F5012&lt;=2,G5012&gt;=3),"Berpotensi",IF(AND(E5012&lt;=3,E5012&gt;=2,F5012&gt;=3),"Rawan",IF(AND(E5012&lt;=2,F5012&lt;=2),"Tidur","Umum"))))))</f>
        <v/>
      </c>
    </row>
    <row r="5013">
      <c r="B5013">
        <f>IF(A5013="","",$B$1-MAXIFS(Donasi!$A$2:$A$20000,Donasi!$B$2:$B$20000,A5013))</f>
        <v/>
      </c>
      <c r="C5013">
        <f>IF(A5013="","",COUNTIF(Donasi!$B$2:$B$20000,A5013))</f>
        <v/>
      </c>
      <c r="D5013">
        <f>IF(A5013="","",SUMIF(Donasi!$B$2:$B$20000,A5013,Donasi!$C$2:$C$20000))</f>
        <v/>
      </c>
      <c r="E5013">
        <f>IF(A5013="","",6-CEILING(PERCENTRANK.INC($B$3:$B$6000,B5013,4)*5+0.000001,1))</f>
        <v/>
      </c>
      <c r="F5013">
        <f>IF(A5013="","",MAX(1,CEILING(PERCENTRANK.INC($C$3:$C$6000,C5013,4)*5+0.000001,1)))</f>
        <v/>
      </c>
      <c r="G5013">
        <f>IF(A5013="","",MAX(1,CEILING(PERCENTRANK.INC($D$3:$D$6000,D5013,4)*5+0.000001,1)))</f>
        <v/>
      </c>
      <c r="H5013">
        <f>IF(A5013="","",E5013&amp;F5013&amp;G5013)</f>
        <v/>
      </c>
      <c r="I5013">
        <f>IF(A5013="","",IF(AND(E5013&gt;=4,F5013&gt;=4,G5013&gt;=4),"Juara",IF(AND(F5013&gt;=4,E5013&gt;=3),"Setia",IF(AND(E5013=5,F5013&lt;=2,G5013&gt;=3),"Berpotensi",IF(AND(E5013&lt;=3,E5013&gt;=2,F5013&gt;=3),"Rawan",IF(AND(E5013&lt;=2,F5013&lt;=2),"Tidur","Umum"))))))</f>
        <v/>
      </c>
    </row>
    <row r="5014">
      <c r="B5014">
        <f>IF(A5014="","",$B$1-MAXIFS(Donasi!$A$2:$A$20000,Donasi!$B$2:$B$20000,A5014))</f>
        <v/>
      </c>
      <c r="C5014">
        <f>IF(A5014="","",COUNTIF(Donasi!$B$2:$B$20000,A5014))</f>
        <v/>
      </c>
      <c r="D5014">
        <f>IF(A5014="","",SUMIF(Donasi!$B$2:$B$20000,A5014,Donasi!$C$2:$C$20000))</f>
        <v/>
      </c>
      <c r="E5014">
        <f>IF(A5014="","",6-CEILING(PERCENTRANK.INC($B$3:$B$6000,B5014,4)*5+0.000001,1))</f>
        <v/>
      </c>
      <c r="F5014">
        <f>IF(A5014="","",MAX(1,CEILING(PERCENTRANK.INC($C$3:$C$6000,C5014,4)*5+0.000001,1)))</f>
        <v/>
      </c>
      <c r="G5014">
        <f>IF(A5014="","",MAX(1,CEILING(PERCENTRANK.INC($D$3:$D$6000,D5014,4)*5+0.000001,1)))</f>
        <v/>
      </c>
      <c r="H5014">
        <f>IF(A5014="","",E5014&amp;F5014&amp;G5014)</f>
        <v/>
      </c>
      <c r="I5014">
        <f>IF(A5014="","",IF(AND(E5014&gt;=4,F5014&gt;=4,G5014&gt;=4),"Juara",IF(AND(F5014&gt;=4,E5014&gt;=3),"Setia",IF(AND(E5014=5,F5014&lt;=2,G5014&gt;=3),"Berpotensi",IF(AND(E5014&lt;=3,E5014&gt;=2,F5014&gt;=3),"Rawan",IF(AND(E5014&lt;=2,F5014&lt;=2),"Tidur","Umum"))))))</f>
        <v/>
      </c>
    </row>
    <row r="5015">
      <c r="B5015">
        <f>IF(A5015="","",$B$1-MAXIFS(Donasi!$A$2:$A$20000,Donasi!$B$2:$B$20000,A5015))</f>
        <v/>
      </c>
      <c r="C5015">
        <f>IF(A5015="","",COUNTIF(Donasi!$B$2:$B$20000,A5015))</f>
        <v/>
      </c>
      <c r="D5015">
        <f>IF(A5015="","",SUMIF(Donasi!$B$2:$B$20000,A5015,Donasi!$C$2:$C$20000))</f>
        <v/>
      </c>
      <c r="E5015">
        <f>IF(A5015="","",6-CEILING(PERCENTRANK.INC($B$3:$B$6000,B5015,4)*5+0.000001,1))</f>
        <v/>
      </c>
      <c r="F5015">
        <f>IF(A5015="","",MAX(1,CEILING(PERCENTRANK.INC($C$3:$C$6000,C5015,4)*5+0.000001,1)))</f>
        <v/>
      </c>
      <c r="G5015">
        <f>IF(A5015="","",MAX(1,CEILING(PERCENTRANK.INC($D$3:$D$6000,D5015,4)*5+0.000001,1)))</f>
        <v/>
      </c>
      <c r="H5015">
        <f>IF(A5015="","",E5015&amp;F5015&amp;G5015)</f>
        <v/>
      </c>
      <c r="I5015">
        <f>IF(A5015="","",IF(AND(E5015&gt;=4,F5015&gt;=4,G5015&gt;=4),"Juara",IF(AND(F5015&gt;=4,E5015&gt;=3),"Setia",IF(AND(E5015=5,F5015&lt;=2,G5015&gt;=3),"Berpotensi",IF(AND(E5015&lt;=3,E5015&gt;=2,F5015&gt;=3),"Rawan",IF(AND(E5015&lt;=2,F5015&lt;=2),"Tidur","Umum"))))))</f>
        <v/>
      </c>
    </row>
    <row r="5016">
      <c r="B5016">
        <f>IF(A5016="","",$B$1-MAXIFS(Donasi!$A$2:$A$20000,Donasi!$B$2:$B$20000,A5016))</f>
        <v/>
      </c>
      <c r="C5016">
        <f>IF(A5016="","",COUNTIF(Donasi!$B$2:$B$20000,A5016))</f>
        <v/>
      </c>
      <c r="D5016">
        <f>IF(A5016="","",SUMIF(Donasi!$B$2:$B$20000,A5016,Donasi!$C$2:$C$20000))</f>
        <v/>
      </c>
      <c r="E5016">
        <f>IF(A5016="","",6-CEILING(PERCENTRANK.INC($B$3:$B$6000,B5016,4)*5+0.000001,1))</f>
        <v/>
      </c>
      <c r="F5016">
        <f>IF(A5016="","",MAX(1,CEILING(PERCENTRANK.INC($C$3:$C$6000,C5016,4)*5+0.000001,1)))</f>
        <v/>
      </c>
      <c r="G5016">
        <f>IF(A5016="","",MAX(1,CEILING(PERCENTRANK.INC($D$3:$D$6000,D5016,4)*5+0.000001,1)))</f>
        <v/>
      </c>
      <c r="H5016">
        <f>IF(A5016="","",E5016&amp;F5016&amp;G5016)</f>
        <v/>
      </c>
      <c r="I5016">
        <f>IF(A5016="","",IF(AND(E5016&gt;=4,F5016&gt;=4,G5016&gt;=4),"Juara",IF(AND(F5016&gt;=4,E5016&gt;=3),"Setia",IF(AND(E5016=5,F5016&lt;=2,G5016&gt;=3),"Berpotensi",IF(AND(E5016&lt;=3,E5016&gt;=2,F5016&gt;=3),"Rawan",IF(AND(E5016&lt;=2,F5016&lt;=2),"Tidur","Umum"))))))</f>
        <v/>
      </c>
    </row>
    <row r="5017">
      <c r="B5017">
        <f>IF(A5017="","",$B$1-MAXIFS(Donasi!$A$2:$A$20000,Donasi!$B$2:$B$20000,A5017))</f>
        <v/>
      </c>
      <c r="C5017">
        <f>IF(A5017="","",COUNTIF(Donasi!$B$2:$B$20000,A5017))</f>
        <v/>
      </c>
      <c r="D5017">
        <f>IF(A5017="","",SUMIF(Donasi!$B$2:$B$20000,A5017,Donasi!$C$2:$C$20000))</f>
        <v/>
      </c>
      <c r="E5017">
        <f>IF(A5017="","",6-CEILING(PERCENTRANK.INC($B$3:$B$6000,B5017,4)*5+0.000001,1))</f>
        <v/>
      </c>
      <c r="F5017">
        <f>IF(A5017="","",MAX(1,CEILING(PERCENTRANK.INC($C$3:$C$6000,C5017,4)*5+0.000001,1)))</f>
        <v/>
      </c>
      <c r="G5017">
        <f>IF(A5017="","",MAX(1,CEILING(PERCENTRANK.INC($D$3:$D$6000,D5017,4)*5+0.000001,1)))</f>
        <v/>
      </c>
      <c r="H5017">
        <f>IF(A5017="","",E5017&amp;F5017&amp;G5017)</f>
        <v/>
      </c>
      <c r="I5017">
        <f>IF(A5017="","",IF(AND(E5017&gt;=4,F5017&gt;=4,G5017&gt;=4),"Juara",IF(AND(F5017&gt;=4,E5017&gt;=3),"Setia",IF(AND(E5017=5,F5017&lt;=2,G5017&gt;=3),"Berpotensi",IF(AND(E5017&lt;=3,E5017&gt;=2,F5017&gt;=3),"Rawan",IF(AND(E5017&lt;=2,F5017&lt;=2),"Tidur","Umum"))))))</f>
        <v/>
      </c>
    </row>
    <row r="5018">
      <c r="B5018">
        <f>IF(A5018="","",$B$1-MAXIFS(Donasi!$A$2:$A$20000,Donasi!$B$2:$B$20000,A5018))</f>
        <v/>
      </c>
      <c r="C5018">
        <f>IF(A5018="","",COUNTIF(Donasi!$B$2:$B$20000,A5018))</f>
        <v/>
      </c>
      <c r="D5018">
        <f>IF(A5018="","",SUMIF(Donasi!$B$2:$B$20000,A5018,Donasi!$C$2:$C$20000))</f>
        <v/>
      </c>
      <c r="E5018">
        <f>IF(A5018="","",6-CEILING(PERCENTRANK.INC($B$3:$B$6000,B5018,4)*5+0.000001,1))</f>
        <v/>
      </c>
      <c r="F5018">
        <f>IF(A5018="","",MAX(1,CEILING(PERCENTRANK.INC($C$3:$C$6000,C5018,4)*5+0.000001,1)))</f>
        <v/>
      </c>
      <c r="G5018">
        <f>IF(A5018="","",MAX(1,CEILING(PERCENTRANK.INC($D$3:$D$6000,D5018,4)*5+0.000001,1)))</f>
        <v/>
      </c>
      <c r="H5018">
        <f>IF(A5018="","",E5018&amp;F5018&amp;G5018)</f>
        <v/>
      </c>
      <c r="I5018">
        <f>IF(A5018="","",IF(AND(E5018&gt;=4,F5018&gt;=4,G5018&gt;=4),"Juara",IF(AND(F5018&gt;=4,E5018&gt;=3),"Setia",IF(AND(E5018=5,F5018&lt;=2,G5018&gt;=3),"Berpotensi",IF(AND(E5018&lt;=3,E5018&gt;=2,F5018&gt;=3),"Rawan",IF(AND(E5018&lt;=2,F5018&lt;=2),"Tidur","Umum"))))))</f>
        <v/>
      </c>
    </row>
    <row r="5019">
      <c r="B5019">
        <f>IF(A5019="","",$B$1-MAXIFS(Donasi!$A$2:$A$20000,Donasi!$B$2:$B$20000,A5019))</f>
        <v/>
      </c>
      <c r="C5019">
        <f>IF(A5019="","",COUNTIF(Donasi!$B$2:$B$20000,A5019))</f>
        <v/>
      </c>
      <c r="D5019">
        <f>IF(A5019="","",SUMIF(Donasi!$B$2:$B$20000,A5019,Donasi!$C$2:$C$20000))</f>
        <v/>
      </c>
      <c r="E5019">
        <f>IF(A5019="","",6-CEILING(PERCENTRANK.INC($B$3:$B$6000,B5019,4)*5+0.000001,1))</f>
        <v/>
      </c>
      <c r="F5019">
        <f>IF(A5019="","",MAX(1,CEILING(PERCENTRANK.INC($C$3:$C$6000,C5019,4)*5+0.000001,1)))</f>
        <v/>
      </c>
      <c r="G5019">
        <f>IF(A5019="","",MAX(1,CEILING(PERCENTRANK.INC($D$3:$D$6000,D5019,4)*5+0.000001,1)))</f>
        <v/>
      </c>
      <c r="H5019">
        <f>IF(A5019="","",E5019&amp;F5019&amp;G5019)</f>
        <v/>
      </c>
      <c r="I5019">
        <f>IF(A5019="","",IF(AND(E5019&gt;=4,F5019&gt;=4,G5019&gt;=4),"Juara",IF(AND(F5019&gt;=4,E5019&gt;=3),"Setia",IF(AND(E5019=5,F5019&lt;=2,G5019&gt;=3),"Berpotensi",IF(AND(E5019&lt;=3,E5019&gt;=2,F5019&gt;=3),"Rawan",IF(AND(E5019&lt;=2,F5019&lt;=2),"Tidur","Umum"))))))</f>
        <v/>
      </c>
    </row>
    <row r="5020">
      <c r="B5020">
        <f>IF(A5020="","",$B$1-MAXIFS(Donasi!$A$2:$A$20000,Donasi!$B$2:$B$20000,A5020))</f>
        <v/>
      </c>
      <c r="C5020">
        <f>IF(A5020="","",COUNTIF(Donasi!$B$2:$B$20000,A5020))</f>
        <v/>
      </c>
      <c r="D5020">
        <f>IF(A5020="","",SUMIF(Donasi!$B$2:$B$20000,A5020,Donasi!$C$2:$C$20000))</f>
        <v/>
      </c>
      <c r="E5020">
        <f>IF(A5020="","",6-CEILING(PERCENTRANK.INC($B$3:$B$6000,B5020,4)*5+0.000001,1))</f>
        <v/>
      </c>
      <c r="F5020">
        <f>IF(A5020="","",MAX(1,CEILING(PERCENTRANK.INC($C$3:$C$6000,C5020,4)*5+0.000001,1)))</f>
        <v/>
      </c>
      <c r="G5020">
        <f>IF(A5020="","",MAX(1,CEILING(PERCENTRANK.INC($D$3:$D$6000,D5020,4)*5+0.000001,1)))</f>
        <v/>
      </c>
      <c r="H5020">
        <f>IF(A5020="","",E5020&amp;F5020&amp;G5020)</f>
        <v/>
      </c>
      <c r="I5020">
        <f>IF(A5020="","",IF(AND(E5020&gt;=4,F5020&gt;=4,G5020&gt;=4),"Juara",IF(AND(F5020&gt;=4,E5020&gt;=3),"Setia",IF(AND(E5020=5,F5020&lt;=2,G5020&gt;=3),"Berpotensi",IF(AND(E5020&lt;=3,E5020&gt;=2,F5020&gt;=3),"Rawan",IF(AND(E5020&lt;=2,F5020&lt;=2),"Tidur","Umum"))))))</f>
        <v/>
      </c>
    </row>
    <row r="5021">
      <c r="B5021">
        <f>IF(A5021="","",$B$1-MAXIFS(Donasi!$A$2:$A$20000,Donasi!$B$2:$B$20000,A5021))</f>
        <v/>
      </c>
      <c r="C5021">
        <f>IF(A5021="","",COUNTIF(Donasi!$B$2:$B$20000,A5021))</f>
        <v/>
      </c>
      <c r="D5021">
        <f>IF(A5021="","",SUMIF(Donasi!$B$2:$B$20000,A5021,Donasi!$C$2:$C$20000))</f>
        <v/>
      </c>
      <c r="E5021">
        <f>IF(A5021="","",6-CEILING(PERCENTRANK.INC($B$3:$B$6000,B5021,4)*5+0.000001,1))</f>
        <v/>
      </c>
      <c r="F5021">
        <f>IF(A5021="","",MAX(1,CEILING(PERCENTRANK.INC($C$3:$C$6000,C5021,4)*5+0.000001,1)))</f>
        <v/>
      </c>
      <c r="G5021">
        <f>IF(A5021="","",MAX(1,CEILING(PERCENTRANK.INC($D$3:$D$6000,D5021,4)*5+0.000001,1)))</f>
        <v/>
      </c>
      <c r="H5021">
        <f>IF(A5021="","",E5021&amp;F5021&amp;G5021)</f>
        <v/>
      </c>
      <c r="I5021">
        <f>IF(A5021="","",IF(AND(E5021&gt;=4,F5021&gt;=4,G5021&gt;=4),"Juara",IF(AND(F5021&gt;=4,E5021&gt;=3),"Setia",IF(AND(E5021=5,F5021&lt;=2,G5021&gt;=3),"Berpotensi",IF(AND(E5021&lt;=3,E5021&gt;=2,F5021&gt;=3),"Rawan",IF(AND(E5021&lt;=2,F5021&lt;=2),"Tidur","Umum"))))))</f>
        <v/>
      </c>
    </row>
    <row r="5022">
      <c r="B5022">
        <f>IF(A5022="","",$B$1-MAXIFS(Donasi!$A$2:$A$20000,Donasi!$B$2:$B$20000,A5022))</f>
        <v/>
      </c>
      <c r="C5022">
        <f>IF(A5022="","",COUNTIF(Donasi!$B$2:$B$20000,A5022))</f>
        <v/>
      </c>
      <c r="D5022">
        <f>IF(A5022="","",SUMIF(Donasi!$B$2:$B$20000,A5022,Donasi!$C$2:$C$20000))</f>
        <v/>
      </c>
      <c r="E5022">
        <f>IF(A5022="","",6-CEILING(PERCENTRANK.INC($B$3:$B$6000,B5022,4)*5+0.000001,1))</f>
        <v/>
      </c>
      <c r="F5022">
        <f>IF(A5022="","",MAX(1,CEILING(PERCENTRANK.INC($C$3:$C$6000,C5022,4)*5+0.000001,1)))</f>
        <v/>
      </c>
      <c r="G5022">
        <f>IF(A5022="","",MAX(1,CEILING(PERCENTRANK.INC($D$3:$D$6000,D5022,4)*5+0.000001,1)))</f>
        <v/>
      </c>
      <c r="H5022">
        <f>IF(A5022="","",E5022&amp;F5022&amp;G5022)</f>
        <v/>
      </c>
      <c r="I5022">
        <f>IF(A5022="","",IF(AND(E5022&gt;=4,F5022&gt;=4,G5022&gt;=4),"Juara",IF(AND(F5022&gt;=4,E5022&gt;=3),"Setia",IF(AND(E5022=5,F5022&lt;=2,G5022&gt;=3),"Berpotensi",IF(AND(E5022&lt;=3,E5022&gt;=2,F5022&gt;=3),"Rawan",IF(AND(E5022&lt;=2,F5022&lt;=2),"Tidur","Umum"))))))</f>
        <v/>
      </c>
    </row>
    <row r="5023">
      <c r="B5023">
        <f>IF(A5023="","",$B$1-MAXIFS(Donasi!$A$2:$A$20000,Donasi!$B$2:$B$20000,A5023))</f>
        <v/>
      </c>
      <c r="C5023">
        <f>IF(A5023="","",COUNTIF(Donasi!$B$2:$B$20000,A5023))</f>
        <v/>
      </c>
      <c r="D5023">
        <f>IF(A5023="","",SUMIF(Donasi!$B$2:$B$20000,A5023,Donasi!$C$2:$C$20000))</f>
        <v/>
      </c>
      <c r="E5023">
        <f>IF(A5023="","",6-CEILING(PERCENTRANK.INC($B$3:$B$6000,B5023,4)*5+0.000001,1))</f>
        <v/>
      </c>
      <c r="F5023">
        <f>IF(A5023="","",MAX(1,CEILING(PERCENTRANK.INC($C$3:$C$6000,C5023,4)*5+0.000001,1)))</f>
        <v/>
      </c>
      <c r="G5023">
        <f>IF(A5023="","",MAX(1,CEILING(PERCENTRANK.INC($D$3:$D$6000,D5023,4)*5+0.000001,1)))</f>
        <v/>
      </c>
      <c r="H5023">
        <f>IF(A5023="","",E5023&amp;F5023&amp;G5023)</f>
        <v/>
      </c>
      <c r="I5023">
        <f>IF(A5023="","",IF(AND(E5023&gt;=4,F5023&gt;=4,G5023&gt;=4),"Juara",IF(AND(F5023&gt;=4,E5023&gt;=3),"Setia",IF(AND(E5023=5,F5023&lt;=2,G5023&gt;=3),"Berpotensi",IF(AND(E5023&lt;=3,E5023&gt;=2,F5023&gt;=3),"Rawan",IF(AND(E5023&lt;=2,F5023&lt;=2),"Tidur","Umum"))))))</f>
        <v/>
      </c>
    </row>
    <row r="5024">
      <c r="B5024">
        <f>IF(A5024="","",$B$1-MAXIFS(Donasi!$A$2:$A$20000,Donasi!$B$2:$B$20000,A5024))</f>
        <v/>
      </c>
      <c r="C5024">
        <f>IF(A5024="","",COUNTIF(Donasi!$B$2:$B$20000,A5024))</f>
        <v/>
      </c>
      <c r="D5024">
        <f>IF(A5024="","",SUMIF(Donasi!$B$2:$B$20000,A5024,Donasi!$C$2:$C$20000))</f>
        <v/>
      </c>
      <c r="E5024">
        <f>IF(A5024="","",6-CEILING(PERCENTRANK.INC($B$3:$B$6000,B5024,4)*5+0.000001,1))</f>
        <v/>
      </c>
      <c r="F5024">
        <f>IF(A5024="","",MAX(1,CEILING(PERCENTRANK.INC($C$3:$C$6000,C5024,4)*5+0.000001,1)))</f>
        <v/>
      </c>
      <c r="G5024">
        <f>IF(A5024="","",MAX(1,CEILING(PERCENTRANK.INC($D$3:$D$6000,D5024,4)*5+0.000001,1)))</f>
        <v/>
      </c>
      <c r="H5024">
        <f>IF(A5024="","",E5024&amp;F5024&amp;G5024)</f>
        <v/>
      </c>
      <c r="I5024">
        <f>IF(A5024="","",IF(AND(E5024&gt;=4,F5024&gt;=4,G5024&gt;=4),"Juara",IF(AND(F5024&gt;=4,E5024&gt;=3),"Setia",IF(AND(E5024=5,F5024&lt;=2,G5024&gt;=3),"Berpotensi",IF(AND(E5024&lt;=3,E5024&gt;=2,F5024&gt;=3),"Rawan",IF(AND(E5024&lt;=2,F5024&lt;=2),"Tidur","Umum"))))))</f>
        <v/>
      </c>
    </row>
    <row r="5025">
      <c r="B5025">
        <f>IF(A5025="","",$B$1-MAXIFS(Donasi!$A$2:$A$20000,Donasi!$B$2:$B$20000,A5025))</f>
        <v/>
      </c>
      <c r="C5025">
        <f>IF(A5025="","",COUNTIF(Donasi!$B$2:$B$20000,A5025))</f>
        <v/>
      </c>
      <c r="D5025">
        <f>IF(A5025="","",SUMIF(Donasi!$B$2:$B$20000,A5025,Donasi!$C$2:$C$20000))</f>
        <v/>
      </c>
      <c r="E5025">
        <f>IF(A5025="","",6-CEILING(PERCENTRANK.INC($B$3:$B$6000,B5025,4)*5+0.000001,1))</f>
        <v/>
      </c>
      <c r="F5025">
        <f>IF(A5025="","",MAX(1,CEILING(PERCENTRANK.INC($C$3:$C$6000,C5025,4)*5+0.000001,1)))</f>
        <v/>
      </c>
      <c r="G5025">
        <f>IF(A5025="","",MAX(1,CEILING(PERCENTRANK.INC($D$3:$D$6000,D5025,4)*5+0.000001,1)))</f>
        <v/>
      </c>
      <c r="H5025">
        <f>IF(A5025="","",E5025&amp;F5025&amp;G5025)</f>
        <v/>
      </c>
      <c r="I5025">
        <f>IF(A5025="","",IF(AND(E5025&gt;=4,F5025&gt;=4,G5025&gt;=4),"Juara",IF(AND(F5025&gt;=4,E5025&gt;=3),"Setia",IF(AND(E5025=5,F5025&lt;=2,G5025&gt;=3),"Berpotensi",IF(AND(E5025&lt;=3,E5025&gt;=2,F5025&gt;=3),"Rawan",IF(AND(E5025&lt;=2,F5025&lt;=2),"Tidur","Umum"))))))</f>
        <v/>
      </c>
    </row>
    <row r="5026">
      <c r="B5026">
        <f>IF(A5026="","",$B$1-MAXIFS(Donasi!$A$2:$A$20000,Donasi!$B$2:$B$20000,A5026))</f>
        <v/>
      </c>
      <c r="C5026">
        <f>IF(A5026="","",COUNTIF(Donasi!$B$2:$B$20000,A5026))</f>
        <v/>
      </c>
      <c r="D5026">
        <f>IF(A5026="","",SUMIF(Donasi!$B$2:$B$20000,A5026,Donasi!$C$2:$C$20000))</f>
        <v/>
      </c>
      <c r="E5026">
        <f>IF(A5026="","",6-CEILING(PERCENTRANK.INC($B$3:$B$6000,B5026,4)*5+0.000001,1))</f>
        <v/>
      </c>
      <c r="F5026">
        <f>IF(A5026="","",MAX(1,CEILING(PERCENTRANK.INC($C$3:$C$6000,C5026,4)*5+0.000001,1)))</f>
        <v/>
      </c>
      <c r="G5026">
        <f>IF(A5026="","",MAX(1,CEILING(PERCENTRANK.INC($D$3:$D$6000,D5026,4)*5+0.000001,1)))</f>
        <v/>
      </c>
      <c r="H5026">
        <f>IF(A5026="","",E5026&amp;F5026&amp;G5026)</f>
        <v/>
      </c>
      <c r="I5026">
        <f>IF(A5026="","",IF(AND(E5026&gt;=4,F5026&gt;=4,G5026&gt;=4),"Juara",IF(AND(F5026&gt;=4,E5026&gt;=3),"Setia",IF(AND(E5026=5,F5026&lt;=2,G5026&gt;=3),"Berpotensi",IF(AND(E5026&lt;=3,E5026&gt;=2,F5026&gt;=3),"Rawan",IF(AND(E5026&lt;=2,F5026&lt;=2),"Tidur","Umum"))))))</f>
        <v/>
      </c>
    </row>
    <row r="5027">
      <c r="B5027">
        <f>IF(A5027="","",$B$1-MAXIFS(Donasi!$A$2:$A$20000,Donasi!$B$2:$B$20000,A5027))</f>
        <v/>
      </c>
      <c r="C5027">
        <f>IF(A5027="","",COUNTIF(Donasi!$B$2:$B$20000,A5027))</f>
        <v/>
      </c>
      <c r="D5027">
        <f>IF(A5027="","",SUMIF(Donasi!$B$2:$B$20000,A5027,Donasi!$C$2:$C$20000))</f>
        <v/>
      </c>
      <c r="E5027">
        <f>IF(A5027="","",6-CEILING(PERCENTRANK.INC($B$3:$B$6000,B5027,4)*5+0.000001,1))</f>
        <v/>
      </c>
      <c r="F5027">
        <f>IF(A5027="","",MAX(1,CEILING(PERCENTRANK.INC($C$3:$C$6000,C5027,4)*5+0.000001,1)))</f>
        <v/>
      </c>
      <c r="G5027">
        <f>IF(A5027="","",MAX(1,CEILING(PERCENTRANK.INC($D$3:$D$6000,D5027,4)*5+0.000001,1)))</f>
        <v/>
      </c>
      <c r="H5027">
        <f>IF(A5027="","",E5027&amp;F5027&amp;G5027)</f>
        <v/>
      </c>
      <c r="I5027">
        <f>IF(A5027="","",IF(AND(E5027&gt;=4,F5027&gt;=4,G5027&gt;=4),"Juara",IF(AND(F5027&gt;=4,E5027&gt;=3),"Setia",IF(AND(E5027=5,F5027&lt;=2,G5027&gt;=3),"Berpotensi",IF(AND(E5027&lt;=3,E5027&gt;=2,F5027&gt;=3),"Rawan",IF(AND(E5027&lt;=2,F5027&lt;=2),"Tidur","Umum"))))))</f>
        <v/>
      </c>
    </row>
    <row r="5028">
      <c r="B5028">
        <f>IF(A5028="","",$B$1-MAXIFS(Donasi!$A$2:$A$20000,Donasi!$B$2:$B$20000,A5028))</f>
        <v/>
      </c>
      <c r="C5028">
        <f>IF(A5028="","",COUNTIF(Donasi!$B$2:$B$20000,A5028))</f>
        <v/>
      </c>
      <c r="D5028">
        <f>IF(A5028="","",SUMIF(Donasi!$B$2:$B$20000,A5028,Donasi!$C$2:$C$20000))</f>
        <v/>
      </c>
      <c r="E5028">
        <f>IF(A5028="","",6-CEILING(PERCENTRANK.INC($B$3:$B$6000,B5028,4)*5+0.000001,1))</f>
        <v/>
      </c>
      <c r="F5028">
        <f>IF(A5028="","",MAX(1,CEILING(PERCENTRANK.INC($C$3:$C$6000,C5028,4)*5+0.000001,1)))</f>
        <v/>
      </c>
      <c r="G5028">
        <f>IF(A5028="","",MAX(1,CEILING(PERCENTRANK.INC($D$3:$D$6000,D5028,4)*5+0.000001,1)))</f>
        <v/>
      </c>
      <c r="H5028">
        <f>IF(A5028="","",E5028&amp;F5028&amp;G5028)</f>
        <v/>
      </c>
      <c r="I5028">
        <f>IF(A5028="","",IF(AND(E5028&gt;=4,F5028&gt;=4,G5028&gt;=4),"Juara",IF(AND(F5028&gt;=4,E5028&gt;=3),"Setia",IF(AND(E5028=5,F5028&lt;=2,G5028&gt;=3),"Berpotensi",IF(AND(E5028&lt;=3,E5028&gt;=2,F5028&gt;=3),"Rawan",IF(AND(E5028&lt;=2,F5028&lt;=2),"Tidur","Umum"))))))</f>
        <v/>
      </c>
    </row>
    <row r="5029">
      <c r="B5029">
        <f>IF(A5029="","",$B$1-MAXIFS(Donasi!$A$2:$A$20000,Donasi!$B$2:$B$20000,A5029))</f>
        <v/>
      </c>
      <c r="C5029">
        <f>IF(A5029="","",COUNTIF(Donasi!$B$2:$B$20000,A5029))</f>
        <v/>
      </c>
      <c r="D5029">
        <f>IF(A5029="","",SUMIF(Donasi!$B$2:$B$20000,A5029,Donasi!$C$2:$C$20000))</f>
        <v/>
      </c>
      <c r="E5029">
        <f>IF(A5029="","",6-CEILING(PERCENTRANK.INC($B$3:$B$6000,B5029,4)*5+0.000001,1))</f>
        <v/>
      </c>
      <c r="F5029">
        <f>IF(A5029="","",MAX(1,CEILING(PERCENTRANK.INC($C$3:$C$6000,C5029,4)*5+0.000001,1)))</f>
        <v/>
      </c>
      <c r="G5029">
        <f>IF(A5029="","",MAX(1,CEILING(PERCENTRANK.INC($D$3:$D$6000,D5029,4)*5+0.000001,1)))</f>
        <v/>
      </c>
      <c r="H5029">
        <f>IF(A5029="","",E5029&amp;F5029&amp;G5029)</f>
        <v/>
      </c>
      <c r="I5029">
        <f>IF(A5029="","",IF(AND(E5029&gt;=4,F5029&gt;=4,G5029&gt;=4),"Juara",IF(AND(F5029&gt;=4,E5029&gt;=3),"Setia",IF(AND(E5029=5,F5029&lt;=2,G5029&gt;=3),"Berpotensi",IF(AND(E5029&lt;=3,E5029&gt;=2,F5029&gt;=3),"Rawan",IF(AND(E5029&lt;=2,F5029&lt;=2),"Tidur","Umum"))))))</f>
        <v/>
      </c>
    </row>
    <row r="5030">
      <c r="B5030">
        <f>IF(A5030="","",$B$1-MAXIFS(Donasi!$A$2:$A$20000,Donasi!$B$2:$B$20000,A5030))</f>
        <v/>
      </c>
      <c r="C5030">
        <f>IF(A5030="","",COUNTIF(Donasi!$B$2:$B$20000,A5030))</f>
        <v/>
      </c>
      <c r="D5030">
        <f>IF(A5030="","",SUMIF(Donasi!$B$2:$B$20000,A5030,Donasi!$C$2:$C$20000))</f>
        <v/>
      </c>
      <c r="E5030">
        <f>IF(A5030="","",6-CEILING(PERCENTRANK.INC($B$3:$B$6000,B5030,4)*5+0.000001,1))</f>
        <v/>
      </c>
      <c r="F5030">
        <f>IF(A5030="","",MAX(1,CEILING(PERCENTRANK.INC($C$3:$C$6000,C5030,4)*5+0.000001,1)))</f>
        <v/>
      </c>
      <c r="G5030">
        <f>IF(A5030="","",MAX(1,CEILING(PERCENTRANK.INC($D$3:$D$6000,D5030,4)*5+0.000001,1)))</f>
        <v/>
      </c>
      <c r="H5030">
        <f>IF(A5030="","",E5030&amp;F5030&amp;G5030)</f>
        <v/>
      </c>
      <c r="I5030">
        <f>IF(A5030="","",IF(AND(E5030&gt;=4,F5030&gt;=4,G5030&gt;=4),"Juara",IF(AND(F5030&gt;=4,E5030&gt;=3),"Setia",IF(AND(E5030=5,F5030&lt;=2,G5030&gt;=3),"Berpotensi",IF(AND(E5030&lt;=3,E5030&gt;=2,F5030&gt;=3),"Rawan",IF(AND(E5030&lt;=2,F5030&lt;=2),"Tidur","Umum"))))))</f>
        <v/>
      </c>
    </row>
    <row r="5031">
      <c r="B5031">
        <f>IF(A5031="","",$B$1-MAXIFS(Donasi!$A$2:$A$20000,Donasi!$B$2:$B$20000,A5031))</f>
        <v/>
      </c>
      <c r="C5031">
        <f>IF(A5031="","",COUNTIF(Donasi!$B$2:$B$20000,A5031))</f>
        <v/>
      </c>
      <c r="D5031">
        <f>IF(A5031="","",SUMIF(Donasi!$B$2:$B$20000,A5031,Donasi!$C$2:$C$20000))</f>
        <v/>
      </c>
      <c r="E5031">
        <f>IF(A5031="","",6-CEILING(PERCENTRANK.INC($B$3:$B$6000,B5031,4)*5+0.000001,1))</f>
        <v/>
      </c>
      <c r="F5031">
        <f>IF(A5031="","",MAX(1,CEILING(PERCENTRANK.INC($C$3:$C$6000,C5031,4)*5+0.000001,1)))</f>
        <v/>
      </c>
      <c r="G5031">
        <f>IF(A5031="","",MAX(1,CEILING(PERCENTRANK.INC($D$3:$D$6000,D5031,4)*5+0.000001,1)))</f>
        <v/>
      </c>
      <c r="H5031">
        <f>IF(A5031="","",E5031&amp;F5031&amp;G5031)</f>
        <v/>
      </c>
      <c r="I5031">
        <f>IF(A5031="","",IF(AND(E5031&gt;=4,F5031&gt;=4,G5031&gt;=4),"Juara",IF(AND(F5031&gt;=4,E5031&gt;=3),"Setia",IF(AND(E5031=5,F5031&lt;=2,G5031&gt;=3),"Berpotensi",IF(AND(E5031&lt;=3,E5031&gt;=2,F5031&gt;=3),"Rawan",IF(AND(E5031&lt;=2,F5031&lt;=2),"Tidur","Umum"))))))</f>
        <v/>
      </c>
    </row>
    <row r="5032">
      <c r="B5032">
        <f>IF(A5032="","",$B$1-MAXIFS(Donasi!$A$2:$A$20000,Donasi!$B$2:$B$20000,A5032))</f>
        <v/>
      </c>
      <c r="C5032">
        <f>IF(A5032="","",COUNTIF(Donasi!$B$2:$B$20000,A5032))</f>
        <v/>
      </c>
      <c r="D5032">
        <f>IF(A5032="","",SUMIF(Donasi!$B$2:$B$20000,A5032,Donasi!$C$2:$C$20000))</f>
        <v/>
      </c>
      <c r="E5032">
        <f>IF(A5032="","",6-CEILING(PERCENTRANK.INC($B$3:$B$6000,B5032,4)*5+0.000001,1))</f>
        <v/>
      </c>
      <c r="F5032">
        <f>IF(A5032="","",MAX(1,CEILING(PERCENTRANK.INC($C$3:$C$6000,C5032,4)*5+0.000001,1)))</f>
        <v/>
      </c>
      <c r="G5032">
        <f>IF(A5032="","",MAX(1,CEILING(PERCENTRANK.INC($D$3:$D$6000,D5032,4)*5+0.000001,1)))</f>
        <v/>
      </c>
      <c r="H5032">
        <f>IF(A5032="","",E5032&amp;F5032&amp;G5032)</f>
        <v/>
      </c>
      <c r="I5032">
        <f>IF(A5032="","",IF(AND(E5032&gt;=4,F5032&gt;=4,G5032&gt;=4),"Juara",IF(AND(F5032&gt;=4,E5032&gt;=3),"Setia",IF(AND(E5032=5,F5032&lt;=2,G5032&gt;=3),"Berpotensi",IF(AND(E5032&lt;=3,E5032&gt;=2,F5032&gt;=3),"Rawan",IF(AND(E5032&lt;=2,F5032&lt;=2),"Tidur","Umum"))))))</f>
        <v/>
      </c>
    </row>
    <row r="5033">
      <c r="B5033">
        <f>IF(A5033="","",$B$1-MAXIFS(Donasi!$A$2:$A$20000,Donasi!$B$2:$B$20000,A5033))</f>
        <v/>
      </c>
      <c r="C5033">
        <f>IF(A5033="","",COUNTIF(Donasi!$B$2:$B$20000,A5033))</f>
        <v/>
      </c>
      <c r="D5033">
        <f>IF(A5033="","",SUMIF(Donasi!$B$2:$B$20000,A5033,Donasi!$C$2:$C$20000))</f>
        <v/>
      </c>
      <c r="E5033">
        <f>IF(A5033="","",6-CEILING(PERCENTRANK.INC($B$3:$B$6000,B5033,4)*5+0.000001,1))</f>
        <v/>
      </c>
      <c r="F5033">
        <f>IF(A5033="","",MAX(1,CEILING(PERCENTRANK.INC($C$3:$C$6000,C5033,4)*5+0.000001,1)))</f>
        <v/>
      </c>
      <c r="G5033">
        <f>IF(A5033="","",MAX(1,CEILING(PERCENTRANK.INC($D$3:$D$6000,D5033,4)*5+0.000001,1)))</f>
        <v/>
      </c>
      <c r="H5033">
        <f>IF(A5033="","",E5033&amp;F5033&amp;G5033)</f>
        <v/>
      </c>
      <c r="I5033">
        <f>IF(A5033="","",IF(AND(E5033&gt;=4,F5033&gt;=4,G5033&gt;=4),"Juara",IF(AND(F5033&gt;=4,E5033&gt;=3),"Setia",IF(AND(E5033=5,F5033&lt;=2,G5033&gt;=3),"Berpotensi",IF(AND(E5033&lt;=3,E5033&gt;=2,F5033&gt;=3),"Rawan",IF(AND(E5033&lt;=2,F5033&lt;=2),"Tidur","Umum"))))))</f>
        <v/>
      </c>
    </row>
    <row r="5034">
      <c r="B5034">
        <f>IF(A5034="","",$B$1-MAXIFS(Donasi!$A$2:$A$20000,Donasi!$B$2:$B$20000,A5034))</f>
        <v/>
      </c>
      <c r="C5034">
        <f>IF(A5034="","",COUNTIF(Donasi!$B$2:$B$20000,A5034))</f>
        <v/>
      </c>
      <c r="D5034">
        <f>IF(A5034="","",SUMIF(Donasi!$B$2:$B$20000,A5034,Donasi!$C$2:$C$20000))</f>
        <v/>
      </c>
      <c r="E5034">
        <f>IF(A5034="","",6-CEILING(PERCENTRANK.INC($B$3:$B$6000,B5034,4)*5+0.000001,1))</f>
        <v/>
      </c>
      <c r="F5034">
        <f>IF(A5034="","",MAX(1,CEILING(PERCENTRANK.INC($C$3:$C$6000,C5034,4)*5+0.000001,1)))</f>
        <v/>
      </c>
      <c r="G5034">
        <f>IF(A5034="","",MAX(1,CEILING(PERCENTRANK.INC($D$3:$D$6000,D5034,4)*5+0.000001,1)))</f>
        <v/>
      </c>
      <c r="H5034">
        <f>IF(A5034="","",E5034&amp;F5034&amp;G5034)</f>
        <v/>
      </c>
      <c r="I5034">
        <f>IF(A5034="","",IF(AND(E5034&gt;=4,F5034&gt;=4,G5034&gt;=4),"Juara",IF(AND(F5034&gt;=4,E5034&gt;=3),"Setia",IF(AND(E5034=5,F5034&lt;=2,G5034&gt;=3),"Berpotensi",IF(AND(E5034&lt;=3,E5034&gt;=2,F5034&gt;=3),"Rawan",IF(AND(E5034&lt;=2,F5034&lt;=2),"Tidur","Umum"))))))</f>
        <v/>
      </c>
    </row>
    <row r="5035">
      <c r="B5035">
        <f>IF(A5035="","",$B$1-MAXIFS(Donasi!$A$2:$A$20000,Donasi!$B$2:$B$20000,A5035))</f>
        <v/>
      </c>
      <c r="C5035">
        <f>IF(A5035="","",COUNTIF(Donasi!$B$2:$B$20000,A5035))</f>
        <v/>
      </c>
      <c r="D5035">
        <f>IF(A5035="","",SUMIF(Donasi!$B$2:$B$20000,A5035,Donasi!$C$2:$C$20000))</f>
        <v/>
      </c>
      <c r="E5035">
        <f>IF(A5035="","",6-CEILING(PERCENTRANK.INC($B$3:$B$6000,B5035,4)*5+0.000001,1))</f>
        <v/>
      </c>
      <c r="F5035">
        <f>IF(A5035="","",MAX(1,CEILING(PERCENTRANK.INC($C$3:$C$6000,C5035,4)*5+0.000001,1)))</f>
        <v/>
      </c>
      <c r="G5035">
        <f>IF(A5035="","",MAX(1,CEILING(PERCENTRANK.INC($D$3:$D$6000,D5035,4)*5+0.000001,1)))</f>
        <v/>
      </c>
      <c r="H5035">
        <f>IF(A5035="","",E5035&amp;F5035&amp;G5035)</f>
        <v/>
      </c>
      <c r="I5035">
        <f>IF(A5035="","",IF(AND(E5035&gt;=4,F5035&gt;=4,G5035&gt;=4),"Juara",IF(AND(F5035&gt;=4,E5035&gt;=3),"Setia",IF(AND(E5035=5,F5035&lt;=2,G5035&gt;=3),"Berpotensi",IF(AND(E5035&lt;=3,E5035&gt;=2,F5035&gt;=3),"Rawan",IF(AND(E5035&lt;=2,F5035&lt;=2),"Tidur","Umum"))))))</f>
        <v/>
      </c>
    </row>
    <row r="5036">
      <c r="B5036">
        <f>IF(A5036="","",$B$1-MAXIFS(Donasi!$A$2:$A$20000,Donasi!$B$2:$B$20000,A5036))</f>
        <v/>
      </c>
      <c r="C5036">
        <f>IF(A5036="","",COUNTIF(Donasi!$B$2:$B$20000,A5036))</f>
        <v/>
      </c>
      <c r="D5036">
        <f>IF(A5036="","",SUMIF(Donasi!$B$2:$B$20000,A5036,Donasi!$C$2:$C$20000))</f>
        <v/>
      </c>
      <c r="E5036">
        <f>IF(A5036="","",6-CEILING(PERCENTRANK.INC($B$3:$B$6000,B5036,4)*5+0.000001,1))</f>
        <v/>
      </c>
      <c r="F5036">
        <f>IF(A5036="","",MAX(1,CEILING(PERCENTRANK.INC($C$3:$C$6000,C5036,4)*5+0.000001,1)))</f>
        <v/>
      </c>
      <c r="G5036">
        <f>IF(A5036="","",MAX(1,CEILING(PERCENTRANK.INC($D$3:$D$6000,D5036,4)*5+0.000001,1)))</f>
        <v/>
      </c>
      <c r="H5036">
        <f>IF(A5036="","",E5036&amp;F5036&amp;G5036)</f>
        <v/>
      </c>
      <c r="I5036">
        <f>IF(A5036="","",IF(AND(E5036&gt;=4,F5036&gt;=4,G5036&gt;=4),"Juara",IF(AND(F5036&gt;=4,E5036&gt;=3),"Setia",IF(AND(E5036=5,F5036&lt;=2,G5036&gt;=3),"Berpotensi",IF(AND(E5036&lt;=3,E5036&gt;=2,F5036&gt;=3),"Rawan",IF(AND(E5036&lt;=2,F5036&lt;=2),"Tidur","Umum"))))))</f>
        <v/>
      </c>
    </row>
    <row r="5037">
      <c r="B5037">
        <f>IF(A5037="","",$B$1-MAXIFS(Donasi!$A$2:$A$20000,Donasi!$B$2:$B$20000,A5037))</f>
        <v/>
      </c>
      <c r="C5037">
        <f>IF(A5037="","",COUNTIF(Donasi!$B$2:$B$20000,A5037))</f>
        <v/>
      </c>
      <c r="D5037">
        <f>IF(A5037="","",SUMIF(Donasi!$B$2:$B$20000,A5037,Donasi!$C$2:$C$20000))</f>
        <v/>
      </c>
      <c r="E5037">
        <f>IF(A5037="","",6-CEILING(PERCENTRANK.INC($B$3:$B$6000,B5037,4)*5+0.000001,1))</f>
        <v/>
      </c>
      <c r="F5037">
        <f>IF(A5037="","",MAX(1,CEILING(PERCENTRANK.INC($C$3:$C$6000,C5037,4)*5+0.000001,1)))</f>
        <v/>
      </c>
      <c r="G5037">
        <f>IF(A5037="","",MAX(1,CEILING(PERCENTRANK.INC($D$3:$D$6000,D5037,4)*5+0.000001,1)))</f>
        <v/>
      </c>
      <c r="H5037">
        <f>IF(A5037="","",E5037&amp;F5037&amp;G5037)</f>
        <v/>
      </c>
      <c r="I5037">
        <f>IF(A5037="","",IF(AND(E5037&gt;=4,F5037&gt;=4,G5037&gt;=4),"Juara",IF(AND(F5037&gt;=4,E5037&gt;=3),"Setia",IF(AND(E5037=5,F5037&lt;=2,G5037&gt;=3),"Berpotensi",IF(AND(E5037&lt;=3,E5037&gt;=2,F5037&gt;=3),"Rawan",IF(AND(E5037&lt;=2,F5037&lt;=2),"Tidur","Umum"))))))</f>
        <v/>
      </c>
    </row>
    <row r="5038">
      <c r="B5038">
        <f>IF(A5038="","",$B$1-MAXIFS(Donasi!$A$2:$A$20000,Donasi!$B$2:$B$20000,A5038))</f>
        <v/>
      </c>
      <c r="C5038">
        <f>IF(A5038="","",COUNTIF(Donasi!$B$2:$B$20000,A5038))</f>
        <v/>
      </c>
      <c r="D5038">
        <f>IF(A5038="","",SUMIF(Donasi!$B$2:$B$20000,A5038,Donasi!$C$2:$C$20000))</f>
        <v/>
      </c>
      <c r="E5038">
        <f>IF(A5038="","",6-CEILING(PERCENTRANK.INC($B$3:$B$6000,B5038,4)*5+0.000001,1))</f>
        <v/>
      </c>
      <c r="F5038">
        <f>IF(A5038="","",MAX(1,CEILING(PERCENTRANK.INC($C$3:$C$6000,C5038,4)*5+0.000001,1)))</f>
        <v/>
      </c>
      <c r="G5038">
        <f>IF(A5038="","",MAX(1,CEILING(PERCENTRANK.INC($D$3:$D$6000,D5038,4)*5+0.000001,1)))</f>
        <v/>
      </c>
      <c r="H5038">
        <f>IF(A5038="","",E5038&amp;F5038&amp;G5038)</f>
        <v/>
      </c>
      <c r="I5038">
        <f>IF(A5038="","",IF(AND(E5038&gt;=4,F5038&gt;=4,G5038&gt;=4),"Juara",IF(AND(F5038&gt;=4,E5038&gt;=3),"Setia",IF(AND(E5038=5,F5038&lt;=2,G5038&gt;=3),"Berpotensi",IF(AND(E5038&lt;=3,E5038&gt;=2,F5038&gt;=3),"Rawan",IF(AND(E5038&lt;=2,F5038&lt;=2),"Tidur","Umum"))))))</f>
        <v/>
      </c>
    </row>
    <row r="5039">
      <c r="B5039">
        <f>IF(A5039="","",$B$1-MAXIFS(Donasi!$A$2:$A$20000,Donasi!$B$2:$B$20000,A5039))</f>
        <v/>
      </c>
      <c r="C5039">
        <f>IF(A5039="","",COUNTIF(Donasi!$B$2:$B$20000,A5039))</f>
        <v/>
      </c>
      <c r="D5039">
        <f>IF(A5039="","",SUMIF(Donasi!$B$2:$B$20000,A5039,Donasi!$C$2:$C$20000))</f>
        <v/>
      </c>
      <c r="E5039">
        <f>IF(A5039="","",6-CEILING(PERCENTRANK.INC($B$3:$B$6000,B5039,4)*5+0.000001,1))</f>
        <v/>
      </c>
      <c r="F5039">
        <f>IF(A5039="","",MAX(1,CEILING(PERCENTRANK.INC($C$3:$C$6000,C5039,4)*5+0.000001,1)))</f>
        <v/>
      </c>
      <c r="G5039">
        <f>IF(A5039="","",MAX(1,CEILING(PERCENTRANK.INC($D$3:$D$6000,D5039,4)*5+0.000001,1)))</f>
        <v/>
      </c>
      <c r="H5039">
        <f>IF(A5039="","",E5039&amp;F5039&amp;G5039)</f>
        <v/>
      </c>
      <c r="I5039">
        <f>IF(A5039="","",IF(AND(E5039&gt;=4,F5039&gt;=4,G5039&gt;=4),"Juara",IF(AND(F5039&gt;=4,E5039&gt;=3),"Setia",IF(AND(E5039=5,F5039&lt;=2,G5039&gt;=3),"Berpotensi",IF(AND(E5039&lt;=3,E5039&gt;=2,F5039&gt;=3),"Rawan",IF(AND(E5039&lt;=2,F5039&lt;=2),"Tidur","Umum"))))))</f>
        <v/>
      </c>
    </row>
    <row r="5040">
      <c r="B5040">
        <f>IF(A5040="","",$B$1-MAXIFS(Donasi!$A$2:$A$20000,Donasi!$B$2:$B$20000,A5040))</f>
        <v/>
      </c>
      <c r="C5040">
        <f>IF(A5040="","",COUNTIF(Donasi!$B$2:$B$20000,A5040))</f>
        <v/>
      </c>
      <c r="D5040">
        <f>IF(A5040="","",SUMIF(Donasi!$B$2:$B$20000,A5040,Donasi!$C$2:$C$20000))</f>
        <v/>
      </c>
      <c r="E5040">
        <f>IF(A5040="","",6-CEILING(PERCENTRANK.INC($B$3:$B$6000,B5040,4)*5+0.000001,1))</f>
        <v/>
      </c>
      <c r="F5040">
        <f>IF(A5040="","",MAX(1,CEILING(PERCENTRANK.INC($C$3:$C$6000,C5040,4)*5+0.000001,1)))</f>
        <v/>
      </c>
      <c r="G5040">
        <f>IF(A5040="","",MAX(1,CEILING(PERCENTRANK.INC($D$3:$D$6000,D5040,4)*5+0.000001,1)))</f>
        <v/>
      </c>
      <c r="H5040">
        <f>IF(A5040="","",E5040&amp;F5040&amp;G5040)</f>
        <v/>
      </c>
      <c r="I5040">
        <f>IF(A5040="","",IF(AND(E5040&gt;=4,F5040&gt;=4,G5040&gt;=4),"Juara",IF(AND(F5040&gt;=4,E5040&gt;=3),"Setia",IF(AND(E5040=5,F5040&lt;=2,G5040&gt;=3),"Berpotensi",IF(AND(E5040&lt;=3,E5040&gt;=2,F5040&gt;=3),"Rawan",IF(AND(E5040&lt;=2,F5040&lt;=2),"Tidur","Umum"))))))</f>
        <v/>
      </c>
    </row>
    <row r="5041">
      <c r="B5041">
        <f>IF(A5041="","",$B$1-MAXIFS(Donasi!$A$2:$A$20000,Donasi!$B$2:$B$20000,A5041))</f>
        <v/>
      </c>
      <c r="C5041">
        <f>IF(A5041="","",COUNTIF(Donasi!$B$2:$B$20000,A5041))</f>
        <v/>
      </c>
      <c r="D5041">
        <f>IF(A5041="","",SUMIF(Donasi!$B$2:$B$20000,A5041,Donasi!$C$2:$C$20000))</f>
        <v/>
      </c>
      <c r="E5041">
        <f>IF(A5041="","",6-CEILING(PERCENTRANK.INC($B$3:$B$6000,B5041,4)*5+0.000001,1))</f>
        <v/>
      </c>
      <c r="F5041">
        <f>IF(A5041="","",MAX(1,CEILING(PERCENTRANK.INC($C$3:$C$6000,C5041,4)*5+0.000001,1)))</f>
        <v/>
      </c>
      <c r="G5041">
        <f>IF(A5041="","",MAX(1,CEILING(PERCENTRANK.INC($D$3:$D$6000,D5041,4)*5+0.000001,1)))</f>
        <v/>
      </c>
      <c r="H5041">
        <f>IF(A5041="","",E5041&amp;F5041&amp;G5041)</f>
        <v/>
      </c>
      <c r="I5041">
        <f>IF(A5041="","",IF(AND(E5041&gt;=4,F5041&gt;=4,G5041&gt;=4),"Juara",IF(AND(F5041&gt;=4,E5041&gt;=3),"Setia",IF(AND(E5041=5,F5041&lt;=2,G5041&gt;=3),"Berpotensi",IF(AND(E5041&lt;=3,E5041&gt;=2,F5041&gt;=3),"Rawan",IF(AND(E5041&lt;=2,F5041&lt;=2),"Tidur","Umum"))))))</f>
        <v/>
      </c>
    </row>
    <row r="5042">
      <c r="B5042">
        <f>IF(A5042="","",$B$1-MAXIFS(Donasi!$A$2:$A$20000,Donasi!$B$2:$B$20000,A5042))</f>
        <v/>
      </c>
      <c r="C5042">
        <f>IF(A5042="","",COUNTIF(Donasi!$B$2:$B$20000,A5042))</f>
        <v/>
      </c>
      <c r="D5042">
        <f>IF(A5042="","",SUMIF(Donasi!$B$2:$B$20000,A5042,Donasi!$C$2:$C$20000))</f>
        <v/>
      </c>
      <c r="E5042">
        <f>IF(A5042="","",6-CEILING(PERCENTRANK.INC($B$3:$B$6000,B5042,4)*5+0.000001,1))</f>
        <v/>
      </c>
      <c r="F5042">
        <f>IF(A5042="","",MAX(1,CEILING(PERCENTRANK.INC($C$3:$C$6000,C5042,4)*5+0.000001,1)))</f>
        <v/>
      </c>
      <c r="G5042">
        <f>IF(A5042="","",MAX(1,CEILING(PERCENTRANK.INC($D$3:$D$6000,D5042,4)*5+0.000001,1)))</f>
        <v/>
      </c>
      <c r="H5042">
        <f>IF(A5042="","",E5042&amp;F5042&amp;G5042)</f>
        <v/>
      </c>
      <c r="I5042">
        <f>IF(A5042="","",IF(AND(E5042&gt;=4,F5042&gt;=4,G5042&gt;=4),"Juara",IF(AND(F5042&gt;=4,E5042&gt;=3),"Setia",IF(AND(E5042=5,F5042&lt;=2,G5042&gt;=3),"Berpotensi",IF(AND(E5042&lt;=3,E5042&gt;=2,F5042&gt;=3),"Rawan",IF(AND(E5042&lt;=2,F5042&lt;=2),"Tidur","Umum"))))))</f>
        <v/>
      </c>
    </row>
    <row r="5043">
      <c r="B5043">
        <f>IF(A5043="","",$B$1-MAXIFS(Donasi!$A$2:$A$20000,Donasi!$B$2:$B$20000,A5043))</f>
        <v/>
      </c>
      <c r="C5043">
        <f>IF(A5043="","",COUNTIF(Donasi!$B$2:$B$20000,A5043))</f>
        <v/>
      </c>
      <c r="D5043">
        <f>IF(A5043="","",SUMIF(Donasi!$B$2:$B$20000,A5043,Donasi!$C$2:$C$20000))</f>
        <v/>
      </c>
      <c r="E5043">
        <f>IF(A5043="","",6-CEILING(PERCENTRANK.INC($B$3:$B$6000,B5043,4)*5+0.000001,1))</f>
        <v/>
      </c>
      <c r="F5043">
        <f>IF(A5043="","",MAX(1,CEILING(PERCENTRANK.INC($C$3:$C$6000,C5043,4)*5+0.000001,1)))</f>
        <v/>
      </c>
      <c r="G5043">
        <f>IF(A5043="","",MAX(1,CEILING(PERCENTRANK.INC($D$3:$D$6000,D5043,4)*5+0.000001,1)))</f>
        <v/>
      </c>
      <c r="H5043">
        <f>IF(A5043="","",E5043&amp;F5043&amp;G5043)</f>
        <v/>
      </c>
      <c r="I5043">
        <f>IF(A5043="","",IF(AND(E5043&gt;=4,F5043&gt;=4,G5043&gt;=4),"Juara",IF(AND(F5043&gt;=4,E5043&gt;=3),"Setia",IF(AND(E5043=5,F5043&lt;=2,G5043&gt;=3),"Berpotensi",IF(AND(E5043&lt;=3,E5043&gt;=2,F5043&gt;=3),"Rawan",IF(AND(E5043&lt;=2,F5043&lt;=2),"Tidur","Umum"))))))</f>
        <v/>
      </c>
    </row>
    <row r="5044">
      <c r="B5044">
        <f>IF(A5044="","",$B$1-MAXIFS(Donasi!$A$2:$A$20000,Donasi!$B$2:$B$20000,A5044))</f>
        <v/>
      </c>
      <c r="C5044">
        <f>IF(A5044="","",COUNTIF(Donasi!$B$2:$B$20000,A5044))</f>
        <v/>
      </c>
      <c r="D5044">
        <f>IF(A5044="","",SUMIF(Donasi!$B$2:$B$20000,A5044,Donasi!$C$2:$C$20000))</f>
        <v/>
      </c>
      <c r="E5044">
        <f>IF(A5044="","",6-CEILING(PERCENTRANK.INC($B$3:$B$6000,B5044,4)*5+0.000001,1))</f>
        <v/>
      </c>
      <c r="F5044">
        <f>IF(A5044="","",MAX(1,CEILING(PERCENTRANK.INC($C$3:$C$6000,C5044,4)*5+0.000001,1)))</f>
        <v/>
      </c>
      <c r="G5044">
        <f>IF(A5044="","",MAX(1,CEILING(PERCENTRANK.INC($D$3:$D$6000,D5044,4)*5+0.000001,1)))</f>
        <v/>
      </c>
      <c r="H5044">
        <f>IF(A5044="","",E5044&amp;F5044&amp;G5044)</f>
        <v/>
      </c>
      <c r="I5044">
        <f>IF(A5044="","",IF(AND(E5044&gt;=4,F5044&gt;=4,G5044&gt;=4),"Juara",IF(AND(F5044&gt;=4,E5044&gt;=3),"Setia",IF(AND(E5044=5,F5044&lt;=2,G5044&gt;=3),"Berpotensi",IF(AND(E5044&lt;=3,E5044&gt;=2,F5044&gt;=3),"Rawan",IF(AND(E5044&lt;=2,F5044&lt;=2),"Tidur","Umum"))))))</f>
        <v/>
      </c>
    </row>
    <row r="5045">
      <c r="B5045">
        <f>IF(A5045="","",$B$1-MAXIFS(Donasi!$A$2:$A$20000,Donasi!$B$2:$B$20000,A5045))</f>
        <v/>
      </c>
      <c r="C5045">
        <f>IF(A5045="","",COUNTIF(Donasi!$B$2:$B$20000,A5045))</f>
        <v/>
      </c>
      <c r="D5045">
        <f>IF(A5045="","",SUMIF(Donasi!$B$2:$B$20000,A5045,Donasi!$C$2:$C$20000))</f>
        <v/>
      </c>
      <c r="E5045">
        <f>IF(A5045="","",6-CEILING(PERCENTRANK.INC($B$3:$B$6000,B5045,4)*5+0.000001,1))</f>
        <v/>
      </c>
      <c r="F5045">
        <f>IF(A5045="","",MAX(1,CEILING(PERCENTRANK.INC($C$3:$C$6000,C5045,4)*5+0.000001,1)))</f>
        <v/>
      </c>
      <c r="G5045">
        <f>IF(A5045="","",MAX(1,CEILING(PERCENTRANK.INC($D$3:$D$6000,D5045,4)*5+0.000001,1)))</f>
        <v/>
      </c>
      <c r="H5045">
        <f>IF(A5045="","",E5045&amp;F5045&amp;G5045)</f>
        <v/>
      </c>
      <c r="I5045">
        <f>IF(A5045="","",IF(AND(E5045&gt;=4,F5045&gt;=4,G5045&gt;=4),"Juara",IF(AND(F5045&gt;=4,E5045&gt;=3),"Setia",IF(AND(E5045=5,F5045&lt;=2,G5045&gt;=3),"Berpotensi",IF(AND(E5045&lt;=3,E5045&gt;=2,F5045&gt;=3),"Rawan",IF(AND(E5045&lt;=2,F5045&lt;=2),"Tidur","Umum"))))))</f>
        <v/>
      </c>
    </row>
    <row r="5046">
      <c r="B5046">
        <f>IF(A5046="","",$B$1-MAXIFS(Donasi!$A$2:$A$20000,Donasi!$B$2:$B$20000,A5046))</f>
        <v/>
      </c>
      <c r="C5046">
        <f>IF(A5046="","",COUNTIF(Donasi!$B$2:$B$20000,A5046))</f>
        <v/>
      </c>
      <c r="D5046">
        <f>IF(A5046="","",SUMIF(Donasi!$B$2:$B$20000,A5046,Donasi!$C$2:$C$20000))</f>
        <v/>
      </c>
      <c r="E5046">
        <f>IF(A5046="","",6-CEILING(PERCENTRANK.INC($B$3:$B$6000,B5046,4)*5+0.000001,1))</f>
        <v/>
      </c>
      <c r="F5046">
        <f>IF(A5046="","",MAX(1,CEILING(PERCENTRANK.INC($C$3:$C$6000,C5046,4)*5+0.000001,1)))</f>
        <v/>
      </c>
      <c r="G5046">
        <f>IF(A5046="","",MAX(1,CEILING(PERCENTRANK.INC($D$3:$D$6000,D5046,4)*5+0.000001,1)))</f>
        <v/>
      </c>
      <c r="H5046">
        <f>IF(A5046="","",E5046&amp;F5046&amp;G5046)</f>
        <v/>
      </c>
      <c r="I5046">
        <f>IF(A5046="","",IF(AND(E5046&gt;=4,F5046&gt;=4,G5046&gt;=4),"Juara",IF(AND(F5046&gt;=4,E5046&gt;=3),"Setia",IF(AND(E5046=5,F5046&lt;=2,G5046&gt;=3),"Berpotensi",IF(AND(E5046&lt;=3,E5046&gt;=2,F5046&gt;=3),"Rawan",IF(AND(E5046&lt;=2,F5046&lt;=2),"Tidur","Umum"))))))</f>
        <v/>
      </c>
    </row>
    <row r="5047">
      <c r="B5047">
        <f>IF(A5047="","",$B$1-MAXIFS(Donasi!$A$2:$A$20000,Donasi!$B$2:$B$20000,A5047))</f>
        <v/>
      </c>
      <c r="C5047">
        <f>IF(A5047="","",COUNTIF(Donasi!$B$2:$B$20000,A5047))</f>
        <v/>
      </c>
      <c r="D5047">
        <f>IF(A5047="","",SUMIF(Donasi!$B$2:$B$20000,A5047,Donasi!$C$2:$C$20000))</f>
        <v/>
      </c>
      <c r="E5047">
        <f>IF(A5047="","",6-CEILING(PERCENTRANK.INC($B$3:$B$6000,B5047,4)*5+0.000001,1))</f>
        <v/>
      </c>
      <c r="F5047">
        <f>IF(A5047="","",MAX(1,CEILING(PERCENTRANK.INC($C$3:$C$6000,C5047,4)*5+0.000001,1)))</f>
        <v/>
      </c>
      <c r="G5047">
        <f>IF(A5047="","",MAX(1,CEILING(PERCENTRANK.INC($D$3:$D$6000,D5047,4)*5+0.000001,1)))</f>
        <v/>
      </c>
      <c r="H5047">
        <f>IF(A5047="","",E5047&amp;F5047&amp;G5047)</f>
        <v/>
      </c>
      <c r="I5047">
        <f>IF(A5047="","",IF(AND(E5047&gt;=4,F5047&gt;=4,G5047&gt;=4),"Juara",IF(AND(F5047&gt;=4,E5047&gt;=3),"Setia",IF(AND(E5047=5,F5047&lt;=2,G5047&gt;=3),"Berpotensi",IF(AND(E5047&lt;=3,E5047&gt;=2,F5047&gt;=3),"Rawan",IF(AND(E5047&lt;=2,F5047&lt;=2),"Tidur","Umum"))))))</f>
        <v/>
      </c>
    </row>
    <row r="5048">
      <c r="B5048">
        <f>IF(A5048="","",$B$1-MAXIFS(Donasi!$A$2:$A$20000,Donasi!$B$2:$B$20000,A5048))</f>
        <v/>
      </c>
      <c r="C5048">
        <f>IF(A5048="","",COUNTIF(Donasi!$B$2:$B$20000,A5048))</f>
        <v/>
      </c>
      <c r="D5048">
        <f>IF(A5048="","",SUMIF(Donasi!$B$2:$B$20000,A5048,Donasi!$C$2:$C$20000))</f>
        <v/>
      </c>
      <c r="E5048">
        <f>IF(A5048="","",6-CEILING(PERCENTRANK.INC($B$3:$B$6000,B5048,4)*5+0.000001,1))</f>
        <v/>
      </c>
      <c r="F5048">
        <f>IF(A5048="","",MAX(1,CEILING(PERCENTRANK.INC($C$3:$C$6000,C5048,4)*5+0.000001,1)))</f>
        <v/>
      </c>
      <c r="G5048">
        <f>IF(A5048="","",MAX(1,CEILING(PERCENTRANK.INC($D$3:$D$6000,D5048,4)*5+0.000001,1)))</f>
        <v/>
      </c>
      <c r="H5048">
        <f>IF(A5048="","",E5048&amp;F5048&amp;G5048)</f>
        <v/>
      </c>
      <c r="I5048">
        <f>IF(A5048="","",IF(AND(E5048&gt;=4,F5048&gt;=4,G5048&gt;=4),"Juara",IF(AND(F5048&gt;=4,E5048&gt;=3),"Setia",IF(AND(E5048=5,F5048&lt;=2,G5048&gt;=3),"Berpotensi",IF(AND(E5048&lt;=3,E5048&gt;=2,F5048&gt;=3),"Rawan",IF(AND(E5048&lt;=2,F5048&lt;=2),"Tidur","Umum"))))))</f>
        <v/>
      </c>
    </row>
    <row r="5049">
      <c r="B5049">
        <f>IF(A5049="","",$B$1-MAXIFS(Donasi!$A$2:$A$20000,Donasi!$B$2:$B$20000,A5049))</f>
        <v/>
      </c>
      <c r="C5049">
        <f>IF(A5049="","",COUNTIF(Donasi!$B$2:$B$20000,A5049))</f>
        <v/>
      </c>
      <c r="D5049">
        <f>IF(A5049="","",SUMIF(Donasi!$B$2:$B$20000,A5049,Donasi!$C$2:$C$20000))</f>
        <v/>
      </c>
      <c r="E5049">
        <f>IF(A5049="","",6-CEILING(PERCENTRANK.INC($B$3:$B$6000,B5049,4)*5+0.000001,1))</f>
        <v/>
      </c>
      <c r="F5049">
        <f>IF(A5049="","",MAX(1,CEILING(PERCENTRANK.INC($C$3:$C$6000,C5049,4)*5+0.000001,1)))</f>
        <v/>
      </c>
      <c r="G5049">
        <f>IF(A5049="","",MAX(1,CEILING(PERCENTRANK.INC($D$3:$D$6000,D5049,4)*5+0.000001,1)))</f>
        <v/>
      </c>
      <c r="H5049">
        <f>IF(A5049="","",E5049&amp;F5049&amp;G5049)</f>
        <v/>
      </c>
      <c r="I5049">
        <f>IF(A5049="","",IF(AND(E5049&gt;=4,F5049&gt;=4,G5049&gt;=4),"Juara",IF(AND(F5049&gt;=4,E5049&gt;=3),"Setia",IF(AND(E5049=5,F5049&lt;=2,G5049&gt;=3),"Berpotensi",IF(AND(E5049&lt;=3,E5049&gt;=2,F5049&gt;=3),"Rawan",IF(AND(E5049&lt;=2,F5049&lt;=2),"Tidur","Umum"))))))</f>
        <v/>
      </c>
    </row>
    <row r="5050">
      <c r="B5050">
        <f>IF(A5050="","",$B$1-MAXIFS(Donasi!$A$2:$A$20000,Donasi!$B$2:$B$20000,A5050))</f>
        <v/>
      </c>
      <c r="C5050">
        <f>IF(A5050="","",COUNTIF(Donasi!$B$2:$B$20000,A5050))</f>
        <v/>
      </c>
      <c r="D5050">
        <f>IF(A5050="","",SUMIF(Donasi!$B$2:$B$20000,A5050,Donasi!$C$2:$C$20000))</f>
        <v/>
      </c>
      <c r="E5050">
        <f>IF(A5050="","",6-CEILING(PERCENTRANK.INC($B$3:$B$6000,B5050,4)*5+0.000001,1))</f>
        <v/>
      </c>
      <c r="F5050">
        <f>IF(A5050="","",MAX(1,CEILING(PERCENTRANK.INC($C$3:$C$6000,C5050,4)*5+0.000001,1)))</f>
        <v/>
      </c>
      <c r="G5050">
        <f>IF(A5050="","",MAX(1,CEILING(PERCENTRANK.INC($D$3:$D$6000,D5050,4)*5+0.000001,1)))</f>
        <v/>
      </c>
      <c r="H5050">
        <f>IF(A5050="","",E5050&amp;F5050&amp;G5050)</f>
        <v/>
      </c>
      <c r="I5050">
        <f>IF(A5050="","",IF(AND(E5050&gt;=4,F5050&gt;=4,G5050&gt;=4),"Juara",IF(AND(F5050&gt;=4,E5050&gt;=3),"Setia",IF(AND(E5050=5,F5050&lt;=2,G5050&gt;=3),"Berpotensi",IF(AND(E5050&lt;=3,E5050&gt;=2,F5050&gt;=3),"Rawan",IF(AND(E5050&lt;=2,F5050&lt;=2),"Tidur","Umum"))))))</f>
        <v/>
      </c>
    </row>
    <row r="5051">
      <c r="B5051">
        <f>IF(A5051="","",$B$1-MAXIFS(Donasi!$A$2:$A$20000,Donasi!$B$2:$B$20000,A5051))</f>
        <v/>
      </c>
      <c r="C5051">
        <f>IF(A5051="","",COUNTIF(Donasi!$B$2:$B$20000,A5051))</f>
        <v/>
      </c>
      <c r="D5051">
        <f>IF(A5051="","",SUMIF(Donasi!$B$2:$B$20000,A5051,Donasi!$C$2:$C$20000))</f>
        <v/>
      </c>
      <c r="E5051">
        <f>IF(A5051="","",6-CEILING(PERCENTRANK.INC($B$3:$B$6000,B5051,4)*5+0.000001,1))</f>
        <v/>
      </c>
      <c r="F5051">
        <f>IF(A5051="","",MAX(1,CEILING(PERCENTRANK.INC($C$3:$C$6000,C5051,4)*5+0.000001,1)))</f>
        <v/>
      </c>
      <c r="G5051">
        <f>IF(A5051="","",MAX(1,CEILING(PERCENTRANK.INC($D$3:$D$6000,D5051,4)*5+0.000001,1)))</f>
        <v/>
      </c>
      <c r="H5051">
        <f>IF(A5051="","",E5051&amp;F5051&amp;G5051)</f>
        <v/>
      </c>
      <c r="I5051">
        <f>IF(A5051="","",IF(AND(E5051&gt;=4,F5051&gt;=4,G5051&gt;=4),"Juara",IF(AND(F5051&gt;=4,E5051&gt;=3),"Setia",IF(AND(E5051=5,F5051&lt;=2,G5051&gt;=3),"Berpotensi",IF(AND(E5051&lt;=3,E5051&gt;=2,F5051&gt;=3),"Rawan",IF(AND(E5051&lt;=2,F5051&lt;=2),"Tidur","Umum"))))))</f>
        <v/>
      </c>
    </row>
    <row r="5052">
      <c r="B5052">
        <f>IF(A5052="","",$B$1-MAXIFS(Donasi!$A$2:$A$20000,Donasi!$B$2:$B$20000,A5052))</f>
        <v/>
      </c>
      <c r="C5052">
        <f>IF(A5052="","",COUNTIF(Donasi!$B$2:$B$20000,A5052))</f>
        <v/>
      </c>
      <c r="D5052">
        <f>IF(A5052="","",SUMIF(Donasi!$B$2:$B$20000,A5052,Donasi!$C$2:$C$20000))</f>
        <v/>
      </c>
      <c r="E5052">
        <f>IF(A5052="","",6-CEILING(PERCENTRANK.INC($B$3:$B$6000,B5052,4)*5+0.000001,1))</f>
        <v/>
      </c>
      <c r="F5052">
        <f>IF(A5052="","",MAX(1,CEILING(PERCENTRANK.INC($C$3:$C$6000,C5052,4)*5+0.000001,1)))</f>
        <v/>
      </c>
      <c r="G5052">
        <f>IF(A5052="","",MAX(1,CEILING(PERCENTRANK.INC($D$3:$D$6000,D5052,4)*5+0.000001,1)))</f>
        <v/>
      </c>
      <c r="H5052">
        <f>IF(A5052="","",E5052&amp;F5052&amp;G5052)</f>
        <v/>
      </c>
      <c r="I5052">
        <f>IF(A5052="","",IF(AND(E5052&gt;=4,F5052&gt;=4,G5052&gt;=4),"Juara",IF(AND(F5052&gt;=4,E5052&gt;=3),"Setia",IF(AND(E5052=5,F5052&lt;=2,G5052&gt;=3),"Berpotensi",IF(AND(E5052&lt;=3,E5052&gt;=2,F5052&gt;=3),"Rawan",IF(AND(E5052&lt;=2,F5052&lt;=2),"Tidur","Umum"))))))</f>
        <v/>
      </c>
    </row>
    <row r="5053">
      <c r="B5053">
        <f>IF(A5053="","",$B$1-MAXIFS(Donasi!$A$2:$A$20000,Donasi!$B$2:$B$20000,A5053))</f>
        <v/>
      </c>
      <c r="C5053">
        <f>IF(A5053="","",COUNTIF(Donasi!$B$2:$B$20000,A5053))</f>
        <v/>
      </c>
      <c r="D5053">
        <f>IF(A5053="","",SUMIF(Donasi!$B$2:$B$20000,A5053,Donasi!$C$2:$C$20000))</f>
        <v/>
      </c>
      <c r="E5053">
        <f>IF(A5053="","",6-CEILING(PERCENTRANK.INC($B$3:$B$6000,B5053,4)*5+0.000001,1))</f>
        <v/>
      </c>
      <c r="F5053">
        <f>IF(A5053="","",MAX(1,CEILING(PERCENTRANK.INC($C$3:$C$6000,C5053,4)*5+0.000001,1)))</f>
        <v/>
      </c>
      <c r="G5053">
        <f>IF(A5053="","",MAX(1,CEILING(PERCENTRANK.INC($D$3:$D$6000,D5053,4)*5+0.000001,1)))</f>
        <v/>
      </c>
      <c r="H5053">
        <f>IF(A5053="","",E5053&amp;F5053&amp;G5053)</f>
        <v/>
      </c>
      <c r="I5053">
        <f>IF(A5053="","",IF(AND(E5053&gt;=4,F5053&gt;=4,G5053&gt;=4),"Juara",IF(AND(F5053&gt;=4,E5053&gt;=3),"Setia",IF(AND(E5053=5,F5053&lt;=2,G5053&gt;=3),"Berpotensi",IF(AND(E5053&lt;=3,E5053&gt;=2,F5053&gt;=3),"Rawan",IF(AND(E5053&lt;=2,F5053&lt;=2),"Tidur","Umum"))))))</f>
        <v/>
      </c>
    </row>
    <row r="5054">
      <c r="B5054">
        <f>IF(A5054="","",$B$1-MAXIFS(Donasi!$A$2:$A$20000,Donasi!$B$2:$B$20000,A5054))</f>
        <v/>
      </c>
      <c r="C5054">
        <f>IF(A5054="","",COUNTIF(Donasi!$B$2:$B$20000,A5054))</f>
        <v/>
      </c>
      <c r="D5054">
        <f>IF(A5054="","",SUMIF(Donasi!$B$2:$B$20000,A5054,Donasi!$C$2:$C$20000))</f>
        <v/>
      </c>
      <c r="E5054">
        <f>IF(A5054="","",6-CEILING(PERCENTRANK.INC($B$3:$B$6000,B5054,4)*5+0.000001,1))</f>
        <v/>
      </c>
      <c r="F5054">
        <f>IF(A5054="","",MAX(1,CEILING(PERCENTRANK.INC($C$3:$C$6000,C5054,4)*5+0.000001,1)))</f>
        <v/>
      </c>
      <c r="G5054">
        <f>IF(A5054="","",MAX(1,CEILING(PERCENTRANK.INC($D$3:$D$6000,D5054,4)*5+0.000001,1)))</f>
        <v/>
      </c>
      <c r="H5054">
        <f>IF(A5054="","",E5054&amp;F5054&amp;G5054)</f>
        <v/>
      </c>
      <c r="I5054">
        <f>IF(A5054="","",IF(AND(E5054&gt;=4,F5054&gt;=4,G5054&gt;=4),"Juara",IF(AND(F5054&gt;=4,E5054&gt;=3),"Setia",IF(AND(E5054=5,F5054&lt;=2,G5054&gt;=3),"Berpotensi",IF(AND(E5054&lt;=3,E5054&gt;=2,F5054&gt;=3),"Rawan",IF(AND(E5054&lt;=2,F5054&lt;=2),"Tidur","Umum"))))))</f>
        <v/>
      </c>
    </row>
    <row r="5055">
      <c r="B5055">
        <f>IF(A5055="","",$B$1-MAXIFS(Donasi!$A$2:$A$20000,Donasi!$B$2:$B$20000,A5055))</f>
        <v/>
      </c>
      <c r="C5055">
        <f>IF(A5055="","",COUNTIF(Donasi!$B$2:$B$20000,A5055))</f>
        <v/>
      </c>
      <c r="D5055">
        <f>IF(A5055="","",SUMIF(Donasi!$B$2:$B$20000,A5055,Donasi!$C$2:$C$20000))</f>
        <v/>
      </c>
      <c r="E5055">
        <f>IF(A5055="","",6-CEILING(PERCENTRANK.INC($B$3:$B$6000,B5055,4)*5+0.000001,1))</f>
        <v/>
      </c>
      <c r="F5055">
        <f>IF(A5055="","",MAX(1,CEILING(PERCENTRANK.INC($C$3:$C$6000,C5055,4)*5+0.000001,1)))</f>
        <v/>
      </c>
      <c r="G5055">
        <f>IF(A5055="","",MAX(1,CEILING(PERCENTRANK.INC($D$3:$D$6000,D5055,4)*5+0.000001,1)))</f>
        <v/>
      </c>
      <c r="H5055">
        <f>IF(A5055="","",E5055&amp;F5055&amp;G5055)</f>
        <v/>
      </c>
      <c r="I5055">
        <f>IF(A5055="","",IF(AND(E5055&gt;=4,F5055&gt;=4,G5055&gt;=4),"Juara",IF(AND(F5055&gt;=4,E5055&gt;=3),"Setia",IF(AND(E5055=5,F5055&lt;=2,G5055&gt;=3),"Berpotensi",IF(AND(E5055&lt;=3,E5055&gt;=2,F5055&gt;=3),"Rawan",IF(AND(E5055&lt;=2,F5055&lt;=2),"Tidur","Umum"))))))</f>
        <v/>
      </c>
    </row>
    <row r="5056">
      <c r="B5056">
        <f>IF(A5056="","",$B$1-MAXIFS(Donasi!$A$2:$A$20000,Donasi!$B$2:$B$20000,A5056))</f>
        <v/>
      </c>
      <c r="C5056">
        <f>IF(A5056="","",COUNTIF(Donasi!$B$2:$B$20000,A5056))</f>
        <v/>
      </c>
      <c r="D5056">
        <f>IF(A5056="","",SUMIF(Donasi!$B$2:$B$20000,A5056,Donasi!$C$2:$C$20000))</f>
        <v/>
      </c>
      <c r="E5056">
        <f>IF(A5056="","",6-CEILING(PERCENTRANK.INC($B$3:$B$6000,B5056,4)*5+0.000001,1))</f>
        <v/>
      </c>
      <c r="F5056">
        <f>IF(A5056="","",MAX(1,CEILING(PERCENTRANK.INC($C$3:$C$6000,C5056,4)*5+0.000001,1)))</f>
        <v/>
      </c>
      <c r="G5056">
        <f>IF(A5056="","",MAX(1,CEILING(PERCENTRANK.INC($D$3:$D$6000,D5056,4)*5+0.000001,1)))</f>
        <v/>
      </c>
      <c r="H5056">
        <f>IF(A5056="","",E5056&amp;F5056&amp;G5056)</f>
        <v/>
      </c>
      <c r="I5056">
        <f>IF(A5056="","",IF(AND(E5056&gt;=4,F5056&gt;=4,G5056&gt;=4),"Juara",IF(AND(F5056&gt;=4,E5056&gt;=3),"Setia",IF(AND(E5056=5,F5056&lt;=2,G5056&gt;=3),"Berpotensi",IF(AND(E5056&lt;=3,E5056&gt;=2,F5056&gt;=3),"Rawan",IF(AND(E5056&lt;=2,F5056&lt;=2),"Tidur","Umum"))))))</f>
        <v/>
      </c>
    </row>
    <row r="5057">
      <c r="B5057">
        <f>IF(A5057="","",$B$1-MAXIFS(Donasi!$A$2:$A$20000,Donasi!$B$2:$B$20000,A5057))</f>
        <v/>
      </c>
      <c r="C5057">
        <f>IF(A5057="","",COUNTIF(Donasi!$B$2:$B$20000,A5057))</f>
        <v/>
      </c>
      <c r="D5057">
        <f>IF(A5057="","",SUMIF(Donasi!$B$2:$B$20000,A5057,Donasi!$C$2:$C$20000))</f>
        <v/>
      </c>
      <c r="E5057">
        <f>IF(A5057="","",6-CEILING(PERCENTRANK.INC($B$3:$B$6000,B5057,4)*5+0.000001,1))</f>
        <v/>
      </c>
      <c r="F5057">
        <f>IF(A5057="","",MAX(1,CEILING(PERCENTRANK.INC($C$3:$C$6000,C5057,4)*5+0.000001,1)))</f>
        <v/>
      </c>
      <c r="G5057">
        <f>IF(A5057="","",MAX(1,CEILING(PERCENTRANK.INC($D$3:$D$6000,D5057,4)*5+0.000001,1)))</f>
        <v/>
      </c>
      <c r="H5057">
        <f>IF(A5057="","",E5057&amp;F5057&amp;G5057)</f>
        <v/>
      </c>
      <c r="I5057">
        <f>IF(A5057="","",IF(AND(E5057&gt;=4,F5057&gt;=4,G5057&gt;=4),"Juara",IF(AND(F5057&gt;=4,E5057&gt;=3),"Setia",IF(AND(E5057=5,F5057&lt;=2,G5057&gt;=3),"Berpotensi",IF(AND(E5057&lt;=3,E5057&gt;=2,F5057&gt;=3),"Rawan",IF(AND(E5057&lt;=2,F5057&lt;=2),"Tidur","Umum"))))))</f>
        <v/>
      </c>
    </row>
    <row r="5058">
      <c r="B5058">
        <f>IF(A5058="","",$B$1-MAXIFS(Donasi!$A$2:$A$20000,Donasi!$B$2:$B$20000,A5058))</f>
        <v/>
      </c>
      <c r="C5058">
        <f>IF(A5058="","",COUNTIF(Donasi!$B$2:$B$20000,A5058))</f>
        <v/>
      </c>
      <c r="D5058">
        <f>IF(A5058="","",SUMIF(Donasi!$B$2:$B$20000,A5058,Donasi!$C$2:$C$20000))</f>
        <v/>
      </c>
      <c r="E5058">
        <f>IF(A5058="","",6-CEILING(PERCENTRANK.INC($B$3:$B$6000,B5058,4)*5+0.000001,1))</f>
        <v/>
      </c>
      <c r="F5058">
        <f>IF(A5058="","",MAX(1,CEILING(PERCENTRANK.INC($C$3:$C$6000,C5058,4)*5+0.000001,1)))</f>
        <v/>
      </c>
      <c r="G5058">
        <f>IF(A5058="","",MAX(1,CEILING(PERCENTRANK.INC($D$3:$D$6000,D5058,4)*5+0.000001,1)))</f>
        <v/>
      </c>
      <c r="H5058">
        <f>IF(A5058="","",E5058&amp;F5058&amp;G5058)</f>
        <v/>
      </c>
      <c r="I5058">
        <f>IF(A5058="","",IF(AND(E5058&gt;=4,F5058&gt;=4,G5058&gt;=4),"Juara",IF(AND(F5058&gt;=4,E5058&gt;=3),"Setia",IF(AND(E5058=5,F5058&lt;=2,G5058&gt;=3),"Berpotensi",IF(AND(E5058&lt;=3,E5058&gt;=2,F5058&gt;=3),"Rawan",IF(AND(E5058&lt;=2,F5058&lt;=2),"Tidur","Umum"))))))</f>
        <v/>
      </c>
    </row>
    <row r="5059">
      <c r="B5059">
        <f>IF(A5059="","",$B$1-MAXIFS(Donasi!$A$2:$A$20000,Donasi!$B$2:$B$20000,A5059))</f>
        <v/>
      </c>
      <c r="C5059">
        <f>IF(A5059="","",COUNTIF(Donasi!$B$2:$B$20000,A5059))</f>
        <v/>
      </c>
      <c r="D5059">
        <f>IF(A5059="","",SUMIF(Donasi!$B$2:$B$20000,A5059,Donasi!$C$2:$C$20000))</f>
        <v/>
      </c>
      <c r="E5059">
        <f>IF(A5059="","",6-CEILING(PERCENTRANK.INC($B$3:$B$6000,B5059,4)*5+0.000001,1))</f>
        <v/>
      </c>
      <c r="F5059">
        <f>IF(A5059="","",MAX(1,CEILING(PERCENTRANK.INC($C$3:$C$6000,C5059,4)*5+0.000001,1)))</f>
        <v/>
      </c>
      <c r="G5059">
        <f>IF(A5059="","",MAX(1,CEILING(PERCENTRANK.INC($D$3:$D$6000,D5059,4)*5+0.000001,1)))</f>
        <v/>
      </c>
      <c r="H5059">
        <f>IF(A5059="","",E5059&amp;F5059&amp;G5059)</f>
        <v/>
      </c>
      <c r="I5059">
        <f>IF(A5059="","",IF(AND(E5059&gt;=4,F5059&gt;=4,G5059&gt;=4),"Juara",IF(AND(F5059&gt;=4,E5059&gt;=3),"Setia",IF(AND(E5059=5,F5059&lt;=2,G5059&gt;=3),"Berpotensi",IF(AND(E5059&lt;=3,E5059&gt;=2,F5059&gt;=3),"Rawan",IF(AND(E5059&lt;=2,F5059&lt;=2),"Tidur","Umum"))))))</f>
        <v/>
      </c>
    </row>
    <row r="5060">
      <c r="B5060">
        <f>IF(A5060="","",$B$1-MAXIFS(Donasi!$A$2:$A$20000,Donasi!$B$2:$B$20000,A5060))</f>
        <v/>
      </c>
      <c r="C5060">
        <f>IF(A5060="","",COUNTIF(Donasi!$B$2:$B$20000,A5060))</f>
        <v/>
      </c>
      <c r="D5060">
        <f>IF(A5060="","",SUMIF(Donasi!$B$2:$B$20000,A5060,Donasi!$C$2:$C$20000))</f>
        <v/>
      </c>
      <c r="E5060">
        <f>IF(A5060="","",6-CEILING(PERCENTRANK.INC($B$3:$B$6000,B5060,4)*5+0.000001,1))</f>
        <v/>
      </c>
      <c r="F5060">
        <f>IF(A5060="","",MAX(1,CEILING(PERCENTRANK.INC($C$3:$C$6000,C5060,4)*5+0.000001,1)))</f>
        <v/>
      </c>
      <c r="G5060">
        <f>IF(A5060="","",MAX(1,CEILING(PERCENTRANK.INC($D$3:$D$6000,D5060,4)*5+0.000001,1)))</f>
        <v/>
      </c>
      <c r="H5060">
        <f>IF(A5060="","",E5060&amp;F5060&amp;G5060)</f>
        <v/>
      </c>
      <c r="I5060">
        <f>IF(A5060="","",IF(AND(E5060&gt;=4,F5060&gt;=4,G5060&gt;=4),"Juara",IF(AND(F5060&gt;=4,E5060&gt;=3),"Setia",IF(AND(E5060=5,F5060&lt;=2,G5060&gt;=3),"Berpotensi",IF(AND(E5060&lt;=3,E5060&gt;=2,F5060&gt;=3),"Rawan",IF(AND(E5060&lt;=2,F5060&lt;=2),"Tidur","Umum"))))))</f>
        <v/>
      </c>
    </row>
    <row r="5061">
      <c r="B5061">
        <f>IF(A5061="","",$B$1-MAXIFS(Donasi!$A$2:$A$20000,Donasi!$B$2:$B$20000,A5061))</f>
        <v/>
      </c>
      <c r="C5061">
        <f>IF(A5061="","",COUNTIF(Donasi!$B$2:$B$20000,A5061))</f>
        <v/>
      </c>
      <c r="D5061">
        <f>IF(A5061="","",SUMIF(Donasi!$B$2:$B$20000,A5061,Donasi!$C$2:$C$20000))</f>
        <v/>
      </c>
      <c r="E5061">
        <f>IF(A5061="","",6-CEILING(PERCENTRANK.INC($B$3:$B$6000,B5061,4)*5+0.000001,1))</f>
        <v/>
      </c>
      <c r="F5061">
        <f>IF(A5061="","",MAX(1,CEILING(PERCENTRANK.INC($C$3:$C$6000,C5061,4)*5+0.000001,1)))</f>
        <v/>
      </c>
      <c r="G5061">
        <f>IF(A5061="","",MAX(1,CEILING(PERCENTRANK.INC($D$3:$D$6000,D5061,4)*5+0.000001,1)))</f>
        <v/>
      </c>
      <c r="H5061">
        <f>IF(A5061="","",E5061&amp;F5061&amp;G5061)</f>
        <v/>
      </c>
      <c r="I5061">
        <f>IF(A5061="","",IF(AND(E5061&gt;=4,F5061&gt;=4,G5061&gt;=4),"Juara",IF(AND(F5061&gt;=4,E5061&gt;=3),"Setia",IF(AND(E5061=5,F5061&lt;=2,G5061&gt;=3),"Berpotensi",IF(AND(E5061&lt;=3,E5061&gt;=2,F5061&gt;=3),"Rawan",IF(AND(E5061&lt;=2,F5061&lt;=2),"Tidur","Umum"))))))</f>
        <v/>
      </c>
    </row>
    <row r="5062">
      <c r="B5062">
        <f>IF(A5062="","",$B$1-MAXIFS(Donasi!$A$2:$A$20000,Donasi!$B$2:$B$20000,A5062))</f>
        <v/>
      </c>
      <c r="C5062">
        <f>IF(A5062="","",COUNTIF(Donasi!$B$2:$B$20000,A5062))</f>
        <v/>
      </c>
      <c r="D5062">
        <f>IF(A5062="","",SUMIF(Donasi!$B$2:$B$20000,A5062,Donasi!$C$2:$C$20000))</f>
        <v/>
      </c>
      <c r="E5062">
        <f>IF(A5062="","",6-CEILING(PERCENTRANK.INC($B$3:$B$6000,B5062,4)*5+0.000001,1))</f>
        <v/>
      </c>
      <c r="F5062">
        <f>IF(A5062="","",MAX(1,CEILING(PERCENTRANK.INC($C$3:$C$6000,C5062,4)*5+0.000001,1)))</f>
        <v/>
      </c>
      <c r="G5062">
        <f>IF(A5062="","",MAX(1,CEILING(PERCENTRANK.INC($D$3:$D$6000,D5062,4)*5+0.000001,1)))</f>
        <v/>
      </c>
      <c r="H5062">
        <f>IF(A5062="","",E5062&amp;F5062&amp;G5062)</f>
        <v/>
      </c>
      <c r="I5062">
        <f>IF(A5062="","",IF(AND(E5062&gt;=4,F5062&gt;=4,G5062&gt;=4),"Juara",IF(AND(F5062&gt;=4,E5062&gt;=3),"Setia",IF(AND(E5062=5,F5062&lt;=2,G5062&gt;=3),"Berpotensi",IF(AND(E5062&lt;=3,E5062&gt;=2,F5062&gt;=3),"Rawan",IF(AND(E5062&lt;=2,F5062&lt;=2),"Tidur","Umum"))))))</f>
        <v/>
      </c>
    </row>
    <row r="5063">
      <c r="B5063">
        <f>IF(A5063="","",$B$1-MAXIFS(Donasi!$A$2:$A$20000,Donasi!$B$2:$B$20000,A5063))</f>
        <v/>
      </c>
      <c r="C5063">
        <f>IF(A5063="","",COUNTIF(Donasi!$B$2:$B$20000,A5063))</f>
        <v/>
      </c>
      <c r="D5063">
        <f>IF(A5063="","",SUMIF(Donasi!$B$2:$B$20000,A5063,Donasi!$C$2:$C$20000))</f>
        <v/>
      </c>
      <c r="E5063">
        <f>IF(A5063="","",6-CEILING(PERCENTRANK.INC($B$3:$B$6000,B5063,4)*5+0.000001,1))</f>
        <v/>
      </c>
      <c r="F5063">
        <f>IF(A5063="","",MAX(1,CEILING(PERCENTRANK.INC($C$3:$C$6000,C5063,4)*5+0.000001,1)))</f>
        <v/>
      </c>
      <c r="G5063">
        <f>IF(A5063="","",MAX(1,CEILING(PERCENTRANK.INC($D$3:$D$6000,D5063,4)*5+0.000001,1)))</f>
        <v/>
      </c>
      <c r="H5063">
        <f>IF(A5063="","",E5063&amp;F5063&amp;G5063)</f>
        <v/>
      </c>
      <c r="I5063">
        <f>IF(A5063="","",IF(AND(E5063&gt;=4,F5063&gt;=4,G5063&gt;=4),"Juara",IF(AND(F5063&gt;=4,E5063&gt;=3),"Setia",IF(AND(E5063=5,F5063&lt;=2,G5063&gt;=3),"Berpotensi",IF(AND(E5063&lt;=3,E5063&gt;=2,F5063&gt;=3),"Rawan",IF(AND(E5063&lt;=2,F5063&lt;=2),"Tidur","Umum"))))))</f>
        <v/>
      </c>
    </row>
    <row r="5064">
      <c r="B5064">
        <f>IF(A5064="","",$B$1-MAXIFS(Donasi!$A$2:$A$20000,Donasi!$B$2:$B$20000,A5064))</f>
        <v/>
      </c>
      <c r="C5064">
        <f>IF(A5064="","",COUNTIF(Donasi!$B$2:$B$20000,A5064))</f>
        <v/>
      </c>
      <c r="D5064">
        <f>IF(A5064="","",SUMIF(Donasi!$B$2:$B$20000,A5064,Donasi!$C$2:$C$20000))</f>
        <v/>
      </c>
      <c r="E5064">
        <f>IF(A5064="","",6-CEILING(PERCENTRANK.INC($B$3:$B$6000,B5064,4)*5+0.000001,1))</f>
        <v/>
      </c>
      <c r="F5064">
        <f>IF(A5064="","",MAX(1,CEILING(PERCENTRANK.INC($C$3:$C$6000,C5064,4)*5+0.000001,1)))</f>
        <v/>
      </c>
      <c r="G5064">
        <f>IF(A5064="","",MAX(1,CEILING(PERCENTRANK.INC($D$3:$D$6000,D5064,4)*5+0.000001,1)))</f>
        <v/>
      </c>
      <c r="H5064">
        <f>IF(A5064="","",E5064&amp;F5064&amp;G5064)</f>
        <v/>
      </c>
      <c r="I5064">
        <f>IF(A5064="","",IF(AND(E5064&gt;=4,F5064&gt;=4,G5064&gt;=4),"Juara",IF(AND(F5064&gt;=4,E5064&gt;=3),"Setia",IF(AND(E5064=5,F5064&lt;=2,G5064&gt;=3),"Berpotensi",IF(AND(E5064&lt;=3,E5064&gt;=2,F5064&gt;=3),"Rawan",IF(AND(E5064&lt;=2,F5064&lt;=2),"Tidur","Umum"))))))</f>
        <v/>
      </c>
    </row>
    <row r="5065">
      <c r="B5065">
        <f>IF(A5065="","",$B$1-MAXIFS(Donasi!$A$2:$A$20000,Donasi!$B$2:$B$20000,A5065))</f>
        <v/>
      </c>
      <c r="C5065">
        <f>IF(A5065="","",COUNTIF(Donasi!$B$2:$B$20000,A5065))</f>
        <v/>
      </c>
      <c r="D5065">
        <f>IF(A5065="","",SUMIF(Donasi!$B$2:$B$20000,A5065,Donasi!$C$2:$C$20000))</f>
        <v/>
      </c>
      <c r="E5065">
        <f>IF(A5065="","",6-CEILING(PERCENTRANK.INC($B$3:$B$6000,B5065,4)*5+0.000001,1))</f>
        <v/>
      </c>
      <c r="F5065">
        <f>IF(A5065="","",MAX(1,CEILING(PERCENTRANK.INC($C$3:$C$6000,C5065,4)*5+0.000001,1)))</f>
        <v/>
      </c>
      <c r="G5065">
        <f>IF(A5065="","",MAX(1,CEILING(PERCENTRANK.INC($D$3:$D$6000,D5065,4)*5+0.000001,1)))</f>
        <v/>
      </c>
      <c r="H5065">
        <f>IF(A5065="","",E5065&amp;F5065&amp;G5065)</f>
        <v/>
      </c>
      <c r="I5065">
        <f>IF(A5065="","",IF(AND(E5065&gt;=4,F5065&gt;=4,G5065&gt;=4),"Juara",IF(AND(F5065&gt;=4,E5065&gt;=3),"Setia",IF(AND(E5065=5,F5065&lt;=2,G5065&gt;=3),"Berpotensi",IF(AND(E5065&lt;=3,E5065&gt;=2,F5065&gt;=3),"Rawan",IF(AND(E5065&lt;=2,F5065&lt;=2),"Tidur","Umum"))))))</f>
        <v/>
      </c>
    </row>
    <row r="5066">
      <c r="B5066">
        <f>IF(A5066="","",$B$1-MAXIFS(Donasi!$A$2:$A$20000,Donasi!$B$2:$B$20000,A5066))</f>
        <v/>
      </c>
      <c r="C5066">
        <f>IF(A5066="","",COUNTIF(Donasi!$B$2:$B$20000,A5066))</f>
        <v/>
      </c>
      <c r="D5066">
        <f>IF(A5066="","",SUMIF(Donasi!$B$2:$B$20000,A5066,Donasi!$C$2:$C$20000))</f>
        <v/>
      </c>
      <c r="E5066">
        <f>IF(A5066="","",6-CEILING(PERCENTRANK.INC($B$3:$B$6000,B5066,4)*5+0.000001,1))</f>
        <v/>
      </c>
      <c r="F5066">
        <f>IF(A5066="","",MAX(1,CEILING(PERCENTRANK.INC($C$3:$C$6000,C5066,4)*5+0.000001,1)))</f>
        <v/>
      </c>
      <c r="G5066">
        <f>IF(A5066="","",MAX(1,CEILING(PERCENTRANK.INC($D$3:$D$6000,D5066,4)*5+0.000001,1)))</f>
        <v/>
      </c>
      <c r="H5066">
        <f>IF(A5066="","",E5066&amp;F5066&amp;G5066)</f>
        <v/>
      </c>
      <c r="I5066">
        <f>IF(A5066="","",IF(AND(E5066&gt;=4,F5066&gt;=4,G5066&gt;=4),"Juara",IF(AND(F5066&gt;=4,E5066&gt;=3),"Setia",IF(AND(E5066=5,F5066&lt;=2,G5066&gt;=3),"Berpotensi",IF(AND(E5066&lt;=3,E5066&gt;=2,F5066&gt;=3),"Rawan",IF(AND(E5066&lt;=2,F5066&lt;=2),"Tidur","Umum"))))))</f>
        <v/>
      </c>
    </row>
    <row r="5067">
      <c r="B5067">
        <f>IF(A5067="","",$B$1-MAXIFS(Donasi!$A$2:$A$20000,Donasi!$B$2:$B$20000,A5067))</f>
        <v/>
      </c>
      <c r="C5067">
        <f>IF(A5067="","",COUNTIF(Donasi!$B$2:$B$20000,A5067))</f>
        <v/>
      </c>
      <c r="D5067">
        <f>IF(A5067="","",SUMIF(Donasi!$B$2:$B$20000,A5067,Donasi!$C$2:$C$20000))</f>
        <v/>
      </c>
      <c r="E5067">
        <f>IF(A5067="","",6-CEILING(PERCENTRANK.INC($B$3:$B$6000,B5067,4)*5+0.000001,1))</f>
        <v/>
      </c>
      <c r="F5067">
        <f>IF(A5067="","",MAX(1,CEILING(PERCENTRANK.INC($C$3:$C$6000,C5067,4)*5+0.000001,1)))</f>
        <v/>
      </c>
      <c r="G5067">
        <f>IF(A5067="","",MAX(1,CEILING(PERCENTRANK.INC($D$3:$D$6000,D5067,4)*5+0.000001,1)))</f>
        <v/>
      </c>
      <c r="H5067">
        <f>IF(A5067="","",E5067&amp;F5067&amp;G5067)</f>
        <v/>
      </c>
      <c r="I5067">
        <f>IF(A5067="","",IF(AND(E5067&gt;=4,F5067&gt;=4,G5067&gt;=4),"Juara",IF(AND(F5067&gt;=4,E5067&gt;=3),"Setia",IF(AND(E5067=5,F5067&lt;=2,G5067&gt;=3),"Berpotensi",IF(AND(E5067&lt;=3,E5067&gt;=2,F5067&gt;=3),"Rawan",IF(AND(E5067&lt;=2,F5067&lt;=2),"Tidur","Umum"))))))</f>
        <v/>
      </c>
    </row>
    <row r="5068">
      <c r="B5068">
        <f>IF(A5068="","",$B$1-MAXIFS(Donasi!$A$2:$A$20000,Donasi!$B$2:$B$20000,A5068))</f>
        <v/>
      </c>
      <c r="C5068">
        <f>IF(A5068="","",COUNTIF(Donasi!$B$2:$B$20000,A5068))</f>
        <v/>
      </c>
      <c r="D5068">
        <f>IF(A5068="","",SUMIF(Donasi!$B$2:$B$20000,A5068,Donasi!$C$2:$C$20000))</f>
        <v/>
      </c>
      <c r="E5068">
        <f>IF(A5068="","",6-CEILING(PERCENTRANK.INC($B$3:$B$6000,B5068,4)*5+0.000001,1))</f>
        <v/>
      </c>
      <c r="F5068">
        <f>IF(A5068="","",MAX(1,CEILING(PERCENTRANK.INC($C$3:$C$6000,C5068,4)*5+0.000001,1)))</f>
        <v/>
      </c>
      <c r="G5068">
        <f>IF(A5068="","",MAX(1,CEILING(PERCENTRANK.INC($D$3:$D$6000,D5068,4)*5+0.000001,1)))</f>
        <v/>
      </c>
      <c r="H5068">
        <f>IF(A5068="","",E5068&amp;F5068&amp;G5068)</f>
        <v/>
      </c>
      <c r="I5068">
        <f>IF(A5068="","",IF(AND(E5068&gt;=4,F5068&gt;=4,G5068&gt;=4),"Juara",IF(AND(F5068&gt;=4,E5068&gt;=3),"Setia",IF(AND(E5068=5,F5068&lt;=2,G5068&gt;=3),"Berpotensi",IF(AND(E5068&lt;=3,E5068&gt;=2,F5068&gt;=3),"Rawan",IF(AND(E5068&lt;=2,F5068&lt;=2),"Tidur","Umum"))))))</f>
        <v/>
      </c>
    </row>
    <row r="5069">
      <c r="B5069">
        <f>IF(A5069="","",$B$1-MAXIFS(Donasi!$A$2:$A$20000,Donasi!$B$2:$B$20000,A5069))</f>
        <v/>
      </c>
      <c r="C5069">
        <f>IF(A5069="","",COUNTIF(Donasi!$B$2:$B$20000,A5069))</f>
        <v/>
      </c>
      <c r="D5069">
        <f>IF(A5069="","",SUMIF(Donasi!$B$2:$B$20000,A5069,Donasi!$C$2:$C$20000))</f>
        <v/>
      </c>
      <c r="E5069">
        <f>IF(A5069="","",6-CEILING(PERCENTRANK.INC($B$3:$B$6000,B5069,4)*5+0.000001,1))</f>
        <v/>
      </c>
      <c r="F5069">
        <f>IF(A5069="","",MAX(1,CEILING(PERCENTRANK.INC($C$3:$C$6000,C5069,4)*5+0.000001,1)))</f>
        <v/>
      </c>
      <c r="G5069">
        <f>IF(A5069="","",MAX(1,CEILING(PERCENTRANK.INC($D$3:$D$6000,D5069,4)*5+0.000001,1)))</f>
        <v/>
      </c>
      <c r="H5069">
        <f>IF(A5069="","",E5069&amp;F5069&amp;G5069)</f>
        <v/>
      </c>
      <c r="I5069">
        <f>IF(A5069="","",IF(AND(E5069&gt;=4,F5069&gt;=4,G5069&gt;=4),"Juara",IF(AND(F5069&gt;=4,E5069&gt;=3),"Setia",IF(AND(E5069=5,F5069&lt;=2,G5069&gt;=3),"Berpotensi",IF(AND(E5069&lt;=3,E5069&gt;=2,F5069&gt;=3),"Rawan",IF(AND(E5069&lt;=2,F5069&lt;=2),"Tidur","Umum"))))))</f>
        <v/>
      </c>
    </row>
    <row r="5070">
      <c r="B5070">
        <f>IF(A5070="","",$B$1-MAXIFS(Donasi!$A$2:$A$20000,Donasi!$B$2:$B$20000,A5070))</f>
        <v/>
      </c>
      <c r="C5070">
        <f>IF(A5070="","",COUNTIF(Donasi!$B$2:$B$20000,A5070))</f>
        <v/>
      </c>
      <c r="D5070">
        <f>IF(A5070="","",SUMIF(Donasi!$B$2:$B$20000,A5070,Donasi!$C$2:$C$20000))</f>
        <v/>
      </c>
      <c r="E5070">
        <f>IF(A5070="","",6-CEILING(PERCENTRANK.INC($B$3:$B$6000,B5070,4)*5+0.000001,1))</f>
        <v/>
      </c>
      <c r="F5070">
        <f>IF(A5070="","",MAX(1,CEILING(PERCENTRANK.INC($C$3:$C$6000,C5070,4)*5+0.000001,1)))</f>
        <v/>
      </c>
      <c r="G5070">
        <f>IF(A5070="","",MAX(1,CEILING(PERCENTRANK.INC($D$3:$D$6000,D5070,4)*5+0.000001,1)))</f>
        <v/>
      </c>
      <c r="H5070">
        <f>IF(A5070="","",E5070&amp;F5070&amp;G5070)</f>
        <v/>
      </c>
      <c r="I5070">
        <f>IF(A5070="","",IF(AND(E5070&gt;=4,F5070&gt;=4,G5070&gt;=4),"Juara",IF(AND(F5070&gt;=4,E5070&gt;=3),"Setia",IF(AND(E5070=5,F5070&lt;=2,G5070&gt;=3),"Berpotensi",IF(AND(E5070&lt;=3,E5070&gt;=2,F5070&gt;=3),"Rawan",IF(AND(E5070&lt;=2,F5070&lt;=2),"Tidur","Umum"))))))</f>
        <v/>
      </c>
    </row>
    <row r="5071">
      <c r="B5071">
        <f>IF(A5071="","",$B$1-MAXIFS(Donasi!$A$2:$A$20000,Donasi!$B$2:$B$20000,A5071))</f>
        <v/>
      </c>
      <c r="C5071">
        <f>IF(A5071="","",COUNTIF(Donasi!$B$2:$B$20000,A5071))</f>
        <v/>
      </c>
      <c r="D5071">
        <f>IF(A5071="","",SUMIF(Donasi!$B$2:$B$20000,A5071,Donasi!$C$2:$C$20000))</f>
        <v/>
      </c>
      <c r="E5071">
        <f>IF(A5071="","",6-CEILING(PERCENTRANK.INC($B$3:$B$6000,B5071,4)*5+0.000001,1))</f>
        <v/>
      </c>
      <c r="F5071">
        <f>IF(A5071="","",MAX(1,CEILING(PERCENTRANK.INC($C$3:$C$6000,C5071,4)*5+0.000001,1)))</f>
        <v/>
      </c>
      <c r="G5071">
        <f>IF(A5071="","",MAX(1,CEILING(PERCENTRANK.INC($D$3:$D$6000,D5071,4)*5+0.000001,1)))</f>
        <v/>
      </c>
      <c r="H5071">
        <f>IF(A5071="","",E5071&amp;F5071&amp;G5071)</f>
        <v/>
      </c>
      <c r="I5071">
        <f>IF(A5071="","",IF(AND(E5071&gt;=4,F5071&gt;=4,G5071&gt;=4),"Juara",IF(AND(F5071&gt;=4,E5071&gt;=3),"Setia",IF(AND(E5071=5,F5071&lt;=2,G5071&gt;=3),"Berpotensi",IF(AND(E5071&lt;=3,E5071&gt;=2,F5071&gt;=3),"Rawan",IF(AND(E5071&lt;=2,F5071&lt;=2),"Tidur","Umum"))))))</f>
        <v/>
      </c>
    </row>
    <row r="5072">
      <c r="B5072">
        <f>IF(A5072="","",$B$1-MAXIFS(Donasi!$A$2:$A$20000,Donasi!$B$2:$B$20000,A5072))</f>
        <v/>
      </c>
      <c r="C5072">
        <f>IF(A5072="","",COUNTIF(Donasi!$B$2:$B$20000,A5072))</f>
        <v/>
      </c>
      <c r="D5072">
        <f>IF(A5072="","",SUMIF(Donasi!$B$2:$B$20000,A5072,Donasi!$C$2:$C$20000))</f>
        <v/>
      </c>
      <c r="E5072">
        <f>IF(A5072="","",6-CEILING(PERCENTRANK.INC($B$3:$B$6000,B5072,4)*5+0.000001,1))</f>
        <v/>
      </c>
      <c r="F5072">
        <f>IF(A5072="","",MAX(1,CEILING(PERCENTRANK.INC($C$3:$C$6000,C5072,4)*5+0.000001,1)))</f>
        <v/>
      </c>
      <c r="G5072">
        <f>IF(A5072="","",MAX(1,CEILING(PERCENTRANK.INC($D$3:$D$6000,D5072,4)*5+0.000001,1)))</f>
        <v/>
      </c>
      <c r="H5072">
        <f>IF(A5072="","",E5072&amp;F5072&amp;G5072)</f>
        <v/>
      </c>
      <c r="I5072">
        <f>IF(A5072="","",IF(AND(E5072&gt;=4,F5072&gt;=4,G5072&gt;=4),"Juara",IF(AND(F5072&gt;=4,E5072&gt;=3),"Setia",IF(AND(E5072=5,F5072&lt;=2,G5072&gt;=3),"Berpotensi",IF(AND(E5072&lt;=3,E5072&gt;=2,F5072&gt;=3),"Rawan",IF(AND(E5072&lt;=2,F5072&lt;=2),"Tidur","Umum"))))))</f>
        <v/>
      </c>
    </row>
    <row r="5073">
      <c r="B5073">
        <f>IF(A5073="","",$B$1-MAXIFS(Donasi!$A$2:$A$20000,Donasi!$B$2:$B$20000,A5073))</f>
        <v/>
      </c>
      <c r="C5073">
        <f>IF(A5073="","",COUNTIF(Donasi!$B$2:$B$20000,A5073))</f>
        <v/>
      </c>
      <c r="D5073">
        <f>IF(A5073="","",SUMIF(Donasi!$B$2:$B$20000,A5073,Donasi!$C$2:$C$20000))</f>
        <v/>
      </c>
      <c r="E5073">
        <f>IF(A5073="","",6-CEILING(PERCENTRANK.INC($B$3:$B$6000,B5073,4)*5+0.000001,1))</f>
        <v/>
      </c>
      <c r="F5073">
        <f>IF(A5073="","",MAX(1,CEILING(PERCENTRANK.INC($C$3:$C$6000,C5073,4)*5+0.000001,1)))</f>
        <v/>
      </c>
      <c r="G5073">
        <f>IF(A5073="","",MAX(1,CEILING(PERCENTRANK.INC($D$3:$D$6000,D5073,4)*5+0.000001,1)))</f>
        <v/>
      </c>
      <c r="H5073">
        <f>IF(A5073="","",E5073&amp;F5073&amp;G5073)</f>
        <v/>
      </c>
      <c r="I5073">
        <f>IF(A5073="","",IF(AND(E5073&gt;=4,F5073&gt;=4,G5073&gt;=4),"Juara",IF(AND(F5073&gt;=4,E5073&gt;=3),"Setia",IF(AND(E5073=5,F5073&lt;=2,G5073&gt;=3),"Berpotensi",IF(AND(E5073&lt;=3,E5073&gt;=2,F5073&gt;=3),"Rawan",IF(AND(E5073&lt;=2,F5073&lt;=2),"Tidur","Umum"))))))</f>
        <v/>
      </c>
    </row>
    <row r="5074">
      <c r="B5074">
        <f>IF(A5074="","",$B$1-MAXIFS(Donasi!$A$2:$A$20000,Donasi!$B$2:$B$20000,A5074))</f>
        <v/>
      </c>
      <c r="C5074">
        <f>IF(A5074="","",COUNTIF(Donasi!$B$2:$B$20000,A5074))</f>
        <v/>
      </c>
      <c r="D5074">
        <f>IF(A5074="","",SUMIF(Donasi!$B$2:$B$20000,A5074,Donasi!$C$2:$C$20000))</f>
        <v/>
      </c>
      <c r="E5074">
        <f>IF(A5074="","",6-CEILING(PERCENTRANK.INC($B$3:$B$6000,B5074,4)*5+0.000001,1))</f>
        <v/>
      </c>
      <c r="F5074">
        <f>IF(A5074="","",MAX(1,CEILING(PERCENTRANK.INC($C$3:$C$6000,C5074,4)*5+0.000001,1)))</f>
        <v/>
      </c>
      <c r="G5074">
        <f>IF(A5074="","",MAX(1,CEILING(PERCENTRANK.INC($D$3:$D$6000,D5074,4)*5+0.000001,1)))</f>
        <v/>
      </c>
      <c r="H5074">
        <f>IF(A5074="","",E5074&amp;F5074&amp;G5074)</f>
        <v/>
      </c>
      <c r="I5074">
        <f>IF(A5074="","",IF(AND(E5074&gt;=4,F5074&gt;=4,G5074&gt;=4),"Juara",IF(AND(F5074&gt;=4,E5074&gt;=3),"Setia",IF(AND(E5074=5,F5074&lt;=2,G5074&gt;=3),"Berpotensi",IF(AND(E5074&lt;=3,E5074&gt;=2,F5074&gt;=3),"Rawan",IF(AND(E5074&lt;=2,F5074&lt;=2),"Tidur","Umum"))))))</f>
        <v/>
      </c>
    </row>
    <row r="5075">
      <c r="B5075">
        <f>IF(A5075="","",$B$1-MAXIFS(Donasi!$A$2:$A$20000,Donasi!$B$2:$B$20000,A5075))</f>
        <v/>
      </c>
      <c r="C5075">
        <f>IF(A5075="","",COUNTIF(Donasi!$B$2:$B$20000,A5075))</f>
        <v/>
      </c>
      <c r="D5075">
        <f>IF(A5075="","",SUMIF(Donasi!$B$2:$B$20000,A5075,Donasi!$C$2:$C$20000))</f>
        <v/>
      </c>
      <c r="E5075">
        <f>IF(A5075="","",6-CEILING(PERCENTRANK.INC($B$3:$B$6000,B5075,4)*5+0.000001,1))</f>
        <v/>
      </c>
      <c r="F5075">
        <f>IF(A5075="","",MAX(1,CEILING(PERCENTRANK.INC($C$3:$C$6000,C5075,4)*5+0.000001,1)))</f>
        <v/>
      </c>
      <c r="G5075">
        <f>IF(A5075="","",MAX(1,CEILING(PERCENTRANK.INC($D$3:$D$6000,D5075,4)*5+0.000001,1)))</f>
        <v/>
      </c>
      <c r="H5075">
        <f>IF(A5075="","",E5075&amp;F5075&amp;G5075)</f>
        <v/>
      </c>
      <c r="I5075">
        <f>IF(A5075="","",IF(AND(E5075&gt;=4,F5075&gt;=4,G5075&gt;=4),"Juara",IF(AND(F5075&gt;=4,E5075&gt;=3),"Setia",IF(AND(E5075=5,F5075&lt;=2,G5075&gt;=3),"Berpotensi",IF(AND(E5075&lt;=3,E5075&gt;=2,F5075&gt;=3),"Rawan",IF(AND(E5075&lt;=2,F5075&lt;=2),"Tidur","Umum"))))))</f>
        <v/>
      </c>
    </row>
    <row r="5076">
      <c r="B5076">
        <f>IF(A5076="","",$B$1-MAXIFS(Donasi!$A$2:$A$20000,Donasi!$B$2:$B$20000,A5076))</f>
        <v/>
      </c>
      <c r="C5076">
        <f>IF(A5076="","",COUNTIF(Donasi!$B$2:$B$20000,A5076))</f>
        <v/>
      </c>
      <c r="D5076">
        <f>IF(A5076="","",SUMIF(Donasi!$B$2:$B$20000,A5076,Donasi!$C$2:$C$20000))</f>
        <v/>
      </c>
      <c r="E5076">
        <f>IF(A5076="","",6-CEILING(PERCENTRANK.INC($B$3:$B$6000,B5076,4)*5+0.000001,1))</f>
        <v/>
      </c>
      <c r="F5076">
        <f>IF(A5076="","",MAX(1,CEILING(PERCENTRANK.INC($C$3:$C$6000,C5076,4)*5+0.000001,1)))</f>
        <v/>
      </c>
      <c r="G5076">
        <f>IF(A5076="","",MAX(1,CEILING(PERCENTRANK.INC($D$3:$D$6000,D5076,4)*5+0.000001,1)))</f>
        <v/>
      </c>
      <c r="H5076">
        <f>IF(A5076="","",E5076&amp;F5076&amp;G5076)</f>
        <v/>
      </c>
      <c r="I5076">
        <f>IF(A5076="","",IF(AND(E5076&gt;=4,F5076&gt;=4,G5076&gt;=4),"Juara",IF(AND(F5076&gt;=4,E5076&gt;=3),"Setia",IF(AND(E5076=5,F5076&lt;=2,G5076&gt;=3),"Berpotensi",IF(AND(E5076&lt;=3,E5076&gt;=2,F5076&gt;=3),"Rawan",IF(AND(E5076&lt;=2,F5076&lt;=2),"Tidur","Umum"))))))</f>
        <v/>
      </c>
    </row>
    <row r="5077">
      <c r="B5077">
        <f>IF(A5077="","",$B$1-MAXIFS(Donasi!$A$2:$A$20000,Donasi!$B$2:$B$20000,A5077))</f>
        <v/>
      </c>
      <c r="C5077">
        <f>IF(A5077="","",COUNTIF(Donasi!$B$2:$B$20000,A5077))</f>
        <v/>
      </c>
      <c r="D5077">
        <f>IF(A5077="","",SUMIF(Donasi!$B$2:$B$20000,A5077,Donasi!$C$2:$C$20000))</f>
        <v/>
      </c>
      <c r="E5077">
        <f>IF(A5077="","",6-CEILING(PERCENTRANK.INC($B$3:$B$6000,B5077,4)*5+0.000001,1))</f>
        <v/>
      </c>
      <c r="F5077">
        <f>IF(A5077="","",MAX(1,CEILING(PERCENTRANK.INC($C$3:$C$6000,C5077,4)*5+0.000001,1)))</f>
        <v/>
      </c>
      <c r="G5077">
        <f>IF(A5077="","",MAX(1,CEILING(PERCENTRANK.INC($D$3:$D$6000,D5077,4)*5+0.000001,1)))</f>
        <v/>
      </c>
      <c r="H5077">
        <f>IF(A5077="","",E5077&amp;F5077&amp;G5077)</f>
        <v/>
      </c>
      <c r="I5077">
        <f>IF(A5077="","",IF(AND(E5077&gt;=4,F5077&gt;=4,G5077&gt;=4),"Juara",IF(AND(F5077&gt;=4,E5077&gt;=3),"Setia",IF(AND(E5077=5,F5077&lt;=2,G5077&gt;=3),"Berpotensi",IF(AND(E5077&lt;=3,E5077&gt;=2,F5077&gt;=3),"Rawan",IF(AND(E5077&lt;=2,F5077&lt;=2),"Tidur","Umum"))))))</f>
        <v/>
      </c>
    </row>
    <row r="5078">
      <c r="B5078">
        <f>IF(A5078="","",$B$1-MAXIFS(Donasi!$A$2:$A$20000,Donasi!$B$2:$B$20000,A5078))</f>
        <v/>
      </c>
      <c r="C5078">
        <f>IF(A5078="","",COUNTIF(Donasi!$B$2:$B$20000,A5078))</f>
        <v/>
      </c>
      <c r="D5078">
        <f>IF(A5078="","",SUMIF(Donasi!$B$2:$B$20000,A5078,Donasi!$C$2:$C$20000))</f>
        <v/>
      </c>
      <c r="E5078">
        <f>IF(A5078="","",6-CEILING(PERCENTRANK.INC($B$3:$B$6000,B5078,4)*5+0.000001,1))</f>
        <v/>
      </c>
      <c r="F5078">
        <f>IF(A5078="","",MAX(1,CEILING(PERCENTRANK.INC($C$3:$C$6000,C5078,4)*5+0.000001,1)))</f>
        <v/>
      </c>
      <c r="G5078">
        <f>IF(A5078="","",MAX(1,CEILING(PERCENTRANK.INC($D$3:$D$6000,D5078,4)*5+0.000001,1)))</f>
        <v/>
      </c>
      <c r="H5078">
        <f>IF(A5078="","",E5078&amp;F5078&amp;G5078)</f>
        <v/>
      </c>
      <c r="I5078">
        <f>IF(A5078="","",IF(AND(E5078&gt;=4,F5078&gt;=4,G5078&gt;=4),"Juara",IF(AND(F5078&gt;=4,E5078&gt;=3),"Setia",IF(AND(E5078=5,F5078&lt;=2,G5078&gt;=3),"Berpotensi",IF(AND(E5078&lt;=3,E5078&gt;=2,F5078&gt;=3),"Rawan",IF(AND(E5078&lt;=2,F5078&lt;=2),"Tidur","Umum"))))))</f>
        <v/>
      </c>
    </row>
    <row r="5079">
      <c r="B5079">
        <f>IF(A5079="","",$B$1-MAXIFS(Donasi!$A$2:$A$20000,Donasi!$B$2:$B$20000,A5079))</f>
        <v/>
      </c>
      <c r="C5079">
        <f>IF(A5079="","",COUNTIF(Donasi!$B$2:$B$20000,A5079))</f>
        <v/>
      </c>
      <c r="D5079">
        <f>IF(A5079="","",SUMIF(Donasi!$B$2:$B$20000,A5079,Donasi!$C$2:$C$20000))</f>
        <v/>
      </c>
      <c r="E5079">
        <f>IF(A5079="","",6-CEILING(PERCENTRANK.INC($B$3:$B$6000,B5079,4)*5+0.000001,1))</f>
        <v/>
      </c>
      <c r="F5079">
        <f>IF(A5079="","",MAX(1,CEILING(PERCENTRANK.INC($C$3:$C$6000,C5079,4)*5+0.000001,1)))</f>
        <v/>
      </c>
      <c r="G5079">
        <f>IF(A5079="","",MAX(1,CEILING(PERCENTRANK.INC($D$3:$D$6000,D5079,4)*5+0.000001,1)))</f>
        <v/>
      </c>
      <c r="H5079">
        <f>IF(A5079="","",E5079&amp;F5079&amp;G5079)</f>
        <v/>
      </c>
      <c r="I5079">
        <f>IF(A5079="","",IF(AND(E5079&gt;=4,F5079&gt;=4,G5079&gt;=4),"Juara",IF(AND(F5079&gt;=4,E5079&gt;=3),"Setia",IF(AND(E5079=5,F5079&lt;=2,G5079&gt;=3),"Berpotensi",IF(AND(E5079&lt;=3,E5079&gt;=2,F5079&gt;=3),"Rawan",IF(AND(E5079&lt;=2,F5079&lt;=2),"Tidur","Umum"))))))</f>
        <v/>
      </c>
    </row>
    <row r="5080">
      <c r="B5080">
        <f>IF(A5080="","",$B$1-MAXIFS(Donasi!$A$2:$A$20000,Donasi!$B$2:$B$20000,A5080))</f>
        <v/>
      </c>
      <c r="C5080">
        <f>IF(A5080="","",COUNTIF(Donasi!$B$2:$B$20000,A5080))</f>
        <v/>
      </c>
      <c r="D5080">
        <f>IF(A5080="","",SUMIF(Donasi!$B$2:$B$20000,A5080,Donasi!$C$2:$C$20000))</f>
        <v/>
      </c>
      <c r="E5080">
        <f>IF(A5080="","",6-CEILING(PERCENTRANK.INC($B$3:$B$6000,B5080,4)*5+0.000001,1))</f>
        <v/>
      </c>
      <c r="F5080">
        <f>IF(A5080="","",MAX(1,CEILING(PERCENTRANK.INC($C$3:$C$6000,C5080,4)*5+0.000001,1)))</f>
        <v/>
      </c>
      <c r="G5080">
        <f>IF(A5080="","",MAX(1,CEILING(PERCENTRANK.INC($D$3:$D$6000,D5080,4)*5+0.000001,1)))</f>
        <v/>
      </c>
      <c r="H5080">
        <f>IF(A5080="","",E5080&amp;F5080&amp;G5080)</f>
        <v/>
      </c>
      <c r="I5080">
        <f>IF(A5080="","",IF(AND(E5080&gt;=4,F5080&gt;=4,G5080&gt;=4),"Juara",IF(AND(F5080&gt;=4,E5080&gt;=3),"Setia",IF(AND(E5080=5,F5080&lt;=2,G5080&gt;=3),"Berpotensi",IF(AND(E5080&lt;=3,E5080&gt;=2,F5080&gt;=3),"Rawan",IF(AND(E5080&lt;=2,F5080&lt;=2),"Tidur","Umum"))))))</f>
        <v/>
      </c>
    </row>
    <row r="5081">
      <c r="B5081">
        <f>IF(A5081="","",$B$1-MAXIFS(Donasi!$A$2:$A$20000,Donasi!$B$2:$B$20000,A5081))</f>
        <v/>
      </c>
      <c r="C5081">
        <f>IF(A5081="","",COUNTIF(Donasi!$B$2:$B$20000,A5081))</f>
        <v/>
      </c>
      <c r="D5081">
        <f>IF(A5081="","",SUMIF(Donasi!$B$2:$B$20000,A5081,Donasi!$C$2:$C$20000))</f>
        <v/>
      </c>
      <c r="E5081">
        <f>IF(A5081="","",6-CEILING(PERCENTRANK.INC($B$3:$B$6000,B5081,4)*5+0.000001,1))</f>
        <v/>
      </c>
      <c r="F5081">
        <f>IF(A5081="","",MAX(1,CEILING(PERCENTRANK.INC($C$3:$C$6000,C5081,4)*5+0.000001,1)))</f>
        <v/>
      </c>
      <c r="G5081">
        <f>IF(A5081="","",MAX(1,CEILING(PERCENTRANK.INC($D$3:$D$6000,D5081,4)*5+0.000001,1)))</f>
        <v/>
      </c>
      <c r="H5081">
        <f>IF(A5081="","",E5081&amp;F5081&amp;G5081)</f>
        <v/>
      </c>
      <c r="I5081">
        <f>IF(A5081="","",IF(AND(E5081&gt;=4,F5081&gt;=4,G5081&gt;=4),"Juara",IF(AND(F5081&gt;=4,E5081&gt;=3),"Setia",IF(AND(E5081=5,F5081&lt;=2,G5081&gt;=3),"Berpotensi",IF(AND(E5081&lt;=3,E5081&gt;=2,F5081&gt;=3),"Rawan",IF(AND(E5081&lt;=2,F5081&lt;=2),"Tidur","Umum"))))))</f>
        <v/>
      </c>
    </row>
    <row r="5082">
      <c r="B5082">
        <f>IF(A5082="","",$B$1-MAXIFS(Donasi!$A$2:$A$20000,Donasi!$B$2:$B$20000,A5082))</f>
        <v/>
      </c>
      <c r="C5082">
        <f>IF(A5082="","",COUNTIF(Donasi!$B$2:$B$20000,A5082))</f>
        <v/>
      </c>
      <c r="D5082">
        <f>IF(A5082="","",SUMIF(Donasi!$B$2:$B$20000,A5082,Donasi!$C$2:$C$20000))</f>
        <v/>
      </c>
      <c r="E5082">
        <f>IF(A5082="","",6-CEILING(PERCENTRANK.INC($B$3:$B$6000,B5082,4)*5+0.000001,1))</f>
        <v/>
      </c>
      <c r="F5082">
        <f>IF(A5082="","",MAX(1,CEILING(PERCENTRANK.INC($C$3:$C$6000,C5082,4)*5+0.000001,1)))</f>
        <v/>
      </c>
      <c r="G5082">
        <f>IF(A5082="","",MAX(1,CEILING(PERCENTRANK.INC($D$3:$D$6000,D5082,4)*5+0.000001,1)))</f>
        <v/>
      </c>
      <c r="H5082">
        <f>IF(A5082="","",E5082&amp;F5082&amp;G5082)</f>
        <v/>
      </c>
      <c r="I5082">
        <f>IF(A5082="","",IF(AND(E5082&gt;=4,F5082&gt;=4,G5082&gt;=4),"Juara",IF(AND(F5082&gt;=4,E5082&gt;=3),"Setia",IF(AND(E5082=5,F5082&lt;=2,G5082&gt;=3),"Berpotensi",IF(AND(E5082&lt;=3,E5082&gt;=2,F5082&gt;=3),"Rawan",IF(AND(E5082&lt;=2,F5082&lt;=2),"Tidur","Umum"))))))</f>
        <v/>
      </c>
    </row>
    <row r="5083">
      <c r="B5083">
        <f>IF(A5083="","",$B$1-MAXIFS(Donasi!$A$2:$A$20000,Donasi!$B$2:$B$20000,A5083))</f>
        <v/>
      </c>
      <c r="C5083">
        <f>IF(A5083="","",COUNTIF(Donasi!$B$2:$B$20000,A5083))</f>
        <v/>
      </c>
      <c r="D5083">
        <f>IF(A5083="","",SUMIF(Donasi!$B$2:$B$20000,A5083,Donasi!$C$2:$C$20000))</f>
        <v/>
      </c>
      <c r="E5083">
        <f>IF(A5083="","",6-CEILING(PERCENTRANK.INC($B$3:$B$6000,B5083,4)*5+0.000001,1))</f>
        <v/>
      </c>
      <c r="F5083">
        <f>IF(A5083="","",MAX(1,CEILING(PERCENTRANK.INC($C$3:$C$6000,C5083,4)*5+0.000001,1)))</f>
        <v/>
      </c>
      <c r="G5083">
        <f>IF(A5083="","",MAX(1,CEILING(PERCENTRANK.INC($D$3:$D$6000,D5083,4)*5+0.000001,1)))</f>
        <v/>
      </c>
      <c r="H5083">
        <f>IF(A5083="","",E5083&amp;F5083&amp;G5083)</f>
        <v/>
      </c>
      <c r="I5083">
        <f>IF(A5083="","",IF(AND(E5083&gt;=4,F5083&gt;=4,G5083&gt;=4),"Juara",IF(AND(F5083&gt;=4,E5083&gt;=3),"Setia",IF(AND(E5083=5,F5083&lt;=2,G5083&gt;=3),"Berpotensi",IF(AND(E5083&lt;=3,E5083&gt;=2,F5083&gt;=3),"Rawan",IF(AND(E5083&lt;=2,F5083&lt;=2),"Tidur","Umum"))))))</f>
        <v/>
      </c>
    </row>
    <row r="5084">
      <c r="B5084">
        <f>IF(A5084="","",$B$1-MAXIFS(Donasi!$A$2:$A$20000,Donasi!$B$2:$B$20000,A5084))</f>
        <v/>
      </c>
      <c r="C5084">
        <f>IF(A5084="","",COUNTIF(Donasi!$B$2:$B$20000,A5084))</f>
        <v/>
      </c>
      <c r="D5084">
        <f>IF(A5084="","",SUMIF(Donasi!$B$2:$B$20000,A5084,Donasi!$C$2:$C$20000))</f>
        <v/>
      </c>
      <c r="E5084">
        <f>IF(A5084="","",6-CEILING(PERCENTRANK.INC($B$3:$B$6000,B5084,4)*5+0.000001,1))</f>
        <v/>
      </c>
      <c r="F5084">
        <f>IF(A5084="","",MAX(1,CEILING(PERCENTRANK.INC($C$3:$C$6000,C5084,4)*5+0.000001,1)))</f>
        <v/>
      </c>
      <c r="G5084">
        <f>IF(A5084="","",MAX(1,CEILING(PERCENTRANK.INC($D$3:$D$6000,D5084,4)*5+0.000001,1)))</f>
        <v/>
      </c>
      <c r="H5084">
        <f>IF(A5084="","",E5084&amp;F5084&amp;G5084)</f>
        <v/>
      </c>
      <c r="I5084">
        <f>IF(A5084="","",IF(AND(E5084&gt;=4,F5084&gt;=4,G5084&gt;=4),"Juara",IF(AND(F5084&gt;=4,E5084&gt;=3),"Setia",IF(AND(E5084=5,F5084&lt;=2,G5084&gt;=3),"Berpotensi",IF(AND(E5084&lt;=3,E5084&gt;=2,F5084&gt;=3),"Rawan",IF(AND(E5084&lt;=2,F5084&lt;=2),"Tidur","Umum"))))))</f>
        <v/>
      </c>
    </row>
    <row r="5085">
      <c r="B5085">
        <f>IF(A5085="","",$B$1-MAXIFS(Donasi!$A$2:$A$20000,Donasi!$B$2:$B$20000,A5085))</f>
        <v/>
      </c>
      <c r="C5085">
        <f>IF(A5085="","",COUNTIF(Donasi!$B$2:$B$20000,A5085))</f>
        <v/>
      </c>
      <c r="D5085">
        <f>IF(A5085="","",SUMIF(Donasi!$B$2:$B$20000,A5085,Donasi!$C$2:$C$20000))</f>
        <v/>
      </c>
      <c r="E5085">
        <f>IF(A5085="","",6-CEILING(PERCENTRANK.INC($B$3:$B$6000,B5085,4)*5+0.000001,1))</f>
        <v/>
      </c>
      <c r="F5085">
        <f>IF(A5085="","",MAX(1,CEILING(PERCENTRANK.INC($C$3:$C$6000,C5085,4)*5+0.000001,1)))</f>
        <v/>
      </c>
      <c r="G5085">
        <f>IF(A5085="","",MAX(1,CEILING(PERCENTRANK.INC($D$3:$D$6000,D5085,4)*5+0.000001,1)))</f>
        <v/>
      </c>
      <c r="H5085">
        <f>IF(A5085="","",E5085&amp;F5085&amp;G5085)</f>
        <v/>
      </c>
      <c r="I5085">
        <f>IF(A5085="","",IF(AND(E5085&gt;=4,F5085&gt;=4,G5085&gt;=4),"Juara",IF(AND(F5085&gt;=4,E5085&gt;=3),"Setia",IF(AND(E5085=5,F5085&lt;=2,G5085&gt;=3),"Berpotensi",IF(AND(E5085&lt;=3,E5085&gt;=2,F5085&gt;=3),"Rawan",IF(AND(E5085&lt;=2,F5085&lt;=2),"Tidur","Umum"))))))</f>
        <v/>
      </c>
    </row>
    <row r="5086">
      <c r="B5086">
        <f>IF(A5086="","",$B$1-MAXIFS(Donasi!$A$2:$A$20000,Donasi!$B$2:$B$20000,A5086))</f>
        <v/>
      </c>
      <c r="C5086">
        <f>IF(A5086="","",COUNTIF(Donasi!$B$2:$B$20000,A5086))</f>
        <v/>
      </c>
      <c r="D5086">
        <f>IF(A5086="","",SUMIF(Donasi!$B$2:$B$20000,A5086,Donasi!$C$2:$C$20000))</f>
        <v/>
      </c>
      <c r="E5086">
        <f>IF(A5086="","",6-CEILING(PERCENTRANK.INC($B$3:$B$6000,B5086,4)*5+0.000001,1))</f>
        <v/>
      </c>
      <c r="F5086">
        <f>IF(A5086="","",MAX(1,CEILING(PERCENTRANK.INC($C$3:$C$6000,C5086,4)*5+0.000001,1)))</f>
        <v/>
      </c>
      <c r="G5086">
        <f>IF(A5086="","",MAX(1,CEILING(PERCENTRANK.INC($D$3:$D$6000,D5086,4)*5+0.000001,1)))</f>
        <v/>
      </c>
      <c r="H5086">
        <f>IF(A5086="","",E5086&amp;F5086&amp;G5086)</f>
        <v/>
      </c>
      <c r="I5086">
        <f>IF(A5086="","",IF(AND(E5086&gt;=4,F5086&gt;=4,G5086&gt;=4),"Juara",IF(AND(F5086&gt;=4,E5086&gt;=3),"Setia",IF(AND(E5086=5,F5086&lt;=2,G5086&gt;=3),"Berpotensi",IF(AND(E5086&lt;=3,E5086&gt;=2,F5086&gt;=3),"Rawan",IF(AND(E5086&lt;=2,F5086&lt;=2),"Tidur","Umum"))))))</f>
        <v/>
      </c>
    </row>
    <row r="5087">
      <c r="B5087">
        <f>IF(A5087="","",$B$1-MAXIFS(Donasi!$A$2:$A$20000,Donasi!$B$2:$B$20000,A5087))</f>
        <v/>
      </c>
      <c r="C5087">
        <f>IF(A5087="","",COUNTIF(Donasi!$B$2:$B$20000,A5087))</f>
        <v/>
      </c>
      <c r="D5087">
        <f>IF(A5087="","",SUMIF(Donasi!$B$2:$B$20000,A5087,Donasi!$C$2:$C$20000))</f>
        <v/>
      </c>
      <c r="E5087">
        <f>IF(A5087="","",6-CEILING(PERCENTRANK.INC($B$3:$B$6000,B5087,4)*5+0.000001,1))</f>
        <v/>
      </c>
      <c r="F5087">
        <f>IF(A5087="","",MAX(1,CEILING(PERCENTRANK.INC($C$3:$C$6000,C5087,4)*5+0.000001,1)))</f>
        <v/>
      </c>
      <c r="G5087">
        <f>IF(A5087="","",MAX(1,CEILING(PERCENTRANK.INC($D$3:$D$6000,D5087,4)*5+0.000001,1)))</f>
        <v/>
      </c>
      <c r="H5087">
        <f>IF(A5087="","",E5087&amp;F5087&amp;G5087)</f>
        <v/>
      </c>
      <c r="I5087">
        <f>IF(A5087="","",IF(AND(E5087&gt;=4,F5087&gt;=4,G5087&gt;=4),"Juara",IF(AND(F5087&gt;=4,E5087&gt;=3),"Setia",IF(AND(E5087=5,F5087&lt;=2,G5087&gt;=3),"Berpotensi",IF(AND(E5087&lt;=3,E5087&gt;=2,F5087&gt;=3),"Rawan",IF(AND(E5087&lt;=2,F5087&lt;=2),"Tidur","Umum"))))))</f>
        <v/>
      </c>
    </row>
    <row r="5088">
      <c r="B5088">
        <f>IF(A5088="","",$B$1-MAXIFS(Donasi!$A$2:$A$20000,Donasi!$B$2:$B$20000,A5088))</f>
        <v/>
      </c>
      <c r="C5088">
        <f>IF(A5088="","",COUNTIF(Donasi!$B$2:$B$20000,A5088))</f>
        <v/>
      </c>
      <c r="D5088">
        <f>IF(A5088="","",SUMIF(Donasi!$B$2:$B$20000,A5088,Donasi!$C$2:$C$20000))</f>
        <v/>
      </c>
      <c r="E5088">
        <f>IF(A5088="","",6-CEILING(PERCENTRANK.INC($B$3:$B$6000,B5088,4)*5+0.000001,1))</f>
        <v/>
      </c>
      <c r="F5088">
        <f>IF(A5088="","",MAX(1,CEILING(PERCENTRANK.INC($C$3:$C$6000,C5088,4)*5+0.000001,1)))</f>
        <v/>
      </c>
      <c r="G5088">
        <f>IF(A5088="","",MAX(1,CEILING(PERCENTRANK.INC($D$3:$D$6000,D5088,4)*5+0.000001,1)))</f>
        <v/>
      </c>
      <c r="H5088">
        <f>IF(A5088="","",E5088&amp;F5088&amp;G5088)</f>
        <v/>
      </c>
      <c r="I5088">
        <f>IF(A5088="","",IF(AND(E5088&gt;=4,F5088&gt;=4,G5088&gt;=4),"Juara",IF(AND(F5088&gt;=4,E5088&gt;=3),"Setia",IF(AND(E5088=5,F5088&lt;=2,G5088&gt;=3),"Berpotensi",IF(AND(E5088&lt;=3,E5088&gt;=2,F5088&gt;=3),"Rawan",IF(AND(E5088&lt;=2,F5088&lt;=2),"Tidur","Umum"))))))</f>
        <v/>
      </c>
    </row>
    <row r="5089">
      <c r="B5089">
        <f>IF(A5089="","",$B$1-MAXIFS(Donasi!$A$2:$A$20000,Donasi!$B$2:$B$20000,A5089))</f>
        <v/>
      </c>
      <c r="C5089">
        <f>IF(A5089="","",COUNTIF(Donasi!$B$2:$B$20000,A5089))</f>
        <v/>
      </c>
      <c r="D5089">
        <f>IF(A5089="","",SUMIF(Donasi!$B$2:$B$20000,A5089,Donasi!$C$2:$C$20000))</f>
        <v/>
      </c>
      <c r="E5089">
        <f>IF(A5089="","",6-CEILING(PERCENTRANK.INC($B$3:$B$6000,B5089,4)*5+0.000001,1))</f>
        <v/>
      </c>
      <c r="F5089">
        <f>IF(A5089="","",MAX(1,CEILING(PERCENTRANK.INC($C$3:$C$6000,C5089,4)*5+0.000001,1)))</f>
        <v/>
      </c>
      <c r="G5089">
        <f>IF(A5089="","",MAX(1,CEILING(PERCENTRANK.INC($D$3:$D$6000,D5089,4)*5+0.000001,1)))</f>
        <v/>
      </c>
      <c r="H5089">
        <f>IF(A5089="","",E5089&amp;F5089&amp;G5089)</f>
        <v/>
      </c>
      <c r="I5089">
        <f>IF(A5089="","",IF(AND(E5089&gt;=4,F5089&gt;=4,G5089&gt;=4),"Juara",IF(AND(F5089&gt;=4,E5089&gt;=3),"Setia",IF(AND(E5089=5,F5089&lt;=2,G5089&gt;=3),"Berpotensi",IF(AND(E5089&lt;=3,E5089&gt;=2,F5089&gt;=3),"Rawan",IF(AND(E5089&lt;=2,F5089&lt;=2),"Tidur","Umum"))))))</f>
        <v/>
      </c>
    </row>
    <row r="5090">
      <c r="B5090">
        <f>IF(A5090="","",$B$1-MAXIFS(Donasi!$A$2:$A$20000,Donasi!$B$2:$B$20000,A5090))</f>
        <v/>
      </c>
      <c r="C5090">
        <f>IF(A5090="","",COUNTIF(Donasi!$B$2:$B$20000,A5090))</f>
        <v/>
      </c>
      <c r="D5090">
        <f>IF(A5090="","",SUMIF(Donasi!$B$2:$B$20000,A5090,Donasi!$C$2:$C$20000))</f>
        <v/>
      </c>
      <c r="E5090">
        <f>IF(A5090="","",6-CEILING(PERCENTRANK.INC($B$3:$B$6000,B5090,4)*5+0.000001,1))</f>
        <v/>
      </c>
      <c r="F5090">
        <f>IF(A5090="","",MAX(1,CEILING(PERCENTRANK.INC($C$3:$C$6000,C5090,4)*5+0.000001,1)))</f>
        <v/>
      </c>
      <c r="G5090">
        <f>IF(A5090="","",MAX(1,CEILING(PERCENTRANK.INC($D$3:$D$6000,D5090,4)*5+0.000001,1)))</f>
        <v/>
      </c>
      <c r="H5090">
        <f>IF(A5090="","",E5090&amp;F5090&amp;G5090)</f>
        <v/>
      </c>
      <c r="I5090">
        <f>IF(A5090="","",IF(AND(E5090&gt;=4,F5090&gt;=4,G5090&gt;=4),"Juara",IF(AND(F5090&gt;=4,E5090&gt;=3),"Setia",IF(AND(E5090=5,F5090&lt;=2,G5090&gt;=3),"Berpotensi",IF(AND(E5090&lt;=3,E5090&gt;=2,F5090&gt;=3),"Rawan",IF(AND(E5090&lt;=2,F5090&lt;=2),"Tidur","Umum"))))))</f>
        <v/>
      </c>
    </row>
    <row r="5091">
      <c r="B5091">
        <f>IF(A5091="","",$B$1-MAXIFS(Donasi!$A$2:$A$20000,Donasi!$B$2:$B$20000,A5091))</f>
        <v/>
      </c>
      <c r="C5091">
        <f>IF(A5091="","",COUNTIF(Donasi!$B$2:$B$20000,A5091))</f>
        <v/>
      </c>
      <c r="D5091">
        <f>IF(A5091="","",SUMIF(Donasi!$B$2:$B$20000,A5091,Donasi!$C$2:$C$20000))</f>
        <v/>
      </c>
      <c r="E5091">
        <f>IF(A5091="","",6-CEILING(PERCENTRANK.INC($B$3:$B$6000,B5091,4)*5+0.000001,1))</f>
        <v/>
      </c>
      <c r="F5091">
        <f>IF(A5091="","",MAX(1,CEILING(PERCENTRANK.INC($C$3:$C$6000,C5091,4)*5+0.000001,1)))</f>
        <v/>
      </c>
      <c r="G5091">
        <f>IF(A5091="","",MAX(1,CEILING(PERCENTRANK.INC($D$3:$D$6000,D5091,4)*5+0.000001,1)))</f>
        <v/>
      </c>
      <c r="H5091">
        <f>IF(A5091="","",E5091&amp;F5091&amp;G5091)</f>
        <v/>
      </c>
      <c r="I5091">
        <f>IF(A5091="","",IF(AND(E5091&gt;=4,F5091&gt;=4,G5091&gt;=4),"Juara",IF(AND(F5091&gt;=4,E5091&gt;=3),"Setia",IF(AND(E5091=5,F5091&lt;=2,G5091&gt;=3),"Berpotensi",IF(AND(E5091&lt;=3,E5091&gt;=2,F5091&gt;=3),"Rawan",IF(AND(E5091&lt;=2,F5091&lt;=2),"Tidur","Umum"))))))</f>
        <v/>
      </c>
    </row>
    <row r="5092">
      <c r="B5092">
        <f>IF(A5092="","",$B$1-MAXIFS(Donasi!$A$2:$A$20000,Donasi!$B$2:$B$20000,A5092))</f>
        <v/>
      </c>
      <c r="C5092">
        <f>IF(A5092="","",COUNTIF(Donasi!$B$2:$B$20000,A5092))</f>
        <v/>
      </c>
      <c r="D5092">
        <f>IF(A5092="","",SUMIF(Donasi!$B$2:$B$20000,A5092,Donasi!$C$2:$C$20000))</f>
        <v/>
      </c>
      <c r="E5092">
        <f>IF(A5092="","",6-CEILING(PERCENTRANK.INC($B$3:$B$6000,B5092,4)*5+0.000001,1))</f>
        <v/>
      </c>
      <c r="F5092">
        <f>IF(A5092="","",MAX(1,CEILING(PERCENTRANK.INC($C$3:$C$6000,C5092,4)*5+0.000001,1)))</f>
        <v/>
      </c>
      <c r="G5092">
        <f>IF(A5092="","",MAX(1,CEILING(PERCENTRANK.INC($D$3:$D$6000,D5092,4)*5+0.000001,1)))</f>
        <v/>
      </c>
      <c r="H5092">
        <f>IF(A5092="","",E5092&amp;F5092&amp;G5092)</f>
        <v/>
      </c>
      <c r="I5092">
        <f>IF(A5092="","",IF(AND(E5092&gt;=4,F5092&gt;=4,G5092&gt;=4),"Juara",IF(AND(F5092&gt;=4,E5092&gt;=3),"Setia",IF(AND(E5092=5,F5092&lt;=2,G5092&gt;=3),"Berpotensi",IF(AND(E5092&lt;=3,E5092&gt;=2,F5092&gt;=3),"Rawan",IF(AND(E5092&lt;=2,F5092&lt;=2),"Tidur","Umum"))))))</f>
        <v/>
      </c>
    </row>
    <row r="5093">
      <c r="B5093">
        <f>IF(A5093="","",$B$1-MAXIFS(Donasi!$A$2:$A$20000,Donasi!$B$2:$B$20000,A5093))</f>
        <v/>
      </c>
      <c r="C5093">
        <f>IF(A5093="","",COUNTIF(Donasi!$B$2:$B$20000,A5093))</f>
        <v/>
      </c>
      <c r="D5093">
        <f>IF(A5093="","",SUMIF(Donasi!$B$2:$B$20000,A5093,Donasi!$C$2:$C$20000))</f>
        <v/>
      </c>
      <c r="E5093">
        <f>IF(A5093="","",6-CEILING(PERCENTRANK.INC($B$3:$B$6000,B5093,4)*5+0.000001,1))</f>
        <v/>
      </c>
      <c r="F5093">
        <f>IF(A5093="","",MAX(1,CEILING(PERCENTRANK.INC($C$3:$C$6000,C5093,4)*5+0.000001,1)))</f>
        <v/>
      </c>
      <c r="G5093">
        <f>IF(A5093="","",MAX(1,CEILING(PERCENTRANK.INC($D$3:$D$6000,D5093,4)*5+0.000001,1)))</f>
        <v/>
      </c>
      <c r="H5093">
        <f>IF(A5093="","",E5093&amp;F5093&amp;G5093)</f>
        <v/>
      </c>
      <c r="I5093">
        <f>IF(A5093="","",IF(AND(E5093&gt;=4,F5093&gt;=4,G5093&gt;=4),"Juara",IF(AND(F5093&gt;=4,E5093&gt;=3),"Setia",IF(AND(E5093=5,F5093&lt;=2,G5093&gt;=3),"Berpotensi",IF(AND(E5093&lt;=3,E5093&gt;=2,F5093&gt;=3),"Rawan",IF(AND(E5093&lt;=2,F5093&lt;=2),"Tidur","Umum"))))))</f>
        <v/>
      </c>
    </row>
    <row r="5094">
      <c r="B5094">
        <f>IF(A5094="","",$B$1-MAXIFS(Donasi!$A$2:$A$20000,Donasi!$B$2:$B$20000,A5094))</f>
        <v/>
      </c>
      <c r="C5094">
        <f>IF(A5094="","",COUNTIF(Donasi!$B$2:$B$20000,A5094))</f>
        <v/>
      </c>
      <c r="D5094">
        <f>IF(A5094="","",SUMIF(Donasi!$B$2:$B$20000,A5094,Donasi!$C$2:$C$20000))</f>
        <v/>
      </c>
      <c r="E5094">
        <f>IF(A5094="","",6-CEILING(PERCENTRANK.INC($B$3:$B$6000,B5094,4)*5+0.000001,1))</f>
        <v/>
      </c>
      <c r="F5094">
        <f>IF(A5094="","",MAX(1,CEILING(PERCENTRANK.INC($C$3:$C$6000,C5094,4)*5+0.000001,1)))</f>
        <v/>
      </c>
      <c r="G5094">
        <f>IF(A5094="","",MAX(1,CEILING(PERCENTRANK.INC($D$3:$D$6000,D5094,4)*5+0.000001,1)))</f>
        <v/>
      </c>
      <c r="H5094">
        <f>IF(A5094="","",E5094&amp;F5094&amp;G5094)</f>
        <v/>
      </c>
      <c r="I5094">
        <f>IF(A5094="","",IF(AND(E5094&gt;=4,F5094&gt;=4,G5094&gt;=4),"Juara",IF(AND(F5094&gt;=4,E5094&gt;=3),"Setia",IF(AND(E5094=5,F5094&lt;=2,G5094&gt;=3),"Berpotensi",IF(AND(E5094&lt;=3,E5094&gt;=2,F5094&gt;=3),"Rawan",IF(AND(E5094&lt;=2,F5094&lt;=2),"Tidur","Umum"))))))</f>
        <v/>
      </c>
    </row>
    <row r="5095">
      <c r="B5095">
        <f>IF(A5095="","",$B$1-MAXIFS(Donasi!$A$2:$A$20000,Donasi!$B$2:$B$20000,A5095))</f>
        <v/>
      </c>
      <c r="C5095">
        <f>IF(A5095="","",COUNTIF(Donasi!$B$2:$B$20000,A5095))</f>
        <v/>
      </c>
      <c r="D5095">
        <f>IF(A5095="","",SUMIF(Donasi!$B$2:$B$20000,A5095,Donasi!$C$2:$C$20000))</f>
        <v/>
      </c>
      <c r="E5095">
        <f>IF(A5095="","",6-CEILING(PERCENTRANK.INC($B$3:$B$6000,B5095,4)*5+0.000001,1))</f>
        <v/>
      </c>
      <c r="F5095">
        <f>IF(A5095="","",MAX(1,CEILING(PERCENTRANK.INC($C$3:$C$6000,C5095,4)*5+0.000001,1)))</f>
        <v/>
      </c>
      <c r="G5095">
        <f>IF(A5095="","",MAX(1,CEILING(PERCENTRANK.INC($D$3:$D$6000,D5095,4)*5+0.000001,1)))</f>
        <v/>
      </c>
      <c r="H5095">
        <f>IF(A5095="","",E5095&amp;F5095&amp;G5095)</f>
        <v/>
      </c>
      <c r="I5095">
        <f>IF(A5095="","",IF(AND(E5095&gt;=4,F5095&gt;=4,G5095&gt;=4),"Juara",IF(AND(F5095&gt;=4,E5095&gt;=3),"Setia",IF(AND(E5095=5,F5095&lt;=2,G5095&gt;=3),"Berpotensi",IF(AND(E5095&lt;=3,E5095&gt;=2,F5095&gt;=3),"Rawan",IF(AND(E5095&lt;=2,F5095&lt;=2),"Tidur","Umum"))))))</f>
        <v/>
      </c>
    </row>
    <row r="5096">
      <c r="B5096">
        <f>IF(A5096="","",$B$1-MAXIFS(Donasi!$A$2:$A$20000,Donasi!$B$2:$B$20000,A5096))</f>
        <v/>
      </c>
      <c r="C5096">
        <f>IF(A5096="","",COUNTIF(Donasi!$B$2:$B$20000,A5096))</f>
        <v/>
      </c>
      <c r="D5096">
        <f>IF(A5096="","",SUMIF(Donasi!$B$2:$B$20000,A5096,Donasi!$C$2:$C$20000))</f>
        <v/>
      </c>
      <c r="E5096">
        <f>IF(A5096="","",6-CEILING(PERCENTRANK.INC($B$3:$B$6000,B5096,4)*5+0.000001,1))</f>
        <v/>
      </c>
      <c r="F5096">
        <f>IF(A5096="","",MAX(1,CEILING(PERCENTRANK.INC($C$3:$C$6000,C5096,4)*5+0.000001,1)))</f>
        <v/>
      </c>
      <c r="G5096">
        <f>IF(A5096="","",MAX(1,CEILING(PERCENTRANK.INC($D$3:$D$6000,D5096,4)*5+0.000001,1)))</f>
        <v/>
      </c>
      <c r="H5096">
        <f>IF(A5096="","",E5096&amp;F5096&amp;G5096)</f>
        <v/>
      </c>
      <c r="I5096">
        <f>IF(A5096="","",IF(AND(E5096&gt;=4,F5096&gt;=4,G5096&gt;=4),"Juara",IF(AND(F5096&gt;=4,E5096&gt;=3),"Setia",IF(AND(E5096=5,F5096&lt;=2,G5096&gt;=3),"Berpotensi",IF(AND(E5096&lt;=3,E5096&gt;=2,F5096&gt;=3),"Rawan",IF(AND(E5096&lt;=2,F5096&lt;=2),"Tidur","Umum"))))))</f>
        <v/>
      </c>
    </row>
    <row r="5097">
      <c r="B5097">
        <f>IF(A5097="","",$B$1-MAXIFS(Donasi!$A$2:$A$20000,Donasi!$B$2:$B$20000,A5097))</f>
        <v/>
      </c>
      <c r="C5097">
        <f>IF(A5097="","",COUNTIF(Donasi!$B$2:$B$20000,A5097))</f>
        <v/>
      </c>
      <c r="D5097">
        <f>IF(A5097="","",SUMIF(Donasi!$B$2:$B$20000,A5097,Donasi!$C$2:$C$20000))</f>
        <v/>
      </c>
      <c r="E5097">
        <f>IF(A5097="","",6-CEILING(PERCENTRANK.INC($B$3:$B$6000,B5097,4)*5+0.000001,1))</f>
        <v/>
      </c>
      <c r="F5097">
        <f>IF(A5097="","",MAX(1,CEILING(PERCENTRANK.INC($C$3:$C$6000,C5097,4)*5+0.000001,1)))</f>
        <v/>
      </c>
      <c r="G5097">
        <f>IF(A5097="","",MAX(1,CEILING(PERCENTRANK.INC($D$3:$D$6000,D5097,4)*5+0.000001,1)))</f>
        <v/>
      </c>
      <c r="H5097">
        <f>IF(A5097="","",E5097&amp;F5097&amp;G5097)</f>
        <v/>
      </c>
      <c r="I5097">
        <f>IF(A5097="","",IF(AND(E5097&gt;=4,F5097&gt;=4,G5097&gt;=4),"Juara",IF(AND(F5097&gt;=4,E5097&gt;=3),"Setia",IF(AND(E5097=5,F5097&lt;=2,G5097&gt;=3),"Berpotensi",IF(AND(E5097&lt;=3,E5097&gt;=2,F5097&gt;=3),"Rawan",IF(AND(E5097&lt;=2,F5097&lt;=2),"Tidur","Umum"))))))</f>
        <v/>
      </c>
    </row>
    <row r="5098">
      <c r="B5098">
        <f>IF(A5098="","",$B$1-MAXIFS(Donasi!$A$2:$A$20000,Donasi!$B$2:$B$20000,A5098))</f>
        <v/>
      </c>
      <c r="C5098">
        <f>IF(A5098="","",COUNTIF(Donasi!$B$2:$B$20000,A5098))</f>
        <v/>
      </c>
      <c r="D5098">
        <f>IF(A5098="","",SUMIF(Donasi!$B$2:$B$20000,A5098,Donasi!$C$2:$C$20000))</f>
        <v/>
      </c>
      <c r="E5098">
        <f>IF(A5098="","",6-CEILING(PERCENTRANK.INC($B$3:$B$6000,B5098,4)*5+0.000001,1))</f>
        <v/>
      </c>
      <c r="F5098">
        <f>IF(A5098="","",MAX(1,CEILING(PERCENTRANK.INC($C$3:$C$6000,C5098,4)*5+0.000001,1)))</f>
        <v/>
      </c>
      <c r="G5098">
        <f>IF(A5098="","",MAX(1,CEILING(PERCENTRANK.INC($D$3:$D$6000,D5098,4)*5+0.000001,1)))</f>
        <v/>
      </c>
      <c r="H5098">
        <f>IF(A5098="","",E5098&amp;F5098&amp;G5098)</f>
        <v/>
      </c>
      <c r="I5098">
        <f>IF(A5098="","",IF(AND(E5098&gt;=4,F5098&gt;=4,G5098&gt;=4),"Juara",IF(AND(F5098&gt;=4,E5098&gt;=3),"Setia",IF(AND(E5098=5,F5098&lt;=2,G5098&gt;=3),"Berpotensi",IF(AND(E5098&lt;=3,E5098&gt;=2,F5098&gt;=3),"Rawan",IF(AND(E5098&lt;=2,F5098&lt;=2),"Tidur","Umum"))))))</f>
        <v/>
      </c>
    </row>
    <row r="5099">
      <c r="B5099">
        <f>IF(A5099="","",$B$1-MAXIFS(Donasi!$A$2:$A$20000,Donasi!$B$2:$B$20000,A5099))</f>
        <v/>
      </c>
      <c r="C5099">
        <f>IF(A5099="","",COUNTIF(Donasi!$B$2:$B$20000,A5099))</f>
        <v/>
      </c>
      <c r="D5099">
        <f>IF(A5099="","",SUMIF(Donasi!$B$2:$B$20000,A5099,Donasi!$C$2:$C$20000))</f>
        <v/>
      </c>
      <c r="E5099">
        <f>IF(A5099="","",6-CEILING(PERCENTRANK.INC($B$3:$B$6000,B5099,4)*5+0.000001,1))</f>
        <v/>
      </c>
      <c r="F5099">
        <f>IF(A5099="","",MAX(1,CEILING(PERCENTRANK.INC($C$3:$C$6000,C5099,4)*5+0.000001,1)))</f>
        <v/>
      </c>
      <c r="G5099">
        <f>IF(A5099="","",MAX(1,CEILING(PERCENTRANK.INC($D$3:$D$6000,D5099,4)*5+0.000001,1)))</f>
        <v/>
      </c>
      <c r="H5099">
        <f>IF(A5099="","",E5099&amp;F5099&amp;G5099)</f>
        <v/>
      </c>
      <c r="I5099">
        <f>IF(A5099="","",IF(AND(E5099&gt;=4,F5099&gt;=4,G5099&gt;=4),"Juara",IF(AND(F5099&gt;=4,E5099&gt;=3),"Setia",IF(AND(E5099=5,F5099&lt;=2,G5099&gt;=3),"Berpotensi",IF(AND(E5099&lt;=3,E5099&gt;=2,F5099&gt;=3),"Rawan",IF(AND(E5099&lt;=2,F5099&lt;=2),"Tidur","Umum"))))))</f>
        <v/>
      </c>
    </row>
    <row r="5100">
      <c r="B5100">
        <f>IF(A5100="","",$B$1-MAXIFS(Donasi!$A$2:$A$20000,Donasi!$B$2:$B$20000,A5100))</f>
        <v/>
      </c>
      <c r="C5100">
        <f>IF(A5100="","",COUNTIF(Donasi!$B$2:$B$20000,A5100))</f>
        <v/>
      </c>
      <c r="D5100">
        <f>IF(A5100="","",SUMIF(Donasi!$B$2:$B$20000,A5100,Donasi!$C$2:$C$20000))</f>
        <v/>
      </c>
      <c r="E5100">
        <f>IF(A5100="","",6-CEILING(PERCENTRANK.INC($B$3:$B$6000,B5100,4)*5+0.000001,1))</f>
        <v/>
      </c>
      <c r="F5100">
        <f>IF(A5100="","",MAX(1,CEILING(PERCENTRANK.INC($C$3:$C$6000,C5100,4)*5+0.000001,1)))</f>
        <v/>
      </c>
      <c r="G5100">
        <f>IF(A5100="","",MAX(1,CEILING(PERCENTRANK.INC($D$3:$D$6000,D5100,4)*5+0.000001,1)))</f>
        <v/>
      </c>
      <c r="H5100">
        <f>IF(A5100="","",E5100&amp;F5100&amp;G5100)</f>
        <v/>
      </c>
      <c r="I5100">
        <f>IF(A5100="","",IF(AND(E5100&gt;=4,F5100&gt;=4,G5100&gt;=4),"Juara",IF(AND(F5100&gt;=4,E5100&gt;=3),"Setia",IF(AND(E5100=5,F5100&lt;=2,G5100&gt;=3),"Berpotensi",IF(AND(E5100&lt;=3,E5100&gt;=2,F5100&gt;=3),"Rawan",IF(AND(E5100&lt;=2,F5100&lt;=2),"Tidur","Umum"))))))</f>
        <v/>
      </c>
    </row>
    <row r="5101">
      <c r="B5101">
        <f>IF(A5101="","",$B$1-MAXIFS(Donasi!$A$2:$A$20000,Donasi!$B$2:$B$20000,A5101))</f>
        <v/>
      </c>
      <c r="C5101">
        <f>IF(A5101="","",COUNTIF(Donasi!$B$2:$B$20000,A5101))</f>
        <v/>
      </c>
      <c r="D5101">
        <f>IF(A5101="","",SUMIF(Donasi!$B$2:$B$20000,A5101,Donasi!$C$2:$C$20000))</f>
        <v/>
      </c>
      <c r="E5101">
        <f>IF(A5101="","",6-CEILING(PERCENTRANK.INC($B$3:$B$6000,B5101,4)*5+0.000001,1))</f>
        <v/>
      </c>
      <c r="F5101">
        <f>IF(A5101="","",MAX(1,CEILING(PERCENTRANK.INC($C$3:$C$6000,C5101,4)*5+0.000001,1)))</f>
        <v/>
      </c>
      <c r="G5101">
        <f>IF(A5101="","",MAX(1,CEILING(PERCENTRANK.INC($D$3:$D$6000,D5101,4)*5+0.000001,1)))</f>
        <v/>
      </c>
      <c r="H5101">
        <f>IF(A5101="","",E5101&amp;F5101&amp;G5101)</f>
        <v/>
      </c>
      <c r="I5101">
        <f>IF(A5101="","",IF(AND(E5101&gt;=4,F5101&gt;=4,G5101&gt;=4),"Juara",IF(AND(F5101&gt;=4,E5101&gt;=3),"Setia",IF(AND(E5101=5,F5101&lt;=2,G5101&gt;=3),"Berpotensi",IF(AND(E5101&lt;=3,E5101&gt;=2,F5101&gt;=3),"Rawan",IF(AND(E5101&lt;=2,F5101&lt;=2),"Tidur","Umum"))))))</f>
        <v/>
      </c>
    </row>
    <row r="5102">
      <c r="B5102">
        <f>IF(A5102="","",$B$1-MAXIFS(Donasi!$A$2:$A$20000,Donasi!$B$2:$B$20000,A5102))</f>
        <v/>
      </c>
      <c r="C5102">
        <f>IF(A5102="","",COUNTIF(Donasi!$B$2:$B$20000,A5102))</f>
        <v/>
      </c>
      <c r="D5102">
        <f>IF(A5102="","",SUMIF(Donasi!$B$2:$B$20000,A5102,Donasi!$C$2:$C$20000))</f>
        <v/>
      </c>
      <c r="E5102">
        <f>IF(A5102="","",6-CEILING(PERCENTRANK.INC($B$3:$B$6000,B5102,4)*5+0.000001,1))</f>
        <v/>
      </c>
      <c r="F5102">
        <f>IF(A5102="","",MAX(1,CEILING(PERCENTRANK.INC($C$3:$C$6000,C5102,4)*5+0.000001,1)))</f>
        <v/>
      </c>
      <c r="G5102">
        <f>IF(A5102="","",MAX(1,CEILING(PERCENTRANK.INC($D$3:$D$6000,D5102,4)*5+0.000001,1)))</f>
        <v/>
      </c>
      <c r="H5102">
        <f>IF(A5102="","",E5102&amp;F5102&amp;G5102)</f>
        <v/>
      </c>
      <c r="I5102">
        <f>IF(A5102="","",IF(AND(E5102&gt;=4,F5102&gt;=4,G5102&gt;=4),"Juara",IF(AND(F5102&gt;=4,E5102&gt;=3),"Setia",IF(AND(E5102=5,F5102&lt;=2,G5102&gt;=3),"Berpotensi",IF(AND(E5102&lt;=3,E5102&gt;=2,F5102&gt;=3),"Rawan",IF(AND(E5102&lt;=2,F5102&lt;=2),"Tidur","Umum"))))))</f>
        <v/>
      </c>
    </row>
    <row r="5103">
      <c r="B5103">
        <f>IF(A5103="","",$B$1-MAXIFS(Donasi!$A$2:$A$20000,Donasi!$B$2:$B$20000,A5103))</f>
        <v/>
      </c>
      <c r="C5103">
        <f>IF(A5103="","",COUNTIF(Donasi!$B$2:$B$20000,A5103))</f>
        <v/>
      </c>
      <c r="D5103">
        <f>IF(A5103="","",SUMIF(Donasi!$B$2:$B$20000,A5103,Donasi!$C$2:$C$20000))</f>
        <v/>
      </c>
      <c r="E5103">
        <f>IF(A5103="","",6-CEILING(PERCENTRANK.INC($B$3:$B$6000,B5103,4)*5+0.000001,1))</f>
        <v/>
      </c>
      <c r="F5103">
        <f>IF(A5103="","",MAX(1,CEILING(PERCENTRANK.INC($C$3:$C$6000,C5103,4)*5+0.000001,1)))</f>
        <v/>
      </c>
      <c r="G5103">
        <f>IF(A5103="","",MAX(1,CEILING(PERCENTRANK.INC($D$3:$D$6000,D5103,4)*5+0.000001,1)))</f>
        <v/>
      </c>
      <c r="H5103">
        <f>IF(A5103="","",E5103&amp;F5103&amp;G5103)</f>
        <v/>
      </c>
      <c r="I5103">
        <f>IF(A5103="","",IF(AND(E5103&gt;=4,F5103&gt;=4,G5103&gt;=4),"Juara",IF(AND(F5103&gt;=4,E5103&gt;=3),"Setia",IF(AND(E5103=5,F5103&lt;=2,G5103&gt;=3),"Berpotensi",IF(AND(E5103&lt;=3,E5103&gt;=2,F5103&gt;=3),"Rawan",IF(AND(E5103&lt;=2,F5103&lt;=2),"Tidur","Umum"))))))</f>
        <v/>
      </c>
    </row>
    <row r="5104">
      <c r="B5104">
        <f>IF(A5104="","",$B$1-MAXIFS(Donasi!$A$2:$A$20000,Donasi!$B$2:$B$20000,A5104))</f>
        <v/>
      </c>
      <c r="C5104">
        <f>IF(A5104="","",COUNTIF(Donasi!$B$2:$B$20000,A5104))</f>
        <v/>
      </c>
      <c r="D5104">
        <f>IF(A5104="","",SUMIF(Donasi!$B$2:$B$20000,A5104,Donasi!$C$2:$C$20000))</f>
        <v/>
      </c>
      <c r="E5104">
        <f>IF(A5104="","",6-CEILING(PERCENTRANK.INC($B$3:$B$6000,B5104,4)*5+0.000001,1))</f>
        <v/>
      </c>
      <c r="F5104">
        <f>IF(A5104="","",MAX(1,CEILING(PERCENTRANK.INC($C$3:$C$6000,C5104,4)*5+0.000001,1)))</f>
        <v/>
      </c>
      <c r="G5104">
        <f>IF(A5104="","",MAX(1,CEILING(PERCENTRANK.INC($D$3:$D$6000,D5104,4)*5+0.000001,1)))</f>
        <v/>
      </c>
      <c r="H5104">
        <f>IF(A5104="","",E5104&amp;F5104&amp;G5104)</f>
        <v/>
      </c>
      <c r="I5104">
        <f>IF(A5104="","",IF(AND(E5104&gt;=4,F5104&gt;=4,G5104&gt;=4),"Juara",IF(AND(F5104&gt;=4,E5104&gt;=3),"Setia",IF(AND(E5104=5,F5104&lt;=2,G5104&gt;=3),"Berpotensi",IF(AND(E5104&lt;=3,E5104&gt;=2,F5104&gt;=3),"Rawan",IF(AND(E5104&lt;=2,F5104&lt;=2),"Tidur","Umum"))))))</f>
        <v/>
      </c>
    </row>
    <row r="5105">
      <c r="B5105">
        <f>IF(A5105="","",$B$1-MAXIFS(Donasi!$A$2:$A$20000,Donasi!$B$2:$B$20000,A5105))</f>
        <v/>
      </c>
      <c r="C5105">
        <f>IF(A5105="","",COUNTIF(Donasi!$B$2:$B$20000,A5105))</f>
        <v/>
      </c>
      <c r="D5105">
        <f>IF(A5105="","",SUMIF(Donasi!$B$2:$B$20000,A5105,Donasi!$C$2:$C$20000))</f>
        <v/>
      </c>
      <c r="E5105">
        <f>IF(A5105="","",6-CEILING(PERCENTRANK.INC($B$3:$B$6000,B5105,4)*5+0.000001,1))</f>
        <v/>
      </c>
      <c r="F5105">
        <f>IF(A5105="","",MAX(1,CEILING(PERCENTRANK.INC($C$3:$C$6000,C5105,4)*5+0.000001,1)))</f>
        <v/>
      </c>
      <c r="G5105">
        <f>IF(A5105="","",MAX(1,CEILING(PERCENTRANK.INC($D$3:$D$6000,D5105,4)*5+0.000001,1)))</f>
        <v/>
      </c>
      <c r="H5105">
        <f>IF(A5105="","",E5105&amp;F5105&amp;G5105)</f>
        <v/>
      </c>
      <c r="I5105">
        <f>IF(A5105="","",IF(AND(E5105&gt;=4,F5105&gt;=4,G5105&gt;=4),"Juara",IF(AND(F5105&gt;=4,E5105&gt;=3),"Setia",IF(AND(E5105=5,F5105&lt;=2,G5105&gt;=3),"Berpotensi",IF(AND(E5105&lt;=3,E5105&gt;=2,F5105&gt;=3),"Rawan",IF(AND(E5105&lt;=2,F5105&lt;=2),"Tidur","Umum"))))))</f>
        <v/>
      </c>
    </row>
    <row r="5106">
      <c r="B5106">
        <f>IF(A5106="","",$B$1-MAXIFS(Donasi!$A$2:$A$20000,Donasi!$B$2:$B$20000,A5106))</f>
        <v/>
      </c>
      <c r="C5106">
        <f>IF(A5106="","",COUNTIF(Donasi!$B$2:$B$20000,A5106))</f>
        <v/>
      </c>
      <c r="D5106">
        <f>IF(A5106="","",SUMIF(Donasi!$B$2:$B$20000,A5106,Donasi!$C$2:$C$20000))</f>
        <v/>
      </c>
      <c r="E5106">
        <f>IF(A5106="","",6-CEILING(PERCENTRANK.INC($B$3:$B$6000,B5106,4)*5+0.000001,1))</f>
        <v/>
      </c>
      <c r="F5106">
        <f>IF(A5106="","",MAX(1,CEILING(PERCENTRANK.INC($C$3:$C$6000,C5106,4)*5+0.000001,1)))</f>
        <v/>
      </c>
      <c r="G5106">
        <f>IF(A5106="","",MAX(1,CEILING(PERCENTRANK.INC($D$3:$D$6000,D5106,4)*5+0.000001,1)))</f>
        <v/>
      </c>
      <c r="H5106">
        <f>IF(A5106="","",E5106&amp;F5106&amp;G5106)</f>
        <v/>
      </c>
      <c r="I5106">
        <f>IF(A5106="","",IF(AND(E5106&gt;=4,F5106&gt;=4,G5106&gt;=4),"Juara",IF(AND(F5106&gt;=4,E5106&gt;=3),"Setia",IF(AND(E5106=5,F5106&lt;=2,G5106&gt;=3),"Berpotensi",IF(AND(E5106&lt;=3,E5106&gt;=2,F5106&gt;=3),"Rawan",IF(AND(E5106&lt;=2,F5106&lt;=2),"Tidur","Umum"))))))</f>
        <v/>
      </c>
    </row>
    <row r="5107">
      <c r="B5107">
        <f>IF(A5107="","",$B$1-MAXIFS(Donasi!$A$2:$A$20000,Donasi!$B$2:$B$20000,A5107))</f>
        <v/>
      </c>
      <c r="C5107">
        <f>IF(A5107="","",COUNTIF(Donasi!$B$2:$B$20000,A5107))</f>
        <v/>
      </c>
      <c r="D5107">
        <f>IF(A5107="","",SUMIF(Donasi!$B$2:$B$20000,A5107,Donasi!$C$2:$C$20000))</f>
        <v/>
      </c>
      <c r="E5107">
        <f>IF(A5107="","",6-CEILING(PERCENTRANK.INC($B$3:$B$6000,B5107,4)*5+0.000001,1))</f>
        <v/>
      </c>
      <c r="F5107">
        <f>IF(A5107="","",MAX(1,CEILING(PERCENTRANK.INC($C$3:$C$6000,C5107,4)*5+0.000001,1)))</f>
        <v/>
      </c>
      <c r="G5107">
        <f>IF(A5107="","",MAX(1,CEILING(PERCENTRANK.INC($D$3:$D$6000,D5107,4)*5+0.000001,1)))</f>
        <v/>
      </c>
      <c r="H5107">
        <f>IF(A5107="","",E5107&amp;F5107&amp;G5107)</f>
        <v/>
      </c>
      <c r="I5107">
        <f>IF(A5107="","",IF(AND(E5107&gt;=4,F5107&gt;=4,G5107&gt;=4),"Juara",IF(AND(F5107&gt;=4,E5107&gt;=3),"Setia",IF(AND(E5107=5,F5107&lt;=2,G5107&gt;=3),"Berpotensi",IF(AND(E5107&lt;=3,E5107&gt;=2,F5107&gt;=3),"Rawan",IF(AND(E5107&lt;=2,F5107&lt;=2),"Tidur","Umum"))))))</f>
        <v/>
      </c>
    </row>
    <row r="5108">
      <c r="B5108">
        <f>IF(A5108="","",$B$1-MAXIFS(Donasi!$A$2:$A$20000,Donasi!$B$2:$B$20000,A5108))</f>
        <v/>
      </c>
      <c r="C5108">
        <f>IF(A5108="","",COUNTIF(Donasi!$B$2:$B$20000,A5108))</f>
        <v/>
      </c>
      <c r="D5108">
        <f>IF(A5108="","",SUMIF(Donasi!$B$2:$B$20000,A5108,Donasi!$C$2:$C$20000))</f>
        <v/>
      </c>
      <c r="E5108">
        <f>IF(A5108="","",6-CEILING(PERCENTRANK.INC($B$3:$B$6000,B5108,4)*5+0.000001,1))</f>
        <v/>
      </c>
      <c r="F5108">
        <f>IF(A5108="","",MAX(1,CEILING(PERCENTRANK.INC($C$3:$C$6000,C5108,4)*5+0.000001,1)))</f>
        <v/>
      </c>
      <c r="G5108">
        <f>IF(A5108="","",MAX(1,CEILING(PERCENTRANK.INC($D$3:$D$6000,D5108,4)*5+0.000001,1)))</f>
        <v/>
      </c>
      <c r="H5108">
        <f>IF(A5108="","",E5108&amp;F5108&amp;G5108)</f>
        <v/>
      </c>
      <c r="I5108">
        <f>IF(A5108="","",IF(AND(E5108&gt;=4,F5108&gt;=4,G5108&gt;=4),"Juara",IF(AND(F5108&gt;=4,E5108&gt;=3),"Setia",IF(AND(E5108=5,F5108&lt;=2,G5108&gt;=3),"Berpotensi",IF(AND(E5108&lt;=3,E5108&gt;=2,F5108&gt;=3),"Rawan",IF(AND(E5108&lt;=2,F5108&lt;=2),"Tidur","Umum"))))))</f>
        <v/>
      </c>
    </row>
    <row r="5109">
      <c r="B5109">
        <f>IF(A5109="","",$B$1-MAXIFS(Donasi!$A$2:$A$20000,Donasi!$B$2:$B$20000,A5109))</f>
        <v/>
      </c>
      <c r="C5109">
        <f>IF(A5109="","",COUNTIF(Donasi!$B$2:$B$20000,A5109))</f>
        <v/>
      </c>
      <c r="D5109">
        <f>IF(A5109="","",SUMIF(Donasi!$B$2:$B$20000,A5109,Donasi!$C$2:$C$20000))</f>
        <v/>
      </c>
      <c r="E5109">
        <f>IF(A5109="","",6-CEILING(PERCENTRANK.INC($B$3:$B$6000,B5109,4)*5+0.000001,1))</f>
        <v/>
      </c>
      <c r="F5109">
        <f>IF(A5109="","",MAX(1,CEILING(PERCENTRANK.INC($C$3:$C$6000,C5109,4)*5+0.000001,1)))</f>
        <v/>
      </c>
      <c r="G5109">
        <f>IF(A5109="","",MAX(1,CEILING(PERCENTRANK.INC($D$3:$D$6000,D5109,4)*5+0.000001,1)))</f>
        <v/>
      </c>
      <c r="H5109">
        <f>IF(A5109="","",E5109&amp;F5109&amp;G5109)</f>
        <v/>
      </c>
      <c r="I5109">
        <f>IF(A5109="","",IF(AND(E5109&gt;=4,F5109&gt;=4,G5109&gt;=4),"Juara",IF(AND(F5109&gt;=4,E5109&gt;=3),"Setia",IF(AND(E5109=5,F5109&lt;=2,G5109&gt;=3),"Berpotensi",IF(AND(E5109&lt;=3,E5109&gt;=2,F5109&gt;=3),"Rawan",IF(AND(E5109&lt;=2,F5109&lt;=2),"Tidur","Umum"))))))</f>
        <v/>
      </c>
    </row>
    <row r="5110">
      <c r="B5110">
        <f>IF(A5110="","",$B$1-MAXIFS(Donasi!$A$2:$A$20000,Donasi!$B$2:$B$20000,A5110))</f>
        <v/>
      </c>
      <c r="C5110">
        <f>IF(A5110="","",COUNTIF(Donasi!$B$2:$B$20000,A5110))</f>
        <v/>
      </c>
      <c r="D5110">
        <f>IF(A5110="","",SUMIF(Donasi!$B$2:$B$20000,A5110,Donasi!$C$2:$C$20000))</f>
        <v/>
      </c>
      <c r="E5110">
        <f>IF(A5110="","",6-CEILING(PERCENTRANK.INC($B$3:$B$6000,B5110,4)*5+0.000001,1))</f>
        <v/>
      </c>
      <c r="F5110">
        <f>IF(A5110="","",MAX(1,CEILING(PERCENTRANK.INC($C$3:$C$6000,C5110,4)*5+0.000001,1)))</f>
        <v/>
      </c>
      <c r="G5110">
        <f>IF(A5110="","",MAX(1,CEILING(PERCENTRANK.INC($D$3:$D$6000,D5110,4)*5+0.000001,1)))</f>
        <v/>
      </c>
      <c r="H5110">
        <f>IF(A5110="","",E5110&amp;F5110&amp;G5110)</f>
        <v/>
      </c>
      <c r="I5110">
        <f>IF(A5110="","",IF(AND(E5110&gt;=4,F5110&gt;=4,G5110&gt;=4),"Juara",IF(AND(F5110&gt;=4,E5110&gt;=3),"Setia",IF(AND(E5110=5,F5110&lt;=2,G5110&gt;=3),"Berpotensi",IF(AND(E5110&lt;=3,E5110&gt;=2,F5110&gt;=3),"Rawan",IF(AND(E5110&lt;=2,F5110&lt;=2),"Tidur","Umum"))))))</f>
        <v/>
      </c>
    </row>
    <row r="5111">
      <c r="B5111">
        <f>IF(A5111="","",$B$1-MAXIFS(Donasi!$A$2:$A$20000,Donasi!$B$2:$B$20000,A5111))</f>
        <v/>
      </c>
      <c r="C5111">
        <f>IF(A5111="","",COUNTIF(Donasi!$B$2:$B$20000,A5111))</f>
        <v/>
      </c>
      <c r="D5111">
        <f>IF(A5111="","",SUMIF(Donasi!$B$2:$B$20000,A5111,Donasi!$C$2:$C$20000))</f>
        <v/>
      </c>
      <c r="E5111">
        <f>IF(A5111="","",6-CEILING(PERCENTRANK.INC($B$3:$B$6000,B5111,4)*5+0.000001,1))</f>
        <v/>
      </c>
      <c r="F5111">
        <f>IF(A5111="","",MAX(1,CEILING(PERCENTRANK.INC($C$3:$C$6000,C5111,4)*5+0.000001,1)))</f>
        <v/>
      </c>
      <c r="G5111">
        <f>IF(A5111="","",MAX(1,CEILING(PERCENTRANK.INC($D$3:$D$6000,D5111,4)*5+0.000001,1)))</f>
        <v/>
      </c>
      <c r="H5111">
        <f>IF(A5111="","",E5111&amp;F5111&amp;G5111)</f>
        <v/>
      </c>
      <c r="I5111">
        <f>IF(A5111="","",IF(AND(E5111&gt;=4,F5111&gt;=4,G5111&gt;=4),"Juara",IF(AND(F5111&gt;=4,E5111&gt;=3),"Setia",IF(AND(E5111=5,F5111&lt;=2,G5111&gt;=3),"Berpotensi",IF(AND(E5111&lt;=3,E5111&gt;=2,F5111&gt;=3),"Rawan",IF(AND(E5111&lt;=2,F5111&lt;=2),"Tidur","Umum"))))))</f>
        <v/>
      </c>
    </row>
    <row r="5112">
      <c r="B5112">
        <f>IF(A5112="","",$B$1-MAXIFS(Donasi!$A$2:$A$20000,Donasi!$B$2:$B$20000,A5112))</f>
        <v/>
      </c>
      <c r="C5112">
        <f>IF(A5112="","",COUNTIF(Donasi!$B$2:$B$20000,A5112))</f>
        <v/>
      </c>
      <c r="D5112">
        <f>IF(A5112="","",SUMIF(Donasi!$B$2:$B$20000,A5112,Donasi!$C$2:$C$20000))</f>
        <v/>
      </c>
      <c r="E5112">
        <f>IF(A5112="","",6-CEILING(PERCENTRANK.INC($B$3:$B$6000,B5112,4)*5+0.000001,1))</f>
        <v/>
      </c>
      <c r="F5112">
        <f>IF(A5112="","",MAX(1,CEILING(PERCENTRANK.INC($C$3:$C$6000,C5112,4)*5+0.000001,1)))</f>
        <v/>
      </c>
      <c r="G5112">
        <f>IF(A5112="","",MAX(1,CEILING(PERCENTRANK.INC($D$3:$D$6000,D5112,4)*5+0.000001,1)))</f>
        <v/>
      </c>
      <c r="H5112">
        <f>IF(A5112="","",E5112&amp;F5112&amp;G5112)</f>
        <v/>
      </c>
      <c r="I5112">
        <f>IF(A5112="","",IF(AND(E5112&gt;=4,F5112&gt;=4,G5112&gt;=4),"Juara",IF(AND(F5112&gt;=4,E5112&gt;=3),"Setia",IF(AND(E5112=5,F5112&lt;=2,G5112&gt;=3),"Berpotensi",IF(AND(E5112&lt;=3,E5112&gt;=2,F5112&gt;=3),"Rawan",IF(AND(E5112&lt;=2,F5112&lt;=2),"Tidur","Umum"))))))</f>
        <v/>
      </c>
    </row>
    <row r="5113">
      <c r="B5113">
        <f>IF(A5113="","",$B$1-MAXIFS(Donasi!$A$2:$A$20000,Donasi!$B$2:$B$20000,A5113))</f>
        <v/>
      </c>
      <c r="C5113">
        <f>IF(A5113="","",COUNTIF(Donasi!$B$2:$B$20000,A5113))</f>
        <v/>
      </c>
      <c r="D5113">
        <f>IF(A5113="","",SUMIF(Donasi!$B$2:$B$20000,A5113,Donasi!$C$2:$C$20000))</f>
        <v/>
      </c>
      <c r="E5113">
        <f>IF(A5113="","",6-CEILING(PERCENTRANK.INC($B$3:$B$6000,B5113,4)*5+0.000001,1))</f>
        <v/>
      </c>
      <c r="F5113">
        <f>IF(A5113="","",MAX(1,CEILING(PERCENTRANK.INC($C$3:$C$6000,C5113,4)*5+0.000001,1)))</f>
        <v/>
      </c>
      <c r="G5113">
        <f>IF(A5113="","",MAX(1,CEILING(PERCENTRANK.INC($D$3:$D$6000,D5113,4)*5+0.000001,1)))</f>
        <v/>
      </c>
      <c r="H5113">
        <f>IF(A5113="","",E5113&amp;F5113&amp;G5113)</f>
        <v/>
      </c>
      <c r="I5113">
        <f>IF(A5113="","",IF(AND(E5113&gt;=4,F5113&gt;=4,G5113&gt;=4),"Juara",IF(AND(F5113&gt;=4,E5113&gt;=3),"Setia",IF(AND(E5113=5,F5113&lt;=2,G5113&gt;=3),"Berpotensi",IF(AND(E5113&lt;=3,E5113&gt;=2,F5113&gt;=3),"Rawan",IF(AND(E5113&lt;=2,F5113&lt;=2),"Tidur","Umum"))))))</f>
        <v/>
      </c>
    </row>
    <row r="5114">
      <c r="B5114">
        <f>IF(A5114="","",$B$1-MAXIFS(Donasi!$A$2:$A$20000,Donasi!$B$2:$B$20000,A5114))</f>
        <v/>
      </c>
      <c r="C5114">
        <f>IF(A5114="","",COUNTIF(Donasi!$B$2:$B$20000,A5114))</f>
        <v/>
      </c>
      <c r="D5114">
        <f>IF(A5114="","",SUMIF(Donasi!$B$2:$B$20000,A5114,Donasi!$C$2:$C$20000))</f>
        <v/>
      </c>
      <c r="E5114">
        <f>IF(A5114="","",6-CEILING(PERCENTRANK.INC($B$3:$B$6000,B5114,4)*5+0.000001,1))</f>
        <v/>
      </c>
      <c r="F5114">
        <f>IF(A5114="","",MAX(1,CEILING(PERCENTRANK.INC($C$3:$C$6000,C5114,4)*5+0.000001,1)))</f>
        <v/>
      </c>
      <c r="G5114">
        <f>IF(A5114="","",MAX(1,CEILING(PERCENTRANK.INC($D$3:$D$6000,D5114,4)*5+0.000001,1)))</f>
        <v/>
      </c>
      <c r="H5114">
        <f>IF(A5114="","",E5114&amp;F5114&amp;G5114)</f>
        <v/>
      </c>
      <c r="I5114">
        <f>IF(A5114="","",IF(AND(E5114&gt;=4,F5114&gt;=4,G5114&gt;=4),"Juara",IF(AND(F5114&gt;=4,E5114&gt;=3),"Setia",IF(AND(E5114=5,F5114&lt;=2,G5114&gt;=3),"Berpotensi",IF(AND(E5114&lt;=3,E5114&gt;=2,F5114&gt;=3),"Rawan",IF(AND(E5114&lt;=2,F5114&lt;=2),"Tidur","Umum"))))))</f>
        <v/>
      </c>
    </row>
    <row r="5115">
      <c r="B5115">
        <f>IF(A5115="","",$B$1-MAXIFS(Donasi!$A$2:$A$20000,Donasi!$B$2:$B$20000,A5115))</f>
        <v/>
      </c>
      <c r="C5115">
        <f>IF(A5115="","",COUNTIF(Donasi!$B$2:$B$20000,A5115))</f>
        <v/>
      </c>
      <c r="D5115">
        <f>IF(A5115="","",SUMIF(Donasi!$B$2:$B$20000,A5115,Donasi!$C$2:$C$20000))</f>
        <v/>
      </c>
      <c r="E5115">
        <f>IF(A5115="","",6-CEILING(PERCENTRANK.INC($B$3:$B$6000,B5115,4)*5+0.000001,1))</f>
        <v/>
      </c>
      <c r="F5115">
        <f>IF(A5115="","",MAX(1,CEILING(PERCENTRANK.INC($C$3:$C$6000,C5115,4)*5+0.000001,1)))</f>
        <v/>
      </c>
      <c r="G5115">
        <f>IF(A5115="","",MAX(1,CEILING(PERCENTRANK.INC($D$3:$D$6000,D5115,4)*5+0.000001,1)))</f>
        <v/>
      </c>
      <c r="H5115">
        <f>IF(A5115="","",E5115&amp;F5115&amp;G5115)</f>
        <v/>
      </c>
      <c r="I5115">
        <f>IF(A5115="","",IF(AND(E5115&gt;=4,F5115&gt;=4,G5115&gt;=4),"Juara",IF(AND(F5115&gt;=4,E5115&gt;=3),"Setia",IF(AND(E5115=5,F5115&lt;=2,G5115&gt;=3),"Berpotensi",IF(AND(E5115&lt;=3,E5115&gt;=2,F5115&gt;=3),"Rawan",IF(AND(E5115&lt;=2,F5115&lt;=2),"Tidur","Umum"))))))</f>
        <v/>
      </c>
    </row>
    <row r="5116">
      <c r="B5116">
        <f>IF(A5116="","",$B$1-MAXIFS(Donasi!$A$2:$A$20000,Donasi!$B$2:$B$20000,A5116))</f>
        <v/>
      </c>
      <c r="C5116">
        <f>IF(A5116="","",COUNTIF(Donasi!$B$2:$B$20000,A5116))</f>
        <v/>
      </c>
      <c r="D5116">
        <f>IF(A5116="","",SUMIF(Donasi!$B$2:$B$20000,A5116,Donasi!$C$2:$C$20000))</f>
        <v/>
      </c>
      <c r="E5116">
        <f>IF(A5116="","",6-CEILING(PERCENTRANK.INC($B$3:$B$6000,B5116,4)*5+0.000001,1))</f>
        <v/>
      </c>
      <c r="F5116">
        <f>IF(A5116="","",MAX(1,CEILING(PERCENTRANK.INC($C$3:$C$6000,C5116,4)*5+0.000001,1)))</f>
        <v/>
      </c>
      <c r="G5116">
        <f>IF(A5116="","",MAX(1,CEILING(PERCENTRANK.INC($D$3:$D$6000,D5116,4)*5+0.000001,1)))</f>
        <v/>
      </c>
      <c r="H5116">
        <f>IF(A5116="","",E5116&amp;F5116&amp;G5116)</f>
        <v/>
      </c>
      <c r="I5116">
        <f>IF(A5116="","",IF(AND(E5116&gt;=4,F5116&gt;=4,G5116&gt;=4),"Juara",IF(AND(F5116&gt;=4,E5116&gt;=3),"Setia",IF(AND(E5116=5,F5116&lt;=2,G5116&gt;=3),"Berpotensi",IF(AND(E5116&lt;=3,E5116&gt;=2,F5116&gt;=3),"Rawan",IF(AND(E5116&lt;=2,F5116&lt;=2),"Tidur","Umum"))))))</f>
        <v/>
      </c>
    </row>
    <row r="5117">
      <c r="B5117">
        <f>IF(A5117="","",$B$1-MAXIFS(Donasi!$A$2:$A$20000,Donasi!$B$2:$B$20000,A5117))</f>
        <v/>
      </c>
      <c r="C5117">
        <f>IF(A5117="","",COUNTIF(Donasi!$B$2:$B$20000,A5117))</f>
        <v/>
      </c>
      <c r="D5117">
        <f>IF(A5117="","",SUMIF(Donasi!$B$2:$B$20000,A5117,Donasi!$C$2:$C$20000))</f>
        <v/>
      </c>
      <c r="E5117">
        <f>IF(A5117="","",6-CEILING(PERCENTRANK.INC($B$3:$B$6000,B5117,4)*5+0.000001,1))</f>
        <v/>
      </c>
      <c r="F5117">
        <f>IF(A5117="","",MAX(1,CEILING(PERCENTRANK.INC($C$3:$C$6000,C5117,4)*5+0.000001,1)))</f>
        <v/>
      </c>
      <c r="G5117">
        <f>IF(A5117="","",MAX(1,CEILING(PERCENTRANK.INC($D$3:$D$6000,D5117,4)*5+0.000001,1)))</f>
        <v/>
      </c>
      <c r="H5117">
        <f>IF(A5117="","",E5117&amp;F5117&amp;G5117)</f>
        <v/>
      </c>
      <c r="I5117">
        <f>IF(A5117="","",IF(AND(E5117&gt;=4,F5117&gt;=4,G5117&gt;=4),"Juara",IF(AND(F5117&gt;=4,E5117&gt;=3),"Setia",IF(AND(E5117=5,F5117&lt;=2,G5117&gt;=3),"Berpotensi",IF(AND(E5117&lt;=3,E5117&gt;=2,F5117&gt;=3),"Rawan",IF(AND(E5117&lt;=2,F5117&lt;=2),"Tidur","Umum"))))))</f>
        <v/>
      </c>
    </row>
    <row r="5118">
      <c r="B5118">
        <f>IF(A5118="","",$B$1-MAXIFS(Donasi!$A$2:$A$20000,Donasi!$B$2:$B$20000,A5118))</f>
        <v/>
      </c>
      <c r="C5118">
        <f>IF(A5118="","",COUNTIF(Donasi!$B$2:$B$20000,A5118))</f>
        <v/>
      </c>
      <c r="D5118">
        <f>IF(A5118="","",SUMIF(Donasi!$B$2:$B$20000,A5118,Donasi!$C$2:$C$20000))</f>
        <v/>
      </c>
      <c r="E5118">
        <f>IF(A5118="","",6-CEILING(PERCENTRANK.INC($B$3:$B$6000,B5118,4)*5+0.000001,1))</f>
        <v/>
      </c>
      <c r="F5118">
        <f>IF(A5118="","",MAX(1,CEILING(PERCENTRANK.INC($C$3:$C$6000,C5118,4)*5+0.000001,1)))</f>
        <v/>
      </c>
      <c r="G5118">
        <f>IF(A5118="","",MAX(1,CEILING(PERCENTRANK.INC($D$3:$D$6000,D5118,4)*5+0.000001,1)))</f>
        <v/>
      </c>
      <c r="H5118">
        <f>IF(A5118="","",E5118&amp;F5118&amp;G5118)</f>
        <v/>
      </c>
      <c r="I5118">
        <f>IF(A5118="","",IF(AND(E5118&gt;=4,F5118&gt;=4,G5118&gt;=4),"Juara",IF(AND(F5118&gt;=4,E5118&gt;=3),"Setia",IF(AND(E5118=5,F5118&lt;=2,G5118&gt;=3),"Berpotensi",IF(AND(E5118&lt;=3,E5118&gt;=2,F5118&gt;=3),"Rawan",IF(AND(E5118&lt;=2,F5118&lt;=2),"Tidur","Umum"))))))</f>
        <v/>
      </c>
    </row>
    <row r="5119">
      <c r="B5119">
        <f>IF(A5119="","",$B$1-MAXIFS(Donasi!$A$2:$A$20000,Donasi!$B$2:$B$20000,A5119))</f>
        <v/>
      </c>
      <c r="C5119">
        <f>IF(A5119="","",COUNTIF(Donasi!$B$2:$B$20000,A5119))</f>
        <v/>
      </c>
      <c r="D5119">
        <f>IF(A5119="","",SUMIF(Donasi!$B$2:$B$20000,A5119,Donasi!$C$2:$C$20000))</f>
        <v/>
      </c>
      <c r="E5119">
        <f>IF(A5119="","",6-CEILING(PERCENTRANK.INC($B$3:$B$6000,B5119,4)*5+0.000001,1))</f>
        <v/>
      </c>
      <c r="F5119">
        <f>IF(A5119="","",MAX(1,CEILING(PERCENTRANK.INC($C$3:$C$6000,C5119,4)*5+0.000001,1)))</f>
        <v/>
      </c>
      <c r="G5119">
        <f>IF(A5119="","",MAX(1,CEILING(PERCENTRANK.INC($D$3:$D$6000,D5119,4)*5+0.000001,1)))</f>
        <v/>
      </c>
      <c r="H5119">
        <f>IF(A5119="","",E5119&amp;F5119&amp;G5119)</f>
        <v/>
      </c>
      <c r="I5119">
        <f>IF(A5119="","",IF(AND(E5119&gt;=4,F5119&gt;=4,G5119&gt;=4),"Juara",IF(AND(F5119&gt;=4,E5119&gt;=3),"Setia",IF(AND(E5119=5,F5119&lt;=2,G5119&gt;=3),"Berpotensi",IF(AND(E5119&lt;=3,E5119&gt;=2,F5119&gt;=3),"Rawan",IF(AND(E5119&lt;=2,F5119&lt;=2),"Tidur","Umum"))))))</f>
        <v/>
      </c>
    </row>
    <row r="5120">
      <c r="B5120">
        <f>IF(A5120="","",$B$1-MAXIFS(Donasi!$A$2:$A$20000,Donasi!$B$2:$B$20000,A5120))</f>
        <v/>
      </c>
      <c r="C5120">
        <f>IF(A5120="","",COUNTIF(Donasi!$B$2:$B$20000,A5120))</f>
        <v/>
      </c>
      <c r="D5120">
        <f>IF(A5120="","",SUMIF(Donasi!$B$2:$B$20000,A5120,Donasi!$C$2:$C$20000))</f>
        <v/>
      </c>
      <c r="E5120">
        <f>IF(A5120="","",6-CEILING(PERCENTRANK.INC($B$3:$B$6000,B5120,4)*5+0.000001,1))</f>
        <v/>
      </c>
      <c r="F5120">
        <f>IF(A5120="","",MAX(1,CEILING(PERCENTRANK.INC($C$3:$C$6000,C5120,4)*5+0.000001,1)))</f>
        <v/>
      </c>
      <c r="G5120">
        <f>IF(A5120="","",MAX(1,CEILING(PERCENTRANK.INC($D$3:$D$6000,D5120,4)*5+0.000001,1)))</f>
        <v/>
      </c>
      <c r="H5120">
        <f>IF(A5120="","",E5120&amp;F5120&amp;G5120)</f>
        <v/>
      </c>
      <c r="I5120">
        <f>IF(A5120="","",IF(AND(E5120&gt;=4,F5120&gt;=4,G5120&gt;=4),"Juara",IF(AND(F5120&gt;=4,E5120&gt;=3),"Setia",IF(AND(E5120=5,F5120&lt;=2,G5120&gt;=3),"Berpotensi",IF(AND(E5120&lt;=3,E5120&gt;=2,F5120&gt;=3),"Rawan",IF(AND(E5120&lt;=2,F5120&lt;=2),"Tidur","Umum"))))))</f>
        <v/>
      </c>
    </row>
    <row r="5121">
      <c r="B5121">
        <f>IF(A5121="","",$B$1-MAXIFS(Donasi!$A$2:$A$20000,Donasi!$B$2:$B$20000,A5121))</f>
        <v/>
      </c>
      <c r="C5121">
        <f>IF(A5121="","",COUNTIF(Donasi!$B$2:$B$20000,A5121))</f>
        <v/>
      </c>
      <c r="D5121">
        <f>IF(A5121="","",SUMIF(Donasi!$B$2:$B$20000,A5121,Donasi!$C$2:$C$20000))</f>
        <v/>
      </c>
      <c r="E5121">
        <f>IF(A5121="","",6-CEILING(PERCENTRANK.INC($B$3:$B$6000,B5121,4)*5+0.000001,1))</f>
        <v/>
      </c>
      <c r="F5121">
        <f>IF(A5121="","",MAX(1,CEILING(PERCENTRANK.INC($C$3:$C$6000,C5121,4)*5+0.000001,1)))</f>
        <v/>
      </c>
      <c r="G5121">
        <f>IF(A5121="","",MAX(1,CEILING(PERCENTRANK.INC($D$3:$D$6000,D5121,4)*5+0.000001,1)))</f>
        <v/>
      </c>
      <c r="H5121">
        <f>IF(A5121="","",E5121&amp;F5121&amp;G5121)</f>
        <v/>
      </c>
      <c r="I5121">
        <f>IF(A5121="","",IF(AND(E5121&gt;=4,F5121&gt;=4,G5121&gt;=4),"Juara",IF(AND(F5121&gt;=4,E5121&gt;=3),"Setia",IF(AND(E5121=5,F5121&lt;=2,G5121&gt;=3),"Berpotensi",IF(AND(E5121&lt;=3,E5121&gt;=2,F5121&gt;=3),"Rawan",IF(AND(E5121&lt;=2,F5121&lt;=2),"Tidur","Umum"))))))</f>
        <v/>
      </c>
    </row>
    <row r="5122">
      <c r="B5122">
        <f>IF(A5122="","",$B$1-MAXIFS(Donasi!$A$2:$A$20000,Donasi!$B$2:$B$20000,A5122))</f>
        <v/>
      </c>
      <c r="C5122">
        <f>IF(A5122="","",COUNTIF(Donasi!$B$2:$B$20000,A5122))</f>
        <v/>
      </c>
      <c r="D5122">
        <f>IF(A5122="","",SUMIF(Donasi!$B$2:$B$20000,A5122,Donasi!$C$2:$C$20000))</f>
        <v/>
      </c>
      <c r="E5122">
        <f>IF(A5122="","",6-CEILING(PERCENTRANK.INC($B$3:$B$6000,B5122,4)*5+0.000001,1))</f>
        <v/>
      </c>
      <c r="F5122">
        <f>IF(A5122="","",MAX(1,CEILING(PERCENTRANK.INC($C$3:$C$6000,C5122,4)*5+0.000001,1)))</f>
        <v/>
      </c>
      <c r="G5122">
        <f>IF(A5122="","",MAX(1,CEILING(PERCENTRANK.INC($D$3:$D$6000,D5122,4)*5+0.000001,1)))</f>
        <v/>
      </c>
      <c r="H5122">
        <f>IF(A5122="","",E5122&amp;F5122&amp;G5122)</f>
        <v/>
      </c>
      <c r="I5122">
        <f>IF(A5122="","",IF(AND(E5122&gt;=4,F5122&gt;=4,G5122&gt;=4),"Juara",IF(AND(F5122&gt;=4,E5122&gt;=3),"Setia",IF(AND(E5122=5,F5122&lt;=2,G5122&gt;=3),"Berpotensi",IF(AND(E5122&lt;=3,E5122&gt;=2,F5122&gt;=3),"Rawan",IF(AND(E5122&lt;=2,F5122&lt;=2),"Tidur","Umum"))))))</f>
        <v/>
      </c>
    </row>
    <row r="5123">
      <c r="B5123">
        <f>IF(A5123="","",$B$1-MAXIFS(Donasi!$A$2:$A$20000,Donasi!$B$2:$B$20000,A5123))</f>
        <v/>
      </c>
      <c r="C5123">
        <f>IF(A5123="","",COUNTIF(Donasi!$B$2:$B$20000,A5123))</f>
        <v/>
      </c>
      <c r="D5123">
        <f>IF(A5123="","",SUMIF(Donasi!$B$2:$B$20000,A5123,Donasi!$C$2:$C$20000))</f>
        <v/>
      </c>
      <c r="E5123">
        <f>IF(A5123="","",6-CEILING(PERCENTRANK.INC($B$3:$B$6000,B5123,4)*5+0.000001,1))</f>
        <v/>
      </c>
      <c r="F5123">
        <f>IF(A5123="","",MAX(1,CEILING(PERCENTRANK.INC($C$3:$C$6000,C5123,4)*5+0.000001,1)))</f>
        <v/>
      </c>
      <c r="G5123">
        <f>IF(A5123="","",MAX(1,CEILING(PERCENTRANK.INC($D$3:$D$6000,D5123,4)*5+0.000001,1)))</f>
        <v/>
      </c>
      <c r="H5123">
        <f>IF(A5123="","",E5123&amp;F5123&amp;G5123)</f>
        <v/>
      </c>
      <c r="I5123">
        <f>IF(A5123="","",IF(AND(E5123&gt;=4,F5123&gt;=4,G5123&gt;=4),"Juara",IF(AND(F5123&gt;=4,E5123&gt;=3),"Setia",IF(AND(E5123=5,F5123&lt;=2,G5123&gt;=3),"Berpotensi",IF(AND(E5123&lt;=3,E5123&gt;=2,F5123&gt;=3),"Rawan",IF(AND(E5123&lt;=2,F5123&lt;=2),"Tidur","Umum"))))))</f>
        <v/>
      </c>
    </row>
    <row r="5124">
      <c r="B5124">
        <f>IF(A5124="","",$B$1-MAXIFS(Donasi!$A$2:$A$20000,Donasi!$B$2:$B$20000,A5124))</f>
        <v/>
      </c>
      <c r="C5124">
        <f>IF(A5124="","",COUNTIF(Donasi!$B$2:$B$20000,A5124))</f>
        <v/>
      </c>
      <c r="D5124">
        <f>IF(A5124="","",SUMIF(Donasi!$B$2:$B$20000,A5124,Donasi!$C$2:$C$20000))</f>
        <v/>
      </c>
      <c r="E5124">
        <f>IF(A5124="","",6-CEILING(PERCENTRANK.INC($B$3:$B$6000,B5124,4)*5+0.000001,1))</f>
        <v/>
      </c>
      <c r="F5124">
        <f>IF(A5124="","",MAX(1,CEILING(PERCENTRANK.INC($C$3:$C$6000,C5124,4)*5+0.000001,1)))</f>
        <v/>
      </c>
      <c r="G5124">
        <f>IF(A5124="","",MAX(1,CEILING(PERCENTRANK.INC($D$3:$D$6000,D5124,4)*5+0.000001,1)))</f>
        <v/>
      </c>
      <c r="H5124">
        <f>IF(A5124="","",E5124&amp;F5124&amp;G5124)</f>
        <v/>
      </c>
      <c r="I5124">
        <f>IF(A5124="","",IF(AND(E5124&gt;=4,F5124&gt;=4,G5124&gt;=4),"Juara",IF(AND(F5124&gt;=4,E5124&gt;=3),"Setia",IF(AND(E5124=5,F5124&lt;=2,G5124&gt;=3),"Berpotensi",IF(AND(E5124&lt;=3,E5124&gt;=2,F5124&gt;=3),"Rawan",IF(AND(E5124&lt;=2,F5124&lt;=2),"Tidur","Umum"))))))</f>
        <v/>
      </c>
    </row>
    <row r="5125">
      <c r="B5125">
        <f>IF(A5125="","",$B$1-MAXIFS(Donasi!$A$2:$A$20000,Donasi!$B$2:$B$20000,A5125))</f>
        <v/>
      </c>
      <c r="C5125">
        <f>IF(A5125="","",COUNTIF(Donasi!$B$2:$B$20000,A5125))</f>
        <v/>
      </c>
      <c r="D5125">
        <f>IF(A5125="","",SUMIF(Donasi!$B$2:$B$20000,A5125,Donasi!$C$2:$C$20000))</f>
        <v/>
      </c>
      <c r="E5125">
        <f>IF(A5125="","",6-CEILING(PERCENTRANK.INC($B$3:$B$6000,B5125,4)*5+0.000001,1))</f>
        <v/>
      </c>
      <c r="F5125">
        <f>IF(A5125="","",MAX(1,CEILING(PERCENTRANK.INC($C$3:$C$6000,C5125,4)*5+0.000001,1)))</f>
        <v/>
      </c>
      <c r="G5125">
        <f>IF(A5125="","",MAX(1,CEILING(PERCENTRANK.INC($D$3:$D$6000,D5125,4)*5+0.000001,1)))</f>
        <v/>
      </c>
      <c r="H5125">
        <f>IF(A5125="","",E5125&amp;F5125&amp;G5125)</f>
        <v/>
      </c>
      <c r="I5125">
        <f>IF(A5125="","",IF(AND(E5125&gt;=4,F5125&gt;=4,G5125&gt;=4),"Juara",IF(AND(F5125&gt;=4,E5125&gt;=3),"Setia",IF(AND(E5125=5,F5125&lt;=2,G5125&gt;=3),"Berpotensi",IF(AND(E5125&lt;=3,E5125&gt;=2,F5125&gt;=3),"Rawan",IF(AND(E5125&lt;=2,F5125&lt;=2),"Tidur","Umum"))))))</f>
        <v/>
      </c>
    </row>
    <row r="5126">
      <c r="B5126">
        <f>IF(A5126="","",$B$1-MAXIFS(Donasi!$A$2:$A$20000,Donasi!$B$2:$B$20000,A5126))</f>
        <v/>
      </c>
      <c r="C5126">
        <f>IF(A5126="","",COUNTIF(Donasi!$B$2:$B$20000,A5126))</f>
        <v/>
      </c>
      <c r="D5126">
        <f>IF(A5126="","",SUMIF(Donasi!$B$2:$B$20000,A5126,Donasi!$C$2:$C$20000))</f>
        <v/>
      </c>
      <c r="E5126">
        <f>IF(A5126="","",6-CEILING(PERCENTRANK.INC($B$3:$B$6000,B5126,4)*5+0.000001,1))</f>
        <v/>
      </c>
      <c r="F5126">
        <f>IF(A5126="","",MAX(1,CEILING(PERCENTRANK.INC($C$3:$C$6000,C5126,4)*5+0.000001,1)))</f>
        <v/>
      </c>
      <c r="G5126">
        <f>IF(A5126="","",MAX(1,CEILING(PERCENTRANK.INC($D$3:$D$6000,D5126,4)*5+0.000001,1)))</f>
        <v/>
      </c>
      <c r="H5126">
        <f>IF(A5126="","",E5126&amp;F5126&amp;G5126)</f>
        <v/>
      </c>
      <c r="I5126">
        <f>IF(A5126="","",IF(AND(E5126&gt;=4,F5126&gt;=4,G5126&gt;=4),"Juara",IF(AND(F5126&gt;=4,E5126&gt;=3),"Setia",IF(AND(E5126=5,F5126&lt;=2,G5126&gt;=3),"Berpotensi",IF(AND(E5126&lt;=3,E5126&gt;=2,F5126&gt;=3),"Rawan",IF(AND(E5126&lt;=2,F5126&lt;=2),"Tidur","Umum"))))))</f>
        <v/>
      </c>
    </row>
    <row r="5127">
      <c r="B5127">
        <f>IF(A5127="","",$B$1-MAXIFS(Donasi!$A$2:$A$20000,Donasi!$B$2:$B$20000,A5127))</f>
        <v/>
      </c>
      <c r="C5127">
        <f>IF(A5127="","",COUNTIF(Donasi!$B$2:$B$20000,A5127))</f>
        <v/>
      </c>
      <c r="D5127">
        <f>IF(A5127="","",SUMIF(Donasi!$B$2:$B$20000,A5127,Donasi!$C$2:$C$20000))</f>
        <v/>
      </c>
      <c r="E5127">
        <f>IF(A5127="","",6-CEILING(PERCENTRANK.INC($B$3:$B$6000,B5127,4)*5+0.000001,1))</f>
        <v/>
      </c>
      <c r="F5127">
        <f>IF(A5127="","",MAX(1,CEILING(PERCENTRANK.INC($C$3:$C$6000,C5127,4)*5+0.000001,1)))</f>
        <v/>
      </c>
      <c r="G5127">
        <f>IF(A5127="","",MAX(1,CEILING(PERCENTRANK.INC($D$3:$D$6000,D5127,4)*5+0.000001,1)))</f>
        <v/>
      </c>
      <c r="H5127">
        <f>IF(A5127="","",E5127&amp;F5127&amp;G5127)</f>
        <v/>
      </c>
      <c r="I5127">
        <f>IF(A5127="","",IF(AND(E5127&gt;=4,F5127&gt;=4,G5127&gt;=4),"Juara",IF(AND(F5127&gt;=4,E5127&gt;=3),"Setia",IF(AND(E5127=5,F5127&lt;=2,G5127&gt;=3),"Berpotensi",IF(AND(E5127&lt;=3,E5127&gt;=2,F5127&gt;=3),"Rawan",IF(AND(E5127&lt;=2,F5127&lt;=2),"Tidur","Umum"))))))</f>
        <v/>
      </c>
    </row>
    <row r="5128">
      <c r="B5128">
        <f>IF(A5128="","",$B$1-MAXIFS(Donasi!$A$2:$A$20000,Donasi!$B$2:$B$20000,A5128))</f>
        <v/>
      </c>
      <c r="C5128">
        <f>IF(A5128="","",COUNTIF(Donasi!$B$2:$B$20000,A5128))</f>
        <v/>
      </c>
      <c r="D5128">
        <f>IF(A5128="","",SUMIF(Donasi!$B$2:$B$20000,A5128,Donasi!$C$2:$C$20000))</f>
        <v/>
      </c>
      <c r="E5128">
        <f>IF(A5128="","",6-CEILING(PERCENTRANK.INC($B$3:$B$6000,B5128,4)*5+0.000001,1))</f>
        <v/>
      </c>
      <c r="F5128">
        <f>IF(A5128="","",MAX(1,CEILING(PERCENTRANK.INC($C$3:$C$6000,C5128,4)*5+0.000001,1)))</f>
        <v/>
      </c>
      <c r="G5128">
        <f>IF(A5128="","",MAX(1,CEILING(PERCENTRANK.INC($D$3:$D$6000,D5128,4)*5+0.000001,1)))</f>
        <v/>
      </c>
      <c r="H5128">
        <f>IF(A5128="","",E5128&amp;F5128&amp;G5128)</f>
        <v/>
      </c>
      <c r="I5128">
        <f>IF(A5128="","",IF(AND(E5128&gt;=4,F5128&gt;=4,G5128&gt;=4),"Juara",IF(AND(F5128&gt;=4,E5128&gt;=3),"Setia",IF(AND(E5128=5,F5128&lt;=2,G5128&gt;=3),"Berpotensi",IF(AND(E5128&lt;=3,E5128&gt;=2,F5128&gt;=3),"Rawan",IF(AND(E5128&lt;=2,F5128&lt;=2),"Tidur","Umum"))))))</f>
        <v/>
      </c>
    </row>
    <row r="5129">
      <c r="B5129">
        <f>IF(A5129="","",$B$1-MAXIFS(Donasi!$A$2:$A$20000,Donasi!$B$2:$B$20000,A5129))</f>
        <v/>
      </c>
      <c r="C5129">
        <f>IF(A5129="","",COUNTIF(Donasi!$B$2:$B$20000,A5129))</f>
        <v/>
      </c>
      <c r="D5129">
        <f>IF(A5129="","",SUMIF(Donasi!$B$2:$B$20000,A5129,Donasi!$C$2:$C$20000))</f>
        <v/>
      </c>
      <c r="E5129">
        <f>IF(A5129="","",6-CEILING(PERCENTRANK.INC($B$3:$B$6000,B5129,4)*5+0.000001,1))</f>
        <v/>
      </c>
      <c r="F5129">
        <f>IF(A5129="","",MAX(1,CEILING(PERCENTRANK.INC($C$3:$C$6000,C5129,4)*5+0.000001,1)))</f>
        <v/>
      </c>
      <c r="G5129">
        <f>IF(A5129="","",MAX(1,CEILING(PERCENTRANK.INC($D$3:$D$6000,D5129,4)*5+0.000001,1)))</f>
        <v/>
      </c>
      <c r="H5129">
        <f>IF(A5129="","",E5129&amp;F5129&amp;G5129)</f>
        <v/>
      </c>
      <c r="I5129">
        <f>IF(A5129="","",IF(AND(E5129&gt;=4,F5129&gt;=4,G5129&gt;=4),"Juara",IF(AND(F5129&gt;=4,E5129&gt;=3),"Setia",IF(AND(E5129=5,F5129&lt;=2,G5129&gt;=3),"Berpotensi",IF(AND(E5129&lt;=3,E5129&gt;=2,F5129&gt;=3),"Rawan",IF(AND(E5129&lt;=2,F5129&lt;=2),"Tidur","Umum"))))))</f>
        <v/>
      </c>
    </row>
    <row r="5130">
      <c r="B5130">
        <f>IF(A5130="","",$B$1-MAXIFS(Donasi!$A$2:$A$20000,Donasi!$B$2:$B$20000,A5130))</f>
        <v/>
      </c>
      <c r="C5130">
        <f>IF(A5130="","",COUNTIF(Donasi!$B$2:$B$20000,A5130))</f>
        <v/>
      </c>
      <c r="D5130">
        <f>IF(A5130="","",SUMIF(Donasi!$B$2:$B$20000,A5130,Donasi!$C$2:$C$20000))</f>
        <v/>
      </c>
      <c r="E5130">
        <f>IF(A5130="","",6-CEILING(PERCENTRANK.INC($B$3:$B$6000,B5130,4)*5+0.000001,1))</f>
        <v/>
      </c>
      <c r="F5130">
        <f>IF(A5130="","",MAX(1,CEILING(PERCENTRANK.INC($C$3:$C$6000,C5130,4)*5+0.000001,1)))</f>
        <v/>
      </c>
      <c r="G5130">
        <f>IF(A5130="","",MAX(1,CEILING(PERCENTRANK.INC($D$3:$D$6000,D5130,4)*5+0.000001,1)))</f>
        <v/>
      </c>
      <c r="H5130">
        <f>IF(A5130="","",E5130&amp;F5130&amp;G5130)</f>
        <v/>
      </c>
      <c r="I5130">
        <f>IF(A5130="","",IF(AND(E5130&gt;=4,F5130&gt;=4,G5130&gt;=4),"Juara",IF(AND(F5130&gt;=4,E5130&gt;=3),"Setia",IF(AND(E5130=5,F5130&lt;=2,G5130&gt;=3),"Berpotensi",IF(AND(E5130&lt;=3,E5130&gt;=2,F5130&gt;=3),"Rawan",IF(AND(E5130&lt;=2,F5130&lt;=2),"Tidur","Umum"))))))</f>
        <v/>
      </c>
    </row>
    <row r="5131">
      <c r="B5131">
        <f>IF(A5131="","",$B$1-MAXIFS(Donasi!$A$2:$A$20000,Donasi!$B$2:$B$20000,A5131))</f>
        <v/>
      </c>
      <c r="C5131">
        <f>IF(A5131="","",COUNTIF(Donasi!$B$2:$B$20000,A5131))</f>
        <v/>
      </c>
      <c r="D5131">
        <f>IF(A5131="","",SUMIF(Donasi!$B$2:$B$20000,A5131,Donasi!$C$2:$C$20000))</f>
        <v/>
      </c>
      <c r="E5131">
        <f>IF(A5131="","",6-CEILING(PERCENTRANK.INC($B$3:$B$6000,B5131,4)*5+0.000001,1))</f>
        <v/>
      </c>
      <c r="F5131">
        <f>IF(A5131="","",MAX(1,CEILING(PERCENTRANK.INC($C$3:$C$6000,C5131,4)*5+0.000001,1)))</f>
        <v/>
      </c>
      <c r="G5131">
        <f>IF(A5131="","",MAX(1,CEILING(PERCENTRANK.INC($D$3:$D$6000,D5131,4)*5+0.000001,1)))</f>
        <v/>
      </c>
      <c r="H5131">
        <f>IF(A5131="","",E5131&amp;F5131&amp;G5131)</f>
        <v/>
      </c>
      <c r="I5131">
        <f>IF(A5131="","",IF(AND(E5131&gt;=4,F5131&gt;=4,G5131&gt;=4),"Juara",IF(AND(F5131&gt;=4,E5131&gt;=3),"Setia",IF(AND(E5131=5,F5131&lt;=2,G5131&gt;=3),"Berpotensi",IF(AND(E5131&lt;=3,E5131&gt;=2,F5131&gt;=3),"Rawan",IF(AND(E5131&lt;=2,F5131&lt;=2),"Tidur","Umum"))))))</f>
        <v/>
      </c>
    </row>
    <row r="5132">
      <c r="B5132">
        <f>IF(A5132="","",$B$1-MAXIFS(Donasi!$A$2:$A$20000,Donasi!$B$2:$B$20000,A5132))</f>
        <v/>
      </c>
      <c r="C5132">
        <f>IF(A5132="","",COUNTIF(Donasi!$B$2:$B$20000,A5132))</f>
        <v/>
      </c>
      <c r="D5132">
        <f>IF(A5132="","",SUMIF(Donasi!$B$2:$B$20000,A5132,Donasi!$C$2:$C$20000))</f>
        <v/>
      </c>
      <c r="E5132">
        <f>IF(A5132="","",6-CEILING(PERCENTRANK.INC($B$3:$B$6000,B5132,4)*5+0.000001,1))</f>
        <v/>
      </c>
      <c r="F5132">
        <f>IF(A5132="","",MAX(1,CEILING(PERCENTRANK.INC($C$3:$C$6000,C5132,4)*5+0.000001,1)))</f>
        <v/>
      </c>
      <c r="G5132">
        <f>IF(A5132="","",MAX(1,CEILING(PERCENTRANK.INC($D$3:$D$6000,D5132,4)*5+0.000001,1)))</f>
        <v/>
      </c>
      <c r="H5132">
        <f>IF(A5132="","",E5132&amp;F5132&amp;G5132)</f>
        <v/>
      </c>
      <c r="I5132">
        <f>IF(A5132="","",IF(AND(E5132&gt;=4,F5132&gt;=4,G5132&gt;=4),"Juara",IF(AND(F5132&gt;=4,E5132&gt;=3),"Setia",IF(AND(E5132=5,F5132&lt;=2,G5132&gt;=3),"Berpotensi",IF(AND(E5132&lt;=3,E5132&gt;=2,F5132&gt;=3),"Rawan",IF(AND(E5132&lt;=2,F5132&lt;=2),"Tidur","Umum"))))))</f>
        <v/>
      </c>
    </row>
    <row r="5133">
      <c r="B5133">
        <f>IF(A5133="","",$B$1-MAXIFS(Donasi!$A$2:$A$20000,Donasi!$B$2:$B$20000,A5133))</f>
        <v/>
      </c>
      <c r="C5133">
        <f>IF(A5133="","",COUNTIF(Donasi!$B$2:$B$20000,A5133))</f>
        <v/>
      </c>
      <c r="D5133">
        <f>IF(A5133="","",SUMIF(Donasi!$B$2:$B$20000,A5133,Donasi!$C$2:$C$20000))</f>
        <v/>
      </c>
      <c r="E5133">
        <f>IF(A5133="","",6-CEILING(PERCENTRANK.INC($B$3:$B$6000,B5133,4)*5+0.000001,1))</f>
        <v/>
      </c>
      <c r="F5133">
        <f>IF(A5133="","",MAX(1,CEILING(PERCENTRANK.INC($C$3:$C$6000,C5133,4)*5+0.000001,1)))</f>
        <v/>
      </c>
      <c r="G5133">
        <f>IF(A5133="","",MAX(1,CEILING(PERCENTRANK.INC($D$3:$D$6000,D5133,4)*5+0.000001,1)))</f>
        <v/>
      </c>
      <c r="H5133">
        <f>IF(A5133="","",E5133&amp;F5133&amp;G5133)</f>
        <v/>
      </c>
      <c r="I5133">
        <f>IF(A5133="","",IF(AND(E5133&gt;=4,F5133&gt;=4,G5133&gt;=4),"Juara",IF(AND(F5133&gt;=4,E5133&gt;=3),"Setia",IF(AND(E5133=5,F5133&lt;=2,G5133&gt;=3),"Berpotensi",IF(AND(E5133&lt;=3,E5133&gt;=2,F5133&gt;=3),"Rawan",IF(AND(E5133&lt;=2,F5133&lt;=2),"Tidur","Umum"))))))</f>
        <v/>
      </c>
    </row>
    <row r="5134">
      <c r="B5134">
        <f>IF(A5134="","",$B$1-MAXIFS(Donasi!$A$2:$A$20000,Donasi!$B$2:$B$20000,A5134))</f>
        <v/>
      </c>
      <c r="C5134">
        <f>IF(A5134="","",COUNTIF(Donasi!$B$2:$B$20000,A5134))</f>
        <v/>
      </c>
      <c r="D5134">
        <f>IF(A5134="","",SUMIF(Donasi!$B$2:$B$20000,A5134,Donasi!$C$2:$C$20000))</f>
        <v/>
      </c>
      <c r="E5134">
        <f>IF(A5134="","",6-CEILING(PERCENTRANK.INC($B$3:$B$6000,B5134,4)*5+0.000001,1))</f>
        <v/>
      </c>
      <c r="F5134">
        <f>IF(A5134="","",MAX(1,CEILING(PERCENTRANK.INC($C$3:$C$6000,C5134,4)*5+0.000001,1)))</f>
        <v/>
      </c>
      <c r="G5134">
        <f>IF(A5134="","",MAX(1,CEILING(PERCENTRANK.INC($D$3:$D$6000,D5134,4)*5+0.000001,1)))</f>
        <v/>
      </c>
      <c r="H5134">
        <f>IF(A5134="","",E5134&amp;F5134&amp;G5134)</f>
        <v/>
      </c>
      <c r="I5134">
        <f>IF(A5134="","",IF(AND(E5134&gt;=4,F5134&gt;=4,G5134&gt;=4),"Juara",IF(AND(F5134&gt;=4,E5134&gt;=3),"Setia",IF(AND(E5134=5,F5134&lt;=2,G5134&gt;=3),"Berpotensi",IF(AND(E5134&lt;=3,E5134&gt;=2,F5134&gt;=3),"Rawan",IF(AND(E5134&lt;=2,F5134&lt;=2),"Tidur","Umum"))))))</f>
        <v/>
      </c>
    </row>
    <row r="5135">
      <c r="B5135">
        <f>IF(A5135="","",$B$1-MAXIFS(Donasi!$A$2:$A$20000,Donasi!$B$2:$B$20000,A5135))</f>
        <v/>
      </c>
      <c r="C5135">
        <f>IF(A5135="","",COUNTIF(Donasi!$B$2:$B$20000,A5135))</f>
        <v/>
      </c>
      <c r="D5135">
        <f>IF(A5135="","",SUMIF(Donasi!$B$2:$B$20000,A5135,Donasi!$C$2:$C$20000))</f>
        <v/>
      </c>
      <c r="E5135">
        <f>IF(A5135="","",6-CEILING(PERCENTRANK.INC($B$3:$B$6000,B5135,4)*5+0.000001,1))</f>
        <v/>
      </c>
      <c r="F5135">
        <f>IF(A5135="","",MAX(1,CEILING(PERCENTRANK.INC($C$3:$C$6000,C5135,4)*5+0.000001,1)))</f>
        <v/>
      </c>
      <c r="G5135">
        <f>IF(A5135="","",MAX(1,CEILING(PERCENTRANK.INC($D$3:$D$6000,D5135,4)*5+0.000001,1)))</f>
        <v/>
      </c>
      <c r="H5135">
        <f>IF(A5135="","",E5135&amp;F5135&amp;G5135)</f>
        <v/>
      </c>
      <c r="I5135">
        <f>IF(A5135="","",IF(AND(E5135&gt;=4,F5135&gt;=4,G5135&gt;=4),"Juara",IF(AND(F5135&gt;=4,E5135&gt;=3),"Setia",IF(AND(E5135=5,F5135&lt;=2,G5135&gt;=3),"Berpotensi",IF(AND(E5135&lt;=3,E5135&gt;=2,F5135&gt;=3),"Rawan",IF(AND(E5135&lt;=2,F5135&lt;=2),"Tidur","Umum"))))))</f>
        <v/>
      </c>
    </row>
    <row r="5136">
      <c r="B5136">
        <f>IF(A5136="","",$B$1-MAXIFS(Donasi!$A$2:$A$20000,Donasi!$B$2:$B$20000,A5136))</f>
        <v/>
      </c>
      <c r="C5136">
        <f>IF(A5136="","",COUNTIF(Donasi!$B$2:$B$20000,A5136))</f>
        <v/>
      </c>
      <c r="D5136">
        <f>IF(A5136="","",SUMIF(Donasi!$B$2:$B$20000,A5136,Donasi!$C$2:$C$20000))</f>
        <v/>
      </c>
      <c r="E5136">
        <f>IF(A5136="","",6-CEILING(PERCENTRANK.INC($B$3:$B$6000,B5136,4)*5+0.000001,1))</f>
        <v/>
      </c>
      <c r="F5136">
        <f>IF(A5136="","",MAX(1,CEILING(PERCENTRANK.INC($C$3:$C$6000,C5136,4)*5+0.000001,1)))</f>
        <v/>
      </c>
      <c r="G5136">
        <f>IF(A5136="","",MAX(1,CEILING(PERCENTRANK.INC($D$3:$D$6000,D5136,4)*5+0.000001,1)))</f>
        <v/>
      </c>
      <c r="H5136">
        <f>IF(A5136="","",E5136&amp;F5136&amp;G5136)</f>
        <v/>
      </c>
      <c r="I5136">
        <f>IF(A5136="","",IF(AND(E5136&gt;=4,F5136&gt;=4,G5136&gt;=4),"Juara",IF(AND(F5136&gt;=4,E5136&gt;=3),"Setia",IF(AND(E5136=5,F5136&lt;=2,G5136&gt;=3),"Berpotensi",IF(AND(E5136&lt;=3,E5136&gt;=2,F5136&gt;=3),"Rawan",IF(AND(E5136&lt;=2,F5136&lt;=2),"Tidur","Umum"))))))</f>
        <v/>
      </c>
    </row>
    <row r="5137">
      <c r="B5137">
        <f>IF(A5137="","",$B$1-MAXIFS(Donasi!$A$2:$A$20000,Donasi!$B$2:$B$20000,A5137))</f>
        <v/>
      </c>
      <c r="C5137">
        <f>IF(A5137="","",COUNTIF(Donasi!$B$2:$B$20000,A5137))</f>
        <v/>
      </c>
      <c r="D5137">
        <f>IF(A5137="","",SUMIF(Donasi!$B$2:$B$20000,A5137,Donasi!$C$2:$C$20000))</f>
        <v/>
      </c>
      <c r="E5137">
        <f>IF(A5137="","",6-CEILING(PERCENTRANK.INC($B$3:$B$6000,B5137,4)*5+0.000001,1))</f>
        <v/>
      </c>
      <c r="F5137">
        <f>IF(A5137="","",MAX(1,CEILING(PERCENTRANK.INC($C$3:$C$6000,C5137,4)*5+0.000001,1)))</f>
        <v/>
      </c>
      <c r="G5137">
        <f>IF(A5137="","",MAX(1,CEILING(PERCENTRANK.INC($D$3:$D$6000,D5137,4)*5+0.000001,1)))</f>
        <v/>
      </c>
      <c r="H5137">
        <f>IF(A5137="","",E5137&amp;F5137&amp;G5137)</f>
        <v/>
      </c>
      <c r="I5137">
        <f>IF(A5137="","",IF(AND(E5137&gt;=4,F5137&gt;=4,G5137&gt;=4),"Juara",IF(AND(F5137&gt;=4,E5137&gt;=3),"Setia",IF(AND(E5137=5,F5137&lt;=2,G5137&gt;=3),"Berpotensi",IF(AND(E5137&lt;=3,E5137&gt;=2,F5137&gt;=3),"Rawan",IF(AND(E5137&lt;=2,F5137&lt;=2),"Tidur","Umum"))))))</f>
        <v/>
      </c>
    </row>
    <row r="5138">
      <c r="B5138">
        <f>IF(A5138="","",$B$1-MAXIFS(Donasi!$A$2:$A$20000,Donasi!$B$2:$B$20000,A5138))</f>
        <v/>
      </c>
      <c r="C5138">
        <f>IF(A5138="","",COUNTIF(Donasi!$B$2:$B$20000,A5138))</f>
        <v/>
      </c>
      <c r="D5138">
        <f>IF(A5138="","",SUMIF(Donasi!$B$2:$B$20000,A5138,Donasi!$C$2:$C$20000))</f>
        <v/>
      </c>
      <c r="E5138">
        <f>IF(A5138="","",6-CEILING(PERCENTRANK.INC($B$3:$B$6000,B5138,4)*5+0.000001,1))</f>
        <v/>
      </c>
      <c r="F5138">
        <f>IF(A5138="","",MAX(1,CEILING(PERCENTRANK.INC($C$3:$C$6000,C5138,4)*5+0.000001,1)))</f>
        <v/>
      </c>
      <c r="G5138">
        <f>IF(A5138="","",MAX(1,CEILING(PERCENTRANK.INC($D$3:$D$6000,D5138,4)*5+0.000001,1)))</f>
        <v/>
      </c>
      <c r="H5138">
        <f>IF(A5138="","",E5138&amp;F5138&amp;G5138)</f>
        <v/>
      </c>
      <c r="I5138">
        <f>IF(A5138="","",IF(AND(E5138&gt;=4,F5138&gt;=4,G5138&gt;=4),"Juara",IF(AND(F5138&gt;=4,E5138&gt;=3),"Setia",IF(AND(E5138=5,F5138&lt;=2,G5138&gt;=3),"Berpotensi",IF(AND(E5138&lt;=3,E5138&gt;=2,F5138&gt;=3),"Rawan",IF(AND(E5138&lt;=2,F5138&lt;=2),"Tidur","Umum"))))))</f>
        <v/>
      </c>
    </row>
    <row r="5139">
      <c r="B5139">
        <f>IF(A5139="","",$B$1-MAXIFS(Donasi!$A$2:$A$20000,Donasi!$B$2:$B$20000,A5139))</f>
        <v/>
      </c>
      <c r="C5139">
        <f>IF(A5139="","",COUNTIF(Donasi!$B$2:$B$20000,A5139))</f>
        <v/>
      </c>
      <c r="D5139">
        <f>IF(A5139="","",SUMIF(Donasi!$B$2:$B$20000,A5139,Donasi!$C$2:$C$20000))</f>
        <v/>
      </c>
      <c r="E5139">
        <f>IF(A5139="","",6-CEILING(PERCENTRANK.INC($B$3:$B$6000,B5139,4)*5+0.000001,1))</f>
        <v/>
      </c>
      <c r="F5139">
        <f>IF(A5139="","",MAX(1,CEILING(PERCENTRANK.INC($C$3:$C$6000,C5139,4)*5+0.000001,1)))</f>
        <v/>
      </c>
      <c r="G5139">
        <f>IF(A5139="","",MAX(1,CEILING(PERCENTRANK.INC($D$3:$D$6000,D5139,4)*5+0.000001,1)))</f>
        <v/>
      </c>
      <c r="H5139">
        <f>IF(A5139="","",E5139&amp;F5139&amp;G5139)</f>
        <v/>
      </c>
      <c r="I5139">
        <f>IF(A5139="","",IF(AND(E5139&gt;=4,F5139&gt;=4,G5139&gt;=4),"Juara",IF(AND(F5139&gt;=4,E5139&gt;=3),"Setia",IF(AND(E5139=5,F5139&lt;=2,G5139&gt;=3),"Berpotensi",IF(AND(E5139&lt;=3,E5139&gt;=2,F5139&gt;=3),"Rawan",IF(AND(E5139&lt;=2,F5139&lt;=2),"Tidur","Umum"))))))</f>
        <v/>
      </c>
    </row>
    <row r="5140">
      <c r="B5140">
        <f>IF(A5140="","",$B$1-MAXIFS(Donasi!$A$2:$A$20000,Donasi!$B$2:$B$20000,A5140))</f>
        <v/>
      </c>
      <c r="C5140">
        <f>IF(A5140="","",COUNTIF(Donasi!$B$2:$B$20000,A5140))</f>
        <v/>
      </c>
      <c r="D5140">
        <f>IF(A5140="","",SUMIF(Donasi!$B$2:$B$20000,A5140,Donasi!$C$2:$C$20000))</f>
        <v/>
      </c>
      <c r="E5140">
        <f>IF(A5140="","",6-CEILING(PERCENTRANK.INC($B$3:$B$6000,B5140,4)*5+0.000001,1))</f>
        <v/>
      </c>
      <c r="F5140">
        <f>IF(A5140="","",MAX(1,CEILING(PERCENTRANK.INC($C$3:$C$6000,C5140,4)*5+0.000001,1)))</f>
        <v/>
      </c>
      <c r="G5140">
        <f>IF(A5140="","",MAX(1,CEILING(PERCENTRANK.INC($D$3:$D$6000,D5140,4)*5+0.000001,1)))</f>
        <v/>
      </c>
      <c r="H5140">
        <f>IF(A5140="","",E5140&amp;F5140&amp;G5140)</f>
        <v/>
      </c>
      <c r="I5140">
        <f>IF(A5140="","",IF(AND(E5140&gt;=4,F5140&gt;=4,G5140&gt;=4),"Juara",IF(AND(F5140&gt;=4,E5140&gt;=3),"Setia",IF(AND(E5140=5,F5140&lt;=2,G5140&gt;=3),"Berpotensi",IF(AND(E5140&lt;=3,E5140&gt;=2,F5140&gt;=3),"Rawan",IF(AND(E5140&lt;=2,F5140&lt;=2),"Tidur","Umum"))))))</f>
        <v/>
      </c>
    </row>
    <row r="5141">
      <c r="B5141">
        <f>IF(A5141="","",$B$1-MAXIFS(Donasi!$A$2:$A$20000,Donasi!$B$2:$B$20000,A5141))</f>
        <v/>
      </c>
      <c r="C5141">
        <f>IF(A5141="","",COUNTIF(Donasi!$B$2:$B$20000,A5141))</f>
        <v/>
      </c>
      <c r="D5141">
        <f>IF(A5141="","",SUMIF(Donasi!$B$2:$B$20000,A5141,Donasi!$C$2:$C$20000))</f>
        <v/>
      </c>
      <c r="E5141">
        <f>IF(A5141="","",6-CEILING(PERCENTRANK.INC($B$3:$B$6000,B5141,4)*5+0.000001,1))</f>
        <v/>
      </c>
      <c r="F5141">
        <f>IF(A5141="","",MAX(1,CEILING(PERCENTRANK.INC($C$3:$C$6000,C5141,4)*5+0.000001,1)))</f>
        <v/>
      </c>
      <c r="G5141">
        <f>IF(A5141="","",MAX(1,CEILING(PERCENTRANK.INC($D$3:$D$6000,D5141,4)*5+0.000001,1)))</f>
        <v/>
      </c>
      <c r="H5141">
        <f>IF(A5141="","",E5141&amp;F5141&amp;G5141)</f>
        <v/>
      </c>
      <c r="I5141">
        <f>IF(A5141="","",IF(AND(E5141&gt;=4,F5141&gt;=4,G5141&gt;=4),"Juara",IF(AND(F5141&gt;=4,E5141&gt;=3),"Setia",IF(AND(E5141=5,F5141&lt;=2,G5141&gt;=3),"Berpotensi",IF(AND(E5141&lt;=3,E5141&gt;=2,F5141&gt;=3),"Rawan",IF(AND(E5141&lt;=2,F5141&lt;=2),"Tidur","Umum"))))))</f>
        <v/>
      </c>
    </row>
    <row r="5142">
      <c r="B5142">
        <f>IF(A5142="","",$B$1-MAXIFS(Donasi!$A$2:$A$20000,Donasi!$B$2:$B$20000,A5142))</f>
        <v/>
      </c>
      <c r="C5142">
        <f>IF(A5142="","",COUNTIF(Donasi!$B$2:$B$20000,A5142))</f>
        <v/>
      </c>
      <c r="D5142">
        <f>IF(A5142="","",SUMIF(Donasi!$B$2:$B$20000,A5142,Donasi!$C$2:$C$20000))</f>
        <v/>
      </c>
      <c r="E5142">
        <f>IF(A5142="","",6-CEILING(PERCENTRANK.INC($B$3:$B$6000,B5142,4)*5+0.000001,1))</f>
        <v/>
      </c>
      <c r="F5142">
        <f>IF(A5142="","",MAX(1,CEILING(PERCENTRANK.INC($C$3:$C$6000,C5142,4)*5+0.000001,1)))</f>
        <v/>
      </c>
      <c r="G5142">
        <f>IF(A5142="","",MAX(1,CEILING(PERCENTRANK.INC($D$3:$D$6000,D5142,4)*5+0.000001,1)))</f>
        <v/>
      </c>
      <c r="H5142">
        <f>IF(A5142="","",E5142&amp;F5142&amp;G5142)</f>
        <v/>
      </c>
      <c r="I5142">
        <f>IF(A5142="","",IF(AND(E5142&gt;=4,F5142&gt;=4,G5142&gt;=4),"Juara",IF(AND(F5142&gt;=4,E5142&gt;=3),"Setia",IF(AND(E5142=5,F5142&lt;=2,G5142&gt;=3),"Berpotensi",IF(AND(E5142&lt;=3,E5142&gt;=2,F5142&gt;=3),"Rawan",IF(AND(E5142&lt;=2,F5142&lt;=2),"Tidur","Umum"))))))</f>
        <v/>
      </c>
    </row>
    <row r="5143">
      <c r="B5143">
        <f>IF(A5143="","",$B$1-MAXIFS(Donasi!$A$2:$A$20000,Donasi!$B$2:$B$20000,A5143))</f>
        <v/>
      </c>
      <c r="C5143">
        <f>IF(A5143="","",COUNTIF(Donasi!$B$2:$B$20000,A5143))</f>
        <v/>
      </c>
      <c r="D5143">
        <f>IF(A5143="","",SUMIF(Donasi!$B$2:$B$20000,A5143,Donasi!$C$2:$C$20000))</f>
        <v/>
      </c>
      <c r="E5143">
        <f>IF(A5143="","",6-CEILING(PERCENTRANK.INC($B$3:$B$6000,B5143,4)*5+0.000001,1))</f>
        <v/>
      </c>
      <c r="F5143">
        <f>IF(A5143="","",MAX(1,CEILING(PERCENTRANK.INC($C$3:$C$6000,C5143,4)*5+0.000001,1)))</f>
        <v/>
      </c>
      <c r="G5143">
        <f>IF(A5143="","",MAX(1,CEILING(PERCENTRANK.INC($D$3:$D$6000,D5143,4)*5+0.000001,1)))</f>
        <v/>
      </c>
      <c r="H5143">
        <f>IF(A5143="","",E5143&amp;F5143&amp;G5143)</f>
        <v/>
      </c>
      <c r="I5143">
        <f>IF(A5143="","",IF(AND(E5143&gt;=4,F5143&gt;=4,G5143&gt;=4),"Juara",IF(AND(F5143&gt;=4,E5143&gt;=3),"Setia",IF(AND(E5143=5,F5143&lt;=2,G5143&gt;=3),"Berpotensi",IF(AND(E5143&lt;=3,E5143&gt;=2,F5143&gt;=3),"Rawan",IF(AND(E5143&lt;=2,F5143&lt;=2),"Tidur","Umum"))))))</f>
        <v/>
      </c>
    </row>
    <row r="5144">
      <c r="B5144">
        <f>IF(A5144="","",$B$1-MAXIFS(Donasi!$A$2:$A$20000,Donasi!$B$2:$B$20000,A5144))</f>
        <v/>
      </c>
      <c r="C5144">
        <f>IF(A5144="","",COUNTIF(Donasi!$B$2:$B$20000,A5144))</f>
        <v/>
      </c>
      <c r="D5144">
        <f>IF(A5144="","",SUMIF(Donasi!$B$2:$B$20000,A5144,Donasi!$C$2:$C$20000))</f>
        <v/>
      </c>
      <c r="E5144">
        <f>IF(A5144="","",6-CEILING(PERCENTRANK.INC($B$3:$B$6000,B5144,4)*5+0.000001,1))</f>
        <v/>
      </c>
      <c r="F5144">
        <f>IF(A5144="","",MAX(1,CEILING(PERCENTRANK.INC($C$3:$C$6000,C5144,4)*5+0.000001,1)))</f>
        <v/>
      </c>
      <c r="G5144">
        <f>IF(A5144="","",MAX(1,CEILING(PERCENTRANK.INC($D$3:$D$6000,D5144,4)*5+0.000001,1)))</f>
        <v/>
      </c>
      <c r="H5144">
        <f>IF(A5144="","",E5144&amp;F5144&amp;G5144)</f>
        <v/>
      </c>
      <c r="I5144">
        <f>IF(A5144="","",IF(AND(E5144&gt;=4,F5144&gt;=4,G5144&gt;=4),"Juara",IF(AND(F5144&gt;=4,E5144&gt;=3),"Setia",IF(AND(E5144=5,F5144&lt;=2,G5144&gt;=3),"Berpotensi",IF(AND(E5144&lt;=3,E5144&gt;=2,F5144&gt;=3),"Rawan",IF(AND(E5144&lt;=2,F5144&lt;=2),"Tidur","Umum"))))))</f>
        <v/>
      </c>
    </row>
    <row r="5145">
      <c r="B5145">
        <f>IF(A5145="","",$B$1-MAXIFS(Donasi!$A$2:$A$20000,Donasi!$B$2:$B$20000,A5145))</f>
        <v/>
      </c>
      <c r="C5145">
        <f>IF(A5145="","",COUNTIF(Donasi!$B$2:$B$20000,A5145))</f>
        <v/>
      </c>
      <c r="D5145">
        <f>IF(A5145="","",SUMIF(Donasi!$B$2:$B$20000,A5145,Donasi!$C$2:$C$20000))</f>
        <v/>
      </c>
      <c r="E5145">
        <f>IF(A5145="","",6-CEILING(PERCENTRANK.INC($B$3:$B$6000,B5145,4)*5+0.000001,1))</f>
        <v/>
      </c>
      <c r="F5145">
        <f>IF(A5145="","",MAX(1,CEILING(PERCENTRANK.INC($C$3:$C$6000,C5145,4)*5+0.000001,1)))</f>
        <v/>
      </c>
      <c r="G5145">
        <f>IF(A5145="","",MAX(1,CEILING(PERCENTRANK.INC($D$3:$D$6000,D5145,4)*5+0.000001,1)))</f>
        <v/>
      </c>
      <c r="H5145">
        <f>IF(A5145="","",E5145&amp;F5145&amp;G5145)</f>
        <v/>
      </c>
      <c r="I5145">
        <f>IF(A5145="","",IF(AND(E5145&gt;=4,F5145&gt;=4,G5145&gt;=4),"Juara",IF(AND(F5145&gt;=4,E5145&gt;=3),"Setia",IF(AND(E5145=5,F5145&lt;=2,G5145&gt;=3),"Berpotensi",IF(AND(E5145&lt;=3,E5145&gt;=2,F5145&gt;=3),"Rawan",IF(AND(E5145&lt;=2,F5145&lt;=2),"Tidur","Umum"))))))</f>
        <v/>
      </c>
    </row>
    <row r="5146">
      <c r="B5146">
        <f>IF(A5146="","",$B$1-MAXIFS(Donasi!$A$2:$A$20000,Donasi!$B$2:$B$20000,A5146))</f>
        <v/>
      </c>
      <c r="C5146">
        <f>IF(A5146="","",COUNTIF(Donasi!$B$2:$B$20000,A5146))</f>
        <v/>
      </c>
      <c r="D5146">
        <f>IF(A5146="","",SUMIF(Donasi!$B$2:$B$20000,A5146,Donasi!$C$2:$C$20000))</f>
        <v/>
      </c>
      <c r="E5146">
        <f>IF(A5146="","",6-CEILING(PERCENTRANK.INC($B$3:$B$6000,B5146,4)*5+0.000001,1))</f>
        <v/>
      </c>
      <c r="F5146">
        <f>IF(A5146="","",MAX(1,CEILING(PERCENTRANK.INC($C$3:$C$6000,C5146,4)*5+0.000001,1)))</f>
        <v/>
      </c>
      <c r="G5146">
        <f>IF(A5146="","",MAX(1,CEILING(PERCENTRANK.INC($D$3:$D$6000,D5146,4)*5+0.000001,1)))</f>
        <v/>
      </c>
      <c r="H5146">
        <f>IF(A5146="","",E5146&amp;F5146&amp;G5146)</f>
        <v/>
      </c>
      <c r="I5146">
        <f>IF(A5146="","",IF(AND(E5146&gt;=4,F5146&gt;=4,G5146&gt;=4),"Juara",IF(AND(F5146&gt;=4,E5146&gt;=3),"Setia",IF(AND(E5146=5,F5146&lt;=2,G5146&gt;=3),"Berpotensi",IF(AND(E5146&lt;=3,E5146&gt;=2,F5146&gt;=3),"Rawan",IF(AND(E5146&lt;=2,F5146&lt;=2),"Tidur","Umum"))))))</f>
        <v/>
      </c>
    </row>
    <row r="5147">
      <c r="B5147">
        <f>IF(A5147="","",$B$1-MAXIFS(Donasi!$A$2:$A$20000,Donasi!$B$2:$B$20000,A5147))</f>
        <v/>
      </c>
      <c r="C5147">
        <f>IF(A5147="","",COUNTIF(Donasi!$B$2:$B$20000,A5147))</f>
        <v/>
      </c>
      <c r="D5147">
        <f>IF(A5147="","",SUMIF(Donasi!$B$2:$B$20000,A5147,Donasi!$C$2:$C$20000))</f>
        <v/>
      </c>
      <c r="E5147">
        <f>IF(A5147="","",6-CEILING(PERCENTRANK.INC($B$3:$B$6000,B5147,4)*5+0.000001,1))</f>
        <v/>
      </c>
      <c r="F5147">
        <f>IF(A5147="","",MAX(1,CEILING(PERCENTRANK.INC($C$3:$C$6000,C5147,4)*5+0.000001,1)))</f>
        <v/>
      </c>
      <c r="G5147">
        <f>IF(A5147="","",MAX(1,CEILING(PERCENTRANK.INC($D$3:$D$6000,D5147,4)*5+0.000001,1)))</f>
        <v/>
      </c>
      <c r="H5147">
        <f>IF(A5147="","",E5147&amp;F5147&amp;G5147)</f>
        <v/>
      </c>
      <c r="I5147">
        <f>IF(A5147="","",IF(AND(E5147&gt;=4,F5147&gt;=4,G5147&gt;=4),"Juara",IF(AND(F5147&gt;=4,E5147&gt;=3),"Setia",IF(AND(E5147=5,F5147&lt;=2,G5147&gt;=3),"Berpotensi",IF(AND(E5147&lt;=3,E5147&gt;=2,F5147&gt;=3),"Rawan",IF(AND(E5147&lt;=2,F5147&lt;=2),"Tidur","Umum"))))))</f>
        <v/>
      </c>
    </row>
    <row r="5148">
      <c r="B5148">
        <f>IF(A5148="","",$B$1-MAXIFS(Donasi!$A$2:$A$20000,Donasi!$B$2:$B$20000,A5148))</f>
        <v/>
      </c>
      <c r="C5148">
        <f>IF(A5148="","",COUNTIF(Donasi!$B$2:$B$20000,A5148))</f>
        <v/>
      </c>
      <c r="D5148">
        <f>IF(A5148="","",SUMIF(Donasi!$B$2:$B$20000,A5148,Donasi!$C$2:$C$20000))</f>
        <v/>
      </c>
      <c r="E5148">
        <f>IF(A5148="","",6-CEILING(PERCENTRANK.INC($B$3:$B$6000,B5148,4)*5+0.000001,1))</f>
        <v/>
      </c>
      <c r="F5148">
        <f>IF(A5148="","",MAX(1,CEILING(PERCENTRANK.INC($C$3:$C$6000,C5148,4)*5+0.000001,1)))</f>
        <v/>
      </c>
      <c r="G5148">
        <f>IF(A5148="","",MAX(1,CEILING(PERCENTRANK.INC($D$3:$D$6000,D5148,4)*5+0.000001,1)))</f>
        <v/>
      </c>
      <c r="H5148">
        <f>IF(A5148="","",E5148&amp;F5148&amp;G5148)</f>
        <v/>
      </c>
      <c r="I5148">
        <f>IF(A5148="","",IF(AND(E5148&gt;=4,F5148&gt;=4,G5148&gt;=4),"Juara",IF(AND(F5148&gt;=4,E5148&gt;=3),"Setia",IF(AND(E5148=5,F5148&lt;=2,G5148&gt;=3),"Berpotensi",IF(AND(E5148&lt;=3,E5148&gt;=2,F5148&gt;=3),"Rawan",IF(AND(E5148&lt;=2,F5148&lt;=2),"Tidur","Umum"))))))</f>
        <v/>
      </c>
    </row>
    <row r="5149">
      <c r="B5149">
        <f>IF(A5149="","",$B$1-MAXIFS(Donasi!$A$2:$A$20000,Donasi!$B$2:$B$20000,A5149))</f>
        <v/>
      </c>
      <c r="C5149">
        <f>IF(A5149="","",COUNTIF(Donasi!$B$2:$B$20000,A5149))</f>
        <v/>
      </c>
      <c r="D5149">
        <f>IF(A5149="","",SUMIF(Donasi!$B$2:$B$20000,A5149,Donasi!$C$2:$C$20000))</f>
        <v/>
      </c>
      <c r="E5149">
        <f>IF(A5149="","",6-CEILING(PERCENTRANK.INC($B$3:$B$6000,B5149,4)*5+0.000001,1))</f>
        <v/>
      </c>
      <c r="F5149">
        <f>IF(A5149="","",MAX(1,CEILING(PERCENTRANK.INC($C$3:$C$6000,C5149,4)*5+0.000001,1)))</f>
        <v/>
      </c>
      <c r="G5149">
        <f>IF(A5149="","",MAX(1,CEILING(PERCENTRANK.INC($D$3:$D$6000,D5149,4)*5+0.000001,1)))</f>
        <v/>
      </c>
      <c r="H5149">
        <f>IF(A5149="","",E5149&amp;F5149&amp;G5149)</f>
        <v/>
      </c>
      <c r="I5149">
        <f>IF(A5149="","",IF(AND(E5149&gt;=4,F5149&gt;=4,G5149&gt;=4),"Juara",IF(AND(F5149&gt;=4,E5149&gt;=3),"Setia",IF(AND(E5149=5,F5149&lt;=2,G5149&gt;=3),"Berpotensi",IF(AND(E5149&lt;=3,E5149&gt;=2,F5149&gt;=3),"Rawan",IF(AND(E5149&lt;=2,F5149&lt;=2),"Tidur","Umum"))))))</f>
        <v/>
      </c>
    </row>
    <row r="5150">
      <c r="B5150">
        <f>IF(A5150="","",$B$1-MAXIFS(Donasi!$A$2:$A$20000,Donasi!$B$2:$B$20000,A5150))</f>
        <v/>
      </c>
      <c r="C5150">
        <f>IF(A5150="","",COUNTIF(Donasi!$B$2:$B$20000,A5150))</f>
        <v/>
      </c>
      <c r="D5150">
        <f>IF(A5150="","",SUMIF(Donasi!$B$2:$B$20000,A5150,Donasi!$C$2:$C$20000))</f>
        <v/>
      </c>
      <c r="E5150">
        <f>IF(A5150="","",6-CEILING(PERCENTRANK.INC($B$3:$B$6000,B5150,4)*5+0.000001,1))</f>
        <v/>
      </c>
      <c r="F5150">
        <f>IF(A5150="","",MAX(1,CEILING(PERCENTRANK.INC($C$3:$C$6000,C5150,4)*5+0.000001,1)))</f>
        <v/>
      </c>
      <c r="G5150">
        <f>IF(A5150="","",MAX(1,CEILING(PERCENTRANK.INC($D$3:$D$6000,D5150,4)*5+0.000001,1)))</f>
        <v/>
      </c>
      <c r="H5150">
        <f>IF(A5150="","",E5150&amp;F5150&amp;G5150)</f>
        <v/>
      </c>
      <c r="I5150">
        <f>IF(A5150="","",IF(AND(E5150&gt;=4,F5150&gt;=4,G5150&gt;=4),"Juara",IF(AND(F5150&gt;=4,E5150&gt;=3),"Setia",IF(AND(E5150=5,F5150&lt;=2,G5150&gt;=3),"Berpotensi",IF(AND(E5150&lt;=3,E5150&gt;=2,F5150&gt;=3),"Rawan",IF(AND(E5150&lt;=2,F5150&lt;=2),"Tidur","Umum"))))))</f>
        <v/>
      </c>
    </row>
    <row r="5151">
      <c r="B5151">
        <f>IF(A5151="","",$B$1-MAXIFS(Donasi!$A$2:$A$20000,Donasi!$B$2:$B$20000,A5151))</f>
        <v/>
      </c>
      <c r="C5151">
        <f>IF(A5151="","",COUNTIF(Donasi!$B$2:$B$20000,A5151))</f>
        <v/>
      </c>
      <c r="D5151">
        <f>IF(A5151="","",SUMIF(Donasi!$B$2:$B$20000,A5151,Donasi!$C$2:$C$20000))</f>
        <v/>
      </c>
      <c r="E5151">
        <f>IF(A5151="","",6-CEILING(PERCENTRANK.INC($B$3:$B$6000,B5151,4)*5+0.000001,1))</f>
        <v/>
      </c>
      <c r="F5151">
        <f>IF(A5151="","",MAX(1,CEILING(PERCENTRANK.INC($C$3:$C$6000,C5151,4)*5+0.000001,1)))</f>
        <v/>
      </c>
      <c r="G5151">
        <f>IF(A5151="","",MAX(1,CEILING(PERCENTRANK.INC($D$3:$D$6000,D5151,4)*5+0.000001,1)))</f>
        <v/>
      </c>
      <c r="H5151">
        <f>IF(A5151="","",E5151&amp;F5151&amp;G5151)</f>
        <v/>
      </c>
      <c r="I5151">
        <f>IF(A5151="","",IF(AND(E5151&gt;=4,F5151&gt;=4,G5151&gt;=4),"Juara",IF(AND(F5151&gt;=4,E5151&gt;=3),"Setia",IF(AND(E5151=5,F5151&lt;=2,G5151&gt;=3),"Berpotensi",IF(AND(E5151&lt;=3,E5151&gt;=2,F5151&gt;=3),"Rawan",IF(AND(E5151&lt;=2,F5151&lt;=2),"Tidur","Umum"))))))</f>
        <v/>
      </c>
    </row>
    <row r="5152">
      <c r="B5152">
        <f>IF(A5152="","",$B$1-MAXIFS(Donasi!$A$2:$A$20000,Donasi!$B$2:$B$20000,A5152))</f>
        <v/>
      </c>
      <c r="C5152">
        <f>IF(A5152="","",COUNTIF(Donasi!$B$2:$B$20000,A5152))</f>
        <v/>
      </c>
      <c r="D5152">
        <f>IF(A5152="","",SUMIF(Donasi!$B$2:$B$20000,A5152,Donasi!$C$2:$C$20000))</f>
        <v/>
      </c>
      <c r="E5152">
        <f>IF(A5152="","",6-CEILING(PERCENTRANK.INC($B$3:$B$6000,B5152,4)*5+0.000001,1))</f>
        <v/>
      </c>
      <c r="F5152">
        <f>IF(A5152="","",MAX(1,CEILING(PERCENTRANK.INC($C$3:$C$6000,C5152,4)*5+0.000001,1)))</f>
        <v/>
      </c>
      <c r="G5152">
        <f>IF(A5152="","",MAX(1,CEILING(PERCENTRANK.INC($D$3:$D$6000,D5152,4)*5+0.000001,1)))</f>
        <v/>
      </c>
      <c r="H5152">
        <f>IF(A5152="","",E5152&amp;F5152&amp;G5152)</f>
        <v/>
      </c>
      <c r="I5152">
        <f>IF(A5152="","",IF(AND(E5152&gt;=4,F5152&gt;=4,G5152&gt;=4),"Juara",IF(AND(F5152&gt;=4,E5152&gt;=3),"Setia",IF(AND(E5152=5,F5152&lt;=2,G5152&gt;=3),"Berpotensi",IF(AND(E5152&lt;=3,E5152&gt;=2,F5152&gt;=3),"Rawan",IF(AND(E5152&lt;=2,F5152&lt;=2),"Tidur","Umum"))))))</f>
        <v/>
      </c>
    </row>
    <row r="5153">
      <c r="B5153">
        <f>IF(A5153="","",$B$1-MAXIFS(Donasi!$A$2:$A$20000,Donasi!$B$2:$B$20000,A5153))</f>
        <v/>
      </c>
      <c r="C5153">
        <f>IF(A5153="","",COUNTIF(Donasi!$B$2:$B$20000,A5153))</f>
        <v/>
      </c>
      <c r="D5153">
        <f>IF(A5153="","",SUMIF(Donasi!$B$2:$B$20000,A5153,Donasi!$C$2:$C$20000))</f>
        <v/>
      </c>
      <c r="E5153">
        <f>IF(A5153="","",6-CEILING(PERCENTRANK.INC($B$3:$B$6000,B5153,4)*5+0.000001,1))</f>
        <v/>
      </c>
      <c r="F5153">
        <f>IF(A5153="","",MAX(1,CEILING(PERCENTRANK.INC($C$3:$C$6000,C5153,4)*5+0.000001,1)))</f>
        <v/>
      </c>
      <c r="G5153">
        <f>IF(A5153="","",MAX(1,CEILING(PERCENTRANK.INC($D$3:$D$6000,D5153,4)*5+0.000001,1)))</f>
        <v/>
      </c>
      <c r="H5153">
        <f>IF(A5153="","",E5153&amp;F5153&amp;G5153)</f>
        <v/>
      </c>
      <c r="I5153">
        <f>IF(A5153="","",IF(AND(E5153&gt;=4,F5153&gt;=4,G5153&gt;=4),"Juara",IF(AND(F5153&gt;=4,E5153&gt;=3),"Setia",IF(AND(E5153=5,F5153&lt;=2,G5153&gt;=3),"Berpotensi",IF(AND(E5153&lt;=3,E5153&gt;=2,F5153&gt;=3),"Rawan",IF(AND(E5153&lt;=2,F5153&lt;=2),"Tidur","Umum"))))))</f>
        <v/>
      </c>
    </row>
    <row r="5154">
      <c r="B5154">
        <f>IF(A5154="","",$B$1-MAXIFS(Donasi!$A$2:$A$20000,Donasi!$B$2:$B$20000,A5154))</f>
        <v/>
      </c>
      <c r="C5154">
        <f>IF(A5154="","",COUNTIF(Donasi!$B$2:$B$20000,A5154))</f>
        <v/>
      </c>
      <c r="D5154">
        <f>IF(A5154="","",SUMIF(Donasi!$B$2:$B$20000,A5154,Donasi!$C$2:$C$20000))</f>
        <v/>
      </c>
      <c r="E5154">
        <f>IF(A5154="","",6-CEILING(PERCENTRANK.INC($B$3:$B$6000,B5154,4)*5+0.000001,1))</f>
        <v/>
      </c>
      <c r="F5154">
        <f>IF(A5154="","",MAX(1,CEILING(PERCENTRANK.INC($C$3:$C$6000,C5154,4)*5+0.000001,1)))</f>
        <v/>
      </c>
      <c r="G5154">
        <f>IF(A5154="","",MAX(1,CEILING(PERCENTRANK.INC($D$3:$D$6000,D5154,4)*5+0.000001,1)))</f>
        <v/>
      </c>
      <c r="H5154">
        <f>IF(A5154="","",E5154&amp;F5154&amp;G5154)</f>
        <v/>
      </c>
      <c r="I5154">
        <f>IF(A5154="","",IF(AND(E5154&gt;=4,F5154&gt;=4,G5154&gt;=4),"Juara",IF(AND(F5154&gt;=4,E5154&gt;=3),"Setia",IF(AND(E5154=5,F5154&lt;=2,G5154&gt;=3),"Berpotensi",IF(AND(E5154&lt;=3,E5154&gt;=2,F5154&gt;=3),"Rawan",IF(AND(E5154&lt;=2,F5154&lt;=2),"Tidur","Umum"))))))</f>
        <v/>
      </c>
    </row>
    <row r="5155">
      <c r="B5155">
        <f>IF(A5155="","",$B$1-MAXIFS(Donasi!$A$2:$A$20000,Donasi!$B$2:$B$20000,A5155))</f>
        <v/>
      </c>
      <c r="C5155">
        <f>IF(A5155="","",COUNTIF(Donasi!$B$2:$B$20000,A5155))</f>
        <v/>
      </c>
      <c r="D5155">
        <f>IF(A5155="","",SUMIF(Donasi!$B$2:$B$20000,A5155,Donasi!$C$2:$C$20000))</f>
        <v/>
      </c>
      <c r="E5155">
        <f>IF(A5155="","",6-CEILING(PERCENTRANK.INC($B$3:$B$6000,B5155,4)*5+0.000001,1))</f>
        <v/>
      </c>
      <c r="F5155">
        <f>IF(A5155="","",MAX(1,CEILING(PERCENTRANK.INC($C$3:$C$6000,C5155,4)*5+0.000001,1)))</f>
        <v/>
      </c>
      <c r="G5155">
        <f>IF(A5155="","",MAX(1,CEILING(PERCENTRANK.INC($D$3:$D$6000,D5155,4)*5+0.000001,1)))</f>
        <v/>
      </c>
      <c r="H5155">
        <f>IF(A5155="","",E5155&amp;F5155&amp;G5155)</f>
        <v/>
      </c>
      <c r="I5155">
        <f>IF(A5155="","",IF(AND(E5155&gt;=4,F5155&gt;=4,G5155&gt;=4),"Juara",IF(AND(F5155&gt;=4,E5155&gt;=3),"Setia",IF(AND(E5155=5,F5155&lt;=2,G5155&gt;=3),"Berpotensi",IF(AND(E5155&lt;=3,E5155&gt;=2,F5155&gt;=3),"Rawan",IF(AND(E5155&lt;=2,F5155&lt;=2),"Tidur","Umum"))))))</f>
        <v/>
      </c>
    </row>
    <row r="5156">
      <c r="B5156">
        <f>IF(A5156="","",$B$1-MAXIFS(Donasi!$A$2:$A$20000,Donasi!$B$2:$B$20000,A5156))</f>
        <v/>
      </c>
      <c r="C5156">
        <f>IF(A5156="","",COUNTIF(Donasi!$B$2:$B$20000,A5156))</f>
        <v/>
      </c>
      <c r="D5156">
        <f>IF(A5156="","",SUMIF(Donasi!$B$2:$B$20000,A5156,Donasi!$C$2:$C$20000))</f>
        <v/>
      </c>
      <c r="E5156">
        <f>IF(A5156="","",6-CEILING(PERCENTRANK.INC($B$3:$B$6000,B5156,4)*5+0.000001,1))</f>
        <v/>
      </c>
      <c r="F5156">
        <f>IF(A5156="","",MAX(1,CEILING(PERCENTRANK.INC($C$3:$C$6000,C5156,4)*5+0.000001,1)))</f>
        <v/>
      </c>
      <c r="G5156">
        <f>IF(A5156="","",MAX(1,CEILING(PERCENTRANK.INC($D$3:$D$6000,D5156,4)*5+0.000001,1)))</f>
        <v/>
      </c>
      <c r="H5156">
        <f>IF(A5156="","",E5156&amp;F5156&amp;G5156)</f>
        <v/>
      </c>
      <c r="I5156">
        <f>IF(A5156="","",IF(AND(E5156&gt;=4,F5156&gt;=4,G5156&gt;=4),"Juara",IF(AND(F5156&gt;=4,E5156&gt;=3),"Setia",IF(AND(E5156=5,F5156&lt;=2,G5156&gt;=3),"Berpotensi",IF(AND(E5156&lt;=3,E5156&gt;=2,F5156&gt;=3),"Rawan",IF(AND(E5156&lt;=2,F5156&lt;=2),"Tidur","Umum"))))))</f>
        <v/>
      </c>
    </row>
    <row r="5157">
      <c r="B5157">
        <f>IF(A5157="","",$B$1-MAXIFS(Donasi!$A$2:$A$20000,Donasi!$B$2:$B$20000,A5157))</f>
        <v/>
      </c>
      <c r="C5157">
        <f>IF(A5157="","",COUNTIF(Donasi!$B$2:$B$20000,A5157))</f>
        <v/>
      </c>
      <c r="D5157">
        <f>IF(A5157="","",SUMIF(Donasi!$B$2:$B$20000,A5157,Donasi!$C$2:$C$20000))</f>
        <v/>
      </c>
      <c r="E5157">
        <f>IF(A5157="","",6-CEILING(PERCENTRANK.INC($B$3:$B$6000,B5157,4)*5+0.000001,1))</f>
        <v/>
      </c>
      <c r="F5157">
        <f>IF(A5157="","",MAX(1,CEILING(PERCENTRANK.INC($C$3:$C$6000,C5157,4)*5+0.000001,1)))</f>
        <v/>
      </c>
      <c r="G5157">
        <f>IF(A5157="","",MAX(1,CEILING(PERCENTRANK.INC($D$3:$D$6000,D5157,4)*5+0.000001,1)))</f>
        <v/>
      </c>
      <c r="H5157">
        <f>IF(A5157="","",E5157&amp;F5157&amp;G5157)</f>
        <v/>
      </c>
      <c r="I5157">
        <f>IF(A5157="","",IF(AND(E5157&gt;=4,F5157&gt;=4,G5157&gt;=4),"Juara",IF(AND(F5157&gt;=4,E5157&gt;=3),"Setia",IF(AND(E5157=5,F5157&lt;=2,G5157&gt;=3),"Berpotensi",IF(AND(E5157&lt;=3,E5157&gt;=2,F5157&gt;=3),"Rawan",IF(AND(E5157&lt;=2,F5157&lt;=2),"Tidur","Umum"))))))</f>
        <v/>
      </c>
    </row>
    <row r="5158">
      <c r="B5158">
        <f>IF(A5158="","",$B$1-MAXIFS(Donasi!$A$2:$A$20000,Donasi!$B$2:$B$20000,A5158))</f>
        <v/>
      </c>
      <c r="C5158">
        <f>IF(A5158="","",COUNTIF(Donasi!$B$2:$B$20000,A5158))</f>
        <v/>
      </c>
      <c r="D5158">
        <f>IF(A5158="","",SUMIF(Donasi!$B$2:$B$20000,A5158,Donasi!$C$2:$C$20000))</f>
        <v/>
      </c>
      <c r="E5158">
        <f>IF(A5158="","",6-CEILING(PERCENTRANK.INC($B$3:$B$6000,B5158,4)*5+0.000001,1))</f>
        <v/>
      </c>
      <c r="F5158">
        <f>IF(A5158="","",MAX(1,CEILING(PERCENTRANK.INC($C$3:$C$6000,C5158,4)*5+0.000001,1)))</f>
        <v/>
      </c>
      <c r="G5158">
        <f>IF(A5158="","",MAX(1,CEILING(PERCENTRANK.INC($D$3:$D$6000,D5158,4)*5+0.000001,1)))</f>
        <v/>
      </c>
      <c r="H5158">
        <f>IF(A5158="","",E5158&amp;F5158&amp;G5158)</f>
        <v/>
      </c>
      <c r="I5158">
        <f>IF(A5158="","",IF(AND(E5158&gt;=4,F5158&gt;=4,G5158&gt;=4),"Juara",IF(AND(F5158&gt;=4,E5158&gt;=3),"Setia",IF(AND(E5158=5,F5158&lt;=2,G5158&gt;=3),"Berpotensi",IF(AND(E5158&lt;=3,E5158&gt;=2,F5158&gt;=3),"Rawan",IF(AND(E5158&lt;=2,F5158&lt;=2),"Tidur","Umum"))))))</f>
        <v/>
      </c>
    </row>
    <row r="5159">
      <c r="B5159">
        <f>IF(A5159="","",$B$1-MAXIFS(Donasi!$A$2:$A$20000,Donasi!$B$2:$B$20000,A5159))</f>
        <v/>
      </c>
      <c r="C5159">
        <f>IF(A5159="","",COUNTIF(Donasi!$B$2:$B$20000,A5159))</f>
        <v/>
      </c>
      <c r="D5159">
        <f>IF(A5159="","",SUMIF(Donasi!$B$2:$B$20000,A5159,Donasi!$C$2:$C$20000))</f>
        <v/>
      </c>
      <c r="E5159">
        <f>IF(A5159="","",6-CEILING(PERCENTRANK.INC($B$3:$B$6000,B5159,4)*5+0.000001,1))</f>
        <v/>
      </c>
      <c r="F5159">
        <f>IF(A5159="","",MAX(1,CEILING(PERCENTRANK.INC($C$3:$C$6000,C5159,4)*5+0.000001,1)))</f>
        <v/>
      </c>
      <c r="G5159">
        <f>IF(A5159="","",MAX(1,CEILING(PERCENTRANK.INC($D$3:$D$6000,D5159,4)*5+0.000001,1)))</f>
        <v/>
      </c>
      <c r="H5159">
        <f>IF(A5159="","",E5159&amp;F5159&amp;G5159)</f>
        <v/>
      </c>
      <c r="I5159">
        <f>IF(A5159="","",IF(AND(E5159&gt;=4,F5159&gt;=4,G5159&gt;=4),"Juara",IF(AND(F5159&gt;=4,E5159&gt;=3),"Setia",IF(AND(E5159=5,F5159&lt;=2,G5159&gt;=3),"Berpotensi",IF(AND(E5159&lt;=3,E5159&gt;=2,F5159&gt;=3),"Rawan",IF(AND(E5159&lt;=2,F5159&lt;=2),"Tidur","Umum"))))))</f>
        <v/>
      </c>
    </row>
    <row r="5160">
      <c r="B5160">
        <f>IF(A5160="","",$B$1-MAXIFS(Donasi!$A$2:$A$20000,Donasi!$B$2:$B$20000,A5160))</f>
        <v/>
      </c>
      <c r="C5160">
        <f>IF(A5160="","",COUNTIF(Donasi!$B$2:$B$20000,A5160))</f>
        <v/>
      </c>
      <c r="D5160">
        <f>IF(A5160="","",SUMIF(Donasi!$B$2:$B$20000,A5160,Donasi!$C$2:$C$20000))</f>
        <v/>
      </c>
      <c r="E5160">
        <f>IF(A5160="","",6-CEILING(PERCENTRANK.INC($B$3:$B$6000,B5160,4)*5+0.000001,1))</f>
        <v/>
      </c>
      <c r="F5160">
        <f>IF(A5160="","",MAX(1,CEILING(PERCENTRANK.INC($C$3:$C$6000,C5160,4)*5+0.000001,1)))</f>
        <v/>
      </c>
      <c r="G5160">
        <f>IF(A5160="","",MAX(1,CEILING(PERCENTRANK.INC($D$3:$D$6000,D5160,4)*5+0.000001,1)))</f>
        <v/>
      </c>
      <c r="H5160">
        <f>IF(A5160="","",E5160&amp;F5160&amp;G5160)</f>
        <v/>
      </c>
      <c r="I5160">
        <f>IF(A5160="","",IF(AND(E5160&gt;=4,F5160&gt;=4,G5160&gt;=4),"Juara",IF(AND(F5160&gt;=4,E5160&gt;=3),"Setia",IF(AND(E5160=5,F5160&lt;=2,G5160&gt;=3),"Berpotensi",IF(AND(E5160&lt;=3,E5160&gt;=2,F5160&gt;=3),"Rawan",IF(AND(E5160&lt;=2,F5160&lt;=2),"Tidur","Umum"))))))</f>
        <v/>
      </c>
    </row>
    <row r="5161">
      <c r="B5161">
        <f>IF(A5161="","",$B$1-MAXIFS(Donasi!$A$2:$A$20000,Donasi!$B$2:$B$20000,A5161))</f>
        <v/>
      </c>
      <c r="C5161">
        <f>IF(A5161="","",COUNTIF(Donasi!$B$2:$B$20000,A5161))</f>
        <v/>
      </c>
      <c r="D5161">
        <f>IF(A5161="","",SUMIF(Donasi!$B$2:$B$20000,A5161,Donasi!$C$2:$C$20000))</f>
        <v/>
      </c>
      <c r="E5161">
        <f>IF(A5161="","",6-CEILING(PERCENTRANK.INC($B$3:$B$6000,B5161,4)*5+0.000001,1))</f>
        <v/>
      </c>
      <c r="F5161">
        <f>IF(A5161="","",MAX(1,CEILING(PERCENTRANK.INC($C$3:$C$6000,C5161,4)*5+0.000001,1)))</f>
        <v/>
      </c>
      <c r="G5161">
        <f>IF(A5161="","",MAX(1,CEILING(PERCENTRANK.INC($D$3:$D$6000,D5161,4)*5+0.000001,1)))</f>
        <v/>
      </c>
      <c r="H5161">
        <f>IF(A5161="","",E5161&amp;F5161&amp;G5161)</f>
        <v/>
      </c>
      <c r="I5161">
        <f>IF(A5161="","",IF(AND(E5161&gt;=4,F5161&gt;=4,G5161&gt;=4),"Juara",IF(AND(F5161&gt;=4,E5161&gt;=3),"Setia",IF(AND(E5161=5,F5161&lt;=2,G5161&gt;=3),"Berpotensi",IF(AND(E5161&lt;=3,E5161&gt;=2,F5161&gt;=3),"Rawan",IF(AND(E5161&lt;=2,F5161&lt;=2),"Tidur","Umum"))))))</f>
        <v/>
      </c>
    </row>
    <row r="5162">
      <c r="B5162">
        <f>IF(A5162="","",$B$1-MAXIFS(Donasi!$A$2:$A$20000,Donasi!$B$2:$B$20000,A5162))</f>
        <v/>
      </c>
      <c r="C5162">
        <f>IF(A5162="","",COUNTIF(Donasi!$B$2:$B$20000,A5162))</f>
        <v/>
      </c>
      <c r="D5162">
        <f>IF(A5162="","",SUMIF(Donasi!$B$2:$B$20000,A5162,Donasi!$C$2:$C$20000))</f>
        <v/>
      </c>
      <c r="E5162">
        <f>IF(A5162="","",6-CEILING(PERCENTRANK.INC($B$3:$B$6000,B5162,4)*5+0.000001,1))</f>
        <v/>
      </c>
      <c r="F5162">
        <f>IF(A5162="","",MAX(1,CEILING(PERCENTRANK.INC($C$3:$C$6000,C5162,4)*5+0.000001,1)))</f>
        <v/>
      </c>
      <c r="G5162">
        <f>IF(A5162="","",MAX(1,CEILING(PERCENTRANK.INC($D$3:$D$6000,D5162,4)*5+0.000001,1)))</f>
        <v/>
      </c>
      <c r="H5162">
        <f>IF(A5162="","",E5162&amp;F5162&amp;G5162)</f>
        <v/>
      </c>
      <c r="I5162">
        <f>IF(A5162="","",IF(AND(E5162&gt;=4,F5162&gt;=4,G5162&gt;=4),"Juara",IF(AND(F5162&gt;=4,E5162&gt;=3),"Setia",IF(AND(E5162=5,F5162&lt;=2,G5162&gt;=3),"Berpotensi",IF(AND(E5162&lt;=3,E5162&gt;=2,F5162&gt;=3),"Rawan",IF(AND(E5162&lt;=2,F5162&lt;=2),"Tidur","Umum"))))))</f>
        <v/>
      </c>
    </row>
    <row r="5163">
      <c r="B5163">
        <f>IF(A5163="","",$B$1-MAXIFS(Donasi!$A$2:$A$20000,Donasi!$B$2:$B$20000,A5163))</f>
        <v/>
      </c>
      <c r="C5163">
        <f>IF(A5163="","",COUNTIF(Donasi!$B$2:$B$20000,A5163))</f>
        <v/>
      </c>
      <c r="D5163">
        <f>IF(A5163="","",SUMIF(Donasi!$B$2:$B$20000,A5163,Donasi!$C$2:$C$20000))</f>
        <v/>
      </c>
      <c r="E5163">
        <f>IF(A5163="","",6-CEILING(PERCENTRANK.INC($B$3:$B$6000,B5163,4)*5+0.000001,1))</f>
        <v/>
      </c>
      <c r="F5163">
        <f>IF(A5163="","",MAX(1,CEILING(PERCENTRANK.INC($C$3:$C$6000,C5163,4)*5+0.000001,1)))</f>
        <v/>
      </c>
      <c r="G5163">
        <f>IF(A5163="","",MAX(1,CEILING(PERCENTRANK.INC($D$3:$D$6000,D5163,4)*5+0.000001,1)))</f>
        <v/>
      </c>
      <c r="H5163">
        <f>IF(A5163="","",E5163&amp;F5163&amp;G5163)</f>
        <v/>
      </c>
      <c r="I5163">
        <f>IF(A5163="","",IF(AND(E5163&gt;=4,F5163&gt;=4,G5163&gt;=4),"Juara",IF(AND(F5163&gt;=4,E5163&gt;=3),"Setia",IF(AND(E5163=5,F5163&lt;=2,G5163&gt;=3),"Berpotensi",IF(AND(E5163&lt;=3,E5163&gt;=2,F5163&gt;=3),"Rawan",IF(AND(E5163&lt;=2,F5163&lt;=2),"Tidur","Umum"))))))</f>
        <v/>
      </c>
    </row>
    <row r="5164">
      <c r="B5164">
        <f>IF(A5164="","",$B$1-MAXIFS(Donasi!$A$2:$A$20000,Donasi!$B$2:$B$20000,A5164))</f>
        <v/>
      </c>
      <c r="C5164">
        <f>IF(A5164="","",COUNTIF(Donasi!$B$2:$B$20000,A5164))</f>
        <v/>
      </c>
      <c r="D5164">
        <f>IF(A5164="","",SUMIF(Donasi!$B$2:$B$20000,A5164,Donasi!$C$2:$C$20000))</f>
        <v/>
      </c>
      <c r="E5164">
        <f>IF(A5164="","",6-CEILING(PERCENTRANK.INC($B$3:$B$6000,B5164,4)*5+0.000001,1))</f>
        <v/>
      </c>
      <c r="F5164">
        <f>IF(A5164="","",MAX(1,CEILING(PERCENTRANK.INC($C$3:$C$6000,C5164,4)*5+0.000001,1)))</f>
        <v/>
      </c>
      <c r="G5164">
        <f>IF(A5164="","",MAX(1,CEILING(PERCENTRANK.INC($D$3:$D$6000,D5164,4)*5+0.000001,1)))</f>
        <v/>
      </c>
      <c r="H5164">
        <f>IF(A5164="","",E5164&amp;F5164&amp;G5164)</f>
        <v/>
      </c>
      <c r="I5164">
        <f>IF(A5164="","",IF(AND(E5164&gt;=4,F5164&gt;=4,G5164&gt;=4),"Juara",IF(AND(F5164&gt;=4,E5164&gt;=3),"Setia",IF(AND(E5164=5,F5164&lt;=2,G5164&gt;=3),"Berpotensi",IF(AND(E5164&lt;=3,E5164&gt;=2,F5164&gt;=3),"Rawan",IF(AND(E5164&lt;=2,F5164&lt;=2),"Tidur","Umum"))))))</f>
        <v/>
      </c>
    </row>
    <row r="5165">
      <c r="B5165">
        <f>IF(A5165="","",$B$1-MAXIFS(Donasi!$A$2:$A$20000,Donasi!$B$2:$B$20000,A5165))</f>
        <v/>
      </c>
      <c r="C5165">
        <f>IF(A5165="","",COUNTIF(Donasi!$B$2:$B$20000,A5165))</f>
        <v/>
      </c>
      <c r="D5165">
        <f>IF(A5165="","",SUMIF(Donasi!$B$2:$B$20000,A5165,Donasi!$C$2:$C$20000))</f>
        <v/>
      </c>
      <c r="E5165">
        <f>IF(A5165="","",6-CEILING(PERCENTRANK.INC($B$3:$B$6000,B5165,4)*5+0.000001,1))</f>
        <v/>
      </c>
      <c r="F5165">
        <f>IF(A5165="","",MAX(1,CEILING(PERCENTRANK.INC($C$3:$C$6000,C5165,4)*5+0.000001,1)))</f>
        <v/>
      </c>
      <c r="G5165">
        <f>IF(A5165="","",MAX(1,CEILING(PERCENTRANK.INC($D$3:$D$6000,D5165,4)*5+0.000001,1)))</f>
        <v/>
      </c>
      <c r="H5165">
        <f>IF(A5165="","",E5165&amp;F5165&amp;G5165)</f>
        <v/>
      </c>
      <c r="I5165">
        <f>IF(A5165="","",IF(AND(E5165&gt;=4,F5165&gt;=4,G5165&gt;=4),"Juara",IF(AND(F5165&gt;=4,E5165&gt;=3),"Setia",IF(AND(E5165=5,F5165&lt;=2,G5165&gt;=3),"Berpotensi",IF(AND(E5165&lt;=3,E5165&gt;=2,F5165&gt;=3),"Rawan",IF(AND(E5165&lt;=2,F5165&lt;=2),"Tidur","Umum"))))))</f>
        <v/>
      </c>
    </row>
    <row r="5166">
      <c r="B5166">
        <f>IF(A5166="","",$B$1-MAXIFS(Donasi!$A$2:$A$20000,Donasi!$B$2:$B$20000,A5166))</f>
        <v/>
      </c>
      <c r="C5166">
        <f>IF(A5166="","",COUNTIF(Donasi!$B$2:$B$20000,A5166))</f>
        <v/>
      </c>
      <c r="D5166">
        <f>IF(A5166="","",SUMIF(Donasi!$B$2:$B$20000,A5166,Donasi!$C$2:$C$20000))</f>
        <v/>
      </c>
      <c r="E5166">
        <f>IF(A5166="","",6-CEILING(PERCENTRANK.INC($B$3:$B$6000,B5166,4)*5+0.000001,1))</f>
        <v/>
      </c>
      <c r="F5166">
        <f>IF(A5166="","",MAX(1,CEILING(PERCENTRANK.INC($C$3:$C$6000,C5166,4)*5+0.000001,1)))</f>
        <v/>
      </c>
      <c r="G5166">
        <f>IF(A5166="","",MAX(1,CEILING(PERCENTRANK.INC($D$3:$D$6000,D5166,4)*5+0.000001,1)))</f>
        <v/>
      </c>
      <c r="H5166">
        <f>IF(A5166="","",E5166&amp;F5166&amp;G5166)</f>
        <v/>
      </c>
      <c r="I5166">
        <f>IF(A5166="","",IF(AND(E5166&gt;=4,F5166&gt;=4,G5166&gt;=4),"Juara",IF(AND(F5166&gt;=4,E5166&gt;=3),"Setia",IF(AND(E5166=5,F5166&lt;=2,G5166&gt;=3),"Berpotensi",IF(AND(E5166&lt;=3,E5166&gt;=2,F5166&gt;=3),"Rawan",IF(AND(E5166&lt;=2,F5166&lt;=2),"Tidur","Umum"))))))</f>
        <v/>
      </c>
    </row>
    <row r="5167">
      <c r="B5167">
        <f>IF(A5167="","",$B$1-MAXIFS(Donasi!$A$2:$A$20000,Donasi!$B$2:$B$20000,A5167))</f>
        <v/>
      </c>
      <c r="C5167">
        <f>IF(A5167="","",COUNTIF(Donasi!$B$2:$B$20000,A5167))</f>
        <v/>
      </c>
      <c r="D5167">
        <f>IF(A5167="","",SUMIF(Donasi!$B$2:$B$20000,A5167,Donasi!$C$2:$C$20000))</f>
        <v/>
      </c>
      <c r="E5167">
        <f>IF(A5167="","",6-CEILING(PERCENTRANK.INC($B$3:$B$6000,B5167,4)*5+0.000001,1))</f>
        <v/>
      </c>
      <c r="F5167">
        <f>IF(A5167="","",MAX(1,CEILING(PERCENTRANK.INC($C$3:$C$6000,C5167,4)*5+0.000001,1)))</f>
        <v/>
      </c>
      <c r="G5167">
        <f>IF(A5167="","",MAX(1,CEILING(PERCENTRANK.INC($D$3:$D$6000,D5167,4)*5+0.000001,1)))</f>
        <v/>
      </c>
      <c r="H5167">
        <f>IF(A5167="","",E5167&amp;F5167&amp;G5167)</f>
        <v/>
      </c>
      <c r="I5167">
        <f>IF(A5167="","",IF(AND(E5167&gt;=4,F5167&gt;=4,G5167&gt;=4),"Juara",IF(AND(F5167&gt;=4,E5167&gt;=3),"Setia",IF(AND(E5167=5,F5167&lt;=2,G5167&gt;=3),"Berpotensi",IF(AND(E5167&lt;=3,E5167&gt;=2,F5167&gt;=3),"Rawan",IF(AND(E5167&lt;=2,F5167&lt;=2),"Tidur","Umum"))))))</f>
        <v/>
      </c>
    </row>
    <row r="5168">
      <c r="B5168">
        <f>IF(A5168="","",$B$1-MAXIFS(Donasi!$A$2:$A$20000,Donasi!$B$2:$B$20000,A5168))</f>
        <v/>
      </c>
      <c r="C5168">
        <f>IF(A5168="","",COUNTIF(Donasi!$B$2:$B$20000,A5168))</f>
        <v/>
      </c>
      <c r="D5168">
        <f>IF(A5168="","",SUMIF(Donasi!$B$2:$B$20000,A5168,Donasi!$C$2:$C$20000))</f>
        <v/>
      </c>
      <c r="E5168">
        <f>IF(A5168="","",6-CEILING(PERCENTRANK.INC($B$3:$B$6000,B5168,4)*5+0.000001,1))</f>
        <v/>
      </c>
      <c r="F5168">
        <f>IF(A5168="","",MAX(1,CEILING(PERCENTRANK.INC($C$3:$C$6000,C5168,4)*5+0.000001,1)))</f>
        <v/>
      </c>
      <c r="G5168">
        <f>IF(A5168="","",MAX(1,CEILING(PERCENTRANK.INC($D$3:$D$6000,D5168,4)*5+0.000001,1)))</f>
        <v/>
      </c>
      <c r="H5168">
        <f>IF(A5168="","",E5168&amp;F5168&amp;G5168)</f>
        <v/>
      </c>
      <c r="I5168">
        <f>IF(A5168="","",IF(AND(E5168&gt;=4,F5168&gt;=4,G5168&gt;=4),"Juara",IF(AND(F5168&gt;=4,E5168&gt;=3),"Setia",IF(AND(E5168=5,F5168&lt;=2,G5168&gt;=3),"Berpotensi",IF(AND(E5168&lt;=3,E5168&gt;=2,F5168&gt;=3),"Rawan",IF(AND(E5168&lt;=2,F5168&lt;=2),"Tidur","Umum"))))))</f>
        <v/>
      </c>
    </row>
    <row r="5169">
      <c r="B5169">
        <f>IF(A5169="","",$B$1-MAXIFS(Donasi!$A$2:$A$20000,Donasi!$B$2:$B$20000,A5169))</f>
        <v/>
      </c>
      <c r="C5169">
        <f>IF(A5169="","",COUNTIF(Donasi!$B$2:$B$20000,A5169))</f>
        <v/>
      </c>
      <c r="D5169">
        <f>IF(A5169="","",SUMIF(Donasi!$B$2:$B$20000,A5169,Donasi!$C$2:$C$20000))</f>
        <v/>
      </c>
      <c r="E5169">
        <f>IF(A5169="","",6-CEILING(PERCENTRANK.INC($B$3:$B$6000,B5169,4)*5+0.000001,1))</f>
        <v/>
      </c>
      <c r="F5169">
        <f>IF(A5169="","",MAX(1,CEILING(PERCENTRANK.INC($C$3:$C$6000,C5169,4)*5+0.000001,1)))</f>
        <v/>
      </c>
      <c r="G5169">
        <f>IF(A5169="","",MAX(1,CEILING(PERCENTRANK.INC($D$3:$D$6000,D5169,4)*5+0.000001,1)))</f>
        <v/>
      </c>
      <c r="H5169">
        <f>IF(A5169="","",E5169&amp;F5169&amp;G5169)</f>
        <v/>
      </c>
      <c r="I5169">
        <f>IF(A5169="","",IF(AND(E5169&gt;=4,F5169&gt;=4,G5169&gt;=4),"Juara",IF(AND(F5169&gt;=4,E5169&gt;=3),"Setia",IF(AND(E5169=5,F5169&lt;=2,G5169&gt;=3),"Berpotensi",IF(AND(E5169&lt;=3,E5169&gt;=2,F5169&gt;=3),"Rawan",IF(AND(E5169&lt;=2,F5169&lt;=2),"Tidur","Umum"))))))</f>
        <v/>
      </c>
    </row>
    <row r="5170">
      <c r="B5170">
        <f>IF(A5170="","",$B$1-MAXIFS(Donasi!$A$2:$A$20000,Donasi!$B$2:$B$20000,A5170))</f>
        <v/>
      </c>
      <c r="C5170">
        <f>IF(A5170="","",COUNTIF(Donasi!$B$2:$B$20000,A5170))</f>
        <v/>
      </c>
      <c r="D5170">
        <f>IF(A5170="","",SUMIF(Donasi!$B$2:$B$20000,A5170,Donasi!$C$2:$C$20000))</f>
        <v/>
      </c>
      <c r="E5170">
        <f>IF(A5170="","",6-CEILING(PERCENTRANK.INC($B$3:$B$6000,B5170,4)*5+0.000001,1))</f>
        <v/>
      </c>
      <c r="F5170">
        <f>IF(A5170="","",MAX(1,CEILING(PERCENTRANK.INC($C$3:$C$6000,C5170,4)*5+0.000001,1)))</f>
        <v/>
      </c>
      <c r="G5170">
        <f>IF(A5170="","",MAX(1,CEILING(PERCENTRANK.INC($D$3:$D$6000,D5170,4)*5+0.000001,1)))</f>
        <v/>
      </c>
      <c r="H5170">
        <f>IF(A5170="","",E5170&amp;F5170&amp;G5170)</f>
        <v/>
      </c>
      <c r="I5170">
        <f>IF(A5170="","",IF(AND(E5170&gt;=4,F5170&gt;=4,G5170&gt;=4),"Juara",IF(AND(F5170&gt;=4,E5170&gt;=3),"Setia",IF(AND(E5170=5,F5170&lt;=2,G5170&gt;=3),"Berpotensi",IF(AND(E5170&lt;=3,E5170&gt;=2,F5170&gt;=3),"Rawan",IF(AND(E5170&lt;=2,F5170&lt;=2),"Tidur","Umum"))))))</f>
        <v/>
      </c>
    </row>
    <row r="5171">
      <c r="B5171">
        <f>IF(A5171="","",$B$1-MAXIFS(Donasi!$A$2:$A$20000,Donasi!$B$2:$B$20000,A5171))</f>
        <v/>
      </c>
      <c r="C5171">
        <f>IF(A5171="","",COUNTIF(Donasi!$B$2:$B$20000,A5171))</f>
        <v/>
      </c>
      <c r="D5171">
        <f>IF(A5171="","",SUMIF(Donasi!$B$2:$B$20000,A5171,Donasi!$C$2:$C$20000))</f>
        <v/>
      </c>
      <c r="E5171">
        <f>IF(A5171="","",6-CEILING(PERCENTRANK.INC($B$3:$B$6000,B5171,4)*5+0.000001,1))</f>
        <v/>
      </c>
      <c r="F5171">
        <f>IF(A5171="","",MAX(1,CEILING(PERCENTRANK.INC($C$3:$C$6000,C5171,4)*5+0.000001,1)))</f>
        <v/>
      </c>
      <c r="G5171">
        <f>IF(A5171="","",MAX(1,CEILING(PERCENTRANK.INC($D$3:$D$6000,D5171,4)*5+0.000001,1)))</f>
        <v/>
      </c>
      <c r="H5171">
        <f>IF(A5171="","",E5171&amp;F5171&amp;G5171)</f>
        <v/>
      </c>
      <c r="I5171">
        <f>IF(A5171="","",IF(AND(E5171&gt;=4,F5171&gt;=4,G5171&gt;=4),"Juara",IF(AND(F5171&gt;=4,E5171&gt;=3),"Setia",IF(AND(E5171=5,F5171&lt;=2,G5171&gt;=3),"Berpotensi",IF(AND(E5171&lt;=3,E5171&gt;=2,F5171&gt;=3),"Rawan",IF(AND(E5171&lt;=2,F5171&lt;=2),"Tidur","Umum"))))))</f>
        <v/>
      </c>
    </row>
    <row r="5172">
      <c r="B5172">
        <f>IF(A5172="","",$B$1-MAXIFS(Donasi!$A$2:$A$20000,Donasi!$B$2:$B$20000,A5172))</f>
        <v/>
      </c>
      <c r="C5172">
        <f>IF(A5172="","",COUNTIF(Donasi!$B$2:$B$20000,A5172))</f>
        <v/>
      </c>
      <c r="D5172">
        <f>IF(A5172="","",SUMIF(Donasi!$B$2:$B$20000,A5172,Donasi!$C$2:$C$20000))</f>
        <v/>
      </c>
      <c r="E5172">
        <f>IF(A5172="","",6-CEILING(PERCENTRANK.INC($B$3:$B$6000,B5172,4)*5+0.000001,1))</f>
        <v/>
      </c>
      <c r="F5172">
        <f>IF(A5172="","",MAX(1,CEILING(PERCENTRANK.INC($C$3:$C$6000,C5172,4)*5+0.000001,1)))</f>
        <v/>
      </c>
      <c r="G5172">
        <f>IF(A5172="","",MAX(1,CEILING(PERCENTRANK.INC($D$3:$D$6000,D5172,4)*5+0.000001,1)))</f>
        <v/>
      </c>
      <c r="H5172">
        <f>IF(A5172="","",E5172&amp;F5172&amp;G5172)</f>
        <v/>
      </c>
      <c r="I5172">
        <f>IF(A5172="","",IF(AND(E5172&gt;=4,F5172&gt;=4,G5172&gt;=4),"Juara",IF(AND(F5172&gt;=4,E5172&gt;=3),"Setia",IF(AND(E5172=5,F5172&lt;=2,G5172&gt;=3),"Berpotensi",IF(AND(E5172&lt;=3,E5172&gt;=2,F5172&gt;=3),"Rawan",IF(AND(E5172&lt;=2,F5172&lt;=2),"Tidur","Umum"))))))</f>
        <v/>
      </c>
    </row>
    <row r="5173">
      <c r="B5173">
        <f>IF(A5173="","",$B$1-MAXIFS(Donasi!$A$2:$A$20000,Donasi!$B$2:$B$20000,A5173))</f>
        <v/>
      </c>
      <c r="C5173">
        <f>IF(A5173="","",COUNTIF(Donasi!$B$2:$B$20000,A5173))</f>
        <v/>
      </c>
      <c r="D5173">
        <f>IF(A5173="","",SUMIF(Donasi!$B$2:$B$20000,A5173,Donasi!$C$2:$C$20000))</f>
        <v/>
      </c>
      <c r="E5173">
        <f>IF(A5173="","",6-CEILING(PERCENTRANK.INC($B$3:$B$6000,B5173,4)*5+0.000001,1))</f>
        <v/>
      </c>
      <c r="F5173">
        <f>IF(A5173="","",MAX(1,CEILING(PERCENTRANK.INC($C$3:$C$6000,C5173,4)*5+0.000001,1)))</f>
        <v/>
      </c>
      <c r="G5173">
        <f>IF(A5173="","",MAX(1,CEILING(PERCENTRANK.INC($D$3:$D$6000,D5173,4)*5+0.000001,1)))</f>
        <v/>
      </c>
      <c r="H5173">
        <f>IF(A5173="","",E5173&amp;F5173&amp;G5173)</f>
        <v/>
      </c>
      <c r="I5173">
        <f>IF(A5173="","",IF(AND(E5173&gt;=4,F5173&gt;=4,G5173&gt;=4),"Juara",IF(AND(F5173&gt;=4,E5173&gt;=3),"Setia",IF(AND(E5173=5,F5173&lt;=2,G5173&gt;=3),"Berpotensi",IF(AND(E5173&lt;=3,E5173&gt;=2,F5173&gt;=3),"Rawan",IF(AND(E5173&lt;=2,F5173&lt;=2),"Tidur","Umum"))))))</f>
        <v/>
      </c>
    </row>
    <row r="5174">
      <c r="B5174">
        <f>IF(A5174="","",$B$1-MAXIFS(Donasi!$A$2:$A$20000,Donasi!$B$2:$B$20000,A5174))</f>
        <v/>
      </c>
      <c r="C5174">
        <f>IF(A5174="","",COUNTIF(Donasi!$B$2:$B$20000,A5174))</f>
        <v/>
      </c>
      <c r="D5174">
        <f>IF(A5174="","",SUMIF(Donasi!$B$2:$B$20000,A5174,Donasi!$C$2:$C$20000))</f>
        <v/>
      </c>
      <c r="E5174">
        <f>IF(A5174="","",6-CEILING(PERCENTRANK.INC($B$3:$B$6000,B5174,4)*5+0.000001,1))</f>
        <v/>
      </c>
      <c r="F5174">
        <f>IF(A5174="","",MAX(1,CEILING(PERCENTRANK.INC($C$3:$C$6000,C5174,4)*5+0.000001,1)))</f>
        <v/>
      </c>
      <c r="G5174">
        <f>IF(A5174="","",MAX(1,CEILING(PERCENTRANK.INC($D$3:$D$6000,D5174,4)*5+0.000001,1)))</f>
        <v/>
      </c>
      <c r="H5174">
        <f>IF(A5174="","",E5174&amp;F5174&amp;G5174)</f>
        <v/>
      </c>
      <c r="I5174">
        <f>IF(A5174="","",IF(AND(E5174&gt;=4,F5174&gt;=4,G5174&gt;=4),"Juara",IF(AND(F5174&gt;=4,E5174&gt;=3),"Setia",IF(AND(E5174=5,F5174&lt;=2,G5174&gt;=3),"Berpotensi",IF(AND(E5174&lt;=3,E5174&gt;=2,F5174&gt;=3),"Rawan",IF(AND(E5174&lt;=2,F5174&lt;=2),"Tidur","Umum"))))))</f>
        <v/>
      </c>
    </row>
    <row r="5175">
      <c r="B5175">
        <f>IF(A5175="","",$B$1-MAXIFS(Donasi!$A$2:$A$20000,Donasi!$B$2:$B$20000,A5175))</f>
        <v/>
      </c>
      <c r="C5175">
        <f>IF(A5175="","",COUNTIF(Donasi!$B$2:$B$20000,A5175))</f>
        <v/>
      </c>
      <c r="D5175">
        <f>IF(A5175="","",SUMIF(Donasi!$B$2:$B$20000,A5175,Donasi!$C$2:$C$20000))</f>
        <v/>
      </c>
      <c r="E5175">
        <f>IF(A5175="","",6-CEILING(PERCENTRANK.INC($B$3:$B$6000,B5175,4)*5+0.000001,1))</f>
        <v/>
      </c>
      <c r="F5175">
        <f>IF(A5175="","",MAX(1,CEILING(PERCENTRANK.INC($C$3:$C$6000,C5175,4)*5+0.000001,1)))</f>
        <v/>
      </c>
      <c r="G5175">
        <f>IF(A5175="","",MAX(1,CEILING(PERCENTRANK.INC($D$3:$D$6000,D5175,4)*5+0.000001,1)))</f>
        <v/>
      </c>
      <c r="H5175">
        <f>IF(A5175="","",E5175&amp;F5175&amp;G5175)</f>
        <v/>
      </c>
      <c r="I5175">
        <f>IF(A5175="","",IF(AND(E5175&gt;=4,F5175&gt;=4,G5175&gt;=4),"Juara",IF(AND(F5175&gt;=4,E5175&gt;=3),"Setia",IF(AND(E5175=5,F5175&lt;=2,G5175&gt;=3),"Berpotensi",IF(AND(E5175&lt;=3,E5175&gt;=2,F5175&gt;=3),"Rawan",IF(AND(E5175&lt;=2,F5175&lt;=2),"Tidur","Umum"))))))</f>
        <v/>
      </c>
    </row>
    <row r="5176">
      <c r="B5176">
        <f>IF(A5176="","",$B$1-MAXIFS(Donasi!$A$2:$A$20000,Donasi!$B$2:$B$20000,A5176))</f>
        <v/>
      </c>
      <c r="C5176">
        <f>IF(A5176="","",COUNTIF(Donasi!$B$2:$B$20000,A5176))</f>
        <v/>
      </c>
      <c r="D5176">
        <f>IF(A5176="","",SUMIF(Donasi!$B$2:$B$20000,A5176,Donasi!$C$2:$C$20000))</f>
        <v/>
      </c>
      <c r="E5176">
        <f>IF(A5176="","",6-CEILING(PERCENTRANK.INC($B$3:$B$6000,B5176,4)*5+0.000001,1))</f>
        <v/>
      </c>
      <c r="F5176">
        <f>IF(A5176="","",MAX(1,CEILING(PERCENTRANK.INC($C$3:$C$6000,C5176,4)*5+0.000001,1)))</f>
        <v/>
      </c>
      <c r="G5176">
        <f>IF(A5176="","",MAX(1,CEILING(PERCENTRANK.INC($D$3:$D$6000,D5176,4)*5+0.000001,1)))</f>
        <v/>
      </c>
      <c r="H5176">
        <f>IF(A5176="","",E5176&amp;F5176&amp;G5176)</f>
        <v/>
      </c>
      <c r="I5176">
        <f>IF(A5176="","",IF(AND(E5176&gt;=4,F5176&gt;=4,G5176&gt;=4),"Juara",IF(AND(F5176&gt;=4,E5176&gt;=3),"Setia",IF(AND(E5176=5,F5176&lt;=2,G5176&gt;=3),"Berpotensi",IF(AND(E5176&lt;=3,E5176&gt;=2,F5176&gt;=3),"Rawan",IF(AND(E5176&lt;=2,F5176&lt;=2),"Tidur","Umum"))))))</f>
        <v/>
      </c>
    </row>
    <row r="5177">
      <c r="B5177">
        <f>IF(A5177="","",$B$1-MAXIFS(Donasi!$A$2:$A$20000,Donasi!$B$2:$B$20000,A5177))</f>
        <v/>
      </c>
      <c r="C5177">
        <f>IF(A5177="","",COUNTIF(Donasi!$B$2:$B$20000,A5177))</f>
        <v/>
      </c>
      <c r="D5177">
        <f>IF(A5177="","",SUMIF(Donasi!$B$2:$B$20000,A5177,Donasi!$C$2:$C$20000))</f>
        <v/>
      </c>
      <c r="E5177">
        <f>IF(A5177="","",6-CEILING(PERCENTRANK.INC($B$3:$B$6000,B5177,4)*5+0.000001,1))</f>
        <v/>
      </c>
      <c r="F5177">
        <f>IF(A5177="","",MAX(1,CEILING(PERCENTRANK.INC($C$3:$C$6000,C5177,4)*5+0.000001,1)))</f>
        <v/>
      </c>
      <c r="G5177">
        <f>IF(A5177="","",MAX(1,CEILING(PERCENTRANK.INC($D$3:$D$6000,D5177,4)*5+0.000001,1)))</f>
        <v/>
      </c>
      <c r="H5177">
        <f>IF(A5177="","",E5177&amp;F5177&amp;G5177)</f>
        <v/>
      </c>
      <c r="I5177">
        <f>IF(A5177="","",IF(AND(E5177&gt;=4,F5177&gt;=4,G5177&gt;=4),"Juara",IF(AND(F5177&gt;=4,E5177&gt;=3),"Setia",IF(AND(E5177=5,F5177&lt;=2,G5177&gt;=3),"Berpotensi",IF(AND(E5177&lt;=3,E5177&gt;=2,F5177&gt;=3),"Rawan",IF(AND(E5177&lt;=2,F5177&lt;=2),"Tidur","Umum"))))))</f>
        <v/>
      </c>
    </row>
    <row r="5178">
      <c r="B5178">
        <f>IF(A5178="","",$B$1-MAXIFS(Donasi!$A$2:$A$20000,Donasi!$B$2:$B$20000,A5178))</f>
        <v/>
      </c>
      <c r="C5178">
        <f>IF(A5178="","",COUNTIF(Donasi!$B$2:$B$20000,A5178))</f>
        <v/>
      </c>
      <c r="D5178">
        <f>IF(A5178="","",SUMIF(Donasi!$B$2:$B$20000,A5178,Donasi!$C$2:$C$20000))</f>
        <v/>
      </c>
      <c r="E5178">
        <f>IF(A5178="","",6-CEILING(PERCENTRANK.INC($B$3:$B$6000,B5178,4)*5+0.000001,1))</f>
        <v/>
      </c>
      <c r="F5178">
        <f>IF(A5178="","",MAX(1,CEILING(PERCENTRANK.INC($C$3:$C$6000,C5178,4)*5+0.000001,1)))</f>
        <v/>
      </c>
      <c r="G5178">
        <f>IF(A5178="","",MAX(1,CEILING(PERCENTRANK.INC($D$3:$D$6000,D5178,4)*5+0.000001,1)))</f>
        <v/>
      </c>
      <c r="H5178">
        <f>IF(A5178="","",E5178&amp;F5178&amp;G5178)</f>
        <v/>
      </c>
      <c r="I5178">
        <f>IF(A5178="","",IF(AND(E5178&gt;=4,F5178&gt;=4,G5178&gt;=4),"Juara",IF(AND(F5178&gt;=4,E5178&gt;=3),"Setia",IF(AND(E5178=5,F5178&lt;=2,G5178&gt;=3),"Berpotensi",IF(AND(E5178&lt;=3,E5178&gt;=2,F5178&gt;=3),"Rawan",IF(AND(E5178&lt;=2,F5178&lt;=2),"Tidur","Umum"))))))</f>
        <v/>
      </c>
    </row>
    <row r="5179">
      <c r="B5179">
        <f>IF(A5179="","",$B$1-MAXIFS(Donasi!$A$2:$A$20000,Donasi!$B$2:$B$20000,A5179))</f>
        <v/>
      </c>
      <c r="C5179">
        <f>IF(A5179="","",COUNTIF(Donasi!$B$2:$B$20000,A5179))</f>
        <v/>
      </c>
      <c r="D5179">
        <f>IF(A5179="","",SUMIF(Donasi!$B$2:$B$20000,A5179,Donasi!$C$2:$C$20000))</f>
        <v/>
      </c>
      <c r="E5179">
        <f>IF(A5179="","",6-CEILING(PERCENTRANK.INC($B$3:$B$6000,B5179,4)*5+0.000001,1))</f>
        <v/>
      </c>
      <c r="F5179">
        <f>IF(A5179="","",MAX(1,CEILING(PERCENTRANK.INC($C$3:$C$6000,C5179,4)*5+0.000001,1)))</f>
        <v/>
      </c>
      <c r="G5179">
        <f>IF(A5179="","",MAX(1,CEILING(PERCENTRANK.INC($D$3:$D$6000,D5179,4)*5+0.000001,1)))</f>
        <v/>
      </c>
      <c r="H5179">
        <f>IF(A5179="","",E5179&amp;F5179&amp;G5179)</f>
        <v/>
      </c>
      <c r="I5179">
        <f>IF(A5179="","",IF(AND(E5179&gt;=4,F5179&gt;=4,G5179&gt;=4),"Juara",IF(AND(F5179&gt;=4,E5179&gt;=3),"Setia",IF(AND(E5179=5,F5179&lt;=2,G5179&gt;=3),"Berpotensi",IF(AND(E5179&lt;=3,E5179&gt;=2,F5179&gt;=3),"Rawan",IF(AND(E5179&lt;=2,F5179&lt;=2),"Tidur","Umum"))))))</f>
        <v/>
      </c>
    </row>
    <row r="5180">
      <c r="B5180">
        <f>IF(A5180="","",$B$1-MAXIFS(Donasi!$A$2:$A$20000,Donasi!$B$2:$B$20000,A5180))</f>
        <v/>
      </c>
      <c r="C5180">
        <f>IF(A5180="","",COUNTIF(Donasi!$B$2:$B$20000,A5180))</f>
        <v/>
      </c>
      <c r="D5180">
        <f>IF(A5180="","",SUMIF(Donasi!$B$2:$B$20000,A5180,Donasi!$C$2:$C$20000))</f>
        <v/>
      </c>
      <c r="E5180">
        <f>IF(A5180="","",6-CEILING(PERCENTRANK.INC($B$3:$B$6000,B5180,4)*5+0.000001,1))</f>
        <v/>
      </c>
      <c r="F5180">
        <f>IF(A5180="","",MAX(1,CEILING(PERCENTRANK.INC($C$3:$C$6000,C5180,4)*5+0.000001,1)))</f>
        <v/>
      </c>
      <c r="G5180">
        <f>IF(A5180="","",MAX(1,CEILING(PERCENTRANK.INC($D$3:$D$6000,D5180,4)*5+0.000001,1)))</f>
        <v/>
      </c>
      <c r="H5180">
        <f>IF(A5180="","",E5180&amp;F5180&amp;G5180)</f>
        <v/>
      </c>
      <c r="I5180">
        <f>IF(A5180="","",IF(AND(E5180&gt;=4,F5180&gt;=4,G5180&gt;=4),"Juara",IF(AND(F5180&gt;=4,E5180&gt;=3),"Setia",IF(AND(E5180=5,F5180&lt;=2,G5180&gt;=3),"Berpotensi",IF(AND(E5180&lt;=3,E5180&gt;=2,F5180&gt;=3),"Rawan",IF(AND(E5180&lt;=2,F5180&lt;=2),"Tidur","Umum"))))))</f>
        <v/>
      </c>
    </row>
    <row r="5181">
      <c r="B5181">
        <f>IF(A5181="","",$B$1-MAXIFS(Donasi!$A$2:$A$20000,Donasi!$B$2:$B$20000,A5181))</f>
        <v/>
      </c>
      <c r="C5181">
        <f>IF(A5181="","",COUNTIF(Donasi!$B$2:$B$20000,A5181))</f>
        <v/>
      </c>
      <c r="D5181">
        <f>IF(A5181="","",SUMIF(Donasi!$B$2:$B$20000,A5181,Donasi!$C$2:$C$20000))</f>
        <v/>
      </c>
      <c r="E5181">
        <f>IF(A5181="","",6-CEILING(PERCENTRANK.INC($B$3:$B$6000,B5181,4)*5+0.000001,1))</f>
        <v/>
      </c>
      <c r="F5181">
        <f>IF(A5181="","",MAX(1,CEILING(PERCENTRANK.INC($C$3:$C$6000,C5181,4)*5+0.000001,1)))</f>
        <v/>
      </c>
      <c r="G5181">
        <f>IF(A5181="","",MAX(1,CEILING(PERCENTRANK.INC($D$3:$D$6000,D5181,4)*5+0.000001,1)))</f>
        <v/>
      </c>
      <c r="H5181">
        <f>IF(A5181="","",E5181&amp;F5181&amp;G5181)</f>
        <v/>
      </c>
      <c r="I5181">
        <f>IF(A5181="","",IF(AND(E5181&gt;=4,F5181&gt;=4,G5181&gt;=4),"Juara",IF(AND(F5181&gt;=4,E5181&gt;=3),"Setia",IF(AND(E5181=5,F5181&lt;=2,G5181&gt;=3),"Berpotensi",IF(AND(E5181&lt;=3,E5181&gt;=2,F5181&gt;=3),"Rawan",IF(AND(E5181&lt;=2,F5181&lt;=2),"Tidur","Umum"))))))</f>
        <v/>
      </c>
    </row>
    <row r="5182">
      <c r="B5182">
        <f>IF(A5182="","",$B$1-MAXIFS(Donasi!$A$2:$A$20000,Donasi!$B$2:$B$20000,A5182))</f>
        <v/>
      </c>
      <c r="C5182">
        <f>IF(A5182="","",COUNTIF(Donasi!$B$2:$B$20000,A5182))</f>
        <v/>
      </c>
      <c r="D5182">
        <f>IF(A5182="","",SUMIF(Donasi!$B$2:$B$20000,A5182,Donasi!$C$2:$C$20000))</f>
        <v/>
      </c>
      <c r="E5182">
        <f>IF(A5182="","",6-CEILING(PERCENTRANK.INC($B$3:$B$6000,B5182,4)*5+0.000001,1))</f>
        <v/>
      </c>
      <c r="F5182">
        <f>IF(A5182="","",MAX(1,CEILING(PERCENTRANK.INC($C$3:$C$6000,C5182,4)*5+0.000001,1)))</f>
        <v/>
      </c>
      <c r="G5182">
        <f>IF(A5182="","",MAX(1,CEILING(PERCENTRANK.INC($D$3:$D$6000,D5182,4)*5+0.000001,1)))</f>
        <v/>
      </c>
      <c r="H5182">
        <f>IF(A5182="","",E5182&amp;F5182&amp;G5182)</f>
        <v/>
      </c>
      <c r="I5182">
        <f>IF(A5182="","",IF(AND(E5182&gt;=4,F5182&gt;=4,G5182&gt;=4),"Juara",IF(AND(F5182&gt;=4,E5182&gt;=3),"Setia",IF(AND(E5182=5,F5182&lt;=2,G5182&gt;=3),"Berpotensi",IF(AND(E5182&lt;=3,E5182&gt;=2,F5182&gt;=3),"Rawan",IF(AND(E5182&lt;=2,F5182&lt;=2),"Tidur","Umum"))))))</f>
        <v/>
      </c>
    </row>
    <row r="5183">
      <c r="B5183">
        <f>IF(A5183="","",$B$1-MAXIFS(Donasi!$A$2:$A$20000,Donasi!$B$2:$B$20000,A5183))</f>
        <v/>
      </c>
      <c r="C5183">
        <f>IF(A5183="","",COUNTIF(Donasi!$B$2:$B$20000,A5183))</f>
        <v/>
      </c>
      <c r="D5183">
        <f>IF(A5183="","",SUMIF(Donasi!$B$2:$B$20000,A5183,Donasi!$C$2:$C$20000))</f>
        <v/>
      </c>
      <c r="E5183">
        <f>IF(A5183="","",6-CEILING(PERCENTRANK.INC($B$3:$B$6000,B5183,4)*5+0.000001,1))</f>
        <v/>
      </c>
      <c r="F5183">
        <f>IF(A5183="","",MAX(1,CEILING(PERCENTRANK.INC($C$3:$C$6000,C5183,4)*5+0.000001,1)))</f>
        <v/>
      </c>
      <c r="G5183">
        <f>IF(A5183="","",MAX(1,CEILING(PERCENTRANK.INC($D$3:$D$6000,D5183,4)*5+0.000001,1)))</f>
        <v/>
      </c>
      <c r="H5183">
        <f>IF(A5183="","",E5183&amp;F5183&amp;G5183)</f>
        <v/>
      </c>
      <c r="I5183">
        <f>IF(A5183="","",IF(AND(E5183&gt;=4,F5183&gt;=4,G5183&gt;=4),"Juara",IF(AND(F5183&gt;=4,E5183&gt;=3),"Setia",IF(AND(E5183=5,F5183&lt;=2,G5183&gt;=3),"Berpotensi",IF(AND(E5183&lt;=3,E5183&gt;=2,F5183&gt;=3),"Rawan",IF(AND(E5183&lt;=2,F5183&lt;=2),"Tidur","Umum"))))))</f>
        <v/>
      </c>
    </row>
    <row r="5184">
      <c r="B5184">
        <f>IF(A5184="","",$B$1-MAXIFS(Donasi!$A$2:$A$20000,Donasi!$B$2:$B$20000,A5184))</f>
        <v/>
      </c>
      <c r="C5184">
        <f>IF(A5184="","",COUNTIF(Donasi!$B$2:$B$20000,A5184))</f>
        <v/>
      </c>
      <c r="D5184">
        <f>IF(A5184="","",SUMIF(Donasi!$B$2:$B$20000,A5184,Donasi!$C$2:$C$20000))</f>
        <v/>
      </c>
      <c r="E5184">
        <f>IF(A5184="","",6-CEILING(PERCENTRANK.INC($B$3:$B$6000,B5184,4)*5+0.000001,1))</f>
        <v/>
      </c>
      <c r="F5184">
        <f>IF(A5184="","",MAX(1,CEILING(PERCENTRANK.INC($C$3:$C$6000,C5184,4)*5+0.000001,1)))</f>
        <v/>
      </c>
      <c r="G5184">
        <f>IF(A5184="","",MAX(1,CEILING(PERCENTRANK.INC($D$3:$D$6000,D5184,4)*5+0.000001,1)))</f>
        <v/>
      </c>
      <c r="H5184">
        <f>IF(A5184="","",E5184&amp;F5184&amp;G5184)</f>
        <v/>
      </c>
      <c r="I5184">
        <f>IF(A5184="","",IF(AND(E5184&gt;=4,F5184&gt;=4,G5184&gt;=4),"Juara",IF(AND(F5184&gt;=4,E5184&gt;=3),"Setia",IF(AND(E5184=5,F5184&lt;=2,G5184&gt;=3),"Berpotensi",IF(AND(E5184&lt;=3,E5184&gt;=2,F5184&gt;=3),"Rawan",IF(AND(E5184&lt;=2,F5184&lt;=2),"Tidur","Umum"))))))</f>
        <v/>
      </c>
    </row>
    <row r="5185">
      <c r="B5185">
        <f>IF(A5185="","",$B$1-MAXIFS(Donasi!$A$2:$A$20000,Donasi!$B$2:$B$20000,A5185))</f>
        <v/>
      </c>
      <c r="C5185">
        <f>IF(A5185="","",COUNTIF(Donasi!$B$2:$B$20000,A5185))</f>
        <v/>
      </c>
      <c r="D5185">
        <f>IF(A5185="","",SUMIF(Donasi!$B$2:$B$20000,A5185,Donasi!$C$2:$C$20000))</f>
        <v/>
      </c>
      <c r="E5185">
        <f>IF(A5185="","",6-CEILING(PERCENTRANK.INC($B$3:$B$6000,B5185,4)*5+0.000001,1))</f>
        <v/>
      </c>
      <c r="F5185">
        <f>IF(A5185="","",MAX(1,CEILING(PERCENTRANK.INC($C$3:$C$6000,C5185,4)*5+0.000001,1)))</f>
        <v/>
      </c>
      <c r="G5185">
        <f>IF(A5185="","",MAX(1,CEILING(PERCENTRANK.INC($D$3:$D$6000,D5185,4)*5+0.000001,1)))</f>
        <v/>
      </c>
      <c r="H5185">
        <f>IF(A5185="","",E5185&amp;F5185&amp;G5185)</f>
        <v/>
      </c>
      <c r="I5185">
        <f>IF(A5185="","",IF(AND(E5185&gt;=4,F5185&gt;=4,G5185&gt;=4),"Juara",IF(AND(F5185&gt;=4,E5185&gt;=3),"Setia",IF(AND(E5185=5,F5185&lt;=2,G5185&gt;=3),"Berpotensi",IF(AND(E5185&lt;=3,E5185&gt;=2,F5185&gt;=3),"Rawan",IF(AND(E5185&lt;=2,F5185&lt;=2),"Tidur","Umum"))))))</f>
        <v/>
      </c>
    </row>
    <row r="5186">
      <c r="B5186">
        <f>IF(A5186="","",$B$1-MAXIFS(Donasi!$A$2:$A$20000,Donasi!$B$2:$B$20000,A5186))</f>
        <v/>
      </c>
      <c r="C5186">
        <f>IF(A5186="","",COUNTIF(Donasi!$B$2:$B$20000,A5186))</f>
        <v/>
      </c>
      <c r="D5186">
        <f>IF(A5186="","",SUMIF(Donasi!$B$2:$B$20000,A5186,Donasi!$C$2:$C$20000))</f>
        <v/>
      </c>
      <c r="E5186">
        <f>IF(A5186="","",6-CEILING(PERCENTRANK.INC($B$3:$B$6000,B5186,4)*5+0.000001,1))</f>
        <v/>
      </c>
      <c r="F5186">
        <f>IF(A5186="","",MAX(1,CEILING(PERCENTRANK.INC($C$3:$C$6000,C5186,4)*5+0.000001,1)))</f>
        <v/>
      </c>
      <c r="G5186">
        <f>IF(A5186="","",MAX(1,CEILING(PERCENTRANK.INC($D$3:$D$6000,D5186,4)*5+0.000001,1)))</f>
        <v/>
      </c>
      <c r="H5186">
        <f>IF(A5186="","",E5186&amp;F5186&amp;G5186)</f>
        <v/>
      </c>
      <c r="I5186">
        <f>IF(A5186="","",IF(AND(E5186&gt;=4,F5186&gt;=4,G5186&gt;=4),"Juara",IF(AND(F5186&gt;=4,E5186&gt;=3),"Setia",IF(AND(E5186=5,F5186&lt;=2,G5186&gt;=3),"Berpotensi",IF(AND(E5186&lt;=3,E5186&gt;=2,F5186&gt;=3),"Rawan",IF(AND(E5186&lt;=2,F5186&lt;=2),"Tidur","Umum"))))))</f>
        <v/>
      </c>
    </row>
    <row r="5187">
      <c r="B5187">
        <f>IF(A5187="","",$B$1-MAXIFS(Donasi!$A$2:$A$20000,Donasi!$B$2:$B$20000,A5187))</f>
        <v/>
      </c>
      <c r="C5187">
        <f>IF(A5187="","",COUNTIF(Donasi!$B$2:$B$20000,A5187))</f>
        <v/>
      </c>
      <c r="D5187">
        <f>IF(A5187="","",SUMIF(Donasi!$B$2:$B$20000,A5187,Donasi!$C$2:$C$20000))</f>
        <v/>
      </c>
      <c r="E5187">
        <f>IF(A5187="","",6-CEILING(PERCENTRANK.INC($B$3:$B$6000,B5187,4)*5+0.000001,1))</f>
        <v/>
      </c>
      <c r="F5187">
        <f>IF(A5187="","",MAX(1,CEILING(PERCENTRANK.INC($C$3:$C$6000,C5187,4)*5+0.000001,1)))</f>
        <v/>
      </c>
      <c r="G5187">
        <f>IF(A5187="","",MAX(1,CEILING(PERCENTRANK.INC($D$3:$D$6000,D5187,4)*5+0.000001,1)))</f>
        <v/>
      </c>
      <c r="H5187">
        <f>IF(A5187="","",E5187&amp;F5187&amp;G5187)</f>
        <v/>
      </c>
      <c r="I5187">
        <f>IF(A5187="","",IF(AND(E5187&gt;=4,F5187&gt;=4,G5187&gt;=4),"Juara",IF(AND(F5187&gt;=4,E5187&gt;=3),"Setia",IF(AND(E5187=5,F5187&lt;=2,G5187&gt;=3),"Berpotensi",IF(AND(E5187&lt;=3,E5187&gt;=2,F5187&gt;=3),"Rawan",IF(AND(E5187&lt;=2,F5187&lt;=2),"Tidur","Umum"))))))</f>
        <v/>
      </c>
    </row>
    <row r="5188">
      <c r="B5188">
        <f>IF(A5188="","",$B$1-MAXIFS(Donasi!$A$2:$A$20000,Donasi!$B$2:$B$20000,A5188))</f>
        <v/>
      </c>
      <c r="C5188">
        <f>IF(A5188="","",COUNTIF(Donasi!$B$2:$B$20000,A5188))</f>
        <v/>
      </c>
      <c r="D5188">
        <f>IF(A5188="","",SUMIF(Donasi!$B$2:$B$20000,A5188,Donasi!$C$2:$C$20000))</f>
        <v/>
      </c>
      <c r="E5188">
        <f>IF(A5188="","",6-CEILING(PERCENTRANK.INC($B$3:$B$6000,B5188,4)*5+0.000001,1))</f>
        <v/>
      </c>
      <c r="F5188">
        <f>IF(A5188="","",MAX(1,CEILING(PERCENTRANK.INC($C$3:$C$6000,C5188,4)*5+0.000001,1)))</f>
        <v/>
      </c>
      <c r="G5188">
        <f>IF(A5188="","",MAX(1,CEILING(PERCENTRANK.INC($D$3:$D$6000,D5188,4)*5+0.000001,1)))</f>
        <v/>
      </c>
      <c r="H5188">
        <f>IF(A5188="","",E5188&amp;F5188&amp;G5188)</f>
        <v/>
      </c>
      <c r="I5188">
        <f>IF(A5188="","",IF(AND(E5188&gt;=4,F5188&gt;=4,G5188&gt;=4),"Juara",IF(AND(F5188&gt;=4,E5188&gt;=3),"Setia",IF(AND(E5188=5,F5188&lt;=2,G5188&gt;=3),"Berpotensi",IF(AND(E5188&lt;=3,E5188&gt;=2,F5188&gt;=3),"Rawan",IF(AND(E5188&lt;=2,F5188&lt;=2),"Tidur","Umum"))))))</f>
        <v/>
      </c>
    </row>
    <row r="5189">
      <c r="B5189">
        <f>IF(A5189="","",$B$1-MAXIFS(Donasi!$A$2:$A$20000,Donasi!$B$2:$B$20000,A5189))</f>
        <v/>
      </c>
      <c r="C5189">
        <f>IF(A5189="","",COUNTIF(Donasi!$B$2:$B$20000,A5189))</f>
        <v/>
      </c>
      <c r="D5189">
        <f>IF(A5189="","",SUMIF(Donasi!$B$2:$B$20000,A5189,Donasi!$C$2:$C$20000))</f>
        <v/>
      </c>
      <c r="E5189">
        <f>IF(A5189="","",6-CEILING(PERCENTRANK.INC($B$3:$B$6000,B5189,4)*5+0.000001,1))</f>
        <v/>
      </c>
      <c r="F5189">
        <f>IF(A5189="","",MAX(1,CEILING(PERCENTRANK.INC($C$3:$C$6000,C5189,4)*5+0.000001,1)))</f>
        <v/>
      </c>
      <c r="G5189">
        <f>IF(A5189="","",MAX(1,CEILING(PERCENTRANK.INC($D$3:$D$6000,D5189,4)*5+0.000001,1)))</f>
        <v/>
      </c>
      <c r="H5189">
        <f>IF(A5189="","",E5189&amp;F5189&amp;G5189)</f>
        <v/>
      </c>
      <c r="I5189">
        <f>IF(A5189="","",IF(AND(E5189&gt;=4,F5189&gt;=4,G5189&gt;=4),"Juara",IF(AND(F5189&gt;=4,E5189&gt;=3),"Setia",IF(AND(E5189=5,F5189&lt;=2,G5189&gt;=3),"Berpotensi",IF(AND(E5189&lt;=3,E5189&gt;=2,F5189&gt;=3),"Rawan",IF(AND(E5189&lt;=2,F5189&lt;=2),"Tidur","Umum"))))))</f>
        <v/>
      </c>
    </row>
    <row r="5190">
      <c r="B5190">
        <f>IF(A5190="","",$B$1-MAXIFS(Donasi!$A$2:$A$20000,Donasi!$B$2:$B$20000,A5190))</f>
        <v/>
      </c>
      <c r="C5190">
        <f>IF(A5190="","",COUNTIF(Donasi!$B$2:$B$20000,A5190))</f>
        <v/>
      </c>
      <c r="D5190">
        <f>IF(A5190="","",SUMIF(Donasi!$B$2:$B$20000,A5190,Donasi!$C$2:$C$20000))</f>
        <v/>
      </c>
      <c r="E5190">
        <f>IF(A5190="","",6-CEILING(PERCENTRANK.INC($B$3:$B$6000,B5190,4)*5+0.000001,1))</f>
        <v/>
      </c>
      <c r="F5190">
        <f>IF(A5190="","",MAX(1,CEILING(PERCENTRANK.INC($C$3:$C$6000,C5190,4)*5+0.000001,1)))</f>
        <v/>
      </c>
      <c r="G5190">
        <f>IF(A5190="","",MAX(1,CEILING(PERCENTRANK.INC($D$3:$D$6000,D5190,4)*5+0.000001,1)))</f>
        <v/>
      </c>
      <c r="H5190">
        <f>IF(A5190="","",E5190&amp;F5190&amp;G5190)</f>
        <v/>
      </c>
      <c r="I5190">
        <f>IF(A5190="","",IF(AND(E5190&gt;=4,F5190&gt;=4,G5190&gt;=4),"Juara",IF(AND(F5190&gt;=4,E5190&gt;=3),"Setia",IF(AND(E5190=5,F5190&lt;=2,G5190&gt;=3),"Berpotensi",IF(AND(E5190&lt;=3,E5190&gt;=2,F5190&gt;=3),"Rawan",IF(AND(E5190&lt;=2,F5190&lt;=2),"Tidur","Umum"))))))</f>
        <v/>
      </c>
    </row>
    <row r="5191">
      <c r="B5191">
        <f>IF(A5191="","",$B$1-MAXIFS(Donasi!$A$2:$A$20000,Donasi!$B$2:$B$20000,A5191))</f>
        <v/>
      </c>
      <c r="C5191">
        <f>IF(A5191="","",COUNTIF(Donasi!$B$2:$B$20000,A5191))</f>
        <v/>
      </c>
      <c r="D5191">
        <f>IF(A5191="","",SUMIF(Donasi!$B$2:$B$20000,A5191,Donasi!$C$2:$C$20000))</f>
        <v/>
      </c>
      <c r="E5191">
        <f>IF(A5191="","",6-CEILING(PERCENTRANK.INC($B$3:$B$6000,B5191,4)*5+0.000001,1))</f>
        <v/>
      </c>
      <c r="F5191">
        <f>IF(A5191="","",MAX(1,CEILING(PERCENTRANK.INC($C$3:$C$6000,C5191,4)*5+0.000001,1)))</f>
        <v/>
      </c>
      <c r="G5191">
        <f>IF(A5191="","",MAX(1,CEILING(PERCENTRANK.INC($D$3:$D$6000,D5191,4)*5+0.000001,1)))</f>
        <v/>
      </c>
      <c r="H5191">
        <f>IF(A5191="","",E5191&amp;F5191&amp;G5191)</f>
        <v/>
      </c>
      <c r="I5191">
        <f>IF(A5191="","",IF(AND(E5191&gt;=4,F5191&gt;=4,G5191&gt;=4),"Juara",IF(AND(F5191&gt;=4,E5191&gt;=3),"Setia",IF(AND(E5191=5,F5191&lt;=2,G5191&gt;=3),"Berpotensi",IF(AND(E5191&lt;=3,E5191&gt;=2,F5191&gt;=3),"Rawan",IF(AND(E5191&lt;=2,F5191&lt;=2),"Tidur","Umum"))))))</f>
        <v/>
      </c>
    </row>
    <row r="5192">
      <c r="B5192">
        <f>IF(A5192="","",$B$1-MAXIFS(Donasi!$A$2:$A$20000,Donasi!$B$2:$B$20000,A5192))</f>
        <v/>
      </c>
      <c r="C5192">
        <f>IF(A5192="","",COUNTIF(Donasi!$B$2:$B$20000,A5192))</f>
        <v/>
      </c>
      <c r="D5192">
        <f>IF(A5192="","",SUMIF(Donasi!$B$2:$B$20000,A5192,Donasi!$C$2:$C$20000))</f>
        <v/>
      </c>
      <c r="E5192">
        <f>IF(A5192="","",6-CEILING(PERCENTRANK.INC($B$3:$B$6000,B5192,4)*5+0.000001,1))</f>
        <v/>
      </c>
      <c r="F5192">
        <f>IF(A5192="","",MAX(1,CEILING(PERCENTRANK.INC($C$3:$C$6000,C5192,4)*5+0.000001,1)))</f>
        <v/>
      </c>
      <c r="G5192">
        <f>IF(A5192="","",MAX(1,CEILING(PERCENTRANK.INC($D$3:$D$6000,D5192,4)*5+0.000001,1)))</f>
        <v/>
      </c>
      <c r="H5192">
        <f>IF(A5192="","",E5192&amp;F5192&amp;G5192)</f>
        <v/>
      </c>
      <c r="I5192">
        <f>IF(A5192="","",IF(AND(E5192&gt;=4,F5192&gt;=4,G5192&gt;=4),"Juara",IF(AND(F5192&gt;=4,E5192&gt;=3),"Setia",IF(AND(E5192=5,F5192&lt;=2,G5192&gt;=3),"Berpotensi",IF(AND(E5192&lt;=3,E5192&gt;=2,F5192&gt;=3),"Rawan",IF(AND(E5192&lt;=2,F5192&lt;=2),"Tidur","Umum"))))))</f>
        <v/>
      </c>
    </row>
    <row r="5193">
      <c r="B5193">
        <f>IF(A5193="","",$B$1-MAXIFS(Donasi!$A$2:$A$20000,Donasi!$B$2:$B$20000,A5193))</f>
        <v/>
      </c>
      <c r="C5193">
        <f>IF(A5193="","",COUNTIF(Donasi!$B$2:$B$20000,A5193))</f>
        <v/>
      </c>
      <c r="D5193">
        <f>IF(A5193="","",SUMIF(Donasi!$B$2:$B$20000,A5193,Donasi!$C$2:$C$20000))</f>
        <v/>
      </c>
      <c r="E5193">
        <f>IF(A5193="","",6-CEILING(PERCENTRANK.INC($B$3:$B$6000,B5193,4)*5+0.000001,1))</f>
        <v/>
      </c>
      <c r="F5193">
        <f>IF(A5193="","",MAX(1,CEILING(PERCENTRANK.INC($C$3:$C$6000,C5193,4)*5+0.000001,1)))</f>
        <v/>
      </c>
      <c r="G5193">
        <f>IF(A5193="","",MAX(1,CEILING(PERCENTRANK.INC($D$3:$D$6000,D5193,4)*5+0.000001,1)))</f>
        <v/>
      </c>
      <c r="H5193">
        <f>IF(A5193="","",E5193&amp;F5193&amp;G5193)</f>
        <v/>
      </c>
      <c r="I5193">
        <f>IF(A5193="","",IF(AND(E5193&gt;=4,F5193&gt;=4,G5193&gt;=4),"Juara",IF(AND(F5193&gt;=4,E5193&gt;=3),"Setia",IF(AND(E5193=5,F5193&lt;=2,G5193&gt;=3),"Berpotensi",IF(AND(E5193&lt;=3,E5193&gt;=2,F5193&gt;=3),"Rawan",IF(AND(E5193&lt;=2,F5193&lt;=2),"Tidur","Umum"))))))</f>
        <v/>
      </c>
    </row>
    <row r="5194">
      <c r="B5194">
        <f>IF(A5194="","",$B$1-MAXIFS(Donasi!$A$2:$A$20000,Donasi!$B$2:$B$20000,A5194))</f>
        <v/>
      </c>
      <c r="C5194">
        <f>IF(A5194="","",COUNTIF(Donasi!$B$2:$B$20000,A5194))</f>
        <v/>
      </c>
      <c r="D5194">
        <f>IF(A5194="","",SUMIF(Donasi!$B$2:$B$20000,A5194,Donasi!$C$2:$C$20000))</f>
        <v/>
      </c>
      <c r="E5194">
        <f>IF(A5194="","",6-CEILING(PERCENTRANK.INC($B$3:$B$6000,B5194,4)*5+0.000001,1))</f>
        <v/>
      </c>
      <c r="F5194">
        <f>IF(A5194="","",MAX(1,CEILING(PERCENTRANK.INC($C$3:$C$6000,C5194,4)*5+0.000001,1)))</f>
        <v/>
      </c>
      <c r="G5194">
        <f>IF(A5194="","",MAX(1,CEILING(PERCENTRANK.INC($D$3:$D$6000,D5194,4)*5+0.000001,1)))</f>
        <v/>
      </c>
      <c r="H5194">
        <f>IF(A5194="","",E5194&amp;F5194&amp;G5194)</f>
        <v/>
      </c>
      <c r="I5194">
        <f>IF(A5194="","",IF(AND(E5194&gt;=4,F5194&gt;=4,G5194&gt;=4),"Juara",IF(AND(F5194&gt;=4,E5194&gt;=3),"Setia",IF(AND(E5194=5,F5194&lt;=2,G5194&gt;=3),"Berpotensi",IF(AND(E5194&lt;=3,E5194&gt;=2,F5194&gt;=3),"Rawan",IF(AND(E5194&lt;=2,F5194&lt;=2),"Tidur","Umum"))))))</f>
        <v/>
      </c>
    </row>
    <row r="5195">
      <c r="B5195">
        <f>IF(A5195="","",$B$1-MAXIFS(Donasi!$A$2:$A$20000,Donasi!$B$2:$B$20000,A5195))</f>
        <v/>
      </c>
      <c r="C5195">
        <f>IF(A5195="","",COUNTIF(Donasi!$B$2:$B$20000,A5195))</f>
        <v/>
      </c>
      <c r="D5195">
        <f>IF(A5195="","",SUMIF(Donasi!$B$2:$B$20000,A5195,Donasi!$C$2:$C$20000))</f>
        <v/>
      </c>
      <c r="E5195">
        <f>IF(A5195="","",6-CEILING(PERCENTRANK.INC($B$3:$B$6000,B5195,4)*5+0.000001,1))</f>
        <v/>
      </c>
      <c r="F5195">
        <f>IF(A5195="","",MAX(1,CEILING(PERCENTRANK.INC($C$3:$C$6000,C5195,4)*5+0.000001,1)))</f>
        <v/>
      </c>
      <c r="G5195">
        <f>IF(A5195="","",MAX(1,CEILING(PERCENTRANK.INC($D$3:$D$6000,D5195,4)*5+0.000001,1)))</f>
        <v/>
      </c>
      <c r="H5195">
        <f>IF(A5195="","",E5195&amp;F5195&amp;G5195)</f>
        <v/>
      </c>
      <c r="I5195">
        <f>IF(A5195="","",IF(AND(E5195&gt;=4,F5195&gt;=4,G5195&gt;=4),"Juara",IF(AND(F5195&gt;=4,E5195&gt;=3),"Setia",IF(AND(E5195=5,F5195&lt;=2,G5195&gt;=3),"Berpotensi",IF(AND(E5195&lt;=3,E5195&gt;=2,F5195&gt;=3),"Rawan",IF(AND(E5195&lt;=2,F5195&lt;=2),"Tidur","Umum"))))))</f>
        <v/>
      </c>
    </row>
    <row r="5196">
      <c r="B5196">
        <f>IF(A5196="","",$B$1-MAXIFS(Donasi!$A$2:$A$20000,Donasi!$B$2:$B$20000,A5196))</f>
        <v/>
      </c>
      <c r="C5196">
        <f>IF(A5196="","",COUNTIF(Donasi!$B$2:$B$20000,A5196))</f>
        <v/>
      </c>
      <c r="D5196">
        <f>IF(A5196="","",SUMIF(Donasi!$B$2:$B$20000,A5196,Donasi!$C$2:$C$20000))</f>
        <v/>
      </c>
      <c r="E5196">
        <f>IF(A5196="","",6-CEILING(PERCENTRANK.INC($B$3:$B$6000,B5196,4)*5+0.000001,1))</f>
        <v/>
      </c>
      <c r="F5196">
        <f>IF(A5196="","",MAX(1,CEILING(PERCENTRANK.INC($C$3:$C$6000,C5196,4)*5+0.000001,1)))</f>
        <v/>
      </c>
      <c r="G5196">
        <f>IF(A5196="","",MAX(1,CEILING(PERCENTRANK.INC($D$3:$D$6000,D5196,4)*5+0.000001,1)))</f>
        <v/>
      </c>
      <c r="H5196">
        <f>IF(A5196="","",E5196&amp;F5196&amp;G5196)</f>
        <v/>
      </c>
      <c r="I5196">
        <f>IF(A5196="","",IF(AND(E5196&gt;=4,F5196&gt;=4,G5196&gt;=4),"Juara",IF(AND(F5196&gt;=4,E5196&gt;=3),"Setia",IF(AND(E5196=5,F5196&lt;=2,G5196&gt;=3),"Berpotensi",IF(AND(E5196&lt;=3,E5196&gt;=2,F5196&gt;=3),"Rawan",IF(AND(E5196&lt;=2,F5196&lt;=2),"Tidur","Umum"))))))</f>
        <v/>
      </c>
    </row>
    <row r="5197">
      <c r="B5197">
        <f>IF(A5197="","",$B$1-MAXIFS(Donasi!$A$2:$A$20000,Donasi!$B$2:$B$20000,A5197))</f>
        <v/>
      </c>
      <c r="C5197">
        <f>IF(A5197="","",COUNTIF(Donasi!$B$2:$B$20000,A5197))</f>
        <v/>
      </c>
      <c r="D5197">
        <f>IF(A5197="","",SUMIF(Donasi!$B$2:$B$20000,A5197,Donasi!$C$2:$C$20000))</f>
        <v/>
      </c>
      <c r="E5197">
        <f>IF(A5197="","",6-CEILING(PERCENTRANK.INC($B$3:$B$6000,B5197,4)*5+0.000001,1))</f>
        <v/>
      </c>
      <c r="F5197">
        <f>IF(A5197="","",MAX(1,CEILING(PERCENTRANK.INC($C$3:$C$6000,C5197,4)*5+0.000001,1)))</f>
        <v/>
      </c>
      <c r="G5197">
        <f>IF(A5197="","",MAX(1,CEILING(PERCENTRANK.INC($D$3:$D$6000,D5197,4)*5+0.000001,1)))</f>
        <v/>
      </c>
      <c r="H5197">
        <f>IF(A5197="","",E5197&amp;F5197&amp;G5197)</f>
        <v/>
      </c>
      <c r="I5197">
        <f>IF(A5197="","",IF(AND(E5197&gt;=4,F5197&gt;=4,G5197&gt;=4),"Juara",IF(AND(F5197&gt;=4,E5197&gt;=3),"Setia",IF(AND(E5197=5,F5197&lt;=2,G5197&gt;=3),"Berpotensi",IF(AND(E5197&lt;=3,E5197&gt;=2,F5197&gt;=3),"Rawan",IF(AND(E5197&lt;=2,F5197&lt;=2),"Tidur","Umum"))))))</f>
        <v/>
      </c>
    </row>
    <row r="5198">
      <c r="B5198">
        <f>IF(A5198="","",$B$1-MAXIFS(Donasi!$A$2:$A$20000,Donasi!$B$2:$B$20000,A5198))</f>
        <v/>
      </c>
      <c r="C5198">
        <f>IF(A5198="","",COUNTIF(Donasi!$B$2:$B$20000,A5198))</f>
        <v/>
      </c>
      <c r="D5198">
        <f>IF(A5198="","",SUMIF(Donasi!$B$2:$B$20000,A5198,Donasi!$C$2:$C$20000))</f>
        <v/>
      </c>
      <c r="E5198">
        <f>IF(A5198="","",6-CEILING(PERCENTRANK.INC($B$3:$B$6000,B5198,4)*5+0.000001,1))</f>
        <v/>
      </c>
      <c r="F5198">
        <f>IF(A5198="","",MAX(1,CEILING(PERCENTRANK.INC($C$3:$C$6000,C5198,4)*5+0.000001,1)))</f>
        <v/>
      </c>
      <c r="G5198">
        <f>IF(A5198="","",MAX(1,CEILING(PERCENTRANK.INC($D$3:$D$6000,D5198,4)*5+0.000001,1)))</f>
        <v/>
      </c>
      <c r="H5198">
        <f>IF(A5198="","",E5198&amp;F5198&amp;G5198)</f>
        <v/>
      </c>
      <c r="I5198">
        <f>IF(A5198="","",IF(AND(E5198&gt;=4,F5198&gt;=4,G5198&gt;=4),"Juara",IF(AND(F5198&gt;=4,E5198&gt;=3),"Setia",IF(AND(E5198=5,F5198&lt;=2,G5198&gt;=3),"Berpotensi",IF(AND(E5198&lt;=3,E5198&gt;=2,F5198&gt;=3),"Rawan",IF(AND(E5198&lt;=2,F5198&lt;=2),"Tidur","Umum"))))))</f>
        <v/>
      </c>
    </row>
    <row r="5199">
      <c r="B5199">
        <f>IF(A5199="","",$B$1-MAXIFS(Donasi!$A$2:$A$20000,Donasi!$B$2:$B$20000,A5199))</f>
        <v/>
      </c>
      <c r="C5199">
        <f>IF(A5199="","",COUNTIF(Donasi!$B$2:$B$20000,A5199))</f>
        <v/>
      </c>
      <c r="D5199">
        <f>IF(A5199="","",SUMIF(Donasi!$B$2:$B$20000,A5199,Donasi!$C$2:$C$20000))</f>
        <v/>
      </c>
      <c r="E5199">
        <f>IF(A5199="","",6-CEILING(PERCENTRANK.INC($B$3:$B$6000,B5199,4)*5+0.000001,1))</f>
        <v/>
      </c>
      <c r="F5199">
        <f>IF(A5199="","",MAX(1,CEILING(PERCENTRANK.INC($C$3:$C$6000,C5199,4)*5+0.000001,1)))</f>
        <v/>
      </c>
      <c r="G5199">
        <f>IF(A5199="","",MAX(1,CEILING(PERCENTRANK.INC($D$3:$D$6000,D5199,4)*5+0.000001,1)))</f>
        <v/>
      </c>
      <c r="H5199">
        <f>IF(A5199="","",E5199&amp;F5199&amp;G5199)</f>
        <v/>
      </c>
      <c r="I5199">
        <f>IF(A5199="","",IF(AND(E5199&gt;=4,F5199&gt;=4,G5199&gt;=4),"Juara",IF(AND(F5199&gt;=4,E5199&gt;=3),"Setia",IF(AND(E5199=5,F5199&lt;=2,G5199&gt;=3),"Berpotensi",IF(AND(E5199&lt;=3,E5199&gt;=2,F5199&gt;=3),"Rawan",IF(AND(E5199&lt;=2,F5199&lt;=2),"Tidur","Umum"))))))</f>
        <v/>
      </c>
    </row>
    <row r="5200">
      <c r="B5200">
        <f>IF(A5200="","",$B$1-MAXIFS(Donasi!$A$2:$A$20000,Donasi!$B$2:$B$20000,A5200))</f>
        <v/>
      </c>
      <c r="C5200">
        <f>IF(A5200="","",COUNTIF(Donasi!$B$2:$B$20000,A5200))</f>
        <v/>
      </c>
      <c r="D5200">
        <f>IF(A5200="","",SUMIF(Donasi!$B$2:$B$20000,A5200,Donasi!$C$2:$C$20000))</f>
        <v/>
      </c>
      <c r="E5200">
        <f>IF(A5200="","",6-CEILING(PERCENTRANK.INC($B$3:$B$6000,B5200,4)*5+0.000001,1))</f>
        <v/>
      </c>
      <c r="F5200">
        <f>IF(A5200="","",MAX(1,CEILING(PERCENTRANK.INC($C$3:$C$6000,C5200,4)*5+0.000001,1)))</f>
        <v/>
      </c>
      <c r="G5200">
        <f>IF(A5200="","",MAX(1,CEILING(PERCENTRANK.INC($D$3:$D$6000,D5200,4)*5+0.000001,1)))</f>
        <v/>
      </c>
      <c r="H5200">
        <f>IF(A5200="","",E5200&amp;F5200&amp;G5200)</f>
        <v/>
      </c>
      <c r="I5200">
        <f>IF(A5200="","",IF(AND(E5200&gt;=4,F5200&gt;=4,G5200&gt;=4),"Juara",IF(AND(F5200&gt;=4,E5200&gt;=3),"Setia",IF(AND(E5200=5,F5200&lt;=2,G5200&gt;=3),"Berpotensi",IF(AND(E5200&lt;=3,E5200&gt;=2,F5200&gt;=3),"Rawan",IF(AND(E5200&lt;=2,F5200&lt;=2),"Tidur","Umum"))))))</f>
        <v/>
      </c>
    </row>
    <row r="5201">
      <c r="B5201">
        <f>IF(A5201="","",$B$1-MAXIFS(Donasi!$A$2:$A$20000,Donasi!$B$2:$B$20000,A5201))</f>
        <v/>
      </c>
      <c r="C5201">
        <f>IF(A5201="","",COUNTIF(Donasi!$B$2:$B$20000,A5201))</f>
        <v/>
      </c>
      <c r="D5201">
        <f>IF(A5201="","",SUMIF(Donasi!$B$2:$B$20000,A5201,Donasi!$C$2:$C$20000))</f>
        <v/>
      </c>
      <c r="E5201">
        <f>IF(A5201="","",6-CEILING(PERCENTRANK.INC($B$3:$B$6000,B5201,4)*5+0.000001,1))</f>
        <v/>
      </c>
      <c r="F5201">
        <f>IF(A5201="","",MAX(1,CEILING(PERCENTRANK.INC($C$3:$C$6000,C5201,4)*5+0.000001,1)))</f>
        <v/>
      </c>
      <c r="G5201">
        <f>IF(A5201="","",MAX(1,CEILING(PERCENTRANK.INC($D$3:$D$6000,D5201,4)*5+0.000001,1)))</f>
        <v/>
      </c>
      <c r="H5201">
        <f>IF(A5201="","",E5201&amp;F5201&amp;G5201)</f>
        <v/>
      </c>
      <c r="I5201">
        <f>IF(A5201="","",IF(AND(E5201&gt;=4,F5201&gt;=4,G5201&gt;=4),"Juara",IF(AND(F5201&gt;=4,E5201&gt;=3),"Setia",IF(AND(E5201=5,F5201&lt;=2,G5201&gt;=3),"Berpotensi",IF(AND(E5201&lt;=3,E5201&gt;=2,F5201&gt;=3),"Rawan",IF(AND(E5201&lt;=2,F5201&lt;=2),"Tidur","Umum"))))))</f>
        <v/>
      </c>
    </row>
    <row r="5202">
      <c r="B5202">
        <f>IF(A5202="","",$B$1-MAXIFS(Donasi!$A$2:$A$20000,Donasi!$B$2:$B$20000,A5202))</f>
        <v/>
      </c>
      <c r="C5202">
        <f>IF(A5202="","",COUNTIF(Donasi!$B$2:$B$20000,A5202))</f>
        <v/>
      </c>
      <c r="D5202">
        <f>IF(A5202="","",SUMIF(Donasi!$B$2:$B$20000,A5202,Donasi!$C$2:$C$20000))</f>
        <v/>
      </c>
      <c r="E5202">
        <f>IF(A5202="","",6-CEILING(PERCENTRANK.INC($B$3:$B$6000,B5202,4)*5+0.000001,1))</f>
        <v/>
      </c>
      <c r="F5202">
        <f>IF(A5202="","",MAX(1,CEILING(PERCENTRANK.INC($C$3:$C$6000,C5202,4)*5+0.000001,1)))</f>
        <v/>
      </c>
      <c r="G5202">
        <f>IF(A5202="","",MAX(1,CEILING(PERCENTRANK.INC($D$3:$D$6000,D5202,4)*5+0.000001,1)))</f>
        <v/>
      </c>
      <c r="H5202">
        <f>IF(A5202="","",E5202&amp;F5202&amp;G5202)</f>
        <v/>
      </c>
      <c r="I5202">
        <f>IF(A5202="","",IF(AND(E5202&gt;=4,F5202&gt;=4,G5202&gt;=4),"Juara",IF(AND(F5202&gt;=4,E5202&gt;=3),"Setia",IF(AND(E5202=5,F5202&lt;=2,G5202&gt;=3),"Berpotensi",IF(AND(E5202&lt;=3,E5202&gt;=2,F5202&gt;=3),"Rawan",IF(AND(E5202&lt;=2,F5202&lt;=2),"Tidur","Umum"))))))</f>
        <v/>
      </c>
    </row>
    <row r="5203">
      <c r="B5203">
        <f>IF(A5203="","",$B$1-MAXIFS(Donasi!$A$2:$A$20000,Donasi!$B$2:$B$20000,A5203))</f>
        <v/>
      </c>
      <c r="C5203">
        <f>IF(A5203="","",COUNTIF(Donasi!$B$2:$B$20000,A5203))</f>
        <v/>
      </c>
      <c r="D5203">
        <f>IF(A5203="","",SUMIF(Donasi!$B$2:$B$20000,A5203,Donasi!$C$2:$C$20000))</f>
        <v/>
      </c>
      <c r="E5203">
        <f>IF(A5203="","",6-CEILING(PERCENTRANK.INC($B$3:$B$6000,B5203,4)*5+0.000001,1))</f>
        <v/>
      </c>
      <c r="F5203">
        <f>IF(A5203="","",MAX(1,CEILING(PERCENTRANK.INC($C$3:$C$6000,C5203,4)*5+0.000001,1)))</f>
        <v/>
      </c>
      <c r="G5203">
        <f>IF(A5203="","",MAX(1,CEILING(PERCENTRANK.INC($D$3:$D$6000,D5203,4)*5+0.000001,1)))</f>
        <v/>
      </c>
      <c r="H5203">
        <f>IF(A5203="","",E5203&amp;F5203&amp;G5203)</f>
        <v/>
      </c>
      <c r="I5203">
        <f>IF(A5203="","",IF(AND(E5203&gt;=4,F5203&gt;=4,G5203&gt;=4),"Juara",IF(AND(F5203&gt;=4,E5203&gt;=3),"Setia",IF(AND(E5203=5,F5203&lt;=2,G5203&gt;=3),"Berpotensi",IF(AND(E5203&lt;=3,E5203&gt;=2,F5203&gt;=3),"Rawan",IF(AND(E5203&lt;=2,F5203&lt;=2),"Tidur","Umum"))))))</f>
        <v/>
      </c>
    </row>
    <row r="5204">
      <c r="B5204">
        <f>IF(A5204="","",$B$1-MAXIFS(Donasi!$A$2:$A$20000,Donasi!$B$2:$B$20000,A5204))</f>
        <v/>
      </c>
      <c r="C5204">
        <f>IF(A5204="","",COUNTIF(Donasi!$B$2:$B$20000,A5204))</f>
        <v/>
      </c>
      <c r="D5204">
        <f>IF(A5204="","",SUMIF(Donasi!$B$2:$B$20000,A5204,Donasi!$C$2:$C$20000))</f>
        <v/>
      </c>
      <c r="E5204">
        <f>IF(A5204="","",6-CEILING(PERCENTRANK.INC($B$3:$B$6000,B5204,4)*5+0.000001,1))</f>
        <v/>
      </c>
      <c r="F5204">
        <f>IF(A5204="","",MAX(1,CEILING(PERCENTRANK.INC($C$3:$C$6000,C5204,4)*5+0.000001,1)))</f>
        <v/>
      </c>
      <c r="G5204">
        <f>IF(A5204="","",MAX(1,CEILING(PERCENTRANK.INC($D$3:$D$6000,D5204,4)*5+0.000001,1)))</f>
        <v/>
      </c>
      <c r="H5204">
        <f>IF(A5204="","",E5204&amp;F5204&amp;G5204)</f>
        <v/>
      </c>
      <c r="I5204">
        <f>IF(A5204="","",IF(AND(E5204&gt;=4,F5204&gt;=4,G5204&gt;=4),"Juara",IF(AND(F5204&gt;=4,E5204&gt;=3),"Setia",IF(AND(E5204=5,F5204&lt;=2,G5204&gt;=3),"Berpotensi",IF(AND(E5204&lt;=3,E5204&gt;=2,F5204&gt;=3),"Rawan",IF(AND(E5204&lt;=2,F5204&lt;=2),"Tidur","Umum"))))))</f>
        <v/>
      </c>
    </row>
    <row r="5205">
      <c r="B5205">
        <f>IF(A5205="","",$B$1-MAXIFS(Donasi!$A$2:$A$20000,Donasi!$B$2:$B$20000,A5205))</f>
        <v/>
      </c>
      <c r="C5205">
        <f>IF(A5205="","",COUNTIF(Donasi!$B$2:$B$20000,A5205))</f>
        <v/>
      </c>
      <c r="D5205">
        <f>IF(A5205="","",SUMIF(Donasi!$B$2:$B$20000,A5205,Donasi!$C$2:$C$20000))</f>
        <v/>
      </c>
      <c r="E5205">
        <f>IF(A5205="","",6-CEILING(PERCENTRANK.INC($B$3:$B$6000,B5205,4)*5+0.000001,1))</f>
        <v/>
      </c>
      <c r="F5205">
        <f>IF(A5205="","",MAX(1,CEILING(PERCENTRANK.INC($C$3:$C$6000,C5205,4)*5+0.000001,1)))</f>
        <v/>
      </c>
      <c r="G5205">
        <f>IF(A5205="","",MAX(1,CEILING(PERCENTRANK.INC($D$3:$D$6000,D5205,4)*5+0.000001,1)))</f>
        <v/>
      </c>
      <c r="H5205">
        <f>IF(A5205="","",E5205&amp;F5205&amp;G5205)</f>
        <v/>
      </c>
      <c r="I5205">
        <f>IF(A5205="","",IF(AND(E5205&gt;=4,F5205&gt;=4,G5205&gt;=4),"Juara",IF(AND(F5205&gt;=4,E5205&gt;=3),"Setia",IF(AND(E5205=5,F5205&lt;=2,G5205&gt;=3),"Berpotensi",IF(AND(E5205&lt;=3,E5205&gt;=2,F5205&gt;=3),"Rawan",IF(AND(E5205&lt;=2,F5205&lt;=2),"Tidur","Umum"))))))</f>
        <v/>
      </c>
    </row>
    <row r="5206">
      <c r="B5206">
        <f>IF(A5206="","",$B$1-MAXIFS(Donasi!$A$2:$A$20000,Donasi!$B$2:$B$20000,A5206))</f>
        <v/>
      </c>
      <c r="C5206">
        <f>IF(A5206="","",COUNTIF(Donasi!$B$2:$B$20000,A5206))</f>
        <v/>
      </c>
      <c r="D5206">
        <f>IF(A5206="","",SUMIF(Donasi!$B$2:$B$20000,A5206,Donasi!$C$2:$C$20000))</f>
        <v/>
      </c>
      <c r="E5206">
        <f>IF(A5206="","",6-CEILING(PERCENTRANK.INC($B$3:$B$6000,B5206,4)*5+0.000001,1))</f>
        <v/>
      </c>
      <c r="F5206">
        <f>IF(A5206="","",MAX(1,CEILING(PERCENTRANK.INC($C$3:$C$6000,C5206,4)*5+0.000001,1)))</f>
        <v/>
      </c>
      <c r="G5206">
        <f>IF(A5206="","",MAX(1,CEILING(PERCENTRANK.INC($D$3:$D$6000,D5206,4)*5+0.000001,1)))</f>
        <v/>
      </c>
      <c r="H5206">
        <f>IF(A5206="","",E5206&amp;F5206&amp;G5206)</f>
        <v/>
      </c>
      <c r="I5206">
        <f>IF(A5206="","",IF(AND(E5206&gt;=4,F5206&gt;=4,G5206&gt;=4),"Juara",IF(AND(F5206&gt;=4,E5206&gt;=3),"Setia",IF(AND(E5206=5,F5206&lt;=2,G5206&gt;=3),"Berpotensi",IF(AND(E5206&lt;=3,E5206&gt;=2,F5206&gt;=3),"Rawan",IF(AND(E5206&lt;=2,F5206&lt;=2),"Tidur","Umum"))))))</f>
        <v/>
      </c>
    </row>
    <row r="5207">
      <c r="B5207">
        <f>IF(A5207="","",$B$1-MAXIFS(Donasi!$A$2:$A$20000,Donasi!$B$2:$B$20000,A5207))</f>
        <v/>
      </c>
      <c r="C5207">
        <f>IF(A5207="","",COUNTIF(Donasi!$B$2:$B$20000,A5207))</f>
        <v/>
      </c>
      <c r="D5207">
        <f>IF(A5207="","",SUMIF(Donasi!$B$2:$B$20000,A5207,Donasi!$C$2:$C$20000))</f>
        <v/>
      </c>
      <c r="E5207">
        <f>IF(A5207="","",6-CEILING(PERCENTRANK.INC($B$3:$B$6000,B5207,4)*5+0.000001,1))</f>
        <v/>
      </c>
      <c r="F5207">
        <f>IF(A5207="","",MAX(1,CEILING(PERCENTRANK.INC($C$3:$C$6000,C5207,4)*5+0.000001,1)))</f>
        <v/>
      </c>
      <c r="G5207">
        <f>IF(A5207="","",MAX(1,CEILING(PERCENTRANK.INC($D$3:$D$6000,D5207,4)*5+0.000001,1)))</f>
        <v/>
      </c>
      <c r="H5207">
        <f>IF(A5207="","",E5207&amp;F5207&amp;G5207)</f>
        <v/>
      </c>
      <c r="I5207">
        <f>IF(A5207="","",IF(AND(E5207&gt;=4,F5207&gt;=4,G5207&gt;=4),"Juara",IF(AND(F5207&gt;=4,E5207&gt;=3),"Setia",IF(AND(E5207=5,F5207&lt;=2,G5207&gt;=3),"Berpotensi",IF(AND(E5207&lt;=3,E5207&gt;=2,F5207&gt;=3),"Rawan",IF(AND(E5207&lt;=2,F5207&lt;=2),"Tidur","Umum"))))))</f>
        <v/>
      </c>
    </row>
    <row r="5208">
      <c r="B5208">
        <f>IF(A5208="","",$B$1-MAXIFS(Donasi!$A$2:$A$20000,Donasi!$B$2:$B$20000,A5208))</f>
        <v/>
      </c>
      <c r="C5208">
        <f>IF(A5208="","",COUNTIF(Donasi!$B$2:$B$20000,A5208))</f>
        <v/>
      </c>
      <c r="D5208">
        <f>IF(A5208="","",SUMIF(Donasi!$B$2:$B$20000,A5208,Donasi!$C$2:$C$20000))</f>
        <v/>
      </c>
      <c r="E5208">
        <f>IF(A5208="","",6-CEILING(PERCENTRANK.INC($B$3:$B$6000,B5208,4)*5+0.000001,1))</f>
        <v/>
      </c>
      <c r="F5208">
        <f>IF(A5208="","",MAX(1,CEILING(PERCENTRANK.INC($C$3:$C$6000,C5208,4)*5+0.000001,1)))</f>
        <v/>
      </c>
      <c r="G5208">
        <f>IF(A5208="","",MAX(1,CEILING(PERCENTRANK.INC($D$3:$D$6000,D5208,4)*5+0.000001,1)))</f>
        <v/>
      </c>
      <c r="H5208">
        <f>IF(A5208="","",E5208&amp;F5208&amp;G5208)</f>
        <v/>
      </c>
      <c r="I5208">
        <f>IF(A5208="","",IF(AND(E5208&gt;=4,F5208&gt;=4,G5208&gt;=4),"Juara",IF(AND(F5208&gt;=4,E5208&gt;=3),"Setia",IF(AND(E5208=5,F5208&lt;=2,G5208&gt;=3),"Berpotensi",IF(AND(E5208&lt;=3,E5208&gt;=2,F5208&gt;=3),"Rawan",IF(AND(E5208&lt;=2,F5208&lt;=2),"Tidur","Umum"))))))</f>
        <v/>
      </c>
    </row>
    <row r="5209">
      <c r="B5209">
        <f>IF(A5209="","",$B$1-MAXIFS(Donasi!$A$2:$A$20000,Donasi!$B$2:$B$20000,A5209))</f>
        <v/>
      </c>
      <c r="C5209">
        <f>IF(A5209="","",COUNTIF(Donasi!$B$2:$B$20000,A5209))</f>
        <v/>
      </c>
      <c r="D5209">
        <f>IF(A5209="","",SUMIF(Donasi!$B$2:$B$20000,A5209,Donasi!$C$2:$C$20000))</f>
        <v/>
      </c>
      <c r="E5209">
        <f>IF(A5209="","",6-CEILING(PERCENTRANK.INC($B$3:$B$6000,B5209,4)*5+0.000001,1))</f>
        <v/>
      </c>
      <c r="F5209">
        <f>IF(A5209="","",MAX(1,CEILING(PERCENTRANK.INC($C$3:$C$6000,C5209,4)*5+0.000001,1)))</f>
        <v/>
      </c>
      <c r="G5209">
        <f>IF(A5209="","",MAX(1,CEILING(PERCENTRANK.INC($D$3:$D$6000,D5209,4)*5+0.000001,1)))</f>
        <v/>
      </c>
      <c r="H5209">
        <f>IF(A5209="","",E5209&amp;F5209&amp;G5209)</f>
        <v/>
      </c>
      <c r="I5209">
        <f>IF(A5209="","",IF(AND(E5209&gt;=4,F5209&gt;=4,G5209&gt;=4),"Juara",IF(AND(F5209&gt;=4,E5209&gt;=3),"Setia",IF(AND(E5209=5,F5209&lt;=2,G5209&gt;=3),"Berpotensi",IF(AND(E5209&lt;=3,E5209&gt;=2,F5209&gt;=3),"Rawan",IF(AND(E5209&lt;=2,F5209&lt;=2),"Tidur","Umum"))))))</f>
        <v/>
      </c>
    </row>
    <row r="5210">
      <c r="B5210">
        <f>IF(A5210="","",$B$1-MAXIFS(Donasi!$A$2:$A$20000,Donasi!$B$2:$B$20000,A5210))</f>
        <v/>
      </c>
      <c r="C5210">
        <f>IF(A5210="","",COUNTIF(Donasi!$B$2:$B$20000,A5210))</f>
        <v/>
      </c>
      <c r="D5210">
        <f>IF(A5210="","",SUMIF(Donasi!$B$2:$B$20000,A5210,Donasi!$C$2:$C$20000))</f>
        <v/>
      </c>
      <c r="E5210">
        <f>IF(A5210="","",6-CEILING(PERCENTRANK.INC($B$3:$B$6000,B5210,4)*5+0.000001,1))</f>
        <v/>
      </c>
      <c r="F5210">
        <f>IF(A5210="","",MAX(1,CEILING(PERCENTRANK.INC($C$3:$C$6000,C5210,4)*5+0.000001,1)))</f>
        <v/>
      </c>
      <c r="G5210">
        <f>IF(A5210="","",MAX(1,CEILING(PERCENTRANK.INC($D$3:$D$6000,D5210,4)*5+0.000001,1)))</f>
        <v/>
      </c>
      <c r="H5210">
        <f>IF(A5210="","",E5210&amp;F5210&amp;G5210)</f>
        <v/>
      </c>
      <c r="I5210">
        <f>IF(A5210="","",IF(AND(E5210&gt;=4,F5210&gt;=4,G5210&gt;=4),"Juara",IF(AND(F5210&gt;=4,E5210&gt;=3),"Setia",IF(AND(E5210=5,F5210&lt;=2,G5210&gt;=3),"Berpotensi",IF(AND(E5210&lt;=3,E5210&gt;=2,F5210&gt;=3),"Rawan",IF(AND(E5210&lt;=2,F5210&lt;=2),"Tidur","Umum"))))))</f>
        <v/>
      </c>
    </row>
    <row r="5211">
      <c r="B5211">
        <f>IF(A5211="","",$B$1-MAXIFS(Donasi!$A$2:$A$20000,Donasi!$B$2:$B$20000,A5211))</f>
        <v/>
      </c>
      <c r="C5211">
        <f>IF(A5211="","",COUNTIF(Donasi!$B$2:$B$20000,A5211))</f>
        <v/>
      </c>
      <c r="D5211">
        <f>IF(A5211="","",SUMIF(Donasi!$B$2:$B$20000,A5211,Donasi!$C$2:$C$20000))</f>
        <v/>
      </c>
      <c r="E5211">
        <f>IF(A5211="","",6-CEILING(PERCENTRANK.INC($B$3:$B$6000,B5211,4)*5+0.000001,1))</f>
        <v/>
      </c>
      <c r="F5211">
        <f>IF(A5211="","",MAX(1,CEILING(PERCENTRANK.INC($C$3:$C$6000,C5211,4)*5+0.000001,1)))</f>
        <v/>
      </c>
      <c r="G5211">
        <f>IF(A5211="","",MAX(1,CEILING(PERCENTRANK.INC($D$3:$D$6000,D5211,4)*5+0.000001,1)))</f>
        <v/>
      </c>
      <c r="H5211">
        <f>IF(A5211="","",E5211&amp;F5211&amp;G5211)</f>
        <v/>
      </c>
      <c r="I5211">
        <f>IF(A5211="","",IF(AND(E5211&gt;=4,F5211&gt;=4,G5211&gt;=4),"Juara",IF(AND(F5211&gt;=4,E5211&gt;=3),"Setia",IF(AND(E5211=5,F5211&lt;=2,G5211&gt;=3),"Berpotensi",IF(AND(E5211&lt;=3,E5211&gt;=2,F5211&gt;=3),"Rawan",IF(AND(E5211&lt;=2,F5211&lt;=2),"Tidur","Umum"))))))</f>
        <v/>
      </c>
    </row>
    <row r="5212">
      <c r="B5212">
        <f>IF(A5212="","",$B$1-MAXIFS(Donasi!$A$2:$A$20000,Donasi!$B$2:$B$20000,A5212))</f>
        <v/>
      </c>
      <c r="C5212">
        <f>IF(A5212="","",COUNTIF(Donasi!$B$2:$B$20000,A5212))</f>
        <v/>
      </c>
      <c r="D5212">
        <f>IF(A5212="","",SUMIF(Donasi!$B$2:$B$20000,A5212,Donasi!$C$2:$C$20000))</f>
        <v/>
      </c>
      <c r="E5212">
        <f>IF(A5212="","",6-CEILING(PERCENTRANK.INC($B$3:$B$6000,B5212,4)*5+0.000001,1))</f>
        <v/>
      </c>
      <c r="F5212">
        <f>IF(A5212="","",MAX(1,CEILING(PERCENTRANK.INC($C$3:$C$6000,C5212,4)*5+0.000001,1)))</f>
        <v/>
      </c>
      <c r="G5212">
        <f>IF(A5212="","",MAX(1,CEILING(PERCENTRANK.INC($D$3:$D$6000,D5212,4)*5+0.000001,1)))</f>
        <v/>
      </c>
      <c r="H5212">
        <f>IF(A5212="","",E5212&amp;F5212&amp;G5212)</f>
        <v/>
      </c>
      <c r="I5212">
        <f>IF(A5212="","",IF(AND(E5212&gt;=4,F5212&gt;=4,G5212&gt;=4),"Juara",IF(AND(F5212&gt;=4,E5212&gt;=3),"Setia",IF(AND(E5212=5,F5212&lt;=2,G5212&gt;=3),"Berpotensi",IF(AND(E5212&lt;=3,E5212&gt;=2,F5212&gt;=3),"Rawan",IF(AND(E5212&lt;=2,F5212&lt;=2),"Tidur","Umum"))))))</f>
        <v/>
      </c>
    </row>
    <row r="5213">
      <c r="B5213">
        <f>IF(A5213="","",$B$1-MAXIFS(Donasi!$A$2:$A$20000,Donasi!$B$2:$B$20000,A5213))</f>
        <v/>
      </c>
      <c r="C5213">
        <f>IF(A5213="","",COUNTIF(Donasi!$B$2:$B$20000,A5213))</f>
        <v/>
      </c>
      <c r="D5213">
        <f>IF(A5213="","",SUMIF(Donasi!$B$2:$B$20000,A5213,Donasi!$C$2:$C$20000))</f>
        <v/>
      </c>
      <c r="E5213">
        <f>IF(A5213="","",6-CEILING(PERCENTRANK.INC($B$3:$B$6000,B5213,4)*5+0.000001,1))</f>
        <v/>
      </c>
      <c r="F5213">
        <f>IF(A5213="","",MAX(1,CEILING(PERCENTRANK.INC($C$3:$C$6000,C5213,4)*5+0.000001,1)))</f>
        <v/>
      </c>
      <c r="G5213">
        <f>IF(A5213="","",MAX(1,CEILING(PERCENTRANK.INC($D$3:$D$6000,D5213,4)*5+0.000001,1)))</f>
        <v/>
      </c>
      <c r="H5213">
        <f>IF(A5213="","",E5213&amp;F5213&amp;G5213)</f>
        <v/>
      </c>
      <c r="I5213">
        <f>IF(A5213="","",IF(AND(E5213&gt;=4,F5213&gt;=4,G5213&gt;=4),"Juara",IF(AND(F5213&gt;=4,E5213&gt;=3),"Setia",IF(AND(E5213=5,F5213&lt;=2,G5213&gt;=3),"Berpotensi",IF(AND(E5213&lt;=3,E5213&gt;=2,F5213&gt;=3),"Rawan",IF(AND(E5213&lt;=2,F5213&lt;=2),"Tidur","Umum"))))))</f>
        <v/>
      </c>
    </row>
    <row r="5214">
      <c r="B5214">
        <f>IF(A5214="","",$B$1-MAXIFS(Donasi!$A$2:$A$20000,Donasi!$B$2:$B$20000,A5214))</f>
        <v/>
      </c>
      <c r="C5214">
        <f>IF(A5214="","",COUNTIF(Donasi!$B$2:$B$20000,A5214))</f>
        <v/>
      </c>
      <c r="D5214">
        <f>IF(A5214="","",SUMIF(Donasi!$B$2:$B$20000,A5214,Donasi!$C$2:$C$20000))</f>
        <v/>
      </c>
      <c r="E5214">
        <f>IF(A5214="","",6-CEILING(PERCENTRANK.INC($B$3:$B$6000,B5214,4)*5+0.000001,1))</f>
        <v/>
      </c>
      <c r="F5214">
        <f>IF(A5214="","",MAX(1,CEILING(PERCENTRANK.INC($C$3:$C$6000,C5214,4)*5+0.000001,1)))</f>
        <v/>
      </c>
      <c r="G5214">
        <f>IF(A5214="","",MAX(1,CEILING(PERCENTRANK.INC($D$3:$D$6000,D5214,4)*5+0.000001,1)))</f>
        <v/>
      </c>
      <c r="H5214">
        <f>IF(A5214="","",E5214&amp;F5214&amp;G5214)</f>
        <v/>
      </c>
      <c r="I5214">
        <f>IF(A5214="","",IF(AND(E5214&gt;=4,F5214&gt;=4,G5214&gt;=4),"Juara",IF(AND(F5214&gt;=4,E5214&gt;=3),"Setia",IF(AND(E5214=5,F5214&lt;=2,G5214&gt;=3),"Berpotensi",IF(AND(E5214&lt;=3,E5214&gt;=2,F5214&gt;=3),"Rawan",IF(AND(E5214&lt;=2,F5214&lt;=2),"Tidur","Umum"))))))</f>
        <v/>
      </c>
    </row>
    <row r="5215">
      <c r="B5215">
        <f>IF(A5215="","",$B$1-MAXIFS(Donasi!$A$2:$A$20000,Donasi!$B$2:$B$20000,A5215))</f>
        <v/>
      </c>
      <c r="C5215">
        <f>IF(A5215="","",COUNTIF(Donasi!$B$2:$B$20000,A5215))</f>
        <v/>
      </c>
      <c r="D5215">
        <f>IF(A5215="","",SUMIF(Donasi!$B$2:$B$20000,A5215,Donasi!$C$2:$C$20000))</f>
        <v/>
      </c>
      <c r="E5215">
        <f>IF(A5215="","",6-CEILING(PERCENTRANK.INC($B$3:$B$6000,B5215,4)*5+0.000001,1))</f>
        <v/>
      </c>
      <c r="F5215">
        <f>IF(A5215="","",MAX(1,CEILING(PERCENTRANK.INC($C$3:$C$6000,C5215,4)*5+0.000001,1)))</f>
        <v/>
      </c>
      <c r="G5215">
        <f>IF(A5215="","",MAX(1,CEILING(PERCENTRANK.INC($D$3:$D$6000,D5215,4)*5+0.000001,1)))</f>
        <v/>
      </c>
      <c r="H5215">
        <f>IF(A5215="","",E5215&amp;F5215&amp;G5215)</f>
        <v/>
      </c>
      <c r="I5215">
        <f>IF(A5215="","",IF(AND(E5215&gt;=4,F5215&gt;=4,G5215&gt;=4),"Juara",IF(AND(F5215&gt;=4,E5215&gt;=3),"Setia",IF(AND(E5215=5,F5215&lt;=2,G5215&gt;=3),"Berpotensi",IF(AND(E5215&lt;=3,E5215&gt;=2,F5215&gt;=3),"Rawan",IF(AND(E5215&lt;=2,F5215&lt;=2),"Tidur","Umum"))))))</f>
        <v/>
      </c>
    </row>
    <row r="5216">
      <c r="B5216">
        <f>IF(A5216="","",$B$1-MAXIFS(Donasi!$A$2:$A$20000,Donasi!$B$2:$B$20000,A5216))</f>
        <v/>
      </c>
      <c r="C5216">
        <f>IF(A5216="","",COUNTIF(Donasi!$B$2:$B$20000,A5216))</f>
        <v/>
      </c>
      <c r="D5216">
        <f>IF(A5216="","",SUMIF(Donasi!$B$2:$B$20000,A5216,Donasi!$C$2:$C$20000))</f>
        <v/>
      </c>
      <c r="E5216">
        <f>IF(A5216="","",6-CEILING(PERCENTRANK.INC($B$3:$B$6000,B5216,4)*5+0.000001,1))</f>
        <v/>
      </c>
      <c r="F5216">
        <f>IF(A5216="","",MAX(1,CEILING(PERCENTRANK.INC($C$3:$C$6000,C5216,4)*5+0.000001,1)))</f>
        <v/>
      </c>
      <c r="G5216">
        <f>IF(A5216="","",MAX(1,CEILING(PERCENTRANK.INC($D$3:$D$6000,D5216,4)*5+0.000001,1)))</f>
        <v/>
      </c>
      <c r="H5216">
        <f>IF(A5216="","",E5216&amp;F5216&amp;G5216)</f>
        <v/>
      </c>
      <c r="I5216">
        <f>IF(A5216="","",IF(AND(E5216&gt;=4,F5216&gt;=4,G5216&gt;=4),"Juara",IF(AND(F5216&gt;=4,E5216&gt;=3),"Setia",IF(AND(E5216=5,F5216&lt;=2,G5216&gt;=3),"Berpotensi",IF(AND(E5216&lt;=3,E5216&gt;=2,F5216&gt;=3),"Rawan",IF(AND(E5216&lt;=2,F5216&lt;=2),"Tidur","Umum"))))))</f>
        <v/>
      </c>
    </row>
    <row r="5217">
      <c r="B5217">
        <f>IF(A5217="","",$B$1-MAXIFS(Donasi!$A$2:$A$20000,Donasi!$B$2:$B$20000,A5217))</f>
        <v/>
      </c>
      <c r="C5217">
        <f>IF(A5217="","",COUNTIF(Donasi!$B$2:$B$20000,A5217))</f>
        <v/>
      </c>
      <c r="D5217">
        <f>IF(A5217="","",SUMIF(Donasi!$B$2:$B$20000,A5217,Donasi!$C$2:$C$20000))</f>
        <v/>
      </c>
      <c r="E5217">
        <f>IF(A5217="","",6-CEILING(PERCENTRANK.INC($B$3:$B$6000,B5217,4)*5+0.000001,1))</f>
        <v/>
      </c>
      <c r="F5217">
        <f>IF(A5217="","",MAX(1,CEILING(PERCENTRANK.INC($C$3:$C$6000,C5217,4)*5+0.000001,1)))</f>
        <v/>
      </c>
      <c r="G5217">
        <f>IF(A5217="","",MAX(1,CEILING(PERCENTRANK.INC($D$3:$D$6000,D5217,4)*5+0.000001,1)))</f>
        <v/>
      </c>
      <c r="H5217">
        <f>IF(A5217="","",E5217&amp;F5217&amp;G5217)</f>
        <v/>
      </c>
      <c r="I5217">
        <f>IF(A5217="","",IF(AND(E5217&gt;=4,F5217&gt;=4,G5217&gt;=4),"Juara",IF(AND(F5217&gt;=4,E5217&gt;=3),"Setia",IF(AND(E5217=5,F5217&lt;=2,G5217&gt;=3),"Berpotensi",IF(AND(E5217&lt;=3,E5217&gt;=2,F5217&gt;=3),"Rawan",IF(AND(E5217&lt;=2,F5217&lt;=2),"Tidur","Umum"))))))</f>
        <v/>
      </c>
    </row>
    <row r="5218">
      <c r="B5218">
        <f>IF(A5218="","",$B$1-MAXIFS(Donasi!$A$2:$A$20000,Donasi!$B$2:$B$20000,A5218))</f>
        <v/>
      </c>
      <c r="C5218">
        <f>IF(A5218="","",COUNTIF(Donasi!$B$2:$B$20000,A5218))</f>
        <v/>
      </c>
      <c r="D5218">
        <f>IF(A5218="","",SUMIF(Donasi!$B$2:$B$20000,A5218,Donasi!$C$2:$C$20000))</f>
        <v/>
      </c>
      <c r="E5218">
        <f>IF(A5218="","",6-CEILING(PERCENTRANK.INC($B$3:$B$6000,B5218,4)*5+0.000001,1))</f>
        <v/>
      </c>
      <c r="F5218">
        <f>IF(A5218="","",MAX(1,CEILING(PERCENTRANK.INC($C$3:$C$6000,C5218,4)*5+0.000001,1)))</f>
        <v/>
      </c>
      <c r="G5218">
        <f>IF(A5218="","",MAX(1,CEILING(PERCENTRANK.INC($D$3:$D$6000,D5218,4)*5+0.000001,1)))</f>
        <v/>
      </c>
      <c r="H5218">
        <f>IF(A5218="","",E5218&amp;F5218&amp;G5218)</f>
        <v/>
      </c>
      <c r="I5218">
        <f>IF(A5218="","",IF(AND(E5218&gt;=4,F5218&gt;=4,G5218&gt;=4),"Juara",IF(AND(F5218&gt;=4,E5218&gt;=3),"Setia",IF(AND(E5218=5,F5218&lt;=2,G5218&gt;=3),"Berpotensi",IF(AND(E5218&lt;=3,E5218&gt;=2,F5218&gt;=3),"Rawan",IF(AND(E5218&lt;=2,F5218&lt;=2),"Tidur","Umum"))))))</f>
        <v/>
      </c>
    </row>
    <row r="5219">
      <c r="B5219">
        <f>IF(A5219="","",$B$1-MAXIFS(Donasi!$A$2:$A$20000,Donasi!$B$2:$B$20000,A5219))</f>
        <v/>
      </c>
      <c r="C5219">
        <f>IF(A5219="","",COUNTIF(Donasi!$B$2:$B$20000,A5219))</f>
        <v/>
      </c>
      <c r="D5219">
        <f>IF(A5219="","",SUMIF(Donasi!$B$2:$B$20000,A5219,Donasi!$C$2:$C$20000))</f>
        <v/>
      </c>
      <c r="E5219">
        <f>IF(A5219="","",6-CEILING(PERCENTRANK.INC($B$3:$B$6000,B5219,4)*5+0.000001,1))</f>
        <v/>
      </c>
      <c r="F5219">
        <f>IF(A5219="","",MAX(1,CEILING(PERCENTRANK.INC($C$3:$C$6000,C5219,4)*5+0.000001,1)))</f>
        <v/>
      </c>
      <c r="G5219">
        <f>IF(A5219="","",MAX(1,CEILING(PERCENTRANK.INC($D$3:$D$6000,D5219,4)*5+0.000001,1)))</f>
        <v/>
      </c>
      <c r="H5219">
        <f>IF(A5219="","",E5219&amp;F5219&amp;G5219)</f>
        <v/>
      </c>
      <c r="I5219">
        <f>IF(A5219="","",IF(AND(E5219&gt;=4,F5219&gt;=4,G5219&gt;=4),"Juara",IF(AND(F5219&gt;=4,E5219&gt;=3),"Setia",IF(AND(E5219=5,F5219&lt;=2,G5219&gt;=3),"Berpotensi",IF(AND(E5219&lt;=3,E5219&gt;=2,F5219&gt;=3),"Rawan",IF(AND(E5219&lt;=2,F5219&lt;=2),"Tidur","Umum"))))))</f>
        <v/>
      </c>
    </row>
    <row r="5220">
      <c r="B5220">
        <f>IF(A5220="","",$B$1-MAXIFS(Donasi!$A$2:$A$20000,Donasi!$B$2:$B$20000,A5220))</f>
        <v/>
      </c>
      <c r="C5220">
        <f>IF(A5220="","",COUNTIF(Donasi!$B$2:$B$20000,A5220))</f>
        <v/>
      </c>
      <c r="D5220">
        <f>IF(A5220="","",SUMIF(Donasi!$B$2:$B$20000,A5220,Donasi!$C$2:$C$20000))</f>
        <v/>
      </c>
      <c r="E5220">
        <f>IF(A5220="","",6-CEILING(PERCENTRANK.INC($B$3:$B$6000,B5220,4)*5+0.000001,1))</f>
        <v/>
      </c>
      <c r="F5220">
        <f>IF(A5220="","",MAX(1,CEILING(PERCENTRANK.INC($C$3:$C$6000,C5220,4)*5+0.000001,1)))</f>
        <v/>
      </c>
      <c r="G5220">
        <f>IF(A5220="","",MAX(1,CEILING(PERCENTRANK.INC($D$3:$D$6000,D5220,4)*5+0.000001,1)))</f>
        <v/>
      </c>
      <c r="H5220">
        <f>IF(A5220="","",E5220&amp;F5220&amp;G5220)</f>
        <v/>
      </c>
      <c r="I5220">
        <f>IF(A5220="","",IF(AND(E5220&gt;=4,F5220&gt;=4,G5220&gt;=4),"Juara",IF(AND(F5220&gt;=4,E5220&gt;=3),"Setia",IF(AND(E5220=5,F5220&lt;=2,G5220&gt;=3),"Berpotensi",IF(AND(E5220&lt;=3,E5220&gt;=2,F5220&gt;=3),"Rawan",IF(AND(E5220&lt;=2,F5220&lt;=2),"Tidur","Umum"))))))</f>
        <v/>
      </c>
    </row>
    <row r="5221">
      <c r="B5221">
        <f>IF(A5221="","",$B$1-MAXIFS(Donasi!$A$2:$A$20000,Donasi!$B$2:$B$20000,A5221))</f>
        <v/>
      </c>
      <c r="C5221">
        <f>IF(A5221="","",COUNTIF(Donasi!$B$2:$B$20000,A5221))</f>
        <v/>
      </c>
      <c r="D5221">
        <f>IF(A5221="","",SUMIF(Donasi!$B$2:$B$20000,A5221,Donasi!$C$2:$C$20000))</f>
        <v/>
      </c>
      <c r="E5221">
        <f>IF(A5221="","",6-CEILING(PERCENTRANK.INC($B$3:$B$6000,B5221,4)*5+0.000001,1))</f>
        <v/>
      </c>
      <c r="F5221">
        <f>IF(A5221="","",MAX(1,CEILING(PERCENTRANK.INC($C$3:$C$6000,C5221,4)*5+0.000001,1)))</f>
        <v/>
      </c>
      <c r="G5221">
        <f>IF(A5221="","",MAX(1,CEILING(PERCENTRANK.INC($D$3:$D$6000,D5221,4)*5+0.000001,1)))</f>
        <v/>
      </c>
      <c r="H5221">
        <f>IF(A5221="","",E5221&amp;F5221&amp;G5221)</f>
        <v/>
      </c>
      <c r="I5221">
        <f>IF(A5221="","",IF(AND(E5221&gt;=4,F5221&gt;=4,G5221&gt;=4),"Juara",IF(AND(F5221&gt;=4,E5221&gt;=3),"Setia",IF(AND(E5221=5,F5221&lt;=2,G5221&gt;=3),"Berpotensi",IF(AND(E5221&lt;=3,E5221&gt;=2,F5221&gt;=3),"Rawan",IF(AND(E5221&lt;=2,F5221&lt;=2),"Tidur","Umum"))))))</f>
        <v/>
      </c>
    </row>
    <row r="5222">
      <c r="B5222">
        <f>IF(A5222="","",$B$1-MAXIFS(Donasi!$A$2:$A$20000,Donasi!$B$2:$B$20000,A5222))</f>
        <v/>
      </c>
      <c r="C5222">
        <f>IF(A5222="","",COUNTIF(Donasi!$B$2:$B$20000,A5222))</f>
        <v/>
      </c>
      <c r="D5222">
        <f>IF(A5222="","",SUMIF(Donasi!$B$2:$B$20000,A5222,Donasi!$C$2:$C$20000))</f>
        <v/>
      </c>
      <c r="E5222">
        <f>IF(A5222="","",6-CEILING(PERCENTRANK.INC($B$3:$B$6000,B5222,4)*5+0.000001,1))</f>
        <v/>
      </c>
      <c r="F5222">
        <f>IF(A5222="","",MAX(1,CEILING(PERCENTRANK.INC($C$3:$C$6000,C5222,4)*5+0.000001,1)))</f>
        <v/>
      </c>
      <c r="G5222">
        <f>IF(A5222="","",MAX(1,CEILING(PERCENTRANK.INC($D$3:$D$6000,D5222,4)*5+0.000001,1)))</f>
        <v/>
      </c>
      <c r="H5222">
        <f>IF(A5222="","",E5222&amp;F5222&amp;G5222)</f>
        <v/>
      </c>
      <c r="I5222">
        <f>IF(A5222="","",IF(AND(E5222&gt;=4,F5222&gt;=4,G5222&gt;=4),"Juara",IF(AND(F5222&gt;=4,E5222&gt;=3),"Setia",IF(AND(E5222=5,F5222&lt;=2,G5222&gt;=3),"Berpotensi",IF(AND(E5222&lt;=3,E5222&gt;=2,F5222&gt;=3),"Rawan",IF(AND(E5222&lt;=2,F5222&lt;=2),"Tidur","Umum"))))))</f>
        <v/>
      </c>
    </row>
    <row r="5223">
      <c r="B5223">
        <f>IF(A5223="","",$B$1-MAXIFS(Donasi!$A$2:$A$20000,Donasi!$B$2:$B$20000,A5223))</f>
        <v/>
      </c>
      <c r="C5223">
        <f>IF(A5223="","",COUNTIF(Donasi!$B$2:$B$20000,A5223))</f>
        <v/>
      </c>
      <c r="D5223">
        <f>IF(A5223="","",SUMIF(Donasi!$B$2:$B$20000,A5223,Donasi!$C$2:$C$20000))</f>
        <v/>
      </c>
      <c r="E5223">
        <f>IF(A5223="","",6-CEILING(PERCENTRANK.INC($B$3:$B$6000,B5223,4)*5+0.000001,1))</f>
        <v/>
      </c>
      <c r="F5223">
        <f>IF(A5223="","",MAX(1,CEILING(PERCENTRANK.INC($C$3:$C$6000,C5223,4)*5+0.000001,1)))</f>
        <v/>
      </c>
      <c r="G5223">
        <f>IF(A5223="","",MAX(1,CEILING(PERCENTRANK.INC($D$3:$D$6000,D5223,4)*5+0.000001,1)))</f>
        <v/>
      </c>
      <c r="H5223">
        <f>IF(A5223="","",E5223&amp;F5223&amp;G5223)</f>
        <v/>
      </c>
      <c r="I5223">
        <f>IF(A5223="","",IF(AND(E5223&gt;=4,F5223&gt;=4,G5223&gt;=4),"Juara",IF(AND(F5223&gt;=4,E5223&gt;=3),"Setia",IF(AND(E5223=5,F5223&lt;=2,G5223&gt;=3),"Berpotensi",IF(AND(E5223&lt;=3,E5223&gt;=2,F5223&gt;=3),"Rawan",IF(AND(E5223&lt;=2,F5223&lt;=2),"Tidur","Umum"))))))</f>
        <v/>
      </c>
    </row>
    <row r="5224">
      <c r="B5224">
        <f>IF(A5224="","",$B$1-MAXIFS(Donasi!$A$2:$A$20000,Donasi!$B$2:$B$20000,A5224))</f>
        <v/>
      </c>
      <c r="C5224">
        <f>IF(A5224="","",COUNTIF(Donasi!$B$2:$B$20000,A5224))</f>
        <v/>
      </c>
      <c r="D5224">
        <f>IF(A5224="","",SUMIF(Donasi!$B$2:$B$20000,A5224,Donasi!$C$2:$C$20000))</f>
        <v/>
      </c>
      <c r="E5224">
        <f>IF(A5224="","",6-CEILING(PERCENTRANK.INC($B$3:$B$6000,B5224,4)*5+0.000001,1))</f>
        <v/>
      </c>
      <c r="F5224">
        <f>IF(A5224="","",MAX(1,CEILING(PERCENTRANK.INC($C$3:$C$6000,C5224,4)*5+0.000001,1)))</f>
        <v/>
      </c>
      <c r="G5224">
        <f>IF(A5224="","",MAX(1,CEILING(PERCENTRANK.INC($D$3:$D$6000,D5224,4)*5+0.000001,1)))</f>
        <v/>
      </c>
      <c r="H5224">
        <f>IF(A5224="","",E5224&amp;F5224&amp;G5224)</f>
        <v/>
      </c>
      <c r="I5224">
        <f>IF(A5224="","",IF(AND(E5224&gt;=4,F5224&gt;=4,G5224&gt;=4),"Juara",IF(AND(F5224&gt;=4,E5224&gt;=3),"Setia",IF(AND(E5224=5,F5224&lt;=2,G5224&gt;=3),"Berpotensi",IF(AND(E5224&lt;=3,E5224&gt;=2,F5224&gt;=3),"Rawan",IF(AND(E5224&lt;=2,F5224&lt;=2),"Tidur","Umum"))))))</f>
        <v/>
      </c>
    </row>
    <row r="5225">
      <c r="B5225">
        <f>IF(A5225="","",$B$1-MAXIFS(Donasi!$A$2:$A$20000,Donasi!$B$2:$B$20000,A5225))</f>
        <v/>
      </c>
      <c r="C5225">
        <f>IF(A5225="","",COUNTIF(Donasi!$B$2:$B$20000,A5225))</f>
        <v/>
      </c>
      <c r="D5225">
        <f>IF(A5225="","",SUMIF(Donasi!$B$2:$B$20000,A5225,Donasi!$C$2:$C$20000))</f>
        <v/>
      </c>
      <c r="E5225">
        <f>IF(A5225="","",6-CEILING(PERCENTRANK.INC($B$3:$B$6000,B5225,4)*5+0.000001,1))</f>
        <v/>
      </c>
      <c r="F5225">
        <f>IF(A5225="","",MAX(1,CEILING(PERCENTRANK.INC($C$3:$C$6000,C5225,4)*5+0.000001,1)))</f>
        <v/>
      </c>
      <c r="G5225">
        <f>IF(A5225="","",MAX(1,CEILING(PERCENTRANK.INC($D$3:$D$6000,D5225,4)*5+0.000001,1)))</f>
        <v/>
      </c>
      <c r="H5225">
        <f>IF(A5225="","",E5225&amp;F5225&amp;G5225)</f>
        <v/>
      </c>
      <c r="I5225">
        <f>IF(A5225="","",IF(AND(E5225&gt;=4,F5225&gt;=4,G5225&gt;=4),"Juara",IF(AND(F5225&gt;=4,E5225&gt;=3),"Setia",IF(AND(E5225=5,F5225&lt;=2,G5225&gt;=3),"Berpotensi",IF(AND(E5225&lt;=3,E5225&gt;=2,F5225&gt;=3),"Rawan",IF(AND(E5225&lt;=2,F5225&lt;=2),"Tidur","Umum"))))))</f>
        <v/>
      </c>
    </row>
    <row r="5226">
      <c r="B5226">
        <f>IF(A5226="","",$B$1-MAXIFS(Donasi!$A$2:$A$20000,Donasi!$B$2:$B$20000,A5226))</f>
        <v/>
      </c>
      <c r="C5226">
        <f>IF(A5226="","",COUNTIF(Donasi!$B$2:$B$20000,A5226))</f>
        <v/>
      </c>
      <c r="D5226">
        <f>IF(A5226="","",SUMIF(Donasi!$B$2:$B$20000,A5226,Donasi!$C$2:$C$20000))</f>
        <v/>
      </c>
      <c r="E5226">
        <f>IF(A5226="","",6-CEILING(PERCENTRANK.INC($B$3:$B$6000,B5226,4)*5+0.000001,1))</f>
        <v/>
      </c>
      <c r="F5226">
        <f>IF(A5226="","",MAX(1,CEILING(PERCENTRANK.INC($C$3:$C$6000,C5226,4)*5+0.000001,1)))</f>
        <v/>
      </c>
      <c r="G5226">
        <f>IF(A5226="","",MAX(1,CEILING(PERCENTRANK.INC($D$3:$D$6000,D5226,4)*5+0.000001,1)))</f>
        <v/>
      </c>
      <c r="H5226">
        <f>IF(A5226="","",E5226&amp;F5226&amp;G5226)</f>
        <v/>
      </c>
      <c r="I5226">
        <f>IF(A5226="","",IF(AND(E5226&gt;=4,F5226&gt;=4,G5226&gt;=4),"Juara",IF(AND(F5226&gt;=4,E5226&gt;=3),"Setia",IF(AND(E5226=5,F5226&lt;=2,G5226&gt;=3),"Berpotensi",IF(AND(E5226&lt;=3,E5226&gt;=2,F5226&gt;=3),"Rawan",IF(AND(E5226&lt;=2,F5226&lt;=2),"Tidur","Umum"))))))</f>
        <v/>
      </c>
    </row>
    <row r="5227">
      <c r="B5227">
        <f>IF(A5227="","",$B$1-MAXIFS(Donasi!$A$2:$A$20000,Donasi!$B$2:$B$20000,A5227))</f>
        <v/>
      </c>
      <c r="C5227">
        <f>IF(A5227="","",COUNTIF(Donasi!$B$2:$B$20000,A5227))</f>
        <v/>
      </c>
      <c r="D5227">
        <f>IF(A5227="","",SUMIF(Donasi!$B$2:$B$20000,A5227,Donasi!$C$2:$C$20000))</f>
        <v/>
      </c>
      <c r="E5227">
        <f>IF(A5227="","",6-CEILING(PERCENTRANK.INC($B$3:$B$6000,B5227,4)*5+0.000001,1))</f>
        <v/>
      </c>
      <c r="F5227">
        <f>IF(A5227="","",MAX(1,CEILING(PERCENTRANK.INC($C$3:$C$6000,C5227,4)*5+0.000001,1)))</f>
        <v/>
      </c>
      <c r="G5227">
        <f>IF(A5227="","",MAX(1,CEILING(PERCENTRANK.INC($D$3:$D$6000,D5227,4)*5+0.000001,1)))</f>
        <v/>
      </c>
      <c r="H5227">
        <f>IF(A5227="","",E5227&amp;F5227&amp;G5227)</f>
        <v/>
      </c>
      <c r="I5227">
        <f>IF(A5227="","",IF(AND(E5227&gt;=4,F5227&gt;=4,G5227&gt;=4),"Juara",IF(AND(F5227&gt;=4,E5227&gt;=3),"Setia",IF(AND(E5227=5,F5227&lt;=2,G5227&gt;=3),"Berpotensi",IF(AND(E5227&lt;=3,E5227&gt;=2,F5227&gt;=3),"Rawan",IF(AND(E5227&lt;=2,F5227&lt;=2),"Tidur","Umum"))))))</f>
        <v/>
      </c>
    </row>
    <row r="5228">
      <c r="B5228">
        <f>IF(A5228="","",$B$1-MAXIFS(Donasi!$A$2:$A$20000,Donasi!$B$2:$B$20000,A5228))</f>
        <v/>
      </c>
      <c r="C5228">
        <f>IF(A5228="","",COUNTIF(Donasi!$B$2:$B$20000,A5228))</f>
        <v/>
      </c>
      <c r="D5228">
        <f>IF(A5228="","",SUMIF(Donasi!$B$2:$B$20000,A5228,Donasi!$C$2:$C$20000))</f>
        <v/>
      </c>
      <c r="E5228">
        <f>IF(A5228="","",6-CEILING(PERCENTRANK.INC($B$3:$B$6000,B5228,4)*5+0.000001,1))</f>
        <v/>
      </c>
      <c r="F5228">
        <f>IF(A5228="","",MAX(1,CEILING(PERCENTRANK.INC($C$3:$C$6000,C5228,4)*5+0.000001,1)))</f>
        <v/>
      </c>
      <c r="G5228">
        <f>IF(A5228="","",MAX(1,CEILING(PERCENTRANK.INC($D$3:$D$6000,D5228,4)*5+0.000001,1)))</f>
        <v/>
      </c>
      <c r="H5228">
        <f>IF(A5228="","",E5228&amp;F5228&amp;G5228)</f>
        <v/>
      </c>
      <c r="I5228">
        <f>IF(A5228="","",IF(AND(E5228&gt;=4,F5228&gt;=4,G5228&gt;=4),"Juara",IF(AND(F5228&gt;=4,E5228&gt;=3),"Setia",IF(AND(E5228=5,F5228&lt;=2,G5228&gt;=3),"Berpotensi",IF(AND(E5228&lt;=3,E5228&gt;=2,F5228&gt;=3),"Rawan",IF(AND(E5228&lt;=2,F5228&lt;=2),"Tidur","Umum"))))))</f>
        <v/>
      </c>
    </row>
    <row r="5229">
      <c r="B5229">
        <f>IF(A5229="","",$B$1-MAXIFS(Donasi!$A$2:$A$20000,Donasi!$B$2:$B$20000,A5229))</f>
        <v/>
      </c>
      <c r="C5229">
        <f>IF(A5229="","",COUNTIF(Donasi!$B$2:$B$20000,A5229))</f>
        <v/>
      </c>
      <c r="D5229">
        <f>IF(A5229="","",SUMIF(Donasi!$B$2:$B$20000,A5229,Donasi!$C$2:$C$20000))</f>
        <v/>
      </c>
      <c r="E5229">
        <f>IF(A5229="","",6-CEILING(PERCENTRANK.INC($B$3:$B$6000,B5229,4)*5+0.000001,1))</f>
        <v/>
      </c>
      <c r="F5229">
        <f>IF(A5229="","",MAX(1,CEILING(PERCENTRANK.INC($C$3:$C$6000,C5229,4)*5+0.000001,1)))</f>
        <v/>
      </c>
      <c r="G5229">
        <f>IF(A5229="","",MAX(1,CEILING(PERCENTRANK.INC($D$3:$D$6000,D5229,4)*5+0.000001,1)))</f>
        <v/>
      </c>
      <c r="H5229">
        <f>IF(A5229="","",E5229&amp;F5229&amp;G5229)</f>
        <v/>
      </c>
      <c r="I5229">
        <f>IF(A5229="","",IF(AND(E5229&gt;=4,F5229&gt;=4,G5229&gt;=4),"Juara",IF(AND(F5229&gt;=4,E5229&gt;=3),"Setia",IF(AND(E5229=5,F5229&lt;=2,G5229&gt;=3),"Berpotensi",IF(AND(E5229&lt;=3,E5229&gt;=2,F5229&gt;=3),"Rawan",IF(AND(E5229&lt;=2,F5229&lt;=2),"Tidur","Umum"))))))</f>
        <v/>
      </c>
    </row>
    <row r="5230">
      <c r="B5230">
        <f>IF(A5230="","",$B$1-MAXIFS(Donasi!$A$2:$A$20000,Donasi!$B$2:$B$20000,A5230))</f>
        <v/>
      </c>
      <c r="C5230">
        <f>IF(A5230="","",COUNTIF(Donasi!$B$2:$B$20000,A5230))</f>
        <v/>
      </c>
      <c r="D5230">
        <f>IF(A5230="","",SUMIF(Donasi!$B$2:$B$20000,A5230,Donasi!$C$2:$C$20000))</f>
        <v/>
      </c>
      <c r="E5230">
        <f>IF(A5230="","",6-CEILING(PERCENTRANK.INC($B$3:$B$6000,B5230,4)*5+0.000001,1))</f>
        <v/>
      </c>
      <c r="F5230">
        <f>IF(A5230="","",MAX(1,CEILING(PERCENTRANK.INC($C$3:$C$6000,C5230,4)*5+0.000001,1)))</f>
        <v/>
      </c>
      <c r="G5230">
        <f>IF(A5230="","",MAX(1,CEILING(PERCENTRANK.INC($D$3:$D$6000,D5230,4)*5+0.000001,1)))</f>
        <v/>
      </c>
      <c r="H5230">
        <f>IF(A5230="","",E5230&amp;F5230&amp;G5230)</f>
        <v/>
      </c>
      <c r="I5230">
        <f>IF(A5230="","",IF(AND(E5230&gt;=4,F5230&gt;=4,G5230&gt;=4),"Juara",IF(AND(F5230&gt;=4,E5230&gt;=3),"Setia",IF(AND(E5230=5,F5230&lt;=2,G5230&gt;=3),"Berpotensi",IF(AND(E5230&lt;=3,E5230&gt;=2,F5230&gt;=3),"Rawan",IF(AND(E5230&lt;=2,F5230&lt;=2),"Tidur","Umum"))))))</f>
        <v/>
      </c>
    </row>
    <row r="5231">
      <c r="B5231">
        <f>IF(A5231="","",$B$1-MAXIFS(Donasi!$A$2:$A$20000,Donasi!$B$2:$B$20000,A5231))</f>
        <v/>
      </c>
      <c r="C5231">
        <f>IF(A5231="","",COUNTIF(Donasi!$B$2:$B$20000,A5231))</f>
        <v/>
      </c>
      <c r="D5231">
        <f>IF(A5231="","",SUMIF(Donasi!$B$2:$B$20000,A5231,Donasi!$C$2:$C$20000))</f>
        <v/>
      </c>
      <c r="E5231">
        <f>IF(A5231="","",6-CEILING(PERCENTRANK.INC($B$3:$B$6000,B5231,4)*5+0.000001,1))</f>
        <v/>
      </c>
      <c r="F5231">
        <f>IF(A5231="","",MAX(1,CEILING(PERCENTRANK.INC($C$3:$C$6000,C5231,4)*5+0.000001,1)))</f>
        <v/>
      </c>
      <c r="G5231">
        <f>IF(A5231="","",MAX(1,CEILING(PERCENTRANK.INC($D$3:$D$6000,D5231,4)*5+0.000001,1)))</f>
        <v/>
      </c>
      <c r="H5231">
        <f>IF(A5231="","",E5231&amp;F5231&amp;G5231)</f>
        <v/>
      </c>
      <c r="I5231">
        <f>IF(A5231="","",IF(AND(E5231&gt;=4,F5231&gt;=4,G5231&gt;=4),"Juara",IF(AND(F5231&gt;=4,E5231&gt;=3),"Setia",IF(AND(E5231=5,F5231&lt;=2,G5231&gt;=3),"Berpotensi",IF(AND(E5231&lt;=3,E5231&gt;=2,F5231&gt;=3),"Rawan",IF(AND(E5231&lt;=2,F5231&lt;=2),"Tidur","Umum"))))))</f>
        <v/>
      </c>
    </row>
    <row r="5232">
      <c r="B5232">
        <f>IF(A5232="","",$B$1-MAXIFS(Donasi!$A$2:$A$20000,Donasi!$B$2:$B$20000,A5232))</f>
        <v/>
      </c>
      <c r="C5232">
        <f>IF(A5232="","",COUNTIF(Donasi!$B$2:$B$20000,A5232))</f>
        <v/>
      </c>
      <c r="D5232">
        <f>IF(A5232="","",SUMIF(Donasi!$B$2:$B$20000,A5232,Donasi!$C$2:$C$20000))</f>
        <v/>
      </c>
      <c r="E5232">
        <f>IF(A5232="","",6-CEILING(PERCENTRANK.INC($B$3:$B$6000,B5232,4)*5+0.000001,1))</f>
        <v/>
      </c>
      <c r="F5232">
        <f>IF(A5232="","",MAX(1,CEILING(PERCENTRANK.INC($C$3:$C$6000,C5232,4)*5+0.000001,1)))</f>
        <v/>
      </c>
      <c r="G5232">
        <f>IF(A5232="","",MAX(1,CEILING(PERCENTRANK.INC($D$3:$D$6000,D5232,4)*5+0.000001,1)))</f>
        <v/>
      </c>
      <c r="H5232">
        <f>IF(A5232="","",E5232&amp;F5232&amp;G5232)</f>
        <v/>
      </c>
      <c r="I5232">
        <f>IF(A5232="","",IF(AND(E5232&gt;=4,F5232&gt;=4,G5232&gt;=4),"Juara",IF(AND(F5232&gt;=4,E5232&gt;=3),"Setia",IF(AND(E5232=5,F5232&lt;=2,G5232&gt;=3),"Berpotensi",IF(AND(E5232&lt;=3,E5232&gt;=2,F5232&gt;=3),"Rawan",IF(AND(E5232&lt;=2,F5232&lt;=2),"Tidur","Umum"))))))</f>
        <v/>
      </c>
    </row>
    <row r="5233">
      <c r="B5233">
        <f>IF(A5233="","",$B$1-MAXIFS(Donasi!$A$2:$A$20000,Donasi!$B$2:$B$20000,A5233))</f>
        <v/>
      </c>
      <c r="C5233">
        <f>IF(A5233="","",COUNTIF(Donasi!$B$2:$B$20000,A5233))</f>
        <v/>
      </c>
      <c r="D5233">
        <f>IF(A5233="","",SUMIF(Donasi!$B$2:$B$20000,A5233,Donasi!$C$2:$C$20000))</f>
        <v/>
      </c>
      <c r="E5233">
        <f>IF(A5233="","",6-CEILING(PERCENTRANK.INC($B$3:$B$6000,B5233,4)*5+0.000001,1))</f>
        <v/>
      </c>
      <c r="F5233">
        <f>IF(A5233="","",MAX(1,CEILING(PERCENTRANK.INC($C$3:$C$6000,C5233,4)*5+0.000001,1)))</f>
        <v/>
      </c>
      <c r="G5233">
        <f>IF(A5233="","",MAX(1,CEILING(PERCENTRANK.INC($D$3:$D$6000,D5233,4)*5+0.000001,1)))</f>
        <v/>
      </c>
      <c r="H5233">
        <f>IF(A5233="","",E5233&amp;F5233&amp;G5233)</f>
        <v/>
      </c>
      <c r="I5233">
        <f>IF(A5233="","",IF(AND(E5233&gt;=4,F5233&gt;=4,G5233&gt;=4),"Juara",IF(AND(F5233&gt;=4,E5233&gt;=3),"Setia",IF(AND(E5233=5,F5233&lt;=2,G5233&gt;=3),"Berpotensi",IF(AND(E5233&lt;=3,E5233&gt;=2,F5233&gt;=3),"Rawan",IF(AND(E5233&lt;=2,F5233&lt;=2),"Tidur","Umum"))))))</f>
        <v/>
      </c>
    </row>
    <row r="5234">
      <c r="B5234">
        <f>IF(A5234="","",$B$1-MAXIFS(Donasi!$A$2:$A$20000,Donasi!$B$2:$B$20000,A5234))</f>
        <v/>
      </c>
      <c r="C5234">
        <f>IF(A5234="","",COUNTIF(Donasi!$B$2:$B$20000,A5234))</f>
        <v/>
      </c>
      <c r="D5234">
        <f>IF(A5234="","",SUMIF(Donasi!$B$2:$B$20000,A5234,Donasi!$C$2:$C$20000))</f>
        <v/>
      </c>
      <c r="E5234">
        <f>IF(A5234="","",6-CEILING(PERCENTRANK.INC($B$3:$B$6000,B5234,4)*5+0.000001,1))</f>
        <v/>
      </c>
      <c r="F5234">
        <f>IF(A5234="","",MAX(1,CEILING(PERCENTRANK.INC($C$3:$C$6000,C5234,4)*5+0.000001,1)))</f>
        <v/>
      </c>
      <c r="G5234">
        <f>IF(A5234="","",MAX(1,CEILING(PERCENTRANK.INC($D$3:$D$6000,D5234,4)*5+0.000001,1)))</f>
        <v/>
      </c>
      <c r="H5234">
        <f>IF(A5234="","",E5234&amp;F5234&amp;G5234)</f>
        <v/>
      </c>
      <c r="I5234">
        <f>IF(A5234="","",IF(AND(E5234&gt;=4,F5234&gt;=4,G5234&gt;=4),"Juara",IF(AND(F5234&gt;=4,E5234&gt;=3),"Setia",IF(AND(E5234=5,F5234&lt;=2,G5234&gt;=3),"Berpotensi",IF(AND(E5234&lt;=3,E5234&gt;=2,F5234&gt;=3),"Rawan",IF(AND(E5234&lt;=2,F5234&lt;=2),"Tidur","Umum"))))))</f>
        <v/>
      </c>
    </row>
    <row r="5235">
      <c r="B5235">
        <f>IF(A5235="","",$B$1-MAXIFS(Donasi!$A$2:$A$20000,Donasi!$B$2:$B$20000,A5235))</f>
        <v/>
      </c>
      <c r="C5235">
        <f>IF(A5235="","",COUNTIF(Donasi!$B$2:$B$20000,A5235))</f>
        <v/>
      </c>
      <c r="D5235">
        <f>IF(A5235="","",SUMIF(Donasi!$B$2:$B$20000,A5235,Donasi!$C$2:$C$20000))</f>
        <v/>
      </c>
      <c r="E5235">
        <f>IF(A5235="","",6-CEILING(PERCENTRANK.INC($B$3:$B$6000,B5235,4)*5+0.000001,1))</f>
        <v/>
      </c>
      <c r="F5235">
        <f>IF(A5235="","",MAX(1,CEILING(PERCENTRANK.INC($C$3:$C$6000,C5235,4)*5+0.000001,1)))</f>
        <v/>
      </c>
      <c r="G5235">
        <f>IF(A5235="","",MAX(1,CEILING(PERCENTRANK.INC($D$3:$D$6000,D5235,4)*5+0.000001,1)))</f>
        <v/>
      </c>
      <c r="H5235">
        <f>IF(A5235="","",E5235&amp;F5235&amp;G5235)</f>
        <v/>
      </c>
      <c r="I5235">
        <f>IF(A5235="","",IF(AND(E5235&gt;=4,F5235&gt;=4,G5235&gt;=4),"Juara",IF(AND(F5235&gt;=4,E5235&gt;=3),"Setia",IF(AND(E5235=5,F5235&lt;=2,G5235&gt;=3),"Berpotensi",IF(AND(E5235&lt;=3,E5235&gt;=2,F5235&gt;=3),"Rawan",IF(AND(E5235&lt;=2,F5235&lt;=2),"Tidur","Umum"))))))</f>
        <v/>
      </c>
    </row>
    <row r="5236">
      <c r="B5236">
        <f>IF(A5236="","",$B$1-MAXIFS(Donasi!$A$2:$A$20000,Donasi!$B$2:$B$20000,A5236))</f>
        <v/>
      </c>
      <c r="C5236">
        <f>IF(A5236="","",COUNTIF(Donasi!$B$2:$B$20000,A5236))</f>
        <v/>
      </c>
      <c r="D5236">
        <f>IF(A5236="","",SUMIF(Donasi!$B$2:$B$20000,A5236,Donasi!$C$2:$C$20000))</f>
        <v/>
      </c>
      <c r="E5236">
        <f>IF(A5236="","",6-CEILING(PERCENTRANK.INC($B$3:$B$6000,B5236,4)*5+0.000001,1))</f>
        <v/>
      </c>
      <c r="F5236">
        <f>IF(A5236="","",MAX(1,CEILING(PERCENTRANK.INC($C$3:$C$6000,C5236,4)*5+0.000001,1)))</f>
        <v/>
      </c>
      <c r="G5236">
        <f>IF(A5236="","",MAX(1,CEILING(PERCENTRANK.INC($D$3:$D$6000,D5236,4)*5+0.000001,1)))</f>
        <v/>
      </c>
      <c r="H5236">
        <f>IF(A5236="","",E5236&amp;F5236&amp;G5236)</f>
        <v/>
      </c>
      <c r="I5236">
        <f>IF(A5236="","",IF(AND(E5236&gt;=4,F5236&gt;=4,G5236&gt;=4),"Juara",IF(AND(F5236&gt;=4,E5236&gt;=3),"Setia",IF(AND(E5236=5,F5236&lt;=2,G5236&gt;=3),"Berpotensi",IF(AND(E5236&lt;=3,E5236&gt;=2,F5236&gt;=3),"Rawan",IF(AND(E5236&lt;=2,F5236&lt;=2),"Tidur","Umum"))))))</f>
        <v/>
      </c>
    </row>
    <row r="5237">
      <c r="B5237">
        <f>IF(A5237="","",$B$1-MAXIFS(Donasi!$A$2:$A$20000,Donasi!$B$2:$B$20000,A5237))</f>
        <v/>
      </c>
      <c r="C5237">
        <f>IF(A5237="","",COUNTIF(Donasi!$B$2:$B$20000,A5237))</f>
        <v/>
      </c>
      <c r="D5237">
        <f>IF(A5237="","",SUMIF(Donasi!$B$2:$B$20000,A5237,Donasi!$C$2:$C$20000))</f>
        <v/>
      </c>
      <c r="E5237">
        <f>IF(A5237="","",6-CEILING(PERCENTRANK.INC($B$3:$B$6000,B5237,4)*5+0.000001,1))</f>
        <v/>
      </c>
      <c r="F5237">
        <f>IF(A5237="","",MAX(1,CEILING(PERCENTRANK.INC($C$3:$C$6000,C5237,4)*5+0.000001,1)))</f>
        <v/>
      </c>
      <c r="G5237">
        <f>IF(A5237="","",MAX(1,CEILING(PERCENTRANK.INC($D$3:$D$6000,D5237,4)*5+0.000001,1)))</f>
        <v/>
      </c>
      <c r="H5237">
        <f>IF(A5237="","",E5237&amp;F5237&amp;G5237)</f>
        <v/>
      </c>
      <c r="I5237">
        <f>IF(A5237="","",IF(AND(E5237&gt;=4,F5237&gt;=4,G5237&gt;=4),"Juara",IF(AND(F5237&gt;=4,E5237&gt;=3),"Setia",IF(AND(E5237=5,F5237&lt;=2,G5237&gt;=3),"Berpotensi",IF(AND(E5237&lt;=3,E5237&gt;=2,F5237&gt;=3),"Rawan",IF(AND(E5237&lt;=2,F5237&lt;=2),"Tidur","Umum"))))))</f>
        <v/>
      </c>
    </row>
    <row r="5238">
      <c r="B5238">
        <f>IF(A5238="","",$B$1-MAXIFS(Donasi!$A$2:$A$20000,Donasi!$B$2:$B$20000,A5238))</f>
        <v/>
      </c>
      <c r="C5238">
        <f>IF(A5238="","",COUNTIF(Donasi!$B$2:$B$20000,A5238))</f>
        <v/>
      </c>
      <c r="D5238">
        <f>IF(A5238="","",SUMIF(Donasi!$B$2:$B$20000,A5238,Donasi!$C$2:$C$20000))</f>
        <v/>
      </c>
      <c r="E5238">
        <f>IF(A5238="","",6-CEILING(PERCENTRANK.INC($B$3:$B$6000,B5238,4)*5+0.000001,1))</f>
        <v/>
      </c>
      <c r="F5238">
        <f>IF(A5238="","",MAX(1,CEILING(PERCENTRANK.INC($C$3:$C$6000,C5238,4)*5+0.000001,1)))</f>
        <v/>
      </c>
      <c r="G5238">
        <f>IF(A5238="","",MAX(1,CEILING(PERCENTRANK.INC($D$3:$D$6000,D5238,4)*5+0.000001,1)))</f>
        <v/>
      </c>
      <c r="H5238">
        <f>IF(A5238="","",E5238&amp;F5238&amp;G5238)</f>
        <v/>
      </c>
      <c r="I5238">
        <f>IF(A5238="","",IF(AND(E5238&gt;=4,F5238&gt;=4,G5238&gt;=4),"Juara",IF(AND(F5238&gt;=4,E5238&gt;=3),"Setia",IF(AND(E5238=5,F5238&lt;=2,G5238&gt;=3),"Berpotensi",IF(AND(E5238&lt;=3,E5238&gt;=2,F5238&gt;=3),"Rawan",IF(AND(E5238&lt;=2,F5238&lt;=2),"Tidur","Umum"))))))</f>
        <v/>
      </c>
    </row>
    <row r="5239">
      <c r="B5239">
        <f>IF(A5239="","",$B$1-MAXIFS(Donasi!$A$2:$A$20000,Donasi!$B$2:$B$20000,A5239))</f>
        <v/>
      </c>
      <c r="C5239">
        <f>IF(A5239="","",COUNTIF(Donasi!$B$2:$B$20000,A5239))</f>
        <v/>
      </c>
      <c r="D5239">
        <f>IF(A5239="","",SUMIF(Donasi!$B$2:$B$20000,A5239,Donasi!$C$2:$C$20000))</f>
        <v/>
      </c>
      <c r="E5239">
        <f>IF(A5239="","",6-CEILING(PERCENTRANK.INC($B$3:$B$6000,B5239,4)*5+0.000001,1))</f>
        <v/>
      </c>
      <c r="F5239">
        <f>IF(A5239="","",MAX(1,CEILING(PERCENTRANK.INC($C$3:$C$6000,C5239,4)*5+0.000001,1)))</f>
        <v/>
      </c>
      <c r="G5239">
        <f>IF(A5239="","",MAX(1,CEILING(PERCENTRANK.INC($D$3:$D$6000,D5239,4)*5+0.000001,1)))</f>
        <v/>
      </c>
      <c r="H5239">
        <f>IF(A5239="","",E5239&amp;F5239&amp;G5239)</f>
        <v/>
      </c>
      <c r="I5239">
        <f>IF(A5239="","",IF(AND(E5239&gt;=4,F5239&gt;=4,G5239&gt;=4),"Juara",IF(AND(F5239&gt;=4,E5239&gt;=3),"Setia",IF(AND(E5239=5,F5239&lt;=2,G5239&gt;=3),"Berpotensi",IF(AND(E5239&lt;=3,E5239&gt;=2,F5239&gt;=3),"Rawan",IF(AND(E5239&lt;=2,F5239&lt;=2),"Tidur","Umum"))))))</f>
        <v/>
      </c>
    </row>
    <row r="5240">
      <c r="B5240">
        <f>IF(A5240="","",$B$1-MAXIFS(Donasi!$A$2:$A$20000,Donasi!$B$2:$B$20000,A5240))</f>
        <v/>
      </c>
      <c r="C5240">
        <f>IF(A5240="","",COUNTIF(Donasi!$B$2:$B$20000,A5240))</f>
        <v/>
      </c>
      <c r="D5240">
        <f>IF(A5240="","",SUMIF(Donasi!$B$2:$B$20000,A5240,Donasi!$C$2:$C$20000))</f>
        <v/>
      </c>
      <c r="E5240">
        <f>IF(A5240="","",6-CEILING(PERCENTRANK.INC($B$3:$B$6000,B5240,4)*5+0.000001,1))</f>
        <v/>
      </c>
      <c r="F5240">
        <f>IF(A5240="","",MAX(1,CEILING(PERCENTRANK.INC($C$3:$C$6000,C5240,4)*5+0.000001,1)))</f>
        <v/>
      </c>
      <c r="G5240">
        <f>IF(A5240="","",MAX(1,CEILING(PERCENTRANK.INC($D$3:$D$6000,D5240,4)*5+0.000001,1)))</f>
        <v/>
      </c>
      <c r="H5240">
        <f>IF(A5240="","",E5240&amp;F5240&amp;G5240)</f>
        <v/>
      </c>
      <c r="I5240">
        <f>IF(A5240="","",IF(AND(E5240&gt;=4,F5240&gt;=4,G5240&gt;=4),"Juara",IF(AND(F5240&gt;=4,E5240&gt;=3),"Setia",IF(AND(E5240=5,F5240&lt;=2,G5240&gt;=3),"Berpotensi",IF(AND(E5240&lt;=3,E5240&gt;=2,F5240&gt;=3),"Rawan",IF(AND(E5240&lt;=2,F5240&lt;=2),"Tidur","Umum"))))))</f>
        <v/>
      </c>
    </row>
    <row r="5241">
      <c r="B5241">
        <f>IF(A5241="","",$B$1-MAXIFS(Donasi!$A$2:$A$20000,Donasi!$B$2:$B$20000,A5241))</f>
        <v/>
      </c>
      <c r="C5241">
        <f>IF(A5241="","",COUNTIF(Donasi!$B$2:$B$20000,A5241))</f>
        <v/>
      </c>
      <c r="D5241">
        <f>IF(A5241="","",SUMIF(Donasi!$B$2:$B$20000,A5241,Donasi!$C$2:$C$20000))</f>
        <v/>
      </c>
      <c r="E5241">
        <f>IF(A5241="","",6-CEILING(PERCENTRANK.INC($B$3:$B$6000,B5241,4)*5+0.000001,1))</f>
        <v/>
      </c>
      <c r="F5241">
        <f>IF(A5241="","",MAX(1,CEILING(PERCENTRANK.INC($C$3:$C$6000,C5241,4)*5+0.000001,1)))</f>
        <v/>
      </c>
      <c r="G5241">
        <f>IF(A5241="","",MAX(1,CEILING(PERCENTRANK.INC($D$3:$D$6000,D5241,4)*5+0.000001,1)))</f>
        <v/>
      </c>
      <c r="H5241">
        <f>IF(A5241="","",E5241&amp;F5241&amp;G5241)</f>
        <v/>
      </c>
      <c r="I5241">
        <f>IF(A5241="","",IF(AND(E5241&gt;=4,F5241&gt;=4,G5241&gt;=4),"Juara",IF(AND(F5241&gt;=4,E5241&gt;=3),"Setia",IF(AND(E5241=5,F5241&lt;=2,G5241&gt;=3),"Berpotensi",IF(AND(E5241&lt;=3,E5241&gt;=2,F5241&gt;=3),"Rawan",IF(AND(E5241&lt;=2,F5241&lt;=2),"Tidur","Umum"))))))</f>
        <v/>
      </c>
    </row>
    <row r="5242">
      <c r="B5242">
        <f>IF(A5242="","",$B$1-MAXIFS(Donasi!$A$2:$A$20000,Donasi!$B$2:$B$20000,A5242))</f>
        <v/>
      </c>
      <c r="C5242">
        <f>IF(A5242="","",COUNTIF(Donasi!$B$2:$B$20000,A5242))</f>
        <v/>
      </c>
      <c r="D5242">
        <f>IF(A5242="","",SUMIF(Donasi!$B$2:$B$20000,A5242,Donasi!$C$2:$C$20000))</f>
        <v/>
      </c>
      <c r="E5242">
        <f>IF(A5242="","",6-CEILING(PERCENTRANK.INC($B$3:$B$6000,B5242,4)*5+0.000001,1))</f>
        <v/>
      </c>
      <c r="F5242">
        <f>IF(A5242="","",MAX(1,CEILING(PERCENTRANK.INC($C$3:$C$6000,C5242,4)*5+0.000001,1)))</f>
        <v/>
      </c>
      <c r="G5242">
        <f>IF(A5242="","",MAX(1,CEILING(PERCENTRANK.INC($D$3:$D$6000,D5242,4)*5+0.000001,1)))</f>
        <v/>
      </c>
      <c r="H5242">
        <f>IF(A5242="","",E5242&amp;F5242&amp;G5242)</f>
        <v/>
      </c>
      <c r="I5242">
        <f>IF(A5242="","",IF(AND(E5242&gt;=4,F5242&gt;=4,G5242&gt;=4),"Juara",IF(AND(F5242&gt;=4,E5242&gt;=3),"Setia",IF(AND(E5242=5,F5242&lt;=2,G5242&gt;=3),"Berpotensi",IF(AND(E5242&lt;=3,E5242&gt;=2,F5242&gt;=3),"Rawan",IF(AND(E5242&lt;=2,F5242&lt;=2),"Tidur","Umum"))))))</f>
        <v/>
      </c>
    </row>
    <row r="5243">
      <c r="B5243">
        <f>IF(A5243="","",$B$1-MAXIFS(Donasi!$A$2:$A$20000,Donasi!$B$2:$B$20000,A5243))</f>
        <v/>
      </c>
      <c r="C5243">
        <f>IF(A5243="","",COUNTIF(Donasi!$B$2:$B$20000,A5243))</f>
        <v/>
      </c>
      <c r="D5243">
        <f>IF(A5243="","",SUMIF(Donasi!$B$2:$B$20000,A5243,Donasi!$C$2:$C$20000))</f>
        <v/>
      </c>
      <c r="E5243">
        <f>IF(A5243="","",6-CEILING(PERCENTRANK.INC($B$3:$B$6000,B5243,4)*5+0.000001,1))</f>
        <v/>
      </c>
      <c r="F5243">
        <f>IF(A5243="","",MAX(1,CEILING(PERCENTRANK.INC($C$3:$C$6000,C5243,4)*5+0.000001,1)))</f>
        <v/>
      </c>
      <c r="G5243">
        <f>IF(A5243="","",MAX(1,CEILING(PERCENTRANK.INC($D$3:$D$6000,D5243,4)*5+0.000001,1)))</f>
        <v/>
      </c>
      <c r="H5243">
        <f>IF(A5243="","",E5243&amp;F5243&amp;G5243)</f>
        <v/>
      </c>
      <c r="I5243">
        <f>IF(A5243="","",IF(AND(E5243&gt;=4,F5243&gt;=4,G5243&gt;=4),"Juara",IF(AND(F5243&gt;=4,E5243&gt;=3),"Setia",IF(AND(E5243=5,F5243&lt;=2,G5243&gt;=3),"Berpotensi",IF(AND(E5243&lt;=3,E5243&gt;=2,F5243&gt;=3),"Rawan",IF(AND(E5243&lt;=2,F5243&lt;=2),"Tidur","Umum"))))))</f>
        <v/>
      </c>
    </row>
    <row r="5244">
      <c r="B5244">
        <f>IF(A5244="","",$B$1-MAXIFS(Donasi!$A$2:$A$20000,Donasi!$B$2:$B$20000,A5244))</f>
        <v/>
      </c>
      <c r="C5244">
        <f>IF(A5244="","",COUNTIF(Donasi!$B$2:$B$20000,A5244))</f>
        <v/>
      </c>
      <c r="D5244">
        <f>IF(A5244="","",SUMIF(Donasi!$B$2:$B$20000,A5244,Donasi!$C$2:$C$20000))</f>
        <v/>
      </c>
      <c r="E5244">
        <f>IF(A5244="","",6-CEILING(PERCENTRANK.INC($B$3:$B$6000,B5244,4)*5+0.000001,1))</f>
        <v/>
      </c>
      <c r="F5244">
        <f>IF(A5244="","",MAX(1,CEILING(PERCENTRANK.INC($C$3:$C$6000,C5244,4)*5+0.000001,1)))</f>
        <v/>
      </c>
      <c r="G5244">
        <f>IF(A5244="","",MAX(1,CEILING(PERCENTRANK.INC($D$3:$D$6000,D5244,4)*5+0.000001,1)))</f>
        <v/>
      </c>
      <c r="H5244">
        <f>IF(A5244="","",E5244&amp;F5244&amp;G5244)</f>
        <v/>
      </c>
      <c r="I5244">
        <f>IF(A5244="","",IF(AND(E5244&gt;=4,F5244&gt;=4,G5244&gt;=4),"Juara",IF(AND(F5244&gt;=4,E5244&gt;=3),"Setia",IF(AND(E5244=5,F5244&lt;=2,G5244&gt;=3),"Berpotensi",IF(AND(E5244&lt;=3,E5244&gt;=2,F5244&gt;=3),"Rawan",IF(AND(E5244&lt;=2,F5244&lt;=2),"Tidur","Umum"))))))</f>
        <v/>
      </c>
    </row>
    <row r="5245">
      <c r="B5245">
        <f>IF(A5245="","",$B$1-MAXIFS(Donasi!$A$2:$A$20000,Donasi!$B$2:$B$20000,A5245))</f>
        <v/>
      </c>
      <c r="C5245">
        <f>IF(A5245="","",COUNTIF(Donasi!$B$2:$B$20000,A5245))</f>
        <v/>
      </c>
      <c r="D5245">
        <f>IF(A5245="","",SUMIF(Donasi!$B$2:$B$20000,A5245,Donasi!$C$2:$C$20000))</f>
        <v/>
      </c>
      <c r="E5245">
        <f>IF(A5245="","",6-CEILING(PERCENTRANK.INC($B$3:$B$6000,B5245,4)*5+0.000001,1))</f>
        <v/>
      </c>
      <c r="F5245">
        <f>IF(A5245="","",MAX(1,CEILING(PERCENTRANK.INC($C$3:$C$6000,C5245,4)*5+0.000001,1)))</f>
        <v/>
      </c>
      <c r="G5245">
        <f>IF(A5245="","",MAX(1,CEILING(PERCENTRANK.INC($D$3:$D$6000,D5245,4)*5+0.000001,1)))</f>
        <v/>
      </c>
      <c r="H5245">
        <f>IF(A5245="","",E5245&amp;F5245&amp;G5245)</f>
        <v/>
      </c>
      <c r="I5245">
        <f>IF(A5245="","",IF(AND(E5245&gt;=4,F5245&gt;=4,G5245&gt;=4),"Juara",IF(AND(F5245&gt;=4,E5245&gt;=3),"Setia",IF(AND(E5245=5,F5245&lt;=2,G5245&gt;=3),"Berpotensi",IF(AND(E5245&lt;=3,E5245&gt;=2,F5245&gt;=3),"Rawan",IF(AND(E5245&lt;=2,F5245&lt;=2),"Tidur","Umum"))))))</f>
        <v/>
      </c>
    </row>
    <row r="5246">
      <c r="B5246">
        <f>IF(A5246="","",$B$1-MAXIFS(Donasi!$A$2:$A$20000,Donasi!$B$2:$B$20000,A5246))</f>
        <v/>
      </c>
      <c r="C5246">
        <f>IF(A5246="","",COUNTIF(Donasi!$B$2:$B$20000,A5246))</f>
        <v/>
      </c>
      <c r="D5246">
        <f>IF(A5246="","",SUMIF(Donasi!$B$2:$B$20000,A5246,Donasi!$C$2:$C$20000))</f>
        <v/>
      </c>
      <c r="E5246">
        <f>IF(A5246="","",6-CEILING(PERCENTRANK.INC($B$3:$B$6000,B5246,4)*5+0.000001,1))</f>
        <v/>
      </c>
      <c r="F5246">
        <f>IF(A5246="","",MAX(1,CEILING(PERCENTRANK.INC($C$3:$C$6000,C5246,4)*5+0.000001,1)))</f>
        <v/>
      </c>
      <c r="G5246">
        <f>IF(A5246="","",MAX(1,CEILING(PERCENTRANK.INC($D$3:$D$6000,D5246,4)*5+0.000001,1)))</f>
        <v/>
      </c>
      <c r="H5246">
        <f>IF(A5246="","",E5246&amp;F5246&amp;G5246)</f>
        <v/>
      </c>
      <c r="I5246">
        <f>IF(A5246="","",IF(AND(E5246&gt;=4,F5246&gt;=4,G5246&gt;=4),"Juara",IF(AND(F5246&gt;=4,E5246&gt;=3),"Setia",IF(AND(E5246=5,F5246&lt;=2,G5246&gt;=3),"Berpotensi",IF(AND(E5246&lt;=3,E5246&gt;=2,F5246&gt;=3),"Rawan",IF(AND(E5246&lt;=2,F5246&lt;=2),"Tidur","Umum"))))))</f>
        <v/>
      </c>
    </row>
    <row r="5247">
      <c r="B5247">
        <f>IF(A5247="","",$B$1-MAXIFS(Donasi!$A$2:$A$20000,Donasi!$B$2:$B$20000,A5247))</f>
        <v/>
      </c>
      <c r="C5247">
        <f>IF(A5247="","",COUNTIF(Donasi!$B$2:$B$20000,A5247))</f>
        <v/>
      </c>
      <c r="D5247">
        <f>IF(A5247="","",SUMIF(Donasi!$B$2:$B$20000,A5247,Donasi!$C$2:$C$20000))</f>
        <v/>
      </c>
      <c r="E5247">
        <f>IF(A5247="","",6-CEILING(PERCENTRANK.INC($B$3:$B$6000,B5247,4)*5+0.000001,1))</f>
        <v/>
      </c>
      <c r="F5247">
        <f>IF(A5247="","",MAX(1,CEILING(PERCENTRANK.INC($C$3:$C$6000,C5247,4)*5+0.000001,1)))</f>
        <v/>
      </c>
      <c r="G5247">
        <f>IF(A5247="","",MAX(1,CEILING(PERCENTRANK.INC($D$3:$D$6000,D5247,4)*5+0.000001,1)))</f>
        <v/>
      </c>
      <c r="H5247">
        <f>IF(A5247="","",E5247&amp;F5247&amp;G5247)</f>
        <v/>
      </c>
      <c r="I5247">
        <f>IF(A5247="","",IF(AND(E5247&gt;=4,F5247&gt;=4,G5247&gt;=4),"Juara",IF(AND(F5247&gt;=4,E5247&gt;=3),"Setia",IF(AND(E5247=5,F5247&lt;=2,G5247&gt;=3),"Berpotensi",IF(AND(E5247&lt;=3,E5247&gt;=2,F5247&gt;=3),"Rawan",IF(AND(E5247&lt;=2,F5247&lt;=2),"Tidur","Umum"))))))</f>
        <v/>
      </c>
    </row>
    <row r="5248">
      <c r="B5248">
        <f>IF(A5248="","",$B$1-MAXIFS(Donasi!$A$2:$A$20000,Donasi!$B$2:$B$20000,A5248))</f>
        <v/>
      </c>
      <c r="C5248">
        <f>IF(A5248="","",COUNTIF(Donasi!$B$2:$B$20000,A5248))</f>
        <v/>
      </c>
      <c r="D5248">
        <f>IF(A5248="","",SUMIF(Donasi!$B$2:$B$20000,A5248,Donasi!$C$2:$C$20000))</f>
        <v/>
      </c>
      <c r="E5248">
        <f>IF(A5248="","",6-CEILING(PERCENTRANK.INC($B$3:$B$6000,B5248,4)*5+0.000001,1))</f>
        <v/>
      </c>
      <c r="F5248">
        <f>IF(A5248="","",MAX(1,CEILING(PERCENTRANK.INC($C$3:$C$6000,C5248,4)*5+0.000001,1)))</f>
        <v/>
      </c>
      <c r="G5248">
        <f>IF(A5248="","",MAX(1,CEILING(PERCENTRANK.INC($D$3:$D$6000,D5248,4)*5+0.000001,1)))</f>
        <v/>
      </c>
      <c r="H5248">
        <f>IF(A5248="","",E5248&amp;F5248&amp;G5248)</f>
        <v/>
      </c>
      <c r="I5248">
        <f>IF(A5248="","",IF(AND(E5248&gt;=4,F5248&gt;=4,G5248&gt;=4),"Juara",IF(AND(F5248&gt;=4,E5248&gt;=3),"Setia",IF(AND(E5248=5,F5248&lt;=2,G5248&gt;=3),"Berpotensi",IF(AND(E5248&lt;=3,E5248&gt;=2,F5248&gt;=3),"Rawan",IF(AND(E5248&lt;=2,F5248&lt;=2),"Tidur","Umum"))))))</f>
        <v/>
      </c>
    </row>
    <row r="5249">
      <c r="B5249">
        <f>IF(A5249="","",$B$1-MAXIFS(Donasi!$A$2:$A$20000,Donasi!$B$2:$B$20000,A5249))</f>
        <v/>
      </c>
      <c r="C5249">
        <f>IF(A5249="","",COUNTIF(Donasi!$B$2:$B$20000,A5249))</f>
        <v/>
      </c>
      <c r="D5249">
        <f>IF(A5249="","",SUMIF(Donasi!$B$2:$B$20000,A5249,Donasi!$C$2:$C$20000))</f>
        <v/>
      </c>
      <c r="E5249">
        <f>IF(A5249="","",6-CEILING(PERCENTRANK.INC($B$3:$B$6000,B5249,4)*5+0.000001,1))</f>
        <v/>
      </c>
      <c r="F5249">
        <f>IF(A5249="","",MAX(1,CEILING(PERCENTRANK.INC($C$3:$C$6000,C5249,4)*5+0.000001,1)))</f>
        <v/>
      </c>
      <c r="G5249">
        <f>IF(A5249="","",MAX(1,CEILING(PERCENTRANK.INC($D$3:$D$6000,D5249,4)*5+0.000001,1)))</f>
        <v/>
      </c>
      <c r="H5249">
        <f>IF(A5249="","",E5249&amp;F5249&amp;G5249)</f>
        <v/>
      </c>
      <c r="I5249">
        <f>IF(A5249="","",IF(AND(E5249&gt;=4,F5249&gt;=4,G5249&gt;=4),"Juara",IF(AND(F5249&gt;=4,E5249&gt;=3),"Setia",IF(AND(E5249=5,F5249&lt;=2,G5249&gt;=3),"Berpotensi",IF(AND(E5249&lt;=3,E5249&gt;=2,F5249&gt;=3),"Rawan",IF(AND(E5249&lt;=2,F5249&lt;=2),"Tidur","Umum"))))))</f>
        <v/>
      </c>
    </row>
    <row r="5250">
      <c r="B5250">
        <f>IF(A5250="","",$B$1-MAXIFS(Donasi!$A$2:$A$20000,Donasi!$B$2:$B$20000,A5250))</f>
        <v/>
      </c>
      <c r="C5250">
        <f>IF(A5250="","",COUNTIF(Donasi!$B$2:$B$20000,A5250))</f>
        <v/>
      </c>
      <c r="D5250">
        <f>IF(A5250="","",SUMIF(Donasi!$B$2:$B$20000,A5250,Donasi!$C$2:$C$20000))</f>
        <v/>
      </c>
      <c r="E5250">
        <f>IF(A5250="","",6-CEILING(PERCENTRANK.INC($B$3:$B$6000,B5250,4)*5+0.000001,1))</f>
        <v/>
      </c>
      <c r="F5250">
        <f>IF(A5250="","",MAX(1,CEILING(PERCENTRANK.INC($C$3:$C$6000,C5250,4)*5+0.000001,1)))</f>
        <v/>
      </c>
      <c r="G5250">
        <f>IF(A5250="","",MAX(1,CEILING(PERCENTRANK.INC($D$3:$D$6000,D5250,4)*5+0.000001,1)))</f>
        <v/>
      </c>
      <c r="H5250">
        <f>IF(A5250="","",E5250&amp;F5250&amp;G5250)</f>
        <v/>
      </c>
      <c r="I5250">
        <f>IF(A5250="","",IF(AND(E5250&gt;=4,F5250&gt;=4,G5250&gt;=4),"Juara",IF(AND(F5250&gt;=4,E5250&gt;=3),"Setia",IF(AND(E5250=5,F5250&lt;=2,G5250&gt;=3),"Berpotensi",IF(AND(E5250&lt;=3,E5250&gt;=2,F5250&gt;=3),"Rawan",IF(AND(E5250&lt;=2,F5250&lt;=2),"Tidur","Umum"))))))</f>
        <v/>
      </c>
    </row>
    <row r="5251">
      <c r="B5251">
        <f>IF(A5251="","",$B$1-MAXIFS(Donasi!$A$2:$A$20000,Donasi!$B$2:$B$20000,A5251))</f>
        <v/>
      </c>
      <c r="C5251">
        <f>IF(A5251="","",COUNTIF(Donasi!$B$2:$B$20000,A5251))</f>
        <v/>
      </c>
      <c r="D5251">
        <f>IF(A5251="","",SUMIF(Donasi!$B$2:$B$20000,A5251,Donasi!$C$2:$C$20000))</f>
        <v/>
      </c>
      <c r="E5251">
        <f>IF(A5251="","",6-CEILING(PERCENTRANK.INC($B$3:$B$6000,B5251,4)*5+0.000001,1))</f>
        <v/>
      </c>
      <c r="F5251">
        <f>IF(A5251="","",MAX(1,CEILING(PERCENTRANK.INC($C$3:$C$6000,C5251,4)*5+0.000001,1)))</f>
        <v/>
      </c>
      <c r="G5251">
        <f>IF(A5251="","",MAX(1,CEILING(PERCENTRANK.INC($D$3:$D$6000,D5251,4)*5+0.000001,1)))</f>
        <v/>
      </c>
      <c r="H5251">
        <f>IF(A5251="","",E5251&amp;F5251&amp;G5251)</f>
        <v/>
      </c>
      <c r="I5251">
        <f>IF(A5251="","",IF(AND(E5251&gt;=4,F5251&gt;=4,G5251&gt;=4),"Juara",IF(AND(F5251&gt;=4,E5251&gt;=3),"Setia",IF(AND(E5251=5,F5251&lt;=2,G5251&gt;=3),"Berpotensi",IF(AND(E5251&lt;=3,E5251&gt;=2,F5251&gt;=3),"Rawan",IF(AND(E5251&lt;=2,F5251&lt;=2),"Tidur","Umum"))))))</f>
        <v/>
      </c>
    </row>
    <row r="5252">
      <c r="B5252">
        <f>IF(A5252="","",$B$1-MAXIFS(Donasi!$A$2:$A$20000,Donasi!$B$2:$B$20000,A5252))</f>
        <v/>
      </c>
      <c r="C5252">
        <f>IF(A5252="","",COUNTIF(Donasi!$B$2:$B$20000,A5252))</f>
        <v/>
      </c>
      <c r="D5252">
        <f>IF(A5252="","",SUMIF(Donasi!$B$2:$B$20000,A5252,Donasi!$C$2:$C$20000))</f>
        <v/>
      </c>
      <c r="E5252">
        <f>IF(A5252="","",6-CEILING(PERCENTRANK.INC($B$3:$B$6000,B5252,4)*5+0.000001,1))</f>
        <v/>
      </c>
      <c r="F5252">
        <f>IF(A5252="","",MAX(1,CEILING(PERCENTRANK.INC($C$3:$C$6000,C5252,4)*5+0.000001,1)))</f>
        <v/>
      </c>
      <c r="G5252">
        <f>IF(A5252="","",MAX(1,CEILING(PERCENTRANK.INC($D$3:$D$6000,D5252,4)*5+0.000001,1)))</f>
        <v/>
      </c>
      <c r="H5252">
        <f>IF(A5252="","",E5252&amp;F5252&amp;G5252)</f>
        <v/>
      </c>
      <c r="I5252">
        <f>IF(A5252="","",IF(AND(E5252&gt;=4,F5252&gt;=4,G5252&gt;=4),"Juara",IF(AND(F5252&gt;=4,E5252&gt;=3),"Setia",IF(AND(E5252=5,F5252&lt;=2,G5252&gt;=3),"Berpotensi",IF(AND(E5252&lt;=3,E5252&gt;=2,F5252&gt;=3),"Rawan",IF(AND(E5252&lt;=2,F5252&lt;=2),"Tidur","Umum"))))))</f>
        <v/>
      </c>
    </row>
    <row r="5253">
      <c r="B5253">
        <f>IF(A5253="","",$B$1-MAXIFS(Donasi!$A$2:$A$20000,Donasi!$B$2:$B$20000,A5253))</f>
        <v/>
      </c>
      <c r="C5253">
        <f>IF(A5253="","",COUNTIF(Donasi!$B$2:$B$20000,A5253))</f>
        <v/>
      </c>
      <c r="D5253">
        <f>IF(A5253="","",SUMIF(Donasi!$B$2:$B$20000,A5253,Donasi!$C$2:$C$20000))</f>
        <v/>
      </c>
      <c r="E5253">
        <f>IF(A5253="","",6-CEILING(PERCENTRANK.INC($B$3:$B$6000,B5253,4)*5+0.000001,1))</f>
        <v/>
      </c>
      <c r="F5253">
        <f>IF(A5253="","",MAX(1,CEILING(PERCENTRANK.INC($C$3:$C$6000,C5253,4)*5+0.000001,1)))</f>
        <v/>
      </c>
      <c r="G5253">
        <f>IF(A5253="","",MAX(1,CEILING(PERCENTRANK.INC($D$3:$D$6000,D5253,4)*5+0.000001,1)))</f>
        <v/>
      </c>
      <c r="H5253">
        <f>IF(A5253="","",E5253&amp;F5253&amp;G5253)</f>
        <v/>
      </c>
      <c r="I5253">
        <f>IF(A5253="","",IF(AND(E5253&gt;=4,F5253&gt;=4,G5253&gt;=4),"Juara",IF(AND(F5253&gt;=4,E5253&gt;=3),"Setia",IF(AND(E5253=5,F5253&lt;=2,G5253&gt;=3),"Berpotensi",IF(AND(E5253&lt;=3,E5253&gt;=2,F5253&gt;=3),"Rawan",IF(AND(E5253&lt;=2,F5253&lt;=2),"Tidur","Umum"))))))</f>
        <v/>
      </c>
    </row>
    <row r="5254">
      <c r="B5254">
        <f>IF(A5254="","",$B$1-MAXIFS(Donasi!$A$2:$A$20000,Donasi!$B$2:$B$20000,A5254))</f>
        <v/>
      </c>
      <c r="C5254">
        <f>IF(A5254="","",COUNTIF(Donasi!$B$2:$B$20000,A5254))</f>
        <v/>
      </c>
      <c r="D5254">
        <f>IF(A5254="","",SUMIF(Donasi!$B$2:$B$20000,A5254,Donasi!$C$2:$C$20000))</f>
        <v/>
      </c>
      <c r="E5254">
        <f>IF(A5254="","",6-CEILING(PERCENTRANK.INC($B$3:$B$6000,B5254,4)*5+0.000001,1))</f>
        <v/>
      </c>
      <c r="F5254">
        <f>IF(A5254="","",MAX(1,CEILING(PERCENTRANK.INC($C$3:$C$6000,C5254,4)*5+0.000001,1)))</f>
        <v/>
      </c>
      <c r="G5254">
        <f>IF(A5254="","",MAX(1,CEILING(PERCENTRANK.INC($D$3:$D$6000,D5254,4)*5+0.000001,1)))</f>
        <v/>
      </c>
      <c r="H5254">
        <f>IF(A5254="","",E5254&amp;F5254&amp;G5254)</f>
        <v/>
      </c>
      <c r="I5254">
        <f>IF(A5254="","",IF(AND(E5254&gt;=4,F5254&gt;=4,G5254&gt;=4),"Juara",IF(AND(F5254&gt;=4,E5254&gt;=3),"Setia",IF(AND(E5254=5,F5254&lt;=2,G5254&gt;=3),"Berpotensi",IF(AND(E5254&lt;=3,E5254&gt;=2,F5254&gt;=3),"Rawan",IF(AND(E5254&lt;=2,F5254&lt;=2),"Tidur","Umum"))))))</f>
        <v/>
      </c>
    </row>
    <row r="5255">
      <c r="B5255">
        <f>IF(A5255="","",$B$1-MAXIFS(Donasi!$A$2:$A$20000,Donasi!$B$2:$B$20000,A5255))</f>
        <v/>
      </c>
      <c r="C5255">
        <f>IF(A5255="","",COUNTIF(Donasi!$B$2:$B$20000,A5255))</f>
        <v/>
      </c>
      <c r="D5255">
        <f>IF(A5255="","",SUMIF(Donasi!$B$2:$B$20000,A5255,Donasi!$C$2:$C$20000))</f>
        <v/>
      </c>
      <c r="E5255">
        <f>IF(A5255="","",6-CEILING(PERCENTRANK.INC($B$3:$B$6000,B5255,4)*5+0.000001,1))</f>
        <v/>
      </c>
      <c r="F5255">
        <f>IF(A5255="","",MAX(1,CEILING(PERCENTRANK.INC($C$3:$C$6000,C5255,4)*5+0.000001,1)))</f>
        <v/>
      </c>
      <c r="G5255">
        <f>IF(A5255="","",MAX(1,CEILING(PERCENTRANK.INC($D$3:$D$6000,D5255,4)*5+0.000001,1)))</f>
        <v/>
      </c>
      <c r="H5255">
        <f>IF(A5255="","",E5255&amp;F5255&amp;G5255)</f>
        <v/>
      </c>
      <c r="I5255">
        <f>IF(A5255="","",IF(AND(E5255&gt;=4,F5255&gt;=4,G5255&gt;=4),"Juara",IF(AND(F5255&gt;=4,E5255&gt;=3),"Setia",IF(AND(E5255=5,F5255&lt;=2,G5255&gt;=3),"Berpotensi",IF(AND(E5255&lt;=3,E5255&gt;=2,F5255&gt;=3),"Rawan",IF(AND(E5255&lt;=2,F5255&lt;=2),"Tidur","Umum"))))))</f>
        <v/>
      </c>
    </row>
    <row r="5256">
      <c r="B5256">
        <f>IF(A5256="","",$B$1-MAXIFS(Donasi!$A$2:$A$20000,Donasi!$B$2:$B$20000,A5256))</f>
        <v/>
      </c>
      <c r="C5256">
        <f>IF(A5256="","",COUNTIF(Donasi!$B$2:$B$20000,A5256))</f>
        <v/>
      </c>
      <c r="D5256">
        <f>IF(A5256="","",SUMIF(Donasi!$B$2:$B$20000,A5256,Donasi!$C$2:$C$20000))</f>
        <v/>
      </c>
      <c r="E5256">
        <f>IF(A5256="","",6-CEILING(PERCENTRANK.INC($B$3:$B$6000,B5256,4)*5+0.000001,1))</f>
        <v/>
      </c>
      <c r="F5256">
        <f>IF(A5256="","",MAX(1,CEILING(PERCENTRANK.INC($C$3:$C$6000,C5256,4)*5+0.000001,1)))</f>
        <v/>
      </c>
      <c r="G5256">
        <f>IF(A5256="","",MAX(1,CEILING(PERCENTRANK.INC($D$3:$D$6000,D5256,4)*5+0.000001,1)))</f>
        <v/>
      </c>
      <c r="H5256">
        <f>IF(A5256="","",E5256&amp;F5256&amp;G5256)</f>
        <v/>
      </c>
      <c r="I5256">
        <f>IF(A5256="","",IF(AND(E5256&gt;=4,F5256&gt;=4,G5256&gt;=4),"Juara",IF(AND(F5256&gt;=4,E5256&gt;=3),"Setia",IF(AND(E5256=5,F5256&lt;=2,G5256&gt;=3),"Berpotensi",IF(AND(E5256&lt;=3,E5256&gt;=2,F5256&gt;=3),"Rawan",IF(AND(E5256&lt;=2,F5256&lt;=2),"Tidur","Umum"))))))</f>
        <v/>
      </c>
    </row>
    <row r="5257">
      <c r="B5257">
        <f>IF(A5257="","",$B$1-MAXIFS(Donasi!$A$2:$A$20000,Donasi!$B$2:$B$20000,A5257))</f>
        <v/>
      </c>
      <c r="C5257">
        <f>IF(A5257="","",COUNTIF(Donasi!$B$2:$B$20000,A5257))</f>
        <v/>
      </c>
      <c r="D5257">
        <f>IF(A5257="","",SUMIF(Donasi!$B$2:$B$20000,A5257,Donasi!$C$2:$C$20000))</f>
        <v/>
      </c>
      <c r="E5257">
        <f>IF(A5257="","",6-CEILING(PERCENTRANK.INC($B$3:$B$6000,B5257,4)*5+0.000001,1))</f>
        <v/>
      </c>
      <c r="F5257">
        <f>IF(A5257="","",MAX(1,CEILING(PERCENTRANK.INC($C$3:$C$6000,C5257,4)*5+0.000001,1)))</f>
        <v/>
      </c>
      <c r="G5257">
        <f>IF(A5257="","",MAX(1,CEILING(PERCENTRANK.INC($D$3:$D$6000,D5257,4)*5+0.000001,1)))</f>
        <v/>
      </c>
      <c r="H5257">
        <f>IF(A5257="","",E5257&amp;F5257&amp;G5257)</f>
        <v/>
      </c>
      <c r="I5257">
        <f>IF(A5257="","",IF(AND(E5257&gt;=4,F5257&gt;=4,G5257&gt;=4),"Juara",IF(AND(F5257&gt;=4,E5257&gt;=3),"Setia",IF(AND(E5257=5,F5257&lt;=2,G5257&gt;=3),"Berpotensi",IF(AND(E5257&lt;=3,E5257&gt;=2,F5257&gt;=3),"Rawan",IF(AND(E5257&lt;=2,F5257&lt;=2),"Tidur","Umum"))))))</f>
        <v/>
      </c>
    </row>
    <row r="5258">
      <c r="B5258">
        <f>IF(A5258="","",$B$1-MAXIFS(Donasi!$A$2:$A$20000,Donasi!$B$2:$B$20000,A5258))</f>
        <v/>
      </c>
      <c r="C5258">
        <f>IF(A5258="","",COUNTIF(Donasi!$B$2:$B$20000,A5258))</f>
        <v/>
      </c>
      <c r="D5258">
        <f>IF(A5258="","",SUMIF(Donasi!$B$2:$B$20000,A5258,Donasi!$C$2:$C$20000))</f>
        <v/>
      </c>
      <c r="E5258">
        <f>IF(A5258="","",6-CEILING(PERCENTRANK.INC($B$3:$B$6000,B5258,4)*5+0.000001,1))</f>
        <v/>
      </c>
      <c r="F5258">
        <f>IF(A5258="","",MAX(1,CEILING(PERCENTRANK.INC($C$3:$C$6000,C5258,4)*5+0.000001,1)))</f>
        <v/>
      </c>
      <c r="G5258">
        <f>IF(A5258="","",MAX(1,CEILING(PERCENTRANK.INC($D$3:$D$6000,D5258,4)*5+0.000001,1)))</f>
        <v/>
      </c>
      <c r="H5258">
        <f>IF(A5258="","",E5258&amp;F5258&amp;G5258)</f>
        <v/>
      </c>
      <c r="I5258">
        <f>IF(A5258="","",IF(AND(E5258&gt;=4,F5258&gt;=4,G5258&gt;=4),"Juara",IF(AND(F5258&gt;=4,E5258&gt;=3),"Setia",IF(AND(E5258=5,F5258&lt;=2,G5258&gt;=3),"Berpotensi",IF(AND(E5258&lt;=3,E5258&gt;=2,F5258&gt;=3),"Rawan",IF(AND(E5258&lt;=2,F5258&lt;=2),"Tidur","Umum"))))))</f>
        <v/>
      </c>
    </row>
    <row r="5259">
      <c r="B5259">
        <f>IF(A5259="","",$B$1-MAXIFS(Donasi!$A$2:$A$20000,Donasi!$B$2:$B$20000,A5259))</f>
        <v/>
      </c>
      <c r="C5259">
        <f>IF(A5259="","",COUNTIF(Donasi!$B$2:$B$20000,A5259))</f>
        <v/>
      </c>
      <c r="D5259">
        <f>IF(A5259="","",SUMIF(Donasi!$B$2:$B$20000,A5259,Donasi!$C$2:$C$20000))</f>
        <v/>
      </c>
      <c r="E5259">
        <f>IF(A5259="","",6-CEILING(PERCENTRANK.INC($B$3:$B$6000,B5259,4)*5+0.000001,1))</f>
        <v/>
      </c>
      <c r="F5259">
        <f>IF(A5259="","",MAX(1,CEILING(PERCENTRANK.INC($C$3:$C$6000,C5259,4)*5+0.000001,1)))</f>
        <v/>
      </c>
      <c r="G5259">
        <f>IF(A5259="","",MAX(1,CEILING(PERCENTRANK.INC($D$3:$D$6000,D5259,4)*5+0.000001,1)))</f>
        <v/>
      </c>
      <c r="H5259">
        <f>IF(A5259="","",E5259&amp;F5259&amp;G5259)</f>
        <v/>
      </c>
      <c r="I5259">
        <f>IF(A5259="","",IF(AND(E5259&gt;=4,F5259&gt;=4,G5259&gt;=4),"Juara",IF(AND(F5259&gt;=4,E5259&gt;=3),"Setia",IF(AND(E5259=5,F5259&lt;=2,G5259&gt;=3),"Berpotensi",IF(AND(E5259&lt;=3,E5259&gt;=2,F5259&gt;=3),"Rawan",IF(AND(E5259&lt;=2,F5259&lt;=2),"Tidur","Umum"))))))</f>
        <v/>
      </c>
    </row>
    <row r="5260">
      <c r="B5260">
        <f>IF(A5260="","",$B$1-MAXIFS(Donasi!$A$2:$A$20000,Donasi!$B$2:$B$20000,A5260))</f>
        <v/>
      </c>
      <c r="C5260">
        <f>IF(A5260="","",COUNTIF(Donasi!$B$2:$B$20000,A5260))</f>
        <v/>
      </c>
      <c r="D5260">
        <f>IF(A5260="","",SUMIF(Donasi!$B$2:$B$20000,A5260,Donasi!$C$2:$C$20000))</f>
        <v/>
      </c>
      <c r="E5260">
        <f>IF(A5260="","",6-CEILING(PERCENTRANK.INC($B$3:$B$6000,B5260,4)*5+0.000001,1))</f>
        <v/>
      </c>
      <c r="F5260">
        <f>IF(A5260="","",MAX(1,CEILING(PERCENTRANK.INC($C$3:$C$6000,C5260,4)*5+0.000001,1)))</f>
        <v/>
      </c>
      <c r="G5260">
        <f>IF(A5260="","",MAX(1,CEILING(PERCENTRANK.INC($D$3:$D$6000,D5260,4)*5+0.000001,1)))</f>
        <v/>
      </c>
      <c r="H5260">
        <f>IF(A5260="","",E5260&amp;F5260&amp;G5260)</f>
        <v/>
      </c>
      <c r="I5260">
        <f>IF(A5260="","",IF(AND(E5260&gt;=4,F5260&gt;=4,G5260&gt;=4),"Juara",IF(AND(F5260&gt;=4,E5260&gt;=3),"Setia",IF(AND(E5260=5,F5260&lt;=2,G5260&gt;=3),"Berpotensi",IF(AND(E5260&lt;=3,E5260&gt;=2,F5260&gt;=3),"Rawan",IF(AND(E5260&lt;=2,F5260&lt;=2),"Tidur","Umum"))))))</f>
        <v/>
      </c>
    </row>
    <row r="5261">
      <c r="B5261">
        <f>IF(A5261="","",$B$1-MAXIFS(Donasi!$A$2:$A$20000,Donasi!$B$2:$B$20000,A5261))</f>
        <v/>
      </c>
      <c r="C5261">
        <f>IF(A5261="","",COUNTIF(Donasi!$B$2:$B$20000,A5261))</f>
        <v/>
      </c>
      <c r="D5261">
        <f>IF(A5261="","",SUMIF(Donasi!$B$2:$B$20000,A5261,Donasi!$C$2:$C$20000))</f>
        <v/>
      </c>
      <c r="E5261">
        <f>IF(A5261="","",6-CEILING(PERCENTRANK.INC($B$3:$B$6000,B5261,4)*5+0.000001,1))</f>
        <v/>
      </c>
      <c r="F5261">
        <f>IF(A5261="","",MAX(1,CEILING(PERCENTRANK.INC($C$3:$C$6000,C5261,4)*5+0.000001,1)))</f>
        <v/>
      </c>
      <c r="G5261">
        <f>IF(A5261="","",MAX(1,CEILING(PERCENTRANK.INC($D$3:$D$6000,D5261,4)*5+0.000001,1)))</f>
        <v/>
      </c>
      <c r="H5261">
        <f>IF(A5261="","",E5261&amp;F5261&amp;G5261)</f>
        <v/>
      </c>
      <c r="I5261">
        <f>IF(A5261="","",IF(AND(E5261&gt;=4,F5261&gt;=4,G5261&gt;=4),"Juara",IF(AND(F5261&gt;=4,E5261&gt;=3),"Setia",IF(AND(E5261=5,F5261&lt;=2,G5261&gt;=3),"Berpotensi",IF(AND(E5261&lt;=3,E5261&gt;=2,F5261&gt;=3),"Rawan",IF(AND(E5261&lt;=2,F5261&lt;=2),"Tidur","Umum"))))))</f>
        <v/>
      </c>
    </row>
    <row r="5262">
      <c r="B5262">
        <f>IF(A5262="","",$B$1-MAXIFS(Donasi!$A$2:$A$20000,Donasi!$B$2:$B$20000,A5262))</f>
        <v/>
      </c>
      <c r="C5262">
        <f>IF(A5262="","",COUNTIF(Donasi!$B$2:$B$20000,A5262))</f>
        <v/>
      </c>
      <c r="D5262">
        <f>IF(A5262="","",SUMIF(Donasi!$B$2:$B$20000,A5262,Donasi!$C$2:$C$20000))</f>
        <v/>
      </c>
      <c r="E5262">
        <f>IF(A5262="","",6-CEILING(PERCENTRANK.INC($B$3:$B$6000,B5262,4)*5+0.000001,1))</f>
        <v/>
      </c>
      <c r="F5262">
        <f>IF(A5262="","",MAX(1,CEILING(PERCENTRANK.INC($C$3:$C$6000,C5262,4)*5+0.000001,1)))</f>
        <v/>
      </c>
      <c r="G5262">
        <f>IF(A5262="","",MAX(1,CEILING(PERCENTRANK.INC($D$3:$D$6000,D5262,4)*5+0.000001,1)))</f>
        <v/>
      </c>
      <c r="H5262">
        <f>IF(A5262="","",E5262&amp;F5262&amp;G5262)</f>
        <v/>
      </c>
      <c r="I5262">
        <f>IF(A5262="","",IF(AND(E5262&gt;=4,F5262&gt;=4,G5262&gt;=4),"Juara",IF(AND(F5262&gt;=4,E5262&gt;=3),"Setia",IF(AND(E5262=5,F5262&lt;=2,G5262&gt;=3),"Berpotensi",IF(AND(E5262&lt;=3,E5262&gt;=2,F5262&gt;=3),"Rawan",IF(AND(E5262&lt;=2,F5262&lt;=2),"Tidur","Umum"))))))</f>
        <v/>
      </c>
    </row>
    <row r="5263">
      <c r="B5263">
        <f>IF(A5263="","",$B$1-MAXIFS(Donasi!$A$2:$A$20000,Donasi!$B$2:$B$20000,A5263))</f>
        <v/>
      </c>
      <c r="C5263">
        <f>IF(A5263="","",COUNTIF(Donasi!$B$2:$B$20000,A5263))</f>
        <v/>
      </c>
      <c r="D5263">
        <f>IF(A5263="","",SUMIF(Donasi!$B$2:$B$20000,A5263,Donasi!$C$2:$C$20000))</f>
        <v/>
      </c>
      <c r="E5263">
        <f>IF(A5263="","",6-CEILING(PERCENTRANK.INC($B$3:$B$6000,B5263,4)*5+0.000001,1))</f>
        <v/>
      </c>
      <c r="F5263">
        <f>IF(A5263="","",MAX(1,CEILING(PERCENTRANK.INC($C$3:$C$6000,C5263,4)*5+0.000001,1)))</f>
        <v/>
      </c>
      <c r="G5263">
        <f>IF(A5263="","",MAX(1,CEILING(PERCENTRANK.INC($D$3:$D$6000,D5263,4)*5+0.000001,1)))</f>
        <v/>
      </c>
      <c r="H5263">
        <f>IF(A5263="","",E5263&amp;F5263&amp;G5263)</f>
        <v/>
      </c>
      <c r="I5263">
        <f>IF(A5263="","",IF(AND(E5263&gt;=4,F5263&gt;=4,G5263&gt;=4),"Juara",IF(AND(F5263&gt;=4,E5263&gt;=3),"Setia",IF(AND(E5263=5,F5263&lt;=2,G5263&gt;=3),"Berpotensi",IF(AND(E5263&lt;=3,E5263&gt;=2,F5263&gt;=3),"Rawan",IF(AND(E5263&lt;=2,F5263&lt;=2),"Tidur","Umum"))))))</f>
        <v/>
      </c>
    </row>
    <row r="5264">
      <c r="B5264">
        <f>IF(A5264="","",$B$1-MAXIFS(Donasi!$A$2:$A$20000,Donasi!$B$2:$B$20000,A5264))</f>
        <v/>
      </c>
      <c r="C5264">
        <f>IF(A5264="","",COUNTIF(Donasi!$B$2:$B$20000,A5264))</f>
        <v/>
      </c>
      <c r="D5264">
        <f>IF(A5264="","",SUMIF(Donasi!$B$2:$B$20000,A5264,Donasi!$C$2:$C$20000))</f>
        <v/>
      </c>
      <c r="E5264">
        <f>IF(A5264="","",6-CEILING(PERCENTRANK.INC($B$3:$B$6000,B5264,4)*5+0.000001,1))</f>
        <v/>
      </c>
      <c r="F5264">
        <f>IF(A5264="","",MAX(1,CEILING(PERCENTRANK.INC($C$3:$C$6000,C5264,4)*5+0.000001,1)))</f>
        <v/>
      </c>
      <c r="G5264">
        <f>IF(A5264="","",MAX(1,CEILING(PERCENTRANK.INC($D$3:$D$6000,D5264,4)*5+0.000001,1)))</f>
        <v/>
      </c>
      <c r="H5264">
        <f>IF(A5264="","",E5264&amp;F5264&amp;G5264)</f>
        <v/>
      </c>
      <c r="I5264">
        <f>IF(A5264="","",IF(AND(E5264&gt;=4,F5264&gt;=4,G5264&gt;=4),"Juara",IF(AND(F5264&gt;=4,E5264&gt;=3),"Setia",IF(AND(E5264=5,F5264&lt;=2,G5264&gt;=3),"Berpotensi",IF(AND(E5264&lt;=3,E5264&gt;=2,F5264&gt;=3),"Rawan",IF(AND(E5264&lt;=2,F5264&lt;=2),"Tidur","Umum"))))))</f>
        <v/>
      </c>
    </row>
    <row r="5265">
      <c r="B5265">
        <f>IF(A5265="","",$B$1-MAXIFS(Donasi!$A$2:$A$20000,Donasi!$B$2:$B$20000,A5265))</f>
        <v/>
      </c>
      <c r="C5265">
        <f>IF(A5265="","",COUNTIF(Donasi!$B$2:$B$20000,A5265))</f>
        <v/>
      </c>
      <c r="D5265">
        <f>IF(A5265="","",SUMIF(Donasi!$B$2:$B$20000,A5265,Donasi!$C$2:$C$20000))</f>
        <v/>
      </c>
      <c r="E5265">
        <f>IF(A5265="","",6-CEILING(PERCENTRANK.INC($B$3:$B$6000,B5265,4)*5+0.000001,1))</f>
        <v/>
      </c>
      <c r="F5265">
        <f>IF(A5265="","",MAX(1,CEILING(PERCENTRANK.INC($C$3:$C$6000,C5265,4)*5+0.000001,1)))</f>
        <v/>
      </c>
      <c r="G5265">
        <f>IF(A5265="","",MAX(1,CEILING(PERCENTRANK.INC($D$3:$D$6000,D5265,4)*5+0.000001,1)))</f>
        <v/>
      </c>
      <c r="H5265">
        <f>IF(A5265="","",E5265&amp;F5265&amp;G5265)</f>
        <v/>
      </c>
      <c r="I5265">
        <f>IF(A5265="","",IF(AND(E5265&gt;=4,F5265&gt;=4,G5265&gt;=4),"Juara",IF(AND(F5265&gt;=4,E5265&gt;=3),"Setia",IF(AND(E5265=5,F5265&lt;=2,G5265&gt;=3),"Berpotensi",IF(AND(E5265&lt;=3,E5265&gt;=2,F5265&gt;=3),"Rawan",IF(AND(E5265&lt;=2,F5265&lt;=2),"Tidur","Umum"))))))</f>
        <v/>
      </c>
    </row>
    <row r="5266">
      <c r="B5266">
        <f>IF(A5266="","",$B$1-MAXIFS(Donasi!$A$2:$A$20000,Donasi!$B$2:$B$20000,A5266))</f>
        <v/>
      </c>
      <c r="C5266">
        <f>IF(A5266="","",COUNTIF(Donasi!$B$2:$B$20000,A5266))</f>
        <v/>
      </c>
      <c r="D5266">
        <f>IF(A5266="","",SUMIF(Donasi!$B$2:$B$20000,A5266,Donasi!$C$2:$C$20000))</f>
        <v/>
      </c>
      <c r="E5266">
        <f>IF(A5266="","",6-CEILING(PERCENTRANK.INC($B$3:$B$6000,B5266,4)*5+0.000001,1))</f>
        <v/>
      </c>
      <c r="F5266">
        <f>IF(A5266="","",MAX(1,CEILING(PERCENTRANK.INC($C$3:$C$6000,C5266,4)*5+0.000001,1)))</f>
        <v/>
      </c>
      <c r="G5266">
        <f>IF(A5266="","",MAX(1,CEILING(PERCENTRANK.INC($D$3:$D$6000,D5266,4)*5+0.000001,1)))</f>
        <v/>
      </c>
      <c r="H5266">
        <f>IF(A5266="","",E5266&amp;F5266&amp;G5266)</f>
        <v/>
      </c>
      <c r="I5266">
        <f>IF(A5266="","",IF(AND(E5266&gt;=4,F5266&gt;=4,G5266&gt;=4),"Juara",IF(AND(F5266&gt;=4,E5266&gt;=3),"Setia",IF(AND(E5266=5,F5266&lt;=2,G5266&gt;=3),"Berpotensi",IF(AND(E5266&lt;=3,E5266&gt;=2,F5266&gt;=3),"Rawan",IF(AND(E5266&lt;=2,F5266&lt;=2),"Tidur","Umum"))))))</f>
        <v/>
      </c>
    </row>
    <row r="5267">
      <c r="B5267">
        <f>IF(A5267="","",$B$1-MAXIFS(Donasi!$A$2:$A$20000,Donasi!$B$2:$B$20000,A5267))</f>
        <v/>
      </c>
      <c r="C5267">
        <f>IF(A5267="","",COUNTIF(Donasi!$B$2:$B$20000,A5267))</f>
        <v/>
      </c>
      <c r="D5267">
        <f>IF(A5267="","",SUMIF(Donasi!$B$2:$B$20000,A5267,Donasi!$C$2:$C$20000))</f>
        <v/>
      </c>
      <c r="E5267">
        <f>IF(A5267="","",6-CEILING(PERCENTRANK.INC($B$3:$B$6000,B5267,4)*5+0.000001,1))</f>
        <v/>
      </c>
      <c r="F5267">
        <f>IF(A5267="","",MAX(1,CEILING(PERCENTRANK.INC($C$3:$C$6000,C5267,4)*5+0.000001,1)))</f>
        <v/>
      </c>
      <c r="G5267">
        <f>IF(A5267="","",MAX(1,CEILING(PERCENTRANK.INC($D$3:$D$6000,D5267,4)*5+0.000001,1)))</f>
        <v/>
      </c>
      <c r="H5267">
        <f>IF(A5267="","",E5267&amp;F5267&amp;G5267)</f>
        <v/>
      </c>
      <c r="I5267">
        <f>IF(A5267="","",IF(AND(E5267&gt;=4,F5267&gt;=4,G5267&gt;=4),"Juara",IF(AND(F5267&gt;=4,E5267&gt;=3),"Setia",IF(AND(E5267=5,F5267&lt;=2,G5267&gt;=3),"Berpotensi",IF(AND(E5267&lt;=3,E5267&gt;=2,F5267&gt;=3),"Rawan",IF(AND(E5267&lt;=2,F5267&lt;=2),"Tidur","Umum"))))))</f>
        <v/>
      </c>
    </row>
    <row r="5268">
      <c r="B5268">
        <f>IF(A5268="","",$B$1-MAXIFS(Donasi!$A$2:$A$20000,Donasi!$B$2:$B$20000,A5268))</f>
        <v/>
      </c>
      <c r="C5268">
        <f>IF(A5268="","",COUNTIF(Donasi!$B$2:$B$20000,A5268))</f>
        <v/>
      </c>
      <c r="D5268">
        <f>IF(A5268="","",SUMIF(Donasi!$B$2:$B$20000,A5268,Donasi!$C$2:$C$20000))</f>
        <v/>
      </c>
      <c r="E5268">
        <f>IF(A5268="","",6-CEILING(PERCENTRANK.INC($B$3:$B$6000,B5268,4)*5+0.000001,1))</f>
        <v/>
      </c>
      <c r="F5268">
        <f>IF(A5268="","",MAX(1,CEILING(PERCENTRANK.INC($C$3:$C$6000,C5268,4)*5+0.000001,1)))</f>
        <v/>
      </c>
      <c r="G5268">
        <f>IF(A5268="","",MAX(1,CEILING(PERCENTRANK.INC($D$3:$D$6000,D5268,4)*5+0.000001,1)))</f>
        <v/>
      </c>
      <c r="H5268">
        <f>IF(A5268="","",E5268&amp;F5268&amp;G5268)</f>
        <v/>
      </c>
      <c r="I5268">
        <f>IF(A5268="","",IF(AND(E5268&gt;=4,F5268&gt;=4,G5268&gt;=4),"Juara",IF(AND(F5268&gt;=4,E5268&gt;=3),"Setia",IF(AND(E5268=5,F5268&lt;=2,G5268&gt;=3),"Berpotensi",IF(AND(E5268&lt;=3,E5268&gt;=2,F5268&gt;=3),"Rawan",IF(AND(E5268&lt;=2,F5268&lt;=2),"Tidur","Umum"))))))</f>
        <v/>
      </c>
    </row>
    <row r="5269">
      <c r="B5269">
        <f>IF(A5269="","",$B$1-MAXIFS(Donasi!$A$2:$A$20000,Donasi!$B$2:$B$20000,A5269))</f>
        <v/>
      </c>
      <c r="C5269">
        <f>IF(A5269="","",COUNTIF(Donasi!$B$2:$B$20000,A5269))</f>
        <v/>
      </c>
      <c r="D5269">
        <f>IF(A5269="","",SUMIF(Donasi!$B$2:$B$20000,A5269,Donasi!$C$2:$C$20000))</f>
        <v/>
      </c>
      <c r="E5269">
        <f>IF(A5269="","",6-CEILING(PERCENTRANK.INC($B$3:$B$6000,B5269,4)*5+0.000001,1))</f>
        <v/>
      </c>
      <c r="F5269">
        <f>IF(A5269="","",MAX(1,CEILING(PERCENTRANK.INC($C$3:$C$6000,C5269,4)*5+0.000001,1)))</f>
        <v/>
      </c>
      <c r="G5269">
        <f>IF(A5269="","",MAX(1,CEILING(PERCENTRANK.INC($D$3:$D$6000,D5269,4)*5+0.000001,1)))</f>
        <v/>
      </c>
      <c r="H5269">
        <f>IF(A5269="","",E5269&amp;F5269&amp;G5269)</f>
        <v/>
      </c>
      <c r="I5269">
        <f>IF(A5269="","",IF(AND(E5269&gt;=4,F5269&gt;=4,G5269&gt;=4),"Juara",IF(AND(F5269&gt;=4,E5269&gt;=3),"Setia",IF(AND(E5269=5,F5269&lt;=2,G5269&gt;=3),"Berpotensi",IF(AND(E5269&lt;=3,E5269&gt;=2,F5269&gt;=3),"Rawan",IF(AND(E5269&lt;=2,F5269&lt;=2),"Tidur","Umum"))))))</f>
        <v/>
      </c>
    </row>
    <row r="5270">
      <c r="B5270">
        <f>IF(A5270="","",$B$1-MAXIFS(Donasi!$A$2:$A$20000,Donasi!$B$2:$B$20000,A5270))</f>
        <v/>
      </c>
      <c r="C5270">
        <f>IF(A5270="","",COUNTIF(Donasi!$B$2:$B$20000,A5270))</f>
        <v/>
      </c>
      <c r="D5270">
        <f>IF(A5270="","",SUMIF(Donasi!$B$2:$B$20000,A5270,Donasi!$C$2:$C$20000))</f>
        <v/>
      </c>
      <c r="E5270">
        <f>IF(A5270="","",6-CEILING(PERCENTRANK.INC($B$3:$B$6000,B5270,4)*5+0.000001,1))</f>
        <v/>
      </c>
      <c r="F5270">
        <f>IF(A5270="","",MAX(1,CEILING(PERCENTRANK.INC($C$3:$C$6000,C5270,4)*5+0.000001,1)))</f>
        <v/>
      </c>
      <c r="G5270">
        <f>IF(A5270="","",MAX(1,CEILING(PERCENTRANK.INC($D$3:$D$6000,D5270,4)*5+0.000001,1)))</f>
        <v/>
      </c>
      <c r="H5270">
        <f>IF(A5270="","",E5270&amp;F5270&amp;G5270)</f>
        <v/>
      </c>
      <c r="I5270">
        <f>IF(A5270="","",IF(AND(E5270&gt;=4,F5270&gt;=4,G5270&gt;=4),"Juara",IF(AND(F5270&gt;=4,E5270&gt;=3),"Setia",IF(AND(E5270=5,F5270&lt;=2,G5270&gt;=3),"Berpotensi",IF(AND(E5270&lt;=3,E5270&gt;=2,F5270&gt;=3),"Rawan",IF(AND(E5270&lt;=2,F5270&lt;=2),"Tidur","Umum"))))))</f>
        <v/>
      </c>
    </row>
    <row r="5271">
      <c r="B5271">
        <f>IF(A5271="","",$B$1-MAXIFS(Donasi!$A$2:$A$20000,Donasi!$B$2:$B$20000,A5271))</f>
        <v/>
      </c>
      <c r="C5271">
        <f>IF(A5271="","",COUNTIF(Donasi!$B$2:$B$20000,A5271))</f>
        <v/>
      </c>
      <c r="D5271">
        <f>IF(A5271="","",SUMIF(Donasi!$B$2:$B$20000,A5271,Donasi!$C$2:$C$20000))</f>
        <v/>
      </c>
      <c r="E5271">
        <f>IF(A5271="","",6-CEILING(PERCENTRANK.INC($B$3:$B$6000,B5271,4)*5+0.000001,1))</f>
        <v/>
      </c>
      <c r="F5271">
        <f>IF(A5271="","",MAX(1,CEILING(PERCENTRANK.INC($C$3:$C$6000,C5271,4)*5+0.000001,1)))</f>
        <v/>
      </c>
      <c r="G5271">
        <f>IF(A5271="","",MAX(1,CEILING(PERCENTRANK.INC($D$3:$D$6000,D5271,4)*5+0.000001,1)))</f>
        <v/>
      </c>
      <c r="H5271">
        <f>IF(A5271="","",E5271&amp;F5271&amp;G5271)</f>
        <v/>
      </c>
      <c r="I5271">
        <f>IF(A5271="","",IF(AND(E5271&gt;=4,F5271&gt;=4,G5271&gt;=4),"Juara",IF(AND(F5271&gt;=4,E5271&gt;=3),"Setia",IF(AND(E5271=5,F5271&lt;=2,G5271&gt;=3),"Berpotensi",IF(AND(E5271&lt;=3,E5271&gt;=2,F5271&gt;=3),"Rawan",IF(AND(E5271&lt;=2,F5271&lt;=2),"Tidur","Umum"))))))</f>
        <v/>
      </c>
    </row>
    <row r="5272">
      <c r="B5272">
        <f>IF(A5272="","",$B$1-MAXIFS(Donasi!$A$2:$A$20000,Donasi!$B$2:$B$20000,A5272))</f>
        <v/>
      </c>
      <c r="C5272">
        <f>IF(A5272="","",COUNTIF(Donasi!$B$2:$B$20000,A5272))</f>
        <v/>
      </c>
      <c r="D5272">
        <f>IF(A5272="","",SUMIF(Donasi!$B$2:$B$20000,A5272,Donasi!$C$2:$C$20000))</f>
        <v/>
      </c>
      <c r="E5272">
        <f>IF(A5272="","",6-CEILING(PERCENTRANK.INC($B$3:$B$6000,B5272,4)*5+0.000001,1))</f>
        <v/>
      </c>
      <c r="F5272">
        <f>IF(A5272="","",MAX(1,CEILING(PERCENTRANK.INC($C$3:$C$6000,C5272,4)*5+0.000001,1)))</f>
        <v/>
      </c>
      <c r="G5272">
        <f>IF(A5272="","",MAX(1,CEILING(PERCENTRANK.INC($D$3:$D$6000,D5272,4)*5+0.000001,1)))</f>
        <v/>
      </c>
      <c r="H5272">
        <f>IF(A5272="","",E5272&amp;F5272&amp;G5272)</f>
        <v/>
      </c>
      <c r="I5272">
        <f>IF(A5272="","",IF(AND(E5272&gt;=4,F5272&gt;=4,G5272&gt;=4),"Juara",IF(AND(F5272&gt;=4,E5272&gt;=3),"Setia",IF(AND(E5272=5,F5272&lt;=2,G5272&gt;=3),"Berpotensi",IF(AND(E5272&lt;=3,E5272&gt;=2,F5272&gt;=3),"Rawan",IF(AND(E5272&lt;=2,F5272&lt;=2),"Tidur","Umum"))))))</f>
        <v/>
      </c>
    </row>
    <row r="5273">
      <c r="B5273">
        <f>IF(A5273="","",$B$1-MAXIFS(Donasi!$A$2:$A$20000,Donasi!$B$2:$B$20000,A5273))</f>
        <v/>
      </c>
      <c r="C5273">
        <f>IF(A5273="","",COUNTIF(Donasi!$B$2:$B$20000,A5273))</f>
        <v/>
      </c>
      <c r="D5273">
        <f>IF(A5273="","",SUMIF(Donasi!$B$2:$B$20000,A5273,Donasi!$C$2:$C$20000))</f>
        <v/>
      </c>
      <c r="E5273">
        <f>IF(A5273="","",6-CEILING(PERCENTRANK.INC($B$3:$B$6000,B5273,4)*5+0.000001,1))</f>
        <v/>
      </c>
      <c r="F5273">
        <f>IF(A5273="","",MAX(1,CEILING(PERCENTRANK.INC($C$3:$C$6000,C5273,4)*5+0.000001,1)))</f>
        <v/>
      </c>
      <c r="G5273">
        <f>IF(A5273="","",MAX(1,CEILING(PERCENTRANK.INC($D$3:$D$6000,D5273,4)*5+0.000001,1)))</f>
        <v/>
      </c>
      <c r="H5273">
        <f>IF(A5273="","",E5273&amp;F5273&amp;G5273)</f>
        <v/>
      </c>
      <c r="I5273">
        <f>IF(A5273="","",IF(AND(E5273&gt;=4,F5273&gt;=4,G5273&gt;=4),"Juara",IF(AND(F5273&gt;=4,E5273&gt;=3),"Setia",IF(AND(E5273=5,F5273&lt;=2,G5273&gt;=3),"Berpotensi",IF(AND(E5273&lt;=3,E5273&gt;=2,F5273&gt;=3),"Rawan",IF(AND(E5273&lt;=2,F5273&lt;=2),"Tidur","Umum"))))))</f>
        <v/>
      </c>
    </row>
    <row r="5274">
      <c r="B5274">
        <f>IF(A5274="","",$B$1-MAXIFS(Donasi!$A$2:$A$20000,Donasi!$B$2:$B$20000,A5274))</f>
        <v/>
      </c>
      <c r="C5274">
        <f>IF(A5274="","",COUNTIF(Donasi!$B$2:$B$20000,A5274))</f>
        <v/>
      </c>
      <c r="D5274">
        <f>IF(A5274="","",SUMIF(Donasi!$B$2:$B$20000,A5274,Donasi!$C$2:$C$20000))</f>
        <v/>
      </c>
      <c r="E5274">
        <f>IF(A5274="","",6-CEILING(PERCENTRANK.INC($B$3:$B$6000,B5274,4)*5+0.000001,1))</f>
        <v/>
      </c>
      <c r="F5274">
        <f>IF(A5274="","",MAX(1,CEILING(PERCENTRANK.INC($C$3:$C$6000,C5274,4)*5+0.000001,1)))</f>
        <v/>
      </c>
      <c r="G5274">
        <f>IF(A5274="","",MAX(1,CEILING(PERCENTRANK.INC($D$3:$D$6000,D5274,4)*5+0.000001,1)))</f>
        <v/>
      </c>
      <c r="H5274">
        <f>IF(A5274="","",E5274&amp;F5274&amp;G5274)</f>
        <v/>
      </c>
      <c r="I5274">
        <f>IF(A5274="","",IF(AND(E5274&gt;=4,F5274&gt;=4,G5274&gt;=4),"Juara",IF(AND(F5274&gt;=4,E5274&gt;=3),"Setia",IF(AND(E5274=5,F5274&lt;=2,G5274&gt;=3),"Berpotensi",IF(AND(E5274&lt;=3,E5274&gt;=2,F5274&gt;=3),"Rawan",IF(AND(E5274&lt;=2,F5274&lt;=2),"Tidur","Umum"))))))</f>
        <v/>
      </c>
    </row>
    <row r="5275">
      <c r="B5275">
        <f>IF(A5275="","",$B$1-MAXIFS(Donasi!$A$2:$A$20000,Donasi!$B$2:$B$20000,A5275))</f>
        <v/>
      </c>
      <c r="C5275">
        <f>IF(A5275="","",COUNTIF(Donasi!$B$2:$B$20000,A5275))</f>
        <v/>
      </c>
      <c r="D5275">
        <f>IF(A5275="","",SUMIF(Donasi!$B$2:$B$20000,A5275,Donasi!$C$2:$C$20000))</f>
        <v/>
      </c>
      <c r="E5275">
        <f>IF(A5275="","",6-CEILING(PERCENTRANK.INC($B$3:$B$6000,B5275,4)*5+0.000001,1))</f>
        <v/>
      </c>
      <c r="F5275">
        <f>IF(A5275="","",MAX(1,CEILING(PERCENTRANK.INC($C$3:$C$6000,C5275,4)*5+0.000001,1)))</f>
        <v/>
      </c>
      <c r="G5275">
        <f>IF(A5275="","",MAX(1,CEILING(PERCENTRANK.INC($D$3:$D$6000,D5275,4)*5+0.000001,1)))</f>
        <v/>
      </c>
      <c r="H5275">
        <f>IF(A5275="","",E5275&amp;F5275&amp;G5275)</f>
        <v/>
      </c>
      <c r="I5275">
        <f>IF(A5275="","",IF(AND(E5275&gt;=4,F5275&gt;=4,G5275&gt;=4),"Juara",IF(AND(F5275&gt;=4,E5275&gt;=3),"Setia",IF(AND(E5275=5,F5275&lt;=2,G5275&gt;=3),"Berpotensi",IF(AND(E5275&lt;=3,E5275&gt;=2,F5275&gt;=3),"Rawan",IF(AND(E5275&lt;=2,F5275&lt;=2),"Tidur","Umum"))))))</f>
        <v/>
      </c>
    </row>
    <row r="5276">
      <c r="B5276">
        <f>IF(A5276="","",$B$1-MAXIFS(Donasi!$A$2:$A$20000,Donasi!$B$2:$B$20000,A5276))</f>
        <v/>
      </c>
      <c r="C5276">
        <f>IF(A5276="","",COUNTIF(Donasi!$B$2:$B$20000,A5276))</f>
        <v/>
      </c>
      <c r="D5276">
        <f>IF(A5276="","",SUMIF(Donasi!$B$2:$B$20000,A5276,Donasi!$C$2:$C$20000))</f>
        <v/>
      </c>
      <c r="E5276">
        <f>IF(A5276="","",6-CEILING(PERCENTRANK.INC($B$3:$B$6000,B5276,4)*5+0.000001,1))</f>
        <v/>
      </c>
      <c r="F5276">
        <f>IF(A5276="","",MAX(1,CEILING(PERCENTRANK.INC($C$3:$C$6000,C5276,4)*5+0.000001,1)))</f>
        <v/>
      </c>
      <c r="G5276">
        <f>IF(A5276="","",MAX(1,CEILING(PERCENTRANK.INC($D$3:$D$6000,D5276,4)*5+0.000001,1)))</f>
        <v/>
      </c>
      <c r="H5276">
        <f>IF(A5276="","",E5276&amp;F5276&amp;G5276)</f>
        <v/>
      </c>
      <c r="I5276">
        <f>IF(A5276="","",IF(AND(E5276&gt;=4,F5276&gt;=4,G5276&gt;=4),"Juara",IF(AND(F5276&gt;=4,E5276&gt;=3),"Setia",IF(AND(E5276=5,F5276&lt;=2,G5276&gt;=3),"Berpotensi",IF(AND(E5276&lt;=3,E5276&gt;=2,F5276&gt;=3),"Rawan",IF(AND(E5276&lt;=2,F5276&lt;=2),"Tidur","Umum"))))))</f>
        <v/>
      </c>
    </row>
    <row r="5277">
      <c r="B5277">
        <f>IF(A5277="","",$B$1-MAXIFS(Donasi!$A$2:$A$20000,Donasi!$B$2:$B$20000,A5277))</f>
        <v/>
      </c>
      <c r="C5277">
        <f>IF(A5277="","",COUNTIF(Donasi!$B$2:$B$20000,A5277))</f>
        <v/>
      </c>
      <c r="D5277">
        <f>IF(A5277="","",SUMIF(Donasi!$B$2:$B$20000,A5277,Donasi!$C$2:$C$20000))</f>
        <v/>
      </c>
      <c r="E5277">
        <f>IF(A5277="","",6-CEILING(PERCENTRANK.INC($B$3:$B$6000,B5277,4)*5+0.000001,1))</f>
        <v/>
      </c>
      <c r="F5277">
        <f>IF(A5277="","",MAX(1,CEILING(PERCENTRANK.INC($C$3:$C$6000,C5277,4)*5+0.000001,1)))</f>
        <v/>
      </c>
      <c r="G5277">
        <f>IF(A5277="","",MAX(1,CEILING(PERCENTRANK.INC($D$3:$D$6000,D5277,4)*5+0.000001,1)))</f>
        <v/>
      </c>
      <c r="H5277">
        <f>IF(A5277="","",E5277&amp;F5277&amp;G5277)</f>
        <v/>
      </c>
      <c r="I5277">
        <f>IF(A5277="","",IF(AND(E5277&gt;=4,F5277&gt;=4,G5277&gt;=4),"Juara",IF(AND(F5277&gt;=4,E5277&gt;=3),"Setia",IF(AND(E5277=5,F5277&lt;=2,G5277&gt;=3),"Berpotensi",IF(AND(E5277&lt;=3,E5277&gt;=2,F5277&gt;=3),"Rawan",IF(AND(E5277&lt;=2,F5277&lt;=2),"Tidur","Umum"))))))</f>
        <v/>
      </c>
    </row>
    <row r="5278">
      <c r="B5278">
        <f>IF(A5278="","",$B$1-MAXIFS(Donasi!$A$2:$A$20000,Donasi!$B$2:$B$20000,A5278))</f>
        <v/>
      </c>
      <c r="C5278">
        <f>IF(A5278="","",COUNTIF(Donasi!$B$2:$B$20000,A5278))</f>
        <v/>
      </c>
      <c r="D5278">
        <f>IF(A5278="","",SUMIF(Donasi!$B$2:$B$20000,A5278,Donasi!$C$2:$C$20000))</f>
        <v/>
      </c>
      <c r="E5278">
        <f>IF(A5278="","",6-CEILING(PERCENTRANK.INC($B$3:$B$6000,B5278,4)*5+0.000001,1))</f>
        <v/>
      </c>
      <c r="F5278">
        <f>IF(A5278="","",MAX(1,CEILING(PERCENTRANK.INC($C$3:$C$6000,C5278,4)*5+0.000001,1)))</f>
        <v/>
      </c>
      <c r="G5278">
        <f>IF(A5278="","",MAX(1,CEILING(PERCENTRANK.INC($D$3:$D$6000,D5278,4)*5+0.000001,1)))</f>
        <v/>
      </c>
      <c r="H5278">
        <f>IF(A5278="","",E5278&amp;F5278&amp;G5278)</f>
        <v/>
      </c>
      <c r="I5278">
        <f>IF(A5278="","",IF(AND(E5278&gt;=4,F5278&gt;=4,G5278&gt;=4),"Juara",IF(AND(F5278&gt;=4,E5278&gt;=3),"Setia",IF(AND(E5278=5,F5278&lt;=2,G5278&gt;=3),"Berpotensi",IF(AND(E5278&lt;=3,E5278&gt;=2,F5278&gt;=3),"Rawan",IF(AND(E5278&lt;=2,F5278&lt;=2),"Tidur","Umum"))))))</f>
        <v/>
      </c>
    </row>
    <row r="5279">
      <c r="B5279">
        <f>IF(A5279="","",$B$1-MAXIFS(Donasi!$A$2:$A$20000,Donasi!$B$2:$B$20000,A5279))</f>
        <v/>
      </c>
      <c r="C5279">
        <f>IF(A5279="","",COUNTIF(Donasi!$B$2:$B$20000,A5279))</f>
        <v/>
      </c>
      <c r="D5279">
        <f>IF(A5279="","",SUMIF(Donasi!$B$2:$B$20000,A5279,Donasi!$C$2:$C$20000))</f>
        <v/>
      </c>
      <c r="E5279">
        <f>IF(A5279="","",6-CEILING(PERCENTRANK.INC($B$3:$B$6000,B5279,4)*5+0.000001,1))</f>
        <v/>
      </c>
      <c r="F5279">
        <f>IF(A5279="","",MAX(1,CEILING(PERCENTRANK.INC($C$3:$C$6000,C5279,4)*5+0.000001,1)))</f>
        <v/>
      </c>
      <c r="G5279">
        <f>IF(A5279="","",MAX(1,CEILING(PERCENTRANK.INC($D$3:$D$6000,D5279,4)*5+0.000001,1)))</f>
        <v/>
      </c>
      <c r="H5279">
        <f>IF(A5279="","",E5279&amp;F5279&amp;G5279)</f>
        <v/>
      </c>
      <c r="I5279">
        <f>IF(A5279="","",IF(AND(E5279&gt;=4,F5279&gt;=4,G5279&gt;=4),"Juara",IF(AND(F5279&gt;=4,E5279&gt;=3),"Setia",IF(AND(E5279=5,F5279&lt;=2,G5279&gt;=3),"Berpotensi",IF(AND(E5279&lt;=3,E5279&gt;=2,F5279&gt;=3),"Rawan",IF(AND(E5279&lt;=2,F5279&lt;=2),"Tidur","Umum"))))))</f>
        <v/>
      </c>
    </row>
    <row r="5280">
      <c r="B5280">
        <f>IF(A5280="","",$B$1-MAXIFS(Donasi!$A$2:$A$20000,Donasi!$B$2:$B$20000,A5280))</f>
        <v/>
      </c>
      <c r="C5280">
        <f>IF(A5280="","",COUNTIF(Donasi!$B$2:$B$20000,A5280))</f>
        <v/>
      </c>
      <c r="D5280">
        <f>IF(A5280="","",SUMIF(Donasi!$B$2:$B$20000,A5280,Donasi!$C$2:$C$20000))</f>
        <v/>
      </c>
      <c r="E5280">
        <f>IF(A5280="","",6-CEILING(PERCENTRANK.INC($B$3:$B$6000,B5280,4)*5+0.000001,1))</f>
        <v/>
      </c>
      <c r="F5280">
        <f>IF(A5280="","",MAX(1,CEILING(PERCENTRANK.INC($C$3:$C$6000,C5280,4)*5+0.000001,1)))</f>
        <v/>
      </c>
      <c r="G5280">
        <f>IF(A5280="","",MAX(1,CEILING(PERCENTRANK.INC($D$3:$D$6000,D5280,4)*5+0.000001,1)))</f>
        <v/>
      </c>
      <c r="H5280">
        <f>IF(A5280="","",E5280&amp;F5280&amp;G5280)</f>
        <v/>
      </c>
      <c r="I5280">
        <f>IF(A5280="","",IF(AND(E5280&gt;=4,F5280&gt;=4,G5280&gt;=4),"Juara",IF(AND(F5280&gt;=4,E5280&gt;=3),"Setia",IF(AND(E5280=5,F5280&lt;=2,G5280&gt;=3),"Berpotensi",IF(AND(E5280&lt;=3,E5280&gt;=2,F5280&gt;=3),"Rawan",IF(AND(E5280&lt;=2,F5280&lt;=2),"Tidur","Umum"))))))</f>
        <v/>
      </c>
    </row>
    <row r="5281">
      <c r="B5281">
        <f>IF(A5281="","",$B$1-MAXIFS(Donasi!$A$2:$A$20000,Donasi!$B$2:$B$20000,A5281))</f>
        <v/>
      </c>
      <c r="C5281">
        <f>IF(A5281="","",COUNTIF(Donasi!$B$2:$B$20000,A5281))</f>
        <v/>
      </c>
      <c r="D5281">
        <f>IF(A5281="","",SUMIF(Donasi!$B$2:$B$20000,A5281,Donasi!$C$2:$C$20000))</f>
        <v/>
      </c>
      <c r="E5281">
        <f>IF(A5281="","",6-CEILING(PERCENTRANK.INC($B$3:$B$6000,B5281,4)*5+0.000001,1))</f>
        <v/>
      </c>
      <c r="F5281">
        <f>IF(A5281="","",MAX(1,CEILING(PERCENTRANK.INC($C$3:$C$6000,C5281,4)*5+0.000001,1)))</f>
        <v/>
      </c>
      <c r="G5281">
        <f>IF(A5281="","",MAX(1,CEILING(PERCENTRANK.INC($D$3:$D$6000,D5281,4)*5+0.000001,1)))</f>
        <v/>
      </c>
      <c r="H5281">
        <f>IF(A5281="","",E5281&amp;F5281&amp;G5281)</f>
        <v/>
      </c>
      <c r="I5281">
        <f>IF(A5281="","",IF(AND(E5281&gt;=4,F5281&gt;=4,G5281&gt;=4),"Juara",IF(AND(F5281&gt;=4,E5281&gt;=3),"Setia",IF(AND(E5281=5,F5281&lt;=2,G5281&gt;=3),"Berpotensi",IF(AND(E5281&lt;=3,E5281&gt;=2,F5281&gt;=3),"Rawan",IF(AND(E5281&lt;=2,F5281&lt;=2),"Tidur","Umum"))))))</f>
        <v/>
      </c>
    </row>
    <row r="5282">
      <c r="B5282">
        <f>IF(A5282="","",$B$1-MAXIFS(Donasi!$A$2:$A$20000,Donasi!$B$2:$B$20000,A5282))</f>
        <v/>
      </c>
      <c r="C5282">
        <f>IF(A5282="","",COUNTIF(Donasi!$B$2:$B$20000,A5282))</f>
        <v/>
      </c>
      <c r="D5282">
        <f>IF(A5282="","",SUMIF(Donasi!$B$2:$B$20000,A5282,Donasi!$C$2:$C$20000))</f>
        <v/>
      </c>
      <c r="E5282">
        <f>IF(A5282="","",6-CEILING(PERCENTRANK.INC($B$3:$B$6000,B5282,4)*5+0.000001,1))</f>
        <v/>
      </c>
      <c r="F5282">
        <f>IF(A5282="","",MAX(1,CEILING(PERCENTRANK.INC($C$3:$C$6000,C5282,4)*5+0.000001,1)))</f>
        <v/>
      </c>
      <c r="G5282">
        <f>IF(A5282="","",MAX(1,CEILING(PERCENTRANK.INC($D$3:$D$6000,D5282,4)*5+0.000001,1)))</f>
        <v/>
      </c>
      <c r="H5282">
        <f>IF(A5282="","",E5282&amp;F5282&amp;G5282)</f>
        <v/>
      </c>
      <c r="I5282">
        <f>IF(A5282="","",IF(AND(E5282&gt;=4,F5282&gt;=4,G5282&gt;=4),"Juara",IF(AND(F5282&gt;=4,E5282&gt;=3),"Setia",IF(AND(E5282=5,F5282&lt;=2,G5282&gt;=3),"Berpotensi",IF(AND(E5282&lt;=3,E5282&gt;=2,F5282&gt;=3),"Rawan",IF(AND(E5282&lt;=2,F5282&lt;=2),"Tidur","Umum"))))))</f>
        <v/>
      </c>
    </row>
    <row r="5283">
      <c r="B5283">
        <f>IF(A5283="","",$B$1-MAXIFS(Donasi!$A$2:$A$20000,Donasi!$B$2:$B$20000,A5283))</f>
        <v/>
      </c>
      <c r="C5283">
        <f>IF(A5283="","",COUNTIF(Donasi!$B$2:$B$20000,A5283))</f>
        <v/>
      </c>
      <c r="D5283">
        <f>IF(A5283="","",SUMIF(Donasi!$B$2:$B$20000,A5283,Donasi!$C$2:$C$20000))</f>
        <v/>
      </c>
      <c r="E5283">
        <f>IF(A5283="","",6-CEILING(PERCENTRANK.INC($B$3:$B$6000,B5283,4)*5+0.000001,1))</f>
        <v/>
      </c>
      <c r="F5283">
        <f>IF(A5283="","",MAX(1,CEILING(PERCENTRANK.INC($C$3:$C$6000,C5283,4)*5+0.000001,1)))</f>
        <v/>
      </c>
      <c r="G5283">
        <f>IF(A5283="","",MAX(1,CEILING(PERCENTRANK.INC($D$3:$D$6000,D5283,4)*5+0.000001,1)))</f>
        <v/>
      </c>
      <c r="H5283">
        <f>IF(A5283="","",E5283&amp;F5283&amp;G5283)</f>
        <v/>
      </c>
      <c r="I5283">
        <f>IF(A5283="","",IF(AND(E5283&gt;=4,F5283&gt;=4,G5283&gt;=4),"Juara",IF(AND(F5283&gt;=4,E5283&gt;=3),"Setia",IF(AND(E5283=5,F5283&lt;=2,G5283&gt;=3),"Berpotensi",IF(AND(E5283&lt;=3,E5283&gt;=2,F5283&gt;=3),"Rawan",IF(AND(E5283&lt;=2,F5283&lt;=2),"Tidur","Umum"))))))</f>
        <v/>
      </c>
    </row>
    <row r="5284">
      <c r="B5284">
        <f>IF(A5284="","",$B$1-MAXIFS(Donasi!$A$2:$A$20000,Donasi!$B$2:$B$20000,A5284))</f>
        <v/>
      </c>
      <c r="C5284">
        <f>IF(A5284="","",COUNTIF(Donasi!$B$2:$B$20000,A5284))</f>
        <v/>
      </c>
      <c r="D5284">
        <f>IF(A5284="","",SUMIF(Donasi!$B$2:$B$20000,A5284,Donasi!$C$2:$C$20000))</f>
        <v/>
      </c>
      <c r="E5284">
        <f>IF(A5284="","",6-CEILING(PERCENTRANK.INC($B$3:$B$6000,B5284,4)*5+0.000001,1))</f>
        <v/>
      </c>
      <c r="F5284">
        <f>IF(A5284="","",MAX(1,CEILING(PERCENTRANK.INC($C$3:$C$6000,C5284,4)*5+0.000001,1)))</f>
        <v/>
      </c>
      <c r="G5284">
        <f>IF(A5284="","",MAX(1,CEILING(PERCENTRANK.INC($D$3:$D$6000,D5284,4)*5+0.000001,1)))</f>
        <v/>
      </c>
      <c r="H5284">
        <f>IF(A5284="","",E5284&amp;F5284&amp;G5284)</f>
        <v/>
      </c>
      <c r="I5284">
        <f>IF(A5284="","",IF(AND(E5284&gt;=4,F5284&gt;=4,G5284&gt;=4),"Juara",IF(AND(F5284&gt;=4,E5284&gt;=3),"Setia",IF(AND(E5284=5,F5284&lt;=2,G5284&gt;=3),"Berpotensi",IF(AND(E5284&lt;=3,E5284&gt;=2,F5284&gt;=3),"Rawan",IF(AND(E5284&lt;=2,F5284&lt;=2),"Tidur","Umum"))))))</f>
        <v/>
      </c>
    </row>
    <row r="5285">
      <c r="B5285">
        <f>IF(A5285="","",$B$1-MAXIFS(Donasi!$A$2:$A$20000,Donasi!$B$2:$B$20000,A5285))</f>
        <v/>
      </c>
      <c r="C5285">
        <f>IF(A5285="","",COUNTIF(Donasi!$B$2:$B$20000,A5285))</f>
        <v/>
      </c>
      <c r="D5285">
        <f>IF(A5285="","",SUMIF(Donasi!$B$2:$B$20000,A5285,Donasi!$C$2:$C$20000))</f>
        <v/>
      </c>
      <c r="E5285">
        <f>IF(A5285="","",6-CEILING(PERCENTRANK.INC($B$3:$B$6000,B5285,4)*5+0.000001,1))</f>
        <v/>
      </c>
      <c r="F5285">
        <f>IF(A5285="","",MAX(1,CEILING(PERCENTRANK.INC($C$3:$C$6000,C5285,4)*5+0.000001,1)))</f>
        <v/>
      </c>
      <c r="G5285">
        <f>IF(A5285="","",MAX(1,CEILING(PERCENTRANK.INC($D$3:$D$6000,D5285,4)*5+0.000001,1)))</f>
        <v/>
      </c>
      <c r="H5285">
        <f>IF(A5285="","",E5285&amp;F5285&amp;G5285)</f>
        <v/>
      </c>
      <c r="I5285">
        <f>IF(A5285="","",IF(AND(E5285&gt;=4,F5285&gt;=4,G5285&gt;=4),"Juara",IF(AND(F5285&gt;=4,E5285&gt;=3),"Setia",IF(AND(E5285=5,F5285&lt;=2,G5285&gt;=3),"Berpotensi",IF(AND(E5285&lt;=3,E5285&gt;=2,F5285&gt;=3),"Rawan",IF(AND(E5285&lt;=2,F5285&lt;=2),"Tidur","Umum"))))))</f>
        <v/>
      </c>
    </row>
    <row r="5286">
      <c r="B5286">
        <f>IF(A5286="","",$B$1-MAXIFS(Donasi!$A$2:$A$20000,Donasi!$B$2:$B$20000,A5286))</f>
        <v/>
      </c>
      <c r="C5286">
        <f>IF(A5286="","",COUNTIF(Donasi!$B$2:$B$20000,A5286))</f>
        <v/>
      </c>
      <c r="D5286">
        <f>IF(A5286="","",SUMIF(Donasi!$B$2:$B$20000,A5286,Donasi!$C$2:$C$20000))</f>
        <v/>
      </c>
      <c r="E5286">
        <f>IF(A5286="","",6-CEILING(PERCENTRANK.INC($B$3:$B$6000,B5286,4)*5+0.000001,1))</f>
        <v/>
      </c>
      <c r="F5286">
        <f>IF(A5286="","",MAX(1,CEILING(PERCENTRANK.INC($C$3:$C$6000,C5286,4)*5+0.000001,1)))</f>
        <v/>
      </c>
      <c r="G5286">
        <f>IF(A5286="","",MAX(1,CEILING(PERCENTRANK.INC($D$3:$D$6000,D5286,4)*5+0.000001,1)))</f>
        <v/>
      </c>
      <c r="H5286">
        <f>IF(A5286="","",E5286&amp;F5286&amp;G5286)</f>
        <v/>
      </c>
      <c r="I5286">
        <f>IF(A5286="","",IF(AND(E5286&gt;=4,F5286&gt;=4,G5286&gt;=4),"Juara",IF(AND(F5286&gt;=4,E5286&gt;=3),"Setia",IF(AND(E5286=5,F5286&lt;=2,G5286&gt;=3),"Berpotensi",IF(AND(E5286&lt;=3,E5286&gt;=2,F5286&gt;=3),"Rawan",IF(AND(E5286&lt;=2,F5286&lt;=2),"Tidur","Umum"))))))</f>
        <v/>
      </c>
    </row>
    <row r="5287">
      <c r="B5287">
        <f>IF(A5287="","",$B$1-MAXIFS(Donasi!$A$2:$A$20000,Donasi!$B$2:$B$20000,A5287))</f>
        <v/>
      </c>
      <c r="C5287">
        <f>IF(A5287="","",COUNTIF(Donasi!$B$2:$B$20000,A5287))</f>
        <v/>
      </c>
      <c r="D5287">
        <f>IF(A5287="","",SUMIF(Donasi!$B$2:$B$20000,A5287,Donasi!$C$2:$C$20000))</f>
        <v/>
      </c>
      <c r="E5287">
        <f>IF(A5287="","",6-CEILING(PERCENTRANK.INC($B$3:$B$6000,B5287,4)*5+0.000001,1))</f>
        <v/>
      </c>
      <c r="F5287">
        <f>IF(A5287="","",MAX(1,CEILING(PERCENTRANK.INC($C$3:$C$6000,C5287,4)*5+0.000001,1)))</f>
        <v/>
      </c>
      <c r="G5287">
        <f>IF(A5287="","",MAX(1,CEILING(PERCENTRANK.INC($D$3:$D$6000,D5287,4)*5+0.000001,1)))</f>
        <v/>
      </c>
      <c r="H5287">
        <f>IF(A5287="","",E5287&amp;F5287&amp;G5287)</f>
        <v/>
      </c>
      <c r="I5287">
        <f>IF(A5287="","",IF(AND(E5287&gt;=4,F5287&gt;=4,G5287&gt;=4),"Juara",IF(AND(F5287&gt;=4,E5287&gt;=3),"Setia",IF(AND(E5287=5,F5287&lt;=2,G5287&gt;=3),"Berpotensi",IF(AND(E5287&lt;=3,E5287&gt;=2,F5287&gt;=3),"Rawan",IF(AND(E5287&lt;=2,F5287&lt;=2),"Tidur","Umum"))))))</f>
        <v/>
      </c>
    </row>
    <row r="5288">
      <c r="B5288">
        <f>IF(A5288="","",$B$1-MAXIFS(Donasi!$A$2:$A$20000,Donasi!$B$2:$B$20000,A5288))</f>
        <v/>
      </c>
      <c r="C5288">
        <f>IF(A5288="","",COUNTIF(Donasi!$B$2:$B$20000,A5288))</f>
        <v/>
      </c>
      <c r="D5288">
        <f>IF(A5288="","",SUMIF(Donasi!$B$2:$B$20000,A5288,Donasi!$C$2:$C$20000))</f>
        <v/>
      </c>
      <c r="E5288">
        <f>IF(A5288="","",6-CEILING(PERCENTRANK.INC($B$3:$B$6000,B5288,4)*5+0.000001,1))</f>
        <v/>
      </c>
      <c r="F5288">
        <f>IF(A5288="","",MAX(1,CEILING(PERCENTRANK.INC($C$3:$C$6000,C5288,4)*5+0.000001,1)))</f>
        <v/>
      </c>
      <c r="G5288">
        <f>IF(A5288="","",MAX(1,CEILING(PERCENTRANK.INC($D$3:$D$6000,D5288,4)*5+0.000001,1)))</f>
        <v/>
      </c>
      <c r="H5288">
        <f>IF(A5288="","",E5288&amp;F5288&amp;G5288)</f>
        <v/>
      </c>
      <c r="I5288">
        <f>IF(A5288="","",IF(AND(E5288&gt;=4,F5288&gt;=4,G5288&gt;=4),"Juara",IF(AND(F5288&gt;=4,E5288&gt;=3),"Setia",IF(AND(E5288=5,F5288&lt;=2,G5288&gt;=3),"Berpotensi",IF(AND(E5288&lt;=3,E5288&gt;=2,F5288&gt;=3),"Rawan",IF(AND(E5288&lt;=2,F5288&lt;=2),"Tidur","Umum"))))))</f>
        <v/>
      </c>
    </row>
    <row r="5289">
      <c r="B5289">
        <f>IF(A5289="","",$B$1-MAXIFS(Donasi!$A$2:$A$20000,Donasi!$B$2:$B$20000,A5289))</f>
        <v/>
      </c>
      <c r="C5289">
        <f>IF(A5289="","",COUNTIF(Donasi!$B$2:$B$20000,A5289))</f>
        <v/>
      </c>
      <c r="D5289">
        <f>IF(A5289="","",SUMIF(Donasi!$B$2:$B$20000,A5289,Donasi!$C$2:$C$20000))</f>
        <v/>
      </c>
      <c r="E5289">
        <f>IF(A5289="","",6-CEILING(PERCENTRANK.INC($B$3:$B$6000,B5289,4)*5+0.000001,1))</f>
        <v/>
      </c>
      <c r="F5289">
        <f>IF(A5289="","",MAX(1,CEILING(PERCENTRANK.INC($C$3:$C$6000,C5289,4)*5+0.000001,1)))</f>
        <v/>
      </c>
      <c r="G5289">
        <f>IF(A5289="","",MAX(1,CEILING(PERCENTRANK.INC($D$3:$D$6000,D5289,4)*5+0.000001,1)))</f>
        <v/>
      </c>
      <c r="H5289">
        <f>IF(A5289="","",E5289&amp;F5289&amp;G5289)</f>
        <v/>
      </c>
      <c r="I5289">
        <f>IF(A5289="","",IF(AND(E5289&gt;=4,F5289&gt;=4,G5289&gt;=4),"Juara",IF(AND(F5289&gt;=4,E5289&gt;=3),"Setia",IF(AND(E5289=5,F5289&lt;=2,G5289&gt;=3),"Berpotensi",IF(AND(E5289&lt;=3,E5289&gt;=2,F5289&gt;=3),"Rawan",IF(AND(E5289&lt;=2,F5289&lt;=2),"Tidur","Umum"))))))</f>
        <v/>
      </c>
    </row>
    <row r="5290">
      <c r="B5290">
        <f>IF(A5290="","",$B$1-MAXIFS(Donasi!$A$2:$A$20000,Donasi!$B$2:$B$20000,A5290))</f>
        <v/>
      </c>
      <c r="C5290">
        <f>IF(A5290="","",COUNTIF(Donasi!$B$2:$B$20000,A5290))</f>
        <v/>
      </c>
      <c r="D5290">
        <f>IF(A5290="","",SUMIF(Donasi!$B$2:$B$20000,A5290,Donasi!$C$2:$C$20000))</f>
        <v/>
      </c>
      <c r="E5290">
        <f>IF(A5290="","",6-CEILING(PERCENTRANK.INC($B$3:$B$6000,B5290,4)*5+0.000001,1))</f>
        <v/>
      </c>
      <c r="F5290">
        <f>IF(A5290="","",MAX(1,CEILING(PERCENTRANK.INC($C$3:$C$6000,C5290,4)*5+0.000001,1)))</f>
        <v/>
      </c>
      <c r="G5290">
        <f>IF(A5290="","",MAX(1,CEILING(PERCENTRANK.INC($D$3:$D$6000,D5290,4)*5+0.000001,1)))</f>
        <v/>
      </c>
      <c r="H5290">
        <f>IF(A5290="","",E5290&amp;F5290&amp;G5290)</f>
        <v/>
      </c>
      <c r="I5290">
        <f>IF(A5290="","",IF(AND(E5290&gt;=4,F5290&gt;=4,G5290&gt;=4),"Juara",IF(AND(F5290&gt;=4,E5290&gt;=3),"Setia",IF(AND(E5290=5,F5290&lt;=2,G5290&gt;=3),"Berpotensi",IF(AND(E5290&lt;=3,E5290&gt;=2,F5290&gt;=3),"Rawan",IF(AND(E5290&lt;=2,F5290&lt;=2),"Tidur","Umum"))))))</f>
        <v/>
      </c>
    </row>
    <row r="5291">
      <c r="B5291">
        <f>IF(A5291="","",$B$1-MAXIFS(Donasi!$A$2:$A$20000,Donasi!$B$2:$B$20000,A5291))</f>
        <v/>
      </c>
      <c r="C5291">
        <f>IF(A5291="","",COUNTIF(Donasi!$B$2:$B$20000,A5291))</f>
        <v/>
      </c>
      <c r="D5291">
        <f>IF(A5291="","",SUMIF(Donasi!$B$2:$B$20000,A5291,Donasi!$C$2:$C$20000))</f>
        <v/>
      </c>
      <c r="E5291">
        <f>IF(A5291="","",6-CEILING(PERCENTRANK.INC($B$3:$B$6000,B5291,4)*5+0.000001,1))</f>
        <v/>
      </c>
      <c r="F5291">
        <f>IF(A5291="","",MAX(1,CEILING(PERCENTRANK.INC($C$3:$C$6000,C5291,4)*5+0.000001,1)))</f>
        <v/>
      </c>
      <c r="G5291">
        <f>IF(A5291="","",MAX(1,CEILING(PERCENTRANK.INC($D$3:$D$6000,D5291,4)*5+0.000001,1)))</f>
        <v/>
      </c>
      <c r="H5291">
        <f>IF(A5291="","",E5291&amp;F5291&amp;G5291)</f>
        <v/>
      </c>
      <c r="I5291">
        <f>IF(A5291="","",IF(AND(E5291&gt;=4,F5291&gt;=4,G5291&gt;=4),"Juara",IF(AND(F5291&gt;=4,E5291&gt;=3),"Setia",IF(AND(E5291=5,F5291&lt;=2,G5291&gt;=3),"Berpotensi",IF(AND(E5291&lt;=3,E5291&gt;=2,F5291&gt;=3),"Rawan",IF(AND(E5291&lt;=2,F5291&lt;=2),"Tidur","Umum"))))))</f>
        <v/>
      </c>
    </row>
    <row r="5292">
      <c r="B5292">
        <f>IF(A5292="","",$B$1-MAXIFS(Donasi!$A$2:$A$20000,Donasi!$B$2:$B$20000,A5292))</f>
        <v/>
      </c>
      <c r="C5292">
        <f>IF(A5292="","",COUNTIF(Donasi!$B$2:$B$20000,A5292))</f>
        <v/>
      </c>
      <c r="D5292">
        <f>IF(A5292="","",SUMIF(Donasi!$B$2:$B$20000,A5292,Donasi!$C$2:$C$20000))</f>
        <v/>
      </c>
      <c r="E5292">
        <f>IF(A5292="","",6-CEILING(PERCENTRANK.INC($B$3:$B$6000,B5292,4)*5+0.000001,1))</f>
        <v/>
      </c>
      <c r="F5292">
        <f>IF(A5292="","",MAX(1,CEILING(PERCENTRANK.INC($C$3:$C$6000,C5292,4)*5+0.000001,1)))</f>
        <v/>
      </c>
      <c r="G5292">
        <f>IF(A5292="","",MAX(1,CEILING(PERCENTRANK.INC($D$3:$D$6000,D5292,4)*5+0.000001,1)))</f>
        <v/>
      </c>
      <c r="H5292">
        <f>IF(A5292="","",E5292&amp;F5292&amp;G5292)</f>
        <v/>
      </c>
      <c r="I5292">
        <f>IF(A5292="","",IF(AND(E5292&gt;=4,F5292&gt;=4,G5292&gt;=4),"Juara",IF(AND(F5292&gt;=4,E5292&gt;=3),"Setia",IF(AND(E5292=5,F5292&lt;=2,G5292&gt;=3),"Berpotensi",IF(AND(E5292&lt;=3,E5292&gt;=2,F5292&gt;=3),"Rawan",IF(AND(E5292&lt;=2,F5292&lt;=2),"Tidur","Umum"))))))</f>
        <v/>
      </c>
    </row>
    <row r="5293">
      <c r="B5293">
        <f>IF(A5293="","",$B$1-MAXIFS(Donasi!$A$2:$A$20000,Donasi!$B$2:$B$20000,A5293))</f>
        <v/>
      </c>
      <c r="C5293">
        <f>IF(A5293="","",COUNTIF(Donasi!$B$2:$B$20000,A5293))</f>
        <v/>
      </c>
      <c r="D5293">
        <f>IF(A5293="","",SUMIF(Donasi!$B$2:$B$20000,A5293,Donasi!$C$2:$C$20000))</f>
        <v/>
      </c>
      <c r="E5293">
        <f>IF(A5293="","",6-CEILING(PERCENTRANK.INC($B$3:$B$6000,B5293,4)*5+0.000001,1))</f>
        <v/>
      </c>
      <c r="F5293">
        <f>IF(A5293="","",MAX(1,CEILING(PERCENTRANK.INC($C$3:$C$6000,C5293,4)*5+0.000001,1)))</f>
        <v/>
      </c>
      <c r="G5293">
        <f>IF(A5293="","",MAX(1,CEILING(PERCENTRANK.INC($D$3:$D$6000,D5293,4)*5+0.000001,1)))</f>
        <v/>
      </c>
      <c r="H5293">
        <f>IF(A5293="","",E5293&amp;F5293&amp;G5293)</f>
        <v/>
      </c>
      <c r="I5293">
        <f>IF(A5293="","",IF(AND(E5293&gt;=4,F5293&gt;=4,G5293&gt;=4),"Juara",IF(AND(F5293&gt;=4,E5293&gt;=3),"Setia",IF(AND(E5293=5,F5293&lt;=2,G5293&gt;=3),"Berpotensi",IF(AND(E5293&lt;=3,E5293&gt;=2,F5293&gt;=3),"Rawan",IF(AND(E5293&lt;=2,F5293&lt;=2),"Tidur","Umum"))))))</f>
        <v/>
      </c>
    </row>
    <row r="5294">
      <c r="B5294">
        <f>IF(A5294="","",$B$1-MAXIFS(Donasi!$A$2:$A$20000,Donasi!$B$2:$B$20000,A5294))</f>
        <v/>
      </c>
      <c r="C5294">
        <f>IF(A5294="","",COUNTIF(Donasi!$B$2:$B$20000,A5294))</f>
        <v/>
      </c>
      <c r="D5294">
        <f>IF(A5294="","",SUMIF(Donasi!$B$2:$B$20000,A5294,Donasi!$C$2:$C$20000))</f>
        <v/>
      </c>
      <c r="E5294">
        <f>IF(A5294="","",6-CEILING(PERCENTRANK.INC($B$3:$B$6000,B5294,4)*5+0.000001,1))</f>
        <v/>
      </c>
      <c r="F5294">
        <f>IF(A5294="","",MAX(1,CEILING(PERCENTRANK.INC($C$3:$C$6000,C5294,4)*5+0.000001,1)))</f>
        <v/>
      </c>
      <c r="G5294">
        <f>IF(A5294="","",MAX(1,CEILING(PERCENTRANK.INC($D$3:$D$6000,D5294,4)*5+0.000001,1)))</f>
        <v/>
      </c>
      <c r="H5294">
        <f>IF(A5294="","",E5294&amp;F5294&amp;G5294)</f>
        <v/>
      </c>
      <c r="I5294">
        <f>IF(A5294="","",IF(AND(E5294&gt;=4,F5294&gt;=4,G5294&gt;=4),"Juara",IF(AND(F5294&gt;=4,E5294&gt;=3),"Setia",IF(AND(E5294=5,F5294&lt;=2,G5294&gt;=3),"Berpotensi",IF(AND(E5294&lt;=3,E5294&gt;=2,F5294&gt;=3),"Rawan",IF(AND(E5294&lt;=2,F5294&lt;=2),"Tidur","Umum"))))))</f>
        <v/>
      </c>
    </row>
    <row r="5295">
      <c r="B5295">
        <f>IF(A5295="","",$B$1-MAXIFS(Donasi!$A$2:$A$20000,Donasi!$B$2:$B$20000,A5295))</f>
        <v/>
      </c>
      <c r="C5295">
        <f>IF(A5295="","",COUNTIF(Donasi!$B$2:$B$20000,A5295))</f>
        <v/>
      </c>
      <c r="D5295">
        <f>IF(A5295="","",SUMIF(Donasi!$B$2:$B$20000,A5295,Donasi!$C$2:$C$20000))</f>
        <v/>
      </c>
      <c r="E5295">
        <f>IF(A5295="","",6-CEILING(PERCENTRANK.INC($B$3:$B$6000,B5295,4)*5+0.000001,1))</f>
        <v/>
      </c>
      <c r="F5295">
        <f>IF(A5295="","",MAX(1,CEILING(PERCENTRANK.INC($C$3:$C$6000,C5295,4)*5+0.000001,1)))</f>
        <v/>
      </c>
      <c r="G5295">
        <f>IF(A5295="","",MAX(1,CEILING(PERCENTRANK.INC($D$3:$D$6000,D5295,4)*5+0.000001,1)))</f>
        <v/>
      </c>
      <c r="H5295">
        <f>IF(A5295="","",E5295&amp;F5295&amp;G5295)</f>
        <v/>
      </c>
      <c r="I5295">
        <f>IF(A5295="","",IF(AND(E5295&gt;=4,F5295&gt;=4,G5295&gt;=4),"Juara",IF(AND(F5295&gt;=4,E5295&gt;=3),"Setia",IF(AND(E5295=5,F5295&lt;=2,G5295&gt;=3),"Berpotensi",IF(AND(E5295&lt;=3,E5295&gt;=2,F5295&gt;=3),"Rawan",IF(AND(E5295&lt;=2,F5295&lt;=2),"Tidur","Umum"))))))</f>
        <v/>
      </c>
    </row>
    <row r="5296">
      <c r="B5296">
        <f>IF(A5296="","",$B$1-MAXIFS(Donasi!$A$2:$A$20000,Donasi!$B$2:$B$20000,A5296))</f>
        <v/>
      </c>
      <c r="C5296">
        <f>IF(A5296="","",COUNTIF(Donasi!$B$2:$B$20000,A5296))</f>
        <v/>
      </c>
      <c r="D5296">
        <f>IF(A5296="","",SUMIF(Donasi!$B$2:$B$20000,A5296,Donasi!$C$2:$C$20000))</f>
        <v/>
      </c>
      <c r="E5296">
        <f>IF(A5296="","",6-CEILING(PERCENTRANK.INC($B$3:$B$6000,B5296,4)*5+0.000001,1))</f>
        <v/>
      </c>
      <c r="F5296">
        <f>IF(A5296="","",MAX(1,CEILING(PERCENTRANK.INC($C$3:$C$6000,C5296,4)*5+0.000001,1)))</f>
        <v/>
      </c>
      <c r="G5296">
        <f>IF(A5296="","",MAX(1,CEILING(PERCENTRANK.INC($D$3:$D$6000,D5296,4)*5+0.000001,1)))</f>
        <v/>
      </c>
      <c r="H5296">
        <f>IF(A5296="","",E5296&amp;F5296&amp;G5296)</f>
        <v/>
      </c>
      <c r="I5296">
        <f>IF(A5296="","",IF(AND(E5296&gt;=4,F5296&gt;=4,G5296&gt;=4),"Juara",IF(AND(F5296&gt;=4,E5296&gt;=3),"Setia",IF(AND(E5296=5,F5296&lt;=2,G5296&gt;=3),"Berpotensi",IF(AND(E5296&lt;=3,E5296&gt;=2,F5296&gt;=3),"Rawan",IF(AND(E5296&lt;=2,F5296&lt;=2),"Tidur","Umum"))))))</f>
        <v/>
      </c>
    </row>
    <row r="5297">
      <c r="B5297">
        <f>IF(A5297="","",$B$1-MAXIFS(Donasi!$A$2:$A$20000,Donasi!$B$2:$B$20000,A5297))</f>
        <v/>
      </c>
      <c r="C5297">
        <f>IF(A5297="","",COUNTIF(Donasi!$B$2:$B$20000,A5297))</f>
        <v/>
      </c>
      <c r="D5297">
        <f>IF(A5297="","",SUMIF(Donasi!$B$2:$B$20000,A5297,Donasi!$C$2:$C$20000))</f>
        <v/>
      </c>
      <c r="E5297">
        <f>IF(A5297="","",6-CEILING(PERCENTRANK.INC($B$3:$B$6000,B5297,4)*5+0.000001,1))</f>
        <v/>
      </c>
      <c r="F5297">
        <f>IF(A5297="","",MAX(1,CEILING(PERCENTRANK.INC($C$3:$C$6000,C5297,4)*5+0.000001,1)))</f>
        <v/>
      </c>
      <c r="G5297">
        <f>IF(A5297="","",MAX(1,CEILING(PERCENTRANK.INC($D$3:$D$6000,D5297,4)*5+0.000001,1)))</f>
        <v/>
      </c>
      <c r="H5297">
        <f>IF(A5297="","",E5297&amp;F5297&amp;G5297)</f>
        <v/>
      </c>
      <c r="I5297">
        <f>IF(A5297="","",IF(AND(E5297&gt;=4,F5297&gt;=4,G5297&gt;=4),"Juara",IF(AND(F5297&gt;=4,E5297&gt;=3),"Setia",IF(AND(E5297=5,F5297&lt;=2,G5297&gt;=3),"Berpotensi",IF(AND(E5297&lt;=3,E5297&gt;=2,F5297&gt;=3),"Rawan",IF(AND(E5297&lt;=2,F5297&lt;=2),"Tidur","Umum"))))))</f>
        <v/>
      </c>
    </row>
    <row r="5298">
      <c r="B5298">
        <f>IF(A5298="","",$B$1-MAXIFS(Donasi!$A$2:$A$20000,Donasi!$B$2:$B$20000,A5298))</f>
        <v/>
      </c>
      <c r="C5298">
        <f>IF(A5298="","",COUNTIF(Donasi!$B$2:$B$20000,A5298))</f>
        <v/>
      </c>
      <c r="D5298">
        <f>IF(A5298="","",SUMIF(Donasi!$B$2:$B$20000,A5298,Donasi!$C$2:$C$20000))</f>
        <v/>
      </c>
      <c r="E5298">
        <f>IF(A5298="","",6-CEILING(PERCENTRANK.INC($B$3:$B$6000,B5298,4)*5+0.000001,1))</f>
        <v/>
      </c>
      <c r="F5298">
        <f>IF(A5298="","",MAX(1,CEILING(PERCENTRANK.INC($C$3:$C$6000,C5298,4)*5+0.000001,1)))</f>
        <v/>
      </c>
      <c r="G5298">
        <f>IF(A5298="","",MAX(1,CEILING(PERCENTRANK.INC($D$3:$D$6000,D5298,4)*5+0.000001,1)))</f>
        <v/>
      </c>
      <c r="H5298">
        <f>IF(A5298="","",E5298&amp;F5298&amp;G5298)</f>
        <v/>
      </c>
      <c r="I5298">
        <f>IF(A5298="","",IF(AND(E5298&gt;=4,F5298&gt;=4,G5298&gt;=4),"Juara",IF(AND(F5298&gt;=4,E5298&gt;=3),"Setia",IF(AND(E5298=5,F5298&lt;=2,G5298&gt;=3),"Berpotensi",IF(AND(E5298&lt;=3,E5298&gt;=2,F5298&gt;=3),"Rawan",IF(AND(E5298&lt;=2,F5298&lt;=2),"Tidur","Umum"))))))</f>
        <v/>
      </c>
    </row>
    <row r="5299">
      <c r="B5299">
        <f>IF(A5299="","",$B$1-MAXIFS(Donasi!$A$2:$A$20000,Donasi!$B$2:$B$20000,A5299))</f>
        <v/>
      </c>
      <c r="C5299">
        <f>IF(A5299="","",COUNTIF(Donasi!$B$2:$B$20000,A5299))</f>
        <v/>
      </c>
      <c r="D5299">
        <f>IF(A5299="","",SUMIF(Donasi!$B$2:$B$20000,A5299,Donasi!$C$2:$C$20000))</f>
        <v/>
      </c>
      <c r="E5299">
        <f>IF(A5299="","",6-CEILING(PERCENTRANK.INC($B$3:$B$6000,B5299,4)*5+0.000001,1))</f>
        <v/>
      </c>
      <c r="F5299">
        <f>IF(A5299="","",MAX(1,CEILING(PERCENTRANK.INC($C$3:$C$6000,C5299,4)*5+0.000001,1)))</f>
        <v/>
      </c>
      <c r="G5299">
        <f>IF(A5299="","",MAX(1,CEILING(PERCENTRANK.INC($D$3:$D$6000,D5299,4)*5+0.000001,1)))</f>
        <v/>
      </c>
      <c r="H5299">
        <f>IF(A5299="","",E5299&amp;F5299&amp;G5299)</f>
        <v/>
      </c>
      <c r="I5299">
        <f>IF(A5299="","",IF(AND(E5299&gt;=4,F5299&gt;=4,G5299&gt;=4),"Juara",IF(AND(F5299&gt;=4,E5299&gt;=3),"Setia",IF(AND(E5299=5,F5299&lt;=2,G5299&gt;=3),"Berpotensi",IF(AND(E5299&lt;=3,E5299&gt;=2,F5299&gt;=3),"Rawan",IF(AND(E5299&lt;=2,F5299&lt;=2),"Tidur","Umum"))))))</f>
        <v/>
      </c>
    </row>
    <row r="5300">
      <c r="B5300">
        <f>IF(A5300="","",$B$1-MAXIFS(Donasi!$A$2:$A$20000,Donasi!$B$2:$B$20000,A5300))</f>
        <v/>
      </c>
      <c r="C5300">
        <f>IF(A5300="","",COUNTIF(Donasi!$B$2:$B$20000,A5300))</f>
        <v/>
      </c>
      <c r="D5300">
        <f>IF(A5300="","",SUMIF(Donasi!$B$2:$B$20000,A5300,Donasi!$C$2:$C$20000))</f>
        <v/>
      </c>
      <c r="E5300">
        <f>IF(A5300="","",6-CEILING(PERCENTRANK.INC($B$3:$B$6000,B5300,4)*5+0.000001,1))</f>
        <v/>
      </c>
      <c r="F5300">
        <f>IF(A5300="","",MAX(1,CEILING(PERCENTRANK.INC($C$3:$C$6000,C5300,4)*5+0.000001,1)))</f>
        <v/>
      </c>
      <c r="G5300">
        <f>IF(A5300="","",MAX(1,CEILING(PERCENTRANK.INC($D$3:$D$6000,D5300,4)*5+0.000001,1)))</f>
        <v/>
      </c>
      <c r="H5300">
        <f>IF(A5300="","",E5300&amp;F5300&amp;G5300)</f>
        <v/>
      </c>
      <c r="I5300">
        <f>IF(A5300="","",IF(AND(E5300&gt;=4,F5300&gt;=4,G5300&gt;=4),"Juara",IF(AND(F5300&gt;=4,E5300&gt;=3),"Setia",IF(AND(E5300=5,F5300&lt;=2,G5300&gt;=3),"Berpotensi",IF(AND(E5300&lt;=3,E5300&gt;=2,F5300&gt;=3),"Rawan",IF(AND(E5300&lt;=2,F5300&lt;=2),"Tidur","Umum"))))))</f>
        <v/>
      </c>
    </row>
    <row r="5301">
      <c r="B5301">
        <f>IF(A5301="","",$B$1-MAXIFS(Donasi!$A$2:$A$20000,Donasi!$B$2:$B$20000,A5301))</f>
        <v/>
      </c>
      <c r="C5301">
        <f>IF(A5301="","",COUNTIF(Donasi!$B$2:$B$20000,A5301))</f>
        <v/>
      </c>
      <c r="D5301">
        <f>IF(A5301="","",SUMIF(Donasi!$B$2:$B$20000,A5301,Donasi!$C$2:$C$20000))</f>
        <v/>
      </c>
      <c r="E5301">
        <f>IF(A5301="","",6-CEILING(PERCENTRANK.INC($B$3:$B$6000,B5301,4)*5+0.000001,1))</f>
        <v/>
      </c>
      <c r="F5301">
        <f>IF(A5301="","",MAX(1,CEILING(PERCENTRANK.INC($C$3:$C$6000,C5301,4)*5+0.000001,1)))</f>
        <v/>
      </c>
      <c r="G5301">
        <f>IF(A5301="","",MAX(1,CEILING(PERCENTRANK.INC($D$3:$D$6000,D5301,4)*5+0.000001,1)))</f>
        <v/>
      </c>
      <c r="H5301">
        <f>IF(A5301="","",E5301&amp;F5301&amp;G5301)</f>
        <v/>
      </c>
      <c r="I5301">
        <f>IF(A5301="","",IF(AND(E5301&gt;=4,F5301&gt;=4,G5301&gt;=4),"Juara",IF(AND(F5301&gt;=4,E5301&gt;=3),"Setia",IF(AND(E5301=5,F5301&lt;=2,G5301&gt;=3),"Berpotensi",IF(AND(E5301&lt;=3,E5301&gt;=2,F5301&gt;=3),"Rawan",IF(AND(E5301&lt;=2,F5301&lt;=2),"Tidur","Umum"))))))</f>
        <v/>
      </c>
    </row>
    <row r="5302">
      <c r="B5302">
        <f>IF(A5302="","",$B$1-MAXIFS(Donasi!$A$2:$A$20000,Donasi!$B$2:$B$20000,A5302))</f>
        <v/>
      </c>
      <c r="C5302">
        <f>IF(A5302="","",COUNTIF(Donasi!$B$2:$B$20000,A5302))</f>
        <v/>
      </c>
      <c r="D5302">
        <f>IF(A5302="","",SUMIF(Donasi!$B$2:$B$20000,A5302,Donasi!$C$2:$C$20000))</f>
        <v/>
      </c>
      <c r="E5302">
        <f>IF(A5302="","",6-CEILING(PERCENTRANK.INC($B$3:$B$6000,B5302,4)*5+0.000001,1))</f>
        <v/>
      </c>
      <c r="F5302">
        <f>IF(A5302="","",MAX(1,CEILING(PERCENTRANK.INC($C$3:$C$6000,C5302,4)*5+0.000001,1)))</f>
        <v/>
      </c>
      <c r="G5302">
        <f>IF(A5302="","",MAX(1,CEILING(PERCENTRANK.INC($D$3:$D$6000,D5302,4)*5+0.000001,1)))</f>
        <v/>
      </c>
      <c r="H5302">
        <f>IF(A5302="","",E5302&amp;F5302&amp;G5302)</f>
        <v/>
      </c>
      <c r="I5302">
        <f>IF(A5302="","",IF(AND(E5302&gt;=4,F5302&gt;=4,G5302&gt;=4),"Juara",IF(AND(F5302&gt;=4,E5302&gt;=3),"Setia",IF(AND(E5302=5,F5302&lt;=2,G5302&gt;=3),"Berpotensi",IF(AND(E5302&lt;=3,E5302&gt;=2,F5302&gt;=3),"Rawan",IF(AND(E5302&lt;=2,F5302&lt;=2),"Tidur","Umum"))))))</f>
        <v/>
      </c>
    </row>
    <row r="5303">
      <c r="B5303">
        <f>IF(A5303="","",$B$1-MAXIFS(Donasi!$A$2:$A$20000,Donasi!$B$2:$B$20000,A5303))</f>
        <v/>
      </c>
      <c r="C5303">
        <f>IF(A5303="","",COUNTIF(Donasi!$B$2:$B$20000,A5303))</f>
        <v/>
      </c>
      <c r="D5303">
        <f>IF(A5303="","",SUMIF(Donasi!$B$2:$B$20000,A5303,Donasi!$C$2:$C$20000))</f>
        <v/>
      </c>
      <c r="E5303">
        <f>IF(A5303="","",6-CEILING(PERCENTRANK.INC($B$3:$B$6000,B5303,4)*5+0.000001,1))</f>
        <v/>
      </c>
      <c r="F5303">
        <f>IF(A5303="","",MAX(1,CEILING(PERCENTRANK.INC($C$3:$C$6000,C5303,4)*5+0.000001,1)))</f>
        <v/>
      </c>
      <c r="G5303">
        <f>IF(A5303="","",MAX(1,CEILING(PERCENTRANK.INC($D$3:$D$6000,D5303,4)*5+0.000001,1)))</f>
        <v/>
      </c>
      <c r="H5303">
        <f>IF(A5303="","",E5303&amp;F5303&amp;G5303)</f>
        <v/>
      </c>
      <c r="I5303">
        <f>IF(A5303="","",IF(AND(E5303&gt;=4,F5303&gt;=4,G5303&gt;=4),"Juara",IF(AND(F5303&gt;=4,E5303&gt;=3),"Setia",IF(AND(E5303=5,F5303&lt;=2,G5303&gt;=3),"Berpotensi",IF(AND(E5303&lt;=3,E5303&gt;=2,F5303&gt;=3),"Rawan",IF(AND(E5303&lt;=2,F5303&lt;=2),"Tidur","Umum"))))))</f>
        <v/>
      </c>
    </row>
    <row r="5304">
      <c r="B5304">
        <f>IF(A5304="","",$B$1-MAXIFS(Donasi!$A$2:$A$20000,Donasi!$B$2:$B$20000,A5304))</f>
        <v/>
      </c>
      <c r="C5304">
        <f>IF(A5304="","",COUNTIF(Donasi!$B$2:$B$20000,A5304))</f>
        <v/>
      </c>
      <c r="D5304">
        <f>IF(A5304="","",SUMIF(Donasi!$B$2:$B$20000,A5304,Donasi!$C$2:$C$20000))</f>
        <v/>
      </c>
      <c r="E5304">
        <f>IF(A5304="","",6-CEILING(PERCENTRANK.INC($B$3:$B$6000,B5304,4)*5+0.000001,1))</f>
        <v/>
      </c>
      <c r="F5304">
        <f>IF(A5304="","",MAX(1,CEILING(PERCENTRANK.INC($C$3:$C$6000,C5304,4)*5+0.000001,1)))</f>
        <v/>
      </c>
      <c r="G5304">
        <f>IF(A5304="","",MAX(1,CEILING(PERCENTRANK.INC($D$3:$D$6000,D5304,4)*5+0.000001,1)))</f>
        <v/>
      </c>
      <c r="H5304">
        <f>IF(A5304="","",E5304&amp;F5304&amp;G5304)</f>
        <v/>
      </c>
      <c r="I5304">
        <f>IF(A5304="","",IF(AND(E5304&gt;=4,F5304&gt;=4,G5304&gt;=4),"Juara",IF(AND(F5304&gt;=4,E5304&gt;=3),"Setia",IF(AND(E5304=5,F5304&lt;=2,G5304&gt;=3),"Berpotensi",IF(AND(E5304&lt;=3,E5304&gt;=2,F5304&gt;=3),"Rawan",IF(AND(E5304&lt;=2,F5304&lt;=2),"Tidur","Umum"))))))</f>
        <v/>
      </c>
    </row>
    <row r="5305">
      <c r="B5305">
        <f>IF(A5305="","",$B$1-MAXIFS(Donasi!$A$2:$A$20000,Donasi!$B$2:$B$20000,A5305))</f>
        <v/>
      </c>
      <c r="C5305">
        <f>IF(A5305="","",COUNTIF(Donasi!$B$2:$B$20000,A5305))</f>
        <v/>
      </c>
      <c r="D5305">
        <f>IF(A5305="","",SUMIF(Donasi!$B$2:$B$20000,A5305,Donasi!$C$2:$C$20000))</f>
        <v/>
      </c>
      <c r="E5305">
        <f>IF(A5305="","",6-CEILING(PERCENTRANK.INC($B$3:$B$6000,B5305,4)*5+0.000001,1))</f>
        <v/>
      </c>
      <c r="F5305">
        <f>IF(A5305="","",MAX(1,CEILING(PERCENTRANK.INC($C$3:$C$6000,C5305,4)*5+0.000001,1)))</f>
        <v/>
      </c>
      <c r="G5305">
        <f>IF(A5305="","",MAX(1,CEILING(PERCENTRANK.INC($D$3:$D$6000,D5305,4)*5+0.000001,1)))</f>
        <v/>
      </c>
      <c r="H5305">
        <f>IF(A5305="","",E5305&amp;F5305&amp;G5305)</f>
        <v/>
      </c>
      <c r="I5305">
        <f>IF(A5305="","",IF(AND(E5305&gt;=4,F5305&gt;=4,G5305&gt;=4),"Juara",IF(AND(F5305&gt;=4,E5305&gt;=3),"Setia",IF(AND(E5305=5,F5305&lt;=2,G5305&gt;=3),"Berpotensi",IF(AND(E5305&lt;=3,E5305&gt;=2,F5305&gt;=3),"Rawan",IF(AND(E5305&lt;=2,F5305&lt;=2),"Tidur","Umum"))))))</f>
        <v/>
      </c>
    </row>
    <row r="5306">
      <c r="B5306">
        <f>IF(A5306="","",$B$1-MAXIFS(Donasi!$A$2:$A$20000,Donasi!$B$2:$B$20000,A5306))</f>
        <v/>
      </c>
      <c r="C5306">
        <f>IF(A5306="","",COUNTIF(Donasi!$B$2:$B$20000,A5306))</f>
        <v/>
      </c>
      <c r="D5306">
        <f>IF(A5306="","",SUMIF(Donasi!$B$2:$B$20000,A5306,Donasi!$C$2:$C$20000))</f>
        <v/>
      </c>
      <c r="E5306">
        <f>IF(A5306="","",6-CEILING(PERCENTRANK.INC($B$3:$B$6000,B5306,4)*5+0.000001,1))</f>
        <v/>
      </c>
      <c r="F5306">
        <f>IF(A5306="","",MAX(1,CEILING(PERCENTRANK.INC($C$3:$C$6000,C5306,4)*5+0.000001,1)))</f>
        <v/>
      </c>
      <c r="G5306">
        <f>IF(A5306="","",MAX(1,CEILING(PERCENTRANK.INC($D$3:$D$6000,D5306,4)*5+0.000001,1)))</f>
        <v/>
      </c>
      <c r="H5306">
        <f>IF(A5306="","",E5306&amp;F5306&amp;G5306)</f>
        <v/>
      </c>
      <c r="I5306">
        <f>IF(A5306="","",IF(AND(E5306&gt;=4,F5306&gt;=4,G5306&gt;=4),"Juara",IF(AND(F5306&gt;=4,E5306&gt;=3),"Setia",IF(AND(E5306=5,F5306&lt;=2,G5306&gt;=3),"Berpotensi",IF(AND(E5306&lt;=3,E5306&gt;=2,F5306&gt;=3),"Rawan",IF(AND(E5306&lt;=2,F5306&lt;=2),"Tidur","Umum"))))))</f>
        <v/>
      </c>
    </row>
    <row r="5307">
      <c r="B5307">
        <f>IF(A5307="","",$B$1-MAXIFS(Donasi!$A$2:$A$20000,Donasi!$B$2:$B$20000,A5307))</f>
        <v/>
      </c>
      <c r="C5307">
        <f>IF(A5307="","",COUNTIF(Donasi!$B$2:$B$20000,A5307))</f>
        <v/>
      </c>
      <c r="D5307">
        <f>IF(A5307="","",SUMIF(Donasi!$B$2:$B$20000,A5307,Donasi!$C$2:$C$20000))</f>
        <v/>
      </c>
      <c r="E5307">
        <f>IF(A5307="","",6-CEILING(PERCENTRANK.INC($B$3:$B$6000,B5307,4)*5+0.000001,1))</f>
        <v/>
      </c>
      <c r="F5307">
        <f>IF(A5307="","",MAX(1,CEILING(PERCENTRANK.INC($C$3:$C$6000,C5307,4)*5+0.000001,1)))</f>
        <v/>
      </c>
      <c r="G5307">
        <f>IF(A5307="","",MAX(1,CEILING(PERCENTRANK.INC($D$3:$D$6000,D5307,4)*5+0.000001,1)))</f>
        <v/>
      </c>
      <c r="H5307">
        <f>IF(A5307="","",E5307&amp;F5307&amp;G5307)</f>
        <v/>
      </c>
      <c r="I5307">
        <f>IF(A5307="","",IF(AND(E5307&gt;=4,F5307&gt;=4,G5307&gt;=4),"Juara",IF(AND(F5307&gt;=4,E5307&gt;=3),"Setia",IF(AND(E5307=5,F5307&lt;=2,G5307&gt;=3),"Berpotensi",IF(AND(E5307&lt;=3,E5307&gt;=2,F5307&gt;=3),"Rawan",IF(AND(E5307&lt;=2,F5307&lt;=2),"Tidur","Umum"))))))</f>
        <v/>
      </c>
    </row>
    <row r="5308">
      <c r="B5308">
        <f>IF(A5308="","",$B$1-MAXIFS(Donasi!$A$2:$A$20000,Donasi!$B$2:$B$20000,A5308))</f>
        <v/>
      </c>
      <c r="C5308">
        <f>IF(A5308="","",COUNTIF(Donasi!$B$2:$B$20000,A5308))</f>
        <v/>
      </c>
      <c r="D5308">
        <f>IF(A5308="","",SUMIF(Donasi!$B$2:$B$20000,A5308,Donasi!$C$2:$C$20000))</f>
        <v/>
      </c>
      <c r="E5308">
        <f>IF(A5308="","",6-CEILING(PERCENTRANK.INC($B$3:$B$6000,B5308,4)*5+0.000001,1))</f>
        <v/>
      </c>
      <c r="F5308">
        <f>IF(A5308="","",MAX(1,CEILING(PERCENTRANK.INC($C$3:$C$6000,C5308,4)*5+0.000001,1)))</f>
        <v/>
      </c>
      <c r="G5308">
        <f>IF(A5308="","",MAX(1,CEILING(PERCENTRANK.INC($D$3:$D$6000,D5308,4)*5+0.000001,1)))</f>
        <v/>
      </c>
      <c r="H5308">
        <f>IF(A5308="","",E5308&amp;F5308&amp;G5308)</f>
        <v/>
      </c>
      <c r="I5308">
        <f>IF(A5308="","",IF(AND(E5308&gt;=4,F5308&gt;=4,G5308&gt;=4),"Juara",IF(AND(F5308&gt;=4,E5308&gt;=3),"Setia",IF(AND(E5308=5,F5308&lt;=2,G5308&gt;=3),"Berpotensi",IF(AND(E5308&lt;=3,E5308&gt;=2,F5308&gt;=3),"Rawan",IF(AND(E5308&lt;=2,F5308&lt;=2),"Tidur","Umum"))))))</f>
        <v/>
      </c>
    </row>
    <row r="5309">
      <c r="B5309">
        <f>IF(A5309="","",$B$1-MAXIFS(Donasi!$A$2:$A$20000,Donasi!$B$2:$B$20000,A5309))</f>
        <v/>
      </c>
      <c r="C5309">
        <f>IF(A5309="","",COUNTIF(Donasi!$B$2:$B$20000,A5309))</f>
        <v/>
      </c>
      <c r="D5309">
        <f>IF(A5309="","",SUMIF(Donasi!$B$2:$B$20000,A5309,Donasi!$C$2:$C$20000))</f>
        <v/>
      </c>
      <c r="E5309">
        <f>IF(A5309="","",6-CEILING(PERCENTRANK.INC($B$3:$B$6000,B5309,4)*5+0.000001,1))</f>
        <v/>
      </c>
      <c r="F5309">
        <f>IF(A5309="","",MAX(1,CEILING(PERCENTRANK.INC($C$3:$C$6000,C5309,4)*5+0.000001,1)))</f>
        <v/>
      </c>
      <c r="G5309">
        <f>IF(A5309="","",MAX(1,CEILING(PERCENTRANK.INC($D$3:$D$6000,D5309,4)*5+0.000001,1)))</f>
        <v/>
      </c>
      <c r="H5309">
        <f>IF(A5309="","",E5309&amp;F5309&amp;G5309)</f>
        <v/>
      </c>
      <c r="I5309">
        <f>IF(A5309="","",IF(AND(E5309&gt;=4,F5309&gt;=4,G5309&gt;=4),"Juara",IF(AND(F5309&gt;=4,E5309&gt;=3),"Setia",IF(AND(E5309=5,F5309&lt;=2,G5309&gt;=3),"Berpotensi",IF(AND(E5309&lt;=3,E5309&gt;=2,F5309&gt;=3),"Rawan",IF(AND(E5309&lt;=2,F5309&lt;=2),"Tidur","Umum"))))))</f>
        <v/>
      </c>
    </row>
    <row r="5310">
      <c r="B5310">
        <f>IF(A5310="","",$B$1-MAXIFS(Donasi!$A$2:$A$20000,Donasi!$B$2:$B$20000,A5310))</f>
        <v/>
      </c>
      <c r="C5310">
        <f>IF(A5310="","",COUNTIF(Donasi!$B$2:$B$20000,A5310))</f>
        <v/>
      </c>
      <c r="D5310">
        <f>IF(A5310="","",SUMIF(Donasi!$B$2:$B$20000,A5310,Donasi!$C$2:$C$20000))</f>
        <v/>
      </c>
      <c r="E5310">
        <f>IF(A5310="","",6-CEILING(PERCENTRANK.INC($B$3:$B$6000,B5310,4)*5+0.000001,1))</f>
        <v/>
      </c>
      <c r="F5310">
        <f>IF(A5310="","",MAX(1,CEILING(PERCENTRANK.INC($C$3:$C$6000,C5310,4)*5+0.000001,1)))</f>
        <v/>
      </c>
      <c r="G5310">
        <f>IF(A5310="","",MAX(1,CEILING(PERCENTRANK.INC($D$3:$D$6000,D5310,4)*5+0.000001,1)))</f>
        <v/>
      </c>
      <c r="H5310">
        <f>IF(A5310="","",E5310&amp;F5310&amp;G5310)</f>
        <v/>
      </c>
      <c r="I5310">
        <f>IF(A5310="","",IF(AND(E5310&gt;=4,F5310&gt;=4,G5310&gt;=4),"Juara",IF(AND(F5310&gt;=4,E5310&gt;=3),"Setia",IF(AND(E5310=5,F5310&lt;=2,G5310&gt;=3),"Berpotensi",IF(AND(E5310&lt;=3,E5310&gt;=2,F5310&gt;=3),"Rawan",IF(AND(E5310&lt;=2,F5310&lt;=2),"Tidur","Umum"))))))</f>
        <v/>
      </c>
    </row>
    <row r="5311">
      <c r="B5311">
        <f>IF(A5311="","",$B$1-MAXIFS(Donasi!$A$2:$A$20000,Donasi!$B$2:$B$20000,A5311))</f>
        <v/>
      </c>
      <c r="C5311">
        <f>IF(A5311="","",COUNTIF(Donasi!$B$2:$B$20000,A5311))</f>
        <v/>
      </c>
      <c r="D5311">
        <f>IF(A5311="","",SUMIF(Donasi!$B$2:$B$20000,A5311,Donasi!$C$2:$C$20000))</f>
        <v/>
      </c>
      <c r="E5311">
        <f>IF(A5311="","",6-CEILING(PERCENTRANK.INC($B$3:$B$6000,B5311,4)*5+0.000001,1))</f>
        <v/>
      </c>
      <c r="F5311">
        <f>IF(A5311="","",MAX(1,CEILING(PERCENTRANK.INC($C$3:$C$6000,C5311,4)*5+0.000001,1)))</f>
        <v/>
      </c>
      <c r="G5311">
        <f>IF(A5311="","",MAX(1,CEILING(PERCENTRANK.INC($D$3:$D$6000,D5311,4)*5+0.000001,1)))</f>
        <v/>
      </c>
      <c r="H5311">
        <f>IF(A5311="","",E5311&amp;F5311&amp;G5311)</f>
        <v/>
      </c>
      <c r="I5311">
        <f>IF(A5311="","",IF(AND(E5311&gt;=4,F5311&gt;=4,G5311&gt;=4),"Juara",IF(AND(F5311&gt;=4,E5311&gt;=3),"Setia",IF(AND(E5311=5,F5311&lt;=2,G5311&gt;=3),"Berpotensi",IF(AND(E5311&lt;=3,E5311&gt;=2,F5311&gt;=3),"Rawan",IF(AND(E5311&lt;=2,F5311&lt;=2),"Tidur","Umum"))))))</f>
        <v/>
      </c>
    </row>
    <row r="5312">
      <c r="B5312">
        <f>IF(A5312="","",$B$1-MAXIFS(Donasi!$A$2:$A$20000,Donasi!$B$2:$B$20000,A5312))</f>
        <v/>
      </c>
      <c r="C5312">
        <f>IF(A5312="","",COUNTIF(Donasi!$B$2:$B$20000,A5312))</f>
        <v/>
      </c>
      <c r="D5312">
        <f>IF(A5312="","",SUMIF(Donasi!$B$2:$B$20000,A5312,Donasi!$C$2:$C$20000))</f>
        <v/>
      </c>
      <c r="E5312">
        <f>IF(A5312="","",6-CEILING(PERCENTRANK.INC($B$3:$B$6000,B5312,4)*5+0.000001,1))</f>
        <v/>
      </c>
      <c r="F5312">
        <f>IF(A5312="","",MAX(1,CEILING(PERCENTRANK.INC($C$3:$C$6000,C5312,4)*5+0.000001,1)))</f>
        <v/>
      </c>
      <c r="G5312">
        <f>IF(A5312="","",MAX(1,CEILING(PERCENTRANK.INC($D$3:$D$6000,D5312,4)*5+0.000001,1)))</f>
        <v/>
      </c>
      <c r="H5312">
        <f>IF(A5312="","",E5312&amp;F5312&amp;G5312)</f>
        <v/>
      </c>
      <c r="I5312">
        <f>IF(A5312="","",IF(AND(E5312&gt;=4,F5312&gt;=4,G5312&gt;=4),"Juara",IF(AND(F5312&gt;=4,E5312&gt;=3),"Setia",IF(AND(E5312=5,F5312&lt;=2,G5312&gt;=3),"Berpotensi",IF(AND(E5312&lt;=3,E5312&gt;=2,F5312&gt;=3),"Rawan",IF(AND(E5312&lt;=2,F5312&lt;=2),"Tidur","Umum"))))))</f>
        <v/>
      </c>
    </row>
    <row r="5313">
      <c r="B5313">
        <f>IF(A5313="","",$B$1-MAXIFS(Donasi!$A$2:$A$20000,Donasi!$B$2:$B$20000,A5313))</f>
        <v/>
      </c>
      <c r="C5313">
        <f>IF(A5313="","",COUNTIF(Donasi!$B$2:$B$20000,A5313))</f>
        <v/>
      </c>
      <c r="D5313">
        <f>IF(A5313="","",SUMIF(Donasi!$B$2:$B$20000,A5313,Donasi!$C$2:$C$20000))</f>
        <v/>
      </c>
      <c r="E5313">
        <f>IF(A5313="","",6-CEILING(PERCENTRANK.INC($B$3:$B$6000,B5313,4)*5+0.000001,1))</f>
        <v/>
      </c>
      <c r="F5313">
        <f>IF(A5313="","",MAX(1,CEILING(PERCENTRANK.INC($C$3:$C$6000,C5313,4)*5+0.000001,1)))</f>
        <v/>
      </c>
      <c r="G5313">
        <f>IF(A5313="","",MAX(1,CEILING(PERCENTRANK.INC($D$3:$D$6000,D5313,4)*5+0.000001,1)))</f>
        <v/>
      </c>
      <c r="H5313">
        <f>IF(A5313="","",E5313&amp;F5313&amp;G5313)</f>
        <v/>
      </c>
      <c r="I5313">
        <f>IF(A5313="","",IF(AND(E5313&gt;=4,F5313&gt;=4,G5313&gt;=4),"Juara",IF(AND(F5313&gt;=4,E5313&gt;=3),"Setia",IF(AND(E5313=5,F5313&lt;=2,G5313&gt;=3),"Berpotensi",IF(AND(E5313&lt;=3,E5313&gt;=2,F5313&gt;=3),"Rawan",IF(AND(E5313&lt;=2,F5313&lt;=2),"Tidur","Umum"))))))</f>
        <v/>
      </c>
    </row>
    <row r="5314">
      <c r="B5314">
        <f>IF(A5314="","",$B$1-MAXIFS(Donasi!$A$2:$A$20000,Donasi!$B$2:$B$20000,A5314))</f>
        <v/>
      </c>
      <c r="C5314">
        <f>IF(A5314="","",COUNTIF(Donasi!$B$2:$B$20000,A5314))</f>
        <v/>
      </c>
      <c r="D5314">
        <f>IF(A5314="","",SUMIF(Donasi!$B$2:$B$20000,A5314,Donasi!$C$2:$C$20000))</f>
        <v/>
      </c>
      <c r="E5314">
        <f>IF(A5314="","",6-CEILING(PERCENTRANK.INC($B$3:$B$6000,B5314,4)*5+0.000001,1))</f>
        <v/>
      </c>
      <c r="F5314">
        <f>IF(A5314="","",MAX(1,CEILING(PERCENTRANK.INC($C$3:$C$6000,C5314,4)*5+0.000001,1)))</f>
        <v/>
      </c>
      <c r="G5314">
        <f>IF(A5314="","",MAX(1,CEILING(PERCENTRANK.INC($D$3:$D$6000,D5314,4)*5+0.000001,1)))</f>
        <v/>
      </c>
      <c r="H5314">
        <f>IF(A5314="","",E5314&amp;F5314&amp;G5314)</f>
        <v/>
      </c>
      <c r="I5314">
        <f>IF(A5314="","",IF(AND(E5314&gt;=4,F5314&gt;=4,G5314&gt;=4),"Juara",IF(AND(F5314&gt;=4,E5314&gt;=3),"Setia",IF(AND(E5314=5,F5314&lt;=2,G5314&gt;=3),"Berpotensi",IF(AND(E5314&lt;=3,E5314&gt;=2,F5314&gt;=3),"Rawan",IF(AND(E5314&lt;=2,F5314&lt;=2),"Tidur","Umum"))))))</f>
        <v/>
      </c>
    </row>
    <row r="5315">
      <c r="B5315">
        <f>IF(A5315="","",$B$1-MAXIFS(Donasi!$A$2:$A$20000,Donasi!$B$2:$B$20000,A5315))</f>
        <v/>
      </c>
      <c r="C5315">
        <f>IF(A5315="","",COUNTIF(Donasi!$B$2:$B$20000,A5315))</f>
        <v/>
      </c>
      <c r="D5315">
        <f>IF(A5315="","",SUMIF(Donasi!$B$2:$B$20000,A5315,Donasi!$C$2:$C$20000))</f>
        <v/>
      </c>
      <c r="E5315">
        <f>IF(A5315="","",6-CEILING(PERCENTRANK.INC($B$3:$B$6000,B5315,4)*5+0.000001,1))</f>
        <v/>
      </c>
      <c r="F5315">
        <f>IF(A5315="","",MAX(1,CEILING(PERCENTRANK.INC($C$3:$C$6000,C5315,4)*5+0.000001,1)))</f>
        <v/>
      </c>
      <c r="G5315">
        <f>IF(A5315="","",MAX(1,CEILING(PERCENTRANK.INC($D$3:$D$6000,D5315,4)*5+0.000001,1)))</f>
        <v/>
      </c>
      <c r="H5315">
        <f>IF(A5315="","",E5315&amp;F5315&amp;G5315)</f>
        <v/>
      </c>
      <c r="I5315">
        <f>IF(A5315="","",IF(AND(E5315&gt;=4,F5315&gt;=4,G5315&gt;=4),"Juara",IF(AND(F5315&gt;=4,E5315&gt;=3),"Setia",IF(AND(E5315=5,F5315&lt;=2,G5315&gt;=3),"Berpotensi",IF(AND(E5315&lt;=3,E5315&gt;=2,F5315&gt;=3),"Rawan",IF(AND(E5315&lt;=2,F5315&lt;=2),"Tidur","Umum"))))))</f>
        <v/>
      </c>
    </row>
    <row r="5316">
      <c r="B5316">
        <f>IF(A5316="","",$B$1-MAXIFS(Donasi!$A$2:$A$20000,Donasi!$B$2:$B$20000,A5316))</f>
        <v/>
      </c>
      <c r="C5316">
        <f>IF(A5316="","",COUNTIF(Donasi!$B$2:$B$20000,A5316))</f>
        <v/>
      </c>
      <c r="D5316">
        <f>IF(A5316="","",SUMIF(Donasi!$B$2:$B$20000,A5316,Donasi!$C$2:$C$20000))</f>
        <v/>
      </c>
      <c r="E5316">
        <f>IF(A5316="","",6-CEILING(PERCENTRANK.INC($B$3:$B$6000,B5316,4)*5+0.000001,1))</f>
        <v/>
      </c>
      <c r="F5316">
        <f>IF(A5316="","",MAX(1,CEILING(PERCENTRANK.INC($C$3:$C$6000,C5316,4)*5+0.000001,1)))</f>
        <v/>
      </c>
      <c r="G5316">
        <f>IF(A5316="","",MAX(1,CEILING(PERCENTRANK.INC($D$3:$D$6000,D5316,4)*5+0.000001,1)))</f>
        <v/>
      </c>
      <c r="H5316">
        <f>IF(A5316="","",E5316&amp;F5316&amp;G5316)</f>
        <v/>
      </c>
      <c r="I5316">
        <f>IF(A5316="","",IF(AND(E5316&gt;=4,F5316&gt;=4,G5316&gt;=4),"Juara",IF(AND(F5316&gt;=4,E5316&gt;=3),"Setia",IF(AND(E5316=5,F5316&lt;=2,G5316&gt;=3),"Berpotensi",IF(AND(E5316&lt;=3,E5316&gt;=2,F5316&gt;=3),"Rawan",IF(AND(E5316&lt;=2,F5316&lt;=2),"Tidur","Umum"))))))</f>
        <v/>
      </c>
    </row>
    <row r="5317">
      <c r="B5317">
        <f>IF(A5317="","",$B$1-MAXIFS(Donasi!$A$2:$A$20000,Donasi!$B$2:$B$20000,A5317))</f>
        <v/>
      </c>
      <c r="C5317">
        <f>IF(A5317="","",COUNTIF(Donasi!$B$2:$B$20000,A5317))</f>
        <v/>
      </c>
      <c r="D5317">
        <f>IF(A5317="","",SUMIF(Donasi!$B$2:$B$20000,A5317,Donasi!$C$2:$C$20000))</f>
        <v/>
      </c>
      <c r="E5317">
        <f>IF(A5317="","",6-CEILING(PERCENTRANK.INC($B$3:$B$6000,B5317,4)*5+0.000001,1))</f>
        <v/>
      </c>
      <c r="F5317">
        <f>IF(A5317="","",MAX(1,CEILING(PERCENTRANK.INC($C$3:$C$6000,C5317,4)*5+0.000001,1)))</f>
        <v/>
      </c>
      <c r="G5317">
        <f>IF(A5317="","",MAX(1,CEILING(PERCENTRANK.INC($D$3:$D$6000,D5317,4)*5+0.000001,1)))</f>
        <v/>
      </c>
      <c r="H5317">
        <f>IF(A5317="","",E5317&amp;F5317&amp;G5317)</f>
        <v/>
      </c>
      <c r="I5317">
        <f>IF(A5317="","",IF(AND(E5317&gt;=4,F5317&gt;=4,G5317&gt;=4),"Juara",IF(AND(F5317&gt;=4,E5317&gt;=3),"Setia",IF(AND(E5317=5,F5317&lt;=2,G5317&gt;=3),"Berpotensi",IF(AND(E5317&lt;=3,E5317&gt;=2,F5317&gt;=3),"Rawan",IF(AND(E5317&lt;=2,F5317&lt;=2),"Tidur","Umum"))))))</f>
        <v/>
      </c>
    </row>
    <row r="5318">
      <c r="B5318">
        <f>IF(A5318="","",$B$1-MAXIFS(Donasi!$A$2:$A$20000,Donasi!$B$2:$B$20000,A5318))</f>
        <v/>
      </c>
      <c r="C5318">
        <f>IF(A5318="","",COUNTIF(Donasi!$B$2:$B$20000,A5318))</f>
        <v/>
      </c>
      <c r="D5318">
        <f>IF(A5318="","",SUMIF(Donasi!$B$2:$B$20000,A5318,Donasi!$C$2:$C$20000))</f>
        <v/>
      </c>
      <c r="E5318">
        <f>IF(A5318="","",6-CEILING(PERCENTRANK.INC($B$3:$B$6000,B5318,4)*5+0.000001,1))</f>
        <v/>
      </c>
      <c r="F5318">
        <f>IF(A5318="","",MAX(1,CEILING(PERCENTRANK.INC($C$3:$C$6000,C5318,4)*5+0.000001,1)))</f>
        <v/>
      </c>
      <c r="G5318">
        <f>IF(A5318="","",MAX(1,CEILING(PERCENTRANK.INC($D$3:$D$6000,D5318,4)*5+0.000001,1)))</f>
        <v/>
      </c>
      <c r="H5318">
        <f>IF(A5318="","",E5318&amp;F5318&amp;G5318)</f>
        <v/>
      </c>
      <c r="I5318">
        <f>IF(A5318="","",IF(AND(E5318&gt;=4,F5318&gt;=4,G5318&gt;=4),"Juara",IF(AND(F5318&gt;=4,E5318&gt;=3),"Setia",IF(AND(E5318=5,F5318&lt;=2,G5318&gt;=3),"Berpotensi",IF(AND(E5318&lt;=3,E5318&gt;=2,F5318&gt;=3),"Rawan",IF(AND(E5318&lt;=2,F5318&lt;=2),"Tidur","Umum"))))))</f>
        <v/>
      </c>
    </row>
    <row r="5319">
      <c r="B5319">
        <f>IF(A5319="","",$B$1-MAXIFS(Donasi!$A$2:$A$20000,Donasi!$B$2:$B$20000,A5319))</f>
        <v/>
      </c>
      <c r="C5319">
        <f>IF(A5319="","",COUNTIF(Donasi!$B$2:$B$20000,A5319))</f>
        <v/>
      </c>
      <c r="D5319">
        <f>IF(A5319="","",SUMIF(Donasi!$B$2:$B$20000,A5319,Donasi!$C$2:$C$20000))</f>
        <v/>
      </c>
      <c r="E5319">
        <f>IF(A5319="","",6-CEILING(PERCENTRANK.INC($B$3:$B$6000,B5319,4)*5+0.000001,1))</f>
        <v/>
      </c>
      <c r="F5319">
        <f>IF(A5319="","",MAX(1,CEILING(PERCENTRANK.INC($C$3:$C$6000,C5319,4)*5+0.000001,1)))</f>
        <v/>
      </c>
      <c r="G5319">
        <f>IF(A5319="","",MAX(1,CEILING(PERCENTRANK.INC($D$3:$D$6000,D5319,4)*5+0.000001,1)))</f>
        <v/>
      </c>
      <c r="H5319">
        <f>IF(A5319="","",E5319&amp;F5319&amp;G5319)</f>
        <v/>
      </c>
      <c r="I5319">
        <f>IF(A5319="","",IF(AND(E5319&gt;=4,F5319&gt;=4,G5319&gt;=4),"Juara",IF(AND(F5319&gt;=4,E5319&gt;=3),"Setia",IF(AND(E5319=5,F5319&lt;=2,G5319&gt;=3),"Berpotensi",IF(AND(E5319&lt;=3,E5319&gt;=2,F5319&gt;=3),"Rawan",IF(AND(E5319&lt;=2,F5319&lt;=2),"Tidur","Umum"))))))</f>
        <v/>
      </c>
    </row>
    <row r="5320">
      <c r="B5320">
        <f>IF(A5320="","",$B$1-MAXIFS(Donasi!$A$2:$A$20000,Donasi!$B$2:$B$20000,A5320))</f>
        <v/>
      </c>
      <c r="C5320">
        <f>IF(A5320="","",COUNTIF(Donasi!$B$2:$B$20000,A5320))</f>
        <v/>
      </c>
      <c r="D5320">
        <f>IF(A5320="","",SUMIF(Donasi!$B$2:$B$20000,A5320,Donasi!$C$2:$C$20000))</f>
        <v/>
      </c>
      <c r="E5320">
        <f>IF(A5320="","",6-CEILING(PERCENTRANK.INC($B$3:$B$6000,B5320,4)*5+0.000001,1))</f>
        <v/>
      </c>
      <c r="F5320">
        <f>IF(A5320="","",MAX(1,CEILING(PERCENTRANK.INC($C$3:$C$6000,C5320,4)*5+0.000001,1)))</f>
        <v/>
      </c>
      <c r="G5320">
        <f>IF(A5320="","",MAX(1,CEILING(PERCENTRANK.INC($D$3:$D$6000,D5320,4)*5+0.000001,1)))</f>
        <v/>
      </c>
      <c r="H5320">
        <f>IF(A5320="","",E5320&amp;F5320&amp;G5320)</f>
        <v/>
      </c>
      <c r="I5320">
        <f>IF(A5320="","",IF(AND(E5320&gt;=4,F5320&gt;=4,G5320&gt;=4),"Juara",IF(AND(F5320&gt;=4,E5320&gt;=3),"Setia",IF(AND(E5320=5,F5320&lt;=2,G5320&gt;=3),"Berpotensi",IF(AND(E5320&lt;=3,E5320&gt;=2,F5320&gt;=3),"Rawan",IF(AND(E5320&lt;=2,F5320&lt;=2),"Tidur","Umum"))))))</f>
        <v/>
      </c>
    </row>
    <row r="5321">
      <c r="B5321">
        <f>IF(A5321="","",$B$1-MAXIFS(Donasi!$A$2:$A$20000,Donasi!$B$2:$B$20000,A5321))</f>
        <v/>
      </c>
      <c r="C5321">
        <f>IF(A5321="","",COUNTIF(Donasi!$B$2:$B$20000,A5321))</f>
        <v/>
      </c>
      <c r="D5321">
        <f>IF(A5321="","",SUMIF(Donasi!$B$2:$B$20000,A5321,Donasi!$C$2:$C$20000))</f>
        <v/>
      </c>
      <c r="E5321">
        <f>IF(A5321="","",6-CEILING(PERCENTRANK.INC($B$3:$B$6000,B5321,4)*5+0.000001,1))</f>
        <v/>
      </c>
      <c r="F5321">
        <f>IF(A5321="","",MAX(1,CEILING(PERCENTRANK.INC($C$3:$C$6000,C5321,4)*5+0.000001,1)))</f>
        <v/>
      </c>
      <c r="G5321">
        <f>IF(A5321="","",MAX(1,CEILING(PERCENTRANK.INC($D$3:$D$6000,D5321,4)*5+0.000001,1)))</f>
        <v/>
      </c>
      <c r="H5321">
        <f>IF(A5321="","",E5321&amp;F5321&amp;G5321)</f>
        <v/>
      </c>
      <c r="I5321">
        <f>IF(A5321="","",IF(AND(E5321&gt;=4,F5321&gt;=4,G5321&gt;=4),"Juara",IF(AND(F5321&gt;=4,E5321&gt;=3),"Setia",IF(AND(E5321=5,F5321&lt;=2,G5321&gt;=3),"Berpotensi",IF(AND(E5321&lt;=3,E5321&gt;=2,F5321&gt;=3),"Rawan",IF(AND(E5321&lt;=2,F5321&lt;=2),"Tidur","Umum"))))))</f>
        <v/>
      </c>
    </row>
    <row r="5322">
      <c r="B5322">
        <f>IF(A5322="","",$B$1-MAXIFS(Donasi!$A$2:$A$20000,Donasi!$B$2:$B$20000,A5322))</f>
        <v/>
      </c>
      <c r="C5322">
        <f>IF(A5322="","",COUNTIF(Donasi!$B$2:$B$20000,A5322))</f>
        <v/>
      </c>
      <c r="D5322">
        <f>IF(A5322="","",SUMIF(Donasi!$B$2:$B$20000,A5322,Donasi!$C$2:$C$20000))</f>
        <v/>
      </c>
      <c r="E5322">
        <f>IF(A5322="","",6-CEILING(PERCENTRANK.INC($B$3:$B$6000,B5322,4)*5+0.000001,1))</f>
        <v/>
      </c>
      <c r="F5322">
        <f>IF(A5322="","",MAX(1,CEILING(PERCENTRANK.INC($C$3:$C$6000,C5322,4)*5+0.000001,1)))</f>
        <v/>
      </c>
      <c r="G5322">
        <f>IF(A5322="","",MAX(1,CEILING(PERCENTRANK.INC($D$3:$D$6000,D5322,4)*5+0.000001,1)))</f>
        <v/>
      </c>
      <c r="H5322">
        <f>IF(A5322="","",E5322&amp;F5322&amp;G5322)</f>
        <v/>
      </c>
      <c r="I5322">
        <f>IF(A5322="","",IF(AND(E5322&gt;=4,F5322&gt;=4,G5322&gt;=4),"Juara",IF(AND(F5322&gt;=4,E5322&gt;=3),"Setia",IF(AND(E5322=5,F5322&lt;=2,G5322&gt;=3),"Berpotensi",IF(AND(E5322&lt;=3,E5322&gt;=2,F5322&gt;=3),"Rawan",IF(AND(E5322&lt;=2,F5322&lt;=2),"Tidur","Umum"))))))</f>
        <v/>
      </c>
    </row>
    <row r="5323">
      <c r="B5323">
        <f>IF(A5323="","",$B$1-MAXIFS(Donasi!$A$2:$A$20000,Donasi!$B$2:$B$20000,A5323))</f>
        <v/>
      </c>
      <c r="C5323">
        <f>IF(A5323="","",COUNTIF(Donasi!$B$2:$B$20000,A5323))</f>
        <v/>
      </c>
      <c r="D5323">
        <f>IF(A5323="","",SUMIF(Donasi!$B$2:$B$20000,A5323,Donasi!$C$2:$C$20000))</f>
        <v/>
      </c>
      <c r="E5323">
        <f>IF(A5323="","",6-CEILING(PERCENTRANK.INC($B$3:$B$6000,B5323,4)*5+0.000001,1))</f>
        <v/>
      </c>
      <c r="F5323">
        <f>IF(A5323="","",MAX(1,CEILING(PERCENTRANK.INC($C$3:$C$6000,C5323,4)*5+0.000001,1)))</f>
        <v/>
      </c>
      <c r="G5323">
        <f>IF(A5323="","",MAX(1,CEILING(PERCENTRANK.INC($D$3:$D$6000,D5323,4)*5+0.000001,1)))</f>
        <v/>
      </c>
      <c r="H5323">
        <f>IF(A5323="","",E5323&amp;F5323&amp;G5323)</f>
        <v/>
      </c>
      <c r="I5323">
        <f>IF(A5323="","",IF(AND(E5323&gt;=4,F5323&gt;=4,G5323&gt;=4),"Juara",IF(AND(F5323&gt;=4,E5323&gt;=3),"Setia",IF(AND(E5323=5,F5323&lt;=2,G5323&gt;=3),"Berpotensi",IF(AND(E5323&lt;=3,E5323&gt;=2,F5323&gt;=3),"Rawan",IF(AND(E5323&lt;=2,F5323&lt;=2),"Tidur","Umum"))))))</f>
        <v/>
      </c>
    </row>
    <row r="5324">
      <c r="B5324">
        <f>IF(A5324="","",$B$1-MAXIFS(Donasi!$A$2:$A$20000,Donasi!$B$2:$B$20000,A5324))</f>
        <v/>
      </c>
      <c r="C5324">
        <f>IF(A5324="","",COUNTIF(Donasi!$B$2:$B$20000,A5324))</f>
        <v/>
      </c>
      <c r="D5324">
        <f>IF(A5324="","",SUMIF(Donasi!$B$2:$B$20000,A5324,Donasi!$C$2:$C$20000))</f>
        <v/>
      </c>
      <c r="E5324">
        <f>IF(A5324="","",6-CEILING(PERCENTRANK.INC($B$3:$B$6000,B5324,4)*5+0.000001,1))</f>
        <v/>
      </c>
      <c r="F5324">
        <f>IF(A5324="","",MAX(1,CEILING(PERCENTRANK.INC($C$3:$C$6000,C5324,4)*5+0.000001,1)))</f>
        <v/>
      </c>
      <c r="G5324">
        <f>IF(A5324="","",MAX(1,CEILING(PERCENTRANK.INC($D$3:$D$6000,D5324,4)*5+0.000001,1)))</f>
        <v/>
      </c>
      <c r="H5324">
        <f>IF(A5324="","",E5324&amp;F5324&amp;G5324)</f>
        <v/>
      </c>
      <c r="I5324">
        <f>IF(A5324="","",IF(AND(E5324&gt;=4,F5324&gt;=4,G5324&gt;=4),"Juara",IF(AND(F5324&gt;=4,E5324&gt;=3),"Setia",IF(AND(E5324=5,F5324&lt;=2,G5324&gt;=3),"Berpotensi",IF(AND(E5324&lt;=3,E5324&gt;=2,F5324&gt;=3),"Rawan",IF(AND(E5324&lt;=2,F5324&lt;=2),"Tidur","Umum"))))))</f>
        <v/>
      </c>
    </row>
    <row r="5325">
      <c r="B5325">
        <f>IF(A5325="","",$B$1-MAXIFS(Donasi!$A$2:$A$20000,Donasi!$B$2:$B$20000,A5325))</f>
        <v/>
      </c>
      <c r="C5325">
        <f>IF(A5325="","",COUNTIF(Donasi!$B$2:$B$20000,A5325))</f>
        <v/>
      </c>
      <c r="D5325">
        <f>IF(A5325="","",SUMIF(Donasi!$B$2:$B$20000,A5325,Donasi!$C$2:$C$20000))</f>
        <v/>
      </c>
      <c r="E5325">
        <f>IF(A5325="","",6-CEILING(PERCENTRANK.INC($B$3:$B$6000,B5325,4)*5+0.000001,1))</f>
        <v/>
      </c>
      <c r="F5325">
        <f>IF(A5325="","",MAX(1,CEILING(PERCENTRANK.INC($C$3:$C$6000,C5325,4)*5+0.000001,1)))</f>
        <v/>
      </c>
      <c r="G5325">
        <f>IF(A5325="","",MAX(1,CEILING(PERCENTRANK.INC($D$3:$D$6000,D5325,4)*5+0.000001,1)))</f>
        <v/>
      </c>
      <c r="H5325">
        <f>IF(A5325="","",E5325&amp;F5325&amp;G5325)</f>
        <v/>
      </c>
      <c r="I5325">
        <f>IF(A5325="","",IF(AND(E5325&gt;=4,F5325&gt;=4,G5325&gt;=4),"Juara",IF(AND(F5325&gt;=4,E5325&gt;=3),"Setia",IF(AND(E5325=5,F5325&lt;=2,G5325&gt;=3),"Berpotensi",IF(AND(E5325&lt;=3,E5325&gt;=2,F5325&gt;=3),"Rawan",IF(AND(E5325&lt;=2,F5325&lt;=2),"Tidur","Umum"))))))</f>
        <v/>
      </c>
    </row>
    <row r="5326">
      <c r="B5326">
        <f>IF(A5326="","",$B$1-MAXIFS(Donasi!$A$2:$A$20000,Donasi!$B$2:$B$20000,A5326))</f>
        <v/>
      </c>
      <c r="C5326">
        <f>IF(A5326="","",COUNTIF(Donasi!$B$2:$B$20000,A5326))</f>
        <v/>
      </c>
      <c r="D5326">
        <f>IF(A5326="","",SUMIF(Donasi!$B$2:$B$20000,A5326,Donasi!$C$2:$C$20000))</f>
        <v/>
      </c>
      <c r="E5326">
        <f>IF(A5326="","",6-CEILING(PERCENTRANK.INC($B$3:$B$6000,B5326,4)*5+0.000001,1))</f>
        <v/>
      </c>
      <c r="F5326">
        <f>IF(A5326="","",MAX(1,CEILING(PERCENTRANK.INC($C$3:$C$6000,C5326,4)*5+0.000001,1)))</f>
        <v/>
      </c>
      <c r="G5326">
        <f>IF(A5326="","",MAX(1,CEILING(PERCENTRANK.INC($D$3:$D$6000,D5326,4)*5+0.000001,1)))</f>
        <v/>
      </c>
      <c r="H5326">
        <f>IF(A5326="","",E5326&amp;F5326&amp;G5326)</f>
        <v/>
      </c>
      <c r="I5326">
        <f>IF(A5326="","",IF(AND(E5326&gt;=4,F5326&gt;=4,G5326&gt;=4),"Juara",IF(AND(F5326&gt;=4,E5326&gt;=3),"Setia",IF(AND(E5326=5,F5326&lt;=2,G5326&gt;=3),"Berpotensi",IF(AND(E5326&lt;=3,E5326&gt;=2,F5326&gt;=3),"Rawan",IF(AND(E5326&lt;=2,F5326&lt;=2),"Tidur","Umum"))))))</f>
        <v/>
      </c>
    </row>
    <row r="5327">
      <c r="B5327">
        <f>IF(A5327="","",$B$1-MAXIFS(Donasi!$A$2:$A$20000,Donasi!$B$2:$B$20000,A5327))</f>
        <v/>
      </c>
      <c r="C5327">
        <f>IF(A5327="","",COUNTIF(Donasi!$B$2:$B$20000,A5327))</f>
        <v/>
      </c>
      <c r="D5327">
        <f>IF(A5327="","",SUMIF(Donasi!$B$2:$B$20000,A5327,Donasi!$C$2:$C$20000))</f>
        <v/>
      </c>
      <c r="E5327">
        <f>IF(A5327="","",6-CEILING(PERCENTRANK.INC($B$3:$B$6000,B5327,4)*5+0.000001,1))</f>
        <v/>
      </c>
      <c r="F5327">
        <f>IF(A5327="","",MAX(1,CEILING(PERCENTRANK.INC($C$3:$C$6000,C5327,4)*5+0.000001,1)))</f>
        <v/>
      </c>
      <c r="G5327">
        <f>IF(A5327="","",MAX(1,CEILING(PERCENTRANK.INC($D$3:$D$6000,D5327,4)*5+0.000001,1)))</f>
        <v/>
      </c>
      <c r="H5327">
        <f>IF(A5327="","",E5327&amp;F5327&amp;G5327)</f>
        <v/>
      </c>
      <c r="I5327">
        <f>IF(A5327="","",IF(AND(E5327&gt;=4,F5327&gt;=4,G5327&gt;=4),"Juara",IF(AND(F5327&gt;=4,E5327&gt;=3),"Setia",IF(AND(E5327=5,F5327&lt;=2,G5327&gt;=3),"Berpotensi",IF(AND(E5327&lt;=3,E5327&gt;=2,F5327&gt;=3),"Rawan",IF(AND(E5327&lt;=2,F5327&lt;=2),"Tidur","Umum"))))))</f>
        <v/>
      </c>
    </row>
    <row r="5328">
      <c r="B5328">
        <f>IF(A5328="","",$B$1-MAXIFS(Donasi!$A$2:$A$20000,Donasi!$B$2:$B$20000,A5328))</f>
        <v/>
      </c>
      <c r="C5328">
        <f>IF(A5328="","",COUNTIF(Donasi!$B$2:$B$20000,A5328))</f>
        <v/>
      </c>
      <c r="D5328">
        <f>IF(A5328="","",SUMIF(Donasi!$B$2:$B$20000,A5328,Donasi!$C$2:$C$20000))</f>
        <v/>
      </c>
      <c r="E5328">
        <f>IF(A5328="","",6-CEILING(PERCENTRANK.INC($B$3:$B$6000,B5328,4)*5+0.000001,1))</f>
        <v/>
      </c>
      <c r="F5328">
        <f>IF(A5328="","",MAX(1,CEILING(PERCENTRANK.INC($C$3:$C$6000,C5328,4)*5+0.000001,1)))</f>
        <v/>
      </c>
      <c r="G5328">
        <f>IF(A5328="","",MAX(1,CEILING(PERCENTRANK.INC($D$3:$D$6000,D5328,4)*5+0.000001,1)))</f>
        <v/>
      </c>
      <c r="H5328">
        <f>IF(A5328="","",E5328&amp;F5328&amp;G5328)</f>
        <v/>
      </c>
      <c r="I5328">
        <f>IF(A5328="","",IF(AND(E5328&gt;=4,F5328&gt;=4,G5328&gt;=4),"Juara",IF(AND(F5328&gt;=4,E5328&gt;=3),"Setia",IF(AND(E5328=5,F5328&lt;=2,G5328&gt;=3),"Berpotensi",IF(AND(E5328&lt;=3,E5328&gt;=2,F5328&gt;=3),"Rawan",IF(AND(E5328&lt;=2,F5328&lt;=2),"Tidur","Umum"))))))</f>
        <v/>
      </c>
    </row>
    <row r="5329">
      <c r="B5329">
        <f>IF(A5329="","",$B$1-MAXIFS(Donasi!$A$2:$A$20000,Donasi!$B$2:$B$20000,A5329))</f>
        <v/>
      </c>
      <c r="C5329">
        <f>IF(A5329="","",COUNTIF(Donasi!$B$2:$B$20000,A5329))</f>
        <v/>
      </c>
      <c r="D5329">
        <f>IF(A5329="","",SUMIF(Donasi!$B$2:$B$20000,A5329,Donasi!$C$2:$C$20000))</f>
        <v/>
      </c>
      <c r="E5329">
        <f>IF(A5329="","",6-CEILING(PERCENTRANK.INC($B$3:$B$6000,B5329,4)*5+0.000001,1))</f>
        <v/>
      </c>
      <c r="F5329">
        <f>IF(A5329="","",MAX(1,CEILING(PERCENTRANK.INC($C$3:$C$6000,C5329,4)*5+0.000001,1)))</f>
        <v/>
      </c>
      <c r="G5329">
        <f>IF(A5329="","",MAX(1,CEILING(PERCENTRANK.INC($D$3:$D$6000,D5329,4)*5+0.000001,1)))</f>
        <v/>
      </c>
      <c r="H5329">
        <f>IF(A5329="","",E5329&amp;F5329&amp;G5329)</f>
        <v/>
      </c>
      <c r="I5329">
        <f>IF(A5329="","",IF(AND(E5329&gt;=4,F5329&gt;=4,G5329&gt;=4),"Juara",IF(AND(F5329&gt;=4,E5329&gt;=3),"Setia",IF(AND(E5329=5,F5329&lt;=2,G5329&gt;=3),"Berpotensi",IF(AND(E5329&lt;=3,E5329&gt;=2,F5329&gt;=3),"Rawan",IF(AND(E5329&lt;=2,F5329&lt;=2),"Tidur","Umum"))))))</f>
        <v/>
      </c>
    </row>
    <row r="5330">
      <c r="B5330">
        <f>IF(A5330="","",$B$1-MAXIFS(Donasi!$A$2:$A$20000,Donasi!$B$2:$B$20000,A5330))</f>
        <v/>
      </c>
      <c r="C5330">
        <f>IF(A5330="","",COUNTIF(Donasi!$B$2:$B$20000,A5330))</f>
        <v/>
      </c>
      <c r="D5330">
        <f>IF(A5330="","",SUMIF(Donasi!$B$2:$B$20000,A5330,Donasi!$C$2:$C$20000))</f>
        <v/>
      </c>
      <c r="E5330">
        <f>IF(A5330="","",6-CEILING(PERCENTRANK.INC($B$3:$B$6000,B5330,4)*5+0.000001,1))</f>
        <v/>
      </c>
      <c r="F5330">
        <f>IF(A5330="","",MAX(1,CEILING(PERCENTRANK.INC($C$3:$C$6000,C5330,4)*5+0.000001,1)))</f>
        <v/>
      </c>
      <c r="G5330">
        <f>IF(A5330="","",MAX(1,CEILING(PERCENTRANK.INC($D$3:$D$6000,D5330,4)*5+0.000001,1)))</f>
        <v/>
      </c>
      <c r="H5330">
        <f>IF(A5330="","",E5330&amp;F5330&amp;G5330)</f>
        <v/>
      </c>
      <c r="I5330">
        <f>IF(A5330="","",IF(AND(E5330&gt;=4,F5330&gt;=4,G5330&gt;=4),"Juara",IF(AND(F5330&gt;=4,E5330&gt;=3),"Setia",IF(AND(E5330=5,F5330&lt;=2,G5330&gt;=3),"Berpotensi",IF(AND(E5330&lt;=3,E5330&gt;=2,F5330&gt;=3),"Rawan",IF(AND(E5330&lt;=2,F5330&lt;=2),"Tidur","Umum"))))))</f>
        <v/>
      </c>
    </row>
    <row r="5331">
      <c r="B5331">
        <f>IF(A5331="","",$B$1-MAXIFS(Donasi!$A$2:$A$20000,Donasi!$B$2:$B$20000,A5331))</f>
        <v/>
      </c>
      <c r="C5331">
        <f>IF(A5331="","",COUNTIF(Donasi!$B$2:$B$20000,A5331))</f>
        <v/>
      </c>
      <c r="D5331">
        <f>IF(A5331="","",SUMIF(Donasi!$B$2:$B$20000,A5331,Donasi!$C$2:$C$20000))</f>
        <v/>
      </c>
      <c r="E5331">
        <f>IF(A5331="","",6-CEILING(PERCENTRANK.INC($B$3:$B$6000,B5331,4)*5+0.000001,1))</f>
        <v/>
      </c>
      <c r="F5331">
        <f>IF(A5331="","",MAX(1,CEILING(PERCENTRANK.INC($C$3:$C$6000,C5331,4)*5+0.000001,1)))</f>
        <v/>
      </c>
      <c r="G5331">
        <f>IF(A5331="","",MAX(1,CEILING(PERCENTRANK.INC($D$3:$D$6000,D5331,4)*5+0.000001,1)))</f>
        <v/>
      </c>
      <c r="H5331">
        <f>IF(A5331="","",E5331&amp;F5331&amp;G5331)</f>
        <v/>
      </c>
      <c r="I5331">
        <f>IF(A5331="","",IF(AND(E5331&gt;=4,F5331&gt;=4,G5331&gt;=4),"Juara",IF(AND(F5331&gt;=4,E5331&gt;=3),"Setia",IF(AND(E5331=5,F5331&lt;=2,G5331&gt;=3),"Berpotensi",IF(AND(E5331&lt;=3,E5331&gt;=2,F5331&gt;=3),"Rawan",IF(AND(E5331&lt;=2,F5331&lt;=2),"Tidur","Umum"))))))</f>
        <v/>
      </c>
    </row>
    <row r="5332">
      <c r="B5332">
        <f>IF(A5332="","",$B$1-MAXIFS(Donasi!$A$2:$A$20000,Donasi!$B$2:$B$20000,A5332))</f>
        <v/>
      </c>
      <c r="C5332">
        <f>IF(A5332="","",COUNTIF(Donasi!$B$2:$B$20000,A5332))</f>
        <v/>
      </c>
      <c r="D5332">
        <f>IF(A5332="","",SUMIF(Donasi!$B$2:$B$20000,A5332,Donasi!$C$2:$C$20000))</f>
        <v/>
      </c>
      <c r="E5332">
        <f>IF(A5332="","",6-CEILING(PERCENTRANK.INC($B$3:$B$6000,B5332,4)*5+0.000001,1))</f>
        <v/>
      </c>
      <c r="F5332">
        <f>IF(A5332="","",MAX(1,CEILING(PERCENTRANK.INC($C$3:$C$6000,C5332,4)*5+0.000001,1)))</f>
        <v/>
      </c>
      <c r="G5332">
        <f>IF(A5332="","",MAX(1,CEILING(PERCENTRANK.INC($D$3:$D$6000,D5332,4)*5+0.000001,1)))</f>
        <v/>
      </c>
      <c r="H5332">
        <f>IF(A5332="","",E5332&amp;F5332&amp;G5332)</f>
        <v/>
      </c>
      <c r="I5332">
        <f>IF(A5332="","",IF(AND(E5332&gt;=4,F5332&gt;=4,G5332&gt;=4),"Juara",IF(AND(F5332&gt;=4,E5332&gt;=3),"Setia",IF(AND(E5332=5,F5332&lt;=2,G5332&gt;=3),"Berpotensi",IF(AND(E5332&lt;=3,E5332&gt;=2,F5332&gt;=3),"Rawan",IF(AND(E5332&lt;=2,F5332&lt;=2),"Tidur","Umum"))))))</f>
        <v/>
      </c>
    </row>
    <row r="5333">
      <c r="B5333">
        <f>IF(A5333="","",$B$1-MAXIFS(Donasi!$A$2:$A$20000,Donasi!$B$2:$B$20000,A5333))</f>
        <v/>
      </c>
      <c r="C5333">
        <f>IF(A5333="","",COUNTIF(Donasi!$B$2:$B$20000,A5333))</f>
        <v/>
      </c>
      <c r="D5333">
        <f>IF(A5333="","",SUMIF(Donasi!$B$2:$B$20000,A5333,Donasi!$C$2:$C$20000))</f>
        <v/>
      </c>
      <c r="E5333">
        <f>IF(A5333="","",6-CEILING(PERCENTRANK.INC($B$3:$B$6000,B5333,4)*5+0.000001,1))</f>
        <v/>
      </c>
      <c r="F5333">
        <f>IF(A5333="","",MAX(1,CEILING(PERCENTRANK.INC($C$3:$C$6000,C5333,4)*5+0.000001,1)))</f>
        <v/>
      </c>
      <c r="G5333">
        <f>IF(A5333="","",MAX(1,CEILING(PERCENTRANK.INC($D$3:$D$6000,D5333,4)*5+0.000001,1)))</f>
        <v/>
      </c>
      <c r="H5333">
        <f>IF(A5333="","",E5333&amp;F5333&amp;G5333)</f>
        <v/>
      </c>
      <c r="I5333">
        <f>IF(A5333="","",IF(AND(E5333&gt;=4,F5333&gt;=4,G5333&gt;=4),"Juara",IF(AND(F5333&gt;=4,E5333&gt;=3),"Setia",IF(AND(E5333=5,F5333&lt;=2,G5333&gt;=3),"Berpotensi",IF(AND(E5333&lt;=3,E5333&gt;=2,F5333&gt;=3),"Rawan",IF(AND(E5333&lt;=2,F5333&lt;=2),"Tidur","Umum"))))))</f>
        <v/>
      </c>
    </row>
    <row r="5334">
      <c r="B5334">
        <f>IF(A5334="","",$B$1-MAXIFS(Donasi!$A$2:$A$20000,Donasi!$B$2:$B$20000,A5334))</f>
        <v/>
      </c>
      <c r="C5334">
        <f>IF(A5334="","",COUNTIF(Donasi!$B$2:$B$20000,A5334))</f>
        <v/>
      </c>
      <c r="D5334">
        <f>IF(A5334="","",SUMIF(Donasi!$B$2:$B$20000,A5334,Donasi!$C$2:$C$20000))</f>
        <v/>
      </c>
      <c r="E5334">
        <f>IF(A5334="","",6-CEILING(PERCENTRANK.INC($B$3:$B$6000,B5334,4)*5+0.000001,1))</f>
        <v/>
      </c>
      <c r="F5334">
        <f>IF(A5334="","",MAX(1,CEILING(PERCENTRANK.INC($C$3:$C$6000,C5334,4)*5+0.000001,1)))</f>
        <v/>
      </c>
      <c r="G5334">
        <f>IF(A5334="","",MAX(1,CEILING(PERCENTRANK.INC($D$3:$D$6000,D5334,4)*5+0.000001,1)))</f>
        <v/>
      </c>
      <c r="H5334">
        <f>IF(A5334="","",E5334&amp;F5334&amp;G5334)</f>
        <v/>
      </c>
      <c r="I5334">
        <f>IF(A5334="","",IF(AND(E5334&gt;=4,F5334&gt;=4,G5334&gt;=4),"Juara",IF(AND(F5334&gt;=4,E5334&gt;=3),"Setia",IF(AND(E5334=5,F5334&lt;=2,G5334&gt;=3),"Berpotensi",IF(AND(E5334&lt;=3,E5334&gt;=2,F5334&gt;=3),"Rawan",IF(AND(E5334&lt;=2,F5334&lt;=2),"Tidur","Umum"))))))</f>
        <v/>
      </c>
    </row>
    <row r="5335">
      <c r="B5335">
        <f>IF(A5335="","",$B$1-MAXIFS(Donasi!$A$2:$A$20000,Donasi!$B$2:$B$20000,A5335))</f>
        <v/>
      </c>
      <c r="C5335">
        <f>IF(A5335="","",COUNTIF(Donasi!$B$2:$B$20000,A5335))</f>
        <v/>
      </c>
      <c r="D5335">
        <f>IF(A5335="","",SUMIF(Donasi!$B$2:$B$20000,A5335,Donasi!$C$2:$C$20000))</f>
        <v/>
      </c>
      <c r="E5335">
        <f>IF(A5335="","",6-CEILING(PERCENTRANK.INC($B$3:$B$6000,B5335,4)*5+0.000001,1))</f>
        <v/>
      </c>
      <c r="F5335">
        <f>IF(A5335="","",MAX(1,CEILING(PERCENTRANK.INC($C$3:$C$6000,C5335,4)*5+0.000001,1)))</f>
        <v/>
      </c>
      <c r="G5335">
        <f>IF(A5335="","",MAX(1,CEILING(PERCENTRANK.INC($D$3:$D$6000,D5335,4)*5+0.000001,1)))</f>
        <v/>
      </c>
      <c r="H5335">
        <f>IF(A5335="","",E5335&amp;F5335&amp;G5335)</f>
        <v/>
      </c>
      <c r="I5335">
        <f>IF(A5335="","",IF(AND(E5335&gt;=4,F5335&gt;=4,G5335&gt;=4),"Juara",IF(AND(F5335&gt;=4,E5335&gt;=3),"Setia",IF(AND(E5335=5,F5335&lt;=2,G5335&gt;=3),"Berpotensi",IF(AND(E5335&lt;=3,E5335&gt;=2,F5335&gt;=3),"Rawan",IF(AND(E5335&lt;=2,F5335&lt;=2),"Tidur","Umum"))))))</f>
        <v/>
      </c>
    </row>
    <row r="5336">
      <c r="B5336">
        <f>IF(A5336="","",$B$1-MAXIFS(Donasi!$A$2:$A$20000,Donasi!$B$2:$B$20000,A5336))</f>
        <v/>
      </c>
      <c r="C5336">
        <f>IF(A5336="","",COUNTIF(Donasi!$B$2:$B$20000,A5336))</f>
        <v/>
      </c>
      <c r="D5336">
        <f>IF(A5336="","",SUMIF(Donasi!$B$2:$B$20000,A5336,Donasi!$C$2:$C$20000))</f>
        <v/>
      </c>
      <c r="E5336">
        <f>IF(A5336="","",6-CEILING(PERCENTRANK.INC($B$3:$B$6000,B5336,4)*5+0.000001,1))</f>
        <v/>
      </c>
      <c r="F5336">
        <f>IF(A5336="","",MAX(1,CEILING(PERCENTRANK.INC($C$3:$C$6000,C5336,4)*5+0.000001,1)))</f>
        <v/>
      </c>
      <c r="G5336">
        <f>IF(A5336="","",MAX(1,CEILING(PERCENTRANK.INC($D$3:$D$6000,D5336,4)*5+0.000001,1)))</f>
        <v/>
      </c>
      <c r="H5336">
        <f>IF(A5336="","",E5336&amp;F5336&amp;G5336)</f>
        <v/>
      </c>
      <c r="I5336">
        <f>IF(A5336="","",IF(AND(E5336&gt;=4,F5336&gt;=4,G5336&gt;=4),"Juara",IF(AND(F5336&gt;=4,E5336&gt;=3),"Setia",IF(AND(E5336=5,F5336&lt;=2,G5336&gt;=3),"Berpotensi",IF(AND(E5336&lt;=3,E5336&gt;=2,F5336&gt;=3),"Rawan",IF(AND(E5336&lt;=2,F5336&lt;=2),"Tidur","Umum"))))))</f>
        <v/>
      </c>
    </row>
    <row r="5337">
      <c r="B5337">
        <f>IF(A5337="","",$B$1-MAXIFS(Donasi!$A$2:$A$20000,Donasi!$B$2:$B$20000,A5337))</f>
        <v/>
      </c>
      <c r="C5337">
        <f>IF(A5337="","",COUNTIF(Donasi!$B$2:$B$20000,A5337))</f>
        <v/>
      </c>
      <c r="D5337">
        <f>IF(A5337="","",SUMIF(Donasi!$B$2:$B$20000,A5337,Donasi!$C$2:$C$20000))</f>
        <v/>
      </c>
      <c r="E5337">
        <f>IF(A5337="","",6-CEILING(PERCENTRANK.INC($B$3:$B$6000,B5337,4)*5+0.000001,1))</f>
        <v/>
      </c>
      <c r="F5337">
        <f>IF(A5337="","",MAX(1,CEILING(PERCENTRANK.INC($C$3:$C$6000,C5337,4)*5+0.000001,1)))</f>
        <v/>
      </c>
      <c r="G5337">
        <f>IF(A5337="","",MAX(1,CEILING(PERCENTRANK.INC($D$3:$D$6000,D5337,4)*5+0.000001,1)))</f>
        <v/>
      </c>
      <c r="H5337">
        <f>IF(A5337="","",E5337&amp;F5337&amp;G5337)</f>
        <v/>
      </c>
      <c r="I5337">
        <f>IF(A5337="","",IF(AND(E5337&gt;=4,F5337&gt;=4,G5337&gt;=4),"Juara",IF(AND(F5337&gt;=4,E5337&gt;=3),"Setia",IF(AND(E5337=5,F5337&lt;=2,G5337&gt;=3),"Berpotensi",IF(AND(E5337&lt;=3,E5337&gt;=2,F5337&gt;=3),"Rawan",IF(AND(E5337&lt;=2,F5337&lt;=2),"Tidur","Umum"))))))</f>
        <v/>
      </c>
    </row>
    <row r="5338">
      <c r="B5338">
        <f>IF(A5338="","",$B$1-MAXIFS(Donasi!$A$2:$A$20000,Donasi!$B$2:$B$20000,A5338))</f>
        <v/>
      </c>
      <c r="C5338">
        <f>IF(A5338="","",COUNTIF(Donasi!$B$2:$B$20000,A5338))</f>
        <v/>
      </c>
      <c r="D5338">
        <f>IF(A5338="","",SUMIF(Donasi!$B$2:$B$20000,A5338,Donasi!$C$2:$C$20000))</f>
        <v/>
      </c>
      <c r="E5338">
        <f>IF(A5338="","",6-CEILING(PERCENTRANK.INC($B$3:$B$6000,B5338,4)*5+0.000001,1))</f>
        <v/>
      </c>
      <c r="F5338">
        <f>IF(A5338="","",MAX(1,CEILING(PERCENTRANK.INC($C$3:$C$6000,C5338,4)*5+0.000001,1)))</f>
        <v/>
      </c>
      <c r="G5338">
        <f>IF(A5338="","",MAX(1,CEILING(PERCENTRANK.INC($D$3:$D$6000,D5338,4)*5+0.000001,1)))</f>
        <v/>
      </c>
      <c r="H5338">
        <f>IF(A5338="","",E5338&amp;F5338&amp;G5338)</f>
        <v/>
      </c>
      <c r="I5338">
        <f>IF(A5338="","",IF(AND(E5338&gt;=4,F5338&gt;=4,G5338&gt;=4),"Juara",IF(AND(F5338&gt;=4,E5338&gt;=3),"Setia",IF(AND(E5338=5,F5338&lt;=2,G5338&gt;=3),"Berpotensi",IF(AND(E5338&lt;=3,E5338&gt;=2,F5338&gt;=3),"Rawan",IF(AND(E5338&lt;=2,F5338&lt;=2),"Tidur","Umum"))))))</f>
        <v/>
      </c>
    </row>
    <row r="5339">
      <c r="B5339">
        <f>IF(A5339="","",$B$1-MAXIFS(Donasi!$A$2:$A$20000,Donasi!$B$2:$B$20000,A5339))</f>
        <v/>
      </c>
      <c r="C5339">
        <f>IF(A5339="","",COUNTIF(Donasi!$B$2:$B$20000,A5339))</f>
        <v/>
      </c>
      <c r="D5339">
        <f>IF(A5339="","",SUMIF(Donasi!$B$2:$B$20000,A5339,Donasi!$C$2:$C$20000))</f>
        <v/>
      </c>
      <c r="E5339">
        <f>IF(A5339="","",6-CEILING(PERCENTRANK.INC($B$3:$B$6000,B5339,4)*5+0.000001,1))</f>
        <v/>
      </c>
      <c r="F5339">
        <f>IF(A5339="","",MAX(1,CEILING(PERCENTRANK.INC($C$3:$C$6000,C5339,4)*5+0.000001,1)))</f>
        <v/>
      </c>
      <c r="G5339">
        <f>IF(A5339="","",MAX(1,CEILING(PERCENTRANK.INC($D$3:$D$6000,D5339,4)*5+0.000001,1)))</f>
        <v/>
      </c>
      <c r="H5339">
        <f>IF(A5339="","",E5339&amp;F5339&amp;G5339)</f>
        <v/>
      </c>
      <c r="I5339">
        <f>IF(A5339="","",IF(AND(E5339&gt;=4,F5339&gt;=4,G5339&gt;=4),"Juara",IF(AND(F5339&gt;=4,E5339&gt;=3),"Setia",IF(AND(E5339=5,F5339&lt;=2,G5339&gt;=3),"Berpotensi",IF(AND(E5339&lt;=3,E5339&gt;=2,F5339&gt;=3),"Rawan",IF(AND(E5339&lt;=2,F5339&lt;=2),"Tidur","Umum"))))))</f>
        <v/>
      </c>
    </row>
    <row r="5340">
      <c r="B5340">
        <f>IF(A5340="","",$B$1-MAXIFS(Donasi!$A$2:$A$20000,Donasi!$B$2:$B$20000,A5340))</f>
        <v/>
      </c>
      <c r="C5340">
        <f>IF(A5340="","",COUNTIF(Donasi!$B$2:$B$20000,A5340))</f>
        <v/>
      </c>
      <c r="D5340">
        <f>IF(A5340="","",SUMIF(Donasi!$B$2:$B$20000,A5340,Donasi!$C$2:$C$20000))</f>
        <v/>
      </c>
      <c r="E5340">
        <f>IF(A5340="","",6-CEILING(PERCENTRANK.INC($B$3:$B$6000,B5340,4)*5+0.000001,1))</f>
        <v/>
      </c>
      <c r="F5340">
        <f>IF(A5340="","",MAX(1,CEILING(PERCENTRANK.INC($C$3:$C$6000,C5340,4)*5+0.000001,1)))</f>
        <v/>
      </c>
      <c r="G5340">
        <f>IF(A5340="","",MAX(1,CEILING(PERCENTRANK.INC($D$3:$D$6000,D5340,4)*5+0.000001,1)))</f>
        <v/>
      </c>
      <c r="H5340">
        <f>IF(A5340="","",E5340&amp;F5340&amp;G5340)</f>
        <v/>
      </c>
      <c r="I5340">
        <f>IF(A5340="","",IF(AND(E5340&gt;=4,F5340&gt;=4,G5340&gt;=4),"Juara",IF(AND(F5340&gt;=4,E5340&gt;=3),"Setia",IF(AND(E5340=5,F5340&lt;=2,G5340&gt;=3),"Berpotensi",IF(AND(E5340&lt;=3,E5340&gt;=2,F5340&gt;=3),"Rawan",IF(AND(E5340&lt;=2,F5340&lt;=2),"Tidur","Umum"))))))</f>
        <v/>
      </c>
    </row>
    <row r="5341">
      <c r="B5341">
        <f>IF(A5341="","",$B$1-MAXIFS(Donasi!$A$2:$A$20000,Donasi!$B$2:$B$20000,A5341))</f>
        <v/>
      </c>
      <c r="C5341">
        <f>IF(A5341="","",COUNTIF(Donasi!$B$2:$B$20000,A5341))</f>
        <v/>
      </c>
      <c r="D5341">
        <f>IF(A5341="","",SUMIF(Donasi!$B$2:$B$20000,A5341,Donasi!$C$2:$C$20000))</f>
        <v/>
      </c>
      <c r="E5341">
        <f>IF(A5341="","",6-CEILING(PERCENTRANK.INC($B$3:$B$6000,B5341,4)*5+0.000001,1))</f>
        <v/>
      </c>
      <c r="F5341">
        <f>IF(A5341="","",MAX(1,CEILING(PERCENTRANK.INC($C$3:$C$6000,C5341,4)*5+0.000001,1)))</f>
        <v/>
      </c>
      <c r="G5341">
        <f>IF(A5341="","",MAX(1,CEILING(PERCENTRANK.INC($D$3:$D$6000,D5341,4)*5+0.000001,1)))</f>
        <v/>
      </c>
      <c r="H5341">
        <f>IF(A5341="","",E5341&amp;F5341&amp;G5341)</f>
        <v/>
      </c>
      <c r="I5341">
        <f>IF(A5341="","",IF(AND(E5341&gt;=4,F5341&gt;=4,G5341&gt;=4),"Juara",IF(AND(F5341&gt;=4,E5341&gt;=3),"Setia",IF(AND(E5341=5,F5341&lt;=2,G5341&gt;=3),"Berpotensi",IF(AND(E5341&lt;=3,E5341&gt;=2,F5341&gt;=3),"Rawan",IF(AND(E5341&lt;=2,F5341&lt;=2),"Tidur","Umum"))))))</f>
        <v/>
      </c>
    </row>
    <row r="5342">
      <c r="B5342">
        <f>IF(A5342="","",$B$1-MAXIFS(Donasi!$A$2:$A$20000,Donasi!$B$2:$B$20000,A5342))</f>
        <v/>
      </c>
      <c r="C5342">
        <f>IF(A5342="","",COUNTIF(Donasi!$B$2:$B$20000,A5342))</f>
        <v/>
      </c>
      <c r="D5342">
        <f>IF(A5342="","",SUMIF(Donasi!$B$2:$B$20000,A5342,Donasi!$C$2:$C$20000))</f>
        <v/>
      </c>
      <c r="E5342">
        <f>IF(A5342="","",6-CEILING(PERCENTRANK.INC($B$3:$B$6000,B5342,4)*5+0.000001,1))</f>
        <v/>
      </c>
      <c r="F5342">
        <f>IF(A5342="","",MAX(1,CEILING(PERCENTRANK.INC($C$3:$C$6000,C5342,4)*5+0.000001,1)))</f>
        <v/>
      </c>
      <c r="G5342">
        <f>IF(A5342="","",MAX(1,CEILING(PERCENTRANK.INC($D$3:$D$6000,D5342,4)*5+0.000001,1)))</f>
        <v/>
      </c>
      <c r="H5342">
        <f>IF(A5342="","",E5342&amp;F5342&amp;G5342)</f>
        <v/>
      </c>
      <c r="I5342">
        <f>IF(A5342="","",IF(AND(E5342&gt;=4,F5342&gt;=4,G5342&gt;=4),"Juara",IF(AND(F5342&gt;=4,E5342&gt;=3),"Setia",IF(AND(E5342=5,F5342&lt;=2,G5342&gt;=3),"Berpotensi",IF(AND(E5342&lt;=3,E5342&gt;=2,F5342&gt;=3),"Rawan",IF(AND(E5342&lt;=2,F5342&lt;=2),"Tidur","Umum"))))))</f>
        <v/>
      </c>
    </row>
    <row r="5343">
      <c r="B5343">
        <f>IF(A5343="","",$B$1-MAXIFS(Donasi!$A$2:$A$20000,Donasi!$B$2:$B$20000,A5343))</f>
        <v/>
      </c>
      <c r="C5343">
        <f>IF(A5343="","",COUNTIF(Donasi!$B$2:$B$20000,A5343))</f>
        <v/>
      </c>
      <c r="D5343">
        <f>IF(A5343="","",SUMIF(Donasi!$B$2:$B$20000,A5343,Donasi!$C$2:$C$20000))</f>
        <v/>
      </c>
      <c r="E5343">
        <f>IF(A5343="","",6-CEILING(PERCENTRANK.INC($B$3:$B$6000,B5343,4)*5+0.000001,1))</f>
        <v/>
      </c>
      <c r="F5343">
        <f>IF(A5343="","",MAX(1,CEILING(PERCENTRANK.INC($C$3:$C$6000,C5343,4)*5+0.000001,1)))</f>
        <v/>
      </c>
      <c r="G5343">
        <f>IF(A5343="","",MAX(1,CEILING(PERCENTRANK.INC($D$3:$D$6000,D5343,4)*5+0.000001,1)))</f>
        <v/>
      </c>
      <c r="H5343">
        <f>IF(A5343="","",E5343&amp;F5343&amp;G5343)</f>
        <v/>
      </c>
      <c r="I5343">
        <f>IF(A5343="","",IF(AND(E5343&gt;=4,F5343&gt;=4,G5343&gt;=4),"Juara",IF(AND(F5343&gt;=4,E5343&gt;=3),"Setia",IF(AND(E5343=5,F5343&lt;=2,G5343&gt;=3),"Berpotensi",IF(AND(E5343&lt;=3,E5343&gt;=2,F5343&gt;=3),"Rawan",IF(AND(E5343&lt;=2,F5343&lt;=2),"Tidur","Umum"))))))</f>
        <v/>
      </c>
    </row>
    <row r="5344">
      <c r="B5344">
        <f>IF(A5344="","",$B$1-MAXIFS(Donasi!$A$2:$A$20000,Donasi!$B$2:$B$20000,A5344))</f>
        <v/>
      </c>
      <c r="C5344">
        <f>IF(A5344="","",COUNTIF(Donasi!$B$2:$B$20000,A5344))</f>
        <v/>
      </c>
      <c r="D5344">
        <f>IF(A5344="","",SUMIF(Donasi!$B$2:$B$20000,A5344,Donasi!$C$2:$C$20000))</f>
        <v/>
      </c>
      <c r="E5344">
        <f>IF(A5344="","",6-CEILING(PERCENTRANK.INC($B$3:$B$6000,B5344,4)*5+0.000001,1))</f>
        <v/>
      </c>
      <c r="F5344">
        <f>IF(A5344="","",MAX(1,CEILING(PERCENTRANK.INC($C$3:$C$6000,C5344,4)*5+0.000001,1)))</f>
        <v/>
      </c>
      <c r="G5344">
        <f>IF(A5344="","",MAX(1,CEILING(PERCENTRANK.INC($D$3:$D$6000,D5344,4)*5+0.000001,1)))</f>
        <v/>
      </c>
      <c r="H5344">
        <f>IF(A5344="","",E5344&amp;F5344&amp;G5344)</f>
        <v/>
      </c>
      <c r="I5344">
        <f>IF(A5344="","",IF(AND(E5344&gt;=4,F5344&gt;=4,G5344&gt;=4),"Juara",IF(AND(F5344&gt;=4,E5344&gt;=3),"Setia",IF(AND(E5344=5,F5344&lt;=2,G5344&gt;=3),"Berpotensi",IF(AND(E5344&lt;=3,E5344&gt;=2,F5344&gt;=3),"Rawan",IF(AND(E5344&lt;=2,F5344&lt;=2),"Tidur","Umum"))))))</f>
        <v/>
      </c>
    </row>
    <row r="5345">
      <c r="B5345">
        <f>IF(A5345="","",$B$1-MAXIFS(Donasi!$A$2:$A$20000,Donasi!$B$2:$B$20000,A5345))</f>
        <v/>
      </c>
      <c r="C5345">
        <f>IF(A5345="","",COUNTIF(Donasi!$B$2:$B$20000,A5345))</f>
        <v/>
      </c>
      <c r="D5345">
        <f>IF(A5345="","",SUMIF(Donasi!$B$2:$B$20000,A5345,Donasi!$C$2:$C$20000))</f>
        <v/>
      </c>
      <c r="E5345">
        <f>IF(A5345="","",6-CEILING(PERCENTRANK.INC($B$3:$B$6000,B5345,4)*5+0.000001,1))</f>
        <v/>
      </c>
      <c r="F5345">
        <f>IF(A5345="","",MAX(1,CEILING(PERCENTRANK.INC($C$3:$C$6000,C5345,4)*5+0.000001,1)))</f>
        <v/>
      </c>
      <c r="G5345">
        <f>IF(A5345="","",MAX(1,CEILING(PERCENTRANK.INC($D$3:$D$6000,D5345,4)*5+0.000001,1)))</f>
        <v/>
      </c>
      <c r="H5345">
        <f>IF(A5345="","",E5345&amp;F5345&amp;G5345)</f>
        <v/>
      </c>
      <c r="I5345">
        <f>IF(A5345="","",IF(AND(E5345&gt;=4,F5345&gt;=4,G5345&gt;=4),"Juara",IF(AND(F5345&gt;=4,E5345&gt;=3),"Setia",IF(AND(E5345=5,F5345&lt;=2,G5345&gt;=3),"Berpotensi",IF(AND(E5345&lt;=3,E5345&gt;=2,F5345&gt;=3),"Rawan",IF(AND(E5345&lt;=2,F5345&lt;=2),"Tidur","Umum"))))))</f>
        <v/>
      </c>
    </row>
    <row r="5346">
      <c r="B5346">
        <f>IF(A5346="","",$B$1-MAXIFS(Donasi!$A$2:$A$20000,Donasi!$B$2:$B$20000,A5346))</f>
        <v/>
      </c>
      <c r="C5346">
        <f>IF(A5346="","",COUNTIF(Donasi!$B$2:$B$20000,A5346))</f>
        <v/>
      </c>
      <c r="D5346">
        <f>IF(A5346="","",SUMIF(Donasi!$B$2:$B$20000,A5346,Donasi!$C$2:$C$20000))</f>
        <v/>
      </c>
      <c r="E5346">
        <f>IF(A5346="","",6-CEILING(PERCENTRANK.INC($B$3:$B$6000,B5346,4)*5+0.000001,1))</f>
        <v/>
      </c>
      <c r="F5346">
        <f>IF(A5346="","",MAX(1,CEILING(PERCENTRANK.INC($C$3:$C$6000,C5346,4)*5+0.000001,1)))</f>
        <v/>
      </c>
      <c r="G5346">
        <f>IF(A5346="","",MAX(1,CEILING(PERCENTRANK.INC($D$3:$D$6000,D5346,4)*5+0.000001,1)))</f>
        <v/>
      </c>
      <c r="H5346">
        <f>IF(A5346="","",E5346&amp;F5346&amp;G5346)</f>
        <v/>
      </c>
      <c r="I5346">
        <f>IF(A5346="","",IF(AND(E5346&gt;=4,F5346&gt;=4,G5346&gt;=4),"Juara",IF(AND(F5346&gt;=4,E5346&gt;=3),"Setia",IF(AND(E5346=5,F5346&lt;=2,G5346&gt;=3),"Berpotensi",IF(AND(E5346&lt;=3,E5346&gt;=2,F5346&gt;=3),"Rawan",IF(AND(E5346&lt;=2,F5346&lt;=2),"Tidur","Umum"))))))</f>
        <v/>
      </c>
    </row>
    <row r="5347">
      <c r="B5347">
        <f>IF(A5347="","",$B$1-MAXIFS(Donasi!$A$2:$A$20000,Donasi!$B$2:$B$20000,A5347))</f>
        <v/>
      </c>
      <c r="C5347">
        <f>IF(A5347="","",COUNTIF(Donasi!$B$2:$B$20000,A5347))</f>
        <v/>
      </c>
      <c r="D5347">
        <f>IF(A5347="","",SUMIF(Donasi!$B$2:$B$20000,A5347,Donasi!$C$2:$C$20000))</f>
        <v/>
      </c>
      <c r="E5347">
        <f>IF(A5347="","",6-CEILING(PERCENTRANK.INC($B$3:$B$6000,B5347,4)*5+0.000001,1))</f>
        <v/>
      </c>
      <c r="F5347">
        <f>IF(A5347="","",MAX(1,CEILING(PERCENTRANK.INC($C$3:$C$6000,C5347,4)*5+0.000001,1)))</f>
        <v/>
      </c>
      <c r="G5347">
        <f>IF(A5347="","",MAX(1,CEILING(PERCENTRANK.INC($D$3:$D$6000,D5347,4)*5+0.000001,1)))</f>
        <v/>
      </c>
      <c r="H5347">
        <f>IF(A5347="","",E5347&amp;F5347&amp;G5347)</f>
        <v/>
      </c>
      <c r="I5347">
        <f>IF(A5347="","",IF(AND(E5347&gt;=4,F5347&gt;=4,G5347&gt;=4),"Juara",IF(AND(F5347&gt;=4,E5347&gt;=3),"Setia",IF(AND(E5347=5,F5347&lt;=2,G5347&gt;=3),"Berpotensi",IF(AND(E5347&lt;=3,E5347&gt;=2,F5347&gt;=3),"Rawan",IF(AND(E5347&lt;=2,F5347&lt;=2),"Tidur","Umum"))))))</f>
        <v/>
      </c>
    </row>
    <row r="5348">
      <c r="B5348">
        <f>IF(A5348="","",$B$1-MAXIFS(Donasi!$A$2:$A$20000,Donasi!$B$2:$B$20000,A5348))</f>
        <v/>
      </c>
      <c r="C5348">
        <f>IF(A5348="","",COUNTIF(Donasi!$B$2:$B$20000,A5348))</f>
        <v/>
      </c>
      <c r="D5348">
        <f>IF(A5348="","",SUMIF(Donasi!$B$2:$B$20000,A5348,Donasi!$C$2:$C$20000))</f>
        <v/>
      </c>
      <c r="E5348">
        <f>IF(A5348="","",6-CEILING(PERCENTRANK.INC($B$3:$B$6000,B5348,4)*5+0.000001,1))</f>
        <v/>
      </c>
      <c r="F5348">
        <f>IF(A5348="","",MAX(1,CEILING(PERCENTRANK.INC($C$3:$C$6000,C5348,4)*5+0.000001,1)))</f>
        <v/>
      </c>
      <c r="G5348">
        <f>IF(A5348="","",MAX(1,CEILING(PERCENTRANK.INC($D$3:$D$6000,D5348,4)*5+0.000001,1)))</f>
        <v/>
      </c>
      <c r="H5348">
        <f>IF(A5348="","",E5348&amp;F5348&amp;G5348)</f>
        <v/>
      </c>
      <c r="I5348">
        <f>IF(A5348="","",IF(AND(E5348&gt;=4,F5348&gt;=4,G5348&gt;=4),"Juara",IF(AND(F5348&gt;=4,E5348&gt;=3),"Setia",IF(AND(E5348=5,F5348&lt;=2,G5348&gt;=3),"Berpotensi",IF(AND(E5348&lt;=3,E5348&gt;=2,F5348&gt;=3),"Rawan",IF(AND(E5348&lt;=2,F5348&lt;=2),"Tidur","Umum"))))))</f>
        <v/>
      </c>
    </row>
    <row r="5349">
      <c r="B5349">
        <f>IF(A5349="","",$B$1-MAXIFS(Donasi!$A$2:$A$20000,Donasi!$B$2:$B$20000,A5349))</f>
        <v/>
      </c>
      <c r="C5349">
        <f>IF(A5349="","",COUNTIF(Donasi!$B$2:$B$20000,A5349))</f>
        <v/>
      </c>
      <c r="D5349">
        <f>IF(A5349="","",SUMIF(Donasi!$B$2:$B$20000,A5349,Donasi!$C$2:$C$20000))</f>
        <v/>
      </c>
      <c r="E5349">
        <f>IF(A5349="","",6-CEILING(PERCENTRANK.INC($B$3:$B$6000,B5349,4)*5+0.000001,1))</f>
        <v/>
      </c>
      <c r="F5349">
        <f>IF(A5349="","",MAX(1,CEILING(PERCENTRANK.INC($C$3:$C$6000,C5349,4)*5+0.000001,1)))</f>
        <v/>
      </c>
      <c r="G5349">
        <f>IF(A5349="","",MAX(1,CEILING(PERCENTRANK.INC($D$3:$D$6000,D5349,4)*5+0.000001,1)))</f>
        <v/>
      </c>
      <c r="H5349">
        <f>IF(A5349="","",E5349&amp;F5349&amp;G5349)</f>
        <v/>
      </c>
      <c r="I5349">
        <f>IF(A5349="","",IF(AND(E5349&gt;=4,F5349&gt;=4,G5349&gt;=4),"Juara",IF(AND(F5349&gt;=4,E5349&gt;=3),"Setia",IF(AND(E5349=5,F5349&lt;=2,G5349&gt;=3),"Berpotensi",IF(AND(E5349&lt;=3,E5349&gt;=2,F5349&gt;=3),"Rawan",IF(AND(E5349&lt;=2,F5349&lt;=2),"Tidur","Umum"))))))</f>
        <v/>
      </c>
    </row>
    <row r="5350">
      <c r="B5350">
        <f>IF(A5350="","",$B$1-MAXIFS(Donasi!$A$2:$A$20000,Donasi!$B$2:$B$20000,A5350))</f>
        <v/>
      </c>
      <c r="C5350">
        <f>IF(A5350="","",COUNTIF(Donasi!$B$2:$B$20000,A5350))</f>
        <v/>
      </c>
      <c r="D5350">
        <f>IF(A5350="","",SUMIF(Donasi!$B$2:$B$20000,A5350,Donasi!$C$2:$C$20000))</f>
        <v/>
      </c>
      <c r="E5350">
        <f>IF(A5350="","",6-CEILING(PERCENTRANK.INC($B$3:$B$6000,B5350,4)*5+0.000001,1))</f>
        <v/>
      </c>
      <c r="F5350">
        <f>IF(A5350="","",MAX(1,CEILING(PERCENTRANK.INC($C$3:$C$6000,C5350,4)*5+0.000001,1)))</f>
        <v/>
      </c>
      <c r="G5350">
        <f>IF(A5350="","",MAX(1,CEILING(PERCENTRANK.INC($D$3:$D$6000,D5350,4)*5+0.000001,1)))</f>
        <v/>
      </c>
      <c r="H5350">
        <f>IF(A5350="","",E5350&amp;F5350&amp;G5350)</f>
        <v/>
      </c>
      <c r="I5350">
        <f>IF(A5350="","",IF(AND(E5350&gt;=4,F5350&gt;=4,G5350&gt;=4),"Juara",IF(AND(F5350&gt;=4,E5350&gt;=3),"Setia",IF(AND(E5350=5,F5350&lt;=2,G5350&gt;=3),"Berpotensi",IF(AND(E5350&lt;=3,E5350&gt;=2,F5350&gt;=3),"Rawan",IF(AND(E5350&lt;=2,F5350&lt;=2),"Tidur","Umum"))))))</f>
        <v/>
      </c>
    </row>
    <row r="5351">
      <c r="B5351">
        <f>IF(A5351="","",$B$1-MAXIFS(Donasi!$A$2:$A$20000,Donasi!$B$2:$B$20000,A5351))</f>
        <v/>
      </c>
      <c r="C5351">
        <f>IF(A5351="","",COUNTIF(Donasi!$B$2:$B$20000,A5351))</f>
        <v/>
      </c>
      <c r="D5351">
        <f>IF(A5351="","",SUMIF(Donasi!$B$2:$B$20000,A5351,Donasi!$C$2:$C$20000))</f>
        <v/>
      </c>
      <c r="E5351">
        <f>IF(A5351="","",6-CEILING(PERCENTRANK.INC($B$3:$B$6000,B5351,4)*5+0.000001,1))</f>
        <v/>
      </c>
      <c r="F5351">
        <f>IF(A5351="","",MAX(1,CEILING(PERCENTRANK.INC($C$3:$C$6000,C5351,4)*5+0.000001,1)))</f>
        <v/>
      </c>
      <c r="G5351">
        <f>IF(A5351="","",MAX(1,CEILING(PERCENTRANK.INC($D$3:$D$6000,D5351,4)*5+0.000001,1)))</f>
        <v/>
      </c>
      <c r="H5351">
        <f>IF(A5351="","",E5351&amp;F5351&amp;G5351)</f>
        <v/>
      </c>
      <c r="I5351">
        <f>IF(A5351="","",IF(AND(E5351&gt;=4,F5351&gt;=4,G5351&gt;=4),"Juara",IF(AND(F5351&gt;=4,E5351&gt;=3),"Setia",IF(AND(E5351=5,F5351&lt;=2,G5351&gt;=3),"Berpotensi",IF(AND(E5351&lt;=3,E5351&gt;=2,F5351&gt;=3),"Rawan",IF(AND(E5351&lt;=2,F5351&lt;=2),"Tidur","Umum"))))))</f>
        <v/>
      </c>
    </row>
    <row r="5352">
      <c r="B5352">
        <f>IF(A5352="","",$B$1-MAXIFS(Donasi!$A$2:$A$20000,Donasi!$B$2:$B$20000,A5352))</f>
        <v/>
      </c>
      <c r="C5352">
        <f>IF(A5352="","",COUNTIF(Donasi!$B$2:$B$20000,A5352))</f>
        <v/>
      </c>
      <c r="D5352">
        <f>IF(A5352="","",SUMIF(Donasi!$B$2:$B$20000,A5352,Donasi!$C$2:$C$20000))</f>
        <v/>
      </c>
      <c r="E5352">
        <f>IF(A5352="","",6-CEILING(PERCENTRANK.INC($B$3:$B$6000,B5352,4)*5+0.000001,1))</f>
        <v/>
      </c>
      <c r="F5352">
        <f>IF(A5352="","",MAX(1,CEILING(PERCENTRANK.INC($C$3:$C$6000,C5352,4)*5+0.000001,1)))</f>
        <v/>
      </c>
      <c r="G5352">
        <f>IF(A5352="","",MAX(1,CEILING(PERCENTRANK.INC($D$3:$D$6000,D5352,4)*5+0.000001,1)))</f>
        <v/>
      </c>
      <c r="H5352">
        <f>IF(A5352="","",E5352&amp;F5352&amp;G5352)</f>
        <v/>
      </c>
      <c r="I5352">
        <f>IF(A5352="","",IF(AND(E5352&gt;=4,F5352&gt;=4,G5352&gt;=4),"Juara",IF(AND(F5352&gt;=4,E5352&gt;=3),"Setia",IF(AND(E5352=5,F5352&lt;=2,G5352&gt;=3),"Berpotensi",IF(AND(E5352&lt;=3,E5352&gt;=2,F5352&gt;=3),"Rawan",IF(AND(E5352&lt;=2,F5352&lt;=2),"Tidur","Umum"))))))</f>
        <v/>
      </c>
    </row>
    <row r="5353">
      <c r="B5353">
        <f>IF(A5353="","",$B$1-MAXIFS(Donasi!$A$2:$A$20000,Donasi!$B$2:$B$20000,A5353))</f>
        <v/>
      </c>
      <c r="C5353">
        <f>IF(A5353="","",COUNTIF(Donasi!$B$2:$B$20000,A5353))</f>
        <v/>
      </c>
      <c r="D5353">
        <f>IF(A5353="","",SUMIF(Donasi!$B$2:$B$20000,A5353,Donasi!$C$2:$C$20000))</f>
        <v/>
      </c>
      <c r="E5353">
        <f>IF(A5353="","",6-CEILING(PERCENTRANK.INC($B$3:$B$6000,B5353,4)*5+0.000001,1))</f>
        <v/>
      </c>
      <c r="F5353">
        <f>IF(A5353="","",MAX(1,CEILING(PERCENTRANK.INC($C$3:$C$6000,C5353,4)*5+0.000001,1)))</f>
        <v/>
      </c>
      <c r="G5353">
        <f>IF(A5353="","",MAX(1,CEILING(PERCENTRANK.INC($D$3:$D$6000,D5353,4)*5+0.000001,1)))</f>
        <v/>
      </c>
      <c r="H5353">
        <f>IF(A5353="","",E5353&amp;F5353&amp;G5353)</f>
        <v/>
      </c>
      <c r="I5353">
        <f>IF(A5353="","",IF(AND(E5353&gt;=4,F5353&gt;=4,G5353&gt;=4),"Juara",IF(AND(F5353&gt;=4,E5353&gt;=3),"Setia",IF(AND(E5353=5,F5353&lt;=2,G5353&gt;=3),"Berpotensi",IF(AND(E5353&lt;=3,E5353&gt;=2,F5353&gt;=3),"Rawan",IF(AND(E5353&lt;=2,F5353&lt;=2),"Tidur","Umum"))))))</f>
        <v/>
      </c>
    </row>
    <row r="5354">
      <c r="B5354">
        <f>IF(A5354="","",$B$1-MAXIFS(Donasi!$A$2:$A$20000,Donasi!$B$2:$B$20000,A5354))</f>
        <v/>
      </c>
      <c r="C5354">
        <f>IF(A5354="","",COUNTIF(Donasi!$B$2:$B$20000,A5354))</f>
        <v/>
      </c>
      <c r="D5354">
        <f>IF(A5354="","",SUMIF(Donasi!$B$2:$B$20000,A5354,Donasi!$C$2:$C$20000))</f>
        <v/>
      </c>
      <c r="E5354">
        <f>IF(A5354="","",6-CEILING(PERCENTRANK.INC($B$3:$B$6000,B5354,4)*5+0.000001,1))</f>
        <v/>
      </c>
      <c r="F5354">
        <f>IF(A5354="","",MAX(1,CEILING(PERCENTRANK.INC($C$3:$C$6000,C5354,4)*5+0.000001,1)))</f>
        <v/>
      </c>
      <c r="G5354">
        <f>IF(A5354="","",MAX(1,CEILING(PERCENTRANK.INC($D$3:$D$6000,D5354,4)*5+0.000001,1)))</f>
        <v/>
      </c>
      <c r="H5354">
        <f>IF(A5354="","",E5354&amp;F5354&amp;G5354)</f>
        <v/>
      </c>
      <c r="I5354">
        <f>IF(A5354="","",IF(AND(E5354&gt;=4,F5354&gt;=4,G5354&gt;=4),"Juara",IF(AND(F5354&gt;=4,E5354&gt;=3),"Setia",IF(AND(E5354=5,F5354&lt;=2,G5354&gt;=3),"Berpotensi",IF(AND(E5354&lt;=3,E5354&gt;=2,F5354&gt;=3),"Rawan",IF(AND(E5354&lt;=2,F5354&lt;=2),"Tidur","Umum"))))))</f>
        <v/>
      </c>
    </row>
    <row r="5355">
      <c r="B5355">
        <f>IF(A5355="","",$B$1-MAXIFS(Donasi!$A$2:$A$20000,Donasi!$B$2:$B$20000,A5355))</f>
        <v/>
      </c>
      <c r="C5355">
        <f>IF(A5355="","",COUNTIF(Donasi!$B$2:$B$20000,A5355))</f>
        <v/>
      </c>
      <c r="D5355">
        <f>IF(A5355="","",SUMIF(Donasi!$B$2:$B$20000,A5355,Donasi!$C$2:$C$20000))</f>
        <v/>
      </c>
      <c r="E5355">
        <f>IF(A5355="","",6-CEILING(PERCENTRANK.INC($B$3:$B$6000,B5355,4)*5+0.000001,1))</f>
        <v/>
      </c>
      <c r="F5355">
        <f>IF(A5355="","",MAX(1,CEILING(PERCENTRANK.INC($C$3:$C$6000,C5355,4)*5+0.000001,1)))</f>
        <v/>
      </c>
      <c r="G5355">
        <f>IF(A5355="","",MAX(1,CEILING(PERCENTRANK.INC($D$3:$D$6000,D5355,4)*5+0.000001,1)))</f>
        <v/>
      </c>
      <c r="H5355">
        <f>IF(A5355="","",E5355&amp;F5355&amp;G5355)</f>
        <v/>
      </c>
      <c r="I5355">
        <f>IF(A5355="","",IF(AND(E5355&gt;=4,F5355&gt;=4,G5355&gt;=4),"Juara",IF(AND(F5355&gt;=4,E5355&gt;=3),"Setia",IF(AND(E5355=5,F5355&lt;=2,G5355&gt;=3),"Berpotensi",IF(AND(E5355&lt;=3,E5355&gt;=2,F5355&gt;=3),"Rawan",IF(AND(E5355&lt;=2,F5355&lt;=2),"Tidur","Umum"))))))</f>
        <v/>
      </c>
    </row>
    <row r="5356">
      <c r="B5356">
        <f>IF(A5356="","",$B$1-MAXIFS(Donasi!$A$2:$A$20000,Donasi!$B$2:$B$20000,A5356))</f>
        <v/>
      </c>
      <c r="C5356">
        <f>IF(A5356="","",COUNTIF(Donasi!$B$2:$B$20000,A5356))</f>
        <v/>
      </c>
      <c r="D5356">
        <f>IF(A5356="","",SUMIF(Donasi!$B$2:$B$20000,A5356,Donasi!$C$2:$C$20000))</f>
        <v/>
      </c>
      <c r="E5356">
        <f>IF(A5356="","",6-CEILING(PERCENTRANK.INC($B$3:$B$6000,B5356,4)*5+0.000001,1))</f>
        <v/>
      </c>
      <c r="F5356">
        <f>IF(A5356="","",MAX(1,CEILING(PERCENTRANK.INC($C$3:$C$6000,C5356,4)*5+0.000001,1)))</f>
        <v/>
      </c>
      <c r="G5356">
        <f>IF(A5356="","",MAX(1,CEILING(PERCENTRANK.INC($D$3:$D$6000,D5356,4)*5+0.000001,1)))</f>
        <v/>
      </c>
      <c r="H5356">
        <f>IF(A5356="","",E5356&amp;F5356&amp;G5356)</f>
        <v/>
      </c>
      <c r="I5356">
        <f>IF(A5356="","",IF(AND(E5356&gt;=4,F5356&gt;=4,G5356&gt;=4),"Juara",IF(AND(F5356&gt;=4,E5356&gt;=3),"Setia",IF(AND(E5356=5,F5356&lt;=2,G5356&gt;=3),"Berpotensi",IF(AND(E5356&lt;=3,E5356&gt;=2,F5356&gt;=3),"Rawan",IF(AND(E5356&lt;=2,F5356&lt;=2),"Tidur","Umum"))))))</f>
        <v/>
      </c>
    </row>
    <row r="5357">
      <c r="B5357">
        <f>IF(A5357="","",$B$1-MAXIFS(Donasi!$A$2:$A$20000,Donasi!$B$2:$B$20000,A5357))</f>
        <v/>
      </c>
      <c r="C5357">
        <f>IF(A5357="","",COUNTIF(Donasi!$B$2:$B$20000,A5357))</f>
        <v/>
      </c>
      <c r="D5357">
        <f>IF(A5357="","",SUMIF(Donasi!$B$2:$B$20000,A5357,Donasi!$C$2:$C$20000))</f>
        <v/>
      </c>
      <c r="E5357">
        <f>IF(A5357="","",6-CEILING(PERCENTRANK.INC($B$3:$B$6000,B5357,4)*5+0.000001,1))</f>
        <v/>
      </c>
      <c r="F5357">
        <f>IF(A5357="","",MAX(1,CEILING(PERCENTRANK.INC($C$3:$C$6000,C5357,4)*5+0.000001,1)))</f>
        <v/>
      </c>
      <c r="G5357">
        <f>IF(A5357="","",MAX(1,CEILING(PERCENTRANK.INC($D$3:$D$6000,D5357,4)*5+0.000001,1)))</f>
        <v/>
      </c>
      <c r="H5357">
        <f>IF(A5357="","",E5357&amp;F5357&amp;G5357)</f>
        <v/>
      </c>
      <c r="I5357">
        <f>IF(A5357="","",IF(AND(E5357&gt;=4,F5357&gt;=4,G5357&gt;=4),"Juara",IF(AND(F5357&gt;=4,E5357&gt;=3),"Setia",IF(AND(E5357=5,F5357&lt;=2,G5357&gt;=3),"Berpotensi",IF(AND(E5357&lt;=3,E5357&gt;=2,F5357&gt;=3),"Rawan",IF(AND(E5357&lt;=2,F5357&lt;=2),"Tidur","Umum"))))))</f>
        <v/>
      </c>
    </row>
    <row r="5358">
      <c r="B5358">
        <f>IF(A5358="","",$B$1-MAXIFS(Donasi!$A$2:$A$20000,Donasi!$B$2:$B$20000,A5358))</f>
        <v/>
      </c>
      <c r="C5358">
        <f>IF(A5358="","",COUNTIF(Donasi!$B$2:$B$20000,A5358))</f>
        <v/>
      </c>
      <c r="D5358">
        <f>IF(A5358="","",SUMIF(Donasi!$B$2:$B$20000,A5358,Donasi!$C$2:$C$20000))</f>
        <v/>
      </c>
      <c r="E5358">
        <f>IF(A5358="","",6-CEILING(PERCENTRANK.INC($B$3:$B$6000,B5358,4)*5+0.000001,1))</f>
        <v/>
      </c>
      <c r="F5358">
        <f>IF(A5358="","",MAX(1,CEILING(PERCENTRANK.INC($C$3:$C$6000,C5358,4)*5+0.000001,1)))</f>
        <v/>
      </c>
      <c r="G5358">
        <f>IF(A5358="","",MAX(1,CEILING(PERCENTRANK.INC($D$3:$D$6000,D5358,4)*5+0.000001,1)))</f>
        <v/>
      </c>
      <c r="H5358">
        <f>IF(A5358="","",E5358&amp;F5358&amp;G5358)</f>
        <v/>
      </c>
      <c r="I5358">
        <f>IF(A5358="","",IF(AND(E5358&gt;=4,F5358&gt;=4,G5358&gt;=4),"Juara",IF(AND(F5358&gt;=4,E5358&gt;=3),"Setia",IF(AND(E5358=5,F5358&lt;=2,G5358&gt;=3),"Berpotensi",IF(AND(E5358&lt;=3,E5358&gt;=2,F5358&gt;=3),"Rawan",IF(AND(E5358&lt;=2,F5358&lt;=2),"Tidur","Umum"))))))</f>
        <v/>
      </c>
    </row>
    <row r="5359">
      <c r="B5359">
        <f>IF(A5359="","",$B$1-MAXIFS(Donasi!$A$2:$A$20000,Donasi!$B$2:$B$20000,A5359))</f>
        <v/>
      </c>
      <c r="C5359">
        <f>IF(A5359="","",COUNTIF(Donasi!$B$2:$B$20000,A5359))</f>
        <v/>
      </c>
      <c r="D5359">
        <f>IF(A5359="","",SUMIF(Donasi!$B$2:$B$20000,A5359,Donasi!$C$2:$C$20000))</f>
        <v/>
      </c>
      <c r="E5359">
        <f>IF(A5359="","",6-CEILING(PERCENTRANK.INC($B$3:$B$6000,B5359,4)*5+0.000001,1))</f>
        <v/>
      </c>
      <c r="F5359">
        <f>IF(A5359="","",MAX(1,CEILING(PERCENTRANK.INC($C$3:$C$6000,C5359,4)*5+0.000001,1)))</f>
        <v/>
      </c>
      <c r="G5359">
        <f>IF(A5359="","",MAX(1,CEILING(PERCENTRANK.INC($D$3:$D$6000,D5359,4)*5+0.000001,1)))</f>
        <v/>
      </c>
      <c r="H5359">
        <f>IF(A5359="","",E5359&amp;F5359&amp;G5359)</f>
        <v/>
      </c>
      <c r="I5359">
        <f>IF(A5359="","",IF(AND(E5359&gt;=4,F5359&gt;=4,G5359&gt;=4),"Juara",IF(AND(F5359&gt;=4,E5359&gt;=3),"Setia",IF(AND(E5359=5,F5359&lt;=2,G5359&gt;=3),"Berpotensi",IF(AND(E5359&lt;=3,E5359&gt;=2,F5359&gt;=3),"Rawan",IF(AND(E5359&lt;=2,F5359&lt;=2),"Tidur","Umum"))))))</f>
        <v/>
      </c>
    </row>
    <row r="5360">
      <c r="B5360">
        <f>IF(A5360="","",$B$1-MAXIFS(Donasi!$A$2:$A$20000,Donasi!$B$2:$B$20000,A5360))</f>
        <v/>
      </c>
      <c r="C5360">
        <f>IF(A5360="","",COUNTIF(Donasi!$B$2:$B$20000,A5360))</f>
        <v/>
      </c>
      <c r="D5360">
        <f>IF(A5360="","",SUMIF(Donasi!$B$2:$B$20000,A5360,Donasi!$C$2:$C$20000))</f>
        <v/>
      </c>
      <c r="E5360">
        <f>IF(A5360="","",6-CEILING(PERCENTRANK.INC($B$3:$B$6000,B5360,4)*5+0.000001,1))</f>
        <v/>
      </c>
      <c r="F5360">
        <f>IF(A5360="","",MAX(1,CEILING(PERCENTRANK.INC($C$3:$C$6000,C5360,4)*5+0.000001,1)))</f>
        <v/>
      </c>
      <c r="G5360">
        <f>IF(A5360="","",MAX(1,CEILING(PERCENTRANK.INC($D$3:$D$6000,D5360,4)*5+0.000001,1)))</f>
        <v/>
      </c>
      <c r="H5360">
        <f>IF(A5360="","",E5360&amp;F5360&amp;G5360)</f>
        <v/>
      </c>
      <c r="I5360">
        <f>IF(A5360="","",IF(AND(E5360&gt;=4,F5360&gt;=4,G5360&gt;=4),"Juara",IF(AND(F5360&gt;=4,E5360&gt;=3),"Setia",IF(AND(E5360=5,F5360&lt;=2,G5360&gt;=3),"Berpotensi",IF(AND(E5360&lt;=3,E5360&gt;=2,F5360&gt;=3),"Rawan",IF(AND(E5360&lt;=2,F5360&lt;=2),"Tidur","Umum"))))))</f>
        <v/>
      </c>
    </row>
    <row r="5361">
      <c r="B5361">
        <f>IF(A5361="","",$B$1-MAXIFS(Donasi!$A$2:$A$20000,Donasi!$B$2:$B$20000,A5361))</f>
        <v/>
      </c>
      <c r="C5361">
        <f>IF(A5361="","",COUNTIF(Donasi!$B$2:$B$20000,A5361))</f>
        <v/>
      </c>
      <c r="D5361">
        <f>IF(A5361="","",SUMIF(Donasi!$B$2:$B$20000,A5361,Donasi!$C$2:$C$20000))</f>
        <v/>
      </c>
      <c r="E5361">
        <f>IF(A5361="","",6-CEILING(PERCENTRANK.INC($B$3:$B$6000,B5361,4)*5+0.000001,1))</f>
        <v/>
      </c>
      <c r="F5361">
        <f>IF(A5361="","",MAX(1,CEILING(PERCENTRANK.INC($C$3:$C$6000,C5361,4)*5+0.000001,1)))</f>
        <v/>
      </c>
      <c r="G5361">
        <f>IF(A5361="","",MAX(1,CEILING(PERCENTRANK.INC($D$3:$D$6000,D5361,4)*5+0.000001,1)))</f>
        <v/>
      </c>
      <c r="H5361">
        <f>IF(A5361="","",E5361&amp;F5361&amp;G5361)</f>
        <v/>
      </c>
      <c r="I5361">
        <f>IF(A5361="","",IF(AND(E5361&gt;=4,F5361&gt;=4,G5361&gt;=4),"Juara",IF(AND(F5361&gt;=4,E5361&gt;=3),"Setia",IF(AND(E5361=5,F5361&lt;=2,G5361&gt;=3),"Berpotensi",IF(AND(E5361&lt;=3,E5361&gt;=2,F5361&gt;=3),"Rawan",IF(AND(E5361&lt;=2,F5361&lt;=2),"Tidur","Umum"))))))</f>
        <v/>
      </c>
    </row>
    <row r="5362">
      <c r="B5362">
        <f>IF(A5362="","",$B$1-MAXIFS(Donasi!$A$2:$A$20000,Donasi!$B$2:$B$20000,A5362))</f>
        <v/>
      </c>
      <c r="C5362">
        <f>IF(A5362="","",COUNTIF(Donasi!$B$2:$B$20000,A5362))</f>
        <v/>
      </c>
      <c r="D5362">
        <f>IF(A5362="","",SUMIF(Donasi!$B$2:$B$20000,A5362,Donasi!$C$2:$C$20000))</f>
        <v/>
      </c>
      <c r="E5362">
        <f>IF(A5362="","",6-CEILING(PERCENTRANK.INC($B$3:$B$6000,B5362,4)*5+0.000001,1))</f>
        <v/>
      </c>
      <c r="F5362">
        <f>IF(A5362="","",MAX(1,CEILING(PERCENTRANK.INC($C$3:$C$6000,C5362,4)*5+0.000001,1)))</f>
        <v/>
      </c>
      <c r="G5362">
        <f>IF(A5362="","",MAX(1,CEILING(PERCENTRANK.INC($D$3:$D$6000,D5362,4)*5+0.000001,1)))</f>
        <v/>
      </c>
      <c r="H5362">
        <f>IF(A5362="","",E5362&amp;F5362&amp;G5362)</f>
        <v/>
      </c>
      <c r="I5362">
        <f>IF(A5362="","",IF(AND(E5362&gt;=4,F5362&gt;=4,G5362&gt;=4),"Juara",IF(AND(F5362&gt;=4,E5362&gt;=3),"Setia",IF(AND(E5362=5,F5362&lt;=2,G5362&gt;=3),"Berpotensi",IF(AND(E5362&lt;=3,E5362&gt;=2,F5362&gt;=3),"Rawan",IF(AND(E5362&lt;=2,F5362&lt;=2),"Tidur","Umum"))))))</f>
        <v/>
      </c>
    </row>
    <row r="5363">
      <c r="B5363">
        <f>IF(A5363="","",$B$1-MAXIFS(Donasi!$A$2:$A$20000,Donasi!$B$2:$B$20000,A5363))</f>
        <v/>
      </c>
      <c r="C5363">
        <f>IF(A5363="","",COUNTIF(Donasi!$B$2:$B$20000,A5363))</f>
        <v/>
      </c>
      <c r="D5363">
        <f>IF(A5363="","",SUMIF(Donasi!$B$2:$B$20000,A5363,Donasi!$C$2:$C$20000))</f>
        <v/>
      </c>
      <c r="E5363">
        <f>IF(A5363="","",6-CEILING(PERCENTRANK.INC($B$3:$B$6000,B5363,4)*5+0.000001,1))</f>
        <v/>
      </c>
      <c r="F5363">
        <f>IF(A5363="","",MAX(1,CEILING(PERCENTRANK.INC($C$3:$C$6000,C5363,4)*5+0.000001,1)))</f>
        <v/>
      </c>
      <c r="G5363">
        <f>IF(A5363="","",MAX(1,CEILING(PERCENTRANK.INC($D$3:$D$6000,D5363,4)*5+0.000001,1)))</f>
        <v/>
      </c>
      <c r="H5363">
        <f>IF(A5363="","",E5363&amp;F5363&amp;G5363)</f>
        <v/>
      </c>
      <c r="I5363">
        <f>IF(A5363="","",IF(AND(E5363&gt;=4,F5363&gt;=4,G5363&gt;=4),"Juara",IF(AND(F5363&gt;=4,E5363&gt;=3),"Setia",IF(AND(E5363=5,F5363&lt;=2,G5363&gt;=3),"Berpotensi",IF(AND(E5363&lt;=3,E5363&gt;=2,F5363&gt;=3),"Rawan",IF(AND(E5363&lt;=2,F5363&lt;=2),"Tidur","Umum"))))))</f>
        <v/>
      </c>
    </row>
    <row r="5364">
      <c r="B5364">
        <f>IF(A5364="","",$B$1-MAXIFS(Donasi!$A$2:$A$20000,Donasi!$B$2:$B$20000,A5364))</f>
        <v/>
      </c>
      <c r="C5364">
        <f>IF(A5364="","",COUNTIF(Donasi!$B$2:$B$20000,A5364))</f>
        <v/>
      </c>
      <c r="D5364">
        <f>IF(A5364="","",SUMIF(Donasi!$B$2:$B$20000,A5364,Donasi!$C$2:$C$20000))</f>
        <v/>
      </c>
      <c r="E5364">
        <f>IF(A5364="","",6-CEILING(PERCENTRANK.INC($B$3:$B$6000,B5364,4)*5+0.000001,1))</f>
        <v/>
      </c>
      <c r="F5364">
        <f>IF(A5364="","",MAX(1,CEILING(PERCENTRANK.INC($C$3:$C$6000,C5364,4)*5+0.000001,1)))</f>
        <v/>
      </c>
      <c r="G5364">
        <f>IF(A5364="","",MAX(1,CEILING(PERCENTRANK.INC($D$3:$D$6000,D5364,4)*5+0.000001,1)))</f>
        <v/>
      </c>
      <c r="H5364">
        <f>IF(A5364="","",E5364&amp;F5364&amp;G5364)</f>
        <v/>
      </c>
      <c r="I5364">
        <f>IF(A5364="","",IF(AND(E5364&gt;=4,F5364&gt;=4,G5364&gt;=4),"Juara",IF(AND(F5364&gt;=4,E5364&gt;=3),"Setia",IF(AND(E5364=5,F5364&lt;=2,G5364&gt;=3),"Berpotensi",IF(AND(E5364&lt;=3,E5364&gt;=2,F5364&gt;=3),"Rawan",IF(AND(E5364&lt;=2,F5364&lt;=2),"Tidur","Umum"))))))</f>
        <v/>
      </c>
    </row>
    <row r="5365">
      <c r="B5365">
        <f>IF(A5365="","",$B$1-MAXIFS(Donasi!$A$2:$A$20000,Donasi!$B$2:$B$20000,A5365))</f>
        <v/>
      </c>
      <c r="C5365">
        <f>IF(A5365="","",COUNTIF(Donasi!$B$2:$B$20000,A5365))</f>
        <v/>
      </c>
      <c r="D5365">
        <f>IF(A5365="","",SUMIF(Donasi!$B$2:$B$20000,A5365,Donasi!$C$2:$C$20000))</f>
        <v/>
      </c>
      <c r="E5365">
        <f>IF(A5365="","",6-CEILING(PERCENTRANK.INC($B$3:$B$6000,B5365,4)*5+0.000001,1))</f>
        <v/>
      </c>
      <c r="F5365">
        <f>IF(A5365="","",MAX(1,CEILING(PERCENTRANK.INC($C$3:$C$6000,C5365,4)*5+0.000001,1)))</f>
        <v/>
      </c>
      <c r="G5365">
        <f>IF(A5365="","",MAX(1,CEILING(PERCENTRANK.INC($D$3:$D$6000,D5365,4)*5+0.000001,1)))</f>
        <v/>
      </c>
      <c r="H5365">
        <f>IF(A5365="","",E5365&amp;F5365&amp;G5365)</f>
        <v/>
      </c>
      <c r="I5365">
        <f>IF(A5365="","",IF(AND(E5365&gt;=4,F5365&gt;=4,G5365&gt;=4),"Juara",IF(AND(F5365&gt;=4,E5365&gt;=3),"Setia",IF(AND(E5365=5,F5365&lt;=2,G5365&gt;=3),"Berpotensi",IF(AND(E5365&lt;=3,E5365&gt;=2,F5365&gt;=3),"Rawan",IF(AND(E5365&lt;=2,F5365&lt;=2),"Tidur","Umum"))))))</f>
        <v/>
      </c>
    </row>
    <row r="5366">
      <c r="B5366">
        <f>IF(A5366="","",$B$1-MAXIFS(Donasi!$A$2:$A$20000,Donasi!$B$2:$B$20000,A5366))</f>
        <v/>
      </c>
      <c r="C5366">
        <f>IF(A5366="","",COUNTIF(Donasi!$B$2:$B$20000,A5366))</f>
        <v/>
      </c>
      <c r="D5366">
        <f>IF(A5366="","",SUMIF(Donasi!$B$2:$B$20000,A5366,Donasi!$C$2:$C$20000))</f>
        <v/>
      </c>
      <c r="E5366">
        <f>IF(A5366="","",6-CEILING(PERCENTRANK.INC($B$3:$B$6000,B5366,4)*5+0.000001,1))</f>
        <v/>
      </c>
      <c r="F5366">
        <f>IF(A5366="","",MAX(1,CEILING(PERCENTRANK.INC($C$3:$C$6000,C5366,4)*5+0.000001,1)))</f>
        <v/>
      </c>
      <c r="G5366">
        <f>IF(A5366="","",MAX(1,CEILING(PERCENTRANK.INC($D$3:$D$6000,D5366,4)*5+0.000001,1)))</f>
        <v/>
      </c>
      <c r="H5366">
        <f>IF(A5366="","",E5366&amp;F5366&amp;G5366)</f>
        <v/>
      </c>
      <c r="I5366">
        <f>IF(A5366="","",IF(AND(E5366&gt;=4,F5366&gt;=4,G5366&gt;=4),"Juara",IF(AND(F5366&gt;=4,E5366&gt;=3),"Setia",IF(AND(E5366=5,F5366&lt;=2,G5366&gt;=3),"Berpotensi",IF(AND(E5366&lt;=3,E5366&gt;=2,F5366&gt;=3),"Rawan",IF(AND(E5366&lt;=2,F5366&lt;=2),"Tidur","Umum"))))))</f>
        <v/>
      </c>
    </row>
    <row r="5367">
      <c r="B5367">
        <f>IF(A5367="","",$B$1-MAXIFS(Donasi!$A$2:$A$20000,Donasi!$B$2:$B$20000,A5367))</f>
        <v/>
      </c>
      <c r="C5367">
        <f>IF(A5367="","",COUNTIF(Donasi!$B$2:$B$20000,A5367))</f>
        <v/>
      </c>
      <c r="D5367">
        <f>IF(A5367="","",SUMIF(Donasi!$B$2:$B$20000,A5367,Donasi!$C$2:$C$20000))</f>
        <v/>
      </c>
      <c r="E5367">
        <f>IF(A5367="","",6-CEILING(PERCENTRANK.INC($B$3:$B$6000,B5367,4)*5+0.000001,1))</f>
        <v/>
      </c>
      <c r="F5367">
        <f>IF(A5367="","",MAX(1,CEILING(PERCENTRANK.INC($C$3:$C$6000,C5367,4)*5+0.000001,1)))</f>
        <v/>
      </c>
      <c r="G5367">
        <f>IF(A5367="","",MAX(1,CEILING(PERCENTRANK.INC($D$3:$D$6000,D5367,4)*5+0.000001,1)))</f>
        <v/>
      </c>
      <c r="H5367">
        <f>IF(A5367="","",E5367&amp;F5367&amp;G5367)</f>
        <v/>
      </c>
      <c r="I5367">
        <f>IF(A5367="","",IF(AND(E5367&gt;=4,F5367&gt;=4,G5367&gt;=4),"Juara",IF(AND(F5367&gt;=4,E5367&gt;=3),"Setia",IF(AND(E5367=5,F5367&lt;=2,G5367&gt;=3),"Berpotensi",IF(AND(E5367&lt;=3,E5367&gt;=2,F5367&gt;=3),"Rawan",IF(AND(E5367&lt;=2,F5367&lt;=2),"Tidur","Umum"))))))</f>
        <v/>
      </c>
    </row>
    <row r="5368">
      <c r="B5368">
        <f>IF(A5368="","",$B$1-MAXIFS(Donasi!$A$2:$A$20000,Donasi!$B$2:$B$20000,A5368))</f>
        <v/>
      </c>
      <c r="C5368">
        <f>IF(A5368="","",COUNTIF(Donasi!$B$2:$B$20000,A5368))</f>
        <v/>
      </c>
      <c r="D5368">
        <f>IF(A5368="","",SUMIF(Donasi!$B$2:$B$20000,A5368,Donasi!$C$2:$C$20000))</f>
        <v/>
      </c>
      <c r="E5368">
        <f>IF(A5368="","",6-CEILING(PERCENTRANK.INC($B$3:$B$6000,B5368,4)*5+0.000001,1))</f>
        <v/>
      </c>
      <c r="F5368">
        <f>IF(A5368="","",MAX(1,CEILING(PERCENTRANK.INC($C$3:$C$6000,C5368,4)*5+0.000001,1)))</f>
        <v/>
      </c>
      <c r="G5368">
        <f>IF(A5368="","",MAX(1,CEILING(PERCENTRANK.INC($D$3:$D$6000,D5368,4)*5+0.000001,1)))</f>
        <v/>
      </c>
      <c r="H5368">
        <f>IF(A5368="","",E5368&amp;F5368&amp;G5368)</f>
        <v/>
      </c>
      <c r="I5368">
        <f>IF(A5368="","",IF(AND(E5368&gt;=4,F5368&gt;=4,G5368&gt;=4),"Juara",IF(AND(F5368&gt;=4,E5368&gt;=3),"Setia",IF(AND(E5368=5,F5368&lt;=2,G5368&gt;=3),"Berpotensi",IF(AND(E5368&lt;=3,E5368&gt;=2,F5368&gt;=3),"Rawan",IF(AND(E5368&lt;=2,F5368&lt;=2),"Tidur","Umum"))))))</f>
        <v/>
      </c>
    </row>
    <row r="5369">
      <c r="B5369">
        <f>IF(A5369="","",$B$1-MAXIFS(Donasi!$A$2:$A$20000,Donasi!$B$2:$B$20000,A5369))</f>
        <v/>
      </c>
      <c r="C5369">
        <f>IF(A5369="","",COUNTIF(Donasi!$B$2:$B$20000,A5369))</f>
        <v/>
      </c>
      <c r="D5369">
        <f>IF(A5369="","",SUMIF(Donasi!$B$2:$B$20000,A5369,Donasi!$C$2:$C$20000))</f>
        <v/>
      </c>
      <c r="E5369">
        <f>IF(A5369="","",6-CEILING(PERCENTRANK.INC($B$3:$B$6000,B5369,4)*5+0.000001,1))</f>
        <v/>
      </c>
      <c r="F5369">
        <f>IF(A5369="","",MAX(1,CEILING(PERCENTRANK.INC($C$3:$C$6000,C5369,4)*5+0.000001,1)))</f>
        <v/>
      </c>
      <c r="G5369">
        <f>IF(A5369="","",MAX(1,CEILING(PERCENTRANK.INC($D$3:$D$6000,D5369,4)*5+0.000001,1)))</f>
        <v/>
      </c>
      <c r="H5369">
        <f>IF(A5369="","",E5369&amp;F5369&amp;G5369)</f>
        <v/>
      </c>
      <c r="I5369">
        <f>IF(A5369="","",IF(AND(E5369&gt;=4,F5369&gt;=4,G5369&gt;=4),"Juara",IF(AND(F5369&gt;=4,E5369&gt;=3),"Setia",IF(AND(E5369=5,F5369&lt;=2,G5369&gt;=3),"Berpotensi",IF(AND(E5369&lt;=3,E5369&gt;=2,F5369&gt;=3),"Rawan",IF(AND(E5369&lt;=2,F5369&lt;=2),"Tidur","Umum"))))))</f>
        <v/>
      </c>
    </row>
    <row r="5370">
      <c r="B5370">
        <f>IF(A5370="","",$B$1-MAXIFS(Donasi!$A$2:$A$20000,Donasi!$B$2:$B$20000,A5370))</f>
        <v/>
      </c>
      <c r="C5370">
        <f>IF(A5370="","",COUNTIF(Donasi!$B$2:$B$20000,A5370))</f>
        <v/>
      </c>
      <c r="D5370">
        <f>IF(A5370="","",SUMIF(Donasi!$B$2:$B$20000,A5370,Donasi!$C$2:$C$20000))</f>
        <v/>
      </c>
      <c r="E5370">
        <f>IF(A5370="","",6-CEILING(PERCENTRANK.INC($B$3:$B$6000,B5370,4)*5+0.000001,1))</f>
        <v/>
      </c>
      <c r="F5370">
        <f>IF(A5370="","",MAX(1,CEILING(PERCENTRANK.INC($C$3:$C$6000,C5370,4)*5+0.000001,1)))</f>
        <v/>
      </c>
      <c r="G5370">
        <f>IF(A5370="","",MAX(1,CEILING(PERCENTRANK.INC($D$3:$D$6000,D5370,4)*5+0.000001,1)))</f>
        <v/>
      </c>
      <c r="H5370">
        <f>IF(A5370="","",E5370&amp;F5370&amp;G5370)</f>
        <v/>
      </c>
      <c r="I5370">
        <f>IF(A5370="","",IF(AND(E5370&gt;=4,F5370&gt;=4,G5370&gt;=4),"Juara",IF(AND(F5370&gt;=4,E5370&gt;=3),"Setia",IF(AND(E5370=5,F5370&lt;=2,G5370&gt;=3),"Berpotensi",IF(AND(E5370&lt;=3,E5370&gt;=2,F5370&gt;=3),"Rawan",IF(AND(E5370&lt;=2,F5370&lt;=2),"Tidur","Umum"))))))</f>
        <v/>
      </c>
    </row>
    <row r="5371">
      <c r="B5371">
        <f>IF(A5371="","",$B$1-MAXIFS(Donasi!$A$2:$A$20000,Donasi!$B$2:$B$20000,A5371))</f>
        <v/>
      </c>
      <c r="C5371">
        <f>IF(A5371="","",COUNTIF(Donasi!$B$2:$B$20000,A5371))</f>
        <v/>
      </c>
      <c r="D5371">
        <f>IF(A5371="","",SUMIF(Donasi!$B$2:$B$20000,A5371,Donasi!$C$2:$C$20000))</f>
        <v/>
      </c>
      <c r="E5371">
        <f>IF(A5371="","",6-CEILING(PERCENTRANK.INC($B$3:$B$6000,B5371,4)*5+0.000001,1))</f>
        <v/>
      </c>
      <c r="F5371">
        <f>IF(A5371="","",MAX(1,CEILING(PERCENTRANK.INC($C$3:$C$6000,C5371,4)*5+0.000001,1)))</f>
        <v/>
      </c>
      <c r="G5371">
        <f>IF(A5371="","",MAX(1,CEILING(PERCENTRANK.INC($D$3:$D$6000,D5371,4)*5+0.000001,1)))</f>
        <v/>
      </c>
      <c r="H5371">
        <f>IF(A5371="","",E5371&amp;F5371&amp;G5371)</f>
        <v/>
      </c>
      <c r="I5371">
        <f>IF(A5371="","",IF(AND(E5371&gt;=4,F5371&gt;=4,G5371&gt;=4),"Juara",IF(AND(F5371&gt;=4,E5371&gt;=3),"Setia",IF(AND(E5371=5,F5371&lt;=2,G5371&gt;=3),"Berpotensi",IF(AND(E5371&lt;=3,E5371&gt;=2,F5371&gt;=3),"Rawan",IF(AND(E5371&lt;=2,F5371&lt;=2),"Tidur","Umum"))))))</f>
        <v/>
      </c>
    </row>
    <row r="5372">
      <c r="B5372">
        <f>IF(A5372="","",$B$1-MAXIFS(Donasi!$A$2:$A$20000,Donasi!$B$2:$B$20000,A5372))</f>
        <v/>
      </c>
      <c r="C5372">
        <f>IF(A5372="","",COUNTIF(Donasi!$B$2:$B$20000,A5372))</f>
        <v/>
      </c>
      <c r="D5372">
        <f>IF(A5372="","",SUMIF(Donasi!$B$2:$B$20000,A5372,Donasi!$C$2:$C$20000))</f>
        <v/>
      </c>
      <c r="E5372">
        <f>IF(A5372="","",6-CEILING(PERCENTRANK.INC($B$3:$B$6000,B5372,4)*5+0.000001,1))</f>
        <v/>
      </c>
      <c r="F5372">
        <f>IF(A5372="","",MAX(1,CEILING(PERCENTRANK.INC($C$3:$C$6000,C5372,4)*5+0.000001,1)))</f>
        <v/>
      </c>
      <c r="G5372">
        <f>IF(A5372="","",MAX(1,CEILING(PERCENTRANK.INC($D$3:$D$6000,D5372,4)*5+0.000001,1)))</f>
        <v/>
      </c>
      <c r="H5372">
        <f>IF(A5372="","",E5372&amp;F5372&amp;G5372)</f>
        <v/>
      </c>
      <c r="I5372">
        <f>IF(A5372="","",IF(AND(E5372&gt;=4,F5372&gt;=4,G5372&gt;=4),"Juara",IF(AND(F5372&gt;=4,E5372&gt;=3),"Setia",IF(AND(E5372=5,F5372&lt;=2,G5372&gt;=3),"Berpotensi",IF(AND(E5372&lt;=3,E5372&gt;=2,F5372&gt;=3),"Rawan",IF(AND(E5372&lt;=2,F5372&lt;=2),"Tidur","Umum"))))))</f>
        <v/>
      </c>
    </row>
    <row r="5373">
      <c r="B5373">
        <f>IF(A5373="","",$B$1-MAXIFS(Donasi!$A$2:$A$20000,Donasi!$B$2:$B$20000,A5373))</f>
        <v/>
      </c>
      <c r="C5373">
        <f>IF(A5373="","",COUNTIF(Donasi!$B$2:$B$20000,A5373))</f>
        <v/>
      </c>
      <c r="D5373">
        <f>IF(A5373="","",SUMIF(Donasi!$B$2:$B$20000,A5373,Donasi!$C$2:$C$20000))</f>
        <v/>
      </c>
      <c r="E5373">
        <f>IF(A5373="","",6-CEILING(PERCENTRANK.INC($B$3:$B$6000,B5373,4)*5+0.000001,1))</f>
        <v/>
      </c>
      <c r="F5373">
        <f>IF(A5373="","",MAX(1,CEILING(PERCENTRANK.INC($C$3:$C$6000,C5373,4)*5+0.000001,1)))</f>
        <v/>
      </c>
      <c r="G5373">
        <f>IF(A5373="","",MAX(1,CEILING(PERCENTRANK.INC($D$3:$D$6000,D5373,4)*5+0.000001,1)))</f>
        <v/>
      </c>
      <c r="H5373">
        <f>IF(A5373="","",E5373&amp;F5373&amp;G5373)</f>
        <v/>
      </c>
      <c r="I5373">
        <f>IF(A5373="","",IF(AND(E5373&gt;=4,F5373&gt;=4,G5373&gt;=4),"Juara",IF(AND(F5373&gt;=4,E5373&gt;=3),"Setia",IF(AND(E5373=5,F5373&lt;=2,G5373&gt;=3),"Berpotensi",IF(AND(E5373&lt;=3,E5373&gt;=2,F5373&gt;=3),"Rawan",IF(AND(E5373&lt;=2,F5373&lt;=2),"Tidur","Umum"))))))</f>
        <v/>
      </c>
    </row>
    <row r="5374">
      <c r="B5374">
        <f>IF(A5374="","",$B$1-MAXIFS(Donasi!$A$2:$A$20000,Donasi!$B$2:$B$20000,A5374))</f>
        <v/>
      </c>
      <c r="C5374">
        <f>IF(A5374="","",COUNTIF(Donasi!$B$2:$B$20000,A5374))</f>
        <v/>
      </c>
      <c r="D5374">
        <f>IF(A5374="","",SUMIF(Donasi!$B$2:$B$20000,A5374,Donasi!$C$2:$C$20000))</f>
        <v/>
      </c>
      <c r="E5374">
        <f>IF(A5374="","",6-CEILING(PERCENTRANK.INC($B$3:$B$6000,B5374,4)*5+0.000001,1))</f>
        <v/>
      </c>
      <c r="F5374">
        <f>IF(A5374="","",MAX(1,CEILING(PERCENTRANK.INC($C$3:$C$6000,C5374,4)*5+0.000001,1)))</f>
        <v/>
      </c>
      <c r="G5374">
        <f>IF(A5374="","",MAX(1,CEILING(PERCENTRANK.INC($D$3:$D$6000,D5374,4)*5+0.000001,1)))</f>
        <v/>
      </c>
      <c r="H5374">
        <f>IF(A5374="","",E5374&amp;F5374&amp;G5374)</f>
        <v/>
      </c>
      <c r="I5374">
        <f>IF(A5374="","",IF(AND(E5374&gt;=4,F5374&gt;=4,G5374&gt;=4),"Juara",IF(AND(F5374&gt;=4,E5374&gt;=3),"Setia",IF(AND(E5374=5,F5374&lt;=2,G5374&gt;=3),"Berpotensi",IF(AND(E5374&lt;=3,E5374&gt;=2,F5374&gt;=3),"Rawan",IF(AND(E5374&lt;=2,F5374&lt;=2),"Tidur","Umum"))))))</f>
        <v/>
      </c>
    </row>
    <row r="5375">
      <c r="B5375">
        <f>IF(A5375="","",$B$1-MAXIFS(Donasi!$A$2:$A$20000,Donasi!$B$2:$B$20000,A5375))</f>
        <v/>
      </c>
      <c r="C5375">
        <f>IF(A5375="","",COUNTIF(Donasi!$B$2:$B$20000,A5375))</f>
        <v/>
      </c>
      <c r="D5375">
        <f>IF(A5375="","",SUMIF(Donasi!$B$2:$B$20000,A5375,Donasi!$C$2:$C$20000))</f>
        <v/>
      </c>
      <c r="E5375">
        <f>IF(A5375="","",6-CEILING(PERCENTRANK.INC($B$3:$B$6000,B5375,4)*5+0.000001,1))</f>
        <v/>
      </c>
      <c r="F5375">
        <f>IF(A5375="","",MAX(1,CEILING(PERCENTRANK.INC($C$3:$C$6000,C5375,4)*5+0.000001,1)))</f>
        <v/>
      </c>
      <c r="G5375">
        <f>IF(A5375="","",MAX(1,CEILING(PERCENTRANK.INC($D$3:$D$6000,D5375,4)*5+0.000001,1)))</f>
        <v/>
      </c>
      <c r="H5375">
        <f>IF(A5375="","",E5375&amp;F5375&amp;G5375)</f>
        <v/>
      </c>
      <c r="I5375">
        <f>IF(A5375="","",IF(AND(E5375&gt;=4,F5375&gt;=4,G5375&gt;=4),"Juara",IF(AND(F5375&gt;=4,E5375&gt;=3),"Setia",IF(AND(E5375=5,F5375&lt;=2,G5375&gt;=3),"Berpotensi",IF(AND(E5375&lt;=3,E5375&gt;=2,F5375&gt;=3),"Rawan",IF(AND(E5375&lt;=2,F5375&lt;=2),"Tidur","Umum"))))))</f>
        <v/>
      </c>
    </row>
    <row r="5376">
      <c r="B5376">
        <f>IF(A5376="","",$B$1-MAXIFS(Donasi!$A$2:$A$20000,Donasi!$B$2:$B$20000,A5376))</f>
        <v/>
      </c>
      <c r="C5376">
        <f>IF(A5376="","",COUNTIF(Donasi!$B$2:$B$20000,A5376))</f>
        <v/>
      </c>
      <c r="D5376">
        <f>IF(A5376="","",SUMIF(Donasi!$B$2:$B$20000,A5376,Donasi!$C$2:$C$20000))</f>
        <v/>
      </c>
      <c r="E5376">
        <f>IF(A5376="","",6-CEILING(PERCENTRANK.INC($B$3:$B$6000,B5376,4)*5+0.000001,1))</f>
        <v/>
      </c>
      <c r="F5376">
        <f>IF(A5376="","",MAX(1,CEILING(PERCENTRANK.INC($C$3:$C$6000,C5376,4)*5+0.000001,1)))</f>
        <v/>
      </c>
      <c r="G5376">
        <f>IF(A5376="","",MAX(1,CEILING(PERCENTRANK.INC($D$3:$D$6000,D5376,4)*5+0.000001,1)))</f>
        <v/>
      </c>
      <c r="H5376">
        <f>IF(A5376="","",E5376&amp;F5376&amp;G5376)</f>
        <v/>
      </c>
      <c r="I5376">
        <f>IF(A5376="","",IF(AND(E5376&gt;=4,F5376&gt;=4,G5376&gt;=4),"Juara",IF(AND(F5376&gt;=4,E5376&gt;=3),"Setia",IF(AND(E5376=5,F5376&lt;=2,G5376&gt;=3),"Berpotensi",IF(AND(E5376&lt;=3,E5376&gt;=2,F5376&gt;=3),"Rawan",IF(AND(E5376&lt;=2,F5376&lt;=2),"Tidur","Umum"))))))</f>
        <v/>
      </c>
    </row>
    <row r="5377">
      <c r="B5377">
        <f>IF(A5377="","",$B$1-MAXIFS(Donasi!$A$2:$A$20000,Donasi!$B$2:$B$20000,A5377))</f>
        <v/>
      </c>
      <c r="C5377">
        <f>IF(A5377="","",COUNTIF(Donasi!$B$2:$B$20000,A5377))</f>
        <v/>
      </c>
      <c r="D5377">
        <f>IF(A5377="","",SUMIF(Donasi!$B$2:$B$20000,A5377,Donasi!$C$2:$C$20000))</f>
        <v/>
      </c>
      <c r="E5377">
        <f>IF(A5377="","",6-CEILING(PERCENTRANK.INC($B$3:$B$6000,B5377,4)*5+0.000001,1))</f>
        <v/>
      </c>
      <c r="F5377">
        <f>IF(A5377="","",MAX(1,CEILING(PERCENTRANK.INC($C$3:$C$6000,C5377,4)*5+0.000001,1)))</f>
        <v/>
      </c>
      <c r="G5377">
        <f>IF(A5377="","",MAX(1,CEILING(PERCENTRANK.INC($D$3:$D$6000,D5377,4)*5+0.000001,1)))</f>
        <v/>
      </c>
      <c r="H5377">
        <f>IF(A5377="","",E5377&amp;F5377&amp;G5377)</f>
        <v/>
      </c>
      <c r="I5377">
        <f>IF(A5377="","",IF(AND(E5377&gt;=4,F5377&gt;=4,G5377&gt;=4),"Juara",IF(AND(F5377&gt;=4,E5377&gt;=3),"Setia",IF(AND(E5377=5,F5377&lt;=2,G5377&gt;=3),"Berpotensi",IF(AND(E5377&lt;=3,E5377&gt;=2,F5377&gt;=3),"Rawan",IF(AND(E5377&lt;=2,F5377&lt;=2),"Tidur","Umum"))))))</f>
        <v/>
      </c>
    </row>
    <row r="5378">
      <c r="B5378">
        <f>IF(A5378="","",$B$1-MAXIFS(Donasi!$A$2:$A$20000,Donasi!$B$2:$B$20000,A5378))</f>
        <v/>
      </c>
      <c r="C5378">
        <f>IF(A5378="","",COUNTIF(Donasi!$B$2:$B$20000,A5378))</f>
        <v/>
      </c>
      <c r="D5378">
        <f>IF(A5378="","",SUMIF(Donasi!$B$2:$B$20000,A5378,Donasi!$C$2:$C$20000))</f>
        <v/>
      </c>
      <c r="E5378">
        <f>IF(A5378="","",6-CEILING(PERCENTRANK.INC($B$3:$B$6000,B5378,4)*5+0.000001,1))</f>
        <v/>
      </c>
      <c r="F5378">
        <f>IF(A5378="","",MAX(1,CEILING(PERCENTRANK.INC($C$3:$C$6000,C5378,4)*5+0.000001,1)))</f>
        <v/>
      </c>
      <c r="G5378">
        <f>IF(A5378="","",MAX(1,CEILING(PERCENTRANK.INC($D$3:$D$6000,D5378,4)*5+0.000001,1)))</f>
        <v/>
      </c>
      <c r="H5378">
        <f>IF(A5378="","",E5378&amp;F5378&amp;G5378)</f>
        <v/>
      </c>
      <c r="I5378">
        <f>IF(A5378="","",IF(AND(E5378&gt;=4,F5378&gt;=4,G5378&gt;=4),"Juara",IF(AND(F5378&gt;=4,E5378&gt;=3),"Setia",IF(AND(E5378=5,F5378&lt;=2,G5378&gt;=3),"Berpotensi",IF(AND(E5378&lt;=3,E5378&gt;=2,F5378&gt;=3),"Rawan",IF(AND(E5378&lt;=2,F5378&lt;=2),"Tidur","Umum"))))))</f>
        <v/>
      </c>
    </row>
    <row r="5379">
      <c r="B5379">
        <f>IF(A5379="","",$B$1-MAXIFS(Donasi!$A$2:$A$20000,Donasi!$B$2:$B$20000,A5379))</f>
        <v/>
      </c>
      <c r="C5379">
        <f>IF(A5379="","",COUNTIF(Donasi!$B$2:$B$20000,A5379))</f>
        <v/>
      </c>
      <c r="D5379">
        <f>IF(A5379="","",SUMIF(Donasi!$B$2:$B$20000,A5379,Donasi!$C$2:$C$20000))</f>
        <v/>
      </c>
      <c r="E5379">
        <f>IF(A5379="","",6-CEILING(PERCENTRANK.INC($B$3:$B$6000,B5379,4)*5+0.000001,1))</f>
        <v/>
      </c>
      <c r="F5379">
        <f>IF(A5379="","",MAX(1,CEILING(PERCENTRANK.INC($C$3:$C$6000,C5379,4)*5+0.000001,1)))</f>
        <v/>
      </c>
      <c r="G5379">
        <f>IF(A5379="","",MAX(1,CEILING(PERCENTRANK.INC($D$3:$D$6000,D5379,4)*5+0.000001,1)))</f>
        <v/>
      </c>
      <c r="H5379">
        <f>IF(A5379="","",E5379&amp;F5379&amp;G5379)</f>
        <v/>
      </c>
      <c r="I5379">
        <f>IF(A5379="","",IF(AND(E5379&gt;=4,F5379&gt;=4,G5379&gt;=4),"Juara",IF(AND(F5379&gt;=4,E5379&gt;=3),"Setia",IF(AND(E5379=5,F5379&lt;=2,G5379&gt;=3),"Berpotensi",IF(AND(E5379&lt;=3,E5379&gt;=2,F5379&gt;=3),"Rawan",IF(AND(E5379&lt;=2,F5379&lt;=2),"Tidur","Umum"))))))</f>
        <v/>
      </c>
    </row>
    <row r="5380">
      <c r="B5380">
        <f>IF(A5380="","",$B$1-MAXIFS(Donasi!$A$2:$A$20000,Donasi!$B$2:$B$20000,A5380))</f>
        <v/>
      </c>
      <c r="C5380">
        <f>IF(A5380="","",COUNTIF(Donasi!$B$2:$B$20000,A5380))</f>
        <v/>
      </c>
      <c r="D5380">
        <f>IF(A5380="","",SUMIF(Donasi!$B$2:$B$20000,A5380,Donasi!$C$2:$C$20000))</f>
        <v/>
      </c>
      <c r="E5380">
        <f>IF(A5380="","",6-CEILING(PERCENTRANK.INC($B$3:$B$6000,B5380,4)*5+0.000001,1))</f>
        <v/>
      </c>
      <c r="F5380">
        <f>IF(A5380="","",MAX(1,CEILING(PERCENTRANK.INC($C$3:$C$6000,C5380,4)*5+0.000001,1)))</f>
        <v/>
      </c>
      <c r="G5380">
        <f>IF(A5380="","",MAX(1,CEILING(PERCENTRANK.INC($D$3:$D$6000,D5380,4)*5+0.000001,1)))</f>
        <v/>
      </c>
      <c r="H5380">
        <f>IF(A5380="","",E5380&amp;F5380&amp;G5380)</f>
        <v/>
      </c>
      <c r="I5380">
        <f>IF(A5380="","",IF(AND(E5380&gt;=4,F5380&gt;=4,G5380&gt;=4),"Juara",IF(AND(F5380&gt;=4,E5380&gt;=3),"Setia",IF(AND(E5380=5,F5380&lt;=2,G5380&gt;=3),"Berpotensi",IF(AND(E5380&lt;=3,E5380&gt;=2,F5380&gt;=3),"Rawan",IF(AND(E5380&lt;=2,F5380&lt;=2),"Tidur","Umum"))))))</f>
        <v/>
      </c>
    </row>
    <row r="5381">
      <c r="B5381">
        <f>IF(A5381="","",$B$1-MAXIFS(Donasi!$A$2:$A$20000,Donasi!$B$2:$B$20000,A5381))</f>
        <v/>
      </c>
      <c r="C5381">
        <f>IF(A5381="","",COUNTIF(Donasi!$B$2:$B$20000,A5381))</f>
        <v/>
      </c>
      <c r="D5381">
        <f>IF(A5381="","",SUMIF(Donasi!$B$2:$B$20000,A5381,Donasi!$C$2:$C$20000))</f>
        <v/>
      </c>
      <c r="E5381">
        <f>IF(A5381="","",6-CEILING(PERCENTRANK.INC($B$3:$B$6000,B5381,4)*5+0.000001,1))</f>
        <v/>
      </c>
      <c r="F5381">
        <f>IF(A5381="","",MAX(1,CEILING(PERCENTRANK.INC($C$3:$C$6000,C5381,4)*5+0.000001,1)))</f>
        <v/>
      </c>
      <c r="G5381">
        <f>IF(A5381="","",MAX(1,CEILING(PERCENTRANK.INC($D$3:$D$6000,D5381,4)*5+0.000001,1)))</f>
        <v/>
      </c>
      <c r="H5381">
        <f>IF(A5381="","",E5381&amp;F5381&amp;G5381)</f>
        <v/>
      </c>
      <c r="I5381">
        <f>IF(A5381="","",IF(AND(E5381&gt;=4,F5381&gt;=4,G5381&gt;=4),"Juara",IF(AND(F5381&gt;=4,E5381&gt;=3),"Setia",IF(AND(E5381=5,F5381&lt;=2,G5381&gt;=3),"Berpotensi",IF(AND(E5381&lt;=3,E5381&gt;=2,F5381&gt;=3),"Rawan",IF(AND(E5381&lt;=2,F5381&lt;=2),"Tidur","Umum"))))))</f>
        <v/>
      </c>
    </row>
    <row r="5382">
      <c r="B5382">
        <f>IF(A5382="","",$B$1-MAXIFS(Donasi!$A$2:$A$20000,Donasi!$B$2:$B$20000,A5382))</f>
        <v/>
      </c>
      <c r="C5382">
        <f>IF(A5382="","",COUNTIF(Donasi!$B$2:$B$20000,A5382))</f>
        <v/>
      </c>
      <c r="D5382">
        <f>IF(A5382="","",SUMIF(Donasi!$B$2:$B$20000,A5382,Donasi!$C$2:$C$20000))</f>
        <v/>
      </c>
      <c r="E5382">
        <f>IF(A5382="","",6-CEILING(PERCENTRANK.INC($B$3:$B$6000,B5382,4)*5+0.000001,1))</f>
        <v/>
      </c>
      <c r="F5382">
        <f>IF(A5382="","",MAX(1,CEILING(PERCENTRANK.INC($C$3:$C$6000,C5382,4)*5+0.000001,1)))</f>
        <v/>
      </c>
      <c r="G5382">
        <f>IF(A5382="","",MAX(1,CEILING(PERCENTRANK.INC($D$3:$D$6000,D5382,4)*5+0.000001,1)))</f>
        <v/>
      </c>
      <c r="H5382">
        <f>IF(A5382="","",E5382&amp;F5382&amp;G5382)</f>
        <v/>
      </c>
      <c r="I5382">
        <f>IF(A5382="","",IF(AND(E5382&gt;=4,F5382&gt;=4,G5382&gt;=4),"Juara",IF(AND(F5382&gt;=4,E5382&gt;=3),"Setia",IF(AND(E5382=5,F5382&lt;=2,G5382&gt;=3),"Berpotensi",IF(AND(E5382&lt;=3,E5382&gt;=2,F5382&gt;=3),"Rawan",IF(AND(E5382&lt;=2,F5382&lt;=2),"Tidur","Umum"))))))</f>
        <v/>
      </c>
    </row>
    <row r="5383">
      <c r="B5383">
        <f>IF(A5383="","",$B$1-MAXIFS(Donasi!$A$2:$A$20000,Donasi!$B$2:$B$20000,A5383))</f>
        <v/>
      </c>
      <c r="C5383">
        <f>IF(A5383="","",COUNTIF(Donasi!$B$2:$B$20000,A5383))</f>
        <v/>
      </c>
      <c r="D5383">
        <f>IF(A5383="","",SUMIF(Donasi!$B$2:$B$20000,A5383,Donasi!$C$2:$C$20000))</f>
        <v/>
      </c>
      <c r="E5383">
        <f>IF(A5383="","",6-CEILING(PERCENTRANK.INC($B$3:$B$6000,B5383,4)*5+0.000001,1))</f>
        <v/>
      </c>
      <c r="F5383">
        <f>IF(A5383="","",MAX(1,CEILING(PERCENTRANK.INC($C$3:$C$6000,C5383,4)*5+0.000001,1)))</f>
        <v/>
      </c>
      <c r="G5383">
        <f>IF(A5383="","",MAX(1,CEILING(PERCENTRANK.INC($D$3:$D$6000,D5383,4)*5+0.000001,1)))</f>
        <v/>
      </c>
      <c r="H5383">
        <f>IF(A5383="","",E5383&amp;F5383&amp;G5383)</f>
        <v/>
      </c>
      <c r="I5383">
        <f>IF(A5383="","",IF(AND(E5383&gt;=4,F5383&gt;=4,G5383&gt;=4),"Juara",IF(AND(F5383&gt;=4,E5383&gt;=3),"Setia",IF(AND(E5383=5,F5383&lt;=2,G5383&gt;=3),"Berpotensi",IF(AND(E5383&lt;=3,E5383&gt;=2,F5383&gt;=3),"Rawan",IF(AND(E5383&lt;=2,F5383&lt;=2),"Tidur","Umum"))))))</f>
        <v/>
      </c>
    </row>
    <row r="5384">
      <c r="B5384">
        <f>IF(A5384="","",$B$1-MAXIFS(Donasi!$A$2:$A$20000,Donasi!$B$2:$B$20000,A5384))</f>
        <v/>
      </c>
      <c r="C5384">
        <f>IF(A5384="","",COUNTIF(Donasi!$B$2:$B$20000,A5384))</f>
        <v/>
      </c>
      <c r="D5384">
        <f>IF(A5384="","",SUMIF(Donasi!$B$2:$B$20000,A5384,Donasi!$C$2:$C$20000))</f>
        <v/>
      </c>
      <c r="E5384">
        <f>IF(A5384="","",6-CEILING(PERCENTRANK.INC($B$3:$B$6000,B5384,4)*5+0.000001,1))</f>
        <v/>
      </c>
      <c r="F5384">
        <f>IF(A5384="","",MAX(1,CEILING(PERCENTRANK.INC($C$3:$C$6000,C5384,4)*5+0.000001,1)))</f>
        <v/>
      </c>
      <c r="G5384">
        <f>IF(A5384="","",MAX(1,CEILING(PERCENTRANK.INC($D$3:$D$6000,D5384,4)*5+0.000001,1)))</f>
        <v/>
      </c>
      <c r="H5384">
        <f>IF(A5384="","",E5384&amp;F5384&amp;G5384)</f>
        <v/>
      </c>
      <c r="I5384">
        <f>IF(A5384="","",IF(AND(E5384&gt;=4,F5384&gt;=4,G5384&gt;=4),"Juara",IF(AND(F5384&gt;=4,E5384&gt;=3),"Setia",IF(AND(E5384=5,F5384&lt;=2,G5384&gt;=3),"Berpotensi",IF(AND(E5384&lt;=3,E5384&gt;=2,F5384&gt;=3),"Rawan",IF(AND(E5384&lt;=2,F5384&lt;=2),"Tidur","Umum"))))))</f>
        <v/>
      </c>
    </row>
    <row r="5385">
      <c r="B5385">
        <f>IF(A5385="","",$B$1-MAXIFS(Donasi!$A$2:$A$20000,Donasi!$B$2:$B$20000,A5385))</f>
        <v/>
      </c>
      <c r="C5385">
        <f>IF(A5385="","",COUNTIF(Donasi!$B$2:$B$20000,A5385))</f>
        <v/>
      </c>
      <c r="D5385">
        <f>IF(A5385="","",SUMIF(Donasi!$B$2:$B$20000,A5385,Donasi!$C$2:$C$20000))</f>
        <v/>
      </c>
      <c r="E5385">
        <f>IF(A5385="","",6-CEILING(PERCENTRANK.INC($B$3:$B$6000,B5385,4)*5+0.000001,1))</f>
        <v/>
      </c>
      <c r="F5385">
        <f>IF(A5385="","",MAX(1,CEILING(PERCENTRANK.INC($C$3:$C$6000,C5385,4)*5+0.000001,1)))</f>
        <v/>
      </c>
      <c r="G5385">
        <f>IF(A5385="","",MAX(1,CEILING(PERCENTRANK.INC($D$3:$D$6000,D5385,4)*5+0.000001,1)))</f>
        <v/>
      </c>
      <c r="H5385">
        <f>IF(A5385="","",E5385&amp;F5385&amp;G5385)</f>
        <v/>
      </c>
      <c r="I5385">
        <f>IF(A5385="","",IF(AND(E5385&gt;=4,F5385&gt;=4,G5385&gt;=4),"Juara",IF(AND(F5385&gt;=4,E5385&gt;=3),"Setia",IF(AND(E5385=5,F5385&lt;=2,G5385&gt;=3),"Berpotensi",IF(AND(E5385&lt;=3,E5385&gt;=2,F5385&gt;=3),"Rawan",IF(AND(E5385&lt;=2,F5385&lt;=2),"Tidur","Umum"))))))</f>
        <v/>
      </c>
    </row>
    <row r="5386">
      <c r="B5386">
        <f>IF(A5386="","",$B$1-MAXIFS(Donasi!$A$2:$A$20000,Donasi!$B$2:$B$20000,A5386))</f>
        <v/>
      </c>
      <c r="C5386">
        <f>IF(A5386="","",COUNTIF(Donasi!$B$2:$B$20000,A5386))</f>
        <v/>
      </c>
      <c r="D5386">
        <f>IF(A5386="","",SUMIF(Donasi!$B$2:$B$20000,A5386,Donasi!$C$2:$C$20000))</f>
        <v/>
      </c>
      <c r="E5386">
        <f>IF(A5386="","",6-CEILING(PERCENTRANK.INC($B$3:$B$6000,B5386,4)*5+0.000001,1))</f>
        <v/>
      </c>
      <c r="F5386">
        <f>IF(A5386="","",MAX(1,CEILING(PERCENTRANK.INC($C$3:$C$6000,C5386,4)*5+0.000001,1)))</f>
        <v/>
      </c>
      <c r="G5386">
        <f>IF(A5386="","",MAX(1,CEILING(PERCENTRANK.INC($D$3:$D$6000,D5386,4)*5+0.000001,1)))</f>
        <v/>
      </c>
      <c r="H5386">
        <f>IF(A5386="","",E5386&amp;F5386&amp;G5386)</f>
        <v/>
      </c>
      <c r="I5386">
        <f>IF(A5386="","",IF(AND(E5386&gt;=4,F5386&gt;=4,G5386&gt;=4),"Juara",IF(AND(F5386&gt;=4,E5386&gt;=3),"Setia",IF(AND(E5386=5,F5386&lt;=2,G5386&gt;=3),"Berpotensi",IF(AND(E5386&lt;=3,E5386&gt;=2,F5386&gt;=3),"Rawan",IF(AND(E5386&lt;=2,F5386&lt;=2),"Tidur","Umum"))))))</f>
        <v/>
      </c>
    </row>
    <row r="5387">
      <c r="B5387">
        <f>IF(A5387="","",$B$1-MAXIFS(Donasi!$A$2:$A$20000,Donasi!$B$2:$B$20000,A5387))</f>
        <v/>
      </c>
      <c r="C5387">
        <f>IF(A5387="","",COUNTIF(Donasi!$B$2:$B$20000,A5387))</f>
        <v/>
      </c>
      <c r="D5387">
        <f>IF(A5387="","",SUMIF(Donasi!$B$2:$B$20000,A5387,Donasi!$C$2:$C$20000))</f>
        <v/>
      </c>
      <c r="E5387">
        <f>IF(A5387="","",6-CEILING(PERCENTRANK.INC($B$3:$B$6000,B5387,4)*5+0.000001,1))</f>
        <v/>
      </c>
      <c r="F5387">
        <f>IF(A5387="","",MAX(1,CEILING(PERCENTRANK.INC($C$3:$C$6000,C5387,4)*5+0.000001,1)))</f>
        <v/>
      </c>
      <c r="G5387">
        <f>IF(A5387="","",MAX(1,CEILING(PERCENTRANK.INC($D$3:$D$6000,D5387,4)*5+0.000001,1)))</f>
        <v/>
      </c>
      <c r="H5387">
        <f>IF(A5387="","",E5387&amp;F5387&amp;G5387)</f>
        <v/>
      </c>
      <c r="I5387">
        <f>IF(A5387="","",IF(AND(E5387&gt;=4,F5387&gt;=4,G5387&gt;=4),"Juara",IF(AND(F5387&gt;=4,E5387&gt;=3),"Setia",IF(AND(E5387=5,F5387&lt;=2,G5387&gt;=3),"Berpotensi",IF(AND(E5387&lt;=3,E5387&gt;=2,F5387&gt;=3),"Rawan",IF(AND(E5387&lt;=2,F5387&lt;=2),"Tidur","Umum"))))))</f>
        <v/>
      </c>
    </row>
    <row r="5388">
      <c r="B5388">
        <f>IF(A5388="","",$B$1-MAXIFS(Donasi!$A$2:$A$20000,Donasi!$B$2:$B$20000,A5388))</f>
        <v/>
      </c>
      <c r="C5388">
        <f>IF(A5388="","",COUNTIF(Donasi!$B$2:$B$20000,A5388))</f>
        <v/>
      </c>
      <c r="D5388">
        <f>IF(A5388="","",SUMIF(Donasi!$B$2:$B$20000,A5388,Donasi!$C$2:$C$20000))</f>
        <v/>
      </c>
      <c r="E5388">
        <f>IF(A5388="","",6-CEILING(PERCENTRANK.INC($B$3:$B$6000,B5388,4)*5+0.000001,1))</f>
        <v/>
      </c>
      <c r="F5388">
        <f>IF(A5388="","",MAX(1,CEILING(PERCENTRANK.INC($C$3:$C$6000,C5388,4)*5+0.000001,1)))</f>
        <v/>
      </c>
      <c r="G5388">
        <f>IF(A5388="","",MAX(1,CEILING(PERCENTRANK.INC($D$3:$D$6000,D5388,4)*5+0.000001,1)))</f>
        <v/>
      </c>
      <c r="H5388">
        <f>IF(A5388="","",E5388&amp;F5388&amp;G5388)</f>
        <v/>
      </c>
      <c r="I5388">
        <f>IF(A5388="","",IF(AND(E5388&gt;=4,F5388&gt;=4,G5388&gt;=4),"Juara",IF(AND(F5388&gt;=4,E5388&gt;=3),"Setia",IF(AND(E5388=5,F5388&lt;=2,G5388&gt;=3),"Berpotensi",IF(AND(E5388&lt;=3,E5388&gt;=2,F5388&gt;=3),"Rawan",IF(AND(E5388&lt;=2,F5388&lt;=2),"Tidur","Umum"))))))</f>
        <v/>
      </c>
    </row>
    <row r="5389">
      <c r="B5389">
        <f>IF(A5389="","",$B$1-MAXIFS(Donasi!$A$2:$A$20000,Donasi!$B$2:$B$20000,A5389))</f>
        <v/>
      </c>
      <c r="C5389">
        <f>IF(A5389="","",COUNTIF(Donasi!$B$2:$B$20000,A5389))</f>
        <v/>
      </c>
      <c r="D5389">
        <f>IF(A5389="","",SUMIF(Donasi!$B$2:$B$20000,A5389,Donasi!$C$2:$C$20000))</f>
        <v/>
      </c>
      <c r="E5389">
        <f>IF(A5389="","",6-CEILING(PERCENTRANK.INC($B$3:$B$6000,B5389,4)*5+0.000001,1))</f>
        <v/>
      </c>
      <c r="F5389">
        <f>IF(A5389="","",MAX(1,CEILING(PERCENTRANK.INC($C$3:$C$6000,C5389,4)*5+0.000001,1)))</f>
        <v/>
      </c>
      <c r="G5389">
        <f>IF(A5389="","",MAX(1,CEILING(PERCENTRANK.INC($D$3:$D$6000,D5389,4)*5+0.000001,1)))</f>
        <v/>
      </c>
      <c r="H5389">
        <f>IF(A5389="","",E5389&amp;F5389&amp;G5389)</f>
        <v/>
      </c>
      <c r="I5389">
        <f>IF(A5389="","",IF(AND(E5389&gt;=4,F5389&gt;=4,G5389&gt;=4),"Juara",IF(AND(F5389&gt;=4,E5389&gt;=3),"Setia",IF(AND(E5389=5,F5389&lt;=2,G5389&gt;=3),"Berpotensi",IF(AND(E5389&lt;=3,E5389&gt;=2,F5389&gt;=3),"Rawan",IF(AND(E5389&lt;=2,F5389&lt;=2),"Tidur","Umum"))))))</f>
        <v/>
      </c>
    </row>
    <row r="5390">
      <c r="B5390">
        <f>IF(A5390="","",$B$1-MAXIFS(Donasi!$A$2:$A$20000,Donasi!$B$2:$B$20000,A5390))</f>
        <v/>
      </c>
      <c r="C5390">
        <f>IF(A5390="","",COUNTIF(Donasi!$B$2:$B$20000,A5390))</f>
        <v/>
      </c>
      <c r="D5390">
        <f>IF(A5390="","",SUMIF(Donasi!$B$2:$B$20000,A5390,Donasi!$C$2:$C$20000))</f>
        <v/>
      </c>
      <c r="E5390">
        <f>IF(A5390="","",6-CEILING(PERCENTRANK.INC($B$3:$B$6000,B5390,4)*5+0.000001,1))</f>
        <v/>
      </c>
      <c r="F5390">
        <f>IF(A5390="","",MAX(1,CEILING(PERCENTRANK.INC($C$3:$C$6000,C5390,4)*5+0.000001,1)))</f>
        <v/>
      </c>
      <c r="G5390">
        <f>IF(A5390="","",MAX(1,CEILING(PERCENTRANK.INC($D$3:$D$6000,D5390,4)*5+0.000001,1)))</f>
        <v/>
      </c>
      <c r="H5390">
        <f>IF(A5390="","",E5390&amp;F5390&amp;G5390)</f>
        <v/>
      </c>
      <c r="I5390">
        <f>IF(A5390="","",IF(AND(E5390&gt;=4,F5390&gt;=4,G5390&gt;=4),"Juara",IF(AND(F5390&gt;=4,E5390&gt;=3),"Setia",IF(AND(E5390=5,F5390&lt;=2,G5390&gt;=3),"Berpotensi",IF(AND(E5390&lt;=3,E5390&gt;=2,F5390&gt;=3),"Rawan",IF(AND(E5390&lt;=2,F5390&lt;=2),"Tidur","Umum"))))))</f>
        <v/>
      </c>
    </row>
    <row r="5391">
      <c r="B5391">
        <f>IF(A5391="","",$B$1-MAXIFS(Donasi!$A$2:$A$20000,Donasi!$B$2:$B$20000,A5391))</f>
        <v/>
      </c>
      <c r="C5391">
        <f>IF(A5391="","",COUNTIF(Donasi!$B$2:$B$20000,A5391))</f>
        <v/>
      </c>
      <c r="D5391">
        <f>IF(A5391="","",SUMIF(Donasi!$B$2:$B$20000,A5391,Donasi!$C$2:$C$20000))</f>
        <v/>
      </c>
      <c r="E5391">
        <f>IF(A5391="","",6-CEILING(PERCENTRANK.INC($B$3:$B$6000,B5391,4)*5+0.000001,1))</f>
        <v/>
      </c>
      <c r="F5391">
        <f>IF(A5391="","",MAX(1,CEILING(PERCENTRANK.INC($C$3:$C$6000,C5391,4)*5+0.000001,1)))</f>
        <v/>
      </c>
      <c r="G5391">
        <f>IF(A5391="","",MAX(1,CEILING(PERCENTRANK.INC($D$3:$D$6000,D5391,4)*5+0.000001,1)))</f>
        <v/>
      </c>
      <c r="H5391">
        <f>IF(A5391="","",E5391&amp;F5391&amp;G5391)</f>
        <v/>
      </c>
      <c r="I5391">
        <f>IF(A5391="","",IF(AND(E5391&gt;=4,F5391&gt;=4,G5391&gt;=4),"Juara",IF(AND(F5391&gt;=4,E5391&gt;=3),"Setia",IF(AND(E5391=5,F5391&lt;=2,G5391&gt;=3),"Berpotensi",IF(AND(E5391&lt;=3,E5391&gt;=2,F5391&gt;=3),"Rawan",IF(AND(E5391&lt;=2,F5391&lt;=2),"Tidur","Umum"))))))</f>
        <v/>
      </c>
    </row>
    <row r="5392">
      <c r="B5392">
        <f>IF(A5392="","",$B$1-MAXIFS(Donasi!$A$2:$A$20000,Donasi!$B$2:$B$20000,A5392))</f>
        <v/>
      </c>
      <c r="C5392">
        <f>IF(A5392="","",COUNTIF(Donasi!$B$2:$B$20000,A5392))</f>
        <v/>
      </c>
      <c r="D5392">
        <f>IF(A5392="","",SUMIF(Donasi!$B$2:$B$20000,A5392,Donasi!$C$2:$C$20000))</f>
        <v/>
      </c>
      <c r="E5392">
        <f>IF(A5392="","",6-CEILING(PERCENTRANK.INC($B$3:$B$6000,B5392,4)*5+0.000001,1))</f>
        <v/>
      </c>
      <c r="F5392">
        <f>IF(A5392="","",MAX(1,CEILING(PERCENTRANK.INC($C$3:$C$6000,C5392,4)*5+0.000001,1)))</f>
        <v/>
      </c>
      <c r="G5392">
        <f>IF(A5392="","",MAX(1,CEILING(PERCENTRANK.INC($D$3:$D$6000,D5392,4)*5+0.000001,1)))</f>
        <v/>
      </c>
      <c r="H5392">
        <f>IF(A5392="","",E5392&amp;F5392&amp;G5392)</f>
        <v/>
      </c>
      <c r="I5392">
        <f>IF(A5392="","",IF(AND(E5392&gt;=4,F5392&gt;=4,G5392&gt;=4),"Juara",IF(AND(F5392&gt;=4,E5392&gt;=3),"Setia",IF(AND(E5392=5,F5392&lt;=2,G5392&gt;=3),"Berpotensi",IF(AND(E5392&lt;=3,E5392&gt;=2,F5392&gt;=3),"Rawan",IF(AND(E5392&lt;=2,F5392&lt;=2),"Tidur","Umum"))))))</f>
        <v/>
      </c>
    </row>
    <row r="5393">
      <c r="B5393">
        <f>IF(A5393="","",$B$1-MAXIFS(Donasi!$A$2:$A$20000,Donasi!$B$2:$B$20000,A5393))</f>
        <v/>
      </c>
      <c r="C5393">
        <f>IF(A5393="","",COUNTIF(Donasi!$B$2:$B$20000,A5393))</f>
        <v/>
      </c>
      <c r="D5393">
        <f>IF(A5393="","",SUMIF(Donasi!$B$2:$B$20000,A5393,Donasi!$C$2:$C$20000))</f>
        <v/>
      </c>
      <c r="E5393">
        <f>IF(A5393="","",6-CEILING(PERCENTRANK.INC($B$3:$B$6000,B5393,4)*5+0.000001,1))</f>
        <v/>
      </c>
      <c r="F5393">
        <f>IF(A5393="","",MAX(1,CEILING(PERCENTRANK.INC($C$3:$C$6000,C5393,4)*5+0.000001,1)))</f>
        <v/>
      </c>
      <c r="G5393">
        <f>IF(A5393="","",MAX(1,CEILING(PERCENTRANK.INC($D$3:$D$6000,D5393,4)*5+0.000001,1)))</f>
        <v/>
      </c>
      <c r="H5393">
        <f>IF(A5393="","",E5393&amp;F5393&amp;G5393)</f>
        <v/>
      </c>
      <c r="I5393">
        <f>IF(A5393="","",IF(AND(E5393&gt;=4,F5393&gt;=4,G5393&gt;=4),"Juara",IF(AND(F5393&gt;=4,E5393&gt;=3),"Setia",IF(AND(E5393=5,F5393&lt;=2,G5393&gt;=3),"Berpotensi",IF(AND(E5393&lt;=3,E5393&gt;=2,F5393&gt;=3),"Rawan",IF(AND(E5393&lt;=2,F5393&lt;=2),"Tidur","Umum"))))))</f>
        <v/>
      </c>
    </row>
    <row r="5394">
      <c r="B5394">
        <f>IF(A5394="","",$B$1-MAXIFS(Donasi!$A$2:$A$20000,Donasi!$B$2:$B$20000,A5394))</f>
        <v/>
      </c>
      <c r="C5394">
        <f>IF(A5394="","",COUNTIF(Donasi!$B$2:$B$20000,A5394))</f>
        <v/>
      </c>
      <c r="D5394">
        <f>IF(A5394="","",SUMIF(Donasi!$B$2:$B$20000,A5394,Donasi!$C$2:$C$20000))</f>
        <v/>
      </c>
      <c r="E5394">
        <f>IF(A5394="","",6-CEILING(PERCENTRANK.INC($B$3:$B$6000,B5394,4)*5+0.000001,1))</f>
        <v/>
      </c>
      <c r="F5394">
        <f>IF(A5394="","",MAX(1,CEILING(PERCENTRANK.INC($C$3:$C$6000,C5394,4)*5+0.000001,1)))</f>
        <v/>
      </c>
      <c r="G5394">
        <f>IF(A5394="","",MAX(1,CEILING(PERCENTRANK.INC($D$3:$D$6000,D5394,4)*5+0.000001,1)))</f>
        <v/>
      </c>
      <c r="H5394">
        <f>IF(A5394="","",E5394&amp;F5394&amp;G5394)</f>
        <v/>
      </c>
      <c r="I5394">
        <f>IF(A5394="","",IF(AND(E5394&gt;=4,F5394&gt;=4,G5394&gt;=4),"Juara",IF(AND(F5394&gt;=4,E5394&gt;=3),"Setia",IF(AND(E5394=5,F5394&lt;=2,G5394&gt;=3),"Berpotensi",IF(AND(E5394&lt;=3,E5394&gt;=2,F5394&gt;=3),"Rawan",IF(AND(E5394&lt;=2,F5394&lt;=2),"Tidur","Umum"))))))</f>
        <v/>
      </c>
    </row>
    <row r="5395">
      <c r="B5395">
        <f>IF(A5395="","",$B$1-MAXIFS(Donasi!$A$2:$A$20000,Donasi!$B$2:$B$20000,A5395))</f>
        <v/>
      </c>
      <c r="C5395">
        <f>IF(A5395="","",COUNTIF(Donasi!$B$2:$B$20000,A5395))</f>
        <v/>
      </c>
      <c r="D5395">
        <f>IF(A5395="","",SUMIF(Donasi!$B$2:$B$20000,A5395,Donasi!$C$2:$C$20000))</f>
        <v/>
      </c>
      <c r="E5395">
        <f>IF(A5395="","",6-CEILING(PERCENTRANK.INC($B$3:$B$6000,B5395,4)*5+0.000001,1))</f>
        <v/>
      </c>
      <c r="F5395">
        <f>IF(A5395="","",MAX(1,CEILING(PERCENTRANK.INC($C$3:$C$6000,C5395,4)*5+0.000001,1)))</f>
        <v/>
      </c>
      <c r="G5395">
        <f>IF(A5395="","",MAX(1,CEILING(PERCENTRANK.INC($D$3:$D$6000,D5395,4)*5+0.000001,1)))</f>
        <v/>
      </c>
      <c r="H5395">
        <f>IF(A5395="","",E5395&amp;F5395&amp;G5395)</f>
        <v/>
      </c>
      <c r="I5395">
        <f>IF(A5395="","",IF(AND(E5395&gt;=4,F5395&gt;=4,G5395&gt;=4),"Juara",IF(AND(F5395&gt;=4,E5395&gt;=3),"Setia",IF(AND(E5395=5,F5395&lt;=2,G5395&gt;=3),"Berpotensi",IF(AND(E5395&lt;=3,E5395&gt;=2,F5395&gt;=3),"Rawan",IF(AND(E5395&lt;=2,F5395&lt;=2),"Tidur","Umum"))))))</f>
        <v/>
      </c>
    </row>
    <row r="5396">
      <c r="B5396">
        <f>IF(A5396="","",$B$1-MAXIFS(Donasi!$A$2:$A$20000,Donasi!$B$2:$B$20000,A5396))</f>
        <v/>
      </c>
      <c r="C5396">
        <f>IF(A5396="","",COUNTIF(Donasi!$B$2:$B$20000,A5396))</f>
        <v/>
      </c>
      <c r="D5396">
        <f>IF(A5396="","",SUMIF(Donasi!$B$2:$B$20000,A5396,Donasi!$C$2:$C$20000))</f>
        <v/>
      </c>
      <c r="E5396">
        <f>IF(A5396="","",6-CEILING(PERCENTRANK.INC($B$3:$B$6000,B5396,4)*5+0.000001,1))</f>
        <v/>
      </c>
      <c r="F5396">
        <f>IF(A5396="","",MAX(1,CEILING(PERCENTRANK.INC($C$3:$C$6000,C5396,4)*5+0.000001,1)))</f>
        <v/>
      </c>
      <c r="G5396">
        <f>IF(A5396="","",MAX(1,CEILING(PERCENTRANK.INC($D$3:$D$6000,D5396,4)*5+0.000001,1)))</f>
        <v/>
      </c>
      <c r="H5396">
        <f>IF(A5396="","",E5396&amp;F5396&amp;G5396)</f>
        <v/>
      </c>
      <c r="I5396">
        <f>IF(A5396="","",IF(AND(E5396&gt;=4,F5396&gt;=4,G5396&gt;=4),"Juara",IF(AND(F5396&gt;=4,E5396&gt;=3),"Setia",IF(AND(E5396=5,F5396&lt;=2,G5396&gt;=3),"Berpotensi",IF(AND(E5396&lt;=3,E5396&gt;=2,F5396&gt;=3),"Rawan",IF(AND(E5396&lt;=2,F5396&lt;=2),"Tidur","Umum"))))))</f>
        <v/>
      </c>
    </row>
    <row r="5397">
      <c r="B5397">
        <f>IF(A5397="","",$B$1-MAXIFS(Donasi!$A$2:$A$20000,Donasi!$B$2:$B$20000,A5397))</f>
        <v/>
      </c>
      <c r="C5397">
        <f>IF(A5397="","",COUNTIF(Donasi!$B$2:$B$20000,A5397))</f>
        <v/>
      </c>
      <c r="D5397">
        <f>IF(A5397="","",SUMIF(Donasi!$B$2:$B$20000,A5397,Donasi!$C$2:$C$20000))</f>
        <v/>
      </c>
      <c r="E5397">
        <f>IF(A5397="","",6-CEILING(PERCENTRANK.INC($B$3:$B$6000,B5397,4)*5+0.000001,1))</f>
        <v/>
      </c>
      <c r="F5397">
        <f>IF(A5397="","",MAX(1,CEILING(PERCENTRANK.INC($C$3:$C$6000,C5397,4)*5+0.000001,1)))</f>
        <v/>
      </c>
      <c r="G5397">
        <f>IF(A5397="","",MAX(1,CEILING(PERCENTRANK.INC($D$3:$D$6000,D5397,4)*5+0.000001,1)))</f>
        <v/>
      </c>
      <c r="H5397">
        <f>IF(A5397="","",E5397&amp;F5397&amp;G5397)</f>
        <v/>
      </c>
      <c r="I5397">
        <f>IF(A5397="","",IF(AND(E5397&gt;=4,F5397&gt;=4,G5397&gt;=4),"Juara",IF(AND(F5397&gt;=4,E5397&gt;=3),"Setia",IF(AND(E5397=5,F5397&lt;=2,G5397&gt;=3),"Berpotensi",IF(AND(E5397&lt;=3,E5397&gt;=2,F5397&gt;=3),"Rawan",IF(AND(E5397&lt;=2,F5397&lt;=2),"Tidur","Umum"))))))</f>
        <v/>
      </c>
    </row>
    <row r="5398">
      <c r="B5398">
        <f>IF(A5398="","",$B$1-MAXIFS(Donasi!$A$2:$A$20000,Donasi!$B$2:$B$20000,A5398))</f>
        <v/>
      </c>
      <c r="C5398">
        <f>IF(A5398="","",COUNTIF(Donasi!$B$2:$B$20000,A5398))</f>
        <v/>
      </c>
      <c r="D5398">
        <f>IF(A5398="","",SUMIF(Donasi!$B$2:$B$20000,A5398,Donasi!$C$2:$C$20000))</f>
        <v/>
      </c>
      <c r="E5398">
        <f>IF(A5398="","",6-CEILING(PERCENTRANK.INC($B$3:$B$6000,B5398,4)*5+0.000001,1))</f>
        <v/>
      </c>
      <c r="F5398">
        <f>IF(A5398="","",MAX(1,CEILING(PERCENTRANK.INC($C$3:$C$6000,C5398,4)*5+0.000001,1)))</f>
        <v/>
      </c>
      <c r="G5398">
        <f>IF(A5398="","",MAX(1,CEILING(PERCENTRANK.INC($D$3:$D$6000,D5398,4)*5+0.000001,1)))</f>
        <v/>
      </c>
      <c r="H5398">
        <f>IF(A5398="","",E5398&amp;F5398&amp;G5398)</f>
        <v/>
      </c>
      <c r="I5398">
        <f>IF(A5398="","",IF(AND(E5398&gt;=4,F5398&gt;=4,G5398&gt;=4),"Juara",IF(AND(F5398&gt;=4,E5398&gt;=3),"Setia",IF(AND(E5398=5,F5398&lt;=2,G5398&gt;=3),"Berpotensi",IF(AND(E5398&lt;=3,E5398&gt;=2,F5398&gt;=3),"Rawan",IF(AND(E5398&lt;=2,F5398&lt;=2),"Tidur","Umum"))))))</f>
        <v/>
      </c>
    </row>
    <row r="5399">
      <c r="B5399">
        <f>IF(A5399="","",$B$1-MAXIFS(Donasi!$A$2:$A$20000,Donasi!$B$2:$B$20000,A5399))</f>
        <v/>
      </c>
      <c r="C5399">
        <f>IF(A5399="","",COUNTIF(Donasi!$B$2:$B$20000,A5399))</f>
        <v/>
      </c>
      <c r="D5399">
        <f>IF(A5399="","",SUMIF(Donasi!$B$2:$B$20000,A5399,Donasi!$C$2:$C$20000))</f>
        <v/>
      </c>
      <c r="E5399">
        <f>IF(A5399="","",6-CEILING(PERCENTRANK.INC($B$3:$B$6000,B5399,4)*5+0.000001,1))</f>
        <v/>
      </c>
      <c r="F5399">
        <f>IF(A5399="","",MAX(1,CEILING(PERCENTRANK.INC($C$3:$C$6000,C5399,4)*5+0.000001,1)))</f>
        <v/>
      </c>
      <c r="G5399">
        <f>IF(A5399="","",MAX(1,CEILING(PERCENTRANK.INC($D$3:$D$6000,D5399,4)*5+0.000001,1)))</f>
        <v/>
      </c>
      <c r="H5399">
        <f>IF(A5399="","",E5399&amp;F5399&amp;G5399)</f>
        <v/>
      </c>
      <c r="I5399">
        <f>IF(A5399="","",IF(AND(E5399&gt;=4,F5399&gt;=4,G5399&gt;=4),"Juara",IF(AND(F5399&gt;=4,E5399&gt;=3),"Setia",IF(AND(E5399=5,F5399&lt;=2,G5399&gt;=3),"Berpotensi",IF(AND(E5399&lt;=3,E5399&gt;=2,F5399&gt;=3),"Rawan",IF(AND(E5399&lt;=2,F5399&lt;=2),"Tidur","Umum"))))))</f>
        <v/>
      </c>
    </row>
    <row r="5400">
      <c r="B5400">
        <f>IF(A5400="","",$B$1-MAXIFS(Donasi!$A$2:$A$20000,Donasi!$B$2:$B$20000,A5400))</f>
        <v/>
      </c>
      <c r="C5400">
        <f>IF(A5400="","",COUNTIF(Donasi!$B$2:$B$20000,A5400))</f>
        <v/>
      </c>
      <c r="D5400">
        <f>IF(A5400="","",SUMIF(Donasi!$B$2:$B$20000,A5400,Donasi!$C$2:$C$20000))</f>
        <v/>
      </c>
      <c r="E5400">
        <f>IF(A5400="","",6-CEILING(PERCENTRANK.INC($B$3:$B$6000,B5400,4)*5+0.000001,1))</f>
        <v/>
      </c>
      <c r="F5400">
        <f>IF(A5400="","",MAX(1,CEILING(PERCENTRANK.INC($C$3:$C$6000,C5400,4)*5+0.000001,1)))</f>
        <v/>
      </c>
      <c r="G5400">
        <f>IF(A5400="","",MAX(1,CEILING(PERCENTRANK.INC($D$3:$D$6000,D5400,4)*5+0.000001,1)))</f>
        <v/>
      </c>
      <c r="H5400">
        <f>IF(A5400="","",E5400&amp;F5400&amp;G5400)</f>
        <v/>
      </c>
      <c r="I5400">
        <f>IF(A5400="","",IF(AND(E5400&gt;=4,F5400&gt;=4,G5400&gt;=4),"Juara",IF(AND(F5400&gt;=4,E5400&gt;=3),"Setia",IF(AND(E5400=5,F5400&lt;=2,G5400&gt;=3),"Berpotensi",IF(AND(E5400&lt;=3,E5400&gt;=2,F5400&gt;=3),"Rawan",IF(AND(E5400&lt;=2,F5400&lt;=2),"Tidur","Umum"))))))</f>
        <v/>
      </c>
    </row>
    <row r="5401">
      <c r="B5401">
        <f>IF(A5401="","",$B$1-MAXIFS(Donasi!$A$2:$A$20000,Donasi!$B$2:$B$20000,A5401))</f>
        <v/>
      </c>
      <c r="C5401">
        <f>IF(A5401="","",COUNTIF(Donasi!$B$2:$B$20000,A5401))</f>
        <v/>
      </c>
      <c r="D5401">
        <f>IF(A5401="","",SUMIF(Donasi!$B$2:$B$20000,A5401,Donasi!$C$2:$C$20000))</f>
        <v/>
      </c>
      <c r="E5401">
        <f>IF(A5401="","",6-CEILING(PERCENTRANK.INC($B$3:$B$6000,B5401,4)*5+0.000001,1))</f>
        <v/>
      </c>
      <c r="F5401">
        <f>IF(A5401="","",MAX(1,CEILING(PERCENTRANK.INC($C$3:$C$6000,C5401,4)*5+0.000001,1)))</f>
        <v/>
      </c>
      <c r="G5401">
        <f>IF(A5401="","",MAX(1,CEILING(PERCENTRANK.INC($D$3:$D$6000,D5401,4)*5+0.000001,1)))</f>
        <v/>
      </c>
      <c r="H5401">
        <f>IF(A5401="","",E5401&amp;F5401&amp;G5401)</f>
        <v/>
      </c>
      <c r="I5401">
        <f>IF(A5401="","",IF(AND(E5401&gt;=4,F5401&gt;=4,G5401&gt;=4),"Juara",IF(AND(F5401&gt;=4,E5401&gt;=3),"Setia",IF(AND(E5401=5,F5401&lt;=2,G5401&gt;=3),"Berpotensi",IF(AND(E5401&lt;=3,E5401&gt;=2,F5401&gt;=3),"Rawan",IF(AND(E5401&lt;=2,F5401&lt;=2),"Tidur","Umum"))))))</f>
        <v/>
      </c>
    </row>
    <row r="5402">
      <c r="B5402">
        <f>IF(A5402="","",$B$1-MAXIFS(Donasi!$A$2:$A$20000,Donasi!$B$2:$B$20000,A5402))</f>
        <v/>
      </c>
      <c r="C5402">
        <f>IF(A5402="","",COUNTIF(Donasi!$B$2:$B$20000,A5402))</f>
        <v/>
      </c>
      <c r="D5402">
        <f>IF(A5402="","",SUMIF(Donasi!$B$2:$B$20000,A5402,Donasi!$C$2:$C$20000))</f>
        <v/>
      </c>
      <c r="E5402">
        <f>IF(A5402="","",6-CEILING(PERCENTRANK.INC($B$3:$B$6000,B5402,4)*5+0.000001,1))</f>
        <v/>
      </c>
      <c r="F5402">
        <f>IF(A5402="","",MAX(1,CEILING(PERCENTRANK.INC($C$3:$C$6000,C5402,4)*5+0.000001,1)))</f>
        <v/>
      </c>
      <c r="G5402">
        <f>IF(A5402="","",MAX(1,CEILING(PERCENTRANK.INC($D$3:$D$6000,D5402,4)*5+0.000001,1)))</f>
        <v/>
      </c>
      <c r="H5402">
        <f>IF(A5402="","",E5402&amp;F5402&amp;G5402)</f>
        <v/>
      </c>
      <c r="I5402">
        <f>IF(A5402="","",IF(AND(E5402&gt;=4,F5402&gt;=4,G5402&gt;=4),"Juara",IF(AND(F5402&gt;=4,E5402&gt;=3),"Setia",IF(AND(E5402=5,F5402&lt;=2,G5402&gt;=3),"Berpotensi",IF(AND(E5402&lt;=3,E5402&gt;=2,F5402&gt;=3),"Rawan",IF(AND(E5402&lt;=2,F5402&lt;=2),"Tidur","Umum"))))))</f>
        <v/>
      </c>
    </row>
    <row r="5403">
      <c r="B5403">
        <f>IF(A5403="","",$B$1-MAXIFS(Donasi!$A$2:$A$20000,Donasi!$B$2:$B$20000,A5403))</f>
        <v/>
      </c>
      <c r="C5403">
        <f>IF(A5403="","",COUNTIF(Donasi!$B$2:$B$20000,A5403))</f>
        <v/>
      </c>
      <c r="D5403">
        <f>IF(A5403="","",SUMIF(Donasi!$B$2:$B$20000,A5403,Donasi!$C$2:$C$20000))</f>
        <v/>
      </c>
      <c r="E5403">
        <f>IF(A5403="","",6-CEILING(PERCENTRANK.INC($B$3:$B$6000,B5403,4)*5+0.000001,1))</f>
        <v/>
      </c>
      <c r="F5403">
        <f>IF(A5403="","",MAX(1,CEILING(PERCENTRANK.INC($C$3:$C$6000,C5403,4)*5+0.000001,1)))</f>
        <v/>
      </c>
      <c r="G5403">
        <f>IF(A5403="","",MAX(1,CEILING(PERCENTRANK.INC($D$3:$D$6000,D5403,4)*5+0.000001,1)))</f>
        <v/>
      </c>
      <c r="H5403">
        <f>IF(A5403="","",E5403&amp;F5403&amp;G5403)</f>
        <v/>
      </c>
      <c r="I5403">
        <f>IF(A5403="","",IF(AND(E5403&gt;=4,F5403&gt;=4,G5403&gt;=4),"Juara",IF(AND(F5403&gt;=4,E5403&gt;=3),"Setia",IF(AND(E5403=5,F5403&lt;=2,G5403&gt;=3),"Berpotensi",IF(AND(E5403&lt;=3,E5403&gt;=2,F5403&gt;=3),"Rawan",IF(AND(E5403&lt;=2,F5403&lt;=2),"Tidur","Umum"))))))</f>
        <v/>
      </c>
    </row>
    <row r="5404">
      <c r="B5404">
        <f>IF(A5404="","",$B$1-MAXIFS(Donasi!$A$2:$A$20000,Donasi!$B$2:$B$20000,A5404))</f>
        <v/>
      </c>
      <c r="C5404">
        <f>IF(A5404="","",COUNTIF(Donasi!$B$2:$B$20000,A5404))</f>
        <v/>
      </c>
      <c r="D5404">
        <f>IF(A5404="","",SUMIF(Donasi!$B$2:$B$20000,A5404,Donasi!$C$2:$C$20000))</f>
        <v/>
      </c>
      <c r="E5404">
        <f>IF(A5404="","",6-CEILING(PERCENTRANK.INC($B$3:$B$6000,B5404,4)*5+0.000001,1))</f>
        <v/>
      </c>
      <c r="F5404">
        <f>IF(A5404="","",MAX(1,CEILING(PERCENTRANK.INC($C$3:$C$6000,C5404,4)*5+0.000001,1)))</f>
        <v/>
      </c>
      <c r="G5404">
        <f>IF(A5404="","",MAX(1,CEILING(PERCENTRANK.INC($D$3:$D$6000,D5404,4)*5+0.000001,1)))</f>
        <v/>
      </c>
      <c r="H5404">
        <f>IF(A5404="","",E5404&amp;F5404&amp;G5404)</f>
        <v/>
      </c>
      <c r="I5404">
        <f>IF(A5404="","",IF(AND(E5404&gt;=4,F5404&gt;=4,G5404&gt;=4),"Juara",IF(AND(F5404&gt;=4,E5404&gt;=3),"Setia",IF(AND(E5404=5,F5404&lt;=2,G5404&gt;=3),"Berpotensi",IF(AND(E5404&lt;=3,E5404&gt;=2,F5404&gt;=3),"Rawan",IF(AND(E5404&lt;=2,F5404&lt;=2),"Tidur","Umum"))))))</f>
        <v/>
      </c>
    </row>
    <row r="5405">
      <c r="B5405">
        <f>IF(A5405="","",$B$1-MAXIFS(Donasi!$A$2:$A$20000,Donasi!$B$2:$B$20000,A5405))</f>
        <v/>
      </c>
      <c r="C5405">
        <f>IF(A5405="","",COUNTIF(Donasi!$B$2:$B$20000,A5405))</f>
        <v/>
      </c>
      <c r="D5405">
        <f>IF(A5405="","",SUMIF(Donasi!$B$2:$B$20000,A5405,Donasi!$C$2:$C$20000))</f>
        <v/>
      </c>
      <c r="E5405">
        <f>IF(A5405="","",6-CEILING(PERCENTRANK.INC($B$3:$B$6000,B5405,4)*5+0.000001,1))</f>
        <v/>
      </c>
      <c r="F5405">
        <f>IF(A5405="","",MAX(1,CEILING(PERCENTRANK.INC($C$3:$C$6000,C5405,4)*5+0.000001,1)))</f>
        <v/>
      </c>
      <c r="G5405">
        <f>IF(A5405="","",MAX(1,CEILING(PERCENTRANK.INC($D$3:$D$6000,D5405,4)*5+0.000001,1)))</f>
        <v/>
      </c>
      <c r="H5405">
        <f>IF(A5405="","",E5405&amp;F5405&amp;G5405)</f>
        <v/>
      </c>
      <c r="I5405">
        <f>IF(A5405="","",IF(AND(E5405&gt;=4,F5405&gt;=4,G5405&gt;=4),"Juara",IF(AND(F5405&gt;=4,E5405&gt;=3),"Setia",IF(AND(E5405=5,F5405&lt;=2,G5405&gt;=3),"Berpotensi",IF(AND(E5405&lt;=3,E5405&gt;=2,F5405&gt;=3),"Rawan",IF(AND(E5405&lt;=2,F5405&lt;=2),"Tidur","Umum"))))))</f>
        <v/>
      </c>
    </row>
    <row r="5406">
      <c r="B5406">
        <f>IF(A5406="","",$B$1-MAXIFS(Donasi!$A$2:$A$20000,Donasi!$B$2:$B$20000,A5406))</f>
        <v/>
      </c>
      <c r="C5406">
        <f>IF(A5406="","",COUNTIF(Donasi!$B$2:$B$20000,A5406))</f>
        <v/>
      </c>
      <c r="D5406">
        <f>IF(A5406="","",SUMIF(Donasi!$B$2:$B$20000,A5406,Donasi!$C$2:$C$20000))</f>
        <v/>
      </c>
      <c r="E5406">
        <f>IF(A5406="","",6-CEILING(PERCENTRANK.INC($B$3:$B$6000,B5406,4)*5+0.000001,1))</f>
        <v/>
      </c>
      <c r="F5406">
        <f>IF(A5406="","",MAX(1,CEILING(PERCENTRANK.INC($C$3:$C$6000,C5406,4)*5+0.000001,1)))</f>
        <v/>
      </c>
      <c r="G5406">
        <f>IF(A5406="","",MAX(1,CEILING(PERCENTRANK.INC($D$3:$D$6000,D5406,4)*5+0.000001,1)))</f>
        <v/>
      </c>
      <c r="H5406">
        <f>IF(A5406="","",E5406&amp;F5406&amp;G5406)</f>
        <v/>
      </c>
      <c r="I5406">
        <f>IF(A5406="","",IF(AND(E5406&gt;=4,F5406&gt;=4,G5406&gt;=4),"Juara",IF(AND(F5406&gt;=4,E5406&gt;=3),"Setia",IF(AND(E5406=5,F5406&lt;=2,G5406&gt;=3),"Berpotensi",IF(AND(E5406&lt;=3,E5406&gt;=2,F5406&gt;=3),"Rawan",IF(AND(E5406&lt;=2,F5406&lt;=2),"Tidur","Umum"))))))</f>
        <v/>
      </c>
    </row>
    <row r="5407">
      <c r="B5407">
        <f>IF(A5407="","",$B$1-MAXIFS(Donasi!$A$2:$A$20000,Donasi!$B$2:$B$20000,A5407))</f>
        <v/>
      </c>
      <c r="C5407">
        <f>IF(A5407="","",COUNTIF(Donasi!$B$2:$B$20000,A5407))</f>
        <v/>
      </c>
      <c r="D5407">
        <f>IF(A5407="","",SUMIF(Donasi!$B$2:$B$20000,A5407,Donasi!$C$2:$C$20000))</f>
        <v/>
      </c>
      <c r="E5407">
        <f>IF(A5407="","",6-CEILING(PERCENTRANK.INC($B$3:$B$6000,B5407,4)*5+0.000001,1))</f>
        <v/>
      </c>
      <c r="F5407">
        <f>IF(A5407="","",MAX(1,CEILING(PERCENTRANK.INC($C$3:$C$6000,C5407,4)*5+0.000001,1)))</f>
        <v/>
      </c>
      <c r="G5407">
        <f>IF(A5407="","",MAX(1,CEILING(PERCENTRANK.INC($D$3:$D$6000,D5407,4)*5+0.000001,1)))</f>
        <v/>
      </c>
      <c r="H5407">
        <f>IF(A5407="","",E5407&amp;F5407&amp;G5407)</f>
        <v/>
      </c>
      <c r="I5407">
        <f>IF(A5407="","",IF(AND(E5407&gt;=4,F5407&gt;=4,G5407&gt;=4),"Juara",IF(AND(F5407&gt;=4,E5407&gt;=3),"Setia",IF(AND(E5407=5,F5407&lt;=2,G5407&gt;=3),"Berpotensi",IF(AND(E5407&lt;=3,E5407&gt;=2,F5407&gt;=3),"Rawan",IF(AND(E5407&lt;=2,F5407&lt;=2),"Tidur","Umum"))))))</f>
        <v/>
      </c>
    </row>
    <row r="5408">
      <c r="B5408">
        <f>IF(A5408="","",$B$1-MAXIFS(Donasi!$A$2:$A$20000,Donasi!$B$2:$B$20000,A5408))</f>
        <v/>
      </c>
      <c r="C5408">
        <f>IF(A5408="","",COUNTIF(Donasi!$B$2:$B$20000,A5408))</f>
        <v/>
      </c>
      <c r="D5408">
        <f>IF(A5408="","",SUMIF(Donasi!$B$2:$B$20000,A5408,Donasi!$C$2:$C$20000))</f>
        <v/>
      </c>
      <c r="E5408">
        <f>IF(A5408="","",6-CEILING(PERCENTRANK.INC($B$3:$B$6000,B5408,4)*5+0.000001,1))</f>
        <v/>
      </c>
      <c r="F5408">
        <f>IF(A5408="","",MAX(1,CEILING(PERCENTRANK.INC($C$3:$C$6000,C5408,4)*5+0.000001,1)))</f>
        <v/>
      </c>
      <c r="G5408">
        <f>IF(A5408="","",MAX(1,CEILING(PERCENTRANK.INC($D$3:$D$6000,D5408,4)*5+0.000001,1)))</f>
        <v/>
      </c>
      <c r="H5408">
        <f>IF(A5408="","",E5408&amp;F5408&amp;G5408)</f>
        <v/>
      </c>
      <c r="I5408">
        <f>IF(A5408="","",IF(AND(E5408&gt;=4,F5408&gt;=4,G5408&gt;=4),"Juara",IF(AND(F5408&gt;=4,E5408&gt;=3),"Setia",IF(AND(E5408=5,F5408&lt;=2,G5408&gt;=3),"Berpotensi",IF(AND(E5408&lt;=3,E5408&gt;=2,F5408&gt;=3),"Rawan",IF(AND(E5408&lt;=2,F5408&lt;=2),"Tidur","Umum"))))))</f>
        <v/>
      </c>
    </row>
    <row r="5409">
      <c r="B5409">
        <f>IF(A5409="","",$B$1-MAXIFS(Donasi!$A$2:$A$20000,Donasi!$B$2:$B$20000,A5409))</f>
        <v/>
      </c>
      <c r="C5409">
        <f>IF(A5409="","",COUNTIF(Donasi!$B$2:$B$20000,A5409))</f>
        <v/>
      </c>
      <c r="D5409">
        <f>IF(A5409="","",SUMIF(Donasi!$B$2:$B$20000,A5409,Donasi!$C$2:$C$20000))</f>
        <v/>
      </c>
      <c r="E5409">
        <f>IF(A5409="","",6-CEILING(PERCENTRANK.INC($B$3:$B$6000,B5409,4)*5+0.000001,1))</f>
        <v/>
      </c>
      <c r="F5409">
        <f>IF(A5409="","",MAX(1,CEILING(PERCENTRANK.INC($C$3:$C$6000,C5409,4)*5+0.000001,1)))</f>
        <v/>
      </c>
      <c r="G5409">
        <f>IF(A5409="","",MAX(1,CEILING(PERCENTRANK.INC($D$3:$D$6000,D5409,4)*5+0.000001,1)))</f>
        <v/>
      </c>
      <c r="H5409">
        <f>IF(A5409="","",E5409&amp;F5409&amp;G5409)</f>
        <v/>
      </c>
      <c r="I5409">
        <f>IF(A5409="","",IF(AND(E5409&gt;=4,F5409&gt;=4,G5409&gt;=4),"Juara",IF(AND(F5409&gt;=4,E5409&gt;=3),"Setia",IF(AND(E5409=5,F5409&lt;=2,G5409&gt;=3),"Berpotensi",IF(AND(E5409&lt;=3,E5409&gt;=2,F5409&gt;=3),"Rawan",IF(AND(E5409&lt;=2,F5409&lt;=2),"Tidur","Umum"))))))</f>
        <v/>
      </c>
    </row>
    <row r="5410">
      <c r="B5410">
        <f>IF(A5410="","",$B$1-MAXIFS(Donasi!$A$2:$A$20000,Donasi!$B$2:$B$20000,A5410))</f>
        <v/>
      </c>
      <c r="C5410">
        <f>IF(A5410="","",COUNTIF(Donasi!$B$2:$B$20000,A5410))</f>
        <v/>
      </c>
      <c r="D5410">
        <f>IF(A5410="","",SUMIF(Donasi!$B$2:$B$20000,A5410,Donasi!$C$2:$C$20000))</f>
        <v/>
      </c>
      <c r="E5410">
        <f>IF(A5410="","",6-CEILING(PERCENTRANK.INC($B$3:$B$6000,B5410,4)*5+0.000001,1))</f>
        <v/>
      </c>
      <c r="F5410">
        <f>IF(A5410="","",MAX(1,CEILING(PERCENTRANK.INC($C$3:$C$6000,C5410,4)*5+0.000001,1)))</f>
        <v/>
      </c>
      <c r="G5410">
        <f>IF(A5410="","",MAX(1,CEILING(PERCENTRANK.INC($D$3:$D$6000,D5410,4)*5+0.000001,1)))</f>
        <v/>
      </c>
      <c r="H5410">
        <f>IF(A5410="","",E5410&amp;F5410&amp;G5410)</f>
        <v/>
      </c>
      <c r="I5410">
        <f>IF(A5410="","",IF(AND(E5410&gt;=4,F5410&gt;=4,G5410&gt;=4),"Juara",IF(AND(F5410&gt;=4,E5410&gt;=3),"Setia",IF(AND(E5410=5,F5410&lt;=2,G5410&gt;=3),"Berpotensi",IF(AND(E5410&lt;=3,E5410&gt;=2,F5410&gt;=3),"Rawan",IF(AND(E5410&lt;=2,F5410&lt;=2),"Tidur","Umum"))))))</f>
        <v/>
      </c>
    </row>
    <row r="5411">
      <c r="B5411">
        <f>IF(A5411="","",$B$1-MAXIFS(Donasi!$A$2:$A$20000,Donasi!$B$2:$B$20000,A5411))</f>
        <v/>
      </c>
      <c r="C5411">
        <f>IF(A5411="","",COUNTIF(Donasi!$B$2:$B$20000,A5411))</f>
        <v/>
      </c>
      <c r="D5411">
        <f>IF(A5411="","",SUMIF(Donasi!$B$2:$B$20000,A5411,Donasi!$C$2:$C$20000))</f>
        <v/>
      </c>
      <c r="E5411">
        <f>IF(A5411="","",6-CEILING(PERCENTRANK.INC($B$3:$B$6000,B5411,4)*5+0.000001,1))</f>
        <v/>
      </c>
      <c r="F5411">
        <f>IF(A5411="","",MAX(1,CEILING(PERCENTRANK.INC($C$3:$C$6000,C5411,4)*5+0.000001,1)))</f>
        <v/>
      </c>
      <c r="G5411">
        <f>IF(A5411="","",MAX(1,CEILING(PERCENTRANK.INC($D$3:$D$6000,D5411,4)*5+0.000001,1)))</f>
        <v/>
      </c>
      <c r="H5411">
        <f>IF(A5411="","",E5411&amp;F5411&amp;G5411)</f>
        <v/>
      </c>
      <c r="I5411">
        <f>IF(A5411="","",IF(AND(E5411&gt;=4,F5411&gt;=4,G5411&gt;=4),"Juara",IF(AND(F5411&gt;=4,E5411&gt;=3),"Setia",IF(AND(E5411=5,F5411&lt;=2,G5411&gt;=3),"Berpotensi",IF(AND(E5411&lt;=3,E5411&gt;=2,F5411&gt;=3),"Rawan",IF(AND(E5411&lt;=2,F5411&lt;=2),"Tidur","Umum"))))))</f>
        <v/>
      </c>
    </row>
    <row r="5412">
      <c r="B5412">
        <f>IF(A5412="","",$B$1-MAXIFS(Donasi!$A$2:$A$20000,Donasi!$B$2:$B$20000,A5412))</f>
        <v/>
      </c>
      <c r="C5412">
        <f>IF(A5412="","",COUNTIF(Donasi!$B$2:$B$20000,A5412))</f>
        <v/>
      </c>
      <c r="D5412">
        <f>IF(A5412="","",SUMIF(Donasi!$B$2:$B$20000,A5412,Donasi!$C$2:$C$20000))</f>
        <v/>
      </c>
      <c r="E5412">
        <f>IF(A5412="","",6-CEILING(PERCENTRANK.INC($B$3:$B$6000,B5412,4)*5+0.000001,1))</f>
        <v/>
      </c>
      <c r="F5412">
        <f>IF(A5412="","",MAX(1,CEILING(PERCENTRANK.INC($C$3:$C$6000,C5412,4)*5+0.000001,1)))</f>
        <v/>
      </c>
      <c r="G5412">
        <f>IF(A5412="","",MAX(1,CEILING(PERCENTRANK.INC($D$3:$D$6000,D5412,4)*5+0.000001,1)))</f>
        <v/>
      </c>
      <c r="H5412">
        <f>IF(A5412="","",E5412&amp;F5412&amp;G5412)</f>
        <v/>
      </c>
      <c r="I5412">
        <f>IF(A5412="","",IF(AND(E5412&gt;=4,F5412&gt;=4,G5412&gt;=4),"Juara",IF(AND(F5412&gt;=4,E5412&gt;=3),"Setia",IF(AND(E5412=5,F5412&lt;=2,G5412&gt;=3),"Berpotensi",IF(AND(E5412&lt;=3,E5412&gt;=2,F5412&gt;=3),"Rawan",IF(AND(E5412&lt;=2,F5412&lt;=2),"Tidur","Umum"))))))</f>
        <v/>
      </c>
    </row>
    <row r="5413">
      <c r="B5413">
        <f>IF(A5413="","",$B$1-MAXIFS(Donasi!$A$2:$A$20000,Donasi!$B$2:$B$20000,A5413))</f>
        <v/>
      </c>
      <c r="C5413">
        <f>IF(A5413="","",COUNTIF(Donasi!$B$2:$B$20000,A5413))</f>
        <v/>
      </c>
      <c r="D5413">
        <f>IF(A5413="","",SUMIF(Donasi!$B$2:$B$20000,A5413,Donasi!$C$2:$C$20000))</f>
        <v/>
      </c>
      <c r="E5413">
        <f>IF(A5413="","",6-CEILING(PERCENTRANK.INC($B$3:$B$6000,B5413,4)*5+0.000001,1))</f>
        <v/>
      </c>
      <c r="F5413">
        <f>IF(A5413="","",MAX(1,CEILING(PERCENTRANK.INC($C$3:$C$6000,C5413,4)*5+0.000001,1)))</f>
        <v/>
      </c>
      <c r="G5413">
        <f>IF(A5413="","",MAX(1,CEILING(PERCENTRANK.INC($D$3:$D$6000,D5413,4)*5+0.000001,1)))</f>
        <v/>
      </c>
      <c r="H5413">
        <f>IF(A5413="","",E5413&amp;F5413&amp;G5413)</f>
        <v/>
      </c>
      <c r="I5413">
        <f>IF(A5413="","",IF(AND(E5413&gt;=4,F5413&gt;=4,G5413&gt;=4),"Juara",IF(AND(F5413&gt;=4,E5413&gt;=3),"Setia",IF(AND(E5413=5,F5413&lt;=2,G5413&gt;=3),"Berpotensi",IF(AND(E5413&lt;=3,E5413&gt;=2,F5413&gt;=3),"Rawan",IF(AND(E5413&lt;=2,F5413&lt;=2),"Tidur","Umum"))))))</f>
        <v/>
      </c>
    </row>
    <row r="5414">
      <c r="B5414">
        <f>IF(A5414="","",$B$1-MAXIFS(Donasi!$A$2:$A$20000,Donasi!$B$2:$B$20000,A5414))</f>
        <v/>
      </c>
      <c r="C5414">
        <f>IF(A5414="","",COUNTIF(Donasi!$B$2:$B$20000,A5414))</f>
        <v/>
      </c>
      <c r="D5414">
        <f>IF(A5414="","",SUMIF(Donasi!$B$2:$B$20000,A5414,Donasi!$C$2:$C$20000))</f>
        <v/>
      </c>
      <c r="E5414">
        <f>IF(A5414="","",6-CEILING(PERCENTRANK.INC($B$3:$B$6000,B5414,4)*5+0.000001,1))</f>
        <v/>
      </c>
      <c r="F5414">
        <f>IF(A5414="","",MAX(1,CEILING(PERCENTRANK.INC($C$3:$C$6000,C5414,4)*5+0.000001,1)))</f>
        <v/>
      </c>
      <c r="G5414">
        <f>IF(A5414="","",MAX(1,CEILING(PERCENTRANK.INC($D$3:$D$6000,D5414,4)*5+0.000001,1)))</f>
        <v/>
      </c>
      <c r="H5414">
        <f>IF(A5414="","",E5414&amp;F5414&amp;G5414)</f>
        <v/>
      </c>
      <c r="I5414">
        <f>IF(A5414="","",IF(AND(E5414&gt;=4,F5414&gt;=4,G5414&gt;=4),"Juara",IF(AND(F5414&gt;=4,E5414&gt;=3),"Setia",IF(AND(E5414=5,F5414&lt;=2,G5414&gt;=3),"Berpotensi",IF(AND(E5414&lt;=3,E5414&gt;=2,F5414&gt;=3),"Rawan",IF(AND(E5414&lt;=2,F5414&lt;=2),"Tidur","Umum"))))))</f>
        <v/>
      </c>
    </row>
    <row r="5415">
      <c r="B5415">
        <f>IF(A5415="","",$B$1-MAXIFS(Donasi!$A$2:$A$20000,Donasi!$B$2:$B$20000,A5415))</f>
        <v/>
      </c>
      <c r="C5415">
        <f>IF(A5415="","",COUNTIF(Donasi!$B$2:$B$20000,A5415))</f>
        <v/>
      </c>
      <c r="D5415">
        <f>IF(A5415="","",SUMIF(Donasi!$B$2:$B$20000,A5415,Donasi!$C$2:$C$20000))</f>
        <v/>
      </c>
      <c r="E5415">
        <f>IF(A5415="","",6-CEILING(PERCENTRANK.INC($B$3:$B$6000,B5415,4)*5+0.000001,1))</f>
        <v/>
      </c>
      <c r="F5415">
        <f>IF(A5415="","",MAX(1,CEILING(PERCENTRANK.INC($C$3:$C$6000,C5415,4)*5+0.000001,1)))</f>
        <v/>
      </c>
      <c r="G5415">
        <f>IF(A5415="","",MAX(1,CEILING(PERCENTRANK.INC($D$3:$D$6000,D5415,4)*5+0.000001,1)))</f>
        <v/>
      </c>
      <c r="H5415">
        <f>IF(A5415="","",E5415&amp;F5415&amp;G5415)</f>
        <v/>
      </c>
      <c r="I5415">
        <f>IF(A5415="","",IF(AND(E5415&gt;=4,F5415&gt;=4,G5415&gt;=4),"Juara",IF(AND(F5415&gt;=4,E5415&gt;=3),"Setia",IF(AND(E5415=5,F5415&lt;=2,G5415&gt;=3),"Berpotensi",IF(AND(E5415&lt;=3,E5415&gt;=2,F5415&gt;=3),"Rawan",IF(AND(E5415&lt;=2,F5415&lt;=2),"Tidur","Umum"))))))</f>
        <v/>
      </c>
    </row>
    <row r="5416">
      <c r="B5416">
        <f>IF(A5416="","",$B$1-MAXIFS(Donasi!$A$2:$A$20000,Donasi!$B$2:$B$20000,A5416))</f>
        <v/>
      </c>
      <c r="C5416">
        <f>IF(A5416="","",COUNTIF(Donasi!$B$2:$B$20000,A5416))</f>
        <v/>
      </c>
      <c r="D5416">
        <f>IF(A5416="","",SUMIF(Donasi!$B$2:$B$20000,A5416,Donasi!$C$2:$C$20000))</f>
        <v/>
      </c>
      <c r="E5416">
        <f>IF(A5416="","",6-CEILING(PERCENTRANK.INC($B$3:$B$6000,B5416,4)*5+0.000001,1))</f>
        <v/>
      </c>
      <c r="F5416">
        <f>IF(A5416="","",MAX(1,CEILING(PERCENTRANK.INC($C$3:$C$6000,C5416,4)*5+0.000001,1)))</f>
        <v/>
      </c>
      <c r="G5416">
        <f>IF(A5416="","",MAX(1,CEILING(PERCENTRANK.INC($D$3:$D$6000,D5416,4)*5+0.000001,1)))</f>
        <v/>
      </c>
      <c r="H5416">
        <f>IF(A5416="","",E5416&amp;F5416&amp;G5416)</f>
        <v/>
      </c>
      <c r="I5416">
        <f>IF(A5416="","",IF(AND(E5416&gt;=4,F5416&gt;=4,G5416&gt;=4),"Juara",IF(AND(F5416&gt;=4,E5416&gt;=3),"Setia",IF(AND(E5416=5,F5416&lt;=2,G5416&gt;=3),"Berpotensi",IF(AND(E5416&lt;=3,E5416&gt;=2,F5416&gt;=3),"Rawan",IF(AND(E5416&lt;=2,F5416&lt;=2),"Tidur","Umum"))))))</f>
        <v/>
      </c>
    </row>
    <row r="5417">
      <c r="B5417">
        <f>IF(A5417="","",$B$1-MAXIFS(Donasi!$A$2:$A$20000,Donasi!$B$2:$B$20000,A5417))</f>
        <v/>
      </c>
      <c r="C5417">
        <f>IF(A5417="","",COUNTIF(Donasi!$B$2:$B$20000,A5417))</f>
        <v/>
      </c>
      <c r="D5417">
        <f>IF(A5417="","",SUMIF(Donasi!$B$2:$B$20000,A5417,Donasi!$C$2:$C$20000))</f>
        <v/>
      </c>
      <c r="E5417">
        <f>IF(A5417="","",6-CEILING(PERCENTRANK.INC($B$3:$B$6000,B5417,4)*5+0.000001,1))</f>
        <v/>
      </c>
      <c r="F5417">
        <f>IF(A5417="","",MAX(1,CEILING(PERCENTRANK.INC($C$3:$C$6000,C5417,4)*5+0.000001,1)))</f>
        <v/>
      </c>
      <c r="G5417">
        <f>IF(A5417="","",MAX(1,CEILING(PERCENTRANK.INC($D$3:$D$6000,D5417,4)*5+0.000001,1)))</f>
        <v/>
      </c>
      <c r="H5417">
        <f>IF(A5417="","",E5417&amp;F5417&amp;G5417)</f>
        <v/>
      </c>
      <c r="I5417">
        <f>IF(A5417="","",IF(AND(E5417&gt;=4,F5417&gt;=4,G5417&gt;=4),"Juara",IF(AND(F5417&gt;=4,E5417&gt;=3),"Setia",IF(AND(E5417=5,F5417&lt;=2,G5417&gt;=3),"Berpotensi",IF(AND(E5417&lt;=3,E5417&gt;=2,F5417&gt;=3),"Rawan",IF(AND(E5417&lt;=2,F5417&lt;=2),"Tidur","Umum"))))))</f>
        <v/>
      </c>
    </row>
    <row r="5418">
      <c r="B5418">
        <f>IF(A5418="","",$B$1-MAXIFS(Donasi!$A$2:$A$20000,Donasi!$B$2:$B$20000,A5418))</f>
        <v/>
      </c>
      <c r="C5418">
        <f>IF(A5418="","",COUNTIF(Donasi!$B$2:$B$20000,A5418))</f>
        <v/>
      </c>
      <c r="D5418">
        <f>IF(A5418="","",SUMIF(Donasi!$B$2:$B$20000,A5418,Donasi!$C$2:$C$20000))</f>
        <v/>
      </c>
      <c r="E5418">
        <f>IF(A5418="","",6-CEILING(PERCENTRANK.INC($B$3:$B$6000,B5418,4)*5+0.000001,1))</f>
        <v/>
      </c>
      <c r="F5418">
        <f>IF(A5418="","",MAX(1,CEILING(PERCENTRANK.INC($C$3:$C$6000,C5418,4)*5+0.000001,1)))</f>
        <v/>
      </c>
      <c r="G5418">
        <f>IF(A5418="","",MAX(1,CEILING(PERCENTRANK.INC($D$3:$D$6000,D5418,4)*5+0.000001,1)))</f>
        <v/>
      </c>
      <c r="H5418">
        <f>IF(A5418="","",E5418&amp;F5418&amp;G5418)</f>
        <v/>
      </c>
      <c r="I5418">
        <f>IF(A5418="","",IF(AND(E5418&gt;=4,F5418&gt;=4,G5418&gt;=4),"Juara",IF(AND(F5418&gt;=4,E5418&gt;=3),"Setia",IF(AND(E5418=5,F5418&lt;=2,G5418&gt;=3),"Berpotensi",IF(AND(E5418&lt;=3,E5418&gt;=2,F5418&gt;=3),"Rawan",IF(AND(E5418&lt;=2,F5418&lt;=2),"Tidur","Umum"))))))</f>
        <v/>
      </c>
    </row>
    <row r="5419">
      <c r="B5419">
        <f>IF(A5419="","",$B$1-MAXIFS(Donasi!$A$2:$A$20000,Donasi!$B$2:$B$20000,A5419))</f>
        <v/>
      </c>
      <c r="C5419">
        <f>IF(A5419="","",COUNTIF(Donasi!$B$2:$B$20000,A5419))</f>
        <v/>
      </c>
      <c r="D5419">
        <f>IF(A5419="","",SUMIF(Donasi!$B$2:$B$20000,A5419,Donasi!$C$2:$C$20000))</f>
        <v/>
      </c>
      <c r="E5419">
        <f>IF(A5419="","",6-CEILING(PERCENTRANK.INC($B$3:$B$6000,B5419,4)*5+0.000001,1))</f>
        <v/>
      </c>
      <c r="F5419">
        <f>IF(A5419="","",MAX(1,CEILING(PERCENTRANK.INC($C$3:$C$6000,C5419,4)*5+0.000001,1)))</f>
        <v/>
      </c>
      <c r="G5419">
        <f>IF(A5419="","",MAX(1,CEILING(PERCENTRANK.INC($D$3:$D$6000,D5419,4)*5+0.000001,1)))</f>
        <v/>
      </c>
      <c r="H5419">
        <f>IF(A5419="","",E5419&amp;F5419&amp;G5419)</f>
        <v/>
      </c>
      <c r="I5419">
        <f>IF(A5419="","",IF(AND(E5419&gt;=4,F5419&gt;=4,G5419&gt;=4),"Juara",IF(AND(F5419&gt;=4,E5419&gt;=3),"Setia",IF(AND(E5419=5,F5419&lt;=2,G5419&gt;=3),"Berpotensi",IF(AND(E5419&lt;=3,E5419&gt;=2,F5419&gt;=3),"Rawan",IF(AND(E5419&lt;=2,F5419&lt;=2),"Tidur","Umum"))))))</f>
        <v/>
      </c>
    </row>
    <row r="5420">
      <c r="B5420">
        <f>IF(A5420="","",$B$1-MAXIFS(Donasi!$A$2:$A$20000,Donasi!$B$2:$B$20000,A5420))</f>
        <v/>
      </c>
      <c r="C5420">
        <f>IF(A5420="","",COUNTIF(Donasi!$B$2:$B$20000,A5420))</f>
        <v/>
      </c>
      <c r="D5420">
        <f>IF(A5420="","",SUMIF(Donasi!$B$2:$B$20000,A5420,Donasi!$C$2:$C$20000))</f>
        <v/>
      </c>
      <c r="E5420">
        <f>IF(A5420="","",6-CEILING(PERCENTRANK.INC($B$3:$B$6000,B5420,4)*5+0.000001,1))</f>
        <v/>
      </c>
      <c r="F5420">
        <f>IF(A5420="","",MAX(1,CEILING(PERCENTRANK.INC($C$3:$C$6000,C5420,4)*5+0.000001,1)))</f>
        <v/>
      </c>
      <c r="G5420">
        <f>IF(A5420="","",MAX(1,CEILING(PERCENTRANK.INC($D$3:$D$6000,D5420,4)*5+0.000001,1)))</f>
        <v/>
      </c>
      <c r="H5420">
        <f>IF(A5420="","",E5420&amp;F5420&amp;G5420)</f>
        <v/>
      </c>
      <c r="I5420">
        <f>IF(A5420="","",IF(AND(E5420&gt;=4,F5420&gt;=4,G5420&gt;=4),"Juara",IF(AND(F5420&gt;=4,E5420&gt;=3),"Setia",IF(AND(E5420=5,F5420&lt;=2,G5420&gt;=3),"Berpotensi",IF(AND(E5420&lt;=3,E5420&gt;=2,F5420&gt;=3),"Rawan",IF(AND(E5420&lt;=2,F5420&lt;=2),"Tidur","Umum"))))))</f>
        <v/>
      </c>
    </row>
    <row r="5421">
      <c r="B5421">
        <f>IF(A5421="","",$B$1-MAXIFS(Donasi!$A$2:$A$20000,Donasi!$B$2:$B$20000,A5421))</f>
        <v/>
      </c>
      <c r="C5421">
        <f>IF(A5421="","",COUNTIF(Donasi!$B$2:$B$20000,A5421))</f>
        <v/>
      </c>
      <c r="D5421">
        <f>IF(A5421="","",SUMIF(Donasi!$B$2:$B$20000,A5421,Donasi!$C$2:$C$20000))</f>
        <v/>
      </c>
      <c r="E5421">
        <f>IF(A5421="","",6-CEILING(PERCENTRANK.INC($B$3:$B$6000,B5421,4)*5+0.000001,1))</f>
        <v/>
      </c>
      <c r="F5421">
        <f>IF(A5421="","",MAX(1,CEILING(PERCENTRANK.INC($C$3:$C$6000,C5421,4)*5+0.000001,1)))</f>
        <v/>
      </c>
      <c r="G5421">
        <f>IF(A5421="","",MAX(1,CEILING(PERCENTRANK.INC($D$3:$D$6000,D5421,4)*5+0.000001,1)))</f>
        <v/>
      </c>
      <c r="H5421">
        <f>IF(A5421="","",E5421&amp;F5421&amp;G5421)</f>
        <v/>
      </c>
      <c r="I5421">
        <f>IF(A5421="","",IF(AND(E5421&gt;=4,F5421&gt;=4,G5421&gt;=4),"Juara",IF(AND(F5421&gt;=4,E5421&gt;=3),"Setia",IF(AND(E5421=5,F5421&lt;=2,G5421&gt;=3),"Berpotensi",IF(AND(E5421&lt;=3,E5421&gt;=2,F5421&gt;=3),"Rawan",IF(AND(E5421&lt;=2,F5421&lt;=2),"Tidur","Umum"))))))</f>
        <v/>
      </c>
    </row>
    <row r="5422">
      <c r="B5422">
        <f>IF(A5422="","",$B$1-MAXIFS(Donasi!$A$2:$A$20000,Donasi!$B$2:$B$20000,A5422))</f>
        <v/>
      </c>
      <c r="C5422">
        <f>IF(A5422="","",COUNTIF(Donasi!$B$2:$B$20000,A5422))</f>
        <v/>
      </c>
      <c r="D5422">
        <f>IF(A5422="","",SUMIF(Donasi!$B$2:$B$20000,A5422,Donasi!$C$2:$C$20000))</f>
        <v/>
      </c>
      <c r="E5422">
        <f>IF(A5422="","",6-CEILING(PERCENTRANK.INC($B$3:$B$6000,B5422,4)*5+0.000001,1))</f>
        <v/>
      </c>
      <c r="F5422">
        <f>IF(A5422="","",MAX(1,CEILING(PERCENTRANK.INC($C$3:$C$6000,C5422,4)*5+0.000001,1)))</f>
        <v/>
      </c>
      <c r="G5422">
        <f>IF(A5422="","",MAX(1,CEILING(PERCENTRANK.INC($D$3:$D$6000,D5422,4)*5+0.000001,1)))</f>
        <v/>
      </c>
      <c r="H5422">
        <f>IF(A5422="","",E5422&amp;F5422&amp;G5422)</f>
        <v/>
      </c>
      <c r="I5422">
        <f>IF(A5422="","",IF(AND(E5422&gt;=4,F5422&gt;=4,G5422&gt;=4),"Juara",IF(AND(F5422&gt;=4,E5422&gt;=3),"Setia",IF(AND(E5422=5,F5422&lt;=2,G5422&gt;=3),"Berpotensi",IF(AND(E5422&lt;=3,E5422&gt;=2,F5422&gt;=3),"Rawan",IF(AND(E5422&lt;=2,F5422&lt;=2),"Tidur","Umum"))))))</f>
        <v/>
      </c>
    </row>
    <row r="5423">
      <c r="B5423">
        <f>IF(A5423="","",$B$1-MAXIFS(Donasi!$A$2:$A$20000,Donasi!$B$2:$B$20000,A5423))</f>
        <v/>
      </c>
      <c r="C5423">
        <f>IF(A5423="","",COUNTIF(Donasi!$B$2:$B$20000,A5423))</f>
        <v/>
      </c>
      <c r="D5423">
        <f>IF(A5423="","",SUMIF(Donasi!$B$2:$B$20000,A5423,Donasi!$C$2:$C$20000))</f>
        <v/>
      </c>
      <c r="E5423">
        <f>IF(A5423="","",6-CEILING(PERCENTRANK.INC($B$3:$B$6000,B5423,4)*5+0.000001,1))</f>
        <v/>
      </c>
      <c r="F5423">
        <f>IF(A5423="","",MAX(1,CEILING(PERCENTRANK.INC($C$3:$C$6000,C5423,4)*5+0.000001,1)))</f>
        <v/>
      </c>
      <c r="G5423">
        <f>IF(A5423="","",MAX(1,CEILING(PERCENTRANK.INC($D$3:$D$6000,D5423,4)*5+0.000001,1)))</f>
        <v/>
      </c>
      <c r="H5423">
        <f>IF(A5423="","",E5423&amp;F5423&amp;G5423)</f>
        <v/>
      </c>
      <c r="I5423">
        <f>IF(A5423="","",IF(AND(E5423&gt;=4,F5423&gt;=4,G5423&gt;=4),"Juara",IF(AND(F5423&gt;=4,E5423&gt;=3),"Setia",IF(AND(E5423=5,F5423&lt;=2,G5423&gt;=3),"Berpotensi",IF(AND(E5423&lt;=3,E5423&gt;=2,F5423&gt;=3),"Rawan",IF(AND(E5423&lt;=2,F5423&lt;=2),"Tidur","Umum"))))))</f>
        <v/>
      </c>
    </row>
    <row r="5424">
      <c r="B5424">
        <f>IF(A5424="","",$B$1-MAXIFS(Donasi!$A$2:$A$20000,Donasi!$B$2:$B$20000,A5424))</f>
        <v/>
      </c>
      <c r="C5424">
        <f>IF(A5424="","",COUNTIF(Donasi!$B$2:$B$20000,A5424))</f>
        <v/>
      </c>
      <c r="D5424">
        <f>IF(A5424="","",SUMIF(Donasi!$B$2:$B$20000,A5424,Donasi!$C$2:$C$20000))</f>
        <v/>
      </c>
      <c r="E5424">
        <f>IF(A5424="","",6-CEILING(PERCENTRANK.INC($B$3:$B$6000,B5424,4)*5+0.000001,1))</f>
        <v/>
      </c>
      <c r="F5424">
        <f>IF(A5424="","",MAX(1,CEILING(PERCENTRANK.INC($C$3:$C$6000,C5424,4)*5+0.000001,1)))</f>
        <v/>
      </c>
      <c r="G5424">
        <f>IF(A5424="","",MAX(1,CEILING(PERCENTRANK.INC($D$3:$D$6000,D5424,4)*5+0.000001,1)))</f>
        <v/>
      </c>
      <c r="H5424">
        <f>IF(A5424="","",E5424&amp;F5424&amp;G5424)</f>
        <v/>
      </c>
      <c r="I5424">
        <f>IF(A5424="","",IF(AND(E5424&gt;=4,F5424&gt;=4,G5424&gt;=4),"Juara",IF(AND(F5424&gt;=4,E5424&gt;=3),"Setia",IF(AND(E5424=5,F5424&lt;=2,G5424&gt;=3),"Berpotensi",IF(AND(E5424&lt;=3,E5424&gt;=2,F5424&gt;=3),"Rawan",IF(AND(E5424&lt;=2,F5424&lt;=2),"Tidur","Umum"))))))</f>
        <v/>
      </c>
    </row>
    <row r="5425">
      <c r="B5425">
        <f>IF(A5425="","",$B$1-MAXIFS(Donasi!$A$2:$A$20000,Donasi!$B$2:$B$20000,A5425))</f>
        <v/>
      </c>
      <c r="C5425">
        <f>IF(A5425="","",COUNTIF(Donasi!$B$2:$B$20000,A5425))</f>
        <v/>
      </c>
      <c r="D5425">
        <f>IF(A5425="","",SUMIF(Donasi!$B$2:$B$20000,A5425,Donasi!$C$2:$C$20000))</f>
        <v/>
      </c>
      <c r="E5425">
        <f>IF(A5425="","",6-CEILING(PERCENTRANK.INC($B$3:$B$6000,B5425,4)*5+0.000001,1))</f>
        <v/>
      </c>
      <c r="F5425">
        <f>IF(A5425="","",MAX(1,CEILING(PERCENTRANK.INC($C$3:$C$6000,C5425,4)*5+0.000001,1)))</f>
        <v/>
      </c>
      <c r="G5425">
        <f>IF(A5425="","",MAX(1,CEILING(PERCENTRANK.INC($D$3:$D$6000,D5425,4)*5+0.000001,1)))</f>
        <v/>
      </c>
      <c r="H5425">
        <f>IF(A5425="","",E5425&amp;F5425&amp;G5425)</f>
        <v/>
      </c>
      <c r="I5425">
        <f>IF(A5425="","",IF(AND(E5425&gt;=4,F5425&gt;=4,G5425&gt;=4),"Juara",IF(AND(F5425&gt;=4,E5425&gt;=3),"Setia",IF(AND(E5425=5,F5425&lt;=2,G5425&gt;=3),"Berpotensi",IF(AND(E5425&lt;=3,E5425&gt;=2,F5425&gt;=3),"Rawan",IF(AND(E5425&lt;=2,F5425&lt;=2),"Tidur","Umum"))))))</f>
        <v/>
      </c>
    </row>
    <row r="5426">
      <c r="B5426">
        <f>IF(A5426="","",$B$1-MAXIFS(Donasi!$A$2:$A$20000,Donasi!$B$2:$B$20000,A5426))</f>
        <v/>
      </c>
      <c r="C5426">
        <f>IF(A5426="","",COUNTIF(Donasi!$B$2:$B$20000,A5426))</f>
        <v/>
      </c>
      <c r="D5426">
        <f>IF(A5426="","",SUMIF(Donasi!$B$2:$B$20000,A5426,Donasi!$C$2:$C$20000))</f>
        <v/>
      </c>
      <c r="E5426">
        <f>IF(A5426="","",6-CEILING(PERCENTRANK.INC($B$3:$B$6000,B5426,4)*5+0.000001,1))</f>
        <v/>
      </c>
      <c r="F5426">
        <f>IF(A5426="","",MAX(1,CEILING(PERCENTRANK.INC($C$3:$C$6000,C5426,4)*5+0.000001,1)))</f>
        <v/>
      </c>
      <c r="G5426">
        <f>IF(A5426="","",MAX(1,CEILING(PERCENTRANK.INC($D$3:$D$6000,D5426,4)*5+0.000001,1)))</f>
        <v/>
      </c>
      <c r="H5426">
        <f>IF(A5426="","",E5426&amp;F5426&amp;G5426)</f>
        <v/>
      </c>
      <c r="I5426">
        <f>IF(A5426="","",IF(AND(E5426&gt;=4,F5426&gt;=4,G5426&gt;=4),"Juara",IF(AND(F5426&gt;=4,E5426&gt;=3),"Setia",IF(AND(E5426=5,F5426&lt;=2,G5426&gt;=3),"Berpotensi",IF(AND(E5426&lt;=3,E5426&gt;=2,F5426&gt;=3),"Rawan",IF(AND(E5426&lt;=2,F5426&lt;=2),"Tidur","Umum"))))))</f>
        <v/>
      </c>
    </row>
    <row r="5427">
      <c r="B5427">
        <f>IF(A5427="","",$B$1-MAXIFS(Donasi!$A$2:$A$20000,Donasi!$B$2:$B$20000,A5427))</f>
        <v/>
      </c>
      <c r="C5427">
        <f>IF(A5427="","",COUNTIF(Donasi!$B$2:$B$20000,A5427))</f>
        <v/>
      </c>
      <c r="D5427">
        <f>IF(A5427="","",SUMIF(Donasi!$B$2:$B$20000,A5427,Donasi!$C$2:$C$20000))</f>
        <v/>
      </c>
      <c r="E5427">
        <f>IF(A5427="","",6-CEILING(PERCENTRANK.INC($B$3:$B$6000,B5427,4)*5+0.000001,1))</f>
        <v/>
      </c>
      <c r="F5427">
        <f>IF(A5427="","",MAX(1,CEILING(PERCENTRANK.INC($C$3:$C$6000,C5427,4)*5+0.000001,1)))</f>
        <v/>
      </c>
      <c r="G5427">
        <f>IF(A5427="","",MAX(1,CEILING(PERCENTRANK.INC($D$3:$D$6000,D5427,4)*5+0.000001,1)))</f>
        <v/>
      </c>
      <c r="H5427">
        <f>IF(A5427="","",E5427&amp;F5427&amp;G5427)</f>
        <v/>
      </c>
      <c r="I5427">
        <f>IF(A5427="","",IF(AND(E5427&gt;=4,F5427&gt;=4,G5427&gt;=4),"Juara",IF(AND(F5427&gt;=4,E5427&gt;=3),"Setia",IF(AND(E5427=5,F5427&lt;=2,G5427&gt;=3),"Berpotensi",IF(AND(E5427&lt;=3,E5427&gt;=2,F5427&gt;=3),"Rawan",IF(AND(E5427&lt;=2,F5427&lt;=2),"Tidur","Umum"))))))</f>
        <v/>
      </c>
    </row>
    <row r="5428">
      <c r="B5428">
        <f>IF(A5428="","",$B$1-MAXIFS(Donasi!$A$2:$A$20000,Donasi!$B$2:$B$20000,A5428))</f>
        <v/>
      </c>
      <c r="C5428">
        <f>IF(A5428="","",COUNTIF(Donasi!$B$2:$B$20000,A5428))</f>
        <v/>
      </c>
      <c r="D5428">
        <f>IF(A5428="","",SUMIF(Donasi!$B$2:$B$20000,A5428,Donasi!$C$2:$C$20000))</f>
        <v/>
      </c>
      <c r="E5428">
        <f>IF(A5428="","",6-CEILING(PERCENTRANK.INC($B$3:$B$6000,B5428,4)*5+0.000001,1))</f>
        <v/>
      </c>
      <c r="F5428">
        <f>IF(A5428="","",MAX(1,CEILING(PERCENTRANK.INC($C$3:$C$6000,C5428,4)*5+0.000001,1)))</f>
        <v/>
      </c>
      <c r="G5428">
        <f>IF(A5428="","",MAX(1,CEILING(PERCENTRANK.INC($D$3:$D$6000,D5428,4)*5+0.000001,1)))</f>
        <v/>
      </c>
      <c r="H5428">
        <f>IF(A5428="","",E5428&amp;F5428&amp;G5428)</f>
        <v/>
      </c>
      <c r="I5428">
        <f>IF(A5428="","",IF(AND(E5428&gt;=4,F5428&gt;=4,G5428&gt;=4),"Juara",IF(AND(F5428&gt;=4,E5428&gt;=3),"Setia",IF(AND(E5428=5,F5428&lt;=2,G5428&gt;=3),"Berpotensi",IF(AND(E5428&lt;=3,E5428&gt;=2,F5428&gt;=3),"Rawan",IF(AND(E5428&lt;=2,F5428&lt;=2),"Tidur","Umum"))))))</f>
        <v/>
      </c>
    </row>
    <row r="5429">
      <c r="B5429">
        <f>IF(A5429="","",$B$1-MAXIFS(Donasi!$A$2:$A$20000,Donasi!$B$2:$B$20000,A5429))</f>
        <v/>
      </c>
      <c r="C5429">
        <f>IF(A5429="","",COUNTIF(Donasi!$B$2:$B$20000,A5429))</f>
        <v/>
      </c>
      <c r="D5429">
        <f>IF(A5429="","",SUMIF(Donasi!$B$2:$B$20000,A5429,Donasi!$C$2:$C$20000))</f>
        <v/>
      </c>
      <c r="E5429">
        <f>IF(A5429="","",6-CEILING(PERCENTRANK.INC($B$3:$B$6000,B5429,4)*5+0.000001,1))</f>
        <v/>
      </c>
      <c r="F5429">
        <f>IF(A5429="","",MAX(1,CEILING(PERCENTRANK.INC($C$3:$C$6000,C5429,4)*5+0.000001,1)))</f>
        <v/>
      </c>
      <c r="G5429">
        <f>IF(A5429="","",MAX(1,CEILING(PERCENTRANK.INC($D$3:$D$6000,D5429,4)*5+0.000001,1)))</f>
        <v/>
      </c>
      <c r="H5429">
        <f>IF(A5429="","",E5429&amp;F5429&amp;G5429)</f>
        <v/>
      </c>
      <c r="I5429">
        <f>IF(A5429="","",IF(AND(E5429&gt;=4,F5429&gt;=4,G5429&gt;=4),"Juara",IF(AND(F5429&gt;=4,E5429&gt;=3),"Setia",IF(AND(E5429=5,F5429&lt;=2,G5429&gt;=3),"Berpotensi",IF(AND(E5429&lt;=3,E5429&gt;=2,F5429&gt;=3),"Rawan",IF(AND(E5429&lt;=2,F5429&lt;=2),"Tidur","Umum"))))))</f>
        <v/>
      </c>
    </row>
    <row r="5430">
      <c r="B5430">
        <f>IF(A5430="","",$B$1-MAXIFS(Donasi!$A$2:$A$20000,Donasi!$B$2:$B$20000,A5430))</f>
        <v/>
      </c>
      <c r="C5430">
        <f>IF(A5430="","",COUNTIF(Donasi!$B$2:$B$20000,A5430))</f>
        <v/>
      </c>
      <c r="D5430">
        <f>IF(A5430="","",SUMIF(Donasi!$B$2:$B$20000,A5430,Donasi!$C$2:$C$20000))</f>
        <v/>
      </c>
      <c r="E5430">
        <f>IF(A5430="","",6-CEILING(PERCENTRANK.INC($B$3:$B$6000,B5430,4)*5+0.000001,1))</f>
        <v/>
      </c>
      <c r="F5430">
        <f>IF(A5430="","",MAX(1,CEILING(PERCENTRANK.INC($C$3:$C$6000,C5430,4)*5+0.000001,1)))</f>
        <v/>
      </c>
      <c r="G5430">
        <f>IF(A5430="","",MAX(1,CEILING(PERCENTRANK.INC($D$3:$D$6000,D5430,4)*5+0.000001,1)))</f>
        <v/>
      </c>
      <c r="H5430">
        <f>IF(A5430="","",E5430&amp;F5430&amp;G5430)</f>
        <v/>
      </c>
      <c r="I5430">
        <f>IF(A5430="","",IF(AND(E5430&gt;=4,F5430&gt;=4,G5430&gt;=4),"Juara",IF(AND(F5430&gt;=4,E5430&gt;=3),"Setia",IF(AND(E5430=5,F5430&lt;=2,G5430&gt;=3),"Berpotensi",IF(AND(E5430&lt;=3,E5430&gt;=2,F5430&gt;=3),"Rawan",IF(AND(E5430&lt;=2,F5430&lt;=2),"Tidur","Umum"))))))</f>
        <v/>
      </c>
    </row>
    <row r="5431">
      <c r="B5431">
        <f>IF(A5431="","",$B$1-MAXIFS(Donasi!$A$2:$A$20000,Donasi!$B$2:$B$20000,A5431))</f>
        <v/>
      </c>
      <c r="C5431">
        <f>IF(A5431="","",COUNTIF(Donasi!$B$2:$B$20000,A5431))</f>
        <v/>
      </c>
      <c r="D5431">
        <f>IF(A5431="","",SUMIF(Donasi!$B$2:$B$20000,A5431,Donasi!$C$2:$C$20000))</f>
        <v/>
      </c>
      <c r="E5431">
        <f>IF(A5431="","",6-CEILING(PERCENTRANK.INC($B$3:$B$6000,B5431,4)*5+0.000001,1))</f>
        <v/>
      </c>
      <c r="F5431">
        <f>IF(A5431="","",MAX(1,CEILING(PERCENTRANK.INC($C$3:$C$6000,C5431,4)*5+0.000001,1)))</f>
        <v/>
      </c>
      <c r="G5431">
        <f>IF(A5431="","",MAX(1,CEILING(PERCENTRANK.INC($D$3:$D$6000,D5431,4)*5+0.000001,1)))</f>
        <v/>
      </c>
      <c r="H5431">
        <f>IF(A5431="","",E5431&amp;F5431&amp;G5431)</f>
        <v/>
      </c>
      <c r="I5431">
        <f>IF(A5431="","",IF(AND(E5431&gt;=4,F5431&gt;=4,G5431&gt;=4),"Juara",IF(AND(F5431&gt;=4,E5431&gt;=3),"Setia",IF(AND(E5431=5,F5431&lt;=2,G5431&gt;=3),"Berpotensi",IF(AND(E5431&lt;=3,E5431&gt;=2,F5431&gt;=3),"Rawan",IF(AND(E5431&lt;=2,F5431&lt;=2),"Tidur","Umum"))))))</f>
        <v/>
      </c>
    </row>
    <row r="5432">
      <c r="B5432">
        <f>IF(A5432="","",$B$1-MAXIFS(Donasi!$A$2:$A$20000,Donasi!$B$2:$B$20000,A5432))</f>
        <v/>
      </c>
      <c r="C5432">
        <f>IF(A5432="","",COUNTIF(Donasi!$B$2:$B$20000,A5432))</f>
        <v/>
      </c>
      <c r="D5432">
        <f>IF(A5432="","",SUMIF(Donasi!$B$2:$B$20000,A5432,Donasi!$C$2:$C$20000))</f>
        <v/>
      </c>
      <c r="E5432">
        <f>IF(A5432="","",6-CEILING(PERCENTRANK.INC($B$3:$B$6000,B5432,4)*5+0.000001,1))</f>
        <v/>
      </c>
      <c r="F5432">
        <f>IF(A5432="","",MAX(1,CEILING(PERCENTRANK.INC($C$3:$C$6000,C5432,4)*5+0.000001,1)))</f>
        <v/>
      </c>
      <c r="G5432">
        <f>IF(A5432="","",MAX(1,CEILING(PERCENTRANK.INC($D$3:$D$6000,D5432,4)*5+0.000001,1)))</f>
        <v/>
      </c>
      <c r="H5432">
        <f>IF(A5432="","",E5432&amp;F5432&amp;G5432)</f>
        <v/>
      </c>
      <c r="I5432">
        <f>IF(A5432="","",IF(AND(E5432&gt;=4,F5432&gt;=4,G5432&gt;=4),"Juara",IF(AND(F5432&gt;=4,E5432&gt;=3),"Setia",IF(AND(E5432=5,F5432&lt;=2,G5432&gt;=3),"Berpotensi",IF(AND(E5432&lt;=3,E5432&gt;=2,F5432&gt;=3),"Rawan",IF(AND(E5432&lt;=2,F5432&lt;=2),"Tidur","Umum"))))))</f>
        <v/>
      </c>
    </row>
    <row r="5433">
      <c r="B5433">
        <f>IF(A5433="","",$B$1-MAXIFS(Donasi!$A$2:$A$20000,Donasi!$B$2:$B$20000,A5433))</f>
        <v/>
      </c>
      <c r="C5433">
        <f>IF(A5433="","",COUNTIF(Donasi!$B$2:$B$20000,A5433))</f>
        <v/>
      </c>
      <c r="D5433">
        <f>IF(A5433="","",SUMIF(Donasi!$B$2:$B$20000,A5433,Donasi!$C$2:$C$20000))</f>
        <v/>
      </c>
      <c r="E5433">
        <f>IF(A5433="","",6-CEILING(PERCENTRANK.INC($B$3:$B$6000,B5433,4)*5+0.000001,1))</f>
        <v/>
      </c>
      <c r="F5433">
        <f>IF(A5433="","",MAX(1,CEILING(PERCENTRANK.INC($C$3:$C$6000,C5433,4)*5+0.000001,1)))</f>
        <v/>
      </c>
      <c r="G5433">
        <f>IF(A5433="","",MAX(1,CEILING(PERCENTRANK.INC($D$3:$D$6000,D5433,4)*5+0.000001,1)))</f>
        <v/>
      </c>
      <c r="H5433">
        <f>IF(A5433="","",E5433&amp;F5433&amp;G5433)</f>
        <v/>
      </c>
      <c r="I5433">
        <f>IF(A5433="","",IF(AND(E5433&gt;=4,F5433&gt;=4,G5433&gt;=4),"Juara",IF(AND(F5433&gt;=4,E5433&gt;=3),"Setia",IF(AND(E5433=5,F5433&lt;=2,G5433&gt;=3),"Berpotensi",IF(AND(E5433&lt;=3,E5433&gt;=2,F5433&gt;=3),"Rawan",IF(AND(E5433&lt;=2,F5433&lt;=2),"Tidur","Umum"))))))</f>
        <v/>
      </c>
    </row>
    <row r="5434">
      <c r="B5434">
        <f>IF(A5434="","",$B$1-MAXIFS(Donasi!$A$2:$A$20000,Donasi!$B$2:$B$20000,A5434))</f>
        <v/>
      </c>
      <c r="C5434">
        <f>IF(A5434="","",COUNTIF(Donasi!$B$2:$B$20000,A5434))</f>
        <v/>
      </c>
      <c r="D5434">
        <f>IF(A5434="","",SUMIF(Donasi!$B$2:$B$20000,A5434,Donasi!$C$2:$C$20000))</f>
        <v/>
      </c>
      <c r="E5434">
        <f>IF(A5434="","",6-CEILING(PERCENTRANK.INC($B$3:$B$6000,B5434,4)*5+0.000001,1))</f>
        <v/>
      </c>
      <c r="F5434">
        <f>IF(A5434="","",MAX(1,CEILING(PERCENTRANK.INC($C$3:$C$6000,C5434,4)*5+0.000001,1)))</f>
        <v/>
      </c>
      <c r="G5434">
        <f>IF(A5434="","",MAX(1,CEILING(PERCENTRANK.INC($D$3:$D$6000,D5434,4)*5+0.000001,1)))</f>
        <v/>
      </c>
      <c r="H5434">
        <f>IF(A5434="","",E5434&amp;F5434&amp;G5434)</f>
        <v/>
      </c>
      <c r="I5434">
        <f>IF(A5434="","",IF(AND(E5434&gt;=4,F5434&gt;=4,G5434&gt;=4),"Juara",IF(AND(F5434&gt;=4,E5434&gt;=3),"Setia",IF(AND(E5434=5,F5434&lt;=2,G5434&gt;=3),"Berpotensi",IF(AND(E5434&lt;=3,E5434&gt;=2,F5434&gt;=3),"Rawan",IF(AND(E5434&lt;=2,F5434&lt;=2),"Tidur","Umum"))))))</f>
        <v/>
      </c>
    </row>
    <row r="5435">
      <c r="B5435">
        <f>IF(A5435="","",$B$1-MAXIFS(Donasi!$A$2:$A$20000,Donasi!$B$2:$B$20000,A5435))</f>
        <v/>
      </c>
      <c r="C5435">
        <f>IF(A5435="","",COUNTIF(Donasi!$B$2:$B$20000,A5435))</f>
        <v/>
      </c>
      <c r="D5435">
        <f>IF(A5435="","",SUMIF(Donasi!$B$2:$B$20000,A5435,Donasi!$C$2:$C$20000))</f>
        <v/>
      </c>
      <c r="E5435">
        <f>IF(A5435="","",6-CEILING(PERCENTRANK.INC($B$3:$B$6000,B5435,4)*5+0.000001,1))</f>
        <v/>
      </c>
      <c r="F5435">
        <f>IF(A5435="","",MAX(1,CEILING(PERCENTRANK.INC($C$3:$C$6000,C5435,4)*5+0.000001,1)))</f>
        <v/>
      </c>
      <c r="G5435">
        <f>IF(A5435="","",MAX(1,CEILING(PERCENTRANK.INC($D$3:$D$6000,D5435,4)*5+0.000001,1)))</f>
        <v/>
      </c>
      <c r="H5435">
        <f>IF(A5435="","",E5435&amp;F5435&amp;G5435)</f>
        <v/>
      </c>
      <c r="I5435">
        <f>IF(A5435="","",IF(AND(E5435&gt;=4,F5435&gt;=4,G5435&gt;=4),"Juara",IF(AND(F5435&gt;=4,E5435&gt;=3),"Setia",IF(AND(E5435=5,F5435&lt;=2,G5435&gt;=3),"Berpotensi",IF(AND(E5435&lt;=3,E5435&gt;=2,F5435&gt;=3),"Rawan",IF(AND(E5435&lt;=2,F5435&lt;=2),"Tidur","Umum"))))))</f>
        <v/>
      </c>
    </row>
    <row r="5436">
      <c r="B5436">
        <f>IF(A5436="","",$B$1-MAXIFS(Donasi!$A$2:$A$20000,Donasi!$B$2:$B$20000,A5436))</f>
        <v/>
      </c>
      <c r="C5436">
        <f>IF(A5436="","",COUNTIF(Donasi!$B$2:$B$20000,A5436))</f>
        <v/>
      </c>
      <c r="D5436">
        <f>IF(A5436="","",SUMIF(Donasi!$B$2:$B$20000,A5436,Donasi!$C$2:$C$20000))</f>
        <v/>
      </c>
      <c r="E5436">
        <f>IF(A5436="","",6-CEILING(PERCENTRANK.INC($B$3:$B$6000,B5436,4)*5+0.000001,1))</f>
        <v/>
      </c>
      <c r="F5436">
        <f>IF(A5436="","",MAX(1,CEILING(PERCENTRANK.INC($C$3:$C$6000,C5436,4)*5+0.000001,1)))</f>
        <v/>
      </c>
      <c r="G5436">
        <f>IF(A5436="","",MAX(1,CEILING(PERCENTRANK.INC($D$3:$D$6000,D5436,4)*5+0.000001,1)))</f>
        <v/>
      </c>
      <c r="H5436">
        <f>IF(A5436="","",E5436&amp;F5436&amp;G5436)</f>
        <v/>
      </c>
      <c r="I5436">
        <f>IF(A5436="","",IF(AND(E5436&gt;=4,F5436&gt;=4,G5436&gt;=4),"Juara",IF(AND(F5436&gt;=4,E5436&gt;=3),"Setia",IF(AND(E5436=5,F5436&lt;=2,G5436&gt;=3),"Berpotensi",IF(AND(E5436&lt;=3,E5436&gt;=2,F5436&gt;=3),"Rawan",IF(AND(E5436&lt;=2,F5436&lt;=2),"Tidur","Umum"))))))</f>
        <v/>
      </c>
    </row>
    <row r="5437">
      <c r="B5437">
        <f>IF(A5437="","",$B$1-MAXIFS(Donasi!$A$2:$A$20000,Donasi!$B$2:$B$20000,A5437))</f>
        <v/>
      </c>
      <c r="C5437">
        <f>IF(A5437="","",COUNTIF(Donasi!$B$2:$B$20000,A5437))</f>
        <v/>
      </c>
      <c r="D5437">
        <f>IF(A5437="","",SUMIF(Donasi!$B$2:$B$20000,A5437,Donasi!$C$2:$C$20000))</f>
        <v/>
      </c>
      <c r="E5437">
        <f>IF(A5437="","",6-CEILING(PERCENTRANK.INC($B$3:$B$6000,B5437,4)*5+0.000001,1))</f>
        <v/>
      </c>
      <c r="F5437">
        <f>IF(A5437="","",MAX(1,CEILING(PERCENTRANK.INC($C$3:$C$6000,C5437,4)*5+0.000001,1)))</f>
        <v/>
      </c>
      <c r="G5437">
        <f>IF(A5437="","",MAX(1,CEILING(PERCENTRANK.INC($D$3:$D$6000,D5437,4)*5+0.000001,1)))</f>
        <v/>
      </c>
      <c r="H5437">
        <f>IF(A5437="","",E5437&amp;F5437&amp;G5437)</f>
        <v/>
      </c>
      <c r="I5437">
        <f>IF(A5437="","",IF(AND(E5437&gt;=4,F5437&gt;=4,G5437&gt;=4),"Juara",IF(AND(F5437&gt;=4,E5437&gt;=3),"Setia",IF(AND(E5437=5,F5437&lt;=2,G5437&gt;=3),"Berpotensi",IF(AND(E5437&lt;=3,E5437&gt;=2,F5437&gt;=3),"Rawan",IF(AND(E5437&lt;=2,F5437&lt;=2),"Tidur","Umum"))))))</f>
        <v/>
      </c>
    </row>
    <row r="5438">
      <c r="B5438">
        <f>IF(A5438="","",$B$1-MAXIFS(Donasi!$A$2:$A$20000,Donasi!$B$2:$B$20000,A5438))</f>
        <v/>
      </c>
      <c r="C5438">
        <f>IF(A5438="","",COUNTIF(Donasi!$B$2:$B$20000,A5438))</f>
        <v/>
      </c>
      <c r="D5438">
        <f>IF(A5438="","",SUMIF(Donasi!$B$2:$B$20000,A5438,Donasi!$C$2:$C$20000))</f>
        <v/>
      </c>
      <c r="E5438">
        <f>IF(A5438="","",6-CEILING(PERCENTRANK.INC($B$3:$B$6000,B5438,4)*5+0.000001,1))</f>
        <v/>
      </c>
      <c r="F5438">
        <f>IF(A5438="","",MAX(1,CEILING(PERCENTRANK.INC($C$3:$C$6000,C5438,4)*5+0.000001,1)))</f>
        <v/>
      </c>
      <c r="G5438">
        <f>IF(A5438="","",MAX(1,CEILING(PERCENTRANK.INC($D$3:$D$6000,D5438,4)*5+0.000001,1)))</f>
        <v/>
      </c>
      <c r="H5438">
        <f>IF(A5438="","",E5438&amp;F5438&amp;G5438)</f>
        <v/>
      </c>
      <c r="I5438">
        <f>IF(A5438="","",IF(AND(E5438&gt;=4,F5438&gt;=4,G5438&gt;=4),"Juara",IF(AND(F5438&gt;=4,E5438&gt;=3),"Setia",IF(AND(E5438=5,F5438&lt;=2,G5438&gt;=3),"Berpotensi",IF(AND(E5438&lt;=3,E5438&gt;=2,F5438&gt;=3),"Rawan",IF(AND(E5438&lt;=2,F5438&lt;=2),"Tidur","Umum"))))))</f>
        <v/>
      </c>
    </row>
    <row r="5439">
      <c r="B5439">
        <f>IF(A5439="","",$B$1-MAXIFS(Donasi!$A$2:$A$20000,Donasi!$B$2:$B$20000,A5439))</f>
        <v/>
      </c>
      <c r="C5439">
        <f>IF(A5439="","",COUNTIF(Donasi!$B$2:$B$20000,A5439))</f>
        <v/>
      </c>
      <c r="D5439">
        <f>IF(A5439="","",SUMIF(Donasi!$B$2:$B$20000,A5439,Donasi!$C$2:$C$20000))</f>
        <v/>
      </c>
      <c r="E5439">
        <f>IF(A5439="","",6-CEILING(PERCENTRANK.INC($B$3:$B$6000,B5439,4)*5+0.000001,1))</f>
        <v/>
      </c>
      <c r="F5439">
        <f>IF(A5439="","",MAX(1,CEILING(PERCENTRANK.INC($C$3:$C$6000,C5439,4)*5+0.000001,1)))</f>
        <v/>
      </c>
      <c r="G5439">
        <f>IF(A5439="","",MAX(1,CEILING(PERCENTRANK.INC($D$3:$D$6000,D5439,4)*5+0.000001,1)))</f>
        <v/>
      </c>
      <c r="H5439">
        <f>IF(A5439="","",E5439&amp;F5439&amp;G5439)</f>
        <v/>
      </c>
      <c r="I5439">
        <f>IF(A5439="","",IF(AND(E5439&gt;=4,F5439&gt;=4,G5439&gt;=4),"Juara",IF(AND(F5439&gt;=4,E5439&gt;=3),"Setia",IF(AND(E5439=5,F5439&lt;=2,G5439&gt;=3),"Berpotensi",IF(AND(E5439&lt;=3,E5439&gt;=2,F5439&gt;=3),"Rawan",IF(AND(E5439&lt;=2,F5439&lt;=2),"Tidur","Umum"))))))</f>
        <v/>
      </c>
    </row>
    <row r="5440">
      <c r="B5440">
        <f>IF(A5440="","",$B$1-MAXIFS(Donasi!$A$2:$A$20000,Donasi!$B$2:$B$20000,A5440))</f>
        <v/>
      </c>
      <c r="C5440">
        <f>IF(A5440="","",COUNTIF(Donasi!$B$2:$B$20000,A5440))</f>
        <v/>
      </c>
      <c r="D5440">
        <f>IF(A5440="","",SUMIF(Donasi!$B$2:$B$20000,A5440,Donasi!$C$2:$C$20000))</f>
        <v/>
      </c>
      <c r="E5440">
        <f>IF(A5440="","",6-CEILING(PERCENTRANK.INC($B$3:$B$6000,B5440,4)*5+0.000001,1))</f>
        <v/>
      </c>
      <c r="F5440">
        <f>IF(A5440="","",MAX(1,CEILING(PERCENTRANK.INC($C$3:$C$6000,C5440,4)*5+0.000001,1)))</f>
        <v/>
      </c>
      <c r="G5440">
        <f>IF(A5440="","",MAX(1,CEILING(PERCENTRANK.INC($D$3:$D$6000,D5440,4)*5+0.000001,1)))</f>
        <v/>
      </c>
      <c r="H5440">
        <f>IF(A5440="","",E5440&amp;F5440&amp;G5440)</f>
        <v/>
      </c>
      <c r="I5440">
        <f>IF(A5440="","",IF(AND(E5440&gt;=4,F5440&gt;=4,G5440&gt;=4),"Juara",IF(AND(F5440&gt;=4,E5440&gt;=3),"Setia",IF(AND(E5440=5,F5440&lt;=2,G5440&gt;=3),"Berpotensi",IF(AND(E5440&lt;=3,E5440&gt;=2,F5440&gt;=3),"Rawan",IF(AND(E5440&lt;=2,F5440&lt;=2),"Tidur","Umum"))))))</f>
        <v/>
      </c>
    </row>
    <row r="5441">
      <c r="B5441">
        <f>IF(A5441="","",$B$1-MAXIFS(Donasi!$A$2:$A$20000,Donasi!$B$2:$B$20000,A5441))</f>
        <v/>
      </c>
      <c r="C5441">
        <f>IF(A5441="","",COUNTIF(Donasi!$B$2:$B$20000,A5441))</f>
        <v/>
      </c>
      <c r="D5441">
        <f>IF(A5441="","",SUMIF(Donasi!$B$2:$B$20000,A5441,Donasi!$C$2:$C$20000))</f>
        <v/>
      </c>
      <c r="E5441">
        <f>IF(A5441="","",6-CEILING(PERCENTRANK.INC($B$3:$B$6000,B5441,4)*5+0.000001,1))</f>
        <v/>
      </c>
      <c r="F5441">
        <f>IF(A5441="","",MAX(1,CEILING(PERCENTRANK.INC($C$3:$C$6000,C5441,4)*5+0.000001,1)))</f>
        <v/>
      </c>
      <c r="G5441">
        <f>IF(A5441="","",MAX(1,CEILING(PERCENTRANK.INC($D$3:$D$6000,D5441,4)*5+0.000001,1)))</f>
        <v/>
      </c>
      <c r="H5441">
        <f>IF(A5441="","",E5441&amp;F5441&amp;G5441)</f>
        <v/>
      </c>
      <c r="I5441">
        <f>IF(A5441="","",IF(AND(E5441&gt;=4,F5441&gt;=4,G5441&gt;=4),"Juara",IF(AND(F5441&gt;=4,E5441&gt;=3),"Setia",IF(AND(E5441=5,F5441&lt;=2,G5441&gt;=3),"Berpotensi",IF(AND(E5441&lt;=3,E5441&gt;=2,F5441&gt;=3),"Rawan",IF(AND(E5441&lt;=2,F5441&lt;=2),"Tidur","Umum"))))))</f>
        <v/>
      </c>
    </row>
    <row r="5442">
      <c r="B5442">
        <f>IF(A5442="","",$B$1-MAXIFS(Donasi!$A$2:$A$20000,Donasi!$B$2:$B$20000,A5442))</f>
        <v/>
      </c>
      <c r="C5442">
        <f>IF(A5442="","",COUNTIF(Donasi!$B$2:$B$20000,A5442))</f>
        <v/>
      </c>
      <c r="D5442">
        <f>IF(A5442="","",SUMIF(Donasi!$B$2:$B$20000,A5442,Donasi!$C$2:$C$20000))</f>
        <v/>
      </c>
      <c r="E5442">
        <f>IF(A5442="","",6-CEILING(PERCENTRANK.INC($B$3:$B$6000,B5442,4)*5+0.000001,1))</f>
        <v/>
      </c>
      <c r="F5442">
        <f>IF(A5442="","",MAX(1,CEILING(PERCENTRANK.INC($C$3:$C$6000,C5442,4)*5+0.000001,1)))</f>
        <v/>
      </c>
      <c r="G5442">
        <f>IF(A5442="","",MAX(1,CEILING(PERCENTRANK.INC($D$3:$D$6000,D5442,4)*5+0.000001,1)))</f>
        <v/>
      </c>
      <c r="H5442">
        <f>IF(A5442="","",E5442&amp;F5442&amp;G5442)</f>
        <v/>
      </c>
      <c r="I5442">
        <f>IF(A5442="","",IF(AND(E5442&gt;=4,F5442&gt;=4,G5442&gt;=4),"Juara",IF(AND(F5442&gt;=4,E5442&gt;=3),"Setia",IF(AND(E5442=5,F5442&lt;=2,G5442&gt;=3),"Berpotensi",IF(AND(E5442&lt;=3,E5442&gt;=2,F5442&gt;=3),"Rawan",IF(AND(E5442&lt;=2,F5442&lt;=2),"Tidur","Umum"))))))</f>
        <v/>
      </c>
    </row>
    <row r="5443">
      <c r="B5443">
        <f>IF(A5443="","",$B$1-MAXIFS(Donasi!$A$2:$A$20000,Donasi!$B$2:$B$20000,A5443))</f>
        <v/>
      </c>
      <c r="C5443">
        <f>IF(A5443="","",COUNTIF(Donasi!$B$2:$B$20000,A5443))</f>
        <v/>
      </c>
      <c r="D5443">
        <f>IF(A5443="","",SUMIF(Donasi!$B$2:$B$20000,A5443,Donasi!$C$2:$C$20000))</f>
        <v/>
      </c>
      <c r="E5443">
        <f>IF(A5443="","",6-CEILING(PERCENTRANK.INC($B$3:$B$6000,B5443,4)*5+0.000001,1))</f>
        <v/>
      </c>
      <c r="F5443">
        <f>IF(A5443="","",MAX(1,CEILING(PERCENTRANK.INC($C$3:$C$6000,C5443,4)*5+0.000001,1)))</f>
        <v/>
      </c>
      <c r="G5443">
        <f>IF(A5443="","",MAX(1,CEILING(PERCENTRANK.INC($D$3:$D$6000,D5443,4)*5+0.000001,1)))</f>
        <v/>
      </c>
      <c r="H5443">
        <f>IF(A5443="","",E5443&amp;F5443&amp;G5443)</f>
        <v/>
      </c>
      <c r="I5443">
        <f>IF(A5443="","",IF(AND(E5443&gt;=4,F5443&gt;=4,G5443&gt;=4),"Juara",IF(AND(F5443&gt;=4,E5443&gt;=3),"Setia",IF(AND(E5443=5,F5443&lt;=2,G5443&gt;=3),"Berpotensi",IF(AND(E5443&lt;=3,E5443&gt;=2,F5443&gt;=3),"Rawan",IF(AND(E5443&lt;=2,F5443&lt;=2),"Tidur","Umum"))))))</f>
        <v/>
      </c>
    </row>
    <row r="5444">
      <c r="B5444">
        <f>IF(A5444="","",$B$1-MAXIFS(Donasi!$A$2:$A$20000,Donasi!$B$2:$B$20000,A5444))</f>
        <v/>
      </c>
      <c r="C5444">
        <f>IF(A5444="","",COUNTIF(Donasi!$B$2:$B$20000,A5444))</f>
        <v/>
      </c>
      <c r="D5444">
        <f>IF(A5444="","",SUMIF(Donasi!$B$2:$B$20000,A5444,Donasi!$C$2:$C$20000))</f>
        <v/>
      </c>
      <c r="E5444">
        <f>IF(A5444="","",6-CEILING(PERCENTRANK.INC($B$3:$B$6000,B5444,4)*5+0.000001,1))</f>
        <v/>
      </c>
      <c r="F5444">
        <f>IF(A5444="","",MAX(1,CEILING(PERCENTRANK.INC($C$3:$C$6000,C5444,4)*5+0.000001,1)))</f>
        <v/>
      </c>
      <c r="G5444">
        <f>IF(A5444="","",MAX(1,CEILING(PERCENTRANK.INC($D$3:$D$6000,D5444,4)*5+0.000001,1)))</f>
        <v/>
      </c>
      <c r="H5444">
        <f>IF(A5444="","",E5444&amp;F5444&amp;G5444)</f>
        <v/>
      </c>
      <c r="I5444">
        <f>IF(A5444="","",IF(AND(E5444&gt;=4,F5444&gt;=4,G5444&gt;=4),"Juara",IF(AND(F5444&gt;=4,E5444&gt;=3),"Setia",IF(AND(E5444=5,F5444&lt;=2,G5444&gt;=3),"Berpotensi",IF(AND(E5444&lt;=3,E5444&gt;=2,F5444&gt;=3),"Rawan",IF(AND(E5444&lt;=2,F5444&lt;=2),"Tidur","Umum"))))))</f>
        <v/>
      </c>
    </row>
    <row r="5445">
      <c r="B5445">
        <f>IF(A5445="","",$B$1-MAXIFS(Donasi!$A$2:$A$20000,Donasi!$B$2:$B$20000,A5445))</f>
        <v/>
      </c>
      <c r="C5445">
        <f>IF(A5445="","",COUNTIF(Donasi!$B$2:$B$20000,A5445))</f>
        <v/>
      </c>
      <c r="D5445">
        <f>IF(A5445="","",SUMIF(Donasi!$B$2:$B$20000,A5445,Donasi!$C$2:$C$20000))</f>
        <v/>
      </c>
      <c r="E5445">
        <f>IF(A5445="","",6-CEILING(PERCENTRANK.INC($B$3:$B$6000,B5445,4)*5+0.000001,1))</f>
        <v/>
      </c>
      <c r="F5445">
        <f>IF(A5445="","",MAX(1,CEILING(PERCENTRANK.INC($C$3:$C$6000,C5445,4)*5+0.000001,1)))</f>
        <v/>
      </c>
      <c r="G5445">
        <f>IF(A5445="","",MAX(1,CEILING(PERCENTRANK.INC($D$3:$D$6000,D5445,4)*5+0.000001,1)))</f>
        <v/>
      </c>
      <c r="H5445">
        <f>IF(A5445="","",E5445&amp;F5445&amp;G5445)</f>
        <v/>
      </c>
      <c r="I5445">
        <f>IF(A5445="","",IF(AND(E5445&gt;=4,F5445&gt;=4,G5445&gt;=4),"Juara",IF(AND(F5445&gt;=4,E5445&gt;=3),"Setia",IF(AND(E5445=5,F5445&lt;=2,G5445&gt;=3),"Berpotensi",IF(AND(E5445&lt;=3,E5445&gt;=2,F5445&gt;=3),"Rawan",IF(AND(E5445&lt;=2,F5445&lt;=2),"Tidur","Umum"))))))</f>
        <v/>
      </c>
    </row>
    <row r="5446">
      <c r="B5446">
        <f>IF(A5446="","",$B$1-MAXIFS(Donasi!$A$2:$A$20000,Donasi!$B$2:$B$20000,A5446))</f>
        <v/>
      </c>
      <c r="C5446">
        <f>IF(A5446="","",COUNTIF(Donasi!$B$2:$B$20000,A5446))</f>
        <v/>
      </c>
      <c r="D5446">
        <f>IF(A5446="","",SUMIF(Donasi!$B$2:$B$20000,A5446,Donasi!$C$2:$C$20000))</f>
        <v/>
      </c>
      <c r="E5446">
        <f>IF(A5446="","",6-CEILING(PERCENTRANK.INC($B$3:$B$6000,B5446,4)*5+0.000001,1))</f>
        <v/>
      </c>
      <c r="F5446">
        <f>IF(A5446="","",MAX(1,CEILING(PERCENTRANK.INC($C$3:$C$6000,C5446,4)*5+0.000001,1)))</f>
        <v/>
      </c>
      <c r="G5446">
        <f>IF(A5446="","",MAX(1,CEILING(PERCENTRANK.INC($D$3:$D$6000,D5446,4)*5+0.000001,1)))</f>
        <v/>
      </c>
      <c r="H5446">
        <f>IF(A5446="","",E5446&amp;F5446&amp;G5446)</f>
        <v/>
      </c>
      <c r="I5446">
        <f>IF(A5446="","",IF(AND(E5446&gt;=4,F5446&gt;=4,G5446&gt;=4),"Juara",IF(AND(F5446&gt;=4,E5446&gt;=3),"Setia",IF(AND(E5446=5,F5446&lt;=2,G5446&gt;=3),"Berpotensi",IF(AND(E5446&lt;=3,E5446&gt;=2,F5446&gt;=3),"Rawan",IF(AND(E5446&lt;=2,F5446&lt;=2),"Tidur","Umum"))))))</f>
        <v/>
      </c>
    </row>
    <row r="5447">
      <c r="B5447">
        <f>IF(A5447="","",$B$1-MAXIFS(Donasi!$A$2:$A$20000,Donasi!$B$2:$B$20000,A5447))</f>
        <v/>
      </c>
      <c r="C5447">
        <f>IF(A5447="","",COUNTIF(Donasi!$B$2:$B$20000,A5447))</f>
        <v/>
      </c>
      <c r="D5447">
        <f>IF(A5447="","",SUMIF(Donasi!$B$2:$B$20000,A5447,Donasi!$C$2:$C$20000))</f>
        <v/>
      </c>
      <c r="E5447">
        <f>IF(A5447="","",6-CEILING(PERCENTRANK.INC($B$3:$B$6000,B5447,4)*5+0.000001,1))</f>
        <v/>
      </c>
      <c r="F5447">
        <f>IF(A5447="","",MAX(1,CEILING(PERCENTRANK.INC($C$3:$C$6000,C5447,4)*5+0.000001,1)))</f>
        <v/>
      </c>
      <c r="G5447">
        <f>IF(A5447="","",MAX(1,CEILING(PERCENTRANK.INC($D$3:$D$6000,D5447,4)*5+0.000001,1)))</f>
        <v/>
      </c>
      <c r="H5447">
        <f>IF(A5447="","",E5447&amp;F5447&amp;G5447)</f>
        <v/>
      </c>
      <c r="I5447">
        <f>IF(A5447="","",IF(AND(E5447&gt;=4,F5447&gt;=4,G5447&gt;=4),"Juara",IF(AND(F5447&gt;=4,E5447&gt;=3),"Setia",IF(AND(E5447=5,F5447&lt;=2,G5447&gt;=3),"Berpotensi",IF(AND(E5447&lt;=3,E5447&gt;=2,F5447&gt;=3),"Rawan",IF(AND(E5447&lt;=2,F5447&lt;=2),"Tidur","Umum"))))))</f>
        <v/>
      </c>
    </row>
    <row r="5448">
      <c r="B5448">
        <f>IF(A5448="","",$B$1-MAXIFS(Donasi!$A$2:$A$20000,Donasi!$B$2:$B$20000,A5448))</f>
        <v/>
      </c>
      <c r="C5448">
        <f>IF(A5448="","",COUNTIF(Donasi!$B$2:$B$20000,A5448))</f>
        <v/>
      </c>
      <c r="D5448">
        <f>IF(A5448="","",SUMIF(Donasi!$B$2:$B$20000,A5448,Donasi!$C$2:$C$20000))</f>
        <v/>
      </c>
      <c r="E5448">
        <f>IF(A5448="","",6-CEILING(PERCENTRANK.INC($B$3:$B$6000,B5448,4)*5+0.000001,1))</f>
        <v/>
      </c>
      <c r="F5448">
        <f>IF(A5448="","",MAX(1,CEILING(PERCENTRANK.INC($C$3:$C$6000,C5448,4)*5+0.000001,1)))</f>
        <v/>
      </c>
      <c r="G5448">
        <f>IF(A5448="","",MAX(1,CEILING(PERCENTRANK.INC($D$3:$D$6000,D5448,4)*5+0.000001,1)))</f>
        <v/>
      </c>
      <c r="H5448">
        <f>IF(A5448="","",E5448&amp;F5448&amp;G5448)</f>
        <v/>
      </c>
      <c r="I5448">
        <f>IF(A5448="","",IF(AND(E5448&gt;=4,F5448&gt;=4,G5448&gt;=4),"Juara",IF(AND(F5448&gt;=4,E5448&gt;=3),"Setia",IF(AND(E5448=5,F5448&lt;=2,G5448&gt;=3),"Berpotensi",IF(AND(E5448&lt;=3,E5448&gt;=2,F5448&gt;=3),"Rawan",IF(AND(E5448&lt;=2,F5448&lt;=2),"Tidur","Umum"))))))</f>
        <v/>
      </c>
    </row>
    <row r="5449">
      <c r="B5449">
        <f>IF(A5449="","",$B$1-MAXIFS(Donasi!$A$2:$A$20000,Donasi!$B$2:$B$20000,A5449))</f>
        <v/>
      </c>
      <c r="C5449">
        <f>IF(A5449="","",COUNTIF(Donasi!$B$2:$B$20000,A5449))</f>
        <v/>
      </c>
      <c r="D5449">
        <f>IF(A5449="","",SUMIF(Donasi!$B$2:$B$20000,A5449,Donasi!$C$2:$C$20000))</f>
        <v/>
      </c>
      <c r="E5449">
        <f>IF(A5449="","",6-CEILING(PERCENTRANK.INC($B$3:$B$6000,B5449,4)*5+0.000001,1))</f>
        <v/>
      </c>
      <c r="F5449">
        <f>IF(A5449="","",MAX(1,CEILING(PERCENTRANK.INC($C$3:$C$6000,C5449,4)*5+0.000001,1)))</f>
        <v/>
      </c>
      <c r="G5449">
        <f>IF(A5449="","",MAX(1,CEILING(PERCENTRANK.INC($D$3:$D$6000,D5449,4)*5+0.000001,1)))</f>
        <v/>
      </c>
      <c r="H5449">
        <f>IF(A5449="","",E5449&amp;F5449&amp;G5449)</f>
        <v/>
      </c>
      <c r="I5449">
        <f>IF(A5449="","",IF(AND(E5449&gt;=4,F5449&gt;=4,G5449&gt;=4),"Juara",IF(AND(F5449&gt;=4,E5449&gt;=3),"Setia",IF(AND(E5449=5,F5449&lt;=2,G5449&gt;=3),"Berpotensi",IF(AND(E5449&lt;=3,E5449&gt;=2,F5449&gt;=3),"Rawan",IF(AND(E5449&lt;=2,F5449&lt;=2),"Tidur","Umum"))))))</f>
        <v/>
      </c>
    </row>
    <row r="5450">
      <c r="B5450">
        <f>IF(A5450="","",$B$1-MAXIFS(Donasi!$A$2:$A$20000,Donasi!$B$2:$B$20000,A5450))</f>
        <v/>
      </c>
      <c r="C5450">
        <f>IF(A5450="","",COUNTIF(Donasi!$B$2:$B$20000,A5450))</f>
        <v/>
      </c>
      <c r="D5450">
        <f>IF(A5450="","",SUMIF(Donasi!$B$2:$B$20000,A5450,Donasi!$C$2:$C$20000))</f>
        <v/>
      </c>
      <c r="E5450">
        <f>IF(A5450="","",6-CEILING(PERCENTRANK.INC($B$3:$B$6000,B5450,4)*5+0.000001,1))</f>
        <v/>
      </c>
      <c r="F5450">
        <f>IF(A5450="","",MAX(1,CEILING(PERCENTRANK.INC($C$3:$C$6000,C5450,4)*5+0.000001,1)))</f>
        <v/>
      </c>
      <c r="G5450">
        <f>IF(A5450="","",MAX(1,CEILING(PERCENTRANK.INC($D$3:$D$6000,D5450,4)*5+0.000001,1)))</f>
        <v/>
      </c>
      <c r="H5450">
        <f>IF(A5450="","",E5450&amp;F5450&amp;G5450)</f>
        <v/>
      </c>
      <c r="I5450">
        <f>IF(A5450="","",IF(AND(E5450&gt;=4,F5450&gt;=4,G5450&gt;=4),"Juara",IF(AND(F5450&gt;=4,E5450&gt;=3),"Setia",IF(AND(E5450=5,F5450&lt;=2,G5450&gt;=3),"Berpotensi",IF(AND(E5450&lt;=3,E5450&gt;=2,F5450&gt;=3),"Rawan",IF(AND(E5450&lt;=2,F5450&lt;=2),"Tidur","Umum"))))))</f>
        <v/>
      </c>
    </row>
    <row r="5451">
      <c r="B5451">
        <f>IF(A5451="","",$B$1-MAXIFS(Donasi!$A$2:$A$20000,Donasi!$B$2:$B$20000,A5451))</f>
        <v/>
      </c>
      <c r="C5451">
        <f>IF(A5451="","",COUNTIF(Donasi!$B$2:$B$20000,A5451))</f>
        <v/>
      </c>
      <c r="D5451">
        <f>IF(A5451="","",SUMIF(Donasi!$B$2:$B$20000,A5451,Donasi!$C$2:$C$20000))</f>
        <v/>
      </c>
      <c r="E5451">
        <f>IF(A5451="","",6-CEILING(PERCENTRANK.INC($B$3:$B$6000,B5451,4)*5+0.000001,1))</f>
        <v/>
      </c>
      <c r="F5451">
        <f>IF(A5451="","",MAX(1,CEILING(PERCENTRANK.INC($C$3:$C$6000,C5451,4)*5+0.000001,1)))</f>
        <v/>
      </c>
      <c r="G5451">
        <f>IF(A5451="","",MAX(1,CEILING(PERCENTRANK.INC($D$3:$D$6000,D5451,4)*5+0.000001,1)))</f>
        <v/>
      </c>
      <c r="H5451">
        <f>IF(A5451="","",E5451&amp;F5451&amp;G5451)</f>
        <v/>
      </c>
      <c r="I5451">
        <f>IF(A5451="","",IF(AND(E5451&gt;=4,F5451&gt;=4,G5451&gt;=4),"Juara",IF(AND(F5451&gt;=4,E5451&gt;=3),"Setia",IF(AND(E5451=5,F5451&lt;=2,G5451&gt;=3),"Berpotensi",IF(AND(E5451&lt;=3,E5451&gt;=2,F5451&gt;=3),"Rawan",IF(AND(E5451&lt;=2,F5451&lt;=2),"Tidur","Umum"))))))</f>
        <v/>
      </c>
    </row>
    <row r="5452">
      <c r="B5452">
        <f>IF(A5452="","",$B$1-MAXIFS(Donasi!$A$2:$A$20000,Donasi!$B$2:$B$20000,A5452))</f>
        <v/>
      </c>
      <c r="C5452">
        <f>IF(A5452="","",COUNTIF(Donasi!$B$2:$B$20000,A5452))</f>
        <v/>
      </c>
      <c r="D5452">
        <f>IF(A5452="","",SUMIF(Donasi!$B$2:$B$20000,A5452,Donasi!$C$2:$C$20000))</f>
        <v/>
      </c>
      <c r="E5452">
        <f>IF(A5452="","",6-CEILING(PERCENTRANK.INC($B$3:$B$6000,B5452,4)*5+0.000001,1))</f>
        <v/>
      </c>
      <c r="F5452">
        <f>IF(A5452="","",MAX(1,CEILING(PERCENTRANK.INC($C$3:$C$6000,C5452,4)*5+0.000001,1)))</f>
        <v/>
      </c>
      <c r="G5452">
        <f>IF(A5452="","",MAX(1,CEILING(PERCENTRANK.INC($D$3:$D$6000,D5452,4)*5+0.000001,1)))</f>
        <v/>
      </c>
      <c r="H5452">
        <f>IF(A5452="","",E5452&amp;F5452&amp;G5452)</f>
        <v/>
      </c>
      <c r="I5452">
        <f>IF(A5452="","",IF(AND(E5452&gt;=4,F5452&gt;=4,G5452&gt;=4),"Juara",IF(AND(F5452&gt;=4,E5452&gt;=3),"Setia",IF(AND(E5452=5,F5452&lt;=2,G5452&gt;=3),"Berpotensi",IF(AND(E5452&lt;=3,E5452&gt;=2,F5452&gt;=3),"Rawan",IF(AND(E5452&lt;=2,F5452&lt;=2),"Tidur","Umum"))))))</f>
        <v/>
      </c>
    </row>
    <row r="5453">
      <c r="B5453">
        <f>IF(A5453="","",$B$1-MAXIFS(Donasi!$A$2:$A$20000,Donasi!$B$2:$B$20000,A5453))</f>
        <v/>
      </c>
      <c r="C5453">
        <f>IF(A5453="","",COUNTIF(Donasi!$B$2:$B$20000,A5453))</f>
        <v/>
      </c>
      <c r="D5453">
        <f>IF(A5453="","",SUMIF(Donasi!$B$2:$B$20000,A5453,Donasi!$C$2:$C$20000))</f>
        <v/>
      </c>
      <c r="E5453">
        <f>IF(A5453="","",6-CEILING(PERCENTRANK.INC($B$3:$B$6000,B5453,4)*5+0.000001,1))</f>
        <v/>
      </c>
      <c r="F5453">
        <f>IF(A5453="","",MAX(1,CEILING(PERCENTRANK.INC($C$3:$C$6000,C5453,4)*5+0.000001,1)))</f>
        <v/>
      </c>
      <c r="G5453">
        <f>IF(A5453="","",MAX(1,CEILING(PERCENTRANK.INC($D$3:$D$6000,D5453,4)*5+0.000001,1)))</f>
        <v/>
      </c>
      <c r="H5453">
        <f>IF(A5453="","",E5453&amp;F5453&amp;G5453)</f>
        <v/>
      </c>
      <c r="I5453">
        <f>IF(A5453="","",IF(AND(E5453&gt;=4,F5453&gt;=4,G5453&gt;=4),"Juara",IF(AND(F5453&gt;=4,E5453&gt;=3),"Setia",IF(AND(E5453=5,F5453&lt;=2,G5453&gt;=3),"Berpotensi",IF(AND(E5453&lt;=3,E5453&gt;=2,F5453&gt;=3),"Rawan",IF(AND(E5453&lt;=2,F5453&lt;=2),"Tidur","Umum"))))))</f>
        <v/>
      </c>
    </row>
    <row r="5454">
      <c r="B5454">
        <f>IF(A5454="","",$B$1-MAXIFS(Donasi!$A$2:$A$20000,Donasi!$B$2:$B$20000,A5454))</f>
        <v/>
      </c>
      <c r="C5454">
        <f>IF(A5454="","",COUNTIF(Donasi!$B$2:$B$20000,A5454))</f>
        <v/>
      </c>
      <c r="D5454">
        <f>IF(A5454="","",SUMIF(Donasi!$B$2:$B$20000,A5454,Donasi!$C$2:$C$20000))</f>
        <v/>
      </c>
      <c r="E5454">
        <f>IF(A5454="","",6-CEILING(PERCENTRANK.INC($B$3:$B$6000,B5454,4)*5+0.000001,1))</f>
        <v/>
      </c>
      <c r="F5454">
        <f>IF(A5454="","",MAX(1,CEILING(PERCENTRANK.INC($C$3:$C$6000,C5454,4)*5+0.000001,1)))</f>
        <v/>
      </c>
      <c r="G5454">
        <f>IF(A5454="","",MAX(1,CEILING(PERCENTRANK.INC($D$3:$D$6000,D5454,4)*5+0.000001,1)))</f>
        <v/>
      </c>
      <c r="H5454">
        <f>IF(A5454="","",E5454&amp;F5454&amp;G5454)</f>
        <v/>
      </c>
      <c r="I5454">
        <f>IF(A5454="","",IF(AND(E5454&gt;=4,F5454&gt;=4,G5454&gt;=4),"Juara",IF(AND(F5454&gt;=4,E5454&gt;=3),"Setia",IF(AND(E5454=5,F5454&lt;=2,G5454&gt;=3),"Berpotensi",IF(AND(E5454&lt;=3,E5454&gt;=2,F5454&gt;=3),"Rawan",IF(AND(E5454&lt;=2,F5454&lt;=2),"Tidur","Umum"))))))</f>
        <v/>
      </c>
    </row>
    <row r="5455">
      <c r="B5455">
        <f>IF(A5455="","",$B$1-MAXIFS(Donasi!$A$2:$A$20000,Donasi!$B$2:$B$20000,A5455))</f>
        <v/>
      </c>
      <c r="C5455">
        <f>IF(A5455="","",COUNTIF(Donasi!$B$2:$B$20000,A5455))</f>
        <v/>
      </c>
      <c r="D5455">
        <f>IF(A5455="","",SUMIF(Donasi!$B$2:$B$20000,A5455,Donasi!$C$2:$C$20000))</f>
        <v/>
      </c>
      <c r="E5455">
        <f>IF(A5455="","",6-CEILING(PERCENTRANK.INC($B$3:$B$6000,B5455,4)*5+0.000001,1))</f>
        <v/>
      </c>
      <c r="F5455">
        <f>IF(A5455="","",MAX(1,CEILING(PERCENTRANK.INC($C$3:$C$6000,C5455,4)*5+0.000001,1)))</f>
        <v/>
      </c>
      <c r="G5455">
        <f>IF(A5455="","",MAX(1,CEILING(PERCENTRANK.INC($D$3:$D$6000,D5455,4)*5+0.000001,1)))</f>
        <v/>
      </c>
      <c r="H5455">
        <f>IF(A5455="","",E5455&amp;F5455&amp;G5455)</f>
        <v/>
      </c>
      <c r="I5455">
        <f>IF(A5455="","",IF(AND(E5455&gt;=4,F5455&gt;=4,G5455&gt;=4),"Juara",IF(AND(F5455&gt;=4,E5455&gt;=3),"Setia",IF(AND(E5455=5,F5455&lt;=2,G5455&gt;=3),"Berpotensi",IF(AND(E5455&lt;=3,E5455&gt;=2,F5455&gt;=3),"Rawan",IF(AND(E5455&lt;=2,F5455&lt;=2),"Tidur","Umum"))))))</f>
        <v/>
      </c>
    </row>
    <row r="5456">
      <c r="B5456">
        <f>IF(A5456="","",$B$1-MAXIFS(Donasi!$A$2:$A$20000,Donasi!$B$2:$B$20000,A5456))</f>
        <v/>
      </c>
      <c r="C5456">
        <f>IF(A5456="","",COUNTIF(Donasi!$B$2:$B$20000,A5456))</f>
        <v/>
      </c>
      <c r="D5456">
        <f>IF(A5456="","",SUMIF(Donasi!$B$2:$B$20000,A5456,Donasi!$C$2:$C$20000))</f>
        <v/>
      </c>
      <c r="E5456">
        <f>IF(A5456="","",6-CEILING(PERCENTRANK.INC($B$3:$B$6000,B5456,4)*5+0.000001,1))</f>
        <v/>
      </c>
      <c r="F5456">
        <f>IF(A5456="","",MAX(1,CEILING(PERCENTRANK.INC($C$3:$C$6000,C5456,4)*5+0.000001,1)))</f>
        <v/>
      </c>
      <c r="G5456">
        <f>IF(A5456="","",MAX(1,CEILING(PERCENTRANK.INC($D$3:$D$6000,D5456,4)*5+0.000001,1)))</f>
        <v/>
      </c>
      <c r="H5456">
        <f>IF(A5456="","",E5456&amp;F5456&amp;G5456)</f>
        <v/>
      </c>
      <c r="I5456">
        <f>IF(A5456="","",IF(AND(E5456&gt;=4,F5456&gt;=4,G5456&gt;=4),"Juara",IF(AND(F5456&gt;=4,E5456&gt;=3),"Setia",IF(AND(E5456=5,F5456&lt;=2,G5456&gt;=3),"Berpotensi",IF(AND(E5456&lt;=3,E5456&gt;=2,F5456&gt;=3),"Rawan",IF(AND(E5456&lt;=2,F5456&lt;=2),"Tidur","Umum"))))))</f>
        <v/>
      </c>
    </row>
    <row r="5457">
      <c r="B5457">
        <f>IF(A5457="","",$B$1-MAXIFS(Donasi!$A$2:$A$20000,Donasi!$B$2:$B$20000,A5457))</f>
        <v/>
      </c>
      <c r="C5457">
        <f>IF(A5457="","",COUNTIF(Donasi!$B$2:$B$20000,A5457))</f>
        <v/>
      </c>
      <c r="D5457">
        <f>IF(A5457="","",SUMIF(Donasi!$B$2:$B$20000,A5457,Donasi!$C$2:$C$20000))</f>
        <v/>
      </c>
      <c r="E5457">
        <f>IF(A5457="","",6-CEILING(PERCENTRANK.INC($B$3:$B$6000,B5457,4)*5+0.000001,1))</f>
        <v/>
      </c>
      <c r="F5457">
        <f>IF(A5457="","",MAX(1,CEILING(PERCENTRANK.INC($C$3:$C$6000,C5457,4)*5+0.000001,1)))</f>
        <v/>
      </c>
      <c r="G5457">
        <f>IF(A5457="","",MAX(1,CEILING(PERCENTRANK.INC($D$3:$D$6000,D5457,4)*5+0.000001,1)))</f>
        <v/>
      </c>
      <c r="H5457">
        <f>IF(A5457="","",E5457&amp;F5457&amp;G5457)</f>
        <v/>
      </c>
      <c r="I5457">
        <f>IF(A5457="","",IF(AND(E5457&gt;=4,F5457&gt;=4,G5457&gt;=4),"Juara",IF(AND(F5457&gt;=4,E5457&gt;=3),"Setia",IF(AND(E5457=5,F5457&lt;=2,G5457&gt;=3),"Berpotensi",IF(AND(E5457&lt;=3,E5457&gt;=2,F5457&gt;=3),"Rawan",IF(AND(E5457&lt;=2,F5457&lt;=2),"Tidur","Umum"))))))</f>
        <v/>
      </c>
    </row>
    <row r="5458">
      <c r="B5458">
        <f>IF(A5458="","",$B$1-MAXIFS(Donasi!$A$2:$A$20000,Donasi!$B$2:$B$20000,A5458))</f>
        <v/>
      </c>
      <c r="C5458">
        <f>IF(A5458="","",COUNTIF(Donasi!$B$2:$B$20000,A5458))</f>
        <v/>
      </c>
      <c r="D5458">
        <f>IF(A5458="","",SUMIF(Donasi!$B$2:$B$20000,A5458,Donasi!$C$2:$C$20000))</f>
        <v/>
      </c>
      <c r="E5458">
        <f>IF(A5458="","",6-CEILING(PERCENTRANK.INC($B$3:$B$6000,B5458,4)*5+0.000001,1))</f>
        <v/>
      </c>
      <c r="F5458">
        <f>IF(A5458="","",MAX(1,CEILING(PERCENTRANK.INC($C$3:$C$6000,C5458,4)*5+0.000001,1)))</f>
        <v/>
      </c>
      <c r="G5458">
        <f>IF(A5458="","",MAX(1,CEILING(PERCENTRANK.INC($D$3:$D$6000,D5458,4)*5+0.000001,1)))</f>
        <v/>
      </c>
      <c r="H5458">
        <f>IF(A5458="","",E5458&amp;F5458&amp;G5458)</f>
        <v/>
      </c>
      <c r="I5458">
        <f>IF(A5458="","",IF(AND(E5458&gt;=4,F5458&gt;=4,G5458&gt;=4),"Juara",IF(AND(F5458&gt;=4,E5458&gt;=3),"Setia",IF(AND(E5458=5,F5458&lt;=2,G5458&gt;=3),"Berpotensi",IF(AND(E5458&lt;=3,E5458&gt;=2,F5458&gt;=3),"Rawan",IF(AND(E5458&lt;=2,F5458&lt;=2),"Tidur","Umum"))))))</f>
        <v/>
      </c>
    </row>
    <row r="5459">
      <c r="B5459">
        <f>IF(A5459="","",$B$1-MAXIFS(Donasi!$A$2:$A$20000,Donasi!$B$2:$B$20000,A5459))</f>
        <v/>
      </c>
      <c r="C5459">
        <f>IF(A5459="","",COUNTIF(Donasi!$B$2:$B$20000,A5459))</f>
        <v/>
      </c>
      <c r="D5459">
        <f>IF(A5459="","",SUMIF(Donasi!$B$2:$B$20000,A5459,Donasi!$C$2:$C$20000))</f>
        <v/>
      </c>
      <c r="E5459">
        <f>IF(A5459="","",6-CEILING(PERCENTRANK.INC($B$3:$B$6000,B5459,4)*5+0.000001,1))</f>
        <v/>
      </c>
      <c r="F5459">
        <f>IF(A5459="","",MAX(1,CEILING(PERCENTRANK.INC($C$3:$C$6000,C5459,4)*5+0.000001,1)))</f>
        <v/>
      </c>
      <c r="G5459">
        <f>IF(A5459="","",MAX(1,CEILING(PERCENTRANK.INC($D$3:$D$6000,D5459,4)*5+0.000001,1)))</f>
        <v/>
      </c>
      <c r="H5459">
        <f>IF(A5459="","",E5459&amp;F5459&amp;G5459)</f>
        <v/>
      </c>
      <c r="I5459">
        <f>IF(A5459="","",IF(AND(E5459&gt;=4,F5459&gt;=4,G5459&gt;=4),"Juara",IF(AND(F5459&gt;=4,E5459&gt;=3),"Setia",IF(AND(E5459=5,F5459&lt;=2,G5459&gt;=3),"Berpotensi",IF(AND(E5459&lt;=3,E5459&gt;=2,F5459&gt;=3),"Rawan",IF(AND(E5459&lt;=2,F5459&lt;=2),"Tidur","Umum"))))))</f>
        <v/>
      </c>
    </row>
    <row r="5460">
      <c r="B5460">
        <f>IF(A5460="","",$B$1-MAXIFS(Donasi!$A$2:$A$20000,Donasi!$B$2:$B$20000,A5460))</f>
        <v/>
      </c>
      <c r="C5460">
        <f>IF(A5460="","",COUNTIF(Donasi!$B$2:$B$20000,A5460))</f>
        <v/>
      </c>
      <c r="D5460">
        <f>IF(A5460="","",SUMIF(Donasi!$B$2:$B$20000,A5460,Donasi!$C$2:$C$20000))</f>
        <v/>
      </c>
      <c r="E5460">
        <f>IF(A5460="","",6-CEILING(PERCENTRANK.INC($B$3:$B$6000,B5460,4)*5+0.000001,1))</f>
        <v/>
      </c>
      <c r="F5460">
        <f>IF(A5460="","",MAX(1,CEILING(PERCENTRANK.INC($C$3:$C$6000,C5460,4)*5+0.000001,1)))</f>
        <v/>
      </c>
      <c r="G5460">
        <f>IF(A5460="","",MAX(1,CEILING(PERCENTRANK.INC($D$3:$D$6000,D5460,4)*5+0.000001,1)))</f>
        <v/>
      </c>
      <c r="H5460">
        <f>IF(A5460="","",E5460&amp;F5460&amp;G5460)</f>
        <v/>
      </c>
      <c r="I5460">
        <f>IF(A5460="","",IF(AND(E5460&gt;=4,F5460&gt;=4,G5460&gt;=4),"Juara",IF(AND(F5460&gt;=4,E5460&gt;=3),"Setia",IF(AND(E5460=5,F5460&lt;=2,G5460&gt;=3),"Berpotensi",IF(AND(E5460&lt;=3,E5460&gt;=2,F5460&gt;=3),"Rawan",IF(AND(E5460&lt;=2,F5460&lt;=2),"Tidur","Umum"))))))</f>
        <v/>
      </c>
    </row>
    <row r="5461">
      <c r="B5461">
        <f>IF(A5461="","",$B$1-MAXIFS(Donasi!$A$2:$A$20000,Donasi!$B$2:$B$20000,A5461))</f>
        <v/>
      </c>
      <c r="C5461">
        <f>IF(A5461="","",COUNTIF(Donasi!$B$2:$B$20000,A5461))</f>
        <v/>
      </c>
      <c r="D5461">
        <f>IF(A5461="","",SUMIF(Donasi!$B$2:$B$20000,A5461,Donasi!$C$2:$C$20000))</f>
        <v/>
      </c>
      <c r="E5461">
        <f>IF(A5461="","",6-CEILING(PERCENTRANK.INC($B$3:$B$6000,B5461,4)*5+0.000001,1))</f>
        <v/>
      </c>
      <c r="F5461">
        <f>IF(A5461="","",MAX(1,CEILING(PERCENTRANK.INC($C$3:$C$6000,C5461,4)*5+0.000001,1)))</f>
        <v/>
      </c>
      <c r="G5461">
        <f>IF(A5461="","",MAX(1,CEILING(PERCENTRANK.INC($D$3:$D$6000,D5461,4)*5+0.000001,1)))</f>
        <v/>
      </c>
      <c r="H5461">
        <f>IF(A5461="","",E5461&amp;F5461&amp;G5461)</f>
        <v/>
      </c>
      <c r="I5461">
        <f>IF(A5461="","",IF(AND(E5461&gt;=4,F5461&gt;=4,G5461&gt;=4),"Juara",IF(AND(F5461&gt;=4,E5461&gt;=3),"Setia",IF(AND(E5461=5,F5461&lt;=2,G5461&gt;=3),"Berpotensi",IF(AND(E5461&lt;=3,E5461&gt;=2,F5461&gt;=3),"Rawan",IF(AND(E5461&lt;=2,F5461&lt;=2),"Tidur","Umum"))))))</f>
        <v/>
      </c>
    </row>
    <row r="5462">
      <c r="B5462">
        <f>IF(A5462="","",$B$1-MAXIFS(Donasi!$A$2:$A$20000,Donasi!$B$2:$B$20000,A5462))</f>
        <v/>
      </c>
      <c r="C5462">
        <f>IF(A5462="","",COUNTIF(Donasi!$B$2:$B$20000,A5462))</f>
        <v/>
      </c>
      <c r="D5462">
        <f>IF(A5462="","",SUMIF(Donasi!$B$2:$B$20000,A5462,Donasi!$C$2:$C$20000))</f>
        <v/>
      </c>
      <c r="E5462">
        <f>IF(A5462="","",6-CEILING(PERCENTRANK.INC($B$3:$B$6000,B5462,4)*5+0.000001,1))</f>
        <v/>
      </c>
      <c r="F5462">
        <f>IF(A5462="","",MAX(1,CEILING(PERCENTRANK.INC($C$3:$C$6000,C5462,4)*5+0.000001,1)))</f>
        <v/>
      </c>
      <c r="G5462">
        <f>IF(A5462="","",MAX(1,CEILING(PERCENTRANK.INC($D$3:$D$6000,D5462,4)*5+0.000001,1)))</f>
        <v/>
      </c>
      <c r="H5462">
        <f>IF(A5462="","",E5462&amp;F5462&amp;G5462)</f>
        <v/>
      </c>
      <c r="I5462">
        <f>IF(A5462="","",IF(AND(E5462&gt;=4,F5462&gt;=4,G5462&gt;=4),"Juara",IF(AND(F5462&gt;=4,E5462&gt;=3),"Setia",IF(AND(E5462=5,F5462&lt;=2,G5462&gt;=3),"Berpotensi",IF(AND(E5462&lt;=3,E5462&gt;=2,F5462&gt;=3),"Rawan",IF(AND(E5462&lt;=2,F5462&lt;=2),"Tidur","Umum"))))))</f>
        <v/>
      </c>
    </row>
    <row r="5463">
      <c r="B5463">
        <f>IF(A5463="","",$B$1-MAXIFS(Donasi!$A$2:$A$20000,Donasi!$B$2:$B$20000,A5463))</f>
        <v/>
      </c>
      <c r="C5463">
        <f>IF(A5463="","",COUNTIF(Donasi!$B$2:$B$20000,A5463))</f>
        <v/>
      </c>
      <c r="D5463">
        <f>IF(A5463="","",SUMIF(Donasi!$B$2:$B$20000,A5463,Donasi!$C$2:$C$20000))</f>
        <v/>
      </c>
      <c r="E5463">
        <f>IF(A5463="","",6-CEILING(PERCENTRANK.INC($B$3:$B$6000,B5463,4)*5+0.000001,1))</f>
        <v/>
      </c>
      <c r="F5463">
        <f>IF(A5463="","",MAX(1,CEILING(PERCENTRANK.INC($C$3:$C$6000,C5463,4)*5+0.000001,1)))</f>
        <v/>
      </c>
      <c r="G5463">
        <f>IF(A5463="","",MAX(1,CEILING(PERCENTRANK.INC($D$3:$D$6000,D5463,4)*5+0.000001,1)))</f>
        <v/>
      </c>
      <c r="H5463">
        <f>IF(A5463="","",E5463&amp;F5463&amp;G5463)</f>
        <v/>
      </c>
      <c r="I5463">
        <f>IF(A5463="","",IF(AND(E5463&gt;=4,F5463&gt;=4,G5463&gt;=4),"Juara",IF(AND(F5463&gt;=4,E5463&gt;=3),"Setia",IF(AND(E5463=5,F5463&lt;=2,G5463&gt;=3),"Berpotensi",IF(AND(E5463&lt;=3,E5463&gt;=2,F5463&gt;=3),"Rawan",IF(AND(E5463&lt;=2,F5463&lt;=2),"Tidur","Umum"))))))</f>
        <v/>
      </c>
    </row>
    <row r="5464">
      <c r="B5464">
        <f>IF(A5464="","",$B$1-MAXIFS(Donasi!$A$2:$A$20000,Donasi!$B$2:$B$20000,A5464))</f>
        <v/>
      </c>
      <c r="C5464">
        <f>IF(A5464="","",COUNTIF(Donasi!$B$2:$B$20000,A5464))</f>
        <v/>
      </c>
      <c r="D5464">
        <f>IF(A5464="","",SUMIF(Donasi!$B$2:$B$20000,A5464,Donasi!$C$2:$C$20000))</f>
        <v/>
      </c>
      <c r="E5464">
        <f>IF(A5464="","",6-CEILING(PERCENTRANK.INC($B$3:$B$6000,B5464,4)*5+0.000001,1))</f>
        <v/>
      </c>
      <c r="F5464">
        <f>IF(A5464="","",MAX(1,CEILING(PERCENTRANK.INC($C$3:$C$6000,C5464,4)*5+0.000001,1)))</f>
        <v/>
      </c>
      <c r="G5464">
        <f>IF(A5464="","",MAX(1,CEILING(PERCENTRANK.INC($D$3:$D$6000,D5464,4)*5+0.000001,1)))</f>
        <v/>
      </c>
      <c r="H5464">
        <f>IF(A5464="","",E5464&amp;F5464&amp;G5464)</f>
        <v/>
      </c>
      <c r="I5464">
        <f>IF(A5464="","",IF(AND(E5464&gt;=4,F5464&gt;=4,G5464&gt;=4),"Juara",IF(AND(F5464&gt;=4,E5464&gt;=3),"Setia",IF(AND(E5464=5,F5464&lt;=2,G5464&gt;=3),"Berpotensi",IF(AND(E5464&lt;=3,E5464&gt;=2,F5464&gt;=3),"Rawan",IF(AND(E5464&lt;=2,F5464&lt;=2),"Tidur","Umum"))))))</f>
        <v/>
      </c>
    </row>
    <row r="5465">
      <c r="B5465">
        <f>IF(A5465="","",$B$1-MAXIFS(Donasi!$A$2:$A$20000,Donasi!$B$2:$B$20000,A5465))</f>
        <v/>
      </c>
      <c r="C5465">
        <f>IF(A5465="","",COUNTIF(Donasi!$B$2:$B$20000,A5465))</f>
        <v/>
      </c>
      <c r="D5465">
        <f>IF(A5465="","",SUMIF(Donasi!$B$2:$B$20000,A5465,Donasi!$C$2:$C$20000))</f>
        <v/>
      </c>
      <c r="E5465">
        <f>IF(A5465="","",6-CEILING(PERCENTRANK.INC($B$3:$B$6000,B5465,4)*5+0.000001,1))</f>
        <v/>
      </c>
      <c r="F5465">
        <f>IF(A5465="","",MAX(1,CEILING(PERCENTRANK.INC($C$3:$C$6000,C5465,4)*5+0.000001,1)))</f>
        <v/>
      </c>
      <c r="G5465">
        <f>IF(A5465="","",MAX(1,CEILING(PERCENTRANK.INC($D$3:$D$6000,D5465,4)*5+0.000001,1)))</f>
        <v/>
      </c>
      <c r="H5465">
        <f>IF(A5465="","",E5465&amp;F5465&amp;G5465)</f>
        <v/>
      </c>
      <c r="I5465">
        <f>IF(A5465="","",IF(AND(E5465&gt;=4,F5465&gt;=4,G5465&gt;=4),"Juara",IF(AND(F5465&gt;=4,E5465&gt;=3),"Setia",IF(AND(E5465=5,F5465&lt;=2,G5465&gt;=3),"Berpotensi",IF(AND(E5465&lt;=3,E5465&gt;=2,F5465&gt;=3),"Rawan",IF(AND(E5465&lt;=2,F5465&lt;=2),"Tidur","Umum"))))))</f>
        <v/>
      </c>
    </row>
    <row r="5466">
      <c r="B5466">
        <f>IF(A5466="","",$B$1-MAXIFS(Donasi!$A$2:$A$20000,Donasi!$B$2:$B$20000,A5466))</f>
        <v/>
      </c>
      <c r="C5466">
        <f>IF(A5466="","",COUNTIF(Donasi!$B$2:$B$20000,A5466))</f>
        <v/>
      </c>
      <c r="D5466">
        <f>IF(A5466="","",SUMIF(Donasi!$B$2:$B$20000,A5466,Donasi!$C$2:$C$20000))</f>
        <v/>
      </c>
      <c r="E5466">
        <f>IF(A5466="","",6-CEILING(PERCENTRANK.INC($B$3:$B$6000,B5466,4)*5+0.000001,1))</f>
        <v/>
      </c>
      <c r="F5466">
        <f>IF(A5466="","",MAX(1,CEILING(PERCENTRANK.INC($C$3:$C$6000,C5466,4)*5+0.000001,1)))</f>
        <v/>
      </c>
      <c r="G5466">
        <f>IF(A5466="","",MAX(1,CEILING(PERCENTRANK.INC($D$3:$D$6000,D5466,4)*5+0.000001,1)))</f>
        <v/>
      </c>
      <c r="H5466">
        <f>IF(A5466="","",E5466&amp;F5466&amp;G5466)</f>
        <v/>
      </c>
      <c r="I5466">
        <f>IF(A5466="","",IF(AND(E5466&gt;=4,F5466&gt;=4,G5466&gt;=4),"Juara",IF(AND(F5466&gt;=4,E5466&gt;=3),"Setia",IF(AND(E5466=5,F5466&lt;=2,G5466&gt;=3),"Berpotensi",IF(AND(E5466&lt;=3,E5466&gt;=2,F5466&gt;=3),"Rawan",IF(AND(E5466&lt;=2,F5466&lt;=2),"Tidur","Umum"))))))</f>
        <v/>
      </c>
    </row>
    <row r="5467">
      <c r="B5467">
        <f>IF(A5467="","",$B$1-MAXIFS(Donasi!$A$2:$A$20000,Donasi!$B$2:$B$20000,A5467))</f>
        <v/>
      </c>
      <c r="C5467">
        <f>IF(A5467="","",COUNTIF(Donasi!$B$2:$B$20000,A5467))</f>
        <v/>
      </c>
      <c r="D5467">
        <f>IF(A5467="","",SUMIF(Donasi!$B$2:$B$20000,A5467,Donasi!$C$2:$C$20000))</f>
        <v/>
      </c>
      <c r="E5467">
        <f>IF(A5467="","",6-CEILING(PERCENTRANK.INC($B$3:$B$6000,B5467,4)*5+0.000001,1))</f>
        <v/>
      </c>
      <c r="F5467">
        <f>IF(A5467="","",MAX(1,CEILING(PERCENTRANK.INC($C$3:$C$6000,C5467,4)*5+0.000001,1)))</f>
        <v/>
      </c>
      <c r="G5467">
        <f>IF(A5467="","",MAX(1,CEILING(PERCENTRANK.INC($D$3:$D$6000,D5467,4)*5+0.000001,1)))</f>
        <v/>
      </c>
      <c r="H5467">
        <f>IF(A5467="","",E5467&amp;F5467&amp;G5467)</f>
        <v/>
      </c>
      <c r="I5467">
        <f>IF(A5467="","",IF(AND(E5467&gt;=4,F5467&gt;=4,G5467&gt;=4),"Juara",IF(AND(F5467&gt;=4,E5467&gt;=3),"Setia",IF(AND(E5467=5,F5467&lt;=2,G5467&gt;=3),"Berpotensi",IF(AND(E5467&lt;=3,E5467&gt;=2,F5467&gt;=3),"Rawan",IF(AND(E5467&lt;=2,F5467&lt;=2),"Tidur","Umum"))))))</f>
        <v/>
      </c>
    </row>
    <row r="5468">
      <c r="B5468">
        <f>IF(A5468="","",$B$1-MAXIFS(Donasi!$A$2:$A$20000,Donasi!$B$2:$B$20000,A5468))</f>
        <v/>
      </c>
      <c r="C5468">
        <f>IF(A5468="","",COUNTIF(Donasi!$B$2:$B$20000,A5468))</f>
        <v/>
      </c>
      <c r="D5468">
        <f>IF(A5468="","",SUMIF(Donasi!$B$2:$B$20000,A5468,Donasi!$C$2:$C$20000))</f>
        <v/>
      </c>
      <c r="E5468">
        <f>IF(A5468="","",6-CEILING(PERCENTRANK.INC($B$3:$B$6000,B5468,4)*5+0.000001,1))</f>
        <v/>
      </c>
      <c r="F5468">
        <f>IF(A5468="","",MAX(1,CEILING(PERCENTRANK.INC($C$3:$C$6000,C5468,4)*5+0.000001,1)))</f>
        <v/>
      </c>
      <c r="G5468">
        <f>IF(A5468="","",MAX(1,CEILING(PERCENTRANK.INC($D$3:$D$6000,D5468,4)*5+0.000001,1)))</f>
        <v/>
      </c>
      <c r="H5468">
        <f>IF(A5468="","",E5468&amp;F5468&amp;G5468)</f>
        <v/>
      </c>
      <c r="I5468">
        <f>IF(A5468="","",IF(AND(E5468&gt;=4,F5468&gt;=4,G5468&gt;=4),"Juara",IF(AND(F5468&gt;=4,E5468&gt;=3),"Setia",IF(AND(E5468=5,F5468&lt;=2,G5468&gt;=3),"Berpotensi",IF(AND(E5468&lt;=3,E5468&gt;=2,F5468&gt;=3),"Rawan",IF(AND(E5468&lt;=2,F5468&lt;=2),"Tidur","Umum"))))))</f>
        <v/>
      </c>
    </row>
    <row r="5469">
      <c r="B5469">
        <f>IF(A5469="","",$B$1-MAXIFS(Donasi!$A$2:$A$20000,Donasi!$B$2:$B$20000,A5469))</f>
        <v/>
      </c>
      <c r="C5469">
        <f>IF(A5469="","",COUNTIF(Donasi!$B$2:$B$20000,A5469))</f>
        <v/>
      </c>
      <c r="D5469">
        <f>IF(A5469="","",SUMIF(Donasi!$B$2:$B$20000,A5469,Donasi!$C$2:$C$20000))</f>
        <v/>
      </c>
      <c r="E5469">
        <f>IF(A5469="","",6-CEILING(PERCENTRANK.INC($B$3:$B$6000,B5469,4)*5+0.000001,1))</f>
        <v/>
      </c>
      <c r="F5469">
        <f>IF(A5469="","",MAX(1,CEILING(PERCENTRANK.INC($C$3:$C$6000,C5469,4)*5+0.000001,1)))</f>
        <v/>
      </c>
      <c r="G5469">
        <f>IF(A5469="","",MAX(1,CEILING(PERCENTRANK.INC($D$3:$D$6000,D5469,4)*5+0.000001,1)))</f>
        <v/>
      </c>
      <c r="H5469">
        <f>IF(A5469="","",E5469&amp;F5469&amp;G5469)</f>
        <v/>
      </c>
      <c r="I5469">
        <f>IF(A5469="","",IF(AND(E5469&gt;=4,F5469&gt;=4,G5469&gt;=4),"Juara",IF(AND(F5469&gt;=4,E5469&gt;=3),"Setia",IF(AND(E5469=5,F5469&lt;=2,G5469&gt;=3),"Berpotensi",IF(AND(E5469&lt;=3,E5469&gt;=2,F5469&gt;=3),"Rawan",IF(AND(E5469&lt;=2,F5469&lt;=2),"Tidur","Umum"))))))</f>
        <v/>
      </c>
    </row>
    <row r="5470">
      <c r="B5470">
        <f>IF(A5470="","",$B$1-MAXIFS(Donasi!$A$2:$A$20000,Donasi!$B$2:$B$20000,A5470))</f>
        <v/>
      </c>
      <c r="C5470">
        <f>IF(A5470="","",COUNTIF(Donasi!$B$2:$B$20000,A5470))</f>
        <v/>
      </c>
      <c r="D5470">
        <f>IF(A5470="","",SUMIF(Donasi!$B$2:$B$20000,A5470,Donasi!$C$2:$C$20000))</f>
        <v/>
      </c>
      <c r="E5470">
        <f>IF(A5470="","",6-CEILING(PERCENTRANK.INC($B$3:$B$6000,B5470,4)*5+0.000001,1))</f>
        <v/>
      </c>
      <c r="F5470">
        <f>IF(A5470="","",MAX(1,CEILING(PERCENTRANK.INC($C$3:$C$6000,C5470,4)*5+0.000001,1)))</f>
        <v/>
      </c>
      <c r="G5470">
        <f>IF(A5470="","",MAX(1,CEILING(PERCENTRANK.INC($D$3:$D$6000,D5470,4)*5+0.000001,1)))</f>
        <v/>
      </c>
      <c r="H5470">
        <f>IF(A5470="","",E5470&amp;F5470&amp;G5470)</f>
        <v/>
      </c>
      <c r="I5470">
        <f>IF(A5470="","",IF(AND(E5470&gt;=4,F5470&gt;=4,G5470&gt;=4),"Juara",IF(AND(F5470&gt;=4,E5470&gt;=3),"Setia",IF(AND(E5470=5,F5470&lt;=2,G5470&gt;=3),"Berpotensi",IF(AND(E5470&lt;=3,E5470&gt;=2,F5470&gt;=3),"Rawan",IF(AND(E5470&lt;=2,F5470&lt;=2),"Tidur","Umum"))))))</f>
        <v/>
      </c>
    </row>
    <row r="5471">
      <c r="B5471">
        <f>IF(A5471="","",$B$1-MAXIFS(Donasi!$A$2:$A$20000,Donasi!$B$2:$B$20000,A5471))</f>
        <v/>
      </c>
      <c r="C5471">
        <f>IF(A5471="","",COUNTIF(Donasi!$B$2:$B$20000,A5471))</f>
        <v/>
      </c>
      <c r="D5471">
        <f>IF(A5471="","",SUMIF(Donasi!$B$2:$B$20000,A5471,Donasi!$C$2:$C$20000))</f>
        <v/>
      </c>
      <c r="E5471">
        <f>IF(A5471="","",6-CEILING(PERCENTRANK.INC($B$3:$B$6000,B5471,4)*5+0.000001,1))</f>
        <v/>
      </c>
      <c r="F5471">
        <f>IF(A5471="","",MAX(1,CEILING(PERCENTRANK.INC($C$3:$C$6000,C5471,4)*5+0.000001,1)))</f>
        <v/>
      </c>
      <c r="G5471">
        <f>IF(A5471="","",MAX(1,CEILING(PERCENTRANK.INC($D$3:$D$6000,D5471,4)*5+0.000001,1)))</f>
        <v/>
      </c>
      <c r="H5471">
        <f>IF(A5471="","",E5471&amp;F5471&amp;G5471)</f>
        <v/>
      </c>
      <c r="I5471">
        <f>IF(A5471="","",IF(AND(E5471&gt;=4,F5471&gt;=4,G5471&gt;=4),"Juara",IF(AND(F5471&gt;=4,E5471&gt;=3),"Setia",IF(AND(E5471=5,F5471&lt;=2,G5471&gt;=3),"Berpotensi",IF(AND(E5471&lt;=3,E5471&gt;=2,F5471&gt;=3),"Rawan",IF(AND(E5471&lt;=2,F5471&lt;=2),"Tidur","Umum"))))))</f>
        <v/>
      </c>
    </row>
    <row r="5472">
      <c r="B5472">
        <f>IF(A5472="","",$B$1-MAXIFS(Donasi!$A$2:$A$20000,Donasi!$B$2:$B$20000,A5472))</f>
        <v/>
      </c>
      <c r="C5472">
        <f>IF(A5472="","",COUNTIF(Donasi!$B$2:$B$20000,A5472))</f>
        <v/>
      </c>
      <c r="D5472">
        <f>IF(A5472="","",SUMIF(Donasi!$B$2:$B$20000,A5472,Donasi!$C$2:$C$20000))</f>
        <v/>
      </c>
      <c r="E5472">
        <f>IF(A5472="","",6-CEILING(PERCENTRANK.INC($B$3:$B$6000,B5472,4)*5+0.000001,1))</f>
        <v/>
      </c>
      <c r="F5472">
        <f>IF(A5472="","",MAX(1,CEILING(PERCENTRANK.INC($C$3:$C$6000,C5472,4)*5+0.000001,1)))</f>
        <v/>
      </c>
      <c r="G5472">
        <f>IF(A5472="","",MAX(1,CEILING(PERCENTRANK.INC($D$3:$D$6000,D5472,4)*5+0.000001,1)))</f>
        <v/>
      </c>
      <c r="H5472">
        <f>IF(A5472="","",E5472&amp;F5472&amp;G5472)</f>
        <v/>
      </c>
      <c r="I5472">
        <f>IF(A5472="","",IF(AND(E5472&gt;=4,F5472&gt;=4,G5472&gt;=4),"Juara",IF(AND(F5472&gt;=4,E5472&gt;=3),"Setia",IF(AND(E5472=5,F5472&lt;=2,G5472&gt;=3),"Berpotensi",IF(AND(E5472&lt;=3,E5472&gt;=2,F5472&gt;=3),"Rawan",IF(AND(E5472&lt;=2,F5472&lt;=2),"Tidur","Umum"))))))</f>
        <v/>
      </c>
    </row>
    <row r="5473">
      <c r="B5473">
        <f>IF(A5473="","",$B$1-MAXIFS(Donasi!$A$2:$A$20000,Donasi!$B$2:$B$20000,A5473))</f>
        <v/>
      </c>
      <c r="C5473">
        <f>IF(A5473="","",COUNTIF(Donasi!$B$2:$B$20000,A5473))</f>
        <v/>
      </c>
      <c r="D5473">
        <f>IF(A5473="","",SUMIF(Donasi!$B$2:$B$20000,A5473,Donasi!$C$2:$C$20000))</f>
        <v/>
      </c>
      <c r="E5473">
        <f>IF(A5473="","",6-CEILING(PERCENTRANK.INC($B$3:$B$6000,B5473,4)*5+0.000001,1))</f>
        <v/>
      </c>
      <c r="F5473">
        <f>IF(A5473="","",MAX(1,CEILING(PERCENTRANK.INC($C$3:$C$6000,C5473,4)*5+0.000001,1)))</f>
        <v/>
      </c>
      <c r="G5473">
        <f>IF(A5473="","",MAX(1,CEILING(PERCENTRANK.INC($D$3:$D$6000,D5473,4)*5+0.000001,1)))</f>
        <v/>
      </c>
      <c r="H5473">
        <f>IF(A5473="","",E5473&amp;F5473&amp;G5473)</f>
        <v/>
      </c>
      <c r="I5473">
        <f>IF(A5473="","",IF(AND(E5473&gt;=4,F5473&gt;=4,G5473&gt;=4),"Juara",IF(AND(F5473&gt;=4,E5473&gt;=3),"Setia",IF(AND(E5473=5,F5473&lt;=2,G5473&gt;=3),"Berpotensi",IF(AND(E5473&lt;=3,E5473&gt;=2,F5473&gt;=3),"Rawan",IF(AND(E5473&lt;=2,F5473&lt;=2),"Tidur","Umum"))))))</f>
        <v/>
      </c>
    </row>
    <row r="5474">
      <c r="B5474">
        <f>IF(A5474="","",$B$1-MAXIFS(Donasi!$A$2:$A$20000,Donasi!$B$2:$B$20000,A5474))</f>
        <v/>
      </c>
      <c r="C5474">
        <f>IF(A5474="","",COUNTIF(Donasi!$B$2:$B$20000,A5474))</f>
        <v/>
      </c>
      <c r="D5474">
        <f>IF(A5474="","",SUMIF(Donasi!$B$2:$B$20000,A5474,Donasi!$C$2:$C$20000))</f>
        <v/>
      </c>
      <c r="E5474">
        <f>IF(A5474="","",6-CEILING(PERCENTRANK.INC($B$3:$B$6000,B5474,4)*5+0.000001,1))</f>
        <v/>
      </c>
      <c r="F5474">
        <f>IF(A5474="","",MAX(1,CEILING(PERCENTRANK.INC($C$3:$C$6000,C5474,4)*5+0.000001,1)))</f>
        <v/>
      </c>
      <c r="G5474">
        <f>IF(A5474="","",MAX(1,CEILING(PERCENTRANK.INC($D$3:$D$6000,D5474,4)*5+0.000001,1)))</f>
        <v/>
      </c>
      <c r="H5474">
        <f>IF(A5474="","",E5474&amp;F5474&amp;G5474)</f>
        <v/>
      </c>
      <c r="I5474">
        <f>IF(A5474="","",IF(AND(E5474&gt;=4,F5474&gt;=4,G5474&gt;=4),"Juara",IF(AND(F5474&gt;=4,E5474&gt;=3),"Setia",IF(AND(E5474=5,F5474&lt;=2,G5474&gt;=3),"Berpotensi",IF(AND(E5474&lt;=3,E5474&gt;=2,F5474&gt;=3),"Rawan",IF(AND(E5474&lt;=2,F5474&lt;=2),"Tidur","Umum"))))))</f>
        <v/>
      </c>
    </row>
    <row r="5475">
      <c r="B5475">
        <f>IF(A5475="","",$B$1-MAXIFS(Donasi!$A$2:$A$20000,Donasi!$B$2:$B$20000,A5475))</f>
        <v/>
      </c>
      <c r="C5475">
        <f>IF(A5475="","",COUNTIF(Donasi!$B$2:$B$20000,A5475))</f>
        <v/>
      </c>
      <c r="D5475">
        <f>IF(A5475="","",SUMIF(Donasi!$B$2:$B$20000,A5475,Donasi!$C$2:$C$20000))</f>
        <v/>
      </c>
      <c r="E5475">
        <f>IF(A5475="","",6-CEILING(PERCENTRANK.INC($B$3:$B$6000,B5475,4)*5+0.000001,1))</f>
        <v/>
      </c>
      <c r="F5475">
        <f>IF(A5475="","",MAX(1,CEILING(PERCENTRANK.INC($C$3:$C$6000,C5475,4)*5+0.000001,1)))</f>
        <v/>
      </c>
      <c r="G5475">
        <f>IF(A5475="","",MAX(1,CEILING(PERCENTRANK.INC($D$3:$D$6000,D5475,4)*5+0.000001,1)))</f>
        <v/>
      </c>
      <c r="H5475">
        <f>IF(A5475="","",E5475&amp;F5475&amp;G5475)</f>
        <v/>
      </c>
      <c r="I5475">
        <f>IF(A5475="","",IF(AND(E5475&gt;=4,F5475&gt;=4,G5475&gt;=4),"Juara",IF(AND(F5475&gt;=4,E5475&gt;=3),"Setia",IF(AND(E5475=5,F5475&lt;=2,G5475&gt;=3),"Berpotensi",IF(AND(E5475&lt;=3,E5475&gt;=2,F5475&gt;=3),"Rawan",IF(AND(E5475&lt;=2,F5475&lt;=2),"Tidur","Umum"))))))</f>
        <v/>
      </c>
    </row>
    <row r="5476">
      <c r="B5476">
        <f>IF(A5476="","",$B$1-MAXIFS(Donasi!$A$2:$A$20000,Donasi!$B$2:$B$20000,A5476))</f>
        <v/>
      </c>
      <c r="C5476">
        <f>IF(A5476="","",COUNTIF(Donasi!$B$2:$B$20000,A5476))</f>
        <v/>
      </c>
      <c r="D5476">
        <f>IF(A5476="","",SUMIF(Donasi!$B$2:$B$20000,A5476,Donasi!$C$2:$C$20000))</f>
        <v/>
      </c>
      <c r="E5476">
        <f>IF(A5476="","",6-CEILING(PERCENTRANK.INC($B$3:$B$6000,B5476,4)*5+0.000001,1))</f>
        <v/>
      </c>
      <c r="F5476">
        <f>IF(A5476="","",MAX(1,CEILING(PERCENTRANK.INC($C$3:$C$6000,C5476,4)*5+0.000001,1)))</f>
        <v/>
      </c>
      <c r="G5476">
        <f>IF(A5476="","",MAX(1,CEILING(PERCENTRANK.INC($D$3:$D$6000,D5476,4)*5+0.000001,1)))</f>
        <v/>
      </c>
      <c r="H5476">
        <f>IF(A5476="","",E5476&amp;F5476&amp;G5476)</f>
        <v/>
      </c>
      <c r="I5476">
        <f>IF(A5476="","",IF(AND(E5476&gt;=4,F5476&gt;=4,G5476&gt;=4),"Juara",IF(AND(F5476&gt;=4,E5476&gt;=3),"Setia",IF(AND(E5476=5,F5476&lt;=2,G5476&gt;=3),"Berpotensi",IF(AND(E5476&lt;=3,E5476&gt;=2,F5476&gt;=3),"Rawan",IF(AND(E5476&lt;=2,F5476&lt;=2),"Tidur","Umum"))))))</f>
        <v/>
      </c>
    </row>
    <row r="5477">
      <c r="B5477">
        <f>IF(A5477="","",$B$1-MAXIFS(Donasi!$A$2:$A$20000,Donasi!$B$2:$B$20000,A5477))</f>
        <v/>
      </c>
      <c r="C5477">
        <f>IF(A5477="","",COUNTIF(Donasi!$B$2:$B$20000,A5477))</f>
        <v/>
      </c>
      <c r="D5477">
        <f>IF(A5477="","",SUMIF(Donasi!$B$2:$B$20000,A5477,Donasi!$C$2:$C$20000))</f>
        <v/>
      </c>
      <c r="E5477">
        <f>IF(A5477="","",6-CEILING(PERCENTRANK.INC($B$3:$B$6000,B5477,4)*5+0.000001,1))</f>
        <v/>
      </c>
      <c r="F5477">
        <f>IF(A5477="","",MAX(1,CEILING(PERCENTRANK.INC($C$3:$C$6000,C5477,4)*5+0.000001,1)))</f>
        <v/>
      </c>
      <c r="G5477">
        <f>IF(A5477="","",MAX(1,CEILING(PERCENTRANK.INC($D$3:$D$6000,D5477,4)*5+0.000001,1)))</f>
        <v/>
      </c>
      <c r="H5477">
        <f>IF(A5477="","",E5477&amp;F5477&amp;G5477)</f>
        <v/>
      </c>
      <c r="I5477">
        <f>IF(A5477="","",IF(AND(E5477&gt;=4,F5477&gt;=4,G5477&gt;=4),"Juara",IF(AND(F5477&gt;=4,E5477&gt;=3),"Setia",IF(AND(E5477=5,F5477&lt;=2,G5477&gt;=3),"Berpotensi",IF(AND(E5477&lt;=3,E5477&gt;=2,F5477&gt;=3),"Rawan",IF(AND(E5477&lt;=2,F5477&lt;=2),"Tidur","Umum"))))))</f>
        <v/>
      </c>
    </row>
    <row r="5478">
      <c r="B5478">
        <f>IF(A5478="","",$B$1-MAXIFS(Donasi!$A$2:$A$20000,Donasi!$B$2:$B$20000,A5478))</f>
        <v/>
      </c>
      <c r="C5478">
        <f>IF(A5478="","",COUNTIF(Donasi!$B$2:$B$20000,A5478))</f>
        <v/>
      </c>
      <c r="D5478">
        <f>IF(A5478="","",SUMIF(Donasi!$B$2:$B$20000,A5478,Donasi!$C$2:$C$20000))</f>
        <v/>
      </c>
      <c r="E5478">
        <f>IF(A5478="","",6-CEILING(PERCENTRANK.INC($B$3:$B$6000,B5478,4)*5+0.000001,1))</f>
        <v/>
      </c>
      <c r="F5478">
        <f>IF(A5478="","",MAX(1,CEILING(PERCENTRANK.INC($C$3:$C$6000,C5478,4)*5+0.000001,1)))</f>
        <v/>
      </c>
      <c r="G5478">
        <f>IF(A5478="","",MAX(1,CEILING(PERCENTRANK.INC($D$3:$D$6000,D5478,4)*5+0.000001,1)))</f>
        <v/>
      </c>
      <c r="H5478">
        <f>IF(A5478="","",E5478&amp;F5478&amp;G5478)</f>
        <v/>
      </c>
      <c r="I5478">
        <f>IF(A5478="","",IF(AND(E5478&gt;=4,F5478&gt;=4,G5478&gt;=4),"Juara",IF(AND(F5478&gt;=4,E5478&gt;=3),"Setia",IF(AND(E5478=5,F5478&lt;=2,G5478&gt;=3),"Berpotensi",IF(AND(E5478&lt;=3,E5478&gt;=2,F5478&gt;=3),"Rawan",IF(AND(E5478&lt;=2,F5478&lt;=2),"Tidur","Umum"))))))</f>
        <v/>
      </c>
    </row>
    <row r="5479">
      <c r="B5479">
        <f>IF(A5479="","",$B$1-MAXIFS(Donasi!$A$2:$A$20000,Donasi!$B$2:$B$20000,A5479))</f>
        <v/>
      </c>
      <c r="C5479">
        <f>IF(A5479="","",COUNTIF(Donasi!$B$2:$B$20000,A5479))</f>
        <v/>
      </c>
      <c r="D5479">
        <f>IF(A5479="","",SUMIF(Donasi!$B$2:$B$20000,A5479,Donasi!$C$2:$C$20000))</f>
        <v/>
      </c>
      <c r="E5479">
        <f>IF(A5479="","",6-CEILING(PERCENTRANK.INC($B$3:$B$6000,B5479,4)*5+0.000001,1))</f>
        <v/>
      </c>
      <c r="F5479">
        <f>IF(A5479="","",MAX(1,CEILING(PERCENTRANK.INC($C$3:$C$6000,C5479,4)*5+0.000001,1)))</f>
        <v/>
      </c>
      <c r="G5479">
        <f>IF(A5479="","",MAX(1,CEILING(PERCENTRANK.INC($D$3:$D$6000,D5479,4)*5+0.000001,1)))</f>
        <v/>
      </c>
      <c r="H5479">
        <f>IF(A5479="","",E5479&amp;F5479&amp;G5479)</f>
        <v/>
      </c>
      <c r="I5479">
        <f>IF(A5479="","",IF(AND(E5479&gt;=4,F5479&gt;=4,G5479&gt;=4),"Juara",IF(AND(F5479&gt;=4,E5479&gt;=3),"Setia",IF(AND(E5479=5,F5479&lt;=2,G5479&gt;=3),"Berpotensi",IF(AND(E5479&lt;=3,E5479&gt;=2,F5479&gt;=3),"Rawan",IF(AND(E5479&lt;=2,F5479&lt;=2),"Tidur","Umum"))))))</f>
        <v/>
      </c>
    </row>
    <row r="5480">
      <c r="B5480">
        <f>IF(A5480="","",$B$1-MAXIFS(Donasi!$A$2:$A$20000,Donasi!$B$2:$B$20000,A5480))</f>
        <v/>
      </c>
      <c r="C5480">
        <f>IF(A5480="","",COUNTIF(Donasi!$B$2:$B$20000,A5480))</f>
        <v/>
      </c>
      <c r="D5480">
        <f>IF(A5480="","",SUMIF(Donasi!$B$2:$B$20000,A5480,Donasi!$C$2:$C$20000))</f>
        <v/>
      </c>
      <c r="E5480">
        <f>IF(A5480="","",6-CEILING(PERCENTRANK.INC($B$3:$B$6000,B5480,4)*5+0.000001,1))</f>
        <v/>
      </c>
      <c r="F5480">
        <f>IF(A5480="","",MAX(1,CEILING(PERCENTRANK.INC($C$3:$C$6000,C5480,4)*5+0.000001,1)))</f>
        <v/>
      </c>
      <c r="G5480">
        <f>IF(A5480="","",MAX(1,CEILING(PERCENTRANK.INC($D$3:$D$6000,D5480,4)*5+0.000001,1)))</f>
        <v/>
      </c>
      <c r="H5480">
        <f>IF(A5480="","",E5480&amp;F5480&amp;G5480)</f>
        <v/>
      </c>
      <c r="I5480">
        <f>IF(A5480="","",IF(AND(E5480&gt;=4,F5480&gt;=4,G5480&gt;=4),"Juara",IF(AND(F5480&gt;=4,E5480&gt;=3),"Setia",IF(AND(E5480=5,F5480&lt;=2,G5480&gt;=3),"Berpotensi",IF(AND(E5480&lt;=3,E5480&gt;=2,F5480&gt;=3),"Rawan",IF(AND(E5480&lt;=2,F5480&lt;=2),"Tidur","Umum"))))))</f>
        <v/>
      </c>
    </row>
    <row r="5481">
      <c r="B5481">
        <f>IF(A5481="","",$B$1-MAXIFS(Donasi!$A$2:$A$20000,Donasi!$B$2:$B$20000,A5481))</f>
        <v/>
      </c>
      <c r="C5481">
        <f>IF(A5481="","",COUNTIF(Donasi!$B$2:$B$20000,A5481))</f>
        <v/>
      </c>
      <c r="D5481">
        <f>IF(A5481="","",SUMIF(Donasi!$B$2:$B$20000,A5481,Donasi!$C$2:$C$20000))</f>
        <v/>
      </c>
      <c r="E5481">
        <f>IF(A5481="","",6-CEILING(PERCENTRANK.INC($B$3:$B$6000,B5481,4)*5+0.000001,1))</f>
        <v/>
      </c>
      <c r="F5481">
        <f>IF(A5481="","",MAX(1,CEILING(PERCENTRANK.INC($C$3:$C$6000,C5481,4)*5+0.000001,1)))</f>
        <v/>
      </c>
      <c r="G5481">
        <f>IF(A5481="","",MAX(1,CEILING(PERCENTRANK.INC($D$3:$D$6000,D5481,4)*5+0.000001,1)))</f>
        <v/>
      </c>
      <c r="H5481">
        <f>IF(A5481="","",E5481&amp;F5481&amp;G5481)</f>
        <v/>
      </c>
      <c r="I5481">
        <f>IF(A5481="","",IF(AND(E5481&gt;=4,F5481&gt;=4,G5481&gt;=4),"Juara",IF(AND(F5481&gt;=4,E5481&gt;=3),"Setia",IF(AND(E5481=5,F5481&lt;=2,G5481&gt;=3),"Berpotensi",IF(AND(E5481&lt;=3,E5481&gt;=2,F5481&gt;=3),"Rawan",IF(AND(E5481&lt;=2,F5481&lt;=2),"Tidur","Umum"))))))</f>
        <v/>
      </c>
    </row>
    <row r="5482">
      <c r="B5482">
        <f>IF(A5482="","",$B$1-MAXIFS(Donasi!$A$2:$A$20000,Donasi!$B$2:$B$20000,A5482))</f>
        <v/>
      </c>
      <c r="C5482">
        <f>IF(A5482="","",COUNTIF(Donasi!$B$2:$B$20000,A5482))</f>
        <v/>
      </c>
      <c r="D5482">
        <f>IF(A5482="","",SUMIF(Donasi!$B$2:$B$20000,A5482,Donasi!$C$2:$C$20000))</f>
        <v/>
      </c>
      <c r="E5482">
        <f>IF(A5482="","",6-CEILING(PERCENTRANK.INC($B$3:$B$6000,B5482,4)*5+0.000001,1))</f>
        <v/>
      </c>
      <c r="F5482">
        <f>IF(A5482="","",MAX(1,CEILING(PERCENTRANK.INC($C$3:$C$6000,C5482,4)*5+0.000001,1)))</f>
        <v/>
      </c>
      <c r="G5482">
        <f>IF(A5482="","",MAX(1,CEILING(PERCENTRANK.INC($D$3:$D$6000,D5482,4)*5+0.000001,1)))</f>
        <v/>
      </c>
      <c r="H5482">
        <f>IF(A5482="","",E5482&amp;F5482&amp;G5482)</f>
        <v/>
      </c>
      <c r="I5482">
        <f>IF(A5482="","",IF(AND(E5482&gt;=4,F5482&gt;=4,G5482&gt;=4),"Juara",IF(AND(F5482&gt;=4,E5482&gt;=3),"Setia",IF(AND(E5482=5,F5482&lt;=2,G5482&gt;=3),"Berpotensi",IF(AND(E5482&lt;=3,E5482&gt;=2,F5482&gt;=3),"Rawan",IF(AND(E5482&lt;=2,F5482&lt;=2),"Tidur","Umum"))))))</f>
        <v/>
      </c>
    </row>
    <row r="5483">
      <c r="B5483">
        <f>IF(A5483="","",$B$1-MAXIFS(Donasi!$A$2:$A$20000,Donasi!$B$2:$B$20000,A5483))</f>
        <v/>
      </c>
      <c r="C5483">
        <f>IF(A5483="","",COUNTIF(Donasi!$B$2:$B$20000,A5483))</f>
        <v/>
      </c>
      <c r="D5483">
        <f>IF(A5483="","",SUMIF(Donasi!$B$2:$B$20000,A5483,Donasi!$C$2:$C$20000))</f>
        <v/>
      </c>
      <c r="E5483">
        <f>IF(A5483="","",6-CEILING(PERCENTRANK.INC($B$3:$B$6000,B5483,4)*5+0.000001,1))</f>
        <v/>
      </c>
      <c r="F5483">
        <f>IF(A5483="","",MAX(1,CEILING(PERCENTRANK.INC($C$3:$C$6000,C5483,4)*5+0.000001,1)))</f>
        <v/>
      </c>
      <c r="G5483">
        <f>IF(A5483="","",MAX(1,CEILING(PERCENTRANK.INC($D$3:$D$6000,D5483,4)*5+0.000001,1)))</f>
        <v/>
      </c>
      <c r="H5483">
        <f>IF(A5483="","",E5483&amp;F5483&amp;G5483)</f>
        <v/>
      </c>
      <c r="I5483">
        <f>IF(A5483="","",IF(AND(E5483&gt;=4,F5483&gt;=4,G5483&gt;=4),"Juara",IF(AND(F5483&gt;=4,E5483&gt;=3),"Setia",IF(AND(E5483=5,F5483&lt;=2,G5483&gt;=3),"Berpotensi",IF(AND(E5483&lt;=3,E5483&gt;=2,F5483&gt;=3),"Rawan",IF(AND(E5483&lt;=2,F5483&lt;=2),"Tidur","Umum"))))))</f>
        <v/>
      </c>
    </row>
    <row r="5484">
      <c r="B5484">
        <f>IF(A5484="","",$B$1-MAXIFS(Donasi!$A$2:$A$20000,Donasi!$B$2:$B$20000,A5484))</f>
        <v/>
      </c>
      <c r="C5484">
        <f>IF(A5484="","",COUNTIF(Donasi!$B$2:$B$20000,A5484))</f>
        <v/>
      </c>
      <c r="D5484">
        <f>IF(A5484="","",SUMIF(Donasi!$B$2:$B$20000,A5484,Donasi!$C$2:$C$20000))</f>
        <v/>
      </c>
      <c r="E5484">
        <f>IF(A5484="","",6-CEILING(PERCENTRANK.INC($B$3:$B$6000,B5484,4)*5+0.000001,1))</f>
        <v/>
      </c>
      <c r="F5484">
        <f>IF(A5484="","",MAX(1,CEILING(PERCENTRANK.INC($C$3:$C$6000,C5484,4)*5+0.000001,1)))</f>
        <v/>
      </c>
      <c r="G5484">
        <f>IF(A5484="","",MAX(1,CEILING(PERCENTRANK.INC($D$3:$D$6000,D5484,4)*5+0.000001,1)))</f>
        <v/>
      </c>
      <c r="H5484">
        <f>IF(A5484="","",E5484&amp;F5484&amp;G5484)</f>
        <v/>
      </c>
      <c r="I5484">
        <f>IF(A5484="","",IF(AND(E5484&gt;=4,F5484&gt;=4,G5484&gt;=4),"Juara",IF(AND(F5484&gt;=4,E5484&gt;=3),"Setia",IF(AND(E5484=5,F5484&lt;=2,G5484&gt;=3),"Berpotensi",IF(AND(E5484&lt;=3,E5484&gt;=2,F5484&gt;=3),"Rawan",IF(AND(E5484&lt;=2,F5484&lt;=2),"Tidur","Umum"))))))</f>
        <v/>
      </c>
    </row>
    <row r="5485">
      <c r="B5485">
        <f>IF(A5485="","",$B$1-MAXIFS(Donasi!$A$2:$A$20000,Donasi!$B$2:$B$20000,A5485))</f>
        <v/>
      </c>
      <c r="C5485">
        <f>IF(A5485="","",COUNTIF(Donasi!$B$2:$B$20000,A5485))</f>
        <v/>
      </c>
      <c r="D5485">
        <f>IF(A5485="","",SUMIF(Donasi!$B$2:$B$20000,A5485,Donasi!$C$2:$C$20000))</f>
        <v/>
      </c>
      <c r="E5485">
        <f>IF(A5485="","",6-CEILING(PERCENTRANK.INC($B$3:$B$6000,B5485,4)*5+0.000001,1))</f>
        <v/>
      </c>
      <c r="F5485">
        <f>IF(A5485="","",MAX(1,CEILING(PERCENTRANK.INC($C$3:$C$6000,C5485,4)*5+0.000001,1)))</f>
        <v/>
      </c>
      <c r="G5485">
        <f>IF(A5485="","",MAX(1,CEILING(PERCENTRANK.INC($D$3:$D$6000,D5485,4)*5+0.000001,1)))</f>
        <v/>
      </c>
      <c r="H5485">
        <f>IF(A5485="","",E5485&amp;F5485&amp;G5485)</f>
        <v/>
      </c>
      <c r="I5485">
        <f>IF(A5485="","",IF(AND(E5485&gt;=4,F5485&gt;=4,G5485&gt;=4),"Juara",IF(AND(F5485&gt;=4,E5485&gt;=3),"Setia",IF(AND(E5485=5,F5485&lt;=2,G5485&gt;=3),"Berpotensi",IF(AND(E5485&lt;=3,E5485&gt;=2,F5485&gt;=3),"Rawan",IF(AND(E5485&lt;=2,F5485&lt;=2),"Tidur","Umum"))))))</f>
        <v/>
      </c>
    </row>
    <row r="5486">
      <c r="B5486">
        <f>IF(A5486="","",$B$1-MAXIFS(Donasi!$A$2:$A$20000,Donasi!$B$2:$B$20000,A5486))</f>
        <v/>
      </c>
      <c r="C5486">
        <f>IF(A5486="","",COUNTIF(Donasi!$B$2:$B$20000,A5486))</f>
        <v/>
      </c>
      <c r="D5486">
        <f>IF(A5486="","",SUMIF(Donasi!$B$2:$B$20000,A5486,Donasi!$C$2:$C$20000))</f>
        <v/>
      </c>
      <c r="E5486">
        <f>IF(A5486="","",6-CEILING(PERCENTRANK.INC($B$3:$B$6000,B5486,4)*5+0.000001,1))</f>
        <v/>
      </c>
      <c r="F5486">
        <f>IF(A5486="","",MAX(1,CEILING(PERCENTRANK.INC($C$3:$C$6000,C5486,4)*5+0.000001,1)))</f>
        <v/>
      </c>
      <c r="G5486">
        <f>IF(A5486="","",MAX(1,CEILING(PERCENTRANK.INC($D$3:$D$6000,D5486,4)*5+0.000001,1)))</f>
        <v/>
      </c>
      <c r="H5486">
        <f>IF(A5486="","",E5486&amp;F5486&amp;G5486)</f>
        <v/>
      </c>
      <c r="I5486">
        <f>IF(A5486="","",IF(AND(E5486&gt;=4,F5486&gt;=4,G5486&gt;=4),"Juara",IF(AND(F5486&gt;=4,E5486&gt;=3),"Setia",IF(AND(E5486=5,F5486&lt;=2,G5486&gt;=3),"Berpotensi",IF(AND(E5486&lt;=3,E5486&gt;=2,F5486&gt;=3),"Rawan",IF(AND(E5486&lt;=2,F5486&lt;=2),"Tidur","Umum"))))))</f>
        <v/>
      </c>
    </row>
    <row r="5487">
      <c r="B5487">
        <f>IF(A5487="","",$B$1-MAXIFS(Donasi!$A$2:$A$20000,Donasi!$B$2:$B$20000,A5487))</f>
        <v/>
      </c>
      <c r="C5487">
        <f>IF(A5487="","",COUNTIF(Donasi!$B$2:$B$20000,A5487))</f>
        <v/>
      </c>
      <c r="D5487">
        <f>IF(A5487="","",SUMIF(Donasi!$B$2:$B$20000,A5487,Donasi!$C$2:$C$20000))</f>
        <v/>
      </c>
      <c r="E5487">
        <f>IF(A5487="","",6-CEILING(PERCENTRANK.INC($B$3:$B$6000,B5487,4)*5+0.000001,1))</f>
        <v/>
      </c>
      <c r="F5487">
        <f>IF(A5487="","",MAX(1,CEILING(PERCENTRANK.INC($C$3:$C$6000,C5487,4)*5+0.000001,1)))</f>
        <v/>
      </c>
      <c r="G5487">
        <f>IF(A5487="","",MAX(1,CEILING(PERCENTRANK.INC($D$3:$D$6000,D5487,4)*5+0.000001,1)))</f>
        <v/>
      </c>
      <c r="H5487">
        <f>IF(A5487="","",E5487&amp;F5487&amp;G5487)</f>
        <v/>
      </c>
      <c r="I5487">
        <f>IF(A5487="","",IF(AND(E5487&gt;=4,F5487&gt;=4,G5487&gt;=4),"Juara",IF(AND(F5487&gt;=4,E5487&gt;=3),"Setia",IF(AND(E5487=5,F5487&lt;=2,G5487&gt;=3),"Berpotensi",IF(AND(E5487&lt;=3,E5487&gt;=2,F5487&gt;=3),"Rawan",IF(AND(E5487&lt;=2,F5487&lt;=2),"Tidur","Umum"))))))</f>
        <v/>
      </c>
    </row>
    <row r="5488">
      <c r="B5488">
        <f>IF(A5488="","",$B$1-MAXIFS(Donasi!$A$2:$A$20000,Donasi!$B$2:$B$20000,A5488))</f>
        <v/>
      </c>
      <c r="C5488">
        <f>IF(A5488="","",COUNTIF(Donasi!$B$2:$B$20000,A5488))</f>
        <v/>
      </c>
      <c r="D5488">
        <f>IF(A5488="","",SUMIF(Donasi!$B$2:$B$20000,A5488,Donasi!$C$2:$C$20000))</f>
        <v/>
      </c>
      <c r="E5488">
        <f>IF(A5488="","",6-CEILING(PERCENTRANK.INC($B$3:$B$6000,B5488,4)*5+0.000001,1))</f>
        <v/>
      </c>
      <c r="F5488">
        <f>IF(A5488="","",MAX(1,CEILING(PERCENTRANK.INC($C$3:$C$6000,C5488,4)*5+0.000001,1)))</f>
        <v/>
      </c>
      <c r="G5488">
        <f>IF(A5488="","",MAX(1,CEILING(PERCENTRANK.INC($D$3:$D$6000,D5488,4)*5+0.000001,1)))</f>
        <v/>
      </c>
      <c r="H5488">
        <f>IF(A5488="","",E5488&amp;F5488&amp;G5488)</f>
        <v/>
      </c>
      <c r="I5488">
        <f>IF(A5488="","",IF(AND(E5488&gt;=4,F5488&gt;=4,G5488&gt;=4),"Juara",IF(AND(F5488&gt;=4,E5488&gt;=3),"Setia",IF(AND(E5488=5,F5488&lt;=2,G5488&gt;=3),"Berpotensi",IF(AND(E5488&lt;=3,E5488&gt;=2,F5488&gt;=3),"Rawan",IF(AND(E5488&lt;=2,F5488&lt;=2),"Tidur","Umum"))))))</f>
        <v/>
      </c>
    </row>
    <row r="5489">
      <c r="B5489">
        <f>IF(A5489="","",$B$1-MAXIFS(Donasi!$A$2:$A$20000,Donasi!$B$2:$B$20000,A5489))</f>
        <v/>
      </c>
      <c r="C5489">
        <f>IF(A5489="","",COUNTIF(Donasi!$B$2:$B$20000,A5489))</f>
        <v/>
      </c>
      <c r="D5489">
        <f>IF(A5489="","",SUMIF(Donasi!$B$2:$B$20000,A5489,Donasi!$C$2:$C$20000))</f>
        <v/>
      </c>
      <c r="E5489">
        <f>IF(A5489="","",6-CEILING(PERCENTRANK.INC($B$3:$B$6000,B5489,4)*5+0.000001,1))</f>
        <v/>
      </c>
      <c r="F5489">
        <f>IF(A5489="","",MAX(1,CEILING(PERCENTRANK.INC($C$3:$C$6000,C5489,4)*5+0.000001,1)))</f>
        <v/>
      </c>
      <c r="G5489">
        <f>IF(A5489="","",MAX(1,CEILING(PERCENTRANK.INC($D$3:$D$6000,D5489,4)*5+0.000001,1)))</f>
        <v/>
      </c>
      <c r="H5489">
        <f>IF(A5489="","",E5489&amp;F5489&amp;G5489)</f>
        <v/>
      </c>
      <c r="I5489">
        <f>IF(A5489="","",IF(AND(E5489&gt;=4,F5489&gt;=4,G5489&gt;=4),"Juara",IF(AND(F5489&gt;=4,E5489&gt;=3),"Setia",IF(AND(E5489=5,F5489&lt;=2,G5489&gt;=3),"Berpotensi",IF(AND(E5489&lt;=3,E5489&gt;=2,F5489&gt;=3),"Rawan",IF(AND(E5489&lt;=2,F5489&lt;=2),"Tidur","Umum"))))))</f>
        <v/>
      </c>
    </row>
    <row r="5490">
      <c r="B5490">
        <f>IF(A5490="","",$B$1-MAXIFS(Donasi!$A$2:$A$20000,Donasi!$B$2:$B$20000,A5490))</f>
        <v/>
      </c>
      <c r="C5490">
        <f>IF(A5490="","",COUNTIF(Donasi!$B$2:$B$20000,A5490))</f>
        <v/>
      </c>
      <c r="D5490">
        <f>IF(A5490="","",SUMIF(Donasi!$B$2:$B$20000,A5490,Donasi!$C$2:$C$20000))</f>
        <v/>
      </c>
      <c r="E5490">
        <f>IF(A5490="","",6-CEILING(PERCENTRANK.INC($B$3:$B$6000,B5490,4)*5+0.000001,1))</f>
        <v/>
      </c>
      <c r="F5490">
        <f>IF(A5490="","",MAX(1,CEILING(PERCENTRANK.INC($C$3:$C$6000,C5490,4)*5+0.000001,1)))</f>
        <v/>
      </c>
      <c r="G5490">
        <f>IF(A5490="","",MAX(1,CEILING(PERCENTRANK.INC($D$3:$D$6000,D5490,4)*5+0.000001,1)))</f>
        <v/>
      </c>
      <c r="H5490">
        <f>IF(A5490="","",E5490&amp;F5490&amp;G5490)</f>
        <v/>
      </c>
      <c r="I5490">
        <f>IF(A5490="","",IF(AND(E5490&gt;=4,F5490&gt;=4,G5490&gt;=4),"Juara",IF(AND(F5490&gt;=4,E5490&gt;=3),"Setia",IF(AND(E5490=5,F5490&lt;=2,G5490&gt;=3),"Berpotensi",IF(AND(E5490&lt;=3,E5490&gt;=2,F5490&gt;=3),"Rawan",IF(AND(E5490&lt;=2,F5490&lt;=2),"Tidur","Umum"))))))</f>
        <v/>
      </c>
    </row>
    <row r="5491">
      <c r="B5491">
        <f>IF(A5491="","",$B$1-MAXIFS(Donasi!$A$2:$A$20000,Donasi!$B$2:$B$20000,A5491))</f>
        <v/>
      </c>
      <c r="C5491">
        <f>IF(A5491="","",COUNTIF(Donasi!$B$2:$B$20000,A5491))</f>
        <v/>
      </c>
      <c r="D5491">
        <f>IF(A5491="","",SUMIF(Donasi!$B$2:$B$20000,A5491,Donasi!$C$2:$C$20000))</f>
        <v/>
      </c>
      <c r="E5491">
        <f>IF(A5491="","",6-CEILING(PERCENTRANK.INC($B$3:$B$6000,B5491,4)*5+0.000001,1))</f>
        <v/>
      </c>
      <c r="F5491">
        <f>IF(A5491="","",MAX(1,CEILING(PERCENTRANK.INC($C$3:$C$6000,C5491,4)*5+0.000001,1)))</f>
        <v/>
      </c>
      <c r="G5491">
        <f>IF(A5491="","",MAX(1,CEILING(PERCENTRANK.INC($D$3:$D$6000,D5491,4)*5+0.000001,1)))</f>
        <v/>
      </c>
      <c r="H5491">
        <f>IF(A5491="","",E5491&amp;F5491&amp;G5491)</f>
        <v/>
      </c>
      <c r="I5491">
        <f>IF(A5491="","",IF(AND(E5491&gt;=4,F5491&gt;=4,G5491&gt;=4),"Juara",IF(AND(F5491&gt;=4,E5491&gt;=3),"Setia",IF(AND(E5491=5,F5491&lt;=2,G5491&gt;=3),"Berpotensi",IF(AND(E5491&lt;=3,E5491&gt;=2,F5491&gt;=3),"Rawan",IF(AND(E5491&lt;=2,F5491&lt;=2),"Tidur","Umum"))))))</f>
        <v/>
      </c>
    </row>
    <row r="5492">
      <c r="B5492">
        <f>IF(A5492="","",$B$1-MAXIFS(Donasi!$A$2:$A$20000,Donasi!$B$2:$B$20000,A5492))</f>
        <v/>
      </c>
      <c r="C5492">
        <f>IF(A5492="","",COUNTIF(Donasi!$B$2:$B$20000,A5492))</f>
        <v/>
      </c>
      <c r="D5492">
        <f>IF(A5492="","",SUMIF(Donasi!$B$2:$B$20000,A5492,Donasi!$C$2:$C$20000))</f>
        <v/>
      </c>
      <c r="E5492">
        <f>IF(A5492="","",6-CEILING(PERCENTRANK.INC($B$3:$B$6000,B5492,4)*5+0.000001,1))</f>
        <v/>
      </c>
      <c r="F5492">
        <f>IF(A5492="","",MAX(1,CEILING(PERCENTRANK.INC($C$3:$C$6000,C5492,4)*5+0.000001,1)))</f>
        <v/>
      </c>
      <c r="G5492">
        <f>IF(A5492="","",MAX(1,CEILING(PERCENTRANK.INC($D$3:$D$6000,D5492,4)*5+0.000001,1)))</f>
        <v/>
      </c>
      <c r="H5492">
        <f>IF(A5492="","",E5492&amp;F5492&amp;G5492)</f>
        <v/>
      </c>
      <c r="I5492">
        <f>IF(A5492="","",IF(AND(E5492&gt;=4,F5492&gt;=4,G5492&gt;=4),"Juara",IF(AND(F5492&gt;=4,E5492&gt;=3),"Setia",IF(AND(E5492=5,F5492&lt;=2,G5492&gt;=3),"Berpotensi",IF(AND(E5492&lt;=3,E5492&gt;=2,F5492&gt;=3),"Rawan",IF(AND(E5492&lt;=2,F5492&lt;=2),"Tidur","Umum"))))))</f>
        <v/>
      </c>
    </row>
    <row r="5493">
      <c r="B5493">
        <f>IF(A5493="","",$B$1-MAXIFS(Donasi!$A$2:$A$20000,Donasi!$B$2:$B$20000,A5493))</f>
        <v/>
      </c>
      <c r="C5493">
        <f>IF(A5493="","",COUNTIF(Donasi!$B$2:$B$20000,A5493))</f>
        <v/>
      </c>
      <c r="D5493">
        <f>IF(A5493="","",SUMIF(Donasi!$B$2:$B$20000,A5493,Donasi!$C$2:$C$20000))</f>
        <v/>
      </c>
      <c r="E5493">
        <f>IF(A5493="","",6-CEILING(PERCENTRANK.INC($B$3:$B$6000,B5493,4)*5+0.000001,1))</f>
        <v/>
      </c>
      <c r="F5493">
        <f>IF(A5493="","",MAX(1,CEILING(PERCENTRANK.INC($C$3:$C$6000,C5493,4)*5+0.000001,1)))</f>
        <v/>
      </c>
      <c r="G5493">
        <f>IF(A5493="","",MAX(1,CEILING(PERCENTRANK.INC($D$3:$D$6000,D5493,4)*5+0.000001,1)))</f>
        <v/>
      </c>
      <c r="H5493">
        <f>IF(A5493="","",E5493&amp;F5493&amp;G5493)</f>
        <v/>
      </c>
      <c r="I5493">
        <f>IF(A5493="","",IF(AND(E5493&gt;=4,F5493&gt;=4,G5493&gt;=4),"Juara",IF(AND(F5493&gt;=4,E5493&gt;=3),"Setia",IF(AND(E5493=5,F5493&lt;=2,G5493&gt;=3),"Berpotensi",IF(AND(E5493&lt;=3,E5493&gt;=2,F5493&gt;=3),"Rawan",IF(AND(E5493&lt;=2,F5493&lt;=2),"Tidur","Umum"))))))</f>
        <v/>
      </c>
    </row>
    <row r="5494">
      <c r="B5494">
        <f>IF(A5494="","",$B$1-MAXIFS(Donasi!$A$2:$A$20000,Donasi!$B$2:$B$20000,A5494))</f>
        <v/>
      </c>
      <c r="C5494">
        <f>IF(A5494="","",COUNTIF(Donasi!$B$2:$B$20000,A5494))</f>
        <v/>
      </c>
      <c r="D5494">
        <f>IF(A5494="","",SUMIF(Donasi!$B$2:$B$20000,A5494,Donasi!$C$2:$C$20000))</f>
        <v/>
      </c>
      <c r="E5494">
        <f>IF(A5494="","",6-CEILING(PERCENTRANK.INC($B$3:$B$6000,B5494,4)*5+0.000001,1))</f>
        <v/>
      </c>
      <c r="F5494">
        <f>IF(A5494="","",MAX(1,CEILING(PERCENTRANK.INC($C$3:$C$6000,C5494,4)*5+0.000001,1)))</f>
        <v/>
      </c>
      <c r="G5494">
        <f>IF(A5494="","",MAX(1,CEILING(PERCENTRANK.INC($D$3:$D$6000,D5494,4)*5+0.000001,1)))</f>
        <v/>
      </c>
      <c r="H5494">
        <f>IF(A5494="","",E5494&amp;F5494&amp;G5494)</f>
        <v/>
      </c>
      <c r="I5494">
        <f>IF(A5494="","",IF(AND(E5494&gt;=4,F5494&gt;=4,G5494&gt;=4),"Juara",IF(AND(F5494&gt;=4,E5494&gt;=3),"Setia",IF(AND(E5494=5,F5494&lt;=2,G5494&gt;=3),"Berpotensi",IF(AND(E5494&lt;=3,E5494&gt;=2,F5494&gt;=3),"Rawan",IF(AND(E5494&lt;=2,F5494&lt;=2),"Tidur","Umum"))))))</f>
        <v/>
      </c>
    </row>
    <row r="5495">
      <c r="B5495">
        <f>IF(A5495="","",$B$1-MAXIFS(Donasi!$A$2:$A$20000,Donasi!$B$2:$B$20000,A5495))</f>
        <v/>
      </c>
      <c r="C5495">
        <f>IF(A5495="","",COUNTIF(Donasi!$B$2:$B$20000,A5495))</f>
        <v/>
      </c>
      <c r="D5495">
        <f>IF(A5495="","",SUMIF(Donasi!$B$2:$B$20000,A5495,Donasi!$C$2:$C$20000))</f>
        <v/>
      </c>
      <c r="E5495">
        <f>IF(A5495="","",6-CEILING(PERCENTRANK.INC($B$3:$B$6000,B5495,4)*5+0.000001,1))</f>
        <v/>
      </c>
      <c r="F5495">
        <f>IF(A5495="","",MAX(1,CEILING(PERCENTRANK.INC($C$3:$C$6000,C5495,4)*5+0.000001,1)))</f>
        <v/>
      </c>
      <c r="G5495">
        <f>IF(A5495="","",MAX(1,CEILING(PERCENTRANK.INC($D$3:$D$6000,D5495,4)*5+0.000001,1)))</f>
        <v/>
      </c>
      <c r="H5495">
        <f>IF(A5495="","",E5495&amp;F5495&amp;G5495)</f>
        <v/>
      </c>
      <c r="I5495">
        <f>IF(A5495="","",IF(AND(E5495&gt;=4,F5495&gt;=4,G5495&gt;=4),"Juara",IF(AND(F5495&gt;=4,E5495&gt;=3),"Setia",IF(AND(E5495=5,F5495&lt;=2,G5495&gt;=3),"Berpotensi",IF(AND(E5495&lt;=3,E5495&gt;=2,F5495&gt;=3),"Rawan",IF(AND(E5495&lt;=2,F5495&lt;=2),"Tidur","Umum"))))))</f>
        <v/>
      </c>
    </row>
    <row r="5496">
      <c r="B5496">
        <f>IF(A5496="","",$B$1-MAXIFS(Donasi!$A$2:$A$20000,Donasi!$B$2:$B$20000,A5496))</f>
        <v/>
      </c>
      <c r="C5496">
        <f>IF(A5496="","",COUNTIF(Donasi!$B$2:$B$20000,A5496))</f>
        <v/>
      </c>
      <c r="D5496">
        <f>IF(A5496="","",SUMIF(Donasi!$B$2:$B$20000,A5496,Donasi!$C$2:$C$20000))</f>
        <v/>
      </c>
      <c r="E5496">
        <f>IF(A5496="","",6-CEILING(PERCENTRANK.INC($B$3:$B$6000,B5496,4)*5+0.000001,1))</f>
        <v/>
      </c>
      <c r="F5496">
        <f>IF(A5496="","",MAX(1,CEILING(PERCENTRANK.INC($C$3:$C$6000,C5496,4)*5+0.000001,1)))</f>
        <v/>
      </c>
      <c r="G5496">
        <f>IF(A5496="","",MAX(1,CEILING(PERCENTRANK.INC($D$3:$D$6000,D5496,4)*5+0.000001,1)))</f>
        <v/>
      </c>
      <c r="H5496">
        <f>IF(A5496="","",E5496&amp;F5496&amp;G5496)</f>
        <v/>
      </c>
      <c r="I5496">
        <f>IF(A5496="","",IF(AND(E5496&gt;=4,F5496&gt;=4,G5496&gt;=4),"Juara",IF(AND(F5496&gt;=4,E5496&gt;=3),"Setia",IF(AND(E5496=5,F5496&lt;=2,G5496&gt;=3),"Berpotensi",IF(AND(E5496&lt;=3,E5496&gt;=2,F5496&gt;=3),"Rawan",IF(AND(E5496&lt;=2,F5496&lt;=2),"Tidur","Umum"))))))</f>
        <v/>
      </c>
    </row>
    <row r="5497">
      <c r="B5497">
        <f>IF(A5497="","",$B$1-MAXIFS(Donasi!$A$2:$A$20000,Donasi!$B$2:$B$20000,A5497))</f>
        <v/>
      </c>
      <c r="C5497">
        <f>IF(A5497="","",COUNTIF(Donasi!$B$2:$B$20000,A5497))</f>
        <v/>
      </c>
      <c r="D5497">
        <f>IF(A5497="","",SUMIF(Donasi!$B$2:$B$20000,A5497,Donasi!$C$2:$C$20000))</f>
        <v/>
      </c>
      <c r="E5497">
        <f>IF(A5497="","",6-CEILING(PERCENTRANK.INC($B$3:$B$6000,B5497,4)*5+0.000001,1))</f>
        <v/>
      </c>
      <c r="F5497">
        <f>IF(A5497="","",MAX(1,CEILING(PERCENTRANK.INC($C$3:$C$6000,C5497,4)*5+0.000001,1)))</f>
        <v/>
      </c>
      <c r="G5497">
        <f>IF(A5497="","",MAX(1,CEILING(PERCENTRANK.INC($D$3:$D$6000,D5497,4)*5+0.000001,1)))</f>
        <v/>
      </c>
      <c r="H5497">
        <f>IF(A5497="","",E5497&amp;F5497&amp;G5497)</f>
        <v/>
      </c>
      <c r="I5497">
        <f>IF(A5497="","",IF(AND(E5497&gt;=4,F5497&gt;=4,G5497&gt;=4),"Juara",IF(AND(F5497&gt;=4,E5497&gt;=3),"Setia",IF(AND(E5497=5,F5497&lt;=2,G5497&gt;=3),"Berpotensi",IF(AND(E5497&lt;=3,E5497&gt;=2,F5497&gt;=3),"Rawan",IF(AND(E5497&lt;=2,F5497&lt;=2),"Tidur","Umum"))))))</f>
        <v/>
      </c>
    </row>
    <row r="5498">
      <c r="B5498">
        <f>IF(A5498="","",$B$1-MAXIFS(Donasi!$A$2:$A$20000,Donasi!$B$2:$B$20000,A5498))</f>
        <v/>
      </c>
      <c r="C5498">
        <f>IF(A5498="","",COUNTIF(Donasi!$B$2:$B$20000,A5498))</f>
        <v/>
      </c>
      <c r="D5498">
        <f>IF(A5498="","",SUMIF(Donasi!$B$2:$B$20000,A5498,Donasi!$C$2:$C$20000))</f>
        <v/>
      </c>
      <c r="E5498">
        <f>IF(A5498="","",6-CEILING(PERCENTRANK.INC($B$3:$B$6000,B5498,4)*5+0.000001,1))</f>
        <v/>
      </c>
      <c r="F5498">
        <f>IF(A5498="","",MAX(1,CEILING(PERCENTRANK.INC($C$3:$C$6000,C5498,4)*5+0.000001,1)))</f>
        <v/>
      </c>
      <c r="G5498">
        <f>IF(A5498="","",MAX(1,CEILING(PERCENTRANK.INC($D$3:$D$6000,D5498,4)*5+0.000001,1)))</f>
        <v/>
      </c>
      <c r="H5498">
        <f>IF(A5498="","",E5498&amp;F5498&amp;G5498)</f>
        <v/>
      </c>
      <c r="I5498">
        <f>IF(A5498="","",IF(AND(E5498&gt;=4,F5498&gt;=4,G5498&gt;=4),"Juara",IF(AND(F5498&gt;=4,E5498&gt;=3),"Setia",IF(AND(E5498=5,F5498&lt;=2,G5498&gt;=3),"Berpotensi",IF(AND(E5498&lt;=3,E5498&gt;=2,F5498&gt;=3),"Rawan",IF(AND(E5498&lt;=2,F5498&lt;=2),"Tidur","Umum"))))))</f>
        <v/>
      </c>
    </row>
    <row r="5499">
      <c r="B5499">
        <f>IF(A5499="","",$B$1-MAXIFS(Donasi!$A$2:$A$20000,Donasi!$B$2:$B$20000,A5499))</f>
        <v/>
      </c>
      <c r="C5499">
        <f>IF(A5499="","",COUNTIF(Donasi!$B$2:$B$20000,A5499))</f>
        <v/>
      </c>
      <c r="D5499">
        <f>IF(A5499="","",SUMIF(Donasi!$B$2:$B$20000,A5499,Donasi!$C$2:$C$20000))</f>
        <v/>
      </c>
      <c r="E5499">
        <f>IF(A5499="","",6-CEILING(PERCENTRANK.INC($B$3:$B$6000,B5499,4)*5+0.000001,1))</f>
        <v/>
      </c>
      <c r="F5499">
        <f>IF(A5499="","",MAX(1,CEILING(PERCENTRANK.INC($C$3:$C$6000,C5499,4)*5+0.000001,1)))</f>
        <v/>
      </c>
      <c r="G5499">
        <f>IF(A5499="","",MAX(1,CEILING(PERCENTRANK.INC($D$3:$D$6000,D5499,4)*5+0.000001,1)))</f>
        <v/>
      </c>
      <c r="H5499">
        <f>IF(A5499="","",E5499&amp;F5499&amp;G5499)</f>
        <v/>
      </c>
      <c r="I5499">
        <f>IF(A5499="","",IF(AND(E5499&gt;=4,F5499&gt;=4,G5499&gt;=4),"Juara",IF(AND(F5499&gt;=4,E5499&gt;=3),"Setia",IF(AND(E5499=5,F5499&lt;=2,G5499&gt;=3),"Berpotensi",IF(AND(E5499&lt;=3,E5499&gt;=2,F5499&gt;=3),"Rawan",IF(AND(E5499&lt;=2,F5499&lt;=2),"Tidur","Umum"))))))</f>
        <v/>
      </c>
    </row>
    <row r="5500">
      <c r="B5500">
        <f>IF(A5500="","",$B$1-MAXIFS(Donasi!$A$2:$A$20000,Donasi!$B$2:$B$20000,A5500))</f>
        <v/>
      </c>
      <c r="C5500">
        <f>IF(A5500="","",COUNTIF(Donasi!$B$2:$B$20000,A5500))</f>
        <v/>
      </c>
      <c r="D5500">
        <f>IF(A5500="","",SUMIF(Donasi!$B$2:$B$20000,A5500,Donasi!$C$2:$C$20000))</f>
        <v/>
      </c>
      <c r="E5500">
        <f>IF(A5500="","",6-CEILING(PERCENTRANK.INC($B$3:$B$6000,B5500,4)*5+0.000001,1))</f>
        <v/>
      </c>
      <c r="F5500">
        <f>IF(A5500="","",MAX(1,CEILING(PERCENTRANK.INC($C$3:$C$6000,C5500,4)*5+0.000001,1)))</f>
        <v/>
      </c>
      <c r="G5500">
        <f>IF(A5500="","",MAX(1,CEILING(PERCENTRANK.INC($D$3:$D$6000,D5500,4)*5+0.000001,1)))</f>
        <v/>
      </c>
      <c r="H5500">
        <f>IF(A5500="","",E5500&amp;F5500&amp;G5500)</f>
        <v/>
      </c>
      <c r="I5500">
        <f>IF(A5500="","",IF(AND(E5500&gt;=4,F5500&gt;=4,G5500&gt;=4),"Juara",IF(AND(F5500&gt;=4,E5500&gt;=3),"Setia",IF(AND(E5500=5,F5500&lt;=2,G5500&gt;=3),"Berpotensi",IF(AND(E5500&lt;=3,E5500&gt;=2,F5500&gt;=3),"Rawan",IF(AND(E5500&lt;=2,F5500&lt;=2),"Tidur","Umum"))))))</f>
        <v/>
      </c>
    </row>
    <row r="5501">
      <c r="B5501">
        <f>IF(A5501="","",$B$1-MAXIFS(Donasi!$A$2:$A$20000,Donasi!$B$2:$B$20000,A5501))</f>
        <v/>
      </c>
      <c r="C5501">
        <f>IF(A5501="","",COUNTIF(Donasi!$B$2:$B$20000,A5501))</f>
        <v/>
      </c>
      <c r="D5501">
        <f>IF(A5501="","",SUMIF(Donasi!$B$2:$B$20000,A5501,Donasi!$C$2:$C$20000))</f>
        <v/>
      </c>
      <c r="E5501">
        <f>IF(A5501="","",6-CEILING(PERCENTRANK.INC($B$3:$B$6000,B5501,4)*5+0.000001,1))</f>
        <v/>
      </c>
      <c r="F5501">
        <f>IF(A5501="","",MAX(1,CEILING(PERCENTRANK.INC($C$3:$C$6000,C5501,4)*5+0.000001,1)))</f>
        <v/>
      </c>
      <c r="G5501">
        <f>IF(A5501="","",MAX(1,CEILING(PERCENTRANK.INC($D$3:$D$6000,D5501,4)*5+0.000001,1)))</f>
        <v/>
      </c>
      <c r="H5501">
        <f>IF(A5501="","",E5501&amp;F5501&amp;G5501)</f>
        <v/>
      </c>
      <c r="I5501">
        <f>IF(A5501="","",IF(AND(E5501&gt;=4,F5501&gt;=4,G5501&gt;=4),"Juara",IF(AND(F5501&gt;=4,E5501&gt;=3),"Setia",IF(AND(E5501=5,F5501&lt;=2,G5501&gt;=3),"Berpotensi",IF(AND(E5501&lt;=3,E5501&gt;=2,F5501&gt;=3),"Rawan",IF(AND(E5501&lt;=2,F5501&lt;=2),"Tidur","Umum"))))))</f>
        <v/>
      </c>
    </row>
    <row r="5502">
      <c r="B5502">
        <f>IF(A5502="","",$B$1-MAXIFS(Donasi!$A$2:$A$20000,Donasi!$B$2:$B$20000,A5502))</f>
        <v/>
      </c>
      <c r="C5502">
        <f>IF(A5502="","",COUNTIF(Donasi!$B$2:$B$20000,A5502))</f>
        <v/>
      </c>
      <c r="D5502">
        <f>IF(A5502="","",SUMIF(Donasi!$B$2:$B$20000,A5502,Donasi!$C$2:$C$20000))</f>
        <v/>
      </c>
      <c r="E5502">
        <f>IF(A5502="","",6-CEILING(PERCENTRANK.INC($B$3:$B$6000,B5502,4)*5+0.000001,1))</f>
        <v/>
      </c>
      <c r="F5502">
        <f>IF(A5502="","",MAX(1,CEILING(PERCENTRANK.INC($C$3:$C$6000,C5502,4)*5+0.000001,1)))</f>
        <v/>
      </c>
      <c r="G5502">
        <f>IF(A5502="","",MAX(1,CEILING(PERCENTRANK.INC($D$3:$D$6000,D5502,4)*5+0.000001,1)))</f>
        <v/>
      </c>
      <c r="H5502">
        <f>IF(A5502="","",E5502&amp;F5502&amp;G5502)</f>
        <v/>
      </c>
      <c r="I5502">
        <f>IF(A5502="","",IF(AND(E5502&gt;=4,F5502&gt;=4,G5502&gt;=4),"Juara",IF(AND(F5502&gt;=4,E5502&gt;=3),"Setia",IF(AND(E5502=5,F5502&lt;=2,G5502&gt;=3),"Berpotensi",IF(AND(E5502&lt;=3,E5502&gt;=2,F5502&gt;=3),"Rawan",IF(AND(E5502&lt;=2,F5502&lt;=2),"Tidur","Umum"))))))</f>
        <v/>
      </c>
    </row>
    <row r="5503">
      <c r="B5503">
        <f>IF(A5503="","",$B$1-MAXIFS(Donasi!$A$2:$A$20000,Donasi!$B$2:$B$20000,A5503))</f>
        <v/>
      </c>
      <c r="C5503">
        <f>IF(A5503="","",COUNTIF(Donasi!$B$2:$B$20000,A5503))</f>
        <v/>
      </c>
      <c r="D5503">
        <f>IF(A5503="","",SUMIF(Donasi!$B$2:$B$20000,A5503,Donasi!$C$2:$C$20000))</f>
        <v/>
      </c>
      <c r="E5503">
        <f>IF(A5503="","",6-CEILING(PERCENTRANK.INC($B$3:$B$6000,B5503,4)*5+0.000001,1))</f>
        <v/>
      </c>
      <c r="F5503">
        <f>IF(A5503="","",MAX(1,CEILING(PERCENTRANK.INC($C$3:$C$6000,C5503,4)*5+0.000001,1)))</f>
        <v/>
      </c>
      <c r="G5503">
        <f>IF(A5503="","",MAX(1,CEILING(PERCENTRANK.INC($D$3:$D$6000,D5503,4)*5+0.000001,1)))</f>
        <v/>
      </c>
      <c r="H5503">
        <f>IF(A5503="","",E5503&amp;F5503&amp;G5503)</f>
        <v/>
      </c>
      <c r="I5503">
        <f>IF(A5503="","",IF(AND(E5503&gt;=4,F5503&gt;=4,G5503&gt;=4),"Juara",IF(AND(F5503&gt;=4,E5503&gt;=3),"Setia",IF(AND(E5503=5,F5503&lt;=2,G5503&gt;=3),"Berpotensi",IF(AND(E5503&lt;=3,E5503&gt;=2,F5503&gt;=3),"Rawan",IF(AND(E5503&lt;=2,F5503&lt;=2),"Tidur","Umum"))))))</f>
        <v/>
      </c>
    </row>
    <row r="5504">
      <c r="B5504">
        <f>IF(A5504="","",$B$1-MAXIFS(Donasi!$A$2:$A$20000,Donasi!$B$2:$B$20000,A5504))</f>
        <v/>
      </c>
      <c r="C5504">
        <f>IF(A5504="","",COUNTIF(Donasi!$B$2:$B$20000,A5504))</f>
        <v/>
      </c>
      <c r="D5504">
        <f>IF(A5504="","",SUMIF(Donasi!$B$2:$B$20000,A5504,Donasi!$C$2:$C$20000))</f>
        <v/>
      </c>
      <c r="E5504">
        <f>IF(A5504="","",6-CEILING(PERCENTRANK.INC($B$3:$B$6000,B5504,4)*5+0.000001,1))</f>
        <v/>
      </c>
      <c r="F5504">
        <f>IF(A5504="","",MAX(1,CEILING(PERCENTRANK.INC($C$3:$C$6000,C5504,4)*5+0.000001,1)))</f>
        <v/>
      </c>
      <c r="G5504">
        <f>IF(A5504="","",MAX(1,CEILING(PERCENTRANK.INC($D$3:$D$6000,D5504,4)*5+0.000001,1)))</f>
        <v/>
      </c>
      <c r="H5504">
        <f>IF(A5504="","",E5504&amp;F5504&amp;G5504)</f>
        <v/>
      </c>
      <c r="I5504">
        <f>IF(A5504="","",IF(AND(E5504&gt;=4,F5504&gt;=4,G5504&gt;=4),"Juara",IF(AND(F5504&gt;=4,E5504&gt;=3),"Setia",IF(AND(E5504=5,F5504&lt;=2,G5504&gt;=3),"Berpotensi",IF(AND(E5504&lt;=3,E5504&gt;=2,F5504&gt;=3),"Rawan",IF(AND(E5504&lt;=2,F5504&lt;=2),"Tidur","Umum"))))))</f>
        <v/>
      </c>
    </row>
    <row r="5505">
      <c r="B5505">
        <f>IF(A5505="","",$B$1-MAXIFS(Donasi!$A$2:$A$20000,Donasi!$B$2:$B$20000,A5505))</f>
        <v/>
      </c>
      <c r="C5505">
        <f>IF(A5505="","",COUNTIF(Donasi!$B$2:$B$20000,A5505))</f>
        <v/>
      </c>
      <c r="D5505">
        <f>IF(A5505="","",SUMIF(Donasi!$B$2:$B$20000,A5505,Donasi!$C$2:$C$20000))</f>
        <v/>
      </c>
      <c r="E5505">
        <f>IF(A5505="","",6-CEILING(PERCENTRANK.INC($B$3:$B$6000,B5505,4)*5+0.000001,1))</f>
        <v/>
      </c>
      <c r="F5505">
        <f>IF(A5505="","",MAX(1,CEILING(PERCENTRANK.INC($C$3:$C$6000,C5505,4)*5+0.000001,1)))</f>
        <v/>
      </c>
      <c r="G5505">
        <f>IF(A5505="","",MAX(1,CEILING(PERCENTRANK.INC($D$3:$D$6000,D5505,4)*5+0.000001,1)))</f>
        <v/>
      </c>
      <c r="H5505">
        <f>IF(A5505="","",E5505&amp;F5505&amp;G5505)</f>
        <v/>
      </c>
      <c r="I5505">
        <f>IF(A5505="","",IF(AND(E5505&gt;=4,F5505&gt;=4,G5505&gt;=4),"Juara",IF(AND(F5505&gt;=4,E5505&gt;=3),"Setia",IF(AND(E5505=5,F5505&lt;=2,G5505&gt;=3),"Berpotensi",IF(AND(E5505&lt;=3,E5505&gt;=2,F5505&gt;=3),"Rawan",IF(AND(E5505&lt;=2,F5505&lt;=2),"Tidur","Umum"))))))</f>
        <v/>
      </c>
    </row>
    <row r="5506">
      <c r="B5506">
        <f>IF(A5506="","",$B$1-MAXIFS(Donasi!$A$2:$A$20000,Donasi!$B$2:$B$20000,A5506))</f>
        <v/>
      </c>
      <c r="C5506">
        <f>IF(A5506="","",COUNTIF(Donasi!$B$2:$B$20000,A5506))</f>
        <v/>
      </c>
      <c r="D5506">
        <f>IF(A5506="","",SUMIF(Donasi!$B$2:$B$20000,A5506,Donasi!$C$2:$C$20000))</f>
        <v/>
      </c>
      <c r="E5506">
        <f>IF(A5506="","",6-CEILING(PERCENTRANK.INC($B$3:$B$6000,B5506,4)*5+0.000001,1))</f>
        <v/>
      </c>
      <c r="F5506">
        <f>IF(A5506="","",MAX(1,CEILING(PERCENTRANK.INC($C$3:$C$6000,C5506,4)*5+0.000001,1)))</f>
        <v/>
      </c>
      <c r="G5506">
        <f>IF(A5506="","",MAX(1,CEILING(PERCENTRANK.INC($D$3:$D$6000,D5506,4)*5+0.000001,1)))</f>
        <v/>
      </c>
      <c r="H5506">
        <f>IF(A5506="","",E5506&amp;F5506&amp;G5506)</f>
        <v/>
      </c>
      <c r="I5506">
        <f>IF(A5506="","",IF(AND(E5506&gt;=4,F5506&gt;=4,G5506&gt;=4),"Juara",IF(AND(F5506&gt;=4,E5506&gt;=3),"Setia",IF(AND(E5506=5,F5506&lt;=2,G5506&gt;=3),"Berpotensi",IF(AND(E5506&lt;=3,E5506&gt;=2,F5506&gt;=3),"Rawan",IF(AND(E5506&lt;=2,F5506&lt;=2),"Tidur","Umum"))))))</f>
        <v/>
      </c>
    </row>
    <row r="5507">
      <c r="B5507">
        <f>IF(A5507="","",$B$1-MAXIFS(Donasi!$A$2:$A$20000,Donasi!$B$2:$B$20000,A5507))</f>
        <v/>
      </c>
      <c r="C5507">
        <f>IF(A5507="","",COUNTIF(Donasi!$B$2:$B$20000,A5507))</f>
        <v/>
      </c>
      <c r="D5507">
        <f>IF(A5507="","",SUMIF(Donasi!$B$2:$B$20000,A5507,Donasi!$C$2:$C$20000))</f>
        <v/>
      </c>
      <c r="E5507">
        <f>IF(A5507="","",6-CEILING(PERCENTRANK.INC($B$3:$B$6000,B5507,4)*5+0.000001,1))</f>
        <v/>
      </c>
      <c r="F5507">
        <f>IF(A5507="","",MAX(1,CEILING(PERCENTRANK.INC($C$3:$C$6000,C5507,4)*5+0.000001,1)))</f>
        <v/>
      </c>
      <c r="G5507">
        <f>IF(A5507="","",MAX(1,CEILING(PERCENTRANK.INC($D$3:$D$6000,D5507,4)*5+0.000001,1)))</f>
        <v/>
      </c>
      <c r="H5507">
        <f>IF(A5507="","",E5507&amp;F5507&amp;G5507)</f>
        <v/>
      </c>
      <c r="I5507">
        <f>IF(A5507="","",IF(AND(E5507&gt;=4,F5507&gt;=4,G5507&gt;=4),"Juara",IF(AND(F5507&gt;=4,E5507&gt;=3),"Setia",IF(AND(E5507=5,F5507&lt;=2,G5507&gt;=3),"Berpotensi",IF(AND(E5507&lt;=3,E5507&gt;=2,F5507&gt;=3),"Rawan",IF(AND(E5507&lt;=2,F5507&lt;=2),"Tidur","Umum"))))))</f>
        <v/>
      </c>
    </row>
    <row r="5508">
      <c r="B5508">
        <f>IF(A5508="","",$B$1-MAXIFS(Donasi!$A$2:$A$20000,Donasi!$B$2:$B$20000,A5508))</f>
        <v/>
      </c>
      <c r="C5508">
        <f>IF(A5508="","",COUNTIF(Donasi!$B$2:$B$20000,A5508))</f>
        <v/>
      </c>
      <c r="D5508">
        <f>IF(A5508="","",SUMIF(Donasi!$B$2:$B$20000,A5508,Donasi!$C$2:$C$20000))</f>
        <v/>
      </c>
      <c r="E5508">
        <f>IF(A5508="","",6-CEILING(PERCENTRANK.INC($B$3:$B$6000,B5508,4)*5+0.000001,1))</f>
        <v/>
      </c>
      <c r="F5508">
        <f>IF(A5508="","",MAX(1,CEILING(PERCENTRANK.INC($C$3:$C$6000,C5508,4)*5+0.000001,1)))</f>
        <v/>
      </c>
      <c r="G5508">
        <f>IF(A5508="","",MAX(1,CEILING(PERCENTRANK.INC($D$3:$D$6000,D5508,4)*5+0.000001,1)))</f>
        <v/>
      </c>
      <c r="H5508">
        <f>IF(A5508="","",E5508&amp;F5508&amp;G5508)</f>
        <v/>
      </c>
      <c r="I5508">
        <f>IF(A5508="","",IF(AND(E5508&gt;=4,F5508&gt;=4,G5508&gt;=4),"Juara",IF(AND(F5508&gt;=4,E5508&gt;=3),"Setia",IF(AND(E5508=5,F5508&lt;=2,G5508&gt;=3),"Berpotensi",IF(AND(E5508&lt;=3,E5508&gt;=2,F5508&gt;=3),"Rawan",IF(AND(E5508&lt;=2,F5508&lt;=2),"Tidur","Umum"))))))</f>
        <v/>
      </c>
    </row>
    <row r="5509">
      <c r="B5509">
        <f>IF(A5509="","",$B$1-MAXIFS(Donasi!$A$2:$A$20000,Donasi!$B$2:$B$20000,A5509))</f>
        <v/>
      </c>
      <c r="C5509">
        <f>IF(A5509="","",COUNTIF(Donasi!$B$2:$B$20000,A5509))</f>
        <v/>
      </c>
      <c r="D5509">
        <f>IF(A5509="","",SUMIF(Donasi!$B$2:$B$20000,A5509,Donasi!$C$2:$C$20000))</f>
        <v/>
      </c>
      <c r="E5509">
        <f>IF(A5509="","",6-CEILING(PERCENTRANK.INC($B$3:$B$6000,B5509,4)*5+0.000001,1))</f>
        <v/>
      </c>
      <c r="F5509">
        <f>IF(A5509="","",MAX(1,CEILING(PERCENTRANK.INC($C$3:$C$6000,C5509,4)*5+0.000001,1)))</f>
        <v/>
      </c>
      <c r="G5509">
        <f>IF(A5509="","",MAX(1,CEILING(PERCENTRANK.INC($D$3:$D$6000,D5509,4)*5+0.000001,1)))</f>
        <v/>
      </c>
      <c r="H5509">
        <f>IF(A5509="","",E5509&amp;F5509&amp;G5509)</f>
        <v/>
      </c>
      <c r="I5509">
        <f>IF(A5509="","",IF(AND(E5509&gt;=4,F5509&gt;=4,G5509&gt;=4),"Juara",IF(AND(F5509&gt;=4,E5509&gt;=3),"Setia",IF(AND(E5509=5,F5509&lt;=2,G5509&gt;=3),"Berpotensi",IF(AND(E5509&lt;=3,E5509&gt;=2,F5509&gt;=3),"Rawan",IF(AND(E5509&lt;=2,F5509&lt;=2),"Tidur","Umum"))))))</f>
        <v/>
      </c>
    </row>
    <row r="5510">
      <c r="B5510">
        <f>IF(A5510="","",$B$1-MAXIFS(Donasi!$A$2:$A$20000,Donasi!$B$2:$B$20000,A5510))</f>
        <v/>
      </c>
      <c r="C5510">
        <f>IF(A5510="","",COUNTIF(Donasi!$B$2:$B$20000,A5510))</f>
        <v/>
      </c>
      <c r="D5510">
        <f>IF(A5510="","",SUMIF(Donasi!$B$2:$B$20000,A5510,Donasi!$C$2:$C$20000))</f>
        <v/>
      </c>
      <c r="E5510">
        <f>IF(A5510="","",6-CEILING(PERCENTRANK.INC($B$3:$B$6000,B5510,4)*5+0.000001,1))</f>
        <v/>
      </c>
      <c r="F5510">
        <f>IF(A5510="","",MAX(1,CEILING(PERCENTRANK.INC($C$3:$C$6000,C5510,4)*5+0.000001,1)))</f>
        <v/>
      </c>
      <c r="G5510">
        <f>IF(A5510="","",MAX(1,CEILING(PERCENTRANK.INC($D$3:$D$6000,D5510,4)*5+0.000001,1)))</f>
        <v/>
      </c>
      <c r="H5510">
        <f>IF(A5510="","",E5510&amp;F5510&amp;G5510)</f>
        <v/>
      </c>
      <c r="I5510">
        <f>IF(A5510="","",IF(AND(E5510&gt;=4,F5510&gt;=4,G5510&gt;=4),"Juara",IF(AND(F5510&gt;=4,E5510&gt;=3),"Setia",IF(AND(E5510=5,F5510&lt;=2,G5510&gt;=3),"Berpotensi",IF(AND(E5510&lt;=3,E5510&gt;=2,F5510&gt;=3),"Rawan",IF(AND(E5510&lt;=2,F5510&lt;=2),"Tidur","Umum"))))))</f>
        <v/>
      </c>
    </row>
    <row r="5511">
      <c r="B5511">
        <f>IF(A5511="","",$B$1-MAXIFS(Donasi!$A$2:$A$20000,Donasi!$B$2:$B$20000,A5511))</f>
        <v/>
      </c>
      <c r="C5511">
        <f>IF(A5511="","",COUNTIF(Donasi!$B$2:$B$20000,A5511))</f>
        <v/>
      </c>
      <c r="D5511">
        <f>IF(A5511="","",SUMIF(Donasi!$B$2:$B$20000,A5511,Donasi!$C$2:$C$20000))</f>
        <v/>
      </c>
      <c r="E5511">
        <f>IF(A5511="","",6-CEILING(PERCENTRANK.INC($B$3:$B$6000,B5511,4)*5+0.000001,1))</f>
        <v/>
      </c>
      <c r="F5511">
        <f>IF(A5511="","",MAX(1,CEILING(PERCENTRANK.INC($C$3:$C$6000,C5511,4)*5+0.000001,1)))</f>
        <v/>
      </c>
      <c r="G5511">
        <f>IF(A5511="","",MAX(1,CEILING(PERCENTRANK.INC($D$3:$D$6000,D5511,4)*5+0.000001,1)))</f>
        <v/>
      </c>
      <c r="H5511">
        <f>IF(A5511="","",E5511&amp;F5511&amp;G5511)</f>
        <v/>
      </c>
      <c r="I5511">
        <f>IF(A5511="","",IF(AND(E5511&gt;=4,F5511&gt;=4,G5511&gt;=4),"Juara",IF(AND(F5511&gt;=4,E5511&gt;=3),"Setia",IF(AND(E5511=5,F5511&lt;=2,G5511&gt;=3),"Berpotensi",IF(AND(E5511&lt;=3,E5511&gt;=2,F5511&gt;=3),"Rawan",IF(AND(E5511&lt;=2,F5511&lt;=2),"Tidur","Umum"))))))</f>
        <v/>
      </c>
    </row>
    <row r="5512">
      <c r="B5512">
        <f>IF(A5512="","",$B$1-MAXIFS(Donasi!$A$2:$A$20000,Donasi!$B$2:$B$20000,A5512))</f>
        <v/>
      </c>
      <c r="C5512">
        <f>IF(A5512="","",COUNTIF(Donasi!$B$2:$B$20000,A5512))</f>
        <v/>
      </c>
      <c r="D5512">
        <f>IF(A5512="","",SUMIF(Donasi!$B$2:$B$20000,A5512,Donasi!$C$2:$C$20000))</f>
        <v/>
      </c>
      <c r="E5512">
        <f>IF(A5512="","",6-CEILING(PERCENTRANK.INC($B$3:$B$6000,B5512,4)*5+0.000001,1))</f>
        <v/>
      </c>
      <c r="F5512">
        <f>IF(A5512="","",MAX(1,CEILING(PERCENTRANK.INC($C$3:$C$6000,C5512,4)*5+0.000001,1)))</f>
        <v/>
      </c>
      <c r="G5512">
        <f>IF(A5512="","",MAX(1,CEILING(PERCENTRANK.INC($D$3:$D$6000,D5512,4)*5+0.000001,1)))</f>
        <v/>
      </c>
      <c r="H5512">
        <f>IF(A5512="","",E5512&amp;F5512&amp;G5512)</f>
        <v/>
      </c>
      <c r="I5512">
        <f>IF(A5512="","",IF(AND(E5512&gt;=4,F5512&gt;=4,G5512&gt;=4),"Juara",IF(AND(F5512&gt;=4,E5512&gt;=3),"Setia",IF(AND(E5512=5,F5512&lt;=2,G5512&gt;=3),"Berpotensi",IF(AND(E5512&lt;=3,E5512&gt;=2,F5512&gt;=3),"Rawan",IF(AND(E5512&lt;=2,F5512&lt;=2),"Tidur","Umum"))))))</f>
        <v/>
      </c>
    </row>
    <row r="5513">
      <c r="B5513">
        <f>IF(A5513="","",$B$1-MAXIFS(Donasi!$A$2:$A$20000,Donasi!$B$2:$B$20000,A5513))</f>
        <v/>
      </c>
      <c r="C5513">
        <f>IF(A5513="","",COUNTIF(Donasi!$B$2:$B$20000,A5513))</f>
        <v/>
      </c>
      <c r="D5513">
        <f>IF(A5513="","",SUMIF(Donasi!$B$2:$B$20000,A5513,Donasi!$C$2:$C$20000))</f>
        <v/>
      </c>
      <c r="E5513">
        <f>IF(A5513="","",6-CEILING(PERCENTRANK.INC($B$3:$B$6000,B5513,4)*5+0.000001,1))</f>
        <v/>
      </c>
      <c r="F5513">
        <f>IF(A5513="","",MAX(1,CEILING(PERCENTRANK.INC($C$3:$C$6000,C5513,4)*5+0.000001,1)))</f>
        <v/>
      </c>
      <c r="G5513">
        <f>IF(A5513="","",MAX(1,CEILING(PERCENTRANK.INC($D$3:$D$6000,D5513,4)*5+0.000001,1)))</f>
        <v/>
      </c>
      <c r="H5513">
        <f>IF(A5513="","",E5513&amp;F5513&amp;G5513)</f>
        <v/>
      </c>
      <c r="I5513">
        <f>IF(A5513="","",IF(AND(E5513&gt;=4,F5513&gt;=4,G5513&gt;=4),"Juara",IF(AND(F5513&gt;=4,E5513&gt;=3),"Setia",IF(AND(E5513=5,F5513&lt;=2,G5513&gt;=3),"Berpotensi",IF(AND(E5513&lt;=3,E5513&gt;=2,F5513&gt;=3),"Rawan",IF(AND(E5513&lt;=2,F5513&lt;=2),"Tidur","Umum"))))))</f>
        <v/>
      </c>
    </row>
    <row r="5514">
      <c r="B5514">
        <f>IF(A5514="","",$B$1-MAXIFS(Donasi!$A$2:$A$20000,Donasi!$B$2:$B$20000,A5514))</f>
        <v/>
      </c>
      <c r="C5514">
        <f>IF(A5514="","",COUNTIF(Donasi!$B$2:$B$20000,A5514))</f>
        <v/>
      </c>
      <c r="D5514">
        <f>IF(A5514="","",SUMIF(Donasi!$B$2:$B$20000,A5514,Donasi!$C$2:$C$20000))</f>
        <v/>
      </c>
      <c r="E5514">
        <f>IF(A5514="","",6-CEILING(PERCENTRANK.INC($B$3:$B$6000,B5514,4)*5+0.000001,1))</f>
        <v/>
      </c>
      <c r="F5514">
        <f>IF(A5514="","",MAX(1,CEILING(PERCENTRANK.INC($C$3:$C$6000,C5514,4)*5+0.000001,1)))</f>
        <v/>
      </c>
      <c r="G5514">
        <f>IF(A5514="","",MAX(1,CEILING(PERCENTRANK.INC($D$3:$D$6000,D5514,4)*5+0.000001,1)))</f>
        <v/>
      </c>
      <c r="H5514">
        <f>IF(A5514="","",E5514&amp;F5514&amp;G5514)</f>
        <v/>
      </c>
      <c r="I5514">
        <f>IF(A5514="","",IF(AND(E5514&gt;=4,F5514&gt;=4,G5514&gt;=4),"Juara",IF(AND(F5514&gt;=4,E5514&gt;=3),"Setia",IF(AND(E5514=5,F5514&lt;=2,G5514&gt;=3),"Berpotensi",IF(AND(E5514&lt;=3,E5514&gt;=2,F5514&gt;=3),"Rawan",IF(AND(E5514&lt;=2,F5514&lt;=2),"Tidur","Umum"))))))</f>
        <v/>
      </c>
    </row>
    <row r="5515">
      <c r="B5515">
        <f>IF(A5515="","",$B$1-MAXIFS(Donasi!$A$2:$A$20000,Donasi!$B$2:$B$20000,A5515))</f>
        <v/>
      </c>
      <c r="C5515">
        <f>IF(A5515="","",COUNTIF(Donasi!$B$2:$B$20000,A5515))</f>
        <v/>
      </c>
      <c r="D5515">
        <f>IF(A5515="","",SUMIF(Donasi!$B$2:$B$20000,A5515,Donasi!$C$2:$C$20000))</f>
        <v/>
      </c>
      <c r="E5515">
        <f>IF(A5515="","",6-CEILING(PERCENTRANK.INC($B$3:$B$6000,B5515,4)*5+0.000001,1))</f>
        <v/>
      </c>
      <c r="F5515">
        <f>IF(A5515="","",MAX(1,CEILING(PERCENTRANK.INC($C$3:$C$6000,C5515,4)*5+0.000001,1)))</f>
        <v/>
      </c>
      <c r="G5515">
        <f>IF(A5515="","",MAX(1,CEILING(PERCENTRANK.INC($D$3:$D$6000,D5515,4)*5+0.000001,1)))</f>
        <v/>
      </c>
      <c r="H5515">
        <f>IF(A5515="","",E5515&amp;F5515&amp;G5515)</f>
        <v/>
      </c>
      <c r="I5515">
        <f>IF(A5515="","",IF(AND(E5515&gt;=4,F5515&gt;=4,G5515&gt;=4),"Juara",IF(AND(F5515&gt;=4,E5515&gt;=3),"Setia",IF(AND(E5515=5,F5515&lt;=2,G5515&gt;=3),"Berpotensi",IF(AND(E5515&lt;=3,E5515&gt;=2,F5515&gt;=3),"Rawan",IF(AND(E5515&lt;=2,F5515&lt;=2),"Tidur","Umum"))))))</f>
        <v/>
      </c>
    </row>
    <row r="5516">
      <c r="B5516">
        <f>IF(A5516="","",$B$1-MAXIFS(Donasi!$A$2:$A$20000,Donasi!$B$2:$B$20000,A5516))</f>
        <v/>
      </c>
      <c r="C5516">
        <f>IF(A5516="","",COUNTIF(Donasi!$B$2:$B$20000,A5516))</f>
        <v/>
      </c>
      <c r="D5516">
        <f>IF(A5516="","",SUMIF(Donasi!$B$2:$B$20000,A5516,Donasi!$C$2:$C$20000))</f>
        <v/>
      </c>
      <c r="E5516">
        <f>IF(A5516="","",6-CEILING(PERCENTRANK.INC($B$3:$B$6000,B5516,4)*5+0.000001,1))</f>
        <v/>
      </c>
      <c r="F5516">
        <f>IF(A5516="","",MAX(1,CEILING(PERCENTRANK.INC($C$3:$C$6000,C5516,4)*5+0.000001,1)))</f>
        <v/>
      </c>
      <c r="G5516">
        <f>IF(A5516="","",MAX(1,CEILING(PERCENTRANK.INC($D$3:$D$6000,D5516,4)*5+0.000001,1)))</f>
        <v/>
      </c>
      <c r="H5516">
        <f>IF(A5516="","",E5516&amp;F5516&amp;G5516)</f>
        <v/>
      </c>
      <c r="I5516">
        <f>IF(A5516="","",IF(AND(E5516&gt;=4,F5516&gt;=4,G5516&gt;=4),"Juara",IF(AND(F5516&gt;=4,E5516&gt;=3),"Setia",IF(AND(E5516=5,F5516&lt;=2,G5516&gt;=3),"Berpotensi",IF(AND(E5516&lt;=3,E5516&gt;=2,F5516&gt;=3),"Rawan",IF(AND(E5516&lt;=2,F5516&lt;=2),"Tidur","Umum"))))))</f>
        <v/>
      </c>
    </row>
    <row r="5517">
      <c r="B5517">
        <f>IF(A5517="","",$B$1-MAXIFS(Donasi!$A$2:$A$20000,Donasi!$B$2:$B$20000,A5517))</f>
        <v/>
      </c>
      <c r="C5517">
        <f>IF(A5517="","",COUNTIF(Donasi!$B$2:$B$20000,A5517))</f>
        <v/>
      </c>
      <c r="D5517">
        <f>IF(A5517="","",SUMIF(Donasi!$B$2:$B$20000,A5517,Donasi!$C$2:$C$20000))</f>
        <v/>
      </c>
      <c r="E5517">
        <f>IF(A5517="","",6-CEILING(PERCENTRANK.INC($B$3:$B$6000,B5517,4)*5+0.000001,1))</f>
        <v/>
      </c>
      <c r="F5517">
        <f>IF(A5517="","",MAX(1,CEILING(PERCENTRANK.INC($C$3:$C$6000,C5517,4)*5+0.000001,1)))</f>
        <v/>
      </c>
      <c r="G5517">
        <f>IF(A5517="","",MAX(1,CEILING(PERCENTRANK.INC($D$3:$D$6000,D5517,4)*5+0.000001,1)))</f>
        <v/>
      </c>
      <c r="H5517">
        <f>IF(A5517="","",E5517&amp;F5517&amp;G5517)</f>
        <v/>
      </c>
      <c r="I5517">
        <f>IF(A5517="","",IF(AND(E5517&gt;=4,F5517&gt;=4,G5517&gt;=4),"Juara",IF(AND(F5517&gt;=4,E5517&gt;=3),"Setia",IF(AND(E5517=5,F5517&lt;=2,G5517&gt;=3),"Berpotensi",IF(AND(E5517&lt;=3,E5517&gt;=2,F5517&gt;=3),"Rawan",IF(AND(E5517&lt;=2,F5517&lt;=2),"Tidur","Umum"))))))</f>
        <v/>
      </c>
    </row>
    <row r="5518">
      <c r="B5518">
        <f>IF(A5518="","",$B$1-MAXIFS(Donasi!$A$2:$A$20000,Donasi!$B$2:$B$20000,A5518))</f>
        <v/>
      </c>
      <c r="C5518">
        <f>IF(A5518="","",COUNTIF(Donasi!$B$2:$B$20000,A5518))</f>
        <v/>
      </c>
      <c r="D5518">
        <f>IF(A5518="","",SUMIF(Donasi!$B$2:$B$20000,A5518,Donasi!$C$2:$C$20000))</f>
        <v/>
      </c>
      <c r="E5518">
        <f>IF(A5518="","",6-CEILING(PERCENTRANK.INC($B$3:$B$6000,B5518,4)*5+0.000001,1))</f>
        <v/>
      </c>
      <c r="F5518">
        <f>IF(A5518="","",MAX(1,CEILING(PERCENTRANK.INC($C$3:$C$6000,C5518,4)*5+0.000001,1)))</f>
        <v/>
      </c>
      <c r="G5518">
        <f>IF(A5518="","",MAX(1,CEILING(PERCENTRANK.INC($D$3:$D$6000,D5518,4)*5+0.000001,1)))</f>
        <v/>
      </c>
      <c r="H5518">
        <f>IF(A5518="","",E5518&amp;F5518&amp;G5518)</f>
        <v/>
      </c>
      <c r="I5518">
        <f>IF(A5518="","",IF(AND(E5518&gt;=4,F5518&gt;=4,G5518&gt;=4),"Juara",IF(AND(F5518&gt;=4,E5518&gt;=3),"Setia",IF(AND(E5518=5,F5518&lt;=2,G5518&gt;=3),"Berpotensi",IF(AND(E5518&lt;=3,E5518&gt;=2,F5518&gt;=3),"Rawan",IF(AND(E5518&lt;=2,F5518&lt;=2),"Tidur","Umum"))))))</f>
        <v/>
      </c>
    </row>
    <row r="5519">
      <c r="B5519">
        <f>IF(A5519="","",$B$1-MAXIFS(Donasi!$A$2:$A$20000,Donasi!$B$2:$B$20000,A5519))</f>
        <v/>
      </c>
      <c r="C5519">
        <f>IF(A5519="","",COUNTIF(Donasi!$B$2:$B$20000,A5519))</f>
        <v/>
      </c>
      <c r="D5519">
        <f>IF(A5519="","",SUMIF(Donasi!$B$2:$B$20000,A5519,Donasi!$C$2:$C$20000))</f>
        <v/>
      </c>
      <c r="E5519">
        <f>IF(A5519="","",6-CEILING(PERCENTRANK.INC($B$3:$B$6000,B5519,4)*5+0.000001,1))</f>
        <v/>
      </c>
      <c r="F5519">
        <f>IF(A5519="","",MAX(1,CEILING(PERCENTRANK.INC($C$3:$C$6000,C5519,4)*5+0.000001,1)))</f>
        <v/>
      </c>
      <c r="G5519">
        <f>IF(A5519="","",MAX(1,CEILING(PERCENTRANK.INC($D$3:$D$6000,D5519,4)*5+0.000001,1)))</f>
        <v/>
      </c>
      <c r="H5519">
        <f>IF(A5519="","",E5519&amp;F5519&amp;G5519)</f>
        <v/>
      </c>
      <c r="I5519">
        <f>IF(A5519="","",IF(AND(E5519&gt;=4,F5519&gt;=4,G5519&gt;=4),"Juara",IF(AND(F5519&gt;=4,E5519&gt;=3),"Setia",IF(AND(E5519=5,F5519&lt;=2,G5519&gt;=3),"Berpotensi",IF(AND(E5519&lt;=3,E5519&gt;=2,F5519&gt;=3),"Rawan",IF(AND(E5519&lt;=2,F5519&lt;=2),"Tidur","Umum"))))))</f>
        <v/>
      </c>
    </row>
    <row r="5520">
      <c r="B5520">
        <f>IF(A5520="","",$B$1-MAXIFS(Donasi!$A$2:$A$20000,Donasi!$B$2:$B$20000,A5520))</f>
        <v/>
      </c>
      <c r="C5520">
        <f>IF(A5520="","",COUNTIF(Donasi!$B$2:$B$20000,A5520))</f>
        <v/>
      </c>
      <c r="D5520">
        <f>IF(A5520="","",SUMIF(Donasi!$B$2:$B$20000,A5520,Donasi!$C$2:$C$20000))</f>
        <v/>
      </c>
      <c r="E5520">
        <f>IF(A5520="","",6-CEILING(PERCENTRANK.INC($B$3:$B$6000,B5520,4)*5+0.000001,1))</f>
        <v/>
      </c>
      <c r="F5520">
        <f>IF(A5520="","",MAX(1,CEILING(PERCENTRANK.INC($C$3:$C$6000,C5520,4)*5+0.000001,1)))</f>
        <v/>
      </c>
      <c r="G5520">
        <f>IF(A5520="","",MAX(1,CEILING(PERCENTRANK.INC($D$3:$D$6000,D5520,4)*5+0.000001,1)))</f>
        <v/>
      </c>
      <c r="H5520">
        <f>IF(A5520="","",E5520&amp;F5520&amp;G5520)</f>
        <v/>
      </c>
      <c r="I5520">
        <f>IF(A5520="","",IF(AND(E5520&gt;=4,F5520&gt;=4,G5520&gt;=4),"Juara",IF(AND(F5520&gt;=4,E5520&gt;=3),"Setia",IF(AND(E5520=5,F5520&lt;=2,G5520&gt;=3),"Berpotensi",IF(AND(E5520&lt;=3,E5520&gt;=2,F5520&gt;=3),"Rawan",IF(AND(E5520&lt;=2,F5520&lt;=2),"Tidur","Umum"))))))</f>
        <v/>
      </c>
    </row>
    <row r="5521">
      <c r="B5521">
        <f>IF(A5521="","",$B$1-MAXIFS(Donasi!$A$2:$A$20000,Donasi!$B$2:$B$20000,A5521))</f>
        <v/>
      </c>
      <c r="C5521">
        <f>IF(A5521="","",COUNTIF(Donasi!$B$2:$B$20000,A5521))</f>
        <v/>
      </c>
      <c r="D5521">
        <f>IF(A5521="","",SUMIF(Donasi!$B$2:$B$20000,A5521,Donasi!$C$2:$C$20000))</f>
        <v/>
      </c>
      <c r="E5521">
        <f>IF(A5521="","",6-CEILING(PERCENTRANK.INC($B$3:$B$6000,B5521,4)*5+0.000001,1))</f>
        <v/>
      </c>
      <c r="F5521">
        <f>IF(A5521="","",MAX(1,CEILING(PERCENTRANK.INC($C$3:$C$6000,C5521,4)*5+0.000001,1)))</f>
        <v/>
      </c>
      <c r="G5521">
        <f>IF(A5521="","",MAX(1,CEILING(PERCENTRANK.INC($D$3:$D$6000,D5521,4)*5+0.000001,1)))</f>
        <v/>
      </c>
      <c r="H5521">
        <f>IF(A5521="","",E5521&amp;F5521&amp;G5521)</f>
        <v/>
      </c>
      <c r="I5521">
        <f>IF(A5521="","",IF(AND(E5521&gt;=4,F5521&gt;=4,G5521&gt;=4),"Juara",IF(AND(F5521&gt;=4,E5521&gt;=3),"Setia",IF(AND(E5521=5,F5521&lt;=2,G5521&gt;=3),"Berpotensi",IF(AND(E5521&lt;=3,E5521&gt;=2,F5521&gt;=3),"Rawan",IF(AND(E5521&lt;=2,F5521&lt;=2),"Tidur","Umum"))))))</f>
        <v/>
      </c>
    </row>
    <row r="5522">
      <c r="B5522">
        <f>IF(A5522="","",$B$1-MAXIFS(Donasi!$A$2:$A$20000,Donasi!$B$2:$B$20000,A5522))</f>
        <v/>
      </c>
      <c r="C5522">
        <f>IF(A5522="","",COUNTIF(Donasi!$B$2:$B$20000,A5522))</f>
        <v/>
      </c>
      <c r="D5522">
        <f>IF(A5522="","",SUMIF(Donasi!$B$2:$B$20000,A5522,Donasi!$C$2:$C$20000))</f>
        <v/>
      </c>
      <c r="E5522">
        <f>IF(A5522="","",6-CEILING(PERCENTRANK.INC($B$3:$B$6000,B5522,4)*5+0.000001,1))</f>
        <v/>
      </c>
      <c r="F5522">
        <f>IF(A5522="","",MAX(1,CEILING(PERCENTRANK.INC($C$3:$C$6000,C5522,4)*5+0.000001,1)))</f>
        <v/>
      </c>
      <c r="G5522">
        <f>IF(A5522="","",MAX(1,CEILING(PERCENTRANK.INC($D$3:$D$6000,D5522,4)*5+0.000001,1)))</f>
        <v/>
      </c>
      <c r="H5522">
        <f>IF(A5522="","",E5522&amp;F5522&amp;G5522)</f>
        <v/>
      </c>
      <c r="I5522">
        <f>IF(A5522="","",IF(AND(E5522&gt;=4,F5522&gt;=4,G5522&gt;=4),"Juara",IF(AND(F5522&gt;=4,E5522&gt;=3),"Setia",IF(AND(E5522=5,F5522&lt;=2,G5522&gt;=3),"Berpotensi",IF(AND(E5522&lt;=3,E5522&gt;=2,F5522&gt;=3),"Rawan",IF(AND(E5522&lt;=2,F5522&lt;=2),"Tidur","Umum"))))))</f>
        <v/>
      </c>
    </row>
    <row r="5523">
      <c r="B5523">
        <f>IF(A5523="","",$B$1-MAXIFS(Donasi!$A$2:$A$20000,Donasi!$B$2:$B$20000,A5523))</f>
        <v/>
      </c>
      <c r="C5523">
        <f>IF(A5523="","",COUNTIF(Donasi!$B$2:$B$20000,A5523))</f>
        <v/>
      </c>
      <c r="D5523">
        <f>IF(A5523="","",SUMIF(Donasi!$B$2:$B$20000,A5523,Donasi!$C$2:$C$20000))</f>
        <v/>
      </c>
      <c r="E5523">
        <f>IF(A5523="","",6-CEILING(PERCENTRANK.INC($B$3:$B$6000,B5523,4)*5+0.000001,1))</f>
        <v/>
      </c>
      <c r="F5523">
        <f>IF(A5523="","",MAX(1,CEILING(PERCENTRANK.INC($C$3:$C$6000,C5523,4)*5+0.000001,1)))</f>
        <v/>
      </c>
      <c r="G5523">
        <f>IF(A5523="","",MAX(1,CEILING(PERCENTRANK.INC($D$3:$D$6000,D5523,4)*5+0.000001,1)))</f>
        <v/>
      </c>
      <c r="H5523">
        <f>IF(A5523="","",E5523&amp;F5523&amp;G5523)</f>
        <v/>
      </c>
      <c r="I5523">
        <f>IF(A5523="","",IF(AND(E5523&gt;=4,F5523&gt;=4,G5523&gt;=4),"Juara",IF(AND(F5523&gt;=4,E5523&gt;=3),"Setia",IF(AND(E5523=5,F5523&lt;=2,G5523&gt;=3),"Berpotensi",IF(AND(E5523&lt;=3,E5523&gt;=2,F5523&gt;=3),"Rawan",IF(AND(E5523&lt;=2,F5523&lt;=2),"Tidur","Umum"))))))</f>
        <v/>
      </c>
    </row>
    <row r="5524">
      <c r="B5524">
        <f>IF(A5524="","",$B$1-MAXIFS(Donasi!$A$2:$A$20000,Donasi!$B$2:$B$20000,A5524))</f>
        <v/>
      </c>
      <c r="C5524">
        <f>IF(A5524="","",COUNTIF(Donasi!$B$2:$B$20000,A5524))</f>
        <v/>
      </c>
      <c r="D5524">
        <f>IF(A5524="","",SUMIF(Donasi!$B$2:$B$20000,A5524,Donasi!$C$2:$C$20000))</f>
        <v/>
      </c>
      <c r="E5524">
        <f>IF(A5524="","",6-CEILING(PERCENTRANK.INC($B$3:$B$6000,B5524,4)*5+0.000001,1))</f>
        <v/>
      </c>
      <c r="F5524">
        <f>IF(A5524="","",MAX(1,CEILING(PERCENTRANK.INC($C$3:$C$6000,C5524,4)*5+0.000001,1)))</f>
        <v/>
      </c>
      <c r="G5524">
        <f>IF(A5524="","",MAX(1,CEILING(PERCENTRANK.INC($D$3:$D$6000,D5524,4)*5+0.000001,1)))</f>
        <v/>
      </c>
      <c r="H5524">
        <f>IF(A5524="","",E5524&amp;F5524&amp;G5524)</f>
        <v/>
      </c>
      <c r="I5524">
        <f>IF(A5524="","",IF(AND(E5524&gt;=4,F5524&gt;=4,G5524&gt;=4),"Juara",IF(AND(F5524&gt;=4,E5524&gt;=3),"Setia",IF(AND(E5524=5,F5524&lt;=2,G5524&gt;=3),"Berpotensi",IF(AND(E5524&lt;=3,E5524&gt;=2,F5524&gt;=3),"Rawan",IF(AND(E5524&lt;=2,F5524&lt;=2),"Tidur","Umum"))))))</f>
        <v/>
      </c>
    </row>
    <row r="5525">
      <c r="B5525">
        <f>IF(A5525="","",$B$1-MAXIFS(Donasi!$A$2:$A$20000,Donasi!$B$2:$B$20000,A5525))</f>
        <v/>
      </c>
      <c r="C5525">
        <f>IF(A5525="","",COUNTIF(Donasi!$B$2:$B$20000,A5525))</f>
        <v/>
      </c>
      <c r="D5525">
        <f>IF(A5525="","",SUMIF(Donasi!$B$2:$B$20000,A5525,Donasi!$C$2:$C$20000))</f>
        <v/>
      </c>
      <c r="E5525">
        <f>IF(A5525="","",6-CEILING(PERCENTRANK.INC($B$3:$B$6000,B5525,4)*5+0.000001,1))</f>
        <v/>
      </c>
      <c r="F5525">
        <f>IF(A5525="","",MAX(1,CEILING(PERCENTRANK.INC($C$3:$C$6000,C5525,4)*5+0.000001,1)))</f>
        <v/>
      </c>
      <c r="G5525">
        <f>IF(A5525="","",MAX(1,CEILING(PERCENTRANK.INC($D$3:$D$6000,D5525,4)*5+0.000001,1)))</f>
        <v/>
      </c>
      <c r="H5525">
        <f>IF(A5525="","",E5525&amp;F5525&amp;G5525)</f>
        <v/>
      </c>
      <c r="I5525">
        <f>IF(A5525="","",IF(AND(E5525&gt;=4,F5525&gt;=4,G5525&gt;=4),"Juara",IF(AND(F5525&gt;=4,E5525&gt;=3),"Setia",IF(AND(E5525=5,F5525&lt;=2,G5525&gt;=3),"Berpotensi",IF(AND(E5525&lt;=3,E5525&gt;=2,F5525&gt;=3),"Rawan",IF(AND(E5525&lt;=2,F5525&lt;=2),"Tidur","Umum"))))))</f>
        <v/>
      </c>
    </row>
    <row r="5526">
      <c r="B5526">
        <f>IF(A5526="","",$B$1-MAXIFS(Donasi!$A$2:$A$20000,Donasi!$B$2:$B$20000,A5526))</f>
        <v/>
      </c>
      <c r="C5526">
        <f>IF(A5526="","",COUNTIF(Donasi!$B$2:$B$20000,A5526))</f>
        <v/>
      </c>
      <c r="D5526">
        <f>IF(A5526="","",SUMIF(Donasi!$B$2:$B$20000,A5526,Donasi!$C$2:$C$20000))</f>
        <v/>
      </c>
      <c r="E5526">
        <f>IF(A5526="","",6-CEILING(PERCENTRANK.INC($B$3:$B$6000,B5526,4)*5+0.000001,1))</f>
        <v/>
      </c>
      <c r="F5526">
        <f>IF(A5526="","",MAX(1,CEILING(PERCENTRANK.INC($C$3:$C$6000,C5526,4)*5+0.000001,1)))</f>
        <v/>
      </c>
      <c r="G5526">
        <f>IF(A5526="","",MAX(1,CEILING(PERCENTRANK.INC($D$3:$D$6000,D5526,4)*5+0.000001,1)))</f>
        <v/>
      </c>
      <c r="H5526">
        <f>IF(A5526="","",E5526&amp;F5526&amp;G5526)</f>
        <v/>
      </c>
      <c r="I5526">
        <f>IF(A5526="","",IF(AND(E5526&gt;=4,F5526&gt;=4,G5526&gt;=4),"Juara",IF(AND(F5526&gt;=4,E5526&gt;=3),"Setia",IF(AND(E5526=5,F5526&lt;=2,G5526&gt;=3),"Berpotensi",IF(AND(E5526&lt;=3,E5526&gt;=2,F5526&gt;=3),"Rawan",IF(AND(E5526&lt;=2,F5526&lt;=2),"Tidur","Umum"))))))</f>
        <v/>
      </c>
    </row>
    <row r="5527">
      <c r="B5527">
        <f>IF(A5527="","",$B$1-MAXIFS(Donasi!$A$2:$A$20000,Donasi!$B$2:$B$20000,A5527))</f>
        <v/>
      </c>
      <c r="C5527">
        <f>IF(A5527="","",COUNTIF(Donasi!$B$2:$B$20000,A5527))</f>
        <v/>
      </c>
      <c r="D5527">
        <f>IF(A5527="","",SUMIF(Donasi!$B$2:$B$20000,A5527,Donasi!$C$2:$C$20000))</f>
        <v/>
      </c>
      <c r="E5527">
        <f>IF(A5527="","",6-CEILING(PERCENTRANK.INC($B$3:$B$6000,B5527,4)*5+0.000001,1))</f>
        <v/>
      </c>
      <c r="F5527">
        <f>IF(A5527="","",MAX(1,CEILING(PERCENTRANK.INC($C$3:$C$6000,C5527,4)*5+0.000001,1)))</f>
        <v/>
      </c>
      <c r="G5527">
        <f>IF(A5527="","",MAX(1,CEILING(PERCENTRANK.INC($D$3:$D$6000,D5527,4)*5+0.000001,1)))</f>
        <v/>
      </c>
      <c r="H5527">
        <f>IF(A5527="","",E5527&amp;F5527&amp;G5527)</f>
        <v/>
      </c>
      <c r="I5527">
        <f>IF(A5527="","",IF(AND(E5527&gt;=4,F5527&gt;=4,G5527&gt;=4),"Juara",IF(AND(F5527&gt;=4,E5527&gt;=3),"Setia",IF(AND(E5527=5,F5527&lt;=2,G5527&gt;=3),"Berpotensi",IF(AND(E5527&lt;=3,E5527&gt;=2,F5527&gt;=3),"Rawan",IF(AND(E5527&lt;=2,F5527&lt;=2),"Tidur","Umum"))))))</f>
        <v/>
      </c>
    </row>
    <row r="5528">
      <c r="B5528">
        <f>IF(A5528="","",$B$1-MAXIFS(Donasi!$A$2:$A$20000,Donasi!$B$2:$B$20000,A5528))</f>
        <v/>
      </c>
      <c r="C5528">
        <f>IF(A5528="","",COUNTIF(Donasi!$B$2:$B$20000,A5528))</f>
        <v/>
      </c>
      <c r="D5528">
        <f>IF(A5528="","",SUMIF(Donasi!$B$2:$B$20000,A5528,Donasi!$C$2:$C$20000))</f>
        <v/>
      </c>
      <c r="E5528">
        <f>IF(A5528="","",6-CEILING(PERCENTRANK.INC($B$3:$B$6000,B5528,4)*5+0.000001,1))</f>
        <v/>
      </c>
      <c r="F5528">
        <f>IF(A5528="","",MAX(1,CEILING(PERCENTRANK.INC($C$3:$C$6000,C5528,4)*5+0.000001,1)))</f>
        <v/>
      </c>
      <c r="G5528">
        <f>IF(A5528="","",MAX(1,CEILING(PERCENTRANK.INC($D$3:$D$6000,D5528,4)*5+0.000001,1)))</f>
        <v/>
      </c>
      <c r="H5528">
        <f>IF(A5528="","",E5528&amp;F5528&amp;G5528)</f>
        <v/>
      </c>
      <c r="I5528">
        <f>IF(A5528="","",IF(AND(E5528&gt;=4,F5528&gt;=4,G5528&gt;=4),"Juara",IF(AND(F5528&gt;=4,E5528&gt;=3),"Setia",IF(AND(E5528=5,F5528&lt;=2,G5528&gt;=3),"Berpotensi",IF(AND(E5528&lt;=3,E5528&gt;=2,F5528&gt;=3),"Rawan",IF(AND(E5528&lt;=2,F5528&lt;=2),"Tidur","Umum"))))))</f>
        <v/>
      </c>
    </row>
    <row r="5529">
      <c r="B5529">
        <f>IF(A5529="","",$B$1-MAXIFS(Donasi!$A$2:$A$20000,Donasi!$B$2:$B$20000,A5529))</f>
        <v/>
      </c>
      <c r="C5529">
        <f>IF(A5529="","",COUNTIF(Donasi!$B$2:$B$20000,A5529))</f>
        <v/>
      </c>
      <c r="D5529">
        <f>IF(A5529="","",SUMIF(Donasi!$B$2:$B$20000,A5529,Donasi!$C$2:$C$20000))</f>
        <v/>
      </c>
      <c r="E5529">
        <f>IF(A5529="","",6-CEILING(PERCENTRANK.INC($B$3:$B$6000,B5529,4)*5+0.000001,1))</f>
        <v/>
      </c>
      <c r="F5529">
        <f>IF(A5529="","",MAX(1,CEILING(PERCENTRANK.INC($C$3:$C$6000,C5529,4)*5+0.000001,1)))</f>
        <v/>
      </c>
      <c r="G5529">
        <f>IF(A5529="","",MAX(1,CEILING(PERCENTRANK.INC($D$3:$D$6000,D5529,4)*5+0.000001,1)))</f>
        <v/>
      </c>
      <c r="H5529">
        <f>IF(A5529="","",E5529&amp;F5529&amp;G5529)</f>
        <v/>
      </c>
      <c r="I5529">
        <f>IF(A5529="","",IF(AND(E5529&gt;=4,F5529&gt;=4,G5529&gt;=4),"Juara",IF(AND(F5529&gt;=4,E5529&gt;=3),"Setia",IF(AND(E5529=5,F5529&lt;=2,G5529&gt;=3),"Berpotensi",IF(AND(E5529&lt;=3,E5529&gt;=2,F5529&gt;=3),"Rawan",IF(AND(E5529&lt;=2,F5529&lt;=2),"Tidur","Umum"))))))</f>
        <v/>
      </c>
    </row>
    <row r="5530">
      <c r="B5530">
        <f>IF(A5530="","",$B$1-MAXIFS(Donasi!$A$2:$A$20000,Donasi!$B$2:$B$20000,A5530))</f>
        <v/>
      </c>
      <c r="C5530">
        <f>IF(A5530="","",COUNTIF(Donasi!$B$2:$B$20000,A5530))</f>
        <v/>
      </c>
      <c r="D5530">
        <f>IF(A5530="","",SUMIF(Donasi!$B$2:$B$20000,A5530,Donasi!$C$2:$C$20000))</f>
        <v/>
      </c>
      <c r="E5530">
        <f>IF(A5530="","",6-CEILING(PERCENTRANK.INC($B$3:$B$6000,B5530,4)*5+0.000001,1))</f>
        <v/>
      </c>
      <c r="F5530">
        <f>IF(A5530="","",MAX(1,CEILING(PERCENTRANK.INC($C$3:$C$6000,C5530,4)*5+0.000001,1)))</f>
        <v/>
      </c>
      <c r="G5530">
        <f>IF(A5530="","",MAX(1,CEILING(PERCENTRANK.INC($D$3:$D$6000,D5530,4)*5+0.000001,1)))</f>
        <v/>
      </c>
      <c r="H5530">
        <f>IF(A5530="","",E5530&amp;F5530&amp;G5530)</f>
        <v/>
      </c>
      <c r="I5530">
        <f>IF(A5530="","",IF(AND(E5530&gt;=4,F5530&gt;=4,G5530&gt;=4),"Juara",IF(AND(F5530&gt;=4,E5530&gt;=3),"Setia",IF(AND(E5530=5,F5530&lt;=2,G5530&gt;=3),"Berpotensi",IF(AND(E5530&lt;=3,E5530&gt;=2,F5530&gt;=3),"Rawan",IF(AND(E5530&lt;=2,F5530&lt;=2),"Tidur","Umum"))))))</f>
        <v/>
      </c>
    </row>
    <row r="5531">
      <c r="B5531">
        <f>IF(A5531="","",$B$1-MAXIFS(Donasi!$A$2:$A$20000,Donasi!$B$2:$B$20000,A5531))</f>
        <v/>
      </c>
      <c r="C5531">
        <f>IF(A5531="","",COUNTIF(Donasi!$B$2:$B$20000,A5531))</f>
        <v/>
      </c>
      <c r="D5531">
        <f>IF(A5531="","",SUMIF(Donasi!$B$2:$B$20000,A5531,Donasi!$C$2:$C$20000))</f>
        <v/>
      </c>
      <c r="E5531">
        <f>IF(A5531="","",6-CEILING(PERCENTRANK.INC($B$3:$B$6000,B5531,4)*5+0.000001,1))</f>
        <v/>
      </c>
      <c r="F5531">
        <f>IF(A5531="","",MAX(1,CEILING(PERCENTRANK.INC($C$3:$C$6000,C5531,4)*5+0.000001,1)))</f>
        <v/>
      </c>
      <c r="G5531">
        <f>IF(A5531="","",MAX(1,CEILING(PERCENTRANK.INC($D$3:$D$6000,D5531,4)*5+0.000001,1)))</f>
        <v/>
      </c>
      <c r="H5531">
        <f>IF(A5531="","",E5531&amp;F5531&amp;G5531)</f>
        <v/>
      </c>
      <c r="I5531">
        <f>IF(A5531="","",IF(AND(E5531&gt;=4,F5531&gt;=4,G5531&gt;=4),"Juara",IF(AND(F5531&gt;=4,E5531&gt;=3),"Setia",IF(AND(E5531=5,F5531&lt;=2,G5531&gt;=3),"Berpotensi",IF(AND(E5531&lt;=3,E5531&gt;=2,F5531&gt;=3),"Rawan",IF(AND(E5531&lt;=2,F5531&lt;=2),"Tidur","Umum"))))))</f>
        <v/>
      </c>
    </row>
    <row r="5532">
      <c r="B5532">
        <f>IF(A5532="","",$B$1-MAXIFS(Donasi!$A$2:$A$20000,Donasi!$B$2:$B$20000,A5532))</f>
        <v/>
      </c>
      <c r="C5532">
        <f>IF(A5532="","",COUNTIF(Donasi!$B$2:$B$20000,A5532))</f>
        <v/>
      </c>
      <c r="D5532">
        <f>IF(A5532="","",SUMIF(Donasi!$B$2:$B$20000,A5532,Donasi!$C$2:$C$20000))</f>
        <v/>
      </c>
      <c r="E5532">
        <f>IF(A5532="","",6-CEILING(PERCENTRANK.INC($B$3:$B$6000,B5532,4)*5+0.000001,1))</f>
        <v/>
      </c>
      <c r="F5532">
        <f>IF(A5532="","",MAX(1,CEILING(PERCENTRANK.INC($C$3:$C$6000,C5532,4)*5+0.000001,1)))</f>
        <v/>
      </c>
      <c r="G5532">
        <f>IF(A5532="","",MAX(1,CEILING(PERCENTRANK.INC($D$3:$D$6000,D5532,4)*5+0.000001,1)))</f>
        <v/>
      </c>
      <c r="H5532">
        <f>IF(A5532="","",E5532&amp;F5532&amp;G5532)</f>
        <v/>
      </c>
      <c r="I5532">
        <f>IF(A5532="","",IF(AND(E5532&gt;=4,F5532&gt;=4,G5532&gt;=4),"Juara",IF(AND(F5532&gt;=4,E5532&gt;=3),"Setia",IF(AND(E5532=5,F5532&lt;=2,G5532&gt;=3),"Berpotensi",IF(AND(E5532&lt;=3,E5532&gt;=2,F5532&gt;=3),"Rawan",IF(AND(E5532&lt;=2,F5532&lt;=2),"Tidur","Umum"))))))</f>
        <v/>
      </c>
    </row>
    <row r="5533">
      <c r="B5533">
        <f>IF(A5533="","",$B$1-MAXIFS(Donasi!$A$2:$A$20000,Donasi!$B$2:$B$20000,A5533))</f>
        <v/>
      </c>
      <c r="C5533">
        <f>IF(A5533="","",COUNTIF(Donasi!$B$2:$B$20000,A5533))</f>
        <v/>
      </c>
      <c r="D5533">
        <f>IF(A5533="","",SUMIF(Donasi!$B$2:$B$20000,A5533,Donasi!$C$2:$C$20000))</f>
        <v/>
      </c>
      <c r="E5533">
        <f>IF(A5533="","",6-CEILING(PERCENTRANK.INC($B$3:$B$6000,B5533,4)*5+0.000001,1))</f>
        <v/>
      </c>
      <c r="F5533">
        <f>IF(A5533="","",MAX(1,CEILING(PERCENTRANK.INC($C$3:$C$6000,C5533,4)*5+0.000001,1)))</f>
        <v/>
      </c>
      <c r="G5533">
        <f>IF(A5533="","",MAX(1,CEILING(PERCENTRANK.INC($D$3:$D$6000,D5533,4)*5+0.000001,1)))</f>
        <v/>
      </c>
      <c r="H5533">
        <f>IF(A5533="","",E5533&amp;F5533&amp;G5533)</f>
        <v/>
      </c>
      <c r="I5533">
        <f>IF(A5533="","",IF(AND(E5533&gt;=4,F5533&gt;=4,G5533&gt;=4),"Juara",IF(AND(F5533&gt;=4,E5533&gt;=3),"Setia",IF(AND(E5533=5,F5533&lt;=2,G5533&gt;=3),"Berpotensi",IF(AND(E5533&lt;=3,E5533&gt;=2,F5533&gt;=3),"Rawan",IF(AND(E5533&lt;=2,F5533&lt;=2),"Tidur","Umum"))))))</f>
        <v/>
      </c>
    </row>
    <row r="5534">
      <c r="B5534">
        <f>IF(A5534="","",$B$1-MAXIFS(Donasi!$A$2:$A$20000,Donasi!$B$2:$B$20000,A5534))</f>
        <v/>
      </c>
      <c r="C5534">
        <f>IF(A5534="","",COUNTIF(Donasi!$B$2:$B$20000,A5534))</f>
        <v/>
      </c>
      <c r="D5534">
        <f>IF(A5534="","",SUMIF(Donasi!$B$2:$B$20000,A5534,Donasi!$C$2:$C$20000))</f>
        <v/>
      </c>
      <c r="E5534">
        <f>IF(A5534="","",6-CEILING(PERCENTRANK.INC($B$3:$B$6000,B5534,4)*5+0.000001,1))</f>
        <v/>
      </c>
      <c r="F5534">
        <f>IF(A5534="","",MAX(1,CEILING(PERCENTRANK.INC($C$3:$C$6000,C5534,4)*5+0.000001,1)))</f>
        <v/>
      </c>
      <c r="G5534">
        <f>IF(A5534="","",MAX(1,CEILING(PERCENTRANK.INC($D$3:$D$6000,D5534,4)*5+0.000001,1)))</f>
        <v/>
      </c>
      <c r="H5534">
        <f>IF(A5534="","",E5534&amp;F5534&amp;G5534)</f>
        <v/>
      </c>
      <c r="I5534">
        <f>IF(A5534="","",IF(AND(E5534&gt;=4,F5534&gt;=4,G5534&gt;=4),"Juara",IF(AND(F5534&gt;=4,E5534&gt;=3),"Setia",IF(AND(E5534=5,F5534&lt;=2,G5534&gt;=3),"Berpotensi",IF(AND(E5534&lt;=3,E5534&gt;=2,F5534&gt;=3),"Rawan",IF(AND(E5534&lt;=2,F5534&lt;=2),"Tidur","Umum"))))))</f>
        <v/>
      </c>
    </row>
    <row r="5535">
      <c r="B5535">
        <f>IF(A5535="","",$B$1-MAXIFS(Donasi!$A$2:$A$20000,Donasi!$B$2:$B$20000,A5535))</f>
        <v/>
      </c>
      <c r="C5535">
        <f>IF(A5535="","",COUNTIF(Donasi!$B$2:$B$20000,A5535))</f>
        <v/>
      </c>
      <c r="D5535">
        <f>IF(A5535="","",SUMIF(Donasi!$B$2:$B$20000,A5535,Donasi!$C$2:$C$20000))</f>
        <v/>
      </c>
      <c r="E5535">
        <f>IF(A5535="","",6-CEILING(PERCENTRANK.INC($B$3:$B$6000,B5535,4)*5+0.000001,1))</f>
        <v/>
      </c>
      <c r="F5535">
        <f>IF(A5535="","",MAX(1,CEILING(PERCENTRANK.INC($C$3:$C$6000,C5535,4)*5+0.000001,1)))</f>
        <v/>
      </c>
      <c r="G5535">
        <f>IF(A5535="","",MAX(1,CEILING(PERCENTRANK.INC($D$3:$D$6000,D5535,4)*5+0.000001,1)))</f>
        <v/>
      </c>
      <c r="H5535">
        <f>IF(A5535="","",E5535&amp;F5535&amp;G5535)</f>
        <v/>
      </c>
      <c r="I5535">
        <f>IF(A5535="","",IF(AND(E5535&gt;=4,F5535&gt;=4,G5535&gt;=4),"Juara",IF(AND(F5535&gt;=4,E5535&gt;=3),"Setia",IF(AND(E5535=5,F5535&lt;=2,G5535&gt;=3),"Berpotensi",IF(AND(E5535&lt;=3,E5535&gt;=2,F5535&gt;=3),"Rawan",IF(AND(E5535&lt;=2,F5535&lt;=2),"Tidur","Umum"))))))</f>
        <v/>
      </c>
    </row>
    <row r="5536">
      <c r="B5536">
        <f>IF(A5536="","",$B$1-MAXIFS(Donasi!$A$2:$A$20000,Donasi!$B$2:$B$20000,A5536))</f>
        <v/>
      </c>
      <c r="C5536">
        <f>IF(A5536="","",COUNTIF(Donasi!$B$2:$B$20000,A5536))</f>
        <v/>
      </c>
      <c r="D5536">
        <f>IF(A5536="","",SUMIF(Donasi!$B$2:$B$20000,A5536,Donasi!$C$2:$C$20000))</f>
        <v/>
      </c>
      <c r="E5536">
        <f>IF(A5536="","",6-CEILING(PERCENTRANK.INC($B$3:$B$6000,B5536,4)*5+0.000001,1))</f>
        <v/>
      </c>
      <c r="F5536">
        <f>IF(A5536="","",MAX(1,CEILING(PERCENTRANK.INC($C$3:$C$6000,C5536,4)*5+0.000001,1)))</f>
        <v/>
      </c>
      <c r="G5536">
        <f>IF(A5536="","",MAX(1,CEILING(PERCENTRANK.INC($D$3:$D$6000,D5536,4)*5+0.000001,1)))</f>
        <v/>
      </c>
      <c r="H5536">
        <f>IF(A5536="","",E5536&amp;F5536&amp;G5536)</f>
        <v/>
      </c>
      <c r="I5536">
        <f>IF(A5536="","",IF(AND(E5536&gt;=4,F5536&gt;=4,G5536&gt;=4),"Juara",IF(AND(F5536&gt;=4,E5536&gt;=3),"Setia",IF(AND(E5536=5,F5536&lt;=2,G5536&gt;=3),"Berpotensi",IF(AND(E5536&lt;=3,E5536&gt;=2,F5536&gt;=3),"Rawan",IF(AND(E5536&lt;=2,F5536&lt;=2),"Tidur","Umum"))))))</f>
        <v/>
      </c>
    </row>
    <row r="5537">
      <c r="B5537">
        <f>IF(A5537="","",$B$1-MAXIFS(Donasi!$A$2:$A$20000,Donasi!$B$2:$B$20000,A5537))</f>
        <v/>
      </c>
      <c r="C5537">
        <f>IF(A5537="","",COUNTIF(Donasi!$B$2:$B$20000,A5537))</f>
        <v/>
      </c>
      <c r="D5537">
        <f>IF(A5537="","",SUMIF(Donasi!$B$2:$B$20000,A5537,Donasi!$C$2:$C$20000))</f>
        <v/>
      </c>
      <c r="E5537">
        <f>IF(A5537="","",6-CEILING(PERCENTRANK.INC($B$3:$B$6000,B5537,4)*5+0.000001,1))</f>
        <v/>
      </c>
      <c r="F5537">
        <f>IF(A5537="","",MAX(1,CEILING(PERCENTRANK.INC($C$3:$C$6000,C5537,4)*5+0.000001,1)))</f>
        <v/>
      </c>
      <c r="G5537">
        <f>IF(A5537="","",MAX(1,CEILING(PERCENTRANK.INC($D$3:$D$6000,D5537,4)*5+0.000001,1)))</f>
        <v/>
      </c>
      <c r="H5537">
        <f>IF(A5537="","",E5537&amp;F5537&amp;G5537)</f>
        <v/>
      </c>
      <c r="I5537">
        <f>IF(A5537="","",IF(AND(E5537&gt;=4,F5537&gt;=4,G5537&gt;=4),"Juara",IF(AND(F5537&gt;=4,E5537&gt;=3),"Setia",IF(AND(E5537=5,F5537&lt;=2,G5537&gt;=3),"Berpotensi",IF(AND(E5537&lt;=3,E5537&gt;=2,F5537&gt;=3),"Rawan",IF(AND(E5537&lt;=2,F5537&lt;=2),"Tidur","Umum"))))))</f>
        <v/>
      </c>
    </row>
    <row r="5538">
      <c r="B5538">
        <f>IF(A5538="","",$B$1-MAXIFS(Donasi!$A$2:$A$20000,Donasi!$B$2:$B$20000,A5538))</f>
        <v/>
      </c>
      <c r="C5538">
        <f>IF(A5538="","",COUNTIF(Donasi!$B$2:$B$20000,A5538))</f>
        <v/>
      </c>
      <c r="D5538">
        <f>IF(A5538="","",SUMIF(Donasi!$B$2:$B$20000,A5538,Donasi!$C$2:$C$20000))</f>
        <v/>
      </c>
      <c r="E5538">
        <f>IF(A5538="","",6-CEILING(PERCENTRANK.INC($B$3:$B$6000,B5538,4)*5+0.000001,1))</f>
        <v/>
      </c>
      <c r="F5538">
        <f>IF(A5538="","",MAX(1,CEILING(PERCENTRANK.INC($C$3:$C$6000,C5538,4)*5+0.000001,1)))</f>
        <v/>
      </c>
      <c r="G5538">
        <f>IF(A5538="","",MAX(1,CEILING(PERCENTRANK.INC($D$3:$D$6000,D5538,4)*5+0.000001,1)))</f>
        <v/>
      </c>
      <c r="H5538">
        <f>IF(A5538="","",E5538&amp;F5538&amp;G5538)</f>
        <v/>
      </c>
      <c r="I5538">
        <f>IF(A5538="","",IF(AND(E5538&gt;=4,F5538&gt;=4,G5538&gt;=4),"Juara",IF(AND(F5538&gt;=4,E5538&gt;=3),"Setia",IF(AND(E5538=5,F5538&lt;=2,G5538&gt;=3),"Berpotensi",IF(AND(E5538&lt;=3,E5538&gt;=2,F5538&gt;=3),"Rawan",IF(AND(E5538&lt;=2,F5538&lt;=2),"Tidur","Umum"))))))</f>
        <v/>
      </c>
    </row>
    <row r="5539">
      <c r="B5539">
        <f>IF(A5539="","",$B$1-MAXIFS(Donasi!$A$2:$A$20000,Donasi!$B$2:$B$20000,A5539))</f>
        <v/>
      </c>
      <c r="C5539">
        <f>IF(A5539="","",COUNTIF(Donasi!$B$2:$B$20000,A5539))</f>
        <v/>
      </c>
      <c r="D5539">
        <f>IF(A5539="","",SUMIF(Donasi!$B$2:$B$20000,A5539,Donasi!$C$2:$C$20000))</f>
        <v/>
      </c>
      <c r="E5539">
        <f>IF(A5539="","",6-CEILING(PERCENTRANK.INC($B$3:$B$6000,B5539,4)*5+0.000001,1))</f>
        <v/>
      </c>
      <c r="F5539">
        <f>IF(A5539="","",MAX(1,CEILING(PERCENTRANK.INC($C$3:$C$6000,C5539,4)*5+0.000001,1)))</f>
        <v/>
      </c>
      <c r="G5539">
        <f>IF(A5539="","",MAX(1,CEILING(PERCENTRANK.INC($D$3:$D$6000,D5539,4)*5+0.000001,1)))</f>
        <v/>
      </c>
      <c r="H5539">
        <f>IF(A5539="","",E5539&amp;F5539&amp;G5539)</f>
        <v/>
      </c>
      <c r="I5539">
        <f>IF(A5539="","",IF(AND(E5539&gt;=4,F5539&gt;=4,G5539&gt;=4),"Juara",IF(AND(F5539&gt;=4,E5539&gt;=3),"Setia",IF(AND(E5539=5,F5539&lt;=2,G5539&gt;=3),"Berpotensi",IF(AND(E5539&lt;=3,E5539&gt;=2,F5539&gt;=3),"Rawan",IF(AND(E5539&lt;=2,F5539&lt;=2),"Tidur","Umum"))))))</f>
        <v/>
      </c>
    </row>
    <row r="5540">
      <c r="B5540">
        <f>IF(A5540="","",$B$1-MAXIFS(Donasi!$A$2:$A$20000,Donasi!$B$2:$B$20000,A5540))</f>
        <v/>
      </c>
      <c r="C5540">
        <f>IF(A5540="","",COUNTIF(Donasi!$B$2:$B$20000,A5540))</f>
        <v/>
      </c>
      <c r="D5540">
        <f>IF(A5540="","",SUMIF(Donasi!$B$2:$B$20000,A5540,Donasi!$C$2:$C$20000))</f>
        <v/>
      </c>
      <c r="E5540">
        <f>IF(A5540="","",6-CEILING(PERCENTRANK.INC($B$3:$B$6000,B5540,4)*5+0.000001,1))</f>
        <v/>
      </c>
      <c r="F5540">
        <f>IF(A5540="","",MAX(1,CEILING(PERCENTRANK.INC($C$3:$C$6000,C5540,4)*5+0.000001,1)))</f>
        <v/>
      </c>
      <c r="G5540">
        <f>IF(A5540="","",MAX(1,CEILING(PERCENTRANK.INC($D$3:$D$6000,D5540,4)*5+0.000001,1)))</f>
        <v/>
      </c>
      <c r="H5540">
        <f>IF(A5540="","",E5540&amp;F5540&amp;G5540)</f>
        <v/>
      </c>
      <c r="I5540">
        <f>IF(A5540="","",IF(AND(E5540&gt;=4,F5540&gt;=4,G5540&gt;=4),"Juara",IF(AND(F5540&gt;=4,E5540&gt;=3),"Setia",IF(AND(E5540=5,F5540&lt;=2,G5540&gt;=3),"Berpotensi",IF(AND(E5540&lt;=3,E5540&gt;=2,F5540&gt;=3),"Rawan",IF(AND(E5540&lt;=2,F5540&lt;=2),"Tidur","Umum"))))))</f>
        <v/>
      </c>
    </row>
    <row r="5541">
      <c r="B5541">
        <f>IF(A5541="","",$B$1-MAXIFS(Donasi!$A$2:$A$20000,Donasi!$B$2:$B$20000,A5541))</f>
        <v/>
      </c>
      <c r="C5541">
        <f>IF(A5541="","",COUNTIF(Donasi!$B$2:$B$20000,A5541))</f>
        <v/>
      </c>
      <c r="D5541">
        <f>IF(A5541="","",SUMIF(Donasi!$B$2:$B$20000,A5541,Donasi!$C$2:$C$20000))</f>
        <v/>
      </c>
      <c r="E5541">
        <f>IF(A5541="","",6-CEILING(PERCENTRANK.INC($B$3:$B$6000,B5541,4)*5+0.000001,1))</f>
        <v/>
      </c>
      <c r="F5541">
        <f>IF(A5541="","",MAX(1,CEILING(PERCENTRANK.INC($C$3:$C$6000,C5541,4)*5+0.000001,1)))</f>
        <v/>
      </c>
      <c r="G5541">
        <f>IF(A5541="","",MAX(1,CEILING(PERCENTRANK.INC($D$3:$D$6000,D5541,4)*5+0.000001,1)))</f>
        <v/>
      </c>
      <c r="H5541">
        <f>IF(A5541="","",E5541&amp;F5541&amp;G5541)</f>
        <v/>
      </c>
      <c r="I5541">
        <f>IF(A5541="","",IF(AND(E5541&gt;=4,F5541&gt;=4,G5541&gt;=4),"Juara",IF(AND(F5541&gt;=4,E5541&gt;=3),"Setia",IF(AND(E5541=5,F5541&lt;=2,G5541&gt;=3),"Berpotensi",IF(AND(E5541&lt;=3,E5541&gt;=2,F5541&gt;=3),"Rawan",IF(AND(E5541&lt;=2,F5541&lt;=2),"Tidur","Umum"))))))</f>
        <v/>
      </c>
    </row>
    <row r="5542">
      <c r="B5542">
        <f>IF(A5542="","",$B$1-MAXIFS(Donasi!$A$2:$A$20000,Donasi!$B$2:$B$20000,A5542))</f>
        <v/>
      </c>
      <c r="C5542">
        <f>IF(A5542="","",COUNTIF(Donasi!$B$2:$B$20000,A5542))</f>
        <v/>
      </c>
      <c r="D5542">
        <f>IF(A5542="","",SUMIF(Donasi!$B$2:$B$20000,A5542,Donasi!$C$2:$C$20000))</f>
        <v/>
      </c>
      <c r="E5542">
        <f>IF(A5542="","",6-CEILING(PERCENTRANK.INC($B$3:$B$6000,B5542,4)*5+0.000001,1))</f>
        <v/>
      </c>
      <c r="F5542">
        <f>IF(A5542="","",MAX(1,CEILING(PERCENTRANK.INC($C$3:$C$6000,C5542,4)*5+0.000001,1)))</f>
        <v/>
      </c>
      <c r="G5542">
        <f>IF(A5542="","",MAX(1,CEILING(PERCENTRANK.INC($D$3:$D$6000,D5542,4)*5+0.000001,1)))</f>
        <v/>
      </c>
      <c r="H5542">
        <f>IF(A5542="","",E5542&amp;F5542&amp;G5542)</f>
        <v/>
      </c>
      <c r="I5542">
        <f>IF(A5542="","",IF(AND(E5542&gt;=4,F5542&gt;=4,G5542&gt;=4),"Juara",IF(AND(F5542&gt;=4,E5542&gt;=3),"Setia",IF(AND(E5542=5,F5542&lt;=2,G5542&gt;=3),"Berpotensi",IF(AND(E5542&lt;=3,E5542&gt;=2,F5542&gt;=3),"Rawan",IF(AND(E5542&lt;=2,F5542&lt;=2),"Tidur","Umum"))))))</f>
        <v/>
      </c>
    </row>
    <row r="5543">
      <c r="B5543">
        <f>IF(A5543="","",$B$1-MAXIFS(Donasi!$A$2:$A$20000,Donasi!$B$2:$B$20000,A5543))</f>
        <v/>
      </c>
      <c r="C5543">
        <f>IF(A5543="","",COUNTIF(Donasi!$B$2:$B$20000,A5543))</f>
        <v/>
      </c>
      <c r="D5543">
        <f>IF(A5543="","",SUMIF(Donasi!$B$2:$B$20000,A5543,Donasi!$C$2:$C$20000))</f>
        <v/>
      </c>
      <c r="E5543">
        <f>IF(A5543="","",6-CEILING(PERCENTRANK.INC($B$3:$B$6000,B5543,4)*5+0.000001,1))</f>
        <v/>
      </c>
      <c r="F5543">
        <f>IF(A5543="","",MAX(1,CEILING(PERCENTRANK.INC($C$3:$C$6000,C5543,4)*5+0.000001,1)))</f>
        <v/>
      </c>
      <c r="G5543">
        <f>IF(A5543="","",MAX(1,CEILING(PERCENTRANK.INC($D$3:$D$6000,D5543,4)*5+0.000001,1)))</f>
        <v/>
      </c>
      <c r="H5543">
        <f>IF(A5543="","",E5543&amp;F5543&amp;G5543)</f>
        <v/>
      </c>
      <c r="I5543">
        <f>IF(A5543="","",IF(AND(E5543&gt;=4,F5543&gt;=4,G5543&gt;=4),"Juara",IF(AND(F5543&gt;=4,E5543&gt;=3),"Setia",IF(AND(E5543=5,F5543&lt;=2,G5543&gt;=3),"Berpotensi",IF(AND(E5543&lt;=3,E5543&gt;=2,F5543&gt;=3),"Rawan",IF(AND(E5543&lt;=2,F5543&lt;=2),"Tidur","Umum"))))))</f>
        <v/>
      </c>
    </row>
    <row r="5544">
      <c r="B5544">
        <f>IF(A5544="","",$B$1-MAXIFS(Donasi!$A$2:$A$20000,Donasi!$B$2:$B$20000,A5544))</f>
        <v/>
      </c>
      <c r="C5544">
        <f>IF(A5544="","",COUNTIF(Donasi!$B$2:$B$20000,A5544))</f>
        <v/>
      </c>
      <c r="D5544">
        <f>IF(A5544="","",SUMIF(Donasi!$B$2:$B$20000,A5544,Donasi!$C$2:$C$20000))</f>
        <v/>
      </c>
      <c r="E5544">
        <f>IF(A5544="","",6-CEILING(PERCENTRANK.INC($B$3:$B$6000,B5544,4)*5+0.000001,1))</f>
        <v/>
      </c>
      <c r="F5544">
        <f>IF(A5544="","",MAX(1,CEILING(PERCENTRANK.INC($C$3:$C$6000,C5544,4)*5+0.000001,1)))</f>
        <v/>
      </c>
      <c r="G5544">
        <f>IF(A5544="","",MAX(1,CEILING(PERCENTRANK.INC($D$3:$D$6000,D5544,4)*5+0.000001,1)))</f>
        <v/>
      </c>
      <c r="H5544">
        <f>IF(A5544="","",E5544&amp;F5544&amp;G5544)</f>
        <v/>
      </c>
      <c r="I5544">
        <f>IF(A5544="","",IF(AND(E5544&gt;=4,F5544&gt;=4,G5544&gt;=4),"Juara",IF(AND(F5544&gt;=4,E5544&gt;=3),"Setia",IF(AND(E5544=5,F5544&lt;=2,G5544&gt;=3),"Berpotensi",IF(AND(E5544&lt;=3,E5544&gt;=2,F5544&gt;=3),"Rawan",IF(AND(E5544&lt;=2,F5544&lt;=2),"Tidur","Umum"))))))</f>
        <v/>
      </c>
    </row>
    <row r="5545">
      <c r="B5545">
        <f>IF(A5545="","",$B$1-MAXIFS(Donasi!$A$2:$A$20000,Donasi!$B$2:$B$20000,A5545))</f>
        <v/>
      </c>
      <c r="C5545">
        <f>IF(A5545="","",COUNTIF(Donasi!$B$2:$B$20000,A5545))</f>
        <v/>
      </c>
      <c r="D5545">
        <f>IF(A5545="","",SUMIF(Donasi!$B$2:$B$20000,A5545,Donasi!$C$2:$C$20000))</f>
        <v/>
      </c>
      <c r="E5545">
        <f>IF(A5545="","",6-CEILING(PERCENTRANK.INC($B$3:$B$6000,B5545,4)*5+0.000001,1))</f>
        <v/>
      </c>
      <c r="F5545">
        <f>IF(A5545="","",MAX(1,CEILING(PERCENTRANK.INC($C$3:$C$6000,C5545,4)*5+0.000001,1)))</f>
        <v/>
      </c>
      <c r="G5545">
        <f>IF(A5545="","",MAX(1,CEILING(PERCENTRANK.INC($D$3:$D$6000,D5545,4)*5+0.000001,1)))</f>
        <v/>
      </c>
      <c r="H5545">
        <f>IF(A5545="","",E5545&amp;F5545&amp;G5545)</f>
        <v/>
      </c>
      <c r="I5545">
        <f>IF(A5545="","",IF(AND(E5545&gt;=4,F5545&gt;=4,G5545&gt;=4),"Juara",IF(AND(F5545&gt;=4,E5545&gt;=3),"Setia",IF(AND(E5545=5,F5545&lt;=2,G5545&gt;=3),"Berpotensi",IF(AND(E5545&lt;=3,E5545&gt;=2,F5545&gt;=3),"Rawan",IF(AND(E5545&lt;=2,F5545&lt;=2),"Tidur","Umum"))))))</f>
        <v/>
      </c>
    </row>
    <row r="5546">
      <c r="B5546">
        <f>IF(A5546="","",$B$1-MAXIFS(Donasi!$A$2:$A$20000,Donasi!$B$2:$B$20000,A5546))</f>
        <v/>
      </c>
      <c r="C5546">
        <f>IF(A5546="","",COUNTIF(Donasi!$B$2:$B$20000,A5546))</f>
        <v/>
      </c>
      <c r="D5546">
        <f>IF(A5546="","",SUMIF(Donasi!$B$2:$B$20000,A5546,Donasi!$C$2:$C$20000))</f>
        <v/>
      </c>
      <c r="E5546">
        <f>IF(A5546="","",6-CEILING(PERCENTRANK.INC($B$3:$B$6000,B5546,4)*5+0.000001,1))</f>
        <v/>
      </c>
      <c r="F5546">
        <f>IF(A5546="","",MAX(1,CEILING(PERCENTRANK.INC($C$3:$C$6000,C5546,4)*5+0.000001,1)))</f>
        <v/>
      </c>
      <c r="G5546">
        <f>IF(A5546="","",MAX(1,CEILING(PERCENTRANK.INC($D$3:$D$6000,D5546,4)*5+0.000001,1)))</f>
        <v/>
      </c>
      <c r="H5546">
        <f>IF(A5546="","",E5546&amp;F5546&amp;G5546)</f>
        <v/>
      </c>
      <c r="I5546">
        <f>IF(A5546="","",IF(AND(E5546&gt;=4,F5546&gt;=4,G5546&gt;=4),"Juara",IF(AND(F5546&gt;=4,E5546&gt;=3),"Setia",IF(AND(E5546=5,F5546&lt;=2,G5546&gt;=3),"Berpotensi",IF(AND(E5546&lt;=3,E5546&gt;=2,F5546&gt;=3),"Rawan",IF(AND(E5546&lt;=2,F5546&lt;=2),"Tidur","Umum"))))))</f>
        <v/>
      </c>
    </row>
    <row r="5547">
      <c r="B5547">
        <f>IF(A5547="","",$B$1-MAXIFS(Donasi!$A$2:$A$20000,Donasi!$B$2:$B$20000,A5547))</f>
        <v/>
      </c>
      <c r="C5547">
        <f>IF(A5547="","",COUNTIF(Donasi!$B$2:$B$20000,A5547))</f>
        <v/>
      </c>
      <c r="D5547">
        <f>IF(A5547="","",SUMIF(Donasi!$B$2:$B$20000,A5547,Donasi!$C$2:$C$20000))</f>
        <v/>
      </c>
      <c r="E5547">
        <f>IF(A5547="","",6-CEILING(PERCENTRANK.INC($B$3:$B$6000,B5547,4)*5+0.000001,1))</f>
        <v/>
      </c>
      <c r="F5547">
        <f>IF(A5547="","",MAX(1,CEILING(PERCENTRANK.INC($C$3:$C$6000,C5547,4)*5+0.000001,1)))</f>
        <v/>
      </c>
      <c r="G5547">
        <f>IF(A5547="","",MAX(1,CEILING(PERCENTRANK.INC($D$3:$D$6000,D5547,4)*5+0.000001,1)))</f>
        <v/>
      </c>
      <c r="H5547">
        <f>IF(A5547="","",E5547&amp;F5547&amp;G5547)</f>
        <v/>
      </c>
      <c r="I5547">
        <f>IF(A5547="","",IF(AND(E5547&gt;=4,F5547&gt;=4,G5547&gt;=4),"Juara",IF(AND(F5547&gt;=4,E5547&gt;=3),"Setia",IF(AND(E5547=5,F5547&lt;=2,G5547&gt;=3),"Berpotensi",IF(AND(E5547&lt;=3,E5547&gt;=2,F5547&gt;=3),"Rawan",IF(AND(E5547&lt;=2,F5547&lt;=2),"Tidur","Umum"))))))</f>
        <v/>
      </c>
    </row>
    <row r="5548">
      <c r="B5548">
        <f>IF(A5548="","",$B$1-MAXIFS(Donasi!$A$2:$A$20000,Donasi!$B$2:$B$20000,A5548))</f>
        <v/>
      </c>
      <c r="C5548">
        <f>IF(A5548="","",COUNTIF(Donasi!$B$2:$B$20000,A5548))</f>
        <v/>
      </c>
      <c r="D5548">
        <f>IF(A5548="","",SUMIF(Donasi!$B$2:$B$20000,A5548,Donasi!$C$2:$C$20000))</f>
        <v/>
      </c>
      <c r="E5548">
        <f>IF(A5548="","",6-CEILING(PERCENTRANK.INC($B$3:$B$6000,B5548,4)*5+0.000001,1))</f>
        <v/>
      </c>
      <c r="F5548">
        <f>IF(A5548="","",MAX(1,CEILING(PERCENTRANK.INC($C$3:$C$6000,C5548,4)*5+0.000001,1)))</f>
        <v/>
      </c>
      <c r="G5548">
        <f>IF(A5548="","",MAX(1,CEILING(PERCENTRANK.INC($D$3:$D$6000,D5548,4)*5+0.000001,1)))</f>
        <v/>
      </c>
      <c r="H5548">
        <f>IF(A5548="","",E5548&amp;F5548&amp;G5548)</f>
        <v/>
      </c>
      <c r="I5548">
        <f>IF(A5548="","",IF(AND(E5548&gt;=4,F5548&gt;=4,G5548&gt;=4),"Juara",IF(AND(F5548&gt;=4,E5548&gt;=3),"Setia",IF(AND(E5548=5,F5548&lt;=2,G5548&gt;=3),"Berpotensi",IF(AND(E5548&lt;=3,E5548&gt;=2,F5548&gt;=3),"Rawan",IF(AND(E5548&lt;=2,F5548&lt;=2),"Tidur","Umum"))))))</f>
        <v/>
      </c>
    </row>
    <row r="5549">
      <c r="B5549">
        <f>IF(A5549="","",$B$1-MAXIFS(Donasi!$A$2:$A$20000,Donasi!$B$2:$B$20000,A5549))</f>
        <v/>
      </c>
      <c r="C5549">
        <f>IF(A5549="","",COUNTIF(Donasi!$B$2:$B$20000,A5549))</f>
        <v/>
      </c>
      <c r="D5549">
        <f>IF(A5549="","",SUMIF(Donasi!$B$2:$B$20000,A5549,Donasi!$C$2:$C$20000))</f>
        <v/>
      </c>
      <c r="E5549">
        <f>IF(A5549="","",6-CEILING(PERCENTRANK.INC($B$3:$B$6000,B5549,4)*5+0.000001,1))</f>
        <v/>
      </c>
      <c r="F5549">
        <f>IF(A5549="","",MAX(1,CEILING(PERCENTRANK.INC($C$3:$C$6000,C5549,4)*5+0.000001,1)))</f>
        <v/>
      </c>
      <c r="G5549">
        <f>IF(A5549="","",MAX(1,CEILING(PERCENTRANK.INC($D$3:$D$6000,D5549,4)*5+0.000001,1)))</f>
        <v/>
      </c>
      <c r="H5549">
        <f>IF(A5549="","",E5549&amp;F5549&amp;G5549)</f>
        <v/>
      </c>
      <c r="I5549">
        <f>IF(A5549="","",IF(AND(E5549&gt;=4,F5549&gt;=4,G5549&gt;=4),"Juara",IF(AND(F5549&gt;=4,E5549&gt;=3),"Setia",IF(AND(E5549=5,F5549&lt;=2,G5549&gt;=3),"Berpotensi",IF(AND(E5549&lt;=3,E5549&gt;=2,F5549&gt;=3),"Rawan",IF(AND(E5549&lt;=2,F5549&lt;=2),"Tidur","Umum"))))))</f>
        <v/>
      </c>
    </row>
    <row r="5550">
      <c r="B5550">
        <f>IF(A5550="","",$B$1-MAXIFS(Donasi!$A$2:$A$20000,Donasi!$B$2:$B$20000,A5550))</f>
        <v/>
      </c>
      <c r="C5550">
        <f>IF(A5550="","",COUNTIF(Donasi!$B$2:$B$20000,A5550))</f>
        <v/>
      </c>
      <c r="D5550">
        <f>IF(A5550="","",SUMIF(Donasi!$B$2:$B$20000,A5550,Donasi!$C$2:$C$20000))</f>
        <v/>
      </c>
      <c r="E5550">
        <f>IF(A5550="","",6-CEILING(PERCENTRANK.INC($B$3:$B$6000,B5550,4)*5+0.000001,1))</f>
        <v/>
      </c>
      <c r="F5550">
        <f>IF(A5550="","",MAX(1,CEILING(PERCENTRANK.INC($C$3:$C$6000,C5550,4)*5+0.000001,1)))</f>
        <v/>
      </c>
      <c r="G5550">
        <f>IF(A5550="","",MAX(1,CEILING(PERCENTRANK.INC($D$3:$D$6000,D5550,4)*5+0.000001,1)))</f>
        <v/>
      </c>
      <c r="H5550">
        <f>IF(A5550="","",E5550&amp;F5550&amp;G5550)</f>
        <v/>
      </c>
      <c r="I5550">
        <f>IF(A5550="","",IF(AND(E5550&gt;=4,F5550&gt;=4,G5550&gt;=4),"Juara",IF(AND(F5550&gt;=4,E5550&gt;=3),"Setia",IF(AND(E5550=5,F5550&lt;=2,G5550&gt;=3),"Berpotensi",IF(AND(E5550&lt;=3,E5550&gt;=2,F5550&gt;=3),"Rawan",IF(AND(E5550&lt;=2,F5550&lt;=2),"Tidur","Umum"))))))</f>
        <v/>
      </c>
    </row>
    <row r="5551">
      <c r="B5551">
        <f>IF(A5551="","",$B$1-MAXIFS(Donasi!$A$2:$A$20000,Donasi!$B$2:$B$20000,A5551))</f>
        <v/>
      </c>
      <c r="C5551">
        <f>IF(A5551="","",COUNTIF(Donasi!$B$2:$B$20000,A5551))</f>
        <v/>
      </c>
      <c r="D5551">
        <f>IF(A5551="","",SUMIF(Donasi!$B$2:$B$20000,A5551,Donasi!$C$2:$C$20000))</f>
        <v/>
      </c>
      <c r="E5551">
        <f>IF(A5551="","",6-CEILING(PERCENTRANK.INC($B$3:$B$6000,B5551,4)*5+0.000001,1))</f>
        <v/>
      </c>
      <c r="F5551">
        <f>IF(A5551="","",MAX(1,CEILING(PERCENTRANK.INC($C$3:$C$6000,C5551,4)*5+0.000001,1)))</f>
        <v/>
      </c>
      <c r="G5551">
        <f>IF(A5551="","",MAX(1,CEILING(PERCENTRANK.INC($D$3:$D$6000,D5551,4)*5+0.000001,1)))</f>
        <v/>
      </c>
      <c r="H5551">
        <f>IF(A5551="","",E5551&amp;F5551&amp;G5551)</f>
        <v/>
      </c>
      <c r="I5551">
        <f>IF(A5551="","",IF(AND(E5551&gt;=4,F5551&gt;=4,G5551&gt;=4),"Juara",IF(AND(F5551&gt;=4,E5551&gt;=3),"Setia",IF(AND(E5551=5,F5551&lt;=2,G5551&gt;=3),"Berpotensi",IF(AND(E5551&lt;=3,E5551&gt;=2,F5551&gt;=3),"Rawan",IF(AND(E5551&lt;=2,F5551&lt;=2),"Tidur","Umum"))))))</f>
        <v/>
      </c>
    </row>
    <row r="5552">
      <c r="B5552">
        <f>IF(A5552="","",$B$1-MAXIFS(Donasi!$A$2:$A$20000,Donasi!$B$2:$B$20000,A5552))</f>
        <v/>
      </c>
      <c r="C5552">
        <f>IF(A5552="","",COUNTIF(Donasi!$B$2:$B$20000,A5552))</f>
        <v/>
      </c>
      <c r="D5552">
        <f>IF(A5552="","",SUMIF(Donasi!$B$2:$B$20000,A5552,Donasi!$C$2:$C$20000))</f>
        <v/>
      </c>
      <c r="E5552">
        <f>IF(A5552="","",6-CEILING(PERCENTRANK.INC($B$3:$B$6000,B5552,4)*5+0.000001,1))</f>
        <v/>
      </c>
      <c r="F5552">
        <f>IF(A5552="","",MAX(1,CEILING(PERCENTRANK.INC($C$3:$C$6000,C5552,4)*5+0.000001,1)))</f>
        <v/>
      </c>
      <c r="G5552">
        <f>IF(A5552="","",MAX(1,CEILING(PERCENTRANK.INC($D$3:$D$6000,D5552,4)*5+0.000001,1)))</f>
        <v/>
      </c>
      <c r="H5552">
        <f>IF(A5552="","",E5552&amp;F5552&amp;G5552)</f>
        <v/>
      </c>
      <c r="I5552">
        <f>IF(A5552="","",IF(AND(E5552&gt;=4,F5552&gt;=4,G5552&gt;=4),"Juara",IF(AND(F5552&gt;=4,E5552&gt;=3),"Setia",IF(AND(E5552=5,F5552&lt;=2,G5552&gt;=3),"Berpotensi",IF(AND(E5552&lt;=3,E5552&gt;=2,F5552&gt;=3),"Rawan",IF(AND(E5552&lt;=2,F5552&lt;=2),"Tidur","Umum"))))))</f>
        <v/>
      </c>
    </row>
    <row r="5553">
      <c r="B5553">
        <f>IF(A5553="","",$B$1-MAXIFS(Donasi!$A$2:$A$20000,Donasi!$B$2:$B$20000,A5553))</f>
        <v/>
      </c>
      <c r="C5553">
        <f>IF(A5553="","",COUNTIF(Donasi!$B$2:$B$20000,A5553))</f>
        <v/>
      </c>
      <c r="D5553">
        <f>IF(A5553="","",SUMIF(Donasi!$B$2:$B$20000,A5553,Donasi!$C$2:$C$20000))</f>
        <v/>
      </c>
      <c r="E5553">
        <f>IF(A5553="","",6-CEILING(PERCENTRANK.INC($B$3:$B$6000,B5553,4)*5+0.000001,1))</f>
        <v/>
      </c>
      <c r="F5553">
        <f>IF(A5553="","",MAX(1,CEILING(PERCENTRANK.INC($C$3:$C$6000,C5553,4)*5+0.000001,1)))</f>
        <v/>
      </c>
      <c r="G5553">
        <f>IF(A5553="","",MAX(1,CEILING(PERCENTRANK.INC($D$3:$D$6000,D5553,4)*5+0.000001,1)))</f>
        <v/>
      </c>
      <c r="H5553">
        <f>IF(A5553="","",E5553&amp;F5553&amp;G5553)</f>
        <v/>
      </c>
      <c r="I5553">
        <f>IF(A5553="","",IF(AND(E5553&gt;=4,F5553&gt;=4,G5553&gt;=4),"Juara",IF(AND(F5553&gt;=4,E5553&gt;=3),"Setia",IF(AND(E5553=5,F5553&lt;=2,G5553&gt;=3),"Berpotensi",IF(AND(E5553&lt;=3,E5553&gt;=2,F5553&gt;=3),"Rawan",IF(AND(E5553&lt;=2,F5553&lt;=2),"Tidur","Umum"))))))</f>
        <v/>
      </c>
    </row>
    <row r="5554">
      <c r="B5554">
        <f>IF(A5554="","",$B$1-MAXIFS(Donasi!$A$2:$A$20000,Donasi!$B$2:$B$20000,A5554))</f>
        <v/>
      </c>
      <c r="C5554">
        <f>IF(A5554="","",COUNTIF(Donasi!$B$2:$B$20000,A5554))</f>
        <v/>
      </c>
      <c r="D5554">
        <f>IF(A5554="","",SUMIF(Donasi!$B$2:$B$20000,A5554,Donasi!$C$2:$C$20000))</f>
        <v/>
      </c>
      <c r="E5554">
        <f>IF(A5554="","",6-CEILING(PERCENTRANK.INC($B$3:$B$6000,B5554,4)*5+0.000001,1))</f>
        <v/>
      </c>
      <c r="F5554">
        <f>IF(A5554="","",MAX(1,CEILING(PERCENTRANK.INC($C$3:$C$6000,C5554,4)*5+0.000001,1)))</f>
        <v/>
      </c>
      <c r="G5554">
        <f>IF(A5554="","",MAX(1,CEILING(PERCENTRANK.INC($D$3:$D$6000,D5554,4)*5+0.000001,1)))</f>
        <v/>
      </c>
      <c r="H5554">
        <f>IF(A5554="","",E5554&amp;F5554&amp;G5554)</f>
        <v/>
      </c>
      <c r="I5554">
        <f>IF(A5554="","",IF(AND(E5554&gt;=4,F5554&gt;=4,G5554&gt;=4),"Juara",IF(AND(F5554&gt;=4,E5554&gt;=3),"Setia",IF(AND(E5554=5,F5554&lt;=2,G5554&gt;=3),"Berpotensi",IF(AND(E5554&lt;=3,E5554&gt;=2,F5554&gt;=3),"Rawan",IF(AND(E5554&lt;=2,F5554&lt;=2),"Tidur","Umum"))))))</f>
        <v/>
      </c>
    </row>
    <row r="5555">
      <c r="B5555">
        <f>IF(A5555="","",$B$1-MAXIFS(Donasi!$A$2:$A$20000,Donasi!$B$2:$B$20000,A5555))</f>
        <v/>
      </c>
      <c r="C5555">
        <f>IF(A5555="","",COUNTIF(Donasi!$B$2:$B$20000,A5555))</f>
        <v/>
      </c>
      <c r="D5555">
        <f>IF(A5555="","",SUMIF(Donasi!$B$2:$B$20000,A5555,Donasi!$C$2:$C$20000))</f>
        <v/>
      </c>
      <c r="E5555">
        <f>IF(A5555="","",6-CEILING(PERCENTRANK.INC($B$3:$B$6000,B5555,4)*5+0.000001,1))</f>
        <v/>
      </c>
      <c r="F5555">
        <f>IF(A5555="","",MAX(1,CEILING(PERCENTRANK.INC($C$3:$C$6000,C5555,4)*5+0.000001,1)))</f>
        <v/>
      </c>
      <c r="G5555">
        <f>IF(A5555="","",MAX(1,CEILING(PERCENTRANK.INC($D$3:$D$6000,D5555,4)*5+0.000001,1)))</f>
        <v/>
      </c>
      <c r="H5555">
        <f>IF(A5555="","",E5555&amp;F5555&amp;G5555)</f>
        <v/>
      </c>
      <c r="I5555">
        <f>IF(A5555="","",IF(AND(E5555&gt;=4,F5555&gt;=4,G5555&gt;=4),"Juara",IF(AND(F5555&gt;=4,E5555&gt;=3),"Setia",IF(AND(E5555=5,F5555&lt;=2,G5555&gt;=3),"Berpotensi",IF(AND(E5555&lt;=3,E5555&gt;=2,F5555&gt;=3),"Rawan",IF(AND(E5555&lt;=2,F5555&lt;=2),"Tidur","Umum"))))))</f>
        <v/>
      </c>
    </row>
    <row r="5556">
      <c r="B5556">
        <f>IF(A5556="","",$B$1-MAXIFS(Donasi!$A$2:$A$20000,Donasi!$B$2:$B$20000,A5556))</f>
        <v/>
      </c>
      <c r="C5556">
        <f>IF(A5556="","",COUNTIF(Donasi!$B$2:$B$20000,A5556))</f>
        <v/>
      </c>
      <c r="D5556">
        <f>IF(A5556="","",SUMIF(Donasi!$B$2:$B$20000,A5556,Donasi!$C$2:$C$20000))</f>
        <v/>
      </c>
      <c r="E5556">
        <f>IF(A5556="","",6-CEILING(PERCENTRANK.INC($B$3:$B$6000,B5556,4)*5+0.000001,1))</f>
        <v/>
      </c>
      <c r="F5556">
        <f>IF(A5556="","",MAX(1,CEILING(PERCENTRANK.INC($C$3:$C$6000,C5556,4)*5+0.000001,1)))</f>
        <v/>
      </c>
      <c r="G5556">
        <f>IF(A5556="","",MAX(1,CEILING(PERCENTRANK.INC($D$3:$D$6000,D5556,4)*5+0.000001,1)))</f>
        <v/>
      </c>
      <c r="H5556">
        <f>IF(A5556="","",E5556&amp;F5556&amp;G5556)</f>
        <v/>
      </c>
      <c r="I5556">
        <f>IF(A5556="","",IF(AND(E5556&gt;=4,F5556&gt;=4,G5556&gt;=4),"Juara",IF(AND(F5556&gt;=4,E5556&gt;=3),"Setia",IF(AND(E5556=5,F5556&lt;=2,G5556&gt;=3),"Berpotensi",IF(AND(E5556&lt;=3,E5556&gt;=2,F5556&gt;=3),"Rawan",IF(AND(E5556&lt;=2,F5556&lt;=2),"Tidur","Umum"))))))</f>
        <v/>
      </c>
    </row>
    <row r="5557">
      <c r="B5557">
        <f>IF(A5557="","",$B$1-MAXIFS(Donasi!$A$2:$A$20000,Donasi!$B$2:$B$20000,A5557))</f>
        <v/>
      </c>
      <c r="C5557">
        <f>IF(A5557="","",COUNTIF(Donasi!$B$2:$B$20000,A5557))</f>
        <v/>
      </c>
      <c r="D5557">
        <f>IF(A5557="","",SUMIF(Donasi!$B$2:$B$20000,A5557,Donasi!$C$2:$C$20000))</f>
        <v/>
      </c>
      <c r="E5557">
        <f>IF(A5557="","",6-CEILING(PERCENTRANK.INC($B$3:$B$6000,B5557,4)*5+0.000001,1))</f>
        <v/>
      </c>
      <c r="F5557">
        <f>IF(A5557="","",MAX(1,CEILING(PERCENTRANK.INC($C$3:$C$6000,C5557,4)*5+0.000001,1)))</f>
        <v/>
      </c>
      <c r="G5557">
        <f>IF(A5557="","",MAX(1,CEILING(PERCENTRANK.INC($D$3:$D$6000,D5557,4)*5+0.000001,1)))</f>
        <v/>
      </c>
      <c r="H5557">
        <f>IF(A5557="","",E5557&amp;F5557&amp;G5557)</f>
        <v/>
      </c>
      <c r="I5557">
        <f>IF(A5557="","",IF(AND(E5557&gt;=4,F5557&gt;=4,G5557&gt;=4),"Juara",IF(AND(F5557&gt;=4,E5557&gt;=3),"Setia",IF(AND(E5557=5,F5557&lt;=2,G5557&gt;=3),"Berpotensi",IF(AND(E5557&lt;=3,E5557&gt;=2,F5557&gt;=3),"Rawan",IF(AND(E5557&lt;=2,F5557&lt;=2),"Tidur","Umum"))))))</f>
        <v/>
      </c>
    </row>
    <row r="5558">
      <c r="B5558">
        <f>IF(A5558="","",$B$1-MAXIFS(Donasi!$A$2:$A$20000,Donasi!$B$2:$B$20000,A5558))</f>
        <v/>
      </c>
      <c r="C5558">
        <f>IF(A5558="","",COUNTIF(Donasi!$B$2:$B$20000,A5558))</f>
        <v/>
      </c>
      <c r="D5558">
        <f>IF(A5558="","",SUMIF(Donasi!$B$2:$B$20000,A5558,Donasi!$C$2:$C$20000))</f>
        <v/>
      </c>
      <c r="E5558">
        <f>IF(A5558="","",6-CEILING(PERCENTRANK.INC($B$3:$B$6000,B5558,4)*5+0.000001,1))</f>
        <v/>
      </c>
      <c r="F5558">
        <f>IF(A5558="","",MAX(1,CEILING(PERCENTRANK.INC($C$3:$C$6000,C5558,4)*5+0.000001,1)))</f>
        <v/>
      </c>
      <c r="G5558">
        <f>IF(A5558="","",MAX(1,CEILING(PERCENTRANK.INC($D$3:$D$6000,D5558,4)*5+0.000001,1)))</f>
        <v/>
      </c>
      <c r="H5558">
        <f>IF(A5558="","",E5558&amp;F5558&amp;G5558)</f>
        <v/>
      </c>
      <c r="I5558">
        <f>IF(A5558="","",IF(AND(E5558&gt;=4,F5558&gt;=4,G5558&gt;=4),"Juara",IF(AND(F5558&gt;=4,E5558&gt;=3),"Setia",IF(AND(E5558=5,F5558&lt;=2,G5558&gt;=3),"Berpotensi",IF(AND(E5558&lt;=3,E5558&gt;=2,F5558&gt;=3),"Rawan",IF(AND(E5558&lt;=2,F5558&lt;=2),"Tidur","Umum"))))))</f>
        <v/>
      </c>
    </row>
    <row r="5559">
      <c r="B5559">
        <f>IF(A5559="","",$B$1-MAXIFS(Donasi!$A$2:$A$20000,Donasi!$B$2:$B$20000,A5559))</f>
        <v/>
      </c>
      <c r="C5559">
        <f>IF(A5559="","",COUNTIF(Donasi!$B$2:$B$20000,A5559))</f>
        <v/>
      </c>
      <c r="D5559">
        <f>IF(A5559="","",SUMIF(Donasi!$B$2:$B$20000,A5559,Donasi!$C$2:$C$20000))</f>
        <v/>
      </c>
      <c r="E5559">
        <f>IF(A5559="","",6-CEILING(PERCENTRANK.INC($B$3:$B$6000,B5559,4)*5+0.000001,1))</f>
        <v/>
      </c>
      <c r="F5559">
        <f>IF(A5559="","",MAX(1,CEILING(PERCENTRANK.INC($C$3:$C$6000,C5559,4)*5+0.000001,1)))</f>
        <v/>
      </c>
      <c r="G5559">
        <f>IF(A5559="","",MAX(1,CEILING(PERCENTRANK.INC($D$3:$D$6000,D5559,4)*5+0.000001,1)))</f>
        <v/>
      </c>
      <c r="H5559">
        <f>IF(A5559="","",E5559&amp;F5559&amp;G5559)</f>
        <v/>
      </c>
      <c r="I5559">
        <f>IF(A5559="","",IF(AND(E5559&gt;=4,F5559&gt;=4,G5559&gt;=4),"Juara",IF(AND(F5559&gt;=4,E5559&gt;=3),"Setia",IF(AND(E5559=5,F5559&lt;=2,G5559&gt;=3),"Berpotensi",IF(AND(E5559&lt;=3,E5559&gt;=2,F5559&gt;=3),"Rawan",IF(AND(E5559&lt;=2,F5559&lt;=2),"Tidur","Umum"))))))</f>
        <v/>
      </c>
    </row>
    <row r="5560">
      <c r="B5560">
        <f>IF(A5560="","",$B$1-MAXIFS(Donasi!$A$2:$A$20000,Donasi!$B$2:$B$20000,A5560))</f>
        <v/>
      </c>
      <c r="C5560">
        <f>IF(A5560="","",COUNTIF(Donasi!$B$2:$B$20000,A5560))</f>
        <v/>
      </c>
      <c r="D5560">
        <f>IF(A5560="","",SUMIF(Donasi!$B$2:$B$20000,A5560,Donasi!$C$2:$C$20000))</f>
        <v/>
      </c>
      <c r="E5560">
        <f>IF(A5560="","",6-CEILING(PERCENTRANK.INC($B$3:$B$6000,B5560,4)*5+0.000001,1))</f>
        <v/>
      </c>
      <c r="F5560">
        <f>IF(A5560="","",MAX(1,CEILING(PERCENTRANK.INC($C$3:$C$6000,C5560,4)*5+0.000001,1)))</f>
        <v/>
      </c>
      <c r="G5560">
        <f>IF(A5560="","",MAX(1,CEILING(PERCENTRANK.INC($D$3:$D$6000,D5560,4)*5+0.000001,1)))</f>
        <v/>
      </c>
      <c r="H5560">
        <f>IF(A5560="","",E5560&amp;F5560&amp;G5560)</f>
        <v/>
      </c>
      <c r="I5560">
        <f>IF(A5560="","",IF(AND(E5560&gt;=4,F5560&gt;=4,G5560&gt;=4),"Juara",IF(AND(F5560&gt;=4,E5560&gt;=3),"Setia",IF(AND(E5560=5,F5560&lt;=2,G5560&gt;=3),"Berpotensi",IF(AND(E5560&lt;=3,E5560&gt;=2,F5560&gt;=3),"Rawan",IF(AND(E5560&lt;=2,F5560&lt;=2),"Tidur","Umum"))))))</f>
        <v/>
      </c>
    </row>
    <row r="5561">
      <c r="B5561">
        <f>IF(A5561="","",$B$1-MAXIFS(Donasi!$A$2:$A$20000,Donasi!$B$2:$B$20000,A5561))</f>
        <v/>
      </c>
      <c r="C5561">
        <f>IF(A5561="","",COUNTIF(Donasi!$B$2:$B$20000,A5561))</f>
        <v/>
      </c>
      <c r="D5561">
        <f>IF(A5561="","",SUMIF(Donasi!$B$2:$B$20000,A5561,Donasi!$C$2:$C$20000))</f>
        <v/>
      </c>
      <c r="E5561">
        <f>IF(A5561="","",6-CEILING(PERCENTRANK.INC($B$3:$B$6000,B5561,4)*5+0.000001,1))</f>
        <v/>
      </c>
      <c r="F5561">
        <f>IF(A5561="","",MAX(1,CEILING(PERCENTRANK.INC($C$3:$C$6000,C5561,4)*5+0.000001,1)))</f>
        <v/>
      </c>
      <c r="G5561">
        <f>IF(A5561="","",MAX(1,CEILING(PERCENTRANK.INC($D$3:$D$6000,D5561,4)*5+0.000001,1)))</f>
        <v/>
      </c>
      <c r="H5561">
        <f>IF(A5561="","",E5561&amp;F5561&amp;G5561)</f>
        <v/>
      </c>
      <c r="I5561">
        <f>IF(A5561="","",IF(AND(E5561&gt;=4,F5561&gt;=4,G5561&gt;=4),"Juara",IF(AND(F5561&gt;=4,E5561&gt;=3),"Setia",IF(AND(E5561=5,F5561&lt;=2,G5561&gt;=3),"Berpotensi",IF(AND(E5561&lt;=3,E5561&gt;=2,F5561&gt;=3),"Rawan",IF(AND(E5561&lt;=2,F5561&lt;=2),"Tidur","Umum"))))))</f>
        <v/>
      </c>
    </row>
    <row r="5562">
      <c r="B5562">
        <f>IF(A5562="","",$B$1-MAXIFS(Donasi!$A$2:$A$20000,Donasi!$B$2:$B$20000,A5562))</f>
        <v/>
      </c>
      <c r="C5562">
        <f>IF(A5562="","",COUNTIF(Donasi!$B$2:$B$20000,A5562))</f>
        <v/>
      </c>
      <c r="D5562">
        <f>IF(A5562="","",SUMIF(Donasi!$B$2:$B$20000,A5562,Donasi!$C$2:$C$20000))</f>
        <v/>
      </c>
      <c r="E5562">
        <f>IF(A5562="","",6-CEILING(PERCENTRANK.INC($B$3:$B$6000,B5562,4)*5+0.000001,1))</f>
        <v/>
      </c>
      <c r="F5562">
        <f>IF(A5562="","",MAX(1,CEILING(PERCENTRANK.INC($C$3:$C$6000,C5562,4)*5+0.000001,1)))</f>
        <v/>
      </c>
      <c r="G5562">
        <f>IF(A5562="","",MAX(1,CEILING(PERCENTRANK.INC($D$3:$D$6000,D5562,4)*5+0.000001,1)))</f>
        <v/>
      </c>
      <c r="H5562">
        <f>IF(A5562="","",E5562&amp;F5562&amp;G5562)</f>
        <v/>
      </c>
      <c r="I5562">
        <f>IF(A5562="","",IF(AND(E5562&gt;=4,F5562&gt;=4,G5562&gt;=4),"Juara",IF(AND(F5562&gt;=4,E5562&gt;=3),"Setia",IF(AND(E5562=5,F5562&lt;=2,G5562&gt;=3),"Berpotensi",IF(AND(E5562&lt;=3,E5562&gt;=2,F5562&gt;=3),"Rawan",IF(AND(E5562&lt;=2,F5562&lt;=2),"Tidur","Umum"))))))</f>
        <v/>
      </c>
    </row>
    <row r="5563">
      <c r="B5563">
        <f>IF(A5563="","",$B$1-MAXIFS(Donasi!$A$2:$A$20000,Donasi!$B$2:$B$20000,A5563))</f>
        <v/>
      </c>
      <c r="C5563">
        <f>IF(A5563="","",COUNTIF(Donasi!$B$2:$B$20000,A5563))</f>
        <v/>
      </c>
      <c r="D5563">
        <f>IF(A5563="","",SUMIF(Donasi!$B$2:$B$20000,A5563,Donasi!$C$2:$C$20000))</f>
        <v/>
      </c>
      <c r="E5563">
        <f>IF(A5563="","",6-CEILING(PERCENTRANK.INC($B$3:$B$6000,B5563,4)*5+0.000001,1))</f>
        <v/>
      </c>
      <c r="F5563">
        <f>IF(A5563="","",MAX(1,CEILING(PERCENTRANK.INC($C$3:$C$6000,C5563,4)*5+0.000001,1)))</f>
        <v/>
      </c>
      <c r="G5563">
        <f>IF(A5563="","",MAX(1,CEILING(PERCENTRANK.INC($D$3:$D$6000,D5563,4)*5+0.000001,1)))</f>
        <v/>
      </c>
      <c r="H5563">
        <f>IF(A5563="","",E5563&amp;F5563&amp;G5563)</f>
        <v/>
      </c>
      <c r="I5563">
        <f>IF(A5563="","",IF(AND(E5563&gt;=4,F5563&gt;=4,G5563&gt;=4),"Juara",IF(AND(F5563&gt;=4,E5563&gt;=3),"Setia",IF(AND(E5563=5,F5563&lt;=2,G5563&gt;=3),"Berpotensi",IF(AND(E5563&lt;=3,E5563&gt;=2,F5563&gt;=3),"Rawan",IF(AND(E5563&lt;=2,F5563&lt;=2),"Tidur","Umum"))))))</f>
        <v/>
      </c>
    </row>
    <row r="5564">
      <c r="B5564">
        <f>IF(A5564="","",$B$1-MAXIFS(Donasi!$A$2:$A$20000,Donasi!$B$2:$B$20000,A5564))</f>
        <v/>
      </c>
      <c r="C5564">
        <f>IF(A5564="","",COUNTIF(Donasi!$B$2:$B$20000,A5564))</f>
        <v/>
      </c>
      <c r="D5564">
        <f>IF(A5564="","",SUMIF(Donasi!$B$2:$B$20000,A5564,Donasi!$C$2:$C$20000))</f>
        <v/>
      </c>
      <c r="E5564">
        <f>IF(A5564="","",6-CEILING(PERCENTRANK.INC($B$3:$B$6000,B5564,4)*5+0.000001,1))</f>
        <v/>
      </c>
      <c r="F5564">
        <f>IF(A5564="","",MAX(1,CEILING(PERCENTRANK.INC($C$3:$C$6000,C5564,4)*5+0.000001,1)))</f>
        <v/>
      </c>
      <c r="G5564">
        <f>IF(A5564="","",MAX(1,CEILING(PERCENTRANK.INC($D$3:$D$6000,D5564,4)*5+0.000001,1)))</f>
        <v/>
      </c>
      <c r="H5564">
        <f>IF(A5564="","",E5564&amp;F5564&amp;G5564)</f>
        <v/>
      </c>
      <c r="I5564">
        <f>IF(A5564="","",IF(AND(E5564&gt;=4,F5564&gt;=4,G5564&gt;=4),"Juara",IF(AND(F5564&gt;=4,E5564&gt;=3),"Setia",IF(AND(E5564=5,F5564&lt;=2,G5564&gt;=3),"Berpotensi",IF(AND(E5564&lt;=3,E5564&gt;=2,F5564&gt;=3),"Rawan",IF(AND(E5564&lt;=2,F5564&lt;=2),"Tidur","Umum"))))))</f>
        <v/>
      </c>
    </row>
    <row r="5565">
      <c r="B5565">
        <f>IF(A5565="","",$B$1-MAXIFS(Donasi!$A$2:$A$20000,Donasi!$B$2:$B$20000,A5565))</f>
        <v/>
      </c>
      <c r="C5565">
        <f>IF(A5565="","",COUNTIF(Donasi!$B$2:$B$20000,A5565))</f>
        <v/>
      </c>
      <c r="D5565">
        <f>IF(A5565="","",SUMIF(Donasi!$B$2:$B$20000,A5565,Donasi!$C$2:$C$20000))</f>
        <v/>
      </c>
      <c r="E5565">
        <f>IF(A5565="","",6-CEILING(PERCENTRANK.INC($B$3:$B$6000,B5565,4)*5+0.000001,1))</f>
        <v/>
      </c>
      <c r="F5565">
        <f>IF(A5565="","",MAX(1,CEILING(PERCENTRANK.INC($C$3:$C$6000,C5565,4)*5+0.000001,1)))</f>
        <v/>
      </c>
      <c r="G5565">
        <f>IF(A5565="","",MAX(1,CEILING(PERCENTRANK.INC($D$3:$D$6000,D5565,4)*5+0.000001,1)))</f>
        <v/>
      </c>
      <c r="H5565">
        <f>IF(A5565="","",E5565&amp;F5565&amp;G5565)</f>
        <v/>
      </c>
      <c r="I5565">
        <f>IF(A5565="","",IF(AND(E5565&gt;=4,F5565&gt;=4,G5565&gt;=4),"Juara",IF(AND(F5565&gt;=4,E5565&gt;=3),"Setia",IF(AND(E5565=5,F5565&lt;=2,G5565&gt;=3),"Berpotensi",IF(AND(E5565&lt;=3,E5565&gt;=2,F5565&gt;=3),"Rawan",IF(AND(E5565&lt;=2,F5565&lt;=2),"Tidur","Umum"))))))</f>
        <v/>
      </c>
    </row>
    <row r="5566">
      <c r="B5566">
        <f>IF(A5566="","",$B$1-MAXIFS(Donasi!$A$2:$A$20000,Donasi!$B$2:$B$20000,A5566))</f>
        <v/>
      </c>
      <c r="C5566">
        <f>IF(A5566="","",COUNTIF(Donasi!$B$2:$B$20000,A5566))</f>
        <v/>
      </c>
      <c r="D5566">
        <f>IF(A5566="","",SUMIF(Donasi!$B$2:$B$20000,A5566,Donasi!$C$2:$C$20000))</f>
        <v/>
      </c>
      <c r="E5566">
        <f>IF(A5566="","",6-CEILING(PERCENTRANK.INC($B$3:$B$6000,B5566,4)*5+0.000001,1))</f>
        <v/>
      </c>
      <c r="F5566">
        <f>IF(A5566="","",MAX(1,CEILING(PERCENTRANK.INC($C$3:$C$6000,C5566,4)*5+0.000001,1)))</f>
        <v/>
      </c>
      <c r="G5566">
        <f>IF(A5566="","",MAX(1,CEILING(PERCENTRANK.INC($D$3:$D$6000,D5566,4)*5+0.000001,1)))</f>
        <v/>
      </c>
      <c r="H5566">
        <f>IF(A5566="","",E5566&amp;F5566&amp;G5566)</f>
        <v/>
      </c>
      <c r="I5566">
        <f>IF(A5566="","",IF(AND(E5566&gt;=4,F5566&gt;=4,G5566&gt;=4),"Juara",IF(AND(F5566&gt;=4,E5566&gt;=3),"Setia",IF(AND(E5566=5,F5566&lt;=2,G5566&gt;=3),"Berpotensi",IF(AND(E5566&lt;=3,E5566&gt;=2,F5566&gt;=3),"Rawan",IF(AND(E5566&lt;=2,F5566&lt;=2),"Tidur","Umum"))))))</f>
        <v/>
      </c>
    </row>
    <row r="5567">
      <c r="B5567">
        <f>IF(A5567="","",$B$1-MAXIFS(Donasi!$A$2:$A$20000,Donasi!$B$2:$B$20000,A5567))</f>
        <v/>
      </c>
      <c r="C5567">
        <f>IF(A5567="","",COUNTIF(Donasi!$B$2:$B$20000,A5567))</f>
        <v/>
      </c>
      <c r="D5567">
        <f>IF(A5567="","",SUMIF(Donasi!$B$2:$B$20000,A5567,Donasi!$C$2:$C$20000))</f>
        <v/>
      </c>
      <c r="E5567">
        <f>IF(A5567="","",6-CEILING(PERCENTRANK.INC($B$3:$B$6000,B5567,4)*5+0.000001,1))</f>
        <v/>
      </c>
      <c r="F5567">
        <f>IF(A5567="","",MAX(1,CEILING(PERCENTRANK.INC($C$3:$C$6000,C5567,4)*5+0.000001,1)))</f>
        <v/>
      </c>
      <c r="G5567">
        <f>IF(A5567="","",MAX(1,CEILING(PERCENTRANK.INC($D$3:$D$6000,D5567,4)*5+0.000001,1)))</f>
        <v/>
      </c>
      <c r="H5567">
        <f>IF(A5567="","",E5567&amp;F5567&amp;G5567)</f>
        <v/>
      </c>
      <c r="I5567">
        <f>IF(A5567="","",IF(AND(E5567&gt;=4,F5567&gt;=4,G5567&gt;=4),"Juara",IF(AND(F5567&gt;=4,E5567&gt;=3),"Setia",IF(AND(E5567=5,F5567&lt;=2,G5567&gt;=3),"Berpotensi",IF(AND(E5567&lt;=3,E5567&gt;=2,F5567&gt;=3),"Rawan",IF(AND(E5567&lt;=2,F5567&lt;=2),"Tidur","Umum"))))))</f>
        <v/>
      </c>
    </row>
    <row r="5568">
      <c r="B5568">
        <f>IF(A5568="","",$B$1-MAXIFS(Donasi!$A$2:$A$20000,Donasi!$B$2:$B$20000,A5568))</f>
        <v/>
      </c>
      <c r="C5568">
        <f>IF(A5568="","",COUNTIF(Donasi!$B$2:$B$20000,A5568))</f>
        <v/>
      </c>
      <c r="D5568">
        <f>IF(A5568="","",SUMIF(Donasi!$B$2:$B$20000,A5568,Donasi!$C$2:$C$20000))</f>
        <v/>
      </c>
      <c r="E5568">
        <f>IF(A5568="","",6-CEILING(PERCENTRANK.INC($B$3:$B$6000,B5568,4)*5+0.000001,1))</f>
        <v/>
      </c>
      <c r="F5568">
        <f>IF(A5568="","",MAX(1,CEILING(PERCENTRANK.INC($C$3:$C$6000,C5568,4)*5+0.000001,1)))</f>
        <v/>
      </c>
      <c r="G5568">
        <f>IF(A5568="","",MAX(1,CEILING(PERCENTRANK.INC($D$3:$D$6000,D5568,4)*5+0.000001,1)))</f>
        <v/>
      </c>
      <c r="H5568">
        <f>IF(A5568="","",E5568&amp;F5568&amp;G5568)</f>
        <v/>
      </c>
      <c r="I5568">
        <f>IF(A5568="","",IF(AND(E5568&gt;=4,F5568&gt;=4,G5568&gt;=4),"Juara",IF(AND(F5568&gt;=4,E5568&gt;=3),"Setia",IF(AND(E5568=5,F5568&lt;=2,G5568&gt;=3),"Berpotensi",IF(AND(E5568&lt;=3,E5568&gt;=2,F5568&gt;=3),"Rawan",IF(AND(E5568&lt;=2,F5568&lt;=2),"Tidur","Umum"))))))</f>
        <v/>
      </c>
    </row>
    <row r="5569">
      <c r="B5569">
        <f>IF(A5569="","",$B$1-MAXIFS(Donasi!$A$2:$A$20000,Donasi!$B$2:$B$20000,A5569))</f>
        <v/>
      </c>
      <c r="C5569">
        <f>IF(A5569="","",COUNTIF(Donasi!$B$2:$B$20000,A5569))</f>
        <v/>
      </c>
      <c r="D5569">
        <f>IF(A5569="","",SUMIF(Donasi!$B$2:$B$20000,A5569,Donasi!$C$2:$C$20000))</f>
        <v/>
      </c>
      <c r="E5569">
        <f>IF(A5569="","",6-CEILING(PERCENTRANK.INC($B$3:$B$6000,B5569,4)*5+0.000001,1))</f>
        <v/>
      </c>
      <c r="F5569">
        <f>IF(A5569="","",MAX(1,CEILING(PERCENTRANK.INC($C$3:$C$6000,C5569,4)*5+0.000001,1)))</f>
        <v/>
      </c>
      <c r="G5569">
        <f>IF(A5569="","",MAX(1,CEILING(PERCENTRANK.INC($D$3:$D$6000,D5569,4)*5+0.000001,1)))</f>
        <v/>
      </c>
      <c r="H5569">
        <f>IF(A5569="","",E5569&amp;F5569&amp;G5569)</f>
        <v/>
      </c>
      <c r="I5569">
        <f>IF(A5569="","",IF(AND(E5569&gt;=4,F5569&gt;=4,G5569&gt;=4),"Juara",IF(AND(F5569&gt;=4,E5569&gt;=3),"Setia",IF(AND(E5569=5,F5569&lt;=2,G5569&gt;=3),"Berpotensi",IF(AND(E5569&lt;=3,E5569&gt;=2,F5569&gt;=3),"Rawan",IF(AND(E5569&lt;=2,F5569&lt;=2),"Tidur","Umum"))))))</f>
        <v/>
      </c>
    </row>
    <row r="5570">
      <c r="B5570">
        <f>IF(A5570="","",$B$1-MAXIFS(Donasi!$A$2:$A$20000,Donasi!$B$2:$B$20000,A5570))</f>
        <v/>
      </c>
      <c r="C5570">
        <f>IF(A5570="","",COUNTIF(Donasi!$B$2:$B$20000,A5570))</f>
        <v/>
      </c>
      <c r="D5570">
        <f>IF(A5570="","",SUMIF(Donasi!$B$2:$B$20000,A5570,Donasi!$C$2:$C$20000))</f>
        <v/>
      </c>
      <c r="E5570">
        <f>IF(A5570="","",6-CEILING(PERCENTRANK.INC($B$3:$B$6000,B5570,4)*5+0.000001,1))</f>
        <v/>
      </c>
      <c r="F5570">
        <f>IF(A5570="","",MAX(1,CEILING(PERCENTRANK.INC($C$3:$C$6000,C5570,4)*5+0.000001,1)))</f>
        <v/>
      </c>
      <c r="G5570">
        <f>IF(A5570="","",MAX(1,CEILING(PERCENTRANK.INC($D$3:$D$6000,D5570,4)*5+0.000001,1)))</f>
        <v/>
      </c>
      <c r="H5570">
        <f>IF(A5570="","",E5570&amp;F5570&amp;G5570)</f>
        <v/>
      </c>
      <c r="I5570">
        <f>IF(A5570="","",IF(AND(E5570&gt;=4,F5570&gt;=4,G5570&gt;=4),"Juara",IF(AND(F5570&gt;=4,E5570&gt;=3),"Setia",IF(AND(E5570=5,F5570&lt;=2,G5570&gt;=3),"Berpotensi",IF(AND(E5570&lt;=3,E5570&gt;=2,F5570&gt;=3),"Rawan",IF(AND(E5570&lt;=2,F5570&lt;=2),"Tidur","Umum"))))))</f>
        <v/>
      </c>
    </row>
    <row r="5571">
      <c r="B5571">
        <f>IF(A5571="","",$B$1-MAXIFS(Donasi!$A$2:$A$20000,Donasi!$B$2:$B$20000,A5571))</f>
        <v/>
      </c>
      <c r="C5571">
        <f>IF(A5571="","",COUNTIF(Donasi!$B$2:$B$20000,A5571))</f>
        <v/>
      </c>
      <c r="D5571">
        <f>IF(A5571="","",SUMIF(Donasi!$B$2:$B$20000,A5571,Donasi!$C$2:$C$20000))</f>
        <v/>
      </c>
      <c r="E5571">
        <f>IF(A5571="","",6-CEILING(PERCENTRANK.INC($B$3:$B$6000,B5571,4)*5+0.000001,1))</f>
        <v/>
      </c>
      <c r="F5571">
        <f>IF(A5571="","",MAX(1,CEILING(PERCENTRANK.INC($C$3:$C$6000,C5571,4)*5+0.000001,1)))</f>
        <v/>
      </c>
      <c r="G5571">
        <f>IF(A5571="","",MAX(1,CEILING(PERCENTRANK.INC($D$3:$D$6000,D5571,4)*5+0.000001,1)))</f>
        <v/>
      </c>
      <c r="H5571">
        <f>IF(A5571="","",E5571&amp;F5571&amp;G5571)</f>
        <v/>
      </c>
      <c r="I5571">
        <f>IF(A5571="","",IF(AND(E5571&gt;=4,F5571&gt;=4,G5571&gt;=4),"Juara",IF(AND(F5571&gt;=4,E5571&gt;=3),"Setia",IF(AND(E5571=5,F5571&lt;=2,G5571&gt;=3),"Berpotensi",IF(AND(E5571&lt;=3,E5571&gt;=2,F5571&gt;=3),"Rawan",IF(AND(E5571&lt;=2,F5571&lt;=2),"Tidur","Umum"))))))</f>
        <v/>
      </c>
    </row>
    <row r="5572">
      <c r="B5572">
        <f>IF(A5572="","",$B$1-MAXIFS(Donasi!$A$2:$A$20000,Donasi!$B$2:$B$20000,A5572))</f>
        <v/>
      </c>
      <c r="C5572">
        <f>IF(A5572="","",COUNTIF(Donasi!$B$2:$B$20000,A5572))</f>
        <v/>
      </c>
      <c r="D5572">
        <f>IF(A5572="","",SUMIF(Donasi!$B$2:$B$20000,A5572,Donasi!$C$2:$C$20000))</f>
        <v/>
      </c>
      <c r="E5572">
        <f>IF(A5572="","",6-CEILING(PERCENTRANK.INC($B$3:$B$6000,B5572,4)*5+0.000001,1))</f>
        <v/>
      </c>
      <c r="F5572">
        <f>IF(A5572="","",MAX(1,CEILING(PERCENTRANK.INC($C$3:$C$6000,C5572,4)*5+0.000001,1)))</f>
        <v/>
      </c>
      <c r="G5572">
        <f>IF(A5572="","",MAX(1,CEILING(PERCENTRANK.INC($D$3:$D$6000,D5572,4)*5+0.000001,1)))</f>
        <v/>
      </c>
      <c r="H5572">
        <f>IF(A5572="","",E5572&amp;F5572&amp;G5572)</f>
        <v/>
      </c>
      <c r="I5572">
        <f>IF(A5572="","",IF(AND(E5572&gt;=4,F5572&gt;=4,G5572&gt;=4),"Juara",IF(AND(F5572&gt;=4,E5572&gt;=3),"Setia",IF(AND(E5572=5,F5572&lt;=2,G5572&gt;=3),"Berpotensi",IF(AND(E5572&lt;=3,E5572&gt;=2,F5572&gt;=3),"Rawan",IF(AND(E5572&lt;=2,F5572&lt;=2),"Tidur","Umum"))))))</f>
        <v/>
      </c>
    </row>
    <row r="5573">
      <c r="B5573">
        <f>IF(A5573="","",$B$1-MAXIFS(Donasi!$A$2:$A$20000,Donasi!$B$2:$B$20000,A5573))</f>
        <v/>
      </c>
      <c r="C5573">
        <f>IF(A5573="","",COUNTIF(Donasi!$B$2:$B$20000,A5573))</f>
        <v/>
      </c>
      <c r="D5573">
        <f>IF(A5573="","",SUMIF(Donasi!$B$2:$B$20000,A5573,Donasi!$C$2:$C$20000))</f>
        <v/>
      </c>
      <c r="E5573">
        <f>IF(A5573="","",6-CEILING(PERCENTRANK.INC($B$3:$B$6000,B5573,4)*5+0.000001,1))</f>
        <v/>
      </c>
      <c r="F5573">
        <f>IF(A5573="","",MAX(1,CEILING(PERCENTRANK.INC($C$3:$C$6000,C5573,4)*5+0.000001,1)))</f>
        <v/>
      </c>
      <c r="G5573">
        <f>IF(A5573="","",MAX(1,CEILING(PERCENTRANK.INC($D$3:$D$6000,D5573,4)*5+0.000001,1)))</f>
        <v/>
      </c>
      <c r="H5573">
        <f>IF(A5573="","",E5573&amp;F5573&amp;G5573)</f>
        <v/>
      </c>
      <c r="I5573">
        <f>IF(A5573="","",IF(AND(E5573&gt;=4,F5573&gt;=4,G5573&gt;=4),"Juara",IF(AND(F5573&gt;=4,E5573&gt;=3),"Setia",IF(AND(E5573=5,F5573&lt;=2,G5573&gt;=3),"Berpotensi",IF(AND(E5573&lt;=3,E5573&gt;=2,F5573&gt;=3),"Rawan",IF(AND(E5573&lt;=2,F5573&lt;=2),"Tidur","Umum"))))))</f>
        <v/>
      </c>
    </row>
    <row r="5574">
      <c r="B5574">
        <f>IF(A5574="","",$B$1-MAXIFS(Donasi!$A$2:$A$20000,Donasi!$B$2:$B$20000,A5574))</f>
        <v/>
      </c>
      <c r="C5574">
        <f>IF(A5574="","",COUNTIF(Donasi!$B$2:$B$20000,A5574))</f>
        <v/>
      </c>
      <c r="D5574">
        <f>IF(A5574="","",SUMIF(Donasi!$B$2:$B$20000,A5574,Donasi!$C$2:$C$20000))</f>
        <v/>
      </c>
      <c r="E5574">
        <f>IF(A5574="","",6-CEILING(PERCENTRANK.INC($B$3:$B$6000,B5574,4)*5+0.000001,1))</f>
        <v/>
      </c>
      <c r="F5574">
        <f>IF(A5574="","",MAX(1,CEILING(PERCENTRANK.INC($C$3:$C$6000,C5574,4)*5+0.000001,1)))</f>
        <v/>
      </c>
      <c r="G5574">
        <f>IF(A5574="","",MAX(1,CEILING(PERCENTRANK.INC($D$3:$D$6000,D5574,4)*5+0.000001,1)))</f>
        <v/>
      </c>
      <c r="H5574">
        <f>IF(A5574="","",E5574&amp;F5574&amp;G5574)</f>
        <v/>
      </c>
      <c r="I5574">
        <f>IF(A5574="","",IF(AND(E5574&gt;=4,F5574&gt;=4,G5574&gt;=4),"Juara",IF(AND(F5574&gt;=4,E5574&gt;=3),"Setia",IF(AND(E5574=5,F5574&lt;=2,G5574&gt;=3),"Berpotensi",IF(AND(E5574&lt;=3,E5574&gt;=2,F5574&gt;=3),"Rawan",IF(AND(E5574&lt;=2,F5574&lt;=2),"Tidur","Umum"))))))</f>
        <v/>
      </c>
    </row>
    <row r="5575">
      <c r="B5575">
        <f>IF(A5575="","",$B$1-MAXIFS(Donasi!$A$2:$A$20000,Donasi!$B$2:$B$20000,A5575))</f>
        <v/>
      </c>
      <c r="C5575">
        <f>IF(A5575="","",COUNTIF(Donasi!$B$2:$B$20000,A5575))</f>
        <v/>
      </c>
      <c r="D5575">
        <f>IF(A5575="","",SUMIF(Donasi!$B$2:$B$20000,A5575,Donasi!$C$2:$C$20000))</f>
        <v/>
      </c>
      <c r="E5575">
        <f>IF(A5575="","",6-CEILING(PERCENTRANK.INC($B$3:$B$6000,B5575,4)*5+0.000001,1))</f>
        <v/>
      </c>
      <c r="F5575">
        <f>IF(A5575="","",MAX(1,CEILING(PERCENTRANK.INC($C$3:$C$6000,C5575,4)*5+0.000001,1)))</f>
        <v/>
      </c>
      <c r="G5575">
        <f>IF(A5575="","",MAX(1,CEILING(PERCENTRANK.INC($D$3:$D$6000,D5575,4)*5+0.000001,1)))</f>
        <v/>
      </c>
      <c r="H5575">
        <f>IF(A5575="","",E5575&amp;F5575&amp;G5575)</f>
        <v/>
      </c>
      <c r="I5575">
        <f>IF(A5575="","",IF(AND(E5575&gt;=4,F5575&gt;=4,G5575&gt;=4),"Juara",IF(AND(F5575&gt;=4,E5575&gt;=3),"Setia",IF(AND(E5575=5,F5575&lt;=2,G5575&gt;=3),"Berpotensi",IF(AND(E5575&lt;=3,E5575&gt;=2,F5575&gt;=3),"Rawan",IF(AND(E5575&lt;=2,F5575&lt;=2),"Tidur","Umum"))))))</f>
        <v/>
      </c>
    </row>
    <row r="5576">
      <c r="B5576">
        <f>IF(A5576="","",$B$1-MAXIFS(Donasi!$A$2:$A$20000,Donasi!$B$2:$B$20000,A5576))</f>
        <v/>
      </c>
      <c r="C5576">
        <f>IF(A5576="","",COUNTIF(Donasi!$B$2:$B$20000,A5576))</f>
        <v/>
      </c>
      <c r="D5576">
        <f>IF(A5576="","",SUMIF(Donasi!$B$2:$B$20000,A5576,Donasi!$C$2:$C$20000))</f>
        <v/>
      </c>
      <c r="E5576">
        <f>IF(A5576="","",6-CEILING(PERCENTRANK.INC($B$3:$B$6000,B5576,4)*5+0.000001,1))</f>
        <v/>
      </c>
      <c r="F5576">
        <f>IF(A5576="","",MAX(1,CEILING(PERCENTRANK.INC($C$3:$C$6000,C5576,4)*5+0.000001,1)))</f>
        <v/>
      </c>
      <c r="G5576">
        <f>IF(A5576="","",MAX(1,CEILING(PERCENTRANK.INC($D$3:$D$6000,D5576,4)*5+0.000001,1)))</f>
        <v/>
      </c>
      <c r="H5576">
        <f>IF(A5576="","",E5576&amp;F5576&amp;G5576)</f>
        <v/>
      </c>
      <c r="I5576">
        <f>IF(A5576="","",IF(AND(E5576&gt;=4,F5576&gt;=4,G5576&gt;=4),"Juara",IF(AND(F5576&gt;=4,E5576&gt;=3),"Setia",IF(AND(E5576=5,F5576&lt;=2,G5576&gt;=3),"Berpotensi",IF(AND(E5576&lt;=3,E5576&gt;=2,F5576&gt;=3),"Rawan",IF(AND(E5576&lt;=2,F5576&lt;=2),"Tidur","Umum"))))))</f>
        <v/>
      </c>
    </row>
    <row r="5577">
      <c r="B5577">
        <f>IF(A5577="","",$B$1-MAXIFS(Donasi!$A$2:$A$20000,Donasi!$B$2:$B$20000,A5577))</f>
        <v/>
      </c>
      <c r="C5577">
        <f>IF(A5577="","",COUNTIF(Donasi!$B$2:$B$20000,A5577))</f>
        <v/>
      </c>
      <c r="D5577">
        <f>IF(A5577="","",SUMIF(Donasi!$B$2:$B$20000,A5577,Donasi!$C$2:$C$20000))</f>
        <v/>
      </c>
      <c r="E5577">
        <f>IF(A5577="","",6-CEILING(PERCENTRANK.INC($B$3:$B$6000,B5577,4)*5+0.000001,1))</f>
        <v/>
      </c>
      <c r="F5577">
        <f>IF(A5577="","",MAX(1,CEILING(PERCENTRANK.INC($C$3:$C$6000,C5577,4)*5+0.000001,1)))</f>
        <v/>
      </c>
      <c r="G5577">
        <f>IF(A5577="","",MAX(1,CEILING(PERCENTRANK.INC($D$3:$D$6000,D5577,4)*5+0.000001,1)))</f>
        <v/>
      </c>
      <c r="H5577">
        <f>IF(A5577="","",E5577&amp;F5577&amp;G5577)</f>
        <v/>
      </c>
      <c r="I5577">
        <f>IF(A5577="","",IF(AND(E5577&gt;=4,F5577&gt;=4,G5577&gt;=4),"Juara",IF(AND(F5577&gt;=4,E5577&gt;=3),"Setia",IF(AND(E5577=5,F5577&lt;=2,G5577&gt;=3),"Berpotensi",IF(AND(E5577&lt;=3,E5577&gt;=2,F5577&gt;=3),"Rawan",IF(AND(E5577&lt;=2,F5577&lt;=2),"Tidur","Umum"))))))</f>
        <v/>
      </c>
    </row>
    <row r="5578">
      <c r="B5578">
        <f>IF(A5578="","",$B$1-MAXIFS(Donasi!$A$2:$A$20000,Donasi!$B$2:$B$20000,A5578))</f>
        <v/>
      </c>
      <c r="C5578">
        <f>IF(A5578="","",COUNTIF(Donasi!$B$2:$B$20000,A5578))</f>
        <v/>
      </c>
      <c r="D5578">
        <f>IF(A5578="","",SUMIF(Donasi!$B$2:$B$20000,A5578,Donasi!$C$2:$C$20000))</f>
        <v/>
      </c>
      <c r="E5578">
        <f>IF(A5578="","",6-CEILING(PERCENTRANK.INC($B$3:$B$6000,B5578,4)*5+0.000001,1))</f>
        <v/>
      </c>
      <c r="F5578">
        <f>IF(A5578="","",MAX(1,CEILING(PERCENTRANK.INC($C$3:$C$6000,C5578,4)*5+0.000001,1)))</f>
        <v/>
      </c>
      <c r="G5578">
        <f>IF(A5578="","",MAX(1,CEILING(PERCENTRANK.INC($D$3:$D$6000,D5578,4)*5+0.000001,1)))</f>
        <v/>
      </c>
      <c r="H5578">
        <f>IF(A5578="","",E5578&amp;F5578&amp;G5578)</f>
        <v/>
      </c>
      <c r="I5578">
        <f>IF(A5578="","",IF(AND(E5578&gt;=4,F5578&gt;=4,G5578&gt;=4),"Juara",IF(AND(F5578&gt;=4,E5578&gt;=3),"Setia",IF(AND(E5578=5,F5578&lt;=2,G5578&gt;=3),"Berpotensi",IF(AND(E5578&lt;=3,E5578&gt;=2,F5578&gt;=3),"Rawan",IF(AND(E5578&lt;=2,F5578&lt;=2),"Tidur","Umum"))))))</f>
        <v/>
      </c>
    </row>
    <row r="5579">
      <c r="B5579">
        <f>IF(A5579="","",$B$1-MAXIFS(Donasi!$A$2:$A$20000,Donasi!$B$2:$B$20000,A5579))</f>
        <v/>
      </c>
      <c r="C5579">
        <f>IF(A5579="","",COUNTIF(Donasi!$B$2:$B$20000,A5579))</f>
        <v/>
      </c>
      <c r="D5579">
        <f>IF(A5579="","",SUMIF(Donasi!$B$2:$B$20000,A5579,Donasi!$C$2:$C$20000))</f>
        <v/>
      </c>
      <c r="E5579">
        <f>IF(A5579="","",6-CEILING(PERCENTRANK.INC($B$3:$B$6000,B5579,4)*5+0.000001,1))</f>
        <v/>
      </c>
      <c r="F5579">
        <f>IF(A5579="","",MAX(1,CEILING(PERCENTRANK.INC($C$3:$C$6000,C5579,4)*5+0.000001,1)))</f>
        <v/>
      </c>
      <c r="G5579">
        <f>IF(A5579="","",MAX(1,CEILING(PERCENTRANK.INC($D$3:$D$6000,D5579,4)*5+0.000001,1)))</f>
        <v/>
      </c>
      <c r="H5579">
        <f>IF(A5579="","",E5579&amp;F5579&amp;G5579)</f>
        <v/>
      </c>
      <c r="I5579">
        <f>IF(A5579="","",IF(AND(E5579&gt;=4,F5579&gt;=4,G5579&gt;=4),"Juara",IF(AND(F5579&gt;=4,E5579&gt;=3),"Setia",IF(AND(E5579=5,F5579&lt;=2,G5579&gt;=3),"Berpotensi",IF(AND(E5579&lt;=3,E5579&gt;=2,F5579&gt;=3),"Rawan",IF(AND(E5579&lt;=2,F5579&lt;=2),"Tidur","Umum"))))))</f>
        <v/>
      </c>
    </row>
    <row r="5580">
      <c r="B5580">
        <f>IF(A5580="","",$B$1-MAXIFS(Donasi!$A$2:$A$20000,Donasi!$B$2:$B$20000,A5580))</f>
        <v/>
      </c>
      <c r="C5580">
        <f>IF(A5580="","",COUNTIF(Donasi!$B$2:$B$20000,A5580))</f>
        <v/>
      </c>
      <c r="D5580">
        <f>IF(A5580="","",SUMIF(Donasi!$B$2:$B$20000,A5580,Donasi!$C$2:$C$20000))</f>
        <v/>
      </c>
      <c r="E5580">
        <f>IF(A5580="","",6-CEILING(PERCENTRANK.INC($B$3:$B$6000,B5580,4)*5+0.000001,1))</f>
        <v/>
      </c>
      <c r="F5580">
        <f>IF(A5580="","",MAX(1,CEILING(PERCENTRANK.INC($C$3:$C$6000,C5580,4)*5+0.000001,1)))</f>
        <v/>
      </c>
      <c r="G5580">
        <f>IF(A5580="","",MAX(1,CEILING(PERCENTRANK.INC($D$3:$D$6000,D5580,4)*5+0.000001,1)))</f>
        <v/>
      </c>
      <c r="H5580">
        <f>IF(A5580="","",E5580&amp;F5580&amp;G5580)</f>
        <v/>
      </c>
      <c r="I5580">
        <f>IF(A5580="","",IF(AND(E5580&gt;=4,F5580&gt;=4,G5580&gt;=4),"Juara",IF(AND(F5580&gt;=4,E5580&gt;=3),"Setia",IF(AND(E5580=5,F5580&lt;=2,G5580&gt;=3),"Berpotensi",IF(AND(E5580&lt;=3,E5580&gt;=2,F5580&gt;=3),"Rawan",IF(AND(E5580&lt;=2,F5580&lt;=2),"Tidur","Umum"))))))</f>
        <v/>
      </c>
    </row>
    <row r="5581">
      <c r="B5581">
        <f>IF(A5581="","",$B$1-MAXIFS(Donasi!$A$2:$A$20000,Donasi!$B$2:$B$20000,A5581))</f>
        <v/>
      </c>
      <c r="C5581">
        <f>IF(A5581="","",COUNTIF(Donasi!$B$2:$B$20000,A5581))</f>
        <v/>
      </c>
      <c r="D5581">
        <f>IF(A5581="","",SUMIF(Donasi!$B$2:$B$20000,A5581,Donasi!$C$2:$C$20000))</f>
        <v/>
      </c>
      <c r="E5581">
        <f>IF(A5581="","",6-CEILING(PERCENTRANK.INC($B$3:$B$6000,B5581,4)*5+0.000001,1))</f>
        <v/>
      </c>
      <c r="F5581">
        <f>IF(A5581="","",MAX(1,CEILING(PERCENTRANK.INC($C$3:$C$6000,C5581,4)*5+0.000001,1)))</f>
        <v/>
      </c>
      <c r="G5581">
        <f>IF(A5581="","",MAX(1,CEILING(PERCENTRANK.INC($D$3:$D$6000,D5581,4)*5+0.000001,1)))</f>
        <v/>
      </c>
      <c r="H5581">
        <f>IF(A5581="","",E5581&amp;F5581&amp;G5581)</f>
        <v/>
      </c>
      <c r="I5581">
        <f>IF(A5581="","",IF(AND(E5581&gt;=4,F5581&gt;=4,G5581&gt;=4),"Juara",IF(AND(F5581&gt;=4,E5581&gt;=3),"Setia",IF(AND(E5581=5,F5581&lt;=2,G5581&gt;=3),"Berpotensi",IF(AND(E5581&lt;=3,E5581&gt;=2,F5581&gt;=3),"Rawan",IF(AND(E5581&lt;=2,F5581&lt;=2),"Tidur","Umum"))))))</f>
        <v/>
      </c>
    </row>
    <row r="5582">
      <c r="B5582">
        <f>IF(A5582="","",$B$1-MAXIFS(Donasi!$A$2:$A$20000,Donasi!$B$2:$B$20000,A5582))</f>
        <v/>
      </c>
      <c r="C5582">
        <f>IF(A5582="","",COUNTIF(Donasi!$B$2:$B$20000,A5582))</f>
        <v/>
      </c>
      <c r="D5582">
        <f>IF(A5582="","",SUMIF(Donasi!$B$2:$B$20000,A5582,Donasi!$C$2:$C$20000))</f>
        <v/>
      </c>
      <c r="E5582">
        <f>IF(A5582="","",6-CEILING(PERCENTRANK.INC($B$3:$B$6000,B5582,4)*5+0.000001,1))</f>
        <v/>
      </c>
      <c r="F5582">
        <f>IF(A5582="","",MAX(1,CEILING(PERCENTRANK.INC($C$3:$C$6000,C5582,4)*5+0.000001,1)))</f>
        <v/>
      </c>
      <c r="G5582">
        <f>IF(A5582="","",MAX(1,CEILING(PERCENTRANK.INC($D$3:$D$6000,D5582,4)*5+0.000001,1)))</f>
        <v/>
      </c>
      <c r="H5582">
        <f>IF(A5582="","",E5582&amp;F5582&amp;G5582)</f>
        <v/>
      </c>
      <c r="I5582">
        <f>IF(A5582="","",IF(AND(E5582&gt;=4,F5582&gt;=4,G5582&gt;=4),"Juara",IF(AND(F5582&gt;=4,E5582&gt;=3),"Setia",IF(AND(E5582=5,F5582&lt;=2,G5582&gt;=3),"Berpotensi",IF(AND(E5582&lt;=3,E5582&gt;=2,F5582&gt;=3),"Rawan",IF(AND(E5582&lt;=2,F5582&lt;=2),"Tidur","Umum"))))))</f>
        <v/>
      </c>
    </row>
    <row r="5583">
      <c r="B5583">
        <f>IF(A5583="","",$B$1-MAXIFS(Donasi!$A$2:$A$20000,Donasi!$B$2:$B$20000,A5583))</f>
        <v/>
      </c>
      <c r="C5583">
        <f>IF(A5583="","",COUNTIF(Donasi!$B$2:$B$20000,A5583))</f>
        <v/>
      </c>
      <c r="D5583">
        <f>IF(A5583="","",SUMIF(Donasi!$B$2:$B$20000,A5583,Donasi!$C$2:$C$20000))</f>
        <v/>
      </c>
      <c r="E5583">
        <f>IF(A5583="","",6-CEILING(PERCENTRANK.INC($B$3:$B$6000,B5583,4)*5+0.000001,1))</f>
        <v/>
      </c>
      <c r="F5583">
        <f>IF(A5583="","",MAX(1,CEILING(PERCENTRANK.INC($C$3:$C$6000,C5583,4)*5+0.000001,1)))</f>
        <v/>
      </c>
      <c r="G5583">
        <f>IF(A5583="","",MAX(1,CEILING(PERCENTRANK.INC($D$3:$D$6000,D5583,4)*5+0.000001,1)))</f>
        <v/>
      </c>
      <c r="H5583">
        <f>IF(A5583="","",E5583&amp;F5583&amp;G5583)</f>
        <v/>
      </c>
      <c r="I5583">
        <f>IF(A5583="","",IF(AND(E5583&gt;=4,F5583&gt;=4,G5583&gt;=4),"Juara",IF(AND(F5583&gt;=4,E5583&gt;=3),"Setia",IF(AND(E5583=5,F5583&lt;=2,G5583&gt;=3),"Berpotensi",IF(AND(E5583&lt;=3,E5583&gt;=2,F5583&gt;=3),"Rawan",IF(AND(E5583&lt;=2,F5583&lt;=2),"Tidur","Umum"))))))</f>
        <v/>
      </c>
    </row>
    <row r="5584">
      <c r="B5584">
        <f>IF(A5584="","",$B$1-MAXIFS(Donasi!$A$2:$A$20000,Donasi!$B$2:$B$20000,A5584))</f>
        <v/>
      </c>
      <c r="C5584">
        <f>IF(A5584="","",COUNTIF(Donasi!$B$2:$B$20000,A5584))</f>
        <v/>
      </c>
      <c r="D5584">
        <f>IF(A5584="","",SUMIF(Donasi!$B$2:$B$20000,A5584,Donasi!$C$2:$C$20000))</f>
        <v/>
      </c>
      <c r="E5584">
        <f>IF(A5584="","",6-CEILING(PERCENTRANK.INC($B$3:$B$6000,B5584,4)*5+0.000001,1))</f>
        <v/>
      </c>
      <c r="F5584">
        <f>IF(A5584="","",MAX(1,CEILING(PERCENTRANK.INC($C$3:$C$6000,C5584,4)*5+0.000001,1)))</f>
        <v/>
      </c>
      <c r="G5584">
        <f>IF(A5584="","",MAX(1,CEILING(PERCENTRANK.INC($D$3:$D$6000,D5584,4)*5+0.000001,1)))</f>
        <v/>
      </c>
      <c r="H5584">
        <f>IF(A5584="","",E5584&amp;F5584&amp;G5584)</f>
        <v/>
      </c>
      <c r="I5584">
        <f>IF(A5584="","",IF(AND(E5584&gt;=4,F5584&gt;=4,G5584&gt;=4),"Juara",IF(AND(F5584&gt;=4,E5584&gt;=3),"Setia",IF(AND(E5584=5,F5584&lt;=2,G5584&gt;=3),"Berpotensi",IF(AND(E5584&lt;=3,E5584&gt;=2,F5584&gt;=3),"Rawan",IF(AND(E5584&lt;=2,F5584&lt;=2),"Tidur","Umum"))))))</f>
        <v/>
      </c>
    </row>
    <row r="5585">
      <c r="B5585">
        <f>IF(A5585="","",$B$1-MAXIFS(Donasi!$A$2:$A$20000,Donasi!$B$2:$B$20000,A5585))</f>
        <v/>
      </c>
      <c r="C5585">
        <f>IF(A5585="","",COUNTIF(Donasi!$B$2:$B$20000,A5585))</f>
        <v/>
      </c>
      <c r="D5585">
        <f>IF(A5585="","",SUMIF(Donasi!$B$2:$B$20000,A5585,Donasi!$C$2:$C$20000))</f>
        <v/>
      </c>
      <c r="E5585">
        <f>IF(A5585="","",6-CEILING(PERCENTRANK.INC($B$3:$B$6000,B5585,4)*5+0.000001,1))</f>
        <v/>
      </c>
      <c r="F5585">
        <f>IF(A5585="","",MAX(1,CEILING(PERCENTRANK.INC($C$3:$C$6000,C5585,4)*5+0.000001,1)))</f>
        <v/>
      </c>
      <c r="G5585">
        <f>IF(A5585="","",MAX(1,CEILING(PERCENTRANK.INC($D$3:$D$6000,D5585,4)*5+0.000001,1)))</f>
        <v/>
      </c>
      <c r="H5585">
        <f>IF(A5585="","",E5585&amp;F5585&amp;G5585)</f>
        <v/>
      </c>
      <c r="I5585">
        <f>IF(A5585="","",IF(AND(E5585&gt;=4,F5585&gt;=4,G5585&gt;=4),"Juara",IF(AND(F5585&gt;=4,E5585&gt;=3),"Setia",IF(AND(E5585=5,F5585&lt;=2,G5585&gt;=3),"Berpotensi",IF(AND(E5585&lt;=3,E5585&gt;=2,F5585&gt;=3),"Rawan",IF(AND(E5585&lt;=2,F5585&lt;=2),"Tidur","Umum"))))))</f>
        <v/>
      </c>
    </row>
    <row r="5586">
      <c r="B5586">
        <f>IF(A5586="","",$B$1-MAXIFS(Donasi!$A$2:$A$20000,Donasi!$B$2:$B$20000,A5586))</f>
        <v/>
      </c>
      <c r="C5586">
        <f>IF(A5586="","",COUNTIF(Donasi!$B$2:$B$20000,A5586))</f>
        <v/>
      </c>
      <c r="D5586">
        <f>IF(A5586="","",SUMIF(Donasi!$B$2:$B$20000,A5586,Donasi!$C$2:$C$20000))</f>
        <v/>
      </c>
      <c r="E5586">
        <f>IF(A5586="","",6-CEILING(PERCENTRANK.INC($B$3:$B$6000,B5586,4)*5+0.000001,1))</f>
        <v/>
      </c>
      <c r="F5586">
        <f>IF(A5586="","",MAX(1,CEILING(PERCENTRANK.INC($C$3:$C$6000,C5586,4)*5+0.000001,1)))</f>
        <v/>
      </c>
      <c r="G5586">
        <f>IF(A5586="","",MAX(1,CEILING(PERCENTRANK.INC($D$3:$D$6000,D5586,4)*5+0.000001,1)))</f>
        <v/>
      </c>
      <c r="H5586">
        <f>IF(A5586="","",E5586&amp;F5586&amp;G5586)</f>
        <v/>
      </c>
      <c r="I5586">
        <f>IF(A5586="","",IF(AND(E5586&gt;=4,F5586&gt;=4,G5586&gt;=4),"Juara",IF(AND(F5586&gt;=4,E5586&gt;=3),"Setia",IF(AND(E5586=5,F5586&lt;=2,G5586&gt;=3),"Berpotensi",IF(AND(E5586&lt;=3,E5586&gt;=2,F5586&gt;=3),"Rawan",IF(AND(E5586&lt;=2,F5586&lt;=2),"Tidur","Umum"))))))</f>
        <v/>
      </c>
    </row>
    <row r="5587">
      <c r="B5587">
        <f>IF(A5587="","",$B$1-MAXIFS(Donasi!$A$2:$A$20000,Donasi!$B$2:$B$20000,A5587))</f>
        <v/>
      </c>
      <c r="C5587">
        <f>IF(A5587="","",COUNTIF(Donasi!$B$2:$B$20000,A5587))</f>
        <v/>
      </c>
      <c r="D5587">
        <f>IF(A5587="","",SUMIF(Donasi!$B$2:$B$20000,A5587,Donasi!$C$2:$C$20000))</f>
        <v/>
      </c>
      <c r="E5587">
        <f>IF(A5587="","",6-CEILING(PERCENTRANK.INC($B$3:$B$6000,B5587,4)*5+0.000001,1))</f>
        <v/>
      </c>
      <c r="F5587">
        <f>IF(A5587="","",MAX(1,CEILING(PERCENTRANK.INC($C$3:$C$6000,C5587,4)*5+0.000001,1)))</f>
        <v/>
      </c>
      <c r="G5587">
        <f>IF(A5587="","",MAX(1,CEILING(PERCENTRANK.INC($D$3:$D$6000,D5587,4)*5+0.000001,1)))</f>
        <v/>
      </c>
      <c r="H5587">
        <f>IF(A5587="","",E5587&amp;F5587&amp;G5587)</f>
        <v/>
      </c>
      <c r="I5587">
        <f>IF(A5587="","",IF(AND(E5587&gt;=4,F5587&gt;=4,G5587&gt;=4),"Juara",IF(AND(F5587&gt;=4,E5587&gt;=3),"Setia",IF(AND(E5587=5,F5587&lt;=2,G5587&gt;=3),"Berpotensi",IF(AND(E5587&lt;=3,E5587&gt;=2,F5587&gt;=3),"Rawan",IF(AND(E5587&lt;=2,F5587&lt;=2),"Tidur","Umum"))))))</f>
        <v/>
      </c>
    </row>
    <row r="5588">
      <c r="B5588">
        <f>IF(A5588="","",$B$1-MAXIFS(Donasi!$A$2:$A$20000,Donasi!$B$2:$B$20000,A5588))</f>
        <v/>
      </c>
      <c r="C5588">
        <f>IF(A5588="","",COUNTIF(Donasi!$B$2:$B$20000,A5588))</f>
        <v/>
      </c>
      <c r="D5588">
        <f>IF(A5588="","",SUMIF(Donasi!$B$2:$B$20000,A5588,Donasi!$C$2:$C$20000))</f>
        <v/>
      </c>
      <c r="E5588">
        <f>IF(A5588="","",6-CEILING(PERCENTRANK.INC($B$3:$B$6000,B5588,4)*5+0.000001,1))</f>
        <v/>
      </c>
      <c r="F5588">
        <f>IF(A5588="","",MAX(1,CEILING(PERCENTRANK.INC($C$3:$C$6000,C5588,4)*5+0.000001,1)))</f>
        <v/>
      </c>
      <c r="G5588">
        <f>IF(A5588="","",MAX(1,CEILING(PERCENTRANK.INC($D$3:$D$6000,D5588,4)*5+0.000001,1)))</f>
        <v/>
      </c>
      <c r="H5588">
        <f>IF(A5588="","",E5588&amp;F5588&amp;G5588)</f>
        <v/>
      </c>
      <c r="I5588">
        <f>IF(A5588="","",IF(AND(E5588&gt;=4,F5588&gt;=4,G5588&gt;=4),"Juara",IF(AND(F5588&gt;=4,E5588&gt;=3),"Setia",IF(AND(E5588=5,F5588&lt;=2,G5588&gt;=3),"Berpotensi",IF(AND(E5588&lt;=3,E5588&gt;=2,F5588&gt;=3),"Rawan",IF(AND(E5588&lt;=2,F5588&lt;=2),"Tidur","Umum"))))))</f>
        <v/>
      </c>
    </row>
    <row r="5589">
      <c r="B5589">
        <f>IF(A5589="","",$B$1-MAXIFS(Donasi!$A$2:$A$20000,Donasi!$B$2:$B$20000,A5589))</f>
        <v/>
      </c>
      <c r="C5589">
        <f>IF(A5589="","",COUNTIF(Donasi!$B$2:$B$20000,A5589))</f>
        <v/>
      </c>
      <c r="D5589">
        <f>IF(A5589="","",SUMIF(Donasi!$B$2:$B$20000,A5589,Donasi!$C$2:$C$20000))</f>
        <v/>
      </c>
      <c r="E5589">
        <f>IF(A5589="","",6-CEILING(PERCENTRANK.INC($B$3:$B$6000,B5589,4)*5+0.000001,1))</f>
        <v/>
      </c>
      <c r="F5589">
        <f>IF(A5589="","",MAX(1,CEILING(PERCENTRANK.INC($C$3:$C$6000,C5589,4)*5+0.000001,1)))</f>
        <v/>
      </c>
      <c r="G5589">
        <f>IF(A5589="","",MAX(1,CEILING(PERCENTRANK.INC($D$3:$D$6000,D5589,4)*5+0.000001,1)))</f>
        <v/>
      </c>
      <c r="H5589">
        <f>IF(A5589="","",E5589&amp;F5589&amp;G5589)</f>
        <v/>
      </c>
      <c r="I5589">
        <f>IF(A5589="","",IF(AND(E5589&gt;=4,F5589&gt;=4,G5589&gt;=4),"Juara",IF(AND(F5589&gt;=4,E5589&gt;=3),"Setia",IF(AND(E5589=5,F5589&lt;=2,G5589&gt;=3),"Berpotensi",IF(AND(E5589&lt;=3,E5589&gt;=2,F5589&gt;=3),"Rawan",IF(AND(E5589&lt;=2,F5589&lt;=2),"Tidur","Umum"))))))</f>
        <v/>
      </c>
    </row>
    <row r="5590">
      <c r="B5590">
        <f>IF(A5590="","",$B$1-MAXIFS(Donasi!$A$2:$A$20000,Donasi!$B$2:$B$20000,A5590))</f>
        <v/>
      </c>
      <c r="C5590">
        <f>IF(A5590="","",COUNTIF(Donasi!$B$2:$B$20000,A5590))</f>
        <v/>
      </c>
      <c r="D5590">
        <f>IF(A5590="","",SUMIF(Donasi!$B$2:$B$20000,A5590,Donasi!$C$2:$C$20000))</f>
        <v/>
      </c>
      <c r="E5590">
        <f>IF(A5590="","",6-CEILING(PERCENTRANK.INC($B$3:$B$6000,B5590,4)*5+0.000001,1))</f>
        <v/>
      </c>
      <c r="F5590">
        <f>IF(A5590="","",MAX(1,CEILING(PERCENTRANK.INC($C$3:$C$6000,C5590,4)*5+0.000001,1)))</f>
        <v/>
      </c>
      <c r="G5590">
        <f>IF(A5590="","",MAX(1,CEILING(PERCENTRANK.INC($D$3:$D$6000,D5590,4)*5+0.000001,1)))</f>
        <v/>
      </c>
      <c r="H5590">
        <f>IF(A5590="","",E5590&amp;F5590&amp;G5590)</f>
        <v/>
      </c>
      <c r="I5590">
        <f>IF(A5590="","",IF(AND(E5590&gt;=4,F5590&gt;=4,G5590&gt;=4),"Juara",IF(AND(F5590&gt;=4,E5590&gt;=3),"Setia",IF(AND(E5590=5,F5590&lt;=2,G5590&gt;=3),"Berpotensi",IF(AND(E5590&lt;=3,E5590&gt;=2,F5590&gt;=3),"Rawan",IF(AND(E5590&lt;=2,F5590&lt;=2),"Tidur","Umum"))))))</f>
        <v/>
      </c>
    </row>
    <row r="5591">
      <c r="B5591">
        <f>IF(A5591="","",$B$1-MAXIFS(Donasi!$A$2:$A$20000,Donasi!$B$2:$B$20000,A5591))</f>
        <v/>
      </c>
      <c r="C5591">
        <f>IF(A5591="","",COUNTIF(Donasi!$B$2:$B$20000,A5591))</f>
        <v/>
      </c>
      <c r="D5591">
        <f>IF(A5591="","",SUMIF(Donasi!$B$2:$B$20000,A5591,Donasi!$C$2:$C$20000))</f>
        <v/>
      </c>
      <c r="E5591">
        <f>IF(A5591="","",6-CEILING(PERCENTRANK.INC($B$3:$B$6000,B5591,4)*5+0.000001,1))</f>
        <v/>
      </c>
      <c r="F5591">
        <f>IF(A5591="","",MAX(1,CEILING(PERCENTRANK.INC($C$3:$C$6000,C5591,4)*5+0.000001,1)))</f>
        <v/>
      </c>
      <c r="G5591">
        <f>IF(A5591="","",MAX(1,CEILING(PERCENTRANK.INC($D$3:$D$6000,D5591,4)*5+0.000001,1)))</f>
        <v/>
      </c>
      <c r="H5591">
        <f>IF(A5591="","",E5591&amp;F5591&amp;G5591)</f>
        <v/>
      </c>
      <c r="I5591">
        <f>IF(A5591="","",IF(AND(E5591&gt;=4,F5591&gt;=4,G5591&gt;=4),"Juara",IF(AND(F5591&gt;=4,E5591&gt;=3),"Setia",IF(AND(E5591=5,F5591&lt;=2,G5591&gt;=3),"Berpotensi",IF(AND(E5591&lt;=3,E5591&gt;=2,F5591&gt;=3),"Rawan",IF(AND(E5591&lt;=2,F5591&lt;=2),"Tidur","Umum"))))))</f>
        <v/>
      </c>
    </row>
    <row r="5592">
      <c r="B5592">
        <f>IF(A5592="","",$B$1-MAXIFS(Donasi!$A$2:$A$20000,Donasi!$B$2:$B$20000,A5592))</f>
        <v/>
      </c>
      <c r="C5592">
        <f>IF(A5592="","",COUNTIF(Donasi!$B$2:$B$20000,A5592))</f>
        <v/>
      </c>
      <c r="D5592">
        <f>IF(A5592="","",SUMIF(Donasi!$B$2:$B$20000,A5592,Donasi!$C$2:$C$20000))</f>
        <v/>
      </c>
      <c r="E5592">
        <f>IF(A5592="","",6-CEILING(PERCENTRANK.INC($B$3:$B$6000,B5592,4)*5+0.000001,1))</f>
        <v/>
      </c>
      <c r="F5592">
        <f>IF(A5592="","",MAX(1,CEILING(PERCENTRANK.INC($C$3:$C$6000,C5592,4)*5+0.000001,1)))</f>
        <v/>
      </c>
      <c r="G5592">
        <f>IF(A5592="","",MAX(1,CEILING(PERCENTRANK.INC($D$3:$D$6000,D5592,4)*5+0.000001,1)))</f>
        <v/>
      </c>
      <c r="H5592">
        <f>IF(A5592="","",E5592&amp;F5592&amp;G5592)</f>
        <v/>
      </c>
      <c r="I5592">
        <f>IF(A5592="","",IF(AND(E5592&gt;=4,F5592&gt;=4,G5592&gt;=4),"Juara",IF(AND(F5592&gt;=4,E5592&gt;=3),"Setia",IF(AND(E5592=5,F5592&lt;=2,G5592&gt;=3),"Berpotensi",IF(AND(E5592&lt;=3,E5592&gt;=2,F5592&gt;=3),"Rawan",IF(AND(E5592&lt;=2,F5592&lt;=2),"Tidur","Umum"))))))</f>
        <v/>
      </c>
    </row>
    <row r="5593">
      <c r="B5593">
        <f>IF(A5593="","",$B$1-MAXIFS(Donasi!$A$2:$A$20000,Donasi!$B$2:$B$20000,A5593))</f>
        <v/>
      </c>
      <c r="C5593">
        <f>IF(A5593="","",COUNTIF(Donasi!$B$2:$B$20000,A5593))</f>
        <v/>
      </c>
      <c r="D5593">
        <f>IF(A5593="","",SUMIF(Donasi!$B$2:$B$20000,A5593,Donasi!$C$2:$C$20000))</f>
        <v/>
      </c>
      <c r="E5593">
        <f>IF(A5593="","",6-CEILING(PERCENTRANK.INC($B$3:$B$6000,B5593,4)*5+0.000001,1))</f>
        <v/>
      </c>
      <c r="F5593">
        <f>IF(A5593="","",MAX(1,CEILING(PERCENTRANK.INC($C$3:$C$6000,C5593,4)*5+0.000001,1)))</f>
        <v/>
      </c>
      <c r="G5593">
        <f>IF(A5593="","",MAX(1,CEILING(PERCENTRANK.INC($D$3:$D$6000,D5593,4)*5+0.000001,1)))</f>
        <v/>
      </c>
      <c r="H5593">
        <f>IF(A5593="","",E5593&amp;F5593&amp;G5593)</f>
        <v/>
      </c>
      <c r="I5593">
        <f>IF(A5593="","",IF(AND(E5593&gt;=4,F5593&gt;=4,G5593&gt;=4),"Juara",IF(AND(F5593&gt;=4,E5593&gt;=3),"Setia",IF(AND(E5593=5,F5593&lt;=2,G5593&gt;=3),"Berpotensi",IF(AND(E5593&lt;=3,E5593&gt;=2,F5593&gt;=3),"Rawan",IF(AND(E5593&lt;=2,F5593&lt;=2),"Tidur","Umum"))))))</f>
        <v/>
      </c>
    </row>
    <row r="5594">
      <c r="B5594">
        <f>IF(A5594="","",$B$1-MAXIFS(Donasi!$A$2:$A$20000,Donasi!$B$2:$B$20000,A5594))</f>
        <v/>
      </c>
      <c r="C5594">
        <f>IF(A5594="","",COUNTIF(Donasi!$B$2:$B$20000,A5594))</f>
        <v/>
      </c>
      <c r="D5594">
        <f>IF(A5594="","",SUMIF(Donasi!$B$2:$B$20000,A5594,Donasi!$C$2:$C$20000))</f>
        <v/>
      </c>
      <c r="E5594">
        <f>IF(A5594="","",6-CEILING(PERCENTRANK.INC($B$3:$B$6000,B5594,4)*5+0.000001,1))</f>
        <v/>
      </c>
      <c r="F5594">
        <f>IF(A5594="","",MAX(1,CEILING(PERCENTRANK.INC($C$3:$C$6000,C5594,4)*5+0.000001,1)))</f>
        <v/>
      </c>
      <c r="G5594">
        <f>IF(A5594="","",MAX(1,CEILING(PERCENTRANK.INC($D$3:$D$6000,D5594,4)*5+0.000001,1)))</f>
        <v/>
      </c>
      <c r="H5594">
        <f>IF(A5594="","",E5594&amp;F5594&amp;G5594)</f>
        <v/>
      </c>
      <c r="I5594">
        <f>IF(A5594="","",IF(AND(E5594&gt;=4,F5594&gt;=4,G5594&gt;=4),"Juara",IF(AND(F5594&gt;=4,E5594&gt;=3),"Setia",IF(AND(E5594=5,F5594&lt;=2,G5594&gt;=3),"Berpotensi",IF(AND(E5594&lt;=3,E5594&gt;=2,F5594&gt;=3),"Rawan",IF(AND(E5594&lt;=2,F5594&lt;=2),"Tidur","Umum"))))))</f>
        <v/>
      </c>
    </row>
    <row r="5595">
      <c r="B5595">
        <f>IF(A5595="","",$B$1-MAXIFS(Donasi!$A$2:$A$20000,Donasi!$B$2:$B$20000,A5595))</f>
        <v/>
      </c>
      <c r="C5595">
        <f>IF(A5595="","",COUNTIF(Donasi!$B$2:$B$20000,A5595))</f>
        <v/>
      </c>
      <c r="D5595">
        <f>IF(A5595="","",SUMIF(Donasi!$B$2:$B$20000,A5595,Donasi!$C$2:$C$20000))</f>
        <v/>
      </c>
      <c r="E5595">
        <f>IF(A5595="","",6-CEILING(PERCENTRANK.INC($B$3:$B$6000,B5595,4)*5+0.000001,1))</f>
        <v/>
      </c>
      <c r="F5595">
        <f>IF(A5595="","",MAX(1,CEILING(PERCENTRANK.INC($C$3:$C$6000,C5595,4)*5+0.000001,1)))</f>
        <v/>
      </c>
      <c r="G5595">
        <f>IF(A5595="","",MAX(1,CEILING(PERCENTRANK.INC($D$3:$D$6000,D5595,4)*5+0.000001,1)))</f>
        <v/>
      </c>
      <c r="H5595">
        <f>IF(A5595="","",E5595&amp;F5595&amp;G5595)</f>
        <v/>
      </c>
      <c r="I5595">
        <f>IF(A5595="","",IF(AND(E5595&gt;=4,F5595&gt;=4,G5595&gt;=4),"Juara",IF(AND(F5595&gt;=4,E5595&gt;=3),"Setia",IF(AND(E5595=5,F5595&lt;=2,G5595&gt;=3),"Berpotensi",IF(AND(E5595&lt;=3,E5595&gt;=2,F5595&gt;=3),"Rawan",IF(AND(E5595&lt;=2,F5595&lt;=2),"Tidur","Umum"))))))</f>
        <v/>
      </c>
    </row>
    <row r="5596">
      <c r="B5596">
        <f>IF(A5596="","",$B$1-MAXIFS(Donasi!$A$2:$A$20000,Donasi!$B$2:$B$20000,A5596))</f>
        <v/>
      </c>
      <c r="C5596">
        <f>IF(A5596="","",COUNTIF(Donasi!$B$2:$B$20000,A5596))</f>
        <v/>
      </c>
      <c r="D5596">
        <f>IF(A5596="","",SUMIF(Donasi!$B$2:$B$20000,A5596,Donasi!$C$2:$C$20000))</f>
        <v/>
      </c>
      <c r="E5596">
        <f>IF(A5596="","",6-CEILING(PERCENTRANK.INC($B$3:$B$6000,B5596,4)*5+0.000001,1))</f>
        <v/>
      </c>
      <c r="F5596">
        <f>IF(A5596="","",MAX(1,CEILING(PERCENTRANK.INC($C$3:$C$6000,C5596,4)*5+0.000001,1)))</f>
        <v/>
      </c>
      <c r="G5596">
        <f>IF(A5596="","",MAX(1,CEILING(PERCENTRANK.INC($D$3:$D$6000,D5596,4)*5+0.000001,1)))</f>
        <v/>
      </c>
      <c r="H5596">
        <f>IF(A5596="","",E5596&amp;F5596&amp;G5596)</f>
        <v/>
      </c>
      <c r="I5596">
        <f>IF(A5596="","",IF(AND(E5596&gt;=4,F5596&gt;=4,G5596&gt;=4),"Juara",IF(AND(F5596&gt;=4,E5596&gt;=3),"Setia",IF(AND(E5596=5,F5596&lt;=2,G5596&gt;=3),"Berpotensi",IF(AND(E5596&lt;=3,E5596&gt;=2,F5596&gt;=3),"Rawan",IF(AND(E5596&lt;=2,F5596&lt;=2),"Tidur","Umum"))))))</f>
        <v/>
      </c>
    </row>
    <row r="5597">
      <c r="B5597">
        <f>IF(A5597="","",$B$1-MAXIFS(Donasi!$A$2:$A$20000,Donasi!$B$2:$B$20000,A5597))</f>
        <v/>
      </c>
      <c r="C5597">
        <f>IF(A5597="","",COUNTIF(Donasi!$B$2:$B$20000,A5597))</f>
        <v/>
      </c>
      <c r="D5597">
        <f>IF(A5597="","",SUMIF(Donasi!$B$2:$B$20000,A5597,Donasi!$C$2:$C$20000))</f>
        <v/>
      </c>
      <c r="E5597">
        <f>IF(A5597="","",6-CEILING(PERCENTRANK.INC($B$3:$B$6000,B5597,4)*5+0.000001,1))</f>
        <v/>
      </c>
      <c r="F5597">
        <f>IF(A5597="","",MAX(1,CEILING(PERCENTRANK.INC($C$3:$C$6000,C5597,4)*5+0.000001,1)))</f>
        <v/>
      </c>
      <c r="G5597">
        <f>IF(A5597="","",MAX(1,CEILING(PERCENTRANK.INC($D$3:$D$6000,D5597,4)*5+0.000001,1)))</f>
        <v/>
      </c>
      <c r="H5597">
        <f>IF(A5597="","",E5597&amp;F5597&amp;G5597)</f>
        <v/>
      </c>
      <c r="I5597">
        <f>IF(A5597="","",IF(AND(E5597&gt;=4,F5597&gt;=4,G5597&gt;=4),"Juara",IF(AND(F5597&gt;=4,E5597&gt;=3),"Setia",IF(AND(E5597=5,F5597&lt;=2,G5597&gt;=3),"Berpotensi",IF(AND(E5597&lt;=3,E5597&gt;=2,F5597&gt;=3),"Rawan",IF(AND(E5597&lt;=2,F5597&lt;=2),"Tidur","Umum"))))))</f>
        <v/>
      </c>
    </row>
    <row r="5598">
      <c r="B5598">
        <f>IF(A5598="","",$B$1-MAXIFS(Donasi!$A$2:$A$20000,Donasi!$B$2:$B$20000,A5598))</f>
        <v/>
      </c>
      <c r="C5598">
        <f>IF(A5598="","",COUNTIF(Donasi!$B$2:$B$20000,A5598))</f>
        <v/>
      </c>
      <c r="D5598">
        <f>IF(A5598="","",SUMIF(Donasi!$B$2:$B$20000,A5598,Donasi!$C$2:$C$20000))</f>
        <v/>
      </c>
      <c r="E5598">
        <f>IF(A5598="","",6-CEILING(PERCENTRANK.INC($B$3:$B$6000,B5598,4)*5+0.000001,1))</f>
        <v/>
      </c>
      <c r="F5598">
        <f>IF(A5598="","",MAX(1,CEILING(PERCENTRANK.INC($C$3:$C$6000,C5598,4)*5+0.000001,1)))</f>
        <v/>
      </c>
      <c r="G5598">
        <f>IF(A5598="","",MAX(1,CEILING(PERCENTRANK.INC($D$3:$D$6000,D5598,4)*5+0.000001,1)))</f>
        <v/>
      </c>
      <c r="H5598">
        <f>IF(A5598="","",E5598&amp;F5598&amp;G5598)</f>
        <v/>
      </c>
      <c r="I5598">
        <f>IF(A5598="","",IF(AND(E5598&gt;=4,F5598&gt;=4,G5598&gt;=4),"Juara",IF(AND(F5598&gt;=4,E5598&gt;=3),"Setia",IF(AND(E5598=5,F5598&lt;=2,G5598&gt;=3),"Berpotensi",IF(AND(E5598&lt;=3,E5598&gt;=2,F5598&gt;=3),"Rawan",IF(AND(E5598&lt;=2,F5598&lt;=2),"Tidur","Umum"))))))</f>
        <v/>
      </c>
    </row>
    <row r="5599">
      <c r="B5599">
        <f>IF(A5599="","",$B$1-MAXIFS(Donasi!$A$2:$A$20000,Donasi!$B$2:$B$20000,A5599))</f>
        <v/>
      </c>
      <c r="C5599">
        <f>IF(A5599="","",COUNTIF(Donasi!$B$2:$B$20000,A5599))</f>
        <v/>
      </c>
      <c r="D5599">
        <f>IF(A5599="","",SUMIF(Donasi!$B$2:$B$20000,A5599,Donasi!$C$2:$C$20000))</f>
        <v/>
      </c>
      <c r="E5599">
        <f>IF(A5599="","",6-CEILING(PERCENTRANK.INC($B$3:$B$6000,B5599,4)*5+0.000001,1))</f>
        <v/>
      </c>
      <c r="F5599">
        <f>IF(A5599="","",MAX(1,CEILING(PERCENTRANK.INC($C$3:$C$6000,C5599,4)*5+0.000001,1)))</f>
        <v/>
      </c>
      <c r="G5599">
        <f>IF(A5599="","",MAX(1,CEILING(PERCENTRANK.INC($D$3:$D$6000,D5599,4)*5+0.000001,1)))</f>
        <v/>
      </c>
      <c r="H5599">
        <f>IF(A5599="","",E5599&amp;F5599&amp;G5599)</f>
        <v/>
      </c>
      <c r="I5599">
        <f>IF(A5599="","",IF(AND(E5599&gt;=4,F5599&gt;=4,G5599&gt;=4),"Juara",IF(AND(F5599&gt;=4,E5599&gt;=3),"Setia",IF(AND(E5599=5,F5599&lt;=2,G5599&gt;=3),"Berpotensi",IF(AND(E5599&lt;=3,E5599&gt;=2,F5599&gt;=3),"Rawan",IF(AND(E5599&lt;=2,F5599&lt;=2),"Tidur","Umum"))))))</f>
        <v/>
      </c>
    </row>
    <row r="5600">
      <c r="B5600">
        <f>IF(A5600="","",$B$1-MAXIFS(Donasi!$A$2:$A$20000,Donasi!$B$2:$B$20000,A5600))</f>
        <v/>
      </c>
      <c r="C5600">
        <f>IF(A5600="","",COUNTIF(Donasi!$B$2:$B$20000,A5600))</f>
        <v/>
      </c>
      <c r="D5600">
        <f>IF(A5600="","",SUMIF(Donasi!$B$2:$B$20000,A5600,Donasi!$C$2:$C$20000))</f>
        <v/>
      </c>
      <c r="E5600">
        <f>IF(A5600="","",6-CEILING(PERCENTRANK.INC($B$3:$B$6000,B5600,4)*5+0.000001,1))</f>
        <v/>
      </c>
      <c r="F5600">
        <f>IF(A5600="","",MAX(1,CEILING(PERCENTRANK.INC($C$3:$C$6000,C5600,4)*5+0.000001,1)))</f>
        <v/>
      </c>
      <c r="G5600">
        <f>IF(A5600="","",MAX(1,CEILING(PERCENTRANK.INC($D$3:$D$6000,D5600,4)*5+0.000001,1)))</f>
        <v/>
      </c>
      <c r="H5600">
        <f>IF(A5600="","",E5600&amp;F5600&amp;G5600)</f>
        <v/>
      </c>
      <c r="I5600">
        <f>IF(A5600="","",IF(AND(E5600&gt;=4,F5600&gt;=4,G5600&gt;=4),"Juara",IF(AND(F5600&gt;=4,E5600&gt;=3),"Setia",IF(AND(E5600=5,F5600&lt;=2,G5600&gt;=3),"Berpotensi",IF(AND(E5600&lt;=3,E5600&gt;=2,F5600&gt;=3),"Rawan",IF(AND(E5600&lt;=2,F5600&lt;=2),"Tidur","Umum"))))))</f>
        <v/>
      </c>
    </row>
    <row r="5601">
      <c r="B5601">
        <f>IF(A5601="","",$B$1-MAXIFS(Donasi!$A$2:$A$20000,Donasi!$B$2:$B$20000,A5601))</f>
        <v/>
      </c>
      <c r="C5601">
        <f>IF(A5601="","",COUNTIF(Donasi!$B$2:$B$20000,A5601))</f>
        <v/>
      </c>
      <c r="D5601">
        <f>IF(A5601="","",SUMIF(Donasi!$B$2:$B$20000,A5601,Donasi!$C$2:$C$20000))</f>
        <v/>
      </c>
      <c r="E5601">
        <f>IF(A5601="","",6-CEILING(PERCENTRANK.INC($B$3:$B$6000,B5601,4)*5+0.000001,1))</f>
        <v/>
      </c>
      <c r="F5601">
        <f>IF(A5601="","",MAX(1,CEILING(PERCENTRANK.INC($C$3:$C$6000,C5601,4)*5+0.000001,1)))</f>
        <v/>
      </c>
      <c r="G5601">
        <f>IF(A5601="","",MAX(1,CEILING(PERCENTRANK.INC($D$3:$D$6000,D5601,4)*5+0.000001,1)))</f>
        <v/>
      </c>
      <c r="H5601">
        <f>IF(A5601="","",E5601&amp;F5601&amp;G5601)</f>
        <v/>
      </c>
      <c r="I5601">
        <f>IF(A5601="","",IF(AND(E5601&gt;=4,F5601&gt;=4,G5601&gt;=4),"Juara",IF(AND(F5601&gt;=4,E5601&gt;=3),"Setia",IF(AND(E5601=5,F5601&lt;=2,G5601&gt;=3),"Berpotensi",IF(AND(E5601&lt;=3,E5601&gt;=2,F5601&gt;=3),"Rawan",IF(AND(E5601&lt;=2,F5601&lt;=2),"Tidur","Umum"))))))</f>
        <v/>
      </c>
    </row>
    <row r="5602">
      <c r="B5602">
        <f>IF(A5602="","",$B$1-MAXIFS(Donasi!$A$2:$A$20000,Donasi!$B$2:$B$20000,A5602))</f>
        <v/>
      </c>
      <c r="C5602">
        <f>IF(A5602="","",COUNTIF(Donasi!$B$2:$B$20000,A5602))</f>
        <v/>
      </c>
      <c r="D5602">
        <f>IF(A5602="","",SUMIF(Donasi!$B$2:$B$20000,A5602,Donasi!$C$2:$C$20000))</f>
        <v/>
      </c>
      <c r="E5602">
        <f>IF(A5602="","",6-CEILING(PERCENTRANK.INC($B$3:$B$6000,B5602,4)*5+0.000001,1))</f>
        <v/>
      </c>
      <c r="F5602">
        <f>IF(A5602="","",MAX(1,CEILING(PERCENTRANK.INC($C$3:$C$6000,C5602,4)*5+0.000001,1)))</f>
        <v/>
      </c>
      <c r="G5602">
        <f>IF(A5602="","",MAX(1,CEILING(PERCENTRANK.INC($D$3:$D$6000,D5602,4)*5+0.000001,1)))</f>
        <v/>
      </c>
      <c r="H5602">
        <f>IF(A5602="","",E5602&amp;F5602&amp;G5602)</f>
        <v/>
      </c>
      <c r="I5602">
        <f>IF(A5602="","",IF(AND(E5602&gt;=4,F5602&gt;=4,G5602&gt;=4),"Juara",IF(AND(F5602&gt;=4,E5602&gt;=3),"Setia",IF(AND(E5602=5,F5602&lt;=2,G5602&gt;=3),"Berpotensi",IF(AND(E5602&lt;=3,E5602&gt;=2,F5602&gt;=3),"Rawan",IF(AND(E5602&lt;=2,F5602&lt;=2),"Tidur","Umum"))))))</f>
        <v/>
      </c>
    </row>
    <row r="5603">
      <c r="B5603">
        <f>IF(A5603="","",$B$1-MAXIFS(Donasi!$A$2:$A$20000,Donasi!$B$2:$B$20000,A5603))</f>
        <v/>
      </c>
      <c r="C5603">
        <f>IF(A5603="","",COUNTIF(Donasi!$B$2:$B$20000,A5603))</f>
        <v/>
      </c>
      <c r="D5603">
        <f>IF(A5603="","",SUMIF(Donasi!$B$2:$B$20000,A5603,Donasi!$C$2:$C$20000))</f>
        <v/>
      </c>
      <c r="E5603">
        <f>IF(A5603="","",6-CEILING(PERCENTRANK.INC($B$3:$B$6000,B5603,4)*5+0.000001,1))</f>
        <v/>
      </c>
      <c r="F5603">
        <f>IF(A5603="","",MAX(1,CEILING(PERCENTRANK.INC($C$3:$C$6000,C5603,4)*5+0.000001,1)))</f>
        <v/>
      </c>
      <c r="G5603">
        <f>IF(A5603="","",MAX(1,CEILING(PERCENTRANK.INC($D$3:$D$6000,D5603,4)*5+0.000001,1)))</f>
        <v/>
      </c>
      <c r="H5603">
        <f>IF(A5603="","",E5603&amp;F5603&amp;G5603)</f>
        <v/>
      </c>
      <c r="I5603">
        <f>IF(A5603="","",IF(AND(E5603&gt;=4,F5603&gt;=4,G5603&gt;=4),"Juara",IF(AND(F5603&gt;=4,E5603&gt;=3),"Setia",IF(AND(E5603=5,F5603&lt;=2,G5603&gt;=3),"Berpotensi",IF(AND(E5603&lt;=3,E5603&gt;=2,F5603&gt;=3),"Rawan",IF(AND(E5603&lt;=2,F5603&lt;=2),"Tidur","Umum"))))))</f>
        <v/>
      </c>
    </row>
    <row r="5604">
      <c r="B5604">
        <f>IF(A5604="","",$B$1-MAXIFS(Donasi!$A$2:$A$20000,Donasi!$B$2:$B$20000,A5604))</f>
        <v/>
      </c>
      <c r="C5604">
        <f>IF(A5604="","",COUNTIF(Donasi!$B$2:$B$20000,A5604))</f>
        <v/>
      </c>
      <c r="D5604">
        <f>IF(A5604="","",SUMIF(Donasi!$B$2:$B$20000,A5604,Donasi!$C$2:$C$20000))</f>
        <v/>
      </c>
      <c r="E5604">
        <f>IF(A5604="","",6-CEILING(PERCENTRANK.INC($B$3:$B$6000,B5604,4)*5+0.000001,1))</f>
        <v/>
      </c>
      <c r="F5604">
        <f>IF(A5604="","",MAX(1,CEILING(PERCENTRANK.INC($C$3:$C$6000,C5604,4)*5+0.000001,1)))</f>
        <v/>
      </c>
      <c r="G5604">
        <f>IF(A5604="","",MAX(1,CEILING(PERCENTRANK.INC($D$3:$D$6000,D5604,4)*5+0.000001,1)))</f>
        <v/>
      </c>
      <c r="H5604">
        <f>IF(A5604="","",E5604&amp;F5604&amp;G5604)</f>
        <v/>
      </c>
      <c r="I5604">
        <f>IF(A5604="","",IF(AND(E5604&gt;=4,F5604&gt;=4,G5604&gt;=4),"Juara",IF(AND(F5604&gt;=4,E5604&gt;=3),"Setia",IF(AND(E5604=5,F5604&lt;=2,G5604&gt;=3),"Berpotensi",IF(AND(E5604&lt;=3,E5604&gt;=2,F5604&gt;=3),"Rawan",IF(AND(E5604&lt;=2,F5604&lt;=2),"Tidur","Umum"))))))</f>
        <v/>
      </c>
    </row>
    <row r="5605">
      <c r="B5605">
        <f>IF(A5605="","",$B$1-MAXIFS(Donasi!$A$2:$A$20000,Donasi!$B$2:$B$20000,A5605))</f>
        <v/>
      </c>
      <c r="C5605">
        <f>IF(A5605="","",COUNTIF(Donasi!$B$2:$B$20000,A5605))</f>
        <v/>
      </c>
      <c r="D5605">
        <f>IF(A5605="","",SUMIF(Donasi!$B$2:$B$20000,A5605,Donasi!$C$2:$C$20000))</f>
        <v/>
      </c>
      <c r="E5605">
        <f>IF(A5605="","",6-CEILING(PERCENTRANK.INC($B$3:$B$6000,B5605,4)*5+0.000001,1))</f>
        <v/>
      </c>
      <c r="F5605">
        <f>IF(A5605="","",MAX(1,CEILING(PERCENTRANK.INC($C$3:$C$6000,C5605,4)*5+0.000001,1)))</f>
        <v/>
      </c>
      <c r="G5605">
        <f>IF(A5605="","",MAX(1,CEILING(PERCENTRANK.INC($D$3:$D$6000,D5605,4)*5+0.000001,1)))</f>
        <v/>
      </c>
      <c r="H5605">
        <f>IF(A5605="","",E5605&amp;F5605&amp;G5605)</f>
        <v/>
      </c>
      <c r="I5605">
        <f>IF(A5605="","",IF(AND(E5605&gt;=4,F5605&gt;=4,G5605&gt;=4),"Juara",IF(AND(F5605&gt;=4,E5605&gt;=3),"Setia",IF(AND(E5605=5,F5605&lt;=2,G5605&gt;=3),"Berpotensi",IF(AND(E5605&lt;=3,E5605&gt;=2,F5605&gt;=3),"Rawan",IF(AND(E5605&lt;=2,F5605&lt;=2),"Tidur","Umum"))))))</f>
        <v/>
      </c>
    </row>
    <row r="5606">
      <c r="B5606">
        <f>IF(A5606="","",$B$1-MAXIFS(Donasi!$A$2:$A$20000,Donasi!$B$2:$B$20000,A5606))</f>
        <v/>
      </c>
      <c r="C5606">
        <f>IF(A5606="","",COUNTIF(Donasi!$B$2:$B$20000,A5606))</f>
        <v/>
      </c>
      <c r="D5606">
        <f>IF(A5606="","",SUMIF(Donasi!$B$2:$B$20000,A5606,Donasi!$C$2:$C$20000))</f>
        <v/>
      </c>
      <c r="E5606">
        <f>IF(A5606="","",6-CEILING(PERCENTRANK.INC($B$3:$B$6000,B5606,4)*5+0.000001,1))</f>
        <v/>
      </c>
      <c r="F5606">
        <f>IF(A5606="","",MAX(1,CEILING(PERCENTRANK.INC($C$3:$C$6000,C5606,4)*5+0.000001,1)))</f>
        <v/>
      </c>
      <c r="G5606">
        <f>IF(A5606="","",MAX(1,CEILING(PERCENTRANK.INC($D$3:$D$6000,D5606,4)*5+0.000001,1)))</f>
        <v/>
      </c>
      <c r="H5606">
        <f>IF(A5606="","",E5606&amp;F5606&amp;G5606)</f>
        <v/>
      </c>
      <c r="I5606">
        <f>IF(A5606="","",IF(AND(E5606&gt;=4,F5606&gt;=4,G5606&gt;=4),"Juara",IF(AND(F5606&gt;=4,E5606&gt;=3),"Setia",IF(AND(E5606=5,F5606&lt;=2,G5606&gt;=3),"Berpotensi",IF(AND(E5606&lt;=3,E5606&gt;=2,F5606&gt;=3),"Rawan",IF(AND(E5606&lt;=2,F5606&lt;=2),"Tidur","Umum"))))))</f>
        <v/>
      </c>
    </row>
    <row r="5607">
      <c r="B5607">
        <f>IF(A5607="","",$B$1-MAXIFS(Donasi!$A$2:$A$20000,Donasi!$B$2:$B$20000,A5607))</f>
        <v/>
      </c>
      <c r="C5607">
        <f>IF(A5607="","",COUNTIF(Donasi!$B$2:$B$20000,A5607))</f>
        <v/>
      </c>
      <c r="D5607">
        <f>IF(A5607="","",SUMIF(Donasi!$B$2:$B$20000,A5607,Donasi!$C$2:$C$20000))</f>
        <v/>
      </c>
      <c r="E5607">
        <f>IF(A5607="","",6-CEILING(PERCENTRANK.INC($B$3:$B$6000,B5607,4)*5+0.000001,1))</f>
        <v/>
      </c>
      <c r="F5607">
        <f>IF(A5607="","",MAX(1,CEILING(PERCENTRANK.INC($C$3:$C$6000,C5607,4)*5+0.000001,1)))</f>
        <v/>
      </c>
      <c r="G5607">
        <f>IF(A5607="","",MAX(1,CEILING(PERCENTRANK.INC($D$3:$D$6000,D5607,4)*5+0.000001,1)))</f>
        <v/>
      </c>
      <c r="H5607">
        <f>IF(A5607="","",E5607&amp;F5607&amp;G5607)</f>
        <v/>
      </c>
      <c r="I5607">
        <f>IF(A5607="","",IF(AND(E5607&gt;=4,F5607&gt;=4,G5607&gt;=4),"Juara",IF(AND(F5607&gt;=4,E5607&gt;=3),"Setia",IF(AND(E5607=5,F5607&lt;=2,G5607&gt;=3),"Berpotensi",IF(AND(E5607&lt;=3,E5607&gt;=2,F5607&gt;=3),"Rawan",IF(AND(E5607&lt;=2,F5607&lt;=2),"Tidur","Umum"))))))</f>
        <v/>
      </c>
    </row>
    <row r="5608">
      <c r="B5608">
        <f>IF(A5608="","",$B$1-MAXIFS(Donasi!$A$2:$A$20000,Donasi!$B$2:$B$20000,A5608))</f>
        <v/>
      </c>
      <c r="C5608">
        <f>IF(A5608="","",COUNTIF(Donasi!$B$2:$B$20000,A5608))</f>
        <v/>
      </c>
      <c r="D5608">
        <f>IF(A5608="","",SUMIF(Donasi!$B$2:$B$20000,A5608,Donasi!$C$2:$C$20000))</f>
        <v/>
      </c>
      <c r="E5608">
        <f>IF(A5608="","",6-CEILING(PERCENTRANK.INC($B$3:$B$6000,B5608,4)*5+0.000001,1))</f>
        <v/>
      </c>
      <c r="F5608">
        <f>IF(A5608="","",MAX(1,CEILING(PERCENTRANK.INC($C$3:$C$6000,C5608,4)*5+0.000001,1)))</f>
        <v/>
      </c>
      <c r="G5608">
        <f>IF(A5608="","",MAX(1,CEILING(PERCENTRANK.INC($D$3:$D$6000,D5608,4)*5+0.000001,1)))</f>
        <v/>
      </c>
      <c r="H5608">
        <f>IF(A5608="","",E5608&amp;F5608&amp;G5608)</f>
        <v/>
      </c>
      <c r="I5608">
        <f>IF(A5608="","",IF(AND(E5608&gt;=4,F5608&gt;=4,G5608&gt;=4),"Juara",IF(AND(F5608&gt;=4,E5608&gt;=3),"Setia",IF(AND(E5608=5,F5608&lt;=2,G5608&gt;=3),"Berpotensi",IF(AND(E5608&lt;=3,E5608&gt;=2,F5608&gt;=3),"Rawan",IF(AND(E5608&lt;=2,F5608&lt;=2),"Tidur","Umum"))))))</f>
        <v/>
      </c>
    </row>
    <row r="5609">
      <c r="B5609">
        <f>IF(A5609="","",$B$1-MAXIFS(Donasi!$A$2:$A$20000,Donasi!$B$2:$B$20000,A5609))</f>
        <v/>
      </c>
      <c r="C5609">
        <f>IF(A5609="","",COUNTIF(Donasi!$B$2:$B$20000,A5609))</f>
        <v/>
      </c>
      <c r="D5609">
        <f>IF(A5609="","",SUMIF(Donasi!$B$2:$B$20000,A5609,Donasi!$C$2:$C$20000))</f>
        <v/>
      </c>
      <c r="E5609">
        <f>IF(A5609="","",6-CEILING(PERCENTRANK.INC($B$3:$B$6000,B5609,4)*5+0.000001,1))</f>
        <v/>
      </c>
      <c r="F5609">
        <f>IF(A5609="","",MAX(1,CEILING(PERCENTRANK.INC($C$3:$C$6000,C5609,4)*5+0.000001,1)))</f>
        <v/>
      </c>
      <c r="G5609">
        <f>IF(A5609="","",MAX(1,CEILING(PERCENTRANK.INC($D$3:$D$6000,D5609,4)*5+0.000001,1)))</f>
        <v/>
      </c>
      <c r="H5609">
        <f>IF(A5609="","",E5609&amp;F5609&amp;G5609)</f>
        <v/>
      </c>
      <c r="I5609">
        <f>IF(A5609="","",IF(AND(E5609&gt;=4,F5609&gt;=4,G5609&gt;=4),"Juara",IF(AND(F5609&gt;=4,E5609&gt;=3),"Setia",IF(AND(E5609=5,F5609&lt;=2,G5609&gt;=3),"Berpotensi",IF(AND(E5609&lt;=3,E5609&gt;=2,F5609&gt;=3),"Rawan",IF(AND(E5609&lt;=2,F5609&lt;=2),"Tidur","Umum"))))))</f>
        <v/>
      </c>
    </row>
    <row r="5610">
      <c r="B5610">
        <f>IF(A5610="","",$B$1-MAXIFS(Donasi!$A$2:$A$20000,Donasi!$B$2:$B$20000,A5610))</f>
        <v/>
      </c>
      <c r="C5610">
        <f>IF(A5610="","",COUNTIF(Donasi!$B$2:$B$20000,A5610))</f>
        <v/>
      </c>
      <c r="D5610">
        <f>IF(A5610="","",SUMIF(Donasi!$B$2:$B$20000,A5610,Donasi!$C$2:$C$20000))</f>
        <v/>
      </c>
      <c r="E5610">
        <f>IF(A5610="","",6-CEILING(PERCENTRANK.INC($B$3:$B$6000,B5610,4)*5+0.000001,1))</f>
        <v/>
      </c>
      <c r="F5610">
        <f>IF(A5610="","",MAX(1,CEILING(PERCENTRANK.INC($C$3:$C$6000,C5610,4)*5+0.000001,1)))</f>
        <v/>
      </c>
      <c r="G5610">
        <f>IF(A5610="","",MAX(1,CEILING(PERCENTRANK.INC($D$3:$D$6000,D5610,4)*5+0.000001,1)))</f>
        <v/>
      </c>
      <c r="H5610">
        <f>IF(A5610="","",E5610&amp;F5610&amp;G5610)</f>
        <v/>
      </c>
      <c r="I5610">
        <f>IF(A5610="","",IF(AND(E5610&gt;=4,F5610&gt;=4,G5610&gt;=4),"Juara",IF(AND(F5610&gt;=4,E5610&gt;=3),"Setia",IF(AND(E5610=5,F5610&lt;=2,G5610&gt;=3),"Berpotensi",IF(AND(E5610&lt;=3,E5610&gt;=2,F5610&gt;=3),"Rawan",IF(AND(E5610&lt;=2,F5610&lt;=2),"Tidur","Umum"))))))</f>
        <v/>
      </c>
    </row>
    <row r="5611">
      <c r="B5611">
        <f>IF(A5611="","",$B$1-MAXIFS(Donasi!$A$2:$A$20000,Donasi!$B$2:$B$20000,A5611))</f>
        <v/>
      </c>
      <c r="C5611">
        <f>IF(A5611="","",COUNTIF(Donasi!$B$2:$B$20000,A5611))</f>
        <v/>
      </c>
      <c r="D5611">
        <f>IF(A5611="","",SUMIF(Donasi!$B$2:$B$20000,A5611,Donasi!$C$2:$C$20000))</f>
        <v/>
      </c>
      <c r="E5611">
        <f>IF(A5611="","",6-CEILING(PERCENTRANK.INC($B$3:$B$6000,B5611,4)*5+0.000001,1))</f>
        <v/>
      </c>
      <c r="F5611">
        <f>IF(A5611="","",MAX(1,CEILING(PERCENTRANK.INC($C$3:$C$6000,C5611,4)*5+0.000001,1)))</f>
        <v/>
      </c>
      <c r="G5611">
        <f>IF(A5611="","",MAX(1,CEILING(PERCENTRANK.INC($D$3:$D$6000,D5611,4)*5+0.000001,1)))</f>
        <v/>
      </c>
      <c r="H5611">
        <f>IF(A5611="","",E5611&amp;F5611&amp;G5611)</f>
        <v/>
      </c>
      <c r="I5611">
        <f>IF(A5611="","",IF(AND(E5611&gt;=4,F5611&gt;=4,G5611&gt;=4),"Juara",IF(AND(F5611&gt;=4,E5611&gt;=3),"Setia",IF(AND(E5611=5,F5611&lt;=2,G5611&gt;=3),"Berpotensi",IF(AND(E5611&lt;=3,E5611&gt;=2,F5611&gt;=3),"Rawan",IF(AND(E5611&lt;=2,F5611&lt;=2),"Tidur","Umum"))))))</f>
        <v/>
      </c>
    </row>
    <row r="5612">
      <c r="B5612">
        <f>IF(A5612="","",$B$1-MAXIFS(Donasi!$A$2:$A$20000,Donasi!$B$2:$B$20000,A5612))</f>
        <v/>
      </c>
      <c r="C5612">
        <f>IF(A5612="","",COUNTIF(Donasi!$B$2:$B$20000,A5612))</f>
        <v/>
      </c>
      <c r="D5612">
        <f>IF(A5612="","",SUMIF(Donasi!$B$2:$B$20000,A5612,Donasi!$C$2:$C$20000))</f>
        <v/>
      </c>
      <c r="E5612">
        <f>IF(A5612="","",6-CEILING(PERCENTRANK.INC($B$3:$B$6000,B5612,4)*5+0.000001,1))</f>
        <v/>
      </c>
      <c r="F5612">
        <f>IF(A5612="","",MAX(1,CEILING(PERCENTRANK.INC($C$3:$C$6000,C5612,4)*5+0.000001,1)))</f>
        <v/>
      </c>
      <c r="G5612">
        <f>IF(A5612="","",MAX(1,CEILING(PERCENTRANK.INC($D$3:$D$6000,D5612,4)*5+0.000001,1)))</f>
        <v/>
      </c>
      <c r="H5612">
        <f>IF(A5612="","",E5612&amp;F5612&amp;G5612)</f>
        <v/>
      </c>
      <c r="I5612">
        <f>IF(A5612="","",IF(AND(E5612&gt;=4,F5612&gt;=4,G5612&gt;=4),"Juara",IF(AND(F5612&gt;=4,E5612&gt;=3),"Setia",IF(AND(E5612=5,F5612&lt;=2,G5612&gt;=3),"Berpotensi",IF(AND(E5612&lt;=3,E5612&gt;=2,F5612&gt;=3),"Rawan",IF(AND(E5612&lt;=2,F5612&lt;=2),"Tidur","Umum"))))))</f>
        <v/>
      </c>
    </row>
    <row r="5613">
      <c r="B5613">
        <f>IF(A5613="","",$B$1-MAXIFS(Donasi!$A$2:$A$20000,Donasi!$B$2:$B$20000,A5613))</f>
        <v/>
      </c>
      <c r="C5613">
        <f>IF(A5613="","",COUNTIF(Donasi!$B$2:$B$20000,A5613))</f>
        <v/>
      </c>
      <c r="D5613">
        <f>IF(A5613="","",SUMIF(Donasi!$B$2:$B$20000,A5613,Donasi!$C$2:$C$20000))</f>
        <v/>
      </c>
      <c r="E5613">
        <f>IF(A5613="","",6-CEILING(PERCENTRANK.INC($B$3:$B$6000,B5613,4)*5+0.000001,1))</f>
        <v/>
      </c>
      <c r="F5613">
        <f>IF(A5613="","",MAX(1,CEILING(PERCENTRANK.INC($C$3:$C$6000,C5613,4)*5+0.000001,1)))</f>
        <v/>
      </c>
      <c r="G5613">
        <f>IF(A5613="","",MAX(1,CEILING(PERCENTRANK.INC($D$3:$D$6000,D5613,4)*5+0.000001,1)))</f>
        <v/>
      </c>
      <c r="H5613">
        <f>IF(A5613="","",E5613&amp;F5613&amp;G5613)</f>
        <v/>
      </c>
      <c r="I5613">
        <f>IF(A5613="","",IF(AND(E5613&gt;=4,F5613&gt;=4,G5613&gt;=4),"Juara",IF(AND(F5613&gt;=4,E5613&gt;=3),"Setia",IF(AND(E5613=5,F5613&lt;=2,G5613&gt;=3),"Berpotensi",IF(AND(E5613&lt;=3,E5613&gt;=2,F5613&gt;=3),"Rawan",IF(AND(E5613&lt;=2,F5613&lt;=2),"Tidur","Umum"))))))</f>
        <v/>
      </c>
    </row>
    <row r="5614">
      <c r="B5614">
        <f>IF(A5614="","",$B$1-MAXIFS(Donasi!$A$2:$A$20000,Donasi!$B$2:$B$20000,A5614))</f>
        <v/>
      </c>
      <c r="C5614">
        <f>IF(A5614="","",COUNTIF(Donasi!$B$2:$B$20000,A5614))</f>
        <v/>
      </c>
      <c r="D5614">
        <f>IF(A5614="","",SUMIF(Donasi!$B$2:$B$20000,A5614,Donasi!$C$2:$C$20000))</f>
        <v/>
      </c>
      <c r="E5614">
        <f>IF(A5614="","",6-CEILING(PERCENTRANK.INC($B$3:$B$6000,B5614,4)*5+0.000001,1))</f>
        <v/>
      </c>
      <c r="F5614">
        <f>IF(A5614="","",MAX(1,CEILING(PERCENTRANK.INC($C$3:$C$6000,C5614,4)*5+0.000001,1)))</f>
        <v/>
      </c>
      <c r="G5614">
        <f>IF(A5614="","",MAX(1,CEILING(PERCENTRANK.INC($D$3:$D$6000,D5614,4)*5+0.000001,1)))</f>
        <v/>
      </c>
      <c r="H5614">
        <f>IF(A5614="","",E5614&amp;F5614&amp;G5614)</f>
        <v/>
      </c>
      <c r="I5614">
        <f>IF(A5614="","",IF(AND(E5614&gt;=4,F5614&gt;=4,G5614&gt;=4),"Juara",IF(AND(F5614&gt;=4,E5614&gt;=3),"Setia",IF(AND(E5614=5,F5614&lt;=2,G5614&gt;=3),"Berpotensi",IF(AND(E5614&lt;=3,E5614&gt;=2,F5614&gt;=3),"Rawan",IF(AND(E5614&lt;=2,F5614&lt;=2),"Tidur","Umum"))))))</f>
        <v/>
      </c>
    </row>
    <row r="5615">
      <c r="B5615">
        <f>IF(A5615="","",$B$1-MAXIFS(Donasi!$A$2:$A$20000,Donasi!$B$2:$B$20000,A5615))</f>
        <v/>
      </c>
      <c r="C5615">
        <f>IF(A5615="","",COUNTIF(Donasi!$B$2:$B$20000,A5615))</f>
        <v/>
      </c>
      <c r="D5615">
        <f>IF(A5615="","",SUMIF(Donasi!$B$2:$B$20000,A5615,Donasi!$C$2:$C$20000))</f>
        <v/>
      </c>
      <c r="E5615">
        <f>IF(A5615="","",6-CEILING(PERCENTRANK.INC($B$3:$B$6000,B5615,4)*5+0.000001,1))</f>
        <v/>
      </c>
      <c r="F5615">
        <f>IF(A5615="","",MAX(1,CEILING(PERCENTRANK.INC($C$3:$C$6000,C5615,4)*5+0.000001,1)))</f>
        <v/>
      </c>
      <c r="G5615">
        <f>IF(A5615="","",MAX(1,CEILING(PERCENTRANK.INC($D$3:$D$6000,D5615,4)*5+0.000001,1)))</f>
        <v/>
      </c>
      <c r="H5615">
        <f>IF(A5615="","",E5615&amp;F5615&amp;G5615)</f>
        <v/>
      </c>
      <c r="I5615">
        <f>IF(A5615="","",IF(AND(E5615&gt;=4,F5615&gt;=4,G5615&gt;=4),"Juara",IF(AND(F5615&gt;=4,E5615&gt;=3),"Setia",IF(AND(E5615=5,F5615&lt;=2,G5615&gt;=3),"Berpotensi",IF(AND(E5615&lt;=3,E5615&gt;=2,F5615&gt;=3),"Rawan",IF(AND(E5615&lt;=2,F5615&lt;=2),"Tidur","Umum"))))))</f>
        <v/>
      </c>
    </row>
    <row r="5616">
      <c r="B5616">
        <f>IF(A5616="","",$B$1-MAXIFS(Donasi!$A$2:$A$20000,Donasi!$B$2:$B$20000,A5616))</f>
        <v/>
      </c>
      <c r="C5616">
        <f>IF(A5616="","",COUNTIF(Donasi!$B$2:$B$20000,A5616))</f>
        <v/>
      </c>
      <c r="D5616">
        <f>IF(A5616="","",SUMIF(Donasi!$B$2:$B$20000,A5616,Donasi!$C$2:$C$20000))</f>
        <v/>
      </c>
      <c r="E5616">
        <f>IF(A5616="","",6-CEILING(PERCENTRANK.INC($B$3:$B$6000,B5616,4)*5+0.000001,1))</f>
        <v/>
      </c>
      <c r="F5616">
        <f>IF(A5616="","",MAX(1,CEILING(PERCENTRANK.INC($C$3:$C$6000,C5616,4)*5+0.000001,1)))</f>
        <v/>
      </c>
      <c r="G5616">
        <f>IF(A5616="","",MAX(1,CEILING(PERCENTRANK.INC($D$3:$D$6000,D5616,4)*5+0.000001,1)))</f>
        <v/>
      </c>
      <c r="H5616">
        <f>IF(A5616="","",E5616&amp;F5616&amp;G5616)</f>
        <v/>
      </c>
      <c r="I5616">
        <f>IF(A5616="","",IF(AND(E5616&gt;=4,F5616&gt;=4,G5616&gt;=4),"Juara",IF(AND(F5616&gt;=4,E5616&gt;=3),"Setia",IF(AND(E5616=5,F5616&lt;=2,G5616&gt;=3),"Berpotensi",IF(AND(E5616&lt;=3,E5616&gt;=2,F5616&gt;=3),"Rawan",IF(AND(E5616&lt;=2,F5616&lt;=2),"Tidur","Umum"))))))</f>
        <v/>
      </c>
    </row>
    <row r="5617">
      <c r="B5617">
        <f>IF(A5617="","",$B$1-MAXIFS(Donasi!$A$2:$A$20000,Donasi!$B$2:$B$20000,A5617))</f>
        <v/>
      </c>
      <c r="C5617">
        <f>IF(A5617="","",COUNTIF(Donasi!$B$2:$B$20000,A5617))</f>
        <v/>
      </c>
      <c r="D5617">
        <f>IF(A5617="","",SUMIF(Donasi!$B$2:$B$20000,A5617,Donasi!$C$2:$C$20000))</f>
        <v/>
      </c>
      <c r="E5617">
        <f>IF(A5617="","",6-CEILING(PERCENTRANK.INC($B$3:$B$6000,B5617,4)*5+0.000001,1))</f>
        <v/>
      </c>
      <c r="F5617">
        <f>IF(A5617="","",MAX(1,CEILING(PERCENTRANK.INC($C$3:$C$6000,C5617,4)*5+0.000001,1)))</f>
        <v/>
      </c>
      <c r="G5617">
        <f>IF(A5617="","",MAX(1,CEILING(PERCENTRANK.INC($D$3:$D$6000,D5617,4)*5+0.000001,1)))</f>
        <v/>
      </c>
      <c r="H5617">
        <f>IF(A5617="","",E5617&amp;F5617&amp;G5617)</f>
        <v/>
      </c>
      <c r="I5617">
        <f>IF(A5617="","",IF(AND(E5617&gt;=4,F5617&gt;=4,G5617&gt;=4),"Juara",IF(AND(F5617&gt;=4,E5617&gt;=3),"Setia",IF(AND(E5617=5,F5617&lt;=2,G5617&gt;=3),"Berpotensi",IF(AND(E5617&lt;=3,E5617&gt;=2,F5617&gt;=3),"Rawan",IF(AND(E5617&lt;=2,F5617&lt;=2),"Tidur","Umum"))))))</f>
        <v/>
      </c>
    </row>
    <row r="5618">
      <c r="B5618">
        <f>IF(A5618="","",$B$1-MAXIFS(Donasi!$A$2:$A$20000,Donasi!$B$2:$B$20000,A5618))</f>
        <v/>
      </c>
      <c r="C5618">
        <f>IF(A5618="","",COUNTIF(Donasi!$B$2:$B$20000,A5618))</f>
        <v/>
      </c>
      <c r="D5618">
        <f>IF(A5618="","",SUMIF(Donasi!$B$2:$B$20000,A5618,Donasi!$C$2:$C$20000))</f>
        <v/>
      </c>
      <c r="E5618">
        <f>IF(A5618="","",6-CEILING(PERCENTRANK.INC($B$3:$B$6000,B5618,4)*5+0.000001,1))</f>
        <v/>
      </c>
      <c r="F5618">
        <f>IF(A5618="","",MAX(1,CEILING(PERCENTRANK.INC($C$3:$C$6000,C5618,4)*5+0.000001,1)))</f>
        <v/>
      </c>
      <c r="G5618">
        <f>IF(A5618="","",MAX(1,CEILING(PERCENTRANK.INC($D$3:$D$6000,D5618,4)*5+0.000001,1)))</f>
        <v/>
      </c>
      <c r="H5618">
        <f>IF(A5618="","",E5618&amp;F5618&amp;G5618)</f>
        <v/>
      </c>
      <c r="I5618">
        <f>IF(A5618="","",IF(AND(E5618&gt;=4,F5618&gt;=4,G5618&gt;=4),"Juara",IF(AND(F5618&gt;=4,E5618&gt;=3),"Setia",IF(AND(E5618=5,F5618&lt;=2,G5618&gt;=3),"Berpotensi",IF(AND(E5618&lt;=3,E5618&gt;=2,F5618&gt;=3),"Rawan",IF(AND(E5618&lt;=2,F5618&lt;=2),"Tidur","Umum"))))))</f>
        <v/>
      </c>
    </row>
    <row r="5619">
      <c r="B5619">
        <f>IF(A5619="","",$B$1-MAXIFS(Donasi!$A$2:$A$20000,Donasi!$B$2:$B$20000,A5619))</f>
        <v/>
      </c>
      <c r="C5619">
        <f>IF(A5619="","",COUNTIF(Donasi!$B$2:$B$20000,A5619))</f>
        <v/>
      </c>
      <c r="D5619">
        <f>IF(A5619="","",SUMIF(Donasi!$B$2:$B$20000,A5619,Donasi!$C$2:$C$20000))</f>
        <v/>
      </c>
      <c r="E5619">
        <f>IF(A5619="","",6-CEILING(PERCENTRANK.INC($B$3:$B$6000,B5619,4)*5+0.000001,1))</f>
        <v/>
      </c>
      <c r="F5619">
        <f>IF(A5619="","",MAX(1,CEILING(PERCENTRANK.INC($C$3:$C$6000,C5619,4)*5+0.000001,1)))</f>
        <v/>
      </c>
      <c r="G5619">
        <f>IF(A5619="","",MAX(1,CEILING(PERCENTRANK.INC($D$3:$D$6000,D5619,4)*5+0.000001,1)))</f>
        <v/>
      </c>
      <c r="H5619">
        <f>IF(A5619="","",E5619&amp;F5619&amp;G5619)</f>
        <v/>
      </c>
      <c r="I5619">
        <f>IF(A5619="","",IF(AND(E5619&gt;=4,F5619&gt;=4,G5619&gt;=4),"Juara",IF(AND(F5619&gt;=4,E5619&gt;=3),"Setia",IF(AND(E5619=5,F5619&lt;=2,G5619&gt;=3),"Berpotensi",IF(AND(E5619&lt;=3,E5619&gt;=2,F5619&gt;=3),"Rawan",IF(AND(E5619&lt;=2,F5619&lt;=2),"Tidur","Umum"))))))</f>
        <v/>
      </c>
    </row>
    <row r="5620">
      <c r="B5620">
        <f>IF(A5620="","",$B$1-MAXIFS(Donasi!$A$2:$A$20000,Donasi!$B$2:$B$20000,A5620))</f>
        <v/>
      </c>
      <c r="C5620">
        <f>IF(A5620="","",COUNTIF(Donasi!$B$2:$B$20000,A5620))</f>
        <v/>
      </c>
      <c r="D5620">
        <f>IF(A5620="","",SUMIF(Donasi!$B$2:$B$20000,A5620,Donasi!$C$2:$C$20000))</f>
        <v/>
      </c>
      <c r="E5620">
        <f>IF(A5620="","",6-CEILING(PERCENTRANK.INC($B$3:$B$6000,B5620,4)*5+0.000001,1))</f>
        <v/>
      </c>
      <c r="F5620">
        <f>IF(A5620="","",MAX(1,CEILING(PERCENTRANK.INC($C$3:$C$6000,C5620,4)*5+0.000001,1)))</f>
        <v/>
      </c>
      <c r="G5620">
        <f>IF(A5620="","",MAX(1,CEILING(PERCENTRANK.INC($D$3:$D$6000,D5620,4)*5+0.000001,1)))</f>
        <v/>
      </c>
      <c r="H5620">
        <f>IF(A5620="","",E5620&amp;F5620&amp;G5620)</f>
        <v/>
      </c>
      <c r="I5620">
        <f>IF(A5620="","",IF(AND(E5620&gt;=4,F5620&gt;=4,G5620&gt;=4),"Juara",IF(AND(F5620&gt;=4,E5620&gt;=3),"Setia",IF(AND(E5620=5,F5620&lt;=2,G5620&gt;=3),"Berpotensi",IF(AND(E5620&lt;=3,E5620&gt;=2,F5620&gt;=3),"Rawan",IF(AND(E5620&lt;=2,F5620&lt;=2),"Tidur","Umum"))))))</f>
        <v/>
      </c>
    </row>
    <row r="5621">
      <c r="B5621">
        <f>IF(A5621="","",$B$1-MAXIFS(Donasi!$A$2:$A$20000,Donasi!$B$2:$B$20000,A5621))</f>
        <v/>
      </c>
      <c r="C5621">
        <f>IF(A5621="","",COUNTIF(Donasi!$B$2:$B$20000,A5621))</f>
        <v/>
      </c>
      <c r="D5621">
        <f>IF(A5621="","",SUMIF(Donasi!$B$2:$B$20000,A5621,Donasi!$C$2:$C$20000))</f>
        <v/>
      </c>
      <c r="E5621">
        <f>IF(A5621="","",6-CEILING(PERCENTRANK.INC($B$3:$B$6000,B5621,4)*5+0.000001,1))</f>
        <v/>
      </c>
      <c r="F5621">
        <f>IF(A5621="","",MAX(1,CEILING(PERCENTRANK.INC($C$3:$C$6000,C5621,4)*5+0.000001,1)))</f>
        <v/>
      </c>
      <c r="G5621">
        <f>IF(A5621="","",MAX(1,CEILING(PERCENTRANK.INC($D$3:$D$6000,D5621,4)*5+0.000001,1)))</f>
        <v/>
      </c>
      <c r="H5621">
        <f>IF(A5621="","",E5621&amp;F5621&amp;G5621)</f>
        <v/>
      </c>
      <c r="I5621">
        <f>IF(A5621="","",IF(AND(E5621&gt;=4,F5621&gt;=4,G5621&gt;=4),"Juara",IF(AND(F5621&gt;=4,E5621&gt;=3),"Setia",IF(AND(E5621=5,F5621&lt;=2,G5621&gt;=3),"Berpotensi",IF(AND(E5621&lt;=3,E5621&gt;=2,F5621&gt;=3),"Rawan",IF(AND(E5621&lt;=2,F5621&lt;=2),"Tidur","Umum"))))))</f>
        <v/>
      </c>
    </row>
    <row r="5622">
      <c r="B5622">
        <f>IF(A5622="","",$B$1-MAXIFS(Donasi!$A$2:$A$20000,Donasi!$B$2:$B$20000,A5622))</f>
        <v/>
      </c>
      <c r="C5622">
        <f>IF(A5622="","",COUNTIF(Donasi!$B$2:$B$20000,A5622))</f>
        <v/>
      </c>
      <c r="D5622">
        <f>IF(A5622="","",SUMIF(Donasi!$B$2:$B$20000,A5622,Donasi!$C$2:$C$20000))</f>
        <v/>
      </c>
      <c r="E5622">
        <f>IF(A5622="","",6-CEILING(PERCENTRANK.INC($B$3:$B$6000,B5622,4)*5+0.000001,1))</f>
        <v/>
      </c>
      <c r="F5622">
        <f>IF(A5622="","",MAX(1,CEILING(PERCENTRANK.INC($C$3:$C$6000,C5622,4)*5+0.000001,1)))</f>
        <v/>
      </c>
      <c r="G5622">
        <f>IF(A5622="","",MAX(1,CEILING(PERCENTRANK.INC($D$3:$D$6000,D5622,4)*5+0.000001,1)))</f>
        <v/>
      </c>
      <c r="H5622">
        <f>IF(A5622="","",E5622&amp;F5622&amp;G5622)</f>
        <v/>
      </c>
      <c r="I5622">
        <f>IF(A5622="","",IF(AND(E5622&gt;=4,F5622&gt;=4,G5622&gt;=4),"Juara",IF(AND(F5622&gt;=4,E5622&gt;=3),"Setia",IF(AND(E5622=5,F5622&lt;=2,G5622&gt;=3),"Berpotensi",IF(AND(E5622&lt;=3,E5622&gt;=2,F5622&gt;=3),"Rawan",IF(AND(E5622&lt;=2,F5622&lt;=2),"Tidur","Umum"))))))</f>
        <v/>
      </c>
    </row>
    <row r="5623">
      <c r="B5623">
        <f>IF(A5623="","",$B$1-MAXIFS(Donasi!$A$2:$A$20000,Donasi!$B$2:$B$20000,A5623))</f>
        <v/>
      </c>
      <c r="C5623">
        <f>IF(A5623="","",COUNTIF(Donasi!$B$2:$B$20000,A5623))</f>
        <v/>
      </c>
      <c r="D5623">
        <f>IF(A5623="","",SUMIF(Donasi!$B$2:$B$20000,A5623,Donasi!$C$2:$C$20000))</f>
        <v/>
      </c>
      <c r="E5623">
        <f>IF(A5623="","",6-CEILING(PERCENTRANK.INC($B$3:$B$6000,B5623,4)*5+0.000001,1))</f>
        <v/>
      </c>
      <c r="F5623">
        <f>IF(A5623="","",MAX(1,CEILING(PERCENTRANK.INC($C$3:$C$6000,C5623,4)*5+0.000001,1)))</f>
        <v/>
      </c>
      <c r="G5623">
        <f>IF(A5623="","",MAX(1,CEILING(PERCENTRANK.INC($D$3:$D$6000,D5623,4)*5+0.000001,1)))</f>
        <v/>
      </c>
      <c r="H5623">
        <f>IF(A5623="","",E5623&amp;F5623&amp;G5623)</f>
        <v/>
      </c>
      <c r="I5623">
        <f>IF(A5623="","",IF(AND(E5623&gt;=4,F5623&gt;=4,G5623&gt;=4),"Juara",IF(AND(F5623&gt;=4,E5623&gt;=3),"Setia",IF(AND(E5623=5,F5623&lt;=2,G5623&gt;=3),"Berpotensi",IF(AND(E5623&lt;=3,E5623&gt;=2,F5623&gt;=3),"Rawan",IF(AND(E5623&lt;=2,F5623&lt;=2),"Tidur","Umum"))))))</f>
        <v/>
      </c>
    </row>
    <row r="5624">
      <c r="B5624">
        <f>IF(A5624="","",$B$1-MAXIFS(Donasi!$A$2:$A$20000,Donasi!$B$2:$B$20000,A5624))</f>
        <v/>
      </c>
      <c r="C5624">
        <f>IF(A5624="","",COUNTIF(Donasi!$B$2:$B$20000,A5624))</f>
        <v/>
      </c>
      <c r="D5624">
        <f>IF(A5624="","",SUMIF(Donasi!$B$2:$B$20000,A5624,Donasi!$C$2:$C$20000))</f>
        <v/>
      </c>
      <c r="E5624">
        <f>IF(A5624="","",6-CEILING(PERCENTRANK.INC($B$3:$B$6000,B5624,4)*5+0.000001,1))</f>
        <v/>
      </c>
      <c r="F5624">
        <f>IF(A5624="","",MAX(1,CEILING(PERCENTRANK.INC($C$3:$C$6000,C5624,4)*5+0.000001,1)))</f>
        <v/>
      </c>
      <c r="G5624">
        <f>IF(A5624="","",MAX(1,CEILING(PERCENTRANK.INC($D$3:$D$6000,D5624,4)*5+0.000001,1)))</f>
        <v/>
      </c>
      <c r="H5624">
        <f>IF(A5624="","",E5624&amp;F5624&amp;G5624)</f>
        <v/>
      </c>
      <c r="I5624">
        <f>IF(A5624="","",IF(AND(E5624&gt;=4,F5624&gt;=4,G5624&gt;=4),"Juara",IF(AND(F5624&gt;=4,E5624&gt;=3),"Setia",IF(AND(E5624=5,F5624&lt;=2,G5624&gt;=3),"Berpotensi",IF(AND(E5624&lt;=3,E5624&gt;=2,F5624&gt;=3),"Rawan",IF(AND(E5624&lt;=2,F5624&lt;=2),"Tidur","Umum"))))))</f>
        <v/>
      </c>
    </row>
    <row r="5625">
      <c r="B5625">
        <f>IF(A5625="","",$B$1-MAXIFS(Donasi!$A$2:$A$20000,Donasi!$B$2:$B$20000,A5625))</f>
        <v/>
      </c>
      <c r="C5625">
        <f>IF(A5625="","",COUNTIF(Donasi!$B$2:$B$20000,A5625))</f>
        <v/>
      </c>
      <c r="D5625">
        <f>IF(A5625="","",SUMIF(Donasi!$B$2:$B$20000,A5625,Donasi!$C$2:$C$20000))</f>
        <v/>
      </c>
      <c r="E5625">
        <f>IF(A5625="","",6-CEILING(PERCENTRANK.INC($B$3:$B$6000,B5625,4)*5+0.000001,1))</f>
        <v/>
      </c>
      <c r="F5625">
        <f>IF(A5625="","",MAX(1,CEILING(PERCENTRANK.INC($C$3:$C$6000,C5625,4)*5+0.000001,1)))</f>
        <v/>
      </c>
      <c r="G5625">
        <f>IF(A5625="","",MAX(1,CEILING(PERCENTRANK.INC($D$3:$D$6000,D5625,4)*5+0.000001,1)))</f>
        <v/>
      </c>
      <c r="H5625">
        <f>IF(A5625="","",E5625&amp;F5625&amp;G5625)</f>
        <v/>
      </c>
      <c r="I5625">
        <f>IF(A5625="","",IF(AND(E5625&gt;=4,F5625&gt;=4,G5625&gt;=4),"Juara",IF(AND(F5625&gt;=4,E5625&gt;=3),"Setia",IF(AND(E5625=5,F5625&lt;=2,G5625&gt;=3),"Berpotensi",IF(AND(E5625&lt;=3,E5625&gt;=2,F5625&gt;=3),"Rawan",IF(AND(E5625&lt;=2,F5625&lt;=2),"Tidur","Umum"))))))</f>
        <v/>
      </c>
    </row>
    <row r="5626">
      <c r="B5626">
        <f>IF(A5626="","",$B$1-MAXIFS(Donasi!$A$2:$A$20000,Donasi!$B$2:$B$20000,A5626))</f>
        <v/>
      </c>
      <c r="C5626">
        <f>IF(A5626="","",COUNTIF(Donasi!$B$2:$B$20000,A5626))</f>
        <v/>
      </c>
      <c r="D5626">
        <f>IF(A5626="","",SUMIF(Donasi!$B$2:$B$20000,A5626,Donasi!$C$2:$C$20000))</f>
        <v/>
      </c>
      <c r="E5626">
        <f>IF(A5626="","",6-CEILING(PERCENTRANK.INC($B$3:$B$6000,B5626,4)*5+0.000001,1))</f>
        <v/>
      </c>
      <c r="F5626">
        <f>IF(A5626="","",MAX(1,CEILING(PERCENTRANK.INC($C$3:$C$6000,C5626,4)*5+0.000001,1)))</f>
        <v/>
      </c>
      <c r="G5626">
        <f>IF(A5626="","",MAX(1,CEILING(PERCENTRANK.INC($D$3:$D$6000,D5626,4)*5+0.000001,1)))</f>
        <v/>
      </c>
      <c r="H5626">
        <f>IF(A5626="","",E5626&amp;F5626&amp;G5626)</f>
        <v/>
      </c>
      <c r="I5626">
        <f>IF(A5626="","",IF(AND(E5626&gt;=4,F5626&gt;=4,G5626&gt;=4),"Juara",IF(AND(F5626&gt;=4,E5626&gt;=3),"Setia",IF(AND(E5626=5,F5626&lt;=2,G5626&gt;=3),"Berpotensi",IF(AND(E5626&lt;=3,E5626&gt;=2,F5626&gt;=3),"Rawan",IF(AND(E5626&lt;=2,F5626&lt;=2),"Tidur","Umum"))))))</f>
        <v/>
      </c>
    </row>
    <row r="5627">
      <c r="B5627">
        <f>IF(A5627="","",$B$1-MAXIFS(Donasi!$A$2:$A$20000,Donasi!$B$2:$B$20000,A5627))</f>
        <v/>
      </c>
      <c r="C5627">
        <f>IF(A5627="","",COUNTIF(Donasi!$B$2:$B$20000,A5627))</f>
        <v/>
      </c>
      <c r="D5627">
        <f>IF(A5627="","",SUMIF(Donasi!$B$2:$B$20000,A5627,Donasi!$C$2:$C$20000))</f>
        <v/>
      </c>
      <c r="E5627">
        <f>IF(A5627="","",6-CEILING(PERCENTRANK.INC($B$3:$B$6000,B5627,4)*5+0.000001,1))</f>
        <v/>
      </c>
      <c r="F5627">
        <f>IF(A5627="","",MAX(1,CEILING(PERCENTRANK.INC($C$3:$C$6000,C5627,4)*5+0.000001,1)))</f>
        <v/>
      </c>
      <c r="G5627">
        <f>IF(A5627="","",MAX(1,CEILING(PERCENTRANK.INC($D$3:$D$6000,D5627,4)*5+0.000001,1)))</f>
        <v/>
      </c>
      <c r="H5627">
        <f>IF(A5627="","",E5627&amp;F5627&amp;G5627)</f>
        <v/>
      </c>
      <c r="I5627">
        <f>IF(A5627="","",IF(AND(E5627&gt;=4,F5627&gt;=4,G5627&gt;=4),"Juara",IF(AND(F5627&gt;=4,E5627&gt;=3),"Setia",IF(AND(E5627=5,F5627&lt;=2,G5627&gt;=3),"Berpotensi",IF(AND(E5627&lt;=3,E5627&gt;=2,F5627&gt;=3),"Rawan",IF(AND(E5627&lt;=2,F5627&lt;=2),"Tidur","Umum"))))))</f>
        <v/>
      </c>
    </row>
    <row r="5628">
      <c r="B5628">
        <f>IF(A5628="","",$B$1-MAXIFS(Donasi!$A$2:$A$20000,Donasi!$B$2:$B$20000,A5628))</f>
        <v/>
      </c>
      <c r="C5628">
        <f>IF(A5628="","",COUNTIF(Donasi!$B$2:$B$20000,A5628))</f>
        <v/>
      </c>
      <c r="D5628">
        <f>IF(A5628="","",SUMIF(Donasi!$B$2:$B$20000,A5628,Donasi!$C$2:$C$20000))</f>
        <v/>
      </c>
      <c r="E5628">
        <f>IF(A5628="","",6-CEILING(PERCENTRANK.INC($B$3:$B$6000,B5628,4)*5+0.000001,1))</f>
        <v/>
      </c>
      <c r="F5628">
        <f>IF(A5628="","",MAX(1,CEILING(PERCENTRANK.INC($C$3:$C$6000,C5628,4)*5+0.000001,1)))</f>
        <v/>
      </c>
      <c r="G5628">
        <f>IF(A5628="","",MAX(1,CEILING(PERCENTRANK.INC($D$3:$D$6000,D5628,4)*5+0.000001,1)))</f>
        <v/>
      </c>
      <c r="H5628">
        <f>IF(A5628="","",E5628&amp;F5628&amp;G5628)</f>
        <v/>
      </c>
      <c r="I5628">
        <f>IF(A5628="","",IF(AND(E5628&gt;=4,F5628&gt;=4,G5628&gt;=4),"Juara",IF(AND(F5628&gt;=4,E5628&gt;=3),"Setia",IF(AND(E5628=5,F5628&lt;=2,G5628&gt;=3),"Berpotensi",IF(AND(E5628&lt;=3,E5628&gt;=2,F5628&gt;=3),"Rawan",IF(AND(E5628&lt;=2,F5628&lt;=2),"Tidur","Umum"))))))</f>
        <v/>
      </c>
    </row>
    <row r="5629">
      <c r="B5629">
        <f>IF(A5629="","",$B$1-MAXIFS(Donasi!$A$2:$A$20000,Donasi!$B$2:$B$20000,A5629))</f>
        <v/>
      </c>
      <c r="C5629">
        <f>IF(A5629="","",COUNTIF(Donasi!$B$2:$B$20000,A5629))</f>
        <v/>
      </c>
      <c r="D5629">
        <f>IF(A5629="","",SUMIF(Donasi!$B$2:$B$20000,A5629,Donasi!$C$2:$C$20000))</f>
        <v/>
      </c>
      <c r="E5629">
        <f>IF(A5629="","",6-CEILING(PERCENTRANK.INC($B$3:$B$6000,B5629,4)*5+0.000001,1))</f>
        <v/>
      </c>
      <c r="F5629">
        <f>IF(A5629="","",MAX(1,CEILING(PERCENTRANK.INC($C$3:$C$6000,C5629,4)*5+0.000001,1)))</f>
        <v/>
      </c>
      <c r="G5629">
        <f>IF(A5629="","",MAX(1,CEILING(PERCENTRANK.INC($D$3:$D$6000,D5629,4)*5+0.000001,1)))</f>
        <v/>
      </c>
      <c r="H5629">
        <f>IF(A5629="","",E5629&amp;F5629&amp;G5629)</f>
        <v/>
      </c>
      <c r="I5629">
        <f>IF(A5629="","",IF(AND(E5629&gt;=4,F5629&gt;=4,G5629&gt;=4),"Juara",IF(AND(F5629&gt;=4,E5629&gt;=3),"Setia",IF(AND(E5629=5,F5629&lt;=2,G5629&gt;=3),"Berpotensi",IF(AND(E5629&lt;=3,E5629&gt;=2,F5629&gt;=3),"Rawan",IF(AND(E5629&lt;=2,F5629&lt;=2),"Tidur","Umum"))))))</f>
        <v/>
      </c>
    </row>
    <row r="5630">
      <c r="B5630">
        <f>IF(A5630="","",$B$1-MAXIFS(Donasi!$A$2:$A$20000,Donasi!$B$2:$B$20000,A5630))</f>
        <v/>
      </c>
      <c r="C5630">
        <f>IF(A5630="","",COUNTIF(Donasi!$B$2:$B$20000,A5630))</f>
        <v/>
      </c>
      <c r="D5630">
        <f>IF(A5630="","",SUMIF(Donasi!$B$2:$B$20000,A5630,Donasi!$C$2:$C$20000))</f>
        <v/>
      </c>
      <c r="E5630">
        <f>IF(A5630="","",6-CEILING(PERCENTRANK.INC($B$3:$B$6000,B5630,4)*5+0.000001,1))</f>
        <v/>
      </c>
      <c r="F5630">
        <f>IF(A5630="","",MAX(1,CEILING(PERCENTRANK.INC($C$3:$C$6000,C5630,4)*5+0.000001,1)))</f>
        <v/>
      </c>
      <c r="G5630">
        <f>IF(A5630="","",MAX(1,CEILING(PERCENTRANK.INC($D$3:$D$6000,D5630,4)*5+0.000001,1)))</f>
        <v/>
      </c>
      <c r="H5630">
        <f>IF(A5630="","",E5630&amp;F5630&amp;G5630)</f>
        <v/>
      </c>
      <c r="I5630">
        <f>IF(A5630="","",IF(AND(E5630&gt;=4,F5630&gt;=4,G5630&gt;=4),"Juara",IF(AND(F5630&gt;=4,E5630&gt;=3),"Setia",IF(AND(E5630=5,F5630&lt;=2,G5630&gt;=3),"Berpotensi",IF(AND(E5630&lt;=3,E5630&gt;=2,F5630&gt;=3),"Rawan",IF(AND(E5630&lt;=2,F5630&lt;=2),"Tidur","Umum"))))))</f>
        <v/>
      </c>
    </row>
    <row r="5631">
      <c r="B5631">
        <f>IF(A5631="","",$B$1-MAXIFS(Donasi!$A$2:$A$20000,Donasi!$B$2:$B$20000,A5631))</f>
        <v/>
      </c>
      <c r="C5631">
        <f>IF(A5631="","",COUNTIF(Donasi!$B$2:$B$20000,A5631))</f>
        <v/>
      </c>
      <c r="D5631">
        <f>IF(A5631="","",SUMIF(Donasi!$B$2:$B$20000,A5631,Donasi!$C$2:$C$20000))</f>
        <v/>
      </c>
      <c r="E5631">
        <f>IF(A5631="","",6-CEILING(PERCENTRANK.INC($B$3:$B$6000,B5631,4)*5+0.000001,1))</f>
        <v/>
      </c>
      <c r="F5631">
        <f>IF(A5631="","",MAX(1,CEILING(PERCENTRANK.INC($C$3:$C$6000,C5631,4)*5+0.000001,1)))</f>
        <v/>
      </c>
      <c r="G5631">
        <f>IF(A5631="","",MAX(1,CEILING(PERCENTRANK.INC($D$3:$D$6000,D5631,4)*5+0.000001,1)))</f>
        <v/>
      </c>
      <c r="H5631">
        <f>IF(A5631="","",E5631&amp;F5631&amp;G5631)</f>
        <v/>
      </c>
      <c r="I5631">
        <f>IF(A5631="","",IF(AND(E5631&gt;=4,F5631&gt;=4,G5631&gt;=4),"Juara",IF(AND(F5631&gt;=4,E5631&gt;=3),"Setia",IF(AND(E5631=5,F5631&lt;=2,G5631&gt;=3),"Berpotensi",IF(AND(E5631&lt;=3,E5631&gt;=2,F5631&gt;=3),"Rawan",IF(AND(E5631&lt;=2,F5631&lt;=2),"Tidur","Umum"))))))</f>
        <v/>
      </c>
    </row>
    <row r="5632">
      <c r="B5632">
        <f>IF(A5632="","",$B$1-MAXIFS(Donasi!$A$2:$A$20000,Donasi!$B$2:$B$20000,A5632))</f>
        <v/>
      </c>
      <c r="C5632">
        <f>IF(A5632="","",COUNTIF(Donasi!$B$2:$B$20000,A5632))</f>
        <v/>
      </c>
      <c r="D5632">
        <f>IF(A5632="","",SUMIF(Donasi!$B$2:$B$20000,A5632,Donasi!$C$2:$C$20000))</f>
        <v/>
      </c>
      <c r="E5632">
        <f>IF(A5632="","",6-CEILING(PERCENTRANK.INC($B$3:$B$6000,B5632,4)*5+0.000001,1))</f>
        <v/>
      </c>
      <c r="F5632">
        <f>IF(A5632="","",MAX(1,CEILING(PERCENTRANK.INC($C$3:$C$6000,C5632,4)*5+0.000001,1)))</f>
        <v/>
      </c>
      <c r="G5632">
        <f>IF(A5632="","",MAX(1,CEILING(PERCENTRANK.INC($D$3:$D$6000,D5632,4)*5+0.000001,1)))</f>
        <v/>
      </c>
      <c r="H5632">
        <f>IF(A5632="","",E5632&amp;F5632&amp;G5632)</f>
        <v/>
      </c>
      <c r="I5632">
        <f>IF(A5632="","",IF(AND(E5632&gt;=4,F5632&gt;=4,G5632&gt;=4),"Juara",IF(AND(F5632&gt;=4,E5632&gt;=3),"Setia",IF(AND(E5632=5,F5632&lt;=2,G5632&gt;=3),"Berpotensi",IF(AND(E5632&lt;=3,E5632&gt;=2,F5632&gt;=3),"Rawan",IF(AND(E5632&lt;=2,F5632&lt;=2),"Tidur","Umum"))))))</f>
        <v/>
      </c>
    </row>
    <row r="5633">
      <c r="B5633">
        <f>IF(A5633="","",$B$1-MAXIFS(Donasi!$A$2:$A$20000,Donasi!$B$2:$B$20000,A5633))</f>
        <v/>
      </c>
      <c r="C5633">
        <f>IF(A5633="","",COUNTIF(Donasi!$B$2:$B$20000,A5633))</f>
        <v/>
      </c>
      <c r="D5633">
        <f>IF(A5633="","",SUMIF(Donasi!$B$2:$B$20000,A5633,Donasi!$C$2:$C$20000))</f>
        <v/>
      </c>
      <c r="E5633">
        <f>IF(A5633="","",6-CEILING(PERCENTRANK.INC($B$3:$B$6000,B5633,4)*5+0.000001,1))</f>
        <v/>
      </c>
      <c r="F5633">
        <f>IF(A5633="","",MAX(1,CEILING(PERCENTRANK.INC($C$3:$C$6000,C5633,4)*5+0.000001,1)))</f>
        <v/>
      </c>
      <c r="G5633">
        <f>IF(A5633="","",MAX(1,CEILING(PERCENTRANK.INC($D$3:$D$6000,D5633,4)*5+0.000001,1)))</f>
        <v/>
      </c>
      <c r="H5633">
        <f>IF(A5633="","",E5633&amp;F5633&amp;G5633)</f>
        <v/>
      </c>
      <c r="I5633">
        <f>IF(A5633="","",IF(AND(E5633&gt;=4,F5633&gt;=4,G5633&gt;=4),"Juara",IF(AND(F5633&gt;=4,E5633&gt;=3),"Setia",IF(AND(E5633=5,F5633&lt;=2,G5633&gt;=3),"Berpotensi",IF(AND(E5633&lt;=3,E5633&gt;=2,F5633&gt;=3),"Rawan",IF(AND(E5633&lt;=2,F5633&lt;=2),"Tidur","Umum"))))))</f>
        <v/>
      </c>
    </row>
    <row r="5634">
      <c r="B5634">
        <f>IF(A5634="","",$B$1-MAXIFS(Donasi!$A$2:$A$20000,Donasi!$B$2:$B$20000,A5634))</f>
        <v/>
      </c>
      <c r="C5634">
        <f>IF(A5634="","",COUNTIF(Donasi!$B$2:$B$20000,A5634))</f>
        <v/>
      </c>
      <c r="D5634">
        <f>IF(A5634="","",SUMIF(Donasi!$B$2:$B$20000,A5634,Donasi!$C$2:$C$20000))</f>
        <v/>
      </c>
      <c r="E5634">
        <f>IF(A5634="","",6-CEILING(PERCENTRANK.INC($B$3:$B$6000,B5634,4)*5+0.000001,1))</f>
        <v/>
      </c>
      <c r="F5634">
        <f>IF(A5634="","",MAX(1,CEILING(PERCENTRANK.INC($C$3:$C$6000,C5634,4)*5+0.000001,1)))</f>
        <v/>
      </c>
      <c r="G5634">
        <f>IF(A5634="","",MAX(1,CEILING(PERCENTRANK.INC($D$3:$D$6000,D5634,4)*5+0.000001,1)))</f>
        <v/>
      </c>
      <c r="H5634">
        <f>IF(A5634="","",E5634&amp;F5634&amp;G5634)</f>
        <v/>
      </c>
      <c r="I5634">
        <f>IF(A5634="","",IF(AND(E5634&gt;=4,F5634&gt;=4,G5634&gt;=4),"Juara",IF(AND(F5634&gt;=4,E5634&gt;=3),"Setia",IF(AND(E5634=5,F5634&lt;=2,G5634&gt;=3),"Berpotensi",IF(AND(E5634&lt;=3,E5634&gt;=2,F5634&gt;=3),"Rawan",IF(AND(E5634&lt;=2,F5634&lt;=2),"Tidur","Umum"))))))</f>
        <v/>
      </c>
    </row>
    <row r="5635">
      <c r="B5635">
        <f>IF(A5635="","",$B$1-MAXIFS(Donasi!$A$2:$A$20000,Donasi!$B$2:$B$20000,A5635))</f>
        <v/>
      </c>
      <c r="C5635">
        <f>IF(A5635="","",COUNTIF(Donasi!$B$2:$B$20000,A5635))</f>
        <v/>
      </c>
      <c r="D5635">
        <f>IF(A5635="","",SUMIF(Donasi!$B$2:$B$20000,A5635,Donasi!$C$2:$C$20000))</f>
        <v/>
      </c>
      <c r="E5635">
        <f>IF(A5635="","",6-CEILING(PERCENTRANK.INC($B$3:$B$6000,B5635,4)*5+0.000001,1))</f>
        <v/>
      </c>
      <c r="F5635">
        <f>IF(A5635="","",MAX(1,CEILING(PERCENTRANK.INC($C$3:$C$6000,C5635,4)*5+0.000001,1)))</f>
        <v/>
      </c>
      <c r="G5635">
        <f>IF(A5635="","",MAX(1,CEILING(PERCENTRANK.INC($D$3:$D$6000,D5635,4)*5+0.000001,1)))</f>
        <v/>
      </c>
      <c r="H5635">
        <f>IF(A5635="","",E5635&amp;F5635&amp;G5635)</f>
        <v/>
      </c>
      <c r="I5635">
        <f>IF(A5635="","",IF(AND(E5635&gt;=4,F5635&gt;=4,G5635&gt;=4),"Juara",IF(AND(F5635&gt;=4,E5635&gt;=3),"Setia",IF(AND(E5635=5,F5635&lt;=2,G5635&gt;=3),"Berpotensi",IF(AND(E5635&lt;=3,E5635&gt;=2,F5635&gt;=3),"Rawan",IF(AND(E5635&lt;=2,F5635&lt;=2),"Tidur","Umum"))))))</f>
        <v/>
      </c>
    </row>
    <row r="5636">
      <c r="B5636">
        <f>IF(A5636="","",$B$1-MAXIFS(Donasi!$A$2:$A$20000,Donasi!$B$2:$B$20000,A5636))</f>
        <v/>
      </c>
      <c r="C5636">
        <f>IF(A5636="","",COUNTIF(Donasi!$B$2:$B$20000,A5636))</f>
        <v/>
      </c>
      <c r="D5636">
        <f>IF(A5636="","",SUMIF(Donasi!$B$2:$B$20000,A5636,Donasi!$C$2:$C$20000))</f>
        <v/>
      </c>
      <c r="E5636">
        <f>IF(A5636="","",6-CEILING(PERCENTRANK.INC($B$3:$B$6000,B5636,4)*5+0.000001,1))</f>
        <v/>
      </c>
      <c r="F5636">
        <f>IF(A5636="","",MAX(1,CEILING(PERCENTRANK.INC($C$3:$C$6000,C5636,4)*5+0.000001,1)))</f>
        <v/>
      </c>
      <c r="G5636">
        <f>IF(A5636="","",MAX(1,CEILING(PERCENTRANK.INC($D$3:$D$6000,D5636,4)*5+0.000001,1)))</f>
        <v/>
      </c>
      <c r="H5636">
        <f>IF(A5636="","",E5636&amp;F5636&amp;G5636)</f>
        <v/>
      </c>
      <c r="I5636">
        <f>IF(A5636="","",IF(AND(E5636&gt;=4,F5636&gt;=4,G5636&gt;=4),"Juara",IF(AND(F5636&gt;=4,E5636&gt;=3),"Setia",IF(AND(E5636=5,F5636&lt;=2,G5636&gt;=3),"Berpotensi",IF(AND(E5636&lt;=3,E5636&gt;=2,F5636&gt;=3),"Rawan",IF(AND(E5636&lt;=2,F5636&lt;=2),"Tidur","Umum"))))))</f>
        <v/>
      </c>
    </row>
    <row r="5637">
      <c r="B5637">
        <f>IF(A5637="","",$B$1-MAXIFS(Donasi!$A$2:$A$20000,Donasi!$B$2:$B$20000,A5637))</f>
        <v/>
      </c>
      <c r="C5637">
        <f>IF(A5637="","",COUNTIF(Donasi!$B$2:$B$20000,A5637))</f>
        <v/>
      </c>
      <c r="D5637">
        <f>IF(A5637="","",SUMIF(Donasi!$B$2:$B$20000,A5637,Donasi!$C$2:$C$20000))</f>
        <v/>
      </c>
      <c r="E5637">
        <f>IF(A5637="","",6-CEILING(PERCENTRANK.INC($B$3:$B$6000,B5637,4)*5+0.000001,1))</f>
        <v/>
      </c>
      <c r="F5637">
        <f>IF(A5637="","",MAX(1,CEILING(PERCENTRANK.INC($C$3:$C$6000,C5637,4)*5+0.000001,1)))</f>
        <v/>
      </c>
      <c r="G5637">
        <f>IF(A5637="","",MAX(1,CEILING(PERCENTRANK.INC($D$3:$D$6000,D5637,4)*5+0.000001,1)))</f>
        <v/>
      </c>
      <c r="H5637">
        <f>IF(A5637="","",E5637&amp;F5637&amp;G5637)</f>
        <v/>
      </c>
      <c r="I5637">
        <f>IF(A5637="","",IF(AND(E5637&gt;=4,F5637&gt;=4,G5637&gt;=4),"Juara",IF(AND(F5637&gt;=4,E5637&gt;=3),"Setia",IF(AND(E5637=5,F5637&lt;=2,G5637&gt;=3),"Berpotensi",IF(AND(E5637&lt;=3,E5637&gt;=2,F5637&gt;=3),"Rawan",IF(AND(E5637&lt;=2,F5637&lt;=2),"Tidur","Umum"))))))</f>
        <v/>
      </c>
    </row>
    <row r="5638">
      <c r="B5638">
        <f>IF(A5638="","",$B$1-MAXIFS(Donasi!$A$2:$A$20000,Donasi!$B$2:$B$20000,A5638))</f>
        <v/>
      </c>
      <c r="C5638">
        <f>IF(A5638="","",COUNTIF(Donasi!$B$2:$B$20000,A5638))</f>
        <v/>
      </c>
      <c r="D5638">
        <f>IF(A5638="","",SUMIF(Donasi!$B$2:$B$20000,A5638,Donasi!$C$2:$C$20000))</f>
        <v/>
      </c>
      <c r="E5638">
        <f>IF(A5638="","",6-CEILING(PERCENTRANK.INC($B$3:$B$6000,B5638,4)*5+0.000001,1))</f>
        <v/>
      </c>
      <c r="F5638">
        <f>IF(A5638="","",MAX(1,CEILING(PERCENTRANK.INC($C$3:$C$6000,C5638,4)*5+0.000001,1)))</f>
        <v/>
      </c>
      <c r="G5638">
        <f>IF(A5638="","",MAX(1,CEILING(PERCENTRANK.INC($D$3:$D$6000,D5638,4)*5+0.000001,1)))</f>
        <v/>
      </c>
      <c r="H5638">
        <f>IF(A5638="","",E5638&amp;F5638&amp;G5638)</f>
        <v/>
      </c>
      <c r="I5638">
        <f>IF(A5638="","",IF(AND(E5638&gt;=4,F5638&gt;=4,G5638&gt;=4),"Juara",IF(AND(F5638&gt;=4,E5638&gt;=3),"Setia",IF(AND(E5638=5,F5638&lt;=2,G5638&gt;=3),"Berpotensi",IF(AND(E5638&lt;=3,E5638&gt;=2,F5638&gt;=3),"Rawan",IF(AND(E5638&lt;=2,F5638&lt;=2),"Tidur","Umum"))))))</f>
        <v/>
      </c>
    </row>
    <row r="5639">
      <c r="B5639">
        <f>IF(A5639="","",$B$1-MAXIFS(Donasi!$A$2:$A$20000,Donasi!$B$2:$B$20000,A5639))</f>
        <v/>
      </c>
      <c r="C5639">
        <f>IF(A5639="","",COUNTIF(Donasi!$B$2:$B$20000,A5639))</f>
        <v/>
      </c>
      <c r="D5639">
        <f>IF(A5639="","",SUMIF(Donasi!$B$2:$B$20000,A5639,Donasi!$C$2:$C$20000))</f>
        <v/>
      </c>
      <c r="E5639">
        <f>IF(A5639="","",6-CEILING(PERCENTRANK.INC($B$3:$B$6000,B5639,4)*5+0.000001,1))</f>
        <v/>
      </c>
      <c r="F5639">
        <f>IF(A5639="","",MAX(1,CEILING(PERCENTRANK.INC($C$3:$C$6000,C5639,4)*5+0.000001,1)))</f>
        <v/>
      </c>
      <c r="G5639">
        <f>IF(A5639="","",MAX(1,CEILING(PERCENTRANK.INC($D$3:$D$6000,D5639,4)*5+0.000001,1)))</f>
        <v/>
      </c>
      <c r="H5639">
        <f>IF(A5639="","",E5639&amp;F5639&amp;G5639)</f>
        <v/>
      </c>
      <c r="I5639">
        <f>IF(A5639="","",IF(AND(E5639&gt;=4,F5639&gt;=4,G5639&gt;=4),"Juara",IF(AND(F5639&gt;=4,E5639&gt;=3),"Setia",IF(AND(E5639=5,F5639&lt;=2,G5639&gt;=3),"Berpotensi",IF(AND(E5639&lt;=3,E5639&gt;=2,F5639&gt;=3),"Rawan",IF(AND(E5639&lt;=2,F5639&lt;=2),"Tidur","Umum"))))))</f>
        <v/>
      </c>
    </row>
    <row r="5640">
      <c r="B5640">
        <f>IF(A5640="","",$B$1-MAXIFS(Donasi!$A$2:$A$20000,Donasi!$B$2:$B$20000,A5640))</f>
        <v/>
      </c>
      <c r="C5640">
        <f>IF(A5640="","",COUNTIF(Donasi!$B$2:$B$20000,A5640))</f>
        <v/>
      </c>
      <c r="D5640">
        <f>IF(A5640="","",SUMIF(Donasi!$B$2:$B$20000,A5640,Donasi!$C$2:$C$20000))</f>
        <v/>
      </c>
      <c r="E5640">
        <f>IF(A5640="","",6-CEILING(PERCENTRANK.INC($B$3:$B$6000,B5640,4)*5+0.000001,1))</f>
        <v/>
      </c>
      <c r="F5640">
        <f>IF(A5640="","",MAX(1,CEILING(PERCENTRANK.INC($C$3:$C$6000,C5640,4)*5+0.000001,1)))</f>
        <v/>
      </c>
      <c r="G5640">
        <f>IF(A5640="","",MAX(1,CEILING(PERCENTRANK.INC($D$3:$D$6000,D5640,4)*5+0.000001,1)))</f>
        <v/>
      </c>
      <c r="H5640">
        <f>IF(A5640="","",E5640&amp;F5640&amp;G5640)</f>
        <v/>
      </c>
      <c r="I5640">
        <f>IF(A5640="","",IF(AND(E5640&gt;=4,F5640&gt;=4,G5640&gt;=4),"Juara",IF(AND(F5640&gt;=4,E5640&gt;=3),"Setia",IF(AND(E5640=5,F5640&lt;=2,G5640&gt;=3),"Berpotensi",IF(AND(E5640&lt;=3,E5640&gt;=2,F5640&gt;=3),"Rawan",IF(AND(E5640&lt;=2,F5640&lt;=2),"Tidur","Umum"))))))</f>
        <v/>
      </c>
    </row>
    <row r="5641">
      <c r="B5641">
        <f>IF(A5641="","",$B$1-MAXIFS(Donasi!$A$2:$A$20000,Donasi!$B$2:$B$20000,A5641))</f>
        <v/>
      </c>
      <c r="C5641">
        <f>IF(A5641="","",COUNTIF(Donasi!$B$2:$B$20000,A5641))</f>
        <v/>
      </c>
      <c r="D5641">
        <f>IF(A5641="","",SUMIF(Donasi!$B$2:$B$20000,A5641,Donasi!$C$2:$C$20000))</f>
        <v/>
      </c>
      <c r="E5641">
        <f>IF(A5641="","",6-CEILING(PERCENTRANK.INC($B$3:$B$6000,B5641,4)*5+0.000001,1))</f>
        <v/>
      </c>
      <c r="F5641">
        <f>IF(A5641="","",MAX(1,CEILING(PERCENTRANK.INC($C$3:$C$6000,C5641,4)*5+0.000001,1)))</f>
        <v/>
      </c>
      <c r="G5641">
        <f>IF(A5641="","",MAX(1,CEILING(PERCENTRANK.INC($D$3:$D$6000,D5641,4)*5+0.000001,1)))</f>
        <v/>
      </c>
      <c r="H5641">
        <f>IF(A5641="","",E5641&amp;F5641&amp;G5641)</f>
        <v/>
      </c>
      <c r="I5641">
        <f>IF(A5641="","",IF(AND(E5641&gt;=4,F5641&gt;=4,G5641&gt;=4),"Juara",IF(AND(F5641&gt;=4,E5641&gt;=3),"Setia",IF(AND(E5641=5,F5641&lt;=2,G5641&gt;=3),"Berpotensi",IF(AND(E5641&lt;=3,E5641&gt;=2,F5641&gt;=3),"Rawan",IF(AND(E5641&lt;=2,F5641&lt;=2),"Tidur","Umum"))))))</f>
        <v/>
      </c>
    </row>
    <row r="5642">
      <c r="B5642">
        <f>IF(A5642="","",$B$1-MAXIFS(Donasi!$A$2:$A$20000,Donasi!$B$2:$B$20000,A5642))</f>
        <v/>
      </c>
      <c r="C5642">
        <f>IF(A5642="","",COUNTIF(Donasi!$B$2:$B$20000,A5642))</f>
        <v/>
      </c>
      <c r="D5642">
        <f>IF(A5642="","",SUMIF(Donasi!$B$2:$B$20000,A5642,Donasi!$C$2:$C$20000))</f>
        <v/>
      </c>
      <c r="E5642">
        <f>IF(A5642="","",6-CEILING(PERCENTRANK.INC($B$3:$B$6000,B5642,4)*5+0.000001,1))</f>
        <v/>
      </c>
      <c r="F5642">
        <f>IF(A5642="","",MAX(1,CEILING(PERCENTRANK.INC($C$3:$C$6000,C5642,4)*5+0.000001,1)))</f>
        <v/>
      </c>
      <c r="G5642">
        <f>IF(A5642="","",MAX(1,CEILING(PERCENTRANK.INC($D$3:$D$6000,D5642,4)*5+0.000001,1)))</f>
        <v/>
      </c>
      <c r="H5642">
        <f>IF(A5642="","",E5642&amp;F5642&amp;G5642)</f>
        <v/>
      </c>
      <c r="I5642">
        <f>IF(A5642="","",IF(AND(E5642&gt;=4,F5642&gt;=4,G5642&gt;=4),"Juara",IF(AND(F5642&gt;=4,E5642&gt;=3),"Setia",IF(AND(E5642=5,F5642&lt;=2,G5642&gt;=3),"Berpotensi",IF(AND(E5642&lt;=3,E5642&gt;=2,F5642&gt;=3),"Rawan",IF(AND(E5642&lt;=2,F5642&lt;=2),"Tidur","Umum"))))))</f>
        <v/>
      </c>
    </row>
    <row r="5643">
      <c r="B5643">
        <f>IF(A5643="","",$B$1-MAXIFS(Donasi!$A$2:$A$20000,Donasi!$B$2:$B$20000,A5643))</f>
        <v/>
      </c>
      <c r="C5643">
        <f>IF(A5643="","",COUNTIF(Donasi!$B$2:$B$20000,A5643))</f>
        <v/>
      </c>
      <c r="D5643">
        <f>IF(A5643="","",SUMIF(Donasi!$B$2:$B$20000,A5643,Donasi!$C$2:$C$20000))</f>
        <v/>
      </c>
      <c r="E5643">
        <f>IF(A5643="","",6-CEILING(PERCENTRANK.INC($B$3:$B$6000,B5643,4)*5+0.000001,1))</f>
        <v/>
      </c>
      <c r="F5643">
        <f>IF(A5643="","",MAX(1,CEILING(PERCENTRANK.INC($C$3:$C$6000,C5643,4)*5+0.000001,1)))</f>
        <v/>
      </c>
      <c r="G5643">
        <f>IF(A5643="","",MAX(1,CEILING(PERCENTRANK.INC($D$3:$D$6000,D5643,4)*5+0.000001,1)))</f>
        <v/>
      </c>
      <c r="H5643">
        <f>IF(A5643="","",E5643&amp;F5643&amp;G5643)</f>
        <v/>
      </c>
      <c r="I5643">
        <f>IF(A5643="","",IF(AND(E5643&gt;=4,F5643&gt;=4,G5643&gt;=4),"Juara",IF(AND(F5643&gt;=4,E5643&gt;=3),"Setia",IF(AND(E5643=5,F5643&lt;=2,G5643&gt;=3),"Berpotensi",IF(AND(E5643&lt;=3,E5643&gt;=2,F5643&gt;=3),"Rawan",IF(AND(E5643&lt;=2,F5643&lt;=2),"Tidur","Umum"))))))</f>
        <v/>
      </c>
    </row>
    <row r="5644">
      <c r="B5644">
        <f>IF(A5644="","",$B$1-MAXIFS(Donasi!$A$2:$A$20000,Donasi!$B$2:$B$20000,A5644))</f>
        <v/>
      </c>
      <c r="C5644">
        <f>IF(A5644="","",COUNTIF(Donasi!$B$2:$B$20000,A5644))</f>
        <v/>
      </c>
      <c r="D5644">
        <f>IF(A5644="","",SUMIF(Donasi!$B$2:$B$20000,A5644,Donasi!$C$2:$C$20000))</f>
        <v/>
      </c>
      <c r="E5644">
        <f>IF(A5644="","",6-CEILING(PERCENTRANK.INC($B$3:$B$6000,B5644,4)*5+0.000001,1))</f>
        <v/>
      </c>
      <c r="F5644">
        <f>IF(A5644="","",MAX(1,CEILING(PERCENTRANK.INC($C$3:$C$6000,C5644,4)*5+0.000001,1)))</f>
        <v/>
      </c>
      <c r="G5644">
        <f>IF(A5644="","",MAX(1,CEILING(PERCENTRANK.INC($D$3:$D$6000,D5644,4)*5+0.000001,1)))</f>
        <v/>
      </c>
      <c r="H5644">
        <f>IF(A5644="","",E5644&amp;F5644&amp;G5644)</f>
        <v/>
      </c>
      <c r="I5644">
        <f>IF(A5644="","",IF(AND(E5644&gt;=4,F5644&gt;=4,G5644&gt;=4),"Juara",IF(AND(F5644&gt;=4,E5644&gt;=3),"Setia",IF(AND(E5644=5,F5644&lt;=2,G5644&gt;=3),"Berpotensi",IF(AND(E5644&lt;=3,E5644&gt;=2,F5644&gt;=3),"Rawan",IF(AND(E5644&lt;=2,F5644&lt;=2),"Tidur","Umum"))))))</f>
        <v/>
      </c>
    </row>
    <row r="5645">
      <c r="B5645">
        <f>IF(A5645="","",$B$1-MAXIFS(Donasi!$A$2:$A$20000,Donasi!$B$2:$B$20000,A5645))</f>
        <v/>
      </c>
      <c r="C5645">
        <f>IF(A5645="","",COUNTIF(Donasi!$B$2:$B$20000,A5645))</f>
        <v/>
      </c>
      <c r="D5645">
        <f>IF(A5645="","",SUMIF(Donasi!$B$2:$B$20000,A5645,Donasi!$C$2:$C$20000))</f>
        <v/>
      </c>
      <c r="E5645">
        <f>IF(A5645="","",6-CEILING(PERCENTRANK.INC($B$3:$B$6000,B5645,4)*5+0.000001,1))</f>
        <v/>
      </c>
      <c r="F5645">
        <f>IF(A5645="","",MAX(1,CEILING(PERCENTRANK.INC($C$3:$C$6000,C5645,4)*5+0.000001,1)))</f>
        <v/>
      </c>
      <c r="G5645">
        <f>IF(A5645="","",MAX(1,CEILING(PERCENTRANK.INC($D$3:$D$6000,D5645,4)*5+0.000001,1)))</f>
        <v/>
      </c>
      <c r="H5645">
        <f>IF(A5645="","",E5645&amp;F5645&amp;G5645)</f>
        <v/>
      </c>
      <c r="I5645">
        <f>IF(A5645="","",IF(AND(E5645&gt;=4,F5645&gt;=4,G5645&gt;=4),"Juara",IF(AND(F5645&gt;=4,E5645&gt;=3),"Setia",IF(AND(E5645=5,F5645&lt;=2,G5645&gt;=3),"Berpotensi",IF(AND(E5645&lt;=3,E5645&gt;=2,F5645&gt;=3),"Rawan",IF(AND(E5645&lt;=2,F5645&lt;=2),"Tidur","Umum"))))))</f>
        <v/>
      </c>
    </row>
    <row r="5646">
      <c r="B5646">
        <f>IF(A5646="","",$B$1-MAXIFS(Donasi!$A$2:$A$20000,Donasi!$B$2:$B$20000,A5646))</f>
        <v/>
      </c>
      <c r="C5646">
        <f>IF(A5646="","",COUNTIF(Donasi!$B$2:$B$20000,A5646))</f>
        <v/>
      </c>
      <c r="D5646">
        <f>IF(A5646="","",SUMIF(Donasi!$B$2:$B$20000,A5646,Donasi!$C$2:$C$20000))</f>
        <v/>
      </c>
      <c r="E5646">
        <f>IF(A5646="","",6-CEILING(PERCENTRANK.INC($B$3:$B$6000,B5646,4)*5+0.000001,1))</f>
        <v/>
      </c>
      <c r="F5646">
        <f>IF(A5646="","",MAX(1,CEILING(PERCENTRANK.INC($C$3:$C$6000,C5646,4)*5+0.000001,1)))</f>
        <v/>
      </c>
      <c r="G5646">
        <f>IF(A5646="","",MAX(1,CEILING(PERCENTRANK.INC($D$3:$D$6000,D5646,4)*5+0.000001,1)))</f>
        <v/>
      </c>
      <c r="H5646">
        <f>IF(A5646="","",E5646&amp;F5646&amp;G5646)</f>
        <v/>
      </c>
      <c r="I5646">
        <f>IF(A5646="","",IF(AND(E5646&gt;=4,F5646&gt;=4,G5646&gt;=4),"Juara",IF(AND(F5646&gt;=4,E5646&gt;=3),"Setia",IF(AND(E5646=5,F5646&lt;=2,G5646&gt;=3),"Berpotensi",IF(AND(E5646&lt;=3,E5646&gt;=2,F5646&gt;=3),"Rawan",IF(AND(E5646&lt;=2,F5646&lt;=2),"Tidur","Umum"))))))</f>
        <v/>
      </c>
    </row>
    <row r="5647">
      <c r="B5647">
        <f>IF(A5647="","",$B$1-MAXIFS(Donasi!$A$2:$A$20000,Donasi!$B$2:$B$20000,A5647))</f>
        <v/>
      </c>
      <c r="C5647">
        <f>IF(A5647="","",COUNTIF(Donasi!$B$2:$B$20000,A5647))</f>
        <v/>
      </c>
      <c r="D5647">
        <f>IF(A5647="","",SUMIF(Donasi!$B$2:$B$20000,A5647,Donasi!$C$2:$C$20000))</f>
        <v/>
      </c>
      <c r="E5647">
        <f>IF(A5647="","",6-CEILING(PERCENTRANK.INC($B$3:$B$6000,B5647,4)*5+0.000001,1))</f>
        <v/>
      </c>
      <c r="F5647">
        <f>IF(A5647="","",MAX(1,CEILING(PERCENTRANK.INC($C$3:$C$6000,C5647,4)*5+0.000001,1)))</f>
        <v/>
      </c>
      <c r="G5647">
        <f>IF(A5647="","",MAX(1,CEILING(PERCENTRANK.INC($D$3:$D$6000,D5647,4)*5+0.000001,1)))</f>
        <v/>
      </c>
      <c r="H5647">
        <f>IF(A5647="","",E5647&amp;F5647&amp;G5647)</f>
        <v/>
      </c>
      <c r="I5647">
        <f>IF(A5647="","",IF(AND(E5647&gt;=4,F5647&gt;=4,G5647&gt;=4),"Juara",IF(AND(F5647&gt;=4,E5647&gt;=3),"Setia",IF(AND(E5647=5,F5647&lt;=2,G5647&gt;=3),"Berpotensi",IF(AND(E5647&lt;=3,E5647&gt;=2,F5647&gt;=3),"Rawan",IF(AND(E5647&lt;=2,F5647&lt;=2),"Tidur","Umum"))))))</f>
        <v/>
      </c>
    </row>
    <row r="5648">
      <c r="B5648">
        <f>IF(A5648="","",$B$1-MAXIFS(Donasi!$A$2:$A$20000,Donasi!$B$2:$B$20000,A5648))</f>
        <v/>
      </c>
      <c r="C5648">
        <f>IF(A5648="","",COUNTIF(Donasi!$B$2:$B$20000,A5648))</f>
        <v/>
      </c>
      <c r="D5648">
        <f>IF(A5648="","",SUMIF(Donasi!$B$2:$B$20000,A5648,Donasi!$C$2:$C$20000))</f>
        <v/>
      </c>
      <c r="E5648">
        <f>IF(A5648="","",6-CEILING(PERCENTRANK.INC($B$3:$B$6000,B5648,4)*5+0.000001,1))</f>
        <v/>
      </c>
      <c r="F5648">
        <f>IF(A5648="","",MAX(1,CEILING(PERCENTRANK.INC($C$3:$C$6000,C5648,4)*5+0.000001,1)))</f>
        <v/>
      </c>
      <c r="G5648">
        <f>IF(A5648="","",MAX(1,CEILING(PERCENTRANK.INC($D$3:$D$6000,D5648,4)*5+0.000001,1)))</f>
        <v/>
      </c>
      <c r="H5648">
        <f>IF(A5648="","",E5648&amp;F5648&amp;G5648)</f>
        <v/>
      </c>
      <c r="I5648">
        <f>IF(A5648="","",IF(AND(E5648&gt;=4,F5648&gt;=4,G5648&gt;=4),"Juara",IF(AND(F5648&gt;=4,E5648&gt;=3),"Setia",IF(AND(E5648=5,F5648&lt;=2,G5648&gt;=3),"Berpotensi",IF(AND(E5648&lt;=3,E5648&gt;=2,F5648&gt;=3),"Rawan",IF(AND(E5648&lt;=2,F5648&lt;=2),"Tidur","Umum"))))))</f>
        <v/>
      </c>
    </row>
    <row r="5649">
      <c r="B5649">
        <f>IF(A5649="","",$B$1-MAXIFS(Donasi!$A$2:$A$20000,Donasi!$B$2:$B$20000,A5649))</f>
        <v/>
      </c>
      <c r="C5649">
        <f>IF(A5649="","",COUNTIF(Donasi!$B$2:$B$20000,A5649))</f>
        <v/>
      </c>
      <c r="D5649">
        <f>IF(A5649="","",SUMIF(Donasi!$B$2:$B$20000,A5649,Donasi!$C$2:$C$20000))</f>
        <v/>
      </c>
      <c r="E5649">
        <f>IF(A5649="","",6-CEILING(PERCENTRANK.INC($B$3:$B$6000,B5649,4)*5+0.000001,1))</f>
        <v/>
      </c>
      <c r="F5649">
        <f>IF(A5649="","",MAX(1,CEILING(PERCENTRANK.INC($C$3:$C$6000,C5649,4)*5+0.000001,1)))</f>
        <v/>
      </c>
      <c r="G5649">
        <f>IF(A5649="","",MAX(1,CEILING(PERCENTRANK.INC($D$3:$D$6000,D5649,4)*5+0.000001,1)))</f>
        <v/>
      </c>
      <c r="H5649">
        <f>IF(A5649="","",E5649&amp;F5649&amp;G5649)</f>
        <v/>
      </c>
      <c r="I5649">
        <f>IF(A5649="","",IF(AND(E5649&gt;=4,F5649&gt;=4,G5649&gt;=4),"Juara",IF(AND(F5649&gt;=4,E5649&gt;=3),"Setia",IF(AND(E5649=5,F5649&lt;=2,G5649&gt;=3),"Berpotensi",IF(AND(E5649&lt;=3,E5649&gt;=2,F5649&gt;=3),"Rawan",IF(AND(E5649&lt;=2,F5649&lt;=2),"Tidur","Umum"))))))</f>
        <v/>
      </c>
    </row>
    <row r="5650">
      <c r="B5650">
        <f>IF(A5650="","",$B$1-MAXIFS(Donasi!$A$2:$A$20000,Donasi!$B$2:$B$20000,A5650))</f>
        <v/>
      </c>
      <c r="C5650">
        <f>IF(A5650="","",COUNTIF(Donasi!$B$2:$B$20000,A5650))</f>
        <v/>
      </c>
      <c r="D5650">
        <f>IF(A5650="","",SUMIF(Donasi!$B$2:$B$20000,A5650,Donasi!$C$2:$C$20000))</f>
        <v/>
      </c>
      <c r="E5650">
        <f>IF(A5650="","",6-CEILING(PERCENTRANK.INC($B$3:$B$6000,B5650,4)*5+0.000001,1))</f>
        <v/>
      </c>
      <c r="F5650">
        <f>IF(A5650="","",MAX(1,CEILING(PERCENTRANK.INC($C$3:$C$6000,C5650,4)*5+0.000001,1)))</f>
        <v/>
      </c>
      <c r="G5650">
        <f>IF(A5650="","",MAX(1,CEILING(PERCENTRANK.INC($D$3:$D$6000,D5650,4)*5+0.000001,1)))</f>
        <v/>
      </c>
      <c r="H5650">
        <f>IF(A5650="","",E5650&amp;F5650&amp;G5650)</f>
        <v/>
      </c>
      <c r="I5650">
        <f>IF(A5650="","",IF(AND(E5650&gt;=4,F5650&gt;=4,G5650&gt;=4),"Juara",IF(AND(F5650&gt;=4,E5650&gt;=3),"Setia",IF(AND(E5650=5,F5650&lt;=2,G5650&gt;=3),"Berpotensi",IF(AND(E5650&lt;=3,E5650&gt;=2,F5650&gt;=3),"Rawan",IF(AND(E5650&lt;=2,F5650&lt;=2),"Tidur","Umum"))))))</f>
        <v/>
      </c>
    </row>
    <row r="5651">
      <c r="B5651">
        <f>IF(A5651="","",$B$1-MAXIFS(Donasi!$A$2:$A$20000,Donasi!$B$2:$B$20000,A5651))</f>
        <v/>
      </c>
      <c r="C5651">
        <f>IF(A5651="","",COUNTIF(Donasi!$B$2:$B$20000,A5651))</f>
        <v/>
      </c>
      <c r="D5651">
        <f>IF(A5651="","",SUMIF(Donasi!$B$2:$B$20000,A5651,Donasi!$C$2:$C$20000))</f>
        <v/>
      </c>
      <c r="E5651">
        <f>IF(A5651="","",6-CEILING(PERCENTRANK.INC($B$3:$B$6000,B5651,4)*5+0.000001,1))</f>
        <v/>
      </c>
      <c r="F5651">
        <f>IF(A5651="","",MAX(1,CEILING(PERCENTRANK.INC($C$3:$C$6000,C5651,4)*5+0.000001,1)))</f>
        <v/>
      </c>
      <c r="G5651">
        <f>IF(A5651="","",MAX(1,CEILING(PERCENTRANK.INC($D$3:$D$6000,D5651,4)*5+0.000001,1)))</f>
        <v/>
      </c>
      <c r="H5651">
        <f>IF(A5651="","",E5651&amp;F5651&amp;G5651)</f>
        <v/>
      </c>
      <c r="I5651">
        <f>IF(A5651="","",IF(AND(E5651&gt;=4,F5651&gt;=4,G5651&gt;=4),"Juara",IF(AND(F5651&gt;=4,E5651&gt;=3),"Setia",IF(AND(E5651=5,F5651&lt;=2,G5651&gt;=3),"Berpotensi",IF(AND(E5651&lt;=3,E5651&gt;=2,F5651&gt;=3),"Rawan",IF(AND(E5651&lt;=2,F5651&lt;=2),"Tidur","Umum"))))))</f>
        <v/>
      </c>
    </row>
    <row r="5652">
      <c r="B5652">
        <f>IF(A5652="","",$B$1-MAXIFS(Donasi!$A$2:$A$20000,Donasi!$B$2:$B$20000,A5652))</f>
        <v/>
      </c>
      <c r="C5652">
        <f>IF(A5652="","",COUNTIF(Donasi!$B$2:$B$20000,A5652))</f>
        <v/>
      </c>
      <c r="D5652">
        <f>IF(A5652="","",SUMIF(Donasi!$B$2:$B$20000,A5652,Donasi!$C$2:$C$20000))</f>
        <v/>
      </c>
      <c r="E5652">
        <f>IF(A5652="","",6-CEILING(PERCENTRANK.INC($B$3:$B$6000,B5652,4)*5+0.000001,1))</f>
        <v/>
      </c>
      <c r="F5652">
        <f>IF(A5652="","",MAX(1,CEILING(PERCENTRANK.INC($C$3:$C$6000,C5652,4)*5+0.000001,1)))</f>
        <v/>
      </c>
      <c r="G5652">
        <f>IF(A5652="","",MAX(1,CEILING(PERCENTRANK.INC($D$3:$D$6000,D5652,4)*5+0.000001,1)))</f>
        <v/>
      </c>
      <c r="H5652">
        <f>IF(A5652="","",E5652&amp;F5652&amp;G5652)</f>
        <v/>
      </c>
      <c r="I5652">
        <f>IF(A5652="","",IF(AND(E5652&gt;=4,F5652&gt;=4,G5652&gt;=4),"Juara",IF(AND(F5652&gt;=4,E5652&gt;=3),"Setia",IF(AND(E5652=5,F5652&lt;=2,G5652&gt;=3),"Berpotensi",IF(AND(E5652&lt;=3,E5652&gt;=2,F5652&gt;=3),"Rawan",IF(AND(E5652&lt;=2,F5652&lt;=2),"Tidur","Umum"))))))</f>
        <v/>
      </c>
    </row>
    <row r="5653">
      <c r="B5653">
        <f>IF(A5653="","",$B$1-MAXIFS(Donasi!$A$2:$A$20000,Donasi!$B$2:$B$20000,A5653))</f>
        <v/>
      </c>
      <c r="C5653">
        <f>IF(A5653="","",COUNTIF(Donasi!$B$2:$B$20000,A5653))</f>
        <v/>
      </c>
      <c r="D5653">
        <f>IF(A5653="","",SUMIF(Donasi!$B$2:$B$20000,A5653,Donasi!$C$2:$C$20000))</f>
        <v/>
      </c>
      <c r="E5653">
        <f>IF(A5653="","",6-CEILING(PERCENTRANK.INC($B$3:$B$6000,B5653,4)*5+0.000001,1))</f>
        <v/>
      </c>
      <c r="F5653">
        <f>IF(A5653="","",MAX(1,CEILING(PERCENTRANK.INC($C$3:$C$6000,C5653,4)*5+0.000001,1)))</f>
        <v/>
      </c>
      <c r="G5653">
        <f>IF(A5653="","",MAX(1,CEILING(PERCENTRANK.INC($D$3:$D$6000,D5653,4)*5+0.000001,1)))</f>
        <v/>
      </c>
      <c r="H5653">
        <f>IF(A5653="","",E5653&amp;F5653&amp;G5653)</f>
        <v/>
      </c>
      <c r="I5653">
        <f>IF(A5653="","",IF(AND(E5653&gt;=4,F5653&gt;=4,G5653&gt;=4),"Juara",IF(AND(F5653&gt;=4,E5653&gt;=3),"Setia",IF(AND(E5653=5,F5653&lt;=2,G5653&gt;=3),"Berpotensi",IF(AND(E5653&lt;=3,E5653&gt;=2,F5653&gt;=3),"Rawan",IF(AND(E5653&lt;=2,F5653&lt;=2),"Tidur","Umum"))))))</f>
        <v/>
      </c>
    </row>
    <row r="5654">
      <c r="B5654">
        <f>IF(A5654="","",$B$1-MAXIFS(Donasi!$A$2:$A$20000,Donasi!$B$2:$B$20000,A5654))</f>
        <v/>
      </c>
      <c r="C5654">
        <f>IF(A5654="","",COUNTIF(Donasi!$B$2:$B$20000,A5654))</f>
        <v/>
      </c>
      <c r="D5654">
        <f>IF(A5654="","",SUMIF(Donasi!$B$2:$B$20000,A5654,Donasi!$C$2:$C$20000))</f>
        <v/>
      </c>
      <c r="E5654">
        <f>IF(A5654="","",6-CEILING(PERCENTRANK.INC($B$3:$B$6000,B5654,4)*5+0.000001,1))</f>
        <v/>
      </c>
      <c r="F5654">
        <f>IF(A5654="","",MAX(1,CEILING(PERCENTRANK.INC($C$3:$C$6000,C5654,4)*5+0.000001,1)))</f>
        <v/>
      </c>
      <c r="G5654">
        <f>IF(A5654="","",MAX(1,CEILING(PERCENTRANK.INC($D$3:$D$6000,D5654,4)*5+0.000001,1)))</f>
        <v/>
      </c>
      <c r="H5654">
        <f>IF(A5654="","",E5654&amp;F5654&amp;G5654)</f>
        <v/>
      </c>
      <c r="I5654">
        <f>IF(A5654="","",IF(AND(E5654&gt;=4,F5654&gt;=4,G5654&gt;=4),"Juara",IF(AND(F5654&gt;=4,E5654&gt;=3),"Setia",IF(AND(E5654=5,F5654&lt;=2,G5654&gt;=3),"Berpotensi",IF(AND(E5654&lt;=3,E5654&gt;=2,F5654&gt;=3),"Rawan",IF(AND(E5654&lt;=2,F5654&lt;=2),"Tidur","Umum"))))))</f>
        <v/>
      </c>
    </row>
    <row r="5655">
      <c r="B5655">
        <f>IF(A5655="","",$B$1-MAXIFS(Donasi!$A$2:$A$20000,Donasi!$B$2:$B$20000,A5655))</f>
        <v/>
      </c>
      <c r="C5655">
        <f>IF(A5655="","",COUNTIF(Donasi!$B$2:$B$20000,A5655))</f>
        <v/>
      </c>
      <c r="D5655">
        <f>IF(A5655="","",SUMIF(Donasi!$B$2:$B$20000,A5655,Donasi!$C$2:$C$20000))</f>
        <v/>
      </c>
      <c r="E5655">
        <f>IF(A5655="","",6-CEILING(PERCENTRANK.INC($B$3:$B$6000,B5655,4)*5+0.000001,1))</f>
        <v/>
      </c>
      <c r="F5655">
        <f>IF(A5655="","",MAX(1,CEILING(PERCENTRANK.INC($C$3:$C$6000,C5655,4)*5+0.000001,1)))</f>
        <v/>
      </c>
      <c r="G5655">
        <f>IF(A5655="","",MAX(1,CEILING(PERCENTRANK.INC($D$3:$D$6000,D5655,4)*5+0.000001,1)))</f>
        <v/>
      </c>
      <c r="H5655">
        <f>IF(A5655="","",E5655&amp;F5655&amp;G5655)</f>
        <v/>
      </c>
      <c r="I5655">
        <f>IF(A5655="","",IF(AND(E5655&gt;=4,F5655&gt;=4,G5655&gt;=4),"Juara",IF(AND(F5655&gt;=4,E5655&gt;=3),"Setia",IF(AND(E5655=5,F5655&lt;=2,G5655&gt;=3),"Berpotensi",IF(AND(E5655&lt;=3,E5655&gt;=2,F5655&gt;=3),"Rawan",IF(AND(E5655&lt;=2,F5655&lt;=2),"Tidur","Umum"))))))</f>
        <v/>
      </c>
    </row>
    <row r="5656">
      <c r="B5656">
        <f>IF(A5656="","",$B$1-MAXIFS(Donasi!$A$2:$A$20000,Donasi!$B$2:$B$20000,A5656))</f>
        <v/>
      </c>
      <c r="C5656">
        <f>IF(A5656="","",COUNTIF(Donasi!$B$2:$B$20000,A5656))</f>
        <v/>
      </c>
      <c r="D5656">
        <f>IF(A5656="","",SUMIF(Donasi!$B$2:$B$20000,A5656,Donasi!$C$2:$C$20000))</f>
        <v/>
      </c>
      <c r="E5656">
        <f>IF(A5656="","",6-CEILING(PERCENTRANK.INC($B$3:$B$6000,B5656,4)*5+0.000001,1))</f>
        <v/>
      </c>
      <c r="F5656">
        <f>IF(A5656="","",MAX(1,CEILING(PERCENTRANK.INC($C$3:$C$6000,C5656,4)*5+0.000001,1)))</f>
        <v/>
      </c>
      <c r="G5656">
        <f>IF(A5656="","",MAX(1,CEILING(PERCENTRANK.INC($D$3:$D$6000,D5656,4)*5+0.000001,1)))</f>
        <v/>
      </c>
      <c r="H5656">
        <f>IF(A5656="","",E5656&amp;F5656&amp;G5656)</f>
        <v/>
      </c>
      <c r="I5656">
        <f>IF(A5656="","",IF(AND(E5656&gt;=4,F5656&gt;=4,G5656&gt;=4),"Juara",IF(AND(F5656&gt;=4,E5656&gt;=3),"Setia",IF(AND(E5656=5,F5656&lt;=2,G5656&gt;=3),"Berpotensi",IF(AND(E5656&lt;=3,E5656&gt;=2,F5656&gt;=3),"Rawan",IF(AND(E5656&lt;=2,F5656&lt;=2),"Tidur","Umum"))))))</f>
        <v/>
      </c>
    </row>
    <row r="5657">
      <c r="B5657">
        <f>IF(A5657="","",$B$1-MAXIFS(Donasi!$A$2:$A$20000,Donasi!$B$2:$B$20000,A5657))</f>
        <v/>
      </c>
      <c r="C5657">
        <f>IF(A5657="","",COUNTIF(Donasi!$B$2:$B$20000,A5657))</f>
        <v/>
      </c>
      <c r="D5657">
        <f>IF(A5657="","",SUMIF(Donasi!$B$2:$B$20000,A5657,Donasi!$C$2:$C$20000))</f>
        <v/>
      </c>
      <c r="E5657">
        <f>IF(A5657="","",6-CEILING(PERCENTRANK.INC($B$3:$B$6000,B5657,4)*5+0.000001,1))</f>
        <v/>
      </c>
      <c r="F5657">
        <f>IF(A5657="","",MAX(1,CEILING(PERCENTRANK.INC($C$3:$C$6000,C5657,4)*5+0.000001,1)))</f>
        <v/>
      </c>
      <c r="G5657">
        <f>IF(A5657="","",MAX(1,CEILING(PERCENTRANK.INC($D$3:$D$6000,D5657,4)*5+0.000001,1)))</f>
        <v/>
      </c>
      <c r="H5657">
        <f>IF(A5657="","",E5657&amp;F5657&amp;G5657)</f>
        <v/>
      </c>
      <c r="I5657">
        <f>IF(A5657="","",IF(AND(E5657&gt;=4,F5657&gt;=4,G5657&gt;=4),"Juara",IF(AND(F5657&gt;=4,E5657&gt;=3),"Setia",IF(AND(E5657=5,F5657&lt;=2,G5657&gt;=3),"Berpotensi",IF(AND(E5657&lt;=3,E5657&gt;=2,F5657&gt;=3),"Rawan",IF(AND(E5657&lt;=2,F5657&lt;=2),"Tidur","Umum"))))))</f>
        <v/>
      </c>
    </row>
    <row r="5658">
      <c r="B5658">
        <f>IF(A5658="","",$B$1-MAXIFS(Donasi!$A$2:$A$20000,Donasi!$B$2:$B$20000,A5658))</f>
        <v/>
      </c>
      <c r="C5658">
        <f>IF(A5658="","",COUNTIF(Donasi!$B$2:$B$20000,A5658))</f>
        <v/>
      </c>
      <c r="D5658">
        <f>IF(A5658="","",SUMIF(Donasi!$B$2:$B$20000,A5658,Donasi!$C$2:$C$20000))</f>
        <v/>
      </c>
      <c r="E5658">
        <f>IF(A5658="","",6-CEILING(PERCENTRANK.INC($B$3:$B$6000,B5658,4)*5+0.000001,1))</f>
        <v/>
      </c>
      <c r="F5658">
        <f>IF(A5658="","",MAX(1,CEILING(PERCENTRANK.INC($C$3:$C$6000,C5658,4)*5+0.000001,1)))</f>
        <v/>
      </c>
      <c r="G5658">
        <f>IF(A5658="","",MAX(1,CEILING(PERCENTRANK.INC($D$3:$D$6000,D5658,4)*5+0.000001,1)))</f>
        <v/>
      </c>
      <c r="H5658">
        <f>IF(A5658="","",E5658&amp;F5658&amp;G5658)</f>
        <v/>
      </c>
      <c r="I5658">
        <f>IF(A5658="","",IF(AND(E5658&gt;=4,F5658&gt;=4,G5658&gt;=4),"Juara",IF(AND(F5658&gt;=4,E5658&gt;=3),"Setia",IF(AND(E5658=5,F5658&lt;=2,G5658&gt;=3),"Berpotensi",IF(AND(E5658&lt;=3,E5658&gt;=2,F5658&gt;=3),"Rawan",IF(AND(E5658&lt;=2,F5658&lt;=2),"Tidur","Umum"))))))</f>
        <v/>
      </c>
    </row>
    <row r="5659">
      <c r="B5659">
        <f>IF(A5659="","",$B$1-MAXIFS(Donasi!$A$2:$A$20000,Donasi!$B$2:$B$20000,A5659))</f>
        <v/>
      </c>
      <c r="C5659">
        <f>IF(A5659="","",COUNTIF(Donasi!$B$2:$B$20000,A5659))</f>
        <v/>
      </c>
      <c r="D5659">
        <f>IF(A5659="","",SUMIF(Donasi!$B$2:$B$20000,A5659,Donasi!$C$2:$C$20000))</f>
        <v/>
      </c>
      <c r="E5659">
        <f>IF(A5659="","",6-CEILING(PERCENTRANK.INC($B$3:$B$6000,B5659,4)*5+0.000001,1))</f>
        <v/>
      </c>
      <c r="F5659">
        <f>IF(A5659="","",MAX(1,CEILING(PERCENTRANK.INC($C$3:$C$6000,C5659,4)*5+0.000001,1)))</f>
        <v/>
      </c>
      <c r="G5659">
        <f>IF(A5659="","",MAX(1,CEILING(PERCENTRANK.INC($D$3:$D$6000,D5659,4)*5+0.000001,1)))</f>
        <v/>
      </c>
      <c r="H5659">
        <f>IF(A5659="","",E5659&amp;F5659&amp;G5659)</f>
        <v/>
      </c>
      <c r="I5659">
        <f>IF(A5659="","",IF(AND(E5659&gt;=4,F5659&gt;=4,G5659&gt;=4),"Juara",IF(AND(F5659&gt;=4,E5659&gt;=3),"Setia",IF(AND(E5659=5,F5659&lt;=2,G5659&gt;=3),"Berpotensi",IF(AND(E5659&lt;=3,E5659&gt;=2,F5659&gt;=3),"Rawan",IF(AND(E5659&lt;=2,F5659&lt;=2),"Tidur","Umum"))))))</f>
        <v/>
      </c>
    </row>
    <row r="5660">
      <c r="B5660">
        <f>IF(A5660="","",$B$1-MAXIFS(Donasi!$A$2:$A$20000,Donasi!$B$2:$B$20000,A5660))</f>
        <v/>
      </c>
      <c r="C5660">
        <f>IF(A5660="","",COUNTIF(Donasi!$B$2:$B$20000,A5660))</f>
        <v/>
      </c>
      <c r="D5660">
        <f>IF(A5660="","",SUMIF(Donasi!$B$2:$B$20000,A5660,Donasi!$C$2:$C$20000))</f>
        <v/>
      </c>
      <c r="E5660">
        <f>IF(A5660="","",6-CEILING(PERCENTRANK.INC($B$3:$B$6000,B5660,4)*5+0.000001,1))</f>
        <v/>
      </c>
      <c r="F5660">
        <f>IF(A5660="","",MAX(1,CEILING(PERCENTRANK.INC($C$3:$C$6000,C5660,4)*5+0.000001,1)))</f>
        <v/>
      </c>
      <c r="G5660">
        <f>IF(A5660="","",MAX(1,CEILING(PERCENTRANK.INC($D$3:$D$6000,D5660,4)*5+0.000001,1)))</f>
        <v/>
      </c>
      <c r="H5660">
        <f>IF(A5660="","",E5660&amp;F5660&amp;G5660)</f>
        <v/>
      </c>
      <c r="I5660">
        <f>IF(A5660="","",IF(AND(E5660&gt;=4,F5660&gt;=4,G5660&gt;=4),"Juara",IF(AND(F5660&gt;=4,E5660&gt;=3),"Setia",IF(AND(E5660=5,F5660&lt;=2,G5660&gt;=3),"Berpotensi",IF(AND(E5660&lt;=3,E5660&gt;=2,F5660&gt;=3),"Rawan",IF(AND(E5660&lt;=2,F5660&lt;=2),"Tidur","Umum"))))))</f>
        <v/>
      </c>
    </row>
    <row r="5661">
      <c r="B5661">
        <f>IF(A5661="","",$B$1-MAXIFS(Donasi!$A$2:$A$20000,Donasi!$B$2:$B$20000,A5661))</f>
        <v/>
      </c>
      <c r="C5661">
        <f>IF(A5661="","",COUNTIF(Donasi!$B$2:$B$20000,A5661))</f>
        <v/>
      </c>
      <c r="D5661">
        <f>IF(A5661="","",SUMIF(Donasi!$B$2:$B$20000,A5661,Donasi!$C$2:$C$20000))</f>
        <v/>
      </c>
      <c r="E5661">
        <f>IF(A5661="","",6-CEILING(PERCENTRANK.INC($B$3:$B$6000,B5661,4)*5+0.000001,1))</f>
        <v/>
      </c>
      <c r="F5661">
        <f>IF(A5661="","",MAX(1,CEILING(PERCENTRANK.INC($C$3:$C$6000,C5661,4)*5+0.000001,1)))</f>
        <v/>
      </c>
      <c r="G5661">
        <f>IF(A5661="","",MAX(1,CEILING(PERCENTRANK.INC($D$3:$D$6000,D5661,4)*5+0.000001,1)))</f>
        <v/>
      </c>
      <c r="H5661">
        <f>IF(A5661="","",E5661&amp;F5661&amp;G5661)</f>
        <v/>
      </c>
      <c r="I5661">
        <f>IF(A5661="","",IF(AND(E5661&gt;=4,F5661&gt;=4,G5661&gt;=4),"Juara",IF(AND(F5661&gt;=4,E5661&gt;=3),"Setia",IF(AND(E5661=5,F5661&lt;=2,G5661&gt;=3),"Berpotensi",IF(AND(E5661&lt;=3,E5661&gt;=2,F5661&gt;=3),"Rawan",IF(AND(E5661&lt;=2,F5661&lt;=2),"Tidur","Umum"))))))</f>
        <v/>
      </c>
    </row>
    <row r="5662">
      <c r="B5662">
        <f>IF(A5662="","",$B$1-MAXIFS(Donasi!$A$2:$A$20000,Donasi!$B$2:$B$20000,A5662))</f>
        <v/>
      </c>
      <c r="C5662">
        <f>IF(A5662="","",COUNTIF(Donasi!$B$2:$B$20000,A5662))</f>
        <v/>
      </c>
      <c r="D5662">
        <f>IF(A5662="","",SUMIF(Donasi!$B$2:$B$20000,A5662,Donasi!$C$2:$C$20000))</f>
        <v/>
      </c>
      <c r="E5662">
        <f>IF(A5662="","",6-CEILING(PERCENTRANK.INC($B$3:$B$6000,B5662,4)*5+0.000001,1))</f>
        <v/>
      </c>
      <c r="F5662">
        <f>IF(A5662="","",MAX(1,CEILING(PERCENTRANK.INC($C$3:$C$6000,C5662,4)*5+0.000001,1)))</f>
        <v/>
      </c>
      <c r="G5662">
        <f>IF(A5662="","",MAX(1,CEILING(PERCENTRANK.INC($D$3:$D$6000,D5662,4)*5+0.000001,1)))</f>
        <v/>
      </c>
      <c r="H5662">
        <f>IF(A5662="","",E5662&amp;F5662&amp;G5662)</f>
        <v/>
      </c>
      <c r="I5662">
        <f>IF(A5662="","",IF(AND(E5662&gt;=4,F5662&gt;=4,G5662&gt;=4),"Juara",IF(AND(F5662&gt;=4,E5662&gt;=3),"Setia",IF(AND(E5662=5,F5662&lt;=2,G5662&gt;=3),"Berpotensi",IF(AND(E5662&lt;=3,E5662&gt;=2,F5662&gt;=3),"Rawan",IF(AND(E5662&lt;=2,F5662&lt;=2),"Tidur","Umum"))))))</f>
        <v/>
      </c>
    </row>
    <row r="5663">
      <c r="B5663">
        <f>IF(A5663="","",$B$1-MAXIFS(Donasi!$A$2:$A$20000,Donasi!$B$2:$B$20000,A5663))</f>
        <v/>
      </c>
      <c r="C5663">
        <f>IF(A5663="","",COUNTIF(Donasi!$B$2:$B$20000,A5663))</f>
        <v/>
      </c>
      <c r="D5663">
        <f>IF(A5663="","",SUMIF(Donasi!$B$2:$B$20000,A5663,Donasi!$C$2:$C$20000))</f>
        <v/>
      </c>
      <c r="E5663">
        <f>IF(A5663="","",6-CEILING(PERCENTRANK.INC($B$3:$B$6000,B5663,4)*5+0.000001,1))</f>
        <v/>
      </c>
      <c r="F5663">
        <f>IF(A5663="","",MAX(1,CEILING(PERCENTRANK.INC($C$3:$C$6000,C5663,4)*5+0.000001,1)))</f>
        <v/>
      </c>
      <c r="G5663">
        <f>IF(A5663="","",MAX(1,CEILING(PERCENTRANK.INC($D$3:$D$6000,D5663,4)*5+0.000001,1)))</f>
        <v/>
      </c>
      <c r="H5663">
        <f>IF(A5663="","",E5663&amp;F5663&amp;G5663)</f>
        <v/>
      </c>
      <c r="I5663">
        <f>IF(A5663="","",IF(AND(E5663&gt;=4,F5663&gt;=4,G5663&gt;=4),"Juara",IF(AND(F5663&gt;=4,E5663&gt;=3),"Setia",IF(AND(E5663=5,F5663&lt;=2,G5663&gt;=3),"Berpotensi",IF(AND(E5663&lt;=3,E5663&gt;=2,F5663&gt;=3),"Rawan",IF(AND(E5663&lt;=2,F5663&lt;=2),"Tidur","Umum"))))))</f>
        <v/>
      </c>
    </row>
    <row r="5664">
      <c r="B5664">
        <f>IF(A5664="","",$B$1-MAXIFS(Donasi!$A$2:$A$20000,Donasi!$B$2:$B$20000,A5664))</f>
        <v/>
      </c>
      <c r="C5664">
        <f>IF(A5664="","",COUNTIF(Donasi!$B$2:$B$20000,A5664))</f>
        <v/>
      </c>
      <c r="D5664">
        <f>IF(A5664="","",SUMIF(Donasi!$B$2:$B$20000,A5664,Donasi!$C$2:$C$20000))</f>
        <v/>
      </c>
      <c r="E5664">
        <f>IF(A5664="","",6-CEILING(PERCENTRANK.INC($B$3:$B$6000,B5664,4)*5+0.000001,1))</f>
        <v/>
      </c>
      <c r="F5664">
        <f>IF(A5664="","",MAX(1,CEILING(PERCENTRANK.INC($C$3:$C$6000,C5664,4)*5+0.000001,1)))</f>
        <v/>
      </c>
      <c r="G5664">
        <f>IF(A5664="","",MAX(1,CEILING(PERCENTRANK.INC($D$3:$D$6000,D5664,4)*5+0.000001,1)))</f>
        <v/>
      </c>
      <c r="H5664">
        <f>IF(A5664="","",E5664&amp;F5664&amp;G5664)</f>
        <v/>
      </c>
      <c r="I5664">
        <f>IF(A5664="","",IF(AND(E5664&gt;=4,F5664&gt;=4,G5664&gt;=4),"Juara",IF(AND(F5664&gt;=4,E5664&gt;=3),"Setia",IF(AND(E5664=5,F5664&lt;=2,G5664&gt;=3),"Berpotensi",IF(AND(E5664&lt;=3,E5664&gt;=2,F5664&gt;=3),"Rawan",IF(AND(E5664&lt;=2,F5664&lt;=2),"Tidur","Umum"))))))</f>
        <v/>
      </c>
    </row>
    <row r="5665">
      <c r="B5665">
        <f>IF(A5665="","",$B$1-MAXIFS(Donasi!$A$2:$A$20000,Donasi!$B$2:$B$20000,A5665))</f>
        <v/>
      </c>
      <c r="C5665">
        <f>IF(A5665="","",COUNTIF(Donasi!$B$2:$B$20000,A5665))</f>
        <v/>
      </c>
      <c r="D5665">
        <f>IF(A5665="","",SUMIF(Donasi!$B$2:$B$20000,A5665,Donasi!$C$2:$C$20000))</f>
        <v/>
      </c>
      <c r="E5665">
        <f>IF(A5665="","",6-CEILING(PERCENTRANK.INC($B$3:$B$6000,B5665,4)*5+0.000001,1))</f>
        <v/>
      </c>
      <c r="F5665">
        <f>IF(A5665="","",MAX(1,CEILING(PERCENTRANK.INC($C$3:$C$6000,C5665,4)*5+0.000001,1)))</f>
        <v/>
      </c>
      <c r="G5665">
        <f>IF(A5665="","",MAX(1,CEILING(PERCENTRANK.INC($D$3:$D$6000,D5665,4)*5+0.000001,1)))</f>
        <v/>
      </c>
      <c r="H5665">
        <f>IF(A5665="","",E5665&amp;F5665&amp;G5665)</f>
        <v/>
      </c>
      <c r="I5665">
        <f>IF(A5665="","",IF(AND(E5665&gt;=4,F5665&gt;=4,G5665&gt;=4),"Juara",IF(AND(F5665&gt;=4,E5665&gt;=3),"Setia",IF(AND(E5665=5,F5665&lt;=2,G5665&gt;=3),"Berpotensi",IF(AND(E5665&lt;=3,E5665&gt;=2,F5665&gt;=3),"Rawan",IF(AND(E5665&lt;=2,F5665&lt;=2),"Tidur","Umum"))))))</f>
        <v/>
      </c>
    </row>
    <row r="5666">
      <c r="B5666">
        <f>IF(A5666="","",$B$1-MAXIFS(Donasi!$A$2:$A$20000,Donasi!$B$2:$B$20000,A5666))</f>
        <v/>
      </c>
      <c r="C5666">
        <f>IF(A5666="","",COUNTIF(Donasi!$B$2:$B$20000,A5666))</f>
        <v/>
      </c>
      <c r="D5666">
        <f>IF(A5666="","",SUMIF(Donasi!$B$2:$B$20000,A5666,Donasi!$C$2:$C$20000))</f>
        <v/>
      </c>
      <c r="E5666">
        <f>IF(A5666="","",6-CEILING(PERCENTRANK.INC($B$3:$B$6000,B5666,4)*5+0.000001,1))</f>
        <v/>
      </c>
      <c r="F5666">
        <f>IF(A5666="","",MAX(1,CEILING(PERCENTRANK.INC($C$3:$C$6000,C5666,4)*5+0.000001,1)))</f>
        <v/>
      </c>
      <c r="G5666">
        <f>IF(A5666="","",MAX(1,CEILING(PERCENTRANK.INC($D$3:$D$6000,D5666,4)*5+0.000001,1)))</f>
        <v/>
      </c>
      <c r="H5666">
        <f>IF(A5666="","",E5666&amp;F5666&amp;G5666)</f>
        <v/>
      </c>
      <c r="I5666">
        <f>IF(A5666="","",IF(AND(E5666&gt;=4,F5666&gt;=4,G5666&gt;=4),"Juara",IF(AND(F5666&gt;=4,E5666&gt;=3),"Setia",IF(AND(E5666=5,F5666&lt;=2,G5666&gt;=3),"Berpotensi",IF(AND(E5666&lt;=3,E5666&gt;=2,F5666&gt;=3),"Rawan",IF(AND(E5666&lt;=2,F5666&lt;=2),"Tidur","Umum"))))))</f>
        <v/>
      </c>
    </row>
    <row r="5667">
      <c r="B5667">
        <f>IF(A5667="","",$B$1-MAXIFS(Donasi!$A$2:$A$20000,Donasi!$B$2:$B$20000,A5667))</f>
        <v/>
      </c>
      <c r="C5667">
        <f>IF(A5667="","",COUNTIF(Donasi!$B$2:$B$20000,A5667))</f>
        <v/>
      </c>
      <c r="D5667">
        <f>IF(A5667="","",SUMIF(Donasi!$B$2:$B$20000,A5667,Donasi!$C$2:$C$20000))</f>
        <v/>
      </c>
      <c r="E5667">
        <f>IF(A5667="","",6-CEILING(PERCENTRANK.INC($B$3:$B$6000,B5667,4)*5+0.000001,1))</f>
        <v/>
      </c>
      <c r="F5667">
        <f>IF(A5667="","",MAX(1,CEILING(PERCENTRANK.INC($C$3:$C$6000,C5667,4)*5+0.000001,1)))</f>
        <v/>
      </c>
      <c r="G5667">
        <f>IF(A5667="","",MAX(1,CEILING(PERCENTRANK.INC($D$3:$D$6000,D5667,4)*5+0.000001,1)))</f>
        <v/>
      </c>
      <c r="H5667">
        <f>IF(A5667="","",E5667&amp;F5667&amp;G5667)</f>
        <v/>
      </c>
      <c r="I5667">
        <f>IF(A5667="","",IF(AND(E5667&gt;=4,F5667&gt;=4,G5667&gt;=4),"Juara",IF(AND(F5667&gt;=4,E5667&gt;=3),"Setia",IF(AND(E5667=5,F5667&lt;=2,G5667&gt;=3),"Berpotensi",IF(AND(E5667&lt;=3,E5667&gt;=2,F5667&gt;=3),"Rawan",IF(AND(E5667&lt;=2,F5667&lt;=2),"Tidur","Umum"))))))</f>
        <v/>
      </c>
    </row>
    <row r="5668">
      <c r="B5668">
        <f>IF(A5668="","",$B$1-MAXIFS(Donasi!$A$2:$A$20000,Donasi!$B$2:$B$20000,A5668))</f>
        <v/>
      </c>
      <c r="C5668">
        <f>IF(A5668="","",COUNTIF(Donasi!$B$2:$B$20000,A5668))</f>
        <v/>
      </c>
      <c r="D5668">
        <f>IF(A5668="","",SUMIF(Donasi!$B$2:$B$20000,A5668,Donasi!$C$2:$C$20000))</f>
        <v/>
      </c>
      <c r="E5668">
        <f>IF(A5668="","",6-CEILING(PERCENTRANK.INC($B$3:$B$6000,B5668,4)*5+0.000001,1))</f>
        <v/>
      </c>
      <c r="F5668">
        <f>IF(A5668="","",MAX(1,CEILING(PERCENTRANK.INC($C$3:$C$6000,C5668,4)*5+0.000001,1)))</f>
        <v/>
      </c>
      <c r="G5668">
        <f>IF(A5668="","",MAX(1,CEILING(PERCENTRANK.INC($D$3:$D$6000,D5668,4)*5+0.000001,1)))</f>
        <v/>
      </c>
      <c r="H5668">
        <f>IF(A5668="","",E5668&amp;F5668&amp;G5668)</f>
        <v/>
      </c>
      <c r="I5668">
        <f>IF(A5668="","",IF(AND(E5668&gt;=4,F5668&gt;=4,G5668&gt;=4),"Juara",IF(AND(F5668&gt;=4,E5668&gt;=3),"Setia",IF(AND(E5668=5,F5668&lt;=2,G5668&gt;=3),"Berpotensi",IF(AND(E5668&lt;=3,E5668&gt;=2,F5668&gt;=3),"Rawan",IF(AND(E5668&lt;=2,F5668&lt;=2),"Tidur","Umum"))))))</f>
        <v/>
      </c>
    </row>
    <row r="5669">
      <c r="B5669">
        <f>IF(A5669="","",$B$1-MAXIFS(Donasi!$A$2:$A$20000,Donasi!$B$2:$B$20000,A5669))</f>
        <v/>
      </c>
      <c r="C5669">
        <f>IF(A5669="","",COUNTIF(Donasi!$B$2:$B$20000,A5669))</f>
        <v/>
      </c>
      <c r="D5669">
        <f>IF(A5669="","",SUMIF(Donasi!$B$2:$B$20000,A5669,Donasi!$C$2:$C$20000))</f>
        <v/>
      </c>
      <c r="E5669">
        <f>IF(A5669="","",6-CEILING(PERCENTRANK.INC($B$3:$B$6000,B5669,4)*5+0.000001,1))</f>
        <v/>
      </c>
      <c r="F5669">
        <f>IF(A5669="","",MAX(1,CEILING(PERCENTRANK.INC($C$3:$C$6000,C5669,4)*5+0.000001,1)))</f>
        <v/>
      </c>
      <c r="G5669">
        <f>IF(A5669="","",MAX(1,CEILING(PERCENTRANK.INC($D$3:$D$6000,D5669,4)*5+0.000001,1)))</f>
        <v/>
      </c>
      <c r="H5669">
        <f>IF(A5669="","",E5669&amp;F5669&amp;G5669)</f>
        <v/>
      </c>
      <c r="I5669">
        <f>IF(A5669="","",IF(AND(E5669&gt;=4,F5669&gt;=4,G5669&gt;=4),"Juara",IF(AND(F5669&gt;=4,E5669&gt;=3),"Setia",IF(AND(E5669=5,F5669&lt;=2,G5669&gt;=3),"Berpotensi",IF(AND(E5669&lt;=3,E5669&gt;=2,F5669&gt;=3),"Rawan",IF(AND(E5669&lt;=2,F5669&lt;=2),"Tidur","Umum"))))))</f>
        <v/>
      </c>
    </row>
    <row r="5670">
      <c r="B5670">
        <f>IF(A5670="","",$B$1-MAXIFS(Donasi!$A$2:$A$20000,Donasi!$B$2:$B$20000,A5670))</f>
        <v/>
      </c>
      <c r="C5670">
        <f>IF(A5670="","",COUNTIF(Donasi!$B$2:$B$20000,A5670))</f>
        <v/>
      </c>
      <c r="D5670">
        <f>IF(A5670="","",SUMIF(Donasi!$B$2:$B$20000,A5670,Donasi!$C$2:$C$20000))</f>
        <v/>
      </c>
      <c r="E5670">
        <f>IF(A5670="","",6-CEILING(PERCENTRANK.INC($B$3:$B$6000,B5670,4)*5+0.000001,1))</f>
        <v/>
      </c>
      <c r="F5670">
        <f>IF(A5670="","",MAX(1,CEILING(PERCENTRANK.INC($C$3:$C$6000,C5670,4)*5+0.000001,1)))</f>
        <v/>
      </c>
      <c r="G5670">
        <f>IF(A5670="","",MAX(1,CEILING(PERCENTRANK.INC($D$3:$D$6000,D5670,4)*5+0.000001,1)))</f>
        <v/>
      </c>
      <c r="H5670">
        <f>IF(A5670="","",E5670&amp;F5670&amp;G5670)</f>
        <v/>
      </c>
      <c r="I5670">
        <f>IF(A5670="","",IF(AND(E5670&gt;=4,F5670&gt;=4,G5670&gt;=4),"Juara",IF(AND(F5670&gt;=4,E5670&gt;=3),"Setia",IF(AND(E5670=5,F5670&lt;=2,G5670&gt;=3),"Berpotensi",IF(AND(E5670&lt;=3,E5670&gt;=2,F5670&gt;=3),"Rawan",IF(AND(E5670&lt;=2,F5670&lt;=2),"Tidur","Umum"))))))</f>
        <v/>
      </c>
    </row>
    <row r="5671">
      <c r="B5671">
        <f>IF(A5671="","",$B$1-MAXIFS(Donasi!$A$2:$A$20000,Donasi!$B$2:$B$20000,A5671))</f>
        <v/>
      </c>
      <c r="C5671">
        <f>IF(A5671="","",COUNTIF(Donasi!$B$2:$B$20000,A5671))</f>
        <v/>
      </c>
      <c r="D5671">
        <f>IF(A5671="","",SUMIF(Donasi!$B$2:$B$20000,A5671,Donasi!$C$2:$C$20000))</f>
        <v/>
      </c>
      <c r="E5671">
        <f>IF(A5671="","",6-CEILING(PERCENTRANK.INC($B$3:$B$6000,B5671,4)*5+0.000001,1))</f>
        <v/>
      </c>
      <c r="F5671">
        <f>IF(A5671="","",MAX(1,CEILING(PERCENTRANK.INC($C$3:$C$6000,C5671,4)*5+0.000001,1)))</f>
        <v/>
      </c>
      <c r="G5671">
        <f>IF(A5671="","",MAX(1,CEILING(PERCENTRANK.INC($D$3:$D$6000,D5671,4)*5+0.000001,1)))</f>
        <v/>
      </c>
      <c r="H5671">
        <f>IF(A5671="","",E5671&amp;F5671&amp;G5671)</f>
        <v/>
      </c>
      <c r="I5671">
        <f>IF(A5671="","",IF(AND(E5671&gt;=4,F5671&gt;=4,G5671&gt;=4),"Juara",IF(AND(F5671&gt;=4,E5671&gt;=3),"Setia",IF(AND(E5671=5,F5671&lt;=2,G5671&gt;=3),"Berpotensi",IF(AND(E5671&lt;=3,E5671&gt;=2,F5671&gt;=3),"Rawan",IF(AND(E5671&lt;=2,F5671&lt;=2),"Tidur","Umum"))))))</f>
        <v/>
      </c>
    </row>
    <row r="5672">
      <c r="B5672">
        <f>IF(A5672="","",$B$1-MAXIFS(Donasi!$A$2:$A$20000,Donasi!$B$2:$B$20000,A5672))</f>
        <v/>
      </c>
      <c r="C5672">
        <f>IF(A5672="","",COUNTIF(Donasi!$B$2:$B$20000,A5672))</f>
        <v/>
      </c>
      <c r="D5672">
        <f>IF(A5672="","",SUMIF(Donasi!$B$2:$B$20000,A5672,Donasi!$C$2:$C$20000))</f>
        <v/>
      </c>
      <c r="E5672">
        <f>IF(A5672="","",6-CEILING(PERCENTRANK.INC($B$3:$B$6000,B5672,4)*5+0.000001,1))</f>
        <v/>
      </c>
      <c r="F5672">
        <f>IF(A5672="","",MAX(1,CEILING(PERCENTRANK.INC($C$3:$C$6000,C5672,4)*5+0.000001,1)))</f>
        <v/>
      </c>
      <c r="G5672">
        <f>IF(A5672="","",MAX(1,CEILING(PERCENTRANK.INC($D$3:$D$6000,D5672,4)*5+0.000001,1)))</f>
        <v/>
      </c>
      <c r="H5672">
        <f>IF(A5672="","",E5672&amp;F5672&amp;G5672)</f>
        <v/>
      </c>
      <c r="I5672">
        <f>IF(A5672="","",IF(AND(E5672&gt;=4,F5672&gt;=4,G5672&gt;=4),"Juara",IF(AND(F5672&gt;=4,E5672&gt;=3),"Setia",IF(AND(E5672=5,F5672&lt;=2,G5672&gt;=3),"Berpotensi",IF(AND(E5672&lt;=3,E5672&gt;=2,F5672&gt;=3),"Rawan",IF(AND(E5672&lt;=2,F5672&lt;=2),"Tidur","Umum"))))))</f>
        <v/>
      </c>
    </row>
    <row r="5673">
      <c r="B5673">
        <f>IF(A5673="","",$B$1-MAXIFS(Donasi!$A$2:$A$20000,Donasi!$B$2:$B$20000,A5673))</f>
        <v/>
      </c>
      <c r="C5673">
        <f>IF(A5673="","",COUNTIF(Donasi!$B$2:$B$20000,A5673))</f>
        <v/>
      </c>
      <c r="D5673">
        <f>IF(A5673="","",SUMIF(Donasi!$B$2:$B$20000,A5673,Donasi!$C$2:$C$20000))</f>
        <v/>
      </c>
      <c r="E5673">
        <f>IF(A5673="","",6-CEILING(PERCENTRANK.INC($B$3:$B$6000,B5673,4)*5+0.000001,1))</f>
        <v/>
      </c>
      <c r="F5673">
        <f>IF(A5673="","",MAX(1,CEILING(PERCENTRANK.INC($C$3:$C$6000,C5673,4)*5+0.000001,1)))</f>
        <v/>
      </c>
      <c r="G5673">
        <f>IF(A5673="","",MAX(1,CEILING(PERCENTRANK.INC($D$3:$D$6000,D5673,4)*5+0.000001,1)))</f>
        <v/>
      </c>
      <c r="H5673">
        <f>IF(A5673="","",E5673&amp;F5673&amp;G5673)</f>
        <v/>
      </c>
      <c r="I5673">
        <f>IF(A5673="","",IF(AND(E5673&gt;=4,F5673&gt;=4,G5673&gt;=4),"Juara",IF(AND(F5673&gt;=4,E5673&gt;=3),"Setia",IF(AND(E5673=5,F5673&lt;=2,G5673&gt;=3),"Berpotensi",IF(AND(E5673&lt;=3,E5673&gt;=2,F5673&gt;=3),"Rawan",IF(AND(E5673&lt;=2,F5673&lt;=2),"Tidur","Umum"))))))</f>
        <v/>
      </c>
    </row>
    <row r="5674">
      <c r="B5674">
        <f>IF(A5674="","",$B$1-MAXIFS(Donasi!$A$2:$A$20000,Donasi!$B$2:$B$20000,A5674))</f>
        <v/>
      </c>
      <c r="C5674">
        <f>IF(A5674="","",COUNTIF(Donasi!$B$2:$B$20000,A5674))</f>
        <v/>
      </c>
      <c r="D5674">
        <f>IF(A5674="","",SUMIF(Donasi!$B$2:$B$20000,A5674,Donasi!$C$2:$C$20000))</f>
        <v/>
      </c>
      <c r="E5674">
        <f>IF(A5674="","",6-CEILING(PERCENTRANK.INC($B$3:$B$6000,B5674,4)*5+0.000001,1))</f>
        <v/>
      </c>
      <c r="F5674">
        <f>IF(A5674="","",MAX(1,CEILING(PERCENTRANK.INC($C$3:$C$6000,C5674,4)*5+0.000001,1)))</f>
        <v/>
      </c>
      <c r="G5674">
        <f>IF(A5674="","",MAX(1,CEILING(PERCENTRANK.INC($D$3:$D$6000,D5674,4)*5+0.000001,1)))</f>
        <v/>
      </c>
      <c r="H5674">
        <f>IF(A5674="","",E5674&amp;F5674&amp;G5674)</f>
        <v/>
      </c>
      <c r="I5674">
        <f>IF(A5674="","",IF(AND(E5674&gt;=4,F5674&gt;=4,G5674&gt;=4),"Juara",IF(AND(F5674&gt;=4,E5674&gt;=3),"Setia",IF(AND(E5674=5,F5674&lt;=2,G5674&gt;=3),"Berpotensi",IF(AND(E5674&lt;=3,E5674&gt;=2,F5674&gt;=3),"Rawan",IF(AND(E5674&lt;=2,F5674&lt;=2),"Tidur","Umum"))))))</f>
        <v/>
      </c>
    </row>
    <row r="5675">
      <c r="B5675">
        <f>IF(A5675="","",$B$1-MAXIFS(Donasi!$A$2:$A$20000,Donasi!$B$2:$B$20000,A5675))</f>
        <v/>
      </c>
      <c r="C5675">
        <f>IF(A5675="","",COUNTIF(Donasi!$B$2:$B$20000,A5675))</f>
        <v/>
      </c>
      <c r="D5675">
        <f>IF(A5675="","",SUMIF(Donasi!$B$2:$B$20000,A5675,Donasi!$C$2:$C$20000))</f>
        <v/>
      </c>
      <c r="E5675">
        <f>IF(A5675="","",6-CEILING(PERCENTRANK.INC($B$3:$B$6000,B5675,4)*5+0.000001,1))</f>
        <v/>
      </c>
      <c r="F5675">
        <f>IF(A5675="","",MAX(1,CEILING(PERCENTRANK.INC($C$3:$C$6000,C5675,4)*5+0.000001,1)))</f>
        <v/>
      </c>
      <c r="G5675">
        <f>IF(A5675="","",MAX(1,CEILING(PERCENTRANK.INC($D$3:$D$6000,D5675,4)*5+0.000001,1)))</f>
        <v/>
      </c>
      <c r="H5675">
        <f>IF(A5675="","",E5675&amp;F5675&amp;G5675)</f>
        <v/>
      </c>
      <c r="I5675">
        <f>IF(A5675="","",IF(AND(E5675&gt;=4,F5675&gt;=4,G5675&gt;=4),"Juara",IF(AND(F5675&gt;=4,E5675&gt;=3),"Setia",IF(AND(E5675=5,F5675&lt;=2,G5675&gt;=3),"Berpotensi",IF(AND(E5675&lt;=3,E5675&gt;=2,F5675&gt;=3),"Rawan",IF(AND(E5675&lt;=2,F5675&lt;=2),"Tidur","Umum"))))))</f>
        <v/>
      </c>
    </row>
    <row r="5676">
      <c r="B5676">
        <f>IF(A5676="","",$B$1-MAXIFS(Donasi!$A$2:$A$20000,Donasi!$B$2:$B$20000,A5676))</f>
        <v/>
      </c>
      <c r="C5676">
        <f>IF(A5676="","",COUNTIF(Donasi!$B$2:$B$20000,A5676))</f>
        <v/>
      </c>
      <c r="D5676">
        <f>IF(A5676="","",SUMIF(Donasi!$B$2:$B$20000,A5676,Donasi!$C$2:$C$20000))</f>
        <v/>
      </c>
      <c r="E5676">
        <f>IF(A5676="","",6-CEILING(PERCENTRANK.INC($B$3:$B$6000,B5676,4)*5+0.000001,1))</f>
        <v/>
      </c>
      <c r="F5676">
        <f>IF(A5676="","",MAX(1,CEILING(PERCENTRANK.INC($C$3:$C$6000,C5676,4)*5+0.000001,1)))</f>
        <v/>
      </c>
      <c r="G5676">
        <f>IF(A5676="","",MAX(1,CEILING(PERCENTRANK.INC($D$3:$D$6000,D5676,4)*5+0.000001,1)))</f>
        <v/>
      </c>
      <c r="H5676">
        <f>IF(A5676="","",E5676&amp;F5676&amp;G5676)</f>
        <v/>
      </c>
      <c r="I5676">
        <f>IF(A5676="","",IF(AND(E5676&gt;=4,F5676&gt;=4,G5676&gt;=4),"Juara",IF(AND(F5676&gt;=4,E5676&gt;=3),"Setia",IF(AND(E5676=5,F5676&lt;=2,G5676&gt;=3),"Berpotensi",IF(AND(E5676&lt;=3,E5676&gt;=2,F5676&gt;=3),"Rawan",IF(AND(E5676&lt;=2,F5676&lt;=2),"Tidur","Umum"))))))</f>
        <v/>
      </c>
    </row>
    <row r="5677">
      <c r="B5677">
        <f>IF(A5677="","",$B$1-MAXIFS(Donasi!$A$2:$A$20000,Donasi!$B$2:$B$20000,A5677))</f>
        <v/>
      </c>
      <c r="C5677">
        <f>IF(A5677="","",COUNTIF(Donasi!$B$2:$B$20000,A5677))</f>
        <v/>
      </c>
      <c r="D5677">
        <f>IF(A5677="","",SUMIF(Donasi!$B$2:$B$20000,A5677,Donasi!$C$2:$C$20000))</f>
        <v/>
      </c>
      <c r="E5677">
        <f>IF(A5677="","",6-CEILING(PERCENTRANK.INC($B$3:$B$6000,B5677,4)*5+0.000001,1))</f>
        <v/>
      </c>
      <c r="F5677">
        <f>IF(A5677="","",MAX(1,CEILING(PERCENTRANK.INC($C$3:$C$6000,C5677,4)*5+0.000001,1)))</f>
        <v/>
      </c>
      <c r="G5677">
        <f>IF(A5677="","",MAX(1,CEILING(PERCENTRANK.INC($D$3:$D$6000,D5677,4)*5+0.000001,1)))</f>
        <v/>
      </c>
      <c r="H5677">
        <f>IF(A5677="","",E5677&amp;F5677&amp;G5677)</f>
        <v/>
      </c>
      <c r="I5677">
        <f>IF(A5677="","",IF(AND(E5677&gt;=4,F5677&gt;=4,G5677&gt;=4),"Juara",IF(AND(F5677&gt;=4,E5677&gt;=3),"Setia",IF(AND(E5677=5,F5677&lt;=2,G5677&gt;=3),"Berpotensi",IF(AND(E5677&lt;=3,E5677&gt;=2,F5677&gt;=3),"Rawan",IF(AND(E5677&lt;=2,F5677&lt;=2),"Tidur","Umum"))))))</f>
        <v/>
      </c>
    </row>
    <row r="5678">
      <c r="B5678">
        <f>IF(A5678="","",$B$1-MAXIFS(Donasi!$A$2:$A$20000,Donasi!$B$2:$B$20000,A5678))</f>
        <v/>
      </c>
      <c r="C5678">
        <f>IF(A5678="","",COUNTIF(Donasi!$B$2:$B$20000,A5678))</f>
        <v/>
      </c>
      <c r="D5678">
        <f>IF(A5678="","",SUMIF(Donasi!$B$2:$B$20000,A5678,Donasi!$C$2:$C$20000))</f>
        <v/>
      </c>
      <c r="E5678">
        <f>IF(A5678="","",6-CEILING(PERCENTRANK.INC($B$3:$B$6000,B5678,4)*5+0.000001,1))</f>
        <v/>
      </c>
      <c r="F5678">
        <f>IF(A5678="","",MAX(1,CEILING(PERCENTRANK.INC($C$3:$C$6000,C5678,4)*5+0.000001,1)))</f>
        <v/>
      </c>
      <c r="G5678">
        <f>IF(A5678="","",MAX(1,CEILING(PERCENTRANK.INC($D$3:$D$6000,D5678,4)*5+0.000001,1)))</f>
        <v/>
      </c>
      <c r="H5678">
        <f>IF(A5678="","",E5678&amp;F5678&amp;G5678)</f>
        <v/>
      </c>
      <c r="I5678">
        <f>IF(A5678="","",IF(AND(E5678&gt;=4,F5678&gt;=4,G5678&gt;=4),"Juara",IF(AND(F5678&gt;=4,E5678&gt;=3),"Setia",IF(AND(E5678=5,F5678&lt;=2,G5678&gt;=3),"Berpotensi",IF(AND(E5678&lt;=3,E5678&gt;=2,F5678&gt;=3),"Rawan",IF(AND(E5678&lt;=2,F5678&lt;=2),"Tidur","Umum"))))))</f>
        <v/>
      </c>
    </row>
    <row r="5679">
      <c r="B5679">
        <f>IF(A5679="","",$B$1-MAXIFS(Donasi!$A$2:$A$20000,Donasi!$B$2:$B$20000,A5679))</f>
        <v/>
      </c>
      <c r="C5679">
        <f>IF(A5679="","",COUNTIF(Donasi!$B$2:$B$20000,A5679))</f>
        <v/>
      </c>
      <c r="D5679">
        <f>IF(A5679="","",SUMIF(Donasi!$B$2:$B$20000,A5679,Donasi!$C$2:$C$20000))</f>
        <v/>
      </c>
      <c r="E5679">
        <f>IF(A5679="","",6-CEILING(PERCENTRANK.INC($B$3:$B$6000,B5679,4)*5+0.000001,1))</f>
        <v/>
      </c>
      <c r="F5679">
        <f>IF(A5679="","",MAX(1,CEILING(PERCENTRANK.INC($C$3:$C$6000,C5679,4)*5+0.000001,1)))</f>
        <v/>
      </c>
      <c r="G5679">
        <f>IF(A5679="","",MAX(1,CEILING(PERCENTRANK.INC($D$3:$D$6000,D5679,4)*5+0.000001,1)))</f>
        <v/>
      </c>
      <c r="H5679">
        <f>IF(A5679="","",E5679&amp;F5679&amp;G5679)</f>
        <v/>
      </c>
      <c r="I5679">
        <f>IF(A5679="","",IF(AND(E5679&gt;=4,F5679&gt;=4,G5679&gt;=4),"Juara",IF(AND(F5679&gt;=4,E5679&gt;=3),"Setia",IF(AND(E5679=5,F5679&lt;=2,G5679&gt;=3),"Berpotensi",IF(AND(E5679&lt;=3,E5679&gt;=2,F5679&gt;=3),"Rawan",IF(AND(E5679&lt;=2,F5679&lt;=2),"Tidur","Umum"))))))</f>
        <v/>
      </c>
    </row>
    <row r="5680">
      <c r="B5680">
        <f>IF(A5680="","",$B$1-MAXIFS(Donasi!$A$2:$A$20000,Donasi!$B$2:$B$20000,A5680))</f>
        <v/>
      </c>
      <c r="C5680">
        <f>IF(A5680="","",COUNTIF(Donasi!$B$2:$B$20000,A5680))</f>
        <v/>
      </c>
      <c r="D5680">
        <f>IF(A5680="","",SUMIF(Donasi!$B$2:$B$20000,A5680,Donasi!$C$2:$C$20000))</f>
        <v/>
      </c>
      <c r="E5680">
        <f>IF(A5680="","",6-CEILING(PERCENTRANK.INC($B$3:$B$6000,B5680,4)*5+0.000001,1))</f>
        <v/>
      </c>
      <c r="F5680">
        <f>IF(A5680="","",MAX(1,CEILING(PERCENTRANK.INC($C$3:$C$6000,C5680,4)*5+0.000001,1)))</f>
        <v/>
      </c>
      <c r="G5680">
        <f>IF(A5680="","",MAX(1,CEILING(PERCENTRANK.INC($D$3:$D$6000,D5680,4)*5+0.000001,1)))</f>
        <v/>
      </c>
      <c r="H5680">
        <f>IF(A5680="","",E5680&amp;F5680&amp;G5680)</f>
        <v/>
      </c>
      <c r="I5680">
        <f>IF(A5680="","",IF(AND(E5680&gt;=4,F5680&gt;=4,G5680&gt;=4),"Juara",IF(AND(F5680&gt;=4,E5680&gt;=3),"Setia",IF(AND(E5680=5,F5680&lt;=2,G5680&gt;=3),"Berpotensi",IF(AND(E5680&lt;=3,E5680&gt;=2,F5680&gt;=3),"Rawan",IF(AND(E5680&lt;=2,F5680&lt;=2),"Tidur","Umum"))))))</f>
        <v/>
      </c>
    </row>
    <row r="5681">
      <c r="B5681">
        <f>IF(A5681="","",$B$1-MAXIFS(Donasi!$A$2:$A$20000,Donasi!$B$2:$B$20000,A5681))</f>
        <v/>
      </c>
      <c r="C5681">
        <f>IF(A5681="","",COUNTIF(Donasi!$B$2:$B$20000,A5681))</f>
        <v/>
      </c>
      <c r="D5681">
        <f>IF(A5681="","",SUMIF(Donasi!$B$2:$B$20000,A5681,Donasi!$C$2:$C$20000))</f>
        <v/>
      </c>
      <c r="E5681">
        <f>IF(A5681="","",6-CEILING(PERCENTRANK.INC($B$3:$B$6000,B5681,4)*5+0.000001,1))</f>
        <v/>
      </c>
      <c r="F5681">
        <f>IF(A5681="","",MAX(1,CEILING(PERCENTRANK.INC($C$3:$C$6000,C5681,4)*5+0.000001,1)))</f>
        <v/>
      </c>
      <c r="G5681">
        <f>IF(A5681="","",MAX(1,CEILING(PERCENTRANK.INC($D$3:$D$6000,D5681,4)*5+0.000001,1)))</f>
        <v/>
      </c>
      <c r="H5681">
        <f>IF(A5681="","",E5681&amp;F5681&amp;G5681)</f>
        <v/>
      </c>
      <c r="I5681">
        <f>IF(A5681="","",IF(AND(E5681&gt;=4,F5681&gt;=4,G5681&gt;=4),"Juara",IF(AND(F5681&gt;=4,E5681&gt;=3),"Setia",IF(AND(E5681=5,F5681&lt;=2,G5681&gt;=3),"Berpotensi",IF(AND(E5681&lt;=3,E5681&gt;=2,F5681&gt;=3),"Rawan",IF(AND(E5681&lt;=2,F5681&lt;=2),"Tidur","Umum"))))))</f>
        <v/>
      </c>
    </row>
    <row r="5682">
      <c r="B5682">
        <f>IF(A5682="","",$B$1-MAXIFS(Donasi!$A$2:$A$20000,Donasi!$B$2:$B$20000,A5682))</f>
        <v/>
      </c>
      <c r="C5682">
        <f>IF(A5682="","",COUNTIF(Donasi!$B$2:$B$20000,A5682))</f>
        <v/>
      </c>
      <c r="D5682">
        <f>IF(A5682="","",SUMIF(Donasi!$B$2:$B$20000,A5682,Donasi!$C$2:$C$20000))</f>
        <v/>
      </c>
      <c r="E5682">
        <f>IF(A5682="","",6-CEILING(PERCENTRANK.INC($B$3:$B$6000,B5682,4)*5+0.000001,1))</f>
        <v/>
      </c>
      <c r="F5682">
        <f>IF(A5682="","",MAX(1,CEILING(PERCENTRANK.INC($C$3:$C$6000,C5682,4)*5+0.000001,1)))</f>
        <v/>
      </c>
      <c r="G5682">
        <f>IF(A5682="","",MAX(1,CEILING(PERCENTRANK.INC($D$3:$D$6000,D5682,4)*5+0.000001,1)))</f>
        <v/>
      </c>
      <c r="H5682">
        <f>IF(A5682="","",E5682&amp;F5682&amp;G5682)</f>
        <v/>
      </c>
      <c r="I5682">
        <f>IF(A5682="","",IF(AND(E5682&gt;=4,F5682&gt;=4,G5682&gt;=4),"Juara",IF(AND(F5682&gt;=4,E5682&gt;=3),"Setia",IF(AND(E5682=5,F5682&lt;=2,G5682&gt;=3),"Berpotensi",IF(AND(E5682&lt;=3,E5682&gt;=2,F5682&gt;=3),"Rawan",IF(AND(E5682&lt;=2,F5682&lt;=2),"Tidur","Umum"))))))</f>
        <v/>
      </c>
    </row>
    <row r="5683">
      <c r="B5683">
        <f>IF(A5683="","",$B$1-MAXIFS(Donasi!$A$2:$A$20000,Donasi!$B$2:$B$20000,A5683))</f>
        <v/>
      </c>
      <c r="C5683">
        <f>IF(A5683="","",COUNTIF(Donasi!$B$2:$B$20000,A5683))</f>
        <v/>
      </c>
      <c r="D5683">
        <f>IF(A5683="","",SUMIF(Donasi!$B$2:$B$20000,A5683,Donasi!$C$2:$C$20000))</f>
        <v/>
      </c>
      <c r="E5683">
        <f>IF(A5683="","",6-CEILING(PERCENTRANK.INC($B$3:$B$6000,B5683,4)*5+0.000001,1))</f>
        <v/>
      </c>
      <c r="F5683">
        <f>IF(A5683="","",MAX(1,CEILING(PERCENTRANK.INC($C$3:$C$6000,C5683,4)*5+0.000001,1)))</f>
        <v/>
      </c>
      <c r="G5683">
        <f>IF(A5683="","",MAX(1,CEILING(PERCENTRANK.INC($D$3:$D$6000,D5683,4)*5+0.000001,1)))</f>
        <v/>
      </c>
      <c r="H5683">
        <f>IF(A5683="","",E5683&amp;F5683&amp;G5683)</f>
        <v/>
      </c>
      <c r="I5683">
        <f>IF(A5683="","",IF(AND(E5683&gt;=4,F5683&gt;=4,G5683&gt;=4),"Juara",IF(AND(F5683&gt;=4,E5683&gt;=3),"Setia",IF(AND(E5683=5,F5683&lt;=2,G5683&gt;=3),"Berpotensi",IF(AND(E5683&lt;=3,E5683&gt;=2,F5683&gt;=3),"Rawan",IF(AND(E5683&lt;=2,F5683&lt;=2),"Tidur","Umum"))))))</f>
        <v/>
      </c>
    </row>
    <row r="5684">
      <c r="B5684">
        <f>IF(A5684="","",$B$1-MAXIFS(Donasi!$A$2:$A$20000,Donasi!$B$2:$B$20000,A5684))</f>
        <v/>
      </c>
      <c r="C5684">
        <f>IF(A5684="","",COUNTIF(Donasi!$B$2:$B$20000,A5684))</f>
        <v/>
      </c>
      <c r="D5684">
        <f>IF(A5684="","",SUMIF(Donasi!$B$2:$B$20000,A5684,Donasi!$C$2:$C$20000))</f>
        <v/>
      </c>
      <c r="E5684">
        <f>IF(A5684="","",6-CEILING(PERCENTRANK.INC($B$3:$B$6000,B5684,4)*5+0.000001,1))</f>
        <v/>
      </c>
      <c r="F5684">
        <f>IF(A5684="","",MAX(1,CEILING(PERCENTRANK.INC($C$3:$C$6000,C5684,4)*5+0.000001,1)))</f>
        <v/>
      </c>
      <c r="G5684">
        <f>IF(A5684="","",MAX(1,CEILING(PERCENTRANK.INC($D$3:$D$6000,D5684,4)*5+0.000001,1)))</f>
        <v/>
      </c>
      <c r="H5684">
        <f>IF(A5684="","",E5684&amp;F5684&amp;G5684)</f>
        <v/>
      </c>
      <c r="I5684">
        <f>IF(A5684="","",IF(AND(E5684&gt;=4,F5684&gt;=4,G5684&gt;=4),"Juara",IF(AND(F5684&gt;=4,E5684&gt;=3),"Setia",IF(AND(E5684=5,F5684&lt;=2,G5684&gt;=3),"Berpotensi",IF(AND(E5684&lt;=3,E5684&gt;=2,F5684&gt;=3),"Rawan",IF(AND(E5684&lt;=2,F5684&lt;=2),"Tidur","Umum"))))))</f>
        <v/>
      </c>
    </row>
    <row r="5685">
      <c r="B5685">
        <f>IF(A5685="","",$B$1-MAXIFS(Donasi!$A$2:$A$20000,Donasi!$B$2:$B$20000,A5685))</f>
        <v/>
      </c>
      <c r="C5685">
        <f>IF(A5685="","",COUNTIF(Donasi!$B$2:$B$20000,A5685))</f>
        <v/>
      </c>
      <c r="D5685">
        <f>IF(A5685="","",SUMIF(Donasi!$B$2:$B$20000,A5685,Donasi!$C$2:$C$20000))</f>
        <v/>
      </c>
      <c r="E5685">
        <f>IF(A5685="","",6-CEILING(PERCENTRANK.INC($B$3:$B$6000,B5685,4)*5+0.000001,1))</f>
        <v/>
      </c>
      <c r="F5685">
        <f>IF(A5685="","",MAX(1,CEILING(PERCENTRANK.INC($C$3:$C$6000,C5685,4)*5+0.000001,1)))</f>
        <v/>
      </c>
      <c r="G5685">
        <f>IF(A5685="","",MAX(1,CEILING(PERCENTRANK.INC($D$3:$D$6000,D5685,4)*5+0.000001,1)))</f>
        <v/>
      </c>
      <c r="H5685">
        <f>IF(A5685="","",E5685&amp;F5685&amp;G5685)</f>
        <v/>
      </c>
      <c r="I5685">
        <f>IF(A5685="","",IF(AND(E5685&gt;=4,F5685&gt;=4,G5685&gt;=4),"Juara",IF(AND(F5685&gt;=4,E5685&gt;=3),"Setia",IF(AND(E5685=5,F5685&lt;=2,G5685&gt;=3),"Berpotensi",IF(AND(E5685&lt;=3,E5685&gt;=2,F5685&gt;=3),"Rawan",IF(AND(E5685&lt;=2,F5685&lt;=2),"Tidur","Umum"))))))</f>
        <v/>
      </c>
    </row>
    <row r="5686">
      <c r="B5686">
        <f>IF(A5686="","",$B$1-MAXIFS(Donasi!$A$2:$A$20000,Donasi!$B$2:$B$20000,A5686))</f>
        <v/>
      </c>
      <c r="C5686">
        <f>IF(A5686="","",COUNTIF(Donasi!$B$2:$B$20000,A5686))</f>
        <v/>
      </c>
      <c r="D5686">
        <f>IF(A5686="","",SUMIF(Donasi!$B$2:$B$20000,A5686,Donasi!$C$2:$C$20000))</f>
        <v/>
      </c>
      <c r="E5686">
        <f>IF(A5686="","",6-CEILING(PERCENTRANK.INC($B$3:$B$6000,B5686,4)*5+0.000001,1))</f>
        <v/>
      </c>
      <c r="F5686">
        <f>IF(A5686="","",MAX(1,CEILING(PERCENTRANK.INC($C$3:$C$6000,C5686,4)*5+0.000001,1)))</f>
        <v/>
      </c>
      <c r="G5686">
        <f>IF(A5686="","",MAX(1,CEILING(PERCENTRANK.INC($D$3:$D$6000,D5686,4)*5+0.000001,1)))</f>
        <v/>
      </c>
      <c r="H5686">
        <f>IF(A5686="","",E5686&amp;F5686&amp;G5686)</f>
        <v/>
      </c>
      <c r="I5686">
        <f>IF(A5686="","",IF(AND(E5686&gt;=4,F5686&gt;=4,G5686&gt;=4),"Juara",IF(AND(F5686&gt;=4,E5686&gt;=3),"Setia",IF(AND(E5686=5,F5686&lt;=2,G5686&gt;=3),"Berpotensi",IF(AND(E5686&lt;=3,E5686&gt;=2,F5686&gt;=3),"Rawan",IF(AND(E5686&lt;=2,F5686&lt;=2),"Tidur","Umum"))))))</f>
        <v/>
      </c>
    </row>
    <row r="5687">
      <c r="B5687">
        <f>IF(A5687="","",$B$1-MAXIFS(Donasi!$A$2:$A$20000,Donasi!$B$2:$B$20000,A5687))</f>
        <v/>
      </c>
      <c r="C5687">
        <f>IF(A5687="","",COUNTIF(Donasi!$B$2:$B$20000,A5687))</f>
        <v/>
      </c>
      <c r="D5687">
        <f>IF(A5687="","",SUMIF(Donasi!$B$2:$B$20000,A5687,Donasi!$C$2:$C$20000))</f>
        <v/>
      </c>
      <c r="E5687">
        <f>IF(A5687="","",6-CEILING(PERCENTRANK.INC($B$3:$B$6000,B5687,4)*5+0.000001,1))</f>
        <v/>
      </c>
      <c r="F5687">
        <f>IF(A5687="","",MAX(1,CEILING(PERCENTRANK.INC($C$3:$C$6000,C5687,4)*5+0.000001,1)))</f>
        <v/>
      </c>
      <c r="G5687">
        <f>IF(A5687="","",MAX(1,CEILING(PERCENTRANK.INC($D$3:$D$6000,D5687,4)*5+0.000001,1)))</f>
        <v/>
      </c>
      <c r="H5687">
        <f>IF(A5687="","",E5687&amp;F5687&amp;G5687)</f>
        <v/>
      </c>
      <c r="I5687">
        <f>IF(A5687="","",IF(AND(E5687&gt;=4,F5687&gt;=4,G5687&gt;=4),"Juara",IF(AND(F5687&gt;=4,E5687&gt;=3),"Setia",IF(AND(E5687=5,F5687&lt;=2,G5687&gt;=3),"Berpotensi",IF(AND(E5687&lt;=3,E5687&gt;=2,F5687&gt;=3),"Rawan",IF(AND(E5687&lt;=2,F5687&lt;=2),"Tidur","Umum"))))))</f>
        <v/>
      </c>
    </row>
    <row r="5688">
      <c r="B5688">
        <f>IF(A5688="","",$B$1-MAXIFS(Donasi!$A$2:$A$20000,Donasi!$B$2:$B$20000,A5688))</f>
        <v/>
      </c>
      <c r="C5688">
        <f>IF(A5688="","",COUNTIF(Donasi!$B$2:$B$20000,A5688))</f>
        <v/>
      </c>
      <c r="D5688">
        <f>IF(A5688="","",SUMIF(Donasi!$B$2:$B$20000,A5688,Donasi!$C$2:$C$20000))</f>
        <v/>
      </c>
      <c r="E5688">
        <f>IF(A5688="","",6-CEILING(PERCENTRANK.INC($B$3:$B$6000,B5688,4)*5+0.000001,1))</f>
        <v/>
      </c>
      <c r="F5688">
        <f>IF(A5688="","",MAX(1,CEILING(PERCENTRANK.INC($C$3:$C$6000,C5688,4)*5+0.000001,1)))</f>
        <v/>
      </c>
      <c r="G5688">
        <f>IF(A5688="","",MAX(1,CEILING(PERCENTRANK.INC($D$3:$D$6000,D5688,4)*5+0.000001,1)))</f>
        <v/>
      </c>
      <c r="H5688">
        <f>IF(A5688="","",E5688&amp;F5688&amp;G5688)</f>
        <v/>
      </c>
      <c r="I5688">
        <f>IF(A5688="","",IF(AND(E5688&gt;=4,F5688&gt;=4,G5688&gt;=4),"Juara",IF(AND(F5688&gt;=4,E5688&gt;=3),"Setia",IF(AND(E5688=5,F5688&lt;=2,G5688&gt;=3),"Berpotensi",IF(AND(E5688&lt;=3,E5688&gt;=2,F5688&gt;=3),"Rawan",IF(AND(E5688&lt;=2,F5688&lt;=2),"Tidur","Umum"))))))</f>
        <v/>
      </c>
    </row>
    <row r="5689">
      <c r="B5689">
        <f>IF(A5689="","",$B$1-MAXIFS(Donasi!$A$2:$A$20000,Donasi!$B$2:$B$20000,A5689))</f>
        <v/>
      </c>
      <c r="C5689">
        <f>IF(A5689="","",COUNTIF(Donasi!$B$2:$B$20000,A5689))</f>
        <v/>
      </c>
      <c r="D5689">
        <f>IF(A5689="","",SUMIF(Donasi!$B$2:$B$20000,A5689,Donasi!$C$2:$C$20000))</f>
        <v/>
      </c>
      <c r="E5689">
        <f>IF(A5689="","",6-CEILING(PERCENTRANK.INC($B$3:$B$6000,B5689,4)*5+0.000001,1))</f>
        <v/>
      </c>
      <c r="F5689">
        <f>IF(A5689="","",MAX(1,CEILING(PERCENTRANK.INC($C$3:$C$6000,C5689,4)*5+0.000001,1)))</f>
        <v/>
      </c>
      <c r="G5689">
        <f>IF(A5689="","",MAX(1,CEILING(PERCENTRANK.INC($D$3:$D$6000,D5689,4)*5+0.000001,1)))</f>
        <v/>
      </c>
      <c r="H5689">
        <f>IF(A5689="","",E5689&amp;F5689&amp;G5689)</f>
        <v/>
      </c>
      <c r="I5689">
        <f>IF(A5689="","",IF(AND(E5689&gt;=4,F5689&gt;=4,G5689&gt;=4),"Juara",IF(AND(F5689&gt;=4,E5689&gt;=3),"Setia",IF(AND(E5689=5,F5689&lt;=2,G5689&gt;=3),"Berpotensi",IF(AND(E5689&lt;=3,E5689&gt;=2,F5689&gt;=3),"Rawan",IF(AND(E5689&lt;=2,F5689&lt;=2),"Tidur","Umum"))))))</f>
        <v/>
      </c>
    </row>
    <row r="5690">
      <c r="B5690">
        <f>IF(A5690="","",$B$1-MAXIFS(Donasi!$A$2:$A$20000,Donasi!$B$2:$B$20000,A5690))</f>
        <v/>
      </c>
      <c r="C5690">
        <f>IF(A5690="","",COUNTIF(Donasi!$B$2:$B$20000,A5690))</f>
        <v/>
      </c>
      <c r="D5690">
        <f>IF(A5690="","",SUMIF(Donasi!$B$2:$B$20000,A5690,Donasi!$C$2:$C$20000))</f>
        <v/>
      </c>
      <c r="E5690">
        <f>IF(A5690="","",6-CEILING(PERCENTRANK.INC($B$3:$B$6000,B5690,4)*5+0.000001,1))</f>
        <v/>
      </c>
      <c r="F5690">
        <f>IF(A5690="","",MAX(1,CEILING(PERCENTRANK.INC($C$3:$C$6000,C5690,4)*5+0.000001,1)))</f>
        <v/>
      </c>
      <c r="G5690">
        <f>IF(A5690="","",MAX(1,CEILING(PERCENTRANK.INC($D$3:$D$6000,D5690,4)*5+0.000001,1)))</f>
        <v/>
      </c>
      <c r="H5690">
        <f>IF(A5690="","",E5690&amp;F5690&amp;G5690)</f>
        <v/>
      </c>
      <c r="I5690">
        <f>IF(A5690="","",IF(AND(E5690&gt;=4,F5690&gt;=4,G5690&gt;=4),"Juara",IF(AND(F5690&gt;=4,E5690&gt;=3),"Setia",IF(AND(E5690=5,F5690&lt;=2,G5690&gt;=3),"Berpotensi",IF(AND(E5690&lt;=3,E5690&gt;=2,F5690&gt;=3),"Rawan",IF(AND(E5690&lt;=2,F5690&lt;=2),"Tidur","Umum"))))))</f>
        <v/>
      </c>
    </row>
    <row r="5691">
      <c r="B5691">
        <f>IF(A5691="","",$B$1-MAXIFS(Donasi!$A$2:$A$20000,Donasi!$B$2:$B$20000,A5691))</f>
        <v/>
      </c>
      <c r="C5691">
        <f>IF(A5691="","",COUNTIF(Donasi!$B$2:$B$20000,A5691))</f>
        <v/>
      </c>
      <c r="D5691">
        <f>IF(A5691="","",SUMIF(Donasi!$B$2:$B$20000,A5691,Donasi!$C$2:$C$20000))</f>
        <v/>
      </c>
      <c r="E5691">
        <f>IF(A5691="","",6-CEILING(PERCENTRANK.INC($B$3:$B$6000,B5691,4)*5+0.000001,1))</f>
        <v/>
      </c>
      <c r="F5691">
        <f>IF(A5691="","",MAX(1,CEILING(PERCENTRANK.INC($C$3:$C$6000,C5691,4)*5+0.000001,1)))</f>
        <v/>
      </c>
      <c r="G5691">
        <f>IF(A5691="","",MAX(1,CEILING(PERCENTRANK.INC($D$3:$D$6000,D5691,4)*5+0.000001,1)))</f>
        <v/>
      </c>
      <c r="H5691">
        <f>IF(A5691="","",E5691&amp;F5691&amp;G5691)</f>
        <v/>
      </c>
      <c r="I5691">
        <f>IF(A5691="","",IF(AND(E5691&gt;=4,F5691&gt;=4,G5691&gt;=4),"Juara",IF(AND(F5691&gt;=4,E5691&gt;=3),"Setia",IF(AND(E5691=5,F5691&lt;=2,G5691&gt;=3),"Berpotensi",IF(AND(E5691&lt;=3,E5691&gt;=2,F5691&gt;=3),"Rawan",IF(AND(E5691&lt;=2,F5691&lt;=2),"Tidur","Umum"))))))</f>
        <v/>
      </c>
    </row>
    <row r="5692">
      <c r="B5692">
        <f>IF(A5692="","",$B$1-MAXIFS(Donasi!$A$2:$A$20000,Donasi!$B$2:$B$20000,A5692))</f>
        <v/>
      </c>
      <c r="C5692">
        <f>IF(A5692="","",COUNTIF(Donasi!$B$2:$B$20000,A5692))</f>
        <v/>
      </c>
      <c r="D5692">
        <f>IF(A5692="","",SUMIF(Donasi!$B$2:$B$20000,A5692,Donasi!$C$2:$C$20000))</f>
        <v/>
      </c>
      <c r="E5692">
        <f>IF(A5692="","",6-CEILING(PERCENTRANK.INC($B$3:$B$6000,B5692,4)*5+0.000001,1))</f>
        <v/>
      </c>
      <c r="F5692">
        <f>IF(A5692="","",MAX(1,CEILING(PERCENTRANK.INC($C$3:$C$6000,C5692,4)*5+0.000001,1)))</f>
        <v/>
      </c>
      <c r="G5692">
        <f>IF(A5692="","",MAX(1,CEILING(PERCENTRANK.INC($D$3:$D$6000,D5692,4)*5+0.000001,1)))</f>
        <v/>
      </c>
      <c r="H5692">
        <f>IF(A5692="","",E5692&amp;F5692&amp;G5692)</f>
        <v/>
      </c>
      <c r="I5692">
        <f>IF(A5692="","",IF(AND(E5692&gt;=4,F5692&gt;=4,G5692&gt;=4),"Juara",IF(AND(F5692&gt;=4,E5692&gt;=3),"Setia",IF(AND(E5692=5,F5692&lt;=2,G5692&gt;=3),"Berpotensi",IF(AND(E5692&lt;=3,E5692&gt;=2,F5692&gt;=3),"Rawan",IF(AND(E5692&lt;=2,F5692&lt;=2),"Tidur","Umum"))))))</f>
        <v/>
      </c>
    </row>
    <row r="5693">
      <c r="B5693">
        <f>IF(A5693="","",$B$1-MAXIFS(Donasi!$A$2:$A$20000,Donasi!$B$2:$B$20000,A5693))</f>
        <v/>
      </c>
      <c r="C5693">
        <f>IF(A5693="","",COUNTIF(Donasi!$B$2:$B$20000,A5693))</f>
        <v/>
      </c>
      <c r="D5693">
        <f>IF(A5693="","",SUMIF(Donasi!$B$2:$B$20000,A5693,Donasi!$C$2:$C$20000))</f>
        <v/>
      </c>
      <c r="E5693">
        <f>IF(A5693="","",6-CEILING(PERCENTRANK.INC($B$3:$B$6000,B5693,4)*5+0.000001,1))</f>
        <v/>
      </c>
      <c r="F5693">
        <f>IF(A5693="","",MAX(1,CEILING(PERCENTRANK.INC($C$3:$C$6000,C5693,4)*5+0.000001,1)))</f>
        <v/>
      </c>
      <c r="G5693">
        <f>IF(A5693="","",MAX(1,CEILING(PERCENTRANK.INC($D$3:$D$6000,D5693,4)*5+0.000001,1)))</f>
        <v/>
      </c>
      <c r="H5693">
        <f>IF(A5693="","",E5693&amp;F5693&amp;G5693)</f>
        <v/>
      </c>
      <c r="I5693">
        <f>IF(A5693="","",IF(AND(E5693&gt;=4,F5693&gt;=4,G5693&gt;=4),"Juara",IF(AND(F5693&gt;=4,E5693&gt;=3),"Setia",IF(AND(E5693=5,F5693&lt;=2,G5693&gt;=3),"Berpotensi",IF(AND(E5693&lt;=3,E5693&gt;=2,F5693&gt;=3),"Rawan",IF(AND(E5693&lt;=2,F5693&lt;=2),"Tidur","Umum"))))))</f>
        <v/>
      </c>
    </row>
    <row r="5694">
      <c r="B5694">
        <f>IF(A5694="","",$B$1-MAXIFS(Donasi!$A$2:$A$20000,Donasi!$B$2:$B$20000,A5694))</f>
        <v/>
      </c>
      <c r="C5694">
        <f>IF(A5694="","",COUNTIF(Donasi!$B$2:$B$20000,A5694))</f>
        <v/>
      </c>
      <c r="D5694">
        <f>IF(A5694="","",SUMIF(Donasi!$B$2:$B$20000,A5694,Donasi!$C$2:$C$20000))</f>
        <v/>
      </c>
      <c r="E5694">
        <f>IF(A5694="","",6-CEILING(PERCENTRANK.INC($B$3:$B$6000,B5694,4)*5+0.000001,1))</f>
        <v/>
      </c>
      <c r="F5694">
        <f>IF(A5694="","",MAX(1,CEILING(PERCENTRANK.INC($C$3:$C$6000,C5694,4)*5+0.000001,1)))</f>
        <v/>
      </c>
      <c r="G5694">
        <f>IF(A5694="","",MAX(1,CEILING(PERCENTRANK.INC($D$3:$D$6000,D5694,4)*5+0.000001,1)))</f>
        <v/>
      </c>
      <c r="H5694">
        <f>IF(A5694="","",E5694&amp;F5694&amp;G5694)</f>
        <v/>
      </c>
      <c r="I5694">
        <f>IF(A5694="","",IF(AND(E5694&gt;=4,F5694&gt;=4,G5694&gt;=4),"Juara",IF(AND(F5694&gt;=4,E5694&gt;=3),"Setia",IF(AND(E5694=5,F5694&lt;=2,G5694&gt;=3),"Berpotensi",IF(AND(E5694&lt;=3,E5694&gt;=2,F5694&gt;=3),"Rawan",IF(AND(E5694&lt;=2,F5694&lt;=2),"Tidur","Umum"))))))</f>
        <v/>
      </c>
    </row>
    <row r="5695">
      <c r="B5695">
        <f>IF(A5695="","",$B$1-MAXIFS(Donasi!$A$2:$A$20000,Donasi!$B$2:$B$20000,A5695))</f>
        <v/>
      </c>
      <c r="C5695">
        <f>IF(A5695="","",COUNTIF(Donasi!$B$2:$B$20000,A5695))</f>
        <v/>
      </c>
      <c r="D5695">
        <f>IF(A5695="","",SUMIF(Donasi!$B$2:$B$20000,A5695,Donasi!$C$2:$C$20000))</f>
        <v/>
      </c>
      <c r="E5695">
        <f>IF(A5695="","",6-CEILING(PERCENTRANK.INC($B$3:$B$6000,B5695,4)*5+0.000001,1))</f>
        <v/>
      </c>
      <c r="F5695">
        <f>IF(A5695="","",MAX(1,CEILING(PERCENTRANK.INC($C$3:$C$6000,C5695,4)*5+0.000001,1)))</f>
        <v/>
      </c>
      <c r="G5695">
        <f>IF(A5695="","",MAX(1,CEILING(PERCENTRANK.INC($D$3:$D$6000,D5695,4)*5+0.000001,1)))</f>
        <v/>
      </c>
      <c r="H5695">
        <f>IF(A5695="","",E5695&amp;F5695&amp;G5695)</f>
        <v/>
      </c>
      <c r="I5695">
        <f>IF(A5695="","",IF(AND(E5695&gt;=4,F5695&gt;=4,G5695&gt;=4),"Juara",IF(AND(F5695&gt;=4,E5695&gt;=3),"Setia",IF(AND(E5695=5,F5695&lt;=2,G5695&gt;=3),"Berpotensi",IF(AND(E5695&lt;=3,E5695&gt;=2,F5695&gt;=3),"Rawan",IF(AND(E5695&lt;=2,F5695&lt;=2),"Tidur","Umum"))))))</f>
        <v/>
      </c>
    </row>
    <row r="5696">
      <c r="B5696">
        <f>IF(A5696="","",$B$1-MAXIFS(Donasi!$A$2:$A$20000,Donasi!$B$2:$B$20000,A5696))</f>
        <v/>
      </c>
      <c r="C5696">
        <f>IF(A5696="","",COUNTIF(Donasi!$B$2:$B$20000,A5696))</f>
        <v/>
      </c>
      <c r="D5696">
        <f>IF(A5696="","",SUMIF(Donasi!$B$2:$B$20000,A5696,Donasi!$C$2:$C$20000))</f>
        <v/>
      </c>
      <c r="E5696">
        <f>IF(A5696="","",6-CEILING(PERCENTRANK.INC($B$3:$B$6000,B5696,4)*5+0.000001,1))</f>
        <v/>
      </c>
      <c r="F5696">
        <f>IF(A5696="","",MAX(1,CEILING(PERCENTRANK.INC($C$3:$C$6000,C5696,4)*5+0.000001,1)))</f>
        <v/>
      </c>
      <c r="G5696">
        <f>IF(A5696="","",MAX(1,CEILING(PERCENTRANK.INC($D$3:$D$6000,D5696,4)*5+0.000001,1)))</f>
        <v/>
      </c>
      <c r="H5696">
        <f>IF(A5696="","",E5696&amp;F5696&amp;G5696)</f>
        <v/>
      </c>
      <c r="I5696">
        <f>IF(A5696="","",IF(AND(E5696&gt;=4,F5696&gt;=4,G5696&gt;=4),"Juara",IF(AND(F5696&gt;=4,E5696&gt;=3),"Setia",IF(AND(E5696=5,F5696&lt;=2,G5696&gt;=3),"Berpotensi",IF(AND(E5696&lt;=3,E5696&gt;=2,F5696&gt;=3),"Rawan",IF(AND(E5696&lt;=2,F5696&lt;=2),"Tidur","Umum"))))))</f>
        <v/>
      </c>
    </row>
    <row r="5697">
      <c r="B5697">
        <f>IF(A5697="","",$B$1-MAXIFS(Donasi!$A$2:$A$20000,Donasi!$B$2:$B$20000,A5697))</f>
        <v/>
      </c>
      <c r="C5697">
        <f>IF(A5697="","",COUNTIF(Donasi!$B$2:$B$20000,A5697))</f>
        <v/>
      </c>
      <c r="D5697">
        <f>IF(A5697="","",SUMIF(Donasi!$B$2:$B$20000,A5697,Donasi!$C$2:$C$20000))</f>
        <v/>
      </c>
      <c r="E5697">
        <f>IF(A5697="","",6-CEILING(PERCENTRANK.INC($B$3:$B$6000,B5697,4)*5+0.000001,1))</f>
        <v/>
      </c>
      <c r="F5697">
        <f>IF(A5697="","",MAX(1,CEILING(PERCENTRANK.INC($C$3:$C$6000,C5697,4)*5+0.000001,1)))</f>
        <v/>
      </c>
      <c r="G5697">
        <f>IF(A5697="","",MAX(1,CEILING(PERCENTRANK.INC($D$3:$D$6000,D5697,4)*5+0.000001,1)))</f>
        <v/>
      </c>
      <c r="H5697">
        <f>IF(A5697="","",E5697&amp;F5697&amp;G5697)</f>
        <v/>
      </c>
      <c r="I5697">
        <f>IF(A5697="","",IF(AND(E5697&gt;=4,F5697&gt;=4,G5697&gt;=4),"Juara",IF(AND(F5697&gt;=4,E5697&gt;=3),"Setia",IF(AND(E5697=5,F5697&lt;=2,G5697&gt;=3),"Berpotensi",IF(AND(E5697&lt;=3,E5697&gt;=2,F5697&gt;=3),"Rawan",IF(AND(E5697&lt;=2,F5697&lt;=2),"Tidur","Umum"))))))</f>
        <v/>
      </c>
    </row>
    <row r="5698">
      <c r="B5698">
        <f>IF(A5698="","",$B$1-MAXIFS(Donasi!$A$2:$A$20000,Donasi!$B$2:$B$20000,A5698))</f>
        <v/>
      </c>
      <c r="C5698">
        <f>IF(A5698="","",COUNTIF(Donasi!$B$2:$B$20000,A5698))</f>
        <v/>
      </c>
      <c r="D5698">
        <f>IF(A5698="","",SUMIF(Donasi!$B$2:$B$20000,A5698,Donasi!$C$2:$C$20000))</f>
        <v/>
      </c>
      <c r="E5698">
        <f>IF(A5698="","",6-CEILING(PERCENTRANK.INC($B$3:$B$6000,B5698,4)*5+0.000001,1))</f>
        <v/>
      </c>
      <c r="F5698">
        <f>IF(A5698="","",MAX(1,CEILING(PERCENTRANK.INC($C$3:$C$6000,C5698,4)*5+0.000001,1)))</f>
        <v/>
      </c>
      <c r="G5698">
        <f>IF(A5698="","",MAX(1,CEILING(PERCENTRANK.INC($D$3:$D$6000,D5698,4)*5+0.000001,1)))</f>
        <v/>
      </c>
      <c r="H5698">
        <f>IF(A5698="","",E5698&amp;F5698&amp;G5698)</f>
        <v/>
      </c>
      <c r="I5698">
        <f>IF(A5698="","",IF(AND(E5698&gt;=4,F5698&gt;=4,G5698&gt;=4),"Juara",IF(AND(F5698&gt;=4,E5698&gt;=3),"Setia",IF(AND(E5698=5,F5698&lt;=2,G5698&gt;=3),"Berpotensi",IF(AND(E5698&lt;=3,E5698&gt;=2,F5698&gt;=3),"Rawan",IF(AND(E5698&lt;=2,F5698&lt;=2),"Tidur","Umum"))))))</f>
        <v/>
      </c>
    </row>
    <row r="5699">
      <c r="B5699">
        <f>IF(A5699="","",$B$1-MAXIFS(Donasi!$A$2:$A$20000,Donasi!$B$2:$B$20000,A5699))</f>
        <v/>
      </c>
      <c r="C5699">
        <f>IF(A5699="","",COUNTIF(Donasi!$B$2:$B$20000,A5699))</f>
        <v/>
      </c>
      <c r="D5699">
        <f>IF(A5699="","",SUMIF(Donasi!$B$2:$B$20000,A5699,Donasi!$C$2:$C$20000))</f>
        <v/>
      </c>
      <c r="E5699">
        <f>IF(A5699="","",6-CEILING(PERCENTRANK.INC($B$3:$B$6000,B5699,4)*5+0.000001,1))</f>
        <v/>
      </c>
      <c r="F5699">
        <f>IF(A5699="","",MAX(1,CEILING(PERCENTRANK.INC($C$3:$C$6000,C5699,4)*5+0.000001,1)))</f>
        <v/>
      </c>
      <c r="G5699">
        <f>IF(A5699="","",MAX(1,CEILING(PERCENTRANK.INC($D$3:$D$6000,D5699,4)*5+0.000001,1)))</f>
        <v/>
      </c>
      <c r="H5699">
        <f>IF(A5699="","",E5699&amp;F5699&amp;G5699)</f>
        <v/>
      </c>
      <c r="I5699">
        <f>IF(A5699="","",IF(AND(E5699&gt;=4,F5699&gt;=4,G5699&gt;=4),"Juara",IF(AND(F5699&gt;=4,E5699&gt;=3),"Setia",IF(AND(E5699=5,F5699&lt;=2,G5699&gt;=3),"Berpotensi",IF(AND(E5699&lt;=3,E5699&gt;=2,F5699&gt;=3),"Rawan",IF(AND(E5699&lt;=2,F5699&lt;=2),"Tidur","Umum"))))))</f>
        <v/>
      </c>
    </row>
    <row r="5700">
      <c r="B5700">
        <f>IF(A5700="","",$B$1-MAXIFS(Donasi!$A$2:$A$20000,Donasi!$B$2:$B$20000,A5700))</f>
        <v/>
      </c>
      <c r="C5700">
        <f>IF(A5700="","",COUNTIF(Donasi!$B$2:$B$20000,A5700))</f>
        <v/>
      </c>
      <c r="D5700">
        <f>IF(A5700="","",SUMIF(Donasi!$B$2:$B$20000,A5700,Donasi!$C$2:$C$20000))</f>
        <v/>
      </c>
      <c r="E5700">
        <f>IF(A5700="","",6-CEILING(PERCENTRANK.INC($B$3:$B$6000,B5700,4)*5+0.000001,1))</f>
        <v/>
      </c>
      <c r="F5700">
        <f>IF(A5700="","",MAX(1,CEILING(PERCENTRANK.INC($C$3:$C$6000,C5700,4)*5+0.000001,1)))</f>
        <v/>
      </c>
      <c r="G5700">
        <f>IF(A5700="","",MAX(1,CEILING(PERCENTRANK.INC($D$3:$D$6000,D5700,4)*5+0.000001,1)))</f>
        <v/>
      </c>
      <c r="H5700">
        <f>IF(A5700="","",E5700&amp;F5700&amp;G5700)</f>
        <v/>
      </c>
      <c r="I5700">
        <f>IF(A5700="","",IF(AND(E5700&gt;=4,F5700&gt;=4,G5700&gt;=4),"Juara",IF(AND(F5700&gt;=4,E5700&gt;=3),"Setia",IF(AND(E5700=5,F5700&lt;=2,G5700&gt;=3),"Berpotensi",IF(AND(E5700&lt;=3,E5700&gt;=2,F5700&gt;=3),"Rawan",IF(AND(E5700&lt;=2,F5700&lt;=2),"Tidur","Umum"))))))</f>
        <v/>
      </c>
    </row>
    <row r="5701">
      <c r="B5701">
        <f>IF(A5701="","",$B$1-MAXIFS(Donasi!$A$2:$A$20000,Donasi!$B$2:$B$20000,A5701))</f>
        <v/>
      </c>
      <c r="C5701">
        <f>IF(A5701="","",COUNTIF(Donasi!$B$2:$B$20000,A5701))</f>
        <v/>
      </c>
      <c r="D5701">
        <f>IF(A5701="","",SUMIF(Donasi!$B$2:$B$20000,A5701,Donasi!$C$2:$C$20000))</f>
        <v/>
      </c>
      <c r="E5701">
        <f>IF(A5701="","",6-CEILING(PERCENTRANK.INC($B$3:$B$6000,B5701,4)*5+0.000001,1))</f>
        <v/>
      </c>
      <c r="F5701">
        <f>IF(A5701="","",MAX(1,CEILING(PERCENTRANK.INC($C$3:$C$6000,C5701,4)*5+0.000001,1)))</f>
        <v/>
      </c>
      <c r="G5701">
        <f>IF(A5701="","",MAX(1,CEILING(PERCENTRANK.INC($D$3:$D$6000,D5701,4)*5+0.000001,1)))</f>
        <v/>
      </c>
      <c r="H5701">
        <f>IF(A5701="","",E5701&amp;F5701&amp;G5701)</f>
        <v/>
      </c>
      <c r="I5701">
        <f>IF(A5701="","",IF(AND(E5701&gt;=4,F5701&gt;=4,G5701&gt;=4),"Juara",IF(AND(F5701&gt;=4,E5701&gt;=3),"Setia",IF(AND(E5701=5,F5701&lt;=2,G5701&gt;=3),"Berpotensi",IF(AND(E5701&lt;=3,E5701&gt;=2,F5701&gt;=3),"Rawan",IF(AND(E5701&lt;=2,F5701&lt;=2),"Tidur","Umum"))))))</f>
        <v/>
      </c>
    </row>
    <row r="5702">
      <c r="B5702">
        <f>IF(A5702="","",$B$1-MAXIFS(Donasi!$A$2:$A$20000,Donasi!$B$2:$B$20000,A5702))</f>
        <v/>
      </c>
      <c r="C5702">
        <f>IF(A5702="","",COUNTIF(Donasi!$B$2:$B$20000,A5702))</f>
        <v/>
      </c>
      <c r="D5702">
        <f>IF(A5702="","",SUMIF(Donasi!$B$2:$B$20000,A5702,Donasi!$C$2:$C$20000))</f>
        <v/>
      </c>
      <c r="E5702">
        <f>IF(A5702="","",6-CEILING(PERCENTRANK.INC($B$3:$B$6000,B5702,4)*5+0.000001,1))</f>
        <v/>
      </c>
      <c r="F5702">
        <f>IF(A5702="","",MAX(1,CEILING(PERCENTRANK.INC($C$3:$C$6000,C5702,4)*5+0.000001,1)))</f>
        <v/>
      </c>
      <c r="G5702">
        <f>IF(A5702="","",MAX(1,CEILING(PERCENTRANK.INC($D$3:$D$6000,D5702,4)*5+0.000001,1)))</f>
        <v/>
      </c>
      <c r="H5702">
        <f>IF(A5702="","",E5702&amp;F5702&amp;G5702)</f>
        <v/>
      </c>
      <c r="I5702">
        <f>IF(A5702="","",IF(AND(E5702&gt;=4,F5702&gt;=4,G5702&gt;=4),"Juara",IF(AND(F5702&gt;=4,E5702&gt;=3),"Setia",IF(AND(E5702=5,F5702&lt;=2,G5702&gt;=3),"Berpotensi",IF(AND(E5702&lt;=3,E5702&gt;=2,F5702&gt;=3),"Rawan",IF(AND(E5702&lt;=2,F5702&lt;=2),"Tidur","Umum"))))))</f>
        <v/>
      </c>
    </row>
    <row r="5703">
      <c r="B5703">
        <f>IF(A5703="","",$B$1-MAXIFS(Donasi!$A$2:$A$20000,Donasi!$B$2:$B$20000,A5703))</f>
        <v/>
      </c>
      <c r="C5703">
        <f>IF(A5703="","",COUNTIF(Donasi!$B$2:$B$20000,A5703))</f>
        <v/>
      </c>
      <c r="D5703">
        <f>IF(A5703="","",SUMIF(Donasi!$B$2:$B$20000,A5703,Donasi!$C$2:$C$20000))</f>
        <v/>
      </c>
      <c r="E5703">
        <f>IF(A5703="","",6-CEILING(PERCENTRANK.INC($B$3:$B$6000,B5703,4)*5+0.000001,1))</f>
        <v/>
      </c>
      <c r="F5703">
        <f>IF(A5703="","",MAX(1,CEILING(PERCENTRANK.INC($C$3:$C$6000,C5703,4)*5+0.000001,1)))</f>
        <v/>
      </c>
      <c r="G5703">
        <f>IF(A5703="","",MAX(1,CEILING(PERCENTRANK.INC($D$3:$D$6000,D5703,4)*5+0.000001,1)))</f>
        <v/>
      </c>
      <c r="H5703">
        <f>IF(A5703="","",E5703&amp;F5703&amp;G5703)</f>
        <v/>
      </c>
      <c r="I5703">
        <f>IF(A5703="","",IF(AND(E5703&gt;=4,F5703&gt;=4,G5703&gt;=4),"Juara",IF(AND(F5703&gt;=4,E5703&gt;=3),"Setia",IF(AND(E5703=5,F5703&lt;=2,G5703&gt;=3),"Berpotensi",IF(AND(E5703&lt;=3,E5703&gt;=2,F5703&gt;=3),"Rawan",IF(AND(E5703&lt;=2,F5703&lt;=2),"Tidur","Umum"))))))</f>
        <v/>
      </c>
    </row>
    <row r="5704">
      <c r="B5704">
        <f>IF(A5704="","",$B$1-MAXIFS(Donasi!$A$2:$A$20000,Donasi!$B$2:$B$20000,A5704))</f>
        <v/>
      </c>
      <c r="C5704">
        <f>IF(A5704="","",COUNTIF(Donasi!$B$2:$B$20000,A5704))</f>
        <v/>
      </c>
      <c r="D5704">
        <f>IF(A5704="","",SUMIF(Donasi!$B$2:$B$20000,A5704,Donasi!$C$2:$C$20000))</f>
        <v/>
      </c>
      <c r="E5704">
        <f>IF(A5704="","",6-CEILING(PERCENTRANK.INC($B$3:$B$6000,B5704,4)*5+0.000001,1))</f>
        <v/>
      </c>
      <c r="F5704">
        <f>IF(A5704="","",MAX(1,CEILING(PERCENTRANK.INC($C$3:$C$6000,C5704,4)*5+0.000001,1)))</f>
        <v/>
      </c>
      <c r="G5704">
        <f>IF(A5704="","",MAX(1,CEILING(PERCENTRANK.INC($D$3:$D$6000,D5704,4)*5+0.000001,1)))</f>
        <v/>
      </c>
      <c r="H5704">
        <f>IF(A5704="","",E5704&amp;F5704&amp;G5704)</f>
        <v/>
      </c>
      <c r="I5704">
        <f>IF(A5704="","",IF(AND(E5704&gt;=4,F5704&gt;=4,G5704&gt;=4),"Juara",IF(AND(F5704&gt;=4,E5704&gt;=3),"Setia",IF(AND(E5704=5,F5704&lt;=2,G5704&gt;=3),"Berpotensi",IF(AND(E5704&lt;=3,E5704&gt;=2,F5704&gt;=3),"Rawan",IF(AND(E5704&lt;=2,F5704&lt;=2),"Tidur","Umum"))))))</f>
        <v/>
      </c>
    </row>
    <row r="5705">
      <c r="B5705">
        <f>IF(A5705="","",$B$1-MAXIFS(Donasi!$A$2:$A$20000,Donasi!$B$2:$B$20000,A5705))</f>
        <v/>
      </c>
      <c r="C5705">
        <f>IF(A5705="","",COUNTIF(Donasi!$B$2:$B$20000,A5705))</f>
        <v/>
      </c>
      <c r="D5705">
        <f>IF(A5705="","",SUMIF(Donasi!$B$2:$B$20000,A5705,Donasi!$C$2:$C$20000))</f>
        <v/>
      </c>
      <c r="E5705">
        <f>IF(A5705="","",6-CEILING(PERCENTRANK.INC($B$3:$B$6000,B5705,4)*5+0.000001,1))</f>
        <v/>
      </c>
      <c r="F5705">
        <f>IF(A5705="","",MAX(1,CEILING(PERCENTRANK.INC($C$3:$C$6000,C5705,4)*5+0.000001,1)))</f>
        <v/>
      </c>
      <c r="G5705">
        <f>IF(A5705="","",MAX(1,CEILING(PERCENTRANK.INC($D$3:$D$6000,D5705,4)*5+0.000001,1)))</f>
        <v/>
      </c>
      <c r="H5705">
        <f>IF(A5705="","",E5705&amp;F5705&amp;G5705)</f>
        <v/>
      </c>
      <c r="I5705">
        <f>IF(A5705="","",IF(AND(E5705&gt;=4,F5705&gt;=4,G5705&gt;=4),"Juara",IF(AND(F5705&gt;=4,E5705&gt;=3),"Setia",IF(AND(E5705=5,F5705&lt;=2,G5705&gt;=3),"Berpotensi",IF(AND(E5705&lt;=3,E5705&gt;=2,F5705&gt;=3),"Rawan",IF(AND(E5705&lt;=2,F5705&lt;=2),"Tidur","Umum"))))))</f>
        <v/>
      </c>
    </row>
    <row r="5706">
      <c r="B5706">
        <f>IF(A5706="","",$B$1-MAXIFS(Donasi!$A$2:$A$20000,Donasi!$B$2:$B$20000,A5706))</f>
        <v/>
      </c>
      <c r="C5706">
        <f>IF(A5706="","",COUNTIF(Donasi!$B$2:$B$20000,A5706))</f>
        <v/>
      </c>
      <c r="D5706">
        <f>IF(A5706="","",SUMIF(Donasi!$B$2:$B$20000,A5706,Donasi!$C$2:$C$20000))</f>
        <v/>
      </c>
      <c r="E5706">
        <f>IF(A5706="","",6-CEILING(PERCENTRANK.INC($B$3:$B$6000,B5706,4)*5+0.000001,1))</f>
        <v/>
      </c>
      <c r="F5706">
        <f>IF(A5706="","",MAX(1,CEILING(PERCENTRANK.INC($C$3:$C$6000,C5706,4)*5+0.000001,1)))</f>
        <v/>
      </c>
      <c r="G5706">
        <f>IF(A5706="","",MAX(1,CEILING(PERCENTRANK.INC($D$3:$D$6000,D5706,4)*5+0.000001,1)))</f>
        <v/>
      </c>
      <c r="H5706">
        <f>IF(A5706="","",E5706&amp;F5706&amp;G5706)</f>
        <v/>
      </c>
      <c r="I5706">
        <f>IF(A5706="","",IF(AND(E5706&gt;=4,F5706&gt;=4,G5706&gt;=4),"Juara",IF(AND(F5706&gt;=4,E5706&gt;=3),"Setia",IF(AND(E5706=5,F5706&lt;=2,G5706&gt;=3),"Berpotensi",IF(AND(E5706&lt;=3,E5706&gt;=2,F5706&gt;=3),"Rawan",IF(AND(E5706&lt;=2,F5706&lt;=2),"Tidur","Umum"))))))</f>
        <v/>
      </c>
    </row>
    <row r="5707">
      <c r="B5707">
        <f>IF(A5707="","",$B$1-MAXIFS(Donasi!$A$2:$A$20000,Donasi!$B$2:$B$20000,A5707))</f>
        <v/>
      </c>
      <c r="C5707">
        <f>IF(A5707="","",COUNTIF(Donasi!$B$2:$B$20000,A5707))</f>
        <v/>
      </c>
      <c r="D5707">
        <f>IF(A5707="","",SUMIF(Donasi!$B$2:$B$20000,A5707,Donasi!$C$2:$C$20000))</f>
        <v/>
      </c>
      <c r="E5707">
        <f>IF(A5707="","",6-CEILING(PERCENTRANK.INC($B$3:$B$6000,B5707,4)*5+0.000001,1))</f>
        <v/>
      </c>
      <c r="F5707">
        <f>IF(A5707="","",MAX(1,CEILING(PERCENTRANK.INC($C$3:$C$6000,C5707,4)*5+0.000001,1)))</f>
        <v/>
      </c>
      <c r="G5707">
        <f>IF(A5707="","",MAX(1,CEILING(PERCENTRANK.INC($D$3:$D$6000,D5707,4)*5+0.000001,1)))</f>
        <v/>
      </c>
      <c r="H5707">
        <f>IF(A5707="","",E5707&amp;F5707&amp;G5707)</f>
        <v/>
      </c>
      <c r="I5707">
        <f>IF(A5707="","",IF(AND(E5707&gt;=4,F5707&gt;=4,G5707&gt;=4),"Juara",IF(AND(F5707&gt;=4,E5707&gt;=3),"Setia",IF(AND(E5707=5,F5707&lt;=2,G5707&gt;=3),"Berpotensi",IF(AND(E5707&lt;=3,E5707&gt;=2,F5707&gt;=3),"Rawan",IF(AND(E5707&lt;=2,F5707&lt;=2),"Tidur","Umum"))))))</f>
        <v/>
      </c>
    </row>
    <row r="5708">
      <c r="B5708">
        <f>IF(A5708="","",$B$1-MAXIFS(Donasi!$A$2:$A$20000,Donasi!$B$2:$B$20000,A5708))</f>
        <v/>
      </c>
      <c r="C5708">
        <f>IF(A5708="","",COUNTIF(Donasi!$B$2:$B$20000,A5708))</f>
        <v/>
      </c>
      <c r="D5708">
        <f>IF(A5708="","",SUMIF(Donasi!$B$2:$B$20000,A5708,Donasi!$C$2:$C$20000))</f>
        <v/>
      </c>
      <c r="E5708">
        <f>IF(A5708="","",6-CEILING(PERCENTRANK.INC($B$3:$B$6000,B5708,4)*5+0.000001,1))</f>
        <v/>
      </c>
      <c r="F5708">
        <f>IF(A5708="","",MAX(1,CEILING(PERCENTRANK.INC($C$3:$C$6000,C5708,4)*5+0.000001,1)))</f>
        <v/>
      </c>
      <c r="G5708">
        <f>IF(A5708="","",MAX(1,CEILING(PERCENTRANK.INC($D$3:$D$6000,D5708,4)*5+0.000001,1)))</f>
        <v/>
      </c>
      <c r="H5708">
        <f>IF(A5708="","",E5708&amp;F5708&amp;G5708)</f>
        <v/>
      </c>
      <c r="I5708">
        <f>IF(A5708="","",IF(AND(E5708&gt;=4,F5708&gt;=4,G5708&gt;=4),"Juara",IF(AND(F5708&gt;=4,E5708&gt;=3),"Setia",IF(AND(E5708=5,F5708&lt;=2,G5708&gt;=3),"Berpotensi",IF(AND(E5708&lt;=3,E5708&gt;=2,F5708&gt;=3),"Rawan",IF(AND(E5708&lt;=2,F5708&lt;=2),"Tidur","Umum"))))))</f>
        <v/>
      </c>
    </row>
    <row r="5709">
      <c r="B5709">
        <f>IF(A5709="","",$B$1-MAXIFS(Donasi!$A$2:$A$20000,Donasi!$B$2:$B$20000,A5709))</f>
        <v/>
      </c>
      <c r="C5709">
        <f>IF(A5709="","",COUNTIF(Donasi!$B$2:$B$20000,A5709))</f>
        <v/>
      </c>
      <c r="D5709">
        <f>IF(A5709="","",SUMIF(Donasi!$B$2:$B$20000,A5709,Donasi!$C$2:$C$20000))</f>
        <v/>
      </c>
      <c r="E5709">
        <f>IF(A5709="","",6-CEILING(PERCENTRANK.INC($B$3:$B$6000,B5709,4)*5+0.000001,1))</f>
        <v/>
      </c>
      <c r="F5709">
        <f>IF(A5709="","",MAX(1,CEILING(PERCENTRANK.INC($C$3:$C$6000,C5709,4)*5+0.000001,1)))</f>
        <v/>
      </c>
      <c r="G5709">
        <f>IF(A5709="","",MAX(1,CEILING(PERCENTRANK.INC($D$3:$D$6000,D5709,4)*5+0.000001,1)))</f>
        <v/>
      </c>
      <c r="H5709">
        <f>IF(A5709="","",E5709&amp;F5709&amp;G5709)</f>
        <v/>
      </c>
      <c r="I5709">
        <f>IF(A5709="","",IF(AND(E5709&gt;=4,F5709&gt;=4,G5709&gt;=4),"Juara",IF(AND(F5709&gt;=4,E5709&gt;=3),"Setia",IF(AND(E5709=5,F5709&lt;=2,G5709&gt;=3),"Berpotensi",IF(AND(E5709&lt;=3,E5709&gt;=2,F5709&gt;=3),"Rawan",IF(AND(E5709&lt;=2,F5709&lt;=2),"Tidur","Umum"))))))</f>
        <v/>
      </c>
    </row>
    <row r="5710">
      <c r="B5710">
        <f>IF(A5710="","",$B$1-MAXIFS(Donasi!$A$2:$A$20000,Donasi!$B$2:$B$20000,A5710))</f>
        <v/>
      </c>
      <c r="C5710">
        <f>IF(A5710="","",COUNTIF(Donasi!$B$2:$B$20000,A5710))</f>
        <v/>
      </c>
      <c r="D5710">
        <f>IF(A5710="","",SUMIF(Donasi!$B$2:$B$20000,A5710,Donasi!$C$2:$C$20000))</f>
        <v/>
      </c>
      <c r="E5710">
        <f>IF(A5710="","",6-CEILING(PERCENTRANK.INC($B$3:$B$6000,B5710,4)*5+0.000001,1))</f>
        <v/>
      </c>
      <c r="F5710">
        <f>IF(A5710="","",MAX(1,CEILING(PERCENTRANK.INC($C$3:$C$6000,C5710,4)*5+0.000001,1)))</f>
        <v/>
      </c>
      <c r="G5710">
        <f>IF(A5710="","",MAX(1,CEILING(PERCENTRANK.INC($D$3:$D$6000,D5710,4)*5+0.000001,1)))</f>
        <v/>
      </c>
      <c r="H5710">
        <f>IF(A5710="","",E5710&amp;F5710&amp;G5710)</f>
        <v/>
      </c>
      <c r="I5710">
        <f>IF(A5710="","",IF(AND(E5710&gt;=4,F5710&gt;=4,G5710&gt;=4),"Juara",IF(AND(F5710&gt;=4,E5710&gt;=3),"Setia",IF(AND(E5710=5,F5710&lt;=2,G5710&gt;=3),"Berpotensi",IF(AND(E5710&lt;=3,E5710&gt;=2,F5710&gt;=3),"Rawan",IF(AND(E5710&lt;=2,F5710&lt;=2),"Tidur","Umum"))))))</f>
        <v/>
      </c>
    </row>
    <row r="5711">
      <c r="B5711">
        <f>IF(A5711="","",$B$1-MAXIFS(Donasi!$A$2:$A$20000,Donasi!$B$2:$B$20000,A5711))</f>
        <v/>
      </c>
      <c r="C5711">
        <f>IF(A5711="","",COUNTIF(Donasi!$B$2:$B$20000,A5711))</f>
        <v/>
      </c>
      <c r="D5711">
        <f>IF(A5711="","",SUMIF(Donasi!$B$2:$B$20000,A5711,Donasi!$C$2:$C$20000))</f>
        <v/>
      </c>
      <c r="E5711">
        <f>IF(A5711="","",6-CEILING(PERCENTRANK.INC($B$3:$B$6000,B5711,4)*5+0.000001,1))</f>
        <v/>
      </c>
      <c r="F5711">
        <f>IF(A5711="","",MAX(1,CEILING(PERCENTRANK.INC($C$3:$C$6000,C5711,4)*5+0.000001,1)))</f>
        <v/>
      </c>
      <c r="G5711">
        <f>IF(A5711="","",MAX(1,CEILING(PERCENTRANK.INC($D$3:$D$6000,D5711,4)*5+0.000001,1)))</f>
        <v/>
      </c>
      <c r="H5711">
        <f>IF(A5711="","",E5711&amp;F5711&amp;G5711)</f>
        <v/>
      </c>
      <c r="I5711">
        <f>IF(A5711="","",IF(AND(E5711&gt;=4,F5711&gt;=4,G5711&gt;=4),"Juara",IF(AND(F5711&gt;=4,E5711&gt;=3),"Setia",IF(AND(E5711=5,F5711&lt;=2,G5711&gt;=3),"Berpotensi",IF(AND(E5711&lt;=3,E5711&gt;=2,F5711&gt;=3),"Rawan",IF(AND(E5711&lt;=2,F5711&lt;=2),"Tidur","Umum"))))))</f>
        <v/>
      </c>
    </row>
    <row r="5712">
      <c r="B5712">
        <f>IF(A5712="","",$B$1-MAXIFS(Donasi!$A$2:$A$20000,Donasi!$B$2:$B$20000,A5712))</f>
        <v/>
      </c>
      <c r="C5712">
        <f>IF(A5712="","",COUNTIF(Donasi!$B$2:$B$20000,A5712))</f>
        <v/>
      </c>
      <c r="D5712">
        <f>IF(A5712="","",SUMIF(Donasi!$B$2:$B$20000,A5712,Donasi!$C$2:$C$20000))</f>
        <v/>
      </c>
      <c r="E5712">
        <f>IF(A5712="","",6-CEILING(PERCENTRANK.INC($B$3:$B$6000,B5712,4)*5+0.000001,1))</f>
        <v/>
      </c>
      <c r="F5712">
        <f>IF(A5712="","",MAX(1,CEILING(PERCENTRANK.INC($C$3:$C$6000,C5712,4)*5+0.000001,1)))</f>
        <v/>
      </c>
      <c r="G5712">
        <f>IF(A5712="","",MAX(1,CEILING(PERCENTRANK.INC($D$3:$D$6000,D5712,4)*5+0.000001,1)))</f>
        <v/>
      </c>
      <c r="H5712">
        <f>IF(A5712="","",E5712&amp;F5712&amp;G5712)</f>
        <v/>
      </c>
      <c r="I5712">
        <f>IF(A5712="","",IF(AND(E5712&gt;=4,F5712&gt;=4,G5712&gt;=4),"Juara",IF(AND(F5712&gt;=4,E5712&gt;=3),"Setia",IF(AND(E5712=5,F5712&lt;=2,G5712&gt;=3),"Berpotensi",IF(AND(E5712&lt;=3,E5712&gt;=2,F5712&gt;=3),"Rawan",IF(AND(E5712&lt;=2,F5712&lt;=2),"Tidur","Umum"))))))</f>
        <v/>
      </c>
    </row>
    <row r="5713">
      <c r="B5713">
        <f>IF(A5713="","",$B$1-MAXIFS(Donasi!$A$2:$A$20000,Donasi!$B$2:$B$20000,A5713))</f>
        <v/>
      </c>
      <c r="C5713">
        <f>IF(A5713="","",COUNTIF(Donasi!$B$2:$B$20000,A5713))</f>
        <v/>
      </c>
      <c r="D5713">
        <f>IF(A5713="","",SUMIF(Donasi!$B$2:$B$20000,A5713,Donasi!$C$2:$C$20000))</f>
        <v/>
      </c>
      <c r="E5713">
        <f>IF(A5713="","",6-CEILING(PERCENTRANK.INC($B$3:$B$6000,B5713,4)*5+0.000001,1))</f>
        <v/>
      </c>
      <c r="F5713">
        <f>IF(A5713="","",MAX(1,CEILING(PERCENTRANK.INC($C$3:$C$6000,C5713,4)*5+0.000001,1)))</f>
        <v/>
      </c>
      <c r="G5713">
        <f>IF(A5713="","",MAX(1,CEILING(PERCENTRANK.INC($D$3:$D$6000,D5713,4)*5+0.000001,1)))</f>
        <v/>
      </c>
      <c r="H5713">
        <f>IF(A5713="","",E5713&amp;F5713&amp;G5713)</f>
        <v/>
      </c>
      <c r="I5713">
        <f>IF(A5713="","",IF(AND(E5713&gt;=4,F5713&gt;=4,G5713&gt;=4),"Juara",IF(AND(F5713&gt;=4,E5713&gt;=3),"Setia",IF(AND(E5713=5,F5713&lt;=2,G5713&gt;=3),"Berpotensi",IF(AND(E5713&lt;=3,E5713&gt;=2,F5713&gt;=3),"Rawan",IF(AND(E5713&lt;=2,F5713&lt;=2),"Tidur","Umum"))))))</f>
        <v/>
      </c>
    </row>
    <row r="5714">
      <c r="B5714">
        <f>IF(A5714="","",$B$1-MAXIFS(Donasi!$A$2:$A$20000,Donasi!$B$2:$B$20000,A5714))</f>
        <v/>
      </c>
      <c r="C5714">
        <f>IF(A5714="","",COUNTIF(Donasi!$B$2:$B$20000,A5714))</f>
        <v/>
      </c>
      <c r="D5714">
        <f>IF(A5714="","",SUMIF(Donasi!$B$2:$B$20000,A5714,Donasi!$C$2:$C$20000))</f>
        <v/>
      </c>
      <c r="E5714">
        <f>IF(A5714="","",6-CEILING(PERCENTRANK.INC($B$3:$B$6000,B5714,4)*5+0.000001,1))</f>
        <v/>
      </c>
      <c r="F5714">
        <f>IF(A5714="","",MAX(1,CEILING(PERCENTRANK.INC($C$3:$C$6000,C5714,4)*5+0.000001,1)))</f>
        <v/>
      </c>
      <c r="G5714">
        <f>IF(A5714="","",MAX(1,CEILING(PERCENTRANK.INC($D$3:$D$6000,D5714,4)*5+0.000001,1)))</f>
        <v/>
      </c>
      <c r="H5714">
        <f>IF(A5714="","",E5714&amp;F5714&amp;G5714)</f>
        <v/>
      </c>
      <c r="I5714">
        <f>IF(A5714="","",IF(AND(E5714&gt;=4,F5714&gt;=4,G5714&gt;=4),"Juara",IF(AND(F5714&gt;=4,E5714&gt;=3),"Setia",IF(AND(E5714=5,F5714&lt;=2,G5714&gt;=3),"Berpotensi",IF(AND(E5714&lt;=3,E5714&gt;=2,F5714&gt;=3),"Rawan",IF(AND(E5714&lt;=2,F5714&lt;=2),"Tidur","Umum"))))))</f>
        <v/>
      </c>
    </row>
    <row r="5715">
      <c r="B5715">
        <f>IF(A5715="","",$B$1-MAXIFS(Donasi!$A$2:$A$20000,Donasi!$B$2:$B$20000,A5715))</f>
        <v/>
      </c>
      <c r="C5715">
        <f>IF(A5715="","",COUNTIF(Donasi!$B$2:$B$20000,A5715))</f>
        <v/>
      </c>
      <c r="D5715">
        <f>IF(A5715="","",SUMIF(Donasi!$B$2:$B$20000,A5715,Donasi!$C$2:$C$20000))</f>
        <v/>
      </c>
      <c r="E5715">
        <f>IF(A5715="","",6-CEILING(PERCENTRANK.INC($B$3:$B$6000,B5715,4)*5+0.000001,1))</f>
        <v/>
      </c>
      <c r="F5715">
        <f>IF(A5715="","",MAX(1,CEILING(PERCENTRANK.INC($C$3:$C$6000,C5715,4)*5+0.000001,1)))</f>
        <v/>
      </c>
      <c r="G5715">
        <f>IF(A5715="","",MAX(1,CEILING(PERCENTRANK.INC($D$3:$D$6000,D5715,4)*5+0.000001,1)))</f>
        <v/>
      </c>
      <c r="H5715">
        <f>IF(A5715="","",E5715&amp;F5715&amp;G5715)</f>
        <v/>
      </c>
      <c r="I5715">
        <f>IF(A5715="","",IF(AND(E5715&gt;=4,F5715&gt;=4,G5715&gt;=4),"Juara",IF(AND(F5715&gt;=4,E5715&gt;=3),"Setia",IF(AND(E5715=5,F5715&lt;=2,G5715&gt;=3),"Berpotensi",IF(AND(E5715&lt;=3,E5715&gt;=2,F5715&gt;=3),"Rawan",IF(AND(E5715&lt;=2,F5715&lt;=2),"Tidur","Umum"))))))</f>
        <v/>
      </c>
    </row>
    <row r="5716">
      <c r="B5716">
        <f>IF(A5716="","",$B$1-MAXIFS(Donasi!$A$2:$A$20000,Donasi!$B$2:$B$20000,A5716))</f>
        <v/>
      </c>
      <c r="C5716">
        <f>IF(A5716="","",COUNTIF(Donasi!$B$2:$B$20000,A5716))</f>
        <v/>
      </c>
      <c r="D5716">
        <f>IF(A5716="","",SUMIF(Donasi!$B$2:$B$20000,A5716,Donasi!$C$2:$C$20000))</f>
        <v/>
      </c>
      <c r="E5716">
        <f>IF(A5716="","",6-CEILING(PERCENTRANK.INC($B$3:$B$6000,B5716,4)*5+0.000001,1))</f>
        <v/>
      </c>
      <c r="F5716">
        <f>IF(A5716="","",MAX(1,CEILING(PERCENTRANK.INC($C$3:$C$6000,C5716,4)*5+0.000001,1)))</f>
        <v/>
      </c>
      <c r="G5716">
        <f>IF(A5716="","",MAX(1,CEILING(PERCENTRANK.INC($D$3:$D$6000,D5716,4)*5+0.000001,1)))</f>
        <v/>
      </c>
      <c r="H5716">
        <f>IF(A5716="","",E5716&amp;F5716&amp;G5716)</f>
        <v/>
      </c>
      <c r="I5716">
        <f>IF(A5716="","",IF(AND(E5716&gt;=4,F5716&gt;=4,G5716&gt;=4),"Juara",IF(AND(F5716&gt;=4,E5716&gt;=3),"Setia",IF(AND(E5716=5,F5716&lt;=2,G5716&gt;=3),"Berpotensi",IF(AND(E5716&lt;=3,E5716&gt;=2,F5716&gt;=3),"Rawan",IF(AND(E5716&lt;=2,F5716&lt;=2),"Tidur","Umum"))))))</f>
        <v/>
      </c>
    </row>
    <row r="5717">
      <c r="B5717">
        <f>IF(A5717="","",$B$1-MAXIFS(Donasi!$A$2:$A$20000,Donasi!$B$2:$B$20000,A5717))</f>
        <v/>
      </c>
      <c r="C5717">
        <f>IF(A5717="","",COUNTIF(Donasi!$B$2:$B$20000,A5717))</f>
        <v/>
      </c>
      <c r="D5717">
        <f>IF(A5717="","",SUMIF(Donasi!$B$2:$B$20000,A5717,Donasi!$C$2:$C$20000))</f>
        <v/>
      </c>
      <c r="E5717">
        <f>IF(A5717="","",6-CEILING(PERCENTRANK.INC($B$3:$B$6000,B5717,4)*5+0.000001,1))</f>
        <v/>
      </c>
      <c r="F5717">
        <f>IF(A5717="","",MAX(1,CEILING(PERCENTRANK.INC($C$3:$C$6000,C5717,4)*5+0.000001,1)))</f>
        <v/>
      </c>
      <c r="G5717">
        <f>IF(A5717="","",MAX(1,CEILING(PERCENTRANK.INC($D$3:$D$6000,D5717,4)*5+0.000001,1)))</f>
        <v/>
      </c>
      <c r="H5717">
        <f>IF(A5717="","",E5717&amp;F5717&amp;G5717)</f>
        <v/>
      </c>
      <c r="I5717">
        <f>IF(A5717="","",IF(AND(E5717&gt;=4,F5717&gt;=4,G5717&gt;=4),"Juara",IF(AND(F5717&gt;=4,E5717&gt;=3),"Setia",IF(AND(E5717=5,F5717&lt;=2,G5717&gt;=3),"Berpotensi",IF(AND(E5717&lt;=3,E5717&gt;=2,F5717&gt;=3),"Rawan",IF(AND(E5717&lt;=2,F5717&lt;=2),"Tidur","Umum"))))))</f>
        <v/>
      </c>
    </row>
    <row r="5718">
      <c r="B5718">
        <f>IF(A5718="","",$B$1-MAXIFS(Donasi!$A$2:$A$20000,Donasi!$B$2:$B$20000,A5718))</f>
        <v/>
      </c>
      <c r="C5718">
        <f>IF(A5718="","",COUNTIF(Donasi!$B$2:$B$20000,A5718))</f>
        <v/>
      </c>
      <c r="D5718">
        <f>IF(A5718="","",SUMIF(Donasi!$B$2:$B$20000,A5718,Donasi!$C$2:$C$20000))</f>
        <v/>
      </c>
      <c r="E5718">
        <f>IF(A5718="","",6-CEILING(PERCENTRANK.INC($B$3:$B$6000,B5718,4)*5+0.000001,1))</f>
        <v/>
      </c>
      <c r="F5718">
        <f>IF(A5718="","",MAX(1,CEILING(PERCENTRANK.INC($C$3:$C$6000,C5718,4)*5+0.000001,1)))</f>
        <v/>
      </c>
      <c r="G5718">
        <f>IF(A5718="","",MAX(1,CEILING(PERCENTRANK.INC($D$3:$D$6000,D5718,4)*5+0.000001,1)))</f>
        <v/>
      </c>
      <c r="H5718">
        <f>IF(A5718="","",E5718&amp;F5718&amp;G5718)</f>
        <v/>
      </c>
      <c r="I5718">
        <f>IF(A5718="","",IF(AND(E5718&gt;=4,F5718&gt;=4,G5718&gt;=4),"Juara",IF(AND(F5718&gt;=4,E5718&gt;=3),"Setia",IF(AND(E5718=5,F5718&lt;=2,G5718&gt;=3),"Berpotensi",IF(AND(E5718&lt;=3,E5718&gt;=2,F5718&gt;=3),"Rawan",IF(AND(E5718&lt;=2,F5718&lt;=2),"Tidur","Umum"))))))</f>
        <v/>
      </c>
    </row>
    <row r="5719">
      <c r="B5719">
        <f>IF(A5719="","",$B$1-MAXIFS(Donasi!$A$2:$A$20000,Donasi!$B$2:$B$20000,A5719))</f>
        <v/>
      </c>
      <c r="C5719">
        <f>IF(A5719="","",COUNTIF(Donasi!$B$2:$B$20000,A5719))</f>
        <v/>
      </c>
      <c r="D5719">
        <f>IF(A5719="","",SUMIF(Donasi!$B$2:$B$20000,A5719,Donasi!$C$2:$C$20000))</f>
        <v/>
      </c>
      <c r="E5719">
        <f>IF(A5719="","",6-CEILING(PERCENTRANK.INC($B$3:$B$6000,B5719,4)*5+0.000001,1))</f>
        <v/>
      </c>
      <c r="F5719">
        <f>IF(A5719="","",MAX(1,CEILING(PERCENTRANK.INC($C$3:$C$6000,C5719,4)*5+0.000001,1)))</f>
        <v/>
      </c>
      <c r="G5719">
        <f>IF(A5719="","",MAX(1,CEILING(PERCENTRANK.INC($D$3:$D$6000,D5719,4)*5+0.000001,1)))</f>
        <v/>
      </c>
      <c r="H5719">
        <f>IF(A5719="","",E5719&amp;F5719&amp;G5719)</f>
        <v/>
      </c>
      <c r="I5719">
        <f>IF(A5719="","",IF(AND(E5719&gt;=4,F5719&gt;=4,G5719&gt;=4),"Juara",IF(AND(F5719&gt;=4,E5719&gt;=3),"Setia",IF(AND(E5719=5,F5719&lt;=2,G5719&gt;=3),"Berpotensi",IF(AND(E5719&lt;=3,E5719&gt;=2,F5719&gt;=3),"Rawan",IF(AND(E5719&lt;=2,F5719&lt;=2),"Tidur","Umum"))))))</f>
        <v/>
      </c>
    </row>
    <row r="5720">
      <c r="B5720">
        <f>IF(A5720="","",$B$1-MAXIFS(Donasi!$A$2:$A$20000,Donasi!$B$2:$B$20000,A5720))</f>
        <v/>
      </c>
      <c r="C5720">
        <f>IF(A5720="","",COUNTIF(Donasi!$B$2:$B$20000,A5720))</f>
        <v/>
      </c>
      <c r="D5720">
        <f>IF(A5720="","",SUMIF(Donasi!$B$2:$B$20000,A5720,Donasi!$C$2:$C$20000))</f>
        <v/>
      </c>
      <c r="E5720">
        <f>IF(A5720="","",6-CEILING(PERCENTRANK.INC($B$3:$B$6000,B5720,4)*5+0.000001,1))</f>
        <v/>
      </c>
      <c r="F5720">
        <f>IF(A5720="","",MAX(1,CEILING(PERCENTRANK.INC($C$3:$C$6000,C5720,4)*5+0.000001,1)))</f>
        <v/>
      </c>
      <c r="G5720">
        <f>IF(A5720="","",MAX(1,CEILING(PERCENTRANK.INC($D$3:$D$6000,D5720,4)*5+0.000001,1)))</f>
        <v/>
      </c>
      <c r="H5720">
        <f>IF(A5720="","",E5720&amp;F5720&amp;G5720)</f>
        <v/>
      </c>
      <c r="I5720">
        <f>IF(A5720="","",IF(AND(E5720&gt;=4,F5720&gt;=4,G5720&gt;=4),"Juara",IF(AND(F5720&gt;=4,E5720&gt;=3),"Setia",IF(AND(E5720=5,F5720&lt;=2,G5720&gt;=3),"Berpotensi",IF(AND(E5720&lt;=3,E5720&gt;=2,F5720&gt;=3),"Rawan",IF(AND(E5720&lt;=2,F5720&lt;=2),"Tidur","Umum"))))))</f>
        <v/>
      </c>
    </row>
    <row r="5721">
      <c r="B5721">
        <f>IF(A5721="","",$B$1-MAXIFS(Donasi!$A$2:$A$20000,Donasi!$B$2:$B$20000,A5721))</f>
        <v/>
      </c>
      <c r="C5721">
        <f>IF(A5721="","",COUNTIF(Donasi!$B$2:$B$20000,A5721))</f>
        <v/>
      </c>
      <c r="D5721">
        <f>IF(A5721="","",SUMIF(Donasi!$B$2:$B$20000,A5721,Donasi!$C$2:$C$20000))</f>
        <v/>
      </c>
      <c r="E5721">
        <f>IF(A5721="","",6-CEILING(PERCENTRANK.INC($B$3:$B$6000,B5721,4)*5+0.000001,1))</f>
        <v/>
      </c>
      <c r="F5721">
        <f>IF(A5721="","",MAX(1,CEILING(PERCENTRANK.INC($C$3:$C$6000,C5721,4)*5+0.000001,1)))</f>
        <v/>
      </c>
      <c r="G5721">
        <f>IF(A5721="","",MAX(1,CEILING(PERCENTRANK.INC($D$3:$D$6000,D5721,4)*5+0.000001,1)))</f>
        <v/>
      </c>
      <c r="H5721">
        <f>IF(A5721="","",E5721&amp;F5721&amp;G5721)</f>
        <v/>
      </c>
      <c r="I5721">
        <f>IF(A5721="","",IF(AND(E5721&gt;=4,F5721&gt;=4,G5721&gt;=4),"Juara",IF(AND(F5721&gt;=4,E5721&gt;=3),"Setia",IF(AND(E5721=5,F5721&lt;=2,G5721&gt;=3),"Berpotensi",IF(AND(E5721&lt;=3,E5721&gt;=2,F5721&gt;=3),"Rawan",IF(AND(E5721&lt;=2,F5721&lt;=2),"Tidur","Umum"))))))</f>
        <v/>
      </c>
    </row>
    <row r="5722">
      <c r="B5722">
        <f>IF(A5722="","",$B$1-MAXIFS(Donasi!$A$2:$A$20000,Donasi!$B$2:$B$20000,A5722))</f>
        <v/>
      </c>
      <c r="C5722">
        <f>IF(A5722="","",COUNTIF(Donasi!$B$2:$B$20000,A5722))</f>
        <v/>
      </c>
      <c r="D5722">
        <f>IF(A5722="","",SUMIF(Donasi!$B$2:$B$20000,A5722,Donasi!$C$2:$C$20000))</f>
        <v/>
      </c>
      <c r="E5722">
        <f>IF(A5722="","",6-CEILING(PERCENTRANK.INC($B$3:$B$6000,B5722,4)*5+0.000001,1))</f>
        <v/>
      </c>
      <c r="F5722">
        <f>IF(A5722="","",MAX(1,CEILING(PERCENTRANK.INC($C$3:$C$6000,C5722,4)*5+0.000001,1)))</f>
        <v/>
      </c>
      <c r="G5722">
        <f>IF(A5722="","",MAX(1,CEILING(PERCENTRANK.INC($D$3:$D$6000,D5722,4)*5+0.000001,1)))</f>
        <v/>
      </c>
      <c r="H5722">
        <f>IF(A5722="","",E5722&amp;F5722&amp;G5722)</f>
        <v/>
      </c>
      <c r="I5722">
        <f>IF(A5722="","",IF(AND(E5722&gt;=4,F5722&gt;=4,G5722&gt;=4),"Juara",IF(AND(F5722&gt;=4,E5722&gt;=3),"Setia",IF(AND(E5722=5,F5722&lt;=2,G5722&gt;=3),"Berpotensi",IF(AND(E5722&lt;=3,E5722&gt;=2,F5722&gt;=3),"Rawan",IF(AND(E5722&lt;=2,F5722&lt;=2),"Tidur","Umum"))))))</f>
        <v/>
      </c>
    </row>
    <row r="5723">
      <c r="B5723">
        <f>IF(A5723="","",$B$1-MAXIFS(Donasi!$A$2:$A$20000,Donasi!$B$2:$B$20000,A5723))</f>
        <v/>
      </c>
      <c r="C5723">
        <f>IF(A5723="","",COUNTIF(Donasi!$B$2:$B$20000,A5723))</f>
        <v/>
      </c>
      <c r="D5723">
        <f>IF(A5723="","",SUMIF(Donasi!$B$2:$B$20000,A5723,Donasi!$C$2:$C$20000))</f>
        <v/>
      </c>
      <c r="E5723">
        <f>IF(A5723="","",6-CEILING(PERCENTRANK.INC($B$3:$B$6000,B5723,4)*5+0.000001,1))</f>
        <v/>
      </c>
      <c r="F5723">
        <f>IF(A5723="","",MAX(1,CEILING(PERCENTRANK.INC($C$3:$C$6000,C5723,4)*5+0.000001,1)))</f>
        <v/>
      </c>
      <c r="G5723">
        <f>IF(A5723="","",MAX(1,CEILING(PERCENTRANK.INC($D$3:$D$6000,D5723,4)*5+0.000001,1)))</f>
        <v/>
      </c>
      <c r="H5723">
        <f>IF(A5723="","",E5723&amp;F5723&amp;G5723)</f>
        <v/>
      </c>
      <c r="I5723">
        <f>IF(A5723="","",IF(AND(E5723&gt;=4,F5723&gt;=4,G5723&gt;=4),"Juara",IF(AND(F5723&gt;=4,E5723&gt;=3),"Setia",IF(AND(E5723=5,F5723&lt;=2,G5723&gt;=3),"Berpotensi",IF(AND(E5723&lt;=3,E5723&gt;=2,F5723&gt;=3),"Rawan",IF(AND(E5723&lt;=2,F5723&lt;=2),"Tidur","Umum"))))))</f>
        <v/>
      </c>
    </row>
    <row r="5724">
      <c r="B5724">
        <f>IF(A5724="","",$B$1-MAXIFS(Donasi!$A$2:$A$20000,Donasi!$B$2:$B$20000,A5724))</f>
        <v/>
      </c>
      <c r="C5724">
        <f>IF(A5724="","",COUNTIF(Donasi!$B$2:$B$20000,A5724))</f>
        <v/>
      </c>
      <c r="D5724">
        <f>IF(A5724="","",SUMIF(Donasi!$B$2:$B$20000,A5724,Donasi!$C$2:$C$20000))</f>
        <v/>
      </c>
      <c r="E5724">
        <f>IF(A5724="","",6-CEILING(PERCENTRANK.INC($B$3:$B$6000,B5724,4)*5+0.000001,1))</f>
        <v/>
      </c>
      <c r="F5724">
        <f>IF(A5724="","",MAX(1,CEILING(PERCENTRANK.INC($C$3:$C$6000,C5724,4)*5+0.000001,1)))</f>
        <v/>
      </c>
      <c r="G5724">
        <f>IF(A5724="","",MAX(1,CEILING(PERCENTRANK.INC($D$3:$D$6000,D5724,4)*5+0.000001,1)))</f>
        <v/>
      </c>
      <c r="H5724">
        <f>IF(A5724="","",E5724&amp;F5724&amp;G5724)</f>
        <v/>
      </c>
      <c r="I5724">
        <f>IF(A5724="","",IF(AND(E5724&gt;=4,F5724&gt;=4,G5724&gt;=4),"Juara",IF(AND(F5724&gt;=4,E5724&gt;=3),"Setia",IF(AND(E5724=5,F5724&lt;=2,G5724&gt;=3),"Berpotensi",IF(AND(E5724&lt;=3,E5724&gt;=2,F5724&gt;=3),"Rawan",IF(AND(E5724&lt;=2,F5724&lt;=2),"Tidur","Umum"))))))</f>
        <v/>
      </c>
    </row>
    <row r="5725">
      <c r="B5725">
        <f>IF(A5725="","",$B$1-MAXIFS(Donasi!$A$2:$A$20000,Donasi!$B$2:$B$20000,A5725))</f>
        <v/>
      </c>
      <c r="C5725">
        <f>IF(A5725="","",COUNTIF(Donasi!$B$2:$B$20000,A5725))</f>
        <v/>
      </c>
      <c r="D5725">
        <f>IF(A5725="","",SUMIF(Donasi!$B$2:$B$20000,A5725,Donasi!$C$2:$C$20000))</f>
        <v/>
      </c>
      <c r="E5725">
        <f>IF(A5725="","",6-CEILING(PERCENTRANK.INC($B$3:$B$6000,B5725,4)*5+0.000001,1))</f>
        <v/>
      </c>
      <c r="F5725">
        <f>IF(A5725="","",MAX(1,CEILING(PERCENTRANK.INC($C$3:$C$6000,C5725,4)*5+0.000001,1)))</f>
        <v/>
      </c>
      <c r="G5725">
        <f>IF(A5725="","",MAX(1,CEILING(PERCENTRANK.INC($D$3:$D$6000,D5725,4)*5+0.000001,1)))</f>
        <v/>
      </c>
      <c r="H5725">
        <f>IF(A5725="","",E5725&amp;F5725&amp;G5725)</f>
        <v/>
      </c>
      <c r="I5725">
        <f>IF(A5725="","",IF(AND(E5725&gt;=4,F5725&gt;=4,G5725&gt;=4),"Juara",IF(AND(F5725&gt;=4,E5725&gt;=3),"Setia",IF(AND(E5725=5,F5725&lt;=2,G5725&gt;=3),"Berpotensi",IF(AND(E5725&lt;=3,E5725&gt;=2,F5725&gt;=3),"Rawan",IF(AND(E5725&lt;=2,F5725&lt;=2),"Tidur","Umum"))))))</f>
        <v/>
      </c>
    </row>
    <row r="5726">
      <c r="B5726">
        <f>IF(A5726="","",$B$1-MAXIFS(Donasi!$A$2:$A$20000,Donasi!$B$2:$B$20000,A5726))</f>
        <v/>
      </c>
      <c r="C5726">
        <f>IF(A5726="","",COUNTIF(Donasi!$B$2:$B$20000,A5726))</f>
        <v/>
      </c>
      <c r="D5726">
        <f>IF(A5726="","",SUMIF(Donasi!$B$2:$B$20000,A5726,Donasi!$C$2:$C$20000))</f>
        <v/>
      </c>
      <c r="E5726">
        <f>IF(A5726="","",6-CEILING(PERCENTRANK.INC($B$3:$B$6000,B5726,4)*5+0.000001,1))</f>
        <v/>
      </c>
      <c r="F5726">
        <f>IF(A5726="","",MAX(1,CEILING(PERCENTRANK.INC($C$3:$C$6000,C5726,4)*5+0.000001,1)))</f>
        <v/>
      </c>
      <c r="G5726">
        <f>IF(A5726="","",MAX(1,CEILING(PERCENTRANK.INC($D$3:$D$6000,D5726,4)*5+0.000001,1)))</f>
        <v/>
      </c>
      <c r="H5726">
        <f>IF(A5726="","",E5726&amp;F5726&amp;G5726)</f>
        <v/>
      </c>
      <c r="I5726">
        <f>IF(A5726="","",IF(AND(E5726&gt;=4,F5726&gt;=4,G5726&gt;=4),"Juara",IF(AND(F5726&gt;=4,E5726&gt;=3),"Setia",IF(AND(E5726=5,F5726&lt;=2,G5726&gt;=3),"Berpotensi",IF(AND(E5726&lt;=3,E5726&gt;=2,F5726&gt;=3),"Rawan",IF(AND(E5726&lt;=2,F5726&lt;=2),"Tidur","Umum"))))))</f>
        <v/>
      </c>
    </row>
    <row r="5727">
      <c r="B5727">
        <f>IF(A5727="","",$B$1-MAXIFS(Donasi!$A$2:$A$20000,Donasi!$B$2:$B$20000,A5727))</f>
        <v/>
      </c>
      <c r="C5727">
        <f>IF(A5727="","",COUNTIF(Donasi!$B$2:$B$20000,A5727))</f>
        <v/>
      </c>
      <c r="D5727">
        <f>IF(A5727="","",SUMIF(Donasi!$B$2:$B$20000,A5727,Donasi!$C$2:$C$20000))</f>
        <v/>
      </c>
      <c r="E5727">
        <f>IF(A5727="","",6-CEILING(PERCENTRANK.INC($B$3:$B$6000,B5727,4)*5+0.000001,1))</f>
        <v/>
      </c>
      <c r="F5727">
        <f>IF(A5727="","",MAX(1,CEILING(PERCENTRANK.INC($C$3:$C$6000,C5727,4)*5+0.000001,1)))</f>
        <v/>
      </c>
      <c r="G5727">
        <f>IF(A5727="","",MAX(1,CEILING(PERCENTRANK.INC($D$3:$D$6000,D5727,4)*5+0.000001,1)))</f>
        <v/>
      </c>
      <c r="H5727">
        <f>IF(A5727="","",E5727&amp;F5727&amp;G5727)</f>
        <v/>
      </c>
      <c r="I5727">
        <f>IF(A5727="","",IF(AND(E5727&gt;=4,F5727&gt;=4,G5727&gt;=4),"Juara",IF(AND(F5727&gt;=4,E5727&gt;=3),"Setia",IF(AND(E5727=5,F5727&lt;=2,G5727&gt;=3),"Berpotensi",IF(AND(E5727&lt;=3,E5727&gt;=2,F5727&gt;=3),"Rawan",IF(AND(E5727&lt;=2,F5727&lt;=2),"Tidur","Umum"))))))</f>
        <v/>
      </c>
    </row>
    <row r="5728">
      <c r="B5728">
        <f>IF(A5728="","",$B$1-MAXIFS(Donasi!$A$2:$A$20000,Donasi!$B$2:$B$20000,A5728))</f>
        <v/>
      </c>
      <c r="C5728">
        <f>IF(A5728="","",COUNTIF(Donasi!$B$2:$B$20000,A5728))</f>
        <v/>
      </c>
      <c r="D5728">
        <f>IF(A5728="","",SUMIF(Donasi!$B$2:$B$20000,A5728,Donasi!$C$2:$C$20000))</f>
        <v/>
      </c>
      <c r="E5728">
        <f>IF(A5728="","",6-CEILING(PERCENTRANK.INC($B$3:$B$6000,B5728,4)*5+0.000001,1))</f>
        <v/>
      </c>
      <c r="F5728">
        <f>IF(A5728="","",MAX(1,CEILING(PERCENTRANK.INC($C$3:$C$6000,C5728,4)*5+0.000001,1)))</f>
        <v/>
      </c>
      <c r="G5728">
        <f>IF(A5728="","",MAX(1,CEILING(PERCENTRANK.INC($D$3:$D$6000,D5728,4)*5+0.000001,1)))</f>
        <v/>
      </c>
      <c r="H5728">
        <f>IF(A5728="","",E5728&amp;F5728&amp;G5728)</f>
        <v/>
      </c>
      <c r="I5728">
        <f>IF(A5728="","",IF(AND(E5728&gt;=4,F5728&gt;=4,G5728&gt;=4),"Juara",IF(AND(F5728&gt;=4,E5728&gt;=3),"Setia",IF(AND(E5728=5,F5728&lt;=2,G5728&gt;=3),"Berpotensi",IF(AND(E5728&lt;=3,E5728&gt;=2,F5728&gt;=3),"Rawan",IF(AND(E5728&lt;=2,F5728&lt;=2),"Tidur","Umum"))))))</f>
        <v/>
      </c>
    </row>
    <row r="5729">
      <c r="B5729">
        <f>IF(A5729="","",$B$1-MAXIFS(Donasi!$A$2:$A$20000,Donasi!$B$2:$B$20000,A5729))</f>
        <v/>
      </c>
      <c r="C5729">
        <f>IF(A5729="","",COUNTIF(Donasi!$B$2:$B$20000,A5729))</f>
        <v/>
      </c>
      <c r="D5729">
        <f>IF(A5729="","",SUMIF(Donasi!$B$2:$B$20000,A5729,Donasi!$C$2:$C$20000))</f>
        <v/>
      </c>
      <c r="E5729">
        <f>IF(A5729="","",6-CEILING(PERCENTRANK.INC($B$3:$B$6000,B5729,4)*5+0.000001,1))</f>
        <v/>
      </c>
      <c r="F5729">
        <f>IF(A5729="","",MAX(1,CEILING(PERCENTRANK.INC($C$3:$C$6000,C5729,4)*5+0.000001,1)))</f>
        <v/>
      </c>
      <c r="G5729">
        <f>IF(A5729="","",MAX(1,CEILING(PERCENTRANK.INC($D$3:$D$6000,D5729,4)*5+0.000001,1)))</f>
        <v/>
      </c>
      <c r="H5729">
        <f>IF(A5729="","",E5729&amp;F5729&amp;G5729)</f>
        <v/>
      </c>
      <c r="I5729">
        <f>IF(A5729="","",IF(AND(E5729&gt;=4,F5729&gt;=4,G5729&gt;=4),"Juara",IF(AND(F5729&gt;=4,E5729&gt;=3),"Setia",IF(AND(E5729=5,F5729&lt;=2,G5729&gt;=3),"Berpotensi",IF(AND(E5729&lt;=3,E5729&gt;=2,F5729&gt;=3),"Rawan",IF(AND(E5729&lt;=2,F5729&lt;=2),"Tidur","Umum"))))))</f>
        <v/>
      </c>
    </row>
    <row r="5730">
      <c r="B5730">
        <f>IF(A5730="","",$B$1-MAXIFS(Donasi!$A$2:$A$20000,Donasi!$B$2:$B$20000,A5730))</f>
        <v/>
      </c>
      <c r="C5730">
        <f>IF(A5730="","",COUNTIF(Donasi!$B$2:$B$20000,A5730))</f>
        <v/>
      </c>
      <c r="D5730">
        <f>IF(A5730="","",SUMIF(Donasi!$B$2:$B$20000,A5730,Donasi!$C$2:$C$20000))</f>
        <v/>
      </c>
      <c r="E5730">
        <f>IF(A5730="","",6-CEILING(PERCENTRANK.INC($B$3:$B$6000,B5730,4)*5+0.000001,1))</f>
        <v/>
      </c>
      <c r="F5730">
        <f>IF(A5730="","",MAX(1,CEILING(PERCENTRANK.INC($C$3:$C$6000,C5730,4)*5+0.000001,1)))</f>
        <v/>
      </c>
      <c r="G5730">
        <f>IF(A5730="","",MAX(1,CEILING(PERCENTRANK.INC($D$3:$D$6000,D5730,4)*5+0.000001,1)))</f>
        <v/>
      </c>
      <c r="H5730">
        <f>IF(A5730="","",E5730&amp;F5730&amp;G5730)</f>
        <v/>
      </c>
      <c r="I5730">
        <f>IF(A5730="","",IF(AND(E5730&gt;=4,F5730&gt;=4,G5730&gt;=4),"Juara",IF(AND(F5730&gt;=4,E5730&gt;=3),"Setia",IF(AND(E5730=5,F5730&lt;=2,G5730&gt;=3),"Berpotensi",IF(AND(E5730&lt;=3,E5730&gt;=2,F5730&gt;=3),"Rawan",IF(AND(E5730&lt;=2,F5730&lt;=2),"Tidur","Umum"))))))</f>
        <v/>
      </c>
    </row>
    <row r="5731">
      <c r="B5731">
        <f>IF(A5731="","",$B$1-MAXIFS(Donasi!$A$2:$A$20000,Donasi!$B$2:$B$20000,A5731))</f>
        <v/>
      </c>
      <c r="C5731">
        <f>IF(A5731="","",COUNTIF(Donasi!$B$2:$B$20000,A5731))</f>
        <v/>
      </c>
      <c r="D5731">
        <f>IF(A5731="","",SUMIF(Donasi!$B$2:$B$20000,A5731,Donasi!$C$2:$C$20000))</f>
        <v/>
      </c>
      <c r="E5731">
        <f>IF(A5731="","",6-CEILING(PERCENTRANK.INC($B$3:$B$6000,B5731,4)*5+0.000001,1))</f>
        <v/>
      </c>
      <c r="F5731">
        <f>IF(A5731="","",MAX(1,CEILING(PERCENTRANK.INC($C$3:$C$6000,C5731,4)*5+0.000001,1)))</f>
        <v/>
      </c>
      <c r="G5731">
        <f>IF(A5731="","",MAX(1,CEILING(PERCENTRANK.INC($D$3:$D$6000,D5731,4)*5+0.000001,1)))</f>
        <v/>
      </c>
      <c r="H5731">
        <f>IF(A5731="","",E5731&amp;F5731&amp;G5731)</f>
        <v/>
      </c>
      <c r="I5731">
        <f>IF(A5731="","",IF(AND(E5731&gt;=4,F5731&gt;=4,G5731&gt;=4),"Juara",IF(AND(F5731&gt;=4,E5731&gt;=3),"Setia",IF(AND(E5731=5,F5731&lt;=2,G5731&gt;=3),"Berpotensi",IF(AND(E5731&lt;=3,E5731&gt;=2,F5731&gt;=3),"Rawan",IF(AND(E5731&lt;=2,F5731&lt;=2),"Tidur","Umum"))))))</f>
        <v/>
      </c>
    </row>
    <row r="5732">
      <c r="B5732">
        <f>IF(A5732="","",$B$1-MAXIFS(Donasi!$A$2:$A$20000,Donasi!$B$2:$B$20000,A5732))</f>
        <v/>
      </c>
      <c r="C5732">
        <f>IF(A5732="","",COUNTIF(Donasi!$B$2:$B$20000,A5732))</f>
        <v/>
      </c>
      <c r="D5732">
        <f>IF(A5732="","",SUMIF(Donasi!$B$2:$B$20000,A5732,Donasi!$C$2:$C$20000))</f>
        <v/>
      </c>
      <c r="E5732">
        <f>IF(A5732="","",6-CEILING(PERCENTRANK.INC($B$3:$B$6000,B5732,4)*5+0.000001,1))</f>
        <v/>
      </c>
      <c r="F5732">
        <f>IF(A5732="","",MAX(1,CEILING(PERCENTRANK.INC($C$3:$C$6000,C5732,4)*5+0.000001,1)))</f>
        <v/>
      </c>
      <c r="G5732">
        <f>IF(A5732="","",MAX(1,CEILING(PERCENTRANK.INC($D$3:$D$6000,D5732,4)*5+0.000001,1)))</f>
        <v/>
      </c>
      <c r="H5732">
        <f>IF(A5732="","",E5732&amp;F5732&amp;G5732)</f>
        <v/>
      </c>
      <c r="I5732">
        <f>IF(A5732="","",IF(AND(E5732&gt;=4,F5732&gt;=4,G5732&gt;=4),"Juara",IF(AND(F5732&gt;=4,E5732&gt;=3),"Setia",IF(AND(E5732=5,F5732&lt;=2,G5732&gt;=3),"Berpotensi",IF(AND(E5732&lt;=3,E5732&gt;=2,F5732&gt;=3),"Rawan",IF(AND(E5732&lt;=2,F5732&lt;=2),"Tidur","Umum"))))))</f>
        <v/>
      </c>
    </row>
    <row r="5733">
      <c r="B5733">
        <f>IF(A5733="","",$B$1-MAXIFS(Donasi!$A$2:$A$20000,Donasi!$B$2:$B$20000,A5733))</f>
        <v/>
      </c>
      <c r="C5733">
        <f>IF(A5733="","",COUNTIF(Donasi!$B$2:$B$20000,A5733))</f>
        <v/>
      </c>
      <c r="D5733">
        <f>IF(A5733="","",SUMIF(Donasi!$B$2:$B$20000,A5733,Donasi!$C$2:$C$20000))</f>
        <v/>
      </c>
      <c r="E5733">
        <f>IF(A5733="","",6-CEILING(PERCENTRANK.INC($B$3:$B$6000,B5733,4)*5+0.000001,1))</f>
        <v/>
      </c>
      <c r="F5733">
        <f>IF(A5733="","",MAX(1,CEILING(PERCENTRANK.INC($C$3:$C$6000,C5733,4)*5+0.000001,1)))</f>
        <v/>
      </c>
      <c r="G5733">
        <f>IF(A5733="","",MAX(1,CEILING(PERCENTRANK.INC($D$3:$D$6000,D5733,4)*5+0.000001,1)))</f>
        <v/>
      </c>
      <c r="H5733">
        <f>IF(A5733="","",E5733&amp;F5733&amp;G5733)</f>
        <v/>
      </c>
      <c r="I5733">
        <f>IF(A5733="","",IF(AND(E5733&gt;=4,F5733&gt;=4,G5733&gt;=4),"Juara",IF(AND(F5733&gt;=4,E5733&gt;=3),"Setia",IF(AND(E5733=5,F5733&lt;=2,G5733&gt;=3),"Berpotensi",IF(AND(E5733&lt;=3,E5733&gt;=2,F5733&gt;=3),"Rawan",IF(AND(E5733&lt;=2,F5733&lt;=2),"Tidur","Umum"))))))</f>
        <v/>
      </c>
    </row>
    <row r="5734">
      <c r="B5734">
        <f>IF(A5734="","",$B$1-MAXIFS(Donasi!$A$2:$A$20000,Donasi!$B$2:$B$20000,A5734))</f>
        <v/>
      </c>
      <c r="C5734">
        <f>IF(A5734="","",COUNTIF(Donasi!$B$2:$B$20000,A5734))</f>
        <v/>
      </c>
      <c r="D5734">
        <f>IF(A5734="","",SUMIF(Donasi!$B$2:$B$20000,A5734,Donasi!$C$2:$C$20000))</f>
        <v/>
      </c>
      <c r="E5734">
        <f>IF(A5734="","",6-CEILING(PERCENTRANK.INC($B$3:$B$6000,B5734,4)*5+0.000001,1))</f>
        <v/>
      </c>
      <c r="F5734">
        <f>IF(A5734="","",MAX(1,CEILING(PERCENTRANK.INC($C$3:$C$6000,C5734,4)*5+0.000001,1)))</f>
        <v/>
      </c>
      <c r="G5734">
        <f>IF(A5734="","",MAX(1,CEILING(PERCENTRANK.INC($D$3:$D$6000,D5734,4)*5+0.000001,1)))</f>
        <v/>
      </c>
      <c r="H5734">
        <f>IF(A5734="","",E5734&amp;F5734&amp;G5734)</f>
        <v/>
      </c>
      <c r="I5734">
        <f>IF(A5734="","",IF(AND(E5734&gt;=4,F5734&gt;=4,G5734&gt;=4),"Juara",IF(AND(F5734&gt;=4,E5734&gt;=3),"Setia",IF(AND(E5734=5,F5734&lt;=2,G5734&gt;=3),"Berpotensi",IF(AND(E5734&lt;=3,E5734&gt;=2,F5734&gt;=3),"Rawan",IF(AND(E5734&lt;=2,F5734&lt;=2),"Tidur","Umum"))))))</f>
        <v/>
      </c>
    </row>
    <row r="5735">
      <c r="B5735">
        <f>IF(A5735="","",$B$1-MAXIFS(Donasi!$A$2:$A$20000,Donasi!$B$2:$B$20000,A5735))</f>
        <v/>
      </c>
      <c r="C5735">
        <f>IF(A5735="","",COUNTIF(Donasi!$B$2:$B$20000,A5735))</f>
        <v/>
      </c>
      <c r="D5735">
        <f>IF(A5735="","",SUMIF(Donasi!$B$2:$B$20000,A5735,Donasi!$C$2:$C$20000))</f>
        <v/>
      </c>
      <c r="E5735">
        <f>IF(A5735="","",6-CEILING(PERCENTRANK.INC($B$3:$B$6000,B5735,4)*5+0.000001,1))</f>
        <v/>
      </c>
      <c r="F5735">
        <f>IF(A5735="","",MAX(1,CEILING(PERCENTRANK.INC($C$3:$C$6000,C5735,4)*5+0.000001,1)))</f>
        <v/>
      </c>
      <c r="G5735">
        <f>IF(A5735="","",MAX(1,CEILING(PERCENTRANK.INC($D$3:$D$6000,D5735,4)*5+0.000001,1)))</f>
        <v/>
      </c>
      <c r="H5735">
        <f>IF(A5735="","",E5735&amp;F5735&amp;G5735)</f>
        <v/>
      </c>
      <c r="I5735">
        <f>IF(A5735="","",IF(AND(E5735&gt;=4,F5735&gt;=4,G5735&gt;=4),"Juara",IF(AND(F5735&gt;=4,E5735&gt;=3),"Setia",IF(AND(E5735=5,F5735&lt;=2,G5735&gt;=3),"Berpotensi",IF(AND(E5735&lt;=3,E5735&gt;=2,F5735&gt;=3),"Rawan",IF(AND(E5735&lt;=2,F5735&lt;=2),"Tidur","Umum"))))))</f>
        <v/>
      </c>
    </row>
    <row r="5736">
      <c r="B5736">
        <f>IF(A5736="","",$B$1-MAXIFS(Donasi!$A$2:$A$20000,Donasi!$B$2:$B$20000,A5736))</f>
        <v/>
      </c>
      <c r="C5736">
        <f>IF(A5736="","",COUNTIF(Donasi!$B$2:$B$20000,A5736))</f>
        <v/>
      </c>
      <c r="D5736">
        <f>IF(A5736="","",SUMIF(Donasi!$B$2:$B$20000,A5736,Donasi!$C$2:$C$20000))</f>
        <v/>
      </c>
      <c r="E5736">
        <f>IF(A5736="","",6-CEILING(PERCENTRANK.INC($B$3:$B$6000,B5736,4)*5+0.000001,1))</f>
        <v/>
      </c>
      <c r="F5736">
        <f>IF(A5736="","",MAX(1,CEILING(PERCENTRANK.INC($C$3:$C$6000,C5736,4)*5+0.000001,1)))</f>
        <v/>
      </c>
      <c r="G5736">
        <f>IF(A5736="","",MAX(1,CEILING(PERCENTRANK.INC($D$3:$D$6000,D5736,4)*5+0.000001,1)))</f>
        <v/>
      </c>
      <c r="H5736">
        <f>IF(A5736="","",E5736&amp;F5736&amp;G5736)</f>
        <v/>
      </c>
      <c r="I5736">
        <f>IF(A5736="","",IF(AND(E5736&gt;=4,F5736&gt;=4,G5736&gt;=4),"Juara",IF(AND(F5736&gt;=4,E5736&gt;=3),"Setia",IF(AND(E5736=5,F5736&lt;=2,G5736&gt;=3),"Berpotensi",IF(AND(E5736&lt;=3,E5736&gt;=2,F5736&gt;=3),"Rawan",IF(AND(E5736&lt;=2,F5736&lt;=2),"Tidur","Umum"))))))</f>
        <v/>
      </c>
    </row>
    <row r="5737">
      <c r="B5737">
        <f>IF(A5737="","",$B$1-MAXIFS(Donasi!$A$2:$A$20000,Donasi!$B$2:$B$20000,A5737))</f>
        <v/>
      </c>
      <c r="C5737">
        <f>IF(A5737="","",COUNTIF(Donasi!$B$2:$B$20000,A5737))</f>
        <v/>
      </c>
      <c r="D5737">
        <f>IF(A5737="","",SUMIF(Donasi!$B$2:$B$20000,A5737,Donasi!$C$2:$C$20000))</f>
        <v/>
      </c>
      <c r="E5737">
        <f>IF(A5737="","",6-CEILING(PERCENTRANK.INC($B$3:$B$6000,B5737,4)*5+0.000001,1))</f>
        <v/>
      </c>
      <c r="F5737">
        <f>IF(A5737="","",MAX(1,CEILING(PERCENTRANK.INC($C$3:$C$6000,C5737,4)*5+0.000001,1)))</f>
        <v/>
      </c>
      <c r="G5737">
        <f>IF(A5737="","",MAX(1,CEILING(PERCENTRANK.INC($D$3:$D$6000,D5737,4)*5+0.000001,1)))</f>
        <v/>
      </c>
      <c r="H5737">
        <f>IF(A5737="","",E5737&amp;F5737&amp;G5737)</f>
        <v/>
      </c>
      <c r="I5737">
        <f>IF(A5737="","",IF(AND(E5737&gt;=4,F5737&gt;=4,G5737&gt;=4),"Juara",IF(AND(F5737&gt;=4,E5737&gt;=3),"Setia",IF(AND(E5737=5,F5737&lt;=2,G5737&gt;=3),"Berpotensi",IF(AND(E5737&lt;=3,E5737&gt;=2,F5737&gt;=3),"Rawan",IF(AND(E5737&lt;=2,F5737&lt;=2),"Tidur","Umum"))))))</f>
        <v/>
      </c>
    </row>
    <row r="5738">
      <c r="B5738">
        <f>IF(A5738="","",$B$1-MAXIFS(Donasi!$A$2:$A$20000,Donasi!$B$2:$B$20000,A5738))</f>
        <v/>
      </c>
      <c r="C5738">
        <f>IF(A5738="","",COUNTIF(Donasi!$B$2:$B$20000,A5738))</f>
        <v/>
      </c>
      <c r="D5738">
        <f>IF(A5738="","",SUMIF(Donasi!$B$2:$B$20000,A5738,Donasi!$C$2:$C$20000))</f>
        <v/>
      </c>
      <c r="E5738">
        <f>IF(A5738="","",6-CEILING(PERCENTRANK.INC($B$3:$B$6000,B5738,4)*5+0.000001,1))</f>
        <v/>
      </c>
      <c r="F5738">
        <f>IF(A5738="","",MAX(1,CEILING(PERCENTRANK.INC($C$3:$C$6000,C5738,4)*5+0.000001,1)))</f>
        <v/>
      </c>
      <c r="G5738">
        <f>IF(A5738="","",MAX(1,CEILING(PERCENTRANK.INC($D$3:$D$6000,D5738,4)*5+0.000001,1)))</f>
        <v/>
      </c>
      <c r="H5738">
        <f>IF(A5738="","",E5738&amp;F5738&amp;G5738)</f>
        <v/>
      </c>
      <c r="I5738">
        <f>IF(A5738="","",IF(AND(E5738&gt;=4,F5738&gt;=4,G5738&gt;=4),"Juara",IF(AND(F5738&gt;=4,E5738&gt;=3),"Setia",IF(AND(E5738=5,F5738&lt;=2,G5738&gt;=3),"Berpotensi",IF(AND(E5738&lt;=3,E5738&gt;=2,F5738&gt;=3),"Rawan",IF(AND(E5738&lt;=2,F5738&lt;=2),"Tidur","Umum"))))))</f>
        <v/>
      </c>
    </row>
    <row r="5739">
      <c r="B5739">
        <f>IF(A5739="","",$B$1-MAXIFS(Donasi!$A$2:$A$20000,Donasi!$B$2:$B$20000,A5739))</f>
        <v/>
      </c>
      <c r="C5739">
        <f>IF(A5739="","",COUNTIF(Donasi!$B$2:$B$20000,A5739))</f>
        <v/>
      </c>
      <c r="D5739">
        <f>IF(A5739="","",SUMIF(Donasi!$B$2:$B$20000,A5739,Donasi!$C$2:$C$20000))</f>
        <v/>
      </c>
      <c r="E5739">
        <f>IF(A5739="","",6-CEILING(PERCENTRANK.INC($B$3:$B$6000,B5739,4)*5+0.000001,1))</f>
        <v/>
      </c>
      <c r="F5739">
        <f>IF(A5739="","",MAX(1,CEILING(PERCENTRANK.INC($C$3:$C$6000,C5739,4)*5+0.000001,1)))</f>
        <v/>
      </c>
      <c r="G5739">
        <f>IF(A5739="","",MAX(1,CEILING(PERCENTRANK.INC($D$3:$D$6000,D5739,4)*5+0.000001,1)))</f>
        <v/>
      </c>
      <c r="H5739">
        <f>IF(A5739="","",E5739&amp;F5739&amp;G5739)</f>
        <v/>
      </c>
      <c r="I5739">
        <f>IF(A5739="","",IF(AND(E5739&gt;=4,F5739&gt;=4,G5739&gt;=4),"Juara",IF(AND(F5739&gt;=4,E5739&gt;=3),"Setia",IF(AND(E5739=5,F5739&lt;=2,G5739&gt;=3),"Berpotensi",IF(AND(E5739&lt;=3,E5739&gt;=2,F5739&gt;=3),"Rawan",IF(AND(E5739&lt;=2,F5739&lt;=2),"Tidur","Umum"))))))</f>
        <v/>
      </c>
    </row>
    <row r="5740">
      <c r="B5740">
        <f>IF(A5740="","",$B$1-MAXIFS(Donasi!$A$2:$A$20000,Donasi!$B$2:$B$20000,A5740))</f>
        <v/>
      </c>
      <c r="C5740">
        <f>IF(A5740="","",COUNTIF(Donasi!$B$2:$B$20000,A5740))</f>
        <v/>
      </c>
      <c r="D5740">
        <f>IF(A5740="","",SUMIF(Donasi!$B$2:$B$20000,A5740,Donasi!$C$2:$C$20000))</f>
        <v/>
      </c>
      <c r="E5740">
        <f>IF(A5740="","",6-CEILING(PERCENTRANK.INC($B$3:$B$6000,B5740,4)*5+0.000001,1))</f>
        <v/>
      </c>
      <c r="F5740">
        <f>IF(A5740="","",MAX(1,CEILING(PERCENTRANK.INC($C$3:$C$6000,C5740,4)*5+0.000001,1)))</f>
        <v/>
      </c>
      <c r="G5740">
        <f>IF(A5740="","",MAX(1,CEILING(PERCENTRANK.INC($D$3:$D$6000,D5740,4)*5+0.000001,1)))</f>
        <v/>
      </c>
      <c r="H5740">
        <f>IF(A5740="","",E5740&amp;F5740&amp;G5740)</f>
        <v/>
      </c>
      <c r="I5740">
        <f>IF(A5740="","",IF(AND(E5740&gt;=4,F5740&gt;=4,G5740&gt;=4),"Juara",IF(AND(F5740&gt;=4,E5740&gt;=3),"Setia",IF(AND(E5740=5,F5740&lt;=2,G5740&gt;=3),"Berpotensi",IF(AND(E5740&lt;=3,E5740&gt;=2,F5740&gt;=3),"Rawan",IF(AND(E5740&lt;=2,F5740&lt;=2),"Tidur","Umum"))))))</f>
        <v/>
      </c>
    </row>
    <row r="5741">
      <c r="B5741">
        <f>IF(A5741="","",$B$1-MAXIFS(Donasi!$A$2:$A$20000,Donasi!$B$2:$B$20000,A5741))</f>
        <v/>
      </c>
      <c r="C5741">
        <f>IF(A5741="","",COUNTIF(Donasi!$B$2:$B$20000,A5741))</f>
        <v/>
      </c>
      <c r="D5741">
        <f>IF(A5741="","",SUMIF(Donasi!$B$2:$B$20000,A5741,Donasi!$C$2:$C$20000))</f>
        <v/>
      </c>
      <c r="E5741">
        <f>IF(A5741="","",6-CEILING(PERCENTRANK.INC($B$3:$B$6000,B5741,4)*5+0.000001,1))</f>
        <v/>
      </c>
      <c r="F5741">
        <f>IF(A5741="","",MAX(1,CEILING(PERCENTRANK.INC($C$3:$C$6000,C5741,4)*5+0.000001,1)))</f>
        <v/>
      </c>
      <c r="G5741">
        <f>IF(A5741="","",MAX(1,CEILING(PERCENTRANK.INC($D$3:$D$6000,D5741,4)*5+0.000001,1)))</f>
        <v/>
      </c>
      <c r="H5741">
        <f>IF(A5741="","",E5741&amp;F5741&amp;G5741)</f>
        <v/>
      </c>
      <c r="I5741">
        <f>IF(A5741="","",IF(AND(E5741&gt;=4,F5741&gt;=4,G5741&gt;=4),"Juara",IF(AND(F5741&gt;=4,E5741&gt;=3),"Setia",IF(AND(E5741=5,F5741&lt;=2,G5741&gt;=3),"Berpotensi",IF(AND(E5741&lt;=3,E5741&gt;=2,F5741&gt;=3),"Rawan",IF(AND(E5741&lt;=2,F5741&lt;=2),"Tidur","Umum"))))))</f>
        <v/>
      </c>
    </row>
    <row r="5742">
      <c r="B5742">
        <f>IF(A5742="","",$B$1-MAXIFS(Donasi!$A$2:$A$20000,Donasi!$B$2:$B$20000,A5742))</f>
        <v/>
      </c>
      <c r="C5742">
        <f>IF(A5742="","",COUNTIF(Donasi!$B$2:$B$20000,A5742))</f>
        <v/>
      </c>
      <c r="D5742">
        <f>IF(A5742="","",SUMIF(Donasi!$B$2:$B$20000,A5742,Donasi!$C$2:$C$20000))</f>
        <v/>
      </c>
      <c r="E5742">
        <f>IF(A5742="","",6-CEILING(PERCENTRANK.INC($B$3:$B$6000,B5742,4)*5+0.000001,1))</f>
        <v/>
      </c>
      <c r="F5742">
        <f>IF(A5742="","",MAX(1,CEILING(PERCENTRANK.INC($C$3:$C$6000,C5742,4)*5+0.000001,1)))</f>
        <v/>
      </c>
      <c r="G5742">
        <f>IF(A5742="","",MAX(1,CEILING(PERCENTRANK.INC($D$3:$D$6000,D5742,4)*5+0.000001,1)))</f>
        <v/>
      </c>
      <c r="H5742">
        <f>IF(A5742="","",E5742&amp;F5742&amp;G5742)</f>
        <v/>
      </c>
      <c r="I5742">
        <f>IF(A5742="","",IF(AND(E5742&gt;=4,F5742&gt;=4,G5742&gt;=4),"Juara",IF(AND(F5742&gt;=4,E5742&gt;=3),"Setia",IF(AND(E5742=5,F5742&lt;=2,G5742&gt;=3),"Berpotensi",IF(AND(E5742&lt;=3,E5742&gt;=2,F5742&gt;=3),"Rawan",IF(AND(E5742&lt;=2,F5742&lt;=2),"Tidur","Umum"))))))</f>
        <v/>
      </c>
    </row>
    <row r="5743">
      <c r="B5743">
        <f>IF(A5743="","",$B$1-MAXIFS(Donasi!$A$2:$A$20000,Donasi!$B$2:$B$20000,A5743))</f>
        <v/>
      </c>
      <c r="C5743">
        <f>IF(A5743="","",COUNTIF(Donasi!$B$2:$B$20000,A5743))</f>
        <v/>
      </c>
      <c r="D5743">
        <f>IF(A5743="","",SUMIF(Donasi!$B$2:$B$20000,A5743,Donasi!$C$2:$C$20000))</f>
        <v/>
      </c>
      <c r="E5743">
        <f>IF(A5743="","",6-CEILING(PERCENTRANK.INC($B$3:$B$6000,B5743,4)*5+0.000001,1))</f>
        <v/>
      </c>
      <c r="F5743">
        <f>IF(A5743="","",MAX(1,CEILING(PERCENTRANK.INC($C$3:$C$6000,C5743,4)*5+0.000001,1)))</f>
        <v/>
      </c>
      <c r="G5743">
        <f>IF(A5743="","",MAX(1,CEILING(PERCENTRANK.INC($D$3:$D$6000,D5743,4)*5+0.000001,1)))</f>
        <v/>
      </c>
      <c r="H5743">
        <f>IF(A5743="","",E5743&amp;F5743&amp;G5743)</f>
        <v/>
      </c>
      <c r="I5743">
        <f>IF(A5743="","",IF(AND(E5743&gt;=4,F5743&gt;=4,G5743&gt;=4),"Juara",IF(AND(F5743&gt;=4,E5743&gt;=3),"Setia",IF(AND(E5743=5,F5743&lt;=2,G5743&gt;=3),"Berpotensi",IF(AND(E5743&lt;=3,E5743&gt;=2,F5743&gt;=3),"Rawan",IF(AND(E5743&lt;=2,F5743&lt;=2),"Tidur","Umum"))))))</f>
        <v/>
      </c>
    </row>
    <row r="5744">
      <c r="B5744">
        <f>IF(A5744="","",$B$1-MAXIFS(Donasi!$A$2:$A$20000,Donasi!$B$2:$B$20000,A5744))</f>
        <v/>
      </c>
      <c r="C5744">
        <f>IF(A5744="","",COUNTIF(Donasi!$B$2:$B$20000,A5744))</f>
        <v/>
      </c>
      <c r="D5744">
        <f>IF(A5744="","",SUMIF(Donasi!$B$2:$B$20000,A5744,Donasi!$C$2:$C$20000))</f>
        <v/>
      </c>
      <c r="E5744">
        <f>IF(A5744="","",6-CEILING(PERCENTRANK.INC($B$3:$B$6000,B5744,4)*5+0.000001,1))</f>
        <v/>
      </c>
      <c r="F5744">
        <f>IF(A5744="","",MAX(1,CEILING(PERCENTRANK.INC($C$3:$C$6000,C5744,4)*5+0.000001,1)))</f>
        <v/>
      </c>
      <c r="G5744">
        <f>IF(A5744="","",MAX(1,CEILING(PERCENTRANK.INC($D$3:$D$6000,D5744,4)*5+0.000001,1)))</f>
        <v/>
      </c>
      <c r="H5744">
        <f>IF(A5744="","",E5744&amp;F5744&amp;G5744)</f>
        <v/>
      </c>
      <c r="I5744">
        <f>IF(A5744="","",IF(AND(E5744&gt;=4,F5744&gt;=4,G5744&gt;=4),"Juara",IF(AND(F5744&gt;=4,E5744&gt;=3),"Setia",IF(AND(E5744=5,F5744&lt;=2,G5744&gt;=3),"Berpotensi",IF(AND(E5744&lt;=3,E5744&gt;=2,F5744&gt;=3),"Rawan",IF(AND(E5744&lt;=2,F5744&lt;=2),"Tidur","Umum"))))))</f>
        <v/>
      </c>
    </row>
    <row r="5745">
      <c r="B5745">
        <f>IF(A5745="","",$B$1-MAXIFS(Donasi!$A$2:$A$20000,Donasi!$B$2:$B$20000,A5745))</f>
        <v/>
      </c>
      <c r="C5745">
        <f>IF(A5745="","",COUNTIF(Donasi!$B$2:$B$20000,A5745))</f>
        <v/>
      </c>
      <c r="D5745">
        <f>IF(A5745="","",SUMIF(Donasi!$B$2:$B$20000,A5745,Donasi!$C$2:$C$20000))</f>
        <v/>
      </c>
      <c r="E5745">
        <f>IF(A5745="","",6-CEILING(PERCENTRANK.INC($B$3:$B$6000,B5745,4)*5+0.000001,1))</f>
        <v/>
      </c>
      <c r="F5745">
        <f>IF(A5745="","",MAX(1,CEILING(PERCENTRANK.INC($C$3:$C$6000,C5745,4)*5+0.000001,1)))</f>
        <v/>
      </c>
      <c r="G5745">
        <f>IF(A5745="","",MAX(1,CEILING(PERCENTRANK.INC($D$3:$D$6000,D5745,4)*5+0.000001,1)))</f>
        <v/>
      </c>
      <c r="H5745">
        <f>IF(A5745="","",E5745&amp;F5745&amp;G5745)</f>
        <v/>
      </c>
      <c r="I5745">
        <f>IF(A5745="","",IF(AND(E5745&gt;=4,F5745&gt;=4,G5745&gt;=4),"Juara",IF(AND(F5745&gt;=4,E5745&gt;=3),"Setia",IF(AND(E5745=5,F5745&lt;=2,G5745&gt;=3),"Berpotensi",IF(AND(E5745&lt;=3,E5745&gt;=2,F5745&gt;=3),"Rawan",IF(AND(E5745&lt;=2,F5745&lt;=2),"Tidur","Umum"))))))</f>
        <v/>
      </c>
    </row>
    <row r="5746">
      <c r="B5746">
        <f>IF(A5746="","",$B$1-MAXIFS(Donasi!$A$2:$A$20000,Donasi!$B$2:$B$20000,A5746))</f>
        <v/>
      </c>
      <c r="C5746">
        <f>IF(A5746="","",COUNTIF(Donasi!$B$2:$B$20000,A5746))</f>
        <v/>
      </c>
      <c r="D5746">
        <f>IF(A5746="","",SUMIF(Donasi!$B$2:$B$20000,A5746,Donasi!$C$2:$C$20000))</f>
        <v/>
      </c>
      <c r="E5746">
        <f>IF(A5746="","",6-CEILING(PERCENTRANK.INC($B$3:$B$6000,B5746,4)*5+0.000001,1))</f>
        <v/>
      </c>
      <c r="F5746">
        <f>IF(A5746="","",MAX(1,CEILING(PERCENTRANK.INC($C$3:$C$6000,C5746,4)*5+0.000001,1)))</f>
        <v/>
      </c>
      <c r="G5746">
        <f>IF(A5746="","",MAX(1,CEILING(PERCENTRANK.INC($D$3:$D$6000,D5746,4)*5+0.000001,1)))</f>
        <v/>
      </c>
      <c r="H5746">
        <f>IF(A5746="","",E5746&amp;F5746&amp;G5746)</f>
        <v/>
      </c>
      <c r="I5746">
        <f>IF(A5746="","",IF(AND(E5746&gt;=4,F5746&gt;=4,G5746&gt;=4),"Juara",IF(AND(F5746&gt;=4,E5746&gt;=3),"Setia",IF(AND(E5746=5,F5746&lt;=2,G5746&gt;=3),"Berpotensi",IF(AND(E5746&lt;=3,E5746&gt;=2,F5746&gt;=3),"Rawan",IF(AND(E5746&lt;=2,F5746&lt;=2),"Tidur","Umum"))))))</f>
        <v/>
      </c>
    </row>
    <row r="5747">
      <c r="B5747">
        <f>IF(A5747="","",$B$1-MAXIFS(Donasi!$A$2:$A$20000,Donasi!$B$2:$B$20000,A5747))</f>
        <v/>
      </c>
      <c r="C5747">
        <f>IF(A5747="","",COUNTIF(Donasi!$B$2:$B$20000,A5747))</f>
        <v/>
      </c>
      <c r="D5747">
        <f>IF(A5747="","",SUMIF(Donasi!$B$2:$B$20000,A5747,Donasi!$C$2:$C$20000))</f>
        <v/>
      </c>
      <c r="E5747">
        <f>IF(A5747="","",6-CEILING(PERCENTRANK.INC($B$3:$B$6000,B5747,4)*5+0.000001,1))</f>
        <v/>
      </c>
      <c r="F5747">
        <f>IF(A5747="","",MAX(1,CEILING(PERCENTRANK.INC($C$3:$C$6000,C5747,4)*5+0.000001,1)))</f>
        <v/>
      </c>
      <c r="G5747">
        <f>IF(A5747="","",MAX(1,CEILING(PERCENTRANK.INC($D$3:$D$6000,D5747,4)*5+0.000001,1)))</f>
        <v/>
      </c>
      <c r="H5747">
        <f>IF(A5747="","",E5747&amp;F5747&amp;G5747)</f>
        <v/>
      </c>
      <c r="I5747">
        <f>IF(A5747="","",IF(AND(E5747&gt;=4,F5747&gt;=4,G5747&gt;=4),"Juara",IF(AND(F5747&gt;=4,E5747&gt;=3),"Setia",IF(AND(E5747=5,F5747&lt;=2,G5747&gt;=3),"Berpotensi",IF(AND(E5747&lt;=3,E5747&gt;=2,F5747&gt;=3),"Rawan",IF(AND(E5747&lt;=2,F5747&lt;=2),"Tidur","Umum"))))))</f>
        <v/>
      </c>
    </row>
    <row r="5748">
      <c r="B5748">
        <f>IF(A5748="","",$B$1-MAXIFS(Donasi!$A$2:$A$20000,Donasi!$B$2:$B$20000,A5748))</f>
        <v/>
      </c>
      <c r="C5748">
        <f>IF(A5748="","",COUNTIF(Donasi!$B$2:$B$20000,A5748))</f>
        <v/>
      </c>
      <c r="D5748">
        <f>IF(A5748="","",SUMIF(Donasi!$B$2:$B$20000,A5748,Donasi!$C$2:$C$20000))</f>
        <v/>
      </c>
      <c r="E5748">
        <f>IF(A5748="","",6-CEILING(PERCENTRANK.INC($B$3:$B$6000,B5748,4)*5+0.000001,1))</f>
        <v/>
      </c>
      <c r="F5748">
        <f>IF(A5748="","",MAX(1,CEILING(PERCENTRANK.INC($C$3:$C$6000,C5748,4)*5+0.000001,1)))</f>
        <v/>
      </c>
      <c r="G5748">
        <f>IF(A5748="","",MAX(1,CEILING(PERCENTRANK.INC($D$3:$D$6000,D5748,4)*5+0.000001,1)))</f>
        <v/>
      </c>
      <c r="H5748">
        <f>IF(A5748="","",E5748&amp;F5748&amp;G5748)</f>
        <v/>
      </c>
      <c r="I5748">
        <f>IF(A5748="","",IF(AND(E5748&gt;=4,F5748&gt;=4,G5748&gt;=4),"Juara",IF(AND(F5748&gt;=4,E5748&gt;=3),"Setia",IF(AND(E5748=5,F5748&lt;=2,G5748&gt;=3),"Berpotensi",IF(AND(E5748&lt;=3,E5748&gt;=2,F5748&gt;=3),"Rawan",IF(AND(E5748&lt;=2,F5748&lt;=2),"Tidur","Umum"))))))</f>
        <v/>
      </c>
    </row>
    <row r="5749">
      <c r="B5749">
        <f>IF(A5749="","",$B$1-MAXIFS(Donasi!$A$2:$A$20000,Donasi!$B$2:$B$20000,A5749))</f>
        <v/>
      </c>
      <c r="C5749">
        <f>IF(A5749="","",COUNTIF(Donasi!$B$2:$B$20000,A5749))</f>
        <v/>
      </c>
      <c r="D5749">
        <f>IF(A5749="","",SUMIF(Donasi!$B$2:$B$20000,A5749,Donasi!$C$2:$C$20000))</f>
        <v/>
      </c>
      <c r="E5749">
        <f>IF(A5749="","",6-CEILING(PERCENTRANK.INC($B$3:$B$6000,B5749,4)*5+0.000001,1))</f>
        <v/>
      </c>
      <c r="F5749">
        <f>IF(A5749="","",MAX(1,CEILING(PERCENTRANK.INC($C$3:$C$6000,C5749,4)*5+0.000001,1)))</f>
        <v/>
      </c>
      <c r="G5749">
        <f>IF(A5749="","",MAX(1,CEILING(PERCENTRANK.INC($D$3:$D$6000,D5749,4)*5+0.000001,1)))</f>
        <v/>
      </c>
      <c r="H5749">
        <f>IF(A5749="","",E5749&amp;F5749&amp;G5749)</f>
        <v/>
      </c>
      <c r="I5749">
        <f>IF(A5749="","",IF(AND(E5749&gt;=4,F5749&gt;=4,G5749&gt;=4),"Juara",IF(AND(F5749&gt;=4,E5749&gt;=3),"Setia",IF(AND(E5749=5,F5749&lt;=2,G5749&gt;=3),"Berpotensi",IF(AND(E5749&lt;=3,E5749&gt;=2,F5749&gt;=3),"Rawan",IF(AND(E5749&lt;=2,F5749&lt;=2),"Tidur","Umum"))))))</f>
        <v/>
      </c>
    </row>
    <row r="5750">
      <c r="B5750">
        <f>IF(A5750="","",$B$1-MAXIFS(Donasi!$A$2:$A$20000,Donasi!$B$2:$B$20000,A5750))</f>
        <v/>
      </c>
      <c r="C5750">
        <f>IF(A5750="","",COUNTIF(Donasi!$B$2:$B$20000,A5750))</f>
        <v/>
      </c>
      <c r="D5750">
        <f>IF(A5750="","",SUMIF(Donasi!$B$2:$B$20000,A5750,Donasi!$C$2:$C$20000))</f>
        <v/>
      </c>
      <c r="E5750">
        <f>IF(A5750="","",6-CEILING(PERCENTRANK.INC($B$3:$B$6000,B5750,4)*5+0.000001,1))</f>
        <v/>
      </c>
      <c r="F5750">
        <f>IF(A5750="","",MAX(1,CEILING(PERCENTRANK.INC($C$3:$C$6000,C5750,4)*5+0.000001,1)))</f>
        <v/>
      </c>
      <c r="G5750">
        <f>IF(A5750="","",MAX(1,CEILING(PERCENTRANK.INC($D$3:$D$6000,D5750,4)*5+0.000001,1)))</f>
        <v/>
      </c>
      <c r="H5750">
        <f>IF(A5750="","",E5750&amp;F5750&amp;G5750)</f>
        <v/>
      </c>
      <c r="I5750">
        <f>IF(A5750="","",IF(AND(E5750&gt;=4,F5750&gt;=4,G5750&gt;=4),"Juara",IF(AND(F5750&gt;=4,E5750&gt;=3),"Setia",IF(AND(E5750=5,F5750&lt;=2,G5750&gt;=3),"Berpotensi",IF(AND(E5750&lt;=3,E5750&gt;=2,F5750&gt;=3),"Rawan",IF(AND(E5750&lt;=2,F5750&lt;=2),"Tidur","Umum"))))))</f>
        <v/>
      </c>
    </row>
    <row r="5751">
      <c r="B5751">
        <f>IF(A5751="","",$B$1-MAXIFS(Donasi!$A$2:$A$20000,Donasi!$B$2:$B$20000,A5751))</f>
        <v/>
      </c>
      <c r="C5751">
        <f>IF(A5751="","",COUNTIF(Donasi!$B$2:$B$20000,A5751))</f>
        <v/>
      </c>
      <c r="D5751">
        <f>IF(A5751="","",SUMIF(Donasi!$B$2:$B$20000,A5751,Donasi!$C$2:$C$20000))</f>
        <v/>
      </c>
      <c r="E5751">
        <f>IF(A5751="","",6-CEILING(PERCENTRANK.INC($B$3:$B$6000,B5751,4)*5+0.000001,1))</f>
        <v/>
      </c>
      <c r="F5751">
        <f>IF(A5751="","",MAX(1,CEILING(PERCENTRANK.INC($C$3:$C$6000,C5751,4)*5+0.000001,1)))</f>
        <v/>
      </c>
      <c r="G5751">
        <f>IF(A5751="","",MAX(1,CEILING(PERCENTRANK.INC($D$3:$D$6000,D5751,4)*5+0.000001,1)))</f>
        <v/>
      </c>
      <c r="H5751">
        <f>IF(A5751="","",E5751&amp;F5751&amp;G5751)</f>
        <v/>
      </c>
      <c r="I5751">
        <f>IF(A5751="","",IF(AND(E5751&gt;=4,F5751&gt;=4,G5751&gt;=4),"Juara",IF(AND(F5751&gt;=4,E5751&gt;=3),"Setia",IF(AND(E5751=5,F5751&lt;=2,G5751&gt;=3),"Berpotensi",IF(AND(E5751&lt;=3,E5751&gt;=2,F5751&gt;=3),"Rawan",IF(AND(E5751&lt;=2,F5751&lt;=2),"Tidur","Umum"))))))</f>
        <v/>
      </c>
    </row>
    <row r="5752">
      <c r="B5752">
        <f>IF(A5752="","",$B$1-MAXIFS(Donasi!$A$2:$A$20000,Donasi!$B$2:$B$20000,A5752))</f>
        <v/>
      </c>
      <c r="C5752">
        <f>IF(A5752="","",COUNTIF(Donasi!$B$2:$B$20000,A5752))</f>
        <v/>
      </c>
      <c r="D5752">
        <f>IF(A5752="","",SUMIF(Donasi!$B$2:$B$20000,A5752,Donasi!$C$2:$C$20000))</f>
        <v/>
      </c>
      <c r="E5752">
        <f>IF(A5752="","",6-CEILING(PERCENTRANK.INC($B$3:$B$6000,B5752,4)*5+0.000001,1))</f>
        <v/>
      </c>
      <c r="F5752">
        <f>IF(A5752="","",MAX(1,CEILING(PERCENTRANK.INC($C$3:$C$6000,C5752,4)*5+0.000001,1)))</f>
        <v/>
      </c>
      <c r="G5752">
        <f>IF(A5752="","",MAX(1,CEILING(PERCENTRANK.INC($D$3:$D$6000,D5752,4)*5+0.000001,1)))</f>
        <v/>
      </c>
      <c r="H5752">
        <f>IF(A5752="","",E5752&amp;F5752&amp;G5752)</f>
        <v/>
      </c>
      <c r="I5752">
        <f>IF(A5752="","",IF(AND(E5752&gt;=4,F5752&gt;=4,G5752&gt;=4),"Juara",IF(AND(F5752&gt;=4,E5752&gt;=3),"Setia",IF(AND(E5752=5,F5752&lt;=2,G5752&gt;=3),"Berpotensi",IF(AND(E5752&lt;=3,E5752&gt;=2,F5752&gt;=3),"Rawan",IF(AND(E5752&lt;=2,F5752&lt;=2),"Tidur","Umum"))))))</f>
        <v/>
      </c>
    </row>
    <row r="5753">
      <c r="B5753">
        <f>IF(A5753="","",$B$1-MAXIFS(Donasi!$A$2:$A$20000,Donasi!$B$2:$B$20000,A5753))</f>
        <v/>
      </c>
      <c r="C5753">
        <f>IF(A5753="","",COUNTIF(Donasi!$B$2:$B$20000,A5753))</f>
        <v/>
      </c>
      <c r="D5753">
        <f>IF(A5753="","",SUMIF(Donasi!$B$2:$B$20000,A5753,Donasi!$C$2:$C$20000))</f>
        <v/>
      </c>
      <c r="E5753">
        <f>IF(A5753="","",6-CEILING(PERCENTRANK.INC($B$3:$B$6000,B5753,4)*5+0.000001,1))</f>
        <v/>
      </c>
      <c r="F5753">
        <f>IF(A5753="","",MAX(1,CEILING(PERCENTRANK.INC($C$3:$C$6000,C5753,4)*5+0.000001,1)))</f>
        <v/>
      </c>
      <c r="G5753">
        <f>IF(A5753="","",MAX(1,CEILING(PERCENTRANK.INC($D$3:$D$6000,D5753,4)*5+0.000001,1)))</f>
        <v/>
      </c>
      <c r="H5753">
        <f>IF(A5753="","",E5753&amp;F5753&amp;G5753)</f>
        <v/>
      </c>
      <c r="I5753">
        <f>IF(A5753="","",IF(AND(E5753&gt;=4,F5753&gt;=4,G5753&gt;=4),"Juara",IF(AND(F5753&gt;=4,E5753&gt;=3),"Setia",IF(AND(E5753=5,F5753&lt;=2,G5753&gt;=3),"Berpotensi",IF(AND(E5753&lt;=3,E5753&gt;=2,F5753&gt;=3),"Rawan",IF(AND(E5753&lt;=2,F5753&lt;=2),"Tidur","Umum"))))))</f>
        <v/>
      </c>
    </row>
    <row r="5754">
      <c r="B5754">
        <f>IF(A5754="","",$B$1-MAXIFS(Donasi!$A$2:$A$20000,Donasi!$B$2:$B$20000,A5754))</f>
        <v/>
      </c>
      <c r="C5754">
        <f>IF(A5754="","",COUNTIF(Donasi!$B$2:$B$20000,A5754))</f>
        <v/>
      </c>
      <c r="D5754">
        <f>IF(A5754="","",SUMIF(Donasi!$B$2:$B$20000,A5754,Donasi!$C$2:$C$20000))</f>
        <v/>
      </c>
      <c r="E5754">
        <f>IF(A5754="","",6-CEILING(PERCENTRANK.INC($B$3:$B$6000,B5754,4)*5+0.000001,1))</f>
        <v/>
      </c>
      <c r="F5754">
        <f>IF(A5754="","",MAX(1,CEILING(PERCENTRANK.INC($C$3:$C$6000,C5754,4)*5+0.000001,1)))</f>
        <v/>
      </c>
      <c r="G5754">
        <f>IF(A5754="","",MAX(1,CEILING(PERCENTRANK.INC($D$3:$D$6000,D5754,4)*5+0.000001,1)))</f>
        <v/>
      </c>
      <c r="H5754">
        <f>IF(A5754="","",E5754&amp;F5754&amp;G5754)</f>
        <v/>
      </c>
      <c r="I5754">
        <f>IF(A5754="","",IF(AND(E5754&gt;=4,F5754&gt;=4,G5754&gt;=4),"Juara",IF(AND(F5754&gt;=4,E5754&gt;=3),"Setia",IF(AND(E5754=5,F5754&lt;=2,G5754&gt;=3),"Berpotensi",IF(AND(E5754&lt;=3,E5754&gt;=2,F5754&gt;=3),"Rawan",IF(AND(E5754&lt;=2,F5754&lt;=2),"Tidur","Umum"))))))</f>
        <v/>
      </c>
    </row>
    <row r="5755">
      <c r="B5755">
        <f>IF(A5755="","",$B$1-MAXIFS(Donasi!$A$2:$A$20000,Donasi!$B$2:$B$20000,A5755))</f>
        <v/>
      </c>
      <c r="C5755">
        <f>IF(A5755="","",COUNTIF(Donasi!$B$2:$B$20000,A5755))</f>
        <v/>
      </c>
      <c r="D5755">
        <f>IF(A5755="","",SUMIF(Donasi!$B$2:$B$20000,A5755,Donasi!$C$2:$C$20000))</f>
        <v/>
      </c>
      <c r="E5755">
        <f>IF(A5755="","",6-CEILING(PERCENTRANK.INC($B$3:$B$6000,B5755,4)*5+0.000001,1))</f>
        <v/>
      </c>
      <c r="F5755">
        <f>IF(A5755="","",MAX(1,CEILING(PERCENTRANK.INC($C$3:$C$6000,C5755,4)*5+0.000001,1)))</f>
        <v/>
      </c>
      <c r="G5755">
        <f>IF(A5755="","",MAX(1,CEILING(PERCENTRANK.INC($D$3:$D$6000,D5755,4)*5+0.000001,1)))</f>
        <v/>
      </c>
      <c r="H5755">
        <f>IF(A5755="","",E5755&amp;F5755&amp;G5755)</f>
        <v/>
      </c>
      <c r="I5755">
        <f>IF(A5755="","",IF(AND(E5755&gt;=4,F5755&gt;=4,G5755&gt;=4),"Juara",IF(AND(F5755&gt;=4,E5755&gt;=3),"Setia",IF(AND(E5755=5,F5755&lt;=2,G5755&gt;=3),"Berpotensi",IF(AND(E5755&lt;=3,E5755&gt;=2,F5755&gt;=3),"Rawan",IF(AND(E5755&lt;=2,F5755&lt;=2),"Tidur","Umum"))))))</f>
        <v/>
      </c>
    </row>
    <row r="5756">
      <c r="B5756">
        <f>IF(A5756="","",$B$1-MAXIFS(Donasi!$A$2:$A$20000,Donasi!$B$2:$B$20000,A5756))</f>
        <v/>
      </c>
      <c r="C5756">
        <f>IF(A5756="","",COUNTIF(Donasi!$B$2:$B$20000,A5756))</f>
        <v/>
      </c>
      <c r="D5756">
        <f>IF(A5756="","",SUMIF(Donasi!$B$2:$B$20000,A5756,Donasi!$C$2:$C$20000))</f>
        <v/>
      </c>
      <c r="E5756">
        <f>IF(A5756="","",6-CEILING(PERCENTRANK.INC($B$3:$B$6000,B5756,4)*5+0.000001,1))</f>
        <v/>
      </c>
      <c r="F5756">
        <f>IF(A5756="","",MAX(1,CEILING(PERCENTRANK.INC($C$3:$C$6000,C5756,4)*5+0.000001,1)))</f>
        <v/>
      </c>
      <c r="G5756">
        <f>IF(A5756="","",MAX(1,CEILING(PERCENTRANK.INC($D$3:$D$6000,D5756,4)*5+0.000001,1)))</f>
        <v/>
      </c>
      <c r="H5756">
        <f>IF(A5756="","",E5756&amp;F5756&amp;G5756)</f>
        <v/>
      </c>
      <c r="I5756">
        <f>IF(A5756="","",IF(AND(E5756&gt;=4,F5756&gt;=4,G5756&gt;=4),"Juara",IF(AND(F5756&gt;=4,E5756&gt;=3),"Setia",IF(AND(E5756=5,F5756&lt;=2,G5756&gt;=3),"Berpotensi",IF(AND(E5756&lt;=3,E5756&gt;=2,F5756&gt;=3),"Rawan",IF(AND(E5756&lt;=2,F5756&lt;=2),"Tidur","Umum"))))))</f>
        <v/>
      </c>
    </row>
    <row r="5757">
      <c r="B5757">
        <f>IF(A5757="","",$B$1-MAXIFS(Donasi!$A$2:$A$20000,Donasi!$B$2:$B$20000,A5757))</f>
        <v/>
      </c>
      <c r="C5757">
        <f>IF(A5757="","",COUNTIF(Donasi!$B$2:$B$20000,A5757))</f>
        <v/>
      </c>
      <c r="D5757">
        <f>IF(A5757="","",SUMIF(Donasi!$B$2:$B$20000,A5757,Donasi!$C$2:$C$20000))</f>
        <v/>
      </c>
      <c r="E5757">
        <f>IF(A5757="","",6-CEILING(PERCENTRANK.INC($B$3:$B$6000,B5757,4)*5+0.000001,1))</f>
        <v/>
      </c>
      <c r="F5757">
        <f>IF(A5757="","",MAX(1,CEILING(PERCENTRANK.INC($C$3:$C$6000,C5757,4)*5+0.000001,1)))</f>
        <v/>
      </c>
      <c r="G5757">
        <f>IF(A5757="","",MAX(1,CEILING(PERCENTRANK.INC($D$3:$D$6000,D5757,4)*5+0.000001,1)))</f>
        <v/>
      </c>
      <c r="H5757">
        <f>IF(A5757="","",E5757&amp;F5757&amp;G5757)</f>
        <v/>
      </c>
      <c r="I5757">
        <f>IF(A5757="","",IF(AND(E5757&gt;=4,F5757&gt;=4,G5757&gt;=4),"Juara",IF(AND(F5757&gt;=4,E5757&gt;=3),"Setia",IF(AND(E5757=5,F5757&lt;=2,G5757&gt;=3),"Berpotensi",IF(AND(E5757&lt;=3,E5757&gt;=2,F5757&gt;=3),"Rawan",IF(AND(E5757&lt;=2,F5757&lt;=2),"Tidur","Umum"))))))</f>
        <v/>
      </c>
    </row>
    <row r="5758">
      <c r="B5758">
        <f>IF(A5758="","",$B$1-MAXIFS(Donasi!$A$2:$A$20000,Donasi!$B$2:$B$20000,A5758))</f>
        <v/>
      </c>
      <c r="C5758">
        <f>IF(A5758="","",COUNTIF(Donasi!$B$2:$B$20000,A5758))</f>
        <v/>
      </c>
      <c r="D5758">
        <f>IF(A5758="","",SUMIF(Donasi!$B$2:$B$20000,A5758,Donasi!$C$2:$C$20000))</f>
        <v/>
      </c>
      <c r="E5758">
        <f>IF(A5758="","",6-CEILING(PERCENTRANK.INC($B$3:$B$6000,B5758,4)*5+0.000001,1))</f>
        <v/>
      </c>
      <c r="F5758">
        <f>IF(A5758="","",MAX(1,CEILING(PERCENTRANK.INC($C$3:$C$6000,C5758,4)*5+0.000001,1)))</f>
        <v/>
      </c>
      <c r="G5758">
        <f>IF(A5758="","",MAX(1,CEILING(PERCENTRANK.INC($D$3:$D$6000,D5758,4)*5+0.000001,1)))</f>
        <v/>
      </c>
      <c r="H5758">
        <f>IF(A5758="","",E5758&amp;F5758&amp;G5758)</f>
        <v/>
      </c>
      <c r="I5758">
        <f>IF(A5758="","",IF(AND(E5758&gt;=4,F5758&gt;=4,G5758&gt;=4),"Juara",IF(AND(F5758&gt;=4,E5758&gt;=3),"Setia",IF(AND(E5758=5,F5758&lt;=2,G5758&gt;=3),"Berpotensi",IF(AND(E5758&lt;=3,E5758&gt;=2,F5758&gt;=3),"Rawan",IF(AND(E5758&lt;=2,F5758&lt;=2),"Tidur","Umum"))))))</f>
        <v/>
      </c>
    </row>
    <row r="5759">
      <c r="B5759">
        <f>IF(A5759="","",$B$1-MAXIFS(Donasi!$A$2:$A$20000,Donasi!$B$2:$B$20000,A5759))</f>
        <v/>
      </c>
      <c r="C5759">
        <f>IF(A5759="","",COUNTIF(Donasi!$B$2:$B$20000,A5759))</f>
        <v/>
      </c>
      <c r="D5759">
        <f>IF(A5759="","",SUMIF(Donasi!$B$2:$B$20000,A5759,Donasi!$C$2:$C$20000))</f>
        <v/>
      </c>
      <c r="E5759">
        <f>IF(A5759="","",6-CEILING(PERCENTRANK.INC($B$3:$B$6000,B5759,4)*5+0.000001,1))</f>
        <v/>
      </c>
      <c r="F5759">
        <f>IF(A5759="","",MAX(1,CEILING(PERCENTRANK.INC($C$3:$C$6000,C5759,4)*5+0.000001,1)))</f>
        <v/>
      </c>
      <c r="G5759">
        <f>IF(A5759="","",MAX(1,CEILING(PERCENTRANK.INC($D$3:$D$6000,D5759,4)*5+0.000001,1)))</f>
        <v/>
      </c>
      <c r="H5759">
        <f>IF(A5759="","",E5759&amp;F5759&amp;G5759)</f>
        <v/>
      </c>
      <c r="I5759">
        <f>IF(A5759="","",IF(AND(E5759&gt;=4,F5759&gt;=4,G5759&gt;=4),"Juara",IF(AND(F5759&gt;=4,E5759&gt;=3),"Setia",IF(AND(E5759=5,F5759&lt;=2,G5759&gt;=3),"Berpotensi",IF(AND(E5759&lt;=3,E5759&gt;=2,F5759&gt;=3),"Rawan",IF(AND(E5759&lt;=2,F5759&lt;=2),"Tidur","Umum"))))))</f>
        <v/>
      </c>
    </row>
    <row r="5760">
      <c r="B5760">
        <f>IF(A5760="","",$B$1-MAXIFS(Donasi!$A$2:$A$20000,Donasi!$B$2:$B$20000,A5760))</f>
        <v/>
      </c>
      <c r="C5760">
        <f>IF(A5760="","",COUNTIF(Donasi!$B$2:$B$20000,A5760))</f>
        <v/>
      </c>
      <c r="D5760">
        <f>IF(A5760="","",SUMIF(Donasi!$B$2:$B$20000,A5760,Donasi!$C$2:$C$20000))</f>
        <v/>
      </c>
      <c r="E5760">
        <f>IF(A5760="","",6-CEILING(PERCENTRANK.INC($B$3:$B$6000,B5760,4)*5+0.000001,1))</f>
        <v/>
      </c>
      <c r="F5760">
        <f>IF(A5760="","",MAX(1,CEILING(PERCENTRANK.INC($C$3:$C$6000,C5760,4)*5+0.000001,1)))</f>
        <v/>
      </c>
      <c r="G5760">
        <f>IF(A5760="","",MAX(1,CEILING(PERCENTRANK.INC($D$3:$D$6000,D5760,4)*5+0.000001,1)))</f>
        <v/>
      </c>
      <c r="H5760">
        <f>IF(A5760="","",E5760&amp;F5760&amp;G5760)</f>
        <v/>
      </c>
      <c r="I5760">
        <f>IF(A5760="","",IF(AND(E5760&gt;=4,F5760&gt;=4,G5760&gt;=4),"Juara",IF(AND(F5760&gt;=4,E5760&gt;=3),"Setia",IF(AND(E5760=5,F5760&lt;=2,G5760&gt;=3),"Berpotensi",IF(AND(E5760&lt;=3,E5760&gt;=2,F5760&gt;=3),"Rawan",IF(AND(E5760&lt;=2,F5760&lt;=2),"Tidur","Umum"))))))</f>
        <v/>
      </c>
    </row>
    <row r="5761">
      <c r="B5761">
        <f>IF(A5761="","",$B$1-MAXIFS(Donasi!$A$2:$A$20000,Donasi!$B$2:$B$20000,A5761))</f>
        <v/>
      </c>
      <c r="C5761">
        <f>IF(A5761="","",COUNTIF(Donasi!$B$2:$B$20000,A5761))</f>
        <v/>
      </c>
      <c r="D5761">
        <f>IF(A5761="","",SUMIF(Donasi!$B$2:$B$20000,A5761,Donasi!$C$2:$C$20000))</f>
        <v/>
      </c>
      <c r="E5761">
        <f>IF(A5761="","",6-CEILING(PERCENTRANK.INC($B$3:$B$6000,B5761,4)*5+0.000001,1))</f>
        <v/>
      </c>
      <c r="F5761">
        <f>IF(A5761="","",MAX(1,CEILING(PERCENTRANK.INC($C$3:$C$6000,C5761,4)*5+0.000001,1)))</f>
        <v/>
      </c>
      <c r="G5761">
        <f>IF(A5761="","",MAX(1,CEILING(PERCENTRANK.INC($D$3:$D$6000,D5761,4)*5+0.000001,1)))</f>
        <v/>
      </c>
      <c r="H5761">
        <f>IF(A5761="","",E5761&amp;F5761&amp;G5761)</f>
        <v/>
      </c>
      <c r="I5761">
        <f>IF(A5761="","",IF(AND(E5761&gt;=4,F5761&gt;=4,G5761&gt;=4),"Juara",IF(AND(F5761&gt;=4,E5761&gt;=3),"Setia",IF(AND(E5761=5,F5761&lt;=2,G5761&gt;=3),"Berpotensi",IF(AND(E5761&lt;=3,E5761&gt;=2,F5761&gt;=3),"Rawan",IF(AND(E5761&lt;=2,F5761&lt;=2),"Tidur","Umum"))))))</f>
        <v/>
      </c>
    </row>
    <row r="5762">
      <c r="B5762">
        <f>IF(A5762="","",$B$1-MAXIFS(Donasi!$A$2:$A$20000,Donasi!$B$2:$B$20000,A5762))</f>
        <v/>
      </c>
      <c r="C5762">
        <f>IF(A5762="","",COUNTIF(Donasi!$B$2:$B$20000,A5762))</f>
        <v/>
      </c>
      <c r="D5762">
        <f>IF(A5762="","",SUMIF(Donasi!$B$2:$B$20000,A5762,Donasi!$C$2:$C$20000))</f>
        <v/>
      </c>
      <c r="E5762">
        <f>IF(A5762="","",6-CEILING(PERCENTRANK.INC($B$3:$B$6000,B5762,4)*5+0.000001,1))</f>
        <v/>
      </c>
      <c r="F5762">
        <f>IF(A5762="","",MAX(1,CEILING(PERCENTRANK.INC($C$3:$C$6000,C5762,4)*5+0.000001,1)))</f>
        <v/>
      </c>
      <c r="G5762">
        <f>IF(A5762="","",MAX(1,CEILING(PERCENTRANK.INC($D$3:$D$6000,D5762,4)*5+0.000001,1)))</f>
        <v/>
      </c>
      <c r="H5762">
        <f>IF(A5762="","",E5762&amp;F5762&amp;G5762)</f>
        <v/>
      </c>
      <c r="I5762">
        <f>IF(A5762="","",IF(AND(E5762&gt;=4,F5762&gt;=4,G5762&gt;=4),"Juara",IF(AND(F5762&gt;=4,E5762&gt;=3),"Setia",IF(AND(E5762=5,F5762&lt;=2,G5762&gt;=3),"Berpotensi",IF(AND(E5762&lt;=3,E5762&gt;=2,F5762&gt;=3),"Rawan",IF(AND(E5762&lt;=2,F5762&lt;=2),"Tidur","Umum"))))))</f>
        <v/>
      </c>
    </row>
    <row r="5763">
      <c r="B5763">
        <f>IF(A5763="","",$B$1-MAXIFS(Donasi!$A$2:$A$20000,Donasi!$B$2:$B$20000,A5763))</f>
        <v/>
      </c>
      <c r="C5763">
        <f>IF(A5763="","",COUNTIF(Donasi!$B$2:$B$20000,A5763))</f>
        <v/>
      </c>
      <c r="D5763">
        <f>IF(A5763="","",SUMIF(Donasi!$B$2:$B$20000,A5763,Donasi!$C$2:$C$20000))</f>
        <v/>
      </c>
      <c r="E5763">
        <f>IF(A5763="","",6-CEILING(PERCENTRANK.INC($B$3:$B$6000,B5763,4)*5+0.000001,1))</f>
        <v/>
      </c>
      <c r="F5763">
        <f>IF(A5763="","",MAX(1,CEILING(PERCENTRANK.INC($C$3:$C$6000,C5763,4)*5+0.000001,1)))</f>
        <v/>
      </c>
      <c r="G5763">
        <f>IF(A5763="","",MAX(1,CEILING(PERCENTRANK.INC($D$3:$D$6000,D5763,4)*5+0.000001,1)))</f>
        <v/>
      </c>
      <c r="H5763">
        <f>IF(A5763="","",E5763&amp;F5763&amp;G5763)</f>
        <v/>
      </c>
      <c r="I5763">
        <f>IF(A5763="","",IF(AND(E5763&gt;=4,F5763&gt;=4,G5763&gt;=4),"Juara",IF(AND(F5763&gt;=4,E5763&gt;=3),"Setia",IF(AND(E5763=5,F5763&lt;=2,G5763&gt;=3),"Berpotensi",IF(AND(E5763&lt;=3,E5763&gt;=2,F5763&gt;=3),"Rawan",IF(AND(E5763&lt;=2,F5763&lt;=2),"Tidur","Umum"))))))</f>
        <v/>
      </c>
    </row>
    <row r="5764">
      <c r="B5764">
        <f>IF(A5764="","",$B$1-MAXIFS(Donasi!$A$2:$A$20000,Donasi!$B$2:$B$20000,A5764))</f>
        <v/>
      </c>
      <c r="C5764">
        <f>IF(A5764="","",COUNTIF(Donasi!$B$2:$B$20000,A5764))</f>
        <v/>
      </c>
      <c r="D5764">
        <f>IF(A5764="","",SUMIF(Donasi!$B$2:$B$20000,A5764,Donasi!$C$2:$C$20000))</f>
        <v/>
      </c>
      <c r="E5764">
        <f>IF(A5764="","",6-CEILING(PERCENTRANK.INC($B$3:$B$6000,B5764,4)*5+0.000001,1))</f>
        <v/>
      </c>
      <c r="F5764">
        <f>IF(A5764="","",MAX(1,CEILING(PERCENTRANK.INC($C$3:$C$6000,C5764,4)*5+0.000001,1)))</f>
        <v/>
      </c>
      <c r="G5764">
        <f>IF(A5764="","",MAX(1,CEILING(PERCENTRANK.INC($D$3:$D$6000,D5764,4)*5+0.000001,1)))</f>
        <v/>
      </c>
      <c r="H5764">
        <f>IF(A5764="","",E5764&amp;F5764&amp;G5764)</f>
        <v/>
      </c>
      <c r="I5764">
        <f>IF(A5764="","",IF(AND(E5764&gt;=4,F5764&gt;=4,G5764&gt;=4),"Juara",IF(AND(F5764&gt;=4,E5764&gt;=3),"Setia",IF(AND(E5764=5,F5764&lt;=2,G5764&gt;=3),"Berpotensi",IF(AND(E5764&lt;=3,E5764&gt;=2,F5764&gt;=3),"Rawan",IF(AND(E5764&lt;=2,F5764&lt;=2),"Tidur","Umum"))))))</f>
        <v/>
      </c>
    </row>
    <row r="5765">
      <c r="B5765">
        <f>IF(A5765="","",$B$1-MAXIFS(Donasi!$A$2:$A$20000,Donasi!$B$2:$B$20000,A5765))</f>
        <v/>
      </c>
      <c r="C5765">
        <f>IF(A5765="","",COUNTIF(Donasi!$B$2:$B$20000,A5765))</f>
        <v/>
      </c>
      <c r="D5765">
        <f>IF(A5765="","",SUMIF(Donasi!$B$2:$B$20000,A5765,Donasi!$C$2:$C$20000))</f>
        <v/>
      </c>
      <c r="E5765">
        <f>IF(A5765="","",6-CEILING(PERCENTRANK.INC($B$3:$B$6000,B5765,4)*5+0.000001,1))</f>
        <v/>
      </c>
      <c r="F5765">
        <f>IF(A5765="","",MAX(1,CEILING(PERCENTRANK.INC($C$3:$C$6000,C5765,4)*5+0.000001,1)))</f>
        <v/>
      </c>
      <c r="G5765">
        <f>IF(A5765="","",MAX(1,CEILING(PERCENTRANK.INC($D$3:$D$6000,D5765,4)*5+0.000001,1)))</f>
        <v/>
      </c>
      <c r="H5765">
        <f>IF(A5765="","",E5765&amp;F5765&amp;G5765)</f>
        <v/>
      </c>
      <c r="I5765">
        <f>IF(A5765="","",IF(AND(E5765&gt;=4,F5765&gt;=4,G5765&gt;=4),"Juara",IF(AND(F5765&gt;=4,E5765&gt;=3),"Setia",IF(AND(E5765=5,F5765&lt;=2,G5765&gt;=3),"Berpotensi",IF(AND(E5765&lt;=3,E5765&gt;=2,F5765&gt;=3),"Rawan",IF(AND(E5765&lt;=2,F5765&lt;=2),"Tidur","Umum"))))))</f>
        <v/>
      </c>
    </row>
    <row r="5766">
      <c r="B5766">
        <f>IF(A5766="","",$B$1-MAXIFS(Donasi!$A$2:$A$20000,Donasi!$B$2:$B$20000,A5766))</f>
        <v/>
      </c>
      <c r="C5766">
        <f>IF(A5766="","",COUNTIF(Donasi!$B$2:$B$20000,A5766))</f>
        <v/>
      </c>
      <c r="D5766">
        <f>IF(A5766="","",SUMIF(Donasi!$B$2:$B$20000,A5766,Donasi!$C$2:$C$20000))</f>
        <v/>
      </c>
      <c r="E5766">
        <f>IF(A5766="","",6-CEILING(PERCENTRANK.INC($B$3:$B$6000,B5766,4)*5+0.000001,1))</f>
        <v/>
      </c>
      <c r="F5766">
        <f>IF(A5766="","",MAX(1,CEILING(PERCENTRANK.INC($C$3:$C$6000,C5766,4)*5+0.000001,1)))</f>
        <v/>
      </c>
      <c r="G5766">
        <f>IF(A5766="","",MAX(1,CEILING(PERCENTRANK.INC($D$3:$D$6000,D5766,4)*5+0.000001,1)))</f>
        <v/>
      </c>
      <c r="H5766">
        <f>IF(A5766="","",E5766&amp;F5766&amp;G5766)</f>
        <v/>
      </c>
      <c r="I5766">
        <f>IF(A5766="","",IF(AND(E5766&gt;=4,F5766&gt;=4,G5766&gt;=4),"Juara",IF(AND(F5766&gt;=4,E5766&gt;=3),"Setia",IF(AND(E5766=5,F5766&lt;=2,G5766&gt;=3),"Berpotensi",IF(AND(E5766&lt;=3,E5766&gt;=2,F5766&gt;=3),"Rawan",IF(AND(E5766&lt;=2,F5766&lt;=2),"Tidur","Umum"))))))</f>
        <v/>
      </c>
    </row>
    <row r="5767">
      <c r="B5767">
        <f>IF(A5767="","",$B$1-MAXIFS(Donasi!$A$2:$A$20000,Donasi!$B$2:$B$20000,A5767))</f>
        <v/>
      </c>
      <c r="C5767">
        <f>IF(A5767="","",COUNTIF(Donasi!$B$2:$B$20000,A5767))</f>
        <v/>
      </c>
      <c r="D5767">
        <f>IF(A5767="","",SUMIF(Donasi!$B$2:$B$20000,A5767,Donasi!$C$2:$C$20000))</f>
        <v/>
      </c>
      <c r="E5767">
        <f>IF(A5767="","",6-CEILING(PERCENTRANK.INC($B$3:$B$6000,B5767,4)*5+0.000001,1))</f>
        <v/>
      </c>
      <c r="F5767">
        <f>IF(A5767="","",MAX(1,CEILING(PERCENTRANK.INC($C$3:$C$6000,C5767,4)*5+0.000001,1)))</f>
        <v/>
      </c>
      <c r="G5767">
        <f>IF(A5767="","",MAX(1,CEILING(PERCENTRANK.INC($D$3:$D$6000,D5767,4)*5+0.000001,1)))</f>
        <v/>
      </c>
      <c r="H5767">
        <f>IF(A5767="","",E5767&amp;F5767&amp;G5767)</f>
        <v/>
      </c>
      <c r="I5767">
        <f>IF(A5767="","",IF(AND(E5767&gt;=4,F5767&gt;=4,G5767&gt;=4),"Juara",IF(AND(F5767&gt;=4,E5767&gt;=3),"Setia",IF(AND(E5767=5,F5767&lt;=2,G5767&gt;=3),"Berpotensi",IF(AND(E5767&lt;=3,E5767&gt;=2,F5767&gt;=3),"Rawan",IF(AND(E5767&lt;=2,F5767&lt;=2),"Tidur","Umum"))))))</f>
        <v/>
      </c>
    </row>
    <row r="5768">
      <c r="B5768">
        <f>IF(A5768="","",$B$1-MAXIFS(Donasi!$A$2:$A$20000,Donasi!$B$2:$B$20000,A5768))</f>
        <v/>
      </c>
      <c r="C5768">
        <f>IF(A5768="","",COUNTIF(Donasi!$B$2:$B$20000,A5768))</f>
        <v/>
      </c>
      <c r="D5768">
        <f>IF(A5768="","",SUMIF(Donasi!$B$2:$B$20000,A5768,Donasi!$C$2:$C$20000))</f>
        <v/>
      </c>
      <c r="E5768">
        <f>IF(A5768="","",6-CEILING(PERCENTRANK.INC($B$3:$B$6000,B5768,4)*5+0.000001,1))</f>
        <v/>
      </c>
      <c r="F5768">
        <f>IF(A5768="","",MAX(1,CEILING(PERCENTRANK.INC($C$3:$C$6000,C5768,4)*5+0.000001,1)))</f>
        <v/>
      </c>
      <c r="G5768">
        <f>IF(A5768="","",MAX(1,CEILING(PERCENTRANK.INC($D$3:$D$6000,D5768,4)*5+0.000001,1)))</f>
        <v/>
      </c>
      <c r="H5768">
        <f>IF(A5768="","",E5768&amp;F5768&amp;G5768)</f>
        <v/>
      </c>
      <c r="I5768">
        <f>IF(A5768="","",IF(AND(E5768&gt;=4,F5768&gt;=4,G5768&gt;=4),"Juara",IF(AND(F5768&gt;=4,E5768&gt;=3),"Setia",IF(AND(E5768=5,F5768&lt;=2,G5768&gt;=3),"Berpotensi",IF(AND(E5768&lt;=3,E5768&gt;=2,F5768&gt;=3),"Rawan",IF(AND(E5768&lt;=2,F5768&lt;=2),"Tidur","Umum"))))))</f>
        <v/>
      </c>
    </row>
    <row r="5769">
      <c r="B5769">
        <f>IF(A5769="","",$B$1-MAXIFS(Donasi!$A$2:$A$20000,Donasi!$B$2:$B$20000,A5769))</f>
        <v/>
      </c>
      <c r="C5769">
        <f>IF(A5769="","",COUNTIF(Donasi!$B$2:$B$20000,A5769))</f>
        <v/>
      </c>
      <c r="D5769">
        <f>IF(A5769="","",SUMIF(Donasi!$B$2:$B$20000,A5769,Donasi!$C$2:$C$20000))</f>
        <v/>
      </c>
      <c r="E5769">
        <f>IF(A5769="","",6-CEILING(PERCENTRANK.INC($B$3:$B$6000,B5769,4)*5+0.000001,1))</f>
        <v/>
      </c>
      <c r="F5769">
        <f>IF(A5769="","",MAX(1,CEILING(PERCENTRANK.INC($C$3:$C$6000,C5769,4)*5+0.000001,1)))</f>
        <v/>
      </c>
      <c r="G5769">
        <f>IF(A5769="","",MAX(1,CEILING(PERCENTRANK.INC($D$3:$D$6000,D5769,4)*5+0.000001,1)))</f>
        <v/>
      </c>
      <c r="H5769">
        <f>IF(A5769="","",E5769&amp;F5769&amp;G5769)</f>
        <v/>
      </c>
      <c r="I5769">
        <f>IF(A5769="","",IF(AND(E5769&gt;=4,F5769&gt;=4,G5769&gt;=4),"Juara",IF(AND(F5769&gt;=4,E5769&gt;=3),"Setia",IF(AND(E5769=5,F5769&lt;=2,G5769&gt;=3),"Berpotensi",IF(AND(E5769&lt;=3,E5769&gt;=2,F5769&gt;=3),"Rawan",IF(AND(E5769&lt;=2,F5769&lt;=2),"Tidur","Umum"))))))</f>
        <v/>
      </c>
    </row>
    <row r="5770">
      <c r="B5770">
        <f>IF(A5770="","",$B$1-MAXIFS(Donasi!$A$2:$A$20000,Donasi!$B$2:$B$20000,A5770))</f>
        <v/>
      </c>
      <c r="C5770">
        <f>IF(A5770="","",COUNTIF(Donasi!$B$2:$B$20000,A5770))</f>
        <v/>
      </c>
      <c r="D5770">
        <f>IF(A5770="","",SUMIF(Donasi!$B$2:$B$20000,A5770,Donasi!$C$2:$C$20000))</f>
        <v/>
      </c>
      <c r="E5770">
        <f>IF(A5770="","",6-CEILING(PERCENTRANK.INC($B$3:$B$6000,B5770,4)*5+0.000001,1))</f>
        <v/>
      </c>
      <c r="F5770">
        <f>IF(A5770="","",MAX(1,CEILING(PERCENTRANK.INC($C$3:$C$6000,C5770,4)*5+0.000001,1)))</f>
        <v/>
      </c>
      <c r="G5770">
        <f>IF(A5770="","",MAX(1,CEILING(PERCENTRANK.INC($D$3:$D$6000,D5770,4)*5+0.000001,1)))</f>
        <v/>
      </c>
      <c r="H5770">
        <f>IF(A5770="","",E5770&amp;F5770&amp;G5770)</f>
        <v/>
      </c>
      <c r="I5770">
        <f>IF(A5770="","",IF(AND(E5770&gt;=4,F5770&gt;=4,G5770&gt;=4),"Juara",IF(AND(F5770&gt;=4,E5770&gt;=3),"Setia",IF(AND(E5770=5,F5770&lt;=2,G5770&gt;=3),"Berpotensi",IF(AND(E5770&lt;=3,E5770&gt;=2,F5770&gt;=3),"Rawan",IF(AND(E5770&lt;=2,F5770&lt;=2),"Tidur","Umum"))))))</f>
        <v/>
      </c>
    </row>
    <row r="5771">
      <c r="B5771">
        <f>IF(A5771="","",$B$1-MAXIFS(Donasi!$A$2:$A$20000,Donasi!$B$2:$B$20000,A5771))</f>
        <v/>
      </c>
      <c r="C5771">
        <f>IF(A5771="","",COUNTIF(Donasi!$B$2:$B$20000,A5771))</f>
        <v/>
      </c>
      <c r="D5771">
        <f>IF(A5771="","",SUMIF(Donasi!$B$2:$B$20000,A5771,Donasi!$C$2:$C$20000))</f>
        <v/>
      </c>
      <c r="E5771">
        <f>IF(A5771="","",6-CEILING(PERCENTRANK.INC($B$3:$B$6000,B5771,4)*5+0.000001,1))</f>
        <v/>
      </c>
      <c r="F5771">
        <f>IF(A5771="","",MAX(1,CEILING(PERCENTRANK.INC($C$3:$C$6000,C5771,4)*5+0.000001,1)))</f>
        <v/>
      </c>
      <c r="G5771">
        <f>IF(A5771="","",MAX(1,CEILING(PERCENTRANK.INC($D$3:$D$6000,D5771,4)*5+0.000001,1)))</f>
        <v/>
      </c>
      <c r="H5771">
        <f>IF(A5771="","",E5771&amp;F5771&amp;G5771)</f>
        <v/>
      </c>
      <c r="I5771">
        <f>IF(A5771="","",IF(AND(E5771&gt;=4,F5771&gt;=4,G5771&gt;=4),"Juara",IF(AND(F5771&gt;=4,E5771&gt;=3),"Setia",IF(AND(E5771=5,F5771&lt;=2,G5771&gt;=3),"Berpotensi",IF(AND(E5771&lt;=3,E5771&gt;=2,F5771&gt;=3),"Rawan",IF(AND(E5771&lt;=2,F5771&lt;=2),"Tidur","Umum"))))))</f>
        <v/>
      </c>
    </row>
    <row r="5772">
      <c r="B5772">
        <f>IF(A5772="","",$B$1-MAXIFS(Donasi!$A$2:$A$20000,Donasi!$B$2:$B$20000,A5772))</f>
        <v/>
      </c>
      <c r="C5772">
        <f>IF(A5772="","",COUNTIF(Donasi!$B$2:$B$20000,A5772))</f>
        <v/>
      </c>
      <c r="D5772">
        <f>IF(A5772="","",SUMIF(Donasi!$B$2:$B$20000,A5772,Donasi!$C$2:$C$20000))</f>
        <v/>
      </c>
      <c r="E5772">
        <f>IF(A5772="","",6-CEILING(PERCENTRANK.INC($B$3:$B$6000,B5772,4)*5+0.000001,1))</f>
        <v/>
      </c>
      <c r="F5772">
        <f>IF(A5772="","",MAX(1,CEILING(PERCENTRANK.INC($C$3:$C$6000,C5772,4)*5+0.000001,1)))</f>
        <v/>
      </c>
      <c r="G5772">
        <f>IF(A5772="","",MAX(1,CEILING(PERCENTRANK.INC($D$3:$D$6000,D5772,4)*5+0.000001,1)))</f>
        <v/>
      </c>
      <c r="H5772">
        <f>IF(A5772="","",E5772&amp;F5772&amp;G5772)</f>
        <v/>
      </c>
      <c r="I5772">
        <f>IF(A5772="","",IF(AND(E5772&gt;=4,F5772&gt;=4,G5772&gt;=4),"Juara",IF(AND(F5772&gt;=4,E5772&gt;=3),"Setia",IF(AND(E5772=5,F5772&lt;=2,G5772&gt;=3),"Berpotensi",IF(AND(E5772&lt;=3,E5772&gt;=2,F5772&gt;=3),"Rawan",IF(AND(E5772&lt;=2,F5772&lt;=2),"Tidur","Umum"))))))</f>
        <v/>
      </c>
    </row>
    <row r="5773">
      <c r="B5773">
        <f>IF(A5773="","",$B$1-MAXIFS(Donasi!$A$2:$A$20000,Donasi!$B$2:$B$20000,A5773))</f>
        <v/>
      </c>
      <c r="C5773">
        <f>IF(A5773="","",COUNTIF(Donasi!$B$2:$B$20000,A5773))</f>
        <v/>
      </c>
      <c r="D5773">
        <f>IF(A5773="","",SUMIF(Donasi!$B$2:$B$20000,A5773,Donasi!$C$2:$C$20000))</f>
        <v/>
      </c>
      <c r="E5773">
        <f>IF(A5773="","",6-CEILING(PERCENTRANK.INC($B$3:$B$6000,B5773,4)*5+0.000001,1))</f>
        <v/>
      </c>
      <c r="F5773">
        <f>IF(A5773="","",MAX(1,CEILING(PERCENTRANK.INC($C$3:$C$6000,C5773,4)*5+0.000001,1)))</f>
        <v/>
      </c>
      <c r="G5773">
        <f>IF(A5773="","",MAX(1,CEILING(PERCENTRANK.INC($D$3:$D$6000,D5773,4)*5+0.000001,1)))</f>
        <v/>
      </c>
      <c r="H5773">
        <f>IF(A5773="","",E5773&amp;F5773&amp;G5773)</f>
        <v/>
      </c>
      <c r="I5773">
        <f>IF(A5773="","",IF(AND(E5773&gt;=4,F5773&gt;=4,G5773&gt;=4),"Juara",IF(AND(F5773&gt;=4,E5773&gt;=3),"Setia",IF(AND(E5773=5,F5773&lt;=2,G5773&gt;=3),"Berpotensi",IF(AND(E5773&lt;=3,E5773&gt;=2,F5773&gt;=3),"Rawan",IF(AND(E5773&lt;=2,F5773&lt;=2),"Tidur","Umum"))))))</f>
        <v/>
      </c>
    </row>
    <row r="5774">
      <c r="B5774">
        <f>IF(A5774="","",$B$1-MAXIFS(Donasi!$A$2:$A$20000,Donasi!$B$2:$B$20000,A5774))</f>
        <v/>
      </c>
      <c r="C5774">
        <f>IF(A5774="","",COUNTIF(Donasi!$B$2:$B$20000,A5774))</f>
        <v/>
      </c>
      <c r="D5774">
        <f>IF(A5774="","",SUMIF(Donasi!$B$2:$B$20000,A5774,Donasi!$C$2:$C$20000))</f>
        <v/>
      </c>
      <c r="E5774">
        <f>IF(A5774="","",6-CEILING(PERCENTRANK.INC($B$3:$B$6000,B5774,4)*5+0.000001,1))</f>
        <v/>
      </c>
      <c r="F5774">
        <f>IF(A5774="","",MAX(1,CEILING(PERCENTRANK.INC($C$3:$C$6000,C5774,4)*5+0.000001,1)))</f>
        <v/>
      </c>
      <c r="G5774">
        <f>IF(A5774="","",MAX(1,CEILING(PERCENTRANK.INC($D$3:$D$6000,D5774,4)*5+0.000001,1)))</f>
        <v/>
      </c>
      <c r="H5774">
        <f>IF(A5774="","",E5774&amp;F5774&amp;G5774)</f>
        <v/>
      </c>
      <c r="I5774">
        <f>IF(A5774="","",IF(AND(E5774&gt;=4,F5774&gt;=4,G5774&gt;=4),"Juara",IF(AND(F5774&gt;=4,E5774&gt;=3),"Setia",IF(AND(E5774=5,F5774&lt;=2,G5774&gt;=3),"Berpotensi",IF(AND(E5774&lt;=3,E5774&gt;=2,F5774&gt;=3),"Rawan",IF(AND(E5774&lt;=2,F5774&lt;=2),"Tidur","Umum"))))))</f>
        <v/>
      </c>
    </row>
    <row r="5775">
      <c r="B5775">
        <f>IF(A5775="","",$B$1-MAXIFS(Donasi!$A$2:$A$20000,Donasi!$B$2:$B$20000,A5775))</f>
        <v/>
      </c>
      <c r="C5775">
        <f>IF(A5775="","",COUNTIF(Donasi!$B$2:$B$20000,A5775))</f>
        <v/>
      </c>
      <c r="D5775">
        <f>IF(A5775="","",SUMIF(Donasi!$B$2:$B$20000,A5775,Donasi!$C$2:$C$20000))</f>
        <v/>
      </c>
      <c r="E5775">
        <f>IF(A5775="","",6-CEILING(PERCENTRANK.INC($B$3:$B$6000,B5775,4)*5+0.000001,1))</f>
        <v/>
      </c>
      <c r="F5775">
        <f>IF(A5775="","",MAX(1,CEILING(PERCENTRANK.INC($C$3:$C$6000,C5775,4)*5+0.000001,1)))</f>
        <v/>
      </c>
      <c r="G5775">
        <f>IF(A5775="","",MAX(1,CEILING(PERCENTRANK.INC($D$3:$D$6000,D5775,4)*5+0.000001,1)))</f>
        <v/>
      </c>
      <c r="H5775">
        <f>IF(A5775="","",E5775&amp;F5775&amp;G5775)</f>
        <v/>
      </c>
      <c r="I5775">
        <f>IF(A5775="","",IF(AND(E5775&gt;=4,F5775&gt;=4,G5775&gt;=4),"Juara",IF(AND(F5775&gt;=4,E5775&gt;=3),"Setia",IF(AND(E5775=5,F5775&lt;=2,G5775&gt;=3),"Berpotensi",IF(AND(E5775&lt;=3,E5775&gt;=2,F5775&gt;=3),"Rawan",IF(AND(E5775&lt;=2,F5775&lt;=2),"Tidur","Umum"))))))</f>
        <v/>
      </c>
    </row>
    <row r="5776">
      <c r="B5776">
        <f>IF(A5776="","",$B$1-MAXIFS(Donasi!$A$2:$A$20000,Donasi!$B$2:$B$20000,A5776))</f>
        <v/>
      </c>
      <c r="C5776">
        <f>IF(A5776="","",COUNTIF(Donasi!$B$2:$B$20000,A5776))</f>
        <v/>
      </c>
      <c r="D5776">
        <f>IF(A5776="","",SUMIF(Donasi!$B$2:$B$20000,A5776,Donasi!$C$2:$C$20000))</f>
        <v/>
      </c>
      <c r="E5776">
        <f>IF(A5776="","",6-CEILING(PERCENTRANK.INC($B$3:$B$6000,B5776,4)*5+0.000001,1))</f>
        <v/>
      </c>
      <c r="F5776">
        <f>IF(A5776="","",MAX(1,CEILING(PERCENTRANK.INC($C$3:$C$6000,C5776,4)*5+0.000001,1)))</f>
        <v/>
      </c>
      <c r="G5776">
        <f>IF(A5776="","",MAX(1,CEILING(PERCENTRANK.INC($D$3:$D$6000,D5776,4)*5+0.000001,1)))</f>
        <v/>
      </c>
      <c r="H5776">
        <f>IF(A5776="","",E5776&amp;F5776&amp;G5776)</f>
        <v/>
      </c>
      <c r="I5776">
        <f>IF(A5776="","",IF(AND(E5776&gt;=4,F5776&gt;=4,G5776&gt;=4),"Juara",IF(AND(F5776&gt;=4,E5776&gt;=3),"Setia",IF(AND(E5776=5,F5776&lt;=2,G5776&gt;=3),"Berpotensi",IF(AND(E5776&lt;=3,E5776&gt;=2,F5776&gt;=3),"Rawan",IF(AND(E5776&lt;=2,F5776&lt;=2),"Tidur","Umum"))))))</f>
        <v/>
      </c>
    </row>
    <row r="5777">
      <c r="B5777">
        <f>IF(A5777="","",$B$1-MAXIFS(Donasi!$A$2:$A$20000,Donasi!$B$2:$B$20000,A5777))</f>
        <v/>
      </c>
      <c r="C5777">
        <f>IF(A5777="","",COUNTIF(Donasi!$B$2:$B$20000,A5777))</f>
        <v/>
      </c>
      <c r="D5777">
        <f>IF(A5777="","",SUMIF(Donasi!$B$2:$B$20000,A5777,Donasi!$C$2:$C$20000))</f>
        <v/>
      </c>
      <c r="E5777">
        <f>IF(A5777="","",6-CEILING(PERCENTRANK.INC($B$3:$B$6000,B5777,4)*5+0.000001,1))</f>
        <v/>
      </c>
      <c r="F5777">
        <f>IF(A5777="","",MAX(1,CEILING(PERCENTRANK.INC($C$3:$C$6000,C5777,4)*5+0.000001,1)))</f>
        <v/>
      </c>
      <c r="G5777">
        <f>IF(A5777="","",MAX(1,CEILING(PERCENTRANK.INC($D$3:$D$6000,D5777,4)*5+0.000001,1)))</f>
        <v/>
      </c>
      <c r="H5777">
        <f>IF(A5777="","",E5777&amp;F5777&amp;G5777)</f>
        <v/>
      </c>
      <c r="I5777">
        <f>IF(A5777="","",IF(AND(E5777&gt;=4,F5777&gt;=4,G5777&gt;=4),"Juara",IF(AND(F5777&gt;=4,E5777&gt;=3),"Setia",IF(AND(E5777=5,F5777&lt;=2,G5777&gt;=3),"Berpotensi",IF(AND(E5777&lt;=3,E5777&gt;=2,F5777&gt;=3),"Rawan",IF(AND(E5777&lt;=2,F5777&lt;=2),"Tidur","Umum"))))))</f>
        <v/>
      </c>
    </row>
    <row r="5778">
      <c r="B5778">
        <f>IF(A5778="","",$B$1-MAXIFS(Donasi!$A$2:$A$20000,Donasi!$B$2:$B$20000,A5778))</f>
        <v/>
      </c>
      <c r="C5778">
        <f>IF(A5778="","",COUNTIF(Donasi!$B$2:$B$20000,A5778))</f>
        <v/>
      </c>
      <c r="D5778">
        <f>IF(A5778="","",SUMIF(Donasi!$B$2:$B$20000,A5778,Donasi!$C$2:$C$20000))</f>
        <v/>
      </c>
      <c r="E5778">
        <f>IF(A5778="","",6-CEILING(PERCENTRANK.INC($B$3:$B$6000,B5778,4)*5+0.000001,1))</f>
        <v/>
      </c>
      <c r="F5778">
        <f>IF(A5778="","",MAX(1,CEILING(PERCENTRANK.INC($C$3:$C$6000,C5778,4)*5+0.000001,1)))</f>
        <v/>
      </c>
      <c r="G5778">
        <f>IF(A5778="","",MAX(1,CEILING(PERCENTRANK.INC($D$3:$D$6000,D5778,4)*5+0.000001,1)))</f>
        <v/>
      </c>
      <c r="H5778">
        <f>IF(A5778="","",E5778&amp;F5778&amp;G5778)</f>
        <v/>
      </c>
      <c r="I5778">
        <f>IF(A5778="","",IF(AND(E5778&gt;=4,F5778&gt;=4,G5778&gt;=4),"Juara",IF(AND(F5778&gt;=4,E5778&gt;=3),"Setia",IF(AND(E5778=5,F5778&lt;=2,G5778&gt;=3),"Berpotensi",IF(AND(E5778&lt;=3,E5778&gt;=2,F5778&gt;=3),"Rawan",IF(AND(E5778&lt;=2,F5778&lt;=2),"Tidur","Umum"))))))</f>
        <v/>
      </c>
    </row>
    <row r="5779">
      <c r="B5779">
        <f>IF(A5779="","",$B$1-MAXIFS(Donasi!$A$2:$A$20000,Donasi!$B$2:$B$20000,A5779))</f>
        <v/>
      </c>
      <c r="C5779">
        <f>IF(A5779="","",COUNTIF(Donasi!$B$2:$B$20000,A5779))</f>
        <v/>
      </c>
      <c r="D5779">
        <f>IF(A5779="","",SUMIF(Donasi!$B$2:$B$20000,A5779,Donasi!$C$2:$C$20000))</f>
        <v/>
      </c>
      <c r="E5779">
        <f>IF(A5779="","",6-CEILING(PERCENTRANK.INC($B$3:$B$6000,B5779,4)*5+0.000001,1))</f>
        <v/>
      </c>
      <c r="F5779">
        <f>IF(A5779="","",MAX(1,CEILING(PERCENTRANK.INC($C$3:$C$6000,C5779,4)*5+0.000001,1)))</f>
        <v/>
      </c>
      <c r="G5779">
        <f>IF(A5779="","",MAX(1,CEILING(PERCENTRANK.INC($D$3:$D$6000,D5779,4)*5+0.000001,1)))</f>
        <v/>
      </c>
      <c r="H5779">
        <f>IF(A5779="","",E5779&amp;F5779&amp;G5779)</f>
        <v/>
      </c>
      <c r="I5779">
        <f>IF(A5779="","",IF(AND(E5779&gt;=4,F5779&gt;=4,G5779&gt;=4),"Juara",IF(AND(F5779&gt;=4,E5779&gt;=3),"Setia",IF(AND(E5779=5,F5779&lt;=2,G5779&gt;=3),"Berpotensi",IF(AND(E5779&lt;=3,E5779&gt;=2,F5779&gt;=3),"Rawan",IF(AND(E5779&lt;=2,F5779&lt;=2),"Tidur","Umum"))))))</f>
        <v/>
      </c>
    </row>
    <row r="5780">
      <c r="B5780">
        <f>IF(A5780="","",$B$1-MAXIFS(Donasi!$A$2:$A$20000,Donasi!$B$2:$B$20000,A5780))</f>
        <v/>
      </c>
      <c r="C5780">
        <f>IF(A5780="","",COUNTIF(Donasi!$B$2:$B$20000,A5780))</f>
        <v/>
      </c>
      <c r="D5780">
        <f>IF(A5780="","",SUMIF(Donasi!$B$2:$B$20000,A5780,Donasi!$C$2:$C$20000))</f>
        <v/>
      </c>
      <c r="E5780">
        <f>IF(A5780="","",6-CEILING(PERCENTRANK.INC($B$3:$B$6000,B5780,4)*5+0.000001,1))</f>
        <v/>
      </c>
      <c r="F5780">
        <f>IF(A5780="","",MAX(1,CEILING(PERCENTRANK.INC($C$3:$C$6000,C5780,4)*5+0.000001,1)))</f>
        <v/>
      </c>
      <c r="G5780">
        <f>IF(A5780="","",MAX(1,CEILING(PERCENTRANK.INC($D$3:$D$6000,D5780,4)*5+0.000001,1)))</f>
        <v/>
      </c>
      <c r="H5780">
        <f>IF(A5780="","",E5780&amp;F5780&amp;G5780)</f>
        <v/>
      </c>
      <c r="I5780">
        <f>IF(A5780="","",IF(AND(E5780&gt;=4,F5780&gt;=4,G5780&gt;=4),"Juara",IF(AND(F5780&gt;=4,E5780&gt;=3),"Setia",IF(AND(E5780=5,F5780&lt;=2,G5780&gt;=3),"Berpotensi",IF(AND(E5780&lt;=3,E5780&gt;=2,F5780&gt;=3),"Rawan",IF(AND(E5780&lt;=2,F5780&lt;=2),"Tidur","Umum"))))))</f>
        <v/>
      </c>
    </row>
    <row r="5781">
      <c r="B5781">
        <f>IF(A5781="","",$B$1-MAXIFS(Donasi!$A$2:$A$20000,Donasi!$B$2:$B$20000,A5781))</f>
        <v/>
      </c>
      <c r="C5781">
        <f>IF(A5781="","",COUNTIF(Donasi!$B$2:$B$20000,A5781))</f>
        <v/>
      </c>
      <c r="D5781">
        <f>IF(A5781="","",SUMIF(Donasi!$B$2:$B$20000,A5781,Donasi!$C$2:$C$20000))</f>
        <v/>
      </c>
      <c r="E5781">
        <f>IF(A5781="","",6-CEILING(PERCENTRANK.INC($B$3:$B$6000,B5781,4)*5+0.000001,1))</f>
        <v/>
      </c>
      <c r="F5781">
        <f>IF(A5781="","",MAX(1,CEILING(PERCENTRANK.INC($C$3:$C$6000,C5781,4)*5+0.000001,1)))</f>
        <v/>
      </c>
      <c r="G5781">
        <f>IF(A5781="","",MAX(1,CEILING(PERCENTRANK.INC($D$3:$D$6000,D5781,4)*5+0.000001,1)))</f>
        <v/>
      </c>
      <c r="H5781">
        <f>IF(A5781="","",E5781&amp;F5781&amp;G5781)</f>
        <v/>
      </c>
      <c r="I5781">
        <f>IF(A5781="","",IF(AND(E5781&gt;=4,F5781&gt;=4,G5781&gt;=4),"Juara",IF(AND(F5781&gt;=4,E5781&gt;=3),"Setia",IF(AND(E5781=5,F5781&lt;=2,G5781&gt;=3),"Berpotensi",IF(AND(E5781&lt;=3,E5781&gt;=2,F5781&gt;=3),"Rawan",IF(AND(E5781&lt;=2,F5781&lt;=2),"Tidur","Umum"))))))</f>
        <v/>
      </c>
    </row>
    <row r="5782">
      <c r="B5782">
        <f>IF(A5782="","",$B$1-MAXIFS(Donasi!$A$2:$A$20000,Donasi!$B$2:$B$20000,A5782))</f>
        <v/>
      </c>
      <c r="C5782">
        <f>IF(A5782="","",COUNTIF(Donasi!$B$2:$B$20000,A5782))</f>
        <v/>
      </c>
      <c r="D5782">
        <f>IF(A5782="","",SUMIF(Donasi!$B$2:$B$20000,A5782,Donasi!$C$2:$C$20000))</f>
        <v/>
      </c>
      <c r="E5782">
        <f>IF(A5782="","",6-CEILING(PERCENTRANK.INC($B$3:$B$6000,B5782,4)*5+0.000001,1))</f>
        <v/>
      </c>
      <c r="F5782">
        <f>IF(A5782="","",MAX(1,CEILING(PERCENTRANK.INC($C$3:$C$6000,C5782,4)*5+0.000001,1)))</f>
        <v/>
      </c>
      <c r="G5782">
        <f>IF(A5782="","",MAX(1,CEILING(PERCENTRANK.INC($D$3:$D$6000,D5782,4)*5+0.000001,1)))</f>
        <v/>
      </c>
      <c r="H5782">
        <f>IF(A5782="","",E5782&amp;F5782&amp;G5782)</f>
        <v/>
      </c>
      <c r="I5782">
        <f>IF(A5782="","",IF(AND(E5782&gt;=4,F5782&gt;=4,G5782&gt;=4),"Juara",IF(AND(F5782&gt;=4,E5782&gt;=3),"Setia",IF(AND(E5782=5,F5782&lt;=2,G5782&gt;=3),"Berpotensi",IF(AND(E5782&lt;=3,E5782&gt;=2,F5782&gt;=3),"Rawan",IF(AND(E5782&lt;=2,F5782&lt;=2),"Tidur","Umum"))))))</f>
        <v/>
      </c>
    </row>
    <row r="5783">
      <c r="B5783">
        <f>IF(A5783="","",$B$1-MAXIFS(Donasi!$A$2:$A$20000,Donasi!$B$2:$B$20000,A5783))</f>
        <v/>
      </c>
      <c r="C5783">
        <f>IF(A5783="","",COUNTIF(Donasi!$B$2:$B$20000,A5783))</f>
        <v/>
      </c>
      <c r="D5783">
        <f>IF(A5783="","",SUMIF(Donasi!$B$2:$B$20000,A5783,Donasi!$C$2:$C$20000))</f>
        <v/>
      </c>
      <c r="E5783">
        <f>IF(A5783="","",6-CEILING(PERCENTRANK.INC($B$3:$B$6000,B5783,4)*5+0.000001,1))</f>
        <v/>
      </c>
      <c r="F5783">
        <f>IF(A5783="","",MAX(1,CEILING(PERCENTRANK.INC($C$3:$C$6000,C5783,4)*5+0.000001,1)))</f>
        <v/>
      </c>
      <c r="G5783">
        <f>IF(A5783="","",MAX(1,CEILING(PERCENTRANK.INC($D$3:$D$6000,D5783,4)*5+0.000001,1)))</f>
        <v/>
      </c>
      <c r="H5783">
        <f>IF(A5783="","",E5783&amp;F5783&amp;G5783)</f>
        <v/>
      </c>
      <c r="I5783">
        <f>IF(A5783="","",IF(AND(E5783&gt;=4,F5783&gt;=4,G5783&gt;=4),"Juara",IF(AND(F5783&gt;=4,E5783&gt;=3),"Setia",IF(AND(E5783=5,F5783&lt;=2,G5783&gt;=3),"Berpotensi",IF(AND(E5783&lt;=3,E5783&gt;=2,F5783&gt;=3),"Rawan",IF(AND(E5783&lt;=2,F5783&lt;=2),"Tidur","Umum"))))))</f>
        <v/>
      </c>
    </row>
    <row r="5784">
      <c r="B5784">
        <f>IF(A5784="","",$B$1-MAXIFS(Donasi!$A$2:$A$20000,Donasi!$B$2:$B$20000,A5784))</f>
        <v/>
      </c>
      <c r="C5784">
        <f>IF(A5784="","",COUNTIF(Donasi!$B$2:$B$20000,A5784))</f>
        <v/>
      </c>
      <c r="D5784">
        <f>IF(A5784="","",SUMIF(Donasi!$B$2:$B$20000,A5784,Donasi!$C$2:$C$20000))</f>
        <v/>
      </c>
      <c r="E5784">
        <f>IF(A5784="","",6-CEILING(PERCENTRANK.INC($B$3:$B$6000,B5784,4)*5+0.000001,1))</f>
        <v/>
      </c>
      <c r="F5784">
        <f>IF(A5784="","",MAX(1,CEILING(PERCENTRANK.INC($C$3:$C$6000,C5784,4)*5+0.000001,1)))</f>
        <v/>
      </c>
      <c r="G5784">
        <f>IF(A5784="","",MAX(1,CEILING(PERCENTRANK.INC($D$3:$D$6000,D5784,4)*5+0.000001,1)))</f>
        <v/>
      </c>
      <c r="H5784">
        <f>IF(A5784="","",E5784&amp;F5784&amp;G5784)</f>
        <v/>
      </c>
      <c r="I5784">
        <f>IF(A5784="","",IF(AND(E5784&gt;=4,F5784&gt;=4,G5784&gt;=4),"Juara",IF(AND(F5784&gt;=4,E5784&gt;=3),"Setia",IF(AND(E5784=5,F5784&lt;=2,G5784&gt;=3),"Berpotensi",IF(AND(E5784&lt;=3,E5784&gt;=2,F5784&gt;=3),"Rawan",IF(AND(E5784&lt;=2,F5784&lt;=2),"Tidur","Umum"))))))</f>
        <v/>
      </c>
    </row>
    <row r="5785">
      <c r="B5785">
        <f>IF(A5785="","",$B$1-MAXIFS(Donasi!$A$2:$A$20000,Donasi!$B$2:$B$20000,A5785))</f>
        <v/>
      </c>
      <c r="C5785">
        <f>IF(A5785="","",COUNTIF(Donasi!$B$2:$B$20000,A5785))</f>
        <v/>
      </c>
      <c r="D5785">
        <f>IF(A5785="","",SUMIF(Donasi!$B$2:$B$20000,A5785,Donasi!$C$2:$C$20000))</f>
        <v/>
      </c>
      <c r="E5785">
        <f>IF(A5785="","",6-CEILING(PERCENTRANK.INC($B$3:$B$6000,B5785,4)*5+0.000001,1))</f>
        <v/>
      </c>
      <c r="F5785">
        <f>IF(A5785="","",MAX(1,CEILING(PERCENTRANK.INC($C$3:$C$6000,C5785,4)*5+0.000001,1)))</f>
        <v/>
      </c>
      <c r="G5785">
        <f>IF(A5785="","",MAX(1,CEILING(PERCENTRANK.INC($D$3:$D$6000,D5785,4)*5+0.000001,1)))</f>
        <v/>
      </c>
      <c r="H5785">
        <f>IF(A5785="","",E5785&amp;F5785&amp;G5785)</f>
        <v/>
      </c>
      <c r="I5785">
        <f>IF(A5785="","",IF(AND(E5785&gt;=4,F5785&gt;=4,G5785&gt;=4),"Juara",IF(AND(F5785&gt;=4,E5785&gt;=3),"Setia",IF(AND(E5785=5,F5785&lt;=2,G5785&gt;=3),"Berpotensi",IF(AND(E5785&lt;=3,E5785&gt;=2,F5785&gt;=3),"Rawan",IF(AND(E5785&lt;=2,F5785&lt;=2),"Tidur","Umum"))))))</f>
        <v/>
      </c>
    </row>
    <row r="5786">
      <c r="B5786">
        <f>IF(A5786="","",$B$1-MAXIFS(Donasi!$A$2:$A$20000,Donasi!$B$2:$B$20000,A5786))</f>
        <v/>
      </c>
      <c r="C5786">
        <f>IF(A5786="","",COUNTIF(Donasi!$B$2:$B$20000,A5786))</f>
        <v/>
      </c>
      <c r="D5786">
        <f>IF(A5786="","",SUMIF(Donasi!$B$2:$B$20000,A5786,Donasi!$C$2:$C$20000))</f>
        <v/>
      </c>
      <c r="E5786">
        <f>IF(A5786="","",6-CEILING(PERCENTRANK.INC($B$3:$B$6000,B5786,4)*5+0.000001,1))</f>
        <v/>
      </c>
      <c r="F5786">
        <f>IF(A5786="","",MAX(1,CEILING(PERCENTRANK.INC($C$3:$C$6000,C5786,4)*5+0.000001,1)))</f>
        <v/>
      </c>
      <c r="G5786">
        <f>IF(A5786="","",MAX(1,CEILING(PERCENTRANK.INC($D$3:$D$6000,D5786,4)*5+0.000001,1)))</f>
        <v/>
      </c>
      <c r="H5786">
        <f>IF(A5786="","",E5786&amp;F5786&amp;G5786)</f>
        <v/>
      </c>
      <c r="I5786">
        <f>IF(A5786="","",IF(AND(E5786&gt;=4,F5786&gt;=4,G5786&gt;=4),"Juara",IF(AND(F5786&gt;=4,E5786&gt;=3),"Setia",IF(AND(E5786=5,F5786&lt;=2,G5786&gt;=3),"Berpotensi",IF(AND(E5786&lt;=3,E5786&gt;=2,F5786&gt;=3),"Rawan",IF(AND(E5786&lt;=2,F5786&lt;=2),"Tidur","Umum"))))))</f>
        <v/>
      </c>
    </row>
    <row r="5787">
      <c r="B5787">
        <f>IF(A5787="","",$B$1-MAXIFS(Donasi!$A$2:$A$20000,Donasi!$B$2:$B$20000,A5787))</f>
        <v/>
      </c>
      <c r="C5787">
        <f>IF(A5787="","",COUNTIF(Donasi!$B$2:$B$20000,A5787))</f>
        <v/>
      </c>
      <c r="D5787">
        <f>IF(A5787="","",SUMIF(Donasi!$B$2:$B$20000,A5787,Donasi!$C$2:$C$20000))</f>
        <v/>
      </c>
      <c r="E5787">
        <f>IF(A5787="","",6-CEILING(PERCENTRANK.INC($B$3:$B$6000,B5787,4)*5+0.000001,1))</f>
        <v/>
      </c>
      <c r="F5787">
        <f>IF(A5787="","",MAX(1,CEILING(PERCENTRANK.INC($C$3:$C$6000,C5787,4)*5+0.000001,1)))</f>
        <v/>
      </c>
      <c r="G5787">
        <f>IF(A5787="","",MAX(1,CEILING(PERCENTRANK.INC($D$3:$D$6000,D5787,4)*5+0.000001,1)))</f>
        <v/>
      </c>
      <c r="H5787">
        <f>IF(A5787="","",E5787&amp;F5787&amp;G5787)</f>
        <v/>
      </c>
      <c r="I5787">
        <f>IF(A5787="","",IF(AND(E5787&gt;=4,F5787&gt;=4,G5787&gt;=4),"Juara",IF(AND(F5787&gt;=4,E5787&gt;=3),"Setia",IF(AND(E5787=5,F5787&lt;=2,G5787&gt;=3),"Berpotensi",IF(AND(E5787&lt;=3,E5787&gt;=2,F5787&gt;=3),"Rawan",IF(AND(E5787&lt;=2,F5787&lt;=2),"Tidur","Umum"))))))</f>
        <v/>
      </c>
    </row>
    <row r="5788">
      <c r="B5788">
        <f>IF(A5788="","",$B$1-MAXIFS(Donasi!$A$2:$A$20000,Donasi!$B$2:$B$20000,A5788))</f>
        <v/>
      </c>
      <c r="C5788">
        <f>IF(A5788="","",COUNTIF(Donasi!$B$2:$B$20000,A5788))</f>
        <v/>
      </c>
      <c r="D5788">
        <f>IF(A5788="","",SUMIF(Donasi!$B$2:$B$20000,A5788,Donasi!$C$2:$C$20000))</f>
        <v/>
      </c>
      <c r="E5788">
        <f>IF(A5788="","",6-CEILING(PERCENTRANK.INC($B$3:$B$6000,B5788,4)*5+0.000001,1))</f>
        <v/>
      </c>
      <c r="F5788">
        <f>IF(A5788="","",MAX(1,CEILING(PERCENTRANK.INC($C$3:$C$6000,C5788,4)*5+0.000001,1)))</f>
        <v/>
      </c>
      <c r="G5788">
        <f>IF(A5788="","",MAX(1,CEILING(PERCENTRANK.INC($D$3:$D$6000,D5788,4)*5+0.000001,1)))</f>
        <v/>
      </c>
      <c r="H5788">
        <f>IF(A5788="","",E5788&amp;F5788&amp;G5788)</f>
        <v/>
      </c>
      <c r="I5788">
        <f>IF(A5788="","",IF(AND(E5788&gt;=4,F5788&gt;=4,G5788&gt;=4),"Juara",IF(AND(F5788&gt;=4,E5788&gt;=3),"Setia",IF(AND(E5788=5,F5788&lt;=2,G5788&gt;=3),"Berpotensi",IF(AND(E5788&lt;=3,E5788&gt;=2,F5788&gt;=3),"Rawan",IF(AND(E5788&lt;=2,F5788&lt;=2),"Tidur","Umum"))))))</f>
        <v/>
      </c>
    </row>
    <row r="5789">
      <c r="B5789">
        <f>IF(A5789="","",$B$1-MAXIFS(Donasi!$A$2:$A$20000,Donasi!$B$2:$B$20000,A5789))</f>
        <v/>
      </c>
      <c r="C5789">
        <f>IF(A5789="","",COUNTIF(Donasi!$B$2:$B$20000,A5789))</f>
        <v/>
      </c>
      <c r="D5789">
        <f>IF(A5789="","",SUMIF(Donasi!$B$2:$B$20000,A5789,Donasi!$C$2:$C$20000))</f>
        <v/>
      </c>
      <c r="E5789">
        <f>IF(A5789="","",6-CEILING(PERCENTRANK.INC($B$3:$B$6000,B5789,4)*5+0.000001,1))</f>
        <v/>
      </c>
      <c r="F5789">
        <f>IF(A5789="","",MAX(1,CEILING(PERCENTRANK.INC($C$3:$C$6000,C5789,4)*5+0.000001,1)))</f>
        <v/>
      </c>
      <c r="G5789">
        <f>IF(A5789="","",MAX(1,CEILING(PERCENTRANK.INC($D$3:$D$6000,D5789,4)*5+0.000001,1)))</f>
        <v/>
      </c>
      <c r="H5789">
        <f>IF(A5789="","",E5789&amp;F5789&amp;G5789)</f>
        <v/>
      </c>
      <c r="I5789">
        <f>IF(A5789="","",IF(AND(E5789&gt;=4,F5789&gt;=4,G5789&gt;=4),"Juara",IF(AND(F5789&gt;=4,E5789&gt;=3),"Setia",IF(AND(E5789=5,F5789&lt;=2,G5789&gt;=3),"Berpotensi",IF(AND(E5789&lt;=3,E5789&gt;=2,F5789&gt;=3),"Rawan",IF(AND(E5789&lt;=2,F5789&lt;=2),"Tidur","Umum"))))))</f>
        <v/>
      </c>
    </row>
    <row r="5790">
      <c r="B5790">
        <f>IF(A5790="","",$B$1-MAXIFS(Donasi!$A$2:$A$20000,Donasi!$B$2:$B$20000,A5790))</f>
        <v/>
      </c>
      <c r="C5790">
        <f>IF(A5790="","",COUNTIF(Donasi!$B$2:$B$20000,A5790))</f>
        <v/>
      </c>
      <c r="D5790">
        <f>IF(A5790="","",SUMIF(Donasi!$B$2:$B$20000,A5790,Donasi!$C$2:$C$20000))</f>
        <v/>
      </c>
      <c r="E5790">
        <f>IF(A5790="","",6-CEILING(PERCENTRANK.INC($B$3:$B$6000,B5790,4)*5+0.000001,1))</f>
        <v/>
      </c>
      <c r="F5790">
        <f>IF(A5790="","",MAX(1,CEILING(PERCENTRANK.INC($C$3:$C$6000,C5790,4)*5+0.000001,1)))</f>
        <v/>
      </c>
      <c r="G5790">
        <f>IF(A5790="","",MAX(1,CEILING(PERCENTRANK.INC($D$3:$D$6000,D5790,4)*5+0.000001,1)))</f>
        <v/>
      </c>
      <c r="H5790">
        <f>IF(A5790="","",E5790&amp;F5790&amp;G5790)</f>
        <v/>
      </c>
      <c r="I5790">
        <f>IF(A5790="","",IF(AND(E5790&gt;=4,F5790&gt;=4,G5790&gt;=4),"Juara",IF(AND(F5790&gt;=4,E5790&gt;=3),"Setia",IF(AND(E5790=5,F5790&lt;=2,G5790&gt;=3),"Berpotensi",IF(AND(E5790&lt;=3,E5790&gt;=2,F5790&gt;=3),"Rawan",IF(AND(E5790&lt;=2,F5790&lt;=2),"Tidur","Umum"))))))</f>
        <v/>
      </c>
    </row>
    <row r="5791">
      <c r="B5791">
        <f>IF(A5791="","",$B$1-MAXIFS(Donasi!$A$2:$A$20000,Donasi!$B$2:$B$20000,A5791))</f>
        <v/>
      </c>
      <c r="C5791">
        <f>IF(A5791="","",COUNTIF(Donasi!$B$2:$B$20000,A5791))</f>
        <v/>
      </c>
      <c r="D5791">
        <f>IF(A5791="","",SUMIF(Donasi!$B$2:$B$20000,A5791,Donasi!$C$2:$C$20000))</f>
        <v/>
      </c>
      <c r="E5791">
        <f>IF(A5791="","",6-CEILING(PERCENTRANK.INC($B$3:$B$6000,B5791,4)*5+0.000001,1))</f>
        <v/>
      </c>
      <c r="F5791">
        <f>IF(A5791="","",MAX(1,CEILING(PERCENTRANK.INC($C$3:$C$6000,C5791,4)*5+0.000001,1)))</f>
        <v/>
      </c>
      <c r="G5791">
        <f>IF(A5791="","",MAX(1,CEILING(PERCENTRANK.INC($D$3:$D$6000,D5791,4)*5+0.000001,1)))</f>
        <v/>
      </c>
      <c r="H5791">
        <f>IF(A5791="","",E5791&amp;F5791&amp;G5791)</f>
        <v/>
      </c>
      <c r="I5791">
        <f>IF(A5791="","",IF(AND(E5791&gt;=4,F5791&gt;=4,G5791&gt;=4),"Juara",IF(AND(F5791&gt;=4,E5791&gt;=3),"Setia",IF(AND(E5791=5,F5791&lt;=2,G5791&gt;=3),"Berpotensi",IF(AND(E5791&lt;=3,E5791&gt;=2,F5791&gt;=3),"Rawan",IF(AND(E5791&lt;=2,F5791&lt;=2),"Tidur","Umum"))))))</f>
        <v/>
      </c>
    </row>
    <row r="5792">
      <c r="B5792">
        <f>IF(A5792="","",$B$1-MAXIFS(Donasi!$A$2:$A$20000,Donasi!$B$2:$B$20000,A5792))</f>
        <v/>
      </c>
      <c r="C5792">
        <f>IF(A5792="","",COUNTIF(Donasi!$B$2:$B$20000,A5792))</f>
        <v/>
      </c>
      <c r="D5792">
        <f>IF(A5792="","",SUMIF(Donasi!$B$2:$B$20000,A5792,Donasi!$C$2:$C$20000))</f>
        <v/>
      </c>
      <c r="E5792">
        <f>IF(A5792="","",6-CEILING(PERCENTRANK.INC($B$3:$B$6000,B5792,4)*5+0.000001,1))</f>
        <v/>
      </c>
      <c r="F5792">
        <f>IF(A5792="","",MAX(1,CEILING(PERCENTRANK.INC($C$3:$C$6000,C5792,4)*5+0.000001,1)))</f>
        <v/>
      </c>
      <c r="G5792">
        <f>IF(A5792="","",MAX(1,CEILING(PERCENTRANK.INC($D$3:$D$6000,D5792,4)*5+0.000001,1)))</f>
        <v/>
      </c>
      <c r="H5792">
        <f>IF(A5792="","",E5792&amp;F5792&amp;G5792)</f>
        <v/>
      </c>
      <c r="I5792">
        <f>IF(A5792="","",IF(AND(E5792&gt;=4,F5792&gt;=4,G5792&gt;=4),"Juara",IF(AND(F5792&gt;=4,E5792&gt;=3),"Setia",IF(AND(E5792=5,F5792&lt;=2,G5792&gt;=3),"Berpotensi",IF(AND(E5792&lt;=3,E5792&gt;=2,F5792&gt;=3),"Rawan",IF(AND(E5792&lt;=2,F5792&lt;=2),"Tidur","Umum"))))))</f>
        <v/>
      </c>
    </row>
    <row r="5793">
      <c r="B5793">
        <f>IF(A5793="","",$B$1-MAXIFS(Donasi!$A$2:$A$20000,Donasi!$B$2:$B$20000,A5793))</f>
        <v/>
      </c>
      <c r="C5793">
        <f>IF(A5793="","",COUNTIF(Donasi!$B$2:$B$20000,A5793))</f>
        <v/>
      </c>
      <c r="D5793">
        <f>IF(A5793="","",SUMIF(Donasi!$B$2:$B$20000,A5793,Donasi!$C$2:$C$20000))</f>
        <v/>
      </c>
      <c r="E5793">
        <f>IF(A5793="","",6-CEILING(PERCENTRANK.INC($B$3:$B$6000,B5793,4)*5+0.000001,1))</f>
        <v/>
      </c>
      <c r="F5793">
        <f>IF(A5793="","",MAX(1,CEILING(PERCENTRANK.INC($C$3:$C$6000,C5793,4)*5+0.000001,1)))</f>
        <v/>
      </c>
      <c r="G5793">
        <f>IF(A5793="","",MAX(1,CEILING(PERCENTRANK.INC($D$3:$D$6000,D5793,4)*5+0.000001,1)))</f>
        <v/>
      </c>
      <c r="H5793">
        <f>IF(A5793="","",E5793&amp;F5793&amp;G5793)</f>
        <v/>
      </c>
      <c r="I5793">
        <f>IF(A5793="","",IF(AND(E5793&gt;=4,F5793&gt;=4,G5793&gt;=4),"Juara",IF(AND(F5793&gt;=4,E5793&gt;=3),"Setia",IF(AND(E5793=5,F5793&lt;=2,G5793&gt;=3),"Berpotensi",IF(AND(E5793&lt;=3,E5793&gt;=2,F5793&gt;=3),"Rawan",IF(AND(E5793&lt;=2,F5793&lt;=2),"Tidur","Umum"))))))</f>
        <v/>
      </c>
    </row>
    <row r="5794">
      <c r="B5794">
        <f>IF(A5794="","",$B$1-MAXIFS(Donasi!$A$2:$A$20000,Donasi!$B$2:$B$20000,A5794))</f>
        <v/>
      </c>
      <c r="C5794">
        <f>IF(A5794="","",COUNTIF(Donasi!$B$2:$B$20000,A5794))</f>
        <v/>
      </c>
      <c r="D5794">
        <f>IF(A5794="","",SUMIF(Donasi!$B$2:$B$20000,A5794,Donasi!$C$2:$C$20000))</f>
        <v/>
      </c>
      <c r="E5794">
        <f>IF(A5794="","",6-CEILING(PERCENTRANK.INC($B$3:$B$6000,B5794,4)*5+0.000001,1))</f>
        <v/>
      </c>
      <c r="F5794">
        <f>IF(A5794="","",MAX(1,CEILING(PERCENTRANK.INC($C$3:$C$6000,C5794,4)*5+0.000001,1)))</f>
        <v/>
      </c>
      <c r="G5794">
        <f>IF(A5794="","",MAX(1,CEILING(PERCENTRANK.INC($D$3:$D$6000,D5794,4)*5+0.000001,1)))</f>
        <v/>
      </c>
      <c r="H5794">
        <f>IF(A5794="","",E5794&amp;F5794&amp;G5794)</f>
        <v/>
      </c>
      <c r="I5794">
        <f>IF(A5794="","",IF(AND(E5794&gt;=4,F5794&gt;=4,G5794&gt;=4),"Juara",IF(AND(F5794&gt;=4,E5794&gt;=3),"Setia",IF(AND(E5794=5,F5794&lt;=2,G5794&gt;=3),"Berpotensi",IF(AND(E5794&lt;=3,E5794&gt;=2,F5794&gt;=3),"Rawan",IF(AND(E5794&lt;=2,F5794&lt;=2),"Tidur","Umum"))))))</f>
        <v/>
      </c>
    </row>
    <row r="5795">
      <c r="B5795">
        <f>IF(A5795="","",$B$1-MAXIFS(Donasi!$A$2:$A$20000,Donasi!$B$2:$B$20000,A5795))</f>
        <v/>
      </c>
      <c r="C5795">
        <f>IF(A5795="","",COUNTIF(Donasi!$B$2:$B$20000,A5795))</f>
        <v/>
      </c>
      <c r="D5795">
        <f>IF(A5795="","",SUMIF(Donasi!$B$2:$B$20000,A5795,Donasi!$C$2:$C$20000))</f>
        <v/>
      </c>
      <c r="E5795">
        <f>IF(A5795="","",6-CEILING(PERCENTRANK.INC($B$3:$B$6000,B5795,4)*5+0.000001,1))</f>
        <v/>
      </c>
      <c r="F5795">
        <f>IF(A5795="","",MAX(1,CEILING(PERCENTRANK.INC($C$3:$C$6000,C5795,4)*5+0.000001,1)))</f>
        <v/>
      </c>
      <c r="G5795">
        <f>IF(A5795="","",MAX(1,CEILING(PERCENTRANK.INC($D$3:$D$6000,D5795,4)*5+0.000001,1)))</f>
        <v/>
      </c>
      <c r="H5795">
        <f>IF(A5795="","",E5795&amp;F5795&amp;G5795)</f>
        <v/>
      </c>
      <c r="I5795">
        <f>IF(A5795="","",IF(AND(E5795&gt;=4,F5795&gt;=4,G5795&gt;=4),"Juara",IF(AND(F5795&gt;=4,E5795&gt;=3),"Setia",IF(AND(E5795=5,F5795&lt;=2,G5795&gt;=3),"Berpotensi",IF(AND(E5795&lt;=3,E5795&gt;=2,F5795&gt;=3),"Rawan",IF(AND(E5795&lt;=2,F5795&lt;=2),"Tidur","Umum"))))))</f>
        <v/>
      </c>
    </row>
    <row r="5796">
      <c r="B5796">
        <f>IF(A5796="","",$B$1-MAXIFS(Donasi!$A$2:$A$20000,Donasi!$B$2:$B$20000,A5796))</f>
        <v/>
      </c>
      <c r="C5796">
        <f>IF(A5796="","",COUNTIF(Donasi!$B$2:$B$20000,A5796))</f>
        <v/>
      </c>
      <c r="D5796">
        <f>IF(A5796="","",SUMIF(Donasi!$B$2:$B$20000,A5796,Donasi!$C$2:$C$20000))</f>
        <v/>
      </c>
      <c r="E5796">
        <f>IF(A5796="","",6-CEILING(PERCENTRANK.INC($B$3:$B$6000,B5796,4)*5+0.000001,1))</f>
        <v/>
      </c>
      <c r="F5796">
        <f>IF(A5796="","",MAX(1,CEILING(PERCENTRANK.INC($C$3:$C$6000,C5796,4)*5+0.000001,1)))</f>
        <v/>
      </c>
      <c r="G5796">
        <f>IF(A5796="","",MAX(1,CEILING(PERCENTRANK.INC($D$3:$D$6000,D5796,4)*5+0.000001,1)))</f>
        <v/>
      </c>
      <c r="H5796">
        <f>IF(A5796="","",E5796&amp;F5796&amp;G5796)</f>
        <v/>
      </c>
      <c r="I5796">
        <f>IF(A5796="","",IF(AND(E5796&gt;=4,F5796&gt;=4,G5796&gt;=4),"Juara",IF(AND(F5796&gt;=4,E5796&gt;=3),"Setia",IF(AND(E5796=5,F5796&lt;=2,G5796&gt;=3),"Berpotensi",IF(AND(E5796&lt;=3,E5796&gt;=2,F5796&gt;=3),"Rawan",IF(AND(E5796&lt;=2,F5796&lt;=2),"Tidur","Umum"))))))</f>
        <v/>
      </c>
    </row>
    <row r="5797">
      <c r="B5797">
        <f>IF(A5797="","",$B$1-MAXIFS(Donasi!$A$2:$A$20000,Donasi!$B$2:$B$20000,A5797))</f>
        <v/>
      </c>
      <c r="C5797">
        <f>IF(A5797="","",COUNTIF(Donasi!$B$2:$B$20000,A5797))</f>
        <v/>
      </c>
      <c r="D5797">
        <f>IF(A5797="","",SUMIF(Donasi!$B$2:$B$20000,A5797,Donasi!$C$2:$C$20000))</f>
        <v/>
      </c>
      <c r="E5797">
        <f>IF(A5797="","",6-CEILING(PERCENTRANK.INC($B$3:$B$6000,B5797,4)*5+0.000001,1))</f>
        <v/>
      </c>
      <c r="F5797">
        <f>IF(A5797="","",MAX(1,CEILING(PERCENTRANK.INC($C$3:$C$6000,C5797,4)*5+0.000001,1)))</f>
        <v/>
      </c>
      <c r="G5797">
        <f>IF(A5797="","",MAX(1,CEILING(PERCENTRANK.INC($D$3:$D$6000,D5797,4)*5+0.000001,1)))</f>
        <v/>
      </c>
      <c r="H5797">
        <f>IF(A5797="","",E5797&amp;F5797&amp;G5797)</f>
        <v/>
      </c>
      <c r="I5797">
        <f>IF(A5797="","",IF(AND(E5797&gt;=4,F5797&gt;=4,G5797&gt;=4),"Juara",IF(AND(F5797&gt;=4,E5797&gt;=3),"Setia",IF(AND(E5797=5,F5797&lt;=2,G5797&gt;=3),"Berpotensi",IF(AND(E5797&lt;=3,E5797&gt;=2,F5797&gt;=3),"Rawan",IF(AND(E5797&lt;=2,F5797&lt;=2),"Tidur","Umum"))))))</f>
        <v/>
      </c>
    </row>
    <row r="5798">
      <c r="B5798">
        <f>IF(A5798="","",$B$1-MAXIFS(Donasi!$A$2:$A$20000,Donasi!$B$2:$B$20000,A5798))</f>
        <v/>
      </c>
      <c r="C5798">
        <f>IF(A5798="","",COUNTIF(Donasi!$B$2:$B$20000,A5798))</f>
        <v/>
      </c>
      <c r="D5798">
        <f>IF(A5798="","",SUMIF(Donasi!$B$2:$B$20000,A5798,Donasi!$C$2:$C$20000))</f>
        <v/>
      </c>
      <c r="E5798">
        <f>IF(A5798="","",6-CEILING(PERCENTRANK.INC($B$3:$B$6000,B5798,4)*5+0.000001,1))</f>
        <v/>
      </c>
      <c r="F5798">
        <f>IF(A5798="","",MAX(1,CEILING(PERCENTRANK.INC($C$3:$C$6000,C5798,4)*5+0.000001,1)))</f>
        <v/>
      </c>
      <c r="G5798">
        <f>IF(A5798="","",MAX(1,CEILING(PERCENTRANK.INC($D$3:$D$6000,D5798,4)*5+0.000001,1)))</f>
        <v/>
      </c>
      <c r="H5798">
        <f>IF(A5798="","",E5798&amp;F5798&amp;G5798)</f>
        <v/>
      </c>
      <c r="I5798">
        <f>IF(A5798="","",IF(AND(E5798&gt;=4,F5798&gt;=4,G5798&gt;=4),"Juara",IF(AND(F5798&gt;=4,E5798&gt;=3),"Setia",IF(AND(E5798=5,F5798&lt;=2,G5798&gt;=3),"Berpotensi",IF(AND(E5798&lt;=3,E5798&gt;=2,F5798&gt;=3),"Rawan",IF(AND(E5798&lt;=2,F5798&lt;=2),"Tidur","Umum"))))))</f>
        <v/>
      </c>
    </row>
    <row r="5799">
      <c r="B5799">
        <f>IF(A5799="","",$B$1-MAXIFS(Donasi!$A$2:$A$20000,Donasi!$B$2:$B$20000,A5799))</f>
        <v/>
      </c>
      <c r="C5799">
        <f>IF(A5799="","",COUNTIF(Donasi!$B$2:$B$20000,A5799))</f>
        <v/>
      </c>
      <c r="D5799">
        <f>IF(A5799="","",SUMIF(Donasi!$B$2:$B$20000,A5799,Donasi!$C$2:$C$20000))</f>
        <v/>
      </c>
      <c r="E5799">
        <f>IF(A5799="","",6-CEILING(PERCENTRANK.INC($B$3:$B$6000,B5799,4)*5+0.000001,1))</f>
        <v/>
      </c>
      <c r="F5799">
        <f>IF(A5799="","",MAX(1,CEILING(PERCENTRANK.INC($C$3:$C$6000,C5799,4)*5+0.000001,1)))</f>
        <v/>
      </c>
      <c r="G5799">
        <f>IF(A5799="","",MAX(1,CEILING(PERCENTRANK.INC($D$3:$D$6000,D5799,4)*5+0.000001,1)))</f>
        <v/>
      </c>
      <c r="H5799">
        <f>IF(A5799="","",E5799&amp;F5799&amp;G5799)</f>
        <v/>
      </c>
      <c r="I5799">
        <f>IF(A5799="","",IF(AND(E5799&gt;=4,F5799&gt;=4,G5799&gt;=4),"Juara",IF(AND(F5799&gt;=4,E5799&gt;=3),"Setia",IF(AND(E5799=5,F5799&lt;=2,G5799&gt;=3),"Berpotensi",IF(AND(E5799&lt;=3,E5799&gt;=2,F5799&gt;=3),"Rawan",IF(AND(E5799&lt;=2,F5799&lt;=2),"Tidur","Umum"))))))</f>
        <v/>
      </c>
    </row>
    <row r="5800">
      <c r="B5800">
        <f>IF(A5800="","",$B$1-MAXIFS(Donasi!$A$2:$A$20000,Donasi!$B$2:$B$20000,A5800))</f>
        <v/>
      </c>
      <c r="C5800">
        <f>IF(A5800="","",COUNTIF(Donasi!$B$2:$B$20000,A5800))</f>
        <v/>
      </c>
      <c r="D5800">
        <f>IF(A5800="","",SUMIF(Donasi!$B$2:$B$20000,A5800,Donasi!$C$2:$C$20000))</f>
        <v/>
      </c>
      <c r="E5800">
        <f>IF(A5800="","",6-CEILING(PERCENTRANK.INC($B$3:$B$6000,B5800,4)*5+0.000001,1))</f>
        <v/>
      </c>
      <c r="F5800">
        <f>IF(A5800="","",MAX(1,CEILING(PERCENTRANK.INC($C$3:$C$6000,C5800,4)*5+0.000001,1)))</f>
        <v/>
      </c>
      <c r="G5800">
        <f>IF(A5800="","",MAX(1,CEILING(PERCENTRANK.INC($D$3:$D$6000,D5800,4)*5+0.000001,1)))</f>
        <v/>
      </c>
      <c r="H5800">
        <f>IF(A5800="","",E5800&amp;F5800&amp;G5800)</f>
        <v/>
      </c>
      <c r="I5800">
        <f>IF(A5800="","",IF(AND(E5800&gt;=4,F5800&gt;=4,G5800&gt;=4),"Juara",IF(AND(F5800&gt;=4,E5800&gt;=3),"Setia",IF(AND(E5800=5,F5800&lt;=2,G5800&gt;=3),"Berpotensi",IF(AND(E5800&lt;=3,E5800&gt;=2,F5800&gt;=3),"Rawan",IF(AND(E5800&lt;=2,F5800&lt;=2),"Tidur","Umum"))))))</f>
        <v/>
      </c>
    </row>
    <row r="5801">
      <c r="B5801">
        <f>IF(A5801="","",$B$1-MAXIFS(Donasi!$A$2:$A$20000,Donasi!$B$2:$B$20000,A5801))</f>
        <v/>
      </c>
      <c r="C5801">
        <f>IF(A5801="","",COUNTIF(Donasi!$B$2:$B$20000,A5801))</f>
        <v/>
      </c>
      <c r="D5801">
        <f>IF(A5801="","",SUMIF(Donasi!$B$2:$B$20000,A5801,Donasi!$C$2:$C$20000))</f>
        <v/>
      </c>
      <c r="E5801">
        <f>IF(A5801="","",6-CEILING(PERCENTRANK.INC($B$3:$B$6000,B5801,4)*5+0.000001,1))</f>
        <v/>
      </c>
      <c r="F5801">
        <f>IF(A5801="","",MAX(1,CEILING(PERCENTRANK.INC($C$3:$C$6000,C5801,4)*5+0.000001,1)))</f>
        <v/>
      </c>
      <c r="G5801">
        <f>IF(A5801="","",MAX(1,CEILING(PERCENTRANK.INC($D$3:$D$6000,D5801,4)*5+0.000001,1)))</f>
        <v/>
      </c>
      <c r="H5801">
        <f>IF(A5801="","",E5801&amp;F5801&amp;G5801)</f>
        <v/>
      </c>
      <c r="I5801">
        <f>IF(A5801="","",IF(AND(E5801&gt;=4,F5801&gt;=4,G5801&gt;=4),"Juara",IF(AND(F5801&gt;=4,E5801&gt;=3),"Setia",IF(AND(E5801=5,F5801&lt;=2,G5801&gt;=3),"Berpotensi",IF(AND(E5801&lt;=3,E5801&gt;=2,F5801&gt;=3),"Rawan",IF(AND(E5801&lt;=2,F5801&lt;=2),"Tidur","Umum"))))))</f>
        <v/>
      </c>
    </row>
    <row r="5802">
      <c r="B5802">
        <f>IF(A5802="","",$B$1-MAXIFS(Donasi!$A$2:$A$20000,Donasi!$B$2:$B$20000,A5802))</f>
        <v/>
      </c>
      <c r="C5802">
        <f>IF(A5802="","",COUNTIF(Donasi!$B$2:$B$20000,A5802))</f>
        <v/>
      </c>
      <c r="D5802">
        <f>IF(A5802="","",SUMIF(Donasi!$B$2:$B$20000,A5802,Donasi!$C$2:$C$20000))</f>
        <v/>
      </c>
      <c r="E5802">
        <f>IF(A5802="","",6-CEILING(PERCENTRANK.INC($B$3:$B$6000,B5802,4)*5+0.000001,1))</f>
        <v/>
      </c>
      <c r="F5802">
        <f>IF(A5802="","",MAX(1,CEILING(PERCENTRANK.INC($C$3:$C$6000,C5802,4)*5+0.000001,1)))</f>
        <v/>
      </c>
      <c r="G5802">
        <f>IF(A5802="","",MAX(1,CEILING(PERCENTRANK.INC($D$3:$D$6000,D5802,4)*5+0.000001,1)))</f>
        <v/>
      </c>
      <c r="H5802">
        <f>IF(A5802="","",E5802&amp;F5802&amp;G5802)</f>
        <v/>
      </c>
      <c r="I5802">
        <f>IF(A5802="","",IF(AND(E5802&gt;=4,F5802&gt;=4,G5802&gt;=4),"Juara",IF(AND(F5802&gt;=4,E5802&gt;=3),"Setia",IF(AND(E5802=5,F5802&lt;=2,G5802&gt;=3),"Berpotensi",IF(AND(E5802&lt;=3,E5802&gt;=2,F5802&gt;=3),"Rawan",IF(AND(E5802&lt;=2,F5802&lt;=2),"Tidur","Umum"))))))</f>
        <v/>
      </c>
    </row>
    <row r="5803">
      <c r="B5803">
        <f>IF(A5803="","",$B$1-MAXIFS(Donasi!$A$2:$A$20000,Donasi!$B$2:$B$20000,A5803))</f>
        <v/>
      </c>
      <c r="C5803">
        <f>IF(A5803="","",COUNTIF(Donasi!$B$2:$B$20000,A5803))</f>
        <v/>
      </c>
      <c r="D5803">
        <f>IF(A5803="","",SUMIF(Donasi!$B$2:$B$20000,A5803,Donasi!$C$2:$C$20000))</f>
        <v/>
      </c>
      <c r="E5803">
        <f>IF(A5803="","",6-CEILING(PERCENTRANK.INC($B$3:$B$6000,B5803,4)*5+0.000001,1))</f>
        <v/>
      </c>
      <c r="F5803">
        <f>IF(A5803="","",MAX(1,CEILING(PERCENTRANK.INC($C$3:$C$6000,C5803,4)*5+0.000001,1)))</f>
        <v/>
      </c>
      <c r="G5803">
        <f>IF(A5803="","",MAX(1,CEILING(PERCENTRANK.INC($D$3:$D$6000,D5803,4)*5+0.000001,1)))</f>
        <v/>
      </c>
      <c r="H5803">
        <f>IF(A5803="","",E5803&amp;F5803&amp;G5803)</f>
        <v/>
      </c>
      <c r="I5803">
        <f>IF(A5803="","",IF(AND(E5803&gt;=4,F5803&gt;=4,G5803&gt;=4),"Juara",IF(AND(F5803&gt;=4,E5803&gt;=3),"Setia",IF(AND(E5803=5,F5803&lt;=2,G5803&gt;=3),"Berpotensi",IF(AND(E5803&lt;=3,E5803&gt;=2,F5803&gt;=3),"Rawan",IF(AND(E5803&lt;=2,F5803&lt;=2),"Tidur","Umum"))))))</f>
        <v/>
      </c>
    </row>
    <row r="5804">
      <c r="B5804">
        <f>IF(A5804="","",$B$1-MAXIFS(Donasi!$A$2:$A$20000,Donasi!$B$2:$B$20000,A5804))</f>
        <v/>
      </c>
      <c r="C5804">
        <f>IF(A5804="","",COUNTIF(Donasi!$B$2:$B$20000,A5804))</f>
        <v/>
      </c>
      <c r="D5804">
        <f>IF(A5804="","",SUMIF(Donasi!$B$2:$B$20000,A5804,Donasi!$C$2:$C$20000))</f>
        <v/>
      </c>
      <c r="E5804">
        <f>IF(A5804="","",6-CEILING(PERCENTRANK.INC($B$3:$B$6000,B5804,4)*5+0.000001,1))</f>
        <v/>
      </c>
      <c r="F5804">
        <f>IF(A5804="","",MAX(1,CEILING(PERCENTRANK.INC($C$3:$C$6000,C5804,4)*5+0.000001,1)))</f>
        <v/>
      </c>
      <c r="G5804">
        <f>IF(A5804="","",MAX(1,CEILING(PERCENTRANK.INC($D$3:$D$6000,D5804,4)*5+0.000001,1)))</f>
        <v/>
      </c>
      <c r="H5804">
        <f>IF(A5804="","",E5804&amp;F5804&amp;G5804)</f>
        <v/>
      </c>
      <c r="I5804">
        <f>IF(A5804="","",IF(AND(E5804&gt;=4,F5804&gt;=4,G5804&gt;=4),"Juara",IF(AND(F5804&gt;=4,E5804&gt;=3),"Setia",IF(AND(E5804=5,F5804&lt;=2,G5804&gt;=3),"Berpotensi",IF(AND(E5804&lt;=3,E5804&gt;=2,F5804&gt;=3),"Rawan",IF(AND(E5804&lt;=2,F5804&lt;=2),"Tidur","Umum"))))))</f>
        <v/>
      </c>
    </row>
    <row r="5805">
      <c r="B5805">
        <f>IF(A5805="","",$B$1-MAXIFS(Donasi!$A$2:$A$20000,Donasi!$B$2:$B$20000,A5805))</f>
        <v/>
      </c>
      <c r="C5805">
        <f>IF(A5805="","",COUNTIF(Donasi!$B$2:$B$20000,A5805))</f>
        <v/>
      </c>
      <c r="D5805">
        <f>IF(A5805="","",SUMIF(Donasi!$B$2:$B$20000,A5805,Donasi!$C$2:$C$20000))</f>
        <v/>
      </c>
      <c r="E5805">
        <f>IF(A5805="","",6-CEILING(PERCENTRANK.INC($B$3:$B$6000,B5805,4)*5+0.000001,1))</f>
        <v/>
      </c>
      <c r="F5805">
        <f>IF(A5805="","",MAX(1,CEILING(PERCENTRANK.INC($C$3:$C$6000,C5805,4)*5+0.000001,1)))</f>
        <v/>
      </c>
      <c r="G5805">
        <f>IF(A5805="","",MAX(1,CEILING(PERCENTRANK.INC($D$3:$D$6000,D5805,4)*5+0.000001,1)))</f>
        <v/>
      </c>
      <c r="H5805">
        <f>IF(A5805="","",E5805&amp;F5805&amp;G5805)</f>
        <v/>
      </c>
      <c r="I5805">
        <f>IF(A5805="","",IF(AND(E5805&gt;=4,F5805&gt;=4,G5805&gt;=4),"Juara",IF(AND(F5805&gt;=4,E5805&gt;=3),"Setia",IF(AND(E5805=5,F5805&lt;=2,G5805&gt;=3),"Berpotensi",IF(AND(E5805&lt;=3,E5805&gt;=2,F5805&gt;=3),"Rawan",IF(AND(E5805&lt;=2,F5805&lt;=2),"Tidur","Umum"))))))</f>
        <v/>
      </c>
    </row>
    <row r="5806">
      <c r="B5806">
        <f>IF(A5806="","",$B$1-MAXIFS(Donasi!$A$2:$A$20000,Donasi!$B$2:$B$20000,A5806))</f>
        <v/>
      </c>
      <c r="C5806">
        <f>IF(A5806="","",COUNTIF(Donasi!$B$2:$B$20000,A5806))</f>
        <v/>
      </c>
      <c r="D5806">
        <f>IF(A5806="","",SUMIF(Donasi!$B$2:$B$20000,A5806,Donasi!$C$2:$C$20000))</f>
        <v/>
      </c>
      <c r="E5806">
        <f>IF(A5806="","",6-CEILING(PERCENTRANK.INC($B$3:$B$6000,B5806,4)*5+0.000001,1))</f>
        <v/>
      </c>
      <c r="F5806">
        <f>IF(A5806="","",MAX(1,CEILING(PERCENTRANK.INC($C$3:$C$6000,C5806,4)*5+0.000001,1)))</f>
        <v/>
      </c>
      <c r="G5806">
        <f>IF(A5806="","",MAX(1,CEILING(PERCENTRANK.INC($D$3:$D$6000,D5806,4)*5+0.000001,1)))</f>
        <v/>
      </c>
      <c r="H5806">
        <f>IF(A5806="","",E5806&amp;F5806&amp;G5806)</f>
        <v/>
      </c>
      <c r="I5806">
        <f>IF(A5806="","",IF(AND(E5806&gt;=4,F5806&gt;=4,G5806&gt;=4),"Juara",IF(AND(F5806&gt;=4,E5806&gt;=3),"Setia",IF(AND(E5806=5,F5806&lt;=2,G5806&gt;=3),"Berpotensi",IF(AND(E5806&lt;=3,E5806&gt;=2,F5806&gt;=3),"Rawan",IF(AND(E5806&lt;=2,F5806&lt;=2),"Tidur","Umum"))))))</f>
        <v/>
      </c>
    </row>
    <row r="5807">
      <c r="B5807">
        <f>IF(A5807="","",$B$1-MAXIFS(Donasi!$A$2:$A$20000,Donasi!$B$2:$B$20000,A5807))</f>
        <v/>
      </c>
      <c r="C5807">
        <f>IF(A5807="","",COUNTIF(Donasi!$B$2:$B$20000,A5807))</f>
        <v/>
      </c>
      <c r="D5807">
        <f>IF(A5807="","",SUMIF(Donasi!$B$2:$B$20000,A5807,Donasi!$C$2:$C$20000))</f>
        <v/>
      </c>
      <c r="E5807">
        <f>IF(A5807="","",6-CEILING(PERCENTRANK.INC($B$3:$B$6000,B5807,4)*5+0.000001,1))</f>
        <v/>
      </c>
      <c r="F5807">
        <f>IF(A5807="","",MAX(1,CEILING(PERCENTRANK.INC($C$3:$C$6000,C5807,4)*5+0.000001,1)))</f>
        <v/>
      </c>
      <c r="G5807">
        <f>IF(A5807="","",MAX(1,CEILING(PERCENTRANK.INC($D$3:$D$6000,D5807,4)*5+0.000001,1)))</f>
        <v/>
      </c>
      <c r="H5807">
        <f>IF(A5807="","",E5807&amp;F5807&amp;G5807)</f>
        <v/>
      </c>
      <c r="I5807">
        <f>IF(A5807="","",IF(AND(E5807&gt;=4,F5807&gt;=4,G5807&gt;=4),"Juara",IF(AND(F5807&gt;=4,E5807&gt;=3),"Setia",IF(AND(E5807=5,F5807&lt;=2,G5807&gt;=3),"Berpotensi",IF(AND(E5807&lt;=3,E5807&gt;=2,F5807&gt;=3),"Rawan",IF(AND(E5807&lt;=2,F5807&lt;=2),"Tidur","Umum"))))))</f>
        <v/>
      </c>
    </row>
    <row r="5808">
      <c r="B5808">
        <f>IF(A5808="","",$B$1-MAXIFS(Donasi!$A$2:$A$20000,Donasi!$B$2:$B$20000,A5808))</f>
        <v/>
      </c>
      <c r="C5808">
        <f>IF(A5808="","",COUNTIF(Donasi!$B$2:$B$20000,A5808))</f>
        <v/>
      </c>
      <c r="D5808">
        <f>IF(A5808="","",SUMIF(Donasi!$B$2:$B$20000,A5808,Donasi!$C$2:$C$20000))</f>
        <v/>
      </c>
      <c r="E5808">
        <f>IF(A5808="","",6-CEILING(PERCENTRANK.INC($B$3:$B$6000,B5808,4)*5+0.000001,1))</f>
        <v/>
      </c>
      <c r="F5808">
        <f>IF(A5808="","",MAX(1,CEILING(PERCENTRANK.INC($C$3:$C$6000,C5808,4)*5+0.000001,1)))</f>
        <v/>
      </c>
      <c r="G5808">
        <f>IF(A5808="","",MAX(1,CEILING(PERCENTRANK.INC($D$3:$D$6000,D5808,4)*5+0.000001,1)))</f>
        <v/>
      </c>
      <c r="H5808">
        <f>IF(A5808="","",E5808&amp;F5808&amp;G5808)</f>
        <v/>
      </c>
      <c r="I5808">
        <f>IF(A5808="","",IF(AND(E5808&gt;=4,F5808&gt;=4,G5808&gt;=4),"Juara",IF(AND(F5808&gt;=4,E5808&gt;=3),"Setia",IF(AND(E5808=5,F5808&lt;=2,G5808&gt;=3),"Berpotensi",IF(AND(E5808&lt;=3,E5808&gt;=2,F5808&gt;=3),"Rawan",IF(AND(E5808&lt;=2,F5808&lt;=2),"Tidur","Umum"))))))</f>
        <v/>
      </c>
    </row>
    <row r="5809">
      <c r="B5809">
        <f>IF(A5809="","",$B$1-MAXIFS(Donasi!$A$2:$A$20000,Donasi!$B$2:$B$20000,A5809))</f>
        <v/>
      </c>
      <c r="C5809">
        <f>IF(A5809="","",COUNTIF(Donasi!$B$2:$B$20000,A5809))</f>
        <v/>
      </c>
      <c r="D5809">
        <f>IF(A5809="","",SUMIF(Donasi!$B$2:$B$20000,A5809,Donasi!$C$2:$C$20000))</f>
        <v/>
      </c>
      <c r="E5809">
        <f>IF(A5809="","",6-CEILING(PERCENTRANK.INC($B$3:$B$6000,B5809,4)*5+0.000001,1))</f>
        <v/>
      </c>
      <c r="F5809">
        <f>IF(A5809="","",MAX(1,CEILING(PERCENTRANK.INC($C$3:$C$6000,C5809,4)*5+0.000001,1)))</f>
        <v/>
      </c>
      <c r="G5809">
        <f>IF(A5809="","",MAX(1,CEILING(PERCENTRANK.INC($D$3:$D$6000,D5809,4)*5+0.000001,1)))</f>
        <v/>
      </c>
      <c r="H5809">
        <f>IF(A5809="","",E5809&amp;F5809&amp;G5809)</f>
        <v/>
      </c>
      <c r="I5809">
        <f>IF(A5809="","",IF(AND(E5809&gt;=4,F5809&gt;=4,G5809&gt;=4),"Juara",IF(AND(F5809&gt;=4,E5809&gt;=3),"Setia",IF(AND(E5809=5,F5809&lt;=2,G5809&gt;=3),"Berpotensi",IF(AND(E5809&lt;=3,E5809&gt;=2,F5809&gt;=3),"Rawan",IF(AND(E5809&lt;=2,F5809&lt;=2),"Tidur","Umum"))))))</f>
        <v/>
      </c>
    </row>
    <row r="5810">
      <c r="B5810">
        <f>IF(A5810="","",$B$1-MAXIFS(Donasi!$A$2:$A$20000,Donasi!$B$2:$B$20000,A5810))</f>
        <v/>
      </c>
      <c r="C5810">
        <f>IF(A5810="","",COUNTIF(Donasi!$B$2:$B$20000,A5810))</f>
        <v/>
      </c>
      <c r="D5810">
        <f>IF(A5810="","",SUMIF(Donasi!$B$2:$B$20000,A5810,Donasi!$C$2:$C$20000))</f>
        <v/>
      </c>
      <c r="E5810">
        <f>IF(A5810="","",6-CEILING(PERCENTRANK.INC($B$3:$B$6000,B5810,4)*5+0.000001,1))</f>
        <v/>
      </c>
      <c r="F5810">
        <f>IF(A5810="","",MAX(1,CEILING(PERCENTRANK.INC($C$3:$C$6000,C5810,4)*5+0.000001,1)))</f>
        <v/>
      </c>
      <c r="G5810">
        <f>IF(A5810="","",MAX(1,CEILING(PERCENTRANK.INC($D$3:$D$6000,D5810,4)*5+0.000001,1)))</f>
        <v/>
      </c>
      <c r="H5810">
        <f>IF(A5810="","",E5810&amp;F5810&amp;G5810)</f>
        <v/>
      </c>
      <c r="I5810">
        <f>IF(A5810="","",IF(AND(E5810&gt;=4,F5810&gt;=4,G5810&gt;=4),"Juara",IF(AND(F5810&gt;=4,E5810&gt;=3),"Setia",IF(AND(E5810=5,F5810&lt;=2,G5810&gt;=3),"Berpotensi",IF(AND(E5810&lt;=3,E5810&gt;=2,F5810&gt;=3),"Rawan",IF(AND(E5810&lt;=2,F5810&lt;=2),"Tidur","Umum"))))))</f>
        <v/>
      </c>
    </row>
    <row r="5811">
      <c r="B5811">
        <f>IF(A5811="","",$B$1-MAXIFS(Donasi!$A$2:$A$20000,Donasi!$B$2:$B$20000,A5811))</f>
        <v/>
      </c>
      <c r="C5811">
        <f>IF(A5811="","",COUNTIF(Donasi!$B$2:$B$20000,A5811))</f>
        <v/>
      </c>
      <c r="D5811">
        <f>IF(A5811="","",SUMIF(Donasi!$B$2:$B$20000,A5811,Donasi!$C$2:$C$20000))</f>
        <v/>
      </c>
      <c r="E5811">
        <f>IF(A5811="","",6-CEILING(PERCENTRANK.INC($B$3:$B$6000,B5811,4)*5+0.000001,1))</f>
        <v/>
      </c>
      <c r="F5811">
        <f>IF(A5811="","",MAX(1,CEILING(PERCENTRANK.INC($C$3:$C$6000,C5811,4)*5+0.000001,1)))</f>
        <v/>
      </c>
      <c r="G5811">
        <f>IF(A5811="","",MAX(1,CEILING(PERCENTRANK.INC($D$3:$D$6000,D5811,4)*5+0.000001,1)))</f>
        <v/>
      </c>
      <c r="H5811">
        <f>IF(A5811="","",E5811&amp;F5811&amp;G5811)</f>
        <v/>
      </c>
      <c r="I5811">
        <f>IF(A5811="","",IF(AND(E5811&gt;=4,F5811&gt;=4,G5811&gt;=4),"Juara",IF(AND(F5811&gt;=4,E5811&gt;=3),"Setia",IF(AND(E5811=5,F5811&lt;=2,G5811&gt;=3),"Berpotensi",IF(AND(E5811&lt;=3,E5811&gt;=2,F5811&gt;=3),"Rawan",IF(AND(E5811&lt;=2,F5811&lt;=2),"Tidur","Umum"))))))</f>
        <v/>
      </c>
    </row>
    <row r="5812">
      <c r="B5812">
        <f>IF(A5812="","",$B$1-MAXIFS(Donasi!$A$2:$A$20000,Donasi!$B$2:$B$20000,A5812))</f>
        <v/>
      </c>
      <c r="C5812">
        <f>IF(A5812="","",COUNTIF(Donasi!$B$2:$B$20000,A5812))</f>
        <v/>
      </c>
      <c r="D5812">
        <f>IF(A5812="","",SUMIF(Donasi!$B$2:$B$20000,A5812,Donasi!$C$2:$C$20000))</f>
        <v/>
      </c>
      <c r="E5812">
        <f>IF(A5812="","",6-CEILING(PERCENTRANK.INC($B$3:$B$6000,B5812,4)*5+0.000001,1))</f>
        <v/>
      </c>
      <c r="F5812">
        <f>IF(A5812="","",MAX(1,CEILING(PERCENTRANK.INC($C$3:$C$6000,C5812,4)*5+0.000001,1)))</f>
        <v/>
      </c>
      <c r="G5812">
        <f>IF(A5812="","",MAX(1,CEILING(PERCENTRANK.INC($D$3:$D$6000,D5812,4)*5+0.000001,1)))</f>
        <v/>
      </c>
      <c r="H5812">
        <f>IF(A5812="","",E5812&amp;F5812&amp;G5812)</f>
        <v/>
      </c>
      <c r="I5812">
        <f>IF(A5812="","",IF(AND(E5812&gt;=4,F5812&gt;=4,G5812&gt;=4),"Juara",IF(AND(F5812&gt;=4,E5812&gt;=3),"Setia",IF(AND(E5812=5,F5812&lt;=2,G5812&gt;=3),"Berpotensi",IF(AND(E5812&lt;=3,E5812&gt;=2,F5812&gt;=3),"Rawan",IF(AND(E5812&lt;=2,F5812&lt;=2),"Tidur","Umum"))))))</f>
        <v/>
      </c>
    </row>
    <row r="5813">
      <c r="B5813">
        <f>IF(A5813="","",$B$1-MAXIFS(Donasi!$A$2:$A$20000,Donasi!$B$2:$B$20000,A5813))</f>
        <v/>
      </c>
      <c r="C5813">
        <f>IF(A5813="","",COUNTIF(Donasi!$B$2:$B$20000,A5813))</f>
        <v/>
      </c>
      <c r="D5813">
        <f>IF(A5813="","",SUMIF(Donasi!$B$2:$B$20000,A5813,Donasi!$C$2:$C$20000))</f>
        <v/>
      </c>
      <c r="E5813">
        <f>IF(A5813="","",6-CEILING(PERCENTRANK.INC($B$3:$B$6000,B5813,4)*5+0.000001,1))</f>
        <v/>
      </c>
      <c r="F5813">
        <f>IF(A5813="","",MAX(1,CEILING(PERCENTRANK.INC($C$3:$C$6000,C5813,4)*5+0.000001,1)))</f>
        <v/>
      </c>
      <c r="G5813">
        <f>IF(A5813="","",MAX(1,CEILING(PERCENTRANK.INC($D$3:$D$6000,D5813,4)*5+0.000001,1)))</f>
        <v/>
      </c>
      <c r="H5813">
        <f>IF(A5813="","",E5813&amp;F5813&amp;G5813)</f>
        <v/>
      </c>
      <c r="I5813">
        <f>IF(A5813="","",IF(AND(E5813&gt;=4,F5813&gt;=4,G5813&gt;=4),"Juara",IF(AND(F5813&gt;=4,E5813&gt;=3),"Setia",IF(AND(E5813=5,F5813&lt;=2,G5813&gt;=3),"Berpotensi",IF(AND(E5813&lt;=3,E5813&gt;=2,F5813&gt;=3),"Rawan",IF(AND(E5813&lt;=2,F5813&lt;=2),"Tidur","Umum"))))))</f>
        <v/>
      </c>
    </row>
    <row r="5814">
      <c r="B5814">
        <f>IF(A5814="","",$B$1-MAXIFS(Donasi!$A$2:$A$20000,Donasi!$B$2:$B$20000,A5814))</f>
        <v/>
      </c>
      <c r="C5814">
        <f>IF(A5814="","",COUNTIF(Donasi!$B$2:$B$20000,A5814))</f>
        <v/>
      </c>
      <c r="D5814">
        <f>IF(A5814="","",SUMIF(Donasi!$B$2:$B$20000,A5814,Donasi!$C$2:$C$20000))</f>
        <v/>
      </c>
      <c r="E5814">
        <f>IF(A5814="","",6-CEILING(PERCENTRANK.INC($B$3:$B$6000,B5814,4)*5+0.000001,1))</f>
        <v/>
      </c>
      <c r="F5814">
        <f>IF(A5814="","",MAX(1,CEILING(PERCENTRANK.INC($C$3:$C$6000,C5814,4)*5+0.000001,1)))</f>
        <v/>
      </c>
      <c r="G5814">
        <f>IF(A5814="","",MAX(1,CEILING(PERCENTRANK.INC($D$3:$D$6000,D5814,4)*5+0.000001,1)))</f>
        <v/>
      </c>
      <c r="H5814">
        <f>IF(A5814="","",E5814&amp;F5814&amp;G5814)</f>
        <v/>
      </c>
      <c r="I5814">
        <f>IF(A5814="","",IF(AND(E5814&gt;=4,F5814&gt;=4,G5814&gt;=4),"Juara",IF(AND(F5814&gt;=4,E5814&gt;=3),"Setia",IF(AND(E5814=5,F5814&lt;=2,G5814&gt;=3),"Berpotensi",IF(AND(E5814&lt;=3,E5814&gt;=2,F5814&gt;=3),"Rawan",IF(AND(E5814&lt;=2,F5814&lt;=2),"Tidur","Umum"))))))</f>
        <v/>
      </c>
    </row>
    <row r="5815">
      <c r="B5815">
        <f>IF(A5815="","",$B$1-MAXIFS(Donasi!$A$2:$A$20000,Donasi!$B$2:$B$20000,A5815))</f>
        <v/>
      </c>
      <c r="C5815">
        <f>IF(A5815="","",COUNTIF(Donasi!$B$2:$B$20000,A5815))</f>
        <v/>
      </c>
      <c r="D5815">
        <f>IF(A5815="","",SUMIF(Donasi!$B$2:$B$20000,A5815,Donasi!$C$2:$C$20000))</f>
        <v/>
      </c>
      <c r="E5815">
        <f>IF(A5815="","",6-CEILING(PERCENTRANK.INC($B$3:$B$6000,B5815,4)*5+0.000001,1))</f>
        <v/>
      </c>
      <c r="F5815">
        <f>IF(A5815="","",MAX(1,CEILING(PERCENTRANK.INC($C$3:$C$6000,C5815,4)*5+0.000001,1)))</f>
        <v/>
      </c>
      <c r="G5815">
        <f>IF(A5815="","",MAX(1,CEILING(PERCENTRANK.INC($D$3:$D$6000,D5815,4)*5+0.000001,1)))</f>
        <v/>
      </c>
      <c r="H5815">
        <f>IF(A5815="","",E5815&amp;F5815&amp;G5815)</f>
        <v/>
      </c>
      <c r="I5815">
        <f>IF(A5815="","",IF(AND(E5815&gt;=4,F5815&gt;=4,G5815&gt;=4),"Juara",IF(AND(F5815&gt;=4,E5815&gt;=3),"Setia",IF(AND(E5815=5,F5815&lt;=2,G5815&gt;=3),"Berpotensi",IF(AND(E5815&lt;=3,E5815&gt;=2,F5815&gt;=3),"Rawan",IF(AND(E5815&lt;=2,F5815&lt;=2),"Tidur","Umum"))))))</f>
        <v/>
      </c>
    </row>
    <row r="5816">
      <c r="B5816">
        <f>IF(A5816="","",$B$1-MAXIFS(Donasi!$A$2:$A$20000,Donasi!$B$2:$B$20000,A5816))</f>
        <v/>
      </c>
      <c r="C5816">
        <f>IF(A5816="","",COUNTIF(Donasi!$B$2:$B$20000,A5816))</f>
        <v/>
      </c>
      <c r="D5816">
        <f>IF(A5816="","",SUMIF(Donasi!$B$2:$B$20000,A5816,Donasi!$C$2:$C$20000))</f>
        <v/>
      </c>
      <c r="E5816">
        <f>IF(A5816="","",6-CEILING(PERCENTRANK.INC($B$3:$B$6000,B5816,4)*5+0.000001,1))</f>
        <v/>
      </c>
      <c r="F5816">
        <f>IF(A5816="","",MAX(1,CEILING(PERCENTRANK.INC($C$3:$C$6000,C5816,4)*5+0.000001,1)))</f>
        <v/>
      </c>
      <c r="G5816">
        <f>IF(A5816="","",MAX(1,CEILING(PERCENTRANK.INC($D$3:$D$6000,D5816,4)*5+0.000001,1)))</f>
        <v/>
      </c>
      <c r="H5816">
        <f>IF(A5816="","",E5816&amp;F5816&amp;G5816)</f>
        <v/>
      </c>
      <c r="I5816">
        <f>IF(A5816="","",IF(AND(E5816&gt;=4,F5816&gt;=4,G5816&gt;=4),"Juara",IF(AND(F5816&gt;=4,E5816&gt;=3),"Setia",IF(AND(E5816=5,F5816&lt;=2,G5816&gt;=3),"Berpotensi",IF(AND(E5816&lt;=3,E5816&gt;=2,F5816&gt;=3),"Rawan",IF(AND(E5816&lt;=2,F5816&lt;=2),"Tidur","Umum"))))))</f>
        <v/>
      </c>
    </row>
    <row r="5817">
      <c r="B5817">
        <f>IF(A5817="","",$B$1-MAXIFS(Donasi!$A$2:$A$20000,Donasi!$B$2:$B$20000,A5817))</f>
        <v/>
      </c>
      <c r="C5817">
        <f>IF(A5817="","",COUNTIF(Donasi!$B$2:$B$20000,A5817))</f>
        <v/>
      </c>
      <c r="D5817">
        <f>IF(A5817="","",SUMIF(Donasi!$B$2:$B$20000,A5817,Donasi!$C$2:$C$20000))</f>
        <v/>
      </c>
      <c r="E5817">
        <f>IF(A5817="","",6-CEILING(PERCENTRANK.INC($B$3:$B$6000,B5817,4)*5+0.000001,1))</f>
        <v/>
      </c>
      <c r="F5817">
        <f>IF(A5817="","",MAX(1,CEILING(PERCENTRANK.INC($C$3:$C$6000,C5817,4)*5+0.000001,1)))</f>
        <v/>
      </c>
      <c r="G5817">
        <f>IF(A5817="","",MAX(1,CEILING(PERCENTRANK.INC($D$3:$D$6000,D5817,4)*5+0.000001,1)))</f>
        <v/>
      </c>
      <c r="H5817">
        <f>IF(A5817="","",E5817&amp;F5817&amp;G5817)</f>
        <v/>
      </c>
      <c r="I5817">
        <f>IF(A5817="","",IF(AND(E5817&gt;=4,F5817&gt;=4,G5817&gt;=4),"Juara",IF(AND(F5817&gt;=4,E5817&gt;=3),"Setia",IF(AND(E5817=5,F5817&lt;=2,G5817&gt;=3),"Berpotensi",IF(AND(E5817&lt;=3,E5817&gt;=2,F5817&gt;=3),"Rawan",IF(AND(E5817&lt;=2,F5817&lt;=2),"Tidur","Umum"))))))</f>
        <v/>
      </c>
    </row>
    <row r="5818">
      <c r="B5818">
        <f>IF(A5818="","",$B$1-MAXIFS(Donasi!$A$2:$A$20000,Donasi!$B$2:$B$20000,A5818))</f>
        <v/>
      </c>
      <c r="C5818">
        <f>IF(A5818="","",COUNTIF(Donasi!$B$2:$B$20000,A5818))</f>
        <v/>
      </c>
      <c r="D5818">
        <f>IF(A5818="","",SUMIF(Donasi!$B$2:$B$20000,A5818,Donasi!$C$2:$C$20000))</f>
        <v/>
      </c>
      <c r="E5818">
        <f>IF(A5818="","",6-CEILING(PERCENTRANK.INC($B$3:$B$6000,B5818,4)*5+0.000001,1))</f>
        <v/>
      </c>
      <c r="F5818">
        <f>IF(A5818="","",MAX(1,CEILING(PERCENTRANK.INC($C$3:$C$6000,C5818,4)*5+0.000001,1)))</f>
        <v/>
      </c>
      <c r="G5818">
        <f>IF(A5818="","",MAX(1,CEILING(PERCENTRANK.INC($D$3:$D$6000,D5818,4)*5+0.000001,1)))</f>
        <v/>
      </c>
      <c r="H5818">
        <f>IF(A5818="","",E5818&amp;F5818&amp;G5818)</f>
        <v/>
      </c>
      <c r="I5818">
        <f>IF(A5818="","",IF(AND(E5818&gt;=4,F5818&gt;=4,G5818&gt;=4),"Juara",IF(AND(F5818&gt;=4,E5818&gt;=3),"Setia",IF(AND(E5818=5,F5818&lt;=2,G5818&gt;=3),"Berpotensi",IF(AND(E5818&lt;=3,E5818&gt;=2,F5818&gt;=3),"Rawan",IF(AND(E5818&lt;=2,F5818&lt;=2),"Tidur","Umum"))))))</f>
        <v/>
      </c>
    </row>
    <row r="5819">
      <c r="B5819">
        <f>IF(A5819="","",$B$1-MAXIFS(Donasi!$A$2:$A$20000,Donasi!$B$2:$B$20000,A5819))</f>
        <v/>
      </c>
      <c r="C5819">
        <f>IF(A5819="","",COUNTIF(Donasi!$B$2:$B$20000,A5819))</f>
        <v/>
      </c>
      <c r="D5819">
        <f>IF(A5819="","",SUMIF(Donasi!$B$2:$B$20000,A5819,Donasi!$C$2:$C$20000))</f>
        <v/>
      </c>
      <c r="E5819">
        <f>IF(A5819="","",6-CEILING(PERCENTRANK.INC($B$3:$B$6000,B5819,4)*5+0.000001,1))</f>
        <v/>
      </c>
      <c r="F5819">
        <f>IF(A5819="","",MAX(1,CEILING(PERCENTRANK.INC($C$3:$C$6000,C5819,4)*5+0.000001,1)))</f>
        <v/>
      </c>
      <c r="G5819">
        <f>IF(A5819="","",MAX(1,CEILING(PERCENTRANK.INC($D$3:$D$6000,D5819,4)*5+0.000001,1)))</f>
        <v/>
      </c>
      <c r="H5819">
        <f>IF(A5819="","",E5819&amp;F5819&amp;G5819)</f>
        <v/>
      </c>
      <c r="I5819">
        <f>IF(A5819="","",IF(AND(E5819&gt;=4,F5819&gt;=4,G5819&gt;=4),"Juara",IF(AND(F5819&gt;=4,E5819&gt;=3),"Setia",IF(AND(E5819=5,F5819&lt;=2,G5819&gt;=3),"Berpotensi",IF(AND(E5819&lt;=3,E5819&gt;=2,F5819&gt;=3),"Rawan",IF(AND(E5819&lt;=2,F5819&lt;=2),"Tidur","Umum"))))))</f>
        <v/>
      </c>
    </row>
    <row r="5820">
      <c r="B5820">
        <f>IF(A5820="","",$B$1-MAXIFS(Donasi!$A$2:$A$20000,Donasi!$B$2:$B$20000,A5820))</f>
        <v/>
      </c>
      <c r="C5820">
        <f>IF(A5820="","",COUNTIF(Donasi!$B$2:$B$20000,A5820))</f>
        <v/>
      </c>
      <c r="D5820">
        <f>IF(A5820="","",SUMIF(Donasi!$B$2:$B$20000,A5820,Donasi!$C$2:$C$20000))</f>
        <v/>
      </c>
      <c r="E5820">
        <f>IF(A5820="","",6-CEILING(PERCENTRANK.INC($B$3:$B$6000,B5820,4)*5+0.000001,1))</f>
        <v/>
      </c>
      <c r="F5820">
        <f>IF(A5820="","",MAX(1,CEILING(PERCENTRANK.INC($C$3:$C$6000,C5820,4)*5+0.000001,1)))</f>
        <v/>
      </c>
      <c r="G5820">
        <f>IF(A5820="","",MAX(1,CEILING(PERCENTRANK.INC($D$3:$D$6000,D5820,4)*5+0.000001,1)))</f>
        <v/>
      </c>
      <c r="H5820">
        <f>IF(A5820="","",E5820&amp;F5820&amp;G5820)</f>
        <v/>
      </c>
      <c r="I5820">
        <f>IF(A5820="","",IF(AND(E5820&gt;=4,F5820&gt;=4,G5820&gt;=4),"Juara",IF(AND(F5820&gt;=4,E5820&gt;=3),"Setia",IF(AND(E5820=5,F5820&lt;=2,G5820&gt;=3),"Berpotensi",IF(AND(E5820&lt;=3,E5820&gt;=2,F5820&gt;=3),"Rawan",IF(AND(E5820&lt;=2,F5820&lt;=2),"Tidur","Umum"))))))</f>
        <v/>
      </c>
    </row>
    <row r="5821">
      <c r="B5821">
        <f>IF(A5821="","",$B$1-MAXIFS(Donasi!$A$2:$A$20000,Donasi!$B$2:$B$20000,A5821))</f>
        <v/>
      </c>
      <c r="C5821">
        <f>IF(A5821="","",COUNTIF(Donasi!$B$2:$B$20000,A5821))</f>
        <v/>
      </c>
      <c r="D5821">
        <f>IF(A5821="","",SUMIF(Donasi!$B$2:$B$20000,A5821,Donasi!$C$2:$C$20000))</f>
        <v/>
      </c>
      <c r="E5821">
        <f>IF(A5821="","",6-CEILING(PERCENTRANK.INC($B$3:$B$6000,B5821,4)*5+0.000001,1))</f>
        <v/>
      </c>
      <c r="F5821">
        <f>IF(A5821="","",MAX(1,CEILING(PERCENTRANK.INC($C$3:$C$6000,C5821,4)*5+0.000001,1)))</f>
        <v/>
      </c>
      <c r="G5821">
        <f>IF(A5821="","",MAX(1,CEILING(PERCENTRANK.INC($D$3:$D$6000,D5821,4)*5+0.000001,1)))</f>
        <v/>
      </c>
      <c r="H5821">
        <f>IF(A5821="","",E5821&amp;F5821&amp;G5821)</f>
        <v/>
      </c>
      <c r="I5821">
        <f>IF(A5821="","",IF(AND(E5821&gt;=4,F5821&gt;=4,G5821&gt;=4),"Juara",IF(AND(F5821&gt;=4,E5821&gt;=3),"Setia",IF(AND(E5821=5,F5821&lt;=2,G5821&gt;=3),"Berpotensi",IF(AND(E5821&lt;=3,E5821&gt;=2,F5821&gt;=3),"Rawan",IF(AND(E5821&lt;=2,F5821&lt;=2),"Tidur","Umum"))))))</f>
        <v/>
      </c>
    </row>
    <row r="5822">
      <c r="B5822">
        <f>IF(A5822="","",$B$1-MAXIFS(Donasi!$A$2:$A$20000,Donasi!$B$2:$B$20000,A5822))</f>
        <v/>
      </c>
      <c r="C5822">
        <f>IF(A5822="","",COUNTIF(Donasi!$B$2:$B$20000,A5822))</f>
        <v/>
      </c>
      <c r="D5822">
        <f>IF(A5822="","",SUMIF(Donasi!$B$2:$B$20000,A5822,Donasi!$C$2:$C$20000))</f>
        <v/>
      </c>
      <c r="E5822">
        <f>IF(A5822="","",6-CEILING(PERCENTRANK.INC($B$3:$B$6000,B5822,4)*5+0.000001,1))</f>
        <v/>
      </c>
      <c r="F5822">
        <f>IF(A5822="","",MAX(1,CEILING(PERCENTRANK.INC($C$3:$C$6000,C5822,4)*5+0.000001,1)))</f>
        <v/>
      </c>
      <c r="G5822">
        <f>IF(A5822="","",MAX(1,CEILING(PERCENTRANK.INC($D$3:$D$6000,D5822,4)*5+0.000001,1)))</f>
        <v/>
      </c>
      <c r="H5822">
        <f>IF(A5822="","",E5822&amp;F5822&amp;G5822)</f>
        <v/>
      </c>
      <c r="I5822">
        <f>IF(A5822="","",IF(AND(E5822&gt;=4,F5822&gt;=4,G5822&gt;=4),"Juara",IF(AND(F5822&gt;=4,E5822&gt;=3),"Setia",IF(AND(E5822=5,F5822&lt;=2,G5822&gt;=3),"Berpotensi",IF(AND(E5822&lt;=3,E5822&gt;=2,F5822&gt;=3),"Rawan",IF(AND(E5822&lt;=2,F5822&lt;=2),"Tidur","Umum"))))))</f>
        <v/>
      </c>
    </row>
    <row r="5823">
      <c r="B5823">
        <f>IF(A5823="","",$B$1-MAXIFS(Donasi!$A$2:$A$20000,Donasi!$B$2:$B$20000,A5823))</f>
        <v/>
      </c>
      <c r="C5823">
        <f>IF(A5823="","",COUNTIF(Donasi!$B$2:$B$20000,A5823))</f>
        <v/>
      </c>
      <c r="D5823">
        <f>IF(A5823="","",SUMIF(Donasi!$B$2:$B$20000,A5823,Donasi!$C$2:$C$20000))</f>
        <v/>
      </c>
      <c r="E5823">
        <f>IF(A5823="","",6-CEILING(PERCENTRANK.INC($B$3:$B$6000,B5823,4)*5+0.000001,1))</f>
        <v/>
      </c>
      <c r="F5823">
        <f>IF(A5823="","",MAX(1,CEILING(PERCENTRANK.INC($C$3:$C$6000,C5823,4)*5+0.000001,1)))</f>
        <v/>
      </c>
      <c r="G5823">
        <f>IF(A5823="","",MAX(1,CEILING(PERCENTRANK.INC($D$3:$D$6000,D5823,4)*5+0.000001,1)))</f>
        <v/>
      </c>
      <c r="H5823">
        <f>IF(A5823="","",E5823&amp;F5823&amp;G5823)</f>
        <v/>
      </c>
      <c r="I5823">
        <f>IF(A5823="","",IF(AND(E5823&gt;=4,F5823&gt;=4,G5823&gt;=4),"Juara",IF(AND(F5823&gt;=4,E5823&gt;=3),"Setia",IF(AND(E5823=5,F5823&lt;=2,G5823&gt;=3),"Berpotensi",IF(AND(E5823&lt;=3,E5823&gt;=2,F5823&gt;=3),"Rawan",IF(AND(E5823&lt;=2,F5823&lt;=2),"Tidur","Umum"))))))</f>
        <v/>
      </c>
    </row>
    <row r="5824">
      <c r="B5824">
        <f>IF(A5824="","",$B$1-MAXIFS(Donasi!$A$2:$A$20000,Donasi!$B$2:$B$20000,A5824))</f>
        <v/>
      </c>
      <c r="C5824">
        <f>IF(A5824="","",COUNTIF(Donasi!$B$2:$B$20000,A5824))</f>
        <v/>
      </c>
      <c r="D5824">
        <f>IF(A5824="","",SUMIF(Donasi!$B$2:$B$20000,A5824,Donasi!$C$2:$C$20000))</f>
        <v/>
      </c>
      <c r="E5824">
        <f>IF(A5824="","",6-CEILING(PERCENTRANK.INC($B$3:$B$6000,B5824,4)*5+0.000001,1))</f>
        <v/>
      </c>
      <c r="F5824">
        <f>IF(A5824="","",MAX(1,CEILING(PERCENTRANK.INC($C$3:$C$6000,C5824,4)*5+0.000001,1)))</f>
        <v/>
      </c>
      <c r="G5824">
        <f>IF(A5824="","",MAX(1,CEILING(PERCENTRANK.INC($D$3:$D$6000,D5824,4)*5+0.000001,1)))</f>
        <v/>
      </c>
      <c r="H5824">
        <f>IF(A5824="","",E5824&amp;F5824&amp;G5824)</f>
        <v/>
      </c>
      <c r="I5824">
        <f>IF(A5824="","",IF(AND(E5824&gt;=4,F5824&gt;=4,G5824&gt;=4),"Juara",IF(AND(F5824&gt;=4,E5824&gt;=3),"Setia",IF(AND(E5824=5,F5824&lt;=2,G5824&gt;=3),"Berpotensi",IF(AND(E5824&lt;=3,E5824&gt;=2,F5824&gt;=3),"Rawan",IF(AND(E5824&lt;=2,F5824&lt;=2),"Tidur","Umum"))))))</f>
        <v/>
      </c>
    </row>
    <row r="5825">
      <c r="B5825">
        <f>IF(A5825="","",$B$1-MAXIFS(Donasi!$A$2:$A$20000,Donasi!$B$2:$B$20000,A5825))</f>
        <v/>
      </c>
      <c r="C5825">
        <f>IF(A5825="","",COUNTIF(Donasi!$B$2:$B$20000,A5825))</f>
        <v/>
      </c>
      <c r="D5825">
        <f>IF(A5825="","",SUMIF(Donasi!$B$2:$B$20000,A5825,Donasi!$C$2:$C$20000))</f>
        <v/>
      </c>
      <c r="E5825">
        <f>IF(A5825="","",6-CEILING(PERCENTRANK.INC($B$3:$B$6000,B5825,4)*5+0.000001,1))</f>
        <v/>
      </c>
      <c r="F5825">
        <f>IF(A5825="","",MAX(1,CEILING(PERCENTRANK.INC($C$3:$C$6000,C5825,4)*5+0.000001,1)))</f>
        <v/>
      </c>
      <c r="G5825">
        <f>IF(A5825="","",MAX(1,CEILING(PERCENTRANK.INC($D$3:$D$6000,D5825,4)*5+0.000001,1)))</f>
        <v/>
      </c>
      <c r="H5825">
        <f>IF(A5825="","",E5825&amp;F5825&amp;G5825)</f>
        <v/>
      </c>
      <c r="I5825">
        <f>IF(A5825="","",IF(AND(E5825&gt;=4,F5825&gt;=4,G5825&gt;=4),"Juara",IF(AND(F5825&gt;=4,E5825&gt;=3),"Setia",IF(AND(E5825=5,F5825&lt;=2,G5825&gt;=3),"Berpotensi",IF(AND(E5825&lt;=3,E5825&gt;=2,F5825&gt;=3),"Rawan",IF(AND(E5825&lt;=2,F5825&lt;=2),"Tidur","Umum"))))))</f>
        <v/>
      </c>
    </row>
    <row r="5826">
      <c r="B5826">
        <f>IF(A5826="","",$B$1-MAXIFS(Donasi!$A$2:$A$20000,Donasi!$B$2:$B$20000,A5826))</f>
        <v/>
      </c>
      <c r="C5826">
        <f>IF(A5826="","",COUNTIF(Donasi!$B$2:$B$20000,A5826))</f>
        <v/>
      </c>
      <c r="D5826">
        <f>IF(A5826="","",SUMIF(Donasi!$B$2:$B$20000,A5826,Donasi!$C$2:$C$20000))</f>
        <v/>
      </c>
      <c r="E5826">
        <f>IF(A5826="","",6-CEILING(PERCENTRANK.INC($B$3:$B$6000,B5826,4)*5+0.000001,1))</f>
        <v/>
      </c>
      <c r="F5826">
        <f>IF(A5826="","",MAX(1,CEILING(PERCENTRANK.INC($C$3:$C$6000,C5826,4)*5+0.000001,1)))</f>
        <v/>
      </c>
      <c r="G5826">
        <f>IF(A5826="","",MAX(1,CEILING(PERCENTRANK.INC($D$3:$D$6000,D5826,4)*5+0.000001,1)))</f>
        <v/>
      </c>
      <c r="H5826">
        <f>IF(A5826="","",E5826&amp;F5826&amp;G5826)</f>
        <v/>
      </c>
      <c r="I5826">
        <f>IF(A5826="","",IF(AND(E5826&gt;=4,F5826&gt;=4,G5826&gt;=4),"Juara",IF(AND(F5826&gt;=4,E5826&gt;=3),"Setia",IF(AND(E5826=5,F5826&lt;=2,G5826&gt;=3),"Berpotensi",IF(AND(E5826&lt;=3,E5826&gt;=2,F5826&gt;=3),"Rawan",IF(AND(E5826&lt;=2,F5826&lt;=2),"Tidur","Umum"))))))</f>
        <v/>
      </c>
    </row>
    <row r="5827">
      <c r="B5827">
        <f>IF(A5827="","",$B$1-MAXIFS(Donasi!$A$2:$A$20000,Donasi!$B$2:$B$20000,A5827))</f>
        <v/>
      </c>
      <c r="C5827">
        <f>IF(A5827="","",COUNTIF(Donasi!$B$2:$B$20000,A5827))</f>
        <v/>
      </c>
      <c r="D5827">
        <f>IF(A5827="","",SUMIF(Donasi!$B$2:$B$20000,A5827,Donasi!$C$2:$C$20000))</f>
        <v/>
      </c>
      <c r="E5827">
        <f>IF(A5827="","",6-CEILING(PERCENTRANK.INC($B$3:$B$6000,B5827,4)*5+0.000001,1))</f>
        <v/>
      </c>
      <c r="F5827">
        <f>IF(A5827="","",MAX(1,CEILING(PERCENTRANK.INC($C$3:$C$6000,C5827,4)*5+0.000001,1)))</f>
        <v/>
      </c>
      <c r="G5827">
        <f>IF(A5827="","",MAX(1,CEILING(PERCENTRANK.INC($D$3:$D$6000,D5827,4)*5+0.000001,1)))</f>
        <v/>
      </c>
      <c r="H5827">
        <f>IF(A5827="","",E5827&amp;F5827&amp;G5827)</f>
        <v/>
      </c>
      <c r="I5827">
        <f>IF(A5827="","",IF(AND(E5827&gt;=4,F5827&gt;=4,G5827&gt;=4),"Juara",IF(AND(F5827&gt;=4,E5827&gt;=3),"Setia",IF(AND(E5827=5,F5827&lt;=2,G5827&gt;=3),"Berpotensi",IF(AND(E5827&lt;=3,E5827&gt;=2,F5827&gt;=3),"Rawan",IF(AND(E5827&lt;=2,F5827&lt;=2),"Tidur","Umum"))))))</f>
        <v/>
      </c>
    </row>
    <row r="5828">
      <c r="B5828">
        <f>IF(A5828="","",$B$1-MAXIFS(Donasi!$A$2:$A$20000,Donasi!$B$2:$B$20000,A5828))</f>
        <v/>
      </c>
      <c r="C5828">
        <f>IF(A5828="","",COUNTIF(Donasi!$B$2:$B$20000,A5828))</f>
        <v/>
      </c>
      <c r="D5828">
        <f>IF(A5828="","",SUMIF(Donasi!$B$2:$B$20000,A5828,Donasi!$C$2:$C$20000))</f>
        <v/>
      </c>
      <c r="E5828">
        <f>IF(A5828="","",6-CEILING(PERCENTRANK.INC($B$3:$B$6000,B5828,4)*5+0.000001,1))</f>
        <v/>
      </c>
      <c r="F5828">
        <f>IF(A5828="","",MAX(1,CEILING(PERCENTRANK.INC($C$3:$C$6000,C5828,4)*5+0.000001,1)))</f>
        <v/>
      </c>
      <c r="G5828">
        <f>IF(A5828="","",MAX(1,CEILING(PERCENTRANK.INC($D$3:$D$6000,D5828,4)*5+0.000001,1)))</f>
        <v/>
      </c>
      <c r="H5828">
        <f>IF(A5828="","",E5828&amp;F5828&amp;G5828)</f>
        <v/>
      </c>
      <c r="I5828">
        <f>IF(A5828="","",IF(AND(E5828&gt;=4,F5828&gt;=4,G5828&gt;=4),"Juara",IF(AND(F5828&gt;=4,E5828&gt;=3),"Setia",IF(AND(E5828=5,F5828&lt;=2,G5828&gt;=3),"Berpotensi",IF(AND(E5828&lt;=3,E5828&gt;=2,F5828&gt;=3),"Rawan",IF(AND(E5828&lt;=2,F5828&lt;=2),"Tidur","Umum"))))))</f>
        <v/>
      </c>
    </row>
    <row r="5829">
      <c r="B5829">
        <f>IF(A5829="","",$B$1-MAXIFS(Donasi!$A$2:$A$20000,Donasi!$B$2:$B$20000,A5829))</f>
        <v/>
      </c>
      <c r="C5829">
        <f>IF(A5829="","",COUNTIF(Donasi!$B$2:$B$20000,A5829))</f>
        <v/>
      </c>
      <c r="D5829">
        <f>IF(A5829="","",SUMIF(Donasi!$B$2:$B$20000,A5829,Donasi!$C$2:$C$20000))</f>
        <v/>
      </c>
      <c r="E5829">
        <f>IF(A5829="","",6-CEILING(PERCENTRANK.INC($B$3:$B$6000,B5829,4)*5+0.000001,1))</f>
        <v/>
      </c>
      <c r="F5829">
        <f>IF(A5829="","",MAX(1,CEILING(PERCENTRANK.INC($C$3:$C$6000,C5829,4)*5+0.000001,1)))</f>
        <v/>
      </c>
      <c r="G5829">
        <f>IF(A5829="","",MAX(1,CEILING(PERCENTRANK.INC($D$3:$D$6000,D5829,4)*5+0.000001,1)))</f>
        <v/>
      </c>
      <c r="H5829">
        <f>IF(A5829="","",E5829&amp;F5829&amp;G5829)</f>
        <v/>
      </c>
      <c r="I5829">
        <f>IF(A5829="","",IF(AND(E5829&gt;=4,F5829&gt;=4,G5829&gt;=4),"Juara",IF(AND(F5829&gt;=4,E5829&gt;=3),"Setia",IF(AND(E5829=5,F5829&lt;=2,G5829&gt;=3),"Berpotensi",IF(AND(E5829&lt;=3,E5829&gt;=2,F5829&gt;=3),"Rawan",IF(AND(E5829&lt;=2,F5829&lt;=2),"Tidur","Umum"))))))</f>
        <v/>
      </c>
    </row>
    <row r="5830">
      <c r="B5830">
        <f>IF(A5830="","",$B$1-MAXIFS(Donasi!$A$2:$A$20000,Donasi!$B$2:$B$20000,A5830))</f>
        <v/>
      </c>
      <c r="C5830">
        <f>IF(A5830="","",COUNTIF(Donasi!$B$2:$B$20000,A5830))</f>
        <v/>
      </c>
      <c r="D5830">
        <f>IF(A5830="","",SUMIF(Donasi!$B$2:$B$20000,A5830,Donasi!$C$2:$C$20000))</f>
        <v/>
      </c>
      <c r="E5830">
        <f>IF(A5830="","",6-CEILING(PERCENTRANK.INC($B$3:$B$6000,B5830,4)*5+0.000001,1))</f>
        <v/>
      </c>
      <c r="F5830">
        <f>IF(A5830="","",MAX(1,CEILING(PERCENTRANK.INC($C$3:$C$6000,C5830,4)*5+0.000001,1)))</f>
        <v/>
      </c>
      <c r="G5830">
        <f>IF(A5830="","",MAX(1,CEILING(PERCENTRANK.INC($D$3:$D$6000,D5830,4)*5+0.000001,1)))</f>
        <v/>
      </c>
      <c r="H5830">
        <f>IF(A5830="","",E5830&amp;F5830&amp;G5830)</f>
        <v/>
      </c>
      <c r="I5830">
        <f>IF(A5830="","",IF(AND(E5830&gt;=4,F5830&gt;=4,G5830&gt;=4),"Juara",IF(AND(F5830&gt;=4,E5830&gt;=3),"Setia",IF(AND(E5830=5,F5830&lt;=2,G5830&gt;=3),"Berpotensi",IF(AND(E5830&lt;=3,E5830&gt;=2,F5830&gt;=3),"Rawan",IF(AND(E5830&lt;=2,F5830&lt;=2),"Tidur","Umum"))))))</f>
        <v/>
      </c>
    </row>
    <row r="5831">
      <c r="B5831">
        <f>IF(A5831="","",$B$1-MAXIFS(Donasi!$A$2:$A$20000,Donasi!$B$2:$B$20000,A5831))</f>
        <v/>
      </c>
      <c r="C5831">
        <f>IF(A5831="","",COUNTIF(Donasi!$B$2:$B$20000,A5831))</f>
        <v/>
      </c>
      <c r="D5831">
        <f>IF(A5831="","",SUMIF(Donasi!$B$2:$B$20000,A5831,Donasi!$C$2:$C$20000))</f>
        <v/>
      </c>
      <c r="E5831">
        <f>IF(A5831="","",6-CEILING(PERCENTRANK.INC($B$3:$B$6000,B5831,4)*5+0.000001,1))</f>
        <v/>
      </c>
      <c r="F5831">
        <f>IF(A5831="","",MAX(1,CEILING(PERCENTRANK.INC($C$3:$C$6000,C5831,4)*5+0.000001,1)))</f>
        <v/>
      </c>
      <c r="G5831">
        <f>IF(A5831="","",MAX(1,CEILING(PERCENTRANK.INC($D$3:$D$6000,D5831,4)*5+0.000001,1)))</f>
        <v/>
      </c>
      <c r="H5831">
        <f>IF(A5831="","",E5831&amp;F5831&amp;G5831)</f>
        <v/>
      </c>
      <c r="I5831">
        <f>IF(A5831="","",IF(AND(E5831&gt;=4,F5831&gt;=4,G5831&gt;=4),"Juara",IF(AND(F5831&gt;=4,E5831&gt;=3),"Setia",IF(AND(E5831=5,F5831&lt;=2,G5831&gt;=3),"Berpotensi",IF(AND(E5831&lt;=3,E5831&gt;=2,F5831&gt;=3),"Rawan",IF(AND(E5831&lt;=2,F5831&lt;=2),"Tidur","Umum"))))))</f>
        <v/>
      </c>
    </row>
    <row r="5832">
      <c r="B5832">
        <f>IF(A5832="","",$B$1-MAXIFS(Donasi!$A$2:$A$20000,Donasi!$B$2:$B$20000,A5832))</f>
        <v/>
      </c>
      <c r="C5832">
        <f>IF(A5832="","",COUNTIF(Donasi!$B$2:$B$20000,A5832))</f>
        <v/>
      </c>
      <c r="D5832">
        <f>IF(A5832="","",SUMIF(Donasi!$B$2:$B$20000,A5832,Donasi!$C$2:$C$20000))</f>
        <v/>
      </c>
      <c r="E5832">
        <f>IF(A5832="","",6-CEILING(PERCENTRANK.INC($B$3:$B$6000,B5832,4)*5+0.000001,1))</f>
        <v/>
      </c>
      <c r="F5832">
        <f>IF(A5832="","",MAX(1,CEILING(PERCENTRANK.INC($C$3:$C$6000,C5832,4)*5+0.000001,1)))</f>
        <v/>
      </c>
      <c r="G5832">
        <f>IF(A5832="","",MAX(1,CEILING(PERCENTRANK.INC($D$3:$D$6000,D5832,4)*5+0.000001,1)))</f>
        <v/>
      </c>
      <c r="H5832">
        <f>IF(A5832="","",E5832&amp;F5832&amp;G5832)</f>
        <v/>
      </c>
      <c r="I5832">
        <f>IF(A5832="","",IF(AND(E5832&gt;=4,F5832&gt;=4,G5832&gt;=4),"Juara",IF(AND(F5832&gt;=4,E5832&gt;=3),"Setia",IF(AND(E5832=5,F5832&lt;=2,G5832&gt;=3),"Berpotensi",IF(AND(E5832&lt;=3,E5832&gt;=2,F5832&gt;=3),"Rawan",IF(AND(E5832&lt;=2,F5832&lt;=2),"Tidur","Umum"))))))</f>
        <v/>
      </c>
    </row>
    <row r="5833">
      <c r="B5833">
        <f>IF(A5833="","",$B$1-MAXIFS(Donasi!$A$2:$A$20000,Donasi!$B$2:$B$20000,A5833))</f>
        <v/>
      </c>
      <c r="C5833">
        <f>IF(A5833="","",COUNTIF(Donasi!$B$2:$B$20000,A5833))</f>
        <v/>
      </c>
      <c r="D5833">
        <f>IF(A5833="","",SUMIF(Donasi!$B$2:$B$20000,A5833,Donasi!$C$2:$C$20000))</f>
        <v/>
      </c>
      <c r="E5833">
        <f>IF(A5833="","",6-CEILING(PERCENTRANK.INC($B$3:$B$6000,B5833,4)*5+0.000001,1))</f>
        <v/>
      </c>
      <c r="F5833">
        <f>IF(A5833="","",MAX(1,CEILING(PERCENTRANK.INC($C$3:$C$6000,C5833,4)*5+0.000001,1)))</f>
        <v/>
      </c>
      <c r="G5833">
        <f>IF(A5833="","",MAX(1,CEILING(PERCENTRANK.INC($D$3:$D$6000,D5833,4)*5+0.000001,1)))</f>
        <v/>
      </c>
      <c r="H5833">
        <f>IF(A5833="","",E5833&amp;F5833&amp;G5833)</f>
        <v/>
      </c>
      <c r="I5833">
        <f>IF(A5833="","",IF(AND(E5833&gt;=4,F5833&gt;=4,G5833&gt;=4),"Juara",IF(AND(F5833&gt;=4,E5833&gt;=3),"Setia",IF(AND(E5833=5,F5833&lt;=2,G5833&gt;=3),"Berpotensi",IF(AND(E5833&lt;=3,E5833&gt;=2,F5833&gt;=3),"Rawan",IF(AND(E5833&lt;=2,F5833&lt;=2),"Tidur","Umum"))))))</f>
        <v/>
      </c>
    </row>
    <row r="5834">
      <c r="B5834">
        <f>IF(A5834="","",$B$1-MAXIFS(Donasi!$A$2:$A$20000,Donasi!$B$2:$B$20000,A5834))</f>
        <v/>
      </c>
      <c r="C5834">
        <f>IF(A5834="","",COUNTIF(Donasi!$B$2:$B$20000,A5834))</f>
        <v/>
      </c>
      <c r="D5834">
        <f>IF(A5834="","",SUMIF(Donasi!$B$2:$B$20000,A5834,Donasi!$C$2:$C$20000))</f>
        <v/>
      </c>
      <c r="E5834">
        <f>IF(A5834="","",6-CEILING(PERCENTRANK.INC($B$3:$B$6000,B5834,4)*5+0.000001,1))</f>
        <v/>
      </c>
      <c r="F5834">
        <f>IF(A5834="","",MAX(1,CEILING(PERCENTRANK.INC($C$3:$C$6000,C5834,4)*5+0.000001,1)))</f>
        <v/>
      </c>
      <c r="G5834">
        <f>IF(A5834="","",MAX(1,CEILING(PERCENTRANK.INC($D$3:$D$6000,D5834,4)*5+0.000001,1)))</f>
        <v/>
      </c>
      <c r="H5834">
        <f>IF(A5834="","",E5834&amp;F5834&amp;G5834)</f>
        <v/>
      </c>
      <c r="I5834">
        <f>IF(A5834="","",IF(AND(E5834&gt;=4,F5834&gt;=4,G5834&gt;=4),"Juara",IF(AND(F5834&gt;=4,E5834&gt;=3),"Setia",IF(AND(E5834=5,F5834&lt;=2,G5834&gt;=3),"Berpotensi",IF(AND(E5834&lt;=3,E5834&gt;=2,F5834&gt;=3),"Rawan",IF(AND(E5834&lt;=2,F5834&lt;=2),"Tidur","Umum"))))))</f>
        <v/>
      </c>
    </row>
    <row r="5835">
      <c r="B5835">
        <f>IF(A5835="","",$B$1-MAXIFS(Donasi!$A$2:$A$20000,Donasi!$B$2:$B$20000,A5835))</f>
        <v/>
      </c>
      <c r="C5835">
        <f>IF(A5835="","",COUNTIF(Donasi!$B$2:$B$20000,A5835))</f>
        <v/>
      </c>
      <c r="D5835">
        <f>IF(A5835="","",SUMIF(Donasi!$B$2:$B$20000,A5835,Donasi!$C$2:$C$20000))</f>
        <v/>
      </c>
      <c r="E5835">
        <f>IF(A5835="","",6-CEILING(PERCENTRANK.INC($B$3:$B$6000,B5835,4)*5+0.000001,1))</f>
        <v/>
      </c>
      <c r="F5835">
        <f>IF(A5835="","",MAX(1,CEILING(PERCENTRANK.INC($C$3:$C$6000,C5835,4)*5+0.000001,1)))</f>
        <v/>
      </c>
      <c r="G5835">
        <f>IF(A5835="","",MAX(1,CEILING(PERCENTRANK.INC($D$3:$D$6000,D5835,4)*5+0.000001,1)))</f>
        <v/>
      </c>
      <c r="H5835">
        <f>IF(A5835="","",E5835&amp;F5835&amp;G5835)</f>
        <v/>
      </c>
      <c r="I5835">
        <f>IF(A5835="","",IF(AND(E5835&gt;=4,F5835&gt;=4,G5835&gt;=4),"Juara",IF(AND(F5835&gt;=4,E5835&gt;=3),"Setia",IF(AND(E5835=5,F5835&lt;=2,G5835&gt;=3),"Berpotensi",IF(AND(E5835&lt;=3,E5835&gt;=2,F5835&gt;=3),"Rawan",IF(AND(E5835&lt;=2,F5835&lt;=2),"Tidur","Umum"))))))</f>
        <v/>
      </c>
    </row>
    <row r="5836">
      <c r="B5836">
        <f>IF(A5836="","",$B$1-MAXIFS(Donasi!$A$2:$A$20000,Donasi!$B$2:$B$20000,A5836))</f>
        <v/>
      </c>
      <c r="C5836">
        <f>IF(A5836="","",COUNTIF(Donasi!$B$2:$B$20000,A5836))</f>
        <v/>
      </c>
      <c r="D5836">
        <f>IF(A5836="","",SUMIF(Donasi!$B$2:$B$20000,A5836,Donasi!$C$2:$C$20000))</f>
        <v/>
      </c>
      <c r="E5836">
        <f>IF(A5836="","",6-CEILING(PERCENTRANK.INC($B$3:$B$6000,B5836,4)*5+0.000001,1))</f>
        <v/>
      </c>
      <c r="F5836">
        <f>IF(A5836="","",MAX(1,CEILING(PERCENTRANK.INC($C$3:$C$6000,C5836,4)*5+0.000001,1)))</f>
        <v/>
      </c>
      <c r="G5836">
        <f>IF(A5836="","",MAX(1,CEILING(PERCENTRANK.INC($D$3:$D$6000,D5836,4)*5+0.000001,1)))</f>
        <v/>
      </c>
      <c r="H5836">
        <f>IF(A5836="","",E5836&amp;F5836&amp;G5836)</f>
        <v/>
      </c>
      <c r="I5836">
        <f>IF(A5836="","",IF(AND(E5836&gt;=4,F5836&gt;=4,G5836&gt;=4),"Juara",IF(AND(F5836&gt;=4,E5836&gt;=3),"Setia",IF(AND(E5836=5,F5836&lt;=2,G5836&gt;=3),"Berpotensi",IF(AND(E5836&lt;=3,E5836&gt;=2,F5836&gt;=3),"Rawan",IF(AND(E5836&lt;=2,F5836&lt;=2),"Tidur","Umum"))))))</f>
        <v/>
      </c>
    </row>
    <row r="5837">
      <c r="B5837">
        <f>IF(A5837="","",$B$1-MAXIFS(Donasi!$A$2:$A$20000,Donasi!$B$2:$B$20000,A5837))</f>
        <v/>
      </c>
      <c r="C5837">
        <f>IF(A5837="","",COUNTIF(Donasi!$B$2:$B$20000,A5837))</f>
        <v/>
      </c>
      <c r="D5837">
        <f>IF(A5837="","",SUMIF(Donasi!$B$2:$B$20000,A5837,Donasi!$C$2:$C$20000))</f>
        <v/>
      </c>
      <c r="E5837">
        <f>IF(A5837="","",6-CEILING(PERCENTRANK.INC($B$3:$B$6000,B5837,4)*5+0.000001,1))</f>
        <v/>
      </c>
      <c r="F5837">
        <f>IF(A5837="","",MAX(1,CEILING(PERCENTRANK.INC($C$3:$C$6000,C5837,4)*5+0.000001,1)))</f>
        <v/>
      </c>
      <c r="G5837">
        <f>IF(A5837="","",MAX(1,CEILING(PERCENTRANK.INC($D$3:$D$6000,D5837,4)*5+0.000001,1)))</f>
        <v/>
      </c>
      <c r="H5837">
        <f>IF(A5837="","",E5837&amp;F5837&amp;G5837)</f>
        <v/>
      </c>
      <c r="I5837">
        <f>IF(A5837="","",IF(AND(E5837&gt;=4,F5837&gt;=4,G5837&gt;=4),"Juara",IF(AND(F5837&gt;=4,E5837&gt;=3),"Setia",IF(AND(E5837=5,F5837&lt;=2,G5837&gt;=3),"Berpotensi",IF(AND(E5837&lt;=3,E5837&gt;=2,F5837&gt;=3),"Rawan",IF(AND(E5837&lt;=2,F5837&lt;=2),"Tidur","Umum"))))))</f>
        <v/>
      </c>
    </row>
    <row r="5838">
      <c r="B5838">
        <f>IF(A5838="","",$B$1-MAXIFS(Donasi!$A$2:$A$20000,Donasi!$B$2:$B$20000,A5838))</f>
        <v/>
      </c>
      <c r="C5838">
        <f>IF(A5838="","",COUNTIF(Donasi!$B$2:$B$20000,A5838))</f>
        <v/>
      </c>
      <c r="D5838">
        <f>IF(A5838="","",SUMIF(Donasi!$B$2:$B$20000,A5838,Donasi!$C$2:$C$20000))</f>
        <v/>
      </c>
      <c r="E5838">
        <f>IF(A5838="","",6-CEILING(PERCENTRANK.INC($B$3:$B$6000,B5838,4)*5+0.000001,1))</f>
        <v/>
      </c>
      <c r="F5838">
        <f>IF(A5838="","",MAX(1,CEILING(PERCENTRANK.INC($C$3:$C$6000,C5838,4)*5+0.000001,1)))</f>
        <v/>
      </c>
      <c r="G5838">
        <f>IF(A5838="","",MAX(1,CEILING(PERCENTRANK.INC($D$3:$D$6000,D5838,4)*5+0.000001,1)))</f>
        <v/>
      </c>
      <c r="H5838">
        <f>IF(A5838="","",E5838&amp;F5838&amp;G5838)</f>
        <v/>
      </c>
      <c r="I5838">
        <f>IF(A5838="","",IF(AND(E5838&gt;=4,F5838&gt;=4,G5838&gt;=4),"Juara",IF(AND(F5838&gt;=4,E5838&gt;=3),"Setia",IF(AND(E5838=5,F5838&lt;=2,G5838&gt;=3),"Berpotensi",IF(AND(E5838&lt;=3,E5838&gt;=2,F5838&gt;=3),"Rawan",IF(AND(E5838&lt;=2,F5838&lt;=2),"Tidur","Umum"))))))</f>
        <v/>
      </c>
    </row>
    <row r="5839">
      <c r="B5839">
        <f>IF(A5839="","",$B$1-MAXIFS(Donasi!$A$2:$A$20000,Donasi!$B$2:$B$20000,A5839))</f>
        <v/>
      </c>
      <c r="C5839">
        <f>IF(A5839="","",COUNTIF(Donasi!$B$2:$B$20000,A5839))</f>
        <v/>
      </c>
      <c r="D5839">
        <f>IF(A5839="","",SUMIF(Donasi!$B$2:$B$20000,A5839,Donasi!$C$2:$C$20000))</f>
        <v/>
      </c>
      <c r="E5839">
        <f>IF(A5839="","",6-CEILING(PERCENTRANK.INC($B$3:$B$6000,B5839,4)*5+0.000001,1))</f>
        <v/>
      </c>
      <c r="F5839">
        <f>IF(A5839="","",MAX(1,CEILING(PERCENTRANK.INC($C$3:$C$6000,C5839,4)*5+0.000001,1)))</f>
        <v/>
      </c>
      <c r="G5839">
        <f>IF(A5839="","",MAX(1,CEILING(PERCENTRANK.INC($D$3:$D$6000,D5839,4)*5+0.000001,1)))</f>
        <v/>
      </c>
      <c r="H5839">
        <f>IF(A5839="","",E5839&amp;F5839&amp;G5839)</f>
        <v/>
      </c>
      <c r="I5839">
        <f>IF(A5839="","",IF(AND(E5839&gt;=4,F5839&gt;=4,G5839&gt;=4),"Juara",IF(AND(F5839&gt;=4,E5839&gt;=3),"Setia",IF(AND(E5839=5,F5839&lt;=2,G5839&gt;=3),"Berpotensi",IF(AND(E5839&lt;=3,E5839&gt;=2,F5839&gt;=3),"Rawan",IF(AND(E5839&lt;=2,F5839&lt;=2),"Tidur","Umum"))))))</f>
        <v/>
      </c>
    </row>
    <row r="5840">
      <c r="B5840">
        <f>IF(A5840="","",$B$1-MAXIFS(Donasi!$A$2:$A$20000,Donasi!$B$2:$B$20000,A5840))</f>
        <v/>
      </c>
      <c r="C5840">
        <f>IF(A5840="","",COUNTIF(Donasi!$B$2:$B$20000,A5840))</f>
        <v/>
      </c>
      <c r="D5840">
        <f>IF(A5840="","",SUMIF(Donasi!$B$2:$B$20000,A5840,Donasi!$C$2:$C$20000))</f>
        <v/>
      </c>
      <c r="E5840">
        <f>IF(A5840="","",6-CEILING(PERCENTRANK.INC($B$3:$B$6000,B5840,4)*5+0.000001,1))</f>
        <v/>
      </c>
      <c r="F5840">
        <f>IF(A5840="","",MAX(1,CEILING(PERCENTRANK.INC($C$3:$C$6000,C5840,4)*5+0.000001,1)))</f>
        <v/>
      </c>
      <c r="G5840">
        <f>IF(A5840="","",MAX(1,CEILING(PERCENTRANK.INC($D$3:$D$6000,D5840,4)*5+0.000001,1)))</f>
        <v/>
      </c>
      <c r="H5840">
        <f>IF(A5840="","",E5840&amp;F5840&amp;G5840)</f>
        <v/>
      </c>
      <c r="I5840">
        <f>IF(A5840="","",IF(AND(E5840&gt;=4,F5840&gt;=4,G5840&gt;=4),"Juara",IF(AND(F5840&gt;=4,E5840&gt;=3),"Setia",IF(AND(E5840=5,F5840&lt;=2,G5840&gt;=3),"Berpotensi",IF(AND(E5840&lt;=3,E5840&gt;=2,F5840&gt;=3),"Rawan",IF(AND(E5840&lt;=2,F5840&lt;=2),"Tidur","Umum"))))))</f>
        <v/>
      </c>
    </row>
    <row r="5841">
      <c r="B5841">
        <f>IF(A5841="","",$B$1-MAXIFS(Donasi!$A$2:$A$20000,Donasi!$B$2:$B$20000,A5841))</f>
        <v/>
      </c>
      <c r="C5841">
        <f>IF(A5841="","",COUNTIF(Donasi!$B$2:$B$20000,A5841))</f>
        <v/>
      </c>
      <c r="D5841">
        <f>IF(A5841="","",SUMIF(Donasi!$B$2:$B$20000,A5841,Donasi!$C$2:$C$20000))</f>
        <v/>
      </c>
      <c r="E5841">
        <f>IF(A5841="","",6-CEILING(PERCENTRANK.INC($B$3:$B$6000,B5841,4)*5+0.000001,1))</f>
        <v/>
      </c>
      <c r="F5841">
        <f>IF(A5841="","",MAX(1,CEILING(PERCENTRANK.INC($C$3:$C$6000,C5841,4)*5+0.000001,1)))</f>
        <v/>
      </c>
      <c r="G5841">
        <f>IF(A5841="","",MAX(1,CEILING(PERCENTRANK.INC($D$3:$D$6000,D5841,4)*5+0.000001,1)))</f>
        <v/>
      </c>
      <c r="H5841">
        <f>IF(A5841="","",E5841&amp;F5841&amp;G5841)</f>
        <v/>
      </c>
      <c r="I5841">
        <f>IF(A5841="","",IF(AND(E5841&gt;=4,F5841&gt;=4,G5841&gt;=4),"Juara",IF(AND(F5841&gt;=4,E5841&gt;=3),"Setia",IF(AND(E5841=5,F5841&lt;=2,G5841&gt;=3),"Berpotensi",IF(AND(E5841&lt;=3,E5841&gt;=2,F5841&gt;=3),"Rawan",IF(AND(E5841&lt;=2,F5841&lt;=2),"Tidur","Umum"))))))</f>
        <v/>
      </c>
    </row>
    <row r="5842">
      <c r="B5842">
        <f>IF(A5842="","",$B$1-MAXIFS(Donasi!$A$2:$A$20000,Donasi!$B$2:$B$20000,A5842))</f>
        <v/>
      </c>
      <c r="C5842">
        <f>IF(A5842="","",COUNTIF(Donasi!$B$2:$B$20000,A5842))</f>
        <v/>
      </c>
      <c r="D5842">
        <f>IF(A5842="","",SUMIF(Donasi!$B$2:$B$20000,A5842,Donasi!$C$2:$C$20000))</f>
        <v/>
      </c>
      <c r="E5842">
        <f>IF(A5842="","",6-CEILING(PERCENTRANK.INC($B$3:$B$6000,B5842,4)*5+0.000001,1))</f>
        <v/>
      </c>
      <c r="F5842">
        <f>IF(A5842="","",MAX(1,CEILING(PERCENTRANK.INC($C$3:$C$6000,C5842,4)*5+0.000001,1)))</f>
        <v/>
      </c>
      <c r="G5842">
        <f>IF(A5842="","",MAX(1,CEILING(PERCENTRANK.INC($D$3:$D$6000,D5842,4)*5+0.000001,1)))</f>
        <v/>
      </c>
      <c r="H5842">
        <f>IF(A5842="","",E5842&amp;F5842&amp;G5842)</f>
        <v/>
      </c>
      <c r="I5842">
        <f>IF(A5842="","",IF(AND(E5842&gt;=4,F5842&gt;=4,G5842&gt;=4),"Juara",IF(AND(F5842&gt;=4,E5842&gt;=3),"Setia",IF(AND(E5842=5,F5842&lt;=2,G5842&gt;=3),"Berpotensi",IF(AND(E5842&lt;=3,E5842&gt;=2,F5842&gt;=3),"Rawan",IF(AND(E5842&lt;=2,F5842&lt;=2),"Tidur","Umum"))))))</f>
        <v/>
      </c>
    </row>
    <row r="5843">
      <c r="B5843">
        <f>IF(A5843="","",$B$1-MAXIFS(Donasi!$A$2:$A$20000,Donasi!$B$2:$B$20000,A5843))</f>
        <v/>
      </c>
      <c r="C5843">
        <f>IF(A5843="","",COUNTIF(Donasi!$B$2:$B$20000,A5843))</f>
        <v/>
      </c>
      <c r="D5843">
        <f>IF(A5843="","",SUMIF(Donasi!$B$2:$B$20000,A5843,Donasi!$C$2:$C$20000))</f>
        <v/>
      </c>
      <c r="E5843">
        <f>IF(A5843="","",6-CEILING(PERCENTRANK.INC($B$3:$B$6000,B5843,4)*5+0.000001,1))</f>
        <v/>
      </c>
      <c r="F5843">
        <f>IF(A5843="","",MAX(1,CEILING(PERCENTRANK.INC($C$3:$C$6000,C5843,4)*5+0.000001,1)))</f>
        <v/>
      </c>
      <c r="G5843">
        <f>IF(A5843="","",MAX(1,CEILING(PERCENTRANK.INC($D$3:$D$6000,D5843,4)*5+0.000001,1)))</f>
        <v/>
      </c>
      <c r="H5843">
        <f>IF(A5843="","",E5843&amp;F5843&amp;G5843)</f>
        <v/>
      </c>
      <c r="I5843">
        <f>IF(A5843="","",IF(AND(E5843&gt;=4,F5843&gt;=4,G5843&gt;=4),"Juara",IF(AND(F5843&gt;=4,E5843&gt;=3),"Setia",IF(AND(E5843=5,F5843&lt;=2,G5843&gt;=3),"Berpotensi",IF(AND(E5843&lt;=3,E5843&gt;=2,F5843&gt;=3),"Rawan",IF(AND(E5843&lt;=2,F5843&lt;=2),"Tidur","Umum"))))))</f>
        <v/>
      </c>
    </row>
    <row r="5844">
      <c r="B5844">
        <f>IF(A5844="","",$B$1-MAXIFS(Donasi!$A$2:$A$20000,Donasi!$B$2:$B$20000,A5844))</f>
        <v/>
      </c>
      <c r="C5844">
        <f>IF(A5844="","",COUNTIF(Donasi!$B$2:$B$20000,A5844))</f>
        <v/>
      </c>
      <c r="D5844">
        <f>IF(A5844="","",SUMIF(Donasi!$B$2:$B$20000,A5844,Donasi!$C$2:$C$20000))</f>
        <v/>
      </c>
      <c r="E5844">
        <f>IF(A5844="","",6-CEILING(PERCENTRANK.INC($B$3:$B$6000,B5844,4)*5+0.000001,1))</f>
        <v/>
      </c>
      <c r="F5844">
        <f>IF(A5844="","",MAX(1,CEILING(PERCENTRANK.INC($C$3:$C$6000,C5844,4)*5+0.000001,1)))</f>
        <v/>
      </c>
      <c r="G5844">
        <f>IF(A5844="","",MAX(1,CEILING(PERCENTRANK.INC($D$3:$D$6000,D5844,4)*5+0.000001,1)))</f>
        <v/>
      </c>
      <c r="H5844">
        <f>IF(A5844="","",E5844&amp;F5844&amp;G5844)</f>
        <v/>
      </c>
      <c r="I5844">
        <f>IF(A5844="","",IF(AND(E5844&gt;=4,F5844&gt;=4,G5844&gt;=4),"Juara",IF(AND(F5844&gt;=4,E5844&gt;=3),"Setia",IF(AND(E5844=5,F5844&lt;=2,G5844&gt;=3),"Berpotensi",IF(AND(E5844&lt;=3,E5844&gt;=2,F5844&gt;=3),"Rawan",IF(AND(E5844&lt;=2,F5844&lt;=2),"Tidur","Umum"))))))</f>
        <v/>
      </c>
    </row>
    <row r="5845">
      <c r="B5845">
        <f>IF(A5845="","",$B$1-MAXIFS(Donasi!$A$2:$A$20000,Donasi!$B$2:$B$20000,A5845))</f>
        <v/>
      </c>
      <c r="C5845">
        <f>IF(A5845="","",COUNTIF(Donasi!$B$2:$B$20000,A5845))</f>
        <v/>
      </c>
      <c r="D5845">
        <f>IF(A5845="","",SUMIF(Donasi!$B$2:$B$20000,A5845,Donasi!$C$2:$C$20000))</f>
        <v/>
      </c>
      <c r="E5845">
        <f>IF(A5845="","",6-CEILING(PERCENTRANK.INC($B$3:$B$6000,B5845,4)*5+0.000001,1))</f>
        <v/>
      </c>
      <c r="F5845">
        <f>IF(A5845="","",MAX(1,CEILING(PERCENTRANK.INC($C$3:$C$6000,C5845,4)*5+0.000001,1)))</f>
        <v/>
      </c>
      <c r="G5845">
        <f>IF(A5845="","",MAX(1,CEILING(PERCENTRANK.INC($D$3:$D$6000,D5845,4)*5+0.000001,1)))</f>
        <v/>
      </c>
      <c r="H5845">
        <f>IF(A5845="","",E5845&amp;F5845&amp;G5845)</f>
        <v/>
      </c>
      <c r="I5845">
        <f>IF(A5845="","",IF(AND(E5845&gt;=4,F5845&gt;=4,G5845&gt;=4),"Juara",IF(AND(F5845&gt;=4,E5845&gt;=3),"Setia",IF(AND(E5845=5,F5845&lt;=2,G5845&gt;=3),"Berpotensi",IF(AND(E5845&lt;=3,E5845&gt;=2,F5845&gt;=3),"Rawan",IF(AND(E5845&lt;=2,F5845&lt;=2),"Tidur","Umum"))))))</f>
        <v/>
      </c>
    </row>
    <row r="5846">
      <c r="B5846">
        <f>IF(A5846="","",$B$1-MAXIFS(Donasi!$A$2:$A$20000,Donasi!$B$2:$B$20000,A5846))</f>
        <v/>
      </c>
      <c r="C5846">
        <f>IF(A5846="","",COUNTIF(Donasi!$B$2:$B$20000,A5846))</f>
        <v/>
      </c>
      <c r="D5846">
        <f>IF(A5846="","",SUMIF(Donasi!$B$2:$B$20000,A5846,Donasi!$C$2:$C$20000))</f>
        <v/>
      </c>
      <c r="E5846">
        <f>IF(A5846="","",6-CEILING(PERCENTRANK.INC($B$3:$B$6000,B5846,4)*5+0.000001,1))</f>
        <v/>
      </c>
      <c r="F5846">
        <f>IF(A5846="","",MAX(1,CEILING(PERCENTRANK.INC($C$3:$C$6000,C5846,4)*5+0.000001,1)))</f>
        <v/>
      </c>
      <c r="G5846">
        <f>IF(A5846="","",MAX(1,CEILING(PERCENTRANK.INC($D$3:$D$6000,D5846,4)*5+0.000001,1)))</f>
        <v/>
      </c>
      <c r="H5846">
        <f>IF(A5846="","",E5846&amp;F5846&amp;G5846)</f>
        <v/>
      </c>
      <c r="I5846">
        <f>IF(A5846="","",IF(AND(E5846&gt;=4,F5846&gt;=4,G5846&gt;=4),"Juara",IF(AND(F5846&gt;=4,E5846&gt;=3),"Setia",IF(AND(E5846=5,F5846&lt;=2,G5846&gt;=3),"Berpotensi",IF(AND(E5846&lt;=3,E5846&gt;=2,F5846&gt;=3),"Rawan",IF(AND(E5846&lt;=2,F5846&lt;=2),"Tidur","Umum"))))))</f>
        <v/>
      </c>
    </row>
    <row r="5847">
      <c r="B5847">
        <f>IF(A5847="","",$B$1-MAXIFS(Donasi!$A$2:$A$20000,Donasi!$B$2:$B$20000,A5847))</f>
        <v/>
      </c>
      <c r="C5847">
        <f>IF(A5847="","",COUNTIF(Donasi!$B$2:$B$20000,A5847))</f>
        <v/>
      </c>
      <c r="D5847">
        <f>IF(A5847="","",SUMIF(Donasi!$B$2:$B$20000,A5847,Donasi!$C$2:$C$20000))</f>
        <v/>
      </c>
      <c r="E5847">
        <f>IF(A5847="","",6-CEILING(PERCENTRANK.INC($B$3:$B$6000,B5847,4)*5+0.000001,1))</f>
        <v/>
      </c>
      <c r="F5847">
        <f>IF(A5847="","",MAX(1,CEILING(PERCENTRANK.INC($C$3:$C$6000,C5847,4)*5+0.000001,1)))</f>
        <v/>
      </c>
      <c r="G5847">
        <f>IF(A5847="","",MAX(1,CEILING(PERCENTRANK.INC($D$3:$D$6000,D5847,4)*5+0.000001,1)))</f>
        <v/>
      </c>
      <c r="H5847">
        <f>IF(A5847="","",E5847&amp;F5847&amp;G5847)</f>
        <v/>
      </c>
      <c r="I5847">
        <f>IF(A5847="","",IF(AND(E5847&gt;=4,F5847&gt;=4,G5847&gt;=4),"Juara",IF(AND(F5847&gt;=4,E5847&gt;=3),"Setia",IF(AND(E5847=5,F5847&lt;=2,G5847&gt;=3),"Berpotensi",IF(AND(E5847&lt;=3,E5847&gt;=2,F5847&gt;=3),"Rawan",IF(AND(E5847&lt;=2,F5847&lt;=2),"Tidur","Umum"))))))</f>
        <v/>
      </c>
    </row>
    <row r="5848">
      <c r="B5848">
        <f>IF(A5848="","",$B$1-MAXIFS(Donasi!$A$2:$A$20000,Donasi!$B$2:$B$20000,A5848))</f>
        <v/>
      </c>
      <c r="C5848">
        <f>IF(A5848="","",COUNTIF(Donasi!$B$2:$B$20000,A5848))</f>
        <v/>
      </c>
      <c r="D5848">
        <f>IF(A5848="","",SUMIF(Donasi!$B$2:$B$20000,A5848,Donasi!$C$2:$C$20000))</f>
        <v/>
      </c>
      <c r="E5848">
        <f>IF(A5848="","",6-CEILING(PERCENTRANK.INC($B$3:$B$6000,B5848,4)*5+0.000001,1))</f>
        <v/>
      </c>
      <c r="F5848">
        <f>IF(A5848="","",MAX(1,CEILING(PERCENTRANK.INC($C$3:$C$6000,C5848,4)*5+0.000001,1)))</f>
        <v/>
      </c>
      <c r="G5848">
        <f>IF(A5848="","",MAX(1,CEILING(PERCENTRANK.INC($D$3:$D$6000,D5848,4)*5+0.000001,1)))</f>
        <v/>
      </c>
      <c r="H5848">
        <f>IF(A5848="","",E5848&amp;F5848&amp;G5848)</f>
        <v/>
      </c>
      <c r="I5848">
        <f>IF(A5848="","",IF(AND(E5848&gt;=4,F5848&gt;=4,G5848&gt;=4),"Juara",IF(AND(F5848&gt;=4,E5848&gt;=3),"Setia",IF(AND(E5848=5,F5848&lt;=2,G5848&gt;=3),"Berpotensi",IF(AND(E5848&lt;=3,E5848&gt;=2,F5848&gt;=3),"Rawan",IF(AND(E5848&lt;=2,F5848&lt;=2),"Tidur","Umum"))))))</f>
        <v/>
      </c>
    </row>
    <row r="5849">
      <c r="B5849">
        <f>IF(A5849="","",$B$1-MAXIFS(Donasi!$A$2:$A$20000,Donasi!$B$2:$B$20000,A5849))</f>
        <v/>
      </c>
      <c r="C5849">
        <f>IF(A5849="","",COUNTIF(Donasi!$B$2:$B$20000,A5849))</f>
        <v/>
      </c>
      <c r="D5849">
        <f>IF(A5849="","",SUMIF(Donasi!$B$2:$B$20000,A5849,Donasi!$C$2:$C$20000))</f>
        <v/>
      </c>
      <c r="E5849">
        <f>IF(A5849="","",6-CEILING(PERCENTRANK.INC($B$3:$B$6000,B5849,4)*5+0.000001,1))</f>
        <v/>
      </c>
      <c r="F5849">
        <f>IF(A5849="","",MAX(1,CEILING(PERCENTRANK.INC($C$3:$C$6000,C5849,4)*5+0.000001,1)))</f>
        <v/>
      </c>
      <c r="G5849">
        <f>IF(A5849="","",MAX(1,CEILING(PERCENTRANK.INC($D$3:$D$6000,D5849,4)*5+0.000001,1)))</f>
        <v/>
      </c>
      <c r="H5849">
        <f>IF(A5849="","",E5849&amp;F5849&amp;G5849)</f>
        <v/>
      </c>
      <c r="I5849">
        <f>IF(A5849="","",IF(AND(E5849&gt;=4,F5849&gt;=4,G5849&gt;=4),"Juara",IF(AND(F5849&gt;=4,E5849&gt;=3),"Setia",IF(AND(E5849=5,F5849&lt;=2,G5849&gt;=3),"Berpotensi",IF(AND(E5849&lt;=3,E5849&gt;=2,F5849&gt;=3),"Rawan",IF(AND(E5849&lt;=2,F5849&lt;=2),"Tidur","Umum"))))))</f>
        <v/>
      </c>
    </row>
    <row r="5850">
      <c r="B5850">
        <f>IF(A5850="","",$B$1-MAXIFS(Donasi!$A$2:$A$20000,Donasi!$B$2:$B$20000,A5850))</f>
        <v/>
      </c>
      <c r="C5850">
        <f>IF(A5850="","",COUNTIF(Donasi!$B$2:$B$20000,A5850))</f>
        <v/>
      </c>
      <c r="D5850">
        <f>IF(A5850="","",SUMIF(Donasi!$B$2:$B$20000,A5850,Donasi!$C$2:$C$20000))</f>
        <v/>
      </c>
      <c r="E5850">
        <f>IF(A5850="","",6-CEILING(PERCENTRANK.INC($B$3:$B$6000,B5850,4)*5+0.000001,1))</f>
        <v/>
      </c>
      <c r="F5850">
        <f>IF(A5850="","",MAX(1,CEILING(PERCENTRANK.INC($C$3:$C$6000,C5850,4)*5+0.000001,1)))</f>
        <v/>
      </c>
      <c r="G5850">
        <f>IF(A5850="","",MAX(1,CEILING(PERCENTRANK.INC($D$3:$D$6000,D5850,4)*5+0.000001,1)))</f>
        <v/>
      </c>
      <c r="H5850">
        <f>IF(A5850="","",E5850&amp;F5850&amp;G5850)</f>
        <v/>
      </c>
      <c r="I5850">
        <f>IF(A5850="","",IF(AND(E5850&gt;=4,F5850&gt;=4,G5850&gt;=4),"Juara",IF(AND(F5850&gt;=4,E5850&gt;=3),"Setia",IF(AND(E5850=5,F5850&lt;=2,G5850&gt;=3),"Berpotensi",IF(AND(E5850&lt;=3,E5850&gt;=2,F5850&gt;=3),"Rawan",IF(AND(E5850&lt;=2,F5850&lt;=2),"Tidur","Umum"))))))</f>
        <v/>
      </c>
    </row>
    <row r="5851">
      <c r="B5851">
        <f>IF(A5851="","",$B$1-MAXIFS(Donasi!$A$2:$A$20000,Donasi!$B$2:$B$20000,A5851))</f>
        <v/>
      </c>
      <c r="C5851">
        <f>IF(A5851="","",COUNTIF(Donasi!$B$2:$B$20000,A5851))</f>
        <v/>
      </c>
      <c r="D5851">
        <f>IF(A5851="","",SUMIF(Donasi!$B$2:$B$20000,A5851,Donasi!$C$2:$C$20000))</f>
        <v/>
      </c>
      <c r="E5851">
        <f>IF(A5851="","",6-CEILING(PERCENTRANK.INC($B$3:$B$6000,B5851,4)*5+0.000001,1))</f>
        <v/>
      </c>
      <c r="F5851">
        <f>IF(A5851="","",MAX(1,CEILING(PERCENTRANK.INC($C$3:$C$6000,C5851,4)*5+0.000001,1)))</f>
        <v/>
      </c>
      <c r="G5851">
        <f>IF(A5851="","",MAX(1,CEILING(PERCENTRANK.INC($D$3:$D$6000,D5851,4)*5+0.000001,1)))</f>
        <v/>
      </c>
      <c r="H5851">
        <f>IF(A5851="","",E5851&amp;F5851&amp;G5851)</f>
        <v/>
      </c>
      <c r="I5851">
        <f>IF(A5851="","",IF(AND(E5851&gt;=4,F5851&gt;=4,G5851&gt;=4),"Juara",IF(AND(F5851&gt;=4,E5851&gt;=3),"Setia",IF(AND(E5851=5,F5851&lt;=2,G5851&gt;=3),"Berpotensi",IF(AND(E5851&lt;=3,E5851&gt;=2,F5851&gt;=3),"Rawan",IF(AND(E5851&lt;=2,F5851&lt;=2),"Tidur","Umum"))))))</f>
        <v/>
      </c>
    </row>
    <row r="5852">
      <c r="B5852">
        <f>IF(A5852="","",$B$1-MAXIFS(Donasi!$A$2:$A$20000,Donasi!$B$2:$B$20000,A5852))</f>
        <v/>
      </c>
      <c r="C5852">
        <f>IF(A5852="","",COUNTIF(Donasi!$B$2:$B$20000,A5852))</f>
        <v/>
      </c>
      <c r="D5852">
        <f>IF(A5852="","",SUMIF(Donasi!$B$2:$B$20000,A5852,Donasi!$C$2:$C$20000))</f>
        <v/>
      </c>
      <c r="E5852">
        <f>IF(A5852="","",6-CEILING(PERCENTRANK.INC($B$3:$B$6000,B5852,4)*5+0.000001,1))</f>
        <v/>
      </c>
      <c r="F5852">
        <f>IF(A5852="","",MAX(1,CEILING(PERCENTRANK.INC($C$3:$C$6000,C5852,4)*5+0.000001,1)))</f>
        <v/>
      </c>
      <c r="G5852">
        <f>IF(A5852="","",MAX(1,CEILING(PERCENTRANK.INC($D$3:$D$6000,D5852,4)*5+0.000001,1)))</f>
        <v/>
      </c>
      <c r="H5852">
        <f>IF(A5852="","",E5852&amp;F5852&amp;G5852)</f>
        <v/>
      </c>
      <c r="I5852">
        <f>IF(A5852="","",IF(AND(E5852&gt;=4,F5852&gt;=4,G5852&gt;=4),"Juara",IF(AND(F5852&gt;=4,E5852&gt;=3),"Setia",IF(AND(E5852=5,F5852&lt;=2,G5852&gt;=3),"Berpotensi",IF(AND(E5852&lt;=3,E5852&gt;=2,F5852&gt;=3),"Rawan",IF(AND(E5852&lt;=2,F5852&lt;=2),"Tidur","Umum"))))))</f>
        <v/>
      </c>
    </row>
    <row r="5853">
      <c r="B5853">
        <f>IF(A5853="","",$B$1-MAXIFS(Donasi!$A$2:$A$20000,Donasi!$B$2:$B$20000,A5853))</f>
        <v/>
      </c>
      <c r="C5853">
        <f>IF(A5853="","",COUNTIF(Donasi!$B$2:$B$20000,A5853))</f>
        <v/>
      </c>
      <c r="D5853">
        <f>IF(A5853="","",SUMIF(Donasi!$B$2:$B$20000,A5853,Donasi!$C$2:$C$20000))</f>
        <v/>
      </c>
      <c r="E5853">
        <f>IF(A5853="","",6-CEILING(PERCENTRANK.INC($B$3:$B$6000,B5853,4)*5+0.000001,1))</f>
        <v/>
      </c>
      <c r="F5853">
        <f>IF(A5853="","",MAX(1,CEILING(PERCENTRANK.INC($C$3:$C$6000,C5853,4)*5+0.000001,1)))</f>
        <v/>
      </c>
      <c r="G5853">
        <f>IF(A5853="","",MAX(1,CEILING(PERCENTRANK.INC($D$3:$D$6000,D5853,4)*5+0.000001,1)))</f>
        <v/>
      </c>
      <c r="H5853">
        <f>IF(A5853="","",E5853&amp;F5853&amp;G5853)</f>
        <v/>
      </c>
      <c r="I5853">
        <f>IF(A5853="","",IF(AND(E5853&gt;=4,F5853&gt;=4,G5853&gt;=4),"Juara",IF(AND(F5853&gt;=4,E5853&gt;=3),"Setia",IF(AND(E5853=5,F5853&lt;=2,G5853&gt;=3),"Berpotensi",IF(AND(E5853&lt;=3,E5853&gt;=2,F5853&gt;=3),"Rawan",IF(AND(E5853&lt;=2,F5853&lt;=2),"Tidur","Umum"))))))</f>
        <v/>
      </c>
    </row>
    <row r="5854">
      <c r="B5854">
        <f>IF(A5854="","",$B$1-MAXIFS(Donasi!$A$2:$A$20000,Donasi!$B$2:$B$20000,A5854))</f>
        <v/>
      </c>
      <c r="C5854">
        <f>IF(A5854="","",COUNTIF(Donasi!$B$2:$B$20000,A5854))</f>
        <v/>
      </c>
      <c r="D5854">
        <f>IF(A5854="","",SUMIF(Donasi!$B$2:$B$20000,A5854,Donasi!$C$2:$C$20000))</f>
        <v/>
      </c>
      <c r="E5854">
        <f>IF(A5854="","",6-CEILING(PERCENTRANK.INC($B$3:$B$6000,B5854,4)*5+0.000001,1))</f>
        <v/>
      </c>
      <c r="F5854">
        <f>IF(A5854="","",MAX(1,CEILING(PERCENTRANK.INC($C$3:$C$6000,C5854,4)*5+0.000001,1)))</f>
        <v/>
      </c>
      <c r="G5854">
        <f>IF(A5854="","",MAX(1,CEILING(PERCENTRANK.INC($D$3:$D$6000,D5854,4)*5+0.000001,1)))</f>
        <v/>
      </c>
      <c r="H5854">
        <f>IF(A5854="","",E5854&amp;F5854&amp;G5854)</f>
        <v/>
      </c>
      <c r="I5854">
        <f>IF(A5854="","",IF(AND(E5854&gt;=4,F5854&gt;=4,G5854&gt;=4),"Juara",IF(AND(F5854&gt;=4,E5854&gt;=3),"Setia",IF(AND(E5854=5,F5854&lt;=2,G5854&gt;=3),"Berpotensi",IF(AND(E5854&lt;=3,E5854&gt;=2,F5854&gt;=3),"Rawan",IF(AND(E5854&lt;=2,F5854&lt;=2),"Tidur","Umum"))))))</f>
        <v/>
      </c>
    </row>
    <row r="5855">
      <c r="B5855">
        <f>IF(A5855="","",$B$1-MAXIFS(Donasi!$A$2:$A$20000,Donasi!$B$2:$B$20000,A5855))</f>
        <v/>
      </c>
      <c r="C5855">
        <f>IF(A5855="","",COUNTIF(Donasi!$B$2:$B$20000,A5855))</f>
        <v/>
      </c>
      <c r="D5855">
        <f>IF(A5855="","",SUMIF(Donasi!$B$2:$B$20000,A5855,Donasi!$C$2:$C$20000))</f>
        <v/>
      </c>
      <c r="E5855">
        <f>IF(A5855="","",6-CEILING(PERCENTRANK.INC($B$3:$B$6000,B5855,4)*5+0.000001,1))</f>
        <v/>
      </c>
      <c r="F5855">
        <f>IF(A5855="","",MAX(1,CEILING(PERCENTRANK.INC($C$3:$C$6000,C5855,4)*5+0.000001,1)))</f>
        <v/>
      </c>
      <c r="G5855">
        <f>IF(A5855="","",MAX(1,CEILING(PERCENTRANK.INC($D$3:$D$6000,D5855,4)*5+0.000001,1)))</f>
        <v/>
      </c>
      <c r="H5855">
        <f>IF(A5855="","",E5855&amp;F5855&amp;G5855)</f>
        <v/>
      </c>
      <c r="I5855">
        <f>IF(A5855="","",IF(AND(E5855&gt;=4,F5855&gt;=4,G5855&gt;=4),"Juara",IF(AND(F5855&gt;=4,E5855&gt;=3),"Setia",IF(AND(E5855=5,F5855&lt;=2,G5855&gt;=3),"Berpotensi",IF(AND(E5855&lt;=3,E5855&gt;=2,F5855&gt;=3),"Rawan",IF(AND(E5855&lt;=2,F5855&lt;=2),"Tidur","Umum"))))))</f>
        <v/>
      </c>
    </row>
    <row r="5856">
      <c r="B5856">
        <f>IF(A5856="","",$B$1-MAXIFS(Donasi!$A$2:$A$20000,Donasi!$B$2:$B$20000,A5856))</f>
        <v/>
      </c>
      <c r="C5856">
        <f>IF(A5856="","",COUNTIF(Donasi!$B$2:$B$20000,A5856))</f>
        <v/>
      </c>
      <c r="D5856">
        <f>IF(A5856="","",SUMIF(Donasi!$B$2:$B$20000,A5856,Donasi!$C$2:$C$20000))</f>
        <v/>
      </c>
      <c r="E5856">
        <f>IF(A5856="","",6-CEILING(PERCENTRANK.INC($B$3:$B$6000,B5856,4)*5+0.000001,1))</f>
        <v/>
      </c>
      <c r="F5856">
        <f>IF(A5856="","",MAX(1,CEILING(PERCENTRANK.INC($C$3:$C$6000,C5856,4)*5+0.000001,1)))</f>
        <v/>
      </c>
      <c r="G5856">
        <f>IF(A5856="","",MAX(1,CEILING(PERCENTRANK.INC($D$3:$D$6000,D5856,4)*5+0.000001,1)))</f>
        <v/>
      </c>
      <c r="H5856">
        <f>IF(A5856="","",E5856&amp;F5856&amp;G5856)</f>
        <v/>
      </c>
      <c r="I5856">
        <f>IF(A5856="","",IF(AND(E5856&gt;=4,F5856&gt;=4,G5856&gt;=4),"Juara",IF(AND(F5856&gt;=4,E5856&gt;=3),"Setia",IF(AND(E5856=5,F5856&lt;=2,G5856&gt;=3),"Berpotensi",IF(AND(E5856&lt;=3,E5856&gt;=2,F5856&gt;=3),"Rawan",IF(AND(E5856&lt;=2,F5856&lt;=2),"Tidur","Umum"))))))</f>
        <v/>
      </c>
    </row>
    <row r="5857">
      <c r="B5857">
        <f>IF(A5857="","",$B$1-MAXIFS(Donasi!$A$2:$A$20000,Donasi!$B$2:$B$20000,A5857))</f>
        <v/>
      </c>
      <c r="C5857">
        <f>IF(A5857="","",COUNTIF(Donasi!$B$2:$B$20000,A5857))</f>
        <v/>
      </c>
      <c r="D5857">
        <f>IF(A5857="","",SUMIF(Donasi!$B$2:$B$20000,A5857,Donasi!$C$2:$C$20000))</f>
        <v/>
      </c>
      <c r="E5857">
        <f>IF(A5857="","",6-CEILING(PERCENTRANK.INC($B$3:$B$6000,B5857,4)*5+0.000001,1))</f>
        <v/>
      </c>
      <c r="F5857">
        <f>IF(A5857="","",MAX(1,CEILING(PERCENTRANK.INC($C$3:$C$6000,C5857,4)*5+0.000001,1)))</f>
        <v/>
      </c>
      <c r="G5857">
        <f>IF(A5857="","",MAX(1,CEILING(PERCENTRANK.INC($D$3:$D$6000,D5857,4)*5+0.000001,1)))</f>
        <v/>
      </c>
      <c r="H5857">
        <f>IF(A5857="","",E5857&amp;F5857&amp;G5857)</f>
        <v/>
      </c>
      <c r="I5857">
        <f>IF(A5857="","",IF(AND(E5857&gt;=4,F5857&gt;=4,G5857&gt;=4),"Juara",IF(AND(F5857&gt;=4,E5857&gt;=3),"Setia",IF(AND(E5857=5,F5857&lt;=2,G5857&gt;=3),"Berpotensi",IF(AND(E5857&lt;=3,E5857&gt;=2,F5857&gt;=3),"Rawan",IF(AND(E5857&lt;=2,F5857&lt;=2),"Tidur","Umum"))))))</f>
        <v/>
      </c>
    </row>
    <row r="5858">
      <c r="B5858">
        <f>IF(A5858="","",$B$1-MAXIFS(Donasi!$A$2:$A$20000,Donasi!$B$2:$B$20000,A5858))</f>
        <v/>
      </c>
      <c r="C5858">
        <f>IF(A5858="","",COUNTIF(Donasi!$B$2:$B$20000,A5858))</f>
        <v/>
      </c>
      <c r="D5858">
        <f>IF(A5858="","",SUMIF(Donasi!$B$2:$B$20000,A5858,Donasi!$C$2:$C$20000))</f>
        <v/>
      </c>
      <c r="E5858">
        <f>IF(A5858="","",6-CEILING(PERCENTRANK.INC($B$3:$B$6000,B5858,4)*5+0.000001,1))</f>
        <v/>
      </c>
      <c r="F5858">
        <f>IF(A5858="","",MAX(1,CEILING(PERCENTRANK.INC($C$3:$C$6000,C5858,4)*5+0.000001,1)))</f>
        <v/>
      </c>
      <c r="G5858">
        <f>IF(A5858="","",MAX(1,CEILING(PERCENTRANK.INC($D$3:$D$6000,D5858,4)*5+0.000001,1)))</f>
        <v/>
      </c>
      <c r="H5858">
        <f>IF(A5858="","",E5858&amp;F5858&amp;G5858)</f>
        <v/>
      </c>
      <c r="I5858">
        <f>IF(A5858="","",IF(AND(E5858&gt;=4,F5858&gt;=4,G5858&gt;=4),"Juara",IF(AND(F5858&gt;=4,E5858&gt;=3),"Setia",IF(AND(E5858=5,F5858&lt;=2,G5858&gt;=3),"Berpotensi",IF(AND(E5858&lt;=3,E5858&gt;=2,F5858&gt;=3),"Rawan",IF(AND(E5858&lt;=2,F5858&lt;=2),"Tidur","Umum"))))))</f>
        <v/>
      </c>
    </row>
    <row r="5859">
      <c r="B5859">
        <f>IF(A5859="","",$B$1-MAXIFS(Donasi!$A$2:$A$20000,Donasi!$B$2:$B$20000,A5859))</f>
        <v/>
      </c>
      <c r="C5859">
        <f>IF(A5859="","",COUNTIF(Donasi!$B$2:$B$20000,A5859))</f>
        <v/>
      </c>
      <c r="D5859">
        <f>IF(A5859="","",SUMIF(Donasi!$B$2:$B$20000,A5859,Donasi!$C$2:$C$20000))</f>
        <v/>
      </c>
      <c r="E5859">
        <f>IF(A5859="","",6-CEILING(PERCENTRANK.INC($B$3:$B$6000,B5859,4)*5+0.000001,1))</f>
        <v/>
      </c>
      <c r="F5859">
        <f>IF(A5859="","",MAX(1,CEILING(PERCENTRANK.INC($C$3:$C$6000,C5859,4)*5+0.000001,1)))</f>
        <v/>
      </c>
      <c r="G5859">
        <f>IF(A5859="","",MAX(1,CEILING(PERCENTRANK.INC($D$3:$D$6000,D5859,4)*5+0.000001,1)))</f>
        <v/>
      </c>
      <c r="H5859">
        <f>IF(A5859="","",E5859&amp;F5859&amp;G5859)</f>
        <v/>
      </c>
      <c r="I5859">
        <f>IF(A5859="","",IF(AND(E5859&gt;=4,F5859&gt;=4,G5859&gt;=4),"Juara",IF(AND(F5859&gt;=4,E5859&gt;=3),"Setia",IF(AND(E5859=5,F5859&lt;=2,G5859&gt;=3),"Berpotensi",IF(AND(E5859&lt;=3,E5859&gt;=2,F5859&gt;=3),"Rawan",IF(AND(E5859&lt;=2,F5859&lt;=2),"Tidur","Umum"))))))</f>
        <v/>
      </c>
    </row>
    <row r="5860">
      <c r="B5860">
        <f>IF(A5860="","",$B$1-MAXIFS(Donasi!$A$2:$A$20000,Donasi!$B$2:$B$20000,A5860))</f>
        <v/>
      </c>
      <c r="C5860">
        <f>IF(A5860="","",COUNTIF(Donasi!$B$2:$B$20000,A5860))</f>
        <v/>
      </c>
      <c r="D5860">
        <f>IF(A5860="","",SUMIF(Donasi!$B$2:$B$20000,A5860,Donasi!$C$2:$C$20000))</f>
        <v/>
      </c>
      <c r="E5860">
        <f>IF(A5860="","",6-CEILING(PERCENTRANK.INC($B$3:$B$6000,B5860,4)*5+0.000001,1))</f>
        <v/>
      </c>
      <c r="F5860">
        <f>IF(A5860="","",MAX(1,CEILING(PERCENTRANK.INC($C$3:$C$6000,C5860,4)*5+0.000001,1)))</f>
        <v/>
      </c>
      <c r="G5860">
        <f>IF(A5860="","",MAX(1,CEILING(PERCENTRANK.INC($D$3:$D$6000,D5860,4)*5+0.000001,1)))</f>
        <v/>
      </c>
      <c r="H5860">
        <f>IF(A5860="","",E5860&amp;F5860&amp;G5860)</f>
        <v/>
      </c>
      <c r="I5860">
        <f>IF(A5860="","",IF(AND(E5860&gt;=4,F5860&gt;=4,G5860&gt;=4),"Juara",IF(AND(F5860&gt;=4,E5860&gt;=3),"Setia",IF(AND(E5860=5,F5860&lt;=2,G5860&gt;=3),"Berpotensi",IF(AND(E5860&lt;=3,E5860&gt;=2,F5860&gt;=3),"Rawan",IF(AND(E5860&lt;=2,F5860&lt;=2),"Tidur","Umum"))))))</f>
        <v/>
      </c>
    </row>
    <row r="5861">
      <c r="B5861">
        <f>IF(A5861="","",$B$1-MAXIFS(Donasi!$A$2:$A$20000,Donasi!$B$2:$B$20000,A5861))</f>
        <v/>
      </c>
      <c r="C5861">
        <f>IF(A5861="","",COUNTIF(Donasi!$B$2:$B$20000,A5861))</f>
        <v/>
      </c>
      <c r="D5861">
        <f>IF(A5861="","",SUMIF(Donasi!$B$2:$B$20000,A5861,Donasi!$C$2:$C$20000))</f>
        <v/>
      </c>
      <c r="E5861">
        <f>IF(A5861="","",6-CEILING(PERCENTRANK.INC($B$3:$B$6000,B5861,4)*5+0.000001,1))</f>
        <v/>
      </c>
      <c r="F5861">
        <f>IF(A5861="","",MAX(1,CEILING(PERCENTRANK.INC($C$3:$C$6000,C5861,4)*5+0.000001,1)))</f>
        <v/>
      </c>
      <c r="G5861">
        <f>IF(A5861="","",MAX(1,CEILING(PERCENTRANK.INC($D$3:$D$6000,D5861,4)*5+0.000001,1)))</f>
        <v/>
      </c>
      <c r="H5861">
        <f>IF(A5861="","",E5861&amp;F5861&amp;G5861)</f>
        <v/>
      </c>
      <c r="I5861">
        <f>IF(A5861="","",IF(AND(E5861&gt;=4,F5861&gt;=4,G5861&gt;=4),"Juara",IF(AND(F5861&gt;=4,E5861&gt;=3),"Setia",IF(AND(E5861=5,F5861&lt;=2,G5861&gt;=3),"Berpotensi",IF(AND(E5861&lt;=3,E5861&gt;=2,F5861&gt;=3),"Rawan",IF(AND(E5861&lt;=2,F5861&lt;=2),"Tidur","Umum"))))))</f>
        <v/>
      </c>
    </row>
    <row r="5862">
      <c r="B5862">
        <f>IF(A5862="","",$B$1-MAXIFS(Donasi!$A$2:$A$20000,Donasi!$B$2:$B$20000,A5862))</f>
        <v/>
      </c>
      <c r="C5862">
        <f>IF(A5862="","",COUNTIF(Donasi!$B$2:$B$20000,A5862))</f>
        <v/>
      </c>
      <c r="D5862">
        <f>IF(A5862="","",SUMIF(Donasi!$B$2:$B$20000,A5862,Donasi!$C$2:$C$20000))</f>
        <v/>
      </c>
      <c r="E5862">
        <f>IF(A5862="","",6-CEILING(PERCENTRANK.INC($B$3:$B$6000,B5862,4)*5+0.000001,1))</f>
        <v/>
      </c>
      <c r="F5862">
        <f>IF(A5862="","",MAX(1,CEILING(PERCENTRANK.INC($C$3:$C$6000,C5862,4)*5+0.000001,1)))</f>
        <v/>
      </c>
      <c r="G5862">
        <f>IF(A5862="","",MAX(1,CEILING(PERCENTRANK.INC($D$3:$D$6000,D5862,4)*5+0.000001,1)))</f>
        <v/>
      </c>
      <c r="H5862">
        <f>IF(A5862="","",E5862&amp;F5862&amp;G5862)</f>
        <v/>
      </c>
      <c r="I5862">
        <f>IF(A5862="","",IF(AND(E5862&gt;=4,F5862&gt;=4,G5862&gt;=4),"Juara",IF(AND(F5862&gt;=4,E5862&gt;=3),"Setia",IF(AND(E5862=5,F5862&lt;=2,G5862&gt;=3),"Berpotensi",IF(AND(E5862&lt;=3,E5862&gt;=2,F5862&gt;=3),"Rawan",IF(AND(E5862&lt;=2,F5862&lt;=2),"Tidur","Umum"))))))</f>
        <v/>
      </c>
    </row>
    <row r="5863">
      <c r="B5863">
        <f>IF(A5863="","",$B$1-MAXIFS(Donasi!$A$2:$A$20000,Donasi!$B$2:$B$20000,A5863))</f>
        <v/>
      </c>
      <c r="C5863">
        <f>IF(A5863="","",COUNTIF(Donasi!$B$2:$B$20000,A5863))</f>
        <v/>
      </c>
      <c r="D5863">
        <f>IF(A5863="","",SUMIF(Donasi!$B$2:$B$20000,A5863,Donasi!$C$2:$C$20000))</f>
        <v/>
      </c>
      <c r="E5863">
        <f>IF(A5863="","",6-CEILING(PERCENTRANK.INC($B$3:$B$6000,B5863,4)*5+0.000001,1))</f>
        <v/>
      </c>
      <c r="F5863">
        <f>IF(A5863="","",MAX(1,CEILING(PERCENTRANK.INC($C$3:$C$6000,C5863,4)*5+0.000001,1)))</f>
        <v/>
      </c>
      <c r="G5863">
        <f>IF(A5863="","",MAX(1,CEILING(PERCENTRANK.INC($D$3:$D$6000,D5863,4)*5+0.000001,1)))</f>
        <v/>
      </c>
      <c r="H5863">
        <f>IF(A5863="","",E5863&amp;F5863&amp;G5863)</f>
        <v/>
      </c>
      <c r="I5863">
        <f>IF(A5863="","",IF(AND(E5863&gt;=4,F5863&gt;=4,G5863&gt;=4),"Juara",IF(AND(F5863&gt;=4,E5863&gt;=3),"Setia",IF(AND(E5863=5,F5863&lt;=2,G5863&gt;=3),"Berpotensi",IF(AND(E5863&lt;=3,E5863&gt;=2,F5863&gt;=3),"Rawan",IF(AND(E5863&lt;=2,F5863&lt;=2),"Tidur","Umum"))))))</f>
        <v/>
      </c>
    </row>
    <row r="5864">
      <c r="B5864">
        <f>IF(A5864="","",$B$1-MAXIFS(Donasi!$A$2:$A$20000,Donasi!$B$2:$B$20000,A5864))</f>
        <v/>
      </c>
      <c r="C5864">
        <f>IF(A5864="","",COUNTIF(Donasi!$B$2:$B$20000,A5864))</f>
        <v/>
      </c>
      <c r="D5864">
        <f>IF(A5864="","",SUMIF(Donasi!$B$2:$B$20000,A5864,Donasi!$C$2:$C$20000))</f>
        <v/>
      </c>
      <c r="E5864">
        <f>IF(A5864="","",6-CEILING(PERCENTRANK.INC($B$3:$B$6000,B5864,4)*5+0.000001,1))</f>
        <v/>
      </c>
      <c r="F5864">
        <f>IF(A5864="","",MAX(1,CEILING(PERCENTRANK.INC($C$3:$C$6000,C5864,4)*5+0.000001,1)))</f>
        <v/>
      </c>
      <c r="G5864">
        <f>IF(A5864="","",MAX(1,CEILING(PERCENTRANK.INC($D$3:$D$6000,D5864,4)*5+0.000001,1)))</f>
        <v/>
      </c>
      <c r="H5864">
        <f>IF(A5864="","",E5864&amp;F5864&amp;G5864)</f>
        <v/>
      </c>
      <c r="I5864">
        <f>IF(A5864="","",IF(AND(E5864&gt;=4,F5864&gt;=4,G5864&gt;=4),"Juara",IF(AND(F5864&gt;=4,E5864&gt;=3),"Setia",IF(AND(E5864=5,F5864&lt;=2,G5864&gt;=3),"Berpotensi",IF(AND(E5864&lt;=3,E5864&gt;=2,F5864&gt;=3),"Rawan",IF(AND(E5864&lt;=2,F5864&lt;=2),"Tidur","Umum"))))))</f>
        <v/>
      </c>
    </row>
    <row r="5865">
      <c r="B5865">
        <f>IF(A5865="","",$B$1-MAXIFS(Donasi!$A$2:$A$20000,Donasi!$B$2:$B$20000,A5865))</f>
        <v/>
      </c>
      <c r="C5865">
        <f>IF(A5865="","",COUNTIF(Donasi!$B$2:$B$20000,A5865))</f>
        <v/>
      </c>
      <c r="D5865">
        <f>IF(A5865="","",SUMIF(Donasi!$B$2:$B$20000,A5865,Donasi!$C$2:$C$20000))</f>
        <v/>
      </c>
      <c r="E5865">
        <f>IF(A5865="","",6-CEILING(PERCENTRANK.INC($B$3:$B$6000,B5865,4)*5+0.000001,1))</f>
        <v/>
      </c>
      <c r="F5865">
        <f>IF(A5865="","",MAX(1,CEILING(PERCENTRANK.INC($C$3:$C$6000,C5865,4)*5+0.000001,1)))</f>
        <v/>
      </c>
      <c r="G5865">
        <f>IF(A5865="","",MAX(1,CEILING(PERCENTRANK.INC($D$3:$D$6000,D5865,4)*5+0.000001,1)))</f>
        <v/>
      </c>
      <c r="H5865">
        <f>IF(A5865="","",E5865&amp;F5865&amp;G5865)</f>
        <v/>
      </c>
      <c r="I5865">
        <f>IF(A5865="","",IF(AND(E5865&gt;=4,F5865&gt;=4,G5865&gt;=4),"Juara",IF(AND(F5865&gt;=4,E5865&gt;=3),"Setia",IF(AND(E5865=5,F5865&lt;=2,G5865&gt;=3),"Berpotensi",IF(AND(E5865&lt;=3,E5865&gt;=2,F5865&gt;=3),"Rawan",IF(AND(E5865&lt;=2,F5865&lt;=2),"Tidur","Umum"))))))</f>
        <v/>
      </c>
    </row>
    <row r="5866">
      <c r="B5866">
        <f>IF(A5866="","",$B$1-MAXIFS(Donasi!$A$2:$A$20000,Donasi!$B$2:$B$20000,A5866))</f>
        <v/>
      </c>
      <c r="C5866">
        <f>IF(A5866="","",COUNTIF(Donasi!$B$2:$B$20000,A5866))</f>
        <v/>
      </c>
      <c r="D5866">
        <f>IF(A5866="","",SUMIF(Donasi!$B$2:$B$20000,A5866,Donasi!$C$2:$C$20000))</f>
        <v/>
      </c>
      <c r="E5866">
        <f>IF(A5866="","",6-CEILING(PERCENTRANK.INC($B$3:$B$6000,B5866,4)*5+0.000001,1))</f>
        <v/>
      </c>
      <c r="F5866">
        <f>IF(A5866="","",MAX(1,CEILING(PERCENTRANK.INC($C$3:$C$6000,C5866,4)*5+0.000001,1)))</f>
        <v/>
      </c>
      <c r="G5866">
        <f>IF(A5866="","",MAX(1,CEILING(PERCENTRANK.INC($D$3:$D$6000,D5866,4)*5+0.000001,1)))</f>
        <v/>
      </c>
      <c r="H5866">
        <f>IF(A5866="","",E5866&amp;F5866&amp;G5866)</f>
        <v/>
      </c>
      <c r="I5866">
        <f>IF(A5866="","",IF(AND(E5866&gt;=4,F5866&gt;=4,G5866&gt;=4),"Juara",IF(AND(F5866&gt;=4,E5866&gt;=3),"Setia",IF(AND(E5866=5,F5866&lt;=2,G5866&gt;=3),"Berpotensi",IF(AND(E5866&lt;=3,E5866&gt;=2,F5866&gt;=3),"Rawan",IF(AND(E5866&lt;=2,F5866&lt;=2),"Tidur","Umum"))))))</f>
        <v/>
      </c>
    </row>
    <row r="5867">
      <c r="B5867">
        <f>IF(A5867="","",$B$1-MAXIFS(Donasi!$A$2:$A$20000,Donasi!$B$2:$B$20000,A5867))</f>
        <v/>
      </c>
      <c r="C5867">
        <f>IF(A5867="","",COUNTIF(Donasi!$B$2:$B$20000,A5867))</f>
        <v/>
      </c>
      <c r="D5867">
        <f>IF(A5867="","",SUMIF(Donasi!$B$2:$B$20000,A5867,Donasi!$C$2:$C$20000))</f>
        <v/>
      </c>
      <c r="E5867">
        <f>IF(A5867="","",6-CEILING(PERCENTRANK.INC($B$3:$B$6000,B5867,4)*5+0.000001,1))</f>
        <v/>
      </c>
      <c r="F5867">
        <f>IF(A5867="","",MAX(1,CEILING(PERCENTRANK.INC($C$3:$C$6000,C5867,4)*5+0.000001,1)))</f>
        <v/>
      </c>
      <c r="G5867">
        <f>IF(A5867="","",MAX(1,CEILING(PERCENTRANK.INC($D$3:$D$6000,D5867,4)*5+0.000001,1)))</f>
        <v/>
      </c>
      <c r="H5867">
        <f>IF(A5867="","",E5867&amp;F5867&amp;G5867)</f>
        <v/>
      </c>
      <c r="I5867">
        <f>IF(A5867="","",IF(AND(E5867&gt;=4,F5867&gt;=4,G5867&gt;=4),"Juara",IF(AND(F5867&gt;=4,E5867&gt;=3),"Setia",IF(AND(E5867=5,F5867&lt;=2,G5867&gt;=3),"Berpotensi",IF(AND(E5867&lt;=3,E5867&gt;=2,F5867&gt;=3),"Rawan",IF(AND(E5867&lt;=2,F5867&lt;=2),"Tidur","Umum"))))))</f>
        <v/>
      </c>
    </row>
    <row r="5868">
      <c r="B5868">
        <f>IF(A5868="","",$B$1-MAXIFS(Donasi!$A$2:$A$20000,Donasi!$B$2:$B$20000,A5868))</f>
        <v/>
      </c>
      <c r="C5868">
        <f>IF(A5868="","",COUNTIF(Donasi!$B$2:$B$20000,A5868))</f>
        <v/>
      </c>
      <c r="D5868">
        <f>IF(A5868="","",SUMIF(Donasi!$B$2:$B$20000,A5868,Donasi!$C$2:$C$20000))</f>
        <v/>
      </c>
      <c r="E5868">
        <f>IF(A5868="","",6-CEILING(PERCENTRANK.INC($B$3:$B$6000,B5868,4)*5+0.000001,1))</f>
        <v/>
      </c>
      <c r="F5868">
        <f>IF(A5868="","",MAX(1,CEILING(PERCENTRANK.INC($C$3:$C$6000,C5868,4)*5+0.000001,1)))</f>
        <v/>
      </c>
      <c r="G5868">
        <f>IF(A5868="","",MAX(1,CEILING(PERCENTRANK.INC($D$3:$D$6000,D5868,4)*5+0.000001,1)))</f>
        <v/>
      </c>
      <c r="H5868">
        <f>IF(A5868="","",E5868&amp;F5868&amp;G5868)</f>
        <v/>
      </c>
      <c r="I5868">
        <f>IF(A5868="","",IF(AND(E5868&gt;=4,F5868&gt;=4,G5868&gt;=4),"Juara",IF(AND(F5868&gt;=4,E5868&gt;=3),"Setia",IF(AND(E5868=5,F5868&lt;=2,G5868&gt;=3),"Berpotensi",IF(AND(E5868&lt;=3,E5868&gt;=2,F5868&gt;=3),"Rawan",IF(AND(E5868&lt;=2,F5868&lt;=2),"Tidur","Umum"))))))</f>
        <v/>
      </c>
    </row>
    <row r="5869">
      <c r="B5869">
        <f>IF(A5869="","",$B$1-MAXIFS(Donasi!$A$2:$A$20000,Donasi!$B$2:$B$20000,A5869))</f>
        <v/>
      </c>
      <c r="C5869">
        <f>IF(A5869="","",COUNTIF(Donasi!$B$2:$B$20000,A5869))</f>
        <v/>
      </c>
      <c r="D5869">
        <f>IF(A5869="","",SUMIF(Donasi!$B$2:$B$20000,A5869,Donasi!$C$2:$C$20000))</f>
        <v/>
      </c>
      <c r="E5869">
        <f>IF(A5869="","",6-CEILING(PERCENTRANK.INC($B$3:$B$6000,B5869,4)*5+0.000001,1))</f>
        <v/>
      </c>
      <c r="F5869">
        <f>IF(A5869="","",MAX(1,CEILING(PERCENTRANK.INC($C$3:$C$6000,C5869,4)*5+0.000001,1)))</f>
        <v/>
      </c>
      <c r="G5869">
        <f>IF(A5869="","",MAX(1,CEILING(PERCENTRANK.INC($D$3:$D$6000,D5869,4)*5+0.000001,1)))</f>
        <v/>
      </c>
      <c r="H5869">
        <f>IF(A5869="","",E5869&amp;F5869&amp;G5869)</f>
        <v/>
      </c>
      <c r="I5869">
        <f>IF(A5869="","",IF(AND(E5869&gt;=4,F5869&gt;=4,G5869&gt;=4),"Juara",IF(AND(F5869&gt;=4,E5869&gt;=3),"Setia",IF(AND(E5869=5,F5869&lt;=2,G5869&gt;=3),"Berpotensi",IF(AND(E5869&lt;=3,E5869&gt;=2,F5869&gt;=3),"Rawan",IF(AND(E5869&lt;=2,F5869&lt;=2),"Tidur","Umum"))))))</f>
        <v/>
      </c>
    </row>
    <row r="5870">
      <c r="B5870">
        <f>IF(A5870="","",$B$1-MAXIFS(Donasi!$A$2:$A$20000,Donasi!$B$2:$B$20000,A5870))</f>
        <v/>
      </c>
      <c r="C5870">
        <f>IF(A5870="","",COUNTIF(Donasi!$B$2:$B$20000,A5870))</f>
        <v/>
      </c>
      <c r="D5870">
        <f>IF(A5870="","",SUMIF(Donasi!$B$2:$B$20000,A5870,Donasi!$C$2:$C$20000))</f>
        <v/>
      </c>
      <c r="E5870">
        <f>IF(A5870="","",6-CEILING(PERCENTRANK.INC($B$3:$B$6000,B5870,4)*5+0.000001,1))</f>
        <v/>
      </c>
      <c r="F5870">
        <f>IF(A5870="","",MAX(1,CEILING(PERCENTRANK.INC($C$3:$C$6000,C5870,4)*5+0.000001,1)))</f>
        <v/>
      </c>
      <c r="G5870">
        <f>IF(A5870="","",MAX(1,CEILING(PERCENTRANK.INC($D$3:$D$6000,D5870,4)*5+0.000001,1)))</f>
        <v/>
      </c>
      <c r="H5870">
        <f>IF(A5870="","",E5870&amp;F5870&amp;G5870)</f>
        <v/>
      </c>
      <c r="I5870">
        <f>IF(A5870="","",IF(AND(E5870&gt;=4,F5870&gt;=4,G5870&gt;=4),"Juara",IF(AND(F5870&gt;=4,E5870&gt;=3),"Setia",IF(AND(E5870=5,F5870&lt;=2,G5870&gt;=3),"Berpotensi",IF(AND(E5870&lt;=3,E5870&gt;=2,F5870&gt;=3),"Rawan",IF(AND(E5870&lt;=2,F5870&lt;=2),"Tidur","Umum"))))))</f>
        <v/>
      </c>
    </row>
    <row r="5871">
      <c r="B5871">
        <f>IF(A5871="","",$B$1-MAXIFS(Donasi!$A$2:$A$20000,Donasi!$B$2:$B$20000,A5871))</f>
        <v/>
      </c>
      <c r="C5871">
        <f>IF(A5871="","",COUNTIF(Donasi!$B$2:$B$20000,A5871))</f>
        <v/>
      </c>
      <c r="D5871">
        <f>IF(A5871="","",SUMIF(Donasi!$B$2:$B$20000,A5871,Donasi!$C$2:$C$20000))</f>
        <v/>
      </c>
      <c r="E5871">
        <f>IF(A5871="","",6-CEILING(PERCENTRANK.INC($B$3:$B$6000,B5871,4)*5+0.000001,1))</f>
        <v/>
      </c>
      <c r="F5871">
        <f>IF(A5871="","",MAX(1,CEILING(PERCENTRANK.INC($C$3:$C$6000,C5871,4)*5+0.000001,1)))</f>
        <v/>
      </c>
      <c r="G5871">
        <f>IF(A5871="","",MAX(1,CEILING(PERCENTRANK.INC($D$3:$D$6000,D5871,4)*5+0.000001,1)))</f>
        <v/>
      </c>
      <c r="H5871">
        <f>IF(A5871="","",E5871&amp;F5871&amp;G5871)</f>
        <v/>
      </c>
      <c r="I5871">
        <f>IF(A5871="","",IF(AND(E5871&gt;=4,F5871&gt;=4,G5871&gt;=4),"Juara",IF(AND(F5871&gt;=4,E5871&gt;=3),"Setia",IF(AND(E5871=5,F5871&lt;=2,G5871&gt;=3),"Berpotensi",IF(AND(E5871&lt;=3,E5871&gt;=2,F5871&gt;=3),"Rawan",IF(AND(E5871&lt;=2,F5871&lt;=2),"Tidur","Umum"))))))</f>
        <v/>
      </c>
    </row>
    <row r="5872">
      <c r="B5872">
        <f>IF(A5872="","",$B$1-MAXIFS(Donasi!$A$2:$A$20000,Donasi!$B$2:$B$20000,A5872))</f>
        <v/>
      </c>
      <c r="C5872">
        <f>IF(A5872="","",COUNTIF(Donasi!$B$2:$B$20000,A5872))</f>
        <v/>
      </c>
      <c r="D5872">
        <f>IF(A5872="","",SUMIF(Donasi!$B$2:$B$20000,A5872,Donasi!$C$2:$C$20000))</f>
        <v/>
      </c>
      <c r="E5872">
        <f>IF(A5872="","",6-CEILING(PERCENTRANK.INC($B$3:$B$6000,B5872,4)*5+0.000001,1))</f>
        <v/>
      </c>
      <c r="F5872">
        <f>IF(A5872="","",MAX(1,CEILING(PERCENTRANK.INC($C$3:$C$6000,C5872,4)*5+0.000001,1)))</f>
        <v/>
      </c>
      <c r="G5872">
        <f>IF(A5872="","",MAX(1,CEILING(PERCENTRANK.INC($D$3:$D$6000,D5872,4)*5+0.000001,1)))</f>
        <v/>
      </c>
      <c r="H5872">
        <f>IF(A5872="","",E5872&amp;F5872&amp;G5872)</f>
        <v/>
      </c>
      <c r="I5872">
        <f>IF(A5872="","",IF(AND(E5872&gt;=4,F5872&gt;=4,G5872&gt;=4),"Juara",IF(AND(F5872&gt;=4,E5872&gt;=3),"Setia",IF(AND(E5872=5,F5872&lt;=2,G5872&gt;=3),"Berpotensi",IF(AND(E5872&lt;=3,E5872&gt;=2,F5872&gt;=3),"Rawan",IF(AND(E5872&lt;=2,F5872&lt;=2),"Tidur","Umum"))))))</f>
        <v/>
      </c>
    </row>
    <row r="5873">
      <c r="B5873">
        <f>IF(A5873="","",$B$1-MAXIFS(Donasi!$A$2:$A$20000,Donasi!$B$2:$B$20000,A5873))</f>
        <v/>
      </c>
      <c r="C5873">
        <f>IF(A5873="","",COUNTIF(Donasi!$B$2:$B$20000,A5873))</f>
        <v/>
      </c>
      <c r="D5873">
        <f>IF(A5873="","",SUMIF(Donasi!$B$2:$B$20000,A5873,Donasi!$C$2:$C$20000))</f>
        <v/>
      </c>
      <c r="E5873">
        <f>IF(A5873="","",6-CEILING(PERCENTRANK.INC($B$3:$B$6000,B5873,4)*5+0.000001,1))</f>
        <v/>
      </c>
      <c r="F5873">
        <f>IF(A5873="","",MAX(1,CEILING(PERCENTRANK.INC($C$3:$C$6000,C5873,4)*5+0.000001,1)))</f>
        <v/>
      </c>
      <c r="G5873">
        <f>IF(A5873="","",MAX(1,CEILING(PERCENTRANK.INC($D$3:$D$6000,D5873,4)*5+0.000001,1)))</f>
        <v/>
      </c>
      <c r="H5873">
        <f>IF(A5873="","",E5873&amp;F5873&amp;G5873)</f>
        <v/>
      </c>
      <c r="I5873">
        <f>IF(A5873="","",IF(AND(E5873&gt;=4,F5873&gt;=4,G5873&gt;=4),"Juara",IF(AND(F5873&gt;=4,E5873&gt;=3),"Setia",IF(AND(E5873=5,F5873&lt;=2,G5873&gt;=3),"Berpotensi",IF(AND(E5873&lt;=3,E5873&gt;=2,F5873&gt;=3),"Rawan",IF(AND(E5873&lt;=2,F5873&lt;=2),"Tidur","Umum"))))))</f>
        <v/>
      </c>
    </row>
    <row r="5874">
      <c r="B5874">
        <f>IF(A5874="","",$B$1-MAXIFS(Donasi!$A$2:$A$20000,Donasi!$B$2:$B$20000,A5874))</f>
        <v/>
      </c>
      <c r="C5874">
        <f>IF(A5874="","",COUNTIF(Donasi!$B$2:$B$20000,A5874))</f>
        <v/>
      </c>
      <c r="D5874">
        <f>IF(A5874="","",SUMIF(Donasi!$B$2:$B$20000,A5874,Donasi!$C$2:$C$20000))</f>
        <v/>
      </c>
      <c r="E5874">
        <f>IF(A5874="","",6-CEILING(PERCENTRANK.INC($B$3:$B$6000,B5874,4)*5+0.000001,1))</f>
        <v/>
      </c>
      <c r="F5874">
        <f>IF(A5874="","",MAX(1,CEILING(PERCENTRANK.INC($C$3:$C$6000,C5874,4)*5+0.000001,1)))</f>
        <v/>
      </c>
      <c r="G5874">
        <f>IF(A5874="","",MAX(1,CEILING(PERCENTRANK.INC($D$3:$D$6000,D5874,4)*5+0.000001,1)))</f>
        <v/>
      </c>
      <c r="H5874">
        <f>IF(A5874="","",E5874&amp;F5874&amp;G5874)</f>
        <v/>
      </c>
      <c r="I5874">
        <f>IF(A5874="","",IF(AND(E5874&gt;=4,F5874&gt;=4,G5874&gt;=4),"Juara",IF(AND(F5874&gt;=4,E5874&gt;=3),"Setia",IF(AND(E5874=5,F5874&lt;=2,G5874&gt;=3),"Berpotensi",IF(AND(E5874&lt;=3,E5874&gt;=2,F5874&gt;=3),"Rawan",IF(AND(E5874&lt;=2,F5874&lt;=2),"Tidur","Umum"))))))</f>
        <v/>
      </c>
    </row>
    <row r="5875">
      <c r="B5875">
        <f>IF(A5875="","",$B$1-MAXIFS(Donasi!$A$2:$A$20000,Donasi!$B$2:$B$20000,A5875))</f>
        <v/>
      </c>
      <c r="C5875">
        <f>IF(A5875="","",COUNTIF(Donasi!$B$2:$B$20000,A5875))</f>
        <v/>
      </c>
      <c r="D5875">
        <f>IF(A5875="","",SUMIF(Donasi!$B$2:$B$20000,A5875,Donasi!$C$2:$C$20000))</f>
        <v/>
      </c>
      <c r="E5875">
        <f>IF(A5875="","",6-CEILING(PERCENTRANK.INC($B$3:$B$6000,B5875,4)*5+0.000001,1))</f>
        <v/>
      </c>
      <c r="F5875">
        <f>IF(A5875="","",MAX(1,CEILING(PERCENTRANK.INC($C$3:$C$6000,C5875,4)*5+0.000001,1)))</f>
        <v/>
      </c>
      <c r="G5875">
        <f>IF(A5875="","",MAX(1,CEILING(PERCENTRANK.INC($D$3:$D$6000,D5875,4)*5+0.000001,1)))</f>
        <v/>
      </c>
      <c r="H5875">
        <f>IF(A5875="","",E5875&amp;F5875&amp;G5875)</f>
        <v/>
      </c>
      <c r="I5875">
        <f>IF(A5875="","",IF(AND(E5875&gt;=4,F5875&gt;=4,G5875&gt;=4),"Juara",IF(AND(F5875&gt;=4,E5875&gt;=3),"Setia",IF(AND(E5875=5,F5875&lt;=2,G5875&gt;=3),"Berpotensi",IF(AND(E5875&lt;=3,E5875&gt;=2,F5875&gt;=3),"Rawan",IF(AND(E5875&lt;=2,F5875&lt;=2),"Tidur","Umum"))))))</f>
        <v/>
      </c>
    </row>
    <row r="5876">
      <c r="B5876">
        <f>IF(A5876="","",$B$1-MAXIFS(Donasi!$A$2:$A$20000,Donasi!$B$2:$B$20000,A5876))</f>
        <v/>
      </c>
      <c r="C5876">
        <f>IF(A5876="","",COUNTIF(Donasi!$B$2:$B$20000,A5876))</f>
        <v/>
      </c>
      <c r="D5876">
        <f>IF(A5876="","",SUMIF(Donasi!$B$2:$B$20000,A5876,Donasi!$C$2:$C$20000))</f>
        <v/>
      </c>
      <c r="E5876">
        <f>IF(A5876="","",6-CEILING(PERCENTRANK.INC($B$3:$B$6000,B5876,4)*5+0.000001,1))</f>
        <v/>
      </c>
      <c r="F5876">
        <f>IF(A5876="","",MAX(1,CEILING(PERCENTRANK.INC($C$3:$C$6000,C5876,4)*5+0.000001,1)))</f>
        <v/>
      </c>
      <c r="G5876">
        <f>IF(A5876="","",MAX(1,CEILING(PERCENTRANK.INC($D$3:$D$6000,D5876,4)*5+0.000001,1)))</f>
        <v/>
      </c>
      <c r="H5876">
        <f>IF(A5876="","",E5876&amp;F5876&amp;G5876)</f>
        <v/>
      </c>
      <c r="I5876">
        <f>IF(A5876="","",IF(AND(E5876&gt;=4,F5876&gt;=4,G5876&gt;=4),"Juara",IF(AND(F5876&gt;=4,E5876&gt;=3),"Setia",IF(AND(E5876=5,F5876&lt;=2,G5876&gt;=3),"Berpotensi",IF(AND(E5876&lt;=3,E5876&gt;=2,F5876&gt;=3),"Rawan",IF(AND(E5876&lt;=2,F5876&lt;=2),"Tidur","Umum"))))))</f>
        <v/>
      </c>
    </row>
    <row r="5877">
      <c r="B5877">
        <f>IF(A5877="","",$B$1-MAXIFS(Donasi!$A$2:$A$20000,Donasi!$B$2:$B$20000,A5877))</f>
        <v/>
      </c>
      <c r="C5877">
        <f>IF(A5877="","",COUNTIF(Donasi!$B$2:$B$20000,A5877))</f>
        <v/>
      </c>
      <c r="D5877">
        <f>IF(A5877="","",SUMIF(Donasi!$B$2:$B$20000,A5877,Donasi!$C$2:$C$20000))</f>
        <v/>
      </c>
      <c r="E5877">
        <f>IF(A5877="","",6-CEILING(PERCENTRANK.INC($B$3:$B$6000,B5877,4)*5+0.000001,1))</f>
        <v/>
      </c>
      <c r="F5877">
        <f>IF(A5877="","",MAX(1,CEILING(PERCENTRANK.INC($C$3:$C$6000,C5877,4)*5+0.000001,1)))</f>
        <v/>
      </c>
      <c r="G5877">
        <f>IF(A5877="","",MAX(1,CEILING(PERCENTRANK.INC($D$3:$D$6000,D5877,4)*5+0.000001,1)))</f>
        <v/>
      </c>
      <c r="H5877">
        <f>IF(A5877="","",E5877&amp;F5877&amp;G5877)</f>
        <v/>
      </c>
      <c r="I5877">
        <f>IF(A5877="","",IF(AND(E5877&gt;=4,F5877&gt;=4,G5877&gt;=4),"Juara",IF(AND(F5877&gt;=4,E5877&gt;=3),"Setia",IF(AND(E5877=5,F5877&lt;=2,G5877&gt;=3),"Berpotensi",IF(AND(E5877&lt;=3,E5877&gt;=2,F5877&gt;=3),"Rawan",IF(AND(E5877&lt;=2,F5877&lt;=2),"Tidur","Umum"))))))</f>
        <v/>
      </c>
    </row>
    <row r="5878">
      <c r="B5878">
        <f>IF(A5878="","",$B$1-MAXIFS(Donasi!$A$2:$A$20000,Donasi!$B$2:$B$20000,A5878))</f>
        <v/>
      </c>
      <c r="C5878">
        <f>IF(A5878="","",COUNTIF(Donasi!$B$2:$B$20000,A5878))</f>
        <v/>
      </c>
      <c r="D5878">
        <f>IF(A5878="","",SUMIF(Donasi!$B$2:$B$20000,A5878,Donasi!$C$2:$C$20000))</f>
        <v/>
      </c>
      <c r="E5878">
        <f>IF(A5878="","",6-CEILING(PERCENTRANK.INC($B$3:$B$6000,B5878,4)*5+0.000001,1))</f>
        <v/>
      </c>
      <c r="F5878">
        <f>IF(A5878="","",MAX(1,CEILING(PERCENTRANK.INC($C$3:$C$6000,C5878,4)*5+0.000001,1)))</f>
        <v/>
      </c>
      <c r="G5878">
        <f>IF(A5878="","",MAX(1,CEILING(PERCENTRANK.INC($D$3:$D$6000,D5878,4)*5+0.000001,1)))</f>
        <v/>
      </c>
      <c r="H5878">
        <f>IF(A5878="","",E5878&amp;F5878&amp;G5878)</f>
        <v/>
      </c>
      <c r="I5878">
        <f>IF(A5878="","",IF(AND(E5878&gt;=4,F5878&gt;=4,G5878&gt;=4),"Juara",IF(AND(F5878&gt;=4,E5878&gt;=3),"Setia",IF(AND(E5878=5,F5878&lt;=2,G5878&gt;=3),"Berpotensi",IF(AND(E5878&lt;=3,E5878&gt;=2,F5878&gt;=3),"Rawan",IF(AND(E5878&lt;=2,F5878&lt;=2),"Tidur","Umum"))))))</f>
        <v/>
      </c>
    </row>
    <row r="5879">
      <c r="B5879">
        <f>IF(A5879="","",$B$1-MAXIFS(Donasi!$A$2:$A$20000,Donasi!$B$2:$B$20000,A5879))</f>
        <v/>
      </c>
      <c r="C5879">
        <f>IF(A5879="","",COUNTIF(Donasi!$B$2:$B$20000,A5879))</f>
        <v/>
      </c>
      <c r="D5879">
        <f>IF(A5879="","",SUMIF(Donasi!$B$2:$B$20000,A5879,Donasi!$C$2:$C$20000))</f>
        <v/>
      </c>
      <c r="E5879">
        <f>IF(A5879="","",6-CEILING(PERCENTRANK.INC($B$3:$B$6000,B5879,4)*5+0.000001,1))</f>
        <v/>
      </c>
      <c r="F5879">
        <f>IF(A5879="","",MAX(1,CEILING(PERCENTRANK.INC($C$3:$C$6000,C5879,4)*5+0.000001,1)))</f>
        <v/>
      </c>
      <c r="G5879">
        <f>IF(A5879="","",MAX(1,CEILING(PERCENTRANK.INC($D$3:$D$6000,D5879,4)*5+0.000001,1)))</f>
        <v/>
      </c>
      <c r="H5879">
        <f>IF(A5879="","",E5879&amp;F5879&amp;G5879)</f>
        <v/>
      </c>
      <c r="I5879">
        <f>IF(A5879="","",IF(AND(E5879&gt;=4,F5879&gt;=4,G5879&gt;=4),"Juara",IF(AND(F5879&gt;=4,E5879&gt;=3),"Setia",IF(AND(E5879=5,F5879&lt;=2,G5879&gt;=3),"Berpotensi",IF(AND(E5879&lt;=3,E5879&gt;=2,F5879&gt;=3),"Rawan",IF(AND(E5879&lt;=2,F5879&lt;=2),"Tidur","Umum"))))))</f>
        <v/>
      </c>
    </row>
    <row r="5880">
      <c r="B5880">
        <f>IF(A5880="","",$B$1-MAXIFS(Donasi!$A$2:$A$20000,Donasi!$B$2:$B$20000,A5880))</f>
        <v/>
      </c>
      <c r="C5880">
        <f>IF(A5880="","",COUNTIF(Donasi!$B$2:$B$20000,A5880))</f>
        <v/>
      </c>
      <c r="D5880">
        <f>IF(A5880="","",SUMIF(Donasi!$B$2:$B$20000,A5880,Donasi!$C$2:$C$20000))</f>
        <v/>
      </c>
      <c r="E5880">
        <f>IF(A5880="","",6-CEILING(PERCENTRANK.INC($B$3:$B$6000,B5880,4)*5+0.000001,1))</f>
        <v/>
      </c>
      <c r="F5880">
        <f>IF(A5880="","",MAX(1,CEILING(PERCENTRANK.INC($C$3:$C$6000,C5880,4)*5+0.000001,1)))</f>
        <v/>
      </c>
      <c r="G5880">
        <f>IF(A5880="","",MAX(1,CEILING(PERCENTRANK.INC($D$3:$D$6000,D5880,4)*5+0.000001,1)))</f>
        <v/>
      </c>
      <c r="H5880">
        <f>IF(A5880="","",E5880&amp;F5880&amp;G5880)</f>
        <v/>
      </c>
      <c r="I5880">
        <f>IF(A5880="","",IF(AND(E5880&gt;=4,F5880&gt;=4,G5880&gt;=4),"Juara",IF(AND(F5880&gt;=4,E5880&gt;=3),"Setia",IF(AND(E5880=5,F5880&lt;=2,G5880&gt;=3),"Berpotensi",IF(AND(E5880&lt;=3,E5880&gt;=2,F5880&gt;=3),"Rawan",IF(AND(E5880&lt;=2,F5880&lt;=2),"Tidur","Umum"))))))</f>
        <v/>
      </c>
    </row>
    <row r="5881">
      <c r="B5881">
        <f>IF(A5881="","",$B$1-MAXIFS(Donasi!$A$2:$A$20000,Donasi!$B$2:$B$20000,A5881))</f>
        <v/>
      </c>
      <c r="C5881">
        <f>IF(A5881="","",COUNTIF(Donasi!$B$2:$B$20000,A5881))</f>
        <v/>
      </c>
      <c r="D5881">
        <f>IF(A5881="","",SUMIF(Donasi!$B$2:$B$20000,A5881,Donasi!$C$2:$C$20000))</f>
        <v/>
      </c>
      <c r="E5881">
        <f>IF(A5881="","",6-CEILING(PERCENTRANK.INC($B$3:$B$6000,B5881,4)*5+0.000001,1))</f>
        <v/>
      </c>
      <c r="F5881">
        <f>IF(A5881="","",MAX(1,CEILING(PERCENTRANK.INC($C$3:$C$6000,C5881,4)*5+0.000001,1)))</f>
        <v/>
      </c>
      <c r="G5881">
        <f>IF(A5881="","",MAX(1,CEILING(PERCENTRANK.INC($D$3:$D$6000,D5881,4)*5+0.000001,1)))</f>
        <v/>
      </c>
      <c r="H5881">
        <f>IF(A5881="","",E5881&amp;F5881&amp;G5881)</f>
        <v/>
      </c>
      <c r="I5881">
        <f>IF(A5881="","",IF(AND(E5881&gt;=4,F5881&gt;=4,G5881&gt;=4),"Juara",IF(AND(F5881&gt;=4,E5881&gt;=3),"Setia",IF(AND(E5881=5,F5881&lt;=2,G5881&gt;=3),"Berpotensi",IF(AND(E5881&lt;=3,E5881&gt;=2,F5881&gt;=3),"Rawan",IF(AND(E5881&lt;=2,F5881&lt;=2),"Tidur","Umum"))))))</f>
        <v/>
      </c>
    </row>
    <row r="5882">
      <c r="B5882">
        <f>IF(A5882="","",$B$1-MAXIFS(Donasi!$A$2:$A$20000,Donasi!$B$2:$B$20000,A5882))</f>
        <v/>
      </c>
      <c r="C5882">
        <f>IF(A5882="","",COUNTIF(Donasi!$B$2:$B$20000,A5882))</f>
        <v/>
      </c>
      <c r="D5882">
        <f>IF(A5882="","",SUMIF(Donasi!$B$2:$B$20000,A5882,Donasi!$C$2:$C$20000))</f>
        <v/>
      </c>
      <c r="E5882">
        <f>IF(A5882="","",6-CEILING(PERCENTRANK.INC($B$3:$B$6000,B5882,4)*5+0.000001,1))</f>
        <v/>
      </c>
      <c r="F5882">
        <f>IF(A5882="","",MAX(1,CEILING(PERCENTRANK.INC($C$3:$C$6000,C5882,4)*5+0.000001,1)))</f>
        <v/>
      </c>
      <c r="G5882">
        <f>IF(A5882="","",MAX(1,CEILING(PERCENTRANK.INC($D$3:$D$6000,D5882,4)*5+0.000001,1)))</f>
        <v/>
      </c>
      <c r="H5882">
        <f>IF(A5882="","",E5882&amp;F5882&amp;G5882)</f>
        <v/>
      </c>
      <c r="I5882">
        <f>IF(A5882="","",IF(AND(E5882&gt;=4,F5882&gt;=4,G5882&gt;=4),"Juara",IF(AND(F5882&gt;=4,E5882&gt;=3),"Setia",IF(AND(E5882=5,F5882&lt;=2,G5882&gt;=3),"Berpotensi",IF(AND(E5882&lt;=3,E5882&gt;=2,F5882&gt;=3),"Rawan",IF(AND(E5882&lt;=2,F5882&lt;=2),"Tidur","Umum"))))))</f>
        <v/>
      </c>
    </row>
    <row r="5883">
      <c r="B5883">
        <f>IF(A5883="","",$B$1-MAXIFS(Donasi!$A$2:$A$20000,Donasi!$B$2:$B$20000,A5883))</f>
        <v/>
      </c>
      <c r="C5883">
        <f>IF(A5883="","",COUNTIF(Donasi!$B$2:$B$20000,A5883))</f>
        <v/>
      </c>
      <c r="D5883">
        <f>IF(A5883="","",SUMIF(Donasi!$B$2:$B$20000,A5883,Donasi!$C$2:$C$20000))</f>
        <v/>
      </c>
      <c r="E5883">
        <f>IF(A5883="","",6-CEILING(PERCENTRANK.INC($B$3:$B$6000,B5883,4)*5+0.000001,1))</f>
        <v/>
      </c>
      <c r="F5883">
        <f>IF(A5883="","",MAX(1,CEILING(PERCENTRANK.INC($C$3:$C$6000,C5883,4)*5+0.000001,1)))</f>
        <v/>
      </c>
      <c r="G5883">
        <f>IF(A5883="","",MAX(1,CEILING(PERCENTRANK.INC($D$3:$D$6000,D5883,4)*5+0.000001,1)))</f>
        <v/>
      </c>
      <c r="H5883">
        <f>IF(A5883="","",E5883&amp;F5883&amp;G5883)</f>
        <v/>
      </c>
      <c r="I5883">
        <f>IF(A5883="","",IF(AND(E5883&gt;=4,F5883&gt;=4,G5883&gt;=4),"Juara",IF(AND(F5883&gt;=4,E5883&gt;=3),"Setia",IF(AND(E5883=5,F5883&lt;=2,G5883&gt;=3),"Berpotensi",IF(AND(E5883&lt;=3,E5883&gt;=2,F5883&gt;=3),"Rawan",IF(AND(E5883&lt;=2,F5883&lt;=2),"Tidur","Umum"))))))</f>
        <v/>
      </c>
    </row>
    <row r="5884">
      <c r="B5884">
        <f>IF(A5884="","",$B$1-MAXIFS(Donasi!$A$2:$A$20000,Donasi!$B$2:$B$20000,A5884))</f>
        <v/>
      </c>
      <c r="C5884">
        <f>IF(A5884="","",COUNTIF(Donasi!$B$2:$B$20000,A5884))</f>
        <v/>
      </c>
      <c r="D5884">
        <f>IF(A5884="","",SUMIF(Donasi!$B$2:$B$20000,A5884,Donasi!$C$2:$C$20000))</f>
        <v/>
      </c>
      <c r="E5884">
        <f>IF(A5884="","",6-CEILING(PERCENTRANK.INC($B$3:$B$6000,B5884,4)*5+0.000001,1))</f>
        <v/>
      </c>
      <c r="F5884">
        <f>IF(A5884="","",MAX(1,CEILING(PERCENTRANK.INC($C$3:$C$6000,C5884,4)*5+0.000001,1)))</f>
        <v/>
      </c>
      <c r="G5884">
        <f>IF(A5884="","",MAX(1,CEILING(PERCENTRANK.INC($D$3:$D$6000,D5884,4)*5+0.000001,1)))</f>
        <v/>
      </c>
      <c r="H5884">
        <f>IF(A5884="","",E5884&amp;F5884&amp;G5884)</f>
        <v/>
      </c>
      <c r="I5884">
        <f>IF(A5884="","",IF(AND(E5884&gt;=4,F5884&gt;=4,G5884&gt;=4),"Juara",IF(AND(F5884&gt;=4,E5884&gt;=3),"Setia",IF(AND(E5884=5,F5884&lt;=2,G5884&gt;=3),"Berpotensi",IF(AND(E5884&lt;=3,E5884&gt;=2,F5884&gt;=3),"Rawan",IF(AND(E5884&lt;=2,F5884&lt;=2),"Tidur","Umum"))))))</f>
        <v/>
      </c>
    </row>
    <row r="5885">
      <c r="B5885">
        <f>IF(A5885="","",$B$1-MAXIFS(Donasi!$A$2:$A$20000,Donasi!$B$2:$B$20000,A5885))</f>
        <v/>
      </c>
      <c r="C5885">
        <f>IF(A5885="","",COUNTIF(Donasi!$B$2:$B$20000,A5885))</f>
        <v/>
      </c>
      <c r="D5885">
        <f>IF(A5885="","",SUMIF(Donasi!$B$2:$B$20000,A5885,Donasi!$C$2:$C$20000))</f>
        <v/>
      </c>
      <c r="E5885">
        <f>IF(A5885="","",6-CEILING(PERCENTRANK.INC($B$3:$B$6000,B5885,4)*5+0.000001,1))</f>
        <v/>
      </c>
      <c r="F5885">
        <f>IF(A5885="","",MAX(1,CEILING(PERCENTRANK.INC($C$3:$C$6000,C5885,4)*5+0.000001,1)))</f>
        <v/>
      </c>
      <c r="G5885">
        <f>IF(A5885="","",MAX(1,CEILING(PERCENTRANK.INC($D$3:$D$6000,D5885,4)*5+0.000001,1)))</f>
        <v/>
      </c>
      <c r="H5885">
        <f>IF(A5885="","",E5885&amp;F5885&amp;G5885)</f>
        <v/>
      </c>
      <c r="I5885">
        <f>IF(A5885="","",IF(AND(E5885&gt;=4,F5885&gt;=4,G5885&gt;=4),"Juara",IF(AND(F5885&gt;=4,E5885&gt;=3),"Setia",IF(AND(E5885=5,F5885&lt;=2,G5885&gt;=3),"Berpotensi",IF(AND(E5885&lt;=3,E5885&gt;=2,F5885&gt;=3),"Rawan",IF(AND(E5885&lt;=2,F5885&lt;=2),"Tidur","Umum"))))))</f>
        <v/>
      </c>
    </row>
    <row r="5886">
      <c r="B5886">
        <f>IF(A5886="","",$B$1-MAXIFS(Donasi!$A$2:$A$20000,Donasi!$B$2:$B$20000,A5886))</f>
        <v/>
      </c>
      <c r="C5886">
        <f>IF(A5886="","",COUNTIF(Donasi!$B$2:$B$20000,A5886))</f>
        <v/>
      </c>
      <c r="D5886">
        <f>IF(A5886="","",SUMIF(Donasi!$B$2:$B$20000,A5886,Donasi!$C$2:$C$20000))</f>
        <v/>
      </c>
      <c r="E5886">
        <f>IF(A5886="","",6-CEILING(PERCENTRANK.INC($B$3:$B$6000,B5886,4)*5+0.000001,1))</f>
        <v/>
      </c>
      <c r="F5886">
        <f>IF(A5886="","",MAX(1,CEILING(PERCENTRANK.INC($C$3:$C$6000,C5886,4)*5+0.000001,1)))</f>
        <v/>
      </c>
      <c r="G5886">
        <f>IF(A5886="","",MAX(1,CEILING(PERCENTRANK.INC($D$3:$D$6000,D5886,4)*5+0.000001,1)))</f>
        <v/>
      </c>
      <c r="H5886">
        <f>IF(A5886="","",E5886&amp;F5886&amp;G5886)</f>
        <v/>
      </c>
      <c r="I5886">
        <f>IF(A5886="","",IF(AND(E5886&gt;=4,F5886&gt;=4,G5886&gt;=4),"Juara",IF(AND(F5886&gt;=4,E5886&gt;=3),"Setia",IF(AND(E5886=5,F5886&lt;=2,G5886&gt;=3),"Berpotensi",IF(AND(E5886&lt;=3,E5886&gt;=2,F5886&gt;=3),"Rawan",IF(AND(E5886&lt;=2,F5886&lt;=2),"Tidur","Umum"))))))</f>
        <v/>
      </c>
    </row>
    <row r="5887">
      <c r="B5887">
        <f>IF(A5887="","",$B$1-MAXIFS(Donasi!$A$2:$A$20000,Donasi!$B$2:$B$20000,A5887))</f>
        <v/>
      </c>
      <c r="C5887">
        <f>IF(A5887="","",COUNTIF(Donasi!$B$2:$B$20000,A5887))</f>
        <v/>
      </c>
      <c r="D5887">
        <f>IF(A5887="","",SUMIF(Donasi!$B$2:$B$20000,A5887,Donasi!$C$2:$C$20000))</f>
        <v/>
      </c>
      <c r="E5887">
        <f>IF(A5887="","",6-CEILING(PERCENTRANK.INC($B$3:$B$6000,B5887,4)*5+0.000001,1))</f>
        <v/>
      </c>
      <c r="F5887">
        <f>IF(A5887="","",MAX(1,CEILING(PERCENTRANK.INC($C$3:$C$6000,C5887,4)*5+0.000001,1)))</f>
        <v/>
      </c>
      <c r="G5887">
        <f>IF(A5887="","",MAX(1,CEILING(PERCENTRANK.INC($D$3:$D$6000,D5887,4)*5+0.000001,1)))</f>
        <v/>
      </c>
      <c r="H5887">
        <f>IF(A5887="","",E5887&amp;F5887&amp;G5887)</f>
        <v/>
      </c>
      <c r="I5887">
        <f>IF(A5887="","",IF(AND(E5887&gt;=4,F5887&gt;=4,G5887&gt;=4),"Juara",IF(AND(F5887&gt;=4,E5887&gt;=3),"Setia",IF(AND(E5887=5,F5887&lt;=2,G5887&gt;=3),"Berpotensi",IF(AND(E5887&lt;=3,E5887&gt;=2,F5887&gt;=3),"Rawan",IF(AND(E5887&lt;=2,F5887&lt;=2),"Tidur","Umum"))))))</f>
        <v/>
      </c>
    </row>
    <row r="5888">
      <c r="B5888">
        <f>IF(A5888="","",$B$1-MAXIFS(Donasi!$A$2:$A$20000,Donasi!$B$2:$B$20000,A5888))</f>
        <v/>
      </c>
      <c r="C5888">
        <f>IF(A5888="","",COUNTIF(Donasi!$B$2:$B$20000,A5888))</f>
        <v/>
      </c>
      <c r="D5888">
        <f>IF(A5888="","",SUMIF(Donasi!$B$2:$B$20000,A5888,Donasi!$C$2:$C$20000))</f>
        <v/>
      </c>
      <c r="E5888">
        <f>IF(A5888="","",6-CEILING(PERCENTRANK.INC($B$3:$B$6000,B5888,4)*5+0.000001,1))</f>
        <v/>
      </c>
      <c r="F5888">
        <f>IF(A5888="","",MAX(1,CEILING(PERCENTRANK.INC($C$3:$C$6000,C5888,4)*5+0.000001,1)))</f>
        <v/>
      </c>
      <c r="G5888">
        <f>IF(A5888="","",MAX(1,CEILING(PERCENTRANK.INC($D$3:$D$6000,D5888,4)*5+0.000001,1)))</f>
        <v/>
      </c>
      <c r="H5888">
        <f>IF(A5888="","",E5888&amp;F5888&amp;G5888)</f>
        <v/>
      </c>
      <c r="I5888">
        <f>IF(A5888="","",IF(AND(E5888&gt;=4,F5888&gt;=4,G5888&gt;=4),"Juara",IF(AND(F5888&gt;=4,E5888&gt;=3),"Setia",IF(AND(E5888=5,F5888&lt;=2,G5888&gt;=3),"Berpotensi",IF(AND(E5888&lt;=3,E5888&gt;=2,F5888&gt;=3),"Rawan",IF(AND(E5888&lt;=2,F5888&lt;=2),"Tidur","Umum"))))))</f>
        <v/>
      </c>
    </row>
    <row r="5889">
      <c r="B5889">
        <f>IF(A5889="","",$B$1-MAXIFS(Donasi!$A$2:$A$20000,Donasi!$B$2:$B$20000,A5889))</f>
        <v/>
      </c>
      <c r="C5889">
        <f>IF(A5889="","",COUNTIF(Donasi!$B$2:$B$20000,A5889))</f>
        <v/>
      </c>
      <c r="D5889">
        <f>IF(A5889="","",SUMIF(Donasi!$B$2:$B$20000,A5889,Donasi!$C$2:$C$20000))</f>
        <v/>
      </c>
      <c r="E5889">
        <f>IF(A5889="","",6-CEILING(PERCENTRANK.INC($B$3:$B$6000,B5889,4)*5+0.000001,1))</f>
        <v/>
      </c>
      <c r="F5889">
        <f>IF(A5889="","",MAX(1,CEILING(PERCENTRANK.INC($C$3:$C$6000,C5889,4)*5+0.000001,1)))</f>
        <v/>
      </c>
      <c r="G5889">
        <f>IF(A5889="","",MAX(1,CEILING(PERCENTRANK.INC($D$3:$D$6000,D5889,4)*5+0.000001,1)))</f>
        <v/>
      </c>
      <c r="H5889">
        <f>IF(A5889="","",E5889&amp;F5889&amp;G5889)</f>
        <v/>
      </c>
      <c r="I5889">
        <f>IF(A5889="","",IF(AND(E5889&gt;=4,F5889&gt;=4,G5889&gt;=4),"Juara",IF(AND(F5889&gt;=4,E5889&gt;=3),"Setia",IF(AND(E5889=5,F5889&lt;=2,G5889&gt;=3),"Berpotensi",IF(AND(E5889&lt;=3,E5889&gt;=2,F5889&gt;=3),"Rawan",IF(AND(E5889&lt;=2,F5889&lt;=2),"Tidur","Umum"))))))</f>
        <v/>
      </c>
    </row>
    <row r="5890">
      <c r="B5890">
        <f>IF(A5890="","",$B$1-MAXIFS(Donasi!$A$2:$A$20000,Donasi!$B$2:$B$20000,A5890))</f>
        <v/>
      </c>
      <c r="C5890">
        <f>IF(A5890="","",COUNTIF(Donasi!$B$2:$B$20000,A5890))</f>
        <v/>
      </c>
      <c r="D5890">
        <f>IF(A5890="","",SUMIF(Donasi!$B$2:$B$20000,A5890,Donasi!$C$2:$C$20000))</f>
        <v/>
      </c>
      <c r="E5890">
        <f>IF(A5890="","",6-CEILING(PERCENTRANK.INC($B$3:$B$6000,B5890,4)*5+0.000001,1))</f>
        <v/>
      </c>
      <c r="F5890">
        <f>IF(A5890="","",MAX(1,CEILING(PERCENTRANK.INC($C$3:$C$6000,C5890,4)*5+0.000001,1)))</f>
        <v/>
      </c>
      <c r="G5890">
        <f>IF(A5890="","",MAX(1,CEILING(PERCENTRANK.INC($D$3:$D$6000,D5890,4)*5+0.000001,1)))</f>
        <v/>
      </c>
      <c r="H5890">
        <f>IF(A5890="","",E5890&amp;F5890&amp;G5890)</f>
        <v/>
      </c>
      <c r="I5890">
        <f>IF(A5890="","",IF(AND(E5890&gt;=4,F5890&gt;=4,G5890&gt;=4),"Juara",IF(AND(F5890&gt;=4,E5890&gt;=3),"Setia",IF(AND(E5890=5,F5890&lt;=2,G5890&gt;=3),"Berpotensi",IF(AND(E5890&lt;=3,E5890&gt;=2,F5890&gt;=3),"Rawan",IF(AND(E5890&lt;=2,F5890&lt;=2),"Tidur","Umum"))))))</f>
        <v/>
      </c>
    </row>
    <row r="5891">
      <c r="B5891">
        <f>IF(A5891="","",$B$1-MAXIFS(Donasi!$A$2:$A$20000,Donasi!$B$2:$B$20000,A5891))</f>
        <v/>
      </c>
      <c r="C5891">
        <f>IF(A5891="","",COUNTIF(Donasi!$B$2:$B$20000,A5891))</f>
        <v/>
      </c>
      <c r="D5891">
        <f>IF(A5891="","",SUMIF(Donasi!$B$2:$B$20000,A5891,Donasi!$C$2:$C$20000))</f>
        <v/>
      </c>
      <c r="E5891">
        <f>IF(A5891="","",6-CEILING(PERCENTRANK.INC($B$3:$B$6000,B5891,4)*5+0.000001,1))</f>
        <v/>
      </c>
      <c r="F5891">
        <f>IF(A5891="","",MAX(1,CEILING(PERCENTRANK.INC($C$3:$C$6000,C5891,4)*5+0.000001,1)))</f>
        <v/>
      </c>
      <c r="G5891">
        <f>IF(A5891="","",MAX(1,CEILING(PERCENTRANK.INC($D$3:$D$6000,D5891,4)*5+0.000001,1)))</f>
        <v/>
      </c>
      <c r="H5891">
        <f>IF(A5891="","",E5891&amp;F5891&amp;G5891)</f>
        <v/>
      </c>
      <c r="I5891">
        <f>IF(A5891="","",IF(AND(E5891&gt;=4,F5891&gt;=4,G5891&gt;=4),"Juara",IF(AND(F5891&gt;=4,E5891&gt;=3),"Setia",IF(AND(E5891=5,F5891&lt;=2,G5891&gt;=3),"Berpotensi",IF(AND(E5891&lt;=3,E5891&gt;=2,F5891&gt;=3),"Rawan",IF(AND(E5891&lt;=2,F5891&lt;=2),"Tidur","Umum"))))))</f>
        <v/>
      </c>
    </row>
    <row r="5892">
      <c r="B5892">
        <f>IF(A5892="","",$B$1-MAXIFS(Donasi!$A$2:$A$20000,Donasi!$B$2:$B$20000,A5892))</f>
        <v/>
      </c>
      <c r="C5892">
        <f>IF(A5892="","",COUNTIF(Donasi!$B$2:$B$20000,A5892))</f>
        <v/>
      </c>
      <c r="D5892">
        <f>IF(A5892="","",SUMIF(Donasi!$B$2:$B$20000,A5892,Donasi!$C$2:$C$20000))</f>
        <v/>
      </c>
      <c r="E5892">
        <f>IF(A5892="","",6-CEILING(PERCENTRANK.INC($B$3:$B$6000,B5892,4)*5+0.000001,1))</f>
        <v/>
      </c>
      <c r="F5892">
        <f>IF(A5892="","",MAX(1,CEILING(PERCENTRANK.INC($C$3:$C$6000,C5892,4)*5+0.000001,1)))</f>
        <v/>
      </c>
      <c r="G5892">
        <f>IF(A5892="","",MAX(1,CEILING(PERCENTRANK.INC($D$3:$D$6000,D5892,4)*5+0.000001,1)))</f>
        <v/>
      </c>
      <c r="H5892">
        <f>IF(A5892="","",E5892&amp;F5892&amp;G5892)</f>
        <v/>
      </c>
      <c r="I5892">
        <f>IF(A5892="","",IF(AND(E5892&gt;=4,F5892&gt;=4,G5892&gt;=4),"Juara",IF(AND(F5892&gt;=4,E5892&gt;=3),"Setia",IF(AND(E5892=5,F5892&lt;=2,G5892&gt;=3),"Berpotensi",IF(AND(E5892&lt;=3,E5892&gt;=2,F5892&gt;=3),"Rawan",IF(AND(E5892&lt;=2,F5892&lt;=2),"Tidur","Umum"))))))</f>
        <v/>
      </c>
    </row>
    <row r="5893">
      <c r="B5893">
        <f>IF(A5893="","",$B$1-MAXIFS(Donasi!$A$2:$A$20000,Donasi!$B$2:$B$20000,A5893))</f>
        <v/>
      </c>
      <c r="C5893">
        <f>IF(A5893="","",COUNTIF(Donasi!$B$2:$B$20000,A5893))</f>
        <v/>
      </c>
      <c r="D5893">
        <f>IF(A5893="","",SUMIF(Donasi!$B$2:$B$20000,A5893,Donasi!$C$2:$C$20000))</f>
        <v/>
      </c>
      <c r="E5893">
        <f>IF(A5893="","",6-CEILING(PERCENTRANK.INC($B$3:$B$6000,B5893,4)*5+0.000001,1))</f>
        <v/>
      </c>
      <c r="F5893">
        <f>IF(A5893="","",MAX(1,CEILING(PERCENTRANK.INC($C$3:$C$6000,C5893,4)*5+0.000001,1)))</f>
        <v/>
      </c>
      <c r="G5893">
        <f>IF(A5893="","",MAX(1,CEILING(PERCENTRANK.INC($D$3:$D$6000,D5893,4)*5+0.000001,1)))</f>
        <v/>
      </c>
      <c r="H5893">
        <f>IF(A5893="","",E5893&amp;F5893&amp;G5893)</f>
        <v/>
      </c>
      <c r="I5893">
        <f>IF(A5893="","",IF(AND(E5893&gt;=4,F5893&gt;=4,G5893&gt;=4),"Juara",IF(AND(F5893&gt;=4,E5893&gt;=3),"Setia",IF(AND(E5893=5,F5893&lt;=2,G5893&gt;=3),"Berpotensi",IF(AND(E5893&lt;=3,E5893&gt;=2,F5893&gt;=3),"Rawan",IF(AND(E5893&lt;=2,F5893&lt;=2),"Tidur","Umum"))))))</f>
        <v/>
      </c>
    </row>
    <row r="5894">
      <c r="B5894">
        <f>IF(A5894="","",$B$1-MAXIFS(Donasi!$A$2:$A$20000,Donasi!$B$2:$B$20000,A5894))</f>
        <v/>
      </c>
      <c r="C5894">
        <f>IF(A5894="","",COUNTIF(Donasi!$B$2:$B$20000,A5894))</f>
        <v/>
      </c>
      <c r="D5894">
        <f>IF(A5894="","",SUMIF(Donasi!$B$2:$B$20000,A5894,Donasi!$C$2:$C$20000))</f>
        <v/>
      </c>
      <c r="E5894">
        <f>IF(A5894="","",6-CEILING(PERCENTRANK.INC($B$3:$B$6000,B5894,4)*5+0.000001,1))</f>
        <v/>
      </c>
      <c r="F5894">
        <f>IF(A5894="","",MAX(1,CEILING(PERCENTRANK.INC($C$3:$C$6000,C5894,4)*5+0.000001,1)))</f>
        <v/>
      </c>
      <c r="G5894">
        <f>IF(A5894="","",MAX(1,CEILING(PERCENTRANK.INC($D$3:$D$6000,D5894,4)*5+0.000001,1)))</f>
        <v/>
      </c>
      <c r="H5894">
        <f>IF(A5894="","",E5894&amp;F5894&amp;G5894)</f>
        <v/>
      </c>
      <c r="I5894">
        <f>IF(A5894="","",IF(AND(E5894&gt;=4,F5894&gt;=4,G5894&gt;=4),"Juara",IF(AND(F5894&gt;=4,E5894&gt;=3),"Setia",IF(AND(E5894=5,F5894&lt;=2,G5894&gt;=3),"Berpotensi",IF(AND(E5894&lt;=3,E5894&gt;=2,F5894&gt;=3),"Rawan",IF(AND(E5894&lt;=2,F5894&lt;=2),"Tidur","Umum"))))))</f>
        <v/>
      </c>
    </row>
    <row r="5895">
      <c r="B5895">
        <f>IF(A5895="","",$B$1-MAXIFS(Donasi!$A$2:$A$20000,Donasi!$B$2:$B$20000,A5895))</f>
        <v/>
      </c>
      <c r="C5895">
        <f>IF(A5895="","",COUNTIF(Donasi!$B$2:$B$20000,A5895))</f>
        <v/>
      </c>
      <c r="D5895">
        <f>IF(A5895="","",SUMIF(Donasi!$B$2:$B$20000,A5895,Donasi!$C$2:$C$20000))</f>
        <v/>
      </c>
      <c r="E5895">
        <f>IF(A5895="","",6-CEILING(PERCENTRANK.INC($B$3:$B$6000,B5895,4)*5+0.000001,1))</f>
        <v/>
      </c>
      <c r="F5895">
        <f>IF(A5895="","",MAX(1,CEILING(PERCENTRANK.INC($C$3:$C$6000,C5895,4)*5+0.000001,1)))</f>
        <v/>
      </c>
      <c r="G5895">
        <f>IF(A5895="","",MAX(1,CEILING(PERCENTRANK.INC($D$3:$D$6000,D5895,4)*5+0.000001,1)))</f>
        <v/>
      </c>
      <c r="H5895">
        <f>IF(A5895="","",E5895&amp;F5895&amp;G5895)</f>
        <v/>
      </c>
      <c r="I5895">
        <f>IF(A5895="","",IF(AND(E5895&gt;=4,F5895&gt;=4,G5895&gt;=4),"Juara",IF(AND(F5895&gt;=4,E5895&gt;=3),"Setia",IF(AND(E5895=5,F5895&lt;=2,G5895&gt;=3),"Berpotensi",IF(AND(E5895&lt;=3,E5895&gt;=2,F5895&gt;=3),"Rawan",IF(AND(E5895&lt;=2,F5895&lt;=2),"Tidur","Umum"))))))</f>
        <v/>
      </c>
    </row>
    <row r="5896">
      <c r="B5896">
        <f>IF(A5896="","",$B$1-MAXIFS(Donasi!$A$2:$A$20000,Donasi!$B$2:$B$20000,A5896))</f>
        <v/>
      </c>
      <c r="C5896">
        <f>IF(A5896="","",COUNTIF(Donasi!$B$2:$B$20000,A5896))</f>
        <v/>
      </c>
      <c r="D5896">
        <f>IF(A5896="","",SUMIF(Donasi!$B$2:$B$20000,A5896,Donasi!$C$2:$C$20000))</f>
        <v/>
      </c>
      <c r="E5896">
        <f>IF(A5896="","",6-CEILING(PERCENTRANK.INC($B$3:$B$6000,B5896,4)*5+0.000001,1))</f>
        <v/>
      </c>
      <c r="F5896">
        <f>IF(A5896="","",MAX(1,CEILING(PERCENTRANK.INC($C$3:$C$6000,C5896,4)*5+0.000001,1)))</f>
        <v/>
      </c>
      <c r="G5896">
        <f>IF(A5896="","",MAX(1,CEILING(PERCENTRANK.INC($D$3:$D$6000,D5896,4)*5+0.000001,1)))</f>
        <v/>
      </c>
      <c r="H5896">
        <f>IF(A5896="","",E5896&amp;F5896&amp;G5896)</f>
        <v/>
      </c>
      <c r="I5896">
        <f>IF(A5896="","",IF(AND(E5896&gt;=4,F5896&gt;=4,G5896&gt;=4),"Juara",IF(AND(F5896&gt;=4,E5896&gt;=3),"Setia",IF(AND(E5896=5,F5896&lt;=2,G5896&gt;=3),"Berpotensi",IF(AND(E5896&lt;=3,E5896&gt;=2,F5896&gt;=3),"Rawan",IF(AND(E5896&lt;=2,F5896&lt;=2),"Tidur","Umum"))))))</f>
        <v/>
      </c>
    </row>
    <row r="5897">
      <c r="B5897">
        <f>IF(A5897="","",$B$1-MAXIFS(Donasi!$A$2:$A$20000,Donasi!$B$2:$B$20000,A5897))</f>
        <v/>
      </c>
      <c r="C5897">
        <f>IF(A5897="","",COUNTIF(Donasi!$B$2:$B$20000,A5897))</f>
        <v/>
      </c>
      <c r="D5897">
        <f>IF(A5897="","",SUMIF(Donasi!$B$2:$B$20000,A5897,Donasi!$C$2:$C$20000))</f>
        <v/>
      </c>
      <c r="E5897">
        <f>IF(A5897="","",6-CEILING(PERCENTRANK.INC($B$3:$B$6000,B5897,4)*5+0.000001,1))</f>
        <v/>
      </c>
      <c r="F5897">
        <f>IF(A5897="","",MAX(1,CEILING(PERCENTRANK.INC($C$3:$C$6000,C5897,4)*5+0.000001,1)))</f>
        <v/>
      </c>
      <c r="G5897">
        <f>IF(A5897="","",MAX(1,CEILING(PERCENTRANK.INC($D$3:$D$6000,D5897,4)*5+0.000001,1)))</f>
        <v/>
      </c>
      <c r="H5897">
        <f>IF(A5897="","",E5897&amp;F5897&amp;G5897)</f>
        <v/>
      </c>
      <c r="I5897">
        <f>IF(A5897="","",IF(AND(E5897&gt;=4,F5897&gt;=4,G5897&gt;=4),"Juara",IF(AND(F5897&gt;=4,E5897&gt;=3),"Setia",IF(AND(E5897=5,F5897&lt;=2,G5897&gt;=3),"Berpotensi",IF(AND(E5897&lt;=3,E5897&gt;=2,F5897&gt;=3),"Rawan",IF(AND(E5897&lt;=2,F5897&lt;=2),"Tidur","Umum"))))))</f>
        <v/>
      </c>
    </row>
    <row r="5898">
      <c r="B5898">
        <f>IF(A5898="","",$B$1-MAXIFS(Donasi!$A$2:$A$20000,Donasi!$B$2:$B$20000,A5898))</f>
        <v/>
      </c>
      <c r="C5898">
        <f>IF(A5898="","",COUNTIF(Donasi!$B$2:$B$20000,A5898))</f>
        <v/>
      </c>
      <c r="D5898">
        <f>IF(A5898="","",SUMIF(Donasi!$B$2:$B$20000,A5898,Donasi!$C$2:$C$20000))</f>
        <v/>
      </c>
      <c r="E5898">
        <f>IF(A5898="","",6-CEILING(PERCENTRANK.INC($B$3:$B$6000,B5898,4)*5+0.000001,1))</f>
        <v/>
      </c>
      <c r="F5898">
        <f>IF(A5898="","",MAX(1,CEILING(PERCENTRANK.INC($C$3:$C$6000,C5898,4)*5+0.000001,1)))</f>
        <v/>
      </c>
      <c r="G5898">
        <f>IF(A5898="","",MAX(1,CEILING(PERCENTRANK.INC($D$3:$D$6000,D5898,4)*5+0.000001,1)))</f>
        <v/>
      </c>
      <c r="H5898">
        <f>IF(A5898="","",E5898&amp;F5898&amp;G5898)</f>
        <v/>
      </c>
      <c r="I5898">
        <f>IF(A5898="","",IF(AND(E5898&gt;=4,F5898&gt;=4,G5898&gt;=4),"Juara",IF(AND(F5898&gt;=4,E5898&gt;=3),"Setia",IF(AND(E5898=5,F5898&lt;=2,G5898&gt;=3),"Berpotensi",IF(AND(E5898&lt;=3,E5898&gt;=2,F5898&gt;=3),"Rawan",IF(AND(E5898&lt;=2,F5898&lt;=2),"Tidur","Umum"))))))</f>
        <v/>
      </c>
    </row>
    <row r="5899">
      <c r="B5899">
        <f>IF(A5899="","",$B$1-MAXIFS(Donasi!$A$2:$A$20000,Donasi!$B$2:$B$20000,A5899))</f>
        <v/>
      </c>
      <c r="C5899">
        <f>IF(A5899="","",COUNTIF(Donasi!$B$2:$B$20000,A5899))</f>
        <v/>
      </c>
      <c r="D5899">
        <f>IF(A5899="","",SUMIF(Donasi!$B$2:$B$20000,A5899,Donasi!$C$2:$C$20000))</f>
        <v/>
      </c>
      <c r="E5899">
        <f>IF(A5899="","",6-CEILING(PERCENTRANK.INC($B$3:$B$6000,B5899,4)*5+0.000001,1))</f>
        <v/>
      </c>
      <c r="F5899">
        <f>IF(A5899="","",MAX(1,CEILING(PERCENTRANK.INC($C$3:$C$6000,C5899,4)*5+0.000001,1)))</f>
        <v/>
      </c>
      <c r="G5899">
        <f>IF(A5899="","",MAX(1,CEILING(PERCENTRANK.INC($D$3:$D$6000,D5899,4)*5+0.000001,1)))</f>
        <v/>
      </c>
      <c r="H5899">
        <f>IF(A5899="","",E5899&amp;F5899&amp;G5899)</f>
        <v/>
      </c>
      <c r="I5899">
        <f>IF(A5899="","",IF(AND(E5899&gt;=4,F5899&gt;=4,G5899&gt;=4),"Juara",IF(AND(F5899&gt;=4,E5899&gt;=3),"Setia",IF(AND(E5899=5,F5899&lt;=2,G5899&gt;=3),"Berpotensi",IF(AND(E5899&lt;=3,E5899&gt;=2,F5899&gt;=3),"Rawan",IF(AND(E5899&lt;=2,F5899&lt;=2),"Tidur","Umum"))))))</f>
        <v/>
      </c>
    </row>
    <row r="5900">
      <c r="B5900">
        <f>IF(A5900="","",$B$1-MAXIFS(Donasi!$A$2:$A$20000,Donasi!$B$2:$B$20000,A5900))</f>
        <v/>
      </c>
      <c r="C5900">
        <f>IF(A5900="","",COUNTIF(Donasi!$B$2:$B$20000,A5900))</f>
        <v/>
      </c>
      <c r="D5900">
        <f>IF(A5900="","",SUMIF(Donasi!$B$2:$B$20000,A5900,Donasi!$C$2:$C$20000))</f>
        <v/>
      </c>
      <c r="E5900">
        <f>IF(A5900="","",6-CEILING(PERCENTRANK.INC($B$3:$B$6000,B5900,4)*5+0.000001,1))</f>
        <v/>
      </c>
      <c r="F5900">
        <f>IF(A5900="","",MAX(1,CEILING(PERCENTRANK.INC($C$3:$C$6000,C5900,4)*5+0.000001,1)))</f>
        <v/>
      </c>
      <c r="G5900">
        <f>IF(A5900="","",MAX(1,CEILING(PERCENTRANK.INC($D$3:$D$6000,D5900,4)*5+0.000001,1)))</f>
        <v/>
      </c>
      <c r="H5900">
        <f>IF(A5900="","",E5900&amp;F5900&amp;G5900)</f>
        <v/>
      </c>
      <c r="I5900">
        <f>IF(A5900="","",IF(AND(E5900&gt;=4,F5900&gt;=4,G5900&gt;=4),"Juara",IF(AND(F5900&gt;=4,E5900&gt;=3),"Setia",IF(AND(E5900=5,F5900&lt;=2,G5900&gt;=3),"Berpotensi",IF(AND(E5900&lt;=3,E5900&gt;=2,F5900&gt;=3),"Rawan",IF(AND(E5900&lt;=2,F5900&lt;=2),"Tidur","Umum"))))))</f>
        <v/>
      </c>
    </row>
    <row r="5901">
      <c r="B5901">
        <f>IF(A5901="","",$B$1-MAXIFS(Donasi!$A$2:$A$20000,Donasi!$B$2:$B$20000,A5901))</f>
        <v/>
      </c>
      <c r="C5901">
        <f>IF(A5901="","",COUNTIF(Donasi!$B$2:$B$20000,A5901))</f>
        <v/>
      </c>
      <c r="D5901">
        <f>IF(A5901="","",SUMIF(Donasi!$B$2:$B$20000,A5901,Donasi!$C$2:$C$20000))</f>
        <v/>
      </c>
      <c r="E5901">
        <f>IF(A5901="","",6-CEILING(PERCENTRANK.INC($B$3:$B$6000,B5901,4)*5+0.000001,1))</f>
        <v/>
      </c>
      <c r="F5901">
        <f>IF(A5901="","",MAX(1,CEILING(PERCENTRANK.INC($C$3:$C$6000,C5901,4)*5+0.000001,1)))</f>
        <v/>
      </c>
      <c r="G5901">
        <f>IF(A5901="","",MAX(1,CEILING(PERCENTRANK.INC($D$3:$D$6000,D5901,4)*5+0.000001,1)))</f>
        <v/>
      </c>
      <c r="H5901">
        <f>IF(A5901="","",E5901&amp;F5901&amp;G5901)</f>
        <v/>
      </c>
      <c r="I5901">
        <f>IF(A5901="","",IF(AND(E5901&gt;=4,F5901&gt;=4,G5901&gt;=4),"Juara",IF(AND(F5901&gt;=4,E5901&gt;=3),"Setia",IF(AND(E5901=5,F5901&lt;=2,G5901&gt;=3),"Berpotensi",IF(AND(E5901&lt;=3,E5901&gt;=2,F5901&gt;=3),"Rawan",IF(AND(E5901&lt;=2,F5901&lt;=2),"Tidur","Umum"))))))</f>
        <v/>
      </c>
    </row>
    <row r="5902">
      <c r="B5902">
        <f>IF(A5902="","",$B$1-MAXIFS(Donasi!$A$2:$A$20000,Donasi!$B$2:$B$20000,A5902))</f>
        <v/>
      </c>
      <c r="C5902">
        <f>IF(A5902="","",COUNTIF(Donasi!$B$2:$B$20000,A5902))</f>
        <v/>
      </c>
      <c r="D5902">
        <f>IF(A5902="","",SUMIF(Donasi!$B$2:$B$20000,A5902,Donasi!$C$2:$C$20000))</f>
        <v/>
      </c>
      <c r="E5902">
        <f>IF(A5902="","",6-CEILING(PERCENTRANK.INC($B$3:$B$6000,B5902,4)*5+0.000001,1))</f>
        <v/>
      </c>
      <c r="F5902">
        <f>IF(A5902="","",MAX(1,CEILING(PERCENTRANK.INC($C$3:$C$6000,C5902,4)*5+0.000001,1)))</f>
        <v/>
      </c>
      <c r="G5902">
        <f>IF(A5902="","",MAX(1,CEILING(PERCENTRANK.INC($D$3:$D$6000,D5902,4)*5+0.000001,1)))</f>
        <v/>
      </c>
      <c r="H5902">
        <f>IF(A5902="","",E5902&amp;F5902&amp;G5902)</f>
        <v/>
      </c>
      <c r="I5902">
        <f>IF(A5902="","",IF(AND(E5902&gt;=4,F5902&gt;=4,G5902&gt;=4),"Juara",IF(AND(F5902&gt;=4,E5902&gt;=3),"Setia",IF(AND(E5902=5,F5902&lt;=2,G5902&gt;=3),"Berpotensi",IF(AND(E5902&lt;=3,E5902&gt;=2,F5902&gt;=3),"Rawan",IF(AND(E5902&lt;=2,F5902&lt;=2),"Tidur","Umum"))))))</f>
        <v/>
      </c>
    </row>
    <row r="5903">
      <c r="B5903">
        <f>IF(A5903="","",$B$1-MAXIFS(Donasi!$A$2:$A$20000,Donasi!$B$2:$B$20000,A5903))</f>
        <v/>
      </c>
      <c r="C5903">
        <f>IF(A5903="","",COUNTIF(Donasi!$B$2:$B$20000,A5903))</f>
        <v/>
      </c>
      <c r="D5903">
        <f>IF(A5903="","",SUMIF(Donasi!$B$2:$B$20000,A5903,Donasi!$C$2:$C$20000))</f>
        <v/>
      </c>
      <c r="E5903">
        <f>IF(A5903="","",6-CEILING(PERCENTRANK.INC($B$3:$B$6000,B5903,4)*5+0.000001,1))</f>
        <v/>
      </c>
      <c r="F5903">
        <f>IF(A5903="","",MAX(1,CEILING(PERCENTRANK.INC($C$3:$C$6000,C5903,4)*5+0.000001,1)))</f>
        <v/>
      </c>
      <c r="G5903">
        <f>IF(A5903="","",MAX(1,CEILING(PERCENTRANK.INC($D$3:$D$6000,D5903,4)*5+0.000001,1)))</f>
        <v/>
      </c>
      <c r="H5903">
        <f>IF(A5903="","",E5903&amp;F5903&amp;G5903)</f>
        <v/>
      </c>
      <c r="I5903">
        <f>IF(A5903="","",IF(AND(E5903&gt;=4,F5903&gt;=4,G5903&gt;=4),"Juara",IF(AND(F5903&gt;=4,E5903&gt;=3),"Setia",IF(AND(E5903=5,F5903&lt;=2,G5903&gt;=3),"Berpotensi",IF(AND(E5903&lt;=3,E5903&gt;=2,F5903&gt;=3),"Rawan",IF(AND(E5903&lt;=2,F5903&lt;=2),"Tidur","Umum"))))))</f>
        <v/>
      </c>
    </row>
    <row r="5904">
      <c r="B5904">
        <f>IF(A5904="","",$B$1-MAXIFS(Donasi!$A$2:$A$20000,Donasi!$B$2:$B$20000,A5904))</f>
        <v/>
      </c>
      <c r="C5904">
        <f>IF(A5904="","",COUNTIF(Donasi!$B$2:$B$20000,A5904))</f>
        <v/>
      </c>
      <c r="D5904">
        <f>IF(A5904="","",SUMIF(Donasi!$B$2:$B$20000,A5904,Donasi!$C$2:$C$20000))</f>
        <v/>
      </c>
      <c r="E5904">
        <f>IF(A5904="","",6-CEILING(PERCENTRANK.INC($B$3:$B$6000,B5904,4)*5+0.000001,1))</f>
        <v/>
      </c>
      <c r="F5904">
        <f>IF(A5904="","",MAX(1,CEILING(PERCENTRANK.INC($C$3:$C$6000,C5904,4)*5+0.000001,1)))</f>
        <v/>
      </c>
      <c r="G5904">
        <f>IF(A5904="","",MAX(1,CEILING(PERCENTRANK.INC($D$3:$D$6000,D5904,4)*5+0.000001,1)))</f>
        <v/>
      </c>
      <c r="H5904">
        <f>IF(A5904="","",E5904&amp;F5904&amp;G5904)</f>
        <v/>
      </c>
      <c r="I5904">
        <f>IF(A5904="","",IF(AND(E5904&gt;=4,F5904&gt;=4,G5904&gt;=4),"Juara",IF(AND(F5904&gt;=4,E5904&gt;=3),"Setia",IF(AND(E5904=5,F5904&lt;=2,G5904&gt;=3),"Berpotensi",IF(AND(E5904&lt;=3,E5904&gt;=2,F5904&gt;=3),"Rawan",IF(AND(E5904&lt;=2,F5904&lt;=2),"Tidur","Umum"))))))</f>
        <v/>
      </c>
    </row>
    <row r="5905">
      <c r="B5905">
        <f>IF(A5905="","",$B$1-MAXIFS(Donasi!$A$2:$A$20000,Donasi!$B$2:$B$20000,A5905))</f>
        <v/>
      </c>
      <c r="C5905">
        <f>IF(A5905="","",COUNTIF(Donasi!$B$2:$B$20000,A5905))</f>
        <v/>
      </c>
      <c r="D5905">
        <f>IF(A5905="","",SUMIF(Donasi!$B$2:$B$20000,A5905,Donasi!$C$2:$C$20000))</f>
        <v/>
      </c>
      <c r="E5905">
        <f>IF(A5905="","",6-CEILING(PERCENTRANK.INC($B$3:$B$6000,B5905,4)*5+0.000001,1))</f>
        <v/>
      </c>
      <c r="F5905">
        <f>IF(A5905="","",MAX(1,CEILING(PERCENTRANK.INC($C$3:$C$6000,C5905,4)*5+0.000001,1)))</f>
        <v/>
      </c>
      <c r="G5905">
        <f>IF(A5905="","",MAX(1,CEILING(PERCENTRANK.INC($D$3:$D$6000,D5905,4)*5+0.000001,1)))</f>
        <v/>
      </c>
      <c r="H5905">
        <f>IF(A5905="","",E5905&amp;F5905&amp;G5905)</f>
        <v/>
      </c>
      <c r="I5905">
        <f>IF(A5905="","",IF(AND(E5905&gt;=4,F5905&gt;=4,G5905&gt;=4),"Juara",IF(AND(F5905&gt;=4,E5905&gt;=3),"Setia",IF(AND(E5905=5,F5905&lt;=2,G5905&gt;=3),"Berpotensi",IF(AND(E5905&lt;=3,E5905&gt;=2,F5905&gt;=3),"Rawan",IF(AND(E5905&lt;=2,F5905&lt;=2),"Tidur","Umum"))))))</f>
        <v/>
      </c>
    </row>
    <row r="5906">
      <c r="B5906">
        <f>IF(A5906="","",$B$1-MAXIFS(Donasi!$A$2:$A$20000,Donasi!$B$2:$B$20000,A5906))</f>
        <v/>
      </c>
      <c r="C5906">
        <f>IF(A5906="","",COUNTIF(Donasi!$B$2:$B$20000,A5906))</f>
        <v/>
      </c>
      <c r="D5906">
        <f>IF(A5906="","",SUMIF(Donasi!$B$2:$B$20000,A5906,Donasi!$C$2:$C$20000))</f>
        <v/>
      </c>
      <c r="E5906">
        <f>IF(A5906="","",6-CEILING(PERCENTRANK.INC($B$3:$B$6000,B5906,4)*5+0.000001,1))</f>
        <v/>
      </c>
      <c r="F5906">
        <f>IF(A5906="","",MAX(1,CEILING(PERCENTRANK.INC($C$3:$C$6000,C5906,4)*5+0.000001,1)))</f>
        <v/>
      </c>
      <c r="G5906">
        <f>IF(A5906="","",MAX(1,CEILING(PERCENTRANK.INC($D$3:$D$6000,D5906,4)*5+0.000001,1)))</f>
        <v/>
      </c>
      <c r="H5906">
        <f>IF(A5906="","",E5906&amp;F5906&amp;G5906)</f>
        <v/>
      </c>
      <c r="I5906">
        <f>IF(A5906="","",IF(AND(E5906&gt;=4,F5906&gt;=4,G5906&gt;=4),"Juara",IF(AND(F5906&gt;=4,E5906&gt;=3),"Setia",IF(AND(E5906=5,F5906&lt;=2,G5906&gt;=3),"Berpotensi",IF(AND(E5906&lt;=3,E5906&gt;=2,F5906&gt;=3),"Rawan",IF(AND(E5906&lt;=2,F5906&lt;=2),"Tidur","Umum"))))))</f>
        <v/>
      </c>
    </row>
    <row r="5907">
      <c r="B5907">
        <f>IF(A5907="","",$B$1-MAXIFS(Donasi!$A$2:$A$20000,Donasi!$B$2:$B$20000,A5907))</f>
        <v/>
      </c>
      <c r="C5907">
        <f>IF(A5907="","",COUNTIF(Donasi!$B$2:$B$20000,A5907))</f>
        <v/>
      </c>
      <c r="D5907">
        <f>IF(A5907="","",SUMIF(Donasi!$B$2:$B$20000,A5907,Donasi!$C$2:$C$20000))</f>
        <v/>
      </c>
      <c r="E5907">
        <f>IF(A5907="","",6-CEILING(PERCENTRANK.INC($B$3:$B$6000,B5907,4)*5+0.000001,1))</f>
        <v/>
      </c>
      <c r="F5907">
        <f>IF(A5907="","",MAX(1,CEILING(PERCENTRANK.INC($C$3:$C$6000,C5907,4)*5+0.000001,1)))</f>
        <v/>
      </c>
      <c r="G5907">
        <f>IF(A5907="","",MAX(1,CEILING(PERCENTRANK.INC($D$3:$D$6000,D5907,4)*5+0.000001,1)))</f>
        <v/>
      </c>
      <c r="H5907">
        <f>IF(A5907="","",E5907&amp;F5907&amp;G5907)</f>
        <v/>
      </c>
      <c r="I5907">
        <f>IF(A5907="","",IF(AND(E5907&gt;=4,F5907&gt;=4,G5907&gt;=4),"Juara",IF(AND(F5907&gt;=4,E5907&gt;=3),"Setia",IF(AND(E5907=5,F5907&lt;=2,G5907&gt;=3),"Berpotensi",IF(AND(E5907&lt;=3,E5907&gt;=2,F5907&gt;=3),"Rawan",IF(AND(E5907&lt;=2,F5907&lt;=2),"Tidur","Umum"))))))</f>
        <v/>
      </c>
    </row>
    <row r="5908">
      <c r="B5908">
        <f>IF(A5908="","",$B$1-MAXIFS(Donasi!$A$2:$A$20000,Donasi!$B$2:$B$20000,A5908))</f>
        <v/>
      </c>
      <c r="C5908">
        <f>IF(A5908="","",COUNTIF(Donasi!$B$2:$B$20000,A5908))</f>
        <v/>
      </c>
      <c r="D5908">
        <f>IF(A5908="","",SUMIF(Donasi!$B$2:$B$20000,A5908,Donasi!$C$2:$C$20000))</f>
        <v/>
      </c>
      <c r="E5908">
        <f>IF(A5908="","",6-CEILING(PERCENTRANK.INC($B$3:$B$6000,B5908,4)*5+0.000001,1))</f>
        <v/>
      </c>
      <c r="F5908">
        <f>IF(A5908="","",MAX(1,CEILING(PERCENTRANK.INC($C$3:$C$6000,C5908,4)*5+0.000001,1)))</f>
        <v/>
      </c>
      <c r="G5908">
        <f>IF(A5908="","",MAX(1,CEILING(PERCENTRANK.INC($D$3:$D$6000,D5908,4)*5+0.000001,1)))</f>
        <v/>
      </c>
      <c r="H5908">
        <f>IF(A5908="","",E5908&amp;F5908&amp;G5908)</f>
        <v/>
      </c>
      <c r="I5908">
        <f>IF(A5908="","",IF(AND(E5908&gt;=4,F5908&gt;=4,G5908&gt;=4),"Juara",IF(AND(F5908&gt;=4,E5908&gt;=3),"Setia",IF(AND(E5908=5,F5908&lt;=2,G5908&gt;=3),"Berpotensi",IF(AND(E5908&lt;=3,E5908&gt;=2,F5908&gt;=3),"Rawan",IF(AND(E5908&lt;=2,F5908&lt;=2),"Tidur","Umum"))))))</f>
        <v/>
      </c>
    </row>
    <row r="5909">
      <c r="B5909">
        <f>IF(A5909="","",$B$1-MAXIFS(Donasi!$A$2:$A$20000,Donasi!$B$2:$B$20000,A5909))</f>
        <v/>
      </c>
      <c r="C5909">
        <f>IF(A5909="","",COUNTIF(Donasi!$B$2:$B$20000,A5909))</f>
        <v/>
      </c>
      <c r="D5909">
        <f>IF(A5909="","",SUMIF(Donasi!$B$2:$B$20000,A5909,Donasi!$C$2:$C$20000))</f>
        <v/>
      </c>
      <c r="E5909">
        <f>IF(A5909="","",6-CEILING(PERCENTRANK.INC($B$3:$B$6000,B5909,4)*5+0.000001,1))</f>
        <v/>
      </c>
      <c r="F5909">
        <f>IF(A5909="","",MAX(1,CEILING(PERCENTRANK.INC($C$3:$C$6000,C5909,4)*5+0.000001,1)))</f>
        <v/>
      </c>
      <c r="G5909">
        <f>IF(A5909="","",MAX(1,CEILING(PERCENTRANK.INC($D$3:$D$6000,D5909,4)*5+0.000001,1)))</f>
        <v/>
      </c>
      <c r="H5909">
        <f>IF(A5909="","",E5909&amp;F5909&amp;G5909)</f>
        <v/>
      </c>
      <c r="I5909">
        <f>IF(A5909="","",IF(AND(E5909&gt;=4,F5909&gt;=4,G5909&gt;=4),"Juara",IF(AND(F5909&gt;=4,E5909&gt;=3),"Setia",IF(AND(E5909=5,F5909&lt;=2,G5909&gt;=3),"Berpotensi",IF(AND(E5909&lt;=3,E5909&gt;=2,F5909&gt;=3),"Rawan",IF(AND(E5909&lt;=2,F5909&lt;=2),"Tidur","Umum"))))))</f>
        <v/>
      </c>
    </row>
    <row r="5910">
      <c r="B5910">
        <f>IF(A5910="","",$B$1-MAXIFS(Donasi!$A$2:$A$20000,Donasi!$B$2:$B$20000,A5910))</f>
        <v/>
      </c>
      <c r="C5910">
        <f>IF(A5910="","",COUNTIF(Donasi!$B$2:$B$20000,A5910))</f>
        <v/>
      </c>
      <c r="D5910">
        <f>IF(A5910="","",SUMIF(Donasi!$B$2:$B$20000,A5910,Donasi!$C$2:$C$20000))</f>
        <v/>
      </c>
      <c r="E5910">
        <f>IF(A5910="","",6-CEILING(PERCENTRANK.INC($B$3:$B$6000,B5910,4)*5+0.000001,1))</f>
        <v/>
      </c>
      <c r="F5910">
        <f>IF(A5910="","",MAX(1,CEILING(PERCENTRANK.INC($C$3:$C$6000,C5910,4)*5+0.000001,1)))</f>
        <v/>
      </c>
      <c r="G5910">
        <f>IF(A5910="","",MAX(1,CEILING(PERCENTRANK.INC($D$3:$D$6000,D5910,4)*5+0.000001,1)))</f>
        <v/>
      </c>
      <c r="H5910">
        <f>IF(A5910="","",E5910&amp;F5910&amp;G5910)</f>
        <v/>
      </c>
      <c r="I5910">
        <f>IF(A5910="","",IF(AND(E5910&gt;=4,F5910&gt;=4,G5910&gt;=4),"Juara",IF(AND(F5910&gt;=4,E5910&gt;=3),"Setia",IF(AND(E5910=5,F5910&lt;=2,G5910&gt;=3),"Berpotensi",IF(AND(E5910&lt;=3,E5910&gt;=2,F5910&gt;=3),"Rawan",IF(AND(E5910&lt;=2,F5910&lt;=2),"Tidur","Umum"))))))</f>
        <v/>
      </c>
    </row>
    <row r="5911">
      <c r="B5911">
        <f>IF(A5911="","",$B$1-MAXIFS(Donasi!$A$2:$A$20000,Donasi!$B$2:$B$20000,A5911))</f>
        <v/>
      </c>
      <c r="C5911">
        <f>IF(A5911="","",COUNTIF(Donasi!$B$2:$B$20000,A5911))</f>
        <v/>
      </c>
      <c r="D5911">
        <f>IF(A5911="","",SUMIF(Donasi!$B$2:$B$20000,A5911,Donasi!$C$2:$C$20000))</f>
        <v/>
      </c>
      <c r="E5911">
        <f>IF(A5911="","",6-CEILING(PERCENTRANK.INC($B$3:$B$6000,B5911,4)*5+0.000001,1))</f>
        <v/>
      </c>
      <c r="F5911">
        <f>IF(A5911="","",MAX(1,CEILING(PERCENTRANK.INC($C$3:$C$6000,C5911,4)*5+0.000001,1)))</f>
        <v/>
      </c>
      <c r="G5911">
        <f>IF(A5911="","",MAX(1,CEILING(PERCENTRANK.INC($D$3:$D$6000,D5911,4)*5+0.000001,1)))</f>
        <v/>
      </c>
      <c r="H5911">
        <f>IF(A5911="","",E5911&amp;F5911&amp;G5911)</f>
        <v/>
      </c>
      <c r="I5911">
        <f>IF(A5911="","",IF(AND(E5911&gt;=4,F5911&gt;=4,G5911&gt;=4),"Juara",IF(AND(F5911&gt;=4,E5911&gt;=3),"Setia",IF(AND(E5911=5,F5911&lt;=2,G5911&gt;=3),"Berpotensi",IF(AND(E5911&lt;=3,E5911&gt;=2,F5911&gt;=3),"Rawan",IF(AND(E5911&lt;=2,F5911&lt;=2),"Tidur","Umum"))))))</f>
        <v/>
      </c>
    </row>
    <row r="5912">
      <c r="B5912">
        <f>IF(A5912="","",$B$1-MAXIFS(Donasi!$A$2:$A$20000,Donasi!$B$2:$B$20000,A5912))</f>
        <v/>
      </c>
      <c r="C5912">
        <f>IF(A5912="","",COUNTIF(Donasi!$B$2:$B$20000,A5912))</f>
        <v/>
      </c>
      <c r="D5912">
        <f>IF(A5912="","",SUMIF(Donasi!$B$2:$B$20000,A5912,Donasi!$C$2:$C$20000))</f>
        <v/>
      </c>
      <c r="E5912">
        <f>IF(A5912="","",6-CEILING(PERCENTRANK.INC($B$3:$B$6000,B5912,4)*5+0.000001,1))</f>
        <v/>
      </c>
      <c r="F5912">
        <f>IF(A5912="","",MAX(1,CEILING(PERCENTRANK.INC($C$3:$C$6000,C5912,4)*5+0.000001,1)))</f>
        <v/>
      </c>
      <c r="G5912">
        <f>IF(A5912="","",MAX(1,CEILING(PERCENTRANK.INC($D$3:$D$6000,D5912,4)*5+0.000001,1)))</f>
        <v/>
      </c>
      <c r="H5912">
        <f>IF(A5912="","",E5912&amp;F5912&amp;G5912)</f>
        <v/>
      </c>
      <c r="I5912">
        <f>IF(A5912="","",IF(AND(E5912&gt;=4,F5912&gt;=4,G5912&gt;=4),"Juara",IF(AND(F5912&gt;=4,E5912&gt;=3),"Setia",IF(AND(E5912=5,F5912&lt;=2,G5912&gt;=3),"Berpotensi",IF(AND(E5912&lt;=3,E5912&gt;=2,F5912&gt;=3),"Rawan",IF(AND(E5912&lt;=2,F5912&lt;=2),"Tidur","Umum"))))))</f>
        <v/>
      </c>
    </row>
    <row r="5913">
      <c r="B5913">
        <f>IF(A5913="","",$B$1-MAXIFS(Donasi!$A$2:$A$20000,Donasi!$B$2:$B$20000,A5913))</f>
        <v/>
      </c>
      <c r="C5913">
        <f>IF(A5913="","",COUNTIF(Donasi!$B$2:$B$20000,A5913))</f>
        <v/>
      </c>
      <c r="D5913">
        <f>IF(A5913="","",SUMIF(Donasi!$B$2:$B$20000,A5913,Donasi!$C$2:$C$20000))</f>
        <v/>
      </c>
      <c r="E5913">
        <f>IF(A5913="","",6-CEILING(PERCENTRANK.INC($B$3:$B$6000,B5913,4)*5+0.000001,1))</f>
        <v/>
      </c>
      <c r="F5913">
        <f>IF(A5913="","",MAX(1,CEILING(PERCENTRANK.INC($C$3:$C$6000,C5913,4)*5+0.000001,1)))</f>
        <v/>
      </c>
      <c r="G5913">
        <f>IF(A5913="","",MAX(1,CEILING(PERCENTRANK.INC($D$3:$D$6000,D5913,4)*5+0.000001,1)))</f>
        <v/>
      </c>
      <c r="H5913">
        <f>IF(A5913="","",E5913&amp;F5913&amp;G5913)</f>
        <v/>
      </c>
      <c r="I5913">
        <f>IF(A5913="","",IF(AND(E5913&gt;=4,F5913&gt;=4,G5913&gt;=4),"Juara",IF(AND(F5913&gt;=4,E5913&gt;=3),"Setia",IF(AND(E5913=5,F5913&lt;=2,G5913&gt;=3),"Berpotensi",IF(AND(E5913&lt;=3,E5913&gt;=2,F5913&gt;=3),"Rawan",IF(AND(E5913&lt;=2,F5913&lt;=2),"Tidur","Umum"))))))</f>
        <v/>
      </c>
    </row>
    <row r="5914">
      <c r="B5914">
        <f>IF(A5914="","",$B$1-MAXIFS(Donasi!$A$2:$A$20000,Donasi!$B$2:$B$20000,A5914))</f>
        <v/>
      </c>
      <c r="C5914">
        <f>IF(A5914="","",COUNTIF(Donasi!$B$2:$B$20000,A5914))</f>
        <v/>
      </c>
      <c r="D5914">
        <f>IF(A5914="","",SUMIF(Donasi!$B$2:$B$20000,A5914,Donasi!$C$2:$C$20000))</f>
        <v/>
      </c>
      <c r="E5914">
        <f>IF(A5914="","",6-CEILING(PERCENTRANK.INC($B$3:$B$6000,B5914,4)*5+0.000001,1))</f>
        <v/>
      </c>
      <c r="F5914">
        <f>IF(A5914="","",MAX(1,CEILING(PERCENTRANK.INC($C$3:$C$6000,C5914,4)*5+0.000001,1)))</f>
        <v/>
      </c>
      <c r="G5914">
        <f>IF(A5914="","",MAX(1,CEILING(PERCENTRANK.INC($D$3:$D$6000,D5914,4)*5+0.000001,1)))</f>
        <v/>
      </c>
      <c r="H5914">
        <f>IF(A5914="","",E5914&amp;F5914&amp;G5914)</f>
        <v/>
      </c>
      <c r="I5914">
        <f>IF(A5914="","",IF(AND(E5914&gt;=4,F5914&gt;=4,G5914&gt;=4),"Juara",IF(AND(F5914&gt;=4,E5914&gt;=3),"Setia",IF(AND(E5914=5,F5914&lt;=2,G5914&gt;=3),"Berpotensi",IF(AND(E5914&lt;=3,E5914&gt;=2,F5914&gt;=3),"Rawan",IF(AND(E5914&lt;=2,F5914&lt;=2),"Tidur","Umum"))))))</f>
        <v/>
      </c>
    </row>
    <row r="5915">
      <c r="B5915">
        <f>IF(A5915="","",$B$1-MAXIFS(Donasi!$A$2:$A$20000,Donasi!$B$2:$B$20000,A5915))</f>
        <v/>
      </c>
      <c r="C5915">
        <f>IF(A5915="","",COUNTIF(Donasi!$B$2:$B$20000,A5915))</f>
        <v/>
      </c>
      <c r="D5915">
        <f>IF(A5915="","",SUMIF(Donasi!$B$2:$B$20000,A5915,Donasi!$C$2:$C$20000))</f>
        <v/>
      </c>
      <c r="E5915">
        <f>IF(A5915="","",6-CEILING(PERCENTRANK.INC($B$3:$B$6000,B5915,4)*5+0.000001,1))</f>
        <v/>
      </c>
      <c r="F5915">
        <f>IF(A5915="","",MAX(1,CEILING(PERCENTRANK.INC($C$3:$C$6000,C5915,4)*5+0.000001,1)))</f>
        <v/>
      </c>
      <c r="G5915">
        <f>IF(A5915="","",MAX(1,CEILING(PERCENTRANK.INC($D$3:$D$6000,D5915,4)*5+0.000001,1)))</f>
        <v/>
      </c>
      <c r="H5915">
        <f>IF(A5915="","",E5915&amp;F5915&amp;G5915)</f>
        <v/>
      </c>
      <c r="I5915">
        <f>IF(A5915="","",IF(AND(E5915&gt;=4,F5915&gt;=4,G5915&gt;=4),"Juara",IF(AND(F5915&gt;=4,E5915&gt;=3),"Setia",IF(AND(E5915=5,F5915&lt;=2,G5915&gt;=3),"Berpotensi",IF(AND(E5915&lt;=3,E5915&gt;=2,F5915&gt;=3),"Rawan",IF(AND(E5915&lt;=2,F5915&lt;=2),"Tidur","Umum"))))))</f>
        <v/>
      </c>
    </row>
    <row r="5916">
      <c r="B5916">
        <f>IF(A5916="","",$B$1-MAXIFS(Donasi!$A$2:$A$20000,Donasi!$B$2:$B$20000,A5916))</f>
        <v/>
      </c>
      <c r="C5916">
        <f>IF(A5916="","",COUNTIF(Donasi!$B$2:$B$20000,A5916))</f>
        <v/>
      </c>
      <c r="D5916">
        <f>IF(A5916="","",SUMIF(Donasi!$B$2:$B$20000,A5916,Donasi!$C$2:$C$20000))</f>
        <v/>
      </c>
      <c r="E5916">
        <f>IF(A5916="","",6-CEILING(PERCENTRANK.INC($B$3:$B$6000,B5916,4)*5+0.000001,1))</f>
        <v/>
      </c>
      <c r="F5916">
        <f>IF(A5916="","",MAX(1,CEILING(PERCENTRANK.INC($C$3:$C$6000,C5916,4)*5+0.000001,1)))</f>
        <v/>
      </c>
      <c r="G5916">
        <f>IF(A5916="","",MAX(1,CEILING(PERCENTRANK.INC($D$3:$D$6000,D5916,4)*5+0.000001,1)))</f>
        <v/>
      </c>
      <c r="H5916">
        <f>IF(A5916="","",E5916&amp;F5916&amp;G5916)</f>
        <v/>
      </c>
      <c r="I5916">
        <f>IF(A5916="","",IF(AND(E5916&gt;=4,F5916&gt;=4,G5916&gt;=4),"Juara",IF(AND(F5916&gt;=4,E5916&gt;=3),"Setia",IF(AND(E5916=5,F5916&lt;=2,G5916&gt;=3),"Berpotensi",IF(AND(E5916&lt;=3,E5916&gt;=2,F5916&gt;=3),"Rawan",IF(AND(E5916&lt;=2,F5916&lt;=2),"Tidur","Umum"))))))</f>
        <v/>
      </c>
    </row>
    <row r="5917">
      <c r="B5917">
        <f>IF(A5917="","",$B$1-MAXIFS(Donasi!$A$2:$A$20000,Donasi!$B$2:$B$20000,A5917))</f>
        <v/>
      </c>
      <c r="C5917">
        <f>IF(A5917="","",COUNTIF(Donasi!$B$2:$B$20000,A5917))</f>
        <v/>
      </c>
      <c r="D5917">
        <f>IF(A5917="","",SUMIF(Donasi!$B$2:$B$20000,A5917,Donasi!$C$2:$C$20000))</f>
        <v/>
      </c>
      <c r="E5917">
        <f>IF(A5917="","",6-CEILING(PERCENTRANK.INC($B$3:$B$6000,B5917,4)*5+0.000001,1))</f>
        <v/>
      </c>
      <c r="F5917">
        <f>IF(A5917="","",MAX(1,CEILING(PERCENTRANK.INC($C$3:$C$6000,C5917,4)*5+0.000001,1)))</f>
        <v/>
      </c>
      <c r="G5917">
        <f>IF(A5917="","",MAX(1,CEILING(PERCENTRANK.INC($D$3:$D$6000,D5917,4)*5+0.000001,1)))</f>
        <v/>
      </c>
      <c r="H5917">
        <f>IF(A5917="","",E5917&amp;F5917&amp;G5917)</f>
        <v/>
      </c>
      <c r="I5917">
        <f>IF(A5917="","",IF(AND(E5917&gt;=4,F5917&gt;=4,G5917&gt;=4),"Juara",IF(AND(F5917&gt;=4,E5917&gt;=3),"Setia",IF(AND(E5917=5,F5917&lt;=2,G5917&gt;=3),"Berpotensi",IF(AND(E5917&lt;=3,E5917&gt;=2,F5917&gt;=3),"Rawan",IF(AND(E5917&lt;=2,F5917&lt;=2),"Tidur","Umum"))))))</f>
        <v/>
      </c>
    </row>
    <row r="5918">
      <c r="B5918">
        <f>IF(A5918="","",$B$1-MAXIFS(Donasi!$A$2:$A$20000,Donasi!$B$2:$B$20000,A5918))</f>
        <v/>
      </c>
      <c r="C5918">
        <f>IF(A5918="","",COUNTIF(Donasi!$B$2:$B$20000,A5918))</f>
        <v/>
      </c>
      <c r="D5918">
        <f>IF(A5918="","",SUMIF(Donasi!$B$2:$B$20000,A5918,Donasi!$C$2:$C$20000))</f>
        <v/>
      </c>
      <c r="E5918">
        <f>IF(A5918="","",6-CEILING(PERCENTRANK.INC($B$3:$B$6000,B5918,4)*5+0.000001,1))</f>
        <v/>
      </c>
      <c r="F5918">
        <f>IF(A5918="","",MAX(1,CEILING(PERCENTRANK.INC($C$3:$C$6000,C5918,4)*5+0.000001,1)))</f>
        <v/>
      </c>
      <c r="G5918">
        <f>IF(A5918="","",MAX(1,CEILING(PERCENTRANK.INC($D$3:$D$6000,D5918,4)*5+0.000001,1)))</f>
        <v/>
      </c>
      <c r="H5918">
        <f>IF(A5918="","",E5918&amp;F5918&amp;G5918)</f>
        <v/>
      </c>
      <c r="I5918">
        <f>IF(A5918="","",IF(AND(E5918&gt;=4,F5918&gt;=4,G5918&gt;=4),"Juara",IF(AND(F5918&gt;=4,E5918&gt;=3),"Setia",IF(AND(E5918=5,F5918&lt;=2,G5918&gt;=3),"Berpotensi",IF(AND(E5918&lt;=3,E5918&gt;=2,F5918&gt;=3),"Rawan",IF(AND(E5918&lt;=2,F5918&lt;=2),"Tidur","Umum"))))))</f>
        <v/>
      </c>
    </row>
    <row r="5919">
      <c r="B5919">
        <f>IF(A5919="","",$B$1-MAXIFS(Donasi!$A$2:$A$20000,Donasi!$B$2:$B$20000,A5919))</f>
        <v/>
      </c>
      <c r="C5919">
        <f>IF(A5919="","",COUNTIF(Donasi!$B$2:$B$20000,A5919))</f>
        <v/>
      </c>
      <c r="D5919">
        <f>IF(A5919="","",SUMIF(Donasi!$B$2:$B$20000,A5919,Donasi!$C$2:$C$20000))</f>
        <v/>
      </c>
      <c r="E5919">
        <f>IF(A5919="","",6-CEILING(PERCENTRANK.INC($B$3:$B$6000,B5919,4)*5+0.000001,1))</f>
        <v/>
      </c>
      <c r="F5919">
        <f>IF(A5919="","",MAX(1,CEILING(PERCENTRANK.INC($C$3:$C$6000,C5919,4)*5+0.000001,1)))</f>
        <v/>
      </c>
      <c r="G5919">
        <f>IF(A5919="","",MAX(1,CEILING(PERCENTRANK.INC($D$3:$D$6000,D5919,4)*5+0.000001,1)))</f>
        <v/>
      </c>
      <c r="H5919">
        <f>IF(A5919="","",E5919&amp;F5919&amp;G5919)</f>
        <v/>
      </c>
      <c r="I5919">
        <f>IF(A5919="","",IF(AND(E5919&gt;=4,F5919&gt;=4,G5919&gt;=4),"Juara",IF(AND(F5919&gt;=4,E5919&gt;=3),"Setia",IF(AND(E5919=5,F5919&lt;=2,G5919&gt;=3),"Berpotensi",IF(AND(E5919&lt;=3,E5919&gt;=2,F5919&gt;=3),"Rawan",IF(AND(E5919&lt;=2,F5919&lt;=2),"Tidur","Umum"))))))</f>
        <v/>
      </c>
    </row>
    <row r="5920">
      <c r="B5920">
        <f>IF(A5920="","",$B$1-MAXIFS(Donasi!$A$2:$A$20000,Donasi!$B$2:$B$20000,A5920))</f>
        <v/>
      </c>
      <c r="C5920">
        <f>IF(A5920="","",COUNTIF(Donasi!$B$2:$B$20000,A5920))</f>
        <v/>
      </c>
      <c r="D5920">
        <f>IF(A5920="","",SUMIF(Donasi!$B$2:$B$20000,A5920,Donasi!$C$2:$C$20000))</f>
        <v/>
      </c>
      <c r="E5920">
        <f>IF(A5920="","",6-CEILING(PERCENTRANK.INC($B$3:$B$6000,B5920,4)*5+0.000001,1))</f>
        <v/>
      </c>
      <c r="F5920">
        <f>IF(A5920="","",MAX(1,CEILING(PERCENTRANK.INC($C$3:$C$6000,C5920,4)*5+0.000001,1)))</f>
        <v/>
      </c>
      <c r="G5920">
        <f>IF(A5920="","",MAX(1,CEILING(PERCENTRANK.INC($D$3:$D$6000,D5920,4)*5+0.000001,1)))</f>
        <v/>
      </c>
      <c r="H5920">
        <f>IF(A5920="","",E5920&amp;F5920&amp;G5920)</f>
        <v/>
      </c>
      <c r="I5920">
        <f>IF(A5920="","",IF(AND(E5920&gt;=4,F5920&gt;=4,G5920&gt;=4),"Juara",IF(AND(F5920&gt;=4,E5920&gt;=3),"Setia",IF(AND(E5920=5,F5920&lt;=2,G5920&gt;=3),"Berpotensi",IF(AND(E5920&lt;=3,E5920&gt;=2,F5920&gt;=3),"Rawan",IF(AND(E5920&lt;=2,F5920&lt;=2),"Tidur","Umum"))))))</f>
        <v/>
      </c>
    </row>
    <row r="5921">
      <c r="B5921">
        <f>IF(A5921="","",$B$1-MAXIFS(Donasi!$A$2:$A$20000,Donasi!$B$2:$B$20000,A5921))</f>
        <v/>
      </c>
      <c r="C5921">
        <f>IF(A5921="","",COUNTIF(Donasi!$B$2:$B$20000,A5921))</f>
        <v/>
      </c>
      <c r="D5921">
        <f>IF(A5921="","",SUMIF(Donasi!$B$2:$B$20000,A5921,Donasi!$C$2:$C$20000))</f>
        <v/>
      </c>
      <c r="E5921">
        <f>IF(A5921="","",6-CEILING(PERCENTRANK.INC($B$3:$B$6000,B5921,4)*5+0.000001,1))</f>
        <v/>
      </c>
      <c r="F5921">
        <f>IF(A5921="","",MAX(1,CEILING(PERCENTRANK.INC($C$3:$C$6000,C5921,4)*5+0.000001,1)))</f>
        <v/>
      </c>
      <c r="G5921">
        <f>IF(A5921="","",MAX(1,CEILING(PERCENTRANK.INC($D$3:$D$6000,D5921,4)*5+0.000001,1)))</f>
        <v/>
      </c>
      <c r="H5921">
        <f>IF(A5921="","",E5921&amp;F5921&amp;G5921)</f>
        <v/>
      </c>
      <c r="I5921">
        <f>IF(A5921="","",IF(AND(E5921&gt;=4,F5921&gt;=4,G5921&gt;=4),"Juara",IF(AND(F5921&gt;=4,E5921&gt;=3),"Setia",IF(AND(E5921=5,F5921&lt;=2,G5921&gt;=3),"Berpotensi",IF(AND(E5921&lt;=3,E5921&gt;=2,F5921&gt;=3),"Rawan",IF(AND(E5921&lt;=2,F5921&lt;=2),"Tidur","Umum"))))))</f>
        <v/>
      </c>
    </row>
    <row r="5922">
      <c r="B5922">
        <f>IF(A5922="","",$B$1-MAXIFS(Donasi!$A$2:$A$20000,Donasi!$B$2:$B$20000,A5922))</f>
        <v/>
      </c>
      <c r="C5922">
        <f>IF(A5922="","",COUNTIF(Donasi!$B$2:$B$20000,A5922))</f>
        <v/>
      </c>
      <c r="D5922">
        <f>IF(A5922="","",SUMIF(Donasi!$B$2:$B$20000,A5922,Donasi!$C$2:$C$20000))</f>
        <v/>
      </c>
      <c r="E5922">
        <f>IF(A5922="","",6-CEILING(PERCENTRANK.INC($B$3:$B$6000,B5922,4)*5+0.000001,1))</f>
        <v/>
      </c>
      <c r="F5922">
        <f>IF(A5922="","",MAX(1,CEILING(PERCENTRANK.INC($C$3:$C$6000,C5922,4)*5+0.000001,1)))</f>
        <v/>
      </c>
      <c r="G5922">
        <f>IF(A5922="","",MAX(1,CEILING(PERCENTRANK.INC($D$3:$D$6000,D5922,4)*5+0.000001,1)))</f>
        <v/>
      </c>
      <c r="H5922">
        <f>IF(A5922="","",E5922&amp;F5922&amp;G5922)</f>
        <v/>
      </c>
      <c r="I5922">
        <f>IF(A5922="","",IF(AND(E5922&gt;=4,F5922&gt;=4,G5922&gt;=4),"Juara",IF(AND(F5922&gt;=4,E5922&gt;=3),"Setia",IF(AND(E5922=5,F5922&lt;=2,G5922&gt;=3),"Berpotensi",IF(AND(E5922&lt;=3,E5922&gt;=2,F5922&gt;=3),"Rawan",IF(AND(E5922&lt;=2,F5922&lt;=2),"Tidur","Umum"))))))</f>
        <v/>
      </c>
    </row>
    <row r="5923">
      <c r="B5923">
        <f>IF(A5923="","",$B$1-MAXIFS(Donasi!$A$2:$A$20000,Donasi!$B$2:$B$20000,A5923))</f>
        <v/>
      </c>
      <c r="C5923">
        <f>IF(A5923="","",COUNTIF(Donasi!$B$2:$B$20000,A5923))</f>
        <v/>
      </c>
      <c r="D5923">
        <f>IF(A5923="","",SUMIF(Donasi!$B$2:$B$20000,A5923,Donasi!$C$2:$C$20000))</f>
        <v/>
      </c>
      <c r="E5923">
        <f>IF(A5923="","",6-CEILING(PERCENTRANK.INC($B$3:$B$6000,B5923,4)*5+0.000001,1))</f>
        <v/>
      </c>
      <c r="F5923">
        <f>IF(A5923="","",MAX(1,CEILING(PERCENTRANK.INC($C$3:$C$6000,C5923,4)*5+0.000001,1)))</f>
        <v/>
      </c>
      <c r="G5923">
        <f>IF(A5923="","",MAX(1,CEILING(PERCENTRANK.INC($D$3:$D$6000,D5923,4)*5+0.000001,1)))</f>
        <v/>
      </c>
      <c r="H5923">
        <f>IF(A5923="","",E5923&amp;F5923&amp;G5923)</f>
        <v/>
      </c>
      <c r="I5923">
        <f>IF(A5923="","",IF(AND(E5923&gt;=4,F5923&gt;=4,G5923&gt;=4),"Juara",IF(AND(F5923&gt;=4,E5923&gt;=3),"Setia",IF(AND(E5923=5,F5923&lt;=2,G5923&gt;=3),"Berpotensi",IF(AND(E5923&lt;=3,E5923&gt;=2,F5923&gt;=3),"Rawan",IF(AND(E5923&lt;=2,F5923&lt;=2),"Tidur","Umum"))))))</f>
        <v/>
      </c>
    </row>
    <row r="5924">
      <c r="B5924">
        <f>IF(A5924="","",$B$1-MAXIFS(Donasi!$A$2:$A$20000,Donasi!$B$2:$B$20000,A5924))</f>
        <v/>
      </c>
      <c r="C5924">
        <f>IF(A5924="","",COUNTIF(Donasi!$B$2:$B$20000,A5924))</f>
        <v/>
      </c>
      <c r="D5924">
        <f>IF(A5924="","",SUMIF(Donasi!$B$2:$B$20000,A5924,Donasi!$C$2:$C$20000))</f>
        <v/>
      </c>
      <c r="E5924">
        <f>IF(A5924="","",6-CEILING(PERCENTRANK.INC($B$3:$B$6000,B5924,4)*5+0.000001,1))</f>
        <v/>
      </c>
      <c r="F5924">
        <f>IF(A5924="","",MAX(1,CEILING(PERCENTRANK.INC($C$3:$C$6000,C5924,4)*5+0.000001,1)))</f>
        <v/>
      </c>
      <c r="G5924">
        <f>IF(A5924="","",MAX(1,CEILING(PERCENTRANK.INC($D$3:$D$6000,D5924,4)*5+0.000001,1)))</f>
        <v/>
      </c>
      <c r="H5924">
        <f>IF(A5924="","",E5924&amp;F5924&amp;G5924)</f>
        <v/>
      </c>
      <c r="I5924">
        <f>IF(A5924="","",IF(AND(E5924&gt;=4,F5924&gt;=4,G5924&gt;=4),"Juara",IF(AND(F5924&gt;=4,E5924&gt;=3),"Setia",IF(AND(E5924=5,F5924&lt;=2,G5924&gt;=3),"Berpotensi",IF(AND(E5924&lt;=3,E5924&gt;=2,F5924&gt;=3),"Rawan",IF(AND(E5924&lt;=2,F5924&lt;=2),"Tidur","Umum"))))))</f>
        <v/>
      </c>
    </row>
    <row r="5925">
      <c r="B5925">
        <f>IF(A5925="","",$B$1-MAXIFS(Donasi!$A$2:$A$20000,Donasi!$B$2:$B$20000,A5925))</f>
        <v/>
      </c>
      <c r="C5925">
        <f>IF(A5925="","",COUNTIF(Donasi!$B$2:$B$20000,A5925))</f>
        <v/>
      </c>
      <c r="D5925">
        <f>IF(A5925="","",SUMIF(Donasi!$B$2:$B$20000,A5925,Donasi!$C$2:$C$20000))</f>
        <v/>
      </c>
      <c r="E5925">
        <f>IF(A5925="","",6-CEILING(PERCENTRANK.INC($B$3:$B$6000,B5925,4)*5+0.000001,1))</f>
        <v/>
      </c>
      <c r="F5925">
        <f>IF(A5925="","",MAX(1,CEILING(PERCENTRANK.INC($C$3:$C$6000,C5925,4)*5+0.000001,1)))</f>
        <v/>
      </c>
      <c r="G5925">
        <f>IF(A5925="","",MAX(1,CEILING(PERCENTRANK.INC($D$3:$D$6000,D5925,4)*5+0.000001,1)))</f>
        <v/>
      </c>
      <c r="H5925">
        <f>IF(A5925="","",E5925&amp;F5925&amp;G5925)</f>
        <v/>
      </c>
      <c r="I5925">
        <f>IF(A5925="","",IF(AND(E5925&gt;=4,F5925&gt;=4,G5925&gt;=4),"Juara",IF(AND(F5925&gt;=4,E5925&gt;=3),"Setia",IF(AND(E5925=5,F5925&lt;=2,G5925&gt;=3),"Berpotensi",IF(AND(E5925&lt;=3,E5925&gt;=2,F5925&gt;=3),"Rawan",IF(AND(E5925&lt;=2,F5925&lt;=2),"Tidur","Umum"))))))</f>
        <v/>
      </c>
    </row>
    <row r="5926">
      <c r="B5926">
        <f>IF(A5926="","",$B$1-MAXIFS(Donasi!$A$2:$A$20000,Donasi!$B$2:$B$20000,A5926))</f>
        <v/>
      </c>
      <c r="C5926">
        <f>IF(A5926="","",COUNTIF(Donasi!$B$2:$B$20000,A5926))</f>
        <v/>
      </c>
      <c r="D5926">
        <f>IF(A5926="","",SUMIF(Donasi!$B$2:$B$20000,A5926,Donasi!$C$2:$C$20000))</f>
        <v/>
      </c>
      <c r="E5926">
        <f>IF(A5926="","",6-CEILING(PERCENTRANK.INC($B$3:$B$6000,B5926,4)*5+0.000001,1))</f>
        <v/>
      </c>
      <c r="F5926">
        <f>IF(A5926="","",MAX(1,CEILING(PERCENTRANK.INC($C$3:$C$6000,C5926,4)*5+0.000001,1)))</f>
        <v/>
      </c>
      <c r="G5926">
        <f>IF(A5926="","",MAX(1,CEILING(PERCENTRANK.INC($D$3:$D$6000,D5926,4)*5+0.000001,1)))</f>
        <v/>
      </c>
      <c r="H5926">
        <f>IF(A5926="","",E5926&amp;F5926&amp;G5926)</f>
        <v/>
      </c>
      <c r="I5926">
        <f>IF(A5926="","",IF(AND(E5926&gt;=4,F5926&gt;=4,G5926&gt;=4),"Juara",IF(AND(F5926&gt;=4,E5926&gt;=3),"Setia",IF(AND(E5926=5,F5926&lt;=2,G5926&gt;=3),"Berpotensi",IF(AND(E5926&lt;=3,E5926&gt;=2,F5926&gt;=3),"Rawan",IF(AND(E5926&lt;=2,F5926&lt;=2),"Tidur","Umum"))))))</f>
        <v/>
      </c>
    </row>
    <row r="5927">
      <c r="B5927">
        <f>IF(A5927="","",$B$1-MAXIFS(Donasi!$A$2:$A$20000,Donasi!$B$2:$B$20000,A5927))</f>
        <v/>
      </c>
      <c r="C5927">
        <f>IF(A5927="","",COUNTIF(Donasi!$B$2:$B$20000,A5927))</f>
        <v/>
      </c>
      <c r="D5927">
        <f>IF(A5927="","",SUMIF(Donasi!$B$2:$B$20000,A5927,Donasi!$C$2:$C$20000))</f>
        <v/>
      </c>
      <c r="E5927">
        <f>IF(A5927="","",6-CEILING(PERCENTRANK.INC($B$3:$B$6000,B5927,4)*5+0.000001,1))</f>
        <v/>
      </c>
      <c r="F5927">
        <f>IF(A5927="","",MAX(1,CEILING(PERCENTRANK.INC($C$3:$C$6000,C5927,4)*5+0.000001,1)))</f>
        <v/>
      </c>
      <c r="G5927">
        <f>IF(A5927="","",MAX(1,CEILING(PERCENTRANK.INC($D$3:$D$6000,D5927,4)*5+0.000001,1)))</f>
        <v/>
      </c>
      <c r="H5927">
        <f>IF(A5927="","",E5927&amp;F5927&amp;G5927)</f>
        <v/>
      </c>
      <c r="I5927">
        <f>IF(A5927="","",IF(AND(E5927&gt;=4,F5927&gt;=4,G5927&gt;=4),"Juara",IF(AND(F5927&gt;=4,E5927&gt;=3),"Setia",IF(AND(E5927=5,F5927&lt;=2,G5927&gt;=3),"Berpotensi",IF(AND(E5927&lt;=3,E5927&gt;=2,F5927&gt;=3),"Rawan",IF(AND(E5927&lt;=2,F5927&lt;=2),"Tidur","Umum"))))))</f>
        <v/>
      </c>
    </row>
    <row r="5928">
      <c r="B5928">
        <f>IF(A5928="","",$B$1-MAXIFS(Donasi!$A$2:$A$20000,Donasi!$B$2:$B$20000,A5928))</f>
        <v/>
      </c>
      <c r="C5928">
        <f>IF(A5928="","",COUNTIF(Donasi!$B$2:$B$20000,A5928))</f>
        <v/>
      </c>
      <c r="D5928">
        <f>IF(A5928="","",SUMIF(Donasi!$B$2:$B$20000,A5928,Donasi!$C$2:$C$20000))</f>
        <v/>
      </c>
      <c r="E5928">
        <f>IF(A5928="","",6-CEILING(PERCENTRANK.INC($B$3:$B$6000,B5928,4)*5+0.000001,1))</f>
        <v/>
      </c>
      <c r="F5928">
        <f>IF(A5928="","",MAX(1,CEILING(PERCENTRANK.INC($C$3:$C$6000,C5928,4)*5+0.000001,1)))</f>
        <v/>
      </c>
      <c r="G5928">
        <f>IF(A5928="","",MAX(1,CEILING(PERCENTRANK.INC($D$3:$D$6000,D5928,4)*5+0.000001,1)))</f>
        <v/>
      </c>
      <c r="H5928">
        <f>IF(A5928="","",E5928&amp;F5928&amp;G5928)</f>
        <v/>
      </c>
      <c r="I5928">
        <f>IF(A5928="","",IF(AND(E5928&gt;=4,F5928&gt;=4,G5928&gt;=4),"Juara",IF(AND(F5928&gt;=4,E5928&gt;=3),"Setia",IF(AND(E5928=5,F5928&lt;=2,G5928&gt;=3),"Berpotensi",IF(AND(E5928&lt;=3,E5928&gt;=2,F5928&gt;=3),"Rawan",IF(AND(E5928&lt;=2,F5928&lt;=2),"Tidur","Umum"))))))</f>
        <v/>
      </c>
    </row>
    <row r="5929">
      <c r="B5929">
        <f>IF(A5929="","",$B$1-MAXIFS(Donasi!$A$2:$A$20000,Donasi!$B$2:$B$20000,A5929))</f>
        <v/>
      </c>
      <c r="C5929">
        <f>IF(A5929="","",COUNTIF(Donasi!$B$2:$B$20000,A5929))</f>
        <v/>
      </c>
      <c r="D5929">
        <f>IF(A5929="","",SUMIF(Donasi!$B$2:$B$20000,A5929,Donasi!$C$2:$C$20000))</f>
        <v/>
      </c>
      <c r="E5929">
        <f>IF(A5929="","",6-CEILING(PERCENTRANK.INC($B$3:$B$6000,B5929,4)*5+0.000001,1))</f>
        <v/>
      </c>
      <c r="F5929">
        <f>IF(A5929="","",MAX(1,CEILING(PERCENTRANK.INC($C$3:$C$6000,C5929,4)*5+0.000001,1)))</f>
        <v/>
      </c>
      <c r="G5929">
        <f>IF(A5929="","",MAX(1,CEILING(PERCENTRANK.INC($D$3:$D$6000,D5929,4)*5+0.000001,1)))</f>
        <v/>
      </c>
      <c r="H5929">
        <f>IF(A5929="","",E5929&amp;F5929&amp;G5929)</f>
        <v/>
      </c>
      <c r="I5929">
        <f>IF(A5929="","",IF(AND(E5929&gt;=4,F5929&gt;=4,G5929&gt;=4),"Juara",IF(AND(F5929&gt;=4,E5929&gt;=3),"Setia",IF(AND(E5929=5,F5929&lt;=2,G5929&gt;=3),"Berpotensi",IF(AND(E5929&lt;=3,E5929&gt;=2,F5929&gt;=3),"Rawan",IF(AND(E5929&lt;=2,F5929&lt;=2),"Tidur","Umum"))))))</f>
        <v/>
      </c>
    </row>
    <row r="5930">
      <c r="B5930">
        <f>IF(A5930="","",$B$1-MAXIFS(Donasi!$A$2:$A$20000,Donasi!$B$2:$B$20000,A5930))</f>
        <v/>
      </c>
      <c r="C5930">
        <f>IF(A5930="","",COUNTIF(Donasi!$B$2:$B$20000,A5930))</f>
        <v/>
      </c>
      <c r="D5930">
        <f>IF(A5930="","",SUMIF(Donasi!$B$2:$B$20000,A5930,Donasi!$C$2:$C$20000))</f>
        <v/>
      </c>
      <c r="E5930">
        <f>IF(A5930="","",6-CEILING(PERCENTRANK.INC($B$3:$B$6000,B5930,4)*5+0.000001,1))</f>
        <v/>
      </c>
      <c r="F5930">
        <f>IF(A5930="","",MAX(1,CEILING(PERCENTRANK.INC($C$3:$C$6000,C5930,4)*5+0.000001,1)))</f>
        <v/>
      </c>
      <c r="G5930">
        <f>IF(A5930="","",MAX(1,CEILING(PERCENTRANK.INC($D$3:$D$6000,D5930,4)*5+0.000001,1)))</f>
        <v/>
      </c>
      <c r="H5930">
        <f>IF(A5930="","",E5930&amp;F5930&amp;G5930)</f>
        <v/>
      </c>
      <c r="I5930">
        <f>IF(A5930="","",IF(AND(E5930&gt;=4,F5930&gt;=4,G5930&gt;=4),"Juara",IF(AND(F5930&gt;=4,E5930&gt;=3),"Setia",IF(AND(E5930=5,F5930&lt;=2,G5930&gt;=3),"Berpotensi",IF(AND(E5930&lt;=3,E5930&gt;=2,F5930&gt;=3),"Rawan",IF(AND(E5930&lt;=2,F5930&lt;=2),"Tidur","Umum"))))))</f>
        <v/>
      </c>
    </row>
    <row r="5931">
      <c r="B5931">
        <f>IF(A5931="","",$B$1-MAXIFS(Donasi!$A$2:$A$20000,Donasi!$B$2:$B$20000,A5931))</f>
        <v/>
      </c>
      <c r="C5931">
        <f>IF(A5931="","",COUNTIF(Donasi!$B$2:$B$20000,A5931))</f>
        <v/>
      </c>
      <c r="D5931">
        <f>IF(A5931="","",SUMIF(Donasi!$B$2:$B$20000,A5931,Donasi!$C$2:$C$20000))</f>
        <v/>
      </c>
      <c r="E5931">
        <f>IF(A5931="","",6-CEILING(PERCENTRANK.INC($B$3:$B$6000,B5931,4)*5+0.000001,1))</f>
        <v/>
      </c>
      <c r="F5931">
        <f>IF(A5931="","",MAX(1,CEILING(PERCENTRANK.INC($C$3:$C$6000,C5931,4)*5+0.000001,1)))</f>
        <v/>
      </c>
      <c r="G5931">
        <f>IF(A5931="","",MAX(1,CEILING(PERCENTRANK.INC($D$3:$D$6000,D5931,4)*5+0.000001,1)))</f>
        <v/>
      </c>
      <c r="H5931">
        <f>IF(A5931="","",E5931&amp;F5931&amp;G5931)</f>
        <v/>
      </c>
      <c r="I5931">
        <f>IF(A5931="","",IF(AND(E5931&gt;=4,F5931&gt;=4,G5931&gt;=4),"Juara",IF(AND(F5931&gt;=4,E5931&gt;=3),"Setia",IF(AND(E5931=5,F5931&lt;=2,G5931&gt;=3),"Berpotensi",IF(AND(E5931&lt;=3,E5931&gt;=2,F5931&gt;=3),"Rawan",IF(AND(E5931&lt;=2,F5931&lt;=2),"Tidur","Umum"))))))</f>
        <v/>
      </c>
    </row>
    <row r="5932">
      <c r="B5932">
        <f>IF(A5932="","",$B$1-MAXIFS(Donasi!$A$2:$A$20000,Donasi!$B$2:$B$20000,A5932))</f>
        <v/>
      </c>
      <c r="C5932">
        <f>IF(A5932="","",COUNTIF(Donasi!$B$2:$B$20000,A5932))</f>
        <v/>
      </c>
      <c r="D5932">
        <f>IF(A5932="","",SUMIF(Donasi!$B$2:$B$20000,A5932,Donasi!$C$2:$C$20000))</f>
        <v/>
      </c>
      <c r="E5932">
        <f>IF(A5932="","",6-CEILING(PERCENTRANK.INC($B$3:$B$6000,B5932,4)*5+0.000001,1))</f>
        <v/>
      </c>
      <c r="F5932">
        <f>IF(A5932="","",MAX(1,CEILING(PERCENTRANK.INC($C$3:$C$6000,C5932,4)*5+0.000001,1)))</f>
        <v/>
      </c>
      <c r="G5932">
        <f>IF(A5932="","",MAX(1,CEILING(PERCENTRANK.INC($D$3:$D$6000,D5932,4)*5+0.000001,1)))</f>
        <v/>
      </c>
      <c r="H5932">
        <f>IF(A5932="","",E5932&amp;F5932&amp;G5932)</f>
        <v/>
      </c>
      <c r="I5932">
        <f>IF(A5932="","",IF(AND(E5932&gt;=4,F5932&gt;=4,G5932&gt;=4),"Juara",IF(AND(F5932&gt;=4,E5932&gt;=3),"Setia",IF(AND(E5932=5,F5932&lt;=2,G5932&gt;=3),"Berpotensi",IF(AND(E5932&lt;=3,E5932&gt;=2,F5932&gt;=3),"Rawan",IF(AND(E5932&lt;=2,F5932&lt;=2),"Tidur","Umum"))))))</f>
        <v/>
      </c>
    </row>
    <row r="5933">
      <c r="B5933">
        <f>IF(A5933="","",$B$1-MAXIFS(Donasi!$A$2:$A$20000,Donasi!$B$2:$B$20000,A5933))</f>
        <v/>
      </c>
      <c r="C5933">
        <f>IF(A5933="","",COUNTIF(Donasi!$B$2:$B$20000,A5933))</f>
        <v/>
      </c>
      <c r="D5933">
        <f>IF(A5933="","",SUMIF(Donasi!$B$2:$B$20000,A5933,Donasi!$C$2:$C$20000))</f>
        <v/>
      </c>
      <c r="E5933">
        <f>IF(A5933="","",6-CEILING(PERCENTRANK.INC($B$3:$B$6000,B5933,4)*5+0.000001,1))</f>
        <v/>
      </c>
      <c r="F5933">
        <f>IF(A5933="","",MAX(1,CEILING(PERCENTRANK.INC($C$3:$C$6000,C5933,4)*5+0.000001,1)))</f>
        <v/>
      </c>
      <c r="G5933">
        <f>IF(A5933="","",MAX(1,CEILING(PERCENTRANK.INC($D$3:$D$6000,D5933,4)*5+0.000001,1)))</f>
        <v/>
      </c>
      <c r="H5933">
        <f>IF(A5933="","",E5933&amp;F5933&amp;G5933)</f>
        <v/>
      </c>
      <c r="I5933">
        <f>IF(A5933="","",IF(AND(E5933&gt;=4,F5933&gt;=4,G5933&gt;=4),"Juara",IF(AND(F5933&gt;=4,E5933&gt;=3),"Setia",IF(AND(E5933=5,F5933&lt;=2,G5933&gt;=3),"Berpotensi",IF(AND(E5933&lt;=3,E5933&gt;=2,F5933&gt;=3),"Rawan",IF(AND(E5933&lt;=2,F5933&lt;=2),"Tidur","Umum"))))))</f>
        <v/>
      </c>
    </row>
    <row r="5934">
      <c r="B5934">
        <f>IF(A5934="","",$B$1-MAXIFS(Donasi!$A$2:$A$20000,Donasi!$B$2:$B$20000,A5934))</f>
        <v/>
      </c>
      <c r="C5934">
        <f>IF(A5934="","",COUNTIF(Donasi!$B$2:$B$20000,A5934))</f>
        <v/>
      </c>
      <c r="D5934">
        <f>IF(A5934="","",SUMIF(Donasi!$B$2:$B$20000,A5934,Donasi!$C$2:$C$20000))</f>
        <v/>
      </c>
      <c r="E5934">
        <f>IF(A5934="","",6-CEILING(PERCENTRANK.INC($B$3:$B$6000,B5934,4)*5+0.000001,1))</f>
        <v/>
      </c>
      <c r="F5934">
        <f>IF(A5934="","",MAX(1,CEILING(PERCENTRANK.INC($C$3:$C$6000,C5934,4)*5+0.000001,1)))</f>
        <v/>
      </c>
      <c r="G5934">
        <f>IF(A5934="","",MAX(1,CEILING(PERCENTRANK.INC($D$3:$D$6000,D5934,4)*5+0.000001,1)))</f>
        <v/>
      </c>
      <c r="H5934">
        <f>IF(A5934="","",E5934&amp;F5934&amp;G5934)</f>
        <v/>
      </c>
      <c r="I5934">
        <f>IF(A5934="","",IF(AND(E5934&gt;=4,F5934&gt;=4,G5934&gt;=4),"Juara",IF(AND(F5934&gt;=4,E5934&gt;=3),"Setia",IF(AND(E5934=5,F5934&lt;=2,G5934&gt;=3),"Berpotensi",IF(AND(E5934&lt;=3,E5934&gt;=2,F5934&gt;=3),"Rawan",IF(AND(E5934&lt;=2,F5934&lt;=2),"Tidur","Umum"))))))</f>
        <v/>
      </c>
    </row>
    <row r="5935">
      <c r="B5935">
        <f>IF(A5935="","",$B$1-MAXIFS(Donasi!$A$2:$A$20000,Donasi!$B$2:$B$20000,A5935))</f>
        <v/>
      </c>
      <c r="C5935">
        <f>IF(A5935="","",COUNTIF(Donasi!$B$2:$B$20000,A5935))</f>
        <v/>
      </c>
      <c r="D5935">
        <f>IF(A5935="","",SUMIF(Donasi!$B$2:$B$20000,A5935,Donasi!$C$2:$C$20000))</f>
        <v/>
      </c>
      <c r="E5935">
        <f>IF(A5935="","",6-CEILING(PERCENTRANK.INC($B$3:$B$6000,B5935,4)*5+0.000001,1))</f>
        <v/>
      </c>
      <c r="F5935">
        <f>IF(A5935="","",MAX(1,CEILING(PERCENTRANK.INC($C$3:$C$6000,C5935,4)*5+0.000001,1)))</f>
        <v/>
      </c>
      <c r="G5935">
        <f>IF(A5935="","",MAX(1,CEILING(PERCENTRANK.INC($D$3:$D$6000,D5935,4)*5+0.000001,1)))</f>
        <v/>
      </c>
      <c r="H5935">
        <f>IF(A5935="","",E5935&amp;F5935&amp;G5935)</f>
        <v/>
      </c>
      <c r="I5935">
        <f>IF(A5935="","",IF(AND(E5935&gt;=4,F5935&gt;=4,G5935&gt;=4),"Juara",IF(AND(F5935&gt;=4,E5935&gt;=3),"Setia",IF(AND(E5935=5,F5935&lt;=2,G5935&gt;=3),"Berpotensi",IF(AND(E5935&lt;=3,E5935&gt;=2,F5935&gt;=3),"Rawan",IF(AND(E5935&lt;=2,F5935&lt;=2),"Tidur","Umum"))))))</f>
        <v/>
      </c>
    </row>
    <row r="5936">
      <c r="B5936">
        <f>IF(A5936="","",$B$1-MAXIFS(Donasi!$A$2:$A$20000,Donasi!$B$2:$B$20000,A5936))</f>
        <v/>
      </c>
      <c r="C5936">
        <f>IF(A5936="","",COUNTIF(Donasi!$B$2:$B$20000,A5936))</f>
        <v/>
      </c>
      <c r="D5936">
        <f>IF(A5936="","",SUMIF(Donasi!$B$2:$B$20000,A5936,Donasi!$C$2:$C$20000))</f>
        <v/>
      </c>
      <c r="E5936">
        <f>IF(A5936="","",6-CEILING(PERCENTRANK.INC($B$3:$B$6000,B5936,4)*5+0.000001,1))</f>
        <v/>
      </c>
      <c r="F5936">
        <f>IF(A5936="","",MAX(1,CEILING(PERCENTRANK.INC($C$3:$C$6000,C5936,4)*5+0.000001,1)))</f>
        <v/>
      </c>
      <c r="G5936">
        <f>IF(A5936="","",MAX(1,CEILING(PERCENTRANK.INC($D$3:$D$6000,D5936,4)*5+0.000001,1)))</f>
        <v/>
      </c>
      <c r="H5936">
        <f>IF(A5936="","",E5936&amp;F5936&amp;G5936)</f>
        <v/>
      </c>
      <c r="I5936">
        <f>IF(A5936="","",IF(AND(E5936&gt;=4,F5936&gt;=4,G5936&gt;=4),"Juara",IF(AND(F5936&gt;=4,E5936&gt;=3),"Setia",IF(AND(E5936=5,F5936&lt;=2,G5936&gt;=3),"Berpotensi",IF(AND(E5936&lt;=3,E5936&gt;=2,F5936&gt;=3),"Rawan",IF(AND(E5936&lt;=2,F5936&lt;=2),"Tidur","Umum"))))))</f>
        <v/>
      </c>
    </row>
    <row r="5937">
      <c r="B5937">
        <f>IF(A5937="","",$B$1-MAXIFS(Donasi!$A$2:$A$20000,Donasi!$B$2:$B$20000,A5937))</f>
        <v/>
      </c>
      <c r="C5937">
        <f>IF(A5937="","",COUNTIF(Donasi!$B$2:$B$20000,A5937))</f>
        <v/>
      </c>
      <c r="D5937">
        <f>IF(A5937="","",SUMIF(Donasi!$B$2:$B$20000,A5937,Donasi!$C$2:$C$20000))</f>
        <v/>
      </c>
      <c r="E5937">
        <f>IF(A5937="","",6-CEILING(PERCENTRANK.INC($B$3:$B$6000,B5937,4)*5+0.000001,1))</f>
        <v/>
      </c>
      <c r="F5937">
        <f>IF(A5937="","",MAX(1,CEILING(PERCENTRANK.INC($C$3:$C$6000,C5937,4)*5+0.000001,1)))</f>
        <v/>
      </c>
      <c r="G5937">
        <f>IF(A5937="","",MAX(1,CEILING(PERCENTRANK.INC($D$3:$D$6000,D5937,4)*5+0.000001,1)))</f>
        <v/>
      </c>
      <c r="H5937">
        <f>IF(A5937="","",E5937&amp;F5937&amp;G5937)</f>
        <v/>
      </c>
      <c r="I5937">
        <f>IF(A5937="","",IF(AND(E5937&gt;=4,F5937&gt;=4,G5937&gt;=4),"Juara",IF(AND(F5937&gt;=4,E5937&gt;=3),"Setia",IF(AND(E5937=5,F5937&lt;=2,G5937&gt;=3),"Berpotensi",IF(AND(E5937&lt;=3,E5937&gt;=2,F5937&gt;=3),"Rawan",IF(AND(E5937&lt;=2,F5937&lt;=2),"Tidur","Umum"))))))</f>
        <v/>
      </c>
    </row>
    <row r="5938">
      <c r="B5938">
        <f>IF(A5938="","",$B$1-MAXIFS(Donasi!$A$2:$A$20000,Donasi!$B$2:$B$20000,A5938))</f>
        <v/>
      </c>
      <c r="C5938">
        <f>IF(A5938="","",COUNTIF(Donasi!$B$2:$B$20000,A5938))</f>
        <v/>
      </c>
      <c r="D5938">
        <f>IF(A5938="","",SUMIF(Donasi!$B$2:$B$20000,A5938,Donasi!$C$2:$C$20000))</f>
        <v/>
      </c>
      <c r="E5938">
        <f>IF(A5938="","",6-CEILING(PERCENTRANK.INC($B$3:$B$6000,B5938,4)*5+0.000001,1))</f>
        <v/>
      </c>
      <c r="F5938">
        <f>IF(A5938="","",MAX(1,CEILING(PERCENTRANK.INC($C$3:$C$6000,C5938,4)*5+0.000001,1)))</f>
        <v/>
      </c>
      <c r="G5938">
        <f>IF(A5938="","",MAX(1,CEILING(PERCENTRANK.INC($D$3:$D$6000,D5938,4)*5+0.000001,1)))</f>
        <v/>
      </c>
      <c r="H5938">
        <f>IF(A5938="","",E5938&amp;F5938&amp;G5938)</f>
        <v/>
      </c>
      <c r="I5938">
        <f>IF(A5938="","",IF(AND(E5938&gt;=4,F5938&gt;=4,G5938&gt;=4),"Juara",IF(AND(F5938&gt;=4,E5938&gt;=3),"Setia",IF(AND(E5938=5,F5938&lt;=2,G5938&gt;=3),"Berpotensi",IF(AND(E5938&lt;=3,E5938&gt;=2,F5938&gt;=3),"Rawan",IF(AND(E5938&lt;=2,F5938&lt;=2),"Tidur","Umum"))))))</f>
        <v/>
      </c>
    </row>
    <row r="5939">
      <c r="B5939">
        <f>IF(A5939="","",$B$1-MAXIFS(Donasi!$A$2:$A$20000,Donasi!$B$2:$B$20000,A5939))</f>
        <v/>
      </c>
      <c r="C5939">
        <f>IF(A5939="","",COUNTIF(Donasi!$B$2:$B$20000,A5939))</f>
        <v/>
      </c>
      <c r="D5939">
        <f>IF(A5939="","",SUMIF(Donasi!$B$2:$B$20000,A5939,Donasi!$C$2:$C$20000))</f>
        <v/>
      </c>
      <c r="E5939">
        <f>IF(A5939="","",6-CEILING(PERCENTRANK.INC($B$3:$B$6000,B5939,4)*5+0.000001,1))</f>
        <v/>
      </c>
      <c r="F5939">
        <f>IF(A5939="","",MAX(1,CEILING(PERCENTRANK.INC($C$3:$C$6000,C5939,4)*5+0.000001,1)))</f>
        <v/>
      </c>
      <c r="G5939">
        <f>IF(A5939="","",MAX(1,CEILING(PERCENTRANK.INC($D$3:$D$6000,D5939,4)*5+0.000001,1)))</f>
        <v/>
      </c>
      <c r="H5939">
        <f>IF(A5939="","",E5939&amp;F5939&amp;G5939)</f>
        <v/>
      </c>
      <c r="I5939">
        <f>IF(A5939="","",IF(AND(E5939&gt;=4,F5939&gt;=4,G5939&gt;=4),"Juara",IF(AND(F5939&gt;=4,E5939&gt;=3),"Setia",IF(AND(E5939=5,F5939&lt;=2,G5939&gt;=3),"Berpotensi",IF(AND(E5939&lt;=3,E5939&gt;=2,F5939&gt;=3),"Rawan",IF(AND(E5939&lt;=2,F5939&lt;=2),"Tidur","Umum"))))))</f>
        <v/>
      </c>
    </row>
    <row r="5940">
      <c r="B5940">
        <f>IF(A5940="","",$B$1-MAXIFS(Donasi!$A$2:$A$20000,Donasi!$B$2:$B$20000,A5940))</f>
        <v/>
      </c>
      <c r="C5940">
        <f>IF(A5940="","",COUNTIF(Donasi!$B$2:$B$20000,A5940))</f>
        <v/>
      </c>
      <c r="D5940">
        <f>IF(A5940="","",SUMIF(Donasi!$B$2:$B$20000,A5940,Donasi!$C$2:$C$20000))</f>
        <v/>
      </c>
      <c r="E5940">
        <f>IF(A5940="","",6-CEILING(PERCENTRANK.INC($B$3:$B$6000,B5940,4)*5+0.000001,1))</f>
        <v/>
      </c>
      <c r="F5940">
        <f>IF(A5940="","",MAX(1,CEILING(PERCENTRANK.INC($C$3:$C$6000,C5940,4)*5+0.000001,1)))</f>
        <v/>
      </c>
      <c r="G5940">
        <f>IF(A5940="","",MAX(1,CEILING(PERCENTRANK.INC($D$3:$D$6000,D5940,4)*5+0.000001,1)))</f>
        <v/>
      </c>
      <c r="H5940">
        <f>IF(A5940="","",E5940&amp;F5940&amp;G5940)</f>
        <v/>
      </c>
      <c r="I5940">
        <f>IF(A5940="","",IF(AND(E5940&gt;=4,F5940&gt;=4,G5940&gt;=4),"Juara",IF(AND(F5940&gt;=4,E5940&gt;=3),"Setia",IF(AND(E5940=5,F5940&lt;=2,G5940&gt;=3),"Berpotensi",IF(AND(E5940&lt;=3,E5940&gt;=2,F5940&gt;=3),"Rawan",IF(AND(E5940&lt;=2,F5940&lt;=2),"Tidur","Umum"))))))</f>
        <v/>
      </c>
    </row>
    <row r="5941">
      <c r="B5941">
        <f>IF(A5941="","",$B$1-MAXIFS(Donasi!$A$2:$A$20000,Donasi!$B$2:$B$20000,A5941))</f>
        <v/>
      </c>
      <c r="C5941">
        <f>IF(A5941="","",COUNTIF(Donasi!$B$2:$B$20000,A5941))</f>
        <v/>
      </c>
      <c r="D5941">
        <f>IF(A5941="","",SUMIF(Donasi!$B$2:$B$20000,A5941,Donasi!$C$2:$C$20000))</f>
        <v/>
      </c>
      <c r="E5941">
        <f>IF(A5941="","",6-CEILING(PERCENTRANK.INC($B$3:$B$6000,B5941,4)*5+0.000001,1))</f>
        <v/>
      </c>
      <c r="F5941">
        <f>IF(A5941="","",MAX(1,CEILING(PERCENTRANK.INC($C$3:$C$6000,C5941,4)*5+0.000001,1)))</f>
        <v/>
      </c>
      <c r="G5941">
        <f>IF(A5941="","",MAX(1,CEILING(PERCENTRANK.INC($D$3:$D$6000,D5941,4)*5+0.000001,1)))</f>
        <v/>
      </c>
      <c r="H5941">
        <f>IF(A5941="","",E5941&amp;F5941&amp;G5941)</f>
        <v/>
      </c>
      <c r="I5941">
        <f>IF(A5941="","",IF(AND(E5941&gt;=4,F5941&gt;=4,G5941&gt;=4),"Juara",IF(AND(F5941&gt;=4,E5941&gt;=3),"Setia",IF(AND(E5941=5,F5941&lt;=2,G5941&gt;=3),"Berpotensi",IF(AND(E5941&lt;=3,E5941&gt;=2,F5941&gt;=3),"Rawan",IF(AND(E5941&lt;=2,F5941&lt;=2),"Tidur","Umum"))))))</f>
        <v/>
      </c>
    </row>
    <row r="5942">
      <c r="B5942">
        <f>IF(A5942="","",$B$1-MAXIFS(Donasi!$A$2:$A$20000,Donasi!$B$2:$B$20000,A5942))</f>
        <v/>
      </c>
      <c r="C5942">
        <f>IF(A5942="","",COUNTIF(Donasi!$B$2:$B$20000,A5942))</f>
        <v/>
      </c>
      <c r="D5942">
        <f>IF(A5942="","",SUMIF(Donasi!$B$2:$B$20000,A5942,Donasi!$C$2:$C$20000))</f>
        <v/>
      </c>
      <c r="E5942">
        <f>IF(A5942="","",6-CEILING(PERCENTRANK.INC($B$3:$B$6000,B5942,4)*5+0.000001,1))</f>
        <v/>
      </c>
      <c r="F5942">
        <f>IF(A5942="","",MAX(1,CEILING(PERCENTRANK.INC($C$3:$C$6000,C5942,4)*5+0.000001,1)))</f>
        <v/>
      </c>
      <c r="G5942">
        <f>IF(A5942="","",MAX(1,CEILING(PERCENTRANK.INC($D$3:$D$6000,D5942,4)*5+0.000001,1)))</f>
        <v/>
      </c>
      <c r="H5942">
        <f>IF(A5942="","",E5942&amp;F5942&amp;G5942)</f>
        <v/>
      </c>
      <c r="I5942">
        <f>IF(A5942="","",IF(AND(E5942&gt;=4,F5942&gt;=4,G5942&gt;=4),"Juara",IF(AND(F5942&gt;=4,E5942&gt;=3),"Setia",IF(AND(E5942=5,F5942&lt;=2,G5942&gt;=3),"Berpotensi",IF(AND(E5942&lt;=3,E5942&gt;=2,F5942&gt;=3),"Rawan",IF(AND(E5942&lt;=2,F5942&lt;=2),"Tidur","Umum"))))))</f>
        <v/>
      </c>
    </row>
    <row r="5943">
      <c r="B5943">
        <f>IF(A5943="","",$B$1-MAXIFS(Donasi!$A$2:$A$20000,Donasi!$B$2:$B$20000,A5943))</f>
        <v/>
      </c>
      <c r="C5943">
        <f>IF(A5943="","",COUNTIF(Donasi!$B$2:$B$20000,A5943))</f>
        <v/>
      </c>
      <c r="D5943">
        <f>IF(A5943="","",SUMIF(Donasi!$B$2:$B$20000,A5943,Donasi!$C$2:$C$20000))</f>
        <v/>
      </c>
      <c r="E5943">
        <f>IF(A5943="","",6-CEILING(PERCENTRANK.INC($B$3:$B$6000,B5943,4)*5+0.000001,1))</f>
        <v/>
      </c>
      <c r="F5943">
        <f>IF(A5943="","",MAX(1,CEILING(PERCENTRANK.INC($C$3:$C$6000,C5943,4)*5+0.000001,1)))</f>
        <v/>
      </c>
      <c r="G5943">
        <f>IF(A5943="","",MAX(1,CEILING(PERCENTRANK.INC($D$3:$D$6000,D5943,4)*5+0.000001,1)))</f>
        <v/>
      </c>
      <c r="H5943">
        <f>IF(A5943="","",E5943&amp;F5943&amp;G5943)</f>
        <v/>
      </c>
      <c r="I5943">
        <f>IF(A5943="","",IF(AND(E5943&gt;=4,F5943&gt;=4,G5943&gt;=4),"Juara",IF(AND(F5943&gt;=4,E5943&gt;=3),"Setia",IF(AND(E5943=5,F5943&lt;=2,G5943&gt;=3),"Berpotensi",IF(AND(E5943&lt;=3,E5943&gt;=2,F5943&gt;=3),"Rawan",IF(AND(E5943&lt;=2,F5943&lt;=2),"Tidur","Umum"))))))</f>
        <v/>
      </c>
    </row>
    <row r="5944">
      <c r="B5944">
        <f>IF(A5944="","",$B$1-MAXIFS(Donasi!$A$2:$A$20000,Donasi!$B$2:$B$20000,A5944))</f>
        <v/>
      </c>
      <c r="C5944">
        <f>IF(A5944="","",COUNTIF(Donasi!$B$2:$B$20000,A5944))</f>
        <v/>
      </c>
      <c r="D5944">
        <f>IF(A5944="","",SUMIF(Donasi!$B$2:$B$20000,A5944,Donasi!$C$2:$C$20000))</f>
        <v/>
      </c>
      <c r="E5944">
        <f>IF(A5944="","",6-CEILING(PERCENTRANK.INC($B$3:$B$6000,B5944,4)*5+0.000001,1))</f>
        <v/>
      </c>
      <c r="F5944">
        <f>IF(A5944="","",MAX(1,CEILING(PERCENTRANK.INC($C$3:$C$6000,C5944,4)*5+0.000001,1)))</f>
        <v/>
      </c>
      <c r="G5944">
        <f>IF(A5944="","",MAX(1,CEILING(PERCENTRANK.INC($D$3:$D$6000,D5944,4)*5+0.000001,1)))</f>
        <v/>
      </c>
      <c r="H5944">
        <f>IF(A5944="","",E5944&amp;F5944&amp;G5944)</f>
        <v/>
      </c>
      <c r="I5944">
        <f>IF(A5944="","",IF(AND(E5944&gt;=4,F5944&gt;=4,G5944&gt;=4),"Juara",IF(AND(F5944&gt;=4,E5944&gt;=3),"Setia",IF(AND(E5944=5,F5944&lt;=2,G5944&gt;=3),"Berpotensi",IF(AND(E5944&lt;=3,E5944&gt;=2,F5944&gt;=3),"Rawan",IF(AND(E5944&lt;=2,F5944&lt;=2),"Tidur","Umum"))))))</f>
        <v/>
      </c>
    </row>
    <row r="5945">
      <c r="B5945">
        <f>IF(A5945="","",$B$1-MAXIFS(Donasi!$A$2:$A$20000,Donasi!$B$2:$B$20000,A5945))</f>
        <v/>
      </c>
      <c r="C5945">
        <f>IF(A5945="","",COUNTIF(Donasi!$B$2:$B$20000,A5945))</f>
        <v/>
      </c>
      <c r="D5945">
        <f>IF(A5945="","",SUMIF(Donasi!$B$2:$B$20000,A5945,Donasi!$C$2:$C$20000))</f>
        <v/>
      </c>
      <c r="E5945">
        <f>IF(A5945="","",6-CEILING(PERCENTRANK.INC($B$3:$B$6000,B5945,4)*5+0.000001,1))</f>
        <v/>
      </c>
      <c r="F5945">
        <f>IF(A5945="","",MAX(1,CEILING(PERCENTRANK.INC($C$3:$C$6000,C5945,4)*5+0.000001,1)))</f>
        <v/>
      </c>
      <c r="G5945">
        <f>IF(A5945="","",MAX(1,CEILING(PERCENTRANK.INC($D$3:$D$6000,D5945,4)*5+0.000001,1)))</f>
        <v/>
      </c>
      <c r="H5945">
        <f>IF(A5945="","",E5945&amp;F5945&amp;G5945)</f>
        <v/>
      </c>
      <c r="I5945">
        <f>IF(A5945="","",IF(AND(E5945&gt;=4,F5945&gt;=4,G5945&gt;=4),"Juara",IF(AND(F5945&gt;=4,E5945&gt;=3),"Setia",IF(AND(E5945=5,F5945&lt;=2,G5945&gt;=3),"Berpotensi",IF(AND(E5945&lt;=3,E5945&gt;=2,F5945&gt;=3),"Rawan",IF(AND(E5945&lt;=2,F5945&lt;=2),"Tidur","Umum"))))))</f>
        <v/>
      </c>
    </row>
    <row r="5946">
      <c r="B5946">
        <f>IF(A5946="","",$B$1-MAXIFS(Donasi!$A$2:$A$20000,Donasi!$B$2:$B$20000,A5946))</f>
        <v/>
      </c>
      <c r="C5946">
        <f>IF(A5946="","",COUNTIF(Donasi!$B$2:$B$20000,A5946))</f>
        <v/>
      </c>
      <c r="D5946">
        <f>IF(A5946="","",SUMIF(Donasi!$B$2:$B$20000,A5946,Donasi!$C$2:$C$20000))</f>
        <v/>
      </c>
      <c r="E5946">
        <f>IF(A5946="","",6-CEILING(PERCENTRANK.INC($B$3:$B$6000,B5946,4)*5+0.000001,1))</f>
        <v/>
      </c>
      <c r="F5946">
        <f>IF(A5946="","",MAX(1,CEILING(PERCENTRANK.INC($C$3:$C$6000,C5946,4)*5+0.000001,1)))</f>
        <v/>
      </c>
      <c r="G5946">
        <f>IF(A5946="","",MAX(1,CEILING(PERCENTRANK.INC($D$3:$D$6000,D5946,4)*5+0.000001,1)))</f>
        <v/>
      </c>
      <c r="H5946">
        <f>IF(A5946="","",E5946&amp;F5946&amp;G5946)</f>
        <v/>
      </c>
      <c r="I5946">
        <f>IF(A5946="","",IF(AND(E5946&gt;=4,F5946&gt;=4,G5946&gt;=4),"Juara",IF(AND(F5946&gt;=4,E5946&gt;=3),"Setia",IF(AND(E5946=5,F5946&lt;=2,G5946&gt;=3),"Berpotensi",IF(AND(E5946&lt;=3,E5946&gt;=2,F5946&gt;=3),"Rawan",IF(AND(E5946&lt;=2,F5946&lt;=2),"Tidur","Umum"))))))</f>
        <v/>
      </c>
    </row>
    <row r="5947">
      <c r="B5947">
        <f>IF(A5947="","",$B$1-MAXIFS(Donasi!$A$2:$A$20000,Donasi!$B$2:$B$20000,A5947))</f>
        <v/>
      </c>
      <c r="C5947">
        <f>IF(A5947="","",COUNTIF(Donasi!$B$2:$B$20000,A5947))</f>
        <v/>
      </c>
      <c r="D5947">
        <f>IF(A5947="","",SUMIF(Donasi!$B$2:$B$20000,A5947,Donasi!$C$2:$C$20000))</f>
        <v/>
      </c>
      <c r="E5947">
        <f>IF(A5947="","",6-CEILING(PERCENTRANK.INC($B$3:$B$6000,B5947,4)*5+0.000001,1))</f>
        <v/>
      </c>
      <c r="F5947">
        <f>IF(A5947="","",MAX(1,CEILING(PERCENTRANK.INC($C$3:$C$6000,C5947,4)*5+0.000001,1)))</f>
        <v/>
      </c>
      <c r="G5947">
        <f>IF(A5947="","",MAX(1,CEILING(PERCENTRANK.INC($D$3:$D$6000,D5947,4)*5+0.000001,1)))</f>
        <v/>
      </c>
      <c r="H5947">
        <f>IF(A5947="","",E5947&amp;F5947&amp;G5947)</f>
        <v/>
      </c>
      <c r="I5947">
        <f>IF(A5947="","",IF(AND(E5947&gt;=4,F5947&gt;=4,G5947&gt;=4),"Juara",IF(AND(F5947&gt;=4,E5947&gt;=3),"Setia",IF(AND(E5947=5,F5947&lt;=2,G5947&gt;=3),"Berpotensi",IF(AND(E5947&lt;=3,E5947&gt;=2,F5947&gt;=3),"Rawan",IF(AND(E5947&lt;=2,F5947&lt;=2),"Tidur","Umum"))))))</f>
        <v/>
      </c>
    </row>
    <row r="5948">
      <c r="B5948">
        <f>IF(A5948="","",$B$1-MAXIFS(Donasi!$A$2:$A$20000,Donasi!$B$2:$B$20000,A5948))</f>
        <v/>
      </c>
      <c r="C5948">
        <f>IF(A5948="","",COUNTIF(Donasi!$B$2:$B$20000,A5948))</f>
        <v/>
      </c>
      <c r="D5948">
        <f>IF(A5948="","",SUMIF(Donasi!$B$2:$B$20000,A5948,Donasi!$C$2:$C$20000))</f>
        <v/>
      </c>
      <c r="E5948">
        <f>IF(A5948="","",6-CEILING(PERCENTRANK.INC($B$3:$B$6000,B5948,4)*5+0.000001,1))</f>
        <v/>
      </c>
      <c r="F5948">
        <f>IF(A5948="","",MAX(1,CEILING(PERCENTRANK.INC($C$3:$C$6000,C5948,4)*5+0.000001,1)))</f>
        <v/>
      </c>
      <c r="G5948">
        <f>IF(A5948="","",MAX(1,CEILING(PERCENTRANK.INC($D$3:$D$6000,D5948,4)*5+0.000001,1)))</f>
        <v/>
      </c>
      <c r="H5948">
        <f>IF(A5948="","",E5948&amp;F5948&amp;G5948)</f>
        <v/>
      </c>
      <c r="I5948">
        <f>IF(A5948="","",IF(AND(E5948&gt;=4,F5948&gt;=4,G5948&gt;=4),"Juara",IF(AND(F5948&gt;=4,E5948&gt;=3),"Setia",IF(AND(E5948=5,F5948&lt;=2,G5948&gt;=3),"Berpotensi",IF(AND(E5948&lt;=3,E5948&gt;=2,F5948&gt;=3),"Rawan",IF(AND(E5948&lt;=2,F5948&lt;=2),"Tidur","Umum"))))))</f>
        <v/>
      </c>
    </row>
    <row r="5949">
      <c r="B5949">
        <f>IF(A5949="","",$B$1-MAXIFS(Donasi!$A$2:$A$20000,Donasi!$B$2:$B$20000,A5949))</f>
        <v/>
      </c>
      <c r="C5949">
        <f>IF(A5949="","",COUNTIF(Donasi!$B$2:$B$20000,A5949))</f>
        <v/>
      </c>
      <c r="D5949">
        <f>IF(A5949="","",SUMIF(Donasi!$B$2:$B$20000,A5949,Donasi!$C$2:$C$20000))</f>
        <v/>
      </c>
      <c r="E5949">
        <f>IF(A5949="","",6-CEILING(PERCENTRANK.INC($B$3:$B$6000,B5949,4)*5+0.000001,1))</f>
        <v/>
      </c>
      <c r="F5949">
        <f>IF(A5949="","",MAX(1,CEILING(PERCENTRANK.INC($C$3:$C$6000,C5949,4)*5+0.000001,1)))</f>
        <v/>
      </c>
      <c r="G5949">
        <f>IF(A5949="","",MAX(1,CEILING(PERCENTRANK.INC($D$3:$D$6000,D5949,4)*5+0.000001,1)))</f>
        <v/>
      </c>
      <c r="H5949">
        <f>IF(A5949="","",E5949&amp;F5949&amp;G5949)</f>
        <v/>
      </c>
      <c r="I5949">
        <f>IF(A5949="","",IF(AND(E5949&gt;=4,F5949&gt;=4,G5949&gt;=4),"Juara",IF(AND(F5949&gt;=4,E5949&gt;=3),"Setia",IF(AND(E5949=5,F5949&lt;=2,G5949&gt;=3),"Berpotensi",IF(AND(E5949&lt;=3,E5949&gt;=2,F5949&gt;=3),"Rawan",IF(AND(E5949&lt;=2,F5949&lt;=2),"Tidur","Umum"))))))</f>
        <v/>
      </c>
    </row>
    <row r="5950">
      <c r="B5950">
        <f>IF(A5950="","",$B$1-MAXIFS(Donasi!$A$2:$A$20000,Donasi!$B$2:$B$20000,A5950))</f>
        <v/>
      </c>
      <c r="C5950">
        <f>IF(A5950="","",COUNTIF(Donasi!$B$2:$B$20000,A5950))</f>
        <v/>
      </c>
      <c r="D5950">
        <f>IF(A5950="","",SUMIF(Donasi!$B$2:$B$20000,A5950,Donasi!$C$2:$C$20000))</f>
        <v/>
      </c>
      <c r="E5950">
        <f>IF(A5950="","",6-CEILING(PERCENTRANK.INC($B$3:$B$6000,B5950,4)*5+0.000001,1))</f>
        <v/>
      </c>
      <c r="F5950">
        <f>IF(A5950="","",MAX(1,CEILING(PERCENTRANK.INC($C$3:$C$6000,C5950,4)*5+0.000001,1)))</f>
        <v/>
      </c>
      <c r="G5950">
        <f>IF(A5950="","",MAX(1,CEILING(PERCENTRANK.INC($D$3:$D$6000,D5950,4)*5+0.000001,1)))</f>
        <v/>
      </c>
      <c r="H5950">
        <f>IF(A5950="","",E5950&amp;F5950&amp;G5950)</f>
        <v/>
      </c>
      <c r="I5950">
        <f>IF(A5950="","",IF(AND(E5950&gt;=4,F5950&gt;=4,G5950&gt;=4),"Juara",IF(AND(F5950&gt;=4,E5950&gt;=3),"Setia",IF(AND(E5950=5,F5950&lt;=2,G5950&gt;=3),"Berpotensi",IF(AND(E5950&lt;=3,E5950&gt;=2,F5950&gt;=3),"Rawan",IF(AND(E5950&lt;=2,F5950&lt;=2),"Tidur","Umum"))))))</f>
        <v/>
      </c>
    </row>
    <row r="5951">
      <c r="B5951">
        <f>IF(A5951="","",$B$1-MAXIFS(Donasi!$A$2:$A$20000,Donasi!$B$2:$B$20000,A5951))</f>
        <v/>
      </c>
      <c r="C5951">
        <f>IF(A5951="","",COUNTIF(Donasi!$B$2:$B$20000,A5951))</f>
        <v/>
      </c>
      <c r="D5951">
        <f>IF(A5951="","",SUMIF(Donasi!$B$2:$B$20000,A5951,Donasi!$C$2:$C$20000))</f>
        <v/>
      </c>
      <c r="E5951">
        <f>IF(A5951="","",6-CEILING(PERCENTRANK.INC($B$3:$B$6000,B5951,4)*5+0.000001,1))</f>
        <v/>
      </c>
      <c r="F5951">
        <f>IF(A5951="","",MAX(1,CEILING(PERCENTRANK.INC($C$3:$C$6000,C5951,4)*5+0.000001,1)))</f>
        <v/>
      </c>
      <c r="G5951">
        <f>IF(A5951="","",MAX(1,CEILING(PERCENTRANK.INC($D$3:$D$6000,D5951,4)*5+0.000001,1)))</f>
        <v/>
      </c>
      <c r="H5951">
        <f>IF(A5951="","",E5951&amp;F5951&amp;G5951)</f>
        <v/>
      </c>
      <c r="I5951">
        <f>IF(A5951="","",IF(AND(E5951&gt;=4,F5951&gt;=4,G5951&gt;=4),"Juara",IF(AND(F5951&gt;=4,E5951&gt;=3),"Setia",IF(AND(E5951=5,F5951&lt;=2,G5951&gt;=3),"Berpotensi",IF(AND(E5951&lt;=3,E5951&gt;=2,F5951&gt;=3),"Rawan",IF(AND(E5951&lt;=2,F5951&lt;=2),"Tidur","Umum"))))))</f>
        <v/>
      </c>
    </row>
    <row r="5952">
      <c r="B5952">
        <f>IF(A5952="","",$B$1-MAXIFS(Donasi!$A$2:$A$20000,Donasi!$B$2:$B$20000,A5952))</f>
        <v/>
      </c>
      <c r="C5952">
        <f>IF(A5952="","",COUNTIF(Donasi!$B$2:$B$20000,A5952))</f>
        <v/>
      </c>
      <c r="D5952">
        <f>IF(A5952="","",SUMIF(Donasi!$B$2:$B$20000,A5952,Donasi!$C$2:$C$20000))</f>
        <v/>
      </c>
      <c r="E5952">
        <f>IF(A5952="","",6-CEILING(PERCENTRANK.INC($B$3:$B$6000,B5952,4)*5+0.000001,1))</f>
        <v/>
      </c>
      <c r="F5952">
        <f>IF(A5952="","",MAX(1,CEILING(PERCENTRANK.INC($C$3:$C$6000,C5952,4)*5+0.000001,1)))</f>
        <v/>
      </c>
      <c r="G5952">
        <f>IF(A5952="","",MAX(1,CEILING(PERCENTRANK.INC($D$3:$D$6000,D5952,4)*5+0.000001,1)))</f>
        <v/>
      </c>
      <c r="H5952">
        <f>IF(A5952="","",E5952&amp;F5952&amp;G5952)</f>
        <v/>
      </c>
      <c r="I5952">
        <f>IF(A5952="","",IF(AND(E5952&gt;=4,F5952&gt;=4,G5952&gt;=4),"Juara",IF(AND(F5952&gt;=4,E5952&gt;=3),"Setia",IF(AND(E5952=5,F5952&lt;=2,G5952&gt;=3),"Berpotensi",IF(AND(E5952&lt;=3,E5952&gt;=2,F5952&gt;=3),"Rawan",IF(AND(E5952&lt;=2,F5952&lt;=2),"Tidur","Umum"))))))</f>
        <v/>
      </c>
    </row>
    <row r="5953">
      <c r="B5953">
        <f>IF(A5953="","",$B$1-MAXIFS(Donasi!$A$2:$A$20000,Donasi!$B$2:$B$20000,A5953))</f>
        <v/>
      </c>
      <c r="C5953">
        <f>IF(A5953="","",COUNTIF(Donasi!$B$2:$B$20000,A5953))</f>
        <v/>
      </c>
      <c r="D5953">
        <f>IF(A5953="","",SUMIF(Donasi!$B$2:$B$20000,A5953,Donasi!$C$2:$C$20000))</f>
        <v/>
      </c>
      <c r="E5953">
        <f>IF(A5953="","",6-CEILING(PERCENTRANK.INC($B$3:$B$6000,B5953,4)*5+0.000001,1))</f>
        <v/>
      </c>
      <c r="F5953">
        <f>IF(A5953="","",MAX(1,CEILING(PERCENTRANK.INC($C$3:$C$6000,C5953,4)*5+0.000001,1)))</f>
        <v/>
      </c>
      <c r="G5953">
        <f>IF(A5953="","",MAX(1,CEILING(PERCENTRANK.INC($D$3:$D$6000,D5953,4)*5+0.000001,1)))</f>
        <v/>
      </c>
      <c r="H5953">
        <f>IF(A5953="","",E5953&amp;F5953&amp;G5953)</f>
        <v/>
      </c>
      <c r="I5953">
        <f>IF(A5953="","",IF(AND(E5953&gt;=4,F5953&gt;=4,G5953&gt;=4),"Juara",IF(AND(F5953&gt;=4,E5953&gt;=3),"Setia",IF(AND(E5953=5,F5953&lt;=2,G5953&gt;=3),"Berpotensi",IF(AND(E5953&lt;=3,E5953&gt;=2,F5953&gt;=3),"Rawan",IF(AND(E5953&lt;=2,F5953&lt;=2),"Tidur","Umum"))))))</f>
        <v/>
      </c>
    </row>
    <row r="5954">
      <c r="B5954">
        <f>IF(A5954="","",$B$1-MAXIFS(Donasi!$A$2:$A$20000,Donasi!$B$2:$B$20000,A5954))</f>
        <v/>
      </c>
      <c r="C5954">
        <f>IF(A5954="","",COUNTIF(Donasi!$B$2:$B$20000,A5954))</f>
        <v/>
      </c>
      <c r="D5954">
        <f>IF(A5954="","",SUMIF(Donasi!$B$2:$B$20000,A5954,Donasi!$C$2:$C$20000))</f>
        <v/>
      </c>
      <c r="E5954">
        <f>IF(A5954="","",6-CEILING(PERCENTRANK.INC($B$3:$B$6000,B5954,4)*5+0.000001,1))</f>
        <v/>
      </c>
      <c r="F5954">
        <f>IF(A5954="","",MAX(1,CEILING(PERCENTRANK.INC($C$3:$C$6000,C5954,4)*5+0.000001,1)))</f>
        <v/>
      </c>
      <c r="G5954">
        <f>IF(A5954="","",MAX(1,CEILING(PERCENTRANK.INC($D$3:$D$6000,D5954,4)*5+0.000001,1)))</f>
        <v/>
      </c>
      <c r="H5954">
        <f>IF(A5954="","",E5954&amp;F5954&amp;G5954)</f>
        <v/>
      </c>
      <c r="I5954">
        <f>IF(A5954="","",IF(AND(E5954&gt;=4,F5954&gt;=4,G5954&gt;=4),"Juara",IF(AND(F5954&gt;=4,E5954&gt;=3),"Setia",IF(AND(E5954=5,F5954&lt;=2,G5954&gt;=3),"Berpotensi",IF(AND(E5954&lt;=3,E5954&gt;=2,F5954&gt;=3),"Rawan",IF(AND(E5954&lt;=2,F5954&lt;=2),"Tidur","Umum"))))))</f>
        <v/>
      </c>
    </row>
    <row r="5955">
      <c r="B5955">
        <f>IF(A5955="","",$B$1-MAXIFS(Donasi!$A$2:$A$20000,Donasi!$B$2:$B$20000,A5955))</f>
        <v/>
      </c>
      <c r="C5955">
        <f>IF(A5955="","",COUNTIF(Donasi!$B$2:$B$20000,A5955))</f>
        <v/>
      </c>
      <c r="D5955">
        <f>IF(A5955="","",SUMIF(Donasi!$B$2:$B$20000,A5955,Donasi!$C$2:$C$20000))</f>
        <v/>
      </c>
      <c r="E5955">
        <f>IF(A5955="","",6-CEILING(PERCENTRANK.INC($B$3:$B$6000,B5955,4)*5+0.000001,1))</f>
        <v/>
      </c>
      <c r="F5955">
        <f>IF(A5955="","",MAX(1,CEILING(PERCENTRANK.INC($C$3:$C$6000,C5955,4)*5+0.000001,1)))</f>
        <v/>
      </c>
      <c r="G5955">
        <f>IF(A5955="","",MAX(1,CEILING(PERCENTRANK.INC($D$3:$D$6000,D5955,4)*5+0.000001,1)))</f>
        <v/>
      </c>
      <c r="H5955">
        <f>IF(A5955="","",E5955&amp;F5955&amp;G5955)</f>
        <v/>
      </c>
      <c r="I5955">
        <f>IF(A5955="","",IF(AND(E5955&gt;=4,F5955&gt;=4,G5955&gt;=4),"Juara",IF(AND(F5955&gt;=4,E5955&gt;=3),"Setia",IF(AND(E5955=5,F5955&lt;=2,G5955&gt;=3),"Berpotensi",IF(AND(E5955&lt;=3,E5955&gt;=2,F5955&gt;=3),"Rawan",IF(AND(E5955&lt;=2,F5955&lt;=2),"Tidur","Umum"))))))</f>
        <v/>
      </c>
    </row>
    <row r="5956">
      <c r="B5956">
        <f>IF(A5956="","",$B$1-MAXIFS(Donasi!$A$2:$A$20000,Donasi!$B$2:$B$20000,A5956))</f>
        <v/>
      </c>
      <c r="C5956">
        <f>IF(A5956="","",COUNTIF(Donasi!$B$2:$B$20000,A5956))</f>
        <v/>
      </c>
      <c r="D5956">
        <f>IF(A5956="","",SUMIF(Donasi!$B$2:$B$20000,A5956,Donasi!$C$2:$C$20000))</f>
        <v/>
      </c>
      <c r="E5956">
        <f>IF(A5956="","",6-CEILING(PERCENTRANK.INC($B$3:$B$6000,B5956,4)*5+0.000001,1))</f>
        <v/>
      </c>
      <c r="F5956">
        <f>IF(A5956="","",MAX(1,CEILING(PERCENTRANK.INC($C$3:$C$6000,C5956,4)*5+0.000001,1)))</f>
        <v/>
      </c>
      <c r="G5956">
        <f>IF(A5956="","",MAX(1,CEILING(PERCENTRANK.INC($D$3:$D$6000,D5956,4)*5+0.000001,1)))</f>
        <v/>
      </c>
      <c r="H5956">
        <f>IF(A5956="","",E5956&amp;F5956&amp;G5956)</f>
        <v/>
      </c>
      <c r="I5956">
        <f>IF(A5956="","",IF(AND(E5956&gt;=4,F5956&gt;=4,G5956&gt;=4),"Juara",IF(AND(F5956&gt;=4,E5956&gt;=3),"Setia",IF(AND(E5956=5,F5956&lt;=2,G5956&gt;=3),"Berpotensi",IF(AND(E5956&lt;=3,E5956&gt;=2,F5956&gt;=3),"Rawan",IF(AND(E5956&lt;=2,F5956&lt;=2),"Tidur","Umum"))))))</f>
        <v/>
      </c>
    </row>
    <row r="5957">
      <c r="B5957">
        <f>IF(A5957="","",$B$1-MAXIFS(Donasi!$A$2:$A$20000,Donasi!$B$2:$B$20000,A5957))</f>
        <v/>
      </c>
      <c r="C5957">
        <f>IF(A5957="","",COUNTIF(Donasi!$B$2:$B$20000,A5957))</f>
        <v/>
      </c>
      <c r="D5957">
        <f>IF(A5957="","",SUMIF(Donasi!$B$2:$B$20000,A5957,Donasi!$C$2:$C$20000))</f>
        <v/>
      </c>
      <c r="E5957">
        <f>IF(A5957="","",6-CEILING(PERCENTRANK.INC($B$3:$B$6000,B5957,4)*5+0.000001,1))</f>
        <v/>
      </c>
      <c r="F5957">
        <f>IF(A5957="","",MAX(1,CEILING(PERCENTRANK.INC($C$3:$C$6000,C5957,4)*5+0.000001,1)))</f>
        <v/>
      </c>
      <c r="G5957">
        <f>IF(A5957="","",MAX(1,CEILING(PERCENTRANK.INC($D$3:$D$6000,D5957,4)*5+0.000001,1)))</f>
        <v/>
      </c>
      <c r="H5957">
        <f>IF(A5957="","",E5957&amp;F5957&amp;G5957)</f>
        <v/>
      </c>
      <c r="I5957">
        <f>IF(A5957="","",IF(AND(E5957&gt;=4,F5957&gt;=4,G5957&gt;=4),"Juara",IF(AND(F5957&gt;=4,E5957&gt;=3),"Setia",IF(AND(E5957=5,F5957&lt;=2,G5957&gt;=3),"Berpotensi",IF(AND(E5957&lt;=3,E5957&gt;=2,F5957&gt;=3),"Rawan",IF(AND(E5957&lt;=2,F5957&lt;=2),"Tidur","Umum"))))))</f>
        <v/>
      </c>
    </row>
    <row r="5958">
      <c r="B5958">
        <f>IF(A5958="","",$B$1-MAXIFS(Donasi!$A$2:$A$20000,Donasi!$B$2:$B$20000,A5958))</f>
        <v/>
      </c>
      <c r="C5958">
        <f>IF(A5958="","",COUNTIF(Donasi!$B$2:$B$20000,A5958))</f>
        <v/>
      </c>
      <c r="D5958">
        <f>IF(A5958="","",SUMIF(Donasi!$B$2:$B$20000,A5958,Donasi!$C$2:$C$20000))</f>
        <v/>
      </c>
      <c r="E5958">
        <f>IF(A5958="","",6-CEILING(PERCENTRANK.INC($B$3:$B$6000,B5958,4)*5+0.000001,1))</f>
        <v/>
      </c>
      <c r="F5958">
        <f>IF(A5958="","",MAX(1,CEILING(PERCENTRANK.INC($C$3:$C$6000,C5958,4)*5+0.000001,1)))</f>
        <v/>
      </c>
      <c r="G5958">
        <f>IF(A5958="","",MAX(1,CEILING(PERCENTRANK.INC($D$3:$D$6000,D5958,4)*5+0.000001,1)))</f>
        <v/>
      </c>
      <c r="H5958">
        <f>IF(A5958="","",E5958&amp;F5958&amp;G5958)</f>
        <v/>
      </c>
      <c r="I5958">
        <f>IF(A5958="","",IF(AND(E5958&gt;=4,F5958&gt;=4,G5958&gt;=4),"Juara",IF(AND(F5958&gt;=4,E5958&gt;=3),"Setia",IF(AND(E5958=5,F5958&lt;=2,G5958&gt;=3),"Berpotensi",IF(AND(E5958&lt;=3,E5958&gt;=2,F5958&gt;=3),"Rawan",IF(AND(E5958&lt;=2,F5958&lt;=2),"Tidur","Umum"))))))</f>
        <v/>
      </c>
    </row>
    <row r="5959">
      <c r="B5959">
        <f>IF(A5959="","",$B$1-MAXIFS(Donasi!$A$2:$A$20000,Donasi!$B$2:$B$20000,A5959))</f>
        <v/>
      </c>
      <c r="C5959">
        <f>IF(A5959="","",COUNTIF(Donasi!$B$2:$B$20000,A5959))</f>
        <v/>
      </c>
      <c r="D5959">
        <f>IF(A5959="","",SUMIF(Donasi!$B$2:$B$20000,A5959,Donasi!$C$2:$C$20000))</f>
        <v/>
      </c>
      <c r="E5959">
        <f>IF(A5959="","",6-CEILING(PERCENTRANK.INC($B$3:$B$6000,B5959,4)*5+0.000001,1))</f>
        <v/>
      </c>
      <c r="F5959">
        <f>IF(A5959="","",MAX(1,CEILING(PERCENTRANK.INC($C$3:$C$6000,C5959,4)*5+0.000001,1)))</f>
        <v/>
      </c>
      <c r="G5959">
        <f>IF(A5959="","",MAX(1,CEILING(PERCENTRANK.INC($D$3:$D$6000,D5959,4)*5+0.000001,1)))</f>
        <v/>
      </c>
      <c r="H5959">
        <f>IF(A5959="","",E5959&amp;F5959&amp;G5959)</f>
        <v/>
      </c>
      <c r="I5959">
        <f>IF(A5959="","",IF(AND(E5959&gt;=4,F5959&gt;=4,G5959&gt;=4),"Juara",IF(AND(F5959&gt;=4,E5959&gt;=3),"Setia",IF(AND(E5959=5,F5959&lt;=2,G5959&gt;=3),"Berpotensi",IF(AND(E5959&lt;=3,E5959&gt;=2,F5959&gt;=3),"Rawan",IF(AND(E5959&lt;=2,F5959&lt;=2),"Tidur","Umum"))))))</f>
        <v/>
      </c>
    </row>
    <row r="5960">
      <c r="B5960">
        <f>IF(A5960="","",$B$1-MAXIFS(Donasi!$A$2:$A$20000,Donasi!$B$2:$B$20000,A5960))</f>
        <v/>
      </c>
      <c r="C5960">
        <f>IF(A5960="","",COUNTIF(Donasi!$B$2:$B$20000,A5960))</f>
        <v/>
      </c>
      <c r="D5960">
        <f>IF(A5960="","",SUMIF(Donasi!$B$2:$B$20000,A5960,Donasi!$C$2:$C$20000))</f>
        <v/>
      </c>
      <c r="E5960">
        <f>IF(A5960="","",6-CEILING(PERCENTRANK.INC($B$3:$B$6000,B5960,4)*5+0.000001,1))</f>
        <v/>
      </c>
      <c r="F5960">
        <f>IF(A5960="","",MAX(1,CEILING(PERCENTRANK.INC($C$3:$C$6000,C5960,4)*5+0.000001,1)))</f>
        <v/>
      </c>
      <c r="G5960">
        <f>IF(A5960="","",MAX(1,CEILING(PERCENTRANK.INC($D$3:$D$6000,D5960,4)*5+0.000001,1)))</f>
        <v/>
      </c>
      <c r="H5960">
        <f>IF(A5960="","",E5960&amp;F5960&amp;G5960)</f>
        <v/>
      </c>
      <c r="I5960">
        <f>IF(A5960="","",IF(AND(E5960&gt;=4,F5960&gt;=4,G5960&gt;=4),"Juara",IF(AND(F5960&gt;=4,E5960&gt;=3),"Setia",IF(AND(E5960=5,F5960&lt;=2,G5960&gt;=3),"Berpotensi",IF(AND(E5960&lt;=3,E5960&gt;=2,F5960&gt;=3),"Rawan",IF(AND(E5960&lt;=2,F5960&lt;=2),"Tidur","Umum"))))))</f>
        <v/>
      </c>
    </row>
    <row r="5961">
      <c r="B5961">
        <f>IF(A5961="","",$B$1-MAXIFS(Donasi!$A$2:$A$20000,Donasi!$B$2:$B$20000,A5961))</f>
        <v/>
      </c>
      <c r="C5961">
        <f>IF(A5961="","",COUNTIF(Donasi!$B$2:$B$20000,A5961))</f>
        <v/>
      </c>
      <c r="D5961">
        <f>IF(A5961="","",SUMIF(Donasi!$B$2:$B$20000,A5961,Donasi!$C$2:$C$20000))</f>
        <v/>
      </c>
      <c r="E5961">
        <f>IF(A5961="","",6-CEILING(PERCENTRANK.INC($B$3:$B$6000,B5961,4)*5+0.000001,1))</f>
        <v/>
      </c>
      <c r="F5961">
        <f>IF(A5961="","",MAX(1,CEILING(PERCENTRANK.INC($C$3:$C$6000,C5961,4)*5+0.000001,1)))</f>
        <v/>
      </c>
      <c r="G5961">
        <f>IF(A5961="","",MAX(1,CEILING(PERCENTRANK.INC($D$3:$D$6000,D5961,4)*5+0.000001,1)))</f>
        <v/>
      </c>
      <c r="H5961">
        <f>IF(A5961="","",E5961&amp;F5961&amp;G5961)</f>
        <v/>
      </c>
      <c r="I5961">
        <f>IF(A5961="","",IF(AND(E5961&gt;=4,F5961&gt;=4,G5961&gt;=4),"Juara",IF(AND(F5961&gt;=4,E5961&gt;=3),"Setia",IF(AND(E5961=5,F5961&lt;=2,G5961&gt;=3),"Berpotensi",IF(AND(E5961&lt;=3,E5961&gt;=2,F5961&gt;=3),"Rawan",IF(AND(E5961&lt;=2,F5961&lt;=2),"Tidur","Umum"))))))</f>
        <v/>
      </c>
    </row>
    <row r="5962">
      <c r="B5962">
        <f>IF(A5962="","",$B$1-MAXIFS(Donasi!$A$2:$A$20000,Donasi!$B$2:$B$20000,A5962))</f>
        <v/>
      </c>
      <c r="C5962">
        <f>IF(A5962="","",COUNTIF(Donasi!$B$2:$B$20000,A5962))</f>
        <v/>
      </c>
      <c r="D5962">
        <f>IF(A5962="","",SUMIF(Donasi!$B$2:$B$20000,A5962,Donasi!$C$2:$C$20000))</f>
        <v/>
      </c>
      <c r="E5962">
        <f>IF(A5962="","",6-CEILING(PERCENTRANK.INC($B$3:$B$6000,B5962,4)*5+0.000001,1))</f>
        <v/>
      </c>
      <c r="F5962">
        <f>IF(A5962="","",MAX(1,CEILING(PERCENTRANK.INC($C$3:$C$6000,C5962,4)*5+0.000001,1)))</f>
        <v/>
      </c>
      <c r="G5962">
        <f>IF(A5962="","",MAX(1,CEILING(PERCENTRANK.INC($D$3:$D$6000,D5962,4)*5+0.000001,1)))</f>
        <v/>
      </c>
      <c r="H5962">
        <f>IF(A5962="","",E5962&amp;F5962&amp;G5962)</f>
        <v/>
      </c>
      <c r="I5962">
        <f>IF(A5962="","",IF(AND(E5962&gt;=4,F5962&gt;=4,G5962&gt;=4),"Juara",IF(AND(F5962&gt;=4,E5962&gt;=3),"Setia",IF(AND(E5962=5,F5962&lt;=2,G5962&gt;=3),"Berpotensi",IF(AND(E5962&lt;=3,E5962&gt;=2,F5962&gt;=3),"Rawan",IF(AND(E5962&lt;=2,F5962&lt;=2),"Tidur","Umum"))))))</f>
        <v/>
      </c>
    </row>
    <row r="5963">
      <c r="B5963">
        <f>IF(A5963="","",$B$1-MAXIFS(Donasi!$A$2:$A$20000,Donasi!$B$2:$B$20000,A5963))</f>
        <v/>
      </c>
      <c r="C5963">
        <f>IF(A5963="","",COUNTIF(Donasi!$B$2:$B$20000,A5963))</f>
        <v/>
      </c>
      <c r="D5963">
        <f>IF(A5963="","",SUMIF(Donasi!$B$2:$B$20000,A5963,Donasi!$C$2:$C$20000))</f>
        <v/>
      </c>
      <c r="E5963">
        <f>IF(A5963="","",6-CEILING(PERCENTRANK.INC($B$3:$B$6000,B5963,4)*5+0.000001,1))</f>
        <v/>
      </c>
      <c r="F5963">
        <f>IF(A5963="","",MAX(1,CEILING(PERCENTRANK.INC($C$3:$C$6000,C5963,4)*5+0.000001,1)))</f>
        <v/>
      </c>
      <c r="G5963">
        <f>IF(A5963="","",MAX(1,CEILING(PERCENTRANK.INC($D$3:$D$6000,D5963,4)*5+0.000001,1)))</f>
        <v/>
      </c>
      <c r="H5963">
        <f>IF(A5963="","",E5963&amp;F5963&amp;G5963)</f>
        <v/>
      </c>
      <c r="I5963">
        <f>IF(A5963="","",IF(AND(E5963&gt;=4,F5963&gt;=4,G5963&gt;=4),"Juara",IF(AND(F5963&gt;=4,E5963&gt;=3),"Setia",IF(AND(E5963=5,F5963&lt;=2,G5963&gt;=3),"Berpotensi",IF(AND(E5963&lt;=3,E5963&gt;=2,F5963&gt;=3),"Rawan",IF(AND(E5963&lt;=2,F5963&lt;=2),"Tidur","Umum"))))))</f>
        <v/>
      </c>
    </row>
    <row r="5964">
      <c r="B5964">
        <f>IF(A5964="","",$B$1-MAXIFS(Donasi!$A$2:$A$20000,Donasi!$B$2:$B$20000,A5964))</f>
        <v/>
      </c>
      <c r="C5964">
        <f>IF(A5964="","",COUNTIF(Donasi!$B$2:$B$20000,A5964))</f>
        <v/>
      </c>
      <c r="D5964">
        <f>IF(A5964="","",SUMIF(Donasi!$B$2:$B$20000,A5964,Donasi!$C$2:$C$20000))</f>
        <v/>
      </c>
      <c r="E5964">
        <f>IF(A5964="","",6-CEILING(PERCENTRANK.INC($B$3:$B$6000,B5964,4)*5+0.000001,1))</f>
        <v/>
      </c>
      <c r="F5964">
        <f>IF(A5964="","",MAX(1,CEILING(PERCENTRANK.INC($C$3:$C$6000,C5964,4)*5+0.000001,1)))</f>
        <v/>
      </c>
      <c r="G5964">
        <f>IF(A5964="","",MAX(1,CEILING(PERCENTRANK.INC($D$3:$D$6000,D5964,4)*5+0.000001,1)))</f>
        <v/>
      </c>
      <c r="H5964">
        <f>IF(A5964="","",E5964&amp;F5964&amp;G5964)</f>
        <v/>
      </c>
      <c r="I5964">
        <f>IF(A5964="","",IF(AND(E5964&gt;=4,F5964&gt;=4,G5964&gt;=4),"Juara",IF(AND(F5964&gt;=4,E5964&gt;=3),"Setia",IF(AND(E5964=5,F5964&lt;=2,G5964&gt;=3),"Berpotensi",IF(AND(E5964&lt;=3,E5964&gt;=2,F5964&gt;=3),"Rawan",IF(AND(E5964&lt;=2,F5964&lt;=2),"Tidur","Umum"))))))</f>
        <v/>
      </c>
    </row>
    <row r="5965">
      <c r="B5965">
        <f>IF(A5965="","",$B$1-MAXIFS(Donasi!$A$2:$A$20000,Donasi!$B$2:$B$20000,A5965))</f>
        <v/>
      </c>
      <c r="C5965">
        <f>IF(A5965="","",COUNTIF(Donasi!$B$2:$B$20000,A5965))</f>
        <v/>
      </c>
      <c r="D5965">
        <f>IF(A5965="","",SUMIF(Donasi!$B$2:$B$20000,A5965,Donasi!$C$2:$C$20000))</f>
        <v/>
      </c>
      <c r="E5965">
        <f>IF(A5965="","",6-CEILING(PERCENTRANK.INC($B$3:$B$6000,B5965,4)*5+0.000001,1))</f>
        <v/>
      </c>
      <c r="F5965">
        <f>IF(A5965="","",MAX(1,CEILING(PERCENTRANK.INC($C$3:$C$6000,C5965,4)*5+0.000001,1)))</f>
        <v/>
      </c>
      <c r="G5965">
        <f>IF(A5965="","",MAX(1,CEILING(PERCENTRANK.INC($D$3:$D$6000,D5965,4)*5+0.000001,1)))</f>
        <v/>
      </c>
      <c r="H5965">
        <f>IF(A5965="","",E5965&amp;F5965&amp;G5965)</f>
        <v/>
      </c>
      <c r="I5965">
        <f>IF(A5965="","",IF(AND(E5965&gt;=4,F5965&gt;=4,G5965&gt;=4),"Juara",IF(AND(F5965&gt;=4,E5965&gt;=3),"Setia",IF(AND(E5965=5,F5965&lt;=2,G5965&gt;=3),"Berpotensi",IF(AND(E5965&lt;=3,E5965&gt;=2,F5965&gt;=3),"Rawan",IF(AND(E5965&lt;=2,F5965&lt;=2),"Tidur","Umum"))))))</f>
        <v/>
      </c>
    </row>
    <row r="5966">
      <c r="B5966">
        <f>IF(A5966="","",$B$1-MAXIFS(Donasi!$A$2:$A$20000,Donasi!$B$2:$B$20000,A5966))</f>
        <v/>
      </c>
      <c r="C5966">
        <f>IF(A5966="","",COUNTIF(Donasi!$B$2:$B$20000,A5966))</f>
        <v/>
      </c>
      <c r="D5966">
        <f>IF(A5966="","",SUMIF(Donasi!$B$2:$B$20000,A5966,Donasi!$C$2:$C$20000))</f>
        <v/>
      </c>
      <c r="E5966">
        <f>IF(A5966="","",6-CEILING(PERCENTRANK.INC($B$3:$B$6000,B5966,4)*5+0.000001,1))</f>
        <v/>
      </c>
      <c r="F5966">
        <f>IF(A5966="","",MAX(1,CEILING(PERCENTRANK.INC($C$3:$C$6000,C5966,4)*5+0.000001,1)))</f>
        <v/>
      </c>
      <c r="G5966">
        <f>IF(A5966="","",MAX(1,CEILING(PERCENTRANK.INC($D$3:$D$6000,D5966,4)*5+0.000001,1)))</f>
        <v/>
      </c>
      <c r="H5966">
        <f>IF(A5966="","",E5966&amp;F5966&amp;G5966)</f>
        <v/>
      </c>
      <c r="I5966">
        <f>IF(A5966="","",IF(AND(E5966&gt;=4,F5966&gt;=4,G5966&gt;=4),"Juara",IF(AND(F5966&gt;=4,E5966&gt;=3),"Setia",IF(AND(E5966=5,F5966&lt;=2,G5966&gt;=3),"Berpotensi",IF(AND(E5966&lt;=3,E5966&gt;=2,F5966&gt;=3),"Rawan",IF(AND(E5966&lt;=2,F5966&lt;=2),"Tidur","Umum"))))))</f>
        <v/>
      </c>
    </row>
    <row r="5967">
      <c r="B5967">
        <f>IF(A5967="","",$B$1-MAXIFS(Donasi!$A$2:$A$20000,Donasi!$B$2:$B$20000,A5967))</f>
        <v/>
      </c>
      <c r="C5967">
        <f>IF(A5967="","",COUNTIF(Donasi!$B$2:$B$20000,A5967))</f>
        <v/>
      </c>
      <c r="D5967">
        <f>IF(A5967="","",SUMIF(Donasi!$B$2:$B$20000,A5967,Donasi!$C$2:$C$20000))</f>
        <v/>
      </c>
      <c r="E5967">
        <f>IF(A5967="","",6-CEILING(PERCENTRANK.INC($B$3:$B$6000,B5967,4)*5+0.000001,1))</f>
        <v/>
      </c>
      <c r="F5967">
        <f>IF(A5967="","",MAX(1,CEILING(PERCENTRANK.INC($C$3:$C$6000,C5967,4)*5+0.000001,1)))</f>
        <v/>
      </c>
      <c r="G5967">
        <f>IF(A5967="","",MAX(1,CEILING(PERCENTRANK.INC($D$3:$D$6000,D5967,4)*5+0.000001,1)))</f>
        <v/>
      </c>
      <c r="H5967">
        <f>IF(A5967="","",E5967&amp;F5967&amp;G5967)</f>
        <v/>
      </c>
      <c r="I5967">
        <f>IF(A5967="","",IF(AND(E5967&gt;=4,F5967&gt;=4,G5967&gt;=4),"Juara",IF(AND(F5967&gt;=4,E5967&gt;=3),"Setia",IF(AND(E5967=5,F5967&lt;=2,G5967&gt;=3),"Berpotensi",IF(AND(E5967&lt;=3,E5967&gt;=2,F5967&gt;=3),"Rawan",IF(AND(E5967&lt;=2,F5967&lt;=2),"Tidur","Umum"))))))</f>
        <v/>
      </c>
    </row>
    <row r="5968">
      <c r="B5968">
        <f>IF(A5968="","",$B$1-MAXIFS(Donasi!$A$2:$A$20000,Donasi!$B$2:$B$20000,A5968))</f>
        <v/>
      </c>
      <c r="C5968">
        <f>IF(A5968="","",COUNTIF(Donasi!$B$2:$B$20000,A5968))</f>
        <v/>
      </c>
      <c r="D5968">
        <f>IF(A5968="","",SUMIF(Donasi!$B$2:$B$20000,A5968,Donasi!$C$2:$C$20000))</f>
        <v/>
      </c>
      <c r="E5968">
        <f>IF(A5968="","",6-CEILING(PERCENTRANK.INC($B$3:$B$6000,B5968,4)*5+0.000001,1))</f>
        <v/>
      </c>
      <c r="F5968">
        <f>IF(A5968="","",MAX(1,CEILING(PERCENTRANK.INC($C$3:$C$6000,C5968,4)*5+0.000001,1)))</f>
        <v/>
      </c>
      <c r="G5968">
        <f>IF(A5968="","",MAX(1,CEILING(PERCENTRANK.INC($D$3:$D$6000,D5968,4)*5+0.000001,1)))</f>
        <v/>
      </c>
      <c r="H5968">
        <f>IF(A5968="","",E5968&amp;F5968&amp;G5968)</f>
        <v/>
      </c>
      <c r="I5968">
        <f>IF(A5968="","",IF(AND(E5968&gt;=4,F5968&gt;=4,G5968&gt;=4),"Juara",IF(AND(F5968&gt;=4,E5968&gt;=3),"Setia",IF(AND(E5968=5,F5968&lt;=2,G5968&gt;=3),"Berpotensi",IF(AND(E5968&lt;=3,E5968&gt;=2,F5968&gt;=3),"Rawan",IF(AND(E5968&lt;=2,F5968&lt;=2),"Tidur","Umum"))))))</f>
        <v/>
      </c>
    </row>
    <row r="5969">
      <c r="B5969">
        <f>IF(A5969="","",$B$1-MAXIFS(Donasi!$A$2:$A$20000,Donasi!$B$2:$B$20000,A5969))</f>
        <v/>
      </c>
      <c r="C5969">
        <f>IF(A5969="","",COUNTIF(Donasi!$B$2:$B$20000,A5969))</f>
        <v/>
      </c>
      <c r="D5969">
        <f>IF(A5969="","",SUMIF(Donasi!$B$2:$B$20000,A5969,Donasi!$C$2:$C$20000))</f>
        <v/>
      </c>
      <c r="E5969">
        <f>IF(A5969="","",6-CEILING(PERCENTRANK.INC($B$3:$B$6000,B5969,4)*5+0.000001,1))</f>
        <v/>
      </c>
      <c r="F5969">
        <f>IF(A5969="","",MAX(1,CEILING(PERCENTRANK.INC($C$3:$C$6000,C5969,4)*5+0.000001,1)))</f>
        <v/>
      </c>
      <c r="G5969">
        <f>IF(A5969="","",MAX(1,CEILING(PERCENTRANK.INC($D$3:$D$6000,D5969,4)*5+0.000001,1)))</f>
        <v/>
      </c>
      <c r="H5969">
        <f>IF(A5969="","",E5969&amp;F5969&amp;G5969)</f>
        <v/>
      </c>
      <c r="I5969">
        <f>IF(A5969="","",IF(AND(E5969&gt;=4,F5969&gt;=4,G5969&gt;=4),"Juara",IF(AND(F5969&gt;=4,E5969&gt;=3),"Setia",IF(AND(E5969=5,F5969&lt;=2,G5969&gt;=3),"Berpotensi",IF(AND(E5969&lt;=3,E5969&gt;=2,F5969&gt;=3),"Rawan",IF(AND(E5969&lt;=2,F5969&lt;=2),"Tidur","Umum"))))))</f>
        <v/>
      </c>
    </row>
    <row r="5970">
      <c r="B5970">
        <f>IF(A5970="","",$B$1-MAXIFS(Donasi!$A$2:$A$20000,Donasi!$B$2:$B$20000,A5970))</f>
        <v/>
      </c>
      <c r="C5970">
        <f>IF(A5970="","",COUNTIF(Donasi!$B$2:$B$20000,A5970))</f>
        <v/>
      </c>
      <c r="D5970">
        <f>IF(A5970="","",SUMIF(Donasi!$B$2:$B$20000,A5970,Donasi!$C$2:$C$20000))</f>
        <v/>
      </c>
      <c r="E5970">
        <f>IF(A5970="","",6-CEILING(PERCENTRANK.INC($B$3:$B$6000,B5970,4)*5+0.000001,1))</f>
        <v/>
      </c>
      <c r="F5970">
        <f>IF(A5970="","",MAX(1,CEILING(PERCENTRANK.INC($C$3:$C$6000,C5970,4)*5+0.000001,1)))</f>
        <v/>
      </c>
      <c r="G5970">
        <f>IF(A5970="","",MAX(1,CEILING(PERCENTRANK.INC($D$3:$D$6000,D5970,4)*5+0.000001,1)))</f>
        <v/>
      </c>
      <c r="H5970">
        <f>IF(A5970="","",E5970&amp;F5970&amp;G5970)</f>
        <v/>
      </c>
      <c r="I5970">
        <f>IF(A5970="","",IF(AND(E5970&gt;=4,F5970&gt;=4,G5970&gt;=4),"Juara",IF(AND(F5970&gt;=4,E5970&gt;=3),"Setia",IF(AND(E5970=5,F5970&lt;=2,G5970&gt;=3),"Berpotensi",IF(AND(E5970&lt;=3,E5970&gt;=2,F5970&gt;=3),"Rawan",IF(AND(E5970&lt;=2,F5970&lt;=2),"Tidur","Umum"))))))</f>
        <v/>
      </c>
    </row>
    <row r="5971">
      <c r="B5971">
        <f>IF(A5971="","",$B$1-MAXIFS(Donasi!$A$2:$A$20000,Donasi!$B$2:$B$20000,A5971))</f>
        <v/>
      </c>
      <c r="C5971">
        <f>IF(A5971="","",COUNTIF(Donasi!$B$2:$B$20000,A5971))</f>
        <v/>
      </c>
      <c r="D5971">
        <f>IF(A5971="","",SUMIF(Donasi!$B$2:$B$20000,A5971,Donasi!$C$2:$C$20000))</f>
        <v/>
      </c>
      <c r="E5971">
        <f>IF(A5971="","",6-CEILING(PERCENTRANK.INC($B$3:$B$6000,B5971,4)*5+0.000001,1))</f>
        <v/>
      </c>
      <c r="F5971">
        <f>IF(A5971="","",MAX(1,CEILING(PERCENTRANK.INC($C$3:$C$6000,C5971,4)*5+0.000001,1)))</f>
        <v/>
      </c>
      <c r="G5971">
        <f>IF(A5971="","",MAX(1,CEILING(PERCENTRANK.INC($D$3:$D$6000,D5971,4)*5+0.000001,1)))</f>
        <v/>
      </c>
      <c r="H5971">
        <f>IF(A5971="","",E5971&amp;F5971&amp;G5971)</f>
        <v/>
      </c>
      <c r="I5971">
        <f>IF(A5971="","",IF(AND(E5971&gt;=4,F5971&gt;=4,G5971&gt;=4),"Juara",IF(AND(F5971&gt;=4,E5971&gt;=3),"Setia",IF(AND(E5971=5,F5971&lt;=2,G5971&gt;=3),"Berpotensi",IF(AND(E5971&lt;=3,E5971&gt;=2,F5971&gt;=3),"Rawan",IF(AND(E5971&lt;=2,F5971&lt;=2),"Tidur","Umum"))))))</f>
        <v/>
      </c>
    </row>
    <row r="5972">
      <c r="B5972">
        <f>IF(A5972="","",$B$1-MAXIFS(Donasi!$A$2:$A$20000,Donasi!$B$2:$B$20000,A5972))</f>
        <v/>
      </c>
      <c r="C5972">
        <f>IF(A5972="","",COUNTIF(Donasi!$B$2:$B$20000,A5972))</f>
        <v/>
      </c>
      <c r="D5972">
        <f>IF(A5972="","",SUMIF(Donasi!$B$2:$B$20000,A5972,Donasi!$C$2:$C$20000))</f>
        <v/>
      </c>
      <c r="E5972">
        <f>IF(A5972="","",6-CEILING(PERCENTRANK.INC($B$3:$B$6000,B5972,4)*5+0.000001,1))</f>
        <v/>
      </c>
      <c r="F5972">
        <f>IF(A5972="","",MAX(1,CEILING(PERCENTRANK.INC($C$3:$C$6000,C5972,4)*5+0.000001,1)))</f>
        <v/>
      </c>
      <c r="G5972">
        <f>IF(A5972="","",MAX(1,CEILING(PERCENTRANK.INC($D$3:$D$6000,D5972,4)*5+0.000001,1)))</f>
        <v/>
      </c>
      <c r="H5972">
        <f>IF(A5972="","",E5972&amp;F5972&amp;G5972)</f>
        <v/>
      </c>
      <c r="I5972">
        <f>IF(A5972="","",IF(AND(E5972&gt;=4,F5972&gt;=4,G5972&gt;=4),"Juara",IF(AND(F5972&gt;=4,E5972&gt;=3),"Setia",IF(AND(E5972=5,F5972&lt;=2,G5972&gt;=3),"Berpotensi",IF(AND(E5972&lt;=3,E5972&gt;=2,F5972&gt;=3),"Rawan",IF(AND(E5972&lt;=2,F5972&lt;=2),"Tidur","Umum"))))))</f>
        <v/>
      </c>
    </row>
    <row r="5973">
      <c r="B5973">
        <f>IF(A5973="","",$B$1-MAXIFS(Donasi!$A$2:$A$20000,Donasi!$B$2:$B$20000,A5973))</f>
        <v/>
      </c>
      <c r="C5973">
        <f>IF(A5973="","",COUNTIF(Donasi!$B$2:$B$20000,A5973))</f>
        <v/>
      </c>
      <c r="D5973">
        <f>IF(A5973="","",SUMIF(Donasi!$B$2:$B$20000,A5973,Donasi!$C$2:$C$20000))</f>
        <v/>
      </c>
      <c r="E5973">
        <f>IF(A5973="","",6-CEILING(PERCENTRANK.INC($B$3:$B$6000,B5973,4)*5+0.000001,1))</f>
        <v/>
      </c>
      <c r="F5973">
        <f>IF(A5973="","",MAX(1,CEILING(PERCENTRANK.INC($C$3:$C$6000,C5973,4)*5+0.000001,1)))</f>
        <v/>
      </c>
      <c r="G5973">
        <f>IF(A5973="","",MAX(1,CEILING(PERCENTRANK.INC($D$3:$D$6000,D5973,4)*5+0.000001,1)))</f>
        <v/>
      </c>
      <c r="H5973">
        <f>IF(A5973="","",E5973&amp;F5973&amp;G5973)</f>
        <v/>
      </c>
      <c r="I5973">
        <f>IF(A5973="","",IF(AND(E5973&gt;=4,F5973&gt;=4,G5973&gt;=4),"Juara",IF(AND(F5973&gt;=4,E5973&gt;=3),"Setia",IF(AND(E5973=5,F5973&lt;=2,G5973&gt;=3),"Berpotensi",IF(AND(E5973&lt;=3,E5973&gt;=2,F5973&gt;=3),"Rawan",IF(AND(E5973&lt;=2,F5973&lt;=2),"Tidur","Umum"))))))</f>
        <v/>
      </c>
    </row>
    <row r="5974">
      <c r="B5974">
        <f>IF(A5974="","",$B$1-MAXIFS(Donasi!$A$2:$A$20000,Donasi!$B$2:$B$20000,A5974))</f>
        <v/>
      </c>
      <c r="C5974">
        <f>IF(A5974="","",COUNTIF(Donasi!$B$2:$B$20000,A5974))</f>
        <v/>
      </c>
      <c r="D5974">
        <f>IF(A5974="","",SUMIF(Donasi!$B$2:$B$20000,A5974,Donasi!$C$2:$C$20000))</f>
        <v/>
      </c>
      <c r="E5974">
        <f>IF(A5974="","",6-CEILING(PERCENTRANK.INC($B$3:$B$6000,B5974,4)*5+0.000001,1))</f>
        <v/>
      </c>
      <c r="F5974">
        <f>IF(A5974="","",MAX(1,CEILING(PERCENTRANK.INC($C$3:$C$6000,C5974,4)*5+0.000001,1)))</f>
        <v/>
      </c>
      <c r="G5974">
        <f>IF(A5974="","",MAX(1,CEILING(PERCENTRANK.INC($D$3:$D$6000,D5974,4)*5+0.000001,1)))</f>
        <v/>
      </c>
      <c r="H5974">
        <f>IF(A5974="","",E5974&amp;F5974&amp;G5974)</f>
        <v/>
      </c>
      <c r="I5974">
        <f>IF(A5974="","",IF(AND(E5974&gt;=4,F5974&gt;=4,G5974&gt;=4),"Juara",IF(AND(F5974&gt;=4,E5974&gt;=3),"Setia",IF(AND(E5974=5,F5974&lt;=2,G5974&gt;=3),"Berpotensi",IF(AND(E5974&lt;=3,E5974&gt;=2,F5974&gt;=3),"Rawan",IF(AND(E5974&lt;=2,F5974&lt;=2),"Tidur","Umum"))))))</f>
        <v/>
      </c>
    </row>
    <row r="5975">
      <c r="B5975">
        <f>IF(A5975="","",$B$1-MAXIFS(Donasi!$A$2:$A$20000,Donasi!$B$2:$B$20000,A5975))</f>
        <v/>
      </c>
      <c r="C5975">
        <f>IF(A5975="","",COUNTIF(Donasi!$B$2:$B$20000,A5975))</f>
        <v/>
      </c>
      <c r="D5975">
        <f>IF(A5975="","",SUMIF(Donasi!$B$2:$B$20000,A5975,Donasi!$C$2:$C$20000))</f>
        <v/>
      </c>
      <c r="E5975">
        <f>IF(A5975="","",6-CEILING(PERCENTRANK.INC($B$3:$B$6000,B5975,4)*5+0.000001,1))</f>
        <v/>
      </c>
      <c r="F5975">
        <f>IF(A5975="","",MAX(1,CEILING(PERCENTRANK.INC($C$3:$C$6000,C5975,4)*5+0.000001,1)))</f>
        <v/>
      </c>
      <c r="G5975">
        <f>IF(A5975="","",MAX(1,CEILING(PERCENTRANK.INC($D$3:$D$6000,D5975,4)*5+0.000001,1)))</f>
        <v/>
      </c>
      <c r="H5975">
        <f>IF(A5975="","",E5975&amp;F5975&amp;G5975)</f>
        <v/>
      </c>
      <c r="I5975">
        <f>IF(A5975="","",IF(AND(E5975&gt;=4,F5975&gt;=4,G5975&gt;=4),"Juara",IF(AND(F5975&gt;=4,E5975&gt;=3),"Setia",IF(AND(E5975=5,F5975&lt;=2,G5975&gt;=3),"Berpotensi",IF(AND(E5975&lt;=3,E5975&gt;=2,F5975&gt;=3),"Rawan",IF(AND(E5975&lt;=2,F5975&lt;=2),"Tidur","Umum"))))))</f>
        <v/>
      </c>
    </row>
    <row r="5976">
      <c r="B5976">
        <f>IF(A5976="","",$B$1-MAXIFS(Donasi!$A$2:$A$20000,Donasi!$B$2:$B$20000,A5976))</f>
        <v/>
      </c>
      <c r="C5976">
        <f>IF(A5976="","",COUNTIF(Donasi!$B$2:$B$20000,A5976))</f>
        <v/>
      </c>
      <c r="D5976">
        <f>IF(A5976="","",SUMIF(Donasi!$B$2:$B$20000,A5976,Donasi!$C$2:$C$20000))</f>
        <v/>
      </c>
      <c r="E5976">
        <f>IF(A5976="","",6-CEILING(PERCENTRANK.INC($B$3:$B$6000,B5976,4)*5+0.000001,1))</f>
        <v/>
      </c>
      <c r="F5976">
        <f>IF(A5976="","",MAX(1,CEILING(PERCENTRANK.INC($C$3:$C$6000,C5976,4)*5+0.000001,1)))</f>
        <v/>
      </c>
      <c r="G5976">
        <f>IF(A5976="","",MAX(1,CEILING(PERCENTRANK.INC($D$3:$D$6000,D5976,4)*5+0.000001,1)))</f>
        <v/>
      </c>
      <c r="H5976">
        <f>IF(A5976="","",E5976&amp;F5976&amp;G5976)</f>
        <v/>
      </c>
      <c r="I5976">
        <f>IF(A5976="","",IF(AND(E5976&gt;=4,F5976&gt;=4,G5976&gt;=4),"Juara",IF(AND(F5976&gt;=4,E5976&gt;=3),"Setia",IF(AND(E5976=5,F5976&lt;=2,G5976&gt;=3),"Berpotensi",IF(AND(E5976&lt;=3,E5976&gt;=2,F5976&gt;=3),"Rawan",IF(AND(E5976&lt;=2,F5976&lt;=2),"Tidur","Umum"))))))</f>
        <v/>
      </c>
    </row>
    <row r="5977">
      <c r="B5977">
        <f>IF(A5977="","",$B$1-MAXIFS(Donasi!$A$2:$A$20000,Donasi!$B$2:$B$20000,A5977))</f>
        <v/>
      </c>
      <c r="C5977">
        <f>IF(A5977="","",COUNTIF(Donasi!$B$2:$B$20000,A5977))</f>
        <v/>
      </c>
      <c r="D5977">
        <f>IF(A5977="","",SUMIF(Donasi!$B$2:$B$20000,A5977,Donasi!$C$2:$C$20000))</f>
        <v/>
      </c>
      <c r="E5977">
        <f>IF(A5977="","",6-CEILING(PERCENTRANK.INC($B$3:$B$6000,B5977,4)*5+0.000001,1))</f>
        <v/>
      </c>
      <c r="F5977">
        <f>IF(A5977="","",MAX(1,CEILING(PERCENTRANK.INC($C$3:$C$6000,C5977,4)*5+0.000001,1)))</f>
        <v/>
      </c>
      <c r="G5977">
        <f>IF(A5977="","",MAX(1,CEILING(PERCENTRANK.INC($D$3:$D$6000,D5977,4)*5+0.000001,1)))</f>
        <v/>
      </c>
      <c r="H5977">
        <f>IF(A5977="","",E5977&amp;F5977&amp;G5977)</f>
        <v/>
      </c>
      <c r="I5977">
        <f>IF(A5977="","",IF(AND(E5977&gt;=4,F5977&gt;=4,G5977&gt;=4),"Juara",IF(AND(F5977&gt;=4,E5977&gt;=3),"Setia",IF(AND(E5977=5,F5977&lt;=2,G5977&gt;=3),"Berpotensi",IF(AND(E5977&lt;=3,E5977&gt;=2,F5977&gt;=3),"Rawan",IF(AND(E5977&lt;=2,F5977&lt;=2),"Tidur","Umum"))))))</f>
        <v/>
      </c>
    </row>
    <row r="5978">
      <c r="B5978">
        <f>IF(A5978="","",$B$1-MAXIFS(Donasi!$A$2:$A$20000,Donasi!$B$2:$B$20000,A5978))</f>
        <v/>
      </c>
      <c r="C5978">
        <f>IF(A5978="","",COUNTIF(Donasi!$B$2:$B$20000,A5978))</f>
        <v/>
      </c>
      <c r="D5978">
        <f>IF(A5978="","",SUMIF(Donasi!$B$2:$B$20000,A5978,Donasi!$C$2:$C$20000))</f>
        <v/>
      </c>
      <c r="E5978">
        <f>IF(A5978="","",6-CEILING(PERCENTRANK.INC($B$3:$B$6000,B5978,4)*5+0.000001,1))</f>
        <v/>
      </c>
      <c r="F5978">
        <f>IF(A5978="","",MAX(1,CEILING(PERCENTRANK.INC($C$3:$C$6000,C5978,4)*5+0.000001,1)))</f>
        <v/>
      </c>
      <c r="G5978">
        <f>IF(A5978="","",MAX(1,CEILING(PERCENTRANK.INC($D$3:$D$6000,D5978,4)*5+0.000001,1)))</f>
        <v/>
      </c>
      <c r="H5978">
        <f>IF(A5978="","",E5978&amp;F5978&amp;G5978)</f>
        <v/>
      </c>
      <c r="I5978">
        <f>IF(A5978="","",IF(AND(E5978&gt;=4,F5978&gt;=4,G5978&gt;=4),"Juara",IF(AND(F5978&gt;=4,E5978&gt;=3),"Setia",IF(AND(E5978=5,F5978&lt;=2,G5978&gt;=3),"Berpotensi",IF(AND(E5978&lt;=3,E5978&gt;=2,F5978&gt;=3),"Rawan",IF(AND(E5978&lt;=2,F5978&lt;=2),"Tidur","Umum"))))))</f>
        <v/>
      </c>
    </row>
    <row r="5979">
      <c r="B5979">
        <f>IF(A5979="","",$B$1-MAXIFS(Donasi!$A$2:$A$20000,Donasi!$B$2:$B$20000,A5979))</f>
        <v/>
      </c>
      <c r="C5979">
        <f>IF(A5979="","",COUNTIF(Donasi!$B$2:$B$20000,A5979))</f>
        <v/>
      </c>
      <c r="D5979">
        <f>IF(A5979="","",SUMIF(Donasi!$B$2:$B$20000,A5979,Donasi!$C$2:$C$20000))</f>
        <v/>
      </c>
      <c r="E5979">
        <f>IF(A5979="","",6-CEILING(PERCENTRANK.INC($B$3:$B$6000,B5979,4)*5+0.000001,1))</f>
        <v/>
      </c>
      <c r="F5979">
        <f>IF(A5979="","",MAX(1,CEILING(PERCENTRANK.INC($C$3:$C$6000,C5979,4)*5+0.000001,1)))</f>
        <v/>
      </c>
      <c r="G5979">
        <f>IF(A5979="","",MAX(1,CEILING(PERCENTRANK.INC($D$3:$D$6000,D5979,4)*5+0.000001,1)))</f>
        <v/>
      </c>
      <c r="H5979">
        <f>IF(A5979="","",E5979&amp;F5979&amp;G5979)</f>
        <v/>
      </c>
      <c r="I5979">
        <f>IF(A5979="","",IF(AND(E5979&gt;=4,F5979&gt;=4,G5979&gt;=4),"Juara",IF(AND(F5979&gt;=4,E5979&gt;=3),"Setia",IF(AND(E5979=5,F5979&lt;=2,G5979&gt;=3),"Berpotensi",IF(AND(E5979&lt;=3,E5979&gt;=2,F5979&gt;=3),"Rawan",IF(AND(E5979&lt;=2,F5979&lt;=2),"Tidur","Umum"))))))</f>
        <v/>
      </c>
    </row>
    <row r="5980">
      <c r="B5980">
        <f>IF(A5980="","",$B$1-MAXIFS(Donasi!$A$2:$A$20000,Donasi!$B$2:$B$20000,A5980))</f>
        <v/>
      </c>
      <c r="C5980">
        <f>IF(A5980="","",COUNTIF(Donasi!$B$2:$B$20000,A5980))</f>
        <v/>
      </c>
      <c r="D5980">
        <f>IF(A5980="","",SUMIF(Donasi!$B$2:$B$20000,A5980,Donasi!$C$2:$C$20000))</f>
        <v/>
      </c>
      <c r="E5980">
        <f>IF(A5980="","",6-CEILING(PERCENTRANK.INC($B$3:$B$6000,B5980,4)*5+0.000001,1))</f>
        <v/>
      </c>
      <c r="F5980">
        <f>IF(A5980="","",MAX(1,CEILING(PERCENTRANK.INC($C$3:$C$6000,C5980,4)*5+0.000001,1)))</f>
        <v/>
      </c>
      <c r="G5980">
        <f>IF(A5980="","",MAX(1,CEILING(PERCENTRANK.INC($D$3:$D$6000,D5980,4)*5+0.000001,1)))</f>
        <v/>
      </c>
      <c r="H5980">
        <f>IF(A5980="","",E5980&amp;F5980&amp;G5980)</f>
        <v/>
      </c>
      <c r="I5980">
        <f>IF(A5980="","",IF(AND(E5980&gt;=4,F5980&gt;=4,G5980&gt;=4),"Juara",IF(AND(F5980&gt;=4,E5980&gt;=3),"Setia",IF(AND(E5980=5,F5980&lt;=2,G5980&gt;=3),"Berpotensi",IF(AND(E5980&lt;=3,E5980&gt;=2,F5980&gt;=3),"Rawan",IF(AND(E5980&lt;=2,F5980&lt;=2),"Tidur","Umum"))))))</f>
        <v/>
      </c>
    </row>
    <row r="5981">
      <c r="B5981">
        <f>IF(A5981="","",$B$1-MAXIFS(Donasi!$A$2:$A$20000,Donasi!$B$2:$B$20000,A5981))</f>
        <v/>
      </c>
      <c r="C5981">
        <f>IF(A5981="","",COUNTIF(Donasi!$B$2:$B$20000,A5981))</f>
        <v/>
      </c>
      <c r="D5981">
        <f>IF(A5981="","",SUMIF(Donasi!$B$2:$B$20000,A5981,Donasi!$C$2:$C$20000))</f>
        <v/>
      </c>
      <c r="E5981">
        <f>IF(A5981="","",6-CEILING(PERCENTRANK.INC($B$3:$B$6000,B5981,4)*5+0.000001,1))</f>
        <v/>
      </c>
      <c r="F5981">
        <f>IF(A5981="","",MAX(1,CEILING(PERCENTRANK.INC($C$3:$C$6000,C5981,4)*5+0.000001,1)))</f>
        <v/>
      </c>
      <c r="G5981">
        <f>IF(A5981="","",MAX(1,CEILING(PERCENTRANK.INC($D$3:$D$6000,D5981,4)*5+0.000001,1)))</f>
        <v/>
      </c>
      <c r="H5981">
        <f>IF(A5981="","",E5981&amp;F5981&amp;G5981)</f>
        <v/>
      </c>
      <c r="I5981">
        <f>IF(A5981="","",IF(AND(E5981&gt;=4,F5981&gt;=4,G5981&gt;=4),"Juara",IF(AND(F5981&gt;=4,E5981&gt;=3),"Setia",IF(AND(E5981=5,F5981&lt;=2,G5981&gt;=3),"Berpotensi",IF(AND(E5981&lt;=3,E5981&gt;=2,F5981&gt;=3),"Rawan",IF(AND(E5981&lt;=2,F5981&lt;=2),"Tidur","Umum"))))))</f>
        <v/>
      </c>
    </row>
    <row r="5982">
      <c r="B5982">
        <f>IF(A5982="","",$B$1-MAXIFS(Donasi!$A$2:$A$20000,Donasi!$B$2:$B$20000,A5982))</f>
        <v/>
      </c>
      <c r="C5982">
        <f>IF(A5982="","",COUNTIF(Donasi!$B$2:$B$20000,A5982))</f>
        <v/>
      </c>
      <c r="D5982">
        <f>IF(A5982="","",SUMIF(Donasi!$B$2:$B$20000,A5982,Donasi!$C$2:$C$20000))</f>
        <v/>
      </c>
      <c r="E5982">
        <f>IF(A5982="","",6-CEILING(PERCENTRANK.INC($B$3:$B$6000,B5982,4)*5+0.000001,1))</f>
        <v/>
      </c>
      <c r="F5982">
        <f>IF(A5982="","",MAX(1,CEILING(PERCENTRANK.INC($C$3:$C$6000,C5982,4)*5+0.000001,1)))</f>
        <v/>
      </c>
      <c r="G5982">
        <f>IF(A5982="","",MAX(1,CEILING(PERCENTRANK.INC($D$3:$D$6000,D5982,4)*5+0.000001,1)))</f>
        <v/>
      </c>
      <c r="H5982">
        <f>IF(A5982="","",E5982&amp;F5982&amp;G5982)</f>
        <v/>
      </c>
      <c r="I5982">
        <f>IF(A5982="","",IF(AND(E5982&gt;=4,F5982&gt;=4,G5982&gt;=4),"Juara",IF(AND(F5982&gt;=4,E5982&gt;=3),"Setia",IF(AND(E5982=5,F5982&lt;=2,G5982&gt;=3),"Berpotensi",IF(AND(E5982&lt;=3,E5982&gt;=2,F5982&gt;=3),"Rawan",IF(AND(E5982&lt;=2,F5982&lt;=2),"Tidur","Umum"))))))</f>
        <v/>
      </c>
    </row>
    <row r="5983">
      <c r="B5983">
        <f>IF(A5983="","",$B$1-MAXIFS(Donasi!$A$2:$A$20000,Donasi!$B$2:$B$20000,A5983))</f>
        <v/>
      </c>
      <c r="C5983">
        <f>IF(A5983="","",COUNTIF(Donasi!$B$2:$B$20000,A5983))</f>
        <v/>
      </c>
      <c r="D5983">
        <f>IF(A5983="","",SUMIF(Donasi!$B$2:$B$20000,A5983,Donasi!$C$2:$C$20000))</f>
        <v/>
      </c>
      <c r="E5983">
        <f>IF(A5983="","",6-CEILING(PERCENTRANK.INC($B$3:$B$6000,B5983,4)*5+0.000001,1))</f>
        <v/>
      </c>
      <c r="F5983">
        <f>IF(A5983="","",MAX(1,CEILING(PERCENTRANK.INC($C$3:$C$6000,C5983,4)*5+0.000001,1)))</f>
        <v/>
      </c>
      <c r="G5983">
        <f>IF(A5983="","",MAX(1,CEILING(PERCENTRANK.INC($D$3:$D$6000,D5983,4)*5+0.000001,1)))</f>
        <v/>
      </c>
      <c r="H5983">
        <f>IF(A5983="","",E5983&amp;F5983&amp;G5983)</f>
        <v/>
      </c>
      <c r="I5983">
        <f>IF(A5983="","",IF(AND(E5983&gt;=4,F5983&gt;=4,G5983&gt;=4),"Juara",IF(AND(F5983&gt;=4,E5983&gt;=3),"Setia",IF(AND(E5983=5,F5983&lt;=2,G5983&gt;=3),"Berpotensi",IF(AND(E5983&lt;=3,E5983&gt;=2,F5983&gt;=3),"Rawan",IF(AND(E5983&lt;=2,F5983&lt;=2),"Tidur","Umum"))))))</f>
        <v/>
      </c>
    </row>
    <row r="5984">
      <c r="B5984">
        <f>IF(A5984="","",$B$1-MAXIFS(Donasi!$A$2:$A$20000,Donasi!$B$2:$B$20000,A5984))</f>
        <v/>
      </c>
      <c r="C5984">
        <f>IF(A5984="","",COUNTIF(Donasi!$B$2:$B$20000,A5984))</f>
        <v/>
      </c>
      <c r="D5984">
        <f>IF(A5984="","",SUMIF(Donasi!$B$2:$B$20000,A5984,Donasi!$C$2:$C$20000))</f>
        <v/>
      </c>
      <c r="E5984">
        <f>IF(A5984="","",6-CEILING(PERCENTRANK.INC($B$3:$B$6000,B5984,4)*5+0.000001,1))</f>
        <v/>
      </c>
      <c r="F5984">
        <f>IF(A5984="","",MAX(1,CEILING(PERCENTRANK.INC($C$3:$C$6000,C5984,4)*5+0.000001,1)))</f>
        <v/>
      </c>
      <c r="G5984">
        <f>IF(A5984="","",MAX(1,CEILING(PERCENTRANK.INC($D$3:$D$6000,D5984,4)*5+0.000001,1)))</f>
        <v/>
      </c>
      <c r="H5984">
        <f>IF(A5984="","",E5984&amp;F5984&amp;G5984)</f>
        <v/>
      </c>
      <c r="I5984">
        <f>IF(A5984="","",IF(AND(E5984&gt;=4,F5984&gt;=4,G5984&gt;=4),"Juara",IF(AND(F5984&gt;=4,E5984&gt;=3),"Setia",IF(AND(E5984=5,F5984&lt;=2,G5984&gt;=3),"Berpotensi",IF(AND(E5984&lt;=3,E5984&gt;=2,F5984&gt;=3),"Rawan",IF(AND(E5984&lt;=2,F5984&lt;=2),"Tidur","Umum"))))))</f>
        <v/>
      </c>
    </row>
    <row r="5985">
      <c r="B5985">
        <f>IF(A5985="","",$B$1-MAXIFS(Donasi!$A$2:$A$20000,Donasi!$B$2:$B$20000,A5985))</f>
        <v/>
      </c>
      <c r="C5985">
        <f>IF(A5985="","",COUNTIF(Donasi!$B$2:$B$20000,A5985))</f>
        <v/>
      </c>
      <c r="D5985">
        <f>IF(A5985="","",SUMIF(Donasi!$B$2:$B$20000,A5985,Donasi!$C$2:$C$20000))</f>
        <v/>
      </c>
      <c r="E5985">
        <f>IF(A5985="","",6-CEILING(PERCENTRANK.INC($B$3:$B$6000,B5985,4)*5+0.000001,1))</f>
        <v/>
      </c>
      <c r="F5985">
        <f>IF(A5985="","",MAX(1,CEILING(PERCENTRANK.INC($C$3:$C$6000,C5985,4)*5+0.000001,1)))</f>
        <v/>
      </c>
      <c r="G5985">
        <f>IF(A5985="","",MAX(1,CEILING(PERCENTRANK.INC($D$3:$D$6000,D5985,4)*5+0.000001,1)))</f>
        <v/>
      </c>
      <c r="H5985">
        <f>IF(A5985="","",E5985&amp;F5985&amp;G5985)</f>
        <v/>
      </c>
      <c r="I5985">
        <f>IF(A5985="","",IF(AND(E5985&gt;=4,F5985&gt;=4,G5985&gt;=4),"Juara",IF(AND(F5985&gt;=4,E5985&gt;=3),"Setia",IF(AND(E5985=5,F5985&lt;=2,G5985&gt;=3),"Berpotensi",IF(AND(E5985&lt;=3,E5985&gt;=2,F5985&gt;=3),"Rawan",IF(AND(E5985&lt;=2,F5985&lt;=2),"Tidur","Umum"))))))</f>
        <v/>
      </c>
    </row>
    <row r="5986">
      <c r="B5986">
        <f>IF(A5986="","",$B$1-MAXIFS(Donasi!$A$2:$A$20000,Donasi!$B$2:$B$20000,A5986))</f>
        <v/>
      </c>
      <c r="C5986">
        <f>IF(A5986="","",COUNTIF(Donasi!$B$2:$B$20000,A5986))</f>
        <v/>
      </c>
      <c r="D5986">
        <f>IF(A5986="","",SUMIF(Donasi!$B$2:$B$20000,A5986,Donasi!$C$2:$C$20000))</f>
        <v/>
      </c>
      <c r="E5986">
        <f>IF(A5986="","",6-CEILING(PERCENTRANK.INC($B$3:$B$6000,B5986,4)*5+0.000001,1))</f>
        <v/>
      </c>
      <c r="F5986">
        <f>IF(A5986="","",MAX(1,CEILING(PERCENTRANK.INC($C$3:$C$6000,C5986,4)*5+0.000001,1)))</f>
        <v/>
      </c>
      <c r="G5986">
        <f>IF(A5986="","",MAX(1,CEILING(PERCENTRANK.INC($D$3:$D$6000,D5986,4)*5+0.000001,1)))</f>
        <v/>
      </c>
      <c r="H5986">
        <f>IF(A5986="","",E5986&amp;F5986&amp;G5986)</f>
        <v/>
      </c>
      <c r="I5986">
        <f>IF(A5986="","",IF(AND(E5986&gt;=4,F5986&gt;=4,G5986&gt;=4),"Juara",IF(AND(F5986&gt;=4,E5986&gt;=3),"Setia",IF(AND(E5986=5,F5986&lt;=2,G5986&gt;=3),"Berpotensi",IF(AND(E5986&lt;=3,E5986&gt;=2,F5986&gt;=3),"Rawan",IF(AND(E5986&lt;=2,F5986&lt;=2),"Tidur","Umum"))))))</f>
        <v/>
      </c>
    </row>
    <row r="5987">
      <c r="B5987">
        <f>IF(A5987="","",$B$1-MAXIFS(Donasi!$A$2:$A$20000,Donasi!$B$2:$B$20000,A5987))</f>
        <v/>
      </c>
      <c r="C5987">
        <f>IF(A5987="","",COUNTIF(Donasi!$B$2:$B$20000,A5987))</f>
        <v/>
      </c>
      <c r="D5987">
        <f>IF(A5987="","",SUMIF(Donasi!$B$2:$B$20000,A5987,Donasi!$C$2:$C$20000))</f>
        <v/>
      </c>
      <c r="E5987">
        <f>IF(A5987="","",6-CEILING(PERCENTRANK.INC($B$3:$B$6000,B5987,4)*5+0.000001,1))</f>
        <v/>
      </c>
      <c r="F5987">
        <f>IF(A5987="","",MAX(1,CEILING(PERCENTRANK.INC($C$3:$C$6000,C5987,4)*5+0.000001,1)))</f>
        <v/>
      </c>
      <c r="G5987">
        <f>IF(A5987="","",MAX(1,CEILING(PERCENTRANK.INC($D$3:$D$6000,D5987,4)*5+0.000001,1)))</f>
        <v/>
      </c>
      <c r="H5987">
        <f>IF(A5987="","",E5987&amp;F5987&amp;G5987)</f>
        <v/>
      </c>
      <c r="I5987">
        <f>IF(A5987="","",IF(AND(E5987&gt;=4,F5987&gt;=4,G5987&gt;=4),"Juara",IF(AND(F5987&gt;=4,E5987&gt;=3),"Setia",IF(AND(E5987=5,F5987&lt;=2,G5987&gt;=3),"Berpotensi",IF(AND(E5987&lt;=3,E5987&gt;=2,F5987&gt;=3),"Rawan",IF(AND(E5987&lt;=2,F5987&lt;=2),"Tidur","Umum"))))))</f>
        <v/>
      </c>
    </row>
    <row r="5988">
      <c r="B5988">
        <f>IF(A5988="","",$B$1-MAXIFS(Donasi!$A$2:$A$20000,Donasi!$B$2:$B$20000,A5988))</f>
        <v/>
      </c>
      <c r="C5988">
        <f>IF(A5988="","",COUNTIF(Donasi!$B$2:$B$20000,A5988))</f>
        <v/>
      </c>
      <c r="D5988">
        <f>IF(A5988="","",SUMIF(Donasi!$B$2:$B$20000,A5988,Donasi!$C$2:$C$20000))</f>
        <v/>
      </c>
      <c r="E5988">
        <f>IF(A5988="","",6-CEILING(PERCENTRANK.INC($B$3:$B$6000,B5988,4)*5+0.000001,1))</f>
        <v/>
      </c>
      <c r="F5988">
        <f>IF(A5988="","",MAX(1,CEILING(PERCENTRANK.INC($C$3:$C$6000,C5988,4)*5+0.000001,1)))</f>
        <v/>
      </c>
      <c r="G5988">
        <f>IF(A5988="","",MAX(1,CEILING(PERCENTRANK.INC($D$3:$D$6000,D5988,4)*5+0.000001,1)))</f>
        <v/>
      </c>
      <c r="H5988">
        <f>IF(A5988="","",E5988&amp;F5988&amp;G5988)</f>
        <v/>
      </c>
      <c r="I5988">
        <f>IF(A5988="","",IF(AND(E5988&gt;=4,F5988&gt;=4,G5988&gt;=4),"Juara",IF(AND(F5988&gt;=4,E5988&gt;=3),"Setia",IF(AND(E5988=5,F5988&lt;=2,G5988&gt;=3),"Berpotensi",IF(AND(E5988&lt;=3,E5988&gt;=2,F5988&gt;=3),"Rawan",IF(AND(E5988&lt;=2,F5988&lt;=2),"Tidur","Umum"))))))</f>
        <v/>
      </c>
    </row>
    <row r="5989">
      <c r="B5989">
        <f>IF(A5989="","",$B$1-MAXIFS(Donasi!$A$2:$A$20000,Donasi!$B$2:$B$20000,A5989))</f>
        <v/>
      </c>
      <c r="C5989">
        <f>IF(A5989="","",COUNTIF(Donasi!$B$2:$B$20000,A5989))</f>
        <v/>
      </c>
      <c r="D5989">
        <f>IF(A5989="","",SUMIF(Donasi!$B$2:$B$20000,A5989,Donasi!$C$2:$C$20000))</f>
        <v/>
      </c>
      <c r="E5989">
        <f>IF(A5989="","",6-CEILING(PERCENTRANK.INC($B$3:$B$6000,B5989,4)*5+0.000001,1))</f>
        <v/>
      </c>
      <c r="F5989">
        <f>IF(A5989="","",MAX(1,CEILING(PERCENTRANK.INC($C$3:$C$6000,C5989,4)*5+0.000001,1)))</f>
        <v/>
      </c>
      <c r="G5989">
        <f>IF(A5989="","",MAX(1,CEILING(PERCENTRANK.INC($D$3:$D$6000,D5989,4)*5+0.000001,1)))</f>
        <v/>
      </c>
      <c r="H5989">
        <f>IF(A5989="","",E5989&amp;F5989&amp;G5989)</f>
        <v/>
      </c>
      <c r="I5989">
        <f>IF(A5989="","",IF(AND(E5989&gt;=4,F5989&gt;=4,G5989&gt;=4),"Juara",IF(AND(F5989&gt;=4,E5989&gt;=3),"Setia",IF(AND(E5989=5,F5989&lt;=2,G5989&gt;=3),"Berpotensi",IF(AND(E5989&lt;=3,E5989&gt;=2,F5989&gt;=3),"Rawan",IF(AND(E5989&lt;=2,F5989&lt;=2),"Tidur","Umum"))))))</f>
        <v/>
      </c>
    </row>
    <row r="5990">
      <c r="B5990">
        <f>IF(A5990="","",$B$1-MAXIFS(Donasi!$A$2:$A$20000,Donasi!$B$2:$B$20000,A5990))</f>
        <v/>
      </c>
      <c r="C5990">
        <f>IF(A5990="","",COUNTIF(Donasi!$B$2:$B$20000,A5990))</f>
        <v/>
      </c>
      <c r="D5990">
        <f>IF(A5990="","",SUMIF(Donasi!$B$2:$B$20000,A5990,Donasi!$C$2:$C$20000))</f>
        <v/>
      </c>
      <c r="E5990">
        <f>IF(A5990="","",6-CEILING(PERCENTRANK.INC($B$3:$B$6000,B5990,4)*5+0.000001,1))</f>
        <v/>
      </c>
      <c r="F5990">
        <f>IF(A5990="","",MAX(1,CEILING(PERCENTRANK.INC($C$3:$C$6000,C5990,4)*5+0.000001,1)))</f>
        <v/>
      </c>
      <c r="G5990">
        <f>IF(A5990="","",MAX(1,CEILING(PERCENTRANK.INC($D$3:$D$6000,D5990,4)*5+0.000001,1)))</f>
        <v/>
      </c>
      <c r="H5990">
        <f>IF(A5990="","",E5990&amp;F5990&amp;G5990)</f>
        <v/>
      </c>
      <c r="I5990">
        <f>IF(A5990="","",IF(AND(E5990&gt;=4,F5990&gt;=4,G5990&gt;=4),"Juara",IF(AND(F5990&gt;=4,E5990&gt;=3),"Setia",IF(AND(E5990=5,F5990&lt;=2,G5990&gt;=3),"Berpotensi",IF(AND(E5990&lt;=3,E5990&gt;=2,F5990&gt;=3),"Rawan",IF(AND(E5990&lt;=2,F5990&lt;=2),"Tidur","Umum"))))))</f>
        <v/>
      </c>
    </row>
    <row r="5991">
      <c r="B5991">
        <f>IF(A5991="","",$B$1-MAXIFS(Donasi!$A$2:$A$20000,Donasi!$B$2:$B$20000,A5991))</f>
        <v/>
      </c>
      <c r="C5991">
        <f>IF(A5991="","",COUNTIF(Donasi!$B$2:$B$20000,A5991))</f>
        <v/>
      </c>
      <c r="D5991">
        <f>IF(A5991="","",SUMIF(Donasi!$B$2:$B$20000,A5991,Donasi!$C$2:$C$20000))</f>
        <v/>
      </c>
      <c r="E5991">
        <f>IF(A5991="","",6-CEILING(PERCENTRANK.INC($B$3:$B$6000,B5991,4)*5+0.000001,1))</f>
        <v/>
      </c>
      <c r="F5991">
        <f>IF(A5991="","",MAX(1,CEILING(PERCENTRANK.INC($C$3:$C$6000,C5991,4)*5+0.000001,1)))</f>
        <v/>
      </c>
      <c r="G5991">
        <f>IF(A5991="","",MAX(1,CEILING(PERCENTRANK.INC($D$3:$D$6000,D5991,4)*5+0.000001,1)))</f>
        <v/>
      </c>
      <c r="H5991">
        <f>IF(A5991="","",E5991&amp;F5991&amp;G5991)</f>
        <v/>
      </c>
      <c r="I5991">
        <f>IF(A5991="","",IF(AND(E5991&gt;=4,F5991&gt;=4,G5991&gt;=4),"Juara",IF(AND(F5991&gt;=4,E5991&gt;=3),"Setia",IF(AND(E5991=5,F5991&lt;=2,G5991&gt;=3),"Berpotensi",IF(AND(E5991&lt;=3,E5991&gt;=2,F5991&gt;=3),"Rawan",IF(AND(E5991&lt;=2,F5991&lt;=2),"Tidur","Umum"))))))</f>
        <v/>
      </c>
    </row>
    <row r="5992">
      <c r="B5992">
        <f>IF(A5992="","",$B$1-MAXIFS(Donasi!$A$2:$A$20000,Donasi!$B$2:$B$20000,A5992))</f>
        <v/>
      </c>
      <c r="C5992">
        <f>IF(A5992="","",COUNTIF(Donasi!$B$2:$B$20000,A5992))</f>
        <v/>
      </c>
      <c r="D5992">
        <f>IF(A5992="","",SUMIF(Donasi!$B$2:$B$20000,A5992,Donasi!$C$2:$C$20000))</f>
        <v/>
      </c>
      <c r="E5992">
        <f>IF(A5992="","",6-CEILING(PERCENTRANK.INC($B$3:$B$6000,B5992,4)*5+0.000001,1))</f>
        <v/>
      </c>
      <c r="F5992">
        <f>IF(A5992="","",MAX(1,CEILING(PERCENTRANK.INC($C$3:$C$6000,C5992,4)*5+0.000001,1)))</f>
        <v/>
      </c>
      <c r="G5992">
        <f>IF(A5992="","",MAX(1,CEILING(PERCENTRANK.INC($D$3:$D$6000,D5992,4)*5+0.000001,1)))</f>
        <v/>
      </c>
      <c r="H5992">
        <f>IF(A5992="","",E5992&amp;F5992&amp;G5992)</f>
        <v/>
      </c>
      <c r="I5992">
        <f>IF(A5992="","",IF(AND(E5992&gt;=4,F5992&gt;=4,G5992&gt;=4),"Juara",IF(AND(F5992&gt;=4,E5992&gt;=3),"Setia",IF(AND(E5992=5,F5992&lt;=2,G5992&gt;=3),"Berpotensi",IF(AND(E5992&lt;=3,E5992&gt;=2,F5992&gt;=3),"Rawan",IF(AND(E5992&lt;=2,F5992&lt;=2),"Tidur","Umum"))))))</f>
        <v/>
      </c>
    </row>
    <row r="5993">
      <c r="B5993">
        <f>IF(A5993="","",$B$1-MAXIFS(Donasi!$A$2:$A$20000,Donasi!$B$2:$B$20000,A5993))</f>
        <v/>
      </c>
      <c r="C5993">
        <f>IF(A5993="","",COUNTIF(Donasi!$B$2:$B$20000,A5993))</f>
        <v/>
      </c>
      <c r="D5993">
        <f>IF(A5993="","",SUMIF(Donasi!$B$2:$B$20000,A5993,Donasi!$C$2:$C$20000))</f>
        <v/>
      </c>
      <c r="E5993">
        <f>IF(A5993="","",6-CEILING(PERCENTRANK.INC($B$3:$B$6000,B5993,4)*5+0.000001,1))</f>
        <v/>
      </c>
      <c r="F5993">
        <f>IF(A5993="","",MAX(1,CEILING(PERCENTRANK.INC($C$3:$C$6000,C5993,4)*5+0.000001,1)))</f>
        <v/>
      </c>
      <c r="G5993">
        <f>IF(A5993="","",MAX(1,CEILING(PERCENTRANK.INC($D$3:$D$6000,D5993,4)*5+0.000001,1)))</f>
        <v/>
      </c>
      <c r="H5993">
        <f>IF(A5993="","",E5993&amp;F5993&amp;G5993)</f>
        <v/>
      </c>
      <c r="I5993">
        <f>IF(A5993="","",IF(AND(E5993&gt;=4,F5993&gt;=4,G5993&gt;=4),"Juara",IF(AND(F5993&gt;=4,E5993&gt;=3),"Setia",IF(AND(E5993=5,F5993&lt;=2,G5993&gt;=3),"Berpotensi",IF(AND(E5993&lt;=3,E5993&gt;=2,F5993&gt;=3),"Rawan",IF(AND(E5993&lt;=2,F5993&lt;=2),"Tidur","Umum"))))))</f>
        <v/>
      </c>
    </row>
    <row r="5994">
      <c r="B5994">
        <f>IF(A5994="","",$B$1-MAXIFS(Donasi!$A$2:$A$20000,Donasi!$B$2:$B$20000,A5994))</f>
        <v/>
      </c>
      <c r="C5994">
        <f>IF(A5994="","",COUNTIF(Donasi!$B$2:$B$20000,A5994))</f>
        <v/>
      </c>
      <c r="D5994">
        <f>IF(A5994="","",SUMIF(Donasi!$B$2:$B$20000,A5994,Donasi!$C$2:$C$20000))</f>
        <v/>
      </c>
      <c r="E5994">
        <f>IF(A5994="","",6-CEILING(PERCENTRANK.INC($B$3:$B$6000,B5994,4)*5+0.000001,1))</f>
        <v/>
      </c>
      <c r="F5994">
        <f>IF(A5994="","",MAX(1,CEILING(PERCENTRANK.INC($C$3:$C$6000,C5994,4)*5+0.000001,1)))</f>
        <v/>
      </c>
      <c r="G5994">
        <f>IF(A5994="","",MAX(1,CEILING(PERCENTRANK.INC($D$3:$D$6000,D5994,4)*5+0.000001,1)))</f>
        <v/>
      </c>
      <c r="H5994">
        <f>IF(A5994="","",E5994&amp;F5994&amp;G5994)</f>
        <v/>
      </c>
      <c r="I5994">
        <f>IF(A5994="","",IF(AND(E5994&gt;=4,F5994&gt;=4,G5994&gt;=4),"Juara",IF(AND(F5994&gt;=4,E5994&gt;=3),"Setia",IF(AND(E5994=5,F5994&lt;=2,G5994&gt;=3),"Berpotensi",IF(AND(E5994&lt;=3,E5994&gt;=2,F5994&gt;=3),"Rawan",IF(AND(E5994&lt;=2,F5994&lt;=2),"Tidur","Umum"))))))</f>
        <v/>
      </c>
    </row>
    <row r="5995">
      <c r="B5995">
        <f>IF(A5995="","",$B$1-MAXIFS(Donasi!$A$2:$A$20000,Donasi!$B$2:$B$20000,A5995))</f>
        <v/>
      </c>
      <c r="C5995">
        <f>IF(A5995="","",COUNTIF(Donasi!$B$2:$B$20000,A5995))</f>
        <v/>
      </c>
      <c r="D5995">
        <f>IF(A5995="","",SUMIF(Donasi!$B$2:$B$20000,A5995,Donasi!$C$2:$C$20000))</f>
        <v/>
      </c>
      <c r="E5995">
        <f>IF(A5995="","",6-CEILING(PERCENTRANK.INC($B$3:$B$6000,B5995,4)*5+0.000001,1))</f>
        <v/>
      </c>
      <c r="F5995">
        <f>IF(A5995="","",MAX(1,CEILING(PERCENTRANK.INC($C$3:$C$6000,C5995,4)*5+0.000001,1)))</f>
        <v/>
      </c>
      <c r="G5995">
        <f>IF(A5995="","",MAX(1,CEILING(PERCENTRANK.INC($D$3:$D$6000,D5995,4)*5+0.000001,1)))</f>
        <v/>
      </c>
      <c r="H5995">
        <f>IF(A5995="","",E5995&amp;F5995&amp;G5995)</f>
        <v/>
      </c>
      <c r="I5995">
        <f>IF(A5995="","",IF(AND(E5995&gt;=4,F5995&gt;=4,G5995&gt;=4),"Juara",IF(AND(F5995&gt;=4,E5995&gt;=3),"Setia",IF(AND(E5995=5,F5995&lt;=2,G5995&gt;=3),"Berpotensi",IF(AND(E5995&lt;=3,E5995&gt;=2,F5995&gt;=3),"Rawan",IF(AND(E5995&lt;=2,F5995&lt;=2),"Tidur","Umum"))))))</f>
        <v/>
      </c>
    </row>
    <row r="5996">
      <c r="B5996">
        <f>IF(A5996="","",$B$1-MAXIFS(Donasi!$A$2:$A$20000,Donasi!$B$2:$B$20000,A5996))</f>
        <v/>
      </c>
      <c r="C5996">
        <f>IF(A5996="","",COUNTIF(Donasi!$B$2:$B$20000,A5996))</f>
        <v/>
      </c>
      <c r="D5996">
        <f>IF(A5996="","",SUMIF(Donasi!$B$2:$B$20000,A5996,Donasi!$C$2:$C$20000))</f>
        <v/>
      </c>
      <c r="E5996">
        <f>IF(A5996="","",6-CEILING(PERCENTRANK.INC($B$3:$B$6000,B5996,4)*5+0.000001,1))</f>
        <v/>
      </c>
      <c r="F5996">
        <f>IF(A5996="","",MAX(1,CEILING(PERCENTRANK.INC($C$3:$C$6000,C5996,4)*5+0.000001,1)))</f>
        <v/>
      </c>
      <c r="G5996">
        <f>IF(A5996="","",MAX(1,CEILING(PERCENTRANK.INC($D$3:$D$6000,D5996,4)*5+0.000001,1)))</f>
        <v/>
      </c>
      <c r="H5996">
        <f>IF(A5996="","",E5996&amp;F5996&amp;G5996)</f>
        <v/>
      </c>
      <c r="I5996">
        <f>IF(A5996="","",IF(AND(E5996&gt;=4,F5996&gt;=4,G5996&gt;=4),"Juara",IF(AND(F5996&gt;=4,E5996&gt;=3),"Setia",IF(AND(E5996=5,F5996&lt;=2,G5996&gt;=3),"Berpotensi",IF(AND(E5996&lt;=3,E5996&gt;=2,F5996&gt;=3),"Rawan",IF(AND(E5996&lt;=2,F5996&lt;=2),"Tidur","Umum"))))))</f>
        <v/>
      </c>
    </row>
    <row r="5997">
      <c r="B5997">
        <f>IF(A5997="","",$B$1-MAXIFS(Donasi!$A$2:$A$20000,Donasi!$B$2:$B$20000,A5997))</f>
        <v/>
      </c>
      <c r="C5997">
        <f>IF(A5997="","",COUNTIF(Donasi!$B$2:$B$20000,A5997))</f>
        <v/>
      </c>
      <c r="D5997">
        <f>IF(A5997="","",SUMIF(Donasi!$B$2:$B$20000,A5997,Donasi!$C$2:$C$20000))</f>
        <v/>
      </c>
      <c r="E5997">
        <f>IF(A5997="","",6-CEILING(PERCENTRANK.INC($B$3:$B$6000,B5997,4)*5+0.000001,1))</f>
        <v/>
      </c>
      <c r="F5997">
        <f>IF(A5997="","",MAX(1,CEILING(PERCENTRANK.INC($C$3:$C$6000,C5997,4)*5+0.000001,1)))</f>
        <v/>
      </c>
      <c r="G5997">
        <f>IF(A5997="","",MAX(1,CEILING(PERCENTRANK.INC($D$3:$D$6000,D5997,4)*5+0.000001,1)))</f>
        <v/>
      </c>
      <c r="H5997">
        <f>IF(A5997="","",E5997&amp;F5997&amp;G5997)</f>
        <v/>
      </c>
      <c r="I5997">
        <f>IF(A5997="","",IF(AND(E5997&gt;=4,F5997&gt;=4,G5997&gt;=4),"Juara",IF(AND(F5997&gt;=4,E5997&gt;=3),"Setia",IF(AND(E5997=5,F5997&lt;=2,G5997&gt;=3),"Berpotensi",IF(AND(E5997&lt;=3,E5997&gt;=2,F5997&gt;=3),"Rawan",IF(AND(E5997&lt;=2,F5997&lt;=2),"Tidur","Umum"))))))</f>
        <v/>
      </c>
    </row>
    <row r="5998">
      <c r="B5998">
        <f>IF(A5998="","",$B$1-MAXIFS(Donasi!$A$2:$A$20000,Donasi!$B$2:$B$20000,A5998))</f>
        <v/>
      </c>
      <c r="C5998">
        <f>IF(A5998="","",COUNTIF(Donasi!$B$2:$B$20000,A5998))</f>
        <v/>
      </c>
      <c r="D5998">
        <f>IF(A5998="","",SUMIF(Donasi!$B$2:$B$20000,A5998,Donasi!$C$2:$C$20000))</f>
        <v/>
      </c>
      <c r="E5998">
        <f>IF(A5998="","",6-CEILING(PERCENTRANK.INC($B$3:$B$6000,B5998,4)*5+0.000001,1))</f>
        <v/>
      </c>
      <c r="F5998">
        <f>IF(A5998="","",MAX(1,CEILING(PERCENTRANK.INC($C$3:$C$6000,C5998,4)*5+0.000001,1)))</f>
        <v/>
      </c>
      <c r="G5998">
        <f>IF(A5998="","",MAX(1,CEILING(PERCENTRANK.INC($D$3:$D$6000,D5998,4)*5+0.000001,1)))</f>
        <v/>
      </c>
      <c r="H5998">
        <f>IF(A5998="","",E5998&amp;F5998&amp;G5998)</f>
        <v/>
      </c>
      <c r="I5998">
        <f>IF(A5998="","",IF(AND(E5998&gt;=4,F5998&gt;=4,G5998&gt;=4),"Juara",IF(AND(F5998&gt;=4,E5998&gt;=3),"Setia",IF(AND(E5998=5,F5998&lt;=2,G5998&gt;=3),"Berpotensi",IF(AND(E5998&lt;=3,E5998&gt;=2,F5998&gt;=3),"Rawan",IF(AND(E5998&lt;=2,F5998&lt;=2),"Tidur","Umum"))))))</f>
        <v/>
      </c>
    </row>
    <row r="5999">
      <c r="B5999">
        <f>IF(A5999="","",$B$1-MAXIFS(Donasi!$A$2:$A$20000,Donasi!$B$2:$B$20000,A5999))</f>
        <v/>
      </c>
      <c r="C5999">
        <f>IF(A5999="","",COUNTIF(Donasi!$B$2:$B$20000,A5999))</f>
        <v/>
      </c>
      <c r="D5999">
        <f>IF(A5999="","",SUMIF(Donasi!$B$2:$B$20000,A5999,Donasi!$C$2:$C$20000))</f>
        <v/>
      </c>
      <c r="E5999">
        <f>IF(A5999="","",6-CEILING(PERCENTRANK.INC($B$3:$B$6000,B5999,4)*5+0.000001,1))</f>
        <v/>
      </c>
      <c r="F5999">
        <f>IF(A5999="","",MAX(1,CEILING(PERCENTRANK.INC($C$3:$C$6000,C5999,4)*5+0.000001,1)))</f>
        <v/>
      </c>
      <c r="G5999">
        <f>IF(A5999="","",MAX(1,CEILING(PERCENTRANK.INC($D$3:$D$6000,D5999,4)*5+0.000001,1)))</f>
        <v/>
      </c>
      <c r="H5999">
        <f>IF(A5999="","",E5999&amp;F5999&amp;G5999)</f>
        <v/>
      </c>
      <c r="I5999">
        <f>IF(A5999="","",IF(AND(E5999&gt;=4,F5999&gt;=4,G5999&gt;=4),"Juara",IF(AND(F5999&gt;=4,E5999&gt;=3),"Setia",IF(AND(E5999=5,F5999&lt;=2,G5999&gt;=3),"Berpotensi",IF(AND(E5999&lt;=3,E5999&gt;=2,F5999&gt;=3),"Rawan",IF(AND(E5999&lt;=2,F5999&lt;=2),"Tidur","Umum"))))))</f>
        <v/>
      </c>
    </row>
    <row r="6000">
      <c r="B6000">
        <f>IF(A6000="","",$B$1-MAXIFS(Donasi!$A$2:$A$20000,Donasi!$B$2:$B$20000,A6000))</f>
        <v/>
      </c>
      <c r="C6000">
        <f>IF(A6000="","",COUNTIF(Donasi!$B$2:$B$20000,A6000))</f>
        <v/>
      </c>
      <c r="D6000">
        <f>IF(A6000="","",SUMIF(Donasi!$B$2:$B$20000,A6000,Donasi!$C$2:$C$20000))</f>
        <v/>
      </c>
      <c r="E6000">
        <f>IF(A6000="","",6-CEILING(PERCENTRANK.INC($B$3:$B$6000,B6000,4)*5+0.000001,1))</f>
        <v/>
      </c>
      <c r="F6000">
        <f>IF(A6000="","",MAX(1,CEILING(PERCENTRANK.INC($C$3:$C$6000,C6000,4)*5+0.000001,1)))</f>
        <v/>
      </c>
      <c r="G6000">
        <f>IF(A6000="","",MAX(1,CEILING(PERCENTRANK.INC($D$3:$D$6000,D6000,4)*5+0.000001,1)))</f>
        <v/>
      </c>
      <c r="H6000">
        <f>IF(A6000="","",E6000&amp;F6000&amp;G6000)</f>
        <v/>
      </c>
      <c r="I6000">
        <f>IF(A6000="","",IF(AND(E6000&gt;=4,F6000&gt;=4,G6000&gt;=4),"Juara",IF(AND(F6000&gt;=4,E6000&gt;=3),"Setia",IF(AND(E6000=5,F6000&lt;=2,G6000&gt;=3),"Berpotensi",IF(AND(E6000&lt;=3,E6000&gt;=2,F6000&gt;=3),"Rawan",IF(AND(E6000&lt;=2,F6000&lt;=2),"Tidur","Umum"))))))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70" customWidth="1" min="4" max="4"/>
  </cols>
  <sheetData>
    <row r="1">
      <c r="A1" s="3" t="inlineStr">
        <is>
          <t>Segmen</t>
        </is>
      </c>
      <c r="B1" s="3" t="inlineStr">
        <is>
          <t>Jumlah donatur</t>
        </is>
      </c>
      <c r="C1" s="3" t="inlineStr">
        <is>
          <t>Total dana</t>
        </is>
      </c>
      <c r="D1" s="3" t="inlineStr">
        <is>
          <t>Tindakan</t>
        </is>
      </c>
    </row>
    <row r="2">
      <c r="A2" s="4" t="inlineStr">
        <is>
          <t>Juara</t>
        </is>
      </c>
      <c r="B2">
        <f>COUNTIF(Segmen!I3:I6000,A2)</f>
        <v/>
      </c>
      <c r="C2">
        <f>SUMIF(Segmen!I3:I6000,A2,Segmen!D3:D6000)</f>
        <v/>
      </c>
      <c r="D2" t="inlineStr">
        <is>
          <t>Laporan dampak personal, ajak jadi duta, jangan dibanjiri promosi</t>
        </is>
      </c>
    </row>
    <row r="3">
      <c r="A3" s="4" t="inlineStr">
        <is>
          <t>Setia</t>
        </is>
      </c>
      <c r="B3">
        <f>COUNTIF(Segmen!I3:I6000,A3)</f>
        <v/>
      </c>
      <c r="C3">
        <f>SUMIF(Segmen!I3:I6000,A3,Segmen!D3:D6000)</f>
        <v/>
      </c>
      <c r="D3" t="inlineStr">
        <is>
          <t>Tawarkan program rutin bulanan / autodebit</t>
        </is>
      </c>
    </row>
    <row r="4">
      <c r="A4" s="4" t="inlineStr">
        <is>
          <t>Berpotensi</t>
        </is>
      </c>
      <c r="B4">
        <f>COUNTIF(Segmen!I3:I6000,A4)</f>
        <v/>
      </c>
      <c r="C4">
        <f>SUMIF(Segmen!I3:I6000,A4,Segmen!D3:D6000)</f>
        <v/>
      </c>
      <c r="D4" t="inlineStr">
        <is>
          <t>Donatur baru bernilai besar: tindak lanjut dalam 90 hari</t>
        </is>
      </c>
    </row>
    <row r="5">
      <c r="A5" s="4" t="inlineStr">
        <is>
          <t>Rawan</t>
        </is>
      </c>
      <c r="B5">
        <f>COUNTIF(Segmen!I3:I6000,A5)</f>
        <v/>
      </c>
      <c r="C5">
        <f>SUMIF(Segmen!I3:I6000,A5,Segmen!D3:D6000)</f>
        <v/>
      </c>
      <c r="D5" t="inlineStr">
        <is>
          <t>Hubungi secara personal sebelum hilang</t>
        </is>
      </c>
    </row>
    <row r="6">
      <c r="A6" s="4" t="inlineStr">
        <is>
          <t>Tidur</t>
        </is>
      </c>
      <c r="B6">
        <f>COUNTIF(Segmen!I3:I6000,A6)</f>
        <v/>
      </c>
      <c r="C6">
        <f>SUMIF(Segmen!I3:I6000,A6,Segmen!D3:D6000)</f>
        <v/>
      </c>
      <c r="D6" t="inlineStr">
        <is>
          <t>Kampanye ulang ringan, jangan mahal</t>
        </is>
      </c>
    </row>
    <row r="7">
      <c r="A7" s="4" t="inlineStr">
        <is>
          <t>Umum</t>
        </is>
      </c>
      <c r="B7">
        <f>COUNTIF(Segmen!I3:I6000,A7)</f>
        <v/>
      </c>
      <c r="C7">
        <f>SUMIF(Segmen!I3:I6000,A7,Segmen!D3:D6000)</f>
        <v/>
      </c>
      <c r="D7" t="inlineStr">
        <is>
          <t>Komunikasi rutin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0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5" max="5"/>
    <col width="14" customWidth="1" min="6" max="6"/>
  </cols>
  <sheetData>
    <row r="1">
      <c r="A1" s="3" t="inlineStr">
        <is>
          <t>Peringkat</t>
        </is>
      </c>
      <c r="B1" s="3" t="inlineStr">
        <is>
          <t>ID donatur</t>
        </is>
      </c>
      <c r="C1" s="3" t="inlineStr">
        <is>
          <t>Total</t>
        </is>
      </c>
      <c r="E1" s="4" t="inlineStr">
        <is>
          <t>Konsentrasi dana</t>
        </is>
      </c>
    </row>
    <row r="2">
      <c r="A2" t="n">
        <v>1</v>
      </c>
      <c r="B2">
        <f>IFERROR(INDEX(Segmen!$A$3:$A$6000,MATCH(C2,Segmen!$D$3:$D$6000,0)),"")</f>
        <v/>
      </c>
      <c r="C2">
        <f>IFERROR(LARGE(Segmen!$D$3:$D$6000,A2),"")</f>
        <v/>
      </c>
      <c r="E2" t="inlineStr">
        <is>
          <t>Jumlah donatur</t>
        </is>
      </c>
      <c r="F2">
        <f>COUNT(C2:C6000)</f>
        <v/>
      </c>
    </row>
    <row r="3">
      <c r="A3" t="n">
        <v>2</v>
      </c>
      <c r="B3">
        <f>IFERROR(INDEX(Segmen!$A$3:$A$6000,MATCH(C3,Segmen!$D$3:$D$6000,0)),"")</f>
        <v/>
      </c>
      <c r="C3">
        <f>IFERROR(LARGE(Segmen!$D$3:$D$6000,A3),"")</f>
        <v/>
      </c>
      <c r="E3" t="inlineStr">
        <is>
          <t>Total dana</t>
        </is>
      </c>
      <c r="F3">
        <f>SUM(C2:C6000)</f>
        <v/>
      </c>
    </row>
    <row r="4">
      <c r="A4" t="n">
        <v>3</v>
      </c>
      <c r="B4">
        <f>IFERROR(INDEX(Segmen!$A$3:$A$6000,MATCH(C4,Segmen!$D$3:$D$6000,0)),"")</f>
        <v/>
      </c>
      <c r="C4">
        <f>IFERROR(LARGE(Segmen!$D$3:$D$6000,A4),"")</f>
        <v/>
      </c>
      <c r="E4" t="inlineStr">
        <is>
          <t>1% teratas</t>
        </is>
      </c>
      <c r="F4" s="5">
        <f>IF($F$2=0,"",SUM(C2:INDEX(C2:C6000,MAX(1,ROUND($F$2*0.01,0))))/$F$3)</f>
        <v/>
      </c>
    </row>
    <row r="5">
      <c r="A5" t="n">
        <v>4</v>
      </c>
      <c r="B5">
        <f>IFERROR(INDEX(Segmen!$A$3:$A$6000,MATCH(C5,Segmen!$D$3:$D$6000,0)),"")</f>
        <v/>
      </c>
      <c r="C5">
        <f>IFERROR(LARGE(Segmen!$D$3:$D$6000,A5),"")</f>
        <v/>
      </c>
      <c r="E5" t="inlineStr">
        <is>
          <t>10% teratas</t>
        </is>
      </c>
      <c r="F5" s="5">
        <f>IF($F$2=0,"",SUM(C2:INDEX(C2:C6000,MAX(1,ROUND($F$2*0.1,0))))/$F$3)</f>
        <v/>
      </c>
    </row>
    <row r="6">
      <c r="A6" t="n">
        <v>5</v>
      </c>
      <c r="B6">
        <f>IFERROR(INDEX(Segmen!$A$3:$A$6000,MATCH(C6,Segmen!$D$3:$D$6000,0)),"")</f>
        <v/>
      </c>
      <c r="C6">
        <f>IFERROR(LARGE(Segmen!$D$3:$D$6000,A6),"")</f>
        <v/>
      </c>
      <c r="E6" t="inlineStr">
        <is>
          <t>50% teratas</t>
        </is>
      </c>
      <c r="F6" s="5">
        <f>IF($F$2=0,"",SUM(C2:INDEX(C2:C6000,MAX(1,ROUND($F$2*0.5,0))))/$F$3)</f>
        <v/>
      </c>
    </row>
    <row r="7">
      <c r="A7" t="n">
        <v>6</v>
      </c>
      <c r="B7">
        <f>IFERROR(INDEX(Segmen!$A$3:$A$6000,MATCH(C7,Segmen!$D$3:$D$6000,0)),"")</f>
        <v/>
      </c>
      <c r="C7">
        <f>IFERROR(LARGE(Segmen!$D$3:$D$6000,A7),"")</f>
        <v/>
      </c>
    </row>
    <row r="8">
      <c r="A8" t="n">
        <v>7</v>
      </c>
      <c r="B8">
        <f>IFERROR(INDEX(Segmen!$A$3:$A$6000,MATCH(C8,Segmen!$D$3:$D$6000,0)),"")</f>
        <v/>
      </c>
      <c r="C8">
        <f>IFERROR(LARGE(Segmen!$D$3:$D$6000,A8),"")</f>
        <v/>
      </c>
    </row>
    <row r="9">
      <c r="A9" t="n">
        <v>8</v>
      </c>
      <c r="B9">
        <f>IFERROR(INDEX(Segmen!$A$3:$A$6000,MATCH(C9,Segmen!$D$3:$D$6000,0)),"")</f>
        <v/>
      </c>
      <c r="C9">
        <f>IFERROR(LARGE(Segmen!$D$3:$D$6000,A9),"")</f>
        <v/>
      </c>
    </row>
    <row r="10">
      <c r="A10" t="n">
        <v>9</v>
      </c>
      <c r="B10">
        <f>IFERROR(INDEX(Segmen!$A$3:$A$6000,MATCH(C10,Segmen!$D$3:$D$6000,0)),"")</f>
        <v/>
      </c>
      <c r="C10">
        <f>IFERROR(LARGE(Segmen!$D$3:$D$6000,A10),"")</f>
        <v/>
      </c>
    </row>
    <row r="11">
      <c r="A11" t="n">
        <v>10</v>
      </c>
      <c r="B11">
        <f>IFERROR(INDEX(Segmen!$A$3:$A$6000,MATCH(C11,Segmen!$D$3:$D$6000,0)),"")</f>
        <v/>
      </c>
      <c r="C11">
        <f>IFERROR(LARGE(Segmen!$D$3:$D$6000,A11),"")</f>
        <v/>
      </c>
    </row>
    <row r="12">
      <c r="A12" t="n">
        <v>11</v>
      </c>
      <c r="B12">
        <f>IFERROR(INDEX(Segmen!$A$3:$A$6000,MATCH(C12,Segmen!$D$3:$D$6000,0)),"")</f>
        <v/>
      </c>
      <c r="C12">
        <f>IFERROR(LARGE(Segmen!$D$3:$D$6000,A12),"")</f>
        <v/>
      </c>
    </row>
    <row r="13">
      <c r="A13" t="n">
        <v>12</v>
      </c>
      <c r="B13">
        <f>IFERROR(INDEX(Segmen!$A$3:$A$6000,MATCH(C13,Segmen!$D$3:$D$6000,0)),"")</f>
        <v/>
      </c>
      <c r="C13">
        <f>IFERROR(LARGE(Segmen!$D$3:$D$6000,A13),"")</f>
        <v/>
      </c>
    </row>
    <row r="14">
      <c r="A14" t="n">
        <v>13</v>
      </c>
      <c r="B14">
        <f>IFERROR(INDEX(Segmen!$A$3:$A$6000,MATCH(C14,Segmen!$D$3:$D$6000,0)),"")</f>
        <v/>
      </c>
      <c r="C14">
        <f>IFERROR(LARGE(Segmen!$D$3:$D$6000,A14),"")</f>
        <v/>
      </c>
    </row>
    <row r="15">
      <c r="A15" t="n">
        <v>14</v>
      </c>
      <c r="B15">
        <f>IFERROR(INDEX(Segmen!$A$3:$A$6000,MATCH(C15,Segmen!$D$3:$D$6000,0)),"")</f>
        <v/>
      </c>
      <c r="C15">
        <f>IFERROR(LARGE(Segmen!$D$3:$D$6000,A15),"")</f>
        <v/>
      </c>
    </row>
    <row r="16">
      <c r="A16" t="n">
        <v>15</v>
      </c>
      <c r="B16">
        <f>IFERROR(INDEX(Segmen!$A$3:$A$6000,MATCH(C16,Segmen!$D$3:$D$6000,0)),"")</f>
        <v/>
      </c>
      <c r="C16">
        <f>IFERROR(LARGE(Segmen!$D$3:$D$6000,A16),"")</f>
        <v/>
      </c>
    </row>
    <row r="17">
      <c r="A17" t="n">
        <v>16</v>
      </c>
      <c r="B17">
        <f>IFERROR(INDEX(Segmen!$A$3:$A$6000,MATCH(C17,Segmen!$D$3:$D$6000,0)),"")</f>
        <v/>
      </c>
      <c r="C17">
        <f>IFERROR(LARGE(Segmen!$D$3:$D$6000,A17),"")</f>
        <v/>
      </c>
    </row>
    <row r="18">
      <c r="A18" t="n">
        <v>17</v>
      </c>
      <c r="B18">
        <f>IFERROR(INDEX(Segmen!$A$3:$A$6000,MATCH(C18,Segmen!$D$3:$D$6000,0)),"")</f>
        <v/>
      </c>
      <c r="C18">
        <f>IFERROR(LARGE(Segmen!$D$3:$D$6000,A18),"")</f>
        <v/>
      </c>
    </row>
    <row r="19">
      <c r="A19" t="n">
        <v>18</v>
      </c>
      <c r="B19">
        <f>IFERROR(INDEX(Segmen!$A$3:$A$6000,MATCH(C19,Segmen!$D$3:$D$6000,0)),"")</f>
        <v/>
      </c>
      <c r="C19">
        <f>IFERROR(LARGE(Segmen!$D$3:$D$6000,A19),"")</f>
        <v/>
      </c>
    </row>
    <row r="20">
      <c r="A20" t="n">
        <v>19</v>
      </c>
      <c r="B20">
        <f>IFERROR(INDEX(Segmen!$A$3:$A$6000,MATCH(C20,Segmen!$D$3:$D$6000,0)),"")</f>
        <v/>
      </c>
      <c r="C20">
        <f>IFERROR(LARGE(Segmen!$D$3:$D$6000,A20),"")</f>
        <v/>
      </c>
    </row>
    <row r="21">
      <c r="A21" t="n">
        <v>20</v>
      </c>
      <c r="B21">
        <f>IFERROR(INDEX(Segmen!$A$3:$A$6000,MATCH(C21,Segmen!$D$3:$D$6000,0)),"")</f>
        <v/>
      </c>
      <c r="C21">
        <f>IFERROR(LARGE(Segmen!$D$3:$D$6000,A21),"")</f>
        <v/>
      </c>
    </row>
    <row r="22">
      <c r="A22" t="n">
        <v>21</v>
      </c>
      <c r="B22">
        <f>IFERROR(INDEX(Segmen!$A$3:$A$6000,MATCH(C22,Segmen!$D$3:$D$6000,0)),"")</f>
        <v/>
      </c>
      <c r="C22">
        <f>IFERROR(LARGE(Segmen!$D$3:$D$6000,A22),"")</f>
        <v/>
      </c>
    </row>
    <row r="23">
      <c r="A23" t="n">
        <v>22</v>
      </c>
      <c r="B23">
        <f>IFERROR(INDEX(Segmen!$A$3:$A$6000,MATCH(C23,Segmen!$D$3:$D$6000,0)),"")</f>
        <v/>
      </c>
      <c r="C23">
        <f>IFERROR(LARGE(Segmen!$D$3:$D$6000,A23),"")</f>
        <v/>
      </c>
    </row>
    <row r="24">
      <c r="A24" t="n">
        <v>23</v>
      </c>
      <c r="B24">
        <f>IFERROR(INDEX(Segmen!$A$3:$A$6000,MATCH(C24,Segmen!$D$3:$D$6000,0)),"")</f>
        <v/>
      </c>
      <c r="C24">
        <f>IFERROR(LARGE(Segmen!$D$3:$D$6000,A24),"")</f>
        <v/>
      </c>
    </row>
    <row r="25">
      <c r="A25" t="n">
        <v>24</v>
      </c>
      <c r="B25">
        <f>IFERROR(INDEX(Segmen!$A$3:$A$6000,MATCH(C25,Segmen!$D$3:$D$6000,0)),"")</f>
        <v/>
      </c>
      <c r="C25">
        <f>IFERROR(LARGE(Segmen!$D$3:$D$6000,A25),"")</f>
        <v/>
      </c>
    </row>
    <row r="26">
      <c r="A26" t="n">
        <v>25</v>
      </c>
      <c r="B26">
        <f>IFERROR(INDEX(Segmen!$A$3:$A$6000,MATCH(C26,Segmen!$D$3:$D$6000,0)),"")</f>
        <v/>
      </c>
      <c r="C26">
        <f>IFERROR(LARGE(Segmen!$D$3:$D$6000,A26),"")</f>
        <v/>
      </c>
    </row>
    <row r="27">
      <c r="A27" t="n">
        <v>26</v>
      </c>
      <c r="B27">
        <f>IFERROR(INDEX(Segmen!$A$3:$A$6000,MATCH(C27,Segmen!$D$3:$D$6000,0)),"")</f>
        <v/>
      </c>
      <c r="C27">
        <f>IFERROR(LARGE(Segmen!$D$3:$D$6000,A27),"")</f>
        <v/>
      </c>
    </row>
    <row r="28">
      <c r="A28" t="n">
        <v>27</v>
      </c>
      <c r="B28">
        <f>IFERROR(INDEX(Segmen!$A$3:$A$6000,MATCH(C28,Segmen!$D$3:$D$6000,0)),"")</f>
        <v/>
      </c>
      <c r="C28">
        <f>IFERROR(LARGE(Segmen!$D$3:$D$6000,A28),"")</f>
        <v/>
      </c>
    </row>
    <row r="29">
      <c r="A29" t="n">
        <v>28</v>
      </c>
      <c r="B29">
        <f>IFERROR(INDEX(Segmen!$A$3:$A$6000,MATCH(C29,Segmen!$D$3:$D$6000,0)),"")</f>
        <v/>
      </c>
      <c r="C29">
        <f>IFERROR(LARGE(Segmen!$D$3:$D$6000,A29),"")</f>
        <v/>
      </c>
    </row>
    <row r="30">
      <c r="A30" t="n">
        <v>29</v>
      </c>
      <c r="B30">
        <f>IFERROR(INDEX(Segmen!$A$3:$A$6000,MATCH(C30,Segmen!$D$3:$D$6000,0)),"")</f>
        <v/>
      </c>
      <c r="C30">
        <f>IFERROR(LARGE(Segmen!$D$3:$D$6000,A30),"")</f>
        <v/>
      </c>
    </row>
    <row r="31">
      <c r="A31" t="n">
        <v>30</v>
      </c>
      <c r="B31">
        <f>IFERROR(INDEX(Segmen!$A$3:$A$6000,MATCH(C31,Segmen!$D$3:$D$6000,0)),"")</f>
        <v/>
      </c>
      <c r="C31">
        <f>IFERROR(LARGE(Segmen!$D$3:$D$6000,A31),"")</f>
        <v/>
      </c>
    </row>
    <row r="32">
      <c r="A32" t="n">
        <v>31</v>
      </c>
      <c r="B32">
        <f>IFERROR(INDEX(Segmen!$A$3:$A$6000,MATCH(C32,Segmen!$D$3:$D$6000,0)),"")</f>
        <v/>
      </c>
      <c r="C32">
        <f>IFERROR(LARGE(Segmen!$D$3:$D$6000,A32),"")</f>
        <v/>
      </c>
    </row>
    <row r="33">
      <c r="A33" t="n">
        <v>32</v>
      </c>
      <c r="B33">
        <f>IFERROR(INDEX(Segmen!$A$3:$A$6000,MATCH(C33,Segmen!$D$3:$D$6000,0)),"")</f>
        <v/>
      </c>
      <c r="C33">
        <f>IFERROR(LARGE(Segmen!$D$3:$D$6000,A33),"")</f>
        <v/>
      </c>
    </row>
    <row r="34">
      <c r="A34" t="n">
        <v>33</v>
      </c>
      <c r="B34">
        <f>IFERROR(INDEX(Segmen!$A$3:$A$6000,MATCH(C34,Segmen!$D$3:$D$6000,0)),"")</f>
        <v/>
      </c>
      <c r="C34">
        <f>IFERROR(LARGE(Segmen!$D$3:$D$6000,A34),"")</f>
        <v/>
      </c>
    </row>
    <row r="35">
      <c r="A35" t="n">
        <v>34</v>
      </c>
      <c r="B35">
        <f>IFERROR(INDEX(Segmen!$A$3:$A$6000,MATCH(C35,Segmen!$D$3:$D$6000,0)),"")</f>
        <v/>
      </c>
      <c r="C35">
        <f>IFERROR(LARGE(Segmen!$D$3:$D$6000,A35),"")</f>
        <v/>
      </c>
    </row>
    <row r="36">
      <c r="A36" t="n">
        <v>35</v>
      </c>
      <c r="B36">
        <f>IFERROR(INDEX(Segmen!$A$3:$A$6000,MATCH(C36,Segmen!$D$3:$D$6000,0)),"")</f>
        <v/>
      </c>
      <c r="C36">
        <f>IFERROR(LARGE(Segmen!$D$3:$D$6000,A36),"")</f>
        <v/>
      </c>
    </row>
    <row r="37">
      <c r="A37" t="n">
        <v>36</v>
      </c>
      <c r="B37">
        <f>IFERROR(INDEX(Segmen!$A$3:$A$6000,MATCH(C37,Segmen!$D$3:$D$6000,0)),"")</f>
        <v/>
      </c>
      <c r="C37">
        <f>IFERROR(LARGE(Segmen!$D$3:$D$6000,A37),"")</f>
        <v/>
      </c>
    </row>
    <row r="38">
      <c r="A38" t="n">
        <v>37</v>
      </c>
      <c r="B38">
        <f>IFERROR(INDEX(Segmen!$A$3:$A$6000,MATCH(C38,Segmen!$D$3:$D$6000,0)),"")</f>
        <v/>
      </c>
      <c r="C38">
        <f>IFERROR(LARGE(Segmen!$D$3:$D$6000,A38),"")</f>
        <v/>
      </c>
    </row>
    <row r="39">
      <c r="A39" t="n">
        <v>38</v>
      </c>
      <c r="B39">
        <f>IFERROR(INDEX(Segmen!$A$3:$A$6000,MATCH(C39,Segmen!$D$3:$D$6000,0)),"")</f>
        <v/>
      </c>
      <c r="C39">
        <f>IFERROR(LARGE(Segmen!$D$3:$D$6000,A39),"")</f>
        <v/>
      </c>
    </row>
    <row r="40">
      <c r="A40" t="n">
        <v>39</v>
      </c>
      <c r="B40">
        <f>IFERROR(INDEX(Segmen!$A$3:$A$6000,MATCH(C40,Segmen!$D$3:$D$6000,0)),"")</f>
        <v/>
      </c>
      <c r="C40">
        <f>IFERROR(LARGE(Segmen!$D$3:$D$6000,A40),"")</f>
        <v/>
      </c>
    </row>
    <row r="41">
      <c r="A41" t="n">
        <v>40</v>
      </c>
      <c r="B41">
        <f>IFERROR(INDEX(Segmen!$A$3:$A$6000,MATCH(C41,Segmen!$D$3:$D$6000,0)),"")</f>
        <v/>
      </c>
      <c r="C41">
        <f>IFERROR(LARGE(Segmen!$D$3:$D$6000,A41),"")</f>
        <v/>
      </c>
    </row>
    <row r="42">
      <c r="A42" t="n">
        <v>41</v>
      </c>
      <c r="B42">
        <f>IFERROR(INDEX(Segmen!$A$3:$A$6000,MATCH(C42,Segmen!$D$3:$D$6000,0)),"")</f>
        <v/>
      </c>
      <c r="C42">
        <f>IFERROR(LARGE(Segmen!$D$3:$D$6000,A42),"")</f>
        <v/>
      </c>
    </row>
    <row r="43">
      <c r="A43" t="n">
        <v>42</v>
      </c>
      <c r="B43">
        <f>IFERROR(INDEX(Segmen!$A$3:$A$6000,MATCH(C43,Segmen!$D$3:$D$6000,0)),"")</f>
        <v/>
      </c>
      <c r="C43">
        <f>IFERROR(LARGE(Segmen!$D$3:$D$6000,A43),"")</f>
        <v/>
      </c>
    </row>
    <row r="44">
      <c r="A44" t="n">
        <v>43</v>
      </c>
      <c r="B44">
        <f>IFERROR(INDEX(Segmen!$A$3:$A$6000,MATCH(C44,Segmen!$D$3:$D$6000,0)),"")</f>
        <v/>
      </c>
      <c r="C44">
        <f>IFERROR(LARGE(Segmen!$D$3:$D$6000,A44),"")</f>
        <v/>
      </c>
    </row>
    <row r="45">
      <c r="A45" t="n">
        <v>44</v>
      </c>
      <c r="B45">
        <f>IFERROR(INDEX(Segmen!$A$3:$A$6000,MATCH(C45,Segmen!$D$3:$D$6000,0)),"")</f>
        <v/>
      </c>
      <c r="C45">
        <f>IFERROR(LARGE(Segmen!$D$3:$D$6000,A45),"")</f>
        <v/>
      </c>
    </row>
    <row r="46">
      <c r="A46" t="n">
        <v>45</v>
      </c>
      <c r="B46">
        <f>IFERROR(INDEX(Segmen!$A$3:$A$6000,MATCH(C46,Segmen!$D$3:$D$6000,0)),"")</f>
        <v/>
      </c>
      <c r="C46">
        <f>IFERROR(LARGE(Segmen!$D$3:$D$6000,A46),"")</f>
        <v/>
      </c>
    </row>
    <row r="47">
      <c r="A47" t="n">
        <v>46</v>
      </c>
      <c r="B47">
        <f>IFERROR(INDEX(Segmen!$A$3:$A$6000,MATCH(C47,Segmen!$D$3:$D$6000,0)),"")</f>
        <v/>
      </c>
      <c r="C47">
        <f>IFERROR(LARGE(Segmen!$D$3:$D$6000,A47),"")</f>
        <v/>
      </c>
    </row>
    <row r="48">
      <c r="A48" t="n">
        <v>47</v>
      </c>
      <c r="B48">
        <f>IFERROR(INDEX(Segmen!$A$3:$A$6000,MATCH(C48,Segmen!$D$3:$D$6000,0)),"")</f>
        <v/>
      </c>
      <c r="C48">
        <f>IFERROR(LARGE(Segmen!$D$3:$D$6000,A48),"")</f>
        <v/>
      </c>
    </row>
    <row r="49">
      <c r="A49" t="n">
        <v>48</v>
      </c>
      <c r="B49">
        <f>IFERROR(INDEX(Segmen!$A$3:$A$6000,MATCH(C49,Segmen!$D$3:$D$6000,0)),"")</f>
        <v/>
      </c>
      <c r="C49">
        <f>IFERROR(LARGE(Segmen!$D$3:$D$6000,A49),"")</f>
        <v/>
      </c>
    </row>
    <row r="50">
      <c r="A50" t="n">
        <v>49</v>
      </c>
      <c r="B50">
        <f>IFERROR(INDEX(Segmen!$A$3:$A$6000,MATCH(C50,Segmen!$D$3:$D$6000,0)),"")</f>
        <v/>
      </c>
      <c r="C50">
        <f>IFERROR(LARGE(Segmen!$D$3:$D$6000,A50),"")</f>
        <v/>
      </c>
    </row>
    <row r="51">
      <c r="A51" t="n">
        <v>50</v>
      </c>
      <c r="B51">
        <f>IFERROR(INDEX(Segmen!$A$3:$A$6000,MATCH(C51,Segmen!$D$3:$D$6000,0)),"")</f>
        <v/>
      </c>
      <c r="C51">
        <f>IFERROR(LARGE(Segmen!$D$3:$D$6000,A51),"")</f>
        <v/>
      </c>
    </row>
    <row r="52">
      <c r="A52" t="n">
        <v>51</v>
      </c>
      <c r="B52">
        <f>IFERROR(INDEX(Segmen!$A$3:$A$6000,MATCH(C52,Segmen!$D$3:$D$6000,0)),"")</f>
        <v/>
      </c>
      <c r="C52">
        <f>IFERROR(LARGE(Segmen!$D$3:$D$6000,A52),"")</f>
        <v/>
      </c>
    </row>
    <row r="53">
      <c r="A53" t="n">
        <v>52</v>
      </c>
      <c r="B53">
        <f>IFERROR(INDEX(Segmen!$A$3:$A$6000,MATCH(C53,Segmen!$D$3:$D$6000,0)),"")</f>
        <v/>
      </c>
      <c r="C53">
        <f>IFERROR(LARGE(Segmen!$D$3:$D$6000,A53),"")</f>
        <v/>
      </c>
    </row>
    <row r="54">
      <c r="A54" t="n">
        <v>53</v>
      </c>
      <c r="B54">
        <f>IFERROR(INDEX(Segmen!$A$3:$A$6000,MATCH(C54,Segmen!$D$3:$D$6000,0)),"")</f>
        <v/>
      </c>
      <c r="C54">
        <f>IFERROR(LARGE(Segmen!$D$3:$D$6000,A54),"")</f>
        <v/>
      </c>
    </row>
    <row r="55">
      <c r="A55" t="n">
        <v>54</v>
      </c>
      <c r="B55">
        <f>IFERROR(INDEX(Segmen!$A$3:$A$6000,MATCH(C55,Segmen!$D$3:$D$6000,0)),"")</f>
        <v/>
      </c>
      <c r="C55">
        <f>IFERROR(LARGE(Segmen!$D$3:$D$6000,A55),"")</f>
        <v/>
      </c>
    </row>
    <row r="56">
      <c r="A56" t="n">
        <v>55</v>
      </c>
      <c r="B56">
        <f>IFERROR(INDEX(Segmen!$A$3:$A$6000,MATCH(C56,Segmen!$D$3:$D$6000,0)),"")</f>
        <v/>
      </c>
      <c r="C56">
        <f>IFERROR(LARGE(Segmen!$D$3:$D$6000,A56),"")</f>
        <v/>
      </c>
    </row>
    <row r="57">
      <c r="A57" t="n">
        <v>56</v>
      </c>
      <c r="B57">
        <f>IFERROR(INDEX(Segmen!$A$3:$A$6000,MATCH(C57,Segmen!$D$3:$D$6000,0)),"")</f>
        <v/>
      </c>
      <c r="C57">
        <f>IFERROR(LARGE(Segmen!$D$3:$D$6000,A57),"")</f>
        <v/>
      </c>
    </row>
    <row r="58">
      <c r="A58" t="n">
        <v>57</v>
      </c>
      <c r="B58">
        <f>IFERROR(INDEX(Segmen!$A$3:$A$6000,MATCH(C58,Segmen!$D$3:$D$6000,0)),"")</f>
        <v/>
      </c>
      <c r="C58">
        <f>IFERROR(LARGE(Segmen!$D$3:$D$6000,A58),"")</f>
        <v/>
      </c>
    </row>
    <row r="59">
      <c r="A59" t="n">
        <v>58</v>
      </c>
      <c r="B59">
        <f>IFERROR(INDEX(Segmen!$A$3:$A$6000,MATCH(C59,Segmen!$D$3:$D$6000,0)),"")</f>
        <v/>
      </c>
      <c r="C59">
        <f>IFERROR(LARGE(Segmen!$D$3:$D$6000,A59),"")</f>
        <v/>
      </c>
    </row>
    <row r="60">
      <c r="A60" t="n">
        <v>59</v>
      </c>
      <c r="B60">
        <f>IFERROR(INDEX(Segmen!$A$3:$A$6000,MATCH(C60,Segmen!$D$3:$D$6000,0)),"")</f>
        <v/>
      </c>
      <c r="C60">
        <f>IFERROR(LARGE(Segmen!$D$3:$D$6000,A60),"")</f>
        <v/>
      </c>
    </row>
    <row r="61">
      <c r="A61" t="n">
        <v>60</v>
      </c>
      <c r="B61">
        <f>IFERROR(INDEX(Segmen!$A$3:$A$6000,MATCH(C61,Segmen!$D$3:$D$6000,0)),"")</f>
        <v/>
      </c>
      <c r="C61">
        <f>IFERROR(LARGE(Segmen!$D$3:$D$6000,A61),"")</f>
        <v/>
      </c>
    </row>
    <row r="62">
      <c r="A62" t="n">
        <v>61</v>
      </c>
      <c r="B62">
        <f>IFERROR(INDEX(Segmen!$A$3:$A$6000,MATCH(C62,Segmen!$D$3:$D$6000,0)),"")</f>
        <v/>
      </c>
      <c r="C62">
        <f>IFERROR(LARGE(Segmen!$D$3:$D$6000,A62),"")</f>
        <v/>
      </c>
    </row>
    <row r="63">
      <c r="A63" t="n">
        <v>62</v>
      </c>
      <c r="B63">
        <f>IFERROR(INDEX(Segmen!$A$3:$A$6000,MATCH(C63,Segmen!$D$3:$D$6000,0)),"")</f>
        <v/>
      </c>
      <c r="C63">
        <f>IFERROR(LARGE(Segmen!$D$3:$D$6000,A63),"")</f>
        <v/>
      </c>
    </row>
    <row r="64">
      <c r="A64" t="n">
        <v>63</v>
      </c>
      <c r="B64">
        <f>IFERROR(INDEX(Segmen!$A$3:$A$6000,MATCH(C64,Segmen!$D$3:$D$6000,0)),"")</f>
        <v/>
      </c>
      <c r="C64">
        <f>IFERROR(LARGE(Segmen!$D$3:$D$6000,A64),"")</f>
        <v/>
      </c>
    </row>
    <row r="65">
      <c r="A65" t="n">
        <v>64</v>
      </c>
      <c r="B65">
        <f>IFERROR(INDEX(Segmen!$A$3:$A$6000,MATCH(C65,Segmen!$D$3:$D$6000,0)),"")</f>
        <v/>
      </c>
      <c r="C65">
        <f>IFERROR(LARGE(Segmen!$D$3:$D$6000,A65),"")</f>
        <v/>
      </c>
    </row>
    <row r="66">
      <c r="A66" t="n">
        <v>65</v>
      </c>
      <c r="B66">
        <f>IFERROR(INDEX(Segmen!$A$3:$A$6000,MATCH(C66,Segmen!$D$3:$D$6000,0)),"")</f>
        <v/>
      </c>
      <c r="C66">
        <f>IFERROR(LARGE(Segmen!$D$3:$D$6000,A66),"")</f>
        <v/>
      </c>
    </row>
    <row r="67">
      <c r="A67" t="n">
        <v>66</v>
      </c>
      <c r="B67">
        <f>IFERROR(INDEX(Segmen!$A$3:$A$6000,MATCH(C67,Segmen!$D$3:$D$6000,0)),"")</f>
        <v/>
      </c>
      <c r="C67">
        <f>IFERROR(LARGE(Segmen!$D$3:$D$6000,A67),"")</f>
        <v/>
      </c>
    </row>
    <row r="68">
      <c r="A68" t="n">
        <v>67</v>
      </c>
      <c r="B68">
        <f>IFERROR(INDEX(Segmen!$A$3:$A$6000,MATCH(C68,Segmen!$D$3:$D$6000,0)),"")</f>
        <v/>
      </c>
      <c r="C68">
        <f>IFERROR(LARGE(Segmen!$D$3:$D$6000,A68),"")</f>
        <v/>
      </c>
    </row>
    <row r="69">
      <c r="A69" t="n">
        <v>68</v>
      </c>
      <c r="B69">
        <f>IFERROR(INDEX(Segmen!$A$3:$A$6000,MATCH(C69,Segmen!$D$3:$D$6000,0)),"")</f>
        <v/>
      </c>
      <c r="C69">
        <f>IFERROR(LARGE(Segmen!$D$3:$D$6000,A69),"")</f>
        <v/>
      </c>
    </row>
    <row r="70">
      <c r="A70" t="n">
        <v>69</v>
      </c>
      <c r="B70">
        <f>IFERROR(INDEX(Segmen!$A$3:$A$6000,MATCH(C70,Segmen!$D$3:$D$6000,0)),"")</f>
        <v/>
      </c>
      <c r="C70">
        <f>IFERROR(LARGE(Segmen!$D$3:$D$6000,A70),"")</f>
        <v/>
      </c>
    </row>
    <row r="71">
      <c r="A71" t="n">
        <v>70</v>
      </c>
      <c r="B71">
        <f>IFERROR(INDEX(Segmen!$A$3:$A$6000,MATCH(C71,Segmen!$D$3:$D$6000,0)),"")</f>
        <v/>
      </c>
      <c r="C71">
        <f>IFERROR(LARGE(Segmen!$D$3:$D$6000,A71),"")</f>
        <v/>
      </c>
    </row>
    <row r="72">
      <c r="A72" t="n">
        <v>71</v>
      </c>
      <c r="B72">
        <f>IFERROR(INDEX(Segmen!$A$3:$A$6000,MATCH(C72,Segmen!$D$3:$D$6000,0)),"")</f>
        <v/>
      </c>
      <c r="C72">
        <f>IFERROR(LARGE(Segmen!$D$3:$D$6000,A72),"")</f>
        <v/>
      </c>
    </row>
    <row r="73">
      <c r="A73" t="n">
        <v>72</v>
      </c>
      <c r="B73">
        <f>IFERROR(INDEX(Segmen!$A$3:$A$6000,MATCH(C73,Segmen!$D$3:$D$6000,0)),"")</f>
        <v/>
      </c>
      <c r="C73">
        <f>IFERROR(LARGE(Segmen!$D$3:$D$6000,A73),"")</f>
        <v/>
      </c>
    </row>
    <row r="74">
      <c r="A74" t="n">
        <v>73</v>
      </c>
      <c r="B74">
        <f>IFERROR(INDEX(Segmen!$A$3:$A$6000,MATCH(C74,Segmen!$D$3:$D$6000,0)),"")</f>
        <v/>
      </c>
      <c r="C74">
        <f>IFERROR(LARGE(Segmen!$D$3:$D$6000,A74),"")</f>
        <v/>
      </c>
    </row>
    <row r="75">
      <c r="A75" t="n">
        <v>74</v>
      </c>
      <c r="B75">
        <f>IFERROR(INDEX(Segmen!$A$3:$A$6000,MATCH(C75,Segmen!$D$3:$D$6000,0)),"")</f>
        <v/>
      </c>
      <c r="C75">
        <f>IFERROR(LARGE(Segmen!$D$3:$D$6000,A75),"")</f>
        <v/>
      </c>
    </row>
    <row r="76">
      <c r="A76" t="n">
        <v>75</v>
      </c>
      <c r="B76">
        <f>IFERROR(INDEX(Segmen!$A$3:$A$6000,MATCH(C76,Segmen!$D$3:$D$6000,0)),"")</f>
        <v/>
      </c>
      <c r="C76">
        <f>IFERROR(LARGE(Segmen!$D$3:$D$6000,A76),"")</f>
        <v/>
      </c>
    </row>
    <row r="77">
      <c r="A77" t="n">
        <v>76</v>
      </c>
      <c r="B77">
        <f>IFERROR(INDEX(Segmen!$A$3:$A$6000,MATCH(C77,Segmen!$D$3:$D$6000,0)),"")</f>
        <v/>
      </c>
      <c r="C77">
        <f>IFERROR(LARGE(Segmen!$D$3:$D$6000,A77),"")</f>
        <v/>
      </c>
    </row>
    <row r="78">
      <c r="A78" t="n">
        <v>77</v>
      </c>
      <c r="B78">
        <f>IFERROR(INDEX(Segmen!$A$3:$A$6000,MATCH(C78,Segmen!$D$3:$D$6000,0)),"")</f>
        <v/>
      </c>
      <c r="C78">
        <f>IFERROR(LARGE(Segmen!$D$3:$D$6000,A78),"")</f>
        <v/>
      </c>
    </row>
    <row r="79">
      <c r="A79" t="n">
        <v>78</v>
      </c>
      <c r="B79">
        <f>IFERROR(INDEX(Segmen!$A$3:$A$6000,MATCH(C79,Segmen!$D$3:$D$6000,0)),"")</f>
        <v/>
      </c>
      <c r="C79">
        <f>IFERROR(LARGE(Segmen!$D$3:$D$6000,A79),"")</f>
        <v/>
      </c>
    </row>
    <row r="80">
      <c r="A80" t="n">
        <v>79</v>
      </c>
      <c r="B80">
        <f>IFERROR(INDEX(Segmen!$A$3:$A$6000,MATCH(C80,Segmen!$D$3:$D$6000,0)),"")</f>
        <v/>
      </c>
      <c r="C80">
        <f>IFERROR(LARGE(Segmen!$D$3:$D$6000,A80),"")</f>
        <v/>
      </c>
    </row>
    <row r="81">
      <c r="A81" t="n">
        <v>80</v>
      </c>
      <c r="B81">
        <f>IFERROR(INDEX(Segmen!$A$3:$A$6000,MATCH(C81,Segmen!$D$3:$D$6000,0)),"")</f>
        <v/>
      </c>
      <c r="C81">
        <f>IFERROR(LARGE(Segmen!$D$3:$D$6000,A81),"")</f>
        <v/>
      </c>
    </row>
    <row r="82">
      <c r="A82" t="n">
        <v>81</v>
      </c>
      <c r="B82">
        <f>IFERROR(INDEX(Segmen!$A$3:$A$6000,MATCH(C82,Segmen!$D$3:$D$6000,0)),"")</f>
        <v/>
      </c>
      <c r="C82">
        <f>IFERROR(LARGE(Segmen!$D$3:$D$6000,A82),"")</f>
        <v/>
      </c>
    </row>
    <row r="83">
      <c r="A83" t="n">
        <v>82</v>
      </c>
      <c r="B83">
        <f>IFERROR(INDEX(Segmen!$A$3:$A$6000,MATCH(C83,Segmen!$D$3:$D$6000,0)),"")</f>
        <v/>
      </c>
      <c r="C83">
        <f>IFERROR(LARGE(Segmen!$D$3:$D$6000,A83),"")</f>
        <v/>
      </c>
    </row>
    <row r="84">
      <c r="A84" t="n">
        <v>83</v>
      </c>
      <c r="B84">
        <f>IFERROR(INDEX(Segmen!$A$3:$A$6000,MATCH(C84,Segmen!$D$3:$D$6000,0)),"")</f>
        <v/>
      </c>
      <c r="C84">
        <f>IFERROR(LARGE(Segmen!$D$3:$D$6000,A84),"")</f>
        <v/>
      </c>
    </row>
    <row r="85">
      <c r="A85" t="n">
        <v>84</v>
      </c>
      <c r="B85">
        <f>IFERROR(INDEX(Segmen!$A$3:$A$6000,MATCH(C85,Segmen!$D$3:$D$6000,0)),"")</f>
        <v/>
      </c>
      <c r="C85">
        <f>IFERROR(LARGE(Segmen!$D$3:$D$6000,A85),"")</f>
        <v/>
      </c>
    </row>
    <row r="86">
      <c r="A86" t="n">
        <v>85</v>
      </c>
      <c r="B86">
        <f>IFERROR(INDEX(Segmen!$A$3:$A$6000,MATCH(C86,Segmen!$D$3:$D$6000,0)),"")</f>
        <v/>
      </c>
      <c r="C86">
        <f>IFERROR(LARGE(Segmen!$D$3:$D$6000,A86),"")</f>
        <v/>
      </c>
    </row>
    <row r="87">
      <c r="A87" t="n">
        <v>86</v>
      </c>
      <c r="B87">
        <f>IFERROR(INDEX(Segmen!$A$3:$A$6000,MATCH(C87,Segmen!$D$3:$D$6000,0)),"")</f>
        <v/>
      </c>
      <c r="C87">
        <f>IFERROR(LARGE(Segmen!$D$3:$D$6000,A87),"")</f>
        <v/>
      </c>
    </row>
    <row r="88">
      <c r="A88" t="n">
        <v>87</v>
      </c>
      <c r="B88">
        <f>IFERROR(INDEX(Segmen!$A$3:$A$6000,MATCH(C88,Segmen!$D$3:$D$6000,0)),"")</f>
        <v/>
      </c>
      <c r="C88">
        <f>IFERROR(LARGE(Segmen!$D$3:$D$6000,A88),"")</f>
        <v/>
      </c>
    </row>
    <row r="89">
      <c r="A89" t="n">
        <v>88</v>
      </c>
      <c r="B89">
        <f>IFERROR(INDEX(Segmen!$A$3:$A$6000,MATCH(C89,Segmen!$D$3:$D$6000,0)),"")</f>
        <v/>
      </c>
      <c r="C89">
        <f>IFERROR(LARGE(Segmen!$D$3:$D$6000,A89),"")</f>
        <v/>
      </c>
    </row>
    <row r="90">
      <c r="A90" t="n">
        <v>89</v>
      </c>
      <c r="B90">
        <f>IFERROR(INDEX(Segmen!$A$3:$A$6000,MATCH(C90,Segmen!$D$3:$D$6000,0)),"")</f>
        <v/>
      </c>
      <c r="C90">
        <f>IFERROR(LARGE(Segmen!$D$3:$D$6000,A90),"")</f>
        <v/>
      </c>
    </row>
    <row r="91">
      <c r="A91" t="n">
        <v>90</v>
      </c>
      <c r="B91">
        <f>IFERROR(INDEX(Segmen!$A$3:$A$6000,MATCH(C91,Segmen!$D$3:$D$6000,0)),"")</f>
        <v/>
      </c>
      <c r="C91">
        <f>IFERROR(LARGE(Segmen!$D$3:$D$6000,A91),"")</f>
        <v/>
      </c>
    </row>
    <row r="92">
      <c r="A92" t="n">
        <v>91</v>
      </c>
      <c r="B92">
        <f>IFERROR(INDEX(Segmen!$A$3:$A$6000,MATCH(C92,Segmen!$D$3:$D$6000,0)),"")</f>
        <v/>
      </c>
      <c r="C92">
        <f>IFERROR(LARGE(Segmen!$D$3:$D$6000,A92),"")</f>
        <v/>
      </c>
    </row>
    <row r="93">
      <c r="A93" t="n">
        <v>92</v>
      </c>
      <c r="B93">
        <f>IFERROR(INDEX(Segmen!$A$3:$A$6000,MATCH(C93,Segmen!$D$3:$D$6000,0)),"")</f>
        <v/>
      </c>
      <c r="C93">
        <f>IFERROR(LARGE(Segmen!$D$3:$D$6000,A93),"")</f>
        <v/>
      </c>
    </row>
    <row r="94">
      <c r="A94" t="n">
        <v>93</v>
      </c>
      <c r="B94">
        <f>IFERROR(INDEX(Segmen!$A$3:$A$6000,MATCH(C94,Segmen!$D$3:$D$6000,0)),"")</f>
        <v/>
      </c>
      <c r="C94">
        <f>IFERROR(LARGE(Segmen!$D$3:$D$6000,A94),"")</f>
        <v/>
      </c>
    </row>
    <row r="95">
      <c r="A95" t="n">
        <v>94</v>
      </c>
      <c r="B95">
        <f>IFERROR(INDEX(Segmen!$A$3:$A$6000,MATCH(C95,Segmen!$D$3:$D$6000,0)),"")</f>
        <v/>
      </c>
      <c r="C95">
        <f>IFERROR(LARGE(Segmen!$D$3:$D$6000,A95),"")</f>
        <v/>
      </c>
    </row>
    <row r="96">
      <c r="A96" t="n">
        <v>95</v>
      </c>
      <c r="B96">
        <f>IFERROR(INDEX(Segmen!$A$3:$A$6000,MATCH(C96,Segmen!$D$3:$D$6000,0)),"")</f>
        <v/>
      </c>
      <c r="C96">
        <f>IFERROR(LARGE(Segmen!$D$3:$D$6000,A96),"")</f>
        <v/>
      </c>
    </row>
    <row r="97">
      <c r="A97" t="n">
        <v>96</v>
      </c>
      <c r="B97">
        <f>IFERROR(INDEX(Segmen!$A$3:$A$6000,MATCH(C97,Segmen!$D$3:$D$6000,0)),"")</f>
        <v/>
      </c>
      <c r="C97">
        <f>IFERROR(LARGE(Segmen!$D$3:$D$6000,A97),"")</f>
        <v/>
      </c>
    </row>
    <row r="98">
      <c r="A98" t="n">
        <v>97</v>
      </c>
      <c r="B98">
        <f>IFERROR(INDEX(Segmen!$A$3:$A$6000,MATCH(C98,Segmen!$D$3:$D$6000,0)),"")</f>
        <v/>
      </c>
      <c r="C98">
        <f>IFERROR(LARGE(Segmen!$D$3:$D$6000,A98),"")</f>
        <v/>
      </c>
    </row>
    <row r="99">
      <c r="A99" t="n">
        <v>98</v>
      </c>
      <c r="B99">
        <f>IFERROR(INDEX(Segmen!$A$3:$A$6000,MATCH(C99,Segmen!$D$3:$D$6000,0)),"")</f>
        <v/>
      </c>
      <c r="C99">
        <f>IFERROR(LARGE(Segmen!$D$3:$D$6000,A99),"")</f>
        <v/>
      </c>
    </row>
    <row r="100">
      <c r="A100" t="n">
        <v>99</v>
      </c>
      <c r="B100">
        <f>IFERROR(INDEX(Segmen!$A$3:$A$6000,MATCH(C100,Segmen!$D$3:$D$6000,0)),"")</f>
        <v/>
      </c>
      <c r="C100">
        <f>IFERROR(LARGE(Segmen!$D$3:$D$6000,A100),"")</f>
        <v/>
      </c>
    </row>
    <row r="101">
      <c r="A101" t="n">
        <v>100</v>
      </c>
      <c r="B101">
        <f>IFERROR(INDEX(Segmen!$A$3:$A$6000,MATCH(C101,Segmen!$D$3:$D$6000,0)),"")</f>
        <v/>
      </c>
      <c r="C101">
        <f>IFERROR(LARGE(Segmen!$D$3:$D$6000,A101),"")</f>
        <v/>
      </c>
    </row>
    <row r="102">
      <c r="A102" t="n">
        <v>101</v>
      </c>
      <c r="B102">
        <f>IFERROR(INDEX(Segmen!$A$3:$A$6000,MATCH(C102,Segmen!$D$3:$D$6000,0)),"")</f>
        <v/>
      </c>
      <c r="C102">
        <f>IFERROR(LARGE(Segmen!$D$3:$D$6000,A102),"")</f>
        <v/>
      </c>
    </row>
    <row r="103">
      <c r="A103" t="n">
        <v>102</v>
      </c>
      <c r="B103">
        <f>IFERROR(INDEX(Segmen!$A$3:$A$6000,MATCH(C103,Segmen!$D$3:$D$6000,0)),"")</f>
        <v/>
      </c>
      <c r="C103">
        <f>IFERROR(LARGE(Segmen!$D$3:$D$6000,A103),"")</f>
        <v/>
      </c>
    </row>
    <row r="104">
      <c r="A104" t="n">
        <v>103</v>
      </c>
      <c r="B104">
        <f>IFERROR(INDEX(Segmen!$A$3:$A$6000,MATCH(C104,Segmen!$D$3:$D$6000,0)),"")</f>
        <v/>
      </c>
      <c r="C104">
        <f>IFERROR(LARGE(Segmen!$D$3:$D$6000,A104),"")</f>
        <v/>
      </c>
    </row>
    <row r="105">
      <c r="A105" t="n">
        <v>104</v>
      </c>
      <c r="B105">
        <f>IFERROR(INDEX(Segmen!$A$3:$A$6000,MATCH(C105,Segmen!$D$3:$D$6000,0)),"")</f>
        <v/>
      </c>
      <c r="C105">
        <f>IFERROR(LARGE(Segmen!$D$3:$D$6000,A105),"")</f>
        <v/>
      </c>
    </row>
    <row r="106">
      <c r="A106" t="n">
        <v>105</v>
      </c>
      <c r="B106">
        <f>IFERROR(INDEX(Segmen!$A$3:$A$6000,MATCH(C106,Segmen!$D$3:$D$6000,0)),"")</f>
        <v/>
      </c>
      <c r="C106">
        <f>IFERROR(LARGE(Segmen!$D$3:$D$6000,A106),"")</f>
        <v/>
      </c>
    </row>
    <row r="107">
      <c r="A107" t="n">
        <v>106</v>
      </c>
      <c r="B107">
        <f>IFERROR(INDEX(Segmen!$A$3:$A$6000,MATCH(C107,Segmen!$D$3:$D$6000,0)),"")</f>
        <v/>
      </c>
      <c r="C107">
        <f>IFERROR(LARGE(Segmen!$D$3:$D$6000,A107),"")</f>
        <v/>
      </c>
    </row>
    <row r="108">
      <c r="A108" t="n">
        <v>107</v>
      </c>
      <c r="B108">
        <f>IFERROR(INDEX(Segmen!$A$3:$A$6000,MATCH(C108,Segmen!$D$3:$D$6000,0)),"")</f>
        <v/>
      </c>
      <c r="C108">
        <f>IFERROR(LARGE(Segmen!$D$3:$D$6000,A108),"")</f>
        <v/>
      </c>
    </row>
    <row r="109">
      <c r="A109" t="n">
        <v>108</v>
      </c>
      <c r="B109">
        <f>IFERROR(INDEX(Segmen!$A$3:$A$6000,MATCH(C109,Segmen!$D$3:$D$6000,0)),"")</f>
        <v/>
      </c>
      <c r="C109">
        <f>IFERROR(LARGE(Segmen!$D$3:$D$6000,A109),"")</f>
        <v/>
      </c>
    </row>
    <row r="110">
      <c r="A110" t="n">
        <v>109</v>
      </c>
      <c r="B110">
        <f>IFERROR(INDEX(Segmen!$A$3:$A$6000,MATCH(C110,Segmen!$D$3:$D$6000,0)),"")</f>
        <v/>
      </c>
      <c r="C110">
        <f>IFERROR(LARGE(Segmen!$D$3:$D$6000,A110),"")</f>
        <v/>
      </c>
    </row>
    <row r="111">
      <c r="A111" t="n">
        <v>110</v>
      </c>
      <c r="B111">
        <f>IFERROR(INDEX(Segmen!$A$3:$A$6000,MATCH(C111,Segmen!$D$3:$D$6000,0)),"")</f>
        <v/>
      </c>
      <c r="C111">
        <f>IFERROR(LARGE(Segmen!$D$3:$D$6000,A111),"")</f>
        <v/>
      </c>
    </row>
    <row r="112">
      <c r="A112" t="n">
        <v>111</v>
      </c>
      <c r="B112">
        <f>IFERROR(INDEX(Segmen!$A$3:$A$6000,MATCH(C112,Segmen!$D$3:$D$6000,0)),"")</f>
        <v/>
      </c>
      <c r="C112">
        <f>IFERROR(LARGE(Segmen!$D$3:$D$6000,A112),"")</f>
        <v/>
      </c>
    </row>
    <row r="113">
      <c r="A113" t="n">
        <v>112</v>
      </c>
      <c r="B113">
        <f>IFERROR(INDEX(Segmen!$A$3:$A$6000,MATCH(C113,Segmen!$D$3:$D$6000,0)),"")</f>
        <v/>
      </c>
      <c r="C113">
        <f>IFERROR(LARGE(Segmen!$D$3:$D$6000,A113),"")</f>
        <v/>
      </c>
    </row>
    <row r="114">
      <c r="A114" t="n">
        <v>113</v>
      </c>
      <c r="B114">
        <f>IFERROR(INDEX(Segmen!$A$3:$A$6000,MATCH(C114,Segmen!$D$3:$D$6000,0)),"")</f>
        <v/>
      </c>
      <c r="C114">
        <f>IFERROR(LARGE(Segmen!$D$3:$D$6000,A114),"")</f>
        <v/>
      </c>
    </row>
    <row r="115">
      <c r="A115" t="n">
        <v>114</v>
      </c>
      <c r="B115">
        <f>IFERROR(INDEX(Segmen!$A$3:$A$6000,MATCH(C115,Segmen!$D$3:$D$6000,0)),"")</f>
        <v/>
      </c>
      <c r="C115">
        <f>IFERROR(LARGE(Segmen!$D$3:$D$6000,A115),"")</f>
        <v/>
      </c>
    </row>
    <row r="116">
      <c r="A116" t="n">
        <v>115</v>
      </c>
      <c r="B116">
        <f>IFERROR(INDEX(Segmen!$A$3:$A$6000,MATCH(C116,Segmen!$D$3:$D$6000,0)),"")</f>
        <v/>
      </c>
      <c r="C116">
        <f>IFERROR(LARGE(Segmen!$D$3:$D$6000,A116),"")</f>
        <v/>
      </c>
    </row>
    <row r="117">
      <c r="A117" t="n">
        <v>116</v>
      </c>
      <c r="B117">
        <f>IFERROR(INDEX(Segmen!$A$3:$A$6000,MATCH(C117,Segmen!$D$3:$D$6000,0)),"")</f>
        <v/>
      </c>
      <c r="C117">
        <f>IFERROR(LARGE(Segmen!$D$3:$D$6000,A117),"")</f>
        <v/>
      </c>
    </row>
    <row r="118">
      <c r="A118" t="n">
        <v>117</v>
      </c>
      <c r="B118">
        <f>IFERROR(INDEX(Segmen!$A$3:$A$6000,MATCH(C118,Segmen!$D$3:$D$6000,0)),"")</f>
        <v/>
      </c>
      <c r="C118">
        <f>IFERROR(LARGE(Segmen!$D$3:$D$6000,A118),"")</f>
        <v/>
      </c>
    </row>
    <row r="119">
      <c r="A119" t="n">
        <v>118</v>
      </c>
      <c r="B119">
        <f>IFERROR(INDEX(Segmen!$A$3:$A$6000,MATCH(C119,Segmen!$D$3:$D$6000,0)),"")</f>
        <v/>
      </c>
      <c r="C119">
        <f>IFERROR(LARGE(Segmen!$D$3:$D$6000,A119),"")</f>
        <v/>
      </c>
    </row>
    <row r="120">
      <c r="A120" t="n">
        <v>119</v>
      </c>
      <c r="B120">
        <f>IFERROR(INDEX(Segmen!$A$3:$A$6000,MATCH(C120,Segmen!$D$3:$D$6000,0)),"")</f>
        <v/>
      </c>
      <c r="C120">
        <f>IFERROR(LARGE(Segmen!$D$3:$D$6000,A120),"")</f>
        <v/>
      </c>
    </row>
    <row r="121">
      <c r="A121" t="n">
        <v>120</v>
      </c>
      <c r="B121">
        <f>IFERROR(INDEX(Segmen!$A$3:$A$6000,MATCH(C121,Segmen!$D$3:$D$6000,0)),"")</f>
        <v/>
      </c>
      <c r="C121">
        <f>IFERROR(LARGE(Segmen!$D$3:$D$6000,A121),"")</f>
        <v/>
      </c>
    </row>
    <row r="122">
      <c r="A122" t="n">
        <v>121</v>
      </c>
      <c r="B122">
        <f>IFERROR(INDEX(Segmen!$A$3:$A$6000,MATCH(C122,Segmen!$D$3:$D$6000,0)),"")</f>
        <v/>
      </c>
      <c r="C122">
        <f>IFERROR(LARGE(Segmen!$D$3:$D$6000,A122),"")</f>
        <v/>
      </c>
    </row>
    <row r="123">
      <c r="A123" t="n">
        <v>122</v>
      </c>
      <c r="B123">
        <f>IFERROR(INDEX(Segmen!$A$3:$A$6000,MATCH(C123,Segmen!$D$3:$D$6000,0)),"")</f>
        <v/>
      </c>
      <c r="C123">
        <f>IFERROR(LARGE(Segmen!$D$3:$D$6000,A123),"")</f>
        <v/>
      </c>
    </row>
    <row r="124">
      <c r="A124" t="n">
        <v>123</v>
      </c>
      <c r="B124">
        <f>IFERROR(INDEX(Segmen!$A$3:$A$6000,MATCH(C124,Segmen!$D$3:$D$6000,0)),"")</f>
        <v/>
      </c>
      <c r="C124">
        <f>IFERROR(LARGE(Segmen!$D$3:$D$6000,A124),"")</f>
        <v/>
      </c>
    </row>
    <row r="125">
      <c r="A125" t="n">
        <v>124</v>
      </c>
      <c r="B125">
        <f>IFERROR(INDEX(Segmen!$A$3:$A$6000,MATCH(C125,Segmen!$D$3:$D$6000,0)),"")</f>
        <v/>
      </c>
      <c r="C125">
        <f>IFERROR(LARGE(Segmen!$D$3:$D$6000,A125),"")</f>
        <v/>
      </c>
    </row>
    <row r="126">
      <c r="A126" t="n">
        <v>125</v>
      </c>
      <c r="B126">
        <f>IFERROR(INDEX(Segmen!$A$3:$A$6000,MATCH(C126,Segmen!$D$3:$D$6000,0)),"")</f>
        <v/>
      </c>
      <c r="C126">
        <f>IFERROR(LARGE(Segmen!$D$3:$D$6000,A126),"")</f>
        <v/>
      </c>
    </row>
    <row r="127">
      <c r="A127" t="n">
        <v>126</v>
      </c>
      <c r="B127">
        <f>IFERROR(INDEX(Segmen!$A$3:$A$6000,MATCH(C127,Segmen!$D$3:$D$6000,0)),"")</f>
        <v/>
      </c>
      <c r="C127">
        <f>IFERROR(LARGE(Segmen!$D$3:$D$6000,A127),"")</f>
        <v/>
      </c>
    </row>
    <row r="128">
      <c r="A128" t="n">
        <v>127</v>
      </c>
      <c r="B128">
        <f>IFERROR(INDEX(Segmen!$A$3:$A$6000,MATCH(C128,Segmen!$D$3:$D$6000,0)),"")</f>
        <v/>
      </c>
      <c r="C128">
        <f>IFERROR(LARGE(Segmen!$D$3:$D$6000,A128),"")</f>
        <v/>
      </c>
    </row>
    <row r="129">
      <c r="A129" t="n">
        <v>128</v>
      </c>
      <c r="B129">
        <f>IFERROR(INDEX(Segmen!$A$3:$A$6000,MATCH(C129,Segmen!$D$3:$D$6000,0)),"")</f>
        <v/>
      </c>
      <c r="C129">
        <f>IFERROR(LARGE(Segmen!$D$3:$D$6000,A129),"")</f>
        <v/>
      </c>
    </row>
    <row r="130">
      <c r="A130" t="n">
        <v>129</v>
      </c>
      <c r="B130">
        <f>IFERROR(INDEX(Segmen!$A$3:$A$6000,MATCH(C130,Segmen!$D$3:$D$6000,0)),"")</f>
        <v/>
      </c>
      <c r="C130">
        <f>IFERROR(LARGE(Segmen!$D$3:$D$6000,A130),"")</f>
        <v/>
      </c>
    </row>
    <row r="131">
      <c r="A131" t="n">
        <v>130</v>
      </c>
      <c r="B131">
        <f>IFERROR(INDEX(Segmen!$A$3:$A$6000,MATCH(C131,Segmen!$D$3:$D$6000,0)),"")</f>
        <v/>
      </c>
      <c r="C131">
        <f>IFERROR(LARGE(Segmen!$D$3:$D$6000,A131),"")</f>
        <v/>
      </c>
    </row>
    <row r="132">
      <c r="A132" t="n">
        <v>131</v>
      </c>
      <c r="B132">
        <f>IFERROR(INDEX(Segmen!$A$3:$A$6000,MATCH(C132,Segmen!$D$3:$D$6000,0)),"")</f>
        <v/>
      </c>
      <c r="C132">
        <f>IFERROR(LARGE(Segmen!$D$3:$D$6000,A132),"")</f>
        <v/>
      </c>
    </row>
    <row r="133">
      <c r="A133" t="n">
        <v>132</v>
      </c>
      <c r="B133">
        <f>IFERROR(INDEX(Segmen!$A$3:$A$6000,MATCH(C133,Segmen!$D$3:$D$6000,0)),"")</f>
        <v/>
      </c>
      <c r="C133">
        <f>IFERROR(LARGE(Segmen!$D$3:$D$6000,A133),"")</f>
        <v/>
      </c>
    </row>
    <row r="134">
      <c r="A134" t="n">
        <v>133</v>
      </c>
      <c r="B134">
        <f>IFERROR(INDEX(Segmen!$A$3:$A$6000,MATCH(C134,Segmen!$D$3:$D$6000,0)),"")</f>
        <v/>
      </c>
      <c r="C134">
        <f>IFERROR(LARGE(Segmen!$D$3:$D$6000,A134),"")</f>
        <v/>
      </c>
    </row>
    <row r="135">
      <c r="A135" t="n">
        <v>134</v>
      </c>
      <c r="B135">
        <f>IFERROR(INDEX(Segmen!$A$3:$A$6000,MATCH(C135,Segmen!$D$3:$D$6000,0)),"")</f>
        <v/>
      </c>
      <c r="C135">
        <f>IFERROR(LARGE(Segmen!$D$3:$D$6000,A135),"")</f>
        <v/>
      </c>
    </row>
    <row r="136">
      <c r="A136" t="n">
        <v>135</v>
      </c>
      <c r="B136">
        <f>IFERROR(INDEX(Segmen!$A$3:$A$6000,MATCH(C136,Segmen!$D$3:$D$6000,0)),"")</f>
        <v/>
      </c>
      <c r="C136">
        <f>IFERROR(LARGE(Segmen!$D$3:$D$6000,A136),"")</f>
        <v/>
      </c>
    </row>
    <row r="137">
      <c r="A137" t="n">
        <v>136</v>
      </c>
      <c r="B137">
        <f>IFERROR(INDEX(Segmen!$A$3:$A$6000,MATCH(C137,Segmen!$D$3:$D$6000,0)),"")</f>
        <v/>
      </c>
      <c r="C137">
        <f>IFERROR(LARGE(Segmen!$D$3:$D$6000,A137),"")</f>
        <v/>
      </c>
    </row>
    <row r="138">
      <c r="A138" t="n">
        <v>137</v>
      </c>
      <c r="B138">
        <f>IFERROR(INDEX(Segmen!$A$3:$A$6000,MATCH(C138,Segmen!$D$3:$D$6000,0)),"")</f>
        <v/>
      </c>
      <c r="C138">
        <f>IFERROR(LARGE(Segmen!$D$3:$D$6000,A138),"")</f>
        <v/>
      </c>
    </row>
    <row r="139">
      <c r="A139" t="n">
        <v>138</v>
      </c>
      <c r="B139">
        <f>IFERROR(INDEX(Segmen!$A$3:$A$6000,MATCH(C139,Segmen!$D$3:$D$6000,0)),"")</f>
        <v/>
      </c>
      <c r="C139">
        <f>IFERROR(LARGE(Segmen!$D$3:$D$6000,A139),"")</f>
        <v/>
      </c>
    </row>
    <row r="140">
      <c r="A140" t="n">
        <v>139</v>
      </c>
      <c r="B140">
        <f>IFERROR(INDEX(Segmen!$A$3:$A$6000,MATCH(C140,Segmen!$D$3:$D$6000,0)),"")</f>
        <v/>
      </c>
      <c r="C140">
        <f>IFERROR(LARGE(Segmen!$D$3:$D$6000,A140),"")</f>
        <v/>
      </c>
    </row>
    <row r="141">
      <c r="A141" t="n">
        <v>140</v>
      </c>
      <c r="B141">
        <f>IFERROR(INDEX(Segmen!$A$3:$A$6000,MATCH(C141,Segmen!$D$3:$D$6000,0)),"")</f>
        <v/>
      </c>
      <c r="C141">
        <f>IFERROR(LARGE(Segmen!$D$3:$D$6000,A141),"")</f>
        <v/>
      </c>
    </row>
    <row r="142">
      <c r="A142" t="n">
        <v>141</v>
      </c>
      <c r="B142">
        <f>IFERROR(INDEX(Segmen!$A$3:$A$6000,MATCH(C142,Segmen!$D$3:$D$6000,0)),"")</f>
        <v/>
      </c>
      <c r="C142">
        <f>IFERROR(LARGE(Segmen!$D$3:$D$6000,A142),"")</f>
        <v/>
      </c>
    </row>
    <row r="143">
      <c r="A143" t="n">
        <v>142</v>
      </c>
      <c r="B143">
        <f>IFERROR(INDEX(Segmen!$A$3:$A$6000,MATCH(C143,Segmen!$D$3:$D$6000,0)),"")</f>
        <v/>
      </c>
      <c r="C143">
        <f>IFERROR(LARGE(Segmen!$D$3:$D$6000,A143),"")</f>
        <v/>
      </c>
    </row>
    <row r="144">
      <c r="A144" t="n">
        <v>143</v>
      </c>
      <c r="B144">
        <f>IFERROR(INDEX(Segmen!$A$3:$A$6000,MATCH(C144,Segmen!$D$3:$D$6000,0)),"")</f>
        <v/>
      </c>
      <c r="C144">
        <f>IFERROR(LARGE(Segmen!$D$3:$D$6000,A144),"")</f>
        <v/>
      </c>
    </row>
    <row r="145">
      <c r="A145" t="n">
        <v>144</v>
      </c>
      <c r="B145">
        <f>IFERROR(INDEX(Segmen!$A$3:$A$6000,MATCH(C145,Segmen!$D$3:$D$6000,0)),"")</f>
        <v/>
      </c>
      <c r="C145">
        <f>IFERROR(LARGE(Segmen!$D$3:$D$6000,A145),"")</f>
        <v/>
      </c>
    </row>
    <row r="146">
      <c r="A146" t="n">
        <v>145</v>
      </c>
      <c r="B146">
        <f>IFERROR(INDEX(Segmen!$A$3:$A$6000,MATCH(C146,Segmen!$D$3:$D$6000,0)),"")</f>
        <v/>
      </c>
      <c r="C146">
        <f>IFERROR(LARGE(Segmen!$D$3:$D$6000,A146),"")</f>
        <v/>
      </c>
    </row>
    <row r="147">
      <c r="A147" t="n">
        <v>146</v>
      </c>
      <c r="B147">
        <f>IFERROR(INDEX(Segmen!$A$3:$A$6000,MATCH(C147,Segmen!$D$3:$D$6000,0)),"")</f>
        <v/>
      </c>
      <c r="C147">
        <f>IFERROR(LARGE(Segmen!$D$3:$D$6000,A147),"")</f>
        <v/>
      </c>
    </row>
    <row r="148">
      <c r="A148" t="n">
        <v>147</v>
      </c>
      <c r="B148">
        <f>IFERROR(INDEX(Segmen!$A$3:$A$6000,MATCH(C148,Segmen!$D$3:$D$6000,0)),"")</f>
        <v/>
      </c>
      <c r="C148">
        <f>IFERROR(LARGE(Segmen!$D$3:$D$6000,A148),"")</f>
        <v/>
      </c>
    </row>
    <row r="149">
      <c r="A149" t="n">
        <v>148</v>
      </c>
      <c r="B149">
        <f>IFERROR(INDEX(Segmen!$A$3:$A$6000,MATCH(C149,Segmen!$D$3:$D$6000,0)),"")</f>
        <v/>
      </c>
      <c r="C149">
        <f>IFERROR(LARGE(Segmen!$D$3:$D$6000,A149),"")</f>
        <v/>
      </c>
    </row>
    <row r="150">
      <c r="A150" t="n">
        <v>149</v>
      </c>
      <c r="B150">
        <f>IFERROR(INDEX(Segmen!$A$3:$A$6000,MATCH(C150,Segmen!$D$3:$D$6000,0)),"")</f>
        <v/>
      </c>
      <c r="C150">
        <f>IFERROR(LARGE(Segmen!$D$3:$D$6000,A150),"")</f>
        <v/>
      </c>
    </row>
    <row r="151">
      <c r="A151" t="n">
        <v>150</v>
      </c>
      <c r="B151">
        <f>IFERROR(INDEX(Segmen!$A$3:$A$6000,MATCH(C151,Segmen!$D$3:$D$6000,0)),"")</f>
        <v/>
      </c>
      <c r="C151">
        <f>IFERROR(LARGE(Segmen!$D$3:$D$6000,A151),"")</f>
        <v/>
      </c>
    </row>
    <row r="152">
      <c r="A152" t="n">
        <v>151</v>
      </c>
      <c r="B152">
        <f>IFERROR(INDEX(Segmen!$A$3:$A$6000,MATCH(C152,Segmen!$D$3:$D$6000,0)),"")</f>
        <v/>
      </c>
      <c r="C152">
        <f>IFERROR(LARGE(Segmen!$D$3:$D$6000,A152),"")</f>
        <v/>
      </c>
    </row>
    <row r="153">
      <c r="A153" t="n">
        <v>152</v>
      </c>
      <c r="B153">
        <f>IFERROR(INDEX(Segmen!$A$3:$A$6000,MATCH(C153,Segmen!$D$3:$D$6000,0)),"")</f>
        <v/>
      </c>
      <c r="C153">
        <f>IFERROR(LARGE(Segmen!$D$3:$D$6000,A153),"")</f>
        <v/>
      </c>
    </row>
    <row r="154">
      <c r="A154" t="n">
        <v>153</v>
      </c>
      <c r="B154">
        <f>IFERROR(INDEX(Segmen!$A$3:$A$6000,MATCH(C154,Segmen!$D$3:$D$6000,0)),"")</f>
        <v/>
      </c>
      <c r="C154">
        <f>IFERROR(LARGE(Segmen!$D$3:$D$6000,A154),"")</f>
        <v/>
      </c>
    </row>
    <row r="155">
      <c r="A155" t="n">
        <v>154</v>
      </c>
      <c r="B155">
        <f>IFERROR(INDEX(Segmen!$A$3:$A$6000,MATCH(C155,Segmen!$D$3:$D$6000,0)),"")</f>
        <v/>
      </c>
      <c r="C155">
        <f>IFERROR(LARGE(Segmen!$D$3:$D$6000,A155),"")</f>
        <v/>
      </c>
    </row>
    <row r="156">
      <c r="A156" t="n">
        <v>155</v>
      </c>
      <c r="B156">
        <f>IFERROR(INDEX(Segmen!$A$3:$A$6000,MATCH(C156,Segmen!$D$3:$D$6000,0)),"")</f>
        <v/>
      </c>
      <c r="C156">
        <f>IFERROR(LARGE(Segmen!$D$3:$D$6000,A156),"")</f>
        <v/>
      </c>
    </row>
    <row r="157">
      <c r="A157" t="n">
        <v>156</v>
      </c>
      <c r="B157">
        <f>IFERROR(INDEX(Segmen!$A$3:$A$6000,MATCH(C157,Segmen!$D$3:$D$6000,0)),"")</f>
        <v/>
      </c>
      <c r="C157">
        <f>IFERROR(LARGE(Segmen!$D$3:$D$6000,A157),"")</f>
        <v/>
      </c>
    </row>
    <row r="158">
      <c r="A158" t="n">
        <v>157</v>
      </c>
      <c r="B158">
        <f>IFERROR(INDEX(Segmen!$A$3:$A$6000,MATCH(C158,Segmen!$D$3:$D$6000,0)),"")</f>
        <v/>
      </c>
      <c r="C158">
        <f>IFERROR(LARGE(Segmen!$D$3:$D$6000,A158),"")</f>
        <v/>
      </c>
    </row>
    <row r="159">
      <c r="A159" t="n">
        <v>158</v>
      </c>
      <c r="B159">
        <f>IFERROR(INDEX(Segmen!$A$3:$A$6000,MATCH(C159,Segmen!$D$3:$D$6000,0)),"")</f>
        <v/>
      </c>
      <c r="C159">
        <f>IFERROR(LARGE(Segmen!$D$3:$D$6000,A159),"")</f>
        <v/>
      </c>
    </row>
    <row r="160">
      <c r="A160" t="n">
        <v>159</v>
      </c>
      <c r="B160">
        <f>IFERROR(INDEX(Segmen!$A$3:$A$6000,MATCH(C160,Segmen!$D$3:$D$6000,0)),"")</f>
        <v/>
      </c>
      <c r="C160">
        <f>IFERROR(LARGE(Segmen!$D$3:$D$6000,A160),"")</f>
        <v/>
      </c>
    </row>
    <row r="161">
      <c r="A161" t="n">
        <v>160</v>
      </c>
      <c r="B161">
        <f>IFERROR(INDEX(Segmen!$A$3:$A$6000,MATCH(C161,Segmen!$D$3:$D$6000,0)),"")</f>
        <v/>
      </c>
      <c r="C161">
        <f>IFERROR(LARGE(Segmen!$D$3:$D$6000,A161),"")</f>
        <v/>
      </c>
    </row>
    <row r="162">
      <c r="A162" t="n">
        <v>161</v>
      </c>
      <c r="B162">
        <f>IFERROR(INDEX(Segmen!$A$3:$A$6000,MATCH(C162,Segmen!$D$3:$D$6000,0)),"")</f>
        <v/>
      </c>
      <c r="C162">
        <f>IFERROR(LARGE(Segmen!$D$3:$D$6000,A162),"")</f>
        <v/>
      </c>
    </row>
    <row r="163">
      <c r="A163" t="n">
        <v>162</v>
      </c>
      <c r="B163">
        <f>IFERROR(INDEX(Segmen!$A$3:$A$6000,MATCH(C163,Segmen!$D$3:$D$6000,0)),"")</f>
        <v/>
      </c>
      <c r="C163">
        <f>IFERROR(LARGE(Segmen!$D$3:$D$6000,A163),"")</f>
        <v/>
      </c>
    </row>
    <row r="164">
      <c r="A164" t="n">
        <v>163</v>
      </c>
      <c r="B164">
        <f>IFERROR(INDEX(Segmen!$A$3:$A$6000,MATCH(C164,Segmen!$D$3:$D$6000,0)),"")</f>
        <v/>
      </c>
      <c r="C164">
        <f>IFERROR(LARGE(Segmen!$D$3:$D$6000,A164),"")</f>
        <v/>
      </c>
    </row>
    <row r="165">
      <c r="A165" t="n">
        <v>164</v>
      </c>
      <c r="B165">
        <f>IFERROR(INDEX(Segmen!$A$3:$A$6000,MATCH(C165,Segmen!$D$3:$D$6000,0)),"")</f>
        <v/>
      </c>
      <c r="C165">
        <f>IFERROR(LARGE(Segmen!$D$3:$D$6000,A165),"")</f>
        <v/>
      </c>
    </row>
    <row r="166">
      <c r="A166" t="n">
        <v>165</v>
      </c>
      <c r="B166">
        <f>IFERROR(INDEX(Segmen!$A$3:$A$6000,MATCH(C166,Segmen!$D$3:$D$6000,0)),"")</f>
        <v/>
      </c>
      <c r="C166">
        <f>IFERROR(LARGE(Segmen!$D$3:$D$6000,A166),"")</f>
        <v/>
      </c>
    </row>
    <row r="167">
      <c r="A167" t="n">
        <v>166</v>
      </c>
      <c r="B167">
        <f>IFERROR(INDEX(Segmen!$A$3:$A$6000,MATCH(C167,Segmen!$D$3:$D$6000,0)),"")</f>
        <v/>
      </c>
      <c r="C167">
        <f>IFERROR(LARGE(Segmen!$D$3:$D$6000,A167),"")</f>
        <v/>
      </c>
    </row>
    <row r="168">
      <c r="A168" t="n">
        <v>167</v>
      </c>
      <c r="B168">
        <f>IFERROR(INDEX(Segmen!$A$3:$A$6000,MATCH(C168,Segmen!$D$3:$D$6000,0)),"")</f>
        <v/>
      </c>
      <c r="C168">
        <f>IFERROR(LARGE(Segmen!$D$3:$D$6000,A168),"")</f>
        <v/>
      </c>
    </row>
    <row r="169">
      <c r="A169" t="n">
        <v>168</v>
      </c>
      <c r="B169">
        <f>IFERROR(INDEX(Segmen!$A$3:$A$6000,MATCH(C169,Segmen!$D$3:$D$6000,0)),"")</f>
        <v/>
      </c>
      <c r="C169">
        <f>IFERROR(LARGE(Segmen!$D$3:$D$6000,A169),"")</f>
        <v/>
      </c>
    </row>
    <row r="170">
      <c r="A170" t="n">
        <v>169</v>
      </c>
      <c r="B170">
        <f>IFERROR(INDEX(Segmen!$A$3:$A$6000,MATCH(C170,Segmen!$D$3:$D$6000,0)),"")</f>
        <v/>
      </c>
      <c r="C170">
        <f>IFERROR(LARGE(Segmen!$D$3:$D$6000,A170),"")</f>
        <v/>
      </c>
    </row>
    <row r="171">
      <c r="A171" t="n">
        <v>170</v>
      </c>
      <c r="B171">
        <f>IFERROR(INDEX(Segmen!$A$3:$A$6000,MATCH(C171,Segmen!$D$3:$D$6000,0)),"")</f>
        <v/>
      </c>
      <c r="C171">
        <f>IFERROR(LARGE(Segmen!$D$3:$D$6000,A171),"")</f>
        <v/>
      </c>
    </row>
    <row r="172">
      <c r="A172" t="n">
        <v>171</v>
      </c>
      <c r="B172">
        <f>IFERROR(INDEX(Segmen!$A$3:$A$6000,MATCH(C172,Segmen!$D$3:$D$6000,0)),"")</f>
        <v/>
      </c>
      <c r="C172">
        <f>IFERROR(LARGE(Segmen!$D$3:$D$6000,A172),"")</f>
        <v/>
      </c>
    </row>
    <row r="173">
      <c r="A173" t="n">
        <v>172</v>
      </c>
      <c r="B173">
        <f>IFERROR(INDEX(Segmen!$A$3:$A$6000,MATCH(C173,Segmen!$D$3:$D$6000,0)),"")</f>
        <v/>
      </c>
      <c r="C173">
        <f>IFERROR(LARGE(Segmen!$D$3:$D$6000,A173),"")</f>
        <v/>
      </c>
    </row>
    <row r="174">
      <c r="A174" t="n">
        <v>173</v>
      </c>
      <c r="B174">
        <f>IFERROR(INDEX(Segmen!$A$3:$A$6000,MATCH(C174,Segmen!$D$3:$D$6000,0)),"")</f>
        <v/>
      </c>
      <c r="C174">
        <f>IFERROR(LARGE(Segmen!$D$3:$D$6000,A174),"")</f>
        <v/>
      </c>
    </row>
    <row r="175">
      <c r="A175" t="n">
        <v>174</v>
      </c>
      <c r="B175">
        <f>IFERROR(INDEX(Segmen!$A$3:$A$6000,MATCH(C175,Segmen!$D$3:$D$6000,0)),"")</f>
        <v/>
      </c>
      <c r="C175">
        <f>IFERROR(LARGE(Segmen!$D$3:$D$6000,A175),"")</f>
        <v/>
      </c>
    </row>
    <row r="176">
      <c r="A176" t="n">
        <v>175</v>
      </c>
      <c r="B176">
        <f>IFERROR(INDEX(Segmen!$A$3:$A$6000,MATCH(C176,Segmen!$D$3:$D$6000,0)),"")</f>
        <v/>
      </c>
      <c r="C176">
        <f>IFERROR(LARGE(Segmen!$D$3:$D$6000,A176),"")</f>
        <v/>
      </c>
    </row>
    <row r="177">
      <c r="A177" t="n">
        <v>176</v>
      </c>
      <c r="B177">
        <f>IFERROR(INDEX(Segmen!$A$3:$A$6000,MATCH(C177,Segmen!$D$3:$D$6000,0)),"")</f>
        <v/>
      </c>
      <c r="C177">
        <f>IFERROR(LARGE(Segmen!$D$3:$D$6000,A177),"")</f>
        <v/>
      </c>
    </row>
    <row r="178">
      <c r="A178" t="n">
        <v>177</v>
      </c>
      <c r="B178">
        <f>IFERROR(INDEX(Segmen!$A$3:$A$6000,MATCH(C178,Segmen!$D$3:$D$6000,0)),"")</f>
        <v/>
      </c>
      <c r="C178">
        <f>IFERROR(LARGE(Segmen!$D$3:$D$6000,A178),"")</f>
        <v/>
      </c>
    </row>
    <row r="179">
      <c r="A179" t="n">
        <v>178</v>
      </c>
      <c r="B179">
        <f>IFERROR(INDEX(Segmen!$A$3:$A$6000,MATCH(C179,Segmen!$D$3:$D$6000,0)),"")</f>
        <v/>
      </c>
      <c r="C179">
        <f>IFERROR(LARGE(Segmen!$D$3:$D$6000,A179),"")</f>
        <v/>
      </c>
    </row>
    <row r="180">
      <c r="A180" t="n">
        <v>179</v>
      </c>
      <c r="B180">
        <f>IFERROR(INDEX(Segmen!$A$3:$A$6000,MATCH(C180,Segmen!$D$3:$D$6000,0)),"")</f>
        <v/>
      </c>
      <c r="C180">
        <f>IFERROR(LARGE(Segmen!$D$3:$D$6000,A180),"")</f>
        <v/>
      </c>
    </row>
    <row r="181">
      <c r="A181" t="n">
        <v>180</v>
      </c>
      <c r="B181">
        <f>IFERROR(INDEX(Segmen!$A$3:$A$6000,MATCH(C181,Segmen!$D$3:$D$6000,0)),"")</f>
        <v/>
      </c>
      <c r="C181">
        <f>IFERROR(LARGE(Segmen!$D$3:$D$6000,A181),"")</f>
        <v/>
      </c>
    </row>
    <row r="182">
      <c r="A182" t="n">
        <v>181</v>
      </c>
      <c r="B182">
        <f>IFERROR(INDEX(Segmen!$A$3:$A$6000,MATCH(C182,Segmen!$D$3:$D$6000,0)),"")</f>
        <v/>
      </c>
      <c r="C182">
        <f>IFERROR(LARGE(Segmen!$D$3:$D$6000,A182),"")</f>
        <v/>
      </c>
    </row>
    <row r="183">
      <c r="A183" t="n">
        <v>182</v>
      </c>
      <c r="B183">
        <f>IFERROR(INDEX(Segmen!$A$3:$A$6000,MATCH(C183,Segmen!$D$3:$D$6000,0)),"")</f>
        <v/>
      </c>
      <c r="C183">
        <f>IFERROR(LARGE(Segmen!$D$3:$D$6000,A183),"")</f>
        <v/>
      </c>
    </row>
    <row r="184">
      <c r="A184" t="n">
        <v>183</v>
      </c>
      <c r="B184">
        <f>IFERROR(INDEX(Segmen!$A$3:$A$6000,MATCH(C184,Segmen!$D$3:$D$6000,0)),"")</f>
        <v/>
      </c>
      <c r="C184">
        <f>IFERROR(LARGE(Segmen!$D$3:$D$6000,A184),"")</f>
        <v/>
      </c>
    </row>
    <row r="185">
      <c r="A185" t="n">
        <v>184</v>
      </c>
      <c r="B185">
        <f>IFERROR(INDEX(Segmen!$A$3:$A$6000,MATCH(C185,Segmen!$D$3:$D$6000,0)),"")</f>
        <v/>
      </c>
      <c r="C185">
        <f>IFERROR(LARGE(Segmen!$D$3:$D$6000,A185),"")</f>
        <v/>
      </c>
    </row>
    <row r="186">
      <c r="A186" t="n">
        <v>185</v>
      </c>
      <c r="B186">
        <f>IFERROR(INDEX(Segmen!$A$3:$A$6000,MATCH(C186,Segmen!$D$3:$D$6000,0)),"")</f>
        <v/>
      </c>
      <c r="C186">
        <f>IFERROR(LARGE(Segmen!$D$3:$D$6000,A186),"")</f>
        <v/>
      </c>
    </row>
    <row r="187">
      <c r="A187" t="n">
        <v>186</v>
      </c>
      <c r="B187">
        <f>IFERROR(INDEX(Segmen!$A$3:$A$6000,MATCH(C187,Segmen!$D$3:$D$6000,0)),"")</f>
        <v/>
      </c>
      <c r="C187">
        <f>IFERROR(LARGE(Segmen!$D$3:$D$6000,A187),"")</f>
        <v/>
      </c>
    </row>
    <row r="188">
      <c r="A188" t="n">
        <v>187</v>
      </c>
      <c r="B188">
        <f>IFERROR(INDEX(Segmen!$A$3:$A$6000,MATCH(C188,Segmen!$D$3:$D$6000,0)),"")</f>
        <v/>
      </c>
      <c r="C188">
        <f>IFERROR(LARGE(Segmen!$D$3:$D$6000,A188),"")</f>
        <v/>
      </c>
    </row>
    <row r="189">
      <c r="A189" t="n">
        <v>188</v>
      </c>
      <c r="B189">
        <f>IFERROR(INDEX(Segmen!$A$3:$A$6000,MATCH(C189,Segmen!$D$3:$D$6000,0)),"")</f>
        <v/>
      </c>
      <c r="C189">
        <f>IFERROR(LARGE(Segmen!$D$3:$D$6000,A189),"")</f>
        <v/>
      </c>
    </row>
    <row r="190">
      <c r="A190" t="n">
        <v>189</v>
      </c>
      <c r="B190">
        <f>IFERROR(INDEX(Segmen!$A$3:$A$6000,MATCH(C190,Segmen!$D$3:$D$6000,0)),"")</f>
        <v/>
      </c>
      <c r="C190">
        <f>IFERROR(LARGE(Segmen!$D$3:$D$6000,A190),"")</f>
        <v/>
      </c>
    </row>
    <row r="191">
      <c r="A191" t="n">
        <v>190</v>
      </c>
      <c r="B191">
        <f>IFERROR(INDEX(Segmen!$A$3:$A$6000,MATCH(C191,Segmen!$D$3:$D$6000,0)),"")</f>
        <v/>
      </c>
      <c r="C191">
        <f>IFERROR(LARGE(Segmen!$D$3:$D$6000,A191),"")</f>
        <v/>
      </c>
    </row>
    <row r="192">
      <c r="A192" t="n">
        <v>191</v>
      </c>
      <c r="B192">
        <f>IFERROR(INDEX(Segmen!$A$3:$A$6000,MATCH(C192,Segmen!$D$3:$D$6000,0)),"")</f>
        <v/>
      </c>
      <c r="C192">
        <f>IFERROR(LARGE(Segmen!$D$3:$D$6000,A192),"")</f>
        <v/>
      </c>
    </row>
    <row r="193">
      <c r="A193" t="n">
        <v>192</v>
      </c>
      <c r="B193">
        <f>IFERROR(INDEX(Segmen!$A$3:$A$6000,MATCH(C193,Segmen!$D$3:$D$6000,0)),"")</f>
        <v/>
      </c>
      <c r="C193">
        <f>IFERROR(LARGE(Segmen!$D$3:$D$6000,A193),"")</f>
        <v/>
      </c>
    </row>
    <row r="194">
      <c r="A194" t="n">
        <v>193</v>
      </c>
      <c r="B194">
        <f>IFERROR(INDEX(Segmen!$A$3:$A$6000,MATCH(C194,Segmen!$D$3:$D$6000,0)),"")</f>
        <v/>
      </c>
      <c r="C194">
        <f>IFERROR(LARGE(Segmen!$D$3:$D$6000,A194),"")</f>
        <v/>
      </c>
    </row>
    <row r="195">
      <c r="A195" t="n">
        <v>194</v>
      </c>
      <c r="B195">
        <f>IFERROR(INDEX(Segmen!$A$3:$A$6000,MATCH(C195,Segmen!$D$3:$D$6000,0)),"")</f>
        <v/>
      </c>
      <c r="C195">
        <f>IFERROR(LARGE(Segmen!$D$3:$D$6000,A195),"")</f>
        <v/>
      </c>
    </row>
    <row r="196">
      <c r="A196" t="n">
        <v>195</v>
      </c>
      <c r="B196">
        <f>IFERROR(INDEX(Segmen!$A$3:$A$6000,MATCH(C196,Segmen!$D$3:$D$6000,0)),"")</f>
        <v/>
      </c>
      <c r="C196">
        <f>IFERROR(LARGE(Segmen!$D$3:$D$6000,A196),"")</f>
        <v/>
      </c>
    </row>
    <row r="197">
      <c r="A197" t="n">
        <v>196</v>
      </c>
      <c r="B197">
        <f>IFERROR(INDEX(Segmen!$A$3:$A$6000,MATCH(C197,Segmen!$D$3:$D$6000,0)),"")</f>
        <v/>
      </c>
      <c r="C197">
        <f>IFERROR(LARGE(Segmen!$D$3:$D$6000,A197),"")</f>
        <v/>
      </c>
    </row>
    <row r="198">
      <c r="A198" t="n">
        <v>197</v>
      </c>
      <c r="B198">
        <f>IFERROR(INDEX(Segmen!$A$3:$A$6000,MATCH(C198,Segmen!$D$3:$D$6000,0)),"")</f>
        <v/>
      </c>
      <c r="C198">
        <f>IFERROR(LARGE(Segmen!$D$3:$D$6000,A198),"")</f>
        <v/>
      </c>
    </row>
    <row r="199">
      <c r="A199" t="n">
        <v>198</v>
      </c>
      <c r="B199">
        <f>IFERROR(INDEX(Segmen!$A$3:$A$6000,MATCH(C199,Segmen!$D$3:$D$6000,0)),"")</f>
        <v/>
      </c>
      <c r="C199">
        <f>IFERROR(LARGE(Segmen!$D$3:$D$6000,A199),"")</f>
        <v/>
      </c>
    </row>
    <row r="200">
      <c r="A200" t="n">
        <v>199</v>
      </c>
      <c r="B200">
        <f>IFERROR(INDEX(Segmen!$A$3:$A$6000,MATCH(C200,Segmen!$D$3:$D$6000,0)),"")</f>
        <v/>
      </c>
      <c r="C200">
        <f>IFERROR(LARGE(Segmen!$D$3:$D$6000,A200),"")</f>
        <v/>
      </c>
    </row>
    <row r="201">
      <c r="A201" t="n">
        <v>200</v>
      </c>
      <c r="B201">
        <f>IFERROR(INDEX(Segmen!$A$3:$A$6000,MATCH(C201,Segmen!$D$3:$D$6000,0)),"")</f>
        <v/>
      </c>
      <c r="C201">
        <f>IFERROR(LARGE(Segmen!$D$3:$D$6000,A201),"")</f>
        <v/>
      </c>
    </row>
    <row r="202">
      <c r="A202" t="n">
        <v>201</v>
      </c>
      <c r="B202">
        <f>IFERROR(INDEX(Segmen!$A$3:$A$6000,MATCH(C202,Segmen!$D$3:$D$6000,0)),"")</f>
        <v/>
      </c>
      <c r="C202">
        <f>IFERROR(LARGE(Segmen!$D$3:$D$6000,A202),"")</f>
        <v/>
      </c>
    </row>
    <row r="203">
      <c r="A203" t="n">
        <v>202</v>
      </c>
      <c r="B203">
        <f>IFERROR(INDEX(Segmen!$A$3:$A$6000,MATCH(C203,Segmen!$D$3:$D$6000,0)),"")</f>
        <v/>
      </c>
      <c r="C203">
        <f>IFERROR(LARGE(Segmen!$D$3:$D$6000,A203),"")</f>
        <v/>
      </c>
    </row>
    <row r="204">
      <c r="A204" t="n">
        <v>203</v>
      </c>
      <c r="B204">
        <f>IFERROR(INDEX(Segmen!$A$3:$A$6000,MATCH(C204,Segmen!$D$3:$D$6000,0)),"")</f>
        <v/>
      </c>
      <c r="C204">
        <f>IFERROR(LARGE(Segmen!$D$3:$D$6000,A204),"")</f>
        <v/>
      </c>
    </row>
    <row r="205">
      <c r="A205" t="n">
        <v>204</v>
      </c>
      <c r="B205">
        <f>IFERROR(INDEX(Segmen!$A$3:$A$6000,MATCH(C205,Segmen!$D$3:$D$6000,0)),"")</f>
        <v/>
      </c>
      <c r="C205">
        <f>IFERROR(LARGE(Segmen!$D$3:$D$6000,A205),"")</f>
        <v/>
      </c>
    </row>
    <row r="206">
      <c r="A206" t="n">
        <v>205</v>
      </c>
      <c r="B206">
        <f>IFERROR(INDEX(Segmen!$A$3:$A$6000,MATCH(C206,Segmen!$D$3:$D$6000,0)),"")</f>
        <v/>
      </c>
      <c r="C206">
        <f>IFERROR(LARGE(Segmen!$D$3:$D$6000,A206),"")</f>
        <v/>
      </c>
    </row>
    <row r="207">
      <c r="A207" t="n">
        <v>206</v>
      </c>
      <c r="B207">
        <f>IFERROR(INDEX(Segmen!$A$3:$A$6000,MATCH(C207,Segmen!$D$3:$D$6000,0)),"")</f>
        <v/>
      </c>
      <c r="C207">
        <f>IFERROR(LARGE(Segmen!$D$3:$D$6000,A207),"")</f>
        <v/>
      </c>
    </row>
    <row r="208">
      <c r="A208" t="n">
        <v>207</v>
      </c>
      <c r="B208">
        <f>IFERROR(INDEX(Segmen!$A$3:$A$6000,MATCH(C208,Segmen!$D$3:$D$6000,0)),"")</f>
        <v/>
      </c>
      <c r="C208">
        <f>IFERROR(LARGE(Segmen!$D$3:$D$6000,A208),"")</f>
        <v/>
      </c>
    </row>
    <row r="209">
      <c r="A209" t="n">
        <v>208</v>
      </c>
      <c r="B209">
        <f>IFERROR(INDEX(Segmen!$A$3:$A$6000,MATCH(C209,Segmen!$D$3:$D$6000,0)),"")</f>
        <v/>
      </c>
      <c r="C209">
        <f>IFERROR(LARGE(Segmen!$D$3:$D$6000,A209),"")</f>
        <v/>
      </c>
    </row>
    <row r="210">
      <c r="A210" t="n">
        <v>209</v>
      </c>
      <c r="B210">
        <f>IFERROR(INDEX(Segmen!$A$3:$A$6000,MATCH(C210,Segmen!$D$3:$D$6000,0)),"")</f>
        <v/>
      </c>
      <c r="C210">
        <f>IFERROR(LARGE(Segmen!$D$3:$D$6000,A210),"")</f>
        <v/>
      </c>
    </row>
    <row r="211">
      <c r="A211" t="n">
        <v>210</v>
      </c>
      <c r="B211">
        <f>IFERROR(INDEX(Segmen!$A$3:$A$6000,MATCH(C211,Segmen!$D$3:$D$6000,0)),"")</f>
        <v/>
      </c>
      <c r="C211">
        <f>IFERROR(LARGE(Segmen!$D$3:$D$6000,A211),"")</f>
        <v/>
      </c>
    </row>
    <row r="212">
      <c r="A212" t="n">
        <v>211</v>
      </c>
      <c r="B212">
        <f>IFERROR(INDEX(Segmen!$A$3:$A$6000,MATCH(C212,Segmen!$D$3:$D$6000,0)),"")</f>
        <v/>
      </c>
      <c r="C212">
        <f>IFERROR(LARGE(Segmen!$D$3:$D$6000,A212),"")</f>
        <v/>
      </c>
    </row>
    <row r="213">
      <c r="A213" t="n">
        <v>212</v>
      </c>
      <c r="B213">
        <f>IFERROR(INDEX(Segmen!$A$3:$A$6000,MATCH(C213,Segmen!$D$3:$D$6000,0)),"")</f>
        <v/>
      </c>
      <c r="C213">
        <f>IFERROR(LARGE(Segmen!$D$3:$D$6000,A213),"")</f>
        <v/>
      </c>
    </row>
    <row r="214">
      <c r="A214" t="n">
        <v>213</v>
      </c>
      <c r="B214">
        <f>IFERROR(INDEX(Segmen!$A$3:$A$6000,MATCH(C214,Segmen!$D$3:$D$6000,0)),"")</f>
        <v/>
      </c>
      <c r="C214">
        <f>IFERROR(LARGE(Segmen!$D$3:$D$6000,A214),"")</f>
        <v/>
      </c>
    </row>
    <row r="215">
      <c r="A215" t="n">
        <v>214</v>
      </c>
      <c r="B215">
        <f>IFERROR(INDEX(Segmen!$A$3:$A$6000,MATCH(C215,Segmen!$D$3:$D$6000,0)),"")</f>
        <v/>
      </c>
      <c r="C215">
        <f>IFERROR(LARGE(Segmen!$D$3:$D$6000,A215),"")</f>
        <v/>
      </c>
    </row>
    <row r="216">
      <c r="A216" t="n">
        <v>215</v>
      </c>
      <c r="B216">
        <f>IFERROR(INDEX(Segmen!$A$3:$A$6000,MATCH(C216,Segmen!$D$3:$D$6000,0)),"")</f>
        <v/>
      </c>
      <c r="C216">
        <f>IFERROR(LARGE(Segmen!$D$3:$D$6000,A216),"")</f>
        <v/>
      </c>
    </row>
    <row r="217">
      <c r="A217" t="n">
        <v>216</v>
      </c>
      <c r="B217">
        <f>IFERROR(INDEX(Segmen!$A$3:$A$6000,MATCH(C217,Segmen!$D$3:$D$6000,0)),"")</f>
        <v/>
      </c>
      <c r="C217">
        <f>IFERROR(LARGE(Segmen!$D$3:$D$6000,A217),"")</f>
        <v/>
      </c>
    </row>
    <row r="218">
      <c r="A218" t="n">
        <v>217</v>
      </c>
      <c r="B218">
        <f>IFERROR(INDEX(Segmen!$A$3:$A$6000,MATCH(C218,Segmen!$D$3:$D$6000,0)),"")</f>
        <v/>
      </c>
      <c r="C218">
        <f>IFERROR(LARGE(Segmen!$D$3:$D$6000,A218),"")</f>
        <v/>
      </c>
    </row>
    <row r="219">
      <c r="A219" t="n">
        <v>218</v>
      </c>
      <c r="B219">
        <f>IFERROR(INDEX(Segmen!$A$3:$A$6000,MATCH(C219,Segmen!$D$3:$D$6000,0)),"")</f>
        <v/>
      </c>
      <c r="C219">
        <f>IFERROR(LARGE(Segmen!$D$3:$D$6000,A219),"")</f>
        <v/>
      </c>
    </row>
    <row r="220">
      <c r="A220" t="n">
        <v>219</v>
      </c>
      <c r="B220">
        <f>IFERROR(INDEX(Segmen!$A$3:$A$6000,MATCH(C220,Segmen!$D$3:$D$6000,0)),"")</f>
        <v/>
      </c>
      <c r="C220">
        <f>IFERROR(LARGE(Segmen!$D$3:$D$6000,A220),"")</f>
        <v/>
      </c>
    </row>
    <row r="221">
      <c r="A221" t="n">
        <v>220</v>
      </c>
      <c r="B221">
        <f>IFERROR(INDEX(Segmen!$A$3:$A$6000,MATCH(C221,Segmen!$D$3:$D$6000,0)),"")</f>
        <v/>
      </c>
      <c r="C221">
        <f>IFERROR(LARGE(Segmen!$D$3:$D$6000,A221),"")</f>
        <v/>
      </c>
    </row>
    <row r="222">
      <c r="A222" t="n">
        <v>221</v>
      </c>
      <c r="B222">
        <f>IFERROR(INDEX(Segmen!$A$3:$A$6000,MATCH(C222,Segmen!$D$3:$D$6000,0)),"")</f>
        <v/>
      </c>
      <c r="C222">
        <f>IFERROR(LARGE(Segmen!$D$3:$D$6000,A222),"")</f>
        <v/>
      </c>
    </row>
    <row r="223">
      <c r="A223" t="n">
        <v>222</v>
      </c>
      <c r="B223">
        <f>IFERROR(INDEX(Segmen!$A$3:$A$6000,MATCH(C223,Segmen!$D$3:$D$6000,0)),"")</f>
        <v/>
      </c>
      <c r="C223">
        <f>IFERROR(LARGE(Segmen!$D$3:$D$6000,A223),"")</f>
        <v/>
      </c>
    </row>
    <row r="224">
      <c r="A224" t="n">
        <v>223</v>
      </c>
      <c r="B224">
        <f>IFERROR(INDEX(Segmen!$A$3:$A$6000,MATCH(C224,Segmen!$D$3:$D$6000,0)),"")</f>
        <v/>
      </c>
      <c r="C224">
        <f>IFERROR(LARGE(Segmen!$D$3:$D$6000,A224),"")</f>
        <v/>
      </c>
    </row>
    <row r="225">
      <c r="A225" t="n">
        <v>224</v>
      </c>
      <c r="B225">
        <f>IFERROR(INDEX(Segmen!$A$3:$A$6000,MATCH(C225,Segmen!$D$3:$D$6000,0)),"")</f>
        <v/>
      </c>
      <c r="C225">
        <f>IFERROR(LARGE(Segmen!$D$3:$D$6000,A225),"")</f>
        <v/>
      </c>
    </row>
    <row r="226">
      <c r="A226" t="n">
        <v>225</v>
      </c>
      <c r="B226">
        <f>IFERROR(INDEX(Segmen!$A$3:$A$6000,MATCH(C226,Segmen!$D$3:$D$6000,0)),"")</f>
        <v/>
      </c>
      <c r="C226">
        <f>IFERROR(LARGE(Segmen!$D$3:$D$6000,A226),"")</f>
        <v/>
      </c>
    </row>
    <row r="227">
      <c r="A227" t="n">
        <v>226</v>
      </c>
      <c r="B227">
        <f>IFERROR(INDEX(Segmen!$A$3:$A$6000,MATCH(C227,Segmen!$D$3:$D$6000,0)),"")</f>
        <v/>
      </c>
      <c r="C227">
        <f>IFERROR(LARGE(Segmen!$D$3:$D$6000,A227),"")</f>
        <v/>
      </c>
    </row>
    <row r="228">
      <c r="A228" t="n">
        <v>227</v>
      </c>
      <c r="B228">
        <f>IFERROR(INDEX(Segmen!$A$3:$A$6000,MATCH(C228,Segmen!$D$3:$D$6000,0)),"")</f>
        <v/>
      </c>
      <c r="C228">
        <f>IFERROR(LARGE(Segmen!$D$3:$D$6000,A228),"")</f>
        <v/>
      </c>
    </row>
    <row r="229">
      <c r="A229" t="n">
        <v>228</v>
      </c>
      <c r="B229">
        <f>IFERROR(INDEX(Segmen!$A$3:$A$6000,MATCH(C229,Segmen!$D$3:$D$6000,0)),"")</f>
        <v/>
      </c>
      <c r="C229">
        <f>IFERROR(LARGE(Segmen!$D$3:$D$6000,A229),"")</f>
        <v/>
      </c>
    </row>
    <row r="230">
      <c r="A230" t="n">
        <v>229</v>
      </c>
      <c r="B230">
        <f>IFERROR(INDEX(Segmen!$A$3:$A$6000,MATCH(C230,Segmen!$D$3:$D$6000,0)),"")</f>
        <v/>
      </c>
      <c r="C230">
        <f>IFERROR(LARGE(Segmen!$D$3:$D$6000,A230),"")</f>
        <v/>
      </c>
    </row>
    <row r="231">
      <c r="A231" t="n">
        <v>230</v>
      </c>
      <c r="B231">
        <f>IFERROR(INDEX(Segmen!$A$3:$A$6000,MATCH(C231,Segmen!$D$3:$D$6000,0)),"")</f>
        <v/>
      </c>
      <c r="C231">
        <f>IFERROR(LARGE(Segmen!$D$3:$D$6000,A231),"")</f>
        <v/>
      </c>
    </row>
    <row r="232">
      <c r="A232" t="n">
        <v>231</v>
      </c>
      <c r="B232">
        <f>IFERROR(INDEX(Segmen!$A$3:$A$6000,MATCH(C232,Segmen!$D$3:$D$6000,0)),"")</f>
        <v/>
      </c>
      <c r="C232">
        <f>IFERROR(LARGE(Segmen!$D$3:$D$6000,A232),"")</f>
        <v/>
      </c>
    </row>
    <row r="233">
      <c r="A233" t="n">
        <v>232</v>
      </c>
      <c r="B233">
        <f>IFERROR(INDEX(Segmen!$A$3:$A$6000,MATCH(C233,Segmen!$D$3:$D$6000,0)),"")</f>
        <v/>
      </c>
      <c r="C233">
        <f>IFERROR(LARGE(Segmen!$D$3:$D$6000,A233),"")</f>
        <v/>
      </c>
    </row>
    <row r="234">
      <c r="A234" t="n">
        <v>233</v>
      </c>
      <c r="B234">
        <f>IFERROR(INDEX(Segmen!$A$3:$A$6000,MATCH(C234,Segmen!$D$3:$D$6000,0)),"")</f>
        <v/>
      </c>
      <c r="C234">
        <f>IFERROR(LARGE(Segmen!$D$3:$D$6000,A234),"")</f>
        <v/>
      </c>
    </row>
    <row r="235">
      <c r="A235" t="n">
        <v>234</v>
      </c>
      <c r="B235">
        <f>IFERROR(INDEX(Segmen!$A$3:$A$6000,MATCH(C235,Segmen!$D$3:$D$6000,0)),"")</f>
        <v/>
      </c>
      <c r="C235">
        <f>IFERROR(LARGE(Segmen!$D$3:$D$6000,A235),"")</f>
        <v/>
      </c>
    </row>
    <row r="236">
      <c r="A236" t="n">
        <v>235</v>
      </c>
      <c r="B236">
        <f>IFERROR(INDEX(Segmen!$A$3:$A$6000,MATCH(C236,Segmen!$D$3:$D$6000,0)),"")</f>
        <v/>
      </c>
      <c r="C236">
        <f>IFERROR(LARGE(Segmen!$D$3:$D$6000,A236),"")</f>
        <v/>
      </c>
    </row>
    <row r="237">
      <c r="A237" t="n">
        <v>236</v>
      </c>
      <c r="B237">
        <f>IFERROR(INDEX(Segmen!$A$3:$A$6000,MATCH(C237,Segmen!$D$3:$D$6000,0)),"")</f>
        <v/>
      </c>
      <c r="C237">
        <f>IFERROR(LARGE(Segmen!$D$3:$D$6000,A237),"")</f>
        <v/>
      </c>
    </row>
    <row r="238">
      <c r="A238" t="n">
        <v>237</v>
      </c>
      <c r="B238">
        <f>IFERROR(INDEX(Segmen!$A$3:$A$6000,MATCH(C238,Segmen!$D$3:$D$6000,0)),"")</f>
        <v/>
      </c>
      <c r="C238">
        <f>IFERROR(LARGE(Segmen!$D$3:$D$6000,A238),"")</f>
        <v/>
      </c>
    </row>
    <row r="239">
      <c r="A239" t="n">
        <v>238</v>
      </c>
      <c r="B239">
        <f>IFERROR(INDEX(Segmen!$A$3:$A$6000,MATCH(C239,Segmen!$D$3:$D$6000,0)),"")</f>
        <v/>
      </c>
      <c r="C239">
        <f>IFERROR(LARGE(Segmen!$D$3:$D$6000,A239),"")</f>
        <v/>
      </c>
    </row>
    <row r="240">
      <c r="A240" t="n">
        <v>239</v>
      </c>
      <c r="B240">
        <f>IFERROR(INDEX(Segmen!$A$3:$A$6000,MATCH(C240,Segmen!$D$3:$D$6000,0)),"")</f>
        <v/>
      </c>
      <c r="C240">
        <f>IFERROR(LARGE(Segmen!$D$3:$D$6000,A240),"")</f>
        <v/>
      </c>
    </row>
    <row r="241">
      <c r="A241" t="n">
        <v>240</v>
      </c>
      <c r="B241">
        <f>IFERROR(INDEX(Segmen!$A$3:$A$6000,MATCH(C241,Segmen!$D$3:$D$6000,0)),"")</f>
        <v/>
      </c>
      <c r="C241">
        <f>IFERROR(LARGE(Segmen!$D$3:$D$6000,A241),"")</f>
        <v/>
      </c>
    </row>
    <row r="242">
      <c r="A242" t="n">
        <v>241</v>
      </c>
      <c r="B242">
        <f>IFERROR(INDEX(Segmen!$A$3:$A$6000,MATCH(C242,Segmen!$D$3:$D$6000,0)),"")</f>
        <v/>
      </c>
      <c r="C242">
        <f>IFERROR(LARGE(Segmen!$D$3:$D$6000,A242),"")</f>
        <v/>
      </c>
    </row>
    <row r="243">
      <c r="A243" t="n">
        <v>242</v>
      </c>
      <c r="B243">
        <f>IFERROR(INDEX(Segmen!$A$3:$A$6000,MATCH(C243,Segmen!$D$3:$D$6000,0)),"")</f>
        <v/>
      </c>
      <c r="C243">
        <f>IFERROR(LARGE(Segmen!$D$3:$D$6000,A243),"")</f>
        <v/>
      </c>
    </row>
    <row r="244">
      <c r="A244" t="n">
        <v>243</v>
      </c>
      <c r="B244">
        <f>IFERROR(INDEX(Segmen!$A$3:$A$6000,MATCH(C244,Segmen!$D$3:$D$6000,0)),"")</f>
        <v/>
      </c>
      <c r="C244">
        <f>IFERROR(LARGE(Segmen!$D$3:$D$6000,A244),"")</f>
        <v/>
      </c>
    </row>
    <row r="245">
      <c r="A245" t="n">
        <v>244</v>
      </c>
      <c r="B245">
        <f>IFERROR(INDEX(Segmen!$A$3:$A$6000,MATCH(C245,Segmen!$D$3:$D$6000,0)),"")</f>
        <v/>
      </c>
      <c r="C245">
        <f>IFERROR(LARGE(Segmen!$D$3:$D$6000,A245),"")</f>
        <v/>
      </c>
    </row>
    <row r="246">
      <c r="A246" t="n">
        <v>245</v>
      </c>
      <c r="B246">
        <f>IFERROR(INDEX(Segmen!$A$3:$A$6000,MATCH(C246,Segmen!$D$3:$D$6000,0)),"")</f>
        <v/>
      </c>
      <c r="C246">
        <f>IFERROR(LARGE(Segmen!$D$3:$D$6000,A246),"")</f>
        <v/>
      </c>
    </row>
    <row r="247">
      <c r="A247" t="n">
        <v>246</v>
      </c>
      <c r="B247">
        <f>IFERROR(INDEX(Segmen!$A$3:$A$6000,MATCH(C247,Segmen!$D$3:$D$6000,0)),"")</f>
        <v/>
      </c>
      <c r="C247">
        <f>IFERROR(LARGE(Segmen!$D$3:$D$6000,A247),"")</f>
        <v/>
      </c>
    </row>
    <row r="248">
      <c r="A248" t="n">
        <v>247</v>
      </c>
      <c r="B248">
        <f>IFERROR(INDEX(Segmen!$A$3:$A$6000,MATCH(C248,Segmen!$D$3:$D$6000,0)),"")</f>
        <v/>
      </c>
      <c r="C248">
        <f>IFERROR(LARGE(Segmen!$D$3:$D$6000,A248),"")</f>
        <v/>
      </c>
    </row>
    <row r="249">
      <c r="A249" t="n">
        <v>248</v>
      </c>
      <c r="B249">
        <f>IFERROR(INDEX(Segmen!$A$3:$A$6000,MATCH(C249,Segmen!$D$3:$D$6000,0)),"")</f>
        <v/>
      </c>
      <c r="C249">
        <f>IFERROR(LARGE(Segmen!$D$3:$D$6000,A249),"")</f>
        <v/>
      </c>
    </row>
    <row r="250">
      <c r="A250" t="n">
        <v>249</v>
      </c>
      <c r="B250">
        <f>IFERROR(INDEX(Segmen!$A$3:$A$6000,MATCH(C250,Segmen!$D$3:$D$6000,0)),"")</f>
        <v/>
      </c>
      <c r="C250">
        <f>IFERROR(LARGE(Segmen!$D$3:$D$6000,A250),"")</f>
        <v/>
      </c>
    </row>
    <row r="251">
      <c r="A251" t="n">
        <v>250</v>
      </c>
      <c r="B251">
        <f>IFERROR(INDEX(Segmen!$A$3:$A$6000,MATCH(C251,Segmen!$D$3:$D$6000,0)),"")</f>
        <v/>
      </c>
      <c r="C251">
        <f>IFERROR(LARGE(Segmen!$D$3:$D$6000,A251),"")</f>
        <v/>
      </c>
    </row>
    <row r="252">
      <c r="A252" t="n">
        <v>251</v>
      </c>
      <c r="B252">
        <f>IFERROR(INDEX(Segmen!$A$3:$A$6000,MATCH(C252,Segmen!$D$3:$D$6000,0)),"")</f>
        <v/>
      </c>
      <c r="C252">
        <f>IFERROR(LARGE(Segmen!$D$3:$D$6000,A252),"")</f>
        <v/>
      </c>
    </row>
    <row r="253">
      <c r="A253" t="n">
        <v>252</v>
      </c>
      <c r="B253">
        <f>IFERROR(INDEX(Segmen!$A$3:$A$6000,MATCH(C253,Segmen!$D$3:$D$6000,0)),"")</f>
        <v/>
      </c>
      <c r="C253">
        <f>IFERROR(LARGE(Segmen!$D$3:$D$6000,A253),"")</f>
        <v/>
      </c>
    </row>
    <row r="254">
      <c r="A254" t="n">
        <v>253</v>
      </c>
      <c r="B254">
        <f>IFERROR(INDEX(Segmen!$A$3:$A$6000,MATCH(C254,Segmen!$D$3:$D$6000,0)),"")</f>
        <v/>
      </c>
      <c r="C254">
        <f>IFERROR(LARGE(Segmen!$D$3:$D$6000,A254),"")</f>
        <v/>
      </c>
    </row>
    <row r="255">
      <c r="A255" t="n">
        <v>254</v>
      </c>
      <c r="B255">
        <f>IFERROR(INDEX(Segmen!$A$3:$A$6000,MATCH(C255,Segmen!$D$3:$D$6000,0)),"")</f>
        <v/>
      </c>
      <c r="C255">
        <f>IFERROR(LARGE(Segmen!$D$3:$D$6000,A255),"")</f>
        <v/>
      </c>
    </row>
    <row r="256">
      <c r="A256" t="n">
        <v>255</v>
      </c>
      <c r="B256">
        <f>IFERROR(INDEX(Segmen!$A$3:$A$6000,MATCH(C256,Segmen!$D$3:$D$6000,0)),"")</f>
        <v/>
      </c>
      <c r="C256">
        <f>IFERROR(LARGE(Segmen!$D$3:$D$6000,A256),"")</f>
        <v/>
      </c>
    </row>
    <row r="257">
      <c r="A257" t="n">
        <v>256</v>
      </c>
      <c r="B257">
        <f>IFERROR(INDEX(Segmen!$A$3:$A$6000,MATCH(C257,Segmen!$D$3:$D$6000,0)),"")</f>
        <v/>
      </c>
      <c r="C257">
        <f>IFERROR(LARGE(Segmen!$D$3:$D$6000,A257),"")</f>
        <v/>
      </c>
    </row>
    <row r="258">
      <c r="A258" t="n">
        <v>257</v>
      </c>
      <c r="B258">
        <f>IFERROR(INDEX(Segmen!$A$3:$A$6000,MATCH(C258,Segmen!$D$3:$D$6000,0)),"")</f>
        <v/>
      </c>
      <c r="C258">
        <f>IFERROR(LARGE(Segmen!$D$3:$D$6000,A258),"")</f>
        <v/>
      </c>
    </row>
    <row r="259">
      <c r="A259" t="n">
        <v>258</v>
      </c>
      <c r="B259">
        <f>IFERROR(INDEX(Segmen!$A$3:$A$6000,MATCH(C259,Segmen!$D$3:$D$6000,0)),"")</f>
        <v/>
      </c>
      <c r="C259">
        <f>IFERROR(LARGE(Segmen!$D$3:$D$6000,A259),"")</f>
        <v/>
      </c>
    </row>
    <row r="260">
      <c r="A260" t="n">
        <v>259</v>
      </c>
      <c r="B260">
        <f>IFERROR(INDEX(Segmen!$A$3:$A$6000,MATCH(C260,Segmen!$D$3:$D$6000,0)),"")</f>
        <v/>
      </c>
      <c r="C260">
        <f>IFERROR(LARGE(Segmen!$D$3:$D$6000,A260),"")</f>
        <v/>
      </c>
    </row>
    <row r="261">
      <c r="A261" t="n">
        <v>260</v>
      </c>
      <c r="B261">
        <f>IFERROR(INDEX(Segmen!$A$3:$A$6000,MATCH(C261,Segmen!$D$3:$D$6000,0)),"")</f>
        <v/>
      </c>
      <c r="C261">
        <f>IFERROR(LARGE(Segmen!$D$3:$D$6000,A261),"")</f>
        <v/>
      </c>
    </row>
    <row r="262">
      <c r="A262" t="n">
        <v>261</v>
      </c>
      <c r="B262">
        <f>IFERROR(INDEX(Segmen!$A$3:$A$6000,MATCH(C262,Segmen!$D$3:$D$6000,0)),"")</f>
        <v/>
      </c>
      <c r="C262">
        <f>IFERROR(LARGE(Segmen!$D$3:$D$6000,A262),"")</f>
        <v/>
      </c>
    </row>
    <row r="263">
      <c r="A263" t="n">
        <v>262</v>
      </c>
      <c r="B263">
        <f>IFERROR(INDEX(Segmen!$A$3:$A$6000,MATCH(C263,Segmen!$D$3:$D$6000,0)),"")</f>
        <v/>
      </c>
      <c r="C263">
        <f>IFERROR(LARGE(Segmen!$D$3:$D$6000,A263),"")</f>
        <v/>
      </c>
    </row>
    <row r="264">
      <c r="A264" t="n">
        <v>263</v>
      </c>
      <c r="B264">
        <f>IFERROR(INDEX(Segmen!$A$3:$A$6000,MATCH(C264,Segmen!$D$3:$D$6000,0)),"")</f>
        <v/>
      </c>
      <c r="C264">
        <f>IFERROR(LARGE(Segmen!$D$3:$D$6000,A264),"")</f>
        <v/>
      </c>
    </row>
    <row r="265">
      <c r="A265" t="n">
        <v>264</v>
      </c>
      <c r="B265">
        <f>IFERROR(INDEX(Segmen!$A$3:$A$6000,MATCH(C265,Segmen!$D$3:$D$6000,0)),"")</f>
        <v/>
      </c>
      <c r="C265">
        <f>IFERROR(LARGE(Segmen!$D$3:$D$6000,A265),"")</f>
        <v/>
      </c>
    </row>
    <row r="266">
      <c r="A266" t="n">
        <v>265</v>
      </c>
      <c r="B266">
        <f>IFERROR(INDEX(Segmen!$A$3:$A$6000,MATCH(C266,Segmen!$D$3:$D$6000,0)),"")</f>
        <v/>
      </c>
      <c r="C266">
        <f>IFERROR(LARGE(Segmen!$D$3:$D$6000,A266),"")</f>
        <v/>
      </c>
    </row>
    <row r="267">
      <c r="A267" t="n">
        <v>266</v>
      </c>
      <c r="B267">
        <f>IFERROR(INDEX(Segmen!$A$3:$A$6000,MATCH(C267,Segmen!$D$3:$D$6000,0)),"")</f>
        <v/>
      </c>
      <c r="C267">
        <f>IFERROR(LARGE(Segmen!$D$3:$D$6000,A267),"")</f>
        <v/>
      </c>
    </row>
    <row r="268">
      <c r="A268" t="n">
        <v>267</v>
      </c>
      <c r="B268">
        <f>IFERROR(INDEX(Segmen!$A$3:$A$6000,MATCH(C268,Segmen!$D$3:$D$6000,0)),"")</f>
        <v/>
      </c>
      <c r="C268">
        <f>IFERROR(LARGE(Segmen!$D$3:$D$6000,A268),"")</f>
        <v/>
      </c>
    </row>
    <row r="269">
      <c r="A269" t="n">
        <v>268</v>
      </c>
      <c r="B269">
        <f>IFERROR(INDEX(Segmen!$A$3:$A$6000,MATCH(C269,Segmen!$D$3:$D$6000,0)),"")</f>
        <v/>
      </c>
      <c r="C269">
        <f>IFERROR(LARGE(Segmen!$D$3:$D$6000,A269),"")</f>
        <v/>
      </c>
    </row>
    <row r="270">
      <c r="A270" t="n">
        <v>269</v>
      </c>
      <c r="B270">
        <f>IFERROR(INDEX(Segmen!$A$3:$A$6000,MATCH(C270,Segmen!$D$3:$D$6000,0)),"")</f>
        <v/>
      </c>
      <c r="C270">
        <f>IFERROR(LARGE(Segmen!$D$3:$D$6000,A270),"")</f>
        <v/>
      </c>
    </row>
    <row r="271">
      <c r="A271" t="n">
        <v>270</v>
      </c>
      <c r="B271">
        <f>IFERROR(INDEX(Segmen!$A$3:$A$6000,MATCH(C271,Segmen!$D$3:$D$6000,0)),"")</f>
        <v/>
      </c>
      <c r="C271">
        <f>IFERROR(LARGE(Segmen!$D$3:$D$6000,A271),"")</f>
        <v/>
      </c>
    </row>
    <row r="272">
      <c r="A272" t="n">
        <v>271</v>
      </c>
      <c r="B272">
        <f>IFERROR(INDEX(Segmen!$A$3:$A$6000,MATCH(C272,Segmen!$D$3:$D$6000,0)),"")</f>
        <v/>
      </c>
      <c r="C272">
        <f>IFERROR(LARGE(Segmen!$D$3:$D$6000,A272),"")</f>
        <v/>
      </c>
    </row>
    <row r="273">
      <c r="A273" t="n">
        <v>272</v>
      </c>
      <c r="B273">
        <f>IFERROR(INDEX(Segmen!$A$3:$A$6000,MATCH(C273,Segmen!$D$3:$D$6000,0)),"")</f>
        <v/>
      </c>
      <c r="C273">
        <f>IFERROR(LARGE(Segmen!$D$3:$D$6000,A273),"")</f>
        <v/>
      </c>
    </row>
    <row r="274">
      <c r="A274" t="n">
        <v>273</v>
      </c>
      <c r="B274">
        <f>IFERROR(INDEX(Segmen!$A$3:$A$6000,MATCH(C274,Segmen!$D$3:$D$6000,0)),"")</f>
        <v/>
      </c>
      <c r="C274">
        <f>IFERROR(LARGE(Segmen!$D$3:$D$6000,A274),"")</f>
        <v/>
      </c>
    </row>
    <row r="275">
      <c r="A275" t="n">
        <v>274</v>
      </c>
      <c r="B275">
        <f>IFERROR(INDEX(Segmen!$A$3:$A$6000,MATCH(C275,Segmen!$D$3:$D$6000,0)),"")</f>
        <v/>
      </c>
      <c r="C275">
        <f>IFERROR(LARGE(Segmen!$D$3:$D$6000,A275),"")</f>
        <v/>
      </c>
    </row>
    <row r="276">
      <c r="A276" t="n">
        <v>275</v>
      </c>
      <c r="B276">
        <f>IFERROR(INDEX(Segmen!$A$3:$A$6000,MATCH(C276,Segmen!$D$3:$D$6000,0)),"")</f>
        <v/>
      </c>
      <c r="C276">
        <f>IFERROR(LARGE(Segmen!$D$3:$D$6000,A276),"")</f>
        <v/>
      </c>
    </row>
    <row r="277">
      <c r="A277" t="n">
        <v>276</v>
      </c>
      <c r="B277">
        <f>IFERROR(INDEX(Segmen!$A$3:$A$6000,MATCH(C277,Segmen!$D$3:$D$6000,0)),"")</f>
        <v/>
      </c>
      <c r="C277">
        <f>IFERROR(LARGE(Segmen!$D$3:$D$6000,A277),"")</f>
        <v/>
      </c>
    </row>
    <row r="278">
      <c r="A278" t="n">
        <v>277</v>
      </c>
      <c r="B278">
        <f>IFERROR(INDEX(Segmen!$A$3:$A$6000,MATCH(C278,Segmen!$D$3:$D$6000,0)),"")</f>
        <v/>
      </c>
      <c r="C278">
        <f>IFERROR(LARGE(Segmen!$D$3:$D$6000,A278),"")</f>
        <v/>
      </c>
    </row>
    <row r="279">
      <c r="A279" t="n">
        <v>278</v>
      </c>
      <c r="B279">
        <f>IFERROR(INDEX(Segmen!$A$3:$A$6000,MATCH(C279,Segmen!$D$3:$D$6000,0)),"")</f>
        <v/>
      </c>
      <c r="C279">
        <f>IFERROR(LARGE(Segmen!$D$3:$D$6000,A279),"")</f>
        <v/>
      </c>
    </row>
    <row r="280">
      <c r="A280" t="n">
        <v>279</v>
      </c>
      <c r="B280">
        <f>IFERROR(INDEX(Segmen!$A$3:$A$6000,MATCH(C280,Segmen!$D$3:$D$6000,0)),"")</f>
        <v/>
      </c>
      <c r="C280">
        <f>IFERROR(LARGE(Segmen!$D$3:$D$6000,A280),"")</f>
        <v/>
      </c>
    </row>
    <row r="281">
      <c r="A281" t="n">
        <v>280</v>
      </c>
      <c r="B281">
        <f>IFERROR(INDEX(Segmen!$A$3:$A$6000,MATCH(C281,Segmen!$D$3:$D$6000,0)),"")</f>
        <v/>
      </c>
      <c r="C281">
        <f>IFERROR(LARGE(Segmen!$D$3:$D$6000,A281),"")</f>
        <v/>
      </c>
    </row>
    <row r="282">
      <c r="A282" t="n">
        <v>281</v>
      </c>
      <c r="B282">
        <f>IFERROR(INDEX(Segmen!$A$3:$A$6000,MATCH(C282,Segmen!$D$3:$D$6000,0)),"")</f>
        <v/>
      </c>
      <c r="C282">
        <f>IFERROR(LARGE(Segmen!$D$3:$D$6000,A282),"")</f>
        <v/>
      </c>
    </row>
    <row r="283">
      <c r="A283" t="n">
        <v>282</v>
      </c>
      <c r="B283">
        <f>IFERROR(INDEX(Segmen!$A$3:$A$6000,MATCH(C283,Segmen!$D$3:$D$6000,0)),"")</f>
        <v/>
      </c>
      <c r="C283">
        <f>IFERROR(LARGE(Segmen!$D$3:$D$6000,A283),"")</f>
        <v/>
      </c>
    </row>
    <row r="284">
      <c r="A284" t="n">
        <v>283</v>
      </c>
      <c r="B284">
        <f>IFERROR(INDEX(Segmen!$A$3:$A$6000,MATCH(C284,Segmen!$D$3:$D$6000,0)),"")</f>
        <v/>
      </c>
      <c r="C284">
        <f>IFERROR(LARGE(Segmen!$D$3:$D$6000,A284),"")</f>
        <v/>
      </c>
    </row>
    <row r="285">
      <c r="A285" t="n">
        <v>284</v>
      </c>
      <c r="B285">
        <f>IFERROR(INDEX(Segmen!$A$3:$A$6000,MATCH(C285,Segmen!$D$3:$D$6000,0)),"")</f>
        <v/>
      </c>
      <c r="C285">
        <f>IFERROR(LARGE(Segmen!$D$3:$D$6000,A285),"")</f>
        <v/>
      </c>
    </row>
    <row r="286">
      <c r="A286" t="n">
        <v>285</v>
      </c>
      <c r="B286">
        <f>IFERROR(INDEX(Segmen!$A$3:$A$6000,MATCH(C286,Segmen!$D$3:$D$6000,0)),"")</f>
        <v/>
      </c>
      <c r="C286">
        <f>IFERROR(LARGE(Segmen!$D$3:$D$6000,A286),"")</f>
        <v/>
      </c>
    </row>
    <row r="287">
      <c r="A287" t="n">
        <v>286</v>
      </c>
      <c r="B287">
        <f>IFERROR(INDEX(Segmen!$A$3:$A$6000,MATCH(C287,Segmen!$D$3:$D$6000,0)),"")</f>
        <v/>
      </c>
      <c r="C287">
        <f>IFERROR(LARGE(Segmen!$D$3:$D$6000,A287),"")</f>
        <v/>
      </c>
    </row>
    <row r="288">
      <c r="A288" t="n">
        <v>287</v>
      </c>
      <c r="B288">
        <f>IFERROR(INDEX(Segmen!$A$3:$A$6000,MATCH(C288,Segmen!$D$3:$D$6000,0)),"")</f>
        <v/>
      </c>
      <c r="C288">
        <f>IFERROR(LARGE(Segmen!$D$3:$D$6000,A288),"")</f>
        <v/>
      </c>
    </row>
    <row r="289">
      <c r="A289" t="n">
        <v>288</v>
      </c>
      <c r="B289">
        <f>IFERROR(INDEX(Segmen!$A$3:$A$6000,MATCH(C289,Segmen!$D$3:$D$6000,0)),"")</f>
        <v/>
      </c>
      <c r="C289">
        <f>IFERROR(LARGE(Segmen!$D$3:$D$6000,A289),"")</f>
        <v/>
      </c>
    </row>
    <row r="290">
      <c r="A290" t="n">
        <v>289</v>
      </c>
      <c r="B290">
        <f>IFERROR(INDEX(Segmen!$A$3:$A$6000,MATCH(C290,Segmen!$D$3:$D$6000,0)),"")</f>
        <v/>
      </c>
      <c r="C290">
        <f>IFERROR(LARGE(Segmen!$D$3:$D$6000,A290),"")</f>
        <v/>
      </c>
    </row>
    <row r="291">
      <c r="A291" t="n">
        <v>290</v>
      </c>
      <c r="B291">
        <f>IFERROR(INDEX(Segmen!$A$3:$A$6000,MATCH(C291,Segmen!$D$3:$D$6000,0)),"")</f>
        <v/>
      </c>
      <c r="C291">
        <f>IFERROR(LARGE(Segmen!$D$3:$D$6000,A291),"")</f>
        <v/>
      </c>
    </row>
    <row r="292">
      <c r="A292" t="n">
        <v>291</v>
      </c>
      <c r="B292">
        <f>IFERROR(INDEX(Segmen!$A$3:$A$6000,MATCH(C292,Segmen!$D$3:$D$6000,0)),"")</f>
        <v/>
      </c>
      <c r="C292">
        <f>IFERROR(LARGE(Segmen!$D$3:$D$6000,A292),"")</f>
        <v/>
      </c>
    </row>
    <row r="293">
      <c r="A293" t="n">
        <v>292</v>
      </c>
      <c r="B293">
        <f>IFERROR(INDEX(Segmen!$A$3:$A$6000,MATCH(C293,Segmen!$D$3:$D$6000,0)),"")</f>
        <v/>
      </c>
      <c r="C293">
        <f>IFERROR(LARGE(Segmen!$D$3:$D$6000,A293),"")</f>
        <v/>
      </c>
    </row>
    <row r="294">
      <c r="A294" t="n">
        <v>293</v>
      </c>
      <c r="B294">
        <f>IFERROR(INDEX(Segmen!$A$3:$A$6000,MATCH(C294,Segmen!$D$3:$D$6000,0)),"")</f>
        <v/>
      </c>
      <c r="C294">
        <f>IFERROR(LARGE(Segmen!$D$3:$D$6000,A294),"")</f>
        <v/>
      </c>
    </row>
    <row r="295">
      <c r="A295" t="n">
        <v>294</v>
      </c>
      <c r="B295">
        <f>IFERROR(INDEX(Segmen!$A$3:$A$6000,MATCH(C295,Segmen!$D$3:$D$6000,0)),"")</f>
        <v/>
      </c>
      <c r="C295">
        <f>IFERROR(LARGE(Segmen!$D$3:$D$6000,A295),"")</f>
        <v/>
      </c>
    </row>
    <row r="296">
      <c r="A296" t="n">
        <v>295</v>
      </c>
      <c r="B296">
        <f>IFERROR(INDEX(Segmen!$A$3:$A$6000,MATCH(C296,Segmen!$D$3:$D$6000,0)),"")</f>
        <v/>
      </c>
      <c r="C296">
        <f>IFERROR(LARGE(Segmen!$D$3:$D$6000,A296),"")</f>
        <v/>
      </c>
    </row>
    <row r="297">
      <c r="A297" t="n">
        <v>296</v>
      </c>
      <c r="B297">
        <f>IFERROR(INDEX(Segmen!$A$3:$A$6000,MATCH(C297,Segmen!$D$3:$D$6000,0)),"")</f>
        <v/>
      </c>
      <c r="C297">
        <f>IFERROR(LARGE(Segmen!$D$3:$D$6000,A297),"")</f>
        <v/>
      </c>
    </row>
    <row r="298">
      <c r="A298" t="n">
        <v>297</v>
      </c>
      <c r="B298">
        <f>IFERROR(INDEX(Segmen!$A$3:$A$6000,MATCH(C298,Segmen!$D$3:$D$6000,0)),"")</f>
        <v/>
      </c>
      <c r="C298">
        <f>IFERROR(LARGE(Segmen!$D$3:$D$6000,A298),"")</f>
        <v/>
      </c>
    </row>
    <row r="299">
      <c r="A299" t="n">
        <v>298</v>
      </c>
      <c r="B299">
        <f>IFERROR(INDEX(Segmen!$A$3:$A$6000,MATCH(C299,Segmen!$D$3:$D$6000,0)),"")</f>
        <v/>
      </c>
      <c r="C299">
        <f>IFERROR(LARGE(Segmen!$D$3:$D$6000,A299),"")</f>
        <v/>
      </c>
    </row>
    <row r="300">
      <c r="A300" t="n">
        <v>299</v>
      </c>
      <c r="B300">
        <f>IFERROR(INDEX(Segmen!$A$3:$A$6000,MATCH(C300,Segmen!$D$3:$D$6000,0)),"")</f>
        <v/>
      </c>
      <c r="C300">
        <f>IFERROR(LARGE(Segmen!$D$3:$D$6000,A300),"")</f>
        <v/>
      </c>
    </row>
    <row r="301">
      <c r="A301" t="n">
        <v>300</v>
      </c>
      <c r="B301">
        <f>IFERROR(INDEX(Segmen!$A$3:$A$6000,MATCH(C301,Segmen!$D$3:$D$6000,0)),"")</f>
        <v/>
      </c>
      <c r="C301">
        <f>IFERROR(LARGE(Segmen!$D$3:$D$6000,A301),"")</f>
        <v/>
      </c>
    </row>
    <row r="302">
      <c r="A302" t="n">
        <v>301</v>
      </c>
      <c r="B302">
        <f>IFERROR(INDEX(Segmen!$A$3:$A$6000,MATCH(C302,Segmen!$D$3:$D$6000,0)),"")</f>
        <v/>
      </c>
      <c r="C302">
        <f>IFERROR(LARGE(Segmen!$D$3:$D$6000,A302),"")</f>
        <v/>
      </c>
    </row>
    <row r="303">
      <c r="A303" t="n">
        <v>302</v>
      </c>
      <c r="B303">
        <f>IFERROR(INDEX(Segmen!$A$3:$A$6000,MATCH(C303,Segmen!$D$3:$D$6000,0)),"")</f>
        <v/>
      </c>
      <c r="C303">
        <f>IFERROR(LARGE(Segmen!$D$3:$D$6000,A303),"")</f>
        <v/>
      </c>
    </row>
    <row r="304">
      <c r="A304" t="n">
        <v>303</v>
      </c>
      <c r="B304">
        <f>IFERROR(INDEX(Segmen!$A$3:$A$6000,MATCH(C304,Segmen!$D$3:$D$6000,0)),"")</f>
        <v/>
      </c>
      <c r="C304">
        <f>IFERROR(LARGE(Segmen!$D$3:$D$6000,A304),"")</f>
        <v/>
      </c>
    </row>
    <row r="305">
      <c r="A305" t="n">
        <v>304</v>
      </c>
      <c r="B305">
        <f>IFERROR(INDEX(Segmen!$A$3:$A$6000,MATCH(C305,Segmen!$D$3:$D$6000,0)),"")</f>
        <v/>
      </c>
      <c r="C305">
        <f>IFERROR(LARGE(Segmen!$D$3:$D$6000,A305),"")</f>
        <v/>
      </c>
    </row>
    <row r="306">
      <c r="A306" t="n">
        <v>305</v>
      </c>
      <c r="B306">
        <f>IFERROR(INDEX(Segmen!$A$3:$A$6000,MATCH(C306,Segmen!$D$3:$D$6000,0)),"")</f>
        <v/>
      </c>
      <c r="C306">
        <f>IFERROR(LARGE(Segmen!$D$3:$D$6000,A306),"")</f>
        <v/>
      </c>
    </row>
    <row r="307">
      <c r="A307" t="n">
        <v>306</v>
      </c>
      <c r="B307">
        <f>IFERROR(INDEX(Segmen!$A$3:$A$6000,MATCH(C307,Segmen!$D$3:$D$6000,0)),"")</f>
        <v/>
      </c>
      <c r="C307">
        <f>IFERROR(LARGE(Segmen!$D$3:$D$6000,A307),"")</f>
        <v/>
      </c>
    </row>
    <row r="308">
      <c r="A308" t="n">
        <v>307</v>
      </c>
      <c r="B308">
        <f>IFERROR(INDEX(Segmen!$A$3:$A$6000,MATCH(C308,Segmen!$D$3:$D$6000,0)),"")</f>
        <v/>
      </c>
      <c r="C308">
        <f>IFERROR(LARGE(Segmen!$D$3:$D$6000,A308),"")</f>
        <v/>
      </c>
    </row>
    <row r="309">
      <c r="A309" t="n">
        <v>308</v>
      </c>
      <c r="B309">
        <f>IFERROR(INDEX(Segmen!$A$3:$A$6000,MATCH(C309,Segmen!$D$3:$D$6000,0)),"")</f>
        <v/>
      </c>
      <c r="C309">
        <f>IFERROR(LARGE(Segmen!$D$3:$D$6000,A309),"")</f>
        <v/>
      </c>
    </row>
    <row r="310">
      <c r="A310" t="n">
        <v>309</v>
      </c>
      <c r="B310">
        <f>IFERROR(INDEX(Segmen!$A$3:$A$6000,MATCH(C310,Segmen!$D$3:$D$6000,0)),"")</f>
        <v/>
      </c>
      <c r="C310">
        <f>IFERROR(LARGE(Segmen!$D$3:$D$6000,A310),"")</f>
        <v/>
      </c>
    </row>
    <row r="311">
      <c r="A311" t="n">
        <v>310</v>
      </c>
      <c r="B311">
        <f>IFERROR(INDEX(Segmen!$A$3:$A$6000,MATCH(C311,Segmen!$D$3:$D$6000,0)),"")</f>
        <v/>
      </c>
      <c r="C311">
        <f>IFERROR(LARGE(Segmen!$D$3:$D$6000,A311),"")</f>
        <v/>
      </c>
    </row>
    <row r="312">
      <c r="A312" t="n">
        <v>311</v>
      </c>
      <c r="B312">
        <f>IFERROR(INDEX(Segmen!$A$3:$A$6000,MATCH(C312,Segmen!$D$3:$D$6000,0)),"")</f>
        <v/>
      </c>
      <c r="C312">
        <f>IFERROR(LARGE(Segmen!$D$3:$D$6000,A312),"")</f>
        <v/>
      </c>
    </row>
    <row r="313">
      <c r="A313" t="n">
        <v>312</v>
      </c>
      <c r="B313">
        <f>IFERROR(INDEX(Segmen!$A$3:$A$6000,MATCH(C313,Segmen!$D$3:$D$6000,0)),"")</f>
        <v/>
      </c>
      <c r="C313">
        <f>IFERROR(LARGE(Segmen!$D$3:$D$6000,A313),"")</f>
        <v/>
      </c>
    </row>
    <row r="314">
      <c r="A314" t="n">
        <v>313</v>
      </c>
      <c r="B314">
        <f>IFERROR(INDEX(Segmen!$A$3:$A$6000,MATCH(C314,Segmen!$D$3:$D$6000,0)),"")</f>
        <v/>
      </c>
      <c r="C314">
        <f>IFERROR(LARGE(Segmen!$D$3:$D$6000,A314),"")</f>
        <v/>
      </c>
    </row>
    <row r="315">
      <c r="A315" t="n">
        <v>314</v>
      </c>
      <c r="B315">
        <f>IFERROR(INDEX(Segmen!$A$3:$A$6000,MATCH(C315,Segmen!$D$3:$D$6000,0)),"")</f>
        <v/>
      </c>
      <c r="C315">
        <f>IFERROR(LARGE(Segmen!$D$3:$D$6000,A315),"")</f>
        <v/>
      </c>
    </row>
    <row r="316">
      <c r="A316" t="n">
        <v>315</v>
      </c>
      <c r="B316">
        <f>IFERROR(INDEX(Segmen!$A$3:$A$6000,MATCH(C316,Segmen!$D$3:$D$6000,0)),"")</f>
        <v/>
      </c>
      <c r="C316">
        <f>IFERROR(LARGE(Segmen!$D$3:$D$6000,A316),"")</f>
        <v/>
      </c>
    </row>
    <row r="317">
      <c r="A317" t="n">
        <v>316</v>
      </c>
      <c r="B317">
        <f>IFERROR(INDEX(Segmen!$A$3:$A$6000,MATCH(C317,Segmen!$D$3:$D$6000,0)),"")</f>
        <v/>
      </c>
      <c r="C317">
        <f>IFERROR(LARGE(Segmen!$D$3:$D$6000,A317),"")</f>
        <v/>
      </c>
    </row>
    <row r="318">
      <c r="A318" t="n">
        <v>317</v>
      </c>
      <c r="B318">
        <f>IFERROR(INDEX(Segmen!$A$3:$A$6000,MATCH(C318,Segmen!$D$3:$D$6000,0)),"")</f>
        <v/>
      </c>
      <c r="C318">
        <f>IFERROR(LARGE(Segmen!$D$3:$D$6000,A318),"")</f>
        <v/>
      </c>
    </row>
    <row r="319">
      <c r="A319" t="n">
        <v>318</v>
      </c>
      <c r="B319">
        <f>IFERROR(INDEX(Segmen!$A$3:$A$6000,MATCH(C319,Segmen!$D$3:$D$6000,0)),"")</f>
        <v/>
      </c>
      <c r="C319">
        <f>IFERROR(LARGE(Segmen!$D$3:$D$6000,A319),"")</f>
        <v/>
      </c>
    </row>
    <row r="320">
      <c r="A320" t="n">
        <v>319</v>
      </c>
      <c r="B320">
        <f>IFERROR(INDEX(Segmen!$A$3:$A$6000,MATCH(C320,Segmen!$D$3:$D$6000,0)),"")</f>
        <v/>
      </c>
      <c r="C320">
        <f>IFERROR(LARGE(Segmen!$D$3:$D$6000,A320),"")</f>
        <v/>
      </c>
    </row>
    <row r="321">
      <c r="A321" t="n">
        <v>320</v>
      </c>
      <c r="B321">
        <f>IFERROR(INDEX(Segmen!$A$3:$A$6000,MATCH(C321,Segmen!$D$3:$D$6000,0)),"")</f>
        <v/>
      </c>
      <c r="C321">
        <f>IFERROR(LARGE(Segmen!$D$3:$D$6000,A321),"")</f>
        <v/>
      </c>
    </row>
    <row r="322">
      <c r="A322" t="n">
        <v>321</v>
      </c>
      <c r="B322">
        <f>IFERROR(INDEX(Segmen!$A$3:$A$6000,MATCH(C322,Segmen!$D$3:$D$6000,0)),"")</f>
        <v/>
      </c>
      <c r="C322">
        <f>IFERROR(LARGE(Segmen!$D$3:$D$6000,A322),"")</f>
        <v/>
      </c>
    </row>
    <row r="323">
      <c r="A323" t="n">
        <v>322</v>
      </c>
      <c r="B323">
        <f>IFERROR(INDEX(Segmen!$A$3:$A$6000,MATCH(C323,Segmen!$D$3:$D$6000,0)),"")</f>
        <v/>
      </c>
      <c r="C323">
        <f>IFERROR(LARGE(Segmen!$D$3:$D$6000,A323),"")</f>
        <v/>
      </c>
    </row>
    <row r="324">
      <c r="A324" t="n">
        <v>323</v>
      </c>
      <c r="B324">
        <f>IFERROR(INDEX(Segmen!$A$3:$A$6000,MATCH(C324,Segmen!$D$3:$D$6000,0)),"")</f>
        <v/>
      </c>
      <c r="C324">
        <f>IFERROR(LARGE(Segmen!$D$3:$D$6000,A324),"")</f>
        <v/>
      </c>
    </row>
    <row r="325">
      <c r="A325" t="n">
        <v>324</v>
      </c>
      <c r="B325">
        <f>IFERROR(INDEX(Segmen!$A$3:$A$6000,MATCH(C325,Segmen!$D$3:$D$6000,0)),"")</f>
        <v/>
      </c>
      <c r="C325">
        <f>IFERROR(LARGE(Segmen!$D$3:$D$6000,A325),"")</f>
        <v/>
      </c>
    </row>
    <row r="326">
      <c r="A326" t="n">
        <v>325</v>
      </c>
      <c r="B326">
        <f>IFERROR(INDEX(Segmen!$A$3:$A$6000,MATCH(C326,Segmen!$D$3:$D$6000,0)),"")</f>
        <v/>
      </c>
      <c r="C326">
        <f>IFERROR(LARGE(Segmen!$D$3:$D$6000,A326),"")</f>
        <v/>
      </c>
    </row>
    <row r="327">
      <c r="A327" t="n">
        <v>326</v>
      </c>
      <c r="B327">
        <f>IFERROR(INDEX(Segmen!$A$3:$A$6000,MATCH(C327,Segmen!$D$3:$D$6000,0)),"")</f>
        <v/>
      </c>
      <c r="C327">
        <f>IFERROR(LARGE(Segmen!$D$3:$D$6000,A327),"")</f>
        <v/>
      </c>
    </row>
    <row r="328">
      <c r="A328" t="n">
        <v>327</v>
      </c>
      <c r="B328">
        <f>IFERROR(INDEX(Segmen!$A$3:$A$6000,MATCH(C328,Segmen!$D$3:$D$6000,0)),"")</f>
        <v/>
      </c>
      <c r="C328">
        <f>IFERROR(LARGE(Segmen!$D$3:$D$6000,A328),"")</f>
        <v/>
      </c>
    </row>
    <row r="329">
      <c r="A329" t="n">
        <v>328</v>
      </c>
      <c r="B329">
        <f>IFERROR(INDEX(Segmen!$A$3:$A$6000,MATCH(C329,Segmen!$D$3:$D$6000,0)),"")</f>
        <v/>
      </c>
      <c r="C329">
        <f>IFERROR(LARGE(Segmen!$D$3:$D$6000,A329),"")</f>
        <v/>
      </c>
    </row>
    <row r="330">
      <c r="A330" t="n">
        <v>329</v>
      </c>
      <c r="B330">
        <f>IFERROR(INDEX(Segmen!$A$3:$A$6000,MATCH(C330,Segmen!$D$3:$D$6000,0)),"")</f>
        <v/>
      </c>
      <c r="C330">
        <f>IFERROR(LARGE(Segmen!$D$3:$D$6000,A330),"")</f>
        <v/>
      </c>
    </row>
    <row r="331">
      <c r="A331" t="n">
        <v>330</v>
      </c>
      <c r="B331">
        <f>IFERROR(INDEX(Segmen!$A$3:$A$6000,MATCH(C331,Segmen!$D$3:$D$6000,0)),"")</f>
        <v/>
      </c>
      <c r="C331">
        <f>IFERROR(LARGE(Segmen!$D$3:$D$6000,A331),"")</f>
        <v/>
      </c>
    </row>
    <row r="332">
      <c r="A332" t="n">
        <v>331</v>
      </c>
      <c r="B332">
        <f>IFERROR(INDEX(Segmen!$A$3:$A$6000,MATCH(C332,Segmen!$D$3:$D$6000,0)),"")</f>
        <v/>
      </c>
      <c r="C332">
        <f>IFERROR(LARGE(Segmen!$D$3:$D$6000,A332),"")</f>
        <v/>
      </c>
    </row>
    <row r="333">
      <c r="A333" t="n">
        <v>332</v>
      </c>
      <c r="B333">
        <f>IFERROR(INDEX(Segmen!$A$3:$A$6000,MATCH(C333,Segmen!$D$3:$D$6000,0)),"")</f>
        <v/>
      </c>
      <c r="C333">
        <f>IFERROR(LARGE(Segmen!$D$3:$D$6000,A333),"")</f>
        <v/>
      </c>
    </row>
    <row r="334">
      <c r="A334" t="n">
        <v>333</v>
      </c>
      <c r="B334">
        <f>IFERROR(INDEX(Segmen!$A$3:$A$6000,MATCH(C334,Segmen!$D$3:$D$6000,0)),"")</f>
        <v/>
      </c>
      <c r="C334">
        <f>IFERROR(LARGE(Segmen!$D$3:$D$6000,A334),"")</f>
        <v/>
      </c>
    </row>
    <row r="335">
      <c r="A335" t="n">
        <v>334</v>
      </c>
      <c r="B335">
        <f>IFERROR(INDEX(Segmen!$A$3:$A$6000,MATCH(C335,Segmen!$D$3:$D$6000,0)),"")</f>
        <v/>
      </c>
      <c r="C335">
        <f>IFERROR(LARGE(Segmen!$D$3:$D$6000,A335),"")</f>
        <v/>
      </c>
    </row>
    <row r="336">
      <c r="A336" t="n">
        <v>335</v>
      </c>
      <c r="B336">
        <f>IFERROR(INDEX(Segmen!$A$3:$A$6000,MATCH(C336,Segmen!$D$3:$D$6000,0)),"")</f>
        <v/>
      </c>
      <c r="C336">
        <f>IFERROR(LARGE(Segmen!$D$3:$D$6000,A336),"")</f>
        <v/>
      </c>
    </row>
    <row r="337">
      <c r="A337" t="n">
        <v>336</v>
      </c>
      <c r="B337">
        <f>IFERROR(INDEX(Segmen!$A$3:$A$6000,MATCH(C337,Segmen!$D$3:$D$6000,0)),"")</f>
        <v/>
      </c>
      <c r="C337">
        <f>IFERROR(LARGE(Segmen!$D$3:$D$6000,A337),"")</f>
        <v/>
      </c>
    </row>
    <row r="338">
      <c r="A338" t="n">
        <v>337</v>
      </c>
      <c r="B338">
        <f>IFERROR(INDEX(Segmen!$A$3:$A$6000,MATCH(C338,Segmen!$D$3:$D$6000,0)),"")</f>
        <v/>
      </c>
      <c r="C338">
        <f>IFERROR(LARGE(Segmen!$D$3:$D$6000,A338),"")</f>
        <v/>
      </c>
    </row>
    <row r="339">
      <c r="A339" t="n">
        <v>338</v>
      </c>
      <c r="B339">
        <f>IFERROR(INDEX(Segmen!$A$3:$A$6000,MATCH(C339,Segmen!$D$3:$D$6000,0)),"")</f>
        <v/>
      </c>
      <c r="C339">
        <f>IFERROR(LARGE(Segmen!$D$3:$D$6000,A339),"")</f>
        <v/>
      </c>
    </row>
    <row r="340">
      <c r="A340" t="n">
        <v>339</v>
      </c>
      <c r="B340">
        <f>IFERROR(INDEX(Segmen!$A$3:$A$6000,MATCH(C340,Segmen!$D$3:$D$6000,0)),"")</f>
        <v/>
      </c>
      <c r="C340">
        <f>IFERROR(LARGE(Segmen!$D$3:$D$6000,A340),"")</f>
        <v/>
      </c>
    </row>
    <row r="341">
      <c r="A341" t="n">
        <v>340</v>
      </c>
      <c r="B341">
        <f>IFERROR(INDEX(Segmen!$A$3:$A$6000,MATCH(C341,Segmen!$D$3:$D$6000,0)),"")</f>
        <v/>
      </c>
      <c r="C341">
        <f>IFERROR(LARGE(Segmen!$D$3:$D$6000,A341),"")</f>
        <v/>
      </c>
    </row>
    <row r="342">
      <c r="A342" t="n">
        <v>341</v>
      </c>
      <c r="B342">
        <f>IFERROR(INDEX(Segmen!$A$3:$A$6000,MATCH(C342,Segmen!$D$3:$D$6000,0)),"")</f>
        <v/>
      </c>
      <c r="C342">
        <f>IFERROR(LARGE(Segmen!$D$3:$D$6000,A342),"")</f>
        <v/>
      </c>
    </row>
    <row r="343">
      <c r="A343" t="n">
        <v>342</v>
      </c>
      <c r="B343">
        <f>IFERROR(INDEX(Segmen!$A$3:$A$6000,MATCH(C343,Segmen!$D$3:$D$6000,0)),"")</f>
        <v/>
      </c>
      <c r="C343">
        <f>IFERROR(LARGE(Segmen!$D$3:$D$6000,A343),"")</f>
        <v/>
      </c>
    </row>
    <row r="344">
      <c r="A344" t="n">
        <v>343</v>
      </c>
      <c r="B344">
        <f>IFERROR(INDEX(Segmen!$A$3:$A$6000,MATCH(C344,Segmen!$D$3:$D$6000,0)),"")</f>
        <v/>
      </c>
      <c r="C344">
        <f>IFERROR(LARGE(Segmen!$D$3:$D$6000,A344),"")</f>
        <v/>
      </c>
    </row>
    <row r="345">
      <c r="A345" t="n">
        <v>344</v>
      </c>
      <c r="B345">
        <f>IFERROR(INDEX(Segmen!$A$3:$A$6000,MATCH(C345,Segmen!$D$3:$D$6000,0)),"")</f>
        <v/>
      </c>
      <c r="C345">
        <f>IFERROR(LARGE(Segmen!$D$3:$D$6000,A345),"")</f>
        <v/>
      </c>
    </row>
    <row r="346">
      <c r="A346" t="n">
        <v>345</v>
      </c>
      <c r="B346">
        <f>IFERROR(INDEX(Segmen!$A$3:$A$6000,MATCH(C346,Segmen!$D$3:$D$6000,0)),"")</f>
        <v/>
      </c>
      <c r="C346">
        <f>IFERROR(LARGE(Segmen!$D$3:$D$6000,A346),"")</f>
        <v/>
      </c>
    </row>
    <row r="347">
      <c r="A347" t="n">
        <v>346</v>
      </c>
      <c r="B347">
        <f>IFERROR(INDEX(Segmen!$A$3:$A$6000,MATCH(C347,Segmen!$D$3:$D$6000,0)),"")</f>
        <v/>
      </c>
      <c r="C347">
        <f>IFERROR(LARGE(Segmen!$D$3:$D$6000,A347),"")</f>
        <v/>
      </c>
    </row>
    <row r="348">
      <c r="A348" t="n">
        <v>347</v>
      </c>
      <c r="B348">
        <f>IFERROR(INDEX(Segmen!$A$3:$A$6000,MATCH(C348,Segmen!$D$3:$D$6000,0)),"")</f>
        <v/>
      </c>
      <c r="C348">
        <f>IFERROR(LARGE(Segmen!$D$3:$D$6000,A348),"")</f>
        <v/>
      </c>
    </row>
    <row r="349">
      <c r="A349" t="n">
        <v>348</v>
      </c>
      <c r="B349">
        <f>IFERROR(INDEX(Segmen!$A$3:$A$6000,MATCH(C349,Segmen!$D$3:$D$6000,0)),"")</f>
        <v/>
      </c>
      <c r="C349">
        <f>IFERROR(LARGE(Segmen!$D$3:$D$6000,A349),"")</f>
        <v/>
      </c>
    </row>
    <row r="350">
      <c r="A350" t="n">
        <v>349</v>
      </c>
      <c r="B350">
        <f>IFERROR(INDEX(Segmen!$A$3:$A$6000,MATCH(C350,Segmen!$D$3:$D$6000,0)),"")</f>
        <v/>
      </c>
      <c r="C350">
        <f>IFERROR(LARGE(Segmen!$D$3:$D$6000,A350),"")</f>
        <v/>
      </c>
    </row>
    <row r="351">
      <c r="A351" t="n">
        <v>350</v>
      </c>
      <c r="B351">
        <f>IFERROR(INDEX(Segmen!$A$3:$A$6000,MATCH(C351,Segmen!$D$3:$D$6000,0)),"")</f>
        <v/>
      </c>
      <c r="C351">
        <f>IFERROR(LARGE(Segmen!$D$3:$D$6000,A351),"")</f>
        <v/>
      </c>
    </row>
    <row r="352">
      <c r="A352" t="n">
        <v>351</v>
      </c>
      <c r="B352">
        <f>IFERROR(INDEX(Segmen!$A$3:$A$6000,MATCH(C352,Segmen!$D$3:$D$6000,0)),"")</f>
        <v/>
      </c>
      <c r="C352">
        <f>IFERROR(LARGE(Segmen!$D$3:$D$6000,A352),"")</f>
        <v/>
      </c>
    </row>
    <row r="353">
      <c r="A353" t="n">
        <v>352</v>
      </c>
      <c r="B353">
        <f>IFERROR(INDEX(Segmen!$A$3:$A$6000,MATCH(C353,Segmen!$D$3:$D$6000,0)),"")</f>
        <v/>
      </c>
      <c r="C353">
        <f>IFERROR(LARGE(Segmen!$D$3:$D$6000,A353),"")</f>
        <v/>
      </c>
    </row>
    <row r="354">
      <c r="A354" t="n">
        <v>353</v>
      </c>
      <c r="B354">
        <f>IFERROR(INDEX(Segmen!$A$3:$A$6000,MATCH(C354,Segmen!$D$3:$D$6000,0)),"")</f>
        <v/>
      </c>
      <c r="C354">
        <f>IFERROR(LARGE(Segmen!$D$3:$D$6000,A354),"")</f>
        <v/>
      </c>
    </row>
    <row r="355">
      <c r="A355" t="n">
        <v>354</v>
      </c>
      <c r="B355">
        <f>IFERROR(INDEX(Segmen!$A$3:$A$6000,MATCH(C355,Segmen!$D$3:$D$6000,0)),"")</f>
        <v/>
      </c>
      <c r="C355">
        <f>IFERROR(LARGE(Segmen!$D$3:$D$6000,A355),"")</f>
        <v/>
      </c>
    </row>
    <row r="356">
      <c r="A356" t="n">
        <v>355</v>
      </c>
      <c r="B356">
        <f>IFERROR(INDEX(Segmen!$A$3:$A$6000,MATCH(C356,Segmen!$D$3:$D$6000,0)),"")</f>
        <v/>
      </c>
      <c r="C356">
        <f>IFERROR(LARGE(Segmen!$D$3:$D$6000,A356),"")</f>
        <v/>
      </c>
    </row>
    <row r="357">
      <c r="A357" t="n">
        <v>356</v>
      </c>
      <c r="B357">
        <f>IFERROR(INDEX(Segmen!$A$3:$A$6000,MATCH(C357,Segmen!$D$3:$D$6000,0)),"")</f>
        <v/>
      </c>
      <c r="C357">
        <f>IFERROR(LARGE(Segmen!$D$3:$D$6000,A357),"")</f>
        <v/>
      </c>
    </row>
    <row r="358">
      <c r="A358" t="n">
        <v>357</v>
      </c>
      <c r="B358">
        <f>IFERROR(INDEX(Segmen!$A$3:$A$6000,MATCH(C358,Segmen!$D$3:$D$6000,0)),"")</f>
        <v/>
      </c>
      <c r="C358">
        <f>IFERROR(LARGE(Segmen!$D$3:$D$6000,A358),"")</f>
        <v/>
      </c>
    </row>
    <row r="359">
      <c r="A359" t="n">
        <v>358</v>
      </c>
      <c r="B359">
        <f>IFERROR(INDEX(Segmen!$A$3:$A$6000,MATCH(C359,Segmen!$D$3:$D$6000,0)),"")</f>
        <v/>
      </c>
      <c r="C359">
        <f>IFERROR(LARGE(Segmen!$D$3:$D$6000,A359),"")</f>
        <v/>
      </c>
    </row>
    <row r="360">
      <c r="A360" t="n">
        <v>359</v>
      </c>
      <c r="B360">
        <f>IFERROR(INDEX(Segmen!$A$3:$A$6000,MATCH(C360,Segmen!$D$3:$D$6000,0)),"")</f>
        <v/>
      </c>
      <c r="C360">
        <f>IFERROR(LARGE(Segmen!$D$3:$D$6000,A360),"")</f>
        <v/>
      </c>
    </row>
    <row r="361">
      <c r="A361" t="n">
        <v>360</v>
      </c>
      <c r="B361">
        <f>IFERROR(INDEX(Segmen!$A$3:$A$6000,MATCH(C361,Segmen!$D$3:$D$6000,0)),"")</f>
        <v/>
      </c>
      <c r="C361">
        <f>IFERROR(LARGE(Segmen!$D$3:$D$6000,A361),"")</f>
        <v/>
      </c>
    </row>
    <row r="362">
      <c r="A362" t="n">
        <v>361</v>
      </c>
      <c r="B362">
        <f>IFERROR(INDEX(Segmen!$A$3:$A$6000,MATCH(C362,Segmen!$D$3:$D$6000,0)),"")</f>
        <v/>
      </c>
      <c r="C362">
        <f>IFERROR(LARGE(Segmen!$D$3:$D$6000,A362),"")</f>
        <v/>
      </c>
    </row>
    <row r="363">
      <c r="A363" t="n">
        <v>362</v>
      </c>
      <c r="B363">
        <f>IFERROR(INDEX(Segmen!$A$3:$A$6000,MATCH(C363,Segmen!$D$3:$D$6000,0)),"")</f>
        <v/>
      </c>
      <c r="C363">
        <f>IFERROR(LARGE(Segmen!$D$3:$D$6000,A363),"")</f>
        <v/>
      </c>
    </row>
    <row r="364">
      <c r="A364" t="n">
        <v>363</v>
      </c>
      <c r="B364">
        <f>IFERROR(INDEX(Segmen!$A$3:$A$6000,MATCH(C364,Segmen!$D$3:$D$6000,0)),"")</f>
        <v/>
      </c>
      <c r="C364">
        <f>IFERROR(LARGE(Segmen!$D$3:$D$6000,A364),"")</f>
        <v/>
      </c>
    </row>
    <row r="365">
      <c r="A365" t="n">
        <v>364</v>
      </c>
      <c r="B365">
        <f>IFERROR(INDEX(Segmen!$A$3:$A$6000,MATCH(C365,Segmen!$D$3:$D$6000,0)),"")</f>
        <v/>
      </c>
      <c r="C365">
        <f>IFERROR(LARGE(Segmen!$D$3:$D$6000,A365),"")</f>
        <v/>
      </c>
    </row>
    <row r="366">
      <c r="A366" t="n">
        <v>365</v>
      </c>
      <c r="B366">
        <f>IFERROR(INDEX(Segmen!$A$3:$A$6000,MATCH(C366,Segmen!$D$3:$D$6000,0)),"")</f>
        <v/>
      </c>
      <c r="C366">
        <f>IFERROR(LARGE(Segmen!$D$3:$D$6000,A366),"")</f>
        <v/>
      </c>
    </row>
    <row r="367">
      <c r="A367" t="n">
        <v>366</v>
      </c>
      <c r="B367">
        <f>IFERROR(INDEX(Segmen!$A$3:$A$6000,MATCH(C367,Segmen!$D$3:$D$6000,0)),"")</f>
        <v/>
      </c>
      <c r="C367">
        <f>IFERROR(LARGE(Segmen!$D$3:$D$6000,A367),"")</f>
        <v/>
      </c>
    </row>
    <row r="368">
      <c r="A368" t="n">
        <v>367</v>
      </c>
      <c r="B368">
        <f>IFERROR(INDEX(Segmen!$A$3:$A$6000,MATCH(C368,Segmen!$D$3:$D$6000,0)),"")</f>
        <v/>
      </c>
      <c r="C368">
        <f>IFERROR(LARGE(Segmen!$D$3:$D$6000,A368),"")</f>
        <v/>
      </c>
    </row>
    <row r="369">
      <c r="A369" t="n">
        <v>368</v>
      </c>
      <c r="B369">
        <f>IFERROR(INDEX(Segmen!$A$3:$A$6000,MATCH(C369,Segmen!$D$3:$D$6000,0)),"")</f>
        <v/>
      </c>
      <c r="C369">
        <f>IFERROR(LARGE(Segmen!$D$3:$D$6000,A369),"")</f>
        <v/>
      </c>
    </row>
    <row r="370">
      <c r="A370" t="n">
        <v>369</v>
      </c>
      <c r="B370">
        <f>IFERROR(INDEX(Segmen!$A$3:$A$6000,MATCH(C370,Segmen!$D$3:$D$6000,0)),"")</f>
        <v/>
      </c>
      <c r="C370">
        <f>IFERROR(LARGE(Segmen!$D$3:$D$6000,A370),"")</f>
        <v/>
      </c>
    </row>
    <row r="371">
      <c r="A371" t="n">
        <v>370</v>
      </c>
      <c r="B371">
        <f>IFERROR(INDEX(Segmen!$A$3:$A$6000,MATCH(C371,Segmen!$D$3:$D$6000,0)),"")</f>
        <v/>
      </c>
      <c r="C371">
        <f>IFERROR(LARGE(Segmen!$D$3:$D$6000,A371),"")</f>
        <v/>
      </c>
    </row>
    <row r="372">
      <c r="A372" t="n">
        <v>371</v>
      </c>
      <c r="B372">
        <f>IFERROR(INDEX(Segmen!$A$3:$A$6000,MATCH(C372,Segmen!$D$3:$D$6000,0)),"")</f>
        <v/>
      </c>
      <c r="C372">
        <f>IFERROR(LARGE(Segmen!$D$3:$D$6000,A372),"")</f>
        <v/>
      </c>
    </row>
    <row r="373">
      <c r="A373" t="n">
        <v>372</v>
      </c>
      <c r="B373">
        <f>IFERROR(INDEX(Segmen!$A$3:$A$6000,MATCH(C373,Segmen!$D$3:$D$6000,0)),"")</f>
        <v/>
      </c>
      <c r="C373">
        <f>IFERROR(LARGE(Segmen!$D$3:$D$6000,A373),"")</f>
        <v/>
      </c>
    </row>
    <row r="374">
      <c r="A374" t="n">
        <v>373</v>
      </c>
      <c r="B374">
        <f>IFERROR(INDEX(Segmen!$A$3:$A$6000,MATCH(C374,Segmen!$D$3:$D$6000,0)),"")</f>
        <v/>
      </c>
      <c r="C374">
        <f>IFERROR(LARGE(Segmen!$D$3:$D$6000,A374),"")</f>
        <v/>
      </c>
    </row>
    <row r="375">
      <c r="A375" t="n">
        <v>374</v>
      </c>
      <c r="B375">
        <f>IFERROR(INDEX(Segmen!$A$3:$A$6000,MATCH(C375,Segmen!$D$3:$D$6000,0)),"")</f>
        <v/>
      </c>
      <c r="C375">
        <f>IFERROR(LARGE(Segmen!$D$3:$D$6000,A375),"")</f>
        <v/>
      </c>
    </row>
    <row r="376">
      <c r="A376" t="n">
        <v>375</v>
      </c>
      <c r="B376">
        <f>IFERROR(INDEX(Segmen!$A$3:$A$6000,MATCH(C376,Segmen!$D$3:$D$6000,0)),"")</f>
        <v/>
      </c>
      <c r="C376">
        <f>IFERROR(LARGE(Segmen!$D$3:$D$6000,A376),"")</f>
        <v/>
      </c>
    </row>
    <row r="377">
      <c r="A377" t="n">
        <v>376</v>
      </c>
      <c r="B377">
        <f>IFERROR(INDEX(Segmen!$A$3:$A$6000,MATCH(C377,Segmen!$D$3:$D$6000,0)),"")</f>
        <v/>
      </c>
      <c r="C377">
        <f>IFERROR(LARGE(Segmen!$D$3:$D$6000,A377),"")</f>
        <v/>
      </c>
    </row>
    <row r="378">
      <c r="A378" t="n">
        <v>377</v>
      </c>
      <c r="B378">
        <f>IFERROR(INDEX(Segmen!$A$3:$A$6000,MATCH(C378,Segmen!$D$3:$D$6000,0)),"")</f>
        <v/>
      </c>
      <c r="C378">
        <f>IFERROR(LARGE(Segmen!$D$3:$D$6000,A378),"")</f>
        <v/>
      </c>
    </row>
    <row r="379">
      <c r="A379" t="n">
        <v>378</v>
      </c>
      <c r="B379">
        <f>IFERROR(INDEX(Segmen!$A$3:$A$6000,MATCH(C379,Segmen!$D$3:$D$6000,0)),"")</f>
        <v/>
      </c>
      <c r="C379">
        <f>IFERROR(LARGE(Segmen!$D$3:$D$6000,A379),"")</f>
        <v/>
      </c>
    </row>
    <row r="380">
      <c r="A380" t="n">
        <v>379</v>
      </c>
      <c r="B380">
        <f>IFERROR(INDEX(Segmen!$A$3:$A$6000,MATCH(C380,Segmen!$D$3:$D$6000,0)),"")</f>
        <v/>
      </c>
      <c r="C380">
        <f>IFERROR(LARGE(Segmen!$D$3:$D$6000,A380),"")</f>
        <v/>
      </c>
    </row>
    <row r="381">
      <c r="A381" t="n">
        <v>380</v>
      </c>
      <c r="B381">
        <f>IFERROR(INDEX(Segmen!$A$3:$A$6000,MATCH(C381,Segmen!$D$3:$D$6000,0)),"")</f>
        <v/>
      </c>
      <c r="C381">
        <f>IFERROR(LARGE(Segmen!$D$3:$D$6000,A381),"")</f>
        <v/>
      </c>
    </row>
    <row r="382">
      <c r="A382" t="n">
        <v>381</v>
      </c>
      <c r="B382">
        <f>IFERROR(INDEX(Segmen!$A$3:$A$6000,MATCH(C382,Segmen!$D$3:$D$6000,0)),"")</f>
        <v/>
      </c>
      <c r="C382">
        <f>IFERROR(LARGE(Segmen!$D$3:$D$6000,A382),"")</f>
        <v/>
      </c>
    </row>
    <row r="383">
      <c r="A383" t="n">
        <v>382</v>
      </c>
      <c r="B383">
        <f>IFERROR(INDEX(Segmen!$A$3:$A$6000,MATCH(C383,Segmen!$D$3:$D$6000,0)),"")</f>
        <v/>
      </c>
      <c r="C383">
        <f>IFERROR(LARGE(Segmen!$D$3:$D$6000,A383),"")</f>
        <v/>
      </c>
    </row>
    <row r="384">
      <c r="A384" t="n">
        <v>383</v>
      </c>
      <c r="B384">
        <f>IFERROR(INDEX(Segmen!$A$3:$A$6000,MATCH(C384,Segmen!$D$3:$D$6000,0)),"")</f>
        <v/>
      </c>
      <c r="C384">
        <f>IFERROR(LARGE(Segmen!$D$3:$D$6000,A384),"")</f>
        <v/>
      </c>
    </row>
    <row r="385">
      <c r="A385" t="n">
        <v>384</v>
      </c>
      <c r="B385">
        <f>IFERROR(INDEX(Segmen!$A$3:$A$6000,MATCH(C385,Segmen!$D$3:$D$6000,0)),"")</f>
        <v/>
      </c>
      <c r="C385">
        <f>IFERROR(LARGE(Segmen!$D$3:$D$6000,A385),"")</f>
        <v/>
      </c>
    </row>
    <row r="386">
      <c r="A386" t="n">
        <v>385</v>
      </c>
      <c r="B386">
        <f>IFERROR(INDEX(Segmen!$A$3:$A$6000,MATCH(C386,Segmen!$D$3:$D$6000,0)),"")</f>
        <v/>
      </c>
      <c r="C386">
        <f>IFERROR(LARGE(Segmen!$D$3:$D$6000,A386),"")</f>
        <v/>
      </c>
    </row>
    <row r="387">
      <c r="A387" t="n">
        <v>386</v>
      </c>
      <c r="B387">
        <f>IFERROR(INDEX(Segmen!$A$3:$A$6000,MATCH(C387,Segmen!$D$3:$D$6000,0)),"")</f>
        <v/>
      </c>
      <c r="C387">
        <f>IFERROR(LARGE(Segmen!$D$3:$D$6000,A387),"")</f>
        <v/>
      </c>
    </row>
    <row r="388">
      <c r="A388" t="n">
        <v>387</v>
      </c>
      <c r="B388">
        <f>IFERROR(INDEX(Segmen!$A$3:$A$6000,MATCH(C388,Segmen!$D$3:$D$6000,0)),"")</f>
        <v/>
      </c>
      <c r="C388">
        <f>IFERROR(LARGE(Segmen!$D$3:$D$6000,A388),"")</f>
        <v/>
      </c>
    </row>
    <row r="389">
      <c r="A389" t="n">
        <v>388</v>
      </c>
      <c r="B389">
        <f>IFERROR(INDEX(Segmen!$A$3:$A$6000,MATCH(C389,Segmen!$D$3:$D$6000,0)),"")</f>
        <v/>
      </c>
      <c r="C389">
        <f>IFERROR(LARGE(Segmen!$D$3:$D$6000,A389),"")</f>
        <v/>
      </c>
    </row>
    <row r="390">
      <c r="A390" t="n">
        <v>389</v>
      </c>
      <c r="B390">
        <f>IFERROR(INDEX(Segmen!$A$3:$A$6000,MATCH(C390,Segmen!$D$3:$D$6000,0)),"")</f>
        <v/>
      </c>
      <c r="C390">
        <f>IFERROR(LARGE(Segmen!$D$3:$D$6000,A390),"")</f>
        <v/>
      </c>
    </row>
    <row r="391">
      <c r="A391" t="n">
        <v>390</v>
      </c>
      <c r="B391">
        <f>IFERROR(INDEX(Segmen!$A$3:$A$6000,MATCH(C391,Segmen!$D$3:$D$6000,0)),"")</f>
        <v/>
      </c>
      <c r="C391">
        <f>IFERROR(LARGE(Segmen!$D$3:$D$6000,A391),"")</f>
        <v/>
      </c>
    </row>
    <row r="392">
      <c r="A392" t="n">
        <v>391</v>
      </c>
      <c r="B392">
        <f>IFERROR(INDEX(Segmen!$A$3:$A$6000,MATCH(C392,Segmen!$D$3:$D$6000,0)),"")</f>
        <v/>
      </c>
      <c r="C392">
        <f>IFERROR(LARGE(Segmen!$D$3:$D$6000,A392),"")</f>
        <v/>
      </c>
    </row>
    <row r="393">
      <c r="A393" t="n">
        <v>392</v>
      </c>
      <c r="B393">
        <f>IFERROR(INDEX(Segmen!$A$3:$A$6000,MATCH(C393,Segmen!$D$3:$D$6000,0)),"")</f>
        <v/>
      </c>
      <c r="C393">
        <f>IFERROR(LARGE(Segmen!$D$3:$D$6000,A393),"")</f>
        <v/>
      </c>
    </row>
    <row r="394">
      <c r="A394" t="n">
        <v>393</v>
      </c>
      <c r="B394">
        <f>IFERROR(INDEX(Segmen!$A$3:$A$6000,MATCH(C394,Segmen!$D$3:$D$6000,0)),"")</f>
        <v/>
      </c>
      <c r="C394">
        <f>IFERROR(LARGE(Segmen!$D$3:$D$6000,A394),"")</f>
        <v/>
      </c>
    </row>
    <row r="395">
      <c r="A395" t="n">
        <v>394</v>
      </c>
      <c r="B395">
        <f>IFERROR(INDEX(Segmen!$A$3:$A$6000,MATCH(C395,Segmen!$D$3:$D$6000,0)),"")</f>
        <v/>
      </c>
      <c r="C395">
        <f>IFERROR(LARGE(Segmen!$D$3:$D$6000,A395),"")</f>
        <v/>
      </c>
    </row>
    <row r="396">
      <c r="A396" t="n">
        <v>395</v>
      </c>
      <c r="B396">
        <f>IFERROR(INDEX(Segmen!$A$3:$A$6000,MATCH(C396,Segmen!$D$3:$D$6000,0)),"")</f>
        <v/>
      </c>
      <c r="C396">
        <f>IFERROR(LARGE(Segmen!$D$3:$D$6000,A396),"")</f>
        <v/>
      </c>
    </row>
    <row r="397">
      <c r="A397" t="n">
        <v>396</v>
      </c>
      <c r="B397">
        <f>IFERROR(INDEX(Segmen!$A$3:$A$6000,MATCH(C397,Segmen!$D$3:$D$6000,0)),"")</f>
        <v/>
      </c>
      <c r="C397">
        <f>IFERROR(LARGE(Segmen!$D$3:$D$6000,A397),"")</f>
        <v/>
      </c>
    </row>
    <row r="398">
      <c r="A398" t="n">
        <v>397</v>
      </c>
      <c r="B398">
        <f>IFERROR(INDEX(Segmen!$A$3:$A$6000,MATCH(C398,Segmen!$D$3:$D$6000,0)),"")</f>
        <v/>
      </c>
      <c r="C398">
        <f>IFERROR(LARGE(Segmen!$D$3:$D$6000,A398),"")</f>
        <v/>
      </c>
    </row>
    <row r="399">
      <c r="A399" t="n">
        <v>398</v>
      </c>
      <c r="B399">
        <f>IFERROR(INDEX(Segmen!$A$3:$A$6000,MATCH(C399,Segmen!$D$3:$D$6000,0)),"")</f>
        <v/>
      </c>
      <c r="C399">
        <f>IFERROR(LARGE(Segmen!$D$3:$D$6000,A399),"")</f>
        <v/>
      </c>
    </row>
    <row r="400">
      <c r="A400" t="n">
        <v>399</v>
      </c>
      <c r="B400">
        <f>IFERROR(INDEX(Segmen!$A$3:$A$6000,MATCH(C400,Segmen!$D$3:$D$6000,0)),"")</f>
        <v/>
      </c>
      <c r="C400">
        <f>IFERROR(LARGE(Segmen!$D$3:$D$6000,A400),"")</f>
        <v/>
      </c>
    </row>
    <row r="401">
      <c r="A401" t="n">
        <v>400</v>
      </c>
      <c r="B401">
        <f>IFERROR(INDEX(Segmen!$A$3:$A$6000,MATCH(C401,Segmen!$D$3:$D$6000,0)),"")</f>
        <v/>
      </c>
      <c r="C401">
        <f>IFERROR(LARGE(Segmen!$D$3:$D$6000,A401),"")</f>
        <v/>
      </c>
    </row>
    <row r="402">
      <c r="A402" t="n">
        <v>401</v>
      </c>
      <c r="B402">
        <f>IFERROR(INDEX(Segmen!$A$3:$A$6000,MATCH(C402,Segmen!$D$3:$D$6000,0)),"")</f>
        <v/>
      </c>
      <c r="C402">
        <f>IFERROR(LARGE(Segmen!$D$3:$D$6000,A402),"")</f>
        <v/>
      </c>
    </row>
    <row r="403">
      <c r="A403" t="n">
        <v>402</v>
      </c>
      <c r="B403">
        <f>IFERROR(INDEX(Segmen!$A$3:$A$6000,MATCH(C403,Segmen!$D$3:$D$6000,0)),"")</f>
        <v/>
      </c>
      <c r="C403">
        <f>IFERROR(LARGE(Segmen!$D$3:$D$6000,A403),"")</f>
        <v/>
      </c>
    </row>
    <row r="404">
      <c r="A404" t="n">
        <v>403</v>
      </c>
      <c r="B404">
        <f>IFERROR(INDEX(Segmen!$A$3:$A$6000,MATCH(C404,Segmen!$D$3:$D$6000,0)),"")</f>
        <v/>
      </c>
      <c r="C404">
        <f>IFERROR(LARGE(Segmen!$D$3:$D$6000,A404),"")</f>
        <v/>
      </c>
    </row>
    <row r="405">
      <c r="A405" t="n">
        <v>404</v>
      </c>
      <c r="B405">
        <f>IFERROR(INDEX(Segmen!$A$3:$A$6000,MATCH(C405,Segmen!$D$3:$D$6000,0)),"")</f>
        <v/>
      </c>
      <c r="C405">
        <f>IFERROR(LARGE(Segmen!$D$3:$D$6000,A405),"")</f>
        <v/>
      </c>
    </row>
    <row r="406">
      <c r="A406" t="n">
        <v>405</v>
      </c>
      <c r="B406">
        <f>IFERROR(INDEX(Segmen!$A$3:$A$6000,MATCH(C406,Segmen!$D$3:$D$6000,0)),"")</f>
        <v/>
      </c>
      <c r="C406">
        <f>IFERROR(LARGE(Segmen!$D$3:$D$6000,A406),"")</f>
        <v/>
      </c>
    </row>
    <row r="407">
      <c r="A407" t="n">
        <v>406</v>
      </c>
      <c r="B407">
        <f>IFERROR(INDEX(Segmen!$A$3:$A$6000,MATCH(C407,Segmen!$D$3:$D$6000,0)),"")</f>
        <v/>
      </c>
      <c r="C407">
        <f>IFERROR(LARGE(Segmen!$D$3:$D$6000,A407),"")</f>
        <v/>
      </c>
    </row>
    <row r="408">
      <c r="A408" t="n">
        <v>407</v>
      </c>
      <c r="B408">
        <f>IFERROR(INDEX(Segmen!$A$3:$A$6000,MATCH(C408,Segmen!$D$3:$D$6000,0)),"")</f>
        <v/>
      </c>
      <c r="C408">
        <f>IFERROR(LARGE(Segmen!$D$3:$D$6000,A408),"")</f>
        <v/>
      </c>
    </row>
    <row r="409">
      <c r="A409" t="n">
        <v>408</v>
      </c>
      <c r="B409">
        <f>IFERROR(INDEX(Segmen!$A$3:$A$6000,MATCH(C409,Segmen!$D$3:$D$6000,0)),"")</f>
        <v/>
      </c>
      <c r="C409">
        <f>IFERROR(LARGE(Segmen!$D$3:$D$6000,A409),"")</f>
        <v/>
      </c>
    </row>
    <row r="410">
      <c r="A410" t="n">
        <v>409</v>
      </c>
      <c r="B410">
        <f>IFERROR(INDEX(Segmen!$A$3:$A$6000,MATCH(C410,Segmen!$D$3:$D$6000,0)),"")</f>
        <v/>
      </c>
      <c r="C410">
        <f>IFERROR(LARGE(Segmen!$D$3:$D$6000,A410),"")</f>
        <v/>
      </c>
    </row>
    <row r="411">
      <c r="A411" t="n">
        <v>410</v>
      </c>
      <c r="B411">
        <f>IFERROR(INDEX(Segmen!$A$3:$A$6000,MATCH(C411,Segmen!$D$3:$D$6000,0)),"")</f>
        <v/>
      </c>
      <c r="C411">
        <f>IFERROR(LARGE(Segmen!$D$3:$D$6000,A411),"")</f>
        <v/>
      </c>
    </row>
    <row r="412">
      <c r="A412" t="n">
        <v>411</v>
      </c>
      <c r="B412">
        <f>IFERROR(INDEX(Segmen!$A$3:$A$6000,MATCH(C412,Segmen!$D$3:$D$6000,0)),"")</f>
        <v/>
      </c>
      <c r="C412">
        <f>IFERROR(LARGE(Segmen!$D$3:$D$6000,A412),"")</f>
        <v/>
      </c>
    </row>
    <row r="413">
      <c r="A413" t="n">
        <v>412</v>
      </c>
      <c r="B413">
        <f>IFERROR(INDEX(Segmen!$A$3:$A$6000,MATCH(C413,Segmen!$D$3:$D$6000,0)),"")</f>
        <v/>
      </c>
      <c r="C413">
        <f>IFERROR(LARGE(Segmen!$D$3:$D$6000,A413),"")</f>
        <v/>
      </c>
    </row>
    <row r="414">
      <c r="A414" t="n">
        <v>413</v>
      </c>
      <c r="B414">
        <f>IFERROR(INDEX(Segmen!$A$3:$A$6000,MATCH(C414,Segmen!$D$3:$D$6000,0)),"")</f>
        <v/>
      </c>
      <c r="C414">
        <f>IFERROR(LARGE(Segmen!$D$3:$D$6000,A414),"")</f>
        <v/>
      </c>
    </row>
    <row r="415">
      <c r="A415" t="n">
        <v>414</v>
      </c>
      <c r="B415">
        <f>IFERROR(INDEX(Segmen!$A$3:$A$6000,MATCH(C415,Segmen!$D$3:$D$6000,0)),"")</f>
        <v/>
      </c>
      <c r="C415">
        <f>IFERROR(LARGE(Segmen!$D$3:$D$6000,A415),"")</f>
        <v/>
      </c>
    </row>
    <row r="416">
      <c r="A416" t="n">
        <v>415</v>
      </c>
      <c r="B416">
        <f>IFERROR(INDEX(Segmen!$A$3:$A$6000,MATCH(C416,Segmen!$D$3:$D$6000,0)),"")</f>
        <v/>
      </c>
      <c r="C416">
        <f>IFERROR(LARGE(Segmen!$D$3:$D$6000,A416),"")</f>
        <v/>
      </c>
    </row>
    <row r="417">
      <c r="A417" t="n">
        <v>416</v>
      </c>
      <c r="B417">
        <f>IFERROR(INDEX(Segmen!$A$3:$A$6000,MATCH(C417,Segmen!$D$3:$D$6000,0)),"")</f>
        <v/>
      </c>
      <c r="C417">
        <f>IFERROR(LARGE(Segmen!$D$3:$D$6000,A417),"")</f>
        <v/>
      </c>
    </row>
    <row r="418">
      <c r="A418" t="n">
        <v>417</v>
      </c>
      <c r="B418">
        <f>IFERROR(INDEX(Segmen!$A$3:$A$6000,MATCH(C418,Segmen!$D$3:$D$6000,0)),"")</f>
        <v/>
      </c>
      <c r="C418">
        <f>IFERROR(LARGE(Segmen!$D$3:$D$6000,A418),"")</f>
        <v/>
      </c>
    </row>
    <row r="419">
      <c r="A419" t="n">
        <v>418</v>
      </c>
      <c r="B419">
        <f>IFERROR(INDEX(Segmen!$A$3:$A$6000,MATCH(C419,Segmen!$D$3:$D$6000,0)),"")</f>
        <v/>
      </c>
      <c r="C419">
        <f>IFERROR(LARGE(Segmen!$D$3:$D$6000,A419),"")</f>
        <v/>
      </c>
    </row>
    <row r="420">
      <c r="A420" t="n">
        <v>419</v>
      </c>
      <c r="B420">
        <f>IFERROR(INDEX(Segmen!$A$3:$A$6000,MATCH(C420,Segmen!$D$3:$D$6000,0)),"")</f>
        <v/>
      </c>
      <c r="C420">
        <f>IFERROR(LARGE(Segmen!$D$3:$D$6000,A420),"")</f>
        <v/>
      </c>
    </row>
    <row r="421">
      <c r="A421" t="n">
        <v>420</v>
      </c>
      <c r="B421">
        <f>IFERROR(INDEX(Segmen!$A$3:$A$6000,MATCH(C421,Segmen!$D$3:$D$6000,0)),"")</f>
        <v/>
      </c>
      <c r="C421">
        <f>IFERROR(LARGE(Segmen!$D$3:$D$6000,A421),"")</f>
        <v/>
      </c>
    </row>
    <row r="422">
      <c r="A422" t="n">
        <v>421</v>
      </c>
      <c r="B422">
        <f>IFERROR(INDEX(Segmen!$A$3:$A$6000,MATCH(C422,Segmen!$D$3:$D$6000,0)),"")</f>
        <v/>
      </c>
      <c r="C422">
        <f>IFERROR(LARGE(Segmen!$D$3:$D$6000,A422),"")</f>
        <v/>
      </c>
    </row>
    <row r="423">
      <c r="A423" t="n">
        <v>422</v>
      </c>
      <c r="B423">
        <f>IFERROR(INDEX(Segmen!$A$3:$A$6000,MATCH(C423,Segmen!$D$3:$D$6000,0)),"")</f>
        <v/>
      </c>
      <c r="C423">
        <f>IFERROR(LARGE(Segmen!$D$3:$D$6000,A423),"")</f>
        <v/>
      </c>
    </row>
    <row r="424">
      <c r="A424" t="n">
        <v>423</v>
      </c>
      <c r="B424">
        <f>IFERROR(INDEX(Segmen!$A$3:$A$6000,MATCH(C424,Segmen!$D$3:$D$6000,0)),"")</f>
        <v/>
      </c>
      <c r="C424">
        <f>IFERROR(LARGE(Segmen!$D$3:$D$6000,A424),"")</f>
        <v/>
      </c>
    </row>
    <row r="425">
      <c r="A425" t="n">
        <v>424</v>
      </c>
      <c r="B425">
        <f>IFERROR(INDEX(Segmen!$A$3:$A$6000,MATCH(C425,Segmen!$D$3:$D$6000,0)),"")</f>
        <v/>
      </c>
      <c r="C425">
        <f>IFERROR(LARGE(Segmen!$D$3:$D$6000,A425),"")</f>
        <v/>
      </c>
    </row>
    <row r="426">
      <c r="A426" t="n">
        <v>425</v>
      </c>
      <c r="B426">
        <f>IFERROR(INDEX(Segmen!$A$3:$A$6000,MATCH(C426,Segmen!$D$3:$D$6000,0)),"")</f>
        <v/>
      </c>
      <c r="C426">
        <f>IFERROR(LARGE(Segmen!$D$3:$D$6000,A426),"")</f>
        <v/>
      </c>
    </row>
    <row r="427">
      <c r="A427" t="n">
        <v>426</v>
      </c>
      <c r="B427">
        <f>IFERROR(INDEX(Segmen!$A$3:$A$6000,MATCH(C427,Segmen!$D$3:$D$6000,0)),"")</f>
        <v/>
      </c>
      <c r="C427">
        <f>IFERROR(LARGE(Segmen!$D$3:$D$6000,A427),"")</f>
        <v/>
      </c>
    </row>
    <row r="428">
      <c r="A428" t="n">
        <v>427</v>
      </c>
      <c r="B428">
        <f>IFERROR(INDEX(Segmen!$A$3:$A$6000,MATCH(C428,Segmen!$D$3:$D$6000,0)),"")</f>
        <v/>
      </c>
      <c r="C428">
        <f>IFERROR(LARGE(Segmen!$D$3:$D$6000,A428),"")</f>
        <v/>
      </c>
    </row>
    <row r="429">
      <c r="A429" t="n">
        <v>428</v>
      </c>
      <c r="B429">
        <f>IFERROR(INDEX(Segmen!$A$3:$A$6000,MATCH(C429,Segmen!$D$3:$D$6000,0)),"")</f>
        <v/>
      </c>
      <c r="C429">
        <f>IFERROR(LARGE(Segmen!$D$3:$D$6000,A429),"")</f>
        <v/>
      </c>
    </row>
    <row r="430">
      <c r="A430" t="n">
        <v>429</v>
      </c>
      <c r="B430">
        <f>IFERROR(INDEX(Segmen!$A$3:$A$6000,MATCH(C430,Segmen!$D$3:$D$6000,0)),"")</f>
        <v/>
      </c>
      <c r="C430">
        <f>IFERROR(LARGE(Segmen!$D$3:$D$6000,A430),"")</f>
        <v/>
      </c>
    </row>
    <row r="431">
      <c r="A431" t="n">
        <v>430</v>
      </c>
      <c r="B431">
        <f>IFERROR(INDEX(Segmen!$A$3:$A$6000,MATCH(C431,Segmen!$D$3:$D$6000,0)),"")</f>
        <v/>
      </c>
      <c r="C431">
        <f>IFERROR(LARGE(Segmen!$D$3:$D$6000,A431),"")</f>
        <v/>
      </c>
    </row>
    <row r="432">
      <c r="A432" t="n">
        <v>431</v>
      </c>
      <c r="B432">
        <f>IFERROR(INDEX(Segmen!$A$3:$A$6000,MATCH(C432,Segmen!$D$3:$D$6000,0)),"")</f>
        <v/>
      </c>
      <c r="C432">
        <f>IFERROR(LARGE(Segmen!$D$3:$D$6000,A432),"")</f>
        <v/>
      </c>
    </row>
    <row r="433">
      <c r="A433" t="n">
        <v>432</v>
      </c>
      <c r="B433">
        <f>IFERROR(INDEX(Segmen!$A$3:$A$6000,MATCH(C433,Segmen!$D$3:$D$6000,0)),"")</f>
        <v/>
      </c>
      <c r="C433">
        <f>IFERROR(LARGE(Segmen!$D$3:$D$6000,A433),"")</f>
        <v/>
      </c>
    </row>
    <row r="434">
      <c r="A434" t="n">
        <v>433</v>
      </c>
      <c r="B434">
        <f>IFERROR(INDEX(Segmen!$A$3:$A$6000,MATCH(C434,Segmen!$D$3:$D$6000,0)),"")</f>
        <v/>
      </c>
      <c r="C434">
        <f>IFERROR(LARGE(Segmen!$D$3:$D$6000,A434),"")</f>
        <v/>
      </c>
    </row>
    <row r="435">
      <c r="A435" t="n">
        <v>434</v>
      </c>
      <c r="B435">
        <f>IFERROR(INDEX(Segmen!$A$3:$A$6000,MATCH(C435,Segmen!$D$3:$D$6000,0)),"")</f>
        <v/>
      </c>
      <c r="C435">
        <f>IFERROR(LARGE(Segmen!$D$3:$D$6000,A435),"")</f>
        <v/>
      </c>
    </row>
    <row r="436">
      <c r="A436" t="n">
        <v>435</v>
      </c>
      <c r="B436">
        <f>IFERROR(INDEX(Segmen!$A$3:$A$6000,MATCH(C436,Segmen!$D$3:$D$6000,0)),"")</f>
        <v/>
      </c>
      <c r="C436">
        <f>IFERROR(LARGE(Segmen!$D$3:$D$6000,A436),"")</f>
        <v/>
      </c>
    </row>
    <row r="437">
      <c r="A437" t="n">
        <v>436</v>
      </c>
      <c r="B437">
        <f>IFERROR(INDEX(Segmen!$A$3:$A$6000,MATCH(C437,Segmen!$D$3:$D$6000,0)),"")</f>
        <v/>
      </c>
      <c r="C437">
        <f>IFERROR(LARGE(Segmen!$D$3:$D$6000,A437),"")</f>
        <v/>
      </c>
    </row>
    <row r="438">
      <c r="A438" t="n">
        <v>437</v>
      </c>
      <c r="B438">
        <f>IFERROR(INDEX(Segmen!$A$3:$A$6000,MATCH(C438,Segmen!$D$3:$D$6000,0)),"")</f>
        <v/>
      </c>
      <c r="C438">
        <f>IFERROR(LARGE(Segmen!$D$3:$D$6000,A438),"")</f>
        <v/>
      </c>
    </row>
    <row r="439">
      <c r="A439" t="n">
        <v>438</v>
      </c>
      <c r="B439">
        <f>IFERROR(INDEX(Segmen!$A$3:$A$6000,MATCH(C439,Segmen!$D$3:$D$6000,0)),"")</f>
        <v/>
      </c>
      <c r="C439">
        <f>IFERROR(LARGE(Segmen!$D$3:$D$6000,A439),"")</f>
        <v/>
      </c>
    </row>
    <row r="440">
      <c r="A440" t="n">
        <v>439</v>
      </c>
      <c r="B440">
        <f>IFERROR(INDEX(Segmen!$A$3:$A$6000,MATCH(C440,Segmen!$D$3:$D$6000,0)),"")</f>
        <v/>
      </c>
      <c r="C440">
        <f>IFERROR(LARGE(Segmen!$D$3:$D$6000,A440),"")</f>
        <v/>
      </c>
    </row>
    <row r="441">
      <c r="A441" t="n">
        <v>440</v>
      </c>
      <c r="B441">
        <f>IFERROR(INDEX(Segmen!$A$3:$A$6000,MATCH(C441,Segmen!$D$3:$D$6000,0)),"")</f>
        <v/>
      </c>
      <c r="C441">
        <f>IFERROR(LARGE(Segmen!$D$3:$D$6000,A441),"")</f>
        <v/>
      </c>
    </row>
    <row r="442">
      <c r="A442" t="n">
        <v>441</v>
      </c>
      <c r="B442">
        <f>IFERROR(INDEX(Segmen!$A$3:$A$6000,MATCH(C442,Segmen!$D$3:$D$6000,0)),"")</f>
        <v/>
      </c>
      <c r="C442">
        <f>IFERROR(LARGE(Segmen!$D$3:$D$6000,A442),"")</f>
        <v/>
      </c>
    </row>
    <row r="443">
      <c r="A443" t="n">
        <v>442</v>
      </c>
      <c r="B443">
        <f>IFERROR(INDEX(Segmen!$A$3:$A$6000,MATCH(C443,Segmen!$D$3:$D$6000,0)),"")</f>
        <v/>
      </c>
      <c r="C443">
        <f>IFERROR(LARGE(Segmen!$D$3:$D$6000,A443),"")</f>
        <v/>
      </c>
    </row>
    <row r="444">
      <c r="A444" t="n">
        <v>443</v>
      </c>
      <c r="B444">
        <f>IFERROR(INDEX(Segmen!$A$3:$A$6000,MATCH(C444,Segmen!$D$3:$D$6000,0)),"")</f>
        <v/>
      </c>
      <c r="C444">
        <f>IFERROR(LARGE(Segmen!$D$3:$D$6000,A444),"")</f>
        <v/>
      </c>
    </row>
    <row r="445">
      <c r="A445" t="n">
        <v>444</v>
      </c>
      <c r="B445">
        <f>IFERROR(INDEX(Segmen!$A$3:$A$6000,MATCH(C445,Segmen!$D$3:$D$6000,0)),"")</f>
        <v/>
      </c>
      <c r="C445">
        <f>IFERROR(LARGE(Segmen!$D$3:$D$6000,A445),"")</f>
        <v/>
      </c>
    </row>
    <row r="446">
      <c r="A446" t="n">
        <v>445</v>
      </c>
      <c r="B446">
        <f>IFERROR(INDEX(Segmen!$A$3:$A$6000,MATCH(C446,Segmen!$D$3:$D$6000,0)),"")</f>
        <v/>
      </c>
      <c r="C446">
        <f>IFERROR(LARGE(Segmen!$D$3:$D$6000,A446),"")</f>
        <v/>
      </c>
    </row>
    <row r="447">
      <c r="A447" t="n">
        <v>446</v>
      </c>
      <c r="B447">
        <f>IFERROR(INDEX(Segmen!$A$3:$A$6000,MATCH(C447,Segmen!$D$3:$D$6000,0)),"")</f>
        <v/>
      </c>
      <c r="C447">
        <f>IFERROR(LARGE(Segmen!$D$3:$D$6000,A447),"")</f>
        <v/>
      </c>
    </row>
    <row r="448">
      <c r="A448" t="n">
        <v>447</v>
      </c>
      <c r="B448">
        <f>IFERROR(INDEX(Segmen!$A$3:$A$6000,MATCH(C448,Segmen!$D$3:$D$6000,0)),"")</f>
        <v/>
      </c>
      <c r="C448">
        <f>IFERROR(LARGE(Segmen!$D$3:$D$6000,A448),"")</f>
        <v/>
      </c>
    </row>
    <row r="449">
      <c r="A449" t="n">
        <v>448</v>
      </c>
      <c r="B449">
        <f>IFERROR(INDEX(Segmen!$A$3:$A$6000,MATCH(C449,Segmen!$D$3:$D$6000,0)),"")</f>
        <v/>
      </c>
      <c r="C449">
        <f>IFERROR(LARGE(Segmen!$D$3:$D$6000,A449),"")</f>
        <v/>
      </c>
    </row>
    <row r="450">
      <c r="A450" t="n">
        <v>449</v>
      </c>
      <c r="B450">
        <f>IFERROR(INDEX(Segmen!$A$3:$A$6000,MATCH(C450,Segmen!$D$3:$D$6000,0)),"")</f>
        <v/>
      </c>
      <c r="C450">
        <f>IFERROR(LARGE(Segmen!$D$3:$D$6000,A450),"")</f>
        <v/>
      </c>
    </row>
    <row r="451">
      <c r="A451" t="n">
        <v>450</v>
      </c>
      <c r="B451">
        <f>IFERROR(INDEX(Segmen!$A$3:$A$6000,MATCH(C451,Segmen!$D$3:$D$6000,0)),"")</f>
        <v/>
      </c>
      <c r="C451">
        <f>IFERROR(LARGE(Segmen!$D$3:$D$6000,A451),"")</f>
        <v/>
      </c>
    </row>
    <row r="452">
      <c r="A452" t="n">
        <v>451</v>
      </c>
      <c r="B452">
        <f>IFERROR(INDEX(Segmen!$A$3:$A$6000,MATCH(C452,Segmen!$D$3:$D$6000,0)),"")</f>
        <v/>
      </c>
      <c r="C452">
        <f>IFERROR(LARGE(Segmen!$D$3:$D$6000,A452),"")</f>
        <v/>
      </c>
    </row>
    <row r="453">
      <c r="A453" t="n">
        <v>452</v>
      </c>
      <c r="B453">
        <f>IFERROR(INDEX(Segmen!$A$3:$A$6000,MATCH(C453,Segmen!$D$3:$D$6000,0)),"")</f>
        <v/>
      </c>
      <c r="C453">
        <f>IFERROR(LARGE(Segmen!$D$3:$D$6000,A453),"")</f>
        <v/>
      </c>
    </row>
    <row r="454">
      <c r="A454" t="n">
        <v>453</v>
      </c>
      <c r="B454">
        <f>IFERROR(INDEX(Segmen!$A$3:$A$6000,MATCH(C454,Segmen!$D$3:$D$6000,0)),"")</f>
        <v/>
      </c>
      <c r="C454">
        <f>IFERROR(LARGE(Segmen!$D$3:$D$6000,A454),"")</f>
        <v/>
      </c>
    </row>
    <row r="455">
      <c r="A455" t="n">
        <v>454</v>
      </c>
      <c r="B455">
        <f>IFERROR(INDEX(Segmen!$A$3:$A$6000,MATCH(C455,Segmen!$D$3:$D$6000,0)),"")</f>
        <v/>
      </c>
      <c r="C455">
        <f>IFERROR(LARGE(Segmen!$D$3:$D$6000,A455),"")</f>
        <v/>
      </c>
    </row>
    <row r="456">
      <c r="A456" t="n">
        <v>455</v>
      </c>
      <c r="B456">
        <f>IFERROR(INDEX(Segmen!$A$3:$A$6000,MATCH(C456,Segmen!$D$3:$D$6000,0)),"")</f>
        <v/>
      </c>
      <c r="C456">
        <f>IFERROR(LARGE(Segmen!$D$3:$D$6000,A456),"")</f>
        <v/>
      </c>
    </row>
    <row r="457">
      <c r="A457" t="n">
        <v>456</v>
      </c>
      <c r="B457">
        <f>IFERROR(INDEX(Segmen!$A$3:$A$6000,MATCH(C457,Segmen!$D$3:$D$6000,0)),"")</f>
        <v/>
      </c>
      <c r="C457">
        <f>IFERROR(LARGE(Segmen!$D$3:$D$6000,A457),"")</f>
        <v/>
      </c>
    </row>
    <row r="458">
      <c r="A458" t="n">
        <v>457</v>
      </c>
      <c r="B458">
        <f>IFERROR(INDEX(Segmen!$A$3:$A$6000,MATCH(C458,Segmen!$D$3:$D$6000,0)),"")</f>
        <v/>
      </c>
      <c r="C458">
        <f>IFERROR(LARGE(Segmen!$D$3:$D$6000,A458),"")</f>
        <v/>
      </c>
    </row>
    <row r="459">
      <c r="A459" t="n">
        <v>458</v>
      </c>
      <c r="B459">
        <f>IFERROR(INDEX(Segmen!$A$3:$A$6000,MATCH(C459,Segmen!$D$3:$D$6000,0)),"")</f>
        <v/>
      </c>
      <c r="C459">
        <f>IFERROR(LARGE(Segmen!$D$3:$D$6000,A459),"")</f>
        <v/>
      </c>
    </row>
    <row r="460">
      <c r="A460" t="n">
        <v>459</v>
      </c>
      <c r="B460">
        <f>IFERROR(INDEX(Segmen!$A$3:$A$6000,MATCH(C460,Segmen!$D$3:$D$6000,0)),"")</f>
        <v/>
      </c>
      <c r="C460">
        <f>IFERROR(LARGE(Segmen!$D$3:$D$6000,A460),"")</f>
        <v/>
      </c>
    </row>
    <row r="461">
      <c r="A461" t="n">
        <v>460</v>
      </c>
      <c r="B461">
        <f>IFERROR(INDEX(Segmen!$A$3:$A$6000,MATCH(C461,Segmen!$D$3:$D$6000,0)),"")</f>
        <v/>
      </c>
      <c r="C461">
        <f>IFERROR(LARGE(Segmen!$D$3:$D$6000,A461),"")</f>
        <v/>
      </c>
    </row>
    <row r="462">
      <c r="A462" t="n">
        <v>461</v>
      </c>
      <c r="B462">
        <f>IFERROR(INDEX(Segmen!$A$3:$A$6000,MATCH(C462,Segmen!$D$3:$D$6000,0)),"")</f>
        <v/>
      </c>
      <c r="C462">
        <f>IFERROR(LARGE(Segmen!$D$3:$D$6000,A462),"")</f>
        <v/>
      </c>
    </row>
    <row r="463">
      <c r="A463" t="n">
        <v>462</v>
      </c>
      <c r="B463">
        <f>IFERROR(INDEX(Segmen!$A$3:$A$6000,MATCH(C463,Segmen!$D$3:$D$6000,0)),"")</f>
        <v/>
      </c>
      <c r="C463">
        <f>IFERROR(LARGE(Segmen!$D$3:$D$6000,A463),"")</f>
        <v/>
      </c>
    </row>
    <row r="464">
      <c r="A464" t="n">
        <v>463</v>
      </c>
      <c r="B464">
        <f>IFERROR(INDEX(Segmen!$A$3:$A$6000,MATCH(C464,Segmen!$D$3:$D$6000,0)),"")</f>
        <v/>
      </c>
      <c r="C464">
        <f>IFERROR(LARGE(Segmen!$D$3:$D$6000,A464),"")</f>
        <v/>
      </c>
    </row>
    <row r="465">
      <c r="A465" t="n">
        <v>464</v>
      </c>
      <c r="B465">
        <f>IFERROR(INDEX(Segmen!$A$3:$A$6000,MATCH(C465,Segmen!$D$3:$D$6000,0)),"")</f>
        <v/>
      </c>
      <c r="C465">
        <f>IFERROR(LARGE(Segmen!$D$3:$D$6000,A465),"")</f>
        <v/>
      </c>
    </row>
    <row r="466">
      <c r="A466" t="n">
        <v>465</v>
      </c>
      <c r="B466">
        <f>IFERROR(INDEX(Segmen!$A$3:$A$6000,MATCH(C466,Segmen!$D$3:$D$6000,0)),"")</f>
        <v/>
      </c>
      <c r="C466">
        <f>IFERROR(LARGE(Segmen!$D$3:$D$6000,A466),"")</f>
        <v/>
      </c>
    </row>
    <row r="467">
      <c r="A467" t="n">
        <v>466</v>
      </c>
      <c r="B467">
        <f>IFERROR(INDEX(Segmen!$A$3:$A$6000,MATCH(C467,Segmen!$D$3:$D$6000,0)),"")</f>
        <v/>
      </c>
      <c r="C467">
        <f>IFERROR(LARGE(Segmen!$D$3:$D$6000,A467),"")</f>
        <v/>
      </c>
    </row>
    <row r="468">
      <c r="A468" t="n">
        <v>467</v>
      </c>
      <c r="B468">
        <f>IFERROR(INDEX(Segmen!$A$3:$A$6000,MATCH(C468,Segmen!$D$3:$D$6000,0)),"")</f>
        <v/>
      </c>
      <c r="C468">
        <f>IFERROR(LARGE(Segmen!$D$3:$D$6000,A468),"")</f>
        <v/>
      </c>
    </row>
    <row r="469">
      <c r="A469" t="n">
        <v>468</v>
      </c>
      <c r="B469">
        <f>IFERROR(INDEX(Segmen!$A$3:$A$6000,MATCH(C469,Segmen!$D$3:$D$6000,0)),"")</f>
        <v/>
      </c>
      <c r="C469">
        <f>IFERROR(LARGE(Segmen!$D$3:$D$6000,A469),"")</f>
        <v/>
      </c>
    </row>
    <row r="470">
      <c r="A470" t="n">
        <v>469</v>
      </c>
      <c r="B470">
        <f>IFERROR(INDEX(Segmen!$A$3:$A$6000,MATCH(C470,Segmen!$D$3:$D$6000,0)),"")</f>
        <v/>
      </c>
      <c r="C470">
        <f>IFERROR(LARGE(Segmen!$D$3:$D$6000,A470),"")</f>
        <v/>
      </c>
    </row>
    <row r="471">
      <c r="A471" t="n">
        <v>470</v>
      </c>
      <c r="B471">
        <f>IFERROR(INDEX(Segmen!$A$3:$A$6000,MATCH(C471,Segmen!$D$3:$D$6000,0)),"")</f>
        <v/>
      </c>
      <c r="C471">
        <f>IFERROR(LARGE(Segmen!$D$3:$D$6000,A471),"")</f>
        <v/>
      </c>
    </row>
    <row r="472">
      <c r="A472" t="n">
        <v>471</v>
      </c>
      <c r="B472">
        <f>IFERROR(INDEX(Segmen!$A$3:$A$6000,MATCH(C472,Segmen!$D$3:$D$6000,0)),"")</f>
        <v/>
      </c>
      <c r="C472">
        <f>IFERROR(LARGE(Segmen!$D$3:$D$6000,A472),"")</f>
        <v/>
      </c>
    </row>
    <row r="473">
      <c r="A473" t="n">
        <v>472</v>
      </c>
      <c r="B473">
        <f>IFERROR(INDEX(Segmen!$A$3:$A$6000,MATCH(C473,Segmen!$D$3:$D$6000,0)),"")</f>
        <v/>
      </c>
      <c r="C473">
        <f>IFERROR(LARGE(Segmen!$D$3:$D$6000,A473),"")</f>
        <v/>
      </c>
    </row>
    <row r="474">
      <c r="A474" t="n">
        <v>473</v>
      </c>
      <c r="B474">
        <f>IFERROR(INDEX(Segmen!$A$3:$A$6000,MATCH(C474,Segmen!$D$3:$D$6000,0)),"")</f>
        <v/>
      </c>
      <c r="C474">
        <f>IFERROR(LARGE(Segmen!$D$3:$D$6000,A474),"")</f>
        <v/>
      </c>
    </row>
    <row r="475">
      <c r="A475" t="n">
        <v>474</v>
      </c>
      <c r="B475">
        <f>IFERROR(INDEX(Segmen!$A$3:$A$6000,MATCH(C475,Segmen!$D$3:$D$6000,0)),"")</f>
        <v/>
      </c>
      <c r="C475">
        <f>IFERROR(LARGE(Segmen!$D$3:$D$6000,A475),"")</f>
        <v/>
      </c>
    </row>
    <row r="476">
      <c r="A476" t="n">
        <v>475</v>
      </c>
      <c r="B476">
        <f>IFERROR(INDEX(Segmen!$A$3:$A$6000,MATCH(C476,Segmen!$D$3:$D$6000,0)),"")</f>
        <v/>
      </c>
      <c r="C476">
        <f>IFERROR(LARGE(Segmen!$D$3:$D$6000,A476),"")</f>
        <v/>
      </c>
    </row>
    <row r="477">
      <c r="A477" t="n">
        <v>476</v>
      </c>
      <c r="B477">
        <f>IFERROR(INDEX(Segmen!$A$3:$A$6000,MATCH(C477,Segmen!$D$3:$D$6000,0)),"")</f>
        <v/>
      </c>
      <c r="C477">
        <f>IFERROR(LARGE(Segmen!$D$3:$D$6000,A477),"")</f>
        <v/>
      </c>
    </row>
    <row r="478">
      <c r="A478" t="n">
        <v>477</v>
      </c>
      <c r="B478">
        <f>IFERROR(INDEX(Segmen!$A$3:$A$6000,MATCH(C478,Segmen!$D$3:$D$6000,0)),"")</f>
        <v/>
      </c>
      <c r="C478">
        <f>IFERROR(LARGE(Segmen!$D$3:$D$6000,A478),"")</f>
        <v/>
      </c>
    </row>
    <row r="479">
      <c r="A479" t="n">
        <v>478</v>
      </c>
      <c r="B479">
        <f>IFERROR(INDEX(Segmen!$A$3:$A$6000,MATCH(C479,Segmen!$D$3:$D$6000,0)),"")</f>
        <v/>
      </c>
      <c r="C479">
        <f>IFERROR(LARGE(Segmen!$D$3:$D$6000,A479),"")</f>
        <v/>
      </c>
    </row>
    <row r="480">
      <c r="A480" t="n">
        <v>479</v>
      </c>
      <c r="B480">
        <f>IFERROR(INDEX(Segmen!$A$3:$A$6000,MATCH(C480,Segmen!$D$3:$D$6000,0)),"")</f>
        <v/>
      </c>
      <c r="C480">
        <f>IFERROR(LARGE(Segmen!$D$3:$D$6000,A480),"")</f>
        <v/>
      </c>
    </row>
    <row r="481">
      <c r="A481" t="n">
        <v>480</v>
      </c>
      <c r="B481">
        <f>IFERROR(INDEX(Segmen!$A$3:$A$6000,MATCH(C481,Segmen!$D$3:$D$6000,0)),"")</f>
        <v/>
      </c>
      <c r="C481">
        <f>IFERROR(LARGE(Segmen!$D$3:$D$6000,A481),"")</f>
        <v/>
      </c>
    </row>
    <row r="482">
      <c r="A482" t="n">
        <v>481</v>
      </c>
      <c r="B482">
        <f>IFERROR(INDEX(Segmen!$A$3:$A$6000,MATCH(C482,Segmen!$D$3:$D$6000,0)),"")</f>
        <v/>
      </c>
      <c r="C482">
        <f>IFERROR(LARGE(Segmen!$D$3:$D$6000,A482),"")</f>
        <v/>
      </c>
    </row>
    <row r="483">
      <c r="A483" t="n">
        <v>482</v>
      </c>
      <c r="B483">
        <f>IFERROR(INDEX(Segmen!$A$3:$A$6000,MATCH(C483,Segmen!$D$3:$D$6000,0)),"")</f>
        <v/>
      </c>
      <c r="C483">
        <f>IFERROR(LARGE(Segmen!$D$3:$D$6000,A483),"")</f>
        <v/>
      </c>
    </row>
    <row r="484">
      <c r="A484" t="n">
        <v>483</v>
      </c>
      <c r="B484">
        <f>IFERROR(INDEX(Segmen!$A$3:$A$6000,MATCH(C484,Segmen!$D$3:$D$6000,0)),"")</f>
        <v/>
      </c>
      <c r="C484">
        <f>IFERROR(LARGE(Segmen!$D$3:$D$6000,A484),"")</f>
        <v/>
      </c>
    </row>
    <row r="485">
      <c r="A485" t="n">
        <v>484</v>
      </c>
      <c r="B485">
        <f>IFERROR(INDEX(Segmen!$A$3:$A$6000,MATCH(C485,Segmen!$D$3:$D$6000,0)),"")</f>
        <v/>
      </c>
      <c r="C485">
        <f>IFERROR(LARGE(Segmen!$D$3:$D$6000,A485),"")</f>
        <v/>
      </c>
    </row>
    <row r="486">
      <c r="A486" t="n">
        <v>485</v>
      </c>
      <c r="B486">
        <f>IFERROR(INDEX(Segmen!$A$3:$A$6000,MATCH(C486,Segmen!$D$3:$D$6000,0)),"")</f>
        <v/>
      </c>
      <c r="C486">
        <f>IFERROR(LARGE(Segmen!$D$3:$D$6000,A486),"")</f>
        <v/>
      </c>
    </row>
    <row r="487">
      <c r="A487" t="n">
        <v>486</v>
      </c>
      <c r="B487">
        <f>IFERROR(INDEX(Segmen!$A$3:$A$6000,MATCH(C487,Segmen!$D$3:$D$6000,0)),"")</f>
        <v/>
      </c>
      <c r="C487">
        <f>IFERROR(LARGE(Segmen!$D$3:$D$6000,A487),"")</f>
        <v/>
      </c>
    </row>
    <row r="488">
      <c r="A488" t="n">
        <v>487</v>
      </c>
      <c r="B488">
        <f>IFERROR(INDEX(Segmen!$A$3:$A$6000,MATCH(C488,Segmen!$D$3:$D$6000,0)),"")</f>
        <v/>
      </c>
      <c r="C488">
        <f>IFERROR(LARGE(Segmen!$D$3:$D$6000,A488),"")</f>
        <v/>
      </c>
    </row>
    <row r="489">
      <c r="A489" t="n">
        <v>488</v>
      </c>
      <c r="B489">
        <f>IFERROR(INDEX(Segmen!$A$3:$A$6000,MATCH(C489,Segmen!$D$3:$D$6000,0)),"")</f>
        <v/>
      </c>
      <c r="C489">
        <f>IFERROR(LARGE(Segmen!$D$3:$D$6000,A489),"")</f>
        <v/>
      </c>
    </row>
    <row r="490">
      <c r="A490" t="n">
        <v>489</v>
      </c>
      <c r="B490">
        <f>IFERROR(INDEX(Segmen!$A$3:$A$6000,MATCH(C490,Segmen!$D$3:$D$6000,0)),"")</f>
        <v/>
      </c>
      <c r="C490">
        <f>IFERROR(LARGE(Segmen!$D$3:$D$6000,A490),"")</f>
        <v/>
      </c>
    </row>
    <row r="491">
      <c r="A491" t="n">
        <v>490</v>
      </c>
      <c r="B491">
        <f>IFERROR(INDEX(Segmen!$A$3:$A$6000,MATCH(C491,Segmen!$D$3:$D$6000,0)),"")</f>
        <v/>
      </c>
      <c r="C491">
        <f>IFERROR(LARGE(Segmen!$D$3:$D$6000,A491),"")</f>
        <v/>
      </c>
    </row>
    <row r="492">
      <c r="A492" t="n">
        <v>491</v>
      </c>
      <c r="B492">
        <f>IFERROR(INDEX(Segmen!$A$3:$A$6000,MATCH(C492,Segmen!$D$3:$D$6000,0)),"")</f>
        <v/>
      </c>
      <c r="C492">
        <f>IFERROR(LARGE(Segmen!$D$3:$D$6000,A492),"")</f>
        <v/>
      </c>
    </row>
    <row r="493">
      <c r="A493" t="n">
        <v>492</v>
      </c>
      <c r="B493">
        <f>IFERROR(INDEX(Segmen!$A$3:$A$6000,MATCH(C493,Segmen!$D$3:$D$6000,0)),"")</f>
        <v/>
      </c>
      <c r="C493">
        <f>IFERROR(LARGE(Segmen!$D$3:$D$6000,A493),"")</f>
        <v/>
      </c>
    </row>
    <row r="494">
      <c r="A494" t="n">
        <v>493</v>
      </c>
      <c r="B494">
        <f>IFERROR(INDEX(Segmen!$A$3:$A$6000,MATCH(C494,Segmen!$D$3:$D$6000,0)),"")</f>
        <v/>
      </c>
      <c r="C494">
        <f>IFERROR(LARGE(Segmen!$D$3:$D$6000,A494),"")</f>
        <v/>
      </c>
    </row>
    <row r="495">
      <c r="A495" t="n">
        <v>494</v>
      </c>
      <c r="B495">
        <f>IFERROR(INDEX(Segmen!$A$3:$A$6000,MATCH(C495,Segmen!$D$3:$D$6000,0)),"")</f>
        <v/>
      </c>
      <c r="C495">
        <f>IFERROR(LARGE(Segmen!$D$3:$D$6000,A495),"")</f>
        <v/>
      </c>
    </row>
    <row r="496">
      <c r="A496" t="n">
        <v>495</v>
      </c>
      <c r="B496">
        <f>IFERROR(INDEX(Segmen!$A$3:$A$6000,MATCH(C496,Segmen!$D$3:$D$6000,0)),"")</f>
        <v/>
      </c>
      <c r="C496">
        <f>IFERROR(LARGE(Segmen!$D$3:$D$6000,A496),"")</f>
        <v/>
      </c>
    </row>
    <row r="497">
      <c r="A497" t="n">
        <v>496</v>
      </c>
      <c r="B497">
        <f>IFERROR(INDEX(Segmen!$A$3:$A$6000,MATCH(C497,Segmen!$D$3:$D$6000,0)),"")</f>
        <v/>
      </c>
      <c r="C497">
        <f>IFERROR(LARGE(Segmen!$D$3:$D$6000,A497),"")</f>
        <v/>
      </c>
    </row>
    <row r="498">
      <c r="A498" t="n">
        <v>497</v>
      </c>
      <c r="B498">
        <f>IFERROR(INDEX(Segmen!$A$3:$A$6000,MATCH(C498,Segmen!$D$3:$D$6000,0)),"")</f>
        <v/>
      </c>
      <c r="C498">
        <f>IFERROR(LARGE(Segmen!$D$3:$D$6000,A498),"")</f>
        <v/>
      </c>
    </row>
    <row r="499">
      <c r="A499" t="n">
        <v>498</v>
      </c>
      <c r="B499">
        <f>IFERROR(INDEX(Segmen!$A$3:$A$6000,MATCH(C499,Segmen!$D$3:$D$6000,0)),"")</f>
        <v/>
      </c>
      <c r="C499">
        <f>IFERROR(LARGE(Segmen!$D$3:$D$6000,A499),"")</f>
        <v/>
      </c>
    </row>
    <row r="500">
      <c r="A500" t="n">
        <v>499</v>
      </c>
      <c r="B500">
        <f>IFERROR(INDEX(Segmen!$A$3:$A$6000,MATCH(C500,Segmen!$D$3:$D$6000,0)),"")</f>
        <v/>
      </c>
      <c r="C500">
        <f>IFERROR(LARGE(Segmen!$D$3:$D$6000,A500),"")</f>
        <v/>
      </c>
    </row>
    <row r="501">
      <c r="A501" t="n">
        <v>500</v>
      </c>
      <c r="B501">
        <f>IFERROR(INDEX(Segmen!$A$3:$A$6000,MATCH(C501,Segmen!$D$3:$D$6000,0)),"")</f>
        <v/>
      </c>
      <c r="C501">
        <f>IFERROR(LARGE(Segmen!$D$3:$D$6000,A501),"")</f>
        <v/>
      </c>
    </row>
    <row r="502">
      <c r="A502" t="n">
        <v>501</v>
      </c>
      <c r="B502">
        <f>IFERROR(INDEX(Segmen!$A$3:$A$6000,MATCH(C502,Segmen!$D$3:$D$6000,0)),"")</f>
        <v/>
      </c>
      <c r="C502">
        <f>IFERROR(LARGE(Segmen!$D$3:$D$6000,A502),"")</f>
        <v/>
      </c>
    </row>
    <row r="503">
      <c r="A503" t="n">
        <v>502</v>
      </c>
      <c r="B503">
        <f>IFERROR(INDEX(Segmen!$A$3:$A$6000,MATCH(C503,Segmen!$D$3:$D$6000,0)),"")</f>
        <v/>
      </c>
      <c r="C503">
        <f>IFERROR(LARGE(Segmen!$D$3:$D$6000,A503),"")</f>
        <v/>
      </c>
    </row>
    <row r="504">
      <c r="A504" t="n">
        <v>503</v>
      </c>
      <c r="B504">
        <f>IFERROR(INDEX(Segmen!$A$3:$A$6000,MATCH(C504,Segmen!$D$3:$D$6000,0)),"")</f>
        <v/>
      </c>
      <c r="C504">
        <f>IFERROR(LARGE(Segmen!$D$3:$D$6000,A504),"")</f>
        <v/>
      </c>
    </row>
    <row r="505">
      <c r="A505" t="n">
        <v>504</v>
      </c>
      <c r="B505">
        <f>IFERROR(INDEX(Segmen!$A$3:$A$6000,MATCH(C505,Segmen!$D$3:$D$6000,0)),"")</f>
        <v/>
      </c>
      <c r="C505">
        <f>IFERROR(LARGE(Segmen!$D$3:$D$6000,A505),"")</f>
        <v/>
      </c>
    </row>
    <row r="506">
      <c r="A506" t="n">
        <v>505</v>
      </c>
      <c r="B506">
        <f>IFERROR(INDEX(Segmen!$A$3:$A$6000,MATCH(C506,Segmen!$D$3:$D$6000,0)),"")</f>
        <v/>
      </c>
      <c r="C506">
        <f>IFERROR(LARGE(Segmen!$D$3:$D$6000,A506),"")</f>
        <v/>
      </c>
    </row>
    <row r="507">
      <c r="A507" t="n">
        <v>506</v>
      </c>
      <c r="B507">
        <f>IFERROR(INDEX(Segmen!$A$3:$A$6000,MATCH(C507,Segmen!$D$3:$D$6000,0)),"")</f>
        <v/>
      </c>
      <c r="C507">
        <f>IFERROR(LARGE(Segmen!$D$3:$D$6000,A507),"")</f>
        <v/>
      </c>
    </row>
    <row r="508">
      <c r="A508" t="n">
        <v>507</v>
      </c>
      <c r="B508">
        <f>IFERROR(INDEX(Segmen!$A$3:$A$6000,MATCH(C508,Segmen!$D$3:$D$6000,0)),"")</f>
        <v/>
      </c>
      <c r="C508">
        <f>IFERROR(LARGE(Segmen!$D$3:$D$6000,A508),"")</f>
        <v/>
      </c>
    </row>
    <row r="509">
      <c r="A509" t="n">
        <v>508</v>
      </c>
      <c r="B509">
        <f>IFERROR(INDEX(Segmen!$A$3:$A$6000,MATCH(C509,Segmen!$D$3:$D$6000,0)),"")</f>
        <v/>
      </c>
      <c r="C509">
        <f>IFERROR(LARGE(Segmen!$D$3:$D$6000,A509),"")</f>
        <v/>
      </c>
    </row>
    <row r="510">
      <c r="A510" t="n">
        <v>509</v>
      </c>
      <c r="B510">
        <f>IFERROR(INDEX(Segmen!$A$3:$A$6000,MATCH(C510,Segmen!$D$3:$D$6000,0)),"")</f>
        <v/>
      </c>
      <c r="C510">
        <f>IFERROR(LARGE(Segmen!$D$3:$D$6000,A510),"")</f>
        <v/>
      </c>
    </row>
    <row r="511">
      <c r="A511" t="n">
        <v>510</v>
      </c>
      <c r="B511">
        <f>IFERROR(INDEX(Segmen!$A$3:$A$6000,MATCH(C511,Segmen!$D$3:$D$6000,0)),"")</f>
        <v/>
      </c>
      <c r="C511">
        <f>IFERROR(LARGE(Segmen!$D$3:$D$6000,A511),"")</f>
        <v/>
      </c>
    </row>
    <row r="512">
      <c r="A512" t="n">
        <v>511</v>
      </c>
      <c r="B512">
        <f>IFERROR(INDEX(Segmen!$A$3:$A$6000,MATCH(C512,Segmen!$D$3:$D$6000,0)),"")</f>
        <v/>
      </c>
      <c r="C512">
        <f>IFERROR(LARGE(Segmen!$D$3:$D$6000,A512),"")</f>
        <v/>
      </c>
    </row>
    <row r="513">
      <c r="A513" t="n">
        <v>512</v>
      </c>
      <c r="B513">
        <f>IFERROR(INDEX(Segmen!$A$3:$A$6000,MATCH(C513,Segmen!$D$3:$D$6000,0)),"")</f>
        <v/>
      </c>
      <c r="C513">
        <f>IFERROR(LARGE(Segmen!$D$3:$D$6000,A513),"")</f>
        <v/>
      </c>
    </row>
    <row r="514">
      <c r="A514" t="n">
        <v>513</v>
      </c>
      <c r="B514">
        <f>IFERROR(INDEX(Segmen!$A$3:$A$6000,MATCH(C514,Segmen!$D$3:$D$6000,0)),"")</f>
        <v/>
      </c>
      <c r="C514">
        <f>IFERROR(LARGE(Segmen!$D$3:$D$6000,A514),"")</f>
        <v/>
      </c>
    </row>
    <row r="515">
      <c r="A515" t="n">
        <v>514</v>
      </c>
      <c r="B515">
        <f>IFERROR(INDEX(Segmen!$A$3:$A$6000,MATCH(C515,Segmen!$D$3:$D$6000,0)),"")</f>
        <v/>
      </c>
      <c r="C515">
        <f>IFERROR(LARGE(Segmen!$D$3:$D$6000,A515),"")</f>
        <v/>
      </c>
    </row>
    <row r="516">
      <c r="A516" t="n">
        <v>515</v>
      </c>
      <c r="B516">
        <f>IFERROR(INDEX(Segmen!$A$3:$A$6000,MATCH(C516,Segmen!$D$3:$D$6000,0)),"")</f>
        <v/>
      </c>
      <c r="C516">
        <f>IFERROR(LARGE(Segmen!$D$3:$D$6000,A516),"")</f>
        <v/>
      </c>
    </row>
    <row r="517">
      <c r="A517" t="n">
        <v>516</v>
      </c>
      <c r="B517">
        <f>IFERROR(INDEX(Segmen!$A$3:$A$6000,MATCH(C517,Segmen!$D$3:$D$6000,0)),"")</f>
        <v/>
      </c>
      <c r="C517">
        <f>IFERROR(LARGE(Segmen!$D$3:$D$6000,A517),"")</f>
        <v/>
      </c>
    </row>
    <row r="518">
      <c r="A518" t="n">
        <v>517</v>
      </c>
      <c r="B518">
        <f>IFERROR(INDEX(Segmen!$A$3:$A$6000,MATCH(C518,Segmen!$D$3:$D$6000,0)),"")</f>
        <v/>
      </c>
      <c r="C518">
        <f>IFERROR(LARGE(Segmen!$D$3:$D$6000,A518),"")</f>
        <v/>
      </c>
    </row>
    <row r="519">
      <c r="A519" t="n">
        <v>518</v>
      </c>
      <c r="B519">
        <f>IFERROR(INDEX(Segmen!$A$3:$A$6000,MATCH(C519,Segmen!$D$3:$D$6000,0)),"")</f>
        <v/>
      </c>
      <c r="C519">
        <f>IFERROR(LARGE(Segmen!$D$3:$D$6000,A519),"")</f>
        <v/>
      </c>
    </row>
    <row r="520">
      <c r="A520" t="n">
        <v>519</v>
      </c>
      <c r="B520">
        <f>IFERROR(INDEX(Segmen!$A$3:$A$6000,MATCH(C520,Segmen!$D$3:$D$6000,0)),"")</f>
        <v/>
      </c>
      <c r="C520">
        <f>IFERROR(LARGE(Segmen!$D$3:$D$6000,A520),"")</f>
        <v/>
      </c>
    </row>
    <row r="521">
      <c r="A521" t="n">
        <v>520</v>
      </c>
      <c r="B521">
        <f>IFERROR(INDEX(Segmen!$A$3:$A$6000,MATCH(C521,Segmen!$D$3:$D$6000,0)),"")</f>
        <v/>
      </c>
      <c r="C521">
        <f>IFERROR(LARGE(Segmen!$D$3:$D$6000,A521),"")</f>
        <v/>
      </c>
    </row>
    <row r="522">
      <c r="A522" t="n">
        <v>521</v>
      </c>
      <c r="B522">
        <f>IFERROR(INDEX(Segmen!$A$3:$A$6000,MATCH(C522,Segmen!$D$3:$D$6000,0)),"")</f>
        <v/>
      </c>
      <c r="C522">
        <f>IFERROR(LARGE(Segmen!$D$3:$D$6000,A522),"")</f>
        <v/>
      </c>
    </row>
    <row r="523">
      <c r="A523" t="n">
        <v>522</v>
      </c>
      <c r="B523">
        <f>IFERROR(INDEX(Segmen!$A$3:$A$6000,MATCH(C523,Segmen!$D$3:$D$6000,0)),"")</f>
        <v/>
      </c>
      <c r="C523">
        <f>IFERROR(LARGE(Segmen!$D$3:$D$6000,A523),"")</f>
        <v/>
      </c>
    </row>
    <row r="524">
      <c r="A524" t="n">
        <v>523</v>
      </c>
      <c r="B524">
        <f>IFERROR(INDEX(Segmen!$A$3:$A$6000,MATCH(C524,Segmen!$D$3:$D$6000,0)),"")</f>
        <v/>
      </c>
      <c r="C524">
        <f>IFERROR(LARGE(Segmen!$D$3:$D$6000,A524),"")</f>
        <v/>
      </c>
    </row>
    <row r="525">
      <c r="A525" t="n">
        <v>524</v>
      </c>
      <c r="B525">
        <f>IFERROR(INDEX(Segmen!$A$3:$A$6000,MATCH(C525,Segmen!$D$3:$D$6000,0)),"")</f>
        <v/>
      </c>
      <c r="C525">
        <f>IFERROR(LARGE(Segmen!$D$3:$D$6000,A525),"")</f>
        <v/>
      </c>
    </row>
    <row r="526">
      <c r="A526" t="n">
        <v>525</v>
      </c>
      <c r="B526">
        <f>IFERROR(INDEX(Segmen!$A$3:$A$6000,MATCH(C526,Segmen!$D$3:$D$6000,0)),"")</f>
        <v/>
      </c>
      <c r="C526">
        <f>IFERROR(LARGE(Segmen!$D$3:$D$6000,A526),"")</f>
        <v/>
      </c>
    </row>
    <row r="527">
      <c r="A527" t="n">
        <v>526</v>
      </c>
      <c r="B527">
        <f>IFERROR(INDEX(Segmen!$A$3:$A$6000,MATCH(C527,Segmen!$D$3:$D$6000,0)),"")</f>
        <v/>
      </c>
      <c r="C527">
        <f>IFERROR(LARGE(Segmen!$D$3:$D$6000,A527),"")</f>
        <v/>
      </c>
    </row>
    <row r="528">
      <c r="A528" t="n">
        <v>527</v>
      </c>
      <c r="B528">
        <f>IFERROR(INDEX(Segmen!$A$3:$A$6000,MATCH(C528,Segmen!$D$3:$D$6000,0)),"")</f>
        <v/>
      </c>
      <c r="C528">
        <f>IFERROR(LARGE(Segmen!$D$3:$D$6000,A528),"")</f>
        <v/>
      </c>
    </row>
    <row r="529">
      <c r="A529" t="n">
        <v>528</v>
      </c>
      <c r="B529">
        <f>IFERROR(INDEX(Segmen!$A$3:$A$6000,MATCH(C529,Segmen!$D$3:$D$6000,0)),"")</f>
        <v/>
      </c>
      <c r="C529">
        <f>IFERROR(LARGE(Segmen!$D$3:$D$6000,A529),"")</f>
        <v/>
      </c>
    </row>
    <row r="530">
      <c r="A530" t="n">
        <v>529</v>
      </c>
      <c r="B530">
        <f>IFERROR(INDEX(Segmen!$A$3:$A$6000,MATCH(C530,Segmen!$D$3:$D$6000,0)),"")</f>
        <v/>
      </c>
      <c r="C530">
        <f>IFERROR(LARGE(Segmen!$D$3:$D$6000,A530),"")</f>
        <v/>
      </c>
    </row>
    <row r="531">
      <c r="A531" t="n">
        <v>530</v>
      </c>
      <c r="B531">
        <f>IFERROR(INDEX(Segmen!$A$3:$A$6000,MATCH(C531,Segmen!$D$3:$D$6000,0)),"")</f>
        <v/>
      </c>
      <c r="C531">
        <f>IFERROR(LARGE(Segmen!$D$3:$D$6000,A531),"")</f>
        <v/>
      </c>
    </row>
    <row r="532">
      <c r="A532" t="n">
        <v>531</v>
      </c>
      <c r="B532">
        <f>IFERROR(INDEX(Segmen!$A$3:$A$6000,MATCH(C532,Segmen!$D$3:$D$6000,0)),"")</f>
        <v/>
      </c>
      <c r="C532">
        <f>IFERROR(LARGE(Segmen!$D$3:$D$6000,A532),"")</f>
        <v/>
      </c>
    </row>
    <row r="533">
      <c r="A533" t="n">
        <v>532</v>
      </c>
      <c r="B533">
        <f>IFERROR(INDEX(Segmen!$A$3:$A$6000,MATCH(C533,Segmen!$D$3:$D$6000,0)),"")</f>
        <v/>
      </c>
      <c r="C533">
        <f>IFERROR(LARGE(Segmen!$D$3:$D$6000,A533),"")</f>
        <v/>
      </c>
    </row>
    <row r="534">
      <c r="A534" t="n">
        <v>533</v>
      </c>
      <c r="B534">
        <f>IFERROR(INDEX(Segmen!$A$3:$A$6000,MATCH(C534,Segmen!$D$3:$D$6000,0)),"")</f>
        <v/>
      </c>
      <c r="C534">
        <f>IFERROR(LARGE(Segmen!$D$3:$D$6000,A534),"")</f>
        <v/>
      </c>
    </row>
    <row r="535">
      <c r="A535" t="n">
        <v>534</v>
      </c>
      <c r="B535">
        <f>IFERROR(INDEX(Segmen!$A$3:$A$6000,MATCH(C535,Segmen!$D$3:$D$6000,0)),"")</f>
        <v/>
      </c>
      <c r="C535">
        <f>IFERROR(LARGE(Segmen!$D$3:$D$6000,A535),"")</f>
        <v/>
      </c>
    </row>
    <row r="536">
      <c r="A536" t="n">
        <v>535</v>
      </c>
      <c r="B536">
        <f>IFERROR(INDEX(Segmen!$A$3:$A$6000,MATCH(C536,Segmen!$D$3:$D$6000,0)),"")</f>
        <v/>
      </c>
      <c r="C536">
        <f>IFERROR(LARGE(Segmen!$D$3:$D$6000,A536),"")</f>
        <v/>
      </c>
    </row>
    <row r="537">
      <c r="A537" t="n">
        <v>536</v>
      </c>
      <c r="B537">
        <f>IFERROR(INDEX(Segmen!$A$3:$A$6000,MATCH(C537,Segmen!$D$3:$D$6000,0)),"")</f>
        <v/>
      </c>
      <c r="C537">
        <f>IFERROR(LARGE(Segmen!$D$3:$D$6000,A537),"")</f>
        <v/>
      </c>
    </row>
    <row r="538">
      <c r="A538" t="n">
        <v>537</v>
      </c>
      <c r="B538">
        <f>IFERROR(INDEX(Segmen!$A$3:$A$6000,MATCH(C538,Segmen!$D$3:$D$6000,0)),"")</f>
        <v/>
      </c>
      <c r="C538">
        <f>IFERROR(LARGE(Segmen!$D$3:$D$6000,A538),"")</f>
        <v/>
      </c>
    </row>
    <row r="539">
      <c r="A539" t="n">
        <v>538</v>
      </c>
      <c r="B539">
        <f>IFERROR(INDEX(Segmen!$A$3:$A$6000,MATCH(C539,Segmen!$D$3:$D$6000,0)),"")</f>
        <v/>
      </c>
      <c r="C539">
        <f>IFERROR(LARGE(Segmen!$D$3:$D$6000,A539),"")</f>
        <v/>
      </c>
    </row>
    <row r="540">
      <c r="A540" t="n">
        <v>539</v>
      </c>
      <c r="B540">
        <f>IFERROR(INDEX(Segmen!$A$3:$A$6000,MATCH(C540,Segmen!$D$3:$D$6000,0)),"")</f>
        <v/>
      </c>
      <c r="C540">
        <f>IFERROR(LARGE(Segmen!$D$3:$D$6000,A540),"")</f>
        <v/>
      </c>
    </row>
    <row r="541">
      <c r="A541" t="n">
        <v>540</v>
      </c>
      <c r="B541">
        <f>IFERROR(INDEX(Segmen!$A$3:$A$6000,MATCH(C541,Segmen!$D$3:$D$6000,0)),"")</f>
        <v/>
      </c>
      <c r="C541">
        <f>IFERROR(LARGE(Segmen!$D$3:$D$6000,A541),"")</f>
        <v/>
      </c>
    </row>
    <row r="542">
      <c r="A542" t="n">
        <v>541</v>
      </c>
      <c r="B542">
        <f>IFERROR(INDEX(Segmen!$A$3:$A$6000,MATCH(C542,Segmen!$D$3:$D$6000,0)),"")</f>
        <v/>
      </c>
      <c r="C542">
        <f>IFERROR(LARGE(Segmen!$D$3:$D$6000,A542),"")</f>
        <v/>
      </c>
    </row>
    <row r="543">
      <c r="A543" t="n">
        <v>542</v>
      </c>
      <c r="B543">
        <f>IFERROR(INDEX(Segmen!$A$3:$A$6000,MATCH(C543,Segmen!$D$3:$D$6000,0)),"")</f>
        <v/>
      </c>
      <c r="C543">
        <f>IFERROR(LARGE(Segmen!$D$3:$D$6000,A543),"")</f>
        <v/>
      </c>
    </row>
    <row r="544">
      <c r="A544" t="n">
        <v>543</v>
      </c>
      <c r="B544">
        <f>IFERROR(INDEX(Segmen!$A$3:$A$6000,MATCH(C544,Segmen!$D$3:$D$6000,0)),"")</f>
        <v/>
      </c>
      <c r="C544">
        <f>IFERROR(LARGE(Segmen!$D$3:$D$6000,A544),"")</f>
        <v/>
      </c>
    </row>
    <row r="545">
      <c r="A545" t="n">
        <v>544</v>
      </c>
      <c r="B545">
        <f>IFERROR(INDEX(Segmen!$A$3:$A$6000,MATCH(C545,Segmen!$D$3:$D$6000,0)),"")</f>
        <v/>
      </c>
      <c r="C545">
        <f>IFERROR(LARGE(Segmen!$D$3:$D$6000,A545),"")</f>
        <v/>
      </c>
    </row>
    <row r="546">
      <c r="A546" t="n">
        <v>545</v>
      </c>
      <c r="B546">
        <f>IFERROR(INDEX(Segmen!$A$3:$A$6000,MATCH(C546,Segmen!$D$3:$D$6000,0)),"")</f>
        <v/>
      </c>
      <c r="C546">
        <f>IFERROR(LARGE(Segmen!$D$3:$D$6000,A546),"")</f>
        <v/>
      </c>
    </row>
    <row r="547">
      <c r="A547" t="n">
        <v>546</v>
      </c>
      <c r="B547">
        <f>IFERROR(INDEX(Segmen!$A$3:$A$6000,MATCH(C547,Segmen!$D$3:$D$6000,0)),"")</f>
        <v/>
      </c>
      <c r="C547">
        <f>IFERROR(LARGE(Segmen!$D$3:$D$6000,A547),"")</f>
        <v/>
      </c>
    </row>
    <row r="548">
      <c r="A548" t="n">
        <v>547</v>
      </c>
      <c r="B548">
        <f>IFERROR(INDEX(Segmen!$A$3:$A$6000,MATCH(C548,Segmen!$D$3:$D$6000,0)),"")</f>
        <v/>
      </c>
      <c r="C548">
        <f>IFERROR(LARGE(Segmen!$D$3:$D$6000,A548),"")</f>
        <v/>
      </c>
    </row>
    <row r="549">
      <c r="A549" t="n">
        <v>548</v>
      </c>
      <c r="B549">
        <f>IFERROR(INDEX(Segmen!$A$3:$A$6000,MATCH(C549,Segmen!$D$3:$D$6000,0)),"")</f>
        <v/>
      </c>
      <c r="C549">
        <f>IFERROR(LARGE(Segmen!$D$3:$D$6000,A549),"")</f>
        <v/>
      </c>
    </row>
    <row r="550">
      <c r="A550" t="n">
        <v>549</v>
      </c>
      <c r="B550">
        <f>IFERROR(INDEX(Segmen!$A$3:$A$6000,MATCH(C550,Segmen!$D$3:$D$6000,0)),"")</f>
        <v/>
      </c>
      <c r="C550">
        <f>IFERROR(LARGE(Segmen!$D$3:$D$6000,A550),"")</f>
        <v/>
      </c>
    </row>
    <row r="551">
      <c r="A551" t="n">
        <v>550</v>
      </c>
      <c r="B551">
        <f>IFERROR(INDEX(Segmen!$A$3:$A$6000,MATCH(C551,Segmen!$D$3:$D$6000,0)),"")</f>
        <v/>
      </c>
      <c r="C551">
        <f>IFERROR(LARGE(Segmen!$D$3:$D$6000,A551),"")</f>
        <v/>
      </c>
    </row>
    <row r="552">
      <c r="A552" t="n">
        <v>551</v>
      </c>
      <c r="B552">
        <f>IFERROR(INDEX(Segmen!$A$3:$A$6000,MATCH(C552,Segmen!$D$3:$D$6000,0)),"")</f>
        <v/>
      </c>
      <c r="C552">
        <f>IFERROR(LARGE(Segmen!$D$3:$D$6000,A552),"")</f>
        <v/>
      </c>
    </row>
    <row r="553">
      <c r="A553" t="n">
        <v>552</v>
      </c>
      <c r="B553">
        <f>IFERROR(INDEX(Segmen!$A$3:$A$6000,MATCH(C553,Segmen!$D$3:$D$6000,0)),"")</f>
        <v/>
      </c>
      <c r="C553">
        <f>IFERROR(LARGE(Segmen!$D$3:$D$6000,A553),"")</f>
        <v/>
      </c>
    </row>
    <row r="554">
      <c r="A554" t="n">
        <v>553</v>
      </c>
      <c r="B554">
        <f>IFERROR(INDEX(Segmen!$A$3:$A$6000,MATCH(C554,Segmen!$D$3:$D$6000,0)),"")</f>
        <v/>
      </c>
      <c r="C554">
        <f>IFERROR(LARGE(Segmen!$D$3:$D$6000,A554),"")</f>
        <v/>
      </c>
    </row>
    <row r="555">
      <c r="A555" t="n">
        <v>554</v>
      </c>
      <c r="B555">
        <f>IFERROR(INDEX(Segmen!$A$3:$A$6000,MATCH(C555,Segmen!$D$3:$D$6000,0)),"")</f>
        <v/>
      </c>
      <c r="C555">
        <f>IFERROR(LARGE(Segmen!$D$3:$D$6000,A555),"")</f>
        <v/>
      </c>
    </row>
    <row r="556">
      <c r="A556" t="n">
        <v>555</v>
      </c>
      <c r="B556">
        <f>IFERROR(INDEX(Segmen!$A$3:$A$6000,MATCH(C556,Segmen!$D$3:$D$6000,0)),"")</f>
        <v/>
      </c>
      <c r="C556">
        <f>IFERROR(LARGE(Segmen!$D$3:$D$6000,A556),"")</f>
        <v/>
      </c>
    </row>
    <row r="557">
      <c r="A557" t="n">
        <v>556</v>
      </c>
      <c r="B557">
        <f>IFERROR(INDEX(Segmen!$A$3:$A$6000,MATCH(C557,Segmen!$D$3:$D$6000,0)),"")</f>
        <v/>
      </c>
      <c r="C557">
        <f>IFERROR(LARGE(Segmen!$D$3:$D$6000,A557),"")</f>
        <v/>
      </c>
    </row>
    <row r="558">
      <c r="A558" t="n">
        <v>557</v>
      </c>
      <c r="B558">
        <f>IFERROR(INDEX(Segmen!$A$3:$A$6000,MATCH(C558,Segmen!$D$3:$D$6000,0)),"")</f>
        <v/>
      </c>
      <c r="C558">
        <f>IFERROR(LARGE(Segmen!$D$3:$D$6000,A558),"")</f>
        <v/>
      </c>
    </row>
    <row r="559">
      <c r="A559" t="n">
        <v>558</v>
      </c>
      <c r="B559">
        <f>IFERROR(INDEX(Segmen!$A$3:$A$6000,MATCH(C559,Segmen!$D$3:$D$6000,0)),"")</f>
        <v/>
      </c>
      <c r="C559">
        <f>IFERROR(LARGE(Segmen!$D$3:$D$6000,A559),"")</f>
        <v/>
      </c>
    </row>
    <row r="560">
      <c r="A560" t="n">
        <v>559</v>
      </c>
      <c r="B560">
        <f>IFERROR(INDEX(Segmen!$A$3:$A$6000,MATCH(C560,Segmen!$D$3:$D$6000,0)),"")</f>
        <v/>
      </c>
      <c r="C560">
        <f>IFERROR(LARGE(Segmen!$D$3:$D$6000,A560),"")</f>
        <v/>
      </c>
    </row>
    <row r="561">
      <c r="A561" t="n">
        <v>560</v>
      </c>
      <c r="B561">
        <f>IFERROR(INDEX(Segmen!$A$3:$A$6000,MATCH(C561,Segmen!$D$3:$D$6000,0)),"")</f>
        <v/>
      </c>
      <c r="C561">
        <f>IFERROR(LARGE(Segmen!$D$3:$D$6000,A561),"")</f>
        <v/>
      </c>
    </row>
    <row r="562">
      <c r="A562" t="n">
        <v>561</v>
      </c>
      <c r="B562">
        <f>IFERROR(INDEX(Segmen!$A$3:$A$6000,MATCH(C562,Segmen!$D$3:$D$6000,0)),"")</f>
        <v/>
      </c>
      <c r="C562">
        <f>IFERROR(LARGE(Segmen!$D$3:$D$6000,A562),"")</f>
        <v/>
      </c>
    </row>
    <row r="563">
      <c r="A563" t="n">
        <v>562</v>
      </c>
      <c r="B563">
        <f>IFERROR(INDEX(Segmen!$A$3:$A$6000,MATCH(C563,Segmen!$D$3:$D$6000,0)),"")</f>
        <v/>
      </c>
      <c r="C563">
        <f>IFERROR(LARGE(Segmen!$D$3:$D$6000,A563),"")</f>
        <v/>
      </c>
    </row>
    <row r="564">
      <c r="A564" t="n">
        <v>563</v>
      </c>
      <c r="B564">
        <f>IFERROR(INDEX(Segmen!$A$3:$A$6000,MATCH(C564,Segmen!$D$3:$D$6000,0)),"")</f>
        <v/>
      </c>
      <c r="C564">
        <f>IFERROR(LARGE(Segmen!$D$3:$D$6000,A564),"")</f>
        <v/>
      </c>
    </row>
    <row r="565">
      <c r="A565" t="n">
        <v>564</v>
      </c>
      <c r="B565">
        <f>IFERROR(INDEX(Segmen!$A$3:$A$6000,MATCH(C565,Segmen!$D$3:$D$6000,0)),"")</f>
        <v/>
      </c>
      <c r="C565">
        <f>IFERROR(LARGE(Segmen!$D$3:$D$6000,A565),"")</f>
        <v/>
      </c>
    </row>
    <row r="566">
      <c r="A566" t="n">
        <v>565</v>
      </c>
      <c r="B566">
        <f>IFERROR(INDEX(Segmen!$A$3:$A$6000,MATCH(C566,Segmen!$D$3:$D$6000,0)),"")</f>
        <v/>
      </c>
      <c r="C566">
        <f>IFERROR(LARGE(Segmen!$D$3:$D$6000,A566),"")</f>
        <v/>
      </c>
    </row>
    <row r="567">
      <c r="A567" t="n">
        <v>566</v>
      </c>
      <c r="B567">
        <f>IFERROR(INDEX(Segmen!$A$3:$A$6000,MATCH(C567,Segmen!$D$3:$D$6000,0)),"")</f>
        <v/>
      </c>
      <c r="C567">
        <f>IFERROR(LARGE(Segmen!$D$3:$D$6000,A567),"")</f>
        <v/>
      </c>
    </row>
    <row r="568">
      <c r="A568" t="n">
        <v>567</v>
      </c>
      <c r="B568">
        <f>IFERROR(INDEX(Segmen!$A$3:$A$6000,MATCH(C568,Segmen!$D$3:$D$6000,0)),"")</f>
        <v/>
      </c>
      <c r="C568">
        <f>IFERROR(LARGE(Segmen!$D$3:$D$6000,A568),"")</f>
        <v/>
      </c>
    </row>
    <row r="569">
      <c r="A569" t="n">
        <v>568</v>
      </c>
      <c r="B569">
        <f>IFERROR(INDEX(Segmen!$A$3:$A$6000,MATCH(C569,Segmen!$D$3:$D$6000,0)),"")</f>
        <v/>
      </c>
      <c r="C569">
        <f>IFERROR(LARGE(Segmen!$D$3:$D$6000,A569),"")</f>
        <v/>
      </c>
    </row>
    <row r="570">
      <c r="A570" t="n">
        <v>569</v>
      </c>
      <c r="B570">
        <f>IFERROR(INDEX(Segmen!$A$3:$A$6000,MATCH(C570,Segmen!$D$3:$D$6000,0)),"")</f>
        <v/>
      </c>
      <c r="C570">
        <f>IFERROR(LARGE(Segmen!$D$3:$D$6000,A570),"")</f>
        <v/>
      </c>
    </row>
    <row r="571">
      <c r="A571" t="n">
        <v>570</v>
      </c>
      <c r="B571">
        <f>IFERROR(INDEX(Segmen!$A$3:$A$6000,MATCH(C571,Segmen!$D$3:$D$6000,0)),"")</f>
        <v/>
      </c>
      <c r="C571">
        <f>IFERROR(LARGE(Segmen!$D$3:$D$6000,A571),"")</f>
        <v/>
      </c>
    </row>
    <row r="572">
      <c r="A572" t="n">
        <v>571</v>
      </c>
      <c r="B572">
        <f>IFERROR(INDEX(Segmen!$A$3:$A$6000,MATCH(C572,Segmen!$D$3:$D$6000,0)),"")</f>
        <v/>
      </c>
      <c r="C572">
        <f>IFERROR(LARGE(Segmen!$D$3:$D$6000,A572),"")</f>
        <v/>
      </c>
    </row>
    <row r="573">
      <c r="A573" t="n">
        <v>572</v>
      </c>
      <c r="B573">
        <f>IFERROR(INDEX(Segmen!$A$3:$A$6000,MATCH(C573,Segmen!$D$3:$D$6000,0)),"")</f>
        <v/>
      </c>
      <c r="C573">
        <f>IFERROR(LARGE(Segmen!$D$3:$D$6000,A573),"")</f>
        <v/>
      </c>
    </row>
    <row r="574">
      <c r="A574" t="n">
        <v>573</v>
      </c>
      <c r="B574">
        <f>IFERROR(INDEX(Segmen!$A$3:$A$6000,MATCH(C574,Segmen!$D$3:$D$6000,0)),"")</f>
        <v/>
      </c>
      <c r="C574">
        <f>IFERROR(LARGE(Segmen!$D$3:$D$6000,A574),"")</f>
        <v/>
      </c>
    </row>
    <row r="575">
      <c r="A575" t="n">
        <v>574</v>
      </c>
      <c r="B575">
        <f>IFERROR(INDEX(Segmen!$A$3:$A$6000,MATCH(C575,Segmen!$D$3:$D$6000,0)),"")</f>
        <v/>
      </c>
      <c r="C575">
        <f>IFERROR(LARGE(Segmen!$D$3:$D$6000,A575),"")</f>
        <v/>
      </c>
    </row>
    <row r="576">
      <c r="A576" t="n">
        <v>575</v>
      </c>
      <c r="B576">
        <f>IFERROR(INDEX(Segmen!$A$3:$A$6000,MATCH(C576,Segmen!$D$3:$D$6000,0)),"")</f>
        <v/>
      </c>
      <c r="C576">
        <f>IFERROR(LARGE(Segmen!$D$3:$D$6000,A576),"")</f>
        <v/>
      </c>
    </row>
    <row r="577">
      <c r="A577" t="n">
        <v>576</v>
      </c>
      <c r="B577">
        <f>IFERROR(INDEX(Segmen!$A$3:$A$6000,MATCH(C577,Segmen!$D$3:$D$6000,0)),"")</f>
        <v/>
      </c>
      <c r="C577">
        <f>IFERROR(LARGE(Segmen!$D$3:$D$6000,A577),"")</f>
        <v/>
      </c>
    </row>
    <row r="578">
      <c r="A578" t="n">
        <v>577</v>
      </c>
      <c r="B578">
        <f>IFERROR(INDEX(Segmen!$A$3:$A$6000,MATCH(C578,Segmen!$D$3:$D$6000,0)),"")</f>
        <v/>
      </c>
      <c r="C578">
        <f>IFERROR(LARGE(Segmen!$D$3:$D$6000,A578),"")</f>
        <v/>
      </c>
    </row>
    <row r="579">
      <c r="A579" t="n">
        <v>578</v>
      </c>
      <c r="B579">
        <f>IFERROR(INDEX(Segmen!$A$3:$A$6000,MATCH(C579,Segmen!$D$3:$D$6000,0)),"")</f>
        <v/>
      </c>
      <c r="C579">
        <f>IFERROR(LARGE(Segmen!$D$3:$D$6000,A579),"")</f>
        <v/>
      </c>
    </row>
    <row r="580">
      <c r="A580" t="n">
        <v>579</v>
      </c>
      <c r="B580">
        <f>IFERROR(INDEX(Segmen!$A$3:$A$6000,MATCH(C580,Segmen!$D$3:$D$6000,0)),"")</f>
        <v/>
      </c>
      <c r="C580">
        <f>IFERROR(LARGE(Segmen!$D$3:$D$6000,A580),"")</f>
        <v/>
      </c>
    </row>
    <row r="581">
      <c r="A581" t="n">
        <v>580</v>
      </c>
      <c r="B581">
        <f>IFERROR(INDEX(Segmen!$A$3:$A$6000,MATCH(C581,Segmen!$D$3:$D$6000,0)),"")</f>
        <v/>
      </c>
      <c r="C581">
        <f>IFERROR(LARGE(Segmen!$D$3:$D$6000,A581),"")</f>
        <v/>
      </c>
    </row>
    <row r="582">
      <c r="A582" t="n">
        <v>581</v>
      </c>
      <c r="B582">
        <f>IFERROR(INDEX(Segmen!$A$3:$A$6000,MATCH(C582,Segmen!$D$3:$D$6000,0)),"")</f>
        <v/>
      </c>
      <c r="C582">
        <f>IFERROR(LARGE(Segmen!$D$3:$D$6000,A582),"")</f>
        <v/>
      </c>
    </row>
    <row r="583">
      <c r="A583" t="n">
        <v>582</v>
      </c>
      <c r="B583">
        <f>IFERROR(INDEX(Segmen!$A$3:$A$6000,MATCH(C583,Segmen!$D$3:$D$6000,0)),"")</f>
        <v/>
      </c>
      <c r="C583">
        <f>IFERROR(LARGE(Segmen!$D$3:$D$6000,A583),"")</f>
        <v/>
      </c>
    </row>
    <row r="584">
      <c r="A584" t="n">
        <v>583</v>
      </c>
      <c r="B584">
        <f>IFERROR(INDEX(Segmen!$A$3:$A$6000,MATCH(C584,Segmen!$D$3:$D$6000,0)),"")</f>
        <v/>
      </c>
      <c r="C584">
        <f>IFERROR(LARGE(Segmen!$D$3:$D$6000,A584),"")</f>
        <v/>
      </c>
    </row>
    <row r="585">
      <c r="A585" t="n">
        <v>584</v>
      </c>
      <c r="B585">
        <f>IFERROR(INDEX(Segmen!$A$3:$A$6000,MATCH(C585,Segmen!$D$3:$D$6000,0)),"")</f>
        <v/>
      </c>
      <c r="C585">
        <f>IFERROR(LARGE(Segmen!$D$3:$D$6000,A585),"")</f>
        <v/>
      </c>
    </row>
    <row r="586">
      <c r="A586" t="n">
        <v>585</v>
      </c>
      <c r="B586">
        <f>IFERROR(INDEX(Segmen!$A$3:$A$6000,MATCH(C586,Segmen!$D$3:$D$6000,0)),"")</f>
        <v/>
      </c>
      <c r="C586">
        <f>IFERROR(LARGE(Segmen!$D$3:$D$6000,A586),"")</f>
        <v/>
      </c>
    </row>
    <row r="587">
      <c r="A587" t="n">
        <v>586</v>
      </c>
      <c r="B587">
        <f>IFERROR(INDEX(Segmen!$A$3:$A$6000,MATCH(C587,Segmen!$D$3:$D$6000,0)),"")</f>
        <v/>
      </c>
      <c r="C587">
        <f>IFERROR(LARGE(Segmen!$D$3:$D$6000,A587),"")</f>
        <v/>
      </c>
    </row>
    <row r="588">
      <c r="A588" t="n">
        <v>587</v>
      </c>
      <c r="B588">
        <f>IFERROR(INDEX(Segmen!$A$3:$A$6000,MATCH(C588,Segmen!$D$3:$D$6000,0)),"")</f>
        <v/>
      </c>
      <c r="C588">
        <f>IFERROR(LARGE(Segmen!$D$3:$D$6000,A588),"")</f>
        <v/>
      </c>
    </row>
    <row r="589">
      <c r="A589" t="n">
        <v>588</v>
      </c>
      <c r="B589">
        <f>IFERROR(INDEX(Segmen!$A$3:$A$6000,MATCH(C589,Segmen!$D$3:$D$6000,0)),"")</f>
        <v/>
      </c>
      <c r="C589">
        <f>IFERROR(LARGE(Segmen!$D$3:$D$6000,A589),"")</f>
        <v/>
      </c>
    </row>
    <row r="590">
      <c r="A590" t="n">
        <v>589</v>
      </c>
      <c r="B590">
        <f>IFERROR(INDEX(Segmen!$A$3:$A$6000,MATCH(C590,Segmen!$D$3:$D$6000,0)),"")</f>
        <v/>
      </c>
      <c r="C590">
        <f>IFERROR(LARGE(Segmen!$D$3:$D$6000,A590),"")</f>
        <v/>
      </c>
    </row>
    <row r="591">
      <c r="A591" t="n">
        <v>590</v>
      </c>
      <c r="B591">
        <f>IFERROR(INDEX(Segmen!$A$3:$A$6000,MATCH(C591,Segmen!$D$3:$D$6000,0)),"")</f>
        <v/>
      </c>
      <c r="C591">
        <f>IFERROR(LARGE(Segmen!$D$3:$D$6000,A591),"")</f>
        <v/>
      </c>
    </row>
    <row r="592">
      <c r="A592" t="n">
        <v>591</v>
      </c>
      <c r="B592">
        <f>IFERROR(INDEX(Segmen!$A$3:$A$6000,MATCH(C592,Segmen!$D$3:$D$6000,0)),"")</f>
        <v/>
      </c>
      <c r="C592">
        <f>IFERROR(LARGE(Segmen!$D$3:$D$6000,A592),"")</f>
        <v/>
      </c>
    </row>
    <row r="593">
      <c r="A593" t="n">
        <v>592</v>
      </c>
      <c r="B593">
        <f>IFERROR(INDEX(Segmen!$A$3:$A$6000,MATCH(C593,Segmen!$D$3:$D$6000,0)),"")</f>
        <v/>
      </c>
      <c r="C593">
        <f>IFERROR(LARGE(Segmen!$D$3:$D$6000,A593),"")</f>
        <v/>
      </c>
    </row>
    <row r="594">
      <c r="A594" t="n">
        <v>593</v>
      </c>
      <c r="B594">
        <f>IFERROR(INDEX(Segmen!$A$3:$A$6000,MATCH(C594,Segmen!$D$3:$D$6000,0)),"")</f>
        <v/>
      </c>
      <c r="C594">
        <f>IFERROR(LARGE(Segmen!$D$3:$D$6000,A594),"")</f>
        <v/>
      </c>
    </row>
    <row r="595">
      <c r="A595" t="n">
        <v>594</v>
      </c>
      <c r="B595">
        <f>IFERROR(INDEX(Segmen!$A$3:$A$6000,MATCH(C595,Segmen!$D$3:$D$6000,0)),"")</f>
        <v/>
      </c>
      <c r="C595">
        <f>IFERROR(LARGE(Segmen!$D$3:$D$6000,A595),"")</f>
        <v/>
      </c>
    </row>
    <row r="596">
      <c r="A596" t="n">
        <v>595</v>
      </c>
      <c r="B596">
        <f>IFERROR(INDEX(Segmen!$A$3:$A$6000,MATCH(C596,Segmen!$D$3:$D$6000,0)),"")</f>
        <v/>
      </c>
      <c r="C596">
        <f>IFERROR(LARGE(Segmen!$D$3:$D$6000,A596),"")</f>
        <v/>
      </c>
    </row>
    <row r="597">
      <c r="A597" t="n">
        <v>596</v>
      </c>
      <c r="B597">
        <f>IFERROR(INDEX(Segmen!$A$3:$A$6000,MATCH(C597,Segmen!$D$3:$D$6000,0)),"")</f>
        <v/>
      </c>
      <c r="C597">
        <f>IFERROR(LARGE(Segmen!$D$3:$D$6000,A597),"")</f>
        <v/>
      </c>
    </row>
    <row r="598">
      <c r="A598" t="n">
        <v>597</v>
      </c>
      <c r="B598">
        <f>IFERROR(INDEX(Segmen!$A$3:$A$6000,MATCH(C598,Segmen!$D$3:$D$6000,0)),"")</f>
        <v/>
      </c>
      <c r="C598">
        <f>IFERROR(LARGE(Segmen!$D$3:$D$6000,A598),"")</f>
        <v/>
      </c>
    </row>
    <row r="599">
      <c r="A599" t="n">
        <v>598</v>
      </c>
      <c r="B599">
        <f>IFERROR(INDEX(Segmen!$A$3:$A$6000,MATCH(C599,Segmen!$D$3:$D$6000,0)),"")</f>
        <v/>
      </c>
      <c r="C599">
        <f>IFERROR(LARGE(Segmen!$D$3:$D$6000,A599),"")</f>
        <v/>
      </c>
    </row>
    <row r="600">
      <c r="A600" t="n">
        <v>599</v>
      </c>
      <c r="B600">
        <f>IFERROR(INDEX(Segmen!$A$3:$A$6000,MATCH(C600,Segmen!$D$3:$D$6000,0)),"")</f>
        <v/>
      </c>
      <c r="C600">
        <f>IFERROR(LARGE(Segmen!$D$3:$D$6000,A600),"")</f>
        <v/>
      </c>
    </row>
    <row r="601">
      <c r="A601" t="n">
        <v>600</v>
      </c>
      <c r="B601">
        <f>IFERROR(INDEX(Segmen!$A$3:$A$6000,MATCH(C601,Segmen!$D$3:$D$6000,0)),"")</f>
        <v/>
      </c>
      <c r="C601">
        <f>IFERROR(LARGE(Segmen!$D$3:$D$6000,A601),"")</f>
        <v/>
      </c>
    </row>
    <row r="602">
      <c r="A602" t="n">
        <v>601</v>
      </c>
      <c r="B602">
        <f>IFERROR(INDEX(Segmen!$A$3:$A$6000,MATCH(C602,Segmen!$D$3:$D$6000,0)),"")</f>
        <v/>
      </c>
      <c r="C602">
        <f>IFERROR(LARGE(Segmen!$D$3:$D$6000,A602),"")</f>
        <v/>
      </c>
    </row>
    <row r="603">
      <c r="A603" t="n">
        <v>602</v>
      </c>
      <c r="B603">
        <f>IFERROR(INDEX(Segmen!$A$3:$A$6000,MATCH(C603,Segmen!$D$3:$D$6000,0)),"")</f>
        <v/>
      </c>
      <c r="C603">
        <f>IFERROR(LARGE(Segmen!$D$3:$D$6000,A603),"")</f>
        <v/>
      </c>
    </row>
    <row r="604">
      <c r="A604" t="n">
        <v>603</v>
      </c>
      <c r="B604">
        <f>IFERROR(INDEX(Segmen!$A$3:$A$6000,MATCH(C604,Segmen!$D$3:$D$6000,0)),"")</f>
        <v/>
      </c>
      <c r="C604">
        <f>IFERROR(LARGE(Segmen!$D$3:$D$6000,A604),"")</f>
        <v/>
      </c>
    </row>
    <row r="605">
      <c r="A605" t="n">
        <v>604</v>
      </c>
      <c r="B605">
        <f>IFERROR(INDEX(Segmen!$A$3:$A$6000,MATCH(C605,Segmen!$D$3:$D$6000,0)),"")</f>
        <v/>
      </c>
      <c r="C605">
        <f>IFERROR(LARGE(Segmen!$D$3:$D$6000,A605),"")</f>
        <v/>
      </c>
    </row>
    <row r="606">
      <c r="A606" t="n">
        <v>605</v>
      </c>
      <c r="B606">
        <f>IFERROR(INDEX(Segmen!$A$3:$A$6000,MATCH(C606,Segmen!$D$3:$D$6000,0)),"")</f>
        <v/>
      </c>
      <c r="C606">
        <f>IFERROR(LARGE(Segmen!$D$3:$D$6000,A606),"")</f>
        <v/>
      </c>
    </row>
    <row r="607">
      <c r="A607" t="n">
        <v>606</v>
      </c>
      <c r="B607">
        <f>IFERROR(INDEX(Segmen!$A$3:$A$6000,MATCH(C607,Segmen!$D$3:$D$6000,0)),"")</f>
        <v/>
      </c>
      <c r="C607">
        <f>IFERROR(LARGE(Segmen!$D$3:$D$6000,A607),"")</f>
        <v/>
      </c>
    </row>
    <row r="608">
      <c r="A608" t="n">
        <v>607</v>
      </c>
      <c r="B608">
        <f>IFERROR(INDEX(Segmen!$A$3:$A$6000,MATCH(C608,Segmen!$D$3:$D$6000,0)),"")</f>
        <v/>
      </c>
      <c r="C608">
        <f>IFERROR(LARGE(Segmen!$D$3:$D$6000,A608),"")</f>
        <v/>
      </c>
    </row>
    <row r="609">
      <c r="A609" t="n">
        <v>608</v>
      </c>
      <c r="B609">
        <f>IFERROR(INDEX(Segmen!$A$3:$A$6000,MATCH(C609,Segmen!$D$3:$D$6000,0)),"")</f>
        <v/>
      </c>
      <c r="C609">
        <f>IFERROR(LARGE(Segmen!$D$3:$D$6000,A609),"")</f>
        <v/>
      </c>
    </row>
    <row r="610">
      <c r="A610" t="n">
        <v>609</v>
      </c>
      <c r="B610">
        <f>IFERROR(INDEX(Segmen!$A$3:$A$6000,MATCH(C610,Segmen!$D$3:$D$6000,0)),"")</f>
        <v/>
      </c>
      <c r="C610">
        <f>IFERROR(LARGE(Segmen!$D$3:$D$6000,A610),"")</f>
        <v/>
      </c>
    </row>
    <row r="611">
      <c r="A611" t="n">
        <v>610</v>
      </c>
      <c r="B611">
        <f>IFERROR(INDEX(Segmen!$A$3:$A$6000,MATCH(C611,Segmen!$D$3:$D$6000,0)),"")</f>
        <v/>
      </c>
      <c r="C611">
        <f>IFERROR(LARGE(Segmen!$D$3:$D$6000,A611),"")</f>
        <v/>
      </c>
    </row>
    <row r="612">
      <c r="A612" t="n">
        <v>611</v>
      </c>
      <c r="B612">
        <f>IFERROR(INDEX(Segmen!$A$3:$A$6000,MATCH(C612,Segmen!$D$3:$D$6000,0)),"")</f>
        <v/>
      </c>
      <c r="C612">
        <f>IFERROR(LARGE(Segmen!$D$3:$D$6000,A612),"")</f>
        <v/>
      </c>
    </row>
    <row r="613">
      <c r="A613" t="n">
        <v>612</v>
      </c>
      <c r="B613">
        <f>IFERROR(INDEX(Segmen!$A$3:$A$6000,MATCH(C613,Segmen!$D$3:$D$6000,0)),"")</f>
        <v/>
      </c>
      <c r="C613">
        <f>IFERROR(LARGE(Segmen!$D$3:$D$6000,A613),"")</f>
        <v/>
      </c>
    </row>
    <row r="614">
      <c r="A614" t="n">
        <v>613</v>
      </c>
      <c r="B614">
        <f>IFERROR(INDEX(Segmen!$A$3:$A$6000,MATCH(C614,Segmen!$D$3:$D$6000,0)),"")</f>
        <v/>
      </c>
      <c r="C614">
        <f>IFERROR(LARGE(Segmen!$D$3:$D$6000,A614),"")</f>
        <v/>
      </c>
    </row>
    <row r="615">
      <c r="A615" t="n">
        <v>614</v>
      </c>
      <c r="B615">
        <f>IFERROR(INDEX(Segmen!$A$3:$A$6000,MATCH(C615,Segmen!$D$3:$D$6000,0)),"")</f>
        <v/>
      </c>
      <c r="C615">
        <f>IFERROR(LARGE(Segmen!$D$3:$D$6000,A615),"")</f>
        <v/>
      </c>
    </row>
    <row r="616">
      <c r="A616" t="n">
        <v>615</v>
      </c>
      <c r="B616">
        <f>IFERROR(INDEX(Segmen!$A$3:$A$6000,MATCH(C616,Segmen!$D$3:$D$6000,0)),"")</f>
        <v/>
      </c>
      <c r="C616">
        <f>IFERROR(LARGE(Segmen!$D$3:$D$6000,A616),"")</f>
        <v/>
      </c>
    </row>
    <row r="617">
      <c r="A617" t="n">
        <v>616</v>
      </c>
      <c r="B617">
        <f>IFERROR(INDEX(Segmen!$A$3:$A$6000,MATCH(C617,Segmen!$D$3:$D$6000,0)),"")</f>
        <v/>
      </c>
      <c r="C617">
        <f>IFERROR(LARGE(Segmen!$D$3:$D$6000,A617),"")</f>
        <v/>
      </c>
    </row>
    <row r="618">
      <c r="A618" t="n">
        <v>617</v>
      </c>
      <c r="B618">
        <f>IFERROR(INDEX(Segmen!$A$3:$A$6000,MATCH(C618,Segmen!$D$3:$D$6000,0)),"")</f>
        <v/>
      </c>
      <c r="C618">
        <f>IFERROR(LARGE(Segmen!$D$3:$D$6000,A618),"")</f>
        <v/>
      </c>
    </row>
    <row r="619">
      <c r="A619" t="n">
        <v>618</v>
      </c>
      <c r="B619">
        <f>IFERROR(INDEX(Segmen!$A$3:$A$6000,MATCH(C619,Segmen!$D$3:$D$6000,0)),"")</f>
        <v/>
      </c>
      <c r="C619">
        <f>IFERROR(LARGE(Segmen!$D$3:$D$6000,A619),"")</f>
        <v/>
      </c>
    </row>
    <row r="620">
      <c r="A620" t="n">
        <v>619</v>
      </c>
      <c r="B620">
        <f>IFERROR(INDEX(Segmen!$A$3:$A$6000,MATCH(C620,Segmen!$D$3:$D$6000,0)),"")</f>
        <v/>
      </c>
      <c r="C620">
        <f>IFERROR(LARGE(Segmen!$D$3:$D$6000,A620),"")</f>
        <v/>
      </c>
    </row>
    <row r="621">
      <c r="A621" t="n">
        <v>620</v>
      </c>
      <c r="B621">
        <f>IFERROR(INDEX(Segmen!$A$3:$A$6000,MATCH(C621,Segmen!$D$3:$D$6000,0)),"")</f>
        <v/>
      </c>
      <c r="C621">
        <f>IFERROR(LARGE(Segmen!$D$3:$D$6000,A621),"")</f>
        <v/>
      </c>
    </row>
    <row r="622">
      <c r="A622" t="n">
        <v>621</v>
      </c>
      <c r="B622">
        <f>IFERROR(INDEX(Segmen!$A$3:$A$6000,MATCH(C622,Segmen!$D$3:$D$6000,0)),"")</f>
        <v/>
      </c>
      <c r="C622">
        <f>IFERROR(LARGE(Segmen!$D$3:$D$6000,A622),"")</f>
        <v/>
      </c>
    </row>
    <row r="623">
      <c r="A623" t="n">
        <v>622</v>
      </c>
      <c r="B623">
        <f>IFERROR(INDEX(Segmen!$A$3:$A$6000,MATCH(C623,Segmen!$D$3:$D$6000,0)),"")</f>
        <v/>
      </c>
      <c r="C623">
        <f>IFERROR(LARGE(Segmen!$D$3:$D$6000,A623),"")</f>
        <v/>
      </c>
    </row>
    <row r="624">
      <c r="A624" t="n">
        <v>623</v>
      </c>
      <c r="B624">
        <f>IFERROR(INDEX(Segmen!$A$3:$A$6000,MATCH(C624,Segmen!$D$3:$D$6000,0)),"")</f>
        <v/>
      </c>
      <c r="C624">
        <f>IFERROR(LARGE(Segmen!$D$3:$D$6000,A624),"")</f>
        <v/>
      </c>
    </row>
    <row r="625">
      <c r="A625" t="n">
        <v>624</v>
      </c>
      <c r="B625">
        <f>IFERROR(INDEX(Segmen!$A$3:$A$6000,MATCH(C625,Segmen!$D$3:$D$6000,0)),"")</f>
        <v/>
      </c>
      <c r="C625">
        <f>IFERROR(LARGE(Segmen!$D$3:$D$6000,A625),"")</f>
        <v/>
      </c>
    </row>
    <row r="626">
      <c r="A626" t="n">
        <v>625</v>
      </c>
      <c r="B626">
        <f>IFERROR(INDEX(Segmen!$A$3:$A$6000,MATCH(C626,Segmen!$D$3:$D$6000,0)),"")</f>
        <v/>
      </c>
      <c r="C626">
        <f>IFERROR(LARGE(Segmen!$D$3:$D$6000,A626),"")</f>
        <v/>
      </c>
    </row>
    <row r="627">
      <c r="A627" t="n">
        <v>626</v>
      </c>
      <c r="B627">
        <f>IFERROR(INDEX(Segmen!$A$3:$A$6000,MATCH(C627,Segmen!$D$3:$D$6000,0)),"")</f>
        <v/>
      </c>
      <c r="C627">
        <f>IFERROR(LARGE(Segmen!$D$3:$D$6000,A627),"")</f>
        <v/>
      </c>
    </row>
    <row r="628">
      <c r="A628" t="n">
        <v>627</v>
      </c>
      <c r="B628">
        <f>IFERROR(INDEX(Segmen!$A$3:$A$6000,MATCH(C628,Segmen!$D$3:$D$6000,0)),"")</f>
        <v/>
      </c>
      <c r="C628">
        <f>IFERROR(LARGE(Segmen!$D$3:$D$6000,A628),"")</f>
        <v/>
      </c>
    </row>
    <row r="629">
      <c r="A629" t="n">
        <v>628</v>
      </c>
      <c r="B629">
        <f>IFERROR(INDEX(Segmen!$A$3:$A$6000,MATCH(C629,Segmen!$D$3:$D$6000,0)),"")</f>
        <v/>
      </c>
      <c r="C629">
        <f>IFERROR(LARGE(Segmen!$D$3:$D$6000,A629),"")</f>
        <v/>
      </c>
    </row>
    <row r="630">
      <c r="A630" t="n">
        <v>629</v>
      </c>
      <c r="B630">
        <f>IFERROR(INDEX(Segmen!$A$3:$A$6000,MATCH(C630,Segmen!$D$3:$D$6000,0)),"")</f>
        <v/>
      </c>
      <c r="C630">
        <f>IFERROR(LARGE(Segmen!$D$3:$D$6000,A630),"")</f>
        <v/>
      </c>
    </row>
    <row r="631">
      <c r="A631" t="n">
        <v>630</v>
      </c>
      <c r="B631">
        <f>IFERROR(INDEX(Segmen!$A$3:$A$6000,MATCH(C631,Segmen!$D$3:$D$6000,0)),"")</f>
        <v/>
      </c>
      <c r="C631">
        <f>IFERROR(LARGE(Segmen!$D$3:$D$6000,A631),"")</f>
        <v/>
      </c>
    </row>
    <row r="632">
      <c r="A632" t="n">
        <v>631</v>
      </c>
      <c r="B632">
        <f>IFERROR(INDEX(Segmen!$A$3:$A$6000,MATCH(C632,Segmen!$D$3:$D$6000,0)),"")</f>
        <v/>
      </c>
      <c r="C632">
        <f>IFERROR(LARGE(Segmen!$D$3:$D$6000,A632),"")</f>
        <v/>
      </c>
    </row>
    <row r="633">
      <c r="A633" t="n">
        <v>632</v>
      </c>
      <c r="B633">
        <f>IFERROR(INDEX(Segmen!$A$3:$A$6000,MATCH(C633,Segmen!$D$3:$D$6000,0)),"")</f>
        <v/>
      </c>
      <c r="C633">
        <f>IFERROR(LARGE(Segmen!$D$3:$D$6000,A633),"")</f>
        <v/>
      </c>
    </row>
    <row r="634">
      <c r="A634" t="n">
        <v>633</v>
      </c>
      <c r="B634">
        <f>IFERROR(INDEX(Segmen!$A$3:$A$6000,MATCH(C634,Segmen!$D$3:$D$6000,0)),"")</f>
        <v/>
      </c>
      <c r="C634">
        <f>IFERROR(LARGE(Segmen!$D$3:$D$6000,A634),"")</f>
        <v/>
      </c>
    </row>
    <row r="635">
      <c r="A635" t="n">
        <v>634</v>
      </c>
      <c r="B635">
        <f>IFERROR(INDEX(Segmen!$A$3:$A$6000,MATCH(C635,Segmen!$D$3:$D$6000,0)),"")</f>
        <v/>
      </c>
      <c r="C635">
        <f>IFERROR(LARGE(Segmen!$D$3:$D$6000,A635),"")</f>
        <v/>
      </c>
    </row>
    <row r="636">
      <c r="A636" t="n">
        <v>635</v>
      </c>
      <c r="B636">
        <f>IFERROR(INDEX(Segmen!$A$3:$A$6000,MATCH(C636,Segmen!$D$3:$D$6000,0)),"")</f>
        <v/>
      </c>
      <c r="C636">
        <f>IFERROR(LARGE(Segmen!$D$3:$D$6000,A636),"")</f>
        <v/>
      </c>
    </row>
    <row r="637">
      <c r="A637" t="n">
        <v>636</v>
      </c>
      <c r="B637">
        <f>IFERROR(INDEX(Segmen!$A$3:$A$6000,MATCH(C637,Segmen!$D$3:$D$6000,0)),"")</f>
        <v/>
      </c>
      <c r="C637">
        <f>IFERROR(LARGE(Segmen!$D$3:$D$6000,A637),"")</f>
        <v/>
      </c>
    </row>
    <row r="638">
      <c r="A638" t="n">
        <v>637</v>
      </c>
      <c r="B638">
        <f>IFERROR(INDEX(Segmen!$A$3:$A$6000,MATCH(C638,Segmen!$D$3:$D$6000,0)),"")</f>
        <v/>
      </c>
      <c r="C638">
        <f>IFERROR(LARGE(Segmen!$D$3:$D$6000,A638),"")</f>
        <v/>
      </c>
    </row>
    <row r="639">
      <c r="A639" t="n">
        <v>638</v>
      </c>
      <c r="B639">
        <f>IFERROR(INDEX(Segmen!$A$3:$A$6000,MATCH(C639,Segmen!$D$3:$D$6000,0)),"")</f>
        <v/>
      </c>
      <c r="C639">
        <f>IFERROR(LARGE(Segmen!$D$3:$D$6000,A639),"")</f>
        <v/>
      </c>
    </row>
    <row r="640">
      <c r="A640" t="n">
        <v>639</v>
      </c>
      <c r="B640">
        <f>IFERROR(INDEX(Segmen!$A$3:$A$6000,MATCH(C640,Segmen!$D$3:$D$6000,0)),"")</f>
        <v/>
      </c>
      <c r="C640">
        <f>IFERROR(LARGE(Segmen!$D$3:$D$6000,A640),"")</f>
        <v/>
      </c>
    </row>
    <row r="641">
      <c r="A641" t="n">
        <v>640</v>
      </c>
      <c r="B641">
        <f>IFERROR(INDEX(Segmen!$A$3:$A$6000,MATCH(C641,Segmen!$D$3:$D$6000,0)),"")</f>
        <v/>
      </c>
      <c r="C641">
        <f>IFERROR(LARGE(Segmen!$D$3:$D$6000,A641),"")</f>
        <v/>
      </c>
    </row>
    <row r="642">
      <c r="A642" t="n">
        <v>641</v>
      </c>
      <c r="B642">
        <f>IFERROR(INDEX(Segmen!$A$3:$A$6000,MATCH(C642,Segmen!$D$3:$D$6000,0)),"")</f>
        <v/>
      </c>
      <c r="C642">
        <f>IFERROR(LARGE(Segmen!$D$3:$D$6000,A642),"")</f>
        <v/>
      </c>
    </row>
    <row r="643">
      <c r="A643" t="n">
        <v>642</v>
      </c>
      <c r="B643">
        <f>IFERROR(INDEX(Segmen!$A$3:$A$6000,MATCH(C643,Segmen!$D$3:$D$6000,0)),"")</f>
        <v/>
      </c>
      <c r="C643">
        <f>IFERROR(LARGE(Segmen!$D$3:$D$6000,A643),"")</f>
        <v/>
      </c>
    </row>
    <row r="644">
      <c r="A644" t="n">
        <v>643</v>
      </c>
      <c r="B644">
        <f>IFERROR(INDEX(Segmen!$A$3:$A$6000,MATCH(C644,Segmen!$D$3:$D$6000,0)),"")</f>
        <v/>
      </c>
      <c r="C644">
        <f>IFERROR(LARGE(Segmen!$D$3:$D$6000,A644),"")</f>
        <v/>
      </c>
    </row>
    <row r="645">
      <c r="A645" t="n">
        <v>644</v>
      </c>
      <c r="B645">
        <f>IFERROR(INDEX(Segmen!$A$3:$A$6000,MATCH(C645,Segmen!$D$3:$D$6000,0)),"")</f>
        <v/>
      </c>
      <c r="C645">
        <f>IFERROR(LARGE(Segmen!$D$3:$D$6000,A645),"")</f>
        <v/>
      </c>
    </row>
    <row r="646">
      <c r="A646" t="n">
        <v>645</v>
      </c>
      <c r="B646">
        <f>IFERROR(INDEX(Segmen!$A$3:$A$6000,MATCH(C646,Segmen!$D$3:$D$6000,0)),"")</f>
        <v/>
      </c>
      <c r="C646">
        <f>IFERROR(LARGE(Segmen!$D$3:$D$6000,A646),"")</f>
        <v/>
      </c>
    </row>
    <row r="647">
      <c r="A647" t="n">
        <v>646</v>
      </c>
      <c r="B647">
        <f>IFERROR(INDEX(Segmen!$A$3:$A$6000,MATCH(C647,Segmen!$D$3:$D$6000,0)),"")</f>
        <v/>
      </c>
      <c r="C647">
        <f>IFERROR(LARGE(Segmen!$D$3:$D$6000,A647),"")</f>
        <v/>
      </c>
    </row>
    <row r="648">
      <c r="A648" t="n">
        <v>647</v>
      </c>
      <c r="B648">
        <f>IFERROR(INDEX(Segmen!$A$3:$A$6000,MATCH(C648,Segmen!$D$3:$D$6000,0)),"")</f>
        <v/>
      </c>
      <c r="C648">
        <f>IFERROR(LARGE(Segmen!$D$3:$D$6000,A648),"")</f>
        <v/>
      </c>
    </row>
    <row r="649">
      <c r="A649" t="n">
        <v>648</v>
      </c>
      <c r="B649">
        <f>IFERROR(INDEX(Segmen!$A$3:$A$6000,MATCH(C649,Segmen!$D$3:$D$6000,0)),"")</f>
        <v/>
      </c>
      <c r="C649">
        <f>IFERROR(LARGE(Segmen!$D$3:$D$6000,A649),"")</f>
        <v/>
      </c>
    </row>
    <row r="650">
      <c r="A650" t="n">
        <v>649</v>
      </c>
      <c r="B650">
        <f>IFERROR(INDEX(Segmen!$A$3:$A$6000,MATCH(C650,Segmen!$D$3:$D$6000,0)),"")</f>
        <v/>
      </c>
      <c r="C650">
        <f>IFERROR(LARGE(Segmen!$D$3:$D$6000,A650),"")</f>
        <v/>
      </c>
    </row>
    <row r="651">
      <c r="A651" t="n">
        <v>650</v>
      </c>
      <c r="B651">
        <f>IFERROR(INDEX(Segmen!$A$3:$A$6000,MATCH(C651,Segmen!$D$3:$D$6000,0)),"")</f>
        <v/>
      </c>
      <c r="C651">
        <f>IFERROR(LARGE(Segmen!$D$3:$D$6000,A651),"")</f>
        <v/>
      </c>
    </row>
    <row r="652">
      <c r="A652" t="n">
        <v>651</v>
      </c>
      <c r="B652">
        <f>IFERROR(INDEX(Segmen!$A$3:$A$6000,MATCH(C652,Segmen!$D$3:$D$6000,0)),"")</f>
        <v/>
      </c>
      <c r="C652">
        <f>IFERROR(LARGE(Segmen!$D$3:$D$6000,A652),"")</f>
        <v/>
      </c>
    </row>
    <row r="653">
      <c r="A653" t="n">
        <v>652</v>
      </c>
      <c r="B653">
        <f>IFERROR(INDEX(Segmen!$A$3:$A$6000,MATCH(C653,Segmen!$D$3:$D$6000,0)),"")</f>
        <v/>
      </c>
      <c r="C653">
        <f>IFERROR(LARGE(Segmen!$D$3:$D$6000,A653),"")</f>
        <v/>
      </c>
    </row>
    <row r="654">
      <c r="A654" t="n">
        <v>653</v>
      </c>
      <c r="B654">
        <f>IFERROR(INDEX(Segmen!$A$3:$A$6000,MATCH(C654,Segmen!$D$3:$D$6000,0)),"")</f>
        <v/>
      </c>
      <c r="C654">
        <f>IFERROR(LARGE(Segmen!$D$3:$D$6000,A654),"")</f>
        <v/>
      </c>
    </row>
    <row r="655">
      <c r="A655" t="n">
        <v>654</v>
      </c>
      <c r="B655">
        <f>IFERROR(INDEX(Segmen!$A$3:$A$6000,MATCH(C655,Segmen!$D$3:$D$6000,0)),"")</f>
        <v/>
      </c>
      <c r="C655">
        <f>IFERROR(LARGE(Segmen!$D$3:$D$6000,A655),"")</f>
        <v/>
      </c>
    </row>
    <row r="656">
      <c r="A656" t="n">
        <v>655</v>
      </c>
      <c r="B656">
        <f>IFERROR(INDEX(Segmen!$A$3:$A$6000,MATCH(C656,Segmen!$D$3:$D$6000,0)),"")</f>
        <v/>
      </c>
      <c r="C656">
        <f>IFERROR(LARGE(Segmen!$D$3:$D$6000,A656),"")</f>
        <v/>
      </c>
    </row>
    <row r="657">
      <c r="A657" t="n">
        <v>656</v>
      </c>
      <c r="B657">
        <f>IFERROR(INDEX(Segmen!$A$3:$A$6000,MATCH(C657,Segmen!$D$3:$D$6000,0)),"")</f>
        <v/>
      </c>
      <c r="C657">
        <f>IFERROR(LARGE(Segmen!$D$3:$D$6000,A657),"")</f>
        <v/>
      </c>
    </row>
    <row r="658">
      <c r="A658" t="n">
        <v>657</v>
      </c>
      <c r="B658">
        <f>IFERROR(INDEX(Segmen!$A$3:$A$6000,MATCH(C658,Segmen!$D$3:$D$6000,0)),"")</f>
        <v/>
      </c>
      <c r="C658">
        <f>IFERROR(LARGE(Segmen!$D$3:$D$6000,A658),"")</f>
        <v/>
      </c>
    </row>
    <row r="659">
      <c r="A659" t="n">
        <v>658</v>
      </c>
      <c r="B659">
        <f>IFERROR(INDEX(Segmen!$A$3:$A$6000,MATCH(C659,Segmen!$D$3:$D$6000,0)),"")</f>
        <v/>
      </c>
      <c r="C659">
        <f>IFERROR(LARGE(Segmen!$D$3:$D$6000,A659),"")</f>
        <v/>
      </c>
    </row>
    <row r="660">
      <c r="A660" t="n">
        <v>659</v>
      </c>
      <c r="B660">
        <f>IFERROR(INDEX(Segmen!$A$3:$A$6000,MATCH(C660,Segmen!$D$3:$D$6000,0)),"")</f>
        <v/>
      </c>
      <c r="C660">
        <f>IFERROR(LARGE(Segmen!$D$3:$D$6000,A660),"")</f>
        <v/>
      </c>
    </row>
    <row r="661">
      <c r="A661" t="n">
        <v>660</v>
      </c>
      <c r="B661">
        <f>IFERROR(INDEX(Segmen!$A$3:$A$6000,MATCH(C661,Segmen!$D$3:$D$6000,0)),"")</f>
        <v/>
      </c>
      <c r="C661">
        <f>IFERROR(LARGE(Segmen!$D$3:$D$6000,A661),"")</f>
        <v/>
      </c>
    </row>
    <row r="662">
      <c r="A662" t="n">
        <v>661</v>
      </c>
      <c r="B662">
        <f>IFERROR(INDEX(Segmen!$A$3:$A$6000,MATCH(C662,Segmen!$D$3:$D$6000,0)),"")</f>
        <v/>
      </c>
      <c r="C662">
        <f>IFERROR(LARGE(Segmen!$D$3:$D$6000,A662),"")</f>
        <v/>
      </c>
    </row>
    <row r="663">
      <c r="A663" t="n">
        <v>662</v>
      </c>
      <c r="B663">
        <f>IFERROR(INDEX(Segmen!$A$3:$A$6000,MATCH(C663,Segmen!$D$3:$D$6000,0)),"")</f>
        <v/>
      </c>
      <c r="C663">
        <f>IFERROR(LARGE(Segmen!$D$3:$D$6000,A663),"")</f>
        <v/>
      </c>
    </row>
    <row r="664">
      <c r="A664" t="n">
        <v>663</v>
      </c>
      <c r="B664">
        <f>IFERROR(INDEX(Segmen!$A$3:$A$6000,MATCH(C664,Segmen!$D$3:$D$6000,0)),"")</f>
        <v/>
      </c>
      <c r="C664">
        <f>IFERROR(LARGE(Segmen!$D$3:$D$6000,A664),"")</f>
        <v/>
      </c>
    </row>
    <row r="665">
      <c r="A665" t="n">
        <v>664</v>
      </c>
      <c r="B665">
        <f>IFERROR(INDEX(Segmen!$A$3:$A$6000,MATCH(C665,Segmen!$D$3:$D$6000,0)),"")</f>
        <v/>
      </c>
      <c r="C665">
        <f>IFERROR(LARGE(Segmen!$D$3:$D$6000,A665),"")</f>
        <v/>
      </c>
    </row>
    <row r="666">
      <c r="A666" t="n">
        <v>665</v>
      </c>
      <c r="B666">
        <f>IFERROR(INDEX(Segmen!$A$3:$A$6000,MATCH(C666,Segmen!$D$3:$D$6000,0)),"")</f>
        <v/>
      </c>
      <c r="C666">
        <f>IFERROR(LARGE(Segmen!$D$3:$D$6000,A666),"")</f>
        <v/>
      </c>
    </row>
    <row r="667">
      <c r="A667" t="n">
        <v>666</v>
      </c>
      <c r="B667">
        <f>IFERROR(INDEX(Segmen!$A$3:$A$6000,MATCH(C667,Segmen!$D$3:$D$6000,0)),"")</f>
        <v/>
      </c>
      <c r="C667">
        <f>IFERROR(LARGE(Segmen!$D$3:$D$6000,A667),"")</f>
        <v/>
      </c>
    </row>
    <row r="668">
      <c r="A668" t="n">
        <v>667</v>
      </c>
      <c r="B668">
        <f>IFERROR(INDEX(Segmen!$A$3:$A$6000,MATCH(C668,Segmen!$D$3:$D$6000,0)),"")</f>
        <v/>
      </c>
      <c r="C668">
        <f>IFERROR(LARGE(Segmen!$D$3:$D$6000,A668),"")</f>
        <v/>
      </c>
    </row>
    <row r="669">
      <c r="A669" t="n">
        <v>668</v>
      </c>
      <c r="B669">
        <f>IFERROR(INDEX(Segmen!$A$3:$A$6000,MATCH(C669,Segmen!$D$3:$D$6000,0)),"")</f>
        <v/>
      </c>
      <c r="C669">
        <f>IFERROR(LARGE(Segmen!$D$3:$D$6000,A669),"")</f>
        <v/>
      </c>
    </row>
    <row r="670">
      <c r="A670" t="n">
        <v>669</v>
      </c>
      <c r="B670">
        <f>IFERROR(INDEX(Segmen!$A$3:$A$6000,MATCH(C670,Segmen!$D$3:$D$6000,0)),"")</f>
        <v/>
      </c>
      <c r="C670">
        <f>IFERROR(LARGE(Segmen!$D$3:$D$6000,A670),"")</f>
        <v/>
      </c>
    </row>
    <row r="671">
      <c r="A671" t="n">
        <v>670</v>
      </c>
      <c r="B671">
        <f>IFERROR(INDEX(Segmen!$A$3:$A$6000,MATCH(C671,Segmen!$D$3:$D$6000,0)),"")</f>
        <v/>
      </c>
      <c r="C671">
        <f>IFERROR(LARGE(Segmen!$D$3:$D$6000,A671),"")</f>
        <v/>
      </c>
    </row>
    <row r="672">
      <c r="A672" t="n">
        <v>671</v>
      </c>
      <c r="B672">
        <f>IFERROR(INDEX(Segmen!$A$3:$A$6000,MATCH(C672,Segmen!$D$3:$D$6000,0)),"")</f>
        <v/>
      </c>
      <c r="C672">
        <f>IFERROR(LARGE(Segmen!$D$3:$D$6000,A672),"")</f>
        <v/>
      </c>
    </row>
    <row r="673">
      <c r="A673" t="n">
        <v>672</v>
      </c>
      <c r="B673">
        <f>IFERROR(INDEX(Segmen!$A$3:$A$6000,MATCH(C673,Segmen!$D$3:$D$6000,0)),"")</f>
        <v/>
      </c>
      <c r="C673">
        <f>IFERROR(LARGE(Segmen!$D$3:$D$6000,A673),"")</f>
        <v/>
      </c>
    </row>
    <row r="674">
      <c r="A674" t="n">
        <v>673</v>
      </c>
      <c r="B674">
        <f>IFERROR(INDEX(Segmen!$A$3:$A$6000,MATCH(C674,Segmen!$D$3:$D$6000,0)),"")</f>
        <v/>
      </c>
      <c r="C674">
        <f>IFERROR(LARGE(Segmen!$D$3:$D$6000,A674),"")</f>
        <v/>
      </c>
    </row>
    <row r="675">
      <c r="A675" t="n">
        <v>674</v>
      </c>
      <c r="B675">
        <f>IFERROR(INDEX(Segmen!$A$3:$A$6000,MATCH(C675,Segmen!$D$3:$D$6000,0)),"")</f>
        <v/>
      </c>
      <c r="C675">
        <f>IFERROR(LARGE(Segmen!$D$3:$D$6000,A675),"")</f>
        <v/>
      </c>
    </row>
    <row r="676">
      <c r="A676" t="n">
        <v>675</v>
      </c>
      <c r="B676">
        <f>IFERROR(INDEX(Segmen!$A$3:$A$6000,MATCH(C676,Segmen!$D$3:$D$6000,0)),"")</f>
        <v/>
      </c>
      <c r="C676">
        <f>IFERROR(LARGE(Segmen!$D$3:$D$6000,A676),"")</f>
        <v/>
      </c>
    </row>
    <row r="677">
      <c r="A677" t="n">
        <v>676</v>
      </c>
      <c r="B677">
        <f>IFERROR(INDEX(Segmen!$A$3:$A$6000,MATCH(C677,Segmen!$D$3:$D$6000,0)),"")</f>
        <v/>
      </c>
      <c r="C677">
        <f>IFERROR(LARGE(Segmen!$D$3:$D$6000,A677),"")</f>
        <v/>
      </c>
    </row>
    <row r="678">
      <c r="A678" t="n">
        <v>677</v>
      </c>
      <c r="B678">
        <f>IFERROR(INDEX(Segmen!$A$3:$A$6000,MATCH(C678,Segmen!$D$3:$D$6000,0)),"")</f>
        <v/>
      </c>
      <c r="C678">
        <f>IFERROR(LARGE(Segmen!$D$3:$D$6000,A678),"")</f>
        <v/>
      </c>
    </row>
    <row r="679">
      <c r="A679" t="n">
        <v>678</v>
      </c>
      <c r="B679">
        <f>IFERROR(INDEX(Segmen!$A$3:$A$6000,MATCH(C679,Segmen!$D$3:$D$6000,0)),"")</f>
        <v/>
      </c>
      <c r="C679">
        <f>IFERROR(LARGE(Segmen!$D$3:$D$6000,A679),"")</f>
        <v/>
      </c>
    </row>
    <row r="680">
      <c r="A680" t="n">
        <v>679</v>
      </c>
      <c r="B680">
        <f>IFERROR(INDEX(Segmen!$A$3:$A$6000,MATCH(C680,Segmen!$D$3:$D$6000,0)),"")</f>
        <v/>
      </c>
      <c r="C680">
        <f>IFERROR(LARGE(Segmen!$D$3:$D$6000,A680),"")</f>
        <v/>
      </c>
    </row>
    <row r="681">
      <c r="A681" t="n">
        <v>680</v>
      </c>
      <c r="B681">
        <f>IFERROR(INDEX(Segmen!$A$3:$A$6000,MATCH(C681,Segmen!$D$3:$D$6000,0)),"")</f>
        <v/>
      </c>
      <c r="C681">
        <f>IFERROR(LARGE(Segmen!$D$3:$D$6000,A681),"")</f>
        <v/>
      </c>
    </row>
    <row r="682">
      <c r="A682" t="n">
        <v>681</v>
      </c>
      <c r="B682">
        <f>IFERROR(INDEX(Segmen!$A$3:$A$6000,MATCH(C682,Segmen!$D$3:$D$6000,0)),"")</f>
        <v/>
      </c>
      <c r="C682">
        <f>IFERROR(LARGE(Segmen!$D$3:$D$6000,A682),"")</f>
        <v/>
      </c>
    </row>
    <row r="683">
      <c r="A683" t="n">
        <v>682</v>
      </c>
      <c r="B683">
        <f>IFERROR(INDEX(Segmen!$A$3:$A$6000,MATCH(C683,Segmen!$D$3:$D$6000,0)),"")</f>
        <v/>
      </c>
      <c r="C683">
        <f>IFERROR(LARGE(Segmen!$D$3:$D$6000,A683),"")</f>
        <v/>
      </c>
    </row>
    <row r="684">
      <c r="A684" t="n">
        <v>683</v>
      </c>
      <c r="B684">
        <f>IFERROR(INDEX(Segmen!$A$3:$A$6000,MATCH(C684,Segmen!$D$3:$D$6000,0)),"")</f>
        <v/>
      </c>
      <c r="C684">
        <f>IFERROR(LARGE(Segmen!$D$3:$D$6000,A684),"")</f>
        <v/>
      </c>
    </row>
    <row r="685">
      <c r="A685" t="n">
        <v>684</v>
      </c>
      <c r="B685">
        <f>IFERROR(INDEX(Segmen!$A$3:$A$6000,MATCH(C685,Segmen!$D$3:$D$6000,0)),"")</f>
        <v/>
      </c>
      <c r="C685">
        <f>IFERROR(LARGE(Segmen!$D$3:$D$6000,A685),"")</f>
        <v/>
      </c>
    </row>
    <row r="686">
      <c r="A686" t="n">
        <v>685</v>
      </c>
      <c r="B686">
        <f>IFERROR(INDEX(Segmen!$A$3:$A$6000,MATCH(C686,Segmen!$D$3:$D$6000,0)),"")</f>
        <v/>
      </c>
      <c r="C686">
        <f>IFERROR(LARGE(Segmen!$D$3:$D$6000,A686),"")</f>
        <v/>
      </c>
    </row>
    <row r="687">
      <c r="A687" t="n">
        <v>686</v>
      </c>
      <c r="B687">
        <f>IFERROR(INDEX(Segmen!$A$3:$A$6000,MATCH(C687,Segmen!$D$3:$D$6000,0)),"")</f>
        <v/>
      </c>
      <c r="C687">
        <f>IFERROR(LARGE(Segmen!$D$3:$D$6000,A687),"")</f>
        <v/>
      </c>
    </row>
    <row r="688">
      <c r="A688" t="n">
        <v>687</v>
      </c>
      <c r="B688">
        <f>IFERROR(INDEX(Segmen!$A$3:$A$6000,MATCH(C688,Segmen!$D$3:$D$6000,0)),"")</f>
        <v/>
      </c>
      <c r="C688">
        <f>IFERROR(LARGE(Segmen!$D$3:$D$6000,A688),"")</f>
        <v/>
      </c>
    </row>
    <row r="689">
      <c r="A689" t="n">
        <v>688</v>
      </c>
      <c r="B689">
        <f>IFERROR(INDEX(Segmen!$A$3:$A$6000,MATCH(C689,Segmen!$D$3:$D$6000,0)),"")</f>
        <v/>
      </c>
      <c r="C689">
        <f>IFERROR(LARGE(Segmen!$D$3:$D$6000,A689),"")</f>
        <v/>
      </c>
    </row>
    <row r="690">
      <c r="A690" t="n">
        <v>689</v>
      </c>
      <c r="B690">
        <f>IFERROR(INDEX(Segmen!$A$3:$A$6000,MATCH(C690,Segmen!$D$3:$D$6000,0)),"")</f>
        <v/>
      </c>
      <c r="C690">
        <f>IFERROR(LARGE(Segmen!$D$3:$D$6000,A690),"")</f>
        <v/>
      </c>
    </row>
    <row r="691">
      <c r="A691" t="n">
        <v>690</v>
      </c>
      <c r="B691">
        <f>IFERROR(INDEX(Segmen!$A$3:$A$6000,MATCH(C691,Segmen!$D$3:$D$6000,0)),"")</f>
        <v/>
      </c>
      <c r="C691">
        <f>IFERROR(LARGE(Segmen!$D$3:$D$6000,A691),"")</f>
        <v/>
      </c>
    </row>
    <row r="692">
      <c r="A692" t="n">
        <v>691</v>
      </c>
      <c r="B692">
        <f>IFERROR(INDEX(Segmen!$A$3:$A$6000,MATCH(C692,Segmen!$D$3:$D$6000,0)),"")</f>
        <v/>
      </c>
      <c r="C692">
        <f>IFERROR(LARGE(Segmen!$D$3:$D$6000,A692),"")</f>
        <v/>
      </c>
    </row>
    <row r="693">
      <c r="A693" t="n">
        <v>692</v>
      </c>
      <c r="B693">
        <f>IFERROR(INDEX(Segmen!$A$3:$A$6000,MATCH(C693,Segmen!$D$3:$D$6000,0)),"")</f>
        <v/>
      </c>
      <c r="C693">
        <f>IFERROR(LARGE(Segmen!$D$3:$D$6000,A693),"")</f>
        <v/>
      </c>
    </row>
    <row r="694">
      <c r="A694" t="n">
        <v>693</v>
      </c>
      <c r="B694">
        <f>IFERROR(INDEX(Segmen!$A$3:$A$6000,MATCH(C694,Segmen!$D$3:$D$6000,0)),"")</f>
        <v/>
      </c>
      <c r="C694">
        <f>IFERROR(LARGE(Segmen!$D$3:$D$6000,A694),"")</f>
        <v/>
      </c>
    </row>
    <row r="695">
      <c r="A695" t="n">
        <v>694</v>
      </c>
      <c r="B695">
        <f>IFERROR(INDEX(Segmen!$A$3:$A$6000,MATCH(C695,Segmen!$D$3:$D$6000,0)),"")</f>
        <v/>
      </c>
      <c r="C695">
        <f>IFERROR(LARGE(Segmen!$D$3:$D$6000,A695),"")</f>
        <v/>
      </c>
    </row>
    <row r="696">
      <c r="A696" t="n">
        <v>695</v>
      </c>
      <c r="B696">
        <f>IFERROR(INDEX(Segmen!$A$3:$A$6000,MATCH(C696,Segmen!$D$3:$D$6000,0)),"")</f>
        <v/>
      </c>
      <c r="C696">
        <f>IFERROR(LARGE(Segmen!$D$3:$D$6000,A696),"")</f>
        <v/>
      </c>
    </row>
    <row r="697">
      <c r="A697" t="n">
        <v>696</v>
      </c>
      <c r="B697">
        <f>IFERROR(INDEX(Segmen!$A$3:$A$6000,MATCH(C697,Segmen!$D$3:$D$6000,0)),"")</f>
        <v/>
      </c>
      <c r="C697">
        <f>IFERROR(LARGE(Segmen!$D$3:$D$6000,A697),"")</f>
        <v/>
      </c>
    </row>
    <row r="698">
      <c r="A698" t="n">
        <v>697</v>
      </c>
      <c r="B698">
        <f>IFERROR(INDEX(Segmen!$A$3:$A$6000,MATCH(C698,Segmen!$D$3:$D$6000,0)),"")</f>
        <v/>
      </c>
      <c r="C698">
        <f>IFERROR(LARGE(Segmen!$D$3:$D$6000,A698),"")</f>
        <v/>
      </c>
    </row>
    <row r="699">
      <c r="A699" t="n">
        <v>698</v>
      </c>
      <c r="B699">
        <f>IFERROR(INDEX(Segmen!$A$3:$A$6000,MATCH(C699,Segmen!$D$3:$D$6000,0)),"")</f>
        <v/>
      </c>
      <c r="C699">
        <f>IFERROR(LARGE(Segmen!$D$3:$D$6000,A699),"")</f>
        <v/>
      </c>
    </row>
    <row r="700">
      <c r="A700" t="n">
        <v>699</v>
      </c>
      <c r="B700">
        <f>IFERROR(INDEX(Segmen!$A$3:$A$6000,MATCH(C700,Segmen!$D$3:$D$6000,0)),"")</f>
        <v/>
      </c>
      <c r="C700">
        <f>IFERROR(LARGE(Segmen!$D$3:$D$6000,A700),"")</f>
        <v/>
      </c>
    </row>
    <row r="701">
      <c r="A701" t="n">
        <v>700</v>
      </c>
      <c r="B701">
        <f>IFERROR(INDEX(Segmen!$A$3:$A$6000,MATCH(C701,Segmen!$D$3:$D$6000,0)),"")</f>
        <v/>
      </c>
      <c r="C701">
        <f>IFERROR(LARGE(Segmen!$D$3:$D$6000,A701),"")</f>
        <v/>
      </c>
    </row>
    <row r="702">
      <c r="A702" t="n">
        <v>701</v>
      </c>
      <c r="B702">
        <f>IFERROR(INDEX(Segmen!$A$3:$A$6000,MATCH(C702,Segmen!$D$3:$D$6000,0)),"")</f>
        <v/>
      </c>
      <c r="C702">
        <f>IFERROR(LARGE(Segmen!$D$3:$D$6000,A702),"")</f>
        <v/>
      </c>
    </row>
    <row r="703">
      <c r="A703" t="n">
        <v>702</v>
      </c>
      <c r="B703">
        <f>IFERROR(INDEX(Segmen!$A$3:$A$6000,MATCH(C703,Segmen!$D$3:$D$6000,0)),"")</f>
        <v/>
      </c>
      <c r="C703">
        <f>IFERROR(LARGE(Segmen!$D$3:$D$6000,A703),"")</f>
        <v/>
      </c>
    </row>
    <row r="704">
      <c r="A704" t="n">
        <v>703</v>
      </c>
      <c r="B704">
        <f>IFERROR(INDEX(Segmen!$A$3:$A$6000,MATCH(C704,Segmen!$D$3:$D$6000,0)),"")</f>
        <v/>
      </c>
      <c r="C704">
        <f>IFERROR(LARGE(Segmen!$D$3:$D$6000,A704),"")</f>
        <v/>
      </c>
    </row>
    <row r="705">
      <c r="A705" t="n">
        <v>704</v>
      </c>
      <c r="B705">
        <f>IFERROR(INDEX(Segmen!$A$3:$A$6000,MATCH(C705,Segmen!$D$3:$D$6000,0)),"")</f>
        <v/>
      </c>
      <c r="C705">
        <f>IFERROR(LARGE(Segmen!$D$3:$D$6000,A705),"")</f>
        <v/>
      </c>
    </row>
    <row r="706">
      <c r="A706" t="n">
        <v>705</v>
      </c>
      <c r="B706">
        <f>IFERROR(INDEX(Segmen!$A$3:$A$6000,MATCH(C706,Segmen!$D$3:$D$6000,0)),"")</f>
        <v/>
      </c>
      <c r="C706">
        <f>IFERROR(LARGE(Segmen!$D$3:$D$6000,A706),"")</f>
        <v/>
      </c>
    </row>
    <row r="707">
      <c r="A707" t="n">
        <v>706</v>
      </c>
      <c r="B707">
        <f>IFERROR(INDEX(Segmen!$A$3:$A$6000,MATCH(C707,Segmen!$D$3:$D$6000,0)),"")</f>
        <v/>
      </c>
      <c r="C707">
        <f>IFERROR(LARGE(Segmen!$D$3:$D$6000,A707),"")</f>
        <v/>
      </c>
    </row>
    <row r="708">
      <c r="A708" t="n">
        <v>707</v>
      </c>
      <c r="B708">
        <f>IFERROR(INDEX(Segmen!$A$3:$A$6000,MATCH(C708,Segmen!$D$3:$D$6000,0)),"")</f>
        <v/>
      </c>
      <c r="C708">
        <f>IFERROR(LARGE(Segmen!$D$3:$D$6000,A708),"")</f>
        <v/>
      </c>
    </row>
    <row r="709">
      <c r="A709" t="n">
        <v>708</v>
      </c>
      <c r="B709">
        <f>IFERROR(INDEX(Segmen!$A$3:$A$6000,MATCH(C709,Segmen!$D$3:$D$6000,0)),"")</f>
        <v/>
      </c>
      <c r="C709">
        <f>IFERROR(LARGE(Segmen!$D$3:$D$6000,A709),"")</f>
        <v/>
      </c>
    </row>
    <row r="710">
      <c r="A710" t="n">
        <v>709</v>
      </c>
      <c r="B710">
        <f>IFERROR(INDEX(Segmen!$A$3:$A$6000,MATCH(C710,Segmen!$D$3:$D$6000,0)),"")</f>
        <v/>
      </c>
      <c r="C710">
        <f>IFERROR(LARGE(Segmen!$D$3:$D$6000,A710),"")</f>
        <v/>
      </c>
    </row>
    <row r="711">
      <c r="A711" t="n">
        <v>710</v>
      </c>
      <c r="B711">
        <f>IFERROR(INDEX(Segmen!$A$3:$A$6000,MATCH(C711,Segmen!$D$3:$D$6000,0)),"")</f>
        <v/>
      </c>
      <c r="C711">
        <f>IFERROR(LARGE(Segmen!$D$3:$D$6000,A711),"")</f>
        <v/>
      </c>
    </row>
    <row r="712">
      <c r="A712" t="n">
        <v>711</v>
      </c>
      <c r="B712">
        <f>IFERROR(INDEX(Segmen!$A$3:$A$6000,MATCH(C712,Segmen!$D$3:$D$6000,0)),"")</f>
        <v/>
      </c>
      <c r="C712">
        <f>IFERROR(LARGE(Segmen!$D$3:$D$6000,A712),"")</f>
        <v/>
      </c>
    </row>
    <row r="713">
      <c r="A713" t="n">
        <v>712</v>
      </c>
      <c r="B713">
        <f>IFERROR(INDEX(Segmen!$A$3:$A$6000,MATCH(C713,Segmen!$D$3:$D$6000,0)),"")</f>
        <v/>
      </c>
      <c r="C713">
        <f>IFERROR(LARGE(Segmen!$D$3:$D$6000,A713),"")</f>
        <v/>
      </c>
    </row>
    <row r="714">
      <c r="A714" t="n">
        <v>713</v>
      </c>
      <c r="B714">
        <f>IFERROR(INDEX(Segmen!$A$3:$A$6000,MATCH(C714,Segmen!$D$3:$D$6000,0)),"")</f>
        <v/>
      </c>
      <c r="C714">
        <f>IFERROR(LARGE(Segmen!$D$3:$D$6000,A714),"")</f>
        <v/>
      </c>
    </row>
    <row r="715">
      <c r="A715" t="n">
        <v>714</v>
      </c>
      <c r="B715">
        <f>IFERROR(INDEX(Segmen!$A$3:$A$6000,MATCH(C715,Segmen!$D$3:$D$6000,0)),"")</f>
        <v/>
      </c>
      <c r="C715">
        <f>IFERROR(LARGE(Segmen!$D$3:$D$6000,A715),"")</f>
        <v/>
      </c>
    </row>
    <row r="716">
      <c r="A716" t="n">
        <v>715</v>
      </c>
      <c r="B716">
        <f>IFERROR(INDEX(Segmen!$A$3:$A$6000,MATCH(C716,Segmen!$D$3:$D$6000,0)),"")</f>
        <v/>
      </c>
      <c r="C716">
        <f>IFERROR(LARGE(Segmen!$D$3:$D$6000,A716),"")</f>
        <v/>
      </c>
    </row>
    <row r="717">
      <c r="A717" t="n">
        <v>716</v>
      </c>
      <c r="B717">
        <f>IFERROR(INDEX(Segmen!$A$3:$A$6000,MATCH(C717,Segmen!$D$3:$D$6000,0)),"")</f>
        <v/>
      </c>
      <c r="C717">
        <f>IFERROR(LARGE(Segmen!$D$3:$D$6000,A717),"")</f>
        <v/>
      </c>
    </row>
    <row r="718">
      <c r="A718" t="n">
        <v>717</v>
      </c>
      <c r="B718">
        <f>IFERROR(INDEX(Segmen!$A$3:$A$6000,MATCH(C718,Segmen!$D$3:$D$6000,0)),"")</f>
        <v/>
      </c>
      <c r="C718">
        <f>IFERROR(LARGE(Segmen!$D$3:$D$6000,A718),"")</f>
        <v/>
      </c>
    </row>
    <row r="719">
      <c r="A719" t="n">
        <v>718</v>
      </c>
      <c r="B719">
        <f>IFERROR(INDEX(Segmen!$A$3:$A$6000,MATCH(C719,Segmen!$D$3:$D$6000,0)),"")</f>
        <v/>
      </c>
      <c r="C719">
        <f>IFERROR(LARGE(Segmen!$D$3:$D$6000,A719),"")</f>
        <v/>
      </c>
    </row>
    <row r="720">
      <c r="A720" t="n">
        <v>719</v>
      </c>
      <c r="B720">
        <f>IFERROR(INDEX(Segmen!$A$3:$A$6000,MATCH(C720,Segmen!$D$3:$D$6000,0)),"")</f>
        <v/>
      </c>
      <c r="C720">
        <f>IFERROR(LARGE(Segmen!$D$3:$D$6000,A720),"")</f>
        <v/>
      </c>
    </row>
    <row r="721">
      <c r="A721" t="n">
        <v>720</v>
      </c>
      <c r="B721">
        <f>IFERROR(INDEX(Segmen!$A$3:$A$6000,MATCH(C721,Segmen!$D$3:$D$6000,0)),"")</f>
        <v/>
      </c>
      <c r="C721">
        <f>IFERROR(LARGE(Segmen!$D$3:$D$6000,A721),"")</f>
        <v/>
      </c>
    </row>
    <row r="722">
      <c r="A722" t="n">
        <v>721</v>
      </c>
      <c r="B722">
        <f>IFERROR(INDEX(Segmen!$A$3:$A$6000,MATCH(C722,Segmen!$D$3:$D$6000,0)),"")</f>
        <v/>
      </c>
      <c r="C722">
        <f>IFERROR(LARGE(Segmen!$D$3:$D$6000,A722),"")</f>
        <v/>
      </c>
    </row>
    <row r="723">
      <c r="A723" t="n">
        <v>722</v>
      </c>
      <c r="B723">
        <f>IFERROR(INDEX(Segmen!$A$3:$A$6000,MATCH(C723,Segmen!$D$3:$D$6000,0)),"")</f>
        <v/>
      </c>
      <c r="C723">
        <f>IFERROR(LARGE(Segmen!$D$3:$D$6000,A723),"")</f>
        <v/>
      </c>
    </row>
    <row r="724">
      <c r="A724" t="n">
        <v>723</v>
      </c>
      <c r="B724">
        <f>IFERROR(INDEX(Segmen!$A$3:$A$6000,MATCH(C724,Segmen!$D$3:$D$6000,0)),"")</f>
        <v/>
      </c>
      <c r="C724">
        <f>IFERROR(LARGE(Segmen!$D$3:$D$6000,A724),"")</f>
        <v/>
      </c>
    </row>
    <row r="725">
      <c r="A725" t="n">
        <v>724</v>
      </c>
      <c r="B725">
        <f>IFERROR(INDEX(Segmen!$A$3:$A$6000,MATCH(C725,Segmen!$D$3:$D$6000,0)),"")</f>
        <v/>
      </c>
      <c r="C725">
        <f>IFERROR(LARGE(Segmen!$D$3:$D$6000,A725),"")</f>
        <v/>
      </c>
    </row>
    <row r="726">
      <c r="A726" t="n">
        <v>725</v>
      </c>
      <c r="B726">
        <f>IFERROR(INDEX(Segmen!$A$3:$A$6000,MATCH(C726,Segmen!$D$3:$D$6000,0)),"")</f>
        <v/>
      </c>
      <c r="C726">
        <f>IFERROR(LARGE(Segmen!$D$3:$D$6000,A726),"")</f>
        <v/>
      </c>
    </row>
    <row r="727">
      <c r="A727" t="n">
        <v>726</v>
      </c>
      <c r="B727">
        <f>IFERROR(INDEX(Segmen!$A$3:$A$6000,MATCH(C727,Segmen!$D$3:$D$6000,0)),"")</f>
        <v/>
      </c>
      <c r="C727">
        <f>IFERROR(LARGE(Segmen!$D$3:$D$6000,A727),"")</f>
        <v/>
      </c>
    </row>
    <row r="728">
      <c r="A728" t="n">
        <v>727</v>
      </c>
      <c r="B728">
        <f>IFERROR(INDEX(Segmen!$A$3:$A$6000,MATCH(C728,Segmen!$D$3:$D$6000,0)),"")</f>
        <v/>
      </c>
      <c r="C728">
        <f>IFERROR(LARGE(Segmen!$D$3:$D$6000,A728),"")</f>
        <v/>
      </c>
    </row>
    <row r="729">
      <c r="A729" t="n">
        <v>728</v>
      </c>
      <c r="B729">
        <f>IFERROR(INDEX(Segmen!$A$3:$A$6000,MATCH(C729,Segmen!$D$3:$D$6000,0)),"")</f>
        <v/>
      </c>
      <c r="C729">
        <f>IFERROR(LARGE(Segmen!$D$3:$D$6000,A729),"")</f>
        <v/>
      </c>
    </row>
    <row r="730">
      <c r="A730" t="n">
        <v>729</v>
      </c>
      <c r="B730">
        <f>IFERROR(INDEX(Segmen!$A$3:$A$6000,MATCH(C730,Segmen!$D$3:$D$6000,0)),"")</f>
        <v/>
      </c>
      <c r="C730">
        <f>IFERROR(LARGE(Segmen!$D$3:$D$6000,A730),"")</f>
        <v/>
      </c>
    </row>
    <row r="731">
      <c r="A731" t="n">
        <v>730</v>
      </c>
      <c r="B731">
        <f>IFERROR(INDEX(Segmen!$A$3:$A$6000,MATCH(C731,Segmen!$D$3:$D$6000,0)),"")</f>
        <v/>
      </c>
      <c r="C731">
        <f>IFERROR(LARGE(Segmen!$D$3:$D$6000,A731),"")</f>
        <v/>
      </c>
    </row>
    <row r="732">
      <c r="A732" t="n">
        <v>731</v>
      </c>
      <c r="B732">
        <f>IFERROR(INDEX(Segmen!$A$3:$A$6000,MATCH(C732,Segmen!$D$3:$D$6000,0)),"")</f>
        <v/>
      </c>
      <c r="C732">
        <f>IFERROR(LARGE(Segmen!$D$3:$D$6000,A732),"")</f>
        <v/>
      </c>
    </row>
    <row r="733">
      <c r="A733" t="n">
        <v>732</v>
      </c>
      <c r="B733">
        <f>IFERROR(INDEX(Segmen!$A$3:$A$6000,MATCH(C733,Segmen!$D$3:$D$6000,0)),"")</f>
        <v/>
      </c>
      <c r="C733">
        <f>IFERROR(LARGE(Segmen!$D$3:$D$6000,A733),"")</f>
        <v/>
      </c>
    </row>
    <row r="734">
      <c r="A734" t="n">
        <v>733</v>
      </c>
      <c r="B734">
        <f>IFERROR(INDEX(Segmen!$A$3:$A$6000,MATCH(C734,Segmen!$D$3:$D$6000,0)),"")</f>
        <v/>
      </c>
      <c r="C734">
        <f>IFERROR(LARGE(Segmen!$D$3:$D$6000,A734),"")</f>
        <v/>
      </c>
    </row>
    <row r="735">
      <c r="A735" t="n">
        <v>734</v>
      </c>
      <c r="B735">
        <f>IFERROR(INDEX(Segmen!$A$3:$A$6000,MATCH(C735,Segmen!$D$3:$D$6000,0)),"")</f>
        <v/>
      </c>
      <c r="C735">
        <f>IFERROR(LARGE(Segmen!$D$3:$D$6000,A735),"")</f>
        <v/>
      </c>
    </row>
    <row r="736">
      <c r="A736" t="n">
        <v>735</v>
      </c>
      <c r="B736">
        <f>IFERROR(INDEX(Segmen!$A$3:$A$6000,MATCH(C736,Segmen!$D$3:$D$6000,0)),"")</f>
        <v/>
      </c>
      <c r="C736">
        <f>IFERROR(LARGE(Segmen!$D$3:$D$6000,A736),"")</f>
        <v/>
      </c>
    </row>
    <row r="737">
      <c r="A737" t="n">
        <v>736</v>
      </c>
      <c r="B737">
        <f>IFERROR(INDEX(Segmen!$A$3:$A$6000,MATCH(C737,Segmen!$D$3:$D$6000,0)),"")</f>
        <v/>
      </c>
      <c r="C737">
        <f>IFERROR(LARGE(Segmen!$D$3:$D$6000,A737),"")</f>
        <v/>
      </c>
    </row>
    <row r="738">
      <c r="A738" t="n">
        <v>737</v>
      </c>
      <c r="B738">
        <f>IFERROR(INDEX(Segmen!$A$3:$A$6000,MATCH(C738,Segmen!$D$3:$D$6000,0)),"")</f>
        <v/>
      </c>
      <c r="C738">
        <f>IFERROR(LARGE(Segmen!$D$3:$D$6000,A738),"")</f>
        <v/>
      </c>
    </row>
    <row r="739">
      <c r="A739" t="n">
        <v>738</v>
      </c>
      <c r="B739">
        <f>IFERROR(INDEX(Segmen!$A$3:$A$6000,MATCH(C739,Segmen!$D$3:$D$6000,0)),"")</f>
        <v/>
      </c>
      <c r="C739">
        <f>IFERROR(LARGE(Segmen!$D$3:$D$6000,A739),"")</f>
        <v/>
      </c>
    </row>
    <row r="740">
      <c r="A740" t="n">
        <v>739</v>
      </c>
      <c r="B740">
        <f>IFERROR(INDEX(Segmen!$A$3:$A$6000,MATCH(C740,Segmen!$D$3:$D$6000,0)),"")</f>
        <v/>
      </c>
      <c r="C740">
        <f>IFERROR(LARGE(Segmen!$D$3:$D$6000,A740),"")</f>
        <v/>
      </c>
    </row>
    <row r="741">
      <c r="A741" t="n">
        <v>740</v>
      </c>
      <c r="B741">
        <f>IFERROR(INDEX(Segmen!$A$3:$A$6000,MATCH(C741,Segmen!$D$3:$D$6000,0)),"")</f>
        <v/>
      </c>
      <c r="C741">
        <f>IFERROR(LARGE(Segmen!$D$3:$D$6000,A741),"")</f>
        <v/>
      </c>
    </row>
    <row r="742">
      <c r="A742" t="n">
        <v>741</v>
      </c>
      <c r="B742">
        <f>IFERROR(INDEX(Segmen!$A$3:$A$6000,MATCH(C742,Segmen!$D$3:$D$6000,0)),"")</f>
        <v/>
      </c>
      <c r="C742">
        <f>IFERROR(LARGE(Segmen!$D$3:$D$6000,A742),"")</f>
        <v/>
      </c>
    </row>
    <row r="743">
      <c r="A743" t="n">
        <v>742</v>
      </c>
      <c r="B743">
        <f>IFERROR(INDEX(Segmen!$A$3:$A$6000,MATCH(C743,Segmen!$D$3:$D$6000,0)),"")</f>
        <v/>
      </c>
      <c r="C743">
        <f>IFERROR(LARGE(Segmen!$D$3:$D$6000,A743),"")</f>
        <v/>
      </c>
    </row>
    <row r="744">
      <c r="A744" t="n">
        <v>743</v>
      </c>
      <c r="B744">
        <f>IFERROR(INDEX(Segmen!$A$3:$A$6000,MATCH(C744,Segmen!$D$3:$D$6000,0)),"")</f>
        <v/>
      </c>
      <c r="C744">
        <f>IFERROR(LARGE(Segmen!$D$3:$D$6000,A744),"")</f>
        <v/>
      </c>
    </row>
    <row r="745">
      <c r="A745" t="n">
        <v>744</v>
      </c>
      <c r="B745">
        <f>IFERROR(INDEX(Segmen!$A$3:$A$6000,MATCH(C745,Segmen!$D$3:$D$6000,0)),"")</f>
        <v/>
      </c>
      <c r="C745">
        <f>IFERROR(LARGE(Segmen!$D$3:$D$6000,A745),"")</f>
        <v/>
      </c>
    </row>
    <row r="746">
      <c r="A746" t="n">
        <v>745</v>
      </c>
      <c r="B746">
        <f>IFERROR(INDEX(Segmen!$A$3:$A$6000,MATCH(C746,Segmen!$D$3:$D$6000,0)),"")</f>
        <v/>
      </c>
      <c r="C746">
        <f>IFERROR(LARGE(Segmen!$D$3:$D$6000,A746),"")</f>
        <v/>
      </c>
    </row>
    <row r="747">
      <c r="A747" t="n">
        <v>746</v>
      </c>
      <c r="B747">
        <f>IFERROR(INDEX(Segmen!$A$3:$A$6000,MATCH(C747,Segmen!$D$3:$D$6000,0)),"")</f>
        <v/>
      </c>
      <c r="C747">
        <f>IFERROR(LARGE(Segmen!$D$3:$D$6000,A747),"")</f>
        <v/>
      </c>
    </row>
    <row r="748">
      <c r="A748" t="n">
        <v>747</v>
      </c>
      <c r="B748">
        <f>IFERROR(INDEX(Segmen!$A$3:$A$6000,MATCH(C748,Segmen!$D$3:$D$6000,0)),"")</f>
        <v/>
      </c>
      <c r="C748">
        <f>IFERROR(LARGE(Segmen!$D$3:$D$6000,A748),"")</f>
        <v/>
      </c>
    </row>
    <row r="749">
      <c r="A749" t="n">
        <v>748</v>
      </c>
      <c r="B749">
        <f>IFERROR(INDEX(Segmen!$A$3:$A$6000,MATCH(C749,Segmen!$D$3:$D$6000,0)),"")</f>
        <v/>
      </c>
      <c r="C749">
        <f>IFERROR(LARGE(Segmen!$D$3:$D$6000,A749),"")</f>
        <v/>
      </c>
    </row>
    <row r="750">
      <c r="A750" t="n">
        <v>749</v>
      </c>
      <c r="B750">
        <f>IFERROR(INDEX(Segmen!$A$3:$A$6000,MATCH(C750,Segmen!$D$3:$D$6000,0)),"")</f>
        <v/>
      </c>
      <c r="C750">
        <f>IFERROR(LARGE(Segmen!$D$3:$D$6000,A750),"")</f>
        <v/>
      </c>
    </row>
    <row r="751">
      <c r="A751" t="n">
        <v>750</v>
      </c>
      <c r="B751">
        <f>IFERROR(INDEX(Segmen!$A$3:$A$6000,MATCH(C751,Segmen!$D$3:$D$6000,0)),"")</f>
        <v/>
      </c>
      <c r="C751">
        <f>IFERROR(LARGE(Segmen!$D$3:$D$6000,A751),"")</f>
        <v/>
      </c>
    </row>
    <row r="752">
      <c r="A752" t="n">
        <v>751</v>
      </c>
      <c r="B752">
        <f>IFERROR(INDEX(Segmen!$A$3:$A$6000,MATCH(C752,Segmen!$D$3:$D$6000,0)),"")</f>
        <v/>
      </c>
      <c r="C752">
        <f>IFERROR(LARGE(Segmen!$D$3:$D$6000,A752),"")</f>
        <v/>
      </c>
    </row>
    <row r="753">
      <c r="A753" t="n">
        <v>752</v>
      </c>
      <c r="B753">
        <f>IFERROR(INDEX(Segmen!$A$3:$A$6000,MATCH(C753,Segmen!$D$3:$D$6000,0)),"")</f>
        <v/>
      </c>
      <c r="C753">
        <f>IFERROR(LARGE(Segmen!$D$3:$D$6000,A753),"")</f>
        <v/>
      </c>
    </row>
    <row r="754">
      <c r="A754" t="n">
        <v>753</v>
      </c>
      <c r="B754">
        <f>IFERROR(INDEX(Segmen!$A$3:$A$6000,MATCH(C754,Segmen!$D$3:$D$6000,0)),"")</f>
        <v/>
      </c>
      <c r="C754">
        <f>IFERROR(LARGE(Segmen!$D$3:$D$6000,A754),"")</f>
        <v/>
      </c>
    </row>
    <row r="755">
      <c r="A755" t="n">
        <v>754</v>
      </c>
      <c r="B755">
        <f>IFERROR(INDEX(Segmen!$A$3:$A$6000,MATCH(C755,Segmen!$D$3:$D$6000,0)),"")</f>
        <v/>
      </c>
      <c r="C755">
        <f>IFERROR(LARGE(Segmen!$D$3:$D$6000,A755),"")</f>
        <v/>
      </c>
    </row>
    <row r="756">
      <c r="A756" t="n">
        <v>755</v>
      </c>
      <c r="B756">
        <f>IFERROR(INDEX(Segmen!$A$3:$A$6000,MATCH(C756,Segmen!$D$3:$D$6000,0)),"")</f>
        <v/>
      </c>
      <c r="C756">
        <f>IFERROR(LARGE(Segmen!$D$3:$D$6000,A756),"")</f>
        <v/>
      </c>
    </row>
    <row r="757">
      <c r="A757" t="n">
        <v>756</v>
      </c>
      <c r="B757">
        <f>IFERROR(INDEX(Segmen!$A$3:$A$6000,MATCH(C757,Segmen!$D$3:$D$6000,0)),"")</f>
        <v/>
      </c>
      <c r="C757">
        <f>IFERROR(LARGE(Segmen!$D$3:$D$6000,A757),"")</f>
        <v/>
      </c>
    </row>
    <row r="758">
      <c r="A758" t="n">
        <v>757</v>
      </c>
      <c r="B758">
        <f>IFERROR(INDEX(Segmen!$A$3:$A$6000,MATCH(C758,Segmen!$D$3:$D$6000,0)),"")</f>
        <v/>
      </c>
      <c r="C758">
        <f>IFERROR(LARGE(Segmen!$D$3:$D$6000,A758),"")</f>
        <v/>
      </c>
    </row>
    <row r="759">
      <c r="A759" t="n">
        <v>758</v>
      </c>
      <c r="B759">
        <f>IFERROR(INDEX(Segmen!$A$3:$A$6000,MATCH(C759,Segmen!$D$3:$D$6000,0)),"")</f>
        <v/>
      </c>
      <c r="C759">
        <f>IFERROR(LARGE(Segmen!$D$3:$D$6000,A759),"")</f>
        <v/>
      </c>
    </row>
    <row r="760">
      <c r="A760" t="n">
        <v>759</v>
      </c>
      <c r="B760">
        <f>IFERROR(INDEX(Segmen!$A$3:$A$6000,MATCH(C760,Segmen!$D$3:$D$6000,0)),"")</f>
        <v/>
      </c>
      <c r="C760">
        <f>IFERROR(LARGE(Segmen!$D$3:$D$6000,A760),"")</f>
        <v/>
      </c>
    </row>
    <row r="761">
      <c r="A761" t="n">
        <v>760</v>
      </c>
      <c r="B761">
        <f>IFERROR(INDEX(Segmen!$A$3:$A$6000,MATCH(C761,Segmen!$D$3:$D$6000,0)),"")</f>
        <v/>
      </c>
      <c r="C761">
        <f>IFERROR(LARGE(Segmen!$D$3:$D$6000,A761),"")</f>
        <v/>
      </c>
    </row>
    <row r="762">
      <c r="A762" t="n">
        <v>761</v>
      </c>
      <c r="B762">
        <f>IFERROR(INDEX(Segmen!$A$3:$A$6000,MATCH(C762,Segmen!$D$3:$D$6000,0)),"")</f>
        <v/>
      </c>
      <c r="C762">
        <f>IFERROR(LARGE(Segmen!$D$3:$D$6000,A762),"")</f>
        <v/>
      </c>
    </row>
    <row r="763">
      <c r="A763" t="n">
        <v>762</v>
      </c>
      <c r="B763">
        <f>IFERROR(INDEX(Segmen!$A$3:$A$6000,MATCH(C763,Segmen!$D$3:$D$6000,0)),"")</f>
        <v/>
      </c>
      <c r="C763">
        <f>IFERROR(LARGE(Segmen!$D$3:$D$6000,A763),"")</f>
        <v/>
      </c>
    </row>
    <row r="764">
      <c r="A764" t="n">
        <v>763</v>
      </c>
      <c r="B764">
        <f>IFERROR(INDEX(Segmen!$A$3:$A$6000,MATCH(C764,Segmen!$D$3:$D$6000,0)),"")</f>
        <v/>
      </c>
      <c r="C764">
        <f>IFERROR(LARGE(Segmen!$D$3:$D$6000,A764),"")</f>
        <v/>
      </c>
    </row>
    <row r="765">
      <c r="A765" t="n">
        <v>764</v>
      </c>
      <c r="B765">
        <f>IFERROR(INDEX(Segmen!$A$3:$A$6000,MATCH(C765,Segmen!$D$3:$D$6000,0)),"")</f>
        <v/>
      </c>
      <c r="C765">
        <f>IFERROR(LARGE(Segmen!$D$3:$D$6000,A765),"")</f>
        <v/>
      </c>
    </row>
    <row r="766">
      <c r="A766" t="n">
        <v>765</v>
      </c>
      <c r="B766">
        <f>IFERROR(INDEX(Segmen!$A$3:$A$6000,MATCH(C766,Segmen!$D$3:$D$6000,0)),"")</f>
        <v/>
      </c>
      <c r="C766">
        <f>IFERROR(LARGE(Segmen!$D$3:$D$6000,A766),"")</f>
        <v/>
      </c>
    </row>
    <row r="767">
      <c r="A767" t="n">
        <v>766</v>
      </c>
      <c r="B767">
        <f>IFERROR(INDEX(Segmen!$A$3:$A$6000,MATCH(C767,Segmen!$D$3:$D$6000,0)),"")</f>
        <v/>
      </c>
      <c r="C767">
        <f>IFERROR(LARGE(Segmen!$D$3:$D$6000,A767),"")</f>
        <v/>
      </c>
    </row>
    <row r="768">
      <c r="A768" t="n">
        <v>767</v>
      </c>
      <c r="B768">
        <f>IFERROR(INDEX(Segmen!$A$3:$A$6000,MATCH(C768,Segmen!$D$3:$D$6000,0)),"")</f>
        <v/>
      </c>
      <c r="C768">
        <f>IFERROR(LARGE(Segmen!$D$3:$D$6000,A768),"")</f>
        <v/>
      </c>
    </row>
    <row r="769">
      <c r="A769" t="n">
        <v>768</v>
      </c>
      <c r="B769">
        <f>IFERROR(INDEX(Segmen!$A$3:$A$6000,MATCH(C769,Segmen!$D$3:$D$6000,0)),"")</f>
        <v/>
      </c>
      <c r="C769">
        <f>IFERROR(LARGE(Segmen!$D$3:$D$6000,A769),"")</f>
        <v/>
      </c>
    </row>
    <row r="770">
      <c r="A770" t="n">
        <v>769</v>
      </c>
      <c r="B770">
        <f>IFERROR(INDEX(Segmen!$A$3:$A$6000,MATCH(C770,Segmen!$D$3:$D$6000,0)),"")</f>
        <v/>
      </c>
      <c r="C770">
        <f>IFERROR(LARGE(Segmen!$D$3:$D$6000,A770),"")</f>
        <v/>
      </c>
    </row>
    <row r="771">
      <c r="A771" t="n">
        <v>770</v>
      </c>
      <c r="B771">
        <f>IFERROR(INDEX(Segmen!$A$3:$A$6000,MATCH(C771,Segmen!$D$3:$D$6000,0)),"")</f>
        <v/>
      </c>
      <c r="C771">
        <f>IFERROR(LARGE(Segmen!$D$3:$D$6000,A771),"")</f>
        <v/>
      </c>
    </row>
    <row r="772">
      <c r="A772" t="n">
        <v>771</v>
      </c>
      <c r="B772">
        <f>IFERROR(INDEX(Segmen!$A$3:$A$6000,MATCH(C772,Segmen!$D$3:$D$6000,0)),"")</f>
        <v/>
      </c>
      <c r="C772">
        <f>IFERROR(LARGE(Segmen!$D$3:$D$6000,A772),"")</f>
        <v/>
      </c>
    </row>
    <row r="773">
      <c r="A773" t="n">
        <v>772</v>
      </c>
      <c r="B773">
        <f>IFERROR(INDEX(Segmen!$A$3:$A$6000,MATCH(C773,Segmen!$D$3:$D$6000,0)),"")</f>
        <v/>
      </c>
      <c r="C773">
        <f>IFERROR(LARGE(Segmen!$D$3:$D$6000,A773),"")</f>
        <v/>
      </c>
    </row>
    <row r="774">
      <c r="A774" t="n">
        <v>773</v>
      </c>
      <c r="B774">
        <f>IFERROR(INDEX(Segmen!$A$3:$A$6000,MATCH(C774,Segmen!$D$3:$D$6000,0)),"")</f>
        <v/>
      </c>
      <c r="C774">
        <f>IFERROR(LARGE(Segmen!$D$3:$D$6000,A774),"")</f>
        <v/>
      </c>
    </row>
    <row r="775">
      <c r="A775" t="n">
        <v>774</v>
      </c>
      <c r="B775">
        <f>IFERROR(INDEX(Segmen!$A$3:$A$6000,MATCH(C775,Segmen!$D$3:$D$6000,0)),"")</f>
        <v/>
      </c>
      <c r="C775">
        <f>IFERROR(LARGE(Segmen!$D$3:$D$6000,A775),"")</f>
        <v/>
      </c>
    </row>
    <row r="776">
      <c r="A776" t="n">
        <v>775</v>
      </c>
      <c r="B776">
        <f>IFERROR(INDEX(Segmen!$A$3:$A$6000,MATCH(C776,Segmen!$D$3:$D$6000,0)),"")</f>
        <v/>
      </c>
      <c r="C776">
        <f>IFERROR(LARGE(Segmen!$D$3:$D$6000,A776),"")</f>
        <v/>
      </c>
    </row>
    <row r="777">
      <c r="A777" t="n">
        <v>776</v>
      </c>
      <c r="B777">
        <f>IFERROR(INDEX(Segmen!$A$3:$A$6000,MATCH(C777,Segmen!$D$3:$D$6000,0)),"")</f>
        <v/>
      </c>
      <c r="C777">
        <f>IFERROR(LARGE(Segmen!$D$3:$D$6000,A777),"")</f>
        <v/>
      </c>
    </row>
    <row r="778">
      <c r="A778" t="n">
        <v>777</v>
      </c>
      <c r="B778">
        <f>IFERROR(INDEX(Segmen!$A$3:$A$6000,MATCH(C778,Segmen!$D$3:$D$6000,0)),"")</f>
        <v/>
      </c>
      <c r="C778">
        <f>IFERROR(LARGE(Segmen!$D$3:$D$6000,A778),"")</f>
        <v/>
      </c>
    </row>
    <row r="779">
      <c r="A779" t="n">
        <v>778</v>
      </c>
      <c r="B779">
        <f>IFERROR(INDEX(Segmen!$A$3:$A$6000,MATCH(C779,Segmen!$D$3:$D$6000,0)),"")</f>
        <v/>
      </c>
      <c r="C779">
        <f>IFERROR(LARGE(Segmen!$D$3:$D$6000,A779),"")</f>
        <v/>
      </c>
    </row>
    <row r="780">
      <c r="A780" t="n">
        <v>779</v>
      </c>
      <c r="B780">
        <f>IFERROR(INDEX(Segmen!$A$3:$A$6000,MATCH(C780,Segmen!$D$3:$D$6000,0)),"")</f>
        <v/>
      </c>
      <c r="C780">
        <f>IFERROR(LARGE(Segmen!$D$3:$D$6000,A780),"")</f>
        <v/>
      </c>
    </row>
    <row r="781">
      <c r="A781" t="n">
        <v>780</v>
      </c>
      <c r="B781">
        <f>IFERROR(INDEX(Segmen!$A$3:$A$6000,MATCH(C781,Segmen!$D$3:$D$6000,0)),"")</f>
        <v/>
      </c>
      <c r="C781">
        <f>IFERROR(LARGE(Segmen!$D$3:$D$6000,A781),"")</f>
        <v/>
      </c>
    </row>
    <row r="782">
      <c r="A782" t="n">
        <v>781</v>
      </c>
      <c r="B782">
        <f>IFERROR(INDEX(Segmen!$A$3:$A$6000,MATCH(C782,Segmen!$D$3:$D$6000,0)),"")</f>
        <v/>
      </c>
      <c r="C782">
        <f>IFERROR(LARGE(Segmen!$D$3:$D$6000,A782),"")</f>
        <v/>
      </c>
    </row>
    <row r="783">
      <c r="A783" t="n">
        <v>782</v>
      </c>
      <c r="B783">
        <f>IFERROR(INDEX(Segmen!$A$3:$A$6000,MATCH(C783,Segmen!$D$3:$D$6000,0)),"")</f>
        <v/>
      </c>
      <c r="C783">
        <f>IFERROR(LARGE(Segmen!$D$3:$D$6000,A783),"")</f>
        <v/>
      </c>
    </row>
    <row r="784">
      <c r="A784" t="n">
        <v>783</v>
      </c>
      <c r="B784">
        <f>IFERROR(INDEX(Segmen!$A$3:$A$6000,MATCH(C784,Segmen!$D$3:$D$6000,0)),"")</f>
        <v/>
      </c>
      <c r="C784">
        <f>IFERROR(LARGE(Segmen!$D$3:$D$6000,A784),"")</f>
        <v/>
      </c>
    </row>
    <row r="785">
      <c r="A785" t="n">
        <v>784</v>
      </c>
      <c r="B785">
        <f>IFERROR(INDEX(Segmen!$A$3:$A$6000,MATCH(C785,Segmen!$D$3:$D$6000,0)),"")</f>
        <v/>
      </c>
      <c r="C785">
        <f>IFERROR(LARGE(Segmen!$D$3:$D$6000,A785),"")</f>
        <v/>
      </c>
    </row>
    <row r="786">
      <c r="A786" t="n">
        <v>785</v>
      </c>
      <c r="B786">
        <f>IFERROR(INDEX(Segmen!$A$3:$A$6000,MATCH(C786,Segmen!$D$3:$D$6000,0)),"")</f>
        <v/>
      </c>
      <c r="C786">
        <f>IFERROR(LARGE(Segmen!$D$3:$D$6000,A786),"")</f>
        <v/>
      </c>
    </row>
    <row r="787">
      <c r="A787" t="n">
        <v>786</v>
      </c>
      <c r="B787">
        <f>IFERROR(INDEX(Segmen!$A$3:$A$6000,MATCH(C787,Segmen!$D$3:$D$6000,0)),"")</f>
        <v/>
      </c>
      <c r="C787">
        <f>IFERROR(LARGE(Segmen!$D$3:$D$6000,A787),"")</f>
        <v/>
      </c>
    </row>
    <row r="788">
      <c r="A788" t="n">
        <v>787</v>
      </c>
      <c r="B788">
        <f>IFERROR(INDEX(Segmen!$A$3:$A$6000,MATCH(C788,Segmen!$D$3:$D$6000,0)),"")</f>
        <v/>
      </c>
      <c r="C788">
        <f>IFERROR(LARGE(Segmen!$D$3:$D$6000,A788),"")</f>
        <v/>
      </c>
    </row>
    <row r="789">
      <c r="A789" t="n">
        <v>788</v>
      </c>
      <c r="B789">
        <f>IFERROR(INDEX(Segmen!$A$3:$A$6000,MATCH(C789,Segmen!$D$3:$D$6000,0)),"")</f>
        <v/>
      </c>
      <c r="C789">
        <f>IFERROR(LARGE(Segmen!$D$3:$D$6000,A789),"")</f>
        <v/>
      </c>
    </row>
    <row r="790">
      <c r="A790" t="n">
        <v>789</v>
      </c>
      <c r="B790">
        <f>IFERROR(INDEX(Segmen!$A$3:$A$6000,MATCH(C790,Segmen!$D$3:$D$6000,0)),"")</f>
        <v/>
      </c>
      <c r="C790">
        <f>IFERROR(LARGE(Segmen!$D$3:$D$6000,A790),"")</f>
        <v/>
      </c>
    </row>
    <row r="791">
      <c r="A791" t="n">
        <v>790</v>
      </c>
      <c r="B791">
        <f>IFERROR(INDEX(Segmen!$A$3:$A$6000,MATCH(C791,Segmen!$D$3:$D$6000,0)),"")</f>
        <v/>
      </c>
      <c r="C791">
        <f>IFERROR(LARGE(Segmen!$D$3:$D$6000,A791),"")</f>
        <v/>
      </c>
    </row>
    <row r="792">
      <c r="A792" t="n">
        <v>791</v>
      </c>
      <c r="B792">
        <f>IFERROR(INDEX(Segmen!$A$3:$A$6000,MATCH(C792,Segmen!$D$3:$D$6000,0)),"")</f>
        <v/>
      </c>
      <c r="C792">
        <f>IFERROR(LARGE(Segmen!$D$3:$D$6000,A792),"")</f>
        <v/>
      </c>
    </row>
    <row r="793">
      <c r="A793" t="n">
        <v>792</v>
      </c>
      <c r="B793">
        <f>IFERROR(INDEX(Segmen!$A$3:$A$6000,MATCH(C793,Segmen!$D$3:$D$6000,0)),"")</f>
        <v/>
      </c>
      <c r="C793">
        <f>IFERROR(LARGE(Segmen!$D$3:$D$6000,A793),"")</f>
        <v/>
      </c>
    </row>
    <row r="794">
      <c r="A794" t="n">
        <v>793</v>
      </c>
      <c r="B794">
        <f>IFERROR(INDEX(Segmen!$A$3:$A$6000,MATCH(C794,Segmen!$D$3:$D$6000,0)),"")</f>
        <v/>
      </c>
      <c r="C794">
        <f>IFERROR(LARGE(Segmen!$D$3:$D$6000,A794),"")</f>
        <v/>
      </c>
    </row>
    <row r="795">
      <c r="A795" t="n">
        <v>794</v>
      </c>
      <c r="B795">
        <f>IFERROR(INDEX(Segmen!$A$3:$A$6000,MATCH(C795,Segmen!$D$3:$D$6000,0)),"")</f>
        <v/>
      </c>
      <c r="C795">
        <f>IFERROR(LARGE(Segmen!$D$3:$D$6000,A795),"")</f>
        <v/>
      </c>
    </row>
    <row r="796">
      <c r="A796" t="n">
        <v>795</v>
      </c>
      <c r="B796">
        <f>IFERROR(INDEX(Segmen!$A$3:$A$6000,MATCH(C796,Segmen!$D$3:$D$6000,0)),"")</f>
        <v/>
      </c>
      <c r="C796">
        <f>IFERROR(LARGE(Segmen!$D$3:$D$6000,A796),"")</f>
        <v/>
      </c>
    </row>
    <row r="797">
      <c r="A797" t="n">
        <v>796</v>
      </c>
      <c r="B797">
        <f>IFERROR(INDEX(Segmen!$A$3:$A$6000,MATCH(C797,Segmen!$D$3:$D$6000,0)),"")</f>
        <v/>
      </c>
      <c r="C797">
        <f>IFERROR(LARGE(Segmen!$D$3:$D$6000,A797),"")</f>
        <v/>
      </c>
    </row>
    <row r="798">
      <c r="A798" t="n">
        <v>797</v>
      </c>
      <c r="B798">
        <f>IFERROR(INDEX(Segmen!$A$3:$A$6000,MATCH(C798,Segmen!$D$3:$D$6000,0)),"")</f>
        <v/>
      </c>
      <c r="C798">
        <f>IFERROR(LARGE(Segmen!$D$3:$D$6000,A798),"")</f>
        <v/>
      </c>
    </row>
    <row r="799">
      <c r="A799" t="n">
        <v>798</v>
      </c>
      <c r="B799">
        <f>IFERROR(INDEX(Segmen!$A$3:$A$6000,MATCH(C799,Segmen!$D$3:$D$6000,0)),"")</f>
        <v/>
      </c>
      <c r="C799">
        <f>IFERROR(LARGE(Segmen!$D$3:$D$6000,A799),"")</f>
        <v/>
      </c>
    </row>
    <row r="800">
      <c r="A800" t="n">
        <v>799</v>
      </c>
      <c r="B800">
        <f>IFERROR(INDEX(Segmen!$A$3:$A$6000,MATCH(C800,Segmen!$D$3:$D$6000,0)),"")</f>
        <v/>
      </c>
      <c r="C800">
        <f>IFERROR(LARGE(Segmen!$D$3:$D$6000,A800),"")</f>
        <v/>
      </c>
    </row>
    <row r="801">
      <c r="A801" t="n">
        <v>800</v>
      </c>
      <c r="B801">
        <f>IFERROR(INDEX(Segmen!$A$3:$A$6000,MATCH(C801,Segmen!$D$3:$D$6000,0)),"")</f>
        <v/>
      </c>
      <c r="C801">
        <f>IFERROR(LARGE(Segmen!$D$3:$D$6000,A801),"")</f>
        <v/>
      </c>
    </row>
    <row r="802">
      <c r="A802" t="n">
        <v>801</v>
      </c>
      <c r="B802">
        <f>IFERROR(INDEX(Segmen!$A$3:$A$6000,MATCH(C802,Segmen!$D$3:$D$6000,0)),"")</f>
        <v/>
      </c>
      <c r="C802">
        <f>IFERROR(LARGE(Segmen!$D$3:$D$6000,A802),"")</f>
        <v/>
      </c>
    </row>
    <row r="803">
      <c r="A803" t="n">
        <v>802</v>
      </c>
      <c r="B803">
        <f>IFERROR(INDEX(Segmen!$A$3:$A$6000,MATCH(C803,Segmen!$D$3:$D$6000,0)),"")</f>
        <v/>
      </c>
      <c r="C803">
        <f>IFERROR(LARGE(Segmen!$D$3:$D$6000,A803),"")</f>
        <v/>
      </c>
    </row>
    <row r="804">
      <c r="A804" t="n">
        <v>803</v>
      </c>
      <c r="B804">
        <f>IFERROR(INDEX(Segmen!$A$3:$A$6000,MATCH(C804,Segmen!$D$3:$D$6000,0)),"")</f>
        <v/>
      </c>
      <c r="C804">
        <f>IFERROR(LARGE(Segmen!$D$3:$D$6000,A804),"")</f>
        <v/>
      </c>
    </row>
    <row r="805">
      <c r="A805" t="n">
        <v>804</v>
      </c>
      <c r="B805">
        <f>IFERROR(INDEX(Segmen!$A$3:$A$6000,MATCH(C805,Segmen!$D$3:$D$6000,0)),"")</f>
        <v/>
      </c>
      <c r="C805">
        <f>IFERROR(LARGE(Segmen!$D$3:$D$6000,A805),"")</f>
        <v/>
      </c>
    </row>
    <row r="806">
      <c r="A806" t="n">
        <v>805</v>
      </c>
      <c r="B806">
        <f>IFERROR(INDEX(Segmen!$A$3:$A$6000,MATCH(C806,Segmen!$D$3:$D$6000,0)),"")</f>
        <v/>
      </c>
      <c r="C806">
        <f>IFERROR(LARGE(Segmen!$D$3:$D$6000,A806),"")</f>
        <v/>
      </c>
    </row>
    <row r="807">
      <c r="A807" t="n">
        <v>806</v>
      </c>
      <c r="B807">
        <f>IFERROR(INDEX(Segmen!$A$3:$A$6000,MATCH(C807,Segmen!$D$3:$D$6000,0)),"")</f>
        <v/>
      </c>
      <c r="C807">
        <f>IFERROR(LARGE(Segmen!$D$3:$D$6000,A807),"")</f>
        <v/>
      </c>
    </row>
    <row r="808">
      <c r="A808" t="n">
        <v>807</v>
      </c>
      <c r="B808">
        <f>IFERROR(INDEX(Segmen!$A$3:$A$6000,MATCH(C808,Segmen!$D$3:$D$6000,0)),"")</f>
        <v/>
      </c>
      <c r="C808">
        <f>IFERROR(LARGE(Segmen!$D$3:$D$6000,A808),"")</f>
        <v/>
      </c>
    </row>
    <row r="809">
      <c r="A809" t="n">
        <v>808</v>
      </c>
      <c r="B809">
        <f>IFERROR(INDEX(Segmen!$A$3:$A$6000,MATCH(C809,Segmen!$D$3:$D$6000,0)),"")</f>
        <v/>
      </c>
      <c r="C809">
        <f>IFERROR(LARGE(Segmen!$D$3:$D$6000,A809),"")</f>
        <v/>
      </c>
    </row>
    <row r="810">
      <c r="A810" t="n">
        <v>809</v>
      </c>
      <c r="B810">
        <f>IFERROR(INDEX(Segmen!$A$3:$A$6000,MATCH(C810,Segmen!$D$3:$D$6000,0)),"")</f>
        <v/>
      </c>
      <c r="C810">
        <f>IFERROR(LARGE(Segmen!$D$3:$D$6000,A810),"")</f>
        <v/>
      </c>
    </row>
    <row r="811">
      <c r="A811" t="n">
        <v>810</v>
      </c>
      <c r="B811">
        <f>IFERROR(INDEX(Segmen!$A$3:$A$6000,MATCH(C811,Segmen!$D$3:$D$6000,0)),"")</f>
        <v/>
      </c>
      <c r="C811">
        <f>IFERROR(LARGE(Segmen!$D$3:$D$6000,A811),"")</f>
        <v/>
      </c>
    </row>
    <row r="812">
      <c r="A812" t="n">
        <v>811</v>
      </c>
      <c r="B812">
        <f>IFERROR(INDEX(Segmen!$A$3:$A$6000,MATCH(C812,Segmen!$D$3:$D$6000,0)),"")</f>
        <v/>
      </c>
      <c r="C812">
        <f>IFERROR(LARGE(Segmen!$D$3:$D$6000,A812),"")</f>
        <v/>
      </c>
    </row>
    <row r="813">
      <c r="A813" t="n">
        <v>812</v>
      </c>
      <c r="B813">
        <f>IFERROR(INDEX(Segmen!$A$3:$A$6000,MATCH(C813,Segmen!$D$3:$D$6000,0)),"")</f>
        <v/>
      </c>
      <c r="C813">
        <f>IFERROR(LARGE(Segmen!$D$3:$D$6000,A813),"")</f>
        <v/>
      </c>
    </row>
    <row r="814">
      <c r="A814" t="n">
        <v>813</v>
      </c>
      <c r="B814">
        <f>IFERROR(INDEX(Segmen!$A$3:$A$6000,MATCH(C814,Segmen!$D$3:$D$6000,0)),"")</f>
        <v/>
      </c>
      <c r="C814">
        <f>IFERROR(LARGE(Segmen!$D$3:$D$6000,A814),"")</f>
        <v/>
      </c>
    </row>
    <row r="815">
      <c r="A815" t="n">
        <v>814</v>
      </c>
      <c r="B815">
        <f>IFERROR(INDEX(Segmen!$A$3:$A$6000,MATCH(C815,Segmen!$D$3:$D$6000,0)),"")</f>
        <v/>
      </c>
      <c r="C815">
        <f>IFERROR(LARGE(Segmen!$D$3:$D$6000,A815),"")</f>
        <v/>
      </c>
    </row>
    <row r="816">
      <c r="A816" t="n">
        <v>815</v>
      </c>
      <c r="B816">
        <f>IFERROR(INDEX(Segmen!$A$3:$A$6000,MATCH(C816,Segmen!$D$3:$D$6000,0)),"")</f>
        <v/>
      </c>
      <c r="C816">
        <f>IFERROR(LARGE(Segmen!$D$3:$D$6000,A816),"")</f>
        <v/>
      </c>
    </row>
    <row r="817">
      <c r="A817" t="n">
        <v>816</v>
      </c>
      <c r="B817">
        <f>IFERROR(INDEX(Segmen!$A$3:$A$6000,MATCH(C817,Segmen!$D$3:$D$6000,0)),"")</f>
        <v/>
      </c>
      <c r="C817">
        <f>IFERROR(LARGE(Segmen!$D$3:$D$6000,A817),"")</f>
        <v/>
      </c>
    </row>
    <row r="818">
      <c r="A818" t="n">
        <v>817</v>
      </c>
      <c r="B818">
        <f>IFERROR(INDEX(Segmen!$A$3:$A$6000,MATCH(C818,Segmen!$D$3:$D$6000,0)),"")</f>
        <v/>
      </c>
      <c r="C818">
        <f>IFERROR(LARGE(Segmen!$D$3:$D$6000,A818),"")</f>
        <v/>
      </c>
    </row>
    <row r="819">
      <c r="A819" t="n">
        <v>818</v>
      </c>
      <c r="B819">
        <f>IFERROR(INDEX(Segmen!$A$3:$A$6000,MATCH(C819,Segmen!$D$3:$D$6000,0)),"")</f>
        <v/>
      </c>
      <c r="C819">
        <f>IFERROR(LARGE(Segmen!$D$3:$D$6000,A819),"")</f>
        <v/>
      </c>
    </row>
    <row r="820">
      <c r="A820" t="n">
        <v>819</v>
      </c>
      <c r="B820">
        <f>IFERROR(INDEX(Segmen!$A$3:$A$6000,MATCH(C820,Segmen!$D$3:$D$6000,0)),"")</f>
        <v/>
      </c>
      <c r="C820">
        <f>IFERROR(LARGE(Segmen!$D$3:$D$6000,A820),"")</f>
        <v/>
      </c>
    </row>
    <row r="821">
      <c r="A821" t="n">
        <v>820</v>
      </c>
      <c r="B821">
        <f>IFERROR(INDEX(Segmen!$A$3:$A$6000,MATCH(C821,Segmen!$D$3:$D$6000,0)),"")</f>
        <v/>
      </c>
      <c r="C821">
        <f>IFERROR(LARGE(Segmen!$D$3:$D$6000,A821),"")</f>
        <v/>
      </c>
    </row>
    <row r="822">
      <c r="A822" t="n">
        <v>821</v>
      </c>
      <c r="B822">
        <f>IFERROR(INDEX(Segmen!$A$3:$A$6000,MATCH(C822,Segmen!$D$3:$D$6000,0)),"")</f>
        <v/>
      </c>
      <c r="C822">
        <f>IFERROR(LARGE(Segmen!$D$3:$D$6000,A822),"")</f>
        <v/>
      </c>
    </row>
    <row r="823">
      <c r="A823" t="n">
        <v>822</v>
      </c>
      <c r="B823">
        <f>IFERROR(INDEX(Segmen!$A$3:$A$6000,MATCH(C823,Segmen!$D$3:$D$6000,0)),"")</f>
        <v/>
      </c>
      <c r="C823">
        <f>IFERROR(LARGE(Segmen!$D$3:$D$6000,A823),"")</f>
        <v/>
      </c>
    </row>
    <row r="824">
      <c r="A824" t="n">
        <v>823</v>
      </c>
      <c r="B824">
        <f>IFERROR(INDEX(Segmen!$A$3:$A$6000,MATCH(C824,Segmen!$D$3:$D$6000,0)),"")</f>
        <v/>
      </c>
      <c r="C824">
        <f>IFERROR(LARGE(Segmen!$D$3:$D$6000,A824),"")</f>
        <v/>
      </c>
    </row>
    <row r="825">
      <c r="A825" t="n">
        <v>824</v>
      </c>
      <c r="B825">
        <f>IFERROR(INDEX(Segmen!$A$3:$A$6000,MATCH(C825,Segmen!$D$3:$D$6000,0)),"")</f>
        <v/>
      </c>
      <c r="C825">
        <f>IFERROR(LARGE(Segmen!$D$3:$D$6000,A825),"")</f>
        <v/>
      </c>
    </row>
    <row r="826">
      <c r="A826" t="n">
        <v>825</v>
      </c>
      <c r="B826">
        <f>IFERROR(INDEX(Segmen!$A$3:$A$6000,MATCH(C826,Segmen!$D$3:$D$6000,0)),"")</f>
        <v/>
      </c>
      <c r="C826">
        <f>IFERROR(LARGE(Segmen!$D$3:$D$6000,A826),"")</f>
        <v/>
      </c>
    </row>
    <row r="827">
      <c r="A827" t="n">
        <v>826</v>
      </c>
      <c r="B827">
        <f>IFERROR(INDEX(Segmen!$A$3:$A$6000,MATCH(C827,Segmen!$D$3:$D$6000,0)),"")</f>
        <v/>
      </c>
      <c r="C827">
        <f>IFERROR(LARGE(Segmen!$D$3:$D$6000,A827),"")</f>
        <v/>
      </c>
    </row>
    <row r="828">
      <c r="A828" t="n">
        <v>827</v>
      </c>
      <c r="B828">
        <f>IFERROR(INDEX(Segmen!$A$3:$A$6000,MATCH(C828,Segmen!$D$3:$D$6000,0)),"")</f>
        <v/>
      </c>
      <c r="C828">
        <f>IFERROR(LARGE(Segmen!$D$3:$D$6000,A828),"")</f>
        <v/>
      </c>
    </row>
    <row r="829">
      <c r="A829" t="n">
        <v>828</v>
      </c>
      <c r="B829">
        <f>IFERROR(INDEX(Segmen!$A$3:$A$6000,MATCH(C829,Segmen!$D$3:$D$6000,0)),"")</f>
        <v/>
      </c>
      <c r="C829">
        <f>IFERROR(LARGE(Segmen!$D$3:$D$6000,A829),"")</f>
        <v/>
      </c>
    </row>
    <row r="830">
      <c r="A830" t="n">
        <v>829</v>
      </c>
      <c r="B830">
        <f>IFERROR(INDEX(Segmen!$A$3:$A$6000,MATCH(C830,Segmen!$D$3:$D$6000,0)),"")</f>
        <v/>
      </c>
      <c r="C830">
        <f>IFERROR(LARGE(Segmen!$D$3:$D$6000,A830),"")</f>
        <v/>
      </c>
    </row>
    <row r="831">
      <c r="A831" t="n">
        <v>830</v>
      </c>
      <c r="B831">
        <f>IFERROR(INDEX(Segmen!$A$3:$A$6000,MATCH(C831,Segmen!$D$3:$D$6000,0)),"")</f>
        <v/>
      </c>
      <c r="C831">
        <f>IFERROR(LARGE(Segmen!$D$3:$D$6000,A831),"")</f>
        <v/>
      </c>
    </row>
    <row r="832">
      <c r="A832" t="n">
        <v>831</v>
      </c>
      <c r="B832">
        <f>IFERROR(INDEX(Segmen!$A$3:$A$6000,MATCH(C832,Segmen!$D$3:$D$6000,0)),"")</f>
        <v/>
      </c>
      <c r="C832">
        <f>IFERROR(LARGE(Segmen!$D$3:$D$6000,A832),"")</f>
        <v/>
      </c>
    </row>
    <row r="833">
      <c r="A833" t="n">
        <v>832</v>
      </c>
      <c r="B833">
        <f>IFERROR(INDEX(Segmen!$A$3:$A$6000,MATCH(C833,Segmen!$D$3:$D$6000,0)),"")</f>
        <v/>
      </c>
      <c r="C833">
        <f>IFERROR(LARGE(Segmen!$D$3:$D$6000,A833),"")</f>
        <v/>
      </c>
    </row>
    <row r="834">
      <c r="A834" t="n">
        <v>833</v>
      </c>
      <c r="B834">
        <f>IFERROR(INDEX(Segmen!$A$3:$A$6000,MATCH(C834,Segmen!$D$3:$D$6000,0)),"")</f>
        <v/>
      </c>
      <c r="C834">
        <f>IFERROR(LARGE(Segmen!$D$3:$D$6000,A834),"")</f>
        <v/>
      </c>
    </row>
    <row r="835">
      <c r="A835" t="n">
        <v>834</v>
      </c>
      <c r="B835">
        <f>IFERROR(INDEX(Segmen!$A$3:$A$6000,MATCH(C835,Segmen!$D$3:$D$6000,0)),"")</f>
        <v/>
      </c>
      <c r="C835">
        <f>IFERROR(LARGE(Segmen!$D$3:$D$6000,A835),"")</f>
        <v/>
      </c>
    </row>
    <row r="836">
      <c r="A836" t="n">
        <v>835</v>
      </c>
      <c r="B836">
        <f>IFERROR(INDEX(Segmen!$A$3:$A$6000,MATCH(C836,Segmen!$D$3:$D$6000,0)),"")</f>
        <v/>
      </c>
      <c r="C836">
        <f>IFERROR(LARGE(Segmen!$D$3:$D$6000,A836),"")</f>
        <v/>
      </c>
    </row>
    <row r="837">
      <c r="A837" t="n">
        <v>836</v>
      </c>
      <c r="B837">
        <f>IFERROR(INDEX(Segmen!$A$3:$A$6000,MATCH(C837,Segmen!$D$3:$D$6000,0)),"")</f>
        <v/>
      </c>
      <c r="C837">
        <f>IFERROR(LARGE(Segmen!$D$3:$D$6000,A837),"")</f>
        <v/>
      </c>
    </row>
    <row r="838">
      <c r="A838" t="n">
        <v>837</v>
      </c>
      <c r="B838">
        <f>IFERROR(INDEX(Segmen!$A$3:$A$6000,MATCH(C838,Segmen!$D$3:$D$6000,0)),"")</f>
        <v/>
      </c>
      <c r="C838">
        <f>IFERROR(LARGE(Segmen!$D$3:$D$6000,A838),"")</f>
        <v/>
      </c>
    </row>
    <row r="839">
      <c r="A839" t="n">
        <v>838</v>
      </c>
      <c r="B839">
        <f>IFERROR(INDEX(Segmen!$A$3:$A$6000,MATCH(C839,Segmen!$D$3:$D$6000,0)),"")</f>
        <v/>
      </c>
      <c r="C839">
        <f>IFERROR(LARGE(Segmen!$D$3:$D$6000,A839),"")</f>
        <v/>
      </c>
    </row>
    <row r="840">
      <c r="A840" t="n">
        <v>839</v>
      </c>
      <c r="B840">
        <f>IFERROR(INDEX(Segmen!$A$3:$A$6000,MATCH(C840,Segmen!$D$3:$D$6000,0)),"")</f>
        <v/>
      </c>
      <c r="C840">
        <f>IFERROR(LARGE(Segmen!$D$3:$D$6000,A840),"")</f>
        <v/>
      </c>
    </row>
    <row r="841">
      <c r="A841" t="n">
        <v>840</v>
      </c>
      <c r="B841">
        <f>IFERROR(INDEX(Segmen!$A$3:$A$6000,MATCH(C841,Segmen!$D$3:$D$6000,0)),"")</f>
        <v/>
      </c>
      <c r="C841">
        <f>IFERROR(LARGE(Segmen!$D$3:$D$6000,A841),"")</f>
        <v/>
      </c>
    </row>
    <row r="842">
      <c r="A842" t="n">
        <v>841</v>
      </c>
      <c r="B842">
        <f>IFERROR(INDEX(Segmen!$A$3:$A$6000,MATCH(C842,Segmen!$D$3:$D$6000,0)),"")</f>
        <v/>
      </c>
      <c r="C842">
        <f>IFERROR(LARGE(Segmen!$D$3:$D$6000,A842),"")</f>
        <v/>
      </c>
    </row>
    <row r="843">
      <c r="A843" t="n">
        <v>842</v>
      </c>
      <c r="B843">
        <f>IFERROR(INDEX(Segmen!$A$3:$A$6000,MATCH(C843,Segmen!$D$3:$D$6000,0)),"")</f>
        <v/>
      </c>
      <c r="C843">
        <f>IFERROR(LARGE(Segmen!$D$3:$D$6000,A843),"")</f>
        <v/>
      </c>
    </row>
    <row r="844">
      <c r="A844" t="n">
        <v>843</v>
      </c>
      <c r="B844">
        <f>IFERROR(INDEX(Segmen!$A$3:$A$6000,MATCH(C844,Segmen!$D$3:$D$6000,0)),"")</f>
        <v/>
      </c>
      <c r="C844">
        <f>IFERROR(LARGE(Segmen!$D$3:$D$6000,A844),"")</f>
        <v/>
      </c>
    </row>
    <row r="845">
      <c r="A845" t="n">
        <v>844</v>
      </c>
      <c r="B845">
        <f>IFERROR(INDEX(Segmen!$A$3:$A$6000,MATCH(C845,Segmen!$D$3:$D$6000,0)),"")</f>
        <v/>
      </c>
      <c r="C845">
        <f>IFERROR(LARGE(Segmen!$D$3:$D$6000,A845),"")</f>
        <v/>
      </c>
    </row>
    <row r="846">
      <c r="A846" t="n">
        <v>845</v>
      </c>
      <c r="B846">
        <f>IFERROR(INDEX(Segmen!$A$3:$A$6000,MATCH(C846,Segmen!$D$3:$D$6000,0)),"")</f>
        <v/>
      </c>
      <c r="C846">
        <f>IFERROR(LARGE(Segmen!$D$3:$D$6000,A846),"")</f>
        <v/>
      </c>
    </row>
    <row r="847">
      <c r="A847" t="n">
        <v>846</v>
      </c>
      <c r="B847">
        <f>IFERROR(INDEX(Segmen!$A$3:$A$6000,MATCH(C847,Segmen!$D$3:$D$6000,0)),"")</f>
        <v/>
      </c>
      <c r="C847">
        <f>IFERROR(LARGE(Segmen!$D$3:$D$6000,A847),"")</f>
        <v/>
      </c>
    </row>
    <row r="848">
      <c r="A848" t="n">
        <v>847</v>
      </c>
      <c r="B848">
        <f>IFERROR(INDEX(Segmen!$A$3:$A$6000,MATCH(C848,Segmen!$D$3:$D$6000,0)),"")</f>
        <v/>
      </c>
      <c r="C848">
        <f>IFERROR(LARGE(Segmen!$D$3:$D$6000,A848),"")</f>
        <v/>
      </c>
    </row>
    <row r="849">
      <c r="A849" t="n">
        <v>848</v>
      </c>
      <c r="B849">
        <f>IFERROR(INDEX(Segmen!$A$3:$A$6000,MATCH(C849,Segmen!$D$3:$D$6000,0)),"")</f>
        <v/>
      </c>
      <c r="C849">
        <f>IFERROR(LARGE(Segmen!$D$3:$D$6000,A849),"")</f>
        <v/>
      </c>
    </row>
    <row r="850">
      <c r="A850" t="n">
        <v>849</v>
      </c>
      <c r="B850">
        <f>IFERROR(INDEX(Segmen!$A$3:$A$6000,MATCH(C850,Segmen!$D$3:$D$6000,0)),"")</f>
        <v/>
      </c>
      <c r="C850">
        <f>IFERROR(LARGE(Segmen!$D$3:$D$6000,A850),"")</f>
        <v/>
      </c>
    </row>
    <row r="851">
      <c r="A851" t="n">
        <v>850</v>
      </c>
      <c r="B851">
        <f>IFERROR(INDEX(Segmen!$A$3:$A$6000,MATCH(C851,Segmen!$D$3:$D$6000,0)),"")</f>
        <v/>
      </c>
      <c r="C851">
        <f>IFERROR(LARGE(Segmen!$D$3:$D$6000,A851),"")</f>
        <v/>
      </c>
    </row>
    <row r="852">
      <c r="A852" t="n">
        <v>851</v>
      </c>
      <c r="B852">
        <f>IFERROR(INDEX(Segmen!$A$3:$A$6000,MATCH(C852,Segmen!$D$3:$D$6000,0)),"")</f>
        <v/>
      </c>
      <c r="C852">
        <f>IFERROR(LARGE(Segmen!$D$3:$D$6000,A852),"")</f>
        <v/>
      </c>
    </row>
    <row r="853">
      <c r="A853" t="n">
        <v>852</v>
      </c>
      <c r="B853">
        <f>IFERROR(INDEX(Segmen!$A$3:$A$6000,MATCH(C853,Segmen!$D$3:$D$6000,0)),"")</f>
        <v/>
      </c>
      <c r="C853">
        <f>IFERROR(LARGE(Segmen!$D$3:$D$6000,A853),"")</f>
        <v/>
      </c>
    </row>
    <row r="854">
      <c r="A854" t="n">
        <v>853</v>
      </c>
      <c r="B854">
        <f>IFERROR(INDEX(Segmen!$A$3:$A$6000,MATCH(C854,Segmen!$D$3:$D$6000,0)),"")</f>
        <v/>
      </c>
      <c r="C854">
        <f>IFERROR(LARGE(Segmen!$D$3:$D$6000,A854),"")</f>
        <v/>
      </c>
    </row>
    <row r="855">
      <c r="A855" t="n">
        <v>854</v>
      </c>
      <c r="B855">
        <f>IFERROR(INDEX(Segmen!$A$3:$A$6000,MATCH(C855,Segmen!$D$3:$D$6000,0)),"")</f>
        <v/>
      </c>
      <c r="C855">
        <f>IFERROR(LARGE(Segmen!$D$3:$D$6000,A855),"")</f>
        <v/>
      </c>
    </row>
    <row r="856">
      <c r="A856" t="n">
        <v>855</v>
      </c>
      <c r="B856">
        <f>IFERROR(INDEX(Segmen!$A$3:$A$6000,MATCH(C856,Segmen!$D$3:$D$6000,0)),"")</f>
        <v/>
      </c>
      <c r="C856">
        <f>IFERROR(LARGE(Segmen!$D$3:$D$6000,A856),"")</f>
        <v/>
      </c>
    </row>
    <row r="857">
      <c r="A857" t="n">
        <v>856</v>
      </c>
      <c r="B857">
        <f>IFERROR(INDEX(Segmen!$A$3:$A$6000,MATCH(C857,Segmen!$D$3:$D$6000,0)),"")</f>
        <v/>
      </c>
      <c r="C857">
        <f>IFERROR(LARGE(Segmen!$D$3:$D$6000,A857),"")</f>
        <v/>
      </c>
    </row>
    <row r="858">
      <c r="A858" t="n">
        <v>857</v>
      </c>
      <c r="B858">
        <f>IFERROR(INDEX(Segmen!$A$3:$A$6000,MATCH(C858,Segmen!$D$3:$D$6000,0)),"")</f>
        <v/>
      </c>
      <c r="C858">
        <f>IFERROR(LARGE(Segmen!$D$3:$D$6000,A858),"")</f>
        <v/>
      </c>
    </row>
    <row r="859">
      <c r="A859" t="n">
        <v>858</v>
      </c>
      <c r="B859">
        <f>IFERROR(INDEX(Segmen!$A$3:$A$6000,MATCH(C859,Segmen!$D$3:$D$6000,0)),"")</f>
        <v/>
      </c>
      <c r="C859">
        <f>IFERROR(LARGE(Segmen!$D$3:$D$6000,A859),"")</f>
        <v/>
      </c>
    </row>
    <row r="860">
      <c r="A860" t="n">
        <v>859</v>
      </c>
      <c r="B860">
        <f>IFERROR(INDEX(Segmen!$A$3:$A$6000,MATCH(C860,Segmen!$D$3:$D$6000,0)),"")</f>
        <v/>
      </c>
      <c r="C860">
        <f>IFERROR(LARGE(Segmen!$D$3:$D$6000,A860),"")</f>
        <v/>
      </c>
    </row>
    <row r="861">
      <c r="A861" t="n">
        <v>860</v>
      </c>
      <c r="B861">
        <f>IFERROR(INDEX(Segmen!$A$3:$A$6000,MATCH(C861,Segmen!$D$3:$D$6000,0)),"")</f>
        <v/>
      </c>
      <c r="C861">
        <f>IFERROR(LARGE(Segmen!$D$3:$D$6000,A861),"")</f>
        <v/>
      </c>
    </row>
    <row r="862">
      <c r="A862" t="n">
        <v>861</v>
      </c>
      <c r="B862">
        <f>IFERROR(INDEX(Segmen!$A$3:$A$6000,MATCH(C862,Segmen!$D$3:$D$6000,0)),"")</f>
        <v/>
      </c>
      <c r="C862">
        <f>IFERROR(LARGE(Segmen!$D$3:$D$6000,A862),"")</f>
        <v/>
      </c>
    </row>
    <row r="863">
      <c r="A863" t="n">
        <v>862</v>
      </c>
      <c r="B863">
        <f>IFERROR(INDEX(Segmen!$A$3:$A$6000,MATCH(C863,Segmen!$D$3:$D$6000,0)),"")</f>
        <v/>
      </c>
      <c r="C863">
        <f>IFERROR(LARGE(Segmen!$D$3:$D$6000,A863),"")</f>
        <v/>
      </c>
    </row>
    <row r="864">
      <c r="A864" t="n">
        <v>863</v>
      </c>
      <c r="B864">
        <f>IFERROR(INDEX(Segmen!$A$3:$A$6000,MATCH(C864,Segmen!$D$3:$D$6000,0)),"")</f>
        <v/>
      </c>
      <c r="C864">
        <f>IFERROR(LARGE(Segmen!$D$3:$D$6000,A864),"")</f>
        <v/>
      </c>
    </row>
    <row r="865">
      <c r="A865" t="n">
        <v>864</v>
      </c>
      <c r="B865">
        <f>IFERROR(INDEX(Segmen!$A$3:$A$6000,MATCH(C865,Segmen!$D$3:$D$6000,0)),"")</f>
        <v/>
      </c>
      <c r="C865">
        <f>IFERROR(LARGE(Segmen!$D$3:$D$6000,A865),"")</f>
        <v/>
      </c>
    </row>
    <row r="866">
      <c r="A866" t="n">
        <v>865</v>
      </c>
      <c r="B866">
        <f>IFERROR(INDEX(Segmen!$A$3:$A$6000,MATCH(C866,Segmen!$D$3:$D$6000,0)),"")</f>
        <v/>
      </c>
      <c r="C866">
        <f>IFERROR(LARGE(Segmen!$D$3:$D$6000,A866),"")</f>
        <v/>
      </c>
    </row>
    <row r="867">
      <c r="A867" t="n">
        <v>866</v>
      </c>
      <c r="B867">
        <f>IFERROR(INDEX(Segmen!$A$3:$A$6000,MATCH(C867,Segmen!$D$3:$D$6000,0)),"")</f>
        <v/>
      </c>
      <c r="C867">
        <f>IFERROR(LARGE(Segmen!$D$3:$D$6000,A867),"")</f>
        <v/>
      </c>
    </row>
    <row r="868">
      <c r="A868" t="n">
        <v>867</v>
      </c>
      <c r="B868">
        <f>IFERROR(INDEX(Segmen!$A$3:$A$6000,MATCH(C868,Segmen!$D$3:$D$6000,0)),"")</f>
        <v/>
      </c>
      <c r="C868">
        <f>IFERROR(LARGE(Segmen!$D$3:$D$6000,A868),"")</f>
        <v/>
      </c>
    </row>
    <row r="869">
      <c r="A869" t="n">
        <v>868</v>
      </c>
      <c r="B869">
        <f>IFERROR(INDEX(Segmen!$A$3:$A$6000,MATCH(C869,Segmen!$D$3:$D$6000,0)),"")</f>
        <v/>
      </c>
      <c r="C869">
        <f>IFERROR(LARGE(Segmen!$D$3:$D$6000,A869),"")</f>
        <v/>
      </c>
    </row>
    <row r="870">
      <c r="A870" t="n">
        <v>869</v>
      </c>
      <c r="B870">
        <f>IFERROR(INDEX(Segmen!$A$3:$A$6000,MATCH(C870,Segmen!$D$3:$D$6000,0)),"")</f>
        <v/>
      </c>
      <c r="C870">
        <f>IFERROR(LARGE(Segmen!$D$3:$D$6000,A870),"")</f>
        <v/>
      </c>
    </row>
    <row r="871">
      <c r="A871" t="n">
        <v>870</v>
      </c>
      <c r="B871">
        <f>IFERROR(INDEX(Segmen!$A$3:$A$6000,MATCH(C871,Segmen!$D$3:$D$6000,0)),"")</f>
        <v/>
      </c>
      <c r="C871">
        <f>IFERROR(LARGE(Segmen!$D$3:$D$6000,A871),"")</f>
        <v/>
      </c>
    </row>
    <row r="872">
      <c r="A872" t="n">
        <v>871</v>
      </c>
      <c r="B872">
        <f>IFERROR(INDEX(Segmen!$A$3:$A$6000,MATCH(C872,Segmen!$D$3:$D$6000,0)),"")</f>
        <v/>
      </c>
      <c r="C872">
        <f>IFERROR(LARGE(Segmen!$D$3:$D$6000,A872),"")</f>
        <v/>
      </c>
    </row>
    <row r="873">
      <c r="A873" t="n">
        <v>872</v>
      </c>
      <c r="B873">
        <f>IFERROR(INDEX(Segmen!$A$3:$A$6000,MATCH(C873,Segmen!$D$3:$D$6000,0)),"")</f>
        <v/>
      </c>
      <c r="C873">
        <f>IFERROR(LARGE(Segmen!$D$3:$D$6000,A873),"")</f>
        <v/>
      </c>
    </row>
    <row r="874">
      <c r="A874" t="n">
        <v>873</v>
      </c>
      <c r="B874">
        <f>IFERROR(INDEX(Segmen!$A$3:$A$6000,MATCH(C874,Segmen!$D$3:$D$6000,0)),"")</f>
        <v/>
      </c>
      <c r="C874">
        <f>IFERROR(LARGE(Segmen!$D$3:$D$6000,A874),"")</f>
        <v/>
      </c>
    </row>
    <row r="875">
      <c r="A875" t="n">
        <v>874</v>
      </c>
      <c r="B875">
        <f>IFERROR(INDEX(Segmen!$A$3:$A$6000,MATCH(C875,Segmen!$D$3:$D$6000,0)),"")</f>
        <v/>
      </c>
      <c r="C875">
        <f>IFERROR(LARGE(Segmen!$D$3:$D$6000,A875),"")</f>
        <v/>
      </c>
    </row>
    <row r="876">
      <c r="A876" t="n">
        <v>875</v>
      </c>
      <c r="B876">
        <f>IFERROR(INDEX(Segmen!$A$3:$A$6000,MATCH(C876,Segmen!$D$3:$D$6000,0)),"")</f>
        <v/>
      </c>
      <c r="C876">
        <f>IFERROR(LARGE(Segmen!$D$3:$D$6000,A876),"")</f>
        <v/>
      </c>
    </row>
    <row r="877">
      <c r="A877" t="n">
        <v>876</v>
      </c>
      <c r="B877">
        <f>IFERROR(INDEX(Segmen!$A$3:$A$6000,MATCH(C877,Segmen!$D$3:$D$6000,0)),"")</f>
        <v/>
      </c>
      <c r="C877">
        <f>IFERROR(LARGE(Segmen!$D$3:$D$6000,A877),"")</f>
        <v/>
      </c>
    </row>
    <row r="878">
      <c r="A878" t="n">
        <v>877</v>
      </c>
      <c r="B878">
        <f>IFERROR(INDEX(Segmen!$A$3:$A$6000,MATCH(C878,Segmen!$D$3:$D$6000,0)),"")</f>
        <v/>
      </c>
      <c r="C878">
        <f>IFERROR(LARGE(Segmen!$D$3:$D$6000,A878),"")</f>
        <v/>
      </c>
    </row>
    <row r="879">
      <c r="A879" t="n">
        <v>878</v>
      </c>
      <c r="B879">
        <f>IFERROR(INDEX(Segmen!$A$3:$A$6000,MATCH(C879,Segmen!$D$3:$D$6000,0)),"")</f>
        <v/>
      </c>
      <c r="C879">
        <f>IFERROR(LARGE(Segmen!$D$3:$D$6000,A879),"")</f>
        <v/>
      </c>
    </row>
    <row r="880">
      <c r="A880" t="n">
        <v>879</v>
      </c>
      <c r="B880">
        <f>IFERROR(INDEX(Segmen!$A$3:$A$6000,MATCH(C880,Segmen!$D$3:$D$6000,0)),"")</f>
        <v/>
      </c>
      <c r="C880">
        <f>IFERROR(LARGE(Segmen!$D$3:$D$6000,A880),"")</f>
        <v/>
      </c>
    </row>
    <row r="881">
      <c r="A881" t="n">
        <v>880</v>
      </c>
      <c r="B881">
        <f>IFERROR(INDEX(Segmen!$A$3:$A$6000,MATCH(C881,Segmen!$D$3:$D$6000,0)),"")</f>
        <v/>
      </c>
      <c r="C881">
        <f>IFERROR(LARGE(Segmen!$D$3:$D$6000,A881),"")</f>
        <v/>
      </c>
    </row>
    <row r="882">
      <c r="A882" t="n">
        <v>881</v>
      </c>
      <c r="B882">
        <f>IFERROR(INDEX(Segmen!$A$3:$A$6000,MATCH(C882,Segmen!$D$3:$D$6000,0)),"")</f>
        <v/>
      </c>
      <c r="C882">
        <f>IFERROR(LARGE(Segmen!$D$3:$D$6000,A882),"")</f>
        <v/>
      </c>
    </row>
    <row r="883">
      <c r="A883" t="n">
        <v>882</v>
      </c>
      <c r="B883">
        <f>IFERROR(INDEX(Segmen!$A$3:$A$6000,MATCH(C883,Segmen!$D$3:$D$6000,0)),"")</f>
        <v/>
      </c>
      <c r="C883">
        <f>IFERROR(LARGE(Segmen!$D$3:$D$6000,A883),"")</f>
        <v/>
      </c>
    </row>
    <row r="884">
      <c r="A884" t="n">
        <v>883</v>
      </c>
      <c r="B884">
        <f>IFERROR(INDEX(Segmen!$A$3:$A$6000,MATCH(C884,Segmen!$D$3:$D$6000,0)),"")</f>
        <v/>
      </c>
      <c r="C884">
        <f>IFERROR(LARGE(Segmen!$D$3:$D$6000,A884),"")</f>
        <v/>
      </c>
    </row>
    <row r="885">
      <c r="A885" t="n">
        <v>884</v>
      </c>
      <c r="B885">
        <f>IFERROR(INDEX(Segmen!$A$3:$A$6000,MATCH(C885,Segmen!$D$3:$D$6000,0)),"")</f>
        <v/>
      </c>
      <c r="C885">
        <f>IFERROR(LARGE(Segmen!$D$3:$D$6000,A885),"")</f>
        <v/>
      </c>
    </row>
    <row r="886">
      <c r="A886" t="n">
        <v>885</v>
      </c>
      <c r="B886">
        <f>IFERROR(INDEX(Segmen!$A$3:$A$6000,MATCH(C886,Segmen!$D$3:$D$6000,0)),"")</f>
        <v/>
      </c>
      <c r="C886">
        <f>IFERROR(LARGE(Segmen!$D$3:$D$6000,A886),"")</f>
        <v/>
      </c>
    </row>
    <row r="887">
      <c r="A887" t="n">
        <v>886</v>
      </c>
      <c r="B887">
        <f>IFERROR(INDEX(Segmen!$A$3:$A$6000,MATCH(C887,Segmen!$D$3:$D$6000,0)),"")</f>
        <v/>
      </c>
      <c r="C887">
        <f>IFERROR(LARGE(Segmen!$D$3:$D$6000,A887),"")</f>
        <v/>
      </c>
    </row>
    <row r="888">
      <c r="A888" t="n">
        <v>887</v>
      </c>
      <c r="B888">
        <f>IFERROR(INDEX(Segmen!$A$3:$A$6000,MATCH(C888,Segmen!$D$3:$D$6000,0)),"")</f>
        <v/>
      </c>
      <c r="C888">
        <f>IFERROR(LARGE(Segmen!$D$3:$D$6000,A888),"")</f>
        <v/>
      </c>
    </row>
    <row r="889">
      <c r="A889" t="n">
        <v>888</v>
      </c>
      <c r="B889">
        <f>IFERROR(INDEX(Segmen!$A$3:$A$6000,MATCH(C889,Segmen!$D$3:$D$6000,0)),"")</f>
        <v/>
      </c>
      <c r="C889">
        <f>IFERROR(LARGE(Segmen!$D$3:$D$6000,A889),"")</f>
        <v/>
      </c>
    </row>
    <row r="890">
      <c r="A890" t="n">
        <v>889</v>
      </c>
      <c r="B890">
        <f>IFERROR(INDEX(Segmen!$A$3:$A$6000,MATCH(C890,Segmen!$D$3:$D$6000,0)),"")</f>
        <v/>
      </c>
      <c r="C890">
        <f>IFERROR(LARGE(Segmen!$D$3:$D$6000,A890),"")</f>
        <v/>
      </c>
    </row>
    <row r="891">
      <c r="A891" t="n">
        <v>890</v>
      </c>
      <c r="B891">
        <f>IFERROR(INDEX(Segmen!$A$3:$A$6000,MATCH(C891,Segmen!$D$3:$D$6000,0)),"")</f>
        <v/>
      </c>
      <c r="C891">
        <f>IFERROR(LARGE(Segmen!$D$3:$D$6000,A891),"")</f>
        <v/>
      </c>
    </row>
    <row r="892">
      <c r="A892" t="n">
        <v>891</v>
      </c>
      <c r="B892">
        <f>IFERROR(INDEX(Segmen!$A$3:$A$6000,MATCH(C892,Segmen!$D$3:$D$6000,0)),"")</f>
        <v/>
      </c>
      <c r="C892">
        <f>IFERROR(LARGE(Segmen!$D$3:$D$6000,A892),"")</f>
        <v/>
      </c>
    </row>
    <row r="893">
      <c r="A893" t="n">
        <v>892</v>
      </c>
      <c r="B893">
        <f>IFERROR(INDEX(Segmen!$A$3:$A$6000,MATCH(C893,Segmen!$D$3:$D$6000,0)),"")</f>
        <v/>
      </c>
      <c r="C893">
        <f>IFERROR(LARGE(Segmen!$D$3:$D$6000,A893),"")</f>
        <v/>
      </c>
    </row>
    <row r="894">
      <c r="A894" t="n">
        <v>893</v>
      </c>
      <c r="B894">
        <f>IFERROR(INDEX(Segmen!$A$3:$A$6000,MATCH(C894,Segmen!$D$3:$D$6000,0)),"")</f>
        <v/>
      </c>
      <c r="C894">
        <f>IFERROR(LARGE(Segmen!$D$3:$D$6000,A894),"")</f>
        <v/>
      </c>
    </row>
    <row r="895">
      <c r="A895" t="n">
        <v>894</v>
      </c>
      <c r="B895">
        <f>IFERROR(INDEX(Segmen!$A$3:$A$6000,MATCH(C895,Segmen!$D$3:$D$6000,0)),"")</f>
        <v/>
      </c>
      <c r="C895">
        <f>IFERROR(LARGE(Segmen!$D$3:$D$6000,A895),"")</f>
        <v/>
      </c>
    </row>
    <row r="896">
      <c r="A896" t="n">
        <v>895</v>
      </c>
      <c r="B896">
        <f>IFERROR(INDEX(Segmen!$A$3:$A$6000,MATCH(C896,Segmen!$D$3:$D$6000,0)),"")</f>
        <v/>
      </c>
      <c r="C896">
        <f>IFERROR(LARGE(Segmen!$D$3:$D$6000,A896),"")</f>
        <v/>
      </c>
    </row>
    <row r="897">
      <c r="A897" t="n">
        <v>896</v>
      </c>
      <c r="B897">
        <f>IFERROR(INDEX(Segmen!$A$3:$A$6000,MATCH(C897,Segmen!$D$3:$D$6000,0)),"")</f>
        <v/>
      </c>
      <c r="C897">
        <f>IFERROR(LARGE(Segmen!$D$3:$D$6000,A897),"")</f>
        <v/>
      </c>
    </row>
    <row r="898">
      <c r="A898" t="n">
        <v>897</v>
      </c>
      <c r="B898">
        <f>IFERROR(INDEX(Segmen!$A$3:$A$6000,MATCH(C898,Segmen!$D$3:$D$6000,0)),"")</f>
        <v/>
      </c>
      <c r="C898">
        <f>IFERROR(LARGE(Segmen!$D$3:$D$6000,A898),"")</f>
        <v/>
      </c>
    </row>
    <row r="899">
      <c r="A899" t="n">
        <v>898</v>
      </c>
      <c r="B899">
        <f>IFERROR(INDEX(Segmen!$A$3:$A$6000,MATCH(C899,Segmen!$D$3:$D$6000,0)),"")</f>
        <v/>
      </c>
      <c r="C899">
        <f>IFERROR(LARGE(Segmen!$D$3:$D$6000,A899),"")</f>
        <v/>
      </c>
    </row>
    <row r="900">
      <c r="A900" t="n">
        <v>899</v>
      </c>
      <c r="B900">
        <f>IFERROR(INDEX(Segmen!$A$3:$A$6000,MATCH(C900,Segmen!$D$3:$D$6000,0)),"")</f>
        <v/>
      </c>
      <c r="C900">
        <f>IFERROR(LARGE(Segmen!$D$3:$D$6000,A900),"")</f>
        <v/>
      </c>
    </row>
    <row r="901">
      <c r="A901" t="n">
        <v>900</v>
      </c>
      <c r="B901">
        <f>IFERROR(INDEX(Segmen!$A$3:$A$6000,MATCH(C901,Segmen!$D$3:$D$6000,0)),"")</f>
        <v/>
      </c>
      <c r="C901">
        <f>IFERROR(LARGE(Segmen!$D$3:$D$6000,A901),"")</f>
        <v/>
      </c>
    </row>
    <row r="902">
      <c r="A902" t="n">
        <v>901</v>
      </c>
      <c r="B902">
        <f>IFERROR(INDEX(Segmen!$A$3:$A$6000,MATCH(C902,Segmen!$D$3:$D$6000,0)),"")</f>
        <v/>
      </c>
      <c r="C902">
        <f>IFERROR(LARGE(Segmen!$D$3:$D$6000,A902),"")</f>
        <v/>
      </c>
    </row>
    <row r="903">
      <c r="A903" t="n">
        <v>902</v>
      </c>
      <c r="B903">
        <f>IFERROR(INDEX(Segmen!$A$3:$A$6000,MATCH(C903,Segmen!$D$3:$D$6000,0)),"")</f>
        <v/>
      </c>
      <c r="C903">
        <f>IFERROR(LARGE(Segmen!$D$3:$D$6000,A903),"")</f>
        <v/>
      </c>
    </row>
    <row r="904">
      <c r="A904" t="n">
        <v>903</v>
      </c>
      <c r="B904">
        <f>IFERROR(INDEX(Segmen!$A$3:$A$6000,MATCH(C904,Segmen!$D$3:$D$6000,0)),"")</f>
        <v/>
      </c>
      <c r="C904">
        <f>IFERROR(LARGE(Segmen!$D$3:$D$6000,A904),"")</f>
        <v/>
      </c>
    </row>
    <row r="905">
      <c r="A905" t="n">
        <v>904</v>
      </c>
      <c r="B905">
        <f>IFERROR(INDEX(Segmen!$A$3:$A$6000,MATCH(C905,Segmen!$D$3:$D$6000,0)),"")</f>
        <v/>
      </c>
      <c r="C905">
        <f>IFERROR(LARGE(Segmen!$D$3:$D$6000,A905),"")</f>
        <v/>
      </c>
    </row>
    <row r="906">
      <c r="A906" t="n">
        <v>905</v>
      </c>
      <c r="B906">
        <f>IFERROR(INDEX(Segmen!$A$3:$A$6000,MATCH(C906,Segmen!$D$3:$D$6000,0)),"")</f>
        <v/>
      </c>
      <c r="C906">
        <f>IFERROR(LARGE(Segmen!$D$3:$D$6000,A906),"")</f>
        <v/>
      </c>
    </row>
    <row r="907">
      <c r="A907" t="n">
        <v>906</v>
      </c>
      <c r="B907">
        <f>IFERROR(INDEX(Segmen!$A$3:$A$6000,MATCH(C907,Segmen!$D$3:$D$6000,0)),"")</f>
        <v/>
      </c>
      <c r="C907">
        <f>IFERROR(LARGE(Segmen!$D$3:$D$6000,A907),"")</f>
        <v/>
      </c>
    </row>
    <row r="908">
      <c r="A908" t="n">
        <v>907</v>
      </c>
      <c r="B908">
        <f>IFERROR(INDEX(Segmen!$A$3:$A$6000,MATCH(C908,Segmen!$D$3:$D$6000,0)),"")</f>
        <v/>
      </c>
      <c r="C908">
        <f>IFERROR(LARGE(Segmen!$D$3:$D$6000,A908),"")</f>
        <v/>
      </c>
    </row>
    <row r="909">
      <c r="A909" t="n">
        <v>908</v>
      </c>
      <c r="B909">
        <f>IFERROR(INDEX(Segmen!$A$3:$A$6000,MATCH(C909,Segmen!$D$3:$D$6000,0)),"")</f>
        <v/>
      </c>
      <c r="C909">
        <f>IFERROR(LARGE(Segmen!$D$3:$D$6000,A909),"")</f>
        <v/>
      </c>
    </row>
    <row r="910">
      <c r="A910" t="n">
        <v>909</v>
      </c>
      <c r="B910">
        <f>IFERROR(INDEX(Segmen!$A$3:$A$6000,MATCH(C910,Segmen!$D$3:$D$6000,0)),"")</f>
        <v/>
      </c>
      <c r="C910">
        <f>IFERROR(LARGE(Segmen!$D$3:$D$6000,A910),"")</f>
        <v/>
      </c>
    </row>
    <row r="911">
      <c r="A911" t="n">
        <v>910</v>
      </c>
      <c r="B911">
        <f>IFERROR(INDEX(Segmen!$A$3:$A$6000,MATCH(C911,Segmen!$D$3:$D$6000,0)),"")</f>
        <v/>
      </c>
      <c r="C911">
        <f>IFERROR(LARGE(Segmen!$D$3:$D$6000,A911),"")</f>
        <v/>
      </c>
    </row>
    <row r="912">
      <c r="A912" t="n">
        <v>911</v>
      </c>
      <c r="B912">
        <f>IFERROR(INDEX(Segmen!$A$3:$A$6000,MATCH(C912,Segmen!$D$3:$D$6000,0)),"")</f>
        <v/>
      </c>
      <c r="C912">
        <f>IFERROR(LARGE(Segmen!$D$3:$D$6000,A912),"")</f>
        <v/>
      </c>
    </row>
    <row r="913">
      <c r="A913" t="n">
        <v>912</v>
      </c>
      <c r="B913">
        <f>IFERROR(INDEX(Segmen!$A$3:$A$6000,MATCH(C913,Segmen!$D$3:$D$6000,0)),"")</f>
        <v/>
      </c>
      <c r="C913">
        <f>IFERROR(LARGE(Segmen!$D$3:$D$6000,A913),"")</f>
        <v/>
      </c>
    </row>
    <row r="914">
      <c r="A914" t="n">
        <v>913</v>
      </c>
      <c r="B914">
        <f>IFERROR(INDEX(Segmen!$A$3:$A$6000,MATCH(C914,Segmen!$D$3:$D$6000,0)),"")</f>
        <v/>
      </c>
      <c r="C914">
        <f>IFERROR(LARGE(Segmen!$D$3:$D$6000,A914),"")</f>
        <v/>
      </c>
    </row>
    <row r="915">
      <c r="A915" t="n">
        <v>914</v>
      </c>
      <c r="B915">
        <f>IFERROR(INDEX(Segmen!$A$3:$A$6000,MATCH(C915,Segmen!$D$3:$D$6000,0)),"")</f>
        <v/>
      </c>
      <c r="C915">
        <f>IFERROR(LARGE(Segmen!$D$3:$D$6000,A915),"")</f>
        <v/>
      </c>
    </row>
    <row r="916">
      <c r="A916" t="n">
        <v>915</v>
      </c>
      <c r="B916">
        <f>IFERROR(INDEX(Segmen!$A$3:$A$6000,MATCH(C916,Segmen!$D$3:$D$6000,0)),"")</f>
        <v/>
      </c>
      <c r="C916">
        <f>IFERROR(LARGE(Segmen!$D$3:$D$6000,A916),"")</f>
        <v/>
      </c>
    </row>
    <row r="917">
      <c r="A917" t="n">
        <v>916</v>
      </c>
      <c r="B917">
        <f>IFERROR(INDEX(Segmen!$A$3:$A$6000,MATCH(C917,Segmen!$D$3:$D$6000,0)),"")</f>
        <v/>
      </c>
      <c r="C917">
        <f>IFERROR(LARGE(Segmen!$D$3:$D$6000,A917),"")</f>
        <v/>
      </c>
    </row>
    <row r="918">
      <c r="A918" t="n">
        <v>917</v>
      </c>
      <c r="B918">
        <f>IFERROR(INDEX(Segmen!$A$3:$A$6000,MATCH(C918,Segmen!$D$3:$D$6000,0)),"")</f>
        <v/>
      </c>
      <c r="C918">
        <f>IFERROR(LARGE(Segmen!$D$3:$D$6000,A918),"")</f>
        <v/>
      </c>
    </row>
    <row r="919">
      <c r="A919" t="n">
        <v>918</v>
      </c>
      <c r="B919">
        <f>IFERROR(INDEX(Segmen!$A$3:$A$6000,MATCH(C919,Segmen!$D$3:$D$6000,0)),"")</f>
        <v/>
      </c>
      <c r="C919">
        <f>IFERROR(LARGE(Segmen!$D$3:$D$6000,A919),"")</f>
        <v/>
      </c>
    </row>
    <row r="920">
      <c r="A920" t="n">
        <v>919</v>
      </c>
      <c r="B920">
        <f>IFERROR(INDEX(Segmen!$A$3:$A$6000,MATCH(C920,Segmen!$D$3:$D$6000,0)),"")</f>
        <v/>
      </c>
      <c r="C920">
        <f>IFERROR(LARGE(Segmen!$D$3:$D$6000,A920),"")</f>
        <v/>
      </c>
    </row>
    <row r="921">
      <c r="A921" t="n">
        <v>920</v>
      </c>
      <c r="B921">
        <f>IFERROR(INDEX(Segmen!$A$3:$A$6000,MATCH(C921,Segmen!$D$3:$D$6000,0)),"")</f>
        <v/>
      </c>
      <c r="C921">
        <f>IFERROR(LARGE(Segmen!$D$3:$D$6000,A921),"")</f>
        <v/>
      </c>
    </row>
    <row r="922">
      <c r="A922" t="n">
        <v>921</v>
      </c>
      <c r="B922">
        <f>IFERROR(INDEX(Segmen!$A$3:$A$6000,MATCH(C922,Segmen!$D$3:$D$6000,0)),"")</f>
        <v/>
      </c>
      <c r="C922">
        <f>IFERROR(LARGE(Segmen!$D$3:$D$6000,A922),"")</f>
        <v/>
      </c>
    </row>
    <row r="923">
      <c r="A923" t="n">
        <v>922</v>
      </c>
      <c r="B923">
        <f>IFERROR(INDEX(Segmen!$A$3:$A$6000,MATCH(C923,Segmen!$D$3:$D$6000,0)),"")</f>
        <v/>
      </c>
      <c r="C923">
        <f>IFERROR(LARGE(Segmen!$D$3:$D$6000,A923),"")</f>
        <v/>
      </c>
    </row>
    <row r="924">
      <c r="A924" t="n">
        <v>923</v>
      </c>
      <c r="B924">
        <f>IFERROR(INDEX(Segmen!$A$3:$A$6000,MATCH(C924,Segmen!$D$3:$D$6000,0)),"")</f>
        <v/>
      </c>
      <c r="C924">
        <f>IFERROR(LARGE(Segmen!$D$3:$D$6000,A924),"")</f>
        <v/>
      </c>
    </row>
    <row r="925">
      <c r="A925" t="n">
        <v>924</v>
      </c>
      <c r="B925">
        <f>IFERROR(INDEX(Segmen!$A$3:$A$6000,MATCH(C925,Segmen!$D$3:$D$6000,0)),"")</f>
        <v/>
      </c>
      <c r="C925">
        <f>IFERROR(LARGE(Segmen!$D$3:$D$6000,A925),"")</f>
        <v/>
      </c>
    </row>
    <row r="926">
      <c r="A926" t="n">
        <v>925</v>
      </c>
      <c r="B926">
        <f>IFERROR(INDEX(Segmen!$A$3:$A$6000,MATCH(C926,Segmen!$D$3:$D$6000,0)),"")</f>
        <v/>
      </c>
      <c r="C926">
        <f>IFERROR(LARGE(Segmen!$D$3:$D$6000,A926),"")</f>
        <v/>
      </c>
    </row>
    <row r="927">
      <c r="A927" t="n">
        <v>926</v>
      </c>
      <c r="B927">
        <f>IFERROR(INDEX(Segmen!$A$3:$A$6000,MATCH(C927,Segmen!$D$3:$D$6000,0)),"")</f>
        <v/>
      </c>
      <c r="C927">
        <f>IFERROR(LARGE(Segmen!$D$3:$D$6000,A927),"")</f>
        <v/>
      </c>
    </row>
    <row r="928">
      <c r="A928" t="n">
        <v>927</v>
      </c>
      <c r="B928">
        <f>IFERROR(INDEX(Segmen!$A$3:$A$6000,MATCH(C928,Segmen!$D$3:$D$6000,0)),"")</f>
        <v/>
      </c>
      <c r="C928">
        <f>IFERROR(LARGE(Segmen!$D$3:$D$6000,A928),"")</f>
        <v/>
      </c>
    </row>
    <row r="929">
      <c r="A929" t="n">
        <v>928</v>
      </c>
      <c r="B929">
        <f>IFERROR(INDEX(Segmen!$A$3:$A$6000,MATCH(C929,Segmen!$D$3:$D$6000,0)),"")</f>
        <v/>
      </c>
      <c r="C929">
        <f>IFERROR(LARGE(Segmen!$D$3:$D$6000,A929),"")</f>
        <v/>
      </c>
    </row>
    <row r="930">
      <c r="A930" t="n">
        <v>929</v>
      </c>
      <c r="B930">
        <f>IFERROR(INDEX(Segmen!$A$3:$A$6000,MATCH(C930,Segmen!$D$3:$D$6000,0)),"")</f>
        <v/>
      </c>
      <c r="C930">
        <f>IFERROR(LARGE(Segmen!$D$3:$D$6000,A930),"")</f>
        <v/>
      </c>
    </row>
    <row r="931">
      <c r="A931" t="n">
        <v>930</v>
      </c>
      <c r="B931">
        <f>IFERROR(INDEX(Segmen!$A$3:$A$6000,MATCH(C931,Segmen!$D$3:$D$6000,0)),"")</f>
        <v/>
      </c>
      <c r="C931">
        <f>IFERROR(LARGE(Segmen!$D$3:$D$6000,A931),"")</f>
        <v/>
      </c>
    </row>
    <row r="932">
      <c r="A932" t="n">
        <v>931</v>
      </c>
      <c r="B932">
        <f>IFERROR(INDEX(Segmen!$A$3:$A$6000,MATCH(C932,Segmen!$D$3:$D$6000,0)),"")</f>
        <v/>
      </c>
      <c r="C932">
        <f>IFERROR(LARGE(Segmen!$D$3:$D$6000,A932),"")</f>
        <v/>
      </c>
    </row>
    <row r="933">
      <c r="A933" t="n">
        <v>932</v>
      </c>
      <c r="B933">
        <f>IFERROR(INDEX(Segmen!$A$3:$A$6000,MATCH(C933,Segmen!$D$3:$D$6000,0)),"")</f>
        <v/>
      </c>
      <c r="C933">
        <f>IFERROR(LARGE(Segmen!$D$3:$D$6000,A933),"")</f>
        <v/>
      </c>
    </row>
    <row r="934">
      <c r="A934" t="n">
        <v>933</v>
      </c>
      <c r="B934">
        <f>IFERROR(INDEX(Segmen!$A$3:$A$6000,MATCH(C934,Segmen!$D$3:$D$6000,0)),"")</f>
        <v/>
      </c>
      <c r="C934">
        <f>IFERROR(LARGE(Segmen!$D$3:$D$6000,A934),"")</f>
        <v/>
      </c>
    </row>
    <row r="935">
      <c r="A935" t="n">
        <v>934</v>
      </c>
      <c r="B935">
        <f>IFERROR(INDEX(Segmen!$A$3:$A$6000,MATCH(C935,Segmen!$D$3:$D$6000,0)),"")</f>
        <v/>
      </c>
      <c r="C935">
        <f>IFERROR(LARGE(Segmen!$D$3:$D$6000,A935),"")</f>
        <v/>
      </c>
    </row>
    <row r="936">
      <c r="A936" t="n">
        <v>935</v>
      </c>
      <c r="B936">
        <f>IFERROR(INDEX(Segmen!$A$3:$A$6000,MATCH(C936,Segmen!$D$3:$D$6000,0)),"")</f>
        <v/>
      </c>
      <c r="C936">
        <f>IFERROR(LARGE(Segmen!$D$3:$D$6000,A936),"")</f>
        <v/>
      </c>
    </row>
    <row r="937">
      <c r="A937" t="n">
        <v>936</v>
      </c>
      <c r="B937">
        <f>IFERROR(INDEX(Segmen!$A$3:$A$6000,MATCH(C937,Segmen!$D$3:$D$6000,0)),"")</f>
        <v/>
      </c>
      <c r="C937">
        <f>IFERROR(LARGE(Segmen!$D$3:$D$6000,A937),"")</f>
        <v/>
      </c>
    </row>
    <row r="938">
      <c r="A938" t="n">
        <v>937</v>
      </c>
      <c r="B938">
        <f>IFERROR(INDEX(Segmen!$A$3:$A$6000,MATCH(C938,Segmen!$D$3:$D$6000,0)),"")</f>
        <v/>
      </c>
      <c r="C938">
        <f>IFERROR(LARGE(Segmen!$D$3:$D$6000,A938),"")</f>
        <v/>
      </c>
    </row>
    <row r="939">
      <c r="A939" t="n">
        <v>938</v>
      </c>
      <c r="B939">
        <f>IFERROR(INDEX(Segmen!$A$3:$A$6000,MATCH(C939,Segmen!$D$3:$D$6000,0)),"")</f>
        <v/>
      </c>
      <c r="C939">
        <f>IFERROR(LARGE(Segmen!$D$3:$D$6000,A939),"")</f>
        <v/>
      </c>
    </row>
    <row r="940">
      <c r="A940" t="n">
        <v>939</v>
      </c>
      <c r="B940">
        <f>IFERROR(INDEX(Segmen!$A$3:$A$6000,MATCH(C940,Segmen!$D$3:$D$6000,0)),"")</f>
        <v/>
      </c>
      <c r="C940">
        <f>IFERROR(LARGE(Segmen!$D$3:$D$6000,A940),"")</f>
        <v/>
      </c>
    </row>
    <row r="941">
      <c r="A941" t="n">
        <v>940</v>
      </c>
      <c r="B941">
        <f>IFERROR(INDEX(Segmen!$A$3:$A$6000,MATCH(C941,Segmen!$D$3:$D$6000,0)),"")</f>
        <v/>
      </c>
      <c r="C941">
        <f>IFERROR(LARGE(Segmen!$D$3:$D$6000,A941),"")</f>
        <v/>
      </c>
    </row>
    <row r="942">
      <c r="A942" t="n">
        <v>941</v>
      </c>
      <c r="B942">
        <f>IFERROR(INDEX(Segmen!$A$3:$A$6000,MATCH(C942,Segmen!$D$3:$D$6000,0)),"")</f>
        <v/>
      </c>
      <c r="C942">
        <f>IFERROR(LARGE(Segmen!$D$3:$D$6000,A942),"")</f>
        <v/>
      </c>
    </row>
    <row r="943">
      <c r="A943" t="n">
        <v>942</v>
      </c>
      <c r="B943">
        <f>IFERROR(INDEX(Segmen!$A$3:$A$6000,MATCH(C943,Segmen!$D$3:$D$6000,0)),"")</f>
        <v/>
      </c>
      <c r="C943">
        <f>IFERROR(LARGE(Segmen!$D$3:$D$6000,A943),"")</f>
        <v/>
      </c>
    </row>
    <row r="944">
      <c r="A944" t="n">
        <v>943</v>
      </c>
      <c r="B944">
        <f>IFERROR(INDEX(Segmen!$A$3:$A$6000,MATCH(C944,Segmen!$D$3:$D$6000,0)),"")</f>
        <v/>
      </c>
      <c r="C944">
        <f>IFERROR(LARGE(Segmen!$D$3:$D$6000,A944),"")</f>
        <v/>
      </c>
    </row>
    <row r="945">
      <c r="A945" t="n">
        <v>944</v>
      </c>
      <c r="B945">
        <f>IFERROR(INDEX(Segmen!$A$3:$A$6000,MATCH(C945,Segmen!$D$3:$D$6000,0)),"")</f>
        <v/>
      </c>
      <c r="C945">
        <f>IFERROR(LARGE(Segmen!$D$3:$D$6000,A945),"")</f>
        <v/>
      </c>
    </row>
    <row r="946">
      <c r="A946" t="n">
        <v>945</v>
      </c>
      <c r="B946">
        <f>IFERROR(INDEX(Segmen!$A$3:$A$6000,MATCH(C946,Segmen!$D$3:$D$6000,0)),"")</f>
        <v/>
      </c>
      <c r="C946">
        <f>IFERROR(LARGE(Segmen!$D$3:$D$6000,A946),"")</f>
        <v/>
      </c>
    </row>
    <row r="947">
      <c r="A947" t="n">
        <v>946</v>
      </c>
      <c r="B947">
        <f>IFERROR(INDEX(Segmen!$A$3:$A$6000,MATCH(C947,Segmen!$D$3:$D$6000,0)),"")</f>
        <v/>
      </c>
      <c r="C947">
        <f>IFERROR(LARGE(Segmen!$D$3:$D$6000,A947),"")</f>
        <v/>
      </c>
    </row>
    <row r="948">
      <c r="A948" t="n">
        <v>947</v>
      </c>
      <c r="B948">
        <f>IFERROR(INDEX(Segmen!$A$3:$A$6000,MATCH(C948,Segmen!$D$3:$D$6000,0)),"")</f>
        <v/>
      </c>
      <c r="C948">
        <f>IFERROR(LARGE(Segmen!$D$3:$D$6000,A948),"")</f>
        <v/>
      </c>
    </row>
    <row r="949">
      <c r="A949" t="n">
        <v>948</v>
      </c>
      <c r="B949">
        <f>IFERROR(INDEX(Segmen!$A$3:$A$6000,MATCH(C949,Segmen!$D$3:$D$6000,0)),"")</f>
        <v/>
      </c>
      <c r="C949">
        <f>IFERROR(LARGE(Segmen!$D$3:$D$6000,A949),"")</f>
        <v/>
      </c>
    </row>
    <row r="950">
      <c r="A950" t="n">
        <v>949</v>
      </c>
      <c r="B950">
        <f>IFERROR(INDEX(Segmen!$A$3:$A$6000,MATCH(C950,Segmen!$D$3:$D$6000,0)),"")</f>
        <v/>
      </c>
      <c r="C950">
        <f>IFERROR(LARGE(Segmen!$D$3:$D$6000,A950),"")</f>
        <v/>
      </c>
    </row>
    <row r="951">
      <c r="A951" t="n">
        <v>950</v>
      </c>
      <c r="B951">
        <f>IFERROR(INDEX(Segmen!$A$3:$A$6000,MATCH(C951,Segmen!$D$3:$D$6000,0)),"")</f>
        <v/>
      </c>
      <c r="C951">
        <f>IFERROR(LARGE(Segmen!$D$3:$D$6000,A951),"")</f>
        <v/>
      </c>
    </row>
    <row r="952">
      <c r="A952" t="n">
        <v>951</v>
      </c>
      <c r="B952">
        <f>IFERROR(INDEX(Segmen!$A$3:$A$6000,MATCH(C952,Segmen!$D$3:$D$6000,0)),"")</f>
        <v/>
      </c>
      <c r="C952">
        <f>IFERROR(LARGE(Segmen!$D$3:$D$6000,A952),"")</f>
        <v/>
      </c>
    </row>
    <row r="953">
      <c r="A953" t="n">
        <v>952</v>
      </c>
      <c r="B953">
        <f>IFERROR(INDEX(Segmen!$A$3:$A$6000,MATCH(C953,Segmen!$D$3:$D$6000,0)),"")</f>
        <v/>
      </c>
      <c r="C953">
        <f>IFERROR(LARGE(Segmen!$D$3:$D$6000,A953),"")</f>
        <v/>
      </c>
    </row>
    <row r="954">
      <c r="A954" t="n">
        <v>953</v>
      </c>
      <c r="B954">
        <f>IFERROR(INDEX(Segmen!$A$3:$A$6000,MATCH(C954,Segmen!$D$3:$D$6000,0)),"")</f>
        <v/>
      </c>
      <c r="C954">
        <f>IFERROR(LARGE(Segmen!$D$3:$D$6000,A954),"")</f>
        <v/>
      </c>
    </row>
    <row r="955">
      <c r="A955" t="n">
        <v>954</v>
      </c>
      <c r="B955">
        <f>IFERROR(INDEX(Segmen!$A$3:$A$6000,MATCH(C955,Segmen!$D$3:$D$6000,0)),"")</f>
        <v/>
      </c>
      <c r="C955">
        <f>IFERROR(LARGE(Segmen!$D$3:$D$6000,A955),"")</f>
        <v/>
      </c>
    </row>
    <row r="956">
      <c r="A956" t="n">
        <v>955</v>
      </c>
      <c r="B956">
        <f>IFERROR(INDEX(Segmen!$A$3:$A$6000,MATCH(C956,Segmen!$D$3:$D$6000,0)),"")</f>
        <v/>
      </c>
      <c r="C956">
        <f>IFERROR(LARGE(Segmen!$D$3:$D$6000,A956),"")</f>
        <v/>
      </c>
    </row>
    <row r="957">
      <c r="A957" t="n">
        <v>956</v>
      </c>
      <c r="B957">
        <f>IFERROR(INDEX(Segmen!$A$3:$A$6000,MATCH(C957,Segmen!$D$3:$D$6000,0)),"")</f>
        <v/>
      </c>
      <c r="C957">
        <f>IFERROR(LARGE(Segmen!$D$3:$D$6000,A957),"")</f>
        <v/>
      </c>
    </row>
    <row r="958">
      <c r="A958" t="n">
        <v>957</v>
      </c>
      <c r="B958">
        <f>IFERROR(INDEX(Segmen!$A$3:$A$6000,MATCH(C958,Segmen!$D$3:$D$6000,0)),"")</f>
        <v/>
      </c>
      <c r="C958">
        <f>IFERROR(LARGE(Segmen!$D$3:$D$6000,A958),"")</f>
        <v/>
      </c>
    </row>
    <row r="959">
      <c r="A959" t="n">
        <v>958</v>
      </c>
      <c r="B959">
        <f>IFERROR(INDEX(Segmen!$A$3:$A$6000,MATCH(C959,Segmen!$D$3:$D$6000,0)),"")</f>
        <v/>
      </c>
      <c r="C959">
        <f>IFERROR(LARGE(Segmen!$D$3:$D$6000,A959),"")</f>
        <v/>
      </c>
    </row>
    <row r="960">
      <c r="A960" t="n">
        <v>959</v>
      </c>
      <c r="B960">
        <f>IFERROR(INDEX(Segmen!$A$3:$A$6000,MATCH(C960,Segmen!$D$3:$D$6000,0)),"")</f>
        <v/>
      </c>
      <c r="C960">
        <f>IFERROR(LARGE(Segmen!$D$3:$D$6000,A960),"")</f>
        <v/>
      </c>
    </row>
    <row r="961">
      <c r="A961" t="n">
        <v>960</v>
      </c>
      <c r="B961">
        <f>IFERROR(INDEX(Segmen!$A$3:$A$6000,MATCH(C961,Segmen!$D$3:$D$6000,0)),"")</f>
        <v/>
      </c>
      <c r="C961">
        <f>IFERROR(LARGE(Segmen!$D$3:$D$6000,A961),"")</f>
        <v/>
      </c>
    </row>
    <row r="962">
      <c r="A962" t="n">
        <v>961</v>
      </c>
      <c r="B962">
        <f>IFERROR(INDEX(Segmen!$A$3:$A$6000,MATCH(C962,Segmen!$D$3:$D$6000,0)),"")</f>
        <v/>
      </c>
      <c r="C962">
        <f>IFERROR(LARGE(Segmen!$D$3:$D$6000,A962),"")</f>
        <v/>
      </c>
    </row>
    <row r="963">
      <c r="A963" t="n">
        <v>962</v>
      </c>
      <c r="B963">
        <f>IFERROR(INDEX(Segmen!$A$3:$A$6000,MATCH(C963,Segmen!$D$3:$D$6000,0)),"")</f>
        <v/>
      </c>
      <c r="C963">
        <f>IFERROR(LARGE(Segmen!$D$3:$D$6000,A963),"")</f>
        <v/>
      </c>
    </row>
    <row r="964">
      <c r="A964" t="n">
        <v>963</v>
      </c>
      <c r="B964">
        <f>IFERROR(INDEX(Segmen!$A$3:$A$6000,MATCH(C964,Segmen!$D$3:$D$6000,0)),"")</f>
        <v/>
      </c>
      <c r="C964">
        <f>IFERROR(LARGE(Segmen!$D$3:$D$6000,A964),"")</f>
        <v/>
      </c>
    </row>
    <row r="965">
      <c r="A965" t="n">
        <v>964</v>
      </c>
      <c r="B965">
        <f>IFERROR(INDEX(Segmen!$A$3:$A$6000,MATCH(C965,Segmen!$D$3:$D$6000,0)),"")</f>
        <v/>
      </c>
      <c r="C965">
        <f>IFERROR(LARGE(Segmen!$D$3:$D$6000,A965),"")</f>
        <v/>
      </c>
    </row>
    <row r="966">
      <c r="A966" t="n">
        <v>965</v>
      </c>
      <c r="B966">
        <f>IFERROR(INDEX(Segmen!$A$3:$A$6000,MATCH(C966,Segmen!$D$3:$D$6000,0)),"")</f>
        <v/>
      </c>
      <c r="C966">
        <f>IFERROR(LARGE(Segmen!$D$3:$D$6000,A966),"")</f>
        <v/>
      </c>
    </row>
    <row r="967">
      <c r="A967" t="n">
        <v>966</v>
      </c>
      <c r="B967">
        <f>IFERROR(INDEX(Segmen!$A$3:$A$6000,MATCH(C967,Segmen!$D$3:$D$6000,0)),"")</f>
        <v/>
      </c>
      <c r="C967">
        <f>IFERROR(LARGE(Segmen!$D$3:$D$6000,A967),"")</f>
        <v/>
      </c>
    </row>
    <row r="968">
      <c r="A968" t="n">
        <v>967</v>
      </c>
      <c r="B968">
        <f>IFERROR(INDEX(Segmen!$A$3:$A$6000,MATCH(C968,Segmen!$D$3:$D$6000,0)),"")</f>
        <v/>
      </c>
      <c r="C968">
        <f>IFERROR(LARGE(Segmen!$D$3:$D$6000,A968),"")</f>
        <v/>
      </c>
    </row>
    <row r="969">
      <c r="A969" t="n">
        <v>968</v>
      </c>
      <c r="B969">
        <f>IFERROR(INDEX(Segmen!$A$3:$A$6000,MATCH(C969,Segmen!$D$3:$D$6000,0)),"")</f>
        <v/>
      </c>
      <c r="C969">
        <f>IFERROR(LARGE(Segmen!$D$3:$D$6000,A969),"")</f>
        <v/>
      </c>
    </row>
    <row r="970">
      <c r="A970" t="n">
        <v>969</v>
      </c>
      <c r="B970">
        <f>IFERROR(INDEX(Segmen!$A$3:$A$6000,MATCH(C970,Segmen!$D$3:$D$6000,0)),"")</f>
        <v/>
      </c>
      <c r="C970">
        <f>IFERROR(LARGE(Segmen!$D$3:$D$6000,A970),"")</f>
        <v/>
      </c>
    </row>
    <row r="971">
      <c r="A971" t="n">
        <v>970</v>
      </c>
      <c r="B971">
        <f>IFERROR(INDEX(Segmen!$A$3:$A$6000,MATCH(C971,Segmen!$D$3:$D$6000,0)),"")</f>
        <v/>
      </c>
      <c r="C971">
        <f>IFERROR(LARGE(Segmen!$D$3:$D$6000,A971),"")</f>
        <v/>
      </c>
    </row>
    <row r="972">
      <c r="A972" t="n">
        <v>971</v>
      </c>
      <c r="B972">
        <f>IFERROR(INDEX(Segmen!$A$3:$A$6000,MATCH(C972,Segmen!$D$3:$D$6000,0)),"")</f>
        <v/>
      </c>
      <c r="C972">
        <f>IFERROR(LARGE(Segmen!$D$3:$D$6000,A972),"")</f>
        <v/>
      </c>
    </row>
    <row r="973">
      <c r="A973" t="n">
        <v>972</v>
      </c>
      <c r="B973">
        <f>IFERROR(INDEX(Segmen!$A$3:$A$6000,MATCH(C973,Segmen!$D$3:$D$6000,0)),"")</f>
        <v/>
      </c>
      <c r="C973">
        <f>IFERROR(LARGE(Segmen!$D$3:$D$6000,A973),"")</f>
        <v/>
      </c>
    </row>
    <row r="974">
      <c r="A974" t="n">
        <v>973</v>
      </c>
      <c r="B974">
        <f>IFERROR(INDEX(Segmen!$A$3:$A$6000,MATCH(C974,Segmen!$D$3:$D$6000,0)),"")</f>
        <v/>
      </c>
      <c r="C974">
        <f>IFERROR(LARGE(Segmen!$D$3:$D$6000,A974),"")</f>
        <v/>
      </c>
    </row>
    <row r="975">
      <c r="A975" t="n">
        <v>974</v>
      </c>
      <c r="B975">
        <f>IFERROR(INDEX(Segmen!$A$3:$A$6000,MATCH(C975,Segmen!$D$3:$D$6000,0)),"")</f>
        <v/>
      </c>
      <c r="C975">
        <f>IFERROR(LARGE(Segmen!$D$3:$D$6000,A975),"")</f>
        <v/>
      </c>
    </row>
    <row r="976">
      <c r="A976" t="n">
        <v>975</v>
      </c>
      <c r="B976">
        <f>IFERROR(INDEX(Segmen!$A$3:$A$6000,MATCH(C976,Segmen!$D$3:$D$6000,0)),"")</f>
        <v/>
      </c>
      <c r="C976">
        <f>IFERROR(LARGE(Segmen!$D$3:$D$6000,A976),"")</f>
        <v/>
      </c>
    </row>
    <row r="977">
      <c r="A977" t="n">
        <v>976</v>
      </c>
      <c r="B977">
        <f>IFERROR(INDEX(Segmen!$A$3:$A$6000,MATCH(C977,Segmen!$D$3:$D$6000,0)),"")</f>
        <v/>
      </c>
      <c r="C977">
        <f>IFERROR(LARGE(Segmen!$D$3:$D$6000,A977),"")</f>
        <v/>
      </c>
    </row>
    <row r="978">
      <c r="A978" t="n">
        <v>977</v>
      </c>
      <c r="B978">
        <f>IFERROR(INDEX(Segmen!$A$3:$A$6000,MATCH(C978,Segmen!$D$3:$D$6000,0)),"")</f>
        <v/>
      </c>
      <c r="C978">
        <f>IFERROR(LARGE(Segmen!$D$3:$D$6000,A978),"")</f>
        <v/>
      </c>
    </row>
    <row r="979">
      <c r="A979" t="n">
        <v>978</v>
      </c>
      <c r="B979">
        <f>IFERROR(INDEX(Segmen!$A$3:$A$6000,MATCH(C979,Segmen!$D$3:$D$6000,0)),"")</f>
        <v/>
      </c>
      <c r="C979">
        <f>IFERROR(LARGE(Segmen!$D$3:$D$6000,A979),"")</f>
        <v/>
      </c>
    </row>
    <row r="980">
      <c r="A980" t="n">
        <v>979</v>
      </c>
      <c r="B980">
        <f>IFERROR(INDEX(Segmen!$A$3:$A$6000,MATCH(C980,Segmen!$D$3:$D$6000,0)),"")</f>
        <v/>
      </c>
      <c r="C980">
        <f>IFERROR(LARGE(Segmen!$D$3:$D$6000,A980),"")</f>
        <v/>
      </c>
    </row>
    <row r="981">
      <c r="A981" t="n">
        <v>980</v>
      </c>
      <c r="B981">
        <f>IFERROR(INDEX(Segmen!$A$3:$A$6000,MATCH(C981,Segmen!$D$3:$D$6000,0)),"")</f>
        <v/>
      </c>
      <c r="C981">
        <f>IFERROR(LARGE(Segmen!$D$3:$D$6000,A981),"")</f>
        <v/>
      </c>
    </row>
    <row r="982">
      <c r="A982" t="n">
        <v>981</v>
      </c>
      <c r="B982">
        <f>IFERROR(INDEX(Segmen!$A$3:$A$6000,MATCH(C982,Segmen!$D$3:$D$6000,0)),"")</f>
        <v/>
      </c>
      <c r="C982">
        <f>IFERROR(LARGE(Segmen!$D$3:$D$6000,A982),"")</f>
        <v/>
      </c>
    </row>
    <row r="983">
      <c r="A983" t="n">
        <v>982</v>
      </c>
      <c r="B983">
        <f>IFERROR(INDEX(Segmen!$A$3:$A$6000,MATCH(C983,Segmen!$D$3:$D$6000,0)),"")</f>
        <v/>
      </c>
      <c r="C983">
        <f>IFERROR(LARGE(Segmen!$D$3:$D$6000,A983),"")</f>
        <v/>
      </c>
    </row>
    <row r="984">
      <c r="A984" t="n">
        <v>983</v>
      </c>
      <c r="B984">
        <f>IFERROR(INDEX(Segmen!$A$3:$A$6000,MATCH(C984,Segmen!$D$3:$D$6000,0)),"")</f>
        <v/>
      </c>
      <c r="C984">
        <f>IFERROR(LARGE(Segmen!$D$3:$D$6000,A984),"")</f>
        <v/>
      </c>
    </row>
    <row r="985">
      <c r="A985" t="n">
        <v>984</v>
      </c>
      <c r="B985">
        <f>IFERROR(INDEX(Segmen!$A$3:$A$6000,MATCH(C985,Segmen!$D$3:$D$6000,0)),"")</f>
        <v/>
      </c>
      <c r="C985">
        <f>IFERROR(LARGE(Segmen!$D$3:$D$6000,A985),"")</f>
        <v/>
      </c>
    </row>
    <row r="986">
      <c r="A986" t="n">
        <v>985</v>
      </c>
      <c r="B986">
        <f>IFERROR(INDEX(Segmen!$A$3:$A$6000,MATCH(C986,Segmen!$D$3:$D$6000,0)),"")</f>
        <v/>
      </c>
      <c r="C986">
        <f>IFERROR(LARGE(Segmen!$D$3:$D$6000,A986),"")</f>
        <v/>
      </c>
    </row>
    <row r="987">
      <c r="A987" t="n">
        <v>986</v>
      </c>
      <c r="B987">
        <f>IFERROR(INDEX(Segmen!$A$3:$A$6000,MATCH(C987,Segmen!$D$3:$D$6000,0)),"")</f>
        <v/>
      </c>
      <c r="C987">
        <f>IFERROR(LARGE(Segmen!$D$3:$D$6000,A987),"")</f>
        <v/>
      </c>
    </row>
    <row r="988">
      <c r="A988" t="n">
        <v>987</v>
      </c>
      <c r="B988">
        <f>IFERROR(INDEX(Segmen!$A$3:$A$6000,MATCH(C988,Segmen!$D$3:$D$6000,0)),"")</f>
        <v/>
      </c>
      <c r="C988">
        <f>IFERROR(LARGE(Segmen!$D$3:$D$6000,A988),"")</f>
        <v/>
      </c>
    </row>
    <row r="989">
      <c r="A989" t="n">
        <v>988</v>
      </c>
      <c r="B989">
        <f>IFERROR(INDEX(Segmen!$A$3:$A$6000,MATCH(C989,Segmen!$D$3:$D$6000,0)),"")</f>
        <v/>
      </c>
      <c r="C989">
        <f>IFERROR(LARGE(Segmen!$D$3:$D$6000,A989),"")</f>
        <v/>
      </c>
    </row>
    <row r="990">
      <c r="A990" t="n">
        <v>989</v>
      </c>
      <c r="B990">
        <f>IFERROR(INDEX(Segmen!$A$3:$A$6000,MATCH(C990,Segmen!$D$3:$D$6000,0)),"")</f>
        <v/>
      </c>
      <c r="C990">
        <f>IFERROR(LARGE(Segmen!$D$3:$D$6000,A990),"")</f>
        <v/>
      </c>
    </row>
    <row r="991">
      <c r="A991" t="n">
        <v>990</v>
      </c>
      <c r="B991">
        <f>IFERROR(INDEX(Segmen!$A$3:$A$6000,MATCH(C991,Segmen!$D$3:$D$6000,0)),"")</f>
        <v/>
      </c>
      <c r="C991">
        <f>IFERROR(LARGE(Segmen!$D$3:$D$6000,A991),"")</f>
        <v/>
      </c>
    </row>
    <row r="992">
      <c r="A992" t="n">
        <v>991</v>
      </c>
      <c r="B992">
        <f>IFERROR(INDEX(Segmen!$A$3:$A$6000,MATCH(C992,Segmen!$D$3:$D$6000,0)),"")</f>
        <v/>
      </c>
      <c r="C992">
        <f>IFERROR(LARGE(Segmen!$D$3:$D$6000,A992),"")</f>
        <v/>
      </c>
    </row>
    <row r="993">
      <c r="A993" t="n">
        <v>992</v>
      </c>
      <c r="B993">
        <f>IFERROR(INDEX(Segmen!$A$3:$A$6000,MATCH(C993,Segmen!$D$3:$D$6000,0)),"")</f>
        <v/>
      </c>
      <c r="C993">
        <f>IFERROR(LARGE(Segmen!$D$3:$D$6000,A993),"")</f>
        <v/>
      </c>
    </row>
    <row r="994">
      <c r="A994" t="n">
        <v>993</v>
      </c>
      <c r="B994">
        <f>IFERROR(INDEX(Segmen!$A$3:$A$6000,MATCH(C994,Segmen!$D$3:$D$6000,0)),"")</f>
        <v/>
      </c>
      <c r="C994">
        <f>IFERROR(LARGE(Segmen!$D$3:$D$6000,A994),"")</f>
        <v/>
      </c>
    </row>
    <row r="995">
      <c r="A995" t="n">
        <v>994</v>
      </c>
      <c r="B995">
        <f>IFERROR(INDEX(Segmen!$A$3:$A$6000,MATCH(C995,Segmen!$D$3:$D$6000,0)),"")</f>
        <v/>
      </c>
      <c r="C995">
        <f>IFERROR(LARGE(Segmen!$D$3:$D$6000,A995),"")</f>
        <v/>
      </c>
    </row>
    <row r="996">
      <c r="A996" t="n">
        <v>995</v>
      </c>
      <c r="B996">
        <f>IFERROR(INDEX(Segmen!$A$3:$A$6000,MATCH(C996,Segmen!$D$3:$D$6000,0)),"")</f>
        <v/>
      </c>
      <c r="C996">
        <f>IFERROR(LARGE(Segmen!$D$3:$D$6000,A996),"")</f>
        <v/>
      </c>
    </row>
    <row r="997">
      <c r="A997" t="n">
        <v>996</v>
      </c>
      <c r="B997">
        <f>IFERROR(INDEX(Segmen!$A$3:$A$6000,MATCH(C997,Segmen!$D$3:$D$6000,0)),"")</f>
        <v/>
      </c>
      <c r="C997">
        <f>IFERROR(LARGE(Segmen!$D$3:$D$6000,A997),"")</f>
        <v/>
      </c>
    </row>
    <row r="998">
      <c r="A998" t="n">
        <v>997</v>
      </c>
      <c r="B998">
        <f>IFERROR(INDEX(Segmen!$A$3:$A$6000,MATCH(C998,Segmen!$D$3:$D$6000,0)),"")</f>
        <v/>
      </c>
      <c r="C998">
        <f>IFERROR(LARGE(Segmen!$D$3:$D$6000,A998),"")</f>
        <v/>
      </c>
    </row>
    <row r="999">
      <c r="A999" t="n">
        <v>998</v>
      </c>
      <c r="B999">
        <f>IFERROR(INDEX(Segmen!$A$3:$A$6000,MATCH(C999,Segmen!$D$3:$D$6000,0)),"")</f>
        <v/>
      </c>
      <c r="C999">
        <f>IFERROR(LARGE(Segmen!$D$3:$D$6000,A999),"")</f>
        <v/>
      </c>
    </row>
    <row r="1000">
      <c r="A1000" t="n">
        <v>999</v>
      </c>
      <c r="B1000">
        <f>IFERROR(INDEX(Segmen!$A$3:$A$6000,MATCH(C1000,Segmen!$D$3:$D$6000,0)),"")</f>
        <v/>
      </c>
      <c r="C1000">
        <f>IFERROR(LARGE(Segmen!$D$3:$D$6000,A1000),"")</f>
        <v/>
      </c>
    </row>
    <row r="1001">
      <c r="A1001" t="n">
        <v>1000</v>
      </c>
      <c r="B1001">
        <f>IFERROR(INDEX(Segmen!$A$3:$A$6000,MATCH(C1001,Segmen!$D$3:$D$6000,0)),"")</f>
        <v/>
      </c>
      <c r="C1001">
        <f>IFERROR(LARGE(Segmen!$D$3:$D$6000,A1001),"")</f>
        <v/>
      </c>
    </row>
    <row r="1002">
      <c r="A1002" t="n">
        <v>1001</v>
      </c>
      <c r="B1002">
        <f>IFERROR(INDEX(Segmen!$A$3:$A$6000,MATCH(C1002,Segmen!$D$3:$D$6000,0)),"")</f>
        <v/>
      </c>
      <c r="C1002">
        <f>IFERROR(LARGE(Segmen!$D$3:$D$6000,A1002),"")</f>
        <v/>
      </c>
    </row>
    <row r="1003">
      <c r="A1003" t="n">
        <v>1002</v>
      </c>
      <c r="B1003">
        <f>IFERROR(INDEX(Segmen!$A$3:$A$6000,MATCH(C1003,Segmen!$D$3:$D$6000,0)),"")</f>
        <v/>
      </c>
      <c r="C1003">
        <f>IFERROR(LARGE(Segmen!$D$3:$D$6000,A1003),"")</f>
        <v/>
      </c>
    </row>
    <row r="1004">
      <c r="A1004" t="n">
        <v>1003</v>
      </c>
      <c r="B1004">
        <f>IFERROR(INDEX(Segmen!$A$3:$A$6000,MATCH(C1004,Segmen!$D$3:$D$6000,0)),"")</f>
        <v/>
      </c>
      <c r="C1004">
        <f>IFERROR(LARGE(Segmen!$D$3:$D$6000,A1004),"")</f>
        <v/>
      </c>
    </row>
    <row r="1005">
      <c r="A1005" t="n">
        <v>1004</v>
      </c>
      <c r="B1005">
        <f>IFERROR(INDEX(Segmen!$A$3:$A$6000,MATCH(C1005,Segmen!$D$3:$D$6000,0)),"")</f>
        <v/>
      </c>
      <c r="C1005">
        <f>IFERROR(LARGE(Segmen!$D$3:$D$6000,A1005),"")</f>
        <v/>
      </c>
    </row>
    <row r="1006">
      <c r="A1006" t="n">
        <v>1005</v>
      </c>
      <c r="B1006">
        <f>IFERROR(INDEX(Segmen!$A$3:$A$6000,MATCH(C1006,Segmen!$D$3:$D$6000,0)),"")</f>
        <v/>
      </c>
      <c r="C1006">
        <f>IFERROR(LARGE(Segmen!$D$3:$D$6000,A1006),"")</f>
        <v/>
      </c>
    </row>
    <row r="1007">
      <c r="A1007" t="n">
        <v>1006</v>
      </c>
      <c r="B1007">
        <f>IFERROR(INDEX(Segmen!$A$3:$A$6000,MATCH(C1007,Segmen!$D$3:$D$6000,0)),"")</f>
        <v/>
      </c>
      <c r="C1007">
        <f>IFERROR(LARGE(Segmen!$D$3:$D$6000,A1007),"")</f>
        <v/>
      </c>
    </row>
    <row r="1008">
      <c r="A1008" t="n">
        <v>1007</v>
      </c>
      <c r="B1008">
        <f>IFERROR(INDEX(Segmen!$A$3:$A$6000,MATCH(C1008,Segmen!$D$3:$D$6000,0)),"")</f>
        <v/>
      </c>
      <c r="C1008">
        <f>IFERROR(LARGE(Segmen!$D$3:$D$6000,A1008),"")</f>
        <v/>
      </c>
    </row>
    <row r="1009">
      <c r="A1009" t="n">
        <v>1008</v>
      </c>
      <c r="B1009">
        <f>IFERROR(INDEX(Segmen!$A$3:$A$6000,MATCH(C1009,Segmen!$D$3:$D$6000,0)),"")</f>
        <v/>
      </c>
      <c r="C1009">
        <f>IFERROR(LARGE(Segmen!$D$3:$D$6000,A1009),"")</f>
        <v/>
      </c>
    </row>
    <row r="1010">
      <c r="A1010" t="n">
        <v>1009</v>
      </c>
      <c r="B1010">
        <f>IFERROR(INDEX(Segmen!$A$3:$A$6000,MATCH(C1010,Segmen!$D$3:$D$6000,0)),"")</f>
        <v/>
      </c>
      <c r="C1010">
        <f>IFERROR(LARGE(Segmen!$D$3:$D$6000,A1010),"")</f>
        <v/>
      </c>
    </row>
    <row r="1011">
      <c r="A1011" t="n">
        <v>1010</v>
      </c>
      <c r="B1011">
        <f>IFERROR(INDEX(Segmen!$A$3:$A$6000,MATCH(C1011,Segmen!$D$3:$D$6000,0)),"")</f>
        <v/>
      </c>
      <c r="C1011">
        <f>IFERROR(LARGE(Segmen!$D$3:$D$6000,A1011),"")</f>
        <v/>
      </c>
    </row>
    <row r="1012">
      <c r="A1012" t="n">
        <v>1011</v>
      </c>
      <c r="B1012">
        <f>IFERROR(INDEX(Segmen!$A$3:$A$6000,MATCH(C1012,Segmen!$D$3:$D$6000,0)),"")</f>
        <v/>
      </c>
      <c r="C1012">
        <f>IFERROR(LARGE(Segmen!$D$3:$D$6000,A1012),"")</f>
        <v/>
      </c>
    </row>
    <row r="1013">
      <c r="A1013" t="n">
        <v>1012</v>
      </c>
      <c r="B1013">
        <f>IFERROR(INDEX(Segmen!$A$3:$A$6000,MATCH(C1013,Segmen!$D$3:$D$6000,0)),"")</f>
        <v/>
      </c>
      <c r="C1013">
        <f>IFERROR(LARGE(Segmen!$D$3:$D$6000,A1013),"")</f>
        <v/>
      </c>
    </row>
    <row r="1014">
      <c r="A1014" t="n">
        <v>1013</v>
      </c>
      <c r="B1014">
        <f>IFERROR(INDEX(Segmen!$A$3:$A$6000,MATCH(C1014,Segmen!$D$3:$D$6000,0)),"")</f>
        <v/>
      </c>
      <c r="C1014">
        <f>IFERROR(LARGE(Segmen!$D$3:$D$6000,A1014),"")</f>
        <v/>
      </c>
    </row>
    <row r="1015">
      <c r="A1015" t="n">
        <v>1014</v>
      </c>
      <c r="B1015">
        <f>IFERROR(INDEX(Segmen!$A$3:$A$6000,MATCH(C1015,Segmen!$D$3:$D$6000,0)),"")</f>
        <v/>
      </c>
      <c r="C1015">
        <f>IFERROR(LARGE(Segmen!$D$3:$D$6000,A1015),"")</f>
        <v/>
      </c>
    </row>
    <row r="1016">
      <c r="A1016" t="n">
        <v>1015</v>
      </c>
      <c r="B1016">
        <f>IFERROR(INDEX(Segmen!$A$3:$A$6000,MATCH(C1016,Segmen!$D$3:$D$6000,0)),"")</f>
        <v/>
      </c>
      <c r="C1016">
        <f>IFERROR(LARGE(Segmen!$D$3:$D$6000,A1016),"")</f>
        <v/>
      </c>
    </row>
    <row r="1017">
      <c r="A1017" t="n">
        <v>1016</v>
      </c>
      <c r="B1017">
        <f>IFERROR(INDEX(Segmen!$A$3:$A$6000,MATCH(C1017,Segmen!$D$3:$D$6000,0)),"")</f>
        <v/>
      </c>
      <c r="C1017">
        <f>IFERROR(LARGE(Segmen!$D$3:$D$6000,A1017),"")</f>
        <v/>
      </c>
    </row>
    <row r="1018">
      <c r="A1018" t="n">
        <v>1017</v>
      </c>
      <c r="B1018">
        <f>IFERROR(INDEX(Segmen!$A$3:$A$6000,MATCH(C1018,Segmen!$D$3:$D$6000,0)),"")</f>
        <v/>
      </c>
      <c r="C1018">
        <f>IFERROR(LARGE(Segmen!$D$3:$D$6000,A1018),"")</f>
        <v/>
      </c>
    </row>
    <row r="1019">
      <c r="A1019" t="n">
        <v>1018</v>
      </c>
      <c r="B1019">
        <f>IFERROR(INDEX(Segmen!$A$3:$A$6000,MATCH(C1019,Segmen!$D$3:$D$6000,0)),"")</f>
        <v/>
      </c>
      <c r="C1019">
        <f>IFERROR(LARGE(Segmen!$D$3:$D$6000,A1019),"")</f>
        <v/>
      </c>
    </row>
    <row r="1020">
      <c r="A1020" t="n">
        <v>1019</v>
      </c>
      <c r="B1020">
        <f>IFERROR(INDEX(Segmen!$A$3:$A$6000,MATCH(C1020,Segmen!$D$3:$D$6000,0)),"")</f>
        <v/>
      </c>
      <c r="C1020">
        <f>IFERROR(LARGE(Segmen!$D$3:$D$6000,A1020),"")</f>
        <v/>
      </c>
    </row>
    <row r="1021">
      <c r="A1021" t="n">
        <v>1020</v>
      </c>
      <c r="B1021">
        <f>IFERROR(INDEX(Segmen!$A$3:$A$6000,MATCH(C1021,Segmen!$D$3:$D$6000,0)),"")</f>
        <v/>
      </c>
      <c r="C1021">
        <f>IFERROR(LARGE(Segmen!$D$3:$D$6000,A1021),"")</f>
        <v/>
      </c>
    </row>
    <row r="1022">
      <c r="A1022" t="n">
        <v>1021</v>
      </c>
      <c r="B1022">
        <f>IFERROR(INDEX(Segmen!$A$3:$A$6000,MATCH(C1022,Segmen!$D$3:$D$6000,0)),"")</f>
        <v/>
      </c>
      <c r="C1022">
        <f>IFERROR(LARGE(Segmen!$D$3:$D$6000,A1022),"")</f>
        <v/>
      </c>
    </row>
    <row r="1023">
      <c r="A1023" t="n">
        <v>1022</v>
      </c>
      <c r="B1023">
        <f>IFERROR(INDEX(Segmen!$A$3:$A$6000,MATCH(C1023,Segmen!$D$3:$D$6000,0)),"")</f>
        <v/>
      </c>
      <c r="C1023">
        <f>IFERROR(LARGE(Segmen!$D$3:$D$6000,A1023),"")</f>
        <v/>
      </c>
    </row>
    <row r="1024">
      <c r="A1024" t="n">
        <v>1023</v>
      </c>
      <c r="B1024">
        <f>IFERROR(INDEX(Segmen!$A$3:$A$6000,MATCH(C1024,Segmen!$D$3:$D$6000,0)),"")</f>
        <v/>
      </c>
      <c r="C1024">
        <f>IFERROR(LARGE(Segmen!$D$3:$D$6000,A1024),"")</f>
        <v/>
      </c>
    </row>
    <row r="1025">
      <c r="A1025" t="n">
        <v>1024</v>
      </c>
      <c r="B1025">
        <f>IFERROR(INDEX(Segmen!$A$3:$A$6000,MATCH(C1025,Segmen!$D$3:$D$6000,0)),"")</f>
        <v/>
      </c>
      <c r="C1025">
        <f>IFERROR(LARGE(Segmen!$D$3:$D$6000,A1025),"")</f>
        <v/>
      </c>
    </row>
    <row r="1026">
      <c r="A1026" t="n">
        <v>1025</v>
      </c>
      <c r="B1026">
        <f>IFERROR(INDEX(Segmen!$A$3:$A$6000,MATCH(C1026,Segmen!$D$3:$D$6000,0)),"")</f>
        <v/>
      </c>
      <c r="C1026">
        <f>IFERROR(LARGE(Segmen!$D$3:$D$6000,A1026),"")</f>
        <v/>
      </c>
    </row>
    <row r="1027">
      <c r="A1027" t="n">
        <v>1026</v>
      </c>
      <c r="B1027">
        <f>IFERROR(INDEX(Segmen!$A$3:$A$6000,MATCH(C1027,Segmen!$D$3:$D$6000,0)),"")</f>
        <v/>
      </c>
      <c r="C1027">
        <f>IFERROR(LARGE(Segmen!$D$3:$D$6000,A1027),"")</f>
        <v/>
      </c>
    </row>
    <row r="1028">
      <c r="A1028" t="n">
        <v>1027</v>
      </c>
      <c r="B1028">
        <f>IFERROR(INDEX(Segmen!$A$3:$A$6000,MATCH(C1028,Segmen!$D$3:$D$6000,0)),"")</f>
        <v/>
      </c>
      <c r="C1028">
        <f>IFERROR(LARGE(Segmen!$D$3:$D$6000,A1028),"")</f>
        <v/>
      </c>
    </row>
    <row r="1029">
      <c r="A1029" t="n">
        <v>1028</v>
      </c>
      <c r="B1029">
        <f>IFERROR(INDEX(Segmen!$A$3:$A$6000,MATCH(C1029,Segmen!$D$3:$D$6000,0)),"")</f>
        <v/>
      </c>
      <c r="C1029">
        <f>IFERROR(LARGE(Segmen!$D$3:$D$6000,A1029),"")</f>
        <v/>
      </c>
    </row>
    <row r="1030">
      <c r="A1030" t="n">
        <v>1029</v>
      </c>
      <c r="B1030">
        <f>IFERROR(INDEX(Segmen!$A$3:$A$6000,MATCH(C1030,Segmen!$D$3:$D$6000,0)),"")</f>
        <v/>
      </c>
      <c r="C1030">
        <f>IFERROR(LARGE(Segmen!$D$3:$D$6000,A1030),"")</f>
        <v/>
      </c>
    </row>
    <row r="1031">
      <c r="A1031" t="n">
        <v>1030</v>
      </c>
      <c r="B1031">
        <f>IFERROR(INDEX(Segmen!$A$3:$A$6000,MATCH(C1031,Segmen!$D$3:$D$6000,0)),"")</f>
        <v/>
      </c>
      <c r="C1031">
        <f>IFERROR(LARGE(Segmen!$D$3:$D$6000,A1031),"")</f>
        <v/>
      </c>
    </row>
    <row r="1032">
      <c r="A1032" t="n">
        <v>1031</v>
      </c>
      <c r="B1032">
        <f>IFERROR(INDEX(Segmen!$A$3:$A$6000,MATCH(C1032,Segmen!$D$3:$D$6000,0)),"")</f>
        <v/>
      </c>
      <c r="C1032">
        <f>IFERROR(LARGE(Segmen!$D$3:$D$6000,A1032),"")</f>
        <v/>
      </c>
    </row>
    <row r="1033">
      <c r="A1033" t="n">
        <v>1032</v>
      </c>
      <c r="B1033">
        <f>IFERROR(INDEX(Segmen!$A$3:$A$6000,MATCH(C1033,Segmen!$D$3:$D$6000,0)),"")</f>
        <v/>
      </c>
      <c r="C1033">
        <f>IFERROR(LARGE(Segmen!$D$3:$D$6000,A1033),"")</f>
        <v/>
      </c>
    </row>
    <row r="1034">
      <c r="A1034" t="n">
        <v>1033</v>
      </c>
      <c r="B1034">
        <f>IFERROR(INDEX(Segmen!$A$3:$A$6000,MATCH(C1034,Segmen!$D$3:$D$6000,0)),"")</f>
        <v/>
      </c>
      <c r="C1034">
        <f>IFERROR(LARGE(Segmen!$D$3:$D$6000,A1034),"")</f>
        <v/>
      </c>
    </row>
    <row r="1035">
      <c r="A1035" t="n">
        <v>1034</v>
      </c>
      <c r="B1035">
        <f>IFERROR(INDEX(Segmen!$A$3:$A$6000,MATCH(C1035,Segmen!$D$3:$D$6000,0)),"")</f>
        <v/>
      </c>
      <c r="C1035">
        <f>IFERROR(LARGE(Segmen!$D$3:$D$6000,A1035),"")</f>
        <v/>
      </c>
    </row>
    <row r="1036">
      <c r="A1036" t="n">
        <v>1035</v>
      </c>
      <c r="B1036">
        <f>IFERROR(INDEX(Segmen!$A$3:$A$6000,MATCH(C1036,Segmen!$D$3:$D$6000,0)),"")</f>
        <v/>
      </c>
      <c r="C1036">
        <f>IFERROR(LARGE(Segmen!$D$3:$D$6000,A1036),"")</f>
        <v/>
      </c>
    </row>
    <row r="1037">
      <c r="A1037" t="n">
        <v>1036</v>
      </c>
      <c r="B1037">
        <f>IFERROR(INDEX(Segmen!$A$3:$A$6000,MATCH(C1037,Segmen!$D$3:$D$6000,0)),"")</f>
        <v/>
      </c>
      <c r="C1037">
        <f>IFERROR(LARGE(Segmen!$D$3:$D$6000,A1037),"")</f>
        <v/>
      </c>
    </row>
    <row r="1038">
      <c r="A1038" t="n">
        <v>1037</v>
      </c>
      <c r="B1038">
        <f>IFERROR(INDEX(Segmen!$A$3:$A$6000,MATCH(C1038,Segmen!$D$3:$D$6000,0)),"")</f>
        <v/>
      </c>
      <c r="C1038">
        <f>IFERROR(LARGE(Segmen!$D$3:$D$6000,A1038),"")</f>
        <v/>
      </c>
    </row>
    <row r="1039">
      <c r="A1039" t="n">
        <v>1038</v>
      </c>
      <c r="B1039">
        <f>IFERROR(INDEX(Segmen!$A$3:$A$6000,MATCH(C1039,Segmen!$D$3:$D$6000,0)),"")</f>
        <v/>
      </c>
      <c r="C1039">
        <f>IFERROR(LARGE(Segmen!$D$3:$D$6000,A1039),"")</f>
        <v/>
      </c>
    </row>
    <row r="1040">
      <c r="A1040" t="n">
        <v>1039</v>
      </c>
      <c r="B1040">
        <f>IFERROR(INDEX(Segmen!$A$3:$A$6000,MATCH(C1040,Segmen!$D$3:$D$6000,0)),"")</f>
        <v/>
      </c>
      <c r="C1040">
        <f>IFERROR(LARGE(Segmen!$D$3:$D$6000,A1040),"")</f>
        <v/>
      </c>
    </row>
    <row r="1041">
      <c r="A1041" t="n">
        <v>1040</v>
      </c>
      <c r="B1041">
        <f>IFERROR(INDEX(Segmen!$A$3:$A$6000,MATCH(C1041,Segmen!$D$3:$D$6000,0)),"")</f>
        <v/>
      </c>
      <c r="C1041">
        <f>IFERROR(LARGE(Segmen!$D$3:$D$6000,A1041),"")</f>
        <v/>
      </c>
    </row>
    <row r="1042">
      <c r="A1042" t="n">
        <v>1041</v>
      </c>
      <c r="B1042">
        <f>IFERROR(INDEX(Segmen!$A$3:$A$6000,MATCH(C1042,Segmen!$D$3:$D$6000,0)),"")</f>
        <v/>
      </c>
      <c r="C1042">
        <f>IFERROR(LARGE(Segmen!$D$3:$D$6000,A1042),"")</f>
        <v/>
      </c>
    </row>
    <row r="1043">
      <c r="A1043" t="n">
        <v>1042</v>
      </c>
      <c r="B1043">
        <f>IFERROR(INDEX(Segmen!$A$3:$A$6000,MATCH(C1043,Segmen!$D$3:$D$6000,0)),"")</f>
        <v/>
      </c>
      <c r="C1043">
        <f>IFERROR(LARGE(Segmen!$D$3:$D$6000,A1043),"")</f>
        <v/>
      </c>
    </row>
    <row r="1044">
      <c r="A1044" t="n">
        <v>1043</v>
      </c>
      <c r="B1044">
        <f>IFERROR(INDEX(Segmen!$A$3:$A$6000,MATCH(C1044,Segmen!$D$3:$D$6000,0)),"")</f>
        <v/>
      </c>
      <c r="C1044">
        <f>IFERROR(LARGE(Segmen!$D$3:$D$6000,A1044),"")</f>
        <v/>
      </c>
    </row>
    <row r="1045">
      <c r="A1045" t="n">
        <v>1044</v>
      </c>
      <c r="B1045">
        <f>IFERROR(INDEX(Segmen!$A$3:$A$6000,MATCH(C1045,Segmen!$D$3:$D$6000,0)),"")</f>
        <v/>
      </c>
      <c r="C1045">
        <f>IFERROR(LARGE(Segmen!$D$3:$D$6000,A1045),"")</f>
        <v/>
      </c>
    </row>
    <row r="1046">
      <c r="A1046" t="n">
        <v>1045</v>
      </c>
      <c r="B1046">
        <f>IFERROR(INDEX(Segmen!$A$3:$A$6000,MATCH(C1046,Segmen!$D$3:$D$6000,0)),"")</f>
        <v/>
      </c>
      <c r="C1046">
        <f>IFERROR(LARGE(Segmen!$D$3:$D$6000,A1046),"")</f>
        <v/>
      </c>
    </row>
    <row r="1047">
      <c r="A1047" t="n">
        <v>1046</v>
      </c>
      <c r="B1047">
        <f>IFERROR(INDEX(Segmen!$A$3:$A$6000,MATCH(C1047,Segmen!$D$3:$D$6000,0)),"")</f>
        <v/>
      </c>
      <c r="C1047">
        <f>IFERROR(LARGE(Segmen!$D$3:$D$6000,A1047),"")</f>
        <v/>
      </c>
    </row>
    <row r="1048">
      <c r="A1048" t="n">
        <v>1047</v>
      </c>
      <c r="B1048">
        <f>IFERROR(INDEX(Segmen!$A$3:$A$6000,MATCH(C1048,Segmen!$D$3:$D$6000,0)),"")</f>
        <v/>
      </c>
      <c r="C1048">
        <f>IFERROR(LARGE(Segmen!$D$3:$D$6000,A1048),"")</f>
        <v/>
      </c>
    </row>
    <row r="1049">
      <c r="A1049" t="n">
        <v>1048</v>
      </c>
      <c r="B1049">
        <f>IFERROR(INDEX(Segmen!$A$3:$A$6000,MATCH(C1049,Segmen!$D$3:$D$6000,0)),"")</f>
        <v/>
      </c>
      <c r="C1049">
        <f>IFERROR(LARGE(Segmen!$D$3:$D$6000,A1049),"")</f>
        <v/>
      </c>
    </row>
    <row r="1050">
      <c r="A1050" t="n">
        <v>1049</v>
      </c>
      <c r="B1050">
        <f>IFERROR(INDEX(Segmen!$A$3:$A$6000,MATCH(C1050,Segmen!$D$3:$D$6000,0)),"")</f>
        <v/>
      </c>
      <c r="C1050">
        <f>IFERROR(LARGE(Segmen!$D$3:$D$6000,A1050),"")</f>
        <v/>
      </c>
    </row>
    <row r="1051">
      <c r="A1051" t="n">
        <v>1050</v>
      </c>
      <c r="B1051">
        <f>IFERROR(INDEX(Segmen!$A$3:$A$6000,MATCH(C1051,Segmen!$D$3:$D$6000,0)),"")</f>
        <v/>
      </c>
      <c r="C1051">
        <f>IFERROR(LARGE(Segmen!$D$3:$D$6000,A1051),"")</f>
        <v/>
      </c>
    </row>
    <row r="1052">
      <c r="A1052" t="n">
        <v>1051</v>
      </c>
      <c r="B1052">
        <f>IFERROR(INDEX(Segmen!$A$3:$A$6000,MATCH(C1052,Segmen!$D$3:$D$6000,0)),"")</f>
        <v/>
      </c>
      <c r="C1052">
        <f>IFERROR(LARGE(Segmen!$D$3:$D$6000,A1052),"")</f>
        <v/>
      </c>
    </row>
    <row r="1053">
      <c r="A1053" t="n">
        <v>1052</v>
      </c>
      <c r="B1053">
        <f>IFERROR(INDEX(Segmen!$A$3:$A$6000,MATCH(C1053,Segmen!$D$3:$D$6000,0)),"")</f>
        <v/>
      </c>
      <c r="C1053">
        <f>IFERROR(LARGE(Segmen!$D$3:$D$6000,A1053),"")</f>
        <v/>
      </c>
    </row>
    <row r="1054">
      <c r="A1054" t="n">
        <v>1053</v>
      </c>
      <c r="B1054">
        <f>IFERROR(INDEX(Segmen!$A$3:$A$6000,MATCH(C1054,Segmen!$D$3:$D$6000,0)),"")</f>
        <v/>
      </c>
      <c r="C1054">
        <f>IFERROR(LARGE(Segmen!$D$3:$D$6000,A1054),"")</f>
        <v/>
      </c>
    </row>
    <row r="1055">
      <c r="A1055" t="n">
        <v>1054</v>
      </c>
      <c r="B1055">
        <f>IFERROR(INDEX(Segmen!$A$3:$A$6000,MATCH(C1055,Segmen!$D$3:$D$6000,0)),"")</f>
        <v/>
      </c>
      <c r="C1055">
        <f>IFERROR(LARGE(Segmen!$D$3:$D$6000,A1055),"")</f>
        <v/>
      </c>
    </row>
    <row r="1056">
      <c r="A1056" t="n">
        <v>1055</v>
      </c>
      <c r="B1056">
        <f>IFERROR(INDEX(Segmen!$A$3:$A$6000,MATCH(C1056,Segmen!$D$3:$D$6000,0)),"")</f>
        <v/>
      </c>
      <c r="C1056">
        <f>IFERROR(LARGE(Segmen!$D$3:$D$6000,A1056),"")</f>
        <v/>
      </c>
    </row>
    <row r="1057">
      <c r="A1057" t="n">
        <v>1056</v>
      </c>
      <c r="B1057">
        <f>IFERROR(INDEX(Segmen!$A$3:$A$6000,MATCH(C1057,Segmen!$D$3:$D$6000,0)),"")</f>
        <v/>
      </c>
      <c r="C1057">
        <f>IFERROR(LARGE(Segmen!$D$3:$D$6000,A1057),"")</f>
        <v/>
      </c>
    </row>
    <row r="1058">
      <c r="A1058" t="n">
        <v>1057</v>
      </c>
      <c r="B1058">
        <f>IFERROR(INDEX(Segmen!$A$3:$A$6000,MATCH(C1058,Segmen!$D$3:$D$6000,0)),"")</f>
        <v/>
      </c>
      <c r="C1058">
        <f>IFERROR(LARGE(Segmen!$D$3:$D$6000,A1058),"")</f>
        <v/>
      </c>
    </row>
    <row r="1059">
      <c r="A1059" t="n">
        <v>1058</v>
      </c>
      <c r="B1059">
        <f>IFERROR(INDEX(Segmen!$A$3:$A$6000,MATCH(C1059,Segmen!$D$3:$D$6000,0)),"")</f>
        <v/>
      </c>
      <c r="C1059">
        <f>IFERROR(LARGE(Segmen!$D$3:$D$6000,A1059),"")</f>
        <v/>
      </c>
    </row>
    <row r="1060">
      <c r="A1060" t="n">
        <v>1059</v>
      </c>
      <c r="B1060">
        <f>IFERROR(INDEX(Segmen!$A$3:$A$6000,MATCH(C1060,Segmen!$D$3:$D$6000,0)),"")</f>
        <v/>
      </c>
      <c r="C1060">
        <f>IFERROR(LARGE(Segmen!$D$3:$D$6000,A1060),"")</f>
        <v/>
      </c>
    </row>
    <row r="1061">
      <c r="A1061" t="n">
        <v>1060</v>
      </c>
      <c r="B1061">
        <f>IFERROR(INDEX(Segmen!$A$3:$A$6000,MATCH(C1061,Segmen!$D$3:$D$6000,0)),"")</f>
        <v/>
      </c>
      <c r="C1061">
        <f>IFERROR(LARGE(Segmen!$D$3:$D$6000,A1061),"")</f>
        <v/>
      </c>
    </row>
    <row r="1062">
      <c r="A1062" t="n">
        <v>1061</v>
      </c>
      <c r="B1062">
        <f>IFERROR(INDEX(Segmen!$A$3:$A$6000,MATCH(C1062,Segmen!$D$3:$D$6000,0)),"")</f>
        <v/>
      </c>
      <c r="C1062">
        <f>IFERROR(LARGE(Segmen!$D$3:$D$6000,A1062),"")</f>
        <v/>
      </c>
    </row>
    <row r="1063">
      <c r="A1063" t="n">
        <v>1062</v>
      </c>
      <c r="B1063">
        <f>IFERROR(INDEX(Segmen!$A$3:$A$6000,MATCH(C1063,Segmen!$D$3:$D$6000,0)),"")</f>
        <v/>
      </c>
      <c r="C1063">
        <f>IFERROR(LARGE(Segmen!$D$3:$D$6000,A1063),"")</f>
        <v/>
      </c>
    </row>
    <row r="1064">
      <c r="A1064" t="n">
        <v>1063</v>
      </c>
      <c r="B1064">
        <f>IFERROR(INDEX(Segmen!$A$3:$A$6000,MATCH(C1064,Segmen!$D$3:$D$6000,0)),"")</f>
        <v/>
      </c>
      <c r="C1064">
        <f>IFERROR(LARGE(Segmen!$D$3:$D$6000,A1064),"")</f>
        <v/>
      </c>
    </row>
    <row r="1065">
      <c r="A1065" t="n">
        <v>1064</v>
      </c>
      <c r="B1065">
        <f>IFERROR(INDEX(Segmen!$A$3:$A$6000,MATCH(C1065,Segmen!$D$3:$D$6000,0)),"")</f>
        <v/>
      </c>
      <c r="C1065">
        <f>IFERROR(LARGE(Segmen!$D$3:$D$6000,A1065),"")</f>
        <v/>
      </c>
    </row>
    <row r="1066">
      <c r="A1066" t="n">
        <v>1065</v>
      </c>
      <c r="B1066">
        <f>IFERROR(INDEX(Segmen!$A$3:$A$6000,MATCH(C1066,Segmen!$D$3:$D$6000,0)),"")</f>
        <v/>
      </c>
      <c r="C1066">
        <f>IFERROR(LARGE(Segmen!$D$3:$D$6000,A1066),"")</f>
        <v/>
      </c>
    </row>
    <row r="1067">
      <c r="A1067" t="n">
        <v>1066</v>
      </c>
      <c r="B1067">
        <f>IFERROR(INDEX(Segmen!$A$3:$A$6000,MATCH(C1067,Segmen!$D$3:$D$6000,0)),"")</f>
        <v/>
      </c>
      <c r="C1067">
        <f>IFERROR(LARGE(Segmen!$D$3:$D$6000,A1067),"")</f>
        <v/>
      </c>
    </row>
    <row r="1068">
      <c r="A1068" t="n">
        <v>1067</v>
      </c>
      <c r="B1068">
        <f>IFERROR(INDEX(Segmen!$A$3:$A$6000,MATCH(C1068,Segmen!$D$3:$D$6000,0)),"")</f>
        <v/>
      </c>
      <c r="C1068">
        <f>IFERROR(LARGE(Segmen!$D$3:$D$6000,A1068),"")</f>
        <v/>
      </c>
    </row>
    <row r="1069">
      <c r="A1069" t="n">
        <v>1068</v>
      </c>
      <c r="B1069">
        <f>IFERROR(INDEX(Segmen!$A$3:$A$6000,MATCH(C1069,Segmen!$D$3:$D$6000,0)),"")</f>
        <v/>
      </c>
      <c r="C1069">
        <f>IFERROR(LARGE(Segmen!$D$3:$D$6000,A1069),"")</f>
        <v/>
      </c>
    </row>
    <row r="1070">
      <c r="A1070" t="n">
        <v>1069</v>
      </c>
      <c r="B1070">
        <f>IFERROR(INDEX(Segmen!$A$3:$A$6000,MATCH(C1070,Segmen!$D$3:$D$6000,0)),"")</f>
        <v/>
      </c>
      <c r="C1070">
        <f>IFERROR(LARGE(Segmen!$D$3:$D$6000,A1070),"")</f>
        <v/>
      </c>
    </row>
    <row r="1071">
      <c r="A1071" t="n">
        <v>1070</v>
      </c>
      <c r="B1071">
        <f>IFERROR(INDEX(Segmen!$A$3:$A$6000,MATCH(C1071,Segmen!$D$3:$D$6000,0)),"")</f>
        <v/>
      </c>
      <c r="C1071">
        <f>IFERROR(LARGE(Segmen!$D$3:$D$6000,A1071),"")</f>
        <v/>
      </c>
    </row>
    <row r="1072">
      <c r="A1072" t="n">
        <v>1071</v>
      </c>
      <c r="B1072">
        <f>IFERROR(INDEX(Segmen!$A$3:$A$6000,MATCH(C1072,Segmen!$D$3:$D$6000,0)),"")</f>
        <v/>
      </c>
      <c r="C1072">
        <f>IFERROR(LARGE(Segmen!$D$3:$D$6000,A1072),"")</f>
        <v/>
      </c>
    </row>
    <row r="1073">
      <c r="A1073" t="n">
        <v>1072</v>
      </c>
      <c r="B1073">
        <f>IFERROR(INDEX(Segmen!$A$3:$A$6000,MATCH(C1073,Segmen!$D$3:$D$6000,0)),"")</f>
        <v/>
      </c>
      <c r="C1073">
        <f>IFERROR(LARGE(Segmen!$D$3:$D$6000,A1073),"")</f>
        <v/>
      </c>
    </row>
    <row r="1074">
      <c r="A1074" t="n">
        <v>1073</v>
      </c>
      <c r="B1074">
        <f>IFERROR(INDEX(Segmen!$A$3:$A$6000,MATCH(C1074,Segmen!$D$3:$D$6000,0)),"")</f>
        <v/>
      </c>
      <c r="C1074">
        <f>IFERROR(LARGE(Segmen!$D$3:$D$6000,A1074),"")</f>
        <v/>
      </c>
    </row>
    <row r="1075">
      <c r="A1075" t="n">
        <v>1074</v>
      </c>
      <c r="B1075">
        <f>IFERROR(INDEX(Segmen!$A$3:$A$6000,MATCH(C1075,Segmen!$D$3:$D$6000,0)),"")</f>
        <v/>
      </c>
      <c r="C1075">
        <f>IFERROR(LARGE(Segmen!$D$3:$D$6000,A1075),"")</f>
        <v/>
      </c>
    </row>
    <row r="1076">
      <c r="A1076" t="n">
        <v>1075</v>
      </c>
      <c r="B1076">
        <f>IFERROR(INDEX(Segmen!$A$3:$A$6000,MATCH(C1076,Segmen!$D$3:$D$6000,0)),"")</f>
        <v/>
      </c>
      <c r="C1076">
        <f>IFERROR(LARGE(Segmen!$D$3:$D$6000,A1076),"")</f>
        <v/>
      </c>
    </row>
    <row r="1077">
      <c r="A1077" t="n">
        <v>1076</v>
      </c>
      <c r="B1077">
        <f>IFERROR(INDEX(Segmen!$A$3:$A$6000,MATCH(C1077,Segmen!$D$3:$D$6000,0)),"")</f>
        <v/>
      </c>
      <c r="C1077">
        <f>IFERROR(LARGE(Segmen!$D$3:$D$6000,A1077),"")</f>
        <v/>
      </c>
    </row>
    <row r="1078">
      <c r="A1078" t="n">
        <v>1077</v>
      </c>
      <c r="B1078">
        <f>IFERROR(INDEX(Segmen!$A$3:$A$6000,MATCH(C1078,Segmen!$D$3:$D$6000,0)),"")</f>
        <v/>
      </c>
      <c r="C1078">
        <f>IFERROR(LARGE(Segmen!$D$3:$D$6000,A1078),"")</f>
        <v/>
      </c>
    </row>
    <row r="1079">
      <c r="A1079" t="n">
        <v>1078</v>
      </c>
      <c r="B1079">
        <f>IFERROR(INDEX(Segmen!$A$3:$A$6000,MATCH(C1079,Segmen!$D$3:$D$6000,0)),"")</f>
        <v/>
      </c>
      <c r="C1079">
        <f>IFERROR(LARGE(Segmen!$D$3:$D$6000,A1079),"")</f>
        <v/>
      </c>
    </row>
    <row r="1080">
      <c r="A1080" t="n">
        <v>1079</v>
      </c>
      <c r="B1080">
        <f>IFERROR(INDEX(Segmen!$A$3:$A$6000,MATCH(C1080,Segmen!$D$3:$D$6000,0)),"")</f>
        <v/>
      </c>
      <c r="C1080">
        <f>IFERROR(LARGE(Segmen!$D$3:$D$6000,A1080),"")</f>
        <v/>
      </c>
    </row>
    <row r="1081">
      <c r="A1081" t="n">
        <v>1080</v>
      </c>
      <c r="B1081">
        <f>IFERROR(INDEX(Segmen!$A$3:$A$6000,MATCH(C1081,Segmen!$D$3:$D$6000,0)),"")</f>
        <v/>
      </c>
      <c r="C1081">
        <f>IFERROR(LARGE(Segmen!$D$3:$D$6000,A1081),"")</f>
        <v/>
      </c>
    </row>
    <row r="1082">
      <c r="A1082" t="n">
        <v>1081</v>
      </c>
      <c r="B1082">
        <f>IFERROR(INDEX(Segmen!$A$3:$A$6000,MATCH(C1082,Segmen!$D$3:$D$6000,0)),"")</f>
        <v/>
      </c>
      <c r="C1082">
        <f>IFERROR(LARGE(Segmen!$D$3:$D$6000,A1082),"")</f>
        <v/>
      </c>
    </row>
    <row r="1083">
      <c r="A1083" t="n">
        <v>1082</v>
      </c>
      <c r="B1083">
        <f>IFERROR(INDEX(Segmen!$A$3:$A$6000,MATCH(C1083,Segmen!$D$3:$D$6000,0)),"")</f>
        <v/>
      </c>
      <c r="C1083">
        <f>IFERROR(LARGE(Segmen!$D$3:$D$6000,A1083),"")</f>
        <v/>
      </c>
    </row>
    <row r="1084">
      <c r="A1084" t="n">
        <v>1083</v>
      </c>
      <c r="B1084">
        <f>IFERROR(INDEX(Segmen!$A$3:$A$6000,MATCH(C1084,Segmen!$D$3:$D$6000,0)),"")</f>
        <v/>
      </c>
      <c r="C1084">
        <f>IFERROR(LARGE(Segmen!$D$3:$D$6000,A1084),"")</f>
        <v/>
      </c>
    </row>
    <row r="1085">
      <c r="A1085" t="n">
        <v>1084</v>
      </c>
      <c r="B1085">
        <f>IFERROR(INDEX(Segmen!$A$3:$A$6000,MATCH(C1085,Segmen!$D$3:$D$6000,0)),"")</f>
        <v/>
      </c>
      <c r="C1085">
        <f>IFERROR(LARGE(Segmen!$D$3:$D$6000,A1085),"")</f>
        <v/>
      </c>
    </row>
    <row r="1086">
      <c r="A1086" t="n">
        <v>1085</v>
      </c>
      <c r="B1086">
        <f>IFERROR(INDEX(Segmen!$A$3:$A$6000,MATCH(C1086,Segmen!$D$3:$D$6000,0)),"")</f>
        <v/>
      </c>
      <c r="C1086">
        <f>IFERROR(LARGE(Segmen!$D$3:$D$6000,A1086),"")</f>
        <v/>
      </c>
    </row>
    <row r="1087">
      <c r="A1087" t="n">
        <v>1086</v>
      </c>
      <c r="B1087">
        <f>IFERROR(INDEX(Segmen!$A$3:$A$6000,MATCH(C1087,Segmen!$D$3:$D$6000,0)),"")</f>
        <v/>
      </c>
      <c r="C1087">
        <f>IFERROR(LARGE(Segmen!$D$3:$D$6000,A1087),"")</f>
        <v/>
      </c>
    </row>
    <row r="1088">
      <c r="A1088" t="n">
        <v>1087</v>
      </c>
      <c r="B1088">
        <f>IFERROR(INDEX(Segmen!$A$3:$A$6000,MATCH(C1088,Segmen!$D$3:$D$6000,0)),"")</f>
        <v/>
      </c>
      <c r="C1088">
        <f>IFERROR(LARGE(Segmen!$D$3:$D$6000,A1088),"")</f>
        <v/>
      </c>
    </row>
    <row r="1089">
      <c r="A1089" t="n">
        <v>1088</v>
      </c>
      <c r="B1089">
        <f>IFERROR(INDEX(Segmen!$A$3:$A$6000,MATCH(C1089,Segmen!$D$3:$D$6000,0)),"")</f>
        <v/>
      </c>
      <c r="C1089">
        <f>IFERROR(LARGE(Segmen!$D$3:$D$6000,A1089),"")</f>
        <v/>
      </c>
    </row>
    <row r="1090">
      <c r="A1090" t="n">
        <v>1089</v>
      </c>
      <c r="B1090">
        <f>IFERROR(INDEX(Segmen!$A$3:$A$6000,MATCH(C1090,Segmen!$D$3:$D$6000,0)),"")</f>
        <v/>
      </c>
      <c r="C1090">
        <f>IFERROR(LARGE(Segmen!$D$3:$D$6000,A1090),"")</f>
        <v/>
      </c>
    </row>
    <row r="1091">
      <c r="A1091" t="n">
        <v>1090</v>
      </c>
      <c r="B1091">
        <f>IFERROR(INDEX(Segmen!$A$3:$A$6000,MATCH(C1091,Segmen!$D$3:$D$6000,0)),"")</f>
        <v/>
      </c>
      <c r="C1091">
        <f>IFERROR(LARGE(Segmen!$D$3:$D$6000,A1091),"")</f>
        <v/>
      </c>
    </row>
    <row r="1092">
      <c r="A1092" t="n">
        <v>1091</v>
      </c>
      <c r="B1092">
        <f>IFERROR(INDEX(Segmen!$A$3:$A$6000,MATCH(C1092,Segmen!$D$3:$D$6000,0)),"")</f>
        <v/>
      </c>
      <c r="C1092">
        <f>IFERROR(LARGE(Segmen!$D$3:$D$6000,A1092),"")</f>
        <v/>
      </c>
    </row>
    <row r="1093">
      <c r="A1093" t="n">
        <v>1092</v>
      </c>
      <c r="B1093">
        <f>IFERROR(INDEX(Segmen!$A$3:$A$6000,MATCH(C1093,Segmen!$D$3:$D$6000,0)),"")</f>
        <v/>
      </c>
      <c r="C1093">
        <f>IFERROR(LARGE(Segmen!$D$3:$D$6000,A1093),"")</f>
        <v/>
      </c>
    </row>
    <row r="1094">
      <c r="A1094" t="n">
        <v>1093</v>
      </c>
      <c r="B1094">
        <f>IFERROR(INDEX(Segmen!$A$3:$A$6000,MATCH(C1094,Segmen!$D$3:$D$6000,0)),"")</f>
        <v/>
      </c>
      <c r="C1094">
        <f>IFERROR(LARGE(Segmen!$D$3:$D$6000,A1094),"")</f>
        <v/>
      </c>
    </row>
    <row r="1095">
      <c r="A1095" t="n">
        <v>1094</v>
      </c>
      <c r="B1095">
        <f>IFERROR(INDEX(Segmen!$A$3:$A$6000,MATCH(C1095,Segmen!$D$3:$D$6000,0)),"")</f>
        <v/>
      </c>
      <c r="C1095">
        <f>IFERROR(LARGE(Segmen!$D$3:$D$6000,A1095),"")</f>
        <v/>
      </c>
    </row>
    <row r="1096">
      <c r="A1096" t="n">
        <v>1095</v>
      </c>
      <c r="B1096">
        <f>IFERROR(INDEX(Segmen!$A$3:$A$6000,MATCH(C1096,Segmen!$D$3:$D$6000,0)),"")</f>
        <v/>
      </c>
      <c r="C1096">
        <f>IFERROR(LARGE(Segmen!$D$3:$D$6000,A1096),"")</f>
        <v/>
      </c>
    </row>
    <row r="1097">
      <c r="A1097" t="n">
        <v>1096</v>
      </c>
      <c r="B1097">
        <f>IFERROR(INDEX(Segmen!$A$3:$A$6000,MATCH(C1097,Segmen!$D$3:$D$6000,0)),"")</f>
        <v/>
      </c>
      <c r="C1097">
        <f>IFERROR(LARGE(Segmen!$D$3:$D$6000,A1097),"")</f>
        <v/>
      </c>
    </row>
    <row r="1098">
      <c r="A1098" t="n">
        <v>1097</v>
      </c>
      <c r="B1098">
        <f>IFERROR(INDEX(Segmen!$A$3:$A$6000,MATCH(C1098,Segmen!$D$3:$D$6000,0)),"")</f>
        <v/>
      </c>
      <c r="C1098">
        <f>IFERROR(LARGE(Segmen!$D$3:$D$6000,A1098),"")</f>
        <v/>
      </c>
    </row>
    <row r="1099">
      <c r="A1099" t="n">
        <v>1098</v>
      </c>
      <c r="B1099">
        <f>IFERROR(INDEX(Segmen!$A$3:$A$6000,MATCH(C1099,Segmen!$D$3:$D$6000,0)),"")</f>
        <v/>
      </c>
      <c r="C1099">
        <f>IFERROR(LARGE(Segmen!$D$3:$D$6000,A1099),"")</f>
        <v/>
      </c>
    </row>
    <row r="1100">
      <c r="A1100" t="n">
        <v>1099</v>
      </c>
      <c r="B1100">
        <f>IFERROR(INDEX(Segmen!$A$3:$A$6000,MATCH(C1100,Segmen!$D$3:$D$6000,0)),"")</f>
        <v/>
      </c>
      <c r="C1100">
        <f>IFERROR(LARGE(Segmen!$D$3:$D$6000,A1100),"")</f>
        <v/>
      </c>
    </row>
    <row r="1101">
      <c r="A1101" t="n">
        <v>1100</v>
      </c>
      <c r="B1101">
        <f>IFERROR(INDEX(Segmen!$A$3:$A$6000,MATCH(C1101,Segmen!$D$3:$D$6000,0)),"")</f>
        <v/>
      </c>
      <c r="C1101">
        <f>IFERROR(LARGE(Segmen!$D$3:$D$6000,A1101),"")</f>
        <v/>
      </c>
    </row>
    <row r="1102">
      <c r="A1102" t="n">
        <v>1101</v>
      </c>
      <c r="B1102">
        <f>IFERROR(INDEX(Segmen!$A$3:$A$6000,MATCH(C1102,Segmen!$D$3:$D$6000,0)),"")</f>
        <v/>
      </c>
      <c r="C1102">
        <f>IFERROR(LARGE(Segmen!$D$3:$D$6000,A1102),"")</f>
        <v/>
      </c>
    </row>
    <row r="1103">
      <c r="A1103" t="n">
        <v>1102</v>
      </c>
      <c r="B1103">
        <f>IFERROR(INDEX(Segmen!$A$3:$A$6000,MATCH(C1103,Segmen!$D$3:$D$6000,0)),"")</f>
        <v/>
      </c>
      <c r="C1103">
        <f>IFERROR(LARGE(Segmen!$D$3:$D$6000,A1103),"")</f>
        <v/>
      </c>
    </row>
    <row r="1104">
      <c r="A1104" t="n">
        <v>1103</v>
      </c>
      <c r="B1104">
        <f>IFERROR(INDEX(Segmen!$A$3:$A$6000,MATCH(C1104,Segmen!$D$3:$D$6000,0)),"")</f>
        <v/>
      </c>
      <c r="C1104">
        <f>IFERROR(LARGE(Segmen!$D$3:$D$6000,A1104),"")</f>
        <v/>
      </c>
    </row>
    <row r="1105">
      <c r="A1105" t="n">
        <v>1104</v>
      </c>
      <c r="B1105">
        <f>IFERROR(INDEX(Segmen!$A$3:$A$6000,MATCH(C1105,Segmen!$D$3:$D$6000,0)),"")</f>
        <v/>
      </c>
      <c r="C1105">
        <f>IFERROR(LARGE(Segmen!$D$3:$D$6000,A1105),"")</f>
        <v/>
      </c>
    </row>
    <row r="1106">
      <c r="A1106" t="n">
        <v>1105</v>
      </c>
      <c r="B1106">
        <f>IFERROR(INDEX(Segmen!$A$3:$A$6000,MATCH(C1106,Segmen!$D$3:$D$6000,0)),"")</f>
        <v/>
      </c>
      <c r="C1106">
        <f>IFERROR(LARGE(Segmen!$D$3:$D$6000,A1106),"")</f>
        <v/>
      </c>
    </row>
    <row r="1107">
      <c r="A1107" t="n">
        <v>1106</v>
      </c>
      <c r="B1107">
        <f>IFERROR(INDEX(Segmen!$A$3:$A$6000,MATCH(C1107,Segmen!$D$3:$D$6000,0)),"")</f>
        <v/>
      </c>
      <c r="C1107">
        <f>IFERROR(LARGE(Segmen!$D$3:$D$6000,A1107),"")</f>
        <v/>
      </c>
    </row>
    <row r="1108">
      <c r="A1108" t="n">
        <v>1107</v>
      </c>
      <c r="B1108">
        <f>IFERROR(INDEX(Segmen!$A$3:$A$6000,MATCH(C1108,Segmen!$D$3:$D$6000,0)),"")</f>
        <v/>
      </c>
      <c r="C1108">
        <f>IFERROR(LARGE(Segmen!$D$3:$D$6000,A1108),"")</f>
        <v/>
      </c>
    </row>
    <row r="1109">
      <c r="A1109" t="n">
        <v>1108</v>
      </c>
      <c r="B1109">
        <f>IFERROR(INDEX(Segmen!$A$3:$A$6000,MATCH(C1109,Segmen!$D$3:$D$6000,0)),"")</f>
        <v/>
      </c>
      <c r="C1109">
        <f>IFERROR(LARGE(Segmen!$D$3:$D$6000,A1109),"")</f>
        <v/>
      </c>
    </row>
    <row r="1110">
      <c r="A1110" t="n">
        <v>1109</v>
      </c>
      <c r="B1110">
        <f>IFERROR(INDEX(Segmen!$A$3:$A$6000,MATCH(C1110,Segmen!$D$3:$D$6000,0)),"")</f>
        <v/>
      </c>
      <c r="C1110">
        <f>IFERROR(LARGE(Segmen!$D$3:$D$6000,A1110),"")</f>
        <v/>
      </c>
    </row>
    <row r="1111">
      <c r="A1111" t="n">
        <v>1110</v>
      </c>
      <c r="B1111">
        <f>IFERROR(INDEX(Segmen!$A$3:$A$6000,MATCH(C1111,Segmen!$D$3:$D$6000,0)),"")</f>
        <v/>
      </c>
      <c r="C1111">
        <f>IFERROR(LARGE(Segmen!$D$3:$D$6000,A1111),"")</f>
        <v/>
      </c>
    </row>
    <row r="1112">
      <c r="A1112" t="n">
        <v>1111</v>
      </c>
      <c r="B1112">
        <f>IFERROR(INDEX(Segmen!$A$3:$A$6000,MATCH(C1112,Segmen!$D$3:$D$6000,0)),"")</f>
        <v/>
      </c>
      <c r="C1112">
        <f>IFERROR(LARGE(Segmen!$D$3:$D$6000,A1112),"")</f>
        <v/>
      </c>
    </row>
    <row r="1113">
      <c r="A1113" t="n">
        <v>1112</v>
      </c>
      <c r="B1113">
        <f>IFERROR(INDEX(Segmen!$A$3:$A$6000,MATCH(C1113,Segmen!$D$3:$D$6000,0)),"")</f>
        <v/>
      </c>
      <c r="C1113">
        <f>IFERROR(LARGE(Segmen!$D$3:$D$6000,A1113),"")</f>
        <v/>
      </c>
    </row>
    <row r="1114">
      <c r="A1114" t="n">
        <v>1113</v>
      </c>
      <c r="B1114">
        <f>IFERROR(INDEX(Segmen!$A$3:$A$6000,MATCH(C1114,Segmen!$D$3:$D$6000,0)),"")</f>
        <v/>
      </c>
      <c r="C1114">
        <f>IFERROR(LARGE(Segmen!$D$3:$D$6000,A1114),"")</f>
        <v/>
      </c>
    </row>
    <row r="1115">
      <c r="A1115" t="n">
        <v>1114</v>
      </c>
      <c r="B1115">
        <f>IFERROR(INDEX(Segmen!$A$3:$A$6000,MATCH(C1115,Segmen!$D$3:$D$6000,0)),"")</f>
        <v/>
      </c>
      <c r="C1115">
        <f>IFERROR(LARGE(Segmen!$D$3:$D$6000,A1115),"")</f>
        <v/>
      </c>
    </row>
    <row r="1116">
      <c r="A1116" t="n">
        <v>1115</v>
      </c>
      <c r="B1116">
        <f>IFERROR(INDEX(Segmen!$A$3:$A$6000,MATCH(C1116,Segmen!$D$3:$D$6000,0)),"")</f>
        <v/>
      </c>
      <c r="C1116">
        <f>IFERROR(LARGE(Segmen!$D$3:$D$6000,A1116),"")</f>
        <v/>
      </c>
    </row>
    <row r="1117">
      <c r="A1117" t="n">
        <v>1116</v>
      </c>
      <c r="B1117">
        <f>IFERROR(INDEX(Segmen!$A$3:$A$6000,MATCH(C1117,Segmen!$D$3:$D$6000,0)),"")</f>
        <v/>
      </c>
      <c r="C1117">
        <f>IFERROR(LARGE(Segmen!$D$3:$D$6000,A1117),"")</f>
        <v/>
      </c>
    </row>
    <row r="1118">
      <c r="A1118" t="n">
        <v>1117</v>
      </c>
      <c r="B1118">
        <f>IFERROR(INDEX(Segmen!$A$3:$A$6000,MATCH(C1118,Segmen!$D$3:$D$6000,0)),"")</f>
        <v/>
      </c>
      <c r="C1118">
        <f>IFERROR(LARGE(Segmen!$D$3:$D$6000,A1118),"")</f>
        <v/>
      </c>
    </row>
    <row r="1119">
      <c r="A1119" t="n">
        <v>1118</v>
      </c>
      <c r="B1119">
        <f>IFERROR(INDEX(Segmen!$A$3:$A$6000,MATCH(C1119,Segmen!$D$3:$D$6000,0)),"")</f>
        <v/>
      </c>
      <c r="C1119">
        <f>IFERROR(LARGE(Segmen!$D$3:$D$6000,A1119),"")</f>
        <v/>
      </c>
    </row>
    <row r="1120">
      <c r="A1120" t="n">
        <v>1119</v>
      </c>
      <c r="B1120">
        <f>IFERROR(INDEX(Segmen!$A$3:$A$6000,MATCH(C1120,Segmen!$D$3:$D$6000,0)),"")</f>
        <v/>
      </c>
      <c r="C1120">
        <f>IFERROR(LARGE(Segmen!$D$3:$D$6000,A1120),"")</f>
        <v/>
      </c>
    </row>
    <row r="1121">
      <c r="A1121" t="n">
        <v>1120</v>
      </c>
      <c r="B1121">
        <f>IFERROR(INDEX(Segmen!$A$3:$A$6000,MATCH(C1121,Segmen!$D$3:$D$6000,0)),"")</f>
        <v/>
      </c>
      <c r="C1121">
        <f>IFERROR(LARGE(Segmen!$D$3:$D$6000,A1121),"")</f>
        <v/>
      </c>
    </row>
    <row r="1122">
      <c r="A1122" t="n">
        <v>1121</v>
      </c>
      <c r="B1122">
        <f>IFERROR(INDEX(Segmen!$A$3:$A$6000,MATCH(C1122,Segmen!$D$3:$D$6000,0)),"")</f>
        <v/>
      </c>
      <c r="C1122">
        <f>IFERROR(LARGE(Segmen!$D$3:$D$6000,A1122),"")</f>
        <v/>
      </c>
    </row>
    <row r="1123">
      <c r="A1123" t="n">
        <v>1122</v>
      </c>
      <c r="B1123">
        <f>IFERROR(INDEX(Segmen!$A$3:$A$6000,MATCH(C1123,Segmen!$D$3:$D$6000,0)),"")</f>
        <v/>
      </c>
      <c r="C1123">
        <f>IFERROR(LARGE(Segmen!$D$3:$D$6000,A1123),"")</f>
        <v/>
      </c>
    </row>
    <row r="1124">
      <c r="A1124" t="n">
        <v>1123</v>
      </c>
      <c r="B1124">
        <f>IFERROR(INDEX(Segmen!$A$3:$A$6000,MATCH(C1124,Segmen!$D$3:$D$6000,0)),"")</f>
        <v/>
      </c>
      <c r="C1124">
        <f>IFERROR(LARGE(Segmen!$D$3:$D$6000,A1124),"")</f>
        <v/>
      </c>
    </row>
    <row r="1125">
      <c r="A1125" t="n">
        <v>1124</v>
      </c>
      <c r="B1125">
        <f>IFERROR(INDEX(Segmen!$A$3:$A$6000,MATCH(C1125,Segmen!$D$3:$D$6000,0)),"")</f>
        <v/>
      </c>
      <c r="C1125">
        <f>IFERROR(LARGE(Segmen!$D$3:$D$6000,A1125),"")</f>
        <v/>
      </c>
    </row>
    <row r="1126">
      <c r="A1126" t="n">
        <v>1125</v>
      </c>
      <c r="B1126">
        <f>IFERROR(INDEX(Segmen!$A$3:$A$6000,MATCH(C1126,Segmen!$D$3:$D$6000,0)),"")</f>
        <v/>
      </c>
      <c r="C1126">
        <f>IFERROR(LARGE(Segmen!$D$3:$D$6000,A1126),"")</f>
        <v/>
      </c>
    </row>
    <row r="1127">
      <c r="A1127" t="n">
        <v>1126</v>
      </c>
      <c r="B1127">
        <f>IFERROR(INDEX(Segmen!$A$3:$A$6000,MATCH(C1127,Segmen!$D$3:$D$6000,0)),"")</f>
        <v/>
      </c>
      <c r="C1127">
        <f>IFERROR(LARGE(Segmen!$D$3:$D$6000,A1127),"")</f>
        <v/>
      </c>
    </row>
    <row r="1128">
      <c r="A1128" t="n">
        <v>1127</v>
      </c>
      <c r="B1128">
        <f>IFERROR(INDEX(Segmen!$A$3:$A$6000,MATCH(C1128,Segmen!$D$3:$D$6000,0)),"")</f>
        <v/>
      </c>
      <c r="C1128">
        <f>IFERROR(LARGE(Segmen!$D$3:$D$6000,A1128),"")</f>
        <v/>
      </c>
    </row>
    <row r="1129">
      <c r="A1129" t="n">
        <v>1128</v>
      </c>
      <c r="B1129">
        <f>IFERROR(INDEX(Segmen!$A$3:$A$6000,MATCH(C1129,Segmen!$D$3:$D$6000,0)),"")</f>
        <v/>
      </c>
      <c r="C1129">
        <f>IFERROR(LARGE(Segmen!$D$3:$D$6000,A1129),"")</f>
        <v/>
      </c>
    </row>
    <row r="1130">
      <c r="A1130" t="n">
        <v>1129</v>
      </c>
      <c r="B1130">
        <f>IFERROR(INDEX(Segmen!$A$3:$A$6000,MATCH(C1130,Segmen!$D$3:$D$6000,0)),"")</f>
        <v/>
      </c>
      <c r="C1130">
        <f>IFERROR(LARGE(Segmen!$D$3:$D$6000,A1130),"")</f>
        <v/>
      </c>
    </row>
    <row r="1131">
      <c r="A1131" t="n">
        <v>1130</v>
      </c>
      <c r="B1131">
        <f>IFERROR(INDEX(Segmen!$A$3:$A$6000,MATCH(C1131,Segmen!$D$3:$D$6000,0)),"")</f>
        <v/>
      </c>
      <c r="C1131">
        <f>IFERROR(LARGE(Segmen!$D$3:$D$6000,A1131),"")</f>
        <v/>
      </c>
    </row>
    <row r="1132">
      <c r="A1132" t="n">
        <v>1131</v>
      </c>
      <c r="B1132">
        <f>IFERROR(INDEX(Segmen!$A$3:$A$6000,MATCH(C1132,Segmen!$D$3:$D$6000,0)),"")</f>
        <v/>
      </c>
      <c r="C1132">
        <f>IFERROR(LARGE(Segmen!$D$3:$D$6000,A1132),"")</f>
        <v/>
      </c>
    </row>
    <row r="1133">
      <c r="A1133" t="n">
        <v>1132</v>
      </c>
      <c r="B1133">
        <f>IFERROR(INDEX(Segmen!$A$3:$A$6000,MATCH(C1133,Segmen!$D$3:$D$6000,0)),"")</f>
        <v/>
      </c>
      <c r="C1133">
        <f>IFERROR(LARGE(Segmen!$D$3:$D$6000,A1133),"")</f>
        <v/>
      </c>
    </row>
    <row r="1134">
      <c r="A1134" t="n">
        <v>1133</v>
      </c>
      <c r="B1134">
        <f>IFERROR(INDEX(Segmen!$A$3:$A$6000,MATCH(C1134,Segmen!$D$3:$D$6000,0)),"")</f>
        <v/>
      </c>
      <c r="C1134">
        <f>IFERROR(LARGE(Segmen!$D$3:$D$6000,A1134),"")</f>
        <v/>
      </c>
    </row>
    <row r="1135">
      <c r="A1135" t="n">
        <v>1134</v>
      </c>
      <c r="B1135">
        <f>IFERROR(INDEX(Segmen!$A$3:$A$6000,MATCH(C1135,Segmen!$D$3:$D$6000,0)),"")</f>
        <v/>
      </c>
      <c r="C1135">
        <f>IFERROR(LARGE(Segmen!$D$3:$D$6000,A1135),"")</f>
        <v/>
      </c>
    </row>
    <row r="1136">
      <c r="A1136" t="n">
        <v>1135</v>
      </c>
      <c r="B1136">
        <f>IFERROR(INDEX(Segmen!$A$3:$A$6000,MATCH(C1136,Segmen!$D$3:$D$6000,0)),"")</f>
        <v/>
      </c>
      <c r="C1136">
        <f>IFERROR(LARGE(Segmen!$D$3:$D$6000,A1136),"")</f>
        <v/>
      </c>
    </row>
    <row r="1137">
      <c r="A1137" t="n">
        <v>1136</v>
      </c>
      <c r="B1137">
        <f>IFERROR(INDEX(Segmen!$A$3:$A$6000,MATCH(C1137,Segmen!$D$3:$D$6000,0)),"")</f>
        <v/>
      </c>
      <c r="C1137">
        <f>IFERROR(LARGE(Segmen!$D$3:$D$6000,A1137),"")</f>
        <v/>
      </c>
    </row>
    <row r="1138">
      <c r="A1138" t="n">
        <v>1137</v>
      </c>
      <c r="B1138">
        <f>IFERROR(INDEX(Segmen!$A$3:$A$6000,MATCH(C1138,Segmen!$D$3:$D$6000,0)),"")</f>
        <v/>
      </c>
      <c r="C1138">
        <f>IFERROR(LARGE(Segmen!$D$3:$D$6000,A1138),"")</f>
        <v/>
      </c>
    </row>
    <row r="1139">
      <c r="A1139" t="n">
        <v>1138</v>
      </c>
      <c r="B1139">
        <f>IFERROR(INDEX(Segmen!$A$3:$A$6000,MATCH(C1139,Segmen!$D$3:$D$6000,0)),"")</f>
        <v/>
      </c>
      <c r="C1139">
        <f>IFERROR(LARGE(Segmen!$D$3:$D$6000,A1139),"")</f>
        <v/>
      </c>
    </row>
    <row r="1140">
      <c r="A1140" t="n">
        <v>1139</v>
      </c>
      <c r="B1140">
        <f>IFERROR(INDEX(Segmen!$A$3:$A$6000,MATCH(C1140,Segmen!$D$3:$D$6000,0)),"")</f>
        <v/>
      </c>
      <c r="C1140">
        <f>IFERROR(LARGE(Segmen!$D$3:$D$6000,A1140),"")</f>
        <v/>
      </c>
    </row>
    <row r="1141">
      <c r="A1141" t="n">
        <v>1140</v>
      </c>
      <c r="B1141">
        <f>IFERROR(INDEX(Segmen!$A$3:$A$6000,MATCH(C1141,Segmen!$D$3:$D$6000,0)),"")</f>
        <v/>
      </c>
      <c r="C1141">
        <f>IFERROR(LARGE(Segmen!$D$3:$D$6000,A1141),"")</f>
        <v/>
      </c>
    </row>
    <row r="1142">
      <c r="A1142" t="n">
        <v>1141</v>
      </c>
      <c r="B1142">
        <f>IFERROR(INDEX(Segmen!$A$3:$A$6000,MATCH(C1142,Segmen!$D$3:$D$6000,0)),"")</f>
        <v/>
      </c>
      <c r="C1142">
        <f>IFERROR(LARGE(Segmen!$D$3:$D$6000,A1142),"")</f>
        <v/>
      </c>
    </row>
    <row r="1143">
      <c r="A1143" t="n">
        <v>1142</v>
      </c>
      <c r="B1143">
        <f>IFERROR(INDEX(Segmen!$A$3:$A$6000,MATCH(C1143,Segmen!$D$3:$D$6000,0)),"")</f>
        <v/>
      </c>
      <c r="C1143">
        <f>IFERROR(LARGE(Segmen!$D$3:$D$6000,A1143),"")</f>
        <v/>
      </c>
    </row>
    <row r="1144">
      <c r="A1144" t="n">
        <v>1143</v>
      </c>
      <c r="B1144">
        <f>IFERROR(INDEX(Segmen!$A$3:$A$6000,MATCH(C1144,Segmen!$D$3:$D$6000,0)),"")</f>
        <v/>
      </c>
      <c r="C1144">
        <f>IFERROR(LARGE(Segmen!$D$3:$D$6000,A1144),"")</f>
        <v/>
      </c>
    </row>
    <row r="1145">
      <c r="A1145" t="n">
        <v>1144</v>
      </c>
      <c r="B1145">
        <f>IFERROR(INDEX(Segmen!$A$3:$A$6000,MATCH(C1145,Segmen!$D$3:$D$6000,0)),"")</f>
        <v/>
      </c>
      <c r="C1145">
        <f>IFERROR(LARGE(Segmen!$D$3:$D$6000,A1145),"")</f>
        <v/>
      </c>
    </row>
    <row r="1146">
      <c r="A1146" t="n">
        <v>1145</v>
      </c>
      <c r="B1146">
        <f>IFERROR(INDEX(Segmen!$A$3:$A$6000,MATCH(C1146,Segmen!$D$3:$D$6000,0)),"")</f>
        <v/>
      </c>
      <c r="C1146">
        <f>IFERROR(LARGE(Segmen!$D$3:$D$6000,A1146),"")</f>
        <v/>
      </c>
    </row>
    <row r="1147">
      <c r="A1147" t="n">
        <v>1146</v>
      </c>
      <c r="B1147">
        <f>IFERROR(INDEX(Segmen!$A$3:$A$6000,MATCH(C1147,Segmen!$D$3:$D$6000,0)),"")</f>
        <v/>
      </c>
      <c r="C1147">
        <f>IFERROR(LARGE(Segmen!$D$3:$D$6000,A1147),"")</f>
        <v/>
      </c>
    </row>
    <row r="1148">
      <c r="A1148" t="n">
        <v>1147</v>
      </c>
      <c r="B1148">
        <f>IFERROR(INDEX(Segmen!$A$3:$A$6000,MATCH(C1148,Segmen!$D$3:$D$6000,0)),"")</f>
        <v/>
      </c>
      <c r="C1148">
        <f>IFERROR(LARGE(Segmen!$D$3:$D$6000,A1148),"")</f>
        <v/>
      </c>
    </row>
    <row r="1149">
      <c r="A1149" t="n">
        <v>1148</v>
      </c>
      <c r="B1149">
        <f>IFERROR(INDEX(Segmen!$A$3:$A$6000,MATCH(C1149,Segmen!$D$3:$D$6000,0)),"")</f>
        <v/>
      </c>
      <c r="C1149">
        <f>IFERROR(LARGE(Segmen!$D$3:$D$6000,A1149),"")</f>
        <v/>
      </c>
    </row>
    <row r="1150">
      <c r="A1150" t="n">
        <v>1149</v>
      </c>
      <c r="B1150">
        <f>IFERROR(INDEX(Segmen!$A$3:$A$6000,MATCH(C1150,Segmen!$D$3:$D$6000,0)),"")</f>
        <v/>
      </c>
      <c r="C1150">
        <f>IFERROR(LARGE(Segmen!$D$3:$D$6000,A1150),"")</f>
        <v/>
      </c>
    </row>
    <row r="1151">
      <c r="A1151" t="n">
        <v>1150</v>
      </c>
      <c r="B1151">
        <f>IFERROR(INDEX(Segmen!$A$3:$A$6000,MATCH(C1151,Segmen!$D$3:$D$6000,0)),"")</f>
        <v/>
      </c>
      <c r="C1151">
        <f>IFERROR(LARGE(Segmen!$D$3:$D$6000,A1151),"")</f>
        <v/>
      </c>
    </row>
    <row r="1152">
      <c r="A1152" t="n">
        <v>1151</v>
      </c>
      <c r="B1152">
        <f>IFERROR(INDEX(Segmen!$A$3:$A$6000,MATCH(C1152,Segmen!$D$3:$D$6000,0)),"")</f>
        <v/>
      </c>
      <c r="C1152">
        <f>IFERROR(LARGE(Segmen!$D$3:$D$6000,A1152),"")</f>
        <v/>
      </c>
    </row>
    <row r="1153">
      <c r="A1153" t="n">
        <v>1152</v>
      </c>
      <c r="B1153">
        <f>IFERROR(INDEX(Segmen!$A$3:$A$6000,MATCH(C1153,Segmen!$D$3:$D$6000,0)),"")</f>
        <v/>
      </c>
      <c r="C1153">
        <f>IFERROR(LARGE(Segmen!$D$3:$D$6000,A1153),"")</f>
        <v/>
      </c>
    </row>
    <row r="1154">
      <c r="A1154" t="n">
        <v>1153</v>
      </c>
      <c r="B1154">
        <f>IFERROR(INDEX(Segmen!$A$3:$A$6000,MATCH(C1154,Segmen!$D$3:$D$6000,0)),"")</f>
        <v/>
      </c>
      <c r="C1154">
        <f>IFERROR(LARGE(Segmen!$D$3:$D$6000,A1154),"")</f>
        <v/>
      </c>
    </row>
    <row r="1155">
      <c r="A1155" t="n">
        <v>1154</v>
      </c>
      <c r="B1155">
        <f>IFERROR(INDEX(Segmen!$A$3:$A$6000,MATCH(C1155,Segmen!$D$3:$D$6000,0)),"")</f>
        <v/>
      </c>
      <c r="C1155">
        <f>IFERROR(LARGE(Segmen!$D$3:$D$6000,A1155),"")</f>
        <v/>
      </c>
    </row>
    <row r="1156">
      <c r="A1156" t="n">
        <v>1155</v>
      </c>
      <c r="B1156">
        <f>IFERROR(INDEX(Segmen!$A$3:$A$6000,MATCH(C1156,Segmen!$D$3:$D$6000,0)),"")</f>
        <v/>
      </c>
      <c r="C1156">
        <f>IFERROR(LARGE(Segmen!$D$3:$D$6000,A1156),"")</f>
        <v/>
      </c>
    </row>
    <row r="1157">
      <c r="A1157" t="n">
        <v>1156</v>
      </c>
      <c r="B1157">
        <f>IFERROR(INDEX(Segmen!$A$3:$A$6000,MATCH(C1157,Segmen!$D$3:$D$6000,0)),"")</f>
        <v/>
      </c>
      <c r="C1157">
        <f>IFERROR(LARGE(Segmen!$D$3:$D$6000,A1157),"")</f>
        <v/>
      </c>
    </row>
    <row r="1158">
      <c r="A1158" t="n">
        <v>1157</v>
      </c>
      <c r="B1158">
        <f>IFERROR(INDEX(Segmen!$A$3:$A$6000,MATCH(C1158,Segmen!$D$3:$D$6000,0)),"")</f>
        <v/>
      </c>
      <c r="C1158">
        <f>IFERROR(LARGE(Segmen!$D$3:$D$6000,A1158),"")</f>
        <v/>
      </c>
    </row>
    <row r="1159">
      <c r="A1159" t="n">
        <v>1158</v>
      </c>
      <c r="B1159">
        <f>IFERROR(INDEX(Segmen!$A$3:$A$6000,MATCH(C1159,Segmen!$D$3:$D$6000,0)),"")</f>
        <v/>
      </c>
      <c r="C1159">
        <f>IFERROR(LARGE(Segmen!$D$3:$D$6000,A1159),"")</f>
        <v/>
      </c>
    </row>
    <row r="1160">
      <c r="A1160" t="n">
        <v>1159</v>
      </c>
      <c r="B1160">
        <f>IFERROR(INDEX(Segmen!$A$3:$A$6000,MATCH(C1160,Segmen!$D$3:$D$6000,0)),"")</f>
        <v/>
      </c>
      <c r="C1160">
        <f>IFERROR(LARGE(Segmen!$D$3:$D$6000,A1160),"")</f>
        <v/>
      </c>
    </row>
    <row r="1161">
      <c r="A1161" t="n">
        <v>1160</v>
      </c>
      <c r="B1161">
        <f>IFERROR(INDEX(Segmen!$A$3:$A$6000,MATCH(C1161,Segmen!$D$3:$D$6000,0)),"")</f>
        <v/>
      </c>
      <c r="C1161">
        <f>IFERROR(LARGE(Segmen!$D$3:$D$6000,A1161),"")</f>
        <v/>
      </c>
    </row>
    <row r="1162">
      <c r="A1162" t="n">
        <v>1161</v>
      </c>
      <c r="B1162">
        <f>IFERROR(INDEX(Segmen!$A$3:$A$6000,MATCH(C1162,Segmen!$D$3:$D$6000,0)),"")</f>
        <v/>
      </c>
      <c r="C1162">
        <f>IFERROR(LARGE(Segmen!$D$3:$D$6000,A1162),"")</f>
        <v/>
      </c>
    </row>
    <row r="1163">
      <c r="A1163" t="n">
        <v>1162</v>
      </c>
      <c r="B1163">
        <f>IFERROR(INDEX(Segmen!$A$3:$A$6000,MATCH(C1163,Segmen!$D$3:$D$6000,0)),"")</f>
        <v/>
      </c>
      <c r="C1163">
        <f>IFERROR(LARGE(Segmen!$D$3:$D$6000,A1163),"")</f>
        <v/>
      </c>
    </row>
    <row r="1164">
      <c r="A1164" t="n">
        <v>1163</v>
      </c>
      <c r="B1164">
        <f>IFERROR(INDEX(Segmen!$A$3:$A$6000,MATCH(C1164,Segmen!$D$3:$D$6000,0)),"")</f>
        <v/>
      </c>
      <c r="C1164">
        <f>IFERROR(LARGE(Segmen!$D$3:$D$6000,A1164),"")</f>
        <v/>
      </c>
    </row>
    <row r="1165">
      <c r="A1165" t="n">
        <v>1164</v>
      </c>
      <c r="B1165">
        <f>IFERROR(INDEX(Segmen!$A$3:$A$6000,MATCH(C1165,Segmen!$D$3:$D$6000,0)),"")</f>
        <v/>
      </c>
      <c r="C1165">
        <f>IFERROR(LARGE(Segmen!$D$3:$D$6000,A1165),"")</f>
        <v/>
      </c>
    </row>
    <row r="1166">
      <c r="A1166" t="n">
        <v>1165</v>
      </c>
      <c r="B1166">
        <f>IFERROR(INDEX(Segmen!$A$3:$A$6000,MATCH(C1166,Segmen!$D$3:$D$6000,0)),"")</f>
        <v/>
      </c>
      <c r="C1166">
        <f>IFERROR(LARGE(Segmen!$D$3:$D$6000,A1166),"")</f>
        <v/>
      </c>
    </row>
    <row r="1167">
      <c r="A1167" t="n">
        <v>1166</v>
      </c>
      <c r="B1167">
        <f>IFERROR(INDEX(Segmen!$A$3:$A$6000,MATCH(C1167,Segmen!$D$3:$D$6000,0)),"")</f>
        <v/>
      </c>
      <c r="C1167">
        <f>IFERROR(LARGE(Segmen!$D$3:$D$6000,A1167),"")</f>
        <v/>
      </c>
    </row>
    <row r="1168">
      <c r="A1168" t="n">
        <v>1167</v>
      </c>
      <c r="B1168">
        <f>IFERROR(INDEX(Segmen!$A$3:$A$6000,MATCH(C1168,Segmen!$D$3:$D$6000,0)),"")</f>
        <v/>
      </c>
      <c r="C1168">
        <f>IFERROR(LARGE(Segmen!$D$3:$D$6000,A1168),"")</f>
        <v/>
      </c>
    </row>
    <row r="1169">
      <c r="A1169" t="n">
        <v>1168</v>
      </c>
      <c r="B1169">
        <f>IFERROR(INDEX(Segmen!$A$3:$A$6000,MATCH(C1169,Segmen!$D$3:$D$6000,0)),"")</f>
        <v/>
      </c>
      <c r="C1169">
        <f>IFERROR(LARGE(Segmen!$D$3:$D$6000,A1169),"")</f>
        <v/>
      </c>
    </row>
    <row r="1170">
      <c r="A1170" t="n">
        <v>1169</v>
      </c>
      <c r="B1170">
        <f>IFERROR(INDEX(Segmen!$A$3:$A$6000,MATCH(C1170,Segmen!$D$3:$D$6000,0)),"")</f>
        <v/>
      </c>
      <c r="C1170">
        <f>IFERROR(LARGE(Segmen!$D$3:$D$6000,A1170),"")</f>
        <v/>
      </c>
    </row>
    <row r="1171">
      <c r="A1171" t="n">
        <v>1170</v>
      </c>
      <c r="B1171">
        <f>IFERROR(INDEX(Segmen!$A$3:$A$6000,MATCH(C1171,Segmen!$D$3:$D$6000,0)),"")</f>
        <v/>
      </c>
      <c r="C1171">
        <f>IFERROR(LARGE(Segmen!$D$3:$D$6000,A1171),"")</f>
        <v/>
      </c>
    </row>
    <row r="1172">
      <c r="A1172" t="n">
        <v>1171</v>
      </c>
      <c r="B1172">
        <f>IFERROR(INDEX(Segmen!$A$3:$A$6000,MATCH(C1172,Segmen!$D$3:$D$6000,0)),"")</f>
        <v/>
      </c>
      <c r="C1172">
        <f>IFERROR(LARGE(Segmen!$D$3:$D$6000,A1172),"")</f>
        <v/>
      </c>
    </row>
    <row r="1173">
      <c r="A1173" t="n">
        <v>1172</v>
      </c>
      <c r="B1173">
        <f>IFERROR(INDEX(Segmen!$A$3:$A$6000,MATCH(C1173,Segmen!$D$3:$D$6000,0)),"")</f>
        <v/>
      </c>
      <c r="C1173">
        <f>IFERROR(LARGE(Segmen!$D$3:$D$6000,A1173),"")</f>
        <v/>
      </c>
    </row>
    <row r="1174">
      <c r="A1174" t="n">
        <v>1173</v>
      </c>
      <c r="B1174">
        <f>IFERROR(INDEX(Segmen!$A$3:$A$6000,MATCH(C1174,Segmen!$D$3:$D$6000,0)),"")</f>
        <v/>
      </c>
      <c r="C1174">
        <f>IFERROR(LARGE(Segmen!$D$3:$D$6000,A1174),"")</f>
        <v/>
      </c>
    </row>
    <row r="1175">
      <c r="A1175" t="n">
        <v>1174</v>
      </c>
      <c r="B1175">
        <f>IFERROR(INDEX(Segmen!$A$3:$A$6000,MATCH(C1175,Segmen!$D$3:$D$6000,0)),"")</f>
        <v/>
      </c>
      <c r="C1175">
        <f>IFERROR(LARGE(Segmen!$D$3:$D$6000,A1175),"")</f>
        <v/>
      </c>
    </row>
    <row r="1176">
      <c r="A1176" t="n">
        <v>1175</v>
      </c>
      <c r="B1176">
        <f>IFERROR(INDEX(Segmen!$A$3:$A$6000,MATCH(C1176,Segmen!$D$3:$D$6000,0)),"")</f>
        <v/>
      </c>
      <c r="C1176">
        <f>IFERROR(LARGE(Segmen!$D$3:$D$6000,A1176),"")</f>
        <v/>
      </c>
    </row>
    <row r="1177">
      <c r="A1177" t="n">
        <v>1176</v>
      </c>
      <c r="B1177">
        <f>IFERROR(INDEX(Segmen!$A$3:$A$6000,MATCH(C1177,Segmen!$D$3:$D$6000,0)),"")</f>
        <v/>
      </c>
      <c r="C1177">
        <f>IFERROR(LARGE(Segmen!$D$3:$D$6000,A1177),"")</f>
        <v/>
      </c>
    </row>
    <row r="1178">
      <c r="A1178" t="n">
        <v>1177</v>
      </c>
      <c r="B1178">
        <f>IFERROR(INDEX(Segmen!$A$3:$A$6000,MATCH(C1178,Segmen!$D$3:$D$6000,0)),"")</f>
        <v/>
      </c>
      <c r="C1178">
        <f>IFERROR(LARGE(Segmen!$D$3:$D$6000,A1178),"")</f>
        <v/>
      </c>
    </row>
    <row r="1179">
      <c r="A1179" t="n">
        <v>1178</v>
      </c>
      <c r="B1179">
        <f>IFERROR(INDEX(Segmen!$A$3:$A$6000,MATCH(C1179,Segmen!$D$3:$D$6000,0)),"")</f>
        <v/>
      </c>
      <c r="C1179">
        <f>IFERROR(LARGE(Segmen!$D$3:$D$6000,A1179),"")</f>
        <v/>
      </c>
    </row>
    <row r="1180">
      <c r="A1180" t="n">
        <v>1179</v>
      </c>
      <c r="B1180">
        <f>IFERROR(INDEX(Segmen!$A$3:$A$6000,MATCH(C1180,Segmen!$D$3:$D$6000,0)),"")</f>
        <v/>
      </c>
      <c r="C1180">
        <f>IFERROR(LARGE(Segmen!$D$3:$D$6000,A1180),"")</f>
        <v/>
      </c>
    </row>
    <row r="1181">
      <c r="A1181" t="n">
        <v>1180</v>
      </c>
      <c r="B1181">
        <f>IFERROR(INDEX(Segmen!$A$3:$A$6000,MATCH(C1181,Segmen!$D$3:$D$6000,0)),"")</f>
        <v/>
      </c>
      <c r="C1181">
        <f>IFERROR(LARGE(Segmen!$D$3:$D$6000,A1181),"")</f>
        <v/>
      </c>
    </row>
    <row r="1182">
      <c r="A1182" t="n">
        <v>1181</v>
      </c>
      <c r="B1182">
        <f>IFERROR(INDEX(Segmen!$A$3:$A$6000,MATCH(C1182,Segmen!$D$3:$D$6000,0)),"")</f>
        <v/>
      </c>
      <c r="C1182">
        <f>IFERROR(LARGE(Segmen!$D$3:$D$6000,A1182),"")</f>
        <v/>
      </c>
    </row>
    <row r="1183">
      <c r="A1183" t="n">
        <v>1182</v>
      </c>
      <c r="B1183">
        <f>IFERROR(INDEX(Segmen!$A$3:$A$6000,MATCH(C1183,Segmen!$D$3:$D$6000,0)),"")</f>
        <v/>
      </c>
      <c r="C1183">
        <f>IFERROR(LARGE(Segmen!$D$3:$D$6000,A1183),"")</f>
        <v/>
      </c>
    </row>
    <row r="1184">
      <c r="A1184" t="n">
        <v>1183</v>
      </c>
      <c r="B1184">
        <f>IFERROR(INDEX(Segmen!$A$3:$A$6000,MATCH(C1184,Segmen!$D$3:$D$6000,0)),"")</f>
        <v/>
      </c>
      <c r="C1184">
        <f>IFERROR(LARGE(Segmen!$D$3:$D$6000,A1184),"")</f>
        <v/>
      </c>
    </row>
    <row r="1185">
      <c r="A1185" t="n">
        <v>1184</v>
      </c>
      <c r="B1185">
        <f>IFERROR(INDEX(Segmen!$A$3:$A$6000,MATCH(C1185,Segmen!$D$3:$D$6000,0)),"")</f>
        <v/>
      </c>
      <c r="C1185">
        <f>IFERROR(LARGE(Segmen!$D$3:$D$6000,A1185),"")</f>
        <v/>
      </c>
    </row>
    <row r="1186">
      <c r="A1186" t="n">
        <v>1185</v>
      </c>
      <c r="B1186">
        <f>IFERROR(INDEX(Segmen!$A$3:$A$6000,MATCH(C1186,Segmen!$D$3:$D$6000,0)),"")</f>
        <v/>
      </c>
      <c r="C1186">
        <f>IFERROR(LARGE(Segmen!$D$3:$D$6000,A1186),"")</f>
        <v/>
      </c>
    </row>
    <row r="1187">
      <c r="A1187" t="n">
        <v>1186</v>
      </c>
      <c r="B1187">
        <f>IFERROR(INDEX(Segmen!$A$3:$A$6000,MATCH(C1187,Segmen!$D$3:$D$6000,0)),"")</f>
        <v/>
      </c>
      <c r="C1187">
        <f>IFERROR(LARGE(Segmen!$D$3:$D$6000,A1187),"")</f>
        <v/>
      </c>
    </row>
    <row r="1188">
      <c r="A1188" t="n">
        <v>1187</v>
      </c>
      <c r="B1188">
        <f>IFERROR(INDEX(Segmen!$A$3:$A$6000,MATCH(C1188,Segmen!$D$3:$D$6000,0)),"")</f>
        <v/>
      </c>
      <c r="C1188">
        <f>IFERROR(LARGE(Segmen!$D$3:$D$6000,A1188),"")</f>
        <v/>
      </c>
    </row>
    <row r="1189">
      <c r="A1189" t="n">
        <v>1188</v>
      </c>
      <c r="B1189">
        <f>IFERROR(INDEX(Segmen!$A$3:$A$6000,MATCH(C1189,Segmen!$D$3:$D$6000,0)),"")</f>
        <v/>
      </c>
      <c r="C1189">
        <f>IFERROR(LARGE(Segmen!$D$3:$D$6000,A1189),"")</f>
        <v/>
      </c>
    </row>
    <row r="1190">
      <c r="A1190" t="n">
        <v>1189</v>
      </c>
      <c r="B1190">
        <f>IFERROR(INDEX(Segmen!$A$3:$A$6000,MATCH(C1190,Segmen!$D$3:$D$6000,0)),"")</f>
        <v/>
      </c>
      <c r="C1190">
        <f>IFERROR(LARGE(Segmen!$D$3:$D$6000,A1190),"")</f>
        <v/>
      </c>
    </row>
    <row r="1191">
      <c r="A1191" t="n">
        <v>1190</v>
      </c>
      <c r="B1191">
        <f>IFERROR(INDEX(Segmen!$A$3:$A$6000,MATCH(C1191,Segmen!$D$3:$D$6000,0)),"")</f>
        <v/>
      </c>
      <c r="C1191">
        <f>IFERROR(LARGE(Segmen!$D$3:$D$6000,A1191),"")</f>
        <v/>
      </c>
    </row>
    <row r="1192">
      <c r="A1192" t="n">
        <v>1191</v>
      </c>
      <c r="B1192">
        <f>IFERROR(INDEX(Segmen!$A$3:$A$6000,MATCH(C1192,Segmen!$D$3:$D$6000,0)),"")</f>
        <v/>
      </c>
      <c r="C1192">
        <f>IFERROR(LARGE(Segmen!$D$3:$D$6000,A1192),"")</f>
        <v/>
      </c>
    </row>
    <row r="1193">
      <c r="A1193" t="n">
        <v>1192</v>
      </c>
      <c r="B1193">
        <f>IFERROR(INDEX(Segmen!$A$3:$A$6000,MATCH(C1193,Segmen!$D$3:$D$6000,0)),"")</f>
        <v/>
      </c>
      <c r="C1193">
        <f>IFERROR(LARGE(Segmen!$D$3:$D$6000,A1193),"")</f>
        <v/>
      </c>
    </row>
    <row r="1194">
      <c r="A1194" t="n">
        <v>1193</v>
      </c>
      <c r="B1194">
        <f>IFERROR(INDEX(Segmen!$A$3:$A$6000,MATCH(C1194,Segmen!$D$3:$D$6000,0)),"")</f>
        <v/>
      </c>
      <c r="C1194">
        <f>IFERROR(LARGE(Segmen!$D$3:$D$6000,A1194),"")</f>
        <v/>
      </c>
    </row>
    <row r="1195">
      <c r="A1195" t="n">
        <v>1194</v>
      </c>
      <c r="B1195">
        <f>IFERROR(INDEX(Segmen!$A$3:$A$6000,MATCH(C1195,Segmen!$D$3:$D$6000,0)),"")</f>
        <v/>
      </c>
      <c r="C1195">
        <f>IFERROR(LARGE(Segmen!$D$3:$D$6000,A1195),"")</f>
        <v/>
      </c>
    </row>
    <row r="1196">
      <c r="A1196" t="n">
        <v>1195</v>
      </c>
      <c r="B1196">
        <f>IFERROR(INDEX(Segmen!$A$3:$A$6000,MATCH(C1196,Segmen!$D$3:$D$6000,0)),"")</f>
        <v/>
      </c>
      <c r="C1196">
        <f>IFERROR(LARGE(Segmen!$D$3:$D$6000,A1196),"")</f>
        <v/>
      </c>
    </row>
    <row r="1197">
      <c r="A1197" t="n">
        <v>1196</v>
      </c>
      <c r="B1197">
        <f>IFERROR(INDEX(Segmen!$A$3:$A$6000,MATCH(C1197,Segmen!$D$3:$D$6000,0)),"")</f>
        <v/>
      </c>
      <c r="C1197">
        <f>IFERROR(LARGE(Segmen!$D$3:$D$6000,A1197),"")</f>
        <v/>
      </c>
    </row>
    <row r="1198">
      <c r="A1198" t="n">
        <v>1197</v>
      </c>
      <c r="B1198">
        <f>IFERROR(INDEX(Segmen!$A$3:$A$6000,MATCH(C1198,Segmen!$D$3:$D$6000,0)),"")</f>
        <v/>
      </c>
      <c r="C1198">
        <f>IFERROR(LARGE(Segmen!$D$3:$D$6000,A1198),"")</f>
        <v/>
      </c>
    </row>
    <row r="1199">
      <c r="A1199" t="n">
        <v>1198</v>
      </c>
      <c r="B1199">
        <f>IFERROR(INDEX(Segmen!$A$3:$A$6000,MATCH(C1199,Segmen!$D$3:$D$6000,0)),"")</f>
        <v/>
      </c>
      <c r="C1199">
        <f>IFERROR(LARGE(Segmen!$D$3:$D$6000,A1199),"")</f>
        <v/>
      </c>
    </row>
    <row r="1200">
      <c r="A1200" t="n">
        <v>1199</v>
      </c>
      <c r="B1200">
        <f>IFERROR(INDEX(Segmen!$A$3:$A$6000,MATCH(C1200,Segmen!$D$3:$D$6000,0)),"")</f>
        <v/>
      </c>
      <c r="C1200">
        <f>IFERROR(LARGE(Segmen!$D$3:$D$6000,A1200),"")</f>
        <v/>
      </c>
    </row>
    <row r="1201">
      <c r="A1201" t="n">
        <v>1200</v>
      </c>
      <c r="B1201">
        <f>IFERROR(INDEX(Segmen!$A$3:$A$6000,MATCH(C1201,Segmen!$D$3:$D$6000,0)),"")</f>
        <v/>
      </c>
      <c r="C1201">
        <f>IFERROR(LARGE(Segmen!$D$3:$D$6000,A1201),"")</f>
        <v/>
      </c>
    </row>
    <row r="1202">
      <c r="A1202" t="n">
        <v>1201</v>
      </c>
      <c r="B1202">
        <f>IFERROR(INDEX(Segmen!$A$3:$A$6000,MATCH(C1202,Segmen!$D$3:$D$6000,0)),"")</f>
        <v/>
      </c>
      <c r="C1202">
        <f>IFERROR(LARGE(Segmen!$D$3:$D$6000,A1202),"")</f>
        <v/>
      </c>
    </row>
    <row r="1203">
      <c r="A1203" t="n">
        <v>1202</v>
      </c>
      <c r="B1203">
        <f>IFERROR(INDEX(Segmen!$A$3:$A$6000,MATCH(C1203,Segmen!$D$3:$D$6000,0)),"")</f>
        <v/>
      </c>
      <c r="C1203">
        <f>IFERROR(LARGE(Segmen!$D$3:$D$6000,A1203),"")</f>
        <v/>
      </c>
    </row>
    <row r="1204">
      <c r="A1204" t="n">
        <v>1203</v>
      </c>
      <c r="B1204">
        <f>IFERROR(INDEX(Segmen!$A$3:$A$6000,MATCH(C1204,Segmen!$D$3:$D$6000,0)),"")</f>
        <v/>
      </c>
      <c r="C1204">
        <f>IFERROR(LARGE(Segmen!$D$3:$D$6000,A1204),"")</f>
        <v/>
      </c>
    </row>
    <row r="1205">
      <c r="A1205" t="n">
        <v>1204</v>
      </c>
      <c r="B1205">
        <f>IFERROR(INDEX(Segmen!$A$3:$A$6000,MATCH(C1205,Segmen!$D$3:$D$6000,0)),"")</f>
        <v/>
      </c>
      <c r="C1205">
        <f>IFERROR(LARGE(Segmen!$D$3:$D$6000,A1205),"")</f>
        <v/>
      </c>
    </row>
    <row r="1206">
      <c r="A1206" t="n">
        <v>1205</v>
      </c>
      <c r="B1206">
        <f>IFERROR(INDEX(Segmen!$A$3:$A$6000,MATCH(C1206,Segmen!$D$3:$D$6000,0)),"")</f>
        <v/>
      </c>
      <c r="C1206">
        <f>IFERROR(LARGE(Segmen!$D$3:$D$6000,A1206),"")</f>
        <v/>
      </c>
    </row>
    <row r="1207">
      <c r="A1207" t="n">
        <v>1206</v>
      </c>
      <c r="B1207">
        <f>IFERROR(INDEX(Segmen!$A$3:$A$6000,MATCH(C1207,Segmen!$D$3:$D$6000,0)),"")</f>
        <v/>
      </c>
      <c r="C1207">
        <f>IFERROR(LARGE(Segmen!$D$3:$D$6000,A1207),"")</f>
        <v/>
      </c>
    </row>
    <row r="1208">
      <c r="A1208" t="n">
        <v>1207</v>
      </c>
      <c r="B1208">
        <f>IFERROR(INDEX(Segmen!$A$3:$A$6000,MATCH(C1208,Segmen!$D$3:$D$6000,0)),"")</f>
        <v/>
      </c>
      <c r="C1208">
        <f>IFERROR(LARGE(Segmen!$D$3:$D$6000,A1208),"")</f>
        <v/>
      </c>
    </row>
    <row r="1209">
      <c r="A1209" t="n">
        <v>1208</v>
      </c>
      <c r="B1209">
        <f>IFERROR(INDEX(Segmen!$A$3:$A$6000,MATCH(C1209,Segmen!$D$3:$D$6000,0)),"")</f>
        <v/>
      </c>
      <c r="C1209">
        <f>IFERROR(LARGE(Segmen!$D$3:$D$6000,A1209),"")</f>
        <v/>
      </c>
    </row>
    <row r="1210">
      <c r="A1210" t="n">
        <v>1209</v>
      </c>
      <c r="B1210">
        <f>IFERROR(INDEX(Segmen!$A$3:$A$6000,MATCH(C1210,Segmen!$D$3:$D$6000,0)),"")</f>
        <v/>
      </c>
      <c r="C1210">
        <f>IFERROR(LARGE(Segmen!$D$3:$D$6000,A1210),"")</f>
        <v/>
      </c>
    </row>
    <row r="1211">
      <c r="A1211" t="n">
        <v>1210</v>
      </c>
      <c r="B1211">
        <f>IFERROR(INDEX(Segmen!$A$3:$A$6000,MATCH(C1211,Segmen!$D$3:$D$6000,0)),"")</f>
        <v/>
      </c>
      <c r="C1211">
        <f>IFERROR(LARGE(Segmen!$D$3:$D$6000,A1211),"")</f>
        <v/>
      </c>
    </row>
    <row r="1212">
      <c r="A1212" t="n">
        <v>1211</v>
      </c>
      <c r="B1212">
        <f>IFERROR(INDEX(Segmen!$A$3:$A$6000,MATCH(C1212,Segmen!$D$3:$D$6000,0)),"")</f>
        <v/>
      </c>
      <c r="C1212">
        <f>IFERROR(LARGE(Segmen!$D$3:$D$6000,A1212),"")</f>
        <v/>
      </c>
    </row>
    <row r="1213">
      <c r="A1213" t="n">
        <v>1212</v>
      </c>
      <c r="B1213">
        <f>IFERROR(INDEX(Segmen!$A$3:$A$6000,MATCH(C1213,Segmen!$D$3:$D$6000,0)),"")</f>
        <v/>
      </c>
      <c r="C1213">
        <f>IFERROR(LARGE(Segmen!$D$3:$D$6000,A1213),"")</f>
        <v/>
      </c>
    </row>
    <row r="1214">
      <c r="A1214" t="n">
        <v>1213</v>
      </c>
      <c r="B1214">
        <f>IFERROR(INDEX(Segmen!$A$3:$A$6000,MATCH(C1214,Segmen!$D$3:$D$6000,0)),"")</f>
        <v/>
      </c>
      <c r="C1214">
        <f>IFERROR(LARGE(Segmen!$D$3:$D$6000,A1214),"")</f>
        <v/>
      </c>
    </row>
    <row r="1215">
      <c r="A1215" t="n">
        <v>1214</v>
      </c>
      <c r="B1215">
        <f>IFERROR(INDEX(Segmen!$A$3:$A$6000,MATCH(C1215,Segmen!$D$3:$D$6000,0)),"")</f>
        <v/>
      </c>
      <c r="C1215">
        <f>IFERROR(LARGE(Segmen!$D$3:$D$6000,A1215),"")</f>
        <v/>
      </c>
    </row>
    <row r="1216">
      <c r="A1216" t="n">
        <v>1215</v>
      </c>
      <c r="B1216">
        <f>IFERROR(INDEX(Segmen!$A$3:$A$6000,MATCH(C1216,Segmen!$D$3:$D$6000,0)),"")</f>
        <v/>
      </c>
      <c r="C1216">
        <f>IFERROR(LARGE(Segmen!$D$3:$D$6000,A1216),"")</f>
        <v/>
      </c>
    </row>
    <row r="1217">
      <c r="A1217" t="n">
        <v>1216</v>
      </c>
      <c r="B1217">
        <f>IFERROR(INDEX(Segmen!$A$3:$A$6000,MATCH(C1217,Segmen!$D$3:$D$6000,0)),"")</f>
        <v/>
      </c>
      <c r="C1217">
        <f>IFERROR(LARGE(Segmen!$D$3:$D$6000,A1217),"")</f>
        <v/>
      </c>
    </row>
    <row r="1218">
      <c r="A1218" t="n">
        <v>1217</v>
      </c>
      <c r="B1218">
        <f>IFERROR(INDEX(Segmen!$A$3:$A$6000,MATCH(C1218,Segmen!$D$3:$D$6000,0)),"")</f>
        <v/>
      </c>
      <c r="C1218">
        <f>IFERROR(LARGE(Segmen!$D$3:$D$6000,A1218),"")</f>
        <v/>
      </c>
    </row>
    <row r="1219">
      <c r="A1219" t="n">
        <v>1218</v>
      </c>
      <c r="B1219">
        <f>IFERROR(INDEX(Segmen!$A$3:$A$6000,MATCH(C1219,Segmen!$D$3:$D$6000,0)),"")</f>
        <v/>
      </c>
      <c r="C1219">
        <f>IFERROR(LARGE(Segmen!$D$3:$D$6000,A1219),"")</f>
        <v/>
      </c>
    </row>
    <row r="1220">
      <c r="A1220" t="n">
        <v>1219</v>
      </c>
      <c r="B1220">
        <f>IFERROR(INDEX(Segmen!$A$3:$A$6000,MATCH(C1220,Segmen!$D$3:$D$6000,0)),"")</f>
        <v/>
      </c>
      <c r="C1220">
        <f>IFERROR(LARGE(Segmen!$D$3:$D$6000,A1220),"")</f>
        <v/>
      </c>
    </row>
    <row r="1221">
      <c r="A1221" t="n">
        <v>1220</v>
      </c>
      <c r="B1221">
        <f>IFERROR(INDEX(Segmen!$A$3:$A$6000,MATCH(C1221,Segmen!$D$3:$D$6000,0)),"")</f>
        <v/>
      </c>
      <c r="C1221">
        <f>IFERROR(LARGE(Segmen!$D$3:$D$6000,A1221),"")</f>
        <v/>
      </c>
    </row>
    <row r="1222">
      <c r="A1222" t="n">
        <v>1221</v>
      </c>
      <c r="B1222">
        <f>IFERROR(INDEX(Segmen!$A$3:$A$6000,MATCH(C1222,Segmen!$D$3:$D$6000,0)),"")</f>
        <v/>
      </c>
      <c r="C1222">
        <f>IFERROR(LARGE(Segmen!$D$3:$D$6000,A1222),"")</f>
        <v/>
      </c>
    </row>
    <row r="1223">
      <c r="A1223" t="n">
        <v>1222</v>
      </c>
      <c r="B1223">
        <f>IFERROR(INDEX(Segmen!$A$3:$A$6000,MATCH(C1223,Segmen!$D$3:$D$6000,0)),"")</f>
        <v/>
      </c>
      <c r="C1223">
        <f>IFERROR(LARGE(Segmen!$D$3:$D$6000,A1223),"")</f>
        <v/>
      </c>
    </row>
    <row r="1224">
      <c r="A1224" t="n">
        <v>1223</v>
      </c>
      <c r="B1224">
        <f>IFERROR(INDEX(Segmen!$A$3:$A$6000,MATCH(C1224,Segmen!$D$3:$D$6000,0)),"")</f>
        <v/>
      </c>
      <c r="C1224">
        <f>IFERROR(LARGE(Segmen!$D$3:$D$6000,A1224),"")</f>
        <v/>
      </c>
    </row>
    <row r="1225">
      <c r="A1225" t="n">
        <v>1224</v>
      </c>
      <c r="B1225">
        <f>IFERROR(INDEX(Segmen!$A$3:$A$6000,MATCH(C1225,Segmen!$D$3:$D$6000,0)),"")</f>
        <v/>
      </c>
      <c r="C1225">
        <f>IFERROR(LARGE(Segmen!$D$3:$D$6000,A1225),"")</f>
        <v/>
      </c>
    </row>
    <row r="1226">
      <c r="A1226" t="n">
        <v>1225</v>
      </c>
      <c r="B1226">
        <f>IFERROR(INDEX(Segmen!$A$3:$A$6000,MATCH(C1226,Segmen!$D$3:$D$6000,0)),"")</f>
        <v/>
      </c>
      <c r="C1226">
        <f>IFERROR(LARGE(Segmen!$D$3:$D$6000,A1226),"")</f>
        <v/>
      </c>
    </row>
    <row r="1227">
      <c r="A1227" t="n">
        <v>1226</v>
      </c>
      <c r="B1227">
        <f>IFERROR(INDEX(Segmen!$A$3:$A$6000,MATCH(C1227,Segmen!$D$3:$D$6000,0)),"")</f>
        <v/>
      </c>
      <c r="C1227">
        <f>IFERROR(LARGE(Segmen!$D$3:$D$6000,A1227),"")</f>
        <v/>
      </c>
    </row>
    <row r="1228">
      <c r="A1228" t="n">
        <v>1227</v>
      </c>
      <c r="B1228">
        <f>IFERROR(INDEX(Segmen!$A$3:$A$6000,MATCH(C1228,Segmen!$D$3:$D$6000,0)),"")</f>
        <v/>
      </c>
      <c r="C1228">
        <f>IFERROR(LARGE(Segmen!$D$3:$D$6000,A1228),"")</f>
        <v/>
      </c>
    </row>
    <row r="1229">
      <c r="A1229" t="n">
        <v>1228</v>
      </c>
      <c r="B1229">
        <f>IFERROR(INDEX(Segmen!$A$3:$A$6000,MATCH(C1229,Segmen!$D$3:$D$6000,0)),"")</f>
        <v/>
      </c>
      <c r="C1229">
        <f>IFERROR(LARGE(Segmen!$D$3:$D$6000,A1229),"")</f>
        <v/>
      </c>
    </row>
    <row r="1230">
      <c r="A1230" t="n">
        <v>1229</v>
      </c>
      <c r="B1230">
        <f>IFERROR(INDEX(Segmen!$A$3:$A$6000,MATCH(C1230,Segmen!$D$3:$D$6000,0)),"")</f>
        <v/>
      </c>
      <c r="C1230">
        <f>IFERROR(LARGE(Segmen!$D$3:$D$6000,A1230),"")</f>
        <v/>
      </c>
    </row>
    <row r="1231">
      <c r="A1231" t="n">
        <v>1230</v>
      </c>
      <c r="B1231">
        <f>IFERROR(INDEX(Segmen!$A$3:$A$6000,MATCH(C1231,Segmen!$D$3:$D$6000,0)),"")</f>
        <v/>
      </c>
      <c r="C1231">
        <f>IFERROR(LARGE(Segmen!$D$3:$D$6000,A1231),"")</f>
        <v/>
      </c>
    </row>
    <row r="1232">
      <c r="A1232" t="n">
        <v>1231</v>
      </c>
      <c r="B1232">
        <f>IFERROR(INDEX(Segmen!$A$3:$A$6000,MATCH(C1232,Segmen!$D$3:$D$6000,0)),"")</f>
        <v/>
      </c>
      <c r="C1232">
        <f>IFERROR(LARGE(Segmen!$D$3:$D$6000,A1232),"")</f>
        <v/>
      </c>
    </row>
    <row r="1233">
      <c r="A1233" t="n">
        <v>1232</v>
      </c>
      <c r="B1233">
        <f>IFERROR(INDEX(Segmen!$A$3:$A$6000,MATCH(C1233,Segmen!$D$3:$D$6000,0)),"")</f>
        <v/>
      </c>
      <c r="C1233">
        <f>IFERROR(LARGE(Segmen!$D$3:$D$6000,A1233),"")</f>
        <v/>
      </c>
    </row>
    <row r="1234">
      <c r="A1234" t="n">
        <v>1233</v>
      </c>
      <c r="B1234">
        <f>IFERROR(INDEX(Segmen!$A$3:$A$6000,MATCH(C1234,Segmen!$D$3:$D$6000,0)),"")</f>
        <v/>
      </c>
      <c r="C1234">
        <f>IFERROR(LARGE(Segmen!$D$3:$D$6000,A1234),"")</f>
        <v/>
      </c>
    </row>
    <row r="1235">
      <c r="A1235" t="n">
        <v>1234</v>
      </c>
      <c r="B1235">
        <f>IFERROR(INDEX(Segmen!$A$3:$A$6000,MATCH(C1235,Segmen!$D$3:$D$6000,0)),"")</f>
        <v/>
      </c>
      <c r="C1235">
        <f>IFERROR(LARGE(Segmen!$D$3:$D$6000,A1235),"")</f>
        <v/>
      </c>
    </row>
    <row r="1236">
      <c r="A1236" t="n">
        <v>1235</v>
      </c>
      <c r="B1236">
        <f>IFERROR(INDEX(Segmen!$A$3:$A$6000,MATCH(C1236,Segmen!$D$3:$D$6000,0)),"")</f>
        <v/>
      </c>
      <c r="C1236">
        <f>IFERROR(LARGE(Segmen!$D$3:$D$6000,A1236),"")</f>
        <v/>
      </c>
    </row>
    <row r="1237">
      <c r="A1237" t="n">
        <v>1236</v>
      </c>
      <c r="B1237">
        <f>IFERROR(INDEX(Segmen!$A$3:$A$6000,MATCH(C1237,Segmen!$D$3:$D$6000,0)),"")</f>
        <v/>
      </c>
      <c r="C1237">
        <f>IFERROR(LARGE(Segmen!$D$3:$D$6000,A1237),"")</f>
        <v/>
      </c>
    </row>
    <row r="1238">
      <c r="A1238" t="n">
        <v>1237</v>
      </c>
      <c r="B1238">
        <f>IFERROR(INDEX(Segmen!$A$3:$A$6000,MATCH(C1238,Segmen!$D$3:$D$6000,0)),"")</f>
        <v/>
      </c>
      <c r="C1238">
        <f>IFERROR(LARGE(Segmen!$D$3:$D$6000,A1238),"")</f>
        <v/>
      </c>
    </row>
    <row r="1239">
      <c r="A1239" t="n">
        <v>1238</v>
      </c>
      <c r="B1239">
        <f>IFERROR(INDEX(Segmen!$A$3:$A$6000,MATCH(C1239,Segmen!$D$3:$D$6000,0)),"")</f>
        <v/>
      </c>
      <c r="C1239">
        <f>IFERROR(LARGE(Segmen!$D$3:$D$6000,A1239),"")</f>
        <v/>
      </c>
    </row>
    <row r="1240">
      <c r="A1240" t="n">
        <v>1239</v>
      </c>
      <c r="B1240">
        <f>IFERROR(INDEX(Segmen!$A$3:$A$6000,MATCH(C1240,Segmen!$D$3:$D$6000,0)),"")</f>
        <v/>
      </c>
      <c r="C1240">
        <f>IFERROR(LARGE(Segmen!$D$3:$D$6000,A1240),"")</f>
        <v/>
      </c>
    </row>
    <row r="1241">
      <c r="A1241" t="n">
        <v>1240</v>
      </c>
      <c r="B1241">
        <f>IFERROR(INDEX(Segmen!$A$3:$A$6000,MATCH(C1241,Segmen!$D$3:$D$6000,0)),"")</f>
        <v/>
      </c>
      <c r="C1241">
        <f>IFERROR(LARGE(Segmen!$D$3:$D$6000,A1241),"")</f>
        <v/>
      </c>
    </row>
    <row r="1242">
      <c r="A1242" t="n">
        <v>1241</v>
      </c>
      <c r="B1242">
        <f>IFERROR(INDEX(Segmen!$A$3:$A$6000,MATCH(C1242,Segmen!$D$3:$D$6000,0)),"")</f>
        <v/>
      </c>
      <c r="C1242">
        <f>IFERROR(LARGE(Segmen!$D$3:$D$6000,A1242),"")</f>
        <v/>
      </c>
    </row>
    <row r="1243">
      <c r="A1243" t="n">
        <v>1242</v>
      </c>
      <c r="B1243">
        <f>IFERROR(INDEX(Segmen!$A$3:$A$6000,MATCH(C1243,Segmen!$D$3:$D$6000,0)),"")</f>
        <v/>
      </c>
      <c r="C1243">
        <f>IFERROR(LARGE(Segmen!$D$3:$D$6000,A1243),"")</f>
        <v/>
      </c>
    </row>
    <row r="1244">
      <c r="A1244" t="n">
        <v>1243</v>
      </c>
      <c r="B1244">
        <f>IFERROR(INDEX(Segmen!$A$3:$A$6000,MATCH(C1244,Segmen!$D$3:$D$6000,0)),"")</f>
        <v/>
      </c>
      <c r="C1244">
        <f>IFERROR(LARGE(Segmen!$D$3:$D$6000,A1244),"")</f>
        <v/>
      </c>
    </row>
    <row r="1245">
      <c r="A1245" t="n">
        <v>1244</v>
      </c>
      <c r="B1245">
        <f>IFERROR(INDEX(Segmen!$A$3:$A$6000,MATCH(C1245,Segmen!$D$3:$D$6000,0)),"")</f>
        <v/>
      </c>
      <c r="C1245">
        <f>IFERROR(LARGE(Segmen!$D$3:$D$6000,A1245),"")</f>
        <v/>
      </c>
    </row>
    <row r="1246">
      <c r="A1246" t="n">
        <v>1245</v>
      </c>
      <c r="B1246">
        <f>IFERROR(INDEX(Segmen!$A$3:$A$6000,MATCH(C1246,Segmen!$D$3:$D$6000,0)),"")</f>
        <v/>
      </c>
      <c r="C1246">
        <f>IFERROR(LARGE(Segmen!$D$3:$D$6000,A1246),"")</f>
        <v/>
      </c>
    </row>
    <row r="1247">
      <c r="A1247" t="n">
        <v>1246</v>
      </c>
      <c r="B1247">
        <f>IFERROR(INDEX(Segmen!$A$3:$A$6000,MATCH(C1247,Segmen!$D$3:$D$6000,0)),"")</f>
        <v/>
      </c>
      <c r="C1247">
        <f>IFERROR(LARGE(Segmen!$D$3:$D$6000,A1247),"")</f>
        <v/>
      </c>
    </row>
    <row r="1248">
      <c r="A1248" t="n">
        <v>1247</v>
      </c>
      <c r="B1248">
        <f>IFERROR(INDEX(Segmen!$A$3:$A$6000,MATCH(C1248,Segmen!$D$3:$D$6000,0)),"")</f>
        <v/>
      </c>
      <c r="C1248">
        <f>IFERROR(LARGE(Segmen!$D$3:$D$6000,A1248),"")</f>
        <v/>
      </c>
    </row>
    <row r="1249">
      <c r="A1249" t="n">
        <v>1248</v>
      </c>
      <c r="B1249">
        <f>IFERROR(INDEX(Segmen!$A$3:$A$6000,MATCH(C1249,Segmen!$D$3:$D$6000,0)),"")</f>
        <v/>
      </c>
      <c r="C1249">
        <f>IFERROR(LARGE(Segmen!$D$3:$D$6000,A1249),"")</f>
        <v/>
      </c>
    </row>
    <row r="1250">
      <c r="A1250" t="n">
        <v>1249</v>
      </c>
      <c r="B1250">
        <f>IFERROR(INDEX(Segmen!$A$3:$A$6000,MATCH(C1250,Segmen!$D$3:$D$6000,0)),"")</f>
        <v/>
      </c>
      <c r="C1250">
        <f>IFERROR(LARGE(Segmen!$D$3:$D$6000,A1250),"")</f>
        <v/>
      </c>
    </row>
    <row r="1251">
      <c r="A1251" t="n">
        <v>1250</v>
      </c>
      <c r="B1251">
        <f>IFERROR(INDEX(Segmen!$A$3:$A$6000,MATCH(C1251,Segmen!$D$3:$D$6000,0)),"")</f>
        <v/>
      </c>
      <c r="C1251">
        <f>IFERROR(LARGE(Segmen!$D$3:$D$6000,A1251),"")</f>
        <v/>
      </c>
    </row>
    <row r="1252">
      <c r="A1252" t="n">
        <v>1251</v>
      </c>
      <c r="B1252">
        <f>IFERROR(INDEX(Segmen!$A$3:$A$6000,MATCH(C1252,Segmen!$D$3:$D$6000,0)),"")</f>
        <v/>
      </c>
      <c r="C1252">
        <f>IFERROR(LARGE(Segmen!$D$3:$D$6000,A1252),"")</f>
        <v/>
      </c>
    </row>
    <row r="1253">
      <c r="A1253" t="n">
        <v>1252</v>
      </c>
      <c r="B1253">
        <f>IFERROR(INDEX(Segmen!$A$3:$A$6000,MATCH(C1253,Segmen!$D$3:$D$6000,0)),"")</f>
        <v/>
      </c>
      <c r="C1253">
        <f>IFERROR(LARGE(Segmen!$D$3:$D$6000,A1253),"")</f>
        <v/>
      </c>
    </row>
    <row r="1254">
      <c r="A1254" t="n">
        <v>1253</v>
      </c>
      <c r="B1254">
        <f>IFERROR(INDEX(Segmen!$A$3:$A$6000,MATCH(C1254,Segmen!$D$3:$D$6000,0)),"")</f>
        <v/>
      </c>
      <c r="C1254">
        <f>IFERROR(LARGE(Segmen!$D$3:$D$6000,A1254),"")</f>
        <v/>
      </c>
    </row>
    <row r="1255">
      <c r="A1255" t="n">
        <v>1254</v>
      </c>
      <c r="B1255">
        <f>IFERROR(INDEX(Segmen!$A$3:$A$6000,MATCH(C1255,Segmen!$D$3:$D$6000,0)),"")</f>
        <v/>
      </c>
      <c r="C1255">
        <f>IFERROR(LARGE(Segmen!$D$3:$D$6000,A1255),"")</f>
        <v/>
      </c>
    </row>
    <row r="1256">
      <c r="A1256" t="n">
        <v>1255</v>
      </c>
      <c r="B1256">
        <f>IFERROR(INDEX(Segmen!$A$3:$A$6000,MATCH(C1256,Segmen!$D$3:$D$6000,0)),"")</f>
        <v/>
      </c>
      <c r="C1256">
        <f>IFERROR(LARGE(Segmen!$D$3:$D$6000,A1256),"")</f>
        <v/>
      </c>
    </row>
    <row r="1257">
      <c r="A1257" t="n">
        <v>1256</v>
      </c>
      <c r="B1257">
        <f>IFERROR(INDEX(Segmen!$A$3:$A$6000,MATCH(C1257,Segmen!$D$3:$D$6000,0)),"")</f>
        <v/>
      </c>
      <c r="C1257">
        <f>IFERROR(LARGE(Segmen!$D$3:$D$6000,A1257),"")</f>
        <v/>
      </c>
    </row>
    <row r="1258">
      <c r="A1258" t="n">
        <v>1257</v>
      </c>
      <c r="B1258">
        <f>IFERROR(INDEX(Segmen!$A$3:$A$6000,MATCH(C1258,Segmen!$D$3:$D$6000,0)),"")</f>
        <v/>
      </c>
      <c r="C1258">
        <f>IFERROR(LARGE(Segmen!$D$3:$D$6000,A1258),"")</f>
        <v/>
      </c>
    </row>
    <row r="1259">
      <c r="A1259" t="n">
        <v>1258</v>
      </c>
      <c r="B1259">
        <f>IFERROR(INDEX(Segmen!$A$3:$A$6000,MATCH(C1259,Segmen!$D$3:$D$6000,0)),"")</f>
        <v/>
      </c>
      <c r="C1259">
        <f>IFERROR(LARGE(Segmen!$D$3:$D$6000,A1259),"")</f>
        <v/>
      </c>
    </row>
    <row r="1260">
      <c r="A1260" t="n">
        <v>1259</v>
      </c>
      <c r="B1260">
        <f>IFERROR(INDEX(Segmen!$A$3:$A$6000,MATCH(C1260,Segmen!$D$3:$D$6000,0)),"")</f>
        <v/>
      </c>
      <c r="C1260">
        <f>IFERROR(LARGE(Segmen!$D$3:$D$6000,A1260),"")</f>
        <v/>
      </c>
    </row>
    <row r="1261">
      <c r="A1261" t="n">
        <v>1260</v>
      </c>
      <c r="B1261">
        <f>IFERROR(INDEX(Segmen!$A$3:$A$6000,MATCH(C1261,Segmen!$D$3:$D$6000,0)),"")</f>
        <v/>
      </c>
      <c r="C1261">
        <f>IFERROR(LARGE(Segmen!$D$3:$D$6000,A1261),"")</f>
        <v/>
      </c>
    </row>
    <row r="1262">
      <c r="A1262" t="n">
        <v>1261</v>
      </c>
      <c r="B1262">
        <f>IFERROR(INDEX(Segmen!$A$3:$A$6000,MATCH(C1262,Segmen!$D$3:$D$6000,0)),"")</f>
        <v/>
      </c>
      <c r="C1262">
        <f>IFERROR(LARGE(Segmen!$D$3:$D$6000,A1262),"")</f>
        <v/>
      </c>
    </row>
    <row r="1263">
      <c r="A1263" t="n">
        <v>1262</v>
      </c>
      <c r="B1263">
        <f>IFERROR(INDEX(Segmen!$A$3:$A$6000,MATCH(C1263,Segmen!$D$3:$D$6000,0)),"")</f>
        <v/>
      </c>
      <c r="C1263">
        <f>IFERROR(LARGE(Segmen!$D$3:$D$6000,A1263),"")</f>
        <v/>
      </c>
    </row>
    <row r="1264">
      <c r="A1264" t="n">
        <v>1263</v>
      </c>
      <c r="B1264">
        <f>IFERROR(INDEX(Segmen!$A$3:$A$6000,MATCH(C1264,Segmen!$D$3:$D$6000,0)),"")</f>
        <v/>
      </c>
      <c r="C1264">
        <f>IFERROR(LARGE(Segmen!$D$3:$D$6000,A1264),"")</f>
        <v/>
      </c>
    </row>
    <row r="1265">
      <c r="A1265" t="n">
        <v>1264</v>
      </c>
      <c r="B1265">
        <f>IFERROR(INDEX(Segmen!$A$3:$A$6000,MATCH(C1265,Segmen!$D$3:$D$6000,0)),"")</f>
        <v/>
      </c>
      <c r="C1265">
        <f>IFERROR(LARGE(Segmen!$D$3:$D$6000,A1265),"")</f>
        <v/>
      </c>
    </row>
    <row r="1266">
      <c r="A1266" t="n">
        <v>1265</v>
      </c>
      <c r="B1266">
        <f>IFERROR(INDEX(Segmen!$A$3:$A$6000,MATCH(C1266,Segmen!$D$3:$D$6000,0)),"")</f>
        <v/>
      </c>
      <c r="C1266">
        <f>IFERROR(LARGE(Segmen!$D$3:$D$6000,A1266),"")</f>
        <v/>
      </c>
    </row>
    <row r="1267">
      <c r="A1267" t="n">
        <v>1266</v>
      </c>
      <c r="B1267">
        <f>IFERROR(INDEX(Segmen!$A$3:$A$6000,MATCH(C1267,Segmen!$D$3:$D$6000,0)),"")</f>
        <v/>
      </c>
      <c r="C1267">
        <f>IFERROR(LARGE(Segmen!$D$3:$D$6000,A1267),"")</f>
        <v/>
      </c>
    </row>
    <row r="1268">
      <c r="A1268" t="n">
        <v>1267</v>
      </c>
      <c r="B1268">
        <f>IFERROR(INDEX(Segmen!$A$3:$A$6000,MATCH(C1268,Segmen!$D$3:$D$6000,0)),"")</f>
        <v/>
      </c>
      <c r="C1268">
        <f>IFERROR(LARGE(Segmen!$D$3:$D$6000,A1268),"")</f>
        <v/>
      </c>
    </row>
    <row r="1269">
      <c r="A1269" t="n">
        <v>1268</v>
      </c>
      <c r="B1269">
        <f>IFERROR(INDEX(Segmen!$A$3:$A$6000,MATCH(C1269,Segmen!$D$3:$D$6000,0)),"")</f>
        <v/>
      </c>
      <c r="C1269">
        <f>IFERROR(LARGE(Segmen!$D$3:$D$6000,A1269),"")</f>
        <v/>
      </c>
    </row>
    <row r="1270">
      <c r="A1270" t="n">
        <v>1269</v>
      </c>
      <c r="B1270">
        <f>IFERROR(INDEX(Segmen!$A$3:$A$6000,MATCH(C1270,Segmen!$D$3:$D$6000,0)),"")</f>
        <v/>
      </c>
      <c r="C1270">
        <f>IFERROR(LARGE(Segmen!$D$3:$D$6000,A1270),"")</f>
        <v/>
      </c>
    </row>
    <row r="1271">
      <c r="A1271" t="n">
        <v>1270</v>
      </c>
      <c r="B1271">
        <f>IFERROR(INDEX(Segmen!$A$3:$A$6000,MATCH(C1271,Segmen!$D$3:$D$6000,0)),"")</f>
        <v/>
      </c>
      <c r="C1271">
        <f>IFERROR(LARGE(Segmen!$D$3:$D$6000,A1271),"")</f>
        <v/>
      </c>
    </row>
    <row r="1272">
      <c r="A1272" t="n">
        <v>1271</v>
      </c>
      <c r="B1272">
        <f>IFERROR(INDEX(Segmen!$A$3:$A$6000,MATCH(C1272,Segmen!$D$3:$D$6000,0)),"")</f>
        <v/>
      </c>
      <c r="C1272">
        <f>IFERROR(LARGE(Segmen!$D$3:$D$6000,A1272),"")</f>
        <v/>
      </c>
    </row>
    <row r="1273">
      <c r="A1273" t="n">
        <v>1272</v>
      </c>
      <c r="B1273">
        <f>IFERROR(INDEX(Segmen!$A$3:$A$6000,MATCH(C1273,Segmen!$D$3:$D$6000,0)),"")</f>
        <v/>
      </c>
      <c r="C1273">
        <f>IFERROR(LARGE(Segmen!$D$3:$D$6000,A1273),"")</f>
        <v/>
      </c>
    </row>
    <row r="1274">
      <c r="A1274" t="n">
        <v>1273</v>
      </c>
      <c r="B1274">
        <f>IFERROR(INDEX(Segmen!$A$3:$A$6000,MATCH(C1274,Segmen!$D$3:$D$6000,0)),"")</f>
        <v/>
      </c>
      <c r="C1274">
        <f>IFERROR(LARGE(Segmen!$D$3:$D$6000,A1274),"")</f>
        <v/>
      </c>
    </row>
    <row r="1275">
      <c r="A1275" t="n">
        <v>1274</v>
      </c>
      <c r="B1275">
        <f>IFERROR(INDEX(Segmen!$A$3:$A$6000,MATCH(C1275,Segmen!$D$3:$D$6000,0)),"")</f>
        <v/>
      </c>
      <c r="C1275">
        <f>IFERROR(LARGE(Segmen!$D$3:$D$6000,A1275),"")</f>
        <v/>
      </c>
    </row>
    <row r="1276">
      <c r="A1276" t="n">
        <v>1275</v>
      </c>
      <c r="B1276">
        <f>IFERROR(INDEX(Segmen!$A$3:$A$6000,MATCH(C1276,Segmen!$D$3:$D$6000,0)),"")</f>
        <v/>
      </c>
      <c r="C1276">
        <f>IFERROR(LARGE(Segmen!$D$3:$D$6000,A1276),"")</f>
        <v/>
      </c>
    </row>
    <row r="1277">
      <c r="A1277" t="n">
        <v>1276</v>
      </c>
      <c r="B1277">
        <f>IFERROR(INDEX(Segmen!$A$3:$A$6000,MATCH(C1277,Segmen!$D$3:$D$6000,0)),"")</f>
        <v/>
      </c>
      <c r="C1277">
        <f>IFERROR(LARGE(Segmen!$D$3:$D$6000,A1277),"")</f>
        <v/>
      </c>
    </row>
    <row r="1278">
      <c r="A1278" t="n">
        <v>1277</v>
      </c>
      <c r="B1278">
        <f>IFERROR(INDEX(Segmen!$A$3:$A$6000,MATCH(C1278,Segmen!$D$3:$D$6000,0)),"")</f>
        <v/>
      </c>
      <c r="C1278">
        <f>IFERROR(LARGE(Segmen!$D$3:$D$6000,A1278),"")</f>
        <v/>
      </c>
    </row>
    <row r="1279">
      <c r="A1279" t="n">
        <v>1278</v>
      </c>
      <c r="B1279">
        <f>IFERROR(INDEX(Segmen!$A$3:$A$6000,MATCH(C1279,Segmen!$D$3:$D$6000,0)),"")</f>
        <v/>
      </c>
      <c r="C1279">
        <f>IFERROR(LARGE(Segmen!$D$3:$D$6000,A1279),"")</f>
        <v/>
      </c>
    </row>
    <row r="1280">
      <c r="A1280" t="n">
        <v>1279</v>
      </c>
      <c r="B1280">
        <f>IFERROR(INDEX(Segmen!$A$3:$A$6000,MATCH(C1280,Segmen!$D$3:$D$6000,0)),"")</f>
        <v/>
      </c>
      <c r="C1280">
        <f>IFERROR(LARGE(Segmen!$D$3:$D$6000,A1280),"")</f>
        <v/>
      </c>
    </row>
    <row r="1281">
      <c r="A1281" t="n">
        <v>1280</v>
      </c>
      <c r="B1281">
        <f>IFERROR(INDEX(Segmen!$A$3:$A$6000,MATCH(C1281,Segmen!$D$3:$D$6000,0)),"")</f>
        <v/>
      </c>
      <c r="C1281">
        <f>IFERROR(LARGE(Segmen!$D$3:$D$6000,A1281),"")</f>
        <v/>
      </c>
    </row>
    <row r="1282">
      <c r="A1282" t="n">
        <v>1281</v>
      </c>
      <c r="B1282">
        <f>IFERROR(INDEX(Segmen!$A$3:$A$6000,MATCH(C1282,Segmen!$D$3:$D$6000,0)),"")</f>
        <v/>
      </c>
      <c r="C1282">
        <f>IFERROR(LARGE(Segmen!$D$3:$D$6000,A1282),"")</f>
        <v/>
      </c>
    </row>
    <row r="1283">
      <c r="A1283" t="n">
        <v>1282</v>
      </c>
      <c r="B1283">
        <f>IFERROR(INDEX(Segmen!$A$3:$A$6000,MATCH(C1283,Segmen!$D$3:$D$6000,0)),"")</f>
        <v/>
      </c>
      <c r="C1283">
        <f>IFERROR(LARGE(Segmen!$D$3:$D$6000,A1283),"")</f>
        <v/>
      </c>
    </row>
    <row r="1284">
      <c r="A1284" t="n">
        <v>1283</v>
      </c>
      <c r="B1284">
        <f>IFERROR(INDEX(Segmen!$A$3:$A$6000,MATCH(C1284,Segmen!$D$3:$D$6000,0)),"")</f>
        <v/>
      </c>
      <c r="C1284">
        <f>IFERROR(LARGE(Segmen!$D$3:$D$6000,A1284),"")</f>
        <v/>
      </c>
    </row>
    <row r="1285">
      <c r="A1285" t="n">
        <v>1284</v>
      </c>
      <c r="B1285">
        <f>IFERROR(INDEX(Segmen!$A$3:$A$6000,MATCH(C1285,Segmen!$D$3:$D$6000,0)),"")</f>
        <v/>
      </c>
      <c r="C1285">
        <f>IFERROR(LARGE(Segmen!$D$3:$D$6000,A1285),"")</f>
        <v/>
      </c>
    </row>
    <row r="1286">
      <c r="A1286" t="n">
        <v>1285</v>
      </c>
      <c r="B1286">
        <f>IFERROR(INDEX(Segmen!$A$3:$A$6000,MATCH(C1286,Segmen!$D$3:$D$6000,0)),"")</f>
        <v/>
      </c>
      <c r="C1286">
        <f>IFERROR(LARGE(Segmen!$D$3:$D$6000,A1286),"")</f>
        <v/>
      </c>
    </row>
    <row r="1287">
      <c r="A1287" t="n">
        <v>1286</v>
      </c>
      <c r="B1287">
        <f>IFERROR(INDEX(Segmen!$A$3:$A$6000,MATCH(C1287,Segmen!$D$3:$D$6000,0)),"")</f>
        <v/>
      </c>
      <c r="C1287">
        <f>IFERROR(LARGE(Segmen!$D$3:$D$6000,A1287),"")</f>
        <v/>
      </c>
    </row>
    <row r="1288">
      <c r="A1288" t="n">
        <v>1287</v>
      </c>
      <c r="B1288">
        <f>IFERROR(INDEX(Segmen!$A$3:$A$6000,MATCH(C1288,Segmen!$D$3:$D$6000,0)),"")</f>
        <v/>
      </c>
      <c r="C1288">
        <f>IFERROR(LARGE(Segmen!$D$3:$D$6000,A1288),"")</f>
        <v/>
      </c>
    </row>
    <row r="1289">
      <c r="A1289" t="n">
        <v>1288</v>
      </c>
      <c r="B1289">
        <f>IFERROR(INDEX(Segmen!$A$3:$A$6000,MATCH(C1289,Segmen!$D$3:$D$6000,0)),"")</f>
        <v/>
      </c>
      <c r="C1289">
        <f>IFERROR(LARGE(Segmen!$D$3:$D$6000,A1289),"")</f>
        <v/>
      </c>
    </row>
    <row r="1290">
      <c r="A1290" t="n">
        <v>1289</v>
      </c>
      <c r="B1290">
        <f>IFERROR(INDEX(Segmen!$A$3:$A$6000,MATCH(C1290,Segmen!$D$3:$D$6000,0)),"")</f>
        <v/>
      </c>
      <c r="C1290">
        <f>IFERROR(LARGE(Segmen!$D$3:$D$6000,A1290),"")</f>
        <v/>
      </c>
    </row>
    <row r="1291">
      <c r="A1291" t="n">
        <v>1290</v>
      </c>
      <c r="B1291">
        <f>IFERROR(INDEX(Segmen!$A$3:$A$6000,MATCH(C1291,Segmen!$D$3:$D$6000,0)),"")</f>
        <v/>
      </c>
      <c r="C1291">
        <f>IFERROR(LARGE(Segmen!$D$3:$D$6000,A1291),"")</f>
        <v/>
      </c>
    </row>
    <row r="1292">
      <c r="A1292" t="n">
        <v>1291</v>
      </c>
      <c r="B1292">
        <f>IFERROR(INDEX(Segmen!$A$3:$A$6000,MATCH(C1292,Segmen!$D$3:$D$6000,0)),"")</f>
        <v/>
      </c>
      <c r="C1292">
        <f>IFERROR(LARGE(Segmen!$D$3:$D$6000,A1292),"")</f>
        <v/>
      </c>
    </row>
    <row r="1293">
      <c r="A1293" t="n">
        <v>1292</v>
      </c>
      <c r="B1293">
        <f>IFERROR(INDEX(Segmen!$A$3:$A$6000,MATCH(C1293,Segmen!$D$3:$D$6000,0)),"")</f>
        <v/>
      </c>
      <c r="C1293">
        <f>IFERROR(LARGE(Segmen!$D$3:$D$6000,A1293),"")</f>
        <v/>
      </c>
    </row>
    <row r="1294">
      <c r="A1294" t="n">
        <v>1293</v>
      </c>
      <c r="B1294">
        <f>IFERROR(INDEX(Segmen!$A$3:$A$6000,MATCH(C1294,Segmen!$D$3:$D$6000,0)),"")</f>
        <v/>
      </c>
      <c r="C1294">
        <f>IFERROR(LARGE(Segmen!$D$3:$D$6000,A1294),"")</f>
        <v/>
      </c>
    </row>
    <row r="1295">
      <c r="A1295" t="n">
        <v>1294</v>
      </c>
      <c r="B1295">
        <f>IFERROR(INDEX(Segmen!$A$3:$A$6000,MATCH(C1295,Segmen!$D$3:$D$6000,0)),"")</f>
        <v/>
      </c>
      <c r="C1295">
        <f>IFERROR(LARGE(Segmen!$D$3:$D$6000,A1295),"")</f>
        <v/>
      </c>
    </row>
    <row r="1296">
      <c r="A1296" t="n">
        <v>1295</v>
      </c>
      <c r="B1296">
        <f>IFERROR(INDEX(Segmen!$A$3:$A$6000,MATCH(C1296,Segmen!$D$3:$D$6000,0)),"")</f>
        <v/>
      </c>
      <c r="C1296">
        <f>IFERROR(LARGE(Segmen!$D$3:$D$6000,A1296),"")</f>
        <v/>
      </c>
    </row>
    <row r="1297">
      <c r="A1297" t="n">
        <v>1296</v>
      </c>
      <c r="B1297">
        <f>IFERROR(INDEX(Segmen!$A$3:$A$6000,MATCH(C1297,Segmen!$D$3:$D$6000,0)),"")</f>
        <v/>
      </c>
      <c r="C1297">
        <f>IFERROR(LARGE(Segmen!$D$3:$D$6000,A1297),"")</f>
        <v/>
      </c>
    </row>
    <row r="1298">
      <c r="A1298" t="n">
        <v>1297</v>
      </c>
      <c r="B1298">
        <f>IFERROR(INDEX(Segmen!$A$3:$A$6000,MATCH(C1298,Segmen!$D$3:$D$6000,0)),"")</f>
        <v/>
      </c>
      <c r="C1298">
        <f>IFERROR(LARGE(Segmen!$D$3:$D$6000,A1298),"")</f>
        <v/>
      </c>
    </row>
    <row r="1299">
      <c r="A1299" t="n">
        <v>1298</v>
      </c>
      <c r="B1299">
        <f>IFERROR(INDEX(Segmen!$A$3:$A$6000,MATCH(C1299,Segmen!$D$3:$D$6000,0)),"")</f>
        <v/>
      </c>
      <c r="C1299">
        <f>IFERROR(LARGE(Segmen!$D$3:$D$6000,A1299),"")</f>
        <v/>
      </c>
    </row>
    <row r="1300">
      <c r="A1300" t="n">
        <v>1299</v>
      </c>
      <c r="B1300">
        <f>IFERROR(INDEX(Segmen!$A$3:$A$6000,MATCH(C1300,Segmen!$D$3:$D$6000,0)),"")</f>
        <v/>
      </c>
      <c r="C1300">
        <f>IFERROR(LARGE(Segmen!$D$3:$D$6000,A1300),"")</f>
        <v/>
      </c>
    </row>
    <row r="1301">
      <c r="A1301" t="n">
        <v>1300</v>
      </c>
      <c r="B1301">
        <f>IFERROR(INDEX(Segmen!$A$3:$A$6000,MATCH(C1301,Segmen!$D$3:$D$6000,0)),"")</f>
        <v/>
      </c>
      <c r="C1301">
        <f>IFERROR(LARGE(Segmen!$D$3:$D$6000,A1301),"")</f>
        <v/>
      </c>
    </row>
    <row r="1302">
      <c r="A1302" t="n">
        <v>1301</v>
      </c>
      <c r="B1302">
        <f>IFERROR(INDEX(Segmen!$A$3:$A$6000,MATCH(C1302,Segmen!$D$3:$D$6000,0)),"")</f>
        <v/>
      </c>
      <c r="C1302">
        <f>IFERROR(LARGE(Segmen!$D$3:$D$6000,A1302),"")</f>
        <v/>
      </c>
    </row>
    <row r="1303">
      <c r="A1303" t="n">
        <v>1302</v>
      </c>
      <c r="B1303">
        <f>IFERROR(INDEX(Segmen!$A$3:$A$6000,MATCH(C1303,Segmen!$D$3:$D$6000,0)),"")</f>
        <v/>
      </c>
      <c r="C1303">
        <f>IFERROR(LARGE(Segmen!$D$3:$D$6000,A1303),"")</f>
        <v/>
      </c>
    </row>
    <row r="1304">
      <c r="A1304" t="n">
        <v>1303</v>
      </c>
      <c r="B1304">
        <f>IFERROR(INDEX(Segmen!$A$3:$A$6000,MATCH(C1304,Segmen!$D$3:$D$6000,0)),"")</f>
        <v/>
      </c>
      <c r="C1304">
        <f>IFERROR(LARGE(Segmen!$D$3:$D$6000,A1304),"")</f>
        <v/>
      </c>
    </row>
    <row r="1305">
      <c r="A1305" t="n">
        <v>1304</v>
      </c>
      <c r="B1305">
        <f>IFERROR(INDEX(Segmen!$A$3:$A$6000,MATCH(C1305,Segmen!$D$3:$D$6000,0)),"")</f>
        <v/>
      </c>
      <c r="C1305">
        <f>IFERROR(LARGE(Segmen!$D$3:$D$6000,A1305),"")</f>
        <v/>
      </c>
    </row>
    <row r="1306">
      <c r="A1306" t="n">
        <v>1305</v>
      </c>
      <c r="B1306">
        <f>IFERROR(INDEX(Segmen!$A$3:$A$6000,MATCH(C1306,Segmen!$D$3:$D$6000,0)),"")</f>
        <v/>
      </c>
      <c r="C1306">
        <f>IFERROR(LARGE(Segmen!$D$3:$D$6000,A1306),"")</f>
        <v/>
      </c>
    </row>
    <row r="1307">
      <c r="A1307" t="n">
        <v>1306</v>
      </c>
      <c r="B1307">
        <f>IFERROR(INDEX(Segmen!$A$3:$A$6000,MATCH(C1307,Segmen!$D$3:$D$6000,0)),"")</f>
        <v/>
      </c>
      <c r="C1307">
        <f>IFERROR(LARGE(Segmen!$D$3:$D$6000,A1307),"")</f>
        <v/>
      </c>
    </row>
    <row r="1308">
      <c r="A1308" t="n">
        <v>1307</v>
      </c>
      <c r="B1308">
        <f>IFERROR(INDEX(Segmen!$A$3:$A$6000,MATCH(C1308,Segmen!$D$3:$D$6000,0)),"")</f>
        <v/>
      </c>
      <c r="C1308">
        <f>IFERROR(LARGE(Segmen!$D$3:$D$6000,A1308),"")</f>
        <v/>
      </c>
    </row>
    <row r="1309">
      <c r="A1309" t="n">
        <v>1308</v>
      </c>
      <c r="B1309">
        <f>IFERROR(INDEX(Segmen!$A$3:$A$6000,MATCH(C1309,Segmen!$D$3:$D$6000,0)),"")</f>
        <v/>
      </c>
      <c r="C1309">
        <f>IFERROR(LARGE(Segmen!$D$3:$D$6000,A1309),"")</f>
        <v/>
      </c>
    </row>
    <row r="1310">
      <c r="A1310" t="n">
        <v>1309</v>
      </c>
      <c r="B1310">
        <f>IFERROR(INDEX(Segmen!$A$3:$A$6000,MATCH(C1310,Segmen!$D$3:$D$6000,0)),"")</f>
        <v/>
      </c>
      <c r="C1310">
        <f>IFERROR(LARGE(Segmen!$D$3:$D$6000,A1310),"")</f>
        <v/>
      </c>
    </row>
    <row r="1311">
      <c r="A1311" t="n">
        <v>1310</v>
      </c>
      <c r="B1311">
        <f>IFERROR(INDEX(Segmen!$A$3:$A$6000,MATCH(C1311,Segmen!$D$3:$D$6000,0)),"")</f>
        <v/>
      </c>
      <c r="C1311">
        <f>IFERROR(LARGE(Segmen!$D$3:$D$6000,A1311),"")</f>
        <v/>
      </c>
    </row>
    <row r="1312">
      <c r="A1312" t="n">
        <v>1311</v>
      </c>
      <c r="B1312">
        <f>IFERROR(INDEX(Segmen!$A$3:$A$6000,MATCH(C1312,Segmen!$D$3:$D$6000,0)),"")</f>
        <v/>
      </c>
      <c r="C1312">
        <f>IFERROR(LARGE(Segmen!$D$3:$D$6000,A1312),"")</f>
        <v/>
      </c>
    </row>
    <row r="1313">
      <c r="A1313" t="n">
        <v>1312</v>
      </c>
      <c r="B1313">
        <f>IFERROR(INDEX(Segmen!$A$3:$A$6000,MATCH(C1313,Segmen!$D$3:$D$6000,0)),"")</f>
        <v/>
      </c>
      <c r="C1313">
        <f>IFERROR(LARGE(Segmen!$D$3:$D$6000,A1313),"")</f>
        <v/>
      </c>
    </row>
    <row r="1314">
      <c r="A1314" t="n">
        <v>1313</v>
      </c>
      <c r="B1314">
        <f>IFERROR(INDEX(Segmen!$A$3:$A$6000,MATCH(C1314,Segmen!$D$3:$D$6000,0)),"")</f>
        <v/>
      </c>
      <c r="C1314">
        <f>IFERROR(LARGE(Segmen!$D$3:$D$6000,A1314),"")</f>
        <v/>
      </c>
    </row>
    <row r="1315">
      <c r="A1315" t="n">
        <v>1314</v>
      </c>
      <c r="B1315">
        <f>IFERROR(INDEX(Segmen!$A$3:$A$6000,MATCH(C1315,Segmen!$D$3:$D$6000,0)),"")</f>
        <v/>
      </c>
      <c r="C1315">
        <f>IFERROR(LARGE(Segmen!$D$3:$D$6000,A1315),"")</f>
        <v/>
      </c>
    </row>
    <row r="1316">
      <c r="A1316" t="n">
        <v>1315</v>
      </c>
      <c r="B1316">
        <f>IFERROR(INDEX(Segmen!$A$3:$A$6000,MATCH(C1316,Segmen!$D$3:$D$6000,0)),"")</f>
        <v/>
      </c>
      <c r="C1316">
        <f>IFERROR(LARGE(Segmen!$D$3:$D$6000,A1316),"")</f>
        <v/>
      </c>
    </row>
    <row r="1317">
      <c r="A1317" t="n">
        <v>1316</v>
      </c>
      <c r="B1317">
        <f>IFERROR(INDEX(Segmen!$A$3:$A$6000,MATCH(C1317,Segmen!$D$3:$D$6000,0)),"")</f>
        <v/>
      </c>
      <c r="C1317">
        <f>IFERROR(LARGE(Segmen!$D$3:$D$6000,A1317),"")</f>
        <v/>
      </c>
    </row>
    <row r="1318">
      <c r="A1318" t="n">
        <v>1317</v>
      </c>
      <c r="B1318">
        <f>IFERROR(INDEX(Segmen!$A$3:$A$6000,MATCH(C1318,Segmen!$D$3:$D$6000,0)),"")</f>
        <v/>
      </c>
      <c r="C1318">
        <f>IFERROR(LARGE(Segmen!$D$3:$D$6000,A1318),"")</f>
        <v/>
      </c>
    </row>
    <row r="1319">
      <c r="A1319" t="n">
        <v>1318</v>
      </c>
      <c r="B1319">
        <f>IFERROR(INDEX(Segmen!$A$3:$A$6000,MATCH(C1319,Segmen!$D$3:$D$6000,0)),"")</f>
        <v/>
      </c>
      <c r="C1319">
        <f>IFERROR(LARGE(Segmen!$D$3:$D$6000,A1319),"")</f>
        <v/>
      </c>
    </row>
    <row r="1320">
      <c r="A1320" t="n">
        <v>1319</v>
      </c>
      <c r="B1320">
        <f>IFERROR(INDEX(Segmen!$A$3:$A$6000,MATCH(C1320,Segmen!$D$3:$D$6000,0)),"")</f>
        <v/>
      </c>
      <c r="C1320">
        <f>IFERROR(LARGE(Segmen!$D$3:$D$6000,A1320),"")</f>
        <v/>
      </c>
    </row>
    <row r="1321">
      <c r="A1321" t="n">
        <v>1320</v>
      </c>
      <c r="B1321">
        <f>IFERROR(INDEX(Segmen!$A$3:$A$6000,MATCH(C1321,Segmen!$D$3:$D$6000,0)),"")</f>
        <v/>
      </c>
      <c r="C1321">
        <f>IFERROR(LARGE(Segmen!$D$3:$D$6000,A1321),"")</f>
        <v/>
      </c>
    </row>
    <row r="1322">
      <c r="A1322" t="n">
        <v>1321</v>
      </c>
      <c r="B1322">
        <f>IFERROR(INDEX(Segmen!$A$3:$A$6000,MATCH(C1322,Segmen!$D$3:$D$6000,0)),"")</f>
        <v/>
      </c>
      <c r="C1322">
        <f>IFERROR(LARGE(Segmen!$D$3:$D$6000,A1322),"")</f>
        <v/>
      </c>
    </row>
    <row r="1323">
      <c r="A1323" t="n">
        <v>1322</v>
      </c>
      <c r="B1323">
        <f>IFERROR(INDEX(Segmen!$A$3:$A$6000,MATCH(C1323,Segmen!$D$3:$D$6000,0)),"")</f>
        <v/>
      </c>
      <c r="C1323">
        <f>IFERROR(LARGE(Segmen!$D$3:$D$6000,A1323),"")</f>
        <v/>
      </c>
    </row>
    <row r="1324">
      <c r="A1324" t="n">
        <v>1323</v>
      </c>
      <c r="B1324">
        <f>IFERROR(INDEX(Segmen!$A$3:$A$6000,MATCH(C1324,Segmen!$D$3:$D$6000,0)),"")</f>
        <v/>
      </c>
      <c r="C1324">
        <f>IFERROR(LARGE(Segmen!$D$3:$D$6000,A1324),"")</f>
        <v/>
      </c>
    </row>
    <row r="1325">
      <c r="A1325" t="n">
        <v>1324</v>
      </c>
      <c r="B1325">
        <f>IFERROR(INDEX(Segmen!$A$3:$A$6000,MATCH(C1325,Segmen!$D$3:$D$6000,0)),"")</f>
        <v/>
      </c>
      <c r="C1325">
        <f>IFERROR(LARGE(Segmen!$D$3:$D$6000,A1325),"")</f>
        <v/>
      </c>
    </row>
    <row r="1326">
      <c r="A1326" t="n">
        <v>1325</v>
      </c>
      <c r="B1326">
        <f>IFERROR(INDEX(Segmen!$A$3:$A$6000,MATCH(C1326,Segmen!$D$3:$D$6000,0)),"")</f>
        <v/>
      </c>
      <c r="C1326">
        <f>IFERROR(LARGE(Segmen!$D$3:$D$6000,A1326),"")</f>
        <v/>
      </c>
    </row>
    <row r="1327">
      <c r="A1327" t="n">
        <v>1326</v>
      </c>
      <c r="B1327">
        <f>IFERROR(INDEX(Segmen!$A$3:$A$6000,MATCH(C1327,Segmen!$D$3:$D$6000,0)),"")</f>
        <v/>
      </c>
      <c r="C1327">
        <f>IFERROR(LARGE(Segmen!$D$3:$D$6000,A1327),"")</f>
        <v/>
      </c>
    </row>
    <row r="1328">
      <c r="A1328" t="n">
        <v>1327</v>
      </c>
      <c r="B1328">
        <f>IFERROR(INDEX(Segmen!$A$3:$A$6000,MATCH(C1328,Segmen!$D$3:$D$6000,0)),"")</f>
        <v/>
      </c>
      <c r="C1328">
        <f>IFERROR(LARGE(Segmen!$D$3:$D$6000,A1328),"")</f>
        <v/>
      </c>
    </row>
    <row r="1329">
      <c r="A1329" t="n">
        <v>1328</v>
      </c>
      <c r="B1329">
        <f>IFERROR(INDEX(Segmen!$A$3:$A$6000,MATCH(C1329,Segmen!$D$3:$D$6000,0)),"")</f>
        <v/>
      </c>
      <c r="C1329">
        <f>IFERROR(LARGE(Segmen!$D$3:$D$6000,A1329),"")</f>
        <v/>
      </c>
    </row>
    <row r="1330">
      <c r="A1330" t="n">
        <v>1329</v>
      </c>
      <c r="B1330">
        <f>IFERROR(INDEX(Segmen!$A$3:$A$6000,MATCH(C1330,Segmen!$D$3:$D$6000,0)),"")</f>
        <v/>
      </c>
      <c r="C1330">
        <f>IFERROR(LARGE(Segmen!$D$3:$D$6000,A1330),"")</f>
        <v/>
      </c>
    </row>
    <row r="1331">
      <c r="A1331" t="n">
        <v>1330</v>
      </c>
      <c r="B1331">
        <f>IFERROR(INDEX(Segmen!$A$3:$A$6000,MATCH(C1331,Segmen!$D$3:$D$6000,0)),"")</f>
        <v/>
      </c>
      <c r="C1331">
        <f>IFERROR(LARGE(Segmen!$D$3:$D$6000,A1331),"")</f>
        <v/>
      </c>
    </row>
    <row r="1332">
      <c r="A1332" t="n">
        <v>1331</v>
      </c>
      <c r="B1332">
        <f>IFERROR(INDEX(Segmen!$A$3:$A$6000,MATCH(C1332,Segmen!$D$3:$D$6000,0)),"")</f>
        <v/>
      </c>
      <c r="C1332">
        <f>IFERROR(LARGE(Segmen!$D$3:$D$6000,A1332),"")</f>
        <v/>
      </c>
    </row>
    <row r="1333">
      <c r="A1333" t="n">
        <v>1332</v>
      </c>
      <c r="B1333">
        <f>IFERROR(INDEX(Segmen!$A$3:$A$6000,MATCH(C1333,Segmen!$D$3:$D$6000,0)),"")</f>
        <v/>
      </c>
      <c r="C1333">
        <f>IFERROR(LARGE(Segmen!$D$3:$D$6000,A1333),"")</f>
        <v/>
      </c>
    </row>
    <row r="1334">
      <c r="A1334" t="n">
        <v>1333</v>
      </c>
      <c r="B1334">
        <f>IFERROR(INDEX(Segmen!$A$3:$A$6000,MATCH(C1334,Segmen!$D$3:$D$6000,0)),"")</f>
        <v/>
      </c>
      <c r="C1334">
        <f>IFERROR(LARGE(Segmen!$D$3:$D$6000,A1334),"")</f>
        <v/>
      </c>
    </row>
    <row r="1335">
      <c r="A1335" t="n">
        <v>1334</v>
      </c>
      <c r="B1335">
        <f>IFERROR(INDEX(Segmen!$A$3:$A$6000,MATCH(C1335,Segmen!$D$3:$D$6000,0)),"")</f>
        <v/>
      </c>
      <c r="C1335">
        <f>IFERROR(LARGE(Segmen!$D$3:$D$6000,A1335),"")</f>
        <v/>
      </c>
    </row>
    <row r="1336">
      <c r="A1336" t="n">
        <v>1335</v>
      </c>
      <c r="B1336">
        <f>IFERROR(INDEX(Segmen!$A$3:$A$6000,MATCH(C1336,Segmen!$D$3:$D$6000,0)),"")</f>
        <v/>
      </c>
      <c r="C1336">
        <f>IFERROR(LARGE(Segmen!$D$3:$D$6000,A1336),"")</f>
        <v/>
      </c>
    </row>
    <row r="1337">
      <c r="A1337" t="n">
        <v>1336</v>
      </c>
      <c r="B1337">
        <f>IFERROR(INDEX(Segmen!$A$3:$A$6000,MATCH(C1337,Segmen!$D$3:$D$6000,0)),"")</f>
        <v/>
      </c>
      <c r="C1337">
        <f>IFERROR(LARGE(Segmen!$D$3:$D$6000,A1337),"")</f>
        <v/>
      </c>
    </row>
    <row r="1338">
      <c r="A1338" t="n">
        <v>1337</v>
      </c>
      <c r="B1338">
        <f>IFERROR(INDEX(Segmen!$A$3:$A$6000,MATCH(C1338,Segmen!$D$3:$D$6000,0)),"")</f>
        <v/>
      </c>
      <c r="C1338">
        <f>IFERROR(LARGE(Segmen!$D$3:$D$6000,A1338),"")</f>
        <v/>
      </c>
    </row>
    <row r="1339">
      <c r="A1339" t="n">
        <v>1338</v>
      </c>
      <c r="B1339">
        <f>IFERROR(INDEX(Segmen!$A$3:$A$6000,MATCH(C1339,Segmen!$D$3:$D$6000,0)),"")</f>
        <v/>
      </c>
      <c r="C1339">
        <f>IFERROR(LARGE(Segmen!$D$3:$D$6000,A1339),"")</f>
        <v/>
      </c>
    </row>
    <row r="1340">
      <c r="A1340" t="n">
        <v>1339</v>
      </c>
      <c r="B1340">
        <f>IFERROR(INDEX(Segmen!$A$3:$A$6000,MATCH(C1340,Segmen!$D$3:$D$6000,0)),"")</f>
        <v/>
      </c>
      <c r="C1340">
        <f>IFERROR(LARGE(Segmen!$D$3:$D$6000,A1340),"")</f>
        <v/>
      </c>
    </row>
    <row r="1341">
      <c r="A1341" t="n">
        <v>1340</v>
      </c>
      <c r="B1341">
        <f>IFERROR(INDEX(Segmen!$A$3:$A$6000,MATCH(C1341,Segmen!$D$3:$D$6000,0)),"")</f>
        <v/>
      </c>
      <c r="C1341">
        <f>IFERROR(LARGE(Segmen!$D$3:$D$6000,A1341),"")</f>
        <v/>
      </c>
    </row>
    <row r="1342">
      <c r="A1342" t="n">
        <v>1341</v>
      </c>
      <c r="B1342">
        <f>IFERROR(INDEX(Segmen!$A$3:$A$6000,MATCH(C1342,Segmen!$D$3:$D$6000,0)),"")</f>
        <v/>
      </c>
      <c r="C1342">
        <f>IFERROR(LARGE(Segmen!$D$3:$D$6000,A1342),"")</f>
        <v/>
      </c>
    </row>
    <row r="1343">
      <c r="A1343" t="n">
        <v>1342</v>
      </c>
      <c r="B1343">
        <f>IFERROR(INDEX(Segmen!$A$3:$A$6000,MATCH(C1343,Segmen!$D$3:$D$6000,0)),"")</f>
        <v/>
      </c>
      <c r="C1343">
        <f>IFERROR(LARGE(Segmen!$D$3:$D$6000,A1343),"")</f>
        <v/>
      </c>
    </row>
    <row r="1344">
      <c r="A1344" t="n">
        <v>1343</v>
      </c>
      <c r="B1344">
        <f>IFERROR(INDEX(Segmen!$A$3:$A$6000,MATCH(C1344,Segmen!$D$3:$D$6000,0)),"")</f>
        <v/>
      </c>
      <c r="C1344">
        <f>IFERROR(LARGE(Segmen!$D$3:$D$6000,A1344),"")</f>
        <v/>
      </c>
    </row>
    <row r="1345">
      <c r="A1345" t="n">
        <v>1344</v>
      </c>
      <c r="B1345">
        <f>IFERROR(INDEX(Segmen!$A$3:$A$6000,MATCH(C1345,Segmen!$D$3:$D$6000,0)),"")</f>
        <v/>
      </c>
      <c r="C1345">
        <f>IFERROR(LARGE(Segmen!$D$3:$D$6000,A1345),"")</f>
        <v/>
      </c>
    </row>
    <row r="1346">
      <c r="A1346" t="n">
        <v>1345</v>
      </c>
      <c r="B1346">
        <f>IFERROR(INDEX(Segmen!$A$3:$A$6000,MATCH(C1346,Segmen!$D$3:$D$6000,0)),"")</f>
        <v/>
      </c>
      <c r="C1346">
        <f>IFERROR(LARGE(Segmen!$D$3:$D$6000,A1346),"")</f>
        <v/>
      </c>
    </row>
    <row r="1347">
      <c r="A1347" t="n">
        <v>1346</v>
      </c>
      <c r="B1347">
        <f>IFERROR(INDEX(Segmen!$A$3:$A$6000,MATCH(C1347,Segmen!$D$3:$D$6000,0)),"")</f>
        <v/>
      </c>
      <c r="C1347">
        <f>IFERROR(LARGE(Segmen!$D$3:$D$6000,A1347),"")</f>
        <v/>
      </c>
    </row>
    <row r="1348">
      <c r="A1348" t="n">
        <v>1347</v>
      </c>
      <c r="B1348">
        <f>IFERROR(INDEX(Segmen!$A$3:$A$6000,MATCH(C1348,Segmen!$D$3:$D$6000,0)),"")</f>
        <v/>
      </c>
      <c r="C1348">
        <f>IFERROR(LARGE(Segmen!$D$3:$D$6000,A1348),"")</f>
        <v/>
      </c>
    </row>
    <row r="1349">
      <c r="A1349" t="n">
        <v>1348</v>
      </c>
      <c r="B1349">
        <f>IFERROR(INDEX(Segmen!$A$3:$A$6000,MATCH(C1349,Segmen!$D$3:$D$6000,0)),"")</f>
        <v/>
      </c>
      <c r="C1349">
        <f>IFERROR(LARGE(Segmen!$D$3:$D$6000,A1349),"")</f>
        <v/>
      </c>
    </row>
    <row r="1350">
      <c r="A1350" t="n">
        <v>1349</v>
      </c>
      <c r="B1350">
        <f>IFERROR(INDEX(Segmen!$A$3:$A$6000,MATCH(C1350,Segmen!$D$3:$D$6000,0)),"")</f>
        <v/>
      </c>
      <c r="C1350">
        <f>IFERROR(LARGE(Segmen!$D$3:$D$6000,A1350),"")</f>
        <v/>
      </c>
    </row>
    <row r="1351">
      <c r="A1351" t="n">
        <v>1350</v>
      </c>
      <c r="B1351">
        <f>IFERROR(INDEX(Segmen!$A$3:$A$6000,MATCH(C1351,Segmen!$D$3:$D$6000,0)),"")</f>
        <v/>
      </c>
      <c r="C1351">
        <f>IFERROR(LARGE(Segmen!$D$3:$D$6000,A1351),"")</f>
        <v/>
      </c>
    </row>
    <row r="1352">
      <c r="A1352" t="n">
        <v>1351</v>
      </c>
      <c r="B1352">
        <f>IFERROR(INDEX(Segmen!$A$3:$A$6000,MATCH(C1352,Segmen!$D$3:$D$6000,0)),"")</f>
        <v/>
      </c>
      <c r="C1352">
        <f>IFERROR(LARGE(Segmen!$D$3:$D$6000,A1352),"")</f>
        <v/>
      </c>
    </row>
    <row r="1353">
      <c r="A1353" t="n">
        <v>1352</v>
      </c>
      <c r="B1353">
        <f>IFERROR(INDEX(Segmen!$A$3:$A$6000,MATCH(C1353,Segmen!$D$3:$D$6000,0)),"")</f>
        <v/>
      </c>
      <c r="C1353">
        <f>IFERROR(LARGE(Segmen!$D$3:$D$6000,A1353),"")</f>
        <v/>
      </c>
    </row>
    <row r="1354">
      <c r="A1354" t="n">
        <v>1353</v>
      </c>
      <c r="B1354">
        <f>IFERROR(INDEX(Segmen!$A$3:$A$6000,MATCH(C1354,Segmen!$D$3:$D$6000,0)),"")</f>
        <v/>
      </c>
      <c r="C1354">
        <f>IFERROR(LARGE(Segmen!$D$3:$D$6000,A1354),"")</f>
        <v/>
      </c>
    </row>
    <row r="1355">
      <c r="A1355" t="n">
        <v>1354</v>
      </c>
      <c r="B1355">
        <f>IFERROR(INDEX(Segmen!$A$3:$A$6000,MATCH(C1355,Segmen!$D$3:$D$6000,0)),"")</f>
        <v/>
      </c>
      <c r="C1355">
        <f>IFERROR(LARGE(Segmen!$D$3:$D$6000,A1355),"")</f>
        <v/>
      </c>
    </row>
    <row r="1356">
      <c r="A1356" t="n">
        <v>1355</v>
      </c>
      <c r="B1356">
        <f>IFERROR(INDEX(Segmen!$A$3:$A$6000,MATCH(C1356,Segmen!$D$3:$D$6000,0)),"")</f>
        <v/>
      </c>
      <c r="C1356">
        <f>IFERROR(LARGE(Segmen!$D$3:$D$6000,A1356),"")</f>
        <v/>
      </c>
    </row>
    <row r="1357">
      <c r="A1357" t="n">
        <v>1356</v>
      </c>
      <c r="B1357">
        <f>IFERROR(INDEX(Segmen!$A$3:$A$6000,MATCH(C1357,Segmen!$D$3:$D$6000,0)),"")</f>
        <v/>
      </c>
      <c r="C1357">
        <f>IFERROR(LARGE(Segmen!$D$3:$D$6000,A1357),"")</f>
        <v/>
      </c>
    </row>
    <row r="1358">
      <c r="A1358" t="n">
        <v>1357</v>
      </c>
      <c r="B1358">
        <f>IFERROR(INDEX(Segmen!$A$3:$A$6000,MATCH(C1358,Segmen!$D$3:$D$6000,0)),"")</f>
        <v/>
      </c>
      <c r="C1358">
        <f>IFERROR(LARGE(Segmen!$D$3:$D$6000,A1358),"")</f>
        <v/>
      </c>
    </row>
    <row r="1359">
      <c r="A1359" t="n">
        <v>1358</v>
      </c>
      <c r="B1359">
        <f>IFERROR(INDEX(Segmen!$A$3:$A$6000,MATCH(C1359,Segmen!$D$3:$D$6000,0)),"")</f>
        <v/>
      </c>
      <c r="C1359">
        <f>IFERROR(LARGE(Segmen!$D$3:$D$6000,A1359),"")</f>
        <v/>
      </c>
    </row>
    <row r="1360">
      <c r="A1360" t="n">
        <v>1359</v>
      </c>
      <c r="B1360">
        <f>IFERROR(INDEX(Segmen!$A$3:$A$6000,MATCH(C1360,Segmen!$D$3:$D$6000,0)),"")</f>
        <v/>
      </c>
      <c r="C1360">
        <f>IFERROR(LARGE(Segmen!$D$3:$D$6000,A1360),"")</f>
        <v/>
      </c>
    </row>
    <row r="1361">
      <c r="A1361" t="n">
        <v>1360</v>
      </c>
      <c r="B1361">
        <f>IFERROR(INDEX(Segmen!$A$3:$A$6000,MATCH(C1361,Segmen!$D$3:$D$6000,0)),"")</f>
        <v/>
      </c>
      <c r="C1361">
        <f>IFERROR(LARGE(Segmen!$D$3:$D$6000,A1361),"")</f>
        <v/>
      </c>
    </row>
    <row r="1362">
      <c r="A1362" t="n">
        <v>1361</v>
      </c>
      <c r="B1362">
        <f>IFERROR(INDEX(Segmen!$A$3:$A$6000,MATCH(C1362,Segmen!$D$3:$D$6000,0)),"")</f>
        <v/>
      </c>
      <c r="C1362">
        <f>IFERROR(LARGE(Segmen!$D$3:$D$6000,A1362),"")</f>
        <v/>
      </c>
    </row>
    <row r="1363">
      <c r="A1363" t="n">
        <v>1362</v>
      </c>
      <c r="B1363">
        <f>IFERROR(INDEX(Segmen!$A$3:$A$6000,MATCH(C1363,Segmen!$D$3:$D$6000,0)),"")</f>
        <v/>
      </c>
      <c r="C1363">
        <f>IFERROR(LARGE(Segmen!$D$3:$D$6000,A1363),"")</f>
        <v/>
      </c>
    </row>
    <row r="1364">
      <c r="A1364" t="n">
        <v>1363</v>
      </c>
      <c r="B1364">
        <f>IFERROR(INDEX(Segmen!$A$3:$A$6000,MATCH(C1364,Segmen!$D$3:$D$6000,0)),"")</f>
        <v/>
      </c>
      <c r="C1364">
        <f>IFERROR(LARGE(Segmen!$D$3:$D$6000,A1364),"")</f>
        <v/>
      </c>
    </row>
    <row r="1365">
      <c r="A1365" t="n">
        <v>1364</v>
      </c>
      <c r="B1365">
        <f>IFERROR(INDEX(Segmen!$A$3:$A$6000,MATCH(C1365,Segmen!$D$3:$D$6000,0)),"")</f>
        <v/>
      </c>
      <c r="C1365">
        <f>IFERROR(LARGE(Segmen!$D$3:$D$6000,A1365),"")</f>
        <v/>
      </c>
    </row>
    <row r="1366">
      <c r="A1366" t="n">
        <v>1365</v>
      </c>
      <c r="B1366">
        <f>IFERROR(INDEX(Segmen!$A$3:$A$6000,MATCH(C1366,Segmen!$D$3:$D$6000,0)),"")</f>
        <v/>
      </c>
      <c r="C1366">
        <f>IFERROR(LARGE(Segmen!$D$3:$D$6000,A1366),"")</f>
        <v/>
      </c>
    </row>
    <row r="1367">
      <c r="A1367" t="n">
        <v>1366</v>
      </c>
      <c r="B1367">
        <f>IFERROR(INDEX(Segmen!$A$3:$A$6000,MATCH(C1367,Segmen!$D$3:$D$6000,0)),"")</f>
        <v/>
      </c>
      <c r="C1367">
        <f>IFERROR(LARGE(Segmen!$D$3:$D$6000,A1367),"")</f>
        <v/>
      </c>
    </row>
    <row r="1368">
      <c r="A1368" t="n">
        <v>1367</v>
      </c>
      <c r="B1368">
        <f>IFERROR(INDEX(Segmen!$A$3:$A$6000,MATCH(C1368,Segmen!$D$3:$D$6000,0)),"")</f>
        <v/>
      </c>
      <c r="C1368">
        <f>IFERROR(LARGE(Segmen!$D$3:$D$6000,A1368),"")</f>
        <v/>
      </c>
    </row>
    <row r="1369">
      <c r="A1369" t="n">
        <v>1368</v>
      </c>
      <c r="B1369">
        <f>IFERROR(INDEX(Segmen!$A$3:$A$6000,MATCH(C1369,Segmen!$D$3:$D$6000,0)),"")</f>
        <v/>
      </c>
      <c r="C1369">
        <f>IFERROR(LARGE(Segmen!$D$3:$D$6000,A1369),"")</f>
        <v/>
      </c>
    </row>
    <row r="1370">
      <c r="A1370" t="n">
        <v>1369</v>
      </c>
      <c r="B1370">
        <f>IFERROR(INDEX(Segmen!$A$3:$A$6000,MATCH(C1370,Segmen!$D$3:$D$6000,0)),"")</f>
        <v/>
      </c>
      <c r="C1370">
        <f>IFERROR(LARGE(Segmen!$D$3:$D$6000,A1370),"")</f>
        <v/>
      </c>
    </row>
    <row r="1371">
      <c r="A1371" t="n">
        <v>1370</v>
      </c>
      <c r="B1371">
        <f>IFERROR(INDEX(Segmen!$A$3:$A$6000,MATCH(C1371,Segmen!$D$3:$D$6000,0)),"")</f>
        <v/>
      </c>
      <c r="C1371">
        <f>IFERROR(LARGE(Segmen!$D$3:$D$6000,A1371),"")</f>
        <v/>
      </c>
    </row>
    <row r="1372">
      <c r="A1372" t="n">
        <v>1371</v>
      </c>
      <c r="B1372">
        <f>IFERROR(INDEX(Segmen!$A$3:$A$6000,MATCH(C1372,Segmen!$D$3:$D$6000,0)),"")</f>
        <v/>
      </c>
      <c r="C1372">
        <f>IFERROR(LARGE(Segmen!$D$3:$D$6000,A1372),"")</f>
        <v/>
      </c>
    </row>
    <row r="1373">
      <c r="A1373" t="n">
        <v>1372</v>
      </c>
      <c r="B1373">
        <f>IFERROR(INDEX(Segmen!$A$3:$A$6000,MATCH(C1373,Segmen!$D$3:$D$6000,0)),"")</f>
        <v/>
      </c>
      <c r="C1373">
        <f>IFERROR(LARGE(Segmen!$D$3:$D$6000,A1373),"")</f>
        <v/>
      </c>
    </row>
    <row r="1374">
      <c r="A1374" t="n">
        <v>1373</v>
      </c>
      <c r="B1374">
        <f>IFERROR(INDEX(Segmen!$A$3:$A$6000,MATCH(C1374,Segmen!$D$3:$D$6000,0)),"")</f>
        <v/>
      </c>
      <c r="C1374">
        <f>IFERROR(LARGE(Segmen!$D$3:$D$6000,A1374),"")</f>
        <v/>
      </c>
    </row>
    <row r="1375">
      <c r="A1375" t="n">
        <v>1374</v>
      </c>
      <c r="B1375">
        <f>IFERROR(INDEX(Segmen!$A$3:$A$6000,MATCH(C1375,Segmen!$D$3:$D$6000,0)),"")</f>
        <v/>
      </c>
      <c r="C1375">
        <f>IFERROR(LARGE(Segmen!$D$3:$D$6000,A1375),"")</f>
        <v/>
      </c>
    </row>
    <row r="1376">
      <c r="A1376" t="n">
        <v>1375</v>
      </c>
      <c r="B1376">
        <f>IFERROR(INDEX(Segmen!$A$3:$A$6000,MATCH(C1376,Segmen!$D$3:$D$6000,0)),"")</f>
        <v/>
      </c>
      <c r="C1376">
        <f>IFERROR(LARGE(Segmen!$D$3:$D$6000,A1376),"")</f>
        <v/>
      </c>
    </row>
    <row r="1377">
      <c r="A1377" t="n">
        <v>1376</v>
      </c>
      <c r="B1377">
        <f>IFERROR(INDEX(Segmen!$A$3:$A$6000,MATCH(C1377,Segmen!$D$3:$D$6000,0)),"")</f>
        <v/>
      </c>
      <c r="C1377">
        <f>IFERROR(LARGE(Segmen!$D$3:$D$6000,A1377),"")</f>
        <v/>
      </c>
    </row>
    <row r="1378">
      <c r="A1378" t="n">
        <v>1377</v>
      </c>
      <c r="B1378">
        <f>IFERROR(INDEX(Segmen!$A$3:$A$6000,MATCH(C1378,Segmen!$D$3:$D$6000,0)),"")</f>
        <v/>
      </c>
      <c r="C1378">
        <f>IFERROR(LARGE(Segmen!$D$3:$D$6000,A1378),"")</f>
        <v/>
      </c>
    </row>
    <row r="1379">
      <c r="A1379" t="n">
        <v>1378</v>
      </c>
      <c r="B1379">
        <f>IFERROR(INDEX(Segmen!$A$3:$A$6000,MATCH(C1379,Segmen!$D$3:$D$6000,0)),"")</f>
        <v/>
      </c>
      <c r="C1379">
        <f>IFERROR(LARGE(Segmen!$D$3:$D$6000,A1379),"")</f>
        <v/>
      </c>
    </row>
    <row r="1380">
      <c r="A1380" t="n">
        <v>1379</v>
      </c>
      <c r="B1380">
        <f>IFERROR(INDEX(Segmen!$A$3:$A$6000,MATCH(C1380,Segmen!$D$3:$D$6000,0)),"")</f>
        <v/>
      </c>
      <c r="C1380">
        <f>IFERROR(LARGE(Segmen!$D$3:$D$6000,A1380),"")</f>
        <v/>
      </c>
    </row>
    <row r="1381">
      <c r="A1381" t="n">
        <v>1380</v>
      </c>
      <c r="B1381">
        <f>IFERROR(INDEX(Segmen!$A$3:$A$6000,MATCH(C1381,Segmen!$D$3:$D$6000,0)),"")</f>
        <v/>
      </c>
      <c r="C1381">
        <f>IFERROR(LARGE(Segmen!$D$3:$D$6000,A1381),"")</f>
        <v/>
      </c>
    </row>
    <row r="1382">
      <c r="A1382" t="n">
        <v>1381</v>
      </c>
      <c r="B1382">
        <f>IFERROR(INDEX(Segmen!$A$3:$A$6000,MATCH(C1382,Segmen!$D$3:$D$6000,0)),"")</f>
        <v/>
      </c>
      <c r="C1382">
        <f>IFERROR(LARGE(Segmen!$D$3:$D$6000,A1382),"")</f>
        <v/>
      </c>
    </row>
    <row r="1383">
      <c r="A1383" t="n">
        <v>1382</v>
      </c>
      <c r="B1383">
        <f>IFERROR(INDEX(Segmen!$A$3:$A$6000,MATCH(C1383,Segmen!$D$3:$D$6000,0)),"")</f>
        <v/>
      </c>
      <c r="C1383">
        <f>IFERROR(LARGE(Segmen!$D$3:$D$6000,A1383),"")</f>
        <v/>
      </c>
    </row>
    <row r="1384">
      <c r="A1384" t="n">
        <v>1383</v>
      </c>
      <c r="B1384">
        <f>IFERROR(INDEX(Segmen!$A$3:$A$6000,MATCH(C1384,Segmen!$D$3:$D$6000,0)),"")</f>
        <v/>
      </c>
      <c r="C1384">
        <f>IFERROR(LARGE(Segmen!$D$3:$D$6000,A1384),"")</f>
        <v/>
      </c>
    </row>
    <row r="1385">
      <c r="A1385" t="n">
        <v>1384</v>
      </c>
      <c r="B1385">
        <f>IFERROR(INDEX(Segmen!$A$3:$A$6000,MATCH(C1385,Segmen!$D$3:$D$6000,0)),"")</f>
        <v/>
      </c>
      <c r="C1385">
        <f>IFERROR(LARGE(Segmen!$D$3:$D$6000,A1385),"")</f>
        <v/>
      </c>
    </row>
    <row r="1386">
      <c r="A1386" t="n">
        <v>1385</v>
      </c>
      <c r="B1386">
        <f>IFERROR(INDEX(Segmen!$A$3:$A$6000,MATCH(C1386,Segmen!$D$3:$D$6000,0)),"")</f>
        <v/>
      </c>
      <c r="C1386">
        <f>IFERROR(LARGE(Segmen!$D$3:$D$6000,A1386),"")</f>
        <v/>
      </c>
    </row>
    <row r="1387">
      <c r="A1387" t="n">
        <v>1386</v>
      </c>
      <c r="B1387">
        <f>IFERROR(INDEX(Segmen!$A$3:$A$6000,MATCH(C1387,Segmen!$D$3:$D$6000,0)),"")</f>
        <v/>
      </c>
      <c r="C1387">
        <f>IFERROR(LARGE(Segmen!$D$3:$D$6000,A1387),"")</f>
        <v/>
      </c>
    </row>
    <row r="1388">
      <c r="A1388" t="n">
        <v>1387</v>
      </c>
      <c r="B1388">
        <f>IFERROR(INDEX(Segmen!$A$3:$A$6000,MATCH(C1388,Segmen!$D$3:$D$6000,0)),"")</f>
        <v/>
      </c>
      <c r="C1388">
        <f>IFERROR(LARGE(Segmen!$D$3:$D$6000,A1388),"")</f>
        <v/>
      </c>
    </row>
    <row r="1389">
      <c r="A1389" t="n">
        <v>1388</v>
      </c>
      <c r="B1389">
        <f>IFERROR(INDEX(Segmen!$A$3:$A$6000,MATCH(C1389,Segmen!$D$3:$D$6000,0)),"")</f>
        <v/>
      </c>
      <c r="C1389">
        <f>IFERROR(LARGE(Segmen!$D$3:$D$6000,A1389),"")</f>
        <v/>
      </c>
    </row>
    <row r="1390">
      <c r="A1390" t="n">
        <v>1389</v>
      </c>
      <c r="B1390">
        <f>IFERROR(INDEX(Segmen!$A$3:$A$6000,MATCH(C1390,Segmen!$D$3:$D$6000,0)),"")</f>
        <v/>
      </c>
      <c r="C1390">
        <f>IFERROR(LARGE(Segmen!$D$3:$D$6000,A1390),"")</f>
        <v/>
      </c>
    </row>
    <row r="1391">
      <c r="A1391" t="n">
        <v>1390</v>
      </c>
      <c r="B1391">
        <f>IFERROR(INDEX(Segmen!$A$3:$A$6000,MATCH(C1391,Segmen!$D$3:$D$6000,0)),"")</f>
        <v/>
      </c>
      <c r="C1391">
        <f>IFERROR(LARGE(Segmen!$D$3:$D$6000,A1391),"")</f>
        <v/>
      </c>
    </row>
    <row r="1392">
      <c r="A1392" t="n">
        <v>1391</v>
      </c>
      <c r="B1392">
        <f>IFERROR(INDEX(Segmen!$A$3:$A$6000,MATCH(C1392,Segmen!$D$3:$D$6000,0)),"")</f>
        <v/>
      </c>
      <c r="C1392">
        <f>IFERROR(LARGE(Segmen!$D$3:$D$6000,A1392),"")</f>
        <v/>
      </c>
    </row>
    <row r="1393">
      <c r="A1393" t="n">
        <v>1392</v>
      </c>
      <c r="B1393">
        <f>IFERROR(INDEX(Segmen!$A$3:$A$6000,MATCH(C1393,Segmen!$D$3:$D$6000,0)),"")</f>
        <v/>
      </c>
      <c r="C1393">
        <f>IFERROR(LARGE(Segmen!$D$3:$D$6000,A1393),"")</f>
        <v/>
      </c>
    </row>
    <row r="1394">
      <c r="A1394" t="n">
        <v>1393</v>
      </c>
      <c r="B1394">
        <f>IFERROR(INDEX(Segmen!$A$3:$A$6000,MATCH(C1394,Segmen!$D$3:$D$6000,0)),"")</f>
        <v/>
      </c>
      <c r="C1394">
        <f>IFERROR(LARGE(Segmen!$D$3:$D$6000,A1394),"")</f>
        <v/>
      </c>
    </row>
    <row r="1395">
      <c r="A1395" t="n">
        <v>1394</v>
      </c>
      <c r="B1395">
        <f>IFERROR(INDEX(Segmen!$A$3:$A$6000,MATCH(C1395,Segmen!$D$3:$D$6000,0)),"")</f>
        <v/>
      </c>
      <c r="C1395">
        <f>IFERROR(LARGE(Segmen!$D$3:$D$6000,A1395),"")</f>
        <v/>
      </c>
    </row>
    <row r="1396">
      <c r="A1396" t="n">
        <v>1395</v>
      </c>
      <c r="B1396">
        <f>IFERROR(INDEX(Segmen!$A$3:$A$6000,MATCH(C1396,Segmen!$D$3:$D$6000,0)),"")</f>
        <v/>
      </c>
      <c r="C1396">
        <f>IFERROR(LARGE(Segmen!$D$3:$D$6000,A1396),"")</f>
        <v/>
      </c>
    </row>
    <row r="1397">
      <c r="A1397" t="n">
        <v>1396</v>
      </c>
      <c r="B1397">
        <f>IFERROR(INDEX(Segmen!$A$3:$A$6000,MATCH(C1397,Segmen!$D$3:$D$6000,0)),"")</f>
        <v/>
      </c>
      <c r="C1397">
        <f>IFERROR(LARGE(Segmen!$D$3:$D$6000,A1397),"")</f>
        <v/>
      </c>
    </row>
    <row r="1398">
      <c r="A1398" t="n">
        <v>1397</v>
      </c>
      <c r="B1398">
        <f>IFERROR(INDEX(Segmen!$A$3:$A$6000,MATCH(C1398,Segmen!$D$3:$D$6000,0)),"")</f>
        <v/>
      </c>
      <c r="C1398">
        <f>IFERROR(LARGE(Segmen!$D$3:$D$6000,A1398),"")</f>
        <v/>
      </c>
    </row>
    <row r="1399">
      <c r="A1399" t="n">
        <v>1398</v>
      </c>
      <c r="B1399">
        <f>IFERROR(INDEX(Segmen!$A$3:$A$6000,MATCH(C1399,Segmen!$D$3:$D$6000,0)),"")</f>
        <v/>
      </c>
      <c r="C1399">
        <f>IFERROR(LARGE(Segmen!$D$3:$D$6000,A1399),"")</f>
        <v/>
      </c>
    </row>
    <row r="1400">
      <c r="A1400" t="n">
        <v>1399</v>
      </c>
      <c r="B1400">
        <f>IFERROR(INDEX(Segmen!$A$3:$A$6000,MATCH(C1400,Segmen!$D$3:$D$6000,0)),"")</f>
        <v/>
      </c>
      <c r="C1400">
        <f>IFERROR(LARGE(Segmen!$D$3:$D$6000,A1400),"")</f>
        <v/>
      </c>
    </row>
    <row r="1401">
      <c r="A1401" t="n">
        <v>1400</v>
      </c>
      <c r="B1401">
        <f>IFERROR(INDEX(Segmen!$A$3:$A$6000,MATCH(C1401,Segmen!$D$3:$D$6000,0)),"")</f>
        <v/>
      </c>
      <c r="C1401">
        <f>IFERROR(LARGE(Segmen!$D$3:$D$6000,A1401),"")</f>
        <v/>
      </c>
    </row>
    <row r="1402">
      <c r="A1402" t="n">
        <v>1401</v>
      </c>
      <c r="B1402">
        <f>IFERROR(INDEX(Segmen!$A$3:$A$6000,MATCH(C1402,Segmen!$D$3:$D$6000,0)),"")</f>
        <v/>
      </c>
      <c r="C1402">
        <f>IFERROR(LARGE(Segmen!$D$3:$D$6000,A1402),"")</f>
        <v/>
      </c>
    </row>
    <row r="1403">
      <c r="A1403" t="n">
        <v>1402</v>
      </c>
      <c r="B1403">
        <f>IFERROR(INDEX(Segmen!$A$3:$A$6000,MATCH(C1403,Segmen!$D$3:$D$6000,0)),"")</f>
        <v/>
      </c>
      <c r="C1403">
        <f>IFERROR(LARGE(Segmen!$D$3:$D$6000,A1403),"")</f>
        <v/>
      </c>
    </row>
    <row r="1404">
      <c r="A1404" t="n">
        <v>1403</v>
      </c>
      <c r="B1404">
        <f>IFERROR(INDEX(Segmen!$A$3:$A$6000,MATCH(C1404,Segmen!$D$3:$D$6000,0)),"")</f>
        <v/>
      </c>
      <c r="C1404">
        <f>IFERROR(LARGE(Segmen!$D$3:$D$6000,A1404),"")</f>
        <v/>
      </c>
    </row>
    <row r="1405">
      <c r="A1405" t="n">
        <v>1404</v>
      </c>
      <c r="B1405">
        <f>IFERROR(INDEX(Segmen!$A$3:$A$6000,MATCH(C1405,Segmen!$D$3:$D$6000,0)),"")</f>
        <v/>
      </c>
      <c r="C1405">
        <f>IFERROR(LARGE(Segmen!$D$3:$D$6000,A1405),"")</f>
        <v/>
      </c>
    </row>
    <row r="1406">
      <c r="A1406" t="n">
        <v>1405</v>
      </c>
      <c r="B1406">
        <f>IFERROR(INDEX(Segmen!$A$3:$A$6000,MATCH(C1406,Segmen!$D$3:$D$6000,0)),"")</f>
        <v/>
      </c>
      <c r="C1406">
        <f>IFERROR(LARGE(Segmen!$D$3:$D$6000,A1406),"")</f>
        <v/>
      </c>
    </row>
    <row r="1407">
      <c r="A1407" t="n">
        <v>1406</v>
      </c>
      <c r="B1407">
        <f>IFERROR(INDEX(Segmen!$A$3:$A$6000,MATCH(C1407,Segmen!$D$3:$D$6000,0)),"")</f>
        <v/>
      </c>
      <c r="C1407">
        <f>IFERROR(LARGE(Segmen!$D$3:$D$6000,A1407),"")</f>
        <v/>
      </c>
    </row>
    <row r="1408">
      <c r="A1408" t="n">
        <v>1407</v>
      </c>
      <c r="B1408">
        <f>IFERROR(INDEX(Segmen!$A$3:$A$6000,MATCH(C1408,Segmen!$D$3:$D$6000,0)),"")</f>
        <v/>
      </c>
      <c r="C1408">
        <f>IFERROR(LARGE(Segmen!$D$3:$D$6000,A1408),"")</f>
        <v/>
      </c>
    </row>
    <row r="1409">
      <c r="A1409" t="n">
        <v>1408</v>
      </c>
      <c r="B1409">
        <f>IFERROR(INDEX(Segmen!$A$3:$A$6000,MATCH(C1409,Segmen!$D$3:$D$6000,0)),"")</f>
        <v/>
      </c>
      <c r="C1409">
        <f>IFERROR(LARGE(Segmen!$D$3:$D$6000,A1409),"")</f>
        <v/>
      </c>
    </row>
    <row r="1410">
      <c r="A1410" t="n">
        <v>1409</v>
      </c>
      <c r="B1410">
        <f>IFERROR(INDEX(Segmen!$A$3:$A$6000,MATCH(C1410,Segmen!$D$3:$D$6000,0)),"")</f>
        <v/>
      </c>
      <c r="C1410">
        <f>IFERROR(LARGE(Segmen!$D$3:$D$6000,A1410),"")</f>
        <v/>
      </c>
    </row>
    <row r="1411">
      <c r="A1411" t="n">
        <v>1410</v>
      </c>
      <c r="B1411">
        <f>IFERROR(INDEX(Segmen!$A$3:$A$6000,MATCH(C1411,Segmen!$D$3:$D$6000,0)),"")</f>
        <v/>
      </c>
      <c r="C1411">
        <f>IFERROR(LARGE(Segmen!$D$3:$D$6000,A1411),"")</f>
        <v/>
      </c>
    </row>
    <row r="1412">
      <c r="A1412" t="n">
        <v>1411</v>
      </c>
      <c r="B1412">
        <f>IFERROR(INDEX(Segmen!$A$3:$A$6000,MATCH(C1412,Segmen!$D$3:$D$6000,0)),"")</f>
        <v/>
      </c>
      <c r="C1412">
        <f>IFERROR(LARGE(Segmen!$D$3:$D$6000,A1412),"")</f>
        <v/>
      </c>
    </row>
    <row r="1413">
      <c r="A1413" t="n">
        <v>1412</v>
      </c>
      <c r="B1413">
        <f>IFERROR(INDEX(Segmen!$A$3:$A$6000,MATCH(C1413,Segmen!$D$3:$D$6000,0)),"")</f>
        <v/>
      </c>
      <c r="C1413">
        <f>IFERROR(LARGE(Segmen!$D$3:$D$6000,A1413),"")</f>
        <v/>
      </c>
    </row>
    <row r="1414">
      <c r="A1414" t="n">
        <v>1413</v>
      </c>
      <c r="B1414">
        <f>IFERROR(INDEX(Segmen!$A$3:$A$6000,MATCH(C1414,Segmen!$D$3:$D$6000,0)),"")</f>
        <v/>
      </c>
      <c r="C1414">
        <f>IFERROR(LARGE(Segmen!$D$3:$D$6000,A1414),"")</f>
        <v/>
      </c>
    </row>
    <row r="1415">
      <c r="A1415" t="n">
        <v>1414</v>
      </c>
      <c r="B1415">
        <f>IFERROR(INDEX(Segmen!$A$3:$A$6000,MATCH(C1415,Segmen!$D$3:$D$6000,0)),"")</f>
        <v/>
      </c>
      <c r="C1415">
        <f>IFERROR(LARGE(Segmen!$D$3:$D$6000,A1415),"")</f>
        <v/>
      </c>
    </row>
    <row r="1416">
      <c r="A1416" t="n">
        <v>1415</v>
      </c>
      <c r="B1416">
        <f>IFERROR(INDEX(Segmen!$A$3:$A$6000,MATCH(C1416,Segmen!$D$3:$D$6000,0)),"")</f>
        <v/>
      </c>
      <c r="C1416">
        <f>IFERROR(LARGE(Segmen!$D$3:$D$6000,A1416),"")</f>
        <v/>
      </c>
    </row>
    <row r="1417">
      <c r="A1417" t="n">
        <v>1416</v>
      </c>
      <c r="B1417">
        <f>IFERROR(INDEX(Segmen!$A$3:$A$6000,MATCH(C1417,Segmen!$D$3:$D$6000,0)),"")</f>
        <v/>
      </c>
      <c r="C1417">
        <f>IFERROR(LARGE(Segmen!$D$3:$D$6000,A1417),"")</f>
        <v/>
      </c>
    </row>
    <row r="1418">
      <c r="A1418" t="n">
        <v>1417</v>
      </c>
      <c r="B1418">
        <f>IFERROR(INDEX(Segmen!$A$3:$A$6000,MATCH(C1418,Segmen!$D$3:$D$6000,0)),"")</f>
        <v/>
      </c>
      <c r="C1418">
        <f>IFERROR(LARGE(Segmen!$D$3:$D$6000,A1418),"")</f>
        <v/>
      </c>
    </row>
    <row r="1419">
      <c r="A1419" t="n">
        <v>1418</v>
      </c>
      <c r="B1419">
        <f>IFERROR(INDEX(Segmen!$A$3:$A$6000,MATCH(C1419,Segmen!$D$3:$D$6000,0)),"")</f>
        <v/>
      </c>
      <c r="C1419">
        <f>IFERROR(LARGE(Segmen!$D$3:$D$6000,A1419),"")</f>
        <v/>
      </c>
    </row>
    <row r="1420">
      <c r="A1420" t="n">
        <v>1419</v>
      </c>
      <c r="B1420">
        <f>IFERROR(INDEX(Segmen!$A$3:$A$6000,MATCH(C1420,Segmen!$D$3:$D$6000,0)),"")</f>
        <v/>
      </c>
      <c r="C1420">
        <f>IFERROR(LARGE(Segmen!$D$3:$D$6000,A1420),"")</f>
        <v/>
      </c>
    </row>
    <row r="1421">
      <c r="A1421" t="n">
        <v>1420</v>
      </c>
      <c r="B1421">
        <f>IFERROR(INDEX(Segmen!$A$3:$A$6000,MATCH(C1421,Segmen!$D$3:$D$6000,0)),"")</f>
        <v/>
      </c>
      <c r="C1421">
        <f>IFERROR(LARGE(Segmen!$D$3:$D$6000,A1421),"")</f>
        <v/>
      </c>
    </row>
    <row r="1422">
      <c r="A1422" t="n">
        <v>1421</v>
      </c>
      <c r="B1422">
        <f>IFERROR(INDEX(Segmen!$A$3:$A$6000,MATCH(C1422,Segmen!$D$3:$D$6000,0)),"")</f>
        <v/>
      </c>
      <c r="C1422">
        <f>IFERROR(LARGE(Segmen!$D$3:$D$6000,A1422),"")</f>
        <v/>
      </c>
    </row>
    <row r="1423">
      <c r="A1423" t="n">
        <v>1422</v>
      </c>
      <c r="B1423">
        <f>IFERROR(INDEX(Segmen!$A$3:$A$6000,MATCH(C1423,Segmen!$D$3:$D$6000,0)),"")</f>
        <v/>
      </c>
      <c r="C1423">
        <f>IFERROR(LARGE(Segmen!$D$3:$D$6000,A1423),"")</f>
        <v/>
      </c>
    </row>
    <row r="1424">
      <c r="A1424" t="n">
        <v>1423</v>
      </c>
      <c r="B1424">
        <f>IFERROR(INDEX(Segmen!$A$3:$A$6000,MATCH(C1424,Segmen!$D$3:$D$6000,0)),"")</f>
        <v/>
      </c>
      <c r="C1424">
        <f>IFERROR(LARGE(Segmen!$D$3:$D$6000,A1424),"")</f>
        <v/>
      </c>
    </row>
    <row r="1425">
      <c r="A1425" t="n">
        <v>1424</v>
      </c>
      <c r="B1425">
        <f>IFERROR(INDEX(Segmen!$A$3:$A$6000,MATCH(C1425,Segmen!$D$3:$D$6000,0)),"")</f>
        <v/>
      </c>
      <c r="C1425">
        <f>IFERROR(LARGE(Segmen!$D$3:$D$6000,A1425),"")</f>
        <v/>
      </c>
    </row>
    <row r="1426">
      <c r="A1426" t="n">
        <v>1425</v>
      </c>
      <c r="B1426">
        <f>IFERROR(INDEX(Segmen!$A$3:$A$6000,MATCH(C1426,Segmen!$D$3:$D$6000,0)),"")</f>
        <v/>
      </c>
      <c r="C1426">
        <f>IFERROR(LARGE(Segmen!$D$3:$D$6000,A1426),"")</f>
        <v/>
      </c>
    </row>
    <row r="1427">
      <c r="A1427" t="n">
        <v>1426</v>
      </c>
      <c r="B1427">
        <f>IFERROR(INDEX(Segmen!$A$3:$A$6000,MATCH(C1427,Segmen!$D$3:$D$6000,0)),"")</f>
        <v/>
      </c>
      <c r="C1427">
        <f>IFERROR(LARGE(Segmen!$D$3:$D$6000,A1427),"")</f>
        <v/>
      </c>
    </row>
    <row r="1428">
      <c r="A1428" t="n">
        <v>1427</v>
      </c>
      <c r="B1428">
        <f>IFERROR(INDEX(Segmen!$A$3:$A$6000,MATCH(C1428,Segmen!$D$3:$D$6000,0)),"")</f>
        <v/>
      </c>
      <c r="C1428">
        <f>IFERROR(LARGE(Segmen!$D$3:$D$6000,A1428),"")</f>
        <v/>
      </c>
    </row>
    <row r="1429">
      <c r="A1429" t="n">
        <v>1428</v>
      </c>
      <c r="B1429">
        <f>IFERROR(INDEX(Segmen!$A$3:$A$6000,MATCH(C1429,Segmen!$D$3:$D$6000,0)),"")</f>
        <v/>
      </c>
      <c r="C1429">
        <f>IFERROR(LARGE(Segmen!$D$3:$D$6000,A1429),"")</f>
        <v/>
      </c>
    </row>
    <row r="1430">
      <c r="A1430" t="n">
        <v>1429</v>
      </c>
      <c r="B1430">
        <f>IFERROR(INDEX(Segmen!$A$3:$A$6000,MATCH(C1430,Segmen!$D$3:$D$6000,0)),"")</f>
        <v/>
      </c>
      <c r="C1430">
        <f>IFERROR(LARGE(Segmen!$D$3:$D$6000,A1430),"")</f>
        <v/>
      </c>
    </row>
    <row r="1431">
      <c r="A1431" t="n">
        <v>1430</v>
      </c>
      <c r="B1431">
        <f>IFERROR(INDEX(Segmen!$A$3:$A$6000,MATCH(C1431,Segmen!$D$3:$D$6000,0)),"")</f>
        <v/>
      </c>
      <c r="C1431">
        <f>IFERROR(LARGE(Segmen!$D$3:$D$6000,A1431),"")</f>
        <v/>
      </c>
    </row>
    <row r="1432">
      <c r="A1432" t="n">
        <v>1431</v>
      </c>
      <c r="B1432">
        <f>IFERROR(INDEX(Segmen!$A$3:$A$6000,MATCH(C1432,Segmen!$D$3:$D$6000,0)),"")</f>
        <v/>
      </c>
      <c r="C1432">
        <f>IFERROR(LARGE(Segmen!$D$3:$D$6000,A1432),"")</f>
        <v/>
      </c>
    </row>
    <row r="1433">
      <c r="A1433" t="n">
        <v>1432</v>
      </c>
      <c r="B1433">
        <f>IFERROR(INDEX(Segmen!$A$3:$A$6000,MATCH(C1433,Segmen!$D$3:$D$6000,0)),"")</f>
        <v/>
      </c>
      <c r="C1433">
        <f>IFERROR(LARGE(Segmen!$D$3:$D$6000,A1433),"")</f>
        <v/>
      </c>
    </row>
    <row r="1434">
      <c r="A1434" t="n">
        <v>1433</v>
      </c>
      <c r="B1434">
        <f>IFERROR(INDEX(Segmen!$A$3:$A$6000,MATCH(C1434,Segmen!$D$3:$D$6000,0)),"")</f>
        <v/>
      </c>
      <c r="C1434">
        <f>IFERROR(LARGE(Segmen!$D$3:$D$6000,A1434),"")</f>
        <v/>
      </c>
    </row>
    <row r="1435">
      <c r="A1435" t="n">
        <v>1434</v>
      </c>
      <c r="B1435">
        <f>IFERROR(INDEX(Segmen!$A$3:$A$6000,MATCH(C1435,Segmen!$D$3:$D$6000,0)),"")</f>
        <v/>
      </c>
      <c r="C1435">
        <f>IFERROR(LARGE(Segmen!$D$3:$D$6000,A1435),"")</f>
        <v/>
      </c>
    </row>
    <row r="1436">
      <c r="A1436" t="n">
        <v>1435</v>
      </c>
      <c r="B1436">
        <f>IFERROR(INDEX(Segmen!$A$3:$A$6000,MATCH(C1436,Segmen!$D$3:$D$6000,0)),"")</f>
        <v/>
      </c>
      <c r="C1436">
        <f>IFERROR(LARGE(Segmen!$D$3:$D$6000,A1436),"")</f>
        <v/>
      </c>
    </row>
    <row r="1437">
      <c r="A1437" t="n">
        <v>1436</v>
      </c>
      <c r="B1437">
        <f>IFERROR(INDEX(Segmen!$A$3:$A$6000,MATCH(C1437,Segmen!$D$3:$D$6000,0)),"")</f>
        <v/>
      </c>
      <c r="C1437">
        <f>IFERROR(LARGE(Segmen!$D$3:$D$6000,A1437),"")</f>
        <v/>
      </c>
    </row>
    <row r="1438">
      <c r="A1438" t="n">
        <v>1437</v>
      </c>
      <c r="B1438">
        <f>IFERROR(INDEX(Segmen!$A$3:$A$6000,MATCH(C1438,Segmen!$D$3:$D$6000,0)),"")</f>
        <v/>
      </c>
      <c r="C1438">
        <f>IFERROR(LARGE(Segmen!$D$3:$D$6000,A1438),"")</f>
        <v/>
      </c>
    </row>
    <row r="1439">
      <c r="A1439" t="n">
        <v>1438</v>
      </c>
      <c r="B1439">
        <f>IFERROR(INDEX(Segmen!$A$3:$A$6000,MATCH(C1439,Segmen!$D$3:$D$6000,0)),"")</f>
        <v/>
      </c>
      <c r="C1439">
        <f>IFERROR(LARGE(Segmen!$D$3:$D$6000,A1439),"")</f>
        <v/>
      </c>
    </row>
    <row r="1440">
      <c r="A1440" t="n">
        <v>1439</v>
      </c>
      <c r="B1440">
        <f>IFERROR(INDEX(Segmen!$A$3:$A$6000,MATCH(C1440,Segmen!$D$3:$D$6000,0)),"")</f>
        <v/>
      </c>
      <c r="C1440">
        <f>IFERROR(LARGE(Segmen!$D$3:$D$6000,A1440),"")</f>
        <v/>
      </c>
    </row>
    <row r="1441">
      <c r="A1441" t="n">
        <v>1440</v>
      </c>
      <c r="B1441">
        <f>IFERROR(INDEX(Segmen!$A$3:$A$6000,MATCH(C1441,Segmen!$D$3:$D$6000,0)),"")</f>
        <v/>
      </c>
      <c r="C1441">
        <f>IFERROR(LARGE(Segmen!$D$3:$D$6000,A1441),"")</f>
        <v/>
      </c>
    </row>
    <row r="1442">
      <c r="A1442" t="n">
        <v>1441</v>
      </c>
      <c r="B1442">
        <f>IFERROR(INDEX(Segmen!$A$3:$A$6000,MATCH(C1442,Segmen!$D$3:$D$6000,0)),"")</f>
        <v/>
      </c>
      <c r="C1442">
        <f>IFERROR(LARGE(Segmen!$D$3:$D$6000,A1442),"")</f>
        <v/>
      </c>
    </row>
    <row r="1443">
      <c r="A1443" t="n">
        <v>1442</v>
      </c>
      <c r="B1443">
        <f>IFERROR(INDEX(Segmen!$A$3:$A$6000,MATCH(C1443,Segmen!$D$3:$D$6000,0)),"")</f>
        <v/>
      </c>
      <c r="C1443">
        <f>IFERROR(LARGE(Segmen!$D$3:$D$6000,A1443),"")</f>
        <v/>
      </c>
    </row>
    <row r="1444">
      <c r="A1444" t="n">
        <v>1443</v>
      </c>
      <c r="B1444">
        <f>IFERROR(INDEX(Segmen!$A$3:$A$6000,MATCH(C1444,Segmen!$D$3:$D$6000,0)),"")</f>
        <v/>
      </c>
      <c r="C1444">
        <f>IFERROR(LARGE(Segmen!$D$3:$D$6000,A1444),"")</f>
        <v/>
      </c>
    </row>
    <row r="1445">
      <c r="A1445" t="n">
        <v>1444</v>
      </c>
      <c r="B1445">
        <f>IFERROR(INDEX(Segmen!$A$3:$A$6000,MATCH(C1445,Segmen!$D$3:$D$6000,0)),"")</f>
        <v/>
      </c>
      <c r="C1445">
        <f>IFERROR(LARGE(Segmen!$D$3:$D$6000,A1445),"")</f>
        <v/>
      </c>
    </row>
    <row r="1446">
      <c r="A1446" t="n">
        <v>1445</v>
      </c>
      <c r="B1446">
        <f>IFERROR(INDEX(Segmen!$A$3:$A$6000,MATCH(C1446,Segmen!$D$3:$D$6000,0)),"")</f>
        <v/>
      </c>
      <c r="C1446">
        <f>IFERROR(LARGE(Segmen!$D$3:$D$6000,A1446),"")</f>
        <v/>
      </c>
    </row>
    <row r="1447">
      <c r="A1447" t="n">
        <v>1446</v>
      </c>
      <c r="B1447">
        <f>IFERROR(INDEX(Segmen!$A$3:$A$6000,MATCH(C1447,Segmen!$D$3:$D$6000,0)),"")</f>
        <v/>
      </c>
      <c r="C1447">
        <f>IFERROR(LARGE(Segmen!$D$3:$D$6000,A1447),"")</f>
        <v/>
      </c>
    </row>
    <row r="1448">
      <c r="A1448" t="n">
        <v>1447</v>
      </c>
      <c r="B1448">
        <f>IFERROR(INDEX(Segmen!$A$3:$A$6000,MATCH(C1448,Segmen!$D$3:$D$6000,0)),"")</f>
        <v/>
      </c>
      <c r="C1448">
        <f>IFERROR(LARGE(Segmen!$D$3:$D$6000,A1448),"")</f>
        <v/>
      </c>
    </row>
    <row r="1449">
      <c r="A1449" t="n">
        <v>1448</v>
      </c>
      <c r="B1449">
        <f>IFERROR(INDEX(Segmen!$A$3:$A$6000,MATCH(C1449,Segmen!$D$3:$D$6000,0)),"")</f>
        <v/>
      </c>
      <c r="C1449">
        <f>IFERROR(LARGE(Segmen!$D$3:$D$6000,A1449),"")</f>
        <v/>
      </c>
    </row>
    <row r="1450">
      <c r="A1450" t="n">
        <v>1449</v>
      </c>
      <c r="B1450">
        <f>IFERROR(INDEX(Segmen!$A$3:$A$6000,MATCH(C1450,Segmen!$D$3:$D$6000,0)),"")</f>
        <v/>
      </c>
      <c r="C1450">
        <f>IFERROR(LARGE(Segmen!$D$3:$D$6000,A1450),"")</f>
        <v/>
      </c>
    </row>
    <row r="1451">
      <c r="A1451" t="n">
        <v>1450</v>
      </c>
      <c r="B1451">
        <f>IFERROR(INDEX(Segmen!$A$3:$A$6000,MATCH(C1451,Segmen!$D$3:$D$6000,0)),"")</f>
        <v/>
      </c>
      <c r="C1451">
        <f>IFERROR(LARGE(Segmen!$D$3:$D$6000,A1451),"")</f>
        <v/>
      </c>
    </row>
    <row r="1452">
      <c r="A1452" t="n">
        <v>1451</v>
      </c>
      <c r="B1452">
        <f>IFERROR(INDEX(Segmen!$A$3:$A$6000,MATCH(C1452,Segmen!$D$3:$D$6000,0)),"")</f>
        <v/>
      </c>
      <c r="C1452">
        <f>IFERROR(LARGE(Segmen!$D$3:$D$6000,A1452),"")</f>
        <v/>
      </c>
    </row>
    <row r="1453">
      <c r="A1453" t="n">
        <v>1452</v>
      </c>
      <c r="B1453">
        <f>IFERROR(INDEX(Segmen!$A$3:$A$6000,MATCH(C1453,Segmen!$D$3:$D$6000,0)),"")</f>
        <v/>
      </c>
      <c r="C1453">
        <f>IFERROR(LARGE(Segmen!$D$3:$D$6000,A1453),"")</f>
        <v/>
      </c>
    </row>
    <row r="1454">
      <c r="A1454" t="n">
        <v>1453</v>
      </c>
      <c r="B1454">
        <f>IFERROR(INDEX(Segmen!$A$3:$A$6000,MATCH(C1454,Segmen!$D$3:$D$6000,0)),"")</f>
        <v/>
      </c>
      <c r="C1454">
        <f>IFERROR(LARGE(Segmen!$D$3:$D$6000,A1454),"")</f>
        <v/>
      </c>
    </row>
    <row r="1455">
      <c r="A1455" t="n">
        <v>1454</v>
      </c>
      <c r="B1455">
        <f>IFERROR(INDEX(Segmen!$A$3:$A$6000,MATCH(C1455,Segmen!$D$3:$D$6000,0)),"")</f>
        <v/>
      </c>
      <c r="C1455">
        <f>IFERROR(LARGE(Segmen!$D$3:$D$6000,A1455),"")</f>
        <v/>
      </c>
    </row>
    <row r="1456">
      <c r="A1456" t="n">
        <v>1455</v>
      </c>
      <c r="B1456">
        <f>IFERROR(INDEX(Segmen!$A$3:$A$6000,MATCH(C1456,Segmen!$D$3:$D$6000,0)),"")</f>
        <v/>
      </c>
      <c r="C1456">
        <f>IFERROR(LARGE(Segmen!$D$3:$D$6000,A1456),"")</f>
        <v/>
      </c>
    </row>
    <row r="1457">
      <c r="A1457" t="n">
        <v>1456</v>
      </c>
      <c r="B1457">
        <f>IFERROR(INDEX(Segmen!$A$3:$A$6000,MATCH(C1457,Segmen!$D$3:$D$6000,0)),"")</f>
        <v/>
      </c>
      <c r="C1457">
        <f>IFERROR(LARGE(Segmen!$D$3:$D$6000,A1457),"")</f>
        <v/>
      </c>
    </row>
    <row r="1458">
      <c r="A1458" t="n">
        <v>1457</v>
      </c>
      <c r="B1458">
        <f>IFERROR(INDEX(Segmen!$A$3:$A$6000,MATCH(C1458,Segmen!$D$3:$D$6000,0)),"")</f>
        <v/>
      </c>
      <c r="C1458">
        <f>IFERROR(LARGE(Segmen!$D$3:$D$6000,A1458),"")</f>
        <v/>
      </c>
    </row>
    <row r="1459">
      <c r="A1459" t="n">
        <v>1458</v>
      </c>
      <c r="B1459">
        <f>IFERROR(INDEX(Segmen!$A$3:$A$6000,MATCH(C1459,Segmen!$D$3:$D$6000,0)),"")</f>
        <v/>
      </c>
      <c r="C1459">
        <f>IFERROR(LARGE(Segmen!$D$3:$D$6000,A1459),"")</f>
        <v/>
      </c>
    </row>
    <row r="1460">
      <c r="A1460" t="n">
        <v>1459</v>
      </c>
      <c r="B1460">
        <f>IFERROR(INDEX(Segmen!$A$3:$A$6000,MATCH(C1460,Segmen!$D$3:$D$6000,0)),"")</f>
        <v/>
      </c>
      <c r="C1460">
        <f>IFERROR(LARGE(Segmen!$D$3:$D$6000,A1460),"")</f>
        <v/>
      </c>
    </row>
    <row r="1461">
      <c r="A1461" t="n">
        <v>1460</v>
      </c>
      <c r="B1461">
        <f>IFERROR(INDEX(Segmen!$A$3:$A$6000,MATCH(C1461,Segmen!$D$3:$D$6000,0)),"")</f>
        <v/>
      </c>
      <c r="C1461">
        <f>IFERROR(LARGE(Segmen!$D$3:$D$6000,A1461),"")</f>
        <v/>
      </c>
    </row>
    <row r="1462">
      <c r="A1462" t="n">
        <v>1461</v>
      </c>
      <c r="B1462">
        <f>IFERROR(INDEX(Segmen!$A$3:$A$6000,MATCH(C1462,Segmen!$D$3:$D$6000,0)),"")</f>
        <v/>
      </c>
      <c r="C1462">
        <f>IFERROR(LARGE(Segmen!$D$3:$D$6000,A1462),"")</f>
        <v/>
      </c>
    </row>
    <row r="1463">
      <c r="A1463" t="n">
        <v>1462</v>
      </c>
      <c r="B1463">
        <f>IFERROR(INDEX(Segmen!$A$3:$A$6000,MATCH(C1463,Segmen!$D$3:$D$6000,0)),"")</f>
        <v/>
      </c>
      <c r="C1463">
        <f>IFERROR(LARGE(Segmen!$D$3:$D$6000,A1463),"")</f>
        <v/>
      </c>
    </row>
    <row r="1464">
      <c r="A1464" t="n">
        <v>1463</v>
      </c>
      <c r="B1464">
        <f>IFERROR(INDEX(Segmen!$A$3:$A$6000,MATCH(C1464,Segmen!$D$3:$D$6000,0)),"")</f>
        <v/>
      </c>
      <c r="C1464">
        <f>IFERROR(LARGE(Segmen!$D$3:$D$6000,A1464),"")</f>
        <v/>
      </c>
    </row>
    <row r="1465">
      <c r="A1465" t="n">
        <v>1464</v>
      </c>
      <c r="B1465">
        <f>IFERROR(INDEX(Segmen!$A$3:$A$6000,MATCH(C1465,Segmen!$D$3:$D$6000,0)),"")</f>
        <v/>
      </c>
      <c r="C1465">
        <f>IFERROR(LARGE(Segmen!$D$3:$D$6000,A1465),"")</f>
        <v/>
      </c>
    </row>
    <row r="1466">
      <c r="A1466" t="n">
        <v>1465</v>
      </c>
      <c r="B1466">
        <f>IFERROR(INDEX(Segmen!$A$3:$A$6000,MATCH(C1466,Segmen!$D$3:$D$6000,0)),"")</f>
        <v/>
      </c>
      <c r="C1466">
        <f>IFERROR(LARGE(Segmen!$D$3:$D$6000,A1466),"")</f>
        <v/>
      </c>
    </row>
    <row r="1467">
      <c r="A1467" t="n">
        <v>1466</v>
      </c>
      <c r="B1467">
        <f>IFERROR(INDEX(Segmen!$A$3:$A$6000,MATCH(C1467,Segmen!$D$3:$D$6000,0)),"")</f>
        <v/>
      </c>
      <c r="C1467">
        <f>IFERROR(LARGE(Segmen!$D$3:$D$6000,A1467),"")</f>
        <v/>
      </c>
    </row>
    <row r="1468">
      <c r="A1468" t="n">
        <v>1467</v>
      </c>
      <c r="B1468">
        <f>IFERROR(INDEX(Segmen!$A$3:$A$6000,MATCH(C1468,Segmen!$D$3:$D$6000,0)),"")</f>
        <v/>
      </c>
      <c r="C1468">
        <f>IFERROR(LARGE(Segmen!$D$3:$D$6000,A1468),"")</f>
        <v/>
      </c>
    </row>
    <row r="1469">
      <c r="A1469" t="n">
        <v>1468</v>
      </c>
      <c r="B1469">
        <f>IFERROR(INDEX(Segmen!$A$3:$A$6000,MATCH(C1469,Segmen!$D$3:$D$6000,0)),"")</f>
        <v/>
      </c>
      <c r="C1469">
        <f>IFERROR(LARGE(Segmen!$D$3:$D$6000,A1469),"")</f>
        <v/>
      </c>
    </row>
    <row r="1470">
      <c r="A1470" t="n">
        <v>1469</v>
      </c>
      <c r="B1470">
        <f>IFERROR(INDEX(Segmen!$A$3:$A$6000,MATCH(C1470,Segmen!$D$3:$D$6000,0)),"")</f>
        <v/>
      </c>
      <c r="C1470">
        <f>IFERROR(LARGE(Segmen!$D$3:$D$6000,A1470),"")</f>
        <v/>
      </c>
    </row>
    <row r="1471">
      <c r="A1471" t="n">
        <v>1470</v>
      </c>
      <c r="B1471">
        <f>IFERROR(INDEX(Segmen!$A$3:$A$6000,MATCH(C1471,Segmen!$D$3:$D$6000,0)),"")</f>
        <v/>
      </c>
      <c r="C1471">
        <f>IFERROR(LARGE(Segmen!$D$3:$D$6000,A1471),"")</f>
        <v/>
      </c>
    </row>
    <row r="1472">
      <c r="A1472" t="n">
        <v>1471</v>
      </c>
      <c r="B1472">
        <f>IFERROR(INDEX(Segmen!$A$3:$A$6000,MATCH(C1472,Segmen!$D$3:$D$6000,0)),"")</f>
        <v/>
      </c>
      <c r="C1472">
        <f>IFERROR(LARGE(Segmen!$D$3:$D$6000,A1472),"")</f>
        <v/>
      </c>
    </row>
    <row r="1473">
      <c r="A1473" t="n">
        <v>1472</v>
      </c>
      <c r="B1473">
        <f>IFERROR(INDEX(Segmen!$A$3:$A$6000,MATCH(C1473,Segmen!$D$3:$D$6000,0)),"")</f>
        <v/>
      </c>
      <c r="C1473">
        <f>IFERROR(LARGE(Segmen!$D$3:$D$6000,A1473),"")</f>
        <v/>
      </c>
    </row>
    <row r="1474">
      <c r="A1474" t="n">
        <v>1473</v>
      </c>
      <c r="B1474">
        <f>IFERROR(INDEX(Segmen!$A$3:$A$6000,MATCH(C1474,Segmen!$D$3:$D$6000,0)),"")</f>
        <v/>
      </c>
      <c r="C1474">
        <f>IFERROR(LARGE(Segmen!$D$3:$D$6000,A1474),"")</f>
        <v/>
      </c>
    </row>
    <row r="1475">
      <c r="A1475" t="n">
        <v>1474</v>
      </c>
      <c r="B1475">
        <f>IFERROR(INDEX(Segmen!$A$3:$A$6000,MATCH(C1475,Segmen!$D$3:$D$6000,0)),"")</f>
        <v/>
      </c>
      <c r="C1475">
        <f>IFERROR(LARGE(Segmen!$D$3:$D$6000,A1475),"")</f>
        <v/>
      </c>
    </row>
    <row r="1476">
      <c r="A1476" t="n">
        <v>1475</v>
      </c>
      <c r="B1476">
        <f>IFERROR(INDEX(Segmen!$A$3:$A$6000,MATCH(C1476,Segmen!$D$3:$D$6000,0)),"")</f>
        <v/>
      </c>
      <c r="C1476">
        <f>IFERROR(LARGE(Segmen!$D$3:$D$6000,A1476),"")</f>
        <v/>
      </c>
    </row>
    <row r="1477">
      <c r="A1477" t="n">
        <v>1476</v>
      </c>
      <c r="B1477">
        <f>IFERROR(INDEX(Segmen!$A$3:$A$6000,MATCH(C1477,Segmen!$D$3:$D$6000,0)),"")</f>
        <v/>
      </c>
      <c r="C1477">
        <f>IFERROR(LARGE(Segmen!$D$3:$D$6000,A1477),"")</f>
        <v/>
      </c>
    </row>
    <row r="1478">
      <c r="A1478" t="n">
        <v>1477</v>
      </c>
      <c r="B1478">
        <f>IFERROR(INDEX(Segmen!$A$3:$A$6000,MATCH(C1478,Segmen!$D$3:$D$6000,0)),"")</f>
        <v/>
      </c>
      <c r="C1478">
        <f>IFERROR(LARGE(Segmen!$D$3:$D$6000,A1478),"")</f>
        <v/>
      </c>
    </row>
    <row r="1479">
      <c r="A1479" t="n">
        <v>1478</v>
      </c>
      <c r="B1479">
        <f>IFERROR(INDEX(Segmen!$A$3:$A$6000,MATCH(C1479,Segmen!$D$3:$D$6000,0)),"")</f>
        <v/>
      </c>
      <c r="C1479">
        <f>IFERROR(LARGE(Segmen!$D$3:$D$6000,A1479),"")</f>
        <v/>
      </c>
    </row>
    <row r="1480">
      <c r="A1480" t="n">
        <v>1479</v>
      </c>
      <c r="B1480">
        <f>IFERROR(INDEX(Segmen!$A$3:$A$6000,MATCH(C1480,Segmen!$D$3:$D$6000,0)),"")</f>
        <v/>
      </c>
      <c r="C1480">
        <f>IFERROR(LARGE(Segmen!$D$3:$D$6000,A1480),"")</f>
        <v/>
      </c>
    </row>
    <row r="1481">
      <c r="A1481" t="n">
        <v>1480</v>
      </c>
      <c r="B1481">
        <f>IFERROR(INDEX(Segmen!$A$3:$A$6000,MATCH(C1481,Segmen!$D$3:$D$6000,0)),"")</f>
        <v/>
      </c>
      <c r="C1481">
        <f>IFERROR(LARGE(Segmen!$D$3:$D$6000,A1481),"")</f>
        <v/>
      </c>
    </row>
    <row r="1482">
      <c r="A1482" t="n">
        <v>1481</v>
      </c>
      <c r="B1482">
        <f>IFERROR(INDEX(Segmen!$A$3:$A$6000,MATCH(C1482,Segmen!$D$3:$D$6000,0)),"")</f>
        <v/>
      </c>
      <c r="C1482">
        <f>IFERROR(LARGE(Segmen!$D$3:$D$6000,A1482),"")</f>
        <v/>
      </c>
    </row>
    <row r="1483">
      <c r="A1483" t="n">
        <v>1482</v>
      </c>
      <c r="B1483">
        <f>IFERROR(INDEX(Segmen!$A$3:$A$6000,MATCH(C1483,Segmen!$D$3:$D$6000,0)),"")</f>
        <v/>
      </c>
      <c r="C1483">
        <f>IFERROR(LARGE(Segmen!$D$3:$D$6000,A1483),"")</f>
        <v/>
      </c>
    </row>
    <row r="1484">
      <c r="A1484" t="n">
        <v>1483</v>
      </c>
      <c r="B1484">
        <f>IFERROR(INDEX(Segmen!$A$3:$A$6000,MATCH(C1484,Segmen!$D$3:$D$6000,0)),"")</f>
        <v/>
      </c>
      <c r="C1484">
        <f>IFERROR(LARGE(Segmen!$D$3:$D$6000,A1484),"")</f>
        <v/>
      </c>
    </row>
    <row r="1485">
      <c r="A1485" t="n">
        <v>1484</v>
      </c>
      <c r="B1485">
        <f>IFERROR(INDEX(Segmen!$A$3:$A$6000,MATCH(C1485,Segmen!$D$3:$D$6000,0)),"")</f>
        <v/>
      </c>
      <c r="C1485">
        <f>IFERROR(LARGE(Segmen!$D$3:$D$6000,A1485),"")</f>
        <v/>
      </c>
    </row>
    <row r="1486">
      <c r="A1486" t="n">
        <v>1485</v>
      </c>
      <c r="B1486">
        <f>IFERROR(INDEX(Segmen!$A$3:$A$6000,MATCH(C1486,Segmen!$D$3:$D$6000,0)),"")</f>
        <v/>
      </c>
      <c r="C1486">
        <f>IFERROR(LARGE(Segmen!$D$3:$D$6000,A1486),"")</f>
        <v/>
      </c>
    </row>
    <row r="1487">
      <c r="A1487" t="n">
        <v>1486</v>
      </c>
      <c r="B1487">
        <f>IFERROR(INDEX(Segmen!$A$3:$A$6000,MATCH(C1487,Segmen!$D$3:$D$6000,0)),"")</f>
        <v/>
      </c>
      <c r="C1487">
        <f>IFERROR(LARGE(Segmen!$D$3:$D$6000,A1487),"")</f>
        <v/>
      </c>
    </row>
    <row r="1488">
      <c r="A1488" t="n">
        <v>1487</v>
      </c>
      <c r="B1488">
        <f>IFERROR(INDEX(Segmen!$A$3:$A$6000,MATCH(C1488,Segmen!$D$3:$D$6000,0)),"")</f>
        <v/>
      </c>
      <c r="C1488">
        <f>IFERROR(LARGE(Segmen!$D$3:$D$6000,A1488),"")</f>
        <v/>
      </c>
    </row>
    <row r="1489">
      <c r="A1489" t="n">
        <v>1488</v>
      </c>
      <c r="B1489">
        <f>IFERROR(INDEX(Segmen!$A$3:$A$6000,MATCH(C1489,Segmen!$D$3:$D$6000,0)),"")</f>
        <v/>
      </c>
      <c r="C1489">
        <f>IFERROR(LARGE(Segmen!$D$3:$D$6000,A1489),"")</f>
        <v/>
      </c>
    </row>
    <row r="1490">
      <c r="A1490" t="n">
        <v>1489</v>
      </c>
      <c r="B1490">
        <f>IFERROR(INDEX(Segmen!$A$3:$A$6000,MATCH(C1490,Segmen!$D$3:$D$6000,0)),"")</f>
        <v/>
      </c>
      <c r="C1490">
        <f>IFERROR(LARGE(Segmen!$D$3:$D$6000,A1490),"")</f>
        <v/>
      </c>
    </row>
    <row r="1491">
      <c r="A1491" t="n">
        <v>1490</v>
      </c>
      <c r="B1491">
        <f>IFERROR(INDEX(Segmen!$A$3:$A$6000,MATCH(C1491,Segmen!$D$3:$D$6000,0)),"")</f>
        <v/>
      </c>
      <c r="C1491">
        <f>IFERROR(LARGE(Segmen!$D$3:$D$6000,A1491),"")</f>
        <v/>
      </c>
    </row>
    <row r="1492">
      <c r="A1492" t="n">
        <v>1491</v>
      </c>
      <c r="B1492">
        <f>IFERROR(INDEX(Segmen!$A$3:$A$6000,MATCH(C1492,Segmen!$D$3:$D$6000,0)),"")</f>
        <v/>
      </c>
      <c r="C1492">
        <f>IFERROR(LARGE(Segmen!$D$3:$D$6000,A1492),"")</f>
        <v/>
      </c>
    </row>
    <row r="1493">
      <c r="A1493" t="n">
        <v>1492</v>
      </c>
      <c r="B1493">
        <f>IFERROR(INDEX(Segmen!$A$3:$A$6000,MATCH(C1493,Segmen!$D$3:$D$6000,0)),"")</f>
        <v/>
      </c>
      <c r="C1493">
        <f>IFERROR(LARGE(Segmen!$D$3:$D$6000,A1493),"")</f>
        <v/>
      </c>
    </row>
    <row r="1494">
      <c r="A1494" t="n">
        <v>1493</v>
      </c>
      <c r="B1494">
        <f>IFERROR(INDEX(Segmen!$A$3:$A$6000,MATCH(C1494,Segmen!$D$3:$D$6000,0)),"")</f>
        <v/>
      </c>
      <c r="C1494">
        <f>IFERROR(LARGE(Segmen!$D$3:$D$6000,A1494),"")</f>
        <v/>
      </c>
    </row>
    <row r="1495">
      <c r="A1495" t="n">
        <v>1494</v>
      </c>
      <c r="B1495">
        <f>IFERROR(INDEX(Segmen!$A$3:$A$6000,MATCH(C1495,Segmen!$D$3:$D$6000,0)),"")</f>
        <v/>
      </c>
      <c r="C1495">
        <f>IFERROR(LARGE(Segmen!$D$3:$D$6000,A1495),"")</f>
        <v/>
      </c>
    </row>
    <row r="1496">
      <c r="A1496" t="n">
        <v>1495</v>
      </c>
      <c r="B1496">
        <f>IFERROR(INDEX(Segmen!$A$3:$A$6000,MATCH(C1496,Segmen!$D$3:$D$6000,0)),"")</f>
        <v/>
      </c>
      <c r="C1496">
        <f>IFERROR(LARGE(Segmen!$D$3:$D$6000,A1496),"")</f>
        <v/>
      </c>
    </row>
    <row r="1497">
      <c r="A1497" t="n">
        <v>1496</v>
      </c>
      <c r="B1497">
        <f>IFERROR(INDEX(Segmen!$A$3:$A$6000,MATCH(C1497,Segmen!$D$3:$D$6000,0)),"")</f>
        <v/>
      </c>
      <c r="C1497">
        <f>IFERROR(LARGE(Segmen!$D$3:$D$6000,A1497),"")</f>
        <v/>
      </c>
    </row>
    <row r="1498">
      <c r="A1498" t="n">
        <v>1497</v>
      </c>
      <c r="B1498">
        <f>IFERROR(INDEX(Segmen!$A$3:$A$6000,MATCH(C1498,Segmen!$D$3:$D$6000,0)),"")</f>
        <v/>
      </c>
      <c r="C1498">
        <f>IFERROR(LARGE(Segmen!$D$3:$D$6000,A1498),"")</f>
        <v/>
      </c>
    </row>
    <row r="1499">
      <c r="A1499" t="n">
        <v>1498</v>
      </c>
      <c r="B1499">
        <f>IFERROR(INDEX(Segmen!$A$3:$A$6000,MATCH(C1499,Segmen!$D$3:$D$6000,0)),"")</f>
        <v/>
      </c>
      <c r="C1499">
        <f>IFERROR(LARGE(Segmen!$D$3:$D$6000,A1499),"")</f>
        <v/>
      </c>
    </row>
    <row r="1500">
      <c r="A1500" t="n">
        <v>1499</v>
      </c>
      <c r="B1500">
        <f>IFERROR(INDEX(Segmen!$A$3:$A$6000,MATCH(C1500,Segmen!$D$3:$D$6000,0)),"")</f>
        <v/>
      </c>
      <c r="C1500">
        <f>IFERROR(LARGE(Segmen!$D$3:$D$6000,A1500),"")</f>
        <v/>
      </c>
    </row>
    <row r="1501">
      <c r="A1501" t="n">
        <v>1500</v>
      </c>
      <c r="B1501">
        <f>IFERROR(INDEX(Segmen!$A$3:$A$6000,MATCH(C1501,Segmen!$D$3:$D$6000,0)),"")</f>
        <v/>
      </c>
      <c r="C1501">
        <f>IFERROR(LARGE(Segmen!$D$3:$D$6000,A1501),"")</f>
        <v/>
      </c>
    </row>
    <row r="1502">
      <c r="A1502" t="n">
        <v>1501</v>
      </c>
      <c r="B1502">
        <f>IFERROR(INDEX(Segmen!$A$3:$A$6000,MATCH(C1502,Segmen!$D$3:$D$6000,0)),"")</f>
        <v/>
      </c>
      <c r="C1502">
        <f>IFERROR(LARGE(Segmen!$D$3:$D$6000,A1502),"")</f>
        <v/>
      </c>
    </row>
    <row r="1503">
      <c r="A1503" t="n">
        <v>1502</v>
      </c>
      <c r="B1503">
        <f>IFERROR(INDEX(Segmen!$A$3:$A$6000,MATCH(C1503,Segmen!$D$3:$D$6000,0)),"")</f>
        <v/>
      </c>
      <c r="C1503">
        <f>IFERROR(LARGE(Segmen!$D$3:$D$6000,A1503),"")</f>
        <v/>
      </c>
    </row>
    <row r="1504">
      <c r="A1504" t="n">
        <v>1503</v>
      </c>
      <c r="B1504">
        <f>IFERROR(INDEX(Segmen!$A$3:$A$6000,MATCH(C1504,Segmen!$D$3:$D$6000,0)),"")</f>
        <v/>
      </c>
      <c r="C1504">
        <f>IFERROR(LARGE(Segmen!$D$3:$D$6000,A1504),"")</f>
        <v/>
      </c>
    </row>
    <row r="1505">
      <c r="A1505" t="n">
        <v>1504</v>
      </c>
      <c r="B1505">
        <f>IFERROR(INDEX(Segmen!$A$3:$A$6000,MATCH(C1505,Segmen!$D$3:$D$6000,0)),"")</f>
        <v/>
      </c>
      <c r="C1505">
        <f>IFERROR(LARGE(Segmen!$D$3:$D$6000,A1505),"")</f>
        <v/>
      </c>
    </row>
    <row r="1506">
      <c r="A1506" t="n">
        <v>1505</v>
      </c>
      <c r="B1506">
        <f>IFERROR(INDEX(Segmen!$A$3:$A$6000,MATCH(C1506,Segmen!$D$3:$D$6000,0)),"")</f>
        <v/>
      </c>
      <c r="C1506">
        <f>IFERROR(LARGE(Segmen!$D$3:$D$6000,A1506),"")</f>
        <v/>
      </c>
    </row>
    <row r="1507">
      <c r="A1507" t="n">
        <v>1506</v>
      </c>
      <c r="B1507">
        <f>IFERROR(INDEX(Segmen!$A$3:$A$6000,MATCH(C1507,Segmen!$D$3:$D$6000,0)),"")</f>
        <v/>
      </c>
      <c r="C1507">
        <f>IFERROR(LARGE(Segmen!$D$3:$D$6000,A1507),"")</f>
        <v/>
      </c>
    </row>
    <row r="1508">
      <c r="A1508" t="n">
        <v>1507</v>
      </c>
      <c r="B1508">
        <f>IFERROR(INDEX(Segmen!$A$3:$A$6000,MATCH(C1508,Segmen!$D$3:$D$6000,0)),"")</f>
        <v/>
      </c>
      <c r="C1508">
        <f>IFERROR(LARGE(Segmen!$D$3:$D$6000,A1508),"")</f>
        <v/>
      </c>
    </row>
    <row r="1509">
      <c r="A1509" t="n">
        <v>1508</v>
      </c>
      <c r="B1509">
        <f>IFERROR(INDEX(Segmen!$A$3:$A$6000,MATCH(C1509,Segmen!$D$3:$D$6000,0)),"")</f>
        <v/>
      </c>
      <c r="C1509">
        <f>IFERROR(LARGE(Segmen!$D$3:$D$6000,A1509),"")</f>
        <v/>
      </c>
    </row>
    <row r="1510">
      <c r="A1510" t="n">
        <v>1509</v>
      </c>
      <c r="B1510">
        <f>IFERROR(INDEX(Segmen!$A$3:$A$6000,MATCH(C1510,Segmen!$D$3:$D$6000,0)),"")</f>
        <v/>
      </c>
      <c r="C1510">
        <f>IFERROR(LARGE(Segmen!$D$3:$D$6000,A1510),"")</f>
        <v/>
      </c>
    </row>
    <row r="1511">
      <c r="A1511" t="n">
        <v>1510</v>
      </c>
      <c r="B1511">
        <f>IFERROR(INDEX(Segmen!$A$3:$A$6000,MATCH(C1511,Segmen!$D$3:$D$6000,0)),"")</f>
        <v/>
      </c>
      <c r="C1511">
        <f>IFERROR(LARGE(Segmen!$D$3:$D$6000,A1511),"")</f>
        <v/>
      </c>
    </row>
    <row r="1512">
      <c r="A1512" t="n">
        <v>1511</v>
      </c>
      <c r="B1512">
        <f>IFERROR(INDEX(Segmen!$A$3:$A$6000,MATCH(C1512,Segmen!$D$3:$D$6000,0)),"")</f>
        <v/>
      </c>
      <c r="C1512">
        <f>IFERROR(LARGE(Segmen!$D$3:$D$6000,A1512),"")</f>
        <v/>
      </c>
    </row>
    <row r="1513">
      <c r="A1513" t="n">
        <v>1512</v>
      </c>
      <c r="B1513">
        <f>IFERROR(INDEX(Segmen!$A$3:$A$6000,MATCH(C1513,Segmen!$D$3:$D$6000,0)),"")</f>
        <v/>
      </c>
      <c r="C1513">
        <f>IFERROR(LARGE(Segmen!$D$3:$D$6000,A1513),"")</f>
        <v/>
      </c>
    </row>
    <row r="1514">
      <c r="A1514" t="n">
        <v>1513</v>
      </c>
      <c r="B1514">
        <f>IFERROR(INDEX(Segmen!$A$3:$A$6000,MATCH(C1514,Segmen!$D$3:$D$6000,0)),"")</f>
        <v/>
      </c>
      <c r="C1514">
        <f>IFERROR(LARGE(Segmen!$D$3:$D$6000,A1514),"")</f>
        <v/>
      </c>
    </row>
    <row r="1515">
      <c r="A1515" t="n">
        <v>1514</v>
      </c>
      <c r="B1515">
        <f>IFERROR(INDEX(Segmen!$A$3:$A$6000,MATCH(C1515,Segmen!$D$3:$D$6000,0)),"")</f>
        <v/>
      </c>
      <c r="C1515">
        <f>IFERROR(LARGE(Segmen!$D$3:$D$6000,A1515),"")</f>
        <v/>
      </c>
    </row>
    <row r="1516">
      <c r="A1516" t="n">
        <v>1515</v>
      </c>
      <c r="B1516">
        <f>IFERROR(INDEX(Segmen!$A$3:$A$6000,MATCH(C1516,Segmen!$D$3:$D$6000,0)),"")</f>
        <v/>
      </c>
      <c r="C1516">
        <f>IFERROR(LARGE(Segmen!$D$3:$D$6000,A1516),"")</f>
        <v/>
      </c>
    </row>
    <row r="1517">
      <c r="A1517" t="n">
        <v>1516</v>
      </c>
      <c r="B1517">
        <f>IFERROR(INDEX(Segmen!$A$3:$A$6000,MATCH(C1517,Segmen!$D$3:$D$6000,0)),"")</f>
        <v/>
      </c>
      <c r="C1517">
        <f>IFERROR(LARGE(Segmen!$D$3:$D$6000,A1517),"")</f>
        <v/>
      </c>
    </row>
    <row r="1518">
      <c r="A1518" t="n">
        <v>1517</v>
      </c>
      <c r="B1518">
        <f>IFERROR(INDEX(Segmen!$A$3:$A$6000,MATCH(C1518,Segmen!$D$3:$D$6000,0)),"")</f>
        <v/>
      </c>
      <c r="C1518">
        <f>IFERROR(LARGE(Segmen!$D$3:$D$6000,A1518),"")</f>
        <v/>
      </c>
    </row>
    <row r="1519">
      <c r="A1519" t="n">
        <v>1518</v>
      </c>
      <c r="B1519">
        <f>IFERROR(INDEX(Segmen!$A$3:$A$6000,MATCH(C1519,Segmen!$D$3:$D$6000,0)),"")</f>
        <v/>
      </c>
      <c r="C1519">
        <f>IFERROR(LARGE(Segmen!$D$3:$D$6000,A1519),"")</f>
        <v/>
      </c>
    </row>
    <row r="1520">
      <c r="A1520" t="n">
        <v>1519</v>
      </c>
      <c r="B1520">
        <f>IFERROR(INDEX(Segmen!$A$3:$A$6000,MATCH(C1520,Segmen!$D$3:$D$6000,0)),"")</f>
        <v/>
      </c>
      <c r="C1520">
        <f>IFERROR(LARGE(Segmen!$D$3:$D$6000,A1520),"")</f>
        <v/>
      </c>
    </row>
    <row r="1521">
      <c r="A1521" t="n">
        <v>1520</v>
      </c>
      <c r="B1521">
        <f>IFERROR(INDEX(Segmen!$A$3:$A$6000,MATCH(C1521,Segmen!$D$3:$D$6000,0)),"")</f>
        <v/>
      </c>
      <c r="C1521">
        <f>IFERROR(LARGE(Segmen!$D$3:$D$6000,A1521),"")</f>
        <v/>
      </c>
    </row>
    <row r="1522">
      <c r="A1522" t="n">
        <v>1521</v>
      </c>
      <c r="B1522">
        <f>IFERROR(INDEX(Segmen!$A$3:$A$6000,MATCH(C1522,Segmen!$D$3:$D$6000,0)),"")</f>
        <v/>
      </c>
      <c r="C1522">
        <f>IFERROR(LARGE(Segmen!$D$3:$D$6000,A1522),"")</f>
        <v/>
      </c>
    </row>
    <row r="1523">
      <c r="A1523" t="n">
        <v>1522</v>
      </c>
      <c r="B1523">
        <f>IFERROR(INDEX(Segmen!$A$3:$A$6000,MATCH(C1523,Segmen!$D$3:$D$6000,0)),"")</f>
        <v/>
      </c>
      <c r="C1523">
        <f>IFERROR(LARGE(Segmen!$D$3:$D$6000,A1523),"")</f>
        <v/>
      </c>
    </row>
    <row r="1524">
      <c r="A1524" t="n">
        <v>1523</v>
      </c>
      <c r="B1524">
        <f>IFERROR(INDEX(Segmen!$A$3:$A$6000,MATCH(C1524,Segmen!$D$3:$D$6000,0)),"")</f>
        <v/>
      </c>
      <c r="C1524">
        <f>IFERROR(LARGE(Segmen!$D$3:$D$6000,A1524),"")</f>
        <v/>
      </c>
    </row>
    <row r="1525">
      <c r="A1525" t="n">
        <v>1524</v>
      </c>
      <c r="B1525">
        <f>IFERROR(INDEX(Segmen!$A$3:$A$6000,MATCH(C1525,Segmen!$D$3:$D$6000,0)),"")</f>
        <v/>
      </c>
      <c r="C1525">
        <f>IFERROR(LARGE(Segmen!$D$3:$D$6000,A1525),"")</f>
        <v/>
      </c>
    </row>
    <row r="1526">
      <c r="A1526" t="n">
        <v>1525</v>
      </c>
      <c r="B1526">
        <f>IFERROR(INDEX(Segmen!$A$3:$A$6000,MATCH(C1526,Segmen!$D$3:$D$6000,0)),"")</f>
        <v/>
      </c>
      <c r="C1526">
        <f>IFERROR(LARGE(Segmen!$D$3:$D$6000,A1526),"")</f>
        <v/>
      </c>
    </row>
    <row r="1527">
      <c r="A1527" t="n">
        <v>1526</v>
      </c>
      <c r="B1527">
        <f>IFERROR(INDEX(Segmen!$A$3:$A$6000,MATCH(C1527,Segmen!$D$3:$D$6000,0)),"")</f>
        <v/>
      </c>
      <c r="C1527">
        <f>IFERROR(LARGE(Segmen!$D$3:$D$6000,A1527),"")</f>
        <v/>
      </c>
    </row>
    <row r="1528">
      <c r="A1528" t="n">
        <v>1527</v>
      </c>
      <c r="B1528">
        <f>IFERROR(INDEX(Segmen!$A$3:$A$6000,MATCH(C1528,Segmen!$D$3:$D$6000,0)),"")</f>
        <v/>
      </c>
      <c r="C1528">
        <f>IFERROR(LARGE(Segmen!$D$3:$D$6000,A1528),"")</f>
        <v/>
      </c>
    </row>
    <row r="1529">
      <c r="A1529" t="n">
        <v>1528</v>
      </c>
      <c r="B1529">
        <f>IFERROR(INDEX(Segmen!$A$3:$A$6000,MATCH(C1529,Segmen!$D$3:$D$6000,0)),"")</f>
        <v/>
      </c>
      <c r="C1529">
        <f>IFERROR(LARGE(Segmen!$D$3:$D$6000,A1529),"")</f>
        <v/>
      </c>
    </row>
    <row r="1530">
      <c r="A1530" t="n">
        <v>1529</v>
      </c>
      <c r="B1530">
        <f>IFERROR(INDEX(Segmen!$A$3:$A$6000,MATCH(C1530,Segmen!$D$3:$D$6000,0)),"")</f>
        <v/>
      </c>
      <c r="C1530">
        <f>IFERROR(LARGE(Segmen!$D$3:$D$6000,A1530),"")</f>
        <v/>
      </c>
    </row>
    <row r="1531">
      <c r="A1531" t="n">
        <v>1530</v>
      </c>
      <c r="B1531">
        <f>IFERROR(INDEX(Segmen!$A$3:$A$6000,MATCH(C1531,Segmen!$D$3:$D$6000,0)),"")</f>
        <v/>
      </c>
      <c r="C1531">
        <f>IFERROR(LARGE(Segmen!$D$3:$D$6000,A1531),"")</f>
        <v/>
      </c>
    </row>
    <row r="1532">
      <c r="A1532" t="n">
        <v>1531</v>
      </c>
      <c r="B1532">
        <f>IFERROR(INDEX(Segmen!$A$3:$A$6000,MATCH(C1532,Segmen!$D$3:$D$6000,0)),"")</f>
        <v/>
      </c>
      <c r="C1532">
        <f>IFERROR(LARGE(Segmen!$D$3:$D$6000,A1532),"")</f>
        <v/>
      </c>
    </row>
    <row r="1533">
      <c r="A1533" t="n">
        <v>1532</v>
      </c>
      <c r="B1533">
        <f>IFERROR(INDEX(Segmen!$A$3:$A$6000,MATCH(C1533,Segmen!$D$3:$D$6000,0)),"")</f>
        <v/>
      </c>
      <c r="C1533">
        <f>IFERROR(LARGE(Segmen!$D$3:$D$6000,A1533),"")</f>
        <v/>
      </c>
    </row>
    <row r="1534">
      <c r="A1534" t="n">
        <v>1533</v>
      </c>
      <c r="B1534">
        <f>IFERROR(INDEX(Segmen!$A$3:$A$6000,MATCH(C1534,Segmen!$D$3:$D$6000,0)),"")</f>
        <v/>
      </c>
      <c r="C1534">
        <f>IFERROR(LARGE(Segmen!$D$3:$D$6000,A1534),"")</f>
        <v/>
      </c>
    </row>
    <row r="1535">
      <c r="A1535" t="n">
        <v>1534</v>
      </c>
      <c r="B1535">
        <f>IFERROR(INDEX(Segmen!$A$3:$A$6000,MATCH(C1535,Segmen!$D$3:$D$6000,0)),"")</f>
        <v/>
      </c>
      <c r="C1535">
        <f>IFERROR(LARGE(Segmen!$D$3:$D$6000,A1535),"")</f>
        <v/>
      </c>
    </row>
    <row r="1536">
      <c r="A1536" t="n">
        <v>1535</v>
      </c>
      <c r="B1536">
        <f>IFERROR(INDEX(Segmen!$A$3:$A$6000,MATCH(C1536,Segmen!$D$3:$D$6000,0)),"")</f>
        <v/>
      </c>
      <c r="C1536">
        <f>IFERROR(LARGE(Segmen!$D$3:$D$6000,A1536),"")</f>
        <v/>
      </c>
    </row>
    <row r="1537">
      <c r="A1537" t="n">
        <v>1536</v>
      </c>
      <c r="B1537">
        <f>IFERROR(INDEX(Segmen!$A$3:$A$6000,MATCH(C1537,Segmen!$D$3:$D$6000,0)),"")</f>
        <v/>
      </c>
      <c r="C1537">
        <f>IFERROR(LARGE(Segmen!$D$3:$D$6000,A1537),"")</f>
        <v/>
      </c>
    </row>
    <row r="1538">
      <c r="A1538" t="n">
        <v>1537</v>
      </c>
      <c r="B1538">
        <f>IFERROR(INDEX(Segmen!$A$3:$A$6000,MATCH(C1538,Segmen!$D$3:$D$6000,0)),"")</f>
        <v/>
      </c>
      <c r="C1538">
        <f>IFERROR(LARGE(Segmen!$D$3:$D$6000,A1538),"")</f>
        <v/>
      </c>
    </row>
    <row r="1539">
      <c r="A1539" t="n">
        <v>1538</v>
      </c>
      <c r="B1539">
        <f>IFERROR(INDEX(Segmen!$A$3:$A$6000,MATCH(C1539,Segmen!$D$3:$D$6000,0)),"")</f>
        <v/>
      </c>
      <c r="C1539">
        <f>IFERROR(LARGE(Segmen!$D$3:$D$6000,A1539),"")</f>
        <v/>
      </c>
    </row>
    <row r="1540">
      <c r="A1540" t="n">
        <v>1539</v>
      </c>
      <c r="B1540">
        <f>IFERROR(INDEX(Segmen!$A$3:$A$6000,MATCH(C1540,Segmen!$D$3:$D$6000,0)),"")</f>
        <v/>
      </c>
      <c r="C1540">
        <f>IFERROR(LARGE(Segmen!$D$3:$D$6000,A1540),"")</f>
        <v/>
      </c>
    </row>
    <row r="1541">
      <c r="A1541" t="n">
        <v>1540</v>
      </c>
      <c r="B1541">
        <f>IFERROR(INDEX(Segmen!$A$3:$A$6000,MATCH(C1541,Segmen!$D$3:$D$6000,0)),"")</f>
        <v/>
      </c>
      <c r="C1541">
        <f>IFERROR(LARGE(Segmen!$D$3:$D$6000,A1541),"")</f>
        <v/>
      </c>
    </row>
    <row r="1542">
      <c r="A1542" t="n">
        <v>1541</v>
      </c>
      <c r="B1542">
        <f>IFERROR(INDEX(Segmen!$A$3:$A$6000,MATCH(C1542,Segmen!$D$3:$D$6000,0)),"")</f>
        <v/>
      </c>
      <c r="C1542">
        <f>IFERROR(LARGE(Segmen!$D$3:$D$6000,A1542),"")</f>
        <v/>
      </c>
    </row>
    <row r="1543">
      <c r="A1543" t="n">
        <v>1542</v>
      </c>
      <c r="B1543">
        <f>IFERROR(INDEX(Segmen!$A$3:$A$6000,MATCH(C1543,Segmen!$D$3:$D$6000,0)),"")</f>
        <v/>
      </c>
      <c r="C1543">
        <f>IFERROR(LARGE(Segmen!$D$3:$D$6000,A1543),"")</f>
        <v/>
      </c>
    </row>
    <row r="1544">
      <c r="A1544" t="n">
        <v>1543</v>
      </c>
      <c r="B1544">
        <f>IFERROR(INDEX(Segmen!$A$3:$A$6000,MATCH(C1544,Segmen!$D$3:$D$6000,0)),"")</f>
        <v/>
      </c>
      <c r="C1544">
        <f>IFERROR(LARGE(Segmen!$D$3:$D$6000,A1544),"")</f>
        <v/>
      </c>
    </row>
    <row r="1545">
      <c r="A1545" t="n">
        <v>1544</v>
      </c>
      <c r="B1545">
        <f>IFERROR(INDEX(Segmen!$A$3:$A$6000,MATCH(C1545,Segmen!$D$3:$D$6000,0)),"")</f>
        <v/>
      </c>
      <c r="C1545">
        <f>IFERROR(LARGE(Segmen!$D$3:$D$6000,A1545),"")</f>
        <v/>
      </c>
    </row>
    <row r="1546">
      <c r="A1546" t="n">
        <v>1545</v>
      </c>
      <c r="B1546">
        <f>IFERROR(INDEX(Segmen!$A$3:$A$6000,MATCH(C1546,Segmen!$D$3:$D$6000,0)),"")</f>
        <v/>
      </c>
      <c r="C1546">
        <f>IFERROR(LARGE(Segmen!$D$3:$D$6000,A1546),"")</f>
        <v/>
      </c>
    </row>
    <row r="1547">
      <c r="A1547" t="n">
        <v>1546</v>
      </c>
      <c r="B1547">
        <f>IFERROR(INDEX(Segmen!$A$3:$A$6000,MATCH(C1547,Segmen!$D$3:$D$6000,0)),"")</f>
        <v/>
      </c>
      <c r="C1547">
        <f>IFERROR(LARGE(Segmen!$D$3:$D$6000,A1547),"")</f>
        <v/>
      </c>
    </row>
    <row r="1548">
      <c r="A1548" t="n">
        <v>1547</v>
      </c>
      <c r="B1548">
        <f>IFERROR(INDEX(Segmen!$A$3:$A$6000,MATCH(C1548,Segmen!$D$3:$D$6000,0)),"")</f>
        <v/>
      </c>
      <c r="C1548">
        <f>IFERROR(LARGE(Segmen!$D$3:$D$6000,A1548),"")</f>
        <v/>
      </c>
    </row>
    <row r="1549">
      <c r="A1549" t="n">
        <v>1548</v>
      </c>
      <c r="B1549">
        <f>IFERROR(INDEX(Segmen!$A$3:$A$6000,MATCH(C1549,Segmen!$D$3:$D$6000,0)),"")</f>
        <v/>
      </c>
      <c r="C1549">
        <f>IFERROR(LARGE(Segmen!$D$3:$D$6000,A1549),"")</f>
        <v/>
      </c>
    </row>
    <row r="1550">
      <c r="A1550" t="n">
        <v>1549</v>
      </c>
      <c r="B1550">
        <f>IFERROR(INDEX(Segmen!$A$3:$A$6000,MATCH(C1550,Segmen!$D$3:$D$6000,0)),"")</f>
        <v/>
      </c>
      <c r="C1550">
        <f>IFERROR(LARGE(Segmen!$D$3:$D$6000,A1550),"")</f>
        <v/>
      </c>
    </row>
    <row r="1551">
      <c r="A1551" t="n">
        <v>1550</v>
      </c>
      <c r="B1551">
        <f>IFERROR(INDEX(Segmen!$A$3:$A$6000,MATCH(C1551,Segmen!$D$3:$D$6000,0)),"")</f>
        <v/>
      </c>
      <c r="C1551">
        <f>IFERROR(LARGE(Segmen!$D$3:$D$6000,A1551),"")</f>
        <v/>
      </c>
    </row>
    <row r="1552">
      <c r="A1552" t="n">
        <v>1551</v>
      </c>
      <c r="B1552">
        <f>IFERROR(INDEX(Segmen!$A$3:$A$6000,MATCH(C1552,Segmen!$D$3:$D$6000,0)),"")</f>
        <v/>
      </c>
      <c r="C1552">
        <f>IFERROR(LARGE(Segmen!$D$3:$D$6000,A1552),"")</f>
        <v/>
      </c>
    </row>
    <row r="1553">
      <c r="A1553" t="n">
        <v>1552</v>
      </c>
      <c r="B1553">
        <f>IFERROR(INDEX(Segmen!$A$3:$A$6000,MATCH(C1553,Segmen!$D$3:$D$6000,0)),"")</f>
        <v/>
      </c>
      <c r="C1553">
        <f>IFERROR(LARGE(Segmen!$D$3:$D$6000,A1553),"")</f>
        <v/>
      </c>
    </row>
    <row r="1554">
      <c r="A1554" t="n">
        <v>1553</v>
      </c>
      <c r="B1554">
        <f>IFERROR(INDEX(Segmen!$A$3:$A$6000,MATCH(C1554,Segmen!$D$3:$D$6000,0)),"")</f>
        <v/>
      </c>
      <c r="C1554">
        <f>IFERROR(LARGE(Segmen!$D$3:$D$6000,A1554),"")</f>
        <v/>
      </c>
    </row>
    <row r="1555">
      <c r="A1555" t="n">
        <v>1554</v>
      </c>
      <c r="B1555">
        <f>IFERROR(INDEX(Segmen!$A$3:$A$6000,MATCH(C1555,Segmen!$D$3:$D$6000,0)),"")</f>
        <v/>
      </c>
      <c r="C1555">
        <f>IFERROR(LARGE(Segmen!$D$3:$D$6000,A1555),"")</f>
        <v/>
      </c>
    </row>
    <row r="1556">
      <c r="A1556" t="n">
        <v>1555</v>
      </c>
      <c r="B1556">
        <f>IFERROR(INDEX(Segmen!$A$3:$A$6000,MATCH(C1556,Segmen!$D$3:$D$6000,0)),"")</f>
        <v/>
      </c>
      <c r="C1556">
        <f>IFERROR(LARGE(Segmen!$D$3:$D$6000,A1556),"")</f>
        <v/>
      </c>
    </row>
    <row r="1557">
      <c r="A1557" t="n">
        <v>1556</v>
      </c>
      <c r="B1557">
        <f>IFERROR(INDEX(Segmen!$A$3:$A$6000,MATCH(C1557,Segmen!$D$3:$D$6000,0)),"")</f>
        <v/>
      </c>
      <c r="C1557">
        <f>IFERROR(LARGE(Segmen!$D$3:$D$6000,A1557),"")</f>
        <v/>
      </c>
    </row>
    <row r="1558">
      <c r="A1558" t="n">
        <v>1557</v>
      </c>
      <c r="B1558">
        <f>IFERROR(INDEX(Segmen!$A$3:$A$6000,MATCH(C1558,Segmen!$D$3:$D$6000,0)),"")</f>
        <v/>
      </c>
      <c r="C1558">
        <f>IFERROR(LARGE(Segmen!$D$3:$D$6000,A1558),"")</f>
        <v/>
      </c>
    </row>
    <row r="1559">
      <c r="A1559" t="n">
        <v>1558</v>
      </c>
      <c r="B1559">
        <f>IFERROR(INDEX(Segmen!$A$3:$A$6000,MATCH(C1559,Segmen!$D$3:$D$6000,0)),"")</f>
        <v/>
      </c>
      <c r="C1559">
        <f>IFERROR(LARGE(Segmen!$D$3:$D$6000,A1559),"")</f>
        <v/>
      </c>
    </row>
    <row r="1560">
      <c r="A1560" t="n">
        <v>1559</v>
      </c>
      <c r="B1560">
        <f>IFERROR(INDEX(Segmen!$A$3:$A$6000,MATCH(C1560,Segmen!$D$3:$D$6000,0)),"")</f>
        <v/>
      </c>
      <c r="C1560">
        <f>IFERROR(LARGE(Segmen!$D$3:$D$6000,A1560),"")</f>
        <v/>
      </c>
    </row>
    <row r="1561">
      <c r="A1561" t="n">
        <v>1560</v>
      </c>
      <c r="B1561">
        <f>IFERROR(INDEX(Segmen!$A$3:$A$6000,MATCH(C1561,Segmen!$D$3:$D$6000,0)),"")</f>
        <v/>
      </c>
      <c r="C1561">
        <f>IFERROR(LARGE(Segmen!$D$3:$D$6000,A1561),"")</f>
        <v/>
      </c>
    </row>
    <row r="1562">
      <c r="A1562" t="n">
        <v>1561</v>
      </c>
      <c r="B1562">
        <f>IFERROR(INDEX(Segmen!$A$3:$A$6000,MATCH(C1562,Segmen!$D$3:$D$6000,0)),"")</f>
        <v/>
      </c>
      <c r="C1562">
        <f>IFERROR(LARGE(Segmen!$D$3:$D$6000,A1562),"")</f>
        <v/>
      </c>
    </row>
    <row r="1563">
      <c r="A1563" t="n">
        <v>1562</v>
      </c>
      <c r="B1563">
        <f>IFERROR(INDEX(Segmen!$A$3:$A$6000,MATCH(C1563,Segmen!$D$3:$D$6000,0)),"")</f>
        <v/>
      </c>
      <c r="C1563">
        <f>IFERROR(LARGE(Segmen!$D$3:$D$6000,A1563),"")</f>
        <v/>
      </c>
    </row>
    <row r="1564">
      <c r="A1564" t="n">
        <v>1563</v>
      </c>
      <c r="B1564">
        <f>IFERROR(INDEX(Segmen!$A$3:$A$6000,MATCH(C1564,Segmen!$D$3:$D$6000,0)),"")</f>
        <v/>
      </c>
      <c r="C1564">
        <f>IFERROR(LARGE(Segmen!$D$3:$D$6000,A1564),"")</f>
        <v/>
      </c>
    </row>
    <row r="1565">
      <c r="A1565" t="n">
        <v>1564</v>
      </c>
      <c r="B1565">
        <f>IFERROR(INDEX(Segmen!$A$3:$A$6000,MATCH(C1565,Segmen!$D$3:$D$6000,0)),"")</f>
        <v/>
      </c>
      <c r="C1565">
        <f>IFERROR(LARGE(Segmen!$D$3:$D$6000,A1565),"")</f>
        <v/>
      </c>
    </row>
    <row r="1566">
      <c r="A1566" t="n">
        <v>1565</v>
      </c>
      <c r="B1566">
        <f>IFERROR(INDEX(Segmen!$A$3:$A$6000,MATCH(C1566,Segmen!$D$3:$D$6000,0)),"")</f>
        <v/>
      </c>
      <c r="C1566">
        <f>IFERROR(LARGE(Segmen!$D$3:$D$6000,A1566),"")</f>
        <v/>
      </c>
    </row>
    <row r="1567">
      <c r="A1567" t="n">
        <v>1566</v>
      </c>
      <c r="B1567">
        <f>IFERROR(INDEX(Segmen!$A$3:$A$6000,MATCH(C1567,Segmen!$D$3:$D$6000,0)),"")</f>
        <v/>
      </c>
      <c r="C1567">
        <f>IFERROR(LARGE(Segmen!$D$3:$D$6000,A1567),"")</f>
        <v/>
      </c>
    </row>
    <row r="1568">
      <c r="A1568" t="n">
        <v>1567</v>
      </c>
      <c r="B1568">
        <f>IFERROR(INDEX(Segmen!$A$3:$A$6000,MATCH(C1568,Segmen!$D$3:$D$6000,0)),"")</f>
        <v/>
      </c>
      <c r="C1568">
        <f>IFERROR(LARGE(Segmen!$D$3:$D$6000,A1568),"")</f>
        <v/>
      </c>
    </row>
    <row r="1569">
      <c r="A1569" t="n">
        <v>1568</v>
      </c>
      <c r="B1569">
        <f>IFERROR(INDEX(Segmen!$A$3:$A$6000,MATCH(C1569,Segmen!$D$3:$D$6000,0)),"")</f>
        <v/>
      </c>
      <c r="C1569">
        <f>IFERROR(LARGE(Segmen!$D$3:$D$6000,A1569),"")</f>
        <v/>
      </c>
    </row>
    <row r="1570">
      <c r="A1570" t="n">
        <v>1569</v>
      </c>
      <c r="B1570">
        <f>IFERROR(INDEX(Segmen!$A$3:$A$6000,MATCH(C1570,Segmen!$D$3:$D$6000,0)),"")</f>
        <v/>
      </c>
      <c r="C1570">
        <f>IFERROR(LARGE(Segmen!$D$3:$D$6000,A1570),"")</f>
        <v/>
      </c>
    </row>
    <row r="1571">
      <c r="A1571" t="n">
        <v>1570</v>
      </c>
      <c r="B1571">
        <f>IFERROR(INDEX(Segmen!$A$3:$A$6000,MATCH(C1571,Segmen!$D$3:$D$6000,0)),"")</f>
        <v/>
      </c>
      <c r="C1571">
        <f>IFERROR(LARGE(Segmen!$D$3:$D$6000,A1571),"")</f>
        <v/>
      </c>
    </row>
    <row r="1572">
      <c r="A1572" t="n">
        <v>1571</v>
      </c>
      <c r="B1572">
        <f>IFERROR(INDEX(Segmen!$A$3:$A$6000,MATCH(C1572,Segmen!$D$3:$D$6000,0)),"")</f>
        <v/>
      </c>
      <c r="C1572">
        <f>IFERROR(LARGE(Segmen!$D$3:$D$6000,A1572),"")</f>
        <v/>
      </c>
    </row>
    <row r="1573">
      <c r="A1573" t="n">
        <v>1572</v>
      </c>
      <c r="B1573">
        <f>IFERROR(INDEX(Segmen!$A$3:$A$6000,MATCH(C1573,Segmen!$D$3:$D$6000,0)),"")</f>
        <v/>
      </c>
      <c r="C1573">
        <f>IFERROR(LARGE(Segmen!$D$3:$D$6000,A1573),"")</f>
        <v/>
      </c>
    </row>
    <row r="1574">
      <c r="A1574" t="n">
        <v>1573</v>
      </c>
      <c r="B1574">
        <f>IFERROR(INDEX(Segmen!$A$3:$A$6000,MATCH(C1574,Segmen!$D$3:$D$6000,0)),"")</f>
        <v/>
      </c>
      <c r="C1574">
        <f>IFERROR(LARGE(Segmen!$D$3:$D$6000,A1574),"")</f>
        <v/>
      </c>
    </row>
    <row r="1575">
      <c r="A1575" t="n">
        <v>1574</v>
      </c>
      <c r="B1575">
        <f>IFERROR(INDEX(Segmen!$A$3:$A$6000,MATCH(C1575,Segmen!$D$3:$D$6000,0)),"")</f>
        <v/>
      </c>
      <c r="C1575">
        <f>IFERROR(LARGE(Segmen!$D$3:$D$6000,A1575),"")</f>
        <v/>
      </c>
    </row>
    <row r="1576">
      <c r="A1576" t="n">
        <v>1575</v>
      </c>
      <c r="B1576">
        <f>IFERROR(INDEX(Segmen!$A$3:$A$6000,MATCH(C1576,Segmen!$D$3:$D$6000,0)),"")</f>
        <v/>
      </c>
      <c r="C1576">
        <f>IFERROR(LARGE(Segmen!$D$3:$D$6000,A1576),"")</f>
        <v/>
      </c>
    </row>
    <row r="1577">
      <c r="A1577" t="n">
        <v>1576</v>
      </c>
      <c r="B1577">
        <f>IFERROR(INDEX(Segmen!$A$3:$A$6000,MATCH(C1577,Segmen!$D$3:$D$6000,0)),"")</f>
        <v/>
      </c>
      <c r="C1577">
        <f>IFERROR(LARGE(Segmen!$D$3:$D$6000,A1577),"")</f>
        <v/>
      </c>
    </row>
    <row r="1578">
      <c r="A1578" t="n">
        <v>1577</v>
      </c>
      <c r="B1578">
        <f>IFERROR(INDEX(Segmen!$A$3:$A$6000,MATCH(C1578,Segmen!$D$3:$D$6000,0)),"")</f>
        <v/>
      </c>
      <c r="C1578">
        <f>IFERROR(LARGE(Segmen!$D$3:$D$6000,A1578),"")</f>
        <v/>
      </c>
    </row>
    <row r="1579">
      <c r="A1579" t="n">
        <v>1578</v>
      </c>
      <c r="B1579">
        <f>IFERROR(INDEX(Segmen!$A$3:$A$6000,MATCH(C1579,Segmen!$D$3:$D$6000,0)),"")</f>
        <v/>
      </c>
      <c r="C1579">
        <f>IFERROR(LARGE(Segmen!$D$3:$D$6000,A1579),"")</f>
        <v/>
      </c>
    </row>
    <row r="1580">
      <c r="A1580" t="n">
        <v>1579</v>
      </c>
      <c r="B1580">
        <f>IFERROR(INDEX(Segmen!$A$3:$A$6000,MATCH(C1580,Segmen!$D$3:$D$6000,0)),"")</f>
        <v/>
      </c>
      <c r="C1580">
        <f>IFERROR(LARGE(Segmen!$D$3:$D$6000,A1580),"")</f>
        <v/>
      </c>
    </row>
    <row r="1581">
      <c r="A1581" t="n">
        <v>1580</v>
      </c>
      <c r="B1581">
        <f>IFERROR(INDEX(Segmen!$A$3:$A$6000,MATCH(C1581,Segmen!$D$3:$D$6000,0)),"")</f>
        <v/>
      </c>
      <c r="C1581">
        <f>IFERROR(LARGE(Segmen!$D$3:$D$6000,A1581),"")</f>
        <v/>
      </c>
    </row>
    <row r="1582">
      <c r="A1582" t="n">
        <v>1581</v>
      </c>
      <c r="B1582">
        <f>IFERROR(INDEX(Segmen!$A$3:$A$6000,MATCH(C1582,Segmen!$D$3:$D$6000,0)),"")</f>
        <v/>
      </c>
      <c r="C1582">
        <f>IFERROR(LARGE(Segmen!$D$3:$D$6000,A1582),"")</f>
        <v/>
      </c>
    </row>
    <row r="1583">
      <c r="A1583" t="n">
        <v>1582</v>
      </c>
      <c r="B1583">
        <f>IFERROR(INDEX(Segmen!$A$3:$A$6000,MATCH(C1583,Segmen!$D$3:$D$6000,0)),"")</f>
        <v/>
      </c>
      <c r="C1583">
        <f>IFERROR(LARGE(Segmen!$D$3:$D$6000,A1583),"")</f>
        <v/>
      </c>
    </row>
    <row r="1584">
      <c r="A1584" t="n">
        <v>1583</v>
      </c>
      <c r="B1584">
        <f>IFERROR(INDEX(Segmen!$A$3:$A$6000,MATCH(C1584,Segmen!$D$3:$D$6000,0)),"")</f>
        <v/>
      </c>
      <c r="C1584">
        <f>IFERROR(LARGE(Segmen!$D$3:$D$6000,A1584),"")</f>
        <v/>
      </c>
    </row>
    <row r="1585">
      <c r="A1585" t="n">
        <v>1584</v>
      </c>
      <c r="B1585">
        <f>IFERROR(INDEX(Segmen!$A$3:$A$6000,MATCH(C1585,Segmen!$D$3:$D$6000,0)),"")</f>
        <v/>
      </c>
      <c r="C1585">
        <f>IFERROR(LARGE(Segmen!$D$3:$D$6000,A1585),"")</f>
        <v/>
      </c>
    </row>
    <row r="1586">
      <c r="A1586" t="n">
        <v>1585</v>
      </c>
      <c r="B1586">
        <f>IFERROR(INDEX(Segmen!$A$3:$A$6000,MATCH(C1586,Segmen!$D$3:$D$6000,0)),"")</f>
        <v/>
      </c>
      <c r="C1586">
        <f>IFERROR(LARGE(Segmen!$D$3:$D$6000,A1586),"")</f>
        <v/>
      </c>
    </row>
    <row r="1587">
      <c r="A1587" t="n">
        <v>1586</v>
      </c>
      <c r="B1587">
        <f>IFERROR(INDEX(Segmen!$A$3:$A$6000,MATCH(C1587,Segmen!$D$3:$D$6000,0)),"")</f>
        <v/>
      </c>
      <c r="C1587">
        <f>IFERROR(LARGE(Segmen!$D$3:$D$6000,A1587),"")</f>
        <v/>
      </c>
    </row>
    <row r="1588">
      <c r="A1588" t="n">
        <v>1587</v>
      </c>
      <c r="B1588">
        <f>IFERROR(INDEX(Segmen!$A$3:$A$6000,MATCH(C1588,Segmen!$D$3:$D$6000,0)),"")</f>
        <v/>
      </c>
      <c r="C1588">
        <f>IFERROR(LARGE(Segmen!$D$3:$D$6000,A1588),"")</f>
        <v/>
      </c>
    </row>
    <row r="1589">
      <c r="A1589" t="n">
        <v>1588</v>
      </c>
      <c r="B1589">
        <f>IFERROR(INDEX(Segmen!$A$3:$A$6000,MATCH(C1589,Segmen!$D$3:$D$6000,0)),"")</f>
        <v/>
      </c>
      <c r="C1589">
        <f>IFERROR(LARGE(Segmen!$D$3:$D$6000,A1589),"")</f>
        <v/>
      </c>
    </row>
    <row r="1590">
      <c r="A1590" t="n">
        <v>1589</v>
      </c>
      <c r="B1590">
        <f>IFERROR(INDEX(Segmen!$A$3:$A$6000,MATCH(C1590,Segmen!$D$3:$D$6000,0)),"")</f>
        <v/>
      </c>
      <c r="C1590">
        <f>IFERROR(LARGE(Segmen!$D$3:$D$6000,A1590),"")</f>
        <v/>
      </c>
    </row>
    <row r="1591">
      <c r="A1591" t="n">
        <v>1590</v>
      </c>
      <c r="B1591">
        <f>IFERROR(INDEX(Segmen!$A$3:$A$6000,MATCH(C1591,Segmen!$D$3:$D$6000,0)),"")</f>
        <v/>
      </c>
      <c r="C1591">
        <f>IFERROR(LARGE(Segmen!$D$3:$D$6000,A1591),"")</f>
        <v/>
      </c>
    </row>
    <row r="1592">
      <c r="A1592" t="n">
        <v>1591</v>
      </c>
      <c r="B1592">
        <f>IFERROR(INDEX(Segmen!$A$3:$A$6000,MATCH(C1592,Segmen!$D$3:$D$6000,0)),"")</f>
        <v/>
      </c>
      <c r="C1592">
        <f>IFERROR(LARGE(Segmen!$D$3:$D$6000,A1592),"")</f>
        <v/>
      </c>
    </row>
    <row r="1593">
      <c r="A1593" t="n">
        <v>1592</v>
      </c>
      <c r="B1593">
        <f>IFERROR(INDEX(Segmen!$A$3:$A$6000,MATCH(C1593,Segmen!$D$3:$D$6000,0)),"")</f>
        <v/>
      </c>
      <c r="C1593">
        <f>IFERROR(LARGE(Segmen!$D$3:$D$6000,A1593),"")</f>
        <v/>
      </c>
    </row>
    <row r="1594">
      <c r="A1594" t="n">
        <v>1593</v>
      </c>
      <c r="B1594">
        <f>IFERROR(INDEX(Segmen!$A$3:$A$6000,MATCH(C1594,Segmen!$D$3:$D$6000,0)),"")</f>
        <v/>
      </c>
      <c r="C1594">
        <f>IFERROR(LARGE(Segmen!$D$3:$D$6000,A1594),"")</f>
        <v/>
      </c>
    </row>
    <row r="1595">
      <c r="A1595" t="n">
        <v>1594</v>
      </c>
      <c r="B1595">
        <f>IFERROR(INDEX(Segmen!$A$3:$A$6000,MATCH(C1595,Segmen!$D$3:$D$6000,0)),"")</f>
        <v/>
      </c>
      <c r="C1595">
        <f>IFERROR(LARGE(Segmen!$D$3:$D$6000,A1595),"")</f>
        <v/>
      </c>
    </row>
    <row r="1596">
      <c r="A1596" t="n">
        <v>1595</v>
      </c>
      <c r="B1596">
        <f>IFERROR(INDEX(Segmen!$A$3:$A$6000,MATCH(C1596,Segmen!$D$3:$D$6000,0)),"")</f>
        <v/>
      </c>
      <c r="C1596">
        <f>IFERROR(LARGE(Segmen!$D$3:$D$6000,A1596),"")</f>
        <v/>
      </c>
    </row>
    <row r="1597">
      <c r="A1597" t="n">
        <v>1596</v>
      </c>
      <c r="B1597">
        <f>IFERROR(INDEX(Segmen!$A$3:$A$6000,MATCH(C1597,Segmen!$D$3:$D$6000,0)),"")</f>
        <v/>
      </c>
      <c r="C1597">
        <f>IFERROR(LARGE(Segmen!$D$3:$D$6000,A1597),"")</f>
        <v/>
      </c>
    </row>
    <row r="1598">
      <c r="A1598" t="n">
        <v>1597</v>
      </c>
      <c r="B1598">
        <f>IFERROR(INDEX(Segmen!$A$3:$A$6000,MATCH(C1598,Segmen!$D$3:$D$6000,0)),"")</f>
        <v/>
      </c>
      <c r="C1598">
        <f>IFERROR(LARGE(Segmen!$D$3:$D$6000,A1598),"")</f>
        <v/>
      </c>
    </row>
    <row r="1599">
      <c r="A1599" t="n">
        <v>1598</v>
      </c>
      <c r="B1599">
        <f>IFERROR(INDEX(Segmen!$A$3:$A$6000,MATCH(C1599,Segmen!$D$3:$D$6000,0)),"")</f>
        <v/>
      </c>
      <c r="C1599">
        <f>IFERROR(LARGE(Segmen!$D$3:$D$6000,A1599),"")</f>
        <v/>
      </c>
    </row>
    <row r="1600">
      <c r="A1600" t="n">
        <v>1599</v>
      </c>
      <c r="B1600">
        <f>IFERROR(INDEX(Segmen!$A$3:$A$6000,MATCH(C1600,Segmen!$D$3:$D$6000,0)),"")</f>
        <v/>
      </c>
      <c r="C1600">
        <f>IFERROR(LARGE(Segmen!$D$3:$D$6000,A1600),"")</f>
        <v/>
      </c>
    </row>
    <row r="1601">
      <c r="A1601" t="n">
        <v>1600</v>
      </c>
      <c r="B1601">
        <f>IFERROR(INDEX(Segmen!$A$3:$A$6000,MATCH(C1601,Segmen!$D$3:$D$6000,0)),"")</f>
        <v/>
      </c>
      <c r="C1601">
        <f>IFERROR(LARGE(Segmen!$D$3:$D$6000,A1601),"")</f>
        <v/>
      </c>
    </row>
    <row r="1602">
      <c r="A1602" t="n">
        <v>1601</v>
      </c>
      <c r="B1602">
        <f>IFERROR(INDEX(Segmen!$A$3:$A$6000,MATCH(C1602,Segmen!$D$3:$D$6000,0)),"")</f>
        <v/>
      </c>
      <c r="C1602">
        <f>IFERROR(LARGE(Segmen!$D$3:$D$6000,A1602),"")</f>
        <v/>
      </c>
    </row>
    <row r="1603">
      <c r="A1603" t="n">
        <v>1602</v>
      </c>
      <c r="B1603">
        <f>IFERROR(INDEX(Segmen!$A$3:$A$6000,MATCH(C1603,Segmen!$D$3:$D$6000,0)),"")</f>
        <v/>
      </c>
      <c r="C1603">
        <f>IFERROR(LARGE(Segmen!$D$3:$D$6000,A1603),"")</f>
        <v/>
      </c>
    </row>
    <row r="1604">
      <c r="A1604" t="n">
        <v>1603</v>
      </c>
      <c r="B1604">
        <f>IFERROR(INDEX(Segmen!$A$3:$A$6000,MATCH(C1604,Segmen!$D$3:$D$6000,0)),"")</f>
        <v/>
      </c>
      <c r="C1604">
        <f>IFERROR(LARGE(Segmen!$D$3:$D$6000,A1604),"")</f>
        <v/>
      </c>
    </row>
    <row r="1605">
      <c r="A1605" t="n">
        <v>1604</v>
      </c>
      <c r="B1605">
        <f>IFERROR(INDEX(Segmen!$A$3:$A$6000,MATCH(C1605,Segmen!$D$3:$D$6000,0)),"")</f>
        <v/>
      </c>
      <c r="C1605">
        <f>IFERROR(LARGE(Segmen!$D$3:$D$6000,A1605),"")</f>
        <v/>
      </c>
    </row>
    <row r="1606">
      <c r="A1606" t="n">
        <v>1605</v>
      </c>
      <c r="B1606">
        <f>IFERROR(INDEX(Segmen!$A$3:$A$6000,MATCH(C1606,Segmen!$D$3:$D$6000,0)),"")</f>
        <v/>
      </c>
      <c r="C1606">
        <f>IFERROR(LARGE(Segmen!$D$3:$D$6000,A1606),"")</f>
        <v/>
      </c>
    </row>
    <row r="1607">
      <c r="A1607" t="n">
        <v>1606</v>
      </c>
      <c r="B1607">
        <f>IFERROR(INDEX(Segmen!$A$3:$A$6000,MATCH(C1607,Segmen!$D$3:$D$6000,0)),"")</f>
        <v/>
      </c>
      <c r="C1607">
        <f>IFERROR(LARGE(Segmen!$D$3:$D$6000,A1607),"")</f>
        <v/>
      </c>
    </row>
    <row r="1608">
      <c r="A1608" t="n">
        <v>1607</v>
      </c>
      <c r="B1608">
        <f>IFERROR(INDEX(Segmen!$A$3:$A$6000,MATCH(C1608,Segmen!$D$3:$D$6000,0)),"")</f>
        <v/>
      </c>
      <c r="C1608">
        <f>IFERROR(LARGE(Segmen!$D$3:$D$6000,A1608),"")</f>
        <v/>
      </c>
    </row>
    <row r="1609">
      <c r="A1609" t="n">
        <v>1608</v>
      </c>
      <c r="B1609">
        <f>IFERROR(INDEX(Segmen!$A$3:$A$6000,MATCH(C1609,Segmen!$D$3:$D$6000,0)),"")</f>
        <v/>
      </c>
      <c r="C1609">
        <f>IFERROR(LARGE(Segmen!$D$3:$D$6000,A1609),"")</f>
        <v/>
      </c>
    </row>
    <row r="1610">
      <c r="A1610" t="n">
        <v>1609</v>
      </c>
      <c r="B1610">
        <f>IFERROR(INDEX(Segmen!$A$3:$A$6000,MATCH(C1610,Segmen!$D$3:$D$6000,0)),"")</f>
        <v/>
      </c>
      <c r="C1610">
        <f>IFERROR(LARGE(Segmen!$D$3:$D$6000,A1610),"")</f>
        <v/>
      </c>
    </row>
    <row r="1611">
      <c r="A1611" t="n">
        <v>1610</v>
      </c>
      <c r="B1611">
        <f>IFERROR(INDEX(Segmen!$A$3:$A$6000,MATCH(C1611,Segmen!$D$3:$D$6000,0)),"")</f>
        <v/>
      </c>
      <c r="C1611">
        <f>IFERROR(LARGE(Segmen!$D$3:$D$6000,A1611),"")</f>
        <v/>
      </c>
    </row>
    <row r="1612">
      <c r="A1612" t="n">
        <v>1611</v>
      </c>
      <c r="B1612">
        <f>IFERROR(INDEX(Segmen!$A$3:$A$6000,MATCH(C1612,Segmen!$D$3:$D$6000,0)),"")</f>
        <v/>
      </c>
      <c r="C1612">
        <f>IFERROR(LARGE(Segmen!$D$3:$D$6000,A1612),"")</f>
        <v/>
      </c>
    </row>
    <row r="1613">
      <c r="A1613" t="n">
        <v>1612</v>
      </c>
      <c r="B1613">
        <f>IFERROR(INDEX(Segmen!$A$3:$A$6000,MATCH(C1613,Segmen!$D$3:$D$6000,0)),"")</f>
        <v/>
      </c>
      <c r="C1613">
        <f>IFERROR(LARGE(Segmen!$D$3:$D$6000,A1613),"")</f>
        <v/>
      </c>
    </row>
    <row r="1614">
      <c r="A1614" t="n">
        <v>1613</v>
      </c>
      <c r="B1614">
        <f>IFERROR(INDEX(Segmen!$A$3:$A$6000,MATCH(C1614,Segmen!$D$3:$D$6000,0)),"")</f>
        <v/>
      </c>
      <c r="C1614">
        <f>IFERROR(LARGE(Segmen!$D$3:$D$6000,A1614),"")</f>
        <v/>
      </c>
    </row>
    <row r="1615">
      <c r="A1615" t="n">
        <v>1614</v>
      </c>
      <c r="B1615">
        <f>IFERROR(INDEX(Segmen!$A$3:$A$6000,MATCH(C1615,Segmen!$D$3:$D$6000,0)),"")</f>
        <v/>
      </c>
      <c r="C1615">
        <f>IFERROR(LARGE(Segmen!$D$3:$D$6000,A1615),"")</f>
        <v/>
      </c>
    </row>
    <row r="1616">
      <c r="A1616" t="n">
        <v>1615</v>
      </c>
      <c r="B1616">
        <f>IFERROR(INDEX(Segmen!$A$3:$A$6000,MATCH(C1616,Segmen!$D$3:$D$6000,0)),"")</f>
        <v/>
      </c>
      <c r="C1616">
        <f>IFERROR(LARGE(Segmen!$D$3:$D$6000,A1616),"")</f>
        <v/>
      </c>
    </row>
    <row r="1617">
      <c r="A1617" t="n">
        <v>1616</v>
      </c>
      <c r="B1617">
        <f>IFERROR(INDEX(Segmen!$A$3:$A$6000,MATCH(C1617,Segmen!$D$3:$D$6000,0)),"")</f>
        <v/>
      </c>
      <c r="C1617">
        <f>IFERROR(LARGE(Segmen!$D$3:$D$6000,A1617),"")</f>
        <v/>
      </c>
    </row>
    <row r="1618">
      <c r="A1618" t="n">
        <v>1617</v>
      </c>
      <c r="B1618">
        <f>IFERROR(INDEX(Segmen!$A$3:$A$6000,MATCH(C1618,Segmen!$D$3:$D$6000,0)),"")</f>
        <v/>
      </c>
      <c r="C1618">
        <f>IFERROR(LARGE(Segmen!$D$3:$D$6000,A1618),"")</f>
        <v/>
      </c>
    </row>
    <row r="1619">
      <c r="A1619" t="n">
        <v>1618</v>
      </c>
      <c r="B1619">
        <f>IFERROR(INDEX(Segmen!$A$3:$A$6000,MATCH(C1619,Segmen!$D$3:$D$6000,0)),"")</f>
        <v/>
      </c>
      <c r="C1619">
        <f>IFERROR(LARGE(Segmen!$D$3:$D$6000,A1619),"")</f>
        <v/>
      </c>
    </row>
    <row r="1620">
      <c r="A1620" t="n">
        <v>1619</v>
      </c>
      <c r="B1620">
        <f>IFERROR(INDEX(Segmen!$A$3:$A$6000,MATCH(C1620,Segmen!$D$3:$D$6000,0)),"")</f>
        <v/>
      </c>
      <c r="C1620">
        <f>IFERROR(LARGE(Segmen!$D$3:$D$6000,A1620),"")</f>
        <v/>
      </c>
    </row>
    <row r="1621">
      <c r="A1621" t="n">
        <v>1620</v>
      </c>
      <c r="B1621">
        <f>IFERROR(INDEX(Segmen!$A$3:$A$6000,MATCH(C1621,Segmen!$D$3:$D$6000,0)),"")</f>
        <v/>
      </c>
      <c r="C1621">
        <f>IFERROR(LARGE(Segmen!$D$3:$D$6000,A1621),"")</f>
        <v/>
      </c>
    </row>
    <row r="1622">
      <c r="A1622" t="n">
        <v>1621</v>
      </c>
      <c r="B1622">
        <f>IFERROR(INDEX(Segmen!$A$3:$A$6000,MATCH(C1622,Segmen!$D$3:$D$6000,0)),"")</f>
        <v/>
      </c>
      <c r="C1622">
        <f>IFERROR(LARGE(Segmen!$D$3:$D$6000,A1622),"")</f>
        <v/>
      </c>
    </row>
    <row r="1623">
      <c r="A1623" t="n">
        <v>1622</v>
      </c>
      <c r="B1623">
        <f>IFERROR(INDEX(Segmen!$A$3:$A$6000,MATCH(C1623,Segmen!$D$3:$D$6000,0)),"")</f>
        <v/>
      </c>
      <c r="C1623">
        <f>IFERROR(LARGE(Segmen!$D$3:$D$6000,A1623),"")</f>
        <v/>
      </c>
    </row>
    <row r="1624">
      <c r="A1624" t="n">
        <v>1623</v>
      </c>
      <c r="B1624">
        <f>IFERROR(INDEX(Segmen!$A$3:$A$6000,MATCH(C1624,Segmen!$D$3:$D$6000,0)),"")</f>
        <v/>
      </c>
      <c r="C1624">
        <f>IFERROR(LARGE(Segmen!$D$3:$D$6000,A1624),"")</f>
        <v/>
      </c>
    </row>
    <row r="1625">
      <c r="A1625" t="n">
        <v>1624</v>
      </c>
      <c r="B1625">
        <f>IFERROR(INDEX(Segmen!$A$3:$A$6000,MATCH(C1625,Segmen!$D$3:$D$6000,0)),"")</f>
        <v/>
      </c>
      <c r="C1625">
        <f>IFERROR(LARGE(Segmen!$D$3:$D$6000,A1625),"")</f>
        <v/>
      </c>
    </row>
    <row r="1626">
      <c r="A1626" t="n">
        <v>1625</v>
      </c>
      <c r="B1626">
        <f>IFERROR(INDEX(Segmen!$A$3:$A$6000,MATCH(C1626,Segmen!$D$3:$D$6000,0)),"")</f>
        <v/>
      </c>
      <c r="C1626">
        <f>IFERROR(LARGE(Segmen!$D$3:$D$6000,A1626),"")</f>
        <v/>
      </c>
    </row>
    <row r="1627">
      <c r="A1627" t="n">
        <v>1626</v>
      </c>
      <c r="B1627">
        <f>IFERROR(INDEX(Segmen!$A$3:$A$6000,MATCH(C1627,Segmen!$D$3:$D$6000,0)),"")</f>
        <v/>
      </c>
      <c r="C1627">
        <f>IFERROR(LARGE(Segmen!$D$3:$D$6000,A1627),"")</f>
        <v/>
      </c>
    </row>
    <row r="1628">
      <c r="A1628" t="n">
        <v>1627</v>
      </c>
      <c r="B1628">
        <f>IFERROR(INDEX(Segmen!$A$3:$A$6000,MATCH(C1628,Segmen!$D$3:$D$6000,0)),"")</f>
        <v/>
      </c>
      <c r="C1628">
        <f>IFERROR(LARGE(Segmen!$D$3:$D$6000,A1628),"")</f>
        <v/>
      </c>
    </row>
    <row r="1629">
      <c r="A1629" t="n">
        <v>1628</v>
      </c>
      <c r="B1629">
        <f>IFERROR(INDEX(Segmen!$A$3:$A$6000,MATCH(C1629,Segmen!$D$3:$D$6000,0)),"")</f>
        <v/>
      </c>
      <c r="C1629">
        <f>IFERROR(LARGE(Segmen!$D$3:$D$6000,A1629),"")</f>
        <v/>
      </c>
    </row>
    <row r="1630">
      <c r="A1630" t="n">
        <v>1629</v>
      </c>
      <c r="B1630">
        <f>IFERROR(INDEX(Segmen!$A$3:$A$6000,MATCH(C1630,Segmen!$D$3:$D$6000,0)),"")</f>
        <v/>
      </c>
      <c r="C1630">
        <f>IFERROR(LARGE(Segmen!$D$3:$D$6000,A1630),"")</f>
        <v/>
      </c>
    </row>
    <row r="1631">
      <c r="A1631" t="n">
        <v>1630</v>
      </c>
      <c r="B1631">
        <f>IFERROR(INDEX(Segmen!$A$3:$A$6000,MATCH(C1631,Segmen!$D$3:$D$6000,0)),"")</f>
        <v/>
      </c>
      <c r="C1631">
        <f>IFERROR(LARGE(Segmen!$D$3:$D$6000,A1631),"")</f>
        <v/>
      </c>
    </row>
    <row r="1632">
      <c r="A1632" t="n">
        <v>1631</v>
      </c>
      <c r="B1632">
        <f>IFERROR(INDEX(Segmen!$A$3:$A$6000,MATCH(C1632,Segmen!$D$3:$D$6000,0)),"")</f>
        <v/>
      </c>
      <c r="C1632">
        <f>IFERROR(LARGE(Segmen!$D$3:$D$6000,A1632),"")</f>
        <v/>
      </c>
    </row>
    <row r="1633">
      <c r="A1633" t="n">
        <v>1632</v>
      </c>
      <c r="B1633">
        <f>IFERROR(INDEX(Segmen!$A$3:$A$6000,MATCH(C1633,Segmen!$D$3:$D$6000,0)),"")</f>
        <v/>
      </c>
      <c r="C1633">
        <f>IFERROR(LARGE(Segmen!$D$3:$D$6000,A1633),"")</f>
        <v/>
      </c>
    </row>
    <row r="1634">
      <c r="A1634" t="n">
        <v>1633</v>
      </c>
      <c r="B1634">
        <f>IFERROR(INDEX(Segmen!$A$3:$A$6000,MATCH(C1634,Segmen!$D$3:$D$6000,0)),"")</f>
        <v/>
      </c>
      <c r="C1634">
        <f>IFERROR(LARGE(Segmen!$D$3:$D$6000,A1634),"")</f>
        <v/>
      </c>
    </row>
    <row r="1635">
      <c r="A1635" t="n">
        <v>1634</v>
      </c>
      <c r="B1635">
        <f>IFERROR(INDEX(Segmen!$A$3:$A$6000,MATCH(C1635,Segmen!$D$3:$D$6000,0)),"")</f>
        <v/>
      </c>
      <c r="C1635">
        <f>IFERROR(LARGE(Segmen!$D$3:$D$6000,A1635),"")</f>
        <v/>
      </c>
    </row>
    <row r="1636">
      <c r="A1636" t="n">
        <v>1635</v>
      </c>
      <c r="B1636">
        <f>IFERROR(INDEX(Segmen!$A$3:$A$6000,MATCH(C1636,Segmen!$D$3:$D$6000,0)),"")</f>
        <v/>
      </c>
      <c r="C1636">
        <f>IFERROR(LARGE(Segmen!$D$3:$D$6000,A1636),"")</f>
        <v/>
      </c>
    </row>
    <row r="1637">
      <c r="A1637" t="n">
        <v>1636</v>
      </c>
      <c r="B1637">
        <f>IFERROR(INDEX(Segmen!$A$3:$A$6000,MATCH(C1637,Segmen!$D$3:$D$6000,0)),"")</f>
        <v/>
      </c>
      <c r="C1637">
        <f>IFERROR(LARGE(Segmen!$D$3:$D$6000,A1637),"")</f>
        <v/>
      </c>
    </row>
    <row r="1638">
      <c r="A1638" t="n">
        <v>1637</v>
      </c>
      <c r="B1638">
        <f>IFERROR(INDEX(Segmen!$A$3:$A$6000,MATCH(C1638,Segmen!$D$3:$D$6000,0)),"")</f>
        <v/>
      </c>
      <c r="C1638">
        <f>IFERROR(LARGE(Segmen!$D$3:$D$6000,A1638),"")</f>
        <v/>
      </c>
    </row>
    <row r="1639">
      <c r="A1639" t="n">
        <v>1638</v>
      </c>
      <c r="B1639">
        <f>IFERROR(INDEX(Segmen!$A$3:$A$6000,MATCH(C1639,Segmen!$D$3:$D$6000,0)),"")</f>
        <v/>
      </c>
      <c r="C1639">
        <f>IFERROR(LARGE(Segmen!$D$3:$D$6000,A1639),"")</f>
        <v/>
      </c>
    </row>
    <row r="1640">
      <c r="A1640" t="n">
        <v>1639</v>
      </c>
      <c r="B1640">
        <f>IFERROR(INDEX(Segmen!$A$3:$A$6000,MATCH(C1640,Segmen!$D$3:$D$6000,0)),"")</f>
        <v/>
      </c>
      <c r="C1640">
        <f>IFERROR(LARGE(Segmen!$D$3:$D$6000,A1640),"")</f>
        <v/>
      </c>
    </row>
    <row r="1641">
      <c r="A1641" t="n">
        <v>1640</v>
      </c>
      <c r="B1641">
        <f>IFERROR(INDEX(Segmen!$A$3:$A$6000,MATCH(C1641,Segmen!$D$3:$D$6000,0)),"")</f>
        <v/>
      </c>
      <c r="C1641">
        <f>IFERROR(LARGE(Segmen!$D$3:$D$6000,A1641),"")</f>
        <v/>
      </c>
    </row>
    <row r="1642">
      <c r="A1642" t="n">
        <v>1641</v>
      </c>
      <c r="B1642">
        <f>IFERROR(INDEX(Segmen!$A$3:$A$6000,MATCH(C1642,Segmen!$D$3:$D$6000,0)),"")</f>
        <v/>
      </c>
      <c r="C1642">
        <f>IFERROR(LARGE(Segmen!$D$3:$D$6000,A1642),"")</f>
        <v/>
      </c>
    </row>
    <row r="1643">
      <c r="A1643" t="n">
        <v>1642</v>
      </c>
      <c r="B1643">
        <f>IFERROR(INDEX(Segmen!$A$3:$A$6000,MATCH(C1643,Segmen!$D$3:$D$6000,0)),"")</f>
        <v/>
      </c>
      <c r="C1643">
        <f>IFERROR(LARGE(Segmen!$D$3:$D$6000,A1643),"")</f>
        <v/>
      </c>
    </row>
    <row r="1644">
      <c r="A1644" t="n">
        <v>1643</v>
      </c>
      <c r="B1644">
        <f>IFERROR(INDEX(Segmen!$A$3:$A$6000,MATCH(C1644,Segmen!$D$3:$D$6000,0)),"")</f>
        <v/>
      </c>
      <c r="C1644">
        <f>IFERROR(LARGE(Segmen!$D$3:$D$6000,A1644),"")</f>
        <v/>
      </c>
    </row>
    <row r="1645">
      <c r="A1645" t="n">
        <v>1644</v>
      </c>
      <c r="B1645">
        <f>IFERROR(INDEX(Segmen!$A$3:$A$6000,MATCH(C1645,Segmen!$D$3:$D$6000,0)),"")</f>
        <v/>
      </c>
      <c r="C1645">
        <f>IFERROR(LARGE(Segmen!$D$3:$D$6000,A1645),"")</f>
        <v/>
      </c>
    </row>
    <row r="1646">
      <c r="A1646" t="n">
        <v>1645</v>
      </c>
      <c r="B1646">
        <f>IFERROR(INDEX(Segmen!$A$3:$A$6000,MATCH(C1646,Segmen!$D$3:$D$6000,0)),"")</f>
        <v/>
      </c>
      <c r="C1646">
        <f>IFERROR(LARGE(Segmen!$D$3:$D$6000,A1646),"")</f>
        <v/>
      </c>
    </row>
    <row r="1647">
      <c r="A1647" t="n">
        <v>1646</v>
      </c>
      <c r="B1647">
        <f>IFERROR(INDEX(Segmen!$A$3:$A$6000,MATCH(C1647,Segmen!$D$3:$D$6000,0)),"")</f>
        <v/>
      </c>
      <c r="C1647">
        <f>IFERROR(LARGE(Segmen!$D$3:$D$6000,A1647),"")</f>
        <v/>
      </c>
    </row>
    <row r="1648">
      <c r="A1648" t="n">
        <v>1647</v>
      </c>
      <c r="B1648">
        <f>IFERROR(INDEX(Segmen!$A$3:$A$6000,MATCH(C1648,Segmen!$D$3:$D$6000,0)),"")</f>
        <v/>
      </c>
      <c r="C1648">
        <f>IFERROR(LARGE(Segmen!$D$3:$D$6000,A1648),"")</f>
        <v/>
      </c>
    </row>
    <row r="1649">
      <c r="A1649" t="n">
        <v>1648</v>
      </c>
      <c r="B1649">
        <f>IFERROR(INDEX(Segmen!$A$3:$A$6000,MATCH(C1649,Segmen!$D$3:$D$6000,0)),"")</f>
        <v/>
      </c>
      <c r="C1649">
        <f>IFERROR(LARGE(Segmen!$D$3:$D$6000,A1649),"")</f>
        <v/>
      </c>
    </row>
    <row r="1650">
      <c r="A1650" t="n">
        <v>1649</v>
      </c>
      <c r="B1650">
        <f>IFERROR(INDEX(Segmen!$A$3:$A$6000,MATCH(C1650,Segmen!$D$3:$D$6000,0)),"")</f>
        <v/>
      </c>
      <c r="C1650">
        <f>IFERROR(LARGE(Segmen!$D$3:$D$6000,A1650),"")</f>
        <v/>
      </c>
    </row>
    <row r="1651">
      <c r="A1651" t="n">
        <v>1650</v>
      </c>
      <c r="B1651">
        <f>IFERROR(INDEX(Segmen!$A$3:$A$6000,MATCH(C1651,Segmen!$D$3:$D$6000,0)),"")</f>
        <v/>
      </c>
      <c r="C1651">
        <f>IFERROR(LARGE(Segmen!$D$3:$D$6000,A1651),"")</f>
        <v/>
      </c>
    </row>
    <row r="1652">
      <c r="A1652" t="n">
        <v>1651</v>
      </c>
      <c r="B1652">
        <f>IFERROR(INDEX(Segmen!$A$3:$A$6000,MATCH(C1652,Segmen!$D$3:$D$6000,0)),"")</f>
        <v/>
      </c>
      <c r="C1652">
        <f>IFERROR(LARGE(Segmen!$D$3:$D$6000,A1652),"")</f>
        <v/>
      </c>
    </row>
    <row r="1653">
      <c r="A1653" t="n">
        <v>1652</v>
      </c>
      <c r="B1653">
        <f>IFERROR(INDEX(Segmen!$A$3:$A$6000,MATCH(C1653,Segmen!$D$3:$D$6000,0)),"")</f>
        <v/>
      </c>
      <c r="C1653">
        <f>IFERROR(LARGE(Segmen!$D$3:$D$6000,A1653),"")</f>
        <v/>
      </c>
    </row>
    <row r="1654">
      <c r="A1654" t="n">
        <v>1653</v>
      </c>
      <c r="B1654">
        <f>IFERROR(INDEX(Segmen!$A$3:$A$6000,MATCH(C1654,Segmen!$D$3:$D$6000,0)),"")</f>
        <v/>
      </c>
      <c r="C1654">
        <f>IFERROR(LARGE(Segmen!$D$3:$D$6000,A1654),"")</f>
        <v/>
      </c>
    </row>
    <row r="1655">
      <c r="A1655" t="n">
        <v>1654</v>
      </c>
      <c r="B1655">
        <f>IFERROR(INDEX(Segmen!$A$3:$A$6000,MATCH(C1655,Segmen!$D$3:$D$6000,0)),"")</f>
        <v/>
      </c>
      <c r="C1655">
        <f>IFERROR(LARGE(Segmen!$D$3:$D$6000,A1655),"")</f>
        <v/>
      </c>
    </row>
    <row r="1656">
      <c r="A1656" t="n">
        <v>1655</v>
      </c>
      <c r="B1656">
        <f>IFERROR(INDEX(Segmen!$A$3:$A$6000,MATCH(C1656,Segmen!$D$3:$D$6000,0)),"")</f>
        <v/>
      </c>
      <c r="C1656">
        <f>IFERROR(LARGE(Segmen!$D$3:$D$6000,A1656),"")</f>
        <v/>
      </c>
    </row>
    <row r="1657">
      <c r="A1657" t="n">
        <v>1656</v>
      </c>
      <c r="B1657">
        <f>IFERROR(INDEX(Segmen!$A$3:$A$6000,MATCH(C1657,Segmen!$D$3:$D$6000,0)),"")</f>
        <v/>
      </c>
      <c r="C1657">
        <f>IFERROR(LARGE(Segmen!$D$3:$D$6000,A1657),"")</f>
        <v/>
      </c>
    </row>
    <row r="1658">
      <c r="A1658" t="n">
        <v>1657</v>
      </c>
      <c r="B1658">
        <f>IFERROR(INDEX(Segmen!$A$3:$A$6000,MATCH(C1658,Segmen!$D$3:$D$6000,0)),"")</f>
        <v/>
      </c>
      <c r="C1658">
        <f>IFERROR(LARGE(Segmen!$D$3:$D$6000,A1658),"")</f>
        <v/>
      </c>
    </row>
    <row r="1659">
      <c r="A1659" t="n">
        <v>1658</v>
      </c>
      <c r="B1659">
        <f>IFERROR(INDEX(Segmen!$A$3:$A$6000,MATCH(C1659,Segmen!$D$3:$D$6000,0)),"")</f>
        <v/>
      </c>
      <c r="C1659">
        <f>IFERROR(LARGE(Segmen!$D$3:$D$6000,A1659),"")</f>
        <v/>
      </c>
    </row>
    <row r="1660">
      <c r="A1660" t="n">
        <v>1659</v>
      </c>
      <c r="B1660">
        <f>IFERROR(INDEX(Segmen!$A$3:$A$6000,MATCH(C1660,Segmen!$D$3:$D$6000,0)),"")</f>
        <v/>
      </c>
      <c r="C1660">
        <f>IFERROR(LARGE(Segmen!$D$3:$D$6000,A1660),"")</f>
        <v/>
      </c>
    </row>
    <row r="1661">
      <c r="A1661" t="n">
        <v>1660</v>
      </c>
      <c r="B1661">
        <f>IFERROR(INDEX(Segmen!$A$3:$A$6000,MATCH(C1661,Segmen!$D$3:$D$6000,0)),"")</f>
        <v/>
      </c>
      <c r="C1661">
        <f>IFERROR(LARGE(Segmen!$D$3:$D$6000,A1661),"")</f>
        <v/>
      </c>
    </row>
    <row r="1662">
      <c r="A1662" t="n">
        <v>1661</v>
      </c>
      <c r="B1662">
        <f>IFERROR(INDEX(Segmen!$A$3:$A$6000,MATCH(C1662,Segmen!$D$3:$D$6000,0)),"")</f>
        <v/>
      </c>
      <c r="C1662">
        <f>IFERROR(LARGE(Segmen!$D$3:$D$6000,A1662),"")</f>
        <v/>
      </c>
    </row>
    <row r="1663">
      <c r="A1663" t="n">
        <v>1662</v>
      </c>
      <c r="B1663">
        <f>IFERROR(INDEX(Segmen!$A$3:$A$6000,MATCH(C1663,Segmen!$D$3:$D$6000,0)),"")</f>
        <v/>
      </c>
      <c r="C1663">
        <f>IFERROR(LARGE(Segmen!$D$3:$D$6000,A1663),"")</f>
        <v/>
      </c>
    </row>
    <row r="1664">
      <c r="A1664" t="n">
        <v>1663</v>
      </c>
      <c r="B1664">
        <f>IFERROR(INDEX(Segmen!$A$3:$A$6000,MATCH(C1664,Segmen!$D$3:$D$6000,0)),"")</f>
        <v/>
      </c>
      <c r="C1664">
        <f>IFERROR(LARGE(Segmen!$D$3:$D$6000,A1664),"")</f>
        <v/>
      </c>
    </row>
    <row r="1665">
      <c r="A1665" t="n">
        <v>1664</v>
      </c>
      <c r="B1665">
        <f>IFERROR(INDEX(Segmen!$A$3:$A$6000,MATCH(C1665,Segmen!$D$3:$D$6000,0)),"")</f>
        <v/>
      </c>
      <c r="C1665">
        <f>IFERROR(LARGE(Segmen!$D$3:$D$6000,A1665),"")</f>
        <v/>
      </c>
    </row>
    <row r="1666">
      <c r="A1666" t="n">
        <v>1665</v>
      </c>
      <c r="B1666">
        <f>IFERROR(INDEX(Segmen!$A$3:$A$6000,MATCH(C1666,Segmen!$D$3:$D$6000,0)),"")</f>
        <v/>
      </c>
      <c r="C1666">
        <f>IFERROR(LARGE(Segmen!$D$3:$D$6000,A1666),"")</f>
        <v/>
      </c>
    </row>
    <row r="1667">
      <c r="A1667" t="n">
        <v>1666</v>
      </c>
      <c r="B1667">
        <f>IFERROR(INDEX(Segmen!$A$3:$A$6000,MATCH(C1667,Segmen!$D$3:$D$6000,0)),"")</f>
        <v/>
      </c>
      <c r="C1667">
        <f>IFERROR(LARGE(Segmen!$D$3:$D$6000,A1667),"")</f>
        <v/>
      </c>
    </row>
    <row r="1668">
      <c r="A1668" t="n">
        <v>1667</v>
      </c>
      <c r="B1668">
        <f>IFERROR(INDEX(Segmen!$A$3:$A$6000,MATCH(C1668,Segmen!$D$3:$D$6000,0)),"")</f>
        <v/>
      </c>
      <c r="C1668">
        <f>IFERROR(LARGE(Segmen!$D$3:$D$6000,A1668),"")</f>
        <v/>
      </c>
    </row>
    <row r="1669">
      <c r="A1669" t="n">
        <v>1668</v>
      </c>
      <c r="B1669">
        <f>IFERROR(INDEX(Segmen!$A$3:$A$6000,MATCH(C1669,Segmen!$D$3:$D$6000,0)),"")</f>
        <v/>
      </c>
      <c r="C1669">
        <f>IFERROR(LARGE(Segmen!$D$3:$D$6000,A1669),"")</f>
        <v/>
      </c>
    </row>
    <row r="1670">
      <c r="A1670" t="n">
        <v>1669</v>
      </c>
      <c r="B1670">
        <f>IFERROR(INDEX(Segmen!$A$3:$A$6000,MATCH(C1670,Segmen!$D$3:$D$6000,0)),"")</f>
        <v/>
      </c>
      <c r="C1670">
        <f>IFERROR(LARGE(Segmen!$D$3:$D$6000,A1670),"")</f>
        <v/>
      </c>
    </row>
    <row r="1671">
      <c r="A1671" t="n">
        <v>1670</v>
      </c>
      <c r="B1671">
        <f>IFERROR(INDEX(Segmen!$A$3:$A$6000,MATCH(C1671,Segmen!$D$3:$D$6000,0)),"")</f>
        <v/>
      </c>
      <c r="C1671">
        <f>IFERROR(LARGE(Segmen!$D$3:$D$6000,A1671),"")</f>
        <v/>
      </c>
    </row>
    <row r="1672">
      <c r="A1672" t="n">
        <v>1671</v>
      </c>
      <c r="B1672">
        <f>IFERROR(INDEX(Segmen!$A$3:$A$6000,MATCH(C1672,Segmen!$D$3:$D$6000,0)),"")</f>
        <v/>
      </c>
      <c r="C1672">
        <f>IFERROR(LARGE(Segmen!$D$3:$D$6000,A1672),"")</f>
        <v/>
      </c>
    </row>
    <row r="1673">
      <c r="A1673" t="n">
        <v>1672</v>
      </c>
      <c r="B1673">
        <f>IFERROR(INDEX(Segmen!$A$3:$A$6000,MATCH(C1673,Segmen!$D$3:$D$6000,0)),"")</f>
        <v/>
      </c>
      <c r="C1673">
        <f>IFERROR(LARGE(Segmen!$D$3:$D$6000,A1673),"")</f>
        <v/>
      </c>
    </row>
    <row r="1674">
      <c r="A1674" t="n">
        <v>1673</v>
      </c>
      <c r="B1674">
        <f>IFERROR(INDEX(Segmen!$A$3:$A$6000,MATCH(C1674,Segmen!$D$3:$D$6000,0)),"")</f>
        <v/>
      </c>
      <c r="C1674">
        <f>IFERROR(LARGE(Segmen!$D$3:$D$6000,A1674),"")</f>
        <v/>
      </c>
    </row>
    <row r="1675">
      <c r="A1675" t="n">
        <v>1674</v>
      </c>
      <c r="B1675">
        <f>IFERROR(INDEX(Segmen!$A$3:$A$6000,MATCH(C1675,Segmen!$D$3:$D$6000,0)),"")</f>
        <v/>
      </c>
      <c r="C1675">
        <f>IFERROR(LARGE(Segmen!$D$3:$D$6000,A1675),"")</f>
        <v/>
      </c>
    </row>
    <row r="1676">
      <c r="A1676" t="n">
        <v>1675</v>
      </c>
      <c r="B1676">
        <f>IFERROR(INDEX(Segmen!$A$3:$A$6000,MATCH(C1676,Segmen!$D$3:$D$6000,0)),"")</f>
        <v/>
      </c>
      <c r="C1676">
        <f>IFERROR(LARGE(Segmen!$D$3:$D$6000,A1676),"")</f>
        <v/>
      </c>
    </row>
    <row r="1677">
      <c r="A1677" t="n">
        <v>1676</v>
      </c>
      <c r="B1677">
        <f>IFERROR(INDEX(Segmen!$A$3:$A$6000,MATCH(C1677,Segmen!$D$3:$D$6000,0)),"")</f>
        <v/>
      </c>
      <c r="C1677">
        <f>IFERROR(LARGE(Segmen!$D$3:$D$6000,A1677),"")</f>
        <v/>
      </c>
    </row>
    <row r="1678">
      <c r="A1678" t="n">
        <v>1677</v>
      </c>
      <c r="B1678">
        <f>IFERROR(INDEX(Segmen!$A$3:$A$6000,MATCH(C1678,Segmen!$D$3:$D$6000,0)),"")</f>
        <v/>
      </c>
      <c r="C1678">
        <f>IFERROR(LARGE(Segmen!$D$3:$D$6000,A1678),"")</f>
        <v/>
      </c>
    </row>
    <row r="1679">
      <c r="A1679" t="n">
        <v>1678</v>
      </c>
      <c r="B1679">
        <f>IFERROR(INDEX(Segmen!$A$3:$A$6000,MATCH(C1679,Segmen!$D$3:$D$6000,0)),"")</f>
        <v/>
      </c>
      <c r="C1679">
        <f>IFERROR(LARGE(Segmen!$D$3:$D$6000,A1679),"")</f>
        <v/>
      </c>
    </row>
    <row r="1680">
      <c r="A1680" t="n">
        <v>1679</v>
      </c>
      <c r="B1680">
        <f>IFERROR(INDEX(Segmen!$A$3:$A$6000,MATCH(C1680,Segmen!$D$3:$D$6000,0)),"")</f>
        <v/>
      </c>
      <c r="C1680">
        <f>IFERROR(LARGE(Segmen!$D$3:$D$6000,A1680),"")</f>
        <v/>
      </c>
    </row>
    <row r="1681">
      <c r="A1681" t="n">
        <v>1680</v>
      </c>
      <c r="B1681">
        <f>IFERROR(INDEX(Segmen!$A$3:$A$6000,MATCH(C1681,Segmen!$D$3:$D$6000,0)),"")</f>
        <v/>
      </c>
      <c r="C1681">
        <f>IFERROR(LARGE(Segmen!$D$3:$D$6000,A1681),"")</f>
        <v/>
      </c>
    </row>
    <row r="1682">
      <c r="A1682" t="n">
        <v>1681</v>
      </c>
      <c r="B1682">
        <f>IFERROR(INDEX(Segmen!$A$3:$A$6000,MATCH(C1682,Segmen!$D$3:$D$6000,0)),"")</f>
        <v/>
      </c>
      <c r="C1682">
        <f>IFERROR(LARGE(Segmen!$D$3:$D$6000,A1682),"")</f>
        <v/>
      </c>
    </row>
    <row r="1683">
      <c r="A1683" t="n">
        <v>1682</v>
      </c>
      <c r="B1683">
        <f>IFERROR(INDEX(Segmen!$A$3:$A$6000,MATCH(C1683,Segmen!$D$3:$D$6000,0)),"")</f>
        <v/>
      </c>
      <c r="C1683">
        <f>IFERROR(LARGE(Segmen!$D$3:$D$6000,A1683),"")</f>
        <v/>
      </c>
    </row>
    <row r="1684">
      <c r="A1684" t="n">
        <v>1683</v>
      </c>
      <c r="B1684">
        <f>IFERROR(INDEX(Segmen!$A$3:$A$6000,MATCH(C1684,Segmen!$D$3:$D$6000,0)),"")</f>
        <v/>
      </c>
      <c r="C1684">
        <f>IFERROR(LARGE(Segmen!$D$3:$D$6000,A1684),"")</f>
        <v/>
      </c>
    </row>
    <row r="1685">
      <c r="A1685" t="n">
        <v>1684</v>
      </c>
      <c r="B1685">
        <f>IFERROR(INDEX(Segmen!$A$3:$A$6000,MATCH(C1685,Segmen!$D$3:$D$6000,0)),"")</f>
        <v/>
      </c>
      <c r="C1685">
        <f>IFERROR(LARGE(Segmen!$D$3:$D$6000,A1685),"")</f>
        <v/>
      </c>
    </row>
    <row r="1686">
      <c r="A1686" t="n">
        <v>1685</v>
      </c>
      <c r="B1686">
        <f>IFERROR(INDEX(Segmen!$A$3:$A$6000,MATCH(C1686,Segmen!$D$3:$D$6000,0)),"")</f>
        <v/>
      </c>
      <c r="C1686">
        <f>IFERROR(LARGE(Segmen!$D$3:$D$6000,A1686),"")</f>
        <v/>
      </c>
    </row>
    <row r="1687">
      <c r="A1687" t="n">
        <v>1686</v>
      </c>
      <c r="B1687">
        <f>IFERROR(INDEX(Segmen!$A$3:$A$6000,MATCH(C1687,Segmen!$D$3:$D$6000,0)),"")</f>
        <v/>
      </c>
      <c r="C1687">
        <f>IFERROR(LARGE(Segmen!$D$3:$D$6000,A1687),"")</f>
        <v/>
      </c>
    </row>
    <row r="1688">
      <c r="A1688" t="n">
        <v>1687</v>
      </c>
      <c r="B1688">
        <f>IFERROR(INDEX(Segmen!$A$3:$A$6000,MATCH(C1688,Segmen!$D$3:$D$6000,0)),"")</f>
        <v/>
      </c>
      <c r="C1688">
        <f>IFERROR(LARGE(Segmen!$D$3:$D$6000,A1688),"")</f>
        <v/>
      </c>
    </row>
    <row r="1689">
      <c r="A1689" t="n">
        <v>1688</v>
      </c>
      <c r="B1689">
        <f>IFERROR(INDEX(Segmen!$A$3:$A$6000,MATCH(C1689,Segmen!$D$3:$D$6000,0)),"")</f>
        <v/>
      </c>
      <c r="C1689">
        <f>IFERROR(LARGE(Segmen!$D$3:$D$6000,A1689),"")</f>
        <v/>
      </c>
    </row>
    <row r="1690">
      <c r="A1690" t="n">
        <v>1689</v>
      </c>
      <c r="B1690">
        <f>IFERROR(INDEX(Segmen!$A$3:$A$6000,MATCH(C1690,Segmen!$D$3:$D$6000,0)),"")</f>
        <v/>
      </c>
      <c r="C1690">
        <f>IFERROR(LARGE(Segmen!$D$3:$D$6000,A1690),"")</f>
        <v/>
      </c>
    </row>
    <row r="1691">
      <c r="A1691" t="n">
        <v>1690</v>
      </c>
      <c r="B1691">
        <f>IFERROR(INDEX(Segmen!$A$3:$A$6000,MATCH(C1691,Segmen!$D$3:$D$6000,0)),"")</f>
        <v/>
      </c>
      <c r="C1691">
        <f>IFERROR(LARGE(Segmen!$D$3:$D$6000,A1691),"")</f>
        <v/>
      </c>
    </row>
    <row r="1692">
      <c r="A1692" t="n">
        <v>1691</v>
      </c>
      <c r="B1692">
        <f>IFERROR(INDEX(Segmen!$A$3:$A$6000,MATCH(C1692,Segmen!$D$3:$D$6000,0)),"")</f>
        <v/>
      </c>
      <c r="C1692">
        <f>IFERROR(LARGE(Segmen!$D$3:$D$6000,A1692),"")</f>
        <v/>
      </c>
    </row>
    <row r="1693">
      <c r="A1693" t="n">
        <v>1692</v>
      </c>
      <c r="B1693">
        <f>IFERROR(INDEX(Segmen!$A$3:$A$6000,MATCH(C1693,Segmen!$D$3:$D$6000,0)),"")</f>
        <v/>
      </c>
      <c r="C1693">
        <f>IFERROR(LARGE(Segmen!$D$3:$D$6000,A1693),"")</f>
        <v/>
      </c>
    </row>
    <row r="1694">
      <c r="A1694" t="n">
        <v>1693</v>
      </c>
      <c r="B1694">
        <f>IFERROR(INDEX(Segmen!$A$3:$A$6000,MATCH(C1694,Segmen!$D$3:$D$6000,0)),"")</f>
        <v/>
      </c>
      <c r="C1694">
        <f>IFERROR(LARGE(Segmen!$D$3:$D$6000,A1694),"")</f>
        <v/>
      </c>
    </row>
    <row r="1695">
      <c r="A1695" t="n">
        <v>1694</v>
      </c>
      <c r="B1695">
        <f>IFERROR(INDEX(Segmen!$A$3:$A$6000,MATCH(C1695,Segmen!$D$3:$D$6000,0)),"")</f>
        <v/>
      </c>
      <c r="C1695">
        <f>IFERROR(LARGE(Segmen!$D$3:$D$6000,A1695),"")</f>
        <v/>
      </c>
    </row>
    <row r="1696">
      <c r="A1696" t="n">
        <v>1695</v>
      </c>
      <c r="B1696">
        <f>IFERROR(INDEX(Segmen!$A$3:$A$6000,MATCH(C1696,Segmen!$D$3:$D$6000,0)),"")</f>
        <v/>
      </c>
      <c r="C1696">
        <f>IFERROR(LARGE(Segmen!$D$3:$D$6000,A1696),"")</f>
        <v/>
      </c>
    </row>
    <row r="1697">
      <c r="A1697" t="n">
        <v>1696</v>
      </c>
      <c r="B1697">
        <f>IFERROR(INDEX(Segmen!$A$3:$A$6000,MATCH(C1697,Segmen!$D$3:$D$6000,0)),"")</f>
        <v/>
      </c>
      <c r="C1697">
        <f>IFERROR(LARGE(Segmen!$D$3:$D$6000,A1697),"")</f>
        <v/>
      </c>
    </row>
    <row r="1698">
      <c r="A1698" t="n">
        <v>1697</v>
      </c>
      <c r="B1698">
        <f>IFERROR(INDEX(Segmen!$A$3:$A$6000,MATCH(C1698,Segmen!$D$3:$D$6000,0)),"")</f>
        <v/>
      </c>
      <c r="C1698">
        <f>IFERROR(LARGE(Segmen!$D$3:$D$6000,A1698),"")</f>
        <v/>
      </c>
    </row>
    <row r="1699">
      <c r="A1699" t="n">
        <v>1698</v>
      </c>
      <c r="B1699">
        <f>IFERROR(INDEX(Segmen!$A$3:$A$6000,MATCH(C1699,Segmen!$D$3:$D$6000,0)),"")</f>
        <v/>
      </c>
      <c r="C1699">
        <f>IFERROR(LARGE(Segmen!$D$3:$D$6000,A1699),"")</f>
        <v/>
      </c>
    </row>
    <row r="1700">
      <c r="A1700" t="n">
        <v>1699</v>
      </c>
      <c r="B1700">
        <f>IFERROR(INDEX(Segmen!$A$3:$A$6000,MATCH(C1700,Segmen!$D$3:$D$6000,0)),"")</f>
        <v/>
      </c>
      <c r="C1700">
        <f>IFERROR(LARGE(Segmen!$D$3:$D$6000,A1700),"")</f>
        <v/>
      </c>
    </row>
    <row r="1701">
      <c r="A1701" t="n">
        <v>1700</v>
      </c>
      <c r="B1701">
        <f>IFERROR(INDEX(Segmen!$A$3:$A$6000,MATCH(C1701,Segmen!$D$3:$D$6000,0)),"")</f>
        <v/>
      </c>
      <c r="C1701">
        <f>IFERROR(LARGE(Segmen!$D$3:$D$6000,A1701),"")</f>
        <v/>
      </c>
    </row>
    <row r="1702">
      <c r="A1702" t="n">
        <v>1701</v>
      </c>
      <c r="B1702">
        <f>IFERROR(INDEX(Segmen!$A$3:$A$6000,MATCH(C1702,Segmen!$D$3:$D$6000,0)),"")</f>
        <v/>
      </c>
      <c r="C1702">
        <f>IFERROR(LARGE(Segmen!$D$3:$D$6000,A1702),"")</f>
        <v/>
      </c>
    </row>
    <row r="1703">
      <c r="A1703" t="n">
        <v>1702</v>
      </c>
      <c r="B1703">
        <f>IFERROR(INDEX(Segmen!$A$3:$A$6000,MATCH(C1703,Segmen!$D$3:$D$6000,0)),"")</f>
        <v/>
      </c>
      <c r="C1703">
        <f>IFERROR(LARGE(Segmen!$D$3:$D$6000,A1703),"")</f>
        <v/>
      </c>
    </row>
    <row r="1704">
      <c r="A1704" t="n">
        <v>1703</v>
      </c>
      <c r="B1704">
        <f>IFERROR(INDEX(Segmen!$A$3:$A$6000,MATCH(C1704,Segmen!$D$3:$D$6000,0)),"")</f>
        <v/>
      </c>
      <c r="C1704">
        <f>IFERROR(LARGE(Segmen!$D$3:$D$6000,A1704),"")</f>
        <v/>
      </c>
    </row>
    <row r="1705">
      <c r="A1705" t="n">
        <v>1704</v>
      </c>
      <c r="B1705">
        <f>IFERROR(INDEX(Segmen!$A$3:$A$6000,MATCH(C1705,Segmen!$D$3:$D$6000,0)),"")</f>
        <v/>
      </c>
      <c r="C1705">
        <f>IFERROR(LARGE(Segmen!$D$3:$D$6000,A1705),"")</f>
        <v/>
      </c>
    </row>
    <row r="1706">
      <c r="A1706" t="n">
        <v>1705</v>
      </c>
      <c r="B1706">
        <f>IFERROR(INDEX(Segmen!$A$3:$A$6000,MATCH(C1706,Segmen!$D$3:$D$6000,0)),"")</f>
        <v/>
      </c>
      <c r="C1706">
        <f>IFERROR(LARGE(Segmen!$D$3:$D$6000,A1706),"")</f>
        <v/>
      </c>
    </row>
    <row r="1707">
      <c r="A1707" t="n">
        <v>1706</v>
      </c>
      <c r="B1707">
        <f>IFERROR(INDEX(Segmen!$A$3:$A$6000,MATCH(C1707,Segmen!$D$3:$D$6000,0)),"")</f>
        <v/>
      </c>
      <c r="C1707">
        <f>IFERROR(LARGE(Segmen!$D$3:$D$6000,A1707),"")</f>
        <v/>
      </c>
    </row>
    <row r="1708">
      <c r="A1708" t="n">
        <v>1707</v>
      </c>
      <c r="B1708">
        <f>IFERROR(INDEX(Segmen!$A$3:$A$6000,MATCH(C1708,Segmen!$D$3:$D$6000,0)),"")</f>
        <v/>
      </c>
      <c r="C1708">
        <f>IFERROR(LARGE(Segmen!$D$3:$D$6000,A1708),"")</f>
        <v/>
      </c>
    </row>
    <row r="1709">
      <c r="A1709" t="n">
        <v>1708</v>
      </c>
      <c r="B1709">
        <f>IFERROR(INDEX(Segmen!$A$3:$A$6000,MATCH(C1709,Segmen!$D$3:$D$6000,0)),"")</f>
        <v/>
      </c>
      <c r="C1709">
        <f>IFERROR(LARGE(Segmen!$D$3:$D$6000,A1709),"")</f>
        <v/>
      </c>
    </row>
    <row r="1710">
      <c r="A1710" t="n">
        <v>1709</v>
      </c>
      <c r="B1710">
        <f>IFERROR(INDEX(Segmen!$A$3:$A$6000,MATCH(C1710,Segmen!$D$3:$D$6000,0)),"")</f>
        <v/>
      </c>
      <c r="C1710">
        <f>IFERROR(LARGE(Segmen!$D$3:$D$6000,A1710),"")</f>
        <v/>
      </c>
    </row>
    <row r="1711">
      <c r="A1711" t="n">
        <v>1710</v>
      </c>
      <c r="B1711">
        <f>IFERROR(INDEX(Segmen!$A$3:$A$6000,MATCH(C1711,Segmen!$D$3:$D$6000,0)),"")</f>
        <v/>
      </c>
      <c r="C1711">
        <f>IFERROR(LARGE(Segmen!$D$3:$D$6000,A1711),"")</f>
        <v/>
      </c>
    </row>
    <row r="1712">
      <c r="A1712" t="n">
        <v>1711</v>
      </c>
      <c r="B1712">
        <f>IFERROR(INDEX(Segmen!$A$3:$A$6000,MATCH(C1712,Segmen!$D$3:$D$6000,0)),"")</f>
        <v/>
      </c>
      <c r="C1712">
        <f>IFERROR(LARGE(Segmen!$D$3:$D$6000,A1712),"")</f>
        <v/>
      </c>
    </row>
    <row r="1713">
      <c r="A1713" t="n">
        <v>1712</v>
      </c>
      <c r="B1713">
        <f>IFERROR(INDEX(Segmen!$A$3:$A$6000,MATCH(C1713,Segmen!$D$3:$D$6000,0)),"")</f>
        <v/>
      </c>
      <c r="C1713">
        <f>IFERROR(LARGE(Segmen!$D$3:$D$6000,A1713),"")</f>
        <v/>
      </c>
    </row>
    <row r="1714">
      <c r="A1714" t="n">
        <v>1713</v>
      </c>
      <c r="B1714">
        <f>IFERROR(INDEX(Segmen!$A$3:$A$6000,MATCH(C1714,Segmen!$D$3:$D$6000,0)),"")</f>
        <v/>
      </c>
      <c r="C1714">
        <f>IFERROR(LARGE(Segmen!$D$3:$D$6000,A1714),"")</f>
        <v/>
      </c>
    </row>
    <row r="1715">
      <c r="A1715" t="n">
        <v>1714</v>
      </c>
      <c r="B1715">
        <f>IFERROR(INDEX(Segmen!$A$3:$A$6000,MATCH(C1715,Segmen!$D$3:$D$6000,0)),"")</f>
        <v/>
      </c>
      <c r="C1715">
        <f>IFERROR(LARGE(Segmen!$D$3:$D$6000,A1715),"")</f>
        <v/>
      </c>
    </row>
    <row r="1716">
      <c r="A1716" t="n">
        <v>1715</v>
      </c>
      <c r="B1716">
        <f>IFERROR(INDEX(Segmen!$A$3:$A$6000,MATCH(C1716,Segmen!$D$3:$D$6000,0)),"")</f>
        <v/>
      </c>
      <c r="C1716">
        <f>IFERROR(LARGE(Segmen!$D$3:$D$6000,A1716),"")</f>
        <v/>
      </c>
    </row>
    <row r="1717">
      <c r="A1717" t="n">
        <v>1716</v>
      </c>
      <c r="B1717">
        <f>IFERROR(INDEX(Segmen!$A$3:$A$6000,MATCH(C1717,Segmen!$D$3:$D$6000,0)),"")</f>
        <v/>
      </c>
      <c r="C1717">
        <f>IFERROR(LARGE(Segmen!$D$3:$D$6000,A1717),"")</f>
        <v/>
      </c>
    </row>
    <row r="1718">
      <c r="A1718" t="n">
        <v>1717</v>
      </c>
      <c r="B1718">
        <f>IFERROR(INDEX(Segmen!$A$3:$A$6000,MATCH(C1718,Segmen!$D$3:$D$6000,0)),"")</f>
        <v/>
      </c>
      <c r="C1718">
        <f>IFERROR(LARGE(Segmen!$D$3:$D$6000,A1718),"")</f>
        <v/>
      </c>
    </row>
    <row r="1719">
      <c r="A1719" t="n">
        <v>1718</v>
      </c>
      <c r="B1719">
        <f>IFERROR(INDEX(Segmen!$A$3:$A$6000,MATCH(C1719,Segmen!$D$3:$D$6000,0)),"")</f>
        <v/>
      </c>
      <c r="C1719">
        <f>IFERROR(LARGE(Segmen!$D$3:$D$6000,A1719),"")</f>
        <v/>
      </c>
    </row>
    <row r="1720">
      <c r="A1720" t="n">
        <v>1719</v>
      </c>
      <c r="B1720">
        <f>IFERROR(INDEX(Segmen!$A$3:$A$6000,MATCH(C1720,Segmen!$D$3:$D$6000,0)),"")</f>
        <v/>
      </c>
      <c r="C1720">
        <f>IFERROR(LARGE(Segmen!$D$3:$D$6000,A1720),"")</f>
        <v/>
      </c>
    </row>
    <row r="1721">
      <c r="A1721" t="n">
        <v>1720</v>
      </c>
      <c r="B1721">
        <f>IFERROR(INDEX(Segmen!$A$3:$A$6000,MATCH(C1721,Segmen!$D$3:$D$6000,0)),"")</f>
        <v/>
      </c>
      <c r="C1721">
        <f>IFERROR(LARGE(Segmen!$D$3:$D$6000,A1721),"")</f>
        <v/>
      </c>
    </row>
    <row r="1722">
      <c r="A1722" t="n">
        <v>1721</v>
      </c>
      <c r="B1722">
        <f>IFERROR(INDEX(Segmen!$A$3:$A$6000,MATCH(C1722,Segmen!$D$3:$D$6000,0)),"")</f>
        <v/>
      </c>
      <c r="C1722">
        <f>IFERROR(LARGE(Segmen!$D$3:$D$6000,A1722),"")</f>
        <v/>
      </c>
    </row>
    <row r="1723">
      <c r="A1723" t="n">
        <v>1722</v>
      </c>
      <c r="B1723">
        <f>IFERROR(INDEX(Segmen!$A$3:$A$6000,MATCH(C1723,Segmen!$D$3:$D$6000,0)),"")</f>
        <v/>
      </c>
      <c r="C1723">
        <f>IFERROR(LARGE(Segmen!$D$3:$D$6000,A1723),"")</f>
        <v/>
      </c>
    </row>
    <row r="1724">
      <c r="A1724" t="n">
        <v>1723</v>
      </c>
      <c r="B1724">
        <f>IFERROR(INDEX(Segmen!$A$3:$A$6000,MATCH(C1724,Segmen!$D$3:$D$6000,0)),"")</f>
        <v/>
      </c>
      <c r="C1724">
        <f>IFERROR(LARGE(Segmen!$D$3:$D$6000,A1724),"")</f>
        <v/>
      </c>
    </row>
    <row r="1725">
      <c r="A1725" t="n">
        <v>1724</v>
      </c>
      <c r="B1725">
        <f>IFERROR(INDEX(Segmen!$A$3:$A$6000,MATCH(C1725,Segmen!$D$3:$D$6000,0)),"")</f>
        <v/>
      </c>
      <c r="C1725">
        <f>IFERROR(LARGE(Segmen!$D$3:$D$6000,A1725),"")</f>
        <v/>
      </c>
    </row>
    <row r="1726">
      <c r="A1726" t="n">
        <v>1725</v>
      </c>
      <c r="B1726">
        <f>IFERROR(INDEX(Segmen!$A$3:$A$6000,MATCH(C1726,Segmen!$D$3:$D$6000,0)),"")</f>
        <v/>
      </c>
      <c r="C1726">
        <f>IFERROR(LARGE(Segmen!$D$3:$D$6000,A1726),"")</f>
        <v/>
      </c>
    </row>
    <row r="1727">
      <c r="A1727" t="n">
        <v>1726</v>
      </c>
      <c r="B1727">
        <f>IFERROR(INDEX(Segmen!$A$3:$A$6000,MATCH(C1727,Segmen!$D$3:$D$6000,0)),"")</f>
        <v/>
      </c>
      <c r="C1727">
        <f>IFERROR(LARGE(Segmen!$D$3:$D$6000,A1727),"")</f>
        <v/>
      </c>
    </row>
    <row r="1728">
      <c r="A1728" t="n">
        <v>1727</v>
      </c>
      <c r="B1728">
        <f>IFERROR(INDEX(Segmen!$A$3:$A$6000,MATCH(C1728,Segmen!$D$3:$D$6000,0)),"")</f>
        <v/>
      </c>
      <c r="C1728">
        <f>IFERROR(LARGE(Segmen!$D$3:$D$6000,A1728),"")</f>
        <v/>
      </c>
    </row>
    <row r="1729">
      <c r="A1729" t="n">
        <v>1728</v>
      </c>
      <c r="B1729">
        <f>IFERROR(INDEX(Segmen!$A$3:$A$6000,MATCH(C1729,Segmen!$D$3:$D$6000,0)),"")</f>
        <v/>
      </c>
      <c r="C1729">
        <f>IFERROR(LARGE(Segmen!$D$3:$D$6000,A1729),"")</f>
        <v/>
      </c>
    </row>
    <row r="1730">
      <c r="A1730" t="n">
        <v>1729</v>
      </c>
      <c r="B1730">
        <f>IFERROR(INDEX(Segmen!$A$3:$A$6000,MATCH(C1730,Segmen!$D$3:$D$6000,0)),"")</f>
        <v/>
      </c>
      <c r="C1730">
        <f>IFERROR(LARGE(Segmen!$D$3:$D$6000,A1730),"")</f>
        <v/>
      </c>
    </row>
    <row r="1731">
      <c r="A1731" t="n">
        <v>1730</v>
      </c>
      <c r="B1731">
        <f>IFERROR(INDEX(Segmen!$A$3:$A$6000,MATCH(C1731,Segmen!$D$3:$D$6000,0)),"")</f>
        <v/>
      </c>
      <c r="C1731">
        <f>IFERROR(LARGE(Segmen!$D$3:$D$6000,A1731),"")</f>
        <v/>
      </c>
    </row>
    <row r="1732">
      <c r="A1732" t="n">
        <v>1731</v>
      </c>
      <c r="B1732">
        <f>IFERROR(INDEX(Segmen!$A$3:$A$6000,MATCH(C1732,Segmen!$D$3:$D$6000,0)),"")</f>
        <v/>
      </c>
      <c r="C1732">
        <f>IFERROR(LARGE(Segmen!$D$3:$D$6000,A1732),"")</f>
        <v/>
      </c>
    </row>
    <row r="1733">
      <c r="A1733" t="n">
        <v>1732</v>
      </c>
      <c r="B1733">
        <f>IFERROR(INDEX(Segmen!$A$3:$A$6000,MATCH(C1733,Segmen!$D$3:$D$6000,0)),"")</f>
        <v/>
      </c>
      <c r="C1733">
        <f>IFERROR(LARGE(Segmen!$D$3:$D$6000,A1733),"")</f>
        <v/>
      </c>
    </row>
    <row r="1734">
      <c r="A1734" t="n">
        <v>1733</v>
      </c>
      <c r="B1734">
        <f>IFERROR(INDEX(Segmen!$A$3:$A$6000,MATCH(C1734,Segmen!$D$3:$D$6000,0)),"")</f>
        <v/>
      </c>
      <c r="C1734">
        <f>IFERROR(LARGE(Segmen!$D$3:$D$6000,A1734),"")</f>
        <v/>
      </c>
    </row>
    <row r="1735">
      <c r="A1735" t="n">
        <v>1734</v>
      </c>
      <c r="B1735">
        <f>IFERROR(INDEX(Segmen!$A$3:$A$6000,MATCH(C1735,Segmen!$D$3:$D$6000,0)),"")</f>
        <v/>
      </c>
      <c r="C1735">
        <f>IFERROR(LARGE(Segmen!$D$3:$D$6000,A1735),"")</f>
        <v/>
      </c>
    </row>
    <row r="1736">
      <c r="A1736" t="n">
        <v>1735</v>
      </c>
      <c r="B1736">
        <f>IFERROR(INDEX(Segmen!$A$3:$A$6000,MATCH(C1736,Segmen!$D$3:$D$6000,0)),"")</f>
        <v/>
      </c>
      <c r="C1736">
        <f>IFERROR(LARGE(Segmen!$D$3:$D$6000,A1736),"")</f>
        <v/>
      </c>
    </row>
    <row r="1737">
      <c r="A1737" t="n">
        <v>1736</v>
      </c>
      <c r="B1737">
        <f>IFERROR(INDEX(Segmen!$A$3:$A$6000,MATCH(C1737,Segmen!$D$3:$D$6000,0)),"")</f>
        <v/>
      </c>
      <c r="C1737">
        <f>IFERROR(LARGE(Segmen!$D$3:$D$6000,A1737),"")</f>
        <v/>
      </c>
    </row>
    <row r="1738">
      <c r="A1738" t="n">
        <v>1737</v>
      </c>
      <c r="B1738">
        <f>IFERROR(INDEX(Segmen!$A$3:$A$6000,MATCH(C1738,Segmen!$D$3:$D$6000,0)),"")</f>
        <v/>
      </c>
      <c r="C1738">
        <f>IFERROR(LARGE(Segmen!$D$3:$D$6000,A1738),"")</f>
        <v/>
      </c>
    </row>
    <row r="1739">
      <c r="A1739" t="n">
        <v>1738</v>
      </c>
      <c r="B1739">
        <f>IFERROR(INDEX(Segmen!$A$3:$A$6000,MATCH(C1739,Segmen!$D$3:$D$6000,0)),"")</f>
        <v/>
      </c>
      <c r="C1739">
        <f>IFERROR(LARGE(Segmen!$D$3:$D$6000,A1739),"")</f>
        <v/>
      </c>
    </row>
    <row r="1740">
      <c r="A1740" t="n">
        <v>1739</v>
      </c>
      <c r="B1740">
        <f>IFERROR(INDEX(Segmen!$A$3:$A$6000,MATCH(C1740,Segmen!$D$3:$D$6000,0)),"")</f>
        <v/>
      </c>
      <c r="C1740">
        <f>IFERROR(LARGE(Segmen!$D$3:$D$6000,A1740),"")</f>
        <v/>
      </c>
    </row>
    <row r="1741">
      <c r="A1741" t="n">
        <v>1740</v>
      </c>
      <c r="B1741">
        <f>IFERROR(INDEX(Segmen!$A$3:$A$6000,MATCH(C1741,Segmen!$D$3:$D$6000,0)),"")</f>
        <v/>
      </c>
      <c r="C1741">
        <f>IFERROR(LARGE(Segmen!$D$3:$D$6000,A1741),"")</f>
        <v/>
      </c>
    </row>
    <row r="1742">
      <c r="A1742" t="n">
        <v>1741</v>
      </c>
      <c r="B1742">
        <f>IFERROR(INDEX(Segmen!$A$3:$A$6000,MATCH(C1742,Segmen!$D$3:$D$6000,0)),"")</f>
        <v/>
      </c>
      <c r="C1742">
        <f>IFERROR(LARGE(Segmen!$D$3:$D$6000,A1742),"")</f>
        <v/>
      </c>
    </row>
    <row r="1743">
      <c r="A1743" t="n">
        <v>1742</v>
      </c>
      <c r="B1743">
        <f>IFERROR(INDEX(Segmen!$A$3:$A$6000,MATCH(C1743,Segmen!$D$3:$D$6000,0)),"")</f>
        <v/>
      </c>
      <c r="C1743">
        <f>IFERROR(LARGE(Segmen!$D$3:$D$6000,A1743),"")</f>
        <v/>
      </c>
    </row>
    <row r="1744">
      <c r="A1744" t="n">
        <v>1743</v>
      </c>
      <c r="B1744">
        <f>IFERROR(INDEX(Segmen!$A$3:$A$6000,MATCH(C1744,Segmen!$D$3:$D$6000,0)),"")</f>
        <v/>
      </c>
      <c r="C1744">
        <f>IFERROR(LARGE(Segmen!$D$3:$D$6000,A1744),"")</f>
        <v/>
      </c>
    </row>
    <row r="1745">
      <c r="A1745" t="n">
        <v>1744</v>
      </c>
      <c r="B1745">
        <f>IFERROR(INDEX(Segmen!$A$3:$A$6000,MATCH(C1745,Segmen!$D$3:$D$6000,0)),"")</f>
        <v/>
      </c>
      <c r="C1745">
        <f>IFERROR(LARGE(Segmen!$D$3:$D$6000,A1745),"")</f>
        <v/>
      </c>
    </row>
    <row r="1746">
      <c r="A1746" t="n">
        <v>1745</v>
      </c>
      <c r="B1746">
        <f>IFERROR(INDEX(Segmen!$A$3:$A$6000,MATCH(C1746,Segmen!$D$3:$D$6000,0)),"")</f>
        <v/>
      </c>
      <c r="C1746">
        <f>IFERROR(LARGE(Segmen!$D$3:$D$6000,A1746),"")</f>
        <v/>
      </c>
    </row>
    <row r="1747">
      <c r="A1747" t="n">
        <v>1746</v>
      </c>
      <c r="B1747">
        <f>IFERROR(INDEX(Segmen!$A$3:$A$6000,MATCH(C1747,Segmen!$D$3:$D$6000,0)),"")</f>
        <v/>
      </c>
      <c r="C1747">
        <f>IFERROR(LARGE(Segmen!$D$3:$D$6000,A1747),"")</f>
        <v/>
      </c>
    </row>
    <row r="1748">
      <c r="A1748" t="n">
        <v>1747</v>
      </c>
      <c r="B1748">
        <f>IFERROR(INDEX(Segmen!$A$3:$A$6000,MATCH(C1748,Segmen!$D$3:$D$6000,0)),"")</f>
        <v/>
      </c>
      <c r="C1748">
        <f>IFERROR(LARGE(Segmen!$D$3:$D$6000,A1748),"")</f>
        <v/>
      </c>
    </row>
    <row r="1749">
      <c r="A1749" t="n">
        <v>1748</v>
      </c>
      <c r="B1749">
        <f>IFERROR(INDEX(Segmen!$A$3:$A$6000,MATCH(C1749,Segmen!$D$3:$D$6000,0)),"")</f>
        <v/>
      </c>
      <c r="C1749">
        <f>IFERROR(LARGE(Segmen!$D$3:$D$6000,A1749),"")</f>
        <v/>
      </c>
    </row>
    <row r="1750">
      <c r="A1750" t="n">
        <v>1749</v>
      </c>
      <c r="B1750">
        <f>IFERROR(INDEX(Segmen!$A$3:$A$6000,MATCH(C1750,Segmen!$D$3:$D$6000,0)),"")</f>
        <v/>
      </c>
      <c r="C1750">
        <f>IFERROR(LARGE(Segmen!$D$3:$D$6000,A1750),"")</f>
        <v/>
      </c>
    </row>
    <row r="1751">
      <c r="A1751" t="n">
        <v>1750</v>
      </c>
      <c r="B1751">
        <f>IFERROR(INDEX(Segmen!$A$3:$A$6000,MATCH(C1751,Segmen!$D$3:$D$6000,0)),"")</f>
        <v/>
      </c>
      <c r="C1751">
        <f>IFERROR(LARGE(Segmen!$D$3:$D$6000,A1751),"")</f>
        <v/>
      </c>
    </row>
    <row r="1752">
      <c r="A1752" t="n">
        <v>1751</v>
      </c>
      <c r="B1752">
        <f>IFERROR(INDEX(Segmen!$A$3:$A$6000,MATCH(C1752,Segmen!$D$3:$D$6000,0)),"")</f>
        <v/>
      </c>
      <c r="C1752">
        <f>IFERROR(LARGE(Segmen!$D$3:$D$6000,A1752),"")</f>
        <v/>
      </c>
    </row>
    <row r="1753">
      <c r="A1753" t="n">
        <v>1752</v>
      </c>
      <c r="B1753">
        <f>IFERROR(INDEX(Segmen!$A$3:$A$6000,MATCH(C1753,Segmen!$D$3:$D$6000,0)),"")</f>
        <v/>
      </c>
      <c r="C1753">
        <f>IFERROR(LARGE(Segmen!$D$3:$D$6000,A1753),"")</f>
        <v/>
      </c>
    </row>
    <row r="1754">
      <c r="A1754" t="n">
        <v>1753</v>
      </c>
      <c r="B1754">
        <f>IFERROR(INDEX(Segmen!$A$3:$A$6000,MATCH(C1754,Segmen!$D$3:$D$6000,0)),"")</f>
        <v/>
      </c>
      <c r="C1754">
        <f>IFERROR(LARGE(Segmen!$D$3:$D$6000,A1754),"")</f>
        <v/>
      </c>
    </row>
    <row r="1755">
      <c r="A1755" t="n">
        <v>1754</v>
      </c>
      <c r="B1755">
        <f>IFERROR(INDEX(Segmen!$A$3:$A$6000,MATCH(C1755,Segmen!$D$3:$D$6000,0)),"")</f>
        <v/>
      </c>
      <c r="C1755">
        <f>IFERROR(LARGE(Segmen!$D$3:$D$6000,A1755),"")</f>
        <v/>
      </c>
    </row>
    <row r="1756">
      <c r="A1756" t="n">
        <v>1755</v>
      </c>
      <c r="B1756">
        <f>IFERROR(INDEX(Segmen!$A$3:$A$6000,MATCH(C1756,Segmen!$D$3:$D$6000,0)),"")</f>
        <v/>
      </c>
      <c r="C1756">
        <f>IFERROR(LARGE(Segmen!$D$3:$D$6000,A1756),"")</f>
        <v/>
      </c>
    </row>
    <row r="1757">
      <c r="A1757" t="n">
        <v>1756</v>
      </c>
      <c r="B1757">
        <f>IFERROR(INDEX(Segmen!$A$3:$A$6000,MATCH(C1757,Segmen!$D$3:$D$6000,0)),"")</f>
        <v/>
      </c>
      <c r="C1757">
        <f>IFERROR(LARGE(Segmen!$D$3:$D$6000,A1757),"")</f>
        <v/>
      </c>
    </row>
    <row r="1758">
      <c r="A1758" t="n">
        <v>1757</v>
      </c>
      <c r="B1758">
        <f>IFERROR(INDEX(Segmen!$A$3:$A$6000,MATCH(C1758,Segmen!$D$3:$D$6000,0)),"")</f>
        <v/>
      </c>
      <c r="C1758">
        <f>IFERROR(LARGE(Segmen!$D$3:$D$6000,A1758),"")</f>
        <v/>
      </c>
    </row>
    <row r="1759">
      <c r="A1759" t="n">
        <v>1758</v>
      </c>
      <c r="B1759">
        <f>IFERROR(INDEX(Segmen!$A$3:$A$6000,MATCH(C1759,Segmen!$D$3:$D$6000,0)),"")</f>
        <v/>
      </c>
      <c r="C1759">
        <f>IFERROR(LARGE(Segmen!$D$3:$D$6000,A1759),"")</f>
        <v/>
      </c>
    </row>
    <row r="1760">
      <c r="A1760" t="n">
        <v>1759</v>
      </c>
      <c r="B1760">
        <f>IFERROR(INDEX(Segmen!$A$3:$A$6000,MATCH(C1760,Segmen!$D$3:$D$6000,0)),"")</f>
        <v/>
      </c>
      <c r="C1760">
        <f>IFERROR(LARGE(Segmen!$D$3:$D$6000,A1760),"")</f>
        <v/>
      </c>
    </row>
    <row r="1761">
      <c r="A1761" t="n">
        <v>1760</v>
      </c>
      <c r="B1761">
        <f>IFERROR(INDEX(Segmen!$A$3:$A$6000,MATCH(C1761,Segmen!$D$3:$D$6000,0)),"")</f>
        <v/>
      </c>
      <c r="C1761">
        <f>IFERROR(LARGE(Segmen!$D$3:$D$6000,A1761),"")</f>
        <v/>
      </c>
    </row>
    <row r="1762">
      <c r="A1762" t="n">
        <v>1761</v>
      </c>
      <c r="B1762">
        <f>IFERROR(INDEX(Segmen!$A$3:$A$6000,MATCH(C1762,Segmen!$D$3:$D$6000,0)),"")</f>
        <v/>
      </c>
      <c r="C1762">
        <f>IFERROR(LARGE(Segmen!$D$3:$D$6000,A1762),"")</f>
        <v/>
      </c>
    </row>
    <row r="1763">
      <c r="A1763" t="n">
        <v>1762</v>
      </c>
      <c r="B1763">
        <f>IFERROR(INDEX(Segmen!$A$3:$A$6000,MATCH(C1763,Segmen!$D$3:$D$6000,0)),"")</f>
        <v/>
      </c>
      <c r="C1763">
        <f>IFERROR(LARGE(Segmen!$D$3:$D$6000,A1763),"")</f>
        <v/>
      </c>
    </row>
    <row r="1764">
      <c r="A1764" t="n">
        <v>1763</v>
      </c>
      <c r="B1764">
        <f>IFERROR(INDEX(Segmen!$A$3:$A$6000,MATCH(C1764,Segmen!$D$3:$D$6000,0)),"")</f>
        <v/>
      </c>
      <c r="C1764">
        <f>IFERROR(LARGE(Segmen!$D$3:$D$6000,A1764),"")</f>
        <v/>
      </c>
    </row>
    <row r="1765">
      <c r="A1765" t="n">
        <v>1764</v>
      </c>
      <c r="B1765">
        <f>IFERROR(INDEX(Segmen!$A$3:$A$6000,MATCH(C1765,Segmen!$D$3:$D$6000,0)),"")</f>
        <v/>
      </c>
      <c r="C1765">
        <f>IFERROR(LARGE(Segmen!$D$3:$D$6000,A1765),"")</f>
        <v/>
      </c>
    </row>
    <row r="1766">
      <c r="A1766" t="n">
        <v>1765</v>
      </c>
      <c r="B1766">
        <f>IFERROR(INDEX(Segmen!$A$3:$A$6000,MATCH(C1766,Segmen!$D$3:$D$6000,0)),"")</f>
        <v/>
      </c>
      <c r="C1766">
        <f>IFERROR(LARGE(Segmen!$D$3:$D$6000,A1766),"")</f>
        <v/>
      </c>
    </row>
    <row r="1767">
      <c r="A1767" t="n">
        <v>1766</v>
      </c>
      <c r="B1767">
        <f>IFERROR(INDEX(Segmen!$A$3:$A$6000,MATCH(C1767,Segmen!$D$3:$D$6000,0)),"")</f>
        <v/>
      </c>
      <c r="C1767">
        <f>IFERROR(LARGE(Segmen!$D$3:$D$6000,A1767),"")</f>
        <v/>
      </c>
    </row>
    <row r="1768">
      <c r="A1768" t="n">
        <v>1767</v>
      </c>
      <c r="B1768">
        <f>IFERROR(INDEX(Segmen!$A$3:$A$6000,MATCH(C1768,Segmen!$D$3:$D$6000,0)),"")</f>
        <v/>
      </c>
      <c r="C1768">
        <f>IFERROR(LARGE(Segmen!$D$3:$D$6000,A1768),"")</f>
        <v/>
      </c>
    </row>
    <row r="1769">
      <c r="A1769" t="n">
        <v>1768</v>
      </c>
      <c r="B1769">
        <f>IFERROR(INDEX(Segmen!$A$3:$A$6000,MATCH(C1769,Segmen!$D$3:$D$6000,0)),"")</f>
        <v/>
      </c>
      <c r="C1769">
        <f>IFERROR(LARGE(Segmen!$D$3:$D$6000,A1769),"")</f>
        <v/>
      </c>
    </row>
    <row r="1770">
      <c r="A1770" t="n">
        <v>1769</v>
      </c>
      <c r="B1770">
        <f>IFERROR(INDEX(Segmen!$A$3:$A$6000,MATCH(C1770,Segmen!$D$3:$D$6000,0)),"")</f>
        <v/>
      </c>
      <c r="C1770">
        <f>IFERROR(LARGE(Segmen!$D$3:$D$6000,A1770),"")</f>
        <v/>
      </c>
    </row>
    <row r="1771">
      <c r="A1771" t="n">
        <v>1770</v>
      </c>
      <c r="B1771">
        <f>IFERROR(INDEX(Segmen!$A$3:$A$6000,MATCH(C1771,Segmen!$D$3:$D$6000,0)),"")</f>
        <v/>
      </c>
      <c r="C1771">
        <f>IFERROR(LARGE(Segmen!$D$3:$D$6000,A1771),"")</f>
        <v/>
      </c>
    </row>
    <row r="1772">
      <c r="A1772" t="n">
        <v>1771</v>
      </c>
      <c r="B1772">
        <f>IFERROR(INDEX(Segmen!$A$3:$A$6000,MATCH(C1772,Segmen!$D$3:$D$6000,0)),"")</f>
        <v/>
      </c>
      <c r="C1772">
        <f>IFERROR(LARGE(Segmen!$D$3:$D$6000,A1772),"")</f>
        <v/>
      </c>
    </row>
    <row r="1773">
      <c r="A1773" t="n">
        <v>1772</v>
      </c>
      <c r="B1773">
        <f>IFERROR(INDEX(Segmen!$A$3:$A$6000,MATCH(C1773,Segmen!$D$3:$D$6000,0)),"")</f>
        <v/>
      </c>
      <c r="C1773">
        <f>IFERROR(LARGE(Segmen!$D$3:$D$6000,A1773),"")</f>
        <v/>
      </c>
    </row>
    <row r="1774">
      <c r="A1774" t="n">
        <v>1773</v>
      </c>
      <c r="B1774">
        <f>IFERROR(INDEX(Segmen!$A$3:$A$6000,MATCH(C1774,Segmen!$D$3:$D$6000,0)),"")</f>
        <v/>
      </c>
      <c r="C1774">
        <f>IFERROR(LARGE(Segmen!$D$3:$D$6000,A1774),"")</f>
        <v/>
      </c>
    </row>
    <row r="1775">
      <c r="A1775" t="n">
        <v>1774</v>
      </c>
      <c r="B1775">
        <f>IFERROR(INDEX(Segmen!$A$3:$A$6000,MATCH(C1775,Segmen!$D$3:$D$6000,0)),"")</f>
        <v/>
      </c>
      <c r="C1775">
        <f>IFERROR(LARGE(Segmen!$D$3:$D$6000,A1775),"")</f>
        <v/>
      </c>
    </row>
    <row r="1776">
      <c r="A1776" t="n">
        <v>1775</v>
      </c>
      <c r="B1776">
        <f>IFERROR(INDEX(Segmen!$A$3:$A$6000,MATCH(C1776,Segmen!$D$3:$D$6000,0)),"")</f>
        <v/>
      </c>
      <c r="C1776">
        <f>IFERROR(LARGE(Segmen!$D$3:$D$6000,A1776),"")</f>
        <v/>
      </c>
    </row>
    <row r="1777">
      <c r="A1777" t="n">
        <v>1776</v>
      </c>
      <c r="B1777">
        <f>IFERROR(INDEX(Segmen!$A$3:$A$6000,MATCH(C1777,Segmen!$D$3:$D$6000,0)),"")</f>
        <v/>
      </c>
      <c r="C1777">
        <f>IFERROR(LARGE(Segmen!$D$3:$D$6000,A1777),"")</f>
        <v/>
      </c>
    </row>
    <row r="1778">
      <c r="A1778" t="n">
        <v>1777</v>
      </c>
      <c r="B1778">
        <f>IFERROR(INDEX(Segmen!$A$3:$A$6000,MATCH(C1778,Segmen!$D$3:$D$6000,0)),"")</f>
        <v/>
      </c>
      <c r="C1778">
        <f>IFERROR(LARGE(Segmen!$D$3:$D$6000,A1778),"")</f>
        <v/>
      </c>
    </row>
    <row r="1779">
      <c r="A1779" t="n">
        <v>1778</v>
      </c>
      <c r="B1779">
        <f>IFERROR(INDEX(Segmen!$A$3:$A$6000,MATCH(C1779,Segmen!$D$3:$D$6000,0)),"")</f>
        <v/>
      </c>
      <c r="C1779">
        <f>IFERROR(LARGE(Segmen!$D$3:$D$6000,A1779),"")</f>
        <v/>
      </c>
    </row>
    <row r="1780">
      <c r="A1780" t="n">
        <v>1779</v>
      </c>
      <c r="B1780">
        <f>IFERROR(INDEX(Segmen!$A$3:$A$6000,MATCH(C1780,Segmen!$D$3:$D$6000,0)),"")</f>
        <v/>
      </c>
      <c r="C1780">
        <f>IFERROR(LARGE(Segmen!$D$3:$D$6000,A1780),"")</f>
        <v/>
      </c>
    </row>
    <row r="1781">
      <c r="A1781" t="n">
        <v>1780</v>
      </c>
      <c r="B1781">
        <f>IFERROR(INDEX(Segmen!$A$3:$A$6000,MATCH(C1781,Segmen!$D$3:$D$6000,0)),"")</f>
        <v/>
      </c>
      <c r="C1781">
        <f>IFERROR(LARGE(Segmen!$D$3:$D$6000,A1781),"")</f>
        <v/>
      </c>
    </row>
    <row r="1782">
      <c r="A1782" t="n">
        <v>1781</v>
      </c>
      <c r="B1782">
        <f>IFERROR(INDEX(Segmen!$A$3:$A$6000,MATCH(C1782,Segmen!$D$3:$D$6000,0)),"")</f>
        <v/>
      </c>
      <c r="C1782">
        <f>IFERROR(LARGE(Segmen!$D$3:$D$6000,A1782),"")</f>
        <v/>
      </c>
    </row>
    <row r="1783">
      <c r="A1783" t="n">
        <v>1782</v>
      </c>
      <c r="B1783">
        <f>IFERROR(INDEX(Segmen!$A$3:$A$6000,MATCH(C1783,Segmen!$D$3:$D$6000,0)),"")</f>
        <v/>
      </c>
      <c r="C1783">
        <f>IFERROR(LARGE(Segmen!$D$3:$D$6000,A1783),"")</f>
        <v/>
      </c>
    </row>
    <row r="1784">
      <c r="A1784" t="n">
        <v>1783</v>
      </c>
      <c r="B1784">
        <f>IFERROR(INDEX(Segmen!$A$3:$A$6000,MATCH(C1784,Segmen!$D$3:$D$6000,0)),"")</f>
        <v/>
      </c>
      <c r="C1784">
        <f>IFERROR(LARGE(Segmen!$D$3:$D$6000,A1784),"")</f>
        <v/>
      </c>
    </row>
    <row r="1785">
      <c r="A1785" t="n">
        <v>1784</v>
      </c>
      <c r="B1785">
        <f>IFERROR(INDEX(Segmen!$A$3:$A$6000,MATCH(C1785,Segmen!$D$3:$D$6000,0)),"")</f>
        <v/>
      </c>
      <c r="C1785">
        <f>IFERROR(LARGE(Segmen!$D$3:$D$6000,A1785),"")</f>
        <v/>
      </c>
    </row>
    <row r="1786">
      <c r="A1786" t="n">
        <v>1785</v>
      </c>
      <c r="B1786">
        <f>IFERROR(INDEX(Segmen!$A$3:$A$6000,MATCH(C1786,Segmen!$D$3:$D$6000,0)),"")</f>
        <v/>
      </c>
      <c r="C1786">
        <f>IFERROR(LARGE(Segmen!$D$3:$D$6000,A1786),"")</f>
        <v/>
      </c>
    </row>
    <row r="1787">
      <c r="A1787" t="n">
        <v>1786</v>
      </c>
      <c r="B1787">
        <f>IFERROR(INDEX(Segmen!$A$3:$A$6000,MATCH(C1787,Segmen!$D$3:$D$6000,0)),"")</f>
        <v/>
      </c>
      <c r="C1787">
        <f>IFERROR(LARGE(Segmen!$D$3:$D$6000,A1787),"")</f>
        <v/>
      </c>
    </row>
    <row r="1788">
      <c r="A1788" t="n">
        <v>1787</v>
      </c>
      <c r="B1788">
        <f>IFERROR(INDEX(Segmen!$A$3:$A$6000,MATCH(C1788,Segmen!$D$3:$D$6000,0)),"")</f>
        <v/>
      </c>
      <c r="C1788">
        <f>IFERROR(LARGE(Segmen!$D$3:$D$6000,A1788),"")</f>
        <v/>
      </c>
    </row>
    <row r="1789">
      <c r="A1789" t="n">
        <v>1788</v>
      </c>
      <c r="B1789">
        <f>IFERROR(INDEX(Segmen!$A$3:$A$6000,MATCH(C1789,Segmen!$D$3:$D$6000,0)),"")</f>
        <v/>
      </c>
      <c r="C1789">
        <f>IFERROR(LARGE(Segmen!$D$3:$D$6000,A1789),"")</f>
        <v/>
      </c>
    </row>
    <row r="1790">
      <c r="A1790" t="n">
        <v>1789</v>
      </c>
      <c r="B1790">
        <f>IFERROR(INDEX(Segmen!$A$3:$A$6000,MATCH(C1790,Segmen!$D$3:$D$6000,0)),"")</f>
        <v/>
      </c>
      <c r="C1790">
        <f>IFERROR(LARGE(Segmen!$D$3:$D$6000,A1790),"")</f>
        <v/>
      </c>
    </row>
    <row r="1791">
      <c r="A1791" t="n">
        <v>1790</v>
      </c>
      <c r="B1791">
        <f>IFERROR(INDEX(Segmen!$A$3:$A$6000,MATCH(C1791,Segmen!$D$3:$D$6000,0)),"")</f>
        <v/>
      </c>
      <c r="C1791">
        <f>IFERROR(LARGE(Segmen!$D$3:$D$6000,A1791),"")</f>
        <v/>
      </c>
    </row>
    <row r="1792">
      <c r="A1792" t="n">
        <v>1791</v>
      </c>
      <c r="B1792">
        <f>IFERROR(INDEX(Segmen!$A$3:$A$6000,MATCH(C1792,Segmen!$D$3:$D$6000,0)),"")</f>
        <v/>
      </c>
      <c r="C1792">
        <f>IFERROR(LARGE(Segmen!$D$3:$D$6000,A1792),"")</f>
        <v/>
      </c>
    </row>
    <row r="1793">
      <c r="A1793" t="n">
        <v>1792</v>
      </c>
      <c r="B1793">
        <f>IFERROR(INDEX(Segmen!$A$3:$A$6000,MATCH(C1793,Segmen!$D$3:$D$6000,0)),"")</f>
        <v/>
      </c>
      <c r="C1793">
        <f>IFERROR(LARGE(Segmen!$D$3:$D$6000,A1793),"")</f>
        <v/>
      </c>
    </row>
    <row r="1794">
      <c r="A1794" t="n">
        <v>1793</v>
      </c>
      <c r="B1794">
        <f>IFERROR(INDEX(Segmen!$A$3:$A$6000,MATCH(C1794,Segmen!$D$3:$D$6000,0)),"")</f>
        <v/>
      </c>
      <c r="C1794">
        <f>IFERROR(LARGE(Segmen!$D$3:$D$6000,A1794),"")</f>
        <v/>
      </c>
    </row>
    <row r="1795">
      <c r="A1795" t="n">
        <v>1794</v>
      </c>
      <c r="B1795">
        <f>IFERROR(INDEX(Segmen!$A$3:$A$6000,MATCH(C1795,Segmen!$D$3:$D$6000,0)),"")</f>
        <v/>
      </c>
      <c r="C1795">
        <f>IFERROR(LARGE(Segmen!$D$3:$D$6000,A1795),"")</f>
        <v/>
      </c>
    </row>
    <row r="1796">
      <c r="A1796" t="n">
        <v>1795</v>
      </c>
      <c r="B1796">
        <f>IFERROR(INDEX(Segmen!$A$3:$A$6000,MATCH(C1796,Segmen!$D$3:$D$6000,0)),"")</f>
        <v/>
      </c>
      <c r="C1796">
        <f>IFERROR(LARGE(Segmen!$D$3:$D$6000,A1796),"")</f>
        <v/>
      </c>
    </row>
    <row r="1797">
      <c r="A1797" t="n">
        <v>1796</v>
      </c>
      <c r="B1797">
        <f>IFERROR(INDEX(Segmen!$A$3:$A$6000,MATCH(C1797,Segmen!$D$3:$D$6000,0)),"")</f>
        <v/>
      </c>
      <c r="C1797">
        <f>IFERROR(LARGE(Segmen!$D$3:$D$6000,A1797),"")</f>
        <v/>
      </c>
    </row>
    <row r="1798">
      <c r="A1798" t="n">
        <v>1797</v>
      </c>
      <c r="B1798">
        <f>IFERROR(INDEX(Segmen!$A$3:$A$6000,MATCH(C1798,Segmen!$D$3:$D$6000,0)),"")</f>
        <v/>
      </c>
      <c r="C1798">
        <f>IFERROR(LARGE(Segmen!$D$3:$D$6000,A1798),"")</f>
        <v/>
      </c>
    </row>
    <row r="1799">
      <c r="A1799" t="n">
        <v>1798</v>
      </c>
      <c r="B1799">
        <f>IFERROR(INDEX(Segmen!$A$3:$A$6000,MATCH(C1799,Segmen!$D$3:$D$6000,0)),"")</f>
        <v/>
      </c>
      <c r="C1799">
        <f>IFERROR(LARGE(Segmen!$D$3:$D$6000,A1799),"")</f>
        <v/>
      </c>
    </row>
    <row r="1800">
      <c r="A1800" t="n">
        <v>1799</v>
      </c>
      <c r="B1800">
        <f>IFERROR(INDEX(Segmen!$A$3:$A$6000,MATCH(C1800,Segmen!$D$3:$D$6000,0)),"")</f>
        <v/>
      </c>
      <c r="C1800">
        <f>IFERROR(LARGE(Segmen!$D$3:$D$6000,A1800),"")</f>
        <v/>
      </c>
    </row>
    <row r="1801">
      <c r="A1801" t="n">
        <v>1800</v>
      </c>
      <c r="B1801">
        <f>IFERROR(INDEX(Segmen!$A$3:$A$6000,MATCH(C1801,Segmen!$D$3:$D$6000,0)),"")</f>
        <v/>
      </c>
      <c r="C1801">
        <f>IFERROR(LARGE(Segmen!$D$3:$D$6000,A1801),"")</f>
        <v/>
      </c>
    </row>
    <row r="1802">
      <c r="A1802" t="n">
        <v>1801</v>
      </c>
      <c r="B1802">
        <f>IFERROR(INDEX(Segmen!$A$3:$A$6000,MATCH(C1802,Segmen!$D$3:$D$6000,0)),"")</f>
        <v/>
      </c>
      <c r="C1802">
        <f>IFERROR(LARGE(Segmen!$D$3:$D$6000,A1802),"")</f>
        <v/>
      </c>
    </row>
    <row r="1803">
      <c r="A1803" t="n">
        <v>1802</v>
      </c>
      <c r="B1803">
        <f>IFERROR(INDEX(Segmen!$A$3:$A$6000,MATCH(C1803,Segmen!$D$3:$D$6000,0)),"")</f>
        <v/>
      </c>
      <c r="C1803">
        <f>IFERROR(LARGE(Segmen!$D$3:$D$6000,A1803),"")</f>
        <v/>
      </c>
    </row>
    <row r="1804">
      <c r="A1804" t="n">
        <v>1803</v>
      </c>
      <c r="B1804">
        <f>IFERROR(INDEX(Segmen!$A$3:$A$6000,MATCH(C1804,Segmen!$D$3:$D$6000,0)),"")</f>
        <v/>
      </c>
      <c r="C1804">
        <f>IFERROR(LARGE(Segmen!$D$3:$D$6000,A1804),"")</f>
        <v/>
      </c>
    </row>
    <row r="1805">
      <c r="A1805" t="n">
        <v>1804</v>
      </c>
      <c r="B1805">
        <f>IFERROR(INDEX(Segmen!$A$3:$A$6000,MATCH(C1805,Segmen!$D$3:$D$6000,0)),"")</f>
        <v/>
      </c>
      <c r="C1805">
        <f>IFERROR(LARGE(Segmen!$D$3:$D$6000,A1805),"")</f>
        <v/>
      </c>
    </row>
    <row r="1806">
      <c r="A1806" t="n">
        <v>1805</v>
      </c>
      <c r="B1806">
        <f>IFERROR(INDEX(Segmen!$A$3:$A$6000,MATCH(C1806,Segmen!$D$3:$D$6000,0)),"")</f>
        <v/>
      </c>
      <c r="C1806">
        <f>IFERROR(LARGE(Segmen!$D$3:$D$6000,A1806),"")</f>
        <v/>
      </c>
    </row>
    <row r="1807">
      <c r="A1807" t="n">
        <v>1806</v>
      </c>
      <c r="B1807">
        <f>IFERROR(INDEX(Segmen!$A$3:$A$6000,MATCH(C1807,Segmen!$D$3:$D$6000,0)),"")</f>
        <v/>
      </c>
      <c r="C1807">
        <f>IFERROR(LARGE(Segmen!$D$3:$D$6000,A1807),"")</f>
        <v/>
      </c>
    </row>
    <row r="1808">
      <c r="A1808" t="n">
        <v>1807</v>
      </c>
      <c r="B1808">
        <f>IFERROR(INDEX(Segmen!$A$3:$A$6000,MATCH(C1808,Segmen!$D$3:$D$6000,0)),"")</f>
        <v/>
      </c>
      <c r="C1808">
        <f>IFERROR(LARGE(Segmen!$D$3:$D$6000,A1808),"")</f>
        <v/>
      </c>
    </row>
    <row r="1809">
      <c r="A1809" t="n">
        <v>1808</v>
      </c>
      <c r="B1809">
        <f>IFERROR(INDEX(Segmen!$A$3:$A$6000,MATCH(C1809,Segmen!$D$3:$D$6000,0)),"")</f>
        <v/>
      </c>
      <c r="C1809">
        <f>IFERROR(LARGE(Segmen!$D$3:$D$6000,A1809),"")</f>
        <v/>
      </c>
    </row>
    <row r="1810">
      <c r="A1810" t="n">
        <v>1809</v>
      </c>
      <c r="B1810">
        <f>IFERROR(INDEX(Segmen!$A$3:$A$6000,MATCH(C1810,Segmen!$D$3:$D$6000,0)),"")</f>
        <v/>
      </c>
      <c r="C1810">
        <f>IFERROR(LARGE(Segmen!$D$3:$D$6000,A1810),"")</f>
        <v/>
      </c>
    </row>
    <row r="1811">
      <c r="A1811" t="n">
        <v>1810</v>
      </c>
      <c r="B1811">
        <f>IFERROR(INDEX(Segmen!$A$3:$A$6000,MATCH(C1811,Segmen!$D$3:$D$6000,0)),"")</f>
        <v/>
      </c>
      <c r="C1811">
        <f>IFERROR(LARGE(Segmen!$D$3:$D$6000,A1811),"")</f>
        <v/>
      </c>
    </row>
    <row r="1812">
      <c r="A1812" t="n">
        <v>1811</v>
      </c>
      <c r="B1812">
        <f>IFERROR(INDEX(Segmen!$A$3:$A$6000,MATCH(C1812,Segmen!$D$3:$D$6000,0)),"")</f>
        <v/>
      </c>
      <c r="C1812">
        <f>IFERROR(LARGE(Segmen!$D$3:$D$6000,A1812),"")</f>
        <v/>
      </c>
    </row>
    <row r="1813">
      <c r="A1813" t="n">
        <v>1812</v>
      </c>
      <c r="B1813">
        <f>IFERROR(INDEX(Segmen!$A$3:$A$6000,MATCH(C1813,Segmen!$D$3:$D$6000,0)),"")</f>
        <v/>
      </c>
      <c r="C1813">
        <f>IFERROR(LARGE(Segmen!$D$3:$D$6000,A1813),"")</f>
        <v/>
      </c>
    </row>
    <row r="1814">
      <c r="A1814" t="n">
        <v>1813</v>
      </c>
      <c r="B1814">
        <f>IFERROR(INDEX(Segmen!$A$3:$A$6000,MATCH(C1814,Segmen!$D$3:$D$6000,0)),"")</f>
        <v/>
      </c>
      <c r="C1814">
        <f>IFERROR(LARGE(Segmen!$D$3:$D$6000,A1814),"")</f>
        <v/>
      </c>
    </row>
    <row r="1815">
      <c r="A1815" t="n">
        <v>1814</v>
      </c>
      <c r="B1815">
        <f>IFERROR(INDEX(Segmen!$A$3:$A$6000,MATCH(C1815,Segmen!$D$3:$D$6000,0)),"")</f>
        <v/>
      </c>
      <c r="C1815">
        <f>IFERROR(LARGE(Segmen!$D$3:$D$6000,A1815),"")</f>
        <v/>
      </c>
    </row>
    <row r="1816">
      <c r="A1816" t="n">
        <v>1815</v>
      </c>
      <c r="B1816">
        <f>IFERROR(INDEX(Segmen!$A$3:$A$6000,MATCH(C1816,Segmen!$D$3:$D$6000,0)),"")</f>
        <v/>
      </c>
      <c r="C1816">
        <f>IFERROR(LARGE(Segmen!$D$3:$D$6000,A1816),"")</f>
        <v/>
      </c>
    </row>
    <row r="1817">
      <c r="A1817" t="n">
        <v>1816</v>
      </c>
      <c r="B1817">
        <f>IFERROR(INDEX(Segmen!$A$3:$A$6000,MATCH(C1817,Segmen!$D$3:$D$6000,0)),"")</f>
        <v/>
      </c>
      <c r="C1817">
        <f>IFERROR(LARGE(Segmen!$D$3:$D$6000,A1817),"")</f>
        <v/>
      </c>
    </row>
    <row r="1818">
      <c r="A1818" t="n">
        <v>1817</v>
      </c>
      <c r="B1818">
        <f>IFERROR(INDEX(Segmen!$A$3:$A$6000,MATCH(C1818,Segmen!$D$3:$D$6000,0)),"")</f>
        <v/>
      </c>
      <c r="C1818">
        <f>IFERROR(LARGE(Segmen!$D$3:$D$6000,A1818),"")</f>
        <v/>
      </c>
    </row>
    <row r="1819">
      <c r="A1819" t="n">
        <v>1818</v>
      </c>
      <c r="B1819">
        <f>IFERROR(INDEX(Segmen!$A$3:$A$6000,MATCH(C1819,Segmen!$D$3:$D$6000,0)),"")</f>
        <v/>
      </c>
      <c r="C1819">
        <f>IFERROR(LARGE(Segmen!$D$3:$D$6000,A1819),"")</f>
        <v/>
      </c>
    </row>
    <row r="1820">
      <c r="A1820" t="n">
        <v>1819</v>
      </c>
      <c r="B1820">
        <f>IFERROR(INDEX(Segmen!$A$3:$A$6000,MATCH(C1820,Segmen!$D$3:$D$6000,0)),"")</f>
        <v/>
      </c>
      <c r="C1820">
        <f>IFERROR(LARGE(Segmen!$D$3:$D$6000,A1820),"")</f>
        <v/>
      </c>
    </row>
    <row r="1821">
      <c r="A1821" t="n">
        <v>1820</v>
      </c>
      <c r="B1821">
        <f>IFERROR(INDEX(Segmen!$A$3:$A$6000,MATCH(C1821,Segmen!$D$3:$D$6000,0)),"")</f>
        <v/>
      </c>
      <c r="C1821">
        <f>IFERROR(LARGE(Segmen!$D$3:$D$6000,A1821),"")</f>
        <v/>
      </c>
    </row>
    <row r="1822">
      <c r="A1822" t="n">
        <v>1821</v>
      </c>
      <c r="B1822">
        <f>IFERROR(INDEX(Segmen!$A$3:$A$6000,MATCH(C1822,Segmen!$D$3:$D$6000,0)),"")</f>
        <v/>
      </c>
      <c r="C1822">
        <f>IFERROR(LARGE(Segmen!$D$3:$D$6000,A1822),"")</f>
        <v/>
      </c>
    </row>
    <row r="1823">
      <c r="A1823" t="n">
        <v>1822</v>
      </c>
      <c r="B1823">
        <f>IFERROR(INDEX(Segmen!$A$3:$A$6000,MATCH(C1823,Segmen!$D$3:$D$6000,0)),"")</f>
        <v/>
      </c>
      <c r="C1823">
        <f>IFERROR(LARGE(Segmen!$D$3:$D$6000,A1823),"")</f>
        <v/>
      </c>
    </row>
    <row r="1824">
      <c r="A1824" t="n">
        <v>1823</v>
      </c>
      <c r="B1824">
        <f>IFERROR(INDEX(Segmen!$A$3:$A$6000,MATCH(C1824,Segmen!$D$3:$D$6000,0)),"")</f>
        <v/>
      </c>
      <c r="C1824">
        <f>IFERROR(LARGE(Segmen!$D$3:$D$6000,A1824),"")</f>
        <v/>
      </c>
    </row>
    <row r="1825">
      <c r="A1825" t="n">
        <v>1824</v>
      </c>
      <c r="B1825">
        <f>IFERROR(INDEX(Segmen!$A$3:$A$6000,MATCH(C1825,Segmen!$D$3:$D$6000,0)),"")</f>
        <v/>
      </c>
      <c r="C1825">
        <f>IFERROR(LARGE(Segmen!$D$3:$D$6000,A1825),"")</f>
        <v/>
      </c>
    </row>
    <row r="1826">
      <c r="A1826" t="n">
        <v>1825</v>
      </c>
      <c r="B1826">
        <f>IFERROR(INDEX(Segmen!$A$3:$A$6000,MATCH(C1826,Segmen!$D$3:$D$6000,0)),"")</f>
        <v/>
      </c>
      <c r="C1826">
        <f>IFERROR(LARGE(Segmen!$D$3:$D$6000,A1826),"")</f>
        <v/>
      </c>
    </row>
    <row r="1827">
      <c r="A1827" t="n">
        <v>1826</v>
      </c>
      <c r="B1827">
        <f>IFERROR(INDEX(Segmen!$A$3:$A$6000,MATCH(C1827,Segmen!$D$3:$D$6000,0)),"")</f>
        <v/>
      </c>
      <c r="C1827">
        <f>IFERROR(LARGE(Segmen!$D$3:$D$6000,A1827),"")</f>
        <v/>
      </c>
    </row>
    <row r="1828">
      <c r="A1828" t="n">
        <v>1827</v>
      </c>
      <c r="B1828">
        <f>IFERROR(INDEX(Segmen!$A$3:$A$6000,MATCH(C1828,Segmen!$D$3:$D$6000,0)),"")</f>
        <v/>
      </c>
      <c r="C1828">
        <f>IFERROR(LARGE(Segmen!$D$3:$D$6000,A1828),"")</f>
        <v/>
      </c>
    </row>
    <row r="1829">
      <c r="A1829" t="n">
        <v>1828</v>
      </c>
      <c r="B1829">
        <f>IFERROR(INDEX(Segmen!$A$3:$A$6000,MATCH(C1829,Segmen!$D$3:$D$6000,0)),"")</f>
        <v/>
      </c>
      <c r="C1829">
        <f>IFERROR(LARGE(Segmen!$D$3:$D$6000,A1829),"")</f>
        <v/>
      </c>
    </row>
    <row r="1830">
      <c r="A1830" t="n">
        <v>1829</v>
      </c>
      <c r="B1830">
        <f>IFERROR(INDEX(Segmen!$A$3:$A$6000,MATCH(C1830,Segmen!$D$3:$D$6000,0)),"")</f>
        <v/>
      </c>
      <c r="C1830">
        <f>IFERROR(LARGE(Segmen!$D$3:$D$6000,A1830),"")</f>
        <v/>
      </c>
    </row>
    <row r="1831">
      <c r="A1831" t="n">
        <v>1830</v>
      </c>
      <c r="B1831">
        <f>IFERROR(INDEX(Segmen!$A$3:$A$6000,MATCH(C1831,Segmen!$D$3:$D$6000,0)),"")</f>
        <v/>
      </c>
      <c r="C1831">
        <f>IFERROR(LARGE(Segmen!$D$3:$D$6000,A1831),"")</f>
        <v/>
      </c>
    </row>
    <row r="1832">
      <c r="A1832" t="n">
        <v>1831</v>
      </c>
      <c r="B1832">
        <f>IFERROR(INDEX(Segmen!$A$3:$A$6000,MATCH(C1832,Segmen!$D$3:$D$6000,0)),"")</f>
        <v/>
      </c>
      <c r="C1832">
        <f>IFERROR(LARGE(Segmen!$D$3:$D$6000,A1832),"")</f>
        <v/>
      </c>
    </row>
    <row r="1833">
      <c r="A1833" t="n">
        <v>1832</v>
      </c>
      <c r="B1833">
        <f>IFERROR(INDEX(Segmen!$A$3:$A$6000,MATCH(C1833,Segmen!$D$3:$D$6000,0)),"")</f>
        <v/>
      </c>
      <c r="C1833">
        <f>IFERROR(LARGE(Segmen!$D$3:$D$6000,A1833),"")</f>
        <v/>
      </c>
    </row>
    <row r="1834">
      <c r="A1834" t="n">
        <v>1833</v>
      </c>
      <c r="B1834">
        <f>IFERROR(INDEX(Segmen!$A$3:$A$6000,MATCH(C1834,Segmen!$D$3:$D$6000,0)),"")</f>
        <v/>
      </c>
      <c r="C1834">
        <f>IFERROR(LARGE(Segmen!$D$3:$D$6000,A1834),"")</f>
        <v/>
      </c>
    </row>
    <row r="1835">
      <c r="A1835" t="n">
        <v>1834</v>
      </c>
      <c r="B1835">
        <f>IFERROR(INDEX(Segmen!$A$3:$A$6000,MATCH(C1835,Segmen!$D$3:$D$6000,0)),"")</f>
        <v/>
      </c>
      <c r="C1835">
        <f>IFERROR(LARGE(Segmen!$D$3:$D$6000,A1835),"")</f>
        <v/>
      </c>
    </row>
    <row r="1836">
      <c r="A1836" t="n">
        <v>1835</v>
      </c>
      <c r="B1836">
        <f>IFERROR(INDEX(Segmen!$A$3:$A$6000,MATCH(C1836,Segmen!$D$3:$D$6000,0)),"")</f>
        <v/>
      </c>
      <c r="C1836">
        <f>IFERROR(LARGE(Segmen!$D$3:$D$6000,A1836),"")</f>
        <v/>
      </c>
    </row>
    <row r="1837">
      <c r="A1837" t="n">
        <v>1836</v>
      </c>
      <c r="B1837">
        <f>IFERROR(INDEX(Segmen!$A$3:$A$6000,MATCH(C1837,Segmen!$D$3:$D$6000,0)),"")</f>
        <v/>
      </c>
      <c r="C1837">
        <f>IFERROR(LARGE(Segmen!$D$3:$D$6000,A1837),"")</f>
        <v/>
      </c>
    </row>
    <row r="1838">
      <c r="A1838" t="n">
        <v>1837</v>
      </c>
      <c r="B1838">
        <f>IFERROR(INDEX(Segmen!$A$3:$A$6000,MATCH(C1838,Segmen!$D$3:$D$6000,0)),"")</f>
        <v/>
      </c>
      <c r="C1838">
        <f>IFERROR(LARGE(Segmen!$D$3:$D$6000,A1838),"")</f>
        <v/>
      </c>
    </row>
    <row r="1839">
      <c r="A1839" t="n">
        <v>1838</v>
      </c>
      <c r="B1839">
        <f>IFERROR(INDEX(Segmen!$A$3:$A$6000,MATCH(C1839,Segmen!$D$3:$D$6000,0)),"")</f>
        <v/>
      </c>
      <c r="C1839">
        <f>IFERROR(LARGE(Segmen!$D$3:$D$6000,A1839),"")</f>
        <v/>
      </c>
    </row>
    <row r="1840">
      <c r="A1840" t="n">
        <v>1839</v>
      </c>
      <c r="B1840">
        <f>IFERROR(INDEX(Segmen!$A$3:$A$6000,MATCH(C1840,Segmen!$D$3:$D$6000,0)),"")</f>
        <v/>
      </c>
      <c r="C1840">
        <f>IFERROR(LARGE(Segmen!$D$3:$D$6000,A1840),"")</f>
        <v/>
      </c>
    </row>
    <row r="1841">
      <c r="A1841" t="n">
        <v>1840</v>
      </c>
      <c r="B1841">
        <f>IFERROR(INDEX(Segmen!$A$3:$A$6000,MATCH(C1841,Segmen!$D$3:$D$6000,0)),"")</f>
        <v/>
      </c>
      <c r="C1841">
        <f>IFERROR(LARGE(Segmen!$D$3:$D$6000,A1841),"")</f>
        <v/>
      </c>
    </row>
    <row r="1842">
      <c r="A1842" t="n">
        <v>1841</v>
      </c>
      <c r="B1842">
        <f>IFERROR(INDEX(Segmen!$A$3:$A$6000,MATCH(C1842,Segmen!$D$3:$D$6000,0)),"")</f>
        <v/>
      </c>
      <c r="C1842">
        <f>IFERROR(LARGE(Segmen!$D$3:$D$6000,A1842),"")</f>
        <v/>
      </c>
    </row>
    <row r="1843">
      <c r="A1843" t="n">
        <v>1842</v>
      </c>
      <c r="B1843">
        <f>IFERROR(INDEX(Segmen!$A$3:$A$6000,MATCH(C1843,Segmen!$D$3:$D$6000,0)),"")</f>
        <v/>
      </c>
      <c r="C1843">
        <f>IFERROR(LARGE(Segmen!$D$3:$D$6000,A1843),"")</f>
        <v/>
      </c>
    </row>
    <row r="1844">
      <c r="A1844" t="n">
        <v>1843</v>
      </c>
      <c r="B1844">
        <f>IFERROR(INDEX(Segmen!$A$3:$A$6000,MATCH(C1844,Segmen!$D$3:$D$6000,0)),"")</f>
        <v/>
      </c>
      <c r="C1844">
        <f>IFERROR(LARGE(Segmen!$D$3:$D$6000,A1844),"")</f>
        <v/>
      </c>
    </row>
    <row r="1845">
      <c r="A1845" t="n">
        <v>1844</v>
      </c>
      <c r="B1845">
        <f>IFERROR(INDEX(Segmen!$A$3:$A$6000,MATCH(C1845,Segmen!$D$3:$D$6000,0)),"")</f>
        <v/>
      </c>
      <c r="C1845">
        <f>IFERROR(LARGE(Segmen!$D$3:$D$6000,A1845),"")</f>
        <v/>
      </c>
    </row>
    <row r="1846">
      <c r="A1846" t="n">
        <v>1845</v>
      </c>
      <c r="B1846">
        <f>IFERROR(INDEX(Segmen!$A$3:$A$6000,MATCH(C1846,Segmen!$D$3:$D$6000,0)),"")</f>
        <v/>
      </c>
      <c r="C1846">
        <f>IFERROR(LARGE(Segmen!$D$3:$D$6000,A1846),"")</f>
        <v/>
      </c>
    </row>
    <row r="1847">
      <c r="A1847" t="n">
        <v>1846</v>
      </c>
      <c r="B1847">
        <f>IFERROR(INDEX(Segmen!$A$3:$A$6000,MATCH(C1847,Segmen!$D$3:$D$6000,0)),"")</f>
        <v/>
      </c>
      <c r="C1847">
        <f>IFERROR(LARGE(Segmen!$D$3:$D$6000,A1847),"")</f>
        <v/>
      </c>
    </row>
    <row r="1848">
      <c r="A1848" t="n">
        <v>1847</v>
      </c>
      <c r="B1848">
        <f>IFERROR(INDEX(Segmen!$A$3:$A$6000,MATCH(C1848,Segmen!$D$3:$D$6000,0)),"")</f>
        <v/>
      </c>
      <c r="C1848">
        <f>IFERROR(LARGE(Segmen!$D$3:$D$6000,A1848),"")</f>
        <v/>
      </c>
    </row>
    <row r="1849">
      <c r="A1849" t="n">
        <v>1848</v>
      </c>
      <c r="B1849">
        <f>IFERROR(INDEX(Segmen!$A$3:$A$6000,MATCH(C1849,Segmen!$D$3:$D$6000,0)),"")</f>
        <v/>
      </c>
      <c r="C1849">
        <f>IFERROR(LARGE(Segmen!$D$3:$D$6000,A1849),"")</f>
        <v/>
      </c>
    </row>
    <row r="1850">
      <c r="A1850" t="n">
        <v>1849</v>
      </c>
      <c r="B1850">
        <f>IFERROR(INDEX(Segmen!$A$3:$A$6000,MATCH(C1850,Segmen!$D$3:$D$6000,0)),"")</f>
        <v/>
      </c>
      <c r="C1850">
        <f>IFERROR(LARGE(Segmen!$D$3:$D$6000,A1850),"")</f>
        <v/>
      </c>
    </row>
    <row r="1851">
      <c r="A1851" t="n">
        <v>1850</v>
      </c>
      <c r="B1851">
        <f>IFERROR(INDEX(Segmen!$A$3:$A$6000,MATCH(C1851,Segmen!$D$3:$D$6000,0)),"")</f>
        <v/>
      </c>
      <c r="C1851">
        <f>IFERROR(LARGE(Segmen!$D$3:$D$6000,A1851),"")</f>
        <v/>
      </c>
    </row>
    <row r="1852">
      <c r="A1852" t="n">
        <v>1851</v>
      </c>
      <c r="B1852">
        <f>IFERROR(INDEX(Segmen!$A$3:$A$6000,MATCH(C1852,Segmen!$D$3:$D$6000,0)),"")</f>
        <v/>
      </c>
      <c r="C1852">
        <f>IFERROR(LARGE(Segmen!$D$3:$D$6000,A1852),"")</f>
        <v/>
      </c>
    </row>
    <row r="1853">
      <c r="A1853" t="n">
        <v>1852</v>
      </c>
      <c r="B1853">
        <f>IFERROR(INDEX(Segmen!$A$3:$A$6000,MATCH(C1853,Segmen!$D$3:$D$6000,0)),"")</f>
        <v/>
      </c>
      <c r="C1853">
        <f>IFERROR(LARGE(Segmen!$D$3:$D$6000,A1853),"")</f>
        <v/>
      </c>
    </row>
    <row r="1854">
      <c r="A1854" t="n">
        <v>1853</v>
      </c>
      <c r="B1854">
        <f>IFERROR(INDEX(Segmen!$A$3:$A$6000,MATCH(C1854,Segmen!$D$3:$D$6000,0)),"")</f>
        <v/>
      </c>
      <c r="C1854">
        <f>IFERROR(LARGE(Segmen!$D$3:$D$6000,A1854),"")</f>
        <v/>
      </c>
    </row>
    <row r="1855">
      <c r="A1855" t="n">
        <v>1854</v>
      </c>
      <c r="B1855">
        <f>IFERROR(INDEX(Segmen!$A$3:$A$6000,MATCH(C1855,Segmen!$D$3:$D$6000,0)),"")</f>
        <v/>
      </c>
      <c r="C1855">
        <f>IFERROR(LARGE(Segmen!$D$3:$D$6000,A1855),"")</f>
        <v/>
      </c>
    </row>
    <row r="1856">
      <c r="A1856" t="n">
        <v>1855</v>
      </c>
      <c r="B1856">
        <f>IFERROR(INDEX(Segmen!$A$3:$A$6000,MATCH(C1856,Segmen!$D$3:$D$6000,0)),"")</f>
        <v/>
      </c>
      <c r="C1856">
        <f>IFERROR(LARGE(Segmen!$D$3:$D$6000,A1856),"")</f>
        <v/>
      </c>
    </row>
    <row r="1857">
      <c r="A1857" t="n">
        <v>1856</v>
      </c>
      <c r="B1857">
        <f>IFERROR(INDEX(Segmen!$A$3:$A$6000,MATCH(C1857,Segmen!$D$3:$D$6000,0)),"")</f>
        <v/>
      </c>
      <c r="C1857">
        <f>IFERROR(LARGE(Segmen!$D$3:$D$6000,A1857),"")</f>
        <v/>
      </c>
    </row>
    <row r="1858">
      <c r="A1858" t="n">
        <v>1857</v>
      </c>
      <c r="B1858">
        <f>IFERROR(INDEX(Segmen!$A$3:$A$6000,MATCH(C1858,Segmen!$D$3:$D$6000,0)),"")</f>
        <v/>
      </c>
      <c r="C1858">
        <f>IFERROR(LARGE(Segmen!$D$3:$D$6000,A1858),"")</f>
        <v/>
      </c>
    </row>
    <row r="1859">
      <c r="A1859" t="n">
        <v>1858</v>
      </c>
      <c r="B1859">
        <f>IFERROR(INDEX(Segmen!$A$3:$A$6000,MATCH(C1859,Segmen!$D$3:$D$6000,0)),"")</f>
        <v/>
      </c>
      <c r="C1859">
        <f>IFERROR(LARGE(Segmen!$D$3:$D$6000,A1859),"")</f>
        <v/>
      </c>
    </row>
    <row r="1860">
      <c r="A1860" t="n">
        <v>1859</v>
      </c>
      <c r="B1860">
        <f>IFERROR(INDEX(Segmen!$A$3:$A$6000,MATCH(C1860,Segmen!$D$3:$D$6000,0)),"")</f>
        <v/>
      </c>
      <c r="C1860">
        <f>IFERROR(LARGE(Segmen!$D$3:$D$6000,A1860),"")</f>
        <v/>
      </c>
    </row>
    <row r="1861">
      <c r="A1861" t="n">
        <v>1860</v>
      </c>
      <c r="B1861">
        <f>IFERROR(INDEX(Segmen!$A$3:$A$6000,MATCH(C1861,Segmen!$D$3:$D$6000,0)),"")</f>
        <v/>
      </c>
      <c r="C1861">
        <f>IFERROR(LARGE(Segmen!$D$3:$D$6000,A1861),"")</f>
        <v/>
      </c>
    </row>
    <row r="1862">
      <c r="A1862" t="n">
        <v>1861</v>
      </c>
      <c r="B1862">
        <f>IFERROR(INDEX(Segmen!$A$3:$A$6000,MATCH(C1862,Segmen!$D$3:$D$6000,0)),"")</f>
        <v/>
      </c>
      <c r="C1862">
        <f>IFERROR(LARGE(Segmen!$D$3:$D$6000,A1862),"")</f>
        <v/>
      </c>
    </row>
    <row r="1863">
      <c r="A1863" t="n">
        <v>1862</v>
      </c>
      <c r="B1863">
        <f>IFERROR(INDEX(Segmen!$A$3:$A$6000,MATCH(C1863,Segmen!$D$3:$D$6000,0)),"")</f>
        <v/>
      </c>
      <c r="C1863">
        <f>IFERROR(LARGE(Segmen!$D$3:$D$6000,A1863),"")</f>
        <v/>
      </c>
    </row>
    <row r="1864">
      <c r="A1864" t="n">
        <v>1863</v>
      </c>
      <c r="B1864">
        <f>IFERROR(INDEX(Segmen!$A$3:$A$6000,MATCH(C1864,Segmen!$D$3:$D$6000,0)),"")</f>
        <v/>
      </c>
      <c r="C1864">
        <f>IFERROR(LARGE(Segmen!$D$3:$D$6000,A1864),"")</f>
        <v/>
      </c>
    </row>
    <row r="1865">
      <c r="A1865" t="n">
        <v>1864</v>
      </c>
      <c r="B1865">
        <f>IFERROR(INDEX(Segmen!$A$3:$A$6000,MATCH(C1865,Segmen!$D$3:$D$6000,0)),"")</f>
        <v/>
      </c>
      <c r="C1865">
        <f>IFERROR(LARGE(Segmen!$D$3:$D$6000,A1865),"")</f>
        <v/>
      </c>
    </row>
    <row r="1866">
      <c r="A1866" t="n">
        <v>1865</v>
      </c>
      <c r="B1866">
        <f>IFERROR(INDEX(Segmen!$A$3:$A$6000,MATCH(C1866,Segmen!$D$3:$D$6000,0)),"")</f>
        <v/>
      </c>
      <c r="C1866">
        <f>IFERROR(LARGE(Segmen!$D$3:$D$6000,A1866),"")</f>
        <v/>
      </c>
    </row>
    <row r="1867">
      <c r="A1867" t="n">
        <v>1866</v>
      </c>
      <c r="B1867">
        <f>IFERROR(INDEX(Segmen!$A$3:$A$6000,MATCH(C1867,Segmen!$D$3:$D$6000,0)),"")</f>
        <v/>
      </c>
      <c r="C1867">
        <f>IFERROR(LARGE(Segmen!$D$3:$D$6000,A1867),"")</f>
        <v/>
      </c>
    </row>
    <row r="1868">
      <c r="A1868" t="n">
        <v>1867</v>
      </c>
      <c r="B1868">
        <f>IFERROR(INDEX(Segmen!$A$3:$A$6000,MATCH(C1868,Segmen!$D$3:$D$6000,0)),"")</f>
        <v/>
      </c>
      <c r="C1868">
        <f>IFERROR(LARGE(Segmen!$D$3:$D$6000,A1868),"")</f>
        <v/>
      </c>
    </row>
    <row r="1869">
      <c r="A1869" t="n">
        <v>1868</v>
      </c>
      <c r="B1869">
        <f>IFERROR(INDEX(Segmen!$A$3:$A$6000,MATCH(C1869,Segmen!$D$3:$D$6000,0)),"")</f>
        <v/>
      </c>
      <c r="C1869">
        <f>IFERROR(LARGE(Segmen!$D$3:$D$6000,A1869),"")</f>
        <v/>
      </c>
    </row>
    <row r="1870">
      <c r="A1870" t="n">
        <v>1869</v>
      </c>
      <c r="B1870">
        <f>IFERROR(INDEX(Segmen!$A$3:$A$6000,MATCH(C1870,Segmen!$D$3:$D$6000,0)),"")</f>
        <v/>
      </c>
      <c r="C1870">
        <f>IFERROR(LARGE(Segmen!$D$3:$D$6000,A1870),"")</f>
        <v/>
      </c>
    </row>
    <row r="1871">
      <c r="A1871" t="n">
        <v>1870</v>
      </c>
      <c r="B1871">
        <f>IFERROR(INDEX(Segmen!$A$3:$A$6000,MATCH(C1871,Segmen!$D$3:$D$6000,0)),"")</f>
        <v/>
      </c>
      <c r="C1871">
        <f>IFERROR(LARGE(Segmen!$D$3:$D$6000,A1871),"")</f>
        <v/>
      </c>
    </row>
    <row r="1872">
      <c r="A1872" t="n">
        <v>1871</v>
      </c>
      <c r="B1872">
        <f>IFERROR(INDEX(Segmen!$A$3:$A$6000,MATCH(C1872,Segmen!$D$3:$D$6000,0)),"")</f>
        <v/>
      </c>
      <c r="C1872">
        <f>IFERROR(LARGE(Segmen!$D$3:$D$6000,A1872),"")</f>
        <v/>
      </c>
    </row>
    <row r="1873">
      <c r="A1873" t="n">
        <v>1872</v>
      </c>
      <c r="B1873">
        <f>IFERROR(INDEX(Segmen!$A$3:$A$6000,MATCH(C1873,Segmen!$D$3:$D$6000,0)),"")</f>
        <v/>
      </c>
      <c r="C1873">
        <f>IFERROR(LARGE(Segmen!$D$3:$D$6000,A1873),"")</f>
        <v/>
      </c>
    </row>
    <row r="1874">
      <c r="A1874" t="n">
        <v>1873</v>
      </c>
      <c r="B1874">
        <f>IFERROR(INDEX(Segmen!$A$3:$A$6000,MATCH(C1874,Segmen!$D$3:$D$6000,0)),"")</f>
        <v/>
      </c>
      <c r="C1874">
        <f>IFERROR(LARGE(Segmen!$D$3:$D$6000,A1874),"")</f>
        <v/>
      </c>
    </row>
    <row r="1875">
      <c r="A1875" t="n">
        <v>1874</v>
      </c>
      <c r="B1875">
        <f>IFERROR(INDEX(Segmen!$A$3:$A$6000,MATCH(C1875,Segmen!$D$3:$D$6000,0)),"")</f>
        <v/>
      </c>
      <c r="C1875">
        <f>IFERROR(LARGE(Segmen!$D$3:$D$6000,A1875),"")</f>
        <v/>
      </c>
    </row>
    <row r="1876">
      <c r="A1876" t="n">
        <v>1875</v>
      </c>
      <c r="B1876">
        <f>IFERROR(INDEX(Segmen!$A$3:$A$6000,MATCH(C1876,Segmen!$D$3:$D$6000,0)),"")</f>
        <v/>
      </c>
      <c r="C1876">
        <f>IFERROR(LARGE(Segmen!$D$3:$D$6000,A1876),"")</f>
        <v/>
      </c>
    </row>
    <row r="1877">
      <c r="A1877" t="n">
        <v>1876</v>
      </c>
      <c r="B1877">
        <f>IFERROR(INDEX(Segmen!$A$3:$A$6000,MATCH(C1877,Segmen!$D$3:$D$6000,0)),"")</f>
        <v/>
      </c>
      <c r="C1877">
        <f>IFERROR(LARGE(Segmen!$D$3:$D$6000,A1877),"")</f>
        <v/>
      </c>
    </row>
    <row r="1878">
      <c r="A1878" t="n">
        <v>1877</v>
      </c>
      <c r="B1878">
        <f>IFERROR(INDEX(Segmen!$A$3:$A$6000,MATCH(C1878,Segmen!$D$3:$D$6000,0)),"")</f>
        <v/>
      </c>
      <c r="C1878">
        <f>IFERROR(LARGE(Segmen!$D$3:$D$6000,A1878),"")</f>
        <v/>
      </c>
    </row>
    <row r="1879">
      <c r="A1879" t="n">
        <v>1878</v>
      </c>
      <c r="B1879">
        <f>IFERROR(INDEX(Segmen!$A$3:$A$6000,MATCH(C1879,Segmen!$D$3:$D$6000,0)),"")</f>
        <v/>
      </c>
      <c r="C1879">
        <f>IFERROR(LARGE(Segmen!$D$3:$D$6000,A1879),"")</f>
        <v/>
      </c>
    </row>
    <row r="1880">
      <c r="A1880" t="n">
        <v>1879</v>
      </c>
      <c r="B1880">
        <f>IFERROR(INDEX(Segmen!$A$3:$A$6000,MATCH(C1880,Segmen!$D$3:$D$6000,0)),"")</f>
        <v/>
      </c>
      <c r="C1880">
        <f>IFERROR(LARGE(Segmen!$D$3:$D$6000,A1880),"")</f>
        <v/>
      </c>
    </row>
    <row r="1881">
      <c r="A1881" t="n">
        <v>1880</v>
      </c>
      <c r="B1881">
        <f>IFERROR(INDEX(Segmen!$A$3:$A$6000,MATCH(C1881,Segmen!$D$3:$D$6000,0)),"")</f>
        <v/>
      </c>
      <c r="C1881">
        <f>IFERROR(LARGE(Segmen!$D$3:$D$6000,A1881),"")</f>
        <v/>
      </c>
    </row>
    <row r="1882">
      <c r="A1882" t="n">
        <v>1881</v>
      </c>
      <c r="B1882">
        <f>IFERROR(INDEX(Segmen!$A$3:$A$6000,MATCH(C1882,Segmen!$D$3:$D$6000,0)),"")</f>
        <v/>
      </c>
      <c r="C1882">
        <f>IFERROR(LARGE(Segmen!$D$3:$D$6000,A1882),"")</f>
        <v/>
      </c>
    </row>
    <row r="1883">
      <c r="A1883" t="n">
        <v>1882</v>
      </c>
      <c r="B1883">
        <f>IFERROR(INDEX(Segmen!$A$3:$A$6000,MATCH(C1883,Segmen!$D$3:$D$6000,0)),"")</f>
        <v/>
      </c>
      <c r="C1883">
        <f>IFERROR(LARGE(Segmen!$D$3:$D$6000,A1883),"")</f>
        <v/>
      </c>
    </row>
    <row r="1884">
      <c r="A1884" t="n">
        <v>1883</v>
      </c>
      <c r="B1884">
        <f>IFERROR(INDEX(Segmen!$A$3:$A$6000,MATCH(C1884,Segmen!$D$3:$D$6000,0)),"")</f>
        <v/>
      </c>
      <c r="C1884">
        <f>IFERROR(LARGE(Segmen!$D$3:$D$6000,A1884),"")</f>
        <v/>
      </c>
    </row>
    <row r="1885">
      <c r="A1885" t="n">
        <v>1884</v>
      </c>
      <c r="B1885">
        <f>IFERROR(INDEX(Segmen!$A$3:$A$6000,MATCH(C1885,Segmen!$D$3:$D$6000,0)),"")</f>
        <v/>
      </c>
      <c r="C1885">
        <f>IFERROR(LARGE(Segmen!$D$3:$D$6000,A1885),"")</f>
        <v/>
      </c>
    </row>
    <row r="1886">
      <c r="A1886" t="n">
        <v>1885</v>
      </c>
      <c r="B1886">
        <f>IFERROR(INDEX(Segmen!$A$3:$A$6000,MATCH(C1886,Segmen!$D$3:$D$6000,0)),"")</f>
        <v/>
      </c>
      <c r="C1886">
        <f>IFERROR(LARGE(Segmen!$D$3:$D$6000,A1886),"")</f>
        <v/>
      </c>
    </row>
    <row r="1887">
      <c r="A1887" t="n">
        <v>1886</v>
      </c>
      <c r="B1887">
        <f>IFERROR(INDEX(Segmen!$A$3:$A$6000,MATCH(C1887,Segmen!$D$3:$D$6000,0)),"")</f>
        <v/>
      </c>
      <c r="C1887">
        <f>IFERROR(LARGE(Segmen!$D$3:$D$6000,A1887),"")</f>
        <v/>
      </c>
    </row>
    <row r="1888">
      <c r="A1888" t="n">
        <v>1887</v>
      </c>
      <c r="B1888">
        <f>IFERROR(INDEX(Segmen!$A$3:$A$6000,MATCH(C1888,Segmen!$D$3:$D$6000,0)),"")</f>
        <v/>
      </c>
      <c r="C1888">
        <f>IFERROR(LARGE(Segmen!$D$3:$D$6000,A1888),"")</f>
        <v/>
      </c>
    </row>
    <row r="1889">
      <c r="A1889" t="n">
        <v>1888</v>
      </c>
      <c r="B1889">
        <f>IFERROR(INDEX(Segmen!$A$3:$A$6000,MATCH(C1889,Segmen!$D$3:$D$6000,0)),"")</f>
        <v/>
      </c>
      <c r="C1889">
        <f>IFERROR(LARGE(Segmen!$D$3:$D$6000,A1889),"")</f>
        <v/>
      </c>
    </row>
    <row r="1890">
      <c r="A1890" t="n">
        <v>1889</v>
      </c>
      <c r="B1890">
        <f>IFERROR(INDEX(Segmen!$A$3:$A$6000,MATCH(C1890,Segmen!$D$3:$D$6000,0)),"")</f>
        <v/>
      </c>
      <c r="C1890">
        <f>IFERROR(LARGE(Segmen!$D$3:$D$6000,A1890),"")</f>
        <v/>
      </c>
    </row>
    <row r="1891">
      <c r="A1891" t="n">
        <v>1890</v>
      </c>
      <c r="B1891">
        <f>IFERROR(INDEX(Segmen!$A$3:$A$6000,MATCH(C1891,Segmen!$D$3:$D$6000,0)),"")</f>
        <v/>
      </c>
      <c r="C1891">
        <f>IFERROR(LARGE(Segmen!$D$3:$D$6000,A1891),"")</f>
        <v/>
      </c>
    </row>
    <row r="1892">
      <c r="A1892" t="n">
        <v>1891</v>
      </c>
      <c r="B1892">
        <f>IFERROR(INDEX(Segmen!$A$3:$A$6000,MATCH(C1892,Segmen!$D$3:$D$6000,0)),"")</f>
        <v/>
      </c>
      <c r="C1892">
        <f>IFERROR(LARGE(Segmen!$D$3:$D$6000,A1892),"")</f>
        <v/>
      </c>
    </row>
    <row r="1893">
      <c r="A1893" t="n">
        <v>1892</v>
      </c>
      <c r="B1893">
        <f>IFERROR(INDEX(Segmen!$A$3:$A$6000,MATCH(C1893,Segmen!$D$3:$D$6000,0)),"")</f>
        <v/>
      </c>
      <c r="C1893">
        <f>IFERROR(LARGE(Segmen!$D$3:$D$6000,A1893),"")</f>
        <v/>
      </c>
    </row>
    <row r="1894">
      <c r="A1894" t="n">
        <v>1893</v>
      </c>
      <c r="B1894">
        <f>IFERROR(INDEX(Segmen!$A$3:$A$6000,MATCH(C1894,Segmen!$D$3:$D$6000,0)),"")</f>
        <v/>
      </c>
      <c r="C1894">
        <f>IFERROR(LARGE(Segmen!$D$3:$D$6000,A1894),"")</f>
        <v/>
      </c>
    </row>
    <row r="1895">
      <c r="A1895" t="n">
        <v>1894</v>
      </c>
      <c r="B1895">
        <f>IFERROR(INDEX(Segmen!$A$3:$A$6000,MATCH(C1895,Segmen!$D$3:$D$6000,0)),"")</f>
        <v/>
      </c>
      <c r="C1895">
        <f>IFERROR(LARGE(Segmen!$D$3:$D$6000,A1895),"")</f>
        <v/>
      </c>
    </row>
    <row r="1896">
      <c r="A1896" t="n">
        <v>1895</v>
      </c>
      <c r="B1896">
        <f>IFERROR(INDEX(Segmen!$A$3:$A$6000,MATCH(C1896,Segmen!$D$3:$D$6000,0)),"")</f>
        <v/>
      </c>
      <c r="C1896">
        <f>IFERROR(LARGE(Segmen!$D$3:$D$6000,A1896),"")</f>
        <v/>
      </c>
    </row>
    <row r="1897">
      <c r="A1897" t="n">
        <v>1896</v>
      </c>
      <c r="B1897">
        <f>IFERROR(INDEX(Segmen!$A$3:$A$6000,MATCH(C1897,Segmen!$D$3:$D$6000,0)),"")</f>
        <v/>
      </c>
      <c r="C1897">
        <f>IFERROR(LARGE(Segmen!$D$3:$D$6000,A1897),"")</f>
        <v/>
      </c>
    </row>
    <row r="1898">
      <c r="A1898" t="n">
        <v>1897</v>
      </c>
      <c r="B1898">
        <f>IFERROR(INDEX(Segmen!$A$3:$A$6000,MATCH(C1898,Segmen!$D$3:$D$6000,0)),"")</f>
        <v/>
      </c>
      <c r="C1898">
        <f>IFERROR(LARGE(Segmen!$D$3:$D$6000,A1898),"")</f>
        <v/>
      </c>
    </row>
    <row r="1899">
      <c r="A1899" t="n">
        <v>1898</v>
      </c>
      <c r="B1899">
        <f>IFERROR(INDEX(Segmen!$A$3:$A$6000,MATCH(C1899,Segmen!$D$3:$D$6000,0)),"")</f>
        <v/>
      </c>
      <c r="C1899">
        <f>IFERROR(LARGE(Segmen!$D$3:$D$6000,A1899),"")</f>
        <v/>
      </c>
    </row>
    <row r="1900">
      <c r="A1900" t="n">
        <v>1899</v>
      </c>
      <c r="B1900">
        <f>IFERROR(INDEX(Segmen!$A$3:$A$6000,MATCH(C1900,Segmen!$D$3:$D$6000,0)),"")</f>
        <v/>
      </c>
      <c r="C1900">
        <f>IFERROR(LARGE(Segmen!$D$3:$D$6000,A1900),"")</f>
        <v/>
      </c>
    </row>
    <row r="1901">
      <c r="A1901" t="n">
        <v>1900</v>
      </c>
      <c r="B1901">
        <f>IFERROR(INDEX(Segmen!$A$3:$A$6000,MATCH(C1901,Segmen!$D$3:$D$6000,0)),"")</f>
        <v/>
      </c>
      <c r="C1901">
        <f>IFERROR(LARGE(Segmen!$D$3:$D$6000,A1901),"")</f>
        <v/>
      </c>
    </row>
    <row r="1902">
      <c r="A1902" t="n">
        <v>1901</v>
      </c>
      <c r="B1902">
        <f>IFERROR(INDEX(Segmen!$A$3:$A$6000,MATCH(C1902,Segmen!$D$3:$D$6000,0)),"")</f>
        <v/>
      </c>
      <c r="C1902">
        <f>IFERROR(LARGE(Segmen!$D$3:$D$6000,A1902),"")</f>
        <v/>
      </c>
    </row>
    <row r="1903">
      <c r="A1903" t="n">
        <v>1902</v>
      </c>
      <c r="B1903">
        <f>IFERROR(INDEX(Segmen!$A$3:$A$6000,MATCH(C1903,Segmen!$D$3:$D$6000,0)),"")</f>
        <v/>
      </c>
      <c r="C1903">
        <f>IFERROR(LARGE(Segmen!$D$3:$D$6000,A1903),"")</f>
        <v/>
      </c>
    </row>
    <row r="1904">
      <c r="A1904" t="n">
        <v>1903</v>
      </c>
      <c r="B1904">
        <f>IFERROR(INDEX(Segmen!$A$3:$A$6000,MATCH(C1904,Segmen!$D$3:$D$6000,0)),"")</f>
        <v/>
      </c>
      <c r="C1904">
        <f>IFERROR(LARGE(Segmen!$D$3:$D$6000,A1904),"")</f>
        <v/>
      </c>
    </row>
    <row r="1905">
      <c r="A1905" t="n">
        <v>1904</v>
      </c>
      <c r="B1905">
        <f>IFERROR(INDEX(Segmen!$A$3:$A$6000,MATCH(C1905,Segmen!$D$3:$D$6000,0)),"")</f>
        <v/>
      </c>
      <c r="C1905">
        <f>IFERROR(LARGE(Segmen!$D$3:$D$6000,A1905),"")</f>
        <v/>
      </c>
    </row>
    <row r="1906">
      <c r="A1906" t="n">
        <v>1905</v>
      </c>
      <c r="B1906">
        <f>IFERROR(INDEX(Segmen!$A$3:$A$6000,MATCH(C1906,Segmen!$D$3:$D$6000,0)),"")</f>
        <v/>
      </c>
      <c r="C1906">
        <f>IFERROR(LARGE(Segmen!$D$3:$D$6000,A1906),"")</f>
        <v/>
      </c>
    </row>
    <row r="1907">
      <c r="A1907" t="n">
        <v>1906</v>
      </c>
      <c r="B1907">
        <f>IFERROR(INDEX(Segmen!$A$3:$A$6000,MATCH(C1907,Segmen!$D$3:$D$6000,0)),"")</f>
        <v/>
      </c>
      <c r="C1907">
        <f>IFERROR(LARGE(Segmen!$D$3:$D$6000,A1907),"")</f>
        <v/>
      </c>
    </row>
    <row r="1908">
      <c r="A1908" t="n">
        <v>1907</v>
      </c>
      <c r="B1908">
        <f>IFERROR(INDEX(Segmen!$A$3:$A$6000,MATCH(C1908,Segmen!$D$3:$D$6000,0)),"")</f>
        <v/>
      </c>
      <c r="C1908">
        <f>IFERROR(LARGE(Segmen!$D$3:$D$6000,A1908),"")</f>
        <v/>
      </c>
    </row>
    <row r="1909">
      <c r="A1909" t="n">
        <v>1908</v>
      </c>
      <c r="B1909">
        <f>IFERROR(INDEX(Segmen!$A$3:$A$6000,MATCH(C1909,Segmen!$D$3:$D$6000,0)),"")</f>
        <v/>
      </c>
      <c r="C1909">
        <f>IFERROR(LARGE(Segmen!$D$3:$D$6000,A1909),"")</f>
        <v/>
      </c>
    </row>
    <row r="1910">
      <c r="A1910" t="n">
        <v>1909</v>
      </c>
      <c r="B1910">
        <f>IFERROR(INDEX(Segmen!$A$3:$A$6000,MATCH(C1910,Segmen!$D$3:$D$6000,0)),"")</f>
        <v/>
      </c>
      <c r="C1910">
        <f>IFERROR(LARGE(Segmen!$D$3:$D$6000,A1910),"")</f>
        <v/>
      </c>
    </row>
    <row r="1911">
      <c r="A1911" t="n">
        <v>1910</v>
      </c>
      <c r="B1911">
        <f>IFERROR(INDEX(Segmen!$A$3:$A$6000,MATCH(C1911,Segmen!$D$3:$D$6000,0)),"")</f>
        <v/>
      </c>
      <c r="C1911">
        <f>IFERROR(LARGE(Segmen!$D$3:$D$6000,A1911),"")</f>
        <v/>
      </c>
    </row>
    <row r="1912">
      <c r="A1912" t="n">
        <v>1911</v>
      </c>
      <c r="B1912">
        <f>IFERROR(INDEX(Segmen!$A$3:$A$6000,MATCH(C1912,Segmen!$D$3:$D$6000,0)),"")</f>
        <v/>
      </c>
      <c r="C1912">
        <f>IFERROR(LARGE(Segmen!$D$3:$D$6000,A1912),"")</f>
        <v/>
      </c>
    </row>
    <row r="1913">
      <c r="A1913" t="n">
        <v>1912</v>
      </c>
      <c r="B1913">
        <f>IFERROR(INDEX(Segmen!$A$3:$A$6000,MATCH(C1913,Segmen!$D$3:$D$6000,0)),"")</f>
        <v/>
      </c>
      <c r="C1913">
        <f>IFERROR(LARGE(Segmen!$D$3:$D$6000,A1913),"")</f>
        <v/>
      </c>
    </row>
    <row r="1914">
      <c r="A1914" t="n">
        <v>1913</v>
      </c>
      <c r="B1914">
        <f>IFERROR(INDEX(Segmen!$A$3:$A$6000,MATCH(C1914,Segmen!$D$3:$D$6000,0)),"")</f>
        <v/>
      </c>
      <c r="C1914">
        <f>IFERROR(LARGE(Segmen!$D$3:$D$6000,A1914),"")</f>
        <v/>
      </c>
    </row>
    <row r="1915">
      <c r="A1915" t="n">
        <v>1914</v>
      </c>
      <c r="B1915">
        <f>IFERROR(INDEX(Segmen!$A$3:$A$6000,MATCH(C1915,Segmen!$D$3:$D$6000,0)),"")</f>
        <v/>
      </c>
      <c r="C1915">
        <f>IFERROR(LARGE(Segmen!$D$3:$D$6000,A1915),"")</f>
        <v/>
      </c>
    </row>
    <row r="1916">
      <c r="A1916" t="n">
        <v>1915</v>
      </c>
      <c r="B1916">
        <f>IFERROR(INDEX(Segmen!$A$3:$A$6000,MATCH(C1916,Segmen!$D$3:$D$6000,0)),"")</f>
        <v/>
      </c>
      <c r="C1916">
        <f>IFERROR(LARGE(Segmen!$D$3:$D$6000,A1916),"")</f>
        <v/>
      </c>
    </row>
    <row r="1917">
      <c r="A1917" t="n">
        <v>1916</v>
      </c>
      <c r="B1917">
        <f>IFERROR(INDEX(Segmen!$A$3:$A$6000,MATCH(C1917,Segmen!$D$3:$D$6000,0)),"")</f>
        <v/>
      </c>
      <c r="C1917">
        <f>IFERROR(LARGE(Segmen!$D$3:$D$6000,A1917),"")</f>
        <v/>
      </c>
    </row>
    <row r="1918">
      <c r="A1918" t="n">
        <v>1917</v>
      </c>
      <c r="B1918">
        <f>IFERROR(INDEX(Segmen!$A$3:$A$6000,MATCH(C1918,Segmen!$D$3:$D$6000,0)),"")</f>
        <v/>
      </c>
      <c r="C1918">
        <f>IFERROR(LARGE(Segmen!$D$3:$D$6000,A1918),"")</f>
        <v/>
      </c>
    </row>
    <row r="1919">
      <c r="A1919" t="n">
        <v>1918</v>
      </c>
      <c r="B1919">
        <f>IFERROR(INDEX(Segmen!$A$3:$A$6000,MATCH(C1919,Segmen!$D$3:$D$6000,0)),"")</f>
        <v/>
      </c>
      <c r="C1919">
        <f>IFERROR(LARGE(Segmen!$D$3:$D$6000,A1919),"")</f>
        <v/>
      </c>
    </row>
    <row r="1920">
      <c r="A1920" t="n">
        <v>1919</v>
      </c>
      <c r="B1920">
        <f>IFERROR(INDEX(Segmen!$A$3:$A$6000,MATCH(C1920,Segmen!$D$3:$D$6000,0)),"")</f>
        <v/>
      </c>
      <c r="C1920">
        <f>IFERROR(LARGE(Segmen!$D$3:$D$6000,A1920),"")</f>
        <v/>
      </c>
    </row>
    <row r="1921">
      <c r="A1921" t="n">
        <v>1920</v>
      </c>
      <c r="B1921">
        <f>IFERROR(INDEX(Segmen!$A$3:$A$6000,MATCH(C1921,Segmen!$D$3:$D$6000,0)),"")</f>
        <v/>
      </c>
      <c r="C1921">
        <f>IFERROR(LARGE(Segmen!$D$3:$D$6000,A1921),"")</f>
        <v/>
      </c>
    </row>
    <row r="1922">
      <c r="A1922" t="n">
        <v>1921</v>
      </c>
      <c r="B1922">
        <f>IFERROR(INDEX(Segmen!$A$3:$A$6000,MATCH(C1922,Segmen!$D$3:$D$6000,0)),"")</f>
        <v/>
      </c>
      <c r="C1922">
        <f>IFERROR(LARGE(Segmen!$D$3:$D$6000,A1922),"")</f>
        <v/>
      </c>
    </row>
    <row r="1923">
      <c r="A1923" t="n">
        <v>1922</v>
      </c>
      <c r="B1923">
        <f>IFERROR(INDEX(Segmen!$A$3:$A$6000,MATCH(C1923,Segmen!$D$3:$D$6000,0)),"")</f>
        <v/>
      </c>
      <c r="C1923">
        <f>IFERROR(LARGE(Segmen!$D$3:$D$6000,A1923),"")</f>
        <v/>
      </c>
    </row>
    <row r="1924">
      <c r="A1924" t="n">
        <v>1923</v>
      </c>
      <c r="B1924">
        <f>IFERROR(INDEX(Segmen!$A$3:$A$6000,MATCH(C1924,Segmen!$D$3:$D$6000,0)),"")</f>
        <v/>
      </c>
      <c r="C1924">
        <f>IFERROR(LARGE(Segmen!$D$3:$D$6000,A1924),"")</f>
        <v/>
      </c>
    </row>
    <row r="1925">
      <c r="A1925" t="n">
        <v>1924</v>
      </c>
      <c r="B1925">
        <f>IFERROR(INDEX(Segmen!$A$3:$A$6000,MATCH(C1925,Segmen!$D$3:$D$6000,0)),"")</f>
        <v/>
      </c>
      <c r="C1925">
        <f>IFERROR(LARGE(Segmen!$D$3:$D$6000,A1925),"")</f>
        <v/>
      </c>
    </row>
    <row r="1926">
      <c r="A1926" t="n">
        <v>1925</v>
      </c>
      <c r="B1926">
        <f>IFERROR(INDEX(Segmen!$A$3:$A$6000,MATCH(C1926,Segmen!$D$3:$D$6000,0)),"")</f>
        <v/>
      </c>
      <c r="C1926">
        <f>IFERROR(LARGE(Segmen!$D$3:$D$6000,A1926),"")</f>
        <v/>
      </c>
    </row>
    <row r="1927">
      <c r="A1927" t="n">
        <v>1926</v>
      </c>
      <c r="B1927">
        <f>IFERROR(INDEX(Segmen!$A$3:$A$6000,MATCH(C1927,Segmen!$D$3:$D$6000,0)),"")</f>
        <v/>
      </c>
      <c r="C1927">
        <f>IFERROR(LARGE(Segmen!$D$3:$D$6000,A1927),"")</f>
        <v/>
      </c>
    </row>
    <row r="1928">
      <c r="A1928" t="n">
        <v>1927</v>
      </c>
      <c r="B1928">
        <f>IFERROR(INDEX(Segmen!$A$3:$A$6000,MATCH(C1928,Segmen!$D$3:$D$6000,0)),"")</f>
        <v/>
      </c>
      <c r="C1928">
        <f>IFERROR(LARGE(Segmen!$D$3:$D$6000,A1928),"")</f>
        <v/>
      </c>
    </row>
    <row r="1929">
      <c r="A1929" t="n">
        <v>1928</v>
      </c>
      <c r="B1929">
        <f>IFERROR(INDEX(Segmen!$A$3:$A$6000,MATCH(C1929,Segmen!$D$3:$D$6000,0)),"")</f>
        <v/>
      </c>
      <c r="C1929">
        <f>IFERROR(LARGE(Segmen!$D$3:$D$6000,A1929),"")</f>
        <v/>
      </c>
    </row>
    <row r="1930">
      <c r="A1930" t="n">
        <v>1929</v>
      </c>
      <c r="B1930">
        <f>IFERROR(INDEX(Segmen!$A$3:$A$6000,MATCH(C1930,Segmen!$D$3:$D$6000,0)),"")</f>
        <v/>
      </c>
      <c r="C1930">
        <f>IFERROR(LARGE(Segmen!$D$3:$D$6000,A1930),"")</f>
        <v/>
      </c>
    </row>
    <row r="1931">
      <c r="A1931" t="n">
        <v>1930</v>
      </c>
      <c r="B1931">
        <f>IFERROR(INDEX(Segmen!$A$3:$A$6000,MATCH(C1931,Segmen!$D$3:$D$6000,0)),"")</f>
        <v/>
      </c>
      <c r="C1931">
        <f>IFERROR(LARGE(Segmen!$D$3:$D$6000,A1931),"")</f>
        <v/>
      </c>
    </row>
    <row r="1932">
      <c r="A1932" t="n">
        <v>1931</v>
      </c>
      <c r="B1932">
        <f>IFERROR(INDEX(Segmen!$A$3:$A$6000,MATCH(C1932,Segmen!$D$3:$D$6000,0)),"")</f>
        <v/>
      </c>
      <c r="C1932">
        <f>IFERROR(LARGE(Segmen!$D$3:$D$6000,A1932),"")</f>
        <v/>
      </c>
    </row>
    <row r="1933">
      <c r="A1933" t="n">
        <v>1932</v>
      </c>
      <c r="B1933">
        <f>IFERROR(INDEX(Segmen!$A$3:$A$6000,MATCH(C1933,Segmen!$D$3:$D$6000,0)),"")</f>
        <v/>
      </c>
      <c r="C1933">
        <f>IFERROR(LARGE(Segmen!$D$3:$D$6000,A1933),"")</f>
        <v/>
      </c>
    </row>
    <row r="1934">
      <c r="A1934" t="n">
        <v>1933</v>
      </c>
      <c r="B1934">
        <f>IFERROR(INDEX(Segmen!$A$3:$A$6000,MATCH(C1934,Segmen!$D$3:$D$6000,0)),"")</f>
        <v/>
      </c>
      <c r="C1934">
        <f>IFERROR(LARGE(Segmen!$D$3:$D$6000,A1934),"")</f>
        <v/>
      </c>
    </row>
    <row r="1935">
      <c r="A1935" t="n">
        <v>1934</v>
      </c>
      <c r="B1935">
        <f>IFERROR(INDEX(Segmen!$A$3:$A$6000,MATCH(C1935,Segmen!$D$3:$D$6000,0)),"")</f>
        <v/>
      </c>
      <c r="C1935">
        <f>IFERROR(LARGE(Segmen!$D$3:$D$6000,A1935),"")</f>
        <v/>
      </c>
    </row>
    <row r="1936">
      <c r="A1936" t="n">
        <v>1935</v>
      </c>
      <c r="B1936">
        <f>IFERROR(INDEX(Segmen!$A$3:$A$6000,MATCH(C1936,Segmen!$D$3:$D$6000,0)),"")</f>
        <v/>
      </c>
      <c r="C1936">
        <f>IFERROR(LARGE(Segmen!$D$3:$D$6000,A1936),"")</f>
        <v/>
      </c>
    </row>
    <row r="1937">
      <c r="A1937" t="n">
        <v>1936</v>
      </c>
      <c r="B1937">
        <f>IFERROR(INDEX(Segmen!$A$3:$A$6000,MATCH(C1937,Segmen!$D$3:$D$6000,0)),"")</f>
        <v/>
      </c>
      <c r="C1937">
        <f>IFERROR(LARGE(Segmen!$D$3:$D$6000,A1937),"")</f>
        <v/>
      </c>
    </row>
    <row r="1938">
      <c r="A1938" t="n">
        <v>1937</v>
      </c>
      <c r="B1938">
        <f>IFERROR(INDEX(Segmen!$A$3:$A$6000,MATCH(C1938,Segmen!$D$3:$D$6000,0)),"")</f>
        <v/>
      </c>
      <c r="C1938">
        <f>IFERROR(LARGE(Segmen!$D$3:$D$6000,A1938),"")</f>
        <v/>
      </c>
    </row>
    <row r="1939">
      <c r="A1939" t="n">
        <v>1938</v>
      </c>
      <c r="B1939">
        <f>IFERROR(INDEX(Segmen!$A$3:$A$6000,MATCH(C1939,Segmen!$D$3:$D$6000,0)),"")</f>
        <v/>
      </c>
      <c r="C1939">
        <f>IFERROR(LARGE(Segmen!$D$3:$D$6000,A1939),"")</f>
        <v/>
      </c>
    </row>
    <row r="1940">
      <c r="A1940" t="n">
        <v>1939</v>
      </c>
      <c r="B1940">
        <f>IFERROR(INDEX(Segmen!$A$3:$A$6000,MATCH(C1940,Segmen!$D$3:$D$6000,0)),"")</f>
        <v/>
      </c>
      <c r="C1940">
        <f>IFERROR(LARGE(Segmen!$D$3:$D$6000,A1940),"")</f>
        <v/>
      </c>
    </row>
    <row r="1941">
      <c r="A1941" t="n">
        <v>1940</v>
      </c>
      <c r="B1941">
        <f>IFERROR(INDEX(Segmen!$A$3:$A$6000,MATCH(C1941,Segmen!$D$3:$D$6000,0)),"")</f>
        <v/>
      </c>
      <c r="C1941">
        <f>IFERROR(LARGE(Segmen!$D$3:$D$6000,A1941),"")</f>
        <v/>
      </c>
    </row>
    <row r="1942">
      <c r="A1942" t="n">
        <v>1941</v>
      </c>
      <c r="B1942">
        <f>IFERROR(INDEX(Segmen!$A$3:$A$6000,MATCH(C1942,Segmen!$D$3:$D$6000,0)),"")</f>
        <v/>
      </c>
      <c r="C1942">
        <f>IFERROR(LARGE(Segmen!$D$3:$D$6000,A1942),"")</f>
        <v/>
      </c>
    </row>
    <row r="1943">
      <c r="A1943" t="n">
        <v>1942</v>
      </c>
      <c r="B1943">
        <f>IFERROR(INDEX(Segmen!$A$3:$A$6000,MATCH(C1943,Segmen!$D$3:$D$6000,0)),"")</f>
        <v/>
      </c>
      <c r="C1943">
        <f>IFERROR(LARGE(Segmen!$D$3:$D$6000,A1943),"")</f>
        <v/>
      </c>
    </row>
    <row r="1944">
      <c r="A1944" t="n">
        <v>1943</v>
      </c>
      <c r="B1944">
        <f>IFERROR(INDEX(Segmen!$A$3:$A$6000,MATCH(C1944,Segmen!$D$3:$D$6000,0)),"")</f>
        <v/>
      </c>
      <c r="C1944">
        <f>IFERROR(LARGE(Segmen!$D$3:$D$6000,A1944),"")</f>
        <v/>
      </c>
    </row>
    <row r="1945">
      <c r="A1945" t="n">
        <v>1944</v>
      </c>
      <c r="B1945">
        <f>IFERROR(INDEX(Segmen!$A$3:$A$6000,MATCH(C1945,Segmen!$D$3:$D$6000,0)),"")</f>
        <v/>
      </c>
      <c r="C1945">
        <f>IFERROR(LARGE(Segmen!$D$3:$D$6000,A1945),"")</f>
        <v/>
      </c>
    </row>
    <row r="1946">
      <c r="A1946" t="n">
        <v>1945</v>
      </c>
      <c r="B1946">
        <f>IFERROR(INDEX(Segmen!$A$3:$A$6000,MATCH(C1946,Segmen!$D$3:$D$6000,0)),"")</f>
        <v/>
      </c>
      <c r="C1946">
        <f>IFERROR(LARGE(Segmen!$D$3:$D$6000,A1946),"")</f>
        <v/>
      </c>
    </row>
    <row r="1947">
      <c r="A1947" t="n">
        <v>1946</v>
      </c>
      <c r="B1947">
        <f>IFERROR(INDEX(Segmen!$A$3:$A$6000,MATCH(C1947,Segmen!$D$3:$D$6000,0)),"")</f>
        <v/>
      </c>
      <c r="C1947">
        <f>IFERROR(LARGE(Segmen!$D$3:$D$6000,A1947),"")</f>
        <v/>
      </c>
    </row>
    <row r="1948">
      <c r="A1948" t="n">
        <v>1947</v>
      </c>
      <c r="B1948">
        <f>IFERROR(INDEX(Segmen!$A$3:$A$6000,MATCH(C1948,Segmen!$D$3:$D$6000,0)),"")</f>
        <v/>
      </c>
      <c r="C1948">
        <f>IFERROR(LARGE(Segmen!$D$3:$D$6000,A1948),"")</f>
        <v/>
      </c>
    </row>
    <row r="1949">
      <c r="A1949" t="n">
        <v>1948</v>
      </c>
      <c r="B1949">
        <f>IFERROR(INDEX(Segmen!$A$3:$A$6000,MATCH(C1949,Segmen!$D$3:$D$6000,0)),"")</f>
        <v/>
      </c>
      <c r="C1949">
        <f>IFERROR(LARGE(Segmen!$D$3:$D$6000,A1949),"")</f>
        <v/>
      </c>
    </row>
    <row r="1950">
      <c r="A1950" t="n">
        <v>1949</v>
      </c>
      <c r="B1950">
        <f>IFERROR(INDEX(Segmen!$A$3:$A$6000,MATCH(C1950,Segmen!$D$3:$D$6000,0)),"")</f>
        <v/>
      </c>
      <c r="C1950">
        <f>IFERROR(LARGE(Segmen!$D$3:$D$6000,A1950),"")</f>
        <v/>
      </c>
    </row>
    <row r="1951">
      <c r="A1951" t="n">
        <v>1950</v>
      </c>
      <c r="B1951">
        <f>IFERROR(INDEX(Segmen!$A$3:$A$6000,MATCH(C1951,Segmen!$D$3:$D$6000,0)),"")</f>
        <v/>
      </c>
      <c r="C1951">
        <f>IFERROR(LARGE(Segmen!$D$3:$D$6000,A1951),"")</f>
        <v/>
      </c>
    </row>
    <row r="1952">
      <c r="A1952" t="n">
        <v>1951</v>
      </c>
      <c r="B1952">
        <f>IFERROR(INDEX(Segmen!$A$3:$A$6000,MATCH(C1952,Segmen!$D$3:$D$6000,0)),"")</f>
        <v/>
      </c>
      <c r="C1952">
        <f>IFERROR(LARGE(Segmen!$D$3:$D$6000,A1952),"")</f>
        <v/>
      </c>
    </row>
    <row r="1953">
      <c r="A1953" t="n">
        <v>1952</v>
      </c>
      <c r="B1953">
        <f>IFERROR(INDEX(Segmen!$A$3:$A$6000,MATCH(C1953,Segmen!$D$3:$D$6000,0)),"")</f>
        <v/>
      </c>
      <c r="C1953">
        <f>IFERROR(LARGE(Segmen!$D$3:$D$6000,A1953),"")</f>
        <v/>
      </c>
    </row>
    <row r="1954">
      <c r="A1954" t="n">
        <v>1953</v>
      </c>
      <c r="B1954">
        <f>IFERROR(INDEX(Segmen!$A$3:$A$6000,MATCH(C1954,Segmen!$D$3:$D$6000,0)),"")</f>
        <v/>
      </c>
      <c r="C1954">
        <f>IFERROR(LARGE(Segmen!$D$3:$D$6000,A1954),"")</f>
        <v/>
      </c>
    </row>
    <row r="1955">
      <c r="A1955" t="n">
        <v>1954</v>
      </c>
      <c r="B1955">
        <f>IFERROR(INDEX(Segmen!$A$3:$A$6000,MATCH(C1955,Segmen!$D$3:$D$6000,0)),"")</f>
        <v/>
      </c>
      <c r="C1955">
        <f>IFERROR(LARGE(Segmen!$D$3:$D$6000,A1955),"")</f>
        <v/>
      </c>
    </row>
    <row r="1956">
      <c r="A1956" t="n">
        <v>1955</v>
      </c>
      <c r="B1956">
        <f>IFERROR(INDEX(Segmen!$A$3:$A$6000,MATCH(C1956,Segmen!$D$3:$D$6000,0)),"")</f>
        <v/>
      </c>
      <c r="C1956">
        <f>IFERROR(LARGE(Segmen!$D$3:$D$6000,A1956),"")</f>
        <v/>
      </c>
    </row>
    <row r="1957">
      <c r="A1957" t="n">
        <v>1956</v>
      </c>
      <c r="B1957">
        <f>IFERROR(INDEX(Segmen!$A$3:$A$6000,MATCH(C1957,Segmen!$D$3:$D$6000,0)),"")</f>
        <v/>
      </c>
      <c r="C1957">
        <f>IFERROR(LARGE(Segmen!$D$3:$D$6000,A1957),"")</f>
        <v/>
      </c>
    </row>
    <row r="1958">
      <c r="A1958" t="n">
        <v>1957</v>
      </c>
      <c r="B1958">
        <f>IFERROR(INDEX(Segmen!$A$3:$A$6000,MATCH(C1958,Segmen!$D$3:$D$6000,0)),"")</f>
        <v/>
      </c>
      <c r="C1958">
        <f>IFERROR(LARGE(Segmen!$D$3:$D$6000,A1958),"")</f>
        <v/>
      </c>
    </row>
    <row r="1959">
      <c r="A1959" t="n">
        <v>1958</v>
      </c>
      <c r="B1959">
        <f>IFERROR(INDEX(Segmen!$A$3:$A$6000,MATCH(C1959,Segmen!$D$3:$D$6000,0)),"")</f>
        <v/>
      </c>
      <c r="C1959">
        <f>IFERROR(LARGE(Segmen!$D$3:$D$6000,A1959),"")</f>
        <v/>
      </c>
    </row>
    <row r="1960">
      <c r="A1960" t="n">
        <v>1959</v>
      </c>
      <c r="B1960">
        <f>IFERROR(INDEX(Segmen!$A$3:$A$6000,MATCH(C1960,Segmen!$D$3:$D$6000,0)),"")</f>
        <v/>
      </c>
      <c r="C1960">
        <f>IFERROR(LARGE(Segmen!$D$3:$D$6000,A1960),"")</f>
        <v/>
      </c>
    </row>
    <row r="1961">
      <c r="A1961" t="n">
        <v>1960</v>
      </c>
      <c r="B1961">
        <f>IFERROR(INDEX(Segmen!$A$3:$A$6000,MATCH(C1961,Segmen!$D$3:$D$6000,0)),"")</f>
        <v/>
      </c>
      <c r="C1961">
        <f>IFERROR(LARGE(Segmen!$D$3:$D$6000,A1961),"")</f>
        <v/>
      </c>
    </row>
    <row r="1962">
      <c r="A1962" t="n">
        <v>1961</v>
      </c>
      <c r="B1962">
        <f>IFERROR(INDEX(Segmen!$A$3:$A$6000,MATCH(C1962,Segmen!$D$3:$D$6000,0)),"")</f>
        <v/>
      </c>
      <c r="C1962">
        <f>IFERROR(LARGE(Segmen!$D$3:$D$6000,A1962),"")</f>
        <v/>
      </c>
    </row>
    <row r="1963">
      <c r="A1963" t="n">
        <v>1962</v>
      </c>
      <c r="B1963">
        <f>IFERROR(INDEX(Segmen!$A$3:$A$6000,MATCH(C1963,Segmen!$D$3:$D$6000,0)),"")</f>
        <v/>
      </c>
      <c r="C1963">
        <f>IFERROR(LARGE(Segmen!$D$3:$D$6000,A1963),"")</f>
        <v/>
      </c>
    </row>
    <row r="1964">
      <c r="A1964" t="n">
        <v>1963</v>
      </c>
      <c r="B1964">
        <f>IFERROR(INDEX(Segmen!$A$3:$A$6000,MATCH(C1964,Segmen!$D$3:$D$6000,0)),"")</f>
        <v/>
      </c>
      <c r="C1964">
        <f>IFERROR(LARGE(Segmen!$D$3:$D$6000,A1964),"")</f>
        <v/>
      </c>
    </row>
    <row r="1965">
      <c r="A1965" t="n">
        <v>1964</v>
      </c>
      <c r="B1965">
        <f>IFERROR(INDEX(Segmen!$A$3:$A$6000,MATCH(C1965,Segmen!$D$3:$D$6000,0)),"")</f>
        <v/>
      </c>
      <c r="C1965">
        <f>IFERROR(LARGE(Segmen!$D$3:$D$6000,A1965),"")</f>
        <v/>
      </c>
    </row>
    <row r="1966">
      <c r="A1966" t="n">
        <v>1965</v>
      </c>
      <c r="B1966">
        <f>IFERROR(INDEX(Segmen!$A$3:$A$6000,MATCH(C1966,Segmen!$D$3:$D$6000,0)),"")</f>
        <v/>
      </c>
      <c r="C1966">
        <f>IFERROR(LARGE(Segmen!$D$3:$D$6000,A1966),"")</f>
        <v/>
      </c>
    </row>
    <row r="1967">
      <c r="A1967" t="n">
        <v>1966</v>
      </c>
      <c r="B1967">
        <f>IFERROR(INDEX(Segmen!$A$3:$A$6000,MATCH(C1967,Segmen!$D$3:$D$6000,0)),"")</f>
        <v/>
      </c>
      <c r="C1967">
        <f>IFERROR(LARGE(Segmen!$D$3:$D$6000,A1967),"")</f>
        <v/>
      </c>
    </row>
    <row r="1968">
      <c r="A1968" t="n">
        <v>1967</v>
      </c>
      <c r="B1968">
        <f>IFERROR(INDEX(Segmen!$A$3:$A$6000,MATCH(C1968,Segmen!$D$3:$D$6000,0)),"")</f>
        <v/>
      </c>
      <c r="C1968">
        <f>IFERROR(LARGE(Segmen!$D$3:$D$6000,A1968),"")</f>
        <v/>
      </c>
    </row>
    <row r="1969">
      <c r="A1969" t="n">
        <v>1968</v>
      </c>
      <c r="B1969">
        <f>IFERROR(INDEX(Segmen!$A$3:$A$6000,MATCH(C1969,Segmen!$D$3:$D$6000,0)),"")</f>
        <v/>
      </c>
      <c r="C1969">
        <f>IFERROR(LARGE(Segmen!$D$3:$D$6000,A1969),"")</f>
        <v/>
      </c>
    </row>
    <row r="1970">
      <c r="A1970" t="n">
        <v>1969</v>
      </c>
      <c r="B1970">
        <f>IFERROR(INDEX(Segmen!$A$3:$A$6000,MATCH(C1970,Segmen!$D$3:$D$6000,0)),"")</f>
        <v/>
      </c>
      <c r="C1970">
        <f>IFERROR(LARGE(Segmen!$D$3:$D$6000,A1970),"")</f>
        <v/>
      </c>
    </row>
    <row r="1971">
      <c r="A1971" t="n">
        <v>1970</v>
      </c>
      <c r="B1971">
        <f>IFERROR(INDEX(Segmen!$A$3:$A$6000,MATCH(C1971,Segmen!$D$3:$D$6000,0)),"")</f>
        <v/>
      </c>
      <c r="C1971">
        <f>IFERROR(LARGE(Segmen!$D$3:$D$6000,A1971),"")</f>
        <v/>
      </c>
    </row>
    <row r="1972">
      <c r="A1972" t="n">
        <v>1971</v>
      </c>
      <c r="B1972">
        <f>IFERROR(INDEX(Segmen!$A$3:$A$6000,MATCH(C1972,Segmen!$D$3:$D$6000,0)),"")</f>
        <v/>
      </c>
      <c r="C1972">
        <f>IFERROR(LARGE(Segmen!$D$3:$D$6000,A1972),"")</f>
        <v/>
      </c>
    </row>
    <row r="1973">
      <c r="A1973" t="n">
        <v>1972</v>
      </c>
      <c r="B1973">
        <f>IFERROR(INDEX(Segmen!$A$3:$A$6000,MATCH(C1973,Segmen!$D$3:$D$6000,0)),"")</f>
        <v/>
      </c>
      <c r="C1973">
        <f>IFERROR(LARGE(Segmen!$D$3:$D$6000,A1973),"")</f>
        <v/>
      </c>
    </row>
    <row r="1974">
      <c r="A1974" t="n">
        <v>1973</v>
      </c>
      <c r="B1974">
        <f>IFERROR(INDEX(Segmen!$A$3:$A$6000,MATCH(C1974,Segmen!$D$3:$D$6000,0)),"")</f>
        <v/>
      </c>
      <c r="C1974">
        <f>IFERROR(LARGE(Segmen!$D$3:$D$6000,A1974),"")</f>
        <v/>
      </c>
    </row>
    <row r="1975">
      <c r="A1975" t="n">
        <v>1974</v>
      </c>
      <c r="B1975">
        <f>IFERROR(INDEX(Segmen!$A$3:$A$6000,MATCH(C1975,Segmen!$D$3:$D$6000,0)),"")</f>
        <v/>
      </c>
      <c r="C1975">
        <f>IFERROR(LARGE(Segmen!$D$3:$D$6000,A1975),"")</f>
        <v/>
      </c>
    </row>
    <row r="1976">
      <c r="A1976" t="n">
        <v>1975</v>
      </c>
      <c r="B1976">
        <f>IFERROR(INDEX(Segmen!$A$3:$A$6000,MATCH(C1976,Segmen!$D$3:$D$6000,0)),"")</f>
        <v/>
      </c>
      <c r="C1976">
        <f>IFERROR(LARGE(Segmen!$D$3:$D$6000,A1976),"")</f>
        <v/>
      </c>
    </row>
    <row r="1977">
      <c r="A1977" t="n">
        <v>1976</v>
      </c>
      <c r="B1977">
        <f>IFERROR(INDEX(Segmen!$A$3:$A$6000,MATCH(C1977,Segmen!$D$3:$D$6000,0)),"")</f>
        <v/>
      </c>
      <c r="C1977">
        <f>IFERROR(LARGE(Segmen!$D$3:$D$6000,A1977),"")</f>
        <v/>
      </c>
    </row>
    <row r="1978">
      <c r="A1978" t="n">
        <v>1977</v>
      </c>
      <c r="B1978">
        <f>IFERROR(INDEX(Segmen!$A$3:$A$6000,MATCH(C1978,Segmen!$D$3:$D$6000,0)),"")</f>
        <v/>
      </c>
      <c r="C1978">
        <f>IFERROR(LARGE(Segmen!$D$3:$D$6000,A1978),"")</f>
        <v/>
      </c>
    </row>
    <row r="1979">
      <c r="A1979" t="n">
        <v>1978</v>
      </c>
      <c r="B1979">
        <f>IFERROR(INDEX(Segmen!$A$3:$A$6000,MATCH(C1979,Segmen!$D$3:$D$6000,0)),"")</f>
        <v/>
      </c>
      <c r="C1979">
        <f>IFERROR(LARGE(Segmen!$D$3:$D$6000,A1979),"")</f>
        <v/>
      </c>
    </row>
    <row r="1980">
      <c r="A1980" t="n">
        <v>1979</v>
      </c>
      <c r="B1980">
        <f>IFERROR(INDEX(Segmen!$A$3:$A$6000,MATCH(C1980,Segmen!$D$3:$D$6000,0)),"")</f>
        <v/>
      </c>
      <c r="C1980">
        <f>IFERROR(LARGE(Segmen!$D$3:$D$6000,A1980),"")</f>
        <v/>
      </c>
    </row>
    <row r="1981">
      <c r="A1981" t="n">
        <v>1980</v>
      </c>
      <c r="B1981">
        <f>IFERROR(INDEX(Segmen!$A$3:$A$6000,MATCH(C1981,Segmen!$D$3:$D$6000,0)),"")</f>
        <v/>
      </c>
      <c r="C1981">
        <f>IFERROR(LARGE(Segmen!$D$3:$D$6000,A1981),"")</f>
        <v/>
      </c>
    </row>
    <row r="1982">
      <c r="A1982" t="n">
        <v>1981</v>
      </c>
      <c r="B1982">
        <f>IFERROR(INDEX(Segmen!$A$3:$A$6000,MATCH(C1982,Segmen!$D$3:$D$6000,0)),"")</f>
        <v/>
      </c>
      <c r="C1982">
        <f>IFERROR(LARGE(Segmen!$D$3:$D$6000,A1982),"")</f>
        <v/>
      </c>
    </row>
    <row r="1983">
      <c r="A1983" t="n">
        <v>1982</v>
      </c>
      <c r="B1983">
        <f>IFERROR(INDEX(Segmen!$A$3:$A$6000,MATCH(C1983,Segmen!$D$3:$D$6000,0)),"")</f>
        <v/>
      </c>
      <c r="C1983">
        <f>IFERROR(LARGE(Segmen!$D$3:$D$6000,A1983),"")</f>
        <v/>
      </c>
    </row>
    <row r="1984">
      <c r="A1984" t="n">
        <v>1983</v>
      </c>
      <c r="B1984">
        <f>IFERROR(INDEX(Segmen!$A$3:$A$6000,MATCH(C1984,Segmen!$D$3:$D$6000,0)),"")</f>
        <v/>
      </c>
      <c r="C1984">
        <f>IFERROR(LARGE(Segmen!$D$3:$D$6000,A1984),"")</f>
        <v/>
      </c>
    </row>
    <row r="1985">
      <c r="A1985" t="n">
        <v>1984</v>
      </c>
      <c r="B1985">
        <f>IFERROR(INDEX(Segmen!$A$3:$A$6000,MATCH(C1985,Segmen!$D$3:$D$6000,0)),"")</f>
        <v/>
      </c>
      <c r="C1985">
        <f>IFERROR(LARGE(Segmen!$D$3:$D$6000,A1985),"")</f>
        <v/>
      </c>
    </row>
    <row r="1986">
      <c r="A1986" t="n">
        <v>1985</v>
      </c>
      <c r="B1986">
        <f>IFERROR(INDEX(Segmen!$A$3:$A$6000,MATCH(C1986,Segmen!$D$3:$D$6000,0)),"")</f>
        <v/>
      </c>
      <c r="C1986">
        <f>IFERROR(LARGE(Segmen!$D$3:$D$6000,A1986),"")</f>
        <v/>
      </c>
    </row>
    <row r="1987">
      <c r="A1987" t="n">
        <v>1986</v>
      </c>
      <c r="B1987">
        <f>IFERROR(INDEX(Segmen!$A$3:$A$6000,MATCH(C1987,Segmen!$D$3:$D$6000,0)),"")</f>
        <v/>
      </c>
      <c r="C1987">
        <f>IFERROR(LARGE(Segmen!$D$3:$D$6000,A1987),"")</f>
        <v/>
      </c>
    </row>
    <row r="1988">
      <c r="A1988" t="n">
        <v>1987</v>
      </c>
      <c r="B1988">
        <f>IFERROR(INDEX(Segmen!$A$3:$A$6000,MATCH(C1988,Segmen!$D$3:$D$6000,0)),"")</f>
        <v/>
      </c>
      <c r="C1988">
        <f>IFERROR(LARGE(Segmen!$D$3:$D$6000,A1988),"")</f>
        <v/>
      </c>
    </row>
    <row r="1989">
      <c r="A1989" t="n">
        <v>1988</v>
      </c>
      <c r="B1989">
        <f>IFERROR(INDEX(Segmen!$A$3:$A$6000,MATCH(C1989,Segmen!$D$3:$D$6000,0)),"")</f>
        <v/>
      </c>
      <c r="C1989">
        <f>IFERROR(LARGE(Segmen!$D$3:$D$6000,A1989),"")</f>
        <v/>
      </c>
    </row>
    <row r="1990">
      <c r="A1990" t="n">
        <v>1989</v>
      </c>
      <c r="B1990">
        <f>IFERROR(INDEX(Segmen!$A$3:$A$6000,MATCH(C1990,Segmen!$D$3:$D$6000,0)),"")</f>
        <v/>
      </c>
      <c r="C1990">
        <f>IFERROR(LARGE(Segmen!$D$3:$D$6000,A1990),"")</f>
        <v/>
      </c>
    </row>
    <row r="1991">
      <c r="A1991" t="n">
        <v>1990</v>
      </c>
      <c r="B1991">
        <f>IFERROR(INDEX(Segmen!$A$3:$A$6000,MATCH(C1991,Segmen!$D$3:$D$6000,0)),"")</f>
        <v/>
      </c>
      <c r="C1991">
        <f>IFERROR(LARGE(Segmen!$D$3:$D$6000,A1991),"")</f>
        <v/>
      </c>
    </row>
    <row r="1992">
      <c r="A1992" t="n">
        <v>1991</v>
      </c>
      <c r="B1992">
        <f>IFERROR(INDEX(Segmen!$A$3:$A$6000,MATCH(C1992,Segmen!$D$3:$D$6000,0)),"")</f>
        <v/>
      </c>
      <c r="C1992">
        <f>IFERROR(LARGE(Segmen!$D$3:$D$6000,A1992),"")</f>
        <v/>
      </c>
    </row>
    <row r="1993">
      <c r="A1993" t="n">
        <v>1992</v>
      </c>
      <c r="B1993">
        <f>IFERROR(INDEX(Segmen!$A$3:$A$6000,MATCH(C1993,Segmen!$D$3:$D$6000,0)),"")</f>
        <v/>
      </c>
      <c r="C1993">
        <f>IFERROR(LARGE(Segmen!$D$3:$D$6000,A1993),"")</f>
        <v/>
      </c>
    </row>
    <row r="1994">
      <c r="A1994" t="n">
        <v>1993</v>
      </c>
      <c r="B1994">
        <f>IFERROR(INDEX(Segmen!$A$3:$A$6000,MATCH(C1994,Segmen!$D$3:$D$6000,0)),"")</f>
        <v/>
      </c>
      <c r="C1994">
        <f>IFERROR(LARGE(Segmen!$D$3:$D$6000,A1994),"")</f>
        <v/>
      </c>
    </row>
    <row r="1995">
      <c r="A1995" t="n">
        <v>1994</v>
      </c>
      <c r="B1995">
        <f>IFERROR(INDEX(Segmen!$A$3:$A$6000,MATCH(C1995,Segmen!$D$3:$D$6000,0)),"")</f>
        <v/>
      </c>
      <c r="C1995">
        <f>IFERROR(LARGE(Segmen!$D$3:$D$6000,A1995),"")</f>
        <v/>
      </c>
    </row>
    <row r="1996">
      <c r="A1996" t="n">
        <v>1995</v>
      </c>
      <c r="B1996">
        <f>IFERROR(INDEX(Segmen!$A$3:$A$6000,MATCH(C1996,Segmen!$D$3:$D$6000,0)),"")</f>
        <v/>
      </c>
      <c r="C1996">
        <f>IFERROR(LARGE(Segmen!$D$3:$D$6000,A1996),"")</f>
        <v/>
      </c>
    </row>
    <row r="1997">
      <c r="A1997" t="n">
        <v>1996</v>
      </c>
      <c r="B1997">
        <f>IFERROR(INDEX(Segmen!$A$3:$A$6000,MATCH(C1997,Segmen!$D$3:$D$6000,0)),"")</f>
        <v/>
      </c>
      <c r="C1997">
        <f>IFERROR(LARGE(Segmen!$D$3:$D$6000,A1997),"")</f>
        <v/>
      </c>
    </row>
    <row r="1998">
      <c r="A1998" t="n">
        <v>1997</v>
      </c>
      <c r="B1998">
        <f>IFERROR(INDEX(Segmen!$A$3:$A$6000,MATCH(C1998,Segmen!$D$3:$D$6000,0)),"")</f>
        <v/>
      </c>
      <c r="C1998">
        <f>IFERROR(LARGE(Segmen!$D$3:$D$6000,A1998),"")</f>
        <v/>
      </c>
    </row>
    <row r="1999">
      <c r="A1999" t="n">
        <v>1998</v>
      </c>
      <c r="B1999">
        <f>IFERROR(INDEX(Segmen!$A$3:$A$6000,MATCH(C1999,Segmen!$D$3:$D$6000,0)),"")</f>
        <v/>
      </c>
      <c r="C1999">
        <f>IFERROR(LARGE(Segmen!$D$3:$D$6000,A1999),"")</f>
        <v/>
      </c>
    </row>
    <row r="2000">
      <c r="A2000" t="n">
        <v>1999</v>
      </c>
      <c r="B2000">
        <f>IFERROR(INDEX(Segmen!$A$3:$A$6000,MATCH(C2000,Segmen!$D$3:$D$6000,0)),"")</f>
        <v/>
      </c>
      <c r="C2000">
        <f>IFERROR(LARGE(Segmen!$D$3:$D$6000,A2000),"")</f>
        <v/>
      </c>
    </row>
    <row r="2001">
      <c r="A2001" t="n">
        <v>2000</v>
      </c>
      <c r="B2001">
        <f>IFERROR(INDEX(Segmen!$A$3:$A$6000,MATCH(C2001,Segmen!$D$3:$D$6000,0)),"")</f>
        <v/>
      </c>
      <c r="C2001">
        <f>IFERROR(LARGE(Segmen!$D$3:$D$6000,A2001),"")</f>
        <v/>
      </c>
    </row>
    <row r="2002">
      <c r="A2002" t="n">
        <v>2001</v>
      </c>
      <c r="B2002">
        <f>IFERROR(INDEX(Segmen!$A$3:$A$6000,MATCH(C2002,Segmen!$D$3:$D$6000,0)),"")</f>
        <v/>
      </c>
      <c r="C2002">
        <f>IFERROR(LARGE(Segmen!$D$3:$D$6000,A2002),"")</f>
        <v/>
      </c>
    </row>
    <row r="2003">
      <c r="A2003" t="n">
        <v>2002</v>
      </c>
      <c r="B2003">
        <f>IFERROR(INDEX(Segmen!$A$3:$A$6000,MATCH(C2003,Segmen!$D$3:$D$6000,0)),"")</f>
        <v/>
      </c>
      <c r="C2003">
        <f>IFERROR(LARGE(Segmen!$D$3:$D$6000,A2003),"")</f>
        <v/>
      </c>
    </row>
    <row r="2004">
      <c r="A2004" t="n">
        <v>2003</v>
      </c>
      <c r="B2004">
        <f>IFERROR(INDEX(Segmen!$A$3:$A$6000,MATCH(C2004,Segmen!$D$3:$D$6000,0)),"")</f>
        <v/>
      </c>
      <c r="C2004">
        <f>IFERROR(LARGE(Segmen!$D$3:$D$6000,A2004),"")</f>
        <v/>
      </c>
    </row>
    <row r="2005">
      <c r="A2005" t="n">
        <v>2004</v>
      </c>
      <c r="B2005">
        <f>IFERROR(INDEX(Segmen!$A$3:$A$6000,MATCH(C2005,Segmen!$D$3:$D$6000,0)),"")</f>
        <v/>
      </c>
      <c r="C2005">
        <f>IFERROR(LARGE(Segmen!$D$3:$D$6000,A2005),"")</f>
        <v/>
      </c>
    </row>
    <row r="2006">
      <c r="A2006" t="n">
        <v>2005</v>
      </c>
      <c r="B2006">
        <f>IFERROR(INDEX(Segmen!$A$3:$A$6000,MATCH(C2006,Segmen!$D$3:$D$6000,0)),"")</f>
        <v/>
      </c>
      <c r="C2006">
        <f>IFERROR(LARGE(Segmen!$D$3:$D$6000,A2006),"")</f>
        <v/>
      </c>
    </row>
    <row r="2007">
      <c r="A2007" t="n">
        <v>2006</v>
      </c>
      <c r="B2007">
        <f>IFERROR(INDEX(Segmen!$A$3:$A$6000,MATCH(C2007,Segmen!$D$3:$D$6000,0)),"")</f>
        <v/>
      </c>
      <c r="C2007">
        <f>IFERROR(LARGE(Segmen!$D$3:$D$6000,A2007),"")</f>
        <v/>
      </c>
    </row>
    <row r="2008">
      <c r="A2008" t="n">
        <v>2007</v>
      </c>
      <c r="B2008">
        <f>IFERROR(INDEX(Segmen!$A$3:$A$6000,MATCH(C2008,Segmen!$D$3:$D$6000,0)),"")</f>
        <v/>
      </c>
      <c r="C2008">
        <f>IFERROR(LARGE(Segmen!$D$3:$D$6000,A2008),"")</f>
        <v/>
      </c>
    </row>
    <row r="2009">
      <c r="A2009" t="n">
        <v>2008</v>
      </c>
      <c r="B2009">
        <f>IFERROR(INDEX(Segmen!$A$3:$A$6000,MATCH(C2009,Segmen!$D$3:$D$6000,0)),"")</f>
        <v/>
      </c>
      <c r="C2009">
        <f>IFERROR(LARGE(Segmen!$D$3:$D$6000,A2009),"")</f>
        <v/>
      </c>
    </row>
    <row r="2010">
      <c r="A2010" t="n">
        <v>2009</v>
      </c>
      <c r="B2010">
        <f>IFERROR(INDEX(Segmen!$A$3:$A$6000,MATCH(C2010,Segmen!$D$3:$D$6000,0)),"")</f>
        <v/>
      </c>
      <c r="C2010">
        <f>IFERROR(LARGE(Segmen!$D$3:$D$6000,A2010),"")</f>
        <v/>
      </c>
    </row>
    <row r="2011">
      <c r="A2011" t="n">
        <v>2010</v>
      </c>
      <c r="B2011">
        <f>IFERROR(INDEX(Segmen!$A$3:$A$6000,MATCH(C2011,Segmen!$D$3:$D$6000,0)),"")</f>
        <v/>
      </c>
      <c r="C2011">
        <f>IFERROR(LARGE(Segmen!$D$3:$D$6000,A2011),"")</f>
        <v/>
      </c>
    </row>
    <row r="2012">
      <c r="A2012" t="n">
        <v>2011</v>
      </c>
      <c r="B2012">
        <f>IFERROR(INDEX(Segmen!$A$3:$A$6000,MATCH(C2012,Segmen!$D$3:$D$6000,0)),"")</f>
        <v/>
      </c>
      <c r="C2012">
        <f>IFERROR(LARGE(Segmen!$D$3:$D$6000,A2012),"")</f>
        <v/>
      </c>
    </row>
    <row r="2013">
      <c r="A2013" t="n">
        <v>2012</v>
      </c>
      <c r="B2013">
        <f>IFERROR(INDEX(Segmen!$A$3:$A$6000,MATCH(C2013,Segmen!$D$3:$D$6000,0)),"")</f>
        <v/>
      </c>
      <c r="C2013">
        <f>IFERROR(LARGE(Segmen!$D$3:$D$6000,A2013),"")</f>
        <v/>
      </c>
    </row>
    <row r="2014">
      <c r="A2014" t="n">
        <v>2013</v>
      </c>
      <c r="B2014">
        <f>IFERROR(INDEX(Segmen!$A$3:$A$6000,MATCH(C2014,Segmen!$D$3:$D$6000,0)),"")</f>
        <v/>
      </c>
      <c r="C2014">
        <f>IFERROR(LARGE(Segmen!$D$3:$D$6000,A2014),"")</f>
        <v/>
      </c>
    </row>
    <row r="2015">
      <c r="A2015" t="n">
        <v>2014</v>
      </c>
      <c r="B2015">
        <f>IFERROR(INDEX(Segmen!$A$3:$A$6000,MATCH(C2015,Segmen!$D$3:$D$6000,0)),"")</f>
        <v/>
      </c>
      <c r="C2015">
        <f>IFERROR(LARGE(Segmen!$D$3:$D$6000,A2015),"")</f>
        <v/>
      </c>
    </row>
    <row r="2016">
      <c r="A2016" t="n">
        <v>2015</v>
      </c>
      <c r="B2016">
        <f>IFERROR(INDEX(Segmen!$A$3:$A$6000,MATCH(C2016,Segmen!$D$3:$D$6000,0)),"")</f>
        <v/>
      </c>
      <c r="C2016">
        <f>IFERROR(LARGE(Segmen!$D$3:$D$6000,A2016),"")</f>
        <v/>
      </c>
    </row>
    <row r="2017">
      <c r="A2017" t="n">
        <v>2016</v>
      </c>
      <c r="B2017">
        <f>IFERROR(INDEX(Segmen!$A$3:$A$6000,MATCH(C2017,Segmen!$D$3:$D$6000,0)),"")</f>
        <v/>
      </c>
      <c r="C2017">
        <f>IFERROR(LARGE(Segmen!$D$3:$D$6000,A2017),"")</f>
        <v/>
      </c>
    </row>
    <row r="2018">
      <c r="A2018" t="n">
        <v>2017</v>
      </c>
      <c r="B2018">
        <f>IFERROR(INDEX(Segmen!$A$3:$A$6000,MATCH(C2018,Segmen!$D$3:$D$6000,0)),"")</f>
        <v/>
      </c>
      <c r="C2018">
        <f>IFERROR(LARGE(Segmen!$D$3:$D$6000,A2018),"")</f>
        <v/>
      </c>
    </row>
    <row r="2019">
      <c r="A2019" t="n">
        <v>2018</v>
      </c>
      <c r="B2019">
        <f>IFERROR(INDEX(Segmen!$A$3:$A$6000,MATCH(C2019,Segmen!$D$3:$D$6000,0)),"")</f>
        <v/>
      </c>
      <c r="C2019">
        <f>IFERROR(LARGE(Segmen!$D$3:$D$6000,A2019),"")</f>
        <v/>
      </c>
    </row>
    <row r="2020">
      <c r="A2020" t="n">
        <v>2019</v>
      </c>
      <c r="B2020">
        <f>IFERROR(INDEX(Segmen!$A$3:$A$6000,MATCH(C2020,Segmen!$D$3:$D$6000,0)),"")</f>
        <v/>
      </c>
      <c r="C2020">
        <f>IFERROR(LARGE(Segmen!$D$3:$D$6000,A2020),"")</f>
        <v/>
      </c>
    </row>
    <row r="2021">
      <c r="A2021" t="n">
        <v>2020</v>
      </c>
      <c r="B2021">
        <f>IFERROR(INDEX(Segmen!$A$3:$A$6000,MATCH(C2021,Segmen!$D$3:$D$6000,0)),"")</f>
        <v/>
      </c>
      <c r="C2021">
        <f>IFERROR(LARGE(Segmen!$D$3:$D$6000,A2021),"")</f>
        <v/>
      </c>
    </row>
    <row r="2022">
      <c r="A2022" t="n">
        <v>2021</v>
      </c>
      <c r="B2022">
        <f>IFERROR(INDEX(Segmen!$A$3:$A$6000,MATCH(C2022,Segmen!$D$3:$D$6000,0)),"")</f>
        <v/>
      </c>
      <c r="C2022">
        <f>IFERROR(LARGE(Segmen!$D$3:$D$6000,A2022),"")</f>
        <v/>
      </c>
    </row>
    <row r="2023">
      <c r="A2023" t="n">
        <v>2022</v>
      </c>
      <c r="B2023">
        <f>IFERROR(INDEX(Segmen!$A$3:$A$6000,MATCH(C2023,Segmen!$D$3:$D$6000,0)),"")</f>
        <v/>
      </c>
      <c r="C2023">
        <f>IFERROR(LARGE(Segmen!$D$3:$D$6000,A2023),"")</f>
        <v/>
      </c>
    </row>
    <row r="2024">
      <c r="A2024" t="n">
        <v>2023</v>
      </c>
      <c r="B2024">
        <f>IFERROR(INDEX(Segmen!$A$3:$A$6000,MATCH(C2024,Segmen!$D$3:$D$6000,0)),"")</f>
        <v/>
      </c>
      <c r="C2024">
        <f>IFERROR(LARGE(Segmen!$D$3:$D$6000,A2024),"")</f>
        <v/>
      </c>
    </row>
    <row r="2025">
      <c r="A2025" t="n">
        <v>2024</v>
      </c>
      <c r="B2025">
        <f>IFERROR(INDEX(Segmen!$A$3:$A$6000,MATCH(C2025,Segmen!$D$3:$D$6000,0)),"")</f>
        <v/>
      </c>
      <c r="C2025">
        <f>IFERROR(LARGE(Segmen!$D$3:$D$6000,A2025),"")</f>
        <v/>
      </c>
    </row>
    <row r="2026">
      <c r="A2026" t="n">
        <v>2025</v>
      </c>
      <c r="B2026">
        <f>IFERROR(INDEX(Segmen!$A$3:$A$6000,MATCH(C2026,Segmen!$D$3:$D$6000,0)),"")</f>
        <v/>
      </c>
      <c r="C2026">
        <f>IFERROR(LARGE(Segmen!$D$3:$D$6000,A2026),"")</f>
        <v/>
      </c>
    </row>
    <row r="2027">
      <c r="A2027" t="n">
        <v>2026</v>
      </c>
      <c r="B2027">
        <f>IFERROR(INDEX(Segmen!$A$3:$A$6000,MATCH(C2027,Segmen!$D$3:$D$6000,0)),"")</f>
        <v/>
      </c>
      <c r="C2027">
        <f>IFERROR(LARGE(Segmen!$D$3:$D$6000,A2027),"")</f>
        <v/>
      </c>
    </row>
    <row r="2028">
      <c r="A2028" t="n">
        <v>2027</v>
      </c>
      <c r="B2028">
        <f>IFERROR(INDEX(Segmen!$A$3:$A$6000,MATCH(C2028,Segmen!$D$3:$D$6000,0)),"")</f>
        <v/>
      </c>
      <c r="C2028">
        <f>IFERROR(LARGE(Segmen!$D$3:$D$6000,A2028),"")</f>
        <v/>
      </c>
    </row>
    <row r="2029">
      <c r="A2029" t="n">
        <v>2028</v>
      </c>
      <c r="B2029">
        <f>IFERROR(INDEX(Segmen!$A$3:$A$6000,MATCH(C2029,Segmen!$D$3:$D$6000,0)),"")</f>
        <v/>
      </c>
      <c r="C2029">
        <f>IFERROR(LARGE(Segmen!$D$3:$D$6000,A2029),"")</f>
        <v/>
      </c>
    </row>
    <row r="2030">
      <c r="A2030" t="n">
        <v>2029</v>
      </c>
      <c r="B2030">
        <f>IFERROR(INDEX(Segmen!$A$3:$A$6000,MATCH(C2030,Segmen!$D$3:$D$6000,0)),"")</f>
        <v/>
      </c>
      <c r="C2030">
        <f>IFERROR(LARGE(Segmen!$D$3:$D$6000,A2030),"")</f>
        <v/>
      </c>
    </row>
    <row r="2031">
      <c r="A2031" t="n">
        <v>2030</v>
      </c>
      <c r="B2031">
        <f>IFERROR(INDEX(Segmen!$A$3:$A$6000,MATCH(C2031,Segmen!$D$3:$D$6000,0)),"")</f>
        <v/>
      </c>
      <c r="C2031">
        <f>IFERROR(LARGE(Segmen!$D$3:$D$6000,A2031),"")</f>
        <v/>
      </c>
    </row>
    <row r="2032">
      <c r="A2032" t="n">
        <v>2031</v>
      </c>
      <c r="B2032">
        <f>IFERROR(INDEX(Segmen!$A$3:$A$6000,MATCH(C2032,Segmen!$D$3:$D$6000,0)),"")</f>
        <v/>
      </c>
      <c r="C2032">
        <f>IFERROR(LARGE(Segmen!$D$3:$D$6000,A2032),"")</f>
        <v/>
      </c>
    </row>
    <row r="2033">
      <c r="A2033" t="n">
        <v>2032</v>
      </c>
      <c r="B2033">
        <f>IFERROR(INDEX(Segmen!$A$3:$A$6000,MATCH(C2033,Segmen!$D$3:$D$6000,0)),"")</f>
        <v/>
      </c>
      <c r="C2033">
        <f>IFERROR(LARGE(Segmen!$D$3:$D$6000,A2033),"")</f>
        <v/>
      </c>
    </row>
    <row r="2034">
      <c r="A2034" t="n">
        <v>2033</v>
      </c>
      <c r="B2034">
        <f>IFERROR(INDEX(Segmen!$A$3:$A$6000,MATCH(C2034,Segmen!$D$3:$D$6000,0)),"")</f>
        <v/>
      </c>
      <c r="C2034">
        <f>IFERROR(LARGE(Segmen!$D$3:$D$6000,A2034),"")</f>
        <v/>
      </c>
    </row>
    <row r="2035">
      <c r="A2035" t="n">
        <v>2034</v>
      </c>
      <c r="B2035">
        <f>IFERROR(INDEX(Segmen!$A$3:$A$6000,MATCH(C2035,Segmen!$D$3:$D$6000,0)),"")</f>
        <v/>
      </c>
      <c r="C2035">
        <f>IFERROR(LARGE(Segmen!$D$3:$D$6000,A2035),"")</f>
        <v/>
      </c>
    </row>
    <row r="2036">
      <c r="A2036" t="n">
        <v>2035</v>
      </c>
      <c r="B2036">
        <f>IFERROR(INDEX(Segmen!$A$3:$A$6000,MATCH(C2036,Segmen!$D$3:$D$6000,0)),"")</f>
        <v/>
      </c>
      <c r="C2036">
        <f>IFERROR(LARGE(Segmen!$D$3:$D$6000,A2036),"")</f>
        <v/>
      </c>
    </row>
    <row r="2037">
      <c r="A2037" t="n">
        <v>2036</v>
      </c>
      <c r="B2037">
        <f>IFERROR(INDEX(Segmen!$A$3:$A$6000,MATCH(C2037,Segmen!$D$3:$D$6000,0)),"")</f>
        <v/>
      </c>
      <c r="C2037">
        <f>IFERROR(LARGE(Segmen!$D$3:$D$6000,A2037),"")</f>
        <v/>
      </c>
    </row>
    <row r="2038">
      <c r="A2038" t="n">
        <v>2037</v>
      </c>
      <c r="B2038">
        <f>IFERROR(INDEX(Segmen!$A$3:$A$6000,MATCH(C2038,Segmen!$D$3:$D$6000,0)),"")</f>
        <v/>
      </c>
      <c r="C2038">
        <f>IFERROR(LARGE(Segmen!$D$3:$D$6000,A2038),"")</f>
        <v/>
      </c>
    </row>
    <row r="2039">
      <c r="A2039" t="n">
        <v>2038</v>
      </c>
      <c r="B2039">
        <f>IFERROR(INDEX(Segmen!$A$3:$A$6000,MATCH(C2039,Segmen!$D$3:$D$6000,0)),"")</f>
        <v/>
      </c>
      <c r="C2039">
        <f>IFERROR(LARGE(Segmen!$D$3:$D$6000,A2039),"")</f>
        <v/>
      </c>
    </row>
    <row r="2040">
      <c r="A2040" t="n">
        <v>2039</v>
      </c>
      <c r="B2040">
        <f>IFERROR(INDEX(Segmen!$A$3:$A$6000,MATCH(C2040,Segmen!$D$3:$D$6000,0)),"")</f>
        <v/>
      </c>
      <c r="C2040">
        <f>IFERROR(LARGE(Segmen!$D$3:$D$6000,A2040),"")</f>
        <v/>
      </c>
    </row>
    <row r="2041">
      <c r="A2041" t="n">
        <v>2040</v>
      </c>
      <c r="B2041">
        <f>IFERROR(INDEX(Segmen!$A$3:$A$6000,MATCH(C2041,Segmen!$D$3:$D$6000,0)),"")</f>
        <v/>
      </c>
      <c r="C2041">
        <f>IFERROR(LARGE(Segmen!$D$3:$D$6000,A2041),"")</f>
        <v/>
      </c>
    </row>
    <row r="2042">
      <c r="A2042" t="n">
        <v>2041</v>
      </c>
      <c r="B2042">
        <f>IFERROR(INDEX(Segmen!$A$3:$A$6000,MATCH(C2042,Segmen!$D$3:$D$6000,0)),"")</f>
        <v/>
      </c>
      <c r="C2042">
        <f>IFERROR(LARGE(Segmen!$D$3:$D$6000,A2042),"")</f>
        <v/>
      </c>
    </row>
    <row r="2043">
      <c r="A2043" t="n">
        <v>2042</v>
      </c>
      <c r="B2043">
        <f>IFERROR(INDEX(Segmen!$A$3:$A$6000,MATCH(C2043,Segmen!$D$3:$D$6000,0)),"")</f>
        <v/>
      </c>
      <c r="C2043">
        <f>IFERROR(LARGE(Segmen!$D$3:$D$6000,A2043),"")</f>
        <v/>
      </c>
    </row>
    <row r="2044">
      <c r="A2044" t="n">
        <v>2043</v>
      </c>
      <c r="B2044">
        <f>IFERROR(INDEX(Segmen!$A$3:$A$6000,MATCH(C2044,Segmen!$D$3:$D$6000,0)),"")</f>
        <v/>
      </c>
      <c r="C2044">
        <f>IFERROR(LARGE(Segmen!$D$3:$D$6000,A2044),"")</f>
        <v/>
      </c>
    </row>
    <row r="2045">
      <c r="A2045" t="n">
        <v>2044</v>
      </c>
      <c r="B2045">
        <f>IFERROR(INDEX(Segmen!$A$3:$A$6000,MATCH(C2045,Segmen!$D$3:$D$6000,0)),"")</f>
        <v/>
      </c>
      <c r="C2045">
        <f>IFERROR(LARGE(Segmen!$D$3:$D$6000,A2045),"")</f>
        <v/>
      </c>
    </row>
    <row r="2046">
      <c r="A2046" t="n">
        <v>2045</v>
      </c>
      <c r="B2046">
        <f>IFERROR(INDEX(Segmen!$A$3:$A$6000,MATCH(C2046,Segmen!$D$3:$D$6000,0)),"")</f>
        <v/>
      </c>
      <c r="C2046">
        <f>IFERROR(LARGE(Segmen!$D$3:$D$6000,A2046),"")</f>
        <v/>
      </c>
    </row>
    <row r="2047">
      <c r="A2047" t="n">
        <v>2046</v>
      </c>
      <c r="B2047">
        <f>IFERROR(INDEX(Segmen!$A$3:$A$6000,MATCH(C2047,Segmen!$D$3:$D$6000,0)),"")</f>
        <v/>
      </c>
      <c r="C2047">
        <f>IFERROR(LARGE(Segmen!$D$3:$D$6000,A2047),"")</f>
        <v/>
      </c>
    </row>
    <row r="2048">
      <c r="A2048" t="n">
        <v>2047</v>
      </c>
      <c r="B2048">
        <f>IFERROR(INDEX(Segmen!$A$3:$A$6000,MATCH(C2048,Segmen!$D$3:$D$6000,0)),"")</f>
        <v/>
      </c>
      <c r="C2048">
        <f>IFERROR(LARGE(Segmen!$D$3:$D$6000,A2048),"")</f>
        <v/>
      </c>
    </row>
    <row r="2049">
      <c r="A2049" t="n">
        <v>2048</v>
      </c>
      <c r="B2049">
        <f>IFERROR(INDEX(Segmen!$A$3:$A$6000,MATCH(C2049,Segmen!$D$3:$D$6000,0)),"")</f>
        <v/>
      </c>
      <c r="C2049">
        <f>IFERROR(LARGE(Segmen!$D$3:$D$6000,A2049),"")</f>
        <v/>
      </c>
    </row>
    <row r="2050">
      <c r="A2050" t="n">
        <v>2049</v>
      </c>
      <c r="B2050">
        <f>IFERROR(INDEX(Segmen!$A$3:$A$6000,MATCH(C2050,Segmen!$D$3:$D$6000,0)),"")</f>
        <v/>
      </c>
      <c r="C2050">
        <f>IFERROR(LARGE(Segmen!$D$3:$D$6000,A2050),"")</f>
        <v/>
      </c>
    </row>
    <row r="2051">
      <c r="A2051" t="n">
        <v>2050</v>
      </c>
      <c r="B2051">
        <f>IFERROR(INDEX(Segmen!$A$3:$A$6000,MATCH(C2051,Segmen!$D$3:$D$6000,0)),"")</f>
        <v/>
      </c>
      <c r="C2051">
        <f>IFERROR(LARGE(Segmen!$D$3:$D$6000,A2051),"")</f>
        <v/>
      </c>
    </row>
    <row r="2052">
      <c r="A2052" t="n">
        <v>2051</v>
      </c>
      <c r="B2052">
        <f>IFERROR(INDEX(Segmen!$A$3:$A$6000,MATCH(C2052,Segmen!$D$3:$D$6000,0)),"")</f>
        <v/>
      </c>
      <c r="C2052">
        <f>IFERROR(LARGE(Segmen!$D$3:$D$6000,A2052),"")</f>
        <v/>
      </c>
    </row>
    <row r="2053">
      <c r="A2053" t="n">
        <v>2052</v>
      </c>
      <c r="B2053">
        <f>IFERROR(INDEX(Segmen!$A$3:$A$6000,MATCH(C2053,Segmen!$D$3:$D$6000,0)),"")</f>
        <v/>
      </c>
      <c r="C2053">
        <f>IFERROR(LARGE(Segmen!$D$3:$D$6000,A2053),"")</f>
        <v/>
      </c>
    </row>
    <row r="2054">
      <c r="A2054" t="n">
        <v>2053</v>
      </c>
      <c r="B2054">
        <f>IFERROR(INDEX(Segmen!$A$3:$A$6000,MATCH(C2054,Segmen!$D$3:$D$6000,0)),"")</f>
        <v/>
      </c>
      <c r="C2054">
        <f>IFERROR(LARGE(Segmen!$D$3:$D$6000,A2054),"")</f>
        <v/>
      </c>
    </row>
    <row r="2055">
      <c r="A2055" t="n">
        <v>2054</v>
      </c>
      <c r="B2055">
        <f>IFERROR(INDEX(Segmen!$A$3:$A$6000,MATCH(C2055,Segmen!$D$3:$D$6000,0)),"")</f>
        <v/>
      </c>
      <c r="C2055">
        <f>IFERROR(LARGE(Segmen!$D$3:$D$6000,A2055),"")</f>
        <v/>
      </c>
    </row>
    <row r="2056">
      <c r="A2056" t="n">
        <v>2055</v>
      </c>
      <c r="B2056">
        <f>IFERROR(INDEX(Segmen!$A$3:$A$6000,MATCH(C2056,Segmen!$D$3:$D$6000,0)),"")</f>
        <v/>
      </c>
      <c r="C2056">
        <f>IFERROR(LARGE(Segmen!$D$3:$D$6000,A2056),"")</f>
        <v/>
      </c>
    </row>
    <row r="2057">
      <c r="A2057" t="n">
        <v>2056</v>
      </c>
      <c r="B2057">
        <f>IFERROR(INDEX(Segmen!$A$3:$A$6000,MATCH(C2057,Segmen!$D$3:$D$6000,0)),"")</f>
        <v/>
      </c>
      <c r="C2057">
        <f>IFERROR(LARGE(Segmen!$D$3:$D$6000,A2057),"")</f>
        <v/>
      </c>
    </row>
    <row r="2058">
      <c r="A2058" t="n">
        <v>2057</v>
      </c>
      <c r="B2058">
        <f>IFERROR(INDEX(Segmen!$A$3:$A$6000,MATCH(C2058,Segmen!$D$3:$D$6000,0)),"")</f>
        <v/>
      </c>
      <c r="C2058">
        <f>IFERROR(LARGE(Segmen!$D$3:$D$6000,A2058),"")</f>
        <v/>
      </c>
    </row>
    <row r="2059">
      <c r="A2059" t="n">
        <v>2058</v>
      </c>
      <c r="B2059">
        <f>IFERROR(INDEX(Segmen!$A$3:$A$6000,MATCH(C2059,Segmen!$D$3:$D$6000,0)),"")</f>
        <v/>
      </c>
      <c r="C2059">
        <f>IFERROR(LARGE(Segmen!$D$3:$D$6000,A2059),"")</f>
        <v/>
      </c>
    </row>
    <row r="2060">
      <c r="A2060" t="n">
        <v>2059</v>
      </c>
      <c r="B2060">
        <f>IFERROR(INDEX(Segmen!$A$3:$A$6000,MATCH(C2060,Segmen!$D$3:$D$6000,0)),"")</f>
        <v/>
      </c>
      <c r="C2060">
        <f>IFERROR(LARGE(Segmen!$D$3:$D$6000,A2060),"")</f>
        <v/>
      </c>
    </row>
    <row r="2061">
      <c r="A2061" t="n">
        <v>2060</v>
      </c>
      <c r="B2061">
        <f>IFERROR(INDEX(Segmen!$A$3:$A$6000,MATCH(C2061,Segmen!$D$3:$D$6000,0)),"")</f>
        <v/>
      </c>
      <c r="C2061">
        <f>IFERROR(LARGE(Segmen!$D$3:$D$6000,A2061),"")</f>
        <v/>
      </c>
    </row>
    <row r="2062">
      <c r="A2062" t="n">
        <v>2061</v>
      </c>
      <c r="B2062">
        <f>IFERROR(INDEX(Segmen!$A$3:$A$6000,MATCH(C2062,Segmen!$D$3:$D$6000,0)),"")</f>
        <v/>
      </c>
      <c r="C2062">
        <f>IFERROR(LARGE(Segmen!$D$3:$D$6000,A2062),"")</f>
        <v/>
      </c>
    </row>
    <row r="2063">
      <c r="A2063" t="n">
        <v>2062</v>
      </c>
      <c r="B2063">
        <f>IFERROR(INDEX(Segmen!$A$3:$A$6000,MATCH(C2063,Segmen!$D$3:$D$6000,0)),"")</f>
        <v/>
      </c>
      <c r="C2063">
        <f>IFERROR(LARGE(Segmen!$D$3:$D$6000,A2063),"")</f>
        <v/>
      </c>
    </row>
    <row r="2064">
      <c r="A2064" t="n">
        <v>2063</v>
      </c>
      <c r="B2064">
        <f>IFERROR(INDEX(Segmen!$A$3:$A$6000,MATCH(C2064,Segmen!$D$3:$D$6000,0)),"")</f>
        <v/>
      </c>
      <c r="C2064">
        <f>IFERROR(LARGE(Segmen!$D$3:$D$6000,A2064),"")</f>
        <v/>
      </c>
    </row>
    <row r="2065">
      <c r="A2065" t="n">
        <v>2064</v>
      </c>
      <c r="B2065">
        <f>IFERROR(INDEX(Segmen!$A$3:$A$6000,MATCH(C2065,Segmen!$D$3:$D$6000,0)),"")</f>
        <v/>
      </c>
      <c r="C2065">
        <f>IFERROR(LARGE(Segmen!$D$3:$D$6000,A2065),"")</f>
        <v/>
      </c>
    </row>
    <row r="2066">
      <c r="A2066" t="n">
        <v>2065</v>
      </c>
      <c r="B2066">
        <f>IFERROR(INDEX(Segmen!$A$3:$A$6000,MATCH(C2066,Segmen!$D$3:$D$6000,0)),"")</f>
        <v/>
      </c>
      <c r="C2066">
        <f>IFERROR(LARGE(Segmen!$D$3:$D$6000,A2066),"")</f>
        <v/>
      </c>
    </row>
    <row r="2067">
      <c r="A2067" t="n">
        <v>2066</v>
      </c>
      <c r="B2067">
        <f>IFERROR(INDEX(Segmen!$A$3:$A$6000,MATCH(C2067,Segmen!$D$3:$D$6000,0)),"")</f>
        <v/>
      </c>
      <c r="C2067">
        <f>IFERROR(LARGE(Segmen!$D$3:$D$6000,A2067),"")</f>
        <v/>
      </c>
    </row>
    <row r="2068">
      <c r="A2068" t="n">
        <v>2067</v>
      </c>
      <c r="B2068">
        <f>IFERROR(INDEX(Segmen!$A$3:$A$6000,MATCH(C2068,Segmen!$D$3:$D$6000,0)),"")</f>
        <v/>
      </c>
      <c r="C2068">
        <f>IFERROR(LARGE(Segmen!$D$3:$D$6000,A2068),"")</f>
        <v/>
      </c>
    </row>
    <row r="2069">
      <c r="A2069" t="n">
        <v>2068</v>
      </c>
      <c r="B2069">
        <f>IFERROR(INDEX(Segmen!$A$3:$A$6000,MATCH(C2069,Segmen!$D$3:$D$6000,0)),"")</f>
        <v/>
      </c>
      <c r="C2069">
        <f>IFERROR(LARGE(Segmen!$D$3:$D$6000,A2069),"")</f>
        <v/>
      </c>
    </row>
    <row r="2070">
      <c r="A2070" t="n">
        <v>2069</v>
      </c>
      <c r="B2070">
        <f>IFERROR(INDEX(Segmen!$A$3:$A$6000,MATCH(C2070,Segmen!$D$3:$D$6000,0)),"")</f>
        <v/>
      </c>
      <c r="C2070">
        <f>IFERROR(LARGE(Segmen!$D$3:$D$6000,A2070),"")</f>
        <v/>
      </c>
    </row>
    <row r="2071">
      <c r="A2071" t="n">
        <v>2070</v>
      </c>
      <c r="B2071">
        <f>IFERROR(INDEX(Segmen!$A$3:$A$6000,MATCH(C2071,Segmen!$D$3:$D$6000,0)),"")</f>
        <v/>
      </c>
      <c r="C2071">
        <f>IFERROR(LARGE(Segmen!$D$3:$D$6000,A2071),"")</f>
        <v/>
      </c>
    </row>
    <row r="2072">
      <c r="A2072" t="n">
        <v>2071</v>
      </c>
      <c r="B2072">
        <f>IFERROR(INDEX(Segmen!$A$3:$A$6000,MATCH(C2072,Segmen!$D$3:$D$6000,0)),"")</f>
        <v/>
      </c>
      <c r="C2072">
        <f>IFERROR(LARGE(Segmen!$D$3:$D$6000,A2072),"")</f>
        <v/>
      </c>
    </row>
    <row r="2073">
      <c r="A2073" t="n">
        <v>2072</v>
      </c>
      <c r="B2073">
        <f>IFERROR(INDEX(Segmen!$A$3:$A$6000,MATCH(C2073,Segmen!$D$3:$D$6000,0)),"")</f>
        <v/>
      </c>
      <c r="C2073">
        <f>IFERROR(LARGE(Segmen!$D$3:$D$6000,A2073),"")</f>
        <v/>
      </c>
    </row>
    <row r="2074">
      <c r="A2074" t="n">
        <v>2073</v>
      </c>
      <c r="B2074">
        <f>IFERROR(INDEX(Segmen!$A$3:$A$6000,MATCH(C2074,Segmen!$D$3:$D$6000,0)),"")</f>
        <v/>
      </c>
      <c r="C2074">
        <f>IFERROR(LARGE(Segmen!$D$3:$D$6000,A2074),"")</f>
        <v/>
      </c>
    </row>
    <row r="2075">
      <c r="A2075" t="n">
        <v>2074</v>
      </c>
      <c r="B2075">
        <f>IFERROR(INDEX(Segmen!$A$3:$A$6000,MATCH(C2075,Segmen!$D$3:$D$6000,0)),"")</f>
        <v/>
      </c>
      <c r="C2075">
        <f>IFERROR(LARGE(Segmen!$D$3:$D$6000,A2075),"")</f>
        <v/>
      </c>
    </row>
    <row r="2076">
      <c r="A2076" t="n">
        <v>2075</v>
      </c>
      <c r="B2076">
        <f>IFERROR(INDEX(Segmen!$A$3:$A$6000,MATCH(C2076,Segmen!$D$3:$D$6000,0)),"")</f>
        <v/>
      </c>
      <c r="C2076">
        <f>IFERROR(LARGE(Segmen!$D$3:$D$6000,A2076),"")</f>
        <v/>
      </c>
    </row>
    <row r="2077">
      <c r="A2077" t="n">
        <v>2076</v>
      </c>
      <c r="B2077">
        <f>IFERROR(INDEX(Segmen!$A$3:$A$6000,MATCH(C2077,Segmen!$D$3:$D$6000,0)),"")</f>
        <v/>
      </c>
      <c r="C2077">
        <f>IFERROR(LARGE(Segmen!$D$3:$D$6000,A2077),"")</f>
        <v/>
      </c>
    </row>
    <row r="2078">
      <c r="A2078" t="n">
        <v>2077</v>
      </c>
      <c r="B2078">
        <f>IFERROR(INDEX(Segmen!$A$3:$A$6000,MATCH(C2078,Segmen!$D$3:$D$6000,0)),"")</f>
        <v/>
      </c>
      <c r="C2078">
        <f>IFERROR(LARGE(Segmen!$D$3:$D$6000,A2078),"")</f>
        <v/>
      </c>
    </row>
    <row r="2079">
      <c r="A2079" t="n">
        <v>2078</v>
      </c>
      <c r="B2079">
        <f>IFERROR(INDEX(Segmen!$A$3:$A$6000,MATCH(C2079,Segmen!$D$3:$D$6000,0)),"")</f>
        <v/>
      </c>
      <c r="C2079">
        <f>IFERROR(LARGE(Segmen!$D$3:$D$6000,A2079),"")</f>
        <v/>
      </c>
    </row>
    <row r="2080">
      <c r="A2080" t="n">
        <v>2079</v>
      </c>
      <c r="B2080">
        <f>IFERROR(INDEX(Segmen!$A$3:$A$6000,MATCH(C2080,Segmen!$D$3:$D$6000,0)),"")</f>
        <v/>
      </c>
      <c r="C2080">
        <f>IFERROR(LARGE(Segmen!$D$3:$D$6000,A2080),"")</f>
        <v/>
      </c>
    </row>
    <row r="2081">
      <c r="A2081" t="n">
        <v>2080</v>
      </c>
      <c r="B2081">
        <f>IFERROR(INDEX(Segmen!$A$3:$A$6000,MATCH(C2081,Segmen!$D$3:$D$6000,0)),"")</f>
        <v/>
      </c>
      <c r="C2081">
        <f>IFERROR(LARGE(Segmen!$D$3:$D$6000,A2081),"")</f>
        <v/>
      </c>
    </row>
    <row r="2082">
      <c r="A2082" t="n">
        <v>2081</v>
      </c>
      <c r="B2082">
        <f>IFERROR(INDEX(Segmen!$A$3:$A$6000,MATCH(C2082,Segmen!$D$3:$D$6000,0)),"")</f>
        <v/>
      </c>
      <c r="C2082">
        <f>IFERROR(LARGE(Segmen!$D$3:$D$6000,A2082),"")</f>
        <v/>
      </c>
    </row>
    <row r="2083">
      <c r="A2083" t="n">
        <v>2082</v>
      </c>
      <c r="B2083">
        <f>IFERROR(INDEX(Segmen!$A$3:$A$6000,MATCH(C2083,Segmen!$D$3:$D$6000,0)),"")</f>
        <v/>
      </c>
      <c r="C2083">
        <f>IFERROR(LARGE(Segmen!$D$3:$D$6000,A2083),"")</f>
        <v/>
      </c>
    </row>
    <row r="2084">
      <c r="A2084" t="n">
        <v>2083</v>
      </c>
      <c r="B2084">
        <f>IFERROR(INDEX(Segmen!$A$3:$A$6000,MATCH(C2084,Segmen!$D$3:$D$6000,0)),"")</f>
        <v/>
      </c>
      <c r="C2084">
        <f>IFERROR(LARGE(Segmen!$D$3:$D$6000,A2084),"")</f>
        <v/>
      </c>
    </row>
    <row r="2085">
      <c r="A2085" t="n">
        <v>2084</v>
      </c>
      <c r="B2085">
        <f>IFERROR(INDEX(Segmen!$A$3:$A$6000,MATCH(C2085,Segmen!$D$3:$D$6000,0)),"")</f>
        <v/>
      </c>
      <c r="C2085">
        <f>IFERROR(LARGE(Segmen!$D$3:$D$6000,A2085),"")</f>
        <v/>
      </c>
    </row>
    <row r="2086">
      <c r="A2086" t="n">
        <v>2085</v>
      </c>
      <c r="B2086">
        <f>IFERROR(INDEX(Segmen!$A$3:$A$6000,MATCH(C2086,Segmen!$D$3:$D$6000,0)),"")</f>
        <v/>
      </c>
      <c r="C2086">
        <f>IFERROR(LARGE(Segmen!$D$3:$D$6000,A2086),"")</f>
        <v/>
      </c>
    </row>
    <row r="2087">
      <c r="A2087" t="n">
        <v>2086</v>
      </c>
      <c r="B2087">
        <f>IFERROR(INDEX(Segmen!$A$3:$A$6000,MATCH(C2087,Segmen!$D$3:$D$6000,0)),"")</f>
        <v/>
      </c>
      <c r="C2087">
        <f>IFERROR(LARGE(Segmen!$D$3:$D$6000,A2087),"")</f>
        <v/>
      </c>
    </row>
    <row r="2088">
      <c r="A2088" t="n">
        <v>2087</v>
      </c>
      <c r="B2088">
        <f>IFERROR(INDEX(Segmen!$A$3:$A$6000,MATCH(C2088,Segmen!$D$3:$D$6000,0)),"")</f>
        <v/>
      </c>
      <c r="C2088">
        <f>IFERROR(LARGE(Segmen!$D$3:$D$6000,A2088),"")</f>
        <v/>
      </c>
    </row>
    <row r="2089">
      <c r="A2089" t="n">
        <v>2088</v>
      </c>
      <c r="B2089">
        <f>IFERROR(INDEX(Segmen!$A$3:$A$6000,MATCH(C2089,Segmen!$D$3:$D$6000,0)),"")</f>
        <v/>
      </c>
      <c r="C2089">
        <f>IFERROR(LARGE(Segmen!$D$3:$D$6000,A2089),"")</f>
        <v/>
      </c>
    </row>
    <row r="2090">
      <c r="A2090" t="n">
        <v>2089</v>
      </c>
      <c r="B2090">
        <f>IFERROR(INDEX(Segmen!$A$3:$A$6000,MATCH(C2090,Segmen!$D$3:$D$6000,0)),"")</f>
        <v/>
      </c>
      <c r="C2090">
        <f>IFERROR(LARGE(Segmen!$D$3:$D$6000,A2090),"")</f>
        <v/>
      </c>
    </row>
    <row r="2091">
      <c r="A2091" t="n">
        <v>2090</v>
      </c>
      <c r="B2091">
        <f>IFERROR(INDEX(Segmen!$A$3:$A$6000,MATCH(C2091,Segmen!$D$3:$D$6000,0)),"")</f>
        <v/>
      </c>
      <c r="C2091">
        <f>IFERROR(LARGE(Segmen!$D$3:$D$6000,A2091),"")</f>
        <v/>
      </c>
    </row>
    <row r="2092">
      <c r="A2092" t="n">
        <v>2091</v>
      </c>
      <c r="B2092">
        <f>IFERROR(INDEX(Segmen!$A$3:$A$6000,MATCH(C2092,Segmen!$D$3:$D$6000,0)),"")</f>
        <v/>
      </c>
      <c r="C2092">
        <f>IFERROR(LARGE(Segmen!$D$3:$D$6000,A2092),"")</f>
        <v/>
      </c>
    </row>
    <row r="2093">
      <c r="A2093" t="n">
        <v>2092</v>
      </c>
      <c r="B2093">
        <f>IFERROR(INDEX(Segmen!$A$3:$A$6000,MATCH(C2093,Segmen!$D$3:$D$6000,0)),"")</f>
        <v/>
      </c>
      <c r="C2093">
        <f>IFERROR(LARGE(Segmen!$D$3:$D$6000,A2093),"")</f>
        <v/>
      </c>
    </row>
    <row r="2094">
      <c r="A2094" t="n">
        <v>2093</v>
      </c>
      <c r="B2094">
        <f>IFERROR(INDEX(Segmen!$A$3:$A$6000,MATCH(C2094,Segmen!$D$3:$D$6000,0)),"")</f>
        <v/>
      </c>
      <c r="C2094">
        <f>IFERROR(LARGE(Segmen!$D$3:$D$6000,A2094),"")</f>
        <v/>
      </c>
    </row>
    <row r="2095">
      <c r="A2095" t="n">
        <v>2094</v>
      </c>
      <c r="B2095">
        <f>IFERROR(INDEX(Segmen!$A$3:$A$6000,MATCH(C2095,Segmen!$D$3:$D$6000,0)),"")</f>
        <v/>
      </c>
      <c r="C2095">
        <f>IFERROR(LARGE(Segmen!$D$3:$D$6000,A2095),"")</f>
        <v/>
      </c>
    </row>
    <row r="2096">
      <c r="A2096" t="n">
        <v>2095</v>
      </c>
      <c r="B2096">
        <f>IFERROR(INDEX(Segmen!$A$3:$A$6000,MATCH(C2096,Segmen!$D$3:$D$6000,0)),"")</f>
        <v/>
      </c>
      <c r="C2096">
        <f>IFERROR(LARGE(Segmen!$D$3:$D$6000,A2096),"")</f>
        <v/>
      </c>
    </row>
    <row r="2097">
      <c r="A2097" t="n">
        <v>2096</v>
      </c>
      <c r="B2097">
        <f>IFERROR(INDEX(Segmen!$A$3:$A$6000,MATCH(C2097,Segmen!$D$3:$D$6000,0)),"")</f>
        <v/>
      </c>
      <c r="C2097">
        <f>IFERROR(LARGE(Segmen!$D$3:$D$6000,A2097),"")</f>
        <v/>
      </c>
    </row>
    <row r="2098">
      <c r="A2098" t="n">
        <v>2097</v>
      </c>
      <c r="B2098">
        <f>IFERROR(INDEX(Segmen!$A$3:$A$6000,MATCH(C2098,Segmen!$D$3:$D$6000,0)),"")</f>
        <v/>
      </c>
      <c r="C2098">
        <f>IFERROR(LARGE(Segmen!$D$3:$D$6000,A2098),"")</f>
        <v/>
      </c>
    </row>
    <row r="2099">
      <c r="A2099" t="n">
        <v>2098</v>
      </c>
      <c r="B2099">
        <f>IFERROR(INDEX(Segmen!$A$3:$A$6000,MATCH(C2099,Segmen!$D$3:$D$6000,0)),"")</f>
        <v/>
      </c>
      <c r="C2099">
        <f>IFERROR(LARGE(Segmen!$D$3:$D$6000,A2099),"")</f>
        <v/>
      </c>
    </row>
    <row r="2100">
      <c r="A2100" t="n">
        <v>2099</v>
      </c>
      <c r="B2100">
        <f>IFERROR(INDEX(Segmen!$A$3:$A$6000,MATCH(C2100,Segmen!$D$3:$D$6000,0)),"")</f>
        <v/>
      </c>
      <c r="C2100">
        <f>IFERROR(LARGE(Segmen!$D$3:$D$6000,A2100),"")</f>
        <v/>
      </c>
    </row>
    <row r="2101">
      <c r="A2101" t="n">
        <v>2100</v>
      </c>
      <c r="B2101">
        <f>IFERROR(INDEX(Segmen!$A$3:$A$6000,MATCH(C2101,Segmen!$D$3:$D$6000,0)),"")</f>
        <v/>
      </c>
      <c r="C2101">
        <f>IFERROR(LARGE(Segmen!$D$3:$D$6000,A2101),"")</f>
        <v/>
      </c>
    </row>
    <row r="2102">
      <c r="A2102" t="n">
        <v>2101</v>
      </c>
      <c r="B2102">
        <f>IFERROR(INDEX(Segmen!$A$3:$A$6000,MATCH(C2102,Segmen!$D$3:$D$6000,0)),"")</f>
        <v/>
      </c>
      <c r="C2102">
        <f>IFERROR(LARGE(Segmen!$D$3:$D$6000,A2102),"")</f>
        <v/>
      </c>
    </row>
    <row r="2103">
      <c r="A2103" t="n">
        <v>2102</v>
      </c>
      <c r="B2103">
        <f>IFERROR(INDEX(Segmen!$A$3:$A$6000,MATCH(C2103,Segmen!$D$3:$D$6000,0)),"")</f>
        <v/>
      </c>
      <c r="C2103">
        <f>IFERROR(LARGE(Segmen!$D$3:$D$6000,A2103),"")</f>
        <v/>
      </c>
    </row>
    <row r="2104">
      <c r="A2104" t="n">
        <v>2103</v>
      </c>
      <c r="B2104">
        <f>IFERROR(INDEX(Segmen!$A$3:$A$6000,MATCH(C2104,Segmen!$D$3:$D$6000,0)),"")</f>
        <v/>
      </c>
      <c r="C2104">
        <f>IFERROR(LARGE(Segmen!$D$3:$D$6000,A2104),"")</f>
        <v/>
      </c>
    </row>
    <row r="2105">
      <c r="A2105" t="n">
        <v>2104</v>
      </c>
      <c r="B2105">
        <f>IFERROR(INDEX(Segmen!$A$3:$A$6000,MATCH(C2105,Segmen!$D$3:$D$6000,0)),"")</f>
        <v/>
      </c>
      <c r="C2105">
        <f>IFERROR(LARGE(Segmen!$D$3:$D$6000,A2105),"")</f>
        <v/>
      </c>
    </row>
    <row r="2106">
      <c r="A2106" t="n">
        <v>2105</v>
      </c>
      <c r="B2106">
        <f>IFERROR(INDEX(Segmen!$A$3:$A$6000,MATCH(C2106,Segmen!$D$3:$D$6000,0)),"")</f>
        <v/>
      </c>
      <c r="C2106">
        <f>IFERROR(LARGE(Segmen!$D$3:$D$6000,A2106),"")</f>
        <v/>
      </c>
    </row>
    <row r="2107">
      <c r="A2107" t="n">
        <v>2106</v>
      </c>
      <c r="B2107">
        <f>IFERROR(INDEX(Segmen!$A$3:$A$6000,MATCH(C2107,Segmen!$D$3:$D$6000,0)),"")</f>
        <v/>
      </c>
      <c r="C2107">
        <f>IFERROR(LARGE(Segmen!$D$3:$D$6000,A2107),"")</f>
        <v/>
      </c>
    </row>
    <row r="2108">
      <c r="A2108" t="n">
        <v>2107</v>
      </c>
      <c r="B2108">
        <f>IFERROR(INDEX(Segmen!$A$3:$A$6000,MATCH(C2108,Segmen!$D$3:$D$6000,0)),"")</f>
        <v/>
      </c>
      <c r="C2108">
        <f>IFERROR(LARGE(Segmen!$D$3:$D$6000,A2108),"")</f>
        <v/>
      </c>
    </row>
    <row r="2109">
      <c r="A2109" t="n">
        <v>2108</v>
      </c>
      <c r="B2109">
        <f>IFERROR(INDEX(Segmen!$A$3:$A$6000,MATCH(C2109,Segmen!$D$3:$D$6000,0)),"")</f>
        <v/>
      </c>
      <c r="C2109">
        <f>IFERROR(LARGE(Segmen!$D$3:$D$6000,A2109),"")</f>
        <v/>
      </c>
    </row>
    <row r="2110">
      <c r="A2110" t="n">
        <v>2109</v>
      </c>
      <c r="B2110">
        <f>IFERROR(INDEX(Segmen!$A$3:$A$6000,MATCH(C2110,Segmen!$D$3:$D$6000,0)),"")</f>
        <v/>
      </c>
      <c r="C2110">
        <f>IFERROR(LARGE(Segmen!$D$3:$D$6000,A2110),"")</f>
        <v/>
      </c>
    </row>
    <row r="2111">
      <c r="A2111" t="n">
        <v>2110</v>
      </c>
      <c r="B2111">
        <f>IFERROR(INDEX(Segmen!$A$3:$A$6000,MATCH(C2111,Segmen!$D$3:$D$6000,0)),"")</f>
        <v/>
      </c>
      <c r="C2111">
        <f>IFERROR(LARGE(Segmen!$D$3:$D$6000,A2111),"")</f>
        <v/>
      </c>
    </row>
    <row r="2112">
      <c r="A2112" t="n">
        <v>2111</v>
      </c>
      <c r="B2112">
        <f>IFERROR(INDEX(Segmen!$A$3:$A$6000,MATCH(C2112,Segmen!$D$3:$D$6000,0)),"")</f>
        <v/>
      </c>
      <c r="C2112">
        <f>IFERROR(LARGE(Segmen!$D$3:$D$6000,A2112),"")</f>
        <v/>
      </c>
    </row>
    <row r="2113">
      <c r="A2113" t="n">
        <v>2112</v>
      </c>
      <c r="B2113">
        <f>IFERROR(INDEX(Segmen!$A$3:$A$6000,MATCH(C2113,Segmen!$D$3:$D$6000,0)),"")</f>
        <v/>
      </c>
      <c r="C2113">
        <f>IFERROR(LARGE(Segmen!$D$3:$D$6000,A2113),"")</f>
        <v/>
      </c>
    </row>
    <row r="2114">
      <c r="A2114" t="n">
        <v>2113</v>
      </c>
      <c r="B2114">
        <f>IFERROR(INDEX(Segmen!$A$3:$A$6000,MATCH(C2114,Segmen!$D$3:$D$6000,0)),"")</f>
        <v/>
      </c>
      <c r="C2114">
        <f>IFERROR(LARGE(Segmen!$D$3:$D$6000,A2114),"")</f>
        <v/>
      </c>
    </row>
    <row r="2115">
      <c r="A2115" t="n">
        <v>2114</v>
      </c>
      <c r="B2115">
        <f>IFERROR(INDEX(Segmen!$A$3:$A$6000,MATCH(C2115,Segmen!$D$3:$D$6000,0)),"")</f>
        <v/>
      </c>
      <c r="C2115">
        <f>IFERROR(LARGE(Segmen!$D$3:$D$6000,A2115),"")</f>
        <v/>
      </c>
    </row>
    <row r="2116">
      <c r="A2116" t="n">
        <v>2115</v>
      </c>
      <c r="B2116">
        <f>IFERROR(INDEX(Segmen!$A$3:$A$6000,MATCH(C2116,Segmen!$D$3:$D$6000,0)),"")</f>
        <v/>
      </c>
      <c r="C2116">
        <f>IFERROR(LARGE(Segmen!$D$3:$D$6000,A2116),"")</f>
        <v/>
      </c>
    </row>
    <row r="2117">
      <c r="A2117" t="n">
        <v>2116</v>
      </c>
      <c r="B2117">
        <f>IFERROR(INDEX(Segmen!$A$3:$A$6000,MATCH(C2117,Segmen!$D$3:$D$6000,0)),"")</f>
        <v/>
      </c>
      <c r="C2117">
        <f>IFERROR(LARGE(Segmen!$D$3:$D$6000,A2117),"")</f>
        <v/>
      </c>
    </row>
    <row r="2118">
      <c r="A2118" t="n">
        <v>2117</v>
      </c>
      <c r="B2118">
        <f>IFERROR(INDEX(Segmen!$A$3:$A$6000,MATCH(C2118,Segmen!$D$3:$D$6000,0)),"")</f>
        <v/>
      </c>
      <c r="C2118">
        <f>IFERROR(LARGE(Segmen!$D$3:$D$6000,A2118),"")</f>
        <v/>
      </c>
    </row>
    <row r="2119">
      <c r="A2119" t="n">
        <v>2118</v>
      </c>
      <c r="B2119">
        <f>IFERROR(INDEX(Segmen!$A$3:$A$6000,MATCH(C2119,Segmen!$D$3:$D$6000,0)),"")</f>
        <v/>
      </c>
      <c r="C2119">
        <f>IFERROR(LARGE(Segmen!$D$3:$D$6000,A2119),"")</f>
        <v/>
      </c>
    </row>
    <row r="2120">
      <c r="A2120" t="n">
        <v>2119</v>
      </c>
      <c r="B2120">
        <f>IFERROR(INDEX(Segmen!$A$3:$A$6000,MATCH(C2120,Segmen!$D$3:$D$6000,0)),"")</f>
        <v/>
      </c>
      <c r="C2120">
        <f>IFERROR(LARGE(Segmen!$D$3:$D$6000,A2120),"")</f>
        <v/>
      </c>
    </row>
    <row r="2121">
      <c r="A2121" t="n">
        <v>2120</v>
      </c>
      <c r="B2121">
        <f>IFERROR(INDEX(Segmen!$A$3:$A$6000,MATCH(C2121,Segmen!$D$3:$D$6000,0)),"")</f>
        <v/>
      </c>
      <c r="C2121">
        <f>IFERROR(LARGE(Segmen!$D$3:$D$6000,A2121),"")</f>
        <v/>
      </c>
    </row>
    <row r="2122">
      <c r="A2122" t="n">
        <v>2121</v>
      </c>
      <c r="B2122">
        <f>IFERROR(INDEX(Segmen!$A$3:$A$6000,MATCH(C2122,Segmen!$D$3:$D$6000,0)),"")</f>
        <v/>
      </c>
      <c r="C2122">
        <f>IFERROR(LARGE(Segmen!$D$3:$D$6000,A2122),"")</f>
        <v/>
      </c>
    </row>
    <row r="2123">
      <c r="A2123" t="n">
        <v>2122</v>
      </c>
      <c r="B2123">
        <f>IFERROR(INDEX(Segmen!$A$3:$A$6000,MATCH(C2123,Segmen!$D$3:$D$6000,0)),"")</f>
        <v/>
      </c>
      <c r="C2123">
        <f>IFERROR(LARGE(Segmen!$D$3:$D$6000,A2123),"")</f>
        <v/>
      </c>
    </row>
    <row r="2124">
      <c r="A2124" t="n">
        <v>2123</v>
      </c>
      <c r="B2124">
        <f>IFERROR(INDEX(Segmen!$A$3:$A$6000,MATCH(C2124,Segmen!$D$3:$D$6000,0)),"")</f>
        <v/>
      </c>
      <c r="C2124">
        <f>IFERROR(LARGE(Segmen!$D$3:$D$6000,A2124),"")</f>
        <v/>
      </c>
    </row>
    <row r="2125">
      <c r="A2125" t="n">
        <v>2124</v>
      </c>
      <c r="B2125">
        <f>IFERROR(INDEX(Segmen!$A$3:$A$6000,MATCH(C2125,Segmen!$D$3:$D$6000,0)),"")</f>
        <v/>
      </c>
      <c r="C2125">
        <f>IFERROR(LARGE(Segmen!$D$3:$D$6000,A2125),"")</f>
        <v/>
      </c>
    </row>
    <row r="2126">
      <c r="A2126" t="n">
        <v>2125</v>
      </c>
      <c r="B2126">
        <f>IFERROR(INDEX(Segmen!$A$3:$A$6000,MATCH(C2126,Segmen!$D$3:$D$6000,0)),"")</f>
        <v/>
      </c>
      <c r="C2126">
        <f>IFERROR(LARGE(Segmen!$D$3:$D$6000,A2126),"")</f>
        <v/>
      </c>
    </row>
    <row r="2127">
      <c r="A2127" t="n">
        <v>2126</v>
      </c>
      <c r="B2127">
        <f>IFERROR(INDEX(Segmen!$A$3:$A$6000,MATCH(C2127,Segmen!$D$3:$D$6000,0)),"")</f>
        <v/>
      </c>
      <c r="C2127">
        <f>IFERROR(LARGE(Segmen!$D$3:$D$6000,A2127),"")</f>
        <v/>
      </c>
    </row>
    <row r="2128">
      <c r="A2128" t="n">
        <v>2127</v>
      </c>
      <c r="B2128">
        <f>IFERROR(INDEX(Segmen!$A$3:$A$6000,MATCH(C2128,Segmen!$D$3:$D$6000,0)),"")</f>
        <v/>
      </c>
      <c r="C2128">
        <f>IFERROR(LARGE(Segmen!$D$3:$D$6000,A2128),"")</f>
        <v/>
      </c>
    </row>
    <row r="2129">
      <c r="A2129" t="n">
        <v>2128</v>
      </c>
      <c r="B2129">
        <f>IFERROR(INDEX(Segmen!$A$3:$A$6000,MATCH(C2129,Segmen!$D$3:$D$6000,0)),"")</f>
        <v/>
      </c>
      <c r="C2129">
        <f>IFERROR(LARGE(Segmen!$D$3:$D$6000,A2129),"")</f>
        <v/>
      </c>
    </row>
    <row r="2130">
      <c r="A2130" t="n">
        <v>2129</v>
      </c>
      <c r="B2130">
        <f>IFERROR(INDEX(Segmen!$A$3:$A$6000,MATCH(C2130,Segmen!$D$3:$D$6000,0)),"")</f>
        <v/>
      </c>
      <c r="C2130">
        <f>IFERROR(LARGE(Segmen!$D$3:$D$6000,A2130),"")</f>
        <v/>
      </c>
    </row>
    <row r="2131">
      <c r="A2131" t="n">
        <v>2130</v>
      </c>
      <c r="B2131">
        <f>IFERROR(INDEX(Segmen!$A$3:$A$6000,MATCH(C2131,Segmen!$D$3:$D$6000,0)),"")</f>
        <v/>
      </c>
      <c r="C2131">
        <f>IFERROR(LARGE(Segmen!$D$3:$D$6000,A2131),"")</f>
        <v/>
      </c>
    </row>
    <row r="2132">
      <c r="A2132" t="n">
        <v>2131</v>
      </c>
      <c r="B2132">
        <f>IFERROR(INDEX(Segmen!$A$3:$A$6000,MATCH(C2132,Segmen!$D$3:$D$6000,0)),"")</f>
        <v/>
      </c>
      <c r="C2132">
        <f>IFERROR(LARGE(Segmen!$D$3:$D$6000,A2132),"")</f>
        <v/>
      </c>
    </row>
    <row r="2133">
      <c r="A2133" t="n">
        <v>2132</v>
      </c>
      <c r="B2133">
        <f>IFERROR(INDEX(Segmen!$A$3:$A$6000,MATCH(C2133,Segmen!$D$3:$D$6000,0)),"")</f>
        <v/>
      </c>
      <c r="C2133">
        <f>IFERROR(LARGE(Segmen!$D$3:$D$6000,A2133),"")</f>
        <v/>
      </c>
    </row>
    <row r="2134">
      <c r="A2134" t="n">
        <v>2133</v>
      </c>
      <c r="B2134">
        <f>IFERROR(INDEX(Segmen!$A$3:$A$6000,MATCH(C2134,Segmen!$D$3:$D$6000,0)),"")</f>
        <v/>
      </c>
      <c r="C2134">
        <f>IFERROR(LARGE(Segmen!$D$3:$D$6000,A2134),"")</f>
        <v/>
      </c>
    </row>
    <row r="2135">
      <c r="A2135" t="n">
        <v>2134</v>
      </c>
      <c r="B2135">
        <f>IFERROR(INDEX(Segmen!$A$3:$A$6000,MATCH(C2135,Segmen!$D$3:$D$6000,0)),"")</f>
        <v/>
      </c>
      <c r="C2135">
        <f>IFERROR(LARGE(Segmen!$D$3:$D$6000,A2135),"")</f>
        <v/>
      </c>
    </row>
    <row r="2136">
      <c r="A2136" t="n">
        <v>2135</v>
      </c>
      <c r="B2136">
        <f>IFERROR(INDEX(Segmen!$A$3:$A$6000,MATCH(C2136,Segmen!$D$3:$D$6000,0)),"")</f>
        <v/>
      </c>
      <c r="C2136">
        <f>IFERROR(LARGE(Segmen!$D$3:$D$6000,A2136),"")</f>
        <v/>
      </c>
    </row>
    <row r="2137">
      <c r="A2137" t="n">
        <v>2136</v>
      </c>
      <c r="B2137">
        <f>IFERROR(INDEX(Segmen!$A$3:$A$6000,MATCH(C2137,Segmen!$D$3:$D$6000,0)),"")</f>
        <v/>
      </c>
      <c r="C2137">
        <f>IFERROR(LARGE(Segmen!$D$3:$D$6000,A2137),"")</f>
        <v/>
      </c>
    </row>
    <row r="2138">
      <c r="A2138" t="n">
        <v>2137</v>
      </c>
      <c r="B2138">
        <f>IFERROR(INDEX(Segmen!$A$3:$A$6000,MATCH(C2138,Segmen!$D$3:$D$6000,0)),"")</f>
        <v/>
      </c>
      <c r="C2138">
        <f>IFERROR(LARGE(Segmen!$D$3:$D$6000,A2138),"")</f>
        <v/>
      </c>
    </row>
    <row r="2139">
      <c r="A2139" t="n">
        <v>2138</v>
      </c>
      <c r="B2139">
        <f>IFERROR(INDEX(Segmen!$A$3:$A$6000,MATCH(C2139,Segmen!$D$3:$D$6000,0)),"")</f>
        <v/>
      </c>
      <c r="C2139">
        <f>IFERROR(LARGE(Segmen!$D$3:$D$6000,A2139),"")</f>
        <v/>
      </c>
    </row>
    <row r="2140">
      <c r="A2140" t="n">
        <v>2139</v>
      </c>
      <c r="B2140">
        <f>IFERROR(INDEX(Segmen!$A$3:$A$6000,MATCH(C2140,Segmen!$D$3:$D$6000,0)),"")</f>
        <v/>
      </c>
      <c r="C2140">
        <f>IFERROR(LARGE(Segmen!$D$3:$D$6000,A2140),"")</f>
        <v/>
      </c>
    </row>
    <row r="2141">
      <c r="A2141" t="n">
        <v>2140</v>
      </c>
      <c r="B2141">
        <f>IFERROR(INDEX(Segmen!$A$3:$A$6000,MATCH(C2141,Segmen!$D$3:$D$6000,0)),"")</f>
        <v/>
      </c>
      <c r="C2141">
        <f>IFERROR(LARGE(Segmen!$D$3:$D$6000,A2141),"")</f>
        <v/>
      </c>
    </row>
    <row r="2142">
      <c r="A2142" t="n">
        <v>2141</v>
      </c>
      <c r="B2142">
        <f>IFERROR(INDEX(Segmen!$A$3:$A$6000,MATCH(C2142,Segmen!$D$3:$D$6000,0)),"")</f>
        <v/>
      </c>
      <c r="C2142">
        <f>IFERROR(LARGE(Segmen!$D$3:$D$6000,A2142),"")</f>
        <v/>
      </c>
    </row>
    <row r="2143">
      <c r="A2143" t="n">
        <v>2142</v>
      </c>
      <c r="B2143">
        <f>IFERROR(INDEX(Segmen!$A$3:$A$6000,MATCH(C2143,Segmen!$D$3:$D$6000,0)),"")</f>
        <v/>
      </c>
      <c r="C2143">
        <f>IFERROR(LARGE(Segmen!$D$3:$D$6000,A2143),"")</f>
        <v/>
      </c>
    </row>
    <row r="2144">
      <c r="A2144" t="n">
        <v>2143</v>
      </c>
      <c r="B2144">
        <f>IFERROR(INDEX(Segmen!$A$3:$A$6000,MATCH(C2144,Segmen!$D$3:$D$6000,0)),"")</f>
        <v/>
      </c>
      <c r="C2144">
        <f>IFERROR(LARGE(Segmen!$D$3:$D$6000,A2144),"")</f>
        <v/>
      </c>
    </row>
    <row r="2145">
      <c r="A2145" t="n">
        <v>2144</v>
      </c>
      <c r="B2145">
        <f>IFERROR(INDEX(Segmen!$A$3:$A$6000,MATCH(C2145,Segmen!$D$3:$D$6000,0)),"")</f>
        <v/>
      </c>
      <c r="C2145">
        <f>IFERROR(LARGE(Segmen!$D$3:$D$6000,A2145),"")</f>
        <v/>
      </c>
    </row>
    <row r="2146">
      <c r="A2146" t="n">
        <v>2145</v>
      </c>
      <c r="B2146">
        <f>IFERROR(INDEX(Segmen!$A$3:$A$6000,MATCH(C2146,Segmen!$D$3:$D$6000,0)),"")</f>
        <v/>
      </c>
      <c r="C2146">
        <f>IFERROR(LARGE(Segmen!$D$3:$D$6000,A2146),"")</f>
        <v/>
      </c>
    </row>
    <row r="2147">
      <c r="A2147" t="n">
        <v>2146</v>
      </c>
      <c r="B2147">
        <f>IFERROR(INDEX(Segmen!$A$3:$A$6000,MATCH(C2147,Segmen!$D$3:$D$6000,0)),"")</f>
        <v/>
      </c>
      <c r="C2147">
        <f>IFERROR(LARGE(Segmen!$D$3:$D$6000,A2147),"")</f>
        <v/>
      </c>
    </row>
    <row r="2148">
      <c r="A2148" t="n">
        <v>2147</v>
      </c>
      <c r="B2148">
        <f>IFERROR(INDEX(Segmen!$A$3:$A$6000,MATCH(C2148,Segmen!$D$3:$D$6000,0)),"")</f>
        <v/>
      </c>
      <c r="C2148">
        <f>IFERROR(LARGE(Segmen!$D$3:$D$6000,A2148),"")</f>
        <v/>
      </c>
    </row>
    <row r="2149">
      <c r="A2149" t="n">
        <v>2148</v>
      </c>
      <c r="B2149">
        <f>IFERROR(INDEX(Segmen!$A$3:$A$6000,MATCH(C2149,Segmen!$D$3:$D$6000,0)),"")</f>
        <v/>
      </c>
      <c r="C2149">
        <f>IFERROR(LARGE(Segmen!$D$3:$D$6000,A2149),"")</f>
        <v/>
      </c>
    </row>
    <row r="2150">
      <c r="A2150" t="n">
        <v>2149</v>
      </c>
      <c r="B2150">
        <f>IFERROR(INDEX(Segmen!$A$3:$A$6000,MATCH(C2150,Segmen!$D$3:$D$6000,0)),"")</f>
        <v/>
      </c>
      <c r="C2150">
        <f>IFERROR(LARGE(Segmen!$D$3:$D$6000,A2150),"")</f>
        <v/>
      </c>
    </row>
    <row r="2151">
      <c r="A2151" t="n">
        <v>2150</v>
      </c>
      <c r="B2151">
        <f>IFERROR(INDEX(Segmen!$A$3:$A$6000,MATCH(C2151,Segmen!$D$3:$D$6000,0)),"")</f>
        <v/>
      </c>
      <c r="C2151">
        <f>IFERROR(LARGE(Segmen!$D$3:$D$6000,A2151),"")</f>
        <v/>
      </c>
    </row>
    <row r="2152">
      <c r="A2152" t="n">
        <v>2151</v>
      </c>
      <c r="B2152">
        <f>IFERROR(INDEX(Segmen!$A$3:$A$6000,MATCH(C2152,Segmen!$D$3:$D$6000,0)),"")</f>
        <v/>
      </c>
      <c r="C2152">
        <f>IFERROR(LARGE(Segmen!$D$3:$D$6000,A2152),"")</f>
        <v/>
      </c>
    </row>
    <row r="2153">
      <c r="A2153" t="n">
        <v>2152</v>
      </c>
      <c r="B2153">
        <f>IFERROR(INDEX(Segmen!$A$3:$A$6000,MATCH(C2153,Segmen!$D$3:$D$6000,0)),"")</f>
        <v/>
      </c>
      <c r="C2153">
        <f>IFERROR(LARGE(Segmen!$D$3:$D$6000,A2153),"")</f>
        <v/>
      </c>
    </row>
    <row r="2154">
      <c r="A2154" t="n">
        <v>2153</v>
      </c>
      <c r="B2154">
        <f>IFERROR(INDEX(Segmen!$A$3:$A$6000,MATCH(C2154,Segmen!$D$3:$D$6000,0)),"")</f>
        <v/>
      </c>
      <c r="C2154">
        <f>IFERROR(LARGE(Segmen!$D$3:$D$6000,A2154),"")</f>
        <v/>
      </c>
    </row>
    <row r="2155">
      <c r="A2155" t="n">
        <v>2154</v>
      </c>
      <c r="B2155">
        <f>IFERROR(INDEX(Segmen!$A$3:$A$6000,MATCH(C2155,Segmen!$D$3:$D$6000,0)),"")</f>
        <v/>
      </c>
      <c r="C2155">
        <f>IFERROR(LARGE(Segmen!$D$3:$D$6000,A2155),"")</f>
        <v/>
      </c>
    </row>
    <row r="2156">
      <c r="A2156" t="n">
        <v>2155</v>
      </c>
      <c r="B2156">
        <f>IFERROR(INDEX(Segmen!$A$3:$A$6000,MATCH(C2156,Segmen!$D$3:$D$6000,0)),"")</f>
        <v/>
      </c>
      <c r="C2156">
        <f>IFERROR(LARGE(Segmen!$D$3:$D$6000,A2156),"")</f>
        <v/>
      </c>
    </row>
    <row r="2157">
      <c r="A2157" t="n">
        <v>2156</v>
      </c>
      <c r="B2157">
        <f>IFERROR(INDEX(Segmen!$A$3:$A$6000,MATCH(C2157,Segmen!$D$3:$D$6000,0)),"")</f>
        <v/>
      </c>
      <c r="C2157">
        <f>IFERROR(LARGE(Segmen!$D$3:$D$6000,A2157),"")</f>
        <v/>
      </c>
    </row>
    <row r="2158">
      <c r="A2158" t="n">
        <v>2157</v>
      </c>
      <c r="B2158">
        <f>IFERROR(INDEX(Segmen!$A$3:$A$6000,MATCH(C2158,Segmen!$D$3:$D$6000,0)),"")</f>
        <v/>
      </c>
      <c r="C2158">
        <f>IFERROR(LARGE(Segmen!$D$3:$D$6000,A2158),"")</f>
        <v/>
      </c>
    </row>
    <row r="2159">
      <c r="A2159" t="n">
        <v>2158</v>
      </c>
      <c r="B2159">
        <f>IFERROR(INDEX(Segmen!$A$3:$A$6000,MATCH(C2159,Segmen!$D$3:$D$6000,0)),"")</f>
        <v/>
      </c>
      <c r="C2159">
        <f>IFERROR(LARGE(Segmen!$D$3:$D$6000,A2159),"")</f>
        <v/>
      </c>
    </row>
    <row r="2160">
      <c r="A2160" t="n">
        <v>2159</v>
      </c>
      <c r="B2160">
        <f>IFERROR(INDEX(Segmen!$A$3:$A$6000,MATCH(C2160,Segmen!$D$3:$D$6000,0)),"")</f>
        <v/>
      </c>
      <c r="C2160">
        <f>IFERROR(LARGE(Segmen!$D$3:$D$6000,A2160),"")</f>
        <v/>
      </c>
    </row>
    <row r="2161">
      <c r="A2161" t="n">
        <v>2160</v>
      </c>
      <c r="B2161">
        <f>IFERROR(INDEX(Segmen!$A$3:$A$6000,MATCH(C2161,Segmen!$D$3:$D$6000,0)),"")</f>
        <v/>
      </c>
      <c r="C2161">
        <f>IFERROR(LARGE(Segmen!$D$3:$D$6000,A2161),"")</f>
        <v/>
      </c>
    </row>
    <row r="2162">
      <c r="A2162" t="n">
        <v>2161</v>
      </c>
      <c r="B2162">
        <f>IFERROR(INDEX(Segmen!$A$3:$A$6000,MATCH(C2162,Segmen!$D$3:$D$6000,0)),"")</f>
        <v/>
      </c>
      <c r="C2162">
        <f>IFERROR(LARGE(Segmen!$D$3:$D$6000,A2162),"")</f>
        <v/>
      </c>
    </row>
    <row r="2163">
      <c r="A2163" t="n">
        <v>2162</v>
      </c>
      <c r="B2163">
        <f>IFERROR(INDEX(Segmen!$A$3:$A$6000,MATCH(C2163,Segmen!$D$3:$D$6000,0)),"")</f>
        <v/>
      </c>
      <c r="C2163">
        <f>IFERROR(LARGE(Segmen!$D$3:$D$6000,A2163),"")</f>
        <v/>
      </c>
    </row>
    <row r="2164">
      <c r="A2164" t="n">
        <v>2163</v>
      </c>
      <c r="B2164">
        <f>IFERROR(INDEX(Segmen!$A$3:$A$6000,MATCH(C2164,Segmen!$D$3:$D$6000,0)),"")</f>
        <v/>
      </c>
      <c r="C2164">
        <f>IFERROR(LARGE(Segmen!$D$3:$D$6000,A2164),"")</f>
        <v/>
      </c>
    </row>
    <row r="2165">
      <c r="A2165" t="n">
        <v>2164</v>
      </c>
      <c r="B2165">
        <f>IFERROR(INDEX(Segmen!$A$3:$A$6000,MATCH(C2165,Segmen!$D$3:$D$6000,0)),"")</f>
        <v/>
      </c>
      <c r="C2165">
        <f>IFERROR(LARGE(Segmen!$D$3:$D$6000,A2165),"")</f>
        <v/>
      </c>
    </row>
    <row r="2166">
      <c r="A2166" t="n">
        <v>2165</v>
      </c>
      <c r="B2166">
        <f>IFERROR(INDEX(Segmen!$A$3:$A$6000,MATCH(C2166,Segmen!$D$3:$D$6000,0)),"")</f>
        <v/>
      </c>
      <c r="C2166">
        <f>IFERROR(LARGE(Segmen!$D$3:$D$6000,A2166),"")</f>
        <v/>
      </c>
    </row>
    <row r="2167">
      <c r="A2167" t="n">
        <v>2166</v>
      </c>
      <c r="B2167">
        <f>IFERROR(INDEX(Segmen!$A$3:$A$6000,MATCH(C2167,Segmen!$D$3:$D$6000,0)),"")</f>
        <v/>
      </c>
      <c r="C2167">
        <f>IFERROR(LARGE(Segmen!$D$3:$D$6000,A2167),"")</f>
        <v/>
      </c>
    </row>
    <row r="2168">
      <c r="A2168" t="n">
        <v>2167</v>
      </c>
      <c r="B2168">
        <f>IFERROR(INDEX(Segmen!$A$3:$A$6000,MATCH(C2168,Segmen!$D$3:$D$6000,0)),"")</f>
        <v/>
      </c>
      <c r="C2168">
        <f>IFERROR(LARGE(Segmen!$D$3:$D$6000,A2168),"")</f>
        <v/>
      </c>
    </row>
    <row r="2169">
      <c r="A2169" t="n">
        <v>2168</v>
      </c>
      <c r="B2169">
        <f>IFERROR(INDEX(Segmen!$A$3:$A$6000,MATCH(C2169,Segmen!$D$3:$D$6000,0)),"")</f>
        <v/>
      </c>
      <c r="C2169">
        <f>IFERROR(LARGE(Segmen!$D$3:$D$6000,A2169),"")</f>
        <v/>
      </c>
    </row>
    <row r="2170">
      <c r="A2170" t="n">
        <v>2169</v>
      </c>
      <c r="B2170">
        <f>IFERROR(INDEX(Segmen!$A$3:$A$6000,MATCH(C2170,Segmen!$D$3:$D$6000,0)),"")</f>
        <v/>
      </c>
      <c r="C2170">
        <f>IFERROR(LARGE(Segmen!$D$3:$D$6000,A2170),"")</f>
        <v/>
      </c>
    </row>
    <row r="2171">
      <c r="A2171" t="n">
        <v>2170</v>
      </c>
      <c r="B2171">
        <f>IFERROR(INDEX(Segmen!$A$3:$A$6000,MATCH(C2171,Segmen!$D$3:$D$6000,0)),"")</f>
        <v/>
      </c>
      <c r="C2171">
        <f>IFERROR(LARGE(Segmen!$D$3:$D$6000,A2171),"")</f>
        <v/>
      </c>
    </row>
    <row r="2172">
      <c r="A2172" t="n">
        <v>2171</v>
      </c>
      <c r="B2172">
        <f>IFERROR(INDEX(Segmen!$A$3:$A$6000,MATCH(C2172,Segmen!$D$3:$D$6000,0)),"")</f>
        <v/>
      </c>
      <c r="C2172">
        <f>IFERROR(LARGE(Segmen!$D$3:$D$6000,A2172),"")</f>
        <v/>
      </c>
    </row>
    <row r="2173">
      <c r="A2173" t="n">
        <v>2172</v>
      </c>
      <c r="B2173">
        <f>IFERROR(INDEX(Segmen!$A$3:$A$6000,MATCH(C2173,Segmen!$D$3:$D$6000,0)),"")</f>
        <v/>
      </c>
      <c r="C2173">
        <f>IFERROR(LARGE(Segmen!$D$3:$D$6000,A2173),"")</f>
        <v/>
      </c>
    </row>
    <row r="2174">
      <c r="A2174" t="n">
        <v>2173</v>
      </c>
      <c r="B2174">
        <f>IFERROR(INDEX(Segmen!$A$3:$A$6000,MATCH(C2174,Segmen!$D$3:$D$6000,0)),"")</f>
        <v/>
      </c>
      <c r="C2174">
        <f>IFERROR(LARGE(Segmen!$D$3:$D$6000,A2174),"")</f>
        <v/>
      </c>
    </row>
    <row r="2175">
      <c r="A2175" t="n">
        <v>2174</v>
      </c>
      <c r="B2175">
        <f>IFERROR(INDEX(Segmen!$A$3:$A$6000,MATCH(C2175,Segmen!$D$3:$D$6000,0)),"")</f>
        <v/>
      </c>
      <c r="C2175">
        <f>IFERROR(LARGE(Segmen!$D$3:$D$6000,A2175),"")</f>
        <v/>
      </c>
    </row>
    <row r="2176">
      <c r="A2176" t="n">
        <v>2175</v>
      </c>
      <c r="B2176">
        <f>IFERROR(INDEX(Segmen!$A$3:$A$6000,MATCH(C2176,Segmen!$D$3:$D$6000,0)),"")</f>
        <v/>
      </c>
      <c r="C2176">
        <f>IFERROR(LARGE(Segmen!$D$3:$D$6000,A2176),"")</f>
        <v/>
      </c>
    </row>
    <row r="2177">
      <c r="A2177" t="n">
        <v>2176</v>
      </c>
      <c r="B2177">
        <f>IFERROR(INDEX(Segmen!$A$3:$A$6000,MATCH(C2177,Segmen!$D$3:$D$6000,0)),"")</f>
        <v/>
      </c>
      <c r="C2177">
        <f>IFERROR(LARGE(Segmen!$D$3:$D$6000,A2177),"")</f>
        <v/>
      </c>
    </row>
    <row r="2178">
      <c r="A2178" t="n">
        <v>2177</v>
      </c>
      <c r="B2178">
        <f>IFERROR(INDEX(Segmen!$A$3:$A$6000,MATCH(C2178,Segmen!$D$3:$D$6000,0)),"")</f>
        <v/>
      </c>
      <c r="C2178">
        <f>IFERROR(LARGE(Segmen!$D$3:$D$6000,A2178),"")</f>
        <v/>
      </c>
    </row>
    <row r="2179">
      <c r="A2179" t="n">
        <v>2178</v>
      </c>
      <c r="B2179">
        <f>IFERROR(INDEX(Segmen!$A$3:$A$6000,MATCH(C2179,Segmen!$D$3:$D$6000,0)),"")</f>
        <v/>
      </c>
      <c r="C2179">
        <f>IFERROR(LARGE(Segmen!$D$3:$D$6000,A2179),"")</f>
        <v/>
      </c>
    </row>
    <row r="2180">
      <c r="A2180" t="n">
        <v>2179</v>
      </c>
      <c r="B2180">
        <f>IFERROR(INDEX(Segmen!$A$3:$A$6000,MATCH(C2180,Segmen!$D$3:$D$6000,0)),"")</f>
        <v/>
      </c>
      <c r="C2180">
        <f>IFERROR(LARGE(Segmen!$D$3:$D$6000,A2180),"")</f>
        <v/>
      </c>
    </row>
    <row r="2181">
      <c r="A2181" t="n">
        <v>2180</v>
      </c>
      <c r="B2181">
        <f>IFERROR(INDEX(Segmen!$A$3:$A$6000,MATCH(C2181,Segmen!$D$3:$D$6000,0)),"")</f>
        <v/>
      </c>
      <c r="C2181">
        <f>IFERROR(LARGE(Segmen!$D$3:$D$6000,A2181),"")</f>
        <v/>
      </c>
    </row>
    <row r="2182">
      <c r="A2182" t="n">
        <v>2181</v>
      </c>
      <c r="B2182">
        <f>IFERROR(INDEX(Segmen!$A$3:$A$6000,MATCH(C2182,Segmen!$D$3:$D$6000,0)),"")</f>
        <v/>
      </c>
      <c r="C2182">
        <f>IFERROR(LARGE(Segmen!$D$3:$D$6000,A2182),"")</f>
        <v/>
      </c>
    </row>
    <row r="2183">
      <c r="A2183" t="n">
        <v>2182</v>
      </c>
      <c r="B2183">
        <f>IFERROR(INDEX(Segmen!$A$3:$A$6000,MATCH(C2183,Segmen!$D$3:$D$6000,0)),"")</f>
        <v/>
      </c>
      <c r="C2183">
        <f>IFERROR(LARGE(Segmen!$D$3:$D$6000,A2183),"")</f>
        <v/>
      </c>
    </row>
    <row r="2184">
      <c r="A2184" t="n">
        <v>2183</v>
      </c>
      <c r="B2184">
        <f>IFERROR(INDEX(Segmen!$A$3:$A$6000,MATCH(C2184,Segmen!$D$3:$D$6000,0)),"")</f>
        <v/>
      </c>
      <c r="C2184">
        <f>IFERROR(LARGE(Segmen!$D$3:$D$6000,A2184),"")</f>
        <v/>
      </c>
    </row>
    <row r="2185">
      <c r="A2185" t="n">
        <v>2184</v>
      </c>
      <c r="B2185">
        <f>IFERROR(INDEX(Segmen!$A$3:$A$6000,MATCH(C2185,Segmen!$D$3:$D$6000,0)),"")</f>
        <v/>
      </c>
      <c r="C2185">
        <f>IFERROR(LARGE(Segmen!$D$3:$D$6000,A2185),"")</f>
        <v/>
      </c>
    </row>
    <row r="2186">
      <c r="A2186" t="n">
        <v>2185</v>
      </c>
      <c r="B2186">
        <f>IFERROR(INDEX(Segmen!$A$3:$A$6000,MATCH(C2186,Segmen!$D$3:$D$6000,0)),"")</f>
        <v/>
      </c>
      <c r="C2186">
        <f>IFERROR(LARGE(Segmen!$D$3:$D$6000,A2186),"")</f>
        <v/>
      </c>
    </row>
    <row r="2187">
      <c r="A2187" t="n">
        <v>2186</v>
      </c>
      <c r="B2187">
        <f>IFERROR(INDEX(Segmen!$A$3:$A$6000,MATCH(C2187,Segmen!$D$3:$D$6000,0)),"")</f>
        <v/>
      </c>
      <c r="C2187">
        <f>IFERROR(LARGE(Segmen!$D$3:$D$6000,A2187),"")</f>
        <v/>
      </c>
    </row>
    <row r="2188">
      <c r="A2188" t="n">
        <v>2187</v>
      </c>
      <c r="B2188">
        <f>IFERROR(INDEX(Segmen!$A$3:$A$6000,MATCH(C2188,Segmen!$D$3:$D$6000,0)),"")</f>
        <v/>
      </c>
      <c r="C2188">
        <f>IFERROR(LARGE(Segmen!$D$3:$D$6000,A2188),"")</f>
        <v/>
      </c>
    </row>
    <row r="2189">
      <c r="A2189" t="n">
        <v>2188</v>
      </c>
      <c r="B2189">
        <f>IFERROR(INDEX(Segmen!$A$3:$A$6000,MATCH(C2189,Segmen!$D$3:$D$6000,0)),"")</f>
        <v/>
      </c>
      <c r="C2189">
        <f>IFERROR(LARGE(Segmen!$D$3:$D$6000,A2189),"")</f>
        <v/>
      </c>
    </row>
    <row r="2190">
      <c r="A2190" t="n">
        <v>2189</v>
      </c>
      <c r="B2190">
        <f>IFERROR(INDEX(Segmen!$A$3:$A$6000,MATCH(C2190,Segmen!$D$3:$D$6000,0)),"")</f>
        <v/>
      </c>
      <c r="C2190">
        <f>IFERROR(LARGE(Segmen!$D$3:$D$6000,A2190),"")</f>
        <v/>
      </c>
    </row>
    <row r="2191">
      <c r="A2191" t="n">
        <v>2190</v>
      </c>
      <c r="B2191">
        <f>IFERROR(INDEX(Segmen!$A$3:$A$6000,MATCH(C2191,Segmen!$D$3:$D$6000,0)),"")</f>
        <v/>
      </c>
      <c r="C2191">
        <f>IFERROR(LARGE(Segmen!$D$3:$D$6000,A2191),"")</f>
        <v/>
      </c>
    </row>
    <row r="2192">
      <c r="A2192" t="n">
        <v>2191</v>
      </c>
      <c r="B2192">
        <f>IFERROR(INDEX(Segmen!$A$3:$A$6000,MATCH(C2192,Segmen!$D$3:$D$6000,0)),"")</f>
        <v/>
      </c>
      <c r="C2192">
        <f>IFERROR(LARGE(Segmen!$D$3:$D$6000,A2192),"")</f>
        <v/>
      </c>
    </row>
    <row r="2193">
      <c r="A2193" t="n">
        <v>2192</v>
      </c>
      <c r="B2193">
        <f>IFERROR(INDEX(Segmen!$A$3:$A$6000,MATCH(C2193,Segmen!$D$3:$D$6000,0)),"")</f>
        <v/>
      </c>
      <c r="C2193">
        <f>IFERROR(LARGE(Segmen!$D$3:$D$6000,A2193),"")</f>
        <v/>
      </c>
    </row>
    <row r="2194">
      <c r="A2194" t="n">
        <v>2193</v>
      </c>
      <c r="B2194">
        <f>IFERROR(INDEX(Segmen!$A$3:$A$6000,MATCH(C2194,Segmen!$D$3:$D$6000,0)),"")</f>
        <v/>
      </c>
      <c r="C2194">
        <f>IFERROR(LARGE(Segmen!$D$3:$D$6000,A2194),"")</f>
        <v/>
      </c>
    </row>
    <row r="2195">
      <c r="A2195" t="n">
        <v>2194</v>
      </c>
      <c r="B2195">
        <f>IFERROR(INDEX(Segmen!$A$3:$A$6000,MATCH(C2195,Segmen!$D$3:$D$6000,0)),"")</f>
        <v/>
      </c>
      <c r="C2195">
        <f>IFERROR(LARGE(Segmen!$D$3:$D$6000,A2195),"")</f>
        <v/>
      </c>
    </row>
    <row r="2196">
      <c r="A2196" t="n">
        <v>2195</v>
      </c>
      <c r="B2196">
        <f>IFERROR(INDEX(Segmen!$A$3:$A$6000,MATCH(C2196,Segmen!$D$3:$D$6000,0)),"")</f>
        <v/>
      </c>
      <c r="C2196">
        <f>IFERROR(LARGE(Segmen!$D$3:$D$6000,A2196),"")</f>
        <v/>
      </c>
    </row>
    <row r="2197">
      <c r="A2197" t="n">
        <v>2196</v>
      </c>
      <c r="B2197">
        <f>IFERROR(INDEX(Segmen!$A$3:$A$6000,MATCH(C2197,Segmen!$D$3:$D$6000,0)),"")</f>
        <v/>
      </c>
      <c r="C2197">
        <f>IFERROR(LARGE(Segmen!$D$3:$D$6000,A2197),"")</f>
        <v/>
      </c>
    </row>
    <row r="2198">
      <c r="A2198" t="n">
        <v>2197</v>
      </c>
      <c r="B2198">
        <f>IFERROR(INDEX(Segmen!$A$3:$A$6000,MATCH(C2198,Segmen!$D$3:$D$6000,0)),"")</f>
        <v/>
      </c>
      <c r="C2198">
        <f>IFERROR(LARGE(Segmen!$D$3:$D$6000,A2198),"")</f>
        <v/>
      </c>
    </row>
    <row r="2199">
      <c r="A2199" t="n">
        <v>2198</v>
      </c>
      <c r="B2199">
        <f>IFERROR(INDEX(Segmen!$A$3:$A$6000,MATCH(C2199,Segmen!$D$3:$D$6000,0)),"")</f>
        <v/>
      </c>
      <c r="C2199">
        <f>IFERROR(LARGE(Segmen!$D$3:$D$6000,A2199),"")</f>
        <v/>
      </c>
    </row>
    <row r="2200">
      <c r="A2200" t="n">
        <v>2199</v>
      </c>
      <c r="B2200">
        <f>IFERROR(INDEX(Segmen!$A$3:$A$6000,MATCH(C2200,Segmen!$D$3:$D$6000,0)),"")</f>
        <v/>
      </c>
      <c r="C2200">
        <f>IFERROR(LARGE(Segmen!$D$3:$D$6000,A2200),"")</f>
        <v/>
      </c>
    </row>
    <row r="2201">
      <c r="A2201" t="n">
        <v>2200</v>
      </c>
      <c r="B2201">
        <f>IFERROR(INDEX(Segmen!$A$3:$A$6000,MATCH(C2201,Segmen!$D$3:$D$6000,0)),"")</f>
        <v/>
      </c>
      <c r="C2201">
        <f>IFERROR(LARGE(Segmen!$D$3:$D$6000,A2201),"")</f>
        <v/>
      </c>
    </row>
    <row r="2202">
      <c r="A2202" t="n">
        <v>2201</v>
      </c>
      <c r="B2202">
        <f>IFERROR(INDEX(Segmen!$A$3:$A$6000,MATCH(C2202,Segmen!$D$3:$D$6000,0)),"")</f>
        <v/>
      </c>
      <c r="C2202">
        <f>IFERROR(LARGE(Segmen!$D$3:$D$6000,A2202),"")</f>
        <v/>
      </c>
    </row>
    <row r="2203">
      <c r="A2203" t="n">
        <v>2202</v>
      </c>
      <c r="B2203">
        <f>IFERROR(INDEX(Segmen!$A$3:$A$6000,MATCH(C2203,Segmen!$D$3:$D$6000,0)),"")</f>
        <v/>
      </c>
      <c r="C2203">
        <f>IFERROR(LARGE(Segmen!$D$3:$D$6000,A2203),"")</f>
        <v/>
      </c>
    </row>
    <row r="2204">
      <c r="A2204" t="n">
        <v>2203</v>
      </c>
      <c r="B2204">
        <f>IFERROR(INDEX(Segmen!$A$3:$A$6000,MATCH(C2204,Segmen!$D$3:$D$6000,0)),"")</f>
        <v/>
      </c>
      <c r="C2204">
        <f>IFERROR(LARGE(Segmen!$D$3:$D$6000,A2204),"")</f>
        <v/>
      </c>
    </row>
    <row r="2205">
      <c r="A2205" t="n">
        <v>2204</v>
      </c>
      <c r="B2205">
        <f>IFERROR(INDEX(Segmen!$A$3:$A$6000,MATCH(C2205,Segmen!$D$3:$D$6000,0)),"")</f>
        <v/>
      </c>
      <c r="C2205">
        <f>IFERROR(LARGE(Segmen!$D$3:$D$6000,A2205),"")</f>
        <v/>
      </c>
    </row>
    <row r="2206">
      <c r="A2206" t="n">
        <v>2205</v>
      </c>
      <c r="B2206">
        <f>IFERROR(INDEX(Segmen!$A$3:$A$6000,MATCH(C2206,Segmen!$D$3:$D$6000,0)),"")</f>
        <v/>
      </c>
      <c r="C2206">
        <f>IFERROR(LARGE(Segmen!$D$3:$D$6000,A2206),"")</f>
        <v/>
      </c>
    </row>
    <row r="2207">
      <c r="A2207" t="n">
        <v>2206</v>
      </c>
      <c r="B2207">
        <f>IFERROR(INDEX(Segmen!$A$3:$A$6000,MATCH(C2207,Segmen!$D$3:$D$6000,0)),"")</f>
        <v/>
      </c>
      <c r="C2207">
        <f>IFERROR(LARGE(Segmen!$D$3:$D$6000,A2207),"")</f>
        <v/>
      </c>
    </row>
    <row r="2208">
      <c r="A2208" t="n">
        <v>2207</v>
      </c>
      <c r="B2208">
        <f>IFERROR(INDEX(Segmen!$A$3:$A$6000,MATCH(C2208,Segmen!$D$3:$D$6000,0)),"")</f>
        <v/>
      </c>
      <c r="C2208">
        <f>IFERROR(LARGE(Segmen!$D$3:$D$6000,A2208),"")</f>
        <v/>
      </c>
    </row>
    <row r="2209">
      <c r="A2209" t="n">
        <v>2208</v>
      </c>
      <c r="B2209">
        <f>IFERROR(INDEX(Segmen!$A$3:$A$6000,MATCH(C2209,Segmen!$D$3:$D$6000,0)),"")</f>
        <v/>
      </c>
      <c r="C2209">
        <f>IFERROR(LARGE(Segmen!$D$3:$D$6000,A2209),"")</f>
        <v/>
      </c>
    </row>
    <row r="2210">
      <c r="A2210" t="n">
        <v>2209</v>
      </c>
      <c r="B2210">
        <f>IFERROR(INDEX(Segmen!$A$3:$A$6000,MATCH(C2210,Segmen!$D$3:$D$6000,0)),"")</f>
        <v/>
      </c>
      <c r="C2210">
        <f>IFERROR(LARGE(Segmen!$D$3:$D$6000,A2210),"")</f>
        <v/>
      </c>
    </row>
    <row r="2211">
      <c r="A2211" t="n">
        <v>2210</v>
      </c>
      <c r="B2211">
        <f>IFERROR(INDEX(Segmen!$A$3:$A$6000,MATCH(C2211,Segmen!$D$3:$D$6000,0)),"")</f>
        <v/>
      </c>
      <c r="C2211">
        <f>IFERROR(LARGE(Segmen!$D$3:$D$6000,A2211),"")</f>
        <v/>
      </c>
    </row>
    <row r="2212">
      <c r="A2212" t="n">
        <v>2211</v>
      </c>
      <c r="B2212">
        <f>IFERROR(INDEX(Segmen!$A$3:$A$6000,MATCH(C2212,Segmen!$D$3:$D$6000,0)),"")</f>
        <v/>
      </c>
      <c r="C2212">
        <f>IFERROR(LARGE(Segmen!$D$3:$D$6000,A2212),"")</f>
        <v/>
      </c>
    </row>
    <row r="2213">
      <c r="A2213" t="n">
        <v>2212</v>
      </c>
      <c r="B2213">
        <f>IFERROR(INDEX(Segmen!$A$3:$A$6000,MATCH(C2213,Segmen!$D$3:$D$6000,0)),"")</f>
        <v/>
      </c>
      <c r="C2213">
        <f>IFERROR(LARGE(Segmen!$D$3:$D$6000,A2213),"")</f>
        <v/>
      </c>
    </row>
    <row r="2214">
      <c r="A2214" t="n">
        <v>2213</v>
      </c>
      <c r="B2214">
        <f>IFERROR(INDEX(Segmen!$A$3:$A$6000,MATCH(C2214,Segmen!$D$3:$D$6000,0)),"")</f>
        <v/>
      </c>
      <c r="C2214">
        <f>IFERROR(LARGE(Segmen!$D$3:$D$6000,A2214),"")</f>
        <v/>
      </c>
    </row>
    <row r="2215">
      <c r="A2215" t="n">
        <v>2214</v>
      </c>
      <c r="B2215">
        <f>IFERROR(INDEX(Segmen!$A$3:$A$6000,MATCH(C2215,Segmen!$D$3:$D$6000,0)),"")</f>
        <v/>
      </c>
      <c r="C2215">
        <f>IFERROR(LARGE(Segmen!$D$3:$D$6000,A2215),"")</f>
        <v/>
      </c>
    </row>
    <row r="2216">
      <c r="A2216" t="n">
        <v>2215</v>
      </c>
      <c r="B2216">
        <f>IFERROR(INDEX(Segmen!$A$3:$A$6000,MATCH(C2216,Segmen!$D$3:$D$6000,0)),"")</f>
        <v/>
      </c>
      <c r="C2216">
        <f>IFERROR(LARGE(Segmen!$D$3:$D$6000,A2216),"")</f>
        <v/>
      </c>
    </row>
    <row r="2217">
      <c r="A2217" t="n">
        <v>2216</v>
      </c>
      <c r="B2217">
        <f>IFERROR(INDEX(Segmen!$A$3:$A$6000,MATCH(C2217,Segmen!$D$3:$D$6000,0)),"")</f>
        <v/>
      </c>
      <c r="C2217">
        <f>IFERROR(LARGE(Segmen!$D$3:$D$6000,A2217),"")</f>
        <v/>
      </c>
    </row>
    <row r="2218">
      <c r="A2218" t="n">
        <v>2217</v>
      </c>
      <c r="B2218">
        <f>IFERROR(INDEX(Segmen!$A$3:$A$6000,MATCH(C2218,Segmen!$D$3:$D$6000,0)),"")</f>
        <v/>
      </c>
      <c r="C2218">
        <f>IFERROR(LARGE(Segmen!$D$3:$D$6000,A2218),"")</f>
        <v/>
      </c>
    </row>
    <row r="2219">
      <c r="A2219" t="n">
        <v>2218</v>
      </c>
      <c r="B2219">
        <f>IFERROR(INDEX(Segmen!$A$3:$A$6000,MATCH(C2219,Segmen!$D$3:$D$6000,0)),"")</f>
        <v/>
      </c>
      <c r="C2219">
        <f>IFERROR(LARGE(Segmen!$D$3:$D$6000,A2219),"")</f>
        <v/>
      </c>
    </row>
    <row r="2220">
      <c r="A2220" t="n">
        <v>2219</v>
      </c>
      <c r="B2220">
        <f>IFERROR(INDEX(Segmen!$A$3:$A$6000,MATCH(C2220,Segmen!$D$3:$D$6000,0)),"")</f>
        <v/>
      </c>
      <c r="C2220">
        <f>IFERROR(LARGE(Segmen!$D$3:$D$6000,A2220),"")</f>
        <v/>
      </c>
    </row>
    <row r="2221">
      <c r="A2221" t="n">
        <v>2220</v>
      </c>
      <c r="B2221">
        <f>IFERROR(INDEX(Segmen!$A$3:$A$6000,MATCH(C2221,Segmen!$D$3:$D$6000,0)),"")</f>
        <v/>
      </c>
      <c r="C2221">
        <f>IFERROR(LARGE(Segmen!$D$3:$D$6000,A2221),"")</f>
        <v/>
      </c>
    </row>
    <row r="2222">
      <c r="A2222" t="n">
        <v>2221</v>
      </c>
      <c r="B2222">
        <f>IFERROR(INDEX(Segmen!$A$3:$A$6000,MATCH(C2222,Segmen!$D$3:$D$6000,0)),"")</f>
        <v/>
      </c>
      <c r="C2222">
        <f>IFERROR(LARGE(Segmen!$D$3:$D$6000,A2222),"")</f>
        <v/>
      </c>
    </row>
    <row r="2223">
      <c r="A2223" t="n">
        <v>2222</v>
      </c>
      <c r="B2223">
        <f>IFERROR(INDEX(Segmen!$A$3:$A$6000,MATCH(C2223,Segmen!$D$3:$D$6000,0)),"")</f>
        <v/>
      </c>
      <c r="C2223">
        <f>IFERROR(LARGE(Segmen!$D$3:$D$6000,A2223),"")</f>
        <v/>
      </c>
    </row>
    <row r="2224">
      <c r="A2224" t="n">
        <v>2223</v>
      </c>
      <c r="B2224">
        <f>IFERROR(INDEX(Segmen!$A$3:$A$6000,MATCH(C2224,Segmen!$D$3:$D$6000,0)),"")</f>
        <v/>
      </c>
      <c r="C2224">
        <f>IFERROR(LARGE(Segmen!$D$3:$D$6000,A2224),"")</f>
        <v/>
      </c>
    </row>
    <row r="2225">
      <c r="A2225" t="n">
        <v>2224</v>
      </c>
      <c r="B2225">
        <f>IFERROR(INDEX(Segmen!$A$3:$A$6000,MATCH(C2225,Segmen!$D$3:$D$6000,0)),"")</f>
        <v/>
      </c>
      <c r="C2225">
        <f>IFERROR(LARGE(Segmen!$D$3:$D$6000,A2225),"")</f>
        <v/>
      </c>
    </row>
    <row r="2226">
      <c r="A2226" t="n">
        <v>2225</v>
      </c>
      <c r="B2226">
        <f>IFERROR(INDEX(Segmen!$A$3:$A$6000,MATCH(C2226,Segmen!$D$3:$D$6000,0)),"")</f>
        <v/>
      </c>
      <c r="C2226">
        <f>IFERROR(LARGE(Segmen!$D$3:$D$6000,A2226),"")</f>
        <v/>
      </c>
    </row>
    <row r="2227">
      <c r="A2227" t="n">
        <v>2226</v>
      </c>
      <c r="B2227">
        <f>IFERROR(INDEX(Segmen!$A$3:$A$6000,MATCH(C2227,Segmen!$D$3:$D$6000,0)),"")</f>
        <v/>
      </c>
      <c r="C2227">
        <f>IFERROR(LARGE(Segmen!$D$3:$D$6000,A2227),"")</f>
        <v/>
      </c>
    </row>
    <row r="2228">
      <c r="A2228" t="n">
        <v>2227</v>
      </c>
      <c r="B2228">
        <f>IFERROR(INDEX(Segmen!$A$3:$A$6000,MATCH(C2228,Segmen!$D$3:$D$6000,0)),"")</f>
        <v/>
      </c>
      <c r="C2228">
        <f>IFERROR(LARGE(Segmen!$D$3:$D$6000,A2228),"")</f>
        <v/>
      </c>
    </row>
    <row r="2229">
      <c r="A2229" t="n">
        <v>2228</v>
      </c>
      <c r="B2229">
        <f>IFERROR(INDEX(Segmen!$A$3:$A$6000,MATCH(C2229,Segmen!$D$3:$D$6000,0)),"")</f>
        <v/>
      </c>
      <c r="C2229">
        <f>IFERROR(LARGE(Segmen!$D$3:$D$6000,A2229),"")</f>
        <v/>
      </c>
    </row>
    <row r="2230">
      <c r="A2230" t="n">
        <v>2229</v>
      </c>
      <c r="B2230">
        <f>IFERROR(INDEX(Segmen!$A$3:$A$6000,MATCH(C2230,Segmen!$D$3:$D$6000,0)),"")</f>
        <v/>
      </c>
      <c r="C2230">
        <f>IFERROR(LARGE(Segmen!$D$3:$D$6000,A2230),"")</f>
        <v/>
      </c>
    </row>
    <row r="2231">
      <c r="A2231" t="n">
        <v>2230</v>
      </c>
      <c r="B2231">
        <f>IFERROR(INDEX(Segmen!$A$3:$A$6000,MATCH(C2231,Segmen!$D$3:$D$6000,0)),"")</f>
        <v/>
      </c>
      <c r="C2231">
        <f>IFERROR(LARGE(Segmen!$D$3:$D$6000,A2231),"")</f>
        <v/>
      </c>
    </row>
    <row r="2232">
      <c r="A2232" t="n">
        <v>2231</v>
      </c>
      <c r="B2232">
        <f>IFERROR(INDEX(Segmen!$A$3:$A$6000,MATCH(C2232,Segmen!$D$3:$D$6000,0)),"")</f>
        <v/>
      </c>
      <c r="C2232">
        <f>IFERROR(LARGE(Segmen!$D$3:$D$6000,A2232),"")</f>
        <v/>
      </c>
    </row>
    <row r="2233">
      <c r="A2233" t="n">
        <v>2232</v>
      </c>
      <c r="B2233">
        <f>IFERROR(INDEX(Segmen!$A$3:$A$6000,MATCH(C2233,Segmen!$D$3:$D$6000,0)),"")</f>
        <v/>
      </c>
      <c r="C2233">
        <f>IFERROR(LARGE(Segmen!$D$3:$D$6000,A2233),"")</f>
        <v/>
      </c>
    </row>
    <row r="2234">
      <c r="A2234" t="n">
        <v>2233</v>
      </c>
      <c r="B2234">
        <f>IFERROR(INDEX(Segmen!$A$3:$A$6000,MATCH(C2234,Segmen!$D$3:$D$6000,0)),"")</f>
        <v/>
      </c>
      <c r="C2234">
        <f>IFERROR(LARGE(Segmen!$D$3:$D$6000,A2234),"")</f>
        <v/>
      </c>
    </row>
    <row r="2235">
      <c r="A2235" t="n">
        <v>2234</v>
      </c>
      <c r="B2235">
        <f>IFERROR(INDEX(Segmen!$A$3:$A$6000,MATCH(C2235,Segmen!$D$3:$D$6000,0)),"")</f>
        <v/>
      </c>
      <c r="C2235">
        <f>IFERROR(LARGE(Segmen!$D$3:$D$6000,A2235),"")</f>
        <v/>
      </c>
    </row>
    <row r="2236">
      <c r="A2236" t="n">
        <v>2235</v>
      </c>
      <c r="B2236">
        <f>IFERROR(INDEX(Segmen!$A$3:$A$6000,MATCH(C2236,Segmen!$D$3:$D$6000,0)),"")</f>
        <v/>
      </c>
      <c r="C2236">
        <f>IFERROR(LARGE(Segmen!$D$3:$D$6000,A2236),"")</f>
        <v/>
      </c>
    </row>
    <row r="2237">
      <c r="A2237" t="n">
        <v>2236</v>
      </c>
      <c r="B2237">
        <f>IFERROR(INDEX(Segmen!$A$3:$A$6000,MATCH(C2237,Segmen!$D$3:$D$6000,0)),"")</f>
        <v/>
      </c>
      <c r="C2237">
        <f>IFERROR(LARGE(Segmen!$D$3:$D$6000,A2237),"")</f>
        <v/>
      </c>
    </row>
    <row r="2238">
      <c r="A2238" t="n">
        <v>2237</v>
      </c>
      <c r="B2238">
        <f>IFERROR(INDEX(Segmen!$A$3:$A$6000,MATCH(C2238,Segmen!$D$3:$D$6000,0)),"")</f>
        <v/>
      </c>
      <c r="C2238">
        <f>IFERROR(LARGE(Segmen!$D$3:$D$6000,A2238),"")</f>
        <v/>
      </c>
    </row>
    <row r="2239">
      <c r="A2239" t="n">
        <v>2238</v>
      </c>
      <c r="B2239">
        <f>IFERROR(INDEX(Segmen!$A$3:$A$6000,MATCH(C2239,Segmen!$D$3:$D$6000,0)),"")</f>
        <v/>
      </c>
      <c r="C2239">
        <f>IFERROR(LARGE(Segmen!$D$3:$D$6000,A2239),"")</f>
        <v/>
      </c>
    </row>
    <row r="2240">
      <c r="A2240" t="n">
        <v>2239</v>
      </c>
      <c r="B2240">
        <f>IFERROR(INDEX(Segmen!$A$3:$A$6000,MATCH(C2240,Segmen!$D$3:$D$6000,0)),"")</f>
        <v/>
      </c>
      <c r="C2240">
        <f>IFERROR(LARGE(Segmen!$D$3:$D$6000,A2240),"")</f>
        <v/>
      </c>
    </row>
    <row r="2241">
      <c r="A2241" t="n">
        <v>2240</v>
      </c>
      <c r="B2241">
        <f>IFERROR(INDEX(Segmen!$A$3:$A$6000,MATCH(C2241,Segmen!$D$3:$D$6000,0)),"")</f>
        <v/>
      </c>
      <c r="C2241">
        <f>IFERROR(LARGE(Segmen!$D$3:$D$6000,A2241),"")</f>
        <v/>
      </c>
    </row>
    <row r="2242">
      <c r="A2242" t="n">
        <v>2241</v>
      </c>
      <c r="B2242">
        <f>IFERROR(INDEX(Segmen!$A$3:$A$6000,MATCH(C2242,Segmen!$D$3:$D$6000,0)),"")</f>
        <v/>
      </c>
      <c r="C2242">
        <f>IFERROR(LARGE(Segmen!$D$3:$D$6000,A2242),"")</f>
        <v/>
      </c>
    </row>
    <row r="2243">
      <c r="A2243" t="n">
        <v>2242</v>
      </c>
      <c r="B2243">
        <f>IFERROR(INDEX(Segmen!$A$3:$A$6000,MATCH(C2243,Segmen!$D$3:$D$6000,0)),"")</f>
        <v/>
      </c>
      <c r="C2243">
        <f>IFERROR(LARGE(Segmen!$D$3:$D$6000,A2243),"")</f>
        <v/>
      </c>
    </row>
    <row r="2244">
      <c r="A2244" t="n">
        <v>2243</v>
      </c>
      <c r="B2244">
        <f>IFERROR(INDEX(Segmen!$A$3:$A$6000,MATCH(C2244,Segmen!$D$3:$D$6000,0)),"")</f>
        <v/>
      </c>
      <c r="C2244">
        <f>IFERROR(LARGE(Segmen!$D$3:$D$6000,A2244),"")</f>
        <v/>
      </c>
    </row>
    <row r="2245">
      <c r="A2245" t="n">
        <v>2244</v>
      </c>
      <c r="B2245">
        <f>IFERROR(INDEX(Segmen!$A$3:$A$6000,MATCH(C2245,Segmen!$D$3:$D$6000,0)),"")</f>
        <v/>
      </c>
      <c r="C2245">
        <f>IFERROR(LARGE(Segmen!$D$3:$D$6000,A2245),"")</f>
        <v/>
      </c>
    </row>
    <row r="2246">
      <c r="A2246" t="n">
        <v>2245</v>
      </c>
      <c r="B2246">
        <f>IFERROR(INDEX(Segmen!$A$3:$A$6000,MATCH(C2246,Segmen!$D$3:$D$6000,0)),"")</f>
        <v/>
      </c>
      <c r="C2246">
        <f>IFERROR(LARGE(Segmen!$D$3:$D$6000,A2246),"")</f>
        <v/>
      </c>
    </row>
    <row r="2247">
      <c r="A2247" t="n">
        <v>2246</v>
      </c>
      <c r="B2247">
        <f>IFERROR(INDEX(Segmen!$A$3:$A$6000,MATCH(C2247,Segmen!$D$3:$D$6000,0)),"")</f>
        <v/>
      </c>
      <c r="C2247">
        <f>IFERROR(LARGE(Segmen!$D$3:$D$6000,A2247),"")</f>
        <v/>
      </c>
    </row>
    <row r="2248">
      <c r="A2248" t="n">
        <v>2247</v>
      </c>
      <c r="B2248">
        <f>IFERROR(INDEX(Segmen!$A$3:$A$6000,MATCH(C2248,Segmen!$D$3:$D$6000,0)),"")</f>
        <v/>
      </c>
      <c r="C2248">
        <f>IFERROR(LARGE(Segmen!$D$3:$D$6000,A2248),"")</f>
        <v/>
      </c>
    </row>
    <row r="2249">
      <c r="A2249" t="n">
        <v>2248</v>
      </c>
      <c r="B2249">
        <f>IFERROR(INDEX(Segmen!$A$3:$A$6000,MATCH(C2249,Segmen!$D$3:$D$6000,0)),"")</f>
        <v/>
      </c>
      <c r="C2249">
        <f>IFERROR(LARGE(Segmen!$D$3:$D$6000,A2249),"")</f>
        <v/>
      </c>
    </row>
    <row r="2250">
      <c r="A2250" t="n">
        <v>2249</v>
      </c>
      <c r="B2250">
        <f>IFERROR(INDEX(Segmen!$A$3:$A$6000,MATCH(C2250,Segmen!$D$3:$D$6000,0)),"")</f>
        <v/>
      </c>
      <c r="C2250">
        <f>IFERROR(LARGE(Segmen!$D$3:$D$6000,A2250),"")</f>
        <v/>
      </c>
    </row>
    <row r="2251">
      <c r="A2251" t="n">
        <v>2250</v>
      </c>
      <c r="B2251">
        <f>IFERROR(INDEX(Segmen!$A$3:$A$6000,MATCH(C2251,Segmen!$D$3:$D$6000,0)),"")</f>
        <v/>
      </c>
      <c r="C2251">
        <f>IFERROR(LARGE(Segmen!$D$3:$D$6000,A2251),"")</f>
        <v/>
      </c>
    </row>
    <row r="2252">
      <c r="A2252" t="n">
        <v>2251</v>
      </c>
      <c r="B2252">
        <f>IFERROR(INDEX(Segmen!$A$3:$A$6000,MATCH(C2252,Segmen!$D$3:$D$6000,0)),"")</f>
        <v/>
      </c>
      <c r="C2252">
        <f>IFERROR(LARGE(Segmen!$D$3:$D$6000,A2252),"")</f>
        <v/>
      </c>
    </row>
    <row r="2253">
      <c r="A2253" t="n">
        <v>2252</v>
      </c>
      <c r="B2253">
        <f>IFERROR(INDEX(Segmen!$A$3:$A$6000,MATCH(C2253,Segmen!$D$3:$D$6000,0)),"")</f>
        <v/>
      </c>
      <c r="C2253">
        <f>IFERROR(LARGE(Segmen!$D$3:$D$6000,A2253),"")</f>
        <v/>
      </c>
    </row>
    <row r="2254">
      <c r="A2254" t="n">
        <v>2253</v>
      </c>
      <c r="B2254">
        <f>IFERROR(INDEX(Segmen!$A$3:$A$6000,MATCH(C2254,Segmen!$D$3:$D$6000,0)),"")</f>
        <v/>
      </c>
      <c r="C2254">
        <f>IFERROR(LARGE(Segmen!$D$3:$D$6000,A2254),"")</f>
        <v/>
      </c>
    </row>
    <row r="2255">
      <c r="A2255" t="n">
        <v>2254</v>
      </c>
      <c r="B2255">
        <f>IFERROR(INDEX(Segmen!$A$3:$A$6000,MATCH(C2255,Segmen!$D$3:$D$6000,0)),"")</f>
        <v/>
      </c>
      <c r="C2255">
        <f>IFERROR(LARGE(Segmen!$D$3:$D$6000,A2255),"")</f>
        <v/>
      </c>
    </row>
    <row r="2256">
      <c r="A2256" t="n">
        <v>2255</v>
      </c>
      <c r="B2256">
        <f>IFERROR(INDEX(Segmen!$A$3:$A$6000,MATCH(C2256,Segmen!$D$3:$D$6000,0)),"")</f>
        <v/>
      </c>
      <c r="C2256">
        <f>IFERROR(LARGE(Segmen!$D$3:$D$6000,A2256),"")</f>
        <v/>
      </c>
    </row>
    <row r="2257">
      <c r="A2257" t="n">
        <v>2256</v>
      </c>
      <c r="B2257">
        <f>IFERROR(INDEX(Segmen!$A$3:$A$6000,MATCH(C2257,Segmen!$D$3:$D$6000,0)),"")</f>
        <v/>
      </c>
      <c r="C2257">
        <f>IFERROR(LARGE(Segmen!$D$3:$D$6000,A2257),"")</f>
        <v/>
      </c>
    </row>
    <row r="2258">
      <c r="A2258" t="n">
        <v>2257</v>
      </c>
      <c r="B2258">
        <f>IFERROR(INDEX(Segmen!$A$3:$A$6000,MATCH(C2258,Segmen!$D$3:$D$6000,0)),"")</f>
        <v/>
      </c>
      <c r="C2258">
        <f>IFERROR(LARGE(Segmen!$D$3:$D$6000,A2258),"")</f>
        <v/>
      </c>
    </row>
    <row r="2259">
      <c r="A2259" t="n">
        <v>2258</v>
      </c>
      <c r="B2259">
        <f>IFERROR(INDEX(Segmen!$A$3:$A$6000,MATCH(C2259,Segmen!$D$3:$D$6000,0)),"")</f>
        <v/>
      </c>
      <c r="C2259">
        <f>IFERROR(LARGE(Segmen!$D$3:$D$6000,A2259),"")</f>
        <v/>
      </c>
    </row>
    <row r="2260">
      <c r="A2260" t="n">
        <v>2259</v>
      </c>
      <c r="B2260">
        <f>IFERROR(INDEX(Segmen!$A$3:$A$6000,MATCH(C2260,Segmen!$D$3:$D$6000,0)),"")</f>
        <v/>
      </c>
      <c r="C2260">
        <f>IFERROR(LARGE(Segmen!$D$3:$D$6000,A2260),"")</f>
        <v/>
      </c>
    </row>
    <row r="2261">
      <c r="A2261" t="n">
        <v>2260</v>
      </c>
      <c r="B2261">
        <f>IFERROR(INDEX(Segmen!$A$3:$A$6000,MATCH(C2261,Segmen!$D$3:$D$6000,0)),"")</f>
        <v/>
      </c>
      <c r="C2261">
        <f>IFERROR(LARGE(Segmen!$D$3:$D$6000,A2261),"")</f>
        <v/>
      </c>
    </row>
    <row r="2262">
      <c r="A2262" t="n">
        <v>2261</v>
      </c>
      <c r="B2262">
        <f>IFERROR(INDEX(Segmen!$A$3:$A$6000,MATCH(C2262,Segmen!$D$3:$D$6000,0)),"")</f>
        <v/>
      </c>
      <c r="C2262">
        <f>IFERROR(LARGE(Segmen!$D$3:$D$6000,A2262),"")</f>
        <v/>
      </c>
    </row>
    <row r="2263">
      <c r="A2263" t="n">
        <v>2262</v>
      </c>
      <c r="B2263">
        <f>IFERROR(INDEX(Segmen!$A$3:$A$6000,MATCH(C2263,Segmen!$D$3:$D$6000,0)),"")</f>
        <v/>
      </c>
      <c r="C2263">
        <f>IFERROR(LARGE(Segmen!$D$3:$D$6000,A2263),"")</f>
        <v/>
      </c>
    </row>
    <row r="2264">
      <c r="A2264" t="n">
        <v>2263</v>
      </c>
      <c r="B2264">
        <f>IFERROR(INDEX(Segmen!$A$3:$A$6000,MATCH(C2264,Segmen!$D$3:$D$6000,0)),"")</f>
        <v/>
      </c>
      <c r="C2264">
        <f>IFERROR(LARGE(Segmen!$D$3:$D$6000,A2264),"")</f>
        <v/>
      </c>
    </row>
    <row r="2265">
      <c r="A2265" t="n">
        <v>2264</v>
      </c>
      <c r="B2265">
        <f>IFERROR(INDEX(Segmen!$A$3:$A$6000,MATCH(C2265,Segmen!$D$3:$D$6000,0)),"")</f>
        <v/>
      </c>
      <c r="C2265">
        <f>IFERROR(LARGE(Segmen!$D$3:$D$6000,A2265),"")</f>
        <v/>
      </c>
    </row>
    <row r="2266">
      <c r="A2266" t="n">
        <v>2265</v>
      </c>
      <c r="B2266">
        <f>IFERROR(INDEX(Segmen!$A$3:$A$6000,MATCH(C2266,Segmen!$D$3:$D$6000,0)),"")</f>
        <v/>
      </c>
      <c r="C2266">
        <f>IFERROR(LARGE(Segmen!$D$3:$D$6000,A2266),"")</f>
        <v/>
      </c>
    </row>
    <row r="2267">
      <c r="A2267" t="n">
        <v>2266</v>
      </c>
      <c r="B2267">
        <f>IFERROR(INDEX(Segmen!$A$3:$A$6000,MATCH(C2267,Segmen!$D$3:$D$6000,0)),"")</f>
        <v/>
      </c>
      <c r="C2267">
        <f>IFERROR(LARGE(Segmen!$D$3:$D$6000,A2267),"")</f>
        <v/>
      </c>
    </row>
    <row r="2268">
      <c r="A2268" t="n">
        <v>2267</v>
      </c>
      <c r="B2268">
        <f>IFERROR(INDEX(Segmen!$A$3:$A$6000,MATCH(C2268,Segmen!$D$3:$D$6000,0)),"")</f>
        <v/>
      </c>
      <c r="C2268">
        <f>IFERROR(LARGE(Segmen!$D$3:$D$6000,A2268),"")</f>
        <v/>
      </c>
    </row>
    <row r="2269">
      <c r="A2269" t="n">
        <v>2268</v>
      </c>
      <c r="B2269">
        <f>IFERROR(INDEX(Segmen!$A$3:$A$6000,MATCH(C2269,Segmen!$D$3:$D$6000,0)),"")</f>
        <v/>
      </c>
      <c r="C2269">
        <f>IFERROR(LARGE(Segmen!$D$3:$D$6000,A2269),"")</f>
        <v/>
      </c>
    </row>
    <row r="2270">
      <c r="A2270" t="n">
        <v>2269</v>
      </c>
      <c r="B2270">
        <f>IFERROR(INDEX(Segmen!$A$3:$A$6000,MATCH(C2270,Segmen!$D$3:$D$6000,0)),"")</f>
        <v/>
      </c>
      <c r="C2270">
        <f>IFERROR(LARGE(Segmen!$D$3:$D$6000,A2270),"")</f>
        <v/>
      </c>
    </row>
    <row r="2271">
      <c r="A2271" t="n">
        <v>2270</v>
      </c>
      <c r="B2271">
        <f>IFERROR(INDEX(Segmen!$A$3:$A$6000,MATCH(C2271,Segmen!$D$3:$D$6000,0)),"")</f>
        <v/>
      </c>
      <c r="C2271">
        <f>IFERROR(LARGE(Segmen!$D$3:$D$6000,A2271),"")</f>
        <v/>
      </c>
    </row>
    <row r="2272">
      <c r="A2272" t="n">
        <v>2271</v>
      </c>
      <c r="B2272">
        <f>IFERROR(INDEX(Segmen!$A$3:$A$6000,MATCH(C2272,Segmen!$D$3:$D$6000,0)),"")</f>
        <v/>
      </c>
      <c r="C2272">
        <f>IFERROR(LARGE(Segmen!$D$3:$D$6000,A2272),"")</f>
        <v/>
      </c>
    </row>
    <row r="2273">
      <c r="A2273" t="n">
        <v>2272</v>
      </c>
      <c r="B2273">
        <f>IFERROR(INDEX(Segmen!$A$3:$A$6000,MATCH(C2273,Segmen!$D$3:$D$6000,0)),"")</f>
        <v/>
      </c>
      <c r="C2273">
        <f>IFERROR(LARGE(Segmen!$D$3:$D$6000,A2273),"")</f>
        <v/>
      </c>
    </row>
    <row r="2274">
      <c r="A2274" t="n">
        <v>2273</v>
      </c>
      <c r="B2274">
        <f>IFERROR(INDEX(Segmen!$A$3:$A$6000,MATCH(C2274,Segmen!$D$3:$D$6000,0)),"")</f>
        <v/>
      </c>
      <c r="C2274">
        <f>IFERROR(LARGE(Segmen!$D$3:$D$6000,A2274),"")</f>
        <v/>
      </c>
    </row>
    <row r="2275">
      <c r="A2275" t="n">
        <v>2274</v>
      </c>
      <c r="B2275">
        <f>IFERROR(INDEX(Segmen!$A$3:$A$6000,MATCH(C2275,Segmen!$D$3:$D$6000,0)),"")</f>
        <v/>
      </c>
      <c r="C2275">
        <f>IFERROR(LARGE(Segmen!$D$3:$D$6000,A2275),"")</f>
        <v/>
      </c>
    </row>
    <row r="2276">
      <c r="A2276" t="n">
        <v>2275</v>
      </c>
      <c r="B2276">
        <f>IFERROR(INDEX(Segmen!$A$3:$A$6000,MATCH(C2276,Segmen!$D$3:$D$6000,0)),"")</f>
        <v/>
      </c>
      <c r="C2276">
        <f>IFERROR(LARGE(Segmen!$D$3:$D$6000,A2276),"")</f>
        <v/>
      </c>
    </row>
    <row r="2277">
      <c r="A2277" t="n">
        <v>2276</v>
      </c>
      <c r="B2277">
        <f>IFERROR(INDEX(Segmen!$A$3:$A$6000,MATCH(C2277,Segmen!$D$3:$D$6000,0)),"")</f>
        <v/>
      </c>
      <c r="C2277">
        <f>IFERROR(LARGE(Segmen!$D$3:$D$6000,A2277),"")</f>
        <v/>
      </c>
    </row>
    <row r="2278">
      <c r="A2278" t="n">
        <v>2277</v>
      </c>
      <c r="B2278">
        <f>IFERROR(INDEX(Segmen!$A$3:$A$6000,MATCH(C2278,Segmen!$D$3:$D$6000,0)),"")</f>
        <v/>
      </c>
      <c r="C2278">
        <f>IFERROR(LARGE(Segmen!$D$3:$D$6000,A2278),"")</f>
        <v/>
      </c>
    </row>
    <row r="2279">
      <c r="A2279" t="n">
        <v>2278</v>
      </c>
      <c r="B2279">
        <f>IFERROR(INDEX(Segmen!$A$3:$A$6000,MATCH(C2279,Segmen!$D$3:$D$6000,0)),"")</f>
        <v/>
      </c>
      <c r="C2279">
        <f>IFERROR(LARGE(Segmen!$D$3:$D$6000,A2279),"")</f>
        <v/>
      </c>
    </row>
    <row r="2280">
      <c r="A2280" t="n">
        <v>2279</v>
      </c>
      <c r="B2280">
        <f>IFERROR(INDEX(Segmen!$A$3:$A$6000,MATCH(C2280,Segmen!$D$3:$D$6000,0)),"")</f>
        <v/>
      </c>
      <c r="C2280">
        <f>IFERROR(LARGE(Segmen!$D$3:$D$6000,A2280),"")</f>
        <v/>
      </c>
    </row>
    <row r="2281">
      <c r="A2281" t="n">
        <v>2280</v>
      </c>
      <c r="B2281">
        <f>IFERROR(INDEX(Segmen!$A$3:$A$6000,MATCH(C2281,Segmen!$D$3:$D$6000,0)),"")</f>
        <v/>
      </c>
      <c r="C2281">
        <f>IFERROR(LARGE(Segmen!$D$3:$D$6000,A2281),"")</f>
        <v/>
      </c>
    </row>
    <row r="2282">
      <c r="A2282" t="n">
        <v>2281</v>
      </c>
      <c r="B2282">
        <f>IFERROR(INDEX(Segmen!$A$3:$A$6000,MATCH(C2282,Segmen!$D$3:$D$6000,0)),"")</f>
        <v/>
      </c>
      <c r="C2282">
        <f>IFERROR(LARGE(Segmen!$D$3:$D$6000,A2282),"")</f>
        <v/>
      </c>
    </row>
    <row r="2283">
      <c r="A2283" t="n">
        <v>2282</v>
      </c>
      <c r="B2283">
        <f>IFERROR(INDEX(Segmen!$A$3:$A$6000,MATCH(C2283,Segmen!$D$3:$D$6000,0)),"")</f>
        <v/>
      </c>
      <c r="C2283">
        <f>IFERROR(LARGE(Segmen!$D$3:$D$6000,A2283),"")</f>
        <v/>
      </c>
    </row>
    <row r="2284">
      <c r="A2284" t="n">
        <v>2283</v>
      </c>
      <c r="B2284">
        <f>IFERROR(INDEX(Segmen!$A$3:$A$6000,MATCH(C2284,Segmen!$D$3:$D$6000,0)),"")</f>
        <v/>
      </c>
      <c r="C2284">
        <f>IFERROR(LARGE(Segmen!$D$3:$D$6000,A2284),"")</f>
        <v/>
      </c>
    </row>
    <row r="2285">
      <c r="A2285" t="n">
        <v>2284</v>
      </c>
      <c r="B2285">
        <f>IFERROR(INDEX(Segmen!$A$3:$A$6000,MATCH(C2285,Segmen!$D$3:$D$6000,0)),"")</f>
        <v/>
      </c>
      <c r="C2285">
        <f>IFERROR(LARGE(Segmen!$D$3:$D$6000,A2285),"")</f>
        <v/>
      </c>
    </row>
    <row r="2286">
      <c r="A2286" t="n">
        <v>2285</v>
      </c>
      <c r="B2286">
        <f>IFERROR(INDEX(Segmen!$A$3:$A$6000,MATCH(C2286,Segmen!$D$3:$D$6000,0)),"")</f>
        <v/>
      </c>
      <c r="C2286">
        <f>IFERROR(LARGE(Segmen!$D$3:$D$6000,A2286),"")</f>
        <v/>
      </c>
    </row>
    <row r="2287">
      <c r="A2287" t="n">
        <v>2286</v>
      </c>
      <c r="B2287">
        <f>IFERROR(INDEX(Segmen!$A$3:$A$6000,MATCH(C2287,Segmen!$D$3:$D$6000,0)),"")</f>
        <v/>
      </c>
      <c r="C2287">
        <f>IFERROR(LARGE(Segmen!$D$3:$D$6000,A2287),"")</f>
        <v/>
      </c>
    </row>
    <row r="2288">
      <c r="A2288" t="n">
        <v>2287</v>
      </c>
      <c r="B2288">
        <f>IFERROR(INDEX(Segmen!$A$3:$A$6000,MATCH(C2288,Segmen!$D$3:$D$6000,0)),"")</f>
        <v/>
      </c>
      <c r="C2288">
        <f>IFERROR(LARGE(Segmen!$D$3:$D$6000,A2288),"")</f>
        <v/>
      </c>
    </row>
    <row r="2289">
      <c r="A2289" t="n">
        <v>2288</v>
      </c>
      <c r="B2289">
        <f>IFERROR(INDEX(Segmen!$A$3:$A$6000,MATCH(C2289,Segmen!$D$3:$D$6000,0)),"")</f>
        <v/>
      </c>
      <c r="C2289">
        <f>IFERROR(LARGE(Segmen!$D$3:$D$6000,A2289),"")</f>
        <v/>
      </c>
    </row>
    <row r="2290">
      <c r="A2290" t="n">
        <v>2289</v>
      </c>
      <c r="B2290">
        <f>IFERROR(INDEX(Segmen!$A$3:$A$6000,MATCH(C2290,Segmen!$D$3:$D$6000,0)),"")</f>
        <v/>
      </c>
      <c r="C2290">
        <f>IFERROR(LARGE(Segmen!$D$3:$D$6000,A2290),"")</f>
        <v/>
      </c>
    </row>
    <row r="2291">
      <c r="A2291" t="n">
        <v>2290</v>
      </c>
      <c r="B2291">
        <f>IFERROR(INDEX(Segmen!$A$3:$A$6000,MATCH(C2291,Segmen!$D$3:$D$6000,0)),"")</f>
        <v/>
      </c>
      <c r="C2291">
        <f>IFERROR(LARGE(Segmen!$D$3:$D$6000,A2291),"")</f>
        <v/>
      </c>
    </row>
    <row r="2292">
      <c r="A2292" t="n">
        <v>2291</v>
      </c>
      <c r="B2292">
        <f>IFERROR(INDEX(Segmen!$A$3:$A$6000,MATCH(C2292,Segmen!$D$3:$D$6000,0)),"")</f>
        <v/>
      </c>
      <c r="C2292">
        <f>IFERROR(LARGE(Segmen!$D$3:$D$6000,A2292),"")</f>
        <v/>
      </c>
    </row>
    <row r="2293">
      <c r="A2293" t="n">
        <v>2292</v>
      </c>
      <c r="B2293">
        <f>IFERROR(INDEX(Segmen!$A$3:$A$6000,MATCH(C2293,Segmen!$D$3:$D$6000,0)),"")</f>
        <v/>
      </c>
      <c r="C2293">
        <f>IFERROR(LARGE(Segmen!$D$3:$D$6000,A2293),"")</f>
        <v/>
      </c>
    </row>
    <row r="2294">
      <c r="A2294" t="n">
        <v>2293</v>
      </c>
      <c r="B2294">
        <f>IFERROR(INDEX(Segmen!$A$3:$A$6000,MATCH(C2294,Segmen!$D$3:$D$6000,0)),"")</f>
        <v/>
      </c>
      <c r="C2294">
        <f>IFERROR(LARGE(Segmen!$D$3:$D$6000,A2294),"")</f>
        <v/>
      </c>
    </row>
    <row r="2295">
      <c r="A2295" t="n">
        <v>2294</v>
      </c>
      <c r="B2295">
        <f>IFERROR(INDEX(Segmen!$A$3:$A$6000,MATCH(C2295,Segmen!$D$3:$D$6000,0)),"")</f>
        <v/>
      </c>
      <c r="C2295">
        <f>IFERROR(LARGE(Segmen!$D$3:$D$6000,A2295),"")</f>
        <v/>
      </c>
    </row>
    <row r="2296">
      <c r="A2296" t="n">
        <v>2295</v>
      </c>
      <c r="B2296">
        <f>IFERROR(INDEX(Segmen!$A$3:$A$6000,MATCH(C2296,Segmen!$D$3:$D$6000,0)),"")</f>
        <v/>
      </c>
      <c r="C2296">
        <f>IFERROR(LARGE(Segmen!$D$3:$D$6000,A2296),"")</f>
        <v/>
      </c>
    </row>
    <row r="2297">
      <c r="A2297" t="n">
        <v>2296</v>
      </c>
      <c r="B2297">
        <f>IFERROR(INDEX(Segmen!$A$3:$A$6000,MATCH(C2297,Segmen!$D$3:$D$6000,0)),"")</f>
        <v/>
      </c>
      <c r="C2297">
        <f>IFERROR(LARGE(Segmen!$D$3:$D$6000,A2297),"")</f>
        <v/>
      </c>
    </row>
    <row r="2298">
      <c r="A2298" t="n">
        <v>2297</v>
      </c>
      <c r="B2298">
        <f>IFERROR(INDEX(Segmen!$A$3:$A$6000,MATCH(C2298,Segmen!$D$3:$D$6000,0)),"")</f>
        <v/>
      </c>
      <c r="C2298">
        <f>IFERROR(LARGE(Segmen!$D$3:$D$6000,A2298),"")</f>
        <v/>
      </c>
    </row>
    <row r="2299">
      <c r="A2299" t="n">
        <v>2298</v>
      </c>
      <c r="B2299">
        <f>IFERROR(INDEX(Segmen!$A$3:$A$6000,MATCH(C2299,Segmen!$D$3:$D$6000,0)),"")</f>
        <v/>
      </c>
      <c r="C2299">
        <f>IFERROR(LARGE(Segmen!$D$3:$D$6000,A2299),"")</f>
        <v/>
      </c>
    </row>
    <row r="2300">
      <c r="A2300" t="n">
        <v>2299</v>
      </c>
      <c r="B2300">
        <f>IFERROR(INDEX(Segmen!$A$3:$A$6000,MATCH(C2300,Segmen!$D$3:$D$6000,0)),"")</f>
        <v/>
      </c>
      <c r="C2300">
        <f>IFERROR(LARGE(Segmen!$D$3:$D$6000,A2300),"")</f>
        <v/>
      </c>
    </row>
    <row r="2301">
      <c r="A2301" t="n">
        <v>2300</v>
      </c>
      <c r="B2301">
        <f>IFERROR(INDEX(Segmen!$A$3:$A$6000,MATCH(C2301,Segmen!$D$3:$D$6000,0)),"")</f>
        <v/>
      </c>
      <c r="C2301">
        <f>IFERROR(LARGE(Segmen!$D$3:$D$6000,A2301),"")</f>
        <v/>
      </c>
    </row>
    <row r="2302">
      <c r="A2302" t="n">
        <v>2301</v>
      </c>
      <c r="B2302">
        <f>IFERROR(INDEX(Segmen!$A$3:$A$6000,MATCH(C2302,Segmen!$D$3:$D$6000,0)),"")</f>
        <v/>
      </c>
      <c r="C2302">
        <f>IFERROR(LARGE(Segmen!$D$3:$D$6000,A2302),"")</f>
        <v/>
      </c>
    </row>
    <row r="2303">
      <c r="A2303" t="n">
        <v>2302</v>
      </c>
      <c r="B2303">
        <f>IFERROR(INDEX(Segmen!$A$3:$A$6000,MATCH(C2303,Segmen!$D$3:$D$6000,0)),"")</f>
        <v/>
      </c>
      <c r="C2303">
        <f>IFERROR(LARGE(Segmen!$D$3:$D$6000,A2303),"")</f>
        <v/>
      </c>
    </row>
    <row r="2304">
      <c r="A2304" t="n">
        <v>2303</v>
      </c>
      <c r="B2304">
        <f>IFERROR(INDEX(Segmen!$A$3:$A$6000,MATCH(C2304,Segmen!$D$3:$D$6000,0)),"")</f>
        <v/>
      </c>
      <c r="C2304">
        <f>IFERROR(LARGE(Segmen!$D$3:$D$6000,A2304),"")</f>
        <v/>
      </c>
    </row>
    <row r="2305">
      <c r="A2305" t="n">
        <v>2304</v>
      </c>
      <c r="B2305">
        <f>IFERROR(INDEX(Segmen!$A$3:$A$6000,MATCH(C2305,Segmen!$D$3:$D$6000,0)),"")</f>
        <v/>
      </c>
      <c r="C2305">
        <f>IFERROR(LARGE(Segmen!$D$3:$D$6000,A2305),"")</f>
        <v/>
      </c>
    </row>
    <row r="2306">
      <c r="A2306" t="n">
        <v>2305</v>
      </c>
      <c r="B2306">
        <f>IFERROR(INDEX(Segmen!$A$3:$A$6000,MATCH(C2306,Segmen!$D$3:$D$6000,0)),"")</f>
        <v/>
      </c>
      <c r="C2306">
        <f>IFERROR(LARGE(Segmen!$D$3:$D$6000,A2306),"")</f>
        <v/>
      </c>
    </row>
    <row r="2307">
      <c r="A2307" t="n">
        <v>2306</v>
      </c>
      <c r="B2307">
        <f>IFERROR(INDEX(Segmen!$A$3:$A$6000,MATCH(C2307,Segmen!$D$3:$D$6000,0)),"")</f>
        <v/>
      </c>
      <c r="C2307">
        <f>IFERROR(LARGE(Segmen!$D$3:$D$6000,A2307),"")</f>
        <v/>
      </c>
    </row>
    <row r="2308">
      <c r="A2308" t="n">
        <v>2307</v>
      </c>
      <c r="B2308">
        <f>IFERROR(INDEX(Segmen!$A$3:$A$6000,MATCH(C2308,Segmen!$D$3:$D$6000,0)),"")</f>
        <v/>
      </c>
      <c r="C2308">
        <f>IFERROR(LARGE(Segmen!$D$3:$D$6000,A2308),"")</f>
        <v/>
      </c>
    </row>
    <row r="2309">
      <c r="A2309" t="n">
        <v>2308</v>
      </c>
      <c r="B2309">
        <f>IFERROR(INDEX(Segmen!$A$3:$A$6000,MATCH(C2309,Segmen!$D$3:$D$6000,0)),"")</f>
        <v/>
      </c>
      <c r="C2309">
        <f>IFERROR(LARGE(Segmen!$D$3:$D$6000,A2309),"")</f>
        <v/>
      </c>
    </row>
    <row r="2310">
      <c r="A2310" t="n">
        <v>2309</v>
      </c>
      <c r="B2310">
        <f>IFERROR(INDEX(Segmen!$A$3:$A$6000,MATCH(C2310,Segmen!$D$3:$D$6000,0)),"")</f>
        <v/>
      </c>
      <c r="C2310">
        <f>IFERROR(LARGE(Segmen!$D$3:$D$6000,A2310),"")</f>
        <v/>
      </c>
    </row>
    <row r="2311">
      <c r="A2311" t="n">
        <v>2310</v>
      </c>
      <c r="B2311">
        <f>IFERROR(INDEX(Segmen!$A$3:$A$6000,MATCH(C2311,Segmen!$D$3:$D$6000,0)),"")</f>
        <v/>
      </c>
      <c r="C2311">
        <f>IFERROR(LARGE(Segmen!$D$3:$D$6000,A2311),"")</f>
        <v/>
      </c>
    </row>
    <row r="2312">
      <c r="A2312" t="n">
        <v>2311</v>
      </c>
      <c r="B2312">
        <f>IFERROR(INDEX(Segmen!$A$3:$A$6000,MATCH(C2312,Segmen!$D$3:$D$6000,0)),"")</f>
        <v/>
      </c>
      <c r="C2312">
        <f>IFERROR(LARGE(Segmen!$D$3:$D$6000,A2312),"")</f>
        <v/>
      </c>
    </row>
    <row r="2313">
      <c r="A2313" t="n">
        <v>2312</v>
      </c>
      <c r="B2313">
        <f>IFERROR(INDEX(Segmen!$A$3:$A$6000,MATCH(C2313,Segmen!$D$3:$D$6000,0)),"")</f>
        <v/>
      </c>
      <c r="C2313">
        <f>IFERROR(LARGE(Segmen!$D$3:$D$6000,A2313),"")</f>
        <v/>
      </c>
    </row>
    <row r="2314">
      <c r="A2314" t="n">
        <v>2313</v>
      </c>
      <c r="B2314">
        <f>IFERROR(INDEX(Segmen!$A$3:$A$6000,MATCH(C2314,Segmen!$D$3:$D$6000,0)),"")</f>
        <v/>
      </c>
      <c r="C2314">
        <f>IFERROR(LARGE(Segmen!$D$3:$D$6000,A2314),"")</f>
        <v/>
      </c>
    </row>
    <row r="2315">
      <c r="A2315" t="n">
        <v>2314</v>
      </c>
      <c r="B2315">
        <f>IFERROR(INDEX(Segmen!$A$3:$A$6000,MATCH(C2315,Segmen!$D$3:$D$6000,0)),"")</f>
        <v/>
      </c>
      <c r="C2315">
        <f>IFERROR(LARGE(Segmen!$D$3:$D$6000,A2315),"")</f>
        <v/>
      </c>
    </row>
    <row r="2316">
      <c r="A2316" t="n">
        <v>2315</v>
      </c>
      <c r="B2316">
        <f>IFERROR(INDEX(Segmen!$A$3:$A$6000,MATCH(C2316,Segmen!$D$3:$D$6000,0)),"")</f>
        <v/>
      </c>
      <c r="C2316">
        <f>IFERROR(LARGE(Segmen!$D$3:$D$6000,A2316),"")</f>
        <v/>
      </c>
    </row>
    <row r="2317">
      <c r="A2317" t="n">
        <v>2316</v>
      </c>
      <c r="B2317">
        <f>IFERROR(INDEX(Segmen!$A$3:$A$6000,MATCH(C2317,Segmen!$D$3:$D$6000,0)),"")</f>
        <v/>
      </c>
      <c r="C2317">
        <f>IFERROR(LARGE(Segmen!$D$3:$D$6000,A2317),"")</f>
        <v/>
      </c>
    </row>
    <row r="2318">
      <c r="A2318" t="n">
        <v>2317</v>
      </c>
      <c r="B2318">
        <f>IFERROR(INDEX(Segmen!$A$3:$A$6000,MATCH(C2318,Segmen!$D$3:$D$6000,0)),"")</f>
        <v/>
      </c>
      <c r="C2318">
        <f>IFERROR(LARGE(Segmen!$D$3:$D$6000,A2318),"")</f>
        <v/>
      </c>
    </row>
    <row r="2319">
      <c r="A2319" t="n">
        <v>2318</v>
      </c>
      <c r="B2319">
        <f>IFERROR(INDEX(Segmen!$A$3:$A$6000,MATCH(C2319,Segmen!$D$3:$D$6000,0)),"")</f>
        <v/>
      </c>
      <c r="C2319">
        <f>IFERROR(LARGE(Segmen!$D$3:$D$6000,A2319),"")</f>
        <v/>
      </c>
    </row>
    <row r="2320">
      <c r="A2320" t="n">
        <v>2319</v>
      </c>
      <c r="B2320">
        <f>IFERROR(INDEX(Segmen!$A$3:$A$6000,MATCH(C2320,Segmen!$D$3:$D$6000,0)),"")</f>
        <v/>
      </c>
      <c r="C2320">
        <f>IFERROR(LARGE(Segmen!$D$3:$D$6000,A2320),"")</f>
        <v/>
      </c>
    </row>
    <row r="2321">
      <c r="A2321" t="n">
        <v>2320</v>
      </c>
      <c r="B2321">
        <f>IFERROR(INDEX(Segmen!$A$3:$A$6000,MATCH(C2321,Segmen!$D$3:$D$6000,0)),"")</f>
        <v/>
      </c>
      <c r="C2321">
        <f>IFERROR(LARGE(Segmen!$D$3:$D$6000,A2321),"")</f>
        <v/>
      </c>
    </row>
    <row r="2322">
      <c r="A2322" t="n">
        <v>2321</v>
      </c>
      <c r="B2322">
        <f>IFERROR(INDEX(Segmen!$A$3:$A$6000,MATCH(C2322,Segmen!$D$3:$D$6000,0)),"")</f>
        <v/>
      </c>
      <c r="C2322">
        <f>IFERROR(LARGE(Segmen!$D$3:$D$6000,A2322),"")</f>
        <v/>
      </c>
    </row>
    <row r="2323">
      <c r="A2323" t="n">
        <v>2322</v>
      </c>
      <c r="B2323">
        <f>IFERROR(INDEX(Segmen!$A$3:$A$6000,MATCH(C2323,Segmen!$D$3:$D$6000,0)),"")</f>
        <v/>
      </c>
      <c r="C2323">
        <f>IFERROR(LARGE(Segmen!$D$3:$D$6000,A2323),"")</f>
        <v/>
      </c>
    </row>
    <row r="2324">
      <c r="A2324" t="n">
        <v>2323</v>
      </c>
      <c r="B2324">
        <f>IFERROR(INDEX(Segmen!$A$3:$A$6000,MATCH(C2324,Segmen!$D$3:$D$6000,0)),"")</f>
        <v/>
      </c>
      <c r="C2324">
        <f>IFERROR(LARGE(Segmen!$D$3:$D$6000,A2324),"")</f>
        <v/>
      </c>
    </row>
    <row r="2325">
      <c r="A2325" t="n">
        <v>2324</v>
      </c>
      <c r="B2325">
        <f>IFERROR(INDEX(Segmen!$A$3:$A$6000,MATCH(C2325,Segmen!$D$3:$D$6000,0)),"")</f>
        <v/>
      </c>
      <c r="C2325">
        <f>IFERROR(LARGE(Segmen!$D$3:$D$6000,A2325),"")</f>
        <v/>
      </c>
    </row>
    <row r="2326">
      <c r="A2326" t="n">
        <v>2325</v>
      </c>
      <c r="B2326">
        <f>IFERROR(INDEX(Segmen!$A$3:$A$6000,MATCH(C2326,Segmen!$D$3:$D$6000,0)),"")</f>
        <v/>
      </c>
      <c r="C2326">
        <f>IFERROR(LARGE(Segmen!$D$3:$D$6000,A2326),"")</f>
        <v/>
      </c>
    </row>
    <row r="2327">
      <c r="A2327" t="n">
        <v>2326</v>
      </c>
      <c r="B2327">
        <f>IFERROR(INDEX(Segmen!$A$3:$A$6000,MATCH(C2327,Segmen!$D$3:$D$6000,0)),"")</f>
        <v/>
      </c>
      <c r="C2327">
        <f>IFERROR(LARGE(Segmen!$D$3:$D$6000,A2327),"")</f>
        <v/>
      </c>
    </row>
    <row r="2328">
      <c r="A2328" t="n">
        <v>2327</v>
      </c>
      <c r="B2328">
        <f>IFERROR(INDEX(Segmen!$A$3:$A$6000,MATCH(C2328,Segmen!$D$3:$D$6000,0)),"")</f>
        <v/>
      </c>
      <c r="C2328">
        <f>IFERROR(LARGE(Segmen!$D$3:$D$6000,A2328),"")</f>
        <v/>
      </c>
    </row>
    <row r="2329">
      <c r="A2329" t="n">
        <v>2328</v>
      </c>
      <c r="B2329">
        <f>IFERROR(INDEX(Segmen!$A$3:$A$6000,MATCH(C2329,Segmen!$D$3:$D$6000,0)),"")</f>
        <v/>
      </c>
      <c r="C2329">
        <f>IFERROR(LARGE(Segmen!$D$3:$D$6000,A2329),"")</f>
        <v/>
      </c>
    </row>
    <row r="2330">
      <c r="A2330" t="n">
        <v>2329</v>
      </c>
      <c r="B2330">
        <f>IFERROR(INDEX(Segmen!$A$3:$A$6000,MATCH(C2330,Segmen!$D$3:$D$6000,0)),"")</f>
        <v/>
      </c>
      <c r="C2330">
        <f>IFERROR(LARGE(Segmen!$D$3:$D$6000,A2330),"")</f>
        <v/>
      </c>
    </row>
    <row r="2331">
      <c r="A2331" t="n">
        <v>2330</v>
      </c>
      <c r="B2331">
        <f>IFERROR(INDEX(Segmen!$A$3:$A$6000,MATCH(C2331,Segmen!$D$3:$D$6000,0)),"")</f>
        <v/>
      </c>
      <c r="C2331">
        <f>IFERROR(LARGE(Segmen!$D$3:$D$6000,A2331),"")</f>
        <v/>
      </c>
    </row>
    <row r="2332">
      <c r="A2332" t="n">
        <v>2331</v>
      </c>
      <c r="B2332">
        <f>IFERROR(INDEX(Segmen!$A$3:$A$6000,MATCH(C2332,Segmen!$D$3:$D$6000,0)),"")</f>
        <v/>
      </c>
      <c r="C2332">
        <f>IFERROR(LARGE(Segmen!$D$3:$D$6000,A2332),"")</f>
        <v/>
      </c>
    </row>
    <row r="2333">
      <c r="A2333" t="n">
        <v>2332</v>
      </c>
      <c r="B2333">
        <f>IFERROR(INDEX(Segmen!$A$3:$A$6000,MATCH(C2333,Segmen!$D$3:$D$6000,0)),"")</f>
        <v/>
      </c>
      <c r="C2333">
        <f>IFERROR(LARGE(Segmen!$D$3:$D$6000,A2333),"")</f>
        <v/>
      </c>
    </row>
    <row r="2334">
      <c r="A2334" t="n">
        <v>2333</v>
      </c>
      <c r="B2334">
        <f>IFERROR(INDEX(Segmen!$A$3:$A$6000,MATCH(C2334,Segmen!$D$3:$D$6000,0)),"")</f>
        <v/>
      </c>
      <c r="C2334">
        <f>IFERROR(LARGE(Segmen!$D$3:$D$6000,A2334),"")</f>
        <v/>
      </c>
    </row>
    <row r="2335">
      <c r="A2335" t="n">
        <v>2334</v>
      </c>
      <c r="B2335">
        <f>IFERROR(INDEX(Segmen!$A$3:$A$6000,MATCH(C2335,Segmen!$D$3:$D$6000,0)),"")</f>
        <v/>
      </c>
      <c r="C2335">
        <f>IFERROR(LARGE(Segmen!$D$3:$D$6000,A2335),"")</f>
        <v/>
      </c>
    </row>
    <row r="2336">
      <c r="A2336" t="n">
        <v>2335</v>
      </c>
      <c r="B2336">
        <f>IFERROR(INDEX(Segmen!$A$3:$A$6000,MATCH(C2336,Segmen!$D$3:$D$6000,0)),"")</f>
        <v/>
      </c>
      <c r="C2336">
        <f>IFERROR(LARGE(Segmen!$D$3:$D$6000,A2336),"")</f>
        <v/>
      </c>
    </row>
    <row r="2337">
      <c r="A2337" t="n">
        <v>2336</v>
      </c>
      <c r="B2337">
        <f>IFERROR(INDEX(Segmen!$A$3:$A$6000,MATCH(C2337,Segmen!$D$3:$D$6000,0)),"")</f>
        <v/>
      </c>
      <c r="C2337">
        <f>IFERROR(LARGE(Segmen!$D$3:$D$6000,A2337),"")</f>
        <v/>
      </c>
    </row>
    <row r="2338">
      <c r="A2338" t="n">
        <v>2337</v>
      </c>
      <c r="B2338">
        <f>IFERROR(INDEX(Segmen!$A$3:$A$6000,MATCH(C2338,Segmen!$D$3:$D$6000,0)),"")</f>
        <v/>
      </c>
      <c r="C2338">
        <f>IFERROR(LARGE(Segmen!$D$3:$D$6000,A2338),"")</f>
        <v/>
      </c>
    </row>
    <row r="2339">
      <c r="A2339" t="n">
        <v>2338</v>
      </c>
      <c r="B2339">
        <f>IFERROR(INDEX(Segmen!$A$3:$A$6000,MATCH(C2339,Segmen!$D$3:$D$6000,0)),"")</f>
        <v/>
      </c>
      <c r="C2339">
        <f>IFERROR(LARGE(Segmen!$D$3:$D$6000,A2339),"")</f>
        <v/>
      </c>
    </row>
    <row r="2340">
      <c r="A2340" t="n">
        <v>2339</v>
      </c>
      <c r="B2340">
        <f>IFERROR(INDEX(Segmen!$A$3:$A$6000,MATCH(C2340,Segmen!$D$3:$D$6000,0)),"")</f>
        <v/>
      </c>
      <c r="C2340">
        <f>IFERROR(LARGE(Segmen!$D$3:$D$6000,A2340),"")</f>
        <v/>
      </c>
    </row>
    <row r="2341">
      <c r="A2341" t="n">
        <v>2340</v>
      </c>
      <c r="B2341">
        <f>IFERROR(INDEX(Segmen!$A$3:$A$6000,MATCH(C2341,Segmen!$D$3:$D$6000,0)),"")</f>
        <v/>
      </c>
      <c r="C2341">
        <f>IFERROR(LARGE(Segmen!$D$3:$D$6000,A2341),"")</f>
        <v/>
      </c>
    </row>
    <row r="2342">
      <c r="A2342" t="n">
        <v>2341</v>
      </c>
      <c r="B2342">
        <f>IFERROR(INDEX(Segmen!$A$3:$A$6000,MATCH(C2342,Segmen!$D$3:$D$6000,0)),"")</f>
        <v/>
      </c>
      <c r="C2342">
        <f>IFERROR(LARGE(Segmen!$D$3:$D$6000,A2342),"")</f>
        <v/>
      </c>
    </row>
    <row r="2343">
      <c r="A2343" t="n">
        <v>2342</v>
      </c>
      <c r="B2343">
        <f>IFERROR(INDEX(Segmen!$A$3:$A$6000,MATCH(C2343,Segmen!$D$3:$D$6000,0)),"")</f>
        <v/>
      </c>
      <c r="C2343">
        <f>IFERROR(LARGE(Segmen!$D$3:$D$6000,A2343),"")</f>
        <v/>
      </c>
    </row>
    <row r="2344">
      <c r="A2344" t="n">
        <v>2343</v>
      </c>
      <c r="B2344">
        <f>IFERROR(INDEX(Segmen!$A$3:$A$6000,MATCH(C2344,Segmen!$D$3:$D$6000,0)),"")</f>
        <v/>
      </c>
      <c r="C2344">
        <f>IFERROR(LARGE(Segmen!$D$3:$D$6000,A2344),"")</f>
        <v/>
      </c>
    </row>
    <row r="2345">
      <c r="A2345" t="n">
        <v>2344</v>
      </c>
      <c r="B2345">
        <f>IFERROR(INDEX(Segmen!$A$3:$A$6000,MATCH(C2345,Segmen!$D$3:$D$6000,0)),"")</f>
        <v/>
      </c>
      <c r="C2345">
        <f>IFERROR(LARGE(Segmen!$D$3:$D$6000,A2345),"")</f>
        <v/>
      </c>
    </row>
    <row r="2346">
      <c r="A2346" t="n">
        <v>2345</v>
      </c>
      <c r="B2346">
        <f>IFERROR(INDEX(Segmen!$A$3:$A$6000,MATCH(C2346,Segmen!$D$3:$D$6000,0)),"")</f>
        <v/>
      </c>
      <c r="C2346">
        <f>IFERROR(LARGE(Segmen!$D$3:$D$6000,A2346),"")</f>
        <v/>
      </c>
    </row>
    <row r="2347">
      <c r="A2347" t="n">
        <v>2346</v>
      </c>
      <c r="B2347">
        <f>IFERROR(INDEX(Segmen!$A$3:$A$6000,MATCH(C2347,Segmen!$D$3:$D$6000,0)),"")</f>
        <v/>
      </c>
      <c r="C2347">
        <f>IFERROR(LARGE(Segmen!$D$3:$D$6000,A2347),"")</f>
        <v/>
      </c>
    </row>
    <row r="2348">
      <c r="A2348" t="n">
        <v>2347</v>
      </c>
      <c r="B2348">
        <f>IFERROR(INDEX(Segmen!$A$3:$A$6000,MATCH(C2348,Segmen!$D$3:$D$6000,0)),"")</f>
        <v/>
      </c>
      <c r="C2348">
        <f>IFERROR(LARGE(Segmen!$D$3:$D$6000,A2348),"")</f>
        <v/>
      </c>
    </row>
    <row r="2349">
      <c r="A2349" t="n">
        <v>2348</v>
      </c>
      <c r="B2349">
        <f>IFERROR(INDEX(Segmen!$A$3:$A$6000,MATCH(C2349,Segmen!$D$3:$D$6000,0)),"")</f>
        <v/>
      </c>
      <c r="C2349">
        <f>IFERROR(LARGE(Segmen!$D$3:$D$6000,A2349),"")</f>
        <v/>
      </c>
    </row>
    <row r="2350">
      <c r="A2350" t="n">
        <v>2349</v>
      </c>
      <c r="B2350">
        <f>IFERROR(INDEX(Segmen!$A$3:$A$6000,MATCH(C2350,Segmen!$D$3:$D$6000,0)),"")</f>
        <v/>
      </c>
      <c r="C2350">
        <f>IFERROR(LARGE(Segmen!$D$3:$D$6000,A2350),"")</f>
        <v/>
      </c>
    </row>
    <row r="2351">
      <c r="A2351" t="n">
        <v>2350</v>
      </c>
      <c r="B2351">
        <f>IFERROR(INDEX(Segmen!$A$3:$A$6000,MATCH(C2351,Segmen!$D$3:$D$6000,0)),"")</f>
        <v/>
      </c>
      <c r="C2351">
        <f>IFERROR(LARGE(Segmen!$D$3:$D$6000,A2351),"")</f>
        <v/>
      </c>
    </row>
    <row r="2352">
      <c r="A2352" t="n">
        <v>2351</v>
      </c>
      <c r="B2352">
        <f>IFERROR(INDEX(Segmen!$A$3:$A$6000,MATCH(C2352,Segmen!$D$3:$D$6000,0)),"")</f>
        <v/>
      </c>
      <c r="C2352">
        <f>IFERROR(LARGE(Segmen!$D$3:$D$6000,A2352),"")</f>
        <v/>
      </c>
    </row>
    <row r="2353">
      <c r="A2353" t="n">
        <v>2352</v>
      </c>
      <c r="B2353">
        <f>IFERROR(INDEX(Segmen!$A$3:$A$6000,MATCH(C2353,Segmen!$D$3:$D$6000,0)),"")</f>
        <v/>
      </c>
      <c r="C2353">
        <f>IFERROR(LARGE(Segmen!$D$3:$D$6000,A2353),"")</f>
        <v/>
      </c>
    </row>
    <row r="2354">
      <c r="A2354" t="n">
        <v>2353</v>
      </c>
      <c r="B2354">
        <f>IFERROR(INDEX(Segmen!$A$3:$A$6000,MATCH(C2354,Segmen!$D$3:$D$6000,0)),"")</f>
        <v/>
      </c>
      <c r="C2354">
        <f>IFERROR(LARGE(Segmen!$D$3:$D$6000,A2354),"")</f>
        <v/>
      </c>
    </row>
    <row r="2355">
      <c r="A2355" t="n">
        <v>2354</v>
      </c>
      <c r="B2355">
        <f>IFERROR(INDEX(Segmen!$A$3:$A$6000,MATCH(C2355,Segmen!$D$3:$D$6000,0)),"")</f>
        <v/>
      </c>
      <c r="C2355">
        <f>IFERROR(LARGE(Segmen!$D$3:$D$6000,A2355),"")</f>
        <v/>
      </c>
    </row>
    <row r="2356">
      <c r="A2356" t="n">
        <v>2355</v>
      </c>
      <c r="B2356">
        <f>IFERROR(INDEX(Segmen!$A$3:$A$6000,MATCH(C2356,Segmen!$D$3:$D$6000,0)),"")</f>
        <v/>
      </c>
      <c r="C2356">
        <f>IFERROR(LARGE(Segmen!$D$3:$D$6000,A2356),"")</f>
        <v/>
      </c>
    </row>
    <row r="2357">
      <c r="A2357" t="n">
        <v>2356</v>
      </c>
      <c r="B2357">
        <f>IFERROR(INDEX(Segmen!$A$3:$A$6000,MATCH(C2357,Segmen!$D$3:$D$6000,0)),"")</f>
        <v/>
      </c>
      <c r="C2357">
        <f>IFERROR(LARGE(Segmen!$D$3:$D$6000,A2357),"")</f>
        <v/>
      </c>
    </row>
    <row r="2358">
      <c r="A2358" t="n">
        <v>2357</v>
      </c>
      <c r="B2358">
        <f>IFERROR(INDEX(Segmen!$A$3:$A$6000,MATCH(C2358,Segmen!$D$3:$D$6000,0)),"")</f>
        <v/>
      </c>
      <c r="C2358">
        <f>IFERROR(LARGE(Segmen!$D$3:$D$6000,A2358),"")</f>
        <v/>
      </c>
    </row>
    <row r="2359">
      <c r="A2359" t="n">
        <v>2358</v>
      </c>
      <c r="B2359">
        <f>IFERROR(INDEX(Segmen!$A$3:$A$6000,MATCH(C2359,Segmen!$D$3:$D$6000,0)),"")</f>
        <v/>
      </c>
      <c r="C2359">
        <f>IFERROR(LARGE(Segmen!$D$3:$D$6000,A2359),"")</f>
        <v/>
      </c>
    </row>
    <row r="2360">
      <c r="A2360" t="n">
        <v>2359</v>
      </c>
      <c r="B2360">
        <f>IFERROR(INDEX(Segmen!$A$3:$A$6000,MATCH(C2360,Segmen!$D$3:$D$6000,0)),"")</f>
        <v/>
      </c>
      <c r="C2360">
        <f>IFERROR(LARGE(Segmen!$D$3:$D$6000,A2360),"")</f>
        <v/>
      </c>
    </row>
    <row r="2361">
      <c r="A2361" t="n">
        <v>2360</v>
      </c>
      <c r="B2361">
        <f>IFERROR(INDEX(Segmen!$A$3:$A$6000,MATCH(C2361,Segmen!$D$3:$D$6000,0)),"")</f>
        <v/>
      </c>
      <c r="C2361">
        <f>IFERROR(LARGE(Segmen!$D$3:$D$6000,A2361),"")</f>
        <v/>
      </c>
    </row>
    <row r="2362">
      <c r="A2362" t="n">
        <v>2361</v>
      </c>
      <c r="B2362">
        <f>IFERROR(INDEX(Segmen!$A$3:$A$6000,MATCH(C2362,Segmen!$D$3:$D$6000,0)),"")</f>
        <v/>
      </c>
      <c r="C2362">
        <f>IFERROR(LARGE(Segmen!$D$3:$D$6000,A2362),"")</f>
        <v/>
      </c>
    </row>
    <row r="2363">
      <c r="A2363" t="n">
        <v>2362</v>
      </c>
      <c r="B2363">
        <f>IFERROR(INDEX(Segmen!$A$3:$A$6000,MATCH(C2363,Segmen!$D$3:$D$6000,0)),"")</f>
        <v/>
      </c>
      <c r="C2363">
        <f>IFERROR(LARGE(Segmen!$D$3:$D$6000,A2363),"")</f>
        <v/>
      </c>
    </row>
    <row r="2364">
      <c r="A2364" t="n">
        <v>2363</v>
      </c>
      <c r="B2364">
        <f>IFERROR(INDEX(Segmen!$A$3:$A$6000,MATCH(C2364,Segmen!$D$3:$D$6000,0)),"")</f>
        <v/>
      </c>
      <c r="C2364">
        <f>IFERROR(LARGE(Segmen!$D$3:$D$6000,A2364),"")</f>
        <v/>
      </c>
    </row>
    <row r="2365">
      <c r="A2365" t="n">
        <v>2364</v>
      </c>
      <c r="B2365">
        <f>IFERROR(INDEX(Segmen!$A$3:$A$6000,MATCH(C2365,Segmen!$D$3:$D$6000,0)),"")</f>
        <v/>
      </c>
      <c r="C2365">
        <f>IFERROR(LARGE(Segmen!$D$3:$D$6000,A2365),"")</f>
        <v/>
      </c>
    </row>
    <row r="2366">
      <c r="A2366" t="n">
        <v>2365</v>
      </c>
      <c r="B2366">
        <f>IFERROR(INDEX(Segmen!$A$3:$A$6000,MATCH(C2366,Segmen!$D$3:$D$6000,0)),"")</f>
        <v/>
      </c>
      <c r="C2366">
        <f>IFERROR(LARGE(Segmen!$D$3:$D$6000,A2366),"")</f>
        <v/>
      </c>
    </row>
    <row r="2367">
      <c r="A2367" t="n">
        <v>2366</v>
      </c>
      <c r="B2367">
        <f>IFERROR(INDEX(Segmen!$A$3:$A$6000,MATCH(C2367,Segmen!$D$3:$D$6000,0)),"")</f>
        <v/>
      </c>
      <c r="C2367">
        <f>IFERROR(LARGE(Segmen!$D$3:$D$6000,A2367),"")</f>
        <v/>
      </c>
    </row>
    <row r="2368">
      <c r="A2368" t="n">
        <v>2367</v>
      </c>
      <c r="B2368">
        <f>IFERROR(INDEX(Segmen!$A$3:$A$6000,MATCH(C2368,Segmen!$D$3:$D$6000,0)),"")</f>
        <v/>
      </c>
      <c r="C2368">
        <f>IFERROR(LARGE(Segmen!$D$3:$D$6000,A2368),"")</f>
        <v/>
      </c>
    </row>
    <row r="2369">
      <c r="A2369" t="n">
        <v>2368</v>
      </c>
      <c r="B2369">
        <f>IFERROR(INDEX(Segmen!$A$3:$A$6000,MATCH(C2369,Segmen!$D$3:$D$6000,0)),"")</f>
        <v/>
      </c>
      <c r="C2369">
        <f>IFERROR(LARGE(Segmen!$D$3:$D$6000,A2369),"")</f>
        <v/>
      </c>
    </row>
    <row r="2370">
      <c r="A2370" t="n">
        <v>2369</v>
      </c>
      <c r="B2370">
        <f>IFERROR(INDEX(Segmen!$A$3:$A$6000,MATCH(C2370,Segmen!$D$3:$D$6000,0)),"")</f>
        <v/>
      </c>
      <c r="C2370">
        <f>IFERROR(LARGE(Segmen!$D$3:$D$6000,A2370),"")</f>
        <v/>
      </c>
    </row>
    <row r="2371">
      <c r="A2371" t="n">
        <v>2370</v>
      </c>
      <c r="B2371">
        <f>IFERROR(INDEX(Segmen!$A$3:$A$6000,MATCH(C2371,Segmen!$D$3:$D$6000,0)),"")</f>
        <v/>
      </c>
      <c r="C2371">
        <f>IFERROR(LARGE(Segmen!$D$3:$D$6000,A2371),"")</f>
        <v/>
      </c>
    </row>
    <row r="2372">
      <c r="A2372" t="n">
        <v>2371</v>
      </c>
      <c r="B2372">
        <f>IFERROR(INDEX(Segmen!$A$3:$A$6000,MATCH(C2372,Segmen!$D$3:$D$6000,0)),"")</f>
        <v/>
      </c>
      <c r="C2372">
        <f>IFERROR(LARGE(Segmen!$D$3:$D$6000,A2372),"")</f>
        <v/>
      </c>
    </row>
    <row r="2373">
      <c r="A2373" t="n">
        <v>2372</v>
      </c>
      <c r="B2373">
        <f>IFERROR(INDEX(Segmen!$A$3:$A$6000,MATCH(C2373,Segmen!$D$3:$D$6000,0)),"")</f>
        <v/>
      </c>
      <c r="C2373">
        <f>IFERROR(LARGE(Segmen!$D$3:$D$6000,A2373),"")</f>
        <v/>
      </c>
    </row>
    <row r="2374">
      <c r="A2374" t="n">
        <v>2373</v>
      </c>
      <c r="B2374">
        <f>IFERROR(INDEX(Segmen!$A$3:$A$6000,MATCH(C2374,Segmen!$D$3:$D$6000,0)),"")</f>
        <v/>
      </c>
      <c r="C2374">
        <f>IFERROR(LARGE(Segmen!$D$3:$D$6000,A2374),"")</f>
        <v/>
      </c>
    </row>
    <row r="2375">
      <c r="A2375" t="n">
        <v>2374</v>
      </c>
      <c r="B2375">
        <f>IFERROR(INDEX(Segmen!$A$3:$A$6000,MATCH(C2375,Segmen!$D$3:$D$6000,0)),"")</f>
        <v/>
      </c>
      <c r="C2375">
        <f>IFERROR(LARGE(Segmen!$D$3:$D$6000,A2375),"")</f>
        <v/>
      </c>
    </row>
    <row r="2376">
      <c r="A2376" t="n">
        <v>2375</v>
      </c>
      <c r="B2376">
        <f>IFERROR(INDEX(Segmen!$A$3:$A$6000,MATCH(C2376,Segmen!$D$3:$D$6000,0)),"")</f>
        <v/>
      </c>
      <c r="C2376">
        <f>IFERROR(LARGE(Segmen!$D$3:$D$6000,A2376),"")</f>
        <v/>
      </c>
    </row>
    <row r="2377">
      <c r="A2377" t="n">
        <v>2376</v>
      </c>
      <c r="B2377">
        <f>IFERROR(INDEX(Segmen!$A$3:$A$6000,MATCH(C2377,Segmen!$D$3:$D$6000,0)),"")</f>
        <v/>
      </c>
      <c r="C2377">
        <f>IFERROR(LARGE(Segmen!$D$3:$D$6000,A2377),"")</f>
        <v/>
      </c>
    </row>
    <row r="2378">
      <c r="A2378" t="n">
        <v>2377</v>
      </c>
      <c r="B2378">
        <f>IFERROR(INDEX(Segmen!$A$3:$A$6000,MATCH(C2378,Segmen!$D$3:$D$6000,0)),"")</f>
        <v/>
      </c>
      <c r="C2378">
        <f>IFERROR(LARGE(Segmen!$D$3:$D$6000,A2378),"")</f>
        <v/>
      </c>
    </row>
    <row r="2379">
      <c r="A2379" t="n">
        <v>2378</v>
      </c>
      <c r="B2379">
        <f>IFERROR(INDEX(Segmen!$A$3:$A$6000,MATCH(C2379,Segmen!$D$3:$D$6000,0)),"")</f>
        <v/>
      </c>
      <c r="C2379">
        <f>IFERROR(LARGE(Segmen!$D$3:$D$6000,A2379),"")</f>
        <v/>
      </c>
    </row>
    <row r="2380">
      <c r="A2380" t="n">
        <v>2379</v>
      </c>
      <c r="B2380">
        <f>IFERROR(INDEX(Segmen!$A$3:$A$6000,MATCH(C2380,Segmen!$D$3:$D$6000,0)),"")</f>
        <v/>
      </c>
      <c r="C2380">
        <f>IFERROR(LARGE(Segmen!$D$3:$D$6000,A2380),"")</f>
        <v/>
      </c>
    </row>
    <row r="2381">
      <c r="A2381" t="n">
        <v>2380</v>
      </c>
      <c r="B2381">
        <f>IFERROR(INDEX(Segmen!$A$3:$A$6000,MATCH(C2381,Segmen!$D$3:$D$6000,0)),"")</f>
        <v/>
      </c>
      <c r="C2381">
        <f>IFERROR(LARGE(Segmen!$D$3:$D$6000,A2381),"")</f>
        <v/>
      </c>
    </row>
    <row r="2382">
      <c r="A2382" t="n">
        <v>2381</v>
      </c>
      <c r="B2382">
        <f>IFERROR(INDEX(Segmen!$A$3:$A$6000,MATCH(C2382,Segmen!$D$3:$D$6000,0)),"")</f>
        <v/>
      </c>
      <c r="C2382">
        <f>IFERROR(LARGE(Segmen!$D$3:$D$6000,A2382),"")</f>
        <v/>
      </c>
    </row>
    <row r="2383">
      <c r="A2383" t="n">
        <v>2382</v>
      </c>
      <c r="B2383">
        <f>IFERROR(INDEX(Segmen!$A$3:$A$6000,MATCH(C2383,Segmen!$D$3:$D$6000,0)),"")</f>
        <v/>
      </c>
      <c r="C2383">
        <f>IFERROR(LARGE(Segmen!$D$3:$D$6000,A2383),"")</f>
        <v/>
      </c>
    </row>
    <row r="2384">
      <c r="A2384" t="n">
        <v>2383</v>
      </c>
      <c r="B2384">
        <f>IFERROR(INDEX(Segmen!$A$3:$A$6000,MATCH(C2384,Segmen!$D$3:$D$6000,0)),"")</f>
        <v/>
      </c>
      <c r="C2384">
        <f>IFERROR(LARGE(Segmen!$D$3:$D$6000,A2384),"")</f>
        <v/>
      </c>
    </row>
    <row r="2385">
      <c r="A2385" t="n">
        <v>2384</v>
      </c>
      <c r="B2385">
        <f>IFERROR(INDEX(Segmen!$A$3:$A$6000,MATCH(C2385,Segmen!$D$3:$D$6000,0)),"")</f>
        <v/>
      </c>
      <c r="C2385">
        <f>IFERROR(LARGE(Segmen!$D$3:$D$6000,A2385),"")</f>
        <v/>
      </c>
    </row>
    <row r="2386">
      <c r="A2386" t="n">
        <v>2385</v>
      </c>
      <c r="B2386">
        <f>IFERROR(INDEX(Segmen!$A$3:$A$6000,MATCH(C2386,Segmen!$D$3:$D$6000,0)),"")</f>
        <v/>
      </c>
      <c r="C2386">
        <f>IFERROR(LARGE(Segmen!$D$3:$D$6000,A2386),"")</f>
        <v/>
      </c>
    </row>
    <row r="2387">
      <c r="A2387" t="n">
        <v>2386</v>
      </c>
      <c r="B2387">
        <f>IFERROR(INDEX(Segmen!$A$3:$A$6000,MATCH(C2387,Segmen!$D$3:$D$6000,0)),"")</f>
        <v/>
      </c>
      <c r="C2387">
        <f>IFERROR(LARGE(Segmen!$D$3:$D$6000,A2387),"")</f>
        <v/>
      </c>
    </row>
    <row r="2388">
      <c r="A2388" t="n">
        <v>2387</v>
      </c>
      <c r="B2388">
        <f>IFERROR(INDEX(Segmen!$A$3:$A$6000,MATCH(C2388,Segmen!$D$3:$D$6000,0)),"")</f>
        <v/>
      </c>
      <c r="C2388">
        <f>IFERROR(LARGE(Segmen!$D$3:$D$6000,A2388),"")</f>
        <v/>
      </c>
    </row>
    <row r="2389">
      <c r="A2389" t="n">
        <v>2388</v>
      </c>
      <c r="B2389">
        <f>IFERROR(INDEX(Segmen!$A$3:$A$6000,MATCH(C2389,Segmen!$D$3:$D$6000,0)),"")</f>
        <v/>
      </c>
      <c r="C2389">
        <f>IFERROR(LARGE(Segmen!$D$3:$D$6000,A2389),"")</f>
        <v/>
      </c>
    </row>
    <row r="2390">
      <c r="A2390" t="n">
        <v>2389</v>
      </c>
      <c r="B2390">
        <f>IFERROR(INDEX(Segmen!$A$3:$A$6000,MATCH(C2390,Segmen!$D$3:$D$6000,0)),"")</f>
        <v/>
      </c>
      <c r="C2390">
        <f>IFERROR(LARGE(Segmen!$D$3:$D$6000,A2390),"")</f>
        <v/>
      </c>
    </row>
    <row r="2391">
      <c r="A2391" t="n">
        <v>2390</v>
      </c>
      <c r="B2391">
        <f>IFERROR(INDEX(Segmen!$A$3:$A$6000,MATCH(C2391,Segmen!$D$3:$D$6000,0)),"")</f>
        <v/>
      </c>
      <c r="C2391">
        <f>IFERROR(LARGE(Segmen!$D$3:$D$6000,A2391),"")</f>
        <v/>
      </c>
    </row>
    <row r="2392">
      <c r="A2392" t="n">
        <v>2391</v>
      </c>
      <c r="B2392">
        <f>IFERROR(INDEX(Segmen!$A$3:$A$6000,MATCH(C2392,Segmen!$D$3:$D$6000,0)),"")</f>
        <v/>
      </c>
      <c r="C2392">
        <f>IFERROR(LARGE(Segmen!$D$3:$D$6000,A2392),"")</f>
        <v/>
      </c>
    </row>
    <row r="2393">
      <c r="A2393" t="n">
        <v>2392</v>
      </c>
      <c r="B2393">
        <f>IFERROR(INDEX(Segmen!$A$3:$A$6000,MATCH(C2393,Segmen!$D$3:$D$6000,0)),"")</f>
        <v/>
      </c>
      <c r="C2393">
        <f>IFERROR(LARGE(Segmen!$D$3:$D$6000,A2393),"")</f>
        <v/>
      </c>
    </row>
    <row r="2394">
      <c r="A2394" t="n">
        <v>2393</v>
      </c>
      <c r="B2394">
        <f>IFERROR(INDEX(Segmen!$A$3:$A$6000,MATCH(C2394,Segmen!$D$3:$D$6000,0)),"")</f>
        <v/>
      </c>
      <c r="C2394">
        <f>IFERROR(LARGE(Segmen!$D$3:$D$6000,A2394),"")</f>
        <v/>
      </c>
    </row>
    <row r="2395">
      <c r="A2395" t="n">
        <v>2394</v>
      </c>
      <c r="B2395">
        <f>IFERROR(INDEX(Segmen!$A$3:$A$6000,MATCH(C2395,Segmen!$D$3:$D$6000,0)),"")</f>
        <v/>
      </c>
      <c r="C2395">
        <f>IFERROR(LARGE(Segmen!$D$3:$D$6000,A2395),"")</f>
        <v/>
      </c>
    </row>
    <row r="2396">
      <c r="A2396" t="n">
        <v>2395</v>
      </c>
      <c r="B2396">
        <f>IFERROR(INDEX(Segmen!$A$3:$A$6000,MATCH(C2396,Segmen!$D$3:$D$6000,0)),"")</f>
        <v/>
      </c>
      <c r="C2396">
        <f>IFERROR(LARGE(Segmen!$D$3:$D$6000,A2396),"")</f>
        <v/>
      </c>
    </row>
    <row r="2397">
      <c r="A2397" t="n">
        <v>2396</v>
      </c>
      <c r="B2397">
        <f>IFERROR(INDEX(Segmen!$A$3:$A$6000,MATCH(C2397,Segmen!$D$3:$D$6000,0)),"")</f>
        <v/>
      </c>
      <c r="C2397">
        <f>IFERROR(LARGE(Segmen!$D$3:$D$6000,A2397),"")</f>
        <v/>
      </c>
    </row>
    <row r="2398">
      <c r="A2398" t="n">
        <v>2397</v>
      </c>
      <c r="B2398">
        <f>IFERROR(INDEX(Segmen!$A$3:$A$6000,MATCH(C2398,Segmen!$D$3:$D$6000,0)),"")</f>
        <v/>
      </c>
      <c r="C2398">
        <f>IFERROR(LARGE(Segmen!$D$3:$D$6000,A2398),"")</f>
        <v/>
      </c>
    </row>
    <row r="2399">
      <c r="A2399" t="n">
        <v>2398</v>
      </c>
      <c r="B2399">
        <f>IFERROR(INDEX(Segmen!$A$3:$A$6000,MATCH(C2399,Segmen!$D$3:$D$6000,0)),"")</f>
        <v/>
      </c>
      <c r="C2399">
        <f>IFERROR(LARGE(Segmen!$D$3:$D$6000,A2399),"")</f>
        <v/>
      </c>
    </row>
    <row r="2400">
      <c r="A2400" t="n">
        <v>2399</v>
      </c>
      <c r="B2400">
        <f>IFERROR(INDEX(Segmen!$A$3:$A$6000,MATCH(C2400,Segmen!$D$3:$D$6000,0)),"")</f>
        <v/>
      </c>
      <c r="C2400">
        <f>IFERROR(LARGE(Segmen!$D$3:$D$6000,A2400),"")</f>
        <v/>
      </c>
    </row>
    <row r="2401">
      <c r="A2401" t="n">
        <v>2400</v>
      </c>
      <c r="B2401">
        <f>IFERROR(INDEX(Segmen!$A$3:$A$6000,MATCH(C2401,Segmen!$D$3:$D$6000,0)),"")</f>
        <v/>
      </c>
      <c r="C2401">
        <f>IFERROR(LARGE(Segmen!$D$3:$D$6000,A2401),"")</f>
        <v/>
      </c>
    </row>
    <row r="2402">
      <c r="A2402" t="n">
        <v>2401</v>
      </c>
      <c r="B2402">
        <f>IFERROR(INDEX(Segmen!$A$3:$A$6000,MATCH(C2402,Segmen!$D$3:$D$6000,0)),"")</f>
        <v/>
      </c>
      <c r="C2402">
        <f>IFERROR(LARGE(Segmen!$D$3:$D$6000,A2402),"")</f>
        <v/>
      </c>
    </row>
    <row r="2403">
      <c r="A2403" t="n">
        <v>2402</v>
      </c>
      <c r="B2403">
        <f>IFERROR(INDEX(Segmen!$A$3:$A$6000,MATCH(C2403,Segmen!$D$3:$D$6000,0)),"")</f>
        <v/>
      </c>
      <c r="C2403">
        <f>IFERROR(LARGE(Segmen!$D$3:$D$6000,A2403),"")</f>
        <v/>
      </c>
    </row>
    <row r="2404">
      <c r="A2404" t="n">
        <v>2403</v>
      </c>
      <c r="B2404">
        <f>IFERROR(INDEX(Segmen!$A$3:$A$6000,MATCH(C2404,Segmen!$D$3:$D$6000,0)),"")</f>
        <v/>
      </c>
      <c r="C2404">
        <f>IFERROR(LARGE(Segmen!$D$3:$D$6000,A2404),"")</f>
        <v/>
      </c>
    </row>
    <row r="2405">
      <c r="A2405" t="n">
        <v>2404</v>
      </c>
      <c r="B2405">
        <f>IFERROR(INDEX(Segmen!$A$3:$A$6000,MATCH(C2405,Segmen!$D$3:$D$6000,0)),"")</f>
        <v/>
      </c>
      <c r="C2405">
        <f>IFERROR(LARGE(Segmen!$D$3:$D$6000,A2405),"")</f>
        <v/>
      </c>
    </row>
    <row r="2406">
      <c r="A2406" t="n">
        <v>2405</v>
      </c>
      <c r="B2406">
        <f>IFERROR(INDEX(Segmen!$A$3:$A$6000,MATCH(C2406,Segmen!$D$3:$D$6000,0)),"")</f>
        <v/>
      </c>
      <c r="C2406">
        <f>IFERROR(LARGE(Segmen!$D$3:$D$6000,A2406),"")</f>
        <v/>
      </c>
    </row>
    <row r="2407">
      <c r="A2407" t="n">
        <v>2406</v>
      </c>
      <c r="B2407">
        <f>IFERROR(INDEX(Segmen!$A$3:$A$6000,MATCH(C2407,Segmen!$D$3:$D$6000,0)),"")</f>
        <v/>
      </c>
      <c r="C2407">
        <f>IFERROR(LARGE(Segmen!$D$3:$D$6000,A2407),"")</f>
        <v/>
      </c>
    </row>
    <row r="2408">
      <c r="A2408" t="n">
        <v>2407</v>
      </c>
      <c r="B2408">
        <f>IFERROR(INDEX(Segmen!$A$3:$A$6000,MATCH(C2408,Segmen!$D$3:$D$6000,0)),"")</f>
        <v/>
      </c>
      <c r="C2408">
        <f>IFERROR(LARGE(Segmen!$D$3:$D$6000,A2408),"")</f>
        <v/>
      </c>
    </row>
    <row r="2409">
      <c r="A2409" t="n">
        <v>2408</v>
      </c>
      <c r="B2409">
        <f>IFERROR(INDEX(Segmen!$A$3:$A$6000,MATCH(C2409,Segmen!$D$3:$D$6000,0)),"")</f>
        <v/>
      </c>
      <c r="C2409">
        <f>IFERROR(LARGE(Segmen!$D$3:$D$6000,A2409),"")</f>
        <v/>
      </c>
    </row>
    <row r="2410">
      <c r="A2410" t="n">
        <v>2409</v>
      </c>
      <c r="B2410">
        <f>IFERROR(INDEX(Segmen!$A$3:$A$6000,MATCH(C2410,Segmen!$D$3:$D$6000,0)),"")</f>
        <v/>
      </c>
      <c r="C2410">
        <f>IFERROR(LARGE(Segmen!$D$3:$D$6000,A2410),"")</f>
        <v/>
      </c>
    </row>
    <row r="2411">
      <c r="A2411" t="n">
        <v>2410</v>
      </c>
      <c r="B2411">
        <f>IFERROR(INDEX(Segmen!$A$3:$A$6000,MATCH(C2411,Segmen!$D$3:$D$6000,0)),"")</f>
        <v/>
      </c>
      <c r="C2411">
        <f>IFERROR(LARGE(Segmen!$D$3:$D$6000,A2411),"")</f>
        <v/>
      </c>
    </row>
    <row r="2412">
      <c r="A2412" t="n">
        <v>2411</v>
      </c>
      <c r="B2412">
        <f>IFERROR(INDEX(Segmen!$A$3:$A$6000,MATCH(C2412,Segmen!$D$3:$D$6000,0)),"")</f>
        <v/>
      </c>
      <c r="C2412">
        <f>IFERROR(LARGE(Segmen!$D$3:$D$6000,A2412),"")</f>
        <v/>
      </c>
    </row>
    <row r="2413">
      <c r="A2413" t="n">
        <v>2412</v>
      </c>
      <c r="B2413">
        <f>IFERROR(INDEX(Segmen!$A$3:$A$6000,MATCH(C2413,Segmen!$D$3:$D$6000,0)),"")</f>
        <v/>
      </c>
      <c r="C2413">
        <f>IFERROR(LARGE(Segmen!$D$3:$D$6000,A2413),"")</f>
        <v/>
      </c>
    </row>
    <row r="2414">
      <c r="A2414" t="n">
        <v>2413</v>
      </c>
      <c r="B2414">
        <f>IFERROR(INDEX(Segmen!$A$3:$A$6000,MATCH(C2414,Segmen!$D$3:$D$6000,0)),"")</f>
        <v/>
      </c>
      <c r="C2414">
        <f>IFERROR(LARGE(Segmen!$D$3:$D$6000,A2414),"")</f>
        <v/>
      </c>
    </row>
    <row r="2415">
      <c r="A2415" t="n">
        <v>2414</v>
      </c>
      <c r="B2415">
        <f>IFERROR(INDEX(Segmen!$A$3:$A$6000,MATCH(C2415,Segmen!$D$3:$D$6000,0)),"")</f>
        <v/>
      </c>
      <c r="C2415">
        <f>IFERROR(LARGE(Segmen!$D$3:$D$6000,A2415),"")</f>
        <v/>
      </c>
    </row>
    <row r="2416">
      <c r="A2416" t="n">
        <v>2415</v>
      </c>
      <c r="B2416">
        <f>IFERROR(INDEX(Segmen!$A$3:$A$6000,MATCH(C2416,Segmen!$D$3:$D$6000,0)),"")</f>
        <v/>
      </c>
      <c r="C2416">
        <f>IFERROR(LARGE(Segmen!$D$3:$D$6000,A2416),"")</f>
        <v/>
      </c>
    </row>
    <row r="2417">
      <c r="A2417" t="n">
        <v>2416</v>
      </c>
      <c r="B2417">
        <f>IFERROR(INDEX(Segmen!$A$3:$A$6000,MATCH(C2417,Segmen!$D$3:$D$6000,0)),"")</f>
        <v/>
      </c>
      <c r="C2417">
        <f>IFERROR(LARGE(Segmen!$D$3:$D$6000,A2417),"")</f>
        <v/>
      </c>
    </row>
    <row r="2418">
      <c r="A2418" t="n">
        <v>2417</v>
      </c>
      <c r="B2418">
        <f>IFERROR(INDEX(Segmen!$A$3:$A$6000,MATCH(C2418,Segmen!$D$3:$D$6000,0)),"")</f>
        <v/>
      </c>
      <c r="C2418">
        <f>IFERROR(LARGE(Segmen!$D$3:$D$6000,A2418),"")</f>
        <v/>
      </c>
    </row>
    <row r="2419">
      <c r="A2419" t="n">
        <v>2418</v>
      </c>
      <c r="B2419">
        <f>IFERROR(INDEX(Segmen!$A$3:$A$6000,MATCH(C2419,Segmen!$D$3:$D$6000,0)),"")</f>
        <v/>
      </c>
      <c r="C2419">
        <f>IFERROR(LARGE(Segmen!$D$3:$D$6000,A2419),"")</f>
        <v/>
      </c>
    </row>
    <row r="2420">
      <c r="A2420" t="n">
        <v>2419</v>
      </c>
      <c r="B2420">
        <f>IFERROR(INDEX(Segmen!$A$3:$A$6000,MATCH(C2420,Segmen!$D$3:$D$6000,0)),"")</f>
        <v/>
      </c>
      <c r="C2420">
        <f>IFERROR(LARGE(Segmen!$D$3:$D$6000,A2420),"")</f>
        <v/>
      </c>
    </row>
    <row r="2421">
      <c r="A2421" t="n">
        <v>2420</v>
      </c>
      <c r="B2421">
        <f>IFERROR(INDEX(Segmen!$A$3:$A$6000,MATCH(C2421,Segmen!$D$3:$D$6000,0)),"")</f>
        <v/>
      </c>
      <c r="C2421">
        <f>IFERROR(LARGE(Segmen!$D$3:$D$6000,A2421),"")</f>
        <v/>
      </c>
    </row>
    <row r="2422">
      <c r="A2422" t="n">
        <v>2421</v>
      </c>
      <c r="B2422">
        <f>IFERROR(INDEX(Segmen!$A$3:$A$6000,MATCH(C2422,Segmen!$D$3:$D$6000,0)),"")</f>
        <v/>
      </c>
      <c r="C2422">
        <f>IFERROR(LARGE(Segmen!$D$3:$D$6000,A2422),"")</f>
        <v/>
      </c>
    </row>
    <row r="2423">
      <c r="A2423" t="n">
        <v>2422</v>
      </c>
      <c r="B2423">
        <f>IFERROR(INDEX(Segmen!$A$3:$A$6000,MATCH(C2423,Segmen!$D$3:$D$6000,0)),"")</f>
        <v/>
      </c>
      <c r="C2423">
        <f>IFERROR(LARGE(Segmen!$D$3:$D$6000,A2423),"")</f>
        <v/>
      </c>
    </row>
    <row r="2424">
      <c r="A2424" t="n">
        <v>2423</v>
      </c>
      <c r="B2424">
        <f>IFERROR(INDEX(Segmen!$A$3:$A$6000,MATCH(C2424,Segmen!$D$3:$D$6000,0)),"")</f>
        <v/>
      </c>
      <c r="C2424">
        <f>IFERROR(LARGE(Segmen!$D$3:$D$6000,A2424),"")</f>
        <v/>
      </c>
    </row>
    <row r="2425">
      <c r="A2425" t="n">
        <v>2424</v>
      </c>
      <c r="B2425">
        <f>IFERROR(INDEX(Segmen!$A$3:$A$6000,MATCH(C2425,Segmen!$D$3:$D$6000,0)),"")</f>
        <v/>
      </c>
      <c r="C2425">
        <f>IFERROR(LARGE(Segmen!$D$3:$D$6000,A2425),"")</f>
        <v/>
      </c>
    </row>
    <row r="2426">
      <c r="A2426" t="n">
        <v>2425</v>
      </c>
      <c r="B2426">
        <f>IFERROR(INDEX(Segmen!$A$3:$A$6000,MATCH(C2426,Segmen!$D$3:$D$6000,0)),"")</f>
        <v/>
      </c>
      <c r="C2426">
        <f>IFERROR(LARGE(Segmen!$D$3:$D$6000,A2426),"")</f>
        <v/>
      </c>
    </row>
    <row r="2427">
      <c r="A2427" t="n">
        <v>2426</v>
      </c>
      <c r="B2427">
        <f>IFERROR(INDEX(Segmen!$A$3:$A$6000,MATCH(C2427,Segmen!$D$3:$D$6000,0)),"")</f>
        <v/>
      </c>
      <c r="C2427">
        <f>IFERROR(LARGE(Segmen!$D$3:$D$6000,A2427),"")</f>
        <v/>
      </c>
    </row>
    <row r="2428">
      <c r="A2428" t="n">
        <v>2427</v>
      </c>
      <c r="B2428">
        <f>IFERROR(INDEX(Segmen!$A$3:$A$6000,MATCH(C2428,Segmen!$D$3:$D$6000,0)),"")</f>
        <v/>
      </c>
      <c r="C2428">
        <f>IFERROR(LARGE(Segmen!$D$3:$D$6000,A2428),"")</f>
        <v/>
      </c>
    </row>
    <row r="2429">
      <c r="A2429" t="n">
        <v>2428</v>
      </c>
      <c r="B2429">
        <f>IFERROR(INDEX(Segmen!$A$3:$A$6000,MATCH(C2429,Segmen!$D$3:$D$6000,0)),"")</f>
        <v/>
      </c>
      <c r="C2429">
        <f>IFERROR(LARGE(Segmen!$D$3:$D$6000,A2429),"")</f>
        <v/>
      </c>
    </row>
    <row r="2430">
      <c r="A2430" t="n">
        <v>2429</v>
      </c>
      <c r="B2430">
        <f>IFERROR(INDEX(Segmen!$A$3:$A$6000,MATCH(C2430,Segmen!$D$3:$D$6000,0)),"")</f>
        <v/>
      </c>
      <c r="C2430">
        <f>IFERROR(LARGE(Segmen!$D$3:$D$6000,A2430),"")</f>
        <v/>
      </c>
    </row>
    <row r="2431">
      <c r="A2431" t="n">
        <v>2430</v>
      </c>
      <c r="B2431">
        <f>IFERROR(INDEX(Segmen!$A$3:$A$6000,MATCH(C2431,Segmen!$D$3:$D$6000,0)),"")</f>
        <v/>
      </c>
      <c r="C2431">
        <f>IFERROR(LARGE(Segmen!$D$3:$D$6000,A2431),"")</f>
        <v/>
      </c>
    </row>
    <row r="2432">
      <c r="A2432" t="n">
        <v>2431</v>
      </c>
      <c r="B2432">
        <f>IFERROR(INDEX(Segmen!$A$3:$A$6000,MATCH(C2432,Segmen!$D$3:$D$6000,0)),"")</f>
        <v/>
      </c>
      <c r="C2432">
        <f>IFERROR(LARGE(Segmen!$D$3:$D$6000,A2432),"")</f>
        <v/>
      </c>
    </row>
    <row r="2433">
      <c r="A2433" t="n">
        <v>2432</v>
      </c>
      <c r="B2433">
        <f>IFERROR(INDEX(Segmen!$A$3:$A$6000,MATCH(C2433,Segmen!$D$3:$D$6000,0)),"")</f>
        <v/>
      </c>
      <c r="C2433">
        <f>IFERROR(LARGE(Segmen!$D$3:$D$6000,A2433),"")</f>
        <v/>
      </c>
    </row>
    <row r="2434">
      <c r="A2434" t="n">
        <v>2433</v>
      </c>
      <c r="B2434">
        <f>IFERROR(INDEX(Segmen!$A$3:$A$6000,MATCH(C2434,Segmen!$D$3:$D$6000,0)),"")</f>
        <v/>
      </c>
      <c r="C2434">
        <f>IFERROR(LARGE(Segmen!$D$3:$D$6000,A2434),"")</f>
        <v/>
      </c>
    </row>
    <row r="2435">
      <c r="A2435" t="n">
        <v>2434</v>
      </c>
      <c r="B2435">
        <f>IFERROR(INDEX(Segmen!$A$3:$A$6000,MATCH(C2435,Segmen!$D$3:$D$6000,0)),"")</f>
        <v/>
      </c>
      <c r="C2435">
        <f>IFERROR(LARGE(Segmen!$D$3:$D$6000,A2435),"")</f>
        <v/>
      </c>
    </row>
    <row r="2436">
      <c r="A2436" t="n">
        <v>2435</v>
      </c>
      <c r="B2436">
        <f>IFERROR(INDEX(Segmen!$A$3:$A$6000,MATCH(C2436,Segmen!$D$3:$D$6000,0)),"")</f>
        <v/>
      </c>
      <c r="C2436">
        <f>IFERROR(LARGE(Segmen!$D$3:$D$6000,A2436),"")</f>
        <v/>
      </c>
    </row>
    <row r="2437">
      <c r="A2437" t="n">
        <v>2436</v>
      </c>
      <c r="B2437">
        <f>IFERROR(INDEX(Segmen!$A$3:$A$6000,MATCH(C2437,Segmen!$D$3:$D$6000,0)),"")</f>
        <v/>
      </c>
      <c r="C2437">
        <f>IFERROR(LARGE(Segmen!$D$3:$D$6000,A2437),"")</f>
        <v/>
      </c>
    </row>
    <row r="2438">
      <c r="A2438" t="n">
        <v>2437</v>
      </c>
      <c r="B2438">
        <f>IFERROR(INDEX(Segmen!$A$3:$A$6000,MATCH(C2438,Segmen!$D$3:$D$6000,0)),"")</f>
        <v/>
      </c>
      <c r="C2438">
        <f>IFERROR(LARGE(Segmen!$D$3:$D$6000,A2438),"")</f>
        <v/>
      </c>
    </row>
    <row r="2439">
      <c r="A2439" t="n">
        <v>2438</v>
      </c>
      <c r="B2439">
        <f>IFERROR(INDEX(Segmen!$A$3:$A$6000,MATCH(C2439,Segmen!$D$3:$D$6000,0)),"")</f>
        <v/>
      </c>
      <c r="C2439">
        <f>IFERROR(LARGE(Segmen!$D$3:$D$6000,A2439),"")</f>
        <v/>
      </c>
    </row>
    <row r="2440">
      <c r="A2440" t="n">
        <v>2439</v>
      </c>
      <c r="B2440">
        <f>IFERROR(INDEX(Segmen!$A$3:$A$6000,MATCH(C2440,Segmen!$D$3:$D$6000,0)),"")</f>
        <v/>
      </c>
      <c r="C2440">
        <f>IFERROR(LARGE(Segmen!$D$3:$D$6000,A2440),"")</f>
        <v/>
      </c>
    </row>
    <row r="2441">
      <c r="A2441" t="n">
        <v>2440</v>
      </c>
      <c r="B2441">
        <f>IFERROR(INDEX(Segmen!$A$3:$A$6000,MATCH(C2441,Segmen!$D$3:$D$6000,0)),"")</f>
        <v/>
      </c>
      <c r="C2441">
        <f>IFERROR(LARGE(Segmen!$D$3:$D$6000,A2441),"")</f>
        <v/>
      </c>
    </row>
    <row r="2442">
      <c r="A2442" t="n">
        <v>2441</v>
      </c>
      <c r="B2442">
        <f>IFERROR(INDEX(Segmen!$A$3:$A$6000,MATCH(C2442,Segmen!$D$3:$D$6000,0)),"")</f>
        <v/>
      </c>
      <c r="C2442">
        <f>IFERROR(LARGE(Segmen!$D$3:$D$6000,A2442),"")</f>
        <v/>
      </c>
    </row>
    <row r="2443">
      <c r="A2443" t="n">
        <v>2442</v>
      </c>
      <c r="B2443">
        <f>IFERROR(INDEX(Segmen!$A$3:$A$6000,MATCH(C2443,Segmen!$D$3:$D$6000,0)),"")</f>
        <v/>
      </c>
      <c r="C2443">
        <f>IFERROR(LARGE(Segmen!$D$3:$D$6000,A2443),"")</f>
        <v/>
      </c>
    </row>
    <row r="2444">
      <c r="A2444" t="n">
        <v>2443</v>
      </c>
      <c r="B2444">
        <f>IFERROR(INDEX(Segmen!$A$3:$A$6000,MATCH(C2444,Segmen!$D$3:$D$6000,0)),"")</f>
        <v/>
      </c>
      <c r="C2444">
        <f>IFERROR(LARGE(Segmen!$D$3:$D$6000,A2444),"")</f>
        <v/>
      </c>
    </row>
    <row r="2445">
      <c r="A2445" t="n">
        <v>2444</v>
      </c>
      <c r="B2445">
        <f>IFERROR(INDEX(Segmen!$A$3:$A$6000,MATCH(C2445,Segmen!$D$3:$D$6000,0)),"")</f>
        <v/>
      </c>
      <c r="C2445">
        <f>IFERROR(LARGE(Segmen!$D$3:$D$6000,A2445),"")</f>
        <v/>
      </c>
    </row>
    <row r="2446">
      <c r="A2446" t="n">
        <v>2445</v>
      </c>
      <c r="B2446">
        <f>IFERROR(INDEX(Segmen!$A$3:$A$6000,MATCH(C2446,Segmen!$D$3:$D$6000,0)),"")</f>
        <v/>
      </c>
      <c r="C2446">
        <f>IFERROR(LARGE(Segmen!$D$3:$D$6000,A2446),"")</f>
        <v/>
      </c>
    </row>
    <row r="2447">
      <c r="A2447" t="n">
        <v>2446</v>
      </c>
      <c r="B2447">
        <f>IFERROR(INDEX(Segmen!$A$3:$A$6000,MATCH(C2447,Segmen!$D$3:$D$6000,0)),"")</f>
        <v/>
      </c>
      <c r="C2447">
        <f>IFERROR(LARGE(Segmen!$D$3:$D$6000,A2447),"")</f>
        <v/>
      </c>
    </row>
    <row r="2448">
      <c r="A2448" t="n">
        <v>2447</v>
      </c>
      <c r="B2448">
        <f>IFERROR(INDEX(Segmen!$A$3:$A$6000,MATCH(C2448,Segmen!$D$3:$D$6000,0)),"")</f>
        <v/>
      </c>
      <c r="C2448">
        <f>IFERROR(LARGE(Segmen!$D$3:$D$6000,A2448),"")</f>
        <v/>
      </c>
    </row>
    <row r="2449">
      <c r="A2449" t="n">
        <v>2448</v>
      </c>
      <c r="B2449">
        <f>IFERROR(INDEX(Segmen!$A$3:$A$6000,MATCH(C2449,Segmen!$D$3:$D$6000,0)),"")</f>
        <v/>
      </c>
      <c r="C2449">
        <f>IFERROR(LARGE(Segmen!$D$3:$D$6000,A2449),"")</f>
        <v/>
      </c>
    </row>
    <row r="2450">
      <c r="A2450" t="n">
        <v>2449</v>
      </c>
      <c r="B2450">
        <f>IFERROR(INDEX(Segmen!$A$3:$A$6000,MATCH(C2450,Segmen!$D$3:$D$6000,0)),"")</f>
        <v/>
      </c>
      <c r="C2450">
        <f>IFERROR(LARGE(Segmen!$D$3:$D$6000,A2450),"")</f>
        <v/>
      </c>
    </row>
    <row r="2451">
      <c r="A2451" t="n">
        <v>2450</v>
      </c>
      <c r="B2451">
        <f>IFERROR(INDEX(Segmen!$A$3:$A$6000,MATCH(C2451,Segmen!$D$3:$D$6000,0)),"")</f>
        <v/>
      </c>
      <c r="C2451">
        <f>IFERROR(LARGE(Segmen!$D$3:$D$6000,A2451),"")</f>
        <v/>
      </c>
    </row>
    <row r="2452">
      <c r="A2452" t="n">
        <v>2451</v>
      </c>
      <c r="B2452">
        <f>IFERROR(INDEX(Segmen!$A$3:$A$6000,MATCH(C2452,Segmen!$D$3:$D$6000,0)),"")</f>
        <v/>
      </c>
      <c r="C2452">
        <f>IFERROR(LARGE(Segmen!$D$3:$D$6000,A2452),"")</f>
        <v/>
      </c>
    </row>
    <row r="2453">
      <c r="A2453" t="n">
        <v>2452</v>
      </c>
      <c r="B2453">
        <f>IFERROR(INDEX(Segmen!$A$3:$A$6000,MATCH(C2453,Segmen!$D$3:$D$6000,0)),"")</f>
        <v/>
      </c>
      <c r="C2453">
        <f>IFERROR(LARGE(Segmen!$D$3:$D$6000,A2453),"")</f>
        <v/>
      </c>
    </row>
    <row r="2454">
      <c r="A2454" t="n">
        <v>2453</v>
      </c>
      <c r="B2454">
        <f>IFERROR(INDEX(Segmen!$A$3:$A$6000,MATCH(C2454,Segmen!$D$3:$D$6000,0)),"")</f>
        <v/>
      </c>
      <c r="C2454">
        <f>IFERROR(LARGE(Segmen!$D$3:$D$6000,A2454),"")</f>
        <v/>
      </c>
    </row>
    <row r="2455">
      <c r="A2455" t="n">
        <v>2454</v>
      </c>
      <c r="B2455">
        <f>IFERROR(INDEX(Segmen!$A$3:$A$6000,MATCH(C2455,Segmen!$D$3:$D$6000,0)),"")</f>
        <v/>
      </c>
      <c r="C2455">
        <f>IFERROR(LARGE(Segmen!$D$3:$D$6000,A2455),"")</f>
        <v/>
      </c>
    </row>
    <row r="2456">
      <c r="A2456" t="n">
        <v>2455</v>
      </c>
      <c r="B2456">
        <f>IFERROR(INDEX(Segmen!$A$3:$A$6000,MATCH(C2456,Segmen!$D$3:$D$6000,0)),"")</f>
        <v/>
      </c>
      <c r="C2456">
        <f>IFERROR(LARGE(Segmen!$D$3:$D$6000,A2456),"")</f>
        <v/>
      </c>
    </row>
    <row r="2457">
      <c r="A2457" t="n">
        <v>2456</v>
      </c>
      <c r="B2457">
        <f>IFERROR(INDEX(Segmen!$A$3:$A$6000,MATCH(C2457,Segmen!$D$3:$D$6000,0)),"")</f>
        <v/>
      </c>
      <c r="C2457">
        <f>IFERROR(LARGE(Segmen!$D$3:$D$6000,A2457),"")</f>
        <v/>
      </c>
    </row>
    <row r="2458">
      <c r="A2458" t="n">
        <v>2457</v>
      </c>
      <c r="B2458">
        <f>IFERROR(INDEX(Segmen!$A$3:$A$6000,MATCH(C2458,Segmen!$D$3:$D$6000,0)),"")</f>
        <v/>
      </c>
      <c r="C2458">
        <f>IFERROR(LARGE(Segmen!$D$3:$D$6000,A2458),"")</f>
        <v/>
      </c>
    </row>
    <row r="2459">
      <c r="A2459" t="n">
        <v>2458</v>
      </c>
      <c r="B2459">
        <f>IFERROR(INDEX(Segmen!$A$3:$A$6000,MATCH(C2459,Segmen!$D$3:$D$6000,0)),"")</f>
        <v/>
      </c>
      <c r="C2459">
        <f>IFERROR(LARGE(Segmen!$D$3:$D$6000,A2459),"")</f>
        <v/>
      </c>
    </row>
    <row r="2460">
      <c r="A2460" t="n">
        <v>2459</v>
      </c>
      <c r="B2460">
        <f>IFERROR(INDEX(Segmen!$A$3:$A$6000,MATCH(C2460,Segmen!$D$3:$D$6000,0)),"")</f>
        <v/>
      </c>
      <c r="C2460">
        <f>IFERROR(LARGE(Segmen!$D$3:$D$6000,A2460),"")</f>
        <v/>
      </c>
    </row>
    <row r="2461">
      <c r="A2461" t="n">
        <v>2460</v>
      </c>
      <c r="B2461">
        <f>IFERROR(INDEX(Segmen!$A$3:$A$6000,MATCH(C2461,Segmen!$D$3:$D$6000,0)),"")</f>
        <v/>
      </c>
      <c r="C2461">
        <f>IFERROR(LARGE(Segmen!$D$3:$D$6000,A2461),"")</f>
        <v/>
      </c>
    </row>
    <row r="2462">
      <c r="A2462" t="n">
        <v>2461</v>
      </c>
      <c r="B2462">
        <f>IFERROR(INDEX(Segmen!$A$3:$A$6000,MATCH(C2462,Segmen!$D$3:$D$6000,0)),"")</f>
        <v/>
      </c>
      <c r="C2462">
        <f>IFERROR(LARGE(Segmen!$D$3:$D$6000,A2462),"")</f>
        <v/>
      </c>
    </row>
    <row r="2463">
      <c r="A2463" t="n">
        <v>2462</v>
      </c>
      <c r="B2463">
        <f>IFERROR(INDEX(Segmen!$A$3:$A$6000,MATCH(C2463,Segmen!$D$3:$D$6000,0)),"")</f>
        <v/>
      </c>
      <c r="C2463">
        <f>IFERROR(LARGE(Segmen!$D$3:$D$6000,A2463),"")</f>
        <v/>
      </c>
    </row>
    <row r="2464">
      <c r="A2464" t="n">
        <v>2463</v>
      </c>
      <c r="B2464">
        <f>IFERROR(INDEX(Segmen!$A$3:$A$6000,MATCH(C2464,Segmen!$D$3:$D$6000,0)),"")</f>
        <v/>
      </c>
      <c r="C2464">
        <f>IFERROR(LARGE(Segmen!$D$3:$D$6000,A2464),"")</f>
        <v/>
      </c>
    </row>
    <row r="2465">
      <c r="A2465" t="n">
        <v>2464</v>
      </c>
      <c r="B2465">
        <f>IFERROR(INDEX(Segmen!$A$3:$A$6000,MATCH(C2465,Segmen!$D$3:$D$6000,0)),"")</f>
        <v/>
      </c>
      <c r="C2465">
        <f>IFERROR(LARGE(Segmen!$D$3:$D$6000,A2465),"")</f>
        <v/>
      </c>
    </row>
    <row r="2466">
      <c r="A2466" t="n">
        <v>2465</v>
      </c>
      <c r="B2466">
        <f>IFERROR(INDEX(Segmen!$A$3:$A$6000,MATCH(C2466,Segmen!$D$3:$D$6000,0)),"")</f>
        <v/>
      </c>
      <c r="C2466">
        <f>IFERROR(LARGE(Segmen!$D$3:$D$6000,A2466),"")</f>
        <v/>
      </c>
    </row>
    <row r="2467">
      <c r="A2467" t="n">
        <v>2466</v>
      </c>
      <c r="B2467">
        <f>IFERROR(INDEX(Segmen!$A$3:$A$6000,MATCH(C2467,Segmen!$D$3:$D$6000,0)),"")</f>
        <v/>
      </c>
      <c r="C2467">
        <f>IFERROR(LARGE(Segmen!$D$3:$D$6000,A2467),"")</f>
        <v/>
      </c>
    </row>
    <row r="2468">
      <c r="A2468" t="n">
        <v>2467</v>
      </c>
      <c r="B2468">
        <f>IFERROR(INDEX(Segmen!$A$3:$A$6000,MATCH(C2468,Segmen!$D$3:$D$6000,0)),"")</f>
        <v/>
      </c>
      <c r="C2468">
        <f>IFERROR(LARGE(Segmen!$D$3:$D$6000,A2468),"")</f>
        <v/>
      </c>
    </row>
    <row r="2469">
      <c r="A2469" t="n">
        <v>2468</v>
      </c>
      <c r="B2469">
        <f>IFERROR(INDEX(Segmen!$A$3:$A$6000,MATCH(C2469,Segmen!$D$3:$D$6000,0)),"")</f>
        <v/>
      </c>
      <c r="C2469">
        <f>IFERROR(LARGE(Segmen!$D$3:$D$6000,A2469),"")</f>
        <v/>
      </c>
    </row>
    <row r="2470">
      <c r="A2470" t="n">
        <v>2469</v>
      </c>
      <c r="B2470">
        <f>IFERROR(INDEX(Segmen!$A$3:$A$6000,MATCH(C2470,Segmen!$D$3:$D$6000,0)),"")</f>
        <v/>
      </c>
      <c r="C2470">
        <f>IFERROR(LARGE(Segmen!$D$3:$D$6000,A2470),"")</f>
        <v/>
      </c>
    </row>
    <row r="2471">
      <c r="A2471" t="n">
        <v>2470</v>
      </c>
      <c r="B2471">
        <f>IFERROR(INDEX(Segmen!$A$3:$A$6000,MATCH(C2471,Segmen!$D$3:$D$6000,0)),"")</f>
        <v/>
      </c>
      <c r="C2471">
        <f>IFERROR(LARGE(Segmen!$D$3:$D$6000,A2471),"")</f>
        <v/>
      </c>
    </row>
    <row r="2472">
      <c r="A2472" t="n">
        <v>2471</v>
      </c>
      <c r="B2472">
        <f>IFERROR(INDEX(Segmen!$A$3:$A$6000,MATCH(C2472,Segmen!$D$3:$D$6000,0)),"")</f>
        <v/>
      </c>
      <c r="C2472">
        <f>IFERROR(LARGE(Segmen!$D$3:$D$6000,A2472),"")</f>
        <v/>
      </c>
    </row>
    <row r="2473">
      <c r="A2473" t="n">
        <v>2472</v>
      </c>
      <c r="B2473">
        <f>IFERROR(INDEX(Segmen!$A$3:$A$6000,MATCH(C2473,Segmen!$D$3:$D$6000,0)),"")</f>
        <v/>
      </c>
      <c r="C2473">
        <f>IFERROR(LARGE(Segmen!$D$3:$D$6000,A2473),"")</f>
        <v/>
      </c>
    </row>
    <row r="2474">
      <c r="A2474" t="n">
        <v>2473</v>
      </c>
      <c r="B2474">
        <f>IFERROR(INDEX(Segmen!$A$3:$A$6000,MATCH(C2474,Segmen!$D$3:$D$6000,0)),"")</f>
        <v/>
      </c>
      <c r="C2474">
        <f>IFERROR(LARGE(Segmen!$D$3:$D$6000,A2474),"")</f>
        <v/>
      </c>
    </row>
    <row r="2475">
      <c r="A2475" t="n">
        <v>2474</v>
      </c>
      <c r="B2475">
        <f>IFERROR(INDEX(Segmen!$A$3:$A$6000,MATCH(C2475,Segmen!$D$3:$D$6000,0)),"")</f>
        <v/>
      </c>
      <c r="C2475">
        <f>IFERROR(LARGE(Segmen!$D$3:$D$6000,A2475),"")</f>
        <v/>
      </c>
    </row>
    <row r="2476">
      <c r="A2476" t="n">
        <v>2475</v>
      </c>
      <c r="B2476">
        <f>IFERROR(INDEX(Segmen!$A$3:$A$6000,MATCH(C2476,Segmen!$D$3:$D$6000,0)),"")</f>
        <v/>
      </c>
      <c r="C2476">
        <f>IFERROR(LARGE(Segmen!$D$3:$D$6000,A2476),"")</f>
        <v/>
      </c>
    </row>
    <row r="2477">
      <c r="A2477" t="n">
        <v>2476</v>
      </c>
      <c r="B2477">
        <f>IFERROR(INDEX(Segmen!$A$3:$A$6000,MATCH(C2477,Segmen!$D$3:$D$6000,0)),"")</f>
        <v/>
      </c>
      <c r="C2477">
        <f>IFERROR(LARGE(Segmen!$D$3:$D$6000,A2477),"")</f>
        <v/>
      </c>
    </row>
    <row r="2478">
      <c r="A2478" t="n">
        <v>2477</v>
      </c>
      <c r="B2478">
        <f>IFERROR(INDEX(Segmen!$A$3:$A$6000,MATCH(C2478,Segmen!$D$3:$D$6000,0)),"")</f>
        <v/>
      </c>
      <c r="C2478">
        <f>IFERROR(LARGE(Segmen!$D$3:$D$6000,A2478),"")</f>
        <v/>
      </c>
    </row>
    <row r="2479">
      <c r="A2479" t="n">
        <v>2478</v>
      </c>
      <c r="B2479">
        <f>IFERROR(INDEX(Segmen!$A$3:$A$6000,MATCH(C2479,Segmen!$D$3:$D$6000,0)),"")</f>
        <v/>
      </c>
      <c r="C2479">
        <f>IFERROR(LARGE(Segmen!$D$3:$D$6000,A2479),"")</f>
        <v/>
      </c>
    </row>
    <row r="2480">
      <c r="A2480" t="n">
        <v>2479</v>
      </c>
      <c r="B2480">
        <f>IFERROR(INDEX(Segmen!$A$3:$A$6000,MATCH(C2480,Segmen!$D$3:$D$6000,0)),"")</f>
        <v/>
      </c>
      <c r="C2480">
        <f>IFERROR(LARGE(Segmen!$D$3:$D$6000,A2480),"")</f>
        <v/>
      </c>
    </row>
    <row r="2481">
      <c r="A2481" t="n">
        <v>2480</v>
      </c>
      <c r="B2481">
        <f>IFERROR(INDEX(Segmen!$A$3:$A$6000,MATCH(C2481,Segmen!$D$3:$D$6000,0)),"")</f>
        <v/>
      </c>
      <c r="C2481">
        <f>IFERROR(LARGE(Segmen!$D$3:$D$6000,A2481),"")</f>
        <v/>
      </c>
    </row>
    <row r="2482">
      <c r="A2482" t="n">
        <v>2481</v>
      </c>
      <c r="B2482">
        <f>IFERROR(INDEX(Segmen!$A$3:$A$6000,MATCH(C2482,Segmen!$D$3:$D$6000,0)),"")</f>
        <v/>
      </c>
      <c r="C2482">
        <f>IFERROR(LARGE(Segmen!$D$3:$D$6000,A2482),"")</f>
        <v/>
      </c>
    </row>
    <row r="2483">
      <c r="A2483" t="n">
        <v>2482</v>
      </c>
      <c r="B2483">
        <f>IFERROR(INDEX(Segmen!$A$3:$A$6000,MATCH(C2483,Segmen!$D$3:$D$6000,0)),"")</f>
        <v/>
      </c>
      <c r="C2483">
        <f>IFERROR(LARGE(Segmen!$D$3:$D$6000,A2483),"")</f>
        <v/>
      </c>
    </row>
    <row r="2484">
      <c r="A2484" t="n">
        <v>2483</v>
      </c>
      <c r="B2484">
        <f>IFERROR(INDEX(Segmen!$A$3:$A$6000,MATCH(C2484,Segmen!$D$3:$D$6000,0)),"")</f>
        <v/>
      </c>
      <c r="C2484">
        <f>IFERROR(LARGE(Segmen!$D$3:$D$6000,A2484),"")</f>
        <v/>
      </c>
    </row>
    <row r="2485">
      <c r="A2485" t="n">
        <v>2484</v>
      </c>
      <c r="B2485">
        <f>IFERROR(INDEX(Segmen!$A$3:$A$6000,MATCH(C2485,Segmen!$D$3:$D$6000,0)),"")</f>
        <v/>
      </c>
      <c r="C2485">
        <f>IFERROR(LARGE(Segmen!$D$3:$D$6000,A2485),"")</f>
        <v/>
      </c>
    </row>
    <row r="2486">
      <c r="A2486" t="n">
        <v>2485</v>
      </c>
      <c r="B2486">
        <f>IFERROR(INDEX(Segmen!$A$3:$A$6000,MATCH(C2486,Segmen!$D$3:$D$6000,0)),"")</f>
        <v/>
      </c>
      <c r="C2486">
        <f>IFERROR(LARGE(Segmen!$D$3:$D$6000,A2486),"")</f>
        <v/>
      </c>
    </row>
    <row r="2487">
      <c r="A2487" t="n">
        <v>2486</v>
      </c>
      <c r="B2487">
        <f>IFERROR(INDEX(Segmen!$A$3:$A$6000,MATCH(C2487,Segmen!$D$3:$D$6000,0)),"")</f>
        <v/>
      </c>
      <c r="C2487">
        <f>IFERROR(LARGE(Segmen!$D$3:$D$6000,A2487),"")</f>
        <v/>
      </c>
    </row>
    <row r="2488">
      <c r="A2488" t="n">
        <v>2487</v>
      </c>
      <c r="B2488">
        <f>IFERROR(INDEX(Segmen!$A$3:$A$6000,MATCH(C2488,Segmen!$D$3:$D$6000,0)),"")</f>
        <v/>
      </c>
      <c r="C2488">
        <f>IFERROR(LARGE(Segmen!$D$3:$D$6000,A2488),"")</f>
        <v/>
      </c>
    </row>
    <row r="2489">
      <c r="A2489" t="n">
        <v>2488</v>
      </c>
      <c r="B2489">
        <f>IFERROR(INDEX(Segmen!$A$3:$A$6000,MATCH(C2489,Segmen!$D$3:$D$6000,0)),"")</f>
        <v/>
      </c>
      <c r="C2489">
        <f>IFERROR(LARGE(Segmen!$D$3:$D$6000,A2489),"")</f>
        <v/>
      </c>
    </row>
    <row r="2490">
      <c r="A2490" t="n">
        <v>2489</v>
      </c>
      <c r="B2490">
        <f>IFERROR(INDEX(Segmen!$A$3:$A$6000,MATCH(C2490,Segmen!$D$3:$D$6000,0)),"")</f>
        <v/>
      </c>
      <c r="C2490">
        <f>IFERROR(LARGE(Segmen!$D$3:$D$6000,A2490),"")</f>
        <v/>
      </c>
    </row>
    <row r="2491">
      <c r="A2491" t="n">
        <v>2490</v>
      </c>
      <c r="B2491">
        <f>IFERROR(INDEX(Segmen!$A$3:$A$6000,MATCH(C2491,Segmen!$D$3:$D$6000,0)),"")</f>
        <v/>
      </c>
      <c r="C2491">
        <f>IFERROR(LARGE(Segmen!$D$3:$D$6000,A2491),"")</f>
        <v/>
      </c>
    </row>
    <row r="2492">
      <c r="A2492" t="n">
        <v>2491</v>
      </c>
      <c r="B2492">
        <f>IFERROR(INDEX(Segmen!$A$3:$A$6000,MATCH(C2492,Segmen!$D$3:$D$6000,0)),"")</f>
        <v/>
      </c>
      <c r="C2492">
        <f>IFERROR(LARGE(Segmen!$D$3:$D$6000,A2492),"")</f>
        <v/>
      </c>
    </row>
    <row r="2493">
      <c r="A2493" t="n">
        <v>2492</v>
      </c>
      <c r="B2493">
        <f>IFERROR(INDEX(Segmen!$A$3:$A$6000,MATCH(C2493,Segmen!$D$3:$D$6000,0)),"")</f>
        <v/>
      </c>
      <c r="C2493">
        <f>IFERROR(LARGE(Segmen!$D$3:$D$6000,A2493),"")</f>
        <v/>
      </c>
    </row>
    <row r="2494">
      <c r="A2494" t="n">
        <v>2493</v>
      </c>
      <c r="B2494">
        <f>IFERROR(INDEX(Segmen!$A$3:$A$6000,MATCH(C2494,Segmen!$D$3:$D$6000,0)),"")</f>
        <v/>
      </c>
      <c r="C2494">
        <f>IFERROR(LARGE(Segmen!$D$3:$D$6000,A2494),"")</f>
        <v/>
      </c>
    </row>
    <row r="2495">
      <c r="A2495" t="n">
        <v>2494</v>
      </c>
      <c r="B2495">
        <f>IFERROR(INDEX(Segmen!$A$3:$A$6000,MATCH(C2495,Segmen!$D$3:$D$6000,0)),"")</f>
        <v/>
      </c>
      <c r="C2495">
        <f>IFERROR(LARGE(Segmen!$D$3:$D$6000,A2495),"")</f>
        <v/>
      </c>
    </row>
    <row r="2496">
      <c r="A2496" t="n">
        <v>2495</v>
      </c>
      <c r="B2496">
        <f>IFERROR(INDEX(Segmen!$A$3:$A$6000,MATCH(C2496,Segmen!$D$3:$D$6000,0)),"")</f>
        <v/>
      </c>
      <c r="C2496">
        <f>IFERROR(LARGE(Segmen!$D$3:$D$6000,A2496),"")</f>
        <v/>
      </c>
    </row>
    <row r="2497">
      <c r="A2497" t="n">
        <v>2496</v>
      </c>
      <c r="B2497">
        <f>IFERROR(INDEX(Segmen!$A$3:$A$6000,MATCH(C2497,Segmen!$D$3:$D$6000,0)),"")</f>
        <v/>
      </c>
      <c r="C2497">
        <f>IFERROR(LARGE(Segmen!$D$3:$D$6000,A2497),"")</f>
        <v/>
      </c>
    </row>
    <row r="2498">
      <c r="A2498" t="n">
        <v>2497</v>
      </c>
      <c r="B2498">
        <f>IFERROR(INDEX(Segmen!$A$3:$A$6000,MATCH(C2498,Segmen!$D$3:$D$6000,0)),"")</f>
        <v/>
      </c>
      <c r="C2498">
        <f>IFERROR(LARGE(Segmen!$D$3:$D$6000,A2498),"")</f>
        <v/>
      </c>
    </row>
    <row r="2499">
      <c r="A2499" t="n">
        <v>2498</v>
      </c>
      <c r="B2499">
        <f>IFERROR(INDEX(Segmen!$A$3:$A$6000,MATCH(C2499,Segmen!$D$3:$D$6000,0)),"")</f>
        <v/>
      </c>
      <c r="C2499">
        <f>IFERROR(LARGE(Segmen!$D$3:$D$6000,A2499),"")</f>
        <v/>
      </c>
    </row>
    <row r="2500">
      <c r="A2500" t="n">
        <v>2499</v>
      </c>
      <c r="B2500">
        <f>IFERROR(INDEX(Segmen!$A$3:$A$6000,MATCH(C2500,Segmen!$D$3:$D$6000,0)),"")</f>
        <v/>
      </c>
      <c r="C2500">
        <f>IFERROR(LARGE(Segmen!$D$3:$D$6000,A2500),"")</f>
        <v/>
      </c>
    </row>
    <row r="2501">
      <c r="A2501" t="n">
        <v>2500</v>
      </c>
      <c r="B2501">
        <f>IFERROR(INDEX(Segmen!$A$3:$A$6000,MATCH(C2501,Segmen!$D$3:$D$6000,0)),"")</f>
        <v/>
      </c>
      <c r="C2501">
        <f>IFERROR(LARGE(Segmen!$D$3:$D$6000,A2501),"")</f>
        <v/>
      </c>
    </row>
    <row r="2502">
      <c r="A2502" t="n">
        <v>2501</v>
      </c>
      <c r="B2502">
        <f>IFERROR(INDEX(Segmen!$A$3:$A$6000,MATCH(C2502,Segmen!$D$3:$D$6000,0)),"")</f>
        <v/>
      </c>
      <c r="C2502">
        <f>IFERROR(LARGE(Segmen!$D$3:$D$6000,A2502),"")</f>
        <v/>
      </c>
    </row>
    <row r="2503">
      <c r="A2503" t="n">
        <v>2502</v>
      </c>
      <c r="B2503">
        <f>IFERROR(INDEX(Segmen!$A$3:$A$6000,MATCH(C2503,Segmen!$D$3:$D$6000,0)),"")</f>
        <v/>
      </c>
      <c r="C2503">
        <f>IFERROR(LARGE(Segmen!$D$3:$D$6000,A2503),"")</f>
        <v/>
      </c>
    </row>
    <row r="2504">
      <c r="A2504" t="n">
        <v>2503</v>
      </c>
      <c r="B2504">
        <f>IFERROR(INDEX(Segmen!$A$3:$A$6000,MATCH(C2504,Segmen!$D$3:$D$6000,0)),"")</f>
        <v/>
      </c>
      <c r="C2504">
        <f>IFERROR(LARGE(Segmen!$D$3:$D$6000,A2504),"")</f>
        <v/>
      </c>
    </row>
    <row r="2505">
      <c r="A2505" t="n">
        <v>2504</v>
      </c>
      <c r="B2505">
        <f>IFERROR(INDEX(Segmen!$A$3:$A$6000,MATCH(C2505,Segmen!$D$3:$D$6000,0)),"")</f>
        <v/>
      </c>
      <c r="C2505">
        <f>IFERROR(LARGE(Segmen!$D$3:$D$6000,A2505),"")</f>
        <v/>
      </c>
    </row>
    <row r="2506">
      <c r="A2506" t="n">
        <v>2505</v>
      </c>
      <c r="B2506">
        <f>IFERROR(INDEX(Segmen!$A$3:$A$6000,MATCH(C2506,Segmen!$D$3:$D$6000,0)),"")</f>
        <v/>
      </c>
      <c r="C2506">
        <f>IFERROR(LARGE(Segmen!$D$3:$D$6000,A2506),"")</f>
        <v/>
      </c>
    </row>
    <row r="2507">
      <c r="A2507" t="n">
        <v>2506</v>
      </c>
      <c r="B2507">
        <f>IFERROR(INDEX(Segmen!$A$3:$A$6000,MATCH(C2507,Segmen!$D$3:$D$6000,0)),"")</f>
        <v/>
      </c>
      <c r="C2507">
        <f>IFERROR(LARGE(Segmen!$D$3:$D$6000,A2507),"")</f>
        <v/>
      </c>
    </row>
    <row r="2508">
      <c r="A2508" t="n">
        <v>2507</v>
      </c>
      <c r="B2508">
        <f>IFERROR(INDEX(Segmen!$A$3:$A$6000,MATCH(C2508,Segmen!$D$3:$D$6000,0)),"")</f>
        <v/>
      </c>
      <c r="C2508">
        <f>IFERROR(LARGE(Segmen!$D$3:$D$6000,A2508),"")</f>
        <v/>
      </c>
    </row>
    <row r="2509">
      <c r="A2509" t="n">
        <v>2508</v>
      </c>
      <c r="B2509">
        <f>IFERROR(INDEX(Segmen!$A$3:$A$6000,MATCH(C2509,Segmen!$D$3:$D$6000,0)),"")</f>
        <v/>
      </c>
      <c r="C2509">
        <f>IFERROR(LARGE(Segmen!$D$3:$D$6000,A2509),"")</f>
        <v/>
      </c>
    </row>
    <row r="2510">
      <c r="A2510" t="n">
        <v>2509</v>
      </c>
      <c r="B2510">
        <f>IFERROR(INDEX(Segmen!$A$3:$A$6000,MATCH(C2510,Segmen!$D$3:$D$6000,0)),"")</f>
        <v/>
      </c>
      <c r="C2510">
        <f>IFERROR(LARGE(Segmen!$D$3:$D$6000,A2510),"")</f>
        <v/>
      </c>
    </row>
    <row r="2511">
      <c r="A2511" t="n">
        <v>2510</v>
      </c>
      <c r="B2511">
        <f>IFERROR(INDEX(Segmen!$A$3:$A$6000,MATCH(C2511,Segmen!$D$3:$D$6000,0)),"")</f>
        <v/>
      </c>
      <c r="C2511">
        <f>IFERROR(LARGE(Segmen!$D$3:$D$6000,A2511),"")</f>
        <v/>
      </c>
    </row>
    <row r="2512">
      <c r="A2512" t="n">
        <v>2511</v>
      </c>
      <c r="B2512">
        <f>IFERROR(INDEX(Segmen!$A$3:$A$6000,MATCH(C2512,Segmen!$D$3:$D$6000,0)),"")</f>
        <v/>
      </c>
      <c r="C2512">
        <f>IFERROR(LARGE(Segmen!$D$3:$D$6000,A2512),"")</f>
        <v/>
      </c>
    </row>
    <row r="2513">
      <c r="A2513" t="n">
        <v>2512</v>
      </c>
      <c r="B2513">
        <f>IFERROR(INDEX(Segmen!$A$3:$A$6000,MATCH(C2513,Segmen!$D$3:$D$6000,0)),"")</f>
        <v/>
      </c>
      <c r="C2513">
        <f>IFERROR(LARGE(Segmen!$D$3:$D$6000,A2513),"")</f>
        <v/>
      </c>
    </row>
    <row r="2514">
      <c r="A2514" t="n">
        <v>2513</v>
      </c>
      <c r="B2514">
        <f>IFERROR(INDEX(Segmen!$A$3:$A$6000,MATCH(C2514,Segmen!$D$3:$D$6000,0)),"")</f>
        <v/>
      </c>
      <c r="C2514">
        <f>IFERROR(LARGE(Segmen!$D$3:$D$6000,A2514),"")</f>
        <v/>
      </c>
    </row>
    <row r="2515">
      <c r="A2515" t="n">
        <v>2514</v>
      </c>
      <c r="B2515">
        <f>IFERROR(INDEX(Segmen!$A$3:$A$6000,MATCH(C2515,Segmen!$D$3:$D$6000,0)),"")</f>
        <v/>
      </c>
      <c r="C2515">
        <f>IFERROR(LARGE(Segmen!$D$3:$D$6000,A2515),"")</f>
        <v/>
      </c>
    </row>
    <row r="2516">
      <c r="A2516" t="n">
        <v>2515</v>
      </c>
      <c r="B2516">
        <f>IFERROR(INDEX(Segmen!$A$3:$A$6000,MATCH(C2516,Segmen!$D$3:$D$6000,0)),"")</f>
        <v/>
      </c>
      <c r="C2516">
        <f>IFERROR(LARGE(Segmen!$D$3:$D$6000,A2516),"")</f>
        <v/>
      </c>
    </row>
    <row r="2517">
      <c r="A2517" t="n">
        <v>2516</v>
      </c>
      <c r="B2517">
        <f>IFERROR(INDEX(Segmen!$A$3:$A$6000,MATCH(C2517,Segmen!$D$3:$D$6000,0)),"")</f>
        <v/>
      </c>
      <c r="C2517">
        <f>IFERROR(LARGE(Segmen!$D$3:$D$6000,A2517),"")</f>
        <v/>
      </c>
    </row>
    <row r="2518">
      <c r="A2518" t="n">
        <v>2517</v>
      </c>
      <c r="B2518">
        <f>IFERROR(INDEX(Segmen!$A$3:$A$6000,MATCH(C2518,Segmen!$D$3:$D$6000,0)),"")</f>
        <v/>
      </c>
      <c r="C2518">
        <f>IFERROR(LARGE(Segmen!$D$3:$D$6000,A2518),"")</f>
        <v/>
      </c>
    </row>
    <row r="2519">
      <c r="A2519" t="n">
        <v>2518</v>
      </c>
      <c r="B2519">
        <f>IFERROR(INDEX(Segmen!$A$3:$A$6000,MATCH(C2519,Segmen!$D$3:$D$6000,0)),"")</f>
        <v/>
      </c>
      <c r="C2519">
        <f>IFERROR(LARGE(Segmen!$D$3:$D$6000,A2519),"")</f>
        <v/>
      </c>
    </row>
    <row r="2520">
      <c r="A2520" t="n">
        <v>2519</v>
      </c>
      <c r="B2520">
        <f>IFERROR(INDEX(Segmen!$A$3:$A$6000,MATCH(C2520,Segmen!$D$3:$D$6000,0)),"")</f>
        <v/>
      </c>
      <c r="C2520">
        <f>IFERROR(LARGE(Segmen!$D$3:$D$6000,A2520),"")</f>
        <v/>
      </c>
    </row>
    <row r="2521">
      <c r="A2521" t="n">
        <v>2520</v>
      </c>
      <c r="B2521">
        <f>IFERROR(INDEX(Segmen!$A$3:$A$6000,MATCH(C2521,Segmen!$D$3:$D$6000,0)),"")</f>
        <v/>
      </c>
      <c r="C2521">
        <f>IFERROR(LARGE(Segmen!$D$3:$D$6000,A2521),"")</f>
        <v/>
      </c>
    </row>
    <row r="2522">
      <c r="A2522" t="n">
        <v>2521</v>
      </c>
      <c r="B2522">
        <f>IFERROR(INDEX(Segmen!$A$3:$A$6000,MATCH(C2522,Segmen!$D$3:$D$6000,0)),"")</f>
        <v/>
      </c>
      <c r="C2522">
        <f>IFERROR(LARGE(Segmen!$D$3:$D$6000,A2522),"")</f>
        <v/>
      </c>
    </row>
    <row r="2523">
      <c r="A2523" t="n">
        <v>2522</v>
      </c>
      <c r="B2523">
        <f>IFERROR(INDEX(Segmen!$A$3:$A$6000,MATCH(C2523,Segmen!$D$3:$D$6000,0)),"")</f>
        <v/>
      </c>
      <c r="C2523">
        <f>IFERROR(LARGE(Segmen!$D$3:$D$6000,A2523),"")</f>
        <v/>
      </c>
    </row>
    <row r="2524">
      <c r="A2524" t="n">
        <v>2523</v>
      </c>
      <c r="B2524">
        <f>IFERROR(INDEX(Segmen!$A$3:$A$6000,MATCH(C2524,Segmen!$D$3:$D$6000,0)),"")</f>
        <v/>
      </c>
      <c r="C2524">
        <f>IFERROR(LARGE(Segmen!$D$3:$D$6000,A2524),"")</f>
        <v/>
      </c>
    </row>
    <row r="2525">
      <c r="A2525" t="n">
        <v>2524</v>
      </c>
      <c r="B2525">
        <f>IFERROR(INDEX(Segmen!$A$3:$A$6000,MATCH(C2525,Segmen!$D$3:$D$6000,0)),"")</f>
        <v/>
      </c>
      <c r="C2525">
        <f>IFERROR(LARGE(Segmen!$D$3:$D$6000,A2525),"")</f>
        <v/>
      </c>
    </row>
    <row r="2526">
      <c r="A2526" t="n">
        <v>2525</v>
      </c>
      <c r="B2526">
        <f>IFERROR(INDEX(Segmen!$A$3:$A$6000,MATCH(C2526,Segmen!$D$3:$D$6000,0)),"")</f>
        <v/>
      </c>
      <c r="C2526">
        <f>IFERROR(LARGE(Segmen!$D$3:$D$6000,A2526),"")</f>
        <v/>
      </c>
    </row>
    <row r="2527">
      <c r="A2527" t="n">
        <v>2526</v>
      </c>
      <c r="B2527">
        <f>IFERROR(INDEX(Segmen!$A$3:$A$6000,MATCH(C2527,Segmen!$D$3:$D$6000,0)),"")</f>
        <v/>
      </c>
      <c r="C2527">
        <f>IFERROR(LARGE(Segmen!$D$3:$D$6000,A2527),"")</f>
        <v/>
      </c>
    </row>
    <row r="2528">
      <c r="A2528" t="n">
        <v>2527</v>
      </c>
      <c r="B2528">
        <f>IFERROR(INDEX(Segmen!$A$3:$A$6000,MATCH(C2528,Segmen!$D$3:$D$6000,0)),"")</f>
        <v/>
      </c>
      <c r="C2528">
        <f>IFERROR(LARGE(Segmen!$D$3:$D$6000,A2528),"")</f>
        <v/>
      </c>
    </row>
    <row r="2529">
      <c r="A2529" t="n">
        <v>2528</v>
      </c>
      <c r="B2529">
        <f>IFERROR(INDEX(Segmen!$A$3:$A$6000,MATCH(C2529,Segmen!$D$3:$D$6000,0)),"")</f>
        <v/>
      </c>
      <c r="C2529">
        <f>IFERROR(LARGE(Segmen!$D$3:$D$6000,A2529),"")</f>
        <v/>
      </c>
    </row>
    <row r="2530">
      <c r="A2530" t="n">
        <v>2529</v>
      </c>
      <c r="B2530">
        <f>IFERROR(INDEX(Segmen!$A$3:$A$6000,MATCH(C2530,Segmen!$D$3:$D$6000,0)),"")</f>
        <v/>
      </c>
      <c r="C2530">
        <f>IFERROR(LARGE(Segmen!$D$3:$D$6000,A2530),"")</f>
        <v/>
      </c>
    </row>
    <row r="2531">
      <c r="A2531" t="n">
        <v>2530</v>
      </c>
      <c r="B2531">
        <f>IFERROR(INDEX(Segmen!$A$3:$A$6000,MATCH(C2531,Segmen!$D$3:$D$6000,0)),"")</f>
        <v/>
      </c>
      <c r="C2531">
        <f>IFERROR(LARGE(Segmen!$D$3:$D$6000,A2531),"")</f>
        <v/>
      </c>
    </row>
    <row r="2532">
      <c r="A2532" t="n">
        <v>2531</v>
      </c>
      <c r="B2532">
        <f>IFERROR(INDEX(Segmen!$A$3:$A$6000,MATCH(C2532,Segmen!$D$3:$D$6000,0)),"")</f>
        <v/>
      </c>
      <c r="C2532">
        <f>IFERROR(LARGE(Segmen!$D$3:$D$6000,A2532),"")</f>
        <v/>
      </c>
    </row>
    <row r="2533">
      <c r="A2533" t="n">
        <v>2532</v>
      </c>
      <c r="B2533">
        <f>IFERROR(INDEX(Segmen!$A$3:$A$6000,MATCH(C2533,Segmen!$D$3:$D$6000,0)),"")</f>
        <v/>
      </c>
      <c r="C2533">
        <f>IFERROR(LARGE(Segmen!$D$3:$D$6000,A2533),"")</f>
        <v/>
      </c>
    </row>
    <row r="2534">
      <c r="A2534" t="n">
        <v>2533</v>
      </c>
      <c r="B2534">
        <f>IFERROR(INDEX(Segmen!$A$3:$A$6000,MATCH(C2534,Segmen!$D$3:$D$6000,0)),"")</f>
        <v/>
      </c>
      <c r="C2534">
        <f>IFERROR(LARGE(Segmen!$D$3:$D$6000,A2534),"")</f>
        <v/>
      </c>
    </row>
    <row r="2535">
      <c r="A2535" t="n">
        <v>2534</v>
      </c>
      <c r="B2535">
        <f>IFERROR(INDEX(Segmen!$A$3:$A$6000,MATCH(C2535,Segmen!$D$3:$D$6000,0)),"")</f>
        <v/>
      </c>
      <c r="C2535">
        <f>IFERROR(LARGE(Segmen!$D$3:$D$6000,A2535),"")</f>
        <v/>
      </c>
    </row>
    <row r="2536">
      <c r="A2536" t="n">
        <v>2535</v>
      </c>
      <c r="B2536">
        <f>IFERROR(INDEX(Segmen!$A$3:$A$6000,MATCH(C2536,Segmen!$D$3:$D$6000,0)),"")</f>
        <v/>
      </c>
      <c r="C2536">
        <f>IFERROR(LARGE(Segmen!$D$3:$D$6000,A2536),"")</f>
        <v/>
      </c>
    </row>
    <row r="2537">
      <c r="A2537" t="n">
        <v>2536</v>
      </c>
      <c r="B2537">
        <f>IFERROR(INDEX(Segmen!$A$3:$A$6000,MATCH(C2537,Segmen!$D$3:$D$6000,0)),"")</f>
        <v/>
      </c>
      <c r="C2537">
        <f>IFERROR(LARGE(Segmen!$D$3:$D$6000,A2537),"")</f>
        <v/>
      </c>
    </row>
    <row r="2538">
      <c r="A2538" t="n">
        <v>2537</v>
      </c>
      <c r="B2538">
        <f>IFERROR(INDEX(Segmen!$A$3:$A$6000,MATCH(C2538,Segmen!$D$3:$D$6000,0)),"")</f>
        <v/>
      </c>
      <c r="C2538">
        <f>IFERROR(LARGE(Segmen!$D$3:$D$6000,A2538),"")</f>
        <v/>
      </c>
    </row>
    <row r="2539">
      <c r="A2539" t="n">
        <v>2538</v>
      </c>
      <c r="B2539">
        <f>IFERROR(INDEX(Segmen!$A$3:$A$6000,MATCH(C2539,Segmen!$D$3:$D$6000,0)),"")</f>
        <v/>
      </c>
      <c r="C2539">
        <f>IFERROR(LARGE(Segmen!$D$3:$D$6000,A2539),"")</f>
        <v/>
      </c>
    </row>
    <row r="2540">
      <c r="A2540" t="n">
        <v>2539</v>
      </c>
      <c r="B2540">
        <f>IFERROR(INDEX(Segmen!$A$3:$A$6000,MATCH(C2540,Segmen!$D$3:$D$6000,0)),"")</f>
        <v/>
      </c>
      <c r="C2540">
        <f>IFERROR(LARGE(Segmen!$D$3:$D$6000,A2540),"")</f>
        <v/>
      </c>
    </row>
    <row r="2541">
      <c r="A2541" t="n">
        <v>2540</v>
      </c>
      <c r="B2541">
        <f>IFERROR(INDEX(Segmen!$A$3:$A$6000,MATCH(C2541,Segmen!$D$3:$D$6000,0)),"")</f>
        <v/>
      </c>
      <c r="C2541">
        <f>IFERROR(LARGE(Segmen!$D$3:$D$6000,A2541),"")</f>
        <v/>
      </c>
    </row>
    <row r="2542">
      <c r="A2542" t="n">
        <v>2541</v>
      </c>
      <c r="B2542">
        <f>IFERROR(INDEX(Segmen!$A$3:$A$6000,MATCH(C2542,Segmen!$D$3:$D$6000,0)),"")</f>
        <v/>
      </c>
      <c r="C2542">
        <f>IFERROR(LARGE(Segmen!$D$3:$D$6000,A2542),"")</f>
        <v/>
      </c>
    </row>
    <row r="2543">
      <c r="A2543" t="n">
        <v>2542</v>
      </c>
      <c r="B2543">
        <f>IFERROR(INDEX(Segmen!$A$3:$A$6000,MATCH(C2543,Segmen!$D$3:$D$6000,0)),"")</f>
        <v/>
      </c>
      <c r="C2543">
        <f>IFERROR(LARGE(Segmen!$D$3:$D$6000,A2543),"")</f>
        <v/>
      </c>
    </row>
    <row r="2544">
      <c r="A2544" t="n">
        <v>2543</v>
      </c>
      <c r="B2544">
        <f>IFERROR(INDEX(Segmen!$A$3:$A$6000,MATCH(C2544,Segmen!$D$3:$D$6000,0)),"")</f>
        <v/>
      </c>
      <c r="C2544">
        <f>IFERROR(LARGE(Segmen!$D$3:$D$6000,A2544),"")</f>
        <v/>
      </c>
    </row>
    <row r="2545">
      <c r="A2545" t="n">
        <v>2544</v>
      </c>
      <c r="B2545">
        <f>IFERROR(INDEX(Segmen!$A$3:$A$6000,MATCH(C2545,Segmen!$D$3:$D$6000,0)),"")</f>
        <v/>
      </c>
      <c r="C2545">
        <f>IFERROR(LARGE(Segmen!$D$3:$D$6000,A2545),"")</f>
        <v/>
      </c>
    </row>
    <row r="2546">
      <c r="A2546" t="n">
        <v>2545</v>
      </c>
      <c r="B2546">
        <f>IFERROR(INDEX(Segmen!$A$3:$A$6000,MATCH(C2546,Segmen!$D$3:$D$6000,0)),"")</f>
        <v/>
      </c>
      <c r="C2546">
        <f>IFERROR(LARGE(Segmen!$D$3:$D$6000,A2546),"")</f>
        <v/>
      </c>
    </row>
    <row r="2547">
      <c r="A2547" t="n">
        <v>2546</v>
      </c>
      <c r="B2547">
        <f>IFERROR(INDEX(Segmen!$A$3:$A$6000,MATCH(C2547,Segmen!$D$3:$D$6000,0)),"")</f>
        <v/>
      </c>
      <c r="C2547">
        <f>IFERROR(LARGE(Segmen!$D$3:$D$6000,A2547),"")</f>
        <v/>
      </c>
    </row>
    <row r="2548">
      <c r="A2548" t="n">
        <v>2547</v>
      </c>
      <c r="B2548">
        <f>IFERROR(INDEX(Segmen!$A$3:$A$6000,MATCH(C2548,Segmen!$D$3:$D$6000,0)),"")</f>
        <v/>
      </c>
      <c r="C2548">
        <f>IFERROR(LARGE(Segmen!$D$3:$D$6000,A2548),"")</f>
        <v/>
      </c>
    </row>
    <row r="2549">
      <c r="A2549" t="n">
        <v>2548</v>
      </c>
      <c r="B2549">
        <f>IFERROR(INDEX(Segmen!$A$3:$A$6000,MATCH(C2549,Segmen!$D$3:$D$6000,0)),"")</f>
        <v/>
      </c>
      <c r="C2549">
        <f>IFERROR(LARGE(Segmen!$D$3:$D$6000,A2549),"")</f>
        <v/>
      </c>
    </row>
    <row r="2550">
      <c r="A2550" t="n">
        <v>2549</v>
      </c>
      <c r="B2550">
        <f>IFERROR(INDEX(Segmen!$A$3:$A$6000,MATCH(C2550,Segmen!$D$3:$D$6000,0)),"")</f>
        <v/>
      </c>
      <c r="C2550">
        <f>IFERROR(LARGE(Segmen!$D$3:$D$6000,A2550),"")</f>
        <v/>
      </c>
    </row>
    <row r="2551">
      <c r="A2551" t="n">
        <v>2550</v>
      </c>
      <c r="B2551">
        <f>IFERROR(INDEX(Segmen!$A$3:$A$6000,MATCH(C2551,Segmen!$D$3:$D$6000,0)),"")</f>
        <v/>
      </c>
      <c r="C2551">
        <f>IFERROR(LARGE(Segmen!$D$3:$D$6000,A2551),"")</f>
        <v/>
      </c>
    </row>
    <row r="2552">
      <c r="A2552" t="n">
        <v>2551</v>
      </c>
      <c r="B2552">
        <f>IFERROR(INDEX(Segmen!$A$3:$A$6000,MATCH(C2552,Segmen!$D$3:$D$6000,0)),"")</f>
        <v/>
      </c>
      <c r="C2552">
        <f>IFERROR(LARGE(Segmen!$D$3:$D$6000,A2552),"")</f>
        <v/>
      </c>
    </row>
    <row r="2553">
      <c r="A2553" t="n">
        <v>2552</v>
      </c>
      <c r="B2553">
        <f>IFERROR(INDEX(Segmen!$A$3:$A$6000,MATCH(C2553,Segmen!$D$3:$D$6000,0)),"")</f>
        <v/>
      </c>
      <c r="C2553">
        <f>IFERROR(LARGE(Segmen!$D$3:$D$6000,A2553),"")</f>
        <v/>
      </c>
    </row>
    <row r="2554">
      <c r="A2554" t="n">
        <v>2553</v>
      </c>
      <c r="B2554">
        <f>IFERROR(INDEX(Segmen!$A$3:$A$6000,MATCH(C2554,Segmen!$D$3:$D$6000,0)),"")</f>
        <v/>
      </c>
      <c r="C2554">
        <f>IFERROR(LARGE(Segmen!$D$3:$D$6000,A2554),"")</f>
        <v/>
      </c>
    </row>
    <row r="2555">
      <c r="A2555" t="n">
        <v>2554</v>
      </c>
      <c r="B2555">
        <f>IFERROR(INDEX(Segmen!$A$3:$A$6000,MATCH(C2555,Segmen!$D$3:$D$6000,0)),"")</f>
        <v/>
      </c>
      <c r="C2555">
        <f>IFERROR(LARGE(Segmen!$D$3:$D$6000,A2555),"")</f>
        <v/>
      </c>
    </row>
    <row r="2556">
      <c r="A2556" t="n">
        <v>2555</v>
      </c>
      <c r="B2556">
        <f>IFERROR(INDEX(Segmen!$A$3:$A$6000,MATCH(C2556,Segmen!$D$3:$D$6000,0)),"")</f>
        <v/>
      </c>
      <c r="C2556">
        <f>IFERROR(LARGE(Segmen!$D$3:$D$6000,A2556),"")</f>
        <v/>
      </c>
    </row>
    <row r="2557">
      <c r="A2557" t="n">
        <v>2556</v>
      </c>
      <c r="B2557">
        <f>IFERROR(INDEX(Segmen!$A$3:$A$6000,MATCH(C2557,Segmen!$D$3:$D$6000,0)),"")</f>
        <v/>
      </c>
      <c r="C2557">
        <f>IFERROR(LARGE(Segmen!$D$3:$D$6000,A2557),"")</f>
        <v/>
      </c>
    </row>
    <row r="2558">
      <c r="A2558" t="n">
        <v>2557</v>
      </c>
      <c r="B2558">
        <f>IFERROR(INDEX(Segmen!$A$3:$A$6000,MATCH(C2558,Segmen!$D$3:$D$6000,0)),"")</f>
        <v/>
      </c>
      <c r="C2558">
        <f>IFERROR(LARGE(Segmen!$D$3:$D$6000,A2558),"")</f>
        <v/>
      </c>
    </row>
    <row r="2559">
      <c r="A2559" t="n">
        <v>2558</v>
      </c>
      <c r="B2559">
        <f>IFERROR(INDEX(Segmen!$A$3:$A$6000,MATCH(C2559,Segmen!$D$3:$D$6000,0)),"")</f>
        <v/>
      </c>
      <c r="C2559">
        <f>IFERROR(LARGE(Segmen!$D$3:$D$6000,A2559),"")</f>
        <v/>
      </c>
    </row>
    <row r="2560">
      <c r="A2560" t="n">
        <v>2559</v>
      </c>
      <c r="B2560">
        <f>IFERROR(INDEX(Segmen!$A$3:$A$6000,MATCH(C2560,Segmen!$D$3:$D$6000,0)),"")</f>
        <v/>
      </c>
      <c r="C2560">
        <f>IFERROR(LARGE(Segmen!$D$3:$D$6000,A2560),"")</f>
        <v/>
      </c>
    </row>
    <row r="2561">
      <c r="A2561" t="n">
        <v>2560</v>
      </c>
      <c r="B2561">
        <f>IFERROR(INDEX(Segmen!$A$3:$A$6000,MATCH(C2561,Segmen!$D$3:$D$6000,0)),"")</f>
        <v/>
      </c>
      <c r="C2561">
        <f>IFERROR(LARGE(Segmen!$D$3:$D$6000,A2561),"")</f>
        <v/>
      </c>
    </row>
    <row r="2562">
      <c r="A2562" t="n">
        <v>2561</v>
      </c>
      <c r="B2562">
        <f>IFERROR(INDEX(Segmen!$A$3:$A$6000,MATCH(C2562,Segmen!$D$3:$D$6000,0)),"")</f>
        <v/>
      </c>
      <c r="C2562">
        <f>IFERROR(LARGE(Segmen!$D$3:$D$6000,A2562),"")</f>
        <v/>
      </c>
    </row>
    <row r="2563">
      <c r="A2563" t="n">
        <v>2562</v>
      </c>
      <c r="B2563">
        <f>IFERROR(INDEX(Segmen!$A$3:$A$6000,MATCH(C2563,Segmen!$D$3:$D$6000,0)),"")</f>
        <v/>
      </c>
      <c r="C2563">
        <f>IFERROR(LARGE(Segmen!$D$3:$D$6000,A2563),"")</f>
        <v/>
      </c>
    </row>
    <row r="2564">
      <c r="A2564" t="n">
        <v>2563</v>
      </c>
      <c r="B2564">
        <f>IFERROR(INDEX(Segmen!$A$3:$A$6000,MATCH(C2564,Segmen!$D$3:$D$6000,0)),"")</f>
        <v/>
      </c>
      <c r="C2564">
        <f>IFERROR(LARGE(Segmen!$D$3:$D$6000,A2564),"")</f>
        <v/>
      </c>
    </row>
    <row r="2565">
      <c r="A2565" t="n">
        <v>2564</v>
      </c>
      <c r="B2565">
        <f>IFERROR(INDEX(Segmen!$A$3:$A$6000,MATCH(C2565,Segmen!$D$3:$D$6000,0)),"")</f>
        <v/>
      </c>
      <c r="C2565">
        <f>IFERROR(LARGE(Segmen!$D$3:$D$6000,A2565),"")</f>
        <v/>
      </c>
    </row>
    <row r="2566">
      <c r="A2566" t="n">
        <v>2565</v>
      </c>
      <c r="B2566">
        <f>IFERROR(INDEX(Segmen!$A$3:$A$6000,MATCH(C2566,Segmen!$D$3:$D$6000,0)),"")</f>
        <v/>
      </c>
      <c r="C2566">
        <f>IFERROR(LARGE(Segmen!$D$3:$D$6000,A2566),"")</f>
        <v/>
      </c>
    </row>
    <row r="2567">
      <c r="A2567" t="n">
        <v>2566</v>
      </c>
      <c r="B2567">
        <f>IFERROR(INDEX(Segmen!$A$3:$A$6000,MATCH(C2567,Segmen!$D$3:$D$6000,0)),"")</f>
        <v/>
      </c>
      <c r="C2567">
        <f>IFERROR(LARGE(Segmen!$D$3:$D$6000,A2567),"")</f>
        <v/>
      </c>
    </row>
    <row r="2568">
      <c r="A2568" t="n">
        <v>2567</v>
      </c>
      <c r="B2568">
        <f>IFERROR(INDEX(Segmen!$A$3:$A$6000,MATCH(C2568,Segmen!$D$3:$D$6000,0)),"")</f>
        <v/>
      </c>
      <c r="C2568">
        <f>IFERROR(LARGE(Segmen!$D$3:$D$6000,A2568),"")</f>
        <v/>
      </c>
    </row>
    <row r="2569">
      <c r="A2569" t="n">
        <v>2568</v>
      </c>
      <c r="B2569">
        <f>IFERROR(INDEX(Segmen!$A$3:$A$6000,MATCH(C2569,Segmen!$D$3:$D$6000,0)),"")</f>
        <v/>
      </c>
      <c r="C2569">
        <f>IFERROR(LARGE(Segmen!$D$3:$D$6000,A2569),"")</f>
        <v/>
      </c>
    </row>
    <row r="2570">
      <c r="A2570" t="n">
        <v>2569</v>
      </c>
      <c r="B2570">
        <f>IFERROR(INDEX(Segmen!$A$3:$A$6000,MATCH(C2570,Segmen!$D$3:$D$6000,0)),"")</f>
        <v/>
      </c>
      <c r="C2570">
        <f>IFERROR(LARGE(Segmen!$D$3:$D$6000,A2570),"")</f>
        <v/>
      </c>
    </row>
    <row r="2571">
      <c r="A2571" t="n">
        <v>2570</v>
      </c>
      <c r="B2571">
        <f>IFERROR(INDEX(Segmen!$A$3:$A$6000,MATCH(C2571,Segmen!$D$3:$D$6000,0)),"")</f>
        <v/>
      </c>
      <c r="C2571">
        <f>IFERROR(LARGE(Segmen!$D$3:$D$6000,A2571),"")</f>
        <v/>
      </c>
    </row>
    <row r="2572">
      <c r="A2572" t="n">
        <v>2571</v>
      </c>
      <c r="B2572">
        <f>IFERROR(INDEX(Segmen!$A$3:$A$6000,MATCH(C2572,Segmen!$D$3:$D$6000,0)),"")</f>
        <v/>
      </c>
      <c r="C2572">
        <f>IFERROR(LARGE(Segmen!$D$3:$D$6000,A2572),"")</f>
        <v/>
      </c>
    </row>
    <row r="2573">
      <c r="A2573" t="n">
        <v>2572</v>
      </c>
      <c r="B2573">
        <f>IFERROR(INDEX(Segmen!$A$3:$A$6000,MATCH(C2573,Segmen!$D$3:$D$6000,0)),"")</f>
        <v/>
      </c>
      <c r="C2573">
        <f>IFERROR(LARGE(Segmen!$D$3:$D$6000,A2573),"")</f>
        <v/>
      </c>
    </row>
    <row r="2574">
      <c r="A2574" t="n">
        <v>2573</v>
      </c>
      <c r="B2574">
        <f>IFERROR(INDEX(Segmen!$A$3:$A$6000,MATCH(C2574,Segmen!$D$3:$D$6000,0)),"")</f>
        <v/>
      </c>
      <c r="C2574">
        <f>IFERROR(LARGE(Segmen!$D$3:$D$6000,A2574),"")</f>
        <v/>
      </c>
    </row>
    <row r="2575">
      <c r="A2575" t="n">
        <v>2574</v>
      </c>
      <c r="B2575">
        <f>IFERROR(INDEX(Segmen!$A$3:$A$6000,MATCH(C2575,Segmen!$D$3:$D$6000,0)),"")</f>
        <v/>
      </c>
      <c r="C2575">
        <f>IFERROR(LARGE(Segmen!$D$3:$D$6000,A2575),"")</f>
        <v/>
      </c>
    </row>
    <row r="2576">
      <c r="A2576" t="n">
        <v>2575</v>
      </c>
      <c r="B2576">
        <f>IFERROR(INDEX(Segmen!$A$3:$A$6000,MATCH(C2576,Segmen!$D$3:$D$6000,0)),"")</f>
        <v/>
      </c>
      <c r="C2576">
        <f>IFERROR(LARGE(Segmen!$D$3:$D$6000,A2576),"")</f>
        <v/>
      </c>
    </row>
    <row r="2577">
      <c r="A2577" t="n">
        <v>2576</v>
      </c>
      <c r="B2577">
        <f>IFERROR(INDEX(Segmen!$A$3:$A$6000,MATCH(C2577,Segmen!$D$3:$D$6000,0)),"")</f>
        <v/>
      </c>
      <c r="C2577">
        <f>IFERROR(LARGE(Segmen!$D$3:$D$6000,A2577),"")</f>
        <v/>
      </c>
    </row>
    <row r="2578">
      <c r="A2578" t="n">
        <v>2577</v>
      </c>
      <c r="B2578">
        <f>IFERROR(INDEX(Segmen!$A$3:$A$6000,MATCH(C2578,Segmen!$D$3:$D$6000,0)),"")</f>
        <v/>
      </c>
      <c r="C2578">
        <f>IFERROR(LARGE(Segmen!$D$3:$D$6000,A2578),"")</f>
        <v/>
      </c>
    </row>
    <row r="2579">
      <c r="A2579" t="n">
        <v>2578</v>
      </c>
      <c r="B2579">
        <f>IFERROR(INDEX(Segmen!$A$3:$A$6000,MATCH(C2579,Segmen!$D$3:$D$6000,0)),"")</f>
        <v/>
      </c>
      <c r="C2579">
        <f>IFERROR(LARGE(Segmen!$D$3:$D$6000,A2579),"")</f>
        <v/>
      </c>
    </row>
    <row r="2580">
      <c r="A2580" t="n">
        <v>2579</v>
      </c>
      <c r="B2580">
        <f>IFERROR(INDEX(Segmen!$A$3:$A$6000,MATCH(C2580,Segmen!$D$3:$D$6000,0)),"")</f>
        <v/>
      </c>
      <c r="C2580">
        <f>IFERROR(LARGE(Segmen!$D$3:$D$6000,A2580),"")</f>
        <v/>
      </c>
    </row>
    <row r="2581">
      <c r="A2581" t="n">
        <v>2580</v>
      </c>
      <c r="B2581">
        <f>IFERROR(INDEX(Segmen!$A$3:$A$6000,MATCH(C2581,Segmen!$D$3:$D$6000,0)),"")</f>
        <v/>
      </c>
      <c r="C2581">
        <f>IFERROR(LARGE(Segmen!$D$3:$D$6000,A2581),"")</f>
        <v/>
      </c>
    </row>
    <row r="2582">
      <c r="A2582" t="n">
        <v>2581</v>
      </c>
      <c r="B2582">
        <f>IFERROR(INDEX(Segmen!$A$3:$A$6000,MATCH(C2582,Segmen!$D$3:$D$6000,0)),"")</f>
        <v/>
      </c>
      <c r="C2582">
        <f>IFERROR(LARGE(Segmen!$D$3:$D$6000,A2582),"")</f>
        <v/>
      </c>
    </row>
    <row r="2583">
      <c r="A2583" t="n">
        <v>2582</v>
      </c>
      <c r="B2583">
        <f>IFERROR(INDEX(Segmen!$A$3:$A$6000,MATCH(C2583,Segmen!$D$3:$D$6000,0)),"")</f>
        <v/>
      </c>
      <c r="C2583">
        <f>IFERROR(LARGE(Segmen!$D$3:$D$6000,A2583),"")</f>
        <v/>
      </c>
    </row>
    <row r="2584">
      <c r="A2584" t="n">
        <v>2583</v>
      </c>
      <c r="B2584">
        <f>IFERROR(INDEX(Segmen!$A$3:$A$6000,MATCH(C2584,Segmen!$D$3:$D$6000,0)),"")</f>
        <v/>
      </c>
      <c r="C2584">
        <f>IFERROR(LARGE(Segmen!$D$3:$D$6000,A2584),"")</f>
        <v/>
      </c>
    </row>
    <row r="2585">
      <c r="A2585" t="n">
        <v>2584</v>
      </c>
      <c r="B2585">
        <f>IFERROR(INDEX(Segmen!$A$3:$A$6000,MATCH(C2585,Segmen!$D$3:$D$6000,0)),"")</f>
        <v/>
      </c>
      <c r="C2585">
        <f>IFERROR(LARGE(Segmen!$D$3:$D$6000,A2585),"")</f>
        <v/>
      </c>
    </row>
    <row r="2586">
      <c r="A2586" t="n">
        <v>2585</v>
      </c>
      <c r="B2586">
        <f>IFERROR(INDEX(Segmen!$A$3:$A$6000,MATCH(C2586,Segmen!$D$3:$D$6000,0)),"")</f>
        <v/>
      </c>
      <c r="C2586">
        <f>IFERROR(LARGE(Segmen!$D$3:$D$6000,A2586),"")</f>
        <v/>
      </c>
    </row>
    <row r="2587">
      <c r="A2587" t="n">
        <v>2586</v>
      </c>
      <c r="B2587">
        <f>IFERROR(INDEX(Segmen!$A$3:$A$6000,MATCH(C2587,Segmen!$D$3:$D$6000,0)),"")</f>
        <v/>
      </c>
      <c r="C2587">
        <f>IFERROR(LARGE(Segmen!$D$3:$D$6000,A2587),"")</f>
        <v/>
      </c>
    </row>
    <row r="2588">
      <c r="A2588" t="n">
        <v>2587</v>
      </c>
      <c r="B2588">
        <f>IFERROR(INDEX(Segmen!$A$3:$A$6000,MATCH(C2588,Segmen!$D$3:$D$6000,0)),"")</f>
        <v/>
      </c>
      <c r="C2588">
        <f>IFERROR(LARGE(Segmen!$D$3:$D$6000,A2588),"")</f>
        <v/>
      </c>
    </row>
    <row r="2589">
      <c r="A2589" t="n">
        <v>2588</v>
      </c>
      <c r="B2589">
        <f>IFERROR(INDEX(Segmen!$A$3:$A$6000,MATCH(C2589,Segmen!$D$3:$D$6000,0)),"")</f>
        <v/>
      </c>
      <c r="C2589">
        <f>IFERROR(LARGE(Segmen!$D$3:$D$6000,A2589),"")</f>
        <v/>
      </c>
    </row>
    <row r="2590">
      <c r="A2590" t="n">
        <v>2589</v>
      </c>
      <c r="B2590">
        <f>IFERROR(INDEX(Segmen!$A$3:$A$6000,MATCH(C2590,Segmen!$D$3:$D$6000,0)),"")</f>
        <v/>
      </c>
      <c r="C2590">
        <f>IFERROR(LARGE(Segmen!$D$3:$D$6000,A2590),"")</f>
        <v/>
      </c>
    </row>
    <row r="2591">
      <c r="A2591" t="n">
        <v>2590</v>
      </c>
      <c r="B2591">
        <f>IFERROR(INDEX(Segmen!$A$3:$A$6000,MATCH(C2591,Segmen!$D$3:$D$6000,0)),"")</f>
        <v/>
      </c>
      <c r="C2591">
        <f>IFERROR(LARGE(Segmen!$D$3:$D$6000,A2591),"")</f>
        <v/>
      </c>
    </row>
    <row r="2592">
      <c r="A2592" t="n">
        <v>2591</v>
      </c>
      <c r="B2592">
        <f>IFERROR(INDEX(Segmen!$A$3:$A$6000,MATCH(C2592,Segmen!$D$3:$D$6000,0)),"")</f>
        <v/>
      </c>
      <c r="C2592">
        <f>IFERROR(LARGE(Segmen!$D$3:$D$6000,A2592),"")</f>
        <v/>
      </c>
    </row>
    <row r="2593">
      <c r="A2593" t="n">
        <v>2592</v>
      </c>
      <c r="B2593">
        <f>IFERROR(INDEX(Segmen!$A$3:$A$6000,MATCH(C2593,Segmen!$D$3:$D$6000,0)),"")</f>
        <v/>
      </c>
      <c r="C2593">
        <f>IFERROR(LARGE(Segmen!$D$3:$D$6000,A2593),"")</f>
        <v/>
      </c>
    </row>
    <row r="2594">
      <c r="A2594" t="n">
        <v>2593</v>
      </c>
      <c r="B2594">
        <f>IFERROR(INDEX(Segmen!$A$3:$A$6000,MATCH(C2594,Segmen!$D$3:$D$6000,0)),"")</f>
        <v/>
      </c>
      <c r="C2594">
        <f>IFERROR(LARGE(Segmen!$D$3:$D$6000,A2594),"")</f>
        <v/>
      </c>
    </row>
    <row r="2595">
      <c r="A2595" t="n">
        <v>2594</v>
      </c>
      <c r="B2595">
        <f>IFERROR(INDEX(Segmen!$A$3:$A$6000,MATCH(C2595,Segmen!$D$3:$D$6000,0)),"")</f>
        <v/>
      </c>
      <c r="C2595">
        <f>IFERROR(LARGE(Segmen!$D$3:$D$6000,A2595),"")</f>
        <v/>
      </c>
    </row>
    <row r="2596">
      <c r="A2596" t="n">
        <v>2595</v>
      </c>
      <c r="B2596">
        <f>IFERROR(INDEX(Segmen!$A$3:$A$6000,MATCH(C2596,Segmen!$D$3:$D$6000,0)),"")</f>
        <v/>
      </c>
      <c r="C2596">
        <f>IFERROR(LARGE(Segmen!$D$3:$D$6000,A2596),"")</f>
        <v/>
      </c>
    </row>
    <row r="2597">
      <c r="A2597" t="n">
        <v>2596</v>
      </c>
      <c r="B2597">
        <f>IFERROR(INDEX(Segmen!$A$3:$A$6000,MATCH(C2597,Segmen!$D$3:$D$6000,0)),"")</f>
        <v/>
      </c>
      <c r="C2597">
        <f>IFERROR(LARGE(Segmen!$D$3:$D$6000,A2597),"")</f>
        <v/>
      </c>
    </row>
    <row r="2598">
      <c r="A2598" t="n">
        <v>2597</v>
      </c>
      <c r="B2598">
        <f>IFERROR(INDEX(Segmen!$A$3:$A$6000,MATCH(C2598,Segmen!$D$3:$D$6000,0)),"")</f>
        <v/>
      </c>
      <c r="C2598">
        <f>IFERROR(LARGE(Segmen!$D$3:$D$6000,A2598),"")</f>
        <v/>
      </c>
    </row>
    <row r="2599">
      <c r="A2599" t="n">
        <v>2598</v>
      </c>
      <c r="B2599">
        <f>IFERROR(INDEX(Segmen!$A$3:$A$6000,MATCH(C2599,Segmen!$D$3:$D$6000,0)),"")</f>
        <v/>
      </c>
      <c r="C2599">
        <f>IFERROR(LARGE(Segmen!$D$3:$D$6000,A2599),"")</f>
        <v/>
      </c>
    </row>
    <row r="2600">
      <c r="A2600" t="n">
        <v>2599</v>
      </c>
      <c r="B2600">
        <f>IFERROR(INDEX(Segmen!$A$3:$A$6000,MATCH(C2600,Segmen!$D$3:$D$6000,0)),"")</f>
        <v/>
      </c>
      <c r="C2600">
        <f>IFERROR(LARGE(Segmen!$D$3:$D$6000,A2600),"")</f>
        <v/>
      </c>
    </row>
    <row r="2601">
      <c r="A2601" t="n">
        <v>2600</v>
      </c>
      <c r="B2601">
        <f>IFERROR(INDEX(Segmen!$A$3:$A$6000,MATCH(C2601,Segmen!$D$3:$D$6000,0)),"")</f>
        <v/>
      </c>
      <c r="C2601">
        <f>IFERROR(LARGE(Segmen!$D$3:$D$6000,A2601),"")</f>
        <v/>
      </c>
    </row>
    <row r="2602">
      <c r="A2602" t="n">
        <v>2601</v>
      </c>
      <c r="B2602">
        <f>IFERROR(INDEX(Segmen!$A$3:$A$6000,MATCH(C2602,Segmen!$D$3:$D$6000,0)),"")</f>
        <v/>
      </c>
      <c r="C2602">
        <f>IFERROR(LARGE(Segmen!$D$3:$D$6000,A2602),"")</f>
        <v/>
      </c>
    </row>
    <row r="2603">
      <c r="A2603" t="n">
        <v>2602</v>
      </c>
      <c r="B2603">
        <f>IFERROR(INDEX(Segmen!$A$3:$A$6000,MATCH(C2603,Segmen!$D$3:$D$6000,0)),"")</f>
        <v/>
      </c>
      <c r="C2603">
        <f>IFERROR(LARGE(Segmen!$D$3:$D$6000,A2603),"")</f>
        <v/>
      </c>
    </row>
    <row r="2604">
      <c r="A2604" t="n">
        <v>2603</v>
      </c>
      <c r="B2604">
        <f>IFERROR(INDEX(Segmen!$A$3:$A$6000,MATCH(C2604,Segmen!$D$3:$D$6000,0)),"")</f>
        <v/>
      </c>
      <c r="C2604">
        <f>IFERROR(LARGE(Segmen!$D$3:$D$6000,A2604),"")</f>
        <v/>
      </c>
    </row>
    <row r="2605">
      <c r="A2605" t="n">
        <v>2604</v>
      </c>
      <c r="B2605">
        <f>IFERROR(INDEX(Segmen!$A$3:$A$6000,MATCH(C2605,Segmen!$D$3:$D$6000,0)),"")</f>
        <v/>
      </c>
      <c r="C2605">
        <f>IFERROR(LARGE(Segmen!$D$3:$D$6000,A2605),"")</f>
        <v/>
      </c>
    </row>
    <row r="2606">
      <c r="A2606" t="n">
        <v>2605</v>
      </c>
      <c r="B2606">
        <f>IFERROR(INDEX(Segmen!$A$3:$A$6000,MATCH(C2606,Segmen!$D$3:$D$6000,0)),"")</f>
        <v/>
      </c>
      <c r="C2606">
        <f>IFERROR(LARGE(Segmen!$D$3:$D$6000,A2606),"")</f>
        <v/>
      </c>
    </row>
    <row r="2607">
      <c r="A2607" t="n">
        <v>2606</v>
      </c>
      <c r="B2607">
        <f>IFERROR(INDEX(Segmen!$A$3:$A$6000,MATCH(C2607,Segmen!$D$3:$D$6000,0)),"")</f>
        <v/>
      </c>
      <c r="C2607">
        <f>IFERROR(LARGE(Segmen!$D$3:$D$6000,A2607),"")</f>
        <v/>
      </c>
    </row>
    <row r="2608">
      <c r="A2608" t="n">
        <v>2607</v>
      </c>
      <c r="B2608">
        <f>IFERROR(INDEX(Segmen!$A$3:$A$6000,MATCH(C2608,Segmen!$D$3:$D$6000,0)),"")</f>
        <v/>
      </c>
      <c r="C2608">
        <f>IFERROR(LARGE(Segmen!$D$3:$D$6000,A2608),"")</f>
        <v/>
      </c>
    </row>
    <row r="2609">
      <c r="A2609" t="n">
        <v>2608</v>
      </c>
      <c r="B2609">
        <f>IFERROR(INDEX(Segmen!$A$3:$A$6000,MATCH(C2609,Segmen!$D$3:$D$6000,0)),"")</f>
        <v/>
      </c>
      <c r="C2609">
        <f>IFERROR(LARGE(Segmen!$D$3:$D$6000,A2609),"")</f>
        <v/>
      </c>
    </row>
    <row r="2610">
      <c r="A2610" t="n">
        <v>2609</v>
      </c>
      <c r="B2610">
        <f>IFERROR(INDEX(Segmen!$A$3:$A$6000,MATCH(C2610,Segmen!$D$3:$D$6000,0)),"")</f>
        <v/>
      </c>
      <c r="C2610">
        <f>IFERROR(LARGE(Segmen!$D$3:$D$6000,A2610),"")</f>
        <v/>
      </c>
    </row>
    <row r="2611">
      <c r="A2611" t="n">
        <v>2610</v>
      </c>
      <c r="B2611">
        <f>IFERROR(INDEX(Segmen!$A$3:$A$6000,MATCH(C2611,Segmen!$D$3:$D$6000,0)),"")</f>
        <v/>
      </c>
      <c r="C2611">
        <f>IFERROR(LARGE(Segmen!$D$3:$D$6000,A2611),"")</f>
        <v/>
      </c>
    </row>
    <row r="2612">
      <c r="A2612" t="n">
        <v>2611</v>
      </c>
      <c r="B2612">
        <f>IFERROR(INDEX(Segmen!$A$3:$A$6000,MATCH(C2612,Segmen!$D$3:$D$6000,0)),"")</f>
        <v/>
      </c>
      <c r="C2612">
        <f>IFERROR(LARGE(Segmen!$D$3:$D$6000,A2612),"")</f>
        <v/>
      </c>
    </row>
    <row r="2613">
      <c r="A2613" t="n">
        <v>2612</v>
      </c>
      <c r="B2613">
        <f>IFERROR(INDEX(Segmen!$A$3:$A$6000,MATCH(C2613,Segmen!$D$3:$D$6000,0)),"")</f>
        <v/>
      </c>
      <c r="C2613">
        <f>IFERROR(LARGE(Segmen!$D$3:$D$6000,A2613),"")</f>
        <v/>
      </c>
    </row>
    <row r="2614">
      <c r="A2614" t="n">
        <v>2613</v>
      </c>
      <c r="B2614">
        <f>IFERROR(INDEX(Segmen!$A$3:$A$6000,MATCH(C2614,Segmen!$D$3:$D$6000,0)),"")</f>
        <v/>
      </c>
      <c r="C2614">
        <f>IFERROR(LARGE(Segmen!$D$3:$D$6000,A2614),"")</f>
        <v/>
      </c>
    </row>
    <row r="2615">
      <c r="A2615" t="n">
        <v>2614</v>
      </c>
      <c r="B2615">
        <f>IFERROR(INDEX(Segmen!$A$3:$A$6000,MATCH(C2615,Segmen!$D$3:$D$6000,0)),"")</f>
        <v/>
      </c>
      <c r="C2615">
        <f>IFERROR(LARGE(Segmen!$D$3:$D$6000,A2615),"")</f>
        <v/>
      </c>
    </row>
    <row r="2616">
      <c r="A2616" t="n">
        <v>2615</v>
      </c>
      <c r="B2616">
        <f>IFERROR(INDEX(Segmen!$A$3:$A$6000,MATCH(C2616,Segmen!$D$3:$D$6000,0)),"")</f>
        <v/>
      </c>
      <c r="C2616">
        <f>IFERROR(LARGE(Segmen!$D$3:$D$6000,A2616),"")</f>
        <v/>
      </c>
    </row>
    <row r="2617">
      <c r="A2617" t="n">
        <v>2616</v>
      </c>
      <c r="B2617">
        <f>IFERROR(INDEX(Segmen!$A$3:$A$6000,MATCH(C2617,Segmen!$D$3:$D$6000,0)),"")</f>
        <v/>
      </c>
      <c r="C2617">
        <f>IFERROR(LARGE(Segmen!$D$3:$D$6000,A2617),"")</f>
        <v/>
      </c>
    </row>
    <row r="2618">
      <c r="A2618" t="n">
        <v>2617</v>
      </c>
      <c r="B2618">
        <f>IFERROR(INDEX(Segmen!$A$3:$A$6000,MATCH(C2618,Segmen!$D$3:$D$6000,0)),"")</f>
        <v/>
      </c>
      <c r="C2618">
        <f>IFERROR(LARGE(Segmen!$D$3:$D$6000,A2618),"")</f>
        <v/>
      </c>
    </row>
    <row r="2619">
      <c r="A2619" t="n">
        <v>2618</v>
      </c>
      <c r="B2619">
        <f>IFERROR(INDEX(Segmen!$A$3:$A$6000,MATCH(C2619,Segmen!$D$3:$D$6000,0)),"")</f>
        <v/>
      </c>
      <c r="C2619">
        <f>IFERROR(LARGE(Segmen!$D$3:$D$6000,A2619),"")</f>
        <v/>
      </c>
    </row>
    <row r="2620">
      <c r="A2620" t="n">
        <v>2619</v>
      </c>
      <c r="B2620">
        <f>IFERROR(INDEX(Segmen!$A$3:$A$6000,MATCH(C2620,Segmen!$D$3:$D$6000,0)),"")</f>
        <v/>
      </c>
      <c r="C2620">
        <f>IFERROR(LARGE(Segmen!$D$3:$D$6000,A2620),"")</f>
        <v/>
      </c>
    </row>
    <row r="2621">
      <c r="A2621" t="n">
        <v>2620</v>
      </c>
      <c r="B2621">
        <f>IFERROR(INDEX(Segmen!$A$3:$A$6000,MATCH(C2621,Segmen!$D$3:$D$6000,0)),"")</f>
        <v/>
      </c>
      <c r="C2621">
        <f>IFERROR(LARGE(Segmen!$D$3:$D$6000,A2621),"")</f>
        <v/>
      </c>
    </row>
    <row r="2622">
      <c r="A2622" t="n">
        <v>2621</v>
      </c>
      <c r="B2622">
        <f>IFERROR(INDEX(Segmen!$A$3:$A$6000,MATCH(C2622,Segmen!$D$3:$D$6000,0)),"")</f>
        <v/>
      </c>
      <c r="C2622">
        <f>IFERROR(LARGE(Segmen!$D$3:$D$6000,A2622),"")</f>
        <v/>
      </c>
    </row>
    <row r="2623">
      <c r="A2623" t="n">
        <v>2622</v>
      </c>
      <c r="B2623">
        <f>IFERROR(INDEX(Segmen!$A$3:$A$6000,MATCH(C2623,Segmen!$D$3:$D$6000,0)),"")</f>
        <v/>
      </c>
      <c r="C2623">
        <f>IFERROR(LARGE(Segmen!$D$3:$D$6000,A2623),"")</f>
        <v/>
      </c>
    </row>
    <row r="2624">
      <c r="A2624" t="n">
        <v>2623</v>
      </c>
      <c r="B2624">
        <f>IFERROR(INDEX(Segmen!$A$3:$A$6000,MATCH(C2624,Segmen!$D$3:$D$6000,0)),"")</f>
        <v/>
      </c>
      <c r="C2624">
        <f>IFERROR(LARGE(Segmen!$D$3:$D$6000,A2624),"")</f>
        <v/>
      </c>
    </row>
    <row r="2625">
      <c r="A2625" t="n">
        <v>2624</v>
      </c>
      <c r="B2625">
        <f>IFERROR(INDEX(Segmen!$A$3:$A$6000,MATCH(C2625,Segmen!$D$3:$D$6000,0)),"")</f>
        <v/>
      </c>
      <c r="C2625">
        <f>IFERROR(LARGE(Segmen!$D$3:$D$6000,A2625),"")</f>
        <v/>
      </c>
    </row>
    <row r="2626">
      <c r="A2626" t="n">
        <v>2625</v>
      </c>
      <c r="B2626">
        <f>IFERROR(INDEX(Segmen!$A$3:$A$6000,MATCH(C2626,Segmen!$D$3:$D$6000,0)),"")</f>
        <v/>
      </c>
      <c r="C2626">
        <f>IFERROR(LARGE(Segmen!$D$3:$D$6000,A2626),"")</f>
        <v/>
      </c>
    </row>
    <row r="2627">
      <c r="A2627" t="n">
        <v>2626</v>
      </c>
      <c r="B2627">
        <f>IFERROR(INDEX(Segmen!$A$3:$A$6000,MATCH(C2627,Segmen!$D$3:$D$6000,0)),"")</f>
        <v/>
      </c>
      <c r="C2627">
        <f>IFERROR(LARGE(Segmen!$D$3:$D$6000,A2627),"")</f>
        <v/>
      </c>
    </row>
    <row r="2628">
      <c r="A2628" t="n">
        <v>2627</v>
      </c>
      <c r="B2628">
        <f>IFERROR(INDEX(Segmen!$A$3:$A$6000,MATCH(C2628,Segmen!$D$3:$D$6000,0)),"")</f>
        <v/>
      </c>
      <c r="C2628">
        <f>IFERROR(LARGE(Segmen!$D$3:$D$6000,A2628),"")</f>
        <v/>
      </c>
    </row>
    <row r="2629">
      <c r="A2629" t="n">
        <v>2628</v>
      </c>
      <c r="B2629">
        <f>IFERROR(INDEX(Segmen!$A$3:$A$6000,MATCH(C2629,Segmen!$D$3:$D$6000,0)),"")</f>
        <v/>
      </c>
      <c r="C2629">
        <f>IFERROR(LARGE(Segmen!$D$3:$D$6000,A2629),"")</f>
        <v/>
      </c>
    </row>
    <row r="2630">
      <c r="A2630" t="n">
        <v>2629</v>
      </c>
      <c r="B2630">
        <f>IFERROR(INDEX(Segmen!$A$3:$A$6000,MATCH(C2630,Segmen!$D$3:$D$6000,0)),"")</f>
        <v/>
      </c>
      <c r="C2630">
        <f>IFERROR(LARGE(Segmen!$D$3:$D$6000,A2630),"")</f>
        <v/>
      </c>
    </row>
    <row r="2631">
      <c r="A2631" t="n">
        <v>2630</v>
      </c>
      <c r="B2631">
        <f>IFERROR(INDEX(Segmen!$A$3:$A$6000,MATCH(C2631,Segmen!$D$3:$D$6000,0)),"")</f>
        <v/>
      </c>
      <c r="C2631">
        <f>IFERROR(LARGE(Segmen!$D$3:$D$6000,A2631),"")</f>
        <v/>
      </c>
    </row>
    <row r="2632">
      <c r="A2632" t="n">
        <v>2631</v>
      </c>
      <c r="B2632">
        <f>IFERROR(INDEX(Segmen!$A$3:$A$6000,MATCH(C2632,Segmen!$D$3:$D$6000,0)),"")</f>
        <v/>
      </c>
      <c r="C2632">
        <f>IFERROR(LARGE(Segmen!$D$3:$D$6000,A2632),"")</f>
        <v/>
      </c>
    </row>
    <row r="2633">
      <c r="A2633" t="n">
        <v>2632</v>
      </c>
      <c r="B2633">
        <f>IFERROR(INDEX(Segmen!$A$3:$A$6000,MATCH(C2633,Segmen!$D$3:$D$6000,0)),"")</f>
        <v/>
      </c>
      <c r="C2633">
        <f>IFERROR(LARGE(Segmen!$D$3:$D$6000,A2633),"")</f>
        <v/>
      </c>
    </row>
    <row r="2634">
      <c r="A2634" t="n">
        <v>2633</v>
      </c>
      <c r="B2634">
        <f>IFERROR(INDEX(Segmen!$A$3:$A$6000,MATCH(C2634,Segmen!$D$3:$D$6000,0)),"")</f>
        <v/>
      </c>
      <c r="C2634">
        <f>IFERROR(LARGE(Segmen!$D$3:$D$6000,A2634),"")</f>
        <v/>
      </c>
    </row>
    <row r="2635">
      <c r="A2635" t="n">
        <v>2634</v>
      </c>
      <c r="B2635">
        <f>IFERROR(INDEX(Segmen!$A$3:$A$6000,MATCH(C2635,Segmen!$D$3:$D$6000,0)),"")</f>
        <v/>
      </c>
      <c r="C2635">
        <f>IFERROR(LARGE(Segmen!$D$3:$D$6000,A2635),"")</f>
        <v/>
      </c>
    </row>
    <row r="2636">
      <c r="A2636" t="n">
        <v>2635</v>
      </c>
      <c r="B2636">
        <f>IFERROR(INDEX(Segmen!$A$3:$A$6000,MATCH(C2636,Segmen!$D$3:$D$6000,0)),"")</f>
        <v/>
      </c>
      <c r="C2636">
        <f>IFERROR(LARGE(Segmen!$D$3:$D$6000,A2636),"")</f>
        <v/>
      </c>
    </row>
    <row r="2637">
      <c r="A2637" t="n">
        <v>2636</v>
      </c>
      <c r="B2637">
        <f>IFERROR(INDEX(Segmen!$A$3:$A$6000,MATCH(C2637,Segmen!$D$3:$D$6000,0)),"")</f>
        <v/>
      </c>
      <c r="C2637">
        <f>IFERROR(LARGE(Segmen!$D$3:$D$6000,A2637),"")</f>
        <v/>
      </c>
    </row>
    <row r="2638">
      <c r="A2638" t="n">
        <v>2637</v>
      </c>
      <c r="B2638">
        <f>IFERROR(INDEX(Segmen!$A$3:$A$6000,MATCH(C2638,Segmen!$D$3:$D$6000,0)),"")</f>
        <v/>
      </c>
      <c r="C2638">
        <f>IFERROR(LARGE(Segmen!$D$3:$D$6000,A2638),"")</f>
        <v/>
      </c>
    </row>
    <row r="2639">
      <c r="A2639" t="n">
        <v>2638</v>
      </c>
      <c r="B2639">
        <f>IFERROR(INDEX(Segmen!$A$3:$A$6000,MATCH(C2639,Segmen!$D$3:$D$6000,0)),"")</f>
        <v/>
      </c>
      <c r="C2639">
        <f>IFERROR(LARGE(Segmen!$D$3:$D$6000,A2639),"")</f>
        <v/>
      </c>
    </row>
    <row r="2640">
      <c r="A2640" t="n">
        <v>2639</v>
      </c>
      <c r="B2640">
        <f>IFERROR(INDEX(Segmen!$A$3:$A$6000,MATCH(C2640,Segmen!$D$3:$D$6000,0)),"")</f>
        <v/>
      </c>
      <c r="C2640">
        <f>IFERROR(LARGE(Segmen!$D$3:$D$6000,A2640),"")</f>
        <v/>
      </c>
    </row>
    <row r="2641">
      <c r="A2641" t="n">
        <v>2640</v>
      </c>
      <c r="B2641">
        <f>IFERROR(INDEX(Segmen!$A$3:$A$6000,MATCH(C2641,Segmen!$D$3:$D$6000,0)),"")</f>
        <v/>
      </c>
      <c r="C2641">
        <f>IFERROR(LARGE(Segmen!$D$3:$D$6000,A2641),"")</f>
        <v/>
      </c>
    </row>
    <row r="2642">
      <c r="A2642" t="n">
        <v>2641</v>
      </c>
      <c r="B2642">
        <f>IFERROR(INDEX(Segmen!$A$3:$A$6000,MATCH(C2642,Segmen!$D$3:$D$6000,0)),"")</f>
        <v/>
      </c>
      <c r="C2642">
        <f>IFERROR(LARGE(Segmen!$D$3:$D$6000,A2642),"")</f>
        <v/>
      </c>
    </row>
    <row r="2643">
      <c r="A2643" t="n">
        <v>2642</v>
      </c>
      <c r="B2643">
        <f>IFERROR(INDEX(Segmen!$A$3:$A$6000,MATCH(C2643,Segmen!$D$3:$D$6000,0)),"")</f>
        <v/>
      </c>
      <c r="C2643">
        <f>IFERROR(LARGE(Segmen!$D$3:$D$6000,A2643),"")</f>
        <v/>
      </c>
    </row>
    <row r="2644">
      <c r="A2644" t="n">
        <v>2643</v>
      </c>
      <c r="B2644">
        <f>IFERROR(INDEX(Segmen!$A$3:$A$6000,MATCH(C2644,Segmen!$D$3:$D$6000,0)),"")</f>
        <v/>
      </c>
      <c r="C2644">
        <f>IFERROR(LARGE(Segmen!$D$3:$D$6000,A2644),"")</f>
        <v/>
      </c>
    </row>
    <row r="2645">
      <c r="A2645" t="n">
        <v>2644</v>
      </c>
      <c r="B2645">
        <f>IFERROR(INDEX(Segmen!$A$3:$A$6000,MATCH(C2645,Segmen!$D$3:$D$6000,0)),"")</f>
        <v/>
      </c>
      <c r="C2645">
        <f>IFERROR(LARGE(Segmen!$D$3:$D$6000,A2645),"")</f>
        <v/>
      </c>
    </row>
    <row r="2646">
      <c r="A2646" t="n">
        <v>2645</v>
      </c>
      <c r="B2646">
        <f>IFERROR(INDEX(Segmen!$A$3:$A$6000,MATCH(C2646,Segmen!$D$3:$D$6000,0)),"")</f>
        <v/>
      </c>
      <c r="C2646">
        <f>IFERROR(LARGE(Segmen!$D$3:$D$6000,A2646),"")</f>
        <v/>
      </c>
    </row>
    <row r="2647">
      <c r="A2647" t="n">
        <v>2646</v>
      </c>
      <c r="B2647">
        <f>IFERROR(INDEX(Segmen!$A$3:$A$6000,MATCH(C2647,Segmen!$D$3:$D$6000,0)),"")</f>
        <v/>
      </c>
      <c r="C2647">
        <f>IFERROR(LARGE(Segmen!$D$3:$D$6000,A2647),"")</f>
        <v/>
      </c>
    </row>
    <row r="2648">
      <c r="A2648" t="n">
        <v>2647</v>
      </c>
      <c r="B2648">
        <f>IFERROR(INDEX(Segmen!$A$3:$A$6000,MATCH(C2648,Segmen!$D$3:$D$6000,0)),"")</f>
        <v/>
      </c>
      <c r="C2648">
        <f>IFERROR(LARGE(Segmen!$D$3:$D$6000,A2648),"")</f>
        <v/>
      </c>
    </row>
    <row r="2649">
      <c r="A2649" t="n">
        <v>2648</v>
      </c>
      <c r="B2649">
        <f>IFERROR(INDEX(Segmen!$A$3:$A$6000,MATCH(C2649,Segmen!$D$3:$D$6000,0)),"")</f>
        <v/>
      </c>
      <c r="C2649">
        <f>IFERROR(LARGE(Segmen!$D$3:$D$6000,A2649),"")</f>
        <v/>
      </c>
    </row>
    <row r="2650">
      <c r="A2650" t="n">
        <v>2649</v>
      </c>
      <c r="B2650">
        <f>IFERROR(INDEX(Segmen!$A$3:$A$6000,MATCH(C2650,Segmen!$D$3:$D$6000,0)),"")</f>
        <v/>
      </c>
      <c r="C2650">
        <f>IFERROR(LARGE(Segmen!$D$3:$D$6000,A2650),"")</f>
        <v/>
      </c>
    </row>
    <row r="2651">
      <c r="A2651" t="n">
        <v>2650</v>
      </c>
      <c r="B2651">
        <f>IFERROR(INDEX(Segmen!$A$3:$A$6000,MATCH(C2651,Segmen!$D$3:$D$6000,0)),"")</f>
        <v/>
      </c>
      <c r="C2651">
        <f>IFERROR(LARGE(Segmen!$D$3:$D$6000,A2651),"")</f>
        <v/>
      </c>
    </row>
    <row r="2652">
      <c r="A2652" t="n">
        <v>2651</v>
      </c>
      <c r="B2652">
        <f>IFERROR(INDEX(Segmen!$A$3:$A$6000,MATCH(C2652,Segmen!$D$3:$D$6000,0)),"")</f>
        <v/>
      </c>
      <c r="C2652">
        <f>IFERROR(LARGE(Segmen!$D$3:$D$6000,A2652),"")</f>
        <v/>
      </c>
    </row>
    <row r="2653">
      <c r="A2653" t="n">
        <v>2652</v>
      </c>
      <c r="B2653">
        <f>IFERROR(INDEX(Segmen!$A$3:$A$6000,MATCH(C2653,Segmen!$D$3:$D$6000,0)),"")</f>
        <v/>
      </c>
      <c r="C2653">
        <f>IFERROR(LARGE(Segmen!$D$3:$D$6000,A2653),"")</f>
        <v/>
      </c>
    </row>
    <row r="2654">
      <c r="A2654" t="n">
        <v>2653</v>
      </c>
      <c r="B2654">
        <f>IFERROR(INDEX(Segmen!$A$3:$A$6000,MATCH(C2654,Segmen!$D$3:$D$6000,0)),"")</f>
        <v/>
      </c>
      <c r="C2654">
        <f>IFERROR(LARGE(Segmen!$D$3:$D$6000,A2654),"")</f>
        <v/>
      </c>
    </row>
    <row r="2655">
      <c r="A2655" t="n">
        <v>2654</v>
      </c>
      <c r="B2655">
        <f>IFERROR(INDEX(Segmen!$A$3:$A$6000,MATCH(C2655,Segmen!$D$3:$D$6000,0)),"")</f>
        <v/>
      </c>
      <c r="C2655">
        <f>IFERROR(LARGE(Segmen!$D$3:$D$6000,A2655),"")</f>
        <v/>
      </c>
    </row>
    <row r="2656">
      <c r="A2656" t="n">
        <v>2655</v>
      </c>
      <c r="B2656">
        <f>IFERROR(INDEX(Segmen!$A$3:$A$6000,MATCH(C2656,Segmen!$D$3:$D$6000,0)),"")</f>
        <v/>
      </c>
      <c r="C2656">
        <f>IFERROR(LARGE(Segmen!$D$3:$D$6000,A2656),"")</f>
        <v/>
      </c>
    </row>
    <row r="2657">
      <c r="A2657" t="n">
        <v>2656</v>
      </c>
      <c r="B2657">
        <f>IFERROR(INDEX(Segmen!$A$3:$A$6000,MATCH(C2657,Segmen!$D$3:$D$6000,0)),"")</f>
        <v/>
      </c>
      <c r="C2657">
        <f>IFERROR(LARGE(Segmen!$D$3:$D$6000,A2657),"")</f>
        <v/>
      </c>
    </row>
    <row r="2658">
      <c r="A2658" t="n">
        <v>2657</v>
      </c>
      <c r="B2658">
        <f>IFERROR(INDEX(Segmen!$A$3:$A$6000,MATCH(C2658,Segmen!$D$3:$D$6000,0)),"")</f>
        <v/>
      </c>
      <c r="C2658">
        <f>IFERROR(LARGE(Segmen!$D$3:$D$6000,A2658),"")</f>
        <v/>
      </c>
    </row>
    <row r="2659">
      <c r="A2659" t="n">
        <v>2658</v>
      </c>
      <c r="B2659">
        <f>IFERROR(INDEX(Segmen!$A$3:$A$6000,MATCH(C2659,Segmen!$D$3:$D$6000,0)),"")</f>
        <v/>
      </c>
      <c r="C2659">
        <f>IFERROR(LARGE(Segmen!$D$3:$D$6000,A2659),"")</f>
        <v/>
      </c>
    </row>
    <row r="2660">
      <c r="A2660" t="n">
        <v>2659</v>
      </c>
      <c r="B2660">
        <f>IFERROR(INDEX(Segmen!$A$3:$A$6000,MATCH(C2660,Segmen!$D$3:$D$6000,0)),"")</f>
        <v/>
      </c>
      <c r="C2660">
        <f>IFERROR(LARGE(Segmen!$D$3:$D$6000,A2660),"")</f>
        <v/>
      </c>
    </row>
    <row r="2661">
      <c r="A2661" t="n">
        <v>2660</v>
      </c>
      <c r="B2661">
        <f>IFERROR(INDEX(Segmen!$A$3:$A$6000,MATCH(C2661,Segmen!$D$3:$D$6000,0)),"")</f>
        <v/>
      </c>
      <c r="C2661">
        <f>IFERROR(LARGE(Segmen!$D$3:$D$6000,A2661),"")</f>
        <v/>
      </c>
    </row>
    <row r="2662">
      <c r="A2662" t="n">
        <v>2661</v>
      </c>
      <c r="B2662">
        <f>IFERROR(INDEX(Segmen!$A$3:$A$6000,MATCH(C2662,Segmen!$D$3:$D$6000,0)),"")</f>
        <v/>
      </c>
      <c r="C2662">
        <f>IFERROR(LARGE(Segmen!$D$3:$D$6000,A2662),"")</f>
        <v/>
      </c>
    </row>
    <row r="2663">
      <c r="A2663" t="n">
        <v>2662</v>
      </c>
      <c r="B2663">
        <f>IFERROR(INDEX(Segmen!$A$3:$A$6000,MATCH(C2663,Segmen!$D$3:$D$6000,0)),"")</f>
        <v/>
      </c>
      <c r="C2663">
        <f>IFERROR(LARGE(Segmen!$D$3:$D$6000,A2663),"")</f>
        <v/>
      </c>
    </row>
    <row r="2664">
      <c r="A2664" t="n">
        <v>2663</v>
      </c>
      <c r="B2664">
        <f>IFERROR(INDEX(Segmen!$A$3:$A$6000,MATCH(C2664,Segmen!$D$3:$D$6000,0)),"")</f>
        <v/>
      </c>
      <c r="C2664">
        <f>IFERROR(LARGE(Segmen!$D$3:$D$6000,A2664),"")</f>
        <v/>
      </c>
    </row>
    <row r="2665">
      <c r="A2665" t="n">
        <v>2664</v>
      </c>
      <c r="B2665">
        <f>IFERROR(INDEX(Segmen!$A$3:$A$6000,MATCH(C2665,Segmen!$D$3:$D$6000,0)),"")</f>
        <v/>
      </c>
      <c r="C2665">
        <f>IFERROR(LARGE(Segmen!$D$3:$D$6000,A2665),"")</f>
        <v/>
      </c>
    </row>
    <row r="2666">
      <c r="A2666" t="n">
        <v>2665</v>
      </c>
      <c r="B2666">
        <f>IFERROR(INDEX(Segmen!$A$3:$A$6000,MATCH(C2666,Segmen!$D$3:$D$6000,0)),"")</f>
        <v/>
      </c>
      <c r="C2666">
        <f>IFERROR(LARGE(Segmen!$D$3:$D$6000,A2666),"")</f>
        <v/>
      </c>
    </row>
    <row r="2667">
      <c r="A2667" t="n">
        <v>2666</v>
      </c>
      <c r="B2667">
        <f>IFERROR(INDEX(Segmen!$A$3:$A$6000,MATCH(C2667,Segmen!$D$3:$D$6000,0)),"")</f>
        <v/>
      </c>
      <c r="C2667">
        <f>IFERROR(LARGE(Segmen!$D$3:$D$6000,A2667),"")</f>
        <v/>
      </c>
    </row>
    <row r="2668">
      <c r="A2668" t="n">
        <v>2667</v>
      </c>
      <c r="B2668">
        <f>IFERROR(INDEX(Segmen!$A$3:$A$6000,MATCH(C2668,Segmen!$D$3:$D$6000,0)),"")</f>
        <v/>
      </c>
      <c r="C2668">
        <f>IFERROR(LARGE(Segmen!$D$3:$D$6000,A2668),"")</f>
        <v/>
      </c>
    </row>
    <row r="2669">
      <c r="A2669" t="n">
        <v>2668</v>
      </c>
      <c r="B2669">
        <f>IFERROR(INDEX(Segmen!$A$3:$A$6000,MATCH(C2669,Segmen!$D$3:$D$6000,0)),"")</f>
        <v/>
      </c>
      <c r="C2669">
        <f>IFERROR(LARGE(Segmen!$D$3:$D$6000,A2669),"")</f>
        <v/>
      </c>
    </row>
    <row r="2670">
      <c r="A2670" t="n">
        <v>2669</v>
      </c>
      <c r="B2670">
        <f>IFERROR(INDEX(Segmen!$A$3:$A$6000,MATCH(C2670,Segmen!$D$3:$D$6000,0)),"")</f>
        <v/>
      </c>
      <c r="C2670">
        <f>IFERROR(LARGE(Segmen!$D$3:$D$6000,A2670),"")</f>
        <v/>
      </c>
    </row>
    <row r="2671">
      <c r="A2671" t="n">
        <v>2670</v>
      </c>
      <c r="B2671">
        <f>IFERROR(INDEX(Segmen!$A$3:$A$6000,MATCH(C2671,Segmen!$D$3:$D$6000,0)),"")</f>
        <v/>
      </c>
      <c r="C2671">
        <f>IFERROR(LARGE(Segmen!$D$3:$D$6000,A2671),"")</f>
        <v/>
      </c>
    </row>
    <row r="2672">
      <c r="A2672" t="n">
        <v>2671</v>
      </c>
      <c r="B2672">
        <f>IFERROR(INDEX(Segmen!$A$3:$A$6000,MATCH(C2672,Segmen!$D$3:$D$6000,0)),"")</f>
        <v/>
      </c>
      <c r="C2672">
        <f>IFERROR(LARGE(Segmen!$D$3:$D$6000,A2672),"")</f>
        <v/>
      </c>
    </row>
    <row r="2673">
      <c r="A2673" t="n">
        <v>2672</v>
      </c>
      <c r="B2673">
        <f>IFERROR(INDEX(Segmen!$A$3:$A$6000,MATCH(C2673,Segmen!$D$3:$D$6000,0)),"")</f>
        <v/>
      </c>
      <c r="C2673">
        <f>IFERROR(LARGE(Segmen!$D$3:$D$6000,A2673),"")</f>
        <v/>
      </c>
    </row>
    <row r="2674">
      <c r="A2674" t="n">
        <v>2673</v>
      </c>
      <c r="B2674">
        <f>IFERROR(INDEX(Segmen!$A$3:$A$6000,MATCH(C2674,Segmen!$D$3:$D$6000,0)),"")</f>
        <v/>
      </c>
      <c r="C2674">
        <f>IFERROR(LARGE(Segmen!$D$3:$D$6000,A2674),"")</f>
        <v/>
      </c>
    </row>
    <row r="2675">
      <c r="A2675" t="n">
        <v>2674</v>
      </c>
      <c r="B2675">
        <f>IFERROR(INDEX(Segmen!$A$3:$A$6000,MATCH(C2675,Segmen!$D$3:$D$6000,0)),"")</f>
        <v/>
      </c>
      <c r="C2675">
        <f>IFERROR(LARGE(Segmen!$D$3:$D$6000,A2675),"")</f>
        <v/>
      </c>
    </row>
    <row r="2676">
      <c r="A2676" t="n">
        <v>2675</v>
      </c>
      <c r="B2676">
        <f>IFERROR(INDEX(Segmen!$A$3:$A$6000,MATCH(C2676,Segmen!$D$3:$D$6000,0)),"")</f>
        <v/>
      </c>
      <c r="C2676">
        <f>IFERROR(LARGE(Segmen!$D$3:$D$6000,A2676),"")</f>
        <v/>
      </c>
    </row>
    <row r="2677">
      <c r="A2677" t="n">
        <v>2676</v>
      </c>
      <c r="B2677">
        <f>IFERROR(INDEX(Segmen!$A$3:$A$6000,MATCH(C2677,Segmen!$D$3:$D$6000,0)),"")</f>
        <v/>
      </c>
      <c r="C2677">
        <f>IFERROR(LARGE(Segmen!$D$3:$D$6000,A2677),"")</f>
        <v/>
      </c>
    </row>
    <row r="2678">
      <c r="A2678" t="n">
        <v>2677</v>
      </c>
      <c r="B2678">
        <f>IFERROR(INDEX(Segmen!$A$3:$A$6000,MATCH(C2678,Segmen!$D$3:$D$6000,0)),"")</f>
        <v/>
      </c>
      <c r="C2678">
        <f>IFERROR(LARGE(Segmen!$D$3:$D$6000,A2678),"")</f>
        <v/>
      </c>
    </row>
    <row r="2679">
      <c r="A2679" t="n">
        <v>2678</v>
      </c>
      <c r="B2679">
        <f>IFERROR(INDEX(Segmen!$A$3:$A$6000,MATCH(C2679,Segmen!$D$3:$D$6000,0)),"")</f>
        <v/>
      </c>
      <c r="C2679">
        <f>IFERROR(LARGE(Segmen!$D$3:$D$6000,A2679),"")</f>
        <v/>
      </c>
    </row>
    <row r="2680">
      <c r="A2680" t="n">
        <v>2679</v>
      </c>
      <c r="B2680">
        <f>IFERROR(INDEX(Segmen!$A$3:$A$6000,MATCH(C2680,Segmen!$D$3:$D$6000,0)),"")</f>
        <v/>
      </c>
      <c r="C2680">
        <f>IFERROR(LARGE(Segmen!$D$3:$D$6000,A2680),"")</f>
        <v/>
      </c>
    </row>
    <row r="2681">
      <c r="A2681" t="n">
        <v>2680</v>
      </c>
      <c r="B2681">
        <f>IFERROR(INDEX(Segmen!$A$3:$A$6000,MATCH(C2681,Segmen!$D$3:$D$6000,0)),"")</f>
        <v/>
      </c>
      <c r="C2681">
        <f>IFERROR(LARGE(Segmen!$D$3:$D$6000,A2681),"")</f>
        <v/>
      </c>
    </row>
    <row r="2682">
      <c r="A2682" t="n">
        <v>2681</v>
      </c>
      <c r="B2682">
        <f>IFERROR(INDEX(Segmen!$A$3:$A$6000,MATCH(C2682,Segmen!$D$3:$D$6000,0)),"")</f>
        <v/>
      </c>
      <c r="C2682">
        <f>IFERROR(LARGE(Segmen!$D$3:$D$6000,A2682),"")</f>
        <v/>
      </c>
    </row>
    <row r="2683">
      <c r="A2683" t="n">
        <v>2682</v>
      </c>
      <c r="B2683">
        <f>IFERROR(INDEX(Segmen!$A$3:$A$6000,MATCH(C2683,Segmen!$D$3:$D$6000,0)),"")</f>
        <v/>
      </c>
      <c r="C2683">
        <f>IFERROR(LARGE(Segmen!$D$3:$D$6000,A2683),"")</f>
        <v/>
      </c>
    </row>
    <row r="2684">
      <c r="A2684" t="n">
        <v>2683</v>
      </c>
      <c r="B2684">
        <f>IFERROR(INDEX(Segmen!$A$3:$A$6000,MATCH(C2684,Segmen!$D$3:$D$6000,0)),"")</f>
        <v/>
      </c>
      <c r="C2684">
        <f>IFERROR(LARGE(Segmen!$D$3:$D$6000,A2684),"")</f>
        <v/>
      </c>
    </row>
    <row r="2685">
      <c r="A2685" t="n">
        <v>2684</v>
      </c>
      <c r="B2685">
        <f>IFERROR(INDEX(Segmen!$A$3:$A$6000,MATCH(C2685,Segmen!$D$3:$D$6000,0)),"")</f>
        <v/>
      </c>
      <c r="C2685">
        <f>IFERROR(LARGE(Segmen!$D$3:$D$6000,A2685),"")</f>
        <v/>
      </c>
    </row>
    <row r="2686">
      <c r="A2686" t="n">
        <v>2685</v>
      </c>
      <c r="B2686">
        <f>IFERROR(INDEX(Segmen!$A$3:$A$6000,MATCH(C2686,Segmen!$D$3:$D$6000,0)),"")</f>
        <v/>
      </c>
      <c r="C2686">
        <f>IFERROR(LARGE(Segmen!$D$3:$D$6000,A2686),"")</f>
        <v/>
      </c>
    </row>
    <row r="2687">
      <c r="A2687" t="n">
        <v>2686</v>
      </c>
      <c r="B2687">
        <f>IFERROR(INDEX(Segmen!$A$3:$A$6000,MATCH(C2687,Segmen!$D$3:$D$6000,0)),"")</f>
        <v/>
      </c>
      <c r="C2687">
        <f>IFERROR(LARGE(Segmen!$D$3:$D$6000,A2687),"")</f>
        <v/>
      </c>
    </row>
    <row r="2688">
      <c r="A2688" t="n">
        <v>2687</v>
      </c>
      <c r="B2688">
        <f>IFERROR(INDEX(Segmen!$A$3:$A$6000,MATCH(C2688,Segmen!$D$3:$D$6000,0)),"")</f>
        <v/>
      </c>
      <c r="C2688">
        <f>IFERROR(LARGE(Segmen!$D$3:$D$6000,A2688),"")</f>
        <v/>
      </c>
    </row>
    <row r="2689">
      <c r="A2689" t="n">
        <v>2688</v>
      </c>
      <c r="B2689">
        <f>IFERROR(INDEX(Segmen!$A$3:$A$6000,MATCH(C2689,Segmen!$D$3:$D$6000,0)),"")</f>
        <v/>
      </c>
      <c r="C2689">
        <f>IFERROR(LARGE(Segmen!$D$3:$D$6000,A2689),"")</f>
        <v/>
      </c>
    </row>
    <row r="2690">
      <c r="A2690" t="n">
        <v>2689</v>
      </c>
      <c r="B2690">
        <f>IFERROR(INDEX(Segmen!$A$3:$A$6000,MATCH(C2690,Segmen!$D$3:$D$6000,0)),"")</f>
        <v/>
      </c>
      <c r="C2690">
        <f>IFERROR(LARGE(Segmen!$D$3:$D$6000,A2690),"")</f>
        <v/>
      </c>
    </row>
    <row r="2691">
      <c r="A2691" t="n">
        <v>2690</v>
      </c>
      <c r="B2691">
        <f>IFERROR(INDEX(Segmen!$A$3:$A$6000,MATCH(C2691,Segmen!$D$3:$D$6000,0)),"")</f>
        <v/>
      </c>
      <c r="C2691">
        <f>IFERROR(LARGE(Segmen!$D$3:$D$6000,A2691),"")</f>
        <v/>
      </c>
    </row>
    <row r="2692">
      <c r="A2692" t="n">
        <v>2691</v>
      </c>
      <c r="B2692">
        <f>IFERROR(INDEX(Segmen!$A$3:$A$6000,MATCH(C2692,Segmen!$D$3:$D$6000,0)),"")</f>
        <v/>
      </c>
      <c r="C2692">
        <f>IFERROR(LARGE(Segmen!$D$3:$D$6000,A2692),"")</f>
        <v/>
      </c>
    </row>
    <row r="2693">
      <c r="A2693" t="n">
        <v>2692</v>
      </c>
      <c r="B2693">
        <f>IFERROR(INDEX(Segmen!$A$3:$A$6000,MATCH(C2693,Segmen!$D$3:$D$6000,0)),"")</f>
        <v/>
      </c>
      <c r="C2693">
        <f>IFERROR(LARGE(Segmen!$D$3:$D$6000,A2693),"")</f>
        <v/>
      </c>
    </row>
    <row r="2694">
      <c r="A2694" t="n">
        <v>2693</v>
      </c>
      <c r="B2694">
        <f>IFERROR(INDEX(Segmen!$A$3:$A$6000,MATCH(C2694,Segmen!$D$3:$D$6000,0)),"")</f>
        <v/>
      </c>
      <c r="C2694">
        <f>IFERROR(LARGE(Segmen!$D$3:$D$6000,A2694),"")</f>
        <v/>
      </c>
    </row>
    <row r="2695">
      <c r="A2695" t="n">
        <v>2694</v>
      </c>
      <c r="B2695">
        <f>IFERROR(INDEX(Segmen!$A$3:$A$6000,MATCH(C2695,Segmen!$D$3:$D$6000,0)),"")</f>
        <v/>
      </c>
      <c r="C2695">
        <f>IFERROR(LARGE(Segmen!$D$3:$D$6000,A2695),"")</f>
        <v/>
      </c>
    </row>
    <row r="2696">
      <c r="A2696" t="n">
        <v>2695</v>
      </c>
      <c r="B2696">
        <f>IFERROR(INDEX(Segmen!$A$3:$A$6000,MATCH(C2696,Segmen!$D$3:$D$6000,0)),"")</f>
        <v/>
      </c>
      <c r="C2696">
        <f>IFERROR(LARGE(Segmen!$D$3:$D$6000,A2696),"")</f>
        <v/>
      </c>
    </row>
    <row r="2697">
      <c r="A2697" t="n">
        <v>2696</v>
      </c>
      <c r="B2697">
        <f>IFERROR(INDEX(Segmen!$A$3:$A$6000,MATCH(C2697,Segmen!$D$3:$D$6000,0)),"")</f>
        <v/>
      </c>
      <c r="C2697">
        <f>IFERROR(LARGE(Segmen!$D$3:$D$6000,A2697),"")</f>
        <v/>
      </c>
    </row>
    <row r="2698">
      <c r="A2698" t="n">
        <v>2697</v>
      </c>
      <c r="B2698">
        <f>IFERROR(INDEX(Segmen!$A$3:$A$6000,MATCH(C2698,Segmen!$D$3:$D$6000,0)),"")</f>
        <v/>
      </c>
      <c r="C2698">
        <f>IFERROR(LARGE(Segmen!$D$3:$D$6000,A2698),"")</f>
        <v/>
      </c>
    </row>
    <row r="2699">
      <c r="A2699" t="n">
        <v>2698</v>
      </c>
      <c r="B2699">
        <f>IFERROR(INDEX(Segmen!$A$3:$A$6000,MATCH(C2699,Segmen!$D$3:$D$6000,0)),"")</f>
        <v/>
      </c>
      <c r="C2699">
        <f>IFERROR(LARGE(Segmen!$D$3:$D$6000,A2699),"")</f>
        <v/>
      </c>
    </row>
    <row r="2700">
      <c r="A2700" t="n">
        <v>2699</v>
      </c>
      <c r="B2700">
        <f>IFERROR(INDEX(Segmen!$A$3:$A$6000,MATCH(C2700,Segmen!$D$3:$D$6000,0)),"")</f>
        <v/>
      </c>
      <c r="C2700">
        <f>IFERROR(LARGE(Segmen!$D$3:$D$6000,A2700),"")</f>
        <v/>
      </c>
    </row>
    <row r="2701">
      <c r="A2701" t="n">
        <v>2700</v>
      </c>
      <c r="B2701">
        <f>IFERROR(INDEX(Segmen!$A$3:$A$6000,MATCH(C2701,Segmen!$D$3:$D$6000,0)),"")</f>
        <v/>
      </c>
      <c r="C2701">
        <f>IFERROR(LARGE(Segmen!$D$3:$D$6000,A2701),"")</f>
        <v/>
      </c>
    </row>
    <row r="2702">
      <c r="A2702" t="n">
        <v>2701</v>
      </c>
      <c r="B2702">
        <f>IFERROR(INDEX(Segmen!$A$3:$A$6000,MATCH(C2702,Segmen!$D$3:$D$6000,0)),"")</f>
        <v/>
      </c>
      <c r="C2702">
        <f>IFERROR(LARGE(Segmen!$D$3:$D$6000,A2702),"")</f>
        <v/>
      </c>
    </row>
    <row r="2703">
      <c r="A2703" t="n">
        <v>2702</v>
      </c>
      <c r="B2703">
        <f>IFERROR(INDEX(Segmen!$A$3:$A$6000,MATCH(C2703,Segmen!$D$3:$D$6000,0)),"")</f>
        <v/>
      </c>
      <c r="C2703">
        <f>IFERROR(LARGE(Segmen!$D$3:$D$6000,A2703),"")</f>
        <v/>
      </c>
    </row>
    <row r="2704">
      <c r="A2704" t="n">
        <v>2703</v>
      </c>
      <c r="B2704">
        <f>IFERROR(INDEX(Segmen!$A$3:$A$6000,MATCH(C2704,Segmen!$D$3:$D$6000,0)),"")</f>
        <v/>
      </c>
      <c r="C2704">
        <f>IFERROR(LARGE(Segmen!$D$3:$D$6000,A2704),"")</f>
        <v/>
      </c>
    </row>
    <row r="2705">
      <c r="A2705" t="n">
        <v>2704</v>
      </c>
      <c r="B2705">
        <f>IFERROR(INDEX(Segmen!$A$3:$A$6000,MATCH(C2705,Segmen!$D$3:$D$6000,0)),"")</f>
        <v/>
      </c>
      <c r="C2705">
        <f>IFERROR(LARGE(Segmen!$D$3:$D$6000,A2705),"")</f>
        <v/>
      </c>
    </row>
    <row r="2706">
      <c r="A2706" t="n">
        <v>2705</v>
      </c>
      <c r="B2706">
        <f>IFERROR(INDEX(Segmen!$A$3:$A$6000,MATCH(C2706,Segmen!$D$3:$D$6000,0)),"")</f>
        <v/>
      </c>
      <c r="C2706">
        <f>IFERROR(LARGE(Segmen!$D$3:$D$6000,A2706),"")</f>
        <v/>
      </c>
    </row>
    <row r="2707">
      <c r="A2707" t="n">
        <v>2706</v>
      </c>
      <c r="B2707">
        <f>IFERROR(INDEX(Segmen!$A$3:$A$6000,MATCH(C2707,Segmen!$D$3:$D$6000,0)),"")</f>
        <v/>
      </c>
      <c r="C2707">
        <f>IFERROR(LARGE(Segmen!$D$3:$D$6000,A2707),"")</f>
        <v/>
      </c>
    </row>
    <row r="2708">
      <c r="A2708" t="n">
        <v>2707</v>
      </c>
      <c r="B2708">
        <f>IFERROR(INDEX(Segmen!$A$3:$A$6000,MATCH(C2708,Segmen!$D$3:$D$6000,0)),"")</f>
        <v/>
      </c>
      <c r="C2708">
        <f>IFERROR(LARGE(Segmen!$D$3:$D$6000,A2708),"")</f>
        <v/>
      </c>
    </row>
    <row r="2709">
      <c r="A2709" t="n">
        <v>2708</v>
      </c>
      <c r="B2709">
        <f>IFERROR(INDEX(Segmen!$A$3:$A$6000,MATCH(C2709,Segmen!$D$3:$D$6000,0)),"")</f>
        <v/>
      </c>
      <c r="C2709">
        <f>IFERROR(LARGE(Segmen!$D$3:$D$6000,A2709),"")</f>
        <v/>
      </c>
    </row>
    <row r="2710">
      <c r="A2710" t="n">
        <v>2709</v>
      </c>
      <c r="B2710">
        <f>IFERROR(INDEX(Segmen!$A$3:$A$6000,MATCH(C2710,Segmen!$D$3:$D$6000,0)),"")</f>
        <v/>
      </c>
      <c r="C2710">
        <f>IFERROR(LARGE(Segmen!$D$3:$D$6000,A2710),"")</f>
        <v/>
      </c>
    </row>
    <row r="2711">
      <c r="A2711" t="n">
        <v>2710</v>
      </c>
      <c r="B2711">
        <f>IFERROR(INDEX(Segmen!$A$3:$A$6000,MATCH(C2711,Segmen!$D$3:$D$6000,0)),"")</f>
        <v/>
      </c>
      <c r="C2711">
        <f>IFERROR(LARGE(Segmen!$D$3:$D$6000,A2711),"")</f>
        <v/>
      </c>
    </row>
    <row r="2712">
      <c r="A2712" t="n">
        <v>2711</v>
      </c>
      <c r="B2712">
        <f>IFERROR(INDEX(Segmen!$A$3:$A$6000,MATCH(C2712,Segmen!$D$3:$D$6000,0)),"")</f>
        <v/>
      </c>
      <c r="C2712">
        <f>IFERROR(LARGE(Segmen!$D$3:$D$6000,A2712),"")</f>
        <v/>
      </c>
    </row>
    <row r="2713">
      <c r="A2713" t="n">
        <v>2712</v>
      </c>
      <c r="B2713">
        <f>IFERROR(INDEX(Segmen!$A$3:$A$6000,MATCH(C2713,Segmen!$D$3:$D$6000,0)),"")</f>
        <v/>
      </c>
      <c r="C2713">
        <f>IFERROR(LARGE(Segmen!$D$3:$D$6000,A2713),"")</f>
        <v/>
      </c>
    </row>
    <row r="2714">
      <c r="A2714" t="n">
        <v>2713</v>
      </c>
      <c r="B2714">
        <f>IFERROR(INDEX(Segmen!$A$3:$A$6000,MATCH(C2714,Segmen!$D$3:$D$6000,0)),"")</f>
        <v/>
      </c>
      <c r="C2714">
        <f>IFERROR(LARGE(Segmen!$D$3:$D$6000,A2714),"")</f>
        <v/>
      </c>
    </row>
    <row r="2715">
      <c r="A2715" t="n">
        <v>2714</v>
      </c>
      <c r="B2715">
        <f>IFERROR(INDEX(Segmen!$A$3:$A$6000,MATCH(C2715,Segmen!$D$3:$D$6000,0)),"")</f>
        <v/>
      </c>
      <c r="C2715">
        <f>IFERROR(LARGE(Segmen!$D$3:$D$6000,A2715),"")</f>
        <v/>
      </c>
    </row>
    <row r="2716">
      <c r="A2716" t="n">
        <v>2715</v>
      </c>
      <c r="B2716">
        <f>IFERROR(INDEX(Segmen!$A$3:$A$6000,MATCH(C2716,Segmen!$D$3:$D$6000,0)),"")</f>
        <v/>
      </c>
      <c r="C2716">
        <f>IFERROR(LARGE(Segmen!$D$3:$D$6000,A2716),"")</f>
        <v/>
      </c>
    </row>
    <row r="2717">
      <c r="A2717" t="n">
        <v>2716</v>
      </c>
      <c r="B2717">
        <f>IFERROR(INDEX(Segmen!$A$3:$A$6000,MATCH(C2717,Segmen!$D$3:$D$6000,0)),"")</f>
        <v/>
      </c>
      <c r="C2717">
        <f>IFERROR(LARGE(Segmen!$D$3:$D$6000,A2717),"")</f>
        <v/>
      </c>
    </row>
    <row r="2718">
      <c r="A2718" t="n">
        <v>2717</v>
      </c>
      <c r="B2718">
        <f>IFERROR(INDEX(Segmen!$A$3:$A$6000,MATCH(C2718,Segmen!$D$3:$D$6000,0)),"")</f>
        <v/>
      </c>
      <c r="C2718">
        <f>IFERROR(LARGE(Segmen!$D$3:$D$6000,A2718),"")</f>
        <v/>
      </c>
    </row>
    <row r="2719">
      <c r="A2719" t="n">
        <v>2718</v>
      </c>
      <c r="B2719">
        <f>IFERROR(INDEX(Segmen!$A$3:$A$6000,MATCH(C2719,Segmen!$D$3:$D$6000,0)),"")</f>
        <v/>
      </c>
      <c r="C2719">
        <f>IFERROR(LARGE(Segmen!$D$3:$D$6000,A2719),"")</f>
        <v/>
      </c>
    </row>
    <row r="2720">
      <c r="A2720" t="n">
        <v>2719</v>
      </c>
      <c r="B2720">
        <f>IFERROR(INDEX(Segmen!$A$3:$A$6000,MATCH(C2720,Segmen!$D$3:$D$6000,0)),"")</f>
        <v/>
      </c>
      <c r="C2720">
        <f>IFERROR(LARGE(Segmen!$D$3:$D$6000,A2720),"")</f>
        <v/>
      </c>
    </row>
    <row r="2721">
      <c r="A2721" t="n">
        <v>2720</v>
      </c>
      <c r="B2721">
        <f>IFERROR(INDEX(Segmen!$A$3:$A$6000,MATCH(C2721,Segmen!$D$3:$D$6000,0)),"")</f>
        <v/>
      </c>
      <c r="C2721">
        <f>IFERROR(LARGE(Segmen!$D$3:$D$6000,A2721),"")</f>
        <v/>
      </c>
    </row>
    <row r="2722">
      <c r="A2722" t="n">
        <v>2721</v>
      </c>
      <c r="B2722">
        <f>IFERROR(INDEX(Segmen!$A$3:$A$6000,MATCH(C2722,Segmen!$D$3:$D$6000,0)),"")</f>
        <v/>
      </c>
      <c r="C2722">
        <f>IFERROR(LARGE(Segmen!$D$3:$D$6000,A2722),"")</f>
        <v/>
      </c>
    </row>
    <row r="2723">
      <c r="A2723" t="n">
        <v>2722</v>
      </c>
      <c r="B2723">
        <f>IFERROR(INDEX(Segmen!$A$3:$A$6000,MATCH(C2723,Segmen!$D$3:$D$6000,0)),"")</f>
        <v/>
      </c>
      <c r="C2723">
        <f>IFERROR(LARGE(Segmen!$D$3:$D$6000,A2723),"")</f>
        <v/>
      </c>
    </row>
    <row r="2724">
      <c r="A2724" t="n">
        <v>2723</v>
      </c>
      <c r="B2724">
        <f>IFERROR(INDEX(Segmen!$A$3:$A$6000,MATCH(C2724,Segmen!$D$3:$D$6000,0)),"")</f>
        <v/>
      </c>
      <c r="C2724">
        <f>IFERROR(LARGE(Segmen!$D$3:$D$6000,A2724),"")</f>
        <v/>
      </c>
    </row>
    <row r="2725">
      <c r="A2725" t="n">
        <v>2724</v>
      </c>
      <c r="B2725">
        <f>IFERROR(INDEX(Segmen!$A$3:$A$6000,MATCH(C2725,Segmen!$D$3:$D$6000,0)),"")</f>
        <v/>
      </c>
      <c r="C2725">
        <f>IFERROR(LARGE(Segmen!$D$3:$D$6000,A2725),"")</f>
        <v/>
      </c>
    </row>
    <row r="2726">
      <c r="A2726" t="n">
        <v>2725</v>
      </c>
      <c r="B2726">
        <f>IFERROR(INDEX(Segmen!$A$3:$A$6000,MATCH(C2726,Segmen!$D$3:$D$6000,0)),"")</f>
        <v/>
      </c>
      <c r="C2726">
        <f>IFERROR(LARGE(Segmen!$D$3:$D$6000,A2726),"")</f>
        <v/>
      </c>
    </row>
    <row r="2727">
      <c r="A2727" t="n">
        <v>2726</v>
      </c>
      <c r="B2727">
        <f>IFERROR(INDEX(Segmen!$A$3:$A$6000,MATCH(C2727,Segmen!$D$3:$D$6000,0)),"")</f>
        <v/>
      </c>
      <c r="C2727">
        <f>IFERROR(LARGE(Segmen!$D$3:$D$6000,A2727),"")</f>
        <v/>
      </c>
    </row>
    <row r="2728">
      <c r="A2728" t="n">
        <v>2727</v>
      </c>
      <c r="B2728">
        <f>IFERROR(INDEX(Segmen!$A$3:$A$6000,MATCH(C2728,Segmen!$D$3:$D$6000,0)),"")</f>
        <v/>
      </c>
      <c r="C2728">
        <f>IFERROR(LARGE(Segmen!$D$3:$D$6000,A2728),"")</f>
        <v/>
      </c>
    </row>
    <row r="2729">
      <c r="A2729" t="n">
        <v>2728</v>
      </c>
      <c r="B2729">
        <f>IFERROR(INDEX(Segmen!$A$3:$A$6000,MATCH(C2729,Segmen!$D$3:$D$6000,0)),"")</f>
        <v/>
      </c>
      <c r="C2729">
        <f>IFERROR(LARGE(Segmen!$D$3:$D$6000,A2729),"")</f>
        <v/>
      </c>
    </row>
    <row r="2730">
      <c r="A2730" t="n">
        <v>2729</v>
      </c>
      <c r="B2730">
        <f>IFERROR(INDEX(Segmen!$A$3:$A$6000,MATCH(C2730,Segmen!$D$3:$D$6000,0)),"")</f>
        <v/>
      </c>
      <c r="C2730">
        <f>IFERROR(LARGE(Segmen!$D$3:$D$6000,A2730),"")</f>
        <v/>
      </c>
    </row>
    <row r="2731">
      <c r="A2731" t="n">
        <v>2730</v>
      </c>
      <c r="B2731">
        <f>IFERROR(INDEX(Segmen!$A$3:$A$6000,MATCH(C2731,Segmen!$D$3:$D$6000,0)),"")</f>
        <v/>
      </c>
      <c r="C2731">
        <f>IFERROR(LARGE(Segmen!$D$3:$D$6000,A2731),"")</f>
        <v/>
      </c>
    </row>
    <row r="2732">
      <c r="A2732" t="n">
        <v>2731</v>
      </c>
      <c r="B2732">
        <f>IFERROR(INDEX(Segmen!$A$3:$A$6000,MATCH(C2732,Segmen!$D$3:$D$6000,0)),"")</f>
        <v/>
      </c>
      <c r="C2732">
        <f>IFERROR(LARGE(Segmen!$D$3:$D$6000,A2732),"")</f>
        <v/>
      </c>
    </row>
    <row r="2733">
      <c r="A2733" t="n">
        <v>2732</v>
      </c>
      <c r="B2733">
        <f>IFERROR(INDEX(Segmen!$A$3:$A$6000,MATCH(C2733,Segmen!$D$3:$D$6000,0)),"")</f>
        <v/>
      </c>
      <c r="C2733">
        <f>IFERROR(LARGE(Segmen!$D$3:$D$6000,A2733),"")</f>
        <v/>
      </c>
    </row>
    <row r="2734">
      <c r="A2734" t="n">
        <v>2733</v>
      </c>
      <c r="B2734">
        <f>IFERROR(INDEX(Segmen!$A$3:$A$6000,MATCH(C2734,Segmen!$D$3:$D$6000,0)),"")</f>
        <v/>
      </c>
      <c r="C2734">
        <f>IFERROR(LARGE(Segmen!$D$3:$D$6000,A2734),"")</f>
        <v/>
      </c>
    </row>
    <row r="2735">
      <c r="A2735" t="n">
        <v>2734</v>
      </c>
      <c r="B2735">
        <f>IFERROR(INDEX(Segmen!$A$3:$A$6000,MATCH(C2735,Segmen!$D$3:$D$6000,0)),"")</f>
        <v/>
      </c>
      <c r="C2735">
        <f>IFERROR(LARGE(Segmen!$D$3:$D$6000,A2735),"")</f>
        <v/>
      </c>
    </row>
    <row r="2736">
      <c r="A2736" t="n">
        <v>2735</v>
      </c>
      <c r="B2736">
        <f>IFERROR(INDEX(Segmen!$A$3:$A$6000,MATCH(C2736,Segmen!$D$3:$D$6000,0)),"")</f>
        <v/>
      </c>
      <c r="C2736">
        <f>IFERROR(LARGE(Segmen!$D$3:$D$6000,A2736),"")</f>
        <v/>
      </c>
    </row>
    <row r="2737">
      <c r="A2737" t="n">
        <v>2736</v>
      </c>
      <c r="B2737">
        <f>IFERROR(INDEX(Segmen!$A$3:$A$6000,MATCH(C2737,Segmen!$D$3:$D$6000,0)),"")</f>
        <v/>
      </c>
      <c r="C2737">
        <f>IFERROR(LARGE(Segmen!$D$3:$D$6000,A2737),"")</f>
        <v/>
      </c>
    </row>
    <row r="2738">
      <c r="A2738" t="n">
        <v>2737</v>
      </c>
      <c r="B2738">
        <f>IFERROR(INDEX(Segmen!$A$3:$A$6000,MATCH(C2738,Segmen!$D$3:$D$6000,0)),"")</f>
        <v/>
      </c>
      <c r="C2738">
        <f>IFERROR(LARGE(Segmen!$D$3:$D$6000,A2738),"")</f>
        <v/>
      </c>
    </row>
    <row r="2739">
      <c r="A2739" t="n">
        <v>2738</v>
      </c>
      <c r="B2739">
        <f>IFERROR(INDEX(Segmen!$A$3:$A$6000,MATCH(C2739,Segmen!$D$3:$D$6000,0)),"")</f>
        <v/>
      </c>
      <c r="C2739">
        <f>IFERROR(LARGE(Segmen!$D$3:$D$6000,A2739),"")</f>
        <v/>
      </c>
    </row>
    <row r="2740">
      <c r="A2740" t="n">
        <v>2739</v>
      </c>
      <c r="B2740">
        <f>IFERROR(INDEX(Segmen!$A$3:$A$6000,MATCH(C2740,Segmen!$D$3:$D$6000,0)),"")</f>
        <v/>
      </c>
      <c r="C2740">
        <f>IFERROR(LARGE(Segmen!$D$3:$D$6000,A2740),"")</f>
        <v/>
      </c>
    </row>
    <row r="2741">
      <c r="A2741" t="n">
        <v>2740</v>
      </c>
      <c r="B2741">
        <f>IFERROR(INDEX(Segmen!$A$3:$A$6000,MATCH(C2741,Segmen!$D$3:$D$6000,0)),"")</f>
        <v/>
      </c>
      <c r="C2741">
        <f>IFERROR(LARGE(Segmen!$D$3:$D$6000,A2741),"")</f>
        <v/>
      </c>
    </row>
    <row r="2742">
      <c r="A2742" t="n">
        <v>2741</v>
      </c>
      <c r="B2742">
        <f>IFERROR(INDEX(Segmen!$A$3:$A$6000,MATCH(C2742,Segmen!$D$3:$D$6000,0)),"")</f>
        <v/>
      </c>
      <c r="C2742">
        <f>IFERROR(LARGE(Segmen!$D$3:$D$6000,A2742),"")</f>
        <v/>
      </c>
    </row>
    <row r="2743">
      <c r="A2743" t="n">
        <v>2742</v>
      </c>
      <c r="B2743">
        <f>IFERROR(INDEX(Segmen!$A$3:$A$6000,MATCH(C2743,Segmen!$D$3:$D$6000,0)),"")</f>
        <v/>
      </c>
      <c r="C2743">
        <f>IFERROR(LARGE(Segmen!$D$3:$D$6000,A2743),"")</f>
        <v/>
      </c>
    </row>
    <row r="2744">
      <c r="A2744" t="n">
        <v>2743</v>
      </c>
      <c r="B2744">
        <f>IFERROR(INDEX(Segmen!$A$3:$A$6000,MATCH(C2744,Segmen!$D$3:$D$6000,0)),"")</f>
        <v/>
      </c>
      <c r="C2744">
        <f>IFERROR(LARGE(Segmen!$D$3:$D$6000,A2744),"")</f>
        <v/>
      </c>
    </row>
    <row r="2745">
      <c r="A2745" t="n">
        <v>2744</v>
      </c>
      <c r="B2745">
        <f>IFERROR(INDEX(Segmen!$A$3:$A$6000,MATCH(C2745,Segmen!$D$3:$D$6000,0)),"")</f>
        <v/>
      </c>
      <c r="C2745">
        <f>IFERROR(LARGE(Segmen!$D$3:$D$6000,A2745),"")</f>
        <v/>
      </c>
    </row>
    <row r="2746">
      <c r="A2746" t="n">
        <v>2745</v>
      </c>
      <c r="B2746">
        <f>IFERROR(INDEX(Segmen!$A$3:$A$6000,MATCH(C2746,Segmen!$D$3:$D$6000,0)),"")</f>
        <v/>
      </c>
      <c r="C2746">
        <f>IFERROR(LARGE(Segmen!$D$3:$D$6000,A2746),"")</f>
        <v/>
      </c>
    </row>
    <row r="2747">
      <c r="A2747" t="n">
        <v>2746</v>
      </c>
      <c r="B2747">
        <f>IFERROR(INDEX(Segmen!$A$3:$A$6000,MATCH(C2747,Segmen!$D$3:$D$6000,0)),"")</f>
        <v/>
      </c>
      <c r="C2747">
        <f>IFERROR(LARGE(Segmen!$D$3:$D$6000,A2747),"")</f>
        <v/>
      </c>
    </row>
    <row r="2748">
      <c r="A2748" t="n">
        <v>2747</v>
      </c>
      <c r="B2748">
        <f>IFERROR(INDEX(Segmen!$A$3:$A$6000,MATCH(C2748,Segmen!$D$3:$D$6000,0)),"")</f>
        <v/>
      </c>
      <c r="C2748">
        <f>IFERROR(LARGE(Segmen!$D$3:$D$6000,A2748),"")</f>
        <v/>
      </c>
    </row>
    <row r="2749">
      <c r="A2749" t="n">
        <v>2748</v>
      </c>
      <c r="B2749">
        <f>IFERROR(INDEX(Segmen!$A$3:$A$6000,MATCH(C2749,Segmen!$D$3:$D$6000,0)),"")</f>
        <v/>
      </c>
      <c r="C2749">
        <f>IFERROR(LARGE(Segmen!$D$3:$D$6000,A2749),"")</f>
        <v/>
      </c>
    </row>
    <row r="2750">
      <c r="A2750" t="n">
        <v>2749</v>
      </c>
      <c r="B2750">
        <f>IFERROR(INDEX(Segmen!$A$3:$A$6000,MATCH(C2750,Segmen!$D$3:$D$6000,0)),"")</f>
        <v/>
      </c>
      <c r="C2750">
        <f>IFERROR(LARGE(Segmen!$D$3:$D$6000,A2750),"")</f>
        <v/>
      </c>
    </row>
    <row r="2751">
      <c r="A2751" t="n">
        <v>2750</v>
      </c>
      <c r="B2751">
        <f>IFERROR(INDEX(Segmen!$A$3:$A$6000,MATCH(C2751,Segmen!$D$3:$D$6000,0)),"")</f>
        <v/>
      </c>
      <c r="C2751">
        <f>IFERROR(LARGE(Segmen!$D$3:$D$6000,A2751),"")</f>
        <v/>
      </c>
    </row>
    <row r="2752">
      <c r="A2752" t="n">
        <v>2751</v>
      </c>
      <c r="B2752">
        <f>IFERROR(INDEX(Segmen!$A$3:$A$6000,MATCH(C2752,Segmen!$D$3:$D$6000,0)),"")</f>
        <v/>
      </c>
      <c r="C2752">
        <f>IFERROR(LARGE(Segmen!$D$3:$D$6000,A2752),"")</f>
        <v/>
      </c>
    </row>
    <row r="2753">
      <c r="A2753" t="n">
        <v>2752</v>
      </c>
      <c r="B2753">
        <f>IFERROR(INDEX(Segmen!$A$3:$A$6000,MATCH(C2753,Segmen!$D$3:$D$6000,0)),"")</f>
        <v/>
      </c>
      <c r="C2753">
        <f>IFERROR(LARGE(Segmen!$D$3:$D$6000,A2753),"")</f>
        <v/>
      </c>
    </row>
    <row r="2754">
      <c r="A2754" t="n">
        <v>2753</v>
      </c>
      <c r="B2754">
        <f>IFERROR(INDEX(Segmen!$A$3:$A$6000,MATCH(C2754,Segmen!$D$3:$D$6000,0)),"")</f>
        <v/>
      </c>
      <c r="C2754">
        <f>IFERROR(LARGE(Segmen!$D$3:$D$6000,A2754),"")</f>
        <v/>
      </c>
    </row>
    <row r="2755">
      <c r="A2755" t="n">
        <v>2754</v>
      </c>
      <c r="B2755">
        <f>IFERROR(INDEX(Segmen!$A$3:$A$6000,MATCH(C2755,Segmen!$D$3:$D$6000,0)),"")</f>
        <v/>
      </c>
      <c r="C2755">
        <f>IFERROR(LARGE(Segmen!$D$3:$D$6000,A2755),"")</f>
        <v/>
      </c>
    </row>
    <row r="2756">
      <c r="A2756" t="n">
        <v>2755</v>
      </c>
      <c r="B2756">
        <f>IFERROR(INDEX(Segmen!$A$3:$A$6000,MATCH(C2756,Segmen!$D$3:$D$6000,0)),"")</f>
        <v/>
      </c>
      <c r="C2756">
        <f>IFERROR(LARGE(Segmen!$D$3:$D$6000,A2756),"")</f>
        <v/>
      </c>
    </row>
    <row r="2757">
      <c r="A2757" t="n">
        <v>2756</v>
      </c>
      <c r="B2757">
        <f>IFERROR(INDEX(Segmen!$A$3:$A$6000,MATCH(C2757,Segmen!$D$3:$D$6000,0)),"")</f>
        <v/>
      </c>
      <c r="C2757">
        <f>IFERROR(LARGE(Segmen!$D$3:$D$6000,A2757),"")</f>
        <v/>
      </c>
    </row>
    <row r="2758">
      <c r="A2758" t="n">
        <v>2757</v>
      </c>
      <c r="B2758">
        <f>IFERROR(INDEX(Segmen!$A$3:$A$6000,MATCH(C2758,Segmen!$D$3:$D$6000,0)),"")</f>
        <v/>
      </c>
      <c r="C2758">
        <f>IFERROR(LARGE(Segmen!$D$3:$D$6000,A2758),"")</f>
        <v/>
      </c>
    </row>
    <row r="2759">
      <c r="A2759" t="n">
        <v>2758</v>
      </c>
      <c r="B2759">
        <f>IFERROR(INDEX(Segmen!$A$3:$A$6000,MATCH(C2759,Segmen!$D$3:$D$6000,0)),"")</f>
        <v/>
      </c>
      <c r="C2759">
        <f>IFERROR(LARGE(Segmen!$D$3:$D$6000,A2759),"")</f>
        <v/>
      </c>
    </row>
    <row r="2760">
      <c r="A2760" t="n">
        <v>2759</v>
      </c>
      <c r="B2760">
        <f>IFERROR(INDEX(Segmen!$A$3:$A$6000,MATCH(C2760,Segmen!$D$3:$D$6000,0)),"")</f>
        <v/>
      </c>
      <c r="C2760">
        <f>IFERROR(LARGE(Segmen!$D$3:$D$6000,A2760),"")</f>
        <v/>
      </c>
    </row>
    <row r="2761">
      <c r="A2761" t="n">
        <v>2760</v>
      </c>
      <c r="B2761">
        <f>IFERROR(INDEX(Segmen!$A$3:$A$6000,MATCH(C2761,Segmen!$D$3:$D$6000,0)),"")</f>
        <v/>
      </c>
      <c r="C2761">
        <f>IFERROR(LARGE(Segmen!$D$3:$D$6000,A2761),"")</f>
        <v/>
      </c>
    </row>
    <row r="2762">
      <c r="A2762" t="n">
        <v>2761</v>
      </c>
      <c r="B2762">
        <f>IFERROR(INDEX(Segmen!$A$3:$A$6000,MATCH(C2762,Segmen!$D$3:$D$6000,0)),"")</f>
        <v/>
      </c>
      <c r="C2762">
        <f>IFERROR(LARGE(Segmen!$D$3:$D$6000,A2762),"")</f>
        <v/>
      </c>
    </row>
    <row r="2763">
      <c r="A2763" t="n">
        <v>2762</v>
      </c>
      <c r="B2763">
        <f>IFERROR(INDEX(Segmen!$A$3:$A$6000,MATCH(C2763,Segmen!$D$3:$D$6000,0)),"")</f>
        <v/>
      </c>
      <c r="C2763">
        <f>IFERROR(LARGE(Segmen!$D$3:$D$6000,A2763),"")</f>
        <v/>
      </c>
    </row>
    <row r="2764">
      <c r="A2764" t="n">
        <v>2763</v>
      </c>
      <c r="B2764">
        <f>IFERROR(INDEX(Segmen!$A$3:$A$6000,MATCH(C2764,Segmen!$D$3:$D$6000,0)),"")</f>
        <v/>
      </c>
      <c r="C2764">
        <f>IFERROR(LARGE(Segmen!$D$3:$D$6000,A2764),"")</f>
        <v/>
      </c>
    </row>
    <row r="2765">
      <c r="A2765" t="n">
        <v>2764</v>
      </c>
      <c r="B2765">
        <f>IFERROR(INDEX(Segmen!$A$3:$A$6000,MATCH(C2765,Segmen!$D$3:$D$6000,0)),"")</f>
        <v/>
      </c>
      <c r="C2765">
        <f>IFERROR(LARGE(Segmen!$D$3:$D$6000,A2765),"")</f>
        <v/>
      </c>
    </row>
    <row r="2766">
      <c r="A2766" t="n">
        <v>2765</v>
      </c>
      <c r="B2766">
        <f>IFERROR(INDEX(Segmen!$A$3:$A$6000,MATCH(C2766,Segmen!$D$3:$D$6000,0)),"")</f>
        <v/>
      </c>
      <c r="C2766">
        <f>IFERROR(LARGE(Segmen!$D$3:$D$6000,A2766),"")</f>
        <v/>
      </c>
    </row>
    <row r="2767">
      <c r="A2767" t="n">
        <v>2766</v>
      </c>
      <c r="B2767">
        <f>IFERROR(INDEX(Segmen!$A$3:$A$6000,MATCH(C2767,Segmen!$D$3:$D$6000,0)),"")</f>
        <v/>
      </c>
      <c r="C2767">
        <f>IFERROR(LARGE(Segmen!$D$3:$D$6000,A2767),"")</f>
        <v/>
      </c>
    </row>
    <row r="2768">
      <c r="A2768" t="n">
        <v>2767</v>
      </c>
      <c r="B2768">
        <f>IFERROR(INDEX(Segmen!$A$3:$A$6000,MATCH(C2768,Segmen!$D$3:$D$6000,0)),"")</f>
        <v/>
      </c>
      <c r="C2768">
        <f>IFERROR(LARGE(Segmen!$D$3:$D$6000,A2768),"")</f>
        <v/>
      </c>
    </row>
    <row r="2769">
      <c r="A2769" t="n">
        <v>2768</v>
      </c>
      <c r="B2769">
        <f>IFERROR(INDEX(Segmen!$A$3:$A$6000,MATCH(C2769,Segmen!$D$3:$D$6000,0)),"")</f>
        <v/>
      </c>
      <c r="C2769">
        <f>IFERROR(LARGE(Segmen!$D$3:$D$6000,A2769),"")</f>
        <v/>
      </c>
    </row>
    <row r="2770">
      <c r="A2770" t="n">
        <v>2769</v>
      </c>
      <c r="B2770">
        <f>IFERROR(INDEX(Segmen!$A$3:$A$6000,MATCH(C2770,Segmen!$D$3:$D$6000,0)),"")</f>
        <v/>
      </c>
      <c r="C2770">
        <f>IFERROR(LARGE(Segmen!$D$3:$D$6000,A2770),"")</f>
        <v/>
      </c>
    </row>
    <row r="2771">
      <c r="A2771" t="n">
        <v>2770</v>
      </c>
      <c r="B2771">
        <f>IFERROR(INDEX(Segmen!$A$3:$A$6000,MATCH(C2771,Segmen!$D$3:$D$6000,0)),"")</f>
        <v/>
      </c>
      <c r="C2771">
        <f>IFERROR(LARGE(Segmen!$D$3:$D$6000,A2771),"")</f>
        <v/>
      </c>
    </row>
    <row r="2772">
      <c r="A2772" t="n">
        <v>2771</v>
      </c>
      <c r="B2772">
        <f>IFERROR(INDEX(Segmen!$A$3:$A$6000,MATCH(C2772,Segmen!$D$3:$D$6000,0)),"")</f>
        <v/>
      </c>
      <c r="C2772">
        <f>IFERROR(LARGE(Segmen!$D$3:$D$6000,A2772),"")</f>
        <v/>
      </c>
    </row>
    <row r="2773">
      <c r="A2773" t="n">
        <v>2772</v>
      </c>
      <c r="B2773">
        <f>IFERROR(INDEX(Segmen!$A$3:$A$6000,MATCH(C2773,Segmen!$D$3:$D$6000,0)),"")</f>
        <v/>
      </c>
      <c r="C2773">
        <f>IFERROR(LARGE(Segmen!$D$3:$D$6000,A2773),"")</f>
        <v/>
      </c>
    </row>
    <row r="2774">
      <c r="A2774" t="n">
        <v>2773</v>
      </c>
      <c r="B2774">
        <f>IFERROR(INDEX(Segmen!$A$3:$A$6000,MATCH(C2774,Segmen!$D$3:$D$6000,0)),"")</f>
        <v/>
      </c>
      <c r="C2774">
        <f>IFERROR(LARGE(Segmen!$D$3:$D$6000,A2774),"")</f>
        <v/>
      </c>
    </row>
    <row r="2775">
      <c r="A2775" t="n">
        <v>2774</v>
      </c>
      <c r="B2775">
        <f>IFERROR(INDEX(Segmen!$A$3:$A$6000,MATCH(C2775,Segmen!$D$3:$D$6000,0)),"")</f>
        <v/>
      </c>
      <c r="C2775">
        <f>IFERROR(LARGE(Segmen!$D$3:$D$6000,A2775),"")</f>
        <v/>
      </c>
    </row>
    <row r="2776">
      <c r="A2776" t="n">
        <v>2775</v>
      </c>
      <c r="B2776">
        <f>IFERROR(INDEX(Segmen!$A$3:$A$6000,MATCH(C2776,Segmen!$D$3:$D$6000,0)),"")</f>
        <v/>
      </c>
      <c r="C2776">
        <f>IFERROR(LARGE(Segmen!$D$3:$D$6000,A2776),"")</f>
        <v/>
      </c>
    </row>
    <row r="2777">
      <c r="A2777" t="n">
        <v>2776</v>
      </c>
      <c r="B2777">
        <f>IFERROR(INDEX(Segmen!$A$3:$A$6000,MATCH(C2777,Segmen!$D$3:$D$6000,0)),"")</f>
        <v/>
      </c>
      <c r="C2777">
        <f>IFERROR(LARGE(Segmen!$D$3:$D$6000,A2777),"")</f>
        <v/>
      </c>
    </row>
    <row r="2778">
      <c r="A2778" t="n">
        <v>2777</v>
      </c>
      <c r="B2778">
        <f>IFERROR(INDEX(Segmen!$A$3:$A$6000,MATCH(C2778,Segmen!$D$3:$D$6000,0)),"")</f>
        <v/>
      </c>
      <c r="C2778">
        <f>IFERROR(LARGE(Segmen!$D$3:$D$6000,A2778),"")</f>
        <v/>
      </c>
    </row>
    <row r="2779">
      <c r="A2779" t="n">
        <v>2778</v>
      </c>
      <c r="B2779">
        <f>IFERROR(INDEX(Segmen!$A$3:$A$6000,MATCH(C2779,Segmen!$D$3:$D$6000,0)),"")</f>
        <v/>
      </c>
      <c r="C2779">
        <f>IFERROR(LARGE(Segmen!$D$3:$D$6000,A2779),"")</f>
        <v/>
      </c>
    </row>
    <row r="2780">
      <c r="A2780" t="n">
        <v>2779</v>
      </c>
      <c r="B2780">
        <f>IFERROR(INDEX(Segmen!$A$3:$A$6000,MATCH(C2780,Segmen!$D$3:$D$6000,0)),"")</f>
        <v/>
      </c>
      <c r="C2780">
        <f>IFERROR(LARGE(Segmen!$D$3:$D$6000,A2780),"")</f>
        <v/>
      </c>
    </row>
    <row r="2781">
      <c r="A2781" t="n">
        <v>2780</v>
      </c>
      <c r="B2781">
        <f>IFERROR(INDEX(Segmen!$A$3:$A$6000,MATCH(C2781,Segmen!$D$3:$D$6000,0)),"")</f>
        <v/>
      </c>
      <c r="C2781">
        <f>IFERROR(LARGE(Segmen!$D$3:$D$6000,A2781),"")</f>
        <v/>
      </c>
    </row>
    <row r="2782">
      <c r="A2782" t="n">
        <v>2781</v>
      </c>
      <c r="B2782">
        <f>IFERROR(INDEX(Segmen!$A$3:$A$6000,MATCH(C2782,Segmen!$D$3:$D$6000,0)),"")</f>
        <v/>
      </c>
      <c r="C2782">
        <f>IFERROR(LARGE(Segmen!$D$3:$D$6000,A2782),"")</f>
        <v/>
      </c>
    </row>
    <row r="2783">
      <c r="A2783" t="n">
        <v>2782</v>
      </c>
      <c r="B2783">
        <f>IFERROR(INDEX(Segmen!$A$3:$A$6000,MATCH(C2783,Segmen!$D$3:$D$6000,0)),"")</f>
        <v/>
      </c>
      <c r="C2783">
        <f>IFERROR(LARGE(Segmen!$D$3:$D$6000,A2783),"")</f>
        <v/>
      </c>
    </row>
    <row r="2784">
      <c r="A2784" t="n">
        <v>2783</v>
      </c>
      <c r="B2784">
        <f>IFERROR(INDEX(Segmen!$A$3:$A$6000,MATCH(C2784,Segmen!$D$3:$D$6000,0)),"")</f>
        <v/>
      </c>
      <c r="C2784">
        <f>IFERROR(LARGE(Segmen!$D$3:$D$6000,A2784),"")</f>
        <v/>
      </c>
    </row>
    <row r="2785">
      <c r="A2785" t="n">
        <v>2784</v>
      </c>
      <c r="B2785">
        <f>IFERROR(INDEX(Segmen!$A$3:$A$6000,MATCH(C2785,Segmen!$D$3:$D$6000,0)),"")</f>
        <v/>
      </c>
      <c r="C2785">
        <f>IFERROR(LARGE(Segmen!$D$3:$D$6000,A2785),"")</f>
        <v/>
      </c>
    </row>
    <row r="2786">
      <c r="A2786" t="n">
        <v>2785</v>
      </c>
      <c r="B2786">
        <f>IFERROR(INDEX(Segmen!$A$3:$A$6000,MATCH(C2786,Segmen!$D$3:$D$6000,0)),"")</f>
        <v/>
      </c>
      <c r="C2786">
        <f>IFERROR(LARGE(Segmen!$D$3:$D$6000,A2786),"")</f>
        <v/>
      </c>
    </row>
    <row r="2787">
      <c r="A2787" t="n">
        <v>2786</v>
      </c>
      <c r="B2787">
        <f>IFERROR(INDEX(Segmen!$A$3:$A$6000,MATCH(C2787,Segmen!$D$3:$D$6000,0)),"")</f>
        <v/>
      </c>
      <c r="C2787">
        <f>IFERROR(LARGE(Segmen!$D$3:$D$6000,A2787),"")</f>
        <v/>
      </c>
    </row>
    <row r="2788">
      <c r="A2788" t="n">
        <v>2787</v>
      </c>
      <c r="B2788">
        <f>IFERROR(INDEX(Segmen!$A$3:$A$6000,MATCH(C2788,Segmen!$D$3:$D$6000,0)),"")</f>
        <v/>
      </c>
      <c r="C2788">
        <f>IFERROR(LARGE(Segmen!$D$3:$D$6000,A2788),"")</f>
        <v/>
      </c>
    </row>
    <row r="2789">
      <c r="A2789" t="n">
        <v>2788</v>
      </c>
      <c r="B2789">
        <f>IFERROR(INDEX(Segmen!$A$3:$A$6000,MATCH(C2789,Segmen!$D$3:$D$6000,0)),"")</f>
        <v/>
      </c>
      <c r="C2789">
        <f>IFERROR(LARGE(Segmen!$D$3:$D$6000,A2789),"")</f>
        <v/>
      </c>
    </row>
    <row r="2790">
      <c r="A2790" t="n">
        <v>2789</v>
      </c>
      <c r="B2790">
        <f>IFERROR(INDEX(Segmen!$A$3:$A$6000,MATCH(C2790,Segmen!$D$3:$D$6000,0)),"")</f>
        <v/>
      </c>
      <c r="C2790">
        <f>IFERROR(LARGE(Segmen!$D$3:$D$6000,A2790),"")</f>
        <v/>
      </c>
    </row>
    <row r="2791">
      <c r="A2791" t="n">
        <v>2790</v>
      </c>
      <c r="B2791">
        <f>IFERROR(INDEX(Segmen!$A$3:$A$6000,MATCH(C2791,Segmen!$D$3:$D$6000,0)),"")</f>
        <v/>
      </c>
      <c r="C2791">
        <f>IFERROR(LARGE(Segmen!$D$3:$D$6000,A2791),"")</f>
        <v/>
      </c>
    </row>
    <row r="2792">
      <c r="A2792" t="n">
        <v>2791</v>
      </c>
      <c r="B2792">
        <f>IFERROR(INDEX(Segmen!$A$3:$A$6000,MATCH(C2792,Segmen!$D$3:$D$6000,0)),"")</f>
        <v/>
      </c>
      <c r="C2792">
        <f>IFERROR(LARGE(Segmen!$D$3:$D$6000,A2792),"")</f>
        <v/>
      </c>
    </row>
    <row r="2793">
      <c r="A2793" t="n">
        <v>2792</v>
      </c>
      <c r="B2793">
        <f>IFERROR(INDEX(Segmen!$A$3:$A$6000,MATCH(C2793,Segmen!$D$3:$D$6000,0)),"")</f>
        <v/>
      </c>
      <c r="C2793">
        <f>IFERROR(LARGE(Segmen!$D$3:$D$6000,A2793),"")</f>
        <v/>
      </c>
    </row>
    <row r="2794">
      <c r="A2794" t="n">
        <v>2793</v>
      </c>
      <c r="B2794">
        <f>IFERROR(INDEX(Segmen!$A$3:$A$6000,MATCH(C2794,Segmen!$D$3:$D$6000,0)),"")</f>
        <v/>
      </c>
      <c r="C2794">
        <f>IFERROR(LARGE(Segmen!$D$3:$D$6000,A2794),"")</f>
        <v/>
      </c>
    </row>
    <row r="2795">
      <c r="A2795" t="n">
        <v>2794</v>
      </c>
      <c r="B2795">
        <f>IFERROR(INDEX(Segmen!$A$3:$A$6000,MATCH(C2795,Segmen!$D$3:$D$6000,0)),"")</f>
        <v/>
      </c>
      <c r="C2795">
        <f>IFERROR(LARGE(Segmen!$D$3:$D$6000,A2795),"")</f>
        <v/>
      </c>
    </row>
    <row r="2796">
      <c r="A2796" t="n">
        <v>2795</v>
      </c>
      <c r="B2796">
        <f>IFERROR(INDEX(Segmen!$A$3:$A$6000,MATCH(C2796,Segmen!$D$3:$D$6000,0)),"")</f>
        <v/>
      </c>
      <c r="C2796">
        <f>IFERROR(LARGE(Segmen!$D$3:$D$6000,A2796),"")</f>
        <v/>
      </c>
    </row>
    <row r="2797">
      <c r="A2797" t="n">
        <v>2796</v>
      </c>
      <c r="B2797">
        <f>IFERROR(INDEX(Segmen!$A$3:$A$6000,MATCH(C2797,Segmen!$D$3:$D$6000,0)),"")</f>
        <v/>
      </c>
      <c r="C2797">
        <f>IFERROR(LARGE(Segmen!$D$3:$D$6000,A2797),"")</f>
        <v/>
      </c>
    </row>
    <row r="2798">
      <c r="A2798" t="n">
        <v>2797</v>
      </c>
      <c r="B2798">
        <f>IFERROR(INDEX(Segmen!$A$3:$A$6000,MATCH(C2798,Segmen!$D$3:$D$6000,0)),"")</f>
        <v/>
      </c>
      <c r="C2798">
        <f>IFERROR(LARGE(Segmen!$D$3:$D$6000,A2798),"")</f>
        <v/>
      </c>
    </row>
    <row r="2799">
      <c r="A2799" t="n">
        <v>2798</v>
      </c>
      <c r="B2799">
        <f>IFERROR(INDEX(Segmen!$A$3:$A$6000,MATCH(C2799,Segmen!$D$3:$D$6000,0)),"")</f>
        <v/>
      </c>
      <c r="C2799">
        <f>IFERROR(LARGE(Segmen!$D$3:$D$6000,A2799),"")</f>
        <v/>
      </c>
    </row>
    <row r="2800">
      <c r="A2800" t="n">
        <v>2799</v>
      </c>
      <c r="B2800">
        <f>IFERROR(INDEX(Segmen!$A$3:$A$6000,MATCH(C2800,Segmen!$D$3:$D$6000,0)),"")</f>
        <v/>
      </c>
      <c r="C2800">
        <f>IFERROR(LARGE(Segmen!$D$3:$D$6000,A2800),"")</f>
        <v/>
      </c>
    </row>
    <row r="2801">
      <c r="A2801" t="n">
        <v>2800</v>
      </c>
      <c r="B2801">
        <f>IFERROR(INDEX(Segmen!$A$3:$A$6000,MATCH(C2801,Segmen!$D$3:$D$6000,0)),"")</f>
        <v/>
      </c>
      <c r="C2801">
        <f>IFERROR(LARGE(Segmen!$D$3:$D$6000,A2801),"")</f>
        <v/>
      </c>
    </row>
    <row r="2802">
      <c r="A2802" t="n">
        <v>2801</v>
      </c>
      <c r="B2802">
        <f>IFERROR(INDEX(Segmen!$A$3:$A$6000,MATCH(C2802,Segmen!$D$3:$D$6000,0)),"")</f>
        <v/>
      </c>
      <c r="C2802">
        <f>IFERROR(LARGE(Segmen!$D$3:$D$6000,A2802),"")</f>
        <v/>
      </c>
    </row>
    <row r="2803">
      <c r="A2803" t="n">
        <v>2802</v>
      </c>
      <c r="B2803">
        <f>IFERROR(INDEX(Segmen!$A$3:$A$6000,MATCH(C2803,Segmen!$D$3:$D$6000,0)),"")</f>
        <v/>
      </c>
      <c r="C2803">
        <f>IFERROR(LARGE(Segmen!$D$3:$D$6000,A2803),"")</f>
        <v/>
      </c>
    </row>
    <row r="2804">
      <c r="A2804" t="n">
        <v>2803</v>
      </c>
      <c r="B2804">
        <f>IFERROR(INDEX(Segmen!$A$3:$A$6000,MATCH(C2804,Segmen!$D$3:$D$6000,0)),"")</f>
        <v/>
      </c>
      <c r="C2804">
        <f>IFERROR(LARGE(Segmen!$D$3:$D$6000,A2804),"")</f>
        <v/>
      </c>
    </row>
    <row r="2805">
      <c r="A2805" t="n">
        <v>2804</v>
      </c>
      <c r="B2805">
        <f>IFERROR(INDEX(Segmen!$A$3:$A$6000,MATCH(C2805,Segmen!$D$3:$D$6000,0)),"")</f>
        <v/>
      </c>
      <c r="C2805">
        <f>IFERROR(LARGE(Segmen!$D$3:$D$6000,A2805),"")</f>
        <v/>
      </c>
    </row>
    <row r="2806">
      <c r="A2806" t="n">
        <v>2805</v>
      </c>
      <c r="B2806">
        <f>IFERROR(INDEX(Segmen!$A$3:$A$6000,MATCH(C2806,Segmen!$D$3:$D$6000,0)),"")</f>
        <v/>
      </c>
      <c r="C2806">
        <f>IFERROR(LARGE(Segmen!$D$3:$D$6000,A2806),"")</f>
        <v/>
      </c>
    </row>
    <row r="2807">
      <c r="A2807" t="n">
        <v>2806</v>
      </c>
      <c r="B2807">
        <f>IFERROR(INDEX(Segmen!$A$3:$A$6000,MATCH(C2807,Segmen!$D$3:$D$6000,0)),"")</f>
        <v/>
      </c>
      <c r="C2807">
        <f>IFERROR(LARGE(Segmen!$D$3:$D$6000,A2807),"")</f>
        <v/>
      </c>
    </row>
    <row r="2808">
      <c r="A2808" t="n">
        <v>2807</v>
      </c>
      <c r="B2808">
        <f>IFERROR(INDEX(Segmen!$A$3:$A$6000,MATCH(C2808,Segmen!$D$3:$D$6000,0)),"")</f>
        <v/>
      </c>
      <c r="C2808">
        <f>IFERROR(LARGE(Segmen!$D$3:$D$6000,A2808),"")</f>
        <v/>
      </c>
    </row>
    <row r="2809">
      <c r="A2809" t="n">
        <v>2808</v>
      </c>
      <c r="B2809">
        <f>IFERROR(INDEX(Segmen!$A$3:$A$6000,MATCH(C2809,Segmen!$D$3:$D$6000,0)),"")</f>
        <v/>
      </c>
      <c r="C2809">
        <f>IFERROR(LARGE(Segmen!$D$3:$D$6000,A2809),"")</f>
        <v/>
      </c>
    </row>
    <row r="2810">
      <c r="A2810" t="n">
        <v>2809</v>
      </c>
      <c r="B2810">
        <f>IFERROR(INDEX(Segmen!$A$3:$A$6000,MATCH(C2810,Segmen!$D$3:$D$6000,0)),"")</f>
        <v/>
      </c>
      <c r="C2810">
        <f>IFERROR(LARGE(Segmen!$D$3:$D$6000,A2810),"")</f>
        <v/>
      </c>
    </row>
    <row r="2811">
      <c r="A2811" t="n">
        <v>2810</v>
      </c>
      <c r="B2811">
        <f>IFERROR(INDEX(Segmen!$A$3:$A$6000,MATCH(C2811,Segmen!$D$3:$D$6000,0)),"")</f>
        <v/>
      </c>
      <c r="C2811">
        <f>IFERROR(LARGE(Segmen!$D$3:$D$6000,A2811),"")</f>
        <v/>
      </c>
    </row>
    <row r="2812">
      <c r="A2812" t="n">
        <v>2811</v>
      </c>
      <c r="B2812">
        <f>IFERROR(INDEX(Segmen!$A$3:$A$6000,MATCH(C2812,Segmen!$D$3:$D$6000,0)),"")</f>
        <v/>
      </c>
      <c r="C2812">
        <f>IFERROR(LARGE(Segmen!$D$3:$D$6000,A2812),"")</f>
        <v/>
      </c>
    </row>
    <row r="2813">
      <c r="A2813" t="n">
        <v>2812</v>
      </c>
      <c r="B2813">
        <f>IFERROR(INDEX(Segmen!$A$3:$A$6000,MATCH(C2813,Segmen!$D$3:$D$6000,0)),"")</f>
        <v/>
      </c>
      <c r="C2813">
        <f>IFERROR(LARGE(Segmen!$D$3:$D$6000,A2813),"")</f>
        <v/>
      </c>
    </row>
    <row r="2814">
      <c r="A2814" t="n">
        <v>2813</v>
      </c>
      <c r="B2814">
        <f>IFERROR(INDEX(Segmen!$A$3:$A$6000,MATCH(C2814,Segmen!$D$3:$D$6000,0)),"")</f>
        <v/>
      </c>
      <c r="C2814">
        <f>IFERROR(LARGE(Segmen!$D$3:$D$6000,A2814),"")</f>
        <v/>
      </c>
    </row>
    <row r="2815">
      <c r="A2815" t="n">
        <v>2814</v>
      </c>
      <c r="B2815">
        <f>IFERROR(INDEX(Segmen!$A$3:$A$6000,MATCH(C2815,Segmen!$D$3:$D$6000,0)),"")</f>
        <v/>
      </c>
      <c r="C2815">
        <f>IFERROR(LARGE(Segmen!$D$3:$D$6000,A2815),"")</f>
        <v/>
      </c>
    </row>
    <row r="2816">
      <c r="A2816" t="n">
        <v>2815</v>
      </c>
      <c r="B2816">
        <f>IFERROR(INDEX(Segmen!$A$3:$A$6000,MATCH(C2816,Segmen!$D$3:$D$6000,0)),"")</f>
        <v/>
      </c>
      <c r="C2816">
        <f>IFERROR(LARGE(Segmen!$D$3:$D$6000,A2816),"")</f>
        <v/>
      </c>
    </row>
    <row r="2817">
      <c r="A2817" t="n">
        <v>2816</v>
      </c>
      <c r="B2817">
        <f>IFERROR(INDEX(Segmen!$A$3:$A$6000,MATCH(C2817,Segmen!$D$3:$D$6000,0)),"")</f>
        <v/>
      </c>
      <c r="C2817">
        <f>IFERROR(LARGE(Segmen!$D$3:$D$6000,A2817),"")</f>
        <v/>
      </c>
    </row>
    <row r="2818">
      <c r="A2818" t="n">
        <v>2817</v>
      </c>
      <c r="B2818">
        <f>IFERROR(INDEX(Segmen!$A$3:$A$6000,MATCH(C2818,Segmen!$D$3:$D$6000,0)),"")</f>
        <v/>
      </c>
      <c r="C2818">
        <f>IFERROR(LARGE(Segmen!$D$3:$D$6000,A2818),"")</f>
        <v/>
      </c>
    </row>
    <row r="2819">
      <c r="A2819" t="n">
        <v>2818</v>
      </c>
      <c r="B2819">
        <f>IFERROR(INDEX(Segmen!$A$3:$A$6000,MATCH(C2819,Segmen!$D$3:$D$6000,0)),"")</f>
        <v/>
      </c>
      <c r="C2819">
        <f>IFERROR(LARGE(Segmen!$D$3:$D$6000,A2819),"")</f>
        <v/>
      </c>
    </row>
    <row r="2820">
      <c r="A2820" t="n">
        <v>2819</v>
      </c>
      <c r="B2820">
        <f>IFERROR(INDEX(Segmen!$A$3:$A$6000,MATCH(C2820,Segmen!$D$3:$D$6000,0)),"")</f>
        <v/>
      </c>
      <c r="C2820">
        <f>IFERROR(LARGE(Segmen!$D$3:$D$6000,A2820),"")</f>
        <v/>
      </c>
    </row>
    <row r="2821">
      <c r="A2821" t="n">
        <v>2820</v>
      </c>
      <c r="B2821">
        <f>IFERROR(INDEX(Segmen!$A$3:$A$6000,MATCH(C2821,Segmen!$D$3:$D$6000,0)),"")</f>
        <v/>
      </c>
      <c r="C2821">
        <f>IFERROR(LARGE(Segmen!$D$3:$D$6000,A2821),"")</f>
        <v/>
      </c>
    </row>
    <row r="2822">
      <c r="A2822" t="n">
        <v>2821</v>
      </c>
      <c r="B2822">
        <f>IFERROR(INDEX(Segmen!$A$3:$A$6000,MATCH(C2822,Segmen!$D$3:$D$6000,0)),"")</f>
        <v/>
      </c>
      <c r="C2822">
        <f>IFERROR(LARGE(Segmen!$D$3:$D$6000,A2822),"")</f>
        <v/>
      </c>
    </row>
    <row r="2823">
      <c r="A2823" t="n">
        <v>2822</v>
      </c>
      <c r="B2823">
        <f>IFERROR(INDEX(Segmen!$A$3:$A$6000,MATCH(C2823,Segmen!$D$3:$D$6000,0)),"")</f>
        <v/>
      </c>
      <c r="C2823">
        <f>IFERROR(LARGE(Segmen!$D$3:$D$6000,A2823),"")</f>
        <v/>
      </c>
    </row>
    <row r="2824">
      <c r="A2824" t="n">
        <v>2823</v>
      </c>
      <c r="B2824">
        <f>IFERROR(INDEX(Segmen!$A$3:$A$6000,MATCH(C2824,Segmen!$D$3:$D$6000,0)),"")</f>
        <v/>
      </c>
      <c r="C2824">
        <f>IFERROR(LARGE(Segmen!$D$3:$D$6000,A2824),"")</f>
        <v/>
      </c>
    </row>
    <row r="2825">
      <c r="A2825" t="n">
        <v>2824</v>
      </c>
      <c r="B2825">
        <f>IFERROR(INDEX(Segmen!$A$3:$A$6000,MATCH(C2825,Segmen!$D$3:$D$6000,0)),"")</f>
        <v/>
      </c>
      <c r="C2825">
        <f>IFERROR(LARGE(Segmen!$D$3:$D$6000,A2825),"")</f>
        <v/>
      </c>
    </row>
    <row r="2826">
      <c r="A2826" t="n">
        <v>2825</v>
      </c>
      <c r="B2826">
        <f>IFERROR(INDEX(Segmen!$A$3:$A$6000,MATCH(C2826,Segmen!$D$3:$D$6000,0)),"")</f>
        <v/>
      </c>
      <c r="C2826">
        <f>IFERROR(LARGE(Segmen!$D$3:$D$6000,A2826),"")</f>
        <v/>
      </c>
    </row>
    <row r="2827">
      <c r="A2827" t="n">
        <v>2826</v>
      </c>
      <c r="B2827">
        <f>IFERROR(INDEX(Segmen!$A$3:$A$6000,MATCH(C2827,Segmen!$D$3:$D$6000,0)),"")</f>
        <v/>
      </c>
      <c r="C2827">
        <f>IFERROR(LARGE(Segmen!$D$3:$D$6000,A2827),"")</f>
        <v/>
      </c>
    </row>
    <row r="2828">
      <c r="A2828" t="n">
        <v>2827</v>
      </c>
      <c r="B2828">
        <f>IFERROR(INDEX(Segmen!$A$3:$A$6000,MATCH(C2828,Segmen!$D$3:$D$6000,0)),"")</f>
        <v/>
      </c>
      <c r="C2828">
        <f>IFERROR(LARGE(Segmen!$D$3:$D$6000,A2828),"")</f>
        <v/>
      </c>
    </row>
    <row r="2829">
      <c r="A2829" t="n">
        <v>2828</v>
      </c>
      <c r="B2829">
        <f>IFERROR(INDEX(Segmen!$A$3:$A$6000,MATCH(C2829,Segmen!$D$3:$D$6000,0)),"")</f>
        <v/>
      </c>
      <c r="C2829">
        <f>IFERROR(LARGE(Segmen!$D$3:$D$6000,A2829),"")</f>
        <v/>
      </c>
    </row>
    <row r="2830">
      <c r="A2830" t="n">
        <v>2829</v>
      </c>
      <c r="B2830">
        <f>IFERROR(INDEX(Segmen!$A$3:$A$6000,MATCH(C2830,Segmen!$D$3:$D$6000,0)),"")</f>
        <v/>
      </c>
      <c r="C2830">
        <f>IFERROR(LARGE(Segmen!$D$3:$D$6000,A2830),"")</f>
        <v/>
      </c>
    </row>
    <row r="2831">
      <c r="A2831" t="n">
        <v>2830</v>
      </c>
      <c r="B2831">
        <f>IFERROR(INDEX(Segmen!$A$3:$A$6000,MATCH(C2831,Segmen!$D$3:$D$6000,0)),"")</f>
        <v/>
      </c>
      <c r="C2831">
        <f>IFERROR(LARGE(Segmen!$D$3:$D$6000,A2831),"")</f>
        <v/>
      </c>
    </row>
    <row r="2832">
      <c r="A2832" t="n">
        <v>2831</v>
      </c>
      <c r="B2832">
        <f>IFERROR(INDEX(Segmen!$A$3:$A$6000,MATCH(C2832,Segmen!$D$3:$D$6000,0)),"")</f>
        <v/>
      </c>
      <c r="C2832">
        <f>IFERROR(LARGE(Segmen!$D$3:$D$6000,A2832),"")</f>
        <v/>
      </c>
    </row>
    <row r="2833">
      <c r="A2833" t="n">
        <v>2832</v>
      </c>
      <c r="B2833">
        <f>IFERROR(INDEX(Segmen!$A$3:$A$6000,MATCH(C2833,Segmen!$D$3:$D$6000,0)),"")</f>
        <v/>
      </c>
      <c r="C2833">
        <f>IFERROR(LARGE(Segmen!$D$3:$D$6000,A2833),"")</f>
        <v/>
      </c>
    </row>
    <row r="2834">
      <c r="A2834" t="n">
        <v>2833</v>
      </c>
      <c r="B2834">
        <f>IFERROR(INDEX(Segmen!$A$3:$A$6000,MATCH(C2834,Segmen!$D$3:$D$6000,0)),"")</f>
        <v/>
      </c>
      <c r="C2834">
        <f>IFERROR(LARGE(Segmen!$D$3:$D$6000,A2834),"")</f>
        <v/>
      </c>
    </row>
    <row r="2835">
      <c r="A2835" t="n">
        <v>2834</v>
      </c>
      <c r="B2835">
        <f>IFERROR(INDEX(Segmen!$A$3:$A$6000,MATCH(C2835,Segmen!$D$3:$D$6000,0)),"")</f>
        <v/>
      </c>
      <c r="C2835">
        <f>IFERROR(LARGE(Segmen!$D$3:$D$6000,A2835),"")</f>
        <v/>
      </c>
    </row>
    <row r="2836">
      <c r="A2836" t="n">
        <v>2835</v>
      </c>
      <c r="B2836">
        <f>IFERROR(INDEX(Segmen!$A$3:$A$6000,MATCH(C2836,Segmen!$D$3:$D$6000,0)),"")</f>
        <v/>
      </c>
      <c r="C2836">
        <f>IFERROR(LARGE(Segmen!$D$3:$D$6000,A2836),"")</f>
        <v/>
      </c>
    </row>
    <row r="2837">
      <c r="A2837" t="n">
        <v>2836</v>
      </c>
      <c r="B2837">
        <f>IFERROR(INDEX(Segmen!$A$3:$A$6000,MATCH(C2837,Segmen!$D$3:$D$6000,0)),"")</f>
        <v/>
      </c>
      <c r="C2837">
        <f>IFERROR(LARGE(Segmen!$D$3:$D$6000,A2837),"")</f>
        <v/>
      </c>
    </row>
    <row r="2838">
      <c r="A2838" t="n">
        <v>2837</v>
      </c>
      <c r="B2838">
        <f>IFERROR(INDEX(Segmen!$A$3:$A$6000,MATCH(C2838,Segmen!$D$3:$D$6000,0)),"")</f>
        <v/>
      </c>
      <c r="C2838">
        <f>IFERROR(LARGE(Segmen!$D$3:$D$6000,A2838),"")</f>
        <v/>
      </c>
    </row>
    <row r="2839">
      <c r="A2839" t="n">
        <v>2838</v>
      </c>
      <c r="B2839">
        <f>IFERROR(INDEX(Segmen!$A$3:$A$6000,MATCH(C2839,Segmen!$D$3:$D$6000,0)),"")</f>
        <v/>
      </c>
      <c r="C2839">
        <f>IFERROR(LARGE(Segmen!$D$3:$D$6000,A2839),"")</f>
        <v/>
      </c>
    </row>
    <row r="2840">
      <c r="A2840" t="n">
        <v>2839</v>
      </c>
      <c r="B2840">
        <f>IFERROR(INDEX(Segmen!$A$3:$A$6000,MATCH(C2840,Segmen!$D$3:$D$6000,0)),"")</f>
        <v/>
      </c>
      <c r="C2840">
        <f>IFERROR(LARGE(Segmen!$D$3:$D$6000,A2840),"")</f>
        <v/>
      </c>
    </row>
    <row r="2841">
      <c r="A2841" t="n">
        <v>2840</v>
      </c>
      <c r="B2841">
        <f>IFERROR(INDEX(Segmen!$A$3:$A$6000,MATCH(C2841,Segmen!$D$3:$D$6000,0)),"")</f>
        <v/>
      </c>
      <c r="C2841">
        <f>IFERROR(LARGE(Segmen!$D$3:$D$6000,A2841),"")</f>
        <v/>
      </c>
    </row>
    <row r="2842">
      <c r="A2842" t="n">
        <v>2841</v>
      </c>
      <c r="B2842">
        <f>IFERROR(INDEX(Segmen!$A$3:$A$6000,MATCH(C2842,Segmen!$D$3:$D$6000,0)),"")</f>
        <v/>
      </c>
      <c r="C2842">
        <f>IFERROR(LARGE(Segmen!$D$3:$D$6000,A2842),"")</f>
        <v/>
      </c>
    </row>
    <row r="2843">
      <c r="A2843" t="n">
        <v>2842</v>
      </c>
      <c r="B2843">
        <f>IFERROR(INDEX(Segmen!$A$3:$A$6000,MATCH(C2843,Segmen!$D$3:$D$6000,0)),"")</f>
        <v/>
      </c>
      <c r="C2843">
        <f>IFERROR(LARGE(Segmen!$D$3:$D$6000,A2843),"")</f>
        <v/>
      </c>
    </row>
    <row r="2844">
      <c r="A2844" t="n">
        <v>2843</v>
      </c>
      <c r="B2844">
        <f>IFERROR(INDEX(Segmen!$A$3:$A$6000,MATCH(C2844,Segmen!$D$3:$D$6000,0)),"")</f>
        <v/>
      </c>
      <c r="C2844">
        <f>IFERROR(LARGE(Segmen!$D$3:$D$6000,A2844),"")</f>
        <v/>
      </c>
    </row>
    <row r="2845">
      <c r="A2845" t="n">
        <v>2844</v>
      </c>
      <c r="B2845">
        <f>IFERROR(INDEX(Segmen!$A$3:$A$6000,MATCH(C2845,Segmen!$D$3:$D$6000,0)),"")</f>
        <v/>
      </c>
      <c r="C2845">
        <f>IFERROR(LARGE(Segmen!$D$3:$D$6000,A2845),"")</f>
        <v/>
      </c>
    </row>
    <row r="2846">
      <c r="A2846" t="n">
        <v>2845</v>
      </c>
      <c r="B2846">
        <f>IFERROR(INDEX(Segmen!$A$3:$A$6000,MATCH(C2846,Segmen!$D$3:$D$6000,0)),"")</f>
        <v/>
      </c>
      <c r="C2846">
        <f>IFERROR(LARGE(Segmen!$D$3:$D$6000,A2846),"")</f>
        <v/>
      </c>
    </row>
    <row r="2847">
      <c r="A2847" t="n">
        <v>2846</v>
      </c>
      <c r="B2847">
        <f>IFERROR(INDEX(Segmen!$A$3:$A$6000,MATCH(C2847,Segmen!$D$3:$D$6000,0)),"")</f>
        <v/>
      </c>
      <c r="C2847">
        <f>IFERROR(LARGE(Segmen!$D$3:$D$6000,A2847),"")</f>
        <v/>
      </c>
    </row>
    <row r="2848">
      <c r="A2848" t="n">
        <v>2847</v>
      </c>
      <c r="B2848">
        <f>IFERROR(INDEX(Segmen!$A$3:$A$6000,MATCH(C2848,Segmen!$D$3:$D$6000,0)),"")</f>
        <v/>
      </c>
      <c r="C2848">
        <f>IFERROR(LARGE(Segmen!$D$3:$D$6000,A2848),"")</f>
        <v/>
      </c>
    </row>
    <row r="2849">
      <c r="A2849" t="n">
        <v>2848</v>
      </c>
      <c r="B2849">
        <f>IFERROR(INDEX(Segmen!$A$3:$A$6000,MATCH(C2849,Segmen!$D$3:$D$6000,0)),"")</f>
        <v/>
      </c>
      <c r="C2849">
        <f>IFERROR(LARGE(Segmen!$D$3:$D$6000,A2849),"")</f>
        <v/>
      </c>
    </row>
    <row r="2850">
      <c r="A2850" t="n">
        <v>2849</v>
      </c>
      <c r="B2850">
        <f>IFERROR(INDEX(Segmen!$A$3:$A$6000,MATCH(C2850,Segmen!$D$3:$D$6000,0)),"")</f>
        <v/>
      </c>
      <c r="C2850">
        <f>IFERROR(LARGE(Segmen!$D$3:$D$6000,A2850),"")</f>
        <v/>
      </c>
    </row>
    <row r="2851">
      <c r="A2851" t="n">
        <v>2850</v>
      </c>
      <c r="B2851">
        <f>IFERROR(INDEX(Segmen!$A$3:$A$6000,MATCH(C2851,Segmen!$D$3:$D$6000,0)),"")</f>
        <v/>
      </c>
      <c r="C2851">
        <f>IFERROR(LARGE(Segmen!$D$3:$D$6000,A2851),"")</f>
        <v/>
      </c>
    </row>
    <row r="2852">
      <c r="A2852" t="n">
        <v>2851</v>
      </c>
      <c r="B2852">
        <f>IFERROR(INDEX(Segmen!$A$3:$A$6000,MATCH(C2852,Segmen!$D$3:$D$6000,0)),"")</f>
        <v/>
      </c>
      <c r="C2852">
        <f>IFERROR(LARGE(Segmen!$D$3:$D$6000,A2852),"")</f>
        <v/>
      </c>
    </row>
    <row r="2853">
      <c r="A2853" t="n">
        <v>2852</v>
      </c>
      <c r="B2853">
        <f>IFERROR(INDEX(Segmen!$A$3:$A$6000,MATCH(C2853,Segmen!$D$3:$D$6000,0)),"")</f>
        <v/>
      </c>
      <c r="C2853">
        <f>IFERROR(LARGE(Segmen!$D$3:$D$6000,A2853),"")</f>
        <v/>
      </c>
    </row>
    <row r="2854">
      <c r="A2854" t="n">
        <v>2853</v>
      </c>
      <c r="B2854">
        <f>IFERROR(INDEX(Segmen!$A$3:$A$6000,MATCH(C2854,Segmen!$D$3:$D$6000,0)),"")</f>
        <v/>
      </c>
      <c r="C2854">
        <f>IFERROR(LARGE(Segmen!$D$3:$D$6000,A2854),"")</f>
        <v/>
      </c>
    </row>
    <row r="2855">
      <c r="A2855" t="n">
        <v>2854</v>
      </c>
      <c r="B2855">
        <f>IFERROR(INDEX(Segmen!$A$3:$A$6000,MATCH(C2855,Segmen!$D$3:$D$6000,0)),"")</f>
        <v/>
      </c>
      <c r="C2855">
        <f>IFERROR(LARGE(Segmen!$D$3:$D$6000,A2855),"")</f>
        <v/>
      </c>
    </row>
    <row r="2856">
      <c r="A2856" t="n">
        <v>2855</v>
      </c>
      <c r="B2856">
        <f>IFERROR(INDEX(Segmen!$A$3:$A$6000,MATCH(C2856,Segmen!$D$3:$D$6000,0)),"")</f>
        <v/>
      </c>
      <c r="C2856">
        <f>IFERROR(LARGE(Segmen!$D$3:$D$6000,A2856),"")</f>
        <v/>
      </c>
    </row>
    <row r="2857">
      <c r="A2857" t="n">
        <v>2856</v>
      </c>
      <c r="B2857">
        <f>IFERROR(INDEX(Segmen!$A$3:$A$6000,MATCH(C2857,Segmen!$D$3:$D$6000,0)),"")</f>
        <v/>
      </c>
      <c r="C2857">
        <f>IFERROR(LARGE(Segmen!$D$3:$D$6000,A2857),"")</f>
        <v/>
      </c>
    </row>
    <row r="2858">
      <c r="A2858" t="n">
        <v>2857</v>
      </c>
      <c r="B2858">
        <f>IFERROR(INDEX(Segmen!$A$3:$A$6000,MATCH(C2858,Segmen!$D$3:$D$6000,0)),"")</f>
        <v/>
      </c>
      <c r="C2858">
        <f>IFERROR(LARGE(Segmen!$D$3:$D$6000,A2858),"")</f>
        <v/>
      </c>
    </row>
    <row r="2859">
      <c r="A2859" t="n">
        <v>2858</v>
      </c>
      <c r="B2859">
        <f>IFERROR(INDEX(Segmen!$A$3:$A$6000,MATCH(C2859,Segmen!$D$3:$D$6000,0)),"")</f>
        <v/>
      </c>
      <c r="C2859">
        <f>IFERROR(LARGE(Segmen!$D$3:$D$6000,A2859),"")</f>
        <v/>
      </c>
    </row>
    <row r="2860">
      <c r="A2860" t="n">
        <v>2859</v>
      </c>
      <c r="B2860">
        <f>IFERROR(INDEX(Segmen!$A$3:$A$6000,MATCH(C2860,Segmen!$D$3:$D$6000,0)),"")</f>
        <v/>
      </c>
      <c r="C2860">
        <f>IFERROR(LARGE(Segmen!$D$3:$D$6000,A2860),"")</f>
        <v/>
      </c>
    </row>
    <row r="2861">
      <c r="A2861" t="n">
        <v>2860</v>
      </c>
      <c r="B2861">
        <f>IFERROR(INDEX(Segmen!$A$3:$A$6000,MATCH(C2861,Segmen!$D$3:$D$6000,0)),"")</f>
        <v/>
      </c>
      <c r="C2861">
        <f>IFERROR(LARGE(Segmen!$D$3:$D$6000,A2861),"")</f>
        <v/>
      </c>
    </row>
    <row r="2862">
      <c r="A2862" t="n">
        <v>2861</v>
      </c>
      <c r="B2862">
        <f>IFERROR(INDEX(Segmen!$A$3:$A$6000,MATCH(C2862,Segmen!$D$3:$D$6000,0)),"")</f>
        <v/>
      </c>
      <c r="C2862">
        <f>IFERROR(LARGE(Segmen!$D$3:$D$6000,A2862),"")</f>
        <v/>
      </c>
    </row>
    <row r="2863">
      <c r="A2863" t="n">
        <v>2862</v>
      </c>
      <c r="B2863">
        <f>IFERROR(INDEX(Segmen!$A$3:$A$6000,MATCH(C2863,Segmen!$D$3:$D$6000,0)),"")</f>
        <v/>
      </c>
      <c r="C2863">
        <f>IFERROR(LARGE(Segmen!$D$3:$D$6000,A2863),"")</f>
        <v/>
      </c>
    </row>
    <row r="2864">
      <c r="A2864" t="n">
        <v>2863</v>
      </c>
      <c r="B2864">
        <f>IFERROR(INDEX(Segmen!$A$3:$A$6000,MATCH(C2864,Segmen!$D$3:$D$6000,0)),"")</f>
        <v/>
      </c>
      <c r="C2864">
        <f>IFERROR(LARGE(Segmen!$D$3:$D$6000,A2864),"")</f>
        <v/>
      </c>
    </row>
    <row r="2865">
      <c r="A2865" t="n">
        <v>2864</v>
      </c>
      <c r="B2865">
        <f>IFERROR(INDEX(Segmen!$A$3:$A$6000,MATCH(C2865,Segmen!$D$3:$D$6000,0)),"")</f>
        <v/>
      </c>
      <c r="C2865">
        <f>IFERROR(LARGE(Segmen!$D$3:$D$6000,A2865),"")</f>
        <v/>
      </c>
    </row>
    <row r="2866">
      <c r="A2866" t="n">
        <v>2865</v>
      </c>
      <c r="B2866">
        <f>IFERROR(INDEX(Segmen!$A$3:$A$6000,MATCH(C2866,Segmen!$D$3:$D$6000,0)),"")</f>
        <v/>
      </c>
      <c r="C2866">
        <f>IFERROR(LARGE(Segmen!$D$3:$D$6000,A2866),"")</f>
        <v/>
      </c>
    </row>
    <row r="2867">
      <c r="A2867" t="n">
        <v>2866</v>
      </c>
      <c r="B2867">
        <f>IFERROR(INDEX(Segmen!$A$3:$A$6000,MATCH(C2867,Segmen!$D$3:$D$6000,0)),"")</f>
        <v/>
      </c>
      <c r="C2867">
        <f>IFERROR(LARGE(Segmen!$D$3:$D$6000,A2867),"")</f>
        <v/>
      </c>
    </row>
    <row r="2868">
      <c r="A2868" t="n">
        <v>2867</v>
      </c>
      <c r="B2868">
        <f>IFERROR(INDEX(Segmen!$A$3:$A$6000,MATCH(C2868,Segmen!$D$3:$D$6000,0)),"")</f>
        <v/>
      </c>
      <c r="C2868">
        <f>IFERROR(LARGE(Segmen!$D$3:$D$6000,A2868),"")</f>
        <v/>
      </c>
    </row>
    <row r="2869">
      <c r="A2869" t="n">
        <v>2868</v>
      </c>
      <c r="B2869">
        <f>IFERROR(INDEX(Segmen!$A$3:$A$6000,MATCH(C2869,Segmen!$D$3:$D$6000,0)),"")</f>
        <v/>
      </c>
      <c r="C2869">
        <f>IFERROR(LARGE(Segmen!$D$3:$D$6000,A2869),"")</f>
        <v/>
      </c>
    </row>
    <row r="2870">
      <c r="A2870" t="n">
        <v>2869</v>
      </c>
      <c r="B2870">
        <f>IFERROR(INDEX(Segmen!$A$3:$A$6000,MATCH(C2870,Segmen!$D$3:$D$6000,0)),"")</f>
        <v/>
      </c>
      <c r="C2870">
        <f>IFERROR(LARGE(Segmen!$D$3:$D$6000,A2870),"")</f>
        <v/>
      </c>
    </row>
    <row r="2871">
      <c r="A2871" t="n">
        <v>2870</v>
      </c>
      <c r="B2871">
        <f>IFERROR(INDEX(Segmen!$A$3:$A$6000,MATCH(C2871,Segmen!$D$3:$D$6000,0)),"")</f>
        <v/>
      </c>
      <c r="C2871">
        <f>IFERROR(LARGE(Segmen!$D$3:$D$6000,A2871),"")</f>
        <v/>
      </c>
    </row>
    <row r="2872">
      <c r="A2872" t="n">
        <v>2871</v>
      </c>
      <c r="B2872">
        <f>IFERROR(INDEX(Segmen!$A$3:$A$6000,MATCH(C2872,Segmen!$D$3:$D$6000,0)),"")</f>
        <v/>
      </c>
      <c r="C2872">
        <f>IFERROR(LARGE(Segmen!$D$3:$D$6000,A2872),"")</f>
        <v/>
      </c>
    </row>
    <row r="2873">
      <c r="A2873" t="n">
        <v>2872</v>
      </c>
      <c r="B2873">
        <f>IFERROR(INDEX(Segmen!$A$3:$A$6000,MATCH(C2873,Segmen!$D$3:$D$6000,0)),"")</f>
        <v/>
      </c>
      <c r="C2873">
        <f>IFERROR(LARGE(Segmen!$D$3:$D$6000,A2873),"")</f>
        <v/>
      </c>
    </row>
    <row r="2874">
      <c r="A2874" t="n">
        <v>2873</v>
      </c>
      <c r="B2874">
        <f>IFERROR(INDEX(Segmen!$A$3:$A$6000,MATCH(C2874,Segmen!$D$3:$D$6000,0)),"")</f>
        <v/>
      </c>
      <c r="C2874">
        <f>IFERROR(LARGE(Segmen!$D$3:$D$6000,A2874),"")</f>
        <v/>
      </c>
    </row>
    <row r="2875">
      <c r="A2875" t="n">
        <v>2874</v>
      </c>
      <c r="B2875">
        <f>IFERROR(INDEX(Segmen!$A$3:$A$6000,MATCH(C2875,Segmen!$D$3:$D$6000,0)),"")</f>
        <v/>
      </c>
      <c r="C2875">
        <f>IFERROR(LARGE(Segmen!$D$3:$D$6000,A2875),"")</f>
        <v/>
      </c>
    </row>
    <row r="2876">
      <c r="A2876" t="n">
        <v>2875</v>
      </c>
      <c r="B2876">
        <f>IFERROR(INDEX(Segmen!$A$3:$A$6000,MATCH(C2876,Segmen!$D$3:$D$6000,0)),"")</f>
        <v/>
      </c>
      <c r="C2876">
        <f>IFERROR(LARGE(Segmen!$D$3:$D$6000,A2876),"")</f>
        <v/>
      </c>
    </row>
    <row r="2877">
      <c r="A2877" t="n">
        <v>2876</v>
      </c>
      <c r="B2877">
        <f>IFERROR(INDEX(Segmen!$A$3:$A$6000,MATCH(C2877,Segmen!$D$3:$D$6000,0)),"")</f>
        <v/>
      </c>
      <c r="C2877">
        <f>IFERROR(LARGE(Segmen!$D$3:$D$6000,A2877),"")</f>
        <v/>
      </c>
    </row>
    <row r="2878">
      <c r="A2878" t="n">
        <v>2877</v>
      </c>
      <c r="B2878">
        <f>IFERROR(INDEX(Segmen!$A$3:$A$6000,MATCH(C2878,Segmen!$D$3:$D$6000,0)),"")</f>
        <v/>
      </c>
      <c r="C2878">
        <f>IFERROR(LARGE(Segmen!$D$3:$D$6000,A2878),"")</f>
        <v/>
      </c>
    </row>
    <row r="2879">
      <c r="A2879" t="n">
        <v>2878</v>
      </c>
      <c r="B2879">
        <f>IFERROR(INDEX(Segmen!$A$3:$A$6000,MATCH(C2879,Segmen!$D$3:$D$6000,0)),"")</f>
        <v/>
      </c>
      <c r="C2879">
        <f>IFERROR(LARGE(Segmen!$D$3:$D$6000,A2879),"")</f>
        <v/>
      </c>
    </row>
    <row r="2880">
      <c r="A2880" t="n">
        <v>2879</v>
      </c>
      <c r="B2880">
        <f>IFERROR(INDEX(Segmen!$A$3:$A$6000,MATCH(C2880,Segmen!$D$3:$D$6000,0)),"")</f>
        <v/>
      </c>
      <c r="C2880">
        <f>IFERROR(LARGE(Segmen!$D$3:$D$6000,A2880),"")</f>
        <v/>
      </c>
    </row>
    <row r="2881">
      <c r="A2881" t="n">
        <v>2880</v>
      </c>
      <c r="B2881">
        <f>IFERROR(INDEX(Segmen!$A$3:$A$6000,MATCH(C2881,Segmen!$D$3:$D$6000,0)),"")</f>
        <v/>
      </c>
      <c r="C2881">
        <f>IFERROR(LARGE(Segmen!$D$3:$D$6000,A2881),"")</f>
        <v/>
      </c>
    </row>
    <row r="2882">
      <c r="A2882" t="n">
        <v>2881</v>
      </c>
      <c r="B2882">
        <f>IFERROR(INDEX(Segmen!$A$3:$A$6000,MATCH(C2882,Segmen!$D$3:$D$6000,0)),"")</f>
        <v/>
      </c>
      <c r="C2882">
        <f>IFERROR(LARGE(Segmen!$D$3:$D$6000,A2882),"")</f>
        <v/>
      </c>
    </row>
    <row r="2883">
      <c r="A2883" t="n">
        <v>2882</v>
      </c>
      <c r="B2883">
        <f>IFERROR(INDEX(Segmen!$A$3:$A$6000,MATCH(C2883,Segmen!$D$3:$D$6000,0)),"")</f>
        <v/>
      </c>
      <c r="C2883">
        <f>IFERROR(LARGE(Segmen!$D$3:$D$6000,A2883),"")</f>
        <v/>
      </c>
    </row>
    <row r="2884">
      <c r="A2884" t="n">
        <v>2883</v>
      </c>
      <c r="B2884">
        <f>IFERROR(INDEX(Segmen!$A$3:$A$6000,MATCH(C2884,Segmen!$D$3:$D$6000,0)),"")</f>
        <v/>
      </c>
      <c r="C2884">
        <f>IFERROR(LARGE(Segmen!$D$3:$D$6000,A2884),"")</f>
        <v/>
      </c>
    </row>
    <row r="2885">
      <c r="A2885" t="n">
        <v>2884</v>
      </c>
      <c r="B2885">
        <f>IFERROR(INDEX(Segmen!$A$3:$A$6000,MATCH(C2885,Segmen!$D$3:$D$6000,0)),"")</f>
        <v/>
      </c>
      <c r="C2885">
        <f>IFERROR(LARGE(Segmen!$D$3:$D$6000,A2885),"")</f>
        <v/>
      </c>
    </row>
    <row r="2886">
      <c r="A2886" t="n">
        <v>2885</v>
      </c>
      <c r="B2886">
        <f>IFERROR(INDEX(Segmen!$A$3:$A$6000,MATCH(C2886,Segmen!$D$3:$D$6000,0)),"")</f>
        <v/>
      </c>
      <c r="C2886">
        <f>IFERROR(LARGE(Segmen!$D$3:$D$6000,A2886),"")</f>
        <v/>
      </c>
    </row>
    <row r="2887">
      <c r="A2887" t="n">
        <v>2886</v>
      </c>
      <c r="B2887">
        <f>IFERROR(INDEX(Segmen!$A$3:$A$6000,MATCH(C2887,Segmen!$D$3:$D$6000,0)),"")</f>
        <v/>
      </c>
      <c r="C2887">
        <f>IFERROR(LARGE(Segmen!$D$3:$D$6000,A2887),"")</f>
        <v/>
      </c>
    </row>
    <row r="2888">
      <c r="A2888" t="n">
        <v>2887</v>
      </c>
      <c r="B2888">
        <f>IFERROR(INDEX(Segmen!$A$3:$A$6000,MATCH(C2888,Segmen!$D$3:$D$6000,0)),"")</f>
        <v/>
      </c>
      <c r="C2888">
        <f>IFERROR(LARGE(Segmen!$D$3:$D$6000,A2888),"")</f>
        <v/>
      </c>
    </row>
    <row r="2889">
      <c r="A2889" t="n">
        <v>2888</v>
      </c>
      <c r="B2889">
        <f>IFERROR(INDEX(Segmen!$A$3:$A$6000,MATCH(C2889,Segmen!$D$3:$D$6000,0)),"")</f>
        <v/>
      </c>
      <c r="C2889">
        <f>IFERROR(LARGE(Segmen!$D$3:$D$6000,A2889),"")</f>
        <v/>
      </c>
    </row>
    <row r="2890">
      <c r="A2890" t="n">
        <v>2889</v>
      </c>
      <c r="B2890">
        <f>IFERROR(INDEX(Segmen!$A$3:$A$6000,MATCH(C2890,Segmen!$D$3:$D$6000,0)),"")</f>
        <v/>
      </c>
      <c r="C2890">
        <f>IFERROR(LARGE(Segmen!$D$3:$D$6000,A2890),"")</f>
        <v/>
      </c>
    </row>
    <row r="2891">
      <c r="A2891" t="n">
        <v>2890</v>
      </c>
      <c r="B2891">
        <f>IFERROR(INDEX(Segmen!$A$3:$A$6000,MATCH(C2891,Segmen!$D$3:$D$6000,0)),"")</f>
        <v/>
      </c>
      <c r="C2891">
        <f>IFERROR(LARGE(Segmen!$D$3:$D$6000,A2891),"")</f>
        <v/>
      </c>
    </row>
    <row r="2892">
      <c r="A2892" t="n">
        <v>2891</v>
      </c>
      <c r="B2892">
        <f>IFERROR(INDEX(Segmen!$A$3:$A$6000,MATCH(C2892,Segmen!$D$3:$D$6000,0)),"")</f>
        <v/>
      </c>
      <c r="C2892">
        <f>IFERROR(LARGE(Segmen!$D$3:$D$6000,A2892),"")</f>
        <v/>
      </c>
    </row>
    <row r="2893">
      <c r="A2893" t="n">
        <v>2892</v>
      </c>
      <c r="B2893">
        <f>IFERROR(INDEX(Segmen!$A$3:$A$6000,MATCH(C2893,Segmen!$D$3:$D$6000,0)),"")</f>
        <v/>
      </c>
      <c r="C2893">
        <f>IFERROR(LARGE(Segmen!$D$3:$D$6000,A2893),"")</f>
        <v/>
      </c>
    </row>
    <row r="2894">
      <c r="A2894" t="n">
        <v>2893</v>
      </c>
      <c r="B2894">
        <f>IFERROR(INDEX(Segmen!$A$3:$A$6000,MATCH(C2894,Segmen!$D$3:$D$6000,0)),"")</f>
        <v/>
      </c>
      <c r="C2894">
        <f>IFERROR(LARGE(Segmen!$D$3:$D$6000,A2894),"")</f>
        <v/>
      </c>
    </row>
    <row r="2895">
      <c r="A2895" t="n">
        <v>2894</v>
      </c>
      <c r="B2895">
        <f>IFERROR(INDEX(Segmen!$A$3:$A$6000,MATCH(C2895,Segmen!$D$3:$D$6000,0)),"")</f>
        <v/>
      </c>
      <c r="C2895">
        <f>IFERROR(LARGE(Segmen!$D$3:$D$6000,A2895),"")</f>
        <v/>
      </c>
    </row>
    <row r="2896">
      <c r="A2896" t="n">
        <v>2895</v>
      </c>
      <c r="B2896">
        <f>IFERROR(INDEX(Segmen!$A$3:$A$6000,MATCH(C2896,Segmen!$D$3:$D$6000,0)),"")</f>
        <v/>
      </c>
      <c r="C2896">
        <f>IFERROR(LARGE(Segmen!$D$3:$D$6000,A2896),"")</f>
        <v/>
      </c>
    </row>
    <row r="2897">
      <c r="A2897" t="n">
        <v>2896</v>
      </c>
      <c r="B2897">
        <f>IFERROR(INDEX(Segmen!$A$3:$A$6000,MATCH(C2897,Segmen!$D$3:$D$6000,0)),"")</f>
        <v/>
      </c>
      <c r="C2897">
        <f>IFERROR(LARGE(Segmen!$D$3:$D$6000,A2897),"")</f>
        <v/>
      </c>
    </row>
    <row r="2898">
      <c r="A2898" t="n">
        <v>2897</v>
      </c>
      <c r="B2898">
        <f>IFERROR(INDEX(Segmen!$A$3:$A$6000,MATCH(C2898,Segmen!$D$3:$D$6000,0)),"")</f>
        <v/>
      </c>
      <c r="C2898">
        <f>IFERROR(LARGE(Segmen!$D$3:$D$6000,A2898),"")</f>
        <v/>
      </c>
    </row>
    <row r="2899">
      <c r="A2899" t="n">
        <v>2898</v>
      </c>
      <c r="B2899">
        <f>IFERROR(INDEX(Segmen!$A$3:$A$6000,MATCH(C2899,Segmen!$D$3:$D$6000,0)),"")</f>
        <v/>
      </c>
      <c r="C2899">
        <f>IFERROR(LARGE(Segmen!$D$3:$D$6000,A2899),"")</f>
        <v/>
      </c>
    </row>
    <row r="2900">
      <c r="A2900" t="n">
        <v>2899</v>
      </c>
      <c r="B2900">
        <f>IFERROR(INDEX(Segmen!$A$3:$A$6000,MATCH(C2900,Segmen!$D$3:$D$6000,0)),"")</f>
        <v/>
      </c>
      <c r="C2900">
        <f>IFERROR(LARGE(Segmen!$D$3:$D$6000,A2900),"")</f>
        <v/>
      </c>
    </row>
    <row r="2901">
      <c r="A2901" t="n">
        <v>2900</v>
      </c>
      <c r="B2901">
        <f>IFERROR(INDEX(Segmen!$A$3:$A$6000,MATCH(C2901,Segmen!$D$3:$D$6000,0)),"")</f>
        <v/>
      </c>
      <c r="C2901">
        <f>IFERROR(LARGE(Segmen!$D$3:$D$6000,A2901),"")</f>
        <v/>
      </c>
    </row>
    <row r="2902">
      <c r="A2902" t="n">
        <v>2901</v>
      </c>
      <c r="B2902">
        <f>IFERROR(INDEX(Segmen!$A$3:$A$6000,MATCH(C2902,Segmen!$D$3:$D$6000,0)),"")</f>
        <v/>
      </c>
      <c r="C2902">
        <f>IFERROR(LARGE(Segmen!$D$3:$D$6000,A2902),"")</f>
        <v/>
      </c>
    </row>
    <row r="2903">
      <c r="A2903" t="n">
        <v>2902</v>
      </c>
      <c r="B2903">
        <f>IFERROR(INDEX(Segmen!$A$3:$A$6000,MATCH(C2903,Segmen!$D$3:$D$6000,0)),"")</f>
        <v/>
      </c>
      <c r="C2903">
        <f>IFERROR(LARGE(Segmen!$D$3:$D$6000,A2903),"")</f>
        <v/>
      </c>
    </row>
    <row r="2904">
      <c r="A2904" t="n">
        <v>2903</v>
      </c>
      <c r="B2904">
        <f>IFERROR(INDEX(Segmen!$A$3:$A$6000,MATCH(C2904,Segmen!$D$3:$D$6000,0)),"")</f>
        <v/>
      </c>
      <c r="C2904">
        <f>IFERROR(LARGE(Segmen!$D$3:$D$6000,A2904),"")</f>
        <v/>
      </c>
    </row>
    <row r="2905">
      <c r="A2905" t="n">
        <v>2904</v>
      </c>
      <c r="B2905">
        <f>IFERROR(INDEX(Segmen!$A$3:$A$6000,MATCH(C2905,Segmen!$D$3:$D$6000,0)),"")</f>
        <v/>
      </c>
      <c r="C2905">
        <f>IFERROR(LARGE(Segmen!$D$3:$D$6000,A2905),"")</f>
        <v/>
      </c>
    </row>
    <row r="2906">
      <c r="A2906" t="n">
        <v>2905</v>
      </c>
      <c r="B2906">
        <f>IFERROR(INDEX(Segmen!$A$3:$A$6000,MATCH(C2906,Segmen!$D$3:$D$6000,0)),"")</f>
        <v/>
      </c>
      <c r="C2906">
        <f>IFERROR(LARGE(Segmen!$D$3:$D$6000,A2906),"")</f>
        <v/>
      </c>
    </row>
    <row r="2907">
      <c r="A2907" t="n">
        <v>2906</v>
      </c>
      <c r="B2907">
        <f>IFERROR(INDEX(Segmen!$A$3:$A$6000,MATCH(C2907,Segmen!$D$3:$D$6000,0)),"")</f>
        <v/>
      </c>
      <c r="C2907">
        <f>IFERROR(LARGE(Segmen!$D$3:$D$6000,A2907),"")</f>
        <v/>
      </c>
    </row>
    <row r="2908">
      <c r="A2908" t="n">
        <v>2907</v>
      </c>
      <c r="B2908">
        <f>IFERROR(INDEX(Segmen!$A$3:$A$6000,MATCH(C2908,Segmen!$D$3:$D$6000,0)),"")</f>
        <v/>
      </c>
      <c r="C2908">
        <f>IFERROR(LARGE(Segmen!$D$3:$D$6000,A2908),"")</f>
        <v/>
      </c>
    </row>
    <row r="2909">
      <c r="A2909" t="n">
        <v>2908</v>
      </c>
      <c r="B2909">
        <f>IFERROR(INDEX(Segmen!$A$3:$A$6000,MATCH(C2909,Segmen!$D$3:$D$6000,0)),"")</f>
        <v/>
      </c>
      <c r="C2909">
        <f>IFERROR(LARGE(Segmen!$D$3:$D$6000,A2909),"")</f>
        <v/>
      </c>
    </row>
    <row r="2910">
      <c r="A2910" t="n">
        <v>2909</v>
      </c>
      <c r="B2910">
        <f>IFERROR(INDEX(Segmen!$A$3:$A$6000,MATCH(C2910,Segmen!$D$3:$D$6000,0)),"")</f>
        <v/>
      </c>
      <c r="C2910">
        <f>IFERROR(LARGE(Segmen!$D$3:$D$6000,A2910),"")</f>
        <v/>
      </c>
    </row>
    <row r="2911">
      <c r="A2911" t="n">
        <v>2910</v>
      </c>
      <c r="B2911">
        <f>IFERROR(INDEX(Segmen!$A$3:$A$6000,MATCH(C2911,Segmen!$D$3:$D$6000,0)),"")</f>
        <v/>
      </c>
      <c r="C2911">
        <f>IFERROR(LARGE(Segmen!$D$3:$D$6000,A2911),"")</f>
        <v/>
      </c>
    </row>
    <row r="2912">
      <c r="A2912" t="n">
        <v>2911</v>
      </c>
      <c r="B2912">
        <f>IFERROR(INDEX(Segmen!$A$3:$A$6000,MATCH(C2912,Segmen!$D$3:$D$6000,0)),"")</f>
        <v/>
      </c>
      <c r="C2912">
        <f>IFERROR(LARGE(Segmen!$D$3:$D$6000,A2912),"")</f>
        <v/>
      </c>
    </row>
    <row r="2913">
      <c r="A2913" t="n">
        <v>2912</v>
      </c>
      <c r="B2913">
        <f>IFERROR(INDEX(Segmen!$A$3:$A$6000,MATCH(C2913,Segmen!$D$3:$D$6000,0)),"")</f>
        <v/>
      </c>
      <c r="C2913">
        <f>IFERROR(LARGE(Segmen!$D$3:$D$6000,A2913),"")</f>
        <v/>
      </c>
    </row>
    <row r="2914">
      <c r="A2914" t="n">
        <v>2913</v>
      </c>
      <c r="B2914">
        <f>IFERROR(INDEX(Segmen!$A$3:$A$6000,MATCH(C2914,Segmen!$D$3:$D$6000,0)),"")</f>
        <v/>
      </c>
      <c r="C2914">
        <f>IFERROR(LARGE(Segmen!$D$3:$D$6000,A2914),"")</f>
        <v/>
      </c>
    </row>
    <row r="2915">
      <c r="A2915" t="n">
        <v>2914</v>
      </c>
      <c r="B2915">
        <f>IFERROR(INDEX(Segmen!$A$3:$A$6000,MATCH(C2915,Segmen!$D$3:$D$6000,0)),"")</f>
        <v/>
      </c>
      <c r="C2915">
        <f>IFERROR(LARGE(Segmen!$D$3:$D$6000,A2915),"")</f>
        <v/>
      </c>
    </row>
    <row r="2916">
      <c r="A2916" t="n">
        <v>2915</v>
      </c>
      <c r="B2916">
        <f>IFERROR(INDEX(Segmen!$A$3:$A$6000,MATCH(C2916,Segmen!$D$3:$D$6000,0)),"")</f>
        <v/>
      </c>
      <c r="C2916">
        <f>IFERROR(LARGE(Segmen!$D$3:$D$6000,A2916),"")</f>
        <v/>
      </c>
    </row>
    <row r="2917">
      <c r="A2917" t="n">
        <v>2916</v>
      </c>
      <c r="B2917">
        <f>IFERROR(INDEX(Segmen!$A$3:$A$6000,MATCH(C2917,Segmen!$D$3:$D$6000,0)),"")</f>
        <v/>
      </c>
      <c r="C2917">
        <f>IFERROR(LARGE(Segmen!$D$3:$D$6000,A2917),"")</f>
        <v/>
      </c>
    </row>
    <row r="2918">
      <c r="A2918" t="n">
        <v>2917</v>
      </c>
      <c r="B2918">
        <f>IFERROR(INDEX(Segmen!$A$3:$A$6000,MATCH(C2918,Segmen!$D$3:$D$6000,0)),"")</f>
        <v/>
      </c>
      <c r="C2918">
        <f>IFERROR(LARGE(Segmen!$D$3:$D$6000,A2918),"")</f>
        <v/>
      </c>
    </row>
    <row r="2919">
      <c r="A2919" t="n">
        <v>2918</v>
      </c>
      <c r="B2919">
        <f>IFERROR(INDEX(Segmen!$A$3:$A$6000,MATCH(C2919,Segmen!$D$3:$D$6000,0)),"")</f>
        <v/>
      </c>
      <c r="C2919">
        <f>IFERROR(LARGE(Segmen!$D$3:$D$6000,A2919),"")</f>
        <v/>
      </c>
    </row>
    <row r="2920">
      <c r="A2920" t="n">
        <v>2919</v>
      </c>
      <c r="B2920">
        <f>IFERROR(INDEX(Segmen!$A$3:$A$6000,MATCH(C2920,Segmen!$D$3:$D$6000,0)),"")</f>
        <v/>
      </c>
      <c r="C2920">
        <f>IFERROR(LARGE(Segmen!$D$3:$D$6000,A2920),"")</f>
        <v/>
      </c>
    </row>
    <row r="2921">
      <c r="A2921" t="n">
        <v>2920</v>
      </c>
      <c r="B2921">
        <f>IFERROR(INDEX(Segmen!$A$3:$A$6000,MATCH(C2921,Segmen!$D$3:$D$6000,0)),"")</f>
        <v/>
      </c>
      <c r="C2921">
        <f>IFERROR(LARGE(Segmen!$D$3:$D$6000,A2921),"")</f>
        <v/>
      </c>
    </row>
    <row r="2922">
      <c r="A2922" t="n">
        <v>2921</v>
      </c>
      <c r="B2922">
        <f>IFERROR(INDEX(Segmen!$A$3:$A$6000,MATCH(C2922,Segmen!$D$3:$D$6000,0)),"")</f>
        <v/>
      </c>
      <c r="C2922">
        <f>IFERROR(LARGE(Segmen!$D$3:$D$6000,A2922),"")</f>
        <v/>
      </c>
    </row>
    <row r="2923">
      <c r="A2923" t="n">
        <v>2922</v>
      </c>
      <c r="B2923">
        <f>IFERROR(INDEX(Segmen!$A$3:$A$6000,MATCH(C2923,Segmen!$D$3:$D$6000,0)),"")</f>
        <v/>
      </c>
      <c r="C2923">
        <f>IFERROR(LARGE(Segmen!$D$3:$D$6000,A2923),"")</f>
        <v/>
      </c>
    </row>
    <row r="2924">
      <c r="A2924" t="n">
        <v>2923</v>
      </c>
      <c r="B2924">
        <f>IFERROR(INDEX(Segmen!$A$3:$A$6000,MATCH(C2924,Segmen!$D$3:$D$6000,0)),"")</f>
        <v/>
      </c>
      <c r="C2924">
        <f>IFERROR(LARGE(Segmen!$D$3:$D$6000,A2924),"")</f>
        <v/>
      </c>
    </row>
    <row r="2925">
      <c r="A2925" t="n">
        <v>2924</v>
      </c>
      <c r="B2925">
        <f>IFERROR(INDEX(Segmen!$A$3:$A$6000,MATCH(C2925,Segmen!$D$3:$D$6000,0)),"")</f>
        <v/>
      </c>
      <c r="C2925">
        <f>IFERROR(LARGE(Segmen!$D$3:$D$6000,A2925),"")</f>
        <v/>
      </c>
    </row>
    <row r="2926">
      <c r="A2926" t="n">
        <v>2925</v>
      </c>
      <c r="B2926">
        <f>IFERROR(INDEX(Segmen!$A$3:$A$6000,MATCH(C2926,Segmen!$D$3:$D$6000,0)),"")</f>
        <v/>
      </c>
      <c r="C2926">
        <f>IFERROR(LARGE(Segmen!$D$3:$D$6000,A2926),"")</f>
        <v/>
      </c>
    </row>
    <row r="2927">
      <c r="A2927" t="n">
        <v>2926</v>
      </c>
      <c r="B2927">
        <f>IFERROR(INDEX(Segmen!$A$3:$A$6000,MATCH(C2927,Segmen!$D$3:$D$6000,0)),"")</f>
        <v/>
      </c>
      <c r="C2927">
        <f>IFERROR(LARGE(Segmen!$D$3:$D$6000,A2927),"")</f>
        <v/>
      </c>
    </row>
    <row r="2928">
      <c r="A2928" t="n">
        <v>2927</v>
      </c>
      <c r="B2928">
        <f>IFERROR(INDEX(Segmen!$A$3:$A$6000,MATCH(C2928,Segmen!$D$3:$D$6000,0)),"")</f>
        <v/>
      </c>
      <c r="C2928">
        <f>IFERROR(LARGE(Segmen!$D$3:$D$6000,A2928),"")</f>
        <v/>
      </c>
    </row>
    <row r="2929">
      <c r="A2929" t="n">
        <v>2928</v>
      </c>
      <c r="B2929">
        <f>IFERROR(INDEX(Segmen!$A$3:$A$6000,MATCH(C2929,Segmen!$D$3:$D$6000,0)),"")</f>
        <v/>
      </c>
      <c r="C2929">
        <f>IFERROR(LARGE(Segmen!$D$3:$D$6000,A2929),"")</f>
        <v/>
      </c>
    </row>
    <row r="2930">
      <c r="A2930" t="n">
        <v>2929</v>
      </c>
      <c r="B2930">
        <f>IFERROR(INDEX(Segmen!$A$3:$A$6000,MATCH(C2930,Segmen!$D$3:$D$6000,0)),"")</f>
        <v/>
      </c>
      <c r="C2930">
        <f>IFERROR(LARGE(Segmen!$D$3:$D$6000,A2930),"")</f>
        <v/>
      </c>
    </row>
    <row r="2931">
      <c r="A2931" t="n">
        <v>2930</v>
      </c>
      <c r="B2931">
        <f>IFERROR(INDEX(Segmen!$A$3:$A$6000,MATCH(C2931,Segmen!$D$3:$D$6000,0)),"")</f>
        <v/>
      </c>
      <c r="C2931">
        <f>IFERROR(LARGE(Segmen!$D$3:$D$6000,A2931),"")</f>
        <v/>
      </c>
    </row>
    <row r="2932">
      <c r="A2932" t="n">
        <v>2931</v>
      </c>
      <c r="B2932">
        <f>IFERROR(INDEX(Segmen!$A$3:$A$6000,MATCH(C2932,Segmen!$D$3:$D$6000,0)),"")</f>
        <v/>
      </c>
      <c r="C2932">
        <f>IFERROR(LARGE(Segmen!$D$3:$D$6000,A2932),"")</f>
        <v/>
      </c>
    </row>
    <row r="2933">
      <c r="A2933" t="n">
        <v>2932</v>
      </c>
      <c r="B2933">
        <f>IFERROR(INDEX(Segmen!$A$3:$A$6000,MATCH(C2933,Segmen!$D$3:$D$6000,0)),"")</f>
        <v/>
      </c>
      <c r="C2933">
        <f>IFERROR(LARGE(Segmen!$D$3:$D$6000,A2933),"")</f>
        <v/>
      </c>
    </row>
    <row r="2934">
      <c r="A2934" t="n">
        <v>2933</v>
      </c>
      <c r="B2934">
        <f>IFERROR(INDEX(Segmen!$A$3:$A$6000,MATCH(C2934,Segmen!$D$3:$D$6000,0)),"")</f>
        <v/>
      </c>
      <c r="C2934">
        <f>IFERROR(LARGE(Segmen!$D$3:$D$6000,A2934),"")</f>
        <v/>
      </c>
    </row>
    <row r="2935">
      <c r="A2935" t="n">
        <v>2934</v>
      </c>
      <c r="B2935">
        <f>IFERROR(INDEX(Segmen!$A$3:$A$6000,MATCH(C2935,Segmen!$D$3:$D$6000,0)),"")</f>
        <v/>
      </c>
      <c r="C2935">
        <f>IFERROR(LARGE(Segmen!$D$3:$D$6000,A2935),"")</f>
        <v/>
      </c>
    </row>
    <row r="2936">
      <c r="A2936" t="n">
        <v>2935</v>
      </c>
      <c r="B2936">
        <f>IFERROR(INDEX(Segmen!$A$3:$A$6000,MATCH(C2936,Segmen!$D$3:$D$6000,0)),"")</f>
        <v/>
      </c>
      <c r="C2936">
        <f>IFERROR(LARGE(Segmen!$D$3:$D$6000,A2936),"")</f>
        <v/>
      </c>
    </row>
    <row r="2937">
      <c r="A2937" t="n">
        <v>2936</v>
      </c>
      <c r="B2937">
        <f>IFERROR(INDEX(Segmen!$A$3:$A$6000,MATCH(C2937,Segmen!$D$3:$D$6000,0)),"")</f>
        <v/>
      </c>
      <c r="C2937">
        <f>IFERROR(LARGE(Segmen!$D$3:$D$6000,A2937),"")</f>
        <v/>
      </c>
    </row>
    <row r="2938">
      <c r="A2938" t="n">
        <v>2937</v>
      </c>
      <c r="B2938">
        <f>IFERROR(INDEX(Segmen!$A$3:$A$6000,MATCH(C2938,Segmen!$D$3:$D$6000,0)),"")</f>
        <v/>
      </c>
      <c r="C2938">
        <f>IFERROR(LARGE(Segmen!$D$3:$D$6000,A2938),"")</f>
        <v/>
      </c>
    </row>
    <row r="2939">
      <c r="A2939" t="n">
        <v>2938</v>
      </c>
      <c r="B2939">
        <f>IFERROR(INDEX(Segmen!$A$3:$A$6000,MATCH(C2939,Segmen!$D$3:$D$6000,0)),"")</f>
        <v/>
      </c>
      <c r="C2939">
        <f>IFERROR(LARGE(Segmen!$D$3:$D$6000,A2939),"")</f>
        <v/>
      </c>
    </row>
    <row r="2940">
      <c r="A2940" t="n">
        <v>2939</v>
      </c>
      <c r="B2940">
        <f>IFERROR(INDEX(Segmen!$A$3:$A$6000,MATCH(C2940,Segmen!$D$3:$D$6000,0)),"")</f>
        <v/>
      </c>
      <c r="C2940">
        <f>IFERROR(LARGE(Segmen!$D$3:$D$6000,A2940),"")</f>
        <v/>
      </c>
    </row>
    <row r="2941">
      <c r="A2941" t="n">
        <v>2940</v>
      </c>
      <c r="B2941">
        <f>IFERROR(INDEX(Segmen!$A$3:$A$6000,MATCH(C2941,Segmen!$D$3:$D$6000,0)),"")</f>
        <v/>
      </c>
      <c r="C2941">
        <f>IFERROR(LARGE(Segmen!$D$3:$D$6000,A2941),"")</f>
        <v/>
      </c>
    </row>
    <row r="2942">
      <c r="A2942" t="n">
        <v>2941</v>
      </c>
      <c r="B2942">
        <f>IFERROR(INDEX(Segmen!$A$3:$A$6000,MATCH(C2942,Segmen!$D$3:$D$6000,0)),"")</f>
        <v/>
      </c>
      <c r="C2942">
        <f>IFERROR(LARGE(Segmen!$D$3:$D$6000,A2942),"")</f>
        <v/>
      </c>
    </row>
    <row r="2943">
      <c r="A2943" t="n">
        <v>2942</v>
      </c>
      <c r="B2943">
        <f>IFERROR(INDEX(Segmen!$A$3:$A$6000,MATCH(C2943,Segmen!$D$3:$D$6000,0)),"")</f>
        <v/>
      </c>
      <c r="C2943">
        <f>IFERROR(LARGE(Segmen!$D$3:$D$6000,A2943),"")</f>
        <v/>
      </c>
    </row>
    <row r="2944">
      <c r="A2944" t="n">
        <v>2943</v>
      </c>
      <c r="B2944">
        <f>IFERROR(INDEX(Segmen!$A$3:$A$6000,MATCH(C2944,Segmen!$D$3:$D$6000,0)),"")</f>
        <v/>
      </c>
      <c r="C2944">
        <f>IFERROR(LARGE(Segmen!$D$3:$D$6000,A2944),"")</f>
        <v/>
      </c>
    </row>
    <row r="2945">
      <c r="A2945" t="n">
        <v>2944</v>
      </c>
      <c r="B2945">
        <f>IFERROR(INDEX(Segmen!$A$3:$A$6000,MATCH(C2945,Segmen!$D$3:$D$6000,0)),"")</f>
        <v/>
      </c>
      <c r="C2945">
        <f>IFERROR(LARGE(Segmen!$D$3:$D$6000,A2945),"")</f>
        <v/>
      </c>
    </row>
    <row r="2946">
      <c r="A2946" t="n">
        <v>2945</v>
      </c>
      <c r="B2946">
        <f>IFERROR(INDEX(Segmen!$A$3:$A$6000,MATCH(C2946,Segmen!$D$3:$D$6000,0)),"")</f>
        <v/>
      </c>
      <c r="C2946">
        <f>IFERROR(LARGE(Segmen!$D$3:$D$6000,A2946),"")</f>
        <v/>
      </c>
    </row>
    <row r="2947">
      <c r="A2947" t="n">
        <v>2946</v>
      </c>
      <c r="B2947">
        <f>IFERROR(INDEX(Segmen!$A$3:$A$6000,MATCH(C2947,Segmen!$D$3:$D$6000,0)),"")</f>
        <v/>
      </c>
      <c r="C2947">
        <f>IFERROR(LARGE(Segmen!$D$3:$D$6000,A2947),"")</f>
        <v/>
      </c>
    </row>
    <row r="2948">
      <c r="A2948" t="n">
        <v>2947</v>
      </c>
      <c r="B2948">
        <f>IFERROR(INDEX(Segmen!$A$3:$A$6000,MATCH(C2948,Segmen!$D$3:$D$6000,0)),"")</f>
        <v/>
      </c>
      <c r="C2948">
        <f>IFERROR(LARGE(Segmen!$D$3:$D$6000,A2948),"")</f>
        <v/>
      </c>
    </row>
    <row r="2949">
      <c r="A2949" t="n">
        <v>2948</v>
      </c>
      <c r="B2949">
        <f>IFERROR(INDEX(Segmen!$A$3:$A$6000,MATCH(C2949,Segmen!$D$3:$D$6000,0)),"")</f>
        <v/>
      </c>
      <c r="C2949">
        <f>IFERROR(LARGE(Segmen!$D$3:$D$6000,A2949),"")</f>
        <v/>
      </c>
    </row>
    <row r="2950">
      <c r="A2950" t="n">
        <v>2949</v>
      </c>
      <c r="B2950">
        <f>IFERROR(INDEX(Segmen!$A$3:$A$6000,MATCH(C2950,Segmen!$D$3:$D$6000,0)),"")</f>
        <v/>
      </c>
      <c r="C2950">
        <f>IFERROR(LARGE(Segmen!$D$3:$D$6000,A2950),"")</f>
        <v/>
      </c>
    </row>
    <row r="2951">
      <c r="A2951" t="n">
        <v>2950</v>
      </c>
      <c r="B2951">
        <f>IFERROR(INDEX(Segmen!$A$3:$A$6000,MATCH(C2951,Segmen!$D$3:$D$6000,0)),"")</f>
        <v/>
      </c>
      <c r="C2951">
        <f>IFERROR(LARGE(Segmen!$D$3:$D$6000,A2951),"")</f>
        <v/>
      </c>
    </row>
    <row r="2952">
      <c r="A2952" t="n">
        <v>2951</v>
      </c>
      <c r="B2952">
        <f>IFERROR(INDEX(Segmen!$A$3:$A$6000,MATCH(C2952,Segmen!$D$3:$D$6000,0)),"")</f>
        <v/>
      </c>
      <c r="C2952">
        <f>IFERROR(LARGE(Segmen!$D$3:$D$6000,A2952),"")</f>
        <v/>
      </c>
    </row>
    <row r="2953">
      <c r="A2953" t="n">
        <v>2952</v>
      </c>
      <c r="B2953">
        <f>IFERROR(INDEX(Segmen!$A$3:$A$6000,MATCH(C2953,Segmen!$D$3:$D$6000,0)),"")</f>
        <v/>
      </c>
      <c r="C2953">
        <f>IFERROR(LARGE(Segmen!$D$3:$D$6000,A2953),"")</f>
        <v/>
      </c>
    </row>
    <row r="2954">
      <c r="A2954" t="n">
        <v>2953</v>
      </c>
      <c r="B2954">
        <f>IFERROR(INDEX(Segmen!$A$3:$A$6000,MATCH(C2954,Segmen!$D$3:$D$6000,0)),"")</f>
        <v/>
      </c>
      <c r="C2954">
        <f>IFERROR(LARGE(Segmen!$D$3:$D$6000,A2954),"")</f>
        <v/>
      </c>
    </row>
    <row r="2955">
      <c r="A2955" t="n">
        <v>2954</v>
      </c>
      <c r="B2955">
        <f>IFERROR(INDEX(Segmen!$A$3:$A$6000,MATCH(C2955,Segmen!$D$3:$D$6000,0)),"")</f>
        <v/>
      </c>
      <c r="C2955">
        <f>IFERROR(LARGE(Segmen!$D$3:$D$6000,A2955),"")</f>
        <v/>
      </c>
    </row>
    <row r="2956">
      <c r="A2956" t="n">
        <v>2955</v>
      </c>
      <c r="B2956">
        <f>IFERROR(INDEX(Segmen!$A$3:$A$6000,MATCH(C2956,Segmen!$D$3:$D$6000,0)),"")</f>
        <v/>
      </c>
      <c r="C2956">
        <f>IFERROR(LARGE(Segmen!$D$3:$D$6000,A2956),"")</f>
        <v/>
      </c>
    </row>
    <row r="2957">
      <c r="A2957" t="n">
        <v>2956</v>
      </c>
      <c r="B2957">
        <f>IFERROR(INDEX(Segmen!$A$3:$A$6000,MATCH(C2957,Segmen!$D$3:$D$6000,0)),"")</f>
        <v/>
      </c>
      <c r="C2957">
        <f>IFERROR(LARGE(Segmen!$D$3:$D$6000,A2957),"")</f>
        <v/>
      </c>
    </row>
    <row r="2958">
      <c r="A2958" t="n">
        <v>2957</v>
      </c>
      <c r="B2958">
        <f>IFERROR(INDEX(Segmen!$A$3:$A$6000,MATCH(C2958,Segmen!$D$3:$D$6000,0)),"")</f>
        <v/>
      </c>
      <c r="C2958">
        <f>IFERROR(LARGE(Segmen!$D$3:$D$6000,A2958),"")</f>
        <v/>
      </c>
    </row>
    <row r="2959">
      <c r="A2959" t="n">
        <v>2958</v>
      </c>
      <c r="B2959">
        <f>IFERROR(INDEX(Segmen!$A$3:$A$6000,MATCH(C2959,Segmen!$D$3:$D$6000,0)),"")</f>
        <v/>
      </c>
      <c r="C2959">
        <f>IFERROR(LARGE(Segmen!$D$3:$D$6000,A2959),"")</f>
        <v/>
      </c>
    </row>
    <row r="2960">
      <c r="A2960" t="n">
        <v>2959</v>
      </c>
      <c r="B2960">
        <f>IFERROR(INDEX(Segmen!$A$3:$A$6000,MATCH(C2960,Segmen!$D$3:$D$6000,0)),"")</f>
        <v/>
      </c>
      <c r="C2960">
        <f>IFERROR(LARGE(Segmen!$D$3:$D$6000,A2960),"")</f>
        <v/>
      </c>
    </row>
    <row r="2961">
      <c r="A2961" t="n">
        <v>2960</v>
      </c>
      <c r="B2961">
        <f>IFERROR(INDEX(Segmen!$A$3:$A$6000,MATCH(C2961,Segmen!$D$3:$D$6000,0)),"")</f>
        <v/>
      </c>
      <c r="C2961">
        <f>IFERROR(LARGE(Segmen!$D$3:$D$6000,A2961),"")</f>
        <v/>
      </c>
    </row>
    <row r="2962">
      <c r="A2962" t="n">
        <v>2961</v>
      </c>
      <c r="B2962">
        <f>IFERROR(INDEX(Segmen!$A$3:$A$6000,MATCH(C2962,Segmen!$D$3:$D$6000,0)),"")</f>
        <v/>
      </c>
      <c r="C2962">
        <f>IFERROR(LARGE(Segmen!$D$3:$D$6000,A2962),"")</f>
        <v/>
      </c>
    </row>
    <row r="2963">
      <c r="A2963" t="n">
        <v>2962</v>
      </c>
      <c r="B2963">
        <f>IFERROR(INDEX(Segmen!$A$3:$A$6000,MATCH(C2963,Segmen!$D$3:$D$6000,0)),"")</f>
        <v/>
      </c>
      <c r="C2963">
        <f>IFERROR(LARGE(Segmen!$D$3:$D$6000,A2963),"")</f>
        <v/>
      </c>
    </row>
    <row r="2964">
      <c r="A2964" t="n">
        <v>2963</v>
      </c>
      <c r="B2964">
        <f>IFERROR(INDEX(Segmen!$A$3:$A$6000,MATCH(C2964,Segmen!$D$3:$D$6000,0)),"")</f>
        <v/>
      </c>
      <c r="C2964">
        <f>IFERROR(LARGE(Segmen!$D$3:$D$6000,A2964),"")</f>
        <v/>
      </c>
    </row>
    <row r="2965">
      <c r="A2965" t="n">
        <v>2964</v>
      </c>
      <c r="B2965">
        <f>IFERROR(INDEX(Segmen!$A$3:$A$6000,MATCH(C2965,Segmen!$D$3:$D$6000,0)),"")</f>
        <v/>
      </c>
      <c r="C2965">
        <f>IFERROR(LARGE(Segmen!$D$3:$D$6000,A2965),"")</f>
        <v/>
      </c>
    </row>
    <row r="2966">
      <c r="A2966" t="n">
        <v>2965</v>
      </c>
      <c r="B2966">
        <f>IFERROR(INDEX(Segmen!$A$3:$A$6000,MATCH(C2966,Segmen!$D$3:$D$6000,0)),"")</f>
        <v/>
      </c>
      <c r="C2966">
        <f>IFERROR(LARGE(Segmen!$D$3:$D$6000,A2966),"")</f>
        <v/>
      </c>
    </row>
    <row r="2967">
      <c r="A2967" t="n">
        <v>2966</v>
      </c>
      <c r="B2967">
        <f>IFERROR(INDEX(Segmen!$A$3:$A$6000,MATCH(C2967,Segmen!$D$3:$D$6000,0)),"")</f>
        <v/>
      </c>
      <c r="C2967">
        <f>IFERROR(LARGE(Segmen!$D$3:$D$6000,A2967),"")</f>
        <v/>
      </c>
    </row>
    <row r="2968">
      <c r="A2968" t="n">
        <v>2967</v>
      </c>
      <c r="B2968">
        <f>IFERROR(INDEX(Segmen!$A$3:$A$6000,MATCH(C2968,Segmen!$D$3:$D$6000,0)),"")</f>
        <v/>
      </c>
      <c r="C2968">
        <f>IFERROR(LARGE(Segmen!$D$3:$D$6000,A2968),"")</f>
        <v/>
      </c>
    </row>
    <row r="2969">
      <c r="A2969" t="n">
        <v>2968</v>
      </c>
      <c r="B2969">
        <f>IFERROR(INDEX(Segmen!$A$3:$A$6000,MATCH(C2969,Segmen!$D$3:$D$6000,0)),"")</f>
        <v/>
      </c>
      <c r="C2969">
        <f>IFERROR(LARGE(Segmen!$D$3:$D$6000,A2969),"")</f>
        <v/>
      </c>
    </row>
    <row r="2970">
      <c r="A2970" t="n">
        <v>2969</v>
      </c>
      <c r="B2970">
        <f>IFERROR(INDEX(Segmen!$A$3:$A$6000,MATCH(C2970,Segmen!$D$3:$D$6000,0)),"")</f>
        <v/>
      </c>
      <c r="C2970">
        <f>IFERROR(LARGE(Segmen!$D$3:$D$6000,A2970),"")</f>
        <v/>
      </c>
    </row>
    <row r="2971">
      <c r="A2971" t="n">
        <v>2970</v>
      </c>
      <c r="B2971">
        <f>IFERROR(INDEX(Segmen!$A$3:$A$6000,MATCH(C2971,Segmen!$D$3:$D$6000,0)),"")</f>
        <v/>
      </c>
      <c r="C2971">
        <f>IFERROR(LARGE(Segmen!$D$3:$D$6000,A2971),"")</f>
        <v/>
      </c>
    </row>
    <row r="2972">
      <c r="A2972" t="n">
        <v>2971</v>
      </c>
      <c r="B2972">
        <f>IFERROR(INDEX(Segmen!$A$3:$A$6000,MATCH(C2972,Segmen!$D$3:$D$6000,0)),"")</f>
        <v/>
      </c>
      <c r="C2972">
        <f>IFERROR(LARGE(Segmen!$D$3:$D$6000,A2972),"")</f>
        <v/>
      </c>
    </row>
    <row r="2973">
      <c r="A2973" t="n">
        <v>2972</v>
      </c>
      <c r="B2973">
        <f>IFERROR(INDEX(Segmen!$A$3:$A$6000,MATCH(C2973,Segmen!$D$3:$D$6000,0)),"")</f>
        <v/>
      </c>
      <c r="C2973">
        <f>IFERROR(LARGE(Segmen!$D$3:$D$6000,A2973),"")</f>
        <v/>
      </c>
    </row>
    <row r="2974">
      <c r="A2974" t="n">
        <v>2973</v>
      </c>
      <c r="B2974">
        <f>IFERROR(INDEX(Segmen!$A$3:$A$6000,MATCH(C2974,Segmen!$D$3:$D$6000,0)),"")</f>
        <v/>
      </c>
      <c r="C2974">
        <f>IFERROR(LARGE(Segmen!$D$3:$D$6000,A2974),"")</f>
        <v/>
      </c>
    </row>
    <row r="2975">
      <c r="A2975" t="n">
        <v>2974</v>
      </c>
      <c r="B2975">
        <f>IFERROR(INDEX(Segmen!$A$3:$A$6000,MATCH(C2975,Segmen!$D$3:$D$6000,0)),"")</f>
        <v/>
      </c>
      <c r="C2975">
        <f>IFERROR(LARGE(Segmen!$D$3:$D$6000,A2975),"")</f>
        <v/>
      </c>
    </row>
    <row r="2976">
      <c r="A2976" t="n">
        <v>2975</v>
      </c>
      <c r="B2976">
        <f>IFERROR(INDEX(Segmen!$A$3:$A$6000,MATCH(C2976,Segmen!$D$3:$D$6000,0)),"")</f>
        <v/>
      </c>
      <c r="C2976">
        <f>IFERROR(LARGE(Segmen!$D$3:$D$6000,A2976),"")</f>
        <v/>
      </c>
    </row>
    <row r="2977">
      <c r="A2977" t="n">
        <v>2976</v>
      </c>
      <c r="B2977">
        <f>IFERROR(INDEX(Segmen!$A$3:$A$6000,MATCH(C2977,Segmen!$D$3:$D$6000,0)),"")</f>
        <v/>
      </c>
      <c r="C2977">
        <f>IFERROR(LARGE(Segmen!$D$3:$D$6000,A2977),"")</f>
        <v/>
      </c>
    </row>
    <row r="2978">
      <c r="A2978" t="n">
        <v>2977</v>
      </c>
      <c r="B2978">
        <f>IFERROR(INDEX(Segmen!$A$3:$A$6000,MATCH(C2978,Segmen!$D$3:$D$6000,0)),"")</f>
        <v/>
      </c>
      <c r="C2978">
        <f>IFERROR(LARGE(Segmen!$D$3:$D$6000,A2978),"")</f>
        <v/>
      </c>
    </row>
    <row r="2979">
      <c r="A2979" t="n">
        <v>2978</v>
      </c>
      <c r="B2979">
        <f>IFERROR(INDEX(Segmen!$A$3:$A$6000,MATCH(C2979,Segmen!$D$3:$D$6000,0)),"")</f>
        <v/>
      </c>
      <c r="C2979">
        <f>IFERROR(LARGE(Segmen!$D$3:$D$6000,A2979),"")</f>
        <v/>
      </c>
    </row>
    <row r="2980">
      <c r="A2980" t="n">
        <v>2979</v>
      </c>
      <c r="B2980">
        <f>IFERROR(INDEX(Segmen!$A$3:$A$6000,MATCH(C2980,Segmen!$D$3:$D$6000,0)),"")</f>
        <v/>
      </c>
      <c r="C2980">
        <f>IFERROR(LARGE(Segmen!$D$3:$D$6000,A2980),"")</f>
        <v/>
      </c>
    </row>
    <row r="2981">
      <c r="A2981" t="n">
        <v>2980</v>
      </c>
      <c r="B2981">
        <f>IFERROR(INDEX(Segmen!$A$3:$A$6000,MATCH(C2981,Segmen!$D$3:$D$6000,0)),"")</f>
        <v/>
      </c>
      <c r="C2981">
        <f>IFERROR(LARGE(Segmen!$D$3:$D$6000,A2981),"")</f>
        <v/>
      </c>
    </row>
    <row r="2982">
      <c r="A2982" t="n">
        <v>2981</v>
      </c>
      <c r="B2982">
        <f>IFERROR(INDEX(Segmen!$A$3:$A$6000,MATCH(C2982,Segmen!$D$3:$D$6000,0)),"")</f>
        <v/>
      </c>
      <c r="C2982">
        <f>IFERROR(LARGE(Segmen!$D$3:$D$6000,A2982),"")</f>
        <v/>
      </c>
    </row>
    <row r="2983">
      <c r="A2983" t="n">
        <v>2982</v>
      </c>
      <c r="B2983">
        <f>IFERROR(INDEX(Segmen!$A$3:$A$6000,MATCH(C2983,Segmen!$D$3:$D$6000,0)),"")</f>
        <v/>
      </c>
      <c r="C2983">
        <f>IFERROR(LARGE(Segmen!$D$3:$D$6000,A2983),"")</f>
        <v/>
      </c>
    </row>
    <row r="2984">
      <c r="A2984" t="n">
        <v>2983</v>
      </c>
      <c r="B2984">
        <f>IFERROR(INDEX(Segmen!$A$3:$A$6000,MATCH(C2984,Segmen!$D$3:$D$6000,0)),"")</f>
        <v/>
      </c>
      <c r="C2984">
        <f>IFERROR(LARGE(Segmen!$D$3:$D$6000,A2984),"")</f>
        <v/>
      </c>
    </row>
    <row r="2985">
      <c r="A2985" t="n">
        <v>2984</v>
      </c>
      <c r="B2985">
        <f>IFERROR(INDEX(Segmen!$A$3:$A$6000,MATCH(C2985,Segmen!$D$3:$D$6000,0)),"")</f>
        <v/>
      </c>
      <c r="C2985">
        <f>IFERROR(LARGE(Segmen!$D$3:$D$6000,A2985),"")</f>
        <v/>
      </c>
    </row>
    <row r="2986">
      <c r="A2986" t="n">
        <v>2985</v>
      </c>
      <c r="B2986">
        <f>IFERROR(INDEX(Segmen!$A$3:$A$6000,MATCH(C2986,Segmen!$D$3:$D$6000,0)),"")</f>
        <v/>
      </c>
      <c r="C2986">
        <f>IFERROR(LARGE(Segmen!$D$3:$D$6000,A2986),"")</f>
        <v/>
      </c>
    </row>
    <row r="2987">
      <c r="A2987" t="n">
        <v>2986</v>
      </c>
      <c r="B2987">
        <f>IFERROR(INDEX(Segmen!$A$3:$A$6000,MATCH(C2987,Segmen!$D$3:$D$6000,0)),"")</f>
        <v/>
      </c>
      <c r="C2987">
        <f>IFERROR(LARGE(Segmen!$D$3:$D$6000,A2987),"")</f>
        <v/>
      </c>
    </row>
    <row r="2988">
      <c r="A2988" t="n">
        <v>2987</v>
      </c>
      <c r="B2988">
        <f>IFERROR(INDEX(Segmen!$A$3:$A$6000,MATCH(C2988,Segmen!$D$3:$D$6000,0)),"")</f>
        <v/>
      </c>
      <c r="C2988">
        <f>IFERROR(LARGE(Segmen!$D$3:$D$6000,A2988),"")</f>
        <v/>
      </c>
    </row>
    <row r="2989">
      <c r="A2989" t="n">
        <v>2988</v>
      </c>
      <c r="B2989">
        <f>IFERROR(INDEX(Segmen!$A$3:$A$6000,MATCH(C2989,Segmen!$D$3:$D$6000,0)),"")</f>
        <v/>
      </c>
      <c r="C2989">
        <f>IFERROR(LARGE(Segmen!$D$3:$D$6000,A2989),"")</f>
        <v/>
      </c>
    </row>
    <row r="2990">
      <c r="A2990" t="n">
        <v>2989</v>
      </c>
      <c r="B2990">
        <f>IFERROR(INDEX(Segmen!$A$3:$A$6000,MATCH(C2990,Segmen!$D$3:$D$6000,0)),"")</f>
        <v/>
      </c>
      <c r="C2990">
        <f>IFERROR(LARGE(Segmen!$D$3:$D$6000,A2990),"")</f>
        <v/>
      </c>
    </row>
    <row r="2991">
      <c r="A2991" t="n">
        <v>2990</v>
      </c>
      <c r="B2991">
        <f>IFERROR(INDEX(Segmen!$A$3:$A$6000,MATCH(C2991,Segmen!$D$3:$D$6000,0)),"")</f>
        <v/>
      </c>
      <c r="C2991">
        <f>IFERROR(LARGE(Segmen!$D$3:$D$6000,A2991),"")</f>
        <v/>
      </c>
    </row>
    <row r="2992">
      <c r="A2992" t="n">
        <v>2991</v>
      </c>
      <c r="B2992">
        <f>IFERROR(INDEX(Segmen!$A$3:$A$6000,MATCH(C2992,Segmen!$D$3:$D$6000,0)),"")</f>
        <v/>
      </c>
      <c r="C2992">
        <f>IFERROR(LARGE(Segmen!$D$3:$D$6000,A2992),"")</f>
        <v/>
      </c>
    </row>
    <row r="2993">
      <c r="A2993" t="n">
        <v>2992</v>
      </c>
      <c r="B2993">
        <f>IFERROR(INDEX(Segmen!$A$3:$A$6000,MATCH(C2993,Segmen!$D$3:$D$6000,0)),"")</f>
        <v/>
      </c>
      <c r="C2993">
        <f>IFERROR(LARGE(Segmen!$D$3:$D$6000,A2993),"")</f>
        <v/>
      </c>
    </row>
    <row r="2994">
      <c r="A2994" t="n">
        <v>2993</v>
      </c>
      <c r="B2994">
        <f>IFERROR(INDEX(Segmen!$A$3:$A$6000,MATCH(C2994,Segmen!$D$3:$D$6000,0)),"")</f>
        <v/>
      </c>
      <c r="C2994">
        <f>IFERROR(LARGE(Segmen!$D$3:$D$6000,A2994),"")</f>
        <v/>
      </c>
    </row>
    <row r="2995">
      <c r="A2995" t="n">
        <v>2994</v>
      </c>
      <c r="B2995">
        <f>IFERROR(INDEX(Segmen!$A$3:$A$6000,MATCH(C2995,Segmen!$D$3:$D$6000,0)),"")</f>
        <v/>
      </c>
      <c r="C2995">
        <f>IFERROR(LARGE(Segmen!$D$3:$D$6000,A2995),"")</f>
        <v/>
      </c>
    </row>
    <row r="2996">
      <c r="A2996" t="n">
        <v>2995</v>
      </c>
      <c r="B2996">
        <f>IFERROR(INDEX(Segmen!$A$3:$A$6000,MATCH(C2996,Segmen!$D$3:$D$6000,0)),"")</f>
        <v/>
      </c>
      <c r="C2996">
        <f>IFERROR(LARGE(Segmen!$D$3:$D$6000,A2996),"")</f>
        <v/>
      </c>
    </row>
    <row r="2997">
      <c r="A2997" t="n">
        <v>2996</v>
      </c>
      <c r="B2997">
        <f>IFERROR(INDEX(Segmen!$A$3:$A$6000,MATCH(C2997,Segmen!$D$3:$D$6000,0)),"")</f>
        <v/>
      </c>
      <c r="C2997">
        <f>IFERROR(LARGE(Segmen!$D$3:$D$6000,A2997),"")</f>
        <v/>
      </c>
    </row>
    <row r="2998">
      <c r="A2998" t="n">
        <v>2997</v>
      </c>
      <c r="B2998">
        <f>IFERROR(INDEX(Segmen!$A$3:$A$6000,MATCH(C2998,Segmen!$D$3:$D$6000,0)),"")</f>
        <v/>
      </c>
      <c r="C2998">
        <f>IFERROR(LARGE(Segmen!$D$3:$D$6000,A2998),"")</f>
        <v/>
      </c>
    </row>
    <row r="2999">
      <c r="A2999" t="n">
        <v>2998</v>
      </c>
      <c r="B2999">
        <f>IFERROR(INDEX(Segmen!$A$3:$A$6000,MATCH(C2999,Segmen!$D$3:$D$6000,0)),"")</f>
        <v/>
      </c>
      <c r="C2999">
        <f>IFERROR(LARGE(Segmen!$D$3:$D$6000,A2999),"")</f>
        <v/>
      </c>
    </row>
    <row r="3000">
      <c r="A3000" t="n">
        <v>2999</v>
      </c>
      <c r="B3000">
        <f>IFERROR(INDEX(Segmen!$A$3:$A$6000,MATCH(C3000,Segmen!$D$3:$D$6000,0)),"")</f>
        <v/>
      </c>
      <c r="C3000">
        <f>IFERROR(LARGE(Segmen!$D$3:$D$6000,A3000),"")</f>
        <v/>
      </c>
    </row>
    <row r="3001">
      <c r="A3001" t="n">
        <v>3000</v>
      </c>
      <c r="B3001">
        <f>IFERROR(INDEX(Segmen!$A$3:$A$6000,MATCH(C3001,Segmen!$D$3:$D$6000,0)),"")</f>
        <v/>
      </c>
      <c r="C3001">
        <f>IFERROR(LARGE(Segmen!$D$3:$D$6000,A3001),"")</f>
        <v/>
      </c>
    </row>
    <row r="3002">
      <c r="A3002" t="n">
        <v>3001</v>
      </c>
      <c r="B3002">
        <f>IFERROR(INDEX(Segmen!$A$3:$A$6000,MATCH(C3002,Segmen!$D$3:$D$6000,0)),"")</f>
        <v/>
      </c>
      <c r="C3002">
        <f>IFERROR(LARGE(Segmen!$D$3:$D$6000,A3002),"")</f>
        <v/>
      </c>
    </row>
    <row r="3003">
      <c r="A3003" t="n">
        <v>3002</v>
      </c>
      <c r="B3003">
        <f>IFERROR(INDEX(Segmen!$A$3:$A$6000,MATCH(C3003,Segmen!$D$3:$D$6000,0)),"")</f>
        <v/>
      </c>
      <c r="C3003">
        <f>IFERROR(LARGE(Segmen!$D$3:$D$6000,A3003),"")</f>
        <v/>
      </c>
    </row>
    <row r="3004">
      <c r="A3004" t="n">
        <v>3003</v>
      </c>
      <c r="B3004">
        <f>IFERROR(INDEX(Segmen!$A$3:$A$6000,MATCH(C3004,Segmen!$D$3:$D$6000,0)),"")</f>
        <v/>
      </c>
      <c r="C3004">
        <f>IFERROR(LARGE(Segmen!$D$3:$D$6000,A3004),"")</f>
        <v/>
      </c>
    </row>
    <row r="3005">
      <c r="A3005" t="n">
        <v>3004</v>
      </c>
      <c r="B3005">
        <f>IFERROR(INDEX(Segmen!$A$3:$A$6000,MATCH(C3005,Segmen!$D$3:$D$6000,0)),"")</f>
        <v/>
      </c>
      <c r="C3005">
        <f>IFERROR(LARGE(Segmen!$D$3:$D$6000,A3005),"")</f>
        <v/>
      </c>
    </row>
    <row r="3006">
      <c r="A3006" t="n">
        <v>3005</v>
      </c>
      <c r="B3006">
        <f>IFERROR(INDEX(Segmen!$A$3:$A$6000,MATCH(C3006,Segmen!$D$3:$D$6000,0)),"")</f>
        <v/>
      </c>
      <c r="C3006">
        <f>IFERROR(LARGE(Segmen!$D$3:$D$6000,A3006),"")</f>
        <v/>
      </c>
    </row>
    <row r="3007">
      <c r="A3007" t="n">
        <v>3006</v>
      </c>
      <c r="B3007">
        <f>IFERROR(INDEX(Segmen!$A$3:$A$6000,MATCH(C3007,Segmen!$D$3:$D$6000,0)),"")</f>
        <v/>
      </c>
      <c r="C3007">
        <f>IFERROR(LARGE(Segmen!$D$3:$D$6000,A3007),"")</f>
        <v/>
      </c>
    </row>
    <row r="3008">
      <c r="A3008" t="n">
        <v>3007</v>
      </c>
      <c r="B3008">
        <f>IFERROR(INDEX(Segmen!$A$3:$A$6000,MATCH(C3008,Segmen!$D$3:$D$6000,0)),"")</f>
        <v/>
      </c>
      <c r="C3008">
        <f>IFERROR(LARGE(Segmen!$D$3:$D$6000,A3008),"")</f>
        <v/>
      </c>
    </row>
    <row r="3009">
      <c r="A3009" t="n">
        <v>3008</v>
      </c>
      <c r="B3009">
        <f>IFERROR(INDEX(Segmen!$A$3:$A$6000,MATCH(C3009,Segmen!$D$3:$D$6000,0)),"")</f>
        <v/>
      </c>
      <c r="C3009">
        <f>IFERROR(LARGE(Segmen!$D$3:$D$6000,A3009),"")</f>
        <v/>
      </c>
    </row>
    <row r="3010">
      <c r="A3010" t="n">
        <v>3009</v>
      </c>
      <c r="B3010">
        <f>IFERROR(INDEX(Segmen!$A$3:$A$6000,MATCH(C3010,Segmen!$D$3:$D$6000,0)),"")</f>
        <v/>
      </c>
      <c r="C3010">
        <f>IFERROR(LARGE(Segmen!$D$3:$D$6000,A3010),"")</f>
        <v/>
      </c>
    </row>
    <row r="3011">
      <c r="A3011" t="n">
        <v>3010</v>
      </c>
      <c r="B3011">
        <f>IFERROR(INDEX(Segmen!$A$3:$A$6000,MATCH(C3011,Segmen!$D$3:$D$6000,0)),"")</f>
        <v/>
      </c>
      <c r="C3011">
        <f>IFERROR(LARGE(Segmen!$D$3:$D$6000,A3011),"")</f>
        <v/>
      </c>
    </row>
    <row r="3012">
      <c r="A3012" t="n">
        <v>3011</v>
      </c>
      <c r="B3012">
        <f>IFERROR(INDEX(Segmen!$A$3:$A$6000,MATCH(C3012,Segmen!$D$3:$D$6000,0)),"")</f>
        <v/>
      </c>
      <c r="C3012">
        <f>IFERROR(LARGE(Segmen!$D$3:$D$6000,A3012),"")</f>
        <v/>
      </c>
    </row>
    <row r="3013">
      <c r="A3013" t="n">
        <v>3012</v>
      </c>
      <c r="B3013">
        <f>IFERROR(INDEX(Segmen!$A$3:$A$6000,MATCH(C3013,Segmen!$D$3:$D$6000,0)),"")</f>
        <v/>
      </c>
      <c r="C3013">
        <f>IFERROR(LARGE(Segmen!$D$3:$D$6000,A3013),"")</f>
        <v/>
      </c>
    </row>
    <row r="3014">
      <c r="A3014" t="n">
        <v>3013</v>
      </c>
      <c r="B3014">
        <f>IFERROR(INDEX(Segmen!$A$3:$A$6000,MATCH(C3014,Segmen!$D$3:$D$6000,0)),"")</f>
        <v/>
      </c>
      <c r="C3014">
        <f>IFERROR(LARGE(Segmen!$D$3:$D$6000,A3014),"")</f>
        <v/>
      </c>
    </row>
    <row r="3015">
      <c r="A3015" t="n">
        <v>3014</v>
      </c>
      <c r="B3015">
        <f>IFERROR(INDEX(Segmen!$A$3:$A$6000,MATCH(C3015,Segmen!$D$3:$D$6000,0)),"")</f>
        <v/>
      </c>
      <c r="C3015">
        <f>IFERROR(LARGE(Segmen!$D$3:$D$6000,A3015),"")</f>
        <v/>
      </c>
    </row>
    <row r="3016">
      <c r="A3016" t="n">
        <v>3015</v>
      </c>
      <c r="B3016">
        <f>IFERROR(INDEX(Segmen!$A$3:$A$6000,MATCH(C3016,Segmen!$D$3:$D$6000,0)),"")</f>
        <v/>
      </c>
      <c r="C3016">
        <f>IFERROR(LARGE(Segmen!$D$3:$D$6000,A3016),"")</f>
        <v/>
      </c>
    </row>
    <row r="3017">
      <c r="A3017" t="n">
        <v>3016</v>
      </c>
      <c r="B3017">
        <f>IFERROR(INDEX(Segmen!$A$3:$A$6000,MATCH(C3017,Segmen!$D$3:$D$6000,0)),"")</f>
        <v/>
      </c>
      <c r="C3017">
        <f>IFERROR(LARGE(Segmen!$D$3:$D$6000,A3017),"")</f>
        <v/>
      </c>
    </row>
    <row r="3018">
      <c r="A3018" t="n">
        <v>3017</v>
      </c>
      <c r="B3018">
        <f>IFERROR(INDEX(Segmen!$A$3:$A$6000,MATCH(C3018,Segmen!$D$3:$D$6000,0)),"")</f>
        <v/>
      </c>
      <c r="C3018">
        <f>IFERROR(LARGE(Segmen!$D$3:$D$6000,A3018),"")</f>
        <v/>
      </c>
    </row>
    <row r="3019">
      <c r="A3019" t="n">
        <v>3018</v>
      </c>
      <c r="B3019">
        <f>IFERROR(INDEX(Segmen!$A$3:$A$6000,MATCH(C3019,Segmen!$D$3:$D$6000,0)),"")</f>
        <v/>
      </c>
      <c r="C3019">
        <f>IFERROR(LARGE(Segmen!$D$3:$D$6000,A3019),"")</f>
        <v/>
      </c>
    </row>
    <row r="3020">
      <c r="A3020" t="n">
        <v>3019</v>
      </c>
      <c r="B3020">
        <f>IFERROR(INDEX(Segmen!$A$3:$A$6000,MATCH(C3020,Segmen!$D$3:$D$6000,0)),"")</f>
        <v/>
      </c>
      <c r="C3020">
        <f>IFERROR(LARGE(Segmen!$D$3:$D$6000,A3020),"")</f>
        <v/>
      </c>
    </row>
    <row r="3021">
      <c r="A3021" t="n">
        <v>3020</v>
      </c>
      <c r="B3021">
        <f>IFERROR(INDEX(Segmen!$A$3:$A$6000,MATCH(C3021,Segmen!$D$3:$D$6000,0)),"")</f>
        <v/>
      </c>
      <c r="C3021">
        <f>IFERROR(LARGE(Segmen!$D$3:$D$6000,A3021),"")</f>
        <v/>
      </c>
    </row>
    <row r="3022">
      <c r="A3022" t="n">
        <v>3021</v>
      </c>
      <c r="B3022">
        <f>IFERROR(INDEX(Segmen!$A$3:$A$6000,MATCH(C3022,Segmen!$D$3:$D$6000,0)),"")</f>
        <v/>
      </c>
      <c r="C3022">
        <f>IFERROR(LARGE(Segmen!$D$3:$D$6000,A3022),"")</f>
        <v/>
      </c>
    </row>
    <row r="3023">
      <c r="A3023" t="n">
        <v>3022</v>
      </c>
      <c r="B3023">
        <f>IFERROR(INDEX(Segmen!$A$3:$A$6000,MATCH(C3023,Segmen!$D$3:$D$6000,0)),"")</f>
        <v/>
      </c>
      <c r="C3023">
        <f>IFERROR(LARGE(Segmen!$D$3:$D$6000,A3023),"")</f>
        <v/>
      </c>
    </row>
    <row r="3024">
      <c r="A3024" t="n">
        <v>3023</v>
      </c>
      <c r="B3024">
        <f>IFERROR(INDEX(Segmen!$A$3:$A$6000,MATCH(C3024,Segmen!$D$3:$D$6000,0)),"")</f>
        <v/>
      </c>
      <c r="C3024">
        <f>IFERROR(LARGE(Segmen!$D$3:$D$6000,A3024),"")</f>
        <v/>
      </c>
    </row>
    <row r="3025">
      <c r="A3025" t="n">
        <v>3024</v>
      </c>
      <c r="B3025">
        <f>IFERROR(INDEX(Segmen!$A$3:$A$6000,MATCH(C3025,Segmen!$D$3:$D$6000,0)),"")</f>
        <v/>
      </c>
      <c r="C3025">
        <f>IFERROR(LARGE(Segmen!$D$3:$D$6000,A3025),"")</f>
        <v/>
      </c>
    </row>
    <row r="3026">
      <c r="A3026" t="n">
        <v>3025</v>
      </c>
      <c r="B3026">
        <f>IFERROR(INDEX(Segmen!$A$3:$A$6000,MATCH(C3026,Segmen!$D$3:$D$6000,0)),"")</f>
        <v/>
      </c>
      <c r="C3026">
        <f>IFERROR(LARGE(Segmen!$D$3:$D$6000,A3026),"")</f>
        <v/>
      </c>
    </row>
    <row r="3027">
      <c r="A3027" t="n">
        <v>3026</v>
      </c>
      <c r="B3027">
        <f>IFERROR(INDEX(Segmen!$A$3:$A$6000,MATCH(C3027,Segmen!$D$3:$D$6000,0)),"")</f>
        <v/>
      </c>
      <c r="C3027">
        <f>IFERROR(LARGE(Segmen!$D$3:$D$6000,A3027),"")</f>
        <v/>
      </c>
    </row>
    <row r="3028">
      <c r="A3028" t="n">
        <v>3027</v>
      </c>
      <c r="B3028">
        <f>IFERROR(INDEX(Segmen!$A$3:$A$6000,MATCH(C3028,Segmen!$D$3:$D$6000,0)),"")</f>
        <v/>
      </c>
      <c r="C3028">
        <f>IFERROR(LARGE(Segmen!$D$3:$D$6000,A3028),"")</f>
        <v/>
      </c>
    </row>
    <row r="3029">
      <c r="A3029" t="n">
        <v>3028</v>
      </c>
      <c r="B3029">
        <f>IFERROR(INDEX(Segmen!$A$3:$A$6000,MATCH(C3029,Segmen!$D$3:$D$6000,0)),"")</f>
        <v/>
      </c>
      <c r="C3029">
        <f>IFERROR(LARGE(Segmen!$D$3:$D$6000,A3029),"")</f>
        <v/>
      </c>
    </row>
    <row r="3030">
      <c r="A3030" t="n">
        <v>3029</v>
      </c>
      <c r="B3030">
        <f>IFERROR(INDEX(Segmen!$A$3:$A$6000,MATCH(C3030,Segmen!$D$3:$D$6000,0)),"")</f>
        <v/>
      </c>
      <c r="C3030">
        <f>IFERROR(LARGE(Segmen!$D$3:$D$6000,A3030),"")</f>
        <v/>
      </c>
    </row>
    <row r="3031">
      <c r="A3031" t="n">
        <v>3030</v>
      </c>
      <c r="B3031">
        <f>IFERROR(INDEX(Segmen!$A$3:$A$6000,MATCH(C3031,Segmen!$D$3:$D$6000,0)),"")</f>
        <v/>
      </c>
      <c r="C3031">
        <f>IFERROR(LARGE(Segmen!$D$3:$D$6000,A3031),"")</f>
        <v/>
      </c>
    </row>
    <row r="3032">
      <c r="A3032" t="n">
        <v>3031</v>
      </c>
      <c r="B3032">
        <f>IFERROR(INDEX(Segmen!$A$3:$A$6000,MATCH(C3032,Segmen!$D$3:$D$6000,0)),"")</f>
        <v/>
      </c>
      <c r="C3032">
        <f>IFERROR(LARGE(Segmen!$D$3:$D$6000,A3032),"")</f>
        <v/>
      </c>
    </row>
    <row r="3033">
      <c r="A3033" t="n">
        <v>3032</v>
      </c>
      <c r="B3033">
        <f>IFERROR(INDEX(Segmen!$A$3:$A$6000,MATCH(C3033,Segmen!$D$3:$D$6000,0)),"")</f>
        <v/>
      </c>
      <c r="C3033">
        <f>IFERROR(LARGE(Segmen!$D$3:$D$6000,A3033),"")</f>
        <v/>
      </c>
    </row>
    <row r="3034">
      <c r="A3034" t="n">
        <v>3033</v>
      </c>
      <c r="B3034">
        <f>IFERROR(INDEX(Segmen!$A$3:$A$6000,MATCH(C3034,Segmen!$D$3:$D$6000,0)),"")</f>
        <v/>
      </c>
      <c r="C3034">
        <f>IFERROR(LARGE(Segmen!$D$3:$D$6000,A3034),"")</f>
        <v/>
      </c>
    </row>
    <row r="3035">
      <c r="A3035" t="n">
        <v>3034</v>
      </c>
      <c r="B3035">
        <f>IFERROR(INDEX(Segmen!$A$3:$A$6000,MATCH(C3035,Segmen!$D$3:$D$6000,0)),"")</f>
        <v/>
      </c>
      <c r="C3035">
        <f>IFERROR(LARGE(Segmen!$D$3:$D$6000,A3035),"")</f>
        <v/>
      </c>
    </row>
    <row r="3036">
      <c r="A3036" t="n">
        <v>3035</v>
      </c>
      <c r="B3036">
        <f>IFERROR(INDEX(Segmen!$A$3:$A$6000,MATCH(C3036,Segmen!$D$3:$D$6000,0)),"")</f>
        <v/>
      </c>
      <c r="C3036">
        <f>IFERROR(LARGE(Segmen!$D$3:$D$6000,A3036),"")</f>
        <v/>
      </c>
    </row>
    <row r="3037">
      <c r="A3037" t="n">
        <v>3036</v>
      </c>
      <c r="B3037">
        <f>IFERROR(INDEX(Segmen!$A$3:$A$6000,MATCH(C3037,Segmen!$D$3:$D$6000,0)),"")</f>
        <v/>
      </c>
      <c r="C3037">
        <f>IFERROR(LARGE(Segmen!$D$3:$D$6000,A3037),"")</f>
        <v/>
      </c>
    </row>
    <row r="3038">
      <c r="A3038" t="n">
        <v>3037</v>
      </c>
      <c r="B3038">
        <f>IFERROR(INDEX(Segmen!$A$3:$A$6000,MATCH(C3038,Segmen!$D$3:$D$6000,0)),"")</f>
        <v/>
      </c>
      <c r="C3038">
        <f>IFERROR(LARGE(Segmen!$D$3:$D$6000,A3038),"")</f>
        <v/>
      </c>
    </row>
    <row r="3039">
      <c r="A3039" t="n">
        <v>3038</v>
      </c>
      <c r="B3039">
        <f>IFERROR(INDEX(Segmen!$A$3:$A$6000,MATCH(C3039,Segmen!$D$3:$D$6000,0)),"")</f>
        <v/>
      </c>
      <c r="C3039">
        <f>IFERROR(LARGE(Segmen!$D$3:$D$6000,A3039),"")</f>
        <v/>
      </c>
    </row>
    <row r="3040">
      <c r="A3040" t="n">
        <v>3039</v>
      </c>
      <c r="B3040">
        <f>IFERROR(INDEX(Segmen!$A$3:$A$6000,MATCH(C3040,Segmen!$D$3:$D$6000,0)),"")</f>
        <v/>
      </c>
      <c r="C3040">
        <f>IFERROR(LARGE(Segmen!$D$3:$D$6000,A3040),"")</f>
        <v/>
      </c>
    </row>
    <row r="3041">
      <c r="A3041" t="n">
        <v>3040</v>
      </c>
      <c r="B3041">
        <f>IFERROR(INDEX(Segmen!$A$3:$A$6000,MATCH(C3041,Segmen!$D$3:$D$6000,0)),"")</f>
        <v/>
      </c>
      <c r="C3041">
        <f>IFERROR(LARGE(Segmen!$D$3:$D$6000,A3041),"")</f>
        <v/>
      </c>
    </row>
    <row r="3042">
      <c r="A3042" t="n">
        <v>3041</v>
      </c>
      <c r="B3042">
        <f>IFERROR(INDEX(Segmen!$A$3:$A$6000,MATCH(C3042,Segmen!$D$3:$D$6000,0)),"")</f>
        <v/>
      </c>
      <c r="C3042">
        <f>IFERROR(LARGE(Segmen!$D$3:$D$6000,A3042),"")</f>
        <v/>
      </c>
    </row>
    <row r="3043">
      <c r="A3043" t="n">
        <v>3042</v>
      </c>
      <c r="B3043">
        <f>IFERROR(INDEX(Segmen!$A$3:$A$6000,MATCH(C3043,Segmen!$D$3:$D$6000,0)),"")</f>
        <v/>
      </c>
      <c r="C3043">
        <f>IFERROR(LARGE(Segmen!$D$3:$D$6000,A3043),"")</f>
        <v/>
      </c>
    </row>
    <row r="3044">
      <c r="A3044" t="n">
        <v>3043</v>
      </c>
      <c r="B3044">
        <f>IFERROR(INDEX(Segmen!$A$3:$A$6000,MATCH(C3044,Segmen!$D$3:$D$6000,0)),"")</f>
        <v/>
      </c>
      <c r="C3044">
        <f>IFERROR(LARGE(Segmen!$D$3:$D$6000,A3044),"")</f>
        <v/>
      </c>
    </row>
    <row r="3045">
      <c r="A3045" t="n">
        <v>3044</v>
      </c>
      <c r="B3045">
        <f>IFERROR(INDEX(Segmen!$A$3:$A$6000,MATCH(C3045,Segmen!$D$3:$D$6000,0)),"")</f>
        <v/>
      </c>
      <c r="C3045">
        <f>IFERROR(LARGE(Segmen!$D$3:$D$6000,A3045),"")</f>
        <v/>
      </c>
    </row>
    <row r="3046">
      <c r="A3046" t="n">
        <v>3045</v>
      </c>
      <c r="B3046">
        <f>IFERROR(INDEX(Segmen!$A$3:$A$6000,MATCH(C3046,Segmen!$D$3:$D$6000,0)),"")</f>
        <v/>
      </c>
      <c r="C3046">
        <f>IFERROR(LARGE(Segmen!$D$3:$D$6000,A3046),"")</f>
        <v/>
      </c>
    </row>
    <row r="3047">
      <c r="A3047" t="n">
        <v>3046</v>
      </c>
      <c r="B3047">
        <f>IFERROR(INDEX(Segmen!$A$3:$A$6000,MATCH(C3047,Segmen!$D$3:$D$6000,0)),"")</f>
        <v/>
      </c>
      <c r="C3047">
        <f>IFERROR(LARGE(Segmen!$D$3:$D$6000,A3047),"")</f>
        <v/>
      </c>
    </row>
    <row r="3048">
      <c r="A3048" t="n">
        <v>3047</v>
      </c>
      <c r="B3048">
        <f>IFERROR(INDEX(Segmen!$A$3:$A$6000,MATCH(C3048,Segmen!$D$3:$D$6000,0)),"")</f>
        <v/>
      </c>
      <c r="C3048">
        <f>IFERROR(LARGE(Segmen!$D$3:$D$6000,A3048),"")</f>
        <v/>
      </c>
    </row>
    <row r="3049">
      <c r="A3049" t="n">
        <v>3048</v>
      </c>
      <c r="B3049">
        <f>IFERROR(INDEX(Segmen!$A$3:$A$6000,MATCH(C3049,Segmen!$D$3:$D$6000,0)),"")</f>
        <v/>
      </c>
      <c r="C3049">
        <f>IFERROR(LARGE(Segmen!$D$3:$D$6000,A3049),"")</f>
        <v/>
      </c>
    </row>
    <row r="3050">
      <c r="A3050" t="n">
        <v>3049</v>
      </c>
      <c r="B3050">
        <f>IFERROR(INDEX(Segmen!$A$3:$A$6000,MATCH(C3050,Segmen!$D$3:$D$6000,0)),"")</f>
        <v/>
      </c>
      <c r="C3050">
        <f>IFERROR(LARGE(Segmen!$D$3:$D$6000,A3050),"")</f>
        <v/>
      </c>
    </row>
    <row r="3051">
      <c r="A3051" t="n">
        <v>3050</v>
      </c>
      <c r="B3051">
        <f>IFERROR(INDEX(Segmen!$A$3:$A$6000,MATCH(C3051,Segmen!$D$3:$D$6000,0)),"")</f>
        <v/>
      </c>
      <c r="C3051">
        <f>IFERROR(LARGE(Segmen!$D$3:$D$6000,A3051),"")</f>
        <v/>
      </c>
    </row>
    <row r="3052">
      <c r="A3052" t="n">
        <v>3051</v>
      </c>
      <c r="B3052">
        <f>IFERROR(INDEX(Segmen!$A$3:$A$6000,MATCH(C3052,Segmen!$D$3:$D$6000,0)),"")</f>
        <v/>
      </c>
      <c r="C3052">
        <f>IFERROR(LARGE(Segmen!$D$3:$D$6000,A3052),"")</f>
        <v/>
      </c>
    </row>
    <row r="3053">
      <c r="A3053" t="n">
        <v>3052</v>
      </c>
      <c r="B3053">
        <f>IFERROR(INDEX(Segmen!$A$3:$A$6000,MATCH(C3053,Segmen!$D$3:$D$6000,0)),"")</f>
        <v/>
      </c>
      <c r="C3053">
        <f>IFERROR(LARGE(Segmen!$D$3:$D$6000,A3053),"")</f>
        <v/>
      </c>
    </row>
    <row r="3054">
      <c r="A3054" t="n">
        <v>3053</v>
      </c>
      <c r="B3054">
        <f>IFERROR(INDEX(Segmen!$A$3:$A$6000,MATCH(C3054,Segmen!$D$3:$D$6000,0)),"")</f>
        <v/>
      </c>
      <c r="C3054">
        <f>IFERROR(LARGE(Segmen!$D$3:$D$6000,A3054),"")</f>
        <v/>
      </c>
    </row>
    <row r="3055">
      <c r="A3055" t="n">
        <v>3054</v>
      </c>
      <c r="B3055">
        <f>IFERROR(INDEX(Segmen!$A$3:$A$6000,MATCH(C3055,Segmen!$D$3:$D$6000,0)),"")</f>
        <v/>
      </c>
      <c r="C3055">
        <f>IFERROR(LARGE(Segmen!$D$3:$D$6000,A3055),"")</f>
        <v/>
      </c>
    </row>
    <row r="3056">
      <c r="A3056" t="n">
        <v>3055</v>
      </c>
      <c r="B3056">
        <f>IFERROR(INDEX(Segmen!$A$3:$A$6000,MATCH(C3056,Segmen!$D$3:$D$6000,0)),"")</f>
        <v/>
      </c>
      <c r="C3056">
        <f>IFERROR(LARGE(Segmen!$D$3:$D$6000,A3056),"")</f>
        <v/>
      </c>
    </row>
    <row r="3057">
      <c r="A3057" t="n">
        <v>3056</v>
      </c>
      <c r="B3057">
        <f>IFERROR(INDEX(Segmen!$A$3:$A$6000,MATCH(C3057,Segmen!$D$3:$D$6000,0)),"")</f>
        <v/>
      </c>
      <c r="C3057">
        <f>IFERROR(LARGE(Segmen!$D$3:$D$6000,A3057),"")</f>
        <v/>
      </c>
    </row>
    <row r="3058">
      <c r="A3058" t="n">
        <v>3057</v>
      </c>
      <c r="B3058">
        <f>IFERROR(INDEX(Segmen!$A$3:$A$6000,MATCH(C3058,Segmen!$D$3:$D$6000,0)),"")</f>
        <v/>
      </c>
      <c r="C3058">
        <f>IFERROR(LARGE(Segmen!$D$3:$D$6000,A3058),"")</f>
        <v/>
      </c>
    </row>
    <row r="3059">
      <c r="A3059" t="n">
        <v>3058</v>
      </c>
      <c r="B3059">
        <f>IFERROR(INDEX(Segmen!$A$3:$A$6000,MATCH(C3059,Segmen!$D$3:$D$6000,0)),"")</f>
        <v/>
      </c>
      <c r="C3059">
        <f>IFERROR(LARGE(Segmen!$D$3:$D$6000,A3059),"")</f>
        <v/>
      </c>
    </row>
    <row r="3060">
      <c r="A3060" t="n">
        <v>3059</v>
      </c>
      <c r="B3060">
        <f>IFERROR(INDEX(Segmen!$A$3:$A$6000,MATCH(C3060,Segmen!$D$3:$D$6000,0)),"")</f>
        <v/>
      </c>
      <c r="C3060">
        <f>IFERROR(LARGE(Segmen!$D$3:$D$6000,A3060),"")</f>
        <v/>
      </c>
    </row>
    <row r="3061">
      <c r="A3061" t="n">
        <v>3060</v>
      </c>
      <c r="B3061">
        <f>IFERROR(INDEX(Segmen!$A$3:$A$6000,MATCH(C3061,Segmen!$D$3:$D$6000,0)),"")</f>
        <v/>
      </c>
      <c r="C3061">
        <f>IFERROR(LARGE(Segmen!$D$3:$D$6000,A3061),"")</f>
        <v/>
      </c>
    </row>
    <row r="3062">
      <c r="A3062" t="n">
        <v>3061</v>
      </c>
      <c r="B3062">
        <f>IFERROR(INDEX(Segmen!$A$3:$A$6000,MATCH(C3062,Segmen!$D$3:$D$6000,0)),"")</f>
        <v/>
      </c>
      <c r="C3062">
        <f>IFERROR(LARGE(Segmen!$D$3:$D$6000,A3062),"")</f>
        <v/>
      </c>
    </row>
    <row r="3063">
      <c r="A3063" t="n">
        <v>3062</v>
      </c>
      <c r="B3063">
        <f>IFERROR(INDEX(Segmen!$A$3:$A$6000,MATCH(C3063,Segmen!$D$3:$D$6000,0)),"")</f>
        <v/>
      </c>
      <c r="C3063">
        <f>IFERROR(LARGE(Segmen!$D$3:$D$6000,A3063),"")</f>
        <v/>
      </c>
    </row>
    <row r="3064">
      <c r="A3064" t="n">
        <v>3063</v>
      </c>
      <c r="B3064">
        <f>IFERROR(INDEX(Segmen!$A$3:$A$6000,MATCH(C3064,Segmen!$D$3:$D$6000,0)),"")</f>
        <v/>
      </c>
      <c r="C3064">
        <f>IFERROR(LARGE(Segmen!$D$3:$D$6000,A3064),"")</f>
        <v/>
      </c>
    </row>
    <row r="3065">
      <c r="A3065" t="n">
        <v>3064</v>
      </c>
      <c r="B3065">
        <f>IFERROR(INDEX(Segmen!$A$3:$A$6000,MATCH(C3065,Segmen!$D$3:$D$6000,0)),"")</f>
        <v/>
      </c>
      <c r="C3065">
        <f>IFERROR(LARGE(Segmen!$D$3:$D$6000,A3065),"")</f>
        <v/>
      </c>
    </row>
    <row r="3066">
      <c r="A3066" t="n">
        <v>3065</v>
      </c>
      <c r="B3066">
        <f>IFERROR(INDEX(Segmen!$A$3:$A$6000,MATCH(C3066,Segmen!$D$3:$D$6000,0)),"")</f>
        <v/>
      </c>
      <c r="C3066">
        <f>IFERROR(LARGE(Segmen!$D$3:$D$6000,A3066),"")</f>
        <v/>
      </c>
    </row>
    <row r="3067">
      <c r="A3067" t="n">
        <v>3066</v>
      </c>
      <c r="B3067">
        <f>IFERROR(INDEX(Segmen!$A$3:$A$6000,MATCH(C3067,Segmen!$D$3:$D$6000,0)),"")</f>
        <v/>
      </c>
      <c r="C3067">
        <f>IFERROR(LARGE(Segmen!$D$3:$D$6000,A3067),"")</f>
        <v/>
      </c>
    </row>
    <row r="3068">
      <c r="A3068" t="n">
        <v>3067</v>
      </c>
      <c r="B3068">
        <f>IFERROR(INDEX(Segmen!$A$3:$A$6000,MATCH(C3068,Segmen!$D$3:$D$6000,0)),"")</f>
        <v/>
      </c>
      <c r="C3068">
        <f>IFERROR(LARGE(Segmen!$D$3:$D$6000,A3068),"")</f>
        <v/>
      </c>
    </row>
    <row r="3069">
      <c r="A3069" t="n">
        <v>3068</v>
      </c>
      <c r="B3069">
        <f>IFERROR(INDEX(Segmen!$A$3:$A$6000,MATCH(C3069,Segmen!$D$3:$D$6000,0)),"")</f>
        <v/>
      </c>
      <c r="C3069">
        <f>IFERROR(LARGE(Segmen!$D$3:$D$6000,A3069),"")</f>
        <v/>
      </c>
    </row>
    <row r="3070">
      <c r="A3070" t="n">
        <v>3069</v>
      </c>
      <c r="B3070">
        <f>IFERROR(INDEX(Segmen!$A$3:$A$6000,MATCH(C3070,Segmen!$D$3:$D$6000,0)),"")</f>
        <v/>
      </c>
      <c r="C3070">
        <f>IFERROR(LARGE(Segmen!$D$3:$D$6000,A3070),"")</f>
        <v/>
      </c>
    </row>
    <row r="3071">
      <c r="A3071" t="n">
        <v>3070</v>
      </c>
      <c r="B3071">
        <f>IFERROR(INDEX(Segmen!$A$3:$A$6000,MATCH(C3071,Segmen!$D$3:$D$6000,0)),"")</f>
        <v/>
      </c>
      <c r="C3071">
        <f>IFERROR(LARGE(Segmen!$D$3:$D$6000,A3071),"")</f>
        <v/>
      </c>
    </row>
    <row r="3072">
      <c r="A3072" t="n">
        <v>3071</v>
      </c>
      <c r="B3072">
        <f>IFERROR(INDEX(Segmen!$A$3:$A$6000,MATCH(C3072,Segmen!$D$3:$D$6000,0)),"")</f>
        <v/>
      </c>
      <c r="C3072">
        <f>IFERROR(LARGE(Segmen!$D$3:$D$6000,A3072),"")</f>
        <v/>
      </c>
    </row>
    <row r="3073">
      <c r="A3073" t="n">
        <v>3072</v>
      </c>
      <c r="B3073">
        <f>IFERROR(INDEX(Segmen!$A$3:$A$6000,MATCH(C3073,Segmen!$D$3:$D$6000,0)),"")</f>
        <v/>
      </c>
      <c r="C3073">
        <f>IFERROR(LARGE(Segmen!$D$3:$D$6000,A3073),"")</f>
        <v/>
      </c>
    </row>
    <row r="3074">
      <c r="A3074" t="n">
        <v>3073</v>
      </c>
      <c r="B3074">
        <f>IFERROR(INDEX(Segmen!$A$3:$A$6000,MATCH(C3074,Segmen!$D$3:$D$6000,0)),"")</f>
        <v/>
      </c>
      <c r="C3074">
        <f>IFERROR(LARGE(Segmen!$D$3:$D$6000,A3074),"")</f>
        <v/>
      </c>
    </row>
    <row r="3075">
      <c r="A3075" t="n">
        <v>3074</v>
      </c>
      <c r="B3075">
        <f>IFERROR(INDEX(Segmen!$A$3:$A$6000,MATCH(C3075,Segmen!$D$3:$D$6000,0)),"")</f>
        <v/>
      </c>
      <c r="C3075">
        <f>IFERROR(LARGE(Segmen!$D$3:$D$6000,A3075),"")</f>
        <v/>
      </c>
    </row>
    <row r="3076">
      <c r="A3076" t="n">
        <v>3075</v>
      </c>
      <c r="B3076">
        <f>IFERROR(INDEX(Segmen!$A$3:$A$6000,MATCH(C3076,Segmen!$D$3:$D$6000,0)),"")</f>
        <v/>
      </c>
      <c r="C3076">
        <f>IFERROR(LARGE(Segmen!$D$3:$D$6000,A3076),"")</f>
        <v/>
      </c>
    </row>
    <row r="3077">
      <c r="A3077" t="n">
        <v>3076</v>
      </c>
      <c r="B3077">
        <f>IFERROR(INDEX(Segmen!$A$3:$A$6000,MATCH(C3077,Segmen!$D$3:$D$6000,0)),"")</f>
        <v/>
      </c>
      <c r="C3077">
        <f>IFERROR(LARGE(Segmen!$D$3:$D$6000,A3077),"")</f>
        <v/>
      </c>
    </row>
    <row r="3078">
      <c r="A3078" t="n">
        <v>3077</v>
      </c>
      <c r="B3078">
        <f>IFERROR(INDEX(Segmen!$A$3:$A$6000,MATCH(C3078,Segmen!$D$3:$D$6000,0)),"")</f>
        <v/>
      </c>
      <c r="C3078">
        <f>IFERROR(LARGE(Segmen!$D$3:$D$6000,A3078),"")</f>
        <v/>
      </c>
    </row>
    <row r="3079">
      <c r="A3079" t="n">
        <v>3078</v>
      </c>
      <c r="B3079">
        <f>IFERROR(INDEX(Segmen!$A$3:$A$6000,MATCH(C3079,Segmen!$D$3:$D$6000,0)),"")</f>
        <v/>
      </c>
      <c r="C3079">
        <f>IFERROR(LARGE(Segmen!$D$3:$D$6000,A3079),"")</f>
        <v/>
      </c>
    </row>
    <row r="3080">
      <c r="A3080" t="n">
        <v>3079</v>
      </c>
      <c r="B3080">
        <f>IFERROR(INDEX(Segmen!$A$3:$A$6000,MATCH(C3080,Segmen!$D$3:$D$6000,0)),"")</f>
        <v/>
      </c>
      <c r="C3080">
        <f>IFERROR(LARGE(Segmen!$D$3:$D$6000,A3080),"")</f>
        <v/>
      </c>
    </row>
    <row r="3081">
      <c r="A3081" t="n">
        <v>3080</v>
      </c>
      <c r="B3081">
        <f>IFERROR(INDEX(Segmen!$A$3:$A$6000,MATCH(C3081,Segmen!$D$3:$D$6000,0)),"")</f>
        <v/>
      </c>
      <c r="C3081">
        <f>IFERROR(LARGE(Segmen!$D$3:$D$6000,A3081),"")</f>
        <v/>
      </c>
    </row>
    <row r="3082">
      <c r="A3082" t="n">
        <v>3081</v>
      </c>
      <c r="B3082">
        <f>IFERROR(INDEX(Segmen!$A$3:$A$6000,MATCH(C3082,Segmen!$D$3:$D$6000,0)),"")</f>
        <v/>
      </c>
      <c r="C3082">
        <f>IFERROR(LARGE(Segmen!$D$3:$D$6000,A3082),"")</f>
        <v/>
      </c>
    </row>
    <row r="3083">
      <c r="A3083" t="n">
        <v>3082</v>
      </c>
      <c r="B3083">
        <f>IFERROR(INDEX(Segmen!$A$3:$A$6000,MATCH(C3083,Segmen!$D$3:$D$6000,0)),"")</f>
        <v/>
      </c>
      <c r="C3083">
        <f>IFERROR(LARGE(Segmen!$D$3:$D$6000,A3083),"")</f>
        <v/>
      </c>
    </row>
    <row r="3084">
      <c r="A3084" t="n">
        <v>3083</v>
      </c>
      <c r="B3084">
        <f>IFERROR(INDEX(Segmen!$A$3:$A$6000,MATCH(C3084,Segmen!$D$3:$D$6000,0)),"")</f>
        <v/>
      </c>
      <c r="C3084">
        <f>IFERROR(LARGE(Segmen!$D$3:$D$6000,A3084),"")</f>
        <v/>
      </c>
    </row>
    <row r="3085">
      <c r="A3085" t="n">
        <v>3084</v>
      </c>
      <c r="B3085">
        <f>IFERROR(INDEX(Segmen!$A$3:$A$6000,MATCH(C3085,Segmen!$D$3:$D$6000,0)),"")</f>
        <v/>
      </c>
      <c r="C3085">
        <f>IFERROR(LARGE(Segmen!$D$3:$D$6000,A3085),"")</f>
        <v/>
      </c>
    </row>
    <row r="3086">
      <c r="A3086" t="n">
        <v>3085</v>
      </c>
      <c r="B3086">
        <f>IFERROR(INDEX(Segmen!$A$3:$A$6000,MATCH(C3086,Segmen!$D$3:$D$6000,0)),"")</f>
        <v/>
      </c>
      <c r="C3086">
        <f>IFERROR(LARGE(Segmen!$D$3:$D$6000,A3086),"")</f>
        <v/>
      </c>
    </row>
    <row r="3087">
      <c r="A3087" t="n">
        <v>3086</v>
      </c>
      <c r="B3087">
        <f>IFERROR(INDEX(Segmen!$A$3:$A$6000,MATCH(C3087,Segmen!$D$3:$D$6000,0)),"")</f>
        <v/>
      </c>
      <c r="C3087">
        <f>IFERROR(LARGE(Segmen!$D$3:$D$6000,A3087),"")</f>
        <v/>
      </c>
    </row>
    <row r="3088">
      <c r="A3088" t="n">
        <v>3087</v>
      </c>
      <c r="B3088">
        <f>IFERROR(INDEX(Segmen!$A$3:$A$6000,MATCH(C3088,Segmen!$D$3:$D$6000,0)),"")</f>
        <v/>
      </c>
      <c r="C3088">
        <f>IFERROR(LARGE(Segmen!$D$3:$D$6000,A3088),"")</f>
        <v/>
      </c>
    </row>
    <row r="3089">
      <c r="A3089" t="n">
        <v>3088</v>
      </c>
      <c r="B3089">
        <f>IFERROR(INDEX(Segmen!$A$3:$A$6000,MATCH(C3089,Segmen!$D$3:$D$6000,0)),"")</f>
        <v/>
      </c>
      <c r="C3089">
        <f>IFERROR(LARGE(Segmen!$D$3:$D$6000,A3089),"")</f>
        <v/>
      </c>
    </row>
    <row r="3090">
      <c r="A3090" t="n">
        <v>3089</v>
      </c>
      <c r="B3090">
        <f>IFERROR(INDEX(Segmen!$A$3:$A$6000,MATCH(C3090,Segmen!$D$3:$D$6000,0)),"")</f>
        <v/>
      </c>
      <c r="C3090">
        <f>IFERROR(LARGE(Segmen!$D$3:$D$6000,A3090),"")</f>
        <v/>
      </c>
    </row>
    <row r="3091">
      <c r="A3091" t="n">
        <v>3090</v>
      </c>
      <c r="B3091">
        <f>IFERROR(INDEX(Segmen!$A$3:$A$6000,MATCH(C3091,Segmen!$D$3:$D$6000,0)),"")</f>
        <v/>
      </c>
      <c r="C3091">
        <f>IFERROR(LARGE(Segmen!$D$3:$D$6000,A3091),"")</f>
        <v/>
      </c>
    </row>
    <row r="3092">
      <c r="A3092" t="n">
        <v>3091</v>
      </c>
      <c r="B3092">
        <f>IFERROR(INDEX(Segmen!$A$3:$A$6000,MATCH(C3092,Segmen!$D$3:$D$6000,0)),"")</f>
        <v/>
      </c>
      <c r="C3092">
        <f>IFERROR(LARGE(Segmen!$D$3:$D$6000,A3092),"")</f>
        <v/>
      </c>
    </row>
    <row r="3093">
      <c r="A3093" t="n">
        <v>3092</v>
      </c>
      <c r="B3093">
        <f>IFERROR(INDEX(Segmen!$A$3:$A$6000,MATCH(C3093,Segmen!$D$3:$D$6000,0)),"")</f>
        <v/>
      </c>
      <c r="C3093">
        <f>IFERROR(LARGE(Segmen!$D$3:$D$6000,A3093),"")</f>
        <v/>
      </c>
    </row>
    <row r="3094">
      <c r="A3094" t="n">
        <v>3093</v>
      </c>
      <c r="B3094">
        <f>IFERROR(INDEX(Segmen!$A$3:$A$6000,MATCH(C3094,Segmen!$D$3:$D$6000,0)),"")</f>
        <v/>
      </c>
      <c r="C3094">
        <f>IFERROR(LARGE(Segmen!$D$3:$D$6000,A3094),"")</f>
        <v/>
      </c>
    </row>
    <row r="3095">
      <c r="A3095" t="n">
        <v>3094</v>
      </c>
      <c r="B3095">
        <f>IFERROR(INDEX(Segmen!$A$3:$A$6000,MATCH(C3095,Segmen!$D$3:$D$6000,0)),"")</f>
        <v/>
      </c>
      <c r="C3095">
        <f>IFERROR(LARGE(Segmen!$D$3:$D$6000,A3095),"")</f>
        <v/>
      </c>
    </row>
    <row r="3096">
      <c r="A3096" t="n">
        <v>3095</v>
      </c>
      <c r="B3096">
        <f>IFERROR(INDEX(Segmen!$A$3:$A$6000,MATCH(C3096,Segmen!$D$3:$D$6000,0)),"")</f>
        <v/>
      </c>
      <c r="C3096">
        <f>IFERROR(LARGE(Segmen!$D$3:$D$6000,A3096),"")</f>
        <v/>
      </c>
    </row>
    <row r="3097">
      <c r="A3097" t="n">
        <v>3096</v>
      </c>
      <c r="B3097">
        <f>IFERROR(INDEX(Segmen!$A$3:$A$6000,MATCH(C3097,Segmen!$D$3:$D$6000,0)),"")</f>
        <v/>
      </c>
      <c r="C3097">
        <f>IFERROR(LARGE(Segmen!$D$3:$D$6000,A3097),"")</f>
        <v/>
      </c>
    </row>
    <row r="3098">
      <c r="A3098" t="n">
        <v>3097</v>
      </c>
      <c r="B3098">
        <f>IFERROR(INDEX(Segmen!$A$3:$A$6000,MATCH(C3098,Segmen!$D$3:$D$6000,0)),"")</f>
        <v/>
      </c>
      <c r="C3098">
        <f>IFERROR(LARGE(Segmen!$D$3:$D$6000,A3098),"")</f>
        <v/>
      </c>
    </row>
    <row r="3099">
      <c r="A3099" t="n">
        <v>3098</v>
      </c>
      <c r="B3099">
        <f>IFERROR(INDEX(Segmen!$A$3:$A$6000,MATCH(C3099,Segmen!$D$3:$D$6000,0)),"")</f>
        <v/>
      </c>
      <c r="C3099">
        <f>IFERROR(LARGE(Segmen!$D$3:$D$6000,A3099),"")</f>
        <v/>
      </c>
    </row>
    <row r="3100">
      <c r="A3100" t="n">
        <v>3099</v>
      </c>
      <c r="B3100">
        <f>IFERROR(INDEX(Segmen!$A$3:$A$6000,MATCH(C3100,Segmen!$D$3:$D$6000,0)),"")</f>
        <v/>
      </c>
      <c r="C3100">
        <f>IFERROR(LARGE(Segmen!$D$3:$D$6000,A3100),"")</f>
        <v/>
      </c>
    </row>
    <row r="3101">
      <c r="A3101" t="n">
        <v>3100</v>
      </c>
      <c r="B3101">
        <f>IFERROR(INDEX(Segmen!$A$3:$A$6000,MATCH(C3101,Segmen!$D$3:$D$6000,0)),"")</f>
        <v/>
      </c>
      <c r="C3101">
        <f>IFERROR(LARGE(Segmen!$D$3:$D$6000,A3101),"")</f>
        <v/>
      </c>
    </row>
    <row r="3102">
      <c r="A3102" t="n">
        <v>3101</v>
      </c>
      <c r="B3102">
        <f>IFERROR(INDEX(Segmen!$A$3:$A$6000,MATCH(C3102,Segmen!$D$3:$D$6000,0)),"")</f>
        <v/>
      </c>
      <c r="C3102">
        <f>IFERROR(LARGE(Segmen!$D$3:$D$6000,A3102),"")</f>
        <v/>
      </c>
    </row>
    <row r="3103">
      <c r="A3103" t="n">
        <v>3102</v>
      </c>
      <c r="B3103">
        <f>IFERROR(INDEX(Segmen!$A$3:$A$6000,MATCH(C3103,Segmen!$D$3:$D$6000,0)),"")</f>
        <v/>
      </c>
      <c r="C3103">
        <f>IFERROR(LARGE(Segmen!$D$3:$D$6000,A3103),"")</f>
        <v/>
      </c>
    </row>
    <row r="3104">
      <c r="A3104" t="n">
        <v>3103</v>
      </c>
      <c r="B3104">
        <f>IFERROR(INDEX(Segmen!$A$3:$A$6000,MATCH(C3104,Segmen!$D$3:$D$6000,0)),"")</f>
        <v/>
      </c>
      <c r="C3104">
        <f>IFERROR(LARGE(Segmen!$D$3:$D$6000,A3104),"")</f>
        <v/>
      </c>
    </row>
    <row r="3105">
      <c r="A3105" t="n">
        <v>3104</v>
      </c>
      <c r="B3105">
        <f>IFERROR(INDEX(Segmen!$A$3:$A$6000,MATCH(C3105,Segmen!$D$3:$D$6000,0)),"")</f>
        <v/>
      </c>
      <c r="C3105">
        <f>IFERROR(LARGE(Segmen!$D$3:$D$6000,A3105),"")</f>
        <v/>
      </c>
    </row>
    <row r="3106">
      <c r="A3106" t="n">
        <v>3105</v>
      </c>
      <c r="B3106">
        <f>IFERROR(INDEX(Segmen!$A$3:$A$6000,MATCH(C3106,Segmen!$D$3:$D$6000,0)),"")</f>
        <v/>
      </c>
      <c r="C3106">
        <f>IFERROR(LARGE(Segmen!$D$3:$D$6000,A3106),"")</f>
        <v/>
      </c>
    </row>
    <row r="3107">
      <c r="A3107" t="n">
        <v>3106</v>
      </c>
      <c r="B3107">
        <f>IFERROR(INDEX(Segmen!$A$3:$A$6000,MATCH(C3107,Segmen!$D$3:$D$6000,0)),"")</f>
        <v/>
      </c>
      <c r="C3107">
        <f>IFERROR(LARGE(Segmen!$D$3:$D$6000,A3107),"")</f>
        <v/>
      </c>
    </row>
    <row r="3108">
      <c r="A3108" t="n">
        <v>3107</v>
      </c>
      <c r="B3108">
        <f>IFERROR(INDEX(Segmen!$A$3:$A$6000,MATCH(C3108,Segmen!$D$3:$D$6000,0)),"")</f>
        <v/>
      </c>
      <c r="C3108">
        <f>IFERROR(LARGE(Segmen!$D$3:$D$6000,A3108),"")</f>
        <v/>
      </c>
    </row>
    <row r="3109">
      <c r="A3109" t="n">
        <v>3108</v>
      </c>
      <c r="B3109">
        <f>IFERROR(INDEX(Segmen!$A$3:$A$6000,MATCH(C3109,Segmen!$D$3:$D$6000,0)),"")</f>
        <v/>
      </c>
      <c r="C3109">
        <f>IFERROR(LARGE(Segmen!$D$3:$D$6000,A3109),"")</f>
        <v/>
      </c>
    </row>
    <row r="3110">
      <c r="A3110" t="n">
        <v>3109</v>
      </c>
      <c r="B3110">
        <f>IFERROR(INDEX(Segmen!$A$3:$A$6000,MATCH(C3110,Segmen!$D$3:$D$6000,0)),"")</f>
        <v/>
      </c>
      <c r="C3110">
        <f>IFERROR(LARGE(Segmen!$D$3:$D$6000,A3110),"")</f>
        <v/>
      </c>
    </row>
    <row r="3111">
      <c r="A3111" t="n">
        <v>3110</v>
      </c>
      <c r="B3111">
        <f>IFERROR(INDEX(Segmen!$A$3:$A$6000,MATCH(C3111,Segmen!$D$3:$D$6000,0)),"")</f>
        <v/>
      </c>
      <c r="C3111">
        <f>IFERROR(LARGE(Segmen!$D$3:$D$6000,A3111),"")</f>
        <v/>
      </c>
    </row>
    <row r="3112">
      <c r="A3112" t="n">
        <v>3111</v>
      </c>
      <c r="B3112">
        <f>IFERROR(INDEX(Segmen!$A$3:$A$6000,MATCH(C3112,Segmen!$D$3:$D$6000,0)),"")</f>
        <v/>
      </c>
      <c r="C3112">
        <f>IFERROR(LARGE(Segmen!$D$3:$D$6000,A3112),"")</f>
        <v/>
      </c>
    </row>
    <row r="3113">
      <c r="A3113" t="n">
        <v>3112</v>
      </c>
      <c r="B3113">
        <f>IFERROR(INDEX(Segmen!$A$3:$A$6000,MATCH(C3113,Segmen!$D$3:$D$6000,0)),"")</f>
        <v/>
      </c>
      <c r="C3113">
        <f>IFERROR(LARGE(Segmen!$D$3:$D$6000,A3113),"")</f>
        <v/>
      </c>
    </row>
    <row r="3114">
      <c r="A3114" t="n">
        <v>3113</v>
      </c>
      <c r="B3114">
        <f>IFERROR(INDEX(Segmen!$A$3:$A$6000,MATCH(C3114,Segmen!$D$3:$D$6000,0)),"")</f>
        <v/>
      </c>
      <c r="C3114">
        <f>IFERROR(LARGE(Segmen!$D$3:$D$6000,A3114),"")</f>
        <v/>
      </c>
    </row>
    <row r="3115">
      <c r="A3115" t="n">
        <v>3114</v>
      </c>
      <c r="B3115">
        <f>IFERROR(INDEX(Segmen!$A$3:$A$6000,MATCH(C3115,Segmen!$D$3:$D$6000,0)),"")</f>
        <v/>
      </c>
      <c r="C3115">
        <f>IFERROR(LARGE(Segmen!$D$3:$D$6000,A3115),"")</f>
        <v/>
      </c>
    </row>
    <row r="3116">
      <c r="A3116" t="n">
        <v>3115</v>
      </c>
      <c r="B3116">
        <f>IFERROR(INDEX(Segmen!$A$3:$A$6000,MATCH(C3116,Segmen!$D$3:$D$6000,0)),"")</f>
        <v/>
      </c>
      <c r="C3116">
        <f>IFERROR(LARGE(Segmen!$D$3:$D$6000,A3116),"")</f>
        <v/>
      </c>
    </row>
    <row r="3117">
      <c r="A3117" t="n">
        <v>3116</v>
      </c>
      <c r="B3117">
        <f>IFERROR(INDEX(Segmen!$A$3:$A$6000,MATCH(C3117,Segmen!$D$3:$D$6000,0)),"")</f>
        <v/>
      </c>
      <c r="C3117">
        <f>IFERROR(LARGE(Segmen!$D$3:$D$6000,A3117),"")</f>
        <v/>
      </c>
    </row>
    <row r="3118">
      <c r="A3118" t="n">
        <v>3117</v>
      </c>
      <c r="B3118">
        <f>IFERROR(INDEX(Segmen!$A$3:$A$6000,MATCH(C3118,Segmen!$D$3:$D$6000,0)),"")</f>
        <v/>
      </c>
      <c r="C3118">
        <f>IFERROR(LARGE(Segmen!$D$3:$D$6000,A3118),"")</f>
        <v/>
      </c>
    </row>
    <row r="3119">
      <c r="A3119" t="n">
        <v>3118</v>
      </c>
      <c r="B3119">
        <f>IFERROR(INDEX(Segmen!$A$3:$A$6000,MATCH(C3119,Segmen!$D$3:$D$6000,0)),"")</f>
        <v/>
      </c>
      <c r="C3119">
        <f>IFERROR(LARGE(Segmen!$D$3:$D$6000,A3119),"")</f>
        <v/>
      </c>
    </row>
    <row r="3120">
      <c r="A3120" t="n">
        <v>3119</v>
      </c>
      <c r="B3120">
        <f>IFERROR(INDEX(Segmen!$A$3:$A$6000,MATCH(C3120,Segmen!$D$3:$D$6000,0)),"")</f>
        <v/>
      </c>
      <c r="C3120">
        <f>IFERROR(LARGE(Segmen!$D$3:$D$6000,A3120),"")</f>
        <v/>
      </c>
    </row>
    <row r="3121">
      <c r="A3121" t="n">
        <v>3120</v>
      </c>
      <c r="B3121">
        <f>IFERROR(INDEX(Segmen!$A$3:$A$6000,MATCH(C3121,Segmen!$D$3:$D$6000,0)),"")</f>
        <v/>
      </c>
      <c r="C3121">
        <f>IFERROR(LARGE(Segmen!$D$3:$D$6000,A3121),"")</f>
        <v/>
      </c>
    </row>
    <row r="3122">
      <c r="A3122" t="n">
        <v>3121</v>
      </c>
      <c r="B3122">
        <f>IFERROR(INDEX(Segmen!$A$3:$A$6000,MATCH(C3122,Segmen!$D$3:$D$6000,0)),"")</f>
        <v/>
      </c>
      <c r="C3122">
        <f>IFERROR(LARGE(Segmen!$D$3:$D$6000,A3122),"")</f>
        <v/>
      </c>
    </row>
    <row r="3123">
      <c r="A3123" t="n">
        <v>3122</v>
      </c>
      <c r="B3123">
        <f>IFERROR(INDEX(Segmen!$A$3:$A$6000,MATCH(C3123,Segmen!$D$3:$D$6000,0)),"")</f>
        <v/>
      </c>
      <c r="C3123">
        <f>IFERROR(LARGE(Segmen!$D$3:$D$6000,A3123),"")</f>
        <v/>
      </c>
    </row>
    <row r="3124">
      <c r="A3124" t="n">
        <v>3123</v>
      </c>
      <c r="B3124">
        <f>IFERROR(INDEX(Segmen!$A$3:$A$6000,MATCH(C3124,Segmen!$D$3:$D$6000,0)),"")</f>
        <v/>
      </c>
      <c r="C3124">
        <f>IFERROR(LARGE(Segmen!$D$3:$D$6000,A3124),"")</f>
        <v/>
      </c>
    </row>
    <row r="3125">
      <c r="A3125" t="n">
        <v>3124</v>
      </c>
      <c r="B3125">
        <f>IFERROR(INDEX(Segmen!$A$3:$A$6000,MATCH(C3125,Segmen!$D$3:$D$6000,0)),"")</f>
        <v/>
      </c>
      <c r="C3125">
        <f>IFERROR(LARGE(Segmen!$D$3:$D$6000,A3125),"")</f>
        <v/>
      </c>
    </row>
    <row r="3126">
      <c r="A3126" t="n">
        <v>3125</v>
      </c>
      <c r="B3126">
        <f>IFERROR(INDEX(Segmen!$A$3:$A$6000,MATCH(C3126,Segmen!$D$3:$D$6000,0)),"")</f>
        <v/>
      </c>
      <c r="C3126">
        <f>IFERROR(LARGE(Segmen!$D$3:$D$6000,A3126),"")</f>
        <v/>
      </c>
    </row>
    <row r="3127">
      <c r="A3127" t="n">
        <v>3126</v>
      </c>
      <c r="B3127">
        <f>IFERROR(INDEX(Segmen!$A$3:$A$6000,MATCH(C3127,Segmen!$D$3:$D$6000,0)),"")</f>
        <v/>
      </c>
      <c r="C3127">
        <f>IFERROR(LARGE(Segmen!$D$3:$D$6000,A3127),"")</f>
        <v/>
      </c>
    </row>
    <row r="3128">
      <c r="A3128" t="n">
        <v>3127</v>
      </c>
      <c r="B3128">
        <f>IFERROR(INDEX(Segmen!$A$3:$A$6000,MATCH(C3128,Segmen!$D$3:$D$6000,0)),"")</f>
        <v/>
      </c>
      <c r="C3128">
        <f>IFERROR(LARGE(Segmen!$D$3:$D$6000,A3128),"")</f>
        <v/>
      </c>
    </row>
    <row r="3129">
      <c r="A3129" t="n">
        <v>3128</v>
      </c>
      <c r="B3129">
        <f>IFERROR(INDEX(Segmen!$A$3:$A$6000,MATCH(C3129,Segmen!$D$3:$D$6000,0)),"")</f>
        <v/>
      </c>
      <c r="C3129">
        <f>IFERROR(LARGE(Segmen!$D$3:$D$6000,A3129),"")</f>
        <v/>
      </c>
    </row>
    <row r="3130">
      <c r="A3130" t="n">
        <v>3129</v>
      </c>
      <c r="B3130">
        <f>IFERROR(INDEX(Segmen!$A$3:$A$6000,MATCH(C3130,Segmen!$D$3:$D$6000,0)),"")</f>
        <v/>
      </c>
      <c r="C3130">
        <f>IFERROR(LARGE(Segmen!$D$3:$D$6000,A3130),"")</f>
        <v/>
      </c>
    </row>
    <row r="3131">
      <c r="A3131" t="n">
        <v>3130</v>
      </c>
      <c r="B3131">
        <f>IFERROR(INDEX(Segmen!$A$3:$A$6000,MATCH(C3131,Segmen!$D$3:$D$6000,0)),"")</f>
        <v/>
      </c>
      <c r="C3131">
        <f>IFERROR(LARGE(Segmen!$D$3:$D$6000,A3131),"")</f>
        <v/>
      </c>
    </row>
    <row r="3132">
      <c r="A3132" t="n">
        <v>3131</v>
      </c>
      <c r="B3132">
        <f>IFERROR(INDEX(Segmen!$A$3:$A$6000,MATCH(C3132,Segmen!$D$3:$D$6000,0)),"")</f>
        <v/>
      </c>
      <c r="C3132">
        <f>IFERROR(LARGE(Segmen!$D$3:$D$6000,A3132),"")</f>
        <v/>
      </c>
    </row>
    <row r="3133">
      <c r="A3133" t="n">
        <v>3132</v>
      </c>
      <c r="B3133">
        <f>IFERROR(INDEX(Segmen!$A$3:$A$6000,MATCH(C3133,Segmen!$D$3:$D$6000,0)),"")</f>
        <v/>
      </c>
      <c r="C3133">
        <f>IFERROR(LARGE(Segmen!$D$3:$D$6000,A3133),"")</f>
        <v/>
      </c>
    </row>
    <row r="3134">
      <c r="A3134" t="n">
        <v>3133</v>
      </c>
      <c r="B3134">
        <f>IFERROR(INDEX(Segmen!$A$3:$A$6000,MATCH(C3134,Segmen!$D$3:$D$6000,0)),"")</f>
        <v/>
      </c>
      <c r="C3134">
        <f>IFERROR(LARGE(Segmen!$D$3:$D$6000,A3134),"")</f>
        <v/>
      </c>
    </row>
    <row r="3135">
      <c r="A3135" t="n">
        <v>3134</v>
      </c>
      <c r="B3135">
        <f>IFERROR(INDEX(Segmen!$A$3:$A$6000,MATCH(C3135,Segmen!$D$3:$D$6000,0)),"")</f>
        <v/>
      </c>
      <c r="C3135">
        <f>IFERROR(LARGE(Segmen!$D$3:$D$6000,A3135),"")</f>
        <v/>
      </c>
    </row>
    <row r="3136">
      <c r="A3136" t="n">
        <v>3135</v>
      </c>
      <c r="B3136">
        <f>IFERROR(INDEX(Segmen!$A$3:$A$6000,MATCH(C3136,Segmen!$D$3:$D$6000,0)),"")</f>
        <v/>
      </c>
      <c r="C3136">
        <f>IFERROR(LARGE(Segmen!$D$3:$D$6000,A3136),"")</f>
        <v/>
      </c>
    </row>
    <row r="3137">
      <c r="A3137" t="n">
        <v>3136</v>
      </c>
      <c r="B3137">
        <f>IFERROR(INDEX(Segmen!$A$3:$A$6000,MATCH(C3137,Segmen!$D$3:$D$6000,0)),"")</f>
        <v/>
      </c>
      <c r="C3137">
        <f>IFERROR(LARGE(Segmen!$D$3:$D$6000,A3137),"")</f>
        <v/>
      </c>
    </row>
    <row r="3138">
      <c r="A3138" t="n">
        <v>3137</v>
      </c>
      <c r="B3138">
        <f>IFERROR(INDEX(Segmen!$A$3:$A$6000,MATCH(C3138,Segmen!$D$3:$D$6000,0)),"")</f>
        <v/>
      </c>
      <c r="C3138">
        <f>IFERROR(LARGE(Segmen!$D$3:$D$6000,A3138),"")</f>
        <v/>
      </c>
    </row>
    <row r="3139">
      <c r="A3139" t="n">
        <v>3138</v>
      </c>
      <c r="B3139">
        <f>IFERROR(INDEX(Segmen!$A$3:$A$6000,MATCH(C3139,Segmen!$D$3:$D$6000,0)),"")</f>
        <v/>
      </c>
      <c r="C3139">
        <f>IFERROR(LARGE(Segmen!$D$3:$D$6000,A3139),"")</f>
        <v/>
      </c>
    </row>
    <row r="3140">
      <c r="A3140" t="n">
        <v>3139</v>
      </c>
      <c r="B3140">
        <f>IFERROR(INDEX(Segmen!$A$3:$A$6000,MATCH(C3140,Segmen!$D$3:$D$6000,0)),"")</f>
        <v/>
      </c>
      <c r="C3140">
        <f>IFERROR(LARGE(Segmen!$D$3:$D$6000,A3140),"")</f>
        <v/>
      </c>
    </row>
    <row r="3141">
      <c r="A3141" t="n">
        <v>3140</v>
      </c>
      <c r="B3141">
        <f>IFERROR(INDEX(Segmen!$A$3:$A$6000,MATCH(C3141,Segmen!$D$3:$D$6000,0)),"")</f>
        <v/>
      </c>
      <c r="C3141">
        <f>IFERROR(LARGE(Segmen!$D$3:$D$6000,A3141),"")</f>
        <v/>
      </c>
    </row>
    <row r="3142">
      <c r="A3142" t="n">
        <v>3141</v>
      </c>
      <c r="B3142">
        <f>IFERROR(INDEX(Segmen!$A$3:$A$6000,MATCH(C3142,Segmen!$D$3:$D$6000,0)),"")</f>
        <v/>
      </c>
      <c r="C3142">
        <f>IFERROR(LARGE(Segmen!$D$3:$D$6000,A3142),"")</f>
        <v/>
      </c>
    </row>
    <row r="3143">
      <c r="A3143" t="n">
        <v>3142</v>
      </c>
      <c r="B3143">
        <f>IFERROR(INDEX(Segmen!$A$3:$A$6000,MATCH(C3143,Segmen!$D$3:$D$6000,0)),"")</f>
        <v/>
      </c>
      <c r="C3143">
        <f>IFERROR(LARGE(Segmen!$D$3:$D$6000,A3143),"")</f>
        <v/>
      </c>
    </row>
    <row r="3144">
      <c r="A3144" t="n">
        <v>3143</v>
      </c>
      <c r="B3144">
        <f>IFERROR(INDEX(Segmen!$A$3:$A$6000,MATCH(C3144,Segmen!$D$3:$D$6000,0)),"")</f>
        <v/>
      </c>
      <c r="C3144">
        <f>IFERROR(LARGE(Segmen!$D$3:$D$6000,A3144),"")</f>
        <v/>
      </c>
    </row>
    <row r="3145">
      <c r="A3145" t="n">
        <v>3144</v>
      </c>
      <c r="B3145">
        <f>IFERROR(INDEX(Segmen!$A$3:$A$6000,MATCH(C3145,Segmen!$D$3:$D$6000,0)),"")</f>
        <v/>
      </c>
      <c r="C3145">
        <f>IFERROR(LARGE(Segmen!$D$3:$D$6000,A3145),"")</f>
        <v/>
      </c>
    </row>
    <row r="3146">
      <c r="A3146" t="n">
        <v>3145</v>
      </c>
      <c r="B3146">
        <f>IFERROR(INDEX(Segmen!$A$3:$A$6000,MATCH(C3146,Segmen!$D$3:$D$6000,0)),"")</f>
        <v/>
      </c>
      <c r="C3146">
        <f>IFERROR(LARGE(Segmen!$D$3:$D$6000,A3146),"")</f>
        <v/>
      </c>
    </row>
    <row r="3147">
      <c r="A3147" t="n">
        <v>3146</v>
      </c>
      <c r="B3147">
        <f>IFERROR(INDEX(Segmen!$A$3:$A$6000,MATCH(C3147,Segmen!$D$3:$D$6000,0)),"")</f>
        <v/>
      </c>
      <c r="C3147">
        <f>IFERROR(LARGE(Segmen!$D$3:$D$6000,A3147),"")</f>
        <v/>
      </c>
    </row>
    <row r="3148">
      <c r="A3148" t="n">
        <v>3147</v>
      </c>
      <c r="B3148">
        <f>IFERROR(INDEX(Segmen!$A$3:$A$6000,MATCH(C3148,Segmen!$D$3:$D$6000,0)),"")</f>
        <v/>
      </c>
      <c r="C3148">
        <f>IFERROR(LARGE(Segmen!$D$3:$D$6000,A3148),"")</f>
        <v/>
      </c>
    </row>
    <row r="3149">
      <c r="A3149" t="n">
        <v>3148</v>
      </c>
      <c r="B3149">
        <f>IFERROR(INDEX(Segmen!$A$3:$A$6000,MATCH(C3149,Segmen!$D$3:$D$6000,0)),"")</f>
        <v/>
      </c>
      <c r="C3149">
        <f>IFERROR(LARGE(Segmen!$D$3:$D$6000,A3149),"")</f>
        <v/>
      </c>
    </row>
    <row r="3150">
      <c r="A3150" t="n">
        <v>3149</v>
      </c>
      <c r="B3150">
        <f>IFERROR(INDEX(Segmen!$A$3:$A$6000,MATCH(C3150,Segmen!$D$3:$D$6000,0)),"")</f>
        <v/>
      </c>
      <c r="C3150">
        <f>IFERROR(LARGE(Segmen!$D$3:$D$6000,A3150),"")</f>
        <v/>
      </c>
    </row>
    <row r="3151">
      <c r="A3151" t="n">
        <v>3150</v>
      </c>
      <c r="B3151">
        <f>IFERROR(INDEX(Segmen!$A$3:$A$6000,MATCH(C3151,Segmen!$D$3:$D$6000,0)),"")</f>
        <v/>
      </c>
      <c r="C3151">
        <f>IFERROR(LARGE(Segmen!$D$3:$D$6000,A3151),"")</f>
        <v/>
      </c>
    </row>
    <row r="3152">
      <c r="A3152" t="n">
        <v>3151</v>
      </c>
      <c r="B3152">
        <f>IFERROR(INDEX(Segmen!$A$3:$A$6000,MATCH(C3152,Segmen!$D$3:$D$6000,0)),"")</f>
        <v/>
      </c>
      <c r="C3152">
        <f>IFERROR(LARGE(Segmen!$D$3:$D$6000,A3152),"")</f>
        <v/>
      </c>
    </row>
    <row r="3153">
      <c r="A3153" t="n">
        <v>3152</v>
      </c>
      <c r="B3153">
        <f>IFERROR(INDEX(Segmen!$A$3:$A$6000,MATCH(C3153,Segmen!$D$3:$D$6000,0)),"")</f>
        <v/>
      </c>
      <c r="C3153">
        <f>IFERROR(LARGE(Segmen!$D$3:$D$6000,A3153),"")</f>
        <v/>
      </c>
    </row>
    <row r="3154">
      <c r="A3154" t="n">
        <v>3153</v>
      </c>
      <c r="B3154">
        <f>IFERROR(INDEX(Segmen!$A$3:$A$6000,MATCH(C3154,Segmen!$D$3:$D$6000,0)),"")</f>
        <v/>
      </c>
      <c r="C3154">
        <f>IFERROR(LARGE(Segmen!$D$3:$D$6000,A3154),"")</f>
        <v/>
      </c>
    </row>
    <row r="3155">
      <c r="A3155" t="n">
        <v>3154</v>
      </c>
      <c r="B3155">
        <f>IFERROR(INDEX(Segmen!$A$3:$A$6000,MATCH(C3155,Segmen!$D$3:$D$6000,0)),"")</f>
        <v/>
      </c>
      <c r="C3155">
        <f>IFERROR(LARGE(Segmen!$D$3:$D$6000,A3155),"")</f>
        <v/>
      </c>
    </row>
    <row r="3156">
      <c r="A3156" t="n">
        <v>3155</v>
      </c>
      <c r="B3156">
        <f>IFERROR(INDEX(Segmen!$A$3:$A$6000,MATCH(C3156,Segmen!$D$3:$D$6000,0)),"")</f>
        <v/>
      </c>
      <c r="C3156">
        <f>IFERROR(LARGE(Segmen!$D$3:$D$6000,A3156),"")</f>
        <v/>
      </c>
    </row>
    <row r="3157">
      <c r="A3157" t="n">
        <v>3156</v>
      </c>
      <c r="B3157">
        <f>IFERROR(INDEX(Segmen!$A$3:$A$6000,MATCH(C3157,Segmen!$D$3:$D$6000,0)),"")</f>
        <v/>
      </c>
      <c r="C3157">
        <f>IFERROR(LARGE(Segmen!$D$3:$D$6000,A3157),"")</f>
        <v/>
      </c>
    </row>
    <row r="3158">
      <c r="A3158" t="n">
        <v>3157</v>
      </c>
      <c r="B3158">
        <f>IFERROR(INDEX(Segmen!$A$3:$A$6000,MATCH(C3158,Segmen!$D$3:$D$6000,0)),"")</f>
        <v/>
      </c>
      <c r="C3158">
        <f>IFERROR(LARGE(Segmen!$D$3:$D$6000,A3158),"")</f>
        <v/>
      </c>
    </row>
    <row r="3159">
      <c r="A3159" t="n">
        <v>3158</v>
      </c>
      <c r="B3159">
        <f>IFERROR(INDEX(Segmen!$A$3:$A$6000,MATCH(C3159,Segmen!$D$3:$D$6000,0)),"")</f>
        <v/>
      </c>
      <c r="C3159">
        <f>IFERROR(LARGE(Segmen!$D$3:$D$6000,A3159),"")</f>
        <v/>
      </c>
    </row>
    <row r="3160">
      <c r="A3160" t="n">
        <v>3159</v>
      </c>
      <c r="B3160">
        <f>IFERROR(INDEX(Segmen!$A$3:$A$6000,MATCH(C3160,Segmen!$D$3:$D$6000,0)),"")</f>
        <v/>
      </c>
      <c r="C3160">
        <f>IFERROR(LARGE(Segmen!$D$3:$D$6000,A3160),"")</f>
        <v/>
      </c>
    </row>
    <row r="3161">
      <c r="A3161" t="n">
        <v>3160</v>
      </c>
      <c r="B3161">
        <f>IFERROR(INDEX(Segmen!$A$3:$A$6000,MATCH(C3161,Segmen!$D$3:$D$6000,0)),"")</f>
        <v/>
      </c>
      <c r="C3161">
        <f>IFERROR(LARGE(Segmen!$D$3:$D$6000,A3161),"")</f>
        <v/>
      </c>
    </row>
    <row r="3162">
      <c r="A3162" t="n">
        <v>3161</v>
      </c>
      <c r="B3162">
        <f>IFERROR(INDEX(Segmen!$A$3:$A$6000,MATCH(C3162,Segmen!$D$3:$D$6000,0)),"")</f>
        <v/>
      </c>
      <c r="C3162">
        <f>IFERROR(LARGE(Segmen!$D$3:$D$6000,A3162),"")</f>
        <v/>
      </c>
    </row>
    <row r="3163">
      <c r="A3163" t="n">
        <v>3162</v>
      </c>
      <c r="B3163">
        <f>IFERROR(INDEX(Segmen!$A$3:$A$6000,MATCH(C3163,Segmen!$D$3:$D$6000,0)),"")</f>
        <v/>
      </c>
      <c r="C3163">
        <f>IFERROR(LARGE(Segmen!$D$3:$D$6000,A3163),"")</f>
        <v/>
      </c>
    </row>
    <row r="3164">
      <c r="A3164" t="n">
        <v>3163</v>
      </c>
      <c r="B3164">
        <f>IFERROR(INDEX(Segmen!$A$3:$A$6000,MATCH(C3164,Segmen!$D$3:$D$6000,0)),"")</f>
        <v/>
      </c>
      <c r="C3164">
        <f>IFERROR(LARGE(Segmen!$D$3:$D$6000,A3164),"")</f>
        <v/>
      </c>
    </row>
    <row r="3165">
      <c r="A3165" t="n">
        <v>3164</v>
      </c>
      <c r="B3165">
        <f>IFERROR(INDEX(Segmen!$A$3:$A$6000,MATCH(C3165,Segmen!$D$3:$D$6000,0)),"")</f>
        <v/>
      </c>
      <c r="C3165">
        <f>IFERROR(LARGE(Segmen!$D$3:$D$6000,A3165),"")</f>
        <v/>
      </c>
    </row>
    <row r="3166">
      <c r="A3166" t="n">
        <v>3165</v>
      </c>
      <c r="B3166">
        <f>IFERROR(INDEX(Segmen!$A$3:$A$6000,MATCH(C3166,Segmen!$D$3:$D$6000,0)),"")</f>
        <v/>
      </c>
      <c r="C3166">
        <f>IFERROR(LARGE(Segmen!$D$3:$D$6000,A3166),"")</f>
        <v/>
      </c>
    </row>
    <row r="3167">
      <c r="A3167" t="n">
        <v>3166</v>
      </c>
      <c r="B3167">
        <f>IFERROR(INDEX(Segmen!$A$3:$A$6000,MATCH(C3167,Segmen!$D$3:$D$6000,0)),"")</f>
        <v/>
      </c>
      <c r="C3167">
        <f>IFERROR(LARGE(Segmen!$D$3:$D$6000,A3167),"")</f>
        <v/>
      </c>
    </row>
    <row r="3168">
      <c r="A3168" t="n">
        <v>3167</v>
      </c>
      <c r="B3168">
        <f>IFERROR(INDEX(Segmen!$A$3:$A$6000,MATCH(C3168,Segmen!$D$3:$D$6000,0)),"")</f>
        <v/>
      </c>
      <c r="C3168">
        <f>IFERROR(LARGE(Segmen!$D$3:$D$6000,A3168),"")</f>
        <v/>
      </c>
    </row>
    <row r="3169">
      <c r="A3169" t="n">
        <v>3168</v>
      </c>
      <c r="B3169">
        <f>IFERROR(INDEX(Segmen!$A$3:$A$6000,MATCH(C3169,Segmen!$D$3:$D$6000,0)),"")</f>
        <v/>
      </c>
      <c r="C3169">
        <f>IFERROR(LARGE(Segmen!$D$3:$D$6000,A3169),"")</f>
        <v/>
      </c>
    </row>
    <row r="3170">
      <c r="A3170" t="n">
        <v>3169</v>
      </c>
      <c r="B3170">
        <f>IFERROR(INDEX(Segmen!$A$3:$A$6000,MATCH(C3170,Segmen!$D$3:$D$6000,0)),"")</f>
        <v/>
      </c>
      <c r="C3170">
        <f>IFERROR(LARGE(Segmen!$D$3:$D$6000,A3170),"")</f>
        <v/>
      </c>
    </row>
    <row r="3171">
      <c r="A3171" t="n">
        <v>3170</v>
      </c>
      <c r="B3171">
        <f>IFERROR(INDEX(Segmen!$A$3:$A$6000,MATCH(C3171,Segmen!$D$3:$D$6000,0)),"")</f>
        <v/>
      </c>
      <c r="C3171">
        <f>IFERROR(LARGE(Segmen!$D$3:$D$6000,A3171),"")</f>
        <v/>
      </c>
    </row>
    <row r="3172">
      <c r="A3172" t="n">
        <v>3171</v>
      </c>
      <c r="B3172">
        <f>IFERROR(INDEX(Segmen!$A$3:$A$6000,MATCH(C3172,Segmen!$D$3:$D$6000,0)),"")</f>
        <v/>
      </c>
      <c r="C3172">
        <f>IFERROR(LARGE(Segmen!$D$3:$D$6000,A3172),"")</f>
        <v/>
      </c>
    </row>
    <row r="3173">
      <c r="A3173" t="n">
        <v>3172</v>
      </c>
      <c r="B3173">
        <f>IFERROR(INDEX(Segmen!$A$3:$A$6000,MATCH(C3173,Segmen!$D$3:$D$6000,0)),"")</f>
        <v/>
      </c>
      <c r="C3173">
        <f>IFERROR(LARGE(Segmen!$D$3:$D$6000,A3173),"")</f>
        <v/>
      </c>
    </row>
    <row r="3174">
      <c r="A3174" t="n">
        <v>3173</v>
      </c>
      <c r="B3174">
        <f>IFERROR(INDEX(Segmen!$A$3:$A$6000,MATCH(C3174,Segmen!$D$3:$D$6000,0)),"")</f>
        <v/>
      </c>
      <c r="C3174">
        <f>IFERROR(LARGE(Segmen!$D$3:$D$6000,A3174),"")</f>
        <v/>
      </c>
    </row>
    <row r="3175">
      <c r="A3175" t="n">
        <v>3174</v>
      </c>
      <c r="B3175">
        <f>IFERROR(INDEX(Segmen!$A$3:$A$6000,MATCH(C3175,Segmen!$D$3:$D$6000,0)),"")</f>
        <v/>
      </c>
      <c r="C3175">
        <f>IFERROR(LARGE(Segmen!$D$3:$D$6000,A3175),"")</f>
        <v/>
      </c>
    </row>
    <row r="3176">
      <c r="A3176" t="n">
        <v>3175</v>
      </c>
      <c r="B3176">
        <f>IFERROR(INDEX(Segmen!$A$3:$A$6000,MATCH(C3176,Segmen!$D$3:$D$6000,0)),"")</f>
        <v/>
      </c>
      <c r="C3176">
        <f>IFERROR(LARGE(Segmen!$D$3:$D$6000,A3176),"")</f>
        <v/>
      </c>
    </row>
    <row r="3177">
      <c r="A3177" t="n">
        <v>3176</v>
      </c>
      <c r="B3177">
        <f>IFERROR(INDEX(Segmen!$A$3:$A$6000,MATCH(C3177,Segmen!$D$3:$D$6000,0)),"")</f>
        <v/>
      </c>
      <c r="C3177">
        <f>IFERROR(LARGE(Segmen!$D$3:$D$6000,A3177),"")</f>
        <v/>
      </c>
    </row>
    <row r="3178">
      <c r="A3178" t="n">
        <v>3177</v>
      </c>
      <c r="B3178">
        <f>IFERROR(INDEX(Segmen!$A$3:$A$6000,MATCH(C3178,Segmen!$D$3:$D$6000,0)),"")</f>
        <v/>
      </c>
      <c r="C3178">
        <f>IFERROR(LARGE(Segmen!$D$3:$D$6000,A3178),"")</f>
        <v/>
      </c>
    </row>
    <row r="3179">
      <c r="A3179" t="n">
        <v>3178</v>
      </c>
      <c r="B3179">
        <f>IFERROR(INDEX(Segmen!$A$3:$A$6000,MATCH(C3179,Segmen!$D$3:$D$6000,0)),"")</f>
        <v/>
      </c>
      <c r="C3179">
        <f>IFERROR(LARGE(Segmen!$D$3:$D$6000,A3179),"")</f>
        <v/>
      </c>
    </row>
    <row r="3180">
      <c r="A3180" t="n">
        <v>3179</v>
      </c>
      <c r="B3180">
        <f>IFERROR(INDEX(Segmen!$A$3:$A$6000,MATCH(C3180,Segmen!$D$3:$D$6000,0)),"")</f>
        <v/>
      </c>
      <c r="C3180">
        <f>IFERROR(LARGE(Segmen!$D$3:$D$6000,A3180),"")</f>
        <v/>
      </c>
    </row>
    <row r="3181">
      <c r="A3181" t="n">
        <v>3180</v>
      </c>
      <c r="B3181">
        <f>IFERROR(INDEX(Segmen!$A$3:$A$6000,MATCH(C3181,Segmen!$D$3:$D$6000,0)),"")</f>
        <v/>
      </c>
      <c r="C3181">
        <f>IFERROR(LARGE(Segmen!$D$3:$D$6000,A3181),"")</f>
        <v/>
      </c>
    </row>
    <row r="3182">
      <c r="A3182" t="n">
        <v>3181</v>
      </c>
      <c r="B3182">
        <f>IFERROR(INDEX(Segmen!$A$3:$A$6000,MATCH(C3182,Segmen!$D$3:$D$6000,0)),"")</f>
        <v/>
      </c>
      <c r="C3182">
        <f>IFERROR(LARGE(Segmen!$D$3:$D$6000,A3182),"")</f>
        <v/>
      </c>
    </row>
    <row r="3183">
      <c r="A3183" t="n">
        <v>3182</v>
      </c>
      <c r="B3183">
        <f>IFERROR(INDEX(Segmen!$A$3:$A$6000,MATCH(C3183,Segmen!$D$3:$D$6000,0)),"")</f>
        <v/>
      </c>
      <c r="C3183">
        <f>IFERROR(LARGE(Segmen!$D$3:$D$6000,A3183),"")</f>
        <v/>
      </c>
    </row>
    <row r="3184">
      <c r="A3184" t="n">
        <v>3183</v>
      </c>
      <c r="B3184">
        <f>IFERROR(INDEX(Segmen!$A$3:$A$6000,MATCH(C3184,Segmen!$D$3:$D$6000,0)),"")</f>
        <v/>
      </c>
      <c r="C3184">
        <f>IFERROR(LARGE(Segmen!$D$3:$D$6000,A3184),"")</f>
        <v/>
      </c>
    </row>
    <row r="3185">
      <c r="A3185" t="n">
        <v>3184</v>
      </c>
      <c r="B3185">
        <f>IFERROR(INDEX(Segmen!$A$3:$A$6000,MATCH(C3185,Segmen!$D$3:$D$6000,0)),"")</f>
        <v/>
      </c>
      <c r="C3185">
        <f>IFERROR(LARGE(Segmen!$D$3:$D$6000,A3185),"")</f>
        <v/>
      </c>
    </row>
    <row r="3186">
      <c r="A3186" t="n">
        <v>3185</v>
      </c>
      <c r="B3186">
        <f>IFERROR(INDEX(Segmen!$A$3:$A$6000,MATCH(C3186,Segmen!$D$3:$D$6000,0)),"")</f>
        <v/>
      </c>
      <c r="C3186">
        <f>IFERROR(LARGE(Segmen!$D$3:$D$6000,A3186),"")</f>
        <v/>
      </c>
    </row>
    <row r="3187">
      <c r="A3187" t="n">
        <v>3186</v>
      </c>
      <c r="B3187">
        <f>IFERROR(INDEX(Segmen!$A$3:$A$6000,MATCH(C3187,Segmen!$D$3:$D$6000,0)),"")</f>
        <v/>
      </c>
      <c r="C3187">
        <f>IFERROR(LARGE(Segmen!$D$3:$D$6000,A3187),"")</f>
        <v/>
      </c>
    </row>
    <row r="3188">
      <c r="A3188" t="n">
        <v>3187</v>
      </c>
      <c r="B3188">
        <f>IFERROR(INDEX(Segmen!$A$3:$A$6000,MATCH(C3188,Segmen!$D$3:$D$6000,0)),"")</f>
        <v/>
      </c>
      <c r="C3188">
        <f>IFERROR(LARGE(Segmen!$D$3:$D$6000,A3188),"")</f>
        <v/>
      </c>
    </row>
    <row r="3189">
      <c r="A3189" t="n">
        <v>3188</v>
      </c>
      <c r="B3189">
        <f>IFERROR(INDEX(Segmen!$A$3:$A$6000,MATCH(C3189,Segmen!$D$3:$D$6000,0)),"")</f>
        <v/>
      </c>
      <c r="C3189">
        <f>IFERROR(LARGE(Segmen!$D$3:$D$6000,A3189),"")</f>
        <v/>
      </c>
    </row>
    <row r="3190">
      <c r="A3190" t="n">
        <v>3189</v>
      </c>
      <c r="B3190">
        <f>IFERROR(INDEX(Segmen!$A$3:$A$6000,MATCH(C3190,Segmen!$D$3:$D$6000,0)),"")</f>
        <v/>
      </c>
      <c r="C3190">
        <f>IFERROR(LARGE(Segmen!$D$3:$D$6000,A3190),"")</f>
        <v/>
      </c>
    </row>
    <row r="3191">
      <c r="A3191" t="n">
        <v>3190</v>
      </c>
      <c r="B3191">
        <f>IFERROR(INDEX(Segmen!$A$3:$A$6000,MATCH(C3191,Segmen!$D$3:$D$6000,0)),"")</f>
        <v/>
      </c>
      <c r="C3191">
        <f>IFERROR(LARGE(Segmen!$D$3:$D$6000,A3191),"")</f>
        <v/>
      </c>
    </row>
    <row r="3192">
      <c r="A3192" t="n">
        <v>3191</v>
      </c>
      <c r="B3192">
        <f>IFERROR(INDEX(Segmen!$A$3:$A$6000,MATCH(C3192,Segmen!$D$3:$D$6000,0)),"")</f>
        <v/>
      </c>
      <c r="C3192">
        <f>IFERROR(LARGE(Segmen!$D$3:$D$6000,A3192),"")</f>
        <v/>
      </c>
    </row>
    <row r="3193">
      <c r="A3193" t="n">
        <v>3192</v>
      </c>
      <c r="B3193">
        <f>IFERROR(INDEX(Segmen!$A$3:$A$6000,MATCH(C3193,Segmen!$D$3:$D$6000,0)),"")</f>
        <v/>
      </c>
      <c r="C3193">
        <f>IFERROR(LARGE(Segmen!$D$3:$D$6000,A3193),"")</f>
        <v/>
      </c>
    </row>
    <row r="3194">
      <c r="A3194" t="n">
        <v>3193</v>
      </c>
      <c r="B3194">
        <f>IFERROR(INDEX(Segmen!$A$3:$A$6000,MATCH(C3194,Segmen!$D$3:$D$6000,0)),"")</f>
        <v/>
      </c>
      <c r="C3194">
        <f>IFERROR(LARGE(Segmen!$D$3:$D$6000,A3194),"")</f>
        <v/>
      </c>
    </row>
    <row r="3195">
      <c r="A3195" t="n">
        <v>3194</v>
      </c>
      <c r="B3195">
        <f>IFERROR(INDEX(Segmen!$A$3:$A$6000,MATCH(C3195,Segmen!$D$3:$D$6000,0)),"")</f>
        <v/>
      </c>
      <c r="C3195">
        <f>IFERROR(LARGE(Segmen!$D$3:$D$6000,A3195),"")</f>
        <v/>
      </c>
    </row>
    <row r="3196">
      <c r="A3196" t="n">
        <v>3195</v>
      </c>
      <c r="B3196">
        <f>IFERROR(INDEX(Segmen!$A$3:$A$6000,MATCH(C3196,Segmen!$D$3:$D$6000,0)),"")</f>
        <v/>
      </c>
      <c r="C3196">
        <f>IFERROR(LARGE(Segmen!$D$3:$D$6000,A3196),"")</f>
        <v/>
      </c>
    </row>
    <row r="3197">
      <c r="A3197" t="n">
        <v>3196</v>
      </c>
      <c r="B3197">
        <f>IFERROR(INDEX(Segmen!$A$3:$A$6000,MATCH(C3197,Segmen!$D$3:$D$6000,0)),"")</f>
        <v/>
      </c>
      <c r="C3197">
        <f>IFERROR(LARGE(Segmen!$D$3:$D$6000,A3197),"")</f>
        <v/>
      </c>
    </row>
    <row r="3198">
      <c r="A3198" t="n">
        <v>3197</v>
      </c>
      <c r="B3198">
        <f>IFERROR(INDEX(Segmen!$A$3:$A$6000,MATCH(C3198,Segmen!$D$3:$D$6000,0)),"")</f>
        <v/>
      </c>
      <c r="C3198">
        <f>IFERROR(LARGE(Segmen!$D$3:$D$6000,A3198),"")</f>
        <v/>
      </c>
    </row>
    <row r="3199">
      <c r="A3199" t="n">
        <v>3198</v>
      </c>
      <c r="B3199">
        <f>IFERROR(INDEX(Segmen!$A$3:$A$6000,MATCH(C3199,Segmen!$D$3:$D$6000,0)),"")</f>
        <v/>
      </c>
      <c r="C3199">
        <f>IFERROR(LARGE(Segmen!$D$3:$D$6000,A3199),"")</f>
        <v/>
      </c>
    </row>
    <row r="3200">
      <c r="A3200" t="n">
        <v>3199</v>
      </c>
      <c r="B3200">
        <f>IFERROR(INDEX(Segmen!$A$3:$A$6000,MATCH(C3200,Segmen!$D$3:$D$6000,0)),"")</f>
        <v/>
      </c>
      <c r="C3200">
        <f>IFERROR(LARGE(Segmen!$D$3:$D$6000,A3200),"")</f>
        <v/>
      </c>
    </row>
    <row r="3201">
      <c r="A3201" t="n">
        <v>3200</v>
      </c>
      <c r="B3201">
        <f>IFERROR(INDEX(Segmen!$A$3:$A$6000,MATCH(C3201,Segmen!$D$3:$D$6000,0)),"")</f>
        <v/>
      </c>
      <c r="C3201">
        <f>IFERROR(LARGE(Segmen!$D$3:$D$6000,A3201),"")</f>
        <v/>
      </c>
    </row>
    <row r="3202">
      <c r="A3202" t="n">
        <v>3201</v>
      </c>
      <c r="B3202">
        <f>IFERROR(INDEX(Segmen!$A$3:$A$6000,MATCH(C3202,Segmen!$D$3:$D$6000,0)),"")</f>
        <v/>
      </c>
      <c r="C3202">
        <f>IFERROR(LARGE(Segmen!$D$3:$D$6000,A3202),"")</f>
        <v/>
      </c>
    </row>
    <row r="3203">
      <c r="A3203" t="n">
        <v>3202</v>
      </c>
      <c r="B3203">
        <f>IFERROR(INDEX(Segmen!$A$3:$A$6000,MATCH(C3203,Segmen!$D$3:$D$6000,0)),"")</f>
        <v/>
      </c>
      <c r="C3203">
        <f>IFERROR(LARGE(Segmen!$D$3:$D$6000,A3203),"")</f>
        <v/>
      </c>
    </row>
    <row r="3204">
      <c r="A3204" t="n">
        <v>3203</v>
      </c>
      <c r="B3204">
        <f>IFERROR(INDEX(Segmen!$A$3:$A$6000,MATCH(C3204,Segmen!$D$3:$D$6000,0)),"")</f>
        <v/>
      </c>
      <c r="C3204">
        <f>IFERROR(LARGE(Segmen!$D$3:$D$6000,A3204),"")</f>
        <v/>
      </c>
    </row>
    <row r="3205">
      <c r="A3205" t="n">
        <v>3204</v>
      </c>
      <c r="B3205">
        <f>IFERROR(INDEX(Segmen!$A$3:$A$6000,MATCH(C3205,Segmen!$D$3:$D$6000,0)),"")</f>
        <v/>
      </c>
      <c r="C3205">
        <f>IFERROR(LARGE(Segmen!$D$3:$D$6000,A3205),"")</f>
        <v/>
      </c>
    </row>
    <row r="3206">
      <c r="A3206" t="n">
        <v>3205</v>
      </c>
      <c r="B3206">
        <f>IFERROR(INDEX(Segmen!$A$3:$A$6000,MATCH(C3206,Segmen!$D$3:$D$6000,0)),"")</f>
        <v/>
      </c>
      <c r="C3206">
        <f>IFERROR(LARGE(Segmen!$D$3:$D$6000,A3206),"")</f>
        <v/>
      </c>
    </row>
    <row r="3207">
      <c r="A3207" t="n">
        <v>3206</v>
      </c>
      <c r="B3207">
        <f>IFERROR(INDEX(Segmen!$A$3:$A$6000,MATCH(C3207,Segmen!$D$3:$D$6000,0)),"")</f>
        <v/>
      </c>
      <c r="C3207">
        <f>IFERROR(LARGE(Segmen!$D$3:$D$6000,A3207),"")</f>
        <v/>
      </c>
    </row>
    <row r="3208">
      <c r="A3208" t="n">
        <v>3207</v>
      </c>
      <c r="B3208">
        <f>IFERROR(INDEX(Segmen!$A$3:$A$6000,MATCH(C3208,Segmen!$D$3:$D$6000,0)),"")</f>
        <v/>
      </c>
      <c r="C3208">
        <f>IFERROR(LARGE(Segmen!$D$3:$D$6000,A3208),"")</f>
        <v/>
      </c>
    </row>
    <row r="3209">
      <c r="A3209" t="n">
        <v>3208</v>
      </c>
      <c r="B3209">
        <f>IFERROR(INDEX(Segmen!$A$3:$A$6000,MATCH(C3209,Segmen!$D$3:$D$6000,0)),"")</f>
        <v/>
      </c>
      <c r="C3209">
        <f>IFERROR(LARGE(Segmen!$D$3:$D$6000,A3209),"")</f>
        <v/>
      </c>
    </row>
    <row r="3210">
      <c r="A3210" t="n">
        <v>3209</v>
      </c>
      <c r="B3210">
        <f>IFERROR(INDEX(Segmen!$A$3:$A$6000,MATCH(C3210,Segmen!$D$3:$D$6000,0)),"")</f>
        <v/>
      </c>
      <c r="C3210">
        <f>IFERROR(LARGE(Segmen!$D$3:$D$6000,A3210),"")</f>
        <v/>
      </c>
    </row>
    <row r="3211">
      <c r="A3211" t="n">
        <v>3210</v>
      </c>
      <c r="B3211">
        <f>IFERROR(INDEX(Segmen!$A$3:$A$6000,MATCH(C3211,Segmen!$D$3:$D$6000,0)),"")</f>
        <v/>
      </c>
      <c r="C3211">
        <f>IFERROR(LARGE(Segmen!$D$3:$D$6000,A3211),"")</f>
        <v/>
      </c>
    </row>
    <row r="3212">
      <c r="A3212" t="n">
        <v>3211</v>
      </c>
      <c r="B3212">
        <f>IFERROR(INDEX(Segmen!$A$3:$A$6000,MATCH(C3212,Segmen!$D$3:$D$6000,0)),"")</f>
        <v/>
      </c>
      <c r="C3212">
        <f>IFERROR(LARGE(Segmen!$D$3:$D$6000,A3212),"")</f>
        <v/>
      </c>
    </row>
    <row r="3213">
      <c r="A3213" t="n">
        <v>3212</v>
      </c>
      <c r="B3213">
        <f>IFERROR(INDEX(Segmen!$A$3:$A$6000,MATCH(C3213,Segmen!$D$3:$D$6000,0)),"")</f>
        <v/>
      </c>
      <c r="C3213">
        <f>IFERROR(LARGE(Segmen!$D$3:$D$6000,A3213),"")</f>
        <v/>
      </c>
    </row>
    <row r="3214">
      <c r="A3214" t="n">
        <v>3213</v>
      </c>
      <c r="B3214">
        <f>IFERROR(INDEX(Segmen!$A$3:$A$6000,MATCH(C3214,Segmen!$D$3:$D$6000,0)),"")</f>
        <v/>
      </c>
      <c r="C3214">
        <f>IFERROR(LARGE(Segmen!$D$3:$D$6000,A3214),"")</f>
        <v/>
      </c>
    </row>
    <row r="3215">
      <c r="A3215" t="n">
        <v>3214</v>
      </c>
      <c r="B3215">
        <f>IFERROR(INDEX(Segmen!$A$3:$A$6000,MATCH(C3215,Segmen!$D$3:$D$6000,0)),"")</f>
        <v/>
      </c>
      <c r="C3215">
        <f>IFERROR(LARGE(Segmen!$D$3:$D$6000,A3215),"")</f>
        <v/>
      </c>
    </row>
    <row r="3216">
      <c r="A3216" t="n">
        <v>3215</v>
      </c>
      <c r="B3216">
        <f>IFERROR(INDEX(Segmen!$A$3:$A$6000,MATCH(C3216,Segmen!$D$3:$D$6000,0)),"")</f>
        <v/>
      </c>
      <c r="C3216">
        <f>IFERROR(LARGE(Segmen!$D$3:$D$6000,A3216),"")</f>
        <v/>
      </c>
    </row>
    <row r="3217">
      <c r="A3217" t="n">
        <v>3216</v>
      </c>
      <c r="B3217">
        <f>IFERROR(INDEX(Segmen!$A$3:$A$6000,MATCH(C3217,Segmen!$D$3:$D$6000,0)),"")</f>
        <v/>
      </c>
      <c r="C3217">
        <f>IFERROR(LARGE(Segmen!$D$3:$D$6000,A3217),"")</f>
        <v/>
      </c>
    </row>
    <row r="3218">
      <c r="A3218" t="n">
        <v>3217</v>
      </c>
      <c r="B3218">
        <f>IFERROR(INDEX(Segmen!$A$3:$A$6000,MATCH(C3218,Segmen!$D$3:$D$6000,0)),"")</f>
        <v/>
      </c>
      <c r="C3218">
        <f>IFERROR(LARGE(Segmen!$D$3:$D$6000,A3218),"")</f>
        <v/>
      </c>
    </row>
    <row r="3219">
      <c r="A3219" t="n">
        <v>3218</v>
      </c>
      <c r="B3219">
        <f>IFERROR(INDEX(Segmen!$A$3:$A$6000,MATCH(C3219,Segmen!$D$3:$D$6000,0)),"")</f>
        <v/>
      </c>
      <c r="C3219">
        <f>IFERROR(LARGE(Segmen!$D$3:$D$6000,A3219),"")</f>
        <v/>
      </c>
    </row>
    <row r="3220">
      <c r="A3220" t="n">
        <v>3219</v>
      </c>
      <c r="B3220">
        <f>IFERROR(INDEX(Segmen!$A$3:$A$6000,MATCH(C3220,Segmen!$D$3:$D$6000,0)),"")</f>
        <v/>
      </c>
      <c r="C3220">
        <f>IFERROR(LARGE(Segmen!$D$3:$D$6000,A3220),"")</f>
        <v/>
      </c>
    </row>
    <row r="3221">
      <c r="A3221" t="n">
        <v>3220</v>
      </c>
      <c r="B3221">
        <f>IFERROR(INDEX(Segmen!$A$3:$A$6000,MATCH(C3221,Segmen!$D$3:$D$6000,0)),"")</f>
        <v/>
      </c>
      <c r="C3221">
        <f>IFERROR(LARGE(Segmen!$D$3:$D$6000,A3221),"")</f>
        <v/>
      </c>
    </row>
    <row r="3222">
      <c r="A3222" t="n">
        <v>3221</v>
      </c>
      <c r="B3222">
        <f>IFERROR(INDEX(Segmen!$A$3:$A$6000,MATCH(C3222,Segmen!$D$3:$D$6000,0)),"")</f>
        <v/>
      </c>
      <c r="C3222">
        <f>IFERROR(LARGE(Segmen!$D$3:$D$6000,A3222),"")</f>
        <v/>
      </c>
    </row>
    <row r="3223">
      <c r="A3223" t="n">
        <v>3222</v>
      </c>
      <c r="B3223">
        <f>IFERROR(INDEX(Segmen!$A$3:$A$6000,MATCH(C3223,Segmen!$D$3:$D$6000,0)),"")</f>
        <v/>
      </c>
      <c r="C3223">
        <f>IFERROR(LARGE(Segmen!$D$3:$D$6000,A3223),"")</f>
        <v/>
      </c>
    </row>
    <row r="3224">
      <c r="A3224" t="n">
        <v>3223</v>
      </c>
      <c r="B3224">
        <f>IFERROR(INDEX(Segmen!$A$3:$A$6000,MATCH(C3224,Segmen!$D$3:$D$6000,0)),"")</f>
        <v/>
      </c>
      <c r="C3224">
        <f>IFERROR(LARGE(Segmen!$D$3:$D$6000,A3224),"")</f>
        <v/>
      </c>
    </row>
    <row r="3225">
      <c r="A3225" t="n">
        <v>3224</v>
      </c>
      <c r="B3225">
        <f>IFERROR(INDEX(Segmen!$A$3:$A$6000,MATCH(C3225,Segmen!$D$3:$D$6000,0)),"")</f>
        <v/>
      </c>
      <c r="C3225">
        <f>IFERROR(LARGE(Segmen!$D$3:$D$6000,A3225),"")</f>
        <v/>
      </c>
    </row>
    <row r="3226">
      <c r="A3226" t="n">
        <v>3225</v>
      </c>
      <c r="B3226">
        <f>IFERROR(INDEX(Segmen!$A$3:$A$6000,MATCH(C3226,Segmen!$D$3:$D$6000,0)),"")</f>
        <v/>
      </c>
      <c r="C3226">
        <f>IFERROR(LARGE(Segmen!$D$3:$D$6000,A3226),"")</f>
        <v/>
      </c>
    </row>
    <row r="3227">
      <c r="A3227" t="n">
        <v>3226</v>
      </c>
      <c r="B3227">
        <f>IFERROR(INDEX(Segmen!$A$3:$A$6000,MATCH(C3227,Segmen!$D$3:$D$6000,0)),"")</f>
        <v/>
      </c>
      <c r="C3227">
        <f>IFERROR(LARGE(Segmen!$D$3:$D$6000,A3227),"")</f>
        <v/>
      </c>
    </row>
    <row r="3228">
      <c r="A3228" t="n">
        <v>3227</v>
      </c>
      <c r="B3228">
        <f>IFERROR(INDEX(Segmen!$A$3:$A$6000,MATCH(C3228,Segmen!$D$3:$D$6000,0)),"")</f>
        <v/>
      </c>
      <c r="C3228">
        <f>IFERROR(LARGE(Segmen!$D$3:$D$6000,A3228),"")</f>
        <v/>
      </c>
    </row>
    <row r="3229">
      <c r="A3229" t="n">
        <v>3228</v>
      </c>
      <c r="B3229">
        <f>IFERROR(INDEX(Segmen!$A$3:$A$6000,MATCH(C3229,Segmen!$D$3:$D$6000,0)),"")</f>
        <v/>
      </c>
      <c r="C3229">
        <f>IFERROR(LARGE(Segmen!$D$3:$D$6000,A3229),"")</f>
        <v/>
      </c>
    </row>
    <row r="3230">
      <c r="A3230" t="n">
        <v>3229</v>
      </c>
      <c r="B3230">
        <f>IFERROR(INDEX(Segmen!$A$3:$A$6000,MATCH(C3230,Segmen!$D$3:$D$6000,0)),"")</f>
        <v/>
      </c>
      <c r="C3230">
        <f>IFERROR(LARGE(Segmen!$D$3:$D$6000,A3230),"")</f>
        <v/>
      </c>
    </row>
    <row r="3231">
      <c r="A3231" t="n">
        <v>3230</v>
      </c>
      <c r="B3231">
        <f>IFERROR(INDEX(Segmen!$A$3:$A$6000,MATCH(C3231,Segmen!$D$3:$D$6000,0)),"")</f>
        <v/>
      </c>
      <c r="C3231">
        <f>IFERROR(LARGE(Segmen!$D$3:$D$6000,A3231),"")</f>
        <v/>
      </c>
    </row>
    <row r="3232">
      <c r="A3232" t="n">
        <v>3231</v>
      </c>
      <c r="B3232">
        <f>IFERROR(INDEX(Segmen!$A$3:$A$6000,MATCH(C3232,Segmen!$D$3:$D$6000,0)),"")</f>
        <v/>
      </c>
      <c r="C3232">
        <f>IFERROR(LARGE(Segmen!$D$3:$D$6000,A3232),"")</f>
        <v/>
      </c>
    </row>
    <row r="3233">
      <c r="A3233" t="n">
        <v>3232</v>
      </c>
      <c r="B3233">
        <f>IFERROR(INDEX(Segmen!$A$3:$A$6000,MATCH(C3233,Segmen!$D$3:$D$6000,0)),"")</f>
        <v/>
      </c>
      <c r="C3233">
        <f>IFERROR(LARGE(Segmen!$D$3:$D$6000,A3233),"")</f>
        <v/>
      </c>
    </row>
    <row r="3234">
      <c r="A3234" t="n">
        <v>3233</v>
      </c>
      <c r="B3234">
        <f>IFERROR(INDEX(Segmen!$A$3:$A$6000,MATCH(C3234,Segmen!$D$3:$D$6000,0)),"")</f>
        <v/>
      </c>
      <c r="C3234">
        <f>IFERROR(LARGE(Segmen!$D$3:$D$6000,A3234),"")</f>
        <v/>
      </c>
    </row>
    <row r="3235">
      <c r="A3235" t="n">
        <v>3234</v>
      </c>
      <c r="B3235">
        <f>IFERROR(INDEX(Segmen!$A$3:$A$6000,MATCH(C3235,Segmen!$D$3:$D$6000,0)),"")</f>
        <v/>
      </c>
      <c r="C3235">
        <f>IFERROR(LARGE(Segmen!$D$3:$D$6000,A3235),"")</f>
        <v/>
      </c>
    </row>
    <row r="3236">
      <c r="A3236" t="n">
        <v>3235</v>
      </c>
      <c r="B3236">
        <f>IFERROR(INDEX(Segmen!$A$3:$A$6000,MATCH(C3236,Segmen!$D$3:$D$6000,0)),"")</f>
        <v/>
      </c>
      <c r="C3236">
        <f>IFERROR(LARGE(Segmen!$D$3:$D$6000,A3236),"")</f>
        <v/>
      </c>
    </row>
    <row r="3237">
      <c r="A3237" t="n">
        <v>3236</v>
      </c>
      <c r="B3237">
        <f>IFERROR(INDEX(Segmen!$A$3:$A$6000,MATCH(C3237,Segmen!$D$3:$D$6000,0)),"")</f>
        <v/>
      </c>
      <c r="C3237">
        <f>IFERROR(LARGE(Segmen!$D$3:$D$6000,A3237),"")</f>
        <v/>
      </c>
    </row>
    <row r="3238">
      <c r="A3238" t="n">
        <v>3237</v>
      </c>
      <c r="B3238">
        <f>IFERROR(INDEX(Segmen!$A$3:$A$6000,MATCH(C3238,Segmen!$D$3:$D$6000,0)),"")</f>
        <v/>
      </c>
      <c r="C3238">
        <f>IFERROR(LARGE(Segmen!$D$3:$D$6000,A3238),"")</f>
        <v/>
      </c>
    </row>
    <row r="3239">
      <c r="A3239" t="n">
        <v>3238</v>
      </c>
      <c r="B3239">
        <f>IFERROR(INDEX(Segmen!$A$3:$A$6000,MATCH(C3239,Segmen!$D$3:$D$6000,0)),"")</f>
        <v/>
      </c>
      <c r="C3239">
        <f>IFERROR(LARGE(Segmen!$D$3:$D$6000,A3239),"")</f>
        <v/>
      </c>
    </row>
    <row r="3240">
      <c r="A3240" t="n">
        <v>3239</v>
      </c>
      <c r="B3240">
        <f>IFERROR(INDEX(Segmen!$A$3:$A$6000,MATCH(C3240,Segmen!$D$3:$D$6000,0)),"")</f>
        <v/>
      </c>
      <c r="C3240">
        <f>IFERROR(LARGE(Segmen!$D$3:$D$6000,A3240),"")</f>
        <v/>
      </c>
    </row>
    <row r="3241">
      <c r="A3241" t="n">
        <v>3240</v>
      </c>
      <c r="B3241">
        <f>IFERROR(INDEX(Segmen!$A$3:$A$6000,MATCH(C3241,Segmen!$D$3:$D$6000,0)),"")</f>
        <v/>
      </c>
      <c r="C3241">
        <f>IFERROR(LARGE(Segmen!$D$3:$D$6000,A3241),"")</f>
        <v/>
      </c>
    </row>
    <row r="3242">
      <c r="A3242" t="n">
        <v>3241</v>
      </c>
      <c r="B3242">
        <f>IFERROR(INDEX(Segmen!$A$3:$A$6000,MATCH(C3242,Segmen!$D$3:$D$6000,0)),"")</f>
        <v/>
      </c>
      <c r="C3242">
        <f>IFERROR(LARGE(Segmen!$D$3:$D$6000,A3242),"")</f>
        <v/>
      </c>
    </row>
    <row r="3243">
      <c r="A3243" t="n">
        <v>3242</v>
      </c>
      <c r="B3243">
        <f>IFERROR(INDEX(Segmen!$A$3:$A$6000,MATCH(C3243,Segmen!$D$3:$D$6000,0)),"")</f>
        <v/>
      </c>
      <c r="C3243">
        <f>IFERROR(LARGE(Segmen!$D$3:$D$6000,A3243),"")</f>
        <v/>
      </c>
    </row>
    <row r="3244">
      <c r="A3244" t="n">
        <v>3243</v>
      </c>
      <c r="B3244">
        <f>IFERROR(INDEX(Segmen!$A$3:$A$6000,MATCH(C3244,Segmen!$D$3:$D$6000,0)),"")</f>
        <v/>
      </c>
      <c r="C3244">
        <f>IFERROR(LARGE(Segmen!$D$3:$D$6000,A3244),"")</f>
        <v/>
      </c>
    </row>
    <row r="3245">
      <c r="A3245" t="n">
        <v>3244</v>
      </c>
      <c r="B3245">
        <f>IFERROR(INDEX(Segmen!$A$3:$A$6000,MATCH(C3245,Segmen!$D$3:$D$6000,0)),"")</f>
        <v/>
      </c>
      <c r="C3245">
        <f>IFERROR(LARGE(Segmen!$D$3:$D$6000,A3245),"")</f>
        <v/>
      </c>
    </row>
    <row r="3246">
      <c r="A3246" t="n">
        <v>3245</v>
      </c>
      <c r="B3246">
        <f>IFERROR(INDEX(Segmen!$A$3:$A$6000,MATCH(C3246,Segmen!$D$3:$D$6000,0)),"")</f>
        <v/>
      </c>
      <c r="C3246">
        <f>IFERROR(LARGE(Segmen!$D$3:$D$6000,A3246),"")</f>
        <v/>
      </c>
    </row>
    <row r="3247">
      <c r="A3247" t="n">
        <v>3246</v>
      </c>
      <c r="B3247">
        <f>IFERROR(INDEX(Segmen!$A$3:$A$6000,MATCH(C3247,Segmen!$D$3:$D$6000,0)),"")</f>
        <v/>
      </c>
      <c r="C3247">
        <f>IFERROR(LARGE(Segmen!$D$3:$D$6000,A3247),"")</f>
        <v/>
      </c>
    </row>
    <row r="3248">
      <c r="A3248" t="n">
        <v>3247</v>
      </c>
      <c r="B3248">
        <f>IFERROR(INDEX(Segmen!$A$3:$A$6000,MATCH(C3248,Segmen!$D$3:$D$6000,0)),"")</f>
        <v/>
      </c>
      <c r="C3248">
        <f>IFERROR(LARGE(Segmen!$D$3:$D$6000,A3248),"")</f>
        <v/>
      </c>
    </row>
    <row r="3249">
      <c r="A3249" t="n">
        <v>3248</v>
      </c>
      <c r="B3249">
        <f>IFERROR(INDEX(Segmen!$A$3:$A$6000,MATCH(C3249,Segmen!$D$3:$D$6000,0)),"")</f>
        <v/>
      </c>
      <c r="C3249">
        <f>IFERROR(LARGE(Segmen!$D$3:$D$6000,A3249),"")</f>
        <v/>
      </c>
    </row>
    <row r="3250">
      <c r="A3250" t="n">
        <v>3249</v>
      </c>
      <c r="B3250">
        <f>IFERROR(INDEX(Segmen!$A$3:$A$6000,MATCH(C3250,Segmen!$D$3:$D$6000,0)),"")</f>
        <v/>
      </c>
      <c r="C3250">
        <f>IFERROR(LARGE(Segmen!$D$3:$D$6000,A3250),"")</f>
        <v/>
      </c>
    </row>
    <row r="3251">
      <c r="A3251" t="n">
        <v>3250</v>
      </c>
      <c r="B3251">
        <f>IFERROR(INDEX(Segmen!$A$3:$A$6000,MATCH(C3251,Segmen!$D$3:$D$6000,0)),"")</f>
        <v/>
      </c>
      <c r="C3251">
        <f>IFERROR(LARGE(Segmen!$D$3:$D$6000,A3251),"")</f>
        <v/>
      </c>
    </row>
    <row r="3252">
      <c r="A3252" t="n">
        <v>3251</v>
      </c>
      <c r="B3252">
        <f>IFERROR(INDEX(Segmen!$A$3:$A$6000,MATCH(C3252,Segmen!$D$3:$D$6000,0)),"")</f>
        <v/>
      </c>
      <c r="C3252">
        <f>IFERROR(LARGE(Segmen!$D$3:$D$6000,A3252),"")</f>
        <v/>
      </c>
    </row>
    <row r="3253">
      <c r="A3253" t="n">
        <v>3252</v>
      </c>
      <c r="B3253">
        <f>IFERROR(INDEX(Segmen!$A$3:$A$6000,MATCH(C3253,Segmen!$D$3:$D$6000,0)),"")</f>
        <v/>
      </c>
      <c r="C3253">
        <f>IFERROR(LARGE(Segmen!$D$3:$D$6000,A3253),"")</f>
        <v/>
      </c>
    </row>
    <row r="3254">
      <c r="A3254" t="n">
        <v>3253</v>
      </c>
      <c r="B3254">
        <f>IFERROR(INDEX(Segmen!$A$3:$A$6000,MATCH(C3254,Segmen!$D$3:$D$6000,0)),"")</f>
        <v/>
      </c>
      <c r="C3254">
        <f>IFERROR(LARGE(Segmen!$D$3:$D$6000,A3254),"")</f>
        <v/>
      </c>
    </row>
    <row r="3255">
      <c r="A3255" t="n">
        <v>3254</v>
      </c>
      <c r="B3255">
        <f>IFERROR(INDEX(Segmen!$A$3:$A$6000,MATCH(C3255,Segmen!$D$3:$D$6000,0)),"")</f>
        <v/>
      </c>
      <c r="C3255">
        <f>IFERROR(LARGE(Segmen!$D$3:$D$6000,A3255),"")</f>
        <v/>
      </c>
    </row>
    <row r="3256">
      <c r="A3256" t="n">
        <v>3255</v>
      </c>
      <c r="B3256">
        <f>IFERROR(INDEX(Segmen!$A$3:$A$6000,MATCH(C3256,Segmen!$D$3:$D$6000,0)),"")</f>
        <v/>
      </c>
      <c r="C3256">
        <f>IFERROR(LARGE(Segmen!$D$3:$D$6000,A3256),"")</f>
        <v/>
      </c>
    </row>
    <row r="3257">
      <c r="A3257" t="n">
        <v>3256</v>
      </c>
      <c r="B3257">
        <f>IFERROR(INDEX(Segmen!$A$3:$A$6000,MATCH(C3257,Segmen!$D$3:$D$6000,0)),"")</f>
        <v/>
      </c>
      <c r="C3257">
        <f>IFERROR(LARGE(Segmen!$D$3:$D$6000,A3257),"")</f>
        <v/>
      </c>
    </row>
    <row r="3258">
      <c r="A3258" t="n">
        <v>3257</v>
      </c>
      <c r="B3258">
        <f>IFERROR(INDEX(Segmen!$A$3:$A$6000,MATCH(C3258,Segmen!$D$3:$D$6000,0)),"")</f>
        <v/>
      </c>
      <c r="C3258">
        <f>IFERROR(LARGE(Segmen!$D$3:$D$6000,A3258),"")</f>
        <v/>
      </c>
    </row>
    <row r="3259">
      <c r="A3259" t="n">
        <v>3258</v>
      </c>
      <c r="B3259">
        <f>IFERROR(INDEX(Segmen!$A$3:$A$6000,MATCH(C3259,Segmen!$D$3:$D$6000,0)),"")</f>
        <v/>
      </c>
      <c r="C3259">
        <f>IFERROR(LARGE(Segmen!$D$3:$D$6000,A3259),"")</f>
        <v/>
      </c>
    </row>
    <row r="3260">
      <c r="A3260" t="n">
        <v>3259</v>
      </c>
      <c r="B3260">
        <f>IFERROR(INDEX(Segmen!$A$3:$A$6000,MATCH(C3260,Segmen!$D$3:$D$6000,0)),"")</f>
        <v/>
      </c>
      <c r="C3260">
        <f>IFERROR(LARGE(Segmen!$D$3:$D$6000,A3260),"")</f>
        <v/>
      </c>
    </row>
    <row r="3261">
      <c r="A3261" t="n">
        <v>3260</v>
      </c>
      <c r="B3261">
        <f>IFERROR(INDEX(Segmen!$A$3:$A$6000,MATCH(C3261,Segmen!$D$3:$D$6000,0)),"")</f>
        <v/>
      </c>
      <c r="C3261">
        <f>IFERROR(LARGE(Segmen!$D$3:$D$6000,A3261),"")</f>
        <v/>
      </c>
    </row>
    <row r="3262">
      <c r="A3262" t="n">
        <v>3261</v>
      </c>
      <c r="B3262">
        <f>IFERROR(INDEX(Segmen!$A$3:$A$6000,MATCH(C3262,Segmen!$D$3:$D$6000,0)),"")</f>
        <v/>
      </c>
      <c r="C3262">
        <f>IFERROR(LARGE(Segmen!$D$3:$D$6000,A3262),"")</f>
        <v/>
      </c>
    </row>
    <row r="3263">
      <c r="A3263" t="n">
        <v>3262</v>
      </c>
      <c r="B3263">
        <f>IFERROR(INDEX(Segmen!$A$3:$A$6000,MATCH(C3263,Segmen!$D$3:$D$6000,0)),"")</f>
        <v/>
      </c>
      <c r="C3263">
        <f>IFERROR(LARGE(Segmen!$D$3:$D$6000,A3263),"")</f>
        <v/>
      </c>
    </row>
    <row r="3264">
      <c r="A3264" t="n">
        <v>3263</v>
      </c>
      <c r="B3264">
        <f>IFERROR(INDEX(Segmen!$A$3:$A$6000,MATCH(C3264,Segmen!$D$3:$D$6000,0)),"")</f>
        <v/>
      </c>
      <c r="C3264">
        <f>IFERROR(LARGE(Segmen!$D$3:$D$6000,A3264),"")</f>
        <v/>
      </c>
    </row>
    <row r="3265">
      <c r="A3265" t="n">
        <v>3264</v>
      </c>
      <c r="B3265">
        <f>IFERROR(INDEX(Segmen!$A$3:$A$6000,MATCH(C3265,Segmen!$D$3:$D$6000,0)),"")</f>
        <v/>
      </c>
      <c r="C3265">
        <f>IFERROR(LARGE(Segmen!$D$3:$D$6000,A3265),"")</f>
        <v/>
      </c>
    </row>
    <row r="3266">
      <c r="A3266" t="n">
        <v>3265</v>
      </c>
      <c r="B3266">
        <f>IFERROR(INDEX(Segmen!$A$3:$A$6000,MATCH(C3266,Segmen!$D$3:$D$6000,0)),"")</f>
        <v/>
      </c>
      <c r="C3266">
        <f>IFERROR(LARGE(Segmen!$D$3:$D$6000,A3266),"")</f>
        <v/>
      </c>
    </row>
    <row r="3267">
      <c r="A3267" t="n">
        <v>3266</v>
      </c>
      <c r="B3267">
        <f>IFERROR(INDEX(Segmen!$A$3:$A$6000,MATCH(C3267,Segmen!$D$3:$D$6000,0)),"")</f>
        <v/>
      </c>
      <c r="C3267">
        <f>IFERROR(LARGE(Segmen!$D$3:$D$6000,A3267),"")</f>
        <v/>
      </c>
    </row>
    <row r="3268">
      <c r="A3268" t="n">
        <v>3267</v>
      </c>
      <c r="B3268">
        <f>IFERROR(INDEX(Segmen!$A$3:$A$6000,MATCH(C3268,Segmen!$D$3:$D$6000,0)),"")</f>
        <v/>
      </c>
      <c r="C3268">
        <f>IFERROR(LARGE(Segmen!$D$3:$D$6000,A3268),"")</f>
        <v/>
      </c>
    </row>
    <row r="3269">
      <c r="A3269" t="n">
        <v>3268</v>
      </c>
      <c r="B3269">
        <f>IFERROR(INDEX(Segmen!$A$3:$A$6000,MATCH(C3269,Segmen!$D$3:$D$6000,0)),"")</f>
        <v/>
      </c>
      <c r="C3269">
        <f>IFERROR(LARGE(Segmen!$D$3:$D$6000,A3269),"")</f>
        <v/>
      </c>
    </row>
    <row r="3270">
      <c r="A3270" t="n">
        <v>3269</v>
      </c>
      <c r="B3270">
        <f>IFERROR(INDEX(Segmen!$A$3:$A$6000,MATCH(C3270,Segmen!$D$3:$D$6000,0)),"")</f>
        <v/>
      </c>
      <c r="C3270">
        <f>IFERROR(LARGE(Segmen!$D$3:$D$6000,A3270),"")</f>
        <v/>
      </c>
    </row>
    <row r="3271">
      <c r="A3271" t="n">
        <v>3270</v>
      </c>
      <c r="B3271">
        <f>IFERROR(INDEX(Segmen!$A$3:$A$6000,MATCH(C3271,Segmen!$D$3:$D$6000,0)),"")</f>
        <v/>
      </c>
      <c r="C3271">
        <f>IFERROR(LARGE(Segmen!$D$3:$D$6000,A3271),"")</f>
        <v/>
      </c>
    </row>
    <row r="3272">
      <c r="A3272" t="n">
        <v>3271</v>
      </c>
      <c r="B3272">
        <f>IFERROR(INDEX(Segmen!$A$3:$A$6000,MATCH(C3272,Segmen!$D$3:$D$6000,0)),"")</f>
        <v/>
      </c>
      <c r="C3272">
        <f>IFERROR(LARGE(Segmen!$D$3:$D$6000,A3272),"")</f>
        <v/>
      </c>
    </row>
    <row r="3273">
      <c r="A3273" t="n">
        <v>3272</v>
      </c>
      <c r="B3273">
        <f>IFERROR(INDEX(Segmen!$A$3:$A$6000,MATCH(C3273,Segmen!$D$3:$D$6000,0)),"")</f>
        <v/>
      </c>
      <c r="C3273">
        <f>IFERROR(LARGE(Segmen!$D$3:$D$6000,A3273),"")</f>
        <v/>
      </c>
    </row>
    <row r="3274">
      <c r="A3274" t="n">
        <v>3273</v>
      </c>
      <c r="B3274">
        <f>IFERROR(INDEX(Segmen!$A$3:$A$6000,MATCH(C3274,Segmen!$D$3:$D$6000,0)),"")</f>
        <v/>
      </c>
      <c r="C3274">
        <f>IFERROR(LARGE(Segmen!$D$3:$D$6000,A3274),"")</f>
        <v/>
      </c>
    </row>
    <row r="3275">
      <c r="A3275" t="n">
        <v>3274</v>
      </c>
      <c r="B3275">
        <f>IFERROR(INDEX(Segmen!$A$3:$A$6000,MATCH(C3275,Segmen!$D$3:$D$6000,0)),"")</f>
        <v/>
      </c>
      <c r="C3275">
        <f>IFERROR(LARGE(Segmen!$D$3:$D$6000,A3275),"")</f>
        <v/>
      </c>
    </row>
    <row r="3276">
      <c r="A3276" t="n">
        <v>3275</v>
      </c>
      <c r="B3276">
        <f>IFERROR(INDEX(Segmen!$A$3:$A$6000,MATCH(C3276,Segmen!$D$3:$D$6000,0)),"")</f>
        <v/>
      </c>
      <c r="C3276">
        <f>IFERROR(LARGE(Segmen!$D$3:$D$6000,A3276),"")</f>
        <v/>
      </c>
    </row>
    <row r="3277">
      <c r="A3277" t="n">
        <v>3276</v>
      </c>
      <c r="B3277">
        <f>IFERROR(INDEX(Segmen!$A$3:$A$6000,MATCH(C3277,Segmen!$D$3:$D$6000,0)),"")</f>
        <v/>
      </c>
      <c r="C3277">
        <f>IFERROR(LARGE(Segmen!$D$3:$D$6000,A3277),"")</f>
        <v/>
      </c>
    </row>
    <row r="3278">
      <c r="A3278" t="n">
        <v>3277</v>
      </c>
      <c r="B3278">
        <f>IFERROR(INDEX(Segmen!$A$3:$A$6000,MATCH(C3278,Segmen!$D$3:$D$6000,0)),"")</f>
        <v/>
      </c>
      <c r="C3278">
        <f>IFERROR(LARGE(Segmen!$D$3:$D$6000,A3278),"")</f>
        <v/>
      </c>
    </row>
    <row r="3279">
      <c r="A3279" t="n">
        <v>3278</v>
      </c>
      <c r="B3279">
        <f>IFERROR(INDEX(Segmen!$A$3:$A$6000,MATCH(C3279,Segmen!$D$3:$D$6000,0)),"")</f>
        <v/>
      </c>
      <c r="C3279">
        <f>IFERROR(LARGE(Segmen!$D$3:$D$6000,A3279),"")</f>
        <v/>
      </c>
    </row>
    <row r="3280">
      <c r="A3280" t="n">
        <v>3279</v>
      </c>
      <c r="B3280">
        <f>IFERROR(INDEX(Segmen!$A$3:$A$6000,MATCH(C3280,Segmen!$D$3:$D$6000,0)),"")</f>
        <v/>
      </c>
      <c r="C3280">
        <f>IFERROR(LARGE(Segmen!$D$3:$D$6000,A3280),"")</f>
        <v/>
      </c>
    </row>
    <row r="3281">
      <c r="A3281" t="n">
        <v>3280</v>
      </c>
      <c r="B3281">
        <f>IFERROR(INDEX(Segmen!$A$3:$A$6000,MATCH(C3281,Segmen!$D$3:$D$6000,0)),"")</f>
        <v/>
      </c>
      <c r="C3281">
        <f>IFERROR(LARGE(Segmen!$D$3:$D$6000,A3281),"")</f>
        <v/>
      </c>
    </row>
    <row r="3282">
      <c r="A3282" t="n">
        <v>3281</v>
      </c>
      <c r="B3282">
        <f>IFERROR(INDEX(Segmen!$A$3:$A$6000,MATCH(C3282,Segmen!$D$3:$D$6000,0)),"")</f>
        <v/>
      </c>
      <c r="C3282">
        <f>IFERROR(LARGE(Segmen!$D$3:$D$6000,A3282),"")</f>
        <v/>
      </c>
    </row>
    <row r="3283">
      <c r="A3283" t="n">
        <v>3282</v>
      </c>
      <c r="B3283">
        <f>IFERROR(INDEX(Segmen!$A$3:$A$6000,MATCH(C3283,Segmen!$D$3:$D$6000,0)),"")</f>
        <v/>
      </c>
      <c r="C3283">
        <f>IFERROR(LARGE(Segmen!$D$3:$D$6000,A3283),"")</f>
        <v/>
      </c>
    </row>
    <row r="3284">
      <c r="A3284" t="n">
        <v>3283</v>
      </c>
      <c r="B3284">
        <f>IFERROR(INDEX(Segmen!$A$3:$A$6000,MATCH(C3284,Segmen!$D$3:$D$6000,0)),"")</f>
        <v/>
      </c>
      <c r="C3284">
        <f>IFERROR(LARGE(Segmen!$D$3:$D$6000,A3284),"")</f>
        <v/>
      </c>
    </row>
    <row r="3285">
      <c r="A3285" t="n">
        <v>3284</v>
      </c>
      <c r="B3285">
        <f>IFERROR(INDEX(Segmen!$A$3:$A$6000,MATCH(C3285,Segmen!$D$3:$D$6000,0)),"")</f>
        <v/>
      </c>
      <c r="C3285">
        <f>IFERROR(LARGE(Segmen!$D$3:$D$6000,A3285),"")</f>
        <v/>
      </c>
    </row>
    <row r="3286">
      <c r="A3286" t="n">
        <v>3285</v>
      </c>
      <c r="B3286">
        <f>IFERROR(INDEX(Segmen!$A$3:$A$6000,MATCH(C3286,Segmen!$D$3:$D$6000,0)),"")</f>
        <v/>
      </c>
      <c r="C3286">
        <f>IFERROR(LARGE(Segmen!$D$3:$D$6000,A3286),"")</f>
        <v/>
      </c>
    </row>
    <row r="3287">
      <c r="A3287" t="n">
        <v>3286</v>
      </c>
      <c r="B3287">
        <f>IFERROR(INDEX(Segmen!$A$3:$A$6000,MATCH(C3287,Segmen!$D$3:$D$6000,0)),"")</f>
        <v/>
      </c>
      <c r="C3287">
        <f>IFERROR(LARGE(Segmen!$D$3:$D$6000,A3287),"")</f>
        <v/>
      </c>
    </row>
    <row r="3288">
      <c r="A3288" t="n">
        <v>3287</v>
      </c>
      <c r="B3288">
        <f>IFERROR(INDEX(Segmen!$A$3:$A$6000,MATCH(C3288,Segmen!$D$3:$D$6000,0)),"")</f>
        <v/>
      </c>
      <c r="C3288">
        <f>IFERROR(LARGE(Segmen!$D$3:$D$6000,A3288),"")</f>
        <v/>
      </c>
    </row>
    <row r="3289">
      <c r="A3289" t="n">
        <v>3288</v>
      </c>
      <c r="B3289">
        <f>IFERROR(INDEX(Segmen!$A$3:$A$6000,MATCH(C3289,Segmen!$D$3:$D$6000,0)),"")</f>
        <v/>
      </c>
      <c r="C3289">
        <f>IFERROR(LARGE(Segmen!$D$3:$D$6000,A3289),"")</f>
        <v/>
      </c>
    </row>
    <row r="3290">
      <c r="A3290" t="n">
        <v>3289</v>
      </c>
      <c r="B3290">
        <f>IFERROR(INDEX(Segmen!$A$3:$A$6000,MATCH(C3290,Segmen!$D$3:$D$6000,0)),"")</f>
        <v/>
      </c>
      <c r="C3290">
        <f>IFERROR(LARGE(Segmen!$D$3:$D$6000,A3290),"")</f>
        <v/>
      </c>
    </row>
    <row r="3291">
      <c r="A3291" t="n">
        <v>3290</v>
      </c>
      <c r="B3291">
        <f>IFERROR(INDEX(Segmen!$A$3:$A$6000,MATCH(C3291,Segmen!$D$3:$D$6000,0)),"")</f>
        <v/>
      </c>
      <c r="C3291">
        <f>IFERROR(LARGE(Segmen!$D$3:$D$6000,A3291),"")</f>
        <v/>
      </c>
    </row>
    <row r="3292">
      <c r="A3292" t="n">
        <v>3291</v>
      </c>
      <c r="B3292">
        <f>IFERROR(INDEX(Segmen!$A$3:$A$6000,MATCH(C3292,Segmen!$D$3:$D$6000,0)),"")</f>
        <v/>
      </c>
      <c r="C3292">
        <f>IFERROR(LARGE(Segmen!$D$3:$D$6000,A3292),"")</f>
        <v/>
      </c>
    </row>
    <row r="3293">
      <c r="A3293" t="n">
        <v>3292</v>
      </c>
      <c r="B3293">
        <f>IFERROR(INDEX(Segmen!$A$3:$A$6000,MATCH(C3293,Segmen!$D$3:$D$6000,0)),"")</f>
        <v/>
      </c>
      <c r="C3293">
        <f>IFERROR(LARGE(Segmen!$D$3:$D$6000,A3293),"")</f>
        <v/>
      </c>
    </row>
    <row r="3294">
      <c r="A3294" t="n">
        <v>3293</v>
      </c>
      <c r="B3294">
        <f>IFERROR(INDEX(Segmen!$A$3:$A$6000,MATCH(C3294,Segmen!$D$3:$D$6000,0)),"")</f>
        <v/>
      </c>
      <c r="C3294">
        <f>IFERROR(LARGE(Segmen!$D$3:$D$6000,A3294),"")</f>
        <v/>
      </c>
    </row>
    <row r="3295">
      <c r="A3295" t="n">
        <v>3294</v>
      </c>
      <c r="B3295">
        <f>IFERROR(INDEX(Segmen!$A$3:$A$6000,MATCH(C3295,Segmen!$D$3:$D$6000,0)),"")</f>
        <v/>
      </c>
      <c r="C3295">
        <f>IFERROR(LARGE(Segmen!$D$3:$D$6000,A3295),"")</f>
        <v/>
      </c>
    </row>
    <row r="3296">
      <c r="A3296" t="n">
        <v>3295</v>
      </c>
      <c r="B3296">
        <f>IFERROR(INDEX(Segmen!$A$3:$A$6000,MATCH(C3296,Segmen!$D$3:$D$6000,0)),"")</f>
        <v/>
      </c>
      <c r="C3296">
        <f>IFERROR(LARGE(Segmen!$D$3:$D$6000,A3296),"")</f>
        <v/>
      </c>
    </row>
    <row r="3297">
      <c r="A3297" t="n">
        <v>3296</v>
      </c>
      <c r="B3297">
        <f>IFERROR(INDEX(Segmen!$A$3:$A$6000,MATCH(C3297,Segmen!$D$3:$D$6000,0)),"")</f>
        <v/>
      </c>
      <c r="C3297">
        <f>IFERROR(LARGE(Segmen!$D$3:$D$6000,A3297),"")</f>
        <v/>
      </c>
    </row>
    <row r="3298">
      <c r="A3298" t="n">
        <v>3297</v>
      </c>
      <c r="B3298">
        <f>IFERROR(INDEX(Segmen!$A$3:$A$6000,MATCH(C3298,Segmen!$D$3:$D$6000,0)),"")</f>
        <v/>
      </c>
      <c r="C3298">
        <f>IFERROR(LARGE(Segmen!$D$3:$D$6000,A3298),"")</f>
        <v/>
      </c>
    </row>
    <row r="3299">
      <c r="A3299" t="n">
        <v>3298</v>
      </c>
      <c r="B3299">
        <f>IFERROR(INDEX(Segmen!$A$3:$A$6000,MATCH(C3299,Segmen!$D$3:$D$6000,0)),"")</f>
        <v/>
      </c>
      <c r="C3299">
        <f>IFERROR(LARGE(Segmen!$D$3:$D$6000,A3299),"")</f>
        <v/>
      </c>
    </row>
    <row r="3300">
      <c r="A3300" t="n">
        <v>3299</v>
      </c>
      <c r="B3300">
        <f>IFERROR(INDEX(Segmen!$A$3:$A$6000,MATCH(C3300,Segmen!$D$3:$D$6000,0)),"")</f>
        <v/>
      </c>
      <c r="C3300">
        <f>IFERROR(LARGE(Segmen!$D$3:$D$6000,A3300),"")</f>
        <v/>
      </c>
    </row>
    <row r="3301">
      <c r="A3301" t="n">
        <v>3300</v>
      </c>
      <c r="B3301">
        <f>IFERROR(INDEX(Segmen!$A$3:$A$6000,MATCH(C3301,Segmen!$D$3:$D$6000,0)),"")</f>
        <v/>
      </c>
      <c r="C3301">
        <f>IFERROR(LARGE(Segmen!$D$3:$D$6000,A3301),"")</f>
        <v/>
      </c>
    </row>
    <row r="3302">
      <c r="A3302" t="n">
        <v>3301</v>
      </c>
      <c r="B3302">
        <f>IFERROR(INDEX(Segmen!$A$3:$A$6000,MATCH(C3302,Segmen!$D$3:$D$6000,0)),"")</f>
        <v/>
      </c>
      <c r="C3302">
        <f>IFERROR(LARGE(Segmen!$D$3:$D$6000,A3302),"")</f>
        <v/>
      </c>
    </row>
    <row r="3303">
      <c r="A3303" t="n">
        <v>3302</v>
      </c>
      <c r="B3303">
        <f>IFERROR(INDEX(Segmen!$A$3:$A$6000,MATCH(C3303,Segmen!$D$3:$D$6000,0)),"")</f>
        <v/>
      </c>
      <c r="C3303">
        <f>IFERROR(LARGE(Segmen!$D$3:$D$6000,A3303),"")</f>
        <v/>
      </c>
    </row>
    <row r="3304">
      <c r="A3304" t="n">
        <v>3303</v>
      </c>
      <c r="B3304">
        <f>IFERROR(INDEX(Segmen!$A$3:$A$6000,MATCH(C3304,Segmen!$D$3:$D$6000,0)),"")</f>
        <v/>
      </c>
      <c r="C3304">
        <f>IFERROR(LARGE(Segmen!$D$3:$D$6000,A3304),"")</f>
        <v/>
      </c>
    </row>
    <row r="3305">
      <c r="A3305" t="n">
        <v>3304</v>
      </c>
      <c r="B3305">
        <f>IFERROR(INDEX(Segmen!$A$3:$A$6000,MATCH(C3305,Segmen!$D$3:$D$6000,0)),"")</f>
        <v/>
      </c>
      <c r="C3305">
        <f>IFERROR(LARGE(Segmen!$D$3:$D$6000,A3305),"")</f>
        <v/>
      </c>
    </row>
    <row r="3306">
      <c r="A3306" t="n">
        <v>3305</v>
      </c>
      <c r="B3306">
        <f>IFERROR(INDEX(Segmen!$A$3:$A$6000,MATCH(C3306,Segmen!$D$3:$D$6000,0)),"")</f>
        <v/>
      </c>
      <c r="C3306">
        <f>IFERROR(LARGE(Segmen!$D$3:$D$6000,A3306),"")</f>
        <v/>
      </c>
    </row>
    <row r="3307">
      <c r="A3307" t="n">
        <v>3306</v>
      </c>
      <c r="B3307">
        <f>IFERROR(INDEX(Segmen!$A$3:$A$6000,MATCH(C3307,Segmen!$D$3:$D$6000,0)),"")</f>
        <v/>
      </c>
      <c r="C3307">
        <f>IFERROR(LARGE(Segmen!$D$3:$D$6000,A3307),"")</f>
        <v/>
      </c>
    </row>
    <row r="3308">
      <c r="A3308" t="n">
        <v>3307</v>
      </c>
      <c r="B3308">
        <f>IFERROR(INDEX(Segmen!$A$3:$A$6000,MATCH(C3308,Segmen!$D$3:$D$6000,0)),"")</f>
        <v/>
      </c>
      <c r="C3308">
        <f>IFERROR(LARGE(Segmen!$D$3:$D$6000,A3308),"")</f>
        <v/>
      </c>
    </row>
    <row r="3309">
      <c r="A3309" t="n">
        <v>3308</v>
      </c>
      <c r="B3309">
        <f>IFERROR(INDEX(Segmen!$A$3:$A$6000,MATCH(C3309,Segmen!$D$3:$D$6000,0)),"")</f>
        <v/>
      </c>
      <c r="C3309">
        <f>IFERROR(LARGE(Segmen!$D$3:$D$6000,A3309),"")</f>
        <v/>
      </c>
    </row>
    <row r="3310">
      <c r="A3310" t="n">
        <v>3309</v>
      </c>
      <c r="B3310">
        <f>IFERROR(INDEX(Segmen!$A$3:$A$6000,MATCH(C3310,Segmen!$D$3:$D$6000,0)),"")</f>
        <v/>
      </c>
      <c r="C3310">
        <f>IFERROR(LARGE(Segmen!$D$3:$D$6000,A3310),"")</f>
        <v/>
      </c>
    </row>
    <row r="3311">
      <c r="A3311" t="n">
        <v>3310</v>
      </c>
      <c r="B3311">
        <f>IFERROR(INDEX(Segmen!$A$3:$A$6000,MATCH(C3311,Segmen!$D$3:$D$6000,0)),"")</f>
        <v/>
      </c>
      <c r="C3311">
        <f>IFERROR(LARGE(Segmen!$D$3:$D$6000,A3311),"")</f>
        <v/>
      </c>
    </row>
    <row r="3312">
      <c r="A3312" t="n">
        <v>3311</v>
      </c>
      <c r="B3312">
        <f>IFERROR(INDEX(Segmen!$A$3:$A$6000,MATCH(C3312,Segmen!$D$3:$D$6000,0)),"")</f>
        <v/>
      </c>
      <c r="C3312">
        <f>IFERROR(LARGE(Segmen!$D$3:$D$6000,A3312),"")</f>
        <v/>
      </c>
    </row>
    <row r="3313">
      <c r="A3313" t="n">
        <v>3312</v>
      </c>
      <c r="B3313">
        <f>IFERROR(INDEX(Segmen!$A$3:$A$6000,MATCH(C3313,Segmen!$D$3:$D$6000,0)),"")</f>
        <v/>
      </c>
      <c r="C3313">
        <f>IFERROR(LARGE(Segmen!$D$3:$D$6000,A3313),"")</f>
        <v/>
      </c>
    </row>
    <row r="3314">
      <c r="A3314" t="n">
        <v>3313</v>
      </c>
      <c r="B3314">
        <f>IFERROR(INDEX(Segmen!$A$3:$A$6000,MATCH(C3314,Segmen!$D$3:$D$6000,0)),"")</f>
        <v/>
      </c>
      <c r="C3314">
        <f>IFERROR(LARGE(Segmen!$D$3:$D$6000,A3314),"")</f>
        <v/>
      </c>
    </row>
    <row r="3315">
      <c r="A3315" t="n">
        <v>3314</v>
      </c>
      <c r="B3315">
        <f>IFERROR(INDEX(Segmen!$A$3:$A$6000,MATCH(C3315,Segmen!$D$3:$D$6000,0)),"")</f>
        <v/>
      </c>
      <c r="C3315">
        <f>IFERROR(LARGE(Segmen!$D$3:$D$6000,A3315),"")</f>
        <v/>
      </c>
    </row>
    <row r="3316">
      <c r="A3316" t="n">
        <v>3315</v>
      </c>
      <c r="B3316">
        <f>IFERROR(INDEX(Segmen!$A$3:$A$6000,MATCH(C3316,Segmen!$D$3:$D$6000,0)),"")</f>
        <v/>
      </c>
      <c r="C3316">
        <f>IFERROR(LARGE(Segmen!$D$3:$D$6000,A3316),"")</f>
        <v/>
      </c>
    </row>
    <row r="3317">
      <c r="A3317" t="n">
        <v>3316</v>
      </c>
      <c r="B3317">
        <f>IFERROR(INDEX(Segmen!$A$3:$A$6000,MATCH(C3317,Segmen!$D$3:$D$6000,0)),"")</f>
        <v/>
      </c>
      <c r="C3317">
        <f>IFERROR(LARGE(Segmen!$D$3:$D$6000,A3317),"")</f>
        <v/>
      </c>
    </row>
    <row r="3318">
      <c r="A3318" t="n">
        <v>3317</v>
      </c>
      <c r="B3318">
        <f>IFERROR(INDEX(Segmen!$A$3:$A$6000,MATCH(C3318,Segmen!$D$3:$D$6000,0)),"")</f>
        <v/>
      </c>
      <c r="C3318">
        <f>IFERROR(LARGE(Segmen!$D$3:$D$6000,A3318),"")</f>
        <v/>
      </c>
    </row>
    <row r="3319">
      <c r="A3319" t="n">
        <v>3318</v>
      </c>
      <c r="B3319">
        <f>IFERROR(INDEX(Segmen!$A$3:$A$6000,MATCH(C3319,Segmen!$D$3:$D$6000,0)),"")</f>
        <v/>
      </c>
      <c r="C3319">
        <f>IFERROR(LARGE(Segmen!$D$3:$D$6000,A3319),"")</f>
        <v/>
      </c>
    </row>
    <row r="3320">
      <c r="A3320" t="n">
        <v>3319</v>
      </c>
      <c r="B3320">
        <f>IFERROR(INDEX(Segmen!$A$3:$A$6000,MATCH(C3320,Segmen!$D$3:$D$6000,0)),"")</f>
        <v/>
      </c>
      <c r="C3320">
        <f>IFERROR(LARGE(Segmen!$D$3:$D$6000,A3320),"")</f>
        <v/>
      </c>
    </row>
    <row r="3321">
      <c r="A3321" t="n">
        <v>3320</v>
      </c>
      <c r="B3321">
        <f>IFERROR(INDEX(Segmen!$A$3:$A$6000,MATCH(C3321,Segmen!$D$3:$D$6000,0)),"")</f>
        <v/>
      </c>
      <c r="C3321">
        <f>IFERROR(LARGE(Segmen!$D$3:$D$6000,A3321),"")</f>
        <v/>
      </c>
    </row>
    <row r="3322">
      <c r="A3322" t="n">
        <v>3321</v>
      </c>
      <c r="B3322">
        <f>IFERROR(INDEX(Segmen!$A$3:$A$6000,MATCH(C3322,Segmen!$D$3:$D$6000,0)),"")</f>
        <v/>
      </c>
      <c r="C3322">
        <f>IFERROR(LARGE(Segmen!$D$3:$D$6000,A3322),"")</f>
        <v/>
      </c>
    </row>
    <row r="3323">
      <c r="A3323" t="n">
        <v>3322</v>
      </c>
      <c r="B3323">
        <f>IFERROR(INDEX(Segmen!$A$3:$A$6000,MATCH(C3323,Segmen!$D$3:$D$6000,0)),"")</f>
        <v/>
      </c>
      <c r="C3323">
        <f>IFERROR(LARGE(Segmen!$D$3:$D$6000,A3323),"")</f>
        <v/>
      </c>
    </row>
    <row r="3324">
      <c r="A3324" t="n">
        <v>3323</v>
      </c>
      <c r="B3324">
        <f>IFERROR(INDEX(Segmen!$A$3:$A$6000,MATCH(C3324,Segmen!$D$3:$D$6000,0)),"")</f>
        <v/>
      </c>
      <c r="C3324">
        <f>IFERROR(LARGE(Segmen!$D$3:$D$6000,A3324),"")</f>
        <v/>
      </c>
    </row>
    <row r="3325">
      <c r="A3325" t="n">
        <v>3324</v>
      </c>
      <c r="B3325">
        <f>IFERROR(INDEX(Segmen!$A$3:$A$6000,MATCH(C3325,Segmen!$D$3:$D$6000,0)),"")</f>
        <v/>
      </c>
      <c r="C3325">
        <f>IFERROR(LARGE(Segmen!$D$3:$D$6000,A3325),"")</f>
        <v/>
      </c>
    </row>
    <row r="3326">
      <c r="A3326" t="n">
        <v>3325</v>
      </c>
      <c r="B3326">
        <f>IFERROR(INDEX(Segmen!$A$3:$A$6000,MATCH(C3326,Segmen!$D$3:$D$6000,0)),"")</f>
        <v/>
      </c>
      <c r="C3326">
        <f>IFERROR(LARGE(Segmen!$D$3:$D$6000,A3326),"")</f>
        <v/>
      </c>
    </row>
    <row r="3327">
      <c r="A3327" t="n">
        <v>3326</v>
      </c>
      <c r="B3327">
        <f>IFERROR(INDEX(Segmen!$A$3:$A$6000,MATCH(C3327,Segmen!$D$3:$D$6000,0)),"")</f>
        <v/>
      </c>
      <c r="C3327">
        <f>IFERROR(LARGE(Segmen!$D$3:$D$6000,A3327),"")</f>
        <v/>
      </c>
    </row>
    <row r="3328">
      <c r="A3328" t="n">
        <v>3327</v>
      </c>
      <c r="B3328">
        <f>IFERROR(INDEX(Segmen!$A$3:$A$6000,MATCH(C3328,Segmen!$D$3:$D$6000,0)),"")</f>
        <v/>
      </c>
      <c r="C3328">
        <f>IFERROR(LARGE(Segmen!$D$3:$D$6000,A3328),"")</f>
        <v/>
      </c>
    </row>
    <row r="3329">
      <c r="A3329" t="n">
        <v>3328</v>
      </c>
      <c r="B3329">
        <f>IFERROR(INDEX(Segmen!$A$3:$A$6000,MATCH(C3329,Segmen!$D$3:$D$6000,0)),"")</f>
        <v/>
      </c>
      <c r="C3329">
        <f>IFERROR(LARGE(Segmen!$D$3:$D$6000,A3329),"")</f>
        <v/>
      </c>
    </row>
    <row r="3330">
      <c r="A3330" t="n">
        <v>3329</v>
      </c>
      <c r="B3330">
        <f>IFERROR(INDEX(Segmen!$A$3:$A$6000,MATCH(C3330,Segmen!$D$3:$D$6000,0)),"")</f>
        <v/>
      </c>
      <c r="C3330">
        <f>IFERROR(LARGE(Segmen!$D$3:$D$6000,A3330),"")</f>
        <v/>
      </c>
    </row>
    <row r="3331">
      <c r="A3331" t="n">
        <v>3330</v>
      </c>
      <c r="B3331">
        <f>IFERROR(INDEX(Segmen!$A$3:$A$6000,MATCH(C3331,Segmen!$D$3:$D$6000,0)),"")</f>
        <v/>
      </c>
      <c r="C3331">
        <f>IFERROR(LARGE(Segmen!$D$3:$D$6000,A3331),"")</f>
        <v/>
      </c>
    </row>
    <row r="3332">
      <c r="A3332" t="n">
        <v>3331</v>
      </c>
      <c r="B3332">
        <f>IFERROR(INDEX(Segmen!$A$3:$A$6000,MATCH(C3332,Segmen!$D$3:$D$6000,0)),"")</f>
        <v/>
      </c>
      <c r="C3332">
        <f>IFERROR(LARGE(Segmen!$D$3:$D$6000,A3332),"")</f>
        <v/>
      </c>
    </row>
    <row r="3333">
      <c r="A3333" t="n">
        <v>3332</v>
      </c>
      <c r="B3333">
        <f>IFERROR(INDEX(Segmen!$A$3:$A$6000,MATCH(C3333,Segmen!$D$3:$D$6000,0)),"")</f>
        <v/>
      </c>
      <c r="C3333">
        <f>IFERROR(LARGE(Segmen!$D$3:$D$6000,A3333),"")</f>
        <v/>
      </c>
    </row>
    <row r="3334">
      <c r="A3334" t="n">
        <v>3333</v>
      </c>
      <c r="B3334">
        <f>IFERROR(INDEX(Segmen!$A$3:$A$6000,MATCH(C3334,Segmen!$D$3:$D$6000,0)),"")</f>
        <v/>
      </c>
      <c r="C3334">
        <f>IFERROR(LARGE(Segmen!$D$3:$D$6000,A3334),"")</f>
        <v/>
      </c>
    </row>
    <row r="3335">
      <c r="A3335" t="n">
        <v>3334</v>
      </c>
      <c r="B3335">
        <f>IFERROR(INDEX(Segmen!$A$3:$A$6000,MATCH(C3335,Segmen!$D$3:$D$6000,0)),"")</f>
        <v/>
      </c>
      <c r="C3335">
        <f>IFERROR(LARGE(Segmen!$D$3:$D$6000,A3335),"")</f>
        <v/>
      </c>
    </row>
    <row r="3336">
      <c r="A3336" t="n">
        <v>3335</v>
      </c>
      <c r="B3336">
        <f>IFERROR(INDEX(Segmen!$A$3:$A$6000,MATCH(C3336,Segmen!$D$3:$D$6000,0)),"")</f>
        <v/>
      </c>
      <c r="C3336">
        <f>IFERROR(LARGE(Segmen!$D$3:$D$6000,A3336),"")</f>
        <v/>
      </c>
    </row>
    <row r="3337">
      <c r="A3337" t="n">
        <v>3336</v>
      </c>
      <c r="B3337">
        <f>IFERROR(INDEX(Segmen!$A$3:$A$6000,MATCH(C3337,Segmen!$D$3:$D$6000,0)),"")</f>
        <v/>
      </c>
      <c r="C3337">
        <f>IFERROR(LARGE(Segmen!$D$3:$D$6000,A3337),"")</f>
        <v/>
      </c>
    </row>
    <row r="3338">
      <c r="A3338" t="n">
        <v>3337</v>
      </c>
      <c r="B3338">
        <f>IFERROR(INDEX(Segmen!$A$3:$A$6000,MATCH(C3338,Segmen!$D$3:$D$6000,0)),"")</f>
        <v/>
      </c>
      <c r="C3338">
        <f>IFERROR(LARGE(Segmen!$D$3:$D$6000,A3338),"")</f>
        <v/>
      </c>
    </row>
    <row r="3339">
      <c r="A3339" t="n">
        <v>3338</v>
      </c>
      <c r="B3339">
        <f>IFERROR(INDEX(Segmen!$A$3:$A$6000,MATCH(C3339,Segmen!$D$3:$D$6000,0)),"")</f>
        <v/>
      </c>
      <c r="C3339">
        <f>IFERROR(LARGE(Segmen!$D$3:$D$6000,A3339),"")</f>
        <v/>
      </c>
    </row>
    <row r="3340">
      <c r="A3340" t="n">
        <v>3339</v>
      </c>
      <c r="B3340">
        <f>IFERROR(INDEX(Segmen!$A$3:$A$6000,MATCH(C3340,Segmen!$D$3:$D$6000,0)),"")</f>
        <v/>
      </c>
      <c r="C3340">
        <f>IFERROR(LARGE(Segmen!$D$3:$D$6000,A3340),"")</f>
        <v/>
      </c>
    </row>
    <row r="3341">
      <c r="A3341" t="n">
        <v>3340</v>
      </c>
      <c r="B3341">
        <f>IFERROR(INDEX(Segmen!$A$3:$A$6000,MATCH(C3341,Segmen!$D$3:$D$6000,0)),"")</f>
        <v/>
      </c>
      <c r="C3341">
        <f>IFERROR(LARGE(Segmen!$D$3:$D$6000,A3341),"")</f>
        <v/>
      </c>
    </row>
    <row r="3342">
      <c r="A3342" t="n">
        <v>3341</v>
      </c>
      <c r="B3342">
        <f>IFERROR(INDEX(Segmen!$A$3:$A$6000,MATCH(C3342,Segmen!$D$3:$D$6000,0)),"")</f>
        <v/>
      </c>
      <c r="C3342">
        <f>IFERROR(LARGE(Segmen!$D$3:$D$6000,A3342),"")</f>
        <v/>
      </c>
    </row>
    <row r="3343">
      <c r="A3343" t="n">
        <v>3342</v>
      </c>
      <c r="B3343">
        <f>IFERROR(INDEX(Segmen!$A$3:$A$6000,MATCH(C3343,Segmen!$D$3:$D$6000,0)),"")</f>
        <v/>
      </c>
      <c r="C3343">
        <f>IFERROR(LARGE(Segmen!$D$3:$D$6000,A3343),"")</f>
        <v/>
      </c>
    </row>
    <row r="3344">
      <c r="A3344" t="n">
        <v>3343</v>
      </c>
      <c r="B3344">
        <f>IFERROR(INDEX(Segmen!$A$3:$A$6000,MATCH(C3344,Segmen!$D$3:$D$6000,0)),"")</f>
        <v/>
      </c>
      <c r="C3344">
        <f>IFERROR(LARGE(Segmen!$D$3:$D$6000,A3344),"")</f>
        <v/>
      </c>
    </row>
    <row r="3345">
      <c r="A3345" t="n">
        <v>3344</v>
      </c>
      <c r="B3345">
        <f>IFERROR(INDEX(Segmen!$A$3:$A$6000,MATCH(C3345,Segmen!$D$3:$D$6000,0)),"")</f>
        <v/>
      </c>
      <c r="C3345">
        <f>IFERROR(LARGE(Segmen!$D$3:$D$6000,A3345),"")</f>
        <v/>
      </c>
    </row>
    <row r="3346">
      <c r="A3346" t="n">
        <v>3345</v>
      </c>
      <c r="B3346">
        <f>IFERROR(INDEX(Segmen!$A$3:$A$6000,MATCH(C3346,Segmen!$D$3:$D$6000,0)),"")</f>
        <v/>
      </c>
      <c r="C3346">
        <f>IFERROR(LARGE(Segmen!$D$3:$D$6000,A3346),"")</f>
        <v/>
      </c>
    </row>
    <row r="3347">
      <c r="A3347" t="n">
        <v>3346</v>
      </c>
      <c r="B3347">
        <f>IFERROR(INDEX(Segmen!$A$3:$A$6000,MATCH(C3347,Segmen!$D$3:$D$6000,0)),"")</f>
        <v/>
      </c>
      <c r="C3347">
        <f>IFERROR(LARGE(Segmen!$D$3:$D$6000,A3347),"")</f>
        <v/>
      </c>
    </row>
    <row r="3348">
      <c r="A3348" t="n">
        <v>3347</v>
      </c>
      <c r="B3348">
        <f>IFERROR(INDEX(Segmen!$A$3:$A$6000,MATCH(C3348,Segmen!$D$3:$D$6000,0)),"")</f>
        <v/>
      </c>
      <c r="C3348">
        <f>IFERROR(LARGE(Segmen!$D$3:$D$6000,A3348),"")</f>
        <v/>
      </c>
    </row>
    <row r="3349">
      <c r="A3349" t="n">
        <v>3348</v>
      </c>
      <c r="B3349">
        <f>IFERROR(INDEX(Segmen!$A$3:$A$6000,MATCH(C3349,Segmen!$D$3:$D$6000,0)),"")</f>
        <v/>
      </c>
      <c r="C3349">
        <f>IFERROR(LARGE(Segmen!$D$3:$D$6000,A3349),"")</f>
        <v/>
      </c>
    </row>
    <row r="3350">
      <c r="A3350" t="n">
        <v>3349</v>
      </c>
      <c r="B3350">
        <f>IFERROR(INDEX(Segmen!$A$3:$A$6000,MATCH(C3350,Segmen!$D$3:$D$6000,0)),"")</f>
        <v/>
      </c>
      <c r="C3350">
        <f>IFERROR(LARGE(Segmen!$D$3:$D$6000,A3350),"")</f>
        <v/>
      </c>
    </row>
    <row r="3351">
      <c r="A3351" t="n">
        <v>3350</v>
      </c>
      <c r="B3351">
        <f>IFERROR(INDEX(Segmen!$A$3:$A$6000,MATCH(C3351,Segmen!$D$3:$D$6000,0)),"")</f>
        <v/>
      </c>
      <c r="C3351">
        <f>IFERROR(LARGE(Segmen!$D$3:$D$6000,A3351),"")</f>
        <v/>
      </c>
    </row>
    <row r="3352">
      <c r="A3352" t="n">
        <v>3351</v>
      </c>
      <c r="B3352">
        <f>IFERROR(INDEX(Segmen!$A$3:$A$6000,MATCH(C3352,Segmen!$D$3:$D$6000,0)),"")</f>
        <v/>
      </c>
      <c r="C3352">
        <f>IFERROR(LARGE(Segmen!$D$3:$D$6000,A3352),"")</f>
        <v/>
      </c>
    </row>
    <row r="3353">
      <c r="A3353" t="n">
        <v>3352</v>
      </c>
      <c r="B3353">
        <f>IFERROR(INDEX(Segmen!$A$3:$A$6000,MATCH(C3353,Segmen!$D$3:$D$6000,0)),"")</f>
        <v/>
      </c>
      <c r="C3353">
        <f>IFERROR(LARGE(Segmen!$D$3:$D$6000,A3353),"")</f>
        <v/>
      </c>
    </row>
    <row r="3354">
      <c r="A3354" t="n">
        <v>3353</v>
      </c>
      <c r="B3354">
        <f>IFERROR(INDEX(Segmen!$A$3:$A$6000,MATCH(C3354,Segmen!$D$3:$D$6000,0)),"")</f>
        <v/>
      </c>
      <c r="C3354">
        <f>IFERROR(LARGE(Segmen!$D$3:$D$6000,A3354),"")</f>
        <v/>
      </c>
    </row>
    <row r="3355">
      <c r="A3355" t="n">
        <v>3354</v>
      </c>
      <c r="B3355">
        <f>IFERROR(INDEX(Segmen!$A$3:$A$6000,MATCH(C3355,Segmen!$D$3:$D$6000,0)),"")</f>
        <v/>
      </c>
      <c r="C3355">
        <f>IFERROR(LARGE(Segmen!$D$3:$D$6000,A3355),"")</f>
        <v/>
      </c>
    </row>
    <row r="3356">
      <c r="A3356" t="n">
        <v>3355</v>
      </c>
      <c r="B3356">
        <f>IFERROR(INDEX(Segmen!$A$3:$A$6000,MATCH(C3356,Segmen!$D$3:$D$6000,0)),"")</f>
        <v/>
      </c>
      <c r="C3356">
        <f>IFERROR(LARGE(Segmen!$D$3:$D$6000,A3356),"")</f>
        <v/>
      </c>
    </row>
    <row r="3357">
      <c r="A3357" t="n">
        <v>3356</v>
      </c>
      <c r="B3357">
        <f>IFERROR(INDEX(Segmen!$A$3:$A$6000,MATCH(C3357,Segmen!$D$3:$D$6000,0)),"")</f>
        <v/>
      </c>
      <c r="C3357">
        <f>IFERROR(LARGE(Segmen!$D$3:$D$6000,A3357),"")</f>
        <v/>
      </c>
    </row>
    <row r="3358">
      <c r="A3358" t="n">
        <v>3357</v>
      </c>
      <c r="B3358">
        <f>IFERROR(INDEX(Segmen!$A$3:$A$6000,MATCH(C3358,Segmen!$D$3:$D$6000,0)),"")</f>
        <v/>
      </c>
      <c r="C3358">
        <f>IFERROR(LARGE(Segmen!$D$3:$D$6000,A3358),"")</f>
        <v/>
      </c>
    </row>
    <row r="3359">
      <c r="A3359" t="n">
        <v>3358</v>
      </c>
      <c r="B3359">
        <f>IFERROR(INDEX(Segmen!$A$3:$A$6000,MATCH(C3359,Segmen!$D$3:$D$6000,0)),"")</f>
        <v/>
      </c>
      <c r="C3359">
        <f>IFERROR(LARGE(Segmen!$D$3:$D$6000,A3359),"")</f>
        <v/>
      </c>
    </row>
    <row r="3360">
      <c r="A3360" t="n">
        <v>3359</v>
      </c>
      <c r="B3360">
        <f>IFERROR(INDEX(Segmen!$A$3:$A$6000,MATCH(C3360,Segmen!$D$3:$D$6000,0)),"")</f>
        <v/>
      </c>
      <c r="C3360">
        <f>IFERROR(LARGE(Segmen!$D$3:$D$6000,A3360),"")</f>
        <v/>
      </c>
    </row>
    <row r="3361">
      <c r="A3361" t="n">
        <v>3360</v>
      </c>
      <c r="B3361">
        <f>IFERROR(INDEX(Segmen!$A$3:$A$6000,MATCH(C3361,Segmen!$D$3:$D$6000,0)),"")</f>
        <v/>
      </c>
      <c r="C3361">
        <f>IFERROR(LARGE(Segmen!$D$3:$D$6000,A3361),"")</f>
        <v/>
      </c>
    </row>
    <row r="3362">
      <c r="A3362" t="n">
        <v>3361</v>
      </c>
      <c r="B3362">
        <f>IFERROR(INDEX(Segmen!$A$3:$A$6000,MATCH(C3362,Segmen!$D$3:$D$6000,0)),"")</f>
        <v/>
      </c>
      <c r="C3362">
        <f>IFERROR(LARGE(Segmen!$D$3:$D$6000,A3362),"")</f>
        <v/>
      </c>
    </row>
    <row r="3363">
      <c r="A3363" t="n">
        <v>3362</v>
      </c>
      <c r="B3363">
        <f>IFERROR(INDEX(Segmen!$A$3:$A$6000,MATCH(C3363,Segmen!$D$3:$D$6000,0)),"")</f>
        <v/>
      </c>
      <c r="C3363">
        <f>IFERROR(LARGE(Segmen!$D$3:$D$6000,A3363),"")</f>
        <v/>
      </c>
    </row>
    <row r="3364">
      <c r="A3364" t="n">
        <v>3363</v>
      </c>
      <c r="B3364">
        <f>IFERROR(INDEX(Segmen!$A$3:$A$6000,MATCH(C3364,Segmen!$D$3:$D$6000,0)),"")</f>
        <v/>
      </c>
      <c r="C3364">
        <f>IFERROR(LARGE(Segmen!$D$3:$D$6000,A3364),"")</f>
        <v/>
      </c>
    </row>
    <row r="3365">
      <c r="A3365" t="n">
        <v>3364</v>
      </c>
      <c r="B3365">
        <f>IFERROR(INDEX(Segmen!$A$3:$A$6000,MATCH(C3365,Segmen!$D$3:$D$6000,0)),"")</f>
        <v/>
      </c>
      <c r="C3365">
        <f>IFERROR(LARGE(Segmen!$D$3:$D$6000,A3365),"")</f>
        <v/>
      </c>
    </row>
    <row r="3366">
      <c r="A3366" t="n">
        <v>3365</v>
      </c>
      <c r="B3366">
        <f>IFERROR(INDEX(Segmen!$A$3:$A$6000,MATCH(C3366,Segmen!$D$3:$D$6000,0)),"")</f>
        <v/>
      </c>
      <c r="C3366">
        <f>IFERROR(LARGE(Segmen!$D$3:$D$6000,A3366),"")</f>
        <v/>
      </c>
    </row>
    <row r="3367">
      <c r="A3367" t="n">
        <v>3366</v>
      </c>
      <c r="B3367">
        <f>IFERROR(INDEX(Segmen!$A$3:$A$6000,MATCH(C3367,Segmen!$D$3:$D$6000,0)),"")</f>
        <v/>
      </c>
      <c r="C3367">
        <f>IFERROR(LARGE(Segmen!$D$3:$D$6000,A3367),"")</f>
        <v/>
      </c>
    </row>
    <row r="3368">
      <c r="A3368" t="n">
        <v>3367</v>
      </c>
      <c r="B3368">
        <f>IFERROR(INDEX(Segmen!$A$3:$A$6000,MATCH(C3368,Segmen!$D$3:$D$6000,0)),"")</f>
        <v/>
      </c>
      <c r="C3368">
        <f>IFERROR(LARGE(Segmen!$D$3:$D$6000,A3368),"")</f>
        <v/>
      </c>
    </row>
    <row r="3369">
      <c r="A3369" t="n">
        <v>3368</v>
      </c>
      <c r="B3369">
        <f>IFERROR(INDEX(Segmen!$A$3:$A$6000,MATCH(C3369,Segmen!$D$3:$D$6000,0)),"")</f>
        <v/>
      </c>
      <c r="C3369">
        <f>IFERROR(LARGE(Segmen!$D$3:$D$6000,A3369),"")</f>
        <v/>
      </c>
    </row>
    <row r="3370">
      <c r="A3370" t="n">
        <v>3369</v>
      </c>
      <c r="B3370">
        <f>IFERROR(INDEX(Segmen!$A$3:$A$6000,MATCH(C3370,Segmen!$D$3:$D$6000,0)),"")</f>
        <v/>
      </c>
      <c r="C3370">
        <f>IFERROR(LARGE(Segmen!$D$3:$D$6000,A3370),"")</f>
        <v/>
      </c>
    </row>
    <row r="3371">
      <c r="A3371" t="n">
        <v>3370</v>
      </c>
      <c r="B3371">
        <f>IFERROR(INDEX(Segmen!$A$3:$A$6000,MATCH(C3371,Segmen!$D$3:$D$6000,0)),"")</f>
        <v/>
      </c>
      <c r="C3371">
        <f>IFERROR(LARGE(Segmen!$D$3:$D$6000,A3371),"")</f>
        <v/>
      </c>
    </row>
    <row r="3372">
      <c r="A3372" t="n">
        <v>3371</v>
      </c>
      <c r="B3372">
        <f>IFERROR(INDEX(Segmen!$A$3:$A$6000,MATCH(C3372,Segmen!$D$3:$D$6000,0)),"")</f>
        <v/>
      </c>
      <c r="C3372">
        <f>IFERROR(LARGE(Segmen!$D$3:$D$6000,A3372),"")</f>
        <v/>
      </c>
    </row>
    <row r="3373">
      <c r="A3373" t="n">
        <v>3372</v>
      </c>
      <c r="B3373">
        <f>IFERROR(INDEX(Segmen!$A$3:$A$6000,MATCH(C3373,Segmen!$D$3:$D$6000,0)),"")</f>
        <v/>
      </c>
      <c r="C3373">
        <f>IFERROR(LARGE(Segmen!$D$3:$D$6000,A3373),"")</f>
        <v/>
      </c>
    </row>
    <row r="3374">
      <c r="A3374" t="n">
        <v>3373</v>
      </c>
      <c r="B3374">
        <f>IFERROR(INDEX(Segmen!$A$3:$A$6000,MATCH(C3374,Segmen!$D$3:$D$6000,0)),"")</f>
        <v/>
      </c>
      <c r="C3374">
        <f>IFERROR(LARGE(Segmen!$D$3:$D$6000,A3374),"")</f>
        <v/>
      </c>
    </row>
    <row r="3375">
      <c r="A3375" t="n">
        <v>3374</v>
      </c>
      <c r="B3375">
        <f>IFERROR(INDEX(Segmen!$A$3:$A$6000,MATCH(C3375,Segmen!$D$3:$D$6000,0)),"")</f>
        <v/>
      </c>
      <c r="C3375">
        <f>IFERROR(LARGE(Segmen!$D$3:$D$6000,A3375),"")</f>
        <v/>
      </c>
    </row>
    <row r="3376">
      <c r="A3376" t="n">
        <v>3375</v>
      </c>
      <c r="B3376">
        <f>IFERROR(INDEX(Segmen!$A$3:$A$6000,MATCH(C3376,Segmen!$D$3:$D$6000,0)),"")</f>
        <v/>
      </c>
      <c r="C3376">
        <f>IFERROR(LARGE(Segmen!$D$3:$D$6000,A3376),"")</f>
        <v/>
      </c>
    </row>
    <row r="3377">
      <c r="A3377" t="n">
        <v>3376</v>
      </c>
      <c r="B3377">
        <f>IFERROR(INDEX(Segmen!$A$3:$A$6000,MATCH(C3377,Segmen!$D$3:$D$6000,0)),"")</f>
        <v/>
      </c>
      <c r="C3377">
        <f>IFERROR(LARGE(Segmen!$D$3:$D$6000,A3377),"")</f>
        <v/>
      </c>
    </row>
    <row r="3378">
      <c r="A3378" t="n">
        <v>3377</v>
      </c>
      <c r="B3378">
        <f>IFERROR(INDEX(Segmen!$A$3:$A$6000,MATCH(C3378,Segmen!$D$3:$D$6000,0)),"")</f>
        <v/>
      </c>
      <c r="C3378">
        <f>IFERROR(LARGE(Segmen!$D$3:$D$6000,A3378),"")</f>
        <v/>
      </c>
    </row>
    <row r="3379">
      <c r="A3379" t="n">
        <v>3378</v>
      </c>
      <c r="B3379">
        <f>IFERROR(INDEX(Segmen!$A$3:$A$6000,MATCH(C3379,Segmen!$D$3:$D$6000,0)),"")</f>
        <v/>
      </c>
      <c r="C3379">
        <f>IFERROR(LARGE(Segmen!$D$3:$D$6000,A3379),"")</f>
        <v/>
      </c>
    </row>
    <row r="3380">
      <c r="A3380" t="n">
        <v>3379</v>
      </c>
      <c r="B3380">
        <f>IFERROR(INDEX(Segmen!$A$3:$A$6000,MATCH(C3380,Segmen!$D$3:$D$6000,0)),"")</f>
        <v/>
      </c>
      <c r="C3380">
        <f>IFERROR(LARGE(Segmen!$D$3:$D$6000,A3380),"")</f>
        <v/>
      </c>
    </row>
    <row r="3381">
      <c r="A3381" t="n">
        <v>3380</v>
      </c>
      <c r="B3381">
        <f>IFERROR(INDEX(Segmen!$A$3:$A$6000,MATCH(C3381,Segmen!$D$3:$D$6000,0)),"")</f>
        <v/>
      </c>
      <c r="C3381">
        <f>IFERROR(LARGE(Segmen!$D$3:$D$6000,A3381),"")</f>
        <v/>
      </c>
    </row>
    <row r="3382">
      <c r="A3382" t="n">
        <v>3381</v>
      </c>
      <c r="B3382">
        <f>IFERROR(INDEX(Segmen!$A$3:$A$6000,MATCH(C3382,Segmen!$D$3:$D$6000,0)),"")</f>
        <v/>
      </c>
      <c r="C3382">
        <f>IFERROR(LARGE(Segmen!$D$3:$D$6000,A3382),"")</f>
        <v/>
      </c>
    </row>
    <row r="3383">
      <c r="A3383" t="n">
        <v>3382</v>
      </c>
      <c r="B3383">
        <f>IFERROR(INDEX(Segmen!$A$3:$A$6000,MATCH(C3383,Segmen!$D$3:$D$6000,0)),"")</f>
        <v/>
      </c>
      <c r="C3383">
        <f>IFERROR(LARGE(Segmen!$D$3:$D$6000,A3383),"")</f>
        <v/>
      </c>
    </row>
    <row r="3384">
      <c r="A3384" t="n">
        <v>3383</v>
      </c>
      <c r="B3384">
        <f>IFERROR(INDEX(Segmen!$A$3:$A$6000,MATCH(C3384,Segmen!$D$3:$D$6000,0)),"")</f>
        <v/>
      </c>
      <c r="C3384">
        <f>IFERROR(LARGE(Segmen!$D$3:$D$6000,A3384),"")</f>
        <v/>
      </c>
    </row>
    <row r="3385">
      <c r="A3385" t="n">
        <v>3384</v>
      </c>
      <c r="B3385">
        <f>IFERROR(INDEX(Segmen!$A$3:$A$6000,MATCH(C3385,Segmen!$D$3:$D$6000,0)),"")</f>
        <v/>
      </c>
      <c r="C3385">
        <f>IFERROR(LARGE(Segmen!$D$3:$D$6000,A3385),"")</f>
        <v/>
      </c>
    </row>
    <row r="3386">
      <c r="A3386" t="n">
        <v>3385</v>
      </c>
      <c r="B3386">
        <f>IFERROR(INDEX(Segmen!$A$3:$A$6000,MATCH(C3386,Segmen!$D$3:$D$6000,0)),"")</f>
        <v/>
      </c>
      <c r="C3386">
        <f>IFERROR(LARGE(Segmen!$D$3:$D$6000,A3386),"")</f>
        <v/>
      </c>
    </row>
    <row r="3387">
      <c r="A3387" t="n">
        <v>3386</v>
      </c>
      <c r="B3387">
        <f>IFERROR(INDEX(Segmen!$A$3:$A$6000,MATCH(C3387,Segmen!$D$3:$D$6000,0)),"")</f>
        <v/>
      </c>
      <c r="C3387">
        <f>IFERROR(LARGE(Segmen!$D$3:$D$6000,A3387),"")</f>
        <v/>
      </c>
    </row>
    <row r="3388">
      <c r="A3388" t="n">
        <v>3387</v>
      </c>
      <c r="B3388">
        <f>IFERROR(INDEX(Segmen!$A$3:$A$6000,MATCH(C3388,Segmen!$D$3:$D$6000,0)),"")</f>
        <v/>
      </c>
      <c r="C3388">
        <f>IFERROR(LARGE(Segmen!$D$3:$D$6000,A3388),"")</f>
        <v/>
      </c>
    </row>
    <row r="3389">
      <c r="A3389" t="n">
        <v>3388</v>
      </c>
      <c r="B3389">
        <f>IFERROR(INDEX(Segmen!$A$3:$A$6000,MATCH(C3389,Segmen!$D$3:$D$6000,0)),"")</f>
        <v/>
      </c>
      <c r="C3389">
        <f>IFERROR(LARGE(Segmen!$D$3:$D$6000,A3389),"")</f>
        <v/>
      </c>
    </row>
    <row r="3390">
      <c r="A3390" t="n">
        <v>3389</v>
      </c>
      <c r="B3390">
        <f>IFERROR(INDEX(Segmen!$A$3:$A$6000,MATCH(C3390,Segmen!$D$3:$D$6000,0)),"")</f>
        <v/>
      </c>
      <c r="C3390">
        <f>IFERROR(LARGE(Segmen!$D$3:$D$6000,A3390),"")</f>
        <v/>
      </c>
    </row>
    <row r="3391">
      <c r="A3391" t="n">
        <v>3390</v>
      </c>
      <c r="B3391">
        <f>IFERROR(INDEX(Segmen!$A$3:$A$6000,MATCH(C3391,Segmen!$D$3:$D$6000,0)),"")</f>
        <v/>
      </c>
      <c r="C3391">
        <f>IFERROR(LARGE(Segmen!$D$3:$D$6000,A3391),"")</f>
        <v/>
      </c>
    </row>
    <row r="3392">
      <c r="A3392" t="n">
        <v>3391</v>
      </c>
      <c r="B3392">
        <f>IFERROR(INDEX(Segmen!$A$3:$A$6000,MATCH(C3392,Segmen!$D$3:$D$6000,0)),"")</f>
        <v/>
      </c>
      <c r="C3392">
        <f>IFERROR(LARGE(Segmen!$D$3:$D$6000,A3392),"")</f>
        <v/>
      </c>
    </row>
    <row r="3393">
      <c r="A3393" t="n">
        <v>3392</v>
      </c>
      <c r="B3393">
        <f>IFERROR(INDEX(Segmen!$A$3:$A$6000,MATCH(C3393,Segmen!$D$3:$D$6000,0)),"")</f>
        <v/>
      </c>
      <c r="C3393">
        <f>IFERROR(LARGE(Segmen!$D$3:$D$6000,A3393),"")</f>
        <v/>
      </c>
    </row>
    <row r="3394">
      <c r="A3394" t="n">
        <v>3393</v>
      </c>
      <c r="B3394">
        <f>IFERROR(INDEX(Segmen!$A$3:$A$6000,MATCH(C3394,Segmen!$D$3:$D$6000,0)),"")</f>
        <v/>
      </c>
      <c r="C3394">
        <f>IFERROR(LARGE(Segmen!$D$3:$D$6000,A3394),"")</f>
        <v/>
      </c>
    </row>
    <row r="3395">
      <c r="A3395" t="n">
        <v>3394</v>
      </c>
      <c r="B3395">
        <f>IFERROR(INDEX(Segmen!$A$3:$A$6000,MATCH(C3395,Segmen!$D$3:$D$6000,0)),"")</f>
        <v/>
      </c>
      <c r="C3395">
        <f>IFERROR(LARGE(Segmen!$D$3:$D$6000,A3395),"")</f>
        <v/>
      </c>
    </row>
    <row r="3396">
      <c r="A3396" t="n">
        <v>3395</v>
      </c>
      <c r="B3396">
        <f>IFERROR(INDEX(Segmen!$A$3:$A$6000,MATCH(C3396,Segmen!$D$3:$D$6000,0)),"")</f>
        <v/>
      </c>
      <c r="C3396">
        <f>IFERROR(LARGE(Segmen!$D$3:$D$6000,A3396),"")</f>
        <v/>
      </c>
    </row>
    <row r="3397">
      <c r="A3397" t="n">
        <v>3396</v>
      </c>
      <c r="B3397">
        <f>IFERROR(INDEX(Segmen!$A$3:$A$6000,MATCH(C3397,Segmen!$D$3:$D$6000,0)),"")</f>
        <v/>
      </c>
      <c r="C3397">
        <f>IFERROR(LARGE(Segmen!$D$3:$D$6000,A3397),"")</f>
        <v/>
      </c>
    </row>
    <row r="3398">
      <c r="A3398" t="n">
        <v>3397</v>
      </c>
      <c r="B3398">
        <f>IFERROR(INDEX(Segmen!$A$3:$A$6000,MATCH(C3398,Segmen!$D$3:$D$6000,0)),"")</f>
        <v/>
      </c>
      <c r="C3398">
        <f>IFERROR(LARGE(Segmen!$D$3:$D$6000,A3398),"")</f>
        <v/>
      </c>
    </row>
    <row r="3399">
      <c r="A3399" t="n">
        <v>3398</v>
      </c>
      <c r="B3399">
        <f>IFERROR(INDEX(Segmen!$A$3:$A$6000,MATCH(C3399,Segmen!$D$3:$D$6000,0)),"")</f>
        <v/>
      </c>
      <c r="C3399">
        <f>IFERROR(LARGE(Segmen!$D$3:$D$6000,A3399),"")</f>
        <v/>
      </c>
    </row>
    <row r="3400">
      <c r="A3400" t="n">
        <v>3399</v>
      </c>
      <c r="B3400">
        <f>IFERROR(INDEX(Segmen!$A$3:$A$6000,MATCH(C3400,Segmen!$D$3:$D$6000,0)),"")</f>
        <v/>
      </c>
      <c r="C3400">
        <f>IFERROR(LARGE(Segmen!$D$3:$D$6000,A3400),"")</f>
        <v/>
      </c>
    </row>
    <row r="3401">
      <c r="A3401" t="n">
        <v>3400</v>
      </c>
      <c r="B3401">
        <f>IFERROR(INDEX(Segmen!$A$3:$A$6000,MATCH(C3401,Segmen!$D$3:$D$6000,0)),"")</f>
        <v/>
      </c>
      <c r="C3401">
        <f>IFERROR(LARGE(Segmen!$D$3:$D$6000,A3401),"")</f>
        <v/>
      </c>
    </row>
    <row r="3402">
      <c r="A3402" t="n">
        <v>3401</v>
      </c>
      <c r="B3402">
        <f>IFERROR(INDEX(Segmen!$A$3:$A$6000,MATCH(C3402,Segmen!$D$3:$D$6000,0)),"")</f>
        <v/>
      </c>
      <c r="C3402">
        <f>IFERROR(LARGE(Segmen!$D$3:$D$6000,A3402),"")</f>
        <v/>
      </c>
    </row>
    <row r="3403">
      <c r="A3403" t="n">
        <v>3402</v>
      </c>
      <c r="B3403">
        <f>IFERROR(INDEX(Segmen!$A$3:$A$6000,MATCH(C3403,Segmen!$D$3:$D$6000,0)),"")</f>
        <v/>
      </c>
      <c r="C3403">
        <f>IFERROR(LARGE(Segmen!$D$3:$D$6000,A3403),"")</f>
        <v/>
      </c>
    </row>
    <row r="3404">
      <c r="A3404" t="n">
        <v>3403</v>
      </c>
      <c r="B3404">
        <f>IFERROR(INDEX(Segmen!$A$3:$A$6000,MATCH(C3404,Segmen!$D$3:$D$6000,0)),"")</f>
        <v/>
      </c>
      <c r="C3404">
        <f>IFERROR(LARGE(Segmen!$D$3:$D$6000,A3404),"")</f>
        <v/>
      </c>
    </row>
    <row r="3405">
      <c r="A3405" t="n">
        <v>3404</v>
      </c>
      <c r="B3405">
        <f>IFERROR(INDEX(Segmen!$A$3:$A$6000,MATCH(C3405,Segmen!$D$3:$D$6000,0)),"")</f>
        <v/>
      </c>
      <c r="C3405">
        <f>IFERROR(LARGE(Segmen!$D$3:$D$6000,A3405),"")</f>
        <v/>
      </c>
    </row>
    <row r="3406">
      <c r="A3406" t="n">
        <v>3405</v>
      </c>
      <c r="B3406">
        <f>IFERROR(INDEX(Segmen!$A$3:$A$6000,MATCH(C3406,Segmen!$D$3:$D$6000,0)),"")</f>
        <v/>
      </c>
      <c r="C3406">
        <f>IFERROR(LARGE(Segmen!$D$3:$D$6000,A3406),"")</f>
        <v/>
      </c>
    </row>
    <row r="3407">
      <c r="A3407" t="n">
        <v>3406</v>
      </c>
      <c r="B3407">
        <f>IFERROR(INDEX(Segmen!$A$3:$A$6000,MATCH(C3407,Segmen!$D$3:$D$6000,0)),"")</f>
        <v/>
      </c>
      <c r="C3407">
        <f>IFERROR(LARGE(Segmen!$D$3:$D$6000,A3407),"")</f>
        <v/>
      </c>
    </row>
    <row r="3408">
      <c r="A3408" t="n">
        <v>3407</v>
      </c>
      <c r="B3408">
        <f>IFERROR(INDEX(Segmen!$A$3:$A$6000,MATCH(C3408,Segmen!$D$3:$D$6000,0)),"")</f>
        <v/>
      </c>
      <c r="C3408">
        <f>IFERROR(LARGE(Segmen!$D$3:$D$6000,A3408),"")</f>
        <v/>
      </c>
    </row>
    <row r="3409">
      <c r="A3409" t="n">
        <v>3408</v>
      </c>
      <c r="B3409">
        <f>IFERROR(INDEX(Segmen!$A$3:$A$6000,MATCH(C3409,Segmen!$D$3:$D$6000,0)),"")</f>
        <v/>
      </c>
      <c r="C3409">
        <f>IFERROR(LARGE(Segmen!$D$3:$D$6000,A3409),"")</f>
        <v/>
      </c>
    </row>
    <row r="3410">
      <c r="A3410" t="n">
        <v>3409</v>
      </c>
      <c r="B3410">
        <f>IFERROR(INDEX(Segmen!$A$3:$A$6000,MATCH(C3410,Segmen!$D$3:$D$6000,0)),"")</f>
        <v/>
      </c>
      <c r="C3410">
        <f>IFERROR(LARGE(Segmen!$D$3:$D$6000,A3410),"")</f>
        <v/>
      </c>
    </row>
    <row r="3411">
      <c r="A3411" t="n">
        <v>3410</v>
      </c>
      <c r="B3411">
        <f>IFERROR(INDEX(Segmen!$A$3:$A$6000,MATCH(C3411,Segmen!$D$3:$D$6000,0)),"")</f>
        <v/>
      </c>
      <c r="C3411">
        <f>IFERROR(LARGE(Segmen!$D$3:$D$6000,A3411),"")</f>
        <v/>
      </c>
    </row>
    <row r="3412">
      <c r="A3412" t="n">
        <v>3411</v>
      </c>
      <c r="B3412">
        <f>IFERROR(INDEX(Segmen!$A$3:$A$6000,MATCH(C3412,Segmen!$D$3:$D$6000,0)),"")</f>
        <v/>
      </c>
      <c r="C3412">
        <f>IFERROR(LARGE(Segmen!$D$3:$D$6000,A3412),"")</f>
        <v/>
      </c>
    </row>
    <row r="3413">
      <c r="A3413" t="n">
        <v>3412</v>
      </c>
      <c r="B3413">
        <f>IFERROR(INDEX(Segmen!$A$3:$A$6000,MATCH(C3413,Segmen!$D$3:$D$6000,0)),"")</f>
        <v/>
      </c>
      <c r="C3413">
        <f>IFERROR(LARGE(Segmen!$D$3:$D$6000,A3413),"")</f>
        <v/>
      </c>
    </row>
    <row r="3414">
      <c r="A3414" t="n">
        <v>3413</v>
      </c>
      <c r="B3414">
        <f>IFERROR(INDEX(Segmen!$A$3:$A$6000,MATCH(C3414,Segmen!$D$3:$D$6000,0)),"")</f>
        <v/>
      </c>
      <c r="C3414">
        <f>IFERROR(LARGE(Segmen!$D$3:$D$6000,A3414),"")</f>
        <v/>
      </c>
    </row>
    <row r="3415">
      <c r="A3415" t="n">
        <v>3414</v>
      </c>
      <c r="B3415">
        <f>IFERROR(INDEX(Segmen!$A$3:$A$6000,MATCH(C3415,Segmen!$D$3:$D$6000,0)),"")</f>
        <v/>
      </c>
      <c r="C3415">
        <f>IFERROR(LARGE(Segmen!$D$3:$D$6000,A3415),"")</f>
        <v/>
      </c>
    </row>
    <row r="3416">
      <c r="A3416" t="n">
        <v>3415</v>
      </c>
      <c r="B3416">
        <f>IFERROR(INDEX(Segmen!$A$3:$A$6000,MATCH(C3416,Segmen!$D$3:$D$6000,0)),"")</f>
        <v/>
      </c>
      <c r="C3416">
        <f>IFERROR(LARGE(Segmen!$D$3:$D$6000,A3416),"")</f>
        <v/>
      </c>
    </row>
    <row r="3417">
      <c r="A3417" t="n">
        <v>3416</v>
      </c>
      <c r="B3417">
        <f>IFERROR(INDEX(Segmen!$A$3:$A$6000,MATCH(C3417,Segmen!$D$3:$D$6000,0)),"")</f>
        <v/>
      </c>
      <c r="C3417">
        <f>IFERROR(LARGE(Segmen!$D$3:$D$6000,A3417),"")</f>
        <v/>
      </c>
    </row>
    <row r="3418">
      <c r="A3418" t="n">
        <v>3417</v>
      </c>
      <c r="B3418">
        <f>IFERROR(INDEX(Segmen!$A$3:$A$6000,MATCH(C3418,Segmen!$D$3:$D$6000,0)),"")</f>
        <v/>
      </c>
      <c r="C3418">
        <f>IFERROR(LARGE(Segmen!$D$3:$D$6000,A3418),"")</f>
        <v/>
      </c>
    </row>
    <row r="3419">
      <c r="A3419" t="n">
        <v>3418</v>
      </c>
      <c r="B3419">
        <f>IFERROR(INDEX(Segmen!$A$3:$A$6000,MATCH(C3419,Segmen!$D$3:$D$6000,0)),"")</f>
        <v/>
      </c>
      <c r="C3419">
        <f>IFERROR(LARGE(Segmen!$D$3:$D$6000,A3419),"")</f>
        <v/>
      </c>
    </row>
    <row r="3420">
      <c r="A3420" t="n">
        <v>3419</v>
      </c>
      <c r="B3420">
        <f>IFERROR(INDEX(Segmen!$A$3:$A$6000,MATCH(C3420,Segmen!$D$3:$D$6000,0)),"")</f>
        <v/>
      </c>
      <c r="C3420">
        <f>IFERROR(LARGE(Segmen!$D$3:$D$6000,A3420),"")</f>
        <v/>
      </c>
    </row>
    <row r="3421">
      <c r="A3421" t="n">
        <v>3420</v>
      </c>
      <c r="B3421">
        <f>IFERROR(INDEX(Segmen!$A$3:$A$6000,MATCH(C3421,Segmen!$D$3:$D$6000,0)),"")</f>
        <v/>
      </c>
      <c r="C3421">
        <f>IFERROR(LARGE(Segmen!$D$3:$D$6000,A3421),"")</f>
        <v/>
      </c>
    </row>
    <row r="3422">
      <c r="A3422" t="n">
        <v>3421</v>
      </c>
      <c r="B3422">
        <f>IFERROR(INDEX(Segmen!$A$3:$A$6000,MATCH(C3422,Segmen!$D$3:$D$6000,0)),"")</f>
        <v/>
      </c>
      <c r="C3422">
        <f>IFERROR(LARGE(Segmen!$D$3:$D$6000,A3422),"")</f>
        <v/>
      </c>
    </row>
    <row r="3423">
      <c r="A3423" t="n">
        <v>3422</v>
      </c>
      <c r="B3423">
        <f>IFERROR(INDEX(Segmen!$A$3:$A$6000,MATCH(C3423,Segmen!$D$3:$D$6000,0)),"")</f>
        <v/>
      </c>
      <c r="C3423">
        <f>IFERROR(LARGE(Segmen!$D$3:$D$6000,A3423),"")</f>
        <v/>
      </c>
    </row>
    <row r="3424">
      <c r="A3424" t="n">
        <v>3423</v>
      </c>
      <c r="B3424">
        <f>IFERROR(INDEX(Segmen!$A$3:$A$6000,MATCH(C3424,Segmen!$D$3:$D$6000,0)),"")</f>
        <v/>
      </c>
      <c r="C3424">
        <f>IFERROR(LARGE(Segmen!$D$3:$D$6000,A3424),"")</f>
        <v/>
      </c>
    </row>
    <row r="3425">
      <c r="A3425" t="n">
        <v>3424</v>
      </c>
      <c r="B3425">
        <f>IFERROR(INDEX(Segmen!$A$3:$A$6000,MATCH(C3425,Segmen!$D$3:$D$6000,0)),"")</f>
        <v/>
      </c>
      <c r="C3425">
        <f>IFERROR(LARGE(Segmen!$D$3:$D$6000,A3425),"")</f>
        <v/>
      </c>
    </row>
    <row r="3426">
      <c r="A3426" t="n">
        <v>3425</v>
      </c>
      <c r="B3426">
        <f>IFERROR(INDEX(Segmen!$A$3:$A$6000,MATCH(C3426,Segmen!$D$3:$D$6000,0)),"")</f>
        <v/>
      </c>
      <c r="C3426">
        <f>IFERROR(LARGE(Segmen!$D$3:$D$6000,A3426),"")</f>
        <v/>
      </c>
    </row>
    <row r="3427">
      <c r="A3427" t="n">
        <v>3426</v>
      </c>
      <c r="B3427">
        <f>IFERROR(INDEX(Segmen!$A$3:$A$6000,MATCH(C3427,Segmen!$D$3:$D$6000,0)),"")</f>
        <v/>
      </c>
      <c r="C3427">
        <f>IFERROR(LARGE(Segmen!$D$3:$D$6000,A3427),"")</f>
        <v/>
      </c>
    </row>
    <row r="3428">
      <c r="A3428" t="n">
        <v>3427</v>
      </c>
      <c r="B3428">
        <f>IFERROR(INDEX(Segmen!$A$3:$A$6000,MATCH(C3428,Segmen!$D$3:$D$6000,0)),"")</f>
        <v/>
      </c>
      <c r="C3428">
        <f>IFERROR(LARGE(Segmen!$D$3:$D$6000,A3428),"")</f>
        <v/>
      </c>
    </row>
    <row r="3429">
      <c r="A3429" t="n">
        <v>3428</v>
      </c>
      <c r="B3429">
        <f>IFERROR(INDEX(Segmen!$A$3:$A$6000,MATCH(C3429,Segmen!$D$3:$D$6000,0)),"")</f>
        <v/>
      </c>
      <c r="C3429">
        <f>IFERROR(LARGE(Segmen!$D$3:$D$6000,A3429),"")</f>
        <v/>
      </c>
    </row>
    <row r="3430">
      <c r="A3430" t="n">
        <v>3429</v>
      </c>
      <c r="B3430">
        <f>IFERROR(INDEX(Segmen!$A$3:$A$6000,MATCH(C3430,Segmen!$D$3:$D$6000,0)),"")</f>
        <v/>
      </c>
      <c r="C3430">
        <f>IFERROR(LARGE(Segmen!$D$3:$D$6000,A3430),"")</f>
        <v/>
      </c>
    </row>
    <row r="3431">
      <c r="A3431" t="n">
        <v>3430</v>
      </c>
      <c r="B3431">
        <f>IFERROR(INDEX(Segmen!$A$3:$A$6000,MATCH(C3431,Segmen!$D$3:$D$6000,0)),"")</f>
        <v/>
      </c>
      <c r="C3431">
        <f>IFERROR(LARGE(Segmen!$D$3:$D$6000,A3431),"")</f>
        <v/>
      </c>
    </row>
    <row r="3432">
      <c r="A3432" t="n">
        <v>3431</v>
      </c>
      <c r="B3432">
        <f>IFERROR(INDEX(Segmen!$A$3:$A$6000,MATCH(C3432,Segmen!$D$3:$D$6000,0)),"")</f>
        <v/>
      </c>
      <c r="C3432">
        <f>IFERROR(LARGE(Segmen!$D$3:$D$6000,A3432),"")</f>
        <v/>
      </c>
    </row>
    <row r="3433">
      <c r="A3433" t="n">
        <v>3432</v>
      </c>
      <c r="B3433">
        <f>IFERROR(INDEX(Segmen!$A$3:$A$6000,MATCH(C3433,Segmen!$D$3:$D$6000,0)),"")</f>
        <v/>
      </c>
      <c r="C3433">
        <f>IFERROR(LARGE(Segmen!$D$3:$D$6000,A3433),"")</f>
        <v/>
      </c>
    </row>
    <row r="3434">
      <c r="A3434" t="n">
        <v>3433</v>
      </c>
      <c r="B3434">
        <f>IFERROR(INDEX(Segmen!$A$3:$A$6000,MATCH(C3434,Segmen!$D$3:$D$6000,0)),"")</f>
        <v/>
      </c>
      <c r="C3434">
        <f>IFERROR(LARGE(Segmen!$D$3:$D$6000,A3434),"")</f>
        <v/>
      </c>
    </row>
    <row r="3435">
      <c r="A3435" t="n">
        <v>3434</v>
      </c>
      <c r="B3435">
        <f>IFERROR(INDEX(Segmen!$A$3:$A$6000,MATCH(C3435,Segmen!$D$3:$D$6000,0)),"")</f>
        <v/>
      </c>
      <c r="C3435">
        <f>IFERROR(LARGE(Segmen!$D$3:$D$6000,A3435),"")</f>
        <v/>
      </c>
    </row>
    <row r="3436">
      <c r="A3436" t="n">
        <v>3435</v>
      </c>
      <c r="B3436">
        <f>IFERROR(INDEX(Segmen!$A$3:$A$6000,MATCH(C3436,Segmen!$D$3:$D$6000,0)),"")</f>
        <v/>
      </c>
      <c r="C3436">
        <f>IFERROR(LARGE(Segmen!$D$3:$D$6000,A3436),"")</f>
        <v/>
      </c>
    </row>
    <row r="3437">
      <c r="A3437" t="n">
        <v>3436</v>
      </c>
      <c r="B3437">
        <f>IFERROR(INDEX(Segmen!$A$3:$A$6000,MATCH(C3437,Segmen!$D$3:$D$6000,0)),"")</f>
        <v/>
      </c>
      <c r="C3437">
        <f>IFERROR(LARGE(Segmen!$D$3:$D$6000,A3437),"")</f>
        <v/>
      </c>
    </row>
    <row r="3438">
      <c r="A3438" t="n">
        <v>3437</v>
      </c>
      <c r="B3438">
        <f>IFERROR(INDEX(Segmen!$A$3:$A$6000,MATCH(C3438,Segmen!$D$3:$D$6000,0)),"")</f>
        <v/>
      </c>
      <c r="C3438">
        <f>IFERROR(LARGE(Segmen!$D$3:$D$6000,A3438),"")</f>
        <v/>
      </c>
    </row>
    <row r="3439">
      <c r="A3439" t="n">
        <v>3438</v>
      </c>
      <c r="B3439">
        <f>IFERROR(INDEX(Segmen!$A$3:$A$6000,MATCH(C3439,Segmen!$D$3:$D$6000,0)),"")</f>
        <v/>
      </c>
      <c r="C3439">
        <f>IFERROR(LARGE(Segmen!$D$3:$D$6000,A3439),"")</f>
        <v/>
      </c>
    </row>
    <row r="3440">
      <c r="A3440" t="n">
        <v>3439</v>
      </c>
      <c r="B3440">
        <f>IFERROR(INDEX(Segmen!$A$3:$A$6000,MATCH(C3440,Segmen!$D$3:$D$6000,0)),"")</f>
        <v/>
      </c>
      <c r="C3440">
        <f>IFERROR(LARGE(Segmen!$D$3:$D$6000,A3440),"")</f>
        <v/>
      </c>
    </row>
    <row r="3441">
      <c r="A3441" t="n">
        <v>3440</v>
      </c>
      <c r="B3441">
        <f>IFERROR(INDEX(Segmen!$A$3:$A$6000,MATCH(C3441,Segmen!$D$3:$D$6000,0)),"")</f>
        <v/>
      </c>
      <c r="C3441">
        <f>IFERROR(LARGE(Segmen!$D$3:$D$6000,A3441),"")</f>
        <v/>
      </c>
    </row>
    <row r="3442">
      <c r="A3442" t="n">
        <v>3441</v>
      </c>
      <c r="B3442">
        <f>IFERROR(INDEX(Segmen!$A$3:$A$6000,MATCH(C3442,Segmen!$D$3:$D$6000,0)),"")</f>
        <v/>
      </c>
      <c r="C3442">
        <f>IFERROR(LARGE(Segmen!$D$3:$D$6000,A3442),"")</f>
        <v/>
      </c>
    </row>
    <row r="3443">
      <c r="A3443" t="n">
        <v>3442</v>
      </c>
      <c r="B3443">
        <f>IFERROR(INDEX(Segmen!$A$3:$A$6000,MATCH(C3443,Segmen!$D$3:$D$6000,0)),"")</f>
        <v/>
      </c>
      <c r="C3443">
        <f>IFERROR(LARGE(Segmen!$D$3:$D$6000,A3443),"")</f>
        <v/>
      </c>
    </row>
    <row r="3444">
      <c r="A3444" t="n">
        <v>3443</v>
      </c>
      <c r="B3444">
        <f>IFERROR(INDEX(Segmen!$A$3:$A$6000,MATCH(C3444,Segmen!$D$3:$D$6000,0)),"")</f>
        <v/>
      </c>
      <c r="C3444">
        <f>IFERROR(LARGE(Segmen!$D$3:$D$6000,A3444),"")</f>
        <v/>
      </c>
    </row>
    <row r="3445">
      <c r="A3445" t="n">
        <v>3444</v>
      </c>
      <c r="B3445">
        <f>IFERROR(INDEX(Segmen!$A$3:$A$6000,MATCH(C3445,Segmen!$D$3:$D$6000,0)),"")</f>
        <v/>
      </c>
      <c r="C3445">
        <f>IFERROR(LARGE(Segmen!$D$3:$D$6000,A3445),"")</f>
        <v/>
      </c>
    </row>
    <row r="3446">
      <c r="A3446" t="n">
        <v>3445</v>
      </c>
      <c r="B3446">
        <f>IFERROR(INDEX(Segmen!$A$3:$A$6000,MATCH(C3446,Segmen!$D$3:$D$6000,0)),"")</f>
        <v/>
      </c>
      <c r="C3446">
        <f>IFERROR(LARGE(Segmen!$D$3:$D$6000,A3446),"")</f>
        <v/>
      </c>
    </row>
    <row r="3447">
      <c r="A3447" t="n">
        <v>3446</v>
      </c>
      <c r="B3447">
        <f>IFERROR(INDEX(Segmen!$A$3:$A$6000,MATCH(C3447,Segmen!$D$3:$D$6000,0)),"")</f>
        <v/>
      </c>
      <c r="C3447">
        <f>IFERROR(LARGE(Segmen!$D$3:$D$6000,A3447),"")</f>
        <v/>
      </c>
    </row>
    <row r="3448">
      <c r="A3448" t="n">
        <v>3447</v>
      </c>
      <c r="B3448">
        <f>IFERROR(INDEX(Segmen!$A$3:$A$6000,MATCH(C3448,Segmen!$D$3:$D$6000,0)),"")</f>
        <v/>
      </c>
      <c r="C3448">
        <f>IFERROR(LARGE(Segmen!$D$3:$D$6000,A3448),"")</f>
        <v/>
      </c>
    </row>
    <row r="3449">
      <c r="A3449" t="n">
        <v>3448</v>
      </c>
      <c r="B3449">
        <f>IFERROR(INDEX(Segmen!$A$3:$A$6000,MATCH(C3449,Segmen!$D$3:$D$6000,0)),"")</f>
        <v/>
      </c>
      <c r="C3449">
        <f>IFERROR(LARGE(Segmen!$D$3:$D$6000,A3449),"")</f>
        <v/>
      </c>
    </row>
    <row r="3450">
      <c r="A3450" t="n">
        <v>3449</v>
      </c>
      <c r="B3450">
        <f>IFERROR(INDEX(Segmen!$A$3:$A$6000,MATCH(C3450,Segmen!$D$3:$D$6000,0)),"")</f>
        <v/>
      </c>
      <c r="C3450">
        <f>IFERROR(LARGE(Segmen!$D$3:$D$6000,A3450),"")</f>
        <v/>
      </c>
    </row>
    <row r="3451">
      <c r="A3451" t="n">
        <v>3450</v>
      </c>
      <c r="B3451">
        <f>IFERROR(INDEX(Segmen!$A$3:$A$6000,MATCH(C3451,Segmen!$D$3:$D$6000,0)),"")</f>
        <v/>
      </c>
      <c r="C3451">
        <f>IFERROR(LARGE(Segmen!$D$3:$D$6000,A3451),"")</f>
        <v/>
      </c>
    </row>
    <row r="3452">
      <c r="A3452" t="n">
        <v>3451</v>
      </c>
      <c r="B3452">
        <f>IFERROR(INDEX(Segmen!$A$3:$A$6000,MATCH(C3452,Segmen!$D$3:$D$6000,0)),"")</f>
        <v/>
      </c>
      <c r="C3452">
        <f>IFERROR(LARGE(Segmen!$D$3:$D$6000,A3452),"")</f>
        <v/>
      </c>
    </row>
    <row r="3453">
      <c r="A3453" t="n">
        <v>3452</v>
      </c>
      <c r="B3453">
        <f>IFERROR(INDEX(Segmen!$A$3:$A$6000,MATCH(C3453,Segmen!$D$3:$D$6000,0)),"")</f>
        <v/>
      </c>
      <c r="C3453">
        <f>IFERROR(LARGE(Segmen!$D$3:$D$6000,A3453),"")</f>
        <v/>
      </c>
    </row>
    <row r="3454">
      <c r="A3454" t="n">
        <v>3453</v>
      </c>
      <c r="B3454">
        <f>IFERROR(INDEX(Segmen!$A$3:$A$6000,MATCH(C3454,Segmen!$D$3:$D$6000,0)),"")</f>
        <v/>
      </c>
      <c r="C3454">
        <f>IFERROR(LARGE(Segmen!$D$3:$D$6000,A3454),"")</f>
        <v/>
      </c>
    </row>
    <row r="3455">
      <c r="A3455" t="n">
        <v>3454</v>
      </c>
      <c r="B3455">
        <f>IFERROR(INDEX(Segmen!$A$3:$A$6000,MATCH(C3455,Segmen!$D$3:$D$6000,0)),"")</f>
        <v/>
      </c>
      <c r="C3455">
        <f>IFERROR(LARGE(Segmen!$D$3:$D$6000,A3455),"")</f>
        <v/>
      </c>
    </row>
    <row r="3456">
      <c r="A3456" t="n">
        <v>3455</v>
      </c>
      <c r="B3456">
        <f>IFERROR(INDEX(Segmen!$A$3:$A$6000,MATCH(C3456,Segmen!$D$3:$D$6000,0)),"")</f>
        <v/>
      </c>
      <c r="C3456">
        <f>IFERROR(LARGE(Segmen!$D$3:$D$6000,A3456),"")</f>
        <v/>
      </c>
    </row>
    <row r="3457">
      <c r="A3457" t="n">
        <v>3456</v>
      </c>
      <c r="B3457">
        <f>IFERROR(INDEX(Segmen!$A$3:$A$6000,MATCH(C3457,Segmen!$D$3:$D$6000,0)),"")</f>
        <v/>
      </c>
      <c r="C3457">
        <f>IFERROR(LARGE(Segmen!$D$3:$D$6000,A3457),"")</f>
        <v/>
      </c>
    </row>
    <row r="3458">
      <c r="A3458" t="n">
        <v>3457</v>
      </c>
      <c r="B3458">
        <f>IFERROR(INDEX(Segmen!$A$3:$A$6000,MATCH(C3458,Segmen!$D$3:$D$6000,0)),"")</f>
        <v/>
      </c>
      <c r="C3458">
        <f>IFERROR(LARGE(Segmen!$D$3:$D$6000,A3458),"")</f>
        <v/>
      </c>
    </row>
    <row r="3459">
      <c r="A3459" t="n">
        <v>3458</v>
      </c>
      <c r="B3459">
        <f>IFERROR(INDEX(Segmen!$A$3:$A$6000,MATCH(C3459,Segmen!$D$3:$D$6000,0)),"")</f>
        <v/>
      </c>
      <c r="C3459">
        <f>IFERROR(LARGE(Segmen!$D$3:$D$6000,A3459),"")</f>
        <v/>
      </c>
    </row>
    <row r="3460">
      <c r="A3460" t="n">
        <v>3459</v>
      </c>
      <c r="B3460">
        <f>IFERROR(INDEX(Segmen!$A$3:$A$6000,MATCH(C3460,Segmen!$D$3:$D$6000,0)),"")</f>
        <v/>
      </c>
      <c r="C3460">
        <f>IFERROR(LARGE(Segmen!$D$3:$D$6000,A3460),"")</f>
        <v/>
      </c>
    </row>
    <row r="3461">
      <c r="A3461" t="n">
        <v>3460</v>
      </c>
      <c r="B3461">
        <f>IFERROR(INDEX(Segmen!$A$3:$A$6000,MATCH(C3461,Segmen!$D$3:$D$6000,0)),"")</f>
        <v/>
      </c>
      <c r="C3461">
        <f>IFERROR(LARGE(Segmen!$D$3:$D$6000,A3461),"")</f>
        <v/>
      </c>
    </row>
    <row r="3462">
      <c r="A3462" t="n">
        <v>3461</v>
      </c>
      <c r="B3462">
        <f>IFERROR(INDEX(Segmen!$A$3:$A$6000,MATCH(C3462,Segmen!$D$3:$D$6000,0)),"")</f>
        <v/>
      </c>
      <c r="C3462">
        <f>IFERROR(LARGE(Segmen!$D$3:$D$6000,A3462),"")</f>
        <v/>
      </c>
    </row>
    <row r="3463">
      <c r="A3463" t="n">
        <v>3462</v>
      </c>
      <c r="B3463">
        <f>IFERROR(INDEX(Segmen!$A$3:$A$6000,MATCH(C3463,Segmen!$D$3:$D$6000,0)),"")</f>
        <v/>
      </c>
      <c r="C3463">
        <f>IFERROR(LARGE(Segmen!$D$3:$D$6000,A3463),"")</f>
        <v/>
      </c>
    </row>
    <row r="3464">
      <c r="A3464" t="n">
        <v>3463</v>
      </c>
      <c r="B3464">
        <f>IFERROR(INDEX(Segmen!$A$3:$A$6000,MATCH(C3464,Segmen!$D$3:$D$6000,0)),"")</f>
        <v/>
      </c>
      <c r="C3464">
        <f>IFERROR(LARGE(Segmen!$D$3:$D$6000,A3464),"")</f>
        <v/>
      </c>
    </row>
    <row r="3465">
      <c r="A3465" t="n">
        <v>3464</v>
      </c>
      <c r="B3465">
        <f>IFERROR(INDEX(Segmen!$A$3:$A$6000,MATCH(C3465,Segmen!$D$3:$D$6000,0)),"")</f>
        <v/>
      </c>
      <c r="C3465">
        <f>IFERROR(LARGE(Segmen!$D$3:$D$6000,A3465),"")</f>
        <v/>
      </c>
    </row>
    <row r="3466">
      <c r="A3466" t="n">
        <v>3465</v>
      </c>
      <c r="B3466">
        <f>IFERROR(INDEX(Segmen!$A$3:$A$6000,MATCH(C3466,Segmen!$D$3:$D$6000,0)),"")</f>
        <v/>
      </c>
      <c r="C3466">
        <f>IFERROR(LARGE(Segmen!$D$3:$D$6000,A3466),"")</f>
        <v/>
      </c>
    </row>
    <row r="3467">
      <c r="A3467" t="n">
        <v>3466</v>
      </c>
      <c r="B3467">
        <f>IFERROR(INDEX(Segmen!$A$3:$A$6000,MATCH(C3467,Segmen!$D$3:$D$6000,0)),"")</f>
        <v/>
      </c>
      <c r="C3467">
        <f>IFERROR(LARGE(Segmen!$D$3:$D$6000,A3467),"")</f>
        <v/>
      </c>
    </row>
    <row r="3468">
      <c r="A3468" t="n">
        <v>3467</v>
      </c>
      <c r="B3468">
        <f>IFERROR(INDEX(Segmen!$A$3:$A$6000,MATCH(C3468,Segmen!$D$3:$D$6000,0)),"")</f>
        <v/>
      </c>
      <c r="C3468">
        <f>IFERROR(LARGE(Segmen!$D$3:$D$6000,A3468),"")</f>
        <v/>
      </c>
    </row>
    <row r="3469">
      <c r="A3469" t="n">
        <v>3468</v>
      </c>
      <c r="B3469">
        <f>IFERROR(INDEX(Segmen!$A$3:$A$6000,MATCH(C3469,Segmen!$D$3:$D$6000,0)),"")</f>
        <v/>
      </c>
      <c r="C3469">
        <f>IFERROR(LARGE(Segmen!$D$3:$D$6000,A3469),"")</f>
        <v/>
      </c>
    </row>
    <row r="3470">
      <c r="A3470" t="n">
        <v>3469</v>
      </c>
      <c r="B3470">
        <f>IFERROR(INDEX(Segmen!$A$3:$A$6000,MATCH(C3470,Segmen!$D$3:$D$6000,0)),"")</f>
        <v/>
      </c>
      <c r="C3470">
        <f>IFERROR(LARGE(Segmen!$D$3:$D$6000,A3470),"")</f>
        <v/>
      </c>
    </row>
    <row r="3471">
      <c r="A3471" t="n">
        <v>3470</v>
      </c>
      <c r="B3471">
        <f>IFERROR(INDEX(Segmen!$A$3:$A$6000,MATCH(C3471,Segmen!$D$3:$D$6000,0)),"")</f>
        <v/>
      </c>
      <c r="C3471">
        <f>IFERROR(LARGE(Segmen!$D$3:$D$6000,A3471),"")</f>
        <v/>
      </c>
    </row>
    <row r="3472">
      <c r="A3472" t="n">
        <v>3471</v>
      </c>
      <c r="B3472">
        <f>IFERROR(INDEX(Segmen!$A$3:$A$6000,MATCH(C3472,Segmen!$D$3:$D$6000,0)),"")</f>
        <v/>
      </c>
      <c r="C3472">
        <f>IFERROR(LARGE(Segmen!$D$3:$D$6000,A3472),"")</f>
        <v/>
      </c>
    </row>
    <row r="3473">
      <c r="A3473" t="n">
        <v>3472</v>
      </c>
      <c r="B3473">
        <f>IFERROR(INDEX(Segmen!$A$3:$A$6000,MATCH(C3473,Segmen!$D$3:$D$6000,0)),"")</f>
        <v/>
      </c>
      <c r="C3473">
        <f>IFERROR(LARGE(Segmen!$D$3:$D$6000,A3473),"")</f>
        <v/>
      </c>
    </row>
    <row r="3474">
      <c r="A3474" t="n">
        <v>3473</v>
      </c>
      <c r="B3474">
        <f>IFERROR(INDEX(Segmen!$A$3:$A$6000,MATCH(C3474,Segmen!$D$3:$D$6000,0)),"")</f>
        <v/>
      </c>
      <c r="C3474">
        <f>IFERROR(LARGE(Segmen!$D$3:$D$6000,A3474),"")</f>
        <v/>
      </c>
    </row>
    <row r="3475">
      <c r="A3475" t="n">
        <v>3474</v>
      </c>
      <c r="B3475">
        <f>IFERROR(INDEX(Segmen!$A$3:$A$6000,MATCH(C3475,Segmen!$D$3:$D$6000,0)),"")</f>
        <v/>
      </c>
      <c r="C3475">
        <f>IFERROR(LARGE(Segmen!$D$3:$D$6000,A3475),"")</f>
        <v/>
      </c>
    </row>
    <row r="3476">
      <c r="A3476" t="n">
        <v>3475</v>
      </c>
      <c r="B3476">
        <f>IFERROR(INDEX(Segmen!$A$3:$A$6000,MATCH(C3476,Segmen!$D$3:$D$6000,0)),"")</f>
        <v/>
      </c>
      <c r="C3476">
        <f>IFERROR(LARGE(Segmen!$D$3:$D$6000,A3476),"")</f>
        <v/>
      </c>
    </row>
    <row r="3477">
      <c r="A3477" t="n">
        <v>3476</v>
      </c>
      <c r="B3477">
        <f>IFERROR(INDEX(Segmen!$A$3:$A$6000,MATCH(C3477,Segmen!$D$3:$D$6000,0)),"")</f>
        <v/>
      </c>
      <c r="C3477">
        <f>IFERROR(LARGE(Segmen!$D$3:$D$6000,A3477),"")</f>
        <v/>
      </c>
    </row>
    <row r="3478">
      <c r="A3478" t="n">
        <v>3477</v>
      </c>
      <c r="B3478">
        <f>IFERROR(INDEX(Segmen!$A$3:$A$6000,MATCH(C3478,Segmen!$D$3:$D$6000,0)),"")</f>
        <v/>
      </c>
      <c r="C3478">
        <f>IFERROR(LARGE(Segmen!$D$3:$D$6000,A3478),"")</f>
        <v/>
      </c>
    </row>
    <row r="3479">
      <c r="A3479" t="n">
        <v>3478</v>
      </c>
      <c r="B3479">
        <f>IFERROR(INDEX(Segmen!$A$3:$A$6000,MATCH(C3479,Segmen!$D$3:$D$6000,0)),"")</f>
        <v/>
      </c>
      <c r="C3479">
        <f>IFERROR(LARGE(Segmen!$D$3:$D$6000,A3479),"")</f>
        <v/>
      </c>
    </row>
    <row r="3480">
      <c r="A3480" t="n">
        <v>3479</v>
      </c>
      <c r="B3480">
        <f>IFERROR(INDEX(Segmen!$A$3:$A$6000,MATCH(C3480,Segmen!$D$3:$D$6000,0)),"")</f>
        <v/>
      </c>
      <c r="C3480">
        <f>IFERROR(LARGE(Segmen!$D$3:$D$6000,A3480),"")</f>
        <v/>
      </c>
    </row>
    <row r="3481">
      <c r="A3481" t="n">
        <v>3480</v>
      </c>
      <c r="B3481">
        <f>IFERROR(INDEX(Segmen!$A$3:$A$6000,MATCH(C3481,Segmen!$D$3:$D$6000,0)),"")</f>
        <v/>
      </c>
      <c r="C3481">
        <f>IFERROR(LARGE(Segmen!$D$3:$D$6000,A3481),"")</f>
        <v/>
      </c>
    </row>
    <row r="3482">
      <c r="A3482" t="n">
        <v>3481</v>
      </c>
      <c r="B3482">
        <f>IFERROR(INDEX(Segmen!$A$3:$A$6000,MATCH(C3482,Segmen!$D$3:$D$6000,0)),"")</f>
        <v/>
      </c>
      <c r="C3482">
        <f>IFERROR(LARGE(Segmen!$D$3:$D$6000,A3482),"")</f>
        <v/>
      </c>
    </row>
    <row r="3483">
      <c r="A3483" t="n">
        <v>3482</v>
      </c>
      <c r="B3483">
        <f>IFERROR(INDEX(Segmen!$A$3:$A$6000,MATCH(C3483,Segmen!$D$3:$D$6000,0)),"")</f>
        <v/>
      </c>
      <c r="C3483">
        <f>IFERROR(LARGE(Segmen!$D$3:$D$6000,A3483),"")</f>
        <v/>
      </c>
    </row>
    <row r="3484">
      <c r="A3484" t="n">
        <v>3483</v>
      </c>
      <c r="B3484">
        <f>IFERROR(INDEX(Segmen!$A$3:$A$6000,MATCH(C3484,Segmen!$D$3:$D$6000,0)),"")</f>
        <v/>
      </c>
      <c r="C3484">
        <f>IFERROR(LARGE(Segmen!$D$3:$D$6000,A3484),"")</f>
        <v/>
      </c>
    </row>
    <row r="3485">
      <c r="A3485" t="n">
        <v>3484</v>
      </c>
      <c r="B3485">
        <f>IFERROR(INDEX(Segmen!$A$3:$A$6000,MATCH(C3485,Segmen!$D$3:$D$6000,0)),"")</f>
        <v/>
      </c>
      <c r="C3485">
        <f>IFERROR(LARGE(Segmen!$D$3:$D$6000,A3485),"")</f>
        <v/>
      </c>
    </row>
    <row r="3486">
      <c r="A3486" t="n">
        <v>3485</v>
      </c>
      <c r="B3486">
        <f>IFERROR(INDEX(Segmen!$A$3:$A$6000,MATCH(C3486,Segmen!$D$3:$D$6000,0)),"")</f>
        <v/>
      </c>
      <c r="C3486">
        <f>IFERROR(LARGE(Segmen!$D$3:$D$6000,A3486),"")</f>
        <v/>
      </c>
    </row>
    <row r="3487">
      <c r="A3487" t="n">
        <v>3486</v>
      </c>
      <c r="B3487">
        <f>IFERROR(INDEX(Segmen!$A$3:$A$6000,MATCH(C3487,Segmen!$D$3:$D$6000,0)),"")</f>
        <v/>
      </c>
      <c r="C3487">
        <f>IFERROR(LARGE(Segmen!$D$3:$D$6000,A3487),"")</f>
        <v/>
      </c>
    </row>
    <row r="3488">
      <c r="A3488" t="n">
        <v>3487</v>
      </c>
      <c r="B3488">
        <f>IFERROR(INDEX(Segmen!$A$3:$A$6000,MATCH(C3488,Segmen!$D$3:$D$6000,0)),"")</f>
        <v/>
      </c>
      <c r="C3488">
        <f>IFERROR(LARGE(Segmen!$D$3:$D$6000,A3488),"")</f>
        <v/>
      </c>
    </row>
    <row r="3489">
      <c r="A3489" t="n">
        <v>3488</v>
      </c>
      <c r="B3489">
        <f>IFERROR(INDEX(Segmen!$A$3:$A$6000,MATCH(C3489,Segmen!$D$3:$D$6000,0)),"")</f>
        <v/>
      </c>
      <c r="C3489">
        <f>IFERROR(LARGE(Segmen!$D$3:$D$6000,A3489),"")</f>
        <v/>
      </c>
    </row>
    <row r="3490">
      <c r="A3490" t="n">
        <v>3489</v>
      </c>
      <c r="B3490">
        <f>IFERROR(INDEX(Segmen!$A$3:$A$6000,MATCH(C3490,Segmen!$D$3:$D$6000,0)),"")</f>
        <v/>
      </c>
      <c r="C3490">
        <f>IFERROR(LARGE(Segmen!$D$3:$D$6000,A3490),"")</f>
        <v/>
      </c>
    </row>
    <row r="3491">
      <c r="A3491" t="n">
        <v>3490</v>
      </c>
      <c r="B3491">
        <f>IFERROR(INDEX(Segmen!$A$3:$A$6000,MATCH(C3491,Segmen!$D$3:$D$6000,0)),"")</f>
        <v/>
      </c>
      <c r="C3491">
        <f>IFERROR(LARGE(Segmen!$D$3:$D$6000,A3491),"")</f>
        <v/>
      </c>
    </row>
    <row r="3492">
      <c r="A3492" t="n">
        <v>3491</v>
      </c>
      <c r="B3492">
        <f>IFERROR(INDEX(Segmen!$A$3:$A$6000,MATCH(C3492,Segmen!$D$3:$D$6000,0)),"")</f>
        <v/>
      </c>
      <c r="C3492">
        <f>IFERROR(LARGE(Segmen!$D$3:$D$6000,A3492),"")</f>
        <v/>
      </c>
    </row>
    <row r="3493">
      <c r="A3493" t="n">
        <v>3492</v>
      </c>
      <c r="B3493">
        <f>IFERROR(INDEX(Segmen!$A$3:$A$6000,MATCH(C3493,Segmen!$D$3:$D$6000,0)),"")</f>
        <v/>
      </c>
      <c r="C3493">
        <f>IFERROR(LARGE(Segmen!$D$3:$D$6000,A3493),"")</f>
        <v/>
      </c>
    </row>
    <row r="3494">
      <c r="A3494" t="n">
        <v>3493</v>
      </c>
      <c r="B3494">
        <f>IFERROR(INDEX(Segmen!$A$3:$A$6000,MATCH(C3494,Segmen!$D$3:$D$6000,0)),"")</f>
        <v/>
      </c>
      <c r="C3494">
        <f>IFERROR(LARGE(Segmen!$D$3:$D$6000,A3494),"")</f>
        <v/>
      </c>
    </row>
    <row r="3495">
      <c r="A3495" t="n">
        <v>3494</v>
      </c>
      <c r="B3495">
        <f>IFERROR(INDEX(Segmen!$A$3:$A$6000,MATCH(C3495,Segmen!$D$3:$D$6000,0)),"")</f>
        <v/>
      </c>
      <c r="C3495">
        <f>IFERROR(LARGE(Segmen!$D$3:$D$6000,A3495),"")</f>
        <v/>
      </c>
    </row>
    <row r="3496">
      <c r="A3496" t="n">
        <v>3495</v>
      </c>
      <c r="B3496">
        <f>IFERROR(INDEX(Segmen!$A$3:$A$6000,MATCH(C3496,Segmen!$D$3:$D$6000,0)),"")</f>
        <v/>
      </c>
      <c r="C3496">
        <f>IFERROR(LARGE(Segmen!$D$3:$D$6000,A3496),"")</f>
        <v/>
      </c>
    </row>
    <row r="3497">
      <c r="A3497" t="n">
        <v>3496</v>
      </c>
      <c r="B3497">
        <f>IFERROR(INDEX(Segmen!$A$3:$A$6000,MATCH(C3497,Segmen!$D$3:$D$6000,0)),"")</f>
        <v/>
      </c>
      <c r="C3497">
        <f>IFERROR(LARGE(Segmen!$D$3:$D$6000,A3497),"")</f>
        <v/>
      </c>
    </row>
    <row r="3498">
      <c r="A3498" t="n">
        <v>3497</v>
      </c>
      <c r="B3498">
        <f>IFERROR(INDEX(Segmen!$A$3:$A$6000,MATCH(C3498,Segmen!$D$3:$D$6000,0)),"")</f>
        <v/>
      </c>
      <c r="C3498">
        <f>IFERROR(LARGE(Segmen!$D$3:$D$6000,A3498),"")</f>
        <v/>
      </c>
    </row>
    <row r="3499">
      <c r="A3499" t="n">
        <v>3498</v>
      </c>
      <c r="B3499">
        <f>IFERROR(INDEX(Segmen!$A$3:$A$6000,MATCH(C3499,Segmen!$D$3:$D$6000,0)),"")</f>
        <v/>
      </c>
      <c r="C3499">
        <f>IFERROR(LARGE(Segmen!$D$3:$D$6000,A3499),"")</f>
        <v/>
      </c>
    </row>
    <row r="3500">
      <c r="A3500" t="n">
        <v>3499</v>
      </c>
      <c r="B3500">
        <f>IFERROR(INDEX(Segmen!$A$3:$A$6000,MATCH(C3500,Segmen!$D$3:$D$6000,0)),"")</f>
        <v/>
      </c>
      <c r="C3500">
        <f>IFERROR(LARGE(Segmen!$D$3:$D$6000,A3500),"")</f>
        <v/>
      </c>
    </row>
    <row r="3501">
      <c r="A3501" t="n">
        <v>3500</v>
      </c>
      <c r="B3501">
        <f>IFERROR(INDEX(Segmen!$A$3:$A$6000,MATCH(C3501,Segmen!$D$3:$D$6000,0)),"")</f>
        <v/>
      </c>
      <c r="C3501">
        <f>IFERROR(LARGE(Segmen!$D$3:$D$6000,A3501),"")</f>
        <v/>
      </c>
    </row>
    <row r="3502">
      <c r="A3502" t="n">
        <v>3501</v>
      </c>
      <c r="B3502">
        <f>IFERROR(INDEX(Segmen!$A$3:$A$6000,MATCH(C3502,Segmen!$D$3:$D$6000,0)),"")</f>
        <v/>
      </c>
      <c r="C3502">
        <f>IFERROR(LARGE(Segmen!$D$3:$D$6000,A3502),"")</f>
        <v/>
      </c>
    </row>
    <row r="3503">
      <c r="A3503" t="n">
        <v>3502</v>
      </c>
      <c r="B3503">
        <f>IFERROR(INDEX(Segmen!$A$3:$A$6000,MATCH(C3503,Segmen!$D$3:$D$6000,0)),"")</f>
        <v/>
      </c>
      <c r="C3503">
        <f>IFERROR(LARGE(Segmen!$D$3:$D$6000,A3503),"")</f>
        <v/>
      </c>
    </row>
    <row r="3504">
      <c r="A3504" t="n">
        <v>3503</v>
      </c>
      <c r="B3504">
        <f>IFERROR(INDEX(Segmen!$A$3:$A$6000,MATCH(C3504,Segmen!$D$3:$D$6000,0)),"")</f>
        <v/>
      </c>
      <c r="C3504">
        <f>IFERROR(LARGE(Segmen!$D$3:$D$6000,A3504),"")</f>
        <v/>
      </c>
    </row>
    <row r="3505">
      <c r="A3505" t="n">
        <v>3504</v>
      </c>
      <c r="B3505">
        <f>IFERROR(INDEX(Segmen!$A$3:$A$6000,MATCH(C3505,Segmen!$D$3:$D$6000,0)),"")</f>
        <v/>
      </c>
      <c r="C3505">
        <f>IFERROR(LARGE(Segmen!$D$3:$D$6000,A3505),"")</f>
        <v/>
      </c>
    </row>
    <row r="3506">
      <c r="A3506" t="n">
        <v>3505</v>
      </c>
      <c r="B3506">
        <f>IFERROR(INDEX(Segmen!$A$3:$A$6000,MATCH(C3506,Segmen!$D$3:$D$6000,0)),"")</f>
        <v/>
      </c>
      <c r="C3506">
        <f>IFERROR(LARGE(Segmen!$D$3:$D$6000,A3506),"")</f>
        <v/>
      </c>
    </row>
    <row r="3507">
      <c r="A3507" t="n">
        <v>3506</v>
      </c>
      <c r="B3507">
        <f>IFERROR(INDEX(Segmen!$A$3:$A$6000,MATCH(C3507,Segmen!$D$3:$D$6000,0)),"")</f>
        <v/>
      </c>
      <c r="C3507">
        <f>IFERROR(LARGE(Segmen!$D$3:$D$6000,A3507),"")</f>
        <v/>
      </c>
    </row>
    <row r="3508">
      <c r="A3508" t="n">
        <v>3507</v>
      </c>
      <c r="B3508">
        <f>IFERROR(INDEX(Segmen!$A$3:$A$6000,MATCH(C3508,Segmen!$D$3:$D$6000,0)),"")</f>
        <v/>
      </c>
      <c r="C3508">
        <f>IFERROR(LARGE(Segmen!$D$3:$D$6000,A3508),"")</f>
        <v/>
      </c>
    </row>
    <row r="3509">
      <c r="A3509" t="n">
        <v>3508</v>
      </c>
      <c r="B3509">
        <f>IFERROR(INDEX(Segmen!$A$3:$A$6000,MATCH(C3509,Segmen!$D$3:$D$6000,0)),"")</f>
        <v/>
      </c>
      <c r="C3509">
        <f>IFERROR(LARGE(Segmen!$D$3:$D$6000,A3509),"")</f>
        <v/>
      </c>
    </row>
    <row r="3510">
      <c r="A3510" t="n">
        <v>3509</v>
      </c>
      <c r="B3510">
        <f>IFERROR(INDEX(Segmen!$A$3:$A$6000,MATCH(C3510,Segmen!$D$3:$D$6000,0)),"")</f>
        <v/>
      </c>
      <c r="C3510">
        <f>IFERROR(LARGE(Segmen!$D$3:$D$6000,A3510),"")</f>
        <v/>
      </c>
    </row>
    <row r="3511">
      <c r="A3511" t="n">
        <v>3510</v>
      </c>
      <c r="B3511">
        <f>IFERROR(INDEX(Segmen!$A$3:$A$6000,MATCH(C3511,Segmen!$D$3:$D$6000,0)),"")</f>
        <v/>
      </c>
      <c r="C3511">
        <f>IFERROR(LARGE(Segmen!$D$3:$D$6000,A3511),"")</f>
        <v/>
      </c>
    </row>
    <row r="3512">
      <c r="A3512" t="n">
        <v>3511</v>
      </c>
      <c r="B3512">
        <f>IFERROR(INDEX(Segmen!$A$3:$A$6000,MATCH(C3512,Segmen!$D$3:$D$6000,0)),"")</f>
        <v/>
      </c>
      <c r="C3512">
        <f>IFERROR(LARGE(Segmen!$D$3:$D$6000,A3512),"")</f>
        <v/>
      </c>
    </row>
    <row r="3513">
      <c r="A3513" t="n">
        <v>3512</v>
      </c>
      <c r="B3513">
        <f>IFERROR(INDEX(Segmen!$A$3:$A$6000,MATCH(C3513,Segmen!$D$3:$D$6000,0)),"")</f>
        <v/>
      </c>
      <c r="C3513">
        <f>IFERROR(LARGE(Segmen!$D$3:$D$6000,A3513),"")</f>
        <v/>
      </c>
    </row>
    <row r="3514">
      <c r="A3514" t="n">
        <v>3513</v>
      </c>
      <c r="B3514">
        <f>IFERROR(INDEX(Segmen!$A$3:$A$6000,MATCH(C3514,Segmen!$D$3:$D$6000,0)),"")</f>
        <v/>
      </c>
      <c r="C3514">
        <f>IFERROR(LARGE(Segmen!$D$3:$D$6000,A3514),"")</f>
        <v/>
      </c>
    </row>
    <row r="3515">
      <c r="A3515" t="n">
        <v>3514</v>
      </c>
      <c r="B3515">
        <f>IFERROR(INDEX(Segmen!$A$3:$A$6000,MATCH(C3515,Segmen!$D$3:$D$6000,0)),"")</f>
        <v/>
      </c>
      <c r="C3515">
        <f>IFERROR(LARGE(Segmen!$D$3:$D$6000,A3515),"")</f>
        <v/>
      </c>
    </row>
    <row r="3516">
      <c r="A3516" t="n">
        <v>3515</v>
      </c>
      <c r="B3516">
        <f>IFERROR(INDEX(Segmen!$A$3:$A$6000,MATCH(C3516,Segmen!$D$3:$D$6000,0)),"")</f>
        <v/>
      </c>
      <c r="C3516">
        <f>IFERROR(LARGE(Segmen!$D$3:$D$6000,A3516),"")</f>
        <v/>
      </c>
    </row>
    <row r="3517">
      <c r="A3517" t="n">
        <v>3516</v>
      </c>
      <c r="B3517">
        <f>IFERROR(INDEX(Segmen!$A$3:$A$6000,MATCH(C3517,Segmen!$D$3:$D$6000,0)),"")</f>
        <v/>
      </c>
      <c r="C3517">
        <f>IFERROR(LARGE(Segmen!$D$3:$D$6000,A3517),"")</f>
        <v/>
      </c>
    </row>
    <row r="3518">
      <c r="A3518" t="n">
        <v>3517</v>
      </c>
      <c r="B3518">
        <f>IFERROR(INDEX(Segmen!$A$3:$A$6000,MATCH(C3518,Segmen!$D$3:$D$6000,0)),"")</f>
        <v/>
      </c>
      <c r="C3518">
        <f>IFERROR(LARGE(Segmen!$D$3:$D$6000,A3518),"")</f>
        <v/>
      </c>
    </row>
    <row r="3519">
      <c r="A3519" t="n">
        <v>3518</v>
      </c>
      <c r="B3519">
        <f>IFERROR(INDEX(Segmen!$A$3:$A$6000,MATCH(C3519,Segmen!$D$3:$D$6000,0)),"")</f>
        <v/>
      </c>
      <c r="C3519">
        <f>IFERROR(LARGE(Segmen!$D$3:$D$6000,A3519),"")</f>
        <v/>
      </c>
    </row>
    <row r="3520">
      <c r="A3520" t="n">
        <v>3519</v>
      </c>
      <c r="B3520">
        <f>IFERROR(INDEX(Segmen!$A$3:$A$6000,MATCH(C3520,Segmen!$D$3:$D$6000,0)),"")</f>
        <v/>
      </c>
      <c r="C3520">
        <f>IFERROR(LARGE(Segmen!$D$3:$D$6000,A3520),"")</f>
        <v/>
      </c>
    </row>
    <row r="3521">
      <c r="A3521" t="n">
        <v>3520</v>
      </c>
      <c r="B3521">
        <f>IFERROR(INDEX(Segmen!$A$3:$A$6000,MATCH(C3521,Segmen!$D$3:$D$6000,0)),"")</f>
        <v/>
      </c>
      <c r="C3521">
        <f>IFERROR(LARGE(Segmen!$D$3:$D$6000,A3521),"")</f>
        <v/>
      </c>
    </row>
    <row r="3522">
      <c r="A3522" t="n">
        <v>3521</v>
      </c>
      <c r="B3522">
        <f>IFERROR(INDEX(Segmen!$A$3:$A$6000,MATCH(C3522,Segmen!$D$3:$D$6000,0)),"")</f>
        <v/>
      </c>
      <c r="C3522">
        <f>IFERROR(LARGE(Segmen!$D$3:$D$6000,A3522),"")</f>
        <v/>
      </c>
    </row>
    <row r="3523">
      <c r="A3523" t="n">
        <v>3522</v>
      </c>
      <c r="B3523">
        <f>IFERROR(INDEX(Segmen!$A$3:$A$6000,MATCH(C3523,Segmen!$D$3:$D$6000,0)),"")</f>
        <v/>
      </c>
      <c r="C3523">
        <f>IFERROR(LARGE(Segmen!$D$3:$D$6000,A3523),"")</f>
        <v/>
      </c>
    </row>
    <row r="3524">
      <c r="A3524" t="n">
        <v>3523</v>
      </c>
      <c r="B3524">
        <f>IFERROR(INDEX(Segmen!$A$3:$A$6000,MATCH(C3524,Segmen!$D$3:$D$6000,0)),"")</f>
        <v/>
      </c>
      <c r="C3524">
        <f>IFERROR(LARGE(Segmen!$D$3:$D$6000,A3524),"")</f>
        <v/>
      </c>
    </row>
    <row r="3525">
      <c r="A3525" t="n">
        <v>3524</v>
      </c>
      <c r="B3525">
        <f>IFERROR(INDEX(Segmen!$A$3:$A$6000,MATCH(C3525,Segmen!$D$3:$D$6000,0)),"")</f>
        <v/>
      </c>
      <c r="C3525">
        <f>IFERROR(LARGE(Segmen!$D$3:$D$6000,A3525),"")</f>
        <v/>
      </c>
    </row>
    <row r="3526">
      <c r="A3526" t="n">
        <v>3525</v>
      </c>
      <c r="B3526">
        <f>IFERROR(INDEX(Segmen!$A$3:$A$6000,MATCH(C3526,Segmen!$D$3:$D$6000,0)),"")</f>
        <v/>
      </c>
      <c r="C3526">
        <f>IFERROR(LARGE(Segmen!$D$3:$D$6000,A3526),"")</f>
        <v/>
      </c>
    </row>
    <row r="3527">
      <c r="A3527" t="n">
        <v>3526</v>
      </c>
      <c r="B3527">
        <f>IFERROR(INDEX(Segmen!$A$3:$A$6000,MATCH(C3527,Segmen!$D$3:$D$6000,0)),"")</f>
        <v/>
      </c>
      <c r="C3527">
        <f>IFERROR(LARGE(Segmen!$D$3:$D$6000,A3527),"")</f>
        <v/>
      </c>
    </row>
    <row r="3528">
      <c r="A3528" t="n">
        <v>3527</v>
      </c>
      <c r="B3528">
        <f>IFERROR(INDEX(Segmen!$A$3:$A$6000,MATCH(C3528,Segmen!$D$3:$D$6000,0)),"")</f>
        <v/>
      </c>
      <c r="C3528">
        <f>IFERROR(LARGE(Segmen!$D$3:$D$6000,A3528),"")</f>
        <v/>
      </c>
    </row>
    <row r="3529">
      <c r="A3529" t="n">
        <v>3528</v>
      </c>
      <c r="B3529">
        <f>IFERROR(INDEX(Segmen!$A$3:$A$6000,MATCH(C3529,Segmen!$D$3:$D$6000,0)),"")</f>
        <v/>
      </c>
      <c r="C3529">
        <f>IFERROR(LARGE(Segmen!$D$3:$D$6000,A3529),"")</f>
        <v/>
      </c>
    </row>
    <row r="3530">
      <c r="A3530" t="n">
        <v>3529</v>
      </c>
      <c r="B3530">
        <f>IFERROR(INDEX(Segmen!$A$3:$A$6000,MATCH(C3530,Segmen!$D$3:$D$6000,0)),"")</f>
        <v/>
      </c>
      <c r="C3530">
        <f>IFERROR(LARGE(Segmen!$D$3:$D$6000,A3530),"")</f>
        <v/>
      </c>
    </row>
    <row r="3531">
      <c r="A3531" t="n">
        <v>3530</v>
      </c>
      <c r="B3531">
        <f>IFERROR(INDEX(Segmen!$A$3:$A$6000,MATCH(C3531,Segmen!$D$3:$D$6000,0)),"")</f>
        <v/>
      </c>
      <c r="C3531">
        <f>IFERROR(LARGE(Segmen!$D$3:$D$6000,A3531),"")</f>
        <v/>
      </c>
    </row>
    <row r="3532">
      <c r="A3532" t="n">
        <v>3531</v>
      </c>
      <c r="B3532">
        <f>IFERROR(INDEX(Segmen!$A$3:$A$6000,MATCH(C3532,Segmen!$D$3:$D$6000,0)),"")</f>
        <v/>
      </c>
      <c r="C3532">
        <f>IFERROR(LARGE(Segmen!$D$3:$D$6000,A3532),"")</f>
        <v/>
      </c>
    </row>
    <row r="3533">
      <c r="A3533" t="n">
        <v>3532</v>
      </c>
      <c r="B3533">
        <f>IFERROR(INDEX(Segmen!$A$3:$A$6000,MATCH(C3533,Segmen!$D$3:$D$6000,0)),"")</f>
        <v/>
      </c>
      <c r="C3533">
        <f>IFERROR(LARGE(Segmen!$D$3:$D$6000,A3533),"")</f>
        <v/>
      </c>
    </row>
    <row r="3534">
      <c r="A3534" t="n">
        <v>3533</v>
      </c>
      <c r="B3534">
        <f>IFERROR(INDEX(Segmen!$A$3:$A$6000,MATCH(C3534,Segmen!$D$3:$D$6000,0)),"")</f>
        <v/>
      </c>
      <c r="C3534">
        <f>IFERROR(LARGE(Segmen!$D$3:$D$6000,A3534),"")</f>
        <v/>
      </c>
    </row>
    <row r="3535">
      <c r="A3535" t="n">
        <v>3534</v>
      </c>
      <c r="B3535">
        <f>IFERROR(INDEX(Segmen!$A$3:$A$6000,MATCH(C3535,Segmen!$D$3:$D$6000,0)),"")</f>
        <v/>
      </c>
      <c r="C3535">
        <f>IFERROR(LARGE(Segmen!$D$3:$D$6000,A3535),"")</f>
        <v/>
      </c>
    </row>
    <row r="3536">
      <c r="A3536" t="n">
        <v>3535</v>
      </c>
      <c r="B3536">
        <f>IFERROR(INDEX(Segmen!$A$3:$A$6000,MATCH(C3536,Segmen!$D$3:$D$6000,0)),"")</f>
        <v/>
      </c>
      <c r="C3536">
        <f>IFERROR(LARGE(Segmen!$D$3:$D$6000,A3536),"")</f>
        <v/>
      </c>
    </row>
    <row r="3537">
      <c r="A3537" t="n">
        <v>3536</v>
      </c>
      <c r="B3537">
        <f>IFERROR(INDEX(Segmen!$A$3:$A$6000,MATCH(C3537,Segmen!$D$3:$D$6000,0)),"")</f>
        <v/>
      </c>
      <c r="C3537">
        <f>IFERROR(LARGE(Segmen!$D$3:$D$6000,A3537),"")</f>
        <v/>
      </c>
    </row>
    <row r="3538">
      <c r="A3538" t="n">
        <v>3537</v>
      </c>
      <c r="B3538">
        <f>IFERROR(INDEX(Segmen!$A$3:$A$6000,MATCH(C3538,Segmen!$D$3:$D$6000,0)),"")</f>
        <v/>
      </c>
      <c r="C3538">
        <f>IFERROR(LARGE(Segmen!$D$3:$D$6000,A3538),"")</f>
        <v/>
      </c>
    </row>
    <row r="3539">
      <c r="A3539" t="n">
        <v>3538</v>
      </c>
      <c r="B3539">
        <f>IFERROR(INDEX(Segmen!$A$3:$A$6000,MATCH(C3539,Segmen!$D$3:$D$6000,0)),"")</f>
        <v/>
      </c>
      <c r="C3539">
        <f>IFERROR(LARGE(Segmen!$D$3:$D$6000,A3539),"")</f>
        <v/>
      </c>
    </row>
    <row r="3540">
      <c r="A3540" t="n">
        <v>3539</v>
      </c>
      <c r="B3540">
        <f>IFERROR(INDEX(Segmen!$A$3:$A$6000,MATCH(C3540,Segmen!$D$3:$D$6000,0)),"")</f>
        <v/>
      </c>
      <c r="C3540">
        <f>IFERROR(LARGE(Segmen!$D$3:$D$6000,A3540),"")</f>
        <v/>
      </c>
    </row>
    <row r="3541">
      <c r="A3541" t="n">
        <v>3540</v>
      </c>
      <c r="B3541">
        <f>IFERROR(INDEX(Segmen!$A$3:$A$6000,MATCH(C3541,Segmen!$D$3:$D$6000,0)),"")</f>
        <v/>
      </c>
      <c r="C3541">
        <f>IFERROR(LARGE(Segmen!$D$3:$D$6000,A3541),"")</f>
        <v/>
      </c>
    </row>
    <row r="3542">
      <c r="A3542" t="n">
        <v>3541</v>
      </c>
      <c r="B3542">
        <f>IFERROR(INDEX(Segmen!$A$3:$A$6000,MATCH(C3542,Segmen!$D$3:$D$6000,0)),"")</f>
        <v/>
      </c>
      <c r="C3542">
        <f>IFERROR(LARGE(Segmen!$D$3:$D$6000,A3542),"")</f>
        <v/>
      </c>
    </row>
    <row r="3543">
      <c r="A3543" t="n">
        <v>3542</v>
      </c>
      <c r="B3543">
        <f>IFERROR(INDEX(Segmen!$A$3:$A$6000,MATCH(C3543,Segmen!$D$3:$D$6000,0)),"")</f>
        <v/>
      </c>
      <c r="C3543">
        <f>IFERROR(LARGE(Segmen!$D$3:$D$6000,A3543),"")</f>
        <v/>
      </c>
    </row>
    <row r="3544">
      <c r="A3544" t="n">
        <v>3543</v>
      </c>
      <c r="B3544">
        <f>IFERROR(INDEX(Segmen!$A$3:$A$6000,MATCH(C3544,Segmen!$D$3:$D$6000,0)),"")</f>
        <v/>
      </c>
      <c r="C3544">
        <f>IFERROR(LARGE(Segmen!$D$3:$D$6000,A3544),"")</f>
        <v/>
      </c>
    </row>
    <row r="3545">
      <c r="A3545" t="n">
        <v>3544</v>
      </c>
      <c r="B3545">
        <f>IFERROR(INDEX(Segmen!$A$3:$A$6000,MATCH(C3545,Segmen!$D$3:$D$6000,0)),"")</f>
        <v/>
      </c>
      <c r="C3545">
        <f>IFERROR(LARGE(Segmen!$D$3:$D$6000,A3545),"")</f>
        <v/>
      </c>
    </row>
    <row r="3546">
      <c r="A3546" t="n">
        <v>3545</v>
      </c>
      <c r="B3546">
        <f>IFERROR(INDEX(Segmen!$A$3:$A$6000,MATCH(C3546,Segmen!$D$3:$D$6000,0)),"")</f>
        <v/>
      </c>
      <c r="C3546">
        <f>IFERROR(LARGE(Segmen!$D$3:$D$6000,A3546),"")</f>
        <v/>
      </c>
    </row>
    <row r="3547">
      <c r="A3547" t="n">
        <v>3546</v>
      </c>
      <c r="B3547">
        <f>IFERROR(INDEX(Segmen!$A$3:$A$6000,MATCH(C3547,Segmen!$D$3:$D$6000,0)),"")</f>
        <v/>
      </c>
      <c r="C3547">
        <f>IFERROR(LARGE(Segmen!$D$3:$D$6000,A3547),"")</f>
        <v/>
      </c>
    </row>
    <row r="3548">
      <c r="A3548" t="n">
        <v>3547</v>
      </c>
      <c r="B3548">
        <f>IFERROR(INDEX(Segmen!$A$3:$A$6000,MATCH(C3548,Segmen!$D$3:$D$6000,0)),"")</f>
        <v/>
      </c>
      <c r="C3548">
        <f>IFERROR(LARGE(Segmen!$D$3:$D$6000,A3548),"")</f>
        <v/>
      </c>
    </row>
    <row r="3549">
      <c r="A3549" t="n">
        <v>3548</v>
      </c>
      <c r="B3549">
        <f>IFERROR(INDEX(Segmen!$A$3:$A$6000,MATCH(C3549,Segmen!$D$3:$D$6000,0)),"")</f>
        <v/>
      </c>
      <c r="C3549">
        <f>IFERROR(LARGE(Segmen!$D$3:$D$6000,A3549),"")</f>
        <v/>
      </c>
    </row>
    <row r="3550">
      <c r="A3550" t="n">
        <v>3549</v>
      </c>
      <c r="B3550">
        <f>IFERROR(INDEX(Segmen!$A$3:$A$6000,MATCH(C3550,Segmen!$D$3:$D$6000,0)),"")</f>
        <v/>
      </c>
      <c r="C3550">
        <f>IFERROR(LARGE(Segmen!$D$3:$D$6000,A3550),"")</f>
        <v/>
      </c>
    </row>
    <row r="3551">
      <c r="A3551" t="n">
        <v>3550</v>
      </c>
      <c r="B3551">
        <f>IFERROR(INDEX(Segmen!$A$3:$A$6000,MATCH(C3551,Segmen!$D$3:$D$6000,0)),"")</f>
        <v/>
      </c>
      <c r="C3551">
        <f>IFERROR(LARGE(Segmen!$D$3:$D$6000,A3551),"")</f>
        <v/>
      </c>
    </row>
    <row r="3552">
      <c r="A3552" t="n">
        <v>3551</v>
      </c>
      <c r="B3552">
        <f>IFERROR(INDEX(Segmen!$A$3:$A$6000,MATCH(C3552,Segmen!$D$3:$D$6000,0)),"")</f>
        <v/>
      </c>
      <c r="C3552">
        <f>IFERROR(LARGE(Segmen!$D$3:$D$6000,A3552),"")</f>
        <v/>
      </c>
    </row>
    <row r="3553">
      <c r="A3553" t="n">
        <v>3552</v>
      </c>
      <c r="B3553">
        <f>IFERROR(INDEX(Segmen!$A$3:$A$6000,MATCH(C3553,Segmen!$D$3:$D$6000,0)),"")</f>
        <v/>
      </c>
      <c r="C3553">
        <f>IFERROR(LARGE(Segmen!$D$3:$D$6000,A3553),"")</f>
        <v/>
      </c>
    </row>
    <row r="3554">
      <c r="A3554" t="n">
        <v>3553</v>
      </c>
      <c r="B3554">
        <f>IFERROR(INDEX(Segmen!$A$3:$A$6000,MATCH(C3554,Segmen!$D$3:$D$6000,0)),"")</f>
        <v/>
      </c>
      <c r="C3554">
        <f>IFERROR(LARGE(Segmen!$D$3:$D$6000,A3554),"")</f>
        <v/>
      </c>
    </row>
    <row r="3555">
      <c r="A3555" t="n">
        <v>3554</v>
      </c>
      <c r="B3555">
        <f>IFERROR(INDEX(Segmen!$A$3:$A$6000,MATCH(C3555,Segmen!$D$3:$D$6000,0)),"")</f>
        <v/>
      </c>
      <c r="C3555">
        <f>IFERROR(LARGE(Segmen!$D$3:$D$6000,A3555),"")</f>
        <v/>
      </c>
    </row>
    <row r="3556">
      <c r="A3556" t="n">
        <v>3555</v>
      </c>
      <c r="B3556">
        <f>IFERROR(INDEX(Segmen!$A$3:$A$6000,MATCH(C3556,Segmen!$D$3:$D$6000,0)),"")</f>
        <v/>
      </c>
      <c r="C3556">
        <f>IFERROR(LARGE(Segmen!$D$3:$D$6000,A3556),"")</f>
        <v/>
      </c>
    </row>
    <row r="3557">
      <c r="A3557" t="n">
        <v>3556</v>
      </c>
      <c r="B3557">
        <f>IFERROR(INDEX(Segmen!$A$3:$A$6000,MATCH(C3557,Segmen!$D$3:$D$6000,0)),"")</f>
        <v/>
      </c>
      <c r="C3557">
        <f>IFERROR(LARGE(Segmen!$D$3:$D$6000,A3557),"")</f>
        <v/>
      </c>
    </row>
    <row r="3558">
      <c r="A3558" t="n">
        <v>3557</v>
      </c>
      <c r="B3558">
        <f>IFERROR(INDEX(Segmen!$A$3:$A$6000,MATCH(C3558,Segmen!$D$3:$D$6000,0)),"")</f>
        <v/>
      </c>
      <c r="C3558">
        <f>IFERROR(LARGE(Segmen!$D$3:$D$6000,A3558),"")</f>
        <v/>
      </c>
    </row>
    <row r="3559">
      <c r="A3559" t="n">
        <v>3558</v>
      </c>
      <c r="B3559">
        <f>IFERROR(INDEX(Segmen!$A$3:$A$6000,MATCH(C3559,Segmen!$D$3:$D$6000,0)),"")</f>
        <v/>
      </c>
      <c r="C3559">
        <f>IFERROR(LARGE(Segmen!$D$3:$D$6000,A3559),"")</f>
        <v/>
      </c>
    </row>
    <row r="3560">
      <c r="A3560" t="n">
        <v>3559</v>
      </c>
      <c r="B3560">
        <f>IFERROR(INDEX(Segmen!$A$3:$A$6000,MATCH(C3560,Segmen!$D$3:$D$6000,0)),"")</f>
        <v/>
      </c>
      <c r="C3560">
        <f>IFERROR(LARGE(Segmen!$D$3:$D$6000,A3560),"")</f>
        <v/>
      </c>
    </row>
    <row r="3561">
      <c r="A3561" t="n">
        <v>3560</v>
      </c>
      <c r="B3561">
        <f>IFERROR(INDEX(Segmen!$A$3:$A$6000,MATCH(C3561,Segmen!$D$3:$D$6000,0)),"")</f>
        <v/>
      </c>
      <c r="C3561">
        <f>IFERROR(LARGE(Segmen!$D$3:$D$6000,A3561),"")</f>
        <v/>
      </c>
    </row>
    <row r="3562">
      <c r="A3562" t="n">
        <v>3561</v>
      </c>
      <c r="B3562">
        <f>IFERROR(INDEX(Segmen!$A$3:$A$6000,MATCH(C3562,Segmen!$D$3:$D$6000,0)),"")</f>
        <v/>
      </c>
      <c r="C3562">
        <f>IFERROR(LARGE(Segmen!$D$3:$D$6000,A3562),"")</f>
        <v/>
      </c>
    </row>
    <row r="3563">
      <c r="A3563" t="n">
        <v>3562</v>
      </c>
      <c r="B3563">
        <f>IFERROR(INDEX(Segmen!$A$3:$A$6000,MATCH(C3563,Segmen!$D$3:$D$6000,0)),"")</f>
        <v/>
      </c>
      <c r="C3563">
        <f>IFERROR(LARGE(Segmen!$D$3:$D$6000,A3563),"")</f>
        <v/>
      </c>
    </row>
    <row r="3564">
      <c r="A3564" t="n">
        <v>3563</v>
      </c>
      <c r="B3564">
        <f>IFERROR(INDEX(Segmen!$A$3:$A$6000,MATCH(C3564,Segmen!$D$3:$D$6000,0)),"")</f>
        <v/>
      </c>
      <c r="C3564">
        <f>IFERROR(LARGE(Segmen!$D$3:$D$6000,A3564),"")</f>
        <v/>
      </c>
    </row>
    <row r="3565">
      <c r="A3565" t="n">
        <v>3564</v>
      </c>
      <c r="B3565">
        <f>IFERROR(INDEX(Segmen!$A$3:$A$6000,MATCH(C3565,Segmen!$D$3:$D$6000,0)),"")</f>
        <v/>
      </c>
      <c r="C3565">
        <f>IFERROR(LARGE(Segmen!$D$3:$D$6000,A3565),"")</f>
        <v/>
      </c>
    </row>
    <row r="3566">
      <c r="A3566" t="n">
        <v>3565</v>
      </c>
      <c r="B3566">
        <f>IFERROR(INDEX(Segmen!$A$3:$A$6000,MATCH(C3566,Segmen!$D$3:$D$6000,0)),"")</f>
        <v/>
      </c>
      <c r="C3566">
        <f>IFERROR(LARGE(Segmen!$D$3:$D$6000,A3566),"")</f>
        <v/>
      </c>
    </row>
    <row r="3567">
      <c r="A3567" t="n">
        <v>3566</v>
      </c>
      <c r="B3567">
        <f>IFERROR(INDEX(Segmen!$A$3:$A$6000,MATCH(C3567,Segmen!$D$3:$D$6000,0)),"")</f>
        <v/>
      </c>
      <c r="C3567">
        <f>IFERROR(LARGE(Segmen!$D$3:$D$6000,A3567),"")</f>
        <v/>
      </c>
    </row>
    <row r="3568">
      <c r="A3568" t="n">
        <v>3567</v>
      </c>
      <c r="B3568">
        <f>IFERROR(INDEX(Segmen!$A$3:$A$6000,MATCH(C3568,Segmen!$D$3:$D$6000,0)),"")</f>
        <v/>
      </c>
      <c r="C3568">
        <f>IFERROR(LARGE(Segmen!$D$3:$D$6000,A3568),"")</f>
        <v/>
      </c>
    </row>
    <row r="3569">
      <c r="A3569" t="n">
        <v>3568</v>
      </c>
      <c r="B3569">
        <f>IFERROR(INDEX(Segmen!$A$3:$A$6000,MATCH(C3569,Segmen!$D$3:$D$6000,0)),"")</f>
        <v/>
      </c>
      <c r="C3569">
        <f>IFERROR(LARGE(Segmen!$D$3:$D$6000,A3569),"")</f>
        <v/>
      </c>
    </row>
    <row r="3570">
      <c r="A3570" t="n">
        <v>3569</v>
      </c>
      <c r="B3570">
        <f>IFERROR(INDEX(Segmen!$A$3:$A$6000,MATCH(C3570,Segmen!$D$3:$D$6000,0)),"")</f>
        <v/>
      </c>
      <c r="C3570">
        <f>IFERROR(LARGE(Segmen!$D$3:$D$6000,A3570),"")</f>
        <v/>
      </c>
    </row>
    <row r="3571">
      <c r="A3571" t="n">
        <v>3570</v>
      </c>
      <c r="B3571">
        <f>IFERROR(INDEX(Segmen!$A$3:$A$6000,MATCH(C3571,Segmen!$D$3:$D$6000,0)),"")</f>
        <v/>
      </c>
      <c r="C3571">
        <f>IFERROR(LARGE(Segmen!$D$3:$D$6000,A3571),"")</f>
        <v/>
      </c>
    </row>
    <row r="3572">
      <c r="A3572" t="n">
        <v>3571</v>
      </c>
      <c r="B3572">
        <f>IFERROR(INDEX(Segmen!$A$3:$A$6000,MATCH(C3572,Segmen!$D$3:$D$6000,0)),"")</f>
        <v/>
      </c>
      <c r="C3572">
        <f>IFERROR(LARGE(Segmen!$D$3:$D$6000,A3572),"")</f>
        <v/>
      </c>
    </row>
    <row r="3573">
      <c r="A3573" t="n">
        <v>3572</v>
      </c>
      <c r="B3573">
        <f>IFERROR(INDEX(Segmen!$A$3:$A$6000,MATCH(C3573,Segmen!$D$3:$D$6000,0)),"")</f>
        <v/>
      </c>
      <c r="C3573">
        <f>IFERROR(LARGE(Segmen!$D$3:$D$6000,A3573),"")</f>
        <v/>
      </c>
    </row>
    <row r="3574">
      <c r="A3574" t="n">
        <v>3573</v>
      </c>
      <c r="B3574">
        <f>IFERROR(INDEX(Segmen!$A$3:$A$6000,MATCH(C3574,Segmen!$D$3:$D$6000,0)),"")</f>
        <v/>
      </c>
      <c r="C3574">
        <f>IFERROR(LARGE(Segmen!$D$3:$D$6000,A3574),"")</f>
        <v/>
      </c>
    </row>
    <row r="3575">
      <c r="A3575" t="n">
        <v>3574</v>
      </c>
      <c r="B3575">
        <f>IFERROR(INDEX(Segmen!$A$3:$A$6000,MATCH(C3575,Segmen!$D$3:$D$6000,0)),"")</f>
        <v/>
      </c>
      <c r="C3575">
        <f>IFERROR(LARGE(Segmen!$D$3:$D$6000,A3575),"")</f>
        <v/>
      </c>
    </row>
    <row r="3576">
      <c r="A3576" t="n">
        <v>3575</v>
      </c>
      <c r="B3576">
        <f>IFERROR(INDEX(Segmen!$A$3:$A$6000,MATCH(C3576,Segmen!$D$3:$D$6000,0)),"")</f>
        <v/>
      </c>
      <c r="C3576">
        <f>IFERROR(LARGE(Segmen!$D$3:$D$6000,A3576),"")</f>
        <v/>
      </c>
    </row>
    <row r="3577">
      <c r="A3577" t="n">
        <v>3576</v>
      </c>
      <c r="B3577">
        <f>IFERROR(INDEX(Segmen!$A$3:$A$6000,MATCH(C3577,Segmen!$D$3:$D$6000,0)),"")</f>
        <v/>
      </c>
      <c r="C3577">
        <f>IFERROR(LARGE(Segmen!$D$3:$D$6000,A3577),"")</f>
        <v/>
      </c>
    </row>
    <row r="3578">
      <c r="A3578" t="n">
        <v>3577</v>
      </c>
      <c r="B3578">
        <f>IFERROR(INDEX(Segmen!$A$3:$A$6000,MATCH(C3578,Segmen!$D$3:$D$6000,0)),"")</f>
        <v/>
      </c>
      <c r="C3578">
        <f>IFERROR(LARGE(Segmen!$D$3:$D$6000,A3578),"")</f>
        <v/>
      </c>
    </row>
    <row r="3579">
      <c r="A3579" t="n">
        <v>3578</v>
      </c>
      <c r="B3579">
        <f>IFERROR(INDEX(Segmen!$A$3:$A$6000,MATCH(C3579,Segmen!$D$3:$D$6000,0)),"")</f>
        <v/>
      </c>
      <c r="C3579">
        <f>IFERROR(LARGE(Segmen!$D$3:$D$6000,A3579),"")</f>
        <v/>
      </c>
    </row>
    <row r="3580">
      <c r="A3580" t="n">
        <v>3579</v>
      </c>
      <c r="B3580">
        <f>IFERROR(INDEX(Segmen!$A$3:$A$6000,MATCH(C3580,Segmen!$D$3:$D$6000,0)),"")</f>
        <v/>
      </c>
      <c r="C3580">
        <f>IFERROR(LARGE(Segmen!$D$3:$D$6000,A3580),"")</f>
        <v/>
      </c>
    </row>
    <row r="3581">
      <c r="A3581" t="n">
        <v>3580</v>
      </c>
      <c r="B3581">
        <f>IFERROR(INDEX(Segmen!$A$3:$A$6000,MATCH(C3581,Segmen!$D$3:$D$6000,0)),"")</f>
        <v/>
      </c>
      <c r="C3581">
        <f>IFERROR(LARGE(Segmen!$D$3:$D$6000,A3581),"")</f>
        <v/>
      </c>
    </row>
    <row r="3582">
      <c r="A3582" t="n">
        <v>3581</v>
      </c>
      <c r="B3582">
        <f>IFERROR(INDEX(Segmen!$A$3:$A$6000,MATCH(C3582,Segmen!$D$3:$D$6000,0)),"")</f>
        <v/>
      </c>
      <c r="C3582">
        <f>IFERROR(LARGE(Segmen!$D$3:$D$6000,A3582),"")</f>
        <v/>
      </c>
    </row>
    <row r="3583">
      <c r="A3583" t="n">
        <v>3582</v>
      </c>
      <c r="B3583">
        <f>IFERROR(INDEX(Segmen!$A$3:$A$6000,MATCH(C3583,Segmen!$D$3:$D$6000,0)),"")</f>
        <v/>
      </c>
      <c r="C3583">
        <f>IFERROR(LARGE(Segmen!$D$3:$D$6000,A3583),"")</f>
        <v/>
      </c>
    </row>
    <row r="3584">
      <c r="A3584" t="n">
        <v>3583</v>
      </c>
      <c r="B3584">
        <f>IFERROR(INDEX(Segmen!$A$3:$A$6000,MATCH(C3584,Segmen!$D$3:$D$6000,0)),"")</f>
        <v/>
      </c>
      <c r="C3584">
        <f>IFERROR(LARGE(Segmen!$D$3:$D$6000,A3584),"")</f>
        <v/>
      </c>
    </row>
    <row r="3585">
      <c r="A3585" t="n">
        <v>3584</v>
      </c>
      <c r="B3585">
        <f>IFERROR(INDEX(Segmen!$A$3:$A$6000,MATCH(C3585,Segmen!$D$3:$D$6000,0)),"")</f>
        <v/>
      </c>
      <c r="C3585">
        <f>IFERROR(LARGE(Segmen!$D$3:$D$6000,A3585),"")</f>
        <v/>
      </c>
    </row>
    <row r="3586">
      <c r="A3586" t="n">
        <v>3585</v>
      </c>
      <c r="B3586">
        <f>IFERROR(INDEX(Segmen!$A$3:$A$6000,MATCH(C3586,Segmen!$D$3:$D$6000,0)),"")</f>
        <v/>
      </c>
      <c r="C3586">
        <f>IFERROR(LARGE(Segmen!$D$3:$D$6000,A3586),"")</f>
        <v/>
      </c>
    </row>
    <row r="3587">
      <c r="A3587" t="n">
        <v>3586</v>
      </c>
      <c r="B3587">
        <f>IFERROR(INDEX(Segmen!$A$3:$A$6000,MATCH(C3587,Segmen!$D$3:$D$6000,0)),"")</f>
        <v/>
      </c>
      <c r="C3587">
        <f>IFERROR(LARGE(Segmen!$D$3:$D$6000,A3587),"")</f>
        <v/>
      </c>
    </row>
    <row r="3588">
      <c r="A3588" t="n">
        <v>3587</v>
      </c>
      <c r="B3588">
        <f>IFERROR(INDEX(Segmen!$A$3:$A$6000,MATCH(C3588,Segmen!$D$3:$D$6000,0)),"")</f>
        <v/>
      </c>
      <c r="C3588">
        <f>IFERROR(LARGE(Segmen!$D$3:$D$6000,A3588),"")</f>
        <v/>
      </c>
    </row>
    <row r="3589">
      <c r="A3589" t="n">
        <v>3588</v>
      </c>
      <c r="B3589">
        <f>IFERROR(INDEX(Segmen!$A$3:$A$6000,MATCH(C3589,Segmen!$D$3:$D$6000,0)),"")</f>
        <v/>
      </c>
      <c r="C3589">
        <f>IFERROR(LARGE(Segmen!$D$3:$D$6000,A3589),"")</f>
        <v/>
      </c>
    </row>
    <row r="3590">
      <c r="A3590" t="n">
        <v>3589</v>
      </c>
      <c r="B3590">
        <f>IFERROR(INDEX(Segmen!$A$3:$A$6000,MATCH(C3590,Segmen!$D$3:$D$6000,0)),"")</f>
        <v/>
      </c>
      <c r="C3590">
        <f>IFERROR(LARGE(Segmen!$D$3:$D$6000,A3590),"")</f>
        <v/>
      </c>
    </row>
    <row r="3591">
      <c r="A3591" t="n">
        <v>3590</v>
      </c>
      <c r="B3591">
        <f>IFERROR(INDEX(Segmen!$A$3:$A$6000,MATCH(C3591,Segmen!$D$3:$D$6000,0)),"")</f>
        <v/>
      </c>
      <c r="C3591">
        <f>IFERROR(LARGE(Segmen!$D$3:$D$6000,A3591),"")</f>
        <v/>
      </c>
    </row>
    <row r="3592">
      <c r="A3592" t="n">
        <v>3591</v>
      </c>
      <c r="B3592">
        <f>IFERROR(INDEX(Segmen!$A$3:$A$6000,MATCH(C3592,Segmen!$D$3:$D$6000,0)),"")</f>
        <v/>
      </c>
      <c r="C3592">
        <f>IFERROR(LARGE(Segmen!$D$3:$D$6000,A3592),"")</f>
        <v/>
      </c>
    </row>
    <row r="3593">
      <c r="A3593" t="n">
        <v>3592</v>
      </c>
      <c r="B3593">
        <f>IFERROR(INDEX(Segmen!$A$3:$A$6000,MATCH(C3593,Segmen!$D$3:$D$6000,0)),"")</f>
        <v/>
      </c>
      <c r="C3593">
        <f>IFERROR(LARGE(Segmen!$D$3:$D$6000,A3593),"")</f>
        <v/>
      </c>
    </row>
    <row r="3594">
      <c r="A3594" t="n">
        <v>3593</v>
      </c>
      <c r="B3594">
        <f>IFERROR(INDEX(Segmen!$A$3:$A$6000,MATCH(C3594,Segmen!$D$3:$D$6000,0)),"")</f>
        <v/>
      </c>
      <c r="C3594">
        <f>IFERROR(LARGE(Segmen!$D$3:$D$6000,A3594),"")</f>
        <v/>
      </c>
    </row>
    <row r="3595">
      <c r="A3595" t="n">
        <v>3594</v>
      </c>
      <c r="B3595">
        <f>IFERROR(INDEX(Segmen!$A$3:$A$6000,MATCH(C3595,Segmen!$D$3:$D$6000,0)),"")</f>
        <v/>
      </c>
      <c r="C3595">
        <f>IFERROR(LARGE(Segmen!$D$3:$D$6000,A3595),"")</f>
        <v/>
      </c>
    </row>
    <row r="3596">
      <c r="A3596" t="n">
        <v>3595</v>
      </c>
      <c r="B3596">
        <f>IFERROR(INDEX(Segmen!$A$3:$A$6000,MATCH(C3596,Segmen!$D$3:$D$6000,0)),"")</f>
        <v/>
      </c>
      <c r="C3596">
        <f>IFERROR(LARGE(Segmen!$D$3:$D$6000,A3596),"")</f>
        <v/>
      </c>
    </row>
    <row r="3597">
      <c r="A3597" t="n">
        <v>3596</v>
      </c>
      <c r="B3597">
        <f>IFERROR(INDEX(Segmen!$A$3:$A$6000,MATCH(C3597,Segmen!$D$3:$D$6000,0)),"")</f>
        <v/>
      </c>
      <c r="C3597">
        <f>IFERROR(LARGE(Segmen!$D$3:$D$6000,A3597),"")</f>
        <v/>
      </c>
    </row>
    <row r="3598">
      <c r="A3598" t="n">
        <v>3597</v>
      </c>
      <c r="B3598">
        <f>IFERROR(INDEX(Segmen!$A$3:$A$6000,MATCH(C3598,Segmen!$D$3:$D$6000,0)),"")</f>
        <v/>
      </c>
      <c r="C3598">
        <f>IFERROR(LARGE(Segmen!$D$3:$D$6000,A3598),"")</f>
        <v/>
      </c>
    </row>
    <row r="3599">
      <c r="A3599" t="n">
        <v>3598</v>
      </c>
      <c r="B3599">
        <f>IFERROR(INDEX(Segmen!$A$3:$A$6000,MATCH(C3599,Segmen!$D$3:$D$6000,0)),"")</f>
        <v/>
      </c>
      <c r="C3599">
        <f>IFERROR(LARGE(Segmen!$D$3:$D$6000,A3599),"")</f>
        <v/>
      </c>
    </row>
    <row r="3600">
      <c r="A3600" t="n">
        <v>3599</v>
      </c>
      <c r="B3600">
        <f>IFERROR(INDEX(Segmen!$A$3:$A$6000,MATCH(C3600,Segmen!$D$3:$D$6000,0)),"")</f>
        <v/>
      </c>
      <c r="C3600">
        <f>IFERROR(LARGE(Segmen!$D$3:$D$6000,A3600),"")</f>
        <v/>
      </c>
    </row>
    <row r="3601">
      <c r="A3601" t="n">
        <v>3600</v>
      </c>
      <c r="B3601">
        <f>IFERROR(INDEX(Segmen!$A$3:$A$6000,MATCH(C3601,Segmen!$D$3:$D$6000,0)),"")</f>
        <v/>
      </c>
      <c r="C3601">
        <f>IFERROR(LARGE(Segmen!$D$3:$D$6000,A3601),"")</f>
        <v/>
      </c>
    </row>
    <row r="3602">
      <c r="A3602" t="n">
        <v>3601</v>
      </c>
      <c r="B3602">
        <f>IFERROR(INDEX(Segmen!$A$3:$A$6000,MATCH(C3602,Segmen!$D$3:$D$6000,0)),"")</f>
        <v/>
      </c>
      <c r="C3602">
        <f>IFERROR(LARGE(Segmen!$D$3:$D$6000,A3602),"")</f>
        <v/>
      </c>
    </row>
    <row r="3603">
      <c r="A3603" t="n">
        <v>3602</v>
      </c>
      <c r="B3603">
        <f>IFERROR(INDEX(Segmen!$A$3:$A$6000,MATCH(C3603,Segmen!$D$3:$D$6000,0)),"")</f>
        <v/>
      </c>
      <c r="C3603">
        <f>IFERROR(LARGE(Segmen!$D$3:$D$6000,A3603),"")</f>
        <v/>
      </c>
    </row>
    <row r="3604">
      <c r="A3604" t="n">
        <v>3603</v>
      </c>
      <c r="B3604">
        <f>IFERROR(INDEX(Segmen!$A$3:$A$6000,MATCH(C3604,Segmen!$D$3:$D$6000,0)),"")</f>
        <v/>
      </c>
      <c r="C3604">
        <f>IFERROR(LARGE(Segmen!$D$3:$D$6000,A3604),"")</f>
        <v/>
      </c>
    </row>
    <row r="3605">
      <c r="A3605" t="n">
        <v>3604</v>
      </c>
      <c r="B3605">
        <f>IFERROR(INDEX(Segmen!$A$3:$A$6000,MATCH(C3605,Segmen!$D$3:$D$6000,0)),"")</f>
        <v/>
      </c>
      <c r="C3605">
        <f>IFERROR(LARGE(Segmen!$D$3:$D$6000,A3605),"")</f>
        <v/>
      </c>
    </row>
    <row r="3606">
      <c r="A3606" t="n">
        <v>3605</v>
      </c>
      <c r="B3606">
        <f>IFERROR(INDEX(Segmen!$A$3:$A$6000,MATCH(C3606,Segmen!$D$3:$D$6000,0)),"")</f>
        <v/>
      </c>
      <c r="C3606">
        <f>IFERROR(LARGE(Segmen!$D$3:$D$6000,A3606),"")</f>
        <v/>
      </c>
    </row>
    <row r="3607">
      <c r="A3607" t="n">
        <v>3606</v>
      </c>
      <c r="B3607">
        <f>IFERROR(INDEX(Segmen!$A$3:$A$6000,MATCH(C3607,Segmen!$D$3:$D$6000,0)),"")</f>
        <v/>
      </c>
      <c r="C3607">
        <f>IFERROR(LARGE(Segmen!$D$3:$D$6000,A3607),"")</f>
        <v/>
      </c>
    </row>
    <row r="3608">
      <c r="A3608" t="n">
        <v>3607</v>
      </c>
      <c r="B3608">
        <f>IFERROR(INDEX(Segmen!$A$3:$A$6000,MATCH(C3608,Segmen!$D$3:$D$6000,0)),"")</f>
        <v/>
      </c>
      <c r="C3608">
        <f>IFERROR(LARGE(Segmen!$D$3:$D$6000,A3608),"")</f>
        <v/>
      </c>
    </row>
    <row r="3609">
      <c r="A3609" t="n">
        <v>3608</v>
      </c>
      <c r="B3609">
        <f>IFERROR(INDEX(Segmen!$A$3:$A$6000,MATCH(C3609,Segmen!$D$3:$D$6000,0)),"")</f>
        <v/>
      </c>
      <c r="C3609">
        <f>IFERROR(LARGE(Segmen!$D$3:$D$6000,A3609),"")</f>
        <v/>
      </c>
    </row>
    <row r="3610">
      <c r="A3610" t="n">
        <v>3609</v>
      </c>
      <c r="B3610">
        <f>IFERROR(INDEX(Segmen!$A$3:$A$6000,MATCH(C3610,Segmen!$D$3:$D$6000,0)),"")</f>
        <v/>
      </c>
      <c r="C3610">
        <f>IFERROR(LARGE(Segmen!$D$3:$D$6000,A3610),"")</f>
        <v/>
      </c>
    </row>
    <row r="3611">
      <c r="A3611" t="n">
        <v>3610</v>
      </c>
      <c r="B3611">
        <f>IFERROR(INDEX(Segmen!$A$3:$A$6000,MATCH(C3611,Segmen!$D$3:$D$6000,0)),"")</f>
        <v/>
      </c>
      <c r="C3611">
        <f>IFERROR(LARGE(Segmen!$D$3:$D$6000,A3611),"")</f>
        <v/>
      </c>
    </row>
    <row r="3612">
      <c r="A3612" t="n">
        <v>3611</v>
      </c>
      <c r="B3612">
        <f>IFERROR(INDEX(Segmen!$A$3:$A$6000,MATCH(C3612,Segmen!$D$3:$D$6000,0)),"")</f>
        <v/>
      </c>
      <c r="C3612">
        <f>IFERROR(LARGE(Segmen!$D$3:$D$6000,A3612),"")</f>
        <v/>
      </c>
    </row>
    <row r="3613">
      <c r="A3613" t="n">
        <v>3612</v>
      </c>
      <c r="B3613">
        <f>IFERROR(INDEX(Segmen!$A$3:$A$6000,MATCH(C3613,Segmen!$D$3:$D$6000,0)),"")</f>
        <v/>
      </c>
      <c r="C3613">
        <f>IFERROR(LARGE(Segmen!$D$3:$D$6000,A3613),"")</f>
        <v/>
      </c>
    </row>
    <row r="3614">
      <c r="A3614" t="n">
        <v>3613</v>
      </c>
      <c r="B3614">
        <f>IFERROR(INDEX(Segmen!$A$3:$A$6000,MATCH(C3614,Segmen!$D$3:$D$6000,0)),"")</f>
        <v/>
      </c>
      <c r="C3614">
        <f>IFERROR(LARGE(Segmen!$D$3:$D$6000,A3614),"")</f>
        <v/>
      </c>
    </row>
    <row r="3615">
      <c r="A3615" t="n">
        <v>3614</v>
      </c>
      <c r="B3615">
        <f>IFERROR(INDEX(Segmen!$A$3:$A$6000,MATCH(C3615,Segmen!$D$3:$D$6000,0)),"")</f>
        <v/>
      </c>
      <c r="C3615">
        <f>IFERROR(LARGE(Segmen!$D$3:$D$6000,A3615),"")</f>
        <v/>
      </c>
    </row>
    <row r="3616">
      <c r="A3616" t="n">
        <v>3615</v>
      </c>
      <c r="B3616">
        <f>IFERROR(INDEX(Segmen!$A$3:$A$6000,MATCH(C3616,Segmen!$D$3:$D$6000,0)),"")</f>
        <v/>
      </c>
      <c r="C3616">
        <f>IFERROR(LARGE(Segmen!$D$3:$D$6000,A3616),"")</f>
        <v/>
      </c>
    </row>
    <row r="3617">
      <c r="A3617" t="n">
        <v>3616</v>
      </c>
      <c r="B3617">
        <f>IFERROR(INDEX(Segmen!$A$3:$A$6000,MATCH(C3617,Segmen!$D$3:$D$6000,0)),"")</f>
        <v/>
      </c>
      <c r="C3617">
        <f>IFERROR(LARGE(Segmen!$D$3:$D$6000,A3617),"")</f>
        <v/>
      </c>
    </row>
    <row r="3618">
      <c r="A3618" t="n">
        <v>3617</v>
      </c>
      <c r="B3618">
        <f>IFERROR(INDEX(Segmen!$A$3:$A$6000,MATCH(C3618,Segmen!$D$3:$D$6000,0)),"")</f>
        <v/>
      </c>
      <c r="C3618">
        <f>IFERROR(LARGE(Segmen!$D$3:$D$6000,A3618),"")</f>
        <v/>
      </c>
    </row>
    <row r="3619">
      <c r="A3619" t="n">
        <v>3618</v>
      </c>
      <c r="B3619">
        <f>IFERROR(INDEX(Segmen!$A$3:$A$6000,MATCH(C3619,Segmen!$D$3:$D$6000,0)),"")</f>
        <v/>
      </c>
      <c r="C3619">
        <f>IFERROR(LARGE(Segmen!$D$3:$D$6000,A3619),"")</f>
        <v/>
      </c>
    </row>
    <row r="3620">
      <c r="A3620" t="n">
        <v>3619</v>
      </c>
      <c r="B3620">
        <f>IFERROR(INDEX(Segmen!$A$3:$A$6000,MATCH(C3620,Segmen!$D$3:$D$6000,0)),"")</f>
        <v/>
      </c>
      <c r="C3620">
        <f>IFERROR(LARGE(Segmen!$D$3:$D$6000,A3620),"")</f>
        <v/>
      </c>
    </row>
    <row r="3621">
      <c r="A3621" t="n">
        <v>3620</v>
      </c>
      <c r="B3621">
        <f>IFERROR(INDEX(Segmen!$A$3:$A$6000,MATCH(C3621,Segmen!$D$3:$D$6000,0)),"")</f>
        <v/>
      </c>
      <c r="C3621">
        <f>IFERROR(LARGE(Segmen!$D$3:$D$6000,A3621),"")</f>
        <v/>
      </c>
    </row>
    <row r="3622">
      <c r="A3622" t="n">
        <v>3621</v>
      </c>
      <c r="B3622">
        <f>IFERROR(INDEX(Segmen!$A$3:$A$6000,MATCH(C3622,Segmen!$D$3:$D$6000,0)),"")</f>
        <v/>
      </c>
      <c r="C3622">
        <f>IFERROR(LARGE(Segmen!$D$3:$D$6000,A3622),"")</f>
        <v/>
      </c>
    </row>
    <row r="3623">
      <c r="A3623" t="n">
        <v>3622</v>
      </c>
      <c r="B3623">
        <f>IFERROR(INDEX(Segmen!$A$3:$A$6000,MATCH(C3623,Segmen!$D$3:$D$6000,0)),"")</f>
        <v/>
      </c>
      <c r="C3623">
        <f>IFERROR(LARGE(Segmen!$D$3:$D$6000,A3623),"")</f>
        <v/>
      </c>
    </row>
    <row r="3624">
      <c r="A3624" t="n">
        <v>3623</v>
      </c>
      <c r="B3624">
        <f>IFERROR(INDEX(Segmen!$A$3:$A$6000,MATCH(C3624,Segmen!$D$3:$D$6000,0)),"")</f>
        <v/>
      </c>
      <c r="C3624">
        <f>IFERROR(LARGE(Segmen!$D$3:$D$6000,A3624),"")</f>
        <v/>
      </c>
    </row>
    <row r="3625">
      <c r="A3625" t="n">
        <v>3624</v>
      </c>
      <c r="B3625">
        <f>IFERROR(INDEX(Segmen!$A$3:$A$6000,MATCH(C3625,Segmen!$D$3:$D$6000,0)),"")</f>
        <v/>
      </c>
      <c r="C3625">
        <f>IFERROR(LARGE(Segmen!$D$3:$D$6000,A3625),"")</f>
        <v/>
      </c>
    </row>
    <row r="3626">
      <c r="A3626" t="n">
        <v>3625</v>
      </c>
      <c r="B3626">
        <f>IFERROR(INDEX(Segmen!$A$3:$A$6000,MATCH(C3626,Segmen!$D$3:$D$6000,0)),"")</f>
        <v/>
      </c>
      <c r="C3626">
        <f>IFERROR(LARGE(Segmen!$D$3:$D$6000,A3626),"")</f>
        <v/>
      </c>
    </row>
    <row r="3627">
      <c r="A3627" t="n">
        <v>3626</v>
      </c>
      <c r="B3627">
        <f>IFERROR(INDEX(Segmen!$A$3:$A$6000,MATCH(C3627,Segmen!$D$3:$D$6000,0)),"")</f>
        <v/>
      </c>
      <c r="C3627">
        <f>IFERROR(LARGE(Segmen!$D$3:$D$6000,A3627),"")</f>
        <v/>
      </c>
    </row>
    <row r="3628">
      <c r="A3628" t="n">
        <v>3627</v>
      </c>
      <c r="B3628">
        <f>IFERROR(INDEX(Segmen!$A$3:$A$6000,MATCH(C3628,Segmen!$D$3:$D$6000,0)),"")</f>
        <v/>
      </c>
      <c r="C3628">
        <f>IFERROR(LARGE(Segmen!$D$3:$D$6000,A3628),"")</f>
        <v/>
      </c>
    </row>
    <row r="3629">
      <c r="A3629" t="n">
        <v>3628</v>
      </c>
      <c r="B3629">
        <f>IFERROR(INDEX(Segmen!$A$3:$A$6000,MATCH(C3629,Segmen!$D$3:$D$6000,0)),"")</f>
        <v/>
      </c>
      <c r="C3629">
        <f>IFERROR(LARGE(Segmen!$D$3:$D$6000,A3629),"")</f>
        <v/>
      </c>
    </row>
    <row r="3630">
      <c r="A3630" t="n">
        <v>3629</v>
      </c>
      <c r="B3630">
        <f>IFERROR(INDEX(Segmen!$A$3:$A$6000,MATCH(C3630,Segmen!$D$3:$D$6000,0)),"")</f>
        <v/>
      </c>
      <c r="C3630">
        <f>IFERROR(LARGE(Segmen!$D$3:$D$6000,A3630),"")</f>
        <v/>
      </c>
    </row>
    <row r="3631">
      <c r="A3631" t="n">
        <v>3630</v>
      </c>
      <c r="B3631">
        <f>IFERROR(INDEX(Segmen!$A$3:$A$6000,MATCH(C3631,Segmen!$D$3:$D$6000,0)),"")</f>
        <v/>
      </c>
      <c r="C3631">
        <f>IFERROR(LARGE(Segmen!$D$3:$D$6000,A3631),"")</f>
        <v/>
      </c>
    </row>
    <row r="3632">
      <c r="A3632" t="n">
        <v>3631</v>
      </c>
      <c r="B3632">
        <f>IFERROR(INDEX(Segmen!$A$3:$A$6000,MATCH(C3632,Segmen!$D$3:$D$6000,0)),"")</f>
        <v/>
      </c>
      <c r="C3632">
        <f>IFERROR(LARGE(Segmen!$D$3:$D$6000,A3632),"")</f>
        <v/>
      </c>
    </row>
    <row r="3633">
      <c r="A3633" t="n">
        <v>3632</v>
      </c>
      <c r="B3633">
        <f>IFERROR(INDEX(Segmen!$A$3:$A$6000,MATCH(C3633,Segmen!$D$3:$D$6000,0)),"")</f>
        <v/>
      </c>
      <c r="C3633">
        <f>IFERROR(LARGE(Segmen!$D$3:$D$6000,A3633),"")</f>
        <v/>
      </c>
    </row>
    <row r="3634">
      <c r="A3634" t="n">
        <v>3633</v>
      </c>
      <c r="B3634">
        <f>IFERROR(INDEX(Segmen!$A$3:$A$6000,MATCH(C3634,Segmen!$D$3:$D$6000,0)),"")</f>
        <v/>
      </c>
      <c r="C3634">
        <f>IFERROR(LARGE(Segmen!$D$3:$D$6000,A3634),"")</f>
        <v/>
      </c>
    </row>
    <row r="3635">
      <c r="A3635" t="n">
        <v>3634</v>
      </c>
      <c r="B3635">
        <f>IFERROR(INDEX(Segmen!$A$3:$A$6000,MATCH(C3635,Segmen!$D$3:$D$6000,0)),"")</f>
        <v/>
      </c>
      <c r="C3635">
        <f>IFERROR(LARGE(Segmen!$D$3:$D$6000,A3635),"")</f>
        <v/>
      </c>
    </row>
    <row r="3636">
      <c r="A3636" t="n">
        <v>3635</v>
      </c>
      <c r="B3636">
        <f>IFERROR(INDEX(Segmen!$A$3:$A$6000,MATCH(C3636,Segmen!$D$3:$D$6000,0)),"")</f>
        <v/>
      </c>
      <c r="C3636">
        <f>IFERROR(LARGE(Segmen!$D$3:$D$6000,A3636),"")</f>
        <v/>
      </c>
    </row>
    <row r="3637">
      <c r="A3637" t="n">
        <v>3636</v>
      </c>
      <c r="B3637">
        <f>IFERROR(INDEX(Segmen!$A$3:$A$6000,MATCH(C3637,Segmen!$D$3:$D$6000,0)),"")</f>
        <v/>
      </c>
      <c r="C3637">
        <f>IFERROR(LARGE(Segmen!$D$3:$D$6000,A3637),"")</f>
        <v/>
      </c>
    </row>
    <row r="3638">
      <c r="A3638" t="n">
        <v>3637</v>
      </c>
      <c r="B3638">
        <f>IFERROR(INDEX(Segmen!$A$3:$A$6000,MATCH(C3638,Segmen!$D$3:$D$6000,0)),"")</f>
        <v/>
      </c>
      <c r="C3638">
        <f>IFERROR(LARGE(Segmen!$D$3:$D$6000,A3638),"")</f>
        <v/>
      </c>
    </row>
    <row r="3639">
      <c r="A3639" t="n">
        <v>3638</v>
      </c>
      <c r="B3639">
        <f>IFERROR(INDEX(Segmen!$A$3:$A$6000,MATCH(C3639,Segmen!$D$3:$D$6000,0)),"")</f>
        <v/>
      </c>
      <c r="C3639">
        <f>IFERROR(LARGE(Segmen!$D$3:$D$6000,A3639),"")</f>
        <v/>
      </c>
    </row>
    <row r="3640">
      <c r="A3640" t="n">
        <v>3639</v>
      </c>
      <c r="B3640">
        <f>IFERROR(INDEX(Segmen!$A$3:$A$6000,MATCH(C3640,Segmen!$D$3:$D$6000,0)),"")</f>
        <v/>
      </c>
      <c r="C3640">
        <f>IFERROR(LARGE(Segmen!$D$3:$D$6000,A3640),"")</f>
        <v/>
      </c>
    </row>
    <row r="3641">
      <c r="A3641" t="n">
        <v>3640</v>
      </c>
      <c r="B3641">
        <f>IFERROR(INDEX(Segmen!$A$3:$A$6000,MATCH(C3641,Segmen!$D$3:$D$6000,0)),"")</f>
        <v/>
      </c>
      <c r="C3641">
        <f>IFERROR(LARGE(Segmen!$D$3:$D$6000,A3641),"")</f>
        <v/>
      </c>
    </row>
    <row r="3642">
      <c r="A3642" t="n">
        <v>3641</v>
      </c>
      <c r="B3642">
        <f>IFERROR(INDEX(Segmen!$A$3:$A$6000,MATCH(C3642,Segmen!$D$3:$D$6000,0)),"")</f>
        <v/>
      </c>
      <c r="C3642">
        <f>IFERROR(LARGE(Segmen!$D$3:$D$6000,A3642),"")</f>
        <v/>
      </c>
    </row>
    <row r="3643">
      <c r="A3643" t="n">
        <v>3642</v>
      </c>
      <c r="B3643">
        <f>IFERROR(INDEX(Segmen!$A$3:$A$6000,MATCH(C3643,Segmen!$D$3:$D$6000,0)),"")</f>
        <v/>
      </c>
      <c r="C3643">
        <f>IFERROR(LARGE(Segmen!$D$3:$D$6000,A3643),"")</f>
        <v/>
      </c>
    </row>
    <row r="3644">
      <c r="A3644" t="n">
        <v>3643</v>
      </c>
      <c r="B3644">
        <f>IFERROR(INDEX(Segmen!$A$3:$A$6000,MATCH(C3644,Segmen!$D$3:$D$6000,0)),"")</f>
        <v/>
      </c>
      <c r="C3644">
        <f>IFERROR(LARGE(Segmen!$D$3:$D$6000,A3644),"")</f>
        <v/>
      </c>
    </row>
    <row r="3645">
      <c r="A3645" t="n">
        <v>3644</v>
      </c>
      <c r="B3645">
        <f>IFERROR(INDEX(Segmen!$A$3:$A$6000,MATCH(C3645,Segmen!$D$3:$D$6000,0)),"")</f>
        <v/>
      </c>
      <c r="C3645">
        <f>IFERROR(LARGE(Segmen!$D$3:$D$6000,A3645),"")</f>
        <v/>
      </c>
    </row>
    <row r="3646">
      <c r="A3646" t="n">
        <v>3645</v>
      </c>
      <c r="B3646">
        <f>IFERROR(INDEX(Segmen!$A$3:$A$6000,MATCH(C3646,Segmen!$D$3:$D$6000,0)),"")</f>
        <v/>
      </c>
      <c r="C3646">
        <f>IFERROR(LARGE(Segmen!$D$3:$D$6000,A3646),"")</f>
        <v/>
      </c>
    </row>
    <row r="3647">
      <c r="A3647" t="n">
        <v>3646</v>
      </c>
      <c r="B3647">
        <f>IFERROR(INDEX(Segmen!$A$3:$A$6000,MATCH(C3647,Segmen!$D$3:$D$6000,0)),"")</f>
        <v/>
      </c>
      <c r="C3647">
        <f>IFERROR(LARGE(Segmen!$D$3:$D$6000,A3647),"")</f>
        <v/>
      </c>
    </row>
    <row r="3648">
      <c r="A3648" t="n">
        <v>3647</v>
      </c>
      <c r="B3648">
        <f>IFERROR(INDEX(Segmen!$A$3:$A$6000,MATCH(C3648,Segmen!$D$3:$D$6000,0)),"")</f>
        <v/>
      </c>
      <c r="C3648">
        <f>IFERROR(LARGE(Segmen!$D$3:$D$6000,A3648),"")</f>
        <v/>
      </c>
    </row>
    <row r="3649">
      <c r="A3649" t="n">
        <v>3648</v>
      </c>
      <c r="B3649">
        <f>IFERROR(INDEX(Segmen!$A$3:$A$6000,MATCH(C3649,Segmen!$D$3:$D$6000,0)),"")</f>
        <v/>
      </c>
      <c r="C3649">
        <f>IFERROR(LARGE(Segmen!$D$3:$D$6000,A3649),"")</f>
        <v/>
      </c>
    </row>
    <row r="3650">
      <c r="A3650" t="n">
        <v>3649</v>
      </c>
      <c r="B3650">
        <f>IFERROR(INDEX(Segmen!$A$3:$A$6000,MATCH(C3650,Segmen!$D$3:$D$6000,0)),"")</f>
        <v/>
      </c>
      <c r="C3650">
        <f>IFERROR(LARGE(Segmen!$D$3:$D$6000,A3650),"")</f>
        <v/>
      </c>
    </row>
    <row r="3651">
      <c r="A3651" t="n">
        <v>3650</v>
      </c>
      <c r="B3651">
        <f>IFERROR(INDEX(Segmen!$A$3:$A$6000,MATCH(C3651,Segmen!$D$3:$D$6000,0)),"")</f>
        <v/>
      </c>
      <c r="C3651">
        <f>IFERROR(LARGE(Segmen!$D$3:$D$6000,A3651),"")</f>
        <v/>
      </c>
    </row>
    <row r="3652">
      <c r="A3652" t="n">
        <v>3651</v>
      </c>
      <c r="B3652">
        <f>IFERROR(INDEX(Segmen!$A$3:$A$6000,MATCH(C3652,Segmen!$D$3:$D$6000,0)),"")</f>
        <v/>
      </c>
      <c r="C3652">
        <f>IFERROR(LARGE(Segmen!$D$3:$D$6000,A3652),"")</f>
        <v/>
      </c>
    </row>
    <row r="3653">
      <c r="A3653" t="n">
        <v>3652</v>
      </c>
      <c r="B3653">
        <f>IFERROR(INDEX(Segmen!$A$3:$A$6000,MATCH(C3653,Segmen!$D$3:$D$6000,0)),"")</f>
        <v/>
      </c>
      <c r="C3653">
        <f>IFERROR(LARGE(Segmen!$D$3:$D$6000,A3653),"")</f>
        <v/>
      </c>
    </row>
    <row r="3654">
      <c r="A3654" t="n">
        <v>3653</v>
      </c>
      <c r="B3654">
        <f>IFERROR(INDEX(Segmen!$A$3:$A$6000,MATCH(C3654,Segmen!$D$3:$D$6000,0)),"")</f>
        <v/>
      </c>
      <c r="C3654">
        <f>IFERROR(LARGE(Segmen!$D$3:$D$6000,A3654),"")</f>
        <v/>
      </c>
    </row>
    <row r="3655">
      <c r="A3655" t="n">
        <v>3654</v>
      </c>
      <c r="B3655">
        <f>IFERROR(INDEX(Segmen!$A$3:$A$6000,MATCH(C3655,Segmen!$D$3:$D$6000,0)),"")</f>
        <v/>
      </c>
      <c r="C3655">
        <f>IFERROR(LARGE(Segmen!$D$3:$D$6000,A3655),"")</f>
        <v/>
      </c>
    </row>
    <row r="3656">
      <c r="A3656" t="n">
        <v>3655</v>
      </c>
      <c r="B3656">
        <f>IFERROR(INDEX(Segmen!$A$3:$A$6000,MATCH(C3656,Segmen!$D$3:$D$6000,0)),"")</f>
        <v/>
      </c>
      <c r="C3656">
        <f>IFERROR(LARGE(Segmen!$D$3:$D$6000,A3656),"")</f>
        <v/>
      </c>
    </row>
    <row r="3657">
      <c r="A3657" t="n">
        <v>3656</v>
      </c>
      <c r="B3657">
        <f>IFERROR(INDEX(Segmen!$A$3:$A$6000,MATCH(C3657,Segmen!$D$3:$D$6000,0)),"")</f>
        <v/>
      </c>
      <c r="C3657">
        <f>IFERROR(LARGE(Segmen!$D$3:$D$6000,A3657),"")</f>
        <v/>
      </c>
    </row>
    <row r="3658">
      <c r="A3658" t="n">
        <v>3657</v>
      </c>
      <c r="B3658">
        <f>IFERROR(INDEX(Segmen!$A$3:$A$6000,MATCH(C3658,Segmen!$D$3:$D$6000,0)),"")</f>
        <v/>
      </c>
      <c r="C3658">
        <f>IFERROR(LARGE(Segmen!$D$3:$D$6000,A3658),"")</f>
        <v/>
      </c>
    </row>
    <row r="3659">
      <c r="A3659" t="n">
        <v>3658</v>
      </c>
      <c r="B3659">
        <f>IFERROR(INDEX(Segmen!$A$3:$A$6000,MATCH(C3659,Segmen!$D$3:$D$6000,0)),"")</f>
        <v/>
      </c>
      <c r="C3659">
        <f>IFERROR(LARGE(Segmen!$D$3:$D$6000,A3659),"")</f>
        <v/>
      </c>
    </row>
    <row r="3660">
      <c r="A3660" t="n">
        <v>3659</v>
      </c>
      <c r="B3660">
        <f>IFERROR(INDEX(Segmen!$A$3:$A$6000,MATCH(C3660,Segmen!$D$3:$D$6000,0)),"")</f>
        <v/>
      </c>
      <c r="C3660">
        <f>IFERROR(LARGE(Segmen!$D$3:$D$6000,A3660),"")</f>
        <v/>
      </c>
    </row>
    <row r="3661">
      <c r="A3661" t="n">
        <v>3660</v>
      </c>
      <c r="B3661">
        <f>IFERROR(INDEX(Segmen!$A$3:$A$6000,MATCH(C3661,Segmen!$D$3:$D$6000,0)),"")</f>
        <v/>
      </c>
      <c r="C3661">
        <f>IFERROR(LARGE(Segmen!$D$3:$D$6000,A3661),"")</f>
        <v/>
      </c>
    </row>
    <row r="3662">
      <c r="A3662" t="n">
        <v>3661</v>
      </c>
      <c r="B3662">
        <f>IFERROR(INDEX(Segmen!$A$3:$A$6000,MATCH(C3662,Segmen!$D$3:$D$6000,0)),"")</f>
        <v/>
      </c>
      <c r="C3662">
        <f>IFERROR(LARGE(Segmen!$D$3:$D$6000,A3662),"")</f>
        <v/>
      </c>
    </row>
    <row r="3663">
      <c r="A3663" t="n">
        <v>3662</v>
      </c>
      <c r="B3663">
        <f>IFERROR(INDEX(Segmen!$A$3:$A$6000,MATCH(C3663,Segmen!$D$3:$D$6000,0)),"")</f>
        <v/>
      </c>
      <c r="C3663">
        <f>IFERROR(LARGE(Segmen!$D$3:$D$6000,A3663),"")</f>
        <v/>
      </c>
    </row>
    <row r="3664">
      <c r="A3664" t="n">
        <v>3663</v>
      </c>
      <c r="B3664">
        <f>IFERROR(INDEX(Segmen!$A$3:$A$6000,MATCH(C3664,Segmen!$D$3:$D$6000,0)),"")</f>
        <v/>
      </c>
      <c r="C3664">
        <f>IFERROR(LARGE(Segmen!$D$3:$D$6000,A3664),"")</f>
        <v/>
      </c>
    </row>
    <row r="3665">
      <c r="A3665" t="n">
        <v>3664</v>
      </c>
      <c r="B3665">
        <f>IFERROR(INDEX(Segmen!$A$3:$A$6000,MATCH(C3665,Segmen!$D$3:$D$6000,0)),"")</f>
        <v/>
      </c>
      <c r="C3665">
        <f>IFERROR(LARGE(Segmen!$D$3:$D$6000,A3665),"")</f>
        <v/>
      </c>
    </row>
    <row r="3666">
      <c r="A3666" t="n">
        <v>3665</v>
      </c>
      <c r="B3666">
        <f>IFERROR(INDEX(Segmen!$A$3:$A$6000,MATCH(C3666,Segmen!$D$3:$D$6000,0)),"")</f>
        <v/>
      </c>
      <c r="C3666">
        <f>IFERROR(LARGE(Segmen!$D$3:$D$6000,A3666),"")</f>
        <v/>
      </c>
    </row>
    <row r="3667">
      <c r="A3667" t="n">
        <v>3666</v>
      </c>
      <c r="B3667">
        <f>IFERROR(INDEX(Segmen!$A$3:$A$6000,MATCH(C3667,Segmen!$D$3:$D$6000,0)),"")</f>
        <v/>
      </c>
      <c r="C3667">
        <f>IFERROR(LARGE(Segmen!$D$3:$D$6000,A3667),"")</f>
        <v/>
      </c>
    </row>
    <row r="3668">
      <c r="A3668" t="n">
        <v>3667</v>
      </c>
      <c r="B3668">
        <f>IFERROR(INDEX(Segmen!$A$3:$A$6000,MATCH(C3668,Segmen!$D$3:$D$6000,0)),"")</f>
        <v/>
      </c>
      <c r="C3668">
        <f>IFERROR(LARGE(Segmen!$D$3:$D$6000,A3668),"")</f>
        <v/>
      </c>
    </row>
    <row r="3669">
      <c r="A3669" t="n">
        <v>3668</v>
      </c>
      <c r="B3669">
        <f>IFERROR(INDEX(Segmen!$A$3:$A$6000,MATCH(C3669,Segmen!$D$3:$D$6000,0)),"")</f>
        <v/>
      </c>
      <c r="C3669">
        <f>IFERROR(LARGE(Segmen!$D$3:$D$6000,A3669),"")</f>
        <v/>
      </c>
    </row>
    <row r="3670">
      <c r="A3670" t="n">
        <v>3669</v>
      </c>
      <c r="B3670">
        <f>IFERROR(INDEX(Segmen!$A$3:$A$6000,MATCH(C3670,Segmen!$D$3:$D$6000,0)),"")</f>
        <v/>
      </c>
      <c r="C3670">
        <f>IFERROR(LARGE(Segmen!$D$3:$D$6000,A3670),"")</f>
        <v/>
      </c>
    </row>
    <row r="3671">
      <c r="A3671" t="n">
        <v>3670</v>
      </c>
      <c r="B3671">
        <f>IFERROR(INDEX(Segmen!$A$3:$A$6000,MATCH(C3671,Segmen!$D$3:$D$6000,0)),"")</f>
        <v/>
      </c>
      <c r="C3671">
        <f>IFERROR(LARGE(Segmen!$D$3:$D$6000,A3671),"")</f>
        <v/>
      </c>
    </row>
    <row r="3672">
      <c r="A3672" t="n">
        <v>3671</v>
      </c>
      <c r="B3672">
        <f>IFERROR(INDEX(Segmen!$A$3:$A$6000,MATCH(C3672,Segmen!$D$3:$D$6000,0)),"")</f>
        <v/>
      </c>
      <c r="C3672">
        <f>IFERROR(LARGE(Segmen!$D$3:$D$6000,A3672),"")</f>
        <v/>
      </c>
    </row>
    <row r="3673">
      <c r="A3673" t="n">
        <v>3672</v>
      </c>
      <c r="B3673">
        <f>IFERROR(INDEX(Segmen!$A$3:$A$6000,MATCH(C3673,Segmen!$D$3:$D$6000,0)),"")</f>
        <v/>
      </c>
      <c r="C3673">
        <f>IFERROR(LARGE(Segmen!$D$3:$D$6000,A3673),"")</f>
        <v/>
      </c>
    </row>
    <row r="3674">
      <c r="A3674" t="n">
        <v>3673</v>
      </c>
      <c r="B3674">
        <f>IFERROR(INDEX(Segmen!$A$3:$A$6000,MATCH(C3674,Segmen!$D$3:$D$6000,0)),"")</f>
        <v/>
      </c>
      <c r="C3674">
        <f>IFERROR(LARGE(Segmen!$D$3:$D$6000,A3674),"")</f>
        <v/>
      </c>
    </row>
    <row r="3675">
      <c r="A3675" t="n">
        <v>3674</v>
      </c>
      <c r="B3675">
        <f>IFERROR(INDEX(Segmen!$A$3:$A$6000,MATCH(C3675,Segmen!$D$3:$D$6000,0)),"")</f>
        <v/>
      </c>
      <c r="C3675">
        <f>IFERROR(LARGE(Segmen!$D$3:$D$6000,A3675),"")</f>
        <v/>
      </c>
    </row>
    <row r="3676">
      <c r="A3676" t="n">
        <v>3675</v>
      </c>
      <c r="B3676">
        <f>IFERROR(INDEX(Segmen!$A$3:$A$6000,MATCH(C3676,Segmen!$D$3:$D$6000,0)),"")</f>
        <v/>
      </c>
      <c r="C3676">
        <f>IFERROR(LARGE(Segmen!$D$3:$D$6000,A3676),"")</f>
        <v/>
      </c>
    </row>
    <row r="3677">
      <c r="A3677" t="n">
        <v>3676</v>
      </c>
      <c r="B3677">
        <f>IFERROR(INDEX(Segmen!$A$3:$A$6000,MATCH(C3677,Segmen!$D$3:$D$6000,0)),"")</f>
        <v/>
      </c>
      <c r="C3677">
        <f>IFERROR(LARGE(Segmen!$D$3:$D$6000,A3677),"")</f>
        <v/>
      </c>
    </row>
    <row r="3678">
      <c r="A3678" t="n">
        <v>3677</v>
      </c>
      <c r="B3678">
        <f>IFERROR(INDEX(Segmen!$A$3:$A$6000,MATCH(C3678,Segmen!$D$3:$D$6000,0)),"")</f>
        <v/>
      </c>
      <c r="C3678">
        <f>IFERROR(LARGE(Segmen!$D$3:$D$6000,A3678),"")</f>
        <v/>
      </c>
    </row>
    <row r="3679">
      <c r="A3679" t="n">
        <v>3678</v>
      </c>
      <c r="B3679">
        <f>IFERROR(INDEX(Segmen!$A$3:$A$6000,MATCH(C3679,Segmen!$D$3:$D$6000,0)),"")</f>
        <v/>
      </c>
      <c r="C3679">
        <f>IFERROR(LARGE(Segmen!$D$3:$D$6000,A3679),"")</f>
        <v/>
      </c>
    </row>
    <row r="3680">
      <c r="A3680" t="n">
        <v>3679</v>
      </c>
      <c r="B3680">
        <f>IFERROR(INDEX(Segmen!$A$3:$A$6000,MATCH(C3680,Segmen!$D$3:$D$6000,0)),"")</f>
        <v/>
      </c>
      <c r="C3680">
        <f>IFERROR(LARGE(Segmen!$D$3:$D$6000,A3680),"")</f>
        <v/>
      </c>
    </row>
    <row r="3681">
      <c r="A3681" t="n">
        <v>3680</v>
      </c>
      <c r="B3681">
        <f>IFERROR(INDEX(Segmen!$A$3:$A$6000,MATCH(C3681,Segmen!$D$3:$D$6000,0)),"")</f>
        <v/>
      </c>
      <c r="C3681">
        <f>IFERROR(LARGE(Segmen!$D$3:$D$6000,A3681),"")</f>
        <v/>
      </c>
    </row>
    <row r="3682">
      <c r="A3682" t="n">
        <v>3681</v>
      </c>
      <c r="B3682">
        <f>IFERROR(INDEX(Segmen!$A$3:$A$6000,MATCH(C3682,Segmen!$D$3:$D$6000,0)),"")</f>
        <v/>
      </c>
      <c r="C3682">
        <f>IFERROR(LARGE(Segmen!$D$3:$D$6000,A3682),"")</f>
        <v/>
      </c>
    </row>
    <row r="3683">
      <c r="A3683" t="n">
        <v>3682</v>
      </c>
      <c r="B3683">
        <f>IFERROR(INDEX(Segmen!$A$3:$A$6000,MATCH(C3683,Segmen!$D$3:$D$6000,0)),"")</f>
        <v/>
      </c>
      <c r="C3683">
        <f>IFERROR(LARGE(Segmen!$D$3:$D$6000,A3683),"")</f>
        <v/>
      </c>
    </row>
    <row r="3684">
      <c r="A3684" t="n">
        <v>3683</v>
      </c>
      <c r="B3684">
        <f>IFERROR(INDEX(Segmen!$A$3:$A$6000,MATCH(C3684,Segmen!$D$3:$D$6000,0)),"")</f>
        <v/>
      </c>
      <c r="C3684">
        <f>IFERROR(LARGE(Segmen!$D$3:$D$6000,A3684),"")</f>
        <v/>
      </c>
    </row>
    <row r="3685">
      <c r="A3685" t="n">
        <v>3684</v>
      </c>
      <c r="B3685">
        <f>IFERROR(INDEX(Segmen!$A$3:$A$6000,MATCH(C3685,Segmen!$D$3:$D$6000,0)),"")</f>
        <v/>
      </c>
      <c r="C3685">
        <f>IFERROR(LARGE(Segmen!$D$3:$D$6000,A3685),"")</f>
        <v/>
      </c>
    </row>
    <row r="3686">
      <c r="A3686" t="n">
        <v>3685</v>
      </c>
      <c r="B3686">
        <f>IFERROR(INDEX(Segmen!$A$3:$A$6000,MATCH(C3686,Segmen!$D$3:$D$6000,0)),"")</f>
        <v/>
      </c>
      <c r="C3686">
        <f>IFERROR(LARGE(Segmen!$D$3:$D$6000,A3686),"")</f>
        <v/>
      </c>
    </row>
    <row r="3687">
      <c r="A3687" t="n">
        <v>3686</v>
      </c>
      <c r="B3687">
        <f>IFERROR(INDEX(Segmen!$A$3:$A$6000,MATCH(C3687,Segmen!$D$3:$D$6000,0)),"")</f>
        <v/>
      </c>
      <c r="C3687">
        <f>IFERROR(LARGE(Segmen!$D$3:$D$6000,A3687),"")</f>
        <v/>
      </c>
    </row>
    <row r="3688">
      <c r="A3688" t="n">
        <v>3687</v>
      </c>
      <c r="B3688">
        <f>IFERROR(INDEX(Segmen!$A$3:$A$6000,MATCH(C3688,Segmen!$D$3:$D$6000,0)),"")</f>
        <v/>
      </c>
      <c r="C3688">
        <f>IFERROR(LARGE(Segmen!$D$3:$D$6000,A3688),"")</f>
        <v/>
      </c>
    </row>
    <row r="3689">
      <c r="A3689" t="n">
        <v>3688</v>
      </c>
      <c r="B3689">
        <f>IFERROR(INDEX(Segmen!$A$3:$A$6000,MATCH(C3689,Segmen!$D$3:$D$6000,0)),"")</f>
        <v/>
      </c>
      <c r="C3689">
        <f>IFERROR(LARGE(Segmen!$D$3:$D$6000,A3689),"")</f>
        <v/>
      </c>
    </row>
    <row r="3690">
      <c r="A3690" t="n">
        <v>3689</v>
      </c>
      <c r="B3690">
        <f>IFERROR(INDEX(Segmen!$A$3:$A$6000,MATCH(C3690,Segmen!$D$3:$D$6000,0)),"")</f>
        <v/>
      </c>
      <c r="C3690">
        <f>IFERROR(LARGE(Segmen!$D$3:$D$6000,A3690),"")</f>
        <v/>
      </c>
    </row>
    <row r="3691">
      <c r="A3691" t="n">
        <v>3690</v>
      </c>
      <c r="B3691">
        <f>IFERROR(INDEX(Segmen!$A$3:$A$6000,MATCH(C3691,Segmen!$D$3:$D$6000,0)),"")</f>
        <v/>
      </c>
      <c r="C3691">
        <f>IFERROR(LARGE(Segmen!$D$3:$D$6000,A3691),"")</f>
        <v/>
      </c>
    </row>
    <row r="3692">
      <c r="A3692" t="n">
        <v>3691</v>
      </c>
      <c r="B3692">
        <f>IFERROR(INDEX(Segmen!$A$3:$A$6000,MATCH(C3692,Segmen!$D$3:$D$6000,0)),"")</f>
        <v/>
      </c>
      <c r="C3692">
        <f>IFERROR(LARGE(Segmen!$D$3:$D$6000,A3692),"")</f>
        <v/>
      </c>
    </row>
    <row r="3693">
      <c r="A3693" t="n">
        <v>3692</v>
      </c>
      <c r="B3693">
        <f>IFERROR(INDEX(Segmen!$A$3:$A$6000,MATCH(C3693,Segmen!$D$3:$D$6000,0)),"")</f>
        <v/>
      </c>
      <c r="C3693">
        <f>IFERROR(LARGE(Segmen!$D$3:$D$6000,A3693),"")</f>
        <v/>
      </c>
    </row>
    <row r="3694">
      <c r="A3694" t="n">
        <v>3693</v>
      </c>
      <c r="B3694">
        <f>IFERROR(INDEX(Segmen!$A$3:$A$6000,MATCH(C3694,Segmen!$D$3:$D$6000,0)),"")</f>
        <v/>
      </c>
      <c r="C3694">
        <f>IFERROR(LARGE(Segmen!$D$3:$D$6000,A3694),"")</f>
        <v/>
      </c>
    </row>
    <row r="3695">
      <c r="A3695" t="n">
        <v>3694</v>
      </c>
      <c r="B3695">
        <f>IFERROR(INDEX(Segmen!$A$3:$A$6000,MATCH(C3695,Segmen!$D$3:$D$6000,0)),"")</f>
        <v/>
      </c>
      <c r="C3695">
        <f>IFERROR(LARGE(Segmen!$D$3:$D$6000,A3695),"")</f>
        <v/>
      </c>
    </row>
    <row r="3696">
      <c r="A3696" t="n">
        <v>3695</v>
      </c>
      <c r="B3696">
        <f>IFERROR(INDEX(Segmen!$A$3:$A$6000,MATCH(C3696,Segmen!$D$3:$D$6000,0)),"")</f>
        <v/>
      </c>
      <c r="C3696">
        <f>IFERROR(LARGE(Segmen!$D$3:$D$6000,A3696),"")</f>
        <v/>
      </c>
    </row>
    <row r="3697">
      <c r="A3697" t="n">
        <v>3696</v>
      </c>
      <c r="B3697">
        <f>IFERROR(INDEX(Segmen!$A$3:$A$6000,MATCH(C3697,Segmen!$D$3:$D$6000,0)),"")</f>
        <v/>
      </c>
      <c r="C3697">
        <f>IFERROR(LARGE(Segmen!$D$3:$D$6000,A3697),"")</f>
        <v/>
      </c>
    </row>
    <row r="3698">
      <c r="A3698" t="n">
        <v>3697</v>
      </c>
      <c r="B3698">
        <f>IFERROR(INDEX(Segmen!$A$3:$A$6000,MATCH(C3698,Segmen!$D$3:$D$6000,0)),"")</f>
        <v/>
      </c>
      <c r="C3698">
        <f>IFERROR(LARGE(Segmen!$D$3:$D$6000,A3698),"")</f>
        <v/>
      </c>
    </row>
    <row r="3699">
      <c r="A3699" t="n">
        <v>3698</v>
      </c>
      <c r="B3699">
        <f>IFERROR(INDEX(Segmen!$A$3:$A$6000,MATCH(C3699,Segmen!$D$3:$D$6000,0)),"")</f>
        <v/>
      </c>
      <c r="C3699">
        <f>IFERROR(LARGE(Segmen!$D$3:$D$6000,A3699),"")</f>
        <v/>
      </c>
    </row>
    <row r="3700">
      <c r="A3700" t="n">
        <v>3699</v>
      </c>
      <c r="B3700">
        <f>IFERROR(INDEX(Segmen!$A$3:$A$6000,MATCH(C3700,Segmen!$D$3:$D$6000,0)),"")</f>
        <v/>
      </c>
      <c r="C3700">
        <f>IFERROR(LARGE(Segmen!$D$3:$D$6000,A3700),"")</f>
        <v/>
      </c>
    </row>
    <row r="3701">
      <c r="A3701" t="n">
        <v>3700</v>
      </c>
      <c r="B3701">
        <f>IFERROR(INDEX(Segmen!$A$3:$A$6000,MATCH(C3701,Segmen!$D$3:$D$6000,0)),"")</f>
        <v/>
      </c>
      <c r="C3701">
        <f>IFERROR(LARGE(Segmen!$D$3:$D$6000,A3701),"")</f>
        <v/>
      </c>
    </row>
    <row r="3702">
      <c r="A3702" t="n">
        <v>3701</v>
      </c>
      <c r="B3702">
        <f>IFERROR(INDEX(Segmen!$A$3:$A$6000,MATCH(C3702,Segmen!$D$3:$D$6000,0)),"")</f>
        <v/>
      </c>
      <c r="C3702">
        <f>IFERROR(LARGE(Segmen!$D$3:$D$6000,A3702),"")</f>
        <v/>
      </c>
    </row>
    <row r="3703">
      <c r="A3703" t="n">
        <v>3702</v>
      </c>
      <c r="B3703">
        <f>IFERROR(INDEX(Segmen!$A$3:$A$6000,MATCH(C3703,Segmen!$D$3:$D$6000,0)),"")</f>
        <v/>
      </c>
      <c r="C3703">
        <f>IFERROR(LARGE(Segmen!$D$3:$D$6000,A3703),"")</f>
        <v/>
      </c>
    </row>
    <row r="3704">
      <c r="A3704" t="n">
        <v>3703</v>
      </c>
      <c r="B3704">
        <f>IFERROR(INDEX(Segmen!$A$3:$A$6000,MATCH(C3704,Segmen!$D$3:$D$6000,0)),"")</f>
        <v/>
      </c>
      <c r="C3704">
        <f>IFERROR(LARGE(Segmen!$D$3:$D$6000,A3704),"")</f>
        <v/>
      </c>
    </row>
    <row r="3705">
      <c r="A3705" t="n">
        <v>3704</v>
      </c>
      <c r="B3705">
        <f>IFERROR(INDEX(Segmen!$A$3:$A$6000,MATCH(C3705,Segmen!$D$3:$D$6000,0)),"")</f>
        <v/>
      </c>
      <c r="C3705">
        <f>IFERROR(LARGE(Segmen!$D$3:$D$6000,A3705),"")</f>
        <v/>
      </c>
    </row>
    <row r="3706">
      <c r="A3706" t="n">
        <v>3705</v>
      </c>
      <c r="B3706">
        <f>IFERROR(INDEX(Segmen!$A$3:$A$6000,MATCH(C3706,Segmen!$D$3:$D$6000,0)),"")</f>
        <v/>
      </c>
      <c r="C3706">
        <f>IFERROR(LARGE(Segmen!$D$3:$D$6000,A3706),"")</f>
        <v/>
      </c>
    </row>
    <row r="3707">
      <c r="A3707" t="n">
        <v>3706</v>
      </c>
      <c r="B3707">
        <f>IFERROR(INDEX(Segmen!$A$3:$A$6000,MATCH(C3707,Segmen!$D$3:$D$6000,0)),"")</f>
        <v/>
      </c>
      <c r="C3707">
        <f>IFERROR(LARGE(Segmen!$D$3:$D$6000,A3707),"")</f>
        <v/>
      </c>
    </row>
    <row r="3708">
      <c r="A3708" t="n">
        <v>3707</v>
      </c>
      <c r="B3708">
        <f>IFERROR(INDEX(Segmen!$A$3:$A$6000,MATCH(C3708,Segmen!$D$3:$D$6000,0)),"")</f>
        <v/>
      </c>
      <c r="C3708">
        <f>IFERROR(LARGE(Segmen!$D$3:$D$6000,A3708),"")</f>
        <v/>
      </c>
    </row>
    <row r="3709">
      <c r="A3709" t="n">
        <v>3708</v>
      </c>
      <c r="B3709">
        <f>IFERROR(INDEX(Segmen!$A$3:$A$6000,MATCH(C3709,Segmen!$D$3:$D$6000,0)),"")</f>
        <v/>
      </c>
      <c r="C3709">
        <f>IFERROR(LARGE(Segmen!$D$3:$D$6000,A3709),"")</f>
        <v/>
      </c>
    </row>
    <row r="3710">
      <c r="A3710" t="n">
        <v>3709</v>
      </c>
      <c r="B3710">
        <f>IFERROR(INDEX(Segmen!$A$3:$A$6000,MATCH(C3710,Segmen!$D$3:$D$6000,0)),"")</f>
        <v/>
      </c>
      <c r="C3710">
        <f>IFERROR(LARGE(Segmen!$D$3:$D$6000,A3710),"")</f>
        <v/>
      </c>
    </row>
    <row r="3711">
      <c r="A3711" t="n">
        <v>3710</v>
      </c>
      <c r="B3711">
        <f>IFERROR(INDEX(Segmen!$A$3:$A$6000,MATCH(C3711,Segmen!$D$3:$D$6000,0)),"")</f>
        <v/>
      </c>
      <c r="C3711">
        <f>IFERROR(LARGE(Segmen!$D$3:$D$6000,A3711),"")</f>
        <v/>
      </c>
    </row>
    <row r="3712">
      <c r="A3712" t="n">
        <v>3711</v>
      </c>
      <c r="B3712">
        <f>IFERROR(INDEX(Segmen!$A$3:$A$6000,MATCH(C3712,Segmen!$D$3:$D$6000,0)),"")</f>
        <v/>
      </c>
      <c r="C3712">
        <f>IFERROR(LARGE(Segmen!$D$3:$D$6000,A3712),"")</f>
        <v/>
      </c>
    </row>
    <row r="3713">
      <c r="A3713" t="n">
        <v>3712</v>
      </c>
      <c r="B3713">
        <f>IFERROR(INDEX(Segmen!$A$3:$A$6000,MATCH(C3713,Segmen!$D$3:$D$6000,0)),"")</f>
        <v/>
      </c>
      <c r="C3713">
        <f>IFERROR(LARGE(Segmen!$D$3:$D$6000,A3713),"")</f>
        <v/>
      </c>
    </row>
    <row r="3714">
      <c r="A3714" t="n">
        <v>3713</v>
      </c>
      <c r="B3714">
        <f>IFERROR(INDEX(Segmen!$A$3:$A$6000,MATCH(C3714,Segmen!$D$3:$D$6000,0)),"")</f>
        <v/>
      </c>
      <c r="C3714">
        <f>IFERROR(LARGE(Segmen!$D$3:$D$6000,A3714),"")</f>
        <v/>
      </c>
    </row>
    <row r="3715">
      <c r="A3715" t="n">
        <v>3714</v>
      </c>
      <c r="B3715">
        <f>IFERROR(INDEX(Segmen!$A$3:$A$6000,MATCH(C3715,Segmen!$D$3:$D$6000,0)),"")</f>
        <v/>
      </c>
      <c r="C3715">
        <f>IFERROR(LARGE(Segmen!$D$3:$D$6000,A3715),"")</f>
        <v/>
      </c>
    </row>
    <row r="3716">
      <c r="A3716" t="n">
        <v>3715</v>
      </c>
      <c r="B3716">
        <f>IFERROR(INDEX(Segmen!$A$3:$A$6000,MATCH(C3716,Segmen!$D$3:$D$6000,0)),"")</f>
        <v/>
      </c>
      <c r="C3716">
        <f>IFERROR(LARGE(Segmen!$D$3:$D$6000,A3716),"")</f>
        <v/>
      </c>
    </row>
    <row r="3717">
      <c r="A3717" t="n">
        <v>3716</v>
      </c>
      <c r="B3717">
        <f>IFERROR(INDEX(Segmen!$A$3:$A$6000,MATCH(C3717,Segmen!$D$3:$D$6000,0)),"")</f>
        <v/>
      </c>
      <c r="C3717">
        <f>IFERROR(LARGE(Segmen!$D$3:$D$6000,A3717),"")</f>
        <v/>
      </c>
    </row>
    <row r="3718">
      <c r="A3718" t="n">
        <v>3717</v>
      </c>
      <c r="B3718">
        <f>IFERROR(INDEX(Segmen!$A$3:$A$6000,MATCH(C3718,Segmen!$D$3:$D$6000,0)),"")</f>
        <v/>
      </c>
      <c r="C3718">
        <f>IFERROR(LARGE(Segmen!$D$3:$D$6000,A3718),"")</f>
        <v/>
      </c>
    </row>
    <row r="3719">
      <c r="A3719" t="n">
        <v>3718</v>
      </c>
      <c r="B3719">
        <f>IFERROR(INDEX(Segmen!$A$3:$A$6000,MATCH(C3719,Segmen!$D$3:$D$6000,0)),"")</f>
        <v/>
      </c>
      <c r="C3719">
        <f>IFERROR(LARGE(Segmen!$D$3:$D$6000,A3719),"")</f>
        <v/>
      </c>
    </row>
    <row r="3720">
      <c r="A3720" t="n">
        <v>3719</v>
      </c>
      <c r="B3720">
        <f>IFERROR(INDEX(Segmen!$A$3:$A$6000,MATCH(C3720,Segmen!$D$3:$D$6000,0)),"")</f>
        <v/>
      </c>
      <c r="C3720">
        <f>IFERROR(LARGE(Segmen!$D$3:$D$6000,A3720),"")</f>
        <v/>
      </c>
    </row>
    <row r="3721">
      <c r="A3721" t="n">
        <v>3720</v>
      </c>
      <c r="B3721">
        <f>IFERROR(INDEX(Segmen!$A$3:$A$6000,MATCH(C3721,Segmen!$D$3:$D$6000,0)),"")</f>
        <v/>
      </c>
      <c r="C3721">
        <f>IFERROR(LARGE(Segmen!$D$3:$D$6000,A3721),"")</f>
        <v/>
      </c>
    </row>
    <row r="3722">
      <c r="A3722" t="n">
        <v>3721</v>
      </c>
      <c r="B3722">
        <f>IFERROR(INDEX(Segmen!$A$3:$A$6000,MATCH(C3722,Segmen!$D$3:$D$6000,0)),"")</f>
        <v/>
      </c>
      <c r="C3722">
        <f>IFERROR(LARGE(Segmen!$D$3:$D$6000,A3722),"")</f>
        <v/>
      </c>
    </row>
    <row r="3723">
      <c r="A3723" t="n">
        <v>3722</v>
      </c>
      <c r="B3723">
        <f>IFERROR(INDEX(Segmen!$A$3:$A$6000,MATCH(C3723,Segmen!$D$3:$D$6000,0)),"")</f>
        <v/>
      </c>
      <c r="C3723">
        <f>IFERROR(LARGE(Segmen!$D$3:$D$6000,A3723),"")</f>
        <v/>
      </c>
    </row>
    <row r="3724">
      <c r="A3724" t="n">
        <v>3723</v>
      </c>
      <c r="B3724">
        <f>IFERROR(INDEX(Segmen!$A$3:$A$6000,MATCH(C3724,Segmen!$D$3:$D$6000,0)),"")</f>
        <v/>
      </c>
      <c r="C3724">
        <f>IFERROR(LARGE(Segmen!$D$3:$D$6000,A3724),"")</f>
        <v/>
      </c>
    </row>
    <row r="3725">
      <c r="A3725" t="n">
        <v>3724</v>
      </c>
      <c r="B3725">
        <f>IFERROR(INDEX(Segmen!$A$3:$A$6000,MATCH(C3725,Segmen!$D$3:$D$6000,0)),"")</f>
        <v/>
      </c>
      <c r="C3725">
        <f>IFERROR(LARGE(Segmen!$D$3:$D$6000,A3725),"")</f>
        <v/>
      </c>
    </row>
    <row r="3726">
      <c r="A3726" t="n">
        <v>3725</v>
      </c>
      <c r="B3726">
        <f>IFERROR(INDEX(Segmen!$A$3:$A$6000,MATCH(C3726,Segmen!$D$3:$D$6000,0)),"")</f>
        <v/>
      </c>
      <c r="C3726">
        <f>IFERROR(LARGE(Segmen!$D$3:$D$6000,A3726),"")</f>
        <v/>
      </c>
    </row>
    <row r="3727">
      <c r="A3727" t="n">
        <v>3726</v>
      </c>
      <c r="B3727">
        <f>IFERROR(INDEX(Segmen!$A$3:$A$6000,MATCH(C3727,Segmen!$D$3:$D$6000,0)),"")</f>
        <v/>
      </c>
      <c r="C3727">
        <f>IFERROR(LARGE(Segmen!$D$3:$D$6000,A3727),"")</f>
        <v/>
      </c>
    </row>
    <row r="3728">
      <c r="A3728" t="n">
        <v>3727</v>
      </c>
      <c r="B3728">
        <f>IFERROR(INDEX(Segmen!$A$3:$A$6000,MATCH(C3728,Segmen!$D$3:$D$6000,0)),"")</f>
        <v/>
      </c>
      <c r="C3728">
        <f>IFERROR(LARGE(Segmen!$D$3:$D$6000,A3728),"")</f>
        <v/>
      </c>
    </row>
    <row r="3729">
      <c r="A3729" t="n">
        <v>3728</v>
      </c>
      <c r="B3729">
        <f>IFERROR(INDEX(Segmen!$A$3:$A$6000,MATCH(C3729,Segmen!$D$3:$D$6000,0)),"")</f>
        <v/>
      </c>
      <c r="C3729">
        <f>IFERROR(LARGE(Segmen!$D$3:$D$6000,A3729),"")</f>
        <v/>
      </c>
    </row>
    <row r="3730">
      <c r="A3730" t="n">
        <v>3729</v>
      </c>
      <c r="B3730">
        <f>IFERROR(INDEX(Segmen!$A$3:$A$6000,MATCH(C3730,Segmen!$D$3:$D$6000,0)),"")</f>
        <v/>
      </c>
      <c r="C3730">
        <f>IFERROR(LARGE(Segmen!$D$3:$D$6000,A3730),"")</f>
        <v/>
      </c>
    </row>
    <row r="3731">
      <c r="A3731" t="n">
        <v>3730</v>
      </c>
      <c r="B3731">
        <f>IFERROR(INDEX(Segmen!$A$3:$A$6000,MATCH(C3731,Segmen!$D$3:$D$6000,0)),"")</f>
        <v/>
      </c>
      <c r="C3731">
        <f>IFERROR(LARGE(Segmen!$D$3:$D$6000,A3731),"")</f>
        <v/>
      </c>
    </row>
    <row r="3732">
      <c r="A3732" t="n">
        <v>3731</v>
      </c>
      <c r="B3732">
        <f>IFERROR(INDEX(Segmen!$A$3:$A$6000,MATCH(C3732,Segmen!$D$3:$D$6000,0)),"")</f>
        <v/>
      </c>
      <c r="C3732">
        <f>IFERROR(LARGE(Segmen!$D$3:$D$6000,A3732),"")</f>
        <v/>
      </c>
    </row>
    <row r="3733">
      <c r="A3733" t="n">
        <v>3732</v>
      </c>
      <c r="B3733">
        <f>IFERROR(INDEX(Segmen!$A$3:$A$6000,MATCH(C3733,Segmen!$D$3:$D$6000,0)),"")</f>
        <v/>
      </c>
      <c r="C3733">
        <f>IFERROR(LARGE(Segmen!$D$3:$D$6000,A3733),"")</f>
        <v/>
      </c>
    </row>
    <row r="3734">
      <c r="A3734" t="n">
        <v>3733</v>
      </c>
      <c r="B3734">
        <f>IFERROR(INDEX(Segmen!$A$3:$A$6000,MATCH(C3734,Segmen!$D$3:$D$6000,0)),"")</f>
        <v/>
      </c>
      <c r="C3734">
        <f>IFERROR(LARGE(Segmen!$D$3:$D$6000,A3734),"")</f>
        <v/>
      </c>
    </row>
    <row r="3735">
      <c r="A3735" t="n">
        <v>3734</v>
      </c>
      <c r="B3735">
        <f>IFERROR(INDEX(Segmen!$A$3:$A$6000,MATCH(C3735,Segmen!$D$3:$D$6000,0)),"")</f>
        <v/>
      </c>
      <c r="C3735">
        <f>IFERROR(LARGE(Segmen!$D$3:$D$6000,A3735),"")</f>
        <v/>
      </c>
    </row>
    <row r="3736">
      <c r="A3736" t="n">
        <v>3735</v>
      </c>
      <c r="B3736">
        <f>IFERROR(INDEX(Segmen!$A$3:$A$6000,MATCH(C3736,Segmen!$D$3:$D$6000,0)),"")</f>
        <v/>
      </c>
      <c r="C3736">
        <f>IFERROR(LARGE(Segmen!$D$3:$D$6000,A3736),"")</f>
        <v/>
      </c>
    </row>
    <row r="3737">
      <c r="A3737" t="n">
        <v>3736</v>
      </c>
      <c r="B3737">
        <f>IFERROR(INDEX(Segmen!$A$3:$A$6000,MATCH(C3737,Segmen!$D$3:$D$6000,0)),"")</f>
        <v/>
      </c>
      <c r="C3737">
        <f>IFERROR(LARGE(Segmen!$D$3:$D$6000,A3737),"")</f>
        <v/>
      </c>
    </row>
    <row r="3738">
      <c r="A3738" t="n">
        <v>3737</v>
      </c>
      <c r="B3738">
        <f>IFERROR(INDEX(Segmen!$A$3:$A$6000,MATCH(C3738,Segmen!$D$3:$D$6000,0)),"")</f>
        <v/>
      </c>
      <c r="C3738">
        <f>IFERROR(LARGE(Segmen!$D$3:$D$6000,A3738),"")</f>
        <v/>
      </c>
    </row>
    <row r="3739">
      <c r="A3739" t="n">
        <v>3738</v>
      </c>
      <c r="B3739">
        <f>IFERROR(INDEX(Segmen!$A$3:$A$6000,MATCH(C3739,Segmen!$D$3:$D$6000,0)),"")</f>
        <v/>
      </c>
      <c r="C3739">
        <f>IFERROR(LARGE(Segmen!$D$3:$D$6000,A3739),"")</f>
        <v/>
      </c>
    </row>
    <row r="3740">
      <c r="A3740" t="n">
        <v>3739</v>
      </c>
      <c r="B3740">
        <f>IFERROR(INDEX(Segmen!$A$3:$A$6000,MATCH(C3740,Segmen!$D$3:$D$6000,0)),"")</f>
        <v/>
      </c>
      <c r="C3740">
        <f>IFERROR(LARGE(Segmen!$D$3:$D$6000,A3740),"")</f>
        <v/>
      </c>
    </row>
    <row r="3741">
      <c r="A3741" t="n">
        <v>3740</v>
      </c>
      <c r="B3741">
        <f>IFERROR(INDEX(Segmen!$A$3:$A$6000,MATCH(C3741,Segmen!$D$3:$D$6000,0)),"")</f>
        <v/>
      </c>
      <c r="C3741">
        <f>IFERROR(LARGE(Segmen!$D$3:$D$6000,A3741),"")</f>
        <v/>
      </c>
    </row>
    <row r="3742">
      <c r="A3742" t="n">
        <v>3741</v>
      </c>
      <c r="B3742">
        <f>IFERROR(INDEX(Segmen!$A$3:$A$6000,MATCH(C3742,Segmen!$D$3:$D$6000,0)),"")</f>
        <v/>
      </c>
      <c r="C3742">
        <f>IFERROR(LARGE(Segmen!$D$3:$D$6000,A3742),"")</f>
        <v/>
      </c>
    </row>
    <row r="3743">
      <c r="A3743" t="n">
        <v>3742</v>
      </c>
      <c r="B3743">
        <f>IFERROR(INDEX(Segmen!$A$3:$A$6000,MATCH(C3743,Segmen!$D$3:$D$6000,0)),"")</f>
        <v/>
      </c>
      <c r="C3743">
        <f>IFERROR(LARGE(Segmen!$D$3:$D$6000,A3743),"")</f>
        <v/>
      </c>
    </row>
    <row r="3744">
      <c r="A3744" t="n">
        <v>3743</v>
      </c>
      <c r="B3744">
        <f>IFERROR(INDEX(Segmen!$A$3:$A$6000,MATCH(C3744,Segmen!$D$3:$D$6000,0)),"")</f>
        <v/>
      </c>
      <c r="C3744">
        <f>IFERROR(LARGE(Segmen!$D$3:$D$6000,A3744),"")</f>
        <v/>
      </c>
    </row>
    <row r="3745">
      <c r="A3745" t="n">
        <v>3744</v>
      </c>
      <c r="B3745">
        <f>IFERROR(INDEX(Segmen!$A$3:$A$6000,MATCH(C3745,Segmen!$D$3:$D$6000,0)),"")</f>
        <v/>
      </c>
      <c r="C3745">
        <f>IFERROR(LARGE(Segmen!$D$3:$D$6000,A3745),"")</f>
        <v/>
      </c>
    </row>
    <row r="3746">
      <c r="A3746" t="n">
        <v>3745</v>
      </c>
      <c r="B3746">
        <f>IFERROR(INDEX(Segmen!$A$3:$A$6000,MATCH(C3746,Segmen!$D$3:$D$6000,0)),"")</f>
        <v/>
      </c>
      <c r="C3746">
        <f>IFERROR(LARGE(Segmen!$D$3:$D$6000,A3746),"")</f>
        <v/>
      </c>
    </row>
    <row r="3747">
      <c r="A3747" t="n">
        <v>3746</v>
      </c>
      <c r="B3747">
        <f>IFERROR(INDEX(Segmen!$A$3:$A$6000,MATCH(C3747,Segmen!$D$3:$D$6000,0)),"")</f>
        <v/>
      </c>
      <c r="C3747">
        <f>IFERROR(LARGE(Segmen!$D$3:$D$6000,A3747),"")</f>
        <v/>
      </c>
    </row>
    <row r="3748">
      <c r="A3748" t="n">
        <v>3747</v>
      </c>
      <c r="B3748">
        <f>IFERROR(INDEX(Segmen!$A$3:$A$6000,MATCH(C3748,Segmen!$D$3:$D$6000,0)),"")</f>
        <v/>
      </c>
      <c r="C3748">
        <f>IFERROR(LARGE(Segmen!$D$3:$D$6000,A3748),"")</f>
        <v/>
      </c>
    </row>
    <row r="3749">
      <c r="A3749" t="n">
        <v>3748</v>
      </c>
      <c r="B3749">
        <f>IFERROR(INDEX(Segmen!$A$3:$A$6000,MATCH(C3749,Segmen!$D$3:$D$6000,0)),"")</f>
        <v/>
      </c>
      <c r="C3749">
        <f>IFERROR(LARGE(Segmen!$D$3:$D$6000,A3749),"")</f>
        <v/>
      </c>
    </row>
    <row r="3750">
      <c r="A3750" t="n">
        <v>3749</v>
      </c>
      <c r="B3750">
        <f>IFERROR(INDEX(Segmen!$A$3:$A$6000,MATCH(C3750,Segmen!$D$3:$D$6000,0)),"")</f>
        <v/>
      </c>
      <c r="C3750">
        <f>IFERROR(LARGE(Segmen!$D$3:$D$6000,A3750),"")</f>
        <v/>
      </c>
    </row>
    <row r="3751">
      <c r="A3751" t="n">
        <v>3750</v>
      </c>
      <c r="B3751">
        <f>IFERROR(INDEX(Segmen!$A$3:$A$6000,MATCH(C3751,Segmen!$D$3:$D$6000,0)),"")</f>
        <v/>
      </c>
      <c r="C3751">
        <f>IFERROR(LARGE(Segmen!$D$3:$D$6000,A3751),"")</f>
        <v/>
      </c>
    </row>
    <row r="3752">
      <c r="A3752" t="n">
        <v>3751</v>
      </c>
      <c r="B3752">
        <f>IFERROR(INDEX(Segmen!$A$3:$A$6000,MATCH(C3752,Segmen!$D$3:$D$6000,0)),"")</f>
        <v/>
      </c>
      <c r="C3752">
        <f>IFERROR(LARGE(Segmen!$D$3:$D$6000,A3752),"")</f>
        <v/>
      </c>
    </row>
    <row r="3753">
      <c r="A3753" t="n">
        <v>3752</v>
      </c>
      <c r="B3753">
        <f>IFERROR(INDEX(Segmen!$A$3:$A$6000,MATCH(C3753,Segmen!$D$3:$D$6000,0)),"")</f>
        <v/>
      </c>
      <c r="C3753">
        <f>IFERROR(LARGE(Segmen!$D$3:$D$6000,A3753),"")</f>
        <v/>
      </c>
    </row>
    <row r="3754">
      <c r="A3754" t="n">
        <v>3753</v>
      </c>
      <c r="B3754">
        <f>IFERROR(INDEX(Segmen!$A$3:$A$6000,MATCH(C3754,Segmen!$D$3:$D$6000,0)),"")</f>
        <v/>
      </c>
      <c r="C3754">
        <f>IFERROR(LARGE(Segmen!$D$3:$D$6000,A3754),"")</f>
        <v/>
      </c>
    </row>
    <row r="3755">
      <c r="A3755" t="n">
        <v>3754</v>
      </c>
      <c r="B3755">
        <f>IFERROR(INDEX(Segmen!$A$3:$A$6000,MATCH(C3755,Segmen!$D$3:$D$6000,0)),"")</f>
        <v/>
      </c>
      <c r="C3755">
        <f>IFERROR(LARGE(Segmen!$D$3:$D$6000,A3755),"")</f>
        <v/>
      </c>
    </row>
    <row r="3756">
      <c r="A3756" t="n">
        <v>3755</v>
      </c>
      <c r="B3756">
        <f>IFERROR(INDEX(Segmen!$A$3:$A$6000,MATCH(C3756,Segmen!$D$3:$D$6000,0)),"")</f>
        <v/>
      </c>
      <c r="C3756">
        <f>IFERROR(LARGE(Segmen!$D$3:$D$6000,A3756),"")</f>
        <v/>
      </c>
    </row>
    <row r="3757">
      <c r="A3757" t="n">
        <v>3756</v>
      </c>
      <c r="B3757">
        <f>IFERROR(INDEX(Segmen!$A$3:$A$6000,MATCH(C3757,Segmen!$D$3:$D$6000,0)),"")</f>
        <v/>
      </c>
      <c r="C3757">
        <f>IFERROR(LARGE(Segmen!$D$3:$D$6000,A3757),"")</f>
        <v/>
      </c>
    </row>
    <row r="3758">
      <c r="A3758" t="n">
        <v>3757</v>
      </c>
      <c r="B3758">
        <f>IFERROR(INDEX(Segmen!$A$3:$A$6000,MATCH(C3758,Segmen!$D$3:$D$6000,0)),"")</f>
        <v/>
      </c>
      <c r="C3758">
        <f>IFERROR(LARGE(Segmen!$D$3:$D$6000,A3758),"")</f>
        <v/>
      </c>
    </row>
    <row r="3759">
      <c r="A3759" t="n">
        <v>3758</v>
      </c>
      <c r="B3759">
        <f>IFERROR(INDEX(Segmen!$A$3:$A$6000,MATCH(C3759,Segmen!$D$3:$D$6000,0)),"")</f>
        <v/>
      </c>
      <c r="C3759">
        <f>IFERROR(LARGE(Segmen!$D$3:$D$6000,A3759),"")</f>
        <v/>
      </c>
    </row>
    <row r="3760">
      <c r="A3760" t="n">
        <v>3759</v>
      </c>
      <c r="B3760">
        <f>IFERROR(INDEX(Segmen!$A$3:$A$6000,MATCH(C3760,Segmen!$D$3:$D$6000,0)),"")</f>
        <v/>
      </c>
      <c r="C3760">
        <f>IFERROR(LARGE(Segmen!$D$3:$D$6000,A3760),"")</f>
        <v/>
      </c>
    </row>
    <row r="3761">
      <c r="A3761" t="n">
        <v>3760</v>
      </c>
      <c r="B3761">
        <f>IFERROR(INDEX(Segmen!$A$3:$A$6000,MATCH(C3761,Segmen!$D$3:$D$6000,0)),"")</f>
        <v/>
      </c>
      <c r="C3761">
        <f>IFERROR(LARGE(Segmen!$D$3:$D$6000,A3761),"")</f>
        <v/>
      </c>
    </row>
    <row r="3762">
      <c r="A3762" t="n">
        <v>3761</v>
      </c>
      <c r="B3762">
        <f>IFERROR(INDEX(Segmen!$A$3:$A$6000,MATCH(C3762,Segmen!$D$3:$D$6000,0)),"")</f>
        <v/>
      </c>
      <c r="C3762">
        <f>IFERROR(LARGE(Segmen!$D$3:$D$6000,A3762),"")</f>
        <v/>
      </c>
    </row>
    <row r="3763">
      <c r="A3763" t="n">
        <v>3762</v>
      </c>
      <c r="B3763">
        <f>IFERROR(INDEX(Segmen!$A$3:$A$6000,MATCH(C3763,Segmen!$D$3:$D$6000,0)),"")</f>
        <v/>
      </c>
      <c r="C3763">
        <f>IFERROR(LARGE(Segmen!$D$3:$D$6000,A3763),"")</f>
        <v/>
      </c>
    </row>
    <row r="3764">
      <c r="A3764" t="n">
        <v>3763</v>
      </c>
      <c r="B3764">
        <f>IFERROR(INDEX(Segmen!$A$3:$A$6000,MATCH(C3764,Segmen!$D$3:$D$6000,0)),"")</f>
        <v/>
      </c>
      <c r="C3764">
        <f>IFERROR(LARGE(Segmen!$D$3:$D$6000,A3764),"")</f>
        <v/>
      </c>
    </row>
    <row r="3765">
      <c r="A3765" t="n">
        <v>3764</v>
      </c>
      <c r="B3765">
        <f>IFERROR(INDEX(Segmen!$A$3:$A$6000,MATCH(C3765,Segmen!$D$3:$D$6000,0)),"")</f>
        <v/>
      </c>
      <c r="C3765">
        <f>IFERROR(LARGE(Segmen!$D$3:$D$6000,A3765),"")</f>
        <v/>
      </c>
    </row>
    <row r="3766">
      <c r="A3766" t="n">
        <v>3765</v>
      </c>
      <c r="B3766">
        <f>IFERROR(INDEX(Segmen!$A$3:$A$6000,MATCH(C3766,Segmen!$D$3:$D$6000,0)),"")</f>
        <v/>
      </c>
      <c r="C3766">
        <f>IFERROR(LARGE(Segmen!$D$3:$D$6000,A3766),"")</f>
        <v/>
      </c>
    </row>
    <row r="3767">
      <c r="A3767" t="n">
        <v>3766</v>
      </c>
      <c r="B3767">
        <f>IFERROR(INDEX(Segmen!$A$3:$A$6000,MATCH(C3767,Segmen!$D$3:$D$6000,0)),"")</f>
        <v/>
      </c>
      <c r="C3767">
        <f>IFERROR(LARGE(Segmen!$D$3:$D$6000,A3767),"")</f>
        <v/>
      </c>
    </row>
    <row r="3768">
      <c r="A3768" t="n">
        <v>3767</v>
      </c>
      <c r="B3768">
        <f>IFERROR(INDEX(Segmen!$A$3:$A$6000,MATCH(C3768,Segmen!$D$3:$D$6000,0)),"")</f>
        <v/>
      </c>
      <c r="C3768">
        <f>IFERROR(LARGE(Segmen!$D$3:$D$6000,A3768),"")</f>
        <v/>
      </c>
    </row>
    <row r="3769">
      <c r="A3769" t="n">
        <v>3768</v>
      </c>
      <c r="B3769">
        <f>IFERROR(INDEX(Segmen!$A$3:$A$6000,MATCH(C3769,Segmen!$D$3:$D$6000,0)),"")</f>
        <v/>
      </c>
      <c r="C3769">
        <f>IFERROR(LARGE(Segmen!$D$3:$D$6000,A3769),"")</f>
        <v/>
      </c>
    </row>
    <row r="3770">
      <c r="A3770" t="n">
        <v>3769</v>
      </c>
      <c r="B3770">
        <f>IFERROR(INDEX(Segmen!$A$3:$A$6000,MATCH(C3770,Segmen!$D$3:$D$6000,0)),"")</f>
        <v/>
      </c>
      <c r="C3770">
        <f>IFERROR(LARGE(Segmen!$D$3:$D$6000,A3770),"")</f>
        <v/>
      </c>
    </row>
    <row r="3771">
      <c r="A3771" t="n">
        <v>3770</v>
      </c>
      <c r="B3771">
        <f>IFERROR(INDEX(Segmen!$A$3:$A$6000,MATCH(C3771,Segmen!$D$3:$D$6000,0)),"")</f>
        <v/>
      </c>
      <c r="C3771">
        <f>IFERROR(LARGE(Segmen!$D$3:$D$6000,A3771),"")</f>
        <v/>
      </c>
    </row>
    <row r="3772">
      <c r="A3772" t="n">
        <v>3771</v>
      </c>
      <c r="B3772">
        <f>IFERROR(INDEX(Segmen!$A$3:$A$6000,MATCH(C3772,Segmen!$D$3:$D$6000,0)),"")</f>
        <v/>
      </c>
      <c r="C3772">
        <f>IFERROR(LARGE(Segmen!$D$3:$D$6000,A3772),"")</f>
        <v/>
      </c>
    </row>
    <row r="3773">
      <c r="A3773" t="n">
        <v>3772</v>
      </c>
      <c r="B3773">
        <f>IFERROR(INDEX(Segmen!$A$3:$A$6000,MATCH(C3773,Segmen!$D$3:$D$6000,0)),"")</f>
        <v/>
      </c>
      <c r="C3773">
        <f>IFERROR(LARGE(Segmen!$D$3:$D$6000,A3773),"")</f>
        <v/>
      </c>
    </row>
    <row r="3774">
      <c r="A3774" t="n">
        <v>3773</v>
      </c>
      <c r="B3774">
        <f>IFERROR(INDEX(Segmen!$A$3:$A$6000,MATCH(C3774,Segmen!$D$3:$D$6000,0)),"")</f>
        <v/>
      </c>
      <c r="C3774">
        <f>IFERROR(LARGE(Segmen!$D$3:$D$6000,A3774),"")</f>
        <v/>
      </c>
    </row>
    <row r="3775">
      <c r="A3775" t="n">
        <v>3774</v>
      </c>
      <c r="B3775">
        <f>IFERROR(INDEX(Segmen!$A$3:$A$6000,MATCH(C3775,Segmen!$D$3:$D$6000,0)),"")</f>
        <v/>
      </c>
      <c r="C3775">
        <f>IFERROR(LARGE(Segmen!$D$3:$D$6000,A3775),"")</f>
        <v/>
      </c>
    </row>
    <row r="3776">
      <c r="A3776" t="n">
        <v>3775</v>
      </c>
      <c r="B3776">
        <f>IFERROR(INDEX(Segmen!$A$3:$A$6000,MATCH(C3776,Segmen!$D$3:$D$6000,0)),"")</f>
        <v/>
      </c>
      <c r="C3776">
        <f>IFERROR(LARGE(Segmen!$D$3:$D$6000,A3776),"")</f>
        <v/>
      </c>
    </row>
    <row r="3777">
      <c r="A3777" t="n">
        <v>3776</v>
      </c>
      <c r="B3777">
        <f>IFERROR(INDEX(Segmen!$A$3:$A$6000,MATCH(C3777,Segmen!$D$3:$D$6000,0)),"")</f>
        <v/>
      </c>
      <c r="C3777">
        <f>IFERROR(LARGE(Segmen!$D$3:$D$6000,A3777),"")</f>
        <v/>
      </c>
    </row>
    <row r="3778">
      <c r="A3778" t="n">
        <v>3777</v>
      </c>
      <c r="B3778">
        <f>IFERROR(INDEX(Segmen!$A$3:$A$6000,MATCH(C3778,Segmen!$D$3:$D$6000,0)),"")</f>
        <v/>
      </c>
      <c r="C3778">
        <f>IFERROR(LARGE(Segmen!$D$3:$D$6000,A3778),"")</f>
        <v/>
      </c>
    </row>
    <row r="3779">
      <c r="A3779" t="n">
        <v>3778</v>
      </c>
      <c r="B3779">
        <f>IFERROR(INDEX(Segmen!$A$3:$A$6000,MATCH(C3779,Segmen!$D$3:$D$6000,0)),"")</f>
        <v/>
      </c>
      <c r="C3779">
        <f>IFERROR(LARGE(Segmen!$D$3:$D$6000,A3779),"")</f>
        <v/>
      </c>
    </row>
    <row r="3780">
      <c r="A3780" t="n">
        <v>3779</v>
      </c>
      <c r="B3780">
        <f>IFERROR(INDEX(Segmen!$A$3:$A$6000,MATCH(C3780,Segmen!$D$3:$D$6000,0)),"")</f>
        <v/>
      </c>
      <c r="C3780">
        <f>IFERROR(LARGE(Segmen!$D$3:$D$6000,A3780),"")</f>
        <v/>
      </c>
    </row>
    <row r="3781">
      <c r="A3781" t="n">
        <v>3780</v>
      </c>
      <c r="B3781">
        <f>IFERROR(INDEX(Segmen!$A$3:$A$6000,MATCH(C3781,Segmen!$D$3:$D$6000,0)),"")</f>
        <v/>
      </c>
      <c r="C3781">
        <f>IFERROR(LARGE(Segmen!$D$3:$D$6000,A3781),"")</f>
        <v/>
      </c>
    </row>
    <row r="3782">
      <c r="A3782" t="n">
        <v>3781</v>
      </c>
      <c r="B3782">
        <f>IFERROR(INDEX(Segmen!$A$3:$A$6000,MATCH(C3782,Segmen!$D$3:$D$6000,0)),"")</f>
        <v/>
      </c>
      <c r="C3782">
        <f>IFERROR(LARGE(Segmen!$D$3:$D$6000,A3782),"")</f>
        <v/>
      </c>
    </row>
    <row r="3783">
      <c r="A3783" t="n">
        <v>3782</v>
      </c>
      <c r="B3783">
        <f>IFERROR(INDEX(Segmen!$A$3:$A$6000,MATCH(C3783,Segmen!$D$3:$D$6000,0)),"")</f>
        <v/>
      </c>
      <c r="C3783">
        <f>IFERROR(LARGE(Segmen!$D$3:$D$6000,A3783),"")</f>
        <v/>
      </c>
    </row>
    <row r="3784">
      <c r="A3784" t="n">
        <v>3783</v>
      </c>
      <c r="B3784">
        <f>IFERROR(INDEX(Segmen!$A$3:$A$6000,MATCH(C3784,Segmen!$D$3:$D$6000,0)),"")</f>
        <v/>
      </c>
      <c r="C3784">
        <f>IFERROR(LARGE(Segmen!$D$3:$D$6000,A3784),"")</f>
        <v/>
      </c>
    </row>
    <row r="3785">
      <c r="A3785" t="n">
        <v>3784</v>
      </c>
      <c r="B3785">
        <f>IFERROR(INDEX(Segmen!$A$3:$A$6000,MATCH(C3785,Segmen!$D$3:$D$6000,0)),"")</f>
        <v/>
      </c>
      <c r="C3785">
        <f>IFERROR(LARGE(Segmen!$D$3:$D$6000,A3785),"")</f>
        <v/>
      </c>
    </row>
    <row r="3786">
      <c r="A3786" t="n">
        <v>3785</v>
      </c>
      <c r="B3786">
        <f>IFERROR(INDEX(Segmen!$A$3:$A$6000,MATCH(C3786,Segmen!$D$3:$D$6000,0)),"")</f>
        <v/>
      </c>
      <c r="C3786">
        <f>IFERROR(LARGE(Segmen!$D$3:$D$6000,A3786),"")</f>
        <v/>
      </c>
    </row>
    <row r="3787">
      <c r="A3787" t="n">
        <v>3786</v>
      </c>
      <c r="B3787">
        <f>IFERROR(INDEX(Segmen!$A$3:$A$6000,MATCH(C3787,Segmen!$D$3:$D$6000,0)),"")</f>
        <v/>
      </c>
      <c r="C3787">
        <f>IFERROR(LARGE(Segmen!$D$3:$D$6000,A3787),"")</f>
        <v/>
      </c>
    </row>
    <row r="3788">
      <c r="A3788" t="n">
        <v>3787</v>
      </c>
      <c r="B3788">
        <f>IFERROR(INDEX(Segmen!$A$3:$A$6000,MATCH(C3788,Segmen!$D$3:$D$6000,0)),"")</f>
        <v/>
      </c>
      <c r="C3788">
        <f>IFERROR(LARGE(Segmen!$D$3:$D$6000,A3788),"")</f>
        <v/>
      </c>
    </row>
    <row r="3789">
      <c r="A3789" t="n">
        <v>3788</v>
      </c>
      <c r="B3789">
        <f>IFERROR(INDEX(Segmen!$A$3:$A$6000,MATCH(C3789,Segmen!$D$3:$D$6000,0)),"")</f>
        <v/>
      </c>
      <c r="C3789">
        <f>IFERROR(LARGE(Segmen!$D$3:$D$6000,A3789),"")</f>
        <v/>
      </c>
    </row>
    <row r="3790">
      <c r="A3790" t="n">
        <v>3789</v>
      </c>
      <c r="B3790">
        <f>IFERROR(INDEX(Segmen!$A$3:$A$6000,MATCH(C3790,Segmen!$D$3:$D$6000,0)),"")</f>
        <v/>
      </c>
      <c r="C3790">
        <f>IFERROR(LARGE(Segmen!$D$3:$D$6000,A3790),"")</f>
        <v/>
      </c>
    </row>
    <row r="3791">
      <c r="A3791" t="n">
        <v>3790</v>
      </c>
      <c r="B3791">
        <f>IFERROR(INDEX(Segmen!$A$3:$A$6000,MATCH(C3791,Segmen!$D$3:$D$6000,0)),"")</f>
        <v/>
      </c>
      <c r="C3791">
        <f>IFERROR(LARGE(Segmen!$D$3:$D$6000,A3791),"")</f>
        <v/>
      </c>
    </row>
    <row r="3792">
      <c r="A3792" t="n">
        <v>3791</v>
      </c>
      <c r="B3792">
        <f>IFERROR(INDEX(Segmen!$A$3:$A$6000,MATCH(C3792,Segmen!$D$3:$D$6000,0)),"")</f>
        <v/>
      </c>
      <c r="C3792">
        <f>IFERROR(LARGE(Segmen!$D$3:$D$6000,A3792),"")</f>
        <v/>
      </c>
    </row>
    <row r="3793">
      <c r="A3793" t="n">
        <v>3792</v>
      </c>
      <c r="B3793">
        <f>IFERROR(INDEX(Segmen!$A$3:$A$6000,MATCH(C3793,Segmen!$D$3:$D$6000,0)),"")</f>
        <v/>
      </c>
      <c r="C3793">
        <f>IFERROR(LARGE(Segmen!$D$3:$D$6000,A3793),"")</f>
        <v/>
      </c>
    </row>
    <row r="3794">
      <c r="A3794" t="n">
        <v>3793</v>
      </c>
      <c r="B3794">
        <f>IFERROR(INDEX(Segmen!$A$3:$A$6000,MATCH(C3794,Segmen!$D$3:$D$6000,0)),"")</f>
        <v/>
      </c>
      <c r="C3794">
        <f>IFERROR(LARGE(Segmen!$D$3:$D$6000,A3794),"")</f>
        <v/>
      </c>
    </row>
    <row r="3795">
      <c r="A3795" t="n">
        <v>3794</v>
      </c>
      <c r="B3795">
        <f>IFERROR(INDEX(Segmen!$A$3:$A$6000,MATCH(C3795,Segmen!$D$3:$D$6000,0)),"")</f>
        <v/>
      </c>
      <c r="C3795">
        <f>IFERROR(LARGE(Segmen!$D$3:$D$6000,A3795),"")</f>
        <v/>
      </c>
    </row>
    <row r="3796">
      <c r="A3796" t="n">
        <v>3795</v>
      </c>
      <c r="B3796">
        <f>IFERROR(INDEX(Segmen!$A$3:$A$6000,MATCH(C3796,Segmen!$D$3:$D$6000,0)),"")</f>
        <v/>
      </c>
      <c r="C3796">
        <f>IFERROR(LARGE(Segmen!$D$3:$D$6000,A3796),"")</f>
        <v/>
      </c>
    </row>
    <row r="3797">
      <c r="A3797" t="n">
        <v>3796</v>
      </c>
      <c r="B3797">
        <f>IFERROR(INDEX(Segmen!$A$3:$A$6000,MATCH(C3797,Segmen!$D$3:$D$6000,0)),"")</f>
        <v/>
      </c>
      <c r="C3797">
        <f>IFERROR(LARGE(Segmen!$D$3:$D$6000,A3797),"")</f>
        <v/>
      </c>
    </row>
    <row r="3798">
      <c r="A3798" t="n">
        <v>3797</v>
      </c>
      <c r="B3798">
        <f>IFERROR(INDEX(Segmen!$A$3:$A$6000,MATCH(C3798,Segmen!$D$3:$D$6000,0)),"")</f>
        <v/>
      </c>
      <c r="C3798">
        <f>IFERROR(LARGE(Segmen!$D$3:$D$6000,A3798),"")</f>
        <v/>
      </c>
    </row>
    <row r="3799">
      <c r="A3799" t="n">
        <v>3798</v>
      </c>
      <c r="B3799">
        <f>IFERROR(INDEX(Segmen!$A$3:$A$6000,MATCH(C3799,Segmen!$D$3:$D$6000,0)),"")</f>
        <v/>
      </c>
      <c r="C3799">
        <f>IFERROR(LARGE(Segmen!$D$3:$D$6000,A3799),"")</f>
        <v/>
      </c>
    </row>
    <row r="3800">
      <c r="A3800" t="n">
        <v>3799</v>
      </c>
      <c r="B3800">
        <f>IFERROR(INDEX(Segmen!$A$3:$A$6000,MATCH(C3800,Segmen!$D$3:$D$6000,0)),"")</f>
        <v/>
      </c>
      <c r="C3800">
        <f>IFERROR(LARGE(Segmen!$D$3:$D$6000,A3800),"")</f>
        <v/>
      </c>
    </row>
    <row r="3801">
      <c r="A3801" t="n">
        <v>3800</v>
      </c>
      <c r="B3801">
        <f>IFERROR(INDEX(Segmen!$A$3:$A$6000,MATCH(C3801,Segmen!$D$3:$D$6000,0)),"")</f>
        <v/>
      </c>
      <c r="C3801">
        <f>IFERROR(LARGE(Segmen!$D$3:$D$6000,A3801),"")</f>
        <v/>
      </c>
    </row>
    <row r="3802">
      <c r="A3802" t="n">
        <v>3801</v>
      </c>
      <c r="B3802">
        <f>IFERROR(INDEX(Segmen!$A$3:$A$6000,MATCH(C3802,Segmen!$D$3:$D$6000,0)),"")</f>
        <v/>
      </c>
      <c r="C3802">
        <f>IFERROR(LARGE(Segmen!$D$3:$D$6000,A3802),"")</f>
        <v/>
      </c>
    </row>
    <row r="3803">
      <c r="A3803" t="n">
        <v>3802</v>
      </c>
      <c r="B3803">
        <f>IFERROR(INDEX(Segmen!$A$3:$A$6000,MATCH(C3803,Segmen!$D$3:$D$6000,0)),"")</f>
        <v/>
      </c>
      <c r="C3803">
        <f>IFERROR(LARGE(Segmen!$D$3:$D$6000,A3803),"")</f>
        <v/>
      </c>
    </row>
    <row r="3804">
      <c r="A3804" t="n">
        <v>3803</v>
      </c>
      <c r="B3804">
        <f>IFERROR(INDEX(Segmen!$A$3:$A$6000,MATCH(C3804,Segmen!$D$3:$D$6000,0)),"")</f>
        <v/>
      </c>
      <c r="C3804">
        <f>IFERROR(LARGE(Segmen!$D$3:$D$6000,A3804),"")</f>
        <v/>
      </c>
    </row>
    <row r="3805">
      <c r="A3805" t="n">
        <v>3804</v>
      </c>
      <c r="B3805">
        <f>IFERROR(INDEX(Segmen!$A$3:$A$6000,MATCH(C3805,Segmen!$D$3:$D$6000,0)),"")</f>
        <v/>
      </c>
      <c r="C3805">
        <f>IFERROR(LARGE(Segmen!$D$3:$D$6000,A3805),"")</f>
        <v/>
      </c>
    </row>
    <row r="3806">
      <c r="A3806" t="n">
        <v>3805</v>
      </c>
      <c r="B3806">
        <f>IFERROR(INDEX(Segmen!$A$3:$A$6000,MATCH(C3806,Segmen!$D$3:$D$6000,0)),"")</f>
        <v/>
      </c>
      <c r="C3806">
        <f>IFERROR(LARGE(Segmen!$D$3:$D$6000,A3806),"")</f>
        <v/>
      </c>
    </row>
    <row r="3807">
      <c r="A3807" t="n">
        <v>3806</v>
      </c>
      <c r="B3807">
        <f>IFERROR(INDEX(Segmen!$A$3:$A$6000,MATCH(C3807,Segmen!$D$3:$D$6000,0)),"")</f>
        <v/>
      </c>
      <c r="C3807">
        <f>IFERROR(LARGE(Segmen!$D$3:$D$6000,A3807),"")</f>
        <v/>
      </c>
    </row>
    <row r="3808">
      <c r="A3808" t="n">
        <v>3807</v>
      </c>
      <c r="B3808">
        <f>IFERROR(INDEX(Segmen!$A$3:$A$6000,MATCH(C3808,Segmen!$D$3:$D$6000,0)),"")</f>
        <v/>
      </c>
      <c r="C3808">
        <f>IFERROR(LARGE(Segmen!$D$3:$D$6000,A3808),"")</f>
        <v/>
      </c>
    </row>
    <row r="3809">
      <c r="A3809" t="n">
        <v>3808</v>
      </c>
      <c r="B3809">
        <f>IFERROR(INDEX(Segmen!$A$3:$A$6000,MATCH(C3809,Segmen!$D$3:$D$6000,0)),"")</f>
        <v/>
      </c>
      <c r="C3809">
        <f>IFERROR(LARGE(Segmen!$D$3:$D$6000,A3809),"")</f>
        <v/>
      </c>
    </row>
    <row r="3810">
      <c r="A3810" t="n">
        <v>3809</v>
      </c>
      <c r="B3810">
        <f>IFERROR(INDEX(Segmen!$A$3:$A$6000,MATCH(C3810,Segmen!$D$3:$D$6000,0)),"")</f>
        <v/>
      </c>
      <c r="C3810">
        <f>IFERROR(LARGE(Segmen!$D$3:$D$6000,A3810),"")</f>
        <v/>
      </c>
    </row>
    <row r="3811">
      <c r="A3811" t="n">
        <v>3810</v>
      </c>
      <c r="B3811">
        <f>IFERROR(INDEX(Segmen!$A$3:$A$6000,MATCH(C3811,Segmen!$D$3:$D$6000,0)),"")</f>
        <v/>
      </c>
      <c r="C3811">
        <f>IFERROR(LARGE(Segmen!$D$3:$D$6000,A3811),"")</f>
        <v/>
      </c>
    </row>
    <row r="3812">
      <c r="A3812" t="n">
        <v>3811</v>
      </c>
      <c r="B3812">
        <f>IFERROR(INDEX(Segmen!$A$3:$A$6000,MATCH(C3812,Segmen!$D$3:$D$6000,0)),"")</f>
        <v/>
      </c>
      <c r="C3812">
        <f>IFERROR(LARGE(Segmen!$D$3:$D$6000,A3812),"")</f>
        <v/>
      </c>
    </row>
    <row r="3813">
      <c r="A3813" t="n">
        <v>3812</v>
      </c>
      <c r="B3813">
        <f>IFERROR(INDEX(Segmen!$A$3:$A$6000,MATCH(C3813,Segmen!$D$3:$D$6000,0)),"")</f>
        <v/>
      </c>
      <c r="C3813">
        <f>IFERROR(LARGE(Segmen!$D$3:$D$6000,A3813),"")</f>
        <v/>
      </c>
    </row>
    <row r="3814">
      <c r="A3814" t="n">
        <v>3813</v>
      </c>
      <c r="B3814">
        <f>IFERROR(INDEX(Segmen!$A$3:$A$6000,MATCH(C3814,Segmen!$D$3:$D$6000,0)),"")</f>
        <v/>
      </c>
      <c r="C3814">
        <f>IFERROR(LARGE(Segmen!$D$3:$D$6000,A3814),"")</f>
        <v/>
      </c>
    </row>
    <row r="3815">
      <c r="A3815" t="n">
        <v>3814</v>
      </c>
      <c r="B3815">
        <f>IFERROR(INDEX(Segmen!$A$3:$A$6000,MATCH(C3815,Segmen!$D$3:$D$6000,0)),"")</f>
        <v/>
      </c>
      <c r="C3815">
        <f>IFERROR(LARGE(Segmen!$D$3:$D$6000,A3815),"")</f>
        <v/>
      </c>
    </row>
    <row r="3816">
      <c r="A3816" t="n">
        <v>3815</v>
      </c>
      <c r="B3816">
        <f>IFERROR(INDEX(Segmen!$A$3:$A$6000,MATCH(C3816,Segmen!$D$3:$D$6000,0)),"")</f>
        <v/>
      </c>
      <c r="C3816">
        <f>IFERROR(LARGE(Segmen!$D$3:$D$6000,A3816),"")</f>
        <v/>
      </c>
    </row>
    <row r="3817">
      <c r="A3817" t="n">
        <v>3816</v>
      </c>
      <c r="B3817">
        <f>IFERROR(INDEX(Segmen!$A$3:$A$6000,MATCH(C3817,Segmen!$D$3:$D$6000,0)),"")</f>
        <v/>
      </c>
      <c r="C3817">
        <f>IFERROR(LARGE(Segmen!$D$3:$D$6000,A3817),"")</f>
        <v/>
      </c>
    </row>
    <row r="3818">
      <c r="A3818" t="n">
        <v>3817</v>
      </c>
      <c r="B3818">
        <f>IFERROR(INDEX(Segmen!$A$3:$A$6000,MATCH(C3818,Segmen!$D$3:$D$6000,0)),"")</f>
        <v/>
      </c>
      <c r="C3818">
        <f>IFERROR(LARGE(Segmen!$D$3:$D$6000,A3818),"")</f>
        <v/>
      </c>
    </row>
    <row r="3819">
      <c r="A3819" t="n">
        <v>3818</v>
      </c>
      <c r="B3819">
        <f>IFERROR(INDEX(Segmen!$A$3:$A$6000,MATCH(C3819,Segmen!$D$3:$D$6000,0)),"")</f>
        <v/>
      </c>
      <c r="C3819">
        <f>IFERROR(LARGE(Segmen!$D$3:$D$6000,A3819),"")</f>
        <v/>
      </c>
    </row>
    <row r="3820">
      <c r="A3820" t="n">
        <v>3819</v>
      </c>
      <c r="B3820">
        <f>IFERROR(INDEX(Segmen!$A$3:$A$6000,MATCH(C3820,Segmen!$D$3:$D$6000,0)),"")</f>
        <v/>
      </c>
      <c r="C3820">
        <f>IFERROR(LARGE(Segmen!$D$3:$D$6000,A3820),"")</f>
        <v/>
      </c>
    </row>
    <row r="3821">
      <c r="A3821" t="n">
        <v>3820</v>
      </c>
      <c r="B3821">
        <f>IFERROR(INDEX(Segmen!$A$3:$A$6000,MATCH(C3821,Segmen!$D$3:$D$6000,0)),"")</f>
        <v/>
      </c>
      <c r="C3821">
        <f>IFERROR(LARGE(Segmen!$D$3:$D$6000,A3821),"")</f>
        <v/>
      </c>
    </row>
    <row r="3822">
      <c r="A3822" t="n">
        <v>3821</v>
      </c>
      <c r="B3822">
        <f>IFERROR(INDEX(Segmen!$A$3:$A$6000,MATCH(C3822,Segmen!$D$3:$D$6000,0)),"")</f>
        <v/>
      </c>
      <c r="C3822">
        <f>IFERROR(LARGE(Segmen!$D$3:$D$6000,A3822),"")</f>
        <v/>
      </c>
    </row>
    <row r="3823">
      <c r="A3823" t="n">
        <v>3822</v>
      </c>
      <c r="B3823">
        <f>IFERROR(INDEX(Segmen!$A$3:$A$6000,MATCH(C3823,Segmen!$D$3:$D$6000,0)),"")</f>
        <v/>
      </c>
      <c r="C3823">
        <f>IFERROR(LARGE(Segmen!$D$3:$D$6000,A3823),"")</f>
        <v/>
      </c>
    </row>
    <row r="3824">
      <c r="A3824" t="n">
        <v>3823</v>
      </c>
      <c r="B3824">
        <f>IFERROR(INDEX(Segmen!$A$3:$A$6000,MATCH(C3824,Segmen!$D$3:$D$6000,0)),"")</f>
        <v/>
      </c>
      <c r="C3824">
        <f>IFERROR(LARGE(Segmen!$D$3:$D$6000,A3824),"")</f>
        <v/>
      </c>
    </row>
    <row r="3825">
      <c r="A3825" t="n">
        <v>3824</v>
      </c>
      <c r="B3825">
        <f>IFERROR(INDEX(Segmen!$A$3:$A$6000,MATCH(C3825,Segmen!$D$3:$D$6000,0)),"")</f>
        <v/>
      </c>
      <c r="C3825">
        <f>IFERROR(LARGE(Segmen!$D$3:$D$6000,A3825),"")</f>
        <v/>
      </c>
    </row>
    <row r="3826">
      <c r="A3826" t="n">
        <v>3825</v>
      </c>
      <c r="B3826">
        <f>IFERROR(INDEX(Segmen!$A$3:$A$6000,MATCH(C3826,Segmen!$D$3:$D$6000,0)),"")</f>
        <v/>
      </c>
      <c r="C3826">
        <f>IFERROR(LARGE(Segmen!$D$3:$D$6000,A3826),"")</f>
        <v/>
      </c>
    </row>
    <row r="3827">
      <c r="A3827" t="n">
        <v>3826</v>
      </c>
      <c r="B3827">
        <f>IFERROR(INDEX(Segmen!$A$3:$A$6000,MATCH(C3827,Segmen!$D$3:$D$6000,0)),"")</f>
        <v/>
      </c>
      <c r="C3827">
        <f>IFERROR(LARGE(Segmen!$D$3:$D$6000,A3827),"")</f>
        <v/>
      </c>
    </row>
    <row r="3828">
      <c r="A3828" t="n">
        <v>3827</v>
      </c>
      <c r="B3828">
        <f>IFERROR(INDEX(Segmen!$A$3:$A$6000,MATCH(C3828,Segmen!$D$3:$D$6000,0)),"")</f>
        <v/>
      </c>
      <c r="C3828">
        <f>IFERROR(LARGE(Segmen!$D$3:$D$6000,A3828),"")</f>
        <v/>
      </c>
    </row>
    <row r="3829">
      <c r="A3829" t="n">
        <v>3828</v>
      </c>
      <c r="B3829">
        <f>IFERROR(INDEX(Segmen!$A$3:$A$6000,MATCH(C3829,Segmen!$D$3:$D$6000,0)),"")</f>
        <v/>
      </c>
      <c r="C3829">
        <f>IFERROR(LARGE(Segmen!$D$3:$D$6000,A3829),"")</f>
        <v/>
      </c>
    </row>
    <row r="3830">
      <c r="A3830" t="n">
        <v>3829</v>
      </c>
      <c r="B3830">
        <f>IFERROR(INDEX(Segmen!$A$3:$A$6000,MATCH(C3830,Segmen!$D$3:$D$6000,0)),"")</f>
        <v/>
      </c>
      <c r="C3830">
        <f>IFERROR(LARGE(Segmen!$D$3:$D$6000,A3830),"")</f>
        <v/>
      </c>
    </row>
    <row r="3831">
      <c r="A3831" t="n">
        <v>3830</v>
      </c>
      <c r="B3831">
        <f>IFERROR(INDEX(Segmen!$A$3:$A$6000,MATCH(C3831,Segmen!$D$3:$D$6000,0)),"")</f>
        <v/>
      </c>
      <c r="C3831">
        <f>IFERROR(LARGE(Segmen!$D$3:$D$6000,A3831),"")</f>
        <v/>
      </c>
    </row>
    <row r="3832">
      <c r="A3832" t="n">
        <v>3831</v>
      </c>
      <c r="B3832">
        <f>IFERROR(INDEX(Segmen!$A$3:$A$6000,MATCH(C3832,Segmen!$D$3:$D$6000,0)),"")</f>
        <v/>
      </c>
      <c r="C3832">
        <f>IFERROR(LARGE(Segmen!$D$3:$D$6000,A3832),"")</f>
        <v/>
      </c>
    </row>
    <row r="3833">
      <c r="A3833" t="n">
        <v>3832</v>
      </c>
      <c r="B3833">
        <f>IFERROR(INDEX(Segmen!$A$3:$A$6000,MATCH(C3833,Segmen!$D$3:$D$6000,0)),"")</f>
        <v/>
      </c>
      <c r="C3833">
        <f>IFERROR(LARGE(Segmen!$D$3:$D$6000,A3833),"")</f>
        <v/>
      </c>
    </row>
    <row r="3834">
      <c r="A3834" t="n">
        <v>3833</v>
      </c>
      <c r="B3834">
        <f>IFERROR(INDEX(Segmen!$A$3:$A$6000,MATCH(C3834,Segmen!$D$3:$D$6000,0)),"")</f>
        <v/>
      </c>
      <c r="C3834">
        <f>IFERROR(LARGE(Segmen!$D$3:$D$6000,A3834),"")</f>
        <v/>
      </c>
    </row>
    <row r="3835">
      <c r="A3835" t="n">
        <v>3834</v>
      </c>
      <c r="B3835">
        <f>IFERROR(INDEX(Segmen!$A$3:$A$6000,MATCH(C3835,Segmen!$D$3:$D$6000,0)),"")</f>
        <v/>
      </c>
      <c r="C3835">
        <f>IFERROR(LARGE(Segmen!$D$3:$D$6000,A3835),"")</f>
        <v/>
      </c>
    </row>
    <row r="3836">
      <c r="A3836" t="n">
        <v>3835</v>
      </c>
      <c r="B3836">
        <f>IFERROR(INDEX(Segmen!$A$3:$A$6000,MATCH(C3836,Segmen!$D$3:$D$6000,0)),"")</f>
        <v/>
      </c>
      <c r="C3836">
        <f>IFERROR(LARGE(Segmen!$D$3:$D$6000,A3836),"")</f>
        <v/>
      </c>
    </row>
    <row r="3837">
      <c r="A3837" t="n">
        <v>3836</v>
      </c>
      <c r="B3837">
        <f>IFERROR(INDEX(Segmen!$A$3:$A$6000,MATCH(C3837,Segmen!$D$3:$D$6000,0)),"")</f>
        <v/>
      </c>
      <c r="C3837">
        <f>IFERROR(LARGE(Segmen!$D$3:$D$6000,A3837),"")</f>
        <v/>
      </c>
    </row>
    <row r="3838">
      <c r="A3838" t="n">
        <v>3837</v>
      </c>
      <c r="B3838">
        <f>IFERROR(INDEX(Segmen!$A$3:$A$6000,MATCH(C3838,Segmen!$D$3:$D$6000,0)),"")</f>
        <v/>
      </c>
      <c r="C3838">
        <f>IFERROR(LARGE(Segmen!$D$3:$D$6000,A3838),"")</f>
        <v/>
      </c>
    </row>
    <row r="3839">
      <c r="A3839" t="n">
        <v>3838</v>
      </c>
      <c r="B3839">
        <f>IFERROR(INDEX(Segmen!$A$3:$A$6000,MATCH(C3839,Segmen!$D$3:$D$6000,0)),"")</f>
        <v/>
      </c>
      <c r="C3839">
        <f>IFERROR(LARGE(Segmen!$D$3:$D$6000,A3839),"")</f>
        <v/>
      </c>
    </row>
    <row r="3840">
      <c r="A3840" t="n">
        <v>3839</v>
      </c>
      <c r="B3840">
        <f>IFERROR(INDEX(Segmen!$A$3:$A$6000,MATCH(C3840,Segmen!$D$3:$D$6000,0)),"")</f>
        <v/>
      </c>
      <c r="C3840">
        <f>IFERROR(LARGE(Segmen!$D$3:$D$6000,A3840),"")</f>
        <v/>
      </c>
    </row>
    <row r="3841">
      <c r="A3841" t="n">
        <v>3840</v>
      </c>
      <c r="B3841">
        <f>IFERROR(INDEX(Segmen!$A$3:$A$6000,MATCH(C3841,Segmen!$D$3:$D$6000,0)),"")</f>
        <v/>
      </c>
      <c r="C3841">
        <f>IFERROR(LARGE(Segmen!$D$3:$D$6000,A3841),"")</f>
        <v/>
      </c>
    </row>
    <row r="3842">
      <c r="A3842" t="n">
        <v>3841</v>
      </c>
      <c r="B3842">
        <f>IFERROR(INDEX(Segmen!$A$3:$A$6000,MATCH(C3842,Segmen!$D$3:$D$6000,0)),"")</f>
        <v/>
      </c>
      <c r="C3842">
        <f>IFERROR(LARGE(Segmen!$D$3:$D$6000,A3842),"")</f>
        <v/>
      </c>
    </row>
    <row r="3843">
      <c r="A3843" t="n">
        <v>3842</v>
      </c>
      <c r="B3843">
        <f>IFERROR(INDEX(Segmen!$A$3:$A$6000,MATCH(C3843,Segmen!$D$3:$D$6000,0)),"")</f>
        <v/>
      </c>
      <c r="C3843">
        <f>IFERROR(LARGE(Segmen!$D$3:$D$6000,A3843),"")</f>
        <v/>
      </c>
    </row>
    <row r="3844">
      <c r="A3844" t="n">
        <v>3843</v>
      </c>
      <c r="B3844">
        <f>IFERROR(INDEX(Segmen!$A$3:$A$6000,MATCH(C3844,Segmen!$D$3:$D$6000,0)),"")</f>
        <v/>
      </c>
      <c r="C3844">
        <f>IFERROR(LARGE(Segmen!$D$3:$D$6000,A3844),"")</f>
        <v/>
      </c>
    </row>
    <row r="3845">
      <c r="A3845" t="n">
        <v>3844</v>
      </c>
      <c r="B3845">
        <f>IFERROR(INDEX(Segmen!$A$3:$A$6000,MATCH(C3845,Segmen!$D$3:$D$6000,0)),"")</f>
        <v/>
      </c>
      <c r="C3845">
        <f>IFERROR(LARGE(Segmen!$D$3:$D$6000,A3845),"")</f>
        <v/>
      </c>
    </row>
    <row r="3846">
      <c r="A3846" t="n">
        <v>3845</v>
      </c>
      <c r="B3846">
        <f>IFERROR(INDEX(Segmen!$A$3:$A$6000,MATCH(C3846,Segmen!$D$3:$D$6000,0)),"")</f>
        <v/>
      </c>
      <c r="C3846">
        <f>IFERROR(LARGE(Segmen!$D$3:$D$6000,A3846),"")</f>
        <v/>
      </c>
    </row>
    <row r="3847">
      <c r="A3847" t="n">
        <v>3846</v>
      </c>
      <c r="B3847">
        <f>IFERROR(INDEX(Segmen!$A$3:$A$6000,MATCH(C3847,Segmen!$D$3:$D$6000,0)),"")</f>
        <v/>
      </c>
      <c r="C3847">
        <f>IFERROR(LARGE(Segmen!$D$3:$D$6000,A3847),"")</f>
        <v/>
      </c>
    </row>
    <row r="3848">
      <c r="A3848" t="n">
        <v>3847</v>
      </c>
      <c r="B3848">
        <f>IFERROR(INDEX(Segmen!$A$3:$A$6000,MATCH(C3848,Segmen!$D$3:$D$6000,0)),"")</f>
        <v/>
      </c>
      <c r="C3848">
        <f>IFERROR(LARGE(Segmen!$D$3:$D$6000,A3848),"")</f>
        <v/>
      </c>
    </row>
    <row r="3849">
      <c r="A3849" t="n">
        <v>3848</v>
      </c>
      <c r="B3849">
        <f>IFERROR(INDEX(Segmen!$A$3:$A$6000,MATCH(C3849,Segmen!$D$3:$D$6000,0)),"")</f>
        <v/>
      </c>
      <c r="C3849">
        <f>IFERROR(LARGE(Segmen!$D$3:$D$6000,A3849),"")</f>
        <v/>
      </c>
    </row>
    <row r="3850">
      <c r="A3850" t="n">
        <v>3849</v>
      </c>
      <c r="B3850">
        <f>IFERROR(INDEX(Segmen!$A$3:$A$6000,MATCH(C3850,Segmen!$D$3:$D$6000,0)),"")</f>
        <v/>
      </c>
      <c r="C3850">
        <f>IFERROR(LARGE(Segmen!$D$3:$D$6000,A3850),"")</f>
        <v/>
      </c>
    </row>
    <row r="3851">
      <c r="A3851" t="n">
        <v>3850</v>
      </c>
      <c r="B3851">
        <f>IFERROR(INDEX(Segmen!$A$3:$A$6000,MATCH(C3851,Segmen!$D$3:$D$6000,0)),"")</f>
        <v/>
      </c>
      <c r="C3851">
        <f>IFERROR(LARGE(Segmen!$D$3:$D$6000,A3851),"")</f>
        <v/>
      </c>
    </row>
    <row r="3852">
      <c r="A3852" t="n">
        <v>3851</v>
      </c>
      <c r="B3852">
        <f>IFERROR(INDEX(Segmen!$A$3:$A$6000,MATCH(C3852,Segmen!$D$3:$D$6000,0)),"")</f>
        <v/>
      </c>
      <c r="C3852">
        <f>IFERROR(LARGE(Segmen!$D$3:$D$6000,A3852),"")</f>
        <v/>
      </c>
    </row>
    <row r="3853">
      <c r="A3853" t="n">
        <v>3852</v>
      </c>
      <c r="B3853">
        <f>IFERROR(INDEX(Segmen!$A$3:$A$6000,MATCH(C3853,Segmen!$D$3:$D$6000,0)),"")</f>
        <v/>
      </c>
      <c r="C3853">
        <f>IFERROR(LARGE(Segmen!$D$3:$D$6000,A3853),"")</f>
        <v/>
      </c>
    </row>
    <row r="3854">
      <c r="A3854" t="n">
        <v>3853</v>
      </c>
      <c r="B3854">
        <f>IFERROR(INDEX(Segmen!$A$3:$A$6000,MATCH(C3854,Segmen!$D$3:$D$6000,0)),"")</f>
        <v/>
      </c>
      <c r="C3854">
        <f>IFERROR(LARGE(Segmen!$D$3:$D$6000,A3854),"")</f>
        <v/>
      </c>
    </row>
    <row r="3855">
      <c r="A3855" t="n">
        <v>3854</v>
      </c>
      <c r="B3855">
        <f>IFERROR(INDEX(Segmen!$A$3:$A$6000,MATCH(C3855,Segmen!$D$3:$D$6000,0)),"")</f>
        <v/>
      </c>
      <c r="C3855">
        <f>IFERROR(LARGE(Segmen!$D$3:$D$6000,A3855),"")</f>
        <v/>
      </c>
    </row>
    <row r="3856">
      <c r="A3856" t="n">
        <v>3855</v>
      </c>
      <c r="B3856">
        <f>IFERROR(INDEX(Segmen!$A$3:$A$6000,MATCH(C3856,Segmen!$D$3:$D$6000,0)),"")</f>
        <v/>
      </c>
      <c r="C3856">
        <f>IFERROR(LARGE(Segmen!$D$3:$D$6000,A3856),"")</f>
        <v/>
      </c>
    </row>
    <row r="3857">
      <c r="A3857" t="n">
        <v>3856</v>
      </c>
      <c r="B3857">
        <f>IFERROR(INDEX(Segmen!$A$3:$A$6000,MATCH(C3857,Segmen!$D$3:$D$6000,0)),"")</f>
        <v/>
      </c>
      <c r="C3857">
        <f>IFERROR(LARGE(Segmen!$D$3:$D$6000,A3857),"")</f>
        <v/>
      </c>
    </row>
    <row r="3858">
      <c r="A3858" t="n">
        <v>3857</v>
      </c>
      <c r="B3858">
        <f>IFERROR(INDEX(Segmen!$A$3:$A$6000,MATCH(C3858,Segmen!$D$3:$D$6000,0)),"")</f>
        <v/>
      </c>
      <c r="C3858">
        <f>IFERROR(LARGE(Segmen!$D$3:$D$6000,A3858),"")</f>
        <v/>
      </c>
    </row>
    <row r="3859">
      <c r="A3859" t="n">
        <v>3858</v>
      </c>
      <c r="B3859">
        <f>IFERROR(INDEX(Segmen!$A$3:$A$6000,MATCH(C3859,Segmen!$D$3:$D$6000,0)),"")</f>
        <v/>
      </c>
      <c r="C3859">
        <f>IFERROR(LARGE(Segmen!$D$3:$D$6000,A3859),"")</f>
        <v/>
      </c>
    </row>
    <row r="3860">
      <c r="A3860" t="n">
        <v>3859</v>
      </c>
      <c r="B3860">
        <f>IFERROR(INDEX(Segmen!$A$3:$A$6000,MATCH(C3860,Segmen!$D$3:$D$6000,0)),"")</f>
        <v/>
      </c>
      <c r="C3860">
        <f>IFERROR(LARGE(Segmen!$D$3:$D$6000,A3860),"")</f>
        <v/>
      </c>
    </row>
    <row r="3861">
      <c r="A3861" t="n">
        <v>3860</v>
      </c>
      <c r="B3861">
        <f>IFERROR(INDEX(Segmen!$A$3:$A$6000,MATCH(C3861,Segmen!$D$3:$D$6000,0)),"")</f>
        <v/>
      </c>
      <c r="C3861">
        <f>IFERROR(LARGE(Segmen!$D$3:$D$6000,A3861),"")</f>
        <v/>
      </c>
    </row>
    <row r="3862">
      <c r="A3862" t="n">
        <v>3861</v>
      </c>
      <c r="B3862">
        <f>IFERROR(INDEX(Segmen!$A$3:$A$6000,MATCH(C3862,Segmen!$D$3:$D$6000,0)),"")</f>
        <v/>
      </c>
      <c r="C3862">
        <f>IFERROR(LARGE(Segmen!$D$3:$D$6000,A3862),"")</f>
        <v/>
      </c>
    </row>
    <row r="3863">
      <c r="A3863" t="n">
        <v>3862</v>
      </c>
      <c r="B3863">
        <f>IFERROR(INDEX(Segmen!$A$3:$A$6000,MATCH(C3863,Segmen!$D$3:$D$6000,0)),"")</f>
        <v/>
      </c>
      <c r="C3863">
        <f>IFERROR(LARGE(Segmen!$D$3:$D$6000,A3863),"")</f>
        <v/>
      </c>
    </row>
    <row r="3864">
      <c r="A3864" t="n">
        <v>3863</v>
      </c>
      <c r="B3864">
        <f>IFERROR(INDEX(Segmen!$A$3:$A$6000,MATCH(C3864,Segmen!$D$3:$D$6000,0)),"")</f>
        <v/>
      </c>
      <c r="C3864">
        <f>IFERROR(LARGE(Segmen!$D$3:$D$6000,A3864),"")</f>
        <v/>
      </c>
    </row>
    <row r="3865">
      <c r="A3865" t="n">
        <v>3864</v>
      </c>
      <c r="B3865">
        <f>IFERROR(INDEX(Segmen!$A$3:$A$6000,MATCH(C3865,Segmen!$D$3:$D$6000,0)),"")</f>
        <v/>
      </c>
      <c r="C3865">
        <f>IFERROR(LARGE(Segmen!$D$3:$D$6000,A3865),"")</f>
        <v/>
      </c>
    </row>
    <row r="3866">
      <c r="A3866" t="n">
        <v>3865</v>
      </c>
      <c r="B3866">
        <f>IFERROR(INDEX(Segmen!$A$3:$A$6000,MATCH(C3866,Segmen!$D$3:$D$6000,0)),"")</f>
        <v/>
      </c>
      <c r="C3866">
        <f>IFERROR(LARGE(Segmen!$D$3:$D$6000,A3866),"")</f>
        <v/>
      </c>
    </row>
    <row r="3867">
      <c r="A3867" t="n">
        <v>3866</v>
      </c>
      <c r="B3867">
        <f>IFERROR(INDEX(Segmen!$A$3:$A$6000,MATCH(C3867,Segmen!$D$3:$D$6000,0)),"")</f>
        <v/>
      </c>
      <c r="C3867">
        <f>IFERROR(LARGE(Segmen!$D$3:$D$6000,A3867),"")</f>
        <v/>
      </c>
    </row>
    <row r="3868">
      <c r="A3868" t="n">
        <v>3867</v>
      </c>
      <c r="B3868">
        <f>IFERROR(INDEX(Segmen!$A$3:$A$6000,MATCH(C3868,Segmen!$D$3:$D$6000,0)),"")</f>
        <v/>
      </c>
      <c r="C3868">
        <f>IFERROR(LARGE(Segmen!$D$3:$D$6000,A3868),"")</f>
        <v/>
      </c>
    </row>
    <row r="3869">
      <c r="A3869" t="n">
        <v>3868</v>
      </c>
      <c r="B3869">
        <f>IFERROR(INDEX(Segmen!$A$3:$A$6000,MATCH(C3869,Segmen!$D$3:$D$6000,0)),"")</f>
        <v/>
      </c>
      <c r="C3869">
        <f>IFERROR(LARGE(Segmen!$D$3:$D$6000,A3869),"")</f>
        <v/>
      </c>
    </row>
    <row r="3870">
      <c r="A3870" t="n">
        <v>3869</v>
      </c>
      <c r="B3870">
        <f>IFERROR(INDEX(Segmen!$A$3:$A$6000,MATCH(C3870,Segmen!$D$3:$D$6000,0)),"")</f>
        <v/>
      </c>
      <c r="C3870">
        <f>IFERROR(LARGE(Segmen!$D$3:$D$6000,A3870),"")</f>
        <v/>
      </c>
    </row>
    <row r="3871">
      <c r="A3871" t="n">
        <v>3870</v>
      </c>
      <c r="B3871">
        <f>IFERROR(INDEX(Segmen!$A$3:$A$6000,MATCH(C3871,Segmen!$D$3:$D$6000,0)),"")</f>
        <v/>
      </c>
      <c r="C3871">
        <f>IFERROR(LARGE(Segmen!$D$3:$D$6000,A3871),"")</f>
        <v/>
      </c>
    </row>
    <row r="3872">
      <c r="A3872" t="n">
        <v>3871</v>
      </c>
      <c r="B3872">
        <f>IFERROR(INDEX(Segmen!$A$3:$A$6000,MATCH(C3872,Segmen!$D$3:$D$6000,0)),"")</f>
        <v/>
      </c>
      <c r="C3872">
        <f>IFERROR(LARGE(Segmen!$D$3:$D$6000,A3872),"")</f>
        <v/>
      </c>
    </row>
    <row r="3873">
      <c r="A3873" t="n">
        <v>3872</v>
      </c>
      <c r="B3873">
        <f>IFERROR(INDEX(Segmen!$A$3:$A$6000,MATCH(C3873,Segmen!$D$3:$D$6000,0)),"")</f>
        <v/>
      </c>
      <c r="C3873">
        <f>IFERROR(LARGE(Segmen!$D$3:$D$6000,A3873),"")</f>
        <v/>
      </c>
    </row>
    <row r="3874">
      <c r="A3874" t="n">
        <v>3873</v>
      </c>
      <c r="B3874">
        <f>IFERROR(INDEX(Segmen!$A$3:$A$6000,MATCH(C3874,Segmen!$D$3:$D$6000,0)),"")</f>
        <v/>
      </c>
      <c r="C3874">
        <f>IFERROR(LARGE(Segmen!$D$3:$D$6000,A3874),"")</f>
        <v/>
      </c>
    </row>
    <row r="3875">
      <c r="A3875" t="n">
        <v>3874</v>
      </c>
      <c r="B3875">
        <f>IFERROR(INDEX(Segmen!$A$3:$A$6000,MATCH(C3875,Segmen!$D$3:$D$6000,0)),"")</f>
        <v/>
      </c>
      <c r="C3875">
        <f>IFERROR(LARGE(Segmen!$D$3:$D$6000,A3875),"")</f>
        <v/>
      </c>
    </row>
    <row r="3876">
      <c r="A3876" t="n">
        <v>3875</v>
      </c>
      <c r="B3876">
        <f>IFERROR(INDEX(Segmen!$A$3:$A$6000,MATCH(C3876,Segmen!$D$3:$D$6000,0)),"")</f>
        <v/>
      </c>
      <c r="C3876">
        <f>IFERROR(LARGE(Segmen!$D$3:$D$6000,A3876),"")</f>
        <v/>
      </c>
    </row>
    <row r="3877">
      <c r="A3877" t="n">
        <v>3876</v>
      </c>
      <c r="B3877">
        <f>IFERROR(INDEX(Segmen!$A$3:$A$6000,MATCH(C3877,Segmen!$D$3:$D$6000,0)),"")</f>
        <v/>
      </c>
      <c r="C3877">
        <f>IFERROR(LARGE(Segmen!$D$3:$D$6000,A3877),"")</f>
        <v/>
      </c>
    </row>
    <row r="3878">
      <c r="A3878" t="n">
        <v>3877</v>
      </c>
      <c r="B3878">
        <f>IFERROR(INDEX(Segmen!$A$3:$A$6000,MATCH(C3878,Segmen!$D$3:$D$6000,0)),"")</f>
        <v/>
      </c>
      <c r="C3878">
        <f>IFERROR(LARGE(Segmen!$D$3:$D$6000,A3878),"")</f>
        <v/>
      </c>
    </row>
    <row r="3879">
      <c r="A3879" t="n">
        <v>3878</v>
      </c>
      <c r="B3879">
        <f>IFERROR(INDEX(Segmen!$A$3:$A$6000,MATCH(C3879,Segmen!$D$3:$D$6000,0)),"")</f>
        <v/>
      </c>
      <c r="C3879">
        <f>IFERROR(LARGE(Segmen!$D$3:$D$6000,A3879),"")</f>
        <v/>
      </c>
    </row>
    <row r="3880">
      <c r="A3880" t="n">
        <v>3879</v>
      </c>
      <c r="B3880">
        <f>IFERROR(INDEX(Segmen!$A$3:$A$6000,MATCH(C3880,Segmen!$D$3:$D$6000,0)),"")</f>
        <v/>
      </c>
      <c r="C3880">
        <f>IFERROR(LARGE(Segmen!$D$3:$D$6000,A3880),"")</f>
        <v/>
      </c>
    </row>
    <row r="3881">
      <c r="A3881" t="n">
        <v>3880</v>
      </c>
      <c r="B3881">
        <f>IFERROR(INDEX(Segmen!$A$3:$A$6000,MATCH(C3881,Segmen!$D$3:$D$6000,0)),"")</f>
        <v/>
      </c>
      <c r="C3881">
        <f>IFERROR(LARGE(Segmen!$D$3:$D$6000,A3881),"")</f>
        <v/>
      </c>
    </row>
    <row r="3882">
      <c r="A3882" t="n">
        <v>3881</v>
      </c>
      <c r="B3882">
        <f>IFERROR(INDEX(Segmen!$A$3:$A$6000,MATCH(C3882,Segmen!$D$3:$D$6000,0)),"")</f>
        <v/>
      </c>
      <c r="C3882">
        <f>IFERROR(LARGE(Segmen!$D$3:$D$6000,A3882),"")</f>
        <v/>
      </c>
    </row>
    <row r="3883">
      <c r="A3883" t="n">
        <v>3882</v>
      </c>
      <c r="B3883">
        <f>IFERROR(INDEX(Segmen!$A$3:$A$6000,MATCH(C3883,Segmen!$D$3:$D$6000,0)),"")</f>
        <v/>
      </c>
      <c r="C3883">
        <f>IFERROR(LARGE(Segmen!$D$3:$D$6000,A3883),"")</f>
        <v/>
      </c>
    </row>
    <row r="3884">
      <c r="A3884" t="n">
        <v>3883</v>
      </c>
      <c r="B3884">
        <f>IFERROR(INDEX(Segmen!$A$3:$A$6000,MATCH(C3884,Segmen!$D$3:$D$6000,0)),"")</f>
        <v/>
      </c>
      <c r="C3884">
        <f>IFERROR(LARGE(Segmen!$D$3:$D$6000,A3884),"")</f>
        <v/>
      </c>
    </row>
    <row r="3885">
      <c r="A3885" t="n">
        <v>3884</v>
      </c>
      <c r="B3885">
        <f>IFERROR(INDEX(Segmen!$A$3:$A$6000,MATCH(C3885,Segmen!$D$3:$D$6000,0)),"")</f>
        <v/>
      </c>
      <c r="C3885">
        <f>IFERROR(LARGE(Segmen!$D$3:$D$6000,A3885),"")</f>
        <v/>
      </c>
    </row>
    <row r="3886">
      <c r="A3886" t="n">
        <v>3885</v>
      </c>
      <c r="B3886">
        <f>IFERROR(INDEX(Segmen!$A$3:$A$6000,MATCH(C3886,Segmen!$D$3:$D$6000,0)),"")</f>
        <v/>
      </c>
      <c r="C3886">
        <f>IFERROR(LARGE(Segmen!$D$3:$D$6000,A3886),"")</f>
        <v/>
      </c>
    </row>
    <row r="3887">
      <c r="A3887" t="n">
        <v>3886</v>
      </c>
      <c r="B3887">
        <f>IFERROR(INDEX(Segmen!$A$3:$A$6000,MATCH(C3887,Segmen!$D$3:$D$6000,0)),"")</f>
        <v/>
      </c>
      <c r="C3887">
        <f>IFERROR(LARGE(Segmen!$D$3:$D$6000,A3887),"")</f>
        <v/>
      </c>
    </row>
    <row r="3888">
      <c r="A3888" t="n">
        <v>3887</v>
      </c>
      <c r="B3888">
        <f>IFERROR(INDEX(Segmen!$A$3:$A$6000,MATCH(C3888,Segmen!$D$3:$D$6000,0)),"")</f>
        <v/>
      </c>
      <c r="C3888">
        <f>IFERROR(LARGE(Segmen!$D$3:$D$6000,A3888),"")</f>
        <v/>
      </c>
    </row>
    <row r="3889">
      <c r="A3889" t="n">
        <v>3888</v>
      </c>
      <c r="B3889">
        <f>IFERROR(INDEX(Segmen!$A$3:$A$6000,MATCH(C3889,Segmen!$D$3:$D$6000,0)),"")</f>
        <v/>
      </c>
      <c r="C3889">
        <f>IFERROR(LARGE(Segmen!$D$3:$D$6000,A3889),"")</f>
        <v/>
      </c>
    </row>
    <row r="3890">
      <c r="A3890" t="n">
        <v>3889</v>
      </c>
      <c r="B3890">
        <f>IFERROR(INDEX(Segmen!$A$3:$A$6000,MATCH(C3890,Segmen!$D$3:$D$6000,0)),"")</f>
        <v/>
      </c>
      <c r="C3890">
        <f>IFERROR(LARGE(Segmen!$D$3:$D$6000,A3890),"")</f>
        <v/>
      </c>
    </row>
    <row r="3891">
      <c r="A3891" t="n">
        <v>3890</v>
      </c>
      <c r="B3891">
        <f>IFERROR(INDEX(Segmen!$A$3:$A$6000,MATCH(C3891,Segmen!$D$3:$D$6000,0)),"")</f>
        <v/>
      </c>
      <c r="C3891">
        <f>IFERROR(LARGE(Segmen!$D$3:$D$6000,A3891),"")</f>
        <v/>
      </c>
    </row>
    <row r="3892">
      <c r="A3892" t="n">
        <v>3891</v>
      </c>
      <c r="B3892">
        <f>IFERROR(INDEX(Segmen!$A$3:$A$6000,MATCH(C3892,Segmen!$D$3:$D$6000,0)),"")</f>
        <v/>
      </c>
      <c r="C3892">
        <f>IFERROR(LARGE(Segmen!$D$3:$D$6000,A3892),"")</f>
        <v/>
      </c>
    </row>
    <row r="3893">
      <c r="A3893" t="n">
        <v>3892</v>
      </c>
      <c r="B3893">
        <f>IFERROR(INDEX(Segmen!$A$3:$A$6000,MATCH(C3893,Segmen!$D$3:$D$6000,0)),"")</f>
        <v/>
      </c>
      <c r="C3893">
        <f>IFERROR(LARGE(Segmen!$D$3:$D$6000,A3893),"")</f>
        <v/>
      </c>
    </row>
    <row r="3894">
      <c r="A3894" t="n">
        <v>3893</v>
      </c>
      <c r="B3894">
        <f>IFERROR(INDEX(Segmen!$A$3:$A$6000,MATCH(C3894,Segmen!$D$3:$D$6000,0)),"")</f>
        <v/>
      </c>
      <c r="C3894">
        <f>IFERROR(LARGE(Segmen!$D$3:$D$6000,A3894),"")</f>
        <v/>
      </c>
    </row>
    <row r="3895">
      <c r="A3895" t="n">
        <v>3894</v>
      </c>
      <c r="B3895">
        <f>IFERROR(INDEX(Segmen!$A$3:$A$6000,MATCH(C3895,Segmen!$D$3:$D$6000,0)),"")</f>
        <v/>
      </c>
      <c r="C3895">
        <f>IFERROR(LARGE(Segmen!$D$3:$D$6000,A3895),"")</f>
        <v/>
      </c>
    </row>
    <row r="3896">
      <c r="A3896" t="n">
        <v>3895</v>
      </c>
      <c r="B3896">
        <f>IFERROR(INDEX(Segmen!$A$3:$A$6000,MATCH(C3896,Segmen!$D$3:$D$6000,0)),"")</f>
        <v/>
      </c>
      <c r="C3896">
        <f>IFERROR(LARGE(Segmen!$D$3:$D$6000,A3896),"")</f>
        <v/>
      </c>
    </row>
    <row r="3897">
      <c r="A3897" t="n">
        <v>3896</v>
      </c>
      <c r="B3897">
        <f>IFERROR(INDEX(Segmen!$A$3:$A$6000,MATCH(C3897,Segmen!$D$3:$D$6000,0)),"")</f>
        <v/>
      </c>
      <c r="C3897">
        <f>IFERROR(LARGE(Segmen!$D$3:$D$6000,A3897),"")</f>
        <v/>
      </c>
    </row>
    <row r="3898">
      <c r="A3898" t="n">
        <v>3897</v>
      </c>
      <c r="B3898">
        <f>IFERROR(INDEX(Segmen!$A$3:$A$6000,MATCH(C3898,Segmen!$D$3:$D$6000,0)),"")</f>
        <v/>
      </c>
      <c r="C3898">
        <f>IFERROR(LARGE(Segmen!$D$3:$D$6000,A3898),"")</f>
        <v/>
      </c>
    </row>
    <row r="3899">
      <c r="A3899" t="n">
        <v>3898</v>
      </c>
      <c r="B3899">
        <f>IFERROR(INDEX(Segmen!$A$3:$A$6000,MATCH(C3899,Segmen!$D$3:$D$6000,0)),"")</f>
        <v/>
      </c>
      <c r="C3899">
        <f>IFERROR(LARGE(Segmen!$D$3:$D$6000,A3899),"")</f>
        <v/>
      </c>
    </row>
    <row r="3900">
      <c r="A3900" t="n">
        <v>3899</v>
      </c>
      <c r="B3900">
        <f>IFERROR(INDEX(Segmen!$A$3:$A$6000,MATCH(C3900,Segmen!$D$3:$D$6000,0)),"")</f>
        <v/>
      </c>
      <c r="C3900">
        <f>IFERROR(LARGE(Segmen!$D$3:$D$6000,A3900),"")</f>
        <v/>
      </c>
    </row>
    <row r="3901">
      <c r="A3901" t="n">
        <v>3900</v>
      </c>
      <c r="B3901">
        <f>IFERROR(INDEX(Segmen!$A$3:$A$6000,MATCH(C3901,Segmen!$D$3:$D$6000,0)),"")</f>
        <v/>
      </c>
      <c r="C3901">
        <f>IFERROR(LARGE(Segmen!$D$3:$D$6000,A3901),"")</f>
        <v/>
      </c>
    </row>
    <row r="3902">
      <c r="A3902" t="n">
        <v>3901</v>
      </c>
      <c r="B3902">
        <f>IFERROR(INDEX(Segmen!$A$3:$A$6000,MATCH(C3902,Segmen!$D$3:$D$6000,0)),"")</f>
        <v/>
      </c>
      <c r="C3902">
        <f>IFERROR(LARGE(Segmen!$D$3:$D$6000,A3902),"")</f>
        <v/>
      </c>
    </row>
    <row r="3903">
      <c r="A3903" t="n">
        <v>3902</v>
      </c>
      <c r="B3903">
        <f>IFERROR(INDEX(Segmen!$A$3:$A$6000,MATCH(C3903,Segmen!$D$3:$D$6000,0)),"")</f>
        <v/>
      </c>
      <c r="C3903">
        <f>IFERROR(LARGE(Segmen!$D$3:$D$6000,A3903),"")</f>
        <v/>
      </c>
    </row>
    <row r="3904">
      <c r="A3904" t="n">
        <v>3903</v>
      </c>
      <c r="B3904">
        <f>IFERROR(INDEX(Segmen!$A$3:$A$6000,MATCH(C3904,Segmen!$D$3:$D$6000,0)),"")</f>
        <v/>
      </c>
      <c r="C3904">
        <f>IFERROR(LARGE(Segmen!$D$3:$D$6000,A3904),"")</f>
        <v/>
      </c>
    </row>
    <row r="3905">
      <c r="A3905" t="n">
        <v>3904</v>
      </c>
      <c r="B3905">
        <f>IFERROR(INDEX(Segmen!$A$3:$A$6000,MATCH(C3905,Segmen!$D$3:$D$6000,0)),"")</f>
        <v/>
      </c>
      <c r="C3905">
        <f>IFERROR(LARGE(Segmen!$D$3:$D$6000,A3905),"")</f>
        <v/>
      </c>
    </row>
    <row r="3906">
      <c r="A3906" t="n">
        <v>3905</v>
      </c>
      <c r="B3906">
        <f>IFERROR(INDEX(Segmen!$A$3:$A$6000,MATCH(C3906,Segmen!$D$3:$D$6000,0)),"")</f>
        <v/>
      </c>
      <c r="C3906">
        <f>IFERROR(LARGE(Segmen!$D$3:$D$6000,A3906),"")</f>
        <v/>
      </c>
    </row>
    <row r="3907">
      <c r="A3907" t="n">
        <v>3906</v>
      </c>
      <c r="B3907">
        <f>IFERROR(INDEX(Segmen!$A$3:$A$6000,MATCH(C3907,Segmen!$D$3:$D$6000,0)),"")</f>
        <v/>
      </c>
      <c r="C3907">
        <f>IFERROR(LARGE(Segmen!$D$3:$D$6000,A3907),"")</f>
        <v/>
      </c>
    </row>
    <row r="3908">
      <c r="A3908" t="n">
        <v>3907</v>
      </c>
      <c r="B3908">
        <f>IFERROR(INDEX(Segmen!$A$3:$A$6000,MATCH(C3908,Segmen!$D$3:$D$6000,0)),"")</f>
        <v/>
      </c>
      <c r="C3908">
        <f>IFERROR(LARGE(Segmen!$D$3:$D$6000,A3908),"")</f>
        <v/>
      </c>
    </row>
    <row r="3909">
      <c r="A3909" t="n">
        <v>3908</v>
      </c>
      <c r="B3909">
        <f>IFERROR(INDEX(Segmen!$A$3:$A$6000,MATCH(C3909,Segmen!$D$3:$D$6000,0)),"")</f>
        <v/>
      </c>
      <c r="C3909">
        <f>IFERROR(LARGE(Segmen!$D$3:$D$6000,A3909),"")</f>
        <v/>
      </c>
    </row>
    <row r="3910">
      <c r="A3910" t="n">
        <v>3909</v>
      </c>
      <c r="B3910">
        <f>IFERROR(INDEX(Segmen!$A$3:$A$6000,MATCH(C3910,Segmen!$D$3:$D$6000,0)),"")</f>
        <v/>
      </c>
      <c r="C3910">
        <f>IFERROR(LARGE(Segmen!$D$3:$D$6000,A3910),"")</f>
        <v/>
      </c>
    </row>
    <row r="3911">
      <c r="A3911" t="n">
        <v>3910</v>
      </c>
      <c r="B3911">
        <f>IFERROR(INDEX(Segmen!$A$3:$A$6000,MATCH(C3911,Segmen!$D$3:$D$6000,0)),"")</f>
        <v/>
      </c>
      <c r="C3911">
        <f>IFERROR(LARGE(Segmen!$D$3:$D$6000,A3911),"")</f>
        <v/>
      </c>
    </row>
    <row r="3912">
      <c r="A3912" t="n">
        <v>3911</v>
      </c>
      <c r="B3912">
        <f>IFERROR(INDEX(Segmen!$A$3:$A$6000,MATCH(C3912,Segmen!$D$3:$D$6000,0)),"")</f>
        <v/>
      </c>
      <c r="C3912">
        <f>IFERROR(LARGE(Segmen!$D$3:$D$6000,A3912),"")</f>
        <v/>
      </c>
    </row>
    <row r="3913">
      <c r="A3913" t="n">
        <v>3912</v>
      </c>
      <c r="B3913">
        <f>IFERROR(INDEX(Segmen!$A$3:$A$6000,MATCH(C3913,Segmen!$D$3:$D$6000,0)),"")</f>
        <v/>
      </c>
      <c r="C3913">
        <f>IFERROR(LARGE(Segmen!$D$3:$D$6000,A3913),"")</f>
        <v/>
      </c>
    </row>
    <row r="3914">
      <c r="A3914" t="n">
        <v>3913</v>
      </c>
      <c r="B3914">
        <f>IFERROR(INDEX(Segmen!$A$3:$A$6000,MATCH(C3914,Segmen!$D$3:$D$6000,0)),"")</f>
        <v/>
      </c>
      <c r="C3914">
        <f>IFERROR(LARGE(Segmen!$D$3:$D$6000,A3914),"")</f>
        <v/>
      </c>
    </row>
    <row r="3915">
      <c r="A3915" t="n">
        <v>3914</v>
      </c>
      <c r="B3915">
        <f>IFERROR(INDEX(Segmen!$A$3:$A$6000,MATCH(C3915,Segmen!$D$3:$D$6000,0)),"")</f>
        <v/>
      </c>
      <c r="C3915">
        <f>IFERROR(LARGE(Segmen!$D$3:$D$6000,A3915),"")</f>
        <v/>
      </c>
    </row>
    <row r="3916">
      <c r="A3916" t="n">
        <v>3915</v>
      </c>
      <c r="B3916">
        <f>IFERROR(INDEX(Segmen!$A$3:$A$6000,MATCH(C3916,Segmen!$D$3:$D$6000,0)),"")</f>
        <v/>
      </c>
      <c r="C3916">
        <f>IFERROR(LARGE(Segmen!$D$3:$D$6000,A3916),"")</f>
        <v/>
      </c>
    </row>
    <row r="3917">
      <c r="A3917" t="n">
        <v>3916</v>
      </c>
      <c r="B3917">
        <f>IFERROR(INDEX(Segmen!$A$3:$A$6000,MATCH(C3917,Segmen!$D$3:$D$6000,0)),"")</f>
        <v/>
      </c>
      <c r="C3917">
        <f>IFERROR(LARGE(Segmen!$D$3:$D$6000,A3917),"")</f>
        <v/>
      </c>
    </row>
    <row r="3918">
      <c r="A3918" t="n">
        <v>3917</v>
      </c>
      <c r="B3918">
        <f>IFERROR(INDEX(Segmen!$A$3:$A$6000,MATCH(C3918,Segmen!$D$3:$D$6000,0)),"")</f>
        <v/>
      </c>
      <c r="C3918">
        <f>IFERROR(LARGE(Segmen!$D$3:$D$6000,A3918),"")</f>
        <v/>
      </c>
    </row>
    <row r="3919">
      <c r="A3919" t="n">
        <v>3918</v>
      </c>
      <c r="B3919">
        <f>IFERROR(INDEX(Segmen!$A$3:$A$6000,MATCH(C3919,Segmen!$D$3:$D$6000,0)),"")</f>
        <v/>
      </c>
      <c r="C3919">
        <f>IFERROR(LARGE(Segmen!$D$3:$D$6000,A3919),"")</f>
        <v/>
      </c>
    </row>
    <row r="3920">
      <c r="A3920" t="n">
        <v>3919</v>
      </c>
      <c r="B3920">
        <f>IFERROR(INDEX(Segmen!$A$3:$A$6000,MATCH(C3920,Segmen!$D$3:$D$6000,0)),"")</f>
        <v/>
      </c>
      <c r="C3920">
        <f>IFERROR(LARGE(Segmen!$D$3:$D$6000,A3920),"")</f>
        <v/>
      </c>
    </row>
    <row r="3921">
      <c r="A3921" t="n">
        <v>3920</v>
      </c>
      <c r="B3921">
        <f>IFERROR(INDEX(Segmen!$A$3:$A$6000,MATCH(C3921,Segmen!$D$3:$D$6000,0)),"")</f>
        <v/>
      </c>
      <c r="C3921">
        <f>IFERROR(LARGE(Segmen!$D$3:$D$6000,A3921),"")</f>
        <v/>
      </c>
    </row>
    <row r="3922">
      <c r="A3922" t="n">
        <v>3921</v>
      </c>
      <c r="B3922">
        <f>IFERROR(INDEX(Segmen!$A$3:$A$6000,MATCH(C3922,Segmen!$D$3:$D$6000,0)),"")</f>
        <v/>
      </c>
      <c r="C3922">
        <f>IFERROR(LARGE(Segmen!$D$3:$D$6000,A3922),"")</f>
        <v/>
      </c>
    </row>
    <row r="3923">
      <c r="A3923" t="n">
        <v>3922</v>
      </c>
      <c r="B3923">
        <f>IFERROR(INDEX(Segmen!$A$3:$A$6000,MATCH(C3923,Segmen!$D$3:$D$6000,0)),"")</f>
        <v/>
      </c>
      <c r="C3923">
        <f>IFERROR(LARGE(Segmen!$D$3:$D$6000,A3923),"")</f>
        <v/>
      </c>
    </row>
    <row r="3924">
      <c r="A3924" t="n">
        <v>3923</v>
      </c>
      <c r="B3924">
        <f>IFERROR(INDEX(Segmen!$A$3:$A$6000,MATCH(C3924,Segmen!$D$3:$D$6000,0)),"")</f>
        <v/>
      </c>
      <c r="C3924">
        <f>IFERROR(LARGE(Segmen!$D$3:$D$6000,A3924),"")</f>
        <v/>
      </c>
    </row>
    <row r="3925">
      <c r="A3925" t="n">
        <v>3924</v>
      </c>
      <c r="B3925">
        <f>IFERROR(INDEX(Segmen!$A$3:$A$6000,MATCH(C3925,Segmen!$D$3:$D$6000,0)),"")</f>
        <v/>
      </c>
      <c r="C3925">
        <f>IFERROR(LARGE(Segmen!$D$3:$D$6000,A3925),"")</f>
        <v/>
      </c>
    </row>
    <row r="3926">
      <c r="A3926" t="n">
        <v>3925</v>
      </c>
      <c r="B3926">
        <f>IFERROR(INDEX(Segmen!$A$3:$A$6000,MATCH(C3926,Segmen!$D$3:$D$6000,0)),"")</f>
        <v/>
      </c>
      <c r="C3926">
        <f>IFERROR(LARGE(Segmen!$D$3:$D$6000,A3926),"")</f>
        <v/>
      </c>
    </row>
    <row r="3927">
      <c r="A3927" t="n">
        <v>3926</v>
      </c>
      <c r="B3927">
        <f>IFERROR(INDEX(Segmen!$A$3:$A$6000,MATCH(C3927,Segmen!$D$3:$D$6000,0)),"")</f>
        <v/>
      </c>
      <c r="C3927">
        <f>IFERROR(LARGE(Segmen!$D$3:$D$6000,A3927),"")</f>
        <v/>
      </c>
    </row>
    <row r="3928">
      <c r="A3928" t="n">
        <v>3927</v>
      </c>
      <c r="B3928">
        <f>IFERROR(INDEX(Segmen!$A$3:$A$6000,MATCH(C3928,Segmen!$D$3:$D$6000,0)),"")</f>
        <v/>
      </c>
      <c r="C3928">
        <f>IFERROR(LARGE(Segmen!$D$3:$D$6000,A3928),"")</f>
        <v/>
      </c>
    </row>
    <row r="3929">
      <c r="A3929" t="n">
        <v>3928</v>
      </c>
      <c r="B3929">
        <f>IFERROR(INDEX(Segmen!$A$3:$A$6000,MATCH(C3929,Segmen!$D$3:$D$6000,0)),"")</f>
        <v/>
      </c>
      <c r="C3929">
        <f>IFERROR(LARGE(Segmen!$D$3:$D$6000,A3929),"")</f>
        <v/>
      </c>
    </row>
    <row r="3930">
      <c r="A3930" t="n">
        <v>3929</v>
      </c>
      <c r="B3930">
        <f>IFERROR(INDEX(Segmen!$A$3:$A$6000,MATCH(C3930,Segmen!$D$3:$D$6000,0)),"")</f>
        <v/>
      </c>
      <c r="C3930">
        <f>IFERROR(LARGE(Segmen!$D$3:$D$6000,A3930),"")</f>
        <v/>
      </c>
    </row>
    <row r="3931">
      <c r="A3931" t="n">
        <v>3930</v>
      </c>
      <c r="B3931">
        <f>IFERROR(INDEX(Segmen!$A$3:$A$6000,MATCH(C3931,Segmen!$D$3:$D$6000,0)),"")</f>
        <v/>
      </c>
      <c r="C3931">
        <f>IFERROR(LARGE(Segmen!$D$3:$D$6000,A3931),"")</f>
        <v/>
      </c>
    </row>
    <row r="3932">
      <c r="A3932" t="n">
        <v>3931</v>
      </c>
      <c r="B3932">
        <f>IFERROR(INDEX(Segmen!$A$3:$A$6000,MATCH(C3932,Segmen!$D$3:$D$6000,0)),"")</f>
        <v/>
      </c>
      <c r="C3932">
        <f>IFERROR(LARGE(Segmen!$D$3:$D$6000,A3932),"")</f>
        <v/>
      </c>
    </row>
    <row r="3933">
      <c r="A3933" t="n">
        <v>3932</v>
      </c>
      <c r="B3933">
        <f>IFERROR(INDEX(Segmen!$A$3:$A$6000,MATCH(C3933,Segmen!$D$3:$D$6000,0)),"")</f>
        <v/>
      </c>
      <c r="C3933">
        <f>IFERROR(LARGE(Segmen!$D$3:$D$6000,A3933),"")</f>
        <v/>
      </c>
    </row>
    <row r="3934">
      <c r="A3934" t="n">
        <v>3933</v>
      </c>
      <c r="B3934">
        <f>IFERROR(INDEX(Segmen!$A$3:$A$6000,MATCH(C3934,Segmen!$D$3:$D$6000,0)),"")</f>
        <v/>
      </c>
      <c r="C3934">
        <f>IFERROR(LARGE(Segmen!$D$3:$D$6000,A3934),"")</f>
        <v/>
      </c>
    </row>
    <row r="3935">
      <c r="A3935" t="n">
        <v>3934</v>
      </c>
      <c r="B3935">
        <f>IFERROR(INDEX(Segmen!$A$3:$A$6000,MATCH(C3935,Segmen!$D$3:$D$6000,0)),"")</f>
        <v/>
      </c>
      <c r="C3935">
        <f>IFERROR(LARGE(Segmen!$D$3:$D$6000,A3935),"")</f>
        <v/>
      </c>
    </row>
    <row r="3936">
      <c r="A3936" t="n">
        <v>3935</v>
      </c>
      <c r="B3936">
        <f>IFERROR(INDEX(Segmen!$A$3:$A$6000,MATCH(C3936,Segmen!$D$3:$D$6000,0)),"")</f>
        <v/>
      </c>
      <c r="C3936">
        <f>IFERROR(LARGE(Segmen!$D$3:$D$6000,A3936),"")</f>
        <v/>
      </c>
    </row>
    <row r="3937">
      <c r="A3937" t="n">
        <v>3936</v>
      </c>
      <c r="B3937">
        <f>IFERROR(INDEX(Segmen!$A$3:$A$6000,MATCH(C3937,Segmen!$D$3:$D$6000,0)),"")</f>
        <v/>
      </c>
      <c r="C3937">
        <f>IFERROR(LARGE(Segmen!$D$3:$D$6000,A3937),"")</f>
        <v/>
      </c>
    </row>
    <row r="3938">
      <c r="A3938" t="n">
        <v>3937</v>
      </c>
      <c r="B3938">
        <f>IFERROR(INDEX(Segmen!$A$3:$A$6000,MATCH(C3938,Segmen!$D$3:$D$6000,0)),"")</f>
        <v/>
      </c>
      <c r="C3938">
        <f>IFERROR(LARGE(Segmen!$D$3:$D$6000,A3938),"")</f>
        <v/>
      </c>
    </row>
    <row r="3939">
      <c r="A3939" t="n">
        <v>3938</v>
      </c>
      <c r="B3939">
        <f>IFERROR(INDEX(Segmen!$A$3:$A$6000,MATCH(C3939,Segmen!$D$3:$D$6000,0)),"")</f>
        <v/>
      </c>
      <c r="C3939">
        <f>IFERROR(LARGE(Segmen!$D$3:$D$6000,A3939),"")</f>
        <v/>
      </c>
    </row>
    <row r="3940">
      <c r="A3940" t="n">
        <v>3939</v>
      </c>
      <c r="B3940">
        <f>IFERROR(INDEX(Segmen!$A$3:$A$6000,MATCH(C3940,Segmen!$D$3:$D$6000,0)),"")</f>
        <v/>
      </c>
      <c r="C3940">
        <f>IFERROR(LARGE(Segmen!$D$3:$D$6000,A3940),"")</f>
        <v/>
      </c>
    </row>
    <row r="3941">
      <c r="A3941" t="n">
        <v>3940</v>
      </c>
      <c r="B3941">
        <f>IFERROR(INDEX(Segmen!$A$3:$A$6000,MATCH(C3941,Segmen!$D$3:$D$6000,0)),"")</f>
        <v/>
      </c>
      <c r="C3941">
        <f>IFERROR(LARGE(Segmen!$D$3:$D$6000,A3941),"")</f>
        <v/>
      </c>
    </row>
    <row r="3942">
      <c r="A3942" t="n">
        <v>3941</v>
      </c>
      <c r="B3942">
        <f>IFERROR(INDEX(Segmen!$A$3:$A$6000,MATCH(C3942,Segmen!$D$3:$D$6000,0)),"")</f>
        <v/>
      </c>
      <c r="C3942">
        <f>IFERROR(LARGE(Segmen!$D$3:$D$6000,A3942),"")</f>
        <v/>
      </c>
    </row>
    <row r="3943">
      <c r="A3943" t="n">
        <v>3942</v>
      </c>
      <c r="B3943">
        <f>IFERROR(INDEX(Segmen!$A$3:$A$6000,MATCH(C3943,Segmen!$D$3:$D$6000,0)),"")</f>
        <v/>
      </c>
      <c r="C3943">
        <f>IFERROR(LARGE(Segmen!$D$3:$D$6000,A3943),"")</f>
        <v/>
      </c>
    </row>
    <row r="3944">
      <c r="A3944" t="n">
        <v>3943</v>
      </c>
      <c r="B3944">
        <f>IFERROR(INDEX(Segmen!$A$3:$A$6000,MATCH(C3944,Segmen!$D$3:$D$6000,0)),"")</f>
        <v/>
      </c>
      <c r="C3944">
        <f>IFERROR(LARGE(Segmen!$D$3:$D$6000,A3944),"")</f>
        <v/>
      </c>
    </row>
    <row r="3945">
      <c r="A3945" t="n">
        <v>3944</v>
      </c>
      <c r="B3945">
        <f>IFERROR(INDEX(Segmen!$A$3:$A$6000,MATCH(C3945,Segmen!$D$3:$D$6000,0)),"")</f>
        <v/>
      </c>
      <c r="C3945">
        <f>IFERROR(LARGE(Segmen!$D$3:$D$6000,A3945),"")</f>
        <v/>
      </c>
    </row>
    <row r="3946">
      <c r="A3946" t="n">
        <v>3945</v>
      </c>
      <c r="B3946">
        <f>IFERROR(INDEX(Segmen!$A$3:$A$6000,MATCH(C3946,Segmen!$D$3:$D$6000,0)),"")</f>
        <v/>
      </c>
      <c r="C3946">
        <f>IFERROR(LARGE(Segmen!$D$3:$D$6000,A3946),"")</f>
        <v/>
      </c>
    </row>
    <row r="3947">
      <c r="A3947" t="n">
        <v>3946</v>
      </c>
      <c r="B3947">
        <f>IFERROR(INDEX(Segmen!$A$3:$A$6000,MATCH(C3947,Segmen!$D$3:$D$6000,0)),"")</f>
        <v/>
      </c>
      <c r="C3947">
        <f>IFERROR(LARGE(Segmen!$D$3:$D$6000,A3947),"")</f>
        <v/>
      </c>
    </row>
    <row r="3948">
      <c r="A3948" t="n">
        <v>3947</v>
      </c>
      <c r="B3948">
        <f>IFERROR(INDEX(Segmen!$A$3:$A$6000,MATCH(C3948,Segmen!$D$3:$D$6000,0)),"")</f>
        <v/>
      </c>
      <c r="C3948">
        <f>IFERROR(LARGE(Segmen!$D$3:$D$6000,A3948),"")</f>
        <v/>
      </c>
    </row>
    <row r="3949">
      <c r="A3949" t="n">
        <v>3948</v>
      </c>
      <c r="B3949">
        <f>IFERROR(INDEX(Segmen!$A$3:$A$6000,MATCH(C3949,Segmen!$D$3:$D$6000,0)),"")</f>
        <v/>
      </c>
      <c r="C3949">
        <f>IFERROR(LARGE(Segmen!$D$3:$D$6000,A3949),"")</f>
        <v/>
      </c>
    </row>
    <row r="3950">
      <c r="A3950" t="n">
        <v>3949</v>
      </c>
      <c r="B3950">
        <f>IFERROR(INDEX(Segmen!$A$3:$A$6000,MATCH(C3950,Segmen!$D$3:$D$6000,0)),"")</f>
        <v/>
      </c>
      <c r="C3950">
        <f>IFERROR(LARGE(Segmen!$D$3:$D$6000,A3950),"")</f>
        <v/>
      </c>
    </row>
    <row r="3951">
      <c r="A3951" t="n">
        <v>3950</v>
      </c>
      <c r="B3951">
        <f>IFERROR(INDEX(Segmen!$A$3:$A$6000,MATCH(C3951,Segmen!$D$3:$D$6000,0)),"")</f>
        <v/>
      </c>
      <c r="C3951">
        <f>IFERROR(LARGE(Segmen!$D$3:$D$6000,A3951),"")</f>
        <v/>
      </c>
    </row>
    <row r="3952">
      <c r="A3952" t="n">
        <v>3951</v>
      </c>
      <c r="B3952">
        <f>IFERROR(INDEX(Segmen!$A$3:$A$6000,MATCH(C3952,Segmen!$D$3:$D$6000,0)),"")</f>
        <v/>
      </c>
      <c r="C3952">
        <f>IFERROR(LARGE(Segmen!$D$3:$D$6000,A3952),"")</f>
        <v/>
      </c>
    </row>
    <row r="3953">
      <c r="A3953" t="n">
        <v>3952</v>
      </c>
      <c r="B3953">
        <f>IFERROR(INDEX(Segmen!$A$3:$A$6000,MATCH(C3953,Segmen!$D$3:$D$6000,0)),"")</f>
        <v/>
      </c>
      <c r="C3953">
        <f>IFERROR(LARGE(Segmen!$D$3:$D$6000,A3953),"")</f>
        <v/>
      </c>
    </row>
    <row r="3954">
      <c r="A3954" t="n">
        <v>3953</v>
      </c>
      <c r="B3954">
        <f>IFERROR(INDEX(Segmen!$A$3:$A$6000,MATCH(C3954,Segmen!$D$3:$D$6000,0)),"")</f>
        <v/>
      </c>
      <c r="C3954">
        <f>IFERROR(LARGE(Segmen!$D$3:$D$6000,A3954),"")</f>
        <v/>
      </c>
    </row>
    <row r="3955">
      <c r="A3955" t="n">
        <v>3954</v>
      </c>
      <c r="B3955">
        <f>IFERROR(INDEX(Segmen!$A$3:$A$6000,MATCH(C3955,Segmen!$D$3:$D$6000,0)),"")</f>
        <v/>
      </c>
      <c r="C3955">
        <f>IFERROR(LARGE(Segmen!$D$3:$D$6000,A3955),"")</f>
        <v/>
      </c>
    </row>
    <row r="3956">
      <c r="A3956" t="n">
        <v>3955</v>
      </c>
      <c r="B3956">
        <f>IFERROR(INDEX(Segmen!$A$3:$A$6000,MATCH(C3956,Segmen!$D$3:$D$6000,0)),"")</f>
        <v/>
      </c>
      <c r="C3956">
        <f>IFERROR(LARGE(Segmen!$D$3:$D$6000,A3956),"")</f>
        <v/>
      </c>
    </row>
    <row r="3957">
      <c r="A3957" t="n">
        <v>3956</v>
      </c>
      <c r="B3957">
        <f>IFERROR(INDEX(Segmen!$A$3:$A$6000,MATCH(C3957,Segmen!$D$3:$D$6000,0)),"")</f>
        <v/>
      </c>
      <c r="C3957">
        <f>IFERROR(LARGE(Segmen!$D$3:$D$6000,A3957),"")</f>
        <v/>
      </c>
    </row>
    <row r="3958">
      <c r="A3958" t="n">
        <v>3957</v>
      </c>
      <c r="B3958">
        <f>IFERROR(INDEX(Segmen!$A$3:$A$6000,MATCH(C3958,Segmen!$D$3:$D$6000,0)),"")</f>
        <v/>
      </c>
      <c r="C3958">
        <f>IFERROR(LARGE(Segmen!$D$3:$D$6000,A3958),"")</f>
        <v/>
      </c>
    </row>
    <row r="3959">
      <c r="A3959" t="n">
        <v>3958</v>
      </c>
      <c r="B3959">
        <f>IFERROR(INDEX(Segmen!$A$3:$A$6000,MATCH(C3959,Segmen!$D$3:$D$6000,0)),"")</f>
        <v/>
      </c>
      <c r="C3959">
        <f>IFERROR(LARGE(Segmen!$D$3:$D$6000,A3959),"")</f>
        <v/>
      </c>
    </row>
    <row r="3960">
      <c r="A3960" t="n">
        <v>3959</v>
      </c>
      <c r="B3960">
        <f>IFERROR(INDEX(Segmen!$A$3:$A$6000,MATCH(C3960,Segmen!$D$3:$D$6000,0)),"")</f>
        <v/>
      </c>
      <c r="C3960">
        <f>IFERROR(LARGE(Segmen!$D$3:$D$6000,A3960),"")</f>
        <v/>
      </c>
    </row>
    <row r="3961">
      <c r="A3961" t="n">
        <v>3960</v>
      </c>
      <c r="B3961">
        <f>IFERROR(INDEX(Segmen!$A$3:$A$6000,MATCH(C3961,Segmen!$D$3:$D$6000,0)),"")</f>
        <v/>
      </c>
      <c r="C3961">
        <f>IFERROR(LARGE(Segmen!$D$3:$D$6000,A3961),"")</f>
        <v/>
      </c>
    </row>
    <row r="3962">
      <c r="A3962" t="n">
        <v>3961</v>
      </c>
      <c r="B3962">
        <f>IFERROR(INDEX(Segmen!$A$3:$A$6000,MATCH(C3962,Segmen!$D$3:$D$6000,0)),"")</f>
        <v/>
      </c>
      <c r="C3962">
        <f>IFERROR(LARGE(Segmen!$D$3:$D$6000,A3962),"")</f>
        <v/>
      </c>
    </row>
    <row r="3963">
      <c r="A3963" t="n">
        <v>3962</v>
      </c>
      <c r="B3963">
        <f>IFERROR(INDEX(Segmen!$A$3:$A$6000,MATCH(C3963,Segmen!$D$3:$D$6000,0)),"")</f>
        <v/>
      </c>
      <c r="C3963">
        <f>IFERROR(LARGE(Segmen!$D$3:$D$6000,A3963),"")</f>
        <v/>
      </c>
    </row>
    <row r="3964">
      <c r="A3964" t="n">
        <v>3963</v>
      </c>
      <c r="B3964">
        <f>IFERROR(INDEX(Segmen!$A$3:$A$6000,MATCH(C3964,Segmen!$D$3:$D$6000,0)),"")</f>
        <v/>
      </c>
      <c r="C3964">
        <f>IFERROR(LARGE(Segmen!$D$3:$D$6000,A3964),"")</f>
        <v/>
      </c>
    </row>
    <row r="3965">
      <c r="A3965" t="n">
        <v>3964</v>
      </c>
      <c r="B3965">
        <f>IFERROR(INDEX(Segmen!$A$3:$A$6000,MATCH(C3965,Segmen!$D$3:$D$6000,0)),"")</f>
        <v/>
      </c>
      <c r="C3965">
        <f>IFERROR(LARGE(Segmen!$D$3:$D$6000,A3965),"")</f>
        <v/>
      </c>
    </row>
    <row r="3966">
      <c r="A3966" t="n">
        <v>3965</v>
      </c>
      <c r="B3966">
        <f>IFERROR(INDEX(Segmen!$A$3:$A$6000,MATCH(C3966,Segmen!$D$3:$D$6000,0)),"")</f>
        <v/>
      </c>
      <c r="C3966">
        <f>IFERROR(LARGE(Segmen!$D$3:$D$6000,A3966),"")</f>
        <v/>
      </c>
    </row>
    <row r="3967">
      <c r="A3967" t="n">
        <v>3966</v>
      </c>
      <c r="B3967">
        <f>IFERROR(INDEX(Segmen!$A$3:$A$6000,MATCH(C3967,Segmen!$D$3:$D$6000,0)),"")</f>
        <v/>
      </c>
      <c r="C3967">
        <f>IFERROR(LARGE(Segmen!$D$3:$D$6000,A3967),"")</f>
        <v/>
      </c>
    </row>
    <row r="3968">
      <c r="A3968" t="n">
        <v>3967</v>
      </c>
      <c r="B3968">
        <f>IFERROR(INDEX(Segmen!$A$3:$A$6000,MATCH(C3968,Segmen!$D$3:$D$6000,0)),"")</f>
        <v/>
      </c>
      <c r="C3968">
        <f>IFERROR(LARGE(Segmen!$D$3:$D$6000,A3968),"")</f>
        <v/>
      </c>
    </row>
    <row r="3969">
      <c r="A3969" t="n">
        <v>3968</v>
      </c>
      <c r="B3969">
        <f>IFERROR(INDEX(Segmen!$A$3:$A$6000,MATCH(C3969,Segmen!$D$3:$D$6000,0)),"")</f>
        <v/>
      </c>
      <c r="C3969">
        <f>IFERROR(LARGE(Segmen!$D$3:$D$6000,A3969),"")</f>
        <v/>
      </c>
    </row>
    <row r="3970">
      <c r="A3970" t="n">
        <v>3969</v>
      </c>
      <c r="B3970">
        <f>IFERROR(INDEX(Segmen!$A$3:$A$6000,MATCH(C3970,Segmen!$D$3:$D$6000,0)),"")</f>
        <v/>
      </c>
      <c r="C3970">
        <f>IFERROR(LARGE(Segmen!$D$3:$D$6000,A3970),"")</f>
        <v/>
      </c>
    </row>
    <row r="3971">
      <c r="A3971" t="n">
        <v>3970</v>
      </c>
      <c r="B3971">
        <f>IFERROR(INDEX(Segmen!$A$3:$A$6000,MATCH(C3971,Segmen!$D$3:$D$6000,0)),"")</f>
        <v/>
      </c>
      <c r="C3971">
        <f>IFERROR(LARGE(Segmen!$D$3:$D$6000,A3971),"")</f>
        <v/>
      </c>
    </row>
    <row r="3972">
      <c r="A3972" t="n">
        <v>3971</v>
      </c>
      <c r="B3972">
        <f>IFERROR(INDEX(Segmen!$A$3:$A$6000,MATCH(C3972,Segmen!$D$3:$D$6000,0)),"")</f>
        <v/>
      </c>
      <c r="C3972">
        <f>IFERROR(LARGE(Segmen!$D$3:$D$6000,A3972),"")</f>
        <v/>
      </c>
    </row>
    <row r="3973">
      <c r="A3973" t="n">
        <v>3972</v>
      </c>
      <c r="B3973">
        <f>IFERROR(INDEX(Segmen!$A$3:$A$6000,MATCH(C3973,Segmen!$D$3:$D$6000,0)),"")</f>
        <v/>
      </c>
      <c r="C3973">
        <f>IFERROR(LARGE(Segmen!$D$3:$D$6000,A3973),"")</f>
        <v/>
      </c>
    </row>
    <row r="3974">
      <c r="A3974" t="n">
        <v>3973</v>
      </c>
      <c r="B3974">
        <f>IFERROR(INDEX(Segmen!$A$3:$A$6000,MATCH(C3974,Segmen!$D$3:$D$6000,0)),"")</f>
        <v/>
      </c>
      <c r="C3974">
        <f>IFERROR(LARGE(Segmen!$D$3:$D$6000,A3974),"")</f>
        <v/>
      </c>
    </row>
    <row r="3975">
      <c r="A3975" t="n">
        <v>3974</v>
      </c>
      <c r="B3975">
        <f>IFERROR(INDEX(Segmen!$A$3:$A$6000,MATCH(C3975,Segmen!$D$3:$D$6000,0)),"")</f>
        <v/>
      </c>
      <c r="C3975">
        <f>IFERROR(LARGE(Segmen!$D$3:$D$6000,A3975),"")</f>
        <v/>
      </c>
    </row>
    <row r="3976">
      <c r="A3976" t="n">
        <v>3975</v>
      </c>
      <c r="B3976">
        <f>IFERROR(INDEX(Segmen!$A$3:$A$6000,MATCH(C3976,Segmen!$D$3:$D$6000,0)),"")</f>
        <v/>
      </c>
      <c r="C3976">
        <f>IFERROR(LARGE(Segmen!$D$3:$D$6000,A3976),"")</f>
        <v/>
      </c>
    </row>
    <row r="3977">
      <c r="A3977" t="n">
        <v>3976</v>
      </c>
      <c r="B3977">
        <f>IFERROR(INDEX(Segmen!$A$3:$A$6000,MATCH(C3977,Segmen!$D$3:$D$6000,0)),"")</f>
        <v/>
      </c>
      <c r="C3977">
        <f>IFERROR(LARGE(Segmen!$D$3:$D$6000,A3977),"")</f>
        <v/>
      </c>
    </row>
    <row r="3978">
      <c r="A3978" t="n">
        <v>3977</v>
      </c>
      <c r="B3978">
        <f>IFERROR(INDEX(Segmen!$A$3:$A$6000,MATCH(C3978,Segmen!$D$3:$D$6000,0)),"")</f>
        <v/>
      </c>
      <c r="C3978">
        <f>IFERROR(LARGE(Segmen!$D$3:$D$6000,A3978),"")</f>
        <v/>
      </c>
    </row>
    <row r="3979">
      <c r="A3979" t="n">
        <v>3978</v>
      </c>
      <c r="B3979">
        <f>IFERROR(INDEX(Segmen!$A$3:$A$6000,MATCH(C3979,Segmen!$D$3:$D$6000,0)),"")</f>
        <v/>
      </c>
      <c r="C3979">
        <f>IFERROR(LARGE(Segmen!$D$3:$D$6000,A3979),"")</f>
        <v/>
      </c>
    </row>
    <row r="3980">
      <c r="A3980" t="n">
        <v>3979</v>
      </c>
      <c r="B3980">
        <f>IFERROR(INDEX(Segmen!$A$3:$A$6000,MATCH(C3980,Segmen!$D$3:$D$6000,0)),"")</f>
        <v/>
      </c>
      <c r="C3980">
        <f>IFERROR(LARGE(Segmen!$D$3:$D$6000,A3980),"")</f>
        <v/>
      </c>
    </row>
    <row r="3981">
      <c r="A3981" t="n">
        <v>3980</v>
      </c>
      <c r="B3981">
        <f>IFERROR(INDEX(Segmen!$A$3:$A$6000,MATCH(C3981,Segmen!$D$3:$D$6000,0)),"")</f>
        <v/>
      </c>
      <c r="C3981">
        <f>IFERROR(LARGE(Segmen!$D$3:$D$6000,A3981),"")</f>
        <v/>
      </c>
    </row>
    <row r="3982">
      <c r="A3982" t="n">
        <v>3981</v>
      </c>
      <c r="B3982">
        <f>IFERROR(INDEX(Segmen!$A$3:$A$6000,MATCH(C3982,Segmen!$D$3:$D$6000,0)),"")</f>
        <v/>
      </c>
      <c r="C3982">
        <f>IFERROR(LARGE(Segmen!$D$3:$D$6000,A3982),"")</f>
        <v/>
      </c>
    </row>
    <row r="3983">
      <c r="A3983" t="n">
        <v>3982</v>
      </c>
      <c r="B3983">
        <f>IFERROR(INDEX(Segmen!$A$3:$A$6000,MATCH(C3983,Segmen!$D$3:$D$6000,0)),"")</f>
        <v/>
      </c>
      <c r="C3983">
        <f>IFERROR(LARGE(Segmen!$D$3:$D$6000,A3983),"")</f>
        <v/>
      </c>
    </row>
    <row r="3984">
      <c r="A3984" t="n">
        <v>3983</v>
      </c>
      <c r="B3984">
        <f>IFERROR(INDEX(Segmen!$A$3:$A$6000,MATCH(C3984,Segmen!$D$3:$D$6000,0)),"")</f>
        <v/>
      </c>
      <c r="C3984">
        <f>IFERROR(LARGE(Segmen!$D$3:$D$6000,A3984),"")</f>
        <v/>
      </c>
    </row>
    <row r="3985">
      <c r="A3985" t="n">
        <v>3984</v>
      </c>
      <c r="B3985">
        <f>IFERROR(INDEX(Segmen!$A$3:$A$6000,MATCH(C3985,Segmen!$D$3:$D$6000,0)),"")</f>
        <v/>
      </c>
      <c r="C3985">
        <f>IFERROR(LARGE(Segmen!$D$3:$D$6000,A3985),"")</f>
        <v/>
      </c>
    </row>
    <row r="3986">
      <c r="A3986" t="n">
        <v>3985</v>
      </c>
      <c r="B3986">
        <f>IFERROR(INDEX(Segmen!$A$3:$A$6000,MATCH(C3986,Segmen!$D$3:$D$6000,0)),"")</f>
        <v/>
      </c>
      <c r="C3986">
        <f>IFERROR(LARGE(Segmen!$D$3:$D$6000,A3986),"")</f>
        <v/>
      </c>
    </row>
    <row r="3987">
      <c r="A3987" t="n">
        <v>3986</v>
      </c>
      <c r="B3987">
        <f>IFERROR(INDEX(Segmen!$A$3:$A$6000,MATCH(C3987,Segmen!$D$3:$D$6000,0)),"")</f>
        <v/>
      </c>
      <c r="C3987">
        <f>IFERROR(LARGE(Segmen!$D$3:$D$6000,A3987),"")</f>
        <v/>
      </c>
    </row>
    <row r="3988">
      <c r="A3988" t="n">
        <v>3987</v>
      </c>
      <c r="B3988">
        <f>IFERROR(INDEX(Segmen!$A$3:$A$6000,MATCH(C3988,Segmen!$D$3:$D$6000,0)),"")</f>
        <v/>
      </c>
      <c r="C3988">
        <f>IFERROR(LARGE(Segmen!$D$3:$D$6000,A3988),"")</f>
        <v/>
      </c>
    </row>
    <row r="3989">
      <c r="A3989" t="n">
        <v>3988</v>
      </c>
      <c r="B3989">
        <f>IFERROR(INDEX(Segmen!$A$3:$A$6000,MATCH(C3989,Segmen!$D$3:$D$6000,0)),"")</f>
        <v/>
      </c>
      <c r="C3989">
        <f>IFERROR(LARGE(Segmen!$D$3:$D$6000,A3989),"")</f>
        <v/>
      </c>
    </row>
    <row r="3990">
      <c r="A3990" t="n">
        <v>3989</v>
      </c>
      <c r="B3990">
        <f>IFERROR(INDEX(Segmen!$A$3:$A$6000,MATCH(C3990,Segmen!$D$3:$D$6000,0)),"")</f>
        <v/>
      </c>
      <c r="C3990">
        <f>IFERROR(LARGE(Segmen!$D$3:$D$6000,A3990),"")</f>
        <v/>
      </c>
    </row>
    <row r="3991">
      <c r="A3991" t="n">
        <v>3990</v>
      </c>
      <c r="B3991">
        <f>IFERROR(INDEX(Segmen!$A$3:$A$6000,MATCH(C3991,Segmen!$D$3:$D$6000,0)),"")</f>
        <v/>
      </c>
      <c r="C3991">
        <f>IFERROR(LARGE(Segmen!$D$3:$D$6000,A3991),"")</f>
        <v/>
      </c>
    </row>
    <row r="3992">
      <c r="A3992" t="n">
        <v>3991</v>
      </c>
      <c r="B3992">
        <f>IFERROR(INDEX(Segmen!$A$3:$A$6000,MATCH(C3992,Segmen!$D$3:$D$6000,0)),"")</f>
        <v/>
      </c>
      <c r="C3992">
        <f>IFERROR(LARGE(Segmen!$D$3:$D$6000,A3992),"")</f>
        <v/>
      </c>
    </row>
    <row r="3993">
      <c r="A3993" t="n">
        <v>3992</v>
      </c>
      <c r="B3993">
        <f>IFERROR(INDEX(Segmen!$A$3:$A$6000,MATCH(C3993,Segmen!$D$3:$D$6000,0)),"")</f>
        <v/>
      </c>
      <c r="C3993">
        <f>IFERROR(LARGE(Segmen!$D$3:$D$6000,A3993),"")</f>
        <v/>
      </c>
    </row>
    <row r="3994">
      <c r="A3994" t="n">
        <v>3993</v>
      </c>
      <c r="B3994">
        <f>IFERROR(INDEX(Segmen!$A$3:$A$6000,MATCH(C3994,Segmen!$D$3:$D$6000,0)),"")</f>
        <v/>
      </c>
      <c r="C3994">
        <f>IFERROR(LARGE(Segmen!$D$3:$D$6000,A3994),"")</f>
        <v/>
      </c>
    </row>
    <row r="3995">
      <c r="A3995" t="n">
        <v>3994</v>
      </c>
      <c r="B3995">
        <f>IFERROR(INDEX(Segmen!$A$3:$A$6000,MATCH(C3995,Segmen!$D$3:$D$6000,0)),"")</f>
        <v/>
      </c>
      <c r="C3995">
        <f>IFERROR(LARGE(Segmen!$D$3:$D$6000,A3995),"")</f>
        <v/>
      </c>
    </row>
    <row r="3996">
      <c r="A3996" t="n">
        <v>3995</v>
      </c>
      <c r="B3996">
        <f>IFERROR(INDEX(Segmen!$A$3:$A$6000,MATCH(C3996,Segmen!$D$3:$D$6000,0)),"")</f>
        <v/>
      </c>
      <c r="C3996">
        <f>IFERROR(LARGE(Segmen!$D$3:$D$6000,A3996),"")</f>
        <v/>
      </c>
    </row>
    <row r="3997">
      <c r="A3997" t="n">
        <v>3996</v>
      </c>
      <c r="B3997">
        <f>IFERROR(INDEX(Segmen!$A$3:$A$6000,MATCH(C3997,Segmen!$D$3:$D$6000,0)),"")</f>
        <v/>
      </c>
      <c r="C3997">
        <f>IFERROR(LARGE(Segmen!$D$3:$D$6000,A3997),"")</f>
        <v/>
      </c>
    </row>
    <row r="3998">
      <c r="A3998" t="n">
        <v>3997</v>
      </c>
      <c r="B3998">
        <f>IFERROR(INDEX(Segmen!$A$3:$A$6000,MATCH(C3998,Segmen!$D$3:$D$6000,0)),"")</f>
        <v/>
      </c>
      <c r="C3998">
        <f>IFERROR(LARGE(Segmen!$D$3:$D$6000,A3998),"")</f>
        <v/>
      </c>
    </row>
    <row r="3999">
      <c r="A3999" t="n">
        <v>3998</v>
      </c>
      <c r="B3999">
        <f>IFERROR(INDEX(Segmen!$A$3:$A$6000,MATCH(C3999,Segmen!$D$3:$D$6000,0)),"")</f>
        <v/>
      </c>
      <c r="C3999">
        <f>IFERROR(LARGE(Segmen!$D$3:$D$6000,A3999),"")</f>
        <v/>
      </c>
    </row>
    <row r="4000">
      <c r="A4000" t="n">
        <v>3999</v>
      </c>
      <c r="B4000">
        <f>IFERROR(INDEX(Segmen!$A$3:$A$6000,MATCH(C4000,Segmen!$D$3:$D$6000,0)),"")</f>
        <v/>
      </c>
      <c r="C4000">
        <f>IFERROR(LARGE(Segmen!$D$3:$D$6000,A4000),"")</f>
        <v/>
      </c>
    </row>
    <row r="4001">
      <c r="A4001" t="n">
        <v>4000</v>
      </c>
      <c r="B4001">
        <f>IFERROR(INDEX(Segmen!$A$3:$A$6000,MATCH(C4001,Segmen!$D$3:$D$6000,0)),"")</f>
        <v/>
      </c>
      <c r="C4001">
        <f>IFERROR(LARGE(Segmen!$D$3:$D$6000,A4001),"")</f>
        <v/>
      </c>
    </row>
    <row r="4002">
      <c r="A4002" t="n">
        <v>4001</v>
      </c>
      <c r="B4002">
        <f>IFERROR(INDEX(Segmen!$A$3:$A$6000,MATCH(C4002,Segmen!$D$3:$D$6000,0)),"")</f>
        <v/>
      </c>
      <c r="C4002">
        <f>IFERROR(LARGE(Segmen!$D$3:$D$6000,A4002),"")</f>
        <v/>
      </c>
    </row>
    <row r="4003">
      <c r="A4003" t="n">
        <v>4002</v>
      </c>
      <c r="B4003">
        <f>IFERROR(INDEX(Segmen!$A$3:$A$6000,MATCH(C4003,Segmen!$D$3:$D$6000,0)),"")</f>
        <v/>
      </c>
      <c r="C4003">
        <f>IFERROR(LARGE(Segmen!$D$3:$D$6000,A4003),"")</f>
        <v/>
      </c>
    </row>
    <row r="4004">
      <c r="A4004" t="n">
        <v>4003</v>
      </c>
      <c r="B4004">
        <f>IFERROR(INDEX(Segmen!$A$3:$A$6000,MATCH(C4004,Segmen!$D$3:$D$6000,0)),"")</f>
        <v/>
      </c>
      <c r="C4004">
        <f>IFERROR(LARGE(Segmen!$D$3:$D$6000,A4004),"")</f>
        <v/>
      </c>
    </row>
    <row r="4005">
      <c r="A4005" t="n">
        <v>4004</v>
      </c>
      <c r="B4005">
        <f>IFERROR(INDEX(Segmen!$A$3:$A$6000,MATCH(C4005,Segmen!$D$3:$D$6000,0)),"")</f>
        <v/>
      </c>
      <c r="C4005">
        <f>IFERROR(LARGE(Segmen!$D$3:$D$6000,A4005),"")</f>
        <v/>
      </c>
    </row>
    <row r="4006">
      <c r="A4006" t="n">
        <v>4005</v>
      </c>
      <c r="B4006">
        <f>IFERROR(INDEX(Segmen!$A$3:$A$6000,MATCH(C4006,Segmen!$D$3:$D$6000,0)),"")</f>
        <v/>
      </c>
      <c r="C4006">
        <f>IFERROR(LARGE(Segmen!$D$3:$D$6000,A4006),"")</f>
        <v/>
      </c>
    </row>
    <row r="4007">
      <c r="A4007" t="n">
        <v>4006</v>
      </c>
      <c r="B4007">
        <f>IFERROR(INDEX(Segmen!$A$3:$A$6000,MATCH(C4007,Segmen!$D$3:$D$6000,0)),"")</f>
        <v/>
      </c>
      <c r="C4007">
        <f>IFERROR(LARGE(Segmen!$D$3:$D$6000,A4007),"")</f>
        <v/>
      </c>
    </row>
    <row r="4008">
      <c r="A4008" t="n">
        <v>4007</v>
      </c>
      <c r="B4008">
        <f>IFERROR(INDEX(Segmen!$A$3:$A$6000,MATCH(C4008,Segmen!$D$3:$D$6000,0)),"")</f>
        <v/>
      </c>
      <c r="C4008">
        <f>IFERROR(LARGE(Segmen!$D$3:$D$6000,A4008),"")</f>
        <v/>
      </c>
    </row>
    <row r="4009">
      <c r="A4009" t="n">
        <v>4008</v>
      </c>
      <c r="B4009">
        <f>IFERROR(INDEX(Segmen!$A$3:$A$6000,MATCH(C4009,Segmen!$D$3:$D$6000,0)),"")</f>
        <v/>
      </c>
      <c r="C4009">
        <f>IFERROR(LARGE(Segmen!$D$3:$D$6000,A4009),"")</f>
        <v/>
      </c>
    </row>
    <row r="4010">
      <c r="A4010" t="n">
        <v>4009</v>
      </c>
      <c r="B4010">
        <f>IFERROR(INDEX(Segmen!$A$3:$A$6000,MATCH(C4010,Segmen!$D$3:$D$6000,0)),"")</f>
        <v/>
      </c>
      <c r="C4010">
        <f>IFERROR(LARGE(Segmen!$D$3:$D$6000,A4010),"")</f>
        <v/>
      </c>
    </row>
    <row r="4011">
      <c r="A4011" t="n">
        <v>4010</v>
      </c>
      <c r="B4011">
        <f>IFERROR(INDEX(Segmen!$A$3:$A$6000,MATCH(C4011,Segmen!$D$3:$D$6000,0)),"")</f>
        <v/>
      </c>
      <c r="C4011">
        <f>IFERROR(LARGE(Segmen!$D$3:$D$6000,A4011),"")</f>
        <v/>
      </c>
    </row>
    <row r="4012">
      <c r="A4012" t="n">
        <v>4011</v>
      </c>
      <c r="B4012">
        <f>IFERROR(INDEX(Segmen!$A$3:$A$6000,MATCH(C4012,Segmen!$D$3:$D$6000,0)),"")</f>
        <v/>
      </c>
      <c r="C4012">
        <f>IFERROR(LARGE(Segmen!$D$3:$D$6000,A4012),"")</f>
        <v/>
      </c>
    </row>
    <row r="4013">
      <c r="A4013" t="n">
        <v>4012</v>
      </c>
      <c r="B4013">
        <f>IFERROR(INDEX(Segmen!$A$3:$A$6000,MATCH(C4013,Segmen!$D$3:$D$6000,0)),"")</f>
        <v/>
      </c>
      <c r="C4013">
        <f>IFERROR(LARGE(Segmen!$D$3:$D$6000,A4013),"")</f>
        <v/>
      </c>
    </row>
    <row r="4014">
      <c r="A4014" t="n">
        <v>4013</v>
      </c>
      <c r="B4014">
        <f>IFERROR(INDEX(Segmen!$A$3:$A$6000,MATCH(C4014,Segmen!$D$3:$D$6000,0)),"")</f>
        <v/>
      </c>
      <c r="C4014">
        <f>IFERROR(LARGE(Segmen!$D$3:$D$6000,A4014),"")</f>
        <v/>
      </c>
    </row>
    <row r="4015">
      <c r="A4015" t="n">
        <v>4014</v>
      </c>
      <c r="B4015">
        <f>IFERROR(INDEX(Segmen!$A$3:$A$6000,MATCH(C4015,Segmen!$D$3:$D$6000,0)),"")</f>
        <v/>
      </c>
      <c r="C4015">
        <f>IFERROR(LARGE(Segmen!$D$3:$D$6000,A4015),"")</f>
        <v/>
      </c>
    </row>
    <row r="4016">
      <c r="A4016" t="n">
        <v>4015</v>
      </c>
      <c r="B4016">
        <f>IFERROR(INDEX(Segmen!$A$3:$A$6000,MATCH(C4016,Segmen!$D$3:$D$6000,0)),"")</f>
        <v/>
      </c>
      <c r="C4016">
        <f>IFERROR(LARGE(Segmen!$D$3:$D$6000,A4016),"")</f>
        <v/>
      </c>
    </row>
    <row r="4017">
      <c r="A4017" t="n">
        <v>4016</v>
      </c>
      <c r="B4017">
        <f>IFERROR(INDEX(Segmen!$A$3:$A$6000,MATCH(C4017,Segmen!$D$3:$D$6000,0)),"")</f>
        <v/>
      </c>
      <c r="C4017">
        <f>IFERROR(LARGE(Segmen!$D$3:$D$6000,A4017),"")</f>
        <v/>
      </c>
    </row>
    <row r="4018">
      <c r="A4018" t="n">
        <v>4017</v>
      </c>
      <c r="B4018">
        <f>IFERROR(INDEX(Segmen!$A$3:$A$6000,MATCH(C4018,Segmen!$D$3:$D$6000,0)),"")</f>
        <v/>
      </c>
      <c r="C4018">
        <f>IFERROR(LARGE(Segmen!$D$3:$D$6000,A4018),"")</f>
        <v/>
      </c>
    </row>
    <row r="4019">
      <c r="A4019" t="n">
        <v>4018</v>
      </c>
      <c r="B4019">
        <f>IFERROR(INDEX(Segmen!$A$3:$A$6000,MATCH(C4019,Segmen!$D$3:$D$6000,0)),"")</f>
        <v/>
      </c>
      <c r="C4019">
        <f>IFERROR(LARGE(Segmen!$D$3:$D$6000,A4019),"")</f>
        <v/>
      </c>
    </row>
    <row r="4020">
      <c r="A4020" t="n">
        <v>4019</v>
      </c>
      <c r="B4020">
        <f>IFERROR(INDEX(Segmen!$A$3:$A$6000,MATCH(C4020,Segmen!$D$3:$D$6000,0)),"")</f>
        <v/>
      </c>
      <c r="C4020">
        <f>IFERROR(LARGE(Segmen!$D$3:$D$6000,A4020),"")</f>
        <v/>
      </c>
    </row>
    <row r="4021">
      <c r="A4021" t="n">
        <v>4020</v>
      </c>
      <c r="B4021">
        <f>IFERROR(INDEX(Segmen!$A$3:$A$6000,MATCH(C4021,Segmen!$D$3:$D$6000,0)),"")</f>
        <v/>
      </c>
      <c r="C4021">
        <f>IFERROR(LARGE(Segmen!$D$3:$D$6000,A4021),"")</f>
        <v/>
      </c>
    </row>
    <row r="4022">
      <c r="A4022" t="n">
        <v>4021</v>
      </c>
      <c r="B4022">
        <f>IFERROR(INDEX(Segmen!$A$3:$A$6000,MATCH(C4022,Segmen!$D$3:$D$6000,0)),"")</f>
        <v/>
      </c>
      <c r="C4022">
        <f>IFERROR(LARGE(Segmen!$D$3:$D$6000,A4022),"")</f>
        <v/>
      </c>
    </row>
    <row r="4023">
      <c r="A4023" t="n">
        <v>4022</v>
      </c>
      <c r="B4023">
        <f>IFERROR(INDEX(Segmen!$A$3:$A$6000,MATCH(C4023,Segmen!$D$3:$D$6000,0)),"")</f>
        <v/>
      </c>
      <c r="C4023">
        <f>IFERROR(LARGE(Segmen!$D$3:$D$6000,A4023),"")</f>
        <v/>
      </c>
    </row>
    <row r="4024">
      <c r="A4024" t="n">
        <v>4023</v>
      </c>
      <c r="B4024">
        <f>IFERROR(INDEX(Segmen!$A$3:$A$6000,MATCH(C4024,Segmen!$D$3:$D$6000,0)),"")</f>
        <v/>
      </c>
      <c r="C4024">
        <f>IFERROR(LARGE(Segmen!$D$3:$D$6000,A4024),"")</f>
        <v/>
      </c>
    </row>
    <row r="4025">
      <c r="A4025" t="n">
        <v>4024</v>
      </c>
      <c r="B4025">
        <f>IFERROR(INDEX(Segmen!$A$3:$A$6000,MATCH(C4025,Segmen!$D$3:$D$6000,0)),"")</f>
        <v/>
      </c>
      <c r="C4025">
        <f>IFERROR(LARGE(Segmen!$D$3:$D$6000,A4025),"")</f>
        <v/>
      </c>
    </row>
    <row r="4026">
      <c r="A4026" t="n">
        <v>4025</v>
      </c>
      <c r="B4026">
        <f>IFERROR(INDEX(Segmen!$A$3:$A$6000,MATCH(C4026,Segmen!$D$3:$D$6000,0)),"")</f>
        <v/>
      </c>
      <c r="C4026">
        <f>IFERROR(LARGE(Segmen!$D$3:$D$6000,A4026),"")</f>
        <v/>
      </c>
    </row>
    <row r="4027">
      <c r="A4027" t="n">
        <v>4026</v>
      </c>
      <c r="B4027">
        <f>IFERROR(INDEX(Segmen!$A$3:$A$6000,MATCH(C4027,Segmen!$D$3:$D$6000,0)),"")</f>
        <v/>
      </c>
      <c r="C4027">
        <f>IFERROR(LARGE(Segmen!$D$3:$D$6000,A4027),"")</f>
        <v/>
      </c>
    </row>
    <row r="4028">
      <c r="A4028" t="n">
        <v>4027</v>
      </c>
      <c r="B4028">
        <f>IFERROR(INDEX(Segmen!$A$3:$A$6000,MATCH(C4028,Segmen!$D$3:$D$6000,0)),"")</f>
        <v/>
      </c>
      <c r="C4028">
        <f>IFERROR(LARGE(Segmen!$D$3:$D$6000,A4028),"")</f>
        <v/>
      </c>
    </row>
    <row r="4029">
      <c r="A4029" t="n">
        <v>4028</v>
      </c>
      <c r="B4029">
        <f>IFERROR(INDEX(Segmen!$A$3:$A$6000,MATCH(C4029,Segmen!$D$3:$D$6000,0)),"")</f>
        <v/>
      </c>
      <c r="C4029">
        <f>IFERROR(LARGE(Segmen!$D$3:$D$6000,A4029),"")</f>
        <v/>
      </c>
    </row>
    <row r="4030">
      <c r="A4030" t="n">
        <v>4029</v>
      </c>
      <c r="B4030">
        <f>IFERROR(INDEX(Segmen!$A$3:$A$6000,MATCH(C4030,Segmen!$D$3:$D$6000,0)),"")</f>
        <v/>
      </c>
      <c r="C4030">
        <f>IFERROR(LARGE(Segmen!$D$3:$D$6000,A4030),"")</f>
        <v/>
      </c>
    </row>
    <row r="4031">
      <c r="A4031" t="n">
        <v>4030</v>
      </c>
      <c r="B4031">
        <f>IFERROR(INDEX(Segmen!$A$3:$A$6000,MATCH(C4031,Segmen!$D$3:$D$6000,0)),"")</f>
        <v/>
      </c>
      <c r="C4031">
        <f>IFERROR(LARGE(Segmen!$D$3:$D$6000,A4031),"")</f>
        <v/>
      </c>
    </row>
    <row r="4032">
      <c r="A4032" t="n">
        <v>4031</v>
      </c>
      <c r="B4032">
        <f>IFERROR(INDEX(Segmen!$A$3:$A$6000,MATCH(C4032,Segmen!$D$3:$D$6000,0)),"")</f>
        <v/>
      </c>
      <c r="C4032">
        <f>IFERROR(LARGE(Segmen!$D$3:$D$6000,A4032),"")</f>
        <v/>
      </c>
    </row>
    <row r="4033">
      <c r="A4033" t="n">
        <v>4032</v>
      </c>
      <c r="B4033">
        <f>IFERROR(INDEX(Segmen!$A$3:$A$6000,MATCH(C4033,Segmen!$D$3:$D$6000,0)),"")</f>
        <v/>
      </c>
      <c r="C4033">
        <f>IFERROR(LARGE(Segmen!$D$3:$D$6000,A4033),"")</f>
        <v/>
      </c>
    </row>
    <row r="4034">
      <c r="A4034" t="n">
        <v>4033</v>
      </c>
      <c r="B4034">
        <f>IFERROR(INDEX(Segmen!$A$3:$A$6000,MATCH(C4034,Segmen!$D$3:$D$6000,0)),"")</f>
        <v/>
      </c>
      <c r="C4034">
        <f>IFERROR(LARGE(Segmen!$D$3:$D$6000,A4034),"")</f>
        <v/>
      </c>
    </row>
    <row r="4035">
      <c r="A4035" t="n">
        <v>4034</v>
      </c>
      <c r="B4035">
        <f>IFERROR(INDEX(Segmen!$A$3:$A$6000,MATCH(C4035,Segmen!$D$3:$D$6000,0)),"")</f>
        <v/>
      </c>
      <c r="C4035">
        <f>IFERROR(LARGE(Segmen!$D$3:$D$6000,A4035),"")</f>
        <v/>
      </c>
    </row>
    <row r="4036">
      <c r="A4036" t="n">
        <v>4035</v>
      </c>
      <c r="B4036">
        <f>IFERROR(INDEX(Segmen!$A$3:$A$6000,MATCH(C4036,Segmen!$D$3:$D$6000,0)),"")</f>
        <v/>
      </c>
      <c r="C4036">
        <f>IFERROR(LARGE(Segmen!$D$3:$D$6000,A4036),"")</f>
        <v/>
      </c>
    </row>
    <row r="4037">
      <c r="A4037" t="n">
        <v>4036</v>
      </c>
      <c r="B4037">
        <f>IFERROR(INDEX(Segmen!$A$3:$A$6000,MATCH(C4037,Segmen!$D$3:$D$6000,0)),"")</f>
        <v/>
      </c>
      <c r="C4037">
        <f>IFERROR(LARGE(Segmen!$D$3:$D$6000,A4037),"")</f>
        <v/>
      </c>
    </row>
    <row r="4038">
      <c r="A4038" t="n">
        <v>4037</v>
      </c>
      <c r="B4038">
        <f>IFERROR(INDEX(Segmen!$A$3:$A$6000,MATCH(C4038,Segmen!$D$3:$D$6000,0)),"")</f>
        <v/>
      </c>
      <c r="C4038">
        <f>IFERROR(LARGE(Segmen!$D$3:$D$6000,A4038),"")</f>
        <v/>
      </c>
    </row>
    <row r="4039">
      <c r="A4039" t="n">
        <v>4038</v>
      </c>
      <c r="B4039">
        <f>IFERROR(INDEX(Segmen!$A$3:$A$6000,MATCH(C4039,Segmen!$D$3:$D$6000,0)),"")</f>
        <v/>
      </c>
      <c r="C4039">
        <f>IFERROR(LARGE(Segmen!$D$3:$D$6000,A4039),"")</f>
        <v/>
      </c>
    </row>
    <row r="4040">
      <c r="A4040" t="n">
        <v>4039</v>
      </c>
      <c r="B4040">
        <f>IFERROR(INDEX(Segmen!$A$3:$A$6000,MATCH(C4040,Segmen!$D$3:$D$6000,0)),"")</f>
        <v/>
      </c>
      <c r="C4040">
        <f>IFERROR(LARGE(Segmen!$D$3:$D$6000,A4040),"")</f>
        <v/>
      </c>
    </row>
    <row r="4041">
      <c r="A4041" t="n">
        <v>4040</v>
      </c>
      <c r="B4041">
        <f>IFERROR(INDEX(Segmen!$A$3:$A$6000,MATCH(C4041,Segmen!$D$3:$D$6000,0)),"")</f>
        <v/>
      </c>
      <c r="C4041">
        <f>IFERROR(LARGE(Segmen!$D$3:$D$6000,A4041),"")</f>
        <v/>
      </c>
    </row>
    <row r="4042">
      <c r="A4042" t="n">
        <v>4041</v>
      </c>
      <c r="B4042">
        <f>IFERROR(INDEX(Segmen!$A$3:$A$6000,MATCH(C4042,Segmen!$D$3:$D$6000,0)),"")</f>
        <v/>
      </c>
      <c r="C4042">
        <f>IFERROR(LARGE(Segmen!$D$3:$D$6000,A4042),"")</f>
        <v/>
      </c>
    </row>
    <row r="4043">
      <c r="A4043" t="n">
        <v>4042</v>
      </c>
      <c r="B4043">
        <f>IFERROR(INDEX(Segmen!$A$3:$A$6000,MATCH(C4043,Segmen!$D$3:$D$6000,0)),"")</f>
        <v/>
      </c>
      <c r="C4043">
        <f>IFERROR(LARGE(Segmen!$D$3:$D$6000,A4043),"")</f>
        <v/>
      </c>
    </row>
    <row r="4044">
      <c r="A4044" t="n">
        <v>4043</v>
      </c>
      <c r="B4044">
        <f>IFERROR(INDEX(Segmen!$A$3:$A$6000,MATCH(C4044,Segmen!$D$3:$D$6000,0)),"")</f>
        <v/>
      </c>
      <c r="C4044">
        <f>IFERROR(LARGE(Segmen!$D$3:$D$6000,A4044),"")</f>
        <v/>
      </c>
    </row>
    <row r="4045">
      <c r="A4045" t="n">
        <v>4044</v>
      </c>
      <c r="B4045">
        <f>IFERROR(INDEX(Segmen!$A$3:$A$6000,MATCH(C4045,Segmen!$D$3:$D$6000,0)),"")</f>
        <v/>
      </c>
      <c r="C4045">
        <f>IFERROR(LARGE(Segmen!$D$3:$D$6000,A4045),"")</f>
        <v/>
      </c>
    </row>
    <row r="4046">
      <c r="A4046" t="n">
        <v>4045</v>
      </c>
      <c r="B4046">
        <f>IFERROR(INDEX(Segmen!$A$3:$A$6000,MATCH(C4046,Segmen!$D$3:$D$6000,0)),"")</f>
        <v/>
      </c>
      <c r="C4046">
        <f>IFERROR(LARGE(Segmen!$D$3:$D$6000,A4046),"")</f>
        <v/>
      </c>
    </row>
    <row r="4047">
      <c r="A4047" t="n">
        <v>4046</v>
      </c>
      <c r="B4047">
        <f>IFERROR(INDEX(Segmen!$A$3:$A$6000,MATCH(C4047,Segmen!$D$3:$D$6000,0)),"")</f>
        <v/>
      </c>
      <c r="C4047">
        <f>IFERROR(LARGE(Segmen!$D$3:$D$6000,A4047),"")</f>
        <v/>
      </c>
    </row>
    <row r="4048">
      <c r="A4048" t="n">
        <v>4047</v>
      </c>
      <c r="B4048">
        <f>IFERROR(INDEX(Segmen!$A$3:$A$6000,MATCH(C4048,Segmen!$D$3:$D$6000,0)),"")</f>
        <v/>
      </c>
      <c r="C4048">
        <f>IFERROR(LARGE(Segmen!$D$3:$D$6000,A4048),"")</f>
        <v/>
      </c>
    </row>
    <row r="4049">
      <c r="A4049" t="n">
        <v>4048</v>
      </c>
      <c r="B4049">
        <f>IFERROR(INDEX(Segmen!$A$3:$A$6000,MATCH(C4049,Segmen!$D$3:$D$6000,0)),"")</f>
        <v/>
      </c>
      <c r="C4049">
        <f>IFERROR(LARGE(Segmen!$D$3:$D$6000,A4049),"")</f>
        <v/>
      </c>
    </row>
    <row r="4050">
      <c r="A4050" t="n">
        <v>4049</v>
      </c>
      <c r="B4050">
        <f>IFERROR(INDEX(Segmen!$A$3:$A$6000,MATCH(C4050,Segmen!$D$3:$D$6000,0)),"")</f>
        <v/>
      </c>
      <c r="C4050">
        <f>IFERROR(LARGE(Segmen!$D$3:$D$6000,A4050),"")</f>
        <v/>
      </c>
    </row>
    <row r="4051">
      <c r="A4051" t="n">
        <v>4050</v>
      </c>
      <c r="B4051">
        <f>IFERROR(INDEX(Segmen!$A$3:$A$6000,MATCH(C4051,Segmen!$D$3:$D$6000,0)),"")</f>
        <v/>
      </c>
      <c r="C4051">
        <f>IFERROR(LARGE(Segmen!$D$3:$D$6000,A4051),"")</f>
        <v/>
      </c>
    </row>
    <row r="4052">
      <c r="A4052" t="n">
        <v>4051</v>
      </c>
      <c r="B4052">
        <f>IFERROR(INDEX(Segmen!$A$3:$A$6000,MATCH(C4052,Segmen!$D$3:$D$6000,0)),"")</f>
        <v/>
      </c>
      <c r="C4052">
        <f>IFERROR(LARGE(Segmen!$D$3:$D$6000,A4052),"")</f>
        <v/>
      </c>
    </row>
    <row r="4053">
      <c r="A4053" t="n">
        <v>4052</v>
      </c>
      <c r="B4053">
        <f>IFERROR(INDEX(Segmen!$A$3:$A$6000,MATCH(C4053,Segmen!$D$3:$D$6000,0)),"")</f>
        <v/>
      </c>
      <c r="C4053">
        <f>IFERROR(LARGE(Segmen!$D$3:$D$6000,A4053),"")</f>
        <v/>
      </c>
    </row>
    <row r="4054">
      <c r="A4054" t="n">
        <v>4053</v>
      </c>
      <c r="B4054">
        <f>IFERROR(INDEX(Segmen!$A$3:$A$6000,MATCH(C4054,Segmen!$D$3:$D$6000,0)),"")</f>
        <v/>
      </c>
      <c r="C4054">
        <f>IFERROR(LARGE(Segmen!$D$3:$D$6000,A4054),"")</f>
        <v/>
      </c>
    </row>
    <row r="4055">
      <c r="A4055" t="n">
        <v>4054</v>
      </c>
      <c r="B4055">
        <f>IFERROR(INDEX(Segmen!$A$3:$A$6000,MATCH(C4055,Segmen!$D$3:$D$6000,0)),"")</f>
        <v/>
      </c>
      <c r="C4055">
        <f>IFERROR(LARGE(Segmen!$D$3:$D$6000,A4055),"")</f>
        <v/>
      </c>
    </row>
    <row r="4056">
      <c r="A4056" t="n">
        <v>4055</v>
      </c>
      <c r="B4056">
        <f>IFERROR(INDEX(Segmen!$A$3:$A$6000,MATCH(C4056,Segmen!$D$3:$D$6000,0)),"")</f>
        <v/>
      </c>
      <c r="C4056">
        <f>IFERROR(LARGE(Segmen!$D$3:$D$6000,A4056),"")</f>
        <v/>
      </c>
    </row>
    <row r="4057">
      <c r="A4057" t="n">
        <v>4056</v>
      </c>
      <c r="B4057">
        <f>IFERROR(INDEX(Segmen!$A$3:$A$6000,MATCH(C4057,Segmen!$D$3:$D$6000,0)),"")</f>
        <v/>
      </c>
      <c r="C4057">
        <f>IFERROR(LARGE(Segmen!$D$3:$D$6000,A4057),"")</f>
        <v/>
      </c>
    </row>
    <row r="4058">
      <c r="A4058" t="n">
        <v>4057</v>
      </c>
      <c r="B4058">
        <f>IFERROR(INDEX(Segmen!$A$3:$A$6000,MATCH(C4058,Segmen!$D$3:$D$6000,0)),"")</f>
        <v/>
      </c>
      <c r="C4058">
        <f>IFERROR(LARGE(Segmen!$D$3:$D$6000,A4058),"")</f>
        <v/>
      </c>
    </row>
    <row r="4059">
      <c r="A4059" t="n">
        <v>4058</v>
      </c>
      <c r="B4059">
        <f>IFERROR(INDEX(Segmen!$A$3:$A$6000,MATCH(C4059,Segmen!$D$3:$D$6000,0)),"")</f>
        <v/>
      </c>
      <c r="C4059">
        <f>IFERROR(LARGE(Segmen!$D$3:$D$6000,A4059),"")</f>
        <v/>
      </c>
    </row>
    <row r="4060">
      <c r="A4060" t="n">
        <v>4059</v>
      </c>
      <c r="B4060">
        <f>IFERROR(INDEX(Segmen!$A$3:$A$6000,MATCH(C4060,Segmen!$D$3:$D$6000,0)),"")</f>
        <v/>
      </c>
      <c r="C4060">
        <f>IFERROR(LARGE(Segmen!$D$3:$D$6000,A4060),"")</f>
        <v/>
      </c>
    </row>
    <row r="4061">
      <c r="A4061" t="n">
        <v>4060</v>
      </c>
      <c r="B4061">
        <f>IFERROR(INDEX(Segmen!$A$3:$A$6000,MATCH(C4061,Segmen!$D$3:$D$6000,0)),"")</f>
        <v/>
      </c>
      <c r="C4061">
        <f>IFERROR(LARGE(Segmen!$D$3:$D$6000,A4061),"")</f>
        <v/>
      </c>
    </row>
    <row r="4062">
      <c r="A4062" t="n">
        <v>4061</v>
      </c>
      <c r="B4062">
        <f>IFERROR(INDEX(Segmen!$A$3:$A$6000,MATCH(C4062,Segmen!$D$3:$D$6000,0)),"")</f>
        <v/>
      </c>
      <c r="C4062">
        <f>IFERROR(LARGE(Segmen!$D$3:$D$6000,A4062),"")</f>
        <v/>
      </c>
    </row>
    <row r="4063">
      <c r="A4063" t="n">
        <v>4062</v>
      </c>
      <c r="B4063">
        <f>IFERROR(INDEX(Segmen!$A$3:$A$6000,MATCH(C4063,Segmen!$D$3:$D$6000,0)),"")</f>
        <v/>
      </c>
      <c r="C4063">
        <f>IFERROR(LARGE(Segmen!$D$3:$D$6000,A4063),"")</f>
        <v/>
      </c>
    </row>
    <row r="4064">
      <c r="A4064" t="n">
        <v>4063</v>
      </c>
      <c r="B4064">
        <f>IFERROR(INDEX(Segmen!$A$3:$A$6000,MATCH(C4064,Segmen!$D$3:$D$6000,0)),"")</f>
        <v/>
      </c>
      <c r="C4064">
        <f>IFERROR(LARGE(Segmen!$D$3:$D$6000,A4064),"")</f>
        <v/>
      </c>
    </row>
    <row r="4065">
      <c r="A4065" t="n">
        <v>4064</v>
      </c>
      <c r="B4065">
        <f>IFERROR(INDEX(Segmen!$A$3:$A$6000,MATCH(C4065,Segmen!$D$3:$D$6000,0)),"")</f>
        <v/>
      </c>
      <c r="C4065">
        <f>IFERROR(LARGE(Segmen!$D$3:$D$6000,A4065),"")</f>
        <v/>
      </c>
    </row>
    <row r="4066">
      <c r="A4066" t="n">
        <v>4065</v>
      </c>
      <c r="B4066">
        <f>IFERROR(INDEX(Segmen!$A$3:$A$6000,MATCH(C4066,Segmen!$D$3:$D$6000,0)),"")</f>
        <v/>
      </c>
      <c r="C4066">
        <f>IFERROR(LARGE(Segmen!$D$3:$D$6000,A4066),"")</f>
        <v/>
      </c>
    </row>
    <row r="4067">
      <c r="A4067" t="n">
        <v>4066</v>
      </c>
      <c r="B4067">
        <f>IFERROR(INDEX(Segmen!$A$3:$A$6000,MATCH(C4067,Segmen!$D$3:$D$6000,0)),"")</f>
        <v/>
      </c>
      <c r="C4067">
        <f>IFERROR(LARGE(Segmen!$D$3:$D$6000,A4067),"")</f>
        <v/>
      </c>
    </row>
    <row r="4068">
      <c r="A4068" t="n">
        <v>4067</v>
      </c>
      <c r="B4068">
        <f>IFERROR(INDEX(Segmen!$A$3:$A$6000,MATCH(C4068,Segmen!$D$3:$D$6000,0)),"")</f>
        <v/>
      </c>
      <c r="C4068">
        <f>IFERROR(LARGE(Segmen!$D$3:$D$6000,A4068),"")</f>
        <v/>
      </c>
    </row>
    <row r="4069">
      <c r="A4069" t="n">
        <v>4068</v>
      </c>
      <c r="B4069">
        <f>IFERROR(INDEX(Segmen!$A$3:$A$6000,MATCH(C4069,Segmen!$D$3:$D$6000,0)),"")</f>
        <v/>
      </c>
      <c r="C4069">
        <f>IFERROR(LARGE(Segmen!$D$3:$D$6000,A4069),"")</f>
        <v/>
      </c>
    </row>
    <row r="4070">
      <c r="A4070" t="n">
        <v>4069</v>
      </c>
      <c r="B4070">
        <f>IFERROR(INDEX(Segmen!$A$3:$A$6000,MATCH(C4070,Segmen!$D$3:$D$6000,0)),"")</f>
        <v/>
      </c>
      <c r="C4070">
        <f>IFERROR(LARGE(Segmen!$D$3:$D$6000,A4070),"")</f>
        <v/>
      </c>
    </row>
    <row r="4071">
      <c r="A4071" t="n">
        <v>4070</v>
      </c>
      <c r="B4071">
        <f>IFERROR(INDEX(Segmen!$A$3:$A$6000,MATCH(C4071,Segmen!$D$3:$D$6000,0)),"")</f>
        <v/>
      </c>
      <c r="C4071">
        <f>IFERROR(LARGE(Segmen!$D$3:$D$6000,A4071),"")</f>
        <v/>
      </c>
    </row>
    <row r="4072">
      <c r="A4072" t="n">
        <v>4071</v>
      </c>
      <c r="B4072">
        <f>IFERROR(INDEX(Segmen!$A$3:$A$6000,MATCH(C4072,Segmen!$D$3:$D$6000,0)),"")</f>
        <v/>
      </c>
      <c r="C4072">
        <f>IFERROR(LARGE(Segmen!$D$3:$D$6000,A4072),"")</f>
        <v/>
      </c>
    </row>
    <row r="4073">
      <c r="A4073" t="n">
        <v>4072</v>
      </c>
      <c r="B4073">
        <f>IFERROR(INDEX(Segmen!$A$3:$A$6000,MATCH(C4073,Segmen!$D$3:$D$6000,0)),"")</f>
        <v/>
      </c>
      <c r="C4073">
        <f>IFERROR(LARGE(Segmen!$D$3:$D$6000,A4073),"")</f>
        <v/>
      </c>
    </row>
    <row r="4074">
      <c r="A4074" t="n">
        <v>4073</v>
      </c>
      <c r="B4074">
        <f>IFERROR(INDEX(Segmen!$A$3:$A$6000,MATCH(C4074,Segmen!$D$3:$D$6000,0)),"")</f>
        <v/>
      </c>
      <c r="C4074">
        <f>IFERROR(LARGE(Segmen!$D$3:$D$6000,A4074),"")</f>
        <v/>
      </c>
    </row>
    <row r="4075">
      <c r="A4075" t="n">
        <v>4074</v>
      </c>
      <c r="B4075">
        <f>IFERROR(INDEX(Segmen!$A$3:$A$6000,MATCH(C4075,Segmen!$D$3:$D$6000,0)),"")</f>
        <v/>
      </c>
      <c r="C4075">
        <f>IFERROR(LARGE(Segmen!$D$3:$D$6000,A4075),"")</f>
        <v/>
      </c>
    </row>
    <row r="4076">
      <c r="A4076" t="n">
        <v>4075</v>
      </c>
      <c r="B4076">
        <f>IFERROR(INDEX(Segmen!$A$3:$A$6000,MATCH(C4076,Segmen!$D$3:$D$6000,0)),"")</f>
        <v/>
      </c>
      <c r="C4076">
        <f>IFERROR(LARGE(Segmen!$D$3:$D$6000,A4076),"")</f>
        <v/>
      </c>
    </row>
    <row r="4077">
      <c r="A4077" t="n">
        <v>4076</v>
      </c>
      <c r="B4077">
        <f>IFERROR(INDEX(Segmen!$A$3:$A$6000,MATCH(C4077,Segmen!$D$3:$D$6000,0)),"")</f>
        <v/>
      </c>
      <c r="C4077">
        <f>IFERROR(LARGE(Segmen!$D$3:$D$6000,A4077),"")</f>
        <v/>
      </c>
    </row>
    <row r="4078">
      <c r="A4078" t="n">
        <v>4077</v>
      </c>
      <c r="B4078">
        <f>IFERROR(INDEX(Segmen!$A$3:$A$6000,MATCH(C4078,Segmen!$D$3:$D$6000,0)),"")</f>
        <v/>
      </c>
      <c r="C4078">
        <f>IFERROR(LARGE(Segmen!$D$3:$D$6000,A4078),"")</f>
        <v/>
      </c>
    </row>
    <row r="4079">
      <c r="A4079" t="n">
        <v>4078</v>
      </c>
      <c r="B4079">
        <f>IFERROR(INDEX(Segmen!$A$3:$A$6000,MATCH(C4079,Segmen!$D$3:$D$6000,0)),"")</f>
        <v/>
      </c>
      <c r="C4079">
        <f>IFERROR(LARGE(Segmen!$D$3:$D$6000,A4079),"")</f>
        <v/>
      </c>
    </row>
    <row r="4080">
      <c r="A4080" t="n">
        <v>4079</v>
      </c>
      <c r="B4080">
        <f>IFERROR(INDEX(Segmen!$A$3:$A$6000,MATCH(C4080,Segmen!$D$3:$D$6000,0)),"")</f>
        <v/>
      </c>
      <c r="C4080">
        <f>IFERROR(LARGE(Segmen!$D$3:$D$6000,A4080),"")</f>
        <v/>
      </c>
    </row>
    <row r="4081">
      <c r="A4081" t="n">
        <v>4080</v>
      </c>
      <c r="B4081">
        <f>IFERROR(INDEX(Segmen!$A$3:$A$6000,MATCH(C4081,Segmen!$D$3:$D$6000,0)),"")</f>
        <v/>
      </c>
      <c r="C4081">
        <f>IFERROR(LARGE(Segmen!$D$3:$D$6000,A4081),"")</f>
        <v/>
      </c>
    </row>
    <row r="4082">
      <c r="A4082" t="n">
        <v>4081</v>
      </c>
      <c r="B4082">
        <f>IFERROR(INDEX(Segmen!$A$3:$A$6000,MATCH(C4082,Segmen!$D$3:$D$6000,0)),"")</f>
        <v/>
      </c>
      <c r="C4082">
        <f>IFERROR(LARGE(Segmen!$D$3:$D$6000,A4082),"")</f>
        <v/>
      </c>
    </row>
    <row r="4083">
      <c r="A4083" t="n">
        <v>4082</v>
      </c>
      <c r="B4083">
        <f>IFERROR(INDEX(Segmen!$A$3:$A$6000,MATCH(C4083,Segmen!$D$3:$D$6000,0)),"")</f>
        <v/>
      </c>
      <c r="C4083">
        <f>IFERROR(LARGE(Segmen!$D$3:$D$6000,A4083),"")</f>
        <v/>
      </c>
    </row>
    <row r="4084">
      <c r="A4084" t="n">
        <v>4083</v>
      </c>
      <c r="B4084">
        <f>IFERROR(INDEX(Segmen!$A$3:$A$6000,MATCH(C4084,Segmen!$D$3:$D$6000,0)),"")</f>
        <v/>
      </c>
      <c r="C4084">
        <f>IFERROR(LARGE(Segmen!$D$3:$D$6000,A4084),"")</f>
        <v/>
      </c>
    </row>
    <row r="4085">
      <c r="A4085" t="n">
        <v>4084</v>
      </c>
      <c r="B4085">
        <f>IFERROR(INDEX(Segmen!$A$3:$A$6000,MATCH(C4085,Segmen!$D$3:$D$6000,0)),"")</f>
        <v/>
      </c>
      <c r="C4085">
        <f>IFERROR(LARGE(Segmen!$D$3:$D$6000,A4085),"")</f>
        <v/>
      </c>
    </row>
    <row r="4086">
      <c r="A4086" t="n">
        <v>4085</v>
      </c>
      <c r="B4086">
        <f>IFERROR(INDEX(Segmen!$A$3:$A$6000,MATCH(C4086,Segmen!$D$3:$D$6000,0)),"")</f>
        <v/>
      </c>
      <c r="C4086">
        <f>IFERROR(LARGE(Segmen!$D$3:$D$6000,A4086),"")</f>
        <v/>
      </c>
    </row>
    <row r="4087">
      <c r="A4087" t="n">
        <v>4086</v>
      </c>
      <c r="B4087">
        <f>IFERROR(INDEX(Segmen!$A$3:$A$6000,MATCH(C4087,Segmen!$D$3:$D$6000,0)),"")</f>
        <v/>
      </c>
      <c r="C4087">
        <f>IFERROR(LARGE(Segmen!$D$3:$D$6000,A4087),"")</f>
        <v/>
      </c>
    </row>
    <row r="4088">
      <c r="A4088" t="n">
        <v>4087</v>
      </c>
      <c r="B4088">
        <f>IFERROR(INDEX(Segmen!$A$3:$A$6000,MATCH(C4088,Segmen!$D$3:$D$6000,0)),"")</f>
        <v/>
      </c>
      <c r="C4088">
        <f>IFERROR(LARGE(Segmen!$D$3:$D$6000,A4088),"")</f>
        <v/>
      </c>
    </row>
    <row r="4089">
      <c r="A4089" t="n">
        <v>4088</v>
      </c>
      <c r="B4089">
        <f>IFERROR(INDEX(Segmen!$A$3:$A$6000,MATCH(C4089,Segmen!$D$3:$D$6000,0)),"")</f>
        <v/>
      </c>
      <c r="C4089">
        <f>IFERROR(LARGE(Segmen!$D$3:$D$6000,A4089),"")</f>
        <v/>
      </c>
    </row>
    <row r="4090">
      <c r="A4090" t="n">
        <v>4089</v>
      </c>
      <c r="B4090">
        <f>IFERROR(INDEX(Segmen!$A$3:$A$6000,MATCH(C4090,Segmen!$D$3:$D$6000,0)),"")</f>
        <v/>
      </c>
      <c r="C4090">
        <f>IFERROR(LARGE(Segmen!$D$3:$D$6000,A4090),"")</f>
        <v/>
      </c>
    </row>
    <row r="4091">
      <c r="A4091" t="n">
        <v>4090</v>
      </c>
      <c r="B4091">
        <f>IFERROR(INDEX(Segmen!$A$3:$A$6000,MATCH(C4091,Segmen!$D$3:$D$6000,0)),"")</f>
        <v/>
      </c>
      <c r="C4091">
        <f>IFERROR(LARGE(Segmen!$D$3:$D$6000,A4091),"")</f>
        <v/>
      </c>
    </row>
    <row r="4092">
      <c r="A4092" t="n">
        <v>4091</v>
      </c>
      <c r="B4092">
        <f>IFERROR(INDEX(Segmen!$A$3:$A$6000,MATCH(C4092,Segmen!$D$3:$D$6000,0)),"")</f>
        <v/>
      </c>
      <c r="C4092">
        <f>IFERROR(LARGE(Segmen!$D$3:$D$6000,A4092),"")</f>
        <v/>
      </c>
    </row>
    <row r="4093">
      <c r="A4093" t="n">
        <v>4092</v>
      </c>
      <c r="B4093">
        <f>IFERROR(INDEX(Segmen!$A$3:$A$6000,MATCH(C4093,Segmen!$D$3:$D$6000,0)),"")</f>
        <v/>
      </c>
      <c r="C4093">
        <f>IFERROR(LARGE(Segmen!$D$3:$D$6000,A4093),"")</f>
        <v/>
      </c>
    </row>
    <row r="4094">
      <c r="A4094" t="n">
        <v>4093</v>
      </c>
      <c r="B4094">
        <f>IFERROR(INDEX(Segmen!$A$3:$A$6000,MATCH(C4094,Segmen!$D$3:$D$6000,0)),"")</f>
        <v/>
      </c>
      <c r="C4094">
        <f>IFERROR(LARGE(Segmen!$D$3:$D$6000,A4094),"")</f>
        <v/>
      </c>
    </row>
    <row r="4095">
      <c r="A4095" t="n">
        <v>4094</v>
      </c>
      <c r="B4095">
        <f>IFERROR(INDEX(Segmen!$A$3:$A$6000,MATCH(C4095,Segmen!$D$3:$D$6000,0)),"")</f>
        <v/>
      </c>
      <c r="C4095">
        <f>IFERROR(LARGE(Segmen!$D$3:$D$6000,A4095),"")</f>
        <v/>
      </c>
    </row>
    <row r="4096">
      <c r="A4096" t="n">
        <v>4095</v>
      </c>
      <c r="B4096">
        <f>IFERROR(INDEX(Segmen!$A$3:$A$6000,MATCH(C4096,Segmen!$D$3:$D$6000,0)),"")</f>
        <v/>
      </c>
      <c r="C4096">
        <f>IFERROR(LARGE(Segmen!$D$3:$D$6000,A4096),"")</f>
        <v/>
      </c>
    </row>
    <row r="4097">
      <c r="A4097" t="n">
        <v>4096</v>
      </c>
      <c r="B4097">
        <f>IFERROR(INDEX(Segmen!$A$3:$A$6000,MATCH(C4097,Segmen!$D$3:$D$6000,0)),"")</f>
        <v/>
      </c>
      <c r="C4097">
        <f>IFERROR(LARGE(Segmen!$D$3:$D$6000,A4097),"")</f>
        <v/>
      </c>
    </row>
    <row r="4098">
      <c r="A4098" t="n">
        <v>4097</v>
      </c>
      <c r="B4098">
        <f>IFERROR(INDEX(Segmen!$A$3:$A$6000,MATCH(C4098,Segmen!$D$3:$D$6000,0)),"")</f>
        <v/>
      </c>
      <c r="C4098">
        <f>IFERROR(LARGE(Segmen!$D$3:$D$6000,A4098),"")</f>
        <v/>
      </c>
    </row>
    <row r="4099">
      <c r="A4099" t="n">
        <v>4098</v>
      </c>
      <c r="B4099">
        <f>IFERROR(INDEX(Segmen!$A$3:$A$6000,MATCH(C4099,Segmen!$D$3:$D$6000,0)),"")</f>
        <v/>
      </c>
      <c r="C4099">
        <f>IFERROR(LARGE(Segmen!$D$3:$D$6000,A4099),"")</f>
        <v/>
      </c>
    </row>
    <row r="4100">
      <c r="A4100" t="n">
        <v>4099</v>
      </c>
      <c r="B4100">
        <f>IFERROR(INDEX(Segmen!$A$3:$A$6000,MATCH(C4100,Segmen!$D$3:$D$6000,0)),"")</f>
        <v/>
      </c>
      <c r="C4100">
        <f>IFERROR(LARGE(Segmen!$D$3:$D$6000,A4100),"")</f>
        <v/>
      </c>
    </row>
    <row r="4101">
      <c r="A4101" t="n">
        <v>4100</v>
      </c>
      <c r="B4101">
        <f>IFERROR(INDEX(Segmen!$A$3:$A$6000,MATCH(C4101,Segmen!$D$3:$D$6000,0)),"")</f>
        <v/>
      </c>
      <c r="C4101">
        <f>IFERROR(LARGE(Segmen!$D$3:$D$6000,A4101),"")</f>
        <v/>
      </c>
    </row>
    <row r="4102">
      <c r="A4102" t="n">
        <v>4101</v>
      </c>
      <c r="B4102">
        <f>IFERROR(INDEX(Segmen!$A$3:$A$6000,MATCH(C4102,Segmen!$D$3:$D$6000,0)),"")</f>
        <v/>
      </c>
      <c r="C4102">
        <f>IFERROR(LARGE(Segmen!$D$3:$D$6000,A4102),"")</f>
        <v/>
      </c>
    </row>
    <row r="4103">
      <c r="A4103" t="n">
        <v>4102</v>
      </c>
      <c r="B4103">
        <f>IFERROR(INDEX(Segmen!$A$3:$A$6000,MATCH(C4103,Segmen!$D$3:$D$6000,0)),"")</f>
        <v/>
      </c>
      <c r="C4103">
        <f>IFERROR(LARGE(Segmen!$D$3:$D$6000,A4103),"")</f>
        <v/>
      </c>
    </row>
    <row r="4104">
      <c r="A4104" t="n">
        <v>4103</v>
      </c>
      <c r="B4104">
        <f>IFERROR(INDEX(Segmen!$A$3:$A$6000,MATCH(C4104,Segmen!$D$3:$D$6000,0)),"")</f>
        <v/>
      </c>
      <c r="C4104">
        <f>IFERROR(LARGE(Segmen!$D$3:$D$6000,A4104),"")</f>
        <v/>
      </c>
    </row>
    <row r="4105">
      <c r="A4105" t="n">
        <v>4104</v>
      </c>
      <c r="B4105">
        <f>IFERROR(INDEX(Segmen!$A$3:$A$6000,MATCH(C4105,Segmen!$D$3:$D$6000,0)),"")</f>
        <v/>
      </c>
      <c r="C4105">
        <f>IFERROR(LARGE(Segmen!$D$3:$D$6000,A4105),"")</f>
        <v/>
      </c>
    </row>
    <row r="4106">
      <c r="A4106" t="n">
        <v>4105</v>
      </c>
      <c r="B4106">
        <f>IFERROR(INDEX(Segmen!$A$3:$A$6000,MATCH(C4106,Segmen!$D$3:$D$6000,0)),"")</f>
        <v/>
      </c>
      <c r="C4106">
        <f>IFERROR(LARGE(Segmen!$D$3:$D$6000,A4106),"")</f>
        <v/>
      </c>
    </row>
    <row r="4107">
      <c r="A4107" t="n">
        <v>4106</v>
      </c>
      <c r="B4107">
        <f>IFERROR(INDEX(Segmen!$A$3:$A$6000,MATCH(C4107,Segmen!$D$3:$D$6000,0)),"")</f>
        <v/>
      </c>
      <c r="C4107">
        <f>IFERROR(LARGE(Segmen!$D$3:$D$6000,A4107),"")</f>
        <v/>
      </c>
    </row>
    <row r="4108">
      <c r="A4108" t="n">
        <v>4107</v>
      </c>
      <c r="B4108">
        <f>IFERROR(INDEX(Segmen!$A$3:$A$6000,MATCH(C4108,Segmen!$D$3:$D$6000,0)),"")</f>
        <v/>
      </c>
      <c r="C4108">
        <f>IFERROR(LARGE(Segmen!$D$3:$D$6000,A4108),"")</f>
        <v/>
      </c>
    </row>
    <row r="4109">
      <c r="A4109" t="n">
        <v>4108</v>
      </c>
      <c r="B4109">
        <f>IFERROR(INDEX(Segmen!$A$3:$A$6000,MATCH(C4109,Segmen!$D$3:$D$6000,0)),"")</f>
        <v/>
      </c>
      <c r="C4109">
        <f>IFERROR(LARGE(Segmen!$D$3:$D$6000,A4109),"")</f>
        <v/>
      </c>
    </row>
    <row r="4110">
      <c r="A4110" t="n">
        <v>4109</v>
      </c>
      <c r="B4110">
        <f>IFERROR(INDEX(Segmen!$A$3:$A$6000,MATCH(C4110,Segmen!$D$3:$D$6000,0)),"")</f>
        <v/>
      </c>
      <c r="C4110">
        <f>IFERROR(LARGE(Segmen!$D$3:$D$6000,A4110),"")</f>
        <v/>
      </c>
    </row>
    <row r="4111">
      <c r="A4111" t="n">
        <v>4110</v>
      </c>
      <c r="B4111">
        <f>IFERROR(INDEX(Segmen!$A$3:$A$6000,MATCH(C4111,Segmen!$D$3:$D$6000,0)),"")</f>
        <v/>
      </c>
      <c r="C4111">
        <f>IFERROR(LARGE(Segmen!$D$3:$D$6000,A4111),"")</f>
        <v/>
      </c>
    </row>
    <row r="4112">
      <c r="A4112" t="n">
        <v>4111</v>
      </c>
      <c r="B4112">
        <f>IFERROR(INDEX(Segmen!$A$3:$A$6000,MATCH(C4112,Segmen!$D$3:$D$6000,0)),"")</f>
        <v/>
      </c>
      <c r="C4112">
        <f>IFERROR(LARGE(Segmen!$D$3:$D$6000,A4112),"")</f>
        <v/>
      </c>
    </row>
    <row r="4113">
      <c r="A4113" t="n">
        <v>4112</v>
      </c>
      <c r="B4113">
        <f>IFERROR(INDEX(Segmen!$A$3:$A$6000,MATCH(C4113,Segmen!$D$3:$D$6000,0)),"")</f>
        <v/>
      </c>
      <c r="C4113">
        <f>IFERROR(LARGE(Segmen!$D$3:$D$6000,A4113),"")</f>
        <v/>
      </c>
    </row>
    <row r="4114">
      <c r="A4114" t="n">
        <v>4113</v>
      </c>
      <c r="B4114">
        <f>IFERROR(INDEX(Segmen!$A$3:$A$6000,MATCH(C4114,Segmen!$D$3:$D$6000,0)),"")</f>
        <v/>
      </c>
      <c r="C4114">
        <f>IFERROR(LARGE(Segmen!$D$3:$D$6000,A4114),"")</f>
        <v/>
      </c>
    </row>
    <row r="4115">
      <c r="A4115" t="n">
        <v>4114</v>
      </c>
      <c r="B4115">
        <f>IFERROR(INDEX(Segmen!$A$3:$A$6000,MATCH(C4115,Segmen!$D$3:$D$6000,0)),"")</f>
        <v/>
      </c>
      <c r="C4115">
        <f>IFERROR(LARGE(Segmen!$D$3:$D$6000,A4115),"")</f>
        <v/>
      </c>
    </row>
    <row r="4116">
      <c r="A4116" t="n">
        <v>4115</v>
      </c>
      <c r="B4116">
        <f>IFERROR(INDEX(Segmen!$A$3:$A$6000,MATCH(C4116,Segmen!$D$3:$D$6000,0)),"")</f>
        <v/>
      </c>
      <c r="C4116">
        <f>IFERROR(LARGE(Segmen!$D$3:$D$6000,A4116),"")</f>
        <v/>
      </c>
    </row>
    <row r="4117">
      <c r="A4117" t="n">
        <v>4116</v>
      </c>
      <c r="B4117">
        <f>IFERROR(INDEX(Segmen!$A$3:$A$6000,MATCH(C4117,Segmen!$D$3:$D$6000,0)),"")</f>
        <v/>
      </c>
      <c r="C4117">
        <f>IFERROR(LARGE(Segmen!$D$3:$D$6000,A4117),"")</f>
        <v/>
      </c>
    </row>
    <row r="4118">
      <c r="A4118" t="n">
        <v>4117</v>
      </c>
      <c r="B4118">
        <f>IFERROR(INDEX(Segmen!$A$3:$A$6000,MATCH(C4118,Segmen!$D$3:$D$6000,0)),"")</f>
        <v/>
      </c>
      <c r="C4118">
        <f>IFERROR(LARGE(Segmen!$D$3:$D$6000,A4118),"")</f>
        <v/>
      </c>
    </row>
    <row r="4119">
      <c r="A4119" t="n">
        <v>4118</v>
      </c>
      <c r="B4119">
        <f>IFERROR(INDEX(Segmen!$A$3:$A$6000,MATCH(C4119,Segmen!$D$3:$D$6000,0)),"")</f>
        <v/>
      </c>
      <c r="C4119">
        <f>IFERROR(LARGE(Segmen!$D$3:$D$6000,A4119),"")</f>
        <v/>
      </c>
    </row>
    <row r="4120">
      <c r="A4120" t="n">
        <v>4119</v>
      </c>
      <c r="B4120">
        <f>IFERROR(INDEX(Segmen!$A$3:$A$6000,MATCH(C4120,Segmen!$D$3:$D$6000,0)),"")</f>
        <v/>
      </c>
      <c r="C4120">
        <f>IFERROR(LARGE(Segmen!$D$3:$D$6000,A4120),"")</f>
        <v/>
      </c>
    </row>
    <row r="4121">
      <c r="A4121" t="n">
        <v>4120</v>
      </c>
      <c r="B4121">
        <f>IFERROR(INDEX(Segmen!$A$3:$A$6000,MATCH(C4121,Segmen!$D$3:$D$6000,0)),"")</f>
        <v/>
      </c>
      <c r="C4121">
        <f>IFERROR(LARGE(Segmen!$D$3:$D$6000,A4121),"")</f>
        <v/>
      </c>
    </row>
    <row r="4122">
      <c r="A4122" t="n">
        <v>4121</v>
      </c>
      <c r="B4122">
        <f>IFERROR(INDEX(Segmen!$A$3:$A$6000,MATCH(C4122,Segmen!$D$3:$D$6000,0)),"")</f>
        <v/>
      </c>
      <c r="C4122">
        <f>IFERROR(LARGE(Segmen!$D$3:$D$6000,A4122),"")</f>
        <v/>
      </c>
    </row>
    <row r="4123">
      <c r="A4123" t="n">
        <v>4122</v>
      </c>
      <c r="B4123">
        <f>IFERROR(INDEX(Segmen!$A$3:$A$6000,MATCH(C4123,Segmen!$D$3:$D$6000,0)),"")</f>
        <v/>
      </c>
      <c r="C4123">
        <f>IFERROR(LARGE(Segmen!$D$3:$D$6000,A4123),"")</f>
        <v/>
      </c>
    </row>
    <row r="4124">
      <c r="A4124" t="n">
        <v>4123</v>
      </c>
      <c r="B4124">
        <f>IFERROR(INDEX(Segmen!$A$3:$A$6000,MATCH(C4124,Segmen!$D$3:$D$6000,0)),"")</f>
        <v/>
      </c>
      <c r="C4124">
        <f>IFERROR(LARGE(Segmen!$D$3:$D$6000,A4124),"")</f>
        <v/>
      </c>
    </row>
    <row r="4125">
      <c r="A4125" t="n">
        <v>4124</v>
      </c>
      <c r="B4125">
        <f>IFERROR(INDEX(Segmen!$A$3:$A$6000,MATCH(C4125,Segmen!$D$3:$D$6000,0)),"")</f>
        <v/>
      </c>
      <c r="C4125">
        <f>IFERROR(LARGE(Segmen!$D$3:$D$6000,A4125),"")</f>
        <v/>
      </c>
    </row>
    <row r="4126">
      <c r="A4126" t="n">
        <v>4125</v>
      </c>
      <c r="B4126">
        <f>IFERROR(INDEX(Segmen!$A$3:$A$6000,MATCH(C4126,Segmen!$D$3:$D$6000,0)),"")</f>
        <v/>
      </c>
      <c r="C4126">
        <f>IFERROR(LARGE(Segmen!$D$3:$D$6000,A4126),"")</f>
        <v/>
      </c>
    </row>
    <row r="4127">
      <c r="A4127" t="n">
        <v>4126</v>
      </c>
      <c r="B4127">
        <f>IFERROR(INDEX(Segmen!$A$3:$A$6000,MATCH(C4127,Segmen!$D$3:$D$6000,0)),"")</f>
        <v/>
      </c>
      <c r="C4127">
        <f>IFERROR(LARGE(Segmen!$D$3:$D$6000,A4127),"")</f>
        <v/>
      </c>
    </row>
    <row r="4128">
      <c r="A4128" t="n">
        <v>4127</v>
      </c>
      <c r="B4128">
        <f>IFERROR(INDEX(Segmen!$A$3:$A$6000,MATCH(C4128,Segmen!$D$3:$D$6000,0)),"")</f>
        <v/>
      </c>
      <c r="C4128">
        <f>IFERROR(LARGE(Segmen!$D$3:$D$6000,A4128),"")</f>
        <v/>
      </c>
    </row>
    <row r="4129">
      <c r="A4129" t="n">
        <v>4128</v>
      </c>
      <c r="B4129">
        <f>IFERROR(INDEX(Segmen!$A$3:$A$6000,MATCH(C4129,Segmen!$D$3:$D$6000,0)),"")</f>
        <v/>
      </c>
      <c r="C4129">
        <f>IFERROR(LARGE(Segmen!$D$3:$D$6000,A4129),"")</f>
        <v/>
      </c>
    </row>
    <row r="4130">
      <c r="A4130" t="n">
        <v>4129</v>
      </c>
      <c r="B4130">
        <f>IFERROR(INDEX(Segmen!$A$3:$A$6000,MATCH(C4130,Segmen!$D$3:$D$6000,0)),"")</f>
        <v/>
      </c>
      <c r="C4130">
        <f>IFERROR(LARGE(Segmen!$D$3:$D$6000,A4130),"")</f>
        <v/>
      </c>
    </row>
    <row r="4131">
      <c r="A4131" t="n">
        <v>4130</v>
      </c>
      <c r="B4131">
        <f>IFERROR(INDEX(Segmen!$A$3:$A$6000,MATCH(C4131,Segmen!$D$3:$D$6000,0)),"")</f>
        <v/>
      </c>
      <c r="C4131">
        <f>IFERROR(LARGE(Segmen!$D$3:$D$6000,A4131),"")</f>
        <v/>
      </c>
    </row>
    <row r="4132">
      <c r="A4132" t="n">
        <v>4131</v>
      </c>
      <c r="B4132">
        <f>IFERROR(INDEX(Segmen!$A$3:$A$6000,MATCH(C4132,Segmen!$D$3:$D$6000,0)),"")</f>
        <v/>
      </c>
      <c r="C4132">
        <f>IFERROR(LARGE(Segmen!$D$3:$D$6000,A4132),"")</f>
        <v/>
      </c>
    </row>
    <row r="4133">
      <c r="A4133" t="n">
        <v>4132</v>
      </c>
      <c r="B4133">
        <f>IFERROR(INDEX(Segmen!$A$3:$A$6000,MATCH(C4133,Segmen!$D$3:$D$6000,0)),"")</f>
        <v/>
      </c>
      <c r="C4133">
        <f>IFERROR(LARGE(Segmen!$D$3:$D$6000,A4133),"")</f>
        <v/>
      </c>
    </row>
    <row r="4134">
      <c r="A4134" t="n">
        <v>4133</v>
      </c>
      <c r="B4134">
        <f>IFERROR(INDEX(Segmen!$A$3:$A$6000,MATCH(C4134,Segmen!$D$3:$D$6000,0)),"")</f>
        <v/>
      </c>
      <c r="C4134">
        <f>IFERROR(LARGE(Segmen!$D$3:$D$6000,A4134),"")</f>
        <v/>
      </c>
    </row>
    <row r="4135">
      <c r="A4135" t="n">
        <v>4134</v>
      </c>
      <c r="B4135">
        <f>IFERROR(INDEX(Segmen!$A$3:$A$6000,MATCH(C4135,Segmen!$D$3:$D$6000,0)),"")</f>
        <v/>
      </c>
      <c r="C4135">
        <f>IFERROR(LARGE(Segmen!$D$3:$D$6000,A4135),"")</f>
        <v/>
      </c>
    </row>
    <row r="4136">
      <c r="A4136" t="n">
        <v>4135</v>
      </c>
      <c r="B4136">
        <f>IFERROR(INDEX(Segmen!$A$3:$A$6000,MATCH(C4136,Segmen!$D$3:$D$6000,0)),"")</f>
        <v/>
      </c>
      <c r="C4136">
        <f>IFERROR(LARGE(Segmen!$D$3:$D$6000,A4136),"")</f>
        <v/>
      </c>
    </row>
    <row r="4137">
      <c r="A4137" t="n">
        <v>4136</v>
      </c>
      <c r="B4137">
        <f>IFERROR(INDEX(Segmen!$A$3:$A$6000,MATCH(C4137,Segmen!$D$3:$D$6000,0)),"")</f>
        <v/>
      </c>
      <c r="C4137">
        <f>IFERROR(LARGE(Segmen!$D$3:$D$6000,A4137),"")</f>
        <v/>
      </c>
    </row>
    <row r="4138">
      <c r="A4138" t="n">
        <v>4137</v>
      </c>
      <c r="B4138">
        <f>IFERROR(INDEX(Segmen!$A$3:$A$6000,MATCH(C4138,Segmen!$D$3:$D$6000,0)),"")</f>
        <v/>
      </c>
      <c r="C4138">
        <f>IFERROR(LARGE(Segmen!$D$3:$D$6000,A4138),"")</f>
        <v/>
      </c>
    </row>
    <row r="4139">
      <c r="A4139" t="n">
        <v>4138</v>
      </c>
      <c r="B4139">
        <f>IFERROR(INDEX(Segmen!$A$3:$A$6000,MATCH(C4139,Segmen!$D$3:$D$6000,0)),"")</f>
        <v/>
      </c>
      <c r="C4139">
        <f>IFERROR(LARGE(Segmen!$D$3:$D$6000,A4139),"")</f>
        <v/>
      </c>
    </row>
    <row r="4140">
      <c r="A4140" t="n">
        <v>4139</v>
      </c>
      <c r="B4140">
        <f>IFERROR(INDEX(Segmen!$A$3:$A$6000,MATCH(C4140,Segmen!$D$3:$D$6000,0)),"")</f>
        <v/>
      </c>
      <c r="C4140">
        <f>IFERROR(LARGE(Segmen!$D$3:$D$6000,A4140),"")</f>
        <v/>
      </c>
    </row>
    <row r="4141">
      <c r="A4141" t="n">
        <v>4140</v>
      </c>
      <c r="B4141">
        <f>IFERROR(INDEX(Segmen!$A$3:$A$6000,MATCH(C4141,Segmen!$D$3:$D$6000,0)),"")</f>
        <v/>
      </c>
      <c r="C4141">
        <f>IFERROR(LARGE(Segmen!$D$3:$D$6000,A4141),"")</f>
        <v/>
      </c>
    </row>
    <row r="4142">
      <c r="A4142" t="n">
        <v>4141</v>
      </c>
      <c r="B4142">
        <f>IFERROR(INDEX(Segmen!$A$3:$A$6000,MATCH(C4142,Segmen!$D$3:$D$6000,0)),"")</f>
        <v/>
      </c>
      <c r="C4142">
        <f>IFERROR(LARGE(Segmen!$D$3:$D$6000,A4142),"")</f>
        <v/>
      </c>
    </row>
    <row r="4143">
      <c r="A4143" t="n">
        <v>4142</v>
      </c>
      <c r="B4143">
        <f>IFERROR(INDEX(Segmen!$A$3:$A$6000,MATCH(C4143,Segmen!$D$3:$D$6000,0)),"")</f>
        <v/>
      </c>
      <c r="C4143">
        <f>IFERROR(LARGE(Segmen!$D$3:$D$6000,A4143),"")</f>
        <v/>
      </c>
    </row>
    <row r="4144">
      <c r="A4144" t="n">
        <v>4143</v>
      </c>
      <c r="B4144">
        <f>IFERROR(INDEX(Segmen!$A$3:$A$6000,MATCH(C4144,Segmen!$D$3:$D$6000,0)),"")</f>
        <v/>
      </c>
      <c r="C4144">
        <f>IFERROR(LARGE(Segmen!$D$3:$D$6000,A4144),"")</f>
        <v/>
      </c>
    </row>
    <row r="4145">
      <c r="A4145" t="n">
        <v>4144</v>
      </c>
      <c r="B4145">
        <f>IFERROR(INDEX(Segmen!$A$3:$A$6000,MATCH(C4145,Segmen!$D$3:$D$6000,0)),"")</f>
        <v/>
      </c>
      <c r="C4145">
        <f>IFERROR(LARGE(Segmen!$D$3:$D$6000,A4145),"")</f>
        <v/>
      </c>
    </row>
    <row r="4146">
      <c r="A4146" t="n">
        <v>4145</v>
      </c>
      <c r="B4146">
        <f>IFERROR(INDEX(Segmen!$A$3:$A$6000,MATCH(C4146,Segmen!$D$3:$D$6000,0)),"")</f>
        <v/>
      </c>
      <c r="C4146">
        <f>IFERROR(LARGE(Segmen!$D$3:$D$6000,A4146),"")</f>
        <v/>
      </c>
    </row>
    <row r="4147">
      <c r="A4147" t="n">
        <v>4146</v>
      </c>
      <c r="B4147">
        <f>IFERROR(INDEX(Segmen!$A$3:$A$6000,MATCH(C4147,Segmen!$D$3:$D$6000,0)),"")</f>
        <v/>
      </c>
      <c r="C4147">
        <f>IFERROR(LARGE(Segmen!$D$3:$D$6000,A4147),"")</f>
        <v/>
      </c>
    </row>
    <row r="4148">
      <c r="A4148" t="n">
        <v>4147</v>
      </c>
      <c r="B4148">
        <f>IFERROR(INDEX(Segmen!$A$3:$A$6000,MATCH(C4148,Segmen!$D$3:$D$6000,0)),"")</f>
        <v/>
      </c>
      <c r="C4148">
        <f>IFERROR(LARGE(Segmen!$D$3:$D$6000,A4148),"")</f>
        <v/>
      </c>
    </row>
    <row r="4149">
      <c r="A4149" t="n">
        <v>4148</v>
      </c>
      <c r="B4149">
        <f>IFERROR(INDEX(Segmen!$A$3:$A$6000,MATCH(C4149,Segmen!$D$3:$D$6000,0)),"")</f>
        <v/>
      </c>
      <c r="C4149">
        <f>IFERROR(LARGE(Segmen!$D$3:$D$6000,A4149),"")</f>
        <v/>
      </c>
    </row>
    <row r="4150">
      <c r="A4150" t="n">
        <v>4149</v>
      </c>
      <c r="B4150">
        <f>IFERROR(INDEX(Segmen!$A$3:$A$6000,MATCH(C4150,Segmen!$D$3:$D$6000,0)),"")</f>
        <v/>
      </c>
      <c r="C4150">
        <f>IFERROR(LARGE(Segmen!$D$3:$D$6000,A4150),"")</f>
        <v/>
      </c>
    </row>
    <row r="4151">
      <c r="A4151" t="n">
        <v>4150</v>
      </c>
      <c r="B4151">
        <f>IFERROR(INDEX(Segmen!$A$3:$A$6000,MATCH(C4151,Segmen!$D$3:$D$6000,0)),"")</f>
        <v/>
      </c>
      <c r="C4151">
        <f>IFERROR(LARGE(Segmen!$D$3:$D$6000,A4151),"")</f>
        <v/>
      </c>
    </row>
    <row r="4152">
      <c r="A4152" t="n">
        <v>4151</v>
      </c>
      <c r="B4152">
        <f>IFERROR(INDEX(Segmen!$A$3:$A$6000,MATCH(C4152,Segmen!$D$3:$D$6000,0)),"")</f>
        <v/>
      </c>
      <c r="C4152">
        <f>IFERROR(LARGE(Segmen!$D$3:$D$6000,A4152),"")</f>
        <v/>
      </c>
    </row>
    <row r="4153">
      <c r="A4153" t="n">
        <v>4152</v>
      </c>
      <c r="B4153">
        <f>IFERROR(INDEX(Segmen!$A$3:$A$6000,MATCH(C4153,Segmen!$D$3:$D$6000,0)),"")</f>
        <v/>
      </c>
      <c r="C4153">
        <f>IFERROR(LARGE(Segmen!$D$3:$D$6000,A4153),"")</f>
        <v/>
      </c>
    </row>
    <row r="4154">
      <c r="A4154" t="n">
        <v>4153</v>
      </c>
      <c r="B4154">
        <f>IFERROR(INDEX(Segmen!$A$3:$A$6000,MATCH(C4154,Segmen!$D$3:$D$6000,0)),"")</f>
        <v/>
      </c>
      <c r="C4154">
        <f>IFERROR(LARGE(Segmen!$D$3:$D$6000,A4154),"")</f>
        <v/>
      </c>
    </row>
    <row r="4155">
      <c r="A4155" t="n">
        <v>4154</v>
      </c>
      <c r="B4155">
        <f>IFERROR(INDEX(Segmen!$A$3:$A$6000,MATCH(C4155,Segmen!$D$3:$D$6000,0)),"")</f>
        <v/>
      </c>
      <c r="C4155">
        <f>IFERROR(LARGE(Segmen!$D$3:$D$6000,A4155),"")</f>
        <v/>
      </c>
    </row>
    <row r="4156">
      <c r="A4156" t="n">
        <v>4155</v>
      </c>
      <c r="B4156">
        <f>IFERROR(INDEX(Segmen!$A$3:$A$6000,MATCH(C4156,Segmen!$D$3:$D$6000,0)),"")</f>
        <v/>
      </c>
      <c r="C4156">
        <f>IFERROR(LARGE(Segmen!$D$3:$D$6000,A4156),"")</f>
        <v/>
      </c>
    </row>
    <row r="4157">
      <c r="A4157" t="n">
        <v>4156</v>
      </c>
      <c r="B4157">
        <f>IFERROR(INDEX(Segmen!$A$3:$A$6000,MATCH(C4157,Segmen!$D$3:$D$6000,0)),"")</f>
        <v/>
      </c>
      <c r="C4157">
        <f>IFERROR(LARGE(Segmen!$D$3:$D$6000,A4157),"")</f>
        <v/>
      </c>
    </row>
    <row r="4158">
      <c r="A4158" t="n">
        <v>4157</v>
      </c>
      <c r="B4158">
        <f>IFERROR(INDEX(Segmen!$A$3:$A$6000,MATCH(C4158,Segmen!$D$3:$D$6000,0)),"")</f>
        <v/>
      </c>
      <c r="C4158">
        <f>IFERROR(LARGE(Segmen!$D$3:$D$6000,A4158),"")</f>
        <v/>
      </c>
    </row>
    <row r="4159">
      <c r="A4159" t="n">
        <v>4158</v>
      </c>
      <c r="B4159">
        <f>IFERROR(INDEX(Segmen!$A$3:$A$6000,MATCH(C4159,Segmen!$D$3:$D$6000,0)),"")</f>
        <v/>
      </c>
      <c r="C4159">
        <f>IFERROR(LARGE(Segmen!$D$3:$D$6000,A4159),"")</f>
        <v/>
      </c>
    </row>
    <row r="4160">
      <c r="A4160" t="n">
        <v>4159</v>
      </c>
      <c r="B4160">
        <f>IFERROR(INDEX(Segmen!$A$3:$A$6000,MATCH(C4160,Segmen!$D$3:$D$6000,0)),"")</f>
        <v/>
      </c>
      <c r="C4160">
        <f>IFERROR(LARGE(Segmen!$D$3:$D$6000,A4160),"")</f>
        <v/>
      </c>
    </row>
    <row r="4161">
      <c r="A4161" t="n">
        <v>4160</v>
      </c>
      <c r="B4161">
        <f>IFERROR(INDEX(Segmen!$A$3:$A$6000,MATCH(C4161,Segmen!$D$3:$D$6000,0)),"")</f>
        <v/>
      </c>
      <c r="C4161">
        <f>IFERROR(LARGE(Segmen!$D$3:$D$6000,A4161),"")</f>
        <v/>
      </c>
    </row>
    <row r="4162">
      <c r="A4162" t="n">
        <v>4161</v>
      </c>
      <c r="B4162">
        <f>IFERROR(INDEX(Segmen!$A$3:$A$6000,MATCH(C4162,Segmen!$D$3:$D$6000,0)),"")</f>
        <v/>
      </c>
      <c r="C4162">
        <f>IFERROR(LARGE(Segmen!$D$3:$D$6000,A4162),"")</f>
        <v/>
      </c>
    </row>
    <row r="4163">
      <c r="A4163" t="n">
        <v>4162</v>
      </c>
      <c r="B4163">
        <f>IFERROR(INDEX(Segmen!$A$3:$A$6000,MATCH(C4163,Segmen!$D$3:$D$6000,0)),"")</f>
        <v/>
      </c>
      <c r="C4163">
        <f>IFERROR(LARGE(Segmen!$D$3:$D$6000,A4163),"")</f>
        <v/>
      </c>
    </row>
    <row r="4164">
      <c r="A4164" t="n">
        <v>4163</v>
      </c>
      <c r="B4164">
        <f>IFERROR(INDEX(Segmen!$A$3:$A$6000,MATCH(C4164,Segmen!$D$3:$D$6000,0)),"")</f>
        <v/>
      </c>
      <c r="C4164">
        <f>IFERROR(LARGE(Segmen!$D$3:$D$6000,A4164),"")</f>
        <v/>
      </c>
    </row>
    <row r="4165">
      <c r="A4165" t="n">
        <v>4164</v>
      </c>
      <c r="B4165">
        <f>IFERROR(INDEX(Segmen!$A$3:$A$6000,MATCH(C4165,Segmen!$D$3:$D$6000,0)),"")</f>
        <v/>
      </c>
      <c r="C4165">
        <f>IFERROR(LARGE(Segmen!$D$3:$D$6000,A4165),"")</f>
        <v/>
      </c>
    </row>
    <row r="4166">
      <c r="A4166" t="n">
        <v>4165</v>
      </c>
      <c r="B4166">
        <f>IFERROR(INDEX(Segmen!$A$3:$A$6000,MATCH(C4166,Segmen!$D$3:$D$6000,0)),"")</f>
        <v/>
      </c>
      <c r="C4166">
        <f>IFERROR(LARGE(Segmen!$D$3:$D$6000,A4166),"")</f>
        <v/>
      </c>
    </row>
    <row r="4167">
      <c r="A4167" t="n">
        <v>4166</v>
      </c>
      <c r="B4167">
        <f>IFERROR(INDEX(Segmen!$A$3:$A$6000,MATCH(C4167,Segmen!$D$3:$D$6000,0)),"")</f>
        <v/>
      </c>
      <c r="C4167">
        <f>IFERROR(LARGE(Segmen!$D$3:$D$6000,A4167),"")</f>
        <v/>
      </c>
    </row>
    <row r="4168">
      <c r="A4168" t="n">
        <v>4167</v>
      </c>
      <c r="B4168">
        <f>IFERROR(INDEX(Segmen!$A$3:$A$6000,MATCH(C4168,Segmen!$D$3:$D$6000,0)),"")</f>
        <v/>
      </c>
      <c r="C4168">
        <f>IFERROR(LARGE(Segmen!$D$3:$D$6000,A4168),"")</f>
        <v/>
      </c>
    </row>
    <row r="4169">
      <c r="A4169" t="n">
        <v>4168</v>
      </c>
      <c r="B4169">
        <f>IFERROR(INDEX(Segmen!$A$3:$A$6000,MATCH(C4169,Segmen!$D$3:$D$6000,0)),"")</f>
        <v/>
      </c>
      <c r="C4169">
        <f>IFERROR(LARGE(Segmen!$D$3:$D$6000,A4169),"")</f>
        <v/>
      </c>
    </row>
    <row r="4170">
      <c r="A4170" t="n">
        <v>4169</v>
      </c>
      <c r="B4170">
        <f>IFERROR(INDEX(Segmen!$A$3:$A$6000,MATCH(C4170,Segmen!$D$3:$D$6000,0)),"")</f>
        <v/>
      </c>
      <c r="C4170">
        <f>IFERROR(LARGE(Segmen!$D$3:$D$6000,A4170),"")</f>
        <v/>
      </c>
    </row>
    <row r="4171">
      <c r="A4171" t="n">
        <v>4170</v>
      </c>
      <c r="B4171">
        <f>IFERROR(INDEX(Segmen!$A$3:$A$6000,MATCH(C4171,Segmen!$D$3:$D$6000,0)),"")</f>
        <v/>
      </c>
      <c r="C4171">
        <f>IFERROR(LARGE(Segmen!$D$3:$D$6000,A4171),"")</f>
        <v/>
      </c>
    </row>
    <row r="4172">
      <c r="A4172" t="n">
        <v>4171</v>
      </c>
      <c r="B4172">
        <f>IFERROR(INDEX(Segmen!$A$3:$A$6000,MATCH(C4172,Segmen!$D$3:$D$6000,0)),"")</f>
        <v/>
      </c>
      <c r="C4172">
        <f>IFERROR(LARGE(Segmen!$D$3:$D$6000,A4172),"")</f>
        <v/>
      </c>
    </row>
    <row r="4173">
      <c r="A4173" t="n">
        <v>4172</v>
      </c>
      <c r="B4173">
        <f>IFERROR(INDEX(Segmen!$A$3:$A$6000,MATCH(C4173,Segmen!$D$3:$D$6000,0)),"")</f>
        <v/>
      </c>
      <c r="C4173">
        <f>IFERROR(LARGE(Segmen!$D$3:$D$6000,A4173),"")</f>
        <v/>
      </c>
    </row>
    <row r="4174">
      <c r="A4174" t="n">
        <v>4173</v>
      </c>
      <c r="B4174">
        <f>IFERROR(INDEX(Segmen!$A$3:$A$6000,MATCH(C4174,Segmen!$D$3:$D$6000,0)),"")</f>
        <v/>
      </c>
      <c r="C4174">
        <f>IFERROR(LARGE(Segmen!$D$3:$D$6000,A4174),"")</f>
        <v/>
      </c>
    </row>
    <row r="4175">
      <c r="A4175" t="n">
        <v>4174</v>
      </c>
      <c r="B4175">
        <f>IFERROR(INDEX(Segmen!$A$3:$A$6000,MATCH(C4175,Segmen!$D$3:$D$6000,0)),"")</f>
        <v/>
      </c>
      <c r="C4175">
        <f>IFERROR(LARGE(Segmen!$D$3:$D$6000,A4175),"")</f>
        <v/>
      </c>
    </row>
    <row r="4176">
      <c r="A4176" t="n">
        <v>4175</v>
      </c>
      <c r="B4176">
        <f>IFERROR(INDEX(Segmen!$A$3:$A$6000,MATCH(C4176,Segmen!$D$3:$D$6000,0)),"")</f>
        <v/>
      </c>
      <c r="C4176">
        <f>IFERROR(LARGE(Segmen!$D$3:$D$6000,A4176),"")</f>
        <v/>
      </c>
    </row>
    <row r="4177">
      <c r="A4177" t="n">
        <v>4176</v>
      </c>
      <c r="B4177">
        <f>IFERROR(INDEX(Segmen!$A$3:$A$6000,MATCH(C4177,Segmen!$D$3:$D$6000,0)),"")</f>
        <v/>
      </c>
      <c r="C4177">
        <f>IFERROR(LARGE(Segmen!$D$3:$D$6000,A4177),"")</f>
        <v/>
      </c>
    </row>
    <row r="4178">
      <c r="A4178" t="n">
        <v>4177</v>
      </c>
      <c r="B4178">
        <f>IFERROR(INDEX(Segmen!$A$3:$A$6000,MATCH(C4178,Segmen!$D$3:$D$6000,0)),"")</f>
        <v/>
      </c>
      <c r="C4178">
        <f>IFERROR(LARGE(Segmen!$D$3:$D$6000,A4178),"")</f>
        <v/>
      </c>
    </row>
    <row r="4179">
      <c r="A4179" t="n">
        <v>4178</v>
      </c>
      <c r="B4179">
        <f>IFERROR(INDEX(Segmen!$A$3:$A$6000,MATCH(C4179,Segmen!$D$3:$D$6000,0)),"")</f>
        <v/>
      </c>
      <c r="C4179">
        <f>IFERROR(LARGE(Segmen!$D$3:$D$6000,A4179),"")</f>
        <v/>
      </c>
    </row>
    <row r="4180">
      <c r="A4180" t="n">
        <v>4179</v>
      </c>
      <c r="B4180">
        <f>IFERROR(INDEX(Segmen!$A$3:$A$6000,MATCH(C4180,Segmen!$D$3:$D$6000,0)),"")</f>
        <v/>
      </c>
      <c r="C4180">
        <f>IFERROR(LARGE(Segmen!$D$3:$D$6000,A4180),"")</f>
        <v/>
      </c>
    </row>
    <row r="4181">
      <c r="A4181" t="n">
        <v>4180</v>
      </c>
      <c r="B4181">
        <f>IFERROR(INDEX(Segmen!$A$3:$A$6000,MATCH(C4181,Segmen!$D$3:$D$6000,0)),"")</f>
        <v/>
      </c>
      <c r="C4181">
        <f>IFERROR(LARGE(Segmen!$D$3:$D$6000,A4181),"")</f>
        <v/>
      </c>
    </row>
    <row r="4182">
      <c r="A4182" t="n">
        <v>4181</v>
      </c>
      <c r="B4182">
        <f>IFERROR(INDEX(Segmen!$A$3:$A$6000,MATCH(C4182,Segmen!$D$3:$D$6000,0)),"")</f>
        <v/>
      </c>
      <c r="C4182">
        <f>IFERROR(LARGE(Segmen!$D$3:$D$6000,A4182),"")</f>
        <v/>
      </c>
    </row>
    <row r="4183">
      <c r="A4183" t="n">
        <v>4182</v>
      </c>
      <c r="B4183">
        <f>IFERROR(INDEX(Segmen!$A$3:$A$6000,MATCH(C4183,Segmen!$D$3:$D$6000,0)),"")</f>
        <v/>
      </c>
      <c r="C4183">
        <f>IFERROR(LARGE(Segmen!$D$3:$D$6000,A4183),"")</f>
        <v/>
      </c>
    </row>
    <row r="4184">
      <c r="A4184" t="n">
        <v>4183</v>
      </c>
      <c r="B4184">
        <f>IFERROR(INDEX(Segmen!$A$3:$A$6000,MATCH(C4184,Segmen!$D$3:$D$6000,0)),"")</f>
        <v/>
      </c>
      <c r="C4184">
        <f>IFERROR(LARGE(Segmen!$D$3:$D$6000,A4184),"")</f>
        <v/>
      </c>
    </row>
    <row r="4185">
      <c r="A4185" t="n">
        <v>4184</v>
      </c>
      <c r="B4185">
        <f>IFERROR(INDEX(Segmen!$A$3:$A$6000,MATCH(C4185,Segmen!$D$3:$D$6000,0)),"")</f>
        <v/>
      </c>
      <c r="C4185">
        <f>IFERROR(LARGE(Segmen!$D$3:$D$6000,A4185),"")</f>
        <v/>
      </c>
    </row>
    <row r="4186">
      <c r="A4186" t="n">
        <v>4185</v>
      </c>
      <c r="B4186">
        <f>IFERROR(INDEX(Segmen!$A$3:$A$6000,MATCH(C4186,Segmen!$D$3:$D$6000,0)),"")</f>
        <v/>
      </c>
      <c r="C4186">
        <f>IFERROR(LARGE(Segmen!$D$3:$D$6000,A4186),"")</f>
        <v/>
      </c>
    </row>
    <row r="4187">
      <c r="A4187" t="n">
        <v>4186</v>
      </c>
      <c r="B4187">
        <f>IFERROR(INDEX(Segmen!$A$3:$A$6000,MATCH(C4187,Segmen!$D$3:$D$6000,0)),"")</f>
        <v/>
      </c>
      <c r="C4187">
        <f>IFERROR(LARGE(Segmen!$D$3:$D$6000,A4187),"")</f>
        <v/>
      </c>
    </row>
    <row r="4188">
      <c r="A4188" t="n">
        <v>4187</v>
      </c>
      <c r="B4188">
        <f>IFERROR(INDEX(Segmen!$A$3:$A$6000,MATCH(C4188,Segmen!$D$3:$D$6000,0)),"")</f>
        <v/>
      </c>
      <c r="C4188">
        <f>IFERROR(LARGE(Segmen!$D$3:$D$6000,A4188),"")</f>
        <v/>
      </c>
    </row>
    <row r="4189">
      <c r="A4189" t="n">
        <v>4188</v>
      </c>
      <c r="B4189">
        <f>IFERROR(INDEX(Segmen!$A$3:$A$6000,MATCH(C4189,Segmen!$D$3:$D$6000,0)),"")</f>
        <v/>
      </c>
      <c r="C4189">
        <f>IFERROR(LARGE(Segmen!$D$3:$D$6000,A4189),"")</f>
        <v/>
      </c>
    </row>
    <row r="4190">
      <c r="A4190" t="n">
        <v>4189</v>
      </c>
      <c r="B4190">
        <f>IFERROR(INDEX(Segmen!$A$3:$A$6000,MATCH(C4190,Segmen!$D$3:$D$6000,0)),"")</f>
        <v/>
      </c>
      <c r="C4190">
        <f>IFERROR(LARGE(Segmen!$D$3:$D$6000,A4190),"")</f>
        <v/>
      </c>
    </row>
    <row r="4191">
      <c r="A4191" t="n">
        <v>4190</v>
      </c>
      <c r="B4191">
        <f>IFERROR(INDEX(Segmen!$A$3:$A$6000,MATCH(C4191,Segmen!$D$3:$D$6000,0)),"")</f>
        <v/>
      </c>
      <c r="C4191">
        <f>IFERROR(LARGE(Segmen!$D$3:$D$6000,A4191),"")</f>
        <v/>
      </c>
    </row>
    <row r="4192">
      <c r="A4192" t="n">
        <v>4191</v>
      </c>
      <c r="B4192">
        <f>IFERROR(INDEX(Segmen!$A$3:$A$6000,MATCH(C4192,Segmen!$D$3:$D$6000,0)),"")</f>
        <v/>
      </c>
      <c r="C4192">
        <f>IFERROR(LARGE(Segmen!$D$3:$D$6000,A4192),"")</f>
        <v/>
      </c>
    </row>
    <row r="4193">
      <c r="A4193" t="n">
        <v>4192</v>
      </c>
      <c r="B4193">
        <f>IFERROR(INDEX(Segmen!$A$3:$A$6000,MATCH(C4193,Segmen!$D$3:$D$6000,0)),"")</f>
        <v/>
      </c>
      <c r="C4193">
        <f>IFERROR(LARGE(Segmen!$D$3:$D$6000,A4193),"")</f>
        <v/>
      </c>
    </row>
    <row r="4194">
      <c r="A4194" t="n">
        <v>4193</v>
      </c>
      <c r="B4194">
        <f>IFERROR(INDEX(Segmen!$A$3:$A$6000,MATCH(C4194,Segmen!$D$3:$D$6000,0)),"")</f>
        <v/>
      </c>
      <c r="C4194">
        <f>IFERROR(LARGE(Segmen!$D$3:$D$6000,A4194),"")</f>
        <v/>
      </c>
    </row>
    <row r="4195">
      <c r="A4195" t="n">
        <v>4194</v>
      </c>
      <c r="B4195">
        <f>IFERROR(INDEX(Segmen!$A$3:$A$6000,MATCH(C4195,Segmen!$D$3:$D$6000,0)),"")</f>
        <v/>
      </c>
      <c r="C4195">
        <f>IFERROR(LARGE(Segmen!$D$3:$D$6000,A4195),"")</f>
        <v/>
      </c>
    </row>
    <row r="4196">
      <c r="A4196" t="n">
        <v>4195</v>
      </c>
      <c r="B4196">
        <f>IFERROR(INDEX(Segmen!$A$3:$A$6000,MATCH(C4196,Segmen!$D$3:$D$6000,0)),"")</f>
        <v/>
      </c>
      <c r="C4196">
        <f>IFERROR(LARGE(Segmen!$D$3:$D$6000,A4196),"")</f>
        <v/>
      </c>
    </row>
    <row r="4197">
      <c r="A4197" t="n">
        <v>4196</v>
      </c>
      <c r="B4197">
        <f>IFERROR(INDEX(Segmen!$A$3:$A$6000,MATCH(C4197,Segmen!$D$3:$D$6000,0)),"")</f>
        <v/>
      </c>
      <c r="C4197">
        <f>IFERROR(LARGE(Segmen!$D$3:$D$6000,A4197),"")</f>
        <v/>
      </c>
    </row>
    <row r="4198">
      <c r="A4198" t="n">
        <v>4197</v>
      </c>
      <c r="B4198">
        <f>IFERROR(INDEX(Segmen!$A$3:$A$6000,MATCH(C4198,Segmen!$D$3:$D$6000,0)),"")</f>
        <v/>
      </c>
      <c r="C4198">
        <f>IFERROR(LARGE(Segmen!$D$3:$D$6000,A4198),"")</f>
        <v/>
      </c>
    </row>
    <row r="4199">
      <c r="A4199" t="n">
        <v>4198</v>
      </c>
      <c r="B4199">
        <f>IFERROR(INDEX(Segmen!$A$3:$A$6000,MATCH(C4199,Segmen!$D$3:$D$6000,0)),"")</f>
        <v/>
      </c>
      <c r="C4199">
        <f>IFERROR(LARGE(Segmen!$D$3:$D$6000,A4199),"")</f>
        <v/>
      </c>
    </row>
    <row r="4200">
      <c r="A4200" t="n">
        <v>4199</v>
      </c>
      <c r="B4200">
        <f>IFERROR(INDEX(Segmen!$A$3:$A$6000,MATCH(C4200,Segmen!$D$3:$D$6000,0)),"")</f>
        <v/>
      </c>
      <c r="C4200">
        <f>IFERROR(LARGE(Segmen!$D$3:$D$6000,A4200),"")</f>
        <v/>
      </c>
    </row>
    <row r="4201">
      <c r="A4201" t="n">
        <v>4200</v>
      </c>
      <c r="B4201">
        <f>IFERROR(INDEX(Segmen!$A$3:$A$6000,MATCH(C4201,Segmen!$D$3:$D$6000,0)),"")</f>
        <v/>
      </c>
      <c r="C4201">
        <f>IFERROR(LARGE(Segmen!$D$3:$D$6000,A4201),"")</f>
        <v/>
      </c>
    </row>
    <row r="4202">
      <c r="A4202" t="n">
        <v>4201</v>
      </c>
      <c r="B4202">
        <f>IFERROR(INDEX(Segmen!$A$3:$A$6000,MATCH(C4202,Segmen!$D$3:$D$6000,0)),"")</f>
        <v/>
      </c>
      <c r="C4202">
        <f>IFERROR(LARGE(Segmen!$D$3:$D$6000,A4202),"")</f>
        <v/>
      </c>
    </row>
    <row r="4203">
      <c r="A4203" t="n">
        <v>4202</v>
      </c>
      <c r="B4203">
        <f>IFERROR(INDEX(Segmen!$A$3:$A$6000,MATCH(C4203,Segmen!$D$3:$D$6000,0)),"")</f>
        <v/>
      </c>
      <c r="C4203">
        <f>IFERROR(LARGE(Segmen!$D$3:$D$6000,A4203),"")</f>
        <v/>
      </c>
    </row>
    <row r="4204">
      <c r="A4204" t="n">
        <v>4203</v>
      </c>
      <c r="B4204">
        <f>IFERROR(INDEX(Segmen!$A$3:$A$6000,MATCH(C4204,Segmen!$D$3:$D$6000,0)),"")</f>
        <v/>
      </c>
      <c r="C4204">
        <f>IFERROR(LARGE(Segmen!$D$3:$D$6000,A4204),"")</f>
        <v/>
      </c>
    </row>
    <row r="4205">
      <c r="A4205" t="n">
        <v>4204</v>
      </c>
      <c r="B4205">
        <f>IFERROR(INDEX(Segmen!$A$3:$A$6000,MATCH(C4205,Segmen!$D$3:$D$6000,0)),"")</f>
        <v/>
      </c>
      <c r="C4205">
        <f>IFERROR(LARGE(Segmen!$D$3:$D$6000,A4205),"")</f>
        <v/>
      </c>
    </row>
    <row r="4206">
      <c r="A4206" t="n">
        <v>4205</v>
      </c>
      <c r="B4206">
        <f>IFERROR(INDEX(Segmen!$A$3:$A$6000,MATCH(C4206,Segmen!$D$3:$D$6000,0)),"")</f>
        <v/>
      </c>
      <c r="C4206">
        <f>IFERROR(LARGE(Segmen!$D$3:$D$6000,A4206),"")</f>
        <v/>
      </c>
    </row>
    <row r="4207">
      <c r="A4207" t="n">
        <v>4206</v>
      </c>
      <c r="B4207">
        <f>IFERROR(INDEX(Segmen!$A$3:$A$6000,MATCH(C4207,Segmen!$D$3:$D$6000,0)),"")</f>
        <v/>
      </c>
      <c r="C4207">
        <f>IFERROR(LARGE(Segmen!$D$3:$D$6000,A4207),"")</f>
        <v/>
      </c>
    </row>
    <row r="4208">
      <c r="A4208" t="n">
        <v>4207</v>
      </c>
      <c r="B4208">
        <f>IFERROR(INDEX(Segmen!$A$3:$A$6000,MATCH(C4208,Segmen!$D$3:$D$6000,0)),"")</f>
        <v/>
      </c>
      <c r="C4208">
        <f>IFERROR(LARGE(Segmen!$D$3:$D$6000,A4208),"")</f>
        <v/>
      </c>
    </row>
    <row r="4209">
      <c r="A4209" t="n">
        <v>4208</v>
      </c>
      <c r="B4209">
        <f>IFERROR(INDEX(Segmen!$A$3:$A$6000,MATCH(C4209,Segmen!$D$3:$D$6000,0)),"")</f>
        <v/>
      </c>
      <c r="C4209">
        <f>IFERROR(LARGE(Segmen!$D$3:$D$6000,A4209),"")</f>
        <v/>
      </c>
    </row>
    <row r="4210">
      <c r="A4210" t="n">
        <v>4209</v>
      </c>
      <c r="B4210">
        <f>IFERROR(INDEX(Segmen!$A$3:$A$6000,MATCH(C4210,Segmen!$D$3:$D$6000,0)),"")</f>
        <v/>
      </c>
      <c r="C4210">
        <f>IFERROR(LARGE(Segmen!$D$3:$D$6000,A4210),"")</f>
        <v/>
      </c>
    </row>
    <row r="4211">
      <c r="A4211" t="n">
        <v>4210</v>
      </c>
      <c r="B4211">
        <f>IFERROR(INDEX(Segmen!$A$3:$A$6000,MATCH(C4211,Segmen!$D$3:$D$6000,0)),"")</f>
        <v/>
      </c>
      <c r="C4211">
        <f>IFERROR(LARGE(Segmen!$D$3:$D$6000,A4211),"")</f>
        <v/>
      </c>
    </row>
    <row r="4212">
      <c r="A4212" t="n">
        <v>4211</v>
      </c>
      <c r="B4212">
        <f>IFERROR(INDEX(Segmen!$A$3:$A$6000,MATCH(C4212,Segmen!$D$3:$D$6000,0)),"")</f>
        <v/>
      </c>
      <c r="C4212">
        <f>IFERROR(LARGE(Segmen!$D$3:$D$6000,A4212),"")</f>
        <v/>
      </c>
    </row>
    <row r="4213">
      <c r="A4213" t="n">
        <v>4212</v>
      </c>
      <c r="B4213">
        <f>IFERROR(INDEX(Segmen!$A$3:$A$6000,MATCH(C4213,Segmen!$D$3:$D$6000,0)),"")</f>
        <v/>
      </c>
      <c r="C4213">
        <f>IFERROR(LARGE(Segmen!$D$3:$D$6000,A4213),"")</f>
        <v/>
      </c>
    </row>
    <row r="4214">
      <c r="A4214" t="n">
        <v>4213</v>
      </c>
      <c r="B4214">
        <f>IFERROR(INDEX(Segmen!$A$3:$A$6000,MATCH(C4214,Segmen!$D$3:$D$6000,0)),"")</f>
        <v/>
      </c>
      <c r="C4214">
        <f>IFERROR(LARGE(Segmen!$D$3:$D$6000,A4214),"")</f>
        <v/>
      </c>
    </row>
    <row r="4215">
      <c r="A4215" t="n">
        <v>4214</v>
      </c>
      <c r="B4215">
        <f>IFERROR(INDEX(Segmen!$A$3:$A$6000,MATCH(C4215,Segmen!$D$3:$D$6000,0)),"")</f>
        <v/>
      </c>
      <c r="C4215">
        <f>IFERROR(LARGE(Segmen!$D$3:$D$6000,A4215),"")</f>
        <v/>
      </c>
    </row>
    <row r="4216">
      <c r="A4216" t="n">
        <v>4215</v>
      </c>
      <c r="B4216">
        <f>IFERROR(INDEX(Segmen!$A$3:$A$6000,MATCH(C4216,Segmen!$D$3:$D$6000,0)),"")</f>
        <v/>
      </c>
      <c r="C4216">
        <f>IFERROR(LARGE(Segmen!$D$3:$D$6000,A4216),"")</f>
        <v/>
      </c>
    </row>
    <row r="4217">
      <c r="A4217" t="n">
        <v>4216</v>
      </c>
      <c r="B4217">
        <f>IFERROR(INDEX(Segmen!$A$3:$A$6000,MATCH(C4217,Segmen!$D$3:$D$6000,0)),"")</f>
        <v/>
      </c>
      <c r="C4217">
        <f>IFERROR(LARGE(Segmen!$D$3:$D$6000,A4217),"")</f>
        <v/>
      </c>
    </row>
    <row r="4218">
      <c r="A4218" t="n">
        <v>4217</v>
      </c>
      <c r="B4218">
        <f>IFERROR(INDEX(Segmen!$A$3:$A$6000,MATCH(C4218,Segmen!$D$3:$D$6000,0)),"")</f>
        <v/>
      </c>
      <c r="C4218">
        <f>IFERROR(LARGE(Segmen!$D$3:$D$6000,A4218),"")</f>
        <v/>
      </c>
    </row>
    <row r="4219">
      <c r="A4219" t="n">
        <v>4218</v>
      </c>
      <c r="B4219">
        <f>IFERROR(INDEX(Segmen!$A$3:$A$6000,MATCH(C4219,Segmen!$D$3:$D$6000,0)),"")</f>
        <v/>
      </c>
      <c r="C4219">
        <f>IFERROR(LARGE(Segmen!$D$3:$D$6000,A4219),"")</f>
        <v/>
      </c>
    </row>
    <row r="4220">
      <c r="A4220" t="n">
        <v>4219</v>
      </c>
      <c r="B4220">
        <f>IFERROR(INDEX(Segmen!$A$3:$A$6000,MATCH(C4220,Segmen!$D$3:$D$6000,0)),"")</f>
        <v/>
      </c>
      <c r="C4220">
        <f>IFERROR(LARGE(Segmen!$D$3:$D$6000,A4220),"")</f>
        <v/>
      </c>
    </row>
    <row r="4221">
      <c r="A4221" t="n">
        <v>4220</v>
      </c>
      <c r="B4221">
        <f>IFERROR(INDEX(Segmen!$A$3:$A$6000,MATCH(C4221,Segmen!$D$3:$D$6000,0)),"")</f>
        <v/>
      </c>
      <c r="C4221">
        <f>IFERROR(LARGE(Segmen!$D$3:$D$6000,A4221),"")</f>
        <v/>
      </c>
    </row>
    <row r="4222">
      <c r="A4222" t="n">
        <v>4221</v>
      </c>
      <c r="B4222">
        <f>IFERROR(INDEX(Segmen!$A$3:$A$6000,MATCH(C4222,Segmen!$D$3:$D$6000,0)),"")</f>
        <v/>
      </c>
      <c r="C4222">
        <f>IFERROR(LARGE(Segmen!$D$3:$D$6000,A4222),"")</f>
        <v/>
      </c>
    </row>
    <row r="4223">
      <c r="A4223" t="n">
        <v>4222</v>
      </c>
      <c r="B4223">
        <f>IFERROR(INDEX(Segmen!$A$3:$A$6000,MATCH(C4223,Segmen!$D$3:$D$6000,0)),"")</f>
        <v/>
      </c>
      <c r="C4223">
        <f>IFERROR(LARGE(Segmen!$D$3:$D$6000,A4223),"")</f>
        <v/>
      </c>
    </row>
    <row r="4224">
      <c r="A4224" t="n">
        <v>4223</v>
      </c>
      <c r="B4224">
        <f>IFERROR(INDEX(Segmen!$A$3:$A$6000,MATCH(C4224,Segmen!$D$3:$D$6000,0)),"")</f>
        <v/>
      </c>
      <c r="C4224">
        <f>IFERROR(LARGE(Segmen!$D$3:$D$6000,A4224),"")</f>
        <v/>
      </c>
    </row>
    <row r="4225">
      <c r="A4225" t="n">
        <v>4224</v>
      </c>
      <c r="B4225">
        <f>IFERROR(INDEX(Segmen!$A$3:$A$6000,MATCH(C4225,Segmen!$D$3:$D$6000,0)),"")</f>
        <v/>
      </c>
      <c r="C4225">
        <f>IFERROR(LARGE(Segmen!$D$3:$D$6000,A4225),"")</f>
        <v/>
      </c>
    </row>
    <row r="4226">
      <c r="A4226" t="n">
        <v>4225</v>
      </c>
      <c r="B4226">
        <f>IFERROR(INDEX(Segmen!$A$3:$A$6000,MATCH(C4226,Segmen!$D$3:$D$6000,0)),"")</f>
        <v/>
      </c>
      <c r="C4226">
        <f>IFERROR(LARGE(Segmen!$D$3:$D$6000,A4226),"")</f>
        <v/>
      </c>
    </row>
    <row r="4227">
      <c r="A4227" t="n">
        <v>4226</v>
      </c>
      <c r="B4227">
        <f>IFERROR(INDEX(Segmen!$A$3:$A$6000,MATCH(C4227,Segmen!$D$3:$D$6000,0)),"")</f>
        <v/>
      </c>
      <c r="C4227">
        <f>IFERROR(LARGE(Segmen!$D$3:$D$6000,A4227),"")</f>
        <v/>
      </c>
    </row>
    <row r="4228">
      <c r="A4228" t="n">
        <v>4227</v>
      </c>
      <c r="B4228">
        <f>IFERROR(INDEX(Segmen!$A$3:$A$6000,MATCH(C4228,Segmen!$D$3:$D$6000,0)),"")</f>
        <v/>
      </c>
      <c r="C4228">
        <f>IFERROR(LARGE(Segmen!$D$3:$D$6000,A4228),"")</f>
        <v/>
      </c>
    </row>
    <row r="4229">
      <c r="A4229" t="n">
        <v>4228</v>
      </c>
      <c r="B4229">
        <f>IFERROR(INDEX(Segmen!$A$3:$A$6000,MATCH(C4229,Segmen!$D$3:$D$6000,0)),"")</f>
        <v/>
      </c>
      <c r="C4229">
        <f>IFERROR(LARGE(Segmen!$D$3:$D$6000,A4229),"")</f>
        <v/>
      </c>
    </row>
    <row r="4230">
      <c r="A4230" t="n">
        <v>4229</v>
      </c>
      <c r="B4230">
        <f>IFERROR(INDEX(Segmen!$A$3:$A$6000,MATCH(C4230,Segmen!$D$3:$D$6000,0)),"")</f>
        <v/>
      </c>
      <c r="C4230">
        <f>IFERROR(LARGE(Segmen!$D$3:$D$6000,A4230),"")</f>
        <v/>
      </c>
    </row>
    <row r="4231">
      <c r="A4231" t="n">
        <v>4230</v>
      </c>
      <c r="B4231">
        <f>IFERROR(INDEX(Segmen!$A$3:$A$6000,MATCH(C4231,Segmen!$D$3:$D$6000,0)),"")</f>
        <v/>
      </c>
      <c r="C4231">
        <f>IFERROR(LARGE(Segmen!$D$3:$D$6000,A4231),"")</f>
        <v/>
      </c>
    </row>
    <row r="4232">
      <c r="A4232" t="n">
        <v>4231</v>
      </c>
      <c r="B4232">
        <f>IFERROR(INDEX(Segmen!$A$3:$A$6000,MATCH(C4232,Segmen!$D$3:$D$6000,0)),"")</f>
        <v/>
      </c>
      <c r="C4232">
        <f>IFERROR(LARGE(Segmen!$D$3:$D$6000,A4232),"")</f>
        <v/>
      </c>
    </row>
    <row r="4233">
      <c r="A4233" t="n">
        <v>4232</v>
      </c>
      <c r="B4233">
        <f>IFERROR(INDEX(Segmen!$A$3:$A$6000,MATCH(C4233,Segmen!$D$3:$D$6000,0)),"")</f>
        <v/>
      </c>
      <c r="C4233">
        <f>IFERROR(LARGE(Segmen!$D$3:$D$6000,A4233),"")</f>
        <v/>
      </c>
    </row>
    <row r="4234">
      <c r="A4234" t="n">
        <v>4233</v>
      </c>
      <c r="B4234">
        <f>IFERROR(INDEX(Segmen!$A$3:$A$6000,MATCH(C4234,Segmen!$D$3:$D$6000,0)),"")</f>
        <v/>
      </c>
      <c r="C4234">
        <f>IFERROR(LARGE(Segmen!$D$3:$D$6000,A4234),"")</f>
        <v/>
      </c>
    </row>
    <row r="4235">
      <c r="A4235" t="n">
        <v>4234</v>
      </c>
      <c r="B4235">
        <f>IFERROR(INDEX(Segmen!$A$3:$A$6000,MATCH(C4235,Segmen!$D$3:$D$6000,0)),"")</f>
        <v/>
      </c>
      <c r="C4235">
        <f>IFERROR(LARGE(Segmen!$D$3:$D$6000,A4235),"")</f>
        <v/>
      </c>
    </row>
    <row r="4236">
      <c r="A4236" t="n">
        <v>4235</v>
      </c>
      <c r="B4236">
        <f>IFERROR(INDEX(Segmen!$A$3:$A$6000,MATCH(C4236,Segmen!$D$3:$D$6000,0)),"")</f>
        <v/>
      </c>
      <c r="C4236">
        <f>IFERROR(LARGE(Segmen!$D$3:$D$6000,A4236),"")</f>
        <v/>
      </c>
    </row>
    <row r="4237">
      <c r="A4237" t="n">
        <v>4236</v>
      </c>
      <c r="B4237">
        <f>IFERROR(INDEX(Segmen!$A$3:$A$6000,MATCH(C4237,Segmen!$D$3:$D$6000,0)),"")</f>
        <v/>
      </c>
      <c r="C4237">
        <f>IFERROR(LARGE(Segmen!$D$3:$D$6000,A4237),"")</f>
        <v/>
      </c>
    </row>
    <row r="4238">
      <c r="A4238" t="n">
        <v>4237</v>
      </c>
      <c r="B4238">
        <f>IFERROR(INDEX(Segmen!$A$3:$A$6000,MATCH(C4238,Segmen!$D$3:$D$6000,0)),"")</f>
        <v/>
      </c>
      <c r="C4238">
        <f>IFERROR(LARGE(Segmen!$D$3:$D$6000,A4238),"")</f>
        <v/>
      </c>
    </row>
    <row r="4239">
      <c r="A4239" t="n">
        <v>4238</v>
      </c>
      <c r="B4239">
        <f>IFERROR(INDEX(Segmen!$A$3:$A$6000,MATCH(C4239,Segmen!$D$3:$D$6000,0)),"")</f>
        <v/>
      </c>
      <c r="C4239">
        <f>IFERROR(LARGE(Segmen!$D$3:$D$6000,A4239),"")</f>
        <v/>
      </c>
    </row>
    <row r="4240">
      <c r="A4240" t="n">
        <v>4239</v>
      </c>
      <c r="B4240">
        <f>IFERROR(INDEX(Segmen!$A$3:$A$6000,MATCH(C4240,Segmen!$D$3:$D$6000,0)),"")</f>
        <v/>
      </c>
      <c r="C4240">
        <f>IFERROR(LARGE(Segmen!$D$3:$D$6000,A4240),"")</f>
        <v/>
      </c>
    </row>
    <row r="4241">
      <c r="A4241" t="n">
        <v>4240</v>
      </c>
      <c r="B4241">
        <f>IFERROR(INDEX(Segmen!$A$3:$A$6000,MATCH(C4241,Segmen!$D$3:$D$6000,0)),"")</f>
        <v/>
      </c>
      <c r="C4241">
        <f>IFERROR(LARGE(Segmen!$D$3:$D$6000,A4241),"")</f>
        <v/>
      </c>
    </row>
    <row r="4242">
      <c r="A4242" t="n">
        <v>4241</v>
      </c>
      <c r="B4242">
        <f>IFERROR(INDEX(Segmen!$A$3:$A$6000,MATCH(C4242,Segmen!$D$3:$D$6000,0)),"")</f>
        <v/>
      </c>
      <c r="C4242">
        <f>IFERROR(LARGE(Segmen!$D$3:$D$6000,A4242),"")</f>
        <v/>
      </c>
    </row>
    <row r="4243">
      <c r="A4243" t="n">
        <v>4242</v>
      </c>
      <c r="B4243">
        <f>IFERROR(INDEX(Segmen!$A$3:$A$6000,MATCH(C4243,Segmen!$D$3:$D$6000,0)),"")</f>
        <v/>
      </c>
      <c r="C4243">
        <f>IFERROR(LARGE(Segmen!$D$3:$D$6000,A4243),"")</f>
        <v/>
      </c>
    </row>
    <row r="4244">
      <c r="A4244" t="n">
        <v>4243</v>
      </c>
      <c r="B4244">
        <f>IFERROR(INDEX(Segmen!$A$3:$A$6000,MATCH(C4244,Segmen!$D$3:$D$6000,0)),"")</f>
        <v/>
      </c>
      <c r="C4244">
        <f>IFERROR(LARGE(Segmen!$D$3:$D$6000,A4244),"")</f>
        <v/>
      </c>
    </row>
    <row r="4245">
      <c r="A4245" t="n">
        <v>4244</v>
      </c>
      <c r="B4245">
        <f>IFERROR(INDEX(Segmen!$A$3:$A$6000,MATCH(C4245,Segmen!$D$3:$D$6000,0)),"")</f>
        <v/>
      </c>
      <c r="C4245">
        <f>IFERROR(LARGE(Segmen!$D$3:$D$6000,A4245),"")</f>
        <v/>
      </c>
    </row>
    <row r="4246">
      <c r="A4246" t="n">
        <v>4245</v>
      </c>
      <c r="B4246">
        <f>IFERROR(INDEX(Segmen!$A$3:$A$6000,MATCH(C4246,Segmen!$D$3:$D$6000,0)),"")</f>
        <v/>
      </c>
      <c r="C4246">
        <f>IFERROR(LARGE(Segmen!$D$3:$D$6000,A4246),"")</f>
        <v/>
      </c>
    </row>
    <row r="4247">
      <c r="A4247" t="n">
        <v>4246</v>
      </c>
      <c r="B4247">
        <f>IFERROR(INDEX(Segmen!$A$3:$A$6000,MATCH(C4247,Segmen!$D$3:$D$6000,0)),"")</f>
        <v/>
      </c>
      <c r="C4247">
        <f>IFERROR(LARGE(Segmen!$D$3:$D$6000,A4247),"")</f>
        <v/>
      </c>
    </row>
    <row r="4248">
      <c r="A4248" t="n">
        <v>4247</v>
      </c>
      <c r="B4248">
        <f>IFERROR(INDEX(Segmen!$A$3:$A$6000,MATCH(C4248,Segmen!$D$3:$D$6000,0)),"")</f>
        <v/>
      </c>
      <c r="C4248">
        <f>IFERROR(LARGE(Segmen!$D$3:$D$6000,A4248),"")</f>
        <v/>
      </c>
    </row>
    <row r="4249">
      <c r="A4249" t="n">
        <v>4248</v>
      </c>
      <c r="B4249">
        <f>IFERROR(INDEX(Segmen!$A$3:$A$6000,MATCH(C4249,Segmen!$D$3:$D$6000,0)),"")</f>
        <v/>
      </c>
      <c r="C4249">
        <f>IFERROR(LARGE(Segmen!$D$3:$D$6000,A4249),"")</f>
        <v/>
      </c>
    </row>
    <row r="4250">
      <c r="A4250" t="n">
        <v>4249</v>
      </c>
      <c r="B4250">
        <f>IFERROR(INDEX(Segmen!$A$3:$A$6000,MATCH(C4250,Segmen!$D$3:$D$6000,0)),"")</f>
        <v/>
      </c>
      <c r="C4250">
        <f>IFERROR(LARGE(Segmen!$D$3:$D$6000,A4250),"")</f>
        <v/>
      </c>
    </row>
    <row r="4251">
      <c r="A4251" t="n">
        <v>4250</v>
      </c>
      <c r="B4251">
        <f>IFERROR(INDEX(Segmen!$A$3:$A$6000,MATCH(C4251,Segmen!$D$3:$D$6000,0)),"")</f>
        <v/>
      </c>
      <c r="C4251">
        <f>IFERROR(LARGE(Segmen!$D$3:$D$6000,A4251),"")</f>
        <v/>
      </c>
    </row>
    <row r="4252">
      <c r="A4252" t="n">
        <v>4251</v>
      </c>
      <c r="B4252">
        <f>IFERROR(INDEX(Segmen!$A$3:$A$6000,MATCH(C4252,Segmen!$D$3:$D$6000,0)),"")</f>
        <v/>
      </c>
      <c r="C4252">
        <f>IFERROR(LARGE(Segmen!$D$3:$D$6000,A4252),"")</f>
        <v/>
      </c>
    </row>
    <row r="4253">
      <c r="A4253" t="n">
        <v>4252</v>
      </c>
      <c r="B4253">
        <f>IFERROR(INDEX(Segmen!$A$3:$A$6000,MATCH(C4253,Segmen!$D$3:$D$6000,0)),"")</f>
        <v/>
      </c>
      <c r="C4253">
        <f>IFERROR(LARGE(Segmen!$D$3:$D$6000,A4253),"")</f>
        <v/>
      </c>
    </row>
    <row r="4254">
      <c r="A4254" t="n">
        <v>4253</v>
      </c>
      <c r="B4254">
        <f>IFERROR(INDEX(Segmen!$A$3:$A$6000,MATCH(C4254,Segmen!$D$3:$D$6000,0)),"")</f>
        <v/>
      </c>
      <c r="C4254">
        <f>IFERROR(LARGE(Segmen!$D$3:$D$6000,A4254),"")</f>
        <v/>
      </c>
    </row>
    <row r="4255">
      <c r="A4255" t="n">
        <v>4254</v>
      </c>
      <c r="B4255">
        <f>IFERROR(INDEX(Segmen!$A$3:$A$6000,MATCH(C4255,Segmen!$D$3:$D$6000,0)),"")</f>
        <v/>
      </c>
      <c r="C4255">
        <f>IFERROR(LARGE(Segmen!$D$3:$D$6000,A4255),"")</f>
        <v/>
      </c>
    </row>
    <row r="4256">
      <c r="A4256" t="n">
        <v>4255</v>
      </c>
      <c r="B4256">
        <f>IFERROR(INDEX(Segmen!$A$3:$A$6000,MATCH(C4256,Segmen!$D$3:$D$6000,0)),"")</f>
        <v/>
      </c>
      <c r="C4256">
        <f>IFERROR(LARGE(Segmen!$D$3:$D$6000,A4256),"")</f>
        <v/>
      </c>
    </row>
    <row r="4257">
      <c r="A4257" t="n">
        <v>4256</v>
      </c>
      <c r="B4257">
        <f>IFERROR(INDEX(Segmen!$A$3:$A$6000,MATCH(C4257,Segmen!$D$3:$D$6000,0)),"")</f>
        <v/>
      </c>
      <c r="C4257">
        <f>IFERROR(LARGE(Segmen!$D$3:$D$6000,A4257),"")</f>
        <v/>
      </c>
    </row>
    <row r="4258">
      <c r="A4258" t="n">
        <v>4257</v>
      </c>
      <c r="B4258">
        <f>IFERROR(INDEX(Segmen!$A$3:$A$6000,MATCH(C4258,Segmen!$D$3:$D$6000,0)),"")</f>
        <v/>
      </c>
      <c r="C4258">
        <f>IFERROR(LARGE(Segmen!$D$3:$D$6000,A4258),"")</f>
        <v/>
      </c>
    </row>
    <row r="4259">
      <c r="A4259" t="n">
        <v>4258</v>
      </c>
      <c r="B4259">
        <f>IFERROR(INDEX(Segmen!$A$3:$A$6000,MATCH(C4259,Segmen!$D$3:$D$6000,0)),"")</f>
        <v/>
      </c>
      <c r="C4259">
        <f>IFERROR(LARGE(Segmen!$D$3:$D$6000,A4259),"")</f>
        <v/>
      </c>
    </row>
    <row r="4260">
      <c r="A4260" t="n">
        <v>4259</v>
      </c>
      <c r="B4260">
        <f>IFERROR(INDEX(Segmen!$A$3:$A$6000,MATCH(C4260,Segmen!$D$3:$D$6000,0)),"")</f>
        <v/>
      </c>
      <c r="C4260">
        <f>IFERROR(LARGE(Segmen!$D$3:$D$6000,A4260),"")</f>
        <v/>
      </c>
    </row>
    <row r="4261">
      <c r="A4261" t="n">
        <v>4260</v>
      </c>
      <c r="B4261">
        <f>IFERROR(INDEX(Segmen!$A$3:$A$6000,MATCH(C4261,Segmen!$D$3:$D$6000,0)),"")</f>
        <v/>
      </c>
      <c r="C4261">
        <f>IFERROR(LARGE(Segmen!$D$3:$D$6000,A4261),"")</f>
        <v/>
      </c>
    </row>
    <row r="4262">
      <c r="A4262" t="n">
        <v>4261</v>
      </c>
      <c r="B4262">
        <f>IFERROR(INDEX(Segmen!$A$3:$A$6000,MATCH(C4262,Segmen!$D$3:$D$6000,0)),"")</f>
        <v/>
      </c>
      <c r="C4262">
        <f>IFERROR(LARGE(Segmen!$D$3:$D$6000,A4262),"")</f>
        <v/>
      </c>
    </row>
    <row r="4263">
      <c r="A4263" t="n">
        <v>4262</v>
      </c>
      <c r="B4263">
        <f>IFERROR(INDEX(Segmen!$A$3:$A$6000,MATCH(C4263,Segmen!$D$3:$D$6000,0)),"")</f>
        <v/>
      </c>
      <c r="C4263">
        <f>IFERROR(LARGE(Segmen!$D$3:$D$6000,A4263),"")</f>
        <v/>
      </c>
    </row>
    <row r="4264">
      <c r="A4264" t="n">
        <v>4263</v>
      </c>
      <c r="B4264">
        <f>IFERROR(INDEX(Segmen!$A$3:$A$6000,MATCH(C4264,Segmen!$D$3:$D$6000,0)),"")</f>
        <v/>
      </c>
      <c r="C4264">
        <f>IFERROR(LARGE(Segmen!$D$3:$D$6000,A4264),"")</f>
        <v/>
      </c>
    </row>
    <row r="4265">
      <c r="A4265" t="n">
        <v>4264</v>
      </c>
      <c r="B4265">
        <f>IFERROR(INDEX(Segmen!$A$3:$A$6000,MATCH(C4265,Segmen!$D$3:$D$6000,0)),"")</f>
        <v/>
      </c>
      <c r="C4265">
        <f>IFERROR(LARGE(Segmen!$D$3:$D$6000,A4265),"")</f>
        <v/>
      </c>
    </row>
    <row r="4266">
      <c r="A4266" t="n">
        <v>4265</v>
      </c>
      <c r="B4266">
        <f>IFERROR(INDEX(Segmen!$A$3:$A$6000,MATCH(C4266,Segmen!$D$3:$D$6000,0)),"")</f>
        <v/>
      </c>
      <c r="C4266">
        <f>IFERROR(LARGE(Segmen!$D$3:$D$6000,A4266),"")</f>
        <v/>
      </c>
    </row>
    <row r="4267">
      <c r="A4267" t="n">
        <v>4266</v>
      </c>
      <c r="B4267">
        <f>IFERROR(INDEX(Segmen!$A$3:$A$6000,MATCH(C4267,Segmen!$D$3:$D$6000,0)),"")</f>
        <v/>
      </c>
      <c r="C4267">
        <f>IFERROR(LARGE(Segmen!$D$3:$D$6000,A4267),"")</f>
        <v/>
      </c>
    </row>
    <row r="4268">
      <c r="A4268" t="n">
        <v>4267</v>
      </c>
      <c r="B4268">
        <f>IFERROR(INDEX(Segmen!$A$3:$A$6000,MATCH(C4268,Segmen!$D$3:$D$6000,0)),"")</f>
        <v/>
      </c>
      <c r="C4268">
        <f>IFERROR(LARGE(Segmen!$D$3:$D$6000,A4268),"")</f>
        <v/>
      </c>
    </row>
    <row r="4269">
      <c r="A4269" t="n">
        <v>4268</v>
      </c>
      <c r="B4269">
        <f>IFERROR(INDEX(Segmen!$A$3:$A$6000,MATCH(C4269,Segmen!$D$3:$D$6000,0)),"")</f>
        <v/>
      </c>
      <c r="C4269">
        <f>IFERROR(LARGE(Segmen!$D$3:$D$6000,A4269),"")</f>
        <v/>
      </c>
    </row>
    <row r="4270">
      <c r="A4270" t="n">
        <v>4269</v>
      </c>
      <c r="B4270">
        <f>IFERROR(INDEX(Segmen!$A$3:$A$6000,MATCH(C4270,Segmen!$D$3:$D$6000,0)),"")</f>
        <v/>
      </c>
      <c r="C4270">
        <f>IFERROR(LARGE(Segmen!$D$3:$D$6000,A4270),"")</f>
        <v/>
      </c>
    </row>
    <row r="4271">
      <c r="A4271" t="n">
        <v>4270</v>
      </c>
      <c r="B4271">
        <f>IFERROR(INDEX(Segmen!$A$3:$A$6000,MATCH(C4271,Segmen!$D$3:$D$6000,0)),"")</f>
        <v/>
      </c>
      <c r="C4271">
        <f>IFERROR(LARGE(Segmen!$D$3:$D$6000,A4271),"")</f>
        <v/>
      </c>
    </row>
    <row r="4272">
      <c r="A4272" t="n">
        <v>4271</v>
      </c>
      <c r="B4272">
        <f>IFERROR(INDEX(Segmen!$A$3:$A$6000,MATCH(C4272,Segmen!$D$3:$D$6000,0)),"")</f>
        <v/>
      </c>
      <c r="C4272">
        <f>IFERROR(LARGE(Segmen!$D$3:$D$6000,A4272),"")</f>
        <v/>
      </c>
    </row>
    <row r="4273">
      <c r="A4273" t="n">
        <v>4272</v>
      </c>
      <c r="B4273">
        <f>IFERROR(INDEX(Segmen!$A$3:$A$6000,MATCH(C4273,Segmen!$D$3:$D$6000,0)),"")</f>
        <v/>
      </c>
      <c r="C4273">
        <f>IFERROR(LARGE(Segmen!$D$3:$D$6000,A4273),"")</f>
        <v/>
      </c>
    </row>
    <row r="4274">
      <c r="A4274" t="n">
        <v>4273</v>
      </c>
      <c r="B4274">
        <f>IFERROR(INDEX(Segmen!$A$3:$A$6000,MATCH(C4274,Segmen!$D$3:$D$6000,0)),"")</f>
        <v/>
      </c>
      <c r="C4274">
        <f>IFERROR(LARGE(Segmen!$D$3:$D$6000,A4274),"")</f>
        <v/>
      </c>
    </row>
    <row r="4275">
      <c r="A4275" t="n">
        <v>4274</v>
      </c>
      <c r="B4275">
        <f>IFERROR(INDEX(Segmen!$A$3:$A$6000,MATCH(C4275,Segmen!$D$3:$D$6000,0)),"")</f>
        <v/>
      </c>
      <c r="C4275">
        <f>IFERROR(LARGE(Segmen!$D$3:$D$6000,A4275),"")</f>
        <v/>
      </c>
    </row>
    <row r="4276">
      <c r="A4276" t="n">
        <v>4275</v>
      </c>
      <c r="B4276">
        <f>IFERROR(INDEX(Segmen!$A$3:$A$6000,MATCH(C4276,Segmen!$D$3:$D$6000,0)),"")</f>
        <v/>
      </c>
      <c r="C4276">
        <f>IFERROR(LARGE(Segmen!$D$3:$D$6000,A4276),"")</f>
        <v/>
      </c>
    </row>
    <row r="4277">
      <c r="A4277" t="n">
        <v>4276</v>
      </c>
      <c r="B4277">
        <f>IFERROR(INDEX(Segmen!$A$3:$A$6000,MATCH(C4277,Segmen!$D$3:$D$6000,0)),"")</f>
        <v/>
      </c>
      <c r="C4277">
        <f>IFERROR(LARGE(Segmen!$D$3:$D$6000,A4277),"")</f>
        <v/>
      </c>
    </row>
    <row r="4278">
      <c r="A4278" t="n">
        <v>4277</v>
      </c>
      <c r="B4278">
        <f>IFERROR(INDEX(Segmen!$A$3:$A$6000,MATCH(C4278,Segmen!$D$3:$D$6000,0)),"")</f>
        <v/>
      </c>
      <c r="C4278">
        <f>IFERROR(LARGE(Segmen!$D$3:$D$6000,A4278),"")</f>
        <v/>
      </c>
    </row>
    <row r="4279">
      <c r="A4279" t="n">
        <v>4278</v>
      </c>
      <c r="B4279">
        <f>IFERROR(INDEX(Segmen!$A$3:$A$6000,MATCH(C4279,Segmen!$D$3:$D$6000,0)),"")</f>
        <v/>
      </c>
      <c r="C4279">
        <f>IFERROR(LARGE(Segmen!$D$3:$D$6000,A4279),"")</f>
        <v/>
      </c>
    </row>
    <row r="4280">
      <c r="A4280" t="n">
        <v>4279</v>
      </c>
      <c r="B4280">
        <f>IFERROR(INDEX(Segmen!$A$3:$A$6000,MATCH(C4280,Segmen!$D$3:$D$6000,0)),"")</f>
        <v/>
      </c>
      <c r="C4280">
        <f>IFERROR(LARGE(Segmen!$D$3:$D$6000,A4280),"")</f>
        <v/>
      </c>
    </row>
    <row r="4281">
      <c r="A4281" t="n">
        <v>4280</v>
      </c>
      <c r="B4281">
        <f>IFERROR(INDEX(Segmen!$A$3:$A$6000,MATCH(C4281,Segmen!$D$3:$D$6000,0)),"")</f>
        <v/>
      </c>
      <c r="C4281">
        <f>IFERROR(LARGE(Segmen!$D$3:$D$6000,A4281),"")</f>
        <v/>
      </c>
    </row>
    <row r="4282">
      <c r="A4282" t="n">
        <v>4281</v>
      </c>
      <c r="B4282">
        <f>IFERROR(INDEX(Segmen!$A$3:$A$6000,MATCH(C4282,Segmen!$D$3:$D$6000,0)),"")</f>
        <v/>
      </c>
      <c r="C4282">
        <f>IFERROR(LARGE(Segmen!$D$3:$D$6000,A4282),"")</f>
        <v/>
      </c>
    </row>
    <row r="4283">
      <c r="A4283" t="n">
        <v>4282</v>
      </c>
      <c r="B4283">
        <f>IFERROR(INDEX(Segmen!$A$3:$A$6000,MATCH(C4283,Segmen!$D$3:$D$6000,0)),"")</f>
        <v/>
      </c>
      <c r="C4283">
        <f>IFERROR(LARGE(Segmen!$D$3:$D$6000,A4283),"")</f>
        <v/>
      </c>
    </row>
    <row r="4284">
      <c r="A4284" t="n">
        <v>4283</v>
      </c>
      <c r="B4284">
        <f>IFERROR(INDEX(Segmen!$A$3:$A$6000,MATCH(C4284,Segmen!$D$3:$D$6000,0)),"")</f>
        <v/>
      </c>
      <c r="C4284">
        <f>IFERROR(LARGE(Segmen!$D$3:$D$6000,A4284),"")</f>
        <v/>
      </c>
    </row>
    <row r="4285">
      <c r="A4285" t="n">
        <v>4284</v>
      </c>
      <c r="B4285">
        <f>IFERROR(INDEX(Segmen!$A$3:$A$6000,MATCH(C4285,Segmen!$D$3:$D$6000,0)),"")</f>
        <v/>
      </c>
      <c r="C4285">
        <f>IFERROR(LARGE(Segmen!$D$3:$D$6000,A4285),"")</f>
        <v/>
      </c>
    </row>
    <row r="4286">
      <c r="A4286" t="n">
        <v>4285</v>
      </c>
      <c r="B4286">
        <f>IFERROR(INDEX(Segmen!$A$3:$A$6000,MATCH(C4286,Segmen!$D$3:$D$6000,0)),"")</f>
        <v/>
      </c>
      <c r="C4286">
        <f>IFERROR(LARGE(Segmen!$D$3:$D$6000,A4286),"")</f>
        <v/>
      </c>
    </row>
    <row r="4287">
      <c r="A4287" t="n">
        <v>4286</v>
      </c>
      <c r="B4287">
        <f>IFERROR(INDEX(Segmen!$A$3:$A$6000,MATCH(C4287,Segmen!$D$3:$D$6000,0)),"")</f>
        <v/>
      </c>
      <c r="C4287">
        <f>IFERROR(LARGE(Segmen!$D$3:$D$6000,A4287),"")</f>
        <v/>
      </c>
    </row>
    <row r="4288">
      <c r="A4288" t="n">
        <v>4287</v>
      </c>
      <c r="B4288">
        <f>IFERROR(INDEX(Segmen!$A$3:$A$6000,MATCH(C4288,Segmen!$D$3:$D$6000,0)),"")</f>
        <v/>
      </c>
      <c r="C4288">
        <f>IFERROR(LARGE(Segmen!$D$3:$D$6000,A4288),"")</f>
        <v/>
      </c>
    </row>
    <row r="4289">
      <c r="A4289" t="n">
        <v>4288</v>
      </c>
      <c r="B4289">
        <f>IFERROR(INDEX(Segmen!$A$3:$A$6000,MATCH(C4289,Segmen!$D$3:$D$6000,0)),"")</f>
        <v/>
      </c>
      <c r="C4289">
        <f>IFERROR(LARGE(Segmen!$D$3:$D$6000,A4289),"")</f>
        <v/>
      </c>
    </row>
    <row r="4290">
      <c r="A4290" t="n">
        <v>4289</v>
      </c>
      <c r="B4290">
        <f>IFERROR(INDEX(Segmen!$A$3:$A$6000,MATCH(C4290,Segmen!$D$3:$D$6000,0)),"")</f>
        <v/>
      </c>
      <c r="C4290">
        <f>IFERROR(LARGE(Segmen!$D$3:$D$6000,A4290),"")</f>
        <v/>
      </c>
    </row>
    <row r="4291">
      <c r="A4291" t="n">
        <v>4290</v>
      </c>
      <c r="B4291">
        <f>IFERROR(INDEX(Segmen!$A$3:$A$6000,MATCH(C4291,Segmen!$D$3:$D$6000,0)),"")</f>
        <v/>
      </c>
      <c r="C4291">
        <f>IFERROR(LARGE(Segmen!$D$3:$D$6000,A4291),"")</f>
        <v/>
      </c>
    </row>
    <row r="4292">
      <c r="A4292" t="n">
        <v>4291</v>
      </c>
      <c r="B4292">
        <f>IFERROR(INDEX(Segmen!$A$3:$A$6000,MATCH(C4292,Segmen!$D$3:$D$6000,0)),"")</f>
        <v/>
      </c>
      <c r="C4292">
        <f>IFERROR(LARGE(Segmen!$D$3:$D$6000,A4292),"")</f>
        <v/>
      </c>
    </row>
    <row r="4293">
      <c r="A4293" t="n">
        <v>4292</v>
      </c>
      <c r="B4293">
        <f>IFERROR(INDEX(Segmen!$A$3:$A$6000,MATCH(C4293,Segmen!$D$3:$D$6000,0)),"")</f>
        <v/>
      </c>
      <c r="C4293">
        <f>IFERROR(LARGE(Segmen!$D$3:$D$6000,A4293),"")</f>
        <v/>
      </c>
    </row>
    <row r="4294">
      <c r="A4294" t="n">
        <v>4293</v>
      </c>
      <c r="B4294">
        <f>IFERROR(INDEX(Segmen!$A$3:$A$6000,MATCH(C4294,Segmen!$D$3:$D$6000,0)),"")</f>
        <v/>
      </c>
      <c r="C4294">
        <f>IFERROR(LARGE(Segmen!$D$3:$D$6000,A4294),"")</f>
        <v/>
      </c>
    </row>
    <row r="4295">
      <c r="A4295" t="n">
        <v>4294</v>
      </c>
      <c r="B4295">
        <f>IFERROR(INDEX(Segmen!$A$3:$A$6000,MATCH(C4295,Segmen!$D$3:$D$6000,0)),"")</f>
        <v/>
      </c>
      <c r="C4295">
        <f>IFERROR(LARGE(Segmen!$D$3:$D$6000,A4295),"")</f>
        <v/>
      </c>
    </row>
    <row r="4296">
      <c r="A4296" t="n">
        <v>4295</v>
      </c>
      <c r="B4296">
        <f>IFERROR(INDEX(Segmen!$A$3:$A$6000,MATCH(C4296,Segmen!$D$3:$D$6000,0)),"")</f>
        <v/>
      </c>
      <c r="C4296">
        <f>IFERROR(LARGE(Segmen!$D$3:$D$6000,A4296),"")</f>
        <v/>
      </c>
    </row>
    <row r="4297">
      <c r="A4297" t="n">
        <v>4296</v>
      </c>
      <c r="B4297">
        <f>IFERROR(INDEX(Segmen!$A$3:$A$6000,MATCH(C4297,Segmen!$D$3:$D$6000,0)),"")</f>
        <v/>
      </c>
      <c r="C4297">
        <f>IFERROR(LARGE(Segmen!$D$3:$D$6000,A4297),"")</f>
        <v/>
      </c>
    </row>
    <row r="4298">
      <c r="A4298" t="n">
        <v>4297</v>
      </c>
      <c r="B4298">
        <f>IFERROR(INDEX(Segmen!$A$3:$A$6000,MATCH(C4298,Segmen!$D$3:$D$6000,0)),"")</f>
        <v/>
      </c>
      <c r="C4298">
        <f>IFERROR(LARGE(Segmen!$D$3:$D$6000,A4298),"")</f>
        <v/>
      </c>
    </row>
    <row r="4299">
      <c r="A4299" t="n">
        <v>4298</v>
      </c>
      <c r="B4299">
        <f>IFERROR(INDEX(Segmen!$A$3:$A$6000,MATCH(C4299,Segmen!$D$3:$D$6000,0)),"")</f>
        <v/>
      </c>
      <c r="C4299">
        <f>IFERROR(LARGE(Segmen!$D$3:$D$6000,A4299),"")</f>
        <v/>
      </c>
    </row>
    <row r="4300">
      <c r="A4300" t="n">
        <v>4299</v>
      </c>
      <c r="B4300">
        <f>IFERROR(INDEX(Segmen!$A$3:$A$6000,MATCH(C4300,Segmen!$D$3:$D$6000,0)),"")</f>
        <v/>
      </c>
      <c r="C4300">
        <f>IFERROR(LARGE(Segmen!$D$3:$D$6000,A4300),"")</f>
        <v/>
      </c>
    </row>
    <row r="4301">
      <c r="A4301" t="n">
        <v>4300</v>
      </c>
      <c r="B4301">
        <f>IFERROR(INDEX(Segmen!$A$3:$A$6000,MATCH(C4301,Segmen!$D$3:$D$6000,0)),"")</f>
        <v/>
      </c>
      <c r="C4301">
        <f>IFERROR(LARGE(Segmen!$D$3:$D$6000,A4301),"")</f>
        <v/>
      </c>
    </row>
    <row r="4302">
      <c r="A4302" t="n">
        <v>4301</v>
      </c>
      <c r="B4302">
        <f>IFERROR(INDEX(Segmen!$A$3:$A$6000,MATCH(C4302,Segmen!$D$3:$D$6000,0)),"")</f>
        <v/>
      </c>
      <c r="C4302">
        <f>IFERROR(LARGE(Segmen!$D$3:$D$6000,A4302),"")</f>
        <v/>
      </c>
    </row>
    <row r="4303">
      <c r="A4303" t="n">
        <v>4302</v>
      </c>
      <c r="B4303">
        <f>IFERROR(INDEX(Segmen!$A$3:$A$6000,MATCH(C4303,Segmen!$D$3:$D$6000,0)),"")</f>
        <v/>
      </c>
      <c r="C4303">
        <f>IFERROR(LARGE(Segmen!$D$3:$D$6000,A4303),"")</f>
        <v/>
      </c>
    </row>
    <row r="4304">
      <c r="A4304" t="n">
        <v>4303</v>
      </c>
      <c r="B4304">
        <f>IFERROR(INDEX(Segmen!$A$3:$A$6000,MATCH(C4304,Segmen!$D$3:$D$6000,0)),"")</f>
        <v/>
      </c>
      <c r="C4304">
        <f>IFERROR(LARGE(Segmen!$D$3:$D$6000,A4304),"")</f>
        <v/>
      </c>
    </row>
    <row r="4305">
      <c r="A4305" t="n">
        <v>4304</v>
      </c>
      <c r="B4305">
        <f>IFERROR(INDEX(Segmen!$A$3:$A$6000,MATCH(C4305,Segmen!$D$3:$D$6000,0)),"")</f>
        <v/>
      </c>
      <c r="C4305">
        <f>IFERROR(LARGE(Segmen!$D$3:$D$6000,A4305),"")</f>
        <v/>
      </c>
    </row>
    <row r="4306">
      <c r="A4306" t="n">
        <v>4305</v>
      </c>
      <c r="B4306">
        <f>IFERROR(INDEX(Segmen!$A$3:$A$6000,MATCH(C4306,Segmen!$D$3:$D$6000,0)),"")</f>
        <v/>
      </c>
      <c r="C4306">
        <f>IFERROR(LARGE(Segmen!$D$3:$D$6000,A4306),"")</f>
        <v/>
      </c>
    </row>
    <row r="4307">
      <c r="A4307" t="n">
        <v>4306</v>
      </c>
      <c r="B4307">
        <f>IFERROR(INDEX(Segmen!$A$3:$A$6000,MATCH(C4307,Segmen!$D$3:$D$6000,0)),"")</f>
        <v/>
      </c>
      <c r="C4307">
        <f>IFERROR(LARGE(Segmen!$D$3:$D$6000,A4307),"")</f>
        <v/>
      </c>
    </row>
    <row r="4308">
      <c r="A4308" t="n">
        <v>4307</v>
      </c>
      <c r="B4308">
        <f>IFERROR(INDEX(Segmen!$A$3:$A$6000,MATCH(C4308,Segmen!$D$3:$D$6000,0)),"")</f>
        <v/>
      </c>
      <c r="C4308">
        <f>IFERROR(LARGE(Segmen!$D$3:$D$6000,A4308),"")</f>
        <v/>
      </c>
    </row>
    <row r="4309">
      <c r="A4309" t="n">
        <v>4308</v>
      </c>
      <c r="B4309">
        <f>IFERROR(INDEX(Segmen!$A$3:$A$6000,MATCH(C4309,Segmen!$D$3:$D$6000,0)),"")</f>
        <v/>
      </c>
      <c r="C4309">
        <f>IFERROR(LARGE(Segmen!$D$3:$D$6000,A4309),"")</f>
        <v/>
      </c>
    </row>
    <row r="4310">
      <c r="A4310" t="n">
        <v>4309</v>
      </c>
      <c r="B4310">
        <f>IFERROR(INDEX(Segmen!$A$3:$A$6000,MATCH(C4310,Segmen!$D$3:$D$6000,0)),"")</f>
        <v/>
      </c>
      <c r="C4310">
        <f>IFERROR(LARGE(Segmen!$D$3:$D$6000,A4310),"")</f>
        <v/>
      </c>
    </row>
    <row r="4311">
      <c r="A4311" t="n">
        <v>4310</v>
      </c>
      <c r="B4311">
        <f>IFERROR(INDEX(Segmen!$A$3:$A$6000,MATCH(C4311,Segmen!$D$3:$D$6000,0)),"")</f>
        <v/>
      </c>
      <c r="C4311">
        <f>IFERROR(LARGE(Segmen!$D$3:$D$6000,A4311),"")</f>
        <v/>
      </c>
    </row>
    <row r="4312">
      <c r="A4312" t="n">
        <v>4311</v>
      </c>
      <c r="B4312">
        <f>IFERROR(INDEX(Segmen!$A$3:$A$6000,MATCH(C4312,Segmen!$D$3:$D$6000,0)),"")</f>
        <v/>
      </c>
      <c r="C4312">
        <f>IFERROR(LARGE(Segmen!$D$3:$D$6000,A4312),"")</f>
        <v/>
      </c>
    </row>
    <row r="4313">
      <c r="A4313" t="n">
        <v>4312</v>
      </c>
      <c r="B4313">
        <f>IFERROR(INDEX(Segmen!$A$3:$A$6000,MATCH(C4313,Segmen!$D$3:$D$6000,0)),"")</f>
        <v/>
      </c>
      <c r="C4313">
        <f>IFERROR(LARGE(Segmen!$D$3:$D$6000,A4313),"")</f>
        <v/>
      </c>
    </row>
    <row r="4314">
      <c r="A4314" t="n">
        <v>4313</v>
      </c>
      <c r="B4314">
        <f>IFERROR(INDEX(Segmen!$A$3:$A$6000,MATCH(C4314,Segmen!$D$3:$D$6000,0)),"")</f>
        <v/>
      </c>
      <c r="C4314">
        <f>IFERROR(LARGE(Segmen!$D$3:$D$6000,A4314),"")</f>
        <v/>
      </c>
    </row>
    <row r="4315">
      <c r="A4315" t="n">
        <v>4314</v>
      </c>
      <c r="B4315">
        <f>IFERROR(INDEX(Segmen!$A$3:$A$6000,MATCH(C4315,Segmen!$D$3:$D$6000,0)),"")</f>
        <v/>
      </c>
      <c r="C4315">
        <f>IFERROR(LARGE(Segmen!$D$3:$D$6000,A4315),"")</f>
        <v/>
      </c>
    </row>
    <row r="4316">
      <c r="A4316" t="n">
        <v>4315</v>
      </c>
      <c r="B4316">
        <f>IFERROR(INDEX(Segmen!$A$3:$A$6000,MATCH(C4316,Segmen!$D$3:$D$6000,0)),"")</f>
        <v/>
      </c>
      <c r="C4316">
        <f>IFERROR(LARGE(Segmen!$D$3:$D$6000,A4316),"")</f>
        <v/>
      </c>
    </row>
    <row r="4317">
      <c r="A4317" t="n">
        <v>4316</v>
      </c>
      <c r="B4317">
        <f>IFERROR(INDEX(Segmen!$A$3:$A$6000,MATCH(C4317,Segmen!$D$3:$D$6000,0)),"")</f>
        <v/>
      </c>
      <c r="C4317">
        <f>IFERROR(LARGE(Segmen!$D$3:$D$6000,A4317),"")</f>
        <v/>
      </c>
    </row>
    <row r="4318">
      <c r="A4318" t="n">
        <v>4317</v>
      </c>
      <c r="B4318">
        <f>IFERROR(INDEX(Segmen!$A$3:$A$6000,MATCH(C4318,Segmen!$D$3:$D$6000,0)),"")</f>
        <v/>
      </c>
      <c r="C4318">
        <f>IFERROR(LARGE(Segmen!$D$3:$D$6000,A4318),"")</f>
        <v/>
      </c>
    </row>
    <row r="4319">
      <c r="A4319" t="n">
        <v>4318</v>
      </c>
      <c r="B4319">
        <f>IFERROR(INDEX(Segmen!$A$3:$A$6000,MATCH(C4319,Segmen!$D$3:$D$6000,0)),"")</f>
        <v/>
      </c>
      <c r="C4319">
        <f>IFERROR(LARGE(Segmen!$D$3:$D$6000,A4319),"")</f>
        <v/>
      </c>
    </row>
    <row r="4320">
      <c r="A4320" t="n">
        <v>4319</v>
      </c>
      <c r="B4320">
        <f>IFERROR(INDEX(Segmen!$A$3:$A$6000,MATCH(C4320,Segmen!$D$3:$D$6000,0)),"")</f>
        <v/>
      </c>
      <c r="C4320">
        <f>IFERROR(LARGE(Segmen!$D$3:$D$6000,A4320),"")</f>
        <v/>
      </c>
    </row>
    <row r="4321">
      <c r="A4321" t="n">
        <v>4320</v>
      </c>
      <c r="B4321">
        <f>IFERROR(INDEX(Segmen!$A$3:$A$6000,MATCH(C4321,Segmen!$D$3:$D$6000,0)),"")</f>
        <v/>
      </c>
      <c r="C4321">
        <f>IFERROR(LARGE(Segmen!$D$3:$D$6000,A4321),"")</f>
        <v/>
      </c>
    </row>
    <row r="4322">
      <c r="A4322" t="n">
        <v>4321</v>
      </c>
      <c r="B4322">
        <f>IFERROR(INDEX(Segmen!$A$3:$A$6000,MATCH(C4322,Segmen!$D$3:$D$6000,0)),"")</f>
        <v/>
      </c>
      <c r="C4322">
        <f>IFERROR(LARGE(Segmen!$D$3:$D$6000,A4322),"")</f>
        <v/>
      </c>
    </row>
    <row r="4323">
      <c r="A4323" t="n">
        <v>4322</v>
      </c>
      <c r="B4323">
        <f>IFERROR(INDEX(Segmen!$A$3:$A$6000,MATCH(C4323,Segmen!$D$3:$D$6000,0)),"")</f>
        <v/>
      </c>
      <c r="C4323">
        <f>IFERROR(LARGE(Segmen!$D$3:$D$6000,A4323),"")</f>
        <v/>
      </c>
    </row>
    <row r="4324">
      <c r="A4324" t="n">
        <v>4323</v>
      </c>
      <c r="B4324">
        <f>IFERROR(INDEX(Segmen!$A$3:$A$6000,MATCH(C4324,Segmen!$D$3:$D$6000,0)),"")</f>
        <v/>
      </c>
      <c r="C4324">
        <f>IFERROR(LARGE(Segmen!$D$3:$D$6000,A4324),"")</f>
        <v/>
      </c>
    </row>
    <row r="4325">
      <c r="A4325" t="n">
        <v>4324</v>
      </c>
      <c r="B4325">
        <f>IFERROR(INDEX(Segmen!$A$3:$A$6000,MATCH(C4325,Segmen!$D$3:$D$6000,0)),"")</f>
        <v/>
      </c>
      <c r="C4325">
        <f>IFERROR(LARGE(Segmen!$D$3:$D$6000,A4325),"")</f>
        <v/>
      </c>
    </row>
    <row r="4326">
      <c r="A4326" t="n">
        <v>4325</v>
      </c>
      <c r="B4326">
        <f>IFERROR(INDEX(Segmen!$A$3:$A$6000,MATCH(C4326,Segmen!$D$3:$D$6000,0)),"")</f>
        <v/>
      </c>
      <c r="C4326">
        <f>IFERROR(LARGE(Segmen!$D$3:$D$6000,A4326),"")</f>
        <v/>
      </c>
    </row>
    <row r="4327">
      <c r="A4327" t="n">
        <v>4326</v>
      </c>
      <c r="B4327">
        <f>IFERROR(INDEX(Segmen!$A$3:$A$6000,MATCH(C4327,Segmen!$D$3:$D$6000,0)),"")</f>
        <v/>
      </c>
      <c r="C4327">
        <f>IFERROR(LARGE(Segmen!$D$3:$D$6000,A4327),"")</f>
        <v/>
      </c>
    </row>
    <row r="4328">
      <c r="A4328" t="n">
        <v>4327</v>
      </c>
      <c r="B4328">
        <f>IFERROR(INDEX(Segmen!$A$3:$A$6000,MATCH(C4328,Segmen!$D$3:$D$6000,0)),"")</f>
        <v/>
      </c>
      <c r="C4328">
        <f>IFERROR(LARGE(Segmen!$D$3:$D$6000,A4328),"")</f>
        <v/>
      </c>
    </row>
    <row r="4329">
      <c r="A4329" t="n">
        <v>4328</v>
      </c>
      <c r="B4329">
        <f>IFERROR(INDEX(Segmen!$A$3:$A$6000,MATCH(C4329,Segmen!$D$3:$D$6000,0)),"")</f>
        <v/>
      </c>
      <c r="C4329">
        <f>IFERROR(LARGE(Segmen!$D$3:$D$6000,A4329),"")</f>
        <v/>
      </c>
    </row>
    <row r="4330">
      <c r="A4330" t="n">
        <v>4329</v>
      </c>
      <c r="B4330">
        <f>IFERROR(INDEX(Segmen!$A$3:$A$6000,MATCH(C4330,Segmen!$D$3:$D$6000,0)),"")</f>
        <v/>
      </c>
      <c r="C4330">
        <f>IFERROR(LARGE(Segmen!$D$3:$D$6000,A4330),"")</f>
        <v/>
      </c>
    </row>
    <row r="4331">
      <c r="A4331" t="n">
        <v>4330</v>
      </c>
      <c r="B4331">
        <f>IFERROR(INDEX(Segmen!$A$3:$A$6000,MATCH(C4331,Segmen!$D$3:$D$6000,0)),"")</f>
        <v/>
      </c>
      <c r="C4331">
        <f>IFERROR(LARGE(Segmen!$D$3:$D$6000,A4331),"")</f>
        <v/>
      </c>
    </row>
    <row r="4332">
      <c r="A4332" t="n">
        <v>4331</v>
      </c>
      <c r="B4332">
        <f>IFERROR(INDEX(Segmen!$A$3:$A$6000,MATCH(C4332,Segmen!$D$3:$D$6000,0)),"")</f>
        <v/>
      </c>
      <c r="C4332">
        <f>IFERROR(LARGE(Segmen!$D$3:$D$6000,A4332),"")</f>
        <v/>
      </c>
    </row>
    <row r="4333">
      <c r="A4333" t="n">
        <v>4332</v>
      </c>
      <c r="B4333">
        <f>IFERROR(INDEX(Segmen!$A$3:$A$6000,MATCH(C4333,Segmen!$D$3:$D$6000,0)),"")</f>
        <v/>
      </c>
      <c r="C4333">
        <f>IFERROR(LARGE(Segmen!$D$3:$D$6000,A4333),"")</f>
        <v/>
      </c>
    </row>
    <row r="4334">
      <c r="A4334" t="n">
        <v>4333</v>
      </c>
      <c r="B4334">
        <f>IFERROR(INDEX(Segmen!$A$3:$A$6000,MATCH(C4334,Segmen!$D$3:$D$6000,0)),"")</f>
        <v/>
      </c>
      <c r="C4334">
        <f>IFERROR(LARGE(Segmen!$D$3:$D$6000,A4334),"")</f>
        <v/>
      </c>
    </row>
    <row r="4335">
      <c r="A4335" t="n">
        <v>4334</v>
      </c>
      <c r="B4335">
        <f>IFERROR(INDEX(Segmen!$A$3:$A$6000,MATCH(C4335,Segmen!$D$3:$D$6000,0)),"")</f>
        <v/>
      </c>
      <c r="C4335">
        <f>IFERROR(LARGE(Segmen!$D$3:$D$6000,A4335),"")</f>
        <v/>
      </c>
    </row>
    <row r="4336">
      <c r="A4336" t="n">
        <v>4335</v>
      </c>
      <c r="B4336">
        <f>IFERROR(INDEX(Segmen!$A$3:$A$6000,MATCH(C4336,Segmen!$D$3:$D$6000,0)),"")</f>
        <v/>
      </c>
      <c r="C4336">
        <f>IFERROR(LARGE(Segmen!$D$3:$D$6000,A4336),"")</f>
        <v/>
      </c>
    </row>
    <row r="4337">
      <c r="A4337" t="n">
        <v>4336</v>
      </c>
      <c r="B4337">
        <f>IFERROR(INDEX(Segmen!$A$3:$A$6000,MATCH(C4337,Segmen!$D$3:$D$6000,0)),"")</f>
        <v/>
      </c>
      <c r="C4337">
        <f>IFERROR(LARGE(Segmen!$D$3:$D$6000,A4337),"")</f>
        <v/>
      </c>
    </row>
    <row r="4338">
      <c r="A4338" t="n">
        <v>4337</v>
      </c>
      <c r="B4338">
        <f>IFERROR(INDEX(Segmen!$A$3:$A$6000,MATCH(C4338,Segmen!$D$3:$D$6000,0)),"")</f>
        <v/>
      </c>
      <c r="C4338">
        <f>IFERROR(LARGE(Segmen!$D$3:$D$6000,A4338),"")</f>
        <v/>
      </c>
    </row>
    <row r="4339">
      <c r="A4339" t="n">
        <v>4338</v>
      </c>
      <c r="B4339">
        <f>IFERROR(INDEX(Segmen!$A$3:$A$6000,MATCH(C4339,Segmen!$D$3:$D$6000,0)),"")</f>
        <v/>
      </c>
      <c r="C4339">
        <f>IFERROR(LARGE(Segmen!$D$3:$D$6000,A4339),"")</f>
        <v/>
      </c>
    </row>
    <row r="4340">
      <c r="A4340" t="n">
        <v>4339</v>
      </c>
      <c r="B4340">
        <f>IFERROR(INDEX(Segmen!$A$3:$A$6000,MATCH(C4340,Segmen!$D$3:$D$6000,0)),"")</f>
        <v/>
      </c>
      <c r="C4340">
        <f>IFERROR(LARGE(Segmen!$D$3:$D$6000,A4340),"")</f>
        <v/>
      </c>
    </row>
    <row r="4341">
      <c r="A4341" t="n">
        <v>4340</v>
      </c>
      <c r="B4341">
        <f>IFERROR(INDEX(Segmen!$A$3:$A$6000,MATCH(C4341,Segmen!$D$3:$D$6000,0)),"")</f>
        <v/>
      </c>
      <c r="C4341">
        <f>IFERROR(LARGE(Segmen!$D$3:$D$6000,A4341),"")</f>
        <v/>
      </c>
    </row>
    <row r="4342">
      <c r="A4342" t="n">
        <v>4341</v>
      </c>
      <c r="B4342">
        <f>IFERROR(INDEX(Segmen!$A$3:$A$6000,MATCH(C4342,Segmen!$D$3:$D$6000,0)),"")</f>
        <v/>
      </c>
      <c r="C4342">
        <f>IFERROR(LARGE(Segmen!$D$3:$D$6000,A4342),"")</f>
        <v/>
      </c>
    </row>
    <row r="4343">
      <c r="A4343" t="n">
        <v>4342</v>
      </c>
      <c r="B4343">
        <f>IFERROR(INDEX(Segmen!$A$3:$A$6000,MATCH(C4343,Segmen!$D$3:$D$6000,0)),"")</f>
        <v/>
      </c>
      <c r="C4343">
        <f>IFERROR(LARGE(Segmen!$D$3:$D$6000,A4343),"")</f>
        <v/>
      </c>
    </row>
    <row r="4344">
      <c r="A4344" t="n">
        <v>4343</v>
      </c>
      <c r="B4344">
        <f>IFERROR(INDEX(Segmen!$A$3:$A$6000,MATCH(C4344,Segmen!$D$3:$D$6000,0)),"")</f>
        <v/>
      </c>
      <c r="C4344">
        <f>IFERROR(LARGE(Segmen!$D$3:$D$6000,A4344),"")</f>
        <v/>
      </c>
    </row>
    <row r="4345">
      <c r="A4345" t="n">
        <v>4344</v>
      </c>
      <c r="B4345">
        <f>IFERROR(INDEX(Segmen!$A$3:$A$6000,MATCH(C4345,Segmen!$D$3:$D$6000,0)),"")</f>
        <v/>
      </c>
      <c r="C4345">
        <f>IFERROR(LARGE(Segmen!$D$3:$D$6000,A4345),"")</f>
        <v/>
      </c>
    </row>
    <row r="4346">
      <c r="A4346" t="n">
        <v>4345</v>
      </c>
      <c r="B4346">
        <f>IFERROR(INDEX(Segmen!$A$3:$A$6000,MATCH(C4346,Segmen!$D$3:$D$6000,0)),"")</f>
        <v/>
      </c>
      <c r="C4346">
        <f>IFERROR(LARGE(Segmen!$D$3:$D$6000,A4346),"")</f>
        <v/>
      </c>
    </row>
    <row r="4347">
      <c r="A4347" t="n">
        <v>4346</v>
      </c>
      <c r="B4347">
        <f>IFERROR(INDEX(Segmen!$A$3:$A$6000,MATCH(C4347,Segmen!$D$3:$D$6000,0)),"")</f>
        <v/>
      </c>
      <c r="C4347">
        <f>IFERROR(LARGE(Segmen!$D$3:$D$6000,A4347),"")</f>
        <v/>
      </c>
    </row>
    <row r="4348">
      <c r="A4348" t="n">
        <v>4347</v>
      </c>
      <c r="B4348">
        <f>IFERROR(INDEX(Segmen!$A$3:$A$6000,MATCH(C4348,Segmen!$D$3:$D$6000,0)),"")</f>
        <v/>
      </c>
      <c r="C4348">
        <f>IFERROR(LARGE(Segmen!$D$3:$D$6000,A4348),"")</f>
        <v/>
      </c>
    </row>
    <row r="4349">
      <c r="A4349" t="n">
        <v>4348</v>
      </c>
      <c r="B4349">
        <f>IFERROR(INDEX(Segmen!$A$3:$A$6000,MATCH(C4349,Segmen!$D$3:$D$6000,0)),"")</f>
        <v/>
      </c>
      <c r="C4349">
        <f>IFERROR(LARGE(Segmen!$D$3:$D$6000,A4349),"")</f>
        <v/>
      </c>
    </row>
    <row r="4350">
      <c r="A4350" t="n">
        <v>4349</v>
      </c>
      <c r="B4350">
        <f>IFERROR(INDEX(Segmen!$A$3:$A$6000,MATCH(C4350,Segmen!$D$3:$D$6000,0)),"")</f>
        <v/>
      </c>
      <c r="C4350">
        <f>IFERROR(LARGE(Segmen!$D$3:$D$6000,A4350),"")</f>
        <v/>
      </c>
    </row>
    <row r="4351">
      <c r="A4351" t="n">
        <v>4350</v>
      </c>
      <c r="B4351">
        <f>IFERROR(INDEX(Segmen!$A$3:$A$6000,MATCH(C4351,Segmen!$D$3:$D$6000,0)),"")</f>
        <v/>
      </c>
      <c r="C4351">
        <f>IFERROR(LARGE(Segmen!$D$3:$D$6000,A4351),"")</f>
        <v/>
      </c>
    </row>
    <row r="4352">
      <c r="A4352" t="n">
        <v>4351</v>
      </c>
      <c r="B4352">
        <f>IFERROR(INDEX(Segmen!$A$3:$A$6000,MATCH(C4352,Segmen!$D$3:$D$6000,0)),"")</f>
        <v/>
      </c>
      <c r="C4352">
        <f>IFERROR(LARGE(Segmen!$D$3:$D$6000,A4352),"")</f>
        <v/>
      </c>
    </row>
    <row r="4353">
      <c r="A4353" t="n">
        <v>4352</v>
      </c>
      <c r="B4353">
        <f>IFERROR(INDEX(Segmen!$A$3:$A$6000,MATCH(C4353,Segmen!$D$3:$D$6000,0)),"")</f>
        <v/>
      </c>
      <c r="C4353">
        <f>IFERROR(LARGE(Segmen!$D$3:$D$6000,A4353),"")</f>
        <v/>
      </c>
    </row>
    <row r="4354">
      <c r="A4354" t="n">
        <v>4353</v>
      </c>
      <c r="B4354">
        <f>IFERROR(INDEX(Segmen!$A$3:$A$6000,MATCH(C4354,Segmen!$D$3:$D$6000,0)),"")</f>
        <v/>
      </c>
      <c r="C4354">
        <f>IFERROR(LARGE(Segmen!$D$3:$D$6000,A4354),"")</f>
        <v/>
      </c>
    </row>
    <row r="4355">
      <c r="A4355" t="n">
        <v>4354</v>
      </c>
      <c r="B4355">
        <f>IFERROR(INDEX(Segmen!$A$3:$A$6000,MATCH(C4355,Segmen!$D$3:$D$6000,0)),"")</f>
        <v/>
      </c>
      <c r="C4355">
        <f>IFERROR(LARGE(Segmen!$D$3:$D$6000,A4355),"")</f>
        <v/>
      </c>
    </row>
    <row r="4356">
      <c r="A4356" t="n">
        <v>4355</v>
      </c>
      <c r="B4356">
        <f>IFERROR(INDEX(Segmen!$A$3:$A$6000,MATCH(C4356,Segmen!$D$3:$D$6000,0)),"")</f>
        <v/>
      </c>
      <c r="C4356">
        <f>IFERROR(LARGE(Segmen!$D$3:$D$6000,A4356),"")</f>
        <v/>
      </c>
    </row>
    <row r="4357">
      <c r="A4357" t="n">
        <v>4356</v>
      </c>
      <c r="B4357">
        <f>IFERROR(INDEX(Segmen!$A$3:$A$6000,MATCH(C4357,Segmen!$D$3:$D$6000,0)),"")</f>
        <v/>
      </c>
      <c r="C4357">
        <f>IFERROR(LARGE(Segmen!$D$3:$D$6000,A4357),"")</f>
        <v/>
      </c>
    </row>
    <row r="4358">
      <c r="A4358" t="n">
        <v>4357</v>
      </c>
      <c r="B4358">
        <f>IFERROR(INDEX(Segmen!$A$3:$A$6000,MATCH(C4358,Segmen!$D$3:$D$6000,0)),"")</f>
        <v/>
      </c>
      <c r="C4358">
        <f>IFERROR(LARGE(Segmen!$D$3:$D$6000,A4358),"")</f>
        <v/>
      </c>
    </row>
    <row r="4359">
      <c r="A4359" t="n">
        <v>4358</v>
      </c>
      <c r="B4359">
        <f>IFERROR(INDEX(Segmen!$A$3:$A$6000,MATCH(C4359,Segmen!$D$3:$D$6000,0)),"")</f>
        <v/>
      </c>
      <c r="C4359">
        <f>IFERROR(LARGE(Segmen!$D$3:$D$6000,A4359),"")</f>
        <v/>
      </c>
    </row>
    <row r="4360">
      <c r="A4360" t="n">
        <v>4359</v>
      </c>
      <c r="B4360">
        <f>IFERROR(INDEX(Segmen!$A$3:$A$6000,MATCH(C4360,Segmen!$D$3:$D$6000,0)),"")</f>
        <v/>
      </c>
      <c r="C4360">
        <f>IFERROR(LARGE(Segmen!$D$3:$D$6000,A4360),"")</f>
        <v/>
      </c>
    </row>
    <row r="4361">
      <c r="A4361" t="n">
        <v>4360</v>
      </c>
      <c r="B4361">
        <f>IFERROR(INDEX(Segmen!$A$3:$A$6000,MATCH(C4361,Segmen!$D$3:$D$6000,0)),"")</f>
        <v/>
      </c>
      <c r="C4361">
        <f>IFERROR(LARGE(Segmen!$D$3:$D$6000,A4361),"")</f>
        <v/>
      </c>
    </row>
    <row r="4362">
      <c r="A4362" t="n">
        <v>4361</v>
      </c>
      <c r="B4362">
        <f>IFERROR(INDEX(Segmen!$A$3:$A$6000,MATCH(C4362,Segmen!$D$3:$D$6000,0)),"")</f>
        <v/>
      </c>
      <c r="C4362">
        <f>IFERROR(LARGE(Segmen!$D$3:$D$6000,A4362),"")</f>
        <v/>
      </c>
    </row>
    <row r="4363">
      <c r="A4363" t="n">
        <v>4362</v>
      </c>
      <c r="B4363">
        <f>IFERROR(INDEX(Segmen!$A$3:$A$6000,MATCH(C4363,Segmen!$D$3:$D$6000,0)),"")</f>
        <v/>
      </c>
      <c r="C4363">
        <f>IFERROR(LARGE(Segmen!$D$3:$D$6000,A4363),"")</f>
        <v/>
      </c>
    </row>
    <row r="4364">
      <c r="A4364" t="n">
        <v>4363</v>
      </c>
      <c r="B4364">
        <f>IFERROR(INDEX(Segmen!$A$3:$A$6000,MATCH(C4364,Segmen!$D$3:$D$6000,0)),"")</f>
        <v/>
      </c>
      <c r="C4364">
        <f>IFERROR(LARGE(Segmen!$D$3:$D$6000,A4364),"")</f>
        <v/>
      </c>
    </row>
    <row r="4365">
      <c r="A4365" t="n">
        <v>4364</v>
      </c>
      <c r="B4365">
        <f>IFERROR(INDEX(Segmen!$A$3:$A$6000,MATCH(C4365,Segmen!$D$3:$D$6000,0)),"")</f>
        <v/>
      </c>
      <c r="C4365">
        <f>IFERROR(LARGE(Segmen!$D$3:$D$6000,A4365),"")</f>
        <v/>
      </c>
    </row>
    <row r="4366">
      <c r="A4366" t="n">
        <v>4365</v>
      </c>
      <c r="B4366">
        <f>IFERROR(INDEX(Segmen!$A$3:$A$6000,MATCH(C4366,Segmen!$D$3:$D$6000,0)),"")</f>
        <v/>
      </c>
      <c r="C4366">
        <f>IFERROR(LARGE(Segmen!$D$3:$D$6000,A4366),"")</f>
        <v/>
      </c>
    </row>
    <row r="4367">
      <c r="A4367" t="n">
        <v>4366</v>
      </c>
      <c r="B4367">
        <f>IFERROR(INDEX(Segmen!$A$3:$A$6000,MATCH(C4367,Segmen!$D$3:$D$6000,0)),"")</f>
        <v/>
      </c>
      <c r="C4367">
        <f>IFERROR(LARGE(Segmen!$D$3:$D$6000,A4367),"")</f>
        <v/>
      </c>
    </row>
    <row r="4368">
      <c r="A4368" t="n">
        <v>4367</v>
      </c>
      <c r="B4368">
        <f>IFERROR(INDEX(Segmen!$A$3:$A$6000,MATCH(C4368,Segmen!$D$3:$D$6000,0)),"")</f>
        <v/>
      </c>
      <c r="C4368">
        <f>IFERROR(LARGE(Segmen!$D$3:$D$6000,A4368),"")</f>
        <v/>
      </c>
    </row>
    <row r="4369">
      <c r="A4369" t="n">
        <v>4368</v>
      </c>
      <c r="B4369">
        <f>IFERROR(INDEX(Segmen!$A$3:$A$6000,MATCH(C4369,Segmen!$D$3:$D$6000,0)),"")</f>
        <v/>
      </c>
      <c r="C4369">
        <f>IFERROR(LARGE(Segmen!$D$3:$D$6000,A4369),"")</f>
        <v/>
      </c>
    </row>
    <row r="4370">
      <c r="A4370" t="n">
        <v>4369</v>
      </c>
      <c r="B4370">
        <f>IFERROR(INDEX(Segmen!$A$3:$A$6000,MATCH(C4370,Segmen!$D$3:$D$6000,0)),"")</f>
        <v/>
      </c>
      <c r="C4370">
        <f>IFERROR(LARGE(Segmen!$D$3:$D$6000,A4370),"")</f>
        <v/>
      </c>
    </row>
    <row r="4371">
      <c r="A4371" t="n">
        <v>4370</v>
      </c>
      <c r="B4371">
        <f>IFERROR(INDEX(Segmen!$A$3:$A$6000,MATCH(C4371,Segmen!$D$3:$D$6000,0)),"")</f>
        <v/>
      </c>
      <c r="C4371">
        <f>IFERROR(LARGE(Segmen!$D$3:$D$6000,A4371),"")</f>
        <v/>
      </c>
    </row>
    <row r="4372">
      <c r="A4372" t="n">
        <v>4371</v>
      </c>
      <c r="B4372">
        <f>IFERROR(INDEX(Segmen!$A$3:$A$6000,MATCH(C4372,Segmen!$D$3:$D$6000,0)),"")</f>
        <v/>
      </c>
      <c r="C4372">
        <f>IFERROR(LARGE(Segmen!$D$3:$D$6000,A4372),"")</f>
        <v/>
      </c>
    </row>
    <row r="4373">
      <c r="A4373" t="n">
        <v>4372</v>
      </c>
      <c r="B4373">
        <f>IFERROR(INDEX(Segmen!$A$3:$A$6000,MATCH(C4373,Segmen!$D$3:$D$6000,0)),"")</f>
        <v/>
      </c>
      <c r="C4373">
        <f>IFERROR(LARGE(Segmen!$D$3:$D$6000,A4373),"")</f>
        <v/>
      </c>
    </row>
    <row r="4374">
      <c r="A4374" t="n">
        <v>4373</v>
      </c>
      <c r="B4374">
        <f>IFERROR(INDEX(Segmen!$A$3:$A$6000,MATCH(C4374,Segmen!$D$3:$D$6000,0)),"")</f>
        <v/>
      </c>
      <c r="C4374">
        <f>IFERROR(LARGE(Segmen!$D$3:$D$6000,A4374),"")</f>
        <v/>
      </c>
    </row>
    <row r="4375">
      <c r="A4375" t="n">
        <v>4374</v>
      </c>
      <c r="B4375">
        <f>IFERROR(INDEX(Segmen!$A$3:$A$6000,MATCH(C4375,Segmen!$D$3:$D$6000,0)),"")</f>
        <v/>
      </c>
      <c r="C4375">
        <f>IFERROR(LARGE(Segmen!$D$3:$D$6000,A4375),"")</f>
        <v/>
      </c>
    </row>
    <row r="4376">
      <c r="A4376" t="n">
        <v>4375</v>
      </c>
      <c r="B4376">
        <f>IFERROR(INDEX(Segmen!$A$3:$A$6000,MATCH(C4376,Segmen!$D$3:$D$6000,0)),"")</f>
        <v/>
      </c>
      <c r="C4376">
        <f>IFERROR(LARGE(Segmen!$D$3:$D$6000,A4376),"")</f>
        <v/>
      </c>
    </row>
    <row r="4377">
      <c r="A4377" t="n">
        <v>4376</v>
      </c>
      <c r="B4377">
        <f>IFERROR(INDEX(Segmen!$A$3:$A$6000,MATCH(C4377,Segmen!$D$3:$D$6000,0)),"")</f>
        <v/>
      </c>
      <c r="C4377">
        <f>IFERROR(LARGE(Segmen!$D$3:$D$6000,A4377),"")</f>
        <v/>
      </c>
    </row>
    <row r="4378">
      <c r="A4378" t="n">
        <v>4377</v>
      </c>
      <c r="B4378">
        <f>IFERROR(INDEX(Segmen!$A$3:$A$6000,MATCH(C4378,Segmen!$D$3:$D$6000,0)),"")</f>
        <v/>
      </c>
      <c r="C4378">
        <f>IFERROR(LARGE(Segmen!$D$3:$D$6000,A4378),"")</f>
        <v/>
      </c>
    </row>
    <row r="4379">
      <c r="A4379" t="n">
        <v>4378</v>
      </c>
      <c r="B4379">
        <f>IFERROR(INDEX(Segmen!$A$3:$A$6000,MATCH(C4379,Segmen!$D$3:$D$6000,0)),"")</f>
        <v/>
      </c>
      <c r="C4379">
        <f>IFERROR(LARGE(Segmen!$D$3:$D$6000,A4379),"")</f>
        <v/>
      </c>
    </row>
    <row r="4380">
      <c r="A4380" t="n">
        <v>4379</v>
      </c>
      <c r="B4380">
        <f>IFERROR(INDEX(Segmen!$A$3:$A$6000,MATCH(C4380,Segmen!$D$3:$D$6000,0)),"")</f>
        <v/>
      </c>
      <c r="C4380">
        <f>IFERROR(LARGE(Segmen!$D$3:$D$6000,A4380),"")</f>
        <v/>
      </c>
    </row>
    <row r="4381">
      <c r="A4381" t="n">
        <v>4380</v>
      </c>
      <c r="B4381">
        <f>IFERROR(INDEX(Segmen!$A$3:$A$6000,MATCH(C4381,Segmen!$D$3:$D$6000,0)),"")</f>
        <v/>
      </c>
      <c r="C4381">
        <f>IFERROR(LARGE(Segmen!$D$3:$D$6000,A4381),"")</f>
        <v/>
      </c>
    </row>
    <row r="4382">
      <c r="A4382" t="n">
        <v>4381</v>
      </c>
      <c r="B4382">
        <f>IFERROR(INDEX(Segmen!$A$3:$A$6000,MATCH(C4382,Segmen!$D$3:$D$6000,0)),"")</f>
        <v/>
      </c>
      <c r="C4382">
        <f>IFERROR(LARGE(Segmen!$D$3:$D$6000,A4382),"")</f>
        <v/>
      </c>
    </row>
    <row r="4383">
      <c r="A4383" t="n">
        <v>4382</v>
      </c>
      <c r="B4383">
        <f>IFERROR(INDEX(Segmen!$A$3:$A$6000,MATCH(C4383,Segmen!$D$3:$D$6000,0)),"")</f>
        <v/>
      </c>
      <c r="C4383">
        <f>IFERROR(LARGE(Segmen!$D$3:$D$6000,A4383),"")</f>
        <v/>
      </c>
    </row>
    <row r="4384">
      <c r="A4384" t="n">
        <v>4383</v>
      </c>
      <c r="B4384">
        <f>IFERROR(INDEX(Segmen!$A$3:$A$6000,MATCH(C4384,Segmen!$D$3:$D$6000,0)),"")</f>
        <v/>
      </c>
      <c r="C4384">
        <f>IFERROR(LARGE(Segmen!$D$3:$D$6000,A4384),"")</f>
        <v/>
      </c>
    </row>
    <row r="4385">
      <c r="A4385" t="n">
        <v>4384</v>
      </c>
      <c r="B4385">
        <f>IFERROR(INDEX(Segmen!$A$3:$A$6000,MATCH(C4385,Segmen!$D$3:$D$6000,0)),"")</f>
        <v/>
      </c>
      <c r="C4385">
        <f>IFERROR(LARGE(Segmen!$D$3:$D$6000,A4385),"")</f>
        <v/>
      </c>
    </row>
    <row r="4386">
      <c r="A4386" t="n">
        <v>4385</v>
      </c>
      <c r="B4386">
        <f>IFERROR(INDEX(Segmen!$A$3:$A$6000,MATCH(C4386,Segmen!$D$3:$D$6000,0)),"")</f>
        <v/>
      </c>
      <c r="C4386">
        <f>IFERROR(LARGE(Segmen!$D$3:$D$6000,A4386),"")</f>
        <v/>
      </c>
    </row>
    <row r="4387">
      <c r="A4387" t="n">
        <v>4386</v>
      </c>
      <c r="B4387">
        <f>IFERROR(INDEX(Segmen!$A$3:$A$6000,MATCH(C4387,Segmen!$D$3:$D$6000,0)),"")</f>
        <v/>
      </c>
      <c r="C4387">
        <f>IFERROR(LARGE(Segmen!$D$3:$D$6000,A4387),"")</f>
        <v/>
      </c>
    </row>
    <row r="4388">
      <c r="A4388" t="n">
        <v>4387</v>
      </c>
      <c r="B4388">
        <f>IFERROR(INDEX(Segmen!$A$3:$A$6000,MATCH(C4388,Segmen!$D$3:$D$6000,0)),"")</f>
        <v/>
      </c>
      <c r="C4388">
        <f>IFERROR(LARGE(Segmen!$D$3:$D$6000,A4388),"")</f>
        <v/>
      </c>
    </row>
    <row r="4389">
      <c r="A4389" t="n">
        <v>4388</v>
      </c>
      <c r="B4389">
        <f>IFERROR(INDEX(Segmen!$A$3:$A$6000,MATCH(C4389,Segmen!$D$3:$D$6000,0)),"")</f>
        <v/>
      </c>
      <c r="C4389">
        <f>IFERROR(LARGE(Segmen!$D$3:$D$6000,A4389),"")</f>
        <v/>
      </c>
    </row>
    <row r="4390">
      <c r="A4390" t="n">
        <v>4389</v>
      </c>
      <c r="B4390">
        <f>IFERROR(INDEX(Segmen!$A$3:$A$6000,MATCH(C4390,Segmen!$D$3:$D$6000,0)),"")</f>
        <v/>
      </c>
      <c r="C4390">
        <f>IFERROR(LARGE(Segmen!$D$3:$D$6000,A4390),"")</f>
        <v/>
      </c>
    </row>
    <row r="4391">
      <c r="A4391" t="n">
        <v>4390</v>
      </c>
      <c r="B4391">
        <f>IFERROR(INDEX(Segmen!$A$3:$A$6000,MATCH(C4391,Segmen!$D$3:$D$6000,0)),"")</f>
        <v/>
      </c>
      <c r="C4391">
        <f>IFERROR(LARGE(Segmen!$D$3:$D$6000,A4391),"")</f>
        <v/>
      </c>
    </row>
    <row r="4392">
      <c r="A4392" t="n">
        <v>4391</v>
      </c>
      <c r="B4392">
        <f>IFERROR(INDEX(Segmen!$A$3:$A$6000,MATCH(C4392,Segmen!$D$3:$D$6000,0)),"")</f>
        <v/>
      </c>
      <c r="C4392">
        <f>IFERROR(LARGE(Segmen!$D$3:$D$6000,A4392),"")</f>
        <v/>
      </c>
    </row>
    <row r="4393">
      <c r="A4393" t="n">
        <v>4392</v>
      </c>
      <c r="B4393">
        <f>IFERROR(INDEX(Segmen!$A$3:$A$6000,MATCH(C4393,Segmen!$D$3:$D$6000,0)),"")</f>
        <v/>
      </c>
      <c r="C4393">
        <f>IFERROR(LARGE(Segmen!$D$3:$D$6000,A4393),"")</f>
        <v/>
      </c>
    </row>
    <row r="4394">
      <c r="A4394" t="n">
        <v>4393</v>
      </c>
      <c r="B4394">
        <f>IFERROR(INDEX(Segmen!$A$3:$A$6000,MATCH(C4394,Segmen!$D$3:$D$6000,0)),"")</f>
        <v/>
      </c>
      <c r="C4394">
        <f>IFERROR(LARGE(Segmen!$D$3:$D$6000,A4394),"")</f>
        <v/>
      </c>
    </row>
    <row r="4395">
      <c r="A4395" t="n">
        <v>4394</v>
      </c>
      <c r="B4395">
        <f>IFERROR(INDEX(Segmen!$A$3:$A$6000,MATCH(C4395,Segmen!$D$3:$D$6000,0)),"")</f>
        <v/>
      </c>
      <c r="C4395">
        <f>IFERROR(LARGE(Segmen!$D$3:$D$6000,A4395),"")</f>
        <v/>
      </c>
    </row>
    <row r="4396">
      <c r="A4396" t="n">
        <v>4395</v>
      </c>
      <c r="B4396">
        <f>IFERROR(INDEX(Segmen!$A$3:$A$6000,MATCH(C4396,Segmen!$D$3:$D$6000,0)),"")</f>
        <v/>
      </c>
      <c r="C4396">
        <f>IFERROR(LARGE(Segmen!$D$3:$D$6000,A4396),"")</f>
        <v/>
      </c>
    </row>
    <row r="4397">
      <c r="A4397" t="n">
        <v>4396</v>
      </c>
      <c r="B4397">
        <f>IFERROR(INDEX(Segmen!$A$3:$A$6000,MATCH(C4397,Segmen!$D$3:$D$6000,0)),"")</f>
        <v/>
      </c>
      <c r="C4397">
        <f>IFERROR(LARGE(Segmen!$D$3:$D$6000,A4397),"")</f>
        <v/>
      </c>
    </row>
    <row r="4398">
      <c r="A4398" t="n">
        <v>4397</v>
      </c>
      <c r="B4398">
        <f>IFERROR(INDEX(Segmen!$A$3:$A$6000,MATCH(C4398,Segmen!$D$3:$D$6000,0)),"")</f>
        <v/>
      </c>
      <c r="C4398">
        <f>IFERROR(LARGE(Segmen!$D$3:$D$6000,A4398),"")</f>
        <v/>
      </c>
    </row>
    <row r="4399">
      <c r="A4399" t="n">
        <v>4398</v>
      </c>
      <c r="B4399">
        <f>IFERROR(INDEX(Segmen!$A$3:$A$6000,MATCH(C4399,Segmen!$D$3:$D$6000,0)),"")</f>
        <v/>
      </c>
      <c r="C4399">
        <f>IFERROR(LARGE(Segmen!$D$3:$D$6000,A4399),"")</f>
        <v/>
      </c>
    </row>
    <row r="4400">
      <c r="A4400" t="n">
        <v>4399</v>
      </c>
      <c r="B4400">
        <f>IFERROR(INDEX(Segmen!$A$3:$A$6000,MATCH(C4400,Segmen!$D$3:$D$6000,0)),"")</f>
        <v/>
      </c>
      <c r="C4400">
        <f>IFERROR(LARGE(Segmen!$D$3:$D$6000,A4400),"")</f>
        <v/>
      </c>
    </row>
    <row r="4401">
      <c r="A4401" t="n">
        <v>4400</v>
      </c>
      <c r="B4401">
        <f>IFERROR(INDEX(Segmen!$A$3:$A$6000,MATCH(C4401,Segmen!$D$3:$D$6000,0)),"")</f>
        <v/>
      </c>
      <c r="C4401">
        <f>IFERROR(LARGE(Segmen!$D$3:$D$6000,A4401),"")</f>
        <v/>
      </c>
    </row>
    <row r="4402">
      <c r="A4402" t="n">
        <v>4401</v>
      </c>
      <c r="B4402">
        <f>IFERROR(INDEX(Segmen!$A$3:$A$6000,MATCH(C4402,Segmen!$D$3:$D$6000,0)),"")</f>
        <v/>
      </c>
      <c r="C4402">
        <f>IFERROR(LARGE(Segmen!$D$3:$D$6000,A4402),"")</f>
        <v/>
      </c>
    </row>
    <row r="4403">
      <c r="A4403" t="n">
        <v>4402</v>
      </c>
      <c r="B4403">
        <f>IFERROR(INDEX(Segmen!$A$3:$A$6000,MATCH(C4403,Segmen!$D$3:$D$6000,0)),"")</f>
        <v/>
      </c>
      <c r="C4403">
        <f>IFERROR(LARGE(Segmen!$D$3:$D$6000,A4403),"")</f>
        <v/>
      </c>
    </row>
    <row r="4404">
      <c r="A4404" t="n">
        <v>4403</v>
      </c>
      <c r="B4404">
        <f>IFERROR(INDEX(Segmen!$A$3:$A$6000,MATCH(C4404,Segmen!$D$3:$D$6000,0)),"")</f>
        <v/>
      </c>
      <c r="C4404">
        <f>IFERROR(LARGE(Segmen!$D$3:$D$6000,A4404),"")</f>
        <v/>
      </c>
    </row>
    <row r="4405">
      <c r="A4405" t="n">
        <v>4404</v>
      </c>
      <c r="B4405">
        <f>IFERROR(INDEX(Segmen!$A$3:$A$6000,MATCH(C4405,Segmen!$D$3:$D$6000,0)),"")</f>
        <v/>
      </c>
      <c r="C4405">
        <f>IFERROR(LARGE(Segmen!$D$3:$D$6000,A4405),"")</f>
        <v/>
      </c>
    </row>
    <row r="4406">
      <c r="A4406" t="n">
        <v>4405</v>
      </c>
      <c r="B4406">
        <f>IFERROR(INDEX(Segmen!$A$3:$A$6000,MATCH(C4406,Segmen!$D$3:$D$6000,0)),"")</f>
        <v/>
      </c>
      <c r="C4406">
        <f>IFERROR(LARGE(Segmen!$D$3:$D$6000,A4406),"")</f>
        <v/>
      </c>
    </row>
    <row r="4407">
      <c r="A4407" t="n">
        <v>4406</v>
      </c>
      <c r="B4407">
        <f>IFERROR(INDEX(Segmen!$A$3:$A$6000,MATCH(C4407,Segmen!$D$3:$D$6000,0)),"")</f>
        <v/>
      </c>
      <c r="C4407">
        <f>IFERROR(LARGE(Segmen!$D$3:$D$6000,A4407),"")</f>
        <v/>
      </c>
    </row>
    <row r="4408">
      <c r="A4408" t="n">
        <v>4407</v>
      </c>
      <c r="B4408">
        <f>IFERROR(INDEX(Segmen!$A$3:$A$6000,MATCH(C4408,Segmen!$D$3:$D$6000,0)),"")</f>
        <v/>
      </c>
      <c r="C4408">
        <f>IFERROR(LARGE(Segmen!$D$3:$D$6000,A4408),"")</f>
        <v/>
      </c>
    </row>
    <row r="4409">
      <c r="A4409" t="n">
        <v>4408</v>
      </c>
      <c r="B4409">
        <f>IFERROR(INDEX(Segmen!$A$3:$A$6000,MATCH(C4409,Segmen!$D$3:$D$6000,0)),"")</f>
        <v/>
      </c>
      <c r="C4409">
        <f>IFERROR(LARGE(Segmen!$D$3:$D$6000,A4409),"")</f>
        <v/>
      </c>
    </row>
    <row r="4410">
      <c r="A4410" t="n">
        <v>4409</v>
      </c>
      <c r="B4410">
        <f>IFERROR(INDEX(Segmen!$A$3:$A$6000,MATCH(C4410,Segmen!$D$3:$D$6000,0)),"")</f>
        <v/>
      </c>
      <c r="C4410">
        <f>IFERROR(LARGE(Segmen!$D$3:$D$6000,A4410),"")</f>
        <v/>
      </c>
    </row>
    <row r="4411">
      <c r="A4411" t="n">
        <v>4410</v>
      </c>
      <c r="B4411">
        <f>IFERROR(INDEX(Segmen!$A$3:$A$6000,MATCH(C4411,Segmen!$D$3:$D$6000,0)),"")</f>
        <v/>
      </c>
      <c r="C4411">
        <f>IFERROR(LARGE(Segmen!$D$3:$D$6000,A4411),"")</f>
        <v/>
      </c>
    </row>
    <row r="4412">
      <c r="A4412" t="n">
        <v>4411</v>
      </c>
      <c r="B4412">
        <f>IFERROR(INDEX(Segmen!$A$3:$A$6000,MATCH(C4412,Segmen!$D$3:$D$6000,0)),"")</f>
        <v/>
      </c>
      <c r="C4412">
        <f>IFERROR(LARGE(Segmen!$D$3:$D$6000,A4412),"")</f>
        <v/>
      </c>
    </row>
    <row r="4413">
      <c r="A4413" t="n">
        <v>4412</v>
      </c>
      <c r="B4413">
        <f>IFERROR(INDEX(Segmen!$A$3:$A$6000,MATCH(C4413,Segmen!$D$3:$D$6000,0)),"")</f>
        <v/>
      </c>
      <c r="C4413">
        <f>IFERROR(LARGE(Segmen!$D$3:$D$6000,A4413),"")</f>
        <v/>
      </c>
    </row>
    <row r="4414">
      <c r="A4414" t="n">
        <v>4413</v>
      </c>
      <c r="B4414">
        <f>IFERROR(INDEX(Segmen!$A$3:$A$6000,MATCH(C4414,Segmen!$D$3:$D$6000,0)),"")</f>
        <v/>
      </c>
      <c r="C4414">
        <f>IFERROR(LARGE(Segmen!$D$3:$D$6000,A4414),"")</f>
        <v/>
      </c>
    </row>
    <row r="4415">
      <c r="A4415" t="n">
        <v>4414</v>
      </c>
      <c r="B4415">
        <f>IFERROR(INDEX(Segmen!$A$3:$A$6000,MATCH(C4415,Segmen!$D$3:$D$6000,0)),"")</f>
        <v/>
      </c>
      <c r="C4415">
        <f>IFERROR(LARGE(Segmen!$D$3:$D$6000,A4415),"")</f>
        <v/>
      </c>
    </row>
    <row r="4416">
      <c r="A4416" t="n">
        <v>4415</v>
      </c>
      <c r="B4416">
        <f>IFERROR(INDEX(Segmen!$A$3:$A$6000,MATCH(C4416,Segmen!$D$3:$D$6000,0)),"")</f>
        <v/>
      </c>
      <c r="C4416">
        <f>IFERROR(LARGE(Segmen!$D$3:$D$6000,A4416),"")</f>
        <v/>
      </c>
    </row>
    <row r="4417">
      <c r="A4417" t="n">
        <v>4416</v>
      </c>
      <c r="B4417">
        <f>IFERROR(INDEX(Segmen!$A$3:$A$6000,MATCH(C4417,Segmen!$D$3:$D$6000,0)),"")</f>
        <v/>
      </c>
      <c r="C4417">
        <f>IFERROR(LARGE(Segmen!$D$3:$D$6000,A4417),"")</f>
        <v/>
      </c>
    </row>
    <row r="4418">
      <c r="A4418" t="n">
        <v>4417</v>
      </c>
      <c r="B4418">
        <f>IFERROR(INDEX(Segmen!$A$3:$A$6000,MATCH(C4418,Segmen!$D$3:$D$6000,0)),"")</f>
        <v/>
      </c>
      <c r="C4418">
        <f>IFERROR(LARGE(Segmen!$D$3:$D$6000,A4418),"")</f>
        <v/>
      </c>
    </row>
    <row r="4419">
      <c r="A4419" t="n">
        <v>4418</v>
      </c>
      <c r="B4419">
        <f>IFERROR(INDEX(Segmen!$A$3:$A$6000,MATCH(C4419,Segmen!$D$3:$D$6000,0)),"")</f>
        <v/>
      </c>
      <c r="C4419">
        <f>IFERROR(LARGE(Segmen!$D$3:$D$6000,A4419),"")</f>
        <v/>
      </c>
    </row>
    <row r="4420">
      <c r="A4420" t="n">
        <v>4419</v>
      </c>
      <c r="B4420">
        <f>IFERROR(INDEX(Segmen!$A$3:$A$6000,MATCH(C4420,Segmen!$D$3:$D$6000,0)),"")</f>
        <v/>
      </c>
      <c r="C4420">
        <f>IFERROR(LARGE(Segmen!$D$3:$D$6000,A4420),"")</f>
        <v/>
      </c>
    </row>
    <row r="4421">
      <c r="A4421" t="n">
        <v>4420</v>
      </c>
      <c r="B4421">
        <f>IFERROR(INDEX(Segmen!$A$3:$A$6000,MATCH(C4421,Segmen!$D$3:$D$6000,0)),"")</f>
        <v/>
      </c>
      <c r="C4421">
        <f>IFERROR(LARGE(Segmen!$D$3:$D$6000,A4421),"")</f>
        <v/>
      </c>
    </row>
    <row r="4422">
      <c r="A4422" t="n">
        <v>4421</v>
      </c>
      <c r="B4422">
        <f>IFERROR(INDEX(Segmen!$A$3:$A$6000,MATCH(C4422,Segmen!$D$3:$D$6000,0)),"")</f>
        <v/>
      </c>
      <c r="C4422">
        <f>IFERROR(LARGE(Segmen!$D$3:$D$6000,A4422),"")</f>
        <v/>
      </c>
    </row>
    <row r="4423">
      <c r="A4423" t="n">
        <v>4422</v>
      </c>
      <c r="B4423">
        <f>IFERROR(INDEX(Segmen!$A$3:$A$6000,MATCH(C4423,Segmen!$D$3:$D$6000,0)),"")</f>
        <v/>
      </c>
      <c r="C4423">
        <f>IFERROR(LARGE(Segmen!$D$3:$D$6000,A4423),"")</f>
        <v/>
      </c>
    </row>
    <row r="4424">
      <c r="A4424" t="n">
        <v>4423</v>
      </c>
      <c r="B4424">
        <f>IFERROR(INDEX(Segmen!$A$3:$A$6000,MATCH(C4424,Segmen!$D$3:$D$6000,0)),"")</f>
        <v/>
      </c>
      <c r="C4424">
        <f>IFERROR(LARGE(Segmen!$D$3:$D$6000,A4424),"")</f>
        <v/>
      </c>
    </row>
    <row r="4425">
      <c r="A4425" t="n">
        <v>4424</v>
      </c>
      <c r="B4425">
        <f>IFERROR(INDEX(Segmen!$A$3:$A$6000,MATCH(C4425,Segmen!$D$3:$D$6000,0)),"")</f>
        <v/>
      </c>
      <c r="C4425">
        <f>IFERROR(LARGE(Segmen!$D$3:$D$6000,A4425),"")</f>
        <v/>
      </c>
    </row>
    <row r="4426">
      <c r="A4426" t="n">
        <v>4425</v>
      </c>
      <c r="B4426">
        <f>IFERROR(INDEX(Segmen!$A$3:$A$6000,MATCH(C4426,Segmen!$D$3:$D$6000,0)),"")</f>
        <v/>
      </c>
      <c r="C4426">
        <f>IFERROR(LARGE(Segmen!$D$3:$D$6000,A4426),"")</f>
        <v/>
      </c>
    </row>
    <row r="4427">
      <c r="A4427" t="n">
        <v>4426</v>
      </c>
      <c r="B4427">
        <f>IFERROR(INDEX(Segmen!$A$3:$A$6000,MATCH(C4427,Segmen!$D$3:$D$6000,0)),"")</f>
        <v/>
      </c>
      <c r="C4427">
        <f>IFERROR(LARGE(Segmen!$D$3:$D$6000,A4427),"")</f>
        <v/>
      </c>
    </row>
    <row r="4428">
      <c r="A4428" t="n">
        <v>4427</v>
      </c>
      <c r="B4428">
        <f>IFERROR(INDEX(Segmen!$A$3:$A$6000,MATCH(C4428,Segmen!$D$3:$D$6000,0)),"")</f>
        <v/>
      </c>
      <c r="C4428">
        <f>IFERROR(LARGE(Segmen!$D$3:$D$6000,A4428),"")</f>
        <v/>
      </c>
    </row>
    <row r="4429">
      <c r="A4429" t="n">
        <v>4428</v>
      </c>
      <c r="B4429">
        <f>IFERROR(INDEX(Segmen!$A$3:$A$6000,MATCH(C4429,Segmen!$D$3:$D$6000,0)),"")</f>
        <v/>
      </c>
      <c r="C4429">
        <f>IFERROR(LARGE(Segmen!$D$3:$D$6000,A4429),"")</f>
        <v/>
      </c>
    </row>
    <row r="4430">
      <c r="A4430" t="n">
        <v>4429</v>
      </c>
      <c r="B4430">
        <f>IFERROR(INDEX(Segmen!$A$3:$A$6000,MATCH(C4430,Segmen!$D$3:$D$6000,0)),"")</f>
        <v/>
      </c>
      <c r="C4430">
        <f>IFERROR(LARGE(Segmen!$D$3:$D$6000,A4430),"")</f>
        <v/>
      </c>
    </row>
    <row r="4431">
      <c r="A4431" t="n">
        <v>4430</v>
      </c>
      <c r="B4431">
        <f>IFERROR(INDEX(Segmen!$A$3:$A$6000,MATCH(C4431,Segmen!$D$3:$D$6000,0)),"")</f>
        <v/>
      </c>
      <c r="C4431">
        <f>IFERROR(LARGE(Segmen!$D$3:$D$6000,A4431),"")</f>
        <v/>
      </c>
    </row>
    <row r="4432">
      <c r="A4432" t="n">
        <v>4431</v>
      </c>
      <c r="B4432">
        <f>IFERROR(INDEX(Segmen!$A$3:$A$6000,MATCH(C4432,Segmen!$D$3:$D$6000,0)),"")</f>
        <v/>
      </c>
      <c r="C4432">
        <f>IFERROR(LARGE(Segmen!$D$3:$D$6000,A4432),"")</f>
        <v/>
      </c>
    </row>
    <row r="4433">
      <c r="A4433" t="n">
        <v>4432</v>
      </c>
      <c r="B4433">
        <f>IFERROR(INDEX(Segmen!$A$3:$A$6000,MATCH(C4433,Segmen!$D$3:$D$6000,0)),"")</f>
        <v/>
      </c>
      <c r="C4433">
        <f>IFERROR(LARGE(Segmen!$D$3:$D$6000,A4433),"")</f>
        <v/>
      </c>
    </row>
    <row r="4434">
      <c r="A4434" t="n">
        <v>4433</v>
      </c>
      <c r="B4434">
        <f>IFERROR(INDEX(Segmen!$A$3:$A$6000,MATCH(C4434,Segmen!$D$3:$D$6000,0)),"")</f>
        <v/>
      </c>
      <c r="C4434">
        <f>IFERROR(LARGE(Segmen!$D$3:$D$6000,A4434),"")</f>
        <v/>
      </c>
    </row>
    <row r="4435">
      <c r="A4435" t="n">
        <v>4434</v>
      </c>
      <c r="B4435">
        <f>IFERROR(INDEX(Segmen!$A$3:$A$6000,MATCH(C4435,Segmen!$D$3:$D$6000,0)),"")</f>
        <v/>
      </c>
      <c r="C4435">
        <f>IFERROR(LARGE(Segmen!$D$3:$D$6000,A4435),"")</f>
        <v/>
      </c>
    </row>
    <row r="4436">
      <c r="A4436" t="n">
        <v>4435</v>
      </c>
      <c r="B4436">
        <f>IFERROR(INDEX(Segmen!$A$3:$A$6000,MATCH(C4436,Segmen!$D$3:$D$6000,0)),"")</f>
        <v/>
      </c>
      <c r="C4436">
        <f>IFERROR(LARGE(Segmen!$D$3:$D$6000,A4436),"")</f>
        <v/>
      </c>
    </row>
    <row r="4437">
      <c r="A4437" t="n">
        <v>4436</v>
      </c>
      <c r="B4437">
        <f>IFERROR(INDEX(Segmen!$A$3:$A$6000,MATCH(C4437,Segmen!$D$3:$D$6000,0)),"")</f>
        <v/>
      </c>
      <c r="C4437">
        <f>IFERROR(LARGE(Segmen!$D$3:$D$6000,A4437),"")</f>
        <v/>
      </c>
    </row>
    <row r="4438">
      <c r="A4438" t="n">
        <v>4437</v>
      </c>
      <c r="B4438">
        <f>IFERROR(INDEX(Segmen!$A$3:$A$6000,MATCH(C4438,Segmen!$D$3:$D$6000,0)),"")</f>
        <v/>
      </c>
      <c r="C4438">
        <f>IFERROR(LARGE(Segmen!$D$3:$D$6000,A4438),"")</f>
        <v/>
      </c>
    </row>
    <row r="4439">
      <c r="A4439" t="n">
        <v>4438</v>
      </c>
      <c r="B4439">
        <f>IFERROR(INDEX(Segmen!$A$3:$A$6000,MATCH(C4439,Segmen!$D$3:$D$6000,0)),"")</f>
        <v/>
      </c>
      <c r="C4439">
        <f>IFERROR(LARGE(Segmen!$D$3:$D$6000,A4439),"")</f>
        <v/>
      </c>
    </row>
    <row r="4440">
      <c r="A4440" t="n">
        <v>4439</v>
      </c>
      <c r="B4440">
        <f>IFERROR(INDEX(Segmen!$A$3:$A$6000,MATCH(C4440,Segmen!$D$3:$D$6000,0)),"")</f>
        <v/>
      </c>
      <c r="C4440">
        <f>IFERROR(LARGE(Segmen!$D$3:$D$6000,A4440),"")</f>
        <v/>
      </c>
    </row>
    <row r="4441">
      <c r="A4441" t="n">
        <v>4440</v>
      </c>
      <c r="B4441">
        <f>IFERROR(INDEX(Segmen!$A$3:$A$6000,MATCH(C4441,Segmen!$D$3:$D$6000,0)),"")</f>
        <v/>
      </c>
      <c r="C4441">
        <f>IFERROR(LARGE(Segmen!$D$3:$D$6000,A4441),"")</f>
        <v/>
      </c>
    </row>
    <row r="4442">
      <c r="A4442" t="n">
        <v>4441</v>
      </c>
      <c r="B4442">
        <f>IFERROR(INDEX(Segmen!$A$3:$A$6000,MATCH(C4442,Segmen!$D$3:$D$6000,0)),"")</f>
        <v/>
      </c>
      <c r="C4442">
        <f>IFERROR(LARGE(Segmen!$D$3:$D$6000,A4442),"")</f>
        <v/>
      </c>
    </row>
    <row r="4443">
      <c r="A4443" t="n">
        <v>4442</v>
      </c>
      <c r="B4443">
        <f>IFERROR(INDEX(Segmen!$A$3:$A$6000,MATCH(C4443,Segmen!$D$3:$D$6000,0)),"")</f>
        <v/>
      </c>
      <c r="C4443">
        <f>IFERROR(LARGE(Segmen!$D$3:$D$6000,A4443),"")</f>
        <v/>
      </c>
    </row>
    <row r="4444">
      <c r="A4444" t="n">
        <v>4443</v>
      </c>
      <c r="B4444">
        <f>IFERROR(INDEX(Segmen!$A$3:$A$6000,MATCH(C4444,Segmen!$D$3:$D$6000,0)),"")</f>
        <v/>
      </c>
      <c r="C4444">
        <f>IFERROR(LARGE(Segmen!$D$3:$D$6000,A4444),"")</f>
        <v/>
      </c>
    </row>
    <row r="4445">
      <c r="A4445" t="n">
        <v>4444</v>
      </c>
      <c r="B4445">
        <f>IFERROR(INDEX(Segmen!$A$3:$A$6000,MATCH(C4445,Segmen!$D$3:$D$6000,0)),"")</f>
        <v/>
      </c>
      <c r="C4445">
        <f>IFERROR(LARGE(Segmen!$D$3:$D$6000,A4445),"")</f>
        <v/>
      </c>
    </row>
    <row r="4446">
      <c r="A4446" t="n">
        <v>4445</v>
      </c>
      <c r="B4446">
        <f>IFERROR(INDEX(Segmen!$A$3:$A$6000,MATCH(C4446,Segmen!$D$3:$D$6000,0)),"")</f>
        <v/>
      </c>
      <c r="C4446">
        <f>IFERROR(LARGE(Segmen!$D$3:$D$6000,A4446),"")</f>
        <v/>
      </c>
    </row>
    <row r="4447">
      <c r="A4447" t="n">
        <v>4446</v>
      </c>
      <c r="B4447">
        <f>IFERROR(INDEX(Segmen!$A$3:$A$6000,MATCH(C4447,Segmen!$D$3:$D$6000,0)),"")</f>
        <v/>
      </c>
      <c r="C4447">
        <f>IFERROR(LARGE(Segmen!$D$3:$D$6000,A4447),"")</f>
        <v/>
      </c>
    </row>
    <row r="4448">
      <c r="A4448" t="n">
        <v>4447</v>
      </c>
      <c r="B4448">
        <f>IFERROR(INDEX(Segmen!$A$3:$A$6000,MATCH(C4448,Segmen!$D$3:$D$6000,0)),"")</f>
        <v/>
      </c>
      <c r="C4448">
        <f>IFERROR(LARGE(Segmen!$D$3:$D$6000,A4448),"")</f>
        <v/>
      </c>
    </row>
    <row r="4449">
      <c r="A4449" t="n">
        <v>4448</v>
      </c>
      <c r="B4449">
        <f>IFERROR(INDEX(Segmen!$A$3:$A$6000,MATCH(C4449,Segmen!$D$3:$D$6000,0)),"")</f>
        <v/>
      </c>
      <c r="C4449">
        <f>IFERROR(LARGE(Segmen!$D$3:$D$6000,A4449),"")</f>
        <v/>
      </c>
    </row>
    <row r="4450">
      <c r="A4450" t="n">
        <v>4449</v>
      </c>
      <c r="B4450">
        <f>IFERROR(INDEX(Segmen!$A$3:$A$6000,MATCH(C4450,Segmen!$D$3:$D$6000,0)),"")</f>
        <v/>
      </c>
      <c r="C4450">
        <f>IFERROR(LARGE(Segmen!$D$3:$D$6000,A4450),"")</f>
        <v/>
      </c>
    </row>
    <row r="4451">
      <c r="A4451" t="n">
        <v>4450</v>
      </c>
      <c r="B4451">
        <f>IFERROR(INDEX(Segmen!$A$3:$A$6000,MATCH(C4451,Segmen!$D$3:$D$6000,0)),"")</f>
        <v/>
      </c>
      <c r="C4451">
        <f>IFERROR(LARGE(Segmen!$D$3:$D$6000,A4451),"")</f>
        <v/>
      </c>
    </row>
    <row r="4452">
      <c r="A4452" t="n">
        <v>4451</v>
      </c>
      <c r="B4452">
        <f>IFERROR(INDEX(Segmen!$A$3:$A$6000,MATCH(C4452,Segmen!$D$3:$D$6000,0)),"")</f>
        <v/>
      </c>
      <c r="C4452">
        <f>IFERROR(LARGE(Segmen!$D$3:$D$6000,A4452),"")</f>
        <v/>
      </c>
    </row>
    <row r="4453">
      <c r="A4453" t="n">
        <v>4452</v>
      </c>
      <c r="B4453">
        <f>IFERROR(INDEX(Segmen!$A$3:$A$6000,MATCH(C4453,Segmen!$D$3:$D$6000,0)),"")</f>
        <v/>
      </c>
      <c r="C4453">
        <f>IFERROR(LARGE(Segmen!$D$3:$D$6000,A4453),"")</f>
        <v/>
      </c>
    </row>
    <row r="4454">
      <c r="A4454" t="n">
        <v>4453</v>
      </c>
      <c r="B4454">
        <f>IFERROR(INDEX(Segmen!$A$3:$A$6000,MATCH(C4454,Segmen!$D$3:$D$6000,0)),"")</f>
        <v/>
      </c>
      <c r="C4454">
        <f>IFERROR(LARGE(Segmen!$D$3:$D$6000,A4454),"")</f>
        <v/>
      </c>
    </row>
    <row r="4455">
      <c r="A4455" t="n">
        <v>4454</v>
      </c>
      <c r="B4455">
        <f>IFERROR(INDEX(Segmen!$A$3:$A$6000,MATCH(C4455,Segmen!$D$3:$D$6000,0)),"")</f>
        <v/>
      </c>
      <c r="C4455">
        <f>IFERROR(LARGE(Segmen!$D$3:$D$6000,A4455),"")</f>
        <v/>
      </c>
    </row>
    <row r="4456">
      <c r="A4456" t="n">
        <v>4455</v>
      </c>
      <c r="B4456">
        <f>IFERROR(INDEX(Segmen!$A$3:$A$6000,MATCH(C4456,Segmen!$D$3:$D$6000,0)),"")</f>
        <v/>
      </c>
      <c r="C4456">
        <f>IFERROR(LARGE(Segmen!$D$3:$D$6000,A4456),"")</f>
        <v/>
      </c>
    </row>
    <row r="4457">
      <c r="A4457" t="n">
        <v>4456</v>
      </c>
      <c r="B4457">
        <f>IFERROR(INDEX(Segmen!$A$3:$A$6000,MATCH(C4457,Segmen!$D$3:$D$6000,0)),"")</f>
        <v/>
      </c>
      <c r="C4457">
        <f>IFERROR(LARGE(Segmen!$D$3:$D$6000,A4457),"")</f>
        <v/>
      </c>
    </row>
    <row r="4458">
      <c r="A4458" t="n">
        <v>4457</v>
      </c>
      <c r="B4458">
        <f>IFERROR(INDEX(Segmen!$A$3:$A$6000,MATCH(C4458,Segmen!$D$3:$D$6000,0)),"")</f>
        <v/>
      </c>
      <c r="C4458">
        <f>IFERROR(LARGE(Segmen!$D$3:$D$6000,A4458),"")</f>
        <v/>
      </c>
    </row>
    <row r="4459">
      <c r="A4459" t="n">
        <v>4458</v>
      </c>
      <c r="B4459">
        <f>IFERROR(INDEX(Segmen!$A$3:$A$6000,MATCH(C4459,Segmen!$D$3:$D$6000,0)),"")</f>
        <v/>
      </c>
      <c r="C4459">
        <f>IFERROR(LARGE(Segmen!$D$3:$D$6000,A4459),"")</f>
        <v/>
      </c>
    </row>
    <row r="4460">
      <c r="A4460" t="n">
        <v>4459</v>
      </c>
      <c r="B4460">
        <f>IFERROR(INDEX(Segmen!$A$3:$A$6000,MATCH(C4460,Segmen!$D$3:$D$6000,0)),"")</f>
        <v/>
      </c>
      <c r="C4460">
        <f>IFERROR(LARGE(Segmen!$D$3:$D$6000,A4460),"")</f>
        <v/>
      </c>
    </row>
    <row r="4461">
      <c r="A4461" t="n">
        <v>4460</v>
      </c>
      <c r="B4461">
        <f>IFERROR(INDEX(Segmen!$A$3:$A$6000,MATCH(C4461,Segmen!$D$3:$D$6000,0)),"")</f>
        <v/>
      </c>
      <c r="C4461">
        <f>IFERROR(LARGE(Segmen!$D$3:$D$6000,A4461),"")</f>
        <v/>
      </c>
    </row>
    <row r="4462">
      <c r="A4462" t="n">
        <v>4461</v>
      </c>
      <c r="B4462">
        <f>IFERROR(INDEX(Segmen!$A$3:$A$6000,MATCH(C4462,Segmen!$D$3:$D$6000,0)),"")</f>
        <v/>
      </c>
      <c r="C4462">
        <f>IFERROR(LARGE(Segmen!$D$3:$D$6000,A4462),"")</f>
        <v/>
      </c>
    </row>
    <row r="4463">
      <c r="A4463" t="n">
        <v>4462</v>
      </c>
      <c r="B4463">
        <f>IFERROR(INDEX(Segmen!$A$3:$A$6000,MATCH(C4463,Segmen!$D$3:$D$6000,0)),"")</f>
        <v/>
      </c>
      <c r="C4463">
        <f>IFERROR(LARGE(Segmen!$D$3:$D$6000,A4463),"")</f>
        <v/>
      </c>
    </row>
    <row r="4464">
      <c r="A4464" t="n">
        <v>4463</v>
      </c>
      <c r="B4464">
        <f>IFERROR(INDEX(Segmen!$A$3:$A$6000,MATCH(C4464,Segmen!$D$3:$D$6000,0)),"")</f>
        <v/>
      </c>
      <c r="C4464">
        <f>IFERROR(LARGE(Segmen!$D$3:$D$6000,A4464),"")</f>
        <v/>
      </c>
    </row>
    <row r="4465">
      <c r="A4465" t="n">
        <v>4464</v>
      </c>
      <c r="B4465">
        <f>IFERROR(INDEX(Segmen!$A$3:$A$6000,MATCH(C4465,Segmen!$D$3:$D$6000,0)),"")</f>
        <v/>
      </c>
      <c r="C4465">
        <f>IFERROR(LARGE(Segmen!$D$3:$D$6000,A4465),"")</f>
        <v/>
      </c>
    </row>
    <row r="4466">
      <c r="A4466" t="n">
        <v>4465</v>
      </c>
      <c r="B4466">
        <f>IFERROR(INDEX(Segmen!$A$3:$A$6000,MATCH(C4466,Segmen!$D$3:$D$6000,0)),"")</f>
        <v/>
      </c>
      <c r="C4466">
        <f>IFERROR(LARGE(Segmen!$D$3:$D$6000,A4466),"")</f>
        <v/>
      </c>
    </row>
    <row r="4467">
      <c r="A4467" t="n">
        <v>4466</v>
      </c>
      <c r="B4467">
        <f>IFERROR(INDEX(Segmen!$A$3:$A$6000,MATCH(C4467,Segmen!$D$3:$D$6000,0)),"")</f>
        <v/>
      </c>
      <c r="C4467">
        <f>IFERROR(LARGE(Segmen!$D$3:$D$6000,A4467),"")</f>
        <v/>
      </c>
    </row>
    <row r="4468">
      <c r="A4468" t="n">
        <v>4467</v>
      </c>
      <c r="B4468">
        <f>IFERROR(INDEX(Segmen!$A$3:$A$6000,MATCH(C4468,Segmen!$D$3:$D$6000,0)),"")</f>
        <v/>
      </c>
      <c r="C4468">
        <f>IFERROR(LARGE(Segmen!$D$3:$D$6000,A4468),"")</f>
        <v/>
      </c>
    </row>
    <row r="4469">
      <c r="A4469" t="n">
        <v>4468</v>
      </c>
      <c r="B4469">
        <f>IFERROR(INDEX(Segmen!$A$3:$A$6000,MATCH(C4469,Segmen!$D$3:$D$6000,0)),"")</f>
        <v/>
      </c>
      <c r="C4469">
        <f>IFERROR(LARGE(Segmen!$D$3:$D$6000,A4469),"")</f>
        <v/>
      </c>
    </row>
    <row r="4470">
      <c r="A4470" t="n">
        <v>4469</v>
      </c>
      <c r="B4470">
        <f>IFERROR(INDEX(Segmen!$A$3:$A$6000,MATCH(C4470,Segmen!$D$3:$D$6000,0)),"")</f>
        <v/>
      </c>
      <c r="C4470">
        <f>IFERROR(LARGE(Segmen!$D$3:$D$6000,A4470),"")</f>
        <v/>
      </c>
    </row>
    <row r="4471">
      <c r="A4471" t="n">
        <v>4470</v>
      </c>
      <c r="B4471">
        <f>IFERROR(INDEX(Segmen!$A$3:$A$6000,MATCH(C4471,Segmen!$D$3:$D$6000,0)),"")</f>
        <v/>
      </c>
      <c r="C4471">
        <f>IFERROR(LARGE(Segmen!$D$3:$D$6000,A4471),"")</f>
        <v/>
      </c>
    </row>
    <row r="4472">
      <c r="A4472" t="n">
        <v>4471</v>
      </c>
      <c r="B4472">
        <f>IFERROR(INDEX(Segmen!$A$3:$A$6000,MATCH(C4472,Segmen!$D$3:$D$6000,0)),"")</f>
        <v/>
      </c>
      <c r="C4472">
        <f>IFERROR(LARGE(Segmen!$D$3:$D$6000,A4472),"")</f>
        <v/>
      </c>
    </row>
    <row r="4473">
      <c r="A4473" t="n">
        <v>4472</v>
      </c>
      <c r="B4473">
        <f>IFERROR(INDEX(Segmen!$A$3:$A$6000,MATCH(C4473,Segmen!$D$3:$D$6000,0)),"")</f>
        <v/>
      </c>
      <c r="C4473">
        <f>IFERROR(LARGE(Segmen!$D$3:$D$6000,A4473),"")</f>
        <v/>
      </c>
    </row>
    <row r="4474">
      <c r="A4474" t="n">
        <v>4473</v>
      </c>
      <c r="B4474">
        <f>IFERROR(INDEX(Segmen!$A$3:$A$6000,MATCH(C4474,Segmen!$D$3:$D$6000,0)),"")</f>
        <v/>
      </c>
      <c r="C4474">
        <f>IFERROR(LARGE(Segmen!$D$3:$D$6000,A4474),"")</f>
        <v/>
      </c>
    </row>
    <row r="4475">
      <c r="A4475" t="n">
        <v>4474</v>
      </c>
      <c r="B4475">
        <f>IFERROR(INDEX(Segmen!$A$3:$A$6000,MATCH(C4475,Segmen!$D$3:$D$6000,0)),"")</f>
        <v/>
      </c>
      <c r="C4475">
        <f>IFERROR(LARGE(Segmen!$D$3:$D$6000,A4475),"")</f>
        <v/>
      </c>
    </row>
    <row r="4476">
      <c r="A4476" t="n">
        <v>4475</v>
      </c>
      <c r="B4476">
        <f>IFERROR(INDEX(Segmen!$A$3:$A$6000,MATCH(C4476,Segmen!$D$3:$D$6000,0)),"")</f>
        <v/>
      </c>
      <c r="C4476">
        <f>IFERROR(LARGE(Segmen!$D$3:$D$6000,A4476),"")</f>
        <v/>
      </c>
    </row>
    <row r="4477">
      <c r="A4477" t="n">
        <v>4476</v>
      </c>
      <c r="B4477">
        <f>IFERROR(INDEX(Segmen!$A$3:$A$6000,MATCH(C4477,Segmen!$D$3:$D$6000,0)),"")</f>
        <v/>
      </c>
      <c r="C4477">
        <f>IFERROR(LARGE(Segmen!$D$3:$D$6000,A4477),"")</f>
        <v/>
      </c>
    </row>
    <row r="4478">
      <c r="A4478" t="n">
        <v>4477</v>
      </c>
      <c r="B4478">
        <f>IFERROR(INDEX(Segmen!$A$3:$A$6000,MATCH(C4478,Segmen!$D$3:$D$6000,0)),"")</f>
        <v/>
      </c>
      <c r="C4478">
        <f>IFERROR(LARGE(Segmen!$D$3:$D$6000,A4478),"")</f>
        <v/>
      </c>
    </row>
    <row r="4479">
      <c r="A4479" t="n">
        <v>4478</v>
      </c>
      <c r="B4479">
        <f>IFERROR(INDEX(Segmen!$A$3:$A$6000,MATCH(C4479,Segmen!$D$3:$D$6000,0)),"")</f>
        <v/>
      </c>
      <c r="C4479">
        <f>IFERROR(LARGE(Segmen!$D$3:$D$6000,A4479),"")</f>
        <v/>
      </c>
    </row>
    <row r="4480">
      <c r="A4480" t="n">
        <v>4479</v>
      </c>
      <c r="B4480">
        <f>IFERROR(INDEX(Segmen!$A$3:$A$6000,MATCH(C4480,Segmen!$D$3:$D$6000,0)),"")</f>
        <v/>
      </c>
      <c r="C4480">
        <f>IFERROR(LARGE(Segmen!$D$3:$D$6000,A4480),"")</f>
        <v/>
      </c>
    </row>
    <row r="4481">
      <c r="A4481" t="n">
        <v>4480</v>
      </c>
      <c r="B4481">
        <f>IFERROR(INDEX(Segmen!$A$3:$A$6000,MATCH(C4481,Segmen!$D$3:$D$6000,0)),"")</f>
        <v/>
      </c>
      <c r="C4481">
        <f>IFERROR(LARGE(Segmen!$D$3:$D$6000,A4481),"")</f>
        <v/>
      </c>
    </row>
    <row r="4482">
      <c r="A4482" t="n">
        <v>4481</v>
      </c>
      <c r="B4482">
        <f>IFERROR(INDEX(Segmen!$A$3:$A$6000,MATCH(C4482,Segmen!$D$3:$D$6000,0)),"")</f>
        <v/>
      </c>
      <c r="C4482">
        <f>IFERROR(LARGE(Segmen!$D$3:$D$6000,A4482),"")</f>
        <v/>
      </c>
    </row>
    <row r="4483">
      <c r="A4483" t="n">
        <v>4482</v>
      </c>
      <c r="B4483">
        <f>IFERROR(INDEX(Segmen!$A$3:$A$6000,MATCH(C4483,Segmen!$D$3:$D$6000,0)),"")</f>
        <v/>
      </c>
      <c r="C4483">
        <f>IFERROR(LARGE(Segmen!$D$3:$D$6000,A4483),"")</f>
        <v/>
      </c>
    </row>
    <row r="4484">
      <c r="A4484" t="n">
        <v>4483</v>
      </c>
      <c r="B4484">
        <f>IFERROR(INDEX(Segmen!$A$3:$A$6000,MATCH(C4484,Segmen!$D$3:$D$6000,0)),"")</f>
        <v/>
      </c>
      <c r="C4484">
        <f>IFERROR(LARGE(Segmen!$D$3:$D$6000,A4484),"")</f>
        <v/>
      </c>
    </row>
    <row r="4485">
      <c r="A4485" t="n">
        <v>4484</v>
      </c>
      <c r="B4485">
        <f>IFERROR(INDEX(Segmen!$A$3:$A$6000,MATCH(C4485,Segmen!$D$3:$D$6000,0)),"")</f>
        <v/>
      </c>
      <c r="C4485">
        <f>IFERROR(LARGE(Segmen!$D$3:$D$6000,A4485),"")</f>
        <v/>
      </c>
    </row>
    <row r="4486">
      <c r="A4486" t="n">
        <v>4485</v>
      </c>
      <c r="B4486">
        <f>IFERROR(INDEX(Segmen!$A$3:$A$6000,MATCH(C4486,Segmen!$D$3:$D$6000,0)),"")</f>
        <v/>
      </c>
      <c r="C4486">
        <f>IFERROR(LARGE(Segmen!$D$3:$D$6000,A4486),"")</f>
        <v/>
      </c>
    </row>
    <row r="4487">
      <c r="A4487" t="n">
        <v>4486</v>
      </c>
      <c r="B4487">
        <f>IFERROR(INDEX(Segmen!$A$3:$A$6000,MATCH(C4487,Segmen!$D$3:$D$6000,0)),"")</f>
        <v/>
      </c>
      <c r="C4487">
        <f>IFERROR(LARGE(Segmen!$D$3:$D$6000,A4487),"")</f>
        <v/>
      </c>
    </row>
    <row r="4488">
      <c r="A4488" t="n">
        <v>4487</v>
      </c>
      <c r="B4488">
        <f>IFERROR(INDEX(Segmen!$A$3:$A$6000,MATCH(C4488,Segmen!$D$3:$D$6000,0)),"")</f>
        <v/>
      </c>
      <c r="C4488">
        <f>IFERROR(LARGE(Segmen!$D$3:$D$6000,A4488),"")</f>
        <v/>
      </c>
    </row>
    <row r="4489">
      <c r="A4489" t="n">
        <v>4488</v>
      </c>
      <c r="B4489">
        <f>IFERROR(INDEX(Segmen!$A$3:$A$6000,MATCH(C4489,Segmen!$D$3:$D$6000,0)),"")</f>
        <v/>
      </c>
      <c r="C4489">
        <f>IFERROR(LARGE(Segmen!$D$3:$D$6000,A4489),"")</f>
        <v/>
      </c>
    </row>
    <row r="4490">
      <c r="A4490" t="n">
        <v>4489</v>
      </c>
      <c r="B4490">
        <f>IFERROR(INDEX(Segmen!$A$3:$A$6000,MATCH(C4490,Segmen!$D$3:$D$6000,0)),"")</f>
        <v/>
      </c>
      <c r="C4490">
        <f>IFERROR(LARGE(Segmen!$D$3:$D$6000,A4490),"")</f>
        <v/>
      </c>
    </row>
    <row r="4491">
      <c r="A4491" t="n">
        <v>4490</v>
      </c>
      <c r="B4491">
        <f>IFERROR(INDEX(Segmen!$A$3:$A$6000,MATCH(C4491,Segmen!$D$3:$D$6000,0)),"")</f>
        <v/>
      </c>
      <c r="C4491">
        <f>IFERROR(LARGE(Segmen!$D$3:$D$6000,A4491),"")</f>
        <v/>
      </c>
    </row>
    <row r="4492">
      <c r="A4492" t="n">
        <v>4491</v>
      </c>
      <c r="B4492">
        <f>IFERROR(INDEX(Segmen!$A$3:$A$6000,MATCH(C4492,Segmen!$D$3:$D$6000,0)),"")</f>
        <v/>
      </c>
      <c r="C4492">
        <f>IFERROR(LARGE(Segmen!$D$3:$D$6000,A4492),"")</f>
        <v/>
      </c>
    </row>
    <row r="4493">
      <c r="A4493" t="n">
        <v>4492</v>
      </c>
      <c r="B4493">
        <f>IFERROR(INDEX(Segmen!$A$3:$A$6000,MATCH(C4493,Segmen!$D$3:$D$6000,0)),"")</f>
        <v/>
      </c>
      <c r="C4493">
        <f>IFERROR(LARGE(Segmen!$D$3:$D$6000,A4493),"")</f>
        <v/>
      </c>
    </row>
    <row r="4494">
      <c r="A4494" t="n">
        <v>4493</v>
      </c>
      <c r="B4494">
        <f>IFERROR(INDEX(Segmen!$A$3:$A$6000,MATCH(C4494,Segmen!$D$3:$D$6000,0)),"")</f>
        <v/>
      </c>
      <c r="C4494">
        <f>IFERROR(LARGE(Segmen!$D$3:$D$6000,A4494),"")</f>
        <v/>
      </c>
    </row>
    <row r="4495">
      <c r="A4495" t="n">
        <v>4494</v>
      </c>
      <c r="B4495">
        <f>IFERROR(INDEX(Segmen!$A$3:$A$6000,MATCH(C4495,Segmen!$D$3:$D$6000,0)),"")</f>
        <v/>
      </c>
      <c r="C4495">
        <f>IFERROR(LARGE(Segmen!$D$3:$D$6000,A4495),"")</f>
        <v/>
      </c>
    </row>
    <row r="4496">
      <c r="A4496" t="n">
        <v>4495</v>
      </c>
      <c r="B4496">
        <f>IFERROR(INDEX(Segmen!$A$3:$A$6000,MATCH(C4496,Segmen!$D$3:$D$6000,0)),"")</f>
        <v/>
      </c>
      <c r="C4496">
        <f>IFERROR(LARGE(Segmen!$D$3:$D$6000,A4496),"")</f>
        <v/>
      </c>
    </row>
    <row r="4497">
      <c r="A4497" t="n">
        <v>4496</v>
      </c>
      <c r="B4497">
        <f>IFERROR(INDEX(Segmen!$A$3:$A$6000,MATCH(C4497,Segmen!$D$3:$D$6000,0)),"")</f>
        <v/>
      </c>
      <c r="C4497">
        <f>IFERROR(LARGE(Segmen!$D$3:$D$6000,A4497),"")</f>
        <v/>
      </c>
    </row>
    <row r="4498">
      <c r="A4498" t="n">
        <v>4497</v>
      </c>
      <c r="B4498">
        <f>IFERROR(INDEX(Segmen!$A$3:$A$6000,MATCH(C4498,Segmen!$D$3:$D$6000,0)),"")</f>
        <v/>
      </c>
      <c r="C4498">
        <f>IFERROR(LARGE(Segmen!$D$3:$D$6000,A4498),"")</f>
        <v/>
      </c>
    </row>
    <row r="4499">
      <c r="A4499" t="n">
        <v>4498</v>
      </c>
      <c r="B4499">
        <f>IFERROR(INDEX(Segmen!$A$3:$A$6000,MATCH(C4499,Segmen!$D$3:$D$6000,0)),"")</f>
        <v/>
      </c>
      <c r="C4499">
        <f>IFERROR(LARGE(Segmen!$D$3:$D$6000,A4499),"")</f>
        <v/>
      </c>
    </row>
    <row r="4500">
      <c r="A4500" t="n">
        <v>4499</v>
      </c>
      <c r="B4500">
        <f>IFERROR(INDEX(Segmen!$A$3:$A$6000,MATCH(C4500,Segmen!$D$3:$D$6000,0)),"")</f>
        <v/>
      </c>
      <c r="C4500">
        <f>IFERROR(LARGE(Segmen!$D$3:$D$6000,A4500),"")</f>
        <v/>
      </c>
    </row>
    <row r="4501">
      <c r="A4501" t="n">
        <v>4500</v>
      </c>
      <c r="B4501">
        <f>IFERROR(INDEX(Segmen!$A$3:$A$6000,MATCH(C4501,Segmen!$D$3:$D$6000,0)),"")</f>
        <v/>
      </c>
      <c r="C4501">
        <f>IFERROR(LARGE(Segmen!$D$3:$D$6000,A4501),"")</f>
        <v/>
      </c>
    </row>
    <row r="4502">
      <c r="A4502" t="n">
        <v>4501</v>
      </c>
      <c r="B4502">
        <f>IFERROR(INDEX(Segmen!$A$3:$A$6000,MATCH(C4502,Segmen!$D$3:$D$6000,0)),"")</f>
        <v/>
      </c>
      <c r="C4502">
        <f>IFERROR(LARGE(Segmen!$D$3:$D$6000,A4502),"")</f>
        <v/>
      </c>
    </row>
    <row r="4503">
      <c r="A4503" t="n">
        <v>4502</v>
      </c>
      <c r="B4503">
        <f>IFERROR(INDEX(Segmen!$A$3:$A$6000,MATCH(C4503,Segmen!$D$3:$D$6000,0)),"")</f>
        <v/>
      </c>
      <c r="C4503">
        <f>IFERROR(LARGE(Segmen!$D$3:$D$6000,A4503),"")</f>
        <v/>
      </c>
    </row>
    <row r="4504">
      <c r="A4504" t="n">
        <v>4503</v>
      </c>
      <c r="B4504">
        <f>IFERROR(INDEX(Segmen!$A$3:$A$6000,MATCH(C4504,Segmen!$D$3:$D$6000,0)),"")</f>
        <v/>
      </c>
      <c r="C4504">
        <f>IFERROR(LARGE(Segmen!$D$3:$D$6000,A4504),"")</f>
        <v/>
      </c>
    </row>
    <row r="4505">
      <c r="A4505" t="n">
        <v>4504</v>
      </c>
      <c r="B4505">
        <f>IFERROR(INDEX(Segmen!$A$3:$A$6000,MATCH(C4505,Segmen!$D$3:$D$6000,0)),"")</f>
        <v/>
      </c>
      <c r="C4505">
        <f>IFERROR(LARGE(Segmen!$D$3:$D$6000,A4505),"")</f>
        <v/>
      </c>
    </row>
    <row r="4506">
      <c r="A4506" t="n">
        <v>4505</v>
      </c>
      <c r="B4506">
        <f>IFERROR(INDEX(Segmen!$A$3:$A$6000,MATCH(C4506,Segmen!$D$3:$D$6000,0)),"")</f>
        <v/>
      </c>
      <c r="C4506">
        <f>IFERROR(LARGE(Segmen!$D$3:$D$6000,A4506),"")</f>
        <v/>
      </c>
    </row>
    <row r="4507">
      <c r="A4507" t="n">
        <v>4506</v>
      </c>
      <c r="B4507">
        <f>IFERROR(INDEX(Segmen!$A$3:$A$6000,MATCH(C4507,Segmen!$D$3:$D$6000,0)),"")</f>
        <v/>
      </c>
      <c r="C4507">
        <f>IFERROR(LARGE(Segmen!$D$3:$D$6000,A4507),"")</f>
        <v/>
      </c>
    </row>
    <row r="4508">
      <c r="A4508" t="n">
        <v>4507</v>
      </c>
      <c r="B4508">
        <f>IFERROR(INDEX(Segmen!$A$3:$A$6000,MATCH(C4508,Segmen!$D$3:$D$6000,0)),"")</f>
        <v/>
      </c>
      <c r="C4508">
        <f>IFERROR(LARGE(Segmen!$D$3:$D$6000,A4508),"")</f>
        <v/>
      </c>
    </row>
    <row r="4509">
      <c r="A4509" t="n">
        <v>4508</v>
      </c>
      <c r="B4509">
        <f>IFERROR(INDEX(Segmen!$A$3:$A$6000,MATCH(C4509,Segmen!$D$3:$D$6000,0)),"")</f>
        <v/>
      </c>
      <c r="C4509">
        <f>IFERROR(LARGE(Segmen!$D$3:$D$6000,A4509),"")</f>
        <v/>
      </c>
    </row>
    <row r="4510">
      <c r="A4510" t="n">
        <v>4509</v>
      </c>
      <c r="B4510">
        <f>IFERROR(INDEX(Segmen!$A$3:$A$6000,MATCH(C4510,Segmen!$D$3:$D$6000,0)),"")</f>
        <v/>
      </c>
      <c r="C4510">
        <f>IFERROR(LARGE(Segmen!$D$3:$D$6000,A4510),"")</f>
        <v/>
      </c>
    </row>
    <row r="4511">
      <c r="A4511" t="n">
        <v>4510</v>
      </c>
      <c r="B4511">
        <f>IFERROR(INDEX(Segmen!$A$3:$A$6000,MATCH(C4511,Segmen!$D$3:$D$6000,0)),"")</f>
        <v/>
      </c>
      <c r="C4511">
        <f>IFERROR(LARGE(Segmen!$D$3:$D$6000,A4511),"")</f>
        <v/>
      </c>
    </row>
    <row r="4512">
      <c r="A4512" t="n">
        <v>4511</v>
      </c>
      <c r="B4512">
        <f>IFERROR(INDEX(Segmen!$A$3:$A$6000,MATCH(C4512,Segmen!$D$3:$D$6000,0)),"")</f>
        <v/>
      </c>
      <c r="C4512">
        <f>IFERROR(LARGE(Segmen!$D$3:$D$6000,A4512),"")</f>
        <v/>
      </c>
    </row>
    <row r="4513">
      <c r="A4513" t="n">
        <v>4512</v>
      </c>
      <c r="B4513">
        <f>IFERROR(INDEX(Segmen!$A$3:$A$6000,MATCH(C4513,Segmen!$D$3:$D$6000,0)),"")</f>
        <v/>
      </c>
      <c r="C4513">
        <f>IFERROR(LARGE(Segmen!$D$3:$D$6000,A4513),"")</f>
        <v/>
      </c>
    </row>
    <row r="4514">
      <c r="A4514" t="n">
        <v>4513</v>
      </c>
      <c r="B4514">
        <f>IFERROR(INDEX(Segmen!$A$3:$A$6000,MATCH(C4514,Segmen!$D$3:$D$6000,0)),"")</f>
        <v/>
      </c>
      <c r="C4514">
        <f>IFERROR(LARGE(Segmen!$D$3:$D$6000,A4514),"")</f>
        <v/>
      </c>
    </row>
    <row r="4515">
      <c r="A4515" t="n">
        <v>4514</v>
      </c>
      <c r="B4515">
        <f>IFERROR(INDEX(Segmen!$A$3:$A$6000,MATCH(C4515,Segmen!$D$3:$D$6000,0)),"")</f>
        <v/>
      </c>
      <c r="C4515">
        <f>IFERROR(LARGE(Segmen!$D$3:$D$6000,A4515),"")</f>
        <v/>
      </c>
    </row>
    <row r="4516">
      <c r="A4516" t="n">
        <v>4515</v>
      </c>
      <c r="B4516">
        <f>IFERROR(INDEX(Segmen!$A$3:$A$6000,MATCH(C4516,Segmen!$D$3:$D$6000,0)),"")</f>
        <v/>
      </c>
      <c r="C4516">
        <f>IFERROR(LARGE(Segmen!$D$3:$D$6000,A4516),"")</f>
        <v/>
      </c>
    </row>
    <row r="4517">
      <c r="A4517" t="n">
        <v>4516</v>
      </c>
      <c r="B4517">
        <f>IFERROR(INDEX(Segmen!$A$3:$A$6000,MATCH(C4517,Segmen!$D$3:$D$6000,0)),"")</f>
        <v/>
      </c>
      <c r="C4517">
        <f>IFERROR(LARGE(Segmen!$D$3:$D$6000,A4517),"")</f>
        <v/>
      </c>
    </row>
    <row r="4518">
      <c r="A4518" t="n">
        <v>4517</v>
      </c>
      <c r="B4518">
        <f>IFERROR(INDEX(Segmen!$A$3:$A$6000,MATCH(C4518,Segmen!$D$3:$D$6000,0)),"")</f>
        <v/>
      </c>
      <c r="C4518">
        <f>IFERROR(LARGE(Segmen!$D$3:$D$6000,A4518),"")</f>
        <v/>
      </c>
    </row>
    <row r="4519">
      <c r="A4519" t="n">
        <v>4518</v>
      </c>
      <c r="B4519">
        <f>IFERROR(INDEX(Segmen!$A$3:$A$6000,MATCH(C4519,Segmen!$D$3:$D$6000,0)),"")</f>
        <v/>
      </c>
      <c r="C4519">
        <f>IFERROR(LARGE(Segmen!$D$3:$D$6000,A4519),"")</f>
        <v/>
      </c>
    </row>
    <row r="4520">
      <c r="A4520" t="n">
        <v>4519</v>
      </c>
      <c r="B4520">
        <f>IFERROR(INDEX(Segmen!$A$3:$A$6000,MATCH(C4520,Segmen!$D$3:$D$6000,0)),"")</f>
        <v/>
      </c>
      <c r="C4520">
        <f>IFERROR(LARGE(Segmen!$D$3:$D$6000,A4520),"")</f>
        <v/>
      </c>
    </row>
    <row r="4521">
      <c r="A4521" t="n">
        <v>4520</v>
      </c>
      <c r="B4521">
        <f>IFERROR(INDEX(Segmen!$A$3:$A$6000,MATCH(C4521,Segmen!$D$3:$D$6000,0)),"")</f>
        <v/>
      </c>
      <c r="C4521">
        <f>IFERROR(LARGE(Segmen!$D$3:$D$6000,A4521),"")</f>
        <v/>
      </c>
    </row>
    <row r="4522">
      <c r="A4522" t="n">
        <v>4521</v>
      </c>
      <c r="B4522">
        <f>IFERROR(INDEX(Segmen!$A$3:$A$6000,MATCH(C4522,Segmen!$D$3:$D$6000,0)),"")</f>
        <v/>
      </c>
      <c r="C4522">
        <f>IFERROR(LARGE(Segmen!$D$3:$D$6000,A4522),"")</f>
        <v/>
      </c>
    </row>
    <row r="4523">
      <c r="A4523" t="n">
        <v>4522</v>
      </c>
      <c r="B4523">
        <f>IFERROR(INDEX(Segmen!$A$3:$A$6000,MATCH(C4523,Segmen!$D$3:$D$6000,0)),"")</f>
        <v/>
      </c>
      <c r="C4523">
        <f>IFERROR(LARGE(Segmen!$D$3:$D$6000,A4523),"")</f>
        <v/>
      </c>
    </row>
    <row r="4524">
      <c r="A4524" t="n">
        <v>4523</v>
      </c>
      <c r="B4524">
        <f>IFERROR(INDEX(Segmen!$A$3:$A$6000,MATCH(C4524,Segmen!$D$3:$D$6000,0)),"")</f>
        <v/>
      </c>
      <c r="C4524">
        <f>IFERROR(LARGE(Segmen!$D$3:$D$6000,A4524),"")</f>
        <v/>
      </c>
    </row>
    <row r="4525">
      <c r="A4525" t="n">
        <v>4524</v>
      </c>
      <c r="B4525">
        <f>IFERROR(INDEX(Segmen!$A$3:$A$6000,MATCH(C4525,Segmen!$D$3:$D$6000,0)),"")</f>
        <v/>
      </c>
      <c r="C4525">
        <f>IFERROR(LARGE(Segmen!$D$3:$D$6000,A4525),"")</f>
        <v/>
      </c>
    </row>
    <row r="4526">
      <c r="A4526" t="n">
        <v>4525</v>
      </c>
      <c r="B4526">
        <f>IFERROR(INDEX(Segmen!$A$3:$A$6000,MATCH(C4526,Segmen!$D$3:$D$6000,0)),"")</f>
        <v/>
      </c>
      <c r="C4526">
        <f>IFERROR(LARGE(Segmen!$D$3:$D$6000,A4526),"")</f>
        <v/>
      </c>
    </row>
    <row r="4527">
      <c r="A4527" t="n">
        <v>4526</v>
      </c>
      <c r="B4527">
        <f>IFERROR(INDEX(Segmen!$A$3:$A$6000,MATCH(C4527,Segmen!$D$3:$D$6000,0)),"")</f>
        <v/>
      </c>
      <c r="C4527">
        <f>IFERROR(LARGE(Segmen!$D$3:$D$6000,A4527),"")</f>
        <v/>
      </c>
    </row>
    <row r="4528">
      <c r="A4528" t="n">
        <v>4527</v>
      </c>
      <c r="B4528">
        <f>IFERROR(INDEX(Segmen!$A$3:$A$6000,MATCH(C4528,Segmen!$D$3:$D$6000,0)),"")</f>
        <v/>
      </c>
      <c r="C4528">
        <f>IFERROR(LARGE(Segmen!$D$3:$D$6000,A4528),"")</f>
        <v/>
      </c>
    </row>
    <row r="4529">
      <c r="A4529" t="n">
        <v>4528</v>
      </c>
      <c r="B4529">
        <f>IFERROR(INDEX(Segmen!$A$3:$A$6000,MATCH(C4529,Segmen!$D$3:$D$6000,0)),"")</f>
        <v/>
      </c>
      <c r="C4529">
        <f>IFERROR(LARGE(Segmen!$D$3:$D$6000,A4529),"")</f>
        <v/>
      </c>
    </row>
    <row r="4530">
      <c r="A4530" t="n">
        <v>4529</v>
      </c>
      <c r="B4530">
        <f>IFERROR(INDEX(Segmen!$A$3:$A$6000,MATCH(C4530,Segmen!$D$3:$D$6000,0)),"")</f>
        <v/>
      </c>
      <c r="C4530">
        <f>IFERROR(LARGE(Segmen!$D$3:$D$6000,A4530),"")</f>
        <v/>
      </c>
    </row>
    <row r="4531">
      <c r="A4531" t="n">
        <v>4530</v>
      </c>
      <c r="B4531">
        <f>IFERROR(INDEX(Segmen!$A$3:$A$6000,MATCH(C4531,Segmen!$D$3:$D$6000,0)),"")</f>
        <v/>
      </c>
      <c r="C4531">
        <f>IFERROR(LARGE(Segmen!$D$3:$D$6000,A4531),"")</f>
        <v/>
      </c>
    </row>
    <row r="4532">
      <c r="A4532" t="n">
        <v>4531</v>
      </c>
      <c r="B4532">
        <f>IFERROR(INDEX(Segmen!$A$3:$A$6000,MATCH(C4532,Segmen!$D$3:$D$6000,0)),"")</f>
        <v/>
      </c>
      <c r="C4532">
        <f>IFERROR(LARGE(Segmen!$D$3:$D$6000,A4532),"")</f>
        <v/>
      </c>
    </row>
    <row r="4533">
      <c r="A4533" t="n">
        <v>4532</v>
      </c>
      <c r="B4533">
        <f>IFERROR(INDEX(Segmen!$A$3:$A$6000,MATCH(C4533,Segmen!$D$3:$D$6000,0)),"")</f>
        <v/>
      </c>
      <c r="C4533">
        <f>IFERROR(LARGE(Segmen!$D$3:$D$6000,A4533),"")</f>
        <v/>
      </c>
    </row>
    <row r="4534">
      <c r="A4534" t="n">
        <v>4533</v>
      </c>
      <c r="B4534">
        <f>IFERROR(INDEX(Segmen!$A$3:$A$6000,MATCH(C4534,Segmen!$D$3:$D$6000,0)),"")</f>
        <v/>
      </c>
      <c r="C4534">
        <f>IFERROR(LARGE(Segmen!$D$3:$D$6000,A4534),"")</f>
        <v/>
      </c>
    </row>
    <row r="4535">
      <c r="A4535" t="n">
        <v>4534</v>
      </c>
      <c r="B4535">
        <f>IFERROR(INDEX(Segmen!$A$3:$A$6000,MATCH(C4535,Segmen!$D$3:$D$6000,0)),"")</f>
        <v/>
      </c>
      <c r="C4535">
        <f>IFERROR(LARGE(Segmen!$D$3:$D$6000,A4535),"")</f>
        <v/>
      </c>
    </row>
    <row r="4536">
      <c r="A4536" t="n">
        <v>4535</v>
      </c>
      <c r="B4536">
        <f>IFERROR(INDEX(Segmen!$A$3:$A$6000,MATCH(C4536,Segmen!$D$3:$D$6000,0)),"")</f>
        <v/>
      </c>
      <c r="C4536">
        <f>IFERROR(LARGE(Segmen!$D$3:$D$6000,A4536),"")</f>
        <v/>
      </c>
    </row>
    <row r="4537">
      <c r="A4537" t="n">
        <v>4536</v>
      </c>
      <c r="B4537">
        <f>IFERROR(INDEX(Segmen!$A$3:$A$6000,MATCH(C4537,Segmen!$D$3:$D$6000,0)),"")</f>
        <v/>
      </c>
      <c r="C4537">
        <f>IFERROR(LARGE(Segmen!$D$3:$D$6000,A4537),"")</f>
        <v/>
      </c>
    </row>
    <row r="4538">
      <c r="A4538" t="n">
        <v>4537</v>
      </c>
      <c r="B4538">
        <f>IFERROR(INDEX(Segmen!$A$3:$A$6000,MATCH(C4538,Segmen!$D$3:$D$6000,0)),"")</f>
        <v/>
      </c>
      <c r="C4538">
        <f>IFERROR(LARGE(Segmen!$D$3:$D$6000,A4538),"")</f>
        <v/>
      </c>
    </row>
    <row r="4539">
      <c r="A4539" t="n">
        <v>4538</v>
      </c>
      <c r="B4539">
        <f>IFERROR(INDEX(Segmen!$A$3:$A$6000,MATCH(C4539,Segmen!$D$3:$D$6000,0)),"")</f>
        <v/>
      </c>
      <c r="C4539">
        <f>IFERROR(LARGE(Segmen!$D$3:$D$6000,A4539),"")</f>
        <v/>
      </c>
    </row>
    <row r="4540">
      <c r="A4540" t="n">
        <v>4539</v>
      </c>
      <c r="B4540">
        <f>IFERROR(INDEX(Segmen!$A$3:$A$6000,MATCH(C4540,Segmen!$D$3:$D$6000,0)),"")</f>
        <v/>
      </c>
      <c r="C4540">
        <f>IFERROR(LARGE(Segmen!$D$3:$D$6000,A4540),"")</f>
        <v/>
      </c>
    </row>
    <row r="4541">
      <c r="A4541" t="n">
        <v>4540</v>
      </c>
      <c r="B4541">
        <f>IFERROR(INDEX(Segmen!$A$3:$A$6000,MATCH(C4541,Segmen!$D$3:$D$6000,0)),"")</f>
        <v/>
      </c>
      <c r="C4541">
        <f>IFERROR(LARGE(Segmen!$D$3:$D$6000,A4541),"")</f>
        <v/>
      </c>
    </row>
    <row r="4542">
      <c r="A4542" t="n">
        <v>4541</v>
      </c>
      <c r="B4542">
        <f>IFERROR(INDEX(Segmen!$A$3:$A$6000,MATCH(C4542,Segmen!$D$3:$D$6000,0)),"")</f>
        <v/>
      </c>
      <c r="C4542">
        <f>IFERROR(LARGE(Segmen!$D$3:$D$6000,A4542),"")</f>
        <v/>
      </c>
    </row>
    <row r="4543">
      <c r="A4543" t="n">
        <v>4542</v>
      </c>
      <c r="B4543">
        <f>IFERROR(INDEX(Segmen!$A$3:$A$6000,MATCH(C4543,Segmen!$D$3:$D$6000,0)),"")</f>
        <v/>
      </c>
      <c r="C4543">
        <f>IFERROR(LARGE(Segmen!$D$3:$D$6000,A4543),"")</f>
        <v/>
      </c>
    </row>
    <row r="4544">
      <c r="A4544" t="n">
        <v>4543</v>
      </c>
      <c r="B4544">
        <f>IFERROR(INDEX(Segmen!$A$3:$A$6000,MATCH(C4544,Segmen!$D$3:$D$6000,0)),"")</f>
        <v/>
      </c>
      <c r="C4544">
        <f>IFERROR(LARGE(Segmen!$D$3:$D$6000,A4544),"")</f>
        <v/>
      </c>
    </row>
    <row r="4545">
      <c r="A4545" t="n">
        <v>4544</v>
      </c>
      <c r="B4545">
        <f>IFERROR(INDEX(Segmen!$A$3:$A$6000,MATCH(C4545,Segmen!$D$3:$D$6000,0)),"")</f>
        <v/>
      </c>
      <c r="C4545">
        <f>IFERROR(LARGE(Segmen!$D$3:$D$6000,A4545),"")</f>
        <v/>
      </c>
    </row>
    <row r="4546">
      <c r="A4546" t="n">
        <v>4545</v>
      </c>
      <c r="B4546">
        <f>IFERROR(INDEX(Segmen!$A$3:$A$6000,MATCH(C4546,Segmen!$D$3:$D$6000,0)),"")</f>
        <v/>
      </c>
      <c r="C4546">
        <f>IFERROR(LARGE(Segmen!$D$3:$D$6000,A4546),"")</f>
        <v/>
      </c>
    </row>
    <row r="4547">
      <c r="A4547" t="n">
        <v>4546</v>
      </c>
      <c r="B4547">
        <f>IFERROR(INDEX(Segmen!$A$3:$A$6000,MATCH(C4547,Segmen!$D$3:$D$6000,0)),"")</f>
        <v/>
      </c>
      <c r="C4547">
        <f>IFERROR(LARGE(Segmen!$D$3:$D$6000,A4547),"")</f>
        <v/>
      </c>
    </row>
    <row r="4548">
      <c r="A4548" t="n">
        <v>4547</v>
      </c>
      <c r="B4548">
        <f>IFERROR(INDEX(Segmen!$A$3:$A$6000,MATCH(C4548,Segmen!$D$3:$D$6000,0)),"")</f>
        <v/>
      </c>
      <c r="C4548">
        <f>IFERROR(LARGE(Segmen!$D$3:$D$6000,A4548),"")</f>
        <v/>
      </c>
    </row>
    <row r="4549">
      <c r="A4549" t="n">
        <v>4548</v>
      </c>
      <c r="B4549">
        <f>IFERROR(INDEX(Segmen!$A$3:$A$6000,MATCH(C4549,Segmen!$D$3:$D$6000,0)),"")</f>
        <v/>
      </c>
      <c r="C4549">
        <f>IFERROR(LARGE(Segmen!$D$3:$D$6000,A4549),"")</f>
        <v/>
      </c>
    </row>
    <row r="4550">
      <c r="A4550" t="n">
        <v>4549</v>
      </c>
      <c r="B4550">
        <f>IFERROR(INDEX(Segmen!$A$3:$A$6000,MATCH(C4550,Segmen!$D$3:$D$6000,0)),"")</f>
        <v/>
      </c>
      <c r="C4550">
        <f>IFERROR(LARGE(Segmen!$D$3:$D$6000,A4550),"")</f>
        <v/>
      </c>
    </row>
    <row r="4551">
      <c r="A4551" t="n">
        <v>4550</v>
      </c>
      <c r="B4551">
        <f>IFERROR(INDEX(Segmen!$A$3:$A$6000,MATCH(C4551,Segmen!$D$3:$D$6000,0)),"")</f>
        <v/>
      </c>
      <c r="C4551">
        <f>IFERROR(LARGE(Segmen!$D$3:$D$6000,A4551),"")</f>
        <v/>
      </c>
    </row>
    <row r="4552">
      <c r="A4552" t="n">
        <v>4551</v>
      </c>
      <c r="B4552">
        <f>IFERROR(INDEX(Segmen!$A$3:$A$6000,MATCH(C4552,Segmen!$D$3:$D$6000,0)),"")</f>
        <v/>
      </c>
      <c r="C4552">
        <f>IFERROR(LARGE(Segmen!$D$3:$D$6000,A4552),"")</f>
        <v/>
      </c>
    </row>
    <row r="4553">
      <c r="A4553" t="n">
        <v>4552</v>
      </c>
      <c r="B4553">
        <f>IFERROR(INDEX(Segmen!$A$3:$A$6000,MATCH(C4553,Segmen!$D$3:$D$6000,0)),"")</f>
        <v/>
      </c>
      <c r="C4553">
        <f>IFERROR(LARGE(Segmen!$D$3:$D$6000,A4553),"")</f>
        <v/>
      </c>
    </row>
    <row r="4554">
      <c r="A4554" t="n">
        <v>4553</v>
      </c>
      <c r="B4554">
        <f>IFERROR(INDEX(Segmen!$A$3:$A$6000,MATCH(C4554,Segmen!$D$3:$D$6000,0)),"")</f>
        <v/>
      </c>
      <c r="C4554">
        <f>IFERROR(LARGE(Segmen!$D$3:$D$6000,A4554),"")</f>
        <v/>
      </c>
    </row>
    <row r="4555">
      <c r="A4555" t="n">
        <v>4554</v>
      </c>
      <c r="B4555">
        <f>IFERROR(INDEX(Segmen!$A$3:$A$6000,MATCH(C4555,Segmen!$D$3:$D$6000,0)),"")</f>
        <v/>
      </c>
      <c r="C4555">
        <f>IFERROR(LARGE(Segmen!$D$3:$D$6000,A4555),"")</f>
        <v/>
      </c>
    </row>
    <row r="4556">
      <c r="A4556" t="n">
        <v>4555</v>
      </c>
      <c r="B4556">
        <f>IFERROR(INDEX(Segmen!$A$3:$A$6000,MATCH(C4556,Segmen!$D$3:$D$6000,0)),"")</f>
        <v/>
      </c>
      <c r="C4556">
        <f>IFERROR(LARGE(Segmen!$D$3:$D$6000,A4556),"")</f>
        <v/>
      </c>
    </row>
    <row r="4557">
      <c r="A4557" t="n">
        <v>4556</v>
      </c>
      <c r="B4557">
        <f>IFERROR(INDEX(Segmen!$A$3:$A$6000,MATCH(C4557,Segmen!$D$3:$D$6000,0)),"")</f>
        <v/>
      </c>
      <c r="C4557">
        <f>IFERROR(LARGE(Segmen!$D$3:$D$6000,A4557),"")</f>
        <v/>
      </c>
    </row>
    <row r="4558">
      <c r="A4558" t="n">
        <v>4557</v>
      </c>
      <c r="B4558">
        <f>IFERROR(INDEX(Segmen!$A$3:$A$6000,MATCH(C4558,Segmen!$D$3:$D$6000,0)),"")</f>
        <v/>
      </c>
      <c r="C4558">
        <f>IFERROR(LARGE(Segmen!$D$3:$D$6000,A4558),"")</f>
        <v/>
      </c>
    </row>
    <row r="4559">
      <c r="A4559" t="n">
        <v>4558</v>
      </c>
      <c r="B4559">
        <f>IFERROR(INDEX(Segmen!$A$3:$A$6000,MATCH(C4559,Segmen!$D$3:$D$6000,0)),"")</f>
        <v/>
      </c>
      <c r="C4559">
        <f>IFERROR(LARGE(Segmen!$D$3:$D$6000,A4559),"")</f>
        <v/>
      </c>
    </row>
    <row r="4560">
      <c r="A4560" t="n">
        <v>4559</v>
      </c>
      <c r="B4560">
        <f>IFERROR(INDEX(Segmen!$A$3:$A$6000,MATCH(C4560,Segmen!$D$3:$D$6000,0)),"")</f>
        <v/>
      </c>
      <c r="C4560">
        <f>IFERROR(LARGE(Segmen!$D$3:$D$6000,A4560),"")</f>
        <v/>
      </c>
    </row>
    <row r="4561">
      <c r="A4561" t="n">
        <v>4560</v>
      </c>
      <c r="B4561">
        <f>IFERROR(INDEX(Segmen!$A$3:$A$6000,MATCH(C4561,Segmen!$D$3:$D$6000,0)),"")</f>
        <v/>
      </c>
      <c r="C4561">
        <f>IFERROR(LARGE(Segmen!$D$3:$D$6000,A4561),"")</f>
        <v/>
      </c>
    </row>
    <row r="4562">
      <c r="A4562" t="n">
        <v>4561</v>
      </c>
      <c r="B4562">
        <f>IFERROR(INDEX(Segmen!$A$3:$A$6000,MATCH(C4562,Segmen!$D$3:$D$6000,0)),"")</f>
        <v/>
      </c>
      <c r="C4562">
        <f>IFERROR(LARGE(Segmen!$D$3:$D$6000,A4562),"")</f>
        <v/>
      </c>
    </row>
    <row r="4563">
      <c r="A4563" t="n">
        <v>4562</v>
      </c>
      <c r="B4563">
        <f>IFERROR(INDEX(Segmen!$A$3:$A$6000,MATCH(C4563,Segmen!$D$3:$D$6000,0)),"")</f>
        <v/>
      </c>
      <c r="C4563">
        <f>IFERROR(LARGE(Segmen!$D$3:$D$6000,A4563),"")</f>
        <v/>
      </c>
    </row>
    <row r="4564">
      <c r="A4564" t="n">
        <v>4563</v>
      </c>
      <c r="B4564">
        <f>IFERROR(INDEX(Segmen!$A$3:$A$6000,MATCH(C4564,Segmen!$D$3:$D$6000,0)),"")</f>
        <v/>
      </c>
      <c r="C4564">
        <f>IFERROR(LARGE(Segmen!$D$3:$D$6000,A4564),"")</f>
        <v/>
      </c>
    </row>
    <row r="4565">
      <c r="A4565" t="n">
        <v>4564</v>
      </c>
      <c r="B4565">
        <f>IFERROR(INDEX(Segmen!$A$3:$A$6000,MATCH(C4565,Segmen!$D$3:$D$6000,0)),"")</f>
        <v/>
      </c>
      <c r="C4565">
        <f>IFERROR(LARGE(Segmen!$D$3:$D$6000,A4565),"")</f>
        <v/>
      </c>
    </row>
    <row r="4566">
      <c r="A4566" t="n">
        <v>4565</v>
      </c>
      <c r="B4566">
        <f>IFERROR(INDEX(Segmen!$A$3:$A$6000,MATCH(C4566,Segmen!$D$3:$D$6000,0)),"")</f>
        <v/>
      </c>
      <c r="C4566">
        <f>IFERROR(LARGE(Segmen!$D$3:$D$6000,A4566),"")</f>
        <v/>
      </c>
    </row>
    <row r="4567">
      <c r="A4567" t="n">
        <v>4566</v>
      </c>
      <c r="B4567">
        <f>IFERROR(INDEX(Segmen!$A$3:$A$6000,MATCH(C4567,Segmen!$D$3:$D$6000,0)),"")</f>
        <v/>
      </c>
      <c r="C4567">
        <f>IFERROR(LARGE(Segmen!$D$3:$D$6000,A4567),"")</f>
        <v/>
      </c>
    </row>
    <row r="4568">
      <c r="A4568" t="n">
        <v>4567</v>
      </c>
      <c r="B4568">
        <f>IFERROR(INDEX(Segmen!$A$3:$A$6000,MATCH(C4568,Segmen!$D$3:$D$6000,0)),"")</f>
        <v/>
      </c>
      <c r="C4568">
        <f>IFERROR(LARGE(Segmen!$D$3:$D$6000,A4568),"")</f>
        <v/>
      </c>
    </row>
    <row r="4569">
      <c r="A4569" t="n">
        <v>4568</v>
      </c>
      <c r="B4569">
        <f>IFERROR(INDEX(Segmen!$A$3:$A$6000,MATCH(C4569,Segmen!$D$3:$D$6000,0)),"")</f>
        <v/>
      </c>
      <c r="C4569">
        <f>IFERROR(LARGE(Segmen!$D$3:$D$6000,A4569),"")</f>
        <v/>
      </c>
    </row>
    <row r="4570">
      <c r="A4570" t="n">
        <v>4569</v>
      </c>
      <c r="B4570">
        <f>IFERROR(INDEX(Segmen!$A$3:$A$6000,MATCH(C4570,Segmen!$D$3:$D$6000,0)),"")</f>
        <v/>
      </c>
      <c r="C4570">
        <f>IFERROR(LARGE(Segmen!$D$3:$D$6000,A4570),"")</f>
        <v/>
      </c>
    </row>
    <row r="4571">
      <c r="A4571" t="n">
        <v>4570</v>
      </c>
      <c r="B4571">
        <f>IFERROR(INDEX(Segmen!$A$3:$A$6000,MATCH(C4571,Segmen!$D$3:$D$6000,0)),"")</f>
        <v/>
      </c>
      <c r="C4571">
        <f>IFERROR(LARGE(Segmen!$D$3:$D$6000,A4571),"")</f>
        <v/>
      </c>
    </row>
    <row r="4572">
      <c r="A4572" t="n">
        <v>4571</v>
      </c>
      <c r="B4572">
        <f>IFERROR(INDEX(Segmen!$A$3:$A$6000,MATCH(C4572,Segmen!$D$3:$D$6000,0)),"")</f>
        <v/>
      </c>
      <c r="C4572">
        <f>IFERROR(LARGE(Segmen!$D$3:$D$6000,A4572),"")</f>
        <v/>
      </c>
    </row>
    <row r="4573">
      <c r="A4573" t="n">
        <v>4572</v>
      </c>
      <c r="B4573">
        <f>IFERROR(INDEX(Segmen!$A$3:$A$6000,MATCH(C4573,Segmen!$D$3:$D$6000,0)),"")</f>
        <v/>
      </c>
      <c r="C4573">
        <f>IFERROR(LARGE(Segmen!$D$3:$D$6000,A4573),"")</f>
        <v/>
      </c>
    </row>
    <row r="4574">
      <c r="A4574" t="n">
        <v>4573</v>
      </c>
      <c r="B4574">
        <f>IFERROR(INDEX(Segmen!$A$3:$A$6000,MATCH(C4574,Segmen!$D$3:$D$6000,0)),"")</f>
        <v/>
      </c>
      <c r="C4574">
        <f>IFERROR(LARGE(Segmen!$D$3:$D$6000,A4574),"")</f>
        <v/>
      </c>
    </row>
    <row r="4575">
      <c r="A4575" t="n">
        <v>4574</v>
      </c>
      <c r="B4575">
        <f>IFERROR(INDEX(Segmen!$A$3:$A$6000,MATCH(C4575,Segmen!$D$3:$D$6000,0)),"")</f>
        <v/>
      </c>
      <c r="C4575">
        <f>IFERROR(LARGE(Segmen!$D$3:$D$6000,A4575),"")</f>
        <v/>
      </c>
    </row>
    <row r="4576">
      <c r="A4576" t="n">
        <v>4575</v>
      </c>
      <c r="B4576">
        <f>IFERROR(INDEX(Segmen!$A$3:$A$6000,MATCH(C4576,Segmen!$D$3:$D$6000,0)),"")</f>
        <v/>
      </c>
      <c r="C4576">
        <f>IFERROR(LARGE(Segmen!$D$3:$D$6000,A4576),"")</f>
        <v/>
      </c>
    </row>
    <row r="4577">
      <c r="A4577" t="n">
        <v>4576</v>
      </c>
      <c r="B4577">
        <f>IFERROR(INDEX(Segmen!$A$3:$A$6000,MATCH(C4577,Segmen!$D$3:$D$6000,0)),"")</f>
        <v/>
      </c>
      <c r="C4577">
        <f>IFERROR(LARGE(Segmen!$D$3:$D$6000,A4577),"")</f>
        <v/>
      </c>
    </row>
    <row r="4578">
      <c r="A4578" t="n">
        <v>4577</v>
      </c>
      <c r="B4578">
        <f>IFERROR(INDEX(Segmen!$A$3:$A$6000,MATCH(C4578,Segmen!$D$3:$D$6000,0)),"")</f>
        <v/>
      </c>
      <c r="C4578">
        <f>IFERROR(LARGE(Segmen!$D$3:$D$6000,A4578),"")</f>
        <v/>
      </c>
    </row>
    <row r="4579">
      <c r="A4579" t="n">
        <v>4578</v>
      </c>
      <c r="B4579">
        <f>IFERROR(INDEX(Segmen!$A$3:$A$6000,MATCH(C4579,Segmen!$D$3:$D$6000,0)),"")</f>
        <v/>
      </c>
      <c r="C4579">
        <f>IFERROR(LARGE(Segmen!$D$3:$D$6000,A4579),"")</f>
        <v/>
      </c>
    </row>
    <row r="4580">
      <c r="A4580" t="n">
        <v>4579</v>
      </c>
      <c r="B4580">
        <f>IFERROR(INDEX(Segmen!$A$3:$A$6000,MATCH(C4580,Segmen!$D$3:$D$6000,0)),"")</f>
        <v/>
      </c>
      <c r="C4580">
        <f>IFERROR(LARGE(Segmen!$D$3:$D$6000,A4580),"")</f>
        <v/>
      </c>
    </row>
    <row r="4581">
      <c r="A4581" t="n">
        <v>4580</v>
      </c>
      <c r="B4581">
        <f>IFERROR(INDEX(Segmen!$A$3:$A$6000,MATCH(C4581,Segmen!$D$3:$D$6000,0)),"")</f>
        <v/>
      </c>
      <c r="C4581">
        <f>IFERROR(LARGE(Segmen!$D$3:$D$6000,A4581),"")</f>
        <v/>
      </c>
    </row>
    <row r="4582">
      <c r="A4582" t="n">
        <v>4581</v>
      </c>
      <c r="B4582">
        <f>IFERROR(INDEX(Segmen!$A$3:$A$6000,MATCH(C4582,Segmen!$D$3:$D$6000,0)),"")</f>
        <v/>
      </c>
      <c r="C4582">
        <f>IFERROR(LARGE(Segmen!$D$3:$D$6000,A4582),"")</f>
        <v/>
      </c>
    </row>
    <row r="4583">
      <c r="A4583" t="n">
        <v>4582</v>
      </c>
      <c r="B4583">
        <f>IFERROR(INDEX(Segmen!$A$3:$A$6000,MATCH(C4583,Segmen!$D$3:$D$6000,0)),"")</f>
        <v/>
      </c>
      <c r="C4583">
        <f>IFERROR(LARGE(Segmen!$D$3:$D$6000,A4583),"")</f>
        <v/>
      </c>
    </row>
    <row r="4584">
      <c r="A4584" t="n">
        <v>4583</v>
      </c>
      <c r="B4584">
        <f>IFERROR(INDEX(Segmen!$A$3:$A$6000,MATCH(C4584,Segmen!$D$3:$D$6000,0)),"")</f>
        <v/>
      </c>
      <c r="C4584">
        <f>IFERROR(LARGE(Segmen!$D$3:$D$6000,A4584),"")</f>
        <v/>
      </c>
    </row>
    <row r="4585">
      <c r="A4585" t="n">
        <v>4584</v>
      </c>
      <c r="B4585">
        <f>IFERROR(INDEX(Segmen!$A$3:$A$6000,MATCH(C4585,Segmen!$D$3:$D$6000,0)),"")</f>
        <v/>
      </c>
      <c r="C4585">
        <f>IFERROR(LARGE(Segmen!$D$3:$D$6000,A4585),"")</f>
        <v/>
      </c>
    </row>
    <row r="4586">
      <c r="A4586" t="n">
        <v>4585</v>
      </c>
      <c r="B4586">
        <f>IFERROR(INDEX(Segmen!$A$3:$A$6000,MATCH(C4586,Segmen!$D$3:$D$6000,0)),"")</f>
        <v/>
      </c>
      <c r="C4586">
        <f>IFERROR(LARGE(Segmen!$D$3:$D$6000,A4586),"")</f>
        <v/>
      </c>
    </row>
    <row r="4587">
      <c r="A4587" t="n">
        <v>4586</v>
      </c>
      <c r="B4587">
        <f>IFERROR(INDEX(Segmen!$A$3:$A$6000,MATCH(C4587,Segmen!$D$3:$D$6000,0)),"")</f>
        <v/>
      </c>
      <c r="C4587">
        <f>IFERROR(LARGE(Segmen!$D$3:$D$6000,A4587),"")</f>
        <v/>
      </c>
    </row>
    <row r="4588">
      <c r="A4588" t="n">
        <v>4587</v>
      </c>
      <c r="B4588">
        <f>IFERROR(INDEX(Segmen!$A$3:$A$6000,MATCH(C4588,Segmen!$D$3:$D$6000,0)),"")</f>
        <v/>
      </c>
      <c r="C4588">
        <f>IFERROR(LARGE(Segmen!$D$3:$D$6000,A4588),"")</f>
        <v/>
      </c>
    </row>
    <row r="4589">
      <c r="A4589" t="n">
        <v>4588</v>
      </c>
      <c r="B4589">
        <f>IFERROR(INDEX(Segmen!$A$3:$A$6000,MATCH(C4589,Segmen!$D$3:$D$6000,0)),"")</f>
        <v/>
      </c>
      <c r="C4589">
        <f>IFERROR(LARGE(Segmen!$D$3:$D$6000,A4589),"")</f>
        <v/>
      </c>
    </row>
    <row r="4590">
      <c r="A4590" t="n">
        <v>4589</v>
      </c>
      <c r="B4590">
        <f>IFERROR(INDEX(Segmen!$A$3:$A$6000,MATCH(C4590,Segmen!$D$3:$D$6000,0)),"")</f>
        <v/>
      </c>
      <c r="C4590">
        <f>IFERROR(LARGE(Segmen!$D$3:$D$6000,A4590),"")</f>
        <v/>
      </c>
    </row>
    <row r="4591">
      <c r="A4591" t="n">
        <v>4590</v>
      </c>
      <c r="B4591">
        <f>IFERROR(INDEX(Segmen!$A$3:$A$6000,MATCH(C4591,Segmen!$D$3:$D$6000,0)),"")</f>
        <v/>
      </c>
      <c r="C4591">
        <f>IFERROR(LARGE(Segmen!$D$3:$D$6000,A4591),"")</f>
        <v/>
      </c>
    </row>
    <row r="4592">
      <c r="A4592" t="n">
        <v>4591</v>
      </c>
      <c r="B4592">
        <f>IFERROR(INDEX(Segmen!$A$3:$A$6000,MATCH(C4592,Segmen!$D$3:$D$6000,0)),"")</f>
        <v/>
      </c>
      <c r="C4592">
        <f>IFERROR(LARGE(Segmen!$D$3:$D$6000,A4592),"")</f>
        <v/>
      </c>
    </row>
    <row r="4593">
      <c r="A4593" t="n">
        <v>4592</v>
      </c>
      <c r="B4593">
        <f>IFERROR(INDEX(Segmen!$A$3:$A$6000,MATCH(C4593,Segmen!$D$3:$D$6000,0)),"")</f>
        <v/>
      </c>
      <c r="C4593">
        <f>IFERROR(LARGE(Segmen!$D$3:$D$6000,A4593),"")</f>
        <v/>
      </c>
    </row>
    <row r="4594">
      <c r="A4594" t="n">
        <v>4593</v>
      </c>
      <c r="B4594">
        <f>IFERROR(INDEX(Segmen!$A$3:$A$6000,MATCH(C4594,Segmen!$D$3:$D$6000,0)),"")</f>
        <v/>
      </c>
      <c r="C4594">
        <f>IFERROR(LARGE(Segmen!$D$3:$D$6000,A4594),"")</f>
        <v/>
      </c>
    </row>
    <row r="4595">
      <c r="A4595" t="n">
        <v>4594</v>
      </c>
      <c r="B4595">
        <f>IFERROR(INDEX(Segmen!$A$3:$A$6000,MATCH(C4595,Segmen!$D$3:$D$6000,0)),"")</f>
        <v/>
      </c>
      <c r="C4595">
        <f>IFERROR(LARGE(Segmen!$D$3:$D$6000,A4595),"")</f>
        <v/>
      </c>
    </row>
    <row r="4596">
      <c r="A4596" t="n">
        <v>4595</v>
      </c>
      <c r="B4596">
        <f>IFERROR(INDEX(Segmen!$A$3:$A$6000,MATCH(C4596,Segmen!$D$3:$D$6000,0)),"")</f>
        <v/>
      </c>
      <c r="C4596">
        <f>IFERROR(LARGE(Segmen!$D$3:$D$6000,A4596),"")</f>
        <v/>
      </c>
    </row>
    <row r="4597">
      <c r="A4597" t="n">
        <v>4596</v>
      </c>
      <c r="B4597">
        <f>IFERROR(INDEX(Segmen!$A$3:$A$6000,MATCH(C4597,Segmen!$D$3:$D$6000,0)),"")</f>
        <v/>
      </c>
      <c r="C4597">
        <f>IFERROR(LARGE(Segmen!$D$3:$D$6000,A4597),"")</f>
        <v/>
      </c>
    </row>
    <row r="4598">
      <c r="A4598" t="n">
        <v>4597</v>
      </c>
      <c r="B4598">
        <f>IFERROR(INDEX(Segmen!$A$3:$A$6000,MATCH(C4598,Segmen!$D$3:$D$6000,0)),"")</f>
        <v/>
      </c>
      <c r="C4598">
        <f>IFERROR(LARGE(Segmen!$D$3:$D$6000,A4598),"")</f>
        <v/>
      </c>
    </row>
    <row r="4599">
      <c r="A4599" t="n">
        <v>4598</v>
      </c>
      <c r="B4599">
        <f>IFERROR(INDEX(Segmen!$A$3:$A$6000,MATCH(C4599,Segmen!$D$3:$D$6000,0)),"")</f>
        <v/>
      </c>
      <c r="C4599">
        <f>IFERROR(LARGE(Segmen!$D$3:$D$6000,A4599),"")</f>
        <v/>
      </c>
    </row>
    <row r="4600">
      <c r="A4600" t="n">
        <v>4599</v>
      </c>
      <c r="B4600">
        <f>IFERROR(INDEX(Segmen!$A$3:$A$6000,MATCH(C4600,Segmen!$D$3:$D$6000,0)),"")</f>
        <v/>
      </c>
      <c r="C4600">
        <f>IFERROR(LARGE(Segmen!$D$3:$D$6000,A4600),"")</f>
        <v/>
      </c>
    </row>
    <row r="4601">
      <c r="A4601" t="n">
        <v>4600</v>
      </c>
      <c r="B4601">
        <f>IFERROR(INDEX(Segmen!$A$3:$A$6000,MATCH(C4601,Segmen!$D$3:$D$6000,0)),"")</f>
        <v/>
      </c>
      <c r="C4601">
        <f>IFERROR(LARGE(Segmen!$D$3:$D$6000,A4601),"")</f>
        <v/>
      </c>
    </row>
    <row r="4602">
      <c r="A4602" t="n">
        <v>4601</v>
      </c>
      <c r="B4602">
        <f>IFERROR(INDEX(Segmen!$A$3:$A$6000,MATCH(C4602,Segmen!$D$3:$D$6000,0)),"")</f>
        <v/>
      </c>
      <c r="C4602">
        <f>IFERROR(LARGE(Segmen!$D$3:$D$6000,A4602),"")</f>
        <v/>
      </c>
    </row>
    <row r="4603">
      <c r="A4603" t="n">
        <v>4602</v>
      </c>
      <c r="B4603">
        <f>IFERROR(INDEX(Segmen!$A$3:$A$6000,MATCH(C4603,Segmen!$D$3:$D$6000,0)),"")</f>
        <v/>
      </c>
      <c r="C4603">
        <f>IFERROR(LARGE(Segmen!$D$3:$D$6000,A4603),"")</f>
        <v/>
      </c>
    </row>
    <row r="4604">
      <c r="A4604" t="n">
        <v>4603</v>
      </c>
      <c r="B4604">
        <f>IFERROR(INDEX(Segmen!$A$3:$A$6000,MATCH(C4604,Segmen!$D$3:$D$6000,0)),"")</f>
        <v/>
      </c>
      <c r="C4604">
        <f>IFERROR(LARGE(Segmen!$D$3:$D$6000,A4604),"")</f>
        <v/>
      </c>
    </row>
    <row r="4605">
      <c r="A4605" t="n">
        <v>4604</v>
      </c>
      <c r="B4605">
        <f>IFERROR(INDEX(Segmen!$A$3:$A$6000,MATCH(C4605,Segmen!$D$3:$D$6000,0)),"")</f>
        <v/>
      </c>
      <c r="C4605">
        <f>IFERROR(LARGE(Segmen!$D$3:$D$6000,A4605),"")</f>
        <v/>
      </c>
    </row>
    <row r="4606">
      <c r="A4606" t="n">
        <v>4605</v>
      </c>
      <c r="B4606">
        <f>IFERROR(INDEX(Segmen!$A$3:$A$6000,MATCH(C4606,Segmen!$D$3:$D$6000,0)),"")</f>
        <v/>
      </c>
      <c r="C4606">
        <f>IFERROR(LARGE(Segmen!$D$3:$D$6000,A4606),"")</f>
        <v/>
      </c>
    </row>
    <row r="4607">
      <c r="A4607" t="n">
        <v>4606</v>
      </c>
      <c r="B4607">
        <f>IFERROR(INDEX(Segmen!$A$3:$A$6000,MATCH(C4607,Segmen!$D$3:$D$6000,0)),"")</f>
        <v/>
      </c>
      <c r="C4607">
        <f>IFERROR(LARGE(Segmen!$D$3:$D$6000,A4607),"")</f>
        <v/>
      </c>
    </row>
    <row r="4608">
      <c r="A4608" t="n">
        <v>4607</v>
      </c>
      <c r="B4608">
        <f>IFERROR(INDEX(Segmen!$A$3:$A$6000,MATCH(C4608,Segmen!$D$3:$D$6000,0)),"")</f>
        <v/>
      </c>
      <c r="C4608">
        <f>IFERROR(LARGE(Segmen!$D$3:$D$6000,A4608),"")</f>
        <v/>
      </c>
    </row>
    <row r="4609">
      <c r="A4609" t="n">
        <v>4608</v>
      </c>
      <c r="B4609">
        <f>IFERROR(INDEX(Segmen!$A$3:$A$6000,MATCH(C4609,Segmen!$D$3:$D$6000,0)),"")</f>
        <v/>
      </c>
      <c r="C4609">
        <f>IFERROR(LARGE(Segmen!$D$3:$D$6000,A4609),"")</f>
        <v/>
      </c>
    </row>
    <row r="4610">
      <c r="A4610" t="n">
        <v>4609</v>
      </c>
      <c r="B4610">
        <f>IFERROR(INDEX(Segmen!$A$3:$A$6000,MATCH(C4610,Segmen!$D$3:$D$6000,0)),"")</f>
        <v/>
      </c>
      <c r="C4610">
        <f>IFERROR(LARGE(Segmen!$D$3:$D$6000,A4610),"")</f>
        <v/>
      </c>
    </row>
    <row r="4611">
      <c r="A4611" t="n">
        <v>4610</v>
      </c>
      <c r="B4611">
        <f>IFERROR(INDEX(Segmen!$A$3:$A$6000,MATCH(C4611,Segmen!$D$3:$D$6000,0)),"")</f>
        <v/>
      </c>
      <c r="C4611">
        <f>IFERROR(LARGE(Segmen!$D$3:$D$6000,A4611),"")</f>
        <v/>
      </c>
    </row>
    <row r="4612">
      <c r="A4612" t="n">
        <v>4611</v>
      </c>
      <c r="B4612">
        <f>IFERROR(INDEX(Segmen!$A$3:$A$6000,MATCH(C4612,Segmen!$D$3:$D$6000,0)),"")</f>
        <v/>
      </c>
      <c r="C4612">
        <f>IFERROR(LARGE(Segmen!$D$3:$D$6000,A4612),"")</f>
        <v/>
      </c>
    </row>
    <row r="4613">
      <c r="A4613" t="n">
        <v>4612</v>
      </c>
      <c r="B4613">
        <f>IFERROR(INDEX(Segmen!$A$3:$A$6000,MATCH(C4613,Segmen!$D$3:$D$6000,0)),"")</f>
        <v/>
      </c>
      <c r="C4613">
        <f>IFERROR(LARGE(Segmen!$D$3:$D$6000,A4613),"")</f>
        <v/>
      </c>
    </row>
    <row r="4614">
      <c r="A4614" t="n">
        <v>4613</v>
      </c>
      <c r="B4614">
        <f>IFERROR(INDEX(Segmen!$A$3:$A$6000,MATCH(C4614,Segmen!$D$3:$D$6000,0)),"")</f>
        <v/>
      </c>
      <c r="C4614">
        <f>IFERROR(LARGE(Segmen!$D$3:$D$6000,A4614),"")</f>
        <v/>
      </c>
    </row>
    <row r="4615">
      <c r="A4615" t="n">
        <v>4614</v>
      </c>
      <c r="B4615">
        <f>IFERROR(INDEX(Segmen!$A$3:$A$6000,MATCH(C4615,Segmen!$D$3:$D$6000,0)),"")</f>
        <v/>
      </c>
      <c r="C4615">
        <f>IFERROR(LARGE(Segmen!$D$3:$D$6000,A4615),"")</f>
        <v/>
      </c>
    </row>
    <row r="4616">
      <c r="A4616" t="n">
        <v>4615</v>
      </c>
      <c r="B4616">
        <f>IFERROR(INDEX(Segmen!$A$3:$A$6000,MATCH(C4616,Segmen!$D$3:$D$6000,0)),"")</f>
        <v/>
      </c>
      <c r="C4616">
        <f>IFERROR(LARGE(Segmen!$D$3:$D$6000,A4616),"")</f>
        <v/>
      </c>
    </row>
    <row r="4617">
      <c r="A4617" t="n">
        <v>4616</v>
      </c>
      <c r="B4617">
        <f>IFERROR(INDEX(Segmen!$A$3:$A$6000,MATCH(C4617,Segmen!$D$3:$D$6000,0)),"")</f>
        <v/>
      </c>
      <c r="C4617">
        <f>IFERROR(LARGE(Segmen!$D$3:$D$6000,A4617),"")</f>
        <v/>
      </c>
    </row>
    <row r="4618">
      <c r="A4618" t="n">
        <v>4617</v>
      </c>
      <c r="B4618">
        <f>IFERROR(INDEX(Segmen!$A$3:$A$6000,MATCH(C4618,Segmen!$D$3:$D$6000,0)),"")</f>
        <v/>
      </c>
      <c r="C4618">
        <f>IFERROR(LARGE(Segmen!$D$3:$D$6000,A4618),"")</f>
        <v/>
      </c>
    </row>
    <row r="4619">
      <c r="A4619" t="n">
        <v>4618</v>
      </c>
      <c r="B4619">
        <f>IFERROR(INDEX(Segmen!$A$3:$A$6000,MATCH(C4619,Segmen!$D$3:$D$6000,0)),"")</f>
        <v/>
      </c>
      <c r="C4619">
        <f>IFERROR(LARGE(Segmen!$D$3:$D$6000,A4619),"")</f>
        <v/>
      </c>
    </row>
    <row r="4620">
      <c r="A4620" t="n">
        <v>4619</v>
      </c>
      <c r="B4620">
        <f>IFERROR(INDEX(Segmen!$A$3:$A$6000,MATCH(C4620,Segmen!$D$3:$D$6000,0)),"")</f>
        <v/>
      </c>
      <c r="C4620">
        <f>IFERROR(LARGE(Segmen!$D$3:$D$6000,A4620),"")</f>
        <v/>
      </c>
    </row>
    <row r="4621">
      <c r="A4621" t="n">
        <v>4620</v>
      </c>
      <c r="B4621">
        <f>IFERROR(INDEX(Segmen!$A$3:$A$6000,MATCH(C4621,Segmen!$D$3:$D$6000,0)),"")</f>
        <v/>
      </c>
      <c r="C4621">
        <f>IFERROR(LARGE(Segmen!$D$3:$D$6000,A4621),"")</f>
        <v/>
      </c>
    </row>
    <row r="4622">
      <c r="A4622" t="n">
        <v>4621</v>
      </c>
      <c r="B4622">
        <f>IFERROR(INDEX(Segmen!$A$3:$A$6000,MATCH(C4622,Segmen!$D$3:$D$6000,0)),"")</f>
        <v/>
      </c>
      <c r="C4622">
        <f>IFERROR(LARGE(Segmen!$D$3:$D$6000,A4622),"")</f>
        <v/>
      </c>
    </row>
    <row r="4623">
      <c r="A4623" t="n">
        <v>4622</v>
      </c>
      <c r="B4623">
        <f>IFERROR(INDEX(Segmen!$A$3:$A$6000,MATCH(C4623,Segmen!$D$3:$D$6000,0)),"")</f>
        <v/>
      </c>
      <c r="C4623">
        <f>IFERROR(LARGE(Segmen!$D$3:$D$6000,A4623),"")</f>
        <v/>
      </c>
    </row>
    <row r="4624">
      <c r="A4624" t="n">
        <v>4623</v>
      </c>
      <c r="B4624">
        <f>IFERROR(INDEX(Segmen!$A$3:$A$6000,MATCH(C4624,Segmen!$D$3:$D$6000,0)),"")</f>
        <v/>
      </c>
      <c r="C4624">
        <f>IFERROR(LARGE(Segmen!$D$3:$D$6000,A4624),"")</f>
        <v/>
      </c>
    </row>
    <row r="4625">
      <c r="A4625" t="n">
        <v>4624</v>
      </c>
      <c r="B4625">
        <f>IFERROR(INDEX(Segmen!$A$3:$A$6000,MATCH(C4625,Segmen!$D$3:$D$6000,0)),"")</f>
        <v/>
      </c>
      <c r="C4625">
        <f>IFERROR(LARGE(Segmen!$D$3:$D$6000,A4625),"")</f>
        <v/>
      </c>
    </row>
    <row r="4626">
      <c r="A4626" t="n">
        <v>4625</v>
      </c>
      <c r="B4626">
        <f>IFERROR(INDEX(Segmen!$A$3:$A$6000,MATCH(C4626,Segmen!$D$3:$D$6000,0)),"")</f>
        <v/>
      </c>
      <c r="C4626">
        <f>IFERROR(LARGE(Segmen!$D$3:$D$6000,A4626),"")</f>
        <v/>
      </c>
    </row>
    <row r="4627">
      <c r="A4627" t="n">
        <v>4626</v>
      </c>
      <c r="B4627">
        <f>IFERROR(INDEX(Segmen!$A$3:$A$6000,MATCH(C4627,Segmen!$D$3:$D$6000,0)),"")</f>
        <v/>
      </c>
      <c r="C4627">
        <f>IFERROR(LARGE(Segmen!$D$3:$D$6000,A4627),"")</f>
        <v/>
      </c>
    </row>
    <row r="4628">
      <c r="A4628" t="n">
        <v>4627</v>
      </c>
      <c r="B4628">
        <f>IFERROR(INDEX(Segmen!$A$3:$A$6000,MATCH(C4628,Segmen!$D$3:$D$6000,0)),"")</f>
        <v/>
      </c>
      <c r="C4628">
        <f>IFERROR(LARGE(Segmen!$D$3:$D$6000,A4628),"")</f>
        <v/>
      </c>
    </row>
    <row r="4629">
      <c r="A4629" t="n">
        <v>4628</v>
      </c>
      <c r="B4629">
        <f>IFERROR(INDEX(Segmen!$A$3:$A$6000,MATCH(C4629,Segmen!$D$3:$D$6000,0)),"")</f>
        <v/>
      </c>
      <c r="C4629">
        <f>IFERROR(LARGE(Segmen!$D$3:$D$6000,A4629),"")</f>
        <v/>
      </c>
    </row>
    <row r="4630">
      <c r="A4630" t="n">
        <v>4629</v>
      </c>
      <c r="B4630">
        <f>IFERROR(INDEX(Segmen!$A$3:$A$6000,MATCH(C4630,Segmen!$D$3:$D$6000,0)),"")</f>
        <v/>
      </c>
      <c r="C4630">
        <f>IFERROR(LARGE(Segmen!$D$3:$D$6000,A4630),"")</f>
        <v/>
      </c>
    </row>
    <row r="4631">
      <c r="A4631" t="n">
        <v>4630</v>
      </c>
      <c r="B4631">
        <f>IFERROR(INDEX(Segmen!$A$3:$A$6000,MATCH(C4631,Segmen!$D$3:$D$6000,0)),"")</f>
        <v/>
      </c>
      <c r="C4631">
        <f>IFERROR(LARGE(Segmen!$D$3:$D$6000,A4631),"")</f>
        <v/>
      </c>
    </row>
    <row r="4632">
      <c r="A4632" t="n">
        <v>4631</v>
      </c>
      <c r="B4632">
        <f>IFERROR(INDEX(Segmen!$A$3:$A$6000,MATCH(C4632,Segmen!$D$3:$D$6000,0)),"")</f>
        <v/>
      </c>
      <c r="C4632">
        <f>IFERROR(LARGE(Segmen!$D$3:$D$6000,A4632),"")</f>
        <v/>
      </c>
    </row>
    <row r="4633">
      <c r="A4633" t="n">
        <v>4632</v>
      </c>
      <c r="B4633">
        <f>IFERROR(INDEX(Segmen!$A$3:$A$6000,MATCH(C4633,Segmen!$D$3:$D$6000,0)),"")</f>
        <v/>
      </c>
      <c r="C4633">
        <f>IFERROR(LARGE(Segmen!$D$3:$D$6000,A4633),"")</f>
        <v/>
      </c>
    </row>
    <row r="4634">
      <c r="A4634" t="n">
        <v>4633</v>
      </c>
      <c r="B4634">
        <f>IFERROR(INDEX(Segmen!$A$3:$A$6000,MATCH(C4634,Segmen!$D$3:$D$6000,0)),"")</f>
        <v/>
      </c>
      <c r="C4634">
        <f>IFERROR(LARGE(Segmen!$D$3:$D$6000,A4634),"")</f>
        <v/>
      </c>
    </row>
    <row r="4635">
      <c r="A4635" t="n">
        <v>4634</v>
      </c>
      <c r="B4635">
        <f>IFERROR(INDEX(Segmen!$A$3:$A$6000,MATCH(C4635,Segmen!$D$3:$D$6000,0)),"")</f>
        <v/>
      </c>
      <c r="C4635">
        <f>IFERROR(LARGE(Segmen!$D$3:$D$6000,A4635),"")</f>
        <v/>
      </c>
    </row>
    <row r="4636">
      <c r="A4636" t="n">
        <v>4635</v>
      </c>
      <c r="B4636">
        <f>IFERROR(INDEX(Segmen!$A$3:$A$6000,MATCH(C4636,Segmen!$D$3:$D$6000,0)),"")</f>
        <v/>
      </c>
      <c r="C4636">
        <f>IFERROR(LARGE(Segmen!$D$3:$D$6000,A4636),"")</f>
        <v/>
      </c>
    </row>
    <row r="4637">
      <c r="A4637" t="n">
        <v>4636</v>
      </c>
      <c r="B4637">
        <f>IFERROR(INDEX(Segmen!$A$3:$A$6000,MATCH(C4637,Segmen!$D$3:$D$6000,0)),"")</f>
        <v/>
      </c>
      <c r="C4637">
        <f>IFERROR(LARGE(Segmen!$D$3:$D$6000,A4637),"")</f>
        <v/>
      </c>
    </row>
    <row r="4638">
      <c r="A4638" t="n">
        <v>4637</v>
      </c>
      <c r="B4638">
        <f>IFERROR(INDEX(Segmen!$A$3:$A$6000,MATCH(C4638,Segmen!$D$3:$D$6000,0)),"")</f>
        <v/>
      </c>
      <c r="C4638">
        <f>IFERROR(LARGE(Segmen!$D$3:$D$6000,A4638),"")</f>
        <v/>
      </c>
    </row>
    <row r="4639">
      <c r="A4639" t="n">
        <v>4638</v>
      </c>
      <c r="B4639">
        <f>IFERROR(INDEX(Segmen!$A$3:$A$6000,MATCH(C4639,Segmen!$D$3:$D$6000,0)),"")</f>
        <v/>
      </c>
      <c r="C4639">
        <f>IFERROR(LARGE(Segmen!$D$3:$D$6000,A4639),"")</f>
        <v/>
      </c>
    </row>
    <row r="4640">
      <c r="A4640" t="n">
        <v>4639</v>
      </c>
      <c r="B4640">
        <f>IFERROR(INDEX(Segmen!$A$3:$A$6000,MATCH(C4640,Segmen!$D$3:$D$6000,0)),"")</f>
        <v/>
      </c>
      <c r="C4640">
        <f>IFERROR(LARGE(Segmen!$D$3:$D$6000,A4640),"")</f>
        <v/>
      </c>
    </row>
    <row r="4641">
      <c r="A4641" t="n">
        <v>4640</v>
      </c>
      <c r="B4641">
        <f>IFERROR(INDEX(Segmen!$A$3:$A$6000,MATCH(C4641,Segmen!$D$3:$D$6000,0)),"")</f>
        <v/>
      </c>
      <c r="C4641">
        <f>IFERROR(LARGE(Segmen!$D$3:$D$6000,A4641),"")</f>
        <v/>
      </c>
    </row>
    <row r="4642">
      <c r="A4642" t="n">
        <v>4641</v>
      </c>
      <c r="B4642">
        <f>IFERROR(INDEX(Segmen!$A$3:$A$6000,MATCH(C4642,Segmen!$D$3:$D$6000,0)),"")</f>
        <v/>
      </c>
      <c r="C4642">
        <f>IFERROR(LARGE(Segmen!$D$3:$D$6000,A4642),"")</f>
        <v/>
      </c>
    </row>
    <row r="4643">
      <c r="A4643" t="n">
        <v>4642</v>
      </c>
      <c r="B4643">
        <f>IFERROR(INDEX(Segmen!$A$3:$A$6000,MATCH(C4643,Segmen!$D$3:$D$6000,0)),"")</f>
        <v/>
      </c>
      <c r="C4643">
        <f>IFERROR(LARGE(Segmen!$D$3:$D$6000,A4643),"")</f>
        <v/>
      </c>
    </row>
    <row r="4644">
      <c r="A4644" t="n">
        <v>4643</v>
      </c>
      <c r="B4644">
        <f>IFERROR(INDEX(Segmen!$A$3:$A$6000,MATCH(C4644,Segmen!$D$3:$D$6000,0)),"")</f>
        <v/>
      </c>
      <c r="C4644">
        <f>IFERROR(LARGE(Segmen!$D$3:$D$6000,A4644),"")</f>
        <v/>
      </c>
    </row>
    <row r="4645">
      <c r="A4645" t="n">
        <v>4644</v>
      </c>
      <c r="B4645">
        <f>IFERROR(INDEX(Segmen!$A$3:$A$6000,MATCH(C4645,Segmen!$D$3:$D$6000,0)),"")</f>
        <v/>
      </c>
      <c r="C4645">
        <f>IFERROR(LARGE(Segmen!$D$3:$D$6000,A4645),"")</f>
        <v/>
      </c>
    </row>
    <row r="4646">
      <c r="A4646" t="n">
        <v>4645</v>
      </c>
      <c r="B4646">
        <f>IFERROR(INDEX(Segmen!$A$3:$A$6000,MATCH(C4646,Segmen!$D$3:$D$6000,0)),"")</f>
        <v/>
      </c>
      <c r="C4646">
        <f>IFERROR(LARGE(Segmen!$D$3:$D$6000,A4646),"")</f>
        <v/>
      </c>
    </row>
    <row r="4647">
      <c r="A4647" t="n">
        <v>4646</v>
      </c>
      <c r="B4647">
        <f>IFERROR(INDEX(Segmen!$A$3:$A$6000,MATCH(C4647,Segmen!$D$3:$D$6000,0)),"")</f>
        <v/>
      </c>
      <c r="C4647">
        <f>IFERROR(LARGE(Segmen!$D$3:$D$6000,A4647),"")</f>
        <v/>
      </c>
    </row>
    <row r="4648">
      <c r="A4648" t="n">
        <v>4647</v>
      </c>
      <c r="B4648">
        <f>IFERROR(INDEX(Segmen!$A$3:$A$6000,MATCH(C4648,Segmen!$D$3:$D$6000,0)),"")</f>
        <v/>
      </c>
      <c r="C4648">
        <f>IFERROR(LARGE(Segmen!$D$3:$D$6000,A4648),"")</f>
        <v/>
      </c>
    </row>
    <row r="4649">
      <c r="A4649" t="n">
        <v>4648</v>
      </c>
      <c r="B4649">
        <f>IFERROR(INDEX(Segmen!$A$3:$A$6000,MATCH(C4649,Segmen!$D$3:$D$6000,0)),"")</f>
        <v/>
      </c>
      <c r="C4649">
        <f>IFERROR(LARGE(Segmen!$D$3:$D$6000,A4649),"")</f>
        <v/>
      </c>
    </row>
    <row r="4650">
      <c r="A4650" t="n">
        <v>4649</v>
      </c>
      <c r="B4650">
        <f>IFERROR(INDEX(Segmen!$A$3:$A$6000,MATCH(C4650,Segmen!$D$3:$D$6000,0)),"")</f>
        <v/>
      </c>
      <c r="C4650">
        <f>IFERROR(LARGE(Segmen!$D$3:$D$6000,A4650),"")</f>
        <v/>
      </c>
    </row>
    <row r="4651">
      <c r="A4651" t="n">
        <v>4650</v>
      </c>
      <c r="B4651">
        <f>IFERROR(INDEX(Segmen!$A$3:$A$6000,MATCH(C4651,Segmen!$D$3:$D$6000,0)),"")</f>
        <v/>
      </c>
      <c r="C4651">
        <f>IFERROR(LARGE(Segmen!$D$3:$D$6000,A4651),"")</f>
        <v/>
      </c>
    </row>
    <row r="4652">
      <c r="A4652" t="n">
        <v>4651</v>
      </c>
      <c r="B4652">
        <f>IFERROR(INDEX(Segmen!$A$3:$A$6000,MATCH(C4652,Segmen!$D$3:$D$6000,0)),"")</f>
        <v/>
      </c>
      <c r="C4652">
        <f>IFERROR(LARGE(Segmen!$D$3:$D$6000,A4652),"")</f>
        <v/>
      </c>
    </row>
    <row r="4653">
      <c r="A4653" t="n">
        <v>4652</v>
      </c>
      <c r="B4653">
        <f>IFERROR(INDEX(Segmen!$A$3:$A$6000,MATCH(C4653,Segmen!$D$3:$D$6000,0)),"")</f>
        <v/>
      </c>
      <c r="C4653">
        <f>IFERROR(LARGE(Segmen!$D$3:$D$6000,A4653),"")</f>
        <v/>
      </c>
    </row>
    <row r="4654">
      <c r="A4654" t="n">
        <v>4653</v>
      </c>
      <c r="B4654">
        <f>IFERROR(INDEX(Segmen!$A$3:$A$6000,MATCH(C4654,Segmen!$D$3:$D$6000,0)),"")</f>
        <v/>
      </c>
      <c r="C4654">
        <f>IFERROR(LARGE(Segmen!$D$3:$D$6000,A4654),"")</f>
        <v/>
      </c>
    </row>
    <row r="4655">
      <c r="A4655" t="n">
        <v>4654</v>
      </c>
      <c r="B4655">
        <f>IFERROR(INDEX(Segmen!$A$3:$A$6000,MATCH(C4655,Segmen!$D$3:$D$6000,0)),"")</f>
        <v/>
      </c>
      <c r="C4655">
        <f>IFERROR(LARGE(Segmen!$D$3:$D$6000,A4655),"")</f>
        <v/>
      </c>
    </row>
    <row r="4656">
      <c r="A4656" t="n">
        <v>4655</v>
      </c>
      <c r="B4656">
        <f>IFERROR(INDEX(Segmen!$A$3:$A$6000,MATCH(C4656,Segmen!$D$3:$D$6000,0)),"")</f>
        <v/>
      </c>
      <c r="C4656">
        <f>IFERROR(LARGE(Segmen!$D$3:$D$6000,A4656),"")</f>
        <v/>
      </c>
    </row>
    <row r="4657">
      <c r="A4657" t="n">
        <v>4656</v>
      </c>
      <c r="B4657">
        <f>IFERROR(INDEX(Segmen!$A$3:$A$6000,MATCH(C4657,Segmen!$D$3:$D$6000,0)),"")</f>
        <v/>
      </c>
      <c r="C4657">
        <f>IFERROR(LARGE(Segmen!$D$3:$D$6000,A4657),"")</f>
        <v/>
      </c>
    </row>
    <row r="4658">
      <c r="A4658" t="n">
        <v>4657</v>
      </c>
      <c r="B4658">
        <f>IFERROR(INDEX(Segmen!$A$3:$A$6000,MATCH(C4658,Segmen!$D$3:$D$6000,0)),"")</f>
        <v/>
      </c>
      <c r="C4658">
        <f>IFERROR(LARGE(Segmen!$D$3:$D$6000,A4658),"")</f>
        <v/>
      </c>
    </row>
    <row r="4659">
      <c r="A4659" t="n">
        <v>4658</v>
      </c>
      <c r="B4659">
        <f>IFERROR(INDEX(Segmen!$A$3:$A$6000,MATCH(C4659,Segmen!$D$3:$D$6000,0)),"")</f>
        <v/>
      </c>
      <c r="C4659">
        <f>IFERROR(LARGE(Segmen!$D$3:$D$6000,A4659),"")</f>
        <v/>
      </c>
    </row>
    <row r="4660">
      <c r="A4660" t="n">
        <v>4659</v>
      </c>
      <c r="B4660">
        <f>IFERROR(INDEX(Segmen!$A$3:$A$6000,MATCH(C4660,Segmen!$D$3:$D$6000,0)),"")</f>
        <v/>
      </c>
      <c r="C4660">
        <f>IFERROR(LARGE(Segmen!$D$3:$D$6000,A4660),"")</f>
        <v/>
      </c>
    </row>
    <row r="4661">
      <c r="A4661" t="n">
        <v>4660</v>
      </c>
      <c r="B4661">
        <f>IFERROR(INDEX(Segmen!$A$3:$A$6000,MATCH(C4661,Segmen!$D$3:$D$6000,0)),"")</f>
        <v/>
      </c>
      <c r="C4661">
        <f>IFERROR(LARGE(Segmen!$D$3:$D$6000,A4661),"")</f>
        <v/>
      </c>
    </row>
    <row r="4662">
      <c r="A4662" t="n">
        <v>4661</v>
      </c>
      <c r="B4662">
        <f>IFERROR(INDEX(Segmen!$A$3:$A$6000,MATCH(C4662,Segmen!$D$3:$D$6000,0)),"")</f>
        <v/>
      </c>
      <c r="C4662">
        <f>IFERROR(LARGE(Segmen!$D$3:$D$6000,A4662),"")</f>
        <v/>
      </c>
    </row>
    <row r="4663">
      <c r="A4663" t="n">
        <v>4662</v>
      </c>
      <c r="B4663">
        <f>IFERROR(INDEX(Segmen!$A$3:$A$6000,MATCH(C4663,Segmen!$D$3:$D$6000,0)),"")</f>
        <v/>
      </c>
      <c r="C4663">
        <f>IFERROR(LARGE(Segmen!$D$3:$D$6000,A4663),"")</f>
        <v/>
      </c>
    </row>
    <row r="4664">
      <c r="A4664" t="n">
        <v>4663</v>
      </c>
      <c r="B4664">
        <f>IFERROR(INDEX(Segmen!$A$3:$A$6000,MATCH(C4664,Segmen!$D$3:$D$6000,0)),"")</f>
        <v/>
      </c>
      <c r="C4664">
        <f>IFERROR(LARGE(Segmen!$D$3:$D$6000,A4664),"")</f>
        <v/>
      </c>
    </row>
    <row r="4665">
      <c r="A4665" t="n">
        <v>4664</v>
      </c>
      <c r="B4665">
        <f>IFERROR(INDEX(Segmen!$A$3:$A$6000,MATCH(C4665,Segmen!$D$3:$D$6000,0)),"")</f>
        <v/>
      </c>
      <c r="C4665">
        <f>IFERROR(LARGE(Segmen!$D$3:$D$6000,A4665),"")</f>
        <v/>
      </c>
    </row>
    <row r="4666">
      <c r="A4666" t="n">
        <v>4665</v>
      </c>
      <c r="B4666">
        <f>IFERROR(INDEX(Segmen!$A$3:$A$6000,MATCH(C4666,Segmen!$D$3:$D$6000,0)),"")</f>
        <v/>
      </c>
      <c r="C4666">
        <f>IFERROR(LARGE(Segmen!$D$3:$D$6000,A4666),"")</f>
        <v/>
      </c>
    </row>
    <row r="4667">
      <c r="A4667" t="n">
        <v>4666</v>
      </c>
      <c r="B4667">
        <f>IFERROR(INDEX(Segmen!$A$3:$A$6000,MATCH(C4667,Segmen!$D$3:$D$6000,0)),"")</f>
        <v/>
      </c>
      <c r="C4667">
        <f>IFERROR(LARGE(Segmen!$D$3:$D$6000,A4667),"")</f>
        <v/>
      </c>
    </row>
    <row r="4668">
      <c r="A4668" t="n">
        <v>4667</v>
      </c>
      <c r="B4668">
        <f>IFERROR(INDEX(Segmen!$A$3:$A$6000,MATCH(C4668,Segmen!$D$3:$D$6000,0)),"")</f>
        <v/>
      </c>
      <c r="C4668">
        <f>IFERROR(LARGE(Segmen!$D$3:$D$6000,A4668),"")</f>
        <v/>
      </c>
    </row>
    <row r="4669">
      <c r="A4669" t="n">
        <v>4668</v>
      </c>
      <c r="B4669">
        <f>IFERROR(INDEX(Segmen!$A$3:$A$6000,MATCH(C4669,Segmen!$D$3:$D$6000,0)),"")</f>
        <v/>
      </c>
      <c r="C4669">
        <f>IFERROR(LARGE(Segmen!$D$3:$D$6000,A4669),"")</f>
        <v/>
      </c>
    </row>
    <row r="4670">
      <c r="A4670" t="n">
        <v>4669</v>
      </c>
      <c r="B4670">
        <f>IFERROR(INDEX(Segmen!$A$3:$A$6000,MATCH(C4670,Segmen!$D$3:$D$6000,0)),"")</f>
        <v/>
      </c>
      <c r="C4670">
        <f>IFERROR(LARGE(Segmen!$D$3:$D$6000,A4670),"")</f>
        <v/>
      </c>
    </row>
    <row r="4671">
      <c r="A4671" t="n">
        <v>4670</v>
      </c>
      <c r="B4671">
        <f>IFERROR(INDEX(Segmen!$A$3:$A$6000,MATCH(C4671,Segmen!$D$3:$D$6000,0)),"")</f>
        <v/>
      </c>
      <c r="C4671">
        <f>IFERROR(LARGE(Segmen!$D$3:$D$6000,A4671),"")</f>
        <v/>
      </c>
    </row>
    <row r="4672">
      <c r="A4672" t="n">
        <v>4671</v>
      </c>
      <c r="B4672">
        <f>IFERROR(INDEX(Segmen!$A$3:$A$6000,MATCH(C4672,Segmen!$D$3:$D$6000,0)),"")</f>
        <v/>
      </c>
      <c r="C4672">
        <f>IFERROR(LARGE(Segmen!$D$3:$D$6000,A4672),"")</f>
        <v/>
      </c>
    </row>
    <row r="4673">
      <c r="A4673" t="n">
        <v>4672</v>
      </c>
      <c r="B4673">
        <f>IFERROR(INDEX(Segmen!$A$3:$A$6000,MATCH(C4673,Segmen!$D$3:$D$6000,0)),"")</f>
        <v/>
      </c>
      <c r="C4673">
        <f>IFERROR(LARGE(Segmen!$D$3:$D$6000,A4673),"")</f>
        <v/>
      </c>
    </row>
    <row r="4674">
      <c r="A4674" t="n">
        <v>4673</v>
      </c>
      <c r="B4674">
        <f>IFERROR(INDEX(Segmen!$A$3:$A$6000,MATCH(C4674,Segmen!$D$3:$D$6000,0)),"")</f>
        <v/>
      </c>
      <c r="C4674">
        <f>IFERROR(LARGE(Segmen!$D$3:$D$6000,A4674),"")</f>
        <v/>
      </c>
    </row>
    <row r="4675">
      <c r="A4675" t="n">
        <v>4674</v>
      </c>
      <c r="B4675">
        <f>IFERROR(INDEX(Segmen!$A$3:$A$6000,MATCH(C4675,Segmen!$D$3:$D$6000,0)),"")</f>
        <v/>
      </c>
      <c r="C4675">
        <f>IFERROR(LARGE(Segmen!$D$3:$D$6000,A4675),"")</f>
        <v/>
      </c>
    </row>
    <row r="4676">
      <c r="A4676" t="n">
        <v>4675</v>
      </c>
      <c r="B4676">
        <f>IFERROR(INDEX(Segmen!$A$3:$A$6000,MATCH(C4676,Segmen!$D$3:$D$6000,0)),"")</f>
        <v/>
      </c>
      <c r="C4676">
        <f>IFERROR(LARGE(Segmen!$D$3:$D$6000,A4676),"")</f>
        <v/>
      </c>
    </row>
    <row r="4677">
      <c r="A4677" t="n">
        <v>4676</v>
      </c>
      <c r="B4677">
        <f>IFERROR(INDEX(Segmen!$A$3:$A$6000,MATCH(C4677,Segmen!$D$3:$D$6000,0)),"")</f>
        <v/>
      </c>
      <c r="C4677">
        <f>IFERROR(LARGE(Segmen!$D$3:$D$6000,A4677),"")</f>
        <v/>
      </c>
    </row>
    <row r="4678">
      <c r="A4678" t="n">
        <v>4677</v>
      </c>
      <c r="B4678">
        <f>IFERROR(INDEX(Segmen!$A$3:$A$6000,MATCH(C4678,Segmen!$D$3:$D$6000,0)),"")</f>
        <v/>
      </c>
      <c r="C4678">
        <f>IFERROR(LARGE(Segmen!$D$3:$D$6000,A4678),"")</f>
        <v/>
      </c>
    </row>
    <row r="4679">
      <c r="A4679" t="n">
        <v>4678</v>
      </c>
      <c r="B4679">
        <f>IFERROR(INDEX(Segmen!$A$3:$A$6000,MATCH(C4679,Segmen!$D$3:$D$6000,0)),"")</f>
        <v/>
      </c>
      <c r="C4679">
        <f>IFERROR(LARGE(Segmen!$D$3:$D$6000,A4679),"")</f>
        <v/>
      </c>
    </row>
    <row r="4680">
      <c r="A4680" t="n">
        <v>4679</v>
      </c>
      <c r="B4680">
        <f>IFERROR(INDEX(Segmen!$A$3:$A$6000,MATCH(C4680,Segmen!$D$3:$D$6000,0)),"")</f>
        <v/>
      </c>
      <c r="C4680">
        <f>IFERROR(LARGE(Segmen!$D$3:$D$6000,A4680),"")</f>
        <v/>
      </c>
    </row>
    <row r="4681">
      <c r="A4681" t="n">
        <v>4680</v>
      </c>
      <c r="B4681">
        <f>IFERROR(INDEX(Segmen!$A$3:$A$6000,MATCH(C4681,Segmen!$D$3:$D$6000,0)),"")</f>
        <v/>
      </c>
      <c r="C4681">
        <f>IFERROR(LARGE(Segmen!$D$3:$D$6000,A4681),"")</f>
        <v/>
      </c>
    </row>
    <row r="4682">
      <c r="A4682" t="n">
        <v>4681</v>
      </c>
      <c r="B4682">
        <f>IFERROR(INDEX(Segmen!$A$3:$A$6000,MATCH(C4682,Segmen!$D$3:$D$6000,0)),"")</f>
        <v/>
      </c>
      <c r="C4682">
        <f>IFERROR(LARGE(Segmen!$D$3:$D$6000,A4682),"")</f>
        <v/>
      </c>
    </row>
    <row r="4683">
      <c r="A4683" t="n">
        <v>4682</v>
      </c>
      <c r="B4683">
        <f>IFERROR(INDEX(Segmen!$A$3:$A$6000,MATCH(C4683,Segmen!$D$3:$D$6000,0)),"")</f>
        <v/>
      </c>
      <c r="C4683">
        <f>IFERROR(LARGE(Segmen!$D$3:$D$6000,A4683),"")</f>
        <v/>
      </c>
    </row>
    <row r="4684">
      <c r="A4684" t="n">
        <v>4683</v>
      </c>
      <c r="B4684">
        <f>IFERROR(INDEX(Segmen!$A$3:$A$6000,MATCH(C4684,Segmen!$D$3:$D$6000,0)),"")</f>
        <v/>
      </c>
      <c r="C4684">
        <f>IFERROR(LARGE(Segmen!$D$3:$D$6000,A4684),"")</f>
        <v/>
      </c>
    </row>
    <row r="4685">
      <c r="A4685" t="n">
        <v>4684</v>
      </c>
      <c r="B4685">
        <f>IFERROR(INDEX(Segmen!$A$3:$A$6000,MATCH(C4685,Segmen!$D$3:$D$6000,0)),"")</f>
        <v/>
      </c>
      <c r="C4685">
        <f>IFERROR(LARGE(Segmen!$D$3:$D$6000,A4685),"")</f>
        <v/>
      </c>
    </row>
    <row r="4686">
      <c r="A4686" t="n">
        <v>4685</v>
      </c>
      <c r="B4686">
        <f>IFERROR(INDEX(Segmen!$A$3:$A$6000,MATCH(C4686,Segmen!$D$3:$D$6000,0)),"")</f>
        <v/>
      </c>
      <c r="C4686">
        <f>IFERROR(LARGE(Segmen!$D$3:$D$6000,A4686),"")</f>
        <v/>
      </c>
    </row>
    <row r="4687">
      <c r="A4687" t="n">
        <v>4686</v>
      </c>
      <c r="B4687">
        <f>IFERROR(INDEX(Segmen!$A$3:$A$6000,MATCH(C4687,Segmen!$D$3:$D$6000,0)),"")</f>
        <v/>
      </c>
      <c r="C4687">
        <f>IFERROR(LARGE(Segmen!$D$3:$D$6000,A4687),"")</f>
        <v/>
      </c>
    </row>
    <row r="4688">
      <c r="A4688" t="n">
        <v>4687</v>
      </c>
      <c r="B4688">
        <f>IFERROR(INDEX(Segmen!$A$3:$A$6000,MATCH(C4688,Segmen!$D$3:$D$6000,0)),"")</f>
        <v/>
      </c>
      <c r="C4688">
        <f>IFERROR(LARGE(Segmen!$D$3:$D$6000,A4688),"")</f>
        <v/>
      </c>
    </row>
    <row r="4689">
      <c r="A4689" t="n">
        <v>4688</v>
      </c>
      <c r="B4689">
        <f>IFERROR(INDEX(Segmen!$A$3:$A$6000,MATCH(C4689,Segmen!$D$3:$D$6000,0)),"")</f>
        <v/>
      </c>
      <c r="C4689">
        <f>IFERROR(LARGE(Segmen!$D$3:$D$6000,A4689),"")</f>
        <v/>
      </c>
    </row>
    <row r="4690">
      <c r="A4690" t="n">
        <v>4689</v>
      </c>
      <c r="B4690">
        <f>IFERROR(INDEX(Segmen!$A$3:$A$6000,MATCH(C4690,Segmen!$D$3:$D$6000,0)),"")</f>
        <v/>
      </c>
      <c r="C4690">
        <f>IFERROR(LARGE(Segmen!$D$3:$D$6000,A4690),"")</f>
        <v/>
      </c>
    </row>
    <row r="4691">
      <c r="A4691" t="n">
        <v>4690</v>
      </c>
      <c r="B4691">
        <f>IFERROR(INDEX(Segmen!$A$3:$A$6000,MATCH(C4691,Segmen!$D$3:$D$6000,0)),"")</f>
        <v/>
      </c>
      <c r="C4691">
        <f>IFERROR(LARGE(Segmen!$D$3:$D$6000,A4691),"")</f>
        <v/>
      </c>
    </row>
    <row r="4692">
      <c r="A4692" t="n">
        <v>4691</v>
      </c>
      <c r="B4692">
        <f>IFERROR(INDEX(Segmen!$A$3:$A$6000,MATCH(C4692,Segmen!$D$3:$D$6000,0)),"")</f>
        <v/>
      </c>
      <c r="C4692">
        <f>IFERROR(LARGE(Segmen!$D$3:$D$6000,A4692),"")</f>
        <v/>
      </c>
    </row>
    <row r="4693">
      <c r="A4693" t="n">
        <v>4692</v>
      </c>
      <c r="B4693">
        <f>IFERROR(INDEX(Segmen!$A$3:$A$6000,MATCH(C4693,Segmen!$D$3:$D$6000,0)),"")</f>
        <v/>
      </c>
      <c r="C4693">
        <f>IFERROR(LARGE(Segmen!$D$3:$D$6000,A4693),"")</f>
        <v/>
      </c>
    </row>
    <row r="4694">
      <c r="A4694" t="n">
        <v>4693</v>
      </c>
      <c r="B4694">
        <f>IFERROR(INDEX(Segmen!$A$3:$A$6000,MATCH(C4694,Segmen!$D$3:$D$6000,0)),"")</f>
        <v/>
      </c>
      <c r="C4694">
        <f>IFERROR(LARGE(Segmen!$D$3:$D$6000,A4694),"")</f>
        <v/>
      </c>
    </row>
    <row r="4695">
      <c r="A4695" t="n">
        <v>4694</v>
      </c>
      <c r="B4695">
        <f>IFERROR(INDEX(Segmen!$A$3:$A$6000,MATCH(C4695,Segmen!$D$3:$D$6000,0)),"")</f>
        <v/>
      </c>
      <c r="C4695">
        <f>IFERROR(LARGE(Segmen!$D$3:$D$6000,A4695),"")</f>
        <v/>
      </c>
    </row>
    <row r="4696">
      <c r="A4696" t="n">
        <v>4695</v>
      </c>
      <c r="B4696">
        <f>IFERROR(INDEX(Segmen!$A$3:$A$6000,MATCH(C4696,Segmen!$D$3:$D$6000,0)),"")</f>
        <v/>
      </c>
      <c r="C4696">
        <f>IFERROR(LARGE(Segmen!$D$3:$D$6000,A4696),"")</f>
        <v/>
      </c>
    </row>
    <row r="4697">
      <c r="A4697" t="n">
        <v>4696</v>
      </c>
      <c r="B4697">
        <f>IFERROR(INDEX(Segmen!$A$3:$A$6000,MATCH(C4697,Segmen!$D$3:$D$6000,0)),"")</f>
        <v/>
      </c>
      <c r="C4697">
        <f>IFERROR(LARGE(Segmen!$D$3:$D$6000,A4697),"")</f>
        <v/>
      </c>
    </row>
    <row r="4698">
      <c r="A4698" t="n">
        <v>4697</v>
      </c>
      <c r="B4698">
        <f>IFERROR(INDEX(Segmen!$A$3:$A$6000,MATCH(C4698,Segmen!$D$3:$D$6000,0)),"")</f>
        <v/>
      </c>
      <c r="C4698">
        <f>IFERROR(LARGE(Segmen!$D$3:$D$6000,A4698),"")</f>
        <v/>
      </c>
    </row>
    <row r="4699">
      <c r="A4699" t="n">
        <v>4698</v>
      </c>
      <c r="B4699">
        <f>IFERROR(INDEX(Segmen!$A$3:$A$6000,MATCH(C4699,Segmen!$D$3:$D$6000,0)),"")</f>
        <v/>
      </c>
      <c r="C4699">
        <f>IFERROR(LARGE(Segmen!$D$3:$D$6000,A4699),"")</f>
        <v/>
      </c>
    </row>
    <row r="4700">
      <c r="A4700" t="n">
        <v>4699</v>
      </c>
      <c r="B4700">
        <f>IFERROR(INDEX(Segmen!$A$3:$A$6000,MATCH(C4700,Segmen!$D$3:$D$6000,0)),"")</f>
        <v/>
      </c>
      <c r="C4700">
        <f>IFERROR(LARGE(Segmen!$D$3:$D$6000,A4700),"")</f>
        <v/>
      </c>
    </row>
    <row r="4701">
      <c r="A4701" t="n">
        <v>4700</v>
      </c>
      <c r="B4701">
        <f>IFERROR(INDEX(Segmen!$A$3:$A$6000,MATCH(C4701,Segmen!$D$3:$D$6000,0)),"")</f>
        <v/>
      </c>
      <c r="C4701">
        <f>IFERROR(LARGE(Segmen!$D$3:$D$6000,A4701),"")</f>
        <v/>
      </c>
    </row>
    <row r="4702">
      <c r="A4702" t="n">
        <v>4701</v>
      </c>
      <c r="B4702">
        <f>IFERROR(INDEX(Segmen!$A$3:$A$6000,MATCH(C4702,Segmen!$D$3:$D$6000,0)),"")</f>
        <v/>
      </c>
      <c r="C4702">
        <f>IFERROR(LARGE(Segmen!$D$3:$D$6000,A4702),"")</f>
        <v/>
      </c>
    </row>
    <row r="4703">
      <c r="A4703" t="n">
        <v>4702</v>
      </c>
      <c r="B4703">
        <f>IFERROR(INDEX(Segmen!$A$3:$A$6000,MATCH(C4703,Segmen!$D$3:$D$6000,0)),"")</f>
        <v/>
      </c>
      <c r="C4703">
        <f>IFERROR(LARGE(Segmen!$D$3:$D$6000,A4703),"")</f>
        <v/>
      </c>
    </row>
    <row r="4704">
      <c r="A4704" t="n">
        <v>4703</v>
      </c>
      <c r="B4704">
        <f>IFERROR(INDEX(Segmen!$A$3:$A$6000,MATCH(C4704,Segmen!$D$3:$D$6000,0)),"")</f>
        <v/>
      </c>
      <c r="C4704">
        <f>IFERROR(LARGE(Segmen!$D$3:$D$6000,A4704),"")</f>
        <v/>
      </c>
    </row>
    <row r="4705">
      <c r="A4705" t="n">
        <v>4704</v>
      </c>
      <c r="B4705">
        <f>IFERROR(INDEX(Segmen!$A$3:$A$6000,MATCH(C4705,Segmen!$D$3:$D$6000,0)),"")</f>
        <v/>
      </c>
      <c r="C4705">
        <f>IFERROR(LARGE(Segmen!$D$3:$D$6000,A4705),"")</f>
        <v/>
      </c>
    </row>
    <row r="4706">
      <c r="A4706" t="n">
        <v>4705</v>
      </c>
      <c r="B4706">
        <f>IFERROR(INDEX(Segmen!$A$3:$A$6000,MATCH(C4706,Segmen!$D$3:$D$6000,0)),"")</f>
        <v/>
      </c>
      <c r="C4706">
        <f>IFERROR(LARGE(Segmen!$D$3:$D$6000,A4706),"")</f>
        <v/>
      </c>
    </row>
    <row r="4707">
      <c r="A4707" t="n">
        <v>4706</v>
      </c>
      <c r="B4707">
        <f>IFERROR(INDEX(Segmen!$A$3:$A$6000,MATCH(C4707,Segmen!$D$3:$D$6000,0)),"")</f>
        <v/>
      </c>
      <c r="C4707">
        <f>IFERROR(LARGE(Segmen!$D$3:$D$6000,A4707),"")</f>
        <v/>
      </c>
    </row>
    <row r="4708">
      <c r="A4708" t="n">
        <v>4707</v>
      </c>
      <c r="B4708">
        <f>IFERROR(INDEX(Segmen!$A$3:$A$6000,MATCH(C4708,Segmen!$D$3:$D$6000,0)),"")</f>
        <v/>
      </c>
      <c r="C4708">
        <f>IFERROR(LARGE(Segmen!$D$3:$D$6000,A4708),"")</f>
        <v/>
      </c>
    </row>
    <row r="4709">
      <c r="A4709" t="n">
        <v>4708</v>
      </c>
      <c r="B4709">
        <f>IFERROR(INDEX(Segmen!$A$3:$A$6000,MATCH(C4709,Segmen!$D$3:$D$6000,0)),"")</f>
        <v/>
      </c>
      <c r="C4709">
        <f>IFERROR(LARGE(Segmen!$D$3:$D$6000,A4709),"")</f>
        <v/>
      </c>
    </row>
    <row r="4710">
      <c r="A4710" t="n">
        <v>4709</v>
      </c>
      <c r="B4710">
        <f>IFERROR(INDEX(Segmen!$A$3:$A$6000,MATCH(C4710,Segmen!$D$3:$D$6000,0)),"")</f>
        <v/>
      </c>
      <c r="C4710">
        <f>IFERROR(LARGE(Segmen!$D$3:$D$6000,A4710),"")</f>
        <v/>
      </c>
    </row>
    <row r="4711">
      <c r="A4711" t="n">
        <v>4710</v>
      </c>
      <c r="B4711">
        <f>IFERROR(INDEX(Segmen!$A$3:$A$6000,MATCH(C4711,Segmen!$D$3:$D$6000,0)),"")</f>
        <v/>
      </c>
      <c r="C4711">
        <f>IFERROR(LARGE(Segmen!$D$3:$D$6000,A4711),"")</f>
        <v/>
      </c>
    </row>
    <row r="4712">
      <c r="A4712" t="n">
        <v>4711</v>
      </c>
      <c r="B4712">
        <f>IFERROR(INDEX(Segmen!$A$3:$A$6000,MATCH(C4712,Segmen!$D$3:$D$6000,0)),"")</f>
        <v/>
      </c>
      <c r="C4712">
        <f>IFERROR(LARGE(Segmen!$D$3:$D$6000,A4712),"")</f>
        <v/>
      </c>
    </row>
    <row r="4713">
      <c r="A4713" t="n">
        <v>4712</v>
      </c>
      <c r="B4713">
        <f>IFERROR(INDEX(Segmen!$A$3:$A$6000,MATCH(C4713,Segmen!$D$3:$D$6000,0)),"")</f>
        <v/>
      </c>
      <c r="C4713">
        <f>IFERROR(LARGE(Segmen!$D$3:$D$6000,A4713),"")</f>
        <v/>
      </c>
    </row>
    <row r="4714">
      <c r="A4714" t="n">
        <v>4713</v>
      </c>
      <c r="B4714">
        <f>IFERROR(INDEX(Segmen!$A$3:$A$6000,MATCH(C4714,Segmen!$D$3:$D$6000,0)),"")</f>
        <v/>
      </c>
      <c r="C4714">
        <f>IFERROR(LARGE(Segmen!$D$3:$D$6000,A4714),"")</f>
        <v/>
      </c>
    </row>
    <row r="4715">
      <c r="A4715" t="n">
        <v>4714</v>
      </c>
      <c r="B4715">
        <f>IFERROR(INDEX(Segmen!$A$3:$A$6000,MATCH(C4715,Segmen!$D$3:$D$6000,0)),"")</f>
        <v/>
      </c>
      <c r="C4715">
        <f>IFERROR(LARGE(Segmen!$D$3:$D$6000,A4715),"")</f>
        <v/>
      </c>
    </row>
    <row r="4716">
      <c r="A4716" t="n">
        <v>4715</v>
      </c>
      <c r="B4716">
        <f>IFERROR(INDEX(Segmen!$A$3:$A$6000,MATCH(C4716,Segmen!$D$3:$D$6000,0)),"")</f>
        <v/>
      </c>
      <c r="C4716">
        <f>IFERROR(LARGE(Segmen!$D$3:$D$6000,A4716),"")</f>
        <v/>
      </c>
    </row>
    <row r="4717">
      <c r="A4717" t="n">
        <v>4716</v>
      </c>
      <c r="B4717">
        <f>IFERROR(INDEX(Segmen!$A$3:$A$6000,MATCH(C4717,Segmen!$D$3:$D$6000,0)),"")</f>
        <v/>
      </c>
      <c r="C4717">
        <f>IFERROR(LARGE(Segmen!$D$3:$D$6000,A4717),"")</f>
        <v/>
      </c>
    </row>
    <row r="4718">
      <c r="A4718" t="n">
        <v>4717</v>
      </c>
      <c r="B4718">
        <f>IFERROR(INDEX(Segmen!$A$3:$A$6000,MATCH(C4718,Segmen!$D$3:$D$6000,0)),"")</f>
        <v/>
      </c>
      <c r="C4718">
        <f>IFERROR(LARGE(Segmen!$D$3:$D$6000,A4718),"")</f>
        <v/>
      </c>
    </row>
    <row r="4719">
      <c r="A4719" t="n">
        <v>4718</v>
      </c>
      <c r="B4719">
        <f>IFERROR(INDEX(Segmen!$A$3:$A$6000,MATCH(C4719,Segmen!$D$3:$D$6000,0)),"")</f>
        <v/>
      </c>
      <c r="C4719">
        <f>IFERROR(LARGE(Segmen!$D$3:$D$6000,A4719),"")</f>
        <v/>
      </c>
    </row>
    <row r="4720">
      <c r="A4720" t="n">
        <v>4719</v>
      </c>
      <c r="B4720">
        <f>IFERROR(INDEX(Segmen!$A$3:$A$6000,MATCH(C4720,Segmen!$D$3:$D$6000,0)),"")</f>
        <v/>
      </c>
      <c r="C4720">
        <f>IFERROR(LARGE(Segmen!$D$3:$D$6000,A4720),"")</f>
        <v/>
      </c>
    </row>
    <row r="4721">
      <c r="A4721" t="n">
        <v>4720</v>
      </c>
      <c r="B4721">
        <f>IFERROR(INDEX(Segmen!$A$3:$A$6000,MATCH(C4721,Segmen!$D$3:$D$6000,0)),"")</f>
        <v/>
      </c>
      <c r="C4721">
        <f>IFERROR(LARGE(Segmen!$D$3:$D$6000,A4721),"")</f>
        <v/>
      </c>
    </row>
    <row r="4722">
      <c r="A4722" t="n">
        <v>4721</v>
      </c>
      <c r="B4722">
        <f>IFERROR(INDEX(Segmen!$A$3:$A$6000,MATCH(C4722,Segmen!$D$3:$D$6000,0)),"")</f>
        <v/>
      </c>
      <c r="C4722">
        <f>IFERROR(LARGE(Segmen!$D$3:$D$6000,A4722),"")</f>
        <v/>
      </c>
    </row>
    <row r="4723">
      <c r="A4723" t="n">
        <v>4722</v>
      </c>
      <c r="B4723">
        <f>IFERROR(INDEX(Segmen!$A$3:$A$6000,MATCH(C4723,Segmen!$D$3:$D$6000,0)),"")</f>
        <v/>
      </c>
      <c r="C4723">
        <f>IFERROR(LARGE(Segmen!$D$3:$D$6000,A4723),"")</f>
        <v/>
      </c>
    </row>
    <row r="4724">
      <c r="A4724" t="n">
        <v>4723</v>
      </c>
      <c r="B4724">
        <f>IFERROR(INDEX(Segmen!$A$3:$A$6000,MATCH(C4724,Segmen!$D$3:$D$6000,0)),"")</f>
        <v/>
      </c>
      <c r="C4724">
        <f>IFERROR(LARGE(Segmen!$D$3:$D$6000,A4724),"")</f>
        <v/>
      </c>
    </row>
    <row r="4725">
      <c r="A4725" t="n">
        <v>4724</v>
      </c>
      <c r="B4725">
        <f>IFERROR(INDEX(Segmen!$A$3:$A$6000,MATCH(C4725,Segmen!$D$3:$D$6000,0)),"")</f>
        <v/>
      </c>
      <c r="C4725">
        <f>IFERROR(LARGE(Segmen!$D$3:$D$6000,A4725),"")</f>
        <v/>
      </c>
    </row>
    <row r="4726">
      <c r="A4726" t="n">
        <v>4725</v>
      </c>
      <c r="B4726">
        <f>IFERROR(INDEX(Segmen!$A$3:$A$6000,MATCH(C4726,Segmen!$D$3:$D$6000,0)),"")</f>
        <v/>
      </c>
      <c r="C4726">
        <f>IFERROR(LARGE(Segmen!$D$3:$D$6000,A4726),"")</f>
        <v/>
      </c>
    </row>
    <row r="4727">
      <c r="A4727" t="n">
        <v>4726</v>
      </c>
      <c r="B4727">
        <f>IFERROR(INDEX(Segmen!$A$3:$A$6000,MATCH(C4727,Segmen!$D$3:$D$6000,0)),"")</f>
        <v/>
      </c>
      <c r="C4727">
        <f>IFERROR(LARGE(Segmen!$D$3:$D$6000,A4727),"")</f>
        <v/>
      </c>
    </row>
    <row r="4728">
      <c r="A4728" t="n">
        <v>4727</v>
      </c>
      <c r="B4728">
        <f>IFERROR(INDEX(Segmen!$A$3:$A$6000,MATCH(C4728,Segmen!$D$3:$D$6000,0)),"")</f>
        <v/>
      </c>
      <c r="C4728">
        <f>IFERROR(LARGE(Segmen!$D$3:$D$6000,A4728),"")</f>
        <v/>
      </c>
    </row>
    <row r="4729">
      <c r="A4729" t="n">
        <v>4728</v>
      </c>
      <c r="B4729">
        <f>IFERROR(INDEX(Segmen!$A$3:$A$6000,MATCH(C4729,Segmen!$D$3:$D$6000,0)),"")</f>
        <v/>
      </c>
      <c r="C4729">
        <f>IFERROR(LARGE(Segmen!$D$3:$D$6000,A4729),"")</f>
        <v/>
      </c>
    </row>
    <row r="4730">
      <c r="A4730" t="n">
        <v>4729</v>
      </c>
      <c r="B4730">
        <f>IFERROR(INDEX(Segmen!$A$3:$A$6000,MATCH(C4730,Segmen!$D$3:$D$6000,0)),"")</f>
        <v/>
      </c>
      <c r="C4730">
        <f>IFERROR(LARGE(Segmen!$D$3:$D$6000,A4730),"")</f>
        <v/>
      </c>
    </row>
    <row r="4731">
      <c r="A4731" t="n">
        <v>4730</v>
      </c>
      <c r="B4731">
        <f>IFERROR(INDEX(Segmen!$A$3:$A$6000,MATCH(C4731,Segmen!$D$3:$D$6000,0)),"")</f>
        <v/>
      </c>
      <c r="C4731">
        <f>IFERROR(LARGE(Segmen!$D$3:$D$6000,A4731),"")</f>
        <v/>
      </c>
    </row>
    <row r="4732">
      <c r="A4732" t="n">
        <v>4731</v>
      </c>
      <c r="B4732">
        <f>IFERROR(INDEX(Segmen!$A$3:$A$6000,MATCH(C4732,Segmen!$D$3:$D$6000,0)),"")</f>
        <v/>
      </c>
      <c r="C4732">
        <f>IFERROR(LARGE(Segmen!$D$3:$D$6000,A4732),"")</f>
        <v/>
      </c>
    </row>
    <row r="4733">
      <c r="A4733" t="n">
        <v>4732</v>
      </c>
      <c r="B4733">
        <f>IFERROR(INDEX(Segmen!$A$3:$A$6000,MATCH(C4733,Segmen!$D$3:$D$6000,0)),"")</f>
        <v/>
      </c>
      <c r="C4733">
        <f>IFERROR(LARGE(Segmen!$D$3:$D$6000,A4733),"")</f>
        <v/>
      </c>
    </row>
    <row r="4734">
      <c r="A4734" t="n">
        <v>4733</v>
      </c>
      <c r="B4734">
        <f>IFERROR(INDEX(Segmen!$A$3:$A$6000,MATCH(C4734,Segmen!$D$3:$D$6000,0)),"")</f>
        <v/>
      </c>
      <c r="C4734">
        <f>IFERROR(LARGE(Segmen!$D$3:$D$6000,A4734),"")</f>
        <v/>
      </c>
    </row>
    <row r="4735">
      <c r="A4735" t="n">
        <v>4734</v>
      </c>
      <c r="B4735">
        <f>IFERROR(INDEX(Segmen!$A$3:$A$6000,MATCH(C4735,Segmen!$D$3:$D$6000,0)),"")</f>
        <v/>
      </c>
      <c r="C4735">
        <f>IFERROR(LARGE(Segmen!$D$3:$D$6000,A4735),"")</f>
        <v/>
      </c>
    </row>
    <row r="4736">
      <c r="A4736" t="n">
        <v>4735</v>
      </c>
      <c r="B4736">
        <f>IFERROR(INDEX(Segmen!$A$3:$A$6000,MATCH(C4736,Segmen!$D$3:$D$6000,0)),"")</f>
        <v/>
      </c>
      <c r="C4736">
        <f>IFERROR(LARGE(Segmen!$D$3:$D$6000,A4736),"")</f>
        <v/>
      </c>
    </row>
    <row r="4737">
      <c r="A4737" t="n">
        <v>4736</v>
      </c>
      <c r="B4737">
        <f>IFERROR(INDEX(Segmen!$A$3:$A$6000,MATCH(C4737,Segmen!$D$3:$D$6000,0)),"")</f>
        <v/>
      </c>
      <c r="C4737">
        <f>IFERROR(LARGE(Segmen!$D$3:$D$6000,A4737),"")</f>
        <v/>
      </c>
    </row>
    <row r="4738">
      <c r="A4738" t="n">
        <v>4737</v>
      </c>
      <c r="B4738">
        <f>IFERROR(INDEX(Segmen!$A$3:$A$6000,MATCH(C4738,Segmen!$D$3:$D$6000,0)),"")</f>
        <v/>
      </c>
      <c r="C4738">
        <f>IFERROR(LARGE(Segmen!$D$3:$D$6000,A4738),"")</f>
        <v/>
      </c>
    </row>
    <row r="4739">
      <c r="A4739" t="n">
        <v>4738</v>
      </c>
      <c r="B4739">
        <f>IFERROR(INDEX(Segmen!$A$3:$A$6000,MATCH(C4739,Segmen!$D$3:$D$6000,0)),"")</f>
        <v/>
      </c>
      <c r="C4739">
        <f>IFERROR(LARGE(Segmen!$D$3:$D$6000,A4739),"")</f>
        <v/>
      </c>
    </row>
    <row r="4740">
      <c r="A4740" t="n">
        <v>4739</v>
      </c>
      <c r="B4740">
        <f>IFERROR(INDEX(Segmen!$A$3:$A$6000,MATCH(C4740,Segmen!$D$3:$D$6000,0)),"")</f>
        <v/>
      </c>
      <c r="C4740">
        <f>IFERROR(LARGE(Segmen!$D$3:$D$6000,A4740),"")</f>
        <v/>
      </c>
    </row>
    <row r="4741">
      <c r="A4741" t="n">
        <v>4740</v>
      </c>
      <c r="B4741">
        <f>IFERROR(INDEX(Segmen!$A$3:$A$6000,MATCH(C4741,Segmen!$D$3:$D$6000,0)),"")</f>
        <v/>
      </c>
      <c r="C4741">
        <f>IFERROR(LARGE(Segmen!$D$3:$D$6000,A4741),"")</f>
        <v/>
      </c>
    </row>
    <row r="4742">
      <c r="A4742" t="n">
        <v>4741</v>
      </c>
      <c r="B4742">
        <f>IFERROR(INDEX(Segmen!$A$3:$A$6000,MATCH(C4742,Segmen!$D$3:$D$6000,0)),"")</f>
        <v/>
      </c>
      <c r="C4742">
        <f>IFERROR(LARGE(Segmen!$D$3:$D$6000,A4742),"")</f>
        <v/>
      </c>
    </row>
    <row r="4743">
      <c r="A4743" t="n">
        <v>4742</v>
      </c>
      <c r="B4743">
        <f>IFERROR(INDEX(Segmen!$A$3:$A$6000,MATCH(C4743,Segmen!$D$3:$D$6000,0)),"")</f>
        <v/>
      </c>
      <c r="C4743">
        <f>IFERROR(LARGE(Segmen!$D$3:$D$6000,A4743),"")</f>
        <v/>
      </c>
    </row>
    <row r="4744">
      <c r="A4744" t="n">
        <v>4743</v>
      </c>
      <c r="B4744">
        <f>IFERROR(INDEX(Segmen!$A$3:$A$6000,MATCH(C4744,Segmen!$D$3:$D$6000,0)),"")</f>
        <v/>
      </c>
      <c r="C4744">
        <f>IFERROR(LARGE(Segmen!$D$3:$D$6000,A4744),"")</f>
        <v/>
      </c>
    </row>
    <row r="4745">
      <c r="A4745" t="n">
        <v>4744</v>
      </c>
      <c r="B4745">
        <f>IFERROR(INDEX(Segmen!$A$3:$A$6000,MATCH(C4745,Segmen!$D$3:$D$6000,0)),"")</f>
        <v/>
      </c>
      <c r="C4745">
        <f>IFERROR(LARGE(Segmen!$D$3:$D$6000,A4745),"")</f>
        <v/>
      </c>
    </row>
    <row r="4746">
      <c r="A4746" t="n">
        <v>4745</v>
      </c>
      <c r="B4746">
        <f>IFERROR(INDEX(Segmen!$A$3:$A$6000,MATCH(C4746,Segmen!$D$3:$D$6000,0)),"")</f>
        <v/>
      </c>
      <c r="C4746">
        <f>IFERROR(LARGE(Segmen!$D$3:$D$6000,A4746),"")</f>
        <v/>
      </c>
    </row>
    <row r="4747">
      <c r="A4747" t="n">
        <v>4746</v>
      </c>
      <c r="B4747">
        <f>IFERROR(INDEX(Segmen!$A$3:$A$6000,MATCH(C4747,Segmen!$D$3:$D$6000,0)),"")</f>
        <v/>
      </c>
      <c r="C4747">
        <f>IFERROR(LARGE(Segmen!$D$3:$D$6000,A4747),"")</f>
        <v/>
      </c>
    </row>
    <row r="4748">
      <c r="A4748" t="n">
        <v>4747</v>
      </c>
      <c r="B4748">
        <f>IFERROR(INDEX(Segmen!$A$3:$A$6000,MATCH(C4748,Segmen!$D$3:$D$6000,0)),"")</f>
        <v/>
      </c>
      <c r="C4748">
        <f>IFERROR(LARGE(Segmen!$D$3:$D$6000,A4748),"")</f>
        <v/>
      </c>
    </row>
    <row r="4749">
      <c r="A4749" t="n">
        <v>4748</v>
      </c>
      <c r="B4749">
        <f>IFERROR(INDEX(Segmen!$A$3:$A$6000,MATCH(C4749,Segmen!$D$3:$D$6000,0)),"")</f>
        <v/>
      </c>
      <c r="C4749">
        <f>IFERROR(LARGE(Segmen!$D$3:$D$6000,A4749),"")</f>
        <v/>
      </c>
    </row>
    <row r="4750">
      <c r="A4750" t="n">
        <v>4749</v>
      </c>
      <c r="B4750">
        <f>IFERROR(INDEX(Segmen!$A$3:$A$6000,MATCH(C4750,Segmen!$D$3:$D$6000,0)),"")</f>
        <v/>
      </c>
      <c r="C4750">
        <f>IFERROR(LARGE(Segmen!$D$3:$D$6000,A4750),"")</f>
        <v/>
      </c>
    </row>
    <row r="4751">
      <c r="A4751" t="n">
        <v>4750</v>
      </c>
      <c r="B4751">
        <f>IFERROR(INDEX(Segmen!$A$3:$A$6000,MATCH(C4751,Segmen!$D$3:$D$6000,0)),"")</f>
        <v/>
      </c>
      <c r="C4751">
        <f>IFERROR(LARGE(Segmen!$D$3:$D$6000,A4751),"")</f>
        <v/>
      </c>
    </row>
    <row r="4752">
      <c r="A4752" t="n">
        <v>4751</v>
      </c>
      <c r="B4752">
        <f>IFERROR(INDEX(Segmen!$A$3:$A$6000,MATCH(C4752,Segmen!$D$3:$D$6000,0)),"")</f>
        <v/>
      </c>
      <c r="C4752">
        <f>IFERROR(LARGE(Segmen!$D$3:$D$6000,A4752),"")</f>
        <v/>
      </c>
    </row>
    <row r="4753">
      <c r="A4753" t="n">
        <v>4752</v>
      </c>
      <c r="B4753">
        <f>IFERROR(INDEX(Segmen!$A$3:$A$6000,MATCH(C4753,Segmen!$D$3:$D$6000,0)),"")</f>
        <v/>
      </c>
      <c r="C4753">
        <f>IFERROR(LARGE(Segmen!$D$3:$D$6000,A4753),"")</f>
        <v/>
      </c>
    </row>
    <row r="4754">
      <c r="A4754" t="n">
        <v>4753</v>
      </c>
      <c r="B4754">
        <f>IFERROR(INDEX(Segmen!$A$3:$A$6000,MATCH(C4754,Segmen!$D$3:$D$6000,0)),"")</f>
        <v/>
      </c>
      <c r="C4754">
        <f>IFERROR(LARGE(Segmen!$D$3:$D$6000,A4754),"")</f>
        <v/>
      </c>
    </row>
    <row r="4755">
      <c r="A4755" t="n">
        <v>4754</v>
      </c>
      <c r="B4755">
        <f>IFERROR(INDEX(Segmen!$A$3:$A$6000,MATCH(C4755,Segmen!$D$3:$D$6000,0)),"")</f>
        <v/>
      </c>
      <c r="C4755">
        <f>IFERROR(LARGE(Segmen!$D$3:$D$6000,A4755),"")</f>
        <v/>
      </c>
    </row>
    <row r="4756">
      <c r="A4756" t="n">
        <v>4755</v>
      </c>
      <c r="B4756">
        <f>IFERROR(INDEX(Segmen!$A$3:$A$6000,MATCH(C4756,Segmen!$D$3:$D$6000,0)),"")</f>
        <v/>
      </c>
      <c r="C4756">
        <f>IFERROR(LARGE(Segmen!$D$3:$D$6000,A4756),"")</f>
        <v/>
      </c>
    </row>
    <row r="4757">
      <c r="A4757" t="n">
        <v>4756</v>
      </c>
      <c r="B4757">
        <f>IFERROR(INDEX(Segmen!$A$3:$A$6000,MATCH(C4757,Segmen!$D$3:$D$6000,0)),"")</f>
        <v/>
      </c>
      <c r="C4757">
        <f>IFERROR(LARGE(Segmen!$D$3:$D$6000,A4757),"")</f>
        <v/>
      </c>
    </row>
    <row r="4758">
      <c r="A4758" t="n">
        <v>4757</v>
      </c>
      <c r="B4758">
        <f>IFERROR(INDEX(Segmen!$A$3:$A$6000,MATCH(C4758,Segmen!$D$3:$D$6000,0)),"")</f>
        <v/>
      </c>
      <c r="C4758">
        <f>IFERROR(LARGE(Segmen!$D$3:$D$6000,A4758),"")</f>
        <v/>
      </c>
    </row>
    <row r="4759">
      <c r="A4759" t="n">
        <v>4758</v>
      </c>
      <c r="B4759">
        <f>IFERROR(INDEX(Segmen!$A$3:$A$6000,MATCH(C4759,Segmen!$D$3:$D$6000,0)),"")</f>
        <v/>
      </c>
      <c r="C4759">
        <f>IFERROR(LARGE(Segmen!$D$3:$D$6000,A4759),"")</f>
        <v/>
      </c>
    </row>
    <row r="4760">
      <c r="A4760" t="n">
        <v>4759</v>
      </c>
      <c r="B4760">
        <f>IFERROR(INDEX(Segmen!$A$3:$A$6000,MATCH(C4760,Segmen!$D$3:$D$6000,0)),"")</f>
        <v/>
      </c>
      <c r="C4760">
        <f>IFERROR(LARGE(Segmen!$D$3:$D$6000,A4760),"")</f>
        <v/>
      </c>
    </row>
    <row r="4761">
      <c r="A4761" t="n">
        <v>4760</v>
      </c>
      <c r="B4761">
        <f>IFERROR(INDEX(Segmen!$A$3:$A$6000,MATCH(C4761,Segmen!$D$3:$D$6000,0)),"")</f>
        <v/>
      </c>
      <c r="C4761">
        <f>IFERROR(LARGE(Segmen!$D$3:$D$6000,A4761),"")</f>
        <v/>
      </c>
    </row>
    <row r="4762">
      <c r="A4762" t="n">
        <v>4761</v>
      </c>
      <c r="B4762">
        <f>IFERROR(INDEX(Segmen!$A$3:$A$6000,MATCH(C4762,Segmen!$D$3:$D$6000,0)),"")</f>
        <v/>
      </c>
      <c r="C4762">
        <f>IFERROR(LARGE(Segmen!$D$3:$D$6000,A4762),"")</f>
        <v/>
      </c>
    </row>
    <row r="4763">
      <c r="A4763" t="n">
        <v>4762</v>
      </c>
      <c r="B4763">
        <f>IFERROR(INDEX(Segmen!$A$3:$A$6000,MATCH(C4763,Segmen!$D$3:$D$6000,0)),"")</f>
        <v/>
      </c>
      <c r="C4763">
        <f>IFERROR(LARGE(Segmen!$D$3:$D$6000,A4763),"")</f>
        <v/>
      </c>
    </row>
    <row r="4764">
      <c r="A4764" t="n">
        <v>4763</v>
      </c>
      <c r="B4764">
        <f>IFERROR(INDEX(Segmen!$A$3:$A$6000,MATCH(C4764,Segmen!$D$3:$D$6000,0)),"")</f>
        <v/>
      </c>
      <c r="C4764">
        <f>IFERROR(LARGE(Segmen!$D$3:$D$6000,A4764),"")</f>
        <v/>
      </c>
    </row>
    <row r="4765">
      <c r="A4765" t="n">
        <v>4764</v>
      </c>
      <c r="B4765">
        <f>IFERROR(INDEX(Segmen!$A$3:$A$6000,MATCH(C4765,Segmen!$D$3:$D$6000,0)),"")</f>
        <v/>
      </c>
      <c r="C4765">
        <f>IFERROR(LARGE(Segmen!$D$3:$D$6000,A4765),"")</f>
        <v/>
      </c>
    </row>
    <row r="4766">
      <c r="A4766" t="n">
        <v>4765</v>
      </c>
      <c r="B4766">
        <f>IFERROR(INDEX(Segmen!$A$3:$A$6000,MATCH(C4766,Segmen!$D$3:$D$6000,0)),"")</f>
        <v/>
      </c>
      <c r="C4766">
        <f>IFERROR(LARGE(Segmen!$D$3:$D$6000,A4766),"")</f>
        <v/>
      </c>
    </row>
    <row r="4767">
      <c r="A4767" t="n">
        <v>4766</v>
      </c>
      <c r="B4767">
        <f>IFERROR(INDEX(Segmen!$A$3:$A$6000,MATCH(C4767,Segmen!$D$3:$D$6000,0)),"")</f>
        <v/>
      </c>
      <c r="C4767">
        <f>IFERROR(LARGE(Segmen!$D$3:$D$6000,A4767),"")</f>
        <v/>
      </c>
    </row>
    <row r="4768">
      <c r="A4768" t="n">
        <v>4767</v>
      </c>
      <c r="B4768">
        <f>IFERROR(INDEX(Segmen!$A$3:$A$6000,MATCH(C4768,Segmen!$D$3:$D$6000,0)),"")</f>
        <v/>
      </c>
      <c r="C4768">
        <f>IFERROR(LARGE(Segmen!$D$3:$D$6000,A4768),"")</f>
        <v/>
      </c>
    </row>
    <row r="4769">
      <c r="A4769" t="n">
        <v>4768</v>
      </c>
      <c r="B4769">
        <f>IFERROR(INDEX(Segmen!$A$3:$A$6000,MATCH(C4769,Segmen!$D$3:$D$6000,0)),"")</f>
        <v/>
      </c>
      <c r="C4769">
        <f>IFERROR(LARGE(Segmen!$D$3:$D$6000,A4769),"")</f>
        <v/>
      </c>
    </row>
    <row r="4770">
      <c r="A4770" t="n">
        <v>4769</v>
      </c>
      <c r="B4770">
        <f>IFERROR(INDEX(Segmen!$A$3:$A$6000,MATCH(C4770,Segmen!$D$3:$D$6000,0)),"")</f>
        <v/>
      </c>
      <c r="C4770">
        <f>IFERROR(LARGE(Segmen!$D$3:$D$6000,A4770),"")</f>
        <v/>
      </c>
    </row>
    <row r="4771">
      <c r="A4771" t="n">
        <v>4770</v>
      </c>
      <c r="B4771">
        <f>IFERROR(INDEX(Segmen!$A$3:$A$6000,MATCH(C4771,Segmen!$D$3:$D$6000,0)),"")</f>
        <v/>
      </c>
      <c r="C4771">
        <f>IFERROR(LARGE(Segmen!$D$3:$D$6000,A4771),"")</f>
        <v/>
      </c>
    </row>
    <row r="4772">
      <c r="A4772" t="n">
        <v>4771</v>
      </c>
      <c r="B4772">
        <f>IFERROR(INDEX(Segmen!$A$3:$A$6000,MATCH(C4772,Segmen!$D$3:$D$6000,0)),"")</f>
        <v/>
      </c>
      <c r="C4772">
        <f>IFERROR(LARGE(Segmen!$D$3:$D$6000,A4772),"")</f>
        <v/>
      </c>
    </row>
    <row r="4773">
      <c r="A4773" t="n">
        <v>4772</v>
      </c>
      <c r="B4773">
        <f>IFERROR(INDEX(Segmen!$A$3:$A$6000,MATCH(C4773,Segmen!$D$3:$D$6000,0)),"")</f>
        <v/>
      </c>
      <c r="C4773">
        <f>IFERROR(LARGE(Segmen!$D$3:$D$6000,A4773),"")</f>
        <v/>
      </c>
    </row>
    <row r="4774">
      <c r="A4774" t="n">
        <v>4773</v>
      </c>
      <c r="B4774">
        <f>IFERROR(INDEX(Segmen!$A$3:$A$6000,MATCH(C4774,Segmen!$D$3:$D$6000,0)),"")</f>
        <v/>
      </c>
      <c r="C4774">
        <f>IFERROR(LARGE(Segmen!$D$3:$D$6000,A4774),"")</f>
        <v/>
      </c>
    </row>
    <row r="4775">
      <c r="A4775" t="n">
        <v>4774</v>
      </c>
      <c r="B4775">
        <f>IFERROR(INDEX(Segmen!$A$3:$A$6000,MATCH(C4775,Segmen!$D$3:$D$6000,0)),"")</f>
        <v/>
      </c>
      <c r="C4775">
        <f>IFERROR(LARGE(Segmen!$D$3:$D$6000,A4775),"")</f>
        <v/>
      </c>
    </row>
    <row r="4776">
      <c r="A4776" t="n">
        <v>4775</v>
      </c>
      <c r="B4776">
        <f>IFERROR(INDEX(Segmen!$A$3:$A$6000,MATCH(C4776,Segmen!$D$3:$D$6000,0)),"")</f>
        <v/>
      </c>
      <c r="C4776">
        <f>IFERROR(LARGE(Segmen!$D$3:$D$6000,A4776),"")</f>
        <v/>
      </c>
    </row>
    <row r="4777">
      <c r="A4777" t="n">
        <v>4776</v>
      </c>
      <c r="B4777">
        <f>IFERROR(INDEX(Segmen!$A$3:$A$6000,MATCH(C4777,Segmen!$D$3:$D$6000,0)),"")</f>
        <v/>
      </c>
      <c r="C4777">
        <f>IFERROR(LARGE(Segmen!$D$3:$D$6000,A4777),"")</f>
        <v/>
      </c>
    </row>
    <row r="4778">
      <c r="A4778" t="n">
        <v>4777</v>
      </c>
      <c r="B4778">
        <f>IFERROR(INDEX(Segmen!$A$3:$A$6000,MATCH(C4778,Segmen!$D$3:$D$6000,0)),"")</f>
        <v/>
      </c>
      <c r="C4778">
        <f>IFERROR(LARGE(Segmen!$D$3:$D$6000,A4778),"")</f>
        <v/>
      </c>
    </row>
    <row r="4779">
      <c r="A4779" t="n">
        <v>4778</v>
      </c>
      <c r="B4779">
        <f>IFERROR(INDEX(Segmen!$A$3:$A$6000,MATCH(C4779,Segmen!$D$3:$D$6000,0)),"")</f>
        <v/>
      </c>
      <c r="C4779">
        <f>IFERROR(LARGE(Segmen!$D$3:$D$6000,A4779),"")</f>
        <v/>
      </c>
    </row>
    <row r="4780">
      <c r="A4780" t="n">
        <v>4779</v>
      </c>
      <c r="B4780">
        <f>IFERROR(INDEX(Segmen!$A$3:$A$6000,MATCH(C4780,Segmen!$D$3:$D$6000,0)),"")</f>
        <v/>
      </c>
      <c r="C4780">
        <f>IFERROR(LARGE(Segmen!$D$3:$D$6000,A4780),"")</f>
        <v/>
      </c>
    </row>
    <row r="4781">
      <c r="A4781" t="n">
        <v>4780</v>
      </c>
      <c r="B4781">
        <f>IFERROR(INDEX(Segmen!$A$3:$A$6000,MATCH(C4781,Segmen!$D$3:$D$6000,0)),"")</f>
        <v/>
      </c>
      <c r="C4781">
        <f>IFERROR(LARGE(Segmen!$D$3:$D$6000,A4781),"")</f>
        <v/>
      </c>
    </row>
    <row r="4782">
      <c r="A4782" t="n">
        <v>4781</v>
      </c>
      <c r="B4782">
        <f>IFERROR(INDEX(Segmen!$A$3:$A$6000,MATCH(C4782,Segmen!$D$3:$D$6000,0)),"")</f>
        <v/>
      </c>
      <c r="C4782">
        <f>IFERROR(LARGE(Segmen!$D$3:$D$6000,A4782),"")</f>
        <v/>
      </c>
    </row>
    <row r="4783">
      <c r="A4783" t="n">
        <v>4782</v>
      </c>
      <c r="B4783">
        <f>IFERROR(INDEX(Segmen!$A$3:$A$6000,MATCH(C4783,Segmen!$D$3:$D$6000,0)),"")</f>
        <v/>
      </c>
      <c r="C4783">
        <f>IFERROR(LARGE(Segmen!$D$3:$D$6000,A4783),"")</f>
        <v/>
      </c>
    </row>
    <row r="4784">
      <c r="A4784" t="n">
        <v>4783</v>
      </c>
      <c r="B4784">
        <f>IFERROR(INDEX(Segmen!$A$3:$A$6000,MATCH(C4784,Segmen!$D$3:$D$6000,0)),"")</f>
        <v/>
      </c>
      <c r="C4784">
        <f>IFERROR(LARGE(Segmen!$D$3:$D$6000,A4784),"")</f>
        <v/>
      </c>
    </row>
    <row r="4785">
      <c r="A4785" t="n">
        <v>4784</v>
      </c>
      <c r="B4785">
        <f>IFERROR(INDEX(Segmen!$A$3:$A$6000,MATCH(C4785,Segmen!$D$3:$D$6000,0)),"")</f>
        <v/>
      </c>
      <c r="C4785">
        <f>IFERROR(LARGE(Segmen!$D$3:$D$6000,A4785),"")</f>
        <v/>
      </c>
    </row>
    <row r="4786">
      <c r="A4786" t="n">
        <v>4785</v>
      </c>
      <c r="B4786">
        <f>IFERROR(INDEX(Segmen!$A$3:$A$6000,MATCH(C4786,Segmen!$D$3:$D$6000,0)),"")</f>
        <v/>
      </c>
      <c r="C4786">
        <f>IFERROR(LARGE(Segmen!$D$3:$D$6000,A4786),"")</f>
        <v/>
      </c>
    </row>
    <row r="4787">
      <c r="A4787" t="n">
        <v>4786</v>
      </c>
      <c r="B4787">
        <f>IFERROR(INDEX(Segmen!$A$3:$A$6000,MATCH(C4787,Segmen!$D$3:$D$6000,0)),"")</f>
        <v/>
      </c>
      <c r="C4787">
        <f>IFERROR(LARGE(Segmen!$D$3:$D$6000,A4787),"")</f>
        <v/>
      </c>
    </row>
    <row r="4788">
      <c r="A4788" t="n">
        <v>4787</v>
      </c>
      <c r="B4788">
        <f>IFERROR(INDEX(Segmen!$A$3:$A$6000,MATCH(C4788,Segmen!$D$3:$D$6000,0)),"")</f>
        <v/>
      </c>
      <c r="C4788">
        <f>IFERROR(LARGE(Segmen!$D$3:$D$6000,A4788),"")</f>
        <v/>
      </c>
    </row>
    <row r="4789">
      <c r="A4789" t="n">
        <v>4788</v>
      </c>
      <c r="B4789">
        <f>IFERROR(INDEX(Segmen!$A$3:$A$6000,MATCH(C4789,Segmen!$D$3:$D$6000,0)),"")</f>
        <v/>
      </c>
      <c r="C4789">
        <f>IFERROR(LARGE(Segmen!$D$3:$D$6000,A4789),"")</f>
        <v/>
      </c>
    </row>
    <row r="4790">
      <c r="A4790" t="n">
        <v>4789</v>
      </c>
      <c r="B4790">
        <f>IFERROR(INDEX(Segmen!$A$3:$A$6000,MATCH(C4790,Segmen!$D$3:$D$6000,0)),"")</f>
        <v/>
      </c>
      <c r="C4790">
        <f>IFERROR(LARGE(Segmen!$D$3:$D$6000,A4790),"")</f>
        <v/>
      </c>
    </row>
    <row r="4791">
      <c r="A4791" t="n">
        <v>4790</v>
      </c>
      <c r="B4791">
        <f>IFERROR(INDEX(Segmen!$A$3:$A$6000,MATCH(C4791,Segmen!$D$3:$D$6000,0)),"")</f>
        <v/>
      </c>
      <c r="C4791">
        <f>IFERROR(LARGE(Segmen!$D$3:$D$6000,A4791),"")</f>
        <v/>
      </c>
    </row>
    <row r="4792">
      <c r="A4792" t="n">
        <v>4791</v>
      </c>
      <c r="B4792">
        <f>IFERROR(INDEX(Segmen!$A$3:$A$6000,MATCH(C4792,Segmen!$D$3:$D$6000,0)),"")</f>
        <v/>
      </c>
      <c r="C4792">
        <f>IFERROR(LARGE(Segmen!$D$3:$D$6000,A4792),"")</f>
        <v/>
      </c>
    </row>
    <row r="4793">
      <c r="A4793" t="n">
        <v>4792</v>
      </c>
      <c r="B4793">
        <f>IFERROR(INDEX(Segmen!$A$3:$A$6000,MATCH(C4793,Segmen!$D$3:$D$6000,0)),"")</f>
        <v/>
      </c>
      <c r="C4793">
        <f>IFERROR(LARGE(Segmen!$D$3:$D$6000,A4793),"")</f>
        <v/>
      </c>
    </row>
    <row r="4794">
      <c r="A4794" t="n">
        <v>4793</v>
      </c>
      <c r="B4794">
        <f>IFERROR(INDEX(Segmen!$A$3:$A$6000,MATCH(C4794,Segmen!$D$3:$D$6000,0)),"")</f>
        <v/>
      </c>
      <c r="C4794">
        <f>IFERROR(LARGE(Segmen!$D$3:$D$6000,A4794),"")</f>
        <v/>
      </c>
    </row>
    <row r="4795">
      <c r="A4795" t="n">
        <v>4794</v>
      </c>
      <c r="B4795">
        <f>IFERROR(INDEX(Segmen!$A$3:$A$6000,MATCH(C4795,Segmen!$D$3:$D$6000,0)),"")</f>
        <v/>
      </c>
      <c r="C4795">
        <f>IFERROR(LARGE(Segmen!$D$3:$D$6000,A4795),"")</f>
        <v/>
      </c>
    </row>
    <row r="4796">
      <c r="A4796" t="n">
        <v>4795</v>
      </c>
      <c r="B4796">
        <f>IFERROR(INDEX(Segmen!$A$3:$A$6000,MATCH(C4796,Segmen!$D$3:$D$6000,0)),"")</f>
        <v/>
      </c>
      <c r="C4796">
        <f>IFERROR(LARGE(Segmen!$D$3:$D$6000,A4796),"")</f>
        <v/>
      </c>
    </row>
    <row r="4797">
      <c r="A4797" t="n">
        <v>4796</v>
      </c>
      <c r="B4797">
        <f>IFERROR(INDEX(Segmen!$A$3:$A$6000,MATCH(C4797,Segmen!$D$3:$D$6000,0)),"")</f>
        <v/>
      </c>
      <c r="C4797">
        <f>IFERROR(LARGE(Segmen!$D$3:$D$6000,A4797),"")</f>
        <v/>
      </c>
    </row>
    <row r="4798">
      <c r="A4798" t="n">
        <v>4797</v>
      </c>
      <c r="B4798">
        <f>IFERROR(INDEX(Segmen!$A$3:$A$6000,MATCH(C4798,Segmen!$D$3:$D$6000,0)),"")</f>
        <v/>
      </c>
      <c r="C4798">
        <f>IFERROR(LARGE(Segmen!$D$3:$D$6000,A4798),"")</f>
        <v/>
      </c>
    </row>
    <row r="4799">
      <c r="A4799" t="n">
        <v>4798</v>
      </c>
      <c r="B4799">
        <f>IFERROR(INDEX(Segmen!$A$3:$A$6000,MATCH(C4799,Segmen!$D$3:$D$6000,0)),"")</f>
        <v/>
      </c>
      <c r="C4799">
        <f>IFERROR(LARGE(Segmen!$D$3:$D$6000,A4799),"")</f>
        <v/>
      </c>
    </row>
    <row r="4800">
      <c r="A4800" t="n">
        <v>4799</v>
      </c>
      <c r="B4800">
        <f>IFERROR(INDEX(Segmen!$A$3:$A$6000,MATCH(C4800,Segmen!$D$3:$D$6000,0)),"")</f>
        <v/>
      </c>
      <c r="C4800">
        <f>IFERROR(LARGE(Segmen!$D$3:$D$6000,A4800),"")</f>
        <v/>
      </c>
    </row>
    <row r="4801">
      <c r="A4801" t="n">
        <v>4800</v>
      </c>
      <c r="B4801">
        <f>IFERROR(INDEX(Segmen!$A$3:$A$6000,MATCH(C4801,Segmen!$D$3:$D$6000,0)),"")</f>
        <v/>
      </c>
      <c r="C4801">
        <f>IFERROR(LARGE(Segmen!$D$3:$D$6000,A4801),"")</f>
        <v/>
      </c>
    </row>
    <row r="4802">
      <c r="A4802" t="n">
        <v>4801</v>
      </c>
      <c r="B4802">
        <f>IFERROR(INDEX(Segmen!$A$3:$A$6000,MATCH(C4802,Segmen!$D$3:$D$6000,0)),"")</f>
        <v/>
      </c>
      <c r="C4802">
        <f>IFERROR(LARGE(Segmen!$D$3:$D$6000,A4802),"")</f>
        <v/>
      </c>
    </row>
    <row r="4803">
      <c r="A4803" t="n">
        <v>4802</v>
      </c>
      <c r="B4803">
        <f>IFERROR(INDEX(Segmen!$A$3:$A$6000,MATCH(C4803,Segmen!$D$3:$D$6000,0)),"")</f>
        <v/>
      </c>
      <c r="C4803">
        <f>IFERROR(LARGE(Segmen!$D$3:$D$6000,A4803),"")</f>
        <v/>
      </c>
    </row>
    <row r="4804">
      <c r="A4804" t="n">
        <v>4803</v>
      </c>
      <c r="B4804">
        <f>IFERROR(INDEX(Segmen!$A$3:$A$6000,MATCH(C4804,Segmen!$D$3:$D$6000,0)),"")</f>
        <v/>
      </c>
      <c r="C4804">
        <f>IFERROR(LARGE(Segmen!$D$3:$D$6000,A4804),"")</f>
        <v/>
      </c>
    </row>
    <row r="4805">
      <c r="A4805" t="n">
        <v>4804</v>
      </c>
      <c r="B4805">
        <f>IFERROR(INDEX(Segmen!$A$3:$A$6000,MATCH(C4805,Segmen!$D$3:$D$6000,0)),"")</f>
        <v/>
      </c>
      <c r="C4805">
        <f>IFERROR(LARGE(Segmen!$D$3:$D$6000,A4805),"")</f>
        <v/>
      </c>
    </row>
    <row r="4806">
      <c r="A4806" t="n">
        <v>4805</v>
      </c>
      <c r="B4806">
        <f>IFERROR(INDEX(Segmen!$A$3:$A$6000,MATCH(C4806,Segmen!$D$3:$D$6000,0)),"")</f>
        <v/>
      </c>
      <c r="C4806">
        <f>IFERROR(LARGE(Segmen!$D$3:$D$6000,A4806),"")</f>
        <v/>
      </c>
    </row>
    <row r="4807">
      <c r="A4807" t="n">
        <v>4806</v>
      </c>
      <c r="B4807">
        <f>IFERROR(INDEX(Segmen!$A$3:$A$6000,MATCH(C4807,Segmen!$D$3:$D$6000,0)),"")</f>
        <v/>
      </c>
      <c r="C4807">
        <f>IFERROR(LARGE(Segmen!$D$3:$D$6000,A4807),"")</f>
        <v/>
      </c>
    </row>
    <row r="4808">
      <c r="A4808" t="n">
        <v>4807</v>
      </c>
      <c r="B4808">
        <f>IFERROR(INDEX(Segmen!$A$3:$A$6000,MATCH(C4808,Segmen!$D$3:$D$6000,0)),"")</f>
        <v/>
      </c>
      <c r="C4808">
        <f>IFERROR(LARGE(Segmen!$D$3:$D$6000,A4808),"")</f>
        <v/>
      </c>
    </row>
    <row r="4809">
      <c r="A4809" t="n">
        <v>4808</v>
      </c>
      <c r="B4809">
        <f>IFERROR(INDEX(Segmen!$A$3:$A$6000,MATCH(C4809,Segmen!$D$3:$D$6000,0)),"")</f>
        <v/>
      </c>
      <c r="C4809">
        <f>IFERROR(LARGE(Segmen!$D$3:$D$6000,A4809),"")</f>
        <v/>
      </c>
    </row>
    <row r="4810">
      <c r="A4810" t="n">
        <v>4809</v>
      </c>
      <c r="B4810">
        <f>IFERROR(INDEX(Segmen!$A$3:$A$6000,MATCH(C4810,Segmen!$D$3:$D$6000,0)),"")</f>
        <v/>
      </c>
      <c r="C4810">
        <f>IFERROR(LARGE(Segmen!$D$3:$D$6000,A4810),"")</f>
        <v/>
      </c>
    </row>
    <row r="4811">
      <c r="A4811" t="n">
        <v>4810</v>
      </c>
      <c r="B4811">
        <f>IFERROR(INDEX(Segmen!$A$3:$A$6000,MATCH(C4811,Segmen!$D$3:$D$6000,0)),"")</f>
        <v/>
      </c>
      <c r="C4811">
        <f>IFERROR(LARGE(Segmen!$D$3:$D$6000,A4811),"")</f>
        <v/>
      </c>
    </row>
    <row r="4812">
      <c r="A4812" t="n">
        <v>4811</v>
      </c>
      <c r="B4812">
        <f>IFERROR(INDEX(Segmen!$A$3:$A$6000,MATCH(C4812,Segmen!$D$3:$D$6000,0)),"")</f>
        <v/>
      </c>
      <c r="C4812">
        <f>IFERROR(LARGE(Segmen!$D$3:$D$6000,A4812),"")</f>
        <v/>
      </c>
    </row>
    <row r="4813">
      <c r="A4813" t="n">
        <v>4812</v>
      </c>
      <c r="B4813">
        <f>IFERROR(INDEX(Segmen!$A$3:$A$6000,MATCH(C4813,Segmen!$D$3:$D$6000,0)),"")</f>
        <v/>
      </c>
      <c r="C4813">
        <f>IFERROR(LARGE(Segmen!$D$3:$D$6000,A4813),"")</f>
        <v/>
      </c>
    </row>
    <row r="4814">
      <c r="A4814" t="n">
        <v>4813</v>
      </c>
      <c r="B4814">
        <f>IFERROR(INDEX(Segmen!$A$3:$A$6000,MATCH(C4814,Segmen!$D$3:$D$6000,0)),"")</f>
        <v/>
      </c>
      <c r="C4814">
        <f>IFERROR(LARGE(Segmen!$D$3:$D$6000,A4814),"")</f>
        <v/>
      </c>
    </row>
    <row r="4815">
      <c r="A4815" t="n">
        <v>4814</v>
      </c>
      <c r="B4815">
        <f>IFERROR(INDEX(Segmen!$A$3:$A$6000,MATCH(C4815,Segmen!$D$3:$D$6000,0)),"")</f>
        <v/>
      </c>
      <c r="C4815">
        <f>IFERROR(LARGE(Segmen!$D$3:$D$6000,A4815),"")</f>
        <v/>
      </c>
    </row>
    <row r="4816">
      <c r="A4816" t="n">
        <v>4815</v>
      </c>
      <c r="B4816">
        <f>IFERROR(INDEX(Segmen!$A$3:$A$6000,MATCH(C4816,Segmen!$D$3:$D$6000,0)),"")</f>
        <v/>
      </c>
      <c r="C4816">
        <f>IFERROR(LARGE(Segmen!$D$3:$D$6000,A4816),"")</f>
        <v/>
      </c>
    </row>
    <row r="4817">
      <c r="A4817" t="n">
        <v>4816</v>
      </c>
      <c r="B4817">
        <f>IFERROR(INDEX(Segmen!$A$3:$A$6000,MATCH(C4817,Segmen!$D$3:$D$6000,0)),"")</f>
        <v/>
      </c>
      <c r="C4817">
        <f>IFERROR(LARGE(Segmen!$D$3:$D$6000,A4817),"")</f>
        <v/>
      </c>
    </row>
    <row r="4818">
      <c r="A4818" t="n">
        <v>4817</v>
      </c>
      <c r="B4818">
        <f>IFERROR(INDEX(Segmen!$A$3:$A$6000,MATCH(C4818,Segmen!$D$3:$D$6000,0)),"")</f>
        <v/>
      </c>
      <c r="C4818">
        <f>IFERROR(LARGE(Segmen!$D$3:$D$6000,A4818),"")</f>
        <v/>
      </c>
    </row>
    <row r="4819">
      <c r="A4819" t="n">
        <v>4818</v>
      </c>
      <c r="B4819">
        <f>IFERROR(INDEX(Segmen!$A$3:$A$6000,MATCH(C4819,Segmen!$D$3:$D$6000,0)),"")</f>
        <v/>
      </c>
      <c r="C4819">
        <f>IFERROR(LARGE(Segmen!$D$3:$D$6000,A4819),"")</f>
        <v/>
      </c>
    </row>
    <row r="4820">
      <c r="A4820" t="n">
        <v>4819</v>
      </c>
      <c r="B4820">
        <f>IFERROR(INDEX(Segmen!$A$3:$A$6000,MATCH(C4820,Segmen!$D$3:$D$6000,0)),"")</f>
        <v/>
      </c>
      <c r="C4820">
        <f>IFERROR(LARGE(Segmen!$D$3:$D$6000,A4820),"")</f>
        <v/>
      </c>
    </row>
    <row r="4821">
      <c r="A4821" t="n">
        <v>4820</v>
      </c>
      <c r="B4821">
        <f>IFERROR(INDEX(Segmen!$A$3:$A$6000,MATCH(C4821,Segmen!$D$3:$D$6000,0)),"")</f>
        <v/>
      </c>
      <c r="C4821">
        <f>IFERROR(LARGE(Segmen!$D$3:$D$6000,A4821),"")</f>
        <v/>
      </c>
    </row>
    <row r="4822">
      <c r="A4822" t="n">
        <v>4821</v>
      </c>
      <c r="B4822">
        <f>IFERROR(INDEX(Segmen!$A$3:$A$6000,MATCH(C4822,Segmen!$D$3:$D$6000,0)),"")</f>
        <v/>
      </c>
      <c r="C4822">
        <f>IFERROR(LARGE(Segmen!$D$3:$D$6000,A4822),"")</f>
        <v/>
      </c>
    </row>
    <row r="4823">
      <c r="A4823" t="n">
        <v>4822</v>
      </c>
      <c r="B4823">
        <f>IFERROR(INDEX(Segmen!$A$3:$A$6000,MATCH(C4823,Segmen!$D$3:$D$6000,0)),"")</f>
        <v/>
      </c>
      <c r="C4823">
        <f>IFERROR(LARGE(Segmen!$D$3:$D$6000,A4823),"")</f>
        <v/>
      </c>
    </row>
    <row r="4824">
      <c r="A4824" t="n">
        <v>4823</v>
      </c>
      <c r="B4824">
        <f>IFERROR(INDEX(Segmen!$A$3:$A$6000,MATCH(C4824,Segmen!$D$3:$D$6000,0)),"")</f>
        <v/>
      </c>
      <c r="C4824">
        <f>IFERROR(LARGE(Segmen!$D$3:$D$6000,A4824),"")</f>
        <v/>
      </c>
    </row>
    <row r="4825">
      <c r="A4825" t="n">
        <v>4824</v>
      </c>
      <c r="B4825">
        <f>IFERROR(INDEX(Segmen!$A$3:$A$6000,MATCH(C4825,Segmen!$D$3:$D$6000,0)),"")</f>
        <v/>
      </c>
      <c r="C4825">
        <f>IFERROR(LARGE(Segmen!$D$3:$D$6000,A4825),"")</f>
        <v/>
      </c>
    </row>
    <row r="4826">
      <c r="A4826" t="n">
        <v>4825</v>
      </c>
      <c r="B4826">
        <f>IFERROR(INDEX(Segmen!$A$3:$A$6000,MATCH(C4826,Segmen!$D$3:$D$6000,0)),"")</f>
        <v/>
      </c>
      <c r="C4826">
        <f>IFERROR(LARGE(Segmen!$D$3:$D$6000,A4826),"")</f>
        <v/>
      </c>
    </row>
    <row r="4827">
      <c r="A4827" t="n">
        <v>4826</v>
      </c>
      <c r="B4827">
        <f>IFERROR(INDEX(Segmen!$A$3:$A$6000,MATCH(C4827,Segmen!$D$3:$D$6000,0)),"")</f>
        <v/>
      </c>
      <c r="C4827">
        <f>IFERROR(LARGE(Segmen!$D$3:$D$6000,A4827),"")</f>
        <v/>
      </c>
    </row>
    <row r="4828">
      <c r="A4828" t="n">
        <v>4827</v>
      </c>
      <c r="B4828">
        <f>IFERROR(INDEX(Segmen!$A$3:$A$6000,MATCH(C4828,Segmen!$D$3:$D$6000,0)),"")</f>
        <v/>
      </c>
      <c r="C4828">
        <f>IFERROR(LARGE(Segmen!$D$3:$D$6000,A4828),"")</f>
        <v/>
      </c>
    </row>
    <row r="4829">
      <c r="A4829" t="n">
        <v>4828</v>
      </c>
      <c r="B4829">
        <f>IFERROR(INDEX(Segmen!$A$3:$A$6000,MATCH(C4829,Segmen!$D$3:$D$6000,0)),"")</f>
        <v/>
      </c>
      <c r="C4829">
        <f>IFERROR(LARGE(Segmen!$D$3:$D$6000,A4829),"")</f>
        <v/>
      </c>
    </row>
    <row r="4830">
      <c r="A4830" t="n">
        <v>4829</v>
      </c>
      <c r="B4830">
        <f>IFERROR(INDEX(Segmen!$A$3:$A$6000,MATCH(C4830,Segmen!$D$3:$D$6000,0)),"")</f>
        <v/>
      </c>
      <c r="C4830">
        <f>IFERROR(LARGE(Segmen!$D$3:$D$6000,A4830),"")</f>
        <v/>
      </c>
    </row>
    <row r="4831">
      <c r="A4831" t="n">
        <v>4830</v>
      </c>
      <c r="B4831">
        <f>IFERROR(INDEX(Segmen!$A$3:$A$6000,MATCH(C4831,Segmen!$D$3:$D$6000,0)),"")</f>
        <v/>
      </c>
      <c r="C4831">
        <f>IFERROR(LARGE(Segmen!$D$3:$D$6000,A4831),"")</f>
        <v/>
      </c>
    </row>
    <row r="4832">
      <c r="A4832" t="n">
        <v>4831</v>
      </c>
      <c r="B4832">
        <f>IFERROR(INDEX(Segmen!$A$3:$A$6000,MATCH(C4832,Segmen!$D$3:$D$6000,0)),"")</f>
        <v/>
      </c>
      <c r="C4832">
        <f>IFERROR(LARGE(Segmen!$D$3:$D$6000,A4832),"")</f>
        <v/>
      </c>
    </row>
    <row r="4833">
      <c r="A4833" t="n">
        <v>4832</v>
      </c>
      <c r="B4833">
        <f>IFERROR(INDEX(Segmen!$A$3:$A$6000,MATCH(C4833,Segmen!$D$3:$D$6000,0)),"")</f>
        <v/>
      </c>
      <c r="C4833">
        <f>IFERROR(LARGE(Segmen!$D$3:$D$6000,A4833),"")</f>
        <v/>
      </c>
    </row>
    <row r="4834">
      <c r="A4834" t="n">
        <v>4833</v>
      </c>
      <c r="B4834">
        <f>IFERROR(INDEX(Segmen!$A$3:$A$6000,MATCH(C4834,Segmen!$D$3:$D$6000,0)),"")</f>
        <v/>
      </c>
      <c r="C4834">
        <f>IFERROR(LARGE(Segmen!$D$3:$D$6000,A4834),"")</f>
        <v/>
      </c>
    </row>
    <row r="4835">
      <c r="A4835" t="n">
        <v>4834</v>
      </c>
      <c r="B4835">
        <f>IFERROR(INDEX(Segmen!$A$3:$A$6000,MATCH(C4835,Segmen!$D$3:$D$6000,0)),"")</f>
        <v/>
      </c>
      <c r="C4835">
        <f>IFERROR(LARGE(Segmen!$D$3:$D$6000,A4835),"")</f>
        <v/>
      </c>
    </row>
    <row r="4836">
      <c r="A4836" t="n">
        <v>4835</v>
      </c>
      <c r="B4836">
        <f>IFERROR(INDEX(Segmen!$A$3:$A$6000,MATCH(C4836,Segmen!$D$3:$D$6000,0)),"")</f>
        <v/>
      </c>
      <c r="C4836">
        <f>IFERROR(LARGE(Segmen!$D$3:$D$6000,A4836),"")</f>
        <v/>
      </c>
    </row>
    <row r="4837">
      <c r="A4837" t="n">
        <v>4836</v>
      </c>
      <c r="B4837">
        <f>IFERROR(INDEX(Segmen!$A$3:$A$6000,MATCH(C4837,Segmen!$D$3:$D$6000,0)),"")</f>
        <v/>
      </c>
      <c r="C4837">
        <f>IFERROR(LARGE(Segmen!$D$3:$D$6000,A4837),"")</f>
        <v/>
      </c>
    </row>
    <row r="4838">
      <c r="A4838" t="n">
        <v>4837</v>
      </c>
      <c r="B4838">
        <f>IFERROR(INDEX(Segmen!$A$3:$A$6000,MATCH(C4838,Segmen!$D$3:$D$6000,0)),"")</f>
        <v/>
      </c>
      <c r="C4838">
        <f>IFERROR(LARGE(Segmen!$D$3:$D$6000,A4838),"")</f>
        <v/>
      </c>
    </row>
    <row r="4839">
      <c r="A4839" t="n">
        <v>4838</v>
      </c>
      <c r="B4839">
        <f>IFERROR(INDEX(Segmen!$A$3:$A$6000,MATCH(C4839,Segmen!$D$3:$D$6000,0)),"")</f>
        <v/>
      </c>
      <c r="C4839">
        <f>IFERROR(LARGE(Segmen!$D$3:$D$6000,A4839),"")</f>
        <v/>
      </c>
    </row>
    <row r="4840">
      <c r="A4840" t="n">
        <v>4839</v>
      </c>
      <c r="B4840">
        <f>IFERROR(INDEX(Segmen!$A$3:$A$6000,MATCH(C4840,Segmen!$D$3:$D$6000,0)),"")</f>
        <v/>
      </c>
      <c r="C4840">
        <f>IFERROR(LARGE(Segmen!$D$3:$D$6000,A4840),"")</f>
        <v/>
      </c>
    </row>
    <row r="4841">
      <c r="A4841" t="n">
        <v>4840</v>
      </c>
      <c r="B4841">
        <f>IFERROR(INDEX(Segmen!$A$3:$A$6000,MATCH(C4841,Segmen!$D$3:$D$6000,0)),"")</f>
        <v/>
      </c>
      <c r="C4841">
        <f>IFERROR(LARGE(Segmen!$D$3:$D$6000,A4841),"")</f>
        <v/>
      </c>
    </row>
    <row r="4842">
      <c r="A4842" t="n">
        <v>4841</v>
      </c>
      <c r="B4842">
        <f>IFERROR(INDEX(Segmen!$A$3:$A$6000,MATCH(C4842,Segmen!$D$3:$D$6000,0)),"")</f>
        <v/>
      </c>
      <c r="C4842">
        <f>IFERROR(LARGE(Segmen!$D$3:$D$6000,A4842),"")</f>
        <v/>
      </c>
    </row>
    <row r="4843">
      <c r="A4843" t="n">
        <v>4842</v>
      </c>
      <c r="B4843">
        <f>IFERROR(INDEX(Segmen!$A$3:$A$6000,MATCH(C4843,Segmen!$D$3:$D$6000,0)),"")</f>
        <v/>
      </c>
      <c r="C4843">
        <f>IFERROR(LARGE(Segmen!$D$3:$D$6000,A4843),"")</f>
        <v/>
      </c>
    </row>
    <row r="4844">
      <c r="A4844" t="n">
        <v>4843</v>
      </c>
      <c r="B4844">
        <f>IFERROR(INDEX(Segmen!$A$3:$A$6000,MATCH(C4844,Segmen!$D$3:$D$6000,0)),"")</f>
        <v/>
      </c>
      <c r="C4844">
        <f>IFERROR(LARGE(Segmen!$D$3:$D$6000,A4844),"")</f>
        <v/>
      </c>
    </row>
    <row r="4845">
      <c r="A4845" t="n">
        <v>4844</v>
      </c>
      <c r="B4845">
        <f>IFERROR(INDEX(Segmen!$A$3:$A$6000,MATCH(C4845,Segmen!$D$3:$D$6000,0)),"")</f>
        <v/>
      </c>
      <c r="C4845">
        <f>IFERROR(LARGE(Segmen!$D$3:$D$6000,A4845),"")</f>
        <v/>
      </c>
    </row>
    <row r="4846">
      <c r="A4846" t="n">
        <v>4845</v>
      </c>
      <c r="B4846">
        <f>IFERROR(INDEX(Segmen!$A$3:$A$6000,MATCH(C4846,Segmen!$D$3:$D$6000,0)),"")</f>
        <v/>
      </c>
      <c r="C4846">
        <f>IFERROR(LARGE(Segmen!$D$3:$D$6000,A4846),"")</f>
        <v/>
      </c>
    </row>
    <row r="4847">
      <c r="A4847" t="n">
        <v>4846</v>
      </c>
      <c r="B4847">
        <f>IFERROR(INDEX(Segmen!$A$3:$A$6000,MATCH(C4847,Segmen!$D$3:$D$6000,0)),"")</f>
        <v/>
      </c>
      <c r="C4847">
        <f>IFERROR(LARGE(Segmen!$D$3:$D$6000,A4847),"")</f>
        <v/>
      </c>
    </row>
    <row r="4848">
      <c r="A4848" t="n">
        <v>4847</v>
      </c>
      <c r="B4848">
        <f>IFERROR(INDEX(Segmen!$A$3:$A$6000,MATCH(C4848,Segmen!$D$3:$D$6000,0)),"")</f>
        <v/>
      </c>
      <c r="C4848">
        <f>IFERROR(LARGE(Segmen!$D$3:$D$6000,A4848),"")</f>
        <v/>
      </c>
    </row>
    <row r="4849">
      <c r="A4849" t="n">
        <v>4848</v>
      </c>
      <c r="B4849">
        <f>IFERROR(INDEX(Segmen!$A$3:$A$6000,MATCH(C4849,Segmen!$D$3:$D$6000,0)),"")</f>
        <v/>
      </c>
      <c r="C4849">
        <f>IFERROR(LARGE(Segmen!$D$3:$D$6000,A4849),"")</f>
        <v/>
      </c>
    </row>
    <row r="4850">
      <c r="A4850" t="n">
        <v>4849</v>
      </c>
      <c r="B4850">
        <f>IFERROR(INDEX(Segmen!$A$3:$A$6000,MATCH(C4850,Segmen!$D$3:$D$6000,0)),"")</f>
        <v/>
      </c>
      <c r="C4850">
        <f>IFERROR(LARGE(Segmen!$D$3:$D$6000,A4850),"")</f>
        <v/>
      </c>
    </row>
    <row r="4851">
      <c r="A4851" t="n">
        <v>4850</v>
      </c>
      <c r="B4851">
        <f>IFERROR(INDEX(Segmen!$A$3:$A$6000,MATCH(C4851,Segmen!$D$3:$D$6000,0)),"")</f>
        <v/>
      </c>
      <c r="C4851">
        <f>IFERROR(LARGE(Segmen!$D$3:$D$6000,A4851),"")</f>
        <v/>
      </c>
    </row>
    <row r="4852">
      <c r="A4852" t="n">
        <v>4851</v>
      </c>
      <c r="B4852">
        <f>IFERROR(INDEX(Segmen!$A$3:$A$6000,MATCH(C4852,Segmen!$D$3:$D$6000,0)),"")</f>
        <v/>
      </c>
      <c r="C4852">
        <f>IFERROR(LARGE(Segmen!$D$3:$D$6000,A4852),"")</f>
        <v/>
      </c>
    </row>
    <row r="4853">
      <c r="A4853" t="n">
        <v>4852</v>
      </c>
      <c r="B4853">
        <f>IFERROR(INDEX(Segmen!$A$3:$A$6000,MATCH(C4853,Segmen!$D$3:$D$6000,0)),"")</f>
        <v/>
      </c>
      <c r="C4853">
        <f>IFERROR(LARGE(Segmen!$D$3:$D$6000,A4853),"")</f>
        <v/>
      </c>
    </row>
    <row r="4854">
      <c r="A4854" t="n">
        <v>4853</v>
      </c>
      <c r="B4854">
        <f>IFERROR(INDEX(Segmen!$A$3:$A$6000,MATCH(C4854,Segmen!$D$3:$D$6000,0)),"")</f>
        <v/>
      </c>
      <c r="C4854">
        <f>IFERROR(LARGE(Segmen!$D$3:$D$6000,A4854),"")</f>
        <v/>
      </c>
    </row>
    <row r="4855">
      <c r="A4855" t="n">
        <v>4854</v>
      </c>
      <c r="B4855">
        <f>IFERROR(INDEX(Segmen!$A$3:$A$6000,MATCH(C4855,Segmen!$D$3:$D$6000,0)),"")</f>
        <v/>
      </c>
      <c r="C4855">
        <f>IFERROR(LARGE(Segmen!$D$3:$D$6000,A4855),"")</f>
        <v/>
      </c>
    </row>
    <row r="4856">
      <c r="A4856" t="n">
        <v>4855</v>
      </c>
      <c r="B4856">
        <f>IFERROR(INDEX(Segmen!$A$3:$A$6000,MATCH(C4856,Segmen!$D$3:$D$6000,0)),"")</f>
        <v/>
      </c>
      <c r="C4856">
        <f>IFERROR(LARGE(Segmen!$D$3:$D$6000,A4856),"")</f>
        <v/>
      </c>
    </row>
    <row r="4857">
      <c r="A4857" t="n">
        <v>4856</v>
      </c>
      <c r="B4857">
        <f>IFERROR(INDEX(Segmen!$A$3:$A$6000,MATCH(C4857,Segmen!$D$3:$D$6000,0)),"")</f>
        <v/>
      </c>
      <c r="C4857">
        <f>IFERROR(LARGE(Segmen!$D$3:$D$6000,A4857),"")</f>
        <v/>
      </c>
    </row>
    <row r="4858">
      <c r="A4858" t="n">
        <v>4857</v>
      </c>
      <c r="B4858">
        <f>IFERROR(INDEX(Segmen!$A$3:$A$6000,MATCH(C4858,Segmen!$D$3:$D$6000,0)),"")</f>
        <v/>
      </c>
      <c r="C4858">
        <f>IFERROR(LARGE(Segmen!$D$3:$D$6000,A4858),"")</f>
        <v/>
      </c>
    </row>
    <row r="4859">
      <c r="A4859" t="n">
        <v>4858</v>
      </c>
      <c r="B4859">
        <f>IFERROR(INDEX(Segmen!$A$3:$A$6000,MATCH(C4859,Segmen!$D$3:$D$6000,0)),"")</f>
        <v/>
      </c>
      <c r="C4859">
        <f>IFERROR(LARGE(Segmen!$D$3:$D$6000,A4859),"")</f>
        <v/>
      </c>
    </row>
    <row r="4860">
      <c r="A4860" t="n">
        <v>4859</v>
      </c>
      <c r="B4860">
        <f>IFERROR(INDEX(Segmen!$A$3:$A$6000,MATCH(C4860,Segmen!$D$3:$D$6000,0)),"")</f>
        <v/>
      </c>
      <c r="C4860">
        <f>IFERROR(LARGE(Segmen!$D$3:$D$6000,A4860),"")</f>
        <v/>
      </c>
    </row>
    <row r="4861">
      <c r="A4861" t="n">
        <v>4860</v>
      </c>
      <c r="B4861">
        <f>IFERROR(INDEX(Segmen!$A$3:$A$6000,MATCH(C4861,Segmen!$D$3:$D$6000,0)),"")</f>
        <v/>
      </c>
      <c r="C4861">
        <f>IFERROR(LARGE(Segmen!$D$3:$D$6000,A4861),"")</f>
        <v/>
      </c>
    </row>
    <row r="4862">
      <c r="A4862" t="n">
        <v>4861</v>
      </c>
      <c r="B4862">
        <f>IFERROR(INDEX(Segmen!$A$3:$A$6000,MATCH(C4862,Segmen!$D$3:$D$6000,0)),"")</f>
        <v/>
      </c>
      <c r="C4862">
        <f>IFERROR(LARGE(Segmen!$D$3:$D$6000,A4862),"")</f>
        <v/>
      </c>
    </row>
    <row r="4863">
      <c r="A4863" t="n">
        <v>4862</v>
      </c>
      <c r="B4863">
        <f>IFERROR(INDEX(Segmen!$A$3:$A$6000,MATCH(C4863,Segmen!$D$3:$D$6000,0)),"")</f>
        <v/>
      </c>
      <c r="C4863">
        <f>IFERROR(LARGE(Segmen!$D$3:$D$6000,A4863),"")</f>
        <v/>
      </c>
    </row>
    <row r="4864">
      <c r="A4864" t="n">
        <v>4863</v>
      </c>
      <c r="B4864">
        <f>IFERROR(INDEX(Segmen!$A$3:$A$6000,MATCH(C4864,Segmen!$D$3:$D$6000,0)),"")</f>
        <v/>
      </c>
      <c r="C4864">
        <f>IFERROR(LARGE(Segmen!$D$3:$D$6000,A4864),"")</f>
        <v/>
      </c>
    </row>
    <row r="4865">
      <c r="A4865" t="n">
        <v>4864</v>
      </c>
      <c r="B4865">
        <f>IFERROR(INDEX(Segmen!$A$3:$A$6000,MATCH(C4865,Segmen!$D$3:$D$6000,0)),"")</f>
        <v/>
      </c>
      <c r="C4865">
        <f>IFERROR(LARGE(Segmen!$D$3:$D$6000,A4865),"")</f>
        <v/>
      </c>
    </row>
    <row r="4866">
      <c r="A4866" t="n">
        <v>4865</v>
      </c>
      <c r="B4866">
        <f>IFERROR(INDEX(Segmen!$A$3:$A$6000,MATCH(C4866,Segmen!$D$3:$D$6000,0)),"")</f>
        <v/>
      </c>
      <c r="C4866">
        <f>IFERROR(LARGE(Segmen!$D$3:$D$6000,A4866),"")</f>
        <v/>
      </c>
    </row>
    <row r="4867">
      <c r="A4867" t="n">
        <v>4866</v>
      </c>
      <c r="B4867">
        <f>IFERROR(INDEX(Segmen!$A$3:$A$6000,MATCH(C4867,Segmen!$D$3:$D$6000,0)),"")</f>
        <v/>
      </c>
      <c r="C4867">
        <f>IFERROR(LARGE(Segmen!$D$3:$D$6000,A4867),"")</f>
        <v/>
      </c>
    </row>
    <row r="4868">
      <c r="A4868" t="n">
        <v>4867</v>
      </c>
      <c r="B4868">
        <f>IFERROR(INDEX(Segmen!$A$3:$A$6000,MATCH(C4868,Segmen!$D$3:$D$6000,0)),"")</f>
        <v/>
      </c>
      <c r="C4868">
        <f>IFERROR(LARGE(Segmen!$D$3:$D$6000,A4868),"")</f>
        <v/>
      </c>
    </row>
    <row r="4869">
      <c r="A4869" t="n">
        <v>4868</v>
      </c>
      <c r="B4869">
        <f>IFERROR(INDEX(Segmen!$A$3:$A$6000,MATCH(C4869,Segmen!$D$3:$D$6000,0)),"")</f>
        <v/>
      </c>
      <c r="C4869">
        <f>IFERROR(LARGE(Segmen!$D$3:$D$6000,A4869),"")</f>
        <v/>
      </c>
    </row>
    <row r="4870">
      <c r="A4870" t="n">
        <v>4869</v>
      </c>
      <c r="B4870">
        <f>IFERROR(INDEX(Segmen!$A$3:$A$6000,MATCH(C4870,Segmen!$D$3:$D$6000,0)),"")</f>
        <v/>
      </c>
      <c r="C4870">
        <f>IFERROR(LARGE(Segmen!$D$3:$D$6000,A4870),"")</f>
        <v/>
      </c>
    </row>
    <row r="4871">
      <c r="A4871" t="n">
        <v>4870</v>
      </c>
      <c r="B4871">
        <f>IFERROR(INDEX(Segmen!$A$3:$A$6000,MATCH(C4871,Segmen!$D$3:$D$6000,0)),"")</f>
        <v/>
      </c>
      <c r="C4871">
        <f>IFERROR(LARGE(Segmen!$D$3:$D$6000,A4871),"")</f>
        <v/>
      </c>
    </row>
    <row r="4872">
      <c r="A4872" t="n">
        <v>4871</v>
      </c>
      <c r="B4872">
        <f>IFERROR(INDEX(Segmen!$A$3:$A$6000,MATCH(C4872,Segmen!$D$3:$D$6000,0)),"")</f>
        <v/>
      </c>
      <c r="C4872">
        <f>IFERROR(LARGE(Segmen!$D$3:$D$6000,A4872),"")</f>
        <v/>
      </c>
    </row>
    <row r="4873">
      <c r="A4873" t="n">
        <v>4872</v>
      </c>
      <c r="B4873">
        <f>IFERROR(INDEX(Segmen!$A$3:$A$6000,MATCH(C4873,Segmen!$D$3:$D$6000,0)),"")</f>
        <v/>
      </c>
      <c r="C4873">
        <f>IFERROR(LARGE(Segmen!$D$3:$D$6000,A4873),"")</f>
        <v/>
      </c>
    </row>
    <row r="4874">
      <c r="A4874" t="n">
        <v>4873</v>
      </c>
      <c r="B4874">
        <f>IFERROR(INDEX(Segmen!$A$3:$A$6000,MATCH(C4874,Segmen!$D$3:$D$6000,0)),"")</f>
        <v/>
      </c>
      <c r="C4874">
        <f>IFERROR(LARGE(Segmen!$D$3:$D$6000,A4874),"")</f>
        <v/>
      </c>
    </row>
    <row r="4875">
      <c r="A4875" t="n">
        <v>4874</v>
      </c>
      <c r="B4875">
        <f>IFERROR(INDEX(Segmen!$A$3:$A$6000,MATCH(C4875,Segmen!$D$3:$D$6000,0)),"")</f>
        <v/>
      </c>
      <c r="C4875">
        <f>IFERROR(LARGE(Segmen!$D$3:$D$6000,A4875),"")</f>
        <v/>
      </c>
    </row>
    <row r="4876">
      <c r="A4876" t="n">
        <v>4875</v>
      </c>
      <c r="B4876">
        <f>IFERROR(INDEX(Segmen!$A$3:$A$6000,MATCH(C4876,Segmen!$D$3:$D$6000,0)),"")</f>
        <v/>
      </c>
      <c r="C4876">
        <f>IFERROR(LARGE(Segmen!$D$3:$D$6000,A4876),"")</f>
        <v/>
      </c>
    </row>
    <row r="4877">
      <c r="A4877" t="n">
        <v>4876</v>
      </c>
      <c r="B4877">
        <f>IFERROR(INDEX(Segmen!$A$3:$A$6000,MATCH(C4877,Segmen!$D$3:$D$6000,0)),"")</f>
        <v/>
      </c>
      <c r="C4877">
        <f>IFERROR(LARGE(Segmen!$D$3:$D$6000,A4877),"")</f>
        <v/>
      </c>
    </row>
    <row r="4878">
      <c r="A4878" t="n">
        <v>4877</v>
      </c>
      <c r="B4878">
        <f>IFERROR(INDEX(Segmen!$A$3:$A$6000,MATCH(C4878,Segmen!$D$3:$D$6000,0)),"")</f>
        <v/>
      </c>
      <c r="C4878">
        <f>IFERROR(LARGE(Segmen!$D$3:$D$6000,A4878),"")</f>
        <v/>
      </c>
    </row>
    <row r="4879">
      <c r="A4879" t="n">
        <v>4878</v>
      </c>
      <c r="B4879">
        <f>IFERROR(INDEX(Segmen!$A$3:$A$6000,MATCH(C4879,Segmen!$D$3:$D$6000,0)),"")</f>
        <v/>
      </c>
      <c r="C4879">
        <f>IFERROR(LARGE(Segmen!$D$3:$D$6000,A4879),"")</f>
        <v/>
      </c>
    </row>
    <row r="4880">
      <c r="A4880" t="n">
        <v>4879</v>
      </c>
      <c r="B4880">
        <f>IFERROR(INDEX(Segmen!$A$3:$A$6000,MATCH(C4880,Segmen!$D$3:$D$6000,0)),"")</f>
        <v/>
      </c>
      <c r="C4880">
        <f>IFERROR(LARGE(Segmen!$D$3:$D$6000,A4880),"")</f>
        <v/>
      </c>
    </row>
    <row r="4881">
      <c r="A4881" t="n">
        <v>4880</v>
      </c>
      <c r="B4881">
        <f>IFERROR(INDEX(Segmen!$A$3:$A$6000,MATCH(C4881,Segmen!$D$3:$D$6000,0)),"")</f>
        <v/>
      </c>
      <c r="C4881">
        <f>IFERROR(LARGE(Segmen!$D$3:$D$6000,A4881),"")</f>
        <v/>
      </c>
    </row>
    <row r="4882">
      <c r="A4882" t="n">
        <v>4881</v>
      </c>
      <c r="B4882">
        <f>IFERROR(INDEX(Segmen!$A$3:$A$6000,MATCH(C4882,Segmen!$D$3:$D$6000,0)),"")</f>
        <v/>
      </c>
      <c r="C4882">
        <f>IFERROR(LARGE(Segmen!$D$3:$D$6000,A4882),"")</f>
        <v/>
      </c>
    </row>
    <row r="4883">
      <c r="A4883" t="n">
        <v>4882</v>
      </c>
      <c r="B4883">
        <f>IFERROR(INDEX(Segmen!$A$3:$A$6000,MATCH(C4883,Segmen!$D$3:$D$6000,0)),"")</f>
        <v/>
      </c>
      <c r="C4883">
        <f>IFERROR(LARGE(Segmen!$D$3:$D$6000,A4883),"")</f>
        <v/>
      </c>
    </row>
    <row r="4884">
      <c r="A4884" t="n">
        <v>4883</v>
      </c>
      <c r="B4884">
        <f>IFERROR(INDEX(Segmen!$A$3:$A$6000,MATCH(C4884,Segmen!$D$3:$D$6000,0)),"")</f>
        <v/>
      </c>
      <c r="C4884">
        <f>IFERROR(LARGE(Segmen!$D$3:$D$6000,A4884),"")</f>
        <v/>
      </c>
    </row>
    <row r="4885">
      <c r="A4885" t="n">
        <v>4884</v>
      </c>
      <c r="B4885">
        <f>IFERROR(INDEX(Segmen!$A$3:$A$6000,MATCH(C4885,Segmen!$D$3:$D$6000,0)),"")</f>
        <v/>
      </c>
      <c r="C4885">
        <f>IFERROR(LARGE(Segmen!$D$3:$D$6000,A4885),"")</f>
        <v/>
      </c>
    </row>
    <row r="4886">
      <c r="A4886" t="n">
        <v>4885</v>
      </c>
      <c r="B4886">
        <f>IFERROR(INDEX(Segmen!$A$3:$A$6000,MATCH(C4886,Segmen!$D$3:$D$6000,0)),"")</f>
        <v/>
      </c>
      <c r="C4886">
        <f>IFERROR(LARGE(Segmen!$D$3:$D$6000,A4886),"")</f>
        <v/>
      </c>
    </row>
    <row r="4887">
      <c r="A4887" t="n">
        <v>4886</v>
      </c>
      <c r="B4887">
        <f>IFERROR(INDEX(Segmen!$A$3:$A$6000,MATCH(C4887,Segmen!$D$3:$D$6000,0)),"")</f>
        <v/>
      </c>
      <c r="C4887">
        <f>IFERROR(LARGE(Segmen!$D$3:$D$6000,A4887),"")</f>
        <v/>
      </c>
    </row>
    <row r="4888">
      <c r="A4888" t="n">
        <v>4887</v>
      </c>
      <c r="B4888">
        <f>IFERROR(INDEX(Segmen!$A$3:$A$6000,MATCH(C4888,Segmen!$D$3:$D$6000,0)),"")</f>
        <v/>
      </c>
      <c r="C4888">
        <f>IFERROR(LARGE(Segmen!$D$3:$D$6000,A4888),"")</f>
        <v/>
      </c>
    </row>
    <row r="4889">
      <c r="A4889" t="n">
        <v>4888</v>
      </c>
      <c r="B4889">
        <f>IFERROR(INDEX(Segmen!$A$3:$A$6000,MATCH(C4889,Segmen!$D$3:$D$6000,0)),"")</f>
        <v/>
      </c>
      <c r="C4889">
        <f>IFERROR(LARGE(Segmen!$D$3:$D$6000,A4889),"")</f>
        <v/>
      </c>
    </row>
    <row r="4890">
      <c r="A4890" t="n">
        <v>4889</v>
      </c>
      <c r="B4890">
        <f>IFERROR(INDEX(Segmen!$A$3:$A$6000,MATCH(C4890,Segmen!$D$3:$D$6000,0)),"")</f>
        <v/>
      </c>
      <c r="C4890">
        <f>IFERROR(LARGE(Segmen!$D$3:$D$6000,A4890),"")</f>
        <v/>
      </c>
    </row>
    <row r="4891">
      <c r="A4891" t="n">
        <v>4890</v>
      </c>
      <c r="B4891">
        <f>IFERROR(INDEX(Segmen!$A$3:$A$6000,MATCH(C4891,Segmen!$D$3:$D$6000,0)),"")</f>
        <v/>
      </c>
      <c r="C4891">
        <f>IFERROR(LARGE(Segmen!$D$3:$D$6000,A4891),"")</f>
        <v/>
      </c>
    </row>
    <row r="4892">
      <c r="A4892" t="n">
        <v>4891</v>
      </c>
      <c r="B4892">
        <f>IFERROR(INDEX(Segmen!$A$3:$A$6000,MATCH(C4892,Segmen!$D$3:$D$6000,0)),"")</f>
        <v/>
      </c>
      <c r="C4892">
        <f>IFERROR(LARGE(Segmen!$D$3:$D$6000,A4892),"")</f>
        <v/>
      </c>
    </row>
    <row r="4893">
      <c r="A4893" t="n">
        <v>4892</v>
      </c>
      <c r="B4893">
        <f>IFERROR(INDEX(Segmen!$A$3:$A$6000,MATCH(C4893,Segmen!$D$3:$D$6000,0)),"")</f>
        <v/>
      </c>
      <c r="C4893">
        <f>IFERROR(LARGE(Segmen!$D$3:$D$6000,A4893),"")</f>
        <v/>
      </c>
    </row>
    <row r="4894">
      <c r="A4894" t="n">
        <v>4893</v>
      </c>
      <c r="B4894">
        <f>IFERROR(INDEX(Segmen!$A$3:$A$6000,MATCH(C4894,Segmen!$D$3:$D$6000,0)),"")</f>
        <v/>
      </c>
      <c r="C4894">
        <f>IFERROR(LARGE(Segmen!$D$3:$D$6000,A4894),"")</f>
        <v/>
      </c>
    </row>
    <row r="4895">
      <c r="A4895" t="n">
        <v>4894</v>
      </c>
      <c r="B4895">
        <f>IFERROR(INDEX(Segmen!$A$3:$A$6000,MATCH(C4895,Segmen!$D$3:$D$6000,0)),"")</f>
        <v/>
      </c>
      <c r="C4895">
        <f>IFERROR(LARGE(Segmen!$D$3:$D$6000,A4895),"")</f>
        <v/>
      </c>
    </row>
    <row r="4896">
      <c r="A4896" t="n">
        <v>4895</v>
      </c>
      <c r="B4896">
        <f>IFERROR(INDEX(Segmen!$A$3:$A$6000,MATCH(C4896,Segmen!$D$3:$D$6000,0)),"")</f>
        <v/>
      </c>
      <c r="C4896">
        <f>IFERROR(LARGE(Segmen!$D$3:$D$6000,A4896),"")</f>
        <v/>
      </c>
    </row>
    <row r="4897">
      <c r="A4897" t="n">
        <v>4896</v>
      </c>
      <c r="B4897">
        <f>IFERROR(INDEX(Segmen!$A$3:$A$6000,MATCH(C4897,Segmen!$D$3:$D$6000,0)),"")</f>
        <v/>
      </c>
      <c r="C4897">
        <f>IFERROR(LARGE(Segmen!$D$3:$D$6000,A4897),"")</f>
        <v/>
      </c>
    </row>
    <row r="4898">
      <c r="A4898" t="n">
        <v>4897</v>
      </c>
      <c r="B4898">
        <f>IFERROR(INDEX(Segmen!$A$3:$A$6000,MATCH(C4898,Segmen!$D$3:$D$6000,0)),"")</f>
        <v/>
      </c>
      <c r="C4898">
        <f>IFERROR(LARGE(Segmen!$D$3:$D$6000,A4898),"")</f>
        <v/>
      </c>
    </row>
    <row r="4899">
      <c r="A4899" t="n">
        <v>4898</v>
      </c>
      <c r="B4899">
        <f>IFERROR(INDEX(Segmen!$A$3:$A$6000,MATCH(C4899,Segmen!$D$3:$D$6000,0)),"")</f>
        <v/>
      </c>
      <c r="C4899">
        <f>IFERROR(LARGE(Segmen!$D$3:$D$6000,A4899),"")</f>
        <v/>
      </c>
    </row>
    <row r="4900">
      <c r="A4900" t="n">
        <v>4899</v>
      </c>
      <c r="B4900">
        <f>IFERROR(INDEX(Segmen!$A$3:$A$6000,MATCH(C4900,Segmen!$D$3:$D$6000,0)),"")</f>
        <v/>
      </c>
      <c r="C4900">
        <f>IFERROR(LARGE(Segmen!$D$3:$D$6000,A4900),"")</f>
        <v/>
      </c>
    </row>
    <row r="4901">
      <c r="A4901" t="n">
        <v>4900</v>
      </c>
      <c r="B4901">
        <f>IFERROR(INDEX(Segmen!$A$3:$A$6000,MATCH(C4901,Segmen!$D$3:$D$6000,0)),"")</f>
        <v/>
      </c>
      <c r="C4901">
        <f>IFERROR(LARGE(Segmen!$D$3:$D$6000,A4901),"")</f>
        <v/>
      </c>
    </row>
    <row r="4902">
      <c r="A4902" t="n">
        <v>4901</v>
      </c>
      <c r="B4902">
        <f>IFERROR(INDEX(Segmen!$A$3:$A$6000,MATCH(C4902,Segmen!$D$3:$D$6000,0)),"")</f>
        <v/>
      </c>
      <c r="C4902">
        <f>IFERROR(LARGE(Segmen!$D$3:$D$6000,A4902),"")</f>
        <v/>
      </c>
    </row>
    <row r="4903">
      <c r="A4903" t="n">
        <v>4902</v>
      </c>
      <c r="B4903">
        <f>IFERROR(INDEX(Segmen!$A$3:$A$6000,MATCH(C4903,Segmen!$D$3:$D$6000,0)),"")</f>
        <v/>
      </c>
      <c r="C4903">
        <f>IFERROR(LARGE(Segmen!$D$3:$D$6000,A4903),"")</f>
        <v/>
      </c>
    </row>
    <row r="4904">
      <c r="A4904" t="n">
        <v>4903</v>
      </c>
      <c r="B4904">
        <f>IFERROR(INDEX(Segmen!$A$3:$A$6000,MATCH(C4904,Segmen!$D$3:$D$6000,0)),"")</f>
        <v/>
      </c>
      <c r="C4904">
        <f>IFERROR(LARGE(Segmen!$D$3:$D$6000,A4904),"")</f>
        <v/>
      </c>
    </row>
    <row r="4905">
      <c r="A4905" t="n">
        <v>4904</v>
      </c>
      <c r="B4905">
        <f>IFERROR(INDEX(Segmen!$A$3:$A$6000,MATCH(C4905,Segmen!$D$3:$D$6000,0)),"")</f>
        <v/>
      </c>
      <c r="C4905">
        <f>IFERROR(LARGE(Segmen!$D$3:$D$6000,A4905),"")</f>
        <v/>
      </c>
    </row>
    <row r="4906">
      <c r="A4906" t="n">
        <v>4905</v>
      </c>
      <c r="B4906">
        <f>IFERROR(INDEX(Segmen!$A$3:$A$6000,MATCH(C4906,Segmen!$D$3:$D$6000,0)),"")</f>
        <v/>
      </c>
      <c r="C4906">
        <f>IFERROR(LARGE(Segmen!$D$3:$D$6000,A4906),"")</f>
        <v/>
      </c>
    </row>
    <row r="4907">
      <c r="A4907" t="n">
        <v>4906</v>
      </c>
      <c r="B4907">
        <f>IFERROR(INDEX(Segmen!$A$3:$A$6000,MATCH(C4907,Segmen!$D$3:$D$6000,0)),"")</f>
        <v/>
      </c>
      <c r="C4907">
        <f>IFERROR(LARGE(Segmen!$D$3:$D$6000,A4907),"")</f>
        <v/>
      </c>
    </row>
    <row r="4908">
      <c r="A4908" t="n">
        <v>4907</v>
      </c>
      <c r="B4908">
        <f>IFERROR(INDEX(Segmen!$A$3:$A$6000,MATCH(C4908,Segmen!$D$3:$D$6000,0)),"")</f>
        <v/>
      </c>
      <c r="C4908">
        <f>IFERROR(LARGE(Segmen!$D$3:$D$6000,A4908),"")</f>
        <v/>
      </c>
    </row>
    <row r="4909">
      <c r="A4909" t="n">
        <v>4908</v>
      </c>
      <c r="B4909">
        <f>IFERROR(INDEX(Segmen!$A$3:$A$6000,MATCH(C4909,Segmen!$D$3:$D$6000,0)),"")</f>
        <v/>
      </c>
      <c r="C4909">
        <f>IFERROR(LARGE(Segmen!$D$3:$D$6000,A4909),"")</f>
        <v/>
      </c>
    </row>
    <row r="4910">
      <c r="A4910" t="n">
        <v>4909</v>
      </c>
      <c r="B4910">
        <f>IFERROR(INDEX(Segmen!$A$3:$A$6000,MATCH(C4910,Segmen!$D$3:$D$6000,0)),"")</f>
        <v/>
      </c>
      <c r="C4910">
        <f>IFERROR(LARGE(Segmen!$D$3:$D$6000,A4910),"")</f>
        <v/>
      </c>
    </row>
    <row r="4911">
      <c r="A4911" t="n">
        <v>4910</v>
      </c>
      <c r="B4911">
        <f>IFERROR(INDEX(Segmen!$A$3:$A$6000,MATCH(C4911,Segmen!$D$3:$D$6000,0)),"")</f>
        <v/>
      </c>
      <c r="C4911">
        <f>IFERROR(LARGE(Segmen!$D$3:$D$6000,A4911),"")</f>
        <v/>
      </c>
    </row>
    <row r="4912">
      <c r="A4912" t="n">
        <v>4911</v>
      </c>
      <c r="B4912">
        <f>IFERROR(INDEX(Segmen!$A$3:$A$6000,MATCH(C4912,Segmen!$D$3:$D$6000,0)),"")</f>
        <v/>
      </c>
      <c r="C4912">
        <f>IFERROR(LARGE(Segmen!$D$3:$D$6000,A4912),"")</f>
        <v/>
      </c>
    </row>
    <row r="4913">
      <c r="A4913" t="n">
        <v>4912</v>
      </c>
      <c r="B4913">
        <f>IFERROR(INDEX(Segmen!$A$3:$A$6000,MATCH(C4913,Segmen!$D$3:$D$6000,0)),"")</f>
        <v/>
      </c>
      <c r="C4913">
        <f>IFERROR(LARGE(Segmen!$D$3:$D$6000,A4913),"")</f>
        <v/>
      </c>
    </row>
    <row r="4914">
      <c r="A4914" t="n">
        <v>4913</v>
      </c>
      <c r="B4914">
        <f>IFERROR(INDEX(Segmen!$A$3:$A$6000,MATCH(C4914,Segmen!$D$3:$D$6000,0)),"")</f>
        <v/>
      </c>
      <c r="C4914">
        <f>IFERROR(LARGE(Segmen!$D$3:$D$6000,A4914),"")</f>
        <v/>
      </c>
    </row>
    <row r="4915">
      <c r="A4915" t="n">
        <v>4914</v>
      </c>
      <c r="B4915">
        <f>IFERROR(INDEX(Segmen!$A$3:$A$6000,MATCH(C4915,Segmen!$D$3:$D$6000,0)),"")</f>
        <v/>
      </c>
      <c r="C4915">
        <f>IFERROR(LARGE(Segmen!$D$3:$D$6000,A4915),"")</f>
        <v/>
      </c>
    </row>
    <row r="4916">
      <c r="A4916" t="n">
        <v>4915</v>
      </c>
      <c r="B4916">
        <f>IFERROR(INDEX(Segmen!$A$3:$A$6000,MATCH(C4916,Segmen!$D$3:$D$6000,0)),"")</f>
        <v/>
      </c>
      <c r="C4916">
        <f>IFERROR(LARGE(Segmen!$D$3:$D$6000,A4916),"")</f>
        <v/>
      </c>
    </row>
    <row r="4917">
      <c r="A4917" t="n">
        <v>4916</v>
      </c>
      <c r="B4917">
        <f>IFERROR(INDEX(Segmen!$A$3:$A$6000,MATCH(C4917,Segmen!$D$3:$D$6000,0)),"")</f>
        <v/>
      </c>
      <c r="C4917">
        <f>IFERROR(LARGE(Segmen!$D$3:$D$6000,A4917),"")</f>
        <v/>
      </c>
    </row>
    <row r="4918">
      <c r="A4918" t="n">
        <v>4917</v>
      </c>
      <c r="B4918">
        <f>IFERROR(INDEX(Segmen!$A$3:$A$6000,MATCH(C4918,Segmen!$D$3:$D$6000,0)),"")</f>
        <v/>
      </c>
      <c r="C4918">
        <f>IFERROR(LARGE(Segmen!$D$3:$D$6000,A4918),"")</f>
        <v/>
      </c>
    </row>
    <row r="4919">
      <c r="A4919" t="n">
        <v>4918</v>
      </c>
      <c r="B4919">
        <f>IFERROR(INDEX(Segmen!$A$3:$A$6000,MATCH(C4919,Segmen!$D$3:$D$6000,0)),"")</f>
        <v/>
      </c>
      <c r="C4919">
        <f>IFERROR(LARGE(Segmen!$D$3:$D$6000,A4919),"")</f>
        <v/>
      </c>
    </row>
    <row r="4920">
      <c r="A4920" t="n">
        <v>4919</v>
      </c>
      <c r="B4920">
        <f>IFERROR(INDEX(Segmen!$A$3:$A$6000,MATCH(C4920,Segmen!$D$3:$D$6000,0)),"")</f>
        <v/>
      </c>
      <c r="C4920">
        <f>IFERROR(LARGE(Segmen!$D$3:$D$6000,A4920),"")</f>
        <v/>
      </c>
    </row>
    <row r="4921">
      <c r="A4921" t="n">
        <v>4920</v>
      </c>
      <c r="B4921">
        <f>IFERROR(INDEX(Segmen!$A$3:$A$6000,MATCH(C4921,Segmen!$D$3:$D$6000,0)),"")</f>
        <v/>
      </c>
      <c r="C4921">
        <f>IFERROR(LARGE(Segmen!$D$3:$D$6000,A4921),"")</f>
        <v/>
      </c>
    </row>
    <row r="4922">
      <c r="A4922" t="n">
        <v>4921</v>
      </c>
      <c r="B4922">
        <f>IFERROR(INDEX(Segmen!$A$3:$A$6000,MATCH(C4922,Segmen!$D$3:$D$6000,0)),"")</f>
        <v/>
      </c>
      <c r="C4922">
        <f>IFERROR(LARGE(Segmen!$D$3:$D$6000,A4922),"")</f>
        <v/>
      </c>
    </row>
    <row r="4923">
      <c r="A4923" t="n">
        <v>4922</v>
      </c>
      <c r="B4923">
        <f>IFERROR(INDEX(Segmen!$A$3:$A$6000,MATCH(C4923,Segmen!$D$3:$D$6000,0)),"")</f>
        <v/>
      </c>
      <c r="C4923">
        <f>IFERROR(LARGE(Segmen!$D$3:$D$6000,A4923),"")</f>
        <v/>
      </c>
    </row>
    <row r="4924">
      <c r="A4924" t="n">
        <v>4923</v>
      </c>
      <c r="B4924">
        <f>IFERROR(INDEX(Segmen!$A$3:$A$6000,MATCH(C4924,Segmen!$D$3:$D$6000,0)),"")</f>
        <v/>
      </c>
      <c r="C4924">
        <f>IFERROR(LARGE(Segmen!$D$3:$D$6000,A4924),"")</f>
        <v/>
      </c>
    </row>
    <row r="4925">
      <c r="A4925" t="n">
        <v>4924</v>
      </c>
      <c r="B4925">
        <f>IFERROR(INDEX(Segmen!$A$3:$A$6000,MATCH(C4925,Segmen!$D$3:$D$6000,0)),"")</f>
        <v/>
      </c>
      <c r="C4925">
        <f>IFERROR(LARGE(Segmen!$D$3:$D$6000,A4925),"")</f>
        <v/>
      </c>
    </row>
    <row r="4926">
      <c r="A4926" t="n">
        <v>4925</v>
      </c>
      <c r="B4926">
        <f>IFERROR(INDEX(Segmen!$A$3:$A$6000,MATCH(C4926,Segmen!$D$3:$D$6000,0)),"")</f>
        <v/>
      </c>
      <c r="C4926">
        <f>IFERROR(LARGE(Segmen!$D$3:$D$6000,A4926),"")</f>
        <v/>
      </c>
    </row>
    <row r="4927">
      <c r="A4927" t="n">
        <v>4926</v>
      </c>
      <c r="B4927">
        <f>IFERROR(INDEX(Segmen!$A$3:$A$6000,MATCH(C4927,Segmen!$D$3:$D$6000,0)),"")</f>
        <v/>
      </c>
      <c r="C4927">
        <f>IFERROR(LARGE(Segmen!$D$3:$D$6000,A4927),"")</f>
        <v/>
      </c>
    </row>
    <row r="4928">
      <c r="A4928" t="n">
        <v>4927</v>
      </c>
      <c r="B4928">
        <f>IFERROR(INDEX(Segmen!$A$3:$A$6000,MATCH(C4928,Segmen!$D$3:$D$6000,0)),"")</f>
        <v/>
      </c>
      <c r="C4928">
        <f>IFERROR(LARGE(Segmen!$D$3:$D$6000,A4928),"")</f>
        <v/>
      </c>
    </row>
    <row r="4929">
      <c r="A4929" t="n">
        <v>4928</v>
      </c>
      <c r="B4929">
        <f>IFERROR(INDEX(Segmen!$A$3:$A$6000,MATCH(C4929,Segmen!$D$3:$D$6000,0)),"")</f>
        <v/>
      </c>
      <c r="C4929">
        <f>IFERROR(LARGE(Segmen!$D$3:$D$6000,A4929),"")</f>
        <v/>
      </c>
    </row>
    <row r="4930">
      <c r="A4930" t="n">
        <v>4929</v>
      </c>
      <c r="B4930">
        <f>IFERROR(INDEX(Segmen!$A$3:$A$6000,MATCH(C4930,Segmen!$D$3:$D$6000,0)),"")</f>
        <v/>
      </c>
      <c r="C4930">
        <f>IFERROR(LARGE(Segmen!$D$3:$D$6000,A4930),"")</f>
        <v/>
      </c>
    </row>
    <row r="4931">
      <c r="A4931" t="n">
        <v>4930</v>
      </c>
      <c r="B4931">
        <f>IFERROR(INDEX(Segmen!$A$3:$A$6000,MATCH(C4931,Segmen!$D$3:$D$6000,0)),"")</f>
        <v/>
      </c>
      <c r="C4931">
        <f>IFERROR(LARGE(Segmen!$D$3:$D$6000,A4931),"")</f>
        <v/>
      </c>
    </row>
    <row r="4932">
      <c r="A4932" t="n">
        <v>4931</v>
      </c>
      <c r="B4932">
        <f>IFERROR(INDEX(Segmen!$A$3:$A$6000,MATCH(C4932,Segmen!$D$3:$D$6000,0)),"")</f>
        <v/>
      </c>
      <c r="C4932">
        <f>IFERROR(LARGE(Segmen!$D$3:$D$6000,A4932),"")</f>
        <v/>
      </c>
    </row>
    <row r="4933">
      <c r="A4933" t="n">
        <v>4932</v>
      </c>
      <c r="B4933">
        <f>IFERROR(INDEX(Segmen!$A$3:$A$6000,MATCH(C4933,Segmen!$D$3:$D$6000,0)),"")</f>
        <v/>
      </c>
      <c r="C4933">
        <f>IFERROR(LARGE(Segmen!$D$3:$D$6000,A4933),"")</f>
        <v/>
      </c>
    </row>
    <row r="4934">
      <c r="A4934" t="n">
        <v>4933</v>
      </c>
      <c r="B4934">
        <f>IFERROR(INDEX(Segmen!$A$3:$A$6000,MATCH(C4934,Segmen!$D$3:$D$6000,0)),"")</f>
        <v/>
      </c>
      <c r="C4934">
        <f>IFERROR(LARGE(Segmen!$D$3:$D$6000,A4934),"")</f>
        <v/>
      </c>
    </row>
    <row r="4935">
      <c r="A4935" t="n">
        <v>4934</v>
      </c>
      <c r="B4935">
        <f>IFERROR(INDEX(Segmen!$A$3:$A$6000,MATCH(C4935,Segmen!$D$3:$D$6000,0)),"")</f>
        <v/>
      </c>
      <c r="C4935">
        <f>IFERROR(LARGE(Segmen!$D$3:$D$6000,A4935),"")</f>
        <v/>
      </c>
    </row>
    <row r="4936">
      <c r="A4936" t="n">
        <v>4935</v>
      </c>
      <c r="B4936">
        <f>IFERROR(INDEX(Segmen!$A$3:$A$6000,MATCH(C4936,Segmen!$D$3:$D$6000,0)),"")</f>
        <v/>
      </c>
      <c r="C4936">
        <f>IFERROR(LARGE(Segmen!$D$3:$D$6000,A4936),"")</f>
        <v/>
      </c>
    </row>
    <row r="4937">
      <c r="A4937" t="n">
        <v>4936</v>
      </c>
      <c r="B4937">
        <f>IFERROR(INDEX(Segmen!$A$3:$A$6000,MATCH(C4937,Segmen!$D$3:$D$6000,0)),"")</f>
        <v/>
      </c>
      <c r="C4937">
        <f>IFERROR(LARGE(Segmen!$D$3:$D$6000,A4937),"")</f>
        <v/>
      </c>
    </row>
    <row r="4938">
      <c r="A4938" t="n">
        <v>4937</v>
      </c>
      <c r="B4938">
        <f>IFERROR(INDEX(Segmen!$A$3:$A$6000,MATCH(C4938,Segmen!$D$3:$D$6000,0)),"")</f>
        <v/>
      </c>
      <c r="C4938">
        <f>IFERROR(LARGE(Segmen!$D$3:$D$6000,A4938),"")</f>
        <v/>
      </c>
    </row>
    <row r="4939">
      <c r="A4939" t="n">
        <v>4938</v>
      </c>
      <c r="B4939">
        <f>IFERROR(INDEX(Segmen!$A$3:$A$6000,MATCH(C4939,Segmen!$D$3:$D$6000,0)),"")</f>
        <v/>
      </c>
      <c r="C4939">
        <f>IFERROR(LARGE(Segmen!$D$3:$D$6000,A4939),"")</f>
        <v/>
      </c>
    </row>
    <row r="4940">
      <c r="A4940" t="n">
        <v>4939</v>
      </c>
      <c r="B4940">
        <f>IFERROR(INDEX(Segmen!$A$3:$A$6000,MATCH(C4940,Segmen!$D$3:$D$6000,0)),"")</f>
        <v/>
      </c>
      <c r="C4940">
        <f>IFERROR(LARGE(Segmen!$D$3:$D$6000,A4940),"")</f>
        <v/>
      </c>
    </row>
    <row r="4941">
      <c r="A4941" t="n">
        <v>4940</v>
      </c>
      <c r="B4941">
        <f>IFERROR(INDEX(Segmen!$A$3:$A$6000,MATCH(C4941,Segmen!$D$3:$D$6000,0)),"")</f>
        <v/>
      </c>
      <c r="C4941">
        <f>IFERROR(LARGE(Segmen!$D$3:$D$6000,A4941),"")</f>
        <v/>
      </c>
    </row>
    <row r="4942">
      <c r="A4942" t="n">
        <v>4941</v>
      </c>
      <c r="B4942">
        <f>IFERROR(INDEX(Segmen!$A$3:$A$6000,MATCH(C4942,Segmen!$D$3:$D$6000,0)),"")</f>
        <v/>
      </c>
      <c r="C4942">
        <f>IFERROR(LARGE(Segmen!$D$3:$D$6000,A4942),"")</f>
        <v/>
      </c>
    </row>
    <row r="4943">
      <c r="A4943" t="n">
        <v>4942</v>
      </c>
      <c r="B4943">
        <f>IFERROR(INDEX(Segmen!$A$3:$A$6000,MATCH(C4943,Segmen!$D$3:$D$6000,0)),"")</f>
        <v/>
      </c>
      <c r="C4943">
        <f>IFERROR(LARGE(Segmen!$D$3:$D$6000,A4943),"")</f>
        <v/>
      </c>
    </row>
    <row r="4944">
      <c r="A4944" t="n">
        <v>4943</v>
      </c>
      <c r="B4944">
        <f>IFERROR(INDEX(Segmen!$A$3:$A$6000,MATCH(C4944,Segmen!$D$3:$D$6000,0)),"")</f>
        <v/>
      </c>
      <c r="C4944">
        <f>IFERROR(LARGE(Segmen!$D$3:$D$6000,A4944),"")</f>
        <v/>
      </c>
    </row>
    <row r="4945">
      <c r="A4945" t="n">
        <v>4944</v>
      </c>
      <c r="B4945">
        <f>IFERROR(INDEX(Segmen!$A$3:$A$6000,MATCH(C4945,Segmen!$D$3:$D$6000,0)),"")</f>
        <v/>
      </c>
      <c r="C4945">
        <f>IFERROR(LARGE(Segmen!$D$3:$D$6000,A4945),"")</f>
        <v/>
      </c>
    </row>
    <row r="4946">
      <c r="A4946" t="n">
        <v>4945</v>
      </c>
      <c r="B4946">
        <f>IFERROR(INDEX(Segmen!$A$3:$A$6000,MATCH(C4946,Segmen!$D$3:$D$6000,0)),"")</f>
        <v/>
      </c>
      <c r="C4946">
        <f>IFERROR(LARGE(Segmen!$D$3:$D$6000,A4946),"")</f>
        <v/>
      </c>
    </row>
    <row r="4947">
      <c r="A4947" t="n">
        <v>4946</v>
      </c>
      <c r="B4947">
        <f>IFERROR(INDEX(Segmen!$A$3:$A$6000,MATCH(C4947,Segmen!$D$3:$D$6000,0)),"")</f>
        <v/>
      </c>
      <c r="C4947">
        <f>IFERROR(LARGE(Segmen!$D$3:$D$6000,A4947),"")</f>
        <v/>
      </c>
    </row>
    <row r="4948">
      <c r="A4948" t="n">
        <v>4947</v>
      </c>
      <c r="B4948">
        <f>IFERROR(INDEX(Segmen!$A$3:$A$6000,MATCH(C4948,Segmen!$D$3:$D$6000,0)),"")</f>
        <v/>
      </c>
      <c r="C4948">
        <f>IFERROR(LARGE(Segmen!$D$3:$D$6000,A4948),"")</f>
        <v/>
      </c>
    </row>
    <row r="4949">
      <c r="A4949" t="n">
        <v>4948</v>
      </c>
      <c r="B4949">
        <f>IFERROR(INDEX(Segmen!$A$3:$A$6000,MATCH(C4949,Segmen!$D$3:$D$6000,0)),"")</f>
        <v/>
      </c>
      <c r="C4949">
        <f>IFERROR(LARGE(Segmen!$D$3:$D$6000,A4949),"")</f>
        <v/>
      </c>
    </row>
    <row r="4950">
      <c r="A4950" t="n">
        <v>4949</v>
      </c>
      <c r="B4950">
        <f>IFERROR(INDEX(Segmen!$A$3:$A$6000,MATCH(C4950,Segmen!$D$3:$D$6000,0)),"")</f>
        <v/>
      </c>
      <c r="C4950">
        <f>IFERROR(LARGE(Segmen!$D$3:$D$6000,A4950),"")</f>
        <v/>
      </c>
    </row>
    <row r="4951">
      <c r="A4951" t="n">
        <v>4950</v>
      </c>
      <c r="B4951">
        <f>IFERROR(INDEX(Segmen!$A$3:$A$6000,MATCH(C4951,Segmen!$D$3:$D$6000,0)),"")</f>
        <v/>
      </c>
      <c r="C4951">
        <f>IFERROR(LARGE(Segmen!$D$3:$D$6000,A4951),"")</f>
        <v/>
      </c>
    </row>
    <row r="4952">
      <c r="A4952" t="n">
        <v>4951</v>
      </c>
      <c r="B4952">
        <f>IFERROR(INDEX(Segmen!$A$3:$A$6000,MATCH(C4952,Segmen!$D$3:$D$6000,0)),"")</f>
        <v/>
      </c>
      <c r="C4952">
        <f>IFERROR(LARGE(Segmen!$D$3:$D$6000,A4952),"")</f>
        <v/>
      </c>
    </row>
    <row r="4953">
      <c r="A4953" t="n">
        <v>4952</v>
      </c>
      <c r="B4953">
        <f>IFERROR(INDEX(Segmen!$A$3:$A$6000,MATCH(C4953,Segmen!$D$3:$D$6000,0)),"")</f>
        <v/>
      </c>
      <c r="C4953">
        <f>IFERROR(LARGE(Segmen!$D$3:$D$6000,A4953),"")</f>
        <v/>
      </c>
    </row>
    <row r="4954">
      <c r="A4954" t="n">
        <v>4953</v>
      </c>
      <c r="B4954">
        <f>IFERROR(INDEX(Segmen!$A$3:$A$6000,MATCH(C4954,Segmen!$D$3:$D$6000,0)),"")</f>
        <v/>
      </c>
      <c r="C4954">
        <f>IFERROR(LARGE(Segmen!$D$3:$D$6000,A4954),"")</f>
        <v/>
      </c>
    </row>
    <row r="4955">
      <c r="A4955" t="n">
        <v>4954</v>
      </c>
      <c r="B4955">
        <f>IFERROR(INDEX(Segmen!$A$3:$A$6000,MATCH(C4955,Segmen!$D$3:$D$6000,0)),"")</f>
        <v/>
      </c>
      <c r="C4955">
        <f>IFERROR(LARGE(Segmen!$D$3:$D$6000,A4955),"")</f>
        <v/>
      </c>
    </row>
    <row r="4956">
      <c r="A4956" t="n">
        <v>4955</v>
      </c>
      <c r="B4956">
        <f>IFERROR(INDEX(Segmen!$A$3:$A$6000,MATCH(C4956,Segmen!$D$3:$D$6000,0)),"")</f>
        <v/>
      </c>
      <c r="C4956">
        <f>IFERROR(LARGE(Segmen!$D$3:$D$6000,A4956),"")</f>
        <v/>
      </c>
    </row>
    <row r="4957">
      <c r="A4957" t="n">
        <v>4956</v>
      </c>
      <c r="B4957">
        <f>IFERROR(INDEX(Segmen!$A$3:$A$6000,MATCH(C4957,Segmen!$D$3:$D$6000,0)),"")</f>
        <v/>
      </c>
      <c r="C4957">
        <f>IFERROR(LARGE(Segmen!$D$3:$D$6000,A4957),"")</f>
        <v/>
      </c>
    </row>
    <row r="4958">
      <c r="A4958" t="n">
        <v>4957</v>
      </c>
      <c r="B4958">
        <f>IFERROR(INDEX(Segmen!$A$3:$A$6000,MATCH(C4958,Segmen!$D$3:$D$6000,0)),"")</f>
        <v/>
      </c>
      <c r="C4958">
        <f>IFERROR(LARGE(Segmen!$D$3:$D$6000,A4958),"")</f>
        <v/>
      </c>
    </row>
    <row r="4959">
      <c r="A4959" t="n">
        <v>4958</v>
      </c>
      <c r="B4959">
        <f>IFERROR(INDEX(Segmen!$A$3:$A$6000,MATCH(C4959,Segmen!$D$3:$D$6000,0)),"")</f>
        <v/>
      </c>
      <c r="C4959">
        <f>IFERROR(LARGE(Segmen!$D$3:$D$6000,A4959),"")</f>
        <v/>
      </c>
    </row>
    <row r="4960">
      <c r="A4960" t="n">
        <v>4959</v>
      </c>
      <c r="B4960">
        <f>IFERROR(INDEX(Segmen!$A$3:$A$6000,MATCH(C4960,Segmen!$D$3:$D$6000,0)),"")</f>
        <v/>
      </c>
      <c r="C4960">
        <f>IFERROR(LARGE(Segmen!$D$3:$D$6000,A4960),"")</f>
        <v/>
      </c>
    </row>
    <row r="4961">
      <c r="A4961" t="n">
        <v>4960</v>
      </c>
      <c r="B4961">
        <f>IFERROR(INDEX(Segmen!$A$3:$A$6000,MATCH(C4961,Segmen!$D$3:$D$6000,0)),"")</f>
        <v/>
      </c>
      <c r="C4961">
        <f>IFERROR(LARGE(Segmen!$D$3:$D$6000,A4961),"")</f>
        <v/>
      </c>
    </row>
    <row r="4962">
      <c r="A4962" t="n">
        <v>4961</v>
      </c>
      <c r="B4962">
        <f>IFERROR(INDEX(Segmen!$A$3:$A$6000,MATCH(C4962,Segmen!$D$3:$D$6000,0)),"")</f>
        <v/>
      </c>
      <c r="C4962">
        <f>IFERROR(LARGE(Segmen!$D$3:$D$6000,A4962),"")</f>
        <v/>
      </c>
    </row>
    <row r="4963">
      <c r="A4963" t="n">
        <v>4962</v>
      </c>
      <c r="B4963">
        <f>IFERROR(INDEX(Segmen!$A$3:$A$6000,MATCH(C4963,Segmen!$D$3:$D$6000,0)),"")</f>
        <v/>
      </c>
      <c r="C4963">
        <f>IFERROR(LARGE(Segmen!$D$3:$D$6000,A4963),"")</f>
        <v/>
      </c>
    </row>
    <row r="4964">
      <c r="A4964" t="n">
        <v>4963</v>
      </c>
      <c r="B4964">
        <f>IFERROR(INDEX(Segmen!$A$3:$A$6000,MATCH(C4964,Segmen!$D$3:$D$6000,0)),"")</f>
        <v/>
      </c>
      <c r="C4964">
        <f>IFERROR(LARGE(Segmen!$D$3:$D$6000,A4964),"")</f>
        <v/>
      </c>
    </row>
    <row r="4965">
      <c r="A4965" t="n">
        <v>4964</v>
      </c>
      <c r="B4965">
        <f>IFERROR(INDEX(Segmen!$A$3:$A$6000,MATCH(C4965,Segmen!$D$3:$D$6000,0)),"")</f>
        <v/>
      </c>
      <c r="C4965">
        <f>IFERROR(LARGE(Segmen!$D$3:$D$6000,A4965),"")</f>
        <v/>
      </c>
    </row>
    <row r="4966">
      <c r="A4966" t="n">
        <v>4965</v>
      </c>
      <c r="B4966">
        <f>IFERROR(INDEX(Segmen!$A$3:$A$6000,MATCH(C4966,Segmen!$D$3:$D$6000,0)),"")</f>
        <v/>
      </c>
      <c r="C4966">
        <f>IFERROR(LARGE(Segmen!$D$3:$D$6000,A4966),"")</f>
        <v/>
      </c>
    </row>
    <row r="4967">
      <c r="A4967" t="n">
        <v>4966</v>
      </c>
      <c r="B4967">
        <f>IFERROR(INDEX(Segmen!$A$3:$A$6000,MATCH(C4967,Segmen!$D$3:$D$6000,0)),"")</f>
        <v/>
      </c>
      <c r="C4967">
        <f>IFERROR(LARGE(Segmen!$D$3:$D$6000,A4967),"")</f>
        <v/>
      </c>
    </row>
    <row r="4968">
      <c r="A4968" t="n">
        <v>4967</v>
      </c>
      <c r="B4968">
        <f>IFERROR(INDEX(Segmen!$A$3:$A$6000,MATCH(C4968,Segmen!$D$3:$D$6000,0)),"")</f>
        <v/>
      </c>
      <c r="C4968">
        <f>IFERROR(LARGE(Segmen!$D$3:$D$6000,A4968),"")</f>
        <v/>
      </c>
    </row>
    <row r="4969">
      <c r="A4969" t="n">
        <v>4968</v>
      </c>
      <c r="B4969">
        <f>IFERROR(INDEX(Segmen!$A$3:$A$6000,MATCH(C4969,Segmen!$D$3:$D$6000,0)),"")</f>
        <v/>
      </c>
      <c r="C4969">
        <f>IFERROR(LARGE(Segmen!$D$3:$D$6000,A4969),"")</f>
        <v/>
      </c>
    </row>
    <row r="4970">
      <c r="A4970" t="n">
        <v>4969</v>
      </c>
      <c r="B4970">
        <f>IFERROR(INDEX(Segmen!$A$3:$A$6000,MATCH(C4970,Segmen!$D$3:$D$6000,0)),"")</f>
        <v/>
      </c>
      <c r="C4970">
        <f>IFERROR(LARGE(Segmen!$D$3:$D$6000,A4970),"")</f>
        <v/>
      </c>
    </row>
    <row r="4971">
      <c r="A4971" t="n">
        <v>4970</v>
      </c>
      <c r="B4971">
        <f>IFERROR(INDEX(Segmen!$A$3:$A$6000,MATCH(C4971,Segmen!$D$3:$D$6000,0)),"")</f>
        <v/>
      </c>
      <c r="C4971">
        <f>IFERROR(LARGE(Segmen!$D$3:$D$6000,A4971),"")</f>
        <v/>
      </c>
    </row>
    <row r="4972">
      <c r="A4972" t="n">
        <v>4971</v>
      </c>
      <c r="B4972">
        <f>IFERROR(INDEX(Segmen!$A$3:$A$6000,MATCH(C4972,Segmen!$D$3:$D$6000,0)),"")</f>
        <v/>
      </c>
      <c r="C4972">
        <f>IFERROR(LARGE(Segmen!$D$3:$D$6000,A4972),"")</f>
        <v/>
      </c>
    </row>
    <row r="4973">
      <c r="A4973" t="n">
        <v>4972</v>
      </c>
      <c r="B4973">
        <f>IFERROR(INDEX(Segmen!$A$3:$A$6000,MATCH(C4973,Segmen!$D$3:$D$6000,0)),"")</f>
        <v/>
      </c>
      <c r="C4973">
        <f>IFERROR(LARGE(Segmen!$D$3:$D$6000,A4973),"")</f>
        <v/>
      </c>
    </row>
    <row r="4974">
      <c r="A4974" t="n">
        <v>4973</v>
      </c>
      <c r="B4974">
        <f>IFERROR(INDEX(Segmen!$A$3:$A$6000,MATCH(C4974,Segmen!$D$3:$D$6000,0)),"")</f>
        <v/>
      </c>
      <c r="C4974">
        <f>IFERROR(LARGE(Segmen!$D$3:$D$6000,A4974),"")</f>
        <v/>
      </c>
    </row>
    <row r="4975">
      <c r="A4975" t="n">
        <v>4974</v>
      </c>
      <c r="B4975">
        <f>IFERROR(INDEX(Segmen!$A$3:$A$6000,MATCH(C4975,Segmen!$D$3:$D$6000,0)),"")</f>
        <v/>
      </c>
      <c r="C4975">
        <f>IFERROR(LARGE(Segmen!$D$3:$D$6000,A4975),"")</f>
        <v/>
      </c>
    </row>
    <row r="4976">
      <c r="A4976" t="n">
        <v>4975</v>
      </c>
      <c r="B4976">
        <f>IFERROR(INDEX(Segmen!$A$3:$A$6000,MATCH(C4976,Segmen!$D$3:$D$6000,0)),"")</f>
        <v/>
      </c>
      <c r="C4976">
        <f>IFERROR(LARGE(Segmen!$D$3:$D$6000,A4976),"")</f>
        <v/>
      </c>
    </row>
    <row r="4977">
      <c r="A4977" t="n">
        <v>4976</v>
      </c>
      <c r="B4977">
        <f>IFERROR(INDEX(Segmen!$A$3:$A$6000,MATCH(C4977,Segmen!$D$3:$D$6000,0)),"")</f>
        <v/>
      </c>
      <c r="C4977">
        <f>IFERROR(LARGE(Segmen!$D$3:$D$6000,A4977),"")</f>
        <v/>
      </c>
    </row>
    <row r="4978">
      <c r="A4978" t="n">
        <v>4977</v>
      </c>
      <c r="B4978">
        <f>IFERROR(INDEX(Segmen!$A$3:$A$6000,MATCH(C4978,Segmen!$D$3:$D$6000,0)),"")</f>
        <v/>
      </c>
      <c r="C4978">
        <f>IFERROR(LARGE(Segmen!$D$3:$D$6000,A4978),"")</f>
        <v/>
      </c>
    </row>
    <row r="4979">
      <c r="A4979" t="n">
        <v>4978</v>
      </c>
      <c r="B4979">
        <f>IFERROR(INDEX(Segmen!$A$3:$A$6000,MATCH(C4979,Segmen!$D$3:$D$6000,0)),"")</f>
        <v/>
      </c>
      <c r="C4979">
        <f>IFERROR(LARGE(Segmen!$D$3:$D$6000,A4979),"")</f>
        <v/>
      </c>
    </row>
    <row r="4980">
      <c r="A4980" t="n">
        <v>4979</v>
      </c>
      <c r="B4980">
        <f>IFERROR(INDEX(Segmen!$A$3:$A$6000,MATCH(C4980,Segmen!$D$3:$D$6000,0)),"")</f>
        <v/>
      </c>
      <c r="C4980">
        <f>IFERROR(LARGE(Segmen!$D$3:$D$6000,A4980),"")</f>
        <v/>
      </c>
    </row>
    <row r="4981">
      <c r="A4981" t="n">
        <v>4980</v>
      </c>
      <c r="B4981">
        <f>IFERROR(INDEX(Segmen!$A$3:$A$6000,MATCH(C4981,Segmen!$D$3:$D$6000,0)),"")</f>
        <v/>
      </c>
      <c r="C4981">
        <f>IFERROR(LARGE(Segmen!$D$3:$D$6000,A4981),"")</f>
        <v/>
      </c>
    </row>
    <row r="4982">
      <c r="A4982" t="n">
        <v>4981</v>
      </c>
      <c r="B4982">
        <f>IFERROR(INDEX(Segmen!$A$3:$A$6000,MATCH(C4982,Segmen!$D$3:$D$6000,0)),"")</f>
        <v/>
      </c>
      <c r="C4982">
        <f>IFERROR(LARGE(Segmen!$D$3:$D$6000,A4982),"")</f>
        <v/>
      </c>
    </row>
    <row r="4983">
      <c r="A4983" t="n">
        <v>4982</v>
      </c>
      <c r="B4983">
        <f>IFERROR(INDEX(Segmen!$A$3:$A$6000,MATCH(C4983,Segmen!$D$3:$D$6000,0)),"")</f>
        <v/>
      </c>
      <c r="C4983">
        <f>IFERROR(LARGE(Segmen!$D$3:$D$6000,A4983),"")</f>
        <v/>
      </c>
    </row>
    <row r="4984">
      <c r="A4984" t="n">
        <v>4983</v>
      </c>
      <c r="B4984">
        <f>IFERROR(INDEX(Segmen!$A$3:$A$6000,MATCH(C4984,Segmen!$D$3:$D$6000,0)),"")</f>
        <v/>
      </c>
      <c r="C4984">
        <f>IFERROR(LARGE(Segmen!$D$3:$D$6000,A4984),"")</f>
        <v/>
      </c>
    </row>
    <row r="4985">
      <c r="A4985" t="n">
        <v>4984</v>
      </c>
      <c r="B4985">
        <f>IFERROR(INDEX(Segmen!$A$3:$A$6000,MATCH(C4985,Segmen!$D$3:$D$6000,0)),"")</f>
        <v/>
      </c>
      <c r="C4985">
        <f>IFERROR(LARGE(Segmen!$D$3:$D$6000,A4985),"")</f>
        <v/>
      </c>
    </row>
    <row r="4986">
      <c r="A4986" t="n">
        <v>4985</v>
      </c>
      <c r="B4986">
        <f>IFERROR(INDEX(Segmen!$A$3:$A$6000,MATCH(C4986,Segmen!$D$3:$D$6000,0)),"")</f>
        <v/>
      </c>
      <c r="C4986">
        <f>IFERROR(LARGE(Segmen!$D$3:$D$6000,A4986),"")</f>
        <v/>
      </c>
    </row>
    <row r="4987">
      <c r="A4987" t="n">
        <v>4986</v>
      </c>
      <c r="B4987">
        <f>IFERROR(INDEX(Segmen!$A$3:$A$6000,MATCH(C4987,Segmen!$D$3:$D$6000,0)),"")</f>
        <v/>
      </c>
      <c r="C4987">
        <f>IFERROR(LARGE(Segmen!$D$3:$D$6000,A4987),"")</f>
        <v/>
      </c>
    </row>
    <row r="4988">
      <c r="A4988" t="n">
        <v>4987</v>
      </c>
      <c r="B4988">
        <f>IFERROR(INDEX(Segmen!$A$3:$A$6000,MATCH(C4988,Segmen!$D$3:$D$6000,0)),"")</f>
        <v/>
      </c>
      <c r="C4988">
        <f>IFERROR(LARGE(Segmen!$D$3:$D$6000,A4988),"")</f>
        <v/>
      </c>
    </row>
    <row r="4989">
      <c r="A4989" t="n">
        <v>4988</v>
      </c>
      <c r="B4989">
        <f>IFERROR(INDEX(Segmen!$A$3:$A$6000,MATCH(C4989,Segmen!$D$3:$D$6000,0)),"")</f>
        <v/>
      </c>
      <c r="C4989">
        <f>IFERROR(LARGE(Segmen!$D$3:$D$6000,A4989),"")</f>
        <v/>
      </c>
    </row>
    <row r="4990">
      <c r="A4990" t="n">
        <v>4989</v>
      </c>
      <c r="B4990">
        <f>IFERROR(INDEX(Segmen!$A$3:$A$6000,MATCH(C4990,Segmen!$D$3:$D$6000,0)),"")</f>
        <v/>
      </c>
      <c r="C4990">
        <f>IFERROR(LARGE(Segmen!$D$3:$D$6000,A4990),"")</f>
        <v/>
      </c>
    </row>
    <row r="4991">
      <c r="A4991" t="n">
        <v>4990</v>
      </c>
      <c r="B4991">
        <f>IFERROR(INDEX(Segmen!$A$3:$A$6000,MATCH(C4991,Segmen!$D$3:$D$6000,0)),"")</f>
        <v/>
      </c>
      <c r="C4991">
        <f>IFERROR(LARGE(Segmen!$D$3:$D$6000,A4991),"")</f>
        <v/>
      </c>
    </row>
    <row r="4992">
      <c r="A4992" t="n">
        <v>4991</v>
      </c>
      <c r="B4992">
        <f>IFERROR(INDEX(Segmen!$A$3:$A$6000,MATCH(C4992,Segmen!$D$3:$D$6000,0)),"")</f>
        <v/>
      </c>
      <c r="C4992">
        <f>IFERROR(LARGE(Segmen!$D$3:$D$6000,A4992),"")</f>
        <v/>
      </c>
    </row>
    <row r="4993">
      <c r="A4993" t="n">
        <v>4992</v>
      </c>
      <c r="B4993">
        <f>IFERROR(INDEX(Segmen!$A$3:$A$6000,MATCH(C4993,Segmen!$D$3:$D$6000,0)),"")</f>
        <v/>
      </c>
      <c r="C4993">
        <f>IFERROR(LARGE(Segmen!$D$3:$D$6000,A4993),"")</f>
        <v/>
      </c>
    </row>
    <row r="4994">
      <c r="A4994" t="n">
        <v>4993</v>
      </c>
      <c r="B4994">
        <f>IFERROR(INDEX(Segmen!$A$3:$A$6000,MATCH(C4994,Segmen!$D$3:$D$6000,0)),"")</f>
        <v/>
      </c>
      <c r="C4994">
        <f>IFERROR(LARGE(Segmen!$D$3:$D$6000,A4994),"")</f>
        <v/>
      </c>
    </row>
    <row r="4995">
      <c r="A4995" t="n">
        <v>4994</v>
      </c>
      <c r="B4995">
        <f>IFERROR(INDEX(Segmen!$A$3:$A$6000,MATCH(C4995,Segmen!$D$3:$D$6000,0)),"")</f>
        <v/>
      </c>
      <c r="C4995">
        <f>IFERROR(LARGE(Segmen!$D$3:$D$6000,A4995),"")</f>
        <v/>
      </c>
    </row>
    <row r="4996">
      <c r="A4996" t="n">
        <v>4995</v>
      </c>
      <c r="B4996">
        <f>IFERROR(INDEX(Segmen!$A$3:$A$6000,MATCH(C4996,Segmen!$D$3:$D$6000,0)),"")</f>
        <v/>
      </c>
      <c r="C4996">
        <f>IFERROR(LARGE(Segmen!$D$3:$D$6000,A4996),"")</f>
        <v/>
      </c>
    </row>
    <row r="4997">
      <c r="A4997" t="n">
        <v>4996</v>
      </c>
      <c r="B4997">
        <f>IFERROR(INDEX(Segmen!$A$3:$A$6000,MATCH(C4997,Segmen!$D$3:$D$6000,0)),"")</f>
        <v/>
      </c>
      <c r="C4997">
        <f>IFERROR(LARGE(Segmen!$D$3:$D$6000,A4997),"")</f>
        <v/>
      </c>
    </row>
    <row r="4998">
      <c r="A4998" t="n">
        <v>4997</v>
      </c>
      <c r="B4998">
        <f>IFERROR(INDEX(Segmen!$A$3:$A$6000,MATCH(C4998,Segmen!$D$3:$D$6000,0)),"")</f>
        <v/>
      </c>
      <c r="C4998">
        <f>IFERROR(LARGE(Segmen!$D$3:$D$6000,A4998),"")</f>
        <v/>
      </c>
    </row>
    <row r="4999">
      <c r="A4999" t="n">
        <v>4998</v>
      </c>
      <c r="B4999">
        <f>IFERROR(INDEX(Segmen!$A$3:$A$6000,MATCH(C4999,Segmen!$D$3:$D$6000,0)),"")</f>
        <v/>
      </c>
      <c r="C4999">
        <f>IFERROR(LARGE(Segmen!$D$3:$D$6000,A4999),"")</f>
        <v/>
      </c>
    </row>
    <row r="5000">
      <c r="A5000" t="n">
        <v>4999</v>
      </c>
      <c r="B5000">
        <f>IFERROR(INDEX(Segmen!$A$3:$A$6000,MATCH(C5000,Segmen!$D$3:$D$6000,0)),"")</f>
        <v/>
      </c>
      <c r="C5000">
        <f>IFERROR(LARGE(Segmen!$D$3:$D$6000,A5000),"")</f>
        <v/>
      </c>
    </row>
    <row r="5001">
      <c r="A5001" t="n">
        <v>5000</v>
      </c>
      <c r="B5001">
        <f>IFERROR(INDEX(Segmen!$A$3:$A$6000,MATCH(C5001,Segmen!$D$3:$D$6000,0)),"")</f>
        <v/>
      </c>
      <c r="C5001">
        <f>IFERROR(LARGE(Segmen!$D$3:$D$6000,A5001),"")</f>
        <v/>
      </c>
    </row>
    <row r="5002">
      <c r="A5002" t="n">
        <v>5001</v>
      </c>
      <c r="B5002">
        <f>IFERROR(INDEX(Segmen!$A$3:$A$6000,MATCH(C5002,Segmen!$D$3:$D$6000,0)),"")</f>
        <v/>
      </c>
      <c r="C5002">
        <f>IFERROR(LARGE(Segmen!$D$3:$D$6000,A5002),"")</f>
        <v/>
      </c>
    </row>
    <row r="5003">
      <c r="A5003" t="n">
        <v>5002</v>
      </c>
      <c r="B5003">
        <f>IFERROR(INDEX(Segmen!$A$3:$A$6000,MATCH(C5003,Segmen!$D$3:$D$6000,0)),"")</f>
        <v/>
      </c>
      <c r="C5003">
        <f>IFERROR(LARGE(Segmen!$D$3:$D$6000,A5003),"")</f>
        <v/>
      </c>
    </row>
    <row r="5004">
      <c r="A5004" t="n">
        <v>5003</v>
      </c>
      <c r="B5004">
        <f>IFERROR(INDEX(Segmen!$A$3:$A$6000,MATCH(C5004,Segmen!$D$3:$D$6000,0)),"")</f>
        <v/>
      </c>
      <c r="C5004">
        <f>IFERROR(LARGE(Segmen!$D$3:$D$6000,A5004),"")</f>
        <v/>
      </c>
    </row>
    <row r="5005">
      <c r="A5005" t="n">
        <v>5004</v>
      </c>
      <c r="B5005">
        <f>IFERROR(INDEX(Segmen!$A$3:$A$6000,MATCH(C5005,Segmen!$D$3:$D$6000,0)),"")</f>
        <v/>
      </c>
      <c r="C5005">
        <f>IFERROR(LARGE(Segmen!$D$3:$D$6000,A5005),"")</f>
        <v/>
      </c>
    </row>
    <row r="5006">
      <c r="A5006" t="n">
        <v>5005</v>
      </c>
      <c r="B5006">
        <f>IFERROR(INDEX(Segmen!$A$3:$A$6000,MATCH(C5006,Segmen!$D$3:$D$6000,0)),"")</f>
        <v/>
      </c>
      <c r="C5006">
        <f>IFERROR(LARGE(Segmen!$D$3:$D$6000,A5006),"")</f>
        <v/>
      </c>
    </row>
    <row r="5007">
      <c r="A5007" t="n">
        <v>5006</v>
      </c>
      <c r="B5007">
        <f>IFERROR(INDEX(Segmen!$A$3:$A$6000,MATCH(C5007,Segmen!$D$3:$D$6000,0)),"")</f>
        <v/>
      </c>
      <c r="C5007">
        <f>IFERROR(LARGE(Segmen!$D$3:$D$6000,A5007),"")</f>
        <v/>
      </c>
    </row>
    <row r="5008">
      <c r="A5008" t="n">
        <v>5007</v>
      </c>
      <c r="B5008">
        <f>IFERROR(INDEX(Segmen!$A$3:$A$6000,MATCH(C5008,Segmen!$D$3:$D$6000,0)),"")</f>
        <v/>
      </c>
      <c r="C5008">
        <f>IFERROR(LARGE(Segmen!$D$3:$D$6000,A5008),"")</f>
        <v/>
      </c>
    </row>
    <row r="5009">
      <c r="A5009" t="n">
        <v>5008</v>
      </c>
      <c r="B5009">
        <f>IFERROR(INDEX(Segmen!$A$3:$A$6000,MATCH(C5009,Segmen!$D$3:$D$6000,0)),"")</f>
        <v/>
      </c>
      <c r="C5009">
        <f>IFERROR(LARGE(Segmen!$D$3:$D$6000,A5009),"")</f>
        <v/>
      </c>
    </row>
    <row r="5010">
      <c r="A5010" t="n">
        <v>5009</v>
      </c>
      <c r="B5010">
        <f>IFERROR(INDEX(Segmen!$A$3:$A$6000,MATCH(C5010,Segmen!$D$3:$D$6000,0)),"")</f>
        <v/>
      </c>
      <c r="C5010">
        <f>IFERROR(LARGE(Segmen!$D$3:$D$6000,A5010),"")</f>
        <v/>
      </c>
    </row>
    <row r="5011">
      <c r="A5011" t="n">
        <v>5010</v>
      </c>
      <c r="B5011">
        <f>IFERROR(INDEX(Segmen!$A$3:$A$6000,MATCH(C5011,Segmen!$D$3:$D$6000,0)),"")</f>
        <v/>
      </c>
      <c r="C5011">
        <f>IFERROR(LARGE(Segmen!$D$3:$D$6000,A5011),"")</f>
        <v/>
      </c>
    </row>
    <row r="5012">
      <c r="A5012" t="n">
        <v>5011</v>
      </c>
      <c r="B5012">
        <f>IFERROR(INDEX(Segmen!$A$3:$A$6000,MATCH(C5012,Segmen!$D$3:$D$6000,0)),"")</f>
        <v/>
      </c>
      <c r="C5012">
        <f>IFERROR(LARGE(Segmen!$D$3:$D$6000,A5012),"")</f>
        <v/>
      </c>
    </row>
    <row r="5013">
      <c r="A5013" t="n">
        <v>5012</v>
      </c>
      <c r="B5013">
        <f>IFERROR(INDEX(Segmen!$A$3:$A$6000,MATCH(C5013,Segmen!$D$3:$D$6000,0)),"")</f>
        <v/>
      </c>
      <c r="C5013">
        <f>IFERROR(LARGE(Segmen!$D$3:$D$6000,A5013),"")</f>
        <v/>
      </c>
    </row>
    <row r="5014">
      <c r="A5014" t="n">
        <v>5013</v>
      </c>
      <c r="B5014">
        <f>IFERROR(INDEX(Segmen!$A$3:$A$6000,MATCH(C5014,Segmen!$D$3:$D$6000,0)),"")</f>
        <v/>
      </c>
      <c r="C5014">
        <f>IFERROR(LARGE(Segmen!$D$3:$D$6000,A5014),"")</f>
        <v/>
      </c>
    </row>
    <row r="5015">
      <c r="A5015" t="n">
        <v>5014</v>
      </c>
      <c r="B5015">
        <f>IFERROR(INDEX(Segmen!$A$3:$A$6000,MATCH(C5015,Segmen!$D$3:$D$6000,0)),"")</f>
        <v/>
      </c>
      <c r="C5015">
        <f>IFERROR(LARGE(Segmen!$D$3:$D$6000,A5015),"")</f>
        <v/>
      </c>
    </row>
    <row r="5016">
      <c r="A5016" t="n">
        <v>5015</v>
      </c>
      <c r="B5016">
        <f>IFERROR(INDEX(Segmen!$A$3:$A$6000,MATCH(C5016,Segmen!$D$3:$D$6000,0)),"")</f>
        <v/>
      </c>
      <c r="C5016">
        <f>IFERROR(LARGE(Segmen!$D$3:$D$6000,A5016),"")</f>
        <v/>
      </c>
    </row>
    <row r="5017">
      <c r="A5017" t="n">
        <v>5016</v>
      </c>
      <c r="B5017">
        <f>IFERROR(INDEX(Segmen!$A$3:$A$6000,MATCH(C5017,Segmen!$D$3:$D$6000,0)),"")</f>
        <v/>
      </c>
      <c r="C5017">
        <f>IFERROR(LARGE(Segmen!$D$3:$D$6000,A5017),"")</f>
        <v/>
      </c>
    </row>
    <row r="5018">
      <c r="A5018" t="n">
        <v>5017</v>
      </c>
      <c r="B5018">
        <f>IFERROR(INDEX(Segmen!$A$3:$A$6000,MATCH(C5018,Segmen!$D$3:$D$6000,0)),"")</f>
        <v/>
      </c>
      <c r="C5018">
        <f>IFERROR(LARGE(Segmen!$D$3:$D$6000,A5018),"")</f>
        <v/>
      </c>
    </row>
    <row r="5019">
      <c r="A5019" t="n">
        <v>5018</v>
      </c>
      <c r="B5019">
        <f>IFERROR(INDEX(Segmen!$A$3:$A$6000,MATCH(C5019,Segmen!$D$3:$D$6000,0)),"")</f>
        <v/>
      </c>
      <c r="C5019">
        <f>IFERROR(LARGE(Segmen!$D$3:$D$6000,A5019),"")</f>
        <v/>
      </c>
    </row>
    <row r="5020">
      <c r="A5020" t="n">
        <v>5019</v>
      </c>
      <c r="B5020">
        <f>IFERROR(INDEX(Segmen!$A$3:$A$6000,MATCH(C5020,Segmen!$D$3:$D$6000,0)),"")</f>
        <v/>
      </c>
      <c r="C5020">
        <f>IFERROR(LARGE(Segmen!$D$3:$D$6000,A5020),"")</f>
        <v/>
      </c>
    </row>
    <row r="5021">
      <c r="A5021" t="n">
        <v>5020</v>
      </c>
      <c r="B5021">
        <f>IFERROR(INDEX(Segmen!$A$3:$A$6000,MATCH(C5021,Segmen!$D$3:$D$6000,0)),"")</f>
        <v/>
      </c>
      <c r="C5021">
        <f>IFERROR(LARGE(Segmen!$D$3:$D$6000,A5021),"")</f>
        <v/>
      </c>
    </row>
    <row r="5022">
      <c r="A5022" t="n">
        <v>5021</v>
      </c>
      <c r="B5022">
        <f>IFERROR(INDEX(Segmen!$A$3:$A$6000,MATCH(C5022,Segmen!$D$3:$D$6000,0)),"")</f>
        <v/>
      </c>
      <c r="C5022">
        <f>IFERROR(LARGE(Segmen!$D$3:$D$6000,A5022),"")</f>
        <v/>
      </c>
    </row>
    <row r="5023">
      <c r="A5023" t="n">
        <v>5022</v>
      </c>
      <c r="B5023">
        <f>IFERROR(INDEX(Segmen!$A$3:$A$6000,MATCH(C5023,Segmen!$D$3:$D$6000,0)),"")</f>
        <v/>
      </c>
      <c r="C5023">
        <f>IFERROR(LARGE(Segmen!$D$3:$D$6000,A5023),"")</f>
        <v/>
      </c>
    </row>
    <row r="5024">
      <c r="A5024" t="n">
        <v>5023</v>
      </c>
      <c r="B5024">
        <f>IFERROR(INDEX(Segmen!$A$3:$A$6000,MATCH(C5024,Segmen!$D$3:$D$6000,0)),"")</f>
        <v/>
      </c>
      <c r="C5024">
        <f>IFERROR(LARGE(Segmen!$D$3:$D$6000,A5024),"")</f>
        <v/>
      </c>
    </row>
    <row r="5025">
      <c r="A5025" t="n">
        <v>5024</v>
      </c>
      <c r="B5025">
        <f>IFERROR(INDEX(Segmen!$A$3:$A$6000,MATCH(C5025,Segmen!$D$3:$D$6000,0)),"")</f>
        <v/>
      </c>
      <c r="C5025">
        <f>IFERROR(LARGE(Segmen!$D$3:$D$6000,A5025),"")</f>
        <v/>
      </c>
    </row>
    <row r="5026">
      <c r="A5026" t="n">
        <v>5025</v>
      </c>
      <c r="B5026">
        <f>IFERROR(INDEX(Segmen!$A$3:$A$6000,MATCH(C5026,Segmen!$D$3:$D$6000,0)),"")</f>
        <v/>
      </c>
      <c r="C5026">
        <f>IFERROR(LARGE(Segmen!$D$3:$D$6000,A5026),"")</f>
        <v/>
      </c>
    </row>
    <row r="5027">
      <c r="A5027" t="n">
        <v>5026</v>
      </c>
      <c r="B5027">
        <f>IFERROR(INDEX(Segmen!$A$3:$A$6000,MATCH(C5027,Segmen!$D$3:$D$6000,0)),"")</f>
        <v/>
      </c>
      <c r="C5027">
        <f>IFERROR(LARGE(Segmen!$D$3:$D$6000,A5027),"")</f>
        <v/>
      </c>
    </row>
    <row r="5028">
      <c r="A5028" t="n">
        <v>5027</v>
      </c>
      <c r="B5028">
        <f>IFERROR(INDEX(Segmen!$A$3:$A$6000,MATCH(C5028,Segmen!$D$3:$D$6000,0)),"")</f>
        <v/>
      </c>
      <c r="C5028">
        <f>IFERROR(LARGE(Segmen!$D$3:$D$6000,A5028),"")</f>
        <v/>
      </c>
    </row>
    <row r="5029">
      <c r="A5029" t="n">
        <v>5028</v>
      </c>
      <c r="B5029">
        <f>IFERROR(INDEX(Segmen!$A$3:$A$6000,MATCH(C5029,Segmen!$D$3:$D$6000,0)),"")</f>
        <v/>
      </c>
      <c r="C5029">
        <f>IFERROR(LARGE(Segmen!$D$3:$D$6000,A5029),"")</f>
        <v/>
      </c>
    </row>
    <row r="5030">
      <c r="A5030" t="n">
        <v>5029</v>
      </c>
      <c r="B5030">
        <f>IFERROR(INDEX(Segmen!$A$3:$A$6000,MATCH(C5030,Segmen!$D$3:$D$6000,0)),"")</f>
        <v/>
      </c>
      <c r="C5030">
        <f>IFERROR(LARGE(Segmen!$D$3:$D$6000,A5030),"")</f>
        <v/>
      </c>
    </row>
    <row r="5031">
      <c r="A5031" t="n">
        <v>5030</v>
      </c>
      <c r="B5031">
        <f>IFERROR(INDEX(Segmen!$A$3:$A$6000,MATCH(C5031,Segmen!$D$3:$D$6000,0)),"")</f>
        <v/>
      </c>
      <c r="C5031">
        <f>IFERROR(LARGE(Segmen!$D$3:$D$6000,A5031),"")</f>
        <v/>
      </c>
    </row>
    <row r="5032">
      <c r="A5032" t="n">
        <v>5031</v>
      </c>
      <c r="B5032">
        <f>IFERROR(INDEX(Segmen!$A$3:$A$6000,MATCH(C5032,Segmen!$D$3:$D$6000,0)),"")</f>
        <v/>
      </c>
      <c r="C5032">
        <f>IFERROR(LARGE(Segmen!$D$3:$D$6000,A5032),"")</f>
        <v/>
      </c>
    </row>
    <row r="5033">
      <c r="A5033" t="n">
        <v>5032</v>
      </c>
      <c r="B5033">
        <f>IFERROR(INDEX(Segmen!$A$3:$A$6000,MATCH(C5033,Segmen!$D$3:$D$6000,0)),"")</f>
        <v/>
      </c>
      <c r="C5033">
        <f>IFERROR(LARGE(Segmen!$D$3:$D$6000,A5033),"")</f>
        <v/>
      </c>
    </row>
    <row r="5034">
      <c r="A5034" t="n">
        <v>5033</v>
      </c>
      <c r="B5034">
        <f>IFERROR(INDEX(Segmen!$A$3:$A$6000,MATCH(C5034,Segmen!$D$3:$D$6000,0)),"")</f>
        <v/>
      </c>
      <c r="C5034">
        <f>IFERROR(LARGE(Segmen!$D$3:$D$6000,A5034),"")</f>
        <v/>
      </c>
    </row>
    <row r="5035">
      <c r="A5035" t="n">
        <v>5034</v>
      </c>
      <c r="B5035">
        <f>IFERROR(INDEX(Segmen!$A$3:$A$6000,MATCH(C5035,Segmen!$D$3:$D$6000,0)),"")</f>
        <v/>
      </c>
      <c r="C5035">
        <f>IFERROR(LARGE(Segmen!$D$3:$D$6000,A5035),"")</f>
        <v/>
      </c>
    </row>
    <row r="5036">
      <c r="A5036" t="n">
        <v>5035</v>
      </c>
      <c r="B5036">
        <f>IFERROR(INDEX(Segmen!$A$3:$A$6000,MATCH(C5036,Segmen!$D$3:$D$6000,0)),"")</f>
        <v/>
      </c>
      <c r="C5036">
        <f>IFERROR(LARGE(Segmen!$D$3:$D$6000,A5036),"")</f>
        <v/>
      </c>
    </row>
    <row r="5037">
      <c r="A5037" t="n">
        <v>5036</v>
      </c>
      <c r="B5037">
        <f>IFERROR(INDEX(Segmen!$A$3:$A$6000,MATCH(C5037,Segmen!$D$3:$D$6000,0)),"")</f>
        <v/>
      </c>
      <c r="C5037">
        <f>IFERROR(LARGE(Segmen!$D$3:$D$6000,A5037),"")</f>
        <v/>
      </c>
    </row>
    <row r="5038">
      <c r="A5038" t="n">
        <v>5037</v>
      </c>
      <c r="B5038">
        <f>IFERROR(INDEX(Segmen!$A$3:$A$6000,MATCH(C5038,Segmen!$D$3:$D$6000,0)),"")</f>
        <v/>
      </c>
      <c r="C5038">
        <f>IFERROR(LARGE(Segmen!$D$3:$D$6000,A5038),"")</f>
        <v/>
      </c>
    </row>
    <row r="5039">
      <c r="A5039" t="n">
        <v>5038</v>
      </c>
      <c r="B5039">
        <f>IFERROR(INDEX(Segmen!$A$3:$A$6000,MATCH(C5039,Segmen!$D$3:$D$6000,0)),"")</f>
        <v/>
      </c>
      <c r="C5039">
        <f>IFERROR(LARGE(Segmen!$D$3:$D$6000,A5039),"")</f>
        <v/>
      </c>
    </row>
    <row r="5040">
      <c r="A5040" t="n">
        <v>5039</v>
      </c>
      <c r="B5040">
        <f>IFERROR(INDEX(Segmen!$A$3:$A$6000,MATCH(C5040,Segmen!$D$3:$D$6000,0)),"")</f>
        <v/>
      </c>
      <c r="C5040">
        <f>IFERROR(LARGE(Segmen!$D$3:$D$6000,A5040),"")</f>
        <v/>
      </c>
    </row>
    <row r="5041">
      <c r="A5041" t="n">
        <v>5040</v>
      </c>
      <c r="B5041">
        <f>IFERROR(INDEX(Segmen!$A$3:$A$6000,MATCH(C5041,Segmen!$D$3:$D$6000,0)),"")</f>
        <v/>
      </c>
      <c r="C5041">
        <f>IFERROR(LARGE(Segmen!$D$3:$D$6000,A5041),"")</f>
        <v/>
      </c>
    </row>
    <row r="5042">
      <c r="A5042" t="n">
        <v>5041</v>
      </c>
      <c r="B5042">
        <f>IFERROR(INDEX(Segmen!$A$3:$A$6000,MATCH(C5042,Segmen!$D$3:$D$6000,0)),"")</f>
        <v/>
      </c>
      <c r="C5042">
        <f>IFERROR(LARGE(Segmen!$D$3:$D$6000,A5042),"")</f>
        <v/>
      </c>
    </row>
    <row r="5043">
      <c r="A5043" t="n">
        <v>5042</v>
      </c>
      <c r="B5043">
        <f>IFERROR(INDEX(Segmen!$A$3:$A$6000,MATCH(C5043,Segmen!$D$3:$D$6000,0)),"")</f>
        <v/>
      </c>
      <c r="C5043">
        <f>IFERROR(LARGE(Segmen!$D$3:$D$6000,A5043),"")</f>
        <v/>
      </c>
    </row>
    <row r="5044">
      <c r="A5044" t="n">
        <v>5043</v>
      </c>
      <c r="B5044">
        <f>IFERROR(INDEX(Segmen!$A$3:$A$6000,MATCH(C5044,Segmen!$D$3:$D$6000,0)),"")</f>
        <v/>
      </c>
      <c r="C5044">
        <f>IFERROR(LARGE(Segmen!$D$3:$D$6000,A5044),"")</f>
        <v/>
      </c>
    </row>
    <row r="5045">
      <c r="A5045" t="n">
        <v>5044</v>
      </c>
      <c r="B5045">
        <f>IFERROR(INDEX(Segmen!$A$3:$A$6000,MATCH(C5045,Segmen!$D$3:$D$6000,0)),"")</f>
        <v/>
      </c>
      <c r="C5045">
        <f>IFERROR(LARGE(Segmen!$D$3:$D$6000,A5045),"")</f>
        <v/>
      </c>
    </row>
    <row r="5046">
      <c r="A5046" t="n">
        <v>5045</v>
      </c>
      <c r="B5046">
        <f>IFERROR(INDEX(Segmen!$A$3:$A$6000,MATCH(C5046,Segmen!$D$3:$D$6000,0)),"")</f>
        <v/>
      </c>
      <c r="C5046">
        <f>IFERROR(LARGE(Segmen!$D$3:$D$6000,A5046),"")</f>
        <v/>
      </c>
    </row>
    <row r="5047">
      <c r="A5047" t="n">
        <v>5046</v>
      </c>
      <c r="B5047">
        <f>IFERROR(INDEX(Segmen!$A$3:$A$6000,MATCH(C5047,Segmen!$D$3:$D$6000,0)),"")</f>
        <v/>
      </c>
      <c r="C5047">
        <f>IFERROR(LARGE(Segmen!$D$3:$D$6000,A5047),"")</f>
        <v/>
      </c>
    </row>
    <row r="5048">
      <c r="A5048" t="n">
        <v>5047</v>
      </c>
      <c r="B5048">
        <f>IFERROR(INDEX(Segmen!$A$3:$A$6000,MATCH(C5048,Segmen!$D$3:$D$6000,0)),"")</f>
        <v/>
      </c>
      <c r="C5048">
        <f>IFERROR(LARGE(Segmen!$D$3:$D$6000,A5048),"")</f>
        <v/>
      </c>
    </row>
    <row r="5049">
      <c r="A5049" t="n">
        <v>5048</v>
      </c>
      <c r="B5049">
        <f>IFERROR(INDEX(Segmen!$A$3:$A$6000,MATCH(C5049,Segmen!$D$3:$D$6000,0)),"")</f>
        <v/>
      </c>
      <c r="C5049">
        <f>IFERROR(LARGE(Segmen!$D$3:$D$6000,A5049),"")</f>
        <v/>
      </c>
    </row>
    <row r="5050">
      <c r="A5050" t="n">
        <v>5049</v>
      </c>
      <c r="B5050">
        <f>IFERROR(INDEX(Segmen!$A$3:$A$6000,MATCH(C5050,Segmen!$D$3:$D$6000,0)),"")</f>
        <v/>
      </c>
      <c r="C5050">
        <f>IFERROR(LARGE(Segmen!$D$3:$D$6000,A5050),"")</f>
        <v/>
      </c>
    </row>
    <row r="5051">
      <c r="A5051" t="n">
        <v>5050</v>
      </c>
      <c r="B5051">
        <f>IFERROR(INDEX(Segmen!$A$3:$A$6000,MATCH(C5051,Segmen!$D$3:$D$6000,0)),"")</f>
        <v/>
      </c>
      <c r="C5051">
        <f>IFERROR(LARGE(Segmen!$D$3:$D$6000,A5051),"")</f>
        <v/>
      </c>
    </row>
    <row r="5052">
      <c r="A5052" t="n">
        <v>5051</v>
      </c>
      <c r="B5052">
        <f>IFERROR(INDEX(Segmen!$A$3:$A$6000,MATCH(C5052,Segmen!$D$3:$D$6000,0)),"")</f>
        <v/>
      </c>
      <c r="C5052">
        <f>IFERROR(LARGE(Segmen!$D$3:$D$6000,A5052),"")</f>
        <v/>
      </c>
    </row>
    <row r="5053">
      <c r="A5053" t="n">
        <v>5052</v>
      </c>
      <c r="B5053">
        <f>IFERROR(INDEX(Segmen!$A$3:$A$6000,MATCH(C5053,Segmen!$D$3:$D$6000,0)),"")</f>
        <v/>
      </c>
      <c r="C5053">
        <f>IFERROR(LARGE(Segmen!$D$3:$D$6000,A5053),"")</f>
        <v/>
      </c>
    </row>
    <row r="5054">
      <c r="A5054" t="n">
        <v>5053</v>
      </c>
      <c r="B5054">
        <f>IFERROR(INDEX(Segmen!$A$3:$A$6000,MATCH(C5054,Segmen!$D$3:$D$6000,0)),"")</f>
        <v/>
      </c>
      <c r="C5054">
        <f>IFERROR(LARGE(Segmen!$D$3:$D$6000,A5054),"")</f>
        <v/>
      </c>
    </row>
    <row r="5055">
      <c r="A5055" t="n">
        <v>5054</v>
      </c>
      <c r="B5055">
        <f>IFERROR(INDEX(Segmen!$A$3:$A$6000,MATCH(C5055,Segmen!$D$3:$D$6000,0)),"")</f>
        <v/>
      </c>
      <c r="C5055">
        <f>IFERROR(LARGE(Segmen!$D$3:$D$6000,A5055),"")</f>
        <v/>
      </c>
    </row>
    <row r="5056">
      <c r="A5056" t="n">
        <v>5055</v>
      </c>
      <c r="B5056">
        <f>IFERROR(INDEX(Segmen!$A$3:$A$6000,MATCH(C5056,Segmen!$D$3:$D$6000,0)),"")</f>
        <v/>
      </c>
      <c r="C5056">
        <f>IFERROR(LARGE(Segmen!$D$3:$D$6000,A5056),"")</f>
        <v/>
      </c>
    </row>
    <row r="5057">
      <c r="A5057" t="n">
        <v>5056</v>
      </c>
      <c r="B5057">
        <f>IFERROR(INDEX(Segmen!$A$3:$A$6000,MATCH(C5057,Segmen!$D$3:$D$6000,0)),"")</f>
        <v/>
      </c>
      <c r="C5057">
        <f>IFERROR(LARGE(Segmen!$D$3:$D$6000,A5057),"")</f>
        <v/>
      </c>
    </row>
    <row r="5058">
      <c r="A5058" t="n">
        <v>5057</v>
      </c>
      <c r="B5058">
        <f>IFERROR(INDEX(Segmen!$A$3:$A$6000,MATCH(C5058,Segmen!$D$3:$D$6000,0)),"")</f>
        <v/>
      </c>
      <c r="C5058">
        <f>IFERROR(LARGE(Segmen!$D$3:$D$6000,A5058),"")</f>
        <v/>
      </c>
    </row>
    <row r="5059">
      <c r="A5059" t="n">
        <v>5058</v>
      </c>
      <c r="B5059">
        <f>IFERROR(INDEX(Segmen!$A$3:$A$6000,MATCH(C5059,Segmen!$D$3:$D$6000,0)),"")</f>
        <v/>
      </c>
      <c r="C5059">
        <f>IFERROR(LARGE(Segmen!$D$3:$D$6000,A5059),"")</f>
        <v/>
      </c>
    </row>
    <row r="5060">
      <c r="A5060" t="n">
        <v>5059</v>
      </c>
      <c r="B5060">
        <f>IFERROR(INDEX(Segmen!$A$3:$A$6000,MATCH(C5060,Segmen!$D$3:$D$6000,0)),"")</f>
        <v/>
      </c>
      <c r="C5060">
        <f>IFERROR(LARGE(Segmen!$D$3:$D$6000,A5060),"")</f>
        <v/>
      </c>
    </row>
    <row r="5061">
      <c r="A5061" t="n">
        <v>5060</v>
      </c>
      <c r="B5061">
        <f>IFERROR(INDEX(Segmen!$A$3:$A$6000,MATCH(C5061,Segmen!$D$3:$D$6000,0)),"")</f>
        <v/>
      </c>
      <c r="C5061">
        <f>IFERROR(LARGE(Segmen!$D$3:$D$6000,A5061),"")</f>
        <v/>
      </c>
    </row>
    <row r="5062">
      <c r="A5062" t="n">
        <v>5061</v>
      </c>
      <c r="B5062">
        <f>IFERROR(INDEX(Segmen!$A$3:$A$6000,MATCH(C5062,Segmen!$D$3:$D$6000,0)),"")</f>
        <v/>
      </c>
      <c r="C5062">
        <f>IFERROR(LARGE(Segmen!$D$3:$D$6000,A5062),"")</f>
        <v/>
      </c>
    </row>
    <row r="5063">
      <c r="A5063" t="n">
        <v>5062</v>
      </c>
      <c r="B5063">
        <f>IFERROR(INDEX(Segmen!$A$3:$A$6000,MATCH(C5063,Segmen!$D$3:$D$6000,0)),"")</f>
        <v/>
      </c>
      <c r="C5063">
        <f>IFERROR(LARGE(Segmen!$D$3:$D$6000,A5063),"")</f>
        <v/>
      </c>
    </row>
    <row r="5064">
      <c r="A5064" t="n">
        <v>5063</v>
      </c>
      <c r="B5064">
        <f>IFERROR(INDEX(Segmen!$A$3:$A$6000,MATCH(C5064,Segmen!$D$3:$D$6000,0)),"")</f>
        <v/>
      </c>
      <c r="C5064">
        <f>IFERROR(LARGE(Segmen!$D$3:$D$6000,A5064),"")</f>
        <v/>
      </c>
    </row>
    <row r="5065">
      <c r="A5065" t="n">
        <v>5064</v>
      </c>
      <c r="B5065">
        <f>IFERROR(INDEX(Segmen!$A$3:$A$6000,MATCH(C5065,Segmen!$D$3:$D$6000,0)),"")</f>
        <v/>
      </c>
      <c r="C5065">
        <f>IFERROR(LARGE(Segmen!$D$3:$D$6000,A5065),"")</f>
        <v/>
      </c>
    </row>
    <row r="5066">
      <c r="A5066" t="n">
        <v>5065</v>
      </c>
      <c r="B5066">
        <f>IFERROR(INDEX(Segmen!$A$3:$A$6000,MATCH(C5066,Segmen!$D$3:$D$6000,0)),"")</f>
        <v/>
      </c>
      <c r="C5066">
        <f>IFERROR(LARGE(Segmen!$D$3:$D$6000,A5066),"")</f>
        <v/>
      </c>
    </row>
    <row r="5067">
      <c r="A5067" t="n">
        <v>5066</v>
      </c>
      <c r="B5067">
        <f>IFERROR(INDEX(Segmen!$A$3:$A$6000,MATCH(C5067,Segmen!$D$3:$D$6000,0)),"")</f>
        <v/>
      </c>
      <c r="C5067">
        <f>IFERROR(LARGE(Segmen!$D$3:$D$6000,A5067),"")</f>
        <v/>
      </c>
    </row>
    <row r="5068">
      <c r="A5068" t="n">
        <v>5067</v>
      </c>
      <c r="B5068">
        <f>IFERROR(INDEX(Segmen!$A$3:$A$6000,MATCH(C5068,Segmen!$D$3:$D$6000,0)),"")</f>
        <v/>
      </c>
      <c r="C5068">
        <f>IFERROR(LARGE(Segmen!$D$3:$D$6000,A5068),"")</f>
        <v/>
      </c>
    </row>
    <row r="5069">
      <c r="A5069" t="n">
        <v>5068</v>
      </c>
      <c r="B5069">
        <f>IFERROR(INDEX(Segmen!$A$3:$A$6000,MATCH(C5069,Segmen!$D$3:$D$6000,0)),"")</f>
        <v/>
      </c>
      <c r="C5069">
        <f>IFERROR(LARGE(Segmen!$D$3:$D$6000,A5069),"")</f>
        <v/>
      </c>
    </row>
    <row r="5070">
      <c r="A5070" t="n">
        <v>5069</v>
      </c>
      <c r="B5070">
        <f>IFERROR(INDEX(Segmen!$A$3:$A$6000,MATCH(C5070,Segmen!$D$3:$D$6000,0)),"")</f>
        <v/>
      </c>
      <c r="C5070">
        <f>IFERROR(LARGE(Segmen!$D$3:$D$6000,A5070),"")</f>
        <v/>
      </c>
    </row>
    <row r="5071">
      <c r="A5071" t="n">
        <v>5070</v>
      </c>
      <c r="B5071">
        <f>IFERROR(INDEX(Segmen!$A$3:$A$6000,MATCH(C5071,Segmen!$D$3:$D$6000,0)),"")</f>
        <v/>
      </c>
      <c r="C5071">
        <f>IFERROR(LARGE(Segmen!$D$3:$D$6000,A5071),"")</f>
        <v/>
      </c>
    </row>
    <row r="5072">
      <c r="A5072" t="n">
        <v>5071</v>
      </c>
      <c r="B5072">
        <f>IFERROR(INDEX(Segmen!$A$3:$A$6000,MATCH(C5072,Segmen!$D$3:$D$6000,0)),"")</f>
        <v/>
      </c>
      <c r="C5072">
        <f>IFERROR(LARGE(Segmen!$D$3:$D$6000,A5072),"")</f>
        <v/>
      </c>
    </row>
    <row r="5073">
      <c r="A5073" t="n">
        <v>5072</v>
      </c>
      <c r="B5073">
        <f>IFERROR(INDEX(Segmen!$A$3:$A$6000,MATCH(C5073,Segmen!$D$3:$D$6000,0)),"")</f>
        <v/>
      </c>
      <c r="C5073">
        <f>IFERROR(LARGE(Segmen!$D$3:$D$6000,A5073),"")</f>
        <v/>
      </c>
    </row>
    <row r="5074">
      <c r="A5074" t="n">
        <v>5073</v>
      </c>
      <c r="B5074">
        <f>IFERROR(INDEX(Segmen!$A$3:$A$6000,MATCH(C5074,Segmen!$D$3:$D$6000,0)),"")</f>
        <v/>
      </c>
      <c r="C5074">
        <f>IFERROR(LARGE(Segmen!$D$3:$D$6000,A5074),"")</f>
        <v/>
      </c>
    </row>
    <row r="5075">
      <c r="A5075" t="n">
        <v>5074</v>
      </c>
      <c r="B5075">
        <f>IFERROR(INDEX(Segmen!$A$3:$A$6000,MATCH(C5075,Segmen!$D$3:$D$6000,0)),"")</f>
        <v/>
      </c>
      <c r="C5075">
        <f>IFERROR(LARGE(Segmen!$D$3:$D$6000,A5075),"")</f>
        <v/>
      </c>
    </row>
    <row r="5076">
      <c r="A5076" t="n">
        <v>5075</v>
      </c>
      <c r="B5076">
        <f>IFERROR(INDEX(Segmen!$A$3:$A$6000,MATCH(C5076,Segmen!$D$3:$D$6000,0)),"")</f>
        <v/>
      </c>
      <c r="C5076">
        <f>IFERROR(LARGE(Segmen!$D$3:$D$6000,A5076),"")</f>
        <v/>
      </c>
    </row>
    <row r="5077">
      <c r="A5077" t="n">
        <v>5076</v>
      </c>
      <c r="B5077">
        <f>IFERROR(INDEX(Segmen!$A$3:$A$6000,MATCH(C5077,Segmen!$D$3:$D$6000,0)),"")</f>
        <v/>
      </c>
      <c r="C5077">
        <f>IFERROR(LARGE(Segmen!$D$3:$D$6000,A5077),"")</f>
        <v/>
      </c>
    </row>
    <row r="5078">
      <c r="A5078" t="n">
        <v>5077</v>
      </c>
      <c r="B5078">
        <f>IFERROR(INDEX(Segmen!$A$3:$A$6000,MATCH(C5078,Segmen!$D$3:$D$6000,0)),"")</f>
        <v/>
      </c>
      <c r="C5078">
        <f>IFERROR(LARGE(Segmen!$D$3:$D$6000,A5078),"")</f>
        <v/>
      </c>
    </row>
    <row r="5079">
      <c r="A5079" t="n">
        <v>5078</v>
      </c>
      <c r="B5079">
        <f>IFERROR(INDEX(Segmen!$A$3:$A$6000,MATCH(C5079,Segmen!$D$3:$D$6000,0)),"")</f>
        <v/>
      </c>
      <c r="C5079">
        <f>IFERROR(LARGE(Segmen!$D$3:$D$6000,A5079),"")</f>
        <v/>
      </c>
    </row>
    <row r="5080">
      <c r="A5080" t="n">
        <v>5079</v>
      </c>
      <c r="B5080">
        <f>IFERROR(INDEX(Segmen!$A$3:$A$6000,MATCH(C5080,Segmen!$D$3:$D$6000,0)),"")</f>
        <v/>
      </c>
      <c r="C5080">
        <f>IFERROR(LARGE(Segmen!$D$3:$D$6000,A5080),"")</f>
        <v/>
      </c>
    </row>
    <row r="5081">
      <c r="A5081" t="n">
        <v>5080</v>
      </c>
      <c r="B5081">
        <f>IFERROR(INDEX(Segmen!$A$3:$A$6000,MATCH(C5081,Segmen!$D$3:$D$6000,0)),"")</f>
        <v/>
      </c>
      <c r="C5081">
        <f>IFERROR(LARGE(Segmen!$D$3:$D$6000,A5081),"")</f>
        <v/>
      </c>
    </row>
    <row r="5082">
      <c r="A5082" t="n">
        <v>5081</v>
      </c>
      <c r="B5082">
        <f>IFERROR(INDEX(Segmen!$A$3:$A$6000,MATCH(C5082,Segmen!$D$3:$D$6000,0)),"")</f>
        <v/>
      </c>
      <c r="C5082">
        <f>IFERROR(LARGE(Segmen!$D$3:$D$6000,A5082),"")</f>
        <v/>
      </c>
    </row>
    <row r="5083">
      <c r="A5083" t="n">
        <v>5082</v>
      </c>
      <c r="B5083">
        <f>IFERROR(INDEX(Segmen!$A$3:$A$6000,MATCH(C5083,Segmen!$D$3:$D$6000,0)),"")</f>
        <v/>
      </c>
      <c r="C5083">
        <f>IFERROR(LARGE(Segmen!$D$3:$D$6000,A5083),"")</f>
        <v/>
      </c>
    </row>
    <row r="5084">
      <c r="A5084" t="n">
        <v>5083</v>
      </c>
      <c r="B5084">
        <f>IFERROR(INDEX(Segmen!$A$3:$A$6000,MATCH(C5084,Segmen!$D$3:$D$6000,0)),"")</f>
        <v/>
      </c>
      <c r="C5084">
        <f>IFERROR(LARGE(Segmen!$D$3:$D$6000,A5084),"")</f>
        <v/>
      </c>
    </row>
    <row r="5085">
      <c r="A5085" t="n">
        <v>5084</v>
      </c>
      <c r="B5085">
        <f>IFERROR(INDEX(Segmen!$A$3:$A$6000,MATCH(C5085,Segmen!$D$3:$D$6000,0)),"")</f>
        <v/>
      </c>
      <c r="C5085">
        <f>IFERROR(LARGE(Segmen!$D$3:$D$6000,A5085),"")</f>
        <v/>
      </c>
    </row>
    <row r="5086">
      <c r="A5086" t="n">
        <v>5085</v>
      </c>
      <c r="B5086">
        <f>IFERROR(INDEX(Segmen!$A$3:$A$6000,MATCH(C5086,Segmen!$D$3:$D$6000,0)),"")</f>
        <v/>
      </c>
      <c r="C5086">
        <f>IFERROR(LARGE(Segmen!$D$3:$D$6000,A5086),"")</f>
        <v/>
      </c>
    </row>
    <row r="5087">
      <c r="A5087" t="n">
        <v>5086</v>
      </c>
      <c r="B5087">
        <f>IFERROR(INDEX(Segmen!$A$3:$A$6000,MATCH(C5087,Segmen!$D$3:$D$6000,0)),"")</f>
        <v/>
      </c>
      <c r="C5087">
        <f>IFERROR(LARGE(Segmen!$D$3:$D$6000,A5087),"")</f>
        <v/>
      </c>
    </row>
    <row r="5088">
      <c r="A5088" t="n">
        <v>5087</v>
      </c>
      <c r="B5088">
        <f>IFERROR(INDEX(Segmen!$A$3:$A$6000,MATCH(C5088,Segmen!$D$3:$D$6000,0)),"")</f>
        <v/>
      </c>
      <c r="C5088">
        <f>IFERROR(LARGE(Segmen!$D$3:$D$6000,A5088),"")</f>
        <v/>
      </c>
    </row>
    <row r="5089">
      <c r="A5089" t="n">
        <v>5088</v>
      </c>
      <c r="B5089">
        <f>IFERROR(INDEX(Segmen!$A$3:$A$6000,MATCH(C5089,Segmen!$D$3:$D$6000,0)),"")</f>
        <v/>
      </c>
      <c r="C5089">
        <f>IFERROR(LARGE(Segmen!$D$3:$D$6000,A5089),"")</f>
        <v/>
      </c>
    </row>
    <row r="5090">
      <c r="A5090" t="n">
        <v>5089</v>
      </c>
      <c r="B5090">
        <f>IFERROR(INDEX(Segmen!$A$3:$A$6000,MATCH(C5090,Segmen!$D$3:$D$6000,0)),"")</f>
        <v/>
      </c>
      <c r="C5090">
        <f>IFERROR(LARGE(Segmen!$D$3:$D$6000,A5090),"")</f>
        <v/>
      </c>
    </row>
    <row r="5091">
      <c r="A5091" t="n">
        <v>5090</v>
      </c>
      <c r="B5091">
        <f>IFERROR(INDEX(Segmen!$A$3:$A$6000,MATCH(C5091,Segmen!$D$3:$D$6000,0)),"")</f>
        <v/>
      </c>
      <c r="C5091">
        <f>IFERROR(LARGE(Segmen!$D$3:$D$6000,A5091),"")</f>
        <v/>
      </c>
    </row>
    <row r="5092">
      <c r="A5092" t="n">
        <v>5091</v>
      </c>
      <c r="B5092">
        <f>IFERROR(INDEX(Segmen!$A$3:$A$6000,MATCH(C5092,Segmen!$D$3:$D$6000,0)),"")</f>
        <v/>
      </c>
      <c r="C5092">
        <f>IFERROR(LARGE(Segmen!$D$3:$D$6000,A5092),"")</f>
        <v/>
      </c>
    </row>
    <row r="5093">
      <c r="A5093" t="n">
        <v>5092</v>
      </c>
      <c r="B5093">
        <f>IFERROR(INDEX(Segmen!$A$3:$A$6000,MATCH(C5093,Segmen!$D$3:$D$6000,0)),"")</f>
        <v/>
      </c>
      <c r="C5093">
        <f>IFERROR(LARGE(Segmen!$D$3:$D$6000,A5093),"")</f>
        <v/>
      </c>
    </row>
    <row r="5094">
      <c r="A5094" t="n">
        <v>5093</v>
      </c>
      <c r="B5094">
        <f>IFERROR(INDEX(Segmen!$A$3:$A$6000,MATCH(C5094,Segmen!$D$3:$D$6000,0)),"")</f>
        <v/>
      </c>
      <c r="C5094">
        <f>IFERROR(LARGE(Segmen!$D$3:$D$6000,A5094),"")</f>
        <v/>
      </c>
    </row>
    <row r="5095">
      <c r="A5095" t="n">
        <v>5094</v>
      </c>
      <c r="B5095">
        <f>IFERROR(INDEX(Segmen!$A$3:$A$6000,MATCH(C5095,Segmen!$D$3:$D$6000,0)),"")</f>
        <v/>
      </c>
      <c r="C5095">
        <f>IFERROR(LARGE(Segmen!$D$3:$D$6000,A5095),"")</f>
        <v/>
      </c>
    </row>
    <row r="5096">
      <c r="A5096" t="n">
        <v>5095</v>
      </c>
      <c r="B5096">
        <f>IFERROR(INDEX(Segmen!$A$3:$A$6000,MATCH(C5096,Segmen!$D$3:$D$6000,0)),"")</f>
        <v/>
      </c>
      <c r="C5096">
        <f>IFERROR(LARGE(Segmen!$D$3:$D$6000,A5096),"")</f>
        <v/>
      </c>
    </row>
    <row r="5097">
      <c r="A5097" t="n">
        <v>5096</v>
      </c>
      <c r="B5097">
        <f>IFERROR(INDEX(Segmen!$A$3:$A$6000,MATCH(C5097,Segmen!$D$3:$D$6000,0)),"")</f>
        <v/>
      </c>
      <c r="C5097">
        <f>IFERROR(LARGE(Segmen!$D$3:$D$6000,A5097),"")</f>
        <v/>
      </c>
    </row>
    <row r="5098">
      <c r="A5098" t="n">
        <v>5097</v>
      </c>
      <c r="B5098">
        <f>IFERROR(INDEX(Segmen!$A$3:$A$6000,MATCH(C5098,Segmen!$D$3:$D$6000,0)),"")</f>
        <v/>
      </c>
      <c r="C5098">
        <f>IFERROR(LARGE(Segmen!$D$3:$D$6000,A5098),"")</f>
        <v/>
      </c>
    </row>
    <row r="5099">
      <c r="A5099" t="n">
        <v>5098</v>
      </c>
      <c r="B5099">
        <f>IFERROR(INDEX(Segmen!$A$3:$A$6000,MATCH(C5099,Segmen!$D$3:$D$6000,0)),"")</f>
        <v/>
      </c>
      <c r="C5099">
        <f>IFERROR(LARGE(Segmen!$D$3:$D$6000,A5099),"")</f>
        <v/>
      </c>
    </row>
    <row r="5100">
      <c r="A5100" t="n">
        <v>5099</v>
      </c>
      <c r="B5100">
        <f>IFERROR(INDEX(Segmen!$A$3:$A$6000,MATCH(C5100,Segmen!$D$3:$D$6000,0)),"")</f>
        <v/>
      </c>
      <c r="C5100">
        <f>IFERROR(LARGE(Segmen!$D$3:$D$6000,A5100),"")</f>
        <v/>
      </c>
    </row>
    <row r="5101">
      <c r="A5101" t="n">
        <v>5100</v>
      </c>
      <c r="B5101">
        <f>IFERROR(INDEX(Segmen!$A$3:$A$6000,MATCH(C5101,Segmen!$D$3:$D$6000,0)),"")</f>
        <v/>
      </c>
      <c r="C5101">
        <f>IFERROR(LARGE(Segmen!$D$3:$D$6000,A5101),"")</f>
        <v/>
      </c>
    </row>
    <row r="5102">
      <c r="A5102" t="n">
        <v>5101</v>
      </c>
      <c r="B5102">
        <f>IFERROR(INDEX(Segmen!$A$3:$A$6000,MATCH(C5102,Segmen!$D$3:$D$6000,0)),"")</f>
        <v/>
      </c>
      <c r="C5102">
        <f>IFERROR(LARGE(Segmen!$D$3:$D$6000,A5102),"")</f>
        <v/>
      </c>
    </row>
    <row r="5103">
      <c r="A5103" t="n">
        <v>5102</v>
      </c>
      <c r="B5103">
        <f>IFERROR(INDEX(Segmen!$A$3:$A$6000,MATCH(C5103,Segmen!$D$3:$D$6000,0)),"")</f>
        <v/>
      </c>
      <c r="C5103">
        <f>IFERROR(LARGE(Segmen!$D$3:$D$6000,A5103),"")</f>
        <v/>
      </c>
    </row>
    <row r="5104">
      <c r="A5104" t="n">
        <v>5103</v>
      </c>
      <c r="B5104">
        <f>IFERROR(INDEX(Segmen!$A$3:$A$6000,MATCH(C5104,Segmen!$D$3:$D$6000,0)),"")</f>
        <v/>
      </c>
      <c r="C5104">
        <f>IFERROR(LARGE(Segmen!$D$3:$D$6000,A5104),"")</f>
        <v/>
      </c>
    </row>
    <row r="5105">
      <c r="A5105" t="n">
        <v>5104</v>
      </c>
      <c r="B5105">
        <f>IFERROR(INDEX(Segmen!$A$3:$A$6000,MATCH(C5105,Segmen!$D$3:$D$6000,0)),"")</f>
        <v/>
      </c>
      <c r="C5105">
        <f>IFERROR(LARGE(Segmen!$D$3:$D$6000,A5105),"")</f>
        <v/>
      </c>
    </row>
    <row r="5106">
      <c r="A5106" t="n">
        <v>5105</v>
      </c>
      <c r="B5106">
        <f>IFERROR(INDEX(Segmen!$A$3:$A$6000,MATCH(C5106,Segmen!$D$3:$D$6000,0)),"")</f>
        <v/>
      </c>
      <c r="C5106">
        <f>IFERROR(LARGE(Segmen!$D$3:$D$6000,A5106),"")</f>
        <v/>
      </c>
    </row>
    <row r="5107">
      <c r="A5107" t="n">
        <v>5106</v>
      </c>
      <c r="B5107">
        <f>IFERROR(INDEX(Segmen!$A$3:$A$6000,MATCH(C5107,Segmen!$D$3:$D$6000,0)),"")</f>
        <v/>
      </c>
      <c r="C5107">
        <f>IFERROR(LARGE(Segmen!$D$3:$D$6000,A5107),"")</f>
        <v/>
      </c>
    </row>
    <row r="5108">
      <c r="A5108" t="n">
        <v>5107</v>
      </c>
      <c r="B5108">
        <f>IFERROR(INDEX(Segmen!$A$3:$A$6000,MATCH(C5108,Segmen!$D$3:$D$6000,0)),"")</f>
        <v/>
      </c>
      <c r="C5108">
        <f>IFERROR(LARGE(Segmen!$D$3:$D$6000,A5108),"")</f>
        <v/>
      </c>
    </row>
    <row r="5109">
      <c r="A5109" t="n">
        <v>5108</v>
      </c>
      <c r="B5109">
        <f>IFERROR(INDEX(Segmen!$A$3:$A$6000,MATCH(C5109,Segmen!$D$3:$D$6000,0)),"")</f>
        <v/>
      </c>
      <c r="C5109">
        <f>IFERROR(LARGE(Segmen!$D$3:$D$6000,A5109),"")</f>
        <v/>
      </c>
    </row>
    <row r="5110">
      <c r="A5110" t="n">
        <v>5109</v>
      </c>
      <c r="B5110">
        <f>IFERROR(INDEX(Segmen!$A$3:$A$6000,MATCH(C5110,Segmen!$D$3:$D$6000,0)),"")</f>
        <v/>
      </c>
      <c r="C5110">
        <f>IFERROR(LARGE(Segmen!$D$3:$D$6000,A5110),"")</f>
        <v/>
      </c>
    </row>
    <row r="5111">
      <c r="A5111" t="n">
        <v>5110</v>
      </c>
      <c r="B5111">
        <f>IFERROR(INDEX(Segmen!$A$3:$A$6000,MATCH(C5111,Segmen!$D$3:$D$6000,0)),"")</f>
        <v/>
      </c>
      <c r="C5111">
        <f>IFERROR(LARGE(Segmen!$D$3:$D$6000,A5111),"")</f>
        <v/>
      </c>
    </row>
    <row r="5112">
      <c r="A5112" t="n">
        <v>5111</v>
      </c>
      <c r="B5112">
        <f>IFERROR(INDEX(Segmen!$A$3:$A$6000,MATCH(C5112,Segmen!$D$3:$D$6000,0)),"")</f>
        <v/>
      </c>
      <c r="C5112">
        <f>IFERROR(LARGE(Segmen!$D$3:$D$6000,A5112),"")</f>
        <v/>
      </c>
    </row>
    <row r="5113">
      <c r="A5113" t="n">
        <v>5112</v>
      </c>
      <c r="B5113">
        <f>IFERROR(INDEX(Segmen!$A$3:$A$6000,MATCH(C5113,Segmen!$D$3:$D$6000,0)),"")</f>
        <v/>
      </c>
      <c r="C5113">
        <f>IFERROR(LARGE(Segmen!$D$3:$D$6000,A5113),"")</f>
        <v/>
      </c>
    </row>
    <row r="5114">
      <c r="A5114" t="n">
        <v>5113</v>
      </c>
      <c r="B5114">
        <f>IFERROR(INDEX(Segmen!$A$3:$A$6000,MATCH(C5114,Segmen!$D$3:$D$6000,0)),"")</f>
        <v/>
      </c>
      <c r="C5114">
        <f>IFERROR(LARGE(Segmen!$D$3:$D$6000,A5114),"")</f>
        <v/>
      </c>
    </row>
    <row r="5115">
      <c r="A5115" t="n">
        <v>5114</v>
      </c>
      <c r="B5115">
        <f>IFERROR(INDEX(Segmen!$A$3:$A$6000,MATCH(C5115,Segmen!$D$3:$D$6000,0)),"")</f>
        <v/>
      </c>
      <c r="C5115">
        <f>IFERROR(LARGE(Segmen!$D$3:$D$6000,A5115),"")</f>
        <v/>
      </c>
    </row>
    <row r="5116">
      <c r="A5116" t="n">
        <v>5115</v>
      </c>
      <c r="B5116">
        <f>IFERROR(INDEX(Segmen!$A$3:$A$6000,MATCH(C5116,Segmen!$D$3:$D$6000,0)),"")</f>
        <v/>
      </c>
      <c r="C5116">
        <f>IFERROR(LARGE(Segmen!$D$3:$D$6000,A5116),"")</f>
        <v/>
      </c>
    </row>
    <row r="5117">
      <c r="A5117" t="n">
        <v>5116</v>
      </c>
      <c r="B5117">
        <f>IFERROR(INDEX(Segmen!$A$3:$A$6000,MATCH(C5117,Segmen!$D$3:$D$6000,0)),"")</f>
        <v/>
      </c>
      <c r="C5117">
        <f>IFERROR(LARGE(Segmen!$D$3:$D$6000,A5117),"")</f>
        <v/>
      </c>
    </row>
    <row r="5118">
      <c r="A5118" t="n">
        <v>5117</v>
      </c>
      <c r="B5118">
        <f>IFERROR(INDEX(Segmen!$A$3:$A$6000,MATCH(C5118,Segmen!$D$3:$D$6000,0)),"")</f>
        <v/>
      </c>
      <c r="C5118">
        <f>IFERROR(LARGE(Segmen!$D$3:$D$6000,A5118),"")</f>
        <v/>
      </c>
    </row>
    <row r="5119">
      <c r="A5119" t="n">
        <v>5118</v>
      </c>
      <c r="B5119">
        <f>IFERROR(INDEX(Segmen!$A$3:$A$6000,MATCH(C5119,Segmen!$D$3:$D$6000,0)),"")</f>
        <v/>
      </c>
      <c r="C5119">
        <f>IFERROR(LARGE(Segmen!$D$3:$D$6000,A5119),"")</f>
        <v/>
      </c>
    </row>
    <row r="5120">
      <c r="A5120" t="n">
        <v>5119</v>
      </c>
      <c r="B5120">
        <f>IFERROR(INDEX(Segmen!$A$3:$A$6000,MATCH(C5120,Segmen!$D$3:$D$6000,0)),"")</f>
        <v/>
      </c>
      <c r="C5120">
        <f>IFERROR(LARGE(Segmen!$D$3:$D$6000,A5120),"")</f>
        <v/>
      </c>
    </row>
    <row r="5121">
      <c r="A5121" t="n">
        <v>5120</v>
      </c>
      <c r="B5121">
        <f>IFERROR(INDEX(Segmen!$A$3:$A$6000,MATCH(C5121,Segmen!$D$3:$D$6000,0)),"")</f>
        <v/>
      </c>
      <c r="C5121">
        <f>IFERROR(LARGE(Segmen!$D$3:$D$6000,A5121),"")</f>
        <v/>
      </c>
    </row>
    <row r="5122">
      <c r="A5122" t="n">
        <v>5121</v>
      </c>
      <c r="B5122">
        <f>IFERROR(INDEX(Segmen!$A$3:$A$6000,MATCH(C5122,Segmen!$D$3:$D$6000,0)),"")</f>
        <v/>
      </c>
      <c r="C5122">
        <f>IFERROR(LARGE(Segmen!$D$3:$D$6000,A5122),"")</f>
        <v/>
      </c>
    </row>
    <row r="5123">
      <c r="A5123" t="n">
        <v>5122</v>
      </c>
      <c r="B5123">
        <f>IFERROR(INDEX(Segmen!$A$3:$A$6000,MATCH(C5123,Segmen!$D$3:$D$6000,0)),"")</f>
        <v/>
      </c>
      <c r="C5123">
        <f>IFERROR(LARGE(Segmen!$D$3:$D$6000,A5123),"")</f>
        <v/>
      </c>
    </row>
    <row r="5124">
      <c r="A5124" t="n">
        <v>5123</v>
      </c>
      <c r="B5124">
        <f>IFERROR(INDEX(Segmen!$A$3:$A$6000,MATCH(C5124,Segmen!$D$3:$D$6000,0)),"")</f>
        <v/>
      </c>
      <c r="C5124">
        <f>IFERROR(LARGE(Segmen!$D$3:$D$6000,A5124),"")</f>
        <v/>
      </c>
    </row>
    <row r="5125">
      <c r="A5125" t="n">
        <v>5124</v>
      </c>
      <c r="B5125">
        <f>IFERROR(INDEX(Segmen!$A$3:$A$6000,MATCH(C5125,Segmen!$D$3:$D$6000,0)),"")</f>
        <v/>
      </c>
      <c r="C5125">
        <f>IFERROR(LARGE(Segmen!$D$3:$D$6000,A5125),"")</f>
        <v/>
      </c>
    </row>
    <row r="5126">
      <c r="A5126" t="n">
        <v>5125</v>
      </c>
      <c r="B5126">
        <f>IFERROR(INDEX(Segmen!$A$3:$A$6000,MATCH(C5126,Segmen!$D$3:$D$6000,0)),"")</f>
        <v/>
      </c>
      <c r="C5126">
        <f>IFERROR(LARGE(Segmen!$D$3:$D$6000,A5126),"")</f>
        <v/>
      </c>
    </row>
    <row r="5127">
      <c r="A5127" t="n">
        <v>5126</v>
      </c>
      <c r="B5127">
        <f>IFERROR(INDEX(Segmen!$A$3:$A$6000,MATCH(C5127,Segmen!$D$3:$D$6000,0)),"")</f>
        <v/>
      </c>
      <c r="C5127">
        <f>IFERROR(LARGE(Segmen!$D$3:$D$6000,A5127),"")</f>
        <v/>
      </c>
    </row>
    <row r="5128">
      <c r="A5128" t="n">
        <v>5127</v>
      </c>
      <c r="B5128">
        <f>IFERROR(INDEX(Segmen!$A$3:$A$6000,MATCH(C5128,Segmen!$D$3:$D$6000,0)),"")</f>
        <v/>
      </c>
      <c r="C5128">
        <f>IFERROR(LARGE(Segmen!$D$3:$D$6000,A5128),"")</f>
        <v/>
      </c>
    </row>
    <row r="5129">
      <c r="A5129" t="n">
        <v>5128</v>
      </c>
      <c r="B5129">
        <f>IFERROR(INDEX(Segmen!$A$3:$A$6000,MATCH(C5129,Segmen!$D$3:$D$6000,0)),"")</f>
        <v/>
      </c>
      <c r="C5129">
        <f>IFERROR(LARGE(Segmen!$D$3:$D$6000,A5129),"")</f>
        <v/>
      </c>
    </row>
    <row r="5130">
      <c r="A5130" t="n">
        <v>5129</v>
      </c>
      <c r="B5130">
        <f>IFERROR(INDEX(Segmen!$A$3:$A$6000,MATCH(C5130,Segmen!$D$3:$D$6000,0)),"")</f>
        <v/>
      </c>
      <c r="C5130">
        <f>IFERROR(LARGE(Segmen!$D$3:$D$6000,A5130),"")</f>
        <v/>
      </c>
    </row>
    <row r="5131">
      <c r="A5131" t="n">
        <v>5130</v>
      </c>
      <c r="B5131">
        <f>IFERROR(INDEX(Segmen!$A$3:$A$6000,MATCH(C5131,Segmen!$D$3:$D$6000,0)),"")</f>
        <v/>
      </c>
      <c r="C5131">
        <f>IFERROR(LARGE(Segmen!$D$3:$D$6000,A5131),"")</f>
        <v/>
      </c>
    </row>
    <row r="5132">
      <c r="A5132" t="n">
        <v>5131</v>
      </c>
      <c r="B5132">
        <f>IFERROR(INDEX(Segmen!$A$3:$A$6000,MATCH(C5132,Segmen!$D$3:$D$6000,0)),"")</f>
        <v/>
      </c>
      <c r="C5132">
        <f>IFERROR(LARGE(Segmen!$D$3:$D$6000,A5132),"")</f>
        <v/>
      </c>
    </row>
    <row r="5133">
      <c r="A5133" t="n">
        <v>5132</v>
      </c>
      <c r="B5133">
        <f>IFERROR(INDEX(Segmen!$A$3:$A$6000,MATCH(C5133,Segmen!$D$3:$D$6000,0)),"")</f>
        <v/>
      </c>
      <c r="C5133">
        <f>IFERROR(LARGE(Segmen!$D$3:$D$6000,A5133),"")</f>
        <v/>
      </c>
    </row>
    <row r="5134">
      <c r="A5134" t="n">
        <v>5133</v>
      </c>
      <c r="B5134">
        <f>IFERROR(INDEX(Segmen!$A$3:$A$6000,MATCH(C5134,Segmen!$D$3:$D$6000,0)),"")</f>
        <v/>
      </c>
      <c r="C5134">
        <f>IFERROR(LARGE(Segmen!$D$3:$D$6000,A5134),"")</f>
        <v/>
      </c>
    </row>
    <row r="5135">
      <c r="A5135" t="n">
        <v>5134</v>
      </c>
      <c r="B5135">
        <f>IFERROR(INDEX(Segmen!$A$3:$A$6000,MATCH(C5135,Segmen!$D$3:$D$6000,0)),"")</f>
        <v/>
      </c>
      <c r="C5135">
        <f>IFERROR(LARGE(Segmen!$D$3:$D$6000,A5135),"")</f>
        <v/>
      </c>
    </row>
    <row r="5136">
      <c r="A5136" t="n">
        <v>5135</v>
      </c>
      <c r="B5136">
        <f>IFERROR(INDEX(Segmen!$A$3:$A$6000,MATCH(C5136,Segmen!$D$3:$D$6000,0)),"")</f>
        <v/>
      </c>
      <c r="C5136">
        <f>IFERROR(LARGE(Segmen!$D$3:$D$6000,A5136),"")</f>
        <v/>
      </c>
    </row>
    <row r="5137">
      <c r="A5137" t="n">
        <v>5136</v>
      </c>
      <c r="B5137">
        <f>IFERROR(INDEX(Segmen!$A$3:$A$6000,MATCH(C5137,Segmen!$D$3:$D$6000,0)),"")</f>
        <v/>
      </c>
      <c r="C5137">
        <f>IFERROR(LARGE(Segmen!$D$3:$D$6000,A5137),"")</f>
        <v/>
      </c>
    </row>
    <row r="5138">
      <c r="A5138" t="n">
        <v>5137</v>
      </c>
      <c r="B5138">
        <f>IFERROR(INDEX(Segmen!$A$3:$A$6000,MATCH(C5138,Segmen!$D$3:$D$6000,0)),"")</f>
        <v/>
      </c>
      <c r="C5138">
        <f>IFERROR(LARGE(Segmen!$D$3:$D$6000,A5138),"")</f>
        <v/>
      </c>
    </row>
    <row r="5139">
      <c r="A5139" t="n">
        <v>5138</v>
      </c>
      <c r="B5139">
        <f>IFERROR(INDEX(Segmen!$A$3:$A$6000,MATCH(C5139,Segmen!$D$3:$D$6000,0)),"")</f>
        <v/>
      </c>
      <c r="C5139">
        <f>IFERROR(LARGE(Segmen!$D$3:$D$6000,A5139),"")</f>
        <v/>
      </c>
    </row>
    <row r="5140">
      <c r="A5140" t="n">
        <v>5139</v>
      </c>
      <c r="B5140">
        <f>IFERROR(INDEX(Segmen!$A$3:$A$6000,MATCH(C5140,Segmen!$D$3:$D$6000,0)),"")</f>
        <v/>
      </c>
      <c r="C5140">
        <f>IFERROR(LARGE(Segmen!$D$3:$D$6000,A5140),"")</f>
        <v/>
      </c>
    </row>
    <row r="5141">
      <c r="A5141" t="n">
        <v>5140</v>
      </c>
      <c r="B5141">
        <f>IFERROR(INDEX(Segmen!$A$3:$A$6000,MATCH(C5141,Segmen!$D$3:$D$6000,0)),"")</f>
        <v/>
      </c>
      <c r="C5141">
        <f>IFERROR(LARGE(Segmen!$D$3:$D$6000,A5141),"")</f>
        <v/>
      </c>
    </row>
    <row r="5142">
      <c r="A5142" t="n">
        <v>5141</v>
      </c>
      <c r="B5142">
        <f>IFERROR(INDEX(Segmen!$A$3:$A$6000,MATCH(C5142,Segmen!$D$3:$D$6000,0)),"")</f>
        <v/>
      </c>
      <c r="C5142">
        <f>IFERROR(LARGE(Segmen!$D$3:$D$6000,A5142),"")</f>
        <v/>
      </c>
    </row>
    <row r="5143">
      <c r="A5143" t="n">
        <v>5142</v>
      </c>
      <c r="B5143">
        <f>IFERROR(INDEX(Segmen!$A$3:$A$6000,MATCH(C5143,Segmen!$D$3:$D$6000,0)),"")</f>
        <v/>
      </c>
      <c r="C5143">
        <f>IFERROR(LARGE(Segmen!$D$3:$D$6000,A5143),"")</f>
        <v/>
      </c>
    </row>
    <row r="5144">
      <c r="A5144" t="n">
        <v>5143</v>
      </c>
      <c r="B5144">
        <f>IFERROR(INDEX(Segmen!$A$3:$A$6000,MATCH(C5144,Segmen!$D$3:$D$6000,0)),"")</f>
        <v/>
      </c>
      <c r="C5144">
        <f>IFERROR(LARGE(Segmen!$D$3:$D$6000,A5144),"")</f>
        <v/>
      </c>
    </row>
    <row r="5145">
      <c r="A5145" t="n">
        <v>5144</v>
      </c>
      <c r="B5145">
        <f>IFERROR(INDEX(Segmen!$A$3:$A$6000,MATCH(C5145,Segmen!$D$3:$D$6000,0)),"")</f>
        <v/>
      </c>
      <c r="C5145">
        <f>IFERROR(LARGE(Segmen!$D$3:$D$6000,A5145),"")</f>
        <v/>
      </c>
    </row>
    <row r="5146">
      <c r="A5146" t="n">
        <v>5145</v>
      </c>
      <c r="B5146">
        <f>IFERROR(INDEX(Segmen!$A$3:$A$6000,MATCH(C5146,Segmen!$D$3:$D$6000,0)),"")</f>
        <v/>
      </c>
      <c r="C5146">
        <f>IFERROR(LARGE(Segmen!$D$3:$D$6000,A5146),"")</f>
        <v/>
      </c>
    </row>
    <row r="5147">
      <c r="A5147" t="n">
        <v>5146</v>
      </c>
      <c r="B5147">
        <f>IFERROR(INDEX(Segmen!$A$3:$A$6000,MATCH(C5147,Segmen!$D$3:$D$6000,0)),"")</f>
        <v/>
      </c>
      <c r="C5147">
        <f>IFERROR(LARGE(Segmen!$D$3:$D$6000,A5147),"")</f>
        <v/>
      </c>
    </row>
    <row r="5148">
      <c r="A5148" t="n">
        <v>5147</v>
      </c>
      <c r="B5148">
        <f>IFERROR(INDEX(Segmen!$A$3:$A$6000,MATCH(C5148,Segmen!$D$3:$D$6000,0)),"")</f>
        <v/>
      </c>
      <c r="C5148">
        <f>IFERROR(LARGE(Segmen!$D$3:$D$6000,A5148),"")</f>
        <v/>
      </c>
    </row>
    <row r="5149">
      <c r="A5149" t="n">
        <v>5148</v>
      </c>
      <c r="B5149">
        <f>IFERROR(INDEX(Segmen!$A$3:$A$6000,MATCH(C5149,Segmen!$D$3:$D$6000,0)),"")</f>
        <v/>
      </c>
      <c r="C5149">
        <f>IFERROR(LARGE(Segmen!$D$3:$D$6000,A5149),"")</f>
        <v/>
      </c>
    </row>
    <row r="5150">
      <c r="A5150" t="n">
        <v>5149</v>
      </c>
      <c r="B5150">
        <f>IFERROR(INDEX(Segmen!$A$3:$A$6000,MATCH(C5150,Segmen!$D$3:$D$6000,0)),"")</f>
        <v/>
      </c>
      <c r="C5150">
        <f>IFERROR(LARGE(Segmen!$D$3:$D$6000,A5150),"")</f>
        <v/>
      </c>
    </row>
    <row r="5151">
      <c r="A5151" t="n">
        <v>5150</v>
      </c>
      <c r="B5151">
        <f>IFERROR(INDEX(Segmen!$A$3:$A$6000,MATCH(C5151,Segmen!$D$3:$D$6000,0)),"")</f>
        <v/>
      </c>
      <c r="C5151">
        <f>IFERROR(LARGE(Segmen!$D$3:$D$6000,A5151),"")</f>
        <v/>
      </c>
    </row>
    <row r="5152">
      <c r="A5152" t="n">
        <v>5151</v>
      </c>
      <c r="B5152">
        <f>IFERROR(INDEX(Segmen!$A$3:$A$6000,MATCH(C5152,Segmen!$D$3:$D$6000,0)),"")</f>
        <v/>
      </c>
      <c r="C5152">
        <f>IFERROR(LARGE(Segmen!$D$3:$D$6000,A5152),"")</f>
        <v/>
      </c>
    </row>
    <row r="5153">
      <c r="A5153" t="n">
        <v>5152</v>
      </c>
      <c r="B5153">
        <f>IFERROR(INDEX(Segmen!$A$3:$A$6000,MATCH(C5153,Segmen!$D$3:$D$6000,0)),"")</f>
        <v/>
      </c>
      <c r="C5153">
        <f>IFERROR(LARGE(Segmen!$D$3:$D$6000,A5153),"")</f>
        <v/>
      </c>
    </row>
    <row r="5154">
      <c r="A5154" t="n">
        <v>5153</v>
      </c>
      <c r="B5154">
        <f>IFERROR(INDEX(Segmen!$A$3:$A$6000,MATCH(C5154,Segmen!$D$3:$D$6000,0)),"")</f>
        <v/>
      </c>
      <c r="C5154">
        <f>IFERROR(LARGE(Segmen!$D$3:$D$6000,A5154),"")</f>
        <v/>
      </c>
    </row>
    <row r="5155">
      <c r="A5155" t="n">
        <v>5154</v>
      </c>
      <c r="B5155">
        <f>IFERROR(INDEX(Segmen!$A$3:$A$6000,MATCH(C5155,Segmen!$D$3:$D$6000,0)),"")</f>
        <v/>
      </c>
      <c r="C5155">
        <f>IFERROR(LARGE(Segmen!$D$3:$D$6000,A5155),"")</f>
        <v/>
      </c>
    </row>
    <row r="5156">
      <c r="A5156" t="n">
        <v>5155</v>
      </c>
      <c r="B5156">
        <f>IFERROR(INDEX(Segmen!$A$3:$A$6000,MATCH(C5156,Segmen!$D$3:$D$6000,0)),"")</f>
        <v/>
      </c>
      <c r="C5156">
        <f>IFERROR(LARGE(Segmen!$D$3:$D$6000,A5156),"")</f>
        <v/>
      </c>
    </row>
    <row r="5157">
      <c r="A5157" t="n">
        <v>5156</v>
      </c>
      <c r="B5157">
        <f>IFERROR(INDEX(Segmen!$A$3:$A$6000,MATCH(C5157,Segmen!$D$3:$D$6000,0)),"")</f>
        <v/>
      </c>
      <c r="C5157">
        <f>IFERROR(LARGE(Segmen!$D$3:$D$6000,A5157),"")</f>
        <v/>
      </c>
    </row>
    <row r="5158">
      <c r="A5158" t="n">
        <v>5157</v>
      </c>
      <c r="B5158">
        <f>IFERROR(INDEX(Segmen!$A$3:$A$6000,MATCH(C5158,Segmen!$D$3:$D$6000,0)),"")</f>
        <v/>
      </c>
      <c r="C5158">
        <f>IFERROR(LARGE(Segmen!$D$3:$D$6000,A5158),"")</f>
        <v/>
      </c>
    </row>
    <row r="5159">
      <c r="A5159" t="n">
        <v>5158</v>
      </c>
      <c r="B5159">
        <f>IFERROR(INDEX(Segmen!$A$3:$A$6000,MATCH(C5159,Segmen!$D$3:$D$6000,0)),"")</f>
        <v/>
      </c>
      <c r="C5159">
        <f>IFERROR(LARGE(Segmen!$D$3:$D$6000,A5159),"")</f>
        <v/>
      </c>
    </row>
    <row r="5160">
      <c r="A5160" t="n">
        <v>5159</v>
      </c>
      <c r="B5160">
        <f>IFERROR(INDEX(Segmen!$A$3:$A$6000,MATCH(C5160,Segmen!$D$3:$D$6000,0)),"")</f>
        <v/>
      </c>
      <c r="C5160">
        <f>IFERROR(LARGE(Segmen!$D$3:$D$6000,A5160),"")</f>
        <v/>
      </c>
    </row>
    <row r="5161">
      <c r="A5161" t="n">
        <v>5160</v>
      </c>
      <c r="B5161">
        <f>IFERROR(INDEX(Segmen!$A$3:$A$6000,MATCH(C5161,Segmen!$D$3:$D$6000,0)),"")</f>
        <v/>
      </c>
      <c r="C5161">
        <f>IFERROR(LARGE(Segmen!$D$3:$D$6000,A5161),"")</f>
        <v/>
      </c>
    </row>
    <row r="5162">
      <c r="A5162" t="n">
        <v>5161</v>
      </c>
      <c r="B5162">
        <f>IFERROR(INDEX(Segmen!$A$3:$A$6000,MATCH(C5162,Segmen!$D$3:$D$6000,0)),"")</f>
        <v/>
      </c>
      <c r="C5162">
        <f>IFERROR(LARGE(Segmen!$D$3:$D$6000,A5162),"")</f>
        <v/>
      </c>
    </row>
    <row r="5163">
      <c r="A5163" t="n">
        <v>5162</v>
      </c>
      <c r="B5163">
        <f>IFERROR(INDEX(Segmen!$A$3:$A$6000,MATCH(C5163,Segmen!$D$3:$D$6000,0)),"")</f>
        <v/>
      </c>
      <c r="C5163">
        <f>IFERROR(LARGE(Segmen!$D$3:$D$6000,A5163),"")</f>
        <v/>
      </c>
    </row>
    <row r="5164">
      <c r="A5164" t="n">
        <v>5163</v>
      </c>
      <c r="B5164">
        <f>IFERROR(INDEX(Segmen!$A$3:$A$6000,MATCH(C5164,Segmen!$D$3:$D$6000,0)),"")</f>
        <v/>
      </c>
      <c r="C5164">
        <f>IFERROR(LARGE(Segmen!$D$3:$D$6000,A5164),"")</f>
        <v/>
      </c>
    </row>
    <row r="5165">
      <c r="A5165" t="n">
        <v>5164</v>
      </c>
      <c r="B5165">
        <f>IFERROR(INDEX(Segmen!$A$3:$A$6000,MATCH(C5165,Segmen!$D$3:$D$6000,0)),"")</f>
        <v/>
      </c>
      <c r="C5165">
        <f>IFERROR(LARGE(Segmen!$D$3:$D$6000,A5165),"")</f>
        <v/>
      </c>
    </row>
    <row r="5166">
      <c r="A5166" t="n">
        <v>5165</v>
      </c>
      <c r="B5166">
        <f>IFERROR(INDEX(Segmen!$A$3:$A$6000,MATCH(C5166,Segmen!$D$3:$D$6000,0)),"")</f>
        <v/>
      </c>
      <c r="C5166">
        <f>IFERROR(LARGE(Segmen!$D$3:$D$6000,A5166),"")</f>
        <v/>
      </c>
    </row>
    <row r="5167">
      <c r="A5167" t="n">
        <v>5166</v>
      </c>
      <c r="B5167">
        <f>IFERROR(INDEX(Segmen!$A$3:$A$6000,MATCH(C5167,Segmen!$D$3:$D$6000,0)),"")</f>
        <v/>
      </c>
      <c r="C5167">
        <f>IFERROR(LARGE(Segmen!$D$3:$D$6000,A5167),"")</f>
        <v/>
      </c>
    </row>
    <row r="5168">
      <c r="A5168" t="n">
        <v>5167</v>
      </c>
      <c r="B5168">
        <f>IFERROR(INDEX(Segmen!$A$3:$A$6000,MATCH(C5168,Segmen!$D$3:$D$6000,0)),"")</f>
        <v/>
      </c>
      <c r="C5168">
        <f>IFERROR(LARGE(Segmen!$D$3:$D$6000,A5168),"")</f>
        <v/>
      </c>
    </row>
    <row r="5169">
      <c r="A5169" t="n">
        <v>5168</v>
      </c>
      <c r="B5169">
        <f>IFERROR(INDEX(Segmen!$A$3:$A$6000,MATCH(C5169,Segmen!$D$3:$D$6000,0)),"")</f>
        <v/>
      </c>
      <c r="C5169">
        <f>IFERROR(LARGE(Segmen!$D$3:$D$6000,A5169),"")</f>
        <v/>
      </c>
    </row>
    <row r="5170">
      <c r="A5170" t="n">
        <v>5169</v>
      </c>
      <c r="B5170">
        <f>IFERROR(INDEX(Segmen!$A$3:$A$6000,MATCH(C5170,Segmen!$D$3:$D$6000,0)),"")</f>
        <v/>
      </c>
      <c r="C5170">
        <f>IFERROR(LARGE(Segmen!$D$3:$D$6000,A5170),"")</f>
        <v/>
      </c>
    </row>
    <row r="5171">
      <c r="A5171" t="n">
        <v>5170</v>
      </c>
      <c r="B5171">
        <f>IFERROR(INDEX(Segmen!$A$3:$A$6000,MATCH(C5171,Segmen!$D$3:$D$6000,0)),"")</f>
        <v/>
      </c>
      <c r="C5171">
        <f>IFERROR(LARGE(Segmen!$D$3:$D$6000,A5171),"")</f>
        <v/>
      </c>
    </row>
    <row r="5172">
      <c r="A5172" t="n">
        <v>5171</v>
      </c>
      <c r="B5172">
        <f>IFERROR(INDEX(Segmen!$A$3:$A$6000,MATCH(C5172,Segmen!$D$3:$D$6000,0)),"")</f>
        <v/>
      </c>
      <c r="C5172">
        <f>IFERROR(LARGE(Segmen!$D$3:$D$6000,A5172),"")</f>
        <v/>
      </c>
    </row>
    <row r="5173">
      <c r="A5173" t="n">
        <v>5172</v>
      </c>
      <c r="B5173">
        <f>IFERROR(INDEX(Segmen!$A$3:$A$6000,MATCH(C5173,Segmen!$D$3:$D$6000,0)),"")</f>
        <v/>
      </c>
      <c r="C5173">
        <f>IFERROR(LARGE(Segmen!$D$3:$D$6000,A5173),"")</f>
        <v/>
      </c>
    </row>
    <row r="5174">
      <c r="A5174" t="n">
        <v>5173</v>
      </c>
      <c r="B5174">
        <f>IFERROR(INDEX(Segmen!$A$3:$A$6000,MATCH(C5174,Segmen!$D$3:$D$6000,0)),"")</f>
        <v/>
      </c>
      <c r="C5174">
        <f>IFERROR(LARGE(Segmen!$D$3:$D$6000,A5174),"")</f>
        <v/>
      </c>
    </row>
    <row r="5175">
      <c r="A5175" t="n">
        <v>5174</v>
      </c>
      <c r="B5175">
        <f>IFERROR(INDEX(Segmen!$A$3:$A$6000,MATCH(C5175,Segmen!$D$3:$D$6000,0)),"")</f>
        <v/>
      </c>
      <c r="C5175">
        <f>IFERROR(LARGE(Segmen!$D$3:$D$6000,A5175),"")</f>
        <v/>
      </c>
    </row>
    <row r="5176">
      <c r="A5176" t="n">
        <v>5175</v>
      </c>
      <c r="B5176">
        <f>IFERROR(INDEX(Segmen!$A$3:$A$6000,MATCH(C5176,Segmen!$D$3:$D$6000,0)),"")</f>
        <v/>
      </c>
      <c r="C5176">
        <f>IFERROR(LARGE(Segmen!$D$3:$D$6000,A5176),"")</f>
        <v/>
      </c>
    </row>
    <row r="5177">
      <c r="A5177" t="n">
        <v>5176</v>
      </c>
      <c r="B5177">
        <f>IFERROR(INDEX(Segmen!$A$3:$A$6000,MATCH(C5177,Segmen!$D$3:$D$6000,0)),"")</f>
        <v/>
      </c>
      <c r="C5177">
        <f>IFERROR(LARGE(Segmen!$D$3:$D$6000,A5177),"")</f>
        <v/>
      </c>
    </row>
    <row r="5178">
      <c r="A5178" t="n">
        <v>5177</v>
      </c>
      <c r="B5178">
        <f>IFERROR(INDEX(Segmen!$A$3:$A$6000,MATCH(C5178,Segmen!$D$3:$D$6000,0)),"")</f>
        <v/>
      </c>
      <c r="C5178">
        <f>IFERROR(LARGE(Segmen!$D$3:$D$6000,A5178),"")</f>
        <v/>
      </c>
    </row>
    <row r="5179">
      <c r="A5179" t="n">
        <v>5178</v>
      </c>
      <c r="B5179">
        <f>IFERROR(INDEX(Segmen!$A$3:$A$6000,MATCH(C5179,Segmen!$D$3:$D$6000,0)),"")</f>
        <v/>
      </c>
      <c r="C5179">
        <f>IFERROR(LARGE(Segmen!$D$3:$D$6000,A5179),"")</f>
        <v/>
      </c>
    </row>
    <row r="5180">
      <c r="A5180" t="n">
        <v>5179</v>
      </c>
      <c r="B5180">
        <f>IFERROR(INDEX(Segmen!$A$3:$A$6000,MATCH(C5180,Segmen!$D$3:$D$6000,0)),"")</f>
        <v/>
      </c>
      <c r="C5180">
        <f>IFERROR(LARGE(Segmen!$D$3:$D$6000,A5180),"")</f>
        <v/>
      </c>
    </row>
    <row r="5181">
      <c r="A5181" t="n">
        <v>5180</v>
      </c>
      <c r="B5181">
        <f>IFERROR(INDEX(Segmen!$A$3:$A$6000,MATCH(C5181,Segmen!$D$3:$D$6000,0)),"")</f>
        <v/>
      </c>
      <c r="C5181">
        <f>IFERROR(LARGE(Segmen!$D$3:$D$6000,A5181),"")</f>
        <v/>
      </c>
    </row>
    <row r="5182">
      <c r="A5182" t="n">
        <v>5181</v>
      </c>
      <c r="B5182">
        <f>IFERROR(INDEX(Segmen!$A$3:$A$6000,MATCH(C5182,Segmen!$D$3:$D$6000,0)),"")</f>
        <v/>
      </c>
      <c r="C5182">
        <f>IFERROR(LARGE(Segmen!$D$3:$D$6000,A5182),"")</f>
        <v/>
      </c>
    </row>
    <row r="5183">
      <c r="A5183" t="n">
        <v>5182</v>
      </c>
      <c r="B5183">
        <f>IFERROR(INDEX(Segmen!$A$3:$A$6000,MATCH(C5183,Segmen!$D$3:$D$6000,0)),"")</f>
        <v/>
      </c>
      <c r="C5183">
        <f>IFERROR(LARGE(Segmen!$D$3:$D$6000,A5183),"")</f>
        <v/>
      </c>
    </row>
    <row r="5184">
      <c r="A5184" t="n">
        <v>5183</v>
      </c>
      <c r="B5184">
        <f>IFERROR(INDEX(Segmen!$A$3:$A$6000,MATCH(C5184,Segmen!$D$3:$D$6000,0)),"")</f>
        <v/>
      </c>
      <c r="C5184">
        <f>IFERROR(LARGE(Segmen!$D$3:$D$6000,A5184),"")</f>
        <v/>
      </c>
    </row>
    <row r="5185">
      <c r="A5185" t="n">
        <v>5184</v>
      </c>
      <c r="B5185">
        <f>IFERROR(INDEX(Segmen!$A$3:$A$6000,MATCH(C5185,Segmen!$D$3:$D$6000,0)),"")</f>
        <v/>
      </c>
      <c r="C5185">
        <f>IFERROR(LARGE(Segmen!$D$3:$D$6000,A5185),"")</f>
        <v/>
      </c>
    </row>
    <row r="5186">
      <c r="A5186" t="n">
        <v>5185</v>
      </c>
      <c r="B5186">
        <f>IFERROR(INDEX(Segmen!$A$3:$A$6000,MATCH(C5186,Segmen!$D$3:$D$6000,0)),"")</f>
        <v/>
      </c>
      <c r="C5186">
        <f>IFERROR(LARGE(Segmen!$D$3:$D$6000,A5186),"")</f>
        <v/>
      </c>
    </row>
    <row r="5187">
      <c r="A5187" t="n">
        <v>5186</v>
      </c>
      <c r="B5187">
        <f>IFERROR(INDEX(Segmen!$A$3:$A$6000,MATCH(C5187,Segmen!$D$3:$D$6000,0)),"")</f>
        <v/>
      </c>
      <c r="C5187">
        <f>IFERROR(LARGE(Segmen!$D$3:$D$6000,A5187),"")</f>
        <v/>
      </c>
    </row>
    <row r="5188">
      <c r="A5188" t="n">
        <v>5187</v>
      </c>
      <c r="B5188">
        <f>IFERROR(INDEX(Segmen!$A$3:$A$6000,MATCH(C5188,Segmen!$D$3:$D$6000,0)),"")</f>
        <v/>
      </c>
      <c r="C5188">
        <f>IFERROR(LARGE(Segmen!$D$3:$D$6000,A5188),"")</f>
        <v/>
      </c>
    </row>
    <row r="5189">
      <c r="A5189" t="n">
        <v>5188</v>
      </c>
      <c r="B5189">
        <f>IFERROR(INDEX(Segmen!$A$3:$A$6000,MATCH(C5189,Segmen!$D$3:$D$6000,0)),"")</f>
        <v/>
      </c>
      <c r="C5189">
        <f>IFERROR(LARGE(Segmen!$D$3:$D$6000,A5189),"")</f>
        <v/>
      </c>
    </row>
    <row r="5190">
      <c r="A5190" t="n">
        <v>5189</v>
      </c>
      <c r="B5190">
        <f>IFERROR(INDEX(Segmen!$A$3:$A$6000,MATCH(C5190,Segmen!$D$3:$D$6000,0)),"")</f>
        <v/>
      </c>
      <c r="C5190">
        <f>IFERROR(LARGE(Segmen!$D$3:$D$6000,A5190),"")</f>
        <v/>
      </c>
    </row>
    <row r="5191">
      <c r="A5191" t="n">
        <v>5190</v>
      </c>
      <c r="B5191">
        <f>IFERROR(INDEX(Segmen!$A$3:$A$6000,MATCH(C5191,Segmen!$D$3:$D$6000,0)),"")</f>
        <v/>
      </c>
      <c r="C5191">
        <f>IFERROR(LARGE(Segmen!$D$3:$D$6000,A5191),"")</f>
        <v/>
      </c>
    </row>
    <row r="5192">
      <c r="A5192" t="n">
        <v>5191</v>
      </c>
      <c r="B5192">
        <f>IFERROR(INDEX(Segmen!$A$3:$A$6000,MATCH(C5192,Segmen!$D$3:$D$6000,0)),"")</f>
        <v/>
      </c>
      <c r="C5192">
        <f>IFERROR(LARGE(Segmen!$D$3:$D$6000,A5192),"")</f>
        <v/>
      </c>
    </row>
    <row r="5193">
      <c r="A5193" t="n">
        <v>5192</v>
      </c>
      <c r="B5193">
        <f>IFERROR(INDEX(Segmen!$A$3:$A$6000,MATCH(C5193,Segmen!$D$3:$D$6000,0)),"")</f>
        <v/>
      </c>
      <c r="C5193">
        <f>IFERROR(LARGE(Segmen!$D$3:$D$6000,A5193),"")</f>
        <v/>
      </c>
    </row>
    <row r="5194">
      <c r="A5194" t="n">
        <v>5193</v>
      </c>
      <c r="B5194">
        <f>IFERROR(INDEX(Segmen!$A$3:$A$6000,MATCH(C5194,Segmen!$D$3:$D$6000,0)),"")</f>
        <v/>
      </c>
      <c r="C5194">
        <f>IFERROR(LARGE(Segmen!$D$3:$D$6000,A5194),"")</f>
        <v/>
      </c>
    </row>
    <row r="5195">
      <c r="A5195" t="n">
        <v>5194</v>
      </c>
      <c r="B5195">
        <f>IFERROR(INDEX(Segmen!$A$3:$A$6000,MATCH(C5195,Segmen!$D$3:$D$6000,0)),"")</f>
        <v/>
      </c>
      <c r="C5195">
        <f>IFERROR(LARGE(Segmen!$D$3:$D$6000,A5195),"")</f>
        <v/>
      </c>
    </row>
    <row r="5196">
      <c r="A5196" t="n">
        <v>5195</v>
      </c>
      <c r="B5196">
        <f>IFERROR(INDEX(Segmen!$A$3:$A$6000,MATCH(C5196,Segmen!$D$3:$D$6000,0)),"")</f>
        <v/>
      </c>
      <c r="C5196">
        <f>IFERROR(LARGE(Segmen!$D$3:$D$6000,A5196),"")</f>
        <v/>
      </c>
    </row>
    <row r="5197">
      <c r="A5197" t="n">
        <v>5196</v>
      </c>
      <c r="B5197">
        <f>IFERROR(INDEX(Segmen!$A$3:$A$6000,MATCH(C5197,Segmen!$D$3:$D$6000,0)),"")</f>
        <v/>
      </c>
      <c r="C5197">
        <f>IFERROR(LARGE(Segmen!$D$3:$D$6000,A5197),"")</f>
        <v/>
      </c>
    </row>
    <row r="5198">
      <c r="A5198" t="n">
        <v>5197</v>
      </c>
      <c r="B5198">
        <f>IFERROR(INDEX(Segmen!$A$3:$A$6000,MATCH(C5198,Segmen!$D$3:$D$6000,0)),"")</f>
        <v/>
      </c>
      <c r="C5198">
        <f>IFERROR(LARGE(Segmen!$D$3:$D$6000,A5198),"")</f>
        <v/>
      </c>
    </row>
    <row r="5199">
      <c r="A5199" t="n">
        <v>5198</v>
      </c>
      <c r="B5199">
        <f>IFERROR(INDEX(Segmen!$A$3:$A$6000,MATCH(C5199,Segmen!$D$3:$D$6000,0)),"")</f>
        <v/>
      </c>
      <c r="C5199">
        <f>IFERROR(LARGE(Segmen!$D$3:$D$6000,A5199),"")</f>
        <v/>
      </c>
    </row>
    <row r="5200">
      <c r="A5200" t="n">
        <v>5199</v>
      </c>
      <c r="B5200">
        <f>IFERROR(INDEX(Segmen!$A$3:$A$6000,MATCH(C5200,Segmen!$D$3:$D$6000,0)),"")</f>
        <v/>
      </c>
      <c r="C5200">
        <f>IFERROR(LARGE(Segmen!$D$3:$D$6000,A5200),"")</f>
        <v/>
      </c>
    </row>
    <row r="5201">
      <c r="A5201" t="n">
        <v>5200</v>
      </c>
      <c r="B5201">
        <f>IFERROR(INDEX(Segmen!$A$3:$A$6000,MATCH(C5201,Segmen!$D$3:$D$6000,0)),"")</f>
        <v/>
      </c>
      <c r="C5201">
        <f>IFERROR(LARGE(Segmen!$D$3:$D$6000,A5201),"")</f>
        <v/>
      </c>
    </row>
    <row r="5202">
      <c r="A5202" t="n">
        <v>5201</v>
      </c>
      <c r="B5202">
        <f>IFERROR(INDEX(Segmen!$A$3:$A$6000,MATCH(C5202,Segmen!$D$3:$D$6000,0)),"")</f>
        <v/>
      </c>
      <c r="C5202">
        <f>IFERROR(LARGE(Segmen!$D$3:$D$6000,A5202),"")</f>
        <v/>
      </c>
    </row>
    <row r="5203">
      <c r="A5203" t="n">
        <v>5202</v>
      </c>
      <c r="B5203">
        <f>IFERROR(INDEX(Segmen!$A$3:$A$6000,MATCH(C5203,Segmen!$D$3:$D$6000,0)),"")</f>
        <v/>
      </c>
      <c r="C5203">
        <f>IFERROR(LARGE(Segmen!$D$3:$D$6000,A5203),"")</f>
        <v/>
      </c>
    </row>
    <row r="5204">
      <c r="A5204" t="n">
        <v>5203</v>
      </c>
      <c r="B5204">
        <f>IFERROR(INDEX(Segmen!$A$3:$A$6000,MATCH(C5204,Segmen!$D$3:$D$6000,0)),"")</f>
        <v/>
      </c>
      <c r="C5204">
        <f>IFERROR(LARGE(Segmen!$D$3:$D$6000,A5204),"")</f>
        <v/>
      </c>
    </row>
    <row r="5205">
      <c r="A5205" t="n">
        <v>5204</v>
      </c>
      <c r="B5205">
        <f>IFERROR(INDEX(Segmen!$A$3:$A$6000,MATCH(C5205,Segmen!$D$3:$D$6000,0)),"")</f>
        <v/>
      </c>
      <c r="C5205">
        <f>IFERROR(LARGE(Segmen!$D$3:$D$6000,A5205),"")</f>
        <v/>
      </c>
    </row>
    <row r="5206">
      <c r="A5206" t="n">
        <v>5205</v>
      </c>
      <c r="B5206">
        <f>IFERROR(INDEX(Segmen!$A$3:$A$6000,MATCH(C5206,Segmen!$D$3:$D$6000,0)),"")</f>
        <v/>
      </c>
      <c r="C5206">
        <f>IFERROR(LARGE(Segmen!$D$3:$D$6000,A5206),"")</f>
        <v/>
      </c>
    </row>
    <row r="5207">
      <c r="A5207" t="n">
        <v>5206</v>
      </c>
      <c r="B5207">
        <f>IFERROR(INDEX(Segmen!$A$3:$A$6000,MATCH(C5207,Segmen!$D$3:$D$6000,0)),"")</f>
        <v/>
      </c>
      <c r="C5207">
        <f>IFERROR(LARGE(Segmen!$D$3:$D$6000,A5207),"")</f>
        <v/>
      </c>
    </row>
    <row r="5208">
      <c r="A5208" t="n">
        <v>5207</v>
      </c>
      <c r="B5208">
        <f>IFERROR(INDEX(Segmen!$A$3:$A$6000,MATCH(C5208,Segmen!$D$3:$D$6000,0)),"")</f>
        <v/>
      </c>
      <c r="C5208">
        <f>IFERROR(LARGE(Segmen!$D$3:$D$6000,A5208),"")</f>
        <v/>
      </c>
    </row>
    <row r="5209">
      <c r="A5209" t="n">
        <v>5208</v>
      </c>
      <c r="B5209">
        <f>IFERROR(INDEX(Segmen!$A$3:$A$6000,MATCH(C5209,Segmen!$D$3:$D$6000,0)),"")</f>
        <v/>
      </c>
      <c r="C5209">
        <f>IFERROR(LARGE(Segmen!$D$3:$D$6000,A5209),"")</f>
        <v/>
      </c>
    </row>
    <row r="5210">
      <c r="A5210" t="n">
        <v>5209</v>
      </c>
      <c r="B5210">
        <f>IFERROR(INDEX(Segmen!$A$3:$A$6000,MATCH(C5210,Segmen!$D$3:$D$6000,0)),"")</f>
        <v/>
      </c>
      <c r="C5210">
        <f>IFERROR(LARGE(Segmen!$D$3:$D$6000,A5210),"")</f>
        <v/>
      </c>
    </row>
    <row r="5211">
      <c r="A5211" t="n">
        <v>5210</v>
      </c>
      <c r="B5211">
        <f>IFERROR(INDEX(Segmen!$A$3:$A$6000,MATCH(C5211,Segmen!$D$3:$D$6000,0)),"")</f>
        <v/>
      </c>
      <c r="C5211">
        <f>IFERROR(LARGE(Segmen!$D$3:$D$6000,A5211),"")</f>
        <v/>
      </c>
    </row>
    <row r="5212">
      <c r="A5212" t="n">
        <v>5211</v>
      </c>
      <c r="B5212">
        <f>IFERROR(INDEX(Segmen!$A$3:$A$6000,MATCH(C5212,Segmen!$D$3:$D$6000,0)),"")</f>
        <v/>
      </c>
      <c r="C5212">
        <f>IFERROR(LARGE(Segmen!$D$3:$D$6000,A5212),"")</f>
        <v/>
      </c>
    </row>
    <row r="5213">
      <c r="A5213" t="n">
        <v>5212</v>
      </c>
      <c r="B5213">
        <f>IFERROR(INDEX(Segmen!$A$3:$A$6000,MATCH(C5213,Segmen!$D$3:$D$6000,0)),"")</f>
        <v/>
      </c>
      <c r="C5213">
        <f>IFERROR(LARGE(Segmen!$D$3:$D$6000,A5213),"")</f>
        <v/>
      </c>
    </row>
    <row r="5214">
      <c r="A5214" t="n">
        <v>5213</v>
      </c>
      <c r="B5214">
        <f>IFERROR(INDEX(Segmen!$A$3:$A$6000,MATCH(C5214,Segmen!$D$3:$D$6000,0)),"")</f>
        <v/>
      </c>
      <c r="C5214">
        <f>IFERROR(LARGE(Segmen!$D$3:$D$6000,A5214),"")</f>
        <v/>
      </c>
    </row>
    <row r="5215">
      <c r="A5215" t="n">
        <v>5214</v>
      </c>
      <c r="B5215">
        <f>IFERROR(INDEX(Segmen!$A$3:$A$6000,MATCH(C5215,Segmen!$D$3:$D$6000,0)),"")</f>
        <v/>
      </c>
      <c r="C5215">
        <f>IFERROR(LARGE(Segmen!$D$3:$D$6000,A5215),"")</f>
        <v/>
      </c>
    </row>
    <row r="5216">
      <c r="A5216" t="n">
        <v>5215</v>
      </c>
      <c r="B5216">
        <f>IFERROR(INDEX(Segmen!$A$3:$A$6000,MATCH(C5216,Segmen!$D$3:$D$6000,0)),"")</f>
        <v/>
      </c>
      <c r="C5216">
        <f>IFERROR(LARGE(Segmen!$D$3:$D$6000,A5216),"")</f>
        <v/>
      </c>
    </row>
    <row r="5217">
      <c r="A5217" t="n">
        <v>5216</v>
      </c>
      <c r="B5217">
        <f>IFERROR(INDEX(Segmen!$A$3:$A$6000,MATCH(C5217,Segmen!$D$3:$D$6000,0)),"")</f>
        <v/>
      </c>
      <c r="C5217">
        <f>IFERROR(LARGE(Segmen!$D$3:$D$6000,A5217),"")</f>
        <v/>
      </c>
    </row>
    <row r="5218">
      <c r="A5218" t="n">
        <v>5217</v>
      </c>
      <c r="B5218">
        <f>IFERROR(INDEX(Segmen!$A$3:$A$6000,MATCH(C5218,Segmen!$D$3:$D$6000,0)),"")</f>
        <v/>
      </c>
      <c r="C5218">
        <f>IFERROR(LARGE(Segmen!$D$3:$D$6000,A5218),"")</f>
        <v/>
      </c>
    </row>
    <row r="5219">
      <c r="A5219" t="n">
        <v>5218</v>
      </c>
      <c r="B5219">
        <f>IFERROR(INDEX(Segmen!$A$3:$A$6000,MATCH(C5219,Segmen!$D$3:$D$6000,0)),"")</f>
        <v/>
      </c>
      <c r="C5219">
        <f>IFERROR(LARGE(Segmen!$D$3:$D$6000,A5219),"")</f>
        <v/>
      </c>
    </row>
    <row r="5220">
      <c r="A5220" t="n">
        <v>5219</v>
      </c>
      <c r="B5220">
        <f>IFERROR(INDEX(Segmen!$A$3:$A$6000,MATCH(C5220,Segmen!$D$3:$D$6000,0)),"")</f>
        <v/>
      </c>
      <c r="C5220">
        <f>IFERROR(LARGE(Segmen!$D$3:$D$6000,A5220),"")</f>
        <v/>
      </c>
    </row>
    <row r="5221">
      <c r="A5221" t="n">
        <v>5220</v>
      </c>
      <c r="B5221">
        <f>IFERROR(INDEX(Segmen!$A$3:$A$6000,MATCH(C5221,Segmen!$D$3:$D$6000,0)),"")</f>
        <v/>
      </c>
      <c r="C5221">
        <f>IFERROR(LARGE(Segmen!$D$3:$D$6000,A5221),"")</f>
        <v/>
      </c>
    </row>
    <row r="5222">
      <c r="A5222" t="n">
        <v>5221</v>
      </c>
      <c r="B5222">
        <f>IFERROR(INDEX(Segmen!$A$3:$A$6000,MATCH(C5222,Segmen!$D$3:$D$6000,0)),"")</f>
        <v/>
      </c>
      <c r="C5222">
        <f>IFERROR(LARGE(Segmen!$D$3:$D$6000,A5222),"")</f>
        <v/>
      </c>
    </row>
    <row r="5223">
      <c r="A5223" t="n">
        <v>5222</v>
      </c>
      <c r="B5223">
        <f>IFERROR(INDEX(Segmen!$A$3:$A$6000,MATCH(C5223,Segmen!$D$3:$D$6000,0)),"")</f>
        <v/>
      </c>
      <c r="C5223">
        <f>IFERROR(LARGE(Segmen!$D$3:$D$6000,A5223),"")</f>
        <v/>
      </c>
    </row>
    <row r="5224">
      <c r="A5224" t="n">
        <v>5223</v>
      </c>
      <c r="B5224">
        <f>IFERROR(INDEX(Segmen!$A$3:$A$6000,MATCH(C5224,Segmen!$D$3:$D$6000,0)),"")</f>
        <v/>
      </c>
      <c r="C5224">
        <f>IFERROR(LARGE(Segmen!$D$3:$D$6000,A5224),"")</f>
        <v/>
      </c>
    </row>
    <row r="5225">
      <c r="A5225" t="n">
        <v>5224</v>
      </c>
      <c r="B5225">
        <f>IFERROR(INDEX(Segmen!$A$3:$A$6000,MATCH(C5225,Segmen!$D$3:$D$6000,0)),"")</f>
        <v/>
      </c>
      <c r="C5225">
        <f>IFERROR(LARGE(Segmen!$D$3:$D$6000,A5225),"")</f>
        <v/>
      </c>
    </row>
    <row r="5226">
      <c r="A5226" t="n">
        <v>5225</v>
      </c>
      <c r="B5226">
        <f>IFERROR(INDEX(Segmen!$A$3:$A$6000,MATCH(C5226,Segmen!$D$3:$D$6000,0)),"")</f>
        <v/>
      </c>
      <c r="C5226">
        <f>IFERROR(LARGE(Segmen!$D$3:$D$6000,A5226),"")</f>
        <v/>
      </c>
    </row>
    <row r="5227">
      <c r="A5227" t="n">
        <v>5226</v>
      </c>
      <c r="B5227">
        <f>IFERROR(INDEX(Segmen!$A$3:$A$6000,MATCH(C5227,Segmen!$D$3:$D$6000,0)),"")</f>
        <v/>
      </c>
      <c r="C5227">
        <f>IFERROR(LARGE(Segmen!$D$3:$D$6000,A5227),"")</f>
        <v/>
      </c>
    </row>
    <row r="5228">
      <c r="A5228" t="n">
        <v>5227</v>
      </c>
      <c r="B5228">
        <f>IFERROR(INDEX(Segmen!$A$3:$A$6000,MATCH(C5228,Segmen!$D$3:$D$6000,0)),"")</f>
        <v/>
      </c>
      <c r="C5228">
        <f>IFERROR(LARGE(Segmen!$D$3:$D$6000,A5228),"")</f>
        <v/>
      </c>
    </row>
    <row r="5229">
      <c r="A5229" t="n">
        <v>5228</v>
      </c>
      <c r="B5229">
        <f>IFERROR(INDEX(Segmen!$A$3:$A$6000,MATCH(C5229,Segmen!$D$3:$D$6000,0)),"")</f>
        <v/>
      </c>
      <c r="C5229">
        <f>IFERROR(LARGE(Segmen!$D$3:$D$6000,A5229),"")</f>
        <v/>
      </c>
    </row>
    <row r="5230">
      <c r="A5230" t="n">
        <v>5229</v>
      </c>
      <c r="B5230">
        <f>IFERROR(INDEX(Segmen!$A$3:$A$6000,MATCH(C5230,Segmen!$D$3:$D$6000,0)),"")</f>
        <v/>
      </c>
      <c r="C5230">
        <f>IFERROR(LARGE(Segmen!$D$3:$D$6000,A5230),"")</f>
        <v/>
      </c>
    </row>
    <row r="5231">
      <c r="A5231" t="n">
        <v>5230</v>
      </c>
      <c r="B5231">
        <f>IFERROR(INDEX(Segmen!$A$3:$A$6000,MATCH(C5231,Segmen!$D$3:$D$6000,0)),"")</f>
        <v/>
      </c>
      <c r="C5231">
        <f>IFERROR(LARGE(Segmen!$D$3:$D$6000,A5231),"")</f>
        <v/>
      </c>
    </row>
    <row r="5232">
      <c r="A5232" t="n">
        <v>5231</v>
      </c>
      <c r="B5232">
        <f>IFERROR(INDEX(Segmen!$A$3:$A$6000,MATCH(C5232,Segmen!$D$3:$D$6000,0)),"")</f>
        <v/>
      </c>
      <c r="C5232">
        <f>IFERROR(LARGE(Segmen!$D$3:$D$6000,A5232),"")</f>
        <v/>
      </c>
    </row>
    <row r="5233">
      <c r="A5233" t="n">
        <v>5232</v>
      </c>
      <c r="B5233">
        <f>IFERROR(INDEX(Segmen!$A$3:$A$6000,MATCH(C5233,Segmen!$D$3:$D$6000,0)),"")</f>
        <v/>
      </c>
      <c r="C5233">
        <f>IFERROR(LARGE(Segmen!$D$3:$D$6000,A5233),"")</f>
        <v/>
      </c>
    </row>
    <row r="5234">
      <c r="A5234" t="n">
        <v>5233</v>
      </c>
      <c r="B5234">
        <f>IFERROR(INDEX(Segmen!$A$3:$A$6000,MATCH(C5234,Segmen!$D$3:$D$6000,0)),"")</f>
        <v/>
      </c>
      <c r="C5234">
        <f>IFERROR(LARGE(Segmen!$D$3:$D$6000,A5234),"")</f>
        <v/>
      </c>
    </row>
    <row r="5235">
      <c r="A5235" t="n">
        <v>5234</v>
      </c>
      <c r="B5235">
        <f>IFERROR(INDEX(Segmen!$A$3:$A$6000,MATCH(C5235,Segmen!$D$3:$D$6000,0)),"")</f>
        <v/>
      </c>
      <c r="C5235">
        <f>IFERROR(LARGE(Segmen!$D$3:$D$6000,A5235),"")</f>
        <v/>
      </c>
    </row>
    <row r="5236">
      <c r="A5236" t="n">
        <v>5235</v>
      </c>
      <c r="B5236">
        <f>IFERROR(INDEX(Segmen!$A$3:$A$6000,MATCH(C5236,Segmen!$D$3:$D$6000,0)),"")</f>
        <v/>
      </c>
      <c r="C5236">
        <f>IFERROR(LARGE(Segmen!$D$3:$D$6000,A5236),"")</f>
        <v/>
      </c>
    </row>
    <row r="5237">
      <c r="A5237" t="n">
        <v>5236</v>
      </c>
      <c r="B5237">
        <f>IFERROR(INDEX(Segmen!$A$3:$A$6000,MATCH(C5237,Segmen!$D$3:$D$6000,0)),"")</f>
        <v/>
      </c>
      <c r="C5237">
        <f>IFERROR(LARGE(Segmen!$D$3:$D$6000,A5237),"")</f>
        <v/>
      </c>
    </row>
    <row r="5238">
      <c r="A5238" t="n">
        <v>5237</v>
      </c>
      <c r="B5238">
        <f>IFERROR(INDEX(Segmen!$A$3:$A$6000,MATCH(C5238,Segmen!$D$3:$D$6000,0)),"")</f>
        <v/>
      </c>
      <c r="C5238">
        <f>IFERROR(LARGE(Segmen!$D$3:$D$6000,A5238),"")</f>
        <v/>
      </c>
    </row>
    <row r="5239">
      <c r="A5239" t="n">
        <v>5238</v>
      </c>
      <c r="B5239">
        <f>IFERROR(INDEX(Segmen!$A$3:$A$6000,MATCH(C5239,Segmen!$D$3:$D$6000,0)),"")</f>
        <v/>
      </c>
      <c r="C5239">
        <f>IFERROR(LARGE(Segmen!$D$3:$D$6000,A5239),"")</f>
        <v/>
      </c>
    </row>
    <row r="5240">
      <c r="A5240" t="n">
        <v>5239</v>
      </c>
      <c r="B5240">
        <f>IFERROR(INDEX(Segmen!$A$3:$A$6000,MATCH(C5240,Segmen!$D$3:$D$6000,0)),"")</f>
        <v/>
      </c>
      <c r="C5240">
        <f>IFERROR(LARGE(Segmen!$D$3:$D$6000,A5240),"")</f>
        <v/>
      </c>
    </row>
    <row r="5241">
      <c r="A5241" t="n">
        <v>5240</v>
      </c>
      <c r="B5241">
        <f>IFERROR(INDEX(Segmen!$A$3:$A$6000,MATCH(C5241,Segmen!$D$3:$D$6000,0)),"")</f>
        <v/>
      </c>
      <c r="C5241">
        <f>IFERROR(LARGE(Segmen!$D$3:$D$6000,A5241),"")</f>
        <v/>
      </c>
    </row>
    <row r="5242">
      <c r="A5242" t="n">
        <v>5241</v>
      </c>
      <c r="B5242">
        <f>IFERROR(INDEX(Segmen!$A$3:$A$6000,MATCH(C5242,Segmen!$D$3:$D$6000,0)),"")</f>
        <v/>
      </c>
      <c r="C5242">
        <f>IFERROR(LARGE(Segmen!$D$3:$D$6000,A5242),"")</f>
        <v/>
      </c>
    </row>
    <row r="5243">
      <c r="A5243" t="n">
        <v>5242</v>
      </c>
      <c r="B5243">
        <f>IFERROR(INDEX(Segmen!$A$3:$A$6000,MATCH(C5243,Segmen!$D$3:$D$6000,0)),"")</f>
        <v/>
      </c>
      <c r="C5243">
        <f>IFERROR(LARGE(Segmen!$D$3:$D$6000,A5243),"")</f>
        <v/>
      </c>
    </row>
    <row r="5244">
      <c r="A5244" t="n">
        <v>5243</v>
      </c>
      <c r="B5244">
        <f>IFERROR(INDEX(Segmen!$A$3:$A$6000,MATCH(C5244,Segmen!$D$3:$D$6000,0)),"")</f>
        <v/>
      </c>
      <c r="C5244">
        <f>IFERROR(LARGE(Segmen!$D$3:$D$6000,A5244),"")</f>
        <v/>
      </c>
    </row>
    <row r="5245">
      <c r="A5245" t="n">
        <v>5244</v>
      </c>
      <c r="B5245">
        <f>IFERROR(INDEX(Segmen!$A$3:$A$6000,MATCH(C5245,Segmen!$D$3:$D$6000,0)),"")</f>
        <v/>
      </c>
      <c r="C5245">
        <f>IFERROR(LARGE(Segmen!$D$3:$D$6000,A5245),"")</f>
        <v/>
      </c>
    </row>
    <row r="5246">
      <c r="A5246" t="n">
        <v>5245</v>
      </c>
      <c r="B5246">
        <f>IFERROR(INDEX(Segmen!$A$3:$A$6000,MATCH(C5246,Segmen!$D$3:$D$6000,0)),"")</f>
        <v/>
      </c>
      <c r="C5246">
        <f>IFERROR(LARGE(Segmen!$D$3:$D$6000,A5246),"")</f>
        <v/>
      </c>
    </row>
    <row r="5247">
      <c r="A5247" t="n">
        <v>5246</v>
      </c>
      <c r="B5247">
        <f>IFERROR(INDEX(Segmen!$A$3:$A$6000,MATCH(C5247,Segmen!$D$3:$D$6000,0)),"")</f>
        <v/>
      </c>
      <c r="C5247">
        <f>IFERROR(LARGE(Segmen!$D$3:$D$6000,A5247),"")</f>
        <v/>
      </c>
    </row>
    <row r="5248">
      <c r="A5248" t="n">
        <v>5247</v>
      </c>
      <c r="B5248">
        <f>IFERROR(INDEX(Segmen!$A$3:$A$6000,MATCH(C5248,Segmen!$D$3:$D$6000,0)),"")</f>
        <v/>
      </c>
      <c r="C5248">
        <f>IFERROR(LARGE(Segmen!$D$3:$D$6000,A5248),"")</f>
        <v/>
      </c>
    </row>
    <row r="5249">
      <c r="A5249" t="n">
        <v>5248</v>
      </c>
      <c r="B5249">
        <f>IFERROR(INDEX(Segmen!$A$3:$A$6000,MATCH(C5249,Segmen!$D$3:$D$6000,0)),"")</f>
        <v/>
      </c>
      <c r="C5249">
        <f>IFERROR(LARGE(Segmen!$D$3:$D$6000,A5249),"")</f>
        <v/>
      </c>
    </row>
    <row r="5250">
      <c r="A5250" t="n">
        <v>5249</v>
      </c>
      <c r="B5250">
        <f>IFERROR(INDEX(Segmen!$A$3:$A$6000,MATCH(C5250,Segmen!$D$3:$D$6000,0)),"")</f>
        <v/>
      </c>
      <c r="C5250">
        <f>IFERROR(LARGE(Segmen!$D$3:$D$6000,A5250),"")</f>
        <v/>
      </c>
    </row>
    <row r="5251">
      <c r="A5251" t="n">
        <v>5250</v>
      </c>
      <c r="B5251">
        <f>IFERROR(INDEX(Segmen!$A$3:$A$6000,MATCH(C5251,Segmen!$D$3:$D$6000,0)),"")</f>
        <v/>
      </c>
      <c r="C5251">
        <f>IFERROR(LARGE(Segmen!$D$3:$D$6000,A5251),"")</f>
        <v/>
      </c>
    </row>
    <row r="5252">
      <c r="A5252" t="n">
        <v>5251</v>
      </c>
      <c r="B5252">
        <f>IFERROR(INDEX(Segmen!$A$3:$A$6000,MATCH(C5252,Segmen!$D$3:$D$6000,0)),"")</f>
        <v/>
      </c>
      <c r="C5252">
        <f>IFERROR(LARGE(Segmen!$D$3:$D$6000,A5252),"")</f>
        <v/>
      </c>
    </row>
    <row r="5253">
      <c r="A5253" t="n">
        <v>5252</v>
      </c>
      <c r="B5253">
        <f>IFERROR(INDEX(Segmen!$A$3:$A$6000,MATCH(C5253,Segmen!$D$3:$D$6000,0)),"")</f>
        <v/>
      </c>
      <c r="C5253">
        <f>IFERROR(LARGE(Segmen!$D$3:$D$6000,A5253),"")</f>
        <v/>
      </c>
    </row>
    <row r="5254">
      <c r="A5254" t="n">
        <v>5253</v>
      </c>
      <c r="B5254">
        <f>IFERROR(INDEX(Segmen!$A$3:$A$6000,MATCH(C5254,Segmen!$D$3:$D$6000,0)),"")</f>
        <v/>
      </c>
      <c r="C5254">
        <f>IFERROR(LARGE(Segmen!$D$3:$D$6000,A5254),"")</f>
        <v/>
      </c>
    </row>
    <row r="5255">
      <c r="A5255" t="n">
        <v>5254</v>
      </c>
      <c r="B5255">
        <f>IFERROR(INDEX(Segmen!$A$3:$A$6000,MATCH(C5255,Segmen!$D$3:$D$6000,0)),"")</f>
        <v/>
      </c>
      <c r="C5255">
        <f>IFERROR(LARGE(Segmen!$D$3:$D$6000,A5255),"")</f>
        <v/>
      </c>
    </row>
    <row r="5256">
      <c r="A5256" t="n">
        <v>5255</v>
      </c>
      <c r="B5256">
        <f>IFERROR(INDEX(Segmen!$A$3:$A$6000,MATCH(C5256,Segmen!$D$3:$D$6000,0)),"")</f>
        <v/>
      </c>
      <c r="C5256">
        <f>IFERROR(LARGE(Segmen!$D$3:$D$6000,A5256),"")</f>
        <v/>
      </c>
    </row>
    <row r="5257">
      <c r="A5257" t="n">
        <v>5256</v>
      </c>
      <c r="B5257">
        <f>IFERROR(INDEX(Segmen!$A$3:$A$6000,MATCH(C5257,Segmen!$D$3:$D$6000,0)),"")</f>
        <v/>
      </c>
      <c r="C5257">
        <f>IFERROR(LARGE(Segmen!$D$3:$D$6000,A5257),"")</f>
        <v/>
      </c>
    </row>
    <row r="5258">
      <c r="A5258" t="n">
        <v>5257</v>
      </c>
      <c r="B5258">
        <f>IFERROR(INDEX(Segmen!$A$3:$A$6000,MATCH(C5258,Segmen!$D$3:$D$6000,0)),"")</f>
        <v/>
      </c>
      <c r="C5258">
        <f>IFERROR(LARGE(Segmen!$D$3:$D$6000,A5258),"")</f>
        <v/>
      </c>
    </row>
    <row r="5259">
      <c r="A5259" t="n">
        <v>5258</v>
      </c>
      <c r="B5259">
        <f>IFERROR(INDEX(Segmen!$A$3:$A$6000,MATCH(C5259,Segmen!$D$3:$D$6000,0)),"")</f>
        <v/>
      </c>
      <c r="C5259">
        <f>IFERROR(LARGE(Segmen!$D$3:$D$6000,A5259),"")</f>
        <v/>
      </c>
    </row>
    <row r="5260">
      <c r="A5260" t="n">
        <v>5259</v>
      </c>
      <c r="B5260">
        <f>IFERROR(INDEX(Segmen!$A$3:$A$6000,MATCH(C5260,Segmen!$D$3:$D$6000,0)),"")</f>
        <v/>
      </c>
      <c r="C5260">
        <f>IFERROR(LARGE(Segmen!$D$3:$D$6000,A5260),"")</f>
        <v/>
      </c>
    </row>
    <row r="5261">
      <c r="A5261" t="n">
        <v>5260</v>
      </c>
      <c r="B5261">
        <f>IFERROR(INDEX(Segmen!$A$3:$A$6000,MATCH(C5261,Segmen!$D$3:$D$6000,0)),"")</f>
        <v/>
      </c>
      <c r="C5261">
        <f>IFERROR(LARGE(Segmen!$D$3:$D$6000,A5261),"")</f>
        <v/>
      </c>
    </row>
    <row r="5262">
      <c r="A5262" t="n">
        <v>5261</v>
      </c>
      <c r="B5262">
        <f>IFERROR(INDEX(Segmen!$A$3:$A$6000,MATCH(C5262,Segmen!$D$3:$D$6000,0)),"")</f>
        <v/>
      </c>
      <c r="C5262">
        <f>IFERROR(LARGE(Segmen!$D$3:$D$6000,A5262),"")</f>
        <v/>
      </c>
    </row>
    <row r="5263">
      <c r="A5263" t="n">
        <v>5262</v>
      </c>
      <c r="B5263">
        <f>IFERROR(INDEX(Segmen!$A$3:$A$6000,MATCH(C5263,Segmen!$D$3:$D$6000,0)),"")</f>
        <v/>
      </c>
      <c r="C5263">
        <f>IFERROR(LARGE(Segmen!$D$3:$D$6000,A5263),"")</f>
        <v/>
      </c>
    </row>
    <row r="5264">
      <c r="A5264" t="n">
        <v>5263</v>
      </c>
      <c r="B5264">
        <f>IFERROR(INDEX(Segmen!$A$3:$A$6000,MATCH(C5264,Segmen!$D$3:$D$6000,0)),"")</f>
        <v/>
      </c>
      <c r="C5264">
        <f>IFERROR(LARGE(Segmen!$D$3:$D$6000,A5264),"")</f>
        <v/>
      </c>
    </row>
    <row r="5265">
      <c r="A5265" t="n">
        <v>5264</v>
      </c>
      <c r="B5265">
        <f>IFERROR(INDEX(Segmen!$A$3:$A$6000,MATCH(C5265,Segmen!$D$3:$D$6000,0)),"")</f>
        <v/>
      </c>
      <c r="C5265">
        <f>IFERROR(LARGE(Segmen!$D$3:$D$6000,A5265),"")</f>
        <v/>
      </c>
    </row>
    <row r="5266">
      <c r="A5266" t="n">
        <v>5265</v>
      </c>
      <c r="B5266">
        <f>IFERROR(INDEX(Segmen!$A$3:$A$6000,MATCH(C5266,Segmen!$D$3:$D$6000,0)),"")</f>
        <v/>
      </c>
      <c r="C5266">
        <f>IFERROR(LARGE(Segmen!$D$3:$D$6000,A5266),"")</f>
        <v/>
      </c>
    </row>
    <row r="5267">
      <c r="A5267" t="n">
        <v>5266</v>
      </c>
      <c r="B5267">
        <f>IFERROR(INDEX(Segmen!$A$3:$A$6000,MATCH(C5267,Segmen!$D$3:$D$6000,0)),"")</f>
        <v/>
      </c>
      <c r="C5267">
        <f>IFERROR(LARGE(Segmen!$D$3:$D$6000,A5267),"")</f>
        <v/>
      </c>
    </row>
    <row r="5268">
      <c r="A5268" t="n">
        <v>5267</v>
      </c>
      <c r="B5268">
        <f>IFERROR(INDEX(Segmen!$A$3:$A$6000,MATCH(C5268,Segmen!$D$3:$D$6000,0)),"")</f>
        <v/>
      </c>
      <c r="C5268">
        <f>IFERROR(LARGE(Segmen!$D$3:$D$6000,A5268),"")</f>
        <v/>
      </c>
    </row>
    <row r="5269">
      <c r="A5269" t="n">
        <v>5268</v>
      </c>
      <c r="B5269">
        <f>IFERROR(INDEX(Segmen!$A$3:$A$6000,MATCH(C5269,Segmen!$D$3:$D$6000,0)),"")</f>
        <v/>
      </c>
      <c r="C5269">
        <f>IFERROR(LARGE(Segmen!$D$3:$D$6000,A5269),"")</f>
        <v/>
      </c>
    </row>
    <row r="5270">
      <c r="A5270" t="n">
        <v>5269</v>
      </c>
      <c r="B5270">
        <f>IFERROR(INDEX(Segmen!$A$3:$A$6000,MATCH(C5270,Segmen!$D$3:$D$6000,0)),"")</f>
        <v/>
      </c>
      <c r="C5270">
        <f>IFERROR(LARGE(Segmen!$D$3:$D$6000,A5270),"")</f>
        <v/>
      </c>
    </row>
    <row r="5271">
      <c r="A5271" t="n">
        <v>5270</v>
      </c>
      <c r="B5271">
        <f>IFERROR(INDEX(Segmen!$A$3:$A$6000,MATCH(C5271,Segmen!$D$3:$D$6000,0)),"")</f>
        <v/>
      </c>
      <c r="C5271">
        <f>IFERROR(LARGE(Segmen!$D$3:$D$6000,A5271),"")</f>
        <v/>
      </c>
    </row>
    <row r="5272">
      <c r="A5272" t="n">
        <v>5271</v>
      </c>
      <c r="B5272">
        <f>IFERROR(INDEX(Segmen!$A$3:$A$6000,MATCH(C5272,Segmen!$D$3:$D$6000,0)),"")</f>
        <v/>
      </c>
      <c r="C5272">
        <f>IFERROR(LARGE(Segmen!$D$3:$D$6000,A5272),"")</f>
        <v/>
      </c>
    </row>
    <row r="5273">
      <c r="A5273" t="n">
        <v>5272</v>
      </c>
      <c r="B5273">
        <f>IFERROR(INDEX(Segmen!$A$3:$A$6000,MATCH(C5273,Segmen!$D$3:$D$6000,0)),"")</f>
        <v/>
      </c>
      <c r="C5273">
        <f>IFERROR(LARGE(Segmen!$D$3:$D$6000,A5273),"")</f>
        <v/>
      </c>
    </row>
    <row r="5274">
      <c r="A5274" t="n">
        <v>5273</v>
      </c>
      <c r="B5274">
        <f>IFERROR(INDEX(Segmen!$A$3:$A$6000,MATCH(C5274,Segmen!$D$3:$D$6000,0)),"")</f>
        <v/>
      </c>
      <c r="C5274">
        <f>IFERROR(LARGE(Segmen!$D$3:$D$6000,A5274),"")</f>
        <v/>
      </c>
    </row>
    <row r="5275">
      <c r="A5275" t="n">
        <v>5274</v>
      </c>
      <c r="B5275">
        <f>IFERROR(INDEX(Segmen!$A$3:$A$6000,MATCH(C5275,Segmen!$D$3:$D$6000,0)),"")</f>
        <v/>
      </c>
      <c r="C5275">
        <f>IFERROR(LARGE(Segmen!$D$3:$D$6000,A5275),"")</f>
        <v/>
      </c>
    </row>
    <row r="5276">
      <c r="A5276" t="n">
        <v>5275</v>
      </c>
      <c r="B5276">
        <f>IFERROR(INDEX(Segmen!$A$3:$A$6000,MATCH(C5276,Segmen!$D$3:$D$6000,0)),"")</f>
        <v/>
      </c>
      <c r="C5276">
        <f>IFERROR(LARGE(Segmen!$D$3:$D$6000,A5276),"")</f>
        <v/>
      </c>
    </row>
    <row r="5277">
      <c r="A5277" t="n">
        <v>5276</v>
      </c>
      <c r="B5277">
        <f>IFERROR(INDEX(Segmen!$A$3:$A$6000,MATCH(C5277,Segmen!$D$3:$D$6000,0)),"")</f>
        <v/>
      </c>
      <c r="C5277">
        <f>IFERROR(LARGE(Segmen!$D$3:$D$6000,A5277),"")</f>
        <v/>
      </c>
    </row>
    <row r="5278">
      <c r="A5278" t="n">
        <v>5277</v>
      </c>
      <c r="B5278">
        <f>IFERROR(INDEX(Segmen!$A$3:$A$6000,MATCH(C5278,Segmen!$D$3:$D$6000,0)),"")</f>
        <v/>
      </c>
      <c r="C5278">
        <f>IFERROR(LARGE(Segmen!$D$3:$D$6000,A5278),"")</f>
        <v/>
      </c>
    </row>
    <row r="5279">
      <c r="A5279" t="n">
        <v>5278</v>
      </c>
      <c r="B5279">
        <f>IFERROR(INDEX(Segmen!$A$3:$A$6000,MATCH(C5279,Segmen!$D$3:$D$6000,0)),"")</f>
        <v/>
      </c>
      <c r="C5279">
        <f>IFERROR(LARGE(Segmen!$D$3:$D$6000,A5279),"")</f>
        <v/>
      </c>
    </row>
    <row r="5280">
      <c r="A5280" t="n">
        <v>5279</v>
      </c>
      <c r="B5280">
        <f>IFERROR(INDEX(Segmen!$A$3:$A$6000,MATCH(C5280,Segmen!$D$3:$D$6000,0)),"")</f>
        <v/>
      </c>
      <c r="C5280">
        <f>IFERROR(LARGE(Segmen!$D$3:$D$6000,A5280),"")</f>
        <v/>
      </c>
    </row>
    <row r="5281">
      <c r="A5281" t="n">
        <v>5280</v>
      </c>
      <c r="B5281">
        <f>IFERROR(INDEX(Segmen!$A$3:$A$6000,MATCH(C5281,Segmen!$D$3:$D$6000,0)),"")</f>
        <v/>
      </c>
      <c r="C5281">
        <f>IFERROR(LARGE(Segmen!$D$3:$D$6000,A5281),"")</f>
        <v/>
      </c>
    </row>
    <row r="5282">
      <c r="A5282" t="n">
        <v>5281</v>
      </c>
      <c r="B5282">
        <f>IFERROR(INDEX(Segmen!$A$3:$A$6000,MATCH(C5282,Segmen!$D$3:$D$6000,0)),"")</f>
        <v/>
      </c>
      <c r="C5282">
        <f>IFERROR(LARGE(Segmen!$D$3:$D$6000,A5282),"")</f>
        <v/>
      </c>
    </row>
    <row r="5283">
      <c r="A5283" t="n">
        <v>5282</v>
      </c>
      <c r="B5283">
        <f>IFERROR(INDEX(Segmen!$A$3:$A$6000,MATCH(C5283,Segmen!$D$3:$D$6000,0)),"")</f>
        <v/>
      </c>
      <c r="C5283">
        <f>IFERROR(LARGE(Segmen!$D$3:$D$6000,A5283),"")</f>
        <v/>
      </c>
    </row>
    <row r="5284">
      <c r="A5284" t="n">
        <v>5283</v>
      </c>
      <c r="B5284">
        <f>IFERROR(INDEX(Segmen!$A$3:$A$6000,MATCH(C5284,Segmen!$D$3:$D$6000,0)),"")</f>
        <v/>
      </c>
      <c r="C5284">
        <f>IFERROR(LARGE(Segmen!$D$3:$D$6000,A5284),"")</f>
        <v/>
      </c>
    </row>
    <row r="5285">
      <c r="A5285" t="n">
        <v>5284</v>
      </c>
      <c r="B5285">
        <f>IFERROR(INDEX(Segmen!$A$3:$A$6000,MATCH(C5285,Segmen!$D$3:$D$6000,0)),"")</f>
        <v/>
      </c>
      <c r="C5285">
        <f>IFERROR(LARGE(Segmen!$D$3:$D$6000,A5285),"")</f>
        <v/>
      </c>
    </row>
    <row r="5286">
      <c r="A5286" t="n">
        <v>5285</v>
      </c>
      <c r="B5286">
        <f>IFERROR(INDEX(Segmen!$A$3:$A$6000,MATCH(C5286,Segmen!$D$3:$D$6000,0)),"")</f>
        <v/>
      </c>
      <c r="C5286">
        <f>IFERROR(LARGE(Segmen!$D$3:$D$6000,A5286),"")</f>
        <v/>
      </c>
    </row>
    <row r="5287">
      <c r="A5287" t="n">
        <v>5286</v>
      </c>
      <c r="B5287">
        <f>IFERROR(INDEX(Segmen!$A$3:$A$6000,MATCH(C5287,Segmen!$D$3:$D$6000,0)),"")</f>
        <v/>
      </c>
      <c r="C5287">
        <f>IFERROR(LARGE(Segmen!$D$3:$D$6000,A5287),"")</f>
        <v/>
      </c>
    </row>
    <row r="5288">
      <c r="A5288" t="n">
        <v>5287</v>
      </c>
      <c r="B5288">
        <f>IFERROR(INDEX(Segmen!$A$3:$A$6000,MATCH(C5288,Segmen!$D$3:$D$6000,0)),"")</f>
        <v/>
      </c>
      <c r="C5288">
        <f>IFERROR(LARGE(Segmen!$D$3:$D$6000,A5288),"")</f>
        <v/>
      </c>
    </row>
    <row r="5289">
      <c r="A5289" t="n">
        <v>5288</v>
      </c>
      <c r="B5289">
        <f>IFERROR(INDEX(Segmen!$A$3:$A$6000,MATCH(C5289,Segmen!$D$3:$D$6000,0)),"")</f>
        <v/>
      </c>
      <c r="C5289">
        <f>IFERROR(LARGE(Segmen!$D$3:$D$6000,A5289),"")</f>
        <v/>
      </c>
    </row>
    <row r="5290">
      <c r="A5290" t="n">
        <v>5289</v>
      </c>
      <c r="B5290">
        <f>IFERROR(INDEX(Segmen!$A$3:$A$6000,MATCH(C5290,Segmen!$D$3:$D$6000,0)),"")</f>
        <v/>
      </c>
      <c r="C5290">
        <f>IFERROR(LARGE(Segmen!$D$3:$D$6000,A5290),"")</f>
        <v/>
      </c>
    </row>
    <row r="5291">
      <c r="A5291" t="n">
        <v>5290</v>
      </c>
      <c r="B5291">
        <f>IFERROR(INDEX(Segmen!$A$3:$A$6000,MATCH(C5291,Segmen!$D$3:$D$6000,0)),"")</f>
        <v/>
      </c>
      <c r="C5291">
        <f>IFERROR(LARGE(Segmen!$D$3:$D$6000,A5291),"")</f>
        <v/>
      </c>
    </row>
    <row r="5292">
      <c r="A5292" t="n">
        <v>5291</v>
      </c>
      <c r="B5292">
        <f>IFERROR(INDEX(Segmen!$A$3:$A$6000,MATCH(C5292,Segmen!$D$3:$D$6000,0)),"")</f>
        <v/>
      </c>
      <c r="C5292">
        <f>IFERROR(LARGE(Segmen!$D$3:$D$6000,A5292),"")</f>
        <v/>
      </c>
    </row>
    <row r="5293">
      <c r="A5293" t="n">
        <v>5292</v>
      </c>
      <c r="B5293">
        <f>IFERROR(INDEX(Segmen!$A$3:$A$6000,MATCH(C5293,Segmen!$D$3:$D$6000,0)),"")</f>
        <v/>
      </c>
      <c r="C5293">
        <f>IFERROR(LARGE(Segmen!$D$3:$D$6000,A5293),"")</f>
        <v/>
      </c>
    </row>
    <row r="5294">
      <c r="A5294" t="n">
        <v>5293</v>
      </c>
      <c r="B5294">
        <f>IFERROR(INDEX(Segmen!$A$3:$A$6000,MATCH(C5294,Segmen!$D$3:$D$6000,0)),"")</f>
        <v/>
      </c>
      <c r="C5294">
        <f>IFERROR(LARGE(Segmen!$D$3:$D$6000,A5294),"")</f>
        <v/>
      </c>
    </row>
    <row r="5295">
      <c r="A5295" t="n">
        <v>5294</v>
      </c>
      <c r="B5295">
        <f>IFERROR(INDEX(Segmen!$A$3:$A$6000,MATCH(C5295,Segmen!$D$3:$D$6000,0)),"")</f>
        <v/>
      </c>
      <c r="C5295">
        <f>IFERROR(LARGE(Segmen!$D$3:$D$6000,A5295),"")</f>
        <v/>
      </c>
    </row>
    <row r="5296">
      <c r="A5296" t="n">
        <v>5295</v>
      </c>
      <c r="B5296">
        <f>IFERROR(INDEX(Segmen!$A$3:$A$6000,MATCH(C5296,Segmen!$D$3:$D$6000,0)),"")</f>
        <v/>
      </c>
      <c r="C5296">
        <f>IFERROR(LARGE(Segmen!$D$3:$D$6000,A5296),"")</f>
        <v/>
      </c>
    </row>
    <row r="5297">
      <c r="A5297" t="n">
        <v>5296</v>
      </c>
      <c r="B5297">
        <f>IFERROR(INDEX(Segmen!$A$3:$A$6000,MATCH(C5297,Segmen!$D$3:$D$6000,0)),"")</f>
        <v/>
      </c>
      <c r="C5297">
        <f>IFERROR(LARGE(Segmen!$D$3:$D$6000,A5297),"")</f>
        <v/>
      </c>
    </row>
    <row r="5298">
      <c r="A5298" t="n">
        <v>5297</v>
      </c>
      <c r="B5298">
        <f>IFERROR(INDEX(Segmen!$A$3:$A$6000,MATCH(C5298,Segmen!$D$3:$D$6000,0)),"")</f>
        <v/>
      </c>
      <c r="C5298">
        <f>IFERROR(LARGE(Segmen!$D$3:$D$6000,A5298),"")</f>
        <v/>
      </c>
    </row>
    <row r="5299">
      <c r="A5299" t="n">
        <v>5298</v>
      </c>
      <c r="B5299">
        <f>IFERROR(INDEX(Segmen!$A$3:$A$6000,MATCH(C5299,Segmen!$D$3:$D$6000,0)),"")</f>
        <v/>
      </c>
      <c r="C5299">
        <f>IFERROR(LARGE(Segmen!$D$3:$D$6000,A5299),"")</f>
        <v/>
      </c>
    </row>
    <row r="5300">
      <c r="A5300" t="n">
        <v>5299</v>
      </c>
      <c r="B5300">
        <f>IFERROR(INDEX(Segmen!$A$3:$A$6000,MATCH(C5300,Segmen!$D$3:$D$6000,0)),"")</f>
        <v/>
      </c>
      <c r="C5300">
        <f>IFERROR(LARGE(Segmen!$D$3:$D$6000,A5300),"")</f>
        <v/>
      </c>
    </row>
    <row r="5301">
      <c r="A5301" t="n">
        <v>5300</v>
      </c>
      <c r="B5301">
        <f>IFERROR(INDEX(Segmen!$A$3:$A$6000,MATCH(C5301,Segmen!$D$3:$D$6000,0)),"")</f>
        <v/>
      </c>
      <c r="C5301">
        <f>IFERROR(LARGE(Segmen!$D$3:$D$6000,A5301),"")</f>
        <v/>
      </c>
    </row>
    <row r="5302">
      <c r="A5302" t="n">
        <v>5301</v>
      </c>
      <c r="B5302">
        <f>IFERROR(INDEX(Segmen!$A$3:$A$6000,MATCH(C5302,Segmen!$D$3:$D$6000,0)),"")</f>
        <v/>
      </c>
      <c r="C5302">
        <f>IFERROR(LARGE(Segmen!$D$3:$D$6000,A5302),"")</f>
        <v/>
      </c>
    </row>
    <row r="5303">
      <c r="A5303" t="n">
        <v>5302</v>
      </c>
      <c r="B5303">
        <f>IFERROR(INDEX(Segmen!$A$3:$A$6000,MATCH(C5303,Segmen!$D$3:$D$6000,0)),"")</f>
        <v/>
      </c>
      <c r="C5303">
        <f>IFERROR(LARGE(Segmen!$D$3:$D$6000,A5303),"")</f>
        <v/>
      </c>
    </row>
    <row r="5304">
      <c r="A5304" t="n">
        <v>5303</v>
      </c>
      <c r="B5304">
        <f>IFERROR(INDEX(Segmen!$A$3:$A$6000,MATCH(C5304,Segmen!$D$3:$D$6000,0)),"")</f>
        <v/>
      </c>
      <c r="C5304">
        <f>IFERROR(LARGE(Segmen!$D$3:$D$6000,A5304),"")</f>
        <v/>
      </c>
    </row>
    <row r="5305">
      <c r="A5305" t="n">
        <v>5304</v>
      </c>
      <c r="B5305">
        <f>IFERROR(INDEX(Segmen!$A$3:$A$6000,MATCH(C5305,Segmen!$D$3:$D$6000,0)),"")</f>
        <v/>
      </c>
      <c r="C5305">
        <f>IFERROR(LARGE(Segmen!$D$3:$D$6000,A5305),"")</f>
        <v/>
      </c>
    </row>
    <row r="5306">
      <c r="A5306" t="n">
        <v>5305</v>
      </c>
      <c r="B5306">
        <f>IFERROR(INDEX(Segmen!$A$3:$A$6000,MATCH(C5306,Segmen!$D$3:$D$6000,0)),"")</f>
        <v/>
      </c>
      <c r="C5306">
        <f>IFERROR(LARGE(Segmen!$D$3:$D$6000,A5306),"")</f>
        <v/>
      </c>
    </row>
    <row r="5307">
      <c r="A5307" t="n">
        <v>5306</v>
      </c>
      <c r="B5307">
        <f>IFERROR(INDEX(Segmen!$A$3:$A$6000,MATCH(C5307,Segmen!$D$3:$D$6000,0)),"")</f>
        <v/>
      </c>
      <c r="C5307">
        <f>IFERROR(LARGE(Segmen!$D$3:$D$6000,A5307),"")</f>
        <v/>
      </c>
    </row>
    <row r="5308">
      <c r="A5308" t="n">
        <v>5307</v>
      </c>
      <c r="B5308">
        <f>IFERROR(INDEX(Segmen!$A$3:$A$6000,MATCH(C5308,Segmen!$D$3:$D$6000,0)),"")</f>
        <v/>
      </c>
      <c r="C5308">
        <f>IFERROR(LARGE(Segmen!$D$3:$D$6000,A5308),"")</f>
        <v/>
      </c>
    </row>
    <row r="5309">
      <c r="A5309" t="n">
        <v>5308</v>
      </c>
      <c r="B5309">
        <f>IFERROR(INDEX(Segmen!$A$3:$A$6000,MATCH(C5309,Segmen!$D$3:$D$6000,0)),"")</f>
        <v/>
      </c>
      <c r="C5309">
        <f>IFERROR(LARGE(Segmen!$D$3:$D$6000,A5309),"")</f>
        <v/>
      </c>
    </row>
    <row r="5310">
      <c r="A5310" t="n">
        <v>5309</v>
      </c>
      <c r="B5310">
        <f>IFERROR(INDEX(Segmen!$A$3:$A$6000,MATCH(C5310,Segmen!$D$3:$D$6000,0)),"")</f>
        <v/>
      </c>
      <c r="C5310">
        <f>IFERROR(LARGE(Segmen!$D$3:$D$6000,A5310),"")</f>
        <v/>
      </c>
    </row>
    <row r="5311">
      <c r="A5311" t="n">
        <v>5310</v>
      </c>
      <c r="B5311">
        <f>IFERROR(INDEX(Segmen!$A$3:$A$6000,MATCH(C5311,Segmen!$D$3:$D$6000,0)),"")</f>
        <v/>
      </c>
      <c r="C5311">
        <f>IFERROR(LARGE(Segmen!$D$3:$D$6000,A5311),"")</f>
        <v/>
      </c>
    </row>
    <row r="5312">
      <c r="A5312" t="n">
        <v>5311</v>
      </c>
      <c r="B5312">
        <f>IFERROR(INDEX(Segmen!$A$3:$A$6000,MATCH(C5312,Segmen!$D$3:$D$6000,0)),"")</f>
        <v/>
      </c>
      <c r="C5312">
        <f>IFERROR(LARGE(Segmen!$D$3:$D$6000,A5312),"")</f>
        <v/>
      </c>
    </row>
    <row r="5313">
      <c r="A5313" t="n">
        <v>5312</v>
      </c>
      <c r="B5313">
        <f>IFERROR(INDEX(Segmen!$A$3:$A$6000,MATCH(C5313,Segmen!$D$3:$D$6000,0)),"")</f>
        <v/>
      </c>
      <c r="C5313">
        <f>IFERROR(LARGE(Segmen!$D$3:$D$6000,A5313),"")</f>
        <v/>
      </c>
    </row>
    <row r="5314">
      <c r="A5314" t="n">
        <v>5313</v>
      </c>
      <c r="B5314">
        <f>IFERROR(INDEX(Segmen!$A$3:$A$6000,MATCH(C5314,Segmen!$D$3:$D$6000,0)),"")</f>
        <v/>
      </c>
      <c r="C5314">
        <f>IFERROR(LARGE(Segmen!$D$3:$D$6000,A5314),"")</f>
        <v/>
      </c>
    </row>
    <row r="5315">
      <c r="A5315" t="n">
        <v>5314</v>
      </c>
      <c r="B5315">
        <f>IFERROR(INDEX(Segmen!$A$3:$A$6000,MATCH(C5315,Segmen!$D$3:$D$6000,0)),"")</f>
        <v/>
      </c>
      <c r="C5315">
        <f>IFERROR(LARGE(Segmen!$D$3:$D$6000,A5315),"")</f>
        <v/>
      </c>
    </row>
    <row r="5316">
      <c r="A5316" t="n">
        <v>5315</v>
      </c>
      <c r="B5316">
        <f>IFERROR(INDEX(Segmen!$A$3:$A$6000,MATCH(C5316,Segmen!$D$3:$D$6000,0)),"")</f>
        <v/>
      </c>
      <c r="C5316">
        <f>IFERROR(LARGE(Segmen!$D$3:$D$6000,A5316),"")</f>
        <v/>
      </c>
    </row>
    <row r="5317">
      <c r="A5317" t="n">
        <v>5316</v>
      </c>
      <c r="B5317">
        <f>IFERROR(INDEX(Segmen!$A$3:$A$6000,MATCH(C5317,Segmen!$D$3:$D$6000,0)),"")</f>
        <v/>
      </c>
      <c r="C5317">
        <f>IFERROR(LARGE(Segmen!$D$3:$D$6000,A5317),"")</f>
        <v/>
      </c>
    </row>
    <row r="5318">
      <c r="A5318" t="n">
        <v>5317</v>
      </c>
      <c r="B5318">
        <f>IFERROR(INDEX(Segmen!$A$3:$A$6000,MATCH(C5318,Segmen!$D$3:$D$6000,0)),"")</f>
        <v/>
      </c>
      <c r="C5318">
        <f>IFERROR(LARGE(Segmen!$D$3:$D$6000,A5318),"")</f>
        <v/>
      </c>
    </row>
    <row r="5319">
      <c r="A5319" t="n">
        <v>5318</v>
      </c>
      <c r="B5319">
        <f>IFERROR(INDEX(Segmen!$A$3:$A$6000,MATCH(C5319,Segmen!$D$3:$D$6000,0)),"")</f>
        <v/>
      </c>
      <c r="C5319">
        <f>IFERROR(LARGE(Segmen!$D$3:$D$6000,A5319),"")</f>
        <v/>
      </c>
    </row>
    <row r="5320">
      <c r="A5320" t="n">
        <v>5319</v>
      </c>
      <c r="B5320">
        <f>IFERROR(INDEX(Segmen!$A$3:$A$6000,MATCH(C5320,Segmen!$D$3:$D$6000,0)),"")</f>
        <v/>
      </c>
      <c r="C5320">
        <f>IFERROR(LARGE(Segmen!$D$3:$D$6000,A5320),"")</f>
        <v/>
      </c>
    </row>
    <row r="5321">
      <c r="A5321" t="n">
        <v>5320</v>
      </c>
      <c r="B5321">
        <f>IFERROR(INDEX(Segmen!$A$3:$A$6000,MATCH(C5321,Segmen!$D$3:$D$6000,0)),"")</f>
        <v/>
      </c>
      <c r="C5321">
        <f>IFERROR(LARGE(Segmen!$D$3:$D$6000,A5321),"")</f>
        <v/>
      </c>
    </row>
    <row r="5322">
      <c r="A5322" t="n">
        <v>5321</v>
      </c>
      <c r="B5322">
        <f>IFERROR(INDEX(Segmen!$A$3:$A$6000,MATCH(C5322,Segmen!$D$3:$D$6000,0)),"")</f>
        <v/>
      </c>
      <c r="C5322">
        <f>IFERROR(LARGE(Segmen!$D$3:$D$6000,A5322),"")</f>
        <v/>
      </c>
    </row>
    <row r="5323">
      <c r="A5323" t="n">
        <v>5322</v>
      </c>
      <c r="B5323">
        <f>IFERROR(INDEX(Segmen!$A$3:$A$6000,MATCH(C5323,Segmen!$D$3:$D$6000,0)),"")</f>
        <v/>
      </c>
      <c r="C5323">
        <f>IFERROR(LARGE(Segmen!$D$3:$D$6000,A5323),"")</f>
        <v/>
      </c>
    </row>
    <row r="5324">
      <c r="A5324" t="n">
        <v>5323</v>
      </c>
      <c r="B5324">
        <f>IFERROR(INDEX(Segmen!$A$3:$A$6000,MATCH(C5324,Segmen!$D$3:$D$6000,0)),"")</f>
        <v/>
      </c>
      <c r="C5324">
        <f>IFERROR(LARGE(Segmen!$D$3:$D$6000,A5324),"")</f>
        <v/>
      </c>
    </row>
    <row r="5325">
      <c r="A5325" t="n">
        <v>5324</v>
      </c>
      <c r="B5325">
        <f>IFERROR(INDEX(Segmen!$A$3:$A$6000,MATCH(C5325,Segmen!$D$3:$D$6000,0)),"")</f>
        <v/>
      </c>
      <c r="C5325">
        <f>IFERROR(LARGE(Segmen!$D$3:$D$6000,A5325),"")</f>
        <v/>
      </c>
    </row>
    <row r="5326">
      <c r="A5326" t="n">
        <v>5325</v>
      </c>
      <c r="B5326">
        <f>IFERROR(INDEX(Segmen!$A$3:$A$6000,MATCH(C5326,Segmen!$D$3:$D$6000,0)),"")</f>
        <v/>
      </c>
      <c r="C5326">
        <f>IFERROR(LARGE(Segmen!$D$3:$D$6000,A5326),"")</f>
        <v/>
      </c>
    </row>
    <row r="5327">
      <c r="A5327" t="n">
        <v>5326</v>
      </c>
      <c r="B5327">
        <f>IFERROR(INDEX(Segmen!$A$3:$A$6000,MATCH(C5327,Segmen!$D$3:$D$6000,0)),"")</f>
        <v/>
      </c>
      <c r="C5327">
        <f>IFERROR(LARGE(Segmen!$D$3:$D$6000,A5327),"")</f>
        <v/>
      </c>
    </row>
    <row r="5328">
      <c r="A5328" t="n">
        <v>5327</v>
      </c>
      <c r="B5328">
        <f>IFERROR(INDEX(Segmen!$A$3:$A$6000,MATCH(C5328,Segmen!$D$3:$D$6000,0)),"")</f>
        <v/>
      </c>
      <c r="C5328">
        <f>IFERROR(LARGE(Segmen!$D$3:$D$6000,A5328),"")</f>
        <v/>
      </c>
    </row>
    <row r="5329">
      <c r="A5329" t="n">
        <v>5328</v>
      </c>
      <c r="B5329">
        <f>IFERROR(INDEX(Segmen!$A$3:$A$6000,MATCH(C5329,Segmen!$D$3:$D$6000,0)),"")</f>
        <v/>
      </c>
      <c r="C5329">
        <f>IFERROR(LARGE(Segmen!$D$3:$D$6000,A5329),"")</f>
        <v/>
      </c>
    </row>
    <row r="5330">
      <c r="A5330" t="n">
        <v>5329</v>
      </c>
      <c r="B5330">
        <f>IFERROR(INDEX(Segmen!$A$3:$A$6000,MATCH(C5330,Segmen!$D$3:$D$6000,0)),"")</f>
        <v/>
      </c>
      <c r="C5330">
        <f>IFERROR(LARGE(Segmen!$D$3:$D$6000,A5330),"")</f>
        <v/>
      </c>
    </row>
    <row r="5331">
      <c r="A5331" t="n">
        <v>5330</v>
      </c>
      <c r="B5331">
        <f>IFERROR(INDEX(Segmen!$A$3:$A$6000,MATCH(C5331,Segmen!$D$3:$D$6000,0)),"")</f>
        <v/>
      </c>
      <c r="C5331">
        <f>IFERROR(LARGE(Segmen!$D$3:$D$6000,A5331),"")</f>
        <v/>
      </c>
    </row>
    <row r="5332">
      <c r="A5332" t="n">
        <v>5331</v>
      </c>
      <c r="B5332">
        <f>IFERROR(INDEX(Segmen!$A$3:$A$6000,MATCH(C5332,Segmen!$D$3:$D$6000,0)),"")</f>
        <v/>
      </c>
      <c r="C5332">
        <f>IFERROR(LARGE(Segmen!$D$3:$D$6000,A5332),"")</f>
        <v/>
      </c>
    </row>
    <row r="5333">
      <c r="A5333" t="n">
        <v>5332</v>
      </c>
      <c r="B5333">
        <f>IFERROR(INDEX(Segmen!$A$3:$A$6000,MATCH(C5333,Segmen!$D$3:$D$6000,0)),"")</f>
        <v/>
      </c>
      <c r="C5333">
        <f>IFERROR(LARGE(Segmen!$D$3:$D$6000,A5333),"")</f>
        <v/>
      </c>
    </row>
    <row r="5334">
      <c r="A5334" t="n">
        <v>5333</v>
      </c>
      <c r="B5334">
        <f>IFERROR(INDEX(Segmen!$A$3:$A$6000,MATCH(C5334,Segmen!$D$3:$D$6000,0)),"")</f>
        <v/>
      </c>
      <c r="C5334">
        <f>IFERROR(LARGE(Segmen!$D$3:$D$6000,A5334),"")</f>
        <v/>
      </c>
    </row>
    <row r="5335">
      <c r="A5335" t="n">
        <v>5334</v>
      </c>
      <c r="B5335">
        <f>IFERROR(INDEX(Segmen!$A$3:$A$6000,MATCH(C5335,Segmen!$D$3:$D$6000,0)),"")</f>
        <v/>
      </c>
      <c r="C5335">
        <f>IFERROR(LARGE(Segmen!$D$3:$D$6000,A5335),"")</f>
        <v/>
      </c>
    </row>
    <row r="5336">
      <c r="A5336" t="n">
        <v>5335</v>
      </c>
      <c r="B5336">
        <f>IFERROR(INDEX(Segmen!$A$3:$A$6000,MATCH(C5336,Segmen!$D$3:$D$6000,0)),"")</f>
        <v/>
      </c>
      <c r="C5336">
        <f>IFERROR(LARGE(Segmen!$D$3:$D$6000,A5336),"")</f>
        <v/>
      </c>
    </row>
    <row r="5337">
      <c r="A5337" t="n">
        <v>5336</v>
      </c>
      <c r="B5337">
        <f>IFERROR(INDEX(Segmen!$A$3:$A$6000,MATCH(C5337,Segmen!$D$3:$D$6000,0)),"")</f>
        <v/>
      </c>
      <c r="C5337">
        <f>IFERROR(LARGE(Segmen!$D$3:$D$6000,A5337),"")</f>
        <v/>
      </c>
    </row>
    <row r="5338">
      <c r="A5338" t="n">
        <v>5337</v>
      </c>
      <c r="B5338">
        <f>IFERROR(INDEX(Segmen!$A$3:$A$6000,MATCH(C5338,Segmen!$D$3:$D$6000,0)),"")</f>
        <v/>
      </c>
      <c r="C5338">
        <f>IFERROR(LARGE(Segmen!$D$3:$D$6000,A5338),"")</f>
        <v/>
      </c>
    </row>
    <row r="5339">
      <c r="A5339" t="n">
        <v>5338</v>
      </c>
      <c r="B5339">
        <f>IFERROR(INDEX(Segmen!$A$3:$A$6000,MATCH(C5339,Segmen!$D$3:$D$6000,0)),"")</f>
        <v/>
      </c>
      <c r="C5339">
        <f>IFERROR(LARGE(Segmen!$D$3:$D$6000,A5339),"")</f>
        <v/>
      </c>
    </row>
    <row r="5340">
      <c r="A5340" t="n">
        <v>5339</v>
      </c>
      <c r="B5340">
        <f>IFERROR(INDEX(Segmen!$A$3:$A$6000,MATCH(C5340,Segmen!$D$3:$D$6000,0)),"")</f>
        <v/>
      </c>
      <c r="C5340">
        <f>IFERROR(LARGE(Segmen!$D$3:$D$6000,A5340),"")</f>
        <v/>
      </c>
    </row>
    <row r="5341">
      <c r="A5341" t="n">
        <v>5340</v>
      </c>
      <c r="B5341">
        <f>IFERROR(INDEX(Segmen!$A$3:$A$6000,MATCH(C5341,Segmen!$D$3:$D$6000,0)),"")</f>
        <v/>
      </c>
      <c r="C5341">
        <f>IFERROR(LARGE(Segmen!$D$3:$D$6000,A5341),"")</f>
        <v/>
      </c>
    </row>
    <row r="5342">
      <c r="A5342" t="n">
        <v>5341</v>
      </c>
      <c r="B5342">
        <f>IFERROR(INDEX(Segmen!$A$3:$A$6000,MATCH(C5342,Segmen!$D$3:$D$6000,0)),"")</f>
        <v/>
      </c>
      <c r="C5342">
        <f>IFERROR(LARGE(Segmen!$D$3:$D$6000,A5342),"")</f>
        <v/>
      </c>
    </row>
    <row r="5343">
      <c r="A5343" t="n">
        <v>5342</v>
      </c>
      <c r="B5343">
        <f>IFERROR(INDEX(Segmen!$A$3:$A$6000,MATCH(C5343,Segmen!$D$3:$D$6000,0)),"")</f>
        <v/>
      </c>
      <c r="C5343">
        <f>IFERROR(LARGE(Segmen!$D$3:$D$6000,A5343),"")</f>
        <v/>
      </c>
    </row>
    <row r="5344">
      <c r="A5344" t="n">
        <v>5343</v>
      </c>
      <c r="B5344">
        <f>IFERROR(INDEX(Segmen!$A$3:$A$6000,MATCH(C5344,Segmen!$D$3:$D$6000,0)),"")</f>
        <v/>
      </c>
      <c r="C5344">
        <f>IFERROR(LARGE(Segmen!$D$3:$D$6000,A5344),"")</f>
        <v/>
      </c>
    </row>
    <row r="5345">
      <c r="A5345" t="n">
        <v>5344</v>
      </c>
      <c r="B5345">
        <f>IFERROR(INDEX(Segmen!$A$3:$A$6000,MATCH(C5345,Segmen!$D$3:$D$6000,0)),"")</f>
        <v/>
      </c>
      <c r="C5345">
        <f>IFERROR(LARGE(Segmen!$D$3:$D$6000,A5345),"")</f>
        <v/>
      </c>
    </row>
    <row r="5346">
      <c r="A5346" t="n">
        <v>5345</v>
      </c>
      <c r="B5346">
        <f>IFERROR(INDEX(Segmen!$A$3:$A$6000,MATCH(C5346,Segmen!$D$3:$D$6000,0)),"")</f>
        <v/>
      </c>
      <c r="C5346">
        <f>IFERROR(LARGE(Segmen!$D$3:$D$6000,A5346),"")</f>
        <v/>
      </c>
    </row>
    <row r="5347">
      <c r="A5347" t="n">
        <v>5346</v>
      </c>
      <c r="B5347">
        <f>IFERROR(INDEX(Segmen!$A$3:$A$6000,MATCH(C5347,Segmen!$D$3:$D$6000,0)),"")</f>
        <v/>
      </c>
      <c r="C5347">
        <f>IFERROR(LARGE(Segmen!$D$3:$D$6000,A5347),"")</f>
        <v/>
      </c>
    </row>
    <row r="5348">
      <c r="A5348" t="n">
        <v>5347</v>
      </c>
      <c r="B5348">
        <f>IFERROR(INDEX(Segmen!$A$3:$A$6000,MATCH(C5348,Segmen!$D$3:$D$6000,0)),"")</f>
        <v/>
      </c>
      <c r="C5348">
        <f>IFERROR(LARGE(Segmen!$D$3:$D$6000,A5348),"")</f>
        <v/>
      </c>
    </row>
    <row r="5349">
      <c r="A5349" t="n">
        <v>5348</v>
      </c>
      <c r="B5349">
        <f>IFERROR(INDEX(Segmen!$A$3:$A$6000,MATCH(C5349,Segmen!$D$3:$D$6000,0)),"")</f>
        <v/>
      </c>
      <c r="C5349">
        <f>IFERROR(LARGE(Segmen!$D$3:$D$6000,A5349),"")</f>
        <v/>
      </c>
    </row>
    <row r="5350">
      <c r="A5350" t="n">
        <v>5349</v>
      </c>
      <c r="B5350">
        <f>IFERROR(INDEX(Segmen!$A$3:$A$6000,MATCH(C5350,Segmen!$D$3:$D$6000,0)),"")</f>
        <v/>
      </c>
      <c r="C5350">
        <f>IFERROR(LARGE(Segmen!$D$3:$D$6000,A5350),"")</f>
        <v/>
      </c>
    </row>
    <row r="5351">
      <c r="A5351" t="n">
        <v>5350</v>
      </c>
      <c r="B5351">
        <f>IFERROR(INDEX(Segmen!$A$3:$A$6000,MATCH(C5351,Segmen!$D$3:$D$6000,0)),"")</f>
        <v/>
      </c>
      <c r="C5351">
        <f>IFERROR(LARGE(Segmen!$D$3:$D$6000,A5351),"")</f>
        <v/>
      </c>
    </row>
    <row r="5352">
      <c r="A5352" t="n">
        <v>5351</v>
      </c>
      <c r="B5352">
        <f>IFERROR(INDEX(Segmen!$A$3:$A$6000,MATCH(C5352,Segmen!$D$3:$D$6000,0)),"")</f>
        <v/>
      </c>
      <c r="C5352">
        <f>IFERROR(LARGE(Segmen!$D$3:$D$6000,A5352),"")</f>
        <v/>
      </c>
    </row>
    <row r="5353">
      <c r="A5353" t="n">
        <v>5352</v>
      </c>
      <c r="B5353">
        <f>IFERROR(INDEX(Segmen!$A$3:$A$6000,MATCH(C5353,Segmen!$D$3:$D$6000,0)),"")</f>
        <v/>
      </c>
      <c r="C5353">
        <f>IFERROR(LARGE(Segmen!$D$3:$D$6000,A5353),"")</f>
        <v/>
      </c>
    </row>
    <row r="5354">
      <c r="A5354" t="n">
        <v>5353</v>
      </c>
      <c r="B5354">
        <f>IFERROR(INDEX(Segmen!$A$3:$A$6000,MATCH(C5354,Segmen!$D$3:$D$6000,0)),"")</f>
        <v/>
      </c>
      <c r="C5354">
        <f>IFERROR(LARGE(Segmen!$D$3:$D$6000,A5354),"")</f>
        <v/>
      </c>
    </row>
    <row r="5355">
      <c r="A5355" t="n">
        <v>5354</v>
      </c>
      <c r="B5355">
        <f>IFERROR(INDEX(Segmen!$A$3:$A$6000,MATCH(C5355,Segmen!$D$3:$D$6000,0)),"")</f>
        <v/>
      </c>
      <c r="C5355">
        <f>IFERROR(LARGE(Segmen!$D$3:$D$6000,A5355),"")</f>
        <v/>
      </c>
    </row>
    <row r="5356">
      <c r="A5356" t="n">
        <v>5355</v>
      </c>
      <c r="B5356">
        <f>IFERROR(INDEX(Segmen!$A$3:$A$6000,MATCH(C5356,Segmen!$D$3:$D$6000,0)),"")</f>
        <v/>
      </c>
      <c r="C5356">
        <f>IFERROR(LARGE(Segmen!$D$3:$D$6000,A5356),"")</f>
        <v/>
      </c>
    </row>
    <row r="5357">
      <c r="A5357" t="n">
        <v>5356</v>
      </c>
      <c r="B5357">
        <f>IFERROR(INDEX(Segmen!$A$3:$A$6000,MATCH(C5357,Segmen!$D$3:$D$6000,0)),"")</f>
        <v/>
      </c>
      <c r="C5357">
        <f>IFERROR(LARGE(Segmen!$D$3:$D$6000,A5357),"")</f>
        <v/>
      </c>
    </row>
    <row r="5358">
      <c r="A5358" t="n">
        <v>5357</v>
      </c>
      <c r="B5358">
        <f>IFERROR(INDEX(Segmen!$A$3:$A$6000,MATCH(C5358,Segmen!$D$3:$D$6000,0)),"")</f>
        <v/>
      </c>
      <c r="C5358">
        <f>IFERROR(LARGE(Segmen!$D$3:$D$6000,A5358),"")</f>
        <v/>
      </c>
    </row>
    <row r="5359">
      <c r="A5359" t="n">
        <v>5358</v>
      </c>
      <c r="B5359">
        <f>IFERROR(INDEX(Segmen!$A$3:$A$6000,MATCH(C5359,Segmen!$D$3:$D$6000,0)),"")</f>
        <v/>
      </c>
      <c r="C5359">
        <f>IFERROR(LARGE(Segmen!$D$3:$D$6000,A5359),"")</f>
        <v/>
      </c>
    </row>
    <row r="5360">
      <c r="A5360" t="n">
        <v>5359</v>
      </c>
      <c r="B5360">
        <f>IFERROR(INDEX(Segmen!$A$3:$A$6000,MATCH(C5360,Segmen!$D$3:$D$6000,0)),"")</f>
        <v/>
      </c>
      <c r="C5360">
        <f>IFERROR(LARGE(Segmen!$D$3:$D$6000,A5360),"")</f>
        <v/>
      </c>
    </row>
    <row r="5361">
      <c r="A5361" t="n">
        <v>5360</v>
      </c>
      <c r="B5361">
        <f>IFERROR(INDEX(Segmen!$A$3:$A$6000,MATCH(C5361,Segmen!$D$3:$D$6000,0)),"")</f>
        <v/>
      </c>
      <c r="C5361">
        <f>IFERROR(LARGE(Segmen!$D$3:$D$6000,A5361),"")</f>
        <v/>
      </c>
    </row>
    <row r="5362">
      <c r="A5362" t="n">
        <v>5361</v>
      </c>
      <c r="B5362">
        <f>IFERROR(INDEX(Segmen!$A$3:$A$6000,MATCH(C5362,Segmen!$D$3:$D$6000,0)),"")</f>
        <v/>
      </c>
      <c r="C5362">
        <f>IFERROR(LARGE(Segmen!$D$3:$D$6000,A5362),"")</f>
        <v/>
      </c>
    </row>
    <row r="5363">
      <c r="A5363" t="n">
        <v>5362</v>
      </c>
      <c r="B5363">
        <f>IFERROR(INDEX(Segmen!$A$3:$A$6000,MATCH(C5363,Segmen!$D$3:$D$6000,0)),"")</f>
        <v/>
      </c>
      <c r="C5363">
        <f>IFERROR(LARGE(Segmen!$D$3:$D$6000,A5363),"")</f>
        <v/>
      </c>
    </row>
    <row r="5364">
      <c r="A5364" t="n">
        <v>5363</v>
      </c>
      <c r="B5364">
        <f>IFERROR(INDEX(Segmen!$A$3:$A$6000,MATCH(C5364,Segmen!$D$3:$D$6000,0)),"")</f>
        <v/>
      </c>
      <c r="C5364">
        <f>IFERROR(LARGE(Segmen!$D$3:$D$6000,A5364),"")</f>
        <v/>
      </c>
    </row>
    <row r="5365">
      <c r="A5365" t="n">
        <v>5364</v>
      </c>
      <c r="B5365">
        <f>IFERROR(INDEX(Segmen!$A$3:$A$6000,MATCH(C5365,Segmen!$D$3:$D$6000,0)),"")</f>
        <v/>
      </c>
      <c r="C5365">
        <f>IFERROR(LARGE(Segmen!$D$3:$D$6000,A5365),"")</f>
        <v/>
      </c>
    </row>
    <row r="5366">
      <c r="A5366" t="n">
        <v>5365</v>
      </c>
      <c r="B5366">
        <f>IFERROR(INDEX(Segmen!$A$3:$A$6000,MATCH(C5366,Segmen!$D$3:$D$6000,0)),"")</f>
        <v/>
      </c>
      <c r="C5366">
        <f>IFERROR(LARGE(Segmen!$D$3:$D$6000,A5366),"")</f>
        <v/>
      </c>
    </row>
    <row r="5367">
      <c r="A5367" t="n">
        <v>5366</v>
      </c>
      <c r="B5367">
        <f>IFERROR(INDEX(Segmen!$A$3:$A$6000,MATCH(C5367,Segmen!$D$3:$D$6000,0)),"")</f>
        <v/>
      </c>
      <c r="C5367">
        <f>IFERROR(LARGE(Segmen!$D$3:$D$6000,A5367),"")</f>
        <v/>
      </c>
    </row>
    <row r="5368">
      <c r="A5368" t="n">
        <v>5367</v>
      </c>
      <c r="B5368">
        <f>IFERROR(INDEX(Segmen!$A$3:$A$6000,MATCH(C5368,Segmen!$D$3:$D$6000,0)),"")</f>
        <v/>
      </c>
      <c r="C5368">
        <f>IFERROR(LARGE(Segmen!$D$3:$D$6000,A5368),"")</f>
        <v/>
      </c>
    </row>
    <row r="5369">
      <c r="A5369" t="n">
        <v>5368</v>
      </c>
      <c r="B5369">
        <f>IFERROR(INDEX(Segmen!$A$3:$A$6000,MATCH(C5369,Segmen!$D$3:$D$6000,0)),"")</f>
        <v/>
      </c>
      <c r="C5369">
        <f>IFERROR(LARGE(Segmen!$D$3:$D$6000,A5369),"")</f>
        <v/>
      </c>
    </row>
    <row r="5370">
      <c r="A5370" t="n">
        <v>5369</v>
      </c>
      <c r="B5370">
        <f>IFERROR(INDEX(Segmen!$A$3:$A$6000,MATCH(C5370,Segmen!$D$3:$D$6000,0)),"")</f>
        <v/>
      </c>
      <c r="C5370">
        <f>IFERROR(LARGE(Segmen!$D$3:$D$6000,A5370),"")</f>
        <v/>
      </c>
    </row>
    <row r="5371">
      <c r="A5371" t="n">
        <v>5370</v>
      </c>
      <c r="B5371">
        <f>IFERROR(INDEX(Segmen!$A$3:$A$6000,MATCH(C5371,Segmen!$D$3:$D$6000,0)),"")</f>
        <v/>
      </c>
      <c r="C5371">
        <f>IFERROR(LARGE(Segmen!$D$3:$D$6000,A5371),"")</f>
        <v/>
      </c>
    </row>
    <row r="5372">
      <c r="A5372" t="n">
        <v>5371</v>
      </c>
      <c r="B5372">
        <f>IFERROR(INDEX(Segmen!$A$3:$A$6000,MATCH(C5372,Segmen!$D$3:$D$6000,0)),"")</f>
        <v/>
      </c>
      <c r="C5372">
        <f>IFERROR(LARGE(Segmen!$D$3:$D$6000,A5372),"")</f>
        <v/>
      </c>
    </row>
    <row r="5373">
      <c r="A5373" t="n">
        <v>5372</v>
      </c>
      <c r="B5373">
        <f>IFERROR(INDEX(Segmen!$A$3:$A$6000,MATCH(C5373,Segmen!$D$3:$D$6000,0)),"")</f>
        <v/>
      </c>
      <c r="C5373">
        <f>IFERROR(LARGE(Segmen!$D$3:$D$6000,A5373),"")</f>
        <v/>
      </c>
    </row>
    <row r="5374">
      <c r="A5374" t="n">
        <v>5373</v>
      </c>
      <c r="B5374">
        <f>IFERROR(INDEX(Segmen!$A$3:$A$6000,MATCH(C5374,Segmen!$D$3:$D$6000,0)),"")</f>
        <v/>
      </c>
      <c r="C5374">
        <f>IFERROR(LARGE(Segmen!$D$3:$D$6000,A5374),"")</f>
        <v/>
      </c>
    </row>
    <row r="5375">
      <c r="A5375" t="n">
        <v>5374</v>
      </c>
      <c r="B5375">
        <f>IFERROR(INDEX(Segmen!$A$3:$A$6000,MATCH(C5375,Segmen!$D$3:$D$6000,0)),"")</f>
        <v/>
      </c>
      <c r="C5375">
        <f>IFERROR(LARGE(Segmen!$D$3:$D$6000,A5375),"")</f>
        <v/>
      </c>
    </row>
    <row r="5376">
      <c r="A5376" t="n">
        <v>5375</v>
      </c>
      <c r="B5376">
        <f>IFERROR(INDEX(Segmen!$A$3:$A$6000,MATCH(C5376,Segmen!$D$3:$D$6000,0)),"")</f>
        <v/>
      </c>
      <c r="C5376">
        <f>IFERROR(LARGE(Segmen!$D$3:$D$6000,A5376),"")</f>
        <v/>
      </c>
    </row>
    <row r="5377">
      <c r="A5377" t="n">
        <v>5376</v>
      </c>
      <c r="B5377">
        <f>IFERROR(INDEX(Segmen!$A$3:$A$6000,MATCH(C5377,Segmen!$D$3:$D$6000,0)),"")</f>
        <v/>
      </c>
      <c r="C5377">
        <f>IFERROR(LARGE(Segmen!$D$3:$D$6000,A5377),"")</f>
        <v/>
      </c>
    </row>
    <row r="5378">
      <c r="A5378" t="n">
        <v>5377</v>
      </c>
      <c r="B5378">
        <f>IFERROR(INDEX(Segmen!$A$3:$A$6000,MATCH(C5378,Segmen!$D$3:$D$6000,0)),"")</f>
        <v/>
      </c>
      <c r="C5378">
        <f>IFERROR(LARGE(Segmen!$D$3:$D$6000,A5378),"")</f>
        <v/>
      </c>
    </row>
    <row r="5379">
      <c r="A5379" t="n">
        <v>5378</v>
      </c>
      <c r="B5379">
        <f>IFERROR(INDEX(Segmen!$A$3:$A$6000,MATCH(C5379,Segmen!$D$3:$D$6000,0)),"")</f>
        <v/>
      </c>
      <c r="C5379">
        <f>IFERROR(LARGE(Segmen!$D$3:$D$6000,A5379),"")</f>
        <v/>
      </c>
    </row>
    <row r="5380">
      <c r="A5380" t="n">
        <v>5379</v>
      </c>
      <c r="B5380">
        <f>IFERROR(INDEX(Segmen!$A$3:$A$6000,MATCH(C5380,Segmen!$D$3:$D$6000,0)),"")</f>
        <v/>
      </c>
      <c r="C5380">
        <f>IFERROR(LARGE(Segmen!$D$3:$D$6000,A5380),"")</f>
        <v/>
      </c>
    </row>
    <row r="5381">
      <c r="A5381" t="n">
        <v>5380</v>
      </c>
      <c r="B5381">
        <f>IFERROR(INDEX(Segmen!$A$3:$A$6000,MATCH(C5381,Segmen!$D$3:$D$6000,0)),"")</f>
        <v/>
      </c>
      <c r="C5381">
        <f>IFERROR(LARGE(Segmen!$D$3:$D$6000,A5381),"")</f>
        <v/>
      </c>
    </row>
    <row r="5382">
      <c r="A5382" t="n">
        <v>5381</v>
      </c>
      <c r="B5382">
        <f>IFERROR(INDEX(Segmen!$A$3:$A$6000,MATCH(C5382,Segmen!$D$3:$D$6000,0)),"")</f>
        <v/>
      </c>
      <c r="C5382">
        <f>IFERROR(LARGE(Segmen!$D$3:$D$6000,A5382),"")</f>
        <v/>
      </c>
    </row>
    <row r="5383">
      <c r="A5383" t="n">
        <v>5382</v>
      </c>
      <c r="B5383">
        <f>IFERROR(INDEX(Segmen!$A$3:$A$6000,MATCH(C5383,Segmen!$D$3:$D$6000,0)),"")</f>
        <v/>
      </c>
      <c r="C5383">
        <f>IFERROR(LARGE(Segmen!$D$3:$D$6000,A5383),"")</f>
        <v/>
      </c>
    </row>
    <row r="5384">
      <c r="A5384" t="n">
        <v>5383</v>
      </c>
      <c r="B5384">
        <f>IFERROR(INDEX(Segmen!$A$3:$A$6000,MATCH(C5384,Segmen!$D$3:$D$6000,0)),"")</f>
        <v/>
      </c>
      <c r="C5384">
        <f>IFERROR(LARGE(Segmen!$D$3:$D$6000,A5384),"")</f>
        <v/>
      </c>
    </row>
    <row r="5385">
      <c r="A5385" t="n">
        <v>5384</v>
      </c>
      <c r="B5385">
        <f>IFERROR(INDEX(Segmen!$A$3:$A$6000,MATCH(C5385,Segmen!$D$3:$D$6000,0)),"")</f>
        <v/>
      </c>
      <c r="C5385">
        <f>IFERROR(LARGE(Segmen!$D$3:$D$6000,A5385),"")</f>
        <v/>
      </c>
    </row>
    <row r="5386">
      <c r="A5386" t="n">
        <v>5385</v>
      </c>
      <c r="B5386">
        <f>IFERROR(INDEX(Segmen!$A$3:$A$6000,MATCH(C5386,Segmen!$D$3:$D$6000,0)),"")</f>
        <v/>
      </c>
      <c r="C5386">
        <f>IFERROR(LARGE(Segmen!$D$3:$D$6000,A5386),"")</f>
        <v/>
      </c>
    </row>
    <row r="5387">
      <c r="A5387" t="n">
        <v>5386</v>
      </c>
      <c r="B5387">
        <f>IFERROR(INDEX(Segmen!$A$3:$A$6000,MATCH(C5387,Segmen!$D$3:$D$6000,0)),"")</f>
        <v/>
      </c>
      <c r="C5387">
        <f>IFERROR(LARGE(Segmen!$D$3:$D$6000,A5387),"")</f>
        <v/>
      </c>
    </row>
    <row r="5388">
      <c r="A5388" t="n">
        <v>5387</v>
      </c>
      <c r="B5388">
        <f>IFERROR(INDEX(Segmen!$A$3:$A$6000,MATCH(C5388,Segmen!$D$3:$D$6000,0)),"")</f>
        <v/>
      </c>
      <c r="C5388">
        <f>IFERROR(LARGE(Segmen!$D$3:$D$6000,A5388),"")</f>
        <v/>
      </c>
    </row>
    <row r="5389">
      <c r="A5389" t="n">
        <v>5388</v>
      </c>
      <c r="B5389">
        <f>IFERROR(INDEX(Segmen!$A$3:$A$6000,MATCH(C5389,Segmen!$D$3:$D$6000,0)),"")</f>
        <v/>
      </c>
      <c r="C5389">
        <f>IFERROR(LARGE(Segmen!$D$3:$D$6000,A5389),"")</f>
        <v/>
      </c>
    </row>
    <row r="5390">
      <c r="A5390" t="n">
        <v>5389</v>
      </c>
      <c r="B5390">
        <f>IFERROR(INDEX(Segmen!$A$3:$A$6000,MATCH(C5390,Segmen!$D$3:$D$6000,0)),"")</f>
        <v/>
      </c>
      <c r="C5390">
        <f>IFERROR(LARGE(Segmen!$D$3:$D$6000,A5390),"")</f>
        <v/>
      </c>
    </row>
    <row r="5391">
      <c r="A5391" t="n">
        <v>5390</v>
      </c>
      <c r="B5391">
        <f>IFERROR(INDEX(Segmen!$A$3:$A$6000,MATCH(C5391,Segmen!$D$3:$D$6000,0)),"")</f>
        <v/>
      </c>
      <c r="C5391">
        <f>IFERROR(LARGE(Segmen!$D$3:$D$6000,A5391),"")</f>
        <v/>
      </c>
    </row>
    <row r="5392">
      <c r="A5392" t="n">
        <v>5391</v>
      </c>
      <c r="B5392">
        <f>IFERROR(INDEX(Segmen!$A$3:$A$6000,MATCH(C5392,Segmen!$D$3:$D$6000,0)),"")</f>
        <v/>
      </c>
      <c r="C5392">
        <f>IFERROR(LARGE(Segmen!$D$3:$D$6000,A5392),"")</f>
        <v/>
      </c>
    </row>
    <row r="5393">
      <c r="A5393" t="n">
        <v>5392</v>
      </c>
      <c r="B5393">
        <f>IFERROR(INDEX(Segmen!$A$3:$A$6000,MATCH(C5393,Segmen!$D$3:$D$6000,0)),"")</f>
        <v/>
      </c>
      <c r="C5393">
        <f>IFERROR(LARGE(Segmen!$D$3:$D$6000,A5393),"")</f>
        <v/>
      </c>
    </row>
    <row r="5394">
      <c r="A5394" t="n">
        <v>5393</v>
      </c>
      <c r="B5394">
        <f>IFERROR(INDEX(Segmen!$A$3:$A$6000,MATCH(C5394,Segmen!$D$3:$D$6000,0)),"")</f>
        <v/>
      </c>
      <c r="C5394">
        <f>IFERROR(LARGE(Segmen!$D$3:$D$6000,A5394),"")</f>
        <v/>
      </c>
    </row>
    <row r="5395">
      <c r="A5395" t="n">
        <v>5394</v>
      </c>
      <c r="B5395">
        <f>IFERROR(INDEX(Segmen!$A$3:$A$6000,MATCH(C5395,Segmen!$D$3:$D$6000,0)),"")</f>
        <v/>
      </c>
      <c r="C5395">
        <f>IFERROR(LARGE(Segmen!$D$3:$D$6000,A5395),"")</f>
        <v/>
      </c>
    </row>
    <row r="5396">
      <c r="A5396" t="n">
        <v>5395</v>
      </c>
      <c r="B5396">
        <f>IFERROR(INDEX(Segmen!$A$3:$A$6000,MATCH(C5396,Segmen!$D$3:$D$6000,0)),"")</f>
        <v/>
      </c>
      <c r="C5396">
        <f>IFERROR(LARGE(Segmen!$D$3:$D$6000,A5396),"")</f>
        <v/>
      </c>
    </row>
    <row r="5397">
      <c r="A5397" t="n">
        <v>5396</v>
      </c>
      <c r="B5397">
        <f>IFERROR(INDEX(Segmen!$A$3:$A$6000,MATCH(C5397,Segmen!$D$3:$D$6000,0)),"")</f>
        <v/>
      </c>
      <c r="C5397">
        <f>IFERROR(LARGE(Segmen!$D$3:$D$6000,A5397),"")</f>
        <v/>
      </c>
    </row>
    <row r="5398">
      <c r="A5398" t="n">
        <v>5397</v>
      </c>
      <c r="B5398">
        <f>IFERROR(INDEX(Segmen!$A$3:$A$6000,MATCH(C5398,Segmen!$D$3:$D$6000,0)),"")</f>
        <v/>
      </c>
      <c r="C5398">
        <f>IFERROR(LARGE(Segmen!$D$3:$D$6000,A5398),"")</f>
        <v/>
      </c>
    </row>
    <row r="5399">
      <c r="A5399" t="n">
        <v>5398</v>
      </c>
      <c r="B5399">
        <f>IFERROR(INDEX(Segmen!$A$3:$A$6000,MATCH(C5399,Segmen!$D$3:$D$6000,0)),"")</f>
        <v/>
      </c>
      <c r="C5399">
        <f>IFERROR(LARGE(Segmen!$D$3:$D$6000,A5399),"")</f>
        <v/>
      </c>
    </row>
    <row r="5400">
      <c r="A5400" t="n">
        <v>5399</v>
      </c>
      <c r="B5400">
        <f>IFERROR(INDEX(Segmen!$A$3:$A$6000,MATCH(C5400,Segmen!$D$3:$D$6000,0)),"")</f>
        <v/>
      </c>
      <c r="C5400">
        <f>IFERROR(LARGE(Segmen!$D$3:$D$6000,A5400),"")</f>
        <v/>
      </c>
    </row>
    <row r="5401">
      <c r="A5401" t="n">
        <v>5400</v>
      </c>
      <c r="B5401">
        <f>IFERROR(INDEX(Segmen!$A$3:$A$6000,MATCH(C5401,Segmen!$D$3:$D$6000,0)),"")</f>
        <v/>
      </c>
      <c r="C5401">
        <f>IFERROR(LARGE(Segmen!$D$3:$D$6000,A5401),"")</f>
        <v/>
      </c>
    </row>
    <row r="5402">
      <c r="A5402" t="n">
        <v>5401</v>
      </c>
      <c r="B5402">
        <f>IFERROR(INDEX(Segmen!$A$3:$A$6000,MATCH(C5402,Segmen!$D$3:$D$6000,0)),"")</f>
        <v/>
      </c>
      <c r="C5402">
        <f>IFERROR(LARGE(Segmen!$D$3:$D$6000,A5402),"")</f>
        <v/>
      </c>
    </row>
    <row r="5403">
      <c r="A5403" t="n">
        <v>5402</v>
      </c>
      <c r="B5403">
        <f>IFERROR(INDEX(Segmen!$A$3:$A$6000,MATCH(C5403,Segmen!$D$3:$D$6000,0)),"")</f>
        <v/>
      </c>
      <c r="C5403">
        <f>IFERROR(LARGE(Segmen!$D$3:$D$6000,A5403),"")</f>
        <v/>
      </c>
    </row>
    <row r="5404">
      <c r="A5404" t="n">
        <v>5403</v>
      </c>
      <c r="B5404">
        <f>IFERROR(INDEX(Segmen!$A$3:$A$6000,MATCH(C5404,Segmen!$D$3:$D$6000,0)),"")</f>
        <v/>
      </c>
      <c r="C5404">
        <f>IFERROR(LARGE(Segmen!$D$3:$D$6000,A5404),"")</f>
        <v/>
      </c>
    </row>
    <row r="5405">
      <c r="A5405" t="n">
        <v>5404</v>
      </c>
      <c r="B5405">
        <f>IFERROR(INDEX(Segmen!$A$3:$A$6000,MATCH(C5405,Segmen!$D$3:$D$6000,0)),"")</f>
        <v/>
      </c>
      <c r="C5405">
        <f>IFERROR(LARGE(Segmen!$D$3:$D$6000,A5405),"")</f>
        <v/>
      </c>
    </row>
    <row r="5406">
      <c r="A5406" t="n">
        <v>5405</v>
      </c>
      <c r="B5406">
        <f>IFERROR(INDEX(Segmen!$A$3:$A$6000,MATCH(C5406,Segmen!$D$3:$D$6000,0)),"")</f>
        <v/>
      </c>
      <c r="C5406">
        <f>IFERROR(LARGE(Segmen!$D$3:$D$6000,A5406),"")</f>
        <v/>
      </c>
    </row>
    <row r="5407">
      <c r="A5407" t="n">
        <v>5406</v>
      </c>
      <c r="B5407">
        <f>IFERROR(INDEX(Segmen!$A$3:$A$6000,MATCH(C5407,Segmen!$D$3:$D$6000,0)),"")</f>
        <v/>
      </c>
      <c r="C5407">
        <f>IFERROR(LARGE(Segmen!$D$3:$D$6000,A5407),"")</f>
        <v/>
      </c>
    </row>
    <row r="5408">
      <c r="A5408" t="n">
        <v>5407</v>
      </c>
      <c r="B5408">
        <f>IFERROR(INDEX(Segmen!$A$3:$A$6000,MATCH(C5408,Segmen!$D$3:$D$6000,0)),"")</f>
        <v/>
      </c>
      <c r="C5408">
        <f>IFERROR(LARGE(Segmen!$D$3:$D$6000,A5408),"")</f>
        <v/>
      </c>
    </row>
    <row r="5409">
      <c r="A5409" t="n">
        <v>5408</v>
      </c>
      <c r="B5409">
        <f>IFERROR(INDEX(Segmen!$A$3:$A$6000,MATCH(C5409,Segmen!$D$3:$D$6000,0)),"")</f>
        <v/>
      </c>
      <c r="C5409">
        <f>IFERROR(LARGE(Segmen!$D$3:$D$6000,A5409),"")</f>
        <v/>
      </c>
    </row>
    <row r="5410">
      <c r="A5410" t="n">
        <v>5409</v>
      </c>
      <c r="B5410">
        <f>IFERROR(INDEX(Segmen!$A$3:$A$6000,MATCH(C5410,Segmen!$D$3:$D$6000,0)),"")</f>
        <v/>
      </c>
      <c r="C5410">
        <f>IFERROR(LARGE(Segmen!$D$3:$D$6000,A5410),"")</f>
        <v/>
      </c>
    </row>
    <row r="5411">
      <c r="A5411" t="n">
        <v>5410</v>
      </c>
      <c r="B5411">
        <f>IFERROR(INDEX(Segmen!$A$3:$A$6000,MATCH(C5411,Segmen!$D$3:$D$6000,0)),"")</f>
        <v/>
      </c>
      <c r="C5411">
        <f>IFERROR(LARGE(Segmen!$D$3:$D$6000,A5411),"")</f>
        <v/>
      </c>
    </row>
    <row r="5412">
      <c r="A5412" t="n">
        <v>5411</v>
      </c>
      <c r="B5412">
        <f>IFERROR(INDEX(Segmen!$A$3:$A$6000,MATCH(C5412,Segmen!$D$3:$D$6000,0)),"")</f>
        <v/>
      </c>
      <c r="C5412">
        <f>IFERROR(LARGE(Segmen!$D$3:$D$6000,A5412),"")</f>
        <v/>
      </c>
    </row>
    <row r="5413">
      <c r="A5413" t="n">
        <v>5412</v>
      </c>
      <c r="B5413">
        <f>IFERROR(INDEX(Segmen!$A$3:$A$6000,MATCH(C5413,Segmen!$D$3:$D$6000,0)),"")</f>
        <v/>
      </c>
      <c r="C5413">
        <f>IFERROR(LARGE(Segmen!$D$3:$D$6000,A5413),"")</f>
        <v/>
      </c>
    </row>
    <row r="5414">
      <c r="A5414" t="n">
        <v>5413</v>
      </c>
      <c r="B5414">
        <f>IFERROR(INDEX(Segmen!$A$3:$A$6000,MATCH(C5414,Segmen!$D$3:$D$6000,0)),"")</f>
        <v/>
      </c>
      <c r="C5414">
        <f>IFERROR(LARGE(Segmen!$D$3:$D$6000,A5414),"")</f>
        <v/>
      </c>
    </row>
    <row r="5415">
      <c r="A5415" t="n">
        <v>5414</v>
      </c>
      <c r="B5415">
        <f>IFERROR(INDEX(Segmen!$A$3:$A$6000,MATCH(C5415,Segmen!$D$3:$D$6000,0)),"")</f>
        <v/>
      </c>
      <c r="C5415">
        <f>IFERROR(LARGE(Segmen!$D$3:$D$6000,A5415),"")</f>
        <v/>
      </c>
    </row>
    <row r="5416">
      <c r="A5416" t="n">
        <v>5415</v>
      </c>
      <c r="B5416">
        <f>IFERROR(INDEX(Segmen!$A$3:$A$6000,MATCH(C5416,Segmen!$D$3:$D$6000,0)),"")</f>
        <v/>
      </c>
      <c r="C5416">
        <f>IFERROR(LARGE(Segmen!$D$3:$D$6000,A5416),"")</f>
        <v/>
      </c>
    </row>
    <row r="5417">
      <c r="A5417" t="n">
        <v>5416</v>
      </c>
      <c r="B5417">
        <f>IFERROR(INDEX(Segmen!$A$3:$A$6000,MATCH(C5417,Segmen!$D$3:$D$6000,0)),"")</f>
        <v/>
      </c>
      <c r="C5417">
        <f>IFERROR(LARGE(Segmen!$D$3:$D$6000,A5417),"")</f>
        <v/>
      </c>
    </row>
    <row r="5418">
      <c r="A5418" t="n">
        <v>5417</v>
      </c>
      <c r="B5418">
        <f>IFERROR(INDEX(Segmen!$A$3:$A$6000,MATCH(C5418,Segmen!$D$3:$D$6000,0)),"")</f>
        <v/>
      </c>
      <c r="C5418">
        <f>IFERROR(LARGE(Segmen!$D$3:$D$6000,A5418),"")</f>
        <v/>
      </c>
    </row>
    <row r="5419">
      <c r="A5419" t="n">
        <v>5418</v>
      </c>
      <c r="B5419">
        <f>IFERROR(INDEX(Segmen!$A$3:$A$6000,MATCH(C5419,Segmen!$D$3:$D$6000,0)),"")</f>
        <v/>
      </c>
      <c r="C5419">
        <f>IFERROR(LARGE(Segmen!$D$3:$D$6000,A5419),"")</f>
        <v/>
      </c>
    </row>
    <row r="5420">
      <c r="A5420" t="n">
        <v>5419</v>
      </c>
      <c r="B5420">
        <f>IFERROR(INDEX(Segmen!$A$3:$A$6000,MATCH(C5420,Segmen!$D$3:$D$6000,0)),"")</f>
        <v/>
      </c>
      <c r="C5420">
        <f>IFERROR(LARGE(Segmen!$D$3:$D$6000,A5420),"")</f>
        <v/>
      </c>
    </row>
    <row r="5421">
      <c r="A5421" t="n">
        <v>5420</v>
      </c>
      <c r="B5421">
        <f>IFERROR(INDEX(Segmen!$A$3:$A$6000,MATCH(C5421,Segmen!$D$3:$D$6000,0)),"")</f>
        <v/>
      </c>
      <c r="C5421">
        <f>IFERROR(LARGE(Segmen!$D$3:$D$6000,A5421),"")</f>
        <v/>
      </c>
    </row>
    <row r="5422">
      <c r="A5422" t="n">
        <v>5421</v>
      </c>
      <c r="B5422">
        <f>IFERROR(INDEX(Segmen!$A$3:$A$6000,MATCH(C5422,Segmen!$D$3:$D$6000,0)),"")</f>
        <v/>
      </c>
      <c r="C5422">
        <f>IFERROR(LARGE(Segmen!$D$3:$D$6000,A5422),"")</f>
        <v/>
      </c>
    </row>
    <row r="5423">
      <c r="A5423" t="n">
        <v>5422</v>
      </c>
      <c r="B5423">
        <f>IFERROR(INDEX(Segmen!$A$3:$A$6000,MATCH(C5423,Segmen!$D$3:$D$6000,0)),"")</f>
        <v/>
      </c>
      <c r="C5423">
        <f>IFERROR(LARGE(Segmen!$D$3:$D$6000,A5423),"")</f>
        <v/>
      </c>
    </row>
    <row r="5424">
      <c r="A5424" t="n">
        <v>5423</v>
      </c>
      <c r="B5424">
        <f>IFERROR(INDEX(Segmen!$A$3:$A$6000,MATCH(C5424,Segmen!$D$3:$D$6000,0)),"")</f>
        <v/>
      </c>
      <c r="C5424">
        <f>IFERROR(LARGE(Segmen!$D$3:$D$6000,A5424),"")</f>
        <v/>
      </c>
    </row>
    <row r="5425">
      <c r="A5425" t="n">
        <v>5424</v>
      </c>
      <c r="B5425">
        <f>IFERROR(INDEX(Segmen!$A$3:$A$6000,MATCH(C5425,Segmen!$D$3:$D$6000,0)),"")</f>
        <v/>
      </c>
      <c r="C5425">
        <f>IFERROR(LARGE(Segmen!$D$3:$D$6000,A5425),"")</f>
        <v/>
      </c>
    </row>
    <row r="5426">
      <c r="A5426" t="n">
        <v>5425</v>
      </c>
      <c r="B5426">
        <f>IFERROR(INDEX(Segmen!$A$3:$A$6000,MATCH(C5426,Segmen!$D$3:$D$6000,0)),"")</f>
        <v/>
      </c>
      <c r="C5426">
        <f>IFERROR(LARGE(Segmen!$D$3:$D$6000,A5426),"")</f>
        <v/>
      </c>
    </row>
    <row r="5427">
      <c r="A5427" t="n">
        <v>5426</v>
      </c>
      <c r="B5427">
        <f>IFERROR(INDEX(Segmen!$A$3:$A$6000,MATCH(C5427,Segmen!$D$3:$D$6000,0)),"")</f>
        <v/>
      </c>
      <c r="C5427">
        <f>IFERROR(LARGE(Segmen!$D$3:$D$6000,A5427),"")</f>
        <v/>
      </c>
    </row>
    <row r="5428">
      <c r="A5428" t="n">
        <v>5427</v>
      </c>
      <c r="B5428">
        <f>IFERROR(INDEX(Segmen!$A$3:$A$6000,MATCH(C5428,Segmen!$D$3:$D$6000,0)),"")</f>
        <v/>
      </c>
      <c r="C5428">
        <f>IFERROR(LARGE(Segmen!$D$3:$D$6000,A5428),"")</f>
        <v/>
      </c>
    </row>
    <row r="5429">
      <c r="A5429" t="n">
        <v>5428</v>
      </c>
      <c r="B5429">
        <f>IFERROR(INDEX(Segmen!$A$3:$A$6000,MATCH(C5429,Segmen!$D$3:$D$6000,0)),"")</f>
        <v/>
      </c>
      <c r="C5429">
        <f>IFERROR(LARGE(Segmen!$D$3:$D$6000,A5429),"")</f>
        <v/>
      </c>
    </row>
    <row r="5430">
      <c r="A5430" t="n">
        <v>5429</v>
      </c>
      <c r="B5430">
        <f>IFERROR(INDEX(Segmen!$A$3:$A$6000,MATCH(C5430,Segmen!$D$3:$D$6000,0)),"")</f>
        <v/>
      </c>
      <c r="C5430">
        <f>IFERROR(LARGE(Segmen!$D$3:$D$6000,A5430),"")</f>
        <v/>
      </c>
    </row>
    <row r="5431">
      <c r="A5431" t="n">
        <v>5430</v>
      </c>
      <c r="B5431">
        <f>IFERROR(INDEX(Segmen!$A$3:$A$6000,MATCH(C5431,Segmen!$D$3:$D$6000,0)),"")</f>
        <v/>
      </c>
      <c r="C5431">
        <f>IFERROR(LARGE(Segmen!$D$3:$D$6000,A5431),"")</f>
        <v/>
      </c>
    </row>
    <row r="5432">
      <c r="A5432" t="n">
        <v>5431</v>
      </c>
      <c r="B5432">
        <f>IFERROR(INDEX(Segmen!$A$3:$A$6000,MATCH(C5432,Segmen!$D$3:$D$6000,0)),"")</f>
        <v/>
      </c>
      <c r="C5432">
        <f>IFERROR(LARGE(Segmen!$D$3:$D$6000,A5432),"")</f>
        <v/>
      </c>
    </row>
    <row r="5433">
      <c r="A5433" t="n">
        <v>5432</v>
      </c>
      <c r="B5433">
        <f>IFERROR(INDEX(Segmen!$A$3:$A$6000,MATCH(C5433,Segmen!$D$3:$D$6000,0)),"")</f>
        <v/>
      </c>
      <c r="C5433">
        <f>IFERROR(LARGE(Segmen!$D$3:$D$6000,A5433),"")</f>
        <v/>
      </c>
    </row>
    <row r="5434">
      <c r="A5434" t="n">
        <v>5433</v>
      </c>
      <c r="B5434">
        <f>IFERROR(INDEX(Segmen!$A$3:$A$6000,MATCH(C5434,Segmen!$D$3:$D$6000,0)),"")</f>
        <v/>
      </c>
      <c r="C5434">
        <f>IFERROR(LARGE(Segmen!$D$3:$D$6000,A5434),"")</f>
        <v/>
      </c>
    </row>
    <row r="5435">
      <c r="A5435" t="n">
        <v>5434</v>
      </c>
      <c r="B5435">
        <f>IFERROR(INDEX(Segmen!$A$3:$A$6000,MATCH(C5435,Segmen!$D$3:$D$6000,0)),"")</f>
        <v/>
      </c>
      <c r="C5435">
        <f>IFERROR(LARGE(Segmen!$D$3:$D$6000,A5435),"")</f>
        <v/>
      </c>
    </row>
    <row r="5436">
      <c r="A5436" t="n">
        <v>5435</v>
      </c>
      <c r="B5436">
        <f>IFERROR(INDEX(Segmen!$A$3:$A$6000,MATCH(C5436,Segmen!$D$3:$D$6000,0)),"")</f>
        <v/>
      </c>
      <c r="C5436">
        <f>IFERROR(LARGE(Segmen!$D$3:$D$6000,A5436),"")</f>
        <v/>
      </c>
    </row>
    <row r="5437">
      <c r="A5437" t="n">
        <v>5436</v>
      </c>
      <c r="B5437">
        <f>IFERROR(INDEX(Segmen!$A$3:$A$6000,MATCH(C5437,Segmen!$D$3:$D$6000,0)),"")</f>
        <v/>
      </c>
      <c r="C5437">
        <f>IFERROR(LARGE(Segmen!$D$3:$D$6000,A5437),"")</f>
        <v/>
      </c>
    </row>
    <row r="5438">
      <c r="A5438" t="n">
        <v>5437</v>
      </c>
      <c r="B5438">
        <f>IFERROR(INDEX(Segmen!$A$3:$A$6000,MATCH(C5438,Segmen!$D$3:$D$6000,0)),"")</f>
        <v/>
      </c>
      <c r="C5438">
        <f>IFERROR(LARGE(Segmen!$D$3:$D$6000,A5438),"")</f>
        <v/>
      </c>
    </row>
    <row r="5439">
      <c r="A5439" t="n">
        <v>5438</v>
      </c>
      <c r="B5439">
        <f>IFERROR(INDEX(Segmen!$A$3:$A$6000,MATCH(C5439,Segmen!$D$3:$D$6000,0)),"")</f>
        <v/>
      </c>
      <c r="C5439">
        <f>IFERROR(LARGE(Segmen!$D$3:$D$6000,A5439),"")</f>
        <v/>
      </c>
    </row>
    <row r="5440">
      <c r="A5440" t="n">
        <v>5439</v>
      </c>
      <c r="B5440">
        <f>IFERROR(INDEX(Segmen!$A$3:$A$6000,MATCH(C5440,Segmen!$D$3:$D$6000,0)),"")</f>
        <v/>
      </c>
      <c r="C5440">
        <f>IFERROR(LARGE(Segmen!$D$3:$D$6000,A5440),"")</f>
        <v/>
      </c>
    </row>
    <row r="5441">
      <c r="A5441" t="n">
        <v>5440</v>
      </c>
      <c r="B5441">
        <f>IFERROR(INDEX(Segmen!$A$3:$A$6000,MATCH(C5441,Segmen!$D$3:$D$6000,0)),"")</f>
        <v/>
      </c>
      <c r="C5441">
        <f>IFERROR(LARGE(Segmen!$D$3:$D$6000,A5441),"")</f>
        <v/>
      </c>
    </row>
    <row r="5442">
      <c r="A5442" t="n">
        <v>5441</v>
      </c>
      <c r="B5442">
        <f>IFERROR(INDEX(Segmen!$A$3:$A$6000,MATCH(C5442,Segmen!$D$3:$D$6000,0)),"")</f>
        <v/>
      </c>
      <c r="C5442">
        <f>IFERROR(LARGE(Segmen!$D$3:$D$6000,A5442),"")</f>
        <v/>
      </c>
    </row>
    <row r="5443">
      <c r="A5443" t="n">
        <v>5442</v>
      </c>
      <c r="B5443">
        <f>IFERROR(INDEX(Segmen!$A$3:$A$6000,MATCH(C5443,Segmen!$D$3:$D$6000,0)),"")</f>
        <v/>
      </c>
      <c r="C5443">
        <f>IFERROR(LARGE(Segmen!$D$3:$D$6000,A5443),"")</f>
        <v/>
      </c>
    </row>
    <row r="5444">
      <c r="A5444" t="n">
        <v>5443</v>
      </c>
      <c r="B5444">
        <f>IFERROR(INDEX(Segmen!$A$3:$A$6000,MATCH(C5444,Segmen!$D$3:$D$6000,0)),"")</f>
        <v/>
      </c>
      <c r="C5444">
        <f>IFERROR(LARGE(Segmen!$D$3:$D$6000,A5444),"")</f>
        <v/>
      </c>
    </row>
    <row r="5445">
      <c r="A5445" t="n">
        <v>5444</v>
      </c>
      <c r="B5445">
        <f>IFERROR(INDEX(Segmen!$A$3:$A$6000,MATCH(C5445,Segmen!$D$3:$D$6000,0)),"")</f>
        <v/>
      </c>
      <c r="C5445">
        <f>IFERROR(LARGE(Segmen!$D$3:$D$6000,A5445),"")</f>
        <v/>
      </c>
    </row>
    <row r="5446">
      <c r="A5446" t="n">
        <v>5445</v>
      </c>
      <c r="B5446">
        <f>IFERROR(INDEX(Segmen!$A$3:$A$6000,MATCH(C5446,Segmen!$D$3:$D$6000,0)),"")</f>
        <v/>
      </c>
      <c r="C5446">
        <f>IFERROR(LARGE(Segmen!$D$3:$D$6000,A5446),"")</f>
        <v/>
      </c>
    </row>
    <row r="5447">
      <c r="A5447" t="n">
        <v>5446</v>
      </c>
      <c r="B5447">
        <f>IFERROR(INDEX(Segmen!$A$3:$A$6000,MATCH(C5447,Segmen!$D$3:$D$6000,0)),"")</f>
        <v/>
      </c>
      <c r="C5447">
        <f>IFERROR(LARGE(Segmen!$D$3:$D$6000,A5447),"")</f>
        <v/>
      </c>
    </row>
    <row r="5448">
      <c r="A5448" t="n">
        <v>5447</v>
      </c>
      <c r="B5448">
        <f>IFERROR(INDEX(Segmen!$A$3:$A$6000,MATCH(C5448,Segmen!$D$3:$D$6000,0)),"")</f>
        <v/>
      </c>
      <c r="C5448">
        <f>IFERROR(LARGE(Segmen!$D$3:$D$6000,A5448),"")</f>
        <v/>
      </c>
    </row>
    <row r="5449">
      <c r="A5449" t="n">
        <v>5448</v>
      </c>
      <c r="B5449">
        <f>IFERROR(INDEX(Segmen!$A$3:$A$6000,MATCH(C5449,Segmen!$D$3:$D$6000,0)),"")</f>
        <v/>
      </c>
      <c r="C5449">
        <f>IFERROR(LARGE(Segmen!$D$3:$D$6000,A5449),"")</f>
        <v/>
      </c>
    </row>
    <row r="5450">
      <c r="A5450" t="n">
        <v>5449</v>
      </c>
      <c r="B5450">
        <f>IFERROR(INDEX(Segmen!$A$3:$A$6000,MATCH(C5450,Segmen!$D$3:$D$6000,0)),"")</f>
        <v/>
      </c>
      <c r="C5450">
        <f>IFERROR(LARGE(Segmen!$D$3:$D$6000,A5450),"")</f>
        <v/>
      </c>
    </row>
    <row r="5451">
      <c r="A5451" t="n">
        <v>5450</v>
      </c>
      <c r="B5451">
        <f>IFERROR(INDEX(Segmen!$A$3:$A$6000,MATCH(C5451,Segmen!$D$3:$D$6000,0)),"")</f>
        <v/>
      </c>
      <c r="C5451">
        <f>IFERROR(LARGE(Segmen!$D$3:$D$6000,A5451),"")</f>
        <v/>
      </c>
    </row>
    <row r="5452">
      <c r="A5452" t="n">
        <v>5451</v>
      </c>
      <c r="B5452">
        <f>IFERROR(INDEX(Segmen!$A$3:$A$6000,MATCH(C5452,Segmen!$D$3:$D$6000,0)),"")</f>
        <v/>
      </c>
      <c r="C5452">
        <f>IFERROR(LARGE(Segmen!$D$3:$D$6000,A5452),"")</f>
        <v/>
      </c>
    </row>
    <row r="5453">
      <c r="A5453" t="n">
        <v>5452</v>
      </c>
      <c r="B5453">
        <f>IFERROR(INDEX(Segmen!$A$3:$A$6000,MATCH(C5453,Segmen!$D$3:$D$6000,0)),"")</f>
        <v/>
      </c>
      <c r="C5453">
        <f>IFERROR(LARGE(Segmen!$D$3:$D$6000,A5453),"")</f>
        <v/>
      </c>
    </row>
    <row r="5454">
      <c r="A5454" t="n">
        <v>5453</v>
      </c>
      <c r="B5454">
        <f>IFERROR(INDEX(Segmen!$A$3:$A$6000,MATCH(C5454,Segmen!$D$3:$D$6000,0)),"")</f>
        <v/>
      </c>
      <c r="C5454">
        <f>IFERROR(LARGE(Segmen!$D$3:$D$6000,A5454),"")</f>
        <v/>
      </c>
    </row>
    <row r="5455">
      <c r="A5455" t="n">
        <v>5454</v>
      </c>
      <c r="B5455">
        <f>IFERROR(INDEX(Segmen!$A$3:$A$6000,MATCH(C5455,Segmen!$D$3:$D$6000,0)),"")</f>
        <v/>
      </c>
      <c r="C5455">
        <f>IFERROR(LARGE(Segmen!$D$3:$D$6000,A5455),"")</f>
        <v/>
      </c>
    </row>
    <row r="5456">
      <c r="A5456" t="n">
        <v>5455</v>
      </c>
      <c r="B5456">
        <f>IFERROR(INDEX(Segmen!$A$3:$A$6000,MATCH(C5456,Segmen!$D$3:$D$6000,0)),"")</f>
        <v/>
      </c>
      <c r="C5456">
        <f>IFERROR(LARGE(Segmen!$D$3:$D$6000,A5456),"")</f>
        <v/>
      </c>
    </row>
    <row r="5457">
      <c r="A5457" t="n">
        <v>5456</v>
      </c>
      <c r="B5457">
        <f>IFERROR(INDEX(Segmen!$A$3:$A$6000,MATCH(C5457,Segmen!$D$3:$D$6000,0)),"")</f>
        <v/>
      </c>
      <c r="C5457">
        <f>IFERROR(LARGE(Segmen!$D$3:$D$6000,A5457),"")</f>
        <v/>
      </c>
    </row>
    <row r="5458">
      <c r="A5458" t="n">
        <v>5457</v>
      </c>
      <c r="B5458">
        <f>IFERROR(INDEX(Segmen!$A$3:$A$6000,MATCH(C5458,Segmen!$D$3:$D$6000,0)),"")</f>
        <v/>
      </c>
      <c r="C5458">
        <f>IFERROR(LARGE(Segmen!$D$3:$D$6000,A5458),"")</f>
        <v/>
      </c>
    </row>
    <row r="5459">
      <c r="A5459" t="n">
        <v>5458</v>
      </c>
      <c r="B5459">
        <f>IFERROR(INDEX(Segmen!$A$3:$A$6000,MATCH(C5459,Segmen!$D$3:$D$6000,0)),"")</f>
        <v/>
      </c>
      <c r="C5459">
        <f>IFERROR(LARGE(Segmen!$D$3:$D$6000,A5459),"")</f>
        <v/>
      </c>
    </row>
    <row r="5460">
      <c r="A5460" t="n">
        <v>5459</v>
      </c>
      <c r="B5460">
        <f>IFERROR(INDEX(Segmen!$A$3:$A$6000,MATCH(C5460,Segmen!$D$3:$D$6000,0)),"")</f>
        <v/>
      </c>
      <c r="C5460">
        <f>IFERROR(LARGE(Segmen!$D$3:$D$6000,A5460),"")</f>
        <v/>
      </c>
    </row>
    <row r="5461">
      <c r="A5461" t="n">
        <v>5460</v>
      </c>
      <c r="B5461">
        <f>IFERROR(INDEX(Segmen!$A$3:$A$6000,MATCH(C5461,Segmen!$D$3:$D$6000,0)),"")</f>
        <v/>
      </c>
      <c r="C5461">
        <f>IFERROR(LARGE(Segmen!$D$3:$D$6000,A5461),"")</f>
        <v/>
      </c>
    </row>
    <row r="5462">
      <c r="A5462" t="n">
        <v>5461</v>
      </c>
      <c r="B5462">
        <f>IFERROR(INDEX(Segmen!$A$3:$A$6000,MATCH(C5462,Segmen!$D$3:$D$6000,0)),"")</f>
        <v/>
      </c>
      <c r="C5462">
        <f>IFERROR(LARGE(Segmen!$D$3:$D$6000,A5462),"")</f>
        <v/>
      </c>
    </row>
    <row r="5463">
      <c r="A5463" t="n">
        <v>5462</v>
      </c>
      <c r="B5463">
        <f>IFERROR(INDEX(Segmen!$A$3:$A$6000,MATCH(C5463,Segmen!$D$3:$D$6000,0)),"")</f>
        <v/>
      </c>
      <c r="C5463">
        <f>IFERROR(LARGE(Segmen!$D$3:$D$6000,A5463),"")</f>
        <v/>
      </c>
    </row>
    <row r="5464">
      <c r="A5464" t="n">
        <v>5463</v>
      </c>
      <c r="B5464">
        <f>IFERROR(INDEX(Segmen!$A$3:$A$6000,MATCH(C5464,Segmen!$D$3:$D$6000,0)),"")</f>
        <v/>
      </c>
      <c r="C5464">
        <f>IFERROR(LARGE(Segmen!$D$3:$D$6000,A5464),"")</f>
        <v/>
      </c>
    </row>
    <row r="5465">
      <c r="A5465" t="n">
        <v>5464</v>
      </c>
      <c r="B5465">
        <f>IFERROR(INDEX(Segmen!$A$3:$A$6000,MATCH(C5465,Segmen!$D$3:$D$6000,0)),"")</f>
        <v/>
      </c>
      <c r="C5465">
        <f>IFERROR(LARGE(Segmen!$D$3:$D$6000,A5465),"")</f>
        <v/>
      </c>
    </row>
    <row r="5466">
      <c r="A5466" t="n">
        <v>5465</v>
      </c>
      <c r="B5466">
        <f>IFERROR(INDEX(Segmen!$A$3:$A$6000,MATCH(C5466,Segmen!$D$3:$D$6000,0)),"")</f>
        <v/>
      </c>
      <c r="C5466">
        <f>IFERROR(LARGE(Segmen!$D$3:$D$6000,A5466),"")</f>
        <v/>
      </c>
    </row>
    <row r="5467">
      <c r="A5467" t="n">
        <v>5466</v>
      </c>
      <c r="B5467">
        <f>IFERROR(INDEX(Segmen!$A$3:$A$6000,MATCH(C5467,Segmen!$D$3:$D$6000,0)),"")</f>
        <v/>
      </c>
      <c r="C5467">
        <f>IFERROR(LARGE(Segmen!$D$3:$D$6000,A5467),"")</f>
        <v/>
      </c>
    </row>
    <row r="5468">
      <c r="A5468" t="n">
        <v>5467</v>
      </c>
      <c r="B5468">
        <f>IFERROR(INDEX(Segmen!$A$3:$A$6000,MATCH(C5468,Segmen!$D$3:$D$6000,0)),"")</f>
        <v/>
      </c>
      <c r="C5468">
        <f>IFERROR(LARGE(Segmen!$D$3:$D$6000,A5468),"")</f>
        <v/>
      </c>
    </row>
    <row r="5469">
      <c r="A5469" t="n">
        <v>5468</v>
      </c>
      <c r="B5469">
        <f>IFERROR(INDEX(Segmen!$A$3:$A$6000,MATCH(C5469,Segmen!$D$3:$D$6000,0)),"")</f>
        <v/>
      </c>
      <c r="C5469">
        <f>IFERROR(LARGE(Segmen!$D$3:$D$6000,A5469),"")</f>
        <v/>
      </c>
    </row>
    <row r="5470">
      <c r="A5470" t="n">
        <v>5469</v>
      </c>
      <c r="B5470">
        <f>IFERROR(INDEX(Segmen!$A$3:$A$6000,MATCH(C5470,Segmen!$D$3:$D$6000,0)),"")</f>
        <v/>
      </c>
      <c r="C5470">
        <f>IFERROR(LARGE(Segmen!$D$3:$D$6000,A5470),"")</f>
        <v/>
      </c>
    </row>
    <row r="5471">
      <c r="A5471" t="n">
        <v>5470</v>
      </c>
      <c r="B5471">
        <f>IFERROR(INDEX(Segmen!$A$3:$A$6000,MATCH(C5471,Segmen!$D$3:$D$6000,0)),"")</f>
        <v/>
      </c>
      <c r="C5471">
        <f>IFERROR(LARGE(Segmen!$D$3:$D$6000,A5471),"")</f>
        <v/>
      </c>
    </row>
    <row r="5472">
      <c r="A5472" t="n">
        <v>5471</v>
      </c>
      <c r="B5472">
        <f>IFERROR(INDEX(Segmen!$A$3:$A$6000,MATCH(C5472,Segmen!$D$3:$D$6000,0)),"")</f>
        <v/>
      </c>
      <c r="C5472">
        <f>IFERROR(LARGE(Segmen!$D$3:$D$6000,A5472),"")</f>
        <v/>
      </c>
    </row>
    <row r="5473">
      <c r="A5473" t="n">
        <v>5472</v>
      </c>
      <c r="B5473">
        <f>IFERROR(INDEX(Segmen!$A$3:$A$6000,MATCH(C5473,Segmen!$D$3:$D$6000,0)),"")</f>
        <v/>
      </c>
      <c r="C5473">
        <f>IFERROR(LARGE(Segmen!$D$3:$D$6000,A5473),"")</f>
        <v/>
      </c>
    </row>
    <row r="5474">
      <c r="A5474" t="n">
        <v>5473</v>
      </c>
      <c r="B5474">
        <f>IFERROR(INDEX(Segmen!$A$3:$A$6000,MATCH(C5474,Segmen!$D$3:$D$6000,0)),"")</f>
        <v/>
      </c>
      <c r="C5474">
        <f>IFERROR(LARGE(Segmen!$D$3:$D$6000,A5474),"")</f>
        <v/>
      </c>
    </row>
    <row r="5475">
      <c r="A5475" t="n">
        <v>5474</v>
      </c>
      <c r="B5475">
        <f>IFERROR(INDEX(Segmen!$A$3:$A$6000,MATCH(C5475,Segmen!$D$3:$D$6000,0)),"")</f>
        <v/>
      </c>
      <c r="C5475">
        <f>IFERROR(LARGE(Segmen!$D$3:$D$6000,A5475),"")</f>
        <v/>
      </c>
    </row>
    <row r="5476">
      <c r="A5476" t="n">
        <v>5475</v>
      </c>
      <c r="B5476">
        <f>IFERROR(INDEX(Segmen!$A$3:$A$6000,MATCH(C5476,Segmen!$D$3:$D$6000,0)),"")</f>
        <v/>
      </c>
      <c r="C5476">
        <f>IFERROR(LARGE(Segmen!$D$3:$D$6000,A5476),"")</f>
        <v/>
      </c>
    </row>
    <row r="5477">
      <c r="A5477" t="n">
        <v>5476</v>
      </c>
      <c r="B5477">
        <f>IFERROR(INDEX(Segmen!$A$3:$A$6000,MATCH(C5477,Segmen!$D$3:$D$6000,0)),"")</f>
        <v/>
      </c>
      <c r="C5477">
        <f>IFERROR(LARGE(Segmen!$D$3:$D$6000,A5477),"")</f>
        <v/>
      </c>
    </row>
    <row r="5478">
      <c r="A5478" t="n">
        <v>5477</v>
      </c>
      <c r="B5478">
        <f>IFERROR(INDEX(Segmen!$A$3:$A$6000,MATCH(C5478,Segmen!$D$3:$D$6000,0)),"")</f>
        <v/>
      </c>
      <c r="C5478">
        <f>IFERROR(LARGE(Segmen!$D$3:$D$6000,A5478),"")</f>
        <v/>
      </c>
    </row>
    <row r="5479">
      <c r="A5479" t="n">
        <v>5478</v>
      </c>
      <c r="B5479">
        <f>IFERROR(INDEX(Segmen!$A$3:$A$6000,MATCH(C5479,Segmen!$D$3:$D$6000,0)),"")</f>
        <v/>
      </c>
      <c r="C5479">
        <f>IFERROR(LARGE(Segmen!$D$3:$D$6000,A5479),"")</f>
        <v/>
      </c>
    </row>
    <row r="5480">
      <c r="A5480" t="n">
        <v>5479</v>
      </c>
      <c r="B5480">
        <f>IFERROR(INDEX(Segmen!$A$3:$A$6000,MATCH(C5480,Segmen!$D$3:$D$6000,0)),"")</f>
        <v/>
      </c>
      <c r="C5480">
        <f>IFERROR(LARGE(Segmen!$D$3:$D$6000,A5480),"")</f>
        <v/>
      </c>
    </row>
    <row r="5481">
      <c r="A5481" t="n">
        <v>5480</v>
      </c>
      <c r="B5481">
        <f>IFERROR(INDEX(Segmen!$A$3:$A$6000,MATCH(C5481,Segmen!$D$3:$D$6000,0)),"")</f>
        <v/>
      </c>
      <c r="C5481">
        <f>IFERROR(LARGE(Segmen!$D$3:$D$6000,A5481),"")</f>
        <v/>
      </c>
    </row>
    <row r="5482">
      <c r="A5482" t="n">
        <v>5481</v>
      </c>
      <c r="B5482">
        <f>IFERROR(INDEX(Segmen!$A$3:$A$6000,MATCH(C5482,Segmen!$D$3:$D$6000,0)),"")</f>
        <v/>
      </c>
      <c r="C5482">
        <f>IFERROR(LARGE(Segmen!$D$3:$D$6000,A5482),"")</f>
        <v/>
      </c>
    </row>
    <row r="5483">
      <c r="A5483" t="n">
        <v>5482</v>
      </c>
      <c r="B5483">
        <f>IFERROR(INDEX(Segmen!$A$3:$A$6000,MATCH(C5483,Segmen!$D$3:$D$6000,0)),"")</f>
        <v/>
      </c>
      <c r="C5483">
        <f>IFERROR(LARGE(Segmen!$D$3:$D$6000,A5483),"")</f>
        <v/>
      </c>
    </row>
    <row r="5484">
      <c r="A5484" t="n">
        <v>5483</v>
      </c>
      <c r="B5484">
        <f>IFERROR(INDEX(Segmen!$A$3:$A$6000,MATCH(C5484,Segmen!$D$3:$D$6000,0)),"")</f>
        <v/>
      </c>
      <c r="C5484">
        <f>IFERROR(LARGE(Segmen!$D$3:$D$6000,A5484),"")</f>
        <v/>
      </c>
    </row>
    <row r="5485">
      <c r="A5485" t="n">
        <v>5484</v>
      </c>
      <c r="B5485">
        <f>IFERROR(INDEX(Segmen!$A$3:$A$6000,MATCH(C5485,Segmen!$D$3:$D$6000,0)),"")</f>
        <v/>
      </c>
      <c r="C5485">
        <f>IFERROR(LARGE(Segmen!$D$3:$D$6000,A5485),"")</f>
        <v/>
      </c>
    </row>
    <row r="5486">
      <c r="A5486" t="n">
        <v>5485</v>
      </c>
      <c r="B5486">
        <f>IFERROR(INDEX(Segmen!$A$3:$A$6000,MATCH(C5486,Segmen!$D$3:$D$6000,0)),"")</f>
        <v/>
      </c>
      <c r="C5486">
        <f>IFERROR(LARGE(Segmen!$D$3:$D$6000,A5486),"")</f>
        <v/>
      </c>
    </row>
    <row r="5487">
      <c r="A5487" t="n">
        <v>5486</v>
      </c>
      <c r="B5487">
        <f>IFERROR(INDEX(Segmen!$A$3:$A$6000,MATCH(C5487,Segmen!$D$3:$D$6000,0)),"")</f>
        <v/>
      </c>
      <c r="C5487">
        <f>IFERROR(LARGE(Segmen!$D$3:$D$6000,A5487),"")</f>
        <v/>
      </c>
    </row>
    <row r="5488">
      <c r="A5488" t="n">
        <v>5487</v>
      </c>
      <c r="B5488">
        <f>IFERROR(INDEX(Segmen!$A$3:$A$6000,MATCH(C5488,Segmen!$D$3:$D$6000,0)),"")</f>
        <v/>
      </c>
      <c r="C5488">
        <f>IFERROR(LARGE(Segmen!$D$3:$D$6000,A5488),"")</f>
        <v/>
      </c>
    </row>
    <row r="5489">
      <c r="A5489" t="n">
        <v>5488</v>
      </c>
      <c r="B5489">
        <f>IFERROR(INDEX(Segmen!$A$3:$A$6000,MATCH(C5489,Segmen!$D$3:$D$6000,0)),"")</f>
        <v/>
      </c>
      <c r="C5489">
        <f>IFERROR(LARGE(Segmen!$D$3:$D$6000,A5489),"")</f>
        <v/>
      </c>
    </row>
    <row r="5490">
      <c r="A5490" t="n">
        <v>5489</v>
      </c>
      <c r="B5490">
        <f>IFERROR(INDEX(Segmen!$A$3:$A$6000,MATCH(C5490,Segmen!$D$3:$D$6000,0)),"")</f>
        <v/>
      </c>
      <c r="C5490">
        <f>IFERROR(LARGE(Segmen!$D$3:$D$6000,A5490),"")</f>
        <v/>
      </c>
    </row>
    <row r="5491">
      <c r="A5491" t="n">
        <v>5490</v>
      </c>
      <c r="B5491">
        <f>IFERROR(INDEX(Segmen!$A$3:$A$6000,MATCH(C5491,Segmen!$D$3:$D$6000,0)),"")</f>
        <v/>
      </c>
      <c r="C5491">
        <f>IFERROR(LARGE(Segmen!$D$3:$D$6000,A5491),"")</f>
        <v/>
      </c>
    </row>
    <row r="5492">
      <c r="A5492" t="n">
        <v>5491</v>
      </c>
      <c r="B5492">
        <f>IFERROR(INDEX(Segmen!$A$3:$A$6000,MATCH(C5492,Segmen!$D$3:$D$6000,0)),"")</f>
        <v/>
      </c>
      <c r="C5492">
        <f>IFERROR(LARGE(Segmen!$D$3:$D$6000,A5492),"")</f>
        <v/>
      </c>
    </row>
    <row r="5493">
      <c r="A5493" t="n">
        <v>5492</v>
      </c>
      <c r="B5493">
        <f>IFERROR(INDEX(Segmen!$A$3:$A$6000,MATCH(C5493,Segmen!$D$3:$D$6000,0)),"")</f>
        <v/>
      </c>
      <c r="C5493">
        <f>IFERROR(LARGE(Segmen!$D$3:$D$6000,A5493),"")</f>
        <v/>
      </c>
    </row>
    <row r="5494">
      <c r="A5494" t="n">
        <v>5493</v>
      </c>
      <c r="B5494">
        <f>IFERROR(INDEX(Segmen!$A$3:$A$6000,MATCH(C5494,Segmen!$D$3:$D$6000,0)),"")</f>
        <v/>
      </c>
      <c r="C5494">
        <f>IFERROR(LARGE(Segmen!$D$3:$D$6000,A5494),"")</f>
        <v/>
      </c>
    </row>
    <row r="5495">
      <c r="A5495" t="n">
        <v>5494</v>
      </c>
      <c r="B5495">
        <f>IFERROR(INDEX(Segmen!$A$3:$A$6000,MATCH(C5495,Segmen!$D$3:$D$6000,0)),"")</f>
        <v/>
      </c>
      <c r="C5495">
        <f>IFERROR(LARGE(Segmen!$D$3:$D$6000,A5495),"")</f>
        <v/>
      </c>
    </row>
    <row r="5496">
      <c r="A5496" t="n">
        <v>5495</v>
      </c>
      <c r="B5496">
        <f>IFERROR(INDEX(Segmen!$A$3:$A$6000,MATCH(C5496,Segmen!$D$3:$D$6000,0)),"")</f>
        <v/>
      </c>
      <c r="C5496">
        <f>IFERROR(LARGE(Segmen!$D$3:$D$6000,A5496),"")</f>
        <v/>
      </c>
    </row>
    <row r="5497">
      <c r="A5497" t="n">
        <v>5496</v>
      </c>
      <c r="B5497">
        <f>IFERROR(INDEX(Segmen!$A$3:$A$6000,MATCH(C5497,Segmen!$D$3:$D$6000,0)),"")</f>
        <v/>
      </c>
      <c r="C5497">
        <f>IFERROR(LARGE(Segmen!$D$3:$D$6000,A5497),"")</f>
        <v/>
      </c>
    </row>
    <row r="5498">
      <c r="A5498" t="n">
        <v>5497</v>
      </c>
      <c r="B5498">
        <f>IFERROR(INDEX(Segmen!$A$3:$A$6000,MATCH(C5498,Segmen!$D$3:$D$6000,0)),"")</f>
        <v/>
      </c>
      <c r="C5498">
        <f>IFERROR(LARGE(Segmen!$D$3:$D$6000,A5498),"")</f>
        <v/>
      </c>
    </row>
    <row r="5499">
      <c r="A5499" t="n">
        <v>5498</v>
      </c>
      <c r="B5499">
        <f>IFERROR(INDEX(Segmen!$A$3:$A$6000,MATCH(C5499,Segmen!$D$3:$D$6000,0)),"")</f>
        <v/>
      </c>
      <c r="C5499">
        <f>IFERROR(LARGE(Segmen!$D$3:$D$6000,A5499),"")</f>
        <v/>
      </c>
    </row>
    <row r="5500">
      <c r="A5500" t="n">
        <v>5499</v>
      </c>
      <c r="B5500">
        <f>IFERROR(INDEX(Segmen!$A$3:$A$6000,MATCH(C5500,Segmen!$D$3:$D$6000,0)),"")</f>
        <v/>
      </c>
      <c r="C5500">
        <f>IFERROR(LARGE(Segmen!$D$3:$D$6000,A5500),"")</f>
        <v/>
      </c>
    </row>
    <row r="5501">
      <c r="A5501" t="n">
        <v>5500</v>
      </c>
      <c r="B5501">
        <f>IFERROR(INDEX(Segmen!$A$3:$A$6000,MATCH(C5501,Segmen!$D$3:$D$6000,0)),"")</f>
        <v/>
      </c>
      <c r="C5501">
        <f>IFERROR(LARGE(Segmen!$D$3:$D$6000,A5501),"")</f>
        <v/>
      </c>
    </row>
    <row r="5502">
      <c r="A5502" t="n">
        <v>5501</v>
      </c>
      <c r="B5502">
        <f>IFERROR(INDEX(Segmen!$A$3:$A$6000,MATCH(C5502,Segmen!$D$3:$D$6000,0)),"")</f>
        <v/>
      </c>
      <c r="C5502">
        <f>IFERROR(LARGE(Segmen!$D$3:$D$6000,A5502),"")</f>
        <v/>
      </c>
    </row>
    <row r="5503">
      <c r="A5503" t="n">
        <v>5502</v>
      </c>
      <c r="B5503">
        <f>IFERROR(INDEX(Segmen!$A$3:$A$6000,MATCH(C5503,Segmen!$D$3:$D$6000,0)),"")</f>
        <v/>
      </c>
      <c r="C5503">
        <f>IFERROR(LARGE(Segmen!$D$3:$D$6000,A5503),"")</f>
        <v/>
      </c>
    </row>
    <row r="5504">
      <c r="A5504" t="n">
        <v>5503</v>
      </c>
      <c r="B5504">
        <f>IFERROR(INDEX(Segmen!$A$3:$A$6000,MATCH(C5504,Segmen!$D$3:$D$6000,0)),"")</f>
        <v/>
      </c>
      <c r="C5504">
        <f>IFERROR(LARGE(Segmen!$D$3:$D$6000,A5504),"")</f>
        <v/>
      </c>
    </row>
    <row r="5505">
      <c r="A5505" t="n">
        <v>5504</v>
      </c>
      <c r="B5505">
        <f>IFERROR(INDEX(Segmen!$A$3:$A$6000,MATCH(C5505,Segmen!$D$3:$D$6000,0)),"")</f>
        <v/>
      </c>
      <c r="C5505">
        <f>IFERROR(LARGE(Segmen!$D$3:$D$6000,A5505),"")</f>
        <v/>
      </c>
    </row>
    <row r="5506">
      <c r="A5506" t="n">
        <v>5505</v>
      </c>
      <c r="B5506">
        <f>IFERROR(INDEX(Segmen!$A$3:$A$6000,MATCH(C5506,Segmen!$D$3:$D$6000,0)),"")</f>
        <v/>
      </c>
      <c r="C5506">
        <f>IFERROR(LARGE(Segmen!$D$3:$D$6000,A5506),"")</f>
        <v/>
      </c>
    </row>
    <row r="5507">
      <c r="A5507" t="n">
        <v>5506</v>
      </c>
      <c r="B5507">
        <f>IFERROR(INDEX(Segmen!$A$3:$A$6000,MATCH(C5507,Segmen!$D$3:$D$6000,0)),"")</f>
        <v/>
      </c>
      <c r="C5507">
        <f>IFERROR(LARGE(Segmen!$D$3:$D$6000,A5507),"")</f>
        <v/>
      </c>
    </row>
    <row r="5508">
      <c r="A5508" t="n">
        <v>5507</v>
      </c>
      <c r="B5508">
        <f>IFERROR(INDEX(Segmen!$A$3:$A$6000,MATCH(C5508,Segmen!$D$3:$D$6000,0)),"")</f>
        <v/>
      </c>
      <c r="C5508">
        <f>IFERROR(LARGE(Segmen!$D$3:$D$6000,A5508),"")</f>
        <v/>
      </c>
    </row>
    <row r="5509">
      <c r="A5509" t="n">
        <v>5508</v>
      </c>
      <c r="B5509">
        <f>IFERROR(INDEX(Segmen!$A$3:$A$6000,MATCH(C5509,Segmen!$D$3:$D$6000,0)),"")</f>
        <v/>
      </c>
      <c r="C5509">
        <f>IFERROR(LARGE(Segmen!$D$3:$D$6000,A5509),"")</f>
        <v/>
      </c>
    </row>
    <row r="5510">
      <c r="A5510" t="n">
        <v>5509</v>
      </c>
      <c r="B5510">
        <f>IFERROR(INDEX(Segmen!$A$3:$A$6000,MATCH(C5510,Segmen!$D$3:$D$6000,0)),"")</f>
        <v/>
      </c>
      <c r="C5510">
        <f>IFERROR(LARGE(Segmen!$D$3:$D$6000,A5510),"")</f>
        <v/>
      </c>
    </row>
    <row r="5511">
      <c r="A5511" t="n">
        <v>5510</v>
      </c>
      <c r="B5511">
        <f>IFERROR(INDEX(Segmen!$A$3:$A$6000,MATCH(C5511,Segmen!$D$3:$D$6000,0)),"")</f>
        <v/>
      </c>
      <c r="C5511">
        <f>IFERROR(LARGE(Segmen!$D$3:$D$6000,A5511),"")</f>
        <v/>
      </c>
    </row>
    <row r="5512">
      <c r="A5512" t="n">
        <v>5511</v>
      </c>
      <c r="B5512">
        <f>IFERROR(INDEX(Segmen!$A$3:$A$6000,MATCH(C5512,Segmen!$D$3:$D$6000,0)),"")</f>
        <v/>
      </c>
      <c r="C5512">
        <f>IFERROR(LARGE(Segmen!$D$3:$D$6000,A5512),"")</f>
        <v/>
      </c>
    </row>
    <row r="5513">
      <c r="A5513" t="n">
        <v>5512</v>
      </c>
      <c r="B5513">
        <f>IFERROR(INDEX(Segmen!$A$3:$A$6000,MATCH(C5513,Segmen!$D$3:$D$6000,0)),"")</f>
        <v/>
      </c>
      <c r="C5513">
        <f>IFERROR(LARGE(Segmen!$D$3:$D$6000,A5513),"")</f>
        <v/>
      </c>
    </row>
    <row r="5514">
      <c r="A5514" t="n">
        <v>5513</v>
      </c>
      <c r="B5514">
        <f>IFERROR(INDEX(Segmen!$A$3:$A$6000,MATCH(C5514,Segmen!$D$3:$D$6000,0)),"")</f>
        <v/>
      </c>
      <c r="C5514">
        <f>IFERROR(LARGE(Segmen!$D$3:$D$6000,A5514),"")</f>
        <v/>
      </c>
    </row>
    <row r="5515">
      <c r="A5515" t="n">
        <v>5514</v>
      </c>
      <c r="B5515">
        <f>IFERROR(INDEX(Segmen!$A$3:$A$6000,MATCH(C5515,Segmen!$D$3:$D$6000,0)),"")</f>
        <v/>
      </c>
      <c r="C5515">
        <f>IFERROR(LARGE(Segmen!$D$3:$D$6000,A5515),"")</f>
        <v/>
      </c>
    </row>
    <row r="5516">
      <c r="A5516" t="n">
        <v>5515</v>
      </c>
      <c r="B5516">
        <f>IFERROR(INDEX(Segmen!$A$3:$A$6000,MATCH(C5516,Segmen!$D$3:$D$6000,0)),"")</f>
        <v/>
      </c>
      <c r="C5516">
        <f>IFERROR(LARGE(Segmen!$D$3:$D$6000,A5516),"")</f>
        <v/>
      </c>
    </row>
    <row r="5517">
      <c r="A5517" t="n">
        <v>5516</v>
      </c>
      <c r="B5517">
        <f>IFERROR(INDEX(Segmen!$A$3:$A$6000,MATCH(C5517,Segmen!$D$3:$D$6000,0)),"")</f>
        <v/>
      </c>
      <c r="C5517">
        <f>IFERROR(LARGE(Segmen!$D$3:$D$6000,A5517),"")</f>
        <v/>
      </c>
    </row>
    <row r="5518">
      <c r="A5518" t="n">
        <v>5517</v>
      </c>
      <c r="B5518">
        <f>IFERROR(INDEX(Segmen!$A$3:$A$6000,MATCH(C5518,Segmen!$D$3:$D$6000,0)),"")</f>
        <v/>
      </c>
      <c r="C5518">
        <f>IFERROR(LARGE(Segmen!$D$3:$D$6000,A5518),"")</f>
        <v/>
      </c>
    </row>
    <row r="5519">
      <c r="A5519" t="n">
        <v>5518</v>
      </c>
      <c r="B5519">
        <f>IFERROR(INDEX(Segmen!$A$3:$A$6000,MATCH(C5519,Segmen!$D$3:$D$6000,0)),"")</f>
        <v/>
      </c>
      <c r="C5519">
        <f>IFERROR(LARGE(Segmen!$D$3:$D$6000,A5519),"")</f>
        <v/>
      </c>
    </row>
    <row r="5520">
      <c r="A5520" t="n">
        <v>5519</v>
      </c>
      <c r="B5520">
        <f>IFERROR(INDEX(Segmen!$A$3:$A$6000,MATCH(C5520,Segmen!$D$3:$D$6000,0)),"")</f>
        <v/>
      </c>
      <c r="C5520">
        <f>IFERROR(LARGE(Segmen!$D$3:$D$6000,A5520),"")</f>
        <v/>
      </c>
    </row>
    <row r="5521">
      <c r="A5521" t="n">
        <v>5520</v>
      </c>
      <c r="B5521">
        <f>IFERROR(INDEX(Segmen!$A$3:$A$6000,MATCH(C5521,Segmen!$D$3:$D$6000,0)),"")</f>
        <v/>
      </c>
      <c r="C5521">
        <f>IFERROR(LARGE(Segmen!$D$3:$D$6000,A5521),"")</f>
        <v/>
      </c>
    </row>
    <row r="5522">
      <c r="A5522" t="n">
        <v>5521</v>
      </c>
      <c r="B5522">
        <f>IFERROR(INDEX(Segmen!$A$3:$A$6000,MATCH(C5522,Segmen!$D$3:$D$6000,0)),"")</f>
        <v/>
      </c>
      <c r="C5522">
        <f>IFERROR(LARGE(Segmen!$D$3:$D$6000,A5522),"")</f>
        <v/>
      </c>
    </row>
    <row r="5523">
      <c r="A5523" t="n">
        <v>5522</v>
      </c>
      <c r="B5523">
        <f>IFERROR(INDEX(Segmen!$A$3:$A$6000,MATCH(C5523,Segmen!$D$3:$D$6000,0)),"")</f>
        <v/>
      </c>
      <c r="C5523">
        <f>IFERROR(LARGE(Segmen!$D$3:$D$6000,A5523),"")</f>
        <v/>
      </c>
    </row>
    <row r="5524">
      <c r="A5524" t="n">
        <v>5523</v>
      </c>
      <c r="B5524">
        <f>IFERROR(INDEX(Segmen!$A$3:$A$6000,MATCH(C5524,Segmen!$D$3:$D$6000,0)),"")</f>
        <v/>
      </c>
      <c r="C5524">
        <f>IFERROR(LARGE(Segmen!$D$3:$D$6000,A5524),"")</f>
        <v/>
      </c>
    </row>
    <row r="5525">
      <c r="A5525" t="n">
        <v>5524</v>
      </c>
      <c r="B5525">
        <f>IFERROR(INDEX(Segmen!$A$3:$A$6000,MATCH(C5525,Segmen!$D$3:$D$6000,0)),"")</f>
        <v/>
      </c>
      <c r="C5525">
        <f>IFERROR(LARGE(Segmen!$D$3:$D$6000,A5525),"")</f>
        <v/>
      </c>
    </row>
    <row r="5526">
      <c r="A5526" t="n">
        <v>5525</v>
      </c>
      <c r="B5526">
        <f>IFERROR(INDEX(Segmen!$A$3:$A$6000,MATCH(C5526,Segmen!$D$3:$D$6000,0)),"")</f>
        <v/>
      </c>
      <c r="C5526">
        <f>IFERROR(LARGE(Segmen!$D$3:$D$6000,A5526),"")</f>
        <v/>
      </c>
    </row>
    <row r="5527">
      <c r="A5527" t="n">
        <v>5526</v>
      </c>
      <c r="B5527">
        <f>IFERROR(INDEX(Segmen!$A$3:$A$6000,MATCH(C5527,Segmen!$D$3:$D$6000,0)),"")</f>
        <v/>
      </c>
      <c r="C5527">
        <f>IFERROR(LARGE(Segmen!$D$3:$D$6000,A5527),"")</f>
        <v/>
      </c>
    </row>
    <row r="5528">
      <c r="A5528" t="n">
        <v>5527</v>
      </c>
      <c r="B5528">
        <f>IFERROR(INDEX(Segmen!$A$3:$A$6000,MATCH(C5528,Segmen!$D$3:$D$6000,0)),"")</f>
        <v/>
      </c>
      <c r="C5528">
        <f>IFERROR(LARGE(Segmen!$D$3:$D$6000,A5528),"")</f>
        <v/>
      </c>
    </row>
    <row r="5529">
      <c r="A5529" t="n">
        <v>5528</v>
      </c>
      <c r="B5529">
        <f>IFERROR(INDEX(Segmen!$A$3:$A$6000,MATCH(C5529,Segmen!$D$3:$D$6000,0)),"")</f>
        <v/>
      </c>
      <c r="C5529">
        <f>IFERROR(LARGE(Segmen!$D$3:$D$6000,A5529),"")</f>
        <v/>
      </c>
    </row>
    <row r="5530">
      <c r="A5530" t="n">
        <v>5529</v>
      </c>
      <c r="B5530">
        <f>IFERROR(INDEX(Segmen!$A$3:$A$6000,MATCH(C5530,Segmen!$D$3:$D$6000,0)),"")</f>
        <v/>
      </c>
      <c r="C5530">
        <f>IFERROR(LARGE(Segmen!$D$3:$D$6000,A5530),"")</f>
        <v/>
      </c>
    </row>
    <row r="5531">
      <c r="A5531" t="n">
        <v>5530</v>
      </c>
      <c r="B5531">
        <f>IFERROR(INDEX(Segmen!$A$3:$A$6000,MATCH(C5531,Segmen!$D$3:$D$6000,0)),"")</f>
        <v/>
      </c>
      <c r="C5531">
        <f>IFERROR(LARGE(Segmen!$D$3:$D$6000,A5531),"")</f>
        <v/>
      </c>
    </row>
    <row r="5532">
      <c r="A5532" t="n">
        <v>5531</v>
      </c>
      <c r="B5532">
        <f>IFERROR(INDEX(Segmen!$A$3:$A$6000,MATCH(C5532,Segmen!$D$3:$D$6000,0)),"")</f>
        <v/>
      </c>
      <c r="C5532">
        <f>IFERROR(LARGE(Segmen!$D$3:$D$6000,A5532),"")</f>
        <v/>
      </c>
    </row>
    <row r="5533">
      <c r="A5533" t="n">
        <v>5532</v>
      </c>
      <c r="B5533">
        <f>IFERROR(INDEX(Segmen!$A$3:$A$6000,MATCH(C5533,Segmen!$D$3:$D$6000,0)),"")</f>
        <v/>
      </c>
      <c r="C5533">
        <f>IFERROR(LARGE(Segmen!$D$3:$D$6000,A5533),"")</f>
        <v/>
      </c>
    </row>
    <row r="5534">
      <c r="A5534" t="n">
        <v>5533</v>
      </c>
      <c r="B5534">
        <f>IFERROR(INDEX(Segmen!$A$3:$A$6000,MATCH(C5534,Segmen!$D$3:$D$6000,0)),"")</f>
        <v/>
      </c>
      <c r="C5534">
        <f>IFERROR(LARGE(Segmen!$D$3:$D$6000,A5534),"")</f>
        <v/>
      </c>
    </row>
    <row r="5535">
      <c r="A5535" t="n">
        <v>5534</v>
      </c>
      <c r="B5535">
        <f>IFERROR(INDEX(Segmen!$A$3:$A$6000,MATCH(C5535,Segmen!$D$3:$D$6000,0)),"")</f>
        <v/>
      </c>
      <c r="C5535">
        <f>IFERROR(LARGE(Segmen!$D$3:$D$6000,A5535),"")</f>
        <v/>
      </c>
    </row>
    <row r="5536">
      <c r="A5536" t="n">
        <v>5535</v>
      </c>
      <c r="B5536">
        <f>IFERROR(INDEX(Segmen!$A$3:$A$6000,MATCH(C5536,Segmen!$D$3:$D$6000,0)),"")</f>
        <v/>
      </c>
      <c r="C5536">
        <f>IFERROR(LARGE(Segmen!$D$3:$D$6000,A5536),"")</f>
        <v/>
      </c>
    </row>
    <row r="5537">
      <c r="A5537" t="n">
        <v>5536</v>
      </c>
      <c r="B5537">
        <f>IFERROR(INDEX(Segmen!$A$3:$A$6000,MATCH(C5537,Segmen!$D$3:$D$6000,0)),"")</f>
        <v/>
      </c>
      <c r="C5537">
        <f>IFERROR(LARGE(Segmen!$D$3:$D$6000,A5537),"")</f>
        <v/>
      </c>
    </row>
    <row r="5538">
      <c r="A5538" t="n">
        <v>5537</v>
      </c>
      <c r="B5538">
        <f>IFERROR(INDEX(Segmen!$A$3:$A$6000,MATCH(C5538,Segmen!$D$3:$D$6000,0)),"")</f>
        <v/>
      </c>
      <c r="C5538">
        <f>IFERROR(LARGE(Segmen!$D$3:$D$6000,A5538),"")</f>
        <v/>
      </c>
    </row>
    <row r="5539">
      <c r="A5539" t="n">
        <v>5538</v>
      </c>
      <c r="B5539">
        <f>IFERROR(INDEX(Segmen!$A$3:$A$6000,MATCH(C5539,Segmen!$D$3:$D$6000,0)),"")</f>
        <v/>
      </c>
      <c r="C5539">
        <f>IFERROR(LARGE(Segmen!$D$3:$D$6000,A5539),"")</f>
        <v/>
      </c>
    </row>
    <row r="5540">
      <c r="A5540" t="n">
        <v>5539</v>
      </c>
      <c r="B5540">
        <f>IFERROR(INDEX(Segmen!$A$3:$A$6000,MATCH(C5540,Segmen!$D$3:$D$6000,0)),"")</f>
        <v/>
      </c>
      <c r="C5540">
        <f>IFERROR(LARGE(Segmen!$D$3:$D$6000,A5540),"")</f>
        <v/>
      </c>
    </row>
    <row r="5541">
      <c r="A5541" t="n">
        <v>5540</v>
      </c>
      <c r="B5541">
        <f>IFERROR(INDEX(Segmen!$A$3:$A$6000,MATCH(C5541,Segmen!$D$3:$D$6000,0)),"")</f>
        <v/>
      </c>
      <c r="C5541">
        <f>IFERROR(LARGE(Segmen!$D$3:$D$6000,A5541),"")</f>
        <v/>
      </c>
    </row>
    <row r="5542">
      <c r="A5542" t="n">
        <v>5541</v>
      </c>
      <c r="B5542">
        <f>IFERROR(INDEX(Segmen!$A$3:$A$6000,MATCH(C5542,Segmen!$D$3:$D$6000,0)),"")</f>
        <v/>
      </c>
      <c r="C5542">
        <f>IFERROR(LARGE(Segmen!$D$3:$D$6000,A5542),"")</f>
        <v/>
      </c>
    </row>
    <row r="5543">
      <c r="A5543" t="n">
        <v>5542</v>
      </c>
      <c r="B5543">
        <f>IFERROR(INDEX(Segmen!$A$3:$A$6000,MATCH(C5543,Segmen!$D$3:$D$6000,0)),"")</f>
        <v/>
      </c>
      <c r="C5543">
        <f>IFERROR(LARGE(Segmen!$D$3:$D$6000,A5543),"")</f>
        <v/>
      </c>
    </row>
    <row r="5544">
      <c r="A5544" t="n">
        <v>5543</v>
      </c>
      <c r="B5544">
        <f>IFERROR(INDEX(Segmen!$A$3:$A$6000,MATCH(C5544,Segmen!$D$3:$D$6000,0)),"")</f>
        <v/>
      </c>
      <c r="C5544">
        <f>IFERROR(LARGE(Segmen!$D$3:$D$6000,A5544),"")</f>
        <v/>
      </c>
    </row>
    <row r="5545">
      <c r="A5545" t="n">
        <v>5544</v>
      </c>
      <c r="B5545">
        <f>IFERROR(INDEX(Segmen!$A$3:$A$6000,MATCH(C5545,Segmen!$D$3:$D$6000,0)),"")</f>
        <v/>
      </c>
      <c r="C5545">
        <f>IFERROR(LARGE(Segmen!$D$3:$D$6000,A5545),"")</f>
        <v/>
      </c>
    </row>
    <row r="5546">
      <c r="A5546" t="n">
        <v>5545</v>
      </c>
      <c r="B5546">
        <f>IFERROR(INDEX(Segmen!$A$3:$A$6000,MATCH(C5546,Segmen!$D$3:$D$6000,0)),"")</f>
        <v/>
      </c>
      <c r="C5546">
        <f>IFERROR(LARGE(Segmen!$D$3:$D$6000,A5546),"")</f>
        <v/>
      </c>
    </row>
    <row r="5547">
      <c r="A5547" t="n">
        <v>5546</v>
      </c>
      <c r="B5547">
        <f>IFERROR(INDEX(Segmen!$A$3:$A$6000,MATCH(C5547,Segmen!$D$3:$D$6000,0)),"")</f>
        <v/>
      </c>
      <c r="C5547">
        <f>IFERROR(LARGE(Segmen!$D$3:$D$6000,A5547),"")</f>
        <v/>
      </c>
    </row>
    <row r="5548">
      <c r="A5548" t="n">
        <v>5547</v>
      </c>
      <c r="B5548">
        <f>IFERROR(INDEX(Segmen!$A$3:$A$6000,MATCH(C5548,Segmen!$D$3:$D$6000,0)),"")</f>
        <v/>
      </c>
      <c r="C5548">
        <f>IFERROR(LARGE(Segmen!$D$3:$D$6000,A5548),"")</f>
        <v/>
      </c>
    </row>
    <row r="5549">
      <c r="A5549" t="n">
        <v>5548</v>
      </c>
      <c r="B5549">
        <f>IFERROR(INDEX(Segmen!$A$3:$A$6000,MATCH(C5549,Segmen!$D$3:$D$6000,0)),"")</f>
        <v/>
      </c>
      <c r="C5549">
        <f>IFERROR(LARGE(Segmen!$D$3:$D$6000,A5549),"")</f>
        <v/>
      </c>
    </row>
    <row r="5550">
      <c r="A5550" t="n">
        <v>5549</v>
      </c>
      <c r="B5550">
        <f>IFERROR(INDEX(Segmen!$A$3:$A$6000,MATCH(C5550,Segmen!$D$3:$D$6000,0)),"")</f>
        <v/>
      </c>
      <c r="C5550">
        <f>IFERROR(LARGE(Segmen!$D$3:$D$6000,A5550),"")</f>
        <v/>
      </c>
    </row>
    <row r="5551">
      <c r="A5551" t="n">
        <v>5550</v>
      </c>
      <c r="B5551">
        <f>IFERROR(INDEX(Segmen!$A$3:$A$6000,MATCH(C5551,Segmen!$D$3:$D$6000,0)),"")</f>
        <v/>
      </c>
      <c r="C5551">
        <f>IFERROR(LARGE(Segmen!$D$3:$D$6000,A5551),"")</f>
        <v/>
      </c>
    </row>
    <row r="5552">
      <c r="A5552" t="n">
        <v>5551</v>
      </c>
      <c r="B5552">
        <f>IFERROR(INDEX(Segmen!$A$3:$A$6000,MATCH(C5552,Segmen!$D$3:$D$6000,0)),"")</f>
        <v/>
      </c>
      <c r="C5552">
        <f>IFERROR(LARGE(Segmen!$D$3:$D$6000,A5552),"")</f>
        <v/>
      </c>
    </row>
    <row r="5553">
      <c r="A5553" t="n">
        <v>5552</v>
      </c>
      <c r="B5553">
        <f>IFERROR(INDEX(Segmen!$A$3:$A$6000,MATCH(C5553,Segmen!$D$3:$D$6000,0)),"")</f>
        <v/>
      </c>
      <c r="C5553">
        <f>IFERROR(LARGE(Segmen!$D$3:$D$6000,A5553),"")</f>
        <v/>
      </c>
    </row>
    <row r="5554">
      <c r="A5554" t="n">
        <v>5553</v>
      </c>
      <c r="B5554">
        <f>IFERROR(INDEX(Segmen!$A$3:$A$6000,MATCH(C5554,Segmen!$D$3:$D$6000,0)),"")</f>
        <v/>
      </c>
      <c r="C5554">
        <f>IFERROR(LARGE(Segmen!$D$3:$D$6000,A5554),"")</f>
        <v/>
      </c>
    </row>
    <row r="5555">
      <c r="A5555" t="n">
        <v>5554</v>
      </c>
      <c r="B5555">
        <f>IFERROR(INDEX(Segmen!$A$3:$A$6000,MATCH(C5555,Segmen!$D$3:$D$6000,0)),"")</f>
        <v/>
      </c>
      <c r="C5555">
        <f>IFERROR(LARGE(Segmen!$D$3:$D$6000,A5555),"")</f>
        <v/>
      </c>
    </row>
    <row r="5556">
      <c r="A5556" t="n">
        <v>5555</v>
      </c>
      <c r="B5556">
        <f>IFERROR(INDEX(Segmen!$A$3:$A$6000,MATCH(C5556,Segmen!$D$3:$D$6000,0)),"")</f>
        <v/>
      </c>
      <c r="C5556">
        <f>IFERROR(LARGE(Segmen!$D$3:$D$6000,A5556),"")</f>
        <v/>
      </c>
    </row>
    <row r="5557">
      <c r="A5557" t="n">
        <v>5556</v>
      </c>
      <c r="B5557">
        <f>IFERROR(INDEX(Segmen!$A$3:$A$6000,MATCH(C5557,Segmen!$D$3:$D$6000,0)),"")</f>
        <v/>
      </c>
      <c r="C5557">
        <f>IFERROR(LARGE(Segmen!$D$3:$D$6000,A5557),"")</f>
        <v/>
      </c>
    </row>
    <row r="5558">
      <c r="A5558" t="n">
        <v>5557</v>
      </c>
      <c r="B5558">
        <f>IFERROR(INDEX(Segmen!$A$3:$A$6000,MATCH(C5558,Segmen!$D$3:$D$6000,0)),"")</f>
        <v/>
      </c>
      <c r="C5558">
        <f>IFERROR(LARGE(Segmen!$D$3:$D$6000,A5558),"")</f>
        <v/>
      </c>
    </row>
    <row r="5559">
      <c r="A5559" t="n">
        <v>5558</v>
      </c>
      <c r="B5559">
        <f>IFERROR(INDEX(Segmen!$A$3:$A$6000,MATCH(C5559,Segmen!$D$3:$D$6000,0)),"")</f>
        <v/>
      </c>
      <c r="C5559">
        <f>IFERROR(LARGE(Segmen!$D$3:$D$6000,A5559),"")</f>
        <v/>
      </c>
    </row>
    <row r="5560">
      <c r="A5560" t="n">
        <v>5559</v>
      </c>
      <c r="B5560">
        <f>IFERROR(INDEX(Segmen!$A$3:$A$6000,MATCH(C5560,Segmen!$D$3:$D$6000,0)),"")</f>
        <v/>
      </c>
      <c r="C5560">
        <f>IFERROR(LARGE(Segmen!$D$3:$D$6000,A5560),"")</f>
        <v/>
      </c>
    </row>
    <row r="5561">
      <c r="A5561" t="n">
        <v>5560</v>
      </c>
      <c r="B5561">
        <f>IFERROR(INDEX(Segmen!$A$3:$A$6000,MATCH(C5561,Segmen!$D$3:$D$6000,0)),"")</f>
        <v/>
      </c>
      <c r="C5561">
        <f>IFERROR(LARGE(Segmen!$D$3:$D$6000,A5561),"")</f>
        <v/>
      </c>
    </row>
    <row r="5562">
      <c r="A5562" t="n">
        <v>5561</v>
      </c>
      <c r="B5562">
        <f>IFERROR(INDEX(Segmen!$A$3:$A$6000,MATCH(C5562,Segmen!$D$3:$D$6000,0)),"")</f>
        <v/>
      </c>
      <c r="C5562">
        <f>IFERROR(LARGE(Segmen!$D$3:$D$6000,A5562),"")</f>
        <v/>
      </c>
    </row>
    <row r="5563">
      <c r="A5563" t="n">
        <v>5562</v>
      </c>
      <c r="B5563">
        <f>IFERROR(INDEX(Segmen!$A$3:$A$6000,MATCH(C5563,Segmen!$D$3:$D$6000,0)),"")</f>
        <v/>
      </c>
      <c r="C5563">
        <f>IFERROR(LARGE(Segmen!$D$3:$D$6000,A5563),"")</f>
        <v/>
      </c>
    </row>
    <row r="5564">
      <c r="A5564" t="n">
        <v>5563</v>
      </c>
      <c r="B5564">
        <f>IFERROR(INDEX(Segmen!$A$3:$A$6000,MATCH(C5564,Segmen!$D$3:$D$6000,0)),"")</f>
        <v/>
      </c>
      <c r="C5564">
        <f>IFERROR(LARGE(Segmen!$D$3:$D$6000,A5564),"")</f>
        <v/>
      </c>
    </row>
    <row r="5565">
      <c r="A5565" t="n">
        <v>5564</v>
      </c>
      <c r="B5565">
        <f>IFERROR(INDEX(Segmen!$A$3:$A$6000,MATCH(C5565,Segmen!$D$3:$D$6000,0)),"")</f>
        <v/>
      </c>
      <c r="C5565">
        <f>IFERROR(LARGE(Segmen!$D$3:$D$6000,A5565),"")</f>
        <v/>
      </c>
    </row>
    <row r="5566">
      <c r="A5566" t="n">
        <v>5565</v>
      </c>
      <c r="B5566">
        <f>IFERROR(INDEX(Segmen!$A$3:$A$6000,MATCH(C5566,Segmen!$D$3:$D$6000,0)),"")</f>
        <v/>
      </c>
      <c r="C5566">
        <f>IFERROR(LARGE(Segmen!$D$3:$D$6000,A5566),"")</f>
        <v/>
      </c>
    </row>
    <row r="5567">
      <c r="A5567" t="n">
        <v>5566</v>
      </c>
      <c r="B5567">
        <f>IFERROR(INDEX(Segmen!$A$3:$A$6000,MATCH(C5567,Segmen!$D$3:$D$6000,0)),"")</f>
        <v/>
      </c>
      <c r="C5567">
        <f>IFERROR(LARGE(Segmen!$D$3:$D$6000,A5567),"")</f>
        <v/>
      </c>
    </row>
    <row r="5568">
      <c r="A5568" t="n">
        <v>5567</v>
      </c>
      <c r="B5568">
        <f>IFERROR(INDEX(Segmen!$A$3:$A$6000,MATCH(C5568,Segmen!$D$3:$D$6000,0)),"")</f>
        <v/>
      </c>
      <c r="C5568">
        <f>IFERROR(LARGE(Segmen!$D$3:$D$6000,A5568),"")</f>
        <v/>
      </c>
    </row>
    <row r="5569">
      <c r="A5569" t="n">
        <v>5568</v>
      </c>
      <c r="B5569">
        <f>IFERROR(INDEX(Segmen!$A$3:$A$6000,MATCH(C5569,Segmen!$D$3:$D$6000,0)),"")</f>
        <v/>
      </c>
      <c r="C5569">
        <f>IFERROR(LARGE(Segmen!$D$3:$D$6000,A5569),"")</f>
        <v/>
      </c>
    </row>
    <row r="5570">
      <c r="A5570" t="n">
        <v>5569</v>
      </c>
      <c r="B5570">
        <f>IFERROR(INDEX(Segmen!$A$3:$A$6000,MATCH(C5570,Segmen!$D$3:$D$6000,0)),"")</f>
        <v/>
      </c>
      <c r="C5570">
        <f>IFERROR(LARGE(Segmen!$D$3:$D$6000,A5570),"")</f>
        <v/>
      </c>
    </row>
    <row r="5571">
      <c r="A5571" t="n">
        <v>5570</v>
      </c>
      <c r="B5571">
        <f>IFERROR(INDEX(Segmen!$A$3:$A$6000,MATCH(C5571,Segmen!$D$3:$D$6000,0)),"")</f>
        <v/>
      </c>
      <c r="C5571">
        <f>IFERROR(LARGE(Segmen!$D$3:$D$6000,A5571),"")</f>
        <v/>
      </c>
    </row>
    <row r="5572">
      <c r="A5572" t="n">
        <v>5571</v>
      </c>
      <c r="B5572">
        <f>IFERROR(INDEX(Segmen!$A$3:$A$6000,MATCH(C5572,Segmen!$D$3:$D$6000,0)),"")</f>
        <v/>
      </c>
      <c r="C5572">
        <f>IFERROR(LARGE(Segmen!$D$3:$D$6000,A5572),"")</f>
        <v/>
      </c>
    </row>
    <row r="5573">
      <c r="A5573" t="n">
        <v>5572</v>
      </c>
      <c r="B5573">
        <f>IFERROR(INDEX(Segmen!$A$3:$A$6000,MATCH(C5573,Segmen!$D$3:$D$6000,0)),"")</f>
        <v/>
      </c>
      <c r="C5573">
        <f>IFERROR(LARGE(Segmen!$D$3:$D$6000,A5573),"")</f>
        <v/>
      </c>
    </row>
    <row r="5574">
      <c r="A5574" t="n">
        <v>5573</v>
      </c>
      <c r="B5574">
        <f>IFERROR(INDEX(Segmen!$A$3:$A$6000,MATCH(C5574,Segmen!$D$3:$D$6000,0)),"")</f>
        <v/>
      </c>
      <c r="C5574">
        <f>IFERROR(LARGE(Segmen!$D$3:$D$6000,A5574),"")</f>
        <v/>
      </c>
    </row>
    <row r="5575">
      <c r="A5575" t="n">
        <v>5574</v>
      </c>
      <c r="B5575">
        <f>IFERROR(INDEX(Segmen!$A$3:$A$6000,MATCH(C5575,Segmen!$D$3:$D$6000,0)),"")</f>
        <v/>
      </c>
      <c r="C5575">
        <f>IFERROR(LARGE(Segmen!$D$3:$D$6000,A5575),"")</f>
        <v/>
      </c>
    </row>
    <row r="5576">
      <c r="A5576" t="n">
        <v>5575</v>
      </c>
      <c r="B5576">
        <f>IFERROR(INDEX(Segmen!$A$3:$A$6000,MATCH(C5576,Segmen!$D$3:$D$6000,0)),"")</f>
        <v/>
      </c>
      <c r="C5576">
        <f>IFERROR(LARGE(Segmen!$D$3:$D$6000,A5576),"")</f>
        <v/>
      </c>
    </row>
    <row r="5577">
      <c r="A5577" t="n">
        <v>5576</v>
      </c>
      <c r="B5577">
        <f>IFERROR(INDEX(Segmen!$A$3:$A$6000,MATCH(C5577,Segmen!$D$3:$D$6000,0)),"")</f>
        <v/>
      </c>
      <c r="C5577">
        <f>IFERROR(LARGE(Segmen!$D$3:$D$6000,A5577),"")</f>
        <v/>
      </c>
    </row>
    <row r="5578">
      <c r="A5578" t="n">
        <v>5577</v>
      </c>
      <c r="B5578">
        <f>IFERROR(INDEX(Segmen!$A$3:$A$6000,MATCH(C5578,Segmen!$D$3:$D$6000,0)),"")</f>
        <v/>
      </c>
      <c r="C5578">
        <f>IFERROR(LARGE(Segmen!$D$3:$D$6000,A5578),"")</f>
        <v/>
      </c>
    </row>
    <row r="5579">
      <c r="A5579" t="n">
        <v>5578</v>
      </c>
      <c r="B5579">
        <f>IFERROR(INDEX(Segmen!$A$3:$A$6000,MATCH(C5579,Segmen!$D$3:$D$6000,0)),"")</f>
        <v/>
      </c>
      <c r="C5579">
        <f>IFERROR(LARGE(Segmen!$D$3:$D$6000,A5579),"")</f>
        <v/>
      </c>
    </row>
    <row r="5580">
      <c r="A5580" t="n">
        <v>5579</v>
      </c>
      <c r="B5580">
        <f>IFERROR(INDEX(Segmen!$A$3:$A$6000,MATCH(C5580,Segmen!$D$3:$D$6000,0)),"")</f>
        <v/>
      </c>
      <c r="C5580">
        <f>IFERROR(LARGE(Segmen!$D$3:$D$6000,A5580),"")</f>
        <v/>
      </c>
    </row>
    <row r="5581">
      <c r="A5581" t="n">
        <v>5580</v>
      </c>
      <c r="B5581">
        <f>IFERROR(INDEX(Segmen!$A$3:$A$6000,MATCH(C5581,Segmen!$D$3:$D$6000,0)),"")</f>
        <v/>
      </c>
      <c r="C5581">
        <f>IFERROR(LARGE(Segmen!$D$3:$D$6000,A5581),"")</f>
        <v/>
      </c>
    </row>
    <row r="5582">
      <c r="A5582" t="n">
        <v>5581</v>
      </c>
      <c r="B5582">
        <f>IFERROR(INDEX(Segmen!$A$3:$A$6000,MATCH(C5582,Segmen!$D$3:$D$6000,0)),"")</f>
        <v/>
      </c>
      <c r="C5582">
        <f>IFERROR(LARGE(Segmen!$D$3:$D$6000,A5582),"")</f>
        <v/>
      </c>
    </row>
    <row r="5583">
      <c r="A5583" t="n">
        <v>5582</v>
      </c>
      <c r="B5583">
        <f>IFERROR(INDEX(Segmen!$A$3:$A$6000,MATCH(C5583,Segmen!$D$3:$D$6000,0)),"")</f>
        <v/>
      </c>
      <c r="C5583">
        <f>IFERROR(LARGE(Segmen!$D$3:$D$6000,A5583),"")</f>
        <v/>
      </c>
    </row>
    <row r="5584">
      <c r="A5584" t="n">
        <v>5583</v>
      </c>
      <c r="B5584">
        <f>IFERROR(INDEX(Segmen!$A$3:$A$6000,MATCH(C5584,Segmen!$D$3:$D$6000,0)),"")</f>
        <v/>
      </c>
      <c r="C5584">
        <f>IFERROR(LARGE(Segmen!$D$3:$D$6000,A5584),"")</f>
        <v/>
      </c>
    </row>
    <row r="5585">
      <c r="A5585" t="n">
        <v>5584</v>
      </c>
      <c r="B5585">
        <f>IFERROR(INDEX(Segmen!$A$3:$A$6000,MATCH(C5585,Segmen!$D$3:$D$6000,0)),"")</f>
        <v/>
      </c>
      <c r="C5585">
        <f>IFERROR(LARGE(Segmen!$D$3:$D$6000,A5585),"")</f>
        <v/>
      </c>
    </row>
    <row r="5586">
      <c r="A5586" t="n">
        <v>5585</v>
      </c>
      <c r="B5586">
        <f>IFERROR(INDEX(Segmen!$A$3:$A$6000,MATCH(C5586,Segmen!$D$3:$D$6000,0)),"")</f>
        <v/>
      </c>
      <c r="C5586">
        <f>IFERROR(LARGE(Segmen!$D$3:$D$6000,A5586),"")</f>
        <v/>
      </c>
    </row>
    <row r="5587">
      <c r="A5587" t="n">
        <v>5586</v>
      </c>
      <c r="B5587">
        <f>IFERROR(INDEX(Segmen!$A$3:$A$6000,MATCH(C5587,Segmen!$D$3:$D$6000,0)),"")</f>
        <v/>
      </c>
      <c r="C5587">
        <f>IFERROR(LARGE(Segmen!$D$3:$D$6000,A5587),"")</f>
        <v/>
      </c>
    </row>
    <row r="5588">
      <c r="A5588" t="n">
        <v>5587</v>
      </c>
      <c r="B5588">
        <f>IFERROR(INDEX(Segmen!$A$3:$A$6000,MATCH(C5588,Segmen!$D$3:$D$6000,0)),"")</f>
        <v/>
      </c>
      <c r="C5588">
        <f>IFERROR(LARGE(Segmen!$D$3:$D$6000,A5588),"")</f>
        <v/>
      </c>
    </row>
    <row r="5589">
      <c r="A5589" t="n">
        <v>5588</v>
      </c>
      <c r="B5589">
        <f>IFERROR(INDEX(Segmen!$A$3:$A$6000,MATCH(C5589,Segmen!$D$3:$D$6000,0)),"")</f>
        <v/>
      </c>
      <c r="C5589">
        <f>IFERROR(LARGE(Segmen!$D$3:$D$6000,A5589),"")</f>
        <v/>
      </c>
    </row>
    <row r="5590">
      <c r="A5590" t="n">
        <v>5589</v>
      </c>
      <c r="B5590">
        <f>IFERROR(INDEX(Segmen!$A$3:$A$6000,MATCH(C5590,Segmen!$D$3:$D$6000,0)),"")</f>
        <v/>
      </c>
      <c r="C5590">
        <f>IFERROR(LARGE(Segmen!$D$3:$D$6000,A5590),"")</f>
        <v/>
      </c>
    </row>
    <row r="5591">
      <c r="A5591" t="n">
        <v>5590</v>
      </c>
      <c r="B5591">
        <f>IFERROR(INDEX(Segmen!$A$3:$A$6000,MATCH(C5591,Segmen!$D$3:$D$6000,0)),"")</f>
        <v/>
      </c>
      <c r="C5591">
        <f>IFERROR(LARGE(Segmen!$D$3:$D$6000,A5591),"")</f>
        <v/>
      </c>
    </row>
    <row r="5592">
      <c r="A5592" t="n">
        <v>5591</v>
      </c>
      <c r="B5592">
        <f>IFERROR(INDEX(Segmen!$A$3:$A$6000,MATCH(C5592,Segmen!$D$3:$D$6000,0)),"")</f>
        <v/>
      </c>
      <c r="C5592">
        <f>IFERROR(LARGE(Segmen!$D$3:$D$6000,A5592),"")</f>
        <v/>
      </c>
    </row>
    <row r="5593">
      <c r="A5593" t="n">
        <v>5592</v>
      </c>
      <c r="B5593">
        <f>IFERROR(INDEX(Segmen!$A$3:$A$6000,MATCH(C5593,Segmen!$D$3:$D$6000,0)),"")</f>
        <v/>
      </c>
      <c r="C5593">
        <f>IFERROR(LARGE(Segmen!$D$3:$D$6000,A5593),"")</f>
        <v/>
      </c>
    </row>
    <row r="5594">
      <c r="A5594" t="n">
        <v>5593</v>
      </c>
      <c r="B5594">
        <f>IFERROR(INDEX(Segmen!$A$3:$A$6000,MATCH(C5594,Segmen!$D$3:$D$6000,0)),"")</f>
        <v/>
      </c>
      <c r="C5594">
        <f>IFERROR(LARGE(Segmen!$D$3:$D$6000,A5594),"")</f>
        <v/>
      </c>
    </row>
    <row r="5595">
      <c r="A5595" t="n">
        <v>5594</v>
      </c>
      <c r="B5595">
        <f>IFERROR(INDEX(Segmen!$A$3:$A$6000,MATCH(C5595,Segmen!$D$3:$D$6000,0)),"")</f>
        <v/>
      </c>
      <c r="C5595">
        <f>IFERROR(LARGE(Segmen!$D$3:$D$6000,A5595),"")</f>
        <v/>
      </c>
    </row>
    <row r="5596">
      <c r="A5596" t="n">
        <v>5595</v>
      </c>
      <c r="B5596">
        <f>IFERROR(INDEX(Segmen!$A$3:$A$6000,MATCH(C5596,Segmen!$D$3:$D$6000,0)),"")</f>
        <v/>
      </c>
      <c r="C5596">
        <f>IFERROR(LARGE(Segmen!$D$3:$D$6000,A5596),"")</f>
        <v/>
      </c>
    </row>
    <row r="5597">
      <c r="A5597" t="n">
        <v>5596</v>
      </c>
      <c r="B5597">
        <f>IFERROR(INDEX(Segmen!$A$3:$A$6000,MATCH(C5597,Segmen!$D$3:$D$6000,0)),"")</f>
        <v/>
      </c>
      <c r="C5597">
        <f>IFERROR(LARGE(Segmen!$D$3:$D$6000,A5597),"")</f>
        <v/>
      </c>
    </row>
    <row r="5598">
      <c r="A5598" t="n">
        <v>5597</v>
      </c>
      <c r="B5598">
        <f>IFERROR(INDEX(Segmen!$A$3:$A$6000,MATCH(C5598,Segmen!$D$3:$D$6000,0)),"")</f>
        <v/>
      </c>
      <c r="C5598">
        <f>IFERROR(LARGE(Segmen!$D$3:$D$6000,A5598),"")</f>
        <v/>
      </c>
    </row>
    <row r="5599">
      <c r="A5599" t="n">
        <v>5598</v>
      </c>
      <c r="B5599">
        <f>IFERROR(INDEX(Segmen!$A$3:$A$6000,MATCH(C5599,Segmen!$D$3:$D$6000,0)),"")</f>
        <v/>
      </c>
      <c r="C5599">
        <f>IFERROR(LARGE(Segmen!$D$3:$D$6000,A5599),"")</f>
        <v/>
      </c>
    </row>
    <row r="5600">
      <c r="A5600" t="n">
        <v>5599</v>
      </c>
      <c r="B5600">
        <f>IFERROR(INDEX(Segmen!$A$3:$A$6000,MATCH(C5600,Segmen!$D$3:$D$6000,0)),"")</f>
        <v/>
      </c>
      <c r="C5600">
        <f>IFERROR(LARGE(Segmen!$D$3:$D$6000,A5600),"")</f>
        <v/>
      </c>
    </row>
    <row r="5601">
      <c r="A5601" t="n">
        <v>5600</v>
      </c>
      <c r="B5601">
        <f>IFERROR(INDEX(Segmen!$A$3:$A$6000,MATCH(C5601,Segmen!$D$3:$D$6000,0)),"")</f>
        <v/>
      </c>
      <c r="C5601">
        <f>IFERROR(LARGE(Segmen!$D$3:$D$6000,A5601),"")</f>
        <v/>
      </c>
    </row>
    <row r="5602">
      <c r="A5602" t="n">
        <v>5601</v>
      </c>
      <c r="B5602">
        <f>IFERROR(INDEX(Segmen!$A$3:$A$6000,MATCH(C5602,Segmen!$D$3:$D$6000,0)),"")</f>
        <v/>
      </c>
      <c r="C5602">
        <f>IFERROR(LARGE(Segmen!$D$3:$D$6000,A5602),"")</f>
        <v/>
      </c>
    </row>
    <row r="5603">
      <c r="A5603" t="n">
        <v>5602</v>
      </c>
      <c r="B5603">
        <f>IFERROR(INDEX(Segmen!$A$3:$A$6000,MATCH(C5603,Segmen!$D$3:$D$6000,0)),"")</f>
        <v/>
      </c>
      <c r="C5603">
        <f>IFERROR(LARGE(Segmen!$D$3:$D$6000,A5603),"")</f>
        <v/>
      </c>
    </row>
    <row r="5604">
      <c r="A5604" t="n">
        <v>5603</v>
      </c>
      <c r="B5604">
        <f>IFERROR(INDEX(Segmen!$A$3:$A$6000,MATCH(C5604,Segmen!$D$3:$D$6000,0)),"")</f>
        <v/>
      </c>
      <c r="C5604">
        <f>IFERROR(LARGE(Segmen!$D$3:$D$6000,A5604),"")</f>
        <v/>
      </c>
    </row>
    <row r="5605">
      <c r="A5605" t="n">
        <v>5604</v>
      </c>
      <c r="B5605">
        <f>IFERROR(INDEX(Segmen!$A$3:$A$6000,MATCH(C5605,Segmen!$D$3:$D$6000,0)),"")</f>
        <v/>
      </c>
      <c r="C5605">
        <f>IFERROR(LARGE(Segmen!$D$3:$D$6000,A5605),"")</f>
        <v/>
      </c>
    </row>
    <row r="5606">
      <c r="A5606" t="n">
        <v>5605</v>
      </c>
      <c r="B5606">
        <f>IFERROR(INDEX(Segmen!$A$3:$A$6000,MATCH(C5606,Segmen!$D$3:$D$6000,0)),"")</f>
        <v/>
      </c>
      <c r="C5606">
        <f>IFERROR(LARGE(Segmen!$D$3:$D$6000,A5606),"")</f>
        <v/>
      </c>
    </row>
    <row r="5607">
      <c r="A5607" t="n">
        <v>5606</v>
      </c>
      <c r="B5607">
        <f>IFERROR(INDEX(Segmen!$A$3:$A$6000,MATCH(C5607,Segmen!$D$3:$D$6000,0)),"")</f>
        <v/>
      </c>
      <c r="C5607">
        <f>IFERROR(LARGE(Segmen!$D$3:$D$6000,A5607),"")</f>
        <v/>
      </c>
    </row>
    <row r="5608">
      <c r="A5608" t="n">
        <v>5607</v>
      </c>
      <c r="B5608">
        <f>IFERROR(INDEX(Segmen!$A$3:$A$6000,MATCH(C5608,Segmen!$D$3:$D$6000,0)),"")</f>
        <v/>
      </c>
      <c r="C5608">
        <f>IFERROR(LARGE(Segmen!$D$3:$D$6000,A5608),"")</f>
        <v/>
      </c>
    </row>
    <row r="5609">
      <c r="A5609" t="n">
        <v>5608</v>
      </c>
      <c r="B5609">
        <f>IFERROR(INDEX(Segmen!$A$3:$A$6000,MATCH(C5609,Segmen!$D$3:$D$6000,0)),"")</f>
        <v/>
      </c>
      <c r="C5609">
        <f>IFERROR(LARGE(Segmen!$D$3:$D$6000,A5609),"")</f>
        <v/>
      </c>
    </row>
    <row r="5610">
      <c r="A5610" t="n">
        <v>5609</v>
      </c>
      <c r="B5610">
        <f>IFERROR(INDEX(Segmen!$A$3:$A$6000,MATCH(C5610,Segmen!$D$3:$D$6000,0)),"")</f>
        <v/>
      </c>
      <c r="C5610">
        <f>IFERROR(LARGE(Segmen!$D$3:$D$6000,A5610),"")</f>
        <v/>
      </c>
    </row>
    <row r="5611">
      <c r="A5611" t="n">
        <v>5610</v>
      </c>
      <c r="B5611">
        <f>IFERROR(INDEX(Segmen!$A$3:$A$6000,MATCH(C5611,Segmen!$D$3:$D$6000,0)),"")</f>
        <v/>
      </c>
      <c r="C5611">
        <f>IFERROR(LARGE(Segmen!$D$3:$D$6000,A5611),"")</f>
        <v/>
      </c>
    </row>
    <row r="5612">
      <c r="A5612" t="n">
        <v>5611</v>
      </c>
      <c r="B5612">
        <f>IFERROR(INDEX(Segmen!$A$3:$A$6000,MATCH(C5612,Segmen!$D$3:$D$6000,0)),"")</f>
        <v/>
      </c>
      <c r="C5612">
        <f>IFERROR(LARGE(Segmen!$D$3:$D$6000,A5612),"")</f>
        <v/>
      </c>
    </row>
    <row r="5613">
      <c r="A5613" t="n">
        <v>5612</v>
      </c>
      <c r="B5613">
        <f>IFERROR(INDEX(Segmen!$A$3:$A$6000,MATCH(C5613,Segmen!$D$3:$D$6000,0)),"")</f>
        <v/>
      </c>
      <c r="C5613">
        <f>IFERROR(LARGE(Segmen!$D$3:$D$6000,A5613),"")</f>
        <v/>
      </c>
    </row>
    <row r="5614">
      <c r="A5614" t="n">
        <v>5613</v>
      </c>
      <c r="B5614">
        <f>IFERROR(INDEX(Segmen!$A$3:$A$6000,MATCH(C5614,Segmen!$D$3:$D$6000,0)),"")</f>
        <v/>
      </c>
      <c r="C5614">
        <f>IFERROR(LARGE(Segmen!$D$3:$D$6000,A5614),"")</f>
        <v/>
      </c>
    </row>
    <row r="5615">
      <c r="A5615" t="n">
        <v>5614</v>
      </c>
      <c r="B5615">
        <f>IFERROR(INDEX(Segmen!$A$3:$A$6000,MATCH(C5615,Segmen!$D$3:$D$6000,0)),"")</f>
        <v/>
      </c>
      <c r="C5615">
        <f>IFERROR(LARGE(Segmen!$D$3:$D$6000,A5615),"")</f>
        <v/>
      </c>
    </row>
    <row r="5616">
      <c r="A5616" t="n">
        <v>5615</v>
      </c>
      <c r="B5616">
        <f>IFERROR(INDEX(Segmen!$A$3:$A$6000,MATCH(C5616,Segmen!$D$3:$D$6000,0)),"")</f>
        <v/>
      </c>
      <c r="C5616">
        <f>IFERROR(LARGE(Segmen!$D$3:$D$6000,A5616),"")</f>
        <v/>
      </c>
    </row>
    <row r="5617">
      <c r="A5617" t="n">
        <v>5616</v>
      </c>
      <c r="B5617">
        <f>IFERROR(INDEX(Segmen!$A$3:$A$6000,MATCH(C5617,Segmen!$D$3:$D$6000,0)),"")</f>
        <v/>
      </c>
      <c r="C5617">
        <f>IFERROR(LARGE(Segmen!$D$3:$D$6000,A5617),"")</f>
        <v/>
      </c>
    </row>
    <row r="5618">
      <c r="A5618" t="n">
        <v>5617</v>
      </c>
      <c r="B5618">
        <f>IFERROR(INDEX(Segmen!$A$3:$A$6000,MATCH(C5618,Segmen!$D$3:$D$6000,0)),"")</f>
        <v/>
      </c>
      <c r="C5618">
        <f>IFERROR(LARGE(Segmen!$D$3:$D$6000,A5618),"")</f>
        <v/>
      </c>
    </row>
    <row r="5619">
      <c r="A5619" t="n">
        <v>5618</v>
      </c>
      <c r="B5619">
        <f>IFERROR(INDEX(Segmen!$A$3:$A$6000,MATCH(C5619,Segmen!$D$3:$D$6000,0)),"")</f>
        <v/>
      </c>
      <c r="C5619">
        <f>IFERROR(LARGE(Segmen!$D$3:$D$6000,A5619),"")</f>
        <v/>
      </c>
    </row>
    <row r="5620">
      <c r="A5620" t="n">
        <v>5619</v>
      </c>
      <c r="B5620">
        <f>IFERROR(INDEX(Segmen!$A$3:$A$6000,MATCH(C5620,Segmen!$D$3:$D$6000,0)),"")</f>
        <v/>
      </c>
      <c r="C5620">
        <f>IFERROR(LARGE(Segmen!$D$3:$D$6000,A5620),"")</f>
        <v/>
      </c>
    </row>
    <row r="5621">
      <c r="A5621" t="n">
        <v>5620</v>
      </c>
      <c r="B5621">
        <f>IFERROR(INDEX(Segmen!$A$3:$A$6000,MATCH(C5621,Segmen!$D$3:$D$6000,0)),"")</f>
        <v/>
      </c>
      <c r="C5621">
        <f>IFERROR(LARGE(Segmen!$D$3:$D$6000,A5621),"")</f>
        <v/>
      </c>
    </row>
    <row r="5622">
      <c r="A5622" t="n">
        <v>5621</v>
      </c>
      <c r="B5622">
        <f>IFERROR(INDEX(Segmen!$A$3:$A$6000,MATCH(C5622,Segmen!$D$3:$D$6000,0)),"")</f>
        <v/>
      </c>
      <c r="C5622">
        <f>IFERROR(LARGE(Segmen!$D$3:$D$6000,A5622),"")</f>
        <v/>
      </c>
    </row>
    <row r="5623">
      <c r="A5623" t="n">
        <v>5622</v>
      </c>
      <c r="B5623">
        <f>IFERROR(INDEX(Segmen!$A$3:$A$6000,MATCH(C5623,Segmen!$D$3:$D$6000,0)),"")</f>
        <v/>
      </c>
      <c r="C5623">
        <f>IFERROR(LARGE(Segmen!$D$3:$D$6000,A5623),"")</f>
        <v/>
      </c>
    </row>
    <row r="5624">
      <c r="A5624" t="n">
        <v>5623</v>
      </c>
      <c r="B5624">
        <f>IFERROR(INDEX(Segmen!$A$3:$A$6000,MATCH(C5624,Segmen!$D$3:$D$6000,0)),"")</f>
        <v/>
      </c>
      <c r="C5624">
        <f>IFERROR(LARGE(Segmen!$D$3:$D$6000,A5624),"")</f>
        <v/>
      </c>
    </row>
    <row r="5625">
      <c r="A5625" t="n">
        <v>5624</v>
      </c>
      <c r="B5625">
        <f>IFERROR(INDEX(Segmen!$A$3:$A$6000,MATCH(C5625,Segmen!$D$3:$D$6000,0)),"")</f>
        <v/>
      </c>
      <c r="C5625">
        <f>IFERROR(LARGE(Segmen!$D$3:$D$6000,A5625),"")</f>
        <v/>
      </c>
    </row>
    <row r="5626">
      <c r="A5626" t="n">
        <v>5625</v>
      </c>
      <c r="B5626">
        <f>IFERROR(INDEX(Segmen!$A$3:$A$6000,MATCH(C5626,Segmen!$D$3:$D$6000,0)),"")</f>
        <v/>
      </c>
      <c r="C5626">
        <f>IFERROR(LARGE(Segmen!$D$3:$D$6000,A5626),"")</f>
        <v/>
      </c>
    </row>
    <row r="5627">
      <c r="A5627" t="n">
        <v>5626</v>
      </c>
      <c r="B5627">
        <f>IFERROR(INDEX(Segmen!$A$3:$A$6000,MATCH(C5627,Segmen!$D$3:$D$6000,0)),"")</f>
        <v/>
      </c>
      <c r="C5627">
        <f>IFERROR(LARGE(Segmen!$D$3:$D$6000,A5627),"")</f>
        <v/>
      </c>
    </row>
    <row r="5628">
      <c r="A5628" t="n">
        <v>5627</v>
      </c>
      <c r="B5628">
        <f>IFERROR(INDEX(Segmen!$A$3:$A$6000,MATCH(C5628,Segmen!$D$3:$D$6000,0)),"")</f>
        <v/>
      </c>
      <c r="C5628">
        <f>IFERROR(LARGE(Segmen!$D$3:$D$6000,A5628),"")</f>
        <v/>
      </c>
    </row>
    <row r="5629">
      <c r="A5629" t="n">
        <v>5628</v>
      </c>
      <c r="B5629">
        <f>IFERROR(INDEX(Segmen!$A$3:$A$6000,MATCH(C5629,Segmen!$D$3:$D$6000,0)),"")</f>
        <v/>
      </c>
      <c r="C5629">
        <f>IFERROR(LARGE(Segmen!$D$3:$D$6000,A5629),"")</f>
        <v/>
      </c>
    </row>
    <row r="5630">
      <c r="A5630" t="n">
        <v>5629</v>
      </c>
      <c r="B5630">
        <f>IFERROR(INDEX(Segmen!$A$3:$A$6000,MATCH(C5630,Segmen!$D$3:$D$6000,0)),"")</f>
        <v/>
      </c>
      <c r="C5630">
        <f>IFERROR(LARGE(Segmen!$D$3:$D$6000,A5630),"")</f>
        <v/>
      </c>
    </row>
    <row r="5631">
      <c r="A5631" t="n">
        <v>5630</v>
      </c>
      <c r="B5631">
        <f>IFERROR(INDEX(Segmen!$A$3:$A$6000,MATCH(C5631,Segmen!$D$3:$D$6000,0)),"")</f>
        <v/>
      </c>
      <c r="C5631">
        <f>IFERROR(LARGE(Segmen!$D$3:$D$6000,A5631),"")</f>
        <v/>
      </c>
    </row>
    <row r="5632">
      <c r="A5632" t="n">
        <v>5631</v>
      </c>
      <c r="B5632">
        <f>IFERROR(INDEX(Segmen!$A$3:$A$6000,MATCH(C5632,Segmen!$D$3:$D$6000,0)),"")</f>
        <v/>
      </c>
      <c r="C5632">
        <f>IFERROR(LARGE(Segmen!$D$3:$D$6000,A5632),"")</f>
        <v/>
      </c>
    </row>
    <row r="5633">
      <c r="A5633" t="n">
        <v>5632</v>
      </c>
      <c r="B5633">
        <f>IFERROR(INDEX(Segmen!$A$3:$A$6000,MATCH(C5633,Segmen!$D$3:$D$6000,0)),"")</f>
        <v/>
      </c>
      <c r="C5633">
        <f>IFERROR(LARGE(Segmen!$D$3:$D$6000,A5633),"")</f>
        <v/>
      </c>
    </row>
    <row r="5634">
      <c r="A5634" t="n">
        <v>5633</v>
      </c>
      <c r="B5634">
        <f>IFERROR(INDEX(Segmen!$A$3:$A$6000,MATCH(C5634,Segmen!$D$3:$D$6000,0)),"")</f>
        <v/>
      </c>
      <c r="C5634">
        <f>IFERROR(LARGE(Segmen!$D$3:$D$6000,A5634),"")</f>
        <v/>
      </c>
    </row>
    <row r="5635">
      <c r="A5635" t="n">
        <v>5634</v>
      </c>
      <c r="B5635">
        <f>IFERROR(INDEX(Segmen!$A$3:$A$6000,MATCH(C5635,Segmen!$D$3:$D$6000,0)),"")</f>
        <v/>
      </c>
      <c r="C5635">
        <f>IFERROR(LARGE(Segmen!$D$3:$D$6000,A5635),"")</f>
        <v/>
      </c>
    </row>
    <row r="5636">
      <c r="A5636" t="n">
        <v>5635</v>
      </c>
      <c r="B5636">
        <f>IFERROR(INDEX(Segmen!$A$3:$A$6000,MATCH(C5636,Segmen!$D$3:$D$6000,0)),"")</f>
        <v/>
      </c>
      <c r="C5636">
        <f>IFERROR(LARGE(Segmen!$D$3:$D$6000,A5636),"")</f>
        <v/>
      </c>
    </row>
    <row r="5637">
      <c r="A5637" t="n">
        <v>5636</v>
      </c>
      <c r="B5637">
        <f>IFERROR(INDEX(Segmen!$A$3:$A$6000,MATCH(C5637,Segmen!$D$3:$D$6000,0)),"")</f>
        <v/>
      </c>
      <c r="C5637">
        <f>IFERROR(LARGE(Segmen!$D$3:$D$6000,A5637),"")</f>
        <v/>
      </c>
    </row>
    <row r="5638">
      <c r="A5638" t="n">
        <v>5637</v>
      </c>
      <c r="B5638">
        <f>IFERROR(INDEX(Segmen!$A$3:$A$6000,MATCH(C5638,Segmen!$D$3:$D$6000,0)),"")</f>
        <v/>
      </c>
      <c r="C5638">
        <f>IFERROR(LARGE(Segmen!$D$3:$D$6000,A5638),"")</f>
        <v/>
      </c>
    </row>
    <row r="5639">
      <c r="A5639" t="n">
        <v>5638</v>
      </c>
      <c r="B5639">
        <f>IFERROR(INDEX(Segmen!$A$3:$A$6000,MATCH(C5639,Segmen!$D$3:$D$6000,0)),"")</f>
        <v/>
      </c>
      <c r="C5639">
        <f>IFERROR(LARGE(Segmen!$D$3:$D$6000,A5639),"")</f>
        <v/>
      </c>
    </row>
    <row r="5640">
      <c r="A5640" t="n">
        <v>5639</v>
      </c>
      <c r="B5640">
        <f>IFERROR(INDEX(Segmen!$A$3:$A$6000,MATCH(C5640,Segmen!$D$3:$D$6000,0)),"")</f>
        <v/>
      </c>
      <c r="C5640">
        <f>IFERROR(LARGE(Segmen!$D$3:$D$6000,A5640),"")</f>
        <v/>
      </c>
    </row>
    <row r="5641">
      <c r="A5641" t="n">
        <v>5640</v>
      </c>
      <c r="B5641">
        <f>IFERROR(INDEX(Segmen!$A$3:$A$6000,MATCH(C5641,Segmen!$D$3:$D$6000,0)),"")</f>
        <v/>
      </c>
      <c r="C5641">
        <f>IFERROR(LARGE(Segmen!$D$3:$D$6000,A5641),"")</f>
        <v/>
      </c>
    </row>
    <row r="5642">
      <c r="A5642" t="n">
        <v>5641</v>
      </c>
      <c r="B5642">
        <f>IFERROR(INDEX(Segmen!$A$3:$A$6000,MATCH(C5642,Segmen!$D$3:$D$6000,0)),"")</f>
        <v/>
      </c>
      <c r="C5642">
        <f>IFERROR(LARGE(Segmen!$D$3:$D$6000,A5642),"")</f>
        <v/>
      </c>
    </row>
    <row r="5643">
      <c r="A5643" t="n">
        <v>5642</v>
      </c>
      <c r="B5643">
        <f>IFERROR(INDEX(Segmen!$A$3:$A$6000,MATCH(C5643,Segmen!$D$3:$D$6000,0)),"")</f>
        <v/>
      </c>
      <c r="C5643">
        <f>IFERROR(LARGE(Segmen!$D$3:$D$6000,A5643),"")</f>
        <v/>
      </c>
    </row>
    <row r="5644">
      <c r="A5644" t="n">
        <v>5643</v>
      </c>
      <c r="B5644">
        <f>IFERROR(INDEX(Segmen!$A$3:$A$6000,MATCH(C5644,Segmen!$D$3:$D$6000,0)),"")</f>
        <v/>
      </c>
      <c r="C5644">
        <f>IFERROR(LARGE(Segmen!$D$3:$D$6000,A5644),"")</f>
        <v/>
      </c>
    </row>
    <row r="5645">
      <c r="A5645" t="n">
        <v>5644</v>
      </c>
      <c r="B5645">
        <f>IFERROR(INDEX(Segmen!$A$3:$A$6000,MATCH(C5645,Segmen!$D$3:$D$6000,0)),"")</f>
        <v/>
      </c>
      <c r="C5645">
        <f>IFERROR(LARGE(Segmen!$D$3:$D$6000,A5645),"")</f>
        <v/>
      </c>
    </row>
    <row r="5646">
      <c r="A5646" t="n">
        <v>5645</v>
      </c>
      <c r="B5646">
        <f>IFERROR(INDEX(Segmen!$A$3:$A$6000,MATCH(C5646,Segmen!$D$3:$D$6000,0)),"")</f>
        <v/>
      </c>
      <c r="C5646">
        <f>IFERROR(LARGE(Segmen!$D$3:$D$6000,A5646),"")</f>
        <v/>
      </c>
    </row>
    <row r="5647">
      <c r="A5647" t="n">
        <v>5646</v>
      </c>
      <c r="B5647">
        <f>IFERROR(INDEX(Segmen!$A$3:$A$6000,MATCH(C5647,Segmen!$D$3:$D$6000,0)),"")</f>
        <v/>
      </c>
      <c r="C5647">
        <f>IFERROR(LARGE(Segmen!$D$3:$D$6000,A5647),"")</f>
        <v/>
      </c>
    </row>
    <row r="5648">
      <c r="A5648" t="n">
        <v>5647</v>
      </c>
      <c r="B5648">
        <f>IFERROR(INDEX(Segmen!$A$3:$A$6000,MATCH(C5648,Segmen!$D$3:$D$6000,0)),"")</f>
        <v/>
      </c>
      <c r="C5648">
        <f>IFERROR(LARGE(Segmen!$D$3:$D$6000,A5648),"")</f>
        <v/>
      </c>
    </row>
    <row r="5649">
      <c r="A5649" t="n">
        <v>5648</v>
      </c>
      <c r="B5649">
        <f>IFERROR(INDEX(Segmen!$A$3:$A$6000,MATCH(C5649,Segmen!$D$3:$D$6000,0)),"")</f>
        <v/>
      </c>
      <c r="C5649">
        <f>IFERROR(LARGE(Segmen!$D$3:$D$6000,A5649),"")</f>
        <v/>
      </c>
    </row>
    <row r="5650">
      <c r="A5650" t="n">
        <v>5649</v>
      </c>
      <c r="B5650">
        <f>IFERROR(INDEX(Segmen!$A$3:$A$6000,MATCH(C5650,Segmen!$D$3:$D$6000,0)),"")</f>
        <v/>
      </c>
      <c r="C5650">
        <f>IFERROR(LARGE(Segmen!$D$3:$D$6000,A5650),"")</f>
        <v/>
      </c>
    </row>
    <row r="5651">
      <c r="A5651" t="n">
        <v>5650</v>
      </c>
      <c r="B5651">
        <f>IFERROR(INDEX(Segmen!$A$3:$A$6000,MATCH(C5651,Segmen!$D$3:$D$6000,0)),"")</f>
        <v/>
      </c>
      <c r="C5651">
        <f>IFERROR(LARGE(Segmen!$D$3:$D$6000,A5651),"")</f>
        <v/>
      </c>
    </row>
    <row r="5652">
      <c r="A5652" t="n">
        <v>5651</v>
      </c>
      <c r="B5652">
        <f>IFERROR(INDEX(Segmen!$A$3:$A$6000,MATCH(C5652,Segmen!$D$3:$D$6000,0)),"")</f>
        <v/>
      </c>
      <c r="C5652">
        <f>IFERROR(LARGE(Segmen!$D$3:$D$6000,A5652),"")</f>
        <v/>
      </c>
    </row>
    <row r="5653">
      <c r="A5653" t="n">
        <v>5652</v>
      </c>
      <c r="B5653">
        <f>IFERROR(INDEX(Segmen!$A$3:$A$6000,MATCH(C5653,Segmen!$D$3:$D$6000,0)),"")</f>
        <v/>
      </c>
      <c r="C5653">
        <f>IFERROR(LARGE(Segmen!$D$3:$D$6000,A5653),"")</f>
        <v/>
      </c>
    </row>
    <row r="5654">
      <c r="A5654" t="n">
        <v>5653</v>
      </c>
      <c r="B5654">
        <f>IFERROR(INDEX(Segmen!$A$3:$A$6000,MATCH(C5654,Segmen!$D$3:$D$6000,0)),"")</f>
        <v/>
      </c>
      <c r="C5654">
        <f>IFERROR(LARGE(Segmen!$D$3:$D$6000,A5654),"")</f>
        <v/>
      </c>
    </row>
    <row r="5655">
      <c r="A5655" t="n">
        <v>5654</v>
      </c>
      <c r="B5655">
        <f>IFERROR(INDEX(Segmen!$A$3:$A$6000,MATCH(C5655,Segmen!$D$3:$D$6000,0)),"")</f>
        <v/>
      </c>
      <c r="C5655">
        <f>IFERROR(LARGE(Segmen!$D$3:$D$6000,A5655),"")</f>
        <v/>
      </c>
    </row>
    <row r="5656">
      <c r="A5656" t="n">
        <v>5655</v>
      </c>
      <c r="B5656">
        <f>IFERROR(INDEX(Segmen!$A$3:$A$6000,MATCH(C5656,Segmen!$D$3:$D$6000,0)),"")</f>
        <v/>
      </c>
      <c r="C5656">
        <f>IFERROR(LARGE(Segmen!$D$3:$D$6000,A5656),"")</f>
        <v/>
      </c>
    </row>
    <row r="5657">
      <c r="A5657" t="n">
        <v>5656</v>
      </c>
      <c r="B5657">
        <f>IFERROR(INDEX(Segmen!$A$3:$A$6000,MATCH(C5657,Segmen!$D$3:$D$6000,0)),"")</f>
        <v/>
      </c>
      <c r="C5657">
        <f>IFERROR(LARGE(Segmen!$D$3:$D$6000,A5657),"")</f>
        <v/>
      </c>
    </row>
    <row r="5658">
      <c r="A5658" t="n">
        <v>5657</v>
      </c>
      <c r="B5658">
        <f>IFERROR(INDEX(Segmen!$A$3:$A$6000,MATCH(C5658,Segmen!$D$3:$D$6000,0)),"")</f>
        <v/>
      </c>
      <c r="C5658">
        <f>IFERROR(LARGE(Segmen!$D$3:$D$6000,A5658),"")</f>
        <v/>
      </c>
    </row>
    <row r="5659">
      <c r="A5659" t="n">
        <v>5658</v>
      </c>
      <c r="B5659">
        <f>IFERROR(INDEX(Segmen!$A$3:$A$6000,MATCH(C5659,Segmen!$D$3:$D$6000,0)),"")</f>
        <v/>
      </c>
      <c r="C5659">
        <f>IFERROR(LARGE(Segmen!$D$3:$D$6000,A5659),"")</f>
        <v/>
      </c>
    </row>
    <row r="5660">
      <c r="A5660" t="n">
        <v>5659</v>
      </c>
      <c r="B5660">
        <f>IFERROR(INDEX(Segmen!$A$3:$A$6000,MATCH(C5660,Segmen!$D$3:$D$6000,0)),"")</f>
        <v/>
      </c>
      <c r="C5660">
        <f>IFERROR(LARGE(Segmen!$D$3:$D$6000,A5660),"")</f>
        <v/>
      </c>
    </row>
    <row r="5661">
      <c r="A5661" t="n">
        <v>5660</v>
      </c>
      <c r="B5661">
        <f>IFERROR(INDEX(Segmen!$A$3:$A$6000,MATCH(C5661,Segmen!$D$3:$D$6000,0)),"")</f>
        <v/>
      </c>
      <c r="C5661">
        <f>IFERROR(LARGE(Segmen!$D$3:$D$6000,A5661),"")</f>
        <v/>
      </c>
    </row>
    <row r="5662">
      <c r="A5662" t="n">
        <v>5661</v>
      </c>
      <c r="B5662">
        <f>IFERROR(INDEX(Segmen!$A$3:$A$6000,MATCH(C5662,Segmen!$D$3:$D$6000,0)),"")</f>
        <v/>
      </c>
      <c r="C5662">
        <f>IFERROR(LARGE(Segmen!$D$3:$D$6000,A5662),"")</f>
        <v/>
      </c>
    </row>
    <row r="5663">
      <c r="A5663" t="n">
        <v>5662</v>
      </c>
      <c r="B5663">
        <f>IFERROR(INDEX(Segmen!$A$3:$A$6000,MATCH(C5663,Segmen!$D$3:$D$6000,0)),"")</f>
        <v/>
      </c>
      <c r="C5663">
        <f>IFERROR(LARGE(Segmen!$D$3:$D$6000,A5663),"")</f>
        <v/>
      </c>
    </row>
    <row r="5664">
      <c r="A5664" t="n">
        <v>5663</v>
      </c>
      <c r="B5664">
        <f>IFERROR(INDEX(Segmen!$A$3:$A$6000,MATCH(C5664,Segmen!$D$3:$D$6000,0)),"")</f>
        <v/>
      </c>
      <c r="C5664">
        <f>IFERROR(LARGE(Segmen!$D$3:$D$6000,A5664),"")</f>
        <v/>
      </c>
    </row>
    <row r="5665">
      <c r="A5665" t="n">
        <v>5664</v>
      </c>
      <c r="B5665">
        <f>IFERROR(INDEX(Segmen!$A$3:$A$6000,MATCH(C5665,Segmen!$D$3:$D$6000,0)),"")</f>
        <v/>
      </c>
      <c r="C5665">
        <f>IFERROR(LARGE(Segmen!$D$3:$D$6000,A5665),"")</f>
        <v/>
      </c>
    </row>
    <row r="5666">
      <c r="A5666" t="n">
        <v>5665</v>
      </c>
      <c r="B5666">
        <f>IFERROR(INDEX(Segmen!$A$3:$A$6000,MATCH(C5666,Segmen!$D$3:$D$6000,0)),"")</f>
        <v/>
      </c>
      <c r="C5666">
        <f>IFERROR(LARGE(Segmen!$D$3:$D$6000,A5666),"")</f>
        <v/>
      </c>
    </row>
    <row r="5667">
      <c r="A5667" t="n">
        <v>5666</v>
      </c>
      <c r="B5667">
        <f>IFERROR(INDEX(Segmen!$A$3:$A$6000,MATCH(C5667,Segmen!$D$3:$D$6000,0)),"")</f>
        <v/>
      </c>
      <c r="C5667">
        <f>IFERROR(LARGE(Segmen!$D$3:$D$6000,A5667),"")</f>
        <v/>
      </c>
    </row>
    <row r="5668">
      <c r="A5668" t="n">
        <v>5667</v>
      </c>
      <c r="B5668">
        <f>IFERROR(INDEX(Segmen!$A$3:$A$6000,MATCH(C5668,Segmen!$D$3:$D$6000,0)),"")</f>
        <v/>
      </c>
      <c r="C5668">
        <f>IFERROR(LARGE(Segmen!$D$3:$D$6000,A5668),"")</f>
        <v/>
      </c>
    </row>
    <row r="5669">
      <c r="A5669" t="n">
        <v>5668</v>
      </c>
      <c r="B5669">
        <f>IFERROR(INDEX(Segmen!$A$3:$A$6000,MATCH(C5669,Segmen!$D$3:$D$6000,0)),"")</f>
        <v/>
      </c>
      <c r="C5669">
        <f>IFERROR(LARGE(Segmen!$D$3:$D$6000,A5669),"")</f>
        <v/>
      </c>
    </row>
    <row r="5670">
      <c r="A5670" t="n">
        <v>5669</v>
      </c>
      <c r="B5670">
        <f>IFERROR(INDEX(Segmen!$A$3:$A$6000,MATCH(C5670,Segmen!$D$3:$D$6000,0)),"")</f>
        <v/>
      </c>
      <c r="C5670">
        <f>IFERROR(LARGE(Segmen!$D$3:$D$6000,A5670),"")</f>
        <v/>
      </c>
    </row>
    <row r="5671">
      <c r="A5671" t="n">
        <v>5670</v>
      </c>
      <c r="B5671">
        <f>IFERROR(INDEX(Segmen!$A$3:$A$6000,MATCH(C5671,Segmen!$D$3:$D$6000,0)),"")</f>
        <v/>
      </c>
      <c r="C5671">
        <f>IFERROR(LARGE(Segmen!$D$3:$D$6000,A5671),"")</f>
        <v/>
      </c>
    </row>
    <row r="5672">
      <c r="A5672" t="n">
        <v>5671</v>
      </c>
      <c r="B5672">
        <f>IFERROR(INDEX(Segmen!$A$3:$A$6000,MATCH(C5672,Segmen!$D$3:$D$6000,0)),"")</f>
        <v/>
      </c>
      <c r="C5672">
        <f>IFERROR(LARGE(Segmen!$D$3:$D$6000,A5672),"")</f>
        <v/>
      </c>
    </row>
    <row r="5673">
      <c r="A5673" t="n">
        <v>5672</v>
      </c>
      <c r="B5673">
        <f>IFERROR(INDEX(Segmen!$A$3:$A$6000,MATCH(C5673,Segmen!$D$3:$D$6000,0)),"")</f>
        <v/>
      </c>
      <c r="C5673">
        <f>IFERROR(LARGE(Segmen!$D$3:$D$6000,A5673),"")</f>
        <v/>
      </c>
    </row>
    <row r="5674">
      <c r="A5674" t="n">
        <v>5673</v>
      </c>
      <c r="B5674">
        <f>IFERROR(INDEX(Segmen!$A$3:$A$6000,MATCH(C5674,Segmen!$D$3:$D$6000,0)),"")</f>
        <v/>
      </c>
      <c r="C5674">
        <f>IFERROR(LARGE(Segmen!$D$3:$D$6000,A5674),"")</f>
        <v/>
      </c>
    </row>
    <row r="5675">
      <c r="A5675" t="n">
        <v>5674</v>
      </c>
      <c r="B5675">
        <f>IFERROR(INDEX(Segmen!$A$3:$A$6000,MATCH(C5675,Segmen!$D$3:$D$6000,0)),"")</f>
        <v/>
      </c>
      <c r="C5675">
        <f>IFERROR(LARGE(Segmen!$D$3:$D$6000,A5675),"")</f>
        <v/>
      </c>
    </row>
    <row r="5676">
      <c r="A5676" t="n">
        <v>5675</v>
      </c>
      <c r="B5676">
        <f>IFERROR(INDEX(Segmen!$A$3:$A$6000,MATCH(C5676,Segmen!$D$3:$D$6000,0)),"")</f>
        <v/>
      </c>
      <c r="C5676">
        <f>IFERROR(LARGE(Segmen!$D$3:$D$6000,A5676),"")</f>
        <v/>
      </c>
    </row>
    <row r="5677">
      <c r="A5677" t="n">
        <v>5676</v>
      </c>
      <c r="B5677">
        <f>IFERROR(INDEX(Segmen!$A$3:$A$6000,MATCH(C5677,Segmen!$D$3:$D$6000,0)),"")</f>
        <v/>
      </c>
      <c r="C5677">
        <f>IFERROR(LARGE(Segmen!$D$3:$D$6000,A5677),"")</f>
        <v/>
      </c>
    </row>
    <row r="5678">
      <c r="A5678" t="n">
        <v>5677</v>
      </c>
      <c r="B5678">
        <f>IFERROR(INDEX(Segmen!$A$3:$A$6000,MATCH(C5678,Segmen!$D$3:$D$6000,0)),"")</f>
        <v/>
      </c>
      <c r="C5678">
        <f>IFERROR(LARGE(Segmen!$D$3:$D$6000,A5678),"")</f>
        <v/>
      </c>
    </row>
    <row r="5679">
      <c r="A5679" t="n">
        <v>5678</v>
      </c>
      <c r="B5679">
        <f>IFERROR(INDEX(Segmen!$A$3:$A$6000,MATCH(C5679,Segmen!$D$3:$D$6000,0)),"")</f>
        <v/>
      </c>
      <c r="C5679">
        <f>IFERROR(LARGE(Segmen!$D$3:$D$6000,A5679),"")</f>
        <v/>
      </c>
    </row>
    <row r="5680">
      <c r="A5680" t="n">
        <v>5679</v>
      </c>
      <c r="B5680">
        <f>IFERROR(INDEX(Segmen!$A$3:$A$6000,MATCH(C5680,Segmen!$D$3:$D$6000,0)),"")</f>
        <v/>
      </c>
      <c r="C5680">
        <f>IFERROR(LARGE(Segmen!$D$3:$D$6000,A5680),"")</f>
        <v/>
      </c>
    </row>
    <row r="5681">
      <c r="A5681" t="n">
        <v>5680</v>
      </c>
      <c r="B5681">
        <f>IFERROR(INDEX(Segmen!$A$3:$A$6000,MATCH(C5681,Segmen!$D$3:$D$6000,0)),"")</f>
        <v/>
      </c>
      <c r="C5681">
        <f>IFERROR(LARGE(Segmen!$D$3:$D$6000,A5681),"")</f>
        <v/>
      </c>
    </row>
    <row r="5682">
      <c r="A5682" t="n">
        <v>5681</v>
      </c>
      <c r="B5682">
        <f>IFERROR(INDEX(Segmen!$A$3:$A$6000,MATCH(C5682,Segmen!$D$3:$D$6000,0)),"")</f>
        <v/>
      </c>
      <c r="C5682">
        <f>IFERROR(LARGE(Segmen!$D$3:$D$6000,A5682),"")</f>
        <v/>
      </c>
    </row>
    <row r="5683">
      <c r="A5683" t="n">
        <v>5682</v>
      </c>
      <c r="B5683">
        <f>IFERROR(INDEX(Segmen!$A$3:$A$6000,MATCH(C5683,Segmen!$D$3:$D$6000,0)),"")</f>
        <v/>
      </c>
      <c r="C5683">
        <f>IFERROR(LARGE(Segmen!$D$3:$D$6000,A5683),"")</f>
        <v/>
      </c>
    </row>
    <row r="5684">
      <c r="A5684" t="n">
        <v>5683</v>
      </c>
      <c r="B5684">
        <f>IFERROR(INDEX(Segmen!$A$3:$A$6000,MATCH(C5684,Segmen!$D$3:$D$6000,0)),"")</f>
        <v/>
      </c>
      <c r="C5684">
        <f>IFERROR(LARGE(Segmen!$D$3:$D$6000,A5684),"")</f>
        <v/>
      </c>
    </row>
    <row r="5685">
      <c r="A5685" t="n">
        <v>5684</v>
      </c>
      <c r="B5685">
        <f>IFERROR(INDEX(Segmen!$A$3:$A$6000,MATCH(C5685,Segmen!$D$3:$D$6000,0)),"")</f>
        <v/>
      </c>
      <c r="C5685">
        <f>IFERROR(LARGE(Segmen!$D$3:$D$6000,A5685),"")</f>
        <v/>
      </c>
    </row>
    <row r="5686">
      <c r="A5686" t="n">
        <v>5685</v>
      </c>
      <c r="B5686">
        <f>IFERROR(INDEX(Segmen!$A$3:$A$6000,MATCH(C5686,Segmen!$D$3:$D$6000,0)),"")</f>
        <v/>
      </c>
      <c r="C5686">
        <f>IFERROR(LARGE(Segmen!$D$3:$D$6000,A5686),"")</f>
        <v/>
      </c>
    </row>
    <row r="5687">
      <c r="A5687" t="n">
        <v>5686</v>
      </c>
      <c r="B5687">
        <f>IFERROR(INDEX(Segmen!$A$3:$A$6000,MATCH(C5687,Segmen!$D$3:$D$6000,0)),"")</f>
        <v/>
      </c>
      <c r="C5687">
        <f>IFERROR(LARGE(Segmen!$D$3:$D$6000,A5687),"")</f>
        <v/>
      </c>
    </row>
    <row r="5688">
      <c r="A5688" t="n">
        <v>5687</v>
      </c>
      <c r="B5688">
        <f>IFERROR(INDEX(Segmen!$A$3:$A$6000,MATCH(C5688,Segmen!$D$3:$D$6000,0)),"")</f>
        <v/>
      </c>
      <c r="C5688">
        <f>IFERROR(LARGE(Segmen!$D$3:$D$6000,A5688),"")</f>
        <v/>
      </c>
    </row>
    <row r="5689">
      <c r="A5689" t="n">
        <v>5688</v>
      </c>
      <c r="B5689">
        <f>IFERROR(INDEX(Segmen!$A$3:$A$6000,MATCH(C5689,Segmen!$D$3:$D$6000,0)),"")</f>
        <v/>
      </c>
      <c r="C5689">
        <f>IFERROR(LARGE(Segmen!$D$3:$D$6000,A5689),"")</f>
        <v/>
      </c>
    </row>
    <row r="5690">
      <c r="A5690" t="n">
        <v>5689</v>
      </c>
      <c r="B5690">
        <f>IFERROR(INDEX(Segmen!$A$3:$A$6000,MATCH(C5690,Segmen!$D$3:$D$6000,0)),"")</f>
        <v/>
      </c>
      <c r="C5690">
        <f>IFERROR(LARGE(Segmen!$D$3:$D$6000,A5690),"")</f>
        <v/>
      </c>
    </row>
    <row r="5691">
      <c r="A5691" t="n">
        <v>5690</v>
      </c>
      <c r="B5691">
        <f>IFERROR(INDEX(Segmen!$A$3:$A$6000,MATCH(C5691,Segmen!$D$3:$D$6000,0)),"")</f>
        <v/>
      </c>
      <c r="C5691">
        <f>IFERROR(LARGE(Segmen!$D$3:$D$6000,A5691),"")</f>
        <v/>
      </c>
    </row>
    <row r="5692">
      <c r="A5692" t="n">
        <v>5691</v>
      </c>
      <c r="B5692">
        <f>IFERROR(INDEX(Segmen!$A$3:$A$6000,MATCH(C5692,Segmen!$D$3:$D$6000,0)),"")</f>
        <v/>
      </c>
      <c r="C5692">
        <f>IFERROR(LARGE(Segmen!$D$3:$D$6000,A5692),"")</f>
        <v/>
      </c>
    </row>
    <row r="5693">
      <c r="A5693" t="n">
        <v>5692</v>
      </c>
      <c r="B5693">
        <f>IFERROR(INDEX(Segmen!$A$3:$A$6000,MATCH(C5693,Segmen!$D$3:$D$6000,0)),"")</f>
        <v/>
      </c>
      <c r="C5693">
        <f>IFERROR(LARGE(Segmen!$D$3:$D$6000,A5693),"")</f>
        <v/>
      </c>
    </row>
    <row r="5694">
      <c r="A5694" t="n">
        <v>5693</v>
      </c>
      <c r="B5694">
        <f>IFERROR(INDEX(Segmen!$A$3:$A$6000,MATCH(C5694,Segmen!$D$3:$D$6000,0)),"")</f>
        <v/>
      </c>
      <c r="C5694">
        <f>IFERROR(LARGE(Segmen!$D$3:$D$6000,A5694),"")</f>
        <v/>
      </c>
    </row>
    <row r="5695">
      <c r="A5695" t="n">
        <v>5694</v>
      </c>
      <c r="B5695">
        <f>IFERROR(INDEX(Segmen!$A$3:$A$6000,MATCH(C5695,Segmen!$D$3:$D$6000,0)),"")</f>
        <v/>
      </c>
      <c r="C5695">
        <f>IFERROR(LARGE(Segmen!$D$3:$D$6000,A5695),"")</f>
        <v/>
      </c>
    </row>
    <row r="5696">
      <c r="A5696" t="n">
        <v>5695</v>
      </c>
      <c r="B5696">
        <f>IFERROR(INDEX(Segmen!$A$3:$A$6000,MATCH(C5696,Segmen!$D$3:$D$6000,0)),"")</f>
        <v/>
      </c>
      <c r="C5696">
        <f>IFERROR(LARGE(Segmen!$D$3:$D$6000,A5696),"")</f>
        <v/>
      </c>
    </row>
    <row r="5697">
      <c r="A5697" t="n">
        <v>5696</v>
      </c>
      <c r="B5697">
        <f>IFERROR(INDEX(Segmen!$A$3:$A$6000,MATCH(C5697,Segmen!$D$3:$D$6000,0)),"")</f>
        <v/>
      </c>
      <c r="C5697">
        <f>IFERROR(LARGE(Segmen!$D$3:$D$6000,A5697),"")</f>
        <v/>
      </c>
    </row>
    <row r="5698">
      <c r="A5698" t="n">
        <v>5697</v>
      </c>
      <c r="B5698">
        <f>IFERROR(INDEX(Segmen!$A$3:$A$6000,MATCH(C5698,Segmen!$D$3:$D$6000,0)),"")</f>
        <v/>
      </c>
      <c r="C5698">
        <f>IFERROR(LARGE(Segmen!$D$3:$D$6000,A5698),"")</f>
        <v/>
      </c>
    </row>
    <row r="5699">
      <c r="A5699" t="n">
        <v>5698</v>
      </c>
      <c r="B5699">
        <f>IFERROR(INDEX(Segmen!$A$3:$A$6000,MATCH(C5699,Segmen!$D$3:$D$6000,0)),"")</f>
        <v/>
      </c>
      <c r="C5699">
        <f>IFERROR(LARGE(Segmen!$D$3:$D$6000,A5699),"")</f>
        <v/>
      </c>
    </row>
    <row r="5700">
      <c r="A5700" t="n">
        <v>5699</v>
      </c>
      <c r="B5700">
        <f>IFERROR(INDEX(Segmen!$A$3:$A$6000,MATCH(C5700,Segmen!$D$3:$D$6000,0)),"")</f>
        <v/>
      </c>
      <c r="C5700">
        <f>IFERROR(LARGE(Segmen!$D$3:$D$6000,A5700),"")</f>
        <v/>
      </c>
    </row>
    <row r="5701">
      <c r="A5701" t="n">
        <v>5700</v>
      </c>
      <c r="B5701">
        <f>IFERROR(INDEX(Segmen!$A$3:$A$6000,MATCH(C5701,Segmen!$D$3:$D$6000,0)),"")</f>
        <v/>
      </c>
      <c r="C5701">
        <f>IFERROR(LARGE(Segmen!$D$3:$D$6000,A5701),"")</f>
        <v/>
      </c>
    </row>
    <row r="5702">
      <c r="A5702" t="n">
        <v>5701</v>
      </c>
      <c r="B5702">
        <f>IFERROR(INDEX(Segmen!$A$3:$A$6000,MATCH(C5702,Segmen!$D$3:$D$6000,0)),"")</f>
        <v/>
      </c>
      <c r="C5702">
        <f>IFERROR(LARGE(Segmen!$D$3:$D$6000,A5702),"")</f>
        <v/>
      </c>
    </row>
    <row r="5703">
      <c r="A5703" t="n">
        <v>5702</v>
      </c>
      <c r="B5703">
        <f>IFERROR(INDEX(Segmen!$A$3:$A$6000,MATCH(C5703,Segmen!$D$3:$D$6000,0)),"")</f>
        <v/>
      </c>
      <c r="C5703">
        <f>IFERROR(LARGE(Segmen!$D$3:$D$6000,A5703),"")</f>
        <v/>
      </c>
    </row>
    <row r="5704">
      <c r="A5704" t="n">
        <v>5703</v>
      </c>
      <c r="B5704">
        <f>IFERROR(INDEX(Segmen!$A$3:$A$6000,MATCH(C5704,Segmen!$D$3:$D$6000,0)),"")</f>
        <v/>
      </c>
      <c r="C5704">
        <f>IFERROR(LARGE(Segmen!$D$3:$D$6000,A5704),"")</f>
        <v/>
      </c>
    </row>
    <row r="5705">
      <c r="A5705" t="n">
        <v>5704</v>
      </c>
      <c r="B5705">
        <f>IFERROR(INDEX(Segmen!$A$3:$A$6000,MATCH(C5705,Segmen!$D$3:$D$6000,0)),"")</f>
        <v/>
      </c>
      <c r="C5705">
        <f>IFERROR(LARGE(Segmen!$D$3:$D$6000,A5705),"")</f>
        <v/>
      </c>
    </row>
    <row r="5706">
      <c r="A5706" t="n">
        <v>5705</v>
      </c>
      <c r="B5706">
        <f>IFERROR(INDEX(Segmen!$A$3:$A$6000,MATCH(C5706,Segmen!$D$3:$D$6000,0)),"")</f>
        <v/>
      </c>
      <c r="C5706">
        <f>IFERROR(LARGE(Segmen!$D$3:$D$6000,A5706),"")</f>
        <v/>
      </c>
    </row>
    <row r="5707">
      <c r="A5707" t="n">
        <v>5706</v>
      </c>
      <c r="B5707">
        <f>IFERROR(INDEX(Segmen!$A$3:$A$6000,MATCH(C5707,Segmen!$D$3:$D$6000,0)),"")</f>
        <v/>
      </c>
      <c r="C5707">
        <f>IFERROR(LARGE(Segmen!$D$3:$D$6000,A5707),"")</f>
        <v/>
      </c>
    </row>
    <row r="5708">
      <c r="A5708" t="n">
        <v>5707</v>
      </c>
      <c r="B5708">
        <f>IFERROR(INDEX(Segmen!$A$3:$A$6000,MATCH(C5708,Segmen!$D$3:$D$6000,0)),"")</f>
        <v/>
      </c>
      <c r="C5708">
        <f>IFERROR(LARGE(Segmen!$D$3:$D$6000,A5708),"")</f>
        <v/>
      </c>
    </row>
    <row r="5709">
      <c r="A5709" t="n">
        <v>5708</v>
      </c>
      <c r="B5709">
        <f>IFERROR(INDEX(Segmen!$A$3:$A$6000,MATCH(C5709,Segmen!$D$3:$D$6000,0)),"")</f>
        <v/>
      </c>
      <c r="C5709">
        <f>IFERROR(LARGE(Segmen!$D$3:$D$6000,A5709),"")</f>
        <v/>
      </c>
    </row>
    <row r="5710">
      <c r="A5710" t="n">
        <v>5709</v>
      </c>
      <c r="B5710">
        <f>IFERROR(INDEX(Segmen!$A$3:$A$6000,MATCH(C5710,Segmen!$D$3:$D$6000,0)),"")</f>
        <v/>
      </c>
      <c r="C5710">
        <f>IFERROR(LARGE(Segmen!$D$3:$D$6000,A5710),"")</f>
        <v/>
      </c>
    </row>
    <row r="5711">
      <c r="A5711" t="n">
        <v>5710</v>
      </c>
      <c r="B5711">
        <f>IFERROR(INDEX(Segmen!$A$3:$A$6000,MATCH(C5711,Segmen!$D$3:$D$6000,0)),"")</f>
        <v/>
      </c>
      <c r="C5711">
        <f>IFERROR(LARGE(Segmen!$D$3:$D$6000,A5711),"")</f>
        <v/>
      </c>
    </row>
    <row r="5712">
      <c r="A5712" t="n">
        <v>5711</v>
      </c>
      <c r="B5712">
        <f>IFERROR(INDEX(Segmen!$A$3:$A$6000,MATCH(C5712,Segmen!$D$3:$D$6000,0)),"")</f>
        <v/>
      </c>
      <c r="C5712">
        <f>IFERROR(LARGE(Segmen!$D$3:$D$6000,A5712),"")</f>
        <v/>
      </c>
    </row>
    <row r="5713">
      <c r="A5713" t="n">
        <v>5712</v>
      </c>
      <c r="B5713">
        <f>IFERROR(INDEX(Segmen!$A$3:$A$6000,MATCH(C5713,Segmen!$D$3:$D$6000,0)),"")</f>
        <v/>
      </c>
      <c r="C5713">
        <f>IFERROR(LARGE(Segmen!$D$3:$D$6000,A5713),"")</f>
        <v/>
      </c>
    </row>
    <row r="5714">
      <c r="A5714" t="n">
        <v>5713</v>
      </c>
      <c r="B5714">
        <f>IFERROR(INDEX(Segmen!$A$3:$A$6000,MATCH(C5714,Segmen!$D$3:$D$6000,0)),"")</f>
        <v/>
      </c>
      <c r="C5714">
        <f>IFERROR(LARGE(Segmen!$D$3:$D$6000,A5714),"")</f>
        <v/>
      </c>
    </row>
    <row r="5715">
      <c r="A5715" t="n">
        <v>5714</v>
      </c>
      <c r="B5715">
        <f>IFERROR(INDEX(Segmen!$A$3:$A$6000,MATCH(C5715,Segmen!$D$3:$D$6000,0)),"")</f>
        <v/>
      </c>
      <c r="C5715">
        <f>IFERROR(LARGE(Segmen!$D$3:$D$6000,A5715),"")</f>
        <v/>
      </c>
    </row>
    <row r="5716">
      <c r="A5716" t="n">
        <v>5715</v>
      </c>
      <c r="B5716">
        <f>IFERROR(INDEX(Segmen!$A$3:$A$6000,MATCH(C5716,Segmen!$D$3:$D$6000,0)),"")</f>
        <v/>
      </c>
      <c r="C5716">
        <f>IFERROR(LARGE(Segmen!$D$3:$D$6000,A5716),"")</f>
        <v/>
      </c>
    </row>
    <row r="5717">
      <c r="A5717" t="n">
        <v>5716</v>
      </c>
      <c r="B5717">
        <f>IFERROR(INDEX(Segmen!$A$3:$A$6000,MATCH(C5717,Segmen!$D$3:$D$6000,0)),"")</f>
        <v/>
      </c>
      <c r="C5717">
        <f>IFERROR(LARGE(Segmen!$D$3:$D$6000,A5717),"")</f>
        <v/>
      </c>
    </row>
    <row r="5718">
      <c r="A5718" t="n">
        <v>5717</v>
      </c>
      <c r="B5718">
        <f>IFERROR(INDEX(Segmen!$A$3:$A$6000,MATCH(C5718,Segmen!$D$3:$D$6000,0)),"")</f>
        <v/>
      </c>
      <c r="C5718">
        <f>IFERROR(LARGE(Segmen!$D$3:$D$6000,A5718),"")</f>
        <v/>
      </c>
    </row>
    <row r="5719">
      <c r="A5719" t="n">
        <v>5718</v>
      </c>
      <c r="B5719">
        <f>IFERROR(INDEX(Segmen!$A$3:$A$6000,MATCH(C5719,Segmen!$D$3:$D$6000,0)),"")</f>
        <v/>
      </c>
      <c r="C5719">
        <f>IFERROR(LARGE(Segmen!$D$3:$D$6000,A5719),"")</f>
        <v/>
      </c>
    </row>
    <row r="5720">
      <c r="A5720" t="n">
        <v>5719</v>
      </c>
      <c r="B5720">
        <f>IFERROR(INDEX(Segmen!$A$3:$A$6000,MATCH(C5720,Segmen!$D$3:$D$6000,0)),"")</f>
        <v/>
      </c>
      <c r="C5720">
        <f>IFERROR(LARGE(Segmen!$D$3:$D$6000,A5720),"")</f>
        <v/>
      </c>
    </row>
    <row r="5721">
      <c r="A5721" t="n">
        <v>5720</v>
      </c>
      <c r="B5721">
        <f>IFERROR(INDEX(Segmen!$A$3:$A$6000,MATCH(C5721,Segmen!$D$3:$D$6000,0)),"")</f>
        <v/>
      </c>
      <c r="C5721">
        <f>IFERROR(LARGE(Segmen!$D$3:$D$6000,A5721),"")</f>
        <v/>
      </c>
    </row>
    <row r="5722">
      <c r="A5722" t="n">
        <v>5721</v>
      </c>
      <c r="B5722">
        <f>IFERROR(INDEX(Segmen!$A$3:$A$6000,MATCH(C5722,Segmen!$D$3:$D$6000,0)),"")</f>
        <v/>
      </c>
      <c r="C5722">
        <f>IFERROR(LARGE(Segmen!$D$3:$D$6000,A5722),"")</f>
        <v/>
      </c>
    </row>
    <row r="5723">
      <c r="A5723" t="n">
        <v>5722</v>
      </c>
      <c r="B5723">
        <f>IFERROR(INDEX(Segmen!$A$3:$A$6000,MATCH(C5723,Segmen!$D$3:$D$6000,0)),"")</f>
        <v/>
      </c>
      <c r="C5723">
        <f>IFERROR(LARGE(Segmen!$D$3:$D$6000,A5723),"")</f>
        <v/>
      </c>
    </row>
    <row r="5724">
      <c r="A5724" t="n">
        <v>5723</v>
      </c>
      <c r="B5724">
        <f>IFERROR(INDEX(Segmen!$A$3:$A$6000,MATCH(C5724,Segmen!$D$3:$D$6000,0)),"")</f>
        <v/>
      </c>
      <c r="C5724">
        <f>IFERROR(LARGE(Segmen!$D$3:$D$6000,A5724),"")</f>
        <v/>
      </c>
    </row>
    <row r="5725">
      <c r="A5725" t="n">
        <v>5724</v>
      </c>
      <c r="B5725">
        <f>IFERROR(INDEX(Segmen!$A$3:$A$6000,MATCH(C5725,Segmen!$D$3:$D$6000,0)),"")</f>
        <v/>
      </c>
      <c r="C5725">
        <f>IFERROR(LARGE(Segmen!$D$3:$D$6000,A5725),"")</f>
        <v/>
      </c>
    </row>
    <row r="5726">
      <c r="A5726" t="n">
        <v>5725</v>
      </c>
      <c r="B5726">
        <f>IFERROR(INDEX(Segmen!$A$3:$A$6000,MATCH(C5726,Segmen!$D$3:$D$6000,0)),"")</f>
        <v/>
      </c>
      <c r="C5726">
        <f>IFERROR(LARGE(Segmen!$D$3:$D$6000,A5726),"")</f>
        <v/>
      </c>
    </row>
    <row r="5727">
      <c r="A5727" t="n">
        <v>5726</v>
      </c>
      <c r="B5727">
        <f>IFERROR(INDEX(Segmen!$A$3:$A$6000,MATCH(C5727,Segmen!$D$3:$D$6000,0)),"")</f>
        <v/>
      </c>
      <c r="C5727">
        <f>IFERROR(LARGE(Segmen!$D$3:$D$6000,A5727),"")</f>
        <v/>
      </c>
    </row>
    <row r="5728">
      <c r="A5728" t="n">
        <v>5727</v>
      </c>
      <c r="B5728">
        <f>IFERROR(INDEX(Segmen!$A$3:$A$6000,MATCH(C5728,Segmen!$D$3:$D$6000,0)),"")</f>
        <v/>
      </c>
      <c r="C5728">
        <f>IFERROR(LARGE(Segmen!$D$3:$D$6000,A5728),"")</f>
        <v/>
      </c>
    </row>
    <row r="5729">
      <c r="A5729" t="n">
        <v>5728</v>
      </c>
      <c r="B5729">
        <f>IFERROR(INDEX(Segmen!$A$3:$A$6000,MATCH(C5729,Segmen!$D$3:$D$6000,0)),"")</f>
        <v/>
      </c>
      <c r="C5729">
        <f>IFERROR(LARGE(Segmen!$D$3:$D$6000,A5729),"")</f>
        <v/>
      </c>
    </row>
    <row r="5730">
      <c r="A5730" t="n">
        <v>5729</v>
      </c>
      <c r="B5730">
        <f>IFERROR(INDEX(Segmen!$A$3:$A$6000,MATCH(C5730,Segmen!$D$3:$D$6000,0)),"")</f>
        <v/>
      </c>
      <c r="C5730">
        <f>IFERROR(LARGE(Segmen!$D$3:$D$6000,A5730),"")</f>
        <v/>
      </c>
    </row>
    <row r="5731">
      <c r="A5731" t="n">
        <v>5730</v>
      </c>
      <c r="B5731">
        <f>IFERROR(INDEX(Segmen!$A$3:$A$6000,MATCH(C5731,Segmen!$D$3:$D$6000,0)),"")</f>
        <v/>
      </c>
      <c r="C5731">
        <f>IFERROR(LARGE(Segmen!$D$3:$D$6000,A5731),"")</f>
        <v/>
      </c>
    </row>
    <row r="5732">
      <c r="A5732" t="n">
        <v>5731</v>
      </c>
      <c r="B5732">
        <f>IFERROR(INDEX(Segmen!$A$3:$A$6000,MATCH(C5732,Segmen!$D$3:$D$6000,0)),"")</f>
        <v/>
      </c>
      <c r="C5732">
        <f>IFERROR(LARGE(Segmen!$D$3:$D$6000,A5732),"")</f>
        <v/>
      </c>
    </row>
    <row r="5733">
      <c r="A5733" t="n">
        <v>5732</v>
      </c>
      <c r="B5733">
        <f>IFERROR(INDEX(Segmen!$A$3:$A$6000,MATCH(C5733,Segmen!$D$3:$D$6000,0)),"")</f>
        <v/>
      </c>
      <c r="C5733">
        <f>IFERROR(LARGE(Segmen!$D$3:$D$6000,A5733),"")</f>
        <v/>
      </c>
    </row>
    <row r="5734">
      <c r="A5734" t="n">
        <v>5733</v>
      </c>
      <c r="B5734">
        <f>IFERROR(INDEX(Segmen!$A$3:$A$6000,MATCH(C5734,Segmen!$D$3:$D$6000,0)),"")</f>
        <v/>
      </c>
      <c r="C5734">
        <f>IFERROR(LARGE(Segmen!$D$3:$D$6000,A5734),"")</f>
        <v/>
      </c>
    </row>
    <row r="5735">
      <c r="A5735" t="n">
        <v>5734</v>
      </c>
      <c r="B5735">
        <f>IFERROR(INDEX(Segmen!$A$3:$A$6000,MATCH(C5735,Segmen!$D$3:$D$6000,0)),"")</f>
        <v/>
      </c>
      <c r="C5735">
        <f>IFERROR(LARGE(Segmen!$D$3:$D$6000,A5735),"")</f>
        <v/>
      </c>
    </row>
    <row r="5736">
      <c r="A5736" t="n">
        <v>5735</v>
      </c>
      <c r="B5736">
        <f>IFERROR(INDEX(Segmen!$A$3:$A$6000,MATCH(C5736,Segmen!$D$3:$D$6000,0)),"")</f>
        <v/>
      </c>
      <c r="C5736">
        <f>IFERROR(LARGE(Segmen!$D$3:$D$6000,A5736),"")</f>
        <v/>
      </c>
    </row>
    <row r="5737">
      <c r="A5737" t="n">
        <v>5736</v>
      </c>
      <c r="B5737">
        <f>IFERROR(INDEX(Segmen!$A$3:$A$6000,MATCH(C5737,Segmen!$D$3:$D$6000,0)),"")</f>
        <v/>
      </c>
      <c r="C5737">
        <f>IFERROR(LARGE(Segmen!$D$3:$D$6000,A5737),"")</f>
        <v/>
      </c>
    </row>
    <row r="5738">
      <c r="A5738" t="n">
        <v>5737</v>
      </c>
      <c r="B5738">
        <f>IFERROR(INDEX(Segmen!$A$3:$A$6000,MATCH(C5738,Segmen!$D$3:$D$6000,0)),"")</f>
        <v/>
      </c>
      <c r="C5738">
        <f>IFERROR(LARGE(Segmen!$D$3:$D$6000,A5738),"")</f>
        <v/>
      </c>
    </row>
    <row r="5739">
      <c r="A5739" t="n">
        <v>5738</v>
      </c>
      <c r="B5739">
        <f>IFERROR(INDEX(Segmen!$A$3:$A$6000,MATCH(C5739,Segmen!$D$3:$D$6000,0)),"")</f>
        <v/>
      </c>
      <c r="C5739">
        <f>IFERROR(LARGE(Segmen!$D$3:$D$6000,A5739),"")</f>
        <v/>
      </c>
    </row>
    <row r="5740">
      <c r="A5740" t="n">
        <v>5739</v>
      </c>
      <c r="B5740">
        <f>IFERROR(INDEX(Segmen!$A$3:$A$6000,MATCH(C5740,Segmen!$D$3:$D$6000,0)),"")</f>
        <v/>
      </c>
      <c r="C5740">
        <f>IFERROR(LARGE(Segmen!$D$3:$D$6000,A5740),"")</f>
        <v/>
      </c>
    </row>
    <row r="5741">
      <c r="A5741" t="n">
        <v>5740</v>
      </c>
      <c r="B5741">
        <f>IFERROR(INDEX(Segmen!$A$3:$A$6000,MATCH(C5741,Segmen!$D$3:$D$6000,0)),"")</f>
        <v/>
      </c>
      <c r="C5741">
        <f>IFERROR(LARGE(Segmen!$D$3:$D$6000,A5741),"")</f>
        <v/>
      </c>
    </row>
    <row r="5742">
      <c r="A5742" t="n">
        <v>5741</v>
      </c>
      <c r="B5742">
        <f>IFERROR(INDEX(Segmen!$A$3:$A$6000,MATCH(C5742,Segmen!$D$3:$D$6000,0)),"")</f>
        <v/>
      </c>
      <c r="C5742">
        <f>IFERROR(LARGE(Segmen!$D$3:$D$6000,A5742),"")</f>
        <v/>
      </c>
    </row>
    <row r="5743">
      <c r="A5743" t="n">
        <v>5742</v>
      </c>
      <c r="B5743">
        <f>IFERROR(INDEX(Segmen!$A$3:$A$6000,MATCH(C5743,Segmen!$D$3:$D$6000,0)),"")</f>
        <v/>
      </c>
      <c r="C5743">
        <f>IFERROR(LARGE(Segmen!$D$3:$D$6000,A5743),"")</f>
        <v/>
      </c>
    </row>
    <row r="5744">
      <c r="A5744" t="n">
        <v>5743</v>
      </c>
      <c r="B5744">
        <f>IFERROR(INDEX(Segmen!$A$3:$A$6000,MATCH(C5744,Segmen!$D$3:$D$6000,0)),"")</f>
        <v/>
      </c>
      <c r="C5744">
        <f>IFERROR(LARGE(Segmen!$D$3:$D$6000,A5744),"")</f>
        <v/>
      </c>
    </row>
    <row r="5745">
      <c r="A5745" t="n">
        <v>5744</v>
      </c>
      <c r="B5745">
        <f>IFERROR(INDEX(Segmen!$A$3:$A$6000,MATCH(C5745,Segmen!$D$3:$D$6000,0)),"")</f>
        <v/>
      </c>
      <c r="C5745">
        <f>IFERROR(LARGE(Segmen!$D$3:$D$6000,A5745),"")</f>
        <v/>
      </c>
    </row>
    <row r="5746">
      <c r="A5746" t="n">
        <v>5745</v>
      </c>
      <c r="B5746">
        <f>IFERROR(INDEX(Segmen!$A$3:$A$6000,MATCH(C5746,Segmen!$D$3:$D$6000,0)),"")</f>
        <v/>
      </c>
      <c r="C5746">
        <f>IFERROR(LARGE(Segmen!$D$3:$D$6000,A5746),"")</f>
        <v/>
      </c>
    </row>
    <row r="5747">
      <c r="A5747" t="n">
        <v>5746</v>
      </c>
      <c r="B5747">
        <f>IFERROR(INDEX(Segmen!$A$3:$A$6000,MATCH(C5747,Segmen!$D$3:$D$6000,0)),"")</f>
        <v/>
      </c>
      <c r="C5747">
        <f>IFERROR(LARGE(Segmen!$D$3:$D$6000,A5747),"")</f>
        <v/>
      </c>
    </row>
    <row r="5748">
      <c r="A5748" t="n">
        <v>5747</v>
      </c>
      <c r="B5748">
        <f>IFERROR(INDEX(Segmen!$A$3:$A$6000,MATCH(C5748,Segmen!$D$3:$D$6000,0)),"")</f>
        <v/>
      </c>
      <c r="C5748">
        <f>IFERROR(LARGE(Segmen!$D$3:$D$6000,A5748),"")</f>
        <v/>
      </c>
    </row>
    <row r="5749">
      <c r="A5749" t="n">
        <v>5748</v>
      </c>
      <c r="B5749">
        <f>IFERROR(INDEX(Segmen!$A$3:$A$6000,MATCH(C5749,Segmen!$D$3:$D$6000,0)),"")</f>
        <v/>
      </c>
      <c r="C5749">
        <f>IFERROR(LARGE(Segmen!$D$3:$D$6000,A5749),"")</f>
        <v/>
      </c>
    </row>
    <row r="5750">
      <c r="A5750" t="n">
        <v>5749</v>
      </c>
      <c r="B5750">
        <f>IFERROR(INDEX(Segmen!$A$3:$A$6000,MATCH(C5750,Segmen!$D$3:$D$6000,0)),"")</f>
        <v/>
      </c>
      <c r="C5750">
        <f>IFERROR(LARGE(Segmen!$D$3:$D$6000,A5750),"")</f>
        <v/>
      </c>
    </row>
    <row r="5751">
      <c r="A5751" t="n">
        <v>5750</v>
      </c>
      <c r="B5751">
        <f>IFERROR(INDEX(Segmen!$A$3:$A$6000,MATCH(C5751,Segmen!$D$3:$D$6000,0)),"")</f>
        <v/>
      </c>
      <c r="C5751">
        <f>IFERROR(LARGE(Segmen!$D$3:$D$6000,A5751),"")</f>
        <v/>
      </c>
    </row>
    <row r="5752">
      <c r="A5752" t="n">
        <v>5751</v>
      </c>
      <c r="B5752">
        <f>IFERROR(INDEX(Segmen!$A$3:$A$6000,MATCH(C5752,Segmen!$D$3:$D$6000,0)),"")</f>
        <v/>
      </c>
      <c r="C5752">
        <f>IFERROR(LARGE(Segmen!$D$3:$D$6000,A5752),"")</f>
        <v/>
      </c>
    </row>
    <row r="5753">
      <c r="A5753" t="n">
        <v>5752</v>
      </c>
      <c r="B5753">
        <f>IFERROR(INDEX(Segmen!$A$3:$A$6000,MATCH(C5753,Segmen!$D$3:$D$6000,0)),"")</f>
        <v/>
      </c>
      <c r="C5753">
        <f>IFERROR(LARGE(Segmen!$D$3:$D$6000,A5753),"")</f>
        <v/>
      </c>
    </row>
    <row r="5754">
      <c r="A5754" t="n">
        <v>5753</v>
      </c>
      <c r="B5754">
        <f>IFERROR(INDEX(Segmen!$A$3:$A$6000,MATCH(C5754,Segmen!$D$3:$D$6000,0)),"")</f>
        <v/>
      </c>
      <c r="C5754">
        <f>IFERROR(LARGE(Segmen!$D$3:$D$6000,A5754),"")</f>
        <v/>
      </c>
    </row>
    <row r="5755">
      <c r="A5755" t="n">
        <v>5754</v>
      </c>
      <c r="B5755">
        <f>IFERROR(INDEX(Segmen!$A$3:$A$6000,MATCH(C5755,Segmen!$D$3:$D$6000,0)),"")</f>
        <v/>
      </c>
      <c r="C5755">
        <f>IFERROR(LARGE(Segmen!$D$3:$D$6000,A5755),"")</f>
        <v/>
      </c>
    </row>
    <row r="5756">
      <c r="A5756" t="n">
        <v>5755</v>
      </c>
      <c r="B5756">
        <f>IFERROR(INDEX(Segmen!$A$3:$A$6000,MATCH(C5756,Segmen!$D$3:$D$6000,0)),"")</f>
        <v/>
      </c>
      <c r="C5756">
        <f>IFERROR(LARGE(Segmen!$D$3:$D$6000,A5756),"")</f>
        <v/>
      </c>
    </row>
    <row r="5757">
      <c r="A5757" t="n">
        <v>5756</v>
      </c>
      <c r="B5757">
        <f>IFERROR(INDEX(Segmen!$A$3:$A$6000,MATCH(C5757,Segmen!$D$3:$D$6000,0)),"")</f>
        <v/>
      </c>
      <c r="C5757">
        <f>IFERROR(LARGE(Segmen!$D$3:$D$6000,A5757),"")</f>
        <v/>
      </c>
    </row>
    <row r="5758">
      <c r="A5758" t="n">
        <v>5757</v>
      </c>
      <c r="B5758">
        <f>IFERROR(INDEX(Segmen!$A$3:$A$6000,MATCH(C5758,Segmen!$D$3:$D$6000,0)),"")</f>
        <v/>
      </c>
      <c r="C5758">
        <f>IFERROR(LARGE(Segmen!$D$3:$D$6000,A5758),"")</f>
        <v/>
      </c>
    </row>
    <row r="5759">
      <c r="A5759" t="n">
        <v>5758</v>
      </c>
      <c r="B5759">
        <f>IFERROR(INDEX(Segmen!$A$3:$A$6000,MATCH(C5759,Segmen!$D$3:$D$6000,0)),"")</f>
        <v/>
      </c>
      <c r="C5759">
        <f>IFERROR(LARGE(Segmen!$D$3:$D$6000,A5759),"")</f>
        <v/>
      </c>
    </row>
    <row r="5760">
      <c r="A5760" t="n">
        <v>5759</v>
      </c>
      <c r="B5760">
        <f>IFERROR(INDEX(Segmen!$A$3:$A$6000,MATCH(C5760,Segmen!$D$3:$D$6000,0)),"")</f>
        <v/>
      </c>
      <c r="C5760">
        <f>IFERROR(LARGE(Segmen!$D$3:$D$6000,A5760),"")</f>
        <v/>
      </c>
    </row>
    <row r="5761">
      <c r="A5761" t="n">
        <v>5760</v>
      </c>
      <c r="B5761">
        <f>IFERROR(INDEX(Segmen!$A$3:$A$6000,MATCH(C5761,Segmen!$D$3:$D$6000,0)),"")</f>
        <v/>
      </c>
      <c r="C5761">
        <f>IFERROR(LARGE(Segmen!$D$3:$D$6000,A5761),"")</f>
        <v/>
      </c>
    </row>
    <row r="5762">
      <c r="A5762" t="n">
        <v>5761</v>
      </c>
      <c r="B5762">
        <f>IFERROR(INDEX(Segmen!$A$3:$A$6000,MATCH(C5762,Segmen!$D$3:$D$6000,0)),"")</f>
        <v/>
      </c>
      <c r="C5762">
        <f>IFERROR(LARGE(Segmen!$D$3:$D$6000,A5762),"")</f>
        <v/>
      </c>
    </row>
    <row r="5763">
      <c r="A5763" t="n">
        <v>5762</v>
      </c>
      <c r="B5763">
        <f>IFERROR(INDEX(Segmen!$A$3:$A$6000,MATCH(C5763,Segmen!$D$3:$D$6000,0)),"")</f>
        <v/>
      </c>
      <c r="C5763">
        <f>IFERROR(LARGE(Segmen!$D$3:$D$6000,A5763),"")</f>
        <v/>
      </c>
    </row>
    <row r="5764">
      <c r="A5764" t="n">
        <v>5763</v>
      </c>
      <c r="B5764">
        <f>IFERROR(INDEX(Segmen!$A$3:$A$6000,MATCH(C5764,Segmen!$D$3:$D$6000,0)),"")</f>
        <v/>
      </c>
      <c r="C5764">
        <f>IFERROR(LARGE(Segmen!$D$3:$D$6000,A5764),"")</f>
        <v/>
      </c>
    </row>
    <row r="5765">
      <c r="A5765" t="n">
        <v>5764</v>
      </c>
      <c r="B5765">
        <f>IFERROR(INDEX(Segmen!$A$3:$A$6000,MATCH(C5765,Segmen!$D$3:$D$6000,0)),"")</f>
        <v/>
      </c>
      <c r="C5765">
        <f>IFERROR(LARGE(Segmen!$D$3:$D$6000,A5765),"")</f>
        <v/>
      </c>
    </row>
    <row r="5766">
      <c r="A5766" t="n">
        <v>5765</v>
      </c>
      <c r="B5766">
        <f>IFERROR(INDEX(Segmen!$A$3:$A$6000,MATCH(C5766,Segmen!$D$3:$D$6000,0)),"")</f>
        <v/>
      </c>
      <c r="C5766">
        <f>IFERROR(LARGE(Segmen!$D$3:$D$6000,A5766),"")</f>
        <v/>
      </c>
    </row>
    <row r="5767">
      <c r="A5767" t="n">
        <v>5766</v>
      </c>
      <c r="B5767">
        <f>IFERROR(INDEX(Segmen!$A$3:$A$6000,MATCH(C5767,Segmen!$D$3:$D$6000,0)),"")</f>
        <v/>
      </c>
      <c r="C5767">
        <f>IFERROR(LARGE(Segmen!$D$3:$D$6000,A5767),"")</f>
        <v/>
      </c>
    </row>
    <row r="5768">
      <c r="A5768" t="n">
        <v>5767</v>
      </c>
      <c r="B5768">
        <f>IFERROR(INDEX(Segmen!$A$3:$A$6000,MATCH(C5768,Segmen!$D$3:$D$6000,0)),"")</f>
        <v/>
      </c>
      <c r="C5768">
        <f>IFERROR(LARGE(Segmen!$D$3:$D$6000,A5768),"")</f>
        <v/>
      </c>
    </row>
    <row r="5769">
      <c r="A5769" t="n">
        <v>5768</v>
      </c>
      <c r="B5769">
        <f>IFERROR(INDEX(Segmen!$A$3:$A$6000,MATCH(C5769,Segmen!$D$3:$D$6000,0)),"")</f>
        <v/>
      </c>
      <c r="C5769">
        <f>IFERROR(LARGE(Segmen!$D$3:$D$6000,A5769),"")</f>
        <v/>
      </c>
    </row>
    <row r="5770">
      <c r="A5770" t="n">
        <v>5769</v>
      </c>
      <c r="B5770">
        <f>IFERROR(INDEX(Segmen!$A$3:$A$6000,MATCH(C5770,Segmen!$D$3:$D$6000,0)),"")</f>
        <v/>
      </c>
      <c r="C5770">
        <f>IFERROR(LARGE(Segmen!$D$3:$D$6000,A5770),"")</f>
        <v/>
      </c>
    </row>
    <row r="5771">
      <c r="A5771" t="n">
        <v>5770</v>
      </c>
      <c r="B5771">
        <f>IFERROR(INDEX(Segmen!$A$3:$A$6000,MATCH(C5771,Segmen!$D$3:$D$6000,0)),"")</f>
        <v/>
      </c>
      <c r="C5771">
        <f>IFERROR(LARGE(Segmen!$D$3:$D$6000,A5771),"")</f>
        <v/>
      </c>
    </row>
    <row r="5772">
      <c r="A5772" t="n">
        <v>5771</v>
      </c>
      <c r="B5772">
        <f>IFERROR(INDEX(Segmen!$A$3:$A$6000,MATCH(C5772,Segmen!$D$3:$D$6000,0)),"")</f>
        <v/>
      </c>
      <c r="C5772">
        <f>IFERROR(LARGE(Segmen!$D$3:$D$6000,A5772),"")</f>
        <v/>
      </c>
    </row>
    <row r="5773">
      <c r="A5773" t="n">
        <v>5772</v>
      </c>
      <c r="B5773">
        <f>IFERROR(INDEX(Segmen!$A$3:$A$6000,MATCH(C5773,Segmen!$D$3:$D$6000,0)),"")</f>
        <v/>
      </c>
      <c r="C5773">
        <f>IFERROR(LARGE(Segmen!$D$3:$D$6000,A5773),"")</f>
        <v/>
      </c>
    </row>
    <row r="5774">
      <c r="A5774" t="n">
        <v>5773</v>
      </c>
      <c r="B5774">
        <f>IFERROR(INDEX(Segmen!$A$3:$A$6000,MATCH(C5774,Segmen!$D$3:$D$6000,0)),"")</f>
        <v/>
      </c>
      <c r="C5774">
        <f>IFERROR(LARGE(Segmen!$D$3:$D$6000,A5774),"")</f>
        <v/>
      </c>
    </row>
    <row r="5775">
      <c r="A5775" t="n">
        <v>5774</v>
      </c>
      <c r="B5775">
        <f>IFERROR(INDEX(Segmen!$A$3:$A$6000,MATCH(C5775,Segmen!$D$3:$D$6000,0)),"")</f>
        <v/>
      </c>
      <c r="C5775">
        <f>IFERROR(LARGE(Segmen!$D$3:$D$6000,A5775),"")</f>
        <v/>
      </c>
    </row>
    <row r="5776">
      <c r="A5776" t="n">
        <v>5775</v>
      </c>
      <c r="B5776">
        <f>IFERROR(INDEX(Segmen!$A$3:$A$6000,MATCH(C5776,Segmen!$D$3:$D$6000,0)),"")</f>
        <v/>
      </c>
      <c r="C5776">
        <f>IFERROR(LARGE(Segmen!$D$3:$D$6000,A5776),"")</f>
        <v/>
      </c>
    </row>
    <row r="5777">
      <c r="A5777" t="n">
        <v>5776</v>
      </c>
      <c r="B5777">
        <f>IFERROR(INDEX(Segmen!$A$3:$A$6000,MATCH(C5777,Segmen!$D$3:$D$6000,0)),"")</f>
        <v/>
      </c>
      <c r="C5777">
        <f>IFERROR(LARGE(Segmen!$D$3:$D$6000,A5777),"")</f>
        <v/>
      </c>
    </row>
    <row r="5778">
      <c r="A5778" t="n">
        <v>5777</v>
      </c>
      <c r="B5778">
        <f>IFERROR(INDEX(Segmen!$A$3:$A$6000,MATCH(C5778,Segmen!$D$3:$D$6000,0)),"")</f>
        <v/>
      </c>
      <c r="C5778">
        <f>IFERROR(LARGE(Segmen!$D$3:$D$6000,A5778),"")</f>
        <v/>
      </c>
    </row>
    <row r="5779">
      <c r="A5779" t="n">
        <v>5778</v>
      </c>
      <c r="B5779">
        <f>IFERROR(INDEX(Segmen!$A$3:$A$6000,MATCH(C5779,Segmen!$D$3:$D$6000,0)),"")</f>
        <v/>
      </c>
      <c r="C5779">
        <f>IFERROR(LARGE(Segmen!$D$3:$D$6000,A5779),"")</f>
        <v/>
      </c>
    </row>
    <row r="5780">
      <c r="A5780" t="n">
        <v>5779</v>
      </c>
      <c r="B5780">
        <f>IFERROR(INDEX(Segmen!$A$3:$A$6000,MATCH(C5780,Segmen!$D$3:$D$6000,0)),"")</f>
        <v/>
      </c>
      <c r="C5780">
        <f>IFERROR(LARGE(Segmen!$D$3:$D$6000,A5780),"")</f>
        <v/>
      </c>
    </row>
    <row r="5781">
      <c r="A5781" t="n">
        <v>5780</v>
      </c>
      <c r="B5781">
        <f>IFERROR(INDEX(Segmen!$A$3:$A$6000,MATCH(C5781,Segmen!$D$3:$D$6000,0)),"")</f>
        <v/>
      </c>
      <c r="C5781">
        <f>IFERROR(LARGE(Segmen!$D$3:$D$6000,A5781),"")</f>
        <v/>
      </c>
    </row>
    <row r="5782">
      <c r="A5782" t="n">
        <v>5781</v>
      </c>
      <c r="B5782">
        <f>IFERROR(INDEX(Segmen!$A$3:$A$6000,MATCH(C5782,Segmen!$D$3:$D$6000,0)),"")</f>
        <v/>
      </c>
      <c r="C5782">
        <f>IFERROR(LARGE(Segmen!$D$3:$D$6000,A5782),"")</f>
        <v/>
      </c>
    </row>
    <row r="5783">
      <c r="A5783" t="n">
        <v>5782</v>
      </c>
      <c r="B5783">
        <f>IFERROR(INDEX(Segmen!$A$3:$A$6000,MATCH(C5783,Segmen!$D$3:$D$6000,0)),"")</f>
        <v/>
      </c>
      <c r="C5783">
        <f>IFERROR(LARGE(Segmen!$D$3:$D$6000,A5783),"")</f>
        <v/>
      </c>
    </row>
    <row r="5784">
      <c r="A5784" t="n">
        <v>5783</v>
      </c>
      <c r="B5784">
        <f>IFERROR(INDEX(Segmen!$A$3:$A$6000,MATCH(C5784,Segmen!$D$3:$D$6000,0)),"")</f>
        <v/>
      </c>
      <c r="C5784">
        <f>IFERROR(LARGE(Segmen!$D$3:$D$6000,A5784),"")</f>
        <v/>
      </c>
    </row>
    <row r="5785">
      <c r="A5785" t="n">
        <v>5784</v>
      </c>
      <c r="B5785">
        <f>IFERROR(INDEX(Segmen!$A$3:$A$6000,MATCH(C5785,Segmen!$D$3:$D$6000,0)),"")</f>
        <v/>
      </c>
      <c r="C5785">
        <f>IFERROR(LARGE(Segmen!$D$3:$D$6000,A5785),"")</f>
        <v/>
      </c>
    </row>
    <row r="5786">
      <c r="A5786" t="n">
        <v>5785</v>
      </c>
      <c r="B5786">
        <f>IFERROR(INDEX(Segmen!$A$3:$A$6000,MATCH(C5786,Segmen!$D$3:$D$6000,0)),"")</f>
        <v/>
      </c>
      <c r="C5786">
        <f>IFERROR(LARGE(Segmen!$D$3:$D$6000,A5786),"")</f>
        <v/>
      </c>
    </row>
    <row r="5787">
      <c r="A5787" t="n">
        <v>5786</v>
      </c>
      <c r="B5787">
        <f>IFERROR(INDEX(Segmen!$A$3:$A$6000,MATCH(C5787,Segmen!$D$3:$D$6000,0)),"")</f>
        <v/>
      </c>
      <c r="C5787">
        <f>IFERROR(LARGE(Segmen!$D$3:$D$6000,A5787),"")</f>
        <v/>
      </c>
    </row>
    <row r="5788">
      <c r="A5788" t="n">
        <v>5787</v>
      </c>
      <c r="B5788">
        <f>IFERROR(INDEX(Segmen!$A$3:$A$6000,MATCH(C5788,Segmen!$D$3:$D$6000,0)),"")</f>
        <v/>
      </c>
      <c r="C5788">
        <f>IFERROR(LARGE(Segmen!$D$3:$D$6000,A5788),"")</f>
        <v/>
      </c>
    </row>
    <row r="5789">
      <c r="A5789" t="n">
        <v>5788</v>
      </c>
      <c r="B5789">
        <f>IFERROR(INDEX(Segmen!$A$3:$A$6000,MATCH(C5789,Segmen!$D$3:$D$6000,0)),"")</f>
        <v/>
      </c>
      <c r="C5789">
        <f>IFERROR(LARGE(Segmen!$D$3:$D$6000,A5789),"")</f>
        <v/>
      </c>
    </row>
    <row r="5790">
      <c r="A5790" t="n">
        <v>5789</v>
      </c>
      <c r="B5790">
        <f>IFERROR(INDEX(Segmen!$A$3:$A$6000,MATCH(C5790,Segmen!$D$3:$D$6000,0)),"")</f>
        <v/>
      </c>
      <c r="C5790">
        <f>IFERROR(LARGE(Segmen!$D$3:$D$6000,A5790),"")</f>
        <v/>
      </c>
    </row>
    <row r="5791">
      <c r="A5791" t="n">
        <v>5790</v>
      </c>
      <c r="B5791">
        <f>IFERROR(INDEX(Segmen!$A$3:$A$6000,MATCH(C5791,Segmen!$D$3:$D$6000,0)),"")</f>
        <v/>
      </c>
      <c r="C5791">
        <f>IFERROR(LARGE(Segmen!$D$3:$D$6000,A5791),"")</f>
        <v/>
      </c>
    </row>
    <row r="5792">
      <c r="A5792" t="n">
        <v>5791</v>
      </c>
      <c r="B5792">
        <f>IFERROR(INDEX(Segmen!$A$3:$A$6000,MATCH(C5792,Segmen!$D$3:$D$6000,0)),"")</f>
        <v/>
      </c>
      <c r="C5792">
        <f>IFERROR(LARGE(Segmen!$D$3:$D$6000,A5792),"")</f>
        <v/>
      </c>
    </row>
    <row r="5793">
      <c r="A5793" t="n">
        <v>5792</v>
      </c>
      <c r="B5793">
        <f>IFERROR(INDEX(Segmen!$A$3:$A$6000,MATCH(C5793,Segmen!$D$3:$D$6000,0)),"")</f>
        <v/>
      </c>
      <c r="C5793">
        <f>IFERROR(LARGE(Segmen!$D$3:$D$6000,A5793),"")</f>
        <v/>
      </c>
    </row>
    <row r="5794">
      <c r="A5794" t="n">
        <v>5793</v>
      </c>
      <c r="B5794">
        <f>IFERROR(INDEX(Segmen!$A$3:$A$6000,MATCH(C5794,Segmen!$D$3:$D$6000,0)),"")</f>
        <v/>
      </c>
      <c r="C5794">
        <f>IFERROR(LARGE(Segmen!$D$3:$D$6000,A5794),"")</f>
        <v/>
      </c>
    </row>
    <row r="5795">
      <c r="A5795" t="n">
        <v>5794</v>
      </c>
      <c r="B5795">
        <f>IFERROR(INDEX(Segmen!$A$3:$A$6000,MATCH(C5795,Segmen!$D$3:$D$6000,0)),"")</f>
        <v/>
      </c>
      <c r="C5795">
        <f>IFERROR(LARGE(Segmen!$D$3:$D$6000,A5795),"")</f>
        <v/>
      </c>
    </row>
    <row r="5796">
      <c r="A5796" t="n">
        <v>5795</v>
      </c>
      <c r="B5796">
        <f>IFERROR(INDEX(Segmen!$A$3:$A$6000,MATCH(C5796,Segmen!$D$3:$D$6000,0)),"")</f>
        <v/>
      </c>
      <c r="C5796">
        <f>IFERROR(LARGE(Segmen!$D$3:$D$6000,A5796),"")</f>
        <v/>
      </c>
    </row>
    <row r="5797">
      <c r="A5797" t="n">
        <v>5796</v>
      </c>
      <c r="B5797">
        <f>IFERROR(INDEX(Segmen!$A$3:$A$6000,MATCH(C5797,Segmen!$D$3:$D$6000,0)),"")</f>
        <v/>
      </c>
      <c r="C5797">
        <f>IFERROR(LARGE(Segmen!$D$3:$D$6000,A5797),"")</f>
        <v/>
      </c>
    </row>
    <row r="5798">
      <c r="A5798" t="n">
        <v>5797</v>
      </c>
      <c r="B5798">
        <f>IFERROR(INDEX(Segmen!$A$3:$A$6000,MATCH(C5798,Segmen!$D$3:$D$6000,0)),"")</f>
        <v/>
      </c>
      <c r="C5798">
        <f>IFERROR(LARGE(Segmen!$D$3:$D$6000,A5798),"")</f>
        <v/>
      </c>
    </row>
    <row r="5799">
      <c r="A5799" t="n">
        <v>5798</v>
      </c>
      <c r="B5799">
        <f>IFERROR(INDEX(Segmen!$A$3:$A$6000,MATCH(C5799,Segmen!$D$3:$D$6000,0)),"")</f>
        <v/>
      </c>
      <c r="C5799">
        <f>IFERROR(LARGE(Segmen!$D$3:$D$6000,A5799),"")</f>
        <v/>
      </c>
    </row>
    <row r="5800">
      <c r="A5800" t="n">
        <v>5799</v>
      </c>
      <c r="B5800">
        <f>IFERROR(INDEX(Segmen!$A$3:$A$6000,MATCH(C5800,Segmen!$D$3:$D$6000,0)),"")</f>
        <v/>
      </c>
      <c r="C5800">
        <f>IFERROR(LARGE(Segmen!$D$3:$D$6000,A5800),"")</f>
        <v/>
      </c>
    </row>
    <row r="5801">
      <c r="A5801" t="n">
        <v>5800</v>
      </c>
      <c r="B5801">
        <f>IFERROR(INDEX(Segmen!$A$3:$A$6000,MATCH(C5801,Segmen!$D$3:$D$6000,0)),"")</f>
        <v/>
      </c>
      <c r="C5801">
        <f>IFERROR(LARGE(Segmen!$D$3:$D$6000,A5801),"")</f>
        <v/>
      </c>
    </row>
    <row r="5802">
      <c r="A5802" t="n">
        <v>5801</v>
      </c>
      <c r="B5802">
        <f>IFERROR(INDEX(Segmen!$A$3:$A$6000,MATCH(C5802,Segmen!$D$3:$D$6000,0)),"")</f>
        <v/>
      </c>
      <c r="C5802">
        <f>IFERROR(LARGE(Segmen!$D$3:$D$6000,A5802),"")</f>
        <v/>
      </c>
    </row>
    <row r="5803">
      <c r="A5803" t="n">
        <v>5802</v>
      </c>
      <c r="B5803">
        <f>IFERROR(INDEX(Segmen!$A$3:$A$6000,MATCH(C5803,Segmen!$D$3:$D$6000,0)),"")</f>
        <v/>
      </c>
      <c r="C5803">
        <f>IFERROR(LARGE(Segmen!$D$3:$D$6000,A5803),"")</f>
        <v/>
      </c>
    </row>
    <row r="5804">
      <c r="A5804" t="n">
        <v>5803</v>
      </c>
      <c r="B5804">
        <f>IFERROR(INDEX(Segmen!$A$3:$A$6000,MATCH(C5804,Segmen!$D$3:$D$6000,0)),"")</f>
        <v/>
      </c>
      <c r="C5804">
        <f>IFERROR(LARGE(Segmen!$D$3:$D$6000,A5804),"")</f>
        <v/>
      </c>
    </row>
    <row r="5805">
      <c r="A5805" t="n">
        <v>5804</v>
      </c>
      <c r="B5805">
        <f>IFERROR(INDEX(Segmen!$A$3:$A$6000,MATCH(C5805,Segmen!$D$3:$D$6000,0)),"")</f>
        <v/>
      </c>
      <c r="C5805">
        <f>IFERROR(LARGE(Segmen!$D$3:$D$6000,A5805),"")</f>
        <v/>
      </c>
    </row>
    <row r="5806">
      <c r="A5806" t="n">
        <v>5805</v>
      </c>
      <c r="B5806">
        <f>IFERROR(INDEX(Segmen!$A$3:$A$6000,MATCH(C5806,Segmen!$D$3:$D$6000,0)),"")</f>
        <v/>
      </c>
      <c r="C5806">
        <f>IFERROR(LARGE(Segmen!$D$3:$D$6000,A5806),"")</f>
        <v/>
      </c>
    </row>
    <row r="5807">
      <c r="A5807" t="n">
        <v>5806</v>
      </c>
      <c r="B5807">
        <f>IFERROR(INDEX(Segmen!$A$3:$A$6000,MATCH(C5807,Segmen!$D$3:$D$6000,0)),"")</f>
        <v/>
      </c>
      <c r="C5807">
        <f>IFERROR(LARGE(Segmen!$D$3:$D$6000,A5807),"")</f>
        <v/>
      </c>
    </row>
    <row r="5808">
      <c r="A5808" t="n">
        <v>5807</v>
      </c>
      <c r="B5808">
        <f>IFERROR(INDEX(Segmen!$A$3:$A$6000,MATCH(C5808,Segmen!$D$3:$D$6000,0)),"")</f>
        <v/>
      </c>
      <c r="C5808">
        <f>IFERROR(LARGE(Segmen!$D$3:$D$6000,A5808),"")</f>
        <v/>
      </c>
    </row>
    <row r="5809">
      <c r="A5809" t="n">
        <v>5808</v>
      </c>
      <c r="B5809">
        <f>IFERROR(INDEX(Segmen!$A$3:$A$6000,MATCH(C5809,Segmen!$D$3:$D$6000,0)),"")</f>
        <v/>
      </c>
      <c r="C5809">
        <f>IFERROR(LARGE(Segmen!$D$3:$D$6000,A5809),"")</f>
        <v/>
      </c>
    </row>
    <row r="5810">
      <c r="A5810" t="n">
        <v>5809</v>
      </c>
      <c r="B5810">
        <f>IFERROR(INDEX(Segmen!$A$3:$A$6000,MATCH(C5810,Segmen!$D$3:$D$6000,0)),"")</f>
        <v/>
      </c>
      <c r="C5810">
        <f>IFERROR(LARGE(Segmen!$D$3:$D$6000,A5810),"")</f>
        <v/>
      </c>
    </row>
    <row r="5811">
      <c r="A5811" t="n">
        <v>5810</v>
      </c>
      <c r="B5811">
        <f>IFERROR(INDEX(Segmen!$A$3:$A$6000,MATCH(C5811,Segmen!$D$3:$D$6000,0)),"")</f>
        <v/>
      </c>
      <c r="C5811">
        <f>IFERROR(LARGE(Segmen!$D$3:$D$6000,A5811),"")</f>
        <v/>
      </c>
    </row>
    <row r="5812">
      <c r="A5812" t="n">
        <v>5811</v>
      </c>
      <c r="B5812">
        <f>IFERROR(INDEX(Segmen!$A$3:$A$6000,MATCH(C5812,Segmen!$D$3:$D$6000,0)),"")</f>
        <v/>
      </c>
      <c r="C5812">
        <f>IFERROR(LARGE(Segmen!$D$3:$D$6000,A5812),"")</f>
        <v/>
      </c>
    </row>
    <row r="5813">
      <c r="A5813" t="n">
        <v>5812</v>
      </c>
      <c r="B5813">
        <f>IFERROR(INDEX(Segmen!$A$3:$A$6000,MATCH(C5813,Segmen!$D$3:$D$6000,0)),"")</f>
        <v/>
      </c>
      <c r="C5813">
        <f>IFERROR(LARGE(Segmen!$D$3:$D$6000,A5813),"")</f>
        <v/>
      </c>
    </row>
    <row r="5814">
      <c r="A5814" t="n">
        <v>5813</v>
      </c>
      <c r="B5814">
        <f>IFERROR(INDEX(Segmen!$A$3:$A$6000,MATCH(C5814,Segmen!$D$3:$D$6000,0)),"")</f>
        <v/>
      </c>
      <c r="C5814">
        <f>IFERROR(LARGE(Segmen!$D$3:$D$6000,A5814),"")</f>
        <v/>
      </c>
    </row>
    <row r="5815">
      <c r="A5815" t="n">
        <v>5814</v>
      </c>
      <c r="B5815">
        <f>IFERROR(INDEX(Segmen!$A$3:$A$6000,MATCH(C5815,Segmen!$D$3:$D$6000,0)),"")</f>
        <v/>
      </c>
      <c r="C5815">
        <f>IFERROR(LARGE(Segmen!$D$3:$D$6000,A5815),"")</f>
        <v/>
      </c>
    </row>
    <row r="5816">
      <c r="A5816" t="n">
        <v>5815</v>
      </c>
      <c r="B5816">
        <f>IFERROR(INDEX(Segmen!$A$3:$A$6000,MATCH(C5816,Segmen!$D$3:$D$6000,0)),"")</f>
        <v/>
      </c>
      <c r="C5816">
        <f>IFERROR(LARGE(Segmen!$D$3:$D$6000,A5816),"")</f>
        <v/>
      </c>
    </row>
    <row r="5817">
      <c r="A5817" t="n">
        <v>5816</v>
      </c>
      <c r="B5817">
        <f>IFERROR(INDEX(Segmen!$A$3:$A$6000,MATCH(C5817,Segmen!$D$3:$D$6000,0)),"")</f>
        <v/>
      </c>
      <c r="C5817">
        <f>IFERROR(LARGE(Segmen!$D$3:$D$6000,A5817),"")</f>
        <v/>
      </c>
    </row>
    <row r="5818">
      <c r="A5818" t="n">
        <v>5817</v>
      </c>
      <c r="B5818">
        <f>IFERROR(INDEX(Segmen!$A$3:$A$6000,MATCH(C5818,Segmen!$D$3:$D$6000,0)),"")</f>
        <v/>
      </c>
      <c r="C5818">
        <f>IFERROR(LARGE(Segmen!$D$3:$D$6000,A5818),"")</f>
        <v/>
      </c>
    </row>
    <row r="5819">
      <c r="A5819" t="n">
        <v>5818</v>
      </c>
      <c r="B5819">
        <f>IFERROR(INDEX(Segmen!$A$3:$A$6000,MATCH(C5819,Segmen!$D$3:$D$6000,0)),"")</f>
        <v/>
      </c>
      <c r="C5819">
        <f>IFERROR(LARGE(Segmen!$D$3:$D$6000,A5819),"")</f>
        <v/>
      </c>
    </row>
    <row r="5820">
      <c r="A5820" t="n">
        <v>5819</v>
      </c>
      <c r="B5820">
        <f>IFERROR(INDEX(Segmen!$A$3:$A$6000,MATCH(C5820,Segmen!$D$3:$D$6000,0)),"")</f>
        <v/>
      </c>
      <c r="C5820">
        <f>IFERROR(LARGE(Segmen!$D$3:$D$6000,A5820),"")</f>
        <v/>
      </c>
    </row>
    <row r="5821">
      <c r="A5821" t="n">
        <v>5820</v>
      </c>
      <c r="B5821">
        <f>IFERROR(INDEX(Segmen!$A$3:$A$6000,MATCH(C5821,Segmen!$D$3:$D$6000,0)),"")</f>
        <v/>
      </c>
      <c r="C5821">
        <f>IFERROR(LARGE(Segmen!$D$3:$D$6000,A5821),"")</f>
        <v/>
      </c>
    </row>
    <row r="5822">
      <c r="A5822" t="n">
        <v>5821</v>
      </c>
      <c r="B5822">
        <f>IFERROR(INDEX(Segmen!$A$3:$A$6000,MATCH(C5822,Segmen!$D$3:$D$6000,0)),"")</f>
        <v/>
      </c>
      <c r="C5822">
        <f>IFERROR(LARGE(Segmen!$D$3:$D$6000,A5822),"")</f>
        <v/>
      </c>
    </row>
    <row r="5823">
      <c r="A5823" t="n">
        <v>5822</v>
      </c>
      <c r="B5823">
        <f>IFERROR(INDEX(Segmen!$A$3:$A$6000,MATCH(C5823,Segmen!$D$3:$D$6000,0)),"")</f>
        <v/>
      </c>
      <c r="C5823">
        <f>IFERROR(LARGE(Segmen!$D$3:$D$6000,A5823),"")</f>
        <v/>
      </c>
    </row>
    <row r="5824">
      <c r="A5824" t="n">
        <v>5823</v>
      </c>
      <c r="B5824">
        <f>IFERROR(INDEX(Segmen!$A$3:$A$6000,MATCH(C5824,Segmen!$D$3:$D$6000,0)),"")</f>
        <v/>
      </c>
      <c r="C5824">
        <f>IFERROR(LARGE(Segmen!$D$3:$D$6000,A5824),"")</f>
        <v/>
      </c>
    </row>
    <row r="5825">
      <c r="A5825" t="n">
        <v>5824</v>
      </c>
      <c r="B5825">
        <f>IFERROR(INDEX(Segmen!$A$3:$A$6000,MATCH(C5825,Segmen!$D$3:$D$6000,0)),"")</f>
        <v/>
      </c>
      <c r="C5825">
        <f>IFERROR(LARGE(Segmen!$D$3:$D$6000,A5825),"")</f>
        <v/>
      </c>
    </row>
    <row r="5826">
      <c r="A5826" t="n">
        <v>5825</v>
      </c>
      <c r="B5826">
        <f>IFERROR(INDEX(Segmen!$A$3:$A$6000,MATCH(C5826,Segmen!$D$3:$D$6000,0)),"")</f>
        <v/>
      </c>
      <c r="C5826">
        <f>IFERROR(LARGE(Segmen!$D$3:$D$6000,A5826),"")</f>
        <v/>
      </c>
    </row>
    <row r="5827">
      <c r="A5827" t="n">
        <v>5826</v>
      </c>
      <c r="B5827">
        <f>IFERROR(INDEX(Segmen!$A$3:$A$6000,MATCH(C5827,Segmen!$D$3:$D$6000,0)),"")</f>
        <v/>
      </c>
      <c r="C5827">
        <f>IFERROR(LARGE(Segmen!$D$3:$D$6000,A5827),"")</f>
        <v/>
      </c>
    </row>
    <row r="5828">
      <c r="A5828" t="n">
        <v>5827</v>
      </c>
      <c r="B5828">
        <f>IFERROR(INDEX(Segmen!$A$3:$A$6000,MATCH(C5828,Segmen!$D$3:$D$6000,0)),"")</f>
        <v/>
      </c>
      <c r="C5828">
        <f>IFERROR(LARGE(Segmen!$D$3:$D$6000,A5828),"")</f>
        <v/>
      </c>
    </row>
    <row r="5829">
      <c r="A5829" t="n">
        <v>5828</v>
      </c>
      <c r="B5829">
        <f>IFERROR(INDEX(Segmen!$A$3:$A$6000,MATCH(C5829,Segmen!$D$3:$D$6000,0)),"")</f>
        <v/>
      </c>
      <c r="C5829">
        <f>IFERROR(LARGE(Segmen!$D$3:$D$6000,A5829),"")</f>
        <v/>
      </c>
    </row>
    <row r="5830">
      <c r="A5830" t="n">
        <v>5829</v>
      </c>
      <c r="B5830">
        <f>IFERROR(INDEX(Segmen!$A$3:$A$6000,MATCH(C5830,Segmen!$D$3:$D$6000,0)),"")</f>
        <v/>
      </c>
      <c r="C5830">
        <f>IFERROR(LARGE(Segmen!$D$3:$D$6000,A5830),"")</f>
        <v/>
      </c>
    </row>
    <row r="5831">
      <c r="A5831" t="n">
        <v>5830</v>
      </c>
      <c r="B5831">
        <f>IFERROR(INDEX(Segmen!$A$3:$A$6000,MATCH(C5831,Segmen!$D$3:$D$6000,0)),"")</f>
        <v/>
      </c>
      <c r="C5831">
        <f>IFERROR(LARGE(Segmen!$D$3:$D$6000,A5831),"")</f>
        <v/>
      </c>
    </row>
    <row r="5832">
      <c r="A5832" t="n">
        <v>5831</v>
      </c>
      <c r="B5832">
        <f>IFERROR(INDEX(Segmen!$A$3:$A$6000,MATCH(C5832,Segmen!$D$3:$D$6000,0)),"")</f>
        <v/>
      </c>
      <c r="C5832">
        <f>IFERROR(LARGE(Segmen!$D$3:$D$6000,A5832),"")</f>
        <v/>
      </c>
    </row>
    <row r="5833">
      <c r="A5833" t="n">
        <v>5832</v>
      </c>
      <c r="B5833">
        <f>IFERROR(INDEX(Segmen!$A$3:$A$6000,MATCH(C5833,Segmen!$D$3:$D$6000,0)),"")</f>
        <v/>
      </c>
      <c r="C5833">
        <f>IFERROR(LARGE(Segmen!$D$3:$D$6000,A5833),"")</f>
        <v/>
      </c>
    </row>
    <row r="5834">
      <c r="A5834" t="n">
        <v>5833</v>
      </c>
      <c r="B5834">
        <f>IFERROR(INDEX(Segmen!$A$3:$A$6000,MATCH(C5834,Segmen!$D$3:$D$6000,0)),"")</f>
        <v/>
      </c>
      <c r="C5834">
        <f>IFERROR(LARGE(Segmen!$D$3:$D$6000,A5834),"")</f>
        <v/>
      </c>
    </row>
    <row r="5835">
      <c r="A5835" t="n">
        <v>5834</v>
      </c>
      <c r="B5835">
        <f>IFERROR(INDEX(Segmen!$A$3:$A$6000,MATCH(C5835,Segmen!$D$3:$D$6000,0)),"")</f>
        <v/>
      </c>
      <c r="C5835">
        <f>IFERROR(LARGE(Segmen!$D$3:$D$6000,A5835),"")</f>
        <v/>
      </c>
    </row>
    <row r="5836">
      <c r="A5836" t="n">
        <v>5835</v>
      </c>
      <c r="B5836">
        <f>IFERROR(INDEX(Segmen!$A$3:$A$6000,MATCH(C5836,Segmen!$D$3:$D$6000,0)),"")</f>
        <v/>
      </c>
      <c r="C5836">
        <f>IFERROR(LARGE(Segmen!$D$3:$D$6000,A5836),"")</f>
        <v/>
      </c>
    </row>
    <row r="5837">
      <c r="A5837" t="n">
        <v>5836</v>
      </c>
      <c r="B5837">
        <f>IFERROR(INDEX(Segmen!$A$3:$A$6000,MATCH(C5837,Segmen!$D$3:$D$6000,0)),"")</f>
        <v/>
      </c>
      <c r="C5837">
        <f>IFERROR(LARGE(Segmen!$D$3:$D$6000,A5837),"")</f>
        <v/>
      </c>
    </row>
    <row r="5838">
      <c r="A5838" t="n">
        <v>5837</v>
      </c>
      <c r="B5838">
        <f>IFERROR(INDEX(Segmen!$A$3:$A$6000,MATCH(C5838,Segmen!$D$3:$D$6000,0)),"")</f>
        <v/>
      </c>
      <c r="C5838">
        <f>IFERROR(LARGE(Segmen!$D$3:$D$6000,A5838),"")</f>
        <v/>
      </c>
    </row>
    <row r="5839">
      <c r="A5839" t="n">
        <v>5838</v>
      </c>
      <c r="B5839">
        <f>IFERROR(INDEX(Segmen!$A$3:$A$6000,MATCH(C5839,Segmen!$D$3:$D$6000,0)),"")</f>
        <v/>
      </c>
      <c r="C5839">
        <f>IFERROR(LARGE(Segmen!$D$3:$D$6000,A5839),"")</f>
        <v/>
      </c>
    </row>
    <row r="5840">
      <c r="A5840" t="n">
        <v>5839</v>
      </c>
      <c r="B5840">
        <f>IFERROR(INDEX(Segmen!$A$3:$A$6000,MATCH(C5840,Segmen!$D$3:$D$6000,0)),"")</f>
        <v/>
      </c>
      <c r="C5840">
        <f>IFERROR(LARGE(Segmen!$D$3:$D$6000,A5840),"")</f>
        <v/>
      </c>
    </row>
    <row r="5841">
      <c r="A5841" t="n">
        <v>5840</v>
      </c>
      <c r="B5841">
        <f>IFERROR(INDEX(Segmen!$A$3:$A$6000,MATCH(C5841,Segmen!$D$3:$D$6000,0)),"")</f>
        <v/>
      </c>
      <c r="C5841">
        <f>IFERROR(LARGE(Segmen!$D$3:$D$6000,A5841),"")</f>
        <v/>
      </c>
    </row>
    <row r="5842">
      <c r="A5842" t="n">
        <v>5841</v>
      </c>
      <c r="B5842">
        <f>IFERROR(INDEX(Segmen!$A$3:$A$6000,MATCH(C5842,Segmen!$D$3:$D$6000,0)),"")</f>
        <v/>
      </c>
      <c r="C5842">
        <f>IFERROR(LARGE(Segmen!$D$3:$D$6000,A5842),"")</f>
        <v/>
      </c>
    </row>
    <row r="5843">
      <c r="A5843" t="n">
        <v>5842</v>
      </c>
      <c r="B5843">
        <f>IFERROR(INDEX(Segmen!$A$3:$A$6000,MATCH(C5843,Segmen!$D$3:$D$6000,0)),"")</f>
        <v/>
      </c>
      <c r="C5843">
        <f>IFERROR(LARGE(Segmen!$D$3:$D$6000,A5843),"")</f>
        <v/>
      </c>
    </row>
    <row r="5844">
      <c r="A5844" t="n">
        <v>5843</v>
      </c>
      <c r="B5844">
        <f>IFERROR(INDEX(Segmen!$A$3:$A$6000,MATCH(C5844,Segmen!$D$3:$D$6000,0)),"")</f>
        <v/>
      </c>
      <c r="C5844">
        <f>IFERROR(LARGE(Segmen!$D$3:$D$6000,A5844),"")</f>
        <v/>
      </c>
    </row>
    <row r="5845">
      <c r="A5845" t="n">
        <v>5844</v>
      </c>
      <c r="B5845">
        <f>IFERROR(INDEX(Segmen!$A$3:$A$6000,MATCH(C5845,Segmen!$D$3:$D$6000,0)),"")</f>
        <v/>
      </c>
      <c r="C5845">
        <f>IFERROR(LARGE(Segmen!$D$3:$D$6000,A5845),"")</f>
        <v/>
      </c>
    </row>
    <row r="5846">
      <c r="A5846" t="n">
        <v>5845</v>
      </c>
      <c r="B5846">
        <f>IFERROR(INDEX(Segmen!$A$3:$A$6000,MATCH(C5846,Segmen!$D$3:$D$6000,0)),"")</f>
        <v/>
      </c>
      <c r="C5846">
        <f>IFERROR(LARGE(Segmen!$D$3:$D$6000,A5846),"")</f>
        <v/>
      </c>
    </row>
    <row r="5847">
      <c r="A5847" t="n">
        <v>5846</v>
      </c>
      <c r="B5847">
        <f>IFERROR(INDEX(Segmen!$A$3:$A$6000,MATCH(C5847,Segmen!$D$3:$D$6000,0)),"")</f>
        <v/>
      </c>
      <c r="C5847">
        <f>IFERROR(LARGE(Segmen!$D$3:$D$6000,A5847),"")</f>
        <v/>
      </c>
    </row>
    <row r="5848">
      <c r="A5848" t="n">
        <v>5847</v>
      </c>
      <c r="B5848">
        <f>IFERROR(INDEX(Segmen!$A$3:$A$6000,MATCH(C5848,Segmen!$D$3:$D$6000,0)),"")</f>
        <v/>
      </c>
      <c r="C5848">
        <f>IFERROR(LARGE(Segmen!$D$3:$D$6000,A5848),"")</f>
        <v/>
      </c>
    </row>
    <row r="5849">
      <c r="A5849" t="n">
        <v>5848</v>
      </c>
      <c r="B5849">
        <f>IFERROR(INDEX(Segmen!$A$3:$A$6000,MATCH(C5849,Segmen!$D$3:$D$6000,0)),"")</f>
        <v/>
      </c>
      <c r="C5849">
        <f>IFERROR(LARGE(Segmen!$D$3:$D$6000,A5849),"")</f>
        <v/>
      </c>
    </row>
    <row r="5850">
      <c r="A5850" t="n">
        <v>5849</v>
      </c>
      <c r="B5850">
        <f>IFERROR(INDEX(Segmen!$A$3:$A$6000,MATCH(C5850,Segmen!$D$3:$D$6000,0)),"")</f>
        <v/>
      </c>
      <c r="C5850">
        <f>IFERROR(LARGE(Segmen!$D$3:$D$6000,A5850),"")</f>
        <v/>
      </c>
    </row>
    <row r="5851">
      <c r="A5851" t="n">
        <v>5850</v>
      </c>
      <c r="B5851">
        <f>IFERROR(INDEX(Segmen!$A$3:$A$6000,MATCH(C5851,Segmen!$D$3:$D$6000,0)),"")</f>
        <v/>
      </c>
      <c r="C5851">
        <f>IFERROR(LARGE(Segmen!$D$3:$D$6000,A5851),"")</f>
        <v/>
      </c>
    </row>
    <row r="5852">
      <c r="A5852" t="n">
        <v>5851</v>
      </c>
      <c r="B5852">
        <f>IFERROR(INDEX(Segmen!$A$3:$A$6000,MATCH(C5852,Segmen!$D$3:$D$6000,0)),"")</f>
        <v/>
      </c>
      <c r="C5852">
        <f>IFERROR(LARGE(Segmen!$D$3:$D$6000,A5852),"")</f>
        <v/>
      </c>
    </row>
    <row r="5853">
      <c r="A5853" t="n">
        <v>5852</v>
      </c>
      <c r="B5853">
        <f>IFERROR(INDEX(Segmen!$A$3:$A$6000,MATCH(C5853,Segmen!$D$3:$D$6000,0)),"")</f>
        <v/>
      </c>
      <c r="C5853">
        <f>IFERROR(LARGE(Segmen!$D$3:$D$6000,A5853),"")</f>
        <v/>
      </c>
    </row>
    <row r="5854">
      <c r="A5854" t="n">
        <v>5853</v>
      </c>
      <c r="B5854">
        <f>IFERROR(INDEX(Segmen!$A$3:$A$6000,MATCH(C5854,Segmen!$D$3:$D$6000,0)),"")</f>
        <v/>
      </c>
      <c r="C5854">
        <f>IFERROR(LARGE(Segmen!$D$3:$D$6000,A5854),"")</f>
        <v/>
      </c>
    </row>
    <row r="5855">
      <c r="A5855" t="n">
        <v>5854</v>
      </c>
      <c r="B5855">
        <f>IFERROR(INDEX(Segmen!$A$3:$A$6000,MATCH(C5855,Segmen!$D$3:$D$6000,0)),"")</f>
        <v/>
      </c>
      <c r="C5855">
        <f>IFERROR(LARGE(Segmen!$D$3:$D$6000,A5855),"")</f>
        <v/>
      </c>
    </row>
    <row r="5856">
      <c r="A5856" t="n">
        <v>5855</v>
      </c>
      <c r="B5856">
        <f>IFERROR(INDEX(Segmen!$A$3:$A$6000,MATCH(C5856,Segmen!$D$3:$D$6000,0)),"")</f>
        <v/>
      </c>
      <c r="C5856">
        <f>IFERROR(LARGE(Segmen!$D$3:$D$6000,A5856),"")</f>
        <v/>
      </c>
    </row>
    <row r="5857">
      <c r="A5857" t="n">
        <v>5856</v>
      </c>
      <c r="B5857">
        <f>IFERROR(INDEX(Segmen!$A$3:$A$6000,MATCH(C5857,Segmen!$D$3:$D$6000,0)),"")</f>
        <v/>
      </c>
      <c r="C5857">
        <f>IFERROR(LARGE(Segmen!$D$3:$D$6000,A5857),"")</f>
        <v/>
      </c>
    </row>
    <row r="5858">
      <c r="A5858" t="n">
        <v>5857</v>
      </c>
      <c r="B5858">
        <f>IFERROR(INDEX(Segmen!$A$3:$A$6000,MATCH(C5858,Segmen!$D$3:$D$6000,0)),"")</f>
        <v/>
      </c>
      <c r="C5858">
        <f>IFERROR(LARGE(Segmen!$D$3:$D$6000,A5858),"")</f>
        <v/>
      </c>
    </row>
    <row r="5859">
      <c r="A5859" t="n">
        <v>5858</v>
      </c>
      <c r="B5859">
        <f>IFERROR(INDEX(Segmen!$A$3:$A$6000,MATCH(C5859,Segmen!$D$3:$D$6000,0)),"")</f>
        <v/>
      </c>
      <c r="C5859">
        <f>IFERROR(LARGE(Segmen!$D$3:$D$6000,A5859),"")</f>
        <v/>
      </c>
    </row>
    <row r="5860">
      <c r="A5860" t="n">
        <v>5859</v>
      </c>
      <c r="B5860">
        <f>IFERROR(INDEX(Segmen!$A$3:$A$6000,MATCH(C5860,Segmen!$D$3:$D$6000,0)),"")</f>
        <v/>
      </c>
      <c r="C5860">
        <f>IFERROR(LARGE(Segmen!$D$3:$D$6000,A5860),"")</f>
        <v/>
      </c>
    </row>
    <row r="5861">
      <c r="A5861" t="n">
        <v>5860</v>
      </c>
      <c r="B5861">
        <f>IFERROR(INDEX(Segmen!$A$3:$A$6000,MATCH(C5861,Segmen!$D$3:$D$6000,0)),"")</f>
        <v/>
      </c>
      <c r="C5861">
        <f>IFERROR(LARGE(Segmen!$D$3:$D$6000,A5861),"")</f>
        <v/>
      </c>
    </row>
    <row r="5862">
      <c r="A5862" t="n">
        <v>5861</v>
      </c>
      <c r="B5862">
        <f>IFERROR(INDEX(Segmen!$A$3:$A$6000,MATCH(C5862,Segmen!$D$3:$D$6000,0)),"")</f>
        <v/>
      </c>
      <c r="C5862">
        <f>IFERROR(LARGE(Segmen!$D$3:$D$6000,A5862),"")</f>
        <v/>
      </c>
    </row>
    <row r="5863">
      <c r="A5863" t="n">
        <v>5862</v>
      </c>
      <c r="B5863">
        <f>IFERROR(INDEX(Segmen!$A$3:$A$6000,MATCH(C5863,Segmen!$D$3:$D$6000,0)),"")</f>
        <v/>
      </c>
      <c r="C5863">
        <f>IFERROR(LARGE(Segmen!$D$3:$D$6000,A5863),"")</f>
        <v/>
      </c>
    </row>
    <row r="5864">
      <c r="A5864" t="n">
        <v>5863</v>
      </c>
      <c r="B5864">
        <f>IFERROR(INDEX(Segmen!$A$3:$A$6000,MATCH(C5864,Segmen!$D$3:$D$6000,0)),"")</f>
        <v/>
      </c>
      <c r="C5864">
        <f>IFERROR(LARGE(Segmen!$D$3:$D$6000,A5864),"")</f>
        <v/>
      </c>
    </row>
    <row r="5865">
      <c r="A5865" t="n">
        <v>5864</v>
      </c>
      <c r="B5865">
        <f>IFERROR(INDEX(Segmen!$A$3:$A$6000,MATCH(C5865,Segmen!$D$3:$D$6000,0)),"")</f>
        <v/>
      </c>
      <c r="C5865">
        <f>IFERROR(LARGE(Segmen!$D$3:$D$6000,A5865),"")</f>
        <v/>
      </c>
    </row>
    <row r="5866">
      <c r="A5866" t="n">
        <v>5865</v>
      </c>
      <c r="B5866">
        <f>IFERROR(INDEX(Segmen!$A$3:$A$6000,MATCH(C5866,Segmen!$D$3:$D$6000,0)),"")</f>
        <v/>
      </c>
      <c r="C5866">
        <f>IFERROR(LARGE(Segmen!$D$3:$D$6000,A5866),"")</f>
        <v/>
      </c>
    </row>
    <row r="5867">
      <c r="A5867" t="n">
        <v>5866</v>
      </c>
      <c r="B5867">
        <f>IFERROR(INDEX(Segmen!$A$3:$A$6000,MATCH(C5867,Segmen!$D$3:$D$6000,0)),"")</f>
        <v/>
      </c>
      <c r="C5867">
        <f>IFERROR(LARGE(Segmen!$D$3:$D$6000,A5867),"")</f>
        <v/>
      </c>
    </row>
    <row r="5868">
      <c r="A5868" t="n">
        <v>5867</v>
      </c>
      <c r="B5868">
        <f>IFERROR(INDEX(Segmen!$A$3:$A$6000,MATCH(C5868,Segmen!$D$3:$D$6000,0)),"")</f>
        <v/>
      </c>
      <c r="C5868">
        <f>IFERROR(LARGE(Segmen!$D$3:$D$6000,A5868),"")</f>
        <v/>
      </c>
    </row>
    <row r="5869">
      <c r="A5869" t="n">
        <v>5868</v>
      </c>
      <c r="B5869">
        <f>IFERROR(INDEX(Segmen!$A$3:$A$6000,MATCH(C5869,Segmen!$D$3:$D$6000,0)),"")</f>
        <v/>
      </c>
      <c r="C5869">
        <f>IFERROR(LARGE(Segmen!$D$3:$D$6000,A5869),"")</f>
        <v/>
      </c>
    </row>
    <row r="5870">
      <c r="A5870" t="n">
        <v>5869</v>
      </c>
      <c r="B5870">
        <f>IFERROR(INDEX(Segmen!$A$3:$A$6000,MATCH(C5870,Segmen!$D$3:$D$6000,0)),"")</f>
        <v/>
      </c>
      <c r="C5870">
        <f>IFERROR(LARGE(Segmen!$D$3:$D$6000,A5870),"")</f>
        <v/>
      </c>
    </row>
    <row r="5871">
      <c r="A5871" t="n">
        <v>5870</v>
      </c>
      <c r="B5871">
        <f>IFERROR(INDEX(Segmen!$A$3:$A$6000,MATCH(C5871,Segmen!$D$3:$D$6000,0)),"")</f>
        <v/>
      </c>
      <c r="C5871">
        <f>IFERROR(LARGE(Segmen!$D$3:$D$6000,A5871),"")</f>
        <v/>
      </c>
    </row>
    <row r="5872">
      <c r="A5872" t="n">
        <v>5871</v>
      </c>
      <c r="B5872">
        <f>IFERROR(INDEX(Segmen!$A$3:$A$6000,MATCH(C5872,Segmen!$D$3:$D$6000,0)),"")</f>
        <v/>
      </c>
      <c r="C5872">
        <f>IFERROR(LARGE(Segmen!$D$3:$D$6000,A5872),"")</f>
        <v/>
      </c>
    </row>
    <row r="5873">
      <c r="A5873" t="n">
        <v>5872</v>
      </c>
      <c r="B5873">
        <f>IFERROR(INDEX(Segmen!$A$3:$A$6000,MATCH(C5873,Segmen!$D$3:$D$6000,0)),"")</f>
        <v/>
      </c>
      <c r="C5873">
        <f>IFERROR(LARGE(Segmen!$D$3:$D$6000,A5873),"")</f>
        <v/>
      </c>
    </row>
    <row r="5874">
      <c r="A5874" t="n">
        <v>5873</v>
      </c>
      <c r="B5874">
        <f>IFERROR(INDEX(Segmen!$A$3:$A$6000,MATCH(C5874,Segmen!$D$3:$D$6000,0)),"")</f>
        <v/>
      </c>
      <c r="C5874">
        <f>IFERROR(LARGE(Segmen!$D$3:$D$6000,A5874),"")</f>
        <v/>
      </c>
    </row>
    <row r="5875">
      <c r="A5875" t="n">
        <v>5874</v>
      </c>
      <c r="B5875">
        <f>IFERROR(INDEX(Segmen!$A$3:$A$6000,MATCH(C5875,Segmen!$D$3:$D$6000,0)),"")</f>
        <v/>
      </c>
      <c r="C5875">
        <f>IFERROR(LARGE(Segmen!$D$3:$D$6000,A5875),"")</f>
        <v/>
      </c>
    </row>
    <row r="5876">
      <c r="A5876" t="n">
        <v>5875</v>
      </c>
      <c r="B5876">
        <f>IFERROR(INDEX(Segmen!$A$3:$A$6000,MATCH(C5876,Segmen!$D$3:$D$6000,0)),"")</f>
        <v/>
      </c>
      <c r="C5876">
        <f>IFERROR(LARGE(Segmen!$D$3:$D$6000,A5876),"")</f>
        <v/>
      </c>
    </row>
    <row r="5877">
      <c r="A5877" t="n">
        <v>5876</v>
      </c>
      <c r="B5877">
        <f>IFERROR(INDEX(Segmen!$A$3:$A$6000,MATCH(C5877,Segmen!$D$3:$D$6000,0)),"")</f>
        <v/>
      </c>
      <c r="C5877">
        <f>IFERROR(LARGE(Segmen!$D$3:$D$6000,A5877),"")</f>
        <v/>
      </c>
    </row>
    <row r="5878">
      <c r="A5878" t="n">
        <v>5877</v>
      </c>
      <c r="B5878">
        <f>IFERROR(INDEX(Segmen!$A$3:$A$6000,MATCH(C5878,Segmen!$D$3:$D$6000,0)),"")</f>
        <v/>
      </c>
      <c r="C5878">
        <f>IFERROR(LARGE(Segmen!$D$3:$D$6000,A5878),"")</f>
        <v/>
      </c>
    </row>
    <row r="5879">
      <c r="A5879" t="n">
        <v>5878</v>
      </c>
      <c r="B5879">
        <f>IFERROR(INDEX(Segmen!$A$3:$A$6000,MATCH(C5879,Segmen!$D$3:$D$6000,0)),"")</f>
        <v/>
      </c>
      <c r="C5879">
        <f>IFERROR(LARGE(Segmen!$D$3:$D$6000,A5879),"")</f>
        <v/>
      </c>
    </row>
    <row r="5880">
      <c r="A5880" t="n">
        <v>5879</v>
      </c>
      <c r="B5880">
        <f>IFERROR(INDEX(Segmen!$A$3:$A$6000,MATCH(C5880,Segmen!$D$3:$D$6000,0)),"")</f>
        <v/>
      </c>
      <c r="C5880">
        <f>IFERROR(LARGE(Segmen!$D$3:$D$6000,A5880),"")</f>
        <v/>
      </c>
    </row>
    <row r="5881">
      <c r="A5881" t="n">
        <v>5880</v>
      </c>
      <c r="B5881">
        <f>IFERROR(INDEX(Segmen!$A$3:$A$6000,MATCH(C5881,Segmen!$D$3:$D$6000,0)),"")</f>
        <v/>
      </c>
      <c r="C5881">
        <f>IFERROR(LARGE(Segmen!$D$3:$D$6000,A5881),"")</f>
        <v/>
      </c>
    </row>
    <row r="5882">
      <c r="A5882" t="n">
        <v>5881</v>
      </c>
      <c r="B5882">
        <f>IFERROR(INDEX(Segmen!$A$3:$A$6000,MATCH(C5882,Segmen!$D$3:$D$6000,0)),"")</f>
        <v/>
      </c>
      <c r="C5882">
        <f>IFERROR(LARGE(Segmen!$D$3:$D$6000,A5882),"")</f>
        <v/>
      </c>
    </row>
    <row r="5883">
      <c r="A5883" t="n">
        <v>5882</v>
      </c>
      <c r="B5883">
        <f>IFERROR(INDEX(Segmen!$A$3:$A$6000,MATCH(C5883,Segmen!$D$3:$D$6000,0)),"")</f>
        <v/>
      </c>
      <c r="C5883">
        <f>IFERROR(LARGE(Segmen!$D$3:$D$6000,A5883),"")</f>
        <v/>
      </c>
    </row>
    <row r="5884">
      <c r="A5884" t="n">
        <v>5883</v>
      </c>
      <c r="B5884">
        <f>IFERROR(INDEX(Segmen!$A$3:$A$6000,MATCH(C5884,Segmen!$D$3:$D$6000,0)),"")</f>
        <v/>
      </c>
      <c r="C5884">
        <f>IFERROR(LARGE(Segmen!$D$3:$D$6000,A5884),"")</f>
        <v/>
      </c>
    </row>
    <row r="5885">
      <c r="A5885" t="n">
        <v>5884</v>
      </c>
      <c r="B5885">
        <f>IFERROR(INDEX(Segmen!$A$3:$A$6000,MATCH(C5885,Segmen!$D$3:$D$6000,0)),"")</f>
        <v/>
      </c>
      <c r="C5885">
        <f>IFERROR(LARGE(Segmen!$D$3:$D$6000,A5885),"")</f>
        <v/>
      </c>
    </row>
    <row r="5886">
      <c r="A5886" t="n">
        <v>5885</v>
      </c>
      <c r="B5886">
        <f>IFERROR(INDEX(Segmen!$A$3:$A$6000,MATCH(C5886,Segmen!$D$3:$D$6000,0)),"")</f>
        <v/>
      </c>
      <c r="C5886">
        <f>IFERROR(LARGE(Segmen!$D$3:$D$6000,A5886),"")</f>
        <v/>
      </c>
    </row>
    <row r="5887">
      <c r="A5887" t="n">
        <v>5886</v>
      </c>
      <c r="B5887">
        <f>IFERROR(INDEX(Segmen!$A$3:$A$6000,MATCH(C5887,Segmen!$D$3:$D$6000,0)),"")</f>
        <v/>
      </c>
      <c r="C5887">
        <f>IFERROR(LARGE(Segmen!$D$3:$D$6000,A5887),"")</f>
        <v/>
      </c>
    </row>
    <row r="5888">
      <c r="A5888" t="n">
        <v>5887</v>
      </c>
      <c r="B5888">
        <f>IFERROR(INDEX(Segmen!$A$3:$A$6000,MATCH(C5888,Segmen!$D$3:$D$6000,0)),"")</f>
        <v/>
      </c>
      <c r="C5888">
        <f>IFERROR(LARGE(Segmen!$D$3:$D$6000,A5888),"")</f>
        <v/>
      </c>
    </row>
    <row r="5889">
      <c r="A5889" t="n">
        <v>5888</v>
      </c>
      <c r="B5889">
        <f>IFERROR(INDEX(Segmen!$A$3:$A$6000,MATCH(C5889,Segmen!$D$3:$D$6000,0)),"")</f>
        <v/>
      </c>
      <c r="C5889">
        <f>IFERROR(LARGE(Segmen!$D$3:$D$6000,A5889),"")</f>
        <v/>
      </c>
    </row>
    <row r="5890">
      <c r="A5890" t="n">
        <v>5889</v>
      </c>
      <c r="B5890">
        <f>IFERROR(INDEX(Segmen!$A$3:$A$6000,MATCH(C5890,Segmen!$D$3:$D$6000,0)),"")</f>
        <v/>
      </c>
      <c r="C5890">
        <f>IFERROR(LARGE(Segmen!$D$3:$D$6000,A5890),"")</f>
        <v/>
      </c>
    </row>
    <row r="5891">
      <c r="A5891" t="n">
        <v>5890</v>
      </c>
      <c r="B5891">
        <f>IFERROR(INDEX(Segmen!$A$3:$A$6000,MATCH(C5891,Segmen!$D$3:$D$6000,0)),"")</f>
        <v/>
      </c>
      <c r="C5891">
        <f>IFERROR(LARGE(Segmen!$D$3:$D$6000,A5891),"")</f>
        <v/>
      </c>
    </row>
    <row r="5892">
      <c r="A5892" t="n">
        <v>5891</v>
      </c>
      <c r="B5892">
        <f>IFERROR(INDEX(Segmen!$A$3:$A$6000,MATCH(C5892,Segmen!$D$3:$D$6000,0)),"")</f>
        <v/>
      </c>
      <c r="C5892">
        <f>IFERROR(LARGE(Segmen!$D$3:$D$6000,A5892),"")</f>
        <v/>
      </c>
    </row>
    <row r="5893">
      <c r="A5893" t="n">
        <v>5892</v>
      </c>
      <c r="B5893">
        <f>IFERROR(INDEX(Segmen!$A$3:$A$6000,MATCH(C5893,Segmen!$D$3:$D$6000,0)),"")</f>
        <v/>
      </c>
      <c r="C5893">
        <f>IFERROR(LARGE(Segmen!$D$3:$D$6000,A5893),"")</f>
        <v/>
      </c>
    </row>
    <row r="5894">
      <c r="A5894" t="n">
        <v>5893</v>
      </c>
      <c r="B5894">
        <f>IFERROR(INDEX(Segmen!$A$3:$A$6000,MATCH(C5894,Segmen!$D$3:$D$6000,0)),"")</f>
        <v/>
      </c>
      <c r="C5894">
        <f>IFERROR(LARGE(Segmen!$D$3:$D$6000,A5894),"")</f>
        <v/>
      </c>
    </row>
    <row r="5895">
      <c r="A5895" t="n">
        <v>5894</v>
      </c>
      <c r="B5895">
        <f>IFERROR(INDEX(Segmen!$A$3:$A$6000,MATCH(C5895,Segmen!$D$3:$D$6000,0)),"")</f>
        <v/>
      </c>
      <c r="C5895">
        <f>IFERROR(LARGE(Segmen!$D$3:$D$6000,A5895),"")</f>
        <v/>
      </c>
    </row>
    <row r="5896">
      <c r="A5896" t="n">
        <v>5895</v>
      </c>
      <c r="B5896">
        <f>IFERROR(INDEX(Segmen!$A$3:$A$6000,MATCH(C5896,Segmen!$D$3:$D$6000,0)),"")</f>
        <v/>
      </c>
      <c r="C5896">
        <f>IFERROR(LARGE(Segmen!$D$3:$D$6000,A5896),"")</f>
        <v/>
      </c>
    </row>
    <row r="5897">
      <c r="A5897" t="n">
        <v>5896</v>
      </c>
      <c r="B5897">
        <f>IFERROR(INDEX(Segmen!$A$3:$A$6000,MATCH(C5897,Segmen!$D$3:$D$6000,0)),"")</f>
        <v/>
      </c>
      <c r="C5897">
        <f>IFERROR(LARGE(Segmen!$D$3:$D$6000,A5897),"")</f>
        <v/>
      </c>
    </row>
    <row r="5898">
      <c r="A5898" t="n">
        <v>5897</v>
      </c>
      <c r="B5898">
        <f>IFERROR(INDEX(Segmen!$A$3:$A$6000,MATCH(C5898,Segmen!$D$3:$D$6000,0)),"")</f>
        <v/>
      </c>
      <c r="C5898">
        <f>IFERROR(LARGE(Segmen!$D$3:$D$6000,A5898),"")</f>
        <v/>
      </c>
    </row>
    <row r="5899">
      <c r="A5899" t="n">
        <v>5898</v>
      </c>
      <c r="B5899">
        <f>IFERROR(INDEX(Segmen!$A$3:$A$6000,MATCH(C5899,Segmen!$D$3:$D$6000,0)),"")</f>
        <v/>
      </c>
      <c r="C5899">
        <f>IFERROR(LARGE(Segmen!$D$3:$D$6000,A5899),"")</f>
        <v/>
      </c>
    </row>
    <row r="5900">
      <c r="A5900" t="n">
        <v>5899</v>
      </c>
      <c r="B5900">
        <f>IFERROR(INDEX(Segmen!$A$3:$A$6000,MATCH(C5900,Segmen!$D$3:$D$6000,0)),"")</f>
        <v/>
      </c>
      <c r="C5900">
        <f>IFERROR(LARGE(Segmen!$D$3:$D$6000,A5900),"")</f>
        <v/>
      </c>
    </row>
    <row r="5901">
      <c r="A5901" t="n">
        <v>5900</v>
      </c>
      <c r="B5901">
        <f>IFERROR(INDEX(Segmen!$A$3:$A$6000,MATCH(C5901,Segmen!$D$3:$D$6000,0)),"")</f>
        <v/>
      </c>
      <c r="C5901">
        <f>IFERROR(LARGE(Segmen!$D$3:$D$6000,A5901),"")</f>
        <v/>
      </c>
    </row>
    <row r="5902">
      <c r="A5902" t="n">
        <v>5901</v>
      </c>
      <c r="B5902">
        <f>IFERROR(INDEX(Segmen!$A$3:$A$6000,MATCH(C5902,Segmen!$D$3:$D$6000,0)),"")</f>
        <v/>
      </c>
      <c r="C5902">
        <f>IFERROR(LARGE(Segmen!$D$3:$D$6000,A5902),"")</f>
        <v/>
      </c>
    </row>
    <row r="5903">
      <c r="A5903" t="n">
        <v>5902</v>
      </c>
      <c r="B5903">
        <f>IFERROR(INDEX(Segmen!$A$3:$A$6000,MATCH(C5903,Segmen!$D$3:$D$6000,0)),"")</f>
        <v/>
      </c>
      <c r="C5903">
        <f>IFERROR(LARGE(Segmen!$D$3:$D$6000,A5903),"")</f>
        <v/>
      </c>
    </row>
    <row r="5904">
      <c r="A5904" t="n">
        <v>5903</v>
      </c>
      <c r="B5904">
        <f>IFERROR(INDEX(Segmen!$A$3:$A$6000,MATCH(C5904,Segmen!$D$3:$D$6000,0)),"")</f>
        <v/>
      </c>
      <c r="C5904">
        <f>IFERROR(LARGE(Segmen!$D$3:$D$6000,A5904),"")</f>
        <v/>
      </c>
    </row>
    <row r="5905">
      <c r="A5905" t="n">
        <v>5904</v>
      </c>
      <c r="B5905">
        <f>IFERROR(INDEX(Segmen!$A$3:$A$6000,MATCH(C5905,Segmen!$D$3:$D$6000,0)),"")</f>
        <v/>
      </c>
      <c r="C5905">
        <f>IFERROR(LARGE(Segmen!$D$3:$D$6000,A5905),"")</f>
        <v/>
      </c>
    </row>
    <row r="5906">
      <c r="A5906" t="n">
        <v>5905</v>
      </c>
      <c r="B5906">
        <f>IFERROR(INDEX(Segmen!$A$3:$A$6000,MATCH(C5906,Segmen!$D$3:$D$6000,0)),"")</f>
        <v/>
      </c>
      <c r="C5906">
        <f>IFERROR(LARGE(Segmen!$D$3:$D$6000,A5906),"")</f>
        <v/>
      </c>
    </row>
    <row r="5907">
      <c r="A5907" t="n">
        <v>5906</v>
      </c>
      <c r="B5907">
        <f>IFERROR(INDEX(Segmen!$A$3:$A$6000,MATCH(C5907,Segmen!$D$3:$D$6000,0)),"")</f>
        <v/>
      </c>
      <c r="C5907">
        <f>IFERROR(LARGE(Segmen!$D$3:$D$6000,A5907),"")</f>
        <v/>
      </c>
    </row>
    <row r="5908">
      <c r="A5908" t="n">
        <v>5907</v>
      </c>
      <c r="B5908">
        <f>IFERROR(INDEX(Segmen!$A$3:$A$6000,MATCH(C5908,Segmen!$D$3:$D$6000,0)),"")</f>
        <v/>
      </c>
      <c r="C5908">
        <f>IFERROR(LARGE(Segmen!$D$3:$D$6000,A5908),"")</f>
        <v/>
      </c>
    </row>
    <row r="5909">
      <c r="A5909" t="n">
        <v>5908</v>
      </c>
      <c r="B5909">
        <f>IFERROR(INDEX(Segmen!$A$3:$A$6000,MATCH(C5909,Segmen!$D$3:$D$6000,0)),"")</f>
        <v/>
      </c>
      <c r="C5909">
        <f>IFERROR(LARGE(Segmen!$D$3:$D$6000,A5909),"")</f>
        <v/>
      </c>
    </row>
    <row r="5910">
      <c r="A5910" t="n">
        <v>5909</v>
      </c>
      <c r="B5910">
        <f>IFERROR(INDEX(Segmen!$A$3:$A$6000,MATCH(C5910,Segmen!$D$3:$D$6000,0)),"")</f>
        <v/>
      </c>
      <c r="C5910">
        <f>IFERROR(LARGE(Segmen!$D$3:$D$6000,A5910),"")</f>
        <v/>
      </c>
    </row>
    <row r="5911">
      <c r="A5911" t="n">
        <v>5910</v>
      </c>
      <c r="B5911">
        <f>IFERROR(INDEX(Segmen!$A$3:$A$6000,MATCH(C5911,Segmen!$D$3:$D$6000,0)),"")</f>
        <v/>
      </c>
      <c r="C5911">
        <f>IFERROR(LARGE(Segmen!$D$3:$D$6000,A5911),"")</f>
        <v/>
      </c>
    </row>
    <row r="5912">
      <c r="A5912" t="n">
        <v>5911</v>
      </c>
      <c r="B5912">
        <f>IFERROR(INDEX(Segmen!$A$3:$A$6000,MATCH(C5912,Segmen!$D$3:$D$6000,0)),"")</f>
        <v/>
      </c>
      <c r="C5912">
        <f>IFERROR(LARGE(Segmen!$D$3:$D$6000,A5912),"")</f>
        <v/>
      </c>
    </row>
    <row r="5913">
      <c r="A5913" t="n">
        <v>5912</v>
      </c>
      <c r="B5913">
        <f>IFERROR(INDEX(Segmen!$A$3:$A$6000,MATCH(C5913,Segmen!$D$3:$D$6000,0)),"")</f>
        <v/>
      </c>
      <c r="C5913">
        <f>IFERROR(LARGE(Segmen!$D$3:$D$6000,A5913),"")</f>
        <v/>
      </c>
    </row>
    <row r="5914">
      <c r="A5914" t="n">
        <v>5913</v>
      </c>
      <c r="B5914">
        <f>IFERROR(INDEX(Segmen!$A$3:$A$6000,MATCH(C5914,Segmen!$D$3:$D$6000,0)),"")</f>
        <v/>
      </c>
      <c r="C5914">
        <f>IFERROR(LARGE(Segmen!$D$3:$D$6000,A5914),"")</f>
        <v/>
      </c>
    </row>
    <row r="5915">
      <c r="A5915" t="n">
        <v>5914</v>
      </c>
      <c r="B5915">
        <f>IFERROR(INDEX(Segmen!$A$3:$A$6000,MATCH(C5915,Segmen!$D$3:$D$6000,0)),"")</f>
        <v/>
      </c>
      <c r="C5915">
        <f>IFERROR(LARGE(Segmen!$D$3:$D$6000,A5915),"")</f>
        <v/>
      </c>
    </row>
    <row r="5916">
      <c r="A5916" t="n">
        <v>5915</v>
      </c>
      <c r="B5916">
        <f>IFERROR(INDEX(Segmen!$A$3:$A$6000,MATCH(C5916,Segmen!$D$3:$D$6000,0)),"")</f>
        <v/>
      </c>
      <c r="C5916">
        <f>IFERROR(LARGE(Segmen!$D$3:$D$6000,A5916),"")</f>
        <v/>
      </c>
    </row>
    <row r="5917">
      <c r="A5917" t="n">
        <v>5916</v>
      </c>
      <c r="B5917">
        <f>IFERROR(INDEX(Segmen!$A$3:$A$6000,MATCH(C5917,Segmen!$D$3:$D$6000,0)),"")</f>
        <v/>
      </c>
      <c r="C5917">
        <f>IFERROR(LARGE(Segmen!$D$3:$D$6000,A5917),"")</f>
        <v/>
      </c>
    </row>
    <row r="5918">
      <c r="A5918" t="n">
        <v>5917</v>
      </c>
      <c r="B5918">
        <f>IFERROR(INDEX(Segmen!$A$3:$A$6000,MATCH(C5918,Segmen!$D$3:$D$6000,0)),"")</f>
        <v/>
      </c>
      <c r="C5918">
        <f>IFERROR(LARGE(Segmen!$D$3:$D$6000,A5918),"")</f>
        <v/>
      </c>
    </row>
    <row r="5919">
      <c r="A5919" t="n">
        <v>5918</v>
      </c>
      <c r="B5919">
        <f>IFERROR(INDEX(Segmen!$A$3:$A$6000,MATCH(C5919,Segmen!$D$3:$D$6000,0)),"")</f>
        <v/>
      </c>
      <c r="C5919">
        <f>IFERROR(LARGE(Segmen!$D$3:$D$6000,A5919),"")</f>
        <v/>
      </c>
    </row>
    <row r="5920">
      <c r="A5920" t="n">
        <v>5919</v>
      </c>
      <c r="B5920">
        <f>IFERROR(INDEX(Segmen!$A$3:$A$6000,MATCH(C5920,Segmen!$D$3:$D$6000,0)),"")</f>
        <v/>
      </c>
      <c r="C5920">
        <f>IFERROR(LARGE(Segmen!$D$3:$D$6000,A5920),"")</f>
        <v/>
      </c>
    </row>
    <row r="5921">
      <c r="A5921" t="n">
        <v>5920</v>
      </c>
      <c r="B5921">
        <f>IFERROR(INDEX(Segmen!$A$3:$A$6000,MATCH(C5921,Segmen!$D$3:$D$6000,0)),"")</f>
        <v/>
      </c>
      <c r="C5921">
        <f>IFERROR(LARGE(Segmen!$D$3:$D$6000,A5921),"")</f>
        <v/>
      </c>
    </row>
    <row r="5922">
      <c r="A5922" t="n">
        <v>5921</v>
      </c>
      <c r="B5922">
        <f>IFERROR(INDEX(Segmen!$A$3:$A$6000,MATCH(C5922,Segmen!$D$3:$D$6000,0)),"")</f>
        <v/>
      </c>
      <c r="C5922">
        <f>IFERROR(LARGE(Segmen!$D$3:$D$6000,A5922),"")</f>
        <v/>
      </c>
    </row>
    <row r="5923">
      <c r="A5923" t="n">
        <v>5922</v>
      </c>
      <c r="B5923">
        <f>IFERROR(INDEX(Segmen!$A$3:$A$6000,MATCH(C5923,Segmen!$D$3:$D$6000,0)),"")</f>
        <v/>
      </c>
      <c r="C5923">
        <f>IFERROR(LARGE(Segmen!$D$3:$D$6000,A5923),"")</f>
        <v/>
      </c>
    </row>
    <row r="5924">
      <c r="A5924" t="n">
        <v>5923</v>
      </c>
      <c r="B5924">
        <f>IFERROR(INDEX(Segmen!$A$3:$A$6000,MATCH(C5924,Segmen!$D$3:$D$6000,0)),"")</f>
        <v/>
      </c>
      <c r="C5924">
        <f>IFERROR(LARGE(Segmen!$D$3:$D$6000,A5924),"")</f>
        <v/>
      </c>
    </row>
    <row r="5925">
      <c r="A5925" t="n">
        <v>5924</v>
      </c>
      <c r="B5925">
        <f>IFERROR(INDEX(Segmen!$A$3:$A$6000,MATCH(C5925,Segmen!$D$3:$D$6000,0)),"")</f>
        <v/>
      </c>
      <c r="C5925">
        <f>IFERROR(LARGE(Segmen!$D$3:$D$6000,A5925),"")</f>
        <v/>
      </c>
    </row>
    <row r="5926">
      <c r="A5926" t="n">
        <v>5925</v>
      </c>
      <c r="B5926">
        <f>IFERROR(INDEX(Segmen!$A$3:$A$6000,MATCH(C5926,Segmen!$D$3:$D$6000,0)),"")</f>
        <v/>
      </c>
      <c r="C5926">
        <f>IFERROR(LARGE(Segmen!$D$3:$D$6000,A5926),"")</f>
        <v/>
      </c>
    </row>
    <row r="5927">
      <c r="A5927" t="n">
        <v>5926</v>
      </c>
      <c r="B5927">
        <f>IFERROR(INDEX(Segmen!$A$3:$A$6000,MATCH(C5927,Segmen!$D$3:$D$6000,0)),"")</f>
        <v/>
      </c>
      <c r="C5927">
        <f>IFERROR(LARGE(Segmen!$D$3:$D$6000,A5927),"")</f>
        <v/>
      </c>
    </row>
    <row r="5928">
      <c r="A5928" t="n">
        <v>5927</v>
      </c>
      <c r="B5928">
        <f>IFERROR(INDEX(Segmen!$A$3:$A$6000,MATCH(C5928,Segmen!$D$3:$D$6000,0)),"")</f>
        <v/>
      </c>
      <c r="C5928">
        <f>IFERROR(LARGE(Segmen!$D$3:$D$6000,A5928),"")</f>
        <v/>
      </c>
    </row>
    <row r="5929">
      <c r="A5929" t="n">
        <v>5928</v>
      </c>
      <c r="B5929">
        <f>IFERROR(INDEX(Segmen!$A$3:$A$6000,MATCH(C5929,Segmen!$D$3:$D$6000,0)),"")</f>
        <v/>
      </c>
      <c r="C5929">
        <f>IFERROR(LARGE(Segmen!$D$3:$D$6000,A5929),"")</f>
        <v/>
      </c>
    </row>
    <row r="5930">
      <c r="A5930" t="n">
        <v>5929</v>
      </c>
      <c r="B5930">
        <f>IFERROR(INDEX(Segmen!$A$3:$A$6000,MATCH(C5930,Segmen!$D$3:$D$6000,0)),"")</f>
        <v/>
      </c>
      <c r="C5930">
        <f>IFERROR(LARGE(Segmen!$D$3:$D$6000,A5930),"")</f>
        <v/>
      </c>
    </row>
    <row r="5931">
      <c r="A5931" t="n">
        <v>5930</v>
      </c>
      <c r="B5931">
        <f>IFERROR(INDEX(Segmen!$A$3:$A$6000,MATCH(C5931,Segmen!$D$3:$D$6000,0)),"")</f>
        <v/>
      </c>
      <c r="C5931">
        <f>IFERROR(LARGE(Segmen!$D$3:$D$6000,A5931),"")</f>
        <v/>
      </c>
    </row>
    <row r="5932">
      <c r="A5932" t="n">
        <v>5931</v>
      </c>
      <c r="B5932">
        <f>IFERROR(INDEX(Segmen!$A$3:$A$6000,MATCH(C5932,Segmen!$D$3:$D$6000,0)),"")</f>
        <v/>
      </c>
      <c r="C5932">
        <f>IFERROR(LARGE(Segmen!$D$3:$D$6000,A5932),"")</f>
        <v/>
      </c>
    </row>
    <row r="5933">
      <c r="A5933" t="n">
        <v>5932</v>
      </c>
      <c r="B5933">
        <f>IFERROR(INDEX(Segmen!$A$3:$A$6000,MATCH(C5933,Segmen!$D$3:$D$6000,0)),"")</f>
        <v/>
      </c>
      <c r="C5933">
        <f>IFERROR(LARGE(Segmen!$D$3:$D$6000,A5933),"")</f>
        <v/>
      </c>
    </row>
    <row r="5934">
      <c r="A5934" t="n">
        <v>5933</v>
      </c>
      <c r="B5934">
        <f>IFERROR(INDEX(Segmen!$A$3:$A$6000,MATCH(C5934,Segmen!$D$3:$D$6000,0)),"")</f>
        <v/>
      </c>
      <c r="C5934">
        <f>IFERROR(LARGE(Segmen!$D$3:$D$6000,A5934),"")</f>
        <v/>
      </c>
    </row>
    <row r="5935">
      <c r="A5935" t="n">
        <v>5934</v>
      </c>
      <c r="B5935">
        <f>IFERROR(INDEX(Segmen!$A$3:$A$6000,MATCH(C5935,Segmen!$D$3:$D$6000,0)),"")</f>
        <v/>
      </c>
      <c r="C5935">
        <f>IFERROR(LARGE(Segmen!$D$3:$D$6000,A5935),"")</f>
        <v/>
      </c>
    </row>
    <row r="5936">
      <c r="A5936" t="n">
        <v>5935</v>
      </c>
      <c r="B5936">
        <f>IFERROR(INDEX(Segmen!$A$3:$A$6000,MATCH(C5936,Segmen!$D$3:$D$6000,0)),"")</f>
        <v/>
      </c>
      <c r="C5936">
        <f>IFERROR(LARGE(Segmen!$D$3:$D$6000,A5936),"")</f>
        <v/>
      </c>
    </row>
    <row r="5937">
      <c r="A5937" t="n">
        <v>5936</v>
      </c>
      <c r="B5937">
        <f>IFERROR(INDEX(Segmen!$A$3:$A$6000,MATCH(C5937,Segmen!$D$3:$D$6000,0)),"")</f>
        <v/>
      </c>
      <c r="C5937">
        <f>IFERROR(LARGE(Segmen!$D$3:$D$6000,A5937),"")</f>
        <v/>
      </c>
    </row>
    <row r="5938">
      <c r="A5938" t="n">
        <v>5937</v>
      </c>
      <c r="B5938">
        <f>IFERROR(INDEX(Segmen!$A$3:$A$6000,MATCH(C5938,Segmen!$D$3:$D$6000,0)),"")</f>
        <v/>
      </c>
      <c r="C5938">
        <f>IFERROR(LARGE(Segmen!$D$3:$D$6000,A5938),"")</f>
        <v/>
      </c>
    </row>
    <row r="5939">
      <c r="A5939" t="n">
        <v>5938</v>
      </c>
      <c r="B5939">
        <f>IFERROR(INDEX(Segmen!$A$3:$A$6000,MATCH(C5939,Segmen!$D$3:$D$6000,0)),"")</f>
        <v/>
      </c>
      <c r="C5939">
        <f>IFERROR(LARGE(Segmen!$D$3:$D$6000,A5939),"")</f>
        <v/>
      </c>
    </row>
    <row r="5940">
      <c r="A5940" t="n">
        <v>5939</v>
      </c>
      <c r="B5940">
        <f>IFERROR(INDEX(Segmen!$A$3:$A$6000,MATCH(C5940,Segmen!$D$3:$D$6000,0)),"")</f>
        <v/>
      </c>
      <c r="C5940">
        <f>IFERROR(LARGE(Segmen!$D$3:$D$6000,A5940),"")</f>
        <v/>
      </c>
    </row>
    <row r="5941">
      <c r="A5941" t="n">
        <v>5940</v>
      </c>
      <c r="B5941">
        <f>IFERROR(INDEX(Segmen!$A$3:$A$6000,MATCH(C5941,Segmen!$D$3:$D$6000,0)),"")</f>
        <v/>
      </c>
      <c r="C5941">
        <f>IFERROR(LARGE(Segmen!$D$3:$D$6000,A5941),"")</f>
        <v/>
      </c>
    </row>
    <row r="5942">
      <c r="A5942" t="n">
        <v>5941</v>
      </c>
      <c r="B5942">
        <f>IFERROR(INDEX(Segmen!$A$3:$A$6000,MATCH(C5942,Segmen!$D$3:$D$6000,0)),"")</f>
        <v/>
      </c>
      <c r="C5942">
        <f>IFERROR(LARGE(Segmen!$D$3:$D$6000,A5942),"")</f>
        <v/>
      </c>
    </row>
    <row r="5943">
      <c r="A5943" t="n">
        <v>5942</v>
      </c>
      <c r="B5943">
        <f>IFERROR(INDEX(Segmen!$A$3:$A$6000,MATCH(C5943,Segmen!$D$3:$D$6000,0)),"")</f>
        <v/>
      </c>
      <c r="C5943">
        <f>IFERROR(LARGE(Segmen!$D$3:$D$6000,A5943),"")</f>
        <v/>
      </c>
    </row>
    <row r="5944">
      <c r="A5944" t="n">
        <v>5943</v>
      </c>
      <c r="B5944">
        <f>IFERROR(INDEX(Segmen!$A$3:$A$6000,MATCH(C5944,Segmen!$D$3:$D$6000,0)),"")</f>
        <v/>
      </c>
      <c r="C5944">
        <f>IFERROR(LARGE(Segmen!$D$3:$D$6000,A5944),"")</f>
        <v/>
      </c>
    </row>
    <row r="5945">
      <c r="A5945" t="n">
        <v>5944</v>
      </c>
      <c r="B5945">
        <f>IFERROR(INDEX(Segmen!$A$3:$A$6000,MATCH(C5945,Segmen!$D$3:$D$6000,0)),"")</f>
        <v/>
      </c>
      <c r="C5945">
        <f>IFERROR(LARGE(Segmen!$D$3:$D$6000,A5945),"")</f>
        <v/>
      </c>
    </row>
    <row r="5946">
      <c r="A5946" t="n">
        <v>5945</v>
      </c>
      <c r="B5946">
        <f>IFERROR(INDEX(Segmen!$A$3:$A$6000,MATCH(C5946,Segmen!$D$3:$D$6000,0)),"")</f>
        <v/>
      </c>
      <c r="C5946">
        <f>IFERROR(LARGE(Segmen!$D$3:$D$6000,A5946),"")</f>
        <v/>
      </c>
    </row>
    <row r="5947">
      <c r="A5947" t="n">
        <v>5946</v>
      </c>
      <c r="B5947">
        <f>IFERROR(INDEX(Segmen!$A$3:$A$6000,MATCH(C5947,Segmen!$D$3:$D$6000,0)),"")</f>
        <v/>
      </c>
      <c r="C5947">
        <f>IFERROR(LARGE(Segmen!$D$3:$D$6000,A5947),"")</f>
        <v/>
      </c>
    </row>
    <row r="5948">
      <c r="A5948" t="n">
        <v>5947</v>
      </c>
      <c r="B5948">
        <f>IFERROR(INDEX(Segmen!$A$3:$A$6000,MATCH(C5948,Segmen!$D$3:$D$6000,0)),"")</f>
        <v/>
      </c>
      <c r="C5948">
        <f>IFERROR(LARGE(Segmen!$D$3:$D$6000,A5948),"")</f>
        <v/>
      </c>
    </row>
    <row r="5949">
      <c r="A5949" t="n">
        <v>5948</v>
      </c>
      <c r="B5949">
        <f>IFERROR(INDEX(Segmen!$A$3:$A$6000,MATCH(C5949,Segmen!$D$3:$D$6000,0)),"")</f>
        <v/>
      </c>
      <c r="C5949">
        <f>IFERROR(LARGE(Segmen!$D$3:$D$6000,A5949),"")</f>
        <v/>
      </c>
    </row>
    <row r="5950">
      <c r="A5950" t="n">
        <v>5949</v>
      </c>
      <c r="B5950">
        <f>IFERROR(INDEX(Segmen!$A$3:$A$6000,MATCH(C5950,Segmen!$D$3:$D$6000,0)),"")</f>
        <v/>
      </c>
      <c r="C5950">
        <f>IFERROR(LARGE(Segmen!$D$3:$D$6000,A5950),"")</f>
        <v/>
      </c>
    </row>
    <row r="5951">
      <c r="A5951" t="n">
        <v>5950</v>
      </c>
      <c r="B5951">
        <f>IFERROR(INDEX(Segmen!$A$3:$A$6000,MATCH(C5951,Segmen!$D$3:$D$6000,0)),"")</f>
        <v/>
      </c>
      <c r="C5951">
        <f>IFERROR(LARGE(Segmen!$D$3:$D$6000,A5951),"")</f>
        <v/>
      </c>
    </row>
    <row r="5952">
      <c r="A5952" t="n">
        <v>5951</v>
      </c>
      <c r="B5952">
        <f>IFERROR(INDEX(Segmen!$A$3:$A$6000,MATCH(C5952,Segmen!$D$3:$D$6000,0)),"")</f>
        <v/>
      </c>
      <c r="C5952">
        <f>IFERROR(LARGE(Segmen!$D$3:$D$6000,A5952),"")</f>
        <v/>
      </c>
    </row>
    <row r="5953">
      <c r="A5953" t="n">
        <v>5952</v>
      </c>
      <c r="B5953">
        <f>IFERROR(INDEX(Segmen!$A$3:$A$6000,MATCH(C5953,Segmen!$D$3:$D$6000,0)),"")</f>
        <v/>
      </c>
      <c r="C5953">
        <f>IFERROR(LARGE(Segmen!$D$3:$D$6000,A5953),"")</f>
        <v/>
      </c>
    </row>
    <row r="5954">
      <c r="A5954" t="n">
        <v>5953</v>
      </c>
      <c r="B5954">
        <f>IFERROR(INDEX(Segmen!$A$3:$A$6000,MATCH(C5954,Segmen!$D$3:$D$6000,0)),"")</f>
        <v/>
      </c>
      <c r="C5954">
        <f>IFERROR(LARGE(Segmen!$D$3:$D$6000,A5954),"")</f>
        <v/>
      </c>
    </row>
    <row r="5955">
      <c r="A5955" t="n">
        <v>5954</v>
      </c>
      <c r="B5955">
        <f>IFERROR(INDEX(Segmen!$A$3:$A$6000,MATCH(C5955,Segmen!$D$3:$D$6000,0)),"")</f>
        <v/>
      </c>
      <c r="C5955">
        <f>IFERROR(LARGE(Segmen!$D$3:$D$6000,A5955),"")</f>
        <v/>
      </c>
    </row>
    <row r="5956">
      <c r="A5956" t="n">
        <v>5955</v>
      </c>
      <c r="B5956">
        <f>IFERROR(INDEX(Segmen!$A$3:$A$6000,MATCH(C5956,Segmen!$D$3:$D$6000,0)),"")</f>
        <v/>
      </c>
      <c r="C5956">
        <f>IFERROR(LARGE(Segmen!$D$3:$D$6000,A5956),"")</f>
        <v/>
      </c>
    </row>
    <row r="5957">
      <c r="A5957" t="n">
        <v>5956</v>
      </c>
      <c r="B5957">
        <f>IFERROR(INDEX(Segmen!$A$3:$A$6000,MATCH(C5957,Segmen!$D$3:$D$6000,0)),"")</f>
        <v/>
      </c>
      <c r="C5957">
        <f>IFERROR(LARGE(Segmen!$D$3:$D$6000,A5957),"")</f>
        <v/>
      </c>
    </row>
    <row r="5958">
      <c r="A5958" t="n">
        <v>5957</v>
      </c>
      <c r="B5958">
        <f>IFERROR(INDEX(Segmen!$A$3:$A$6000,MATCH(C5958,Segmen!$D$3:$D$6000,0)),"")</f>
        <v/>
      </c>
      <c r="C5958">
        <f>IFERROR(LARGE(Segmen!$D$3:$D$6000,A5958),"")</f>
        <v/>
      </c>
    </row>
    <row r="5959">
      <c r="A5959" t="n">
        <v>5958</v>
      </c>
      <c r="B5959">
        <f>IFERROR(INDEX(Segmen!$A$3:$A$6000,MATCH(C5959,Segmen!$D$3:$D$6000,0)),"")</f>
        <v/>
      </c>
      <c r="C5959">
        <f>IFERROR(LARGE(Segmen!$D$3:$D$6000,A5959),"")</f>
        <v/>
      </c>
    </row>
    <row r="5960">
      <c r="A5960" t="n">
        <v>5959</v>
      </c>
      <c r="B5960">
        <f>IFERROR(INDEX(Segmen!$A$3:$A$6000,MATCH(C5960,Segmen!$D$3:$D$6000,0)),"")</f>
        <v/>
      </c>
      <c r="C5960">
        <f>IFERROR(LARGE(Segmen!$D$3:$D$6000,A5960),"")</f>
        <v/>
      </c>
    </row>
    <row r="5961">
      <c r="A5961" t="n">
        <v>5960</v>
      </c>
      <c r="B5961">
        <f>IFERROR(INDEX(Segmen!$A$3:$A$6000,MATCH(C5961,Segmen!$D$3:$D$6000,0)),"")</f>
        <v/>
      </c>
      <c r="C5961">
        <f>IFERROR(LARGE(Segmen!$D$3:$D$6000,A5961),"")</f>
        <v/>
      </c>
    </row>
    <row r="5962">
      <c r="A5962" t="n">
        <v>5961</v>
      </c>
      <c r="B5962">
        <f>IFERROR(INDEX(Segmen!$A$3:$A$6000,MATCH(C5962,Segmen!$D$3:$D$6000,0)),"")</f>
        <v/>
      </c>
      <c r="C5962">
        <f>IFERROR(LARGE(Segmen!$D$3:$D$6000,A5962),"")</f>
        <v/>
      </c>
    </row>
    <row r="5963">
      <c r="A5963" t="n">
        <v>5962</v>
      </c>
      <c r="B5963">
        <f>IFERROR(INDEX(Segmen!$A$3:$A$6000,MATCH(C5963,Segmen!$D$3:$D$6000,0)),"")</f>
        <v/>
      </c>
      <c r="C5963">
        <f>IFERROR(LARGE(Segmen!$D$3:$D$6000,A5963),"")</f>
        <v/>
      </c>
    </row>
    <row r="5964">
      <c r="A5964" t="n">
        <v>5963</v>
      </c>
      <c r="B5964">
        <f>IFERROR(INDEX(Segmen!$A$3:$A$6000,MATCH(C5964,Segmen!$D$3:$D$6000,0)),"")</f>
        <v/>
      </c>
      <c r="C5964">
        <f>IFERROR(LARGE(Segmen!$D$3:$D$6000,A5964),"")</f>
        <v/>
      </c>
    </row>
    <row r="5965">
      <c r="A5965" t="n">
        <v>5964</v>
      </c>
      <c r="B5965">
        <f>IFERROR(INDEX(Segmen!$A$3:$A$6000,MATCH(C5965,Segmen!$D$3:$D$6000,0)),"")</f>
        <v/>
      </c>
      <c r="C5965">
        <f>IFERROR(LARGE(Segmen!$D$3:$D$6000,A5965),"")</f>
        <v/>
      </c>
    </row>
    <row r="5966">
      <c r="A5966" t="n">
        <v>5965</v>
      </c>
      <c r="B5966">
        <f>IFERROR(INDEX(Segmen!$A$3:$A$6000,MATCH(C5966,Segmen!$D$3:$D$6000,0)),"")</f>
        <v/>
      </c>
      <c r="C5966">
        <f>IFERROR(LARGE(Segmen!$D$3:$D$6000,A5966),"")</f>
        <v/>
      </c>
    </row>
    <row r="5967">
      <c r="A5967" t="n">
        <v>5966</v>
      </c>
      <c r="B5967">
        <f>IFERROR(INDEX(Segmen!$A$3:$A$6000,MATCH(C5967,Segmen!$D$3:$D$6000,0)),"")</f>
        <v/>
      </c>
      <c r="C5967">
        <f>IFERROR(LARGE(Segmen!$D$3:$D$6000,A5967),"")</f>
        <v/>
      </c>
    </row>
    <row r="5968">
      <c r="A5968" t="n">
        <v>5967</v>
      </c>
      <c r="B5968">
        <f>IFERROR(INDEX(Segmen!$A$3:$A$6000,MATCH(C5968,Segmen!$D$3:$D$6000,0)),"")</f>
        <v/>
      </c>
      <c r="C5968">
        <f>IFERROR(LARGE(Segmen!$D$3:$D$6000,A5968),"")</f>
        <v/>
      </c>
    </row>
    <row r="5969">
      <c r="A5969" t="n">
        <v>5968</v>
      </c>
      <c r="B5969">
        <f>IFERROR(INDEX(Segmen!$A$3:$A$6000,MATCH(C5969,Segmen!$D$3:$D$6000,0)),"")</f>
        <v/>
      </c>
      <c r="C5969">
        <f>IFERROR(LARGE(Segmen!$D$3:$D$6000,A5969),"")</f>
        <v/>
      </c>
    </row>
    <row r="5970">
      <c r="A5970" t="n">
        <v>5969</v>
      </c>
      <c r="B5970">
        <f>IFERROR(INDEX(Segmen!$A$3:$A$6000,MATCH(C5970,Segmen!$D$3:$D$6000,0)),"")</f>
        <v/>
      </c>
      <c r="C5970">
        <f>IFERROR(LARGE(Segmen!$D$3:$D$6000,A5970),"")</f>
        <v/>
      </c>
    </row>
    <row r="5971">
      <c r="A5971" t="n">
        <v>5970</v>
      </c>
      <c r="B5971">
        <f>IFERROR(INDEX(Segmen!$A$3:$A$6000,MATCH(C5971,Segmen!$D$3:$D$6000,0)),"")</f>
        <v/>
      </c>
      <c r="C5971">
        <f>IFERROR(LARGE(Segmen!$D$3:$D$6000,A5971),"")</f>
        <v/>
      </c>
    </row>
    <row r="5972">
      <c r="A5972" t="n">
        <v>5971</v>
      </c>
      <c r="B5972">
        <f>IFERROR(INDEX(Segmen!$A$3:$A$6000,MATCH(C5972,Segmen!$D$3:$D$6000,0)),"")</f>
        <v/>
      </c>
      <c r="C5972">
        <f>IFERROR(LARGE(Segmen!$D$3:$D$6000,A5972),"")</f>
        <v/>
      </c>
    </row>
    <row r="5973">
      <c r="A5973" t="n">
        <v>5972</v>
      </c>
      <c r="B5973">
        <f>IFERROR(INDEX(Segmen!$A$3:$A$6000,MATCH(C5973,Segmen!$D$3:$D$6000,0)),"")</f>
        <v/>
      </c>
      <c r="C5973">
        <f>IFERROR(LARGE(Segmen!$D$3:$D$6000,A5973),"")</f>
        <v/>
      </c>
    </row>
    <row r="5974">
      <c r="A5974" t="n">
        <v>5973</v>
      </c>
      <c r="B5974">
        <f>IFERROR(INDEX(Segmen!$A$3:$A$6000,MATCH(C5974,Segmen!$D$3:$D$6000,0)),"")</f>
        <v/>
      </c>
      <c r="C5974">
        <f>IFERROR(LARGE(Segmen!$D$3:$D$6000,A5974),"")</f>
        <v/>
      </c>
    </row>
    <row r="5975">
      <c r="A5975" t="n">
        <v>5974</v>
      </c>
      <c r="B5975">
        <f>IFERROR(INDEX(Segmen!$A$3:$A$6000,MATCH(C5975,Segmen!$D$3:$D$6000,0)),"")</f>
        <v/>
      </c>
      <c r="C5975">
        <f>IFERROR(LARGE(Segmen!$D$3:$D$6000,A5975),"")</f>
        <v/>
      </c>
    </row>
    <row r="5976">
      <c r="A5976" t="n">
        <v>5975</v>
      </c>
      <c r="B5976">
        <f>IFERROR(INDEX(Segmen!$A$3:$A$6000,MATCH(C5976,Segmen!$D$3:$D$6000,0)),"")</f>
        <v/>
      </c>
      <c r="C5976">
        <f>IFERROR(LARGE(Segmen!$D$3:$D$6000,A5976),"")</f>
        <v/>
      </c>
    </row>
    <row r="5977">
      <c r="A5977" t="n">
        <v>5976</v>
      </c>
      <c r="B5977">
        <f>IFERROR(INDEX(Segmen!$A$3:$A$6000,MATCH(C5977,Segmen!$D$3:$D$6000,0)),"")</f>
        <v/>
      </c>
      <c r="C5977">
        <f>IFERROR(LARGE(Segmen!$D$3:$D$6000,A5977),"")</f>
        <v/>
      </c>
    </row>
    <row r="5978">
      <c r="A5978" t="n">
        <v>5977</v>
      </c>
      <c r="B5978">
        <f>IFERROR(INDEX(Segmen!$A$3:$A$6000,MATCH(C5978,Segmen!$D$3:$D$6000,0)),"")</f>
        <v/>
      </c>
      <c r="C5978">
        <f>IFERROR(LARGE(Segmen!$D$3:$D$6000,A5978),"")</f>
        <v/>
      </c>
    </row>
    <row r="5979">
      <c r="A5979" t="n">
        <v>5978</v>
      </c>
      <c r="B5979">
        <f>IFERROR(INDEX(Segmen!$A$3:$A$6000,MATCH(C5979,Segmen!$D$3:$D$6000,0)),"")</f>
        <v/>
      </c>
      <c r="C5979">
        <f>IFERROR(LARGE(Segmen!$D$3:$D$6000,A5979),"")</f>
        <v/>
      </c>
    </row>
    <row r="5980">
      <c r="A5980" t="n">
        <v>5979</v>
      </c>
      <c r="B5980">
        <f>IFERROR(INDEX(Segmen!$A$3:$A$6000,MATCH(C5980,Segmen!$D$3:$D$6000,0)),"")</f>
        <v/>
      </c>
      <c r="C5980">
        <f>IFERROR(LARGE(Segmen!$D$3:$D$6000,A5980),"")</f>
        <v/>
      </c>
    </row>
    <row r="5981">
      <c r="A5981" t="n">
        <v>5980</v>
      </c>
      <c r="B5981">
        <f>IFERROR(INDEX(Segmen!$A$3:$A$6000,MATCH(C5981,Segmen!$D$3:$D$6000,0)),"")</f>
        <v/>
      </c>
      <c r="C5981">
        <f>IFERROR(LARGE(Segmen!$D$3:$D$6000,A5981),"")</f>
        <v/>
      </c>
    </row>
    <row r="5982">
      <c r="A5982" t="n">
        <v>5981</v>
      </c>
      <c r="B5982">
        <f>IFERROR(INDEX(Segmen!$A$3:$A$6000,MATCH(C5982,Segmen!$D$3:$D$6000,0)),"")</f>
        <v/>
      </c>
      <c r="C5982">
        <f>IFERROR(LARGE(Segmen!$D$3:$D$6000,A5982),"")</f>
        <v/>
      </c>
    </row>
    <row r="5983">
      <c r="A5983" t="n">
        <v>5982</v>
      </c>
      <c r="B5983">
        <f>IFERROR(INDEX(Segmen!$A$3:$A$6000,MATCH(C5983,Segmen!$D$3:$D$6000,0)),"")</f>
        <v/>
      </c>
      <c r="C5983">
        <f>IFERROR(LARGE(Segmen!$D$3:$D$6000,A5983),"")</f>
        <v/>
      </c>
    </row>
    <row r="5984">
      <c r="A5984" t="n">
        <v>5983</v>
      </c>
      <c r="B5984">
        <f>IFERROR(INDEX(Segmen!$A$3:$A$6000,MATCH(C5984,Segmen!$D$3:$D$6000,0)),"")</f>
        <v/>
      </c>
      <c r="C5984">
        <f>IFERROR(LARGE(Segmen!$D$3:$D$6000,A5984),"")</f>
        <v/>
      </c>
    </row>
    <row r="5985">
      <c r="A5985" t="n">
        <v>5984</v>
      </c>
      <c r="B5985">
        <f>IFERROR(INDEX(Segmen!$A$3:$A$6000,MATCH(C5985,Segmen!$D$3:$D$6000,0)),"")</f>
        <v/>
      </c>
      <c r="C5985">
        <f>IFERROR(LARGE(Segmen!$D$3:$D$6000,A5985),"")</f>
        <v/>
      </c>
    </row>
    <row r="5986">
      <c r="A5986" t="n">
        <v>5985</v>
      </c>
      <c r="B5986">
        <f>IFERROR(INDEX(Segmen!$A$3:$A$6000,MATCH(C5986,Segmen!$D$3:$D$6000,0)),"")</f>
        <v/>
      </c>
      <c r="C5986">
        <f>IFERROR(LARGE(Segmen!$D$3:$D$6000,A5986),"")</f>
        <v/>
      </c>
    </row>
    <row r="5987">
      <c r="A5987" t="n">
        <v>5986</v>
      </c>
      <c r="B5987">
        <f>IFERROR(INDEX(Segmen!$A$3:$A$6000,MATCH(C5987,Segmen!$D$3:$D$6000,0)),"")</f>
        <v/>
      </c>
      <c r="C5987">
        <f>IFERROR(LARGE(Segmen!$D$3:$D$6000,A5987),"")</f>
        <v/>
      </c>
    </row>
    <row r="5988">
      <c r="A5988" t="n">
        <v>5987</v>
      </c>
      <c r="B5988">
        <f>IFERROR(INDEX(Segmen!$A$3:$A$6000,MATCH(C5988,Segmen!$D$3:$D$6000,0)),"")</f>
        <v/>
      </c>
      <c r="C5988">
        <f>IFERROR(LARGE(Segmen!$D$3:$D$6000,A5988),"")</f>
        <v/>
      </c>
    </row>
    <row r="5989">
      <c r="A5989" t="n">
        <v>5988</v>
      </c>
      <c r="B5989">
        <f>IFERROR(INDEX(Segmen!$A$3:$A$6000,MATCH(C5989,Segmen!$D$3:$D$6000,0)),"")</f>
        <v/>
      </c>
      <c r="C5989">
        <f>IFERROR(LARGE(Segmen!$D$3:$D$6000,A5989),"")</f>
        <v/>
      </c>
    </row>
    <row r="5990">
      <c r="A5990" t="n">
        <v>5989</v>
      </c>
      <c r="B5990">
        <f>IFERROR(INDEX(Segmen!$A$3:$A$6000,MATCH(C5990,Segmen!$D$3:$D$6000,0)),"")</f>
        <v/>
      </c>
      <c r="C5990">
        <f>IFERROR(LARGE(Segmen!$D$3:$D$6000,A5990),"")</f>
        <v/>
      </c>
    </row>
    <row r="5991">
      <c r="A5991" t="n">
        <v>5990</v>
      </c>
      <c r="B5991">
        <f>IFERROR(INDEX(Segmen!$A$3:$A$6000,MATCH(C5991,Segmen!$D$3:$D$6000,0)),"")</f>
        <v/>
      </c>
      <c r="C5991">
        <f>IFERROR(LARGE(Segmen!$D$3:$D$6000,A5991),"")</f>
        <v/>
      </c>
    </row>
    <row r="5992">
      <c r="A5992" t="n">
        <v>5991</v>
      </c>
      <c r="B5992">
        <f>IFERROR(INDEX(Segmen!$A$3:$A$6000,MATCH(C5992,Segmen!$D$3:$D$6000,0)),"")</f>
        <v/>
      </c>
      <c r="C5992">
        <f>IFERROR(LARGE(Segmen!$D$3:$D$6000,A5992),"")</f>
        <v/>
      </c>
    </row>
    <row r="5993">
      <c r="A5993" t="n">
        <v>5992</v>
      </c>
      <c r="B5993">
        <f>IFERROR(INDEX(Segmen!$A$3:$A$6000,MATCH(C5993,Segmen!$D$3:$D$6000,0)),"")</f>
        <v/>
      </c>
      <c r="C5993">
        <f>IFERROR(LARGE(Segmen!$D$3:$D$6000,A5993),"")</f>
        <v/>
      </c>
    </row>
    <row r="5994">
      <c r="A5994" t="n">
        <v>5993</v>
      </c>
      <c r="B5994">
        <f>IFERROR(INDEX(Segmen!$A$3:$A$6000,MATCH(C5994,Segmen!$D$3:$D$6000,0)),"")</f>
        <v/>
      </c>
      <c r="C5994">
        <f>IFERROR(LARGE(Segmen!$D$3:$D$6000,A5994),"")</f>
        <v/>
      </c>
    </row>
    <row r="5995">
      <c r="A5995" t="n">
        <v>5994</v>
      </c>
      <c r="B5995">
        <f>IFERROR(INDEX(Segmen!$A$3:$A$6000,MATCH(C5995,Segmen!$D$3:$D$6000,0)),"")</f>
        <v/>
      </c>
      <c r="C5995">
        <f>IFERROR(LARGE(Segmen!$D$3:$D$6000,A5995),"")</f>
        <v/>
      </c>
    </row>
    <row r="5996">
      <c r="A5996" t="n">
        <v>5995</v>
      </c>
      <c r="B5996">
        <f>IFERROR(INDEX(Segmen!$A$3:$A$6000,MATCH(C5996,Segmen!$D$3:$D$6000,0)),"")</f>
        <v/>
      </c>
      <c r="C5996">
        <f>IFERROR(LARGE(Segmen!$D$3:$D$6000,A5996),"")</f>
        <v/>
      </c>
    </row>
    <row r="5997">
      <c r="A5997" t="n">
        <v>5996</v>
      </c>
      <c r="B5997">
        <f>IFERROR(INDEX(Segmen!$A$3:$A$6000,MATCH(C5997,Segmen!$D$3:$D$6000,0)),"")</f>
        <v/>
      </c>
      <c r="C5997">
        <f>IFERROR(LARGE(Segmen!$D$3:$D$6000,A5997),"")</f>
        <v/>
      </c>
    </row>
    <row r="5998">
      <c r="A5998" t="n">
        <v>5997</v>
      </c>
      <c r="B5998">
        <f>IFERROR(INDEX(Segmen!$A$3:$A$6000,MATCH(C5998,Segmen!$D$3:$D$6000,0)),"")</f>
        <v/>
      </c>
      <c r="C5998">
        <f>IFERROR(LARGE(Segmen!$D$3:$D$6000,A5998),"")</f>
        <v/>
      </c>
    </row>
    <row r="5999">
      <c r="A5999" t="n">
        <v>5998</v>
      </c>
      <c r="B5999">
        <f>IFERROR(INDEX(Segmen!$A$3:$A$6000,MATCH(C5999,Segmen!$D$3:$D$6000,0)),"")</f>
        <v/>
      </c>
      <c r="C5999">
        <f>IFERROR(LARGE(Segmen!$D$3:$D$6000,A5999),"")</f>
        <v/>
      </c>
    </row>
    <row r="6000">
      <c r="A6000" t="n">
        <v>5999</v>
      </c>
      <c r="B6000">
        <f>IFERROR(INDEX(Segmen!$A$3:$A$6000,MATCH(C6000,Segmen!$D$3:$D$6000,0)),"")</f>
        <v/>
      </c>
      <c r="C6000">
        <f>IFERROR(LARGE(Segmen!$D$3:$D$6000,A6000),"")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2026-10-21T16:59:39Z</dcterms:created>
  <dcterms:modified xmlns:dcterms="http://purl.org/dc/terms/" xmlns:xsi="http://www.w3.org/2001/XMLSchema-instance" xsi:type="dcterms:W3CDTF">2026-10-21T16:59:39Z</dcterms:modified>
</cp:coreProperties>
</file>