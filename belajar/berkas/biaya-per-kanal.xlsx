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ya per k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color rgb="004A6355"/>
    </font>
    <font>
      <b val="1"/>
      <color rgb="00FFFFF0"/>
    </font>
  </fonts>
  <fills count="4">
    <fill>
      <patternFill/>
    </fill>
    <fill>
      <patternFill patternType="gray125"/>
    </fill>
    <fill>
      <patternFill patternType="solid">
        <fgColor rgb="00FFF1D6"/>
      </patternFill>
    </fill>
    <fill>
      <patternFill patternType="solid">
        <fgColor rgb="000B4D33"/>
      </patternFill>
    </fill>
  </fills>
  <borders count="2">
    <border>
      <left/>
      <right/>
      <top/>
      <bottom/>
      <diagonal/>
    </border>
    <border>
      <left style="thin">
        <color rgb="00DCE5D7"/>
      </left>
      <right style="thin">
        <color rgb="00DCE5D7"/>
      </right>
      <top style="thin">
        <color rgb="00DCE5D7"/>
      </top>
      <bottom style="thin">
        <color rgb="00DCE5D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1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3" fillId="3" borderId="1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4" customWidth="1" min="5" max="5"/>
    <col width="22" customWidth="1" min="6" max="6"/>
    <col width="12" customWidth="1" min="7" max="7"/>
    <col width="40" customWidth="1" min="8" max="8"/>
  </cols>
  <sheetData>
    <row r="1">
      <c r="A1" s="1" t="inlineStr">
        <is>
          <t>Biaya per Kanal, CAC, dan CLV · Zakademia</t>
        </is>
      </c>
    </row>
    <row r="2">
      <c r="A2" s="2" t="inlineStr">
        <is>
          <t>Isi sel kuning. Biaya memuat iklan, konten, honor, hadiah, cetak, dan perkiraan waktu tim. Donatur baru = yang pertama kali memberi lewat kanal itu.</t>
        </is>
      </c>
    </row>
    <row r="4">
      <c r="A4" s="3" t="inlineStr">
        <is>
          <t>Donasi rata-rata per donatur per tahun</t>
        </is>
      </c>
      <c r="B4" s="4" t="n">
        <v>1200000</v>
      </c>
    </row>
    <row r="5">
      <c r="A5" s="3" t="inlineStr">
        <is>
          <t>Retensi (dari Kohort Retensi)</t>
        </is>
      </c>
      <c r="B5" s="5" t="n">
        <v>0.4</v>
      </c>
    </row>
    <row r="6">
      <c r="A6" s="3" t="inlineStr">
        <is>
          <t>CLV (nilai donatur)</t>
        </is>
      </c>
      <c r="B6">
        <f>IF(B5&gt;=1,"",B4/(1-B5))</f>
        <v/>
      </c>
    </row>
    <row r="8">
      <c r="A8" s="6" t="inlineStr">
        <is>
          <t>Kanal</t>
        </is>
      </c>
      <c r="B8" s="6" t="inlineStr">
        <is>
          <t>Biaya setahun</t>
        </is>
      </c>
      <c r="C8" s="6" t="inlineStr">
        <is>
          <t>Dana terhimpun</t>
        </is>
      </c>
      <c r="D8" s="6" t="inlineStr">
        <is>
          <t>Donatur baru</t>
        </is>
      </c>
      <c r="E8" s="6" t="inlineStr">
        <is>
          <t>CAC</t>
        </is>
      </c>
      <c r="F8" s="6" t="inlineStr">
        <is>
          <t>Biaya per Rp100 terhimpun</t>
        </is>
      </c>
      <c r="G8" s="6" t="inlineStr">
        <is>
          <t>CLV : CAC</t>
        </is>
      </c>
      <c r="H8" s="6" t="inlineStr">
        <is>
          <t>Keputusan</t>
        </is>
      </c>
    </row>
    <row r="9">
      <c r="A9" t="inlineStr">
        <is>
          <t>Transfer donatur lama</t>
        </is>
      </c>
      <c r="B9" s="4" t="n"/>
      <c r="C9" s="4" t="n"/>
      <c r="D9" s="4" t="n"/>
      <c r="E9">
        <f>IF(D9&gt;0,B9/D9,"")</f>
        <v/>
      </c>
      <c r="F9">
        <f>IF(C9&gt;0,B9/C9*100,"")</f>
        <v/>
      </c>
      <c r="G9" s="7">
        <f>IF(AND(E9&lt;&gt;"",E9&gt;0,$B$6&lt;&gt;""),$B$6/E9,"")</f>
        <v/>
      </c>
      <c r="H9">
        <f>IF(G9="","",IF(G9&lt;1,"Hentikan atau perbaiki",IF(G9&lt;3,"Pertahankan, benahi biaya/retensi","Layak ditambah anggaran")))</f>
        <v/>
      </c>
    </row>
    <row r="10">
      <c r="A10" t="inlineStr">
        <is>
          <t>Iklan digital</t>
        </is>
      </c>
      <c r="B10" s="4" t="n"/>
      <c r="C10" s="4" t="n"/>
      <c r="D10" s="4" t="n"/>
      <c r="E10">
        <f>IF(D10&gt;0,B10/D10,"")</f>
        <v/>
      </c>
      <c r="F10">
        <f>IF(C10&gt;0,B10/C10*100,"")</f>
        <v/>
      </c>
      <c r="G10" s="7">
        <f>IF(AND(E10&lt;&gt;"",E10&gt;0,$B$6&lt;&gt;""),$B$6/E10,"")</f>
        <v/>
      </c>
      <c r="H10">
        <f>IF(G10="","",IF(G10&lt;1,"Hentikan atau perbaiki",IF(G10&lt;3,"Pertahankan, benahi biaya/retensi","Layak ditambah anggaran")))</f>
        <v/>
      </c>
    </row>
    <row r="11">
      <c r="A11" t="inlineStr">
        <is>
          <t>QRIS masjid dan mitra</t>
        </is>
      </c>
      <c r="B11" s="4" t="n"/>
      <c r="C11" s="4" t="n"/>
      <c r="D11" s="4" t="n"/>
      <c r="E11">
        <f>IF(D11&gt;0,B11/D11,"")</f>
        <v/>
      </c>
      <c r="F11">
        <f>IF(C11&gt;0,B11/C11*100,"")</f>
        <v/>
      </c>
      <c r="G11" s="7">
        <f>IF(AND(E11&lt;&gt;"",E11&gt;0,$B$6&lt;&gt;""),$B$6/E11,"")</f>
        <v/>
      </c>
      <c r="H11">
        <f>IF(G11="","",IF(G11&lt;1,"Hentikan atau perbaiki",IF(G11&lt;3,"Pertahankan, benahi biaya/retensi","Layak ditambah anggaran")))</f>
        <v/>
      </c>
    </row>
    <row r="12">
      <c r="A12" t="inlineStr">
        <is>
          <t>Payroll / perusahaan</t>
        </is>
      </c>
      <c r="B12" s="4" t="n"/>
      <c r="C12" s="4" t="n"/>
      <c r="D12" s="4" t="n"/>
      <c r="E12">
        <f>IF(D12&gt;0,B12/D12,"")</f>
        <v/>
      </c>
      <c r="F12">
        <f>IF(C12&gt;0,B12/C12*100,"")</f>
        <v/>
      </c>
      <c r="G12" s="7">
        <f>IF(AND(E12&lt;&gt;"",E12&gt;0,$B$6&lt;&gt;""),$B$6/E12,"")</f>
        <v/>
      </c>
      <c r="H12">
        <f>IF(G12="","",IF(G12&lt;1,"Hentikan atau perbaiki",IF(G12&lt;3,"Pertahankan, benahi biaya/retensi","Layak ditambah anggaran")))</f>
        <v/>
      </c>
    </row>
    <row r="13">
      <c r="A13" t="inlineStr">
        <is>
          <t>Acara</t>
        </is>
      </c>
      <c r="B13" s="4" t="n"/>
      <c r="C13" s="4" t="n"/>
      <c r="D13" s="4" t="n"/>
      <c r="E13">
        <f>IF(D13&gt;0,B13/D13,"")</f>
        <v/>
      </c>
      <c r="F13">
        <f>IF(C13&gt;0,B13/C13*100,"")</f>
        <v/>
      </c>
      <c r="G13" s="7">
        <f>IF(AND(E13&lt;&gt;"",E13&gt;0,$B$6&lt;&gt;""),$B$6/E13,"")</f>
        <v/>
      </c>
      <c r="H13">
        <f>IF(G13="","",IF(G13&lt;1,"Hentikan atau perbaiki",IF(G13&lt;3,"Pertahankan, benahi biaya/retensi","Layak ditambah anggaran")))</f>
        <v/>
      </c>
    </row>
    <row r="14">
      <c r="A14" t="inlineStr">
        <is>
          <t>Lainnya</t>
        </is>
      </c>
      <c r="B14" s="4" t="n"/>
      <c r="C14" s="4" t="n"/>
      <c r="D14" s="4" t="n"/>
      <c r="E14">
        <f>IF(D14&gt;0,B14/D14,"")</f>
        <v/>
      </c>
      <c r="F14">
        <f>IF(C14&gt;0,B14/C14*100,"")</f>
        <v/>
      </c>
      <c r="G14" s="7">
        <f>IF(AND(E14&lt;&gt;"",E14&gt;0,$B$6&lt;&gt;""),$B$6/E14,"")</f>
        <v/>
      </c>
      <c r="H14">
        <f>IF(G14="","",IF(G14&lt;1,"Hentikan atau perbaiki",IF(G14&lt;3,"Pertahankan, benahi biaya/retensi","Layak ditambah anggaran")))</f>
        <v/>
      </c>
    </row>
    <row r="16">
      <c r="A16" s="3" t="inlineStr">
        <is>
          <t>Total</t>
        </is>
      </c>
      <c r="B16">
        <f>SUM(B9:B14)</f>
        <v/>
      </c>
      <c r="C16">
        <f>SUM(C9:C14)</f>
        <v/>
      </c>
      <c r="D16">
        <f>SUM(D9:D14)</f>
        <v/>
      </c>
      <c r="E16">
        <f>IF(D16&gt;0,B16/D16,"")</f>
        <v/>
      </c>
      <c r="F16">
        <f>IF(C16&gt;0,B16/C16*100,"")</f>
        <v/>
      </c>
    </row>
    <row r="18">
      <c r="A18" s="8" t="inlineStr">
        <is>
          <t>Acuan: biaya per Rp100 untuk seluruh kanal sebaiknya jauh di bawah 12,5 (hak amil seperdelapan), dengan ruang untuk biaya penyaluran dan operasional.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2026-10-21T16:59:40Z</dcterms:created>
  <dcterms:modified xmlns:dcterms="http://purl.org/dc/terms/" xmlns:xsi="http://www.w3.org/2001/XMLSchema-instance" xsi:type="dcterms:W3CDTF">2026-10-21T16:59:40Z</dcterms:modified>
</cp:coreProperties>
</file>