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tunjuk" sheetId="1" state="visible" r:id="rId1"/>
    <sheet xmlns:r="http://schemas.openxmlformats.org/officeDocument/2006/relationships" name="Bulanan" sheetId="2" state="visible" r:id="rId2"/>
    <sheet xmlns:r="http://schemas.openxmlformats.org/officeDocument/2006/relationships" name="Indeks" sheetId="3" state="visible" r:id="rId3"/>
    <sheet xmlns:r="http://schemas.openxmlformats.org/officeDocument/2006/relationships" name="Proyeks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4">
    <font>
      <name val="Calibri"/>
      <family val="2"/>
      <color theme="1"/>
      <sz val="11"/>
      <scheme val="minor"/>
    </font>
    <font>
      <b val="1"/>
    </font>
    <font>
      <color rgb="004A6355"/>
    </font>
    <font>
      <b val="1"/>
      <color rgb="00FFFFF0"/>
    </font>
  </fonts>
  <fills count="3">
    <fill>
      <patternFill/>
    </fill>
    <fill>
      <patternFill patternType="gray125"/>
    </fill>
    <fill>
      <patternFill patternType="solid">
        <fgColor rgb="000B4D33"/>
      </patternFill>
    </fill>
  </fills>
  <borders count="2">
    <border>
      <left/>
      <right/>
      <top/>
      <bottom/>
      <diagonal/>
    </border>
    <border>
      <left style="thin">
        <color rgb="00DCE5D7"/>
      </left>
      <right style="thin">
        <color rgb="00DCE5D7"/>
      </right>
      <top style="thin">
        <color rgb="00DCE5D7"/>
      </top>
      <bottom style="thin">
        <color rgb="00DCE5D7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/>
    </xf>
    <xf numFmtId="0" fontId="2" fillId="0" borderId="0" applyAlignment="1" pivotButton="0" quotePrefix="0" xfId="0">
      <alignment/>
    </xf>
    <xf numFmtId="0" fontId="3" fillId="2" borderId="1" applyAlignment="1" pivotButton="0" quotePrefix="0" xfId="0">
      <alignment vertical="center" wrapText="1"/>
    </xf>
    <xf numFmtId="2" fontId="0" fillId="0" borderId="0" pivotButton="0" quotePrefix="0" xfId="0"/>
    <xf numFmtId="164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1" t="inlineStr">
        <is>
          <t>Proyeksi Musiman · Zakademia</t>
        </is>
      </c>
    </row>
    <row r="2">
      <c r="A2" s="2" t="inlineStr">
        <is>
          <t>Lembar Bulanan: isi 24 sampai 36 baris, satu per bulan Masehi: tahun, bulan, dana terhimpun, dan nama bulan Hijriah yang dominan di bulan itu (misalnya Ramadan).</t>
        </is>
      </c>
    </row>
    <row r="3">
      <c r="A3" s="2" t="inlineStr">
        <is>
          <t>Lembar Indeks menghitung indeks musiman per bulan Hijriah. Lembar Tren menghitung rata-rata bergerak 12 bulan. Lembar Proyeksi memakai dana Ramadan per tahun dan pertumbuhannya.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6" customWidth="1" min="3" max="3"/>
    <col width="22" customWidth="1" min="4" max="4"/>
    <col width="24" customWidth="1" min="5" max="5"/>
  </cols>
  <sheetData>
    <row r="1">
      <c r="A1" s="3" t="inlineStr">
        <is>
          <t>Tahun</t>
        </is>
      </c>
      <c r="B1" s="3" t="inlineStr">
        <is>
          <t>Bulan (1-12)</t>
        </is>
      </c>
      <c r="C1" s="3" t="inlineStr">
        <is>
          <t>Dana terhimpun</t>
        </is>
      </c>
      <c r="D1" s="3" t="inlineStr">
        <is>
          <t>Bulan Hijriah dominan</t>
        </is>
      </c>
      <c r="E1" s="3" t="inlineStr">
        <is>
          <t>Rata-rata bergerak 12 bulan</t>
        </is>
      </c>
    </row>
    <row r="2">
      <c r="E2">
        <f>IF(ROW()&lt;13,"",IF(C2="","",AVERAGE(C-9:C2)))</f>
        <v/>
      </c>
    </row>
    <row r="3">
      <c r="E3">
        <f>IF(ROW()&lt;13,"",IF(C3="","",AVERAGE(C-8:C3)))</f>
        <v/>
      </c>
    </row>
    <row r="4">
      <c r="E4">
        <f>IF(ROW()&lt;13,"",IF(C4="","",AVERAGE(C-7:C4)))</f>
        <v/>
      </c>
    </row>
    <row r="5">
      <c r="E5">
        <f>IF(ROW()&lt;13,"",IF(C5="","",AVERAGE(C-6:C5)))</f>
        <v/>
      </c>
    </row>
    <row r="6">
      <c r="E6">
        <f>IF(ROW()&lt;13,"",IF(C6="","",AVERAGE(C-5:C6)))</f>
        <v/>
      </c>
    </row>
    <row r="7">
      <c r="E7">
        <f>IF(ROW()&lt;13,"",IF(C7="","",AVERAGE(C-4:C7)))</f>
        <v/>
      </c>
    </row>
    <row r="8">
      <c r="E8">
        <f>IF(ROW()&lt;13,"",IF(C8="","",AVERAGE(C-3:C8)))</f>
        <v/>
      </c>
    </row>
    <row r="9">
      <c r="E9">
        <f>IF(ROW()&lt;13,"",IF(C9="","",AVERAGE(C-2:C9)))</f>
        <v/>
      </c>
    </row>
    <row r="10">
      <c r="E10">
        <f>IF(ROW()&lt;13,"",IF(C10="","",AVERAGE(C-1:C10)))</f>
        <v/>
      </c>
    </row>
    <row r="11">
      <c r="E11">
        <f>IF(ROW()&lt;13,"",IF(C11="","",AVERAGE(C0:C11)))</f>
        <v/>
      </c>
    </row>
    <row r="12">
      <c r="E12">
        <f>IF(ROW()&lt;13,"",IF(C12="","",AVERAGE(C1:C12)))</f>
        <v/>
      </c>
    </row>
    <row r="13">
      <c r="E13">
        <f>IF(ROW()&lt;13,"",IF(C13="","",AVERAGE(C2:C13)))</f>
        <v/>
      </c>
    </row>
    <row r="14">
      <c r="E14">
        <f>IF(ROW()&lt;13,"",IF(C14="","",AVERAGE(C3:C14)))</f>
        <v/>
      </c>
    </row>
    <row r="15">
      <c r="E15">
        <f>IF(ROW()&lt;13,"",IF(C15="","",AVERAGE(C4:C15)))</f>
        <v/>
      </c>
    </row>
    <row r="16">
      <c r="E16">
        <f>IF(ROW()&lt;13,"",IF(C16="","",AVERAGE(C5:C16)))</f>
        <v/>
      </c>
    </row>
    <row r="17">
      <c r="E17">
        <f>IF(ROW()&lt;13,"",IF(C17="","",AVERAGE(C6:C17)))</f>
        <v/>
      </c>
    </row>
    <row r="18">
      <c r="E18">
        <f>IF(ROW()&lt;13,"",IF(C18="","",AVERAGE(C7:C18)))</f>
        <v/>
      </c>
    </row>
    <row r="19">
      <c r="E19">
        <f>IF(ROW()&lt;13,"",IF(C19="","",AVERAGE(C8:C19)))</f>
        <v/>
      </c>
    </row>
    <row r="20">
      <c r="E20">
        <f>IF(ROW()&lt;13,"",IF(C20="","",AVERAGE(C9:C20)))</f>
        <v/>
      </c>
    </row>
    <row r="21">
      <c r="E21">
        <f>IF(ROW()&lt;13,"",IF(C21="","",AVERAGE(C10:C21)))</f>
        <v/>
      </c>
    </row>
    <row r="22">
      <c r="E22">
        <f>IF(ROW()&lt;13,"",IF(C22="","",AVERAGE(C11:C22)))</f>
        <v/>
      </c>
    </row>
    <row r="23">
      <c r="E23">
        <f>IF(ROW()&lt;13,"",IF(C23="","",AVERAGE(C12:C23)))</f>
        <v/>
      </c>
    </row>
    <row r="24">
      <c r="E24">
        <f>IF(ROW()&lt;13,"",IF(C24="","",AVERAGE(C13:C24)))</f>
        <v/>
      </c>
    </row>
    <row r="25">
      <c r="E25">
        <f>IF(ROW()&lt;13,"",IF(C25="","",AVERAGE(C14:C25)))</f>
        <v/>
      </c>
    </row>
    <row r="26">
      <c r="E26">
        <f>IF(ROW()&lt;13,"",IF(C26="","",AVERAGE(C15:C26)))</f>
        <v/>
      </c>
    </row>
    <row r="27">
      <c r="E27">
        <f>IF(ROW()&lt;13,"",IF(C27="","",AVERAGE(C16:C27)))</f>
        <v/>
      </c>
    </row>
    <row r="28">
      <c r="E28">
        <f>IF(ROW()&lt;13,"",IF(C28="","",AVERAGE(C17:C28)))</f>
        <v/>
      </c>
    </row>
    <row r="29">
      <c r="E29">
        <f>IF(ROW()&lt;13,"",IF(C29="","",AVERAGE(C18:C29)))</f>
        <v/>
      </c>
    </row>
    <row r="30">
      <c r="E30">
        <f>IF(ROW()&lt;13,"",IF(C30="","",AVERAGE(C19:C30)))</f>
        <v/>
      </c>
    </row>
    <row r="31">
      <c r="E31">
        <f>IF(ROW()&lt;13,"",IF(C31="","",AVERAGE(C20:C31)))</f>
        <v/>
      </c>
    </row>
    <row r="32">
      <c r="E32">
        <f>IF(ROW()&lt;13,"",IF(C32="","",AVERAGE(C21:C32)))</f>
        <v/>
      </c>
    </row>
    <row r="33">
      <c r="E33">
        <f>IF(ROW()&lt;13,"",IF(C33="","",AVERAGE(C22:C33)))</f>
        <v/>
      </c>
    </row>
    <row r="34">
      <c r="E34">
        <f>IF(ROW()&lt;13,"",IF(C34="","",AVERAGE(C23:C34)))</f>
        <v/>
      </c>
    </row>
    <row r="35">
      <c r="E35">
        <f>IF(ROW()&lt;13,"",IF(C35="","",AVERAGE(C24:C35)))</f>
        <v/>
      </c>
    </row>
    <row r="36">
      <c r="E36">
        <f>IF(ROW()&lt;13,"",IF(C36="","",AVERAGE(C25:C36)))</f>
        <v/>
      </c>
    </row>
    <row r="37">
      <c r="E37">
        <f>IF(ROW()&lt;13,"",IF(C37="","",AVERAGE(C26:C37)))</f>
        <v/>
      </c>
    </row>
    <row r="38">
      <c r="E38">
        <f>IF(ROW()&lt;13,"",IF(C38="","",AVERAGE(C27:C38)))</f>
        <v/>
      </c>
    </row>
    <row r="39">
      <c r="E39">
        <f>IF(ROW()&lt;13,"",IF(C39="","",AVERAGE(C28:C39)))</f>
        <v/>
      </c>
    </row>
    <row r="40">
      <c r="E40">
        <f>IF(ROW()&lt;13,"",IF(C40="","",AVERAGE(C29:C40)))</f>
        <v/>
      </c>
    </row>
    <row r="41">
      <c r="E41">
        <f>IF(ROW()&lt;13,"",IF(C41="","",AVERAGE(C30:C41)))</f>
        <v/>
      </c>
    </row>
    <row r="42">
      <c r="E42">
        <f>IF(ROW()&lt;13,"",IF(C42="","",AVERAGE(C31:C42)))</f>
        <v/>
      </c>
    </row>
    <row r="43">
      <c r="E43">
        <f>IF(ROW()&lt;13,"",IF(C43="","",AVERAGE(C32:C43)))</f>
        <v/>
      </c>
    </row>
    <row r="44">
      <c r="E44">
        <f>IF(ROW()&lt;13,"",IF(C44="","",AVERAGE(C33:C44)))</f>
        <v/>
      </c>
    </row>
    <row r="45">
      <c r="E45">
        <f>IF(ROW()&lt;13,"",IF(C45="","",AVERAGE(C34:C45)))</f>
        <v/>
      </c>
    </row>
    <row r="46">
      <c r="E46">
        <f>IF(ROW()&lt;13,"",IF(C46="","",AVERAGE(C35:C46)))</f>
        <v/>
      </c>
    </row>
    <row r="47">
      <c r="E47">
        <f>IF(ROW()&lt;13,"",IF(C47="","",AVERAGE(C36:C47)))</f>
        <v/>
      </c>
    </row>
    <row r="48">
      <c r="E48">
        <f>IF(ROW()&lt;13,"",IF(C48="","",AVERAGE(C37:C48)))</f>
        <v/>
      </c>
    </row>
    <row r="49">
      <c r="E49">
        <f>IF(ROW()&lt;13,"",IF(C49="","",AVERAGE(C38:C49)))</f>
        <v/>
      </c>
    </row>
    <row r="50">
      <c r="E50">
        <f>IF(ROW()&lt;13,"",IF(C50="","",AVERAGE(C39:C50)))</f>
        <v/>
      </c>
    </row>
    <row r="51">
      <c r="E51">
        <f>IF(ROW()&lt;13,"",IF(C51="","",AVERAGE(C40:C51)))</f>
        <v/>
      </c>
    </row>
    <row r="52">
      <c r="E52">
        <f>IF(ROW()&lt;13,"",IF(C52="","",AVERAGE(C41:C52)))</f>
        <v/>
      </c>
    </row>
    <row r="53">
      <c r="E53">
        <f>IF(ROW()&lt;13,"",IF(C53="","",AVERAGE(C42:C53)))</f>
        <v/>
      </c>
    </row>
    <row r="54">
      <c r="E54">
        <f>IF(ROW()&lt;13,"",IF(C54="","",AVERAGE(C43:C54)))</f>
        <v/>
      </c>
    </row>
    <row r="55">
      <c r="E55">
        <f>IF(ROW()&lt;13,"",IF(C55="","",AVERAGE(C44:C55)))</f>
        <v/>
      </c>
    </row>
    <row r="56">
      <c r="E56">
        <f>IF(ROW()&lt;13,"",IF(C56="","",AVERAGE(C45:C56)))</f>
        <v/>
      </c>
    </row>
    <row r="57">
      <c r="E57">
        <f>IF(ROW()&lt;13,"",IF(C57="","",AVERAGE(C46:C57)))</f>
        <v/>
      </c>
    </row>
    <row r="58">
      <c r="E58">
        <f>IF(ROW()&lt;13,"",IF(C58="","",AVERAGE(C47:C58)))</f>
        <v/>
      </c>
    </row>
    <row r="59">
      <c r="E59">
        <f>IF(ROW()&lt;13,"",IF(C59="","",AVERAGE(C48:C59)))</f>
        <v/>
      </c>
    </row>
    <row r="60">
      <c r="E60">
        <f>IF(ROW()&lt;13,"",IF(C60="","",AVERAGE(C49:C60)))</f>
        <v/>
      </c>
    </row>
    <row r="61">
      <c r="E61">
        <f>IF(ROW()&lt;13,"",IF(C61="","",AVERAGE(C50:C61)))</f>
        <v/>
      </c>
    </row>
    <row r="62">
      <c r="E62">
        <f>IF(ROW()&lt;13,"",IF(C62="","",AVERAGE(C51:C62)))</f>
        <v/>
      </c>
    </row>
    <row r="63">
      <c r="E63">
        <f>IF(ROW()&lt;13,"",IF(C63="","",AVERAGE(C52:C63)))</f>
        <v/>
      </c>
    </row>
    <row r="64">
      <c r="E64">
        <f>IF(ROW()&lt;13,"",IF(C64="","",AVERAGE(C53:C64)))</f>
        <v/>
      </c>
    </row>
    <row r="65">
      <c r="E65">
        <f>IF(ROW()&lt;13,"",IF(C65="","",AVERAGE(C54:C65)))</f>
        <v/>
      </c>
    </row>
    <row r="66">
      <c r="E66">
        <f>IF(ROW()&lt;13,"",IF(C66="","",AVERAGE(C55:C66)))</f>
        <v/>
      </c>
    </row>
    <row r="67">
      <c r="E67">
        <f>IF(ROW()&lt;13,"",IF(C67="","",AVERAGE(C56:C67)))</f>
        <v/>
      </c>
    </row>
    <row r="68">
      <c r="E68">
        <f>IF(ROW()&lt;13,"",IF(C68="","",AVERAGE(C57:C68)))</f>
        <v/>
      </c>
    </row>
    <row r="69">
      <c r="E69">
        <f>IF(ROW()&lt;13,"",IF(C69="","",AVERAGE(C58:C69)))</f>
        <v/>
      </c>
    </row>
    <row r="70">
      <c r="E70">
        <f>IF(ROW()&lt;13,"",IF(C70="","",AVERAGE(C59:C70)))</f>
        <v/>
      </c>
    </row>
    <row r="71">
      <c r="E71">
        <f>IF(ROW()&lt;13,"",IF(C71="","",AVERAGE(C60:C71)))</f>
        <v/>
      </c>
    </row>
    <row r="72">
      <c r="E72">
        <f>IF(ROW()&lt;13,"",IF(C72="","",AVERAGE(C61:C72)))</f>
        <v/>
      </c>
    </row>
    <row r="73">
      <c r="E73">
        <f>IF(ROW()&lt;13,"",IF(C73="","",AVERAGE(C62:C73)))</f>
        <v/>
      </c>
    </row>
    <row r="74">
      <c r="E74">
        <f>IF(ROW()&lt;13,"",IF(C74="","",AVERAGE(C63:C74)))</f>
        <v/>
      </c>
    </row>
    <row r="75">
      <c r="E75">
        <f>IF(ROW()&lt;13,"",IF(C75="","",AVERAGE(C64:C75)))</f>
        <v/>
      </c>
    </row>
    <row r="76">
      <c r="E76">
        <f>IF(ROW()&lt;13,"",IF(C76="","",AVERAGE(C65:C76)))</f>
        <v/>
      </c>
    </row>
    <row r="77">
      <c r="E77">
        <f>IF(ROW()&lt;13,"",IF(C77="","",AVERAGE(C66:C77)))</f>
        <v/>
      </c>
    </row>
    <row r="78">
      <c r="E78">
        <f>IF(ROW()&lt;13,"",IF(C78="","",AVERAGE(C67:C78)))</f>
        <v/>
      </c>
    </row>
    <row r="79">
      <c r="E79">
        <f>IF(ROW()&lt;13,"",IF(C79="","",AVERAGE(C68:C79)))</f>
        <v/>
      </c>
    </row>
    <row r="80">
      <c r="E80">
        <f>IF(ROW()&lt;13,"",IF(C80="","",AVERAGE(C69:C80)))</f>
        <v/>
      </c>
    </row>
    <row r="81">
      <c r="E81">
        <f>IF(ROW()&lt;13,"",IF(C81="","",AVERAGE(C70:C81)))</f>
        <v/>
      </c>
    </row>
    <row r="82">
      <c r="E82">
        <f>IF(ROW()&lt;13,"",IF(C82="","",AVERAGE(C71:C82)))</f>
        <v/>
      </c>
    </row>
    <row r="83">
      <c r="E83">
        <f>IF(ROW()&lt;13,"",IF(C83="","",AVERAGE(C72:C83)))</f>
        <v/>
      </c>
    </row>
    <row r="84">
      <c r="E84">
        <f>IF(ROW()&lt;13,"",IF(C84="","",AVERAGE(C73:C84)))</f>
        <v/>
      </c>
    </row>
    <row r="85">
      <c r="E85">
        <f>IF(ROW()&lt;13,"",IF(C85="","",AVERAGE(C74:C85)))</f>
        <v/>
      </c>
    </row>
    <row r="86">
      <c r="E86">
        <f>IF(ROW()&lt;13,"",IF(C86="","",AVERAGE(C75:C86)))</f>
        <v/>
      </c>
    </row>
    <row r="87">
      <c r="E87">
        <f>IF(ROW()&lt;13,"",IF(C87="","",AVERAGE(C76:C87)))</f>
        <v/>
      </c>
    </row>
    <row r="88">
      <c r="E88">
        <f>IF(ROW()&lt;13,"",IF(C88="","",AVERAGE(C77:C88)))</f>
        <v/>
      </c>
    </row>
    <row r="89">
      <c r="E89">
        <f>IF(ROW()&lt;13,"",IF(C89="","",AVERAGE(C78:C89)))</f>
        <v/>
      </c>
    </row>
    <row r="90">
      <c r="E90">
        <f>IF(ROW()&lt;13,"",IF(C90="","",AVERAGE(C79:C90)))</f>
        <v/>
      </c>
    </row>
    <row r="91">
      <c r="E91">
        <f>IF(ROW()&lt;13,"",IF(C91="","",AVERAGE(C80:C91)))</f>
        <v/>
      </c>
    </row>
    <row r="92">
      <c r="E92">
        <f>IF(ROW()&lt;13,"",IF(C92="","",AVERAGE(C81:C92)))</f>
        <v/>
      </c>
    </row>
    <row r="93">
      <c r="E93">
        <f>IF(ROW()&lt;13,"",IF(C93="","",AVERAGE(C82:C93)))</f>
        <v/>
      </c>
    </row>
    <row r="94">
      <c r="E94">
        <f>IF(ROW()&lt;13,"",IF(C94="","",AVERAGE(C83:C94)))</f>
        <v/>
      </c>
    </row>
    <row r="95">
      <c r="E95">
        <f>IF(ROW()&lt;13,"",IF(C95="","",AVERAGE(C84:C95)))</f>
        <v/>
      </c>
    </row>
    <row r="96">
      <c r="E96">
        <f>IF(ROW()&lt;13,"",IF(C96="","",AVERAGE(C85:C96)))</f>
        <v/>
      </c>
    </row>
    <row r="97">
      <c r="E97">
        <f>IF(ROW()&lt;13,"",IF(C97="","",AVERAGE(C86:C97)))</f>
        <v/>
      </c>
    </row>
    <row r="98">
      <c r="E98">
        <f>IF(ROW()&lt;13,"",IF(C98="","",AVERAGE(C87:C98)))</f>
        <v/>
      </c>
    </row>
    <row r="99">
      <c r="E99">
        <f>IF(ROW()&lt;13,"",IF(C99="","",AVERAGE(C88:C99)))</f>
        <v/>
      </c>
    </row>
    <row r="100">
      <c r="E100">
        <f>IF(ROW()&lt;13,"",IF(C100="","",AVERAGE(C89:C100)))</f>
        <v/>
      </c>
    </row>
    <row r="101">
      <c r="E101">
        <f>IF(ROW()&lt;13,"",IF(C101="","",AVERAGE(C90:C101)))</f>
        <v/>
      </c>
    </row>
    <row r="102">
      <c r="E102">
        <f>IF(ROW()&lt;13,"",IF(C102="","",AVERAGE(C91:C102)))</f>
        <v/>
      </c>
    </row>
    <row r="103">
      <c r="E103">
        <f>IF(ROW()&lt;13,"",IF(C103="","",AVERAGE(C92:C103)))</f>
        <v/>
      </c>
    </row>
    <row r="104">
      <c r="E104">
        <f>IF(ROW()&lt;13,"",IF(C104="","",AVERAGE(C93:C104)))</f>
        <v/>
      </c>
    </row>
    <row r="105">
      <c r="E105">
        <f>IF(ROW()&lt;13,"",IF(C105="","",AVERAGE(C94:C105)))</f>
        <v/>
      </c>
    </row>
    <row r="106">
      <c r="E106">
        <f>IF(ROW()&lt;13,"",IF(C106="","",AVERAGE(C95:C106)))</f>
        <v/>
      </c>
    </row>
    <row r="107">
      <c r="E107">
        <f>IF(ROW()&lt;13,"",IF(C107="","",AVERAGE(C96:C107)))</f>
        <v/>
      </c>
    </row>
    <row r="108">
      <c r="E108">
        <f>IF(ROW()&lt;13,"",IF(C108="","",AVERAGE(C97:C108)))</f>
        <v/>
      </c>
    </row>
    <row r="109">
      <c r="E109">
        <f>IF(ROW()&lt;13,"",IF(C109="","",AVERAGE(C98:C109)))</f>
        <v/>
      </c>
    </row>
    <row r="110">
      <c r="E110">
        <f>IF(ROW()&lt;13,"",IF(C110="","",AVERAGE(C99:C110)))</f>
        <v/>
      </c>
    </row>
    <row r="111">
      <c r="E111">
        <f>IF(ROW()&lt;13,"",IF(C111="","",AVERAGE(C100:C111)))</f>
        <v/>
      </c>
    </row>
    <row r="112">
      <c r="E112">
        <f>IF(ROW()&lt;13,"",IF(C112="","",AVERAGE(C101:C112)))</f>
        <v/>
      </c>
    </row>
    <row r="113">
      <c r="E113">
        <f>IF(ROW()&lt;13,"",IF(C113="","",AVERAGE(C102:C113)))</f>
        <v/>
      </c>
    </row>
    <row r="114">
      <c r="E114">
        <f>IF(ROW()&lt;13,"",IF(C114="","",AVERAGE(C103:C114)))</f>
        <v/>
      </c>
    </row>
    <row r="115">
      <c r="E115">
        <f>IF(ROW()&lt;13,"",IF(C115="","",AVERAGE(C104:C115)))</f>
        <v/>
      </c>
    </row>
    <row r="116">
      <c r="E116">
        <f>IF(ROW()&lt;13,"",IF(C116="","",AVERAGE(C105:C116)))</f>
        <v/>
      </c>
    </row>
    <row r="117">
      <c r="E117">
        <f>IF(ROW()&lt;13,"",IF(C117="","",AVERAGE(C106:C117)))</f>
        <v/>
      </c>
    </row>
    <row r="118">
      <c r="E118">
        <f>IF(ROW()&lt;13,"",IF(C118="","",AVERAGE(C107:C118)))</f>
        <v/>
      </c>
    </row>
    <row r="119">
      <c r="E119">
        <f>IF(ROW()&lt;13,"",IF(C119="","",AVERAGE(C108:C119)))</f>
        <v/>
      </c>
    </row>
    <row r="120">
      <c r="E120">
        <f>IF(ROW()&lt;13,"",IF(C120="","",AVERAGE(C109:C120)))</f>
        <v/>
      </c>
    </row>
    <row r="121">
      <c r="E121">
        <f>IF(ROW()&lt;13,"",IF(C121="","",AVERAGE(C110:C121)))</f>
        <v/>
      </c>
    </row>
    <row r="122">
      <c r="E122">
        <f>IF(ROW()&lt;13,"",IF(C122="","",AVERAGE(C111:C122)))</f>
        <v/>
      </c>
    </row>
    <row r="123">
      <c r="E123">
        <f>IF(ROW()&lt;13,"",IF(C123="","",AVERAGE(C112:C123)))</f>
        <v/>
      </c>
    </row>
    <row r="124">
      <c r="E124">
        <f>IF(ROW()&lt;13,"",IF(C124="","",AVERAGE(C113:C124)))</f>
        <v/>
      </c>
    </row>
    <row r="125">
      <c r="E125">
        <f>IF(ROW()&lt;13,"",IF(C125="","",AVERAGE(C114:C125)))</f>
        <v/>
      </c>
    </row>
    <row r="126">
      <c r="E126">
        <f>IF(ROW()&lt;13,"",IF(C126="","",AVERAGE(C115:C126)))</f>
        <v/>
      </c>
    </row>
    <row r="127">
      <c r="E127">
        <f>IF(ROW()&lt;13,"",IF(C127="","",AVERAGE(C116:C127)))</f>
        <v/>
      </c>
    </row>
    <row r="128">
      <c r="E128">
        <f>IF(ROW()&lt;13,"",IF(C128="","",AVERAGE(C117:C128)))</f>
        <v/>
      </c>
    </row>
    <row r="129">
      <c r="E129">
        <f>IF(ROW()&lt;13,"",IF(C129="","",AVERAGE(C118:C129)))</f>
        <v/>
      </c>
    </row>
    <row r="130">
      <c r="E130">
        <f>IF(ROW()&lt;13,"",IF(C130="","",AVERAGE(C119:C130)))</f>
        <v/>
      </c>
    </row>
    <row r="131">
      <c r="E131">
        <f>IF(ROW()&lt;13,"",IF(C131="","",AVERAGE(C120:C131)))</f>
        <v/>
      </c>
    </row>
    <row r="132">
      <c r="E132">
        <f>IF(ROW()&lt;13,"",IF(C132="","",AVERAGE(C121:C132)))</f>
        <v/>
      </c>
    </row>
    <row r="133">
      <c r="E133">
        <f>IF(ROW()&lt;13,"",IF(C133="","",AVERAGE(C122:C133)))</f>
        <v/>
      </c>
    </row>
    <row r="134">
      <c r="E134">
        <f>IF(ROW()&lt;13,"",IF(C134="","",AVERAGE(C123:C134)))</f>
        <v/>
      </c>
    </row>
    <row r="135">
      <c r="E135">
        <f>IF(ROW()&lt;13,"",IF(C135="","",AVERAGE(C124:C135)))</f>
        <v/>
      </c>
    </row>
    <row r="136">
      <c r="E136">
        <f>IF(ROW()&lt;13,"",IF(C136="","",AVERAGE(C125:C136)))</f>
        <v/>
      </c>
    </row>
    <row r="137">
      <c r="E137">
        <f>IF(ROW()&lt;13,"",IF(C137="","",AVERAGE(C126:C137)))</f>
        <v/>
      </c>
    </row>
    <row r="138">
      <c r="E138">
        <f>IF(ROW()&lt;13,"",IF(C138="","",AVERAGE(C127:C138)))</f>
        <v/>
      </c>
    </row>
    <row r="139">
      <c r="E139">
        <f>IF(ROW()&lt;13,"",IF(C139="","",AVERAGE(C128:C139)))</f>
        <v/>
      </c>
    </row>
    <row r="140">
      <c r="E140">
        <f>IF(ROW()&lt;13,"",IF(C140="","",AVERAGE(C129:C140)))</f>
        <v/>
      </c>
    </row>
    <row r="141">
      <c r="E141">
        <f>IF(ROW()&lt;13,"",IF(C141="","",AVERAGE(C130:C141)))</f>
        <v/>
      </c>
    </row>
    <row r="142">
      <c r="E142">
        <f>IF(ROW()&lt;13,"",IF(C142="","",AVERAGE(C131:C142)))</f>
        <v/>
      </c>
    </row>
    <row r="143">
      <c r="E143">
        <f>IF(ROW()&lt;13,"",IF(C143="","",AVERAGE(C132:C143)))</f>
        <v/>
      </c>
    </row>
    <row r="144">
      <c r="E144">
        <f>IF(ROW()&lt;13,"",IF(C144="","",AVERAGE(C133:C144)))</f>
        <v/>
      </c>
    </row>
    <row r="145">
      <c r="E145">
        <f>IF(ROW()&lt;13,"",IF(C145="","",AVERAGE(C134:C145)))</f>
        <v/>
      </c>
    </row>
    <row r="146">
      <c r="E146">
        <f>IF(ROW()&lt;13,"",IF(C146="","",AVERAGE(C135:C146)))</f>
        <v/>
      </c>
    </row>
    <row r="147">
      <c r="E147">
        <f>IF(ROW()&lt;13,"",IF(C147="","",AVERAGE(C136:C147)))</f>
        <v/>
      </c>
    </row>
    <row r="148">
      <c r="E148">
        <f>IF(ROW()&lt;13,"",IF(C148="","",AVERAGE(C137:C148)))</f>
        <v/>
      </c>
    </row>
    <row r="149">
      <c r="E149">
        <f>IF(ROW()&lt;13,"",IF(C149="","",AVERAGE(C138:C149)))</f>
        <v/>
      </c>
    </row>
    <row r="150">
      <c r="E150">
        <f>IF(ROW()&lt;13,"",IF(C150="","",AVERAGE(C139:C150)))</f>
        <v/>
      </c>
    </row>
    <row r="151">
      <c r="E151">
        <f>IF(ROW()&lt;13,"",IF(C151="","",AVERAGE(C140:C151)))</f>
        <v/>
      </c>
    </row>
    <row r="152">
      <c r="E152">
        <f>IF(ROW()&lt;13,"",IF(C152="","",AVERAGE(C141:C152)))</f>
        <v/>
      </c>
    </row>
    <row r="153">
      <c r="E153">
        <f>IF(ROW()&lt;13,"",IF(C153="","",AVERAGE(C142:C153)))</f>
        <v/>
      </c>
    </row>
    <row r="154">
      <c r="E154">
        <f>IF(ROW()&lt;13,"",IF(C154="","",AVERAGE(C143:C154)))</f>
        <v/>
      </c>
    </row>
    <row r="155">
      <c r="E155">
        <f>IF(ROW()&lt;13,"",IF(C155="","",AVERAGE(C144:C155)))</f>
        <v/>
      </c>
    </row>
    <row r="156">
      <c r="E156">
        <f>IF(ROW()&lt;13,"",IF(C156="","",AVERAGE(C145:C156)))</f>
        <v/>
      </c>
    </row>
    <row r="157">
      <c r="E157">
        <f>IF(ROW()&lt;13,"",IF(C157="","",AVERAGE(C146:C157)))</f>
        <v/>
      </c>
    </row>
    <row r="158">
      <c r="E158">
        <f>IF(ROW()&lt;13,"",IF(C158="","",AVERAGE(C147:C158)))</f>
        <v/>
      </c>
    </row>
    <row r="159">
      <c r="E159">
        <f>IF(ROW()&lt;13,"",IF(C159="","",AVERAGE(C148:C159)))</f>
        <v/>
      </c>
    </row>
    <row r="160">
      <c r="E160">
        <f>IF(ROW()&lt;13,"",IF(C160="","",AVERAGE(C149:C160)))</f>
        <v/>
      </c>
    </row>
    <row r="161">
      <c r="E161">
        <f>IF(ROW()&lt;13,"",IF(C161="","",AVERAGE(C150:C161)))</f>
        <v/>
      </c>
    </row>
    <row r="162">
      <c r="E162">
        <f>IF(ROW()&lt;13,"",IF(C162="","",AVERAGE(C151:C162)))</f>
        <v/>
      </c>
    </row>
    <row r="163">
      <c r="E163">
        <f>IF(ROW()&lt;13,"",IF(C163="","",AVERAGE(C152:C163)))</f>
        <v/>
      </c>
    </row>
    <row r="164">
      <c r="E164">
        <f>IF(ROW()&lt;13,"",IF(C164="","",AVERAGE(C153:C164)))</f>
        <v/>
      </c>
    </row>
    <row r="165">
      <c r="E165">
        <f>IF(ROW()&lt;13,"",IF(C165="","",AVERAGE(C154:C165)))</f>
        <v/>
      </c>
    </row>
    <row r="166">
      <c r="E166">
        <f>IF(ROW()&lt;13,"",IF(C166="","",AVERAGE(C155:C166)))</f>
        <v/>
      </c>
    </row>
    <row r="167">
      <c r="E167">
        <f>IF(ROW()&lt;13,"",IF(C167="","",AVERAGE(C156:C167)))</f>
        <v/>
      </c>
    </row>
    <row r="168">
      <c r="E168">
        <f>IF(ROW()&lt;13,"",IF(C168="","",AVERAGE(C157:C168)))</f>
        <v/>
      </c>
    </row>
    <row r="169">
      <c r="E169">
        <f>IF(ROW()&lt;13,"",IF(C169="","",AVERAGE(C158:C169)))</f>
        <v/>
      </c>
    </row>
    <row r="170">
      <c r="E170">
        <f>IF(ROW()&lt;13,"",IF(C170="","",AVERAGE(C159:C170)))</f>
        <v/>
      </c>
    </row>
    <row r="171">
      <c r="E171">
        <f>IF(ROW()&lt;13,"",IF(C171="","",AVERAGE(C160:C171)))</f>
        <v/>
      </c>
    </row>
    <row r="172">
      <c r="E172">
        <f>IF(ROW()&lt;13,"",IF(C172="","",AVERAGE(C161:C172)))</f>
        <v/>
      </c>
    </row>
    <row r="173">
      <c r="E173">
        <f>IF(ROW()&lt;13,"",IF(C173="","",AVERAGE(C162:C173)))</f>
        <v/>
      </c>
    </row>
    <row r="174">
      <c r="E174">
        <f>IF(ROW()&lt;13,"",IF(C174="","",AVERAGE(C163:C174)))</f>
        <v/>
      </c>
    </row>
    <row r="175">
      <c r="E175">
        <f>IF(ROW()&lt;13,"",IF(C175="","",AVERAGE(C164:C175)))</f>
        <v/>
      </c>
    </row>
    <row r="176">
      <c r="E176">
        <f>IF(ROW()&lt;13,"",IF(C176="","",AVERAGE(C165:C176)))</f>
        <v/>
      </c>
    </row>
    <row r="177">
      <c r="E177">
        <f>IF(ROW()&lt;13,"",IF(C177="","",AVERAGE(C166:C177)))</f>
        <v/>
      </c>
    </row>
    <row r="178">
      <c r="E178">
        <f>IF(ROW()&lt;13,"",IF(C178="","",AVERAGE(C167:C178)))</f>
        <v/>
      </c>
    </row>
    <row r="179">
      <c r="E179">
        <f>IF(ROW()&lt;13,"",IF(C179="","",AVERAGE(C168:C179)))</f>
        <v/>
      </c>
    </row>
    <row r="180">
      <c r="E180">
        <f>IF(ROW()&lt;13,"",IF(C180="","",AVERAGE(C169:C180)))</f>
        <v/>
      </c>
    </row>
    <row r="181">
      <c r="E181">
        <f>IF(ROW()&lt;13,"",IF(C181="","",AVERAGE(C170:C181)))</f>
        <v/>
      </c>
    </row>
    <row r="182">
      <c r="E182">
        <f>IF(ROW()&lt;13,"",IF(C182="","",AVERAGE(C171:C182)))</f>
        <v/>
      </c>
    </row>
    <row r="183">
      <c r="E183">
        <f>IF(ROW()&lt;13,"",IF(C183="","",AVERAGE(C172:C183)))</f>
        <v/>
      </c>
    </row>
    <row r="184">
      <c r="E184">
        <f>IF(ROW()&lt;13,"",IF(C184="","",AVERAGE(C173:C184)))</f>
        <v/>
      </c>
    </row>
    <row r="185">
      <c r="E185">
        <f>IF(ROW()&lt;13,"",IF(C185="","",AVERAGE(C174:C185)))</f>
        <v/>
      </c>
    </row>
    <row r="186">
      <c r="E186">
        <f>IF(ROW()&lt;13,"",IF(C186="","",AVERAGE(C175:C186)))</f>
        <v/>
      </c>
    </row>
    <row r="187">
      <c r="E187">
        <f>IF(ROW()&lt;13,"",IF(C187="","",AVERAGE(C176:C187)))</f>
        <v/>
      </c>
    </row>
    <row r="188">
      <c r="E188">
        <f>IF(ROW()&lt;13,"",IF(C188="","",AVERAGE(C177:C188)))</f>
        <v/>
      </c>
    </row>
    <row r="189">
      <c r="E189">
        <f>IF(ROW()&lt;13,"",IF(C189="","",AVERAGE(C178:C189)))</f>
        <v/>
      </c>
    </row>
    <row r="190">
      <c r="E190">
        <f>IF(ROW()&lt;13,"",IF(C190="","",AVERAGE(C179:C190)))</f>
        <v/>
      </c>
    </row>
    <row r="191">
      <c r="E191">
        <f>IF(ROW()&lt;13,"",IF(C191="","",AVERAGE(C180:C191)))</f>
        <v/>
      </c>
    </row>
    <row r="192">
      <c r="E192">
        <f>IF(ROW()&lt;13,"",IF(C192="","",AVERAGE(C181:C192)))</f>
        <v/>
      </c>
    </row>
    <row r="193">
      <c r="E193">
        <f>IF(ROW()&lt;13,"",IF(C193="","",AVERAGE(C182:C193)))</f>
        <v/>
      </c>
    </row>
    <row r="194">
      <c r="E194">
        <f>IF(ROW()&lt;13,"",IF(C194="","",AVERAGE(C183:C194)))</f>
        <v/>
      </c>
    </row>
    <row r="195">
      <c r="E195">
        <f>IF(ROW()&lt;13,"",IF(C195="","",AVERAGE(C184:C195)))</f>
        <v/>
      </c>
    </row>
    <row r="196">
      <c r="E196">
        <f>IF(ROW()&lt;13,"",IF(C196="","",AVERAGE(C185:C196)))</f>
        <v/>
      </c>
    </row>
    <row r="197">
      <c r="E197">
        <f>IF(ROW()&lt;13,"",IF(C197="","",AVERAGE(C186:C197)))</f>
        <v/>
      </c>
    </row>
    <row r="198">
      <c r="E198">
        <f>IF(ROW()&lt;13,"",IF(C198="","",AVERAGE(C187:C198)))</f>
        <v/>
      </c>
    </row>
    <row r="199">
      <c r="E199">
        <f>IF(ROW()&lt;13,"",IF(C199="","",AVERAGE(C188:C199)))</f>
        <v/>
      </c>
    </row>
  </sheetData>
  <dataValidations count="1">
    <dataValidation sqref="D2:D200" showDropDown="0" showInputMessage="0" showErrorMessage="0" allowBlank="1" type="list">
      <formula1>"Muharam,Safar,Rabiulawal,Rabiulakhir,Jumadilawal,Jumadilakhir,Rajab,Syakban,Ramadan,Syawal,Zulkaidah,Zulhijah"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</cols>
  <sheetData>
    <row r="1">
      <c r="A1" s="3" t="inlineStr">
        <is>
          <t>Bulan Hijriah</t>
        </is>
      </c>
      <c r="B1" s="3" t="inlineStr">
        <is>
          <t>Rata-rata dana</t>
        </is>
      </c>
      <c r="C1" s="3" t="inlineStr">
        <is>
          <t>Indeks musiman</t>
        </is>
      </c>
    </row>
    <row r="2">
      <c r="A2" t="inlineStr">
        <is>
          <t>Muharam</t>
        </is>
      </c>
      <c r="B2">
        <f>IFERROR(AVERAGEIF(Bulanan!$D$2:$D$200,A2,Bulanan!$C$2:$C$200),"")</f>
        <v/>
      </c>
      <c r="C2" s="4">
        <f>IF(B2="","",B2/AVERAGE($B$2:$B$13))</f>
        <v/>
      </c>
    </row>
    <row r="3">
      <c r="A3" t="inlineStr">
        <is>
          <t>Safar</t>
        </is>
      </c>
      <c r="B3">
        <f>IFERROR(AVERAGEIF(Bulanan!$D$2:$D$200,A3,Bulanan!$C$2:$C$200),"")</f>
        <v/>
      </c>
      <c r="C3" s="4">
        <f>IF(B3="","",B3/AVERAGE($B$2:$B$13))</f>
        <v/>
      </c>
    </row>
    <row r="4">
      <c r="A4" t="inlineStr">
        <is>
          <t>Rabiulawal</t>
        </is>
      </c>
      <c r="B4">
        <f>IFERROR(AVERAGEIF(Bulanan!$D$2:$D$200,A4,Bulanan!$C$2:$C$200),"")</f>
        <v/>
      </c>
      <c r="C4" s="4">
        <f>IF(B4="","",B4/AVERAGE($B$2:$B$13))</f>
        <v/>
      </c>
    </row>
    <row r="5">
      <c r="A5" t="inlineStr">
        <is>
          <t>Rabiulakhir</t>
        </is>
      </c>
      <c r="B5">
        <f>IFERROR(AVERAGEIF(Bulanan!$D$2:$D$200,A5,Bulanan!$C$2:$C$200),"")</f>
        <v/>
      </c>
      <c r="C5" s="4">
        <f>IF(B5="","",B5/AVERAGE($B$2:$B$13))</f>
        <v/>
      </c>
    </row>
    <row r="6">
      <c r="A6" t="inlineStr">
        <is>
          <t>Jumadilawal</t>
        </is>
      </c>
      <c r="B6">
        <f>IFERROR(AVERAGEIF(Bulanan!$D$2:$D$200,A6,Bulanan!$C$2:$C$200),"")</f>
        <v/>
      </c>
      <c r="C6" s="4">
        <f>IF(B6="","",B6/AVERAGE($B$2:$B$13))</f>
        <v/>
      </c>
    </row>
    <row r="7">
      <c r="A7" t="inlineStr">
        <is>
          <t>Jumadilakhir</t>
        </is>
      </c>
      <c r="B7">
        <f>IFERROR(AVERAGEIF(Bulanan!$D$2:$D$200,A7,Bulanan!$C$2:$C$200),"")</f>
        <v/>
      </c>
      <c r="C7" s="4">
        <f>IF(B7="","",B7/AVERAGE($B$2:$B$13))</f>
        <v/>
      </c>
    </row>
    <row r="8">
      <c r="A8" t="inlineStr">
        <is>
          <t>Rajab</t>
        </is>
      </c>
      <c r="B8">
        <f>IFERROR(AVERAGEIF(Bulanan!$D$2:$D$200,A8,Bulanan!$C$2:$C$200),"")</f>
        <v/>
      </c>
      <c r="C8" s="4">
        <f>IF(B8="","",B8/AVERAGE($B$2:$B$13))</f>
        <v/>
      </c>
    </row>
    <row r="9">
      <c r="A9" t="inlineStr">
        <is>
          <t>Syakban</t>
        </is>
      </c>
      <c r="B9">
        <f>IFERROR(AVERAGEIF(Bulanan!$D$2:$D$200,A9,Bulanan!$C$2:$C$200),"")</f>
        <v/>
      </c>
      <c r="C9" s="4">
        <f>IF(B9="","",B9/AVERAGE($B$2:$B$13))</f>
        <v/>
      </c>
    </row>
    <row r="10">
      <c r="A10" t="inlineStr">
        <is>
          <t>Ramadan</t>
        </is>
      </c>
      <c r="B10">
        <f>IFERROR(AVERAGEIF(Bulanan!$D$2:$D$200,A10,Bulanan!$C$2:$C$200),"")</f>
        <v/>
      </c>
      <c r="C10" s="4">
        <f>IF(B10="","",B10/AVERAGE($B$2:$B$13))</f>
        <v/>
      </c>
    </row>
    <row r="11">
      <c r="A11" t="inlineStr">
        <is>
          <t>Syawal</t>
        </is>
      </c>
      <c r="B11">
        <f>IFERROR(AVERAGEIF(Bulanan!$D$2:$D$200,A11,Bulanan!$C$2:$C$200),"")</f>
        <v/>
      </c>
      <c r="C11" s="4">
        <f>IF(B11="","",B11/AVERAGE($B$2:$B$13))</f>
        <v/>
      </c>
    </row>
    <row r="12">
      <c r="A12" t="inlineStr">
        <is>
          <t>Zulkaidah</t>
        </is>
      </c>
      <c r="B12">
        <f>IFERROR(AVERAGEIF(Bulanan!$D$2:$D$200,A12,Bulanan!$C$2:$C$200),"")</f>
        <v/>
      </c>
      <c r="C12" s="4">
        <f>IF(B12="","",B12/AVERAGE($B$2:$B$13))</f>
        <v/>
      </c>
    </row>
    <row r="13">
      <c r="A13" t="inlineStr">
        <is>
          <t>Zulhijah</t>
        </is>
      </c>
      <c r="B13">
        <f>IFERROR(AVERAGEIF(Bulanan!$D$2:$D$200,A13,Bulanan!$C$2:$C$200),"")</f>
        <v/>
      </c>
      <c r="C13" s="4">
        <f>IF(B13="","",B13/AVERAGE($B$2:$B$13))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4" customWidth="1" min="3" max="3"/>
  </cols>
  <sheetData>
    <row r="1">
      <c r="A1" s="3" t="inlineStr">
        <is>
          <t>Tahun</t>
        </is>
      </c>
      <c r="B1" s="3" t="inlineStr">
        <is>
          <t>Dana Ramadan</t>
        </is>
      </c>
      <c r="C1" s="3" t="inlineStr">
        <is>
          <t>Pertumbuhan</t>
        </is>
      </c>
    </row>
    <row r="2">
      <c r="A2">
        <f>IFERROR(INDEX(UNIQUE(FILTER(Bulanan!$A$2:$A$200,Bulanan!$D$2:$D$200="Ramadan")),ROW()-1),"")</f>
        <v/>
      </c>
      <c r="B2">
        <f>IF(A2="","",SUMIFS(Bulanan!$C$2:$C$200,Bulanan!$A$2:$A$200,A2,Bulanan!$D$2:$D$200,"Ramadan"))</f>
        <v/>
      </c>
      <c r="C2" s="5" t="inlineStr"/>
    </row>
    <row r="3">
      <c r="A3">
        <f>IFERROR(INDEX(UNIQUE(FILTER(Bulanan!$A$2:$A$200,Bulanan!$D$2:$D$200="Ramadan")),ROW()-1),"")</f>
        <v/>
      </c>
      <c r="B3">
        <f>IF(A3="","",SUMIFS(Bulanan!$C$2:$C$200,Bulanan!$A$2:$A$200,A3,Bulanan!$D$2:$D$200,"Ramadan"))</f>
        <v/>
      </c>
      <c r="C3" s="5">
        <f>IF(OR(A3="",B2="",ROW()=2),"",B3/B2-1)</f>
        <v/>
      </c>
    </row>
    <row r="4">
      <c r="A4">
        <f>IFERROR(INDEX(UNIQUE(FILTER(Bulanan!$A$2:$A$200,Bulanan!$D$2:$D$200="Ramadan")),ROW()-1),"")</f>
        <v/>
      </c>
      <c r="B4">
        <f>IF(A4="","",SUMIFS(Bulanan!$C$2:$C$200,Bulanan!$A$2:$A$200,A4,Bulanan!$D$2:$D$200,"Ramadan"))</f>
        <v/>
      </c>
      <c r="C4" s="5">
        <f>IF(OR(A4="",B3="",ROW()=2),"",B4/B3-1)</f>
        <v/>
      </c>
    </row>
    <row r="5">
      <c r="A5">
        <f>IFERROR(INDEX(UNIQUE(FILTER(Bulanan!$A$2:$A$200,Bulanan!$D$2:$D$200="Ramadan")),ROW()-1),"")</f>
        <v/>
      </c>
      <c r="B5">
        <f>IF(A5="","",SUMIFS(Bulanan!$C$2:$C$200,Bulanan!$A$2:$A$200,A5,Bulanan!$D$2:$D$200,"Ramadan"))</f>
        <v/>
      </c>
      <c r="C5" s="5">
        <f>IF(OR(A5="",B4="",ROW()=2),"",B5/B4-1)</f>
        <v/>
      </c>
    </row>
    <row r="8">
      <c r="A8" s="6" t="inlineStr">
        <is>
          <t>Ramadan terakhir</t>
        </is>
      </c>
      <c r="B8">
        <f>LOOKUP(2,1/(B2:B5&lt;&gt;""),B2:B5)</f>
        <v/>
      </c>
    </row>
    <row r="9">
      <c r="A9" s="6" t="inlineStr">
        <is>
          <t>Pertumbuhan terendah</t>
        </is>
      </c>
      <c r="B9" s="5">
        <f>MIN(C3:C5)</f>
        <v/>
      </c>
    </row>
    <row r="10">
      <c r="A10" s="6" t="inlineStr">
        <is>
          <t>Pertumbuhan rata-rata</t>
        </is>
      </c>
      <c r="B10" s="5">
        <f>AVERAGE(C3:C5)</f>
        <v/>
      </c>
    </row>
    <row r="11">
      <c r="A11" s="6" t="inlineStr">
        <is>
          <t>Pertumbuhan tertinggi</t>
        </is>
      </c>
      <c r="B11" s="5">
        <f>MAX(C3:C5)</f>
        <v/>
      </c>
    </row>
    <row r="12">
      <c r="A12" s="6" t="n"/>
    </row>
    <row r="13">
      <c r="A13" s="6" t="inlineStr">
        <is>
          <t>Proyeksi Ramadan berikutnya</t>
        </is>
      </c>
    </row>
    <row r="14">
      <c r="A14" s="6" t="inlineStr">
        <is>
          <t>Skenario rendah</t>
        </is>
      </c>
      <c r="B14">
        <f>B8*(1+B9)</f>
        <v/>
      </c>
    </row>
    <row r="15">
      <c r="A15" s="6" t="inlineStr">
        <is>
          <t>Skenario tengah</t>
        </is>
      </c>
      <c r="B15">
        <f>B8*(1+B10)</f>
        <v/>
      </c>
    </row>
    <row r="16">
      <c r="A16" s="6" t="inlineStr">
        <is>
          <t>Skenario tinggi</t>
        </is>
      </c>
      <c r="B16">
        <f>B8*(1+B11)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2026-10-21T16:59:40Z</dcterms:created>
  <dcterms:modified xmlns:dcterms="http://purl.org/dc/terms/" xmlns:xsi="http://www.w3.org/2001/XMLSchema-instance" xsi:type="dcterms:W3CDTF">2026-10-21T16:59:40Z</dcterms:modified>
</cp:coreProperties>
</file>